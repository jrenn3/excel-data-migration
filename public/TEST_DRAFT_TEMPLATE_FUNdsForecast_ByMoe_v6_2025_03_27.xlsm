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Projects\excel-data-migration\src\"/>
    </mc:Choice>
  </mc:AlternateContent>
  <xr:revisionPtr revIDLastSave="0" documentId="8_{695A7869-5630-415A-AC91-2D01BA525E16}" xr6:coauthVersionLast="47" xr6:coauthVersionMax="47" xr10:uidLastSave="{00000000-0000-0000-0000-000000000000}"/>
  <bookViews>
    <workbookView xWindow="-28920" yWindow="0" windowWidth="29040" windowHeight="15720" activeTab="2" xr2:uid="{576F0DE2-3040-4272-8BDC-E1B8158EB8E8}"/>
  </bookViews>
  <sheets>
    <sheet name="README" sheetId="14" r:id="rId1"/>
    <sheet name="SUMMARIES→" sheetId="19" r:id="rId2"/>
    <sheet name="NTM" sheetId="5" r:id="rId3"/>
    <sheet name="WORKING→" sheetId="18" r:id="rId4"/>
    <sheet name="Recurring" sheetId="8" r:id="rId5"/>
    <sheet name="OPTIONAL EMPOWER DATA→" sheetId="84" r:id="rId6"/>
    <sheet name="Ref Data" sheetId="86" r:id="rId7"/>
    <sheet name="Raw" sheetId="85" r:id="rId8"/>
    <sheet name="AD HOC→" sheetId="17" r:id="rId9"/>
    <sheet name="FOOTNOTES→" sheetId="58" r:id="rId10"/>
    <sheet name="Version Change Notes" sheetId="57" r:id="rId11"/>
    <sheet name="DEV STEPS FOR PROD" sheetId="56" r:id="rId12"/>
    <sheet name="INTERMEDIATES→" sheetId="41" r:id="rId13"/>
    <sheet name="recurring1_based on steps" sheetId="24" r:id="rId14"/>
    <sheet name="recurring2_based on steps" sheetId="63" r:id="rId15"/>
    <sheet name="changes1_based on steps" sheetId="80" r:id="rId16"/>
    <sheet name="changes2_based on steps" sheetId="81" r:id="rId17"/>
    <sheet name="recurring_master" sheetId="65" r:id="rId18"/>
    <sheet name="HELPERS→" sheetId="82" r:id="rId19"/>
    <sheet name="Categorized Inputs" sheetId="32" r:id="rId20"/>
    <sheet name="Data Validation" sheetId="55" r:id="rId21"/>
    <sheet name="←DEV HIDE ALL FOR PROD" sheetId="59" r:id="rId22"/>
  </sheets>
  <definedNames>
    <definedName name="_xlnm._FilterDatabase" localSheetId="19" hidden="1">'Categorized Inputs'!$A$1:$E$87</definedName>
    <definedName name="_xlnm._FilterDatabase" localSheetId="7" hidden="1">Raw!$A$3:$F$3</definedName>
    <definedName name="_xlnm._FilterDatabase" localSheetId="4" hidden="1">Recurring!$B$3:$I$53</definedName>
    <definedName name="_xlnm._FilterDatabase" localSheetId="6" hidden="1">'Ref Data'!$A$1:$H$22</definedName>
    <definedName name="_xlpm.a" hidden="1" xlm="1">#NAME?</definedName>
    <definedName name="_xlpm.account" hidden="1" xlm="1">#NAME?</definedName>
    <definedName name="_xlpm.amt" hidden="1" xlm="1">#NAME?</definedName>
    <definedName name="_xlpm.an" hidden="1" xlm="1">#NAME?</definedName>
    <definedName name="_xlpm.ann" hidden="1" xlm="1">#NAME?</definedName>
    <definedName name="_xlpm.annu" hidden="1" xlm="1">#NAME?</definedName>
    <definedName name="_xlpm.annua" hidden="1" xlm="1">#NAME?</definedName>
    <definedName name="_xlpm.annual" hidden="1" xlm="1">#NAME?</definedName>
    <definedName name="_xlpm.annuall" hidden="1" xlm="1">#NAME?</definedName>
    <definedName name="_xlpm.annually" hidden="1" xlm="1">#NAME?</definedName>
    <definedName name="_xlpm.avil_range_sum" hidden="1" xlm="1">#NAME?</definedName>
    <definedName name="_xlpm.b" hidden="1" xlm="1">#NAME?</definedName>
    <definedName name="_xlpm.base_mult" hidden="1" xlm="1">#NAME?</definedName>
    <definedName name="_xlpm.bi" hidden="1" xlm="1">#NAME?</definedName>
    <definedName name="_xlpm.biw" hidden="1" xlm="1">#NAME?</definedName>
    <definedName name="_xlpm.biwe" hidden="1" xlm="1">#NAME?</definedName>
    <definedName name="_xlpm.biwee" hidden="1" xlm="1">#NAME?</definedName>
    <definedName name="_xlpm.biweek" hidden="1" xlm="1">#NAME?</definedName>
    <definedName name="_xlpm.biweekl" hidden="1" xlm="1">#NAME?</definedName>
    <definedName name="_xlpm.biweekly" hidden="1" xlm="1">#NAME?</definedName>
    <definedName name="_xlpm.calc" hidden="1" xlm="1">#NAME?</definedName>
    <definedName name="_xlpm.category" hidden="1" xlm="1">#NAME?</definedName>
    <definedName name="_xlpm.change" hidden="1" xlm="1">#NAME?</definedName>
    <definedName name="_xlpm.changes" hidden="1" xlm="1">#NAME?</definedName>
    <definedName name="_xlpm.cmonthly_card_payment" hidden="1" xlm="1">#NAME?</definedName>
    <definedName name="_xlpm.columns" hidden="1" xlm="1">#NAME?</definedName>
    <definedName name="_xlpm.cumonthly_card_payment" hidden="1" xlm="1">#NAME?</definedName>
    <definedName name="_xlpm.curmonthly_card_payment" hidden="1" xlm="1">#NAME?</definedName>
    <definedName name="_xlpm.curremonthly_card_payment" hidden="1" xlm="1">#NAME?</definedName>
    <definedName name="_xlpm.currenmonthly_card_payment" hidden="1" xlm="1">#NAME?</definedName>
    <definedName name="_xlpm.current" hidden="1" xlm="1">#NAME?</definedName>
    <definedName name="_xlpm.current__card_payment" hidden="1" xlm="1">#NAME?</definedName>
    <definedName name="_xlpm.current_card_payment" hidden="1" xlm="1">#NAME?</definedName>
    <definedName name="_xlpm.current_h_card_payment" hidden="1" xlm="1">#NAME?</definedName>
    <definedName name="_xlpm.current_month_card_payment" hidden="1" xlm="1">#NAME?</definedName>
    <definedName name="_xlpm.current_monthly_card_payment" hidden="1" xlm="1">#NAME?</definedName>
    <definedName name="_xlpm.current_monthy_card_payment" hidden="1" xlm="1">#NAME?</definedName>
    <definedName name="_xlpm.current_nth_card_payment" hidden="1" xlm="1">#NAME?</definedName>
    <definedName name="_xlpm.current_onth_card_payment" hidden="1" xlm="1">#NAME?</definedName>
    <definedName name="_xlpm.current_th_card_payment" hidden="1" xlm="1">#NAME?</definedName>
    <definedName name="_xlpm.currentmonthly_card_payment" hidden="1" xlm="1">#NAME?</definedName>
    <definedName name="_xlpm.currmonthly_card_payment" hidden="1" xlm="1">#NAME?</definedName>
    <definedName name="_xlpm.daily" hidden="1" xlm="1">#NAME?</definedName>
    <definedName name="_xlpm.Date" hidden="1" xlm="1">#NAME?</definedName>
    <definedName name="_xlpm.dates" hidden="1" xlm="1">#NAME?</definedName>
    <definedName name="_xlpm.day" hidden="1" xlm="1">#NAME?</definedName>
    <definedName name="_xlpm.day_number" hidden="1" xlm="1">#NAME?</definedName>
    <definedName name="_xlpm.day_steps" hidden="1" xlm="1">#NAME?</definedName>
    <definedName name="_xlpm.days" hidden="1" xlm="1">#NAME?</definedName>
    <definedName name="_xlpm.end_date" hidden="1" xlm="1">#NAME?</definedName>
    <definedName name="_xlpm.f" hidden="1" xlm="1">#NAME?</definedName>
    <definedName name="_xlpm.Factor" hidden="1" xlm="1">#NAME?</definedName>
    <definedName name="_xlpm.first_day" hidden="1" xlm="1">#NAME?</definedName>
    <definedName name="_xlpm.first_o" hidden="1" xlm="1">#NAME?</definedName>
    <definedName name="_xlpm.first_oc" hidden="1" xlm="1">#NAME?</definedName>
    <definedName name="_xlpm.first_occ" hidden="1" xlm="1">#NAME?</definedName>
    <definedName name="_xlpm.first_occu" hidden="1" xlm="1">#NAME?</definedName>
    <definedName name="_xlpm.first_occur" hidden="1" xlm="1">#NAME?</definedName>
    <definedName name="_xlpm.first_occura" hidden="1" xlm="1">#NAME?</definedName>
    <definedName name="_xlpm.first_occuran" hidden="1" xlm="1">#NAME?</definedName>
    <definedName name="_xlpm.first_occuranc" hidden="1" xlm="1">#NAME?</definedName>
    <definedName name="_xlpm.first_occurance" hidden="1" xlm="1">#NAME?</definedName>
    <definedName name="_xlpm.first_of_month" hidden="1" xlm="1">#NAME?</definedName>
    <definedName name="_xlpm.first_slash_position" hidden="1" xlm="1">#NAME?</definedName>
    <definedName name="_xlpm.first_target_day" hidden="1" xlm="1">#NAME?</definedName>
    <definedName name="_xlpm.fr" hidden="1" xlm="1">#NAME?</definedName>
    <definedName name="_xlpm.frequency_type" hidden="1" xlm="1">#NAME?</definedName>
    <definedName name="_xlpm.frequency_value" hidden="1" xlm="1">#NAME?</definedName>
    <definedName name="_xlpm.fri" hidden="1" xlm="1">#NAME?</definedName>
    <definedName name="_xlpm.frid" hidden="1" xlm="1">#NAME?</definedName>
    <definedName name="_xlpm.frida" hidden="1" xlm="1">#NAME?</definedName>
    <definedName name="_xlpm.friday" hidden="1" xlm="1">#NAME?</definedName>
    <definedName name="_xlpm.fridays" hidden="1" xlm="1">#NAME?</definedName>
    <definedName name="_xlpm.i" hidden="1" xlm="1">#NAME?</definedName>
    <definedName name="_xlpm.in" hidden="1" xlm="1">#NAME?</definedName>
    <definedName name="_xlpm.int" hidden="1" xlm="1">#NAME?</definedName>
    <definedName name="_xlpm.inte" hidden="1" xlm="1">#NAME?</definedName>
    <definedName name="_xlpm.inter" hidden="1" xlm="1">#NAME?</definedName>
    <definedName name="_xlpm.interv" hidden="1" xlm="1">#NAME?</definedName>
    <definedName name="_xlpm.interva" hidden="1" xlm="1">#NAME?</definedName>
    <definedName name="_xlpm.interval" hidden="1" xlm="1">#NAME?</definedName>
    <definedName name="_xlpm.l" hidden="1" xlm="1">#NAME?</definedName>
    <definedName name="_xlpm.last_of_month" hidden="1" xlm="1">#NAME?</definedName>
    <definedName name="_xlpm.LineItem" hidden="1" xlm="1">#NAME?</definedName>
    <definedName name="_xlpm.LineItemType" hidden="1" xlm="1">#NAME?</definedName>
    <definedName name="_xlpm.lo" hidden="1" xlm="1">#NAME?</definedName>
    <definedName name="_xlpm.loa" hidden="1" xlm="1">#NAME?</definedName>
    <definedName name="_xlpm.loan" hidden="1" xlm="1">#NAME?</definedName>
    <definedName name="_xlpm.ltm_spend" hidden="1" xlm="1">#NAME?</definedName>
    <definedName name="_xlpm.m" hidden="1" xlm="1">#NAME?</definedName>
    <definedName name="_xlpm.mo" hidden="1" xlm="1">#NAME?</definedName>
    <definedName name="_xlpm.mon" hidden="1" xlm="1">#NAME?</definedName>
    <definedName name="_xlpm.mond" hidden="1" xlm="1">#NAME?</definedName>
    <definedName name="_xlpm.monda" hidden="1" xlm="1">#NAME?</definedName>
    <definedName name="_xlpm.monday" hidden="1" xlm="1">#NAME?</definedName>
    <definedName name="_xlpm.mondays" hidden="1" xlm="1">#NAME?</definedName>
    <definedName name="_xlpm.mont" hidden="1" xlm="1">#NAME?</definedName>
    <definedName name="_xlpm.month" hidden="1" xlm="1">#NAME?</definedName>
    <definedName name="_xlpm.month_offset" hidden="1" xlm="1">#NAME?</definedName>
    <definedName name="_xlpm.monthl" hidden="1" xlm="1">#NAME?</definedName>
    <definedName name="_xlpm.monthly" hidden="1" xlm="1">#NAME?</definedName>
    <definedName name="_xlpm.monthly_card_payment" hidden="1" xlm="1">#NAME?</definedName>
    <definedName name="_xlpm.months" hidden="1" xlm="1">#NAME?</definedName>
    <definedName name="_xlpm.n" hidden="1" xlm="1">#NAME?</definedName>
    <definedName name="_xlpm.n_card_payment" hidden="1" xlm="1">#NAME?</definedName>
    <definedName name="_xlpm.nb" hidden="1" xlm="1">#NAME?</definedName>
    <definedName name="_xlpm.nbr" hidden="1" xlm="1">#NAME?</definedName>
    <definedName name="_xlpm.nbr_" hidden="1" xlm="1">#NAME?</definedName>
    <definedName name="_xlpm.nbr_days" hidden="1" xlm="1">#NAME?</definedName>
    <definedName name="_xlpm.nbr_o" hidden="1" xlm="1">#NAME?</definedName>
    <definedName name="_xlpm.nbr_of" hidden="1" xlm="1">#NAME?</definedName>
    <definedName name="_xlpm.nbr_of_" hidden="1" xlm="1">#NAME?</definedName>
    <definedName name="_xlpm.nbr_of_s" hidden="1" xlm="1">#NAME?</definedName>
    <definedName name="_xlpm.nbr_of_st" hidden="1" xlm="1">#NAME?</definedName>
    <definedName name="_xlpm.nbr_of_ste" hidden="1" xlm="1">#NAME?</definedName>
    <definedName name="_xlpm.nbr_of_step" hidden="1" xlm="1">#NAME?</definedName>
    <definedName name="_xlpm.nbr_of_steps" hidden="1" xlm="1">#NAME?</definedName>
    <definedName name="_xlpm.ne_card_payment" hidden="1" xlm="1">#NAME?</definedName>
    <definedName name="_xlpm.nex_card_payment" hidden="1" xlm="1">#NAME?</definedName>
    <definedName name="_xlpm.next_card_payment" hidden="1" xlm="1">#NAME?</definedName>
    <definedName name="_xlpm.nth" hidden="1" xlm="1">#NAME?</definedName>
    <definedName name="_xlpm.nth_day" hidden="1" xlm="1">#NAME?</definedName>
    <definedName name="_xlpm.nth_occurance" hidden="1" xlm="1">#NAME?</definedName>
    <definedName name="_xlpm.nth_occurrence" hidden="1" xlm="1">#NAME?</definedName>
    <definedName name="_xlpm.nth_target_day" hidden="1" xlm="1">#NAME?</definedName>
    <definedName name="_xlpm.NTM_day_count"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occurance" hidden="1" xlm="1">#NAME?</definedName>
    <definedName name="_xlpm.one_day_spend" hidden="1" xlm="1">#NAME?</definedName>
    <definedName name="_xlpm.p" hidden="1" xlm="1">#NAME?</definedName>
    <definedName name="_xlpm.paydays" hidden="1" xlm="1">#NAME?</definedName>
    <definedName name="_xlpm.pe" hidden="1" xlm="1">#NAME?</definedName>
    <definedName name="_xlpm.per" hidden="1" xlm="1">#NAME?</definedName>
    <definedName name="_xlpm.peri" hidden="1" xlm="1">#NAME?</definedName>
    <definedName name="_xlpm.perio" hidden="1" xlm="1">#NAME?</definedName>
    <definedName name="_xlpm.period" hidden="1" xlm="1">#NAME?</definedName>
    <definedName name="_xlpm.periods" hidden="1" xlm="1">#NAME?</definedName>
    <definedName name="_xlpm.planned" hidden="1" xlm="1">#NAME?</definedName>
    <definedName name="_xlpm.precedents" hidden="1" xlm="1">#NAME?</definedName>
    <definedName name="_xlpm.r" hidden="1" xlm="1">#NAME?</definedName>
    <definedName name="_xlpm.re" hidden="1" xlm="1">#NAME?</definedName>
    <definedName name="_xlpm.rec" hidden="1" xlm="1">#NAME?</definedName>
    <definedName name="_xlpm.recu" hidden="1" xlm="1">#NAME?</definedName>
    <definedName name="_xlpm.recur" hidden="1" xlm="1">#NAME?</definedName>
    <definedName name="_xlpm.recurr" hidden="1" xlm="1">#NAME?</definedName>
    <definedName name="_xlpm.recurrance" hidden="1" xlm="1">#NAME?</definedName>
    <definedName name="_xlpm.recurri" hidden="1" xlm="1">#NAME?</definedName>
    <definedName name="_xlpm.recurrin" hidden="1" xlm="1">#NAME?</definedName>
    <definedName name="_xlpm.recurring" hidden="1" xlm="1">#NAME?</definedName>
    <definedName name="_xlpm.result_sequence" hidden="1" xlm="1">#NAME?</definedName>
    <definedName name="_xlpm.s" hidden="1" xlm="1">#NAME?</definedName>
    <definedName name="_xlpm.saturdays" hidden="1" xlm="1">#NAME?</definedName>
    <definedName name="_xlpm.second_slash_position" hidden="1" xlm="1">#NAME?</definedName>
    <definedName name="_xlpm.start_date" hidden="1" xlm="1">#NAME?</definedName>
    <definedName name="_xlpm.step_days" hidden="1" xlm="1">#NAME?</definedName>
    <definedName name="_xlpm.step_value" hidden="1" xlm="1">#NAME?</definedName>
    <definedName name="_xlpm.step_weeks" hidden="1" xlm="1">#NAME?</definedName>
    <definedName name="_xlpm.step_y" hidden="1" xlm="1">#NAME?</definedName>
    <definedName name="_xlpm.step_ye" hidden="1" xlm="1">#NAME?</definedName>
    <definedName name="_xlpm.step_yea" hidden="1" xlm="1">#NAME?</definedName>
    <definedName name="_xlpm.step_year" hidden="1" xlm="1">#NAME?</definedName>
    <definedName name="_xlpm.step_years" hidden="1" xlm="1">#NAME?</definedName>
    <definedName name="_xlpm.su" hidden="1" xlm="1">#NAME?</definedName>
    <definedName name="_xlpm.sun" hidden="1" xlm="1">#NAME?</definedName>
    <definedName name="_xlpm.sund" hidden="1" xlm="1">#NAME?</definedName>
    <definedName name="_xlpm.sunda" hidden="1" xlm="1">#NAME?</definedName>
    <definedName name="_xlpm.sunday" hidden="1" xlm="1">#NAME?</definedName>
    <definedName name="_xlpm.sundays" hidden="1" xlm="1">#NAME?</definedName>
    <definedName name="_xlpm.T" hidden="1" xlm="1">#NAME?</definedName>
    <definedName name="_xlpm.target_day" hidden="1" xlm="1">#NAME?</definedName>
    <definedName name="_xlpm.th" hidden="1" xlm="1">#NAME?</definedName>
    <definedName name="_xlpm.thu" hidden="1" xlm="1">#NAME?</definedName>
    <definedName name="_xlpm.thur" hidden="1" xlm="1">#NAME?</definedName>
    <definedName name="_xlpm.thurs" hidden="1" xlm="1">#NAME?</definedName>
    <definedName name="_xlpm.thursd" hidden="1" xlm="1">#NAME?</definedName>
    <definedName name="_xlpm.thursda" hidden="1" xlm="1">#NAME?</definedName>
    <definedName name="_xlpm.thursday" hidden="1" xlm="1">#NAME?</definedName>
    <definedName name="_xlpm.thursdays" hidden="1" xlm="1">#NAME?</definedName>
    <definedName name="_xlpm.to" hidden="1" xlm="1">#NAME?</definedName>
    <definedName name="_xlpm.tot" hidden="1" xlm="1">#NAME?</definedName>
    <definedName name="_xlpm.tota" hidden="1" xlm="1">#NAME?</definedName>
    <definedName name="_xlpm.total" hidden="1" xlm="1">#NAME?</definedName>
    <definedName name="_xlpm.total_" hidden="1" xlm="1">#NAME?</definedName>
    <definedName name="_xlpm.total_periods" hidden="1" xlm="1">#NAME?</definedName>
    <definedName name="_xlpm.total_s" hidden="1" xlm="1">#NAME?</definedName>
    <definedName name="_xlpm.total_sp" hidden="1" xlm="1">#NAME?</definedName>
    <definedName name="_xlpm.total_spe" hidden="1" xlm="1">#NAME?</definedName>
    <definedName name="_xlpm.total_spen" hidden="1" xlm="1">#NAME?</definedName>
    <definedName name="_xlpm.total_spend" hidden="1" xlm="1">#NAME?</definedName>
    <definedName name="_xlpm.tu" hidden="1" xlm="1">#NAME?</definedName>
    <definedName name="_xlpm.tue" hidden="1" xlm="1">#NAME?</definedName>
    <definedName name="_xlpm.tues" hidden="1" xlm="1">#NAME?</definedName>
    <definedName name="_xlpm.tuesd" hidden="1" xlm="1">#NAME?</definedName>
    <definedName name="_xlpm.tuesda" hidden="1" xlm="1">#NAME?</definedName>
    <definedName name="_xlpm.tuesday" hidden="1" xlm="1">#NAME?</definedName>
    <definedName name="_xlpm.tuesdays" hidden="1" xlm="1">#NAME?</definedName>
    <definedName name="_xlpm.Type" hidden="1" xlm="1">#NAME?</definedName>
    <definedName name="_xlpm.w" hidden="1" xlm="1">#NAME?</definedName>
    <definedName name="_xlpm.w_steps" hidden="1" xlm="1">#NAME?</definedName>
    <definedName name="_xlpm.we" hidden="1" xlm="1">#NAME?</definedName>
    <definedName name="_xlpm.we_steps" hidden="1" xlm="1">#NAME?</definedName>
    <definedName name="_xlpm.wed" hidden="1" xlm="1">#NAME?</definedName>
    <definedName name="_xlpm.wedn" hidden="1" xlm="1">#NAME?</definedName>
    <definedName name="_xlpm.wedne" hidden="1" xlm="1">#NAME?</definedName>
    <definedName name="_xlpm.wednes" hidden="1" xlm="1">#NAME?</definedName>
    <definedName name="_xlpm.wednesd" hidden="1" xlm="1">#NAME?</definedName>
    <definedName name="_xlpm.wednesda" hidden="1" xlm="1">#NAME?</definedName>
    <definedName name="_xlpm.wednesday" hidden="1" xlm="1">#NAME?</definedName>
    <definedName name="_xlpm.wednesdays" hidden="1" xlm="1">#NAME?</definedName>
    <definedName name="_xlpm.wee" hidden="1" xlm="1">#NAME?</definedName>
    <definedName name="_xlpm.wee_steps" hidden="1" xlm="1">#NAME?</definedName>
    <definedName name="_xlpm.week" hidden="1" xlm="1">#NAME?</definedName>
    <definedName name="_xlpm.week_base" hidden="1" xlm="1">#NAME?</definedName>
    <definedName name="_xlpm.week_steps" hidden="1" xlm="1">#NAME?</definedName>
    <definedName name="_xlpm.weekdays" hidden="1" xlm="1">#NAME?</definedName>
    <definedName name="_xlpm.weekl" hidden="1" xlm="1">#NAME?</definedName>
    <definedName name="_xlpm.weekly" hidden="1" xlm="1">#NAME?</definedName>
    <definedName name="_xlpm.weeks_per_year" hidden="1" xlm="1">#NAME?</definedName>
    <definedName name="_xlpm.y" hidden="1" xlm="1">#NAME?</definedName>
    <definedName name="_xlpm.ye" hidden="1" xlm="1">#NAME?</definedName>
    <definedName name="_xlpm.yea" hidden="1" xlm="1">#NAME?</definedName>
    <definedName name="_xlpm.year" hidden="1" xlm="1">#NAME?</definedName>
    <definedName name="_xlpm.year_" hidden="1" xlm="1">#NAME?</definedName>
    <definedName name="_xlpm.year_i" hidden="1" xlm="1">#NAME?</definedName>
    <definedName name="_xlpm.year_in" hidden="1" xlm="1">#NAME?</definedName>
    <definedName name="_xlpm.year_in_" hidden="1" xlm="1">#NAME?</definedName>
    <definedName name="_xlpm.year_in_d" hidden="1" xlm="1">#NAME?</definedName>
    <definedName name="_xlpm.year_in_da" hidden="1" xlm="1">#NAME?</definedName>
    <definedName name="_xlpm.year_in_day" hidden="1" xlm="1">#NAME?</definedName>
    <definedName name="_xlpm.year_in_days" hidden="1" xlm="1">#NAME?</definedName>
    <definedName name="_xlpm.year_in_w" hidden="1" xlm="1">#NAME?</definedName>
    <definedName name="_xlpm.year_in_wk" hidden="1" xlm="1">#NAME?</definedName>
    <definedName name="_xlpm.year_in_wks" hidden="1" xlm="1">#NAME?</definedName>
    <definedName name="_xlpm.year_s" hidden="1" xlm="1">#NAME?</definedName>
    <definedName name="_xlpm.year_st" hidden="1" xlm="1">#NAME?</definedName>
    <definedName name="_xlpm.year_ste" hidden="1" xlm="1">#NAME?</definedName>
    <definedName name="_xlpm.year_step" hidden="1" xlm="1">#NAME?</definedName>
    <definedName name="_xlpm.year_steps" hidden="1" xlm="1">#NAME?</definedName>
    <definedName name="_xlpm.year_steps_" hidden="1" xlm="1">#NAME?</definedName>
    <definedName name="_xlpm.year_steps_f" hidden="1" xlm="1">#NAME?</definedName>
    <definedName name="_xlpm.year_steps_fo" hidden="1" xlm="1">#NAME?</definedName>
    <definedName name="_xlpm.year_steps_for" hidden="1" xlm="1">#NAME?</definedName>
    <definedName name="_xlpm.year_steps_for_" hidden="1" xlm="1">#NAME?</definedName>
    <definedName name="_xlpm.year_steps_for_w" hidden="1" xlm="1">#NAME?</definedName>
    <definedName name="_xlpm.year_steps_for_we" hidden="1" xlm="1">#NAME?</definedName>
    <definedName name="_xlpm.year_steps_for_wee" hidden="1" xlm="1">#NAME?</definedName>
    <definedName name="_xlpm.year_steps_for_week" hidden="1" xlm="1">#NAME?</definedName>
    <definedName name="_xlpm.year_steps_for_weeks" hidden="1" xlm="1">#NAME?</definedName>
    <definedName name="CurrentDueDate">_xlfn.LAMBDA(_xlpm.account,VLOOKUP(_xlpm.account,#REF!,MATCH("Current (T) Due Date",#REF!,0),0))</definedName>
    <definedName name="CurrentPayment">_xlfn.LAMBDA(_xlpm.account,VLOOKUP(_xlpm.account,#REF!,MATCH("Current (T) Payment",#REF!,0),0))</definedName>
    <definedName name="Empower">_xlfn.LAMBDA(_xlpm.calc,     _xlfn.LET(_xlpm.category,INDEX(Recurring!$C$1:$C$50,ROW()),     _xlpm.recurrance,INDEX(Recurring!$E$1:$E$50,ROW()),    -INDEX('Ref Data'!$A$1:$N$33,       MATCH(_xlpm.category,'Ref Data'!$B$1:$B$33,0),       MATCH(_xlpm.recurrance&amp;"_"&amp;_xlpm.calc,'Ref Data'!$A$1:$N$1,0))) )</definedName>
    <definedName name="EndDayOfCurrentMonth">DAY(EOMONTH(TODAY(),0))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extDueDate">_xlfn.LAMBDA(_xlpm.account,VLOOKUP(_xlpm.account,#REF!,MATCH("T+1 Due Date",#REF!,0),0))</definedName>
    <definedName name="NextPayment">_xlfn.LAMBDA(_xlpm.account,VLOOKUP(_xlpm.account,#REF!,MATCH("T+1 Payment",#REF!,0),0))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8" l="1" a="1"/>
  <c r="I14" i="8" s="1"/>
  <c r="H4" i="85" a="1"/>
  <c r="H4" i="85" s="1"/>
  <c r="B1" i="65" a="1"/>
  <c r="B1" i="65" s="1"/>
  <c r="B2" i="81" a="1"/>
  <c r="B2" i="81" s="1"/>
  <c r="B1" i="81" a="1"/>
  <c r="B1" i="81" s="1"/>
  <c r="B4" i="80" a="1"/>
  <c r="B4" i="80" s="1"/>
  <c r="B3" i="80" a="1"/>
  <c r="B3" i="80" s="1"/>
  <c r="B2" i="80" a="1"/>
  <c r="B2" i="80" s="1"/>
  <c r="B1" i="63" a="1"/>
  <c r="B1" i="63" s="1"/>
  <c r="B4" i="24" a="1"/>
  <c r="B4" i="24" s="1"/>
  <c r="B3" i="24" a="1"/>
  <c r="B3" i="24" s="1"/>
  <c r="B2" i="24" a="1"/>
  <c r="B2" i="24" s="1"/>
  <c r="I4" i="8" a="1"/>
  <c r="I4" i="8" s="1"/>
  <c r="I5" i="8" a="1"/>
  <c r="I5" i="8" s="1"/>
  <c r="I6" i="8" a="1"/>
  <c r="I6" i="8" s="1"/>
  <c r="I7" i="8" a="1"/>
  <c r="I7" i="8" s="1"/>
  <c r="I8" i="8" a="1"/>
  <c r="I8" i="8" s="1"/>
  <c r="I9" i="8" a="1"/>
  <c r="I9" i="8" s="1"/>
  <c r="I11" i="8" a="1"/>
  <c r="I11" i="8" s="1"/>
  <c r="I12" i="8" a="1"/>
  <c r="I12" i="8" s="1"/>
  <c r="I13" i="8" a="1"/>
  <c r="I13" i="8" s="1"/>
  <c r="I15" i="8" a="1"/>
  <c r="I15" i="8" s="1"/>
  <c r="I16" i="8" a="1"/>
  <c r="I16" i="8" s="1"/>
  <c r="I17" i="8" a="1"/>
  <c r="I17" i="8" s="1"/>
  <c r="I18" i="8" a="1"/>
  <c r="I18" i="8" s="1"/>
  <c r="I19" i="8" a="1"/>
  <c r="I19" i="8" s="1"/>
  <c r="I20" i="8" a="1"/>
  <c r="I20" i="8" s="1"/>
  <c r="I21" i="8" a="1"/>
  <c r="I21" i="8" s="1"/>
  <c r="I22" i="8" a="1"/>
  <c r="I22" i="8" s="1"/>
  <c r="I23" i="8" a="1"/>
  <c r="I23" i="8" s="1"/>
  <c r="I24" i="8" a="1"/>
  <c r="I24" i="8" s="1"/>
  <c r="I25" i="8" a="1"/>
  <c r="I25" i="8" s="1"/>
  <c r="I26" i="8" a="1"/>
  <c r="I26" i="8" s="1"/>
  <c r="I27" i="8" a="1"/>
  <c r="I27" i="8" s="1"/>
  <c r="I28" i="8" a="1"/>
  <c r="I28" i="8" s="1"/>
  <c r="I29" i="8" a="1"/>
  <c r="I29" i="8" s="1"/>
  <c r="I30" i="8" a="1"/>
  <c r="I30" i="8" s="1"/>
  <c r="I31" i="8" a="1"/>
  <c r="I31" i="8" s="1"/>
  <c r="I32" i="8" a="1"/>
  <c r="I32" i="8" s="1"/>
  <c r="I33" i="8" a="1"/>
  <c r="I33" i="8" s="1"/>
  <c r="I34" i="8" a="1"/>
  <c r="I34" i="8" s="1"/>
  <c r="I35" i="8" a="1"/>
  <c r="I35" i="8" s="1"/>
  <c r="I36" i="8" a="1"/>
  <c r="I36" i="8" s="1"/>
  <c r="I37" i="8" a="1"/>
  <c r="I37" i="8" s="1"/>
  <c r="I38" i="8" a="1"/>
  <c r="I38" i="8" s="1"/>
  <c r="I39" i="8" a="1"/>
  <c r="I39" i="8" s="1"/>
  <c r="I40" i="8" a="1"/>
  <c r="I40" i="8" s="1"/>
  <c r="I41" i="8" a="1"/>
  <c r="I41" i="8" s="1"/>
  <c r="I42" i="8" a="1"/>
  <c r="I42" i="8" s="1"/>
  <c r="I43" i="8" a="1"/>
  <c r="I43" i="8" s="1"/>
  <c r="I44" i="8" a="1"/>
  <c r="I44" i="8" s="1"/>
  <c r="I45" i="8" a="1"/>
  <c r="I45" i="8" s="1"/>
  <c r="I46" i="8" a="1"/>
  <c r="I46" i="8" s="1"/>
  <c r="I47" i="8" a="1"/>
  <c r="I47" i="8" s="1"/>
  <c r="I48" i="8" a="1"/>
  <c r="I48" i="8" s="1"/>
  <c r="I49" i="8" a="1"/>
  <c r="I49" i="8" s="1"/>
  <c r="I50" i="8" a="1"/>
  <c r="I50" i="8" s="1"/>
  <c r="I51" i="8" a="1"/>
  <c r="I51" i="8" s="1"/>
  <c r="I52" i="8" a="1"/>
  <c r="I52" i="8" s="1"/>
  <c r="I53" i="8" a="1"/>
  <c r="I53" i="8" s="1"/>
  <c r="B2" i="55" a="1"/>
  <c r="B2" i="55" s="1"/>
  <c r="C91" i="5"/>
  <c r="D91" i="5" s="1"/>
  <c r="E91" i="5" s="1"/>
  <c r="F91" i="5" s="1"/>
  <c r="G91" i="5" s="1"/>
  <c r="H91" i="5" s="1"/>
  <c r="I91" i="5" s="1"/>
  <c r="J91" i="5" s="1"/>
  <c r="K91" i="5" s="1"/>
  <c r="L91" i="5" s="1"/>
  <c r="M91" i="5" s="1"/>
  <c r="N91" i="5" s="1"/>
  <c r="C16" i="86" l="1"/>
  <c r="C32" i="86"/>
  <c r="E15" i="86"/>
  <c r="E31" i="86"/>
  <c r="D16" i="86"/>
  <c r="D32" i="86"/>
  <c r="K20" i="86"/>
  <c r="K4" i="86"/>
  <c r="J20" i="86"/>
  <c r="J4" i="86"/>
  <c r="I20" i="86"/>
  <c r="I4" i="86"/>
  <c r="N20" i="86"/>
  <c r="N4" i="86"/>
  <c r="M20" i="86"/>
  <c r="M4" i="86"/>
  <c r="L20" i="86"/>
  <c r="L4" i="86"/>
  <c r="C17" i="86"/>
  <c r="E16" i="86"/>
  <c r="D17" i="86"/>
  <c r="D33" i="86"/>
  <c r="K19" i="86"/>
  <c r="J19" i="86"/>
  <c r="J3" i="86"/>
  <c r="I19" i="86"/>
  <c r="I3" i="86"/>
  <c r="N19" i="86"/>
  <c r="M19" i="86"/>
  <c r="M3" i="86"/>
  <c r="L3" i="86"/>
  <c r="J18" i="86"/>
  <c r="J2" i="86"/>
  <c r="I18" i="86"/>
  <c r="I2" i="86"/>
  <c r="N2" i="86"/>
  <c r="I33" i="86"/>
  <c r="N17" i="86"/>
  <c r="M15" i="86"/>
  <c r="C18" i="86"/>
  <c r="C2" i="86"/>
  <c r="E17" i="86"/>
  <c r="E33" i="86"/>
  <c r="D18" i="86"/>
  <c r="D2" i="86"/>
  <c r="K18" i="86"/>
  <c r="K2" i="86"/>
  <c r="M18" i="86"/>
  <c r="M2" i="86"/>
  <c r="L18" i="86"/>
  <c r="L2" i="86"/>
  <c r="L31" i="86"/>
  <c r="C3" i="86"/>
  <c r="C19" i="86"/>
  <c r="E2" i="86"/>
  <c r="C4" i="86"/>
  <c r="C20" i="86"/>
  <c r="E3" i="86"/>
  <c r="E19" i="86"/>
  <c r="L15" i="86"/>
  <c r="C5" i="86"/>
  <c r="C21" i="86"/>
  <c r="E4" i="86"/>
  <c r="E20" i="86"/>
  <c r="D5" i="86"/>
  <c r="D21" i="86"/>
  <c r="K31" i="86"/>
  <c r="K15" i="86"/>
  <c r="J31" i="86"/>
  <c r="J15" i="86"/>
  <c r="I31" i="86"/>
  <c r="I15" i="86"/>
  <c r="N31" i="86"/>
  <c r="N15" i="86"/>
  <c r="C6" i="86"/>
  <c r="C22" i="86"/>
  <c r="E5" i="86"/>
  <c r="E21" i="86"/>
  <c r="D6" i="86"/>
  <c r="D22" i="86"/>
  <c r="K30" i="86"/>
  <c r="K14" i="86"/>
  <c r="J30" i="86"/>
  <c r="J14" i="86"/>
  <c r="I30" i="86"/>
  <c r="I14" i="86"/>
  <c r="N30" i="86"/>
  <c r="N14" i="86"/>
  <c r="M30" i="86"/>
  <c r="M14" i="86"/>
  <c r="L30" i="86"/>
  <c r="L14" i="86"/>
  <c r="C7" i="86"/>
  <c r="C23" i="86"/>
  <c r="E6" i="86"/>
  <c r="E22" i="86"/>
  <c r="D7" i="86"/>
  <c r="D23" i="86"/>
  <c r="K29" i="86"/>
  <c r="K13" i="86"/>
  <c r="J29" i="86"/>
  <c r="J13" i="86"/>
  <c r="I29" i="86"/>
  <c r="I13" i="86"/>
  <c r="N29" i="86"/>
  <c r="N13" i="86"/>
  <c r="M29" i="86"/>
  <c r="M13" i="86"/>
  <c r="L29" i="86"/>
  <c r="L13" i="86"/>
  <c r="C8" i="86"/>
  <c r="C24" i="86"/>
  <c r="E7" i="86"/>
  <c r="E23" i="86"/>
  <c r="D8" i="86"/>
  <c r="D24" i="86"/>
  <c r="K28" i="86"/>
  <c r="K12" i="86"/>
  <c r="J28" i="86"/>
  <c r="J12" i="86"/>
  <c r="I28" i="86"/>
  <c r="I12" i="86"/>
  <c r="N28" i="86"/>
  <c r="N12" i="86"/>
  <c r="M28" i="86"/>
  <c r="M12" i="86"/>
  <c r="L28" i="86"/>
  <c r="L12" i="86"/>
  <c r="K11" i="86"/>
  <c r="N11" i="86"/>
  <c r="N10" i="86"/>
  <c r="N6" i="86"/>
  <c r="M33" i="86"/>
  <c r="M17" i="86"/>
  <c r="L33" i="86"/>
  <c r="L17" i="86"/>
  <c r="D20" i="86"/>
  <c r="J32" i="86"/>
  <c r="J16" i="86"/>
  <c r="I32" i="86"/>
  <c r="I16" i="86"/>
  <c r="N32" i="86"/>
  <c r="C9" i="86"/>
  <c r="C25" i="86"/>
  <c r="E8" i="86"/>
  <c r="E24" i="86"/>
  <c r="D9" i="86"/>
  <c r="D25" i="86"/>
  <c r="K27" i="86"/>
  <c r="J27" i="86"/>
  <c r="J11" i="86"/>
  <c r="I27" i="86"/>
  <c r="I11" i="86"/>
  <c r="N27" i="86"/>
  <c r="M27" i="86"/>
  <c r="M11" i="86"/>
  <c r="L27" i="86"/>
  <c r="L11" i="86"/>
  <c r="M26" i="86"/>
  <c r="M10" i="86"/>
  <c r="L26" i="86"/>
  <c r="L10" i="86"/>
  <c r="M22" i="86"/>
  <c r="M6" i="86"/>
  <c r="D30" i="8" s="1" a="1"/>
  <c r="D30" i="8" s="1"/>
  <c r="L22" i="86"/>
  <c r="L6" i="86"/>
  <c r="E18" i="86"/>
  <c r="K32" i="86"/>
  <c r="C10" i="86"/>
  <c r="C26" i="86"/>
  <c r="E9" i="86"/>
  <c r="E25" i="86"/>
  <c r="D10" i="86"/>
  <c r="D26" i="86"/>
  <c r="K26" i="86"/>
  <c r="K10" i="86"/>
  <c r="J26" i="86"/>
  <c r="J10" i="86"/>
  <c r="I26" i="86"/>
  <c r="I10" i="86"/>
  <c r="N26" i="86"/>
  <c r="J17" i="86"/>
  <c r="M31" i="86"/>
  <c r="C11" i="86"/>
  <c r="C27" i="86"/>
  <c r="E10" i="86"/>
  <c r="E26" i="86"/>
  <c r="D11" i="86"/>
  <c r="D27" i="86"/>
  <c r="K25" i="86"/>
  <c r="K9" i="86"/>
  <c r="J25" i="86"/>
  <c r="J9" i="86"/>
  <c r="I25" i="86"/>
  <c r="I9" i="86"/>
  <c r="N25" i="86"/>
  <c r="N9" i="86"/>
  <c r="M25" i="86"/>
  <c r="M9" i="86"/>
  <c r="L25" i="86"/>
  <c r="L9" i="86"/>
  <c r="J23" i="86"/>
  <c r="I23" i="86"/>
  <c r="I7" i="86"/>
  <c r="N23" i="86"/>
  <c r="C14" i="86"/>
  <c r="E13" i="86"/>
  <c r="K6" i="86"/>
  <c r="K17" i="86"/>
  <c r="M16" i="86"/>
  <c r="C12" i="86"/>
  <c r="C28" i="86"/>
  <c r="E11" i="86"/>
  <c r="E27" i="86"/>
  <c r="D12" i="86"/>
  <c r="D28" i="86"/>
  <c r="K24" i="86"/>
  <c r="K8" i="86"/>
  <c r="J24" i="86"/>
  <c r="J8" i="86"/>
  <c r="I24" i="86"/>
  <c r="I8" i="86"/>
  <c r="N24" i="86"/>
  <c r="N8" i="86"/>
  <c r="M24" i="86"/>
  <c r="M8" i="86"/>
  <c r="L24" i="86"/>
  <c r="L8" i="86"/>
  <c r="J7" i="86"/>
  <c r="N7" i="86"/>
  <c r="C30" i="86"/>
  <c r="E29" i="86"/>
  <c r="J22" i="86"/>
  <c r="J6" i="86"/>
  <c r="I22" i="86"/>
  <c r="I6" i="86"/>
  <c r="N22" i="86"/>
  <c r="D3" i="86"/>
  <c r="D19" i="86"/>
  <c r="K33" i="86"/>
  <c r="K16" i="86"/>
  <c r="C13" i="86"/>
  <c r="C29" i="86"/>
  <c r="E12" i="86"/>
  <c r="E28" i="86"/>
  <c r="D13" i="86"/>
  <c r="D29" i="86"/>
  <c r="K23" i="86"/>
  <c r="K7" i="86"/>
  <c r="M23" i="86"/>
  <c r="M7" i="86"/>
  <c r="L23" i="86"/>
  <c r="L7" i="86"/>
  <c r="D14" i="86"/>
  <c r="D30" i="86"/>
  <c r="K22" i="86"/>
  <c r="D4" i="86"/>
  <c r="N16" i="86"/>
  <c r="C15" i="86"/>
  <c r="C31" i="86"/>
  <c r="E14" i="86"/>
  <c r="E30" i="86"/>
  <c r="D15" i="86"/>
  <c r="D31" i="86"/>
  <c r="K21" i="86"/>
  <c r="K5" i="86"/>
  <c r="J21" i="86"/>
  <c r="J5" i="86"/>
  <c r="I21" i="86"/>
  <c r="I5" i="86"/>
  <c r="N21" i="86"/>
  <c r="N5" i="86"/>
  <c r="M21" i="86"/>
  <c r="M5" i="86"/>
  <c r="L21" i="86"/>
  <c r="L5" i="86"/>
  <c r="C33" i="86"/>
  <c r="E32" i="86"/>
  <c r="K3" i="86"/>
  <c r="N3" i="86"/>
  <c r="L19" i="86"/>
  <c r="N18" i="86"/>
  <c r="J33" i="86"/>
  <c r="I17" i="86"/>
  <c r="N33" i="86"/>
  <c r="M32" i="86"/>
  <c r="L32" i="86"/>
  <c r="L16" i="86"/>
  <c r="F262" i="65"/>
  <c r="E365" i="65"/>
  <c r="C364" i="65"/>
  <c r="C369" i="65"/>
  <c r="F368" i="65"/>
  <c r="E314" i="65"/>
  <c r="E368" i="65"/>
  <c r="L362" i="65"/>
  <c r="E3" i="65"/>
  <c r="C368" i="65"/>
  <c r="L367" i="65"/>
  <c r="F361" i="65"/>
  <c r="E361" i="65"/>
  <c r="L360" i="65"/>
  <c r="E366" i="65"/>
  <c r="E359" i="65"/>
  <c r="L369" i="65"/>
  <c r="C3" i="65"/>
  <c r="F367" i="65"/>
  <c r="C363" i="65"/>
  <c r="L361" i="65"/>
  <c r="F360" i="65"/>
  <c r="L351" i="65"/>
  <c r="E367" i="65"/>
  <c r="F364" i="65"/>
  <c r="L358" i="65"/>
  <c r="E357" i="65"/>
  <c r="L353" i="65"/>
  <c r="E351" i="65"/>
  <c r="L325" i="65"/>
  <c r="L365" i="65"/>
  <c r="E306" i="65"/>
  <c r="C256" i="65"/>
  <c r="C367" i="65"/>
  <c r="E364" i="65"/>
  <c r="C360" i="65"/>
  <c r="C357" i="65"/>
  <c r="E355" i="65"/>
  <c r="L341" i="65"/>
  <c r="C305" i="65"/>
  <c r="E322" i="65"/>
  <c r="L282" i="65"/>
  <c r="L248" i="65"/>
  <c r="C355" i="65"/>
  <c r="C353" i="65"/>
  <c r="C321" i="65"/>
  <c r="E241" i="65"/>
  <c r="L366" i="65"/>
  <c r="F365" i="65"/>
  <c r="C361" i="65"/>
  <c r="L359" i="65"/>
  <c r="E358" i="65"/>
  <c r="C350" i="65"/>
  <c r="E338" i="65"/>
  <c r="L301" i="65"/>
  <c r="F279" i="65"/>
  <c r="C337" i="65"/>
  <c r="L277" i="65"/>
  <c r="F188" i="65"/>
  <c r="C365" i="65"/>
  <c r="C358" i="65"/>
  <c r="L349" i="65"/>
  <c r="L317" i="65"/>
  <c r="L3" i="65"/>
  <c r="F369" i="65"/>
  <c r="L363" i="65"/>
  <c r="E362" i="65"/>
  <c r="F356" i="65"/>
  <c r="L352" i="65"/>
  <c r="E298" i="65"/>
  <c r="E369" i="65"/>
  <c r="C362" i="65"/>
  <c r="F359" i="65"/>
  <c r="E356" i="65"/>
  <c r="L354" i="65"/>
  <c r="L333" i="65"/>
  <c r="C297" i="65"/>
  <c r="L272" i="65"/>
  <c r="C271" i="65"/>
  <c r="C356" i="65"/>
  <c r="C313" i="65"/>
  <c r="L357" i="65"/>
  <c r="E354" i="65"/>
  <c r="C366" i="65"/>
  <c r="E363" i="65"/>
  <c r="C359" i="65"/>
  <c r="C354" i="65"/>
  <c r="F352" i="65"/>
  <c r="E348" i="65"/>
  <c r="E330" i="65"/>
  <c r="L364" i="65"/>
  <c r="C329" i="65"/>
  <c r="F292" i="65"/>
  <c r="C266" i="65"/>
  <c r="E346" i="65"/>
  <c r="L309" i="65"/>
  <c r="E264" i="65"/>
  <c r="L368" i="65"/>
  <c r="E360" i="65"/>
  <c r="F357" i="65"/>
  <c r="F351" i="65"/>
  <c r="C345" i="65"/>
  <c r="E289" i="65"/>
  <c r="F10" i="65"/>
  <c r="L4" i="65"/>
  <c r="C8" i="65"/>
  <c r="E9" i="65"/>
  <c r="L12" i="65"/>
  <c r="C16" i="65"/>
  <c r="F9" i="65"/>
  <c r="C7" i="65"/>
  <c r="E8" i="65"/>
  <c r="L11" i="65"/>
  <c r="C15" i="65"/>
  <c r="E16" i="65"/>
  <c r="L19" i="65"/>
  <c r="C23" i="65"/>
  <c r="E24" i="65"/>
  <c r="L27" i="65"/>
  <c r="C31" i="65"/>
  <c r="E32" i="65"/>
  <c r="L35" i="65"/>
  <c r="C39" i="65"/>
  <c r="E40" i="65"/>
  <c r="L43" i="65"/>
  <c r="C47" i="65"/>
  <c r="E48" i="65"/>
  <c r="F8" i="65"/>
  <c r="C6" i="65"/>
  <c r="E7" i="65"/>
  <c r="L10" i="65"/>
  <c r="C14" i="65"/>
  <c r="E15" i="65"/>
  <c r="F7" i="65"/>
  <c r="C5" i="65"/>
  <c r="E6" i="65"/>
  <c r="L9" i="65"/>
  <c r="C13" i="65"/>
  <c r="E14" i="65"/>
  <c r="F6" i="65"/>
  <c r="F14" i="65"/>
  <c r="F22" i="65"/>
  <c r="F30" i="65"/>
  <c r="F38" i="65"/>
  <c r="F46" i="65"/>
  <c r="F54" i="65"/>
  <c r="F62" i="65"/>
  <c r="F70" i="65"/>
  <c r="F78" i="65"/>
  <c r="F86" i="65"/>
  <c r="F94" i="65"/>
  <c r="C4" i="65"/>
  <c r="E5" i="65"/>
  <c r="L8" i="65"/>
  <c r="C12" i="65"/>
  <c r="E13" i="65"/>
  <c r="F5" i="65"/>
  <c r="F13" i="65"/>
  <c r="E4" i="65"/>
  <c r="L7" i="65"/>
  <c r="C11" i="65"/>
  <c r="E12" i="65"/>
  <c r="L15" i="65"/>
  <c r="F4" i="65"/>
  <c r="F12" i="65"/>
  <c r="F20" i="65"/>
  <c r="F28" i="65"/>
  <c r="F36" i="65"/>
  <c r="F44" i="65"/>
  <c r="L6" i="65"/>
  <c r="C10" i="65"/>
  <c r="E11" i="65"/>
  <c r="L5" i="65"/>
  <c r="C9" i="65"/>
  <c r="E10" i="65"/>
  <c r="L13" i="65"/>
  <c r="C17" i="65"/>
  <c r="E18" i="65"/>
  <c r="L21" i="65"/>
  <c r="C25" i="65"/>
  <c r="E26" i="65"/>
  <c r="L29" i="65"/>
  <c r="C33" i="65"/>
  <c r="E34" i="65"/>
  <c r="L37" i="65"/>
  <c r="C41" i="65"/>
  <c r="E42" i="65"/>
  <c r="L45" i="65"/>
  <c r="C49" i="65"/>
  <c r="E50" i="65"/>
  <c r="L53" i="65"/>
  <c r="C57" i="65"/>
  <c r="E58" i="65"/>
  <c r="L61" i="65"/>
  <c r="C65" i="65"/>
  <c r="E66" i="65"/>
  <c r="L69" i="65"/>
  <c r="C73" i="65"/>
  <c r="E74" i="65"/>
  <c r="L77" i="65"/>
  <c r="C81" i="65"/>
  <c r="E82" i="65"/>
  <c r="L85" i="65"/>
  <c r="C89" i="65"/>
  <c r="E90" i="65"/>
  <c r="L93" i="65"/>
  <c r="C97" i="65"/>
  <c r="E98" i="65"/>
  <c r="F18" i="65"/>
  <c r="F21" i="65"/>
  <c r="C38" i="65"/>
  <c r="L42" i="65"/>
  <c r="E47" i="65"/>
  <c r="C54" i="65"/>
  <c r="L16" i="65"/>
  <c r="C32" i="65"/>
  <c r="C35" i="65"/>
  <c r="L36" i="65"/>
  <c r="L39" i="65"/>
  <c r="E41" i="65"/>
  <c r="E44" i="65"/>
  <c r="F47" i="65"/>
  <c r="F50" i="65"/>
  <c r="C26" i="65"/>
  <c r="C29" i="65"/>
  <c r="L30" i="65"/>
  <c r="L33" i="65"/>
  <c r="E35" i="65"/>
  <c r="E38" i="65"/>
  <c r="F41" i="65"/>
  <c r="L51" i="65"/>
  <c r="C20" i="65"/>
  <c r="L24" i="65"/>
  <c r="E29" i="65"/>
  <c r="F32" i="65"/>
  <c r="F35" i="65"/>
  <c r="L55" i="65"/>
  <c r="F58" i="65"/>
  <c r="C66" i="65"/>
  <c r="F71" i="65"/>
  <c r="L72" i="65"/>
  <c r="E75" i="65"/>
  <c r="C83" i="65"/>
  <c r="F88" i="65"/>
  <c r="E92" i="65"/>
  <c r="C100" i="65"/>
  <c r="L103" i="65"/>
  <c r="C107" i="65"/>
  <c r="E108" i="65"/>
  <c r="L111" i="65"/>
  <c r="L14" i="65"/>
  <c r="L18" i="65"/>
  <c r="E23" i="65"/>
  <c r="F26" i="65"/>
  <c r="F29" i="65"/>
  <c r="E20" i="65"/>
  <c r="F23" i="65"/>
  <c r="C40" i="65"/>
  <c r="C43" i="65"/>
  <c r="L44" i="65"/>
  <c r="L47" i="65"/>
  <c r="E17" i="65"/>
  <c r="C34" i="65"/>
  <c r="C37" i="65"/>
  <c r="L38" i="65"/>
  <c r="L41" i="65"/>
  <c r="E43" i="65"/>
  <c r="E46" i="65"/>
  <c r="F49" i="65"/>
  <c r="L50" i="65"/>
  <c r="F53" i="65"/>
  <c r="E57" i="65"/>
  <c r="C61" i="65"/>
  <c r="L67" i="65"/>
  <c r="E70" i="65"/>
  <c r="C78" i="65"/>
  <c r="F83" i="65"/>
  <c r="L84" i="65"/>
  <c r="E87" i="65"/>
  <c r="F17" i="65"/>
  <c r="C28" i="65"/>
  <c r="L32" i="65"/>
  <c r="E37" i="65"/>
  <c r="F40" i="65"/>
  <c r="F43" i="65"/>
  <c r="C52" i="65"/>
  <c r="L54" i="65"/>
  <c r="F57" i="65"/>
  <c r="E61" i="65"/>
  <c r="L71" i="65"/>
  <c r="F74" i="65"/>
  <c r="C82" i="65"/>
  <c r="F15" i="65"/>
  <c r="C22" i="65"/>
  <c r="L26" i="65"/>
  <c r="E31" i="65"/>
  <c r="F34" i="65"/>
  <c r="F37" i="65"/>
  <c r="C56" i="65"/>
  <c r="L58" i="65"/>
  <c r="F61" i="65"/>
  <c r="E65" i="65"/>
  <c r="C69" i="65"/>
  <c r="L75" i="65"/>
  <c r="E78" i="65"/>
  <c r="C86" i="65"/>
  <c r="F91" i="65"/>
  <c r="L92" i="65"/>
  <c r="E95" i="65"/>
  <c r="F106" i="65"/>
  <c r="F114" i="65"/>
  <c r="F122" i="65"/>
  <c r="F130" i="65"/>
  <c r="F138" i="65"/>
  <c r="F146" i="65"/>
  <c r="F154" i="65"/>
  <c r="F162" i="65"/>
  <c r="F170" i="65"/>
  <c r="F178" i="65"/>
  <c r="F186" i="65"/>
  <c r="F194" i="65"/>
  <c r="F202" i="65"/>
  <c r="F210" i="65"/>
  <c r="F218" i="65"/>
  <c r="C19" i="65"/>
  <c r="L20" i="65"/>
  <c r="L23" i="65"/>
  <c r="E25" i="65"/>
  <c r="E28" i="65"/>
  <c r="F31" i="65"/>
  <c r="C48" i="65"/>
  <c r="E52" i="65"/>
  <c r="E19" i="65"/>
  <c r="E22" i="65"/>
  <c r="F25" i="65"/>
  <c r="C42" i="65"/>
  <c r="C45" i="65"/>
  <c r="L46" i="65"/>
  <c r="L49" i="65"/>
  <c r="F52" i="65"/>
  <c r="E56" i="65"/>
  <c r="L17" i="65"/>
  <c r="F19" i="65"/>
  <c r="C36" i="65"/>
  <c r="L40" i="65"/>
  <c r="E45" i="65"/>
  <c r="F48" i="65"/>
  <c r="C51" i="65"/>
  <c r="C30" i="65"/>
  <c r="L34" i="65"/>
  <c r="E39" i="65"/>
  <c r="F42" i="65"/>
  <c r="F45" i="65"/>
  <c r="C55" i="65"/>
  <c r="L57" i="65"/>
  <c r="F60" i="65"/>
  <c r="E64" i="65"/>
  <c r="C72" i="65"/>
  <c r="L74" i="65"/>
  <c r="F77" i="65"/>
  <c r="E81" i="65"/>
  <c r="C85" i="65"/>
  <c r="L91" i="65"/>
  <c r="E94" i="65"/>
  <c r="F104" i="65"/>
  <c r="F112" i="65"/>
  <c r="F11" i="65"/>
  <c r="E21" i="65"/>
  <c r="F24" i="65"/>
  <c r="F27" i="65"/>
  <c r="C44" i="65"/>
  <c r="L48" i="65"/>
  <c r="C50" i="65"/>
  <c r="F55" i="65"/>
  <c r="L56" i="65"/>
  <c r="E59" i="65"/>
  <c r="C67" i="65"/>
  <c r="F72" i="65"/>
  <c r="E76" i="65"/>
  <c r="C84" i="65"/>
  <c r="L86" i="65"/>
  <c r="F89" i="65"/>
  <c r="E93" i="65"/>
  <c r="E102" i="65"/>
  <c r="L105" i="65"/>
  <c r="C109" i="65"/>
  <c r="E110" i="65"/>
  <c r="L113" i="65"/>
  <c r="C117" i="65"/>
  <c r="E118" i="65"/>
  <c r="L121" i="65"/>
  <c r="C125" i="65"/>
  <c r="E126" i="65"/>
  <c r="L129" i="65"/>
  <c r="C133" i="65"/>
  <c r="E134" i="65"/>
  <c r="L137" i="65"/>
  <c r="C141" i="65"/>
  <c r="E142" i="65"/>
  <c r="L145" i="65"/>
  <c r="C149" i="65"/>
  <c r="E150" i="65"/>
  <c r="L153" i="65"/>
  <c r="C157" i="65"/>
  <c r="E158" i="65"/>
  <c r="L161" i="65"/>
  <c r="C165" i="65"/>
  <c r="E166" i="65"/>
  <c r="L169" i="65"/>
  <c r="C173" i="65"/>
  <c r="E174" i="65"/>
  <c r="L177" i="65"/>
  <c r="C181" i="65"/>
  <c r="E182" i="65"/>
  <c r="L185" i="65"/>
  <c r="C189" i="65"/>
  <c r="E190" i="65"/>
  <c r="L193" i="65"/>
  <c r="C197" i="65"/>
  <c r="E198" i="65"/>
  <c r="L201" i="65"/>
  <c r="C205" i="65"/>
  <c r="E206" i="65"/>
  <c r="L209" i="65"/>
  <c r="C213" i="65"/>
  <c r="E214" i="65"/>
  <c r="L217" i="65"/>
  <c r="C221" i="65"/>
  <c r="E222" i="65"/>
  <c r="F51" i="65"/>
  <c r="L66" i="65"/>
  <c r="L68" i="65"/>
  <c r="C77" i="65"/>
  <c r="C79" i="65"/>
  <c r="F81" i="65"/>
  <c r="E83" i="65"/>
  <c r="E85" i="65"/>
  <c r="C87" i="65"/>
  <c r="L97" i="65"/>
  <c r="E101" i="65"/>
  <c r="E104" i="65"/>
  <c r="F107" i="65"/>
  <c r="C116" i="65"/>
  <c r="L118" i="65"/>
  <c r="F121" i="65"/>
  <c r="E125" i="65"/>
  <c r="C129" i="65"/>
  <c r="L135" i="65"/>
  <c r="E138" i="65"/>
  <c r="C146" i="65"/>
  <c r="F151" i="65"/>
  <c r="L152" i="65"/>
  <c r="E155" i="65"/>
  <c r="C163" i="65"/>
  <c r="L165" i="65"/>
  <c r="F168" i="65"/>
  <c r="E33" i="65"/>
  <c r="L62" i="65"/>
  <c r="L64" i="65"/>
  <c r="C75" i="65"/>
  <c r="E77" i="65"/>
  <c r="E79" i="65"/>
  <c r="F85" i="65"/>
  <c r="C96" i="65"/>
  <c r="F101" i="65"/>
  <c r="C21" i="65"/>
  <c r="F33" i="65"/>
  <c r="L60" i="65"/>
  <c r="C71" i="65"/>
  <c r="E73" i="65"/>
  <c r="F79" i="65"/>
  <c r="F87" i="65"/>
  <c r="E89" i="65"/>
  <c r="E96" i="65"/>
  <c r="L99" i="65"/>
  <c r="C112" i="65"/>
  <c r="E116" i="65"/>
  <c r="C46" i="65"/>
  <c r="F56" i="65"/>
  <c r="E69" i="65"/>
  <c r="F73" i="65"/>
  <c r="F75" i="65"/>
  <c r="L79" i="65"/>
  <c r="L83" i="65"/>
  <c r="C91" i="65"/>
  <c r="F96" i="65"/>
  <c r="L22" i="65"/>
  <c r="L52" i="65"/>
  <c r="F69" i="65"/>
  <c r="E71" i="65"/>
  <c r="L81" i="65"/>
  <c r="L94" i="65"/>
  <c r="C98" i="65"/>
  <c r="C103" i="65"/>
  <c r="L104" i="65"/>
  <c r="C24" i="65"/>
  <c r="E36" i="65"/>
  <c r="C53" i="65"/>
  <c r="C63" i="65"/>
  <c r="F65" i="65"/>
  <c r="E67" i="65"/>
  <c r="L87" i="65"/>
  <c r="E91" i="65"/>
  <c r="F98" i="65"/>
  <c r="L101" i="65"/>
  <c r="E103" i="65"/>
  <c r="E106" i="65"/>
  <c r="F109" i="65"/>
  <c r="C119" i="65"/>
  <c r="F124" i="65"/>
  <c r="E128" i="65"/>
  <c r="C136" i="65"/>
  <c r="E53" i="65"/>
  <c r="C59" i="65"/>
  <c r="E63" i="65"/>
  <c r="F67" i="65"/>
  <c r="L73" i="65"/>
  <c r="L89" i="65"/>
  <c r="C93" i="65"/>
  <c r="L96" i="65"/>
  <c r="F103" i="65"/>
  <c r="E115" i="65"/>
  <c r="C123" i="65"/>
  <c r="L125" i="65"/>
  <c r="F128" i="65"/>
  <c r="E132" i="65"/>
  <c r="C140" i="65"/>
  <c r="L142" i="65"/>
  <c r="F63" i="65"/>
  <c r="C80" i="65"/>
  <c r="F82" i="65"/>
  <c r="F93" i="65"/>
  <c r="E100" i="65"/>
  <c r="L25" i="65"/>
  <c r="F59" i="65"/>
  <c r="C76" i="65"/>
  <c r="E80" i="65"/>
  <c r="E84" i="65"/>
  <c r="C88" i="65"/>
  <c r="C95" i="65"/>
  <c r="F100" i="65"/>
  <c r="C108" i="65"/>
  <c r="C111" i="65"/>
  <c r="L112" i="65"/>
  <c r="C114" i="65"/>
  <c r="F119" i="65"/>
  <c r="L120" i="65"/>
  <c r="E123" i="65"/>
  <c r="C131" i="65"/>
  <c r="L133" i="65"/>
  <c r="F136" i="65"/>
  <c r="E140" i="65"/>
  <c r="C148" i="65"/>
  <c r="L150" i="65"/>
  <c r="F153" i="65"/>
  <c r="E157" i="65"/>
  <c r="C161" i="65"/>
  <c r="L167" i="65"/>
  <c r="C27" i="65"/>
  <c r="F39" i="65"/>
  <c r="L65" i="65"/>
  <c r="F80" i="65"/>
  <c r="F84" i="65"/>
  <c r="E86" i="65"/>
  <c r="L98" i="65"/>
  <c r="C102" i="65"/>
  <c r="C105" i="65"/>
  <c r="L106" i="65"/>
  <c r="L109" i="65"/>
  <c r="E111" i="65"/>
  <c r="E27" i="65"/>
  <c r="E49" i="65"/>
  <c r="E54" i="65"/>
  <c r="L63" i="65"/>
  <c r="C74" i="65"/>
  <c r="F76" i="65"/>
  <c r="E88" i="65"/>
  <c r="C90" i="65"/>
  <c r="F95" i="65"/>
  <c r="E105" i="65"/>
  <c r="F108" i="65"/>
  <c r="F111" i="65"/>
  <c r="E114" i="65"/>
  <c r="F16" i="65"/>
  <c r="L28" i="65"/>
  <c r="L59" i="65"/>
  <c r="C68" i="65"/>
  <c r="C70" i="65"/>
  <c r="E72" i="65"/>
  <c r="L82" i="65"/>
  <c r="E97" i="65"/>
  <c r="L100" i="65"/>
  <c r="F102" i="65"/>
  <c r="C64" i="65"/>
  <c r="E68" i="65"/>
  <c r="L78" i="65"/>
  <c r="L80" i="65"/>
  <c r="F90" i="65"/>
  <c r="C92" i="65"/>
  <c r="F97" i="65"/>
  <c r="L119" i="65"/>
  <c r="E122" i="65"/>
  <c r="C130" i="65"/>
  <c r="F135" i="65"/>
  <c r="L136" i="65"/>
  <c r="E139" i="65"/>
  <c r="C147" i="65"/>
  <c r="L149" i="65"/>
  <c r="F152" i="65"/>
  <c r="E156" i="65"/>
  <c r="C164" i="65"/>
  <c r="L166" i="65"/>
  <c r="F169" i="65"/>
  <c r="E173" i="65"/>
  <c r="C177" i="65"/>
  <c r="C60" i="65"/>
  <c r="F68" i="65"/>
  <c r="L76" i="65"/>
  <c r="L88" i="65"/>
  <c r="L95" i="65"/>
  <c r="C99" i="65"/>
  <c r="C110" i="65"/>
  <c r="C113" i="65"/>
  <c r="L123" i="65"/>
  <c r="F126" i="65"/>
  <c r="C134" i="65"/>
  <c r="F139" i="65"/>
  <c r="L140" i="65"/>
  <c r="E143" i="65"/>
  <c r="C151" i="65"/>
  <c r="F156" i="65"/>
  <c r="E160" i="65"/>
  <c r="C168" i="65"/>
  <c r="L170" i="65"/>
  <c r="F173" i="65"/>
  <c r="E177" i="65"/>
  <c r="E51" i="65"/>
  <c r="L70" i="65"/>
  <c r="C101" i="65"/>
  <c r="L107" i="65"/>
  <c r="L117" i="65"/>
  <c r="C124" i="65"/>
  <c r="C126" i="65"/>
  <c r="E144" i="65"/>
  <c r="E151" i="65"/>
  <c r="L154" i="65"/>
  <c r="L168" i="65"/>
  <c r="C170" i="65"/>
  <c r="L174" i="65"/>
  <c r="E180" i="65"/>
  <c r="C188" i="65"/>
  <c r="L190" i="65"/>
  <c r="L115" i="65"/>
  <c r="C120" i="65"/>
  <c r="C122" i="65"/>
  <c r="F144" i="65"/>
  <c r="L156" i="65"/>
  <c r="F158" i="65"/>
  <c r="E165" i="65"/>
  <c r="C167" i="65"/>
  <c r="L171" i="65"/>
  <c r="E176" i="65"/>
  <c r="F180" i="65"/>
  <c r="E184" i="65"/>
  <c r="C192" i="65"/>
  <c r="E55" i="65"/>
  <c r="L102" i="65"/>
  <c r="E112" i="65"/>
  <c r="C118" i="65"/>
  <c r="E124" i="65"/>
  <c r="L132" i="65"/>
  <c r="L134" i="65"/>
  <c r="L138" i="65"/>
  <c r="E146" i="65"/>
  <c r="C153" i="65"/>
  <c r="C160" i="65"/>
  <c r="F165" i="65"/>
  <c r="E170" i="65"/>
  <c r="F176" i="65"/>
  <c r="C179" i="65"/>
  <c r="L181" i="65"/>
  <c r="F184" i="65"/>
  <c r="E188" i="65"/>
  <c r="C196" i="65"/>
  <c r="L108" i="65"/>
  <c r="E120" i="65"/>
  <c r="L128" i="65"/>
  <c r="L130" i="65"/>
  <c r="L144" i="65"/>
  <c r="E153" i="65"/>
  <c r="C155" i="65"/>
  <c r="F160" i="65"/>
  <c r="L163" i="65"/>
  <c r="E167" i="65"/>
  <c r="C183" i="65"/>
  <c r="C58" i="65"/>
  <c r="L90" i="65"/>
  <c r="C104" i="65"/>
  <c r="F118" i="65"/>
  <c r="F120" i="65"/>
  <c r="L124" i="65"/>
  <c r="L126" i="65"/>
  <c r="C135" i="65"/>
  <c r="C137" i="65"/>
  <c r="L151" i="65"/>
  <c r="C162" i="65"/>
  <c r="F167" i="65"/>
  <c r="C172" i="65"/>
  <c r="E179" i="65"/>
  <c r="C187" i="65"/>
  <c r="L189" i="65"/>
  <c r="F92" i="65"/>
  <c r="E113" i="65"/>
  <c r="F116" i="65"/>
  <c r="L122" i="65"/>
  <c r="E137" i="65"/>
  <c r="C139" i="65"/>
  <c r="E148" i="65"/>
  <c r="C150" i="65"/>
  <c r="F155" i="65"/>
  <c r="L158" i="65"/>
  <c r="C175" i="65"/>
  <c r="F179" i="65"/>
  <c r="L180" i="65"/>
  <c r="E183" i="65"/>
  <c r="C191" i="65"/>
  <c r="F196" i="65"/>
  <c r="E200" i="65"/>
  <c r="C208" i="65"/>
  <c r="L210" i="65"/>
  <c r="F213" i="65"/>
  <c r="E217" i="65"/>
  <c r="C226" i="65"/>
  <c r="E227" i="65"/>
  <c r="L230" i="65"/>
  <c r="C234" i="65"/>
  <c r="E60" i="65"/>
  <c r="E109" i="65"/>
  <c r="F113" i="65"/>
  <c r="E133" i="65"/>
  <c r="E135" i="65"/>
  <c r="F137" i="65"/>
  <c r="F148" i="65"/>
  <c r="L160" i="65"/>
  <c r="E162" i="65"/>
  <c r="C169" i="65"/>
  <c r="E172" i="65"/>
  <c r="L173" i="65"/>
  <c r="L176" i="65"/>
  <c r="C178" i="65"/>
  <c r="F183" i="65"/>
  <c r="L184" i="65"/>
  <c r="E187" i="65"/>
  <c r="C195" i="65"/>
  <c r="L197" i="65"/>
  <c r="F200" i="65"/>
  <c r="E204" i="65"/>
  <c r="C212" i="65"/>
  <c r="L214" i="65"/>
  <c r="F217" i="65"/>
  <c r="E221" i="65"/>
  <c r="F227" i="65"/>
  <c r="C62" i="65"/>
  <c r="F105" i="65"/>
  <c r="L116" i="65"/>
  <c r="C127" i="65"/>
  <c r="E129" i="65"/>
  <c r="E131" i="65"/>
  <c r="F133" i="65"/>
  <c r="E141" i="65"/>
  <c r="C143" i="65"/>
  <c r="L146" i="65"/>
  <c r="F150" i="65"/>
  <c r="E164" i="65"/>
  <c r="E169" i="65"/>
  <c r="F172" i="65"/>
  <c r="E175" i="65"/>
  <c r="C182" i="65"/>
  <c r="F187" i="65"/>
  <c r="L188" i="65"/>
  <c r="E191" i="65"/>
  <c r="E62" i="65"/>
  <c r="C94" i="65"/>
  <c r="E127" i="65"/>
  <c r="F129" i="65"/>
  <c r="F131" i="65"/>
  <c r="F141" i="65"/>
  <c r="F143" i="65"/>
  <c r="C145" i="65"/>
  <c r="L148" i="65"/>
  <c r="C152" i="65"/>
  <c r="F157" i="65"/>
  <c r="C159" i="65"/>
  <c r="F164" i="65"/>
  <c r="F175" i="65"/>
  <c r="E178" i="65"/>
  <c r="C186" i="65"/>
  <c r="C18" i="65"/>
  <c r="F64" i="65"/>
  <c r="C121" i="65"/>
  <c r="F125" i="65"/>
  <c r="F127" i="65"/>
  <c r="L139" i="65"/>
  <c r="E145" i="65"/>
  <c r="L155" i="65"/>
  <c r="E159" i="65"/>
  <c r="C166" i="65"/>
  <c r="L179" i="65"/>
  <c r="F182" i="65"/>
  <c r="C190" i="65"/>
  <c r="C106" i="65"/>
  <c r="F110" i="65"/>
  <c r="E121" i="65"/>
  <c r="F123" i="65"/>
  <c r="L131" i="65"/>
  <c r="F145" i="65"/>
  <c r="E152" i="65"/>
  <c r="C154" i="65"/>
  <c r="F159" i="65"/>
  <c r="L162" i="65"/>
  <c r="C171" i="65"/>
  <c r="L183" i="65"/>
  <c r="E186" i="65"/>
  <c r="E30" i="65"/>
  <c r="F66" i="65"/>
  <c r="L110" i="65"/>
  <c r="E117" i="65"/>
  <c r="E119" i="65"/>
  <c r="L127" i="65"/>
  <c r="L141" i="65"/>
  <c r="L143" i="65"/>
  <c r="E147" i="65"/>
  <c r="L157" i="65"/>
  <c r="L164" i="65"/>
  <c r="F166" i="65"/>
  <c r="L172" i="65"/>
  <c r="C174" i="65"/>
  <c r="L187" i="65"/>
  <c r="F190" i="65"/>
  <c r="C198" i="65"/>
  <c r="F203" i="65"/>
  <c r="L204" i="65"/>
  <c r="E207" i="65"/>
  <c r="C215" i="65"/>
  <c r="F220" i="65"/>
  <c r="E224" i="65"/>
  <c r="L227" i="65"/>
  <c r="C231" i="65"/>
  <c r="E232" i="65"/>
  <c r="L31" i="65"/>
  <c r="L114" i="65"/>
  <c r="F117" i="65"/>
  <c r="C138" i="65"/>
  <c r="F147" i="65"/>
  <c r="E154" i="65"/>
  <c r="E161" i="65"/>
  <c r="E168" i="65"/>
  <c r="E171" i="65"/>
  <c r="L175" i="65"/>
  <c r="F177" i="65"/>
  <c r="E181" i="65"/>
  <c r="C185" i="65"/>
  <c r="E99" i="65"/>
  <c r="E136" i="65"/>
  <c r="C156" i="65"/>
  <c r="F161" i="65"/>
  <c r="F171" i="65"/>
  <c r="F174" i="65"/>
  <c r="L178" i="65"/>
  <c r="F181" i="65"/>
  <c r="E185" i="65"/>
  <c r="L195" i="65"/>
  <c r="F198" i="65"/>
  <c r="C206" i="65"/>
  <c r="F211" i="65"/>
  <c r="L212" i="65"/>
  <c r="E215" i="65"/>
  <c r="C223" i="65"/>
  <c r="L226" i="65"/>
  <c r="C230" i="65"/>
  <c r="E231" i="65"/>
  <c r="F99" i="65"/>
  <c r="E107" i="65"/>
  <c r="C115" i="65"/>
  <c r="C180" i="65"/>
  <c r="E189" i="65"/>
  <c r="L192" i="65"/>
  <c r="E205" i="65"/>
  <c r="E212" i="65"/>
  <c r="L215" i="65"/>
  <c r="E219" i="65"/>
  <c r="L222" i="65"/>
  <c r="F233" i="65"/>
  <c r="L235" i="65"/>
  <c r="C239" i="65"/>
  <c r="E240" i="65"/>
  <c r="L243" i="65"/>
  <c r="C247" i="65"/>
  <c r="E248" i="65"/>
  <c r="L251" i="65"/>
  <c r="C255" i="65"/>
  <c r="E256" i="65"/>
  <c r="L259" i="65"/>
  <c r="F140" i="65"/>
  <c r="F189" i="65"/>
  <c r="L194" i="65"/>
  <c r="L196" i="65"/>
  <c r="C200" i="65"/>
  <c r="L203" i="65"/>
  <c r="F205" i="65"/>
  <c r="C207" i="65"/>
  <c r="F212" i="65"/>
  <c r="C214" i="65"/>
  <c r="F219" i="65"/>
  <c r="C229" i="65"/>
  <c r="F240" i="65"/>
  <c r="F248" i="65"/>
  <c r="F256" i="65"/>
  <c r="F264" i="65"/>
  <c r="C142" i="65"/>
  <c r="C232" i="65"/>
  <c r="L234" i="65"/>
  <c r="C238" i="65"/>
  <c r="E239" i="65"/>
  <c r="L242" i="65"/>
  <c r="C246" i="65"/>
  <c r="E247" i="65"/>
  <c r="L250" i="65"/>
  <c r="C254" i="65"/>
  <c r="E255" i="65"/>
  <c r="L258" i="65"/>
  <c r="C262" i="65"/>
  <c r="F142" i="65"/>
  <c r="C193" i="65"/>
  <c r="C202" i="65"/>
  <c r="F207" i="65"/>
  <c r="F214" i="65"/>
  <c r="C216" i="65"/>
  <c r="F221" i="65"/>
  <c r="L224" i="65"/>
  <c r="E226" i="65"/>
  <c r="E229" i="65"/>
  <c r="F239" i="65"/>
  <c r="L182" i="65"/>
  <c r="E193" i="65"/>
  <c r="L198" i="65"/>
  <c r="E202" i="65"/>
  <c r="L205" i="65"/>
  <c r="C209" i="65"/>
  <c r="F226" i="65"/>
  <c r="F229" i="65"/>
  <c r="F232" i="65"/>
  <c r="C237" i="65"/>
  <c r="E238" i="65"/>
  <c r="L241" i="65"/>
  <c r="C245" i="65"/>
  <c r="E246" i="65"/>
  <c r="L249" i="65"/>
  <c r="C253" i="65"/>
  <c r="E254" i="65"/>
  <c r="L257" i="65"/>
  <c r="C261" i="65"/>
  <c r="E262" i="65"/>
  <c r="L265" i="65"/>
  <c r="C269" i="65"/>
  <c r="E270" i="65"/>
  <c r="L273" i="65"/>
  <c r="C277" i="65"/>
  <c r="E278" i="65"/>
  <c r="L281" i="65"/>
  <c r="C285" i="65"/>
  <c r="E286" i="65"/>
  <c r="L289" i="65"/>
  <c r="C128" i="65"/>
  <c r="C144" i="65"/>
  <c r="C158" i="65"/>
  <c r="F193" i="65"/>
  <c r="E195" i="65"/>
  <c r="E209" i="65"/>
  <c r="E216" i="65"/>
  <c r="L219" i="65"/>
  <c r="E223" i="65"/>
  <c r="L233" i="65"/>
  <c r="F238" i="65"/>
  <c r="L159" i="65"/>
  <c r="F195" i="65"/>
  <c r="E197" i="65"/>
  <c r="L200" i="65"/>
  <c r="C204" i="65"/>
  <c r="L207" i="65"/>
  <c r="F209" i="65"/>
  <c r="C211" i="65"/>
  <c r="F216" i="65"/>
  <c r="C218" i="65"/>
  <c r="F223" i="65"/>
  <c r="C236" i="65"/>
  <c r="E237" i="65"/>
  <c r="L240" i="65"/>
  <c r="C244" i="65"/>
  <c r="E245" i="65"/>
  <c r="E130" i="65"/>
  <c r="C184" i="65"/>
  <c r="F197" i="65"/>
  <c r="C199" i="65"/>
  <c r="F204" i="65"/>
  <c r="E211" i="65"/>
  <c r="L221" i="65"/>
  <c r="C225" i="65"/>
  <c r="C228" i="65"/>
  <c r="L229" i="65"/>
  <c r="F237" i="65"/>
  <c r="F245" i="65"/>
  <c r="F253" i="65"/>
  <c r="F261" i="65"/>
  <c r="F269" i="65"/>
  <c r="F277" i="65"/>
  <c r="F285" i="65"/>
  <c r="F293" i="65"/>
  <c r="C132" i="65"/>
  <c r="F185" i="65"/>
  <c r="L216" i="65"/>
  <c r="E218" i="65"/>
  <c r="C220" i="65"/>
  <c r="F231" i="65"/>
  <c r="L232" i="65"/>
  <c r="C235" i="65"/>
  <c r="E236" i="65"/>
  <c r="L239" i="65"/>
  <c r="C243" i="65"/>
  <c r="E244" i="65"/>
  <c r="L247" i="65"/>
  <c r="C251" i="65"/>
  <c r="E252" i="65"/>
  <c r="L255" i="65"/>
  <c r="C259" i="65"/>
  <c r="E260" i="65"/>
  <c r="L263" i="65"/>
  <c r="C267" i="65"/>
  <c r="E268" i="65"/>
  <c r="L271" i="65"/>
  <c r="C275" i="65"/>
  <c r="E276" i="65"/>
  <c r="L279" i="65"/>
  <c r="C283" i="65"/>
  <c r="E284" i="65"/>
  <c r="L287" i="65"/>
  <c r="C291" i="65"/>
  <c r="E292" i="65"/>
  <c r="F132" i="65"/>
  <c r="L147" i="65"/>
  <c r="F191" i="65"/>
  <c r="E199" i="65"/>
  <c r="L202" i="65"/>
  <c r="F206" i="65"/>
  <c r="E225" i="65"/>
  <c r="E228" i="65"/>
  <c r="F236" i="65"/>
  <c r="F244" i="65"/>
  <c r="F252" i="65"/>
  <c r="F260" i="65"/>
  <c r="F134" i="65"/>
  <c r="E149" i="65"/>
  <c r="E163" i="65"/>
  <c r="F199" i="65"/>
  <c r="C201" i="65"/>
  <c r="E213" i="65"/>
  <c r="E220" i="65"/>
  <c r="L223" i="65"/>
  <c r="F225" i="65"/>
  <c r="F228" i="65"/>
  <c r="E235" i="65"/>
  <c r="L238" i="65"/>
  <c r="C242" i="65"/>
  <c r="E243" i="65"/>
  <c r="L246" i="65"/>
  <c r="C250" i="65"/>
  <c r="E251" i="65"/>
  <c r="L254" i="65"/>
  <c r="C258" i="65"/>
  <c r="E259" i="65"/>
  <c r="L262" i="65"/>
  <c r="F149" i="65"/>
  <c r="F163" i="65"/>
  <c r="C176" i="65"/>
  <c r="L186" i="65"/>
  <c r="L191" i="65"/>
  <c r="E201" i="65"/>
  <c r="E208" i="65"/>
  <c r="L211" i="65"/>
  <c r="L218" i="65"/>
  <c r="C222" i="65"/>
  <c r="F235" i="65"/>
  <c r="F243" i="65"/>
  <c r="F251" i="65"/>
  <c r="C194" i="65"/>
  <c r="L199" i="65"/>
  <c r="F201" i="65"/>
  <c r="C203" i="65"/>
  <c r="F208" i="65"/>
  <c r="C210" i="65"/>
  <c r="F215" i="65"/>
  <c r="E234" i="65"/>
  <c r="L237" i="65"/>
  <c r="C241" i="65"/>
  <c r="E242" i="65"/>
  <c r="L245" i="65"/>
  <c r="E194" i="65"/>
  <c r="L220" i="65"/>
  <c r="F222" i="65"/>
  <c r="C224" i="65"/>
  <c r="L225" i="65"/>
  <c r="C227" i="65"/>
  <c r="L228" i="65"/>
  <c r="E230" i="65"/>
  <c r="L231" i="65"/>
  <c r="C233" i="65"/>
  <c r="F234" i="65"/>
  <c r="F242" i="65"/>
  <c r="F250" i="65"/>
  <c r="F258" i="65"/>
  <c r="F266" i="65"/>
  <c r="F274" i="65"/>
  <c r="F282" i="65"/>
  <c r="F115" i="65"/>
  <c r="F192" i="65"/>
  <c r="L208" i="65"/>
  <c r="C219" i="65"/>
  <c r="F224" i="65"/>
  <c r="E233" i="65"/>
  <c r="F241" i="65"/>
  <c r="F249" i="65"/>
  <c r="F257" i="65"/>
  <c r="F265" i="65"/>
  <c r="F273" i="65"/>
  <c r="F281" i="65"/>
  <c r="F289" i="65"/>
  <c r="F3" i="65"/>
  <c r="F362" i="65"/>
  <c r="F354" i="65"/>
  <c r="F346" i="65"/>
  <c r="F338" i="65"/>
  <c r="F330" i="65"/>
  <c r="F322" i="65"/>
  <c r="F314" i="65"/>
  <c r="F306" i="65"/>
  <c r="F298" i="65"/>
  <c r="C286" i="65"/>
  <c r="C281" i="65"/>
  <c r="C276" i="65"/>
  <c r="L252" i="65"/>
  <c r="C249" i="65"/>
  <c r="E192" i="65"/>
  <c r="F363" i="65"/>
  <c r="F355" i="65"/>
  <c r="F347" i="65"/>
  <c r="F339" i="65"/>
  <c r="F331" i="65"/>
  <c r="F323" i="65"/>
  <c r="F315" i="65"/>
  <c r="F307" i="65"/>
  <c r="F299" i="65"/>
  <c r="L294" i="65"/>
  <c r="C292" i="65"/>
  <c r="L290" i="65"/>
  <c r="F284" i="65"/>
  <c r="E279" i="65"/>
  <c r="E274" i="65"/>
  <c r="E269" i="65"/>
  <c r="L267" i="65"/>
  <c r="C264" i="65"/>
  <c r="C252" i="65"/>
  <c r="C240" i="65"/>
  <c r="C217" i="65"/>
  <c r="L350" i="65"/>
  <c r="E347" i="65"/>
  <c r="C346" i="65"/>
  <c r="L342" i="65"/>
  <c r="E339" i="65"/>
  <c r="C338" i="65"/>
  <c r="L334" i="65"/>
  <c r="E331" i="65"/>
  <c r="C330" i="65"/>
  <c r="L326" i="65"/>
  <c r="E323" i="65"/>
  <c r="C322" i="65"/>
  <c r="L318" i="65"/>
  <c r="E315" i="65"/>
  <c r="C314" i="65"/>
  <c r="L310" i="65"/>
  <c r="E307" i="65"/>
  <c r="C306" i="65"/>
  <c r="L302" i="65"/>
  <c r="E299" i="65"/>
  <c r="C298" i="65"/>
  <c r="C289" i="65"/>
  <c r="C284" i="65"/>
  <c r="F259" i="65"/>
  <c r="F348" i="65"/>
  <c r="F340" i="65"/>
  <c r="F332" i="65"/>
  <c r="F324" i="65"/>
  <c r="F316" i="65"/>
  <c r="F308" i="65"/>
  <c r="F300" i="65"/>
  <c r="E293" i="65"/>
  <c r="F287" i="65"/>
  <c r="L285" i="65"/>
  <c r="L280" i="65"/>
  <c r="C279" i="65"/>
  <c r="C274" i="65"/>
  <c r="C248" i="65"/>
  <c r="L213" i="65"/>
  <c r="C347" i="65"/>
  <c r="L343" i="65"/>
  <c r="E340" i="65"/>
  <c r="C339" i="65"/>
  <c r="L335" i="65"/>
  <c r="E332" i="65"/>
  <c r="C331" i="65"/>
  <c r="L327" i="65"/>
  <c r="E324" i="65"/>
  <c r="C323" i="65"/>
  <c r="L319" i="65"/>
  <c r="E316" i="65"/>
  <c r="C315" i="65"/>
  <c r="L311" i="65"/>
  <c r="E308" i="65"/>
  <c r="C307" i="65"/>
  <c r="L303" i="65"/>
  <c r="E300" i="65"/>
  <c r="C299" i="65"/>
  <c r="L295" i="65"/>
  <c r="E287" i="65"/>
  <c r="E282" i="65"/>
  <c r="E277" i="65"/>
  <c r="L275" i="65"/>
  <c r="F272" i="65"/>
  <c r="L270" i="65"/>
  <c r="F267" i="65"/>
  <c r="L261" i="65"/>
  <c r="F255" i="65"/>
  <c r="L236" i="65"/>
  <c r="F349" i="65"/>
  <c r="F341" i="65"/>
  <c r="F333" i="65"/>
  <c r="F325" i="65"/>
  <c r="F317" i="65"/>
  <c r="F309" i="65"/>
  <c r="F301" i="65"/>
  <c r="F294" i="65"/>
  <c r="C293" i="65"/>
  <c r="F290" i="65"/>
  <c r="E272" i="65"/>
  <c r="E267" i="65"/>
  <c r="E210" i="65"/>
  <c r="E349" i="65"/>
  <c r="C348" i="65"/>
  <c r="L344" i="65"/>
  <c r="E341" i="65"/>
  <c r="C340" i="65"/>
  <c r="L336" i="65"/>
  <c r="E333" i="65"/>
  <c r="C332" i="65"/>
  <c r="L328" i="65"/>
  <c r="E325" i="65"/>
  <c r="C324" i="65"/>
  <c r="L320" i="65"/>
  <c r="E317" i="65"/>
  <c r="C316" i="65"/>
  <c r="L312" i="65"/>
  <c r="E309" i="65"/>
  <c r="C308" i="65"/>
  <c r="L304" i="65"/>
  <c r="E301" i="65"/>
  <c r="C300" i="65"/>
  <c r="L296" i="65"/>
  <c r="E294" i="65"/>
  <c r="E290" i="65"/>
  <c r="L288" i="65"/>
  <c r="C287" i="65"/>
  <c r="C282" i="65"/>
  <c r="C272" i="65"/>
  <c r="F247" i="65"/>
  <c r="F366" i="65"/>
  <c r="F358" i="65"/>
  <c r="F350" i="65"/>
  <c r="F342" i="65"/>
  <c r="F334" i="65"/>
  <c r="F326" i="65"/>
  <c r="F318" i="65"/>
  <c r="F310" i="65"/>
  <c r="F302" i="65"/>
  <c r="L291" i="65"/>
  <c r="E285" i="65"/>
  <c r="L283" i="65"/>
  <c r="F280" i="65"/>
  <c r="L278" i="65"/>
  <c r="F275" i="65"/>
  <c r="F270" i="65"/>
  <c r="L268" i="65"/>
  <c r="E265" i="65"/>
  <c r="E261" i="65"/>
  <c r="E258" i="65"/>
  <c r="L206" i="65"/>
  <c r="E350" i="65"/>
  <c r="C349" i="65"/>
  <c r="L345" i="65"/>
  <c r="E342" i="65"/>
  <c r="C341" i="65"/>
  <c r="L337" i="65"/>
  <c r="E334" i="65"/>
  <c r="C333" i="65"/>
  <c r="L329" i="65"/>
  <c r="E326" i="65"/>
  <c r="C325" i="65"/>
  <c r="L321" i="65"/>
  <c r="E318" i="65"/>
  <c r="C317" i="65"/>
  <c r="L313" i="65"/>
  <c r="E310" i="65"/>
  <c r="C309" i="65"/>
  <c r="L305" i="65"/>
  <c r="E302" i="65"/>
  <c r="C301" i="65"/>
  <c r="L297" i="65"/>
  <c r="F295" i="65"/>
  <c r="C294" i="65"/>
  <c r="C290" i="65"/>
  <c r="E280" i="65"/>
  <c r="E275" i="65"/>
  <c r="C265" i="65"/>
  <c r="F263" i="65"/>
  <c r="F254" i="65"/>
  <c r="F343" i="65"/>
  <c r="F335" i="65"/>
  <c r="F327" i="65"/>
  <c r="F319" i="65"/>
  <c r="F311" i="65"/>
  <c r="F303" i="65"/>
  <c r="E295" i="65"/>
  <c r="C280" i="65"/>
  <c r="C270" i="65"/>
  <c r="E263" i="65"/>
  <c r="F246" i="65"/>
  <c r="F230" i="65"/>
  <c r="E203" i="65"/>
  <c r="L346" i="65"/>
  <c r="E343" i="65"/>
  <c r="C342" i="65"/>
  <c r="L338" i="65"/>
  <c r="E335" i="65"/>
  <c r="C334" i="65"/>
  <c r="L330" i="65"/>
  <c r="E327" i="65"/>
  <c r="C326" i="65"/>
  <c r="L322" i="65"/>
  <c r="E319" i="65"/>
  <c r="C318" i="65"/>
  <c r="L314" i="65"/>
  <c r="E311" i="65"/>
  <c r="C310" i="65"/>
  <c r="L306" i="65"/>
  <c r="E303" i="65"/>
  <c r="C302" i="65"/>
  <c r="L298" i="65"/>
  <c r="F288" i="65"/>
  <c r="L286" i="65"/>
  <c r="F283" i="65"/>
  <c r="F278" i="65"/>
  <c r="L276" i="65"/>
  <c r="L266" i="65"/>
  <c r="C263" i="65"/>
  <c r="L260" i="65"/>
  <c r="E250" i="65"/>
  <c r="F344" i="65"/>
  <c r="F336" i="65"/>
  <c r="F328" i="65"/>
  <c r="F320" i="65"/>
  <c r="F312" i="65"/>
  <c r="F304" i="65"/>
  <c r="F296" i="65"/>
  <c r="C295" i="65"/>
  <c r="L292" i="65"/>
  <c r="F291" i="65"/>
  <c r="E288" i="65"/>
  <c r="E283" i="65"/>
  <c r="E273" i="65"/>
  <c r="F268" i="65"/>
  <c r="E257" i="65"/>
  <c r="L253" i="65"/>
  <c r="L355" i="65"/>
  <c r="E352" i="65"/>
  <c r="C351" i="65"/>
  <c r="L347" i="65"/>
  <c r="E344" i="65"/>
  <c r="C343" i="65"/>
  <c r="L339" i="65"/>
  <c r="E336" i="65"/>
  <c r="C335" i="65"/>
  <c r="L331" i="65"/>
  <c r="E328" i="65"/>
  <c r="C327" i="65"/>
  <c r="L323" i="65"/>
  <c r="E320" i="65"/>
  <c r="C319" i="65"/>
  <c r="L315" i="65"/>
  <c r="E312" i="65"/>
  <c r="C311" i="65"/>
  <c r="L307" i="65"/>
  <c r="E304" i="65"/>
  <c r="C303" i="65"/>
  <c r="L299" i="65"/>
  <c r="E296" i="65"/>
  <c r="E291" i="65"/>
  <c r="C288" i="65"/>
  <c r="C278" i="65"/>
  <c r="C273" i="65"/>
  <c r="C268" i="65"/>
  <c r="L264" i="65"/>
  <c r="C257" i="65"/>
  <c r="E253" i="65"/>
  <c r="F353" i="65"/>
  <c r="F345" i="65"/>
  <c r="F337" i="65"/>
  <c r="F329" i="65"/>
  <c r="F321" i="65"/>
  <c r="F313" i="65"/>
  <c r="F305" i="65"/>
  <c r="F297" i="65"/>
  <c r="F286" i="65"/>
  <c r="L284" i="65"/>
  <c r="L274" i="65"/>
  <c r="F271" i="65"/>
  <c r="L269" i="65"/>
  <c r="C260" i="65"/>
  <c r="L256" i="65"/>
  <c r="L244" i="65"/>
  <c r="E196" i="65"/>
  <c r="L356" i="65"/>
  <c r="E353" i="65"/>
  <c r="C352" i="65"/>
  <c r="L348" i="65"/>
  <c r="E345" i="65"/>
  <c r="C344" i="65"/>
  <c r="L340" i="65"/>
  <c r="E337" i="65"/>
  <c r="C336" i="65"/>
  <c r="L332" i="65"/>
  <c r="E329" i="65"/>
  <c r="C328" i="65"/>
  <c r="L324" i="65"/>
  <c r="E321" i="65"/>
  <c r="C320" i="65"/>
  <c r="L316" i="65"/>
  <c r="E313" i="65"/>
  <c r="C312" i="65"/>
  <c r="L308" i="65"/>
  <c r="E305" i="65"/>
  <c r="C304" i="65"/>
  <c r="L300" i="65"/>
  <c r="E297" i="65"/>
  <c r="C296" i="65"/>
  <c r="L293" i="65"/>
  <c r="E281" i="65"/>
  <c r="F276" i="65"/>
  <c r="E271" i="65"/>
  <c r="E266" i="65"/>
  <c r="E249" i="65"/>
  <c r="H27" i="86"/>
  <c r="F18" i="86"/>
  <c r="H8" i="86"/>
  <c r="H22" i="86"/>
  <c r="F3" i="86"/>
  <c r="G8" i="86"/>
  <c r="H13" i="86"/>
  <c r="F27" i="86"/>
  <c r="G32" i="86"/>
  <c r="H17" i="86"/>
  <c r="F4" i="86"/>
  <c r="G9" i="86"/>
  <c r="H14" i="86"/>
  <c r="F28" i="86"/>
  <c r="G23" i="86"/>
  <c r="H18" i="86"/>
  <c r="G3" i="86"/>
  <c r="D29" i="8" s="1" a="1"/>
  <c r="D29" i="8" s="1"/>
  <c r="G4" i="86"/>
  <c r="H9" i="86"/>
  <c r="F15" i="86"/>
  <c r="G28" i="86"/>
  <c r="H23" i="86"/>
  <c r="F19" i="86"/>
  <c r="G27" i="86"/>
  <c r="H4" i="86"/>
  <c r="F10" i="86"/>
  <c r="G15" i="86"/>
  <c r="H28" i="86"/>
  <c r="F33" i="86"/>
  <c r="G19" i="86"/>
  <c r="H32" i="86"/>
  <c r="H3" i="86"/>
  <c r="G18" i="86"/>
  <c r="F5" i="86"/>
  <c r="G10" i="86"/>
  <c r="H15" i="86"/>
  <c r="F29" i="86"/>
  <c r="G33" i="86"/>
  <c r="H19" i="86"/>
  <c r="F14" i="86"/>
  <c r="F9" i="86"/>
  <c r="G5" i="86"/>
  <c r="H10" i="86"/>
  <c r="F24" i="86"/>
  <c r="G29" i="86"/>
  <c r="H33" i="86"/>
  <c r="F20" i="86"/>
  <c r="G14" i="86"/>
  <c r="H5" i="86"/>
  <c r="F11" i="86"/>
  <c r="G24" i="86"/>
  <c r="H29" i="86"/>
  <c r="F2" i="86"/>
  <c r="G20" i="86"/>
  <c r="F23" i="86"/>
  <c r="F6" i="86"/>
  <c r="G11" i="86"/>
  <c r="H24" i="86"/>
  <c r="F30" i="86"/>
  <c r="G2" i="86"/>
  <c r="H20" i="86"/>
  <c r="G6" i="86"/>
  <c r="H11" i="86"/>
  <c r="F25" i="86"/>
  <c r="G30" i="86"/>
  <c r="H2" i="86"/>
  <c r="F21" i="86"/>
  <c r="H6" i="86"/>
  <c r="F12" i="86"/>
  <c r="G25" i="86"/>
  <c r="H30" i="86"/>
  <c r="F16" i="86"/>
  <c r="G21" i="86"/>
  <c r="F7" i="86"/>
  <c r="G12" i="86"/>
  <c r="H25" i="86"/>
  <c r="F31" i="86"/>
  <c r="G16" i="86"/>
  <c r="H21" i="86"/>
  <c r="G7" i="86"/>
  <c r="H12" i="86"/>
  <c r="F26" i="86"/>
  <c r="G31" i="86"/>
  <c r="H16" i="86"/>
  <c r="F22" i="86"/>
  <c r="H7" i="86"/>
  <c r="F13" i="86"/>
  <c r="G26" i="86"/>
  <c r="H31" i="86"/>
  <c r="F17" i="86"/>
  <c r="G22" i="86"/>
  <c r="F8" i="86"/>
  <c r="G13" i="86"/>
  <c r="H26" i="86"/>
  <c r="F32" i="86"/>
  <c r="G17" i="86"/>
  <c r="B5" i="80" l="1" a="1"/>
  <c r="B5" i="80" s="1"/>
  <c r="C1" i="80"/>
  <c r="D1" i="80" s="1"/>
  <c r="E1" i="80" s="1"/>
  <c r="F1" i="80" s="1"/>
  <c r="G1" i="80" s="1"/>
  <c r="H1" i="80" s="1"/>
  <c r="I1" i="80" s="1"/>
  <c r="J1" i="80" s="1"/>
  <c r="K1" i="80" s="1"/>
  <c r="L1" i="80" s="1"/>
  <c r="M1" i="80" s="1"/>
  <c r="N1" i="80" s="1"/>
  <c r="O1" i="80" s="1"/>
  <c r="P1" i="80" s="1"/>
  <c r="Q1" i="80" s="1"/>
  <c r="R1" i="80" s="1"/>
  <c r="S1" i="80" s="1"/>
  <c r="T1" i="80" s="1"/>
  <c r="U1" i="80" s="1"/>
  <c r="C1" i="24" l="1"/>
  <c r="D1" i="24" s="1"/>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AL1" i="24" s="1"/>
  <c r="AM1" i="24" s="1"/>
  <c r="AN1" i="24" s="1"/>
  <c r="AO1" i="24" s="1"/>
  <c r="AP1" i="24" s="1"/>
  <c r="AQ1" i="24" s="1"/>
  <c r="AR1" i="24" s="1"/>
  <c r="AS1" i="24" s="1"/>
  <c r="AT1" i="24" s="1"/>
  <c r="AU1" i="24" s="1"/>
  <c r="AV1" i="24" s="1"/>
  <c r="AW1" i="24" s="1"/>
  <c r="AX1" i="24" s="1"/>
  <c r="AY1" i="24" s="1"/>
  <c r="A3" i="81" l="1"/>
  <c r="F10" i="8"/>
  <c r="S3" i="81" l="1"/>
  <c r="T3" i="81"/>
  <c r="E3" i="81"/>
  <c r="U3" i="81"/>
  <c r="G3" i="81"/>
  <c r="I3" i="81"/>
  <c r="J3" i="81"/>
  <c r="K3" i="81"/>
  <c r="L3" i="81"/>
  <c r="M3" i="81"/>
  <c r="N3" i="81"/>
  <c r="O3" i="81"/>
  <c r="F3" i="81"/>
  <c r="H3" i="81"/>
  <c r="P3" i="81"/>
  <c r="R3" i="81"/>
  <c r="Q3" i="81"/>
  <c r="I10" i="8" a="1"/>
  <c r="I10" i="8" s="1"/>
  <c r="B5" i="24" s="1" a="1"/>
  <c r="H7" i="24" s="1" a="1"/>
  <c r="H7" i="24" s="1"/>
  <c r="B7" i="80" a="1"/>
  <c r="B7" i="80" s="1"/>
  <c r="B3" i="81" s="1"/>
  <c r="A4" i="81"/>
  <c r="C7" i="80" a="1"/>
  <c r="C7" i="80" s="1"/>
  <c r="C3" i="81" s="1"/>
  <c r="K7" i="80" a="1"/>
  <c r="K7" i="80" s="1"/>
  <c r="S7" i="80" a="1"/>
  <c r="S7" i="80" s="1"/>
  <c r="D7" i="80" a="1"/>
  <c r="D7" i="80" s="1"/>
  <c r="D3" i="81" s="1"/>
  <c r="L7" i="80" a="1"/>
  <c r="L7" i="80" s="1"/>
  <c r="T7" i="80" a="1"/>
  <c r="T7" i="80" s="1"/>
  <c r="U7" i="80" a="1"/>
  <c r="U7" i="80" s="1"/>
  <c r="E7" i="80" a="1"/>
  <c r="E7" i="80" s="1"/>
  <c r="M7" i="80" a="1"/>
  <c r="M7" i="80" s="1"/>
  <c r="F7" i="80" a="1"/>
  <c r="F7" i="80" s="1"/>
  <c r="N7" i="80" a="1"/>
  <c r="N7" i="80" s="1"/>
  <c r="G7" i="80" a="1"/>
  <c r="G7" i="80" s="1"/>
  <c r="O7" i="80" a="1"/>
  <c r="O7" i="80" s="1"/>
  <c r="H7" i="80" a="1"/>
  <c r="H7" i="80" s="1"/>
  <c r="P7" i="80" a="1"/>
  <c r="P7" i="80" s="1"/>
  <c r="I7" i="80" a="1"/>
  <c r="I7" i="80" s="1"/>
  <c r="Q7" i="80" a="1"/>
  <c r="Q7" i="80" s="1"/>
  <c r="J7" i="80" a="1"/>
  <c r="J7" i="80" s="1"/>
  <c r="R7" i="80" a="1"/>
  <c r="R7" i="80" s="1"/>
  <c r="B5" i="24" l="1"/>
  <c r="B7" i="24" s="1" a="1"/>
  <c r="B7" i="24" s="1"/>
  <c r="B4" i="81"/>
  <c r="R4" i="81"/>
  <c r="C4" i="81"/>
  <c r="S4" i="81"/>
  <c r="D4" i="81"/>
  <c r="T4" i="81"/>
  <c r="E4" i="81"/>
  <c r="U4" i="81"/>
  <c r="F4" i="81"/>
  <c r="G4" i="81"/>
  <c r="H4" i="81"/>
  <c r="I4" i="81"/>
  <c r="J4" i="81"/>
  <c r="K4" i="81"/>
  <c r="L4" i="81"/>
  <c r="M4" i="81"/>
  <c r="N4" i="81"/>
  <c r="Q4" i="81"/>
  <c r="O4" i="81"/>
  <c r="P4" i="81"/>
  <c r="A5" i="81"/>
  <c r="N5" i="81" l="1"/>
  <c r="O5" i="81"/>
  <c r="P5" i="81"/>
  <c r="Q5" i="81"/>
  <c r="B5" i="81"/>
  <c r="R5" i="81"/>
  <c r="C5" i="81"/>
  <c r="S5" i="81"/>
  <c r="D5" i="81"/>
  <c r="T5" i="81"/>
  <c r="E5" i="81"/>
  <c r="U5" i="81"/>
  <c r="F5" i="81"/>
  <c r="G5" i="81"/>
  <c r="H5" i="81"/>
  <c r="J5" i="81"/>
  <c r="M5" i="81"/>
  <c r="I5" i="81"/>
  <c r="K5" i="81"/>
  <c r="L5" i="81"/>
  <c r="D7" i="24" a="1"/>
  <c r="D7" i="24" s="1"/>
  <c r="A6" i="81"/>
  <c r="J6" i="81" l="1"/>
  <c r="K6" i="81"/>
  <c r="L6" i="81"/>
  <c r="M6" i="81"/>
  <c r="N6" i="81"/>
  <c r="O6" i="81"/>
  <c r="P6" i="81"/>
  <c r="Q6" i="81"/>
  <c r="B6" i="81"/>
  <c r="R6" i="81"/>
  <c r="C6" i="81"/>
  <c r="S6" i="81"/>
  <c r="D6" i="81"/>
  <c r="T6" i="81"/>
  <c r="F6" i="81"/>
  <c r="I6" i="81"/>
  <c r="E6" i="81"/>
  <c r="G6" i="81"/>
  <c r="H6" i="81"/>
  <c r="U6" i="81"/>
  <c r="A7" i="81"/>
  <c r="F7" i="81" l="1"/>
  <c r="G7" i="81"/>
  <c r="H7" i="81"/>
  <c r="I7" i="81"/>
  <c r="J7" i="81"/>
  <c r="K7" i="81"/>
  <c r="L7" i="81"/>
  <c r="M7" i="81"/>
  <c r="N7" i="81"/>
  <c r="O7" i="81"/>
  <c r="P7" i="81"/>
  <c r="B7" i="81"/>
  <c r="R7" i="81"/>
  <c r="E7" i="81"/>
  <c r="U7" i="81"/>
  <c r="C7" i="81"/>
  <c r="Q7" i="81"/>
  <c r="T7" i="81"/>
  <c r="D7" i="81"/>
  <c r="S7" i="81"/>
  <c r="A8" i="81"/>
  <c r="B8" i="81" l="1"/>
  <c r="R8" i="81"/>
  <c r="C8" i="81"/>
  <c r="S8" i="81"/>
  <c r="D8" i="81"/>
  <c r="T8" i="81"/>
  <c r="E8" i="81"/>
  <c r="U8" i="81"/>
  <c r="F8" i="81"/>
  <c r="G8" i="81"/>
  <c r="H8" i="81"/>
  <c r="I8" i="81"/>
  <c r="J8" i="81"/>
  <c r="K8" i="81"/>
  <c r="L8" i="81"/>
  <c r="N8" i="81"/>
  <c r="Q8" i="81"/>
  <c r="P8" i="81"/>
  <c r="O8" i="81"/>
  <c r="M8" i="81"/>
  <c r="A9" i="81"/>
  <c r="N9" i="81" l="1"/>
  <c r="O9" i="81"/>
  <c r="P9" i="81"/>
  <c r="Q9" i="81"/>
  <c r="B9" i="81"/>
  <c r="R9" i="81"/>
  <c r="C9" i="81"/>
  <c r="S9" i="81"/>
  <c r="D9" i="81"/>
  <c r="T9" i="81"/>
  <c r="E9" i="81"/>
  <c r="U9" i="81"/>
  <c r="F9" i="81"/>
  <c r="G9" i="81"/>
  <c r="H9" i="81"/>
  <c r="J9" i="81"/>
  <c r="M9" i="81"/>
  <c r="I9" i="81"/>
  <c r="K9" i="81"/>
  <c r="L9" i="81"/>
  <c r="A10" i="81"/>
  <c r="J10" i="81" l="1"/>
  <c r="K10" i="81"/>
  <c r="L10" i="81"/>
  <c r="M10" i="81"/>
  <c r="N10" i="81"/>
  <c r="O10" i="81"/>
  <c r="P10" i="81"/>
  <c r="Q10" i="81"/>
  <c r="B10" i="81"/>
  <c r="R10" i="81"/>
  <c r="C10" i="81"/>
  <c r="S10" i="81"/>
  <c r="D10" i="81"/>
  <c r="T10" i="81"/>
  <c r="F10" i="81"/>
  <c r="I10" i="81"/>
  <c r="E10" i="81"/>
  <c r="G10" i="81"/>
  <c r="H10" i="81"/>
  <c r="U10" i="81"/>
  <c r="A11" i="81"/>
  <c r="F11" i="81" l="1"/>
  <c r="G11" i="81"/>
  <c r="H11" i="81"/>
  <c r="I11" i="81"/>
  <c r="J11" i="81"/>
  <c r="K11" i="81"/>
  <c r="L11" i="81"/>
  <c r="M11" i="81"/>
  <c r="N11" i="81"/>
  <c r="O11" i="81"/>
  <c r="P11" i="81"/>
  <c r="B11" i="81"/>
  <c r="R11" i="81"/>
  <c r="E11" i="81"/>
  <c r="U11" i="81"/>
  <c r="C11" i="81"/>
  <c r="D11" i="81"/>
  <c r="Q11" i="81"/>
  <c r="T11" i="81"/>
  <c r="S11" i="81"/>
  <c r="A12" i="81"/>
  <c r="B12" i="81" l="1"/>
  <c r="R12" i="81"/>
  <c r="C12" i="81"/>
  <c r="S12" i="81"/>
  <c r="D12" i="81"/>
  <c r="T12" i="81"/>
  <c r="E12" i="81"/>
  <c r="U12" i="81"/>
  <c r="F12" i="81"/>
  <c r="G12" i="81"/>
  <c r="H12" i="81"/>
  <c r="I12" i="81"/>
  <c r="J12" i="81"/>
  <c r="K12" i="81"/>
  <c r="L12" i="81"/>
  <c r="N12" i="81"/>
  <c r="Q12" i="81"/>
  <c r="P12" i="81"/>
  <c r="M12" i="81"/>
  <c r="O12" i="81"/>
  <c r="A13" i="81"/>
  <c r="N13" i="81" l="1"/>
  <c r="O13" i="81"/>
  <c r="P13" i="81"/>
  <c r="Q13" i="81"/>
  <c r="B13" i="81"/>
  <c r="R13" i="81"/>
  <c r="C13" i="81"/>
  <c r="S13" i="81"/>
  <c r="D13" i="81"/>
  <c r="T13" i="81"/>
  <c r="E13" i="81"/>
  <c r="U13" i="81"/>
  <c r="F13" i="81"/>
  <c r="G13" i="81"/>
  <c r="H13" i="81"/>
  <c r="J13" i="81"/>
  <c r="M13" i="81"/>
  <c r="I13" i="81"/>
  <c r="K13" i="81"/>
  <c r="L13" i="81"/>
  <c r="A14" i="81"/>
  <c r="J14" i="81" l="1"/>
  <c r="K14" i="81"/>
  <c r="L14" i="81"/>
  <c r="M14" i="81"/>
  <c r="N14" i="81"/>
  <c r="O14" i="81"/>
  <c r="P14" i="81"/>
  <c r="Q14" i="81"/>
  <c r="B14" i="81"/>
  <c r="R14" i="81"/>
  <c r="C14" i="81"/>
  <c r="S14" i="81"/>
  <c r="D14" i="81"/>
  <c r="T14" i="81"/>
  <c r="F14" i="81"/>
  <c r="I14" i="81"/>
  <c r="E14" i="81"/>
  <c r="G14" i="81"/>
  <c r="H14" i="81"/>
  <c r="U14" i="81"/>
  <c r="A15" i="81"/>
  <c r="F15" i="81" l="1"/>
  <c r="G15" i="81"/>
  <c r="H15" i="81"/>
  <c r="I15" i="81"/>
  <c r="J15" i="81"/>
  <c r="K15" i="81"/>
  <c r="L15" i="81"/>
  <c r="M15" i="81"/>
  <c r="N15" i="81"/>
  <c r="O15" i="81"/>
  <c r="P15" i="81"/>
  <c r="B15" i="81"/>
  <c r="R15" i="81"/>
  <c r="E15" i="81"/>
  <c r="U15" i="81"/>
  <c r="C15" i="81"/>
  <c r="D15" i="81"/>
  <c r="Q15" i="81"/>
  <c r="S15" i="81"/>
  <c r="T15" i="81"/>
  <c r="A16" i="81"/>
  <c r="B16" i="81" l="1"/>
  <c r="R16" i="81"/>
  <c r="C16" i="81"/>
  <c r="S16" i="81"/>
  <c r="D16" i="81"/>
  <c r="T16" i="81"/>
  <c r="E16" i="81"/>
  <c r="U16" i="81"/>
  <c r="F16" i="81"/>
  <c r="G16" i="81"/>
  <c r="H16" i="81"/>
  <c r="I16" i="81"/>
  <c r="J16" i="81"/>
  <c r="K16" i="81"/>
  <c r="L16" i="81"/>
  <c r="N16" i="81"/>
  <c r="Q16" i="81"/>
  <c r="M16" i="81"/>
  <c r="O16" i="81"/>
  <c r="P16" i="81"/>
  <c r="A17" i="81"/>
  <c r="N17" i="81" l="1"/>
  <c r="O17" i="81"/>
  <c r="P17" i="81"/>
  <c r="Q17" i="81"/>
  <c r="B17" i="81"/>
  <c r="R17" i="81"/>
  <c r="C17" i="81"/>
  <c r="S17" i="81"/>
  <c r="D17" i="81"/>
  <c r="T17" i="81"/>
  <c r="E17" i="81"/>
  <c r="U17" i="81"/>
  <c r="F17" i="81"/>
  <c r="G17" i="81"/>
  <c r="H17" i="81"/>
  <c r="J17" i="81"/>
  <c r="M17" i="81"/>
  <c r="K17" i="81"/>
  <c r="L17" i="81"/>
  <c r="I17" i="81"/>
  <c r="A18" i="81"/>
  <c r="J18" i="81" l="1"/>
  <c r="K18" i="81"/>
  <c r="L18" i="81"/>
  <c r="M18" i="81"/>
  <c r="N18" i="81"/>
  <c r="O18" i="81"/>
  <c r="P18" i="81"/>
  <c r="Q18" i="81"/>
  <c r="B18" i="81"/>
  <c r="R18" i="81"/>
  <c r="C18" i="81"/>
  <c r="S18" i="81"/>
  <c r="D18" i="81"/>
  <c r="T18" i="81"/>
  <c r="F18" i="81"/>
  <c r="I18" i="81"/>
  <c r="E18" i="81"/>
  <c r="G18" i="81"/>
  <c r="H18" i="81"/>
  <c r="U18" i="81"/>
  <c r="A19" i="81"/>
  <c r="F19" i="81" l="1"/>
  <c r="G19" i="81"/>
  <c r="H19" i="81"/>
  <c r="I19" i="81"/>
  <c r="J19" i="81"/>
  <c r="K19" i="81"/>
  <c r="L19" i="81"/>
  <c r="M19" i="81"/>
  <c r="N19" i="81"/>
  <c r="O19" i="81"/>
  <c r="P19" i="81"/>
  <c r="B19" i="81"/>
  <c r="R19" i="81"/>
  <c r="E19" i="81"/>
  <c r="U19" i="81"/>
  <c r="C19" i="81"/>
  <c r="D19" i="81"/>
  <c r="Q19" i="81"/>
  <c r="T19" i="81"/>
  <c r="S19" i="81"/>
  <c r="A20" i="81"/>
  <c r="B20" i="81" l="1"/>
  <c r="R20" i="81"/>
  <c r="C20" i="81"/>
  <c r="S20" i="81"/>
  <c r="D20" i="81"/>
  <c r="T20" i="81"/>
  <c r="E20" i="81"/>
  <c r="U20" i="81"/>
  <c r="F20" i="81"/>
  <c r="G20" i="81"/>
  <c r="H20" i="81"/>
  <c r="I20" i="81"/>
  <c r="J20" i="81"/>
  <c r="K20" i="81"/>
  <c r="L20" i="81"/>
  <c r="N20" i="81"/>
  <c r="Q20" i="81"/>
  <c r="O20" i="81"/>
  <c r="P20" i="81"/>
  <c r="M20" i="81"/>
  <c r="A21" i="81"/>
  <c r="N21" i="81" l="1"/>
  <c r="O21" i="81"/>
  <c r="P21" i="81"/>
  <c r="Q21" i="81"/>
  <c r="B21" i="81"/>
  <c r="R21" i="81"/>
  <c r="C21" i="81"/>
  <c r="S21" i="81"/>
  <c r="D21" i="81"/>
  <c r="T21" i="81"/>
  <c r="E21" i="81"/>
  <c r="U21" i="81"/>
  <c r="F21" i="81"/>
  <c r="G21" i="81"/>
  <c r="H21" i="81"/>
  <c r="J21" i="81"/>
  <c r="M21" i="81"/>
  <c r="L21" i="81"/>
  <c r="K21" i="81"/>
  <c r="I21" i="81"/>
  <c r="A22" i="81"/>
  <c r="J22" i="81" l="1"/>
  <c r="K22" i="81"/>
  <c r="L22" i="81"/>
  <c r="M22" i="81"/>
  <c r="N22" i="81"/>
  <c r="O22" i="81"/>
  <c r="P22" i="81"/>
  <c r="Q22" i="81"/>
  <c r="B22" i="81"/>
  <c r="R22" i="81"/>
  <c r="D22" i="81"/>
  <c r="T22" i="81"/>
  <c r="F22" i="81"/>
  <c r="I22" i="81"/>
  <c r="C22" i="81"/>
  <c r="E22" i="81"/>
  <c r="G22" i="81"/>
  <c r="H22" i="81"/>
  <c r="S22" i="81"/>
  <c r="U22" i="81"/>
  <c r="A23" i="81"/>
  <c r="F23" i="81" l="1"/>
  <c r="G23" i="81"/>
  <c r="H23" i="81"/>
  <c r="I23" i="81"/>
  <c r="J23" i="81"/>
  <c r="K23" i="81"/>
  <c r="L23" i="81"/>
  <c r="M23" i="81"/>
  <c r="N23" i="81"/>
  <c r="P23" i="81"/>
  <c r="B23" i="81"/>
  <c r="R23" i="81"/>
  <c r="E23" i="81"/>
  <c r="U23" i="81"/>
  <c r="C23" i="81"/>
  <c r="D23" i="81"/>
  <c r="Q23" i="81"/>
  <c r="S23" i="81"/>
  <c r="T23" i="81"/>
  <c r="O23" i="81"/>
  <c r="A24" i="81"/>
  <c r="B24" i="81" l="1"/>
  <c r="R24" i="81"/>
  <c r="C24" i="81"/>
  <c r="S24" i="81"/>
  <c r="D24" i="81"/>
  <c r="T24" i="81"/>
  <c r="E24" i="81"/>
  <c r="U24" i="81"/>
  <c r="G24" i="81"/>
  <c r="H24" i="81"/>
  <c r="I24" i="81"/>
  <c r="J24" i="81"/>
  <c r="L24" i="81"/>
  <c r="N24" i="81"/>
  <c r="Q24" i="81"/>
  <c r="O24" i="81"/>
  <c r="P24" i="81"/>
  <c r="M24" i="81"/>
  <c r="F24" i="81"/>
  <c r="K24" i="81"/>
  <c r="A25" i="81"/>
  <c r="N25" i="81" l="1"/>
  <c r="O25" i="81"/>
  <c r="P25" i="81"/>
  <c r="Q25" i="81"/>
  <c r="C25" i="81"/>
  <c r="S25" i="81"/>
  <c r="D25" i="81"/>
  <c r="T25" i="81"/>
  <c r="E25" i="81"/>
  <c r="U25" i="81"/>
  <c r="F25" i="81"/>
  <c r="H25" i="81"/>
  <c r="J25" i="81"/>
  <c r="M25" i="81"/>
  <c r="B25" i="81"/>
  <c r="G25" i="81"/>
  <c r="I25" i="81"/>
  <c r="K25" i="81"/>
  <c r="L25" i="81"/>
  <c r="R25" i="81"/>
  <c r="A26" i="81"/>
  <c r="J26" i="81" l="1"/>
  <c r="K26" i="81"/>
  <c r="L26" i="81"/>
  <c r="M26" i="81"/>
  <c r="O26" i="81"/>
  <c r="P26" i="81"/>
  <c r="Q26" i="81"/>
  <c r="B26" i="81"/>
  <c r="R26" i="81"/>
  <c r="D26" i="81"/>
  <c r="T26" i="81"/>
  <c r="F26" i="81"/>
  <c r="I26" i="81"/>
  <c r="C26" i="81"/>
  <c r="U26" i="81"/>
  <c r="E26" i="81"/>
  <c r="G26" i="81"/>
  <c r="S26" i="81"/>
  <c r="H26" i="81"/>
  <c r="N26" i="81"/>
  <c r="A27" i="81"/>
  <c r="F27" i="81" l="1"/>
  <c r="G27" i="81"/>
  <c r="H27" i="81"/>
  <c r="I27" i="81"/>
  <c r="K27" i="81"/>
  <c r="L27" i="81"/>
  <c r="M27" i="81"/>
  <c r="N27" i="81"/>
  <c r="P27" i="81"/>
  <c r="B27" i="81"/>
  <c r="R27" i="81"/>
  <c r="E27" i="81"/>
  <c r="U27" i="81"/>
  <c r="D27" i="81"/>
  <c r="J27" i="81"/>
  <c r="O27" i="81"/>
  <c r="Q27" i="81"/>
  <c r="S27" i="81"/>
  <c r="T27" i="81"/>
  <c r="C27" i="81"/>
  <c r="A28" i="81"/>
  <c r="B28" i="81" l="1"/>
  <c r="R28" i="81"/>
  <c r="C28" i="81"/>
  <c r="S28" i="81"/>
  <c r="D28" i="81"/>
  <c r="T28" i="81"/>
  <c r="G28" i="81"/>
  <c r="H28" i="81"/>
  <c r="I28" i="81"/>
  <c r="J28" i="81"/>
  <c r="L28" i="81"/>
  <c r="N28" i="81"/>
  <c r="Q28" i="81"/>
  <c r="E28" i="81"/>
  <c r="F28" i="81"/>
  <c r="K28" i="81"/>
  <c r="O28" i="81"/>
  <c r="P28" i="81"/>
  <c r="U28" i="81"/>
  <c r="M28" i="81"/>
  <c r="A29" i="81"/>
  <c r="N29" i="81" l="1"/>
  <c r="O29" i="81"/>
  <c r="P29" i="81"/>
  <c r="C29" i="81"/>
  <c r="S29" i="81"/>
  <c r="D29" i="81"/>
  <c r="T29" i="81"/>
  <c r="E29" i="81"/>
  <c r="U29" i="81"/>
  <c r="F29" i="81"/>
  <c r="H29" i="81"/>
  <c r="J29" i="81"/>
  <c r="M29" i="81"/>
  <c r="K29" i="81"/>
  <c r="L29" i="81"/>
  <c r="Q29" i="81"/>
  <c r="R29" i="81"/>
  <c r="I29" i="81"/>
  <c r="G29" i="81"/>
  <c r="B29" i="81"/>
  <c r="A30" i="81"/>
  <c r="J30" i="81" l="1"/>
  <c r="K30" i="81"/>
  <c r="L30" i="81"/>
  <c r="O30" i="81"/>
  <c r="P30" i="81"/>
  <c r="Q30" i="81"/>
  <c r="B30" i="81"/>
  <c r="R30" i="81"/>
  <c r="D30" i="81"/>
  <c r="T30" i="81"/>
  <c r="F30" i="81"/>
  <c r="I30" i="81"/>
  <c r="C30" i="81"/>
  <c r="E30" i="81"/>
  <c r="G30" i="81"/>
  <c r="H30" i="81"/>
  <c r="M30" i="81"/>
  <c r="N30" i="81"/>
  <c r="S30" i="81"/>
  <c r="U30" i="81"/>
  <c r="A31" i="81"/>
  <c r="F31" i="81" l="1"/>
  <c r="G31" i="81"/>
  <c r="H31" i="81"/>
  <c r="K31" i="81"/>
  <c r="L31" i="81"/>
  <c r="M31" i="81"/>
  <c r="N31" i="81"/>
  <c r="P31" i="81"/>
  <c r="B31" i="81"/>
  <c r="R31" i="81"/>
  <c r="E31" i="81"/>
  <c r="U31" i="81"/>
  <c r="O31" i="81"/>
  <c r="Q31" i="81"/>
  <c r="S31" i="81"/>
  <c r="T31" i="81"/>
  <c r="C31" i="81"/>
  <c r="D31" i="81"/>
  <c r="I31" i="81"/>
  <c r="J31" i="81"/>
  <c r="A32" i="81"/>
  <c r="B32" i="81" l="1"/>
  <c r="R32" i="81"/>
  <c r="C32" i="81"/>
  <c r="S32" i="81"/>
  <c r="D32" i="81"/>
  <c r="T32" i="81"/>
  <c r="G32" i="81"/>
  <c r="H32" i="81"/>
  <c r="I32" i="81"/>
  <c r="J32" i="81"/>
  <c r="L32" i="81"/>
  <c r="N32" i="81"/>
  <c r="Q32" i="81"/>
  <c r="E32" i="81"/>
  <c r="F32" i="81"/>
  <c r="K32" i="81"/>
  <c r="M32" i="81"/>
  <c r="O32" i="81"/>
  <c r="U32" i="81"/>
  <c r="P32" i="81"/>
  <c r="A33" i="81"/>
  <c r="N33" i="81" l="1"/>
  <c r="O33" i="81"/>
  <c r="P33" i="81"/>
  <c r="C33" i="81"/>
  <c r="S33" i="81"/>
  <c r="D33" i="81"/>
  <c r="T33" i="81"/>
  <c r="E33" i="81"/>
  <c r="U33" i="81"/>
  <c r="F33" i="81"/>
  <c r="H33" i="81"/>
  <c r="J33" i="81"/>
  <c r="M33" i="81"/>
  <c r="Q33" i="81"/>
  <c r="R33" i="81"/>
  <c r="B33" i="81"/>
  <c r="I33" i="81"/>
  <c r="K33" i="81"/>
  <c r="L33" i="81"/>
  <c r="G33" i="81"/>
  <c r="A34" i="81"/>
  <c r="J34" i="81" l="1"/>
  <c r="K34" i="81"/>
  <c r="L34" i="81"/>
  <c r="O34" i="81"/>
  <c r="P34" i="81"/>
  <c r="Q34" i="81"/>
  <c r="B34" i="81"/>
  <c r="R34" i="81"/>
  <c r="D34" i="81"/>
  <c r="T34" i="81"/>
  <c r="F34" i="81"/>
  <c r="I34" i="81"/>
  <c r="C34" i="81"/>
  <c r="E34" i="81"/>
  <c r="G34" i="81"/>
  <c r="H34" i="81"/>
  <c r="M34" i="81"/>
  <c r="N34" i="81"/>
  <c r="S34" i="81"/>
  <c r="U34" i="81"/>
  <c r="A35" i="81"/>
  <c r="F35" i="81" l="1"/>
  <c r="G35" i="81"/>
  <c r="H35" i="81"/>
  <c r="K35" i="81"/>
  <c r="L35" i="81"/>
  <c r="M35" i="81"/>
  <c r="N35" i="81"/>
  <c r="P35" i="81"/>
  <c r="B35" i="81"/>
  <c r="R35" i="81"/>
  <c r="E35" i="81"/>
  <c r="U35" i="81"/>
  <c r="S35" i="81"/>
  <c r="T35" i="81"/>
  <c r="C35" i="81"/>
  <c r="D35" i="81"/>
  <c r="I35" i="81"/>
  <c r="J35" i="81"/>
  <c r="O35" i="81"/>
  <c r="Q35" i="81"/>
  <c r="A36" i="81"/>
  <c r="B36" i="81" l="1"/>
  <c r="R36" i="81"/>
  <c r="C36" i="81"/>
  <c r="S36" i="81"/>
  <c r="D36" i="81"/>
  <c r="T36" i="81"/>
  <c r="G36" i="81"/>
  <c r="H36" i="81"/>
  <c r="I36" i="81"/>
  <c r="J36" i="81"/>
  <c r="L36" i="81"/>
  <c r="E36" i="81"/>
  <c r="F36" i="81"/>
  <c r="K36" i="81"/>
  <c r="M36" i="81"/>
  <c r="N36" i="81"/>
  <c r="O36" i="81"/>
  <c r="P36" i="81"/>
  <c r="Q36" i="81"/>
  <c r="U36" i="81"/>
  <c r="A37" i="81"/>
  <c r="N37" i="81" l="1"/>
  <c r="O37" i="81"/>
  <c r="P37" i="81"/>
  <c r="C37" i="81"/>
  <c r="S37" i="81"/>
  <c r="D37" i="81"/>
  <c r="T37" i="81"/>
  <c r="E37" i="81"/>
  <c r="U37" i="81"/>
  <c r="F37" i="81"/>
  <c r="H37" i="81"/>
  <c r="L37" i="81"/>
  <c r="M37" i="81"/>
  <c r="Q37" i="81"/>
  <c r="R37" i="81"/>
  <c r="I37" i="81"/>
  <c r="K37" i="81"/>
  <c r="G37" i="81"/>
  <c r="B37" i="81"/>
  <c r="J37" i="81"/>
  <c r="A38" i="81"/>
  <c r="J38" i="81" l="1"/>
  <c r="K38" i="81"/>
  <c r="L38" i="81"/>
  <c r="O38" i="81"/>
  <c r="P38" i="81"/>
  <c r="Q38" i="81"/>
  <c r="B38" i="81"/>
  <c r="R38" i="81"/>
  <c r="D38" i="81"/>
  <c r="T38" i="81"/>
  <c r="C38" i="81"/>
  <c r="E38" i="81"/>
  <c r="F38" i="81"/>
  <c r="G38" i="81"/>
  <c r="H38" i="81"/>
  <c r="I38" i="81"/>
  <c r="M38" i="81"/>
  <c r="S38" i="81"/>
  <c r="U38" i="81"/>
  <c r="N38" i="81"/>
  <c r="A39" i="81"/>
  <c r="F39" i="81" l="1"/>
  <c r="G39" i="81"/>
  <c r="H39" i="81"/>
  <c r="K39" i="81"/>
  <c r="L39" i="81"/>
  <c r="M39" i="81"/>
  <c r="N39" i="81"/>
  <c r="P39" i="81"/>
  <c r="D39" i="81"/>
  <c r="E39" i="81"/>
  <c r="I39" i="81"/>
  <c r="J39" i="81"/>
  <c r="O39" i="81"/>
  <c r="Q39" i="81"/>
  <c r="R39" i="81"/>
  <c r="S39" i="81"/>
  <c r="T39" i="81"/>
  <c r="B39" i="81"/>
  <c r="C39" i="81"/>
  <c r="U39" i="81"/>
  <c r="A40" i="81"/>
  <c r="B40" i="81" l="1"/>
  <c r="R40" i="81"/>
  <c r="C40" i="81"/>
  <c r="S40" i="81"/>
  <c r="D40" i="81"/>
  <c r="T40" i="81"/>
  <c r="G40" i="81"/>
  <c r="H40" i="81"/>
  <c r="I40" i="81"/>
  <c r="J40" i="81"/>
  <c r="L40" i="81"/>
  <c r="P40" i="81"/>
  <c r="Q40" i="81"/>
  <c r="U40" i="81"/>
  <c r="O40" i="81"/>
  <c r="E40" i="81"/>
  <c r="F40" i="81"/>
  <c r="N40" i="81"/>
  <c r="K40" i="81"/>
  <c r="M40" i="81"/>
  <c r="A41" i="81"/>
  <c r="N41" i="81" l="1"/>
  <c r="O41" i="81"/>
  <c r="P41" i="81"/>
  <c r="C41" i="81"/>
  <c r="S41" i="81"/>
  <c r="D41" i="81"/>
  <c r="T41" i="81"/>
  <c r="E41" i="81"/>
  <c r="U41" i="81"/>
  <c r="F41" i="81"/>
  <c r="H41" i="81"/>
  <c r="B41" i="81"/>
  <c r="G41" i="81"/>
  <c r="I41" i="81"/>
  <c r="J41" i="81"/>
  <c r="K41" i="81"/>
  <c r="L41" i="81"/>
  <c r="Q41" i="81"/>
  <c r="R41" i="81"/>
  <c r="M41" i="81"/>
  <c r="A42" i="81"/>
  <c r="J42" i="81" l="1"/>
  <c r="K42" i="81"/>
  <c r="L42" i="81"/>
  <c r="O42" i="81"/>
  <c r="P42" i="81"/>
  <c r="Q42" i="81"/>
  <c r="B42" i="81"/>
  <c r="R42" i="81"/>
  <c r="D42" i="81"/>
  <c r="H42" i="81"/>
  <c r="I42" i="81"/>
  <c r="M42" i="81"/>
  <c r="N42" i="81"/>
  <c r="S42" i="81"/>
  <c r="T42" i="81"/>
  <c r="U42" i="81"/>
  <c r="C42" i="81"/>
  <c r="F42" i="81"/>
  <c r="G42" i="81"/>
  <c r="E42" i="81"/>
  <c r="A43" i="81"/>
  <c r="F43" i="81" l="1"/>
  <c r="G43" i="81"/>
  <c r="H43" i="81"/>
  <c r="K43" i="81"/>
  <c r="L43" i="81"/>
  <c r="M43" i="81"/>
  <c r="N43" i="81"/>
  <c r="R43" i="81"/>
  <c r="S43" i="81"/>
  <c r="T43" i="81"/>
  <c r="U43" i="81"/>
  <c r="B43" i="81"/>
  <c r="C43" i="81"/>
  <c r="D43" i="81"/>
  <c r="E43" i="81"/>
  <c r="I43" i="81"/>
  <c r="J43" i="81"/>
  <c r="O43" i="81"/>
  <c r="P43" i="81"/>
  <c r="Q43" i="81"/>
  <c r="A44" i="81"/>
  <c r="B44" i="81" l="1"/>
  <c r="R44" i="81"/>
  <c r="C44" i="81"/>
  <c r="S44" i="81"/>
  <c r="D44" i="81"/>
  <c r="T44" i="81"/>
  <c r="G44" i="81"/>
  <c r="H44" i="81"/>
  <c r="I44" i="81"/>
  <c r="J44" i="81"/>
  <c r="E44" i="81"/>
  <c r="F44" i="81"/>
  <c r="K44" i="81"/>
  <c r="L44" i="81"/>
  <c r="M44" i="81"/>
  <c r="O44" i="81"/>
  <c r="Q44" i="81"/>
  <c r="U44" i="81"/>
  <c r="N44" i="81"/>
  <c r="P44" i="81"/>
  <c r="A45" i="81"/>
  <c r="N45" i="81" l="1"/>
  <c r="O45" i="81"/>
  <c r="P45" i="81"/>
  <c r="C45" i="81"/>
  <c r="S45" i="81"/>
  <c r="D45" i="81"/>
  <c r="T45" i="81"/>
  <c r="E45" i="81"/>
  <c r="U45" i="81"/>
  <c r="F45" i="81"/>
  <c r="H45" i="81"/>
  <c r="I45" i="81"/>
  <c r="J45" i="81"/>
  <c r="K45" i="81"/>
  <c r="L45" i="81"/>
  <c r="M45" i="81"/>
  <c r="Q45" i="81"/>
  <c r="R45" i="81"/>
  <c r="B45" i="81"/>
  <c r="G45" i="81"/>
  <c r="A46" i="81"/>
  <c r="J46" i="81" l="1"/>
  <c r="K46" i="81"/>
  <c r="L46" i="81"/>
  <c r="O46" i="81"/>
  <c r="P46" i="81"/>
  <c r="Q46" i="81"/>
  <c r="B46" i="81"/>
  <c r="R46" i="81"/>
  <c r="N46" i="81"/>
  <c r="S46" i="81"/>
  <c r="T46" i="81"/>
  <c r="U46" i="81"/>
  <c r="C46" i="81"/>
  <c r="D46" i="81"/>
  <c r="E46" i="81"/>
  <c r="F46" i="81"/>
  <c r="G46" i="81"/>
  <c r="H46" i="81"/>
  <c r="I46" i="81"/>
  <c r="M46" i="81"/>
  <c r="A47" i="81"/>
  <c r="F47" i="81" l="1"/>
  <c r="G47" i="81"/>
  <c r="H47" i="81"/>
  <c r="K47" i="81"/>
  <c r="L47" i="81"/>
  <c r="M47" i="81"/>
  <c r="N47" i="81"/>
  <c r="U47" i="81"/>
  <c r="B47" i="81"/>
  <c r="C47" i="81"/>
  <c r="D47" i="81"/>
  <c r="E47" i="81"/>
  <c r="I47" i="81"/>
  <c r="Q47" i="81"/>
  <c r="S47" i="81"/>
  <c r="T47" i="81"/>
  <c r="P47" i="81"/>
  <c r="J47" i="81"/>
  <c r="O47" i="81"/>
  <c r="R47" i="81"/>
  <c r="A48" i="81"/>
  <c r="B48" i="81" l="1"/>
  <c r="R48" i="81"/>
  <c r="C48" i="81"/>
  <c r="S48" i="81"/>
  <c r="D48" i="81"/>
  <c r="T48" i="81"/>
  <c r="G48" i="81"/>
  <c r="H48" i="81"/>
  <c r="I48" i="81"/>
  <c r="J48" i="81"/>
  <c r="E48" i="81"/>
  <c r="F48" i="81"/>
  <c r="K48" i="81"/>
  <c r="L48" i="81"/>
  <c r="M48" i="81"/>
  <c r="N48" i="81"/>
  <c r="O48" i="81"/>
  <c r="P48" i="81"/>
  <c r="U48" i="81"/>
  <c r="Q48" i="81"/>
  <c r="A49" i="81"/>
  <c r="N49" i="81" l="1"/>
  <c r="O49" i="81"/>
  <c r="P49" i="81"/>
  <c r="C49" i="81"/>
  <c r="S49" i="81"/>
  <c r="D49" i="81"/>
  <c r="T49" i="81"/>
  <c r="E49" i="81"/>
  <c r="U49" i="81"/>
  <c r="F49" i="81"/>
  <c r="K49" i="81"/>
  <c r="L49" i="81"/>
  <c r="M49" i="81"/>
  <c r="Q49" i="81"/>
  <c r="R49" i="81"/>
  <c r="B49" i="81"/>
  <c r="G49" i="81"/>
  <c r="H49" i="81"/>
  <c r="I49" i="81"/>
  <c r="J49" i="81"/>
  <c r="A50" i="81"/>
  <c r="J50" i="81" l="1"/>
  <c r="K50" i="81"/>
  <c r="L50" i="81"/>
  <c r="O50" i="81"/>
  <c r="P50" i="81"/>
  <c r="Q50" i="81"/>
  <c r="B50" i="81"/>
  <c r="R50" i="81"/>
  <c r="U50" i="81"/>
  <c r="C50" i="81"/>
  <c r="D50" i="81"/>
  <c r="E50" i="81"/>
  <c r="M50" i="81"/>
  <c r="S50" i="81"/>
  <c r="T50" i="81"/>
  <c r="F50" i="81"/>
  <c r="I50" i="81"/>
  <c r="N50" i="81"/>
  <c r="G50" i="81"/>
  <c r="H50" i="81"/>
  <c r="A51" i="81"/>
  <c r="F51" i="81" l="1"/>
  <c r="G51" i="81"/>
  <c r="H51" i="81"/>
  <c r="K51" i="81"/>
  <c r="L51" i="81"/>
  <c r="M51" i="81"/>
  <c r="N51" i="81"/>
  <c r="B51" i="81"/>
  <c r="C51" i="81"/>
  <c r="D51" i="81"/>
  <c r="E51" i="81"/>
  <c r="I51" i="81"/>
  <c r="J51" i="81"/>
  <c r="O51" i="81"/>
  <c r="Q51" i="81"/>
  <c r="R51" i="81"/>
  <c r="S51" i="81"/>
  <c r="T51" i="81"/>
  <c r="U51" i="81"/>
  <c r="P51" i="81"/>
  <c r="A52" i="81"/>
  <c r="B52" i="81" l="1"/>
  <c r="R52" i="81"/>
  <c r="C52" i="81"/>
  <c r="S52" i="81"/>
  <c r="D52" i="81"/>
  <c r="T52" i="81"/>
  <c r="G52" i="81"/>
  <c r="I52" i="81"/>
  <c r="J52" i="81"/>
  <c r="H52" i="81"/>
  <c r="K52" i="81"/>
  <c r="L52" i="81"/>
  <c r="M52" i="81"/>
  <c r="N52" i="81"/>
  <c r="O52" i="81"/>
  <c r="P52" i="81"/>
  <c r="E52" i="81"/>
  <c r="F52" i="81"/>
  <c r="Q52" i="81"/>
  <c r="U52" i="81"/>
  <c r="A53" i="81"/>
  <c r="N53" i="81" l="1"/>
  <c r="O53" i="81"/>
  <c r="P53" i="81"/>
  <c r="C53" i="81"/>
  <c r="S53" i="81"/>
  <c r="E53" i="81"/>
  <c r="U53" i="81"/>
  <c r="F53" i="81"/>
  <c r="L53" i="81"/>
  <c r="M53" i="81"/>
  <c r="Q53" i="81"/>
  <c r="R53" i="81"/>
  <c r="T53" i="81"/>
  <c r="D53" i="81"/>
  <c r="H53" i="81"/>
  <c r="I53" i="81"/>
  <c r="J53" i="81"/>
  <c r="B53" i="81"/>
  <c r="K53" i="81"/>
  <c r="G53" i="81"/>
  <c r="A54" i="81"/>
  <c r="J54" i="81" l="1"/>
  <c r="K54" i="81"/>
  <c r="L54" i="81"/>
  <c r="O54" i="81"/>
  <c r="Q54" i="81"/>
  <c r="B54" i="81"/>
  <c r="R54" i="81"/>
  <c r="T54" i="81"/>
  <c r="U54" i="81"/>
  <c r="C54" i="81"/>
  <c r="D54" i="81"/>
  <c r="E54" i="81"/>
  <c r="F54" i="81"/>
  <c r="G54" i="81"/>
  <c r="H54" i="81"/>
  <c r="I54" i="81"/>
  <c r="M54" i="81"/>
  <c r="N54" i="81"/>
  <c r="P54" i="81"/>
  <c r="S54" i="81"/>
  <c r="A55" i="81"/>
  <c r="F55" i="81" l="1"/>
  <c r="G55" i="81"/>
  <c r="H55" i="81"/>
  <c r="K55" i="81"/>
  <c r="M55" i="81"/>
  <c r="N55" i="81"/>
  <c r="B55" i="81"/>
  <c r="C55" i="81"/>
  <c r="D55" i="81"/>
  <c r="E55" i="81"/>
  <c r="I55" i="81"/>
  <c r="L55" i="81"/>
  <c r="P55" i="81"/>
  <c r="Q55" i="81"/>
  <c r="R55" i="81"/>
  <c r="T55" i="81"/>
  <c r="U55" i="81"/>
  <c r="J55" i="81"/>
  <c r="O55" i="81"/>
  <c r="S55" i="81"/>
  <c r="A56" i="81"/>
  <c r="B56" i="81" l="1"/>
  <c r="R56" i="81"/>
  <c r="D56" i="81"/>
  <c r="T56" i="81"/>
  <c r="G56" i="81"/>
  <c r="I56" i="81"/>
  <c r="J56" i="81"/>
  <c r="C56" i="81"/>
  <c r="E56" i="81"/>
  <c r="F56" i="81"/>
  <c r="H56" i="81"/>
  <c r="K56" i="81"/>
  <c r="L56" i="81"/>
  <c r="M56" i="81"/>
  <c r="N56" i="81"/>
  <c r="O56" i="81"/>
  <c r="P56" i="81"/>
  <c r="Q56" i="81"/>
  <c r="S56" i="81"/>
  <c r="U56" i="81"/>
  <c r="A57" i="81"/>
  <c r="N57" i="81" l="1"/>
  <c r="P57" i="81"/>
  <c r="C57" i="81"/>
  <c r="S57" i="81"/>
  <c r="E57" i="81"/>
  <c r="U57" i="81"/>
  <c r="F57" i="81"/>
  <c r="H57" i="81"/>
  <c r="I57" i="81"/>
  <c r="J57" i="81"/>
  <c r="K57" i="81"/>
  <c r="L57" i="81"/>
  <c r="M57" i="81"/>
  <c r="O57" i="81"/>
  <c r="G57" i="81"/>
  <c r="R57" i="81"/>
  <c r="T57" i="81"/>
  <c r="D57" i="81"/>
  <c r="B57" i="81"/>
  <c r="Q57" i="81"/>
  <c r="A58" i="81"/>
  <c r="J58" i="81" l="1"/>
  <c r="L58" i="81"/>
  <c r="O58" i="81"/>
  <c r="Q58" i="81"/>
  <c r="B58" i="81"/>
  <c r="R58" i="81"/>
  <c r="I58" i="81"/>
  <c r="K58" i="81"/>
  <c r="M58" i="81"/>
  <c r="N58" i="81"/>
  <c r="P58" i="81"/>
  <c r="S58" i="81"/>
  <c r="T58" i="81"/>
  <c r="C58" i="81"/>
  <c r="E58" i="81"/>
  <c r="F58" i="81"/>
  <c r="G58" i="81"/>
  <c r="H58" i="81"/>
  <c r="U58" i="81"/>
  <c r="D58" i="81"/>
  <c r="A59" i="81"/>
  <c r="F59" i="81" l="1"/>
  <c r="H59" i="81"/>
  <c r="K59" i="81"/>
  <c r="M59" i="81"/>
  <c r="N59" i="81"/>
  <c r="O59" i="81"/>
  <c r="P59" i="81"/>
  <c r="Q59" i="81"/>
  <c r="R59" i="81"/>
  <c r="S59" i="81"/>
  <c r="T59" i="81"/>
  <c r="U59" i="81"/>
  <c r="I59" i="81"/>
  <c r="L59" i="81"/>
  <c r="B59" i="81"/>
  <c r="G59" i="81"/>
  <c r="C59" i="81"/>
  <c r="D59" i="81"/>
  <c r="E59" i="81"/>
  <c r="J59" i="81"/>
  <c r="A60" i="81"/>
  <c r="B60" i="81" l="1"/>
  <c r="R60" i="81"/>
  <c r="D60" i="81"/>
  <c r="T60" i="81"/>
  <c r="G60" i="81"/>
  <c r="I60" i="81"/>
  <c r="J60" i="81"/>
  <c r="P60" i="81"/>
  <c r="Q60" i="81"/>
  <c r="S60" i="81"/>
  <c r="U60" i="81"/>
  <c r="C60" i="81"/>
  <c r="E60" i="81"/>
  <c r="H60" i="81"/>
  <c r="K60" i="81"/>
  <c r="L60" i="81"/>
  <c r="M60" i="81"/>
  <c r="N60" i="81"/>
  <c r="O60" i="81"/>
  <c r="F60" i="81"/>
  <c r="A61" i="81"/>
  <c r="N61" i="81" l="1"/>
  <c r="P61" i="81"/>
  <c r="C61" i="81"/>
  <c r="S61" i="81"/>
  <c r="E61" i="81"/>
  <c r="U61" i="81"/>
  <c r="F61" i="81"/>
  <c r="T61" i="81"/>
  <c r="B61" i="81"/>
  <c r="D61" i="81"/>
  <c r="G61" i="81"/>
  <c r="L61" i="81"/>
  <c r="O61" i="81"/>
  <c r="Q61" i="81"/>
  <c r="R61" i="81"/>
  <c r="H61" i="81"/>
  <c r="I61" i="81"/>
  <c r="J61" i="81"/>
  <c r="K61" i="81"/>
  <c r="M61" i="81"/>
  <c r="A62" i="81"/>
  <c r="J62" i="81" l="1"/>
  <c r="L62" i="81"/>
  <c r="O62" i="81"/>
  <c r="Q62" i="81"/>
  <c r="B62" i="81"/>
  <c r="R62" i="81"/>
  <c r="C62" i="81"/>
  <c r="D62" i="81"/>
  <c r="E62" i="81"/>
  <c r="F62" i="81"/>
  <c r="G62" i="81"/>
  <c r="H62" i="81"/>
  <c r="K62" i="81"/>
  <c r="M62" i="81"/>
  <c r="N62" i="81"/>
  <c r="P62" i="81"/>
  <c r="S62" i="81"/>
  <c r="T62" i="81"/>
  <c r="I62" i="81"/>
  <c r="U62" i="81"/>
  <c r="A63" i="81"/>
  <c r="F63" i="81" l="1"/>
  <c r="H63" i="81"/>
  <c r="K63" i="81"/>
  <c r="M63" i="81"/>
  <c r="N63" i="81"/>
  <c r="C63" i="81"/>
  <c r="D63" i="81"/>
  <c r="E63" i="81"/>
  <c r="G63" i="81"/>
  <c r="I63" i="81"/>
  <c r="J63" i="81"/>
  <c r="L63" i="81"/>
  <c r="Q63" i="81"/>
  <c r="S63" i="81"/>
  <c r="T63" i="81"/>
  <c r="U63" i="81"/>
  <c r="R63" i="81"/>
  <c r="B63" i="81"/>
  <c r="O63" i="81"/>
  <c r="P63" i="81"/>
  <c r="A64" i="81"/>
  <c r="B64" i="81" l="1"/>
  <c r="R64" i="81"/>
  <c r="D64" i="81"/>
  <c r="T64" i="81"/>
  <c r="G64" i="81"/>
  <c r="I64" i="81"/>
  <c r="J64" i="81"/>
  <c r="F64" i="81"/>
  <c r="H64" i="81"/>
  <c r="K64" i="81"/>
  <c r="L64" i="81"/>
  <c r="M64" i="81"/>
  <c r="N64" i="81"/>
  <c r="O64" i="81"/>
  <c r="E64" i="81"/>
  <c r="P64" i="81"/>
  <c r="Q64" i="81"/>
  <c r="S64" i="81"/>
  <c r="U64" i="81"/>
  <c r="C64" i="81"/>
  <c r="A65" i="81"/>
  <c r="N65" i="81" l="1"/>
  <c r="P65" i="81"/>
  <c r="C65" i="81"/>
  <c r="S65" i="81"/>
  <c r="E65" i="81"/>
  <c r="U65" i="81"/>
  <c r="F65" i="81"/>
  <c r="J65" i="81"/>
  <c r="K65" i="81"/>
  <c r="L65" i="81"/>
  <c r="M65" i="81"/>
  <c r="O65" i="81"/>
  <c r="Q65" i="81"/>
  <c r="R65" i="81"/>
  <c r="T65" i="81"/>
  <c r="B65" i="81"/>
  <c r="D65" i="81"/>
  <c r="G65" i="81"/>
  <c r="H65" i="81"/>
  <c r="I65" i="81"/>
  <c r="A66" i="81"/>
  <c r="J66" i="81" l="1"/>
  <c r="L66" i="81"/>
  <c r="O66" i="81"/>
  <c r="Q66" i="81"/>
  <c r="B66" i="81"/>
  <c r="R66" i="81"/>
  <c r="M66" i="81"/>
  <c r="N66" i="81"/>
  <c r="P66" i="81"/>
  <c r="S66" i="81"/>
  <c r="T66" i="81"/>
  <c r="U66" i="81"/>
  <c r="D66" i="81"/>
  <c r="E66" i="81"/>
  <c r="F66" i="81"/>
  <c r="H66" i="81"/>
  <c r="I66" i="81"/>
  <c r="K66" i="81"/>
  <c r="C66" i="81"/>
  <c r="G66" i="81"/>
  <c r="A67" i="81"/>
  <c r="F67" i="81" l="1"/>
  <c r="H67" i="81"/>
  <c r="K67" i="81"/>
  <c r="M67" i="81"/>
  <c r="N67" i="81"/>
  <c r="Q67" i="81"/>
  <c r="R67" i="81"/>
  <c r="S67" i="81"/>
  <c r="T67" i="81"/>
  <c r="U67" i="81"/>
  <c r="B67" i="81"/>
  <c r="O67" i="81"/>
  <c r="C67" i="81"/>
  <c r="D67" i="81"/>
  <c r="E67" i="81"/>
  <c r="G67" i="81"/>
  <c r="I67" i="81"/>
  <c r="J67" i="81"/>
  <c r="L67" i="81"/>
  <c r="P67" i="81"/>
  <c r="A68" i="81"/>
  <c r="B68" i="81" l="1"/>
  <c r="R68" i="81"/>
  <c r="D68" i="81"/>
  <c r="T68" i="81"/>
  <c r="I68" i="81"/>
  <c r="J68" i="81"/>
  <c r="Q68" i="81"/>
  <c r="S68" i="81"/>
  <c r="U68" i="81"/>
  <c r="C68" i="81"/>
  <c r="E68" i="81"/>
  <c r="F68" i="81"/>
  <c r="G68" i="81"/>
  <c r="H68" i="81"/>
  <c r="L68" i="81"/>
  <c r="M68" i="81"/>
  <c r="N68" i="81"/>
  <c r="O68" i="81"/>
  <c r="P68" i="81"/>
  <c r="K68" i="81"/>
  <c r="A69" i="81"/>
  <c r="N69" i="81" l="1"/>
  <c r="P69" i="81"/>
  <c r="E69" i="81"/>
  <c r="F69" i="81"/>
  <c r="S69" i="81"/>
  <c r="T69" i="81"/>
  <c r="U69" i="81"/>
  <c r="B69" i="81"/>
  <c r="C69" i="81"/>
  <c r="D69" i="81"/>
  <c r="G69" i="81"/>
  <c r="M69" i="81"/>
  <c r="Q69" i="81"/>
  <c r="R69" i="81"/>
  <c r="H69" i="81"/>
  <c r="L69" i="81"/>
  <c r="O69" i="81"/>
  <c r="I69" i="81"/>
  <c r="J69" i="81"/>
  <c r="K69" i="81"/>
  <c r="A70" i="81"/>
  <c r="J70" i="81" l="1"/>
  <c r="L70" i="81"/>
  <c r="B70" i="81"/>
  <c r="R70" i="81"/>
  <c r="S70" i="81"/>
  <c r="T70" i="81"/>
  <c r="U70" i="81"/>
  <c r="C70" i="81"/>
  <c r="D70" i="81"/>
  <c r="E70" i="81"/>
  <c r="F70" i="81"/>
  <c r="G70" i="81"/>
  <c r="I70" i="81"/>
  <c r="K70" i="81"/>
  <c r="M70" i="81"/>
  <c r="N70" i="81"/>
  <c r="O70" i="81"/>
  <c r="P70" i="81"/>
  <c r="H70" i="81"/>
  <c r="Q70" i="81"/>
  <c r="A71" i="81"/>
  <c r="F71" i="81" l="1"/>
  <c r="H71" i="81"/>
  <c r="N71" i="81"/>
  <c r="R71" i="81"/>
  <c r="S71" i="81"/>
  <c r="T71" i="81"/>
  <c r="B71" i="81"/>
  <c r="U71" i="81"/>
  <c r="C71" i="81"/>
  <c r="D71" i="81"/>
  <c r="E71" i="81"/>
  <c r="K71" i="81"/>
  <c r="M71" i="81"/>
  <c r="O71" i="81"/>
  <c r="P71" i="81"/>
  <c r="I71" i="81"/>
  <c r="J71" i="81"/>
  <c r="L71" i="81"/>
  <c r="Q71" i="81"/>
  <c r="G71" i="81"/>
  <c r="A72" i="81"/>
  <c r="N72" i="81" l="1"/>
  <c r="O72" i="81"/>
  <c r="P72" i="81"/>
  <c r="Q72" i="81"/>
  <c r="B72" i="81"/>
  <c r="R72" i="81"/>
  <c r="C72" i="81"/>
  <c r="S72" i="81"/>
  <c r="D72" i="81"/>
  <c r="T72" i="81"/>
  <c r="E72" i="81"/>
  <c r="F72" i="81"/>
  <c r="G72" i="81"/>
  <c r="H72" i="81"/>
  <c r="I72" i="81"/>
  <c r="J72" i="81"/>
  <c r="K72" i="81"/>
  <c r="L72" i="81"/>
  <c r="M72" i="81"/>
  <c r="U72" i="81"/>
  <c r="A73" i="81"/>
  <c r="J73" i="81" l="1"/>
  <c r="K73" i="81"/>
  <c r="L73" i="81"/>
  <c r="M73" i="81"/>
  <c r="N73" i="81"/>
  <c r="O73" i="81"/>
  <c r="P73" i="81"/>
  <c r="B73" i="81"/>
  <c r="D73" i="81"/>
  <c r="E73" i="81"/>
  <c r="F73" i="81"/>
  <c r="H73" i="81"/>
  <c r="I73" i="81"/>
  <c r="Q73" i="81"/>
  <c r="R73" i="81"/>
  <c r="S73" i="81"/>
  <c r="T73" i="81"/>
  <c r="U73" i="81"/>
  <c r="C73" i="81"/>
  <c r="G73" i="81"/>
  <c r="A74" i="81"/>
  <c r="F74" i="81" l="1"/>
  <c r="G74" i="81"/>
  <c r="H74" i="81"/>
  <c r="I74" i="81"/>
  <c r="J74" i="81"/>
  <c r="K74" i="81"/>
  <c r="L74" i="81"/>
  <c r="E74" i="81"/>
  <c r="N74" i="81"/>
  <c r="O74" i="81"/>
  <c r="P74" i="81"/>
  <c r="R74" i="81"/>
  <c r="S74" i="81"/>
  <c r="T74" i="81"/>
  <c r="U74" i="81"/>
  <c r="B74" i="81"/>
  <c r="C74" i="81"/>
  <c r="D74" i="81"/>
  <c r="M74" i="81"/>
  <c r="Q74" i="81"/>
  <c r="A75" i="81"/>
  <c r="B75" i="81" l="1"/>
  <c r="R75" i="81"/>
  <c r="C75" i="81"/>
  <c r="S75" i="81"/>
  <c r="D75" i="81"/>
  <c r="T75" i="81"/>
  <c r="E75" i="81"/>
  <c r="U75" i="81"/>
  <c r="F75" i="81"/>
  <c r="G75" i="81"/>
  <c r="H75" i="81"/>
  <c r="O75" i="81"/>
  <c r="Q75" i="81"/>
  <c r="I75" i="81"/>
  <c r="J75" i="81"/>
  <c r="K75" i="81"/>
  <c r="L75" i="81"/>
  <c r="M75" i="81"/>
  <c r="N75" i="81"/>
  <c r="P75" i="81"/>
  <c r="A76" i="81"/>
  <c r="N76" i="81" l="1"/>
  <c r="O76" i="81"/>
  <c r="P76" i="81"/>
  <c r="Q76" i="81"/>
  <c r="B76" i="81"/>
  <c r="R76" i="81"/>
  <c r="C76" i="81"/>
  <c r="S76" i="81"/>
  <c r="D76" i="81"/>
  <c r="T76" i="81"/>
  <c r="E76" i="81"/>
  <c r="F76" i="81"/>
  <c r="H76" i="81"/>
  <c r="I76" i="81"/>
  <c r="J76" i="81"/>
  <c r="K76" i="81"/>
  <c r="L76" i="81"/>
  <c r="M76" i="81"/>
  <c r="G76" i="81"/>
  <c r="U76" i="81"/>
  <c r="A77" i="81"/>
  <c r="J77" i="81" l="1"/>
  <c r="K77" i="81"/>
  <c r="L77" i="81"/>
  <c r="M77" i="81"/>
  <c r="N77" i="81"/>
  <c r="O77" i="81"/>
  <c r="P77" i="81"/>
  <c r="E77" i="81"/>
  <c r="G77" i="81"/>
  <c r="H77" i="81"/>
  <c r="I77" i="81"/>
  <c r="R77" i="81"/>
  <c r="S77" i="81"/>
  <c r="T77" i="81"/>
  <c r="U77" i="81"/>
  <c r="Q77" i="81"/>
  <c r="B77" i="81"/>
  <c r="C77" i="81"/>
  <c r="D77" i="81"/>
  <c r="F77" i="81"/>
  <c r="A78" i="81"/>
  <c r="F78" i="81" l="1"/>
  <c r="G78" i="81"/>
  <c r="H78" i="81"/>
  <c r="I78" i="81"/>
  <c r="J78" i="81"/>
  <c r="K78" i="81"/>
  <c r="L78" i="81"/>
  <c r="O78" i="81"/>
  <c r="Q78" i="81"/>
  <c r="R78" i="81"/>
  <c r="S78" i="81"/>
  <c r="U78" i="81"/>
  <c r="B78" i="81"/>
  <c r="C78" i="81"/>
  <c r="D78" i="81"/>
  <c r="E78" i="81"/>
  <c r="N78" i="81"/>
  <c r="P78" i="81"/>
  <c r="T78" i="81"/>
  <c r="M78" i="81"/>
  <c r="A79" i="81"/>
  <c r="B79" i="81" l="1"/>
  <c r="R79" i="81"/>
  <c r="C79" i="81"/>
  <c r="S79" i="81"/>
  <c r="D79" i="81"/>
  <c r="T79" i="81"/>
  <c r="E79" i="81"/>
  <c r="U79" i="81"/>
  <c r="F79" i="81"/>
  <c r="G79" i="81"/>
  <c r="H79" i="81"/>
  <c r="I79" i="81"/>
  <c r="J79" i="81"/>
  <c r="K79" i="81"/>
  <c r="L79" i="81"/>
  <c r="M79" i="81"/>
  <c r="N79" i="81"/>
  <c r="O79" i="81"/>
  <c r="P79" i="81"/>
  <c r="Q79" i="81"/>
  <c r="A80" i="81"/>
  <c r="N80" i="81" l="1"/>
  <c r="O80" i="81"/>
  <c r="P80" i="81"/>
  <c r="Q80" i="81"/>
  <c r="B80" i="81"/>
  <c r="R80" i="81"/>
  <c r="C80" i="81"/>
  <c r="S80" i="81"/>
  <c r="D80" i="81"/>
  <c r="T80" i="81"/>
  <c r="E80" i="81"/>
  <c r="G80" i="81"/>
  <c r="H80" i="81"/>
  <c r="I80" i="81"/>
  <c r="K80" i="81"/>
  <c r="L80" i="81"/>
  <c r="M80" i="81"/>
  <c r="U80" i="81"/>
  <c r="F80" i="81"/>
  <c r="J80" i="81"/>
  <c r="A81" i="81"/>
  <c r="J81" i="81" l="1"/>
  <c r="K81" i="81"/>
  <c r="L81" i="81"/>
  <c r="M81" i="81"/>
  <c r="N81" i="81"/>
  <c r="O81" i="81"/>
  <c r="P81" i="81"/>
  <c r="H81" i="81"/>
  <c r="Q81" i="81"/>
  <c r="R81" i="81"/>
  <c r="S81" i="81"/>
  <c r="U81" i="81"/>
  <c r="B81" i="81"/>
  <c r="D81" i="81"/>
  <c r="E81" i="81"/>
  <c r="F81" i="81"/>
  <c r="G81" i="81"/>
  <c r="T81" i="81"/>
  <c r="I81" i="81"/>
  <c r="C81" i="81"/>
  <c r="A82" i="81"/>
  <c r="F82" i="81" l="1"/>
  <c r="G82" i="81"/>
  <c r="H82" i="81"/>
  <c r="I82" i="81"/>
  <c r="J82" i="81"/>
  <c r="K82" i="81"/>
  <c r="L82" i="81"/>
  <c r="R82" i="81"/>
  <c r="T82" i="81"/>
  <c r="U82" i="81"/>
  <c r="B82" i="81"/>
  <c r="C82" i="81"/>
  <c r="D82" i="81"/>
  <c r="E82" i="81"/>
  <c r="M82" i="81"/>
  <c r="N82" i="81"/>
  <c r="O82" i="81"/>
  <c r="P82" i="81"/>
  <c r="Q82" i="81"/>
  <c r="S82" i="81"/>
  <c r="A83" i="81"/>
  <c r="B83" i="81" l="1"/>
  <c r="R83" i="81"/>
  <c r="C83" i="81"/>
  <c r="S83" i="81"/>
  <c r="D83" i="81"/>
  <c r="T83" i="81"/>
  <c r="G83" i="81"/>
  <c r="H83" i="81"/>
  <c r="E83" i="81"/>
  <c r="I83" i="81"/>
  <c r="J83" i="81"/>
  <c r="K83" i="81"/>
  <c r="L83" i="81"/>
  <c r="M83" i="81"/>
  <c r="Q83" i="81"/>
  <c r="U83" i="81"/>
  <c r="F83" i="81"/>
  <c r="N83" i="81"/>
  <c r="O83" i="81"/>
  <c r="P83" i="81"/>
  <c r="A84" i="81"/>
  <c r="N84" i="81" l="1"/>
  <c r="O84" i="81"/>
  <c r="P84" i="81"/>
  <c r="C84" i="81"/>
  <c r="S84" i="81"/>
  <c r="D84" i="81"/>
  <c r="T84" i="81"/>
  <c r="B84" i="81"/>
  <c r="F84" i="81"/>
  <c r="G84" i="81"/>
  <c r="H84" i="81"/>
  <c r="J84" i="81"/>
  <c r="K84" i="81"/>
  <c r="L84" i="81"/>
  <c r="M84" i="81"/>
  <c r="Q84" i="81"/>
  <c r="E84" i="81"/>
  <c r="I84" i="81"/>
  <c r="U84" i="81"/>
  <c r="R84" i="81"/>
  <c r="A85" i="81"/>
  <c r="J85" i="81" l="1"/>
  <c r="K85" i="81"/>
  <c r="L85" i="81"/>
  <c r="O85" i="81"/>
  <c r="P85" i="81"/>
  <c r="E85" i="81"/>
  <c r="G85" i="81"/>
  <c r="H85" i="81"/>
  <c r="I85" i="81"/>
  <c r="N85" i="81"/>
  <c r="Q85" i="81"/>
  <c r="R85" i="81"/>
  <c r="S85" i="81"/>
  <c r="B85" i="81"/>
  <c r="C85" i="81"/>
  <c r="D85" i="81"/>
  <c r="F85" i="81"/>
  <c r="M85" i="81"/>
  <c r="T85" i="81"/>
  <c r="U85" i="81"/>
  <c r="A86" i="81"/>
  <c r="F86" i="81" l="1"/>
  <c r="G86" i="81"/>
  <c r="H86" i="81"/>
  <c r="K86" i="81"/>
  <c r="L86" i="81"/>
  <c r="I86" i="81"/>
  <c r="M86" i="81"/>
  <c r="N86" i="81"/>
  <c r="O86" i="81"/>
  <c r="Q86" i="81"/>
  <c r="R86" i="81"/>
  <c r="S86" i="81"/>
  <c r="T86" i="81"/>
  <c r="E86" i="81"/>
  <c r="J86" i="81"/>
  <c r="P86" i="81"/>
  <c r="U86" i="81"/>
  <c r="D86" i="81"/>
  <c r="B86" i="81"/>
  <c r="C86" i="81"/>
  <c r="A87" i="81"/>
  <c r="B87" i="81" l="1"/>
  <c r="R87" i="81"/>
  <c r="C87" i="81"/>
  <c r="S87" i="81"/>
  <c r="D87" i="81"/>
  <c r="G87" i="81"/>
  <c r="H87" i="81"/>
  <c r="L87" i="81"/>
  <c r="N87" i="81"/>
  <c r="O87" i="81"/>
  <c r="P87" i="81"/>
  <c r="T87" i="81"/>
  <c r="U87" i="81"/>
  <c r="F87" i="81"/>
  <c r="I87" i="81"/>
  <c r="J87" i="81"/>
  <c r="K87" i="81"/>
  <c r="E87" i="81"/>
  <c r="M87" i="81"/>
  <c r="Q87" i="81"/>
  <c r="A88" i="81"/>
  <c r="N88" i="81" l="1"/>
  <c r="O88" i="81"/>
  <c r="C88" i="81"/>
  <c r="S88" i="81"/>
  <c r="D88" i="81"/>
  <c r="L88" i="81"/>
  <c r="P88" i="81"/>
  <c r="Q88" i="81"/>
  <c r="R88" i="81"/>
  <c r="U88" i="81"/>
  <c r="B88" i="81"/>
  <c r="E88" i="81"/>
  <c r="K88" i="81"/>
  <c r="M88" i="81"/>
  <c r="T88" i="81"/>
  <c r="F88" i="81"/>
  <c r="G88" i="81"/>
  <c r="H88" i="81"/>
  <c r="I88" i="81"/>
  <c r="J88" i="81"/>
  <c r="A89" i="81"/>
  <c r="J89" i="81" l="1"/>
  <c r="K89" i="81"/>
  <c r="O89" i="81"/>
  <c r="M89" i="81"/>
  <c r="P89" i="81"/>
  <c r="Q89" i="81"/>
  <c r="R89" i="81"/>
  <c r="T89" i="81"/>
  <c r="B89" i="81"/>
  <c r="U89" i="81"/>
  <c r="C89" i="81"/>
  <c r="D89" i="81"/>
  <c r="E89" i="81"/>
  <c r="G89" i="81"/>
  <c r="H89" i="81"/>
  <c r="I89" i="81"/>
  <c r="L89" i="81"/>
  <c r="F89" i="81"/>
  <c r="N89" i="81"/>
  <c r="S89" i="81"/>
  <c r="A90" i="81"/>
  <c r="F90" i="81" l="1"/>
  <c r="G90" i="81"/>
  <c r="K90" i="81"/>
  <c r="M90" i="81"/>
  <c r="O90" i="81"/>
  <c r="P90" i="81"/>
  <c r="Q90" i="81"/>
  <c r="S90" i="81"/>
  <c r="T90" i="81"/>
  <c r="B90" i="81"/>
  <c r="U90" i="81"/>
  <c r="C90" i="81"/>
  <c r="L90" i="81"/>
  <c r="N90" i="81"/>
  <c r="R90" i="81"/>
  <c r="J90" i="81"/>
  <c r="D90" i="81"/>
  <c r="E90" i="81"/>
  <c r="H90" i="81"/>
  <c r="I90" i="81"/>
  <c r="A91" i="81"/>
  <c r="B91" i="81" l="1"/>
  <c r="R91" i="81"/>
  <c r="C91" i="81"/>
  <c r="G91" i="81"/>
  <c r="L91" i="81"/>
  <c r="N91" i="81"/>
  <c r="O91" i="81"/>
  <c r="P91" i="81"/>
  <c r="S91" i="81"/>
  <c r="T91" i="81"/>
  <c r="U91" i="81"/>
  <c r="D91" i="81"/>
  <c r="E91" i="81"/>
  <c r="H91" i="81"/>
  <c r="I91" i="81"/>
  <c r="J91" i="81"/>
  <c r="K91" i="81"/>
  <c r="F91" i="81"/>
  <c r="M91" i="81"/>
  <c r="Q91" i="81"/>
  <c r="A92" i="81"/>
  <c r="N92" i="81" l="1"/>
  <c r="C92" i="81"/>
  <c r="S92" i="81"/>
  <c r="J92" i="81"/>
  <c r="L92" i="81"/>
  <c r="M92" i="81"/>
  <c r="O92" i="81"/>
  <c r="Q92" i="81"/>
  <c r="R92" i="81"/>
  <c r="T92" i="81"/>
  <c r="B92" i="81"/>
  <c r="U92" i="81"/>
  <c r="I92" i="81"/>
  <c r="K92" i="81"/>
  <c r="P92" i="81"/>
  <c r="D92" i="81"/>
  <c r="E92" i="81"/>
  <c r="F92" i="81"/>
  <c r="G92" i="81"/>
  <c r="H92" i="81"/>
  <c r="A93" i="81"/>
  <c r="J93" i="81" l="1"/>
  <c r="O93" i="81"/>
  <c r="H93" i="81"/>
  <c r="K93" i="81"/>
  <c r="L93" i="81"/>
  <c r="M93" i="81"/>
  <c r="P93" i="81"/>
  <c r="Q93" i="81"/>
  <c r="R93" i="81"/>
  <c r="S93" i="81"/>
  <c r="B93" i="81"/>
  <c r="D93" i="81"/>
  <c r="E93" i="81"/>
  <c r="F93" i="81"/>
  <c r="G93" i="81"/>
  <c r="C93" i="81"/>
  <c r="I93" i="81"/>
  <c r="N93" i="81"/>
  <c r="T93" i="81"/>
  <c r="U93" i="81"/>
  <c r="A94" i="81"/>
  <c r="F94" i="81" l="1"/>
  <c r="K94" i="81"/>
  <c r="G94" i="81"/>
  <c r="I94" i="81"/>
  <c r="J94" i="81"/>
  <c r="L94" i="81"/>
  <c r="N94" i="81"/>
  <c r="O94" i="81"/>
  <c r="P94" i="81"/>
  <c r="Q94" i="81"/>
  <c r="E94" i="81"/>
  <c r="H94" i="81"/>
  <c r="M94" i="81"/>
  <c r="R94" i="81"/>
  <c r="T94" i="81"/>
  <c r="U94" i="81"/>
  <c r="S94" i="81"/>
  <c r="D94" i="81"/>
  <c r="B94" i="81"/>
  <c r="C94" i="81"/>
  <c r="A95" i="81"/>
  <c r="B95" i="81" l="1"/>
  <c r="R95" i="81"/>
  <c r="G95" i="81"/>
  <c r="E95" i="81"/>
  <c r="H95" i="81"/>
  <c r="I95" i="81"/>
  <c r="J95" i="81"/>
  <c r="L95" i="81"/>
  <c r="M95" i="81"/>
  <c r="N95" i="81"/>
  <c r="O95" i="81"/>
  <c r="C95" i="81"/>
  <c r="D95" i="81"/>
  <c r="F95" i="81"/>
  <c r="K95" i="81"/>
  <c r="P95" i="81"/>
  <c r="Q95" i="81"/>
  <c r="S95" i="81"/>
  <c r="T95" i="81"/>
  <c r="U95" i="81"/>
  <c r="A96" i="81"/>
  <c r="N96" i="81" l="1"/>
  <c r="C96" i="81"/>
  <c r="S96" i="81"/>
  <c r="D96" i="81"/>
  <c r="F96" i="81"/>
  <c r="G96" i="81"/>
  <c r="H96" i="81"/>
  <c r="J96" i="81"/>
  <c r="K96" i="81"/>
  <c r="L96" i="81"/>
  <c r="M96" i="81"/>
  <c r="B96" i="81"/>
  <c r="E96" i="81"/>
  <c r="I96" i="81"/>
  <c r="O96" i="81"/>
  <c r="Q96" i="81"/>
  <c r="R96" i="81"/>
  <c r="T96" i="81"/>
  <c r="U96" i="81"/>
  <c r="P96" i="81"/>
  <c r="A97" i="81"/>
  <c r="J97" i="81" l="1"/>
  <c r="O97" i="81"/>
  <c r="B97" i="81"/>
  <c r="T97" i="81"/>
  <c r="D97" i="81"/>
  <c r="E97" i="81"/>
  <c r="F97" i="81"/>
  <c r="H97" i="81"/>
  <c r="I97" i="81"/>
  <c r="K97" i="81"/>
  <c r="L97" i="81"/>
  <c r="S97" i="81"/>
  <c r="U97" i="81"/>
  <c r="C97" i="81"/>
  <c r="G97" i="81"/>
  <c r="R97" i="81"/>
  <c r="M97" i="81"/>
  <c r="N97" i="81"/>
  <c r="P97" i="81"/>
  <c r="Q97" i="81"/>
  <c r="A98" i="81"/>
  <c r="F98" i="81" l="1"/>
  <c r="K98" i="81"/>
  <c r="R98" i="81"/>
  <c r="B98" i="81"/>
  <c r="T98" i="81"/>
  <c r="C98" i="81"/>
  <c r="U98" i="81"/>
  <c r="D98" i="81"/>
  <c r="G98" i="81"/>
  <c r="H98" i="81"/>
  <c r="I98" i="81"/>
  <c r="J98" i="81"/>
  <c r="E98" i="81"/>
  <c r="L98" i="81"/>
  <c r="N98" i="81"/>
  <c r="O98" i="81"/>
  <c r="P98" i="81"/>
  <c r="Q98" i="81"/>
  <c r="M98" i="81"/>
  <c r="S98" i="81"/>
  <c r="A99" i="81"/>
  <c r="B99" i="81" l="1"/>
  <c r="R99" i="81"/>
  <c r="G99" i="81"/>
  <c r="P99" i="81"/>
  <c r="S99" i="81"/>
  <c r="T99" i="81"/>
  <c r="C99" i="81"/>
  <c r="U99" i="81"/>
  <c r="E99" i="81"/>
  <c r="F99" i="81"/>
  <c r="H99" i="81"/>
  <c r="I99" i="81"/>
  <c r="O99" i="81"/>
  <c r="Q99" i="81"/>
  <c r="D99" i="81"/>
  <c r="J99" i="81"/>
  <c r="K99" i="81"/>
  <c r="L99" i="81"/>
  <c r="M99" i="81"/>
  <c r="N99" i="81"/>
  <c r="A100" i="81"/>
  <c r="N100" i="81" l="1"/>
  <c r="C100" i="81"/>
  <c r="S100" i="81"/>
  <c r="O100" i="81"/>
  <c r="Q100" i="81"/>
  <c r="R100" i="81"/>
  <c r="T100" i="81"/>
  <c r="D100" i="81"/>
  <c r="E100" i="81"/>
  <c r="F100" i="81"/>
  <c r="G100" i="81"/>
  <c r="B100" i="81"/>
  <c r="H100" i="81"/>
  <c r="J100" i="81"/>
  <c r="K100" i="81"/>
  <c r="L100" i="81"/>
  <c r="I100" i="81"/>
  <c r="M100" i="81"/>
  <c r="P100" i="81"/>
  <c r="U100" i="81"/>
  <c r="A101" i="81"/>
  <c r="J101" i="81" l="1"/>
  <c r="O101" i="81"/>
  <c r="M101" i="81"/>
  <c r="P101" i="81"/>
  <c r="Q101" i="81"/>
  <c r="R101" i="81"/>
  <c r="B101" i="81"/>
  <c r="T101" i="81"/>
  <c r="C101" i="81"/>
  <c r="U101" i="81"/>
  <c r="D101" i="81"/>
  <c r="E101" i="81"/>
  <c r="L101" i="81"/>
  <c r="N101" i="81"/>
  <c r="S101" i="81"/>
  <c r="K101" i="81"/>
  <c r="I101" i="81"/>
  <c r="F101" i="81"/>
  <c r="G101" i="81"/>
  <c r="H101" i="81"/>
  <c r="A102" i="81"/>
  <c r="F102" i="81" l="1"/>
  <c r="K102" i="81"/>
  <c r="L102" i="81"/>
  <c r="N102" i="81"/>
  <c r="O102" i="81"/>
  <c r="P102" i="81"/>
  <c r="R102" i="81"/>
  <c r="S102" i="81"/>
  <c r="B102" i="81"/>
  <c r="T102" i="81"/>
  <c r="C102" i="81"/>
  <c r="U102" i="81"/>
  <c r="D102" i="81"/>
  <c r="G102" i="81"/>
  <c r="H102" i="81"/>
  <c r="I102" i="81"/>
  <c r="E102" i="81"/>
  <c r="J102" i="81"/>
  <c r="M102" i="81"/>
  <c r="Q102" i="81"/>
  <c r="A103" i="81"/>
  <c r="B103" i="81" l="1"/>
  <c r="R103" i="81"/>
  <c r="G103" i="81"/>
  <c r="J103" i="81"/>
  <c r="L103" i="81"/>
  <c r="M103" i="81"/>
  <c r="N103" i="81"/>
  <c r="P103" i="81"/>
  <c r="Q103" i="81"/>
  <c r="S103" i="81"/>
  <c r="T103" i="81"/>
  <c r="I103" i="81"/>
  <c r="K103" i="81"/>
  <c r="O103" i="81"/>
  <c r="U103" i="81"/>
  <c r="C103" i="81"/>
  <c r="D103" i="81"/>
  <c r="E103" i="81"/>
  <c r="F103" i="81"/>
  <c r="H103" i="81"/>
  <c r="A104" i="81"/>
  <c r="N104" i="81" l="1"/>
  <c r="C104" i="81"/>
  <c r="S104" i="81"/>
  <c r="H104" i="81"/>
  <c r="J104" i="81"/>
  <c r="K104" i="81"/>
  <c r="L104" i="81"/>
  <c r="O104" i="81"/>
  <c r="P104" i="81"/>
  <c r="Q104" i="81"/>
  <c r="R104" i="81"/>
  <c r="D104" i="81"/>
  <c r="E104" i="81"/>
  <c r="F104" i="81"/>
  <c r="B104" i="81"/>
  <c r="U104" i="81"/>
  <c r="G104" i="81"/>
  <c r="I104" i="81"/>
  <c r="M104" i="81"/>
  <c r="T104" i="81"/>
  <c r="A105" i="81"/>
  <c r="J105" i="81" l="1"/>
  <c r="O105" i="81"/>
  <c r="F105" i="81"/>
  <c r="H105" i="81"/>
  <c r="I105" i="81"/>
  <c r="K105" i="81"/>
  <c r="M105" i="81"/>
  <c r="N105" i="81"/>
  <c r="P105" i="81"/>
  <c r="Q105" i="81"/>
  <c r="E105" i="81"/>
  <c r="G105" i="81"/>
  <c r="L105" i="81"/>
  <c r="R105" i="81"/>
  <c r="T105" i="81"/>
  <c r="U105" i="81"/>
  <c r="B105" i="81"/>
  <c r="C105" i="81"/>
  <c r="D105" i="81"/>
  <c r="S105" i="81"/>
  <c r="A106" i="81"/>
  <c r="F106" i="81" l="1"/>
  <c r="K106" i="81"/>
  <c r="D106" i="81"/>
  <c r="G106" i="81"/>
  <c r="H106" i="81"/>
  <c r="I106" i="81"/>
  <c r="L106" i="81"/>
  <c r="M106" i="81"/>
  <c r="N106" i="81"/>
  <c r="O106" i="81"/>
  <c r="U106" i="81"/>
  <c r="B106" i="81"/>
  <c r="C106" i="81"/>
  <c r="E106" i="81"/>
  <c r="J106" i="81"/>
  <c r="P106" i="81"/>
  <c r="Q106" i="81"/>
  <c r="R106" i="81"/>
  <c r="S106" i="81"/>
  <c r="T106" i="81"/>
  <c r="A107" i="81"/>
  <c r="B107" i="81" l="1"/>
  <c r="R107" i="81"/>
  <c r="G107" i="81"/>
  <c r="C107" i="81"/>
  <c r="U107" i="81"/>
  <c r="E107" i="81"/>
  <c r="F107" i="81"/>
  <c r="H107" i="81"/>
  <c r="J107" i="81"/>
  <c r="K107" i="81"/>
  <c r="L107" i="81"/>
  <c r="M107" i="81"/>
  <c r="D107" i="81"/>
  <c r="I107" i="81"/>
  <c r="N107" i="81"/>
  <c r="P107" i="81"/>
  <c r="Q107" i="81"/>
  <c r="S107" i="81"/>
  <c r="O107" i="81"/>
  <c r="T107" i="81"/>
  <c r="A108" i="81"/>
  <c r="N108" i="81" l="1"/>
  <c r="C108" i="81"/>
  <c r="S108" i="81"/>
  <c r="T108" i="81"/>
  <c r="D108" i="81"/>
  <c r="E108" i="81"/>
  <c r="F108" i="81"/>
  <c r="H108" i="81"/>
  <c r="I108" i="81"/>
  <c r="J108" i="81"/>
  <c r="K108" i="81"/>
  <c r="R108" i="81"/>
  <c r="U108" i="81"/>
  <c r="L108" i="81"/>
  <c r="M108" i="81"/>
  <c r="O108" i="81"/>
  <c r="P108" i="81"/>
  <c r="Q108" i="81"/>
  <c r="G108" i="81"/>
  <c r="B108" i="81"/>
  <c r="A109" i="81"/>
  <c r="J109" i="81" l="1"/>
  <c r="Q109" i="81"/>
  <c r="B109" i="81"/>
  <c r="S109" i="81"/>
  <c r="C109" i="81"/>
  <c r="T109" i="81"/>
  <c r="D109" i="81"/>
  <c r="U109" i="81"/>
  <c r="F109" i="81"/>
  <c r="G109" i="81"/>
  <c r="H109" i="81"/>
  <c r="E109" i="81"/>
  <c r="I109" i="81"/>
  <c r="L109" i="81"/>
  <c r="M109" i="81"/>
  <c r="N109" i="81"/>
  <c r="K109" i="81"/>
  <c r="O109" i="81"/>
  <c r="P109" i="81"/>
  <c r="R109" i="81"/>
  <c r="A110" i="81"/>
  <c r="F110" i="81" l="1"/>
  <c r="N110" i="81"/>
  <c r="P110" i="81"/>
  <c r="Q110" i="81"/>
  <c r="R110" i="81"/>
  <c r="C110" i="81"/>
  <c r="T110" i="81"/>
  <c r="D110" i="81"/>
  <c r="U110" i="81"/>
  <c r="E110" i="81"/>
  <c r="K110" i="81"/>
  <c r="L110" i="81"/>
  <c r="M110" i="81"/>
  <c r="O110" i="81"/>
  <c r="B110" i="81"/>
  <c r="G110" i="81"/>
  <c r="H110" i="81"/>
  <c r="I110" i="81"/>
  <c r="J110" i="81"/>
  <c r="S110" i="81"/>
  <c r="A111" i="81"/>
  <c r="B111" i="81" l="1"/>
  <c r="R111" i="81"/>
  <c r="K111" i="81"/>
  <c r="M111" i="81"/>
  <c r="N111" i="81"/>
  <c r="O111" i="81"/>
  <c r="Q111" i="81"/>
  <c r="S111" i="81"/>
  <c r="C111" i="81"/>
  <c r="T111" i="81"/>
  <c r="D111" i="81"/>
  <c r="E111" i="81"/>
  <c r="G111" i="81"/>
  <c r="H111" i="81"/>
  <c r="I111" i="81"/>
  <c r="J111" i="81"/>
  <c r="L111" i="81"/>
  <c r="P111" i="81"/>
  <c r="U111" i="81"/>
  <c r="F111" i="81"/>
  <c r="A112" i="81"/>
  <c r="N112" i="81" l="1"/>
  <c r="H112" i="81"/>
  <c r="J112" i="81"/>
  <c r="K112" i="81"/>
  <c r="L112" i="81"/>
  <c r="O112" i="81"/>
  <c r="P112" i="81"/>
  <c r="Q112" i="81"/>
  <c r="C112" i="81"/>
  <c r="D112" i="81"/>
  <c r="E112" i="81"/>
  <c r="F112" i="81"/>
  <c r="I112" i="81"/>
  <c r="M112" i="81"/>
  <c r="B112" i="81"/>
  <c r="G112" i="81"/>
  <c r="R112" i="81"/>
  <c r="S112" i="81"/>
  <c r="T112" i="81"/>
  <c r="U112" i="81"/>
  <c r="A113" i="81"/>
  <c r="J113" i="81" l="1"/>
  <c r="E113" i="81"/>
  <c r="G113" i="81"/>
  <c r="H113" i="81"/>
  <c r="I113" i="81"/>
  <c r="L113" i="81"/>
  <c r="M113" i="81"/>
  <c r="N113" i="81"/>
  <c r="O113" i="81"/>
  <c r="P113" i="81"/>
  <c r="Q113" i="81"/>
  <c r="R113" i="81"/>
  <c r="T113" i="81"/>
  <c r="U113" i="81"/>
  <c r="F113" i="81"/>
  <c r="K113" i="81"/>
  <c r="S113" i="81"/>
  <c r="D113" i="81"/>
  <c r="B113" i="81"/>
  <c r="C113" i="81"/>
  <c r="A114" i="81"/>
  <c r="F114" i="81" l="1"/>
  <c r="B114" i="81"/>
  <c r="S114" i="81"/>
  <c r="D114" i="81"/>
  <c r="U114" i="81"/>
  <c r="E114" i="81"/>
  <c r="G114" i="81"/>
  <c r="I114" i="81"/>
  <c r="J114" i="81"/>
  <c r="K114" i="81"/>
  <c r="T114" i="81"/>
  <c r="C114" i="81"/>
  <c r="H114" i="81"/>
  <c r="L114" i="81"/>
  <c r="M114" i="81"/>
  <c r="N114" i="81"/>
  <c r="O114" i="81"/>
  <c r="P114" i="81"/>
  <c r="Q114" i="81"/>
  <c r="R114" i="81"/>
  <c r="A115" i="81"/>
  <c r="B115" i="81" l="1"/>
  <c r="R115" i="81"/>
  <c r="P115" i="81"/>
  <c r="S115" i="81"/>
  <c r="C115" i="81"/>
  <c r="T115" i="81"/>
  <c r="D115" i="81"/>
  <c r="U115" i="81"/>
  <c r="F115" i="81"/>
  <c r="G115" i="81"/>
  <c r="H115" i="81"/>
  <c r="E115" i="81"/>
  <c r="I115" i="81"/>
  <c r="J115" i="81"/>
  <c r="L115" i="81"/>
  <c r="M115" i="81"/>
  <c r="Q115" i="81"/>
  <c r="K115" i="81"/>
  <c r="N115" i="81"/>
  <c r="O115" i="81"/>
  <c r="A116" i="81"/>
  <c r="N116" i="81" l="1"/>
  <c r="M116" i="81"/>
  <c r="P116" i="81"/>
  <c r="Q116" i="81"/>
  <c r="C116" i="81"/>
  <c r="T116" i="81"/>
  <c r="D116" i="81"/>
  <c r="U116" i="81"/>
  <c r="E116" i="81"/>
  <c r="K116" i="81"/>
  <c r="L116" i="81"/>
  <c r="O116" i="81"/>
  <c r="R116" i="81"/>
  <c r="B116" i="81"/>
  <c r="F116" i="81"/>
  <c r="G116" i="81"/>
  <c r="H116" i="81"/>
  <c r="I116" i="81"/>
  <c r="J116" i="81"/>
  <c r="S116" i="81"/>
  <c r="A117" i="81"/>
  <c r="J117" i="81" l="1"/>
  <c r="K117" i="81"/>
  <c r="M117" i="81"/>
  <c r="Q117" i="81"/>
  <c r="R117" i="81"/>
  <c r="P117" i="81"/>
  <c r="S117" i="81"/>
  <c r="T117" i="81"/>
  <c r="U117" i="81"/>
  <c r="B117" i="81"/>
  <c r="C117" i="81"/>
  <c r="D117" i="81"/>
  <c r="E117" i="81"/>
  <c r="F117" i="81"/>
  <c r="G117" i="81"/>
  <c r="O117" i="81"/>
  <c r="H117" i="81"/>
  <c r="I117" i="81"/>
  <c r="L117" i="81"/>
  <c r="N117" i="81"/>
  <c r="A118" i="81"/>
  <c r="F118" i="81" l="1"/>
  <c r="H118" i="81"/>
  <c r="J118" i="81"/>
  <c r="N118" i="81"/>
  <c r="O118" i="81"/>
  <c r="S118" i="81"/>
  <c r="T118" i="81"/>
  <c r="U118" i="81"/>
  <c r="C118" i="81"/>
  <c r="D118" i="81"/>
  <c r="B118" i="81"/>
  <c r="E118" i="81"/>
  <c r="G118" i="81"/>
  <c r="I118" i="81"/>
  <c r="K118" i="81"/>
  <c r="L118" i="81"/>
  <c r="M118" i="81"/>
  <c r="P118" i="81"/>
  <c r="Q118" i="81"/>
  <c r="R118" i="81"/>
  <c r="A119" i="81"/>
  <c r="B119" i="81" l="1"/>
  <c r="R119" i="81"/>
  <c r="E119" i="81"/>
  <c r="G119" i="81"/>
  <c r="K119" i="81"/>
  <c r="L119" i="81"/>
  <c r="U119" i="81"/>
  <c r="C119" i="81"/>
  <c r="F119" i="81"/>
  <c r="H119" i="81"/>
  <c r="P119" i="81"/>
  <c r="Q119" i="81"/>
  <c r="S119" i="81"/>
  <c r="T119" i="81"/>
  <c r="D119" i="81"/>
  <c r="O119" i="81"/>
  <c r="I119" i="81"/>
  <c r="J119" i="81"/>
  <c r="M119" i="81"/>
  <c r="N119" i="81"/>
  <c r="A120" i="81"/>
  <c r="N120" i="81" l="1"/>
  <c r="B120" i="81"/>
  <c r="S120" i="81"/>
  <c r="D120" i="81"/>
  <c r="U120" i="81"/>
  <c r="H120" i="81"/>
  <c r="I120" i="81"/>
  <c r="C120" i="81"/>
  <c r="E120" i="81"/>
  <c r="F120" i="81"/>
  <c r="J120" i="81"/>
  <c r="K120" i="81"/>
  <c r="G120" i="81"/>
  <c r="L120" i="81"/>
  <c r="M120" i="81"/>
  <c r="O120" i="81"/>
  <c r="P120" i="81"/>
  <c r="Q120" i="81"/>
  <c r="R120" i="81"/>
  <c r="T120" i="81"/>
  <c r="A121" i="81"/>
  <c r="J121" i="81" l="1"/>
  <c r="P121" i="81"/>
  <c r="R121" i="81"/>
  <c r="E121" i="81"/>
  <c r="F121" i="81"/>
  <c r="D121" i="81"/>
  <c r="G121" i="81"/>
  <c r="H121" i="81"/>
  <c r="I121" i="81"/>
  <c r="L121" i="81"/>
  <c r="M121" i="81"/>
  <c r="O121" i="81"/>
  <c r="Q121" i="81"/>
  <c r="S121" i="81"/>
  <c r="T121" i="81"/>
  <c r="U121" i="81"/>
  <c r="N121" i="81"/>
  <c r="B121" i="81"/>
  <c r="C121" i="81"/>
  <c r="K121" i="81"/>
  <c r="A122" i="81"/>
  <c r="F122" i="81" l="1"/>
  <c r="M122" i="81"/>
  <c r="O122" i="81"/>
  <c r="B122" i="81"/>
  <c r="S122" i="81"/>
  <c r="C122" i="81"/>
  <c r="T122" i="81"/>
  <c r="H122" i="81"/>
  <c r="I122" i="81"/>
  <c r="J122" i="81"/>
  <c r="K122" i="81"/>
  <c r="N122" i="81"/>
  <c r="P122" i="81"/>
  <c r="D122" i="81"/>
  <c r="E122" i="81"/>
  <c r="G122" i="81"/>
  <c r="L122" i="81"/>
  <c r="Q122" i="81"/>
  <c r="R122" i="81"/>
  <c r="U122" i="81"/>
  <c r="A123" i="81"/>
  <c r="B123" i="81" l="1"/>
  <c r="R123" i="81"/>
  <c r="J123" i="81"/>
  <c r="L123" i="81"/>
  <c r="P123" i="81"/>
  <c r="Q123" i="81"/>
  <c r="I123" i="81"/>
  <c r="K123" i="81"/>
  <c r="M123" i="81"/>
  <c r="N123" i="81"/>
  <c r="S123" i="81"/>
  <c r="T123" i="81"/>
  <c r="G123" i="81"/>
  <c r="H123" i="81"/>
  <c r="O123" i="81"/>
  <c r="U123" i="81"/>
  <c r="F123" i="81"/>
  <c r="C123" i="81"/>
  <c r="D123" i="81"/>
  <c r="E123" i="81"/>
  <c r="A124" i="81"/>
  <c r="N124" i="81" l="1"/>
  <c r="G124" i="81"/>
  <c r="I124" i="81"/>
  <c r="M124" i="81"/>
  <c r="O124" i="81"/>
  <c r="L124" i="81"/>
  <c r="P124" i="81"/>
  <c r="Q124" i="81"/>
  <c r="R124" i="81"/>
  <c r="T124" i="81"/>
  <c r="U124" i="81"/>
  <c r="B124" i="81"/>
  <c r="C124" i="81"/>
  <c r="D124" i="81"/>
  <c r="E124" i="81"/>
  <c r="F124" i="81"/>
  <c r="H124" i="81"/>
  <c r="J124" i="81"/>
  <c r="K124" i="81"/>
  <c r="S124" i="81"/>
  <c r="A125" i="81"/>
  <c r="J125" i="81" l="1"/>
  <c r="D125" i="81"/>
  <c r="U125" i="81"/>
  <c r="F125" i="81"/>
  <c r="K125" i="81"/>
  <c r="L125" i="81"/>
  <c r="P125" i="81"/>
  <c r="Q125" i="81"/>
  <c r="R125" i="81"/>
  <c r="S125" i="81"/>
  <c r="G125" i="81"/>
  <c r="H125" i="81"/>
  <c r="I125" i="81"/>
  <c r="M125" i="81"/>
  <c r="N125" i="81"/>
  <c r="O125" i="81"/>
  <c r="T125" i="81"/>
  <c r="E125" i="81"/>
  <c r="B125" i="81"/>
  <c r="C125" i="81"/>
  <c r="A126" i="81"/>
  <c r="F126" i="81" l="1"/>
  <c r="R126" i="81"/>
  <c r="C126" i="81"/>
  <c r="T126" i="81"/>
  <c r="H126" i="81"/>
  <c r="I126" i="81"/>
  <c r="Q126" i="81"/>
  <c r="S126" i="81"/>
  <c r="U126" i="81"/>
  <c r="B126" i="81"/>
  <c r="D126" i="81"/>
  <c r="E126" i="81"/>
  <c r="G126" i="81"/>
  <c r="J126" i="81"/>
  <c r="K126" i="81"/>
  <c r="P126" i="81"/>
  <c r="L126" i="81"/>
  <c r="M126" i="81"/>
  <c r="N126" i="81"/>
  <c r="O126" i="81"/>
  <c r="A127" i="81"/>
  <c r="B127" i="81" l="1"/>
  <c r="R127" i="81"/>
  <c r="O127" i="81"/>
  <c r="Q127" i="81"/>
  <c r="E127" i="81"/>
  <c r="F127" i="81"/>
  <c r="U127" i="81"/>
  <c r="C127" i="81"/>
  <c r="G127" i="81"/>
  <c r="H127" i="81"/>
  <c r="D127" i="81"/>
  <c r="I127" i="81"/>
  <c r="J127" i="81"/>
  <c r="K127" i="81"/>
  <c r="L127" i="81"/>
  <c r="M127" i="81"/>
  <c r="N127" i="81"/>
  <c r="P127" i="81"/>
  <c r="S127" i="81"/>
  <c r="T127" i="81"/>
  <c r="A128" i="81"/>
  <c r="N128" i="81" l="1"/>
  <c r="L128" i="81"/>
  <c r="O128" i="81"/>
  <c r="B128" i="81"/>
  <c r="S128" i="81"/>
  <c r="C128" i="81"/>
  <c r="T128" i="81"/>
  <c r="D128" i="81"/>
  <c r="E128" i="81"/>
  <c r="F128" i="81"/>
  <c r="H128" i="81"/>
  <c r="I128" i="81"/>
  <c r="R128" i="81"/>
  <c r="U128" i="81"/>
  <c r="G128" i="81"/>
  <c r="Q128" i="81"/>
  <c r="J128" i="81"/>
  <c r="K128" i="81"/>
  <c r="M128" i="81"/>
  <c r="P128" i="81"/>
  <c r="A129" i="81"/>
  <c r="J129" i="81" l="1"/>
  <c r="I129" i="81"/>
  <c r="L129" i="81"/>
  <c r="P129" i="81"/>
  <c r="Q129" i="81"/>
  <c r="D129" i="81"/>
  <c r="E129" i="81"/>
  <c r="F129" i="81"/>
  <c r="G129" i="81"/>
  <c r="K129" i="81"/>
  <c r="M129" i="81"/>
  <c r="B129" i="81"/>
  <c r="C129" i="81"/>
  <c r="H129" i="81"/>
  <c r="N129" i="81"/>
  <c r="O129" i="81"/>
  <c r="R129" i="81"/>
  <c r="S129" i="81"/>
  <c r="T129" i="81"/>
  <c r="U129" i="81"/>
  <c r="A130" i="81"/>
  <c r="F130" i="81" l="1"/>
  <c r="G130" i="81"/>
  <c r="I130" i="81"/>
  <c r="M130" i="81"/>
  <c r="N130" i="81"/>
  <c r="E130" i="81"/>
  <c r="H130" i="81"/>
  <c r="J130" i="81"/>
  <c r="K130" i="81"/>
  <c r="O130" i="81"/>
  <c r="P130" i="81"/>
  <c r="R130" i="81"/>
  <c r="S130" i="81"/>
  <c r="T130" i="81"/>
  <c r="U130" i="81"/>
  <c r="Q130" i="81"/>
  <c r="B130" i="81"/>
  <c r="C130" i="81"/>
  <c r="D130" i="81"/>
  <c r="L130" i="81"/>
  <c r="A131" i="81"/>
  <c r="B131" i="81" l="1"/>
  <c r="D131" i="81"/>
  <c r="T131" i="81"/>
  <c r="F131" i="81"/>
  <c r="J131" i="81"/>
  <c r="I131" i="81"/>
  <c r="K131" i="81"/>
  <c r="L131" i="81"/>
  <c r="O131" i="81"/>
  <c r="C131" i="81"/>
  <c r="E131" i="81"/>
  <c r="G131" i="81"/>
  <c r="H131" i="81"/>
  <c r="M131" i="81"/>
  <c r="N131" i="81"/>
  <c r="P131" i="81"/>
  <c r="Q131" i="81"/>
  <c r="R131" i="81"/>
  <c r="S131" i="81"/>
  <c r="U131" i="81"/>
  <c r="A132" i="81"/>
  <c r="P132" i="81" l="1"/>
  <c r="B132" i="81"/>
  <c r="R132" i="81"/>
  <c r="F132" i="81"/>
  <c r="I132" i="81"/>
  <c r="J132" i="81"/>
  <c r="N132" i="81"/>
  <c r="D132" i="81"/>
  <c r="E132" i="81"/>
  <c r="G132" i="81"/>
  <c r="H132" i="81"/>
  <c r="K132" i="81"/>
  <c r="L132" i="81"/>
  <c r="M132" i="81"/>
  <c r="O132" i="81"/>
  <c r="Q132" i="81"/>
  <c r="S132" i="81"/>
  <c r="T132" i="81"/>
  <c r="C132" i="81"/>
  <c r="U132" i="81"/>
  <c r="A133" i="81"/>
  <c r="L133" i="81" l="1"/>
  <c r="N133" i="81"/>
  <c r="B133" i="81"/>
  <c r="R133" i="81"/>
  <c r="H133" i="81"/>
  <c r="I133" i="81"/>
  <c r="O133" i="81"/>
  <c r="G133" i="81"/>
  <c r="J133" i="81"/>
  <c r="K133" i="81"/>
  <c r="M133" i="81"/>
  <c r="P133" i="81"/>
  <c r="Q133" i="81"/>
  <c r="S133" i="81"/>
  <c r="T133" i="81"/>
  <c r="U133" i="81"/>
  <c r="F133" i="81"/>
  <c r="E133" i="81"/>
  <c r="C133" i="81"/>
  <c r="D133" i="81"/>
  <c r="A134" i="81"/>
  <c r="H134" i="81" l="1"/>
  <c r="J134" i="81"/>
  <c r="N134" i="81"/>
  <c r="G134" i="81"/>
  <c r="I134" i="81"/>
  <c r="O134" i="81"/>
  <c r="M134" i="81"/>
  <c r="P134" i="81"/>
  <c r="Q134" i="81"/>
  <c r="R134" i="81"/>
  <c r="S134" i="81"/>
  <c r="T134" i="81"/>
  <c r="U134" i="81"/>
  <c r="B134" i="81"/>
  <c r="C134" i="81"/>
  <c r="L134" i="81"/>
  <c r="D134" i="81"/>
  <c r="E134" i="81"/>
  <c r="F134" i="81"/>
  <c r="K134" i="81"/>
  <c r="A135" i="81"/>
  <c r="D135" i="81" l="1"/>
  <c r="T135" i="81"/>
  <c r="F135" i="81"/>
  <c r="J135" i="81"/>
  <c r="H135" i="81"/>
  <c r="I135" i="81"/>
  <c r="N135" i="81"/>
  <c r="Q135" i="81"/>
  <c r="R135" i="81"/>
  <c r="S135" i="81"/>
  <c r="U135" i="81"/>
  <c r="B135" i="81"/>
  <c r="C135" i="81"/>
  <c r="E135" i="81"/>
  <c r="G135" i="81"/>
  <c r="P135" i="81"/>
  <c r="K135" i="81"/>
  <c r="L135" i="81"/>
  <c r="M135" i="81"/>
  <c r="O135" i="81"/>
  <c r="A136" i="81"/>
  <c r="P136" i="81" l="1"/>
  <c r="B136" i="81"/>
  <c r="R136" i="81"/>
  <c r="G136" i="81"/>
  <c r="H136" i="81"/>
  <c r="L136" i="81"/>
  <c r="T136" i="81"/>
  <c r="U136" i="81"/>
  <c r="C136" i="81"/>
  <c r="D136" i="81"/>
  <c r="E136" i="81"/>
  <c r="F136" i="81"/>
  <c r="I136" i="81"/>
  <c r="J136" i="81"/>
  <c r="K136" i="81"/>
  <c r="S136" i="81"/>
  <c r="M136" i="81"/>
  <c r="N136" i="81"/>
  <c r="O136" i="81"/>
  <c r="Q136" i="81"/>
  <c r="A137" i="81"/>
  <c r="L137" i="81" l="1"/>
  <c r="N137" i="81"/>
  <c r="E137" i="81"/>
  <c r="F137" i="81"/>
  <c r="T137" i="81"/>
  <c r="U137" i="81"/>
  <c r="B137" i="81"/>
  <c r="C137" i="81"/>
  <c r="D137" i="81"/>
  <c r="G137" i="81"/>
  <c r="H137" i="81"/>
  <c r="I137" i="81"/>
  <c r="J137" i="81"/>
  <c r="K137" i="81"/>
  <c r="M137" i="81"/>
  <c r="S137" i="81"/>
  <c r="O137" i="81"/>
  <c r="P137" i="81"/>
  <c r="Q137" i="81"/>
  <c r="R137" i="81"/>
  <c r="A138" i="81"/>
  <c r="H138" i="81" l="1"/>
  <c r="J138" i="81"/>
  <c r="C138" i="81"/>
  <c r="U138" i="81"/>
  <c r="D138" i="81"/>
  <c r="T138" i="81"/>
  <c r="B138" i="81"/>
  <c r="E138" i="81"/>
  <c r="F138" i="81"/>
  <c r="G138" i="81"/>
  <c r="I138" i="81"/>
  <c r="K138" i="81"/>
  <c r="L138" i="81"/>
  <c r="M138" i="81"/>
  <c r="N138" i="81"/>
  <c r="S138" i="81"/>
  <c r="O138" i="81"/>
  <c r="P138" i="81"/>
  <c r="Q138" i="81"/>
  <c r="R138" i="81"/>
  <c r="A139" i="81"/>
  <c r="D139" i="81" l="1"/>
  <c r="T139" i="81"/>
  <c r="F139" i="81"/>
  <c r="S139" i="81"/>
  <c r="B139" i="81"/>
  <c r="U139" i="81"/>
  <c r="C139" i="81"/>
  <c r="E139" i="81"/>
  <c r="G139" i="81"/>
  <c r="H139" i="81"/>
  <c r="I139" i="81"/>
  <c r="J139" i="81"/>
  <c r="K139" i="81"/>
  <c r="L139" i="81"/>
  <c r="M139" i="81"/>
  <c r="N139" i="81"/>
  <c r="O139" i="81"/>
  <c r="P139" i="81"/>
  <c r="Q139" i="81"/>
  <c r="R139" i="81"/>
  <c r="A140" i="81"/>
  <c r="P140" i="81" l="1"/>
  <c r="B140" i="81"/>
  <c r="R140" i="81"/>
  <c r="S140" i="81"/>
  <c r="T140" i="81"/>
  <c r="D140" i="81"/>
  <c r="E140" i="81"/>
  <c r="F140" i="81"/>
  <c r="G140" i="81"/>
  <c r="H140" i="81"/>
  <c r="I140" i="81"/>
  <c r="J140" i="81"/>
  <c r="K140" i="81"/>
  <c r="L140" i="81"/>
  <c r="M140" i="81"/>
  <c r="N140" i="81"/>
  <c r="C140" i="81"/>
  <c r="O140" i="81"/>
  <c r="Q140" i="81"/>
  <c r="U140" i="81"/>
  <c r="A141" i="81"/>
  <c r="L141" i="81" l="1"/>
  <c r="N141" i="81"/>
  <c r="Q141" i="81"/>
  <c r="R141" i="81"/>
  <c r="D141" i="81"/>
  <c r="E141" i="81"/>
  <c r="F141" i="81"/>
  <c r="G141" i="81"/>
  <c r="H141" i="81"/>
  <c r="I141" i="81"/>
  <c r="J141" i="81"/>
  <c r="K141" i="81"/>
  <c r="M141" i="81"/>
  <c r="O141" i="81"/>
  <c r="P141" i="81"/>
  <c r="C141" i="81"/>
  <c r="B141" i="81"/>
  <c r="S141" i="81"/>
  <c r="T141" i="81"/>
  <c r="U141" i="81"/>
  <c r="A142" i="81"/>
  <c r="H142" i="81" l="1"/>
  <c r="J142" i="81"/>
  <c r="O142" i="81"/>
  <c r="P142" i="81"/>
  <c r="D142" i="81"/>
  <c r="E142" i="81"/>
  <c r="F142" i="81"/>
  <c r="G142" i="81"/>
  <c r="I142" i="81"/>
  <c r="K142" i="81"/>
  <c r="L142" i="81"/>
  <c r="M142" i="81"/>
  <c r="N142" i="81"/>
  <c r="Q142" i="81"/>
  <c r="R142" i="81"/>
  <c r="C142" i="81"/>
  <c r="S142" i="81"/>
  <c r="T142" i="81"/>
  <c r="U142" i="81"/>
  <c r="B142" i="81"/>
  <c r="A143" i="81"/>
  <c r="D143" i="81" l="1"/>
  <c r="T143" i="81"/>
  <c r="F143" i="81"/>
  <c r="M143" i="81"/>
  <c r="N143" i="81"/>
  <c r="E143" i="81"/>
  <c r="G143" i="81"/>
  <c r="H143" i="81"/>
  <c r="I143" i="81"/>
  <c r="J143" i="81"/>
  <c r="K143" i="81"/>
  <c r="L143" i="81"/>
  <c r="O143" i="81"/>
  <c r="P143" i="81"/>
  <c r="Q143" i="81"/>
  <c r="R143" i="81"/>
  <c r="C143" i="81"/>
  <c r="B143" i="81"/>
  <c r="S143" i="81"/>
  <c r="U143" i="81"/>
  <c r="A144" i="81"/>
  <c r="P144" i="81" l="1"/>
  <c r="B144" i="81"/>
  <c r="R144" i="81"/>
  <c r="K144" i="81"/>
  <c r="L144" i="81"/>
  <c r="F144" i="81"/>
  <c r="G144" i="81"/>
  <c r="H144" i="81"/>
  <c r="I144" i="81"/>
  <c r="J144" i="81"/>
  <c r="M144" i="81"/>
  <c r="N144" i="81"/>
  <c r="O144" i="81"/>
  <c r="Q144" i="81"/>
  <c r="S144" i="81"/>
  <c r="T144" i="81"/>
  <c r="E144" i="81"/>
  <c r="C144" i="81"/>
  <c r="D144" i="81"/>
  <c r="U144" i="81"/>
  <c r="A145" i="81"/>
  <c r="L145" i="81" l="1"/>
  <c r="N145" i="81"/>
  <c r="I145" i="81"/>
  <c r="J145" i="81"/>
  <c r="F145" i="81"/>
  <c r="G145" i="81"/>
  <c r="H145" i="81"/>
  <c r="K145" i="81"/>
  <c r="M145" i="81"/>
  <c r="P145" i="81"/>
  <c r="Q145" i="81"/>
  <c r="R145" i="81"/>
  <c r="S145" i="81"/>
  <c r="T145" i="81"/>
  <c r="E145" i="81"/>
  <c r="O145" i="81"/>
  <c r="U145" i="81"/>
  <c r="D145" i="81"/>
  <c r="B145" i="81"/>
  <c r="C145" i="81"/>
  <c r="A146" i="81"/>
  <c r="H146" i="81" l="1"/>
  <c r="J146" i="81"/>
  <c r="G146" i="81"/>
  <c r="I146" i="81"/>
  <c r="F146" i="81"/>
  <c r="K146" i="81"/>
  <c r="L146" i="81"/>
  <c r="M146" i="81"/>
  <c r="N146" i="81"/>
  <c r="P146" i="81"/>
  <c r="Q146" i="81"/>
  <c r="R146" i="81"/>
  <c r="S146" i="81"/>
  <c r="T146" i="81"/>
  <c r="E146" i="81"/>
  <c r="D146" i="81"/>
  <c r="O146" i="81"/>
  <c r="U146" i="81"/>
  <c r="B146" i="81"/>
  <c r="C146" i="81"/>
  <c r="A147" i="81"/>
  <c r="D147" i="81" l="1"/>
  <c r="T147" i="81"/>
  <c r="F147" i="81"/>
  <c r="G147" i="81"/>
  <c r="H147" i="81"/>
  <c r="J147" i="81"/>
  <c r="K147" i="81"/>
  <c r="L147" i="81"/>
  <c r="M147" i="81"/>
  <c r="N147" i="81"/>
  <c r="P147" i="81"/>
  <c r="Q147" i="81"/>
  <c r="R147" i="81"/>
  <c r="S147" i="81"/>
  <c r="U147" i="81"/>
  <c r="I147" i="81"/>
  <c r="B147" i="81"/>
  <c r="C147" i="81"/>
  <c r="E147" i="81"/>
  <c r="O147" i="81"/>
  <c r="A148" i="81"/>
  <c r="P148" i="81" l="1"/>
  <c r="B148" i="81"/>
  <c r="R148" i="81"/>
  <c r="E148" i="81"/>
  <c r="F148" i="81"/>
  <c r="J148" i="81"/>
  <c r="K148" i="81"/>
  <c r="L148" i="81"/>
  <c r="M148" i="81"/>
  <c r="N148" i="81"/>
  <c r="Q148" i="81"/>
  <c r="S148" i="81"/>
  <c r="T148" i="81"/>
  <c r="U148" i="81"/>
  <c r="I148" i="81"/>
  <c r="C148" i="81"/>
  <c r="D148" i="81"/>
  <c r="G148" i="81"/>
  <c r="H148" i="81"/>
  <c r="O148" i="81"/>
  <c r="A149" i="81"/>
  <c r="L149" i="81" l="1"/>
  <c r="N149" i="81"/>
  <c r="C149" i="81"/>
  <c r="U149" i="81"/>
  <c r="D149" i="81"/>
  <c r="K149" i="81"/>
  <c r="M149" i="81"/>
  <c r="O149" i="81"/>
  <c r="P149" i="81"/>
  <c r="R149" i="81"/>
  <c r="S149" i="81"/>
  <c r="T149" i="81"/>
  <c r="B149" i="81"/>
  <c r="I149" i="81"/>
  <c r="J149" i="81"/>
  <c r="Q149" i="81"/>
  <c r="E149" i="81"/>
  <c r="F149" i="81"/>
  <c r="G149" i="81"/>
  <c r="H149" i="81"/>
  <c r="A150" i="81"/>
  <c r="H150" i="81" l="1"/>
  <c r="J150" i="81"/>
  <c r="S150" i="81"/>
  <c r="B150" i="81"/>
  <c r="T150" i="81"/>
  <c r="M150" i="81"/>
  <c r="N150" i="81"/>
  <c r="O150" i="81"/>
  <c r="P150" i="81"/>
  <c r="R150" i="81"/>
  <c r="U150" i="81"/>
  <c r="C150" i="81"/>
  <c r="D150" i="81"/>
  <c r="K150" i="81"/>
  <c r="E150" i="81"/>
  <c r="F150" i="81"/>
  <c r="G150" i="81"/>
  <c r="I150" i="81"/>
  <c r="L150" i="81"/>
  <c r="Q150" i="81"/>
  <c r="A151" i="81"/>
  <c r="D151" i="81" l="1"/>
  <c r="T151" i="81"/>
  <c r="F151" i="81"/>
  <c r="Q151" i="81"/>
  <c r="R151" i="81"/>
  <c r="M151" i="81"/>
  <c r="N151" i="81"/>
  <c r="O151" i="81"/>
  <c r="P151" i="81"/>
  <c r="U151" i="81"/>
  <c r="B151" i="81"/>
  <c r="C151" i="81"/>
  <c r="E151" i="81"/>
  <c r="K151" i="81"/>
  <c r="G151" i="81"/>
  <c r="H151" i="81"/>
  <c r="S151" i="81"/>
  <c r="I151" i="81"/>
  <c r="J151" i="81"/>
  <c r="L151" i="81"/>
  <c r="A152" i="81"/>
  <c r="P152" i="81" l="1"/>
  <c r="B152" i="81"/>
  <c r="R152" i="81"/>
  <c r="O152" i="81"/>
  <c r="Q152" i="81"/>
  <c r="M152" i="81"/>
  <c r="N152" i="81"/>
  <c r="S152" i="81"/>
  <c r="T152" i="81"/>
  <c r="C152" i="81"/>
  <c r="D152" i="81"/>
  <c r="E152" i="81"/>
  <c r="F152" i="81"/>
  <c r="K152" i="81"/>
  <c r="I152" i="81"/>
  <c r="J152" i="81"/>
  <c r="L152" i="81"/>
  <c r="U152" i="81"/>
  <c r="G152" i="81"/>
  <c r="H152" i="81"/>
  <c r="A153" i="81"/>
  <c r="L153" i="81" l="1"/>
  <c r="N153" i="81"/>
  <c r="O153" i="81"/>
  <c r="P153" i="81"/>
  <c r="Q153" i="81"/>
  <c r="R153" i="81"/>
  <c r="S153" i="81"/>
  <c r="T153" i="81"/>
  <c r="B153" i="81"/>
  <c r="C153" i="81"/>
  <c r="D153" i="81"/>
  <c r="E153" i="81"/>
  <c r="F153" i="81"/>
  <c r="K153" i="81"/>
  <c r="G153" i="81"/>
  <c r="I153" i="81"/>
  <c r="J153" i="81"/>
  <c r="M153" i="81"/>
  <c r="H153" i="81"/>
  <c r="U153" i="81"/>
  <c r="A154" i="81"/>
  <c r="H154" i="81" l="1"/>
  <c r="J154" i="81"/>
  <c r="M154" i="81"/>
  <c r="N154" i="81"/>
  <c r="Q154" i="81"/>
  <c r="R154" i="81"/>
  <c r="S154" i="81"/>
  <c r="T154" i="81"/>
  <c r="B154" i="81"/>
  <c r="C154" i="81"/>
  <c r="D154" i="81"/>
  <c r="E154" i="81"/>
  <c r="F154" i="81"/>
  <c r="O154" i="81"/>
  <c r="G154" i="81"/>
  <c r="I154" i="81"/>
  <c r="K154" i="81"/>
  <c r="L154" i="81"/>
  <c r="P154" i="81"/>
  <c r="U154" i="81"/>
  <c r="A155" i="81"/>
  <c r="D155" i="81" l="1"/>
  <c r="T155" i="81"/>
  <c r="F155" i="81"/>
  <c r="K155" i="81"/>
  <c r="L155" i="81"/>
  <c r="Q155" i="81"/>
  <c r="R155" i="81"/>
  <c r="S155" i="81"/>
  <c r="U155" i="81"/>
  <c r="B155" i="81"/>
  <c r="C155" i="81"/>
  <c r="E155" i="81"/>
  <c r="G155" i="81"/>
  <c r="H155" i="81"/>
  <c r="O155" i="81"/>
  <c r="I155" i="81"/>
  <c r="J155" i="81"/>
  <c r="M155" i="81"/>
  <c r="N155" i="81"/>
  <c r="P155" i="81"/>
  <c r="A156" i="81"/>
  <c r="P156" i="81" l="1"/>
  <c r="B156" i="81"/>
  <c r="R156" i="81"/>
  <c r="I156" i="81"/>
  <c r="J156" i="81"/>
  <c r="S156" i="81"/>
  <c r="T156" i="81"/>
  <c r="D156" i="81"/>
  <c r="E156" i="81"/>
  <c r="F156" i="81"/>
  <c r="G156" i="81"/>
  <c r="H156" i="81"/>
  <c r="O156" i="81"/>
  <c r="K156" i="81"/>
  <c r="L156" i="81"/>
  <c r="M156" i="81"/>
  <c r="C156" i="81"/>
  <c r="N156" i="81"/>
  <c r="Q156" i="81"/>
  <c r="U156" i="81"/>
  <c r="A157" i="81"/>
  <c r="L157" i="81" l="1"/>
  <c r="N157" i="81"/>
  <c r="G157" i="81"/>
  <c r="H157" i="81"/>
  <c r="S157" i="81"/>
  <c r="T157" i="81"/>
  <c r="B157" i="81"/>
  <c r="D157" i="81"/>
  <c r="E157" i="81"/>
  <c r="F157" i="81"/>
  <c r="I157" i="81"/>
  <c r="J157" i="81"/>
  <c r="Q157" i="81"/>
  <c r="P157" i="81"/>
  <c r="R157" i="81"/>
  <c r="U157" i="81"/>
  <c r="M157" i="81"/>
  <c r="O157" i="81"/>
  <c r="K157" i="81"/>
  <c r="C157" i="81"/>
  <c r="A158" i="81"/>
  <c r="H158" i="81" l="1"/>
  <c r="J158" i="81"/>
  <c r="E158" i="81"/>
  <c r="F158" i="81"/>
  <c r="S158" i="81"/>
  <c r="T158" i="81"/>
  <c r="B158" i="81"/>
  <c r="D158" i="81"/>
  <c r="G158" i="81"/>
  <c r="I158" i="81"/>
  <c r="K158" i="81"/>
  <c r="Q158" i="81"/>
  <c r="C158" i="81"/>
  <c r="L158" i="81"/>
  <c r="N158" i="81"/>
  <c r="O158" i="81"/>
  <c r="P158" i="81"/>
  <c r="M158" i="81"/>
  <c r="R158" i="81"/>
  <c r="U158" i="81"/>
  <c r="A159" i="81"/>
  <c r="D159" i="81" l="1"/>
  <c r="T159" i="81"/>
  <c r="F159" i="81"/>
  <c r="C159" i="81"/>
  <c r="E159" i="81"/>
  <c r="S159" i="81"/>
  <c r="U159" i="81"/>
  <c r="B159" i="81"/>
  <c r="H159" i="81"/>
  <c r="I159" i="81"/>
  <c r="J159" i="81"/>
  <c r="K159" i="81"/>
  <c r="P159" i="81"/>
  <c r="Q159" i="81"/>
  <c r="R159" i="81"/>
  <c r="G159" i="81"/>
  <c r="L159" i="81"/>
  <c r="M159" i="81"/>
  <c r="N159" i="81"/>
  <c r="O159" i="81"/>
  <c r="A160" i="81"/>
  <c r="P160" i="81" l="1"/>
  <c r="B160" i="81"/>
  <c r="R160" i="81"/>
  <c r="C160" i="81"/>
  <c r="U160" i="81"/>
  <c r="D160" i="81"/>
  <c r="F160" i="81"/>
  <c r="H160" i="81"/>
  <c r="I160" i="81"/>
  <c r="J160" i="81"/>
  <c r="K160" i="81"/>
  <c r="E160" i="81"/>
  <c r="G160" i="81"/>
  <c r="M160" i="81"/>
  <c r="N160" i="81"/>
  <c r="O160" i="81"/>
  <c r="L160" i="81"/>
  <c r="Q160" i="81"/>
  <c r="T160" i="81"/>
  <c r="S160" i="81"/>
  <c r="A161" i="81"/>
  <c r="L161" i="81" l="1"/>
  <c r="N161" i="81"/>
  <c r="S161" i="81"/>
  <c r="B161" i="81"/>
  <c r="T161" i="81"/>
  <c r="C161" i="81"/>
  <c r="D161" i="81"/>
  <c r="F161" i="81"/>
  <c r="H161" i="81"/>
  <c r="I161" i="81"/>
  <c r="J161" i="81"/>
  <c r="K161" i="81"/>
  <c r="P161" i="81"/>
  <c r="Q161" i="81"/>
  <c r="R161" i="81"/>
  <c r="U161" i="81"/>
  <c r="M161" i="81"/>
  <c r="O161" i="81"/>
  <c r="G161" i="81"/>
  <c r="E161" i="81"/>
  <c r="A162" i="81"/>
  <c r="H162" i="81" l="1"/>
  <c r="J162" i="81"/>
  <c r="Q162" i="81"/>
  <c r="R162" i="81"/>
  <c r="C162" i="81"/>
  <c r="D162" i="81"/>
  <c r="F162" i="81"/>
  <c r="I162" i="81"/>
  <c r="K162" i="81"/>
  <c r="L162" i="81"/>
  <c r="M162" i="81"/>
  <c r="B162" i="81"/>
  <c r="G162" i="81"/>
  <c r="N162" i="81"/>
  <c r="O162" i="81"/>
  <c r="E162" i="81"/>
  <c r="P162" i="81"/>
  <c r="S162" i="81"/>
  <c r="T162" i="81"/>
  <c r="U162" i="81"/>
  <c r="A163" i="81"/>
  <c r="D163" i="81" l="1"/>
  <c r="T163" i="81"/>
  <c r="F163" i="81"/>
  <c r="O163" i="81"/>
  <c r="P163" i="81"/>
  <c r="C163" i="81"/>
  <c r="E163" i="81"/>
  <c r="H163" i="81"/>
  <c r="J163" i="81"/>
  <c r="K163" i="81"/>
  <c r="L163" i="81"/>
  <c r="M163" i="81"/>
  <c r="N163" i="81"/>
  <c r="Q163" i="81"/>
  <c r="R163" i="81"/>
  <c r="S163" i="81"/>
  <c r="U163" i="81"/>
  <c r="B163" i="81"/>
  <c r="G163" i="81"/>
  <c r="I163" i="81"/>
  <c r="A164" i="81"/>
  <c r="P164" i="81" l="1"/>
  <c r="B164" i="81"/>
  <c r="R164" i="81"/>
  <c r="M164" i="81"/>
  <c r="N164" i="81"/>
  <c r="E164" i="81"/>
  <c r="F164" i="81"/>
  <c r="H164" i="81"/>
  <c r="J164" i="81"/>
  <c r="K164" i="81"/>
  <c r="L164" i="81"/>
  <c r="O164" i="81"/>
  <c r="D164" i="81"/>
  <c r="G164" i="81"/>
  <c r="I164" i="81"/>
  <c r="C164" i="81"/>
  <c r="Q164" i="81"/>
  <c r="S164" i="81"/>
  <c r="T164" i="81"/>
  <c r="U164" i="81"/>
  <c r="A165" i="81"/>
  <c r="L165" i="81" l="1"/>
  <c r="N165" i="81"/>
  <c r="K165" i="81"/>
  <c r="M165" i="81"/>
  <c r="E165" i="81"/>
  <c r="F165" i="81"/>
  <c r="H165" i="81"/>
  <c r="J165" i="81"/>
  <c r="O165" i="81"/>
  <c r="P165" i="81"/>
  <c r="Q165" i="81"/>
  <c r="G165" i="81"/>
  <c r="I165" i="81"/>
  <c r="R165" i="81"/>
  <c r="S165" i="81"/>
  <c r="T165" i="81"/>
  <c r="C165" i="81"/>
  <c r="D165" i="81"/>
  <c r="U165" i="81"/>
  <c r="B165" i="81"/>
  <c r="A166" i="81"/>
  <c r="H166" i="81" l="1"/>
  <c r="J166" i="81"/>
  <c r="K166" i="81"/>
  <c r="L166" i="81"/>
  <c r="E166" i="81"/>
  <c r="F166" i="81"/>
  <c r="I166" i="81"/>
  <c r="N166" i="81"/>
  <c r="O166" i="81"/>
  <c r="P166" i="81"/>
  <c r="Q166" i="81"/>
  <c r="B166" i="81"/>
  <c r="C166" i="81"/>
  <c r="D166" i="81"/>
  <c r="G166" i="81"/>
  <c r="M166" i="81"/>
  <c r="R166" i="81"/>
  <c r="S166" i="81"/>
  <c r="T166" i="81"/>
  <c r="U166" i="81"/>
  <c r="A167" i="81"/>
  <c r="D167" i="81" l="1"/>
  <c r="T167" i="81"/>
  <c r="F167" i="81"/>
  <c r="I167" i="81"/>
  <c r="J167" i="81"/>
  <c r="G167" i="81"/>
  <c r="H167" i="81"/>
  <c r="L167" i="81"/>
  <c r="N167" i="81"/>
  <c r="O167" i="81"/>
  <c r="P167" i="81"/>
  <c r="Q167" i="81"/>
  <c r="C167" i="81"/>
  <c r="E167" i="81"/>
  <c r="K167" i="81"/>
  <c r="M167" i="81"/>
  <c r="R167" i="81"/>
  <c r="U167" i="81"/>
  <c r="B167" i="81"/>
  <c r="S167" i="81"/>
  <c r="A168" i="81"/>
  <c r="P168" i="81" l="1"/>
  <c r="B168" i="81"/>
  <c r="R168" i="81"/>
  <c r="G168" i="81"/>
  <c r="H168" i="81"/>
  <c r="I168" i="81"/>
  <c r="J168" i="81"/>
  <c r="L168" i="81"/>
  <c r="N168" i="81"/>
  <c r="O168" i="81"/>
  <c r="Q168" i="81"/>
  <c r="S168" i="81"/>
  <c r="C168" i="81"/>
  <c r="D168" i="81"/>
  <c r="U168" i="81"/>
  <c r="E168" i="81"/>
  <c r="T168" i="81"/>
  <c r="F168" i="81"/>
  <c r="K168" i="81"/>
  <c r="M168" i="81"/>
  <c r="A169" i="81"/>
  <c r="L169" i="81" l="1"/>
  <c r="N169" i="81"/>
  <c r="E169" i="81"/>
  <c r="F169" i="81"/>
  <c r="I169" i="81"/>
  <c r="J169" i="81"/>
  <c r="P169" i="81"/>
  <c r="Q169" i="81"/>
  <c r="R169" i="81"/>
  <c r="S169" i="81"/>
  <c r="C169" i="81"/>
  <c r="D169" i="81"/>
  <c r="G169" i="81"/>
  <c r="H169" i="81"/>
  <c r="K169" i="81"/>
  <c r="O169" i="81"/>
  <c r="T169" i="81"/>
  <c r="U169" i="81"/>
  <c r="B169" i="81"/>
  <c r="M169" i="81"/>
  <c r="A170" i="81"/>
  <c r="H170" i="81" l="1"/>
  <c r="J170" i="81"/>
  <c r="C170" i="81"/>
  <c r="U170" i="81"/>
  <c r="D170" i="81"/>
  <c r="K170" i="81"/>
  <c r="L170" i="81"/>
  <c r="P170" i="81"/>
  <c r="Q170" i="81"/>
  <c r="R170" i="81"/>
  <c r="S170" i="81"/>
  <c r="O170" i="81"/>
  <c r="T170" i="81"/>
  <c r="B170" i="81"/>
  <c r="E170" i="81"/>
  <c r="F170" i="81"/>
  <c r="G170" i="81"/>
  <c r="I170" i="81"/>
  <c r="M170" i="81"/>
  <c r="N170" i="81"/>
  <c r="A171" i="81"/>
  <c r="D171" i="81" l="1"/>
  <c r="T171" i="81"/>
  <c r="F171" i="81"/>
  <c r="S171" i="81"/>
  <c r="B171" i="81"/>
  <c r="U171" i="81"/>
  <c r="K171" i="81"/>
  <c r="L171" i="81"/>
  <c r="P171" i="81"/>
  <c r="Q171" i="81"/>
  <c r="R171" i="81"/>
  <c r="C171" i="81"/>
  <c r="E171" i="81"/>
  <c r="G171" i="81"/>
  <c r="I171" i="81"/>
  <c r="J171" i="81"/>
  <c r="M171" i="81"/>
  <c r="H171" i="81"/>
  <c r="N171" i="81"/>
  <c r="O171" i="81"/>
  <c r="A172" i="81"/>
  <c r="P172" i="81" l="1"/>
  <c r="B172" i="81"/>
  <c r="R172" i="81"/>
  <c r="T172" i="81"/>
  <c r="K172" i="81"/>
  <c r="L172" i="81"/>
  <c r="Q172" i="81"/>
  <c r="S172" i="81"/>
  <c r="U172" i="81"/>
  <c r="C172" i="81"/>
  <c r="I172" i="81"/>
  <c r="J172" i="81"/>
  <c r="M172" i="81"/>
  <c r="N172" i="81"/>
  <c r="O172" i="81"/>
  <c r="F172" i="81"/>
  <c r="G172" i="81"/>
  <c r="H172" i="81"/>
  <c r="E172" i="81"/>
  <c r="D172" i="81"/>
  <c r="A173" i="81"/>
  <c r="L173" i="81" l="1"/>
  <c r="N173" i="81"/>
  <c r="R173" i="81"/>
  <c r="J173" i="81"/>
  <c r="K173" i="81"/>
  <c r="Q173" i="81"/>
  <c r="S173" i="81"/>
  <c r="T173" i="81"/>
  <c r="B173" i="81"/>
  <c r="U173" i="81"/>
  <c r="D173" i="81"/>
  <c r="E173" i="81"/>
  <c r="C173" i="81"/>
  <c r="F173" i="81"/>
  <c r="G173" i="81"/>
  <c r="H173" i="81"/>
  <c r="I173" i="81"/>
  <c r="M173" i="81"/>
  <c r="O173" i="81"/>
  <c r="P173" i="81"/>
  <c r="A174" i="81"/>
  <c r="H174" i="81" l="1"/>
  <c r="J174" i="81"/>
  <c r="P174" i="81"/>
  <c r="K174" i="81"/>
  <c r="L174" i="81"/>
  <c r="Q174" i="81"/>
  <c r="R174" i="81"/>
  <c r="S174" i="81"/>
  <c r="T174" i="81"/>
  <c r="C174" i="81"/>
  <c r="D174" i="81"/>
  <c r="E174" i="81"/>
  <c r="F174" i="81"/>
  <c r="G174" i="81"/>
  <c r="M174" i="81"/>
  <c r="N174" i="81"/>
  <c r="B174" i="81"/>
  <c r="U174" i="81"/>
  <c r="O174" i="81"/>
  <c r="I174" i="81"/>
  <c r="A175" i="81"/>
  <c r="L175" i="81" l="1"/>
  <c r="H175" i="81"/>
  <c r="I175" i="81"/>
  <c r="N175" i="81"/>
  <c r="O175" i="81"/>
  <c r="P175" i="81"/>
  <c r="Q175" i="81"/>
  <c r="J175" i="81"/>
  <c r="K175" i="81"/>
  <c r="M175" i="81"/>
  <c r="R175" i="81"/>
  <c r="S175" i="81"/>
  <c r="U175" i="81"/>
  <c r="C175" i="81"/>
  <c r="D175" i="81"/>
  <c r="E175" i="81"/>
  <c r="F175" i="81"/>
  <c r="G175" i="81"/>
  <c r="T175" i="81"/>
  <c r="B175" i="81"/>
  <c r="A176" i="81"/>
  <c r="E176" i="81" l="1"/>
  <c r="U176" i="81"/>
  <c r="F176" i="81"/>
  <c r="J176" i="81"/>
  <c r="K176" i="81"/>
  <c r="L176" i="81"/>
  <c r="M176" i="81"/>
  <c r="Q176" i="81"/>
  <c r="R176" i="81"/>
  <c r="S176" i="81"/>
  <c r="T176" i="81"/>
  <c r="B176" i="81"/>
  <c r="C176" i="81"/>
  <c r="D176" i="81"/>
  <c r="G176" i="81"/>
  <c r="H176" i="81"/>
  <c r="N176" i="81"/>
  <c r="I176" i="81"/>
  <c r="O176" i="81"/>
  <c r="P176" i="81"/>
  <c r="A177" i="81"/>
  <c r="Q177" i="81" l="1"/>
  <c r="B177" i="81"/>
  <c r="R177" i="81"/>
  <c r="F177" i="81"/>
  <c r="G177" i="81"/>
  <c r="H177" i="81"/>
  <c r="I177" i="81"/>
  <c r="U177" i="81"/>
  <c r="C177" i="81"/>
  <c r="E177" i="81"/>
  <c r="J177" i="81"/>
  <c r="L177" i="81"/>
  <c r="M177" i="81"/>
  <c r="N177" i="81"/>
  <c r="O177" i="81"/>
  <c r="P177" i="81"/>
  <c r="S177" i="81"/>
  <c r="T177" i="81"/>
  <c r="K177" i="81"/>
  <c r="D177" i="81"/>
  <c r="A178" i="81"/>
  <c r="M178" i="81" l="1"/>
  <c r="N178" i="81"/>
  <c r="B178" i="81"/>
  <c r="R178" i="81"/>
  <c r="C178" i="81"/>
  <c r="S178" i="81"/>
  <c r="D178" i="81"/>
  <c r="T178" i="81"/>
  <c r="E178" i="81"/>
  <c r="U178" i="81"/>
  <c r="F178" i="81"/>
  <c r="G178" i="81"/>
  <c r="H178" i="81"/>
  <c r="I178" i="81"/>
  <c r="K178" i="81"/>
  <c r="L178" i="81"/>
  <c r="J178" i="81"/>
  <c r="O178" i="81"/>
  <c r="P178" i="81"/>
  <c r="Q178" i="81"/>
  <c r="A179" i="81"/>
  <c r="I179" i="81" l="1"/>
  <c r="J179" i="81"/>
  <c r="N179" i="81"/>
  <c r="O179" i="81"/>
  <c r="P179" i="81"/>
  <c r="G179" i="81"/>
  <c r="H179" i="81"/>
  <c r="K179" i="81"/>
  <c r="L179" i="81"/>
  <c r="M179" i="81"/>
  <c r="R179" i="81"/>
  <c r="S179" i="81"/>
  <c r="Q179" i="81"/>
  <c r="T179" i="81"/>
  <c r="U179" i="81"/>
  <c r="B179" i="81"/>
  <c r="F179" i="81"/>
  <c r="C179" i="81"/>
  <c r="D179" i="81"/>
  <c r="E179" i="81"/>
  <c r="A180" i="81"/>
  <c r="E180" i="81" l="1"/>
  <c r="U180" i="81"/>
  <c r="F180" i="81"/>
  <c r="J180" i="81"/>
  <c r="K180" i="81"/>
  <c r="L180" i="81"/>
  <c r="M180" i="81"/>
  <c r="N180" i="81"/>
  <c r="O180" i="81"/>
  <c r="P180" i="81"/>
  <c r="Q180" i="81"/>
  <c r="S180" i="81"/>
  <c r="T180" i="81"/>
  <c r="B180" i="81"/>
  <c r="C180" i="81"/>
  <c r="D180" i="81"/>
  <c r="G180" i="81"/>
  <c r="H180" i="81"/>
  <c r="I180" i="81"/>
  <c r="R180" i="81"/>
  <c r="A181" i="81"/>
  <c r="Q181" i="81" l="1"/>
  <c r="B181" i="81"/>
  <c r="R181" i="81"/>
  <c r="F181" i="81"/>
  <c r="G181" i="81"/>
  <c r="H181" i="81"/>
  <c r="N181" i="81"/>
  <c r="O181" i="81"/>
  <c r="P181" i="81"/>
  <c r="S181" i="81"/>
  <c r="T181" i="81"/>
  <c r="L181" i="81"/>
  <c r="M181" i="81"/>
  <c r="U181" i="81"/>
  <c r="D181" i="81"/>
  <c r="K181" i="81"/>
  <c r="C181" i="81"/>
  <c r="E181" i="81"/>
  <c r="I181" i="81"/>
  <c r="J181" i="81"/>
  <c r="A182" i="81"/>
  <c r="M182" i="81" l="1"/>
  <c r="N182" i="81"/>
  <c r="B182" i="81"/>
  <c r="R182" i="81"/>
  <c r="C182" i="81"/>
  <c r="S182" i="81"/>
  <c r="D182" i="81"/>
  <c r="T182" i="81"/>
  <c r="Q182" i="81"/>
  <c r="U182" i="81"/>
  <c r="E182" i="81"/>
  <c r="F182" i="81"/>
  <c r="G182" i="81"/>
  <c r="H182" i="81"/>
  <c r="I182" i="81"/>
  <c r="J182" i="81"/>
  <c r="K182" i="81"/>
  <c r="L182" i="81"/>
  <c r="O182" i="81"/>
  <c r="P182" i="81"/>
  <c r="A183" i="81"/>
  <c r="I183" i="81" l="1"/>
  <c r="J183" i="81"/>
  <c r="N183" i="81"/>
  <c r="O183" i="81"/>
  <c r="P183" i="81"/>
  <c r="U183" i="81"/>
  <c r="B183" i="81"/>
  <c r="C183" i="81"/>
  <c r="D183" i="81"/>
  <c r="F183" i="81"/>
  <c r="G183" i="81"/>
  <c r="Q183" i="81"/>
  <c r="R183" i="81"/>
  <c r="S183" i="81"/>
  <c r="T183" i="81"/>
  <c r="E183" i="81"/>
  <c r="M183" i="81"/>
  <c r="L183" i="81"/>
  <c r="K183" i="81"/>
  <c r="H183" i="81"/>
  <c r="A184" i="81"/>
  <c r="E184" i="81" l="1"/>
  <c r="U184" i="81"/>
  <c r="F184" i="81"/>
  <c r="J184" i="81"/>
  <c r="K184" i="81"/>
  <c r="B184" i="81"/>
  <c r="C184" i="81"/>
  <c r="D184" i="81"/>
  <c r="G184" i="81"/>
  <c r="I184" i="81"/>
  <c r="L184" i="81"/>
  <c r="H184" i="81"/>
  <c r="M184" i="81"/>
  <c r="N184" i="81"/>
  <c r="O184" i="81"/>
  <c r="P184" i="81"/>
  <c r="Q184" i="81"/>
  <c r="S184" i="81"/>
  <c r="R184" i="81"/>
  <c r="T184" i="81"/>
  <c r="A185" i="81"/>
  <c r="Q185" i="81" l="1"/>
  <c r="B185" i="81"/>
  <c r="R185" i="81"/>
  <c r="F185" i="81"/>
  <c r="G185" i="81"/>
  <c r="C185" i="81"/>
  <c r="D185" i="81"/>
  <c r="E185" i="81"/>
  <c r="H185" i="81"/>
  <c r="I185" i="81"/>
  <c r="K185" i="81"/>
  <c r="L185" i="81"/>
  <c r="O185" i="81"/>
  <c r="P185" i="81"/>
  <c r="S185" i="81"/>
  <c r="T185" i="81"/>
  <c r="U185" i="81"/>
  <c r="N185" i="81"/>
  <c r="J185" i="81"/>
  <c r="M185" i="81"/>
  <c r="A186" i="81"/>
  <c r="M186" i="81" l="1"/>
  <c r="N186" i="81"/>
  <c r="B186" i="81"/>
  <c r="R186" i="81"/>
  <c r="C186" i="81"/>
  <c r="S186" i="81"/>
  <c r="E186" i="81"/>
  <c r="F186" i="81"/>
  <c r="G186" i="81"/>
  <c r="H186" i="81"/>
  <c r="I186" i="81"/>
  <c r="K186" i="81"/>
  <c r="L186" i="81"/>
  <c r="D186" i="81"/>
  <c r="J186" i="81"/>
  <c r="O186" i="81"/>
  <c r="P186" i="81"/>
  <c r="Q186" i="81"/>
  <c r="U186" i="81"/>
  <c r="T186" i="81"/>
  <c r="A187" i="81"/>
  <c r="I187" i="81" l="1"/>
  <c r="J187" i="81"/>
  <c r="N187" i="81"/>
  <c r="O187" i="81"/>
  <c r="E187" i="81"/>
  <c r="F187" i="81"/>
  <c r="G187" i="81"/>
  <c r="H187" i="81"/>
  <c r="K187" i="81"/>
  <c r="M187" i="81"/>
  <c r="P187" i="81"/>
  <c r="Q187" i="81"/>
  <c r="R187" i="81"/>
  <c r="S187" i="81"/>
  <c r="T187" i="81"/>
  <c r="U187" i="81"/>
  <c r="L187" i="81"/>
  <c r="B187" i="81"/>
  <c r="C187" i="81"/>
  <c r="D187" i="81"/>
  <c r="A188" i="81"/>
  <c r="E188" i="81" l="1"/>
  <c r="U188" i="81"/>
  <c r="F188" i="81"/>
  <c r="J188" i="81"/>
  <c r="K188" i="81"/>
  <c r="G188" i="81"/>
  <c r="H188" i="81"/>
  <c r="I188" i="81"/>
  <c r="L188" i="81"/>
  <c r="M188" i="81"/>
  <c r="O188" i="81"/>
  <c r="P188" i="81"/>
  <c r="B188" i="81"/>
  <c r="C188" i="81"/>
  <c r="D188" i="81"/>
  <c r="N188" i="81"/>
  <c r="Q188" i="81"/>
  <c r="S188" i="81"/>
  <c r="R188" i="81"/>
  <c r="T188" i="81"/>
  <c r="A189" i="81"/>
  <c r="Q189" i="81" l="1"/>
  <c r="B189" i="81"/>
  <c r="R189" i="81"/>
  <c r="F189" i="81"/>
  <c r="G189" i="81"/>
  <c r="I189" i="81"/>
  <c r="J189" i="81"/>
  <c r="K189" i="81"/>
  <c r="L189" i="81"/>
  <c r="M189" i="81"/>
  <c r="O189" i="81"/>
  <c r="P189" i="81"/>
  <c r="H189" i="81"/>
  <c r="N189" i="81"/>
  <c r="S189" i="81"/>
  <c r="T189" i="81"/>
  <c r="U189" i="81"/>
  <c r="E189" i="81"/>
  <c r="D189" i="81"/>
  <c r="C189" i="81"/>
  <c r="A190" i="81"/>
  <c r="M190" i="81" l="1"/>
  <c r="N190" i="81"/>
  <c r="B190" i="81"/>
  <c r="R190" i="81"/>
  <c r="C190" i="81"/>
  <c r="S190" i="81"/>
  <c r="I190" i="81"/>
  <c r="J190" i="81"/>
  <c r="K190" i="81"/>
  <c r="L190" i="81"/>
  <c r="O190" i="81"/>
  <c r="Q190" i="81"/>
  <c r="T190" i="81"/>
  <c r="D190" i="81"/>
  <c r="E190" i="81"/>
  <c r="F190" i="81"/>
  <c r="G190" i="81"/>
  <c r="H190" i="81"/>
  <c r="U190" i="81"/>
  <c r="P190" i="81"/>
  <c r="A191" i="81"/>
  <c r="I191" i="81" l="1"/>
  <c r="J191" i="81"/>
  <c r="N191" i="81"/>
  <c r="O191" i="81"/>
  <c r="K191" i="81"/>
  <c r="L191" i="81"/>
  <c r="M191" i="81"/>
  <c r="P191" i="81"/>
  <c r="Q191" i="81"/>
  <c r="S191" i="81"/>
  <c r="T191" i="81"/>
  <c r="F191" i="81"/>
  <c r="G191" i="81"/>
  <c r="H191" i="81"/>
  <c r="R191" i="81"/>
  <c r="U191" i="81"/>
  <c r="E191" i="81"/>
  <c r="D191" i="81"/>
  <c r="C191" i="81"/>
  <c r="B191" i="81"/>
  <c r="A192" i="81"/>
  <c r="E192" i="81" l="1"/>
  <c r="U192" i="81"/>
  <c r="F192" i="81"/>
  <c r="J192" i="81"/>
  <c r="L192" i="81"/>
  <c r="M192" i="81"/>
  <c r="N192" i="81"/>
  <c r="O192" i="81"/>
  <c r="P192" i="81"/>
  <c r="R192" i="81"/>
  <c r="B192" i="81"/>
  <c r="C192" i="81"/>
  <c r="D192" i="81"/>
  <c r="G192" i="81"/>
  <c r="H192" i="81"/>
  <c r="K192" i="81"/>
  <c r="I192" i="81"/>
  <c r="Q192" i="81"/>
  <c r="S192" i="81"/>
  <c r="T192" i="81"/>
  <c r="A193" i="81"/>
  <c r="Q193" i="81" l="1"/>
  <c r="B193" i="81"/>
  <c r="R193" i="81"/>
  <c r="F193" i="81"/>
  <c r="K193" i="81"/>
  <c r="L193" i="81"/>
  <c r="M193" i="81"/>
  <c r="O193" i="81"/>
  <c r="S193" i="81"/>
  <c r="D193" i="81"/>
  <c r="E193" i="81"/>
  <c r="G193" i="81"/>
  <c r="H193" i="81"/>
  <c r="I193" i="81"/>
  <c r="J193" i="81"/>
  <c r="N193" i="81"/>
  <c r="P193" i="81"/>
  <c r="T193" i="81"/>
  <c r="U193" i="81"/>
  <c r="C193" i="81"/>
  <c r="A194" i="81"/>
  <c r="M194" i="81" l="1"/>
  <c r="N194" i="81"/>
  <c r="B194" i="81"/>
  <c r="R194" i="81"/>
  <c r="J194" i="81"/>
  <c r="K194" i="81"/>
  <c r="L194" i="81"/>
  <c r="P194" i="81"/>
  <c r="S194" i="81"/>
  <c r="I194" i="81"/>
  <c r="O194" i="81"/>
  <c r="Q194" i="81"/>
  <c r="T194" i="81"/>
  <c r="U194" i="81"/>
  <c r="D194" i="81"/>
  <c r="H194" i="81"/>
  <c r="C194" i="81"/>
  <c r="E194" i="81"/>
  <c r="F194" i="81"/>
  <c r="G194" i="81"/>
  <c r="A195" i="81"/>
  <c r="I195" i="81" l="1"/>
  <c r="J195" i="81"/>
  <c r="N195" i="81"/>
  <c r="K195" i="81"/>
  <c r="L195" i="81"/>
  <c r="M195" i="81"/>
  <c r="P195" i="81"/>
  <c r="R195" i="81"/>
  <c r="U195" i="81"/>
  <c r="B195" i="81"/>
  <c r="C195" i="81"/>
  <c r="D195" i="81"/>
  <c r="E195" i="81"/>
  <c r="F195" i="81"/>
  <c r="H195" i="81"/>
  <c r="T195" i="81"/>
  <c r="G195" i="81"/>
  <c r="O195" i="81"/>
  <c r="Q195" i="81"/>
  <c r="S195" i="81"/>
  <c r="A196" i="81"/>
  <c r="E196" i="81" l="1"/>
  <c r="U196" i="81"/>
  <c r="F196" i="81"/>
  <c r="J196" i="81"/>
  <c r="K196" i="81"/>
  <c r="L196" i="81"/>
  <c r="M196" i="81"/>
  <c r="O196" i="81"/>
  <c r="Q196" i="81"/>
  <c r="B196" i="81"/>
  <c r="C196" i="81"/>
  <c r="D196" i="81"/>
  <c r="G196" i="81"/>
  <c r="H196" i="81"/>
  <c r="I196" i="81"/>
  <c r="N196" i="81"/>
  <c r="P196" i="81"/>
  <c r="R196" i="81"/>
  <c r="T196" i="81"/>
  <c r="S196" i="81"/>
  <c r="A197" i="81"/>
  <c r="Q197" i="81" l="1"/>
  <c r="B197" i="81"/>
  <c r="R197" i="81"/>
  <c r="F197" i="81"/>
  <c r="J197" i="81"/>
  <c r="K197" i="81"/>
  <c r="L197" i="81"/>
  <c r="N197" i="81"/>
  <c r="P197" i="81"/>
  <c r="H197" i="81"/>
  <c r="I197" i="81"/>
  <c r="M197" i="81"/>
  <c r="O197" i="81"/>
  <c r="S197" i="81"/>
  <c r="T197" i="81"/>
  <c r="U197" i="81"/>
  <c r="G197" i="81"/>
  <c r="E197" i="81"/>
  <c r="D197" i="81"/>
  <c r="C197" i="81"/>
  <c r="A198" i="81"/>
  <c r="M198" i="81" l="1"/>
  <c r="N198" i="81"/>
  <c r="B198" i="81"/>
  <c r="R198" i="81"/>
  <c r="I198" i="81"/>
  <c r="J198" i="81"/>
  <c r="K198" i="81"/>
  <c r="O198" i="81"/>
  <c r="Q198" i="81"/>
  <c r="T198" i="81"/>
  <c r="U198" i="81"/>
  <c r="C198" i="81"/>
  <c r="D198" i="81"/>
  <c r="E198" i="81"/>
  <c r="G198" i="81"/>
  <c r="S198" i="81"/>
  <c r="F198" i="81"/>
  <c r="H198" i="81"/>
  <c r="L198" i="81"/>
  <c r="P198" i="81"/>
  <c r="A199" i="81"/>
  <c r="I199" i="81" l="1"/>
  <c r="J199" i="81"/>
  <c r="N199" i="81"/>
  <c r="H199" i="81"/>
  <c r="K199" i="81"/>
  <c r="L199" i="81"/>
  <c r="O199" i="81"/>
  <c r="Q199" i="81"/>
  <c r="B199" i="81"/>
  <c r="C199" i="81"/>
  <c r="D199" i="81"/>
  <c r="E199" i="81"/>
  <c r="F199" i="81"/>
  <c r="G199" i="81"/>
  <c r="M199" i="81"/>
  <c r="P199" i="81"/>
  <c r="S199" i="81"/>
  <c r="R199" i="81"/>
  <c r="T199" i="81"/>
  <c r="U199" i="81"/>
  <c r="A200" i="81"/>
  <c r="E200" i="81" l="1"/>
  <c r="U200" i="81"/>
  <c r="F200" i="81"/>
  <c r="J200" i="81"/>
  <c r="I200" i="81"/>
  <c r="K200" i="81"/>
  <c r="N200" i="81"/>
  <c r="P200" i="81"/>
  <c r="D200" i="81"/>
  <c r="G200" i="81"/>
  <c r="H200" i="81"/>
  <c r="L200" i="81"/>
  <c r="M200" i="81"/>
  <c r="O200" i="81"/>
  <c r="Q200" i="81"/>
  <c r="R200" i="81"/>
  <c r="S200" i="81"/>
  <c r="T200" i="81"/>
  <c r="C200" i="81"/>
  <c r="B200" i="81"/>
  <c r="A201" i="81"/>
  <c r="Q201" i="81" l="1"/>
  <c r="B201" i="81"/>
  <c r="R201" i="81"/>
  <c r="F201" i="81"/>
  <c r="I201" i="81"/>
  <c r="J201" i="81"/>
  <c r="M201" i="81"/>
  <c r="O201" i="81"/>
  <c r="L201" i="81"/>
  <c r="N201" i="81"/>
  <c r="P201" i="81"/>
  <c r="S201" i="81"/>
  <c r="T201" i="81"/>
  <c r="U201" i="81"/>
  <c r="D201" i="81"/>
  <c r="K201" i="81"/>
  <c r="C201" i="81"/>
  <c r="E201" i="81"/>
  <c r="G201" i="81"/>
  <c r="H201" i="81"/>
  <c r="A202" i="81"/>
  <c r="M202" i="81" l="1"/>
  <c r="N202" i="81"/>
  <c r="B202" i="81"/>
  <c r="R202" i="81"/>
  <c r="H202" i="81"/>
  <c r="I202" i="81"/>
  <c r="L202" i="81"/>
  <c r="S202" i="81"/>
  <c r="T202" i="81"/>
  <c r="U202" i="81"/>
  <c r="C202" i="81"/>
  <c r="D202" i="81"/>
  <c r="E202" i="81"/>
  <c r="F202" i="81"/>
  <c r="J202" i="81"/>
  <c r="Q202" i="81"/>
  <c r="P202" i="81"/>
  <c r="O202" i="81"/>
  <c r="G202" i="81"/>
  <c r="K202" i="81"/>
  <c r="A203" i="81"/>
  <c r="I203" i="81" l="1"/>
  <c r="J203" i="81"/>
  <c r="N203" i="81"/>
  <c r="G203" i="81"/>
  <c r="H203" i="81"/>
  <c r="M203" i="81"/>
  <c r="U203" i="81"/>
  <c r="B203" i="81"/>
  <c r="C203" i="81"/>
  <c r="D203" i="81"/>
  <c r="E203" i="81"/>
  <c r="F203" i="81"/>
  <c r="K203" i="81"/>
  <c r="L203" i="81"/>
  <c r="P203" i="81"/>
  <c r="T203" i="81"/>
  <c r="O203" i="81"/>
  <c r="Q203" i="81"/>
  <c r="R203" i="81"/>
  <c r="S203" i="81"/>
  <c r="A204" i="81"/>
  <c r="E204" i="81" l="1"/>
  <c r="U204" i="81"/>
  <c r="F204" i="81"/>
  <c r="H204" i="81"/>
  <c r="I204" i="81"/>
  <c r="L204" i="81"/>
  <c r="B204" i="81"/>
  <c r="C204" i="81"/>
  <c r="D204" i="81"/>
  <c r="G204" i="81"/>
  <c r="J204" i="81"/>
  <c r="K204" i="81"/>
  <c r="M204" i="81"/>
  <c r="N204" i="81"/>
  <c r="O204" i="81"/>
  <c r="Q204" i="81"/>
  <c r="P204" i="81"/>
  <c r="R204" i="81"/>
  <c r="S204" i="81"/>
  <c r="T204" i="81"/>
  <c r="A205" i="81"/>
  <c r="Q205" i="81" l="1"/>
  <c r="B205" i="81"/>
  <c r="R205" i="81"/>
  <c r="F205" i="81"/>
  <c r="G205" i="81"/>
  <c r="J205" i="81"/>
  <c r="D205" i="81"/>
  <c r="E205" i="81"/>
  <c r="H205" i="81"/>
  <c r="I205" i="81"/>
  <c r="K205" i="81"/>
  <c r="L205" i="81"/>
  <c r="M205" i="81"/>
  <c r="N205" i="81"/>
  <c r="O205" i="81"/>
  <c r="P205" i="81"/>
  <c r="T205" i="81"/>
  <c r="C205" i="81"/>
  <c r="S205" i="81"/>
  <c r="U205" i="81"/>
  <c r="A206" i="81"/>
  <c r="M206" i="81" l="1"/>
  <c r="N206" i="81"/>
  <c r="D206" i="81"/>
  <c r="E206" i="81"/>
  <c r="H206" i="81"/>
  <c r="G206" i="81"/>
  <c r="I206" i="81"/>
  <c r="J206" i="81"/>
  <c r="K206" i="81"/>
  <c r="L206" i="81"/>
  <c r="O206" i="81"/>
  <c r="P206" i="81"/>
  <c r="Q206" i="81"/>
  <c r="R206" i="81"/>
  <c r="S206" i="81"/>
  <c r="U206" i="81"/>
  <c r="F206" i="81"/>
  <c r="B206" i="81"/>
  <c r="C206" i="81"/>
  <c r="T206" i="81"/>
  <c r="A207" i="81"/>
  <c r="I207" i="81" l="1"/>
  <c r="J207" i="81"/>
  <c r="B207" i="81"/>
  <c r="T207" i="81"/>
  <c r="C207" i="81"/>
  <c r="U207" i="81"/>
  <c r="F207" i="81"/>
  <c r="K207" i="81"/>
  <c r="L207" i="81"/>
  <c r="M207" i="81"/>
  <c r="N207" i="81"/>
  <c r="O207" i="81"/>
  <c r="P207" i="81"/>
  <c r="Q207" i="81"/>
  <c r="R207" i="81"/>
  <c r="S207" i="81"/>
  <c r="H207" i="81"/>
  <c r="G207" i="81"/>
  <c r="E207" i="81"/>
  <c r="D207" i="81"/>
  <c r="A208" i="81"/>
  <c r="E208" i="81" l="1"/>
  <c r="U208" i="81"/>
  <c r="F208" i="81"/>
  <c r="R208" i="81"/>
  <c r="S208" i="81"/>
  <c r="D208" i="81"/>
  <c r="L208" i="81"/>
  <c r="M208" i="81"/>
  <c r="N208" i="81"/>
  <c r="O208" i="81"/>
  <c r="P208" i="81"/>
  <c r="Q208" i="81"/>
  <c r="T208" i="81"/>
  <c r="B208" i="81"/>
  <c r="K208" i="81"/>
  <c r="C208" i="81"/>
  <c r="G208" i="81"/>
  <c r="H208" i="81"/>
  <c r="I208" i="81"/>
  <c r="J208" i="81"/>
  <c r="A209" i="81"/>
  <c r="B209" i="81" l="1"/>
  <c r="P209" i="81"/>
  <c r="Q209" i="81"/>
  <c r="D209" i="81"/>
  <c r="T209" i="81"/>
  <c r="M209" i="81"/>
  <c r="N209" i="81"/>
  <c r="O209" i="81"/>
  <c r="R209" i="81"/>
  <c r="S209" i="81"/>
  <c r="C209" i="81"/>
  <c r="E209" i="81"/>
  <c r="F209" i="81"/>
  <c r="L209" i="81"/>
  <c r="G209" i="81"/>
  <c r="H209" i="81"/>
  <c r="I209" i="81"/>
  <c r="J209" i="81"/>
  <c r="K209" i="81"/>
  <c r="U209" i="81"/>
  <c r="A210" i="81"/>
  <c r="L210" i="81" l="1"/>
  <c r="M210" i="81"/>
  <c r="P210" i="81"/>
  <c r="N210" i="81"/>
  <c r="O210" i="81"/>
  <c r="Q210" i="81"/>
  <c r="R210" i="81"/>
  <c r="S210" i="81"/>
  <c r="B210" i="81"/>
  <c r="U210" i="81"/>
  <c r="C210" i="81"/>
  <c r="D210" i="81"/>
  <c r="E210" i="81"/>
  <c r="K210" i="81"/>
  <c r="J210" i="81"/>
  <c r="T210" i="81"/>
  <c r="I210" i="81"/>
  <c r="F210" i="81"/>
  <c r="G210" i="81"/>
  <c r="H210" i="81"/>
  <c r="A211" i="81"/>
  <c r="H211" i="81" l="1"/>
  <c r="I211" i="81"/>
  <c r="L211" i="81"/>
  <c r="N211" i="81"/>
  <c r="O211" i="81"/>
  <c r="P211" i="81"/>
  <c r="Q211" i="81"/>
  <c r="R211" i="81"/>
  <c r="T211" i="81"/>
  <c r="B211" i="81"/>
  <c r="U211" i="81"/>
  <c r="C211" i="81"/>
  <c r="D211" i="81"/>
  <c r="M211" i="81"/>
  <c r="E211" i="81"/>
  <c r="F211" i="81"/>
  <c r="G211" i="81"/>
  <c r="J211" i="81"/>
  <c r="K211" i="81"/>
  <c r="S211" i="81"/>
  <c r="A212" i="81"/>
  <c r="D212" i="81" l="1"/>
  <c r="T212" i="81"/>
  <c r="E212" i="81"/>
  <c r="U212" i="81"/>
  <c r="H212" i="81"/>
  <c r="M212" i="81"/>
  <c r="N212" i="81"/>
  <c r="O212" i="81"/>
  <c r="P212" i="81"/>
  <c r="Q212" i="81"/>
  <c r="S212" i="81"/>
  <c r="B212" i="81"/>
  <c r="C212" i="81"/>
  <c r="L212" i="81"/>
  <c r="F212" i="81"/>
  <c r="G212" i="81"/>
  <c r="I212" i="81"/>
  <c r="J212" i="81"/>
  <c r="K212" i="81"/>
  <c r="R212" i="81"/>
  <c r="A213" i="81"/>
  <c r="P213" i="81" l="1"/>
  <c r="Q213" i="81"/>
  <c r="D213" i="81"/>
  <c r="T213" i="81"/>
  <c r="L213" i="81"/>
  <c r="M213" i="81"/>
  <c r="N213" i="81"/>
  <c r="O213" i="81"/>
  <c r="R213" i="81"/>
  <c r="U213" i="81"/>
  <c r="B213" i="81"/>
  <c r="C213" i="81"/>
  <c r="E213" i="81"/>
  <c r="K213" i="81"/>
  <c r="H213" i="81"/>
  <c r="I213" i="81"/>
  <c r="J213" i="81"/>
  <c r="S213" i="81"/>
  <c r="G213" i="81"/>
  <c r="F213" i="81"/>
  <c r="A214" i="81"/>
  <c r="L214" i="81" l="1"/>
  <c r="M214" i="81"/>
  <c r="P214" i="81"/>
  <c r="K214" i="81"/>
  <c r="N214" i="81"/>
  <c r="O214" i="81"/>
  <c r="Q214" i="81"/>
  <c r="R214" i="81"/>
  <c r="T214" i="81"/>
  <c r="B214" i="81"/>
  <c r="U214" i="81"/>
  <c r="C214" i="81"/>
  <c r="D214" i="81"/>
  <c r="J214" i="81"/>
  <c r="E214" i="81"/>
  <c r="F214" i="81"/>
  <c r="G214" i="81"/>
  <c r="H214" i="81"/>
  <c r="I214" i="81"/>
  <c r="S214" i="81"/>
  <c r="A215" i="81"/>
  <c r="H215" i="81" l="1"/>
  <c r="I215" i="81"/>
  <c r="L215" i="81"/>
  <c r="M215" i="81"/>
  <c r="N215" i="81"/>
  <c r="O215" i="81"/>
  <c r="P215" i="81"/>
  <c r="Q215" i="81"/>
  <c r="S215" i="81"/>
  <c r="T215" i="81"/>
  <c r="B215" i="81"/>
  <c r="U215" i="81"/>
  <c r="C215" i="81"/>
  <c r="K215" i="81"/>
  <c r="D215" i="81"/>
  <c r="R215" i="81"/>
  <c r="E215" i="81"/>
  <c r="F215" i="81"/>
  <c r="G215" i="81"/>
  <c r="J215" i="81"/>
  <c r="A216" i="81"/>
  <c r="D216" i="81" l="1"/>
  <c r="T216" i="81"/>
  <c r="E216" i="81"/>
  <c r="U216" i="81"/>
  <c r="H216" i="81"/>
  <c r="L216" i="81"/>
  <c r="M216" i="81"/>
  <c r="N216" i="81"/>
  <c r="O216" i="81"/>
  <c r="P216" i="81"/>
  <c r="R216" i="81"/>
  <c r="S216" i="81"/>
  <c r="B216" i="81"/>
  <c r="K216" i="81"/>
  <c r="C216" i="81"/>
  <c r="F216" i="81"/>
  <c r="G216" i="81"/>
  <c r="I216" i="81"/>
  <c r="J216" i="81"/>
  <c r="Q216" i="81"/>
  <c r="A217" i="81"/>
  <c r="P217" i="81" l="1"/>
  <c r="Q217" i="81"/>
  <c r="D217" i="81"/>
  <c r="T217" i="81"/>
  <c r="K217" i="81"/>
  <c r="L217" i="81"/>
  <c r="M217" i="81"/>
  <c r="N217" i="81"/>
  <c r="O217" i="81"/>
  <c r="S217" i="81"/>
  <c r="U217" i="81"/>
  <c r="B217" i="81"/>
  <c r="C217" i="81"/>
  <c r="J217" i="81"/>
  <c r="E217" i="81"/>
  <c r="F217" i="81"/>
  <c r="G217" i="81"/>
  <c r="H217" i="81"/>
  <c r="I217" i="81"/>
  <c r="R217" i="81"/>
  <c r="A218" i="81"/>
  <c r="L218" i="81" l="1"/>
  <c r="M218" i="81"/>
  <c r="P218" i="81"/>
  <c r="J218" i="81"/>
  <c r="K218" i="81"/>
  <c r="N218" i="81"/>
  <c r="O218" i="81"/>
  <c r="Q218" i="81"/>
  <c r="S218" i="81"/>
  <c r="T218" i="81"/>
  <c r="B218" i="81"/>
  <c r="U218" i="81"/>
  <c r="C218" i="81"/>
  <c r="I218" i="81"/>
  <c r="H218" i="81"/>
  <c r="R218" i="81"/>
  <c r="G218" i="81"/>
  <c r="D218" i="81"/>
  <c r="E218" i="81"/>
  <c r="F218" i="81"/>
  <c r="A219" i="81"/>
  <c r="H219" i="81" l="1"/>
  <c r="I219" i="81"/>
  <c r="L219" i="81"/>
  <c r="K219" i="81"/>
  <c r="M219" i="81"/>
  <c r="N219" i="81"/>
  <c r="O219" i="81"/>
  <c r="P219" i="81"/>
  <c r="R219" i="81"/>
  <c r="S219" i="81"/>
  <c r="T219" i="81"/>
  <c r="B219" i="81"/>
  <c r="U219" i="81"/>
  <c r="J219" i="81"/>
  <c r="C219" i="81"/>
  <c r="D219" i="81"/>
  <c r="E219" i="81"/>
  <c r="F219" i="81"/>
  <c r="G219" i="81"/>
  <c r="Q219" i="81"/>
  <c r="A220" i="81"/>
  <c r="D220" i="81" l="1"/>
  <c r="T220" i="81"/>
  <c r="E220" i="81"/>
  <c r="U220" i="81"/>
  <c r="H220" i="81"/>
  <c r="K220" i="81"/>
  <c r="L220" i="81"/>
  <c r="M220" i="81"/>
  <c r="N220" i="81"/>
  <c r="O220" i="81"/>
  <c r="Q220" i="81"/>
  <c r="R220" i="81"/>
  <c r="S220" i="81"/>
  <c r="J220" i="81"/>
  <c r="B220" i="81"/>
  <c r="C220" i="81"/>
  <c r="F220" i="81"/>
  <c r="I220" i="81"/>
  <c r="G220" i="81"/>
  <c r="P220" i="81"/>
  <c r="A221" i="81"/>
  <c r="P221" i="81" l="1"/>
  <c r="Q221" i="81"/>
  <c r="D221" i="81"/>
  <c r="T221" i="81"/>
  <c r="J221" i="81"/>
  <c r="K221" i="81"/>
  <c r="L221" i="81"/>
  <c r="M221" i="81"/>
  <c r="N221" i="81"/>
  <c r="R221" i="81"/>
  <c r="S221" i="81"/>
  <c r="U221" i="81"/>
  <c r="B221" i="81"/>
  <c r="I221" i="81"/>
  <c r="F221" i="81"/>
  <c r="G221" i="81"/>
  <c r="H221" i="81"/>
  <c r="O221" i="81"/>
  <c r="E221" i="81"/>
  <c r="C221" i="81"/>
  <c r="A222" i="81"/>
  <c r="L222" i="81" l="1"/>
  <c r="M222" i="81"/>
  <c r="P222" i="81"/>
  <c r="I222" i="81"/>
  <c r="J222" i="81"/>
  <c r="K222" i="81"/>
  <c r="N222" i="81"/>
  <c r="O222" i="81"/>
  <c r="R222" i="81"/>
  <c r="S222" i="81"/>
  <c r="T222" i="81"/>
  <c r="B222" i="81"/>
  <c r="U222" i="81"/>
  <c r="H222" i="81"/>
  <c r="C222" i="81"/>
  <c r="D222" i="81"/>
  <c r="E222" i="81"/>
  <c r="F222" i="81"/>
  <c r="G222" i="81"/>
  <c r="Q222" i="81"/>
  <c r="A223" i="81"/>
  <c r="H223" i="81" l="1"/>
  <c r="I223" i="81"/>
  <c r="L223" i="81"/>
  <c r="J223" i="81"/>
  <c r="K223" i="81"/>
  <c r="M223" i="81"/>
  <c r="N223" i="81"/>
  <c r="O223" i="81"/>
  <c r="Q223" i="81"/>
  <c r="R223" i="81"/>
  <c r="S223" i="81"/>
  <c r="T223" i="81"/>
  <c r="G223" i="81"/>
  <c r="U223" i="81"/>
  <c r="B223" i="81"/>
  <c r="P223" i="81"/>
  <c r="C223" i="81"/>
  <c r="D223" i="81"/>
  <c r="E223" i="81"/>
  <c r="F223" i="81"/>
  <c r="A224" i="81"/>
  <c r="D224" i="81" l="1"/>
  <c r="T224" i="81"/>
  <c r="E224" i="81"/>
  <c r="U224" i="81"/>
  <c r="H224" i="81"/>
  <c r="J224" i="81"/>
  <c r="K224" i="81"/>
  <c r="L224" i="81"/>
  <c r="M224" i="81"/>
  <c r="N224" i="81"/>
  <c r="P224" i="81"/>
  <c r="Q224" i="81"/>
  <c r="R224" i="81"/>
  <c r="S224" i="81"/>
  <c r="I224" i="81"/>
  <c r="B224" i="81"/>
  <c r="C224" i="81"/>
  <c r="F224" i="81"/>
  <c r="G224" i="81"/>
  <c r="O224" i="81"/>
  <c r="A225" i="81"/>
  <c r="P225" i="81" l="1"/>
  <c r="Q225" i="81"/>
  <c r="D225" i="81"/>
  <c r="T225" i="81"/>
  <c r="I225" i="81"/>
  <c r="J225" i="81"/>
  <c r="K225" i="81"/>
  <c r="L225" i="81"/>
  <c r="M225" i="81"/>
  <c r="O225" i="81"/>
  <c r="R225" i="81"/>
  <c r="S225" i="81"/>
  <c r="U225" i="81"/>
  <c r="H225" i="81"/>
  <c r="B225" i="81"/>
  <c r="C225" i="81"/>
  <c r="E225" i="81"/>
  <c r="F225" i="81"/>
  <c r="G225" i="81"/>
  <c r="N225" i="81"/>
  <c r="A226" i="81"/>
  <c r="L226" i="81" l="1"/>
  <c r="M226" i="81"/>
  <c r="P226" i="81"/>
  <c r="H226" i="81"/>
  <c r="I226" i="81"/>
  <c r="J226" i="81"/>
  <c r="K226" i="81"/>
  <c r="N226" i="81"/>
  <c r="Q226" i="81"/>
  <c r="R226" i="81"/>
  <c r="S226" i="81"/>
  <c r="T226" i="81"/>
  <c r="G226" i="81"/>
  <c r="F226" i="81"/>
  <c r="O226" i="81"/>
  <c r="U226" i="81"/>
  <c r="E226" i="81"/>
  <c r="B226" i="81"/>
  <c r="C226" i="81"/>
  <c r="D226" i="81"/>
  <c r="A227" i="81"/>
  <c r="H227" i="81" l="1"/>
  <c r="I227" i="81"/>
  <c r="L227" i="81"/>
  <c r="G227" i="81"/>
  <c r="J227" i="81"/>
  <c r="K227" i="81"/>
  <c r="M227" i="81"/>
  <c r="N227" i="81"/>
  <c r="P227" i="81"/>
  <c r="Q227" i="81"/>
  <c r="R227" i="81"/>
  <c r="S227" i="81"/>
  <c r="F227" i="81"/>
  <c r="B227" i="81"/>
  <c r="C227" i="81"/>
  <c r="D227" i="81"/>
  <c r="E227" i="81"/>
  <c r="O227" i="81"/>
  <c r="T227" i="81"/>
  <c r="U227" i="81"/>
  <c r="A228" i="81"/>
  <c r="D228" i="81" l="1"/>
  <c r="T228" i="81"/>
  <c r="E228" i="81"/>
  <c r="U228" i="81"/>
  <c r="H228" i="81"/>
  <c r="I228" i="81"/>
  <c r="J228" i="81"/>
  <c r="K228" i="81"/>
  <c r="L228" i="81"/>
  <c r="M228" i="81"/>
  <c r="O228" i="81"/>
  <c r="P228" i="81"/>
  <c r="Q228" i="81"/>
  <c r="R228" i="81"/>
  <c r="G228" i="81"/>
  <c r="B228" i="81"/>
  <c r="C228" i="81"/>
  <c r="F228" i="81"/>
  <c r="N228" i="81"/>
  <c r="S228" i="81"/>
  <c r="A229" i="81"/>
  <c r="P229" i="81" l="1"/>
  <c r="Q229" i="81"/>
  <c r="D229" i="81"/>
  <c r="T229" i="81"/>
  <c r="H229" i="81"/>
  <c r="I229" i="81"/>
  <c r="J229" i="81"/>
  <c r="K229" i="81"/>
  <c r="L229" i="81"/>
  <c r="N229" i="81"/>
  <c r="O229" i="81"/>
  <c r="R229" i="81"/>
  <c r="S229" i="81"/>
  <c r="G229" i="81"/>
  <c r="C229" i="81"/>
  <c r="E229" i="81"/>
  <c r="F229" i="81"/>
  <c r="M229" i="81"/>
  <c r="U229" i="81"/>
  <c r="B229" i="81"/>
  <c r="A230" i="81"/>
  <c r="L230" i="81" l="1"/>
  <c r="M230" i="81"/>
  <c r="P230" i="81"/>
  <c r="G230" i="81"/>
  <c r="H230" i="81"/>
  <c r="I230" i="81"/>
  <c r="J230" i="81"/>
  <c r="K230" i="81"/>
  <c r="O230" i="81"/>
  <c r="Q230" i="81"/>
  <c r="R230" i="81"/>
  <c r="S230" i="81"/>
  <c r="F230" i="81"/>
  <c r="B230" i="81"/>
  <c r="C230" i="81"/>
  <c r="D230" i="81"/>
  <c r="E230" i="81"/>
  <c r="N230" i="81"/>
  <c r="T230" i="81"/>
  <c r="U230" i="81"/>
  <c r="A231" i="81"/>
  <c r="H231" i="81" l="1"/>
  <c r="I231" i="81"/>
  <c r="L231" i="81"/>
  <c r="F231" i="81"/>
  <c r="G231" i="81"/>
  <c r="J231" i="81"/>
  <c r="K231" i="81"/>
  <c r="M231" i="81"/>
  <c r="O231" i="81"/>
  <c r="P231" i="81"/>
  <c r="Q231" i="81"/>
  <c r="R231" i="81"/>
  <c r="E231" i="81"/>
  <c r="S231" i="81"/>
  <c r="T231" i="81"/>
  <c r="U231" i="81"/>
  <c r="N231" i="81"/>
  <c r="B231" i="81"/>
  <c r="C231" i="81"/>
  <c r="D231" i="81"/>
  <c r="A232" i="81"/>
  <c r="D232" i="81" l="1"/>
  <c r="T232" i="81"/>
  <c r="E232" i="81"/>
  <c r="U232" i="81"/>
  <c r="H232" i="81"/>
  <c r="G232" i="81"/>
  <c r="I232" i="81"/>
  <c r="J232" i="81"/>
  <c r="K232" i="81"/>
  <c r="L232" i="81"/>
  <c r="N232" i="81"/>
  <c r="O232" i="81"/>
  <c r="P232" i="81"/>
  <c r="Q232" i="81"/>
  <c r="B232" i="81"/>
  <c r="C232" i="81"/>
  <c r="F232" i="81"/>
  <c r="M232" i="81"/>
  <c r="R232" i="81"/>
  <c r="S232" i="81"/>
  <c r="A233" i="81"/>
  <c r="P233" i="81" l="1"/>
  <c r="F233" i="81"/>
  <c r="G233" i="81"/>
  <c r="H233" i="81"/>
  <c r="I233" i="81"/>
  <c r="J233" i="81"/>
  <c r="L233" i="81"/>
  <c r="M233" i="81"/>
  <c r="N233" i="81"/>
  <c r="O233" i="81"/>
  <c r="S233" i="81"/>
  <c r="T233" i="81"/>
  <c r="U233" i="81"/>
  <c r="B233" i="81"/>
  <c r="C233" i="81"/>
  <c r="R233" i="81"/>
  <c r="D233" i="81"/>
  <c r="E233" i="81"/>
  <c r="K233" i="81"/>
  <c r="Q233" i="81"/>
  <c r="A234" i="81"/>
  <c r="L234" i="81" l="1"/>
  <c r="C234" i="81"/>
  <c r="T234" i="81"/>
  <c r="D234" i="81"/>
  <c r="U234" i="81"/>
  <c r="E234" i="81"/>
  <c r="F234" i="81"/>
  <c r="G234" i="81"/>
  <c r="I234" i="81"/>
  <c r="J234" i="81"/>
  <c r="K234" i="81"/>
  <c r="M234" i="81"/>
  <c r="B234" i="81"/>
  <c r="H234" i="81"/>
  <c r="N234" i="81"/>
  <c r="O234" i="81"/>
  <c r="P234" i="81"/>
  <c r="Q234" i="81"/>
  <c r="R234" i="81"/>
  <c r="S234" i="81"/>
  <c r="A235" i="81"/>
  <c r="H235" i="81" l="1"/>
  <c r="Q235" i="81"/>
  <c r="R235" i="81"/>
  <c r="B235" i="81"/>
  <c r="S235" i="81"/>
  <c r="C235" i="81"/>
  <c r="T235" i="81"/>
  <c r="D235" i="81"/>
  <c r="U235" i="81"/>
  <c r="F235" i="81"/>
  <c r="G235" i="81"/>
  <c r="I235" i="81"/>
  <c r="J235" i="81"/>
  <c r="O235" i="81"/>
  <c r="P235" i="81"/>
  <c r="N235" i="81"/>
  <c r="E235" i="81"/>
  <c r="K235" i="81"/>
  <c r="L235" i="81"/>
  <c r="M235" i="81"/>
  <c r="A236" i="81"/>
  <c r="D236" i="81" l="1"/>
  <c r="T236" i="81"/>
  <c r="N236" i="81"/>
  <c r="O236" i="81"/>
  <c r="P236" i="81"/>
  <c r="Q236" i="81"/>
  <c r="R236" i="81"/>
  <c r="C236" i="81"/>
  <c r="U236" i="81"/>
  <c r="E236" i="81"/>
  <c r="F236" i="81"/>
  <c r="G236" i="81"/>
  <c r="B236" i="81"/>
  <c r="H236" i="81"/>
  <c r="I236" i="81"/>
  <c r="J236" i="81"/>
  <c r="K236" i="81"/>
  <c r="L236" i="81"/>
  <c r="M236" i="81"/>
  <c r="S236" i="81"/>
  <c r="A237" i="81"/>
  <c r="P237" i="81" l="1"/>
  <c r="K237" i="81"/>
  <c r="L237" i="81"/>
  <c r="M237" i="81"/>
  <c r="N237" i="81"/>
  <c r="O237" i="81"/>
  <c r="R237" i="81"/>
  <c r="B237" i="81"/>
  <c r="S237" i="81"/>
  <c r="C237" i="81"/>
  <c r="T237" i="81"/>
  <c r="D237" i="81"/>
  <c r="U237" i="81"/>
  <c r="Q237" i="81"/>
  <c r="E237" i="81"/>
  <c r="J237" i="81"/>
  <c r="F237" i="81"/>
  <c r="G237" i="81"/>
  <c r="H237" i="81"/>
  <c r="I237" i="81"/>
  <c r="A238" i="81"/>
  <c r="L238" i="81" l="1"/>
  <c r="H238" i="81"/>
  <c r="I238" i="81"/>
  <c r="J238" i="81"/>
  <c r="K238" i="81"/>
  <c r="M238" i="81"/>
  <c r="O238" i="81"/>
  <c r="P238" i="81"/>
  <c r="Q238" i="81"/>
  <c r="R238" i="81"/>
  <c r="B238" i="81"/>
  <c r="C238" i="81"/>
  <c r="D238" i="81"/>
  <c r="E238" i="81"/>
  <c r="F238" i="81"/>
  <c r="G238" i="81"/>
  <c r="N238" i="81"/>
  <c r="S238" i="81"/>
  <c r="T238" i="81"/>
  <c r="U238" i="81"/>
  <c r="A239" i="81"/>
  <c r="H239" i="81" l="1"/>
  <c r="E239" i="81"/>
  <c r="F239" i="81"/>
  <c r="G239" i="81"/>
  <c r="I239" i="81"/>
  <c r="J239" i="81"/>
  <c r="L239" i="81"/>
  <c r="M239" i="81"/>
  <c r="N239" i="81"/>
  <c r="O239" i="81"/>
  <c r="Q239" i="81"/>
  <c r="R239" i="81"/>
  <c r="S239" i="81"/>
  <c r="T239" i="81"/>
  <c r="U239" i="81"/>
  <c r="P239" i="81"/>
  <c r="C239" i="81"/>
  <c r="B239" i="81"/>
  <c r="D239" i="81"/>
  <c r="K239" i="81"/>
  <c r="A240" i="81"/>
  <c r="D240" i="81" l="1"/>
  <c r="B240" i="81"/>
  <c r="S240" i="81"/>
  <c r="C240" i="81"/>
  <c r="T240" i="81"/>
  <c r="E240" i="81"/>
  <c r="U240" i="81"/>
  <c r="F240" i="81"/>
  <c r="G240" i="81"/>
  <c r="I240" i="81"/>
  <c r="J240" i="81"/>
  <c r="K240" i="81"/>
  <c r="L240" i="81"/>
  <c r="H240" i="81"/>
  <c r="M240" i="81"/>
  <c r="N240" i="81"/>
  <c r="O240" i="81"/>
  <c r="P240" i="81"/>
  <c r="Q240" i="81"/>
  <c r="R240" i="81"/>
  <c r="A241" i="81"/>
  <c r="O241" i="81" l="1"/>
  <c r="P241" i="81"/>
  <c r="Q241" i="81"/>
  <c r="B241" i="81"/>
  <c r="R241" i="81"/>
  <c r="C241" i="81"/>
  <c r="S241" i="81"/>
  <c r="E241" i="81"/>
  <c r="U241" i="81"/>
  <c r="F241" i="81"/>
  <c r="G241" i="81"/>
  <c r="H241" i="81"/>
  <c r="L241" i="81"/>
  <c r="M241" i="81"/>
  <c r="N241" i="81"/>
  <c r="T241" i="81"/>
  <c r="K241" i="81"/>
  <c r="D241" i="81"/>
  <c r="I241" i="81"/>
  <c r="J241" i="81"/>
  <c r="A242" i="81"/>
  <c r="K242" i="81" l="1"/>
  <c r="L242" i="81"/>
  <c r="M242" i="81"/>
  <c r="N242" i="81"/>
  <c r="O242" i="81"/>
  <c r="Q242" i="81"/>
  <c r="B242" i="81"/>
  <c r="R242" i="81"/>
  <c r="C242" i="81"/>
  <c r="S242" i="81"/>
  <c r="D242" i="81"/>
  <c r="T242" i="81"/>
  <c r="E242" i="81"/>
  <c r="F242" i="81"/>
  <c r="G242" i="81"/>
  <c r="H242" i="81"/>
  <c r="I242" i="81"/>
  <c r="J242" i="81"/>
  <c r="P242" i="81"/>
  <c r="U242" i="81"/>
  <c r="A243" i="81"/>
  <c r="G243" i="81" l="1"/>
  <c r="H243" i="81"/>
  <c r="I243" i="81"/>
  <c r="J243" i="81"/>
  <c r="K243" i="81"/>
  <c r="M243" i="81"/>
  <c r="N243" i="81"/>
  <c r="O243" i="81"/>
  <c r="P243" i="81"/>
  <c r="F243" i="81"/>
  <c r="L243" i="81"/>
  <c r="Q243" i="81"/>
  <c r="R243" i="81"/>
  <c r="S243" i="81"/>
  <c r="T243" i="81"/>
  <c r="U243" i="81"/>
  <c r="E243" i="81"/>
  <c r="B243" i="81"/>
  <c r="C243" i="81"/>
  <c r="D243" i="81"/>
  <c r="A244" i="81"/>
  <c r="C244" i="81" l="1"/>
  <c r="S244" i="81"/>
  <c r="D244" i="81"/>
  <c r="T244" i="81"/>
  <c r="E244" i="81"/>
  <c r="U244" i="81"/>
  <c r="F244" i="81"/>
  <c r="G244" i="81"/>
  <c r="I244" i="81"/>
  <c r="J244" i="81"/>
  <c r="K244" i="81"/>
  <c r="L244" i="81"/>
  <c r="B244" i="81"/>
  <c r="H244" i="81"/>
  <c r="M244" i="81"/>
  <c r="N244" i="81"/>
  <c r="O244" i="81"/>
  <c r="P244" i="81"/>
  <c r="Q244" i="81"/>
  <c r="R244" i="81"/>
  <c r="A245" i="81"/>
  <c r="O245" i="81" l="1"/>
  <c r="P245" i="81"/>
  <c r="Q245" i="81"/>
  <c r="B245" i="81"/>
  <c r="R245" i="81"/>
  <c r="C245" i="81"/>
  <c r="S245" i="81"/>
  <c r="E245" i="81"/>
  <c r="U245" i="81"/>
  <c r="F245" i="81"/>
  <c r="G245" i="81"/>
  <c r="H245" i="81"/>
  <c r="I245" i="81"/>
  <c r="J245" i="81"/>
  <c r="K245" i="81"/>
  <c r="L245" i="81"/>
  <c r="M245" i="81"/>
  <c r="N245" i="81"/>
  <c r="T245" i="81"/>
  <c r="D245" i="81"/>
  <c r="A246" i="81"/>
  <c r="K246" i="81" l="1"/>
  <c r="L246" i="81"/>
  <c r="M246" i="81"/>
  <c r="N246" i="81"/>
  <c r="O246" i="81"/>
  <c r="Q246" i="81"/>
  <c r="B246" i="81"/>
  <c r="R246" i="81"/>
  <c r="C246" i="81"/>
  <c r="S246" i="81"/>
  <c r="D246" i="81"/>
  <c r="T246" i="81"/>
  <c r="E246" i="81"/>
  <c r="F246" i="81"/>
  <c r="G246" i="81"/>
  <c r="H246" i="81"/>
  <c r="J246" i="81"/>
  <c r="I246" i="81"/>
  <c r="P246" i="81"/>
  <c r="U246" i="81"/>
  <c r="A247" i="81"/>
  <c r="G247" i="81" l="1"/>
  <c r="H247" i="81"/>
  <c r="I247" i="81"/>
  <c r="J247" i="81"/>
  <c r="K247" i="81"/>
  <c r="M247" i="81"/>
  <c r="N247" i="81"/>
  <c r="O247" i="81"/>
  <c r="P247" i="81"/>
  <c r="C247" i="81"/>
  <c r="D247" i="81"/>
  <c r="E247" i="81"/>
  <c r="F247" i="81"/>
  <c r="L247" i="81"/>
  <c r="Q247" i="81"/>
  <c r="R247" i="81"/>
  <c r="S247" i="81"/>
  <c r="T247" i="81"/>
  <c r="U247" i="81"/>
  <c r="B247" i="81"/>
  <c r="A248" i="81"/>
  <c r="C248" i="81" l="1"/>
  <c r="S248" i="81"/>
  <c r="D248" i="81"/>
  <c r="T248" i="81"/>
  <c r="E248" i="81"/>
  <c r="U248" i="81"/>
  <c r="F248" i="81"/>
  <c r="G248" i="81"/>
  <c r="I248" i="81"/>
  <c r="J248" i="81"/>
  <c r="K248" i="81"/>
  <c r="L248" i="81"/>
  <c r="Q248" i="81"/>
  <c r="R248" i="81"/>
  <c r="B248" i="81"/>
  <c r="P248" i="81"/>
  <c r="H248" i="81"/>
  <c r="M248" i="81"/>
  <c r="N248" i="81"/>
  <c r="O248" i="81"/>
  <c r="A249" i="81"/>
  <c r="O249" i="81" l="1"/>
  <c r="P249" i="81"/>
  <c r="Q249" i="81"/>
  <c r="B249" i="81"/>
  <c r="R249" i="81"/>
  <c r="C249" i="81"/>
  <c r="S249" i="81"/>
  <c r="E249" i="81"/>
  <c r="U249" i="81"/>
  <c r="F249" i="81"/>
  <c r="G249" i="81"/>
  <c r="H249" i="81"/>
  <c r="D249" i="81"/>
  <c r="I249" i="81"/>
  <c r="J249" i="81"/>
  <c r="K249" i="81"/>
  <c r="L249" i="81"/>
  <c r="M249" i="81"/>
  <c r="N249" i="81"/>
  <c r="T249" i="81"/>
  <c r="A250" i="81"/>
  <c r="K250" i="81" l="1"/>
  <c r="L250" i="81"/>
  <c r="M250" i="81"/>
  <c r="N250" i="81"/>
  <c r="O250" i="81"/>
  <c r="Q250" i="81"/>
  <c r="B250" i="81"/>
  <c r="R250" i="81"/>
  <c r="C250" i="81"/>
  <c r="S250" i="81"/>
  <c r="D250" i="81"/>
  <c r="T250" i="81"/>
  <c r="P250" i="81"/>
  <c r="U250" i="81"/>
  <c r="E250" i="81"/>
  <c r="J250" i="81"/>
  <c r="F250" i="81"/>
  <c r="G250" i="81"/>
  <c r="H250" i="81"/>
  <c r="I250" i="81"/>
  <c r="A251" i="81"/>
  <c r="G251" i="81" l="1"/>
  <c r="H251" i="81"/>
  <c r="I251" i="81"/>
  <c r="K251" i="81"/>
  <c r="M251" i="81"/>
  <c r="N251" i="81"/>
  <c r="O251" i="81"/>
  <c r="P251" i="81"/>
  <c r="B251" i="81"/>
  <c r="C251" i="81"/>
  <c r="D251" i="81"/>
  <c r="E251" i="81"/>
  <c r="F251" i="81"/>
  <c r="J251" i="81"/>
  <c r="L251" i="81"/>
  <c r="Q251" i="81"/>
  <c r="R251" i="81"/>
  <c r="S251" i="81"/>
  <c r="T251" i="81"/>
  <c r="U251" i="81"/>
  <c r="A252" i="81"/>
  <c r="C252" i="81" l="1"/>
  <c r="S252" i="81"/>
  <c r="D252" i="81"/>
  <c r="T252" i="81"/>
  <c r="E252" i="81"/>
  <c r="U252" i="81"/>
  <c r="G252" i="81"/>
  <c r="I252" i="81"/>
  <c r="J252" i="81"/>
  <c r="K252" i="81"/>
  <c r="L252" i="81"/>
  <c r="H252" i="81"/>
  <c r="M252" i="81"/>
  <c r="N252" i="81"/>
  <c r="O252" i="81"/>
  <c r="P252" i="81"/>
  <c r="Q252" i="81"/>
  <c r="R252" i="81"/>
  <c r="F252" i="81"/>
  <c r="B252" i="81"/>
  <c r="A253" i="81"/>
  <c r="O253" i="81" l="1"/>
  <c r="P253" i="81"/>
  <c r="Q253" i="81"/>
  <c r="C253" i="81"/>
  <c r="S253" i="81"/>
  <c r="E253" i="81"/>
  <c r="U253" i="81"/>
  <c r="F253" i="81"/>
  <c r="G253" i="81"/>
  <c r="H253" i="81"/>
  <c r="T253" i="81"/>
  <c r="B253" i="81"/>
  <c r="D253" i="81"/>
  <c r="I253" i="81"/>
  <c r="J253" i="81"/>
  <c r="R253" i="81"/>
  <c r="L253" i="81"/>
  <c r="K253" i="81"/>
  <c r="M253" i="81"/>
  <c r="N253" i="81"/>
  <c r="A254" i="81"/>
  <c r="K254" i="81" l="1"/>
  <c r="L254" i="81"/>
  <c r="M254" i="81"/>
  <c r="O254" i="81"/>
  <c r="Q254" i="81"/>
  <c r="B254" i="81"/>
  <c r="R254" i="81"/>
  <c r="C254" i="81"/>
  <c r="S254" i="81"/>
  <c r="D254" i="81"/>
  <c r="T254" i="81"/>
  <c r="E254" i="81"/>
  <c r="F254" i="81"/>
  <c r="G254" i="81"/>
  <c r="H254" i="81"/>
  <c r="I254" i="81"/>
  <c r="J254" i="81"/>
  <c r="N254" i="81"/>
  <c r="P254" i="81"/>
  <c r="U254" i="81"/>
  <c r="A255" i="81"/>
  <c r="G255" i="81" l="1"/>
  <c r="H255" i="81"/>
  <c r="I255" i="81"/>
  <c r="K255" i="81"/>
  <c r="M255" i="81"/>
  <c r="N255" i="81"/>
  <c r="O255" i="81"/>
  <c r="P255" i="81"/>
  <c r="L255" i="81"/>
  <c r="Q255" i="81"/>
  <c r="R255" i="81"/>
  <c r="S255" i="81"/>
  <c r="T255" i="81"/>
  <c r="U255" i="81"/>
  <c r="B255" i="81"/>
  <c r="J255" i="81"/>
  <c r="C255" i="81"/>
  <c r="D255" i="81"/>
  <c r="E255" i="81"/>
  <c r="F255" i="81"/>
  <c r="A256" i="81"/>
  <c r="C256" i="81" l="1"/>
  <c r="S256" i="81"/>
  <c r="D256" i="81"/>
  <c r="T256" i="81"/>
  <c r="E256" i="81"/>
  <c r="U256" i="81"/>
  <c r="G256" i="81"/>
  <c r="I256" i="81"/>
  <c r="J256" i="81"/>
  <c r="K256" i="81"/>
  <c r="L256" i="81"/>
  <c r="B256" i="81"/>
  <c r="F256" i="81"/>
  <c r="H256" i="81"/>
  <c r="M256" i="81"/>
  <c r="N256" i="81"/>
  <c r="O256" i="81"/>
  <c r="P256" i="81"/>
  <c r="Q256" i="81"/>
  <c r="R256" i="81"/>
  <c r="A257" i="81"/>
  <c r="O257" i="81" l="1"/>
  <c r="P257" i="81"/>
  <c r="Q257" i="81"/>
  <c r="C257" i="81"/>
  <c r="S257" i="81"/>
  <c r="E257" i="81"/>
  <c r="U257" i="81"/>
  <c r="F257" i="81"/>
  <c r="G257" i="81"/>
  <c r="D257" i="81"/>
  <c r="H257" i="81"/>
  <c r="I257" i="81"/>
  <c r="J257" i="81"/>
  <c r="K257" i="81"/>
  <c r="L257" i="81"/>
  <c r="M257" i="81"/>
  <c r="N257" i="81"/>
  <c r="R257" i="81"/>
  <c r="T257" i="81"/>
  <c r="B257" i="81"/>
  <c r="A258" i="81"/>
  <c r="K258" i="81" l="1"/>
  <c r="L258" i="81"/>
  <c r="M258" i="81"/>
  <c r="Q258" i="81"/>
  <c r="B258" i="81"/>
  <c r="R258" i="81"/>
  <c r="C258" i="81"/>
  <c r="S258" i="81"/>
  <c r="J258" i="81"/>
  <c r="N258" i="81"/>
  <c r="O258" i="81"/>
  <c r="P258" i="81"/>
  <c r="T258" i="81"/>
  <c r="U258" i="81"/>
  <c r="D258" i="81"/>
  <c r="I258" i="81"/>
  <c r="E258" i="81"/>
  <c r="F258" i="81"/>
  <c r="G258" i="81"/>
  <c r="H258" i="81"/>
  <c r="A259" i="81"/>
  <c r="G259" i="81" l="1"/>
  <c r="H259" i="81"/>
  <c r="I259" i="81"/>
  <c r="M259" i="81"/>
  <c r="N259" i="81"/>
  <c r="O259" i="81"/>
  <c r="R259" i="81"/>
  <c r="S259" i="81"/>
  <c r="T259" i="81"/>
  <c r="U259" i="81"/>
  <c r="B259" i="81"/>
  <c r="C259" i="81"/>
  <c r="D259" i="81"/>
  <c r="E259" i="81"/>
  <c r="F259" i="81"/>
  <c r="Q259" i="81"/>
  <c r="K259" i="81"/>
  <c r="J259" i="81"/>
  <c r="L259" i="81"/>
  <c r="P259" i="81"/>
  <c r="A260" i="81"/>
  <c r="C260" i="81" l="1"/>
  <c r="S260" i="81"/>
  <c r="D260" i="81"/>
  <c r="T260" i="81"/>
  <c r="E260" i="81"/>
  <c r="U260" i="81"/>
  <c r="I260" i="81"/>
  <c r="J260" i="81"/>
  <c r="K260" i="81"/>
  <c r="B260" i="81"/>
  <c r="F260" i="81"/>
  <c r="G260" i="81"/>
  <c r="H260" i="81"/>
  <c r="L260" i="81"/>
  <c r="M260" i="81"/>
  <c r="N260" i="81"/>
  <c r="O260" i="81"/>
  <c r="P260" i="81"/>
  <c r="Q260" i="81"/>
  <c r="R260" i="81"/>
  <c r="A261" i="81"/>
  <c r="O261" i="81" l="1"/>
  <c r="P261" i="81"/>
  <c r="Q261" i="81"/>
  <c r="E261" i="81"/>
  <c r="U261" i="81"/>
  <c r="F261" i="81"/>
  <c r="G261" i="81"/>
  <c r="C261" i="81"/>
  <c r="D261" i="81"/>
  <c r="H261" i="81"/>
  <c r="I261" i="81"/>
  <c r="J261" i="81"/>
  <c r="K261" i="81"/>
  <c r="L261" i="81"/>
  <c r="M261" i="81"/>
  <c r="N261" i="81"/>
  <c r="R261" i="81"/>
  <c r="S261" i="81"/>
  <c r="B261" i="81"/>
  <c r="T261" i="81"/>
  <c r="A262" i="81"/>
  <c r="K262" i="81" l="1"/>
  <c r="L262" i="81"/>
  <c r="M262" i="81"/>
  <c r="Q262" i="81"/>
  <c r="B262" i="81"/>
  <c r="R262" i="81"/>
  <c r="C262" i="81"/>
  <c r="S262" i="81"/>
  <c r="H262" i="81"/>
  <c r="I262" i="81"/>
  <c r="J262" i="81"/>
  <c r="N262" i="81"/>
  <c r="O262" i="81"/>
  <c r="T262" i="81"/>
  <c r="U262" i="81"/>
  <c r="G262" i="81"/>
  <c r="D262" i="81"/>
  <c r="E262" i="81"/>
  <c r="F262" i="81"/>
  <c r="P262" i="81"/>
  <c r="A263" i="81"/>
  <c r="G263" i="81" l="1"/>
  <c r="H263" i="81"/>
  <c r="I263" i="81"/>
  <c r="M263" i="81"/>
  <c r="N263" i="81"/>
  <c r="O263" i="81"/>
  <c r="P263" i="81"/>
  <c r="Q263" i="81"/>
  <c r="R263" i="81"/>
  <c r="S263" i="81"/>
  <c r="U263" i="81"/>
  <c r="B263" i="81"/>
  <c r="C263" i="81"/>
  <c r="D263" i="81"/>
  <c r="L263" i="81"/>
  <c r="E263" i="81"/>
  <c r="F263" i="81"/>
  <c r="T263" i="81"/>
  <c r="J263" i="81"/>
  <c r="K263" i="81"/>
  <c r="A264" i="81"/>
  <c r="C264" i="81" l="1"/>
  <c r="S264" i="81"/>
  <c r="D264" i="81"/>
  <c r="T264" i="81"/>
  <c r="E264" i="81"/>
  <c r="U264" i="81"/>
  <c r="I264" i="81"/>
  <c r="J264" i="81"/>
  <c r="P264" i="81"/>
  <c r="Q264" i="81"/>
  <c r="R264" i="81"/>
  <c r="B264" i="81"/>
  <c r="F264" i="81"/>
  <c r="G264" i="81"/>
  <c r="H264" i="81"/>
  <c r="O264" i="81"/>
  <c r="M264" i="81"/>
  <c r="N264" i="81"/>
  <c r="K264" i="81"/>
  <c r="L264" i="81"/>
  <c r="A265" i="81"/>
  <c r="O265" i="81" l="1"/>
  <c r="P265" i="81"/>
  <c r="Q265" i="81"/>
  <c r="E265" i="81"/>
  <c r="U265" i="81"/>
  <c r="F265" i="81"/>
  <c r="T265" i="81"/>
  <c r="B265" i="81"/>
  <c r="C265" i="81"/>
  <c r="G265" i="81"/>
  <c r="H265" i="81"/>
  <c r="I265" i="81"/>
  <c r="J265" i="81"/>
  <c r="K265" i="81"/>
  <c r="S265" i="81"/>
  <c r="D265" i="81"/>
  <c r="L265" i="81"/>
  <c r="M265" i="81"/>
  <c r="N265" i="81"/>
  <c r="R265" i="81"/>
  <c r="A266" i="81"/>
  <c r="K266" i="81" l="1"/>
  <c r="L266" i="81"/>
  <c r="M266" i="81"/>
  <c r="Q266" i="81"/>
  <c r="B266" i="81"/>
  <c r="R266" i="81"/>
  <c r="C266" i="81"/>
  <c r="D266" i="81"/>
  <c r="E266" i="81"/>
  <c r="F266" i="81"/>
  <c r="H266" i="81"/>
  <c r="I266" i="81"/>
  <c r="J266" i="81"/>
  <c r="N266" i="81"/>
  <c r="O266" i="81"/>
  <c r="G266" i="81"/>
  <c r="P266" i="81"/>
  <c r="S266" i="81"/>
  <c r="T266" i="81"/>
  <c r="U266" i="81"/>
  <c r="A267" i="81"/>
  <c r="G267" i="81" l="1"/>
  <c r="H267" i="81"/>
  <c r="I267" i="81"/>
  <c r="M267" i="81"/>
  <c r="N267" i="81"/>
  <c r="C267" i="81"/>
  <c r="D267" i="81"/>
  <c r="E267" i="81"/>
  <c r="F267" i="81"/>
  <c r="J267" i="81"/>
  <c r="L267" i="81"/>
  <c r="O267" i="81"/>
  <c r="P267" i="81"/>
  <c r="Q267" i="81"/>
  <c r="R267" i="81"/>
  <c r="B267" i="81"/>
  <c r="S267" i="81"/>
  <c r="K267" i="81"/>
  <c r="T267" i="81"/>
  <c r="U267" i="81"/>
  <c r="A268" i="81"/>
  <c r="C268" i="81" l="1"/>
  <c r="S268" i="81"/>
  <c r="D268" i="81"/>
  <c r="T268" i="81"/>
  <c r="E268" i="81"/>
  <c r="U268" i="81"/>
  <c r="I268" i="81"/>
  <c r="J268" i="81"/>
  <c r="G268" i="81"/>
  <c r="H268" i="81"/>
  <c r="K268" i="81"/>
  <c r="L268" i="81"/>
  <c r="M268" i="81"/>
  <c r="O268" i="81"/>
  <c r="P268" i="81"/>
  <c r="Q268" i="81"/>
  <c r="R268" i="81"/>
  <c r="F268" i="81"/>
  <c r="B268" i="81"/>
  <c r="N268" i="81"/>
  <c r="A269" i="81"/>
  <c r="O269" i="81" l="1"/>
  <c r="P269" i="81"/>
  <c r="Q269" i="81"/>
  <c r="E269" i="81"/>
  <c r="U269" i="81"/>
  <c r="F269" i="81"/>
  <c r="J269" i="81"/>
  <c r="K269" i="81"/>
  <c r="L269" i="81"/>
  <c r="M269" i="81"/>
  <c r="N269" i="81"/>
  <c r="S269" i="81"/>
  <c r="T269" i="81"/>
  <c r="B269" i="81"/>
  <c r="I269" i="81"/>
  <c r="C269" i="81"/>
  <c r="D269" i="81"/>
  <c r="G269" i="81"/>
  <c r="H269" i="81"/>
  <c r="R269" i="81"/>
  <c r="A270" i="81"/>
  <c r="K270" i="81" l="1"/>
  <c r="L270" i="81"/>
  <c r="M270" i="81"/>
  <c r="Q270" i="81"/>
  <c r="B270" i="81"/>
  <c r="R270" i="81"/>
  <c r="N270" i="81"/>
  <c r="O270" i="81"/>
  <c r="P270" i="81"/>
  <c r="S270" i="81"/>
  <c r="T270" i="81"/>
  <c r="C270" i="81"/>
  <c r="D270" i="81"/>
  <c r="E270" i="81"/>
  <c r="J270" i="81"/>
  <c r="F270" i="81"/>
  <c r="G270" i="81"/>
  <c r="H270" i="81"/>
  <c r="I270" i="81"/>
  <c r="U270" i="81"/>
  <c r="A271" i="81"/>
  <c r="G271" i="81" l="1"/>
  <c r="H271" i="81"/>
  <c r="I271" i="81"/>
  <c r="M271" i="81"/>
  <c r="N271" i="81"/>
  <c r="Q271" i="81"/>
  <c r="R271" i="81"/>
  <c r="S271" i="81"/>
  <c r="T271" i="81"/>
  <c r="U271" i="81"/>
  <c r="B271" i="81"/>
  <c r="C271" i="81"/>
  <c r="D271" i="81"/>
  <c r="E271" i="81"/>
  <c r="F271" i="81"/>
  <c r="P271" i="81"/>
  <c r="K271" i="81"/>
  <c r="J271" i="81"/>
  <c r="L271" i="81"/>
  <c r="O271" i="81"/>
  <c r="A272" i="81"/>
  <c r="C272" i="81" l="1"/>
  <c r="S272" i="81"/>
  <c r="D272" i="81"/>
  <c r="T272" i="81"/>
  <c r="E272" i="81"/>
  <c r="U272" i="81"/>
  <c r="I272" i="81"/>
  <c r="J272" i="81"/>
  <c r="R272" i="81"/>
  <c r="F272" i="81"/>
  <c r="G272" i="81"/>
  <c r="H272" i="81"/>
  <c r="K272" i="81"/>
  <c r="L272" i="81"/>
  <c r="Q272" i="81"/>
  <c r="B272" i="81"/>
  <c r="M272" i="81"/>
  <c r="N272" i="81"/>
  <c r="O272" i="81"/>
  <c r="P272" i="81"/>
  <c r="A273" i="81"/>
  <c r="O273" i="81" l="1"/>
  <c r="P273" i="81"/>
  <c r="Q273" i="81"/>
  <c r="E273" i="81"/>
  <c r="U273" i="81"/>
  <c r="F273" i="81"/>
  <c r="B273" i="81"/>
  <c r="C273" i="81"/>
  <c r="D273" i="81"/>
  <c r="G273" i="81"/>
  <c r="I273" i="81"/>
  <c r="J273" i="81"/>
  <c r="K273" i="81"/>
  <c r="L273" i="81"/>
  <c r="M273" i="81"/>
  <c r="H273" i="81"/>
  <c r="N273" i="81"/>
  <c r="R273" i="81"/>
  <c r="S273" i="81"/>
  <c r="T273" i="81"/>
  <c r="A274" i="81"/>
  <c r="K274" i="81" l="1"/>
  <c r="L274" i="81"/>
  <c r="M274" i="81"/>
  <c r="Q274" i="81"/>
  <c r="B274" i="81"/>
  <c r="R274" i="81"/>
  <c r="D274" i="81"/>
  <c r="E274" i="81"/>
  <c r="F274" i="81"/>
  <c r="G274" i="81"/>
  <c r="H274" i="81"/>
  <c r="J274" i="81"/>
  <c r="N274" i="81"/>
  <c r="O274" i="81"/>
  <c r="P274" i="81"/>
  <c r="S274" i="81"/>
  <c r="C274" i="81"/>
  <c r="I274" i="81"/>
  <c r="T274" i="81"/>
  <c r="U274" i="81"/>
  <c r="A275" i="81"/>
  <c r="G275" i="81" l="1"/>
  <c r="H275" i="81"/>
  <c r="I275" i="81"/>
  <c r="M275" i="81"/>
  <c r="N275" i="81"/>
  <c r="E275" i="81"/>
  <c r="F275" i="81"/>
  <c r="J275" i="81"/>
  <c r="K275" i="81"/>
  <c r="L275" i="81"/>
  <c r="P275" i="81"/>
  <c r="Q275" i="81"/>
  <c r="R275" i="81"/>
  <c r="S275" i="81"/>
  <c r="T275" i="81"/>
  <c r="D275" i="81"/>
  <c r="U275" i="81"/>
  <c r="B275" i="81"/>
  <c r="C275" i="81"/>
  <c r="O275" i="81"/>
  <c r="A276" i="81"/>
  <c r="C276" i="81" l="1"/>
  <c r="S276" i="81"/>
  <c r="D276" i="81"/>
  <c r="T276" i="81"/>
  <c r="E276" i="81"/>
  <c r="U276" i="81"/>
  <c r="I276" i="81"/>
  <c r="J276" i="81"/>
  <c r="K276" i="81"/>
  <c r="L276" i="81"/>
  <c r="M276" i="81"/>
  <c r="N276" i="81"/>
  <c r="O276" i="81"/>
  <c r="Q276" i="81"/>
  <c r="R276" i="81"/>
  <c r="H276" i="81"/>
  <c r="B276" i="81"/>
  <c r="F276" i="81"/>
  <c r="G276" i="81"/>
  <c r="P276" i="81"/>
  <c r="A277" i="81"/>
  <c r="O277" i="81" l="1"/>
  <c r="P277" i="81"/>
  <c r="Q277" i="81"/>
  <c r="E277" i="81"/>
  <c r="U277" i="81"/>
  <c r="K277" i="81"/>
  <c r="L277" i="81"/>
  <c r="M277" i="81"/>
  <c r="N277" i="81"/>
  <c r="R277" i="81"/>
  <c r="T277" i="81"/>
  <c r="B277" i="81"/>
  <c r="C277" i="81"/>
  <c r="D277" i="81"/>
  <c r="J277" i="81"/>
  <c r="F277" i="81"/>
  <c r="G277" i="81"/>
  <c r="H277" i="81"/>
  <c r="I277" i="81"/>
  <c r="S277" i="81"/>
  <c r="A278" i="81"/>
  <c r="K278" i="81" l="1"/>
  <c r="L278" i="81"/>
  <c r="M278" i="81"/>
  <c r="Q278" i="81"/>
  <c r="N278" i="81"/>
  <c r="O278" i="81"/>
  <c r="P278" i="81"/>
  <c r="R278" i="81"/>
  <c r="S278" i="81"/>
  <c r="U278" i="81"/>
  <c r="B278" i="81"/>
  <c r="C278" i="81"/>
  <c r="D278" i="81"/>
  <c r="E278" i="81"/>
  <c r="J278" i="81"/>
  <c r="F278" i="81"/>
  <c r="I278" i="81"/>
  <c r="G278" i="81"/>
  <c r="H278" i="81"/>
  <c r="T278" i="81"/>
  <c r="A279" i="81"/>
  <c r="G279" i="81" l="1"/>
  <c r="H279" i="81"/>
  <c r="I279" i="81"/>
  <c r="M279" i="81"/>
  <c r="O279" i="81"/>
  <c r="P279" i="81"/>
  <c r="Q279" i="81"/>
  <c r="R279" i="81"/>
  <c r="S279" i="81"/>
  <c r="U279" i="81"/>
  <c r="B279" i="81"/>
  <c r="C279" i="81"/>
  <c r="D279" i="81"/>
  <c r="E279" i="81"/>
  <c r="N279" i="81"/>
  <c r="J279" i="81"/>
  <c r="K279" i="81"/>
  <c r="L279" i="81"/>
  <c r="T279" i="81"/>
  <c r="F279" i="81"/>
  <c r="A280" i="81"/>
  <c r="C280" i="81" l="1"/>
  <c r="S280" i="81"/>
  <c r="D280" i="81"/>
  <c r="T280" i="81"/>
  <c r="E280" i="81"/>
  <c r="U280" i="81"/>
  <c r="I280" i="81"/>
  <c r="O280" i="81"/>
  <c r="P280" i="81"/>
  <c r="Q280" i="81"/>
  <c r="R280" i="81"/>
  <c r="B280" i="81"/>
  <c r="F280" i="81"/>
  <c r="G280" i="81"/>
  <c r="H280" i="81"/>
  <c r="N280" i="81"/>
  <c r="J280" i="81"/>
  <c r="K280" i="81"/>
  <c r="L280" i="81"/>
  <c r="M280" i="81"/>
  <c r="A281" i="81"/>
  <c r="O281" i="81" l="1"/>
  <c r="P281" i="81"/>
  <c r="Q281" i="81"/>
  <c r="E281" i="81"/>
  <c r="U281" i="81"/>
  <c r="R281" i="81"/>
  <c r="S281" i="81"/>
  <c r="T281" i="81"/>
  <c r="B281" i="81"/>
  <c r="D281" i="81"/>
  <c r="F281" i="81"/>
  <c r="G281" i="81"/>
  <c r="H281" i="81"/>
  <c r="I281" i="81"/>
  <c r="N281" i="81"/>
  <c r="C281" i="81"/>
  <c r="J281" i="81"/>
  <c r="K281" i="81"/>
  <c r="L281" i="81"/>
  <c r="M281" i="81"/>
  <c r="A282" i="81"/>
  <c r="K282" i="81" l="1"/>
  <c r="L282" i="81"/>
  <c r="M282" i="81"/>
  <c r="Q282" i="81"/>
  <c r="S282" i="81"/>
  <c r="T282" i="81"/>
  <c r="U282" i="81"/>
  <c r="B282" i="81"/>
  <c r="C282" i="81"/>
  <c r="E282" i="81"/>
  <c r="F282" i="81"/>
  <c r="G282" i="81"/>
  <c r="H282" i="81"/>
  <c r="I282" i="81"/>
  <c r="R282" i="81"/>
  <c r="O282" i="81"/>
  <c r="P282" i="81"/>
  <c r="D282" i="81"/>
  <c r="J282" i="81"/>
  <c r="N282" i="81"/>
  <c r="A283" i="81"/>
  <c r="G283" i="81" l="1"/>
  <c r="H283" i="81"/>
  <c r="I283" i="81"/>
  <c r="M283" i="81"/>
  <c r="S283" i="81"/>
  <c r="T283" i="81"/>
  <c r="U283" i="81"/>
  <c r="B283" i="81"/>
  <c r="C283" i="81"/>
  <c r="E283" i="81"/>
  <c r="F283" i="81"/>
  <c r="J283" i="81"/>
  <c r="K283" i="81"/>
  <c r="L283" i="81"/>
  <c r="R283" i="81"/>
  <c r="D283" i="81"/>
  <c r="N283" i="81"/>
  <c r="O283" i="81"/>
  <c r="P283" i="81"/>
  <c r="Q283" i="81"/>
  <c r="A284" i="81"/>
  <c r="C284" i="81" l="1"/>
  <c r="S284" i="81"/>
  <c r="D284" i="81"/>
  <c r="T284" i="81"/>
  <c r="E284" i="81"/>
  <c r="U284" i="81"/>
  <c r="I284" i="81"/>
  <c r="B284" i="81"/>
  <c r="F284" i="81"/>
  <c r="H284" i="81"/>
  <c r="J284" i="81"/>
  <c r="K284" i="81"/>
  <c r="L284" i="81"/>
  <c r="M284" i="81"/>
  <c r="R284" i="81"/>
  <c r="G284" i="81"/>
  <c r="N284" i="81"/>
  <c r="O284" i="81"/>
  <c r="P284" i="81"/>
  <c r="Q284" i="81"/>
  <c r="A285" i="81"/>
  <c r="O285" i="81" l="1"/>
  <c r="P285" i="81"/>
  <c r="Q285" i="81"/>
  <c r="E285" i="81"/>
  <c r="U285" i="81"/>
  <c r="B285" i="81"/>
  <c r="C285" i="81"/>
  <c r="D285" i="81"/>
  <c r="F285" i="81"/>
  <c r="G285" i="81"/>
  <c r="I285" i="81"/>
  <c r="J285" i="81"/>
  <c r="K285" i="81"/>
  <c r="L285" i="81"/>
  <c r="M285" i="81"/>
  <c r="T285" i="81"/>
  <c r="N285" i="81"/>
  <c r="H285" i="81"/>
  <c r="R285" i="81"/>
  <c r="S285" i="81"/>
  <c r="A286" i="81"/>
  <c r="K286" i="81" l="1"/>
  <c r="L286" i="81"/>
  <c r="M286" i="81"/>
  <c r="Q286" i="81"/>
  <c r="C286" i="81"/>
  <c r="D286" i="81"/>
  <c r="E286" i="81"/>
  <c r="F286" i="81"/>
  <c r="G286" i="81"/>
  <c r="I286" i="81"/>
  <c r="J286" i="81"/>
  <c r="N286" i="81"/>
  <c r="O286" i="81"/>
  <c r="P286" i="81"/>
  <c r="B286" i="81"/>
  <c r="H286" i="81"/>
  <c r="R286" i="81"/>
  <c r="S286" i="81"/>
  <c r="T286" i="81"/>
  <c r="U286" i="81"/>
  <c r="A287" i="81"/>
  <c r="G287" i="81" l="1"/>
  <c r="H287" i="81"/>
  <c r="I287" i="81"/>
  <c r="M287" i="81"/>
  <c r="C287" i="81"/>
  <c r="D287" i="81"/>
  <c r="E287" i="81"/>
  <c r="F287" i="81"/>
  <c r="J287" i="81"/>
  <c r="L287" i="81"/>
  <c r="N287" i="81"/>
  <c r="O287" i="81"/>
  <c r="P287" i="81"/>
  <c r="Q287" i="81"/>
  <c r="B287" i="81"/>
  <c r="K287" i="81"/>
  <c r="R287" i="81"/>
  <c r="S287" i="81"/>
  <c r="T287" i="81"/>
  <c r="U287" i="81"/>
  <c r="A288" i="81"/>
  <c r="C288" i="81" l="1"/>
  <c r="S288" i="81"/>
  <c r="D288" i="81"/>
  <c r="T288" i="81"/>
  <c r="E288" i="81"/>
  <c r="U288" i="81"/>
  <c r="I288" i="81"/>
  <c r="F288" i="81"/>
  <c r="G288" i="81"/>
  <c r="H288" i="81"/>
  <c r="J288" i="81"/>
  <c r="K288" i="81"/>
  <c r="M288" i="81"/>
  <c r="N288" i="81"/>
  <c r="O288" i="81"/>
  <c r="P288" i="81"/>
  <c r="Q288" i="81"/>
  <c r="B288" i="81"/>
  <c r="L288" i="81"/>
  <c r="R288" i="81"/>
  <c r="A289" i="81"/>
  <c r="O289" i="81" l="1"/>
  <c r="P289" i="81"/>
  <c r="Q289" i="81"/>
  <c r="F289" i="81"/>
  <c r="G289" i="81"/>
  <c r="H289" i="81"/>
  <c r="I289" i="81"/>
  <c r="J289" i="81"/>
  <c r="L289" i="81"/>
  <c r="M289" i="81"/>
  <c r="N289" i="81"/>
  <c r="R289" i="81"/>
  <c r="S289" i="81"/>
  <c r="E289" i="81"/>
  <c r="K289" i="81"/>
  <c r="T289" i="81"/>
  <c r="U289" i="81"/>
  <c r="B289" i="81"/>
  <c r="C289" i="81"/>
  <c r="D289" i="81"/>
  <c r="A290" i="81"/>
  <c r="K290" i="81" l="1"/>
  <c r="L290" i="81"/>
  <c r="M290" i="81"/>
  <c r="E290" i="81"/>
  <c r="F290" i="81"/>
  <c r="G290" i="81"/>
  <c r="H290" i="81"/>
  <c r="I290" i="81"/>
  <c r="N290" i="81"/>
  <c r="O290" i="81"/>
  <c r="P290" i="81"/>
  <c r="Q290" i="81"/>
  <c r="R290" i="81"/>
  <c r="D290" i="81"/>
  <c r="B290" i="81"/>
  <c r="C290" i="81"/>
  <c r="J290" i="81"/>
  <c r="S290" i="81"/>
  <c r="T290" i="81"/>
  <c r="U290" i="81"/>
  <c r="A291" i="81"/>
  <c r="G291" i="81" l="1"/>
  <c r="H291" i="81"/>
  <c r="I291" i="81"/>
  <c r="D291" i="81"/>
  <c r="E291" i="81"/>
  <c r="F291" i="81"/>
  <c r="J291" i="81"/>
  <c r="K291" i="81"/>
  <c r="M291" i="81"/>
  <c r="N291" i="81"/>
  <c r="O291" i="81"/>
  <c r="P291" i="81"/>
  <c r="Q291" i="81"/>
  <c r="C291" i="81"/>
  <c r="B291" i="81"/>
  <c r="L291" i="81"/>
  <c r="T291" i="81"/>
  <c r="R291" i="81"/>
  <c r="S291" i="81"/>
  <c r="U291" i="81"/>
  <c r="A292" i="81"/>
  <c r="C292" i="81" l="1"/>
  <c r="S292" i="81"/>
  <c r="D292" i="81"/>
  <c r="T292" i="81"/>
  <c r="E292" i="81"/>
  <c r="U292" i="81"/>
  <c r="F292" i="81"/>
  <c r="G292" i="81"/>
  <c r="H292" i="81"/>
  <c r="I292" i="81"/>
  <c r="J292" i="81"/>
  <c r="L292" i="81"/>
  <c r="M292" i="81"/>
  <c r="N292" i="81"/>
  <c r="O292" i="81"/>
  <c r="P292" i="81"/>
  <c r="B292" i="81"/>
  <c r="Q292" i="81"/>
  <c r="R292" i="81"/>
  <c r="K292" i="81"/>
  <c r="A293" i="81"/>
  <c r="O293" i="81" l="1"/>
  <c r="P293" i="81"/>
  <c r="Q293" i="81"/>
  <c r="E293" i="81"/>
  <c r="F293" i="81"/>
  <c r="G293" i="81"/>
  <c r="H293" i="81"/>
  <c r="I293" i="81"/>
  <c r="K293" i="81"/>
  <c r="L293" i="81"/>
  <c r="M293" i="81"/>
  <c r="N293" i="81"/>
  <c r="R293" i="81"/>
  <c r="D293" i="81"/>
  <c r="B293" i="81"/>
  <c r="C293" i="81"/>
  <c r="J293" i="81"/>
  <c r="S293" i="81"/>
  <c r="T293" i="81"/>
  <c r="U293" i="81"/>
  <c r="A294" i="81"/>
  <c r="K294" i="81" l="1"/>
  <c r="L294" i="81"/>
  <c r="M294" i="81"/>
  <c r="D294" i="81"/>
  <c r="E294" i="81"/>
  <c r="F294" i="81"/>
  <c r="G294" i="81"/>
  <c r="H294" i="81"/>
  <c r="J294" i="81"/>
  <c r="N294" i="81"/>
  <c r="O294" i="81"/>
  <c r="P294" i="81"/>
  <c r="Q294" i="81"/>
  <c r="C294" i="81"/>
  <c r="B294" i="81"/>
  <c r="I294" i="81"/>
  <c r="R294" i="81"/>
  <c r="U294" i="81"/>
  <c r="S294" i="81"/>
  <c r="T294" i="81"/>
  <c r="A295" i="81"/>
  <c r="G295" i="81" l="1"/>
  <c r="H295" i="81"/>
  <c r="I295" i="81"/>
  <c r="C295" i="81"/>
  <c r="D295" i="81"/>
  <c r="E295" i="81"/>
  <c r="F295" i="81"/>
  <c r="J295" i="81"/>
  <c r="L295" i="81"/>
  <c r="M295" i="81"/>
  <c r="N295" i="81"/>
  <c r="O295" i="81"/>
  <c r="P295" i="81"/>
  <c r="B295" i="81"/>
  <c r="U295" i="81"/>
  <c r="R295" i="81"/>
  <c r="S295" i="81"/>
  <c r="T295" i="81"/>
  <c r="K295" i="81"/>
  <c r="Q295" i="81"/>
  <c r="A296" i="81"/>
  <c r="C296" i="81" l="1"/>
  <c r="S296" i="81"/>
  <c r="D296" i="81"/>
  <c r="T296" i="81"/>
  <c r="E296" i="81"/>
  <c r="U296" i="81"/>
  <c r="B296" i="81"/>
  <c r="F296" i="81"/>
  <c r="G296" i="81"/>
  <c r="H296" i="81"/>
  <c r="I296" i="81"/>
  <c r="K296" i="81"/>
  <c r="L296" i="81"/>
  <c r="M296" i="81"/>
  <c r="N296" i="81"/>
  <c r="O296" i="81"/>
  <c r="J296" i="81"/>
  <c r="P296" i="81"/>
  <c r="Q296" i="81"/>
  <c r="R296" i="81"/>
  <c r="A297" i="81"/>
  <c r="O297" i="81" l="1"/>
  <c r="P297" i="81"/>
  <c r="Q297" i="81"/>
  <c r="D297" i="81"/>
  <c r="E297" i="81"/>
  <c r="F297" i="81"/>
  <c r="G297" i="81"/>
  <c r="H297" i="81"/>
  <c r="J297" i="81"/>
  <c r="K297" i="81"/>
  <c r="L297" i="81"/>
  <c r="M297" i="81"/>
  <c r="N297" i="81"/>
  <c r="C297" i="81"/>
  <c r="B297" i="81"/>
  <c r="I297" i="81"/>
  <c r="R297" i="81"/>
  <c r="S297" i="81"/>
  <c r="T297" i="81"/>
  <c r="U297" i="81"/>
  <c r="A298" i="81"/>
  <c r="K298" i="81" l="1"/>
  <c r="L298" i="81"/>
  <c r="M298" i="81"/>
  <c r="C298" i="81"/>
  <c r="D298" i="81"/>
  <c r="E298" i="81"/>
  <c r="F298" i="81"/>
  <c r="G298" i="81"/>
  <c r="I298" i="81"/>
  <c r="J298" i="81"/>
  <c r="N298" i="81"/>
  <c r="O298" i="81"/>
  <c r="P298" i="81"/>
  <c r="B298" i="81"/>
  <c r="U298" i="81"/>
  <c r="S298" i="81"/>
  <c r="T298" i="81"/>
  <c r="H298" i="81"/>
  <c r="Q298" i="81"/>
  <c r="R298" i="81"/>
  <c r="A299" i="81"/>
  <c r="G299" i="81" l="1"/>
  <c r="H299" i="81"/>
  <c r="I299" i="81"/>
  <c r="B299" i="81"/>
  <c r="U299" i="81"/>
  <c r="C299" i="81"/>
  <c r="D299" i="81"/>
  <c r="E299" i="81"/>
  <c r="F299" i="81"/>
  <c r="K299" i="81"/>
  <c r="L299" i="81"/>
  <c r="M299" i="81"/>
  <c r="N299" i="81"/>
  <c r="O299" i="81"/>
  <c r="T299" i="81"/>
  <c r="J299" i="81"/>
  <c r="P299" i="81"/>
  <c r="Q299" i="81"/>
  <c r="R299" i="81"/>
  <c r="S299" i="81"/>
  <c r="A300" i="81"/>
  <c r="C300" i="81" l="1"/>
  <c r="S300" i="81"/>
  <c r="D300" i="81"/>
  <c r="T300" i="81"/>
  <c r="E300" i="81"/>
  <c r="U300" i="81"/>
  <c r="B300" i="81"/>
  <c r="F300" i="81"/>
  <c r="G300" i="81"/>
  <c r="H300" i="81"/>
  <c r="J300" i="81"/>
  <c r="K300" i="81"/>
  <c r="L300" i="81"/>
  <c r="M300" i="81"/>
  <c r="N300" i="81"/>
  <c r="I300" i="81"/>
  <c r="O300" i="81"/>
  <c r="P300" i="81"/>
  <c r="Q300" i="81"/>
  <c r="R300" i="81"/>
  <c r="A301" i="81"/>
  <c r="O301" i="81" l="1"/>
  <c r="P301" i="81"/>
  <c r="Q301" i="81"/>
  <c r="C301" i="81"/>
  <c r="D301" i="81"/>
  <c r="E301" i="81"/>
  <c r="G301" i="81"/>
  <c r="I301" i="81"/>
  <c r="J301" i="81"/>
  <c r="K301" i="81"/>
  <c r="L301" i="81"/>
  <c r="M301" i="81"/>
  <c r="B301" i="81"/>
  <c r="U301" i="81"/>
  <c r="S301" i="81"/>
  <c r="T301" i="81"/>
  <c r="H301" i="81"/>
  <c r="F301" i="81"/>
  <c r="N301" i="81"/>
  <c r="R301" i="81"/>
  <c r="A302" i="81"/>
  <c r="K302" i="81" l="1"/>
  <c r="L302" i="81"/>
  <c r="M302" i="81"/>
  <c r="B302" i="81"/>
  <c r="U302" i="81"/>
  <c r="C302" i="81"/>
  <c r="D302" i="81"/>
  <c r="H302" i="81"/>
  <c r="I302" i="81"/>
  <c r="J302" i="81"/>
  <c r="N302" i="81"/>
  <c r="O302" i="81"/>
  <c r="T302" i="81"/>
  <c r="E302" i="81"/>
  <c r="F302" i="81"/>
  <c r="G302" i="81"/>
  <c r="P302" i="81"/>
  <c r="Q302" i="81"/>
  <c r="R302" i="81"/>
  <c r="S302" i="81"/>
  <c r="A303" i="81"/>
  <c r="G303" i="81" l="1"/>
  <c r="H303" i="81"/>
  <c r="I303" i="81"/>
  <c r="T303" i="81"/>
  <c r="B303" i="81"/>
  <c r="U303" i="81"/>
  <c r="C303" i="81"/>
  <c r="J303" i="81"/>
  <c r="K303" i="81"/>
  <c r="L303" i="81"/>
  <c r="M303" i="81"/>
  <c r="N303" i="81"/>
  <c r="S303" i="81"/>
  <c r="D303" i="81"/>
  <c r="E303" i="81"/>
  <c r="P303" i="81"/>
  <c r="F303" i="81"/>
  <c r="O303" i="81"/>
  <c r="Q303" i="81"/>
  <c r="R303" i="81"/>
  <c r="A304" i="81"/>
  <c r="C304" i="81" l="1"/>
  <c r="S304" i="81"/>
  <c r="D304" i="81"/>
  <c r="T304" i="81"/>
  <c r="E304" i="81"/>
  <c r="U304" i="81"/>
  <c r="B304" i="81"/>
  <c r="I304" i="81"/>
  <c r="J304" i="81"/>
  <c r="K304" i="81"/>
  <c r="L304" i="81"/>
  <c r="R304" i="81"/>
  <c r="F304" i="81"/>
  <c r="G304" i="81"/>
  <c r="H304" i="81"/>
  <c r="M304" i="81"/>
  <c r="N304" i="81"/>
  <c r="O304" i="81"/>
  <c r="P304" i="81"/>
  <c r="Q304" i="81"/>
  <c r="A305" i="81"/>
  <c r="O305" i="81" l="1"/>
  <c r="P305" i="81"/>
  <c r="Q305" i="81"/>
  <c r="B305" i="81"/>
  <c r="U305" i="81"/>
  <c r="C305" i="81"/>
  <c r="D305" i="81"/>
  <c r="H305" i="81"/>
  <c r="I305" i="81"/>
  <c r="J305" i="81"/>
  <c r="K305" i="81"/>
  <c r="T305" i="81"/>
  <c r="E305" i="81"/>
  <c r="F305" i="81"/>
  <c r="G305" i="81"/>
  <c r="N305" i="81"/>
  <c r="L305" i="81"/>
  <c r="M305" i="81"/>
  <c r="R305" i="81"/>
  <c r="S305" i="81"/>
  <c r="A306" i="81"/>
  <c r="K306" i="81" l="1"/>
  <c r="L306" i="81"/>
  <c r="M306" i="81"/>
  <c r="T306" i="81"/>
  <c r="B306" i="81"/>
  <c r="U306" i="81"/>
  <c r="C306" i="81"/>
  <c r="G306" i="81"/>
  <c r="H306" i="81"/>
  <c r="I306" i="81"/>
  <c r="J306" i="81"/>
  <c r="S306" i="81"/>
  <c r="D306" i="81"/>
  <c r="E306" i="81"/>
  <c r="F306" i="81"/>
  <c r="N306" i="81"/>
  <c r="O306" i="81"/>
  <c r="P306" i="81"/>
  <c r="Q306" i="81"/>
  <c r="R306" i="81"/>
  <c r="A307" i="81"/>
  <c r="G307" i="81" l="1"/>
  <c r="H307" i="81"/>
  <c r="I307" i="81"/>
  <c r="S307" i="81"/>
  <c r="T307" i="81"/>
  <c r="B307" i="81"/>
  <c r="U307" i="81"/>
  <c r="F307" i="81"/>
  <c r="J307" i="81"/>
  <c r="K307" i="81"/>
  <c r="L307" i="81"/>
  <c r="R307" i="81"/>
  <c r="C307" i="81"/>
  <c r="D307" i="81"/>
  <c r="E307" i="81"/>
  <c r="O307" i="81"/>
  <c r="M307" i="81"/>
  <c r="N307" i="81"/>
  <c r="P307" i="81"/>
  <c r="Q307" i="81"/>
  <c r="A308" i="81"/>
  <c r="C308" i="81" l="1"/>
  <c r="S308" i="81"/>
  <c r="D308" i="81"/>
  <c r="T308" i="81"/>
  <c r="E308" i="81"/>
  <c r="U308" i="81"/>
  <c r="R308" i="81"/>
  <c r="H308" i="81"/>
  <c r="I308" i="81"/>
  <c r="J308" i="81"/>
  <c r="K308" i="81"/>
  <c r="Q308" i="81"/>
  <c r="B308" i="81"/>
  <c r="F308" i="81"/>
  <c r="G308" i="81"/>
  <c r="L308" i="81"/>
  <c r="M308" i="81"/>
  <c r="N308" i="81"/>
  <c r="O308" i="81"/>
  <c r="P308" i="81"/>
  <c r="A309" i="81"/>
  <c r="O309" i="81" l="1"/>
  <c r="P309" i="81"/>
  <c r="S309" i="81"/>
  <c r="B309" i="81"/>
  <c r="T309" i="81"/>
  <c r="C309" i="81"/>
  <c r="U309" i="81"/>
  <c r="G309" i="81"/>
  <c r="H309" i="81"/>
  <c r="I309" i="81"/>
  <c r="J309" i="81"/>
  <c r="R309" i="81"/>
  <c r="D309" i="81"/>
  <c r="E309" i="81"/>
  <c r="F309" i="81"/>
  <c r="M309" i="81"/>
  <c r="K309" i="81"/>
  <c r="L309" i="81"/>
  <c r="N309" i="81"/>
  <c r="Q309" i="81"/>
  <c r="A310" i="81"/>
  <c r="O310" i="81" l="1"/>
  <c r="P310" i="81"/>
  <c r="Q310" i="81"/>
  <c r="E310" i="81"/>
  <c r="U310" i="81"/>
  <c r="F310" i="81"/>
  <c r="G310" i="81"/>
  <c r="H310" i="81"/>
  <c r="N310" i="81"/>
  <c r="B310" i="81"/>
  <c r="C310" i="81"/>
  <c r="D310" i="81"/>
  <c r="I310" i="81"/>
  <c r="J310" i="81"/>
  <c r="K310" i="81"/>
  <c r="L310" i="81"/>
  <c r="M310" i="81"/>
  <c r="R310" i="81"/>
  <c r="S310" i="81"/>
  <c r="T310" i="81"/>
  <c r="A311" i="81"/>
  <c r="K311" i="81" l="1"/>
  <c r="L311" i="81"/>
  <c r="M311" i="81"/>
  <c r="Q311" i="81"/>
  <c r="B311" i="81"/>
  <c r="R311" i="81"/>
  <c r="C311" i="81"/>
  <c r="S311" i="81"/>
  <c r="D311" i="81"/>
  <c r="T311" i="81"/>
  <c r="J311" i="81"/>
  <c r="N311" i="81"/>
  <c r="O311" i="81"/>
  <c r="P311" i="81"/>
  <c r="U311" i="81"/>
  <c r="G311" i="81"/>
  <c r="E311" i="81"/>
  <c r="F311" i="81"/>
  <c r="H311" i="81"/>
  <c r="I311" i="81"/>
  <c r="A312" i="81"/>
  <c r="G312" i="81" l="1"/>
  <c r="H312" i="81"/>
  <c r="I312" i="81"/>
  <c r="M312" i="81"/>
  <c r="N312" i="81"/>
  <c r="O312" i="81"/>
  <c r="P312" i="81"/>
  <c r="F312" i="81"/>
  <c r="B312" i="81"/>
  <c r="C312" i="81"/>
  <c r="D312" i="81"/>
  <c r="E312" i="81"/>
  <c r="J312" i="81"/>
  <c r="K312" i="81"/>
  <c r="L312" i="81"/>
  <c r="S312" i="81"/>
  <c r="Q312" i="81"/>
  <c r="R312" i="81"/>
  <c r="T312" i="81"/>
  <c r="U312" i="81"/>
  <c r="A313" i="81"/>
  <c r="C313" i="81" l="1"/>
  <c r="S313" i="81"/>
  <c r="D313" i="81"/>
  <c r="T313" i="81"/>
  <c r="E313" i="81"/>
  <c r="U313" i="81"/>
  <c r="I313" i="81"/>
  <c r="J313" i="81"/>
  <c r="K313" i="81"/>
  <c r="L313" i="81"/>
  <c r="B313" i="81"/>
  <c r="R313" i="81"/>
  <c r="F313" i="81"/>
  <c r="G313" i="81"/>
  <c r="H313" i="81"/>
  <c r="M313" i="81"/>
  <c r="N313" i="81"/>
  <c r="O313" i="81"/>
  <c r="P313" i="81"/>
  <c r="Q313" i="81"/>
  <c r="A314" i="81"/>
  <c r="P314" i="81" l="1"/>
  <c r="Q314" i="81"/>
  <c r="E314" i="81"/>
  <c r="U314" i="81"/>
  <c r="F314" i="81"/>
  <c r="G314" i="81"/>
  <c r="H314" i="81"/>
  <c r="N314" i="81"/>
  <c r="O314" i="81"/>
  <c r="R314" i="81"/>
  <c r="S314" i="81"/>
  <c r="T314" i="81"/>
  <c r="B314" i="81"/>
  <c r="C314" i="81"/>
  <c r="D314" i="81"/>
  <c r="K314" i="81"/>
  <c r="I314" i="81"/>
  <c r="J314" i="81"/>
  <c r="L314" i="81"/>
  <c r="M314" i="81"/>
  <c r="A315" i="81"/>
  <c r="L315" i="81" l="1"/>
  <c r="M315" i="81"/>
  <c r="Q315" i="81"/>
  <c r="B315" i="81"/>
  <c r="R315" i="81"/>
  <c r="C315" i="81"/>
  <c r="S315" i="81"/>
  <c r="D315" i="81"/>
  <c r="T315" i="81"/>
  <c r="E315" i="81"/>
  <c r="F315" i="81"/>
  <c r="G315" i="81"/>
  <c r="H315" i="81"/>
  <c r="I315" i="81"/>
  <c r="J315" i="81"/>
  <c r="K315" i="81"/>
  <c r="P315" i="81"/>
  <c r="N315" i="81"/>
  <c r="O315" i="81"/>
  <c r="U315" i="81"/>
  <c r="A316" i="81"/>
  <c r="H316" i="81" l="1"/>
  <c r="I316" i="81"/>
  <c r="M316" i="81"/>
  <c r="N316" i="81"/>
  <c r="O316" i="81"/>
  <c r="P316" i="81"/>
  <c r="C316" i="81"/>
  <c r="D316" i="81"/>
  <c r="E316" i="81"/>
  <c r="F316" i="81"/>
  <c r="G316" i="81"/>
  <c r="J316" i="81"/>
  <c r="K316" i="81"/>
  <c r="L316" i="81"/>
  <c r="Q316" i="81"/>
  <c r="R316" i="81"/>
  <c r="S316" i="81"/>
  <c r="T316" i="81"/>
  <c r="U316" i="81"/>
  <c r="B316" i="81"/>
  <c r="A317" i="81"/>
  <c r="D317" i="81" l="1"/>
  <c r="T317" i="81"/>
  <c r="E317" i="81"/>
  <c r="U317" i="81"/>
  <c r="I317" i="81"/>
  <c r="J317" i="81"/>
  <c r="K317" i="81"/>
  <c r="L317" i="81"/>
  <c r="G317" i="81"/>
  <c r="H317" i="81"/>
  <c r="M317" i="81"/>
  <c r="N317" i="81"/>
  <c r="O317" i="81"/>
  <c r="P317" i="81"/>
  <c r="Q317" i="81"/>
  <c r="R317" i="81"/>
  <c r="S317" i="81"/>
  <c r="B317" i="81"/>
  <c r="C317" i="81"/>
  <c r="F317" i="81"/>
  <c r="A318" i="81"/>
  <c r="P318" i="81" l="1"/>
  <c r="Q318" i="81"/>
  <c r="E318" i="81"/>
  <c r="U318" i="81"/>
  <c r="F318" i="81"/>
  <c r="G318" i="81"/>
  <c r="H318" i="81"/>
  <c r="M318" i="81"/>
  <c r="N318" i="81"/>
  <c r="O318" i="81"/>
  <c r="R318" i="81"/>
  <c r="S318" i="81"/>
  <c r="T318" i="81"/>
  <c r="B318" i="81"/>
  <c r="C318" i="81"/>
  <c r="J318" i="81"/>
  <c r="D318" i="81"/>
  <c r="I318" i="81"/>
  <c r="K318" i="81"/>
  <c r="L318" i="81"/>
  <c r="A319" i="81"/>
  <c r="L319" i="81" l="1"/>
  <c r="M319" i="81"/>
  <c r="Q319" i="81"/>
  <c r="B319" i="81"/>
  <c r="R319" i="81"/>
  <c r="C319" i="81"/>
  <c r="S319" i="81"/>
  <c r="D319" i="81"/>
  <c r="T319" i="81"/>
  <c r="U319" i="81"/>
  <c r="E319" i="81"/>
  <c r="F319" i="81"/>
  <c r="G319" i="81"/>
  <c r="H319" i="81"/>
  <c r="I319" i="81"/>
  <c r="N319" i="81"/>
  <c r="J319" i="81"/>
  <c r="K319" i="81"/>
  <c r="O319" i="81"/>
  <c r="P319" i="81"/>
  <c r="A320" i="81"/>
  <c r="H320" i="81" l="1"/>
  <c r="I320" i="81"/>
  <c r="M320" i="81"/>
  <c r="N320" i="81"/>
  <c r="O320" i="81"/>
  <c r="P320" i="81"/>
  <c r="B320" i="81"/>
  <c r="C320" i="81"/>
  <c r="D320" i="81"/>
  <c r="E320" i="81"/>
  <c r="F320" i="81"/>
  <c r="G320" i="81"/>
  <c r="J320" i="81"/>
  <c r="K320" i="81"/>
  <c r="L320" i="81"/>
  <c r="Q320" i="81"/>
  <c r="T320" i="81"/>
  <c r="R320" i="81"/>
  <c r="S320" i="81"/>
  <c r="U320" i="81"/>
  <c r="A321" i="81"/>
  <c r="D321" i="81" l="1"/>
  <c r="T321" i="81"/>
  <c r="E321" i="81"/>
  <c r="U321" i="81"/>
  <c r="I321" i="81"/>
  <c r="J321" i="81"/>
  <c r="K321" i="81"/>
  <c r="L321" i="81"/>
  <c r="C321" i="81"/>
  <c r="F321" i="81"/>
  <c r="G321" i="81"/>
  <c r="H321" i="81"/>
  <c r="M321" i="81"/>
  <c r="N321" i="81"/>
  <c r="O321" i="81"/>
  <c r="P321" i="81"/>
  <c r="Q321" i="81"/>
  <c r="R321" i="81"/>
  <c r="S321" i="81"/>
  <c r="B321" i="81"/>
  <c r="A322" i="81"/>
  <c r="P322" i="81" l="1"/>
  <c r="Q322" i="81"/>
  <c r="E322" i="81"/>
  <c r="U322" i="81"/>
  <c r="G322" i="81"/>
  <c r="H322" i="81"/>
  <c r="J322" i="81"/>
  <c r="K322" i="81"/>
  <c r="L322" i="81"/>
  <c r="M322" i="81"/>
  <c r="N322" i="81"/>
  <c r="O322" i="81"/>
  <c r="R322" i="81"/>
  <c r="S322" i="81"/>
  <c r="T322" i="81"/>
  <c r="D322" i="81"/>
  <c r="B322" i="81"/>
  <c r="C322" i="81"/>
  <c r="F322" i="81"/>
  <c r="I322" i="81"/>
  <c r="A323" i="81"/>
  <c r="L323" i="81" l="1"/>
  <c r="M323" i="81"/>
  <c r="Q323" i="81"/>
  <c r="I323" i="81"/>
  <c r="J323" i="81"/>
  <c r="K323" i="81"/>
  <c r="N323" i="81"/>
  <c r="O323" i="81"/>
  <c r="P323" i="81"/>
  <c r="R323" i="81"/>
  <c r="S323" i="81"/>
  <c r="T323" i="81"/>
  <c r="B323" i="81"/>
  <c r="U323" i="81"/>
  <c r="C323" i="81"/>
  <c r="F323" i="81"/>
  <c r="D323" i="81"/>
  <c r="E323" i="81"/>
  <c r="G323" i="81"/>
  <c r="H323" i="81"/>
  <c r="A324" i="81"/>
  <c r="H324" i="81" l="1"/>
  <c r="I324" i="81"/>
  <c r="M324" i="81"/>
  <c r="J324" i="81"/>
  <c r="K324" i="81"/>
  <c r="L324" i="81"/>
  <c r="N324" i="81"/>
  <c r="O324" i="81"/>
  <c r="P324" i="81"/>
  <c r="Q324" i="81"/>
  <c r="R324" i="81"/>
  <c r="S324" i="81"/>
  <c r="T324" i="81"/>
  <c r="B324" i="81"/>
  <c r="U324" i="81"/>
  <c r="E324" i="81"/>
  <c r="C324" i="81"/>
  <c r="D324" i="81"/>
  <c r="F324" i="81"/>
  <c r="G324" i="81"/>
  <c r="A325" i="81"/>
  <c r="D325" i="81" l="1"/>
  <c r="T325" i="81"/>
  <c r="E325" i="81"/>
  <c r="U325" i="81"/>
  <c r="I325" i="81"/>
  <c r="J325" i="81"/>
  <c r="K325" i="81"/>
  <c r="L325" i="81"/>
  <c r="M325" i="81"/>
  <c r="N325" i="81"/>
  <c r="O325" i="81"/>
  <c r="P325" i="81"/>
  <c r="Q325" i="81"/>
  <c r="R325" i="81"/>
  <c r="S325" i="81"/>
  <c r="F325" i="81"/>
  <c r="C325" i="81"/>
  <c r="G325" i="81"/>
  <c r="H325" i="81"/>
  <c r="B325" i="81"/>
  <c r="A326" i="81"/>
  <c r="P326" i="81" l="1"/>
  <c r="Q326" i="81"/>
  <c r="E326" i="81"/>
  <c r="U326" i="81"/>
  <c r="I326" i="81"/>
  <c r="J326" i="81"/>
  <c r="K326" i="81"/>
  <c r="L326" i="81"/>
  <c r="M326" i="81"/>
  <c r="N326" i="81"/>
  <c r="O326" i="81"/>
  <c r="R326" i="81"/>
  <c r="S326" i="81"/>
  <c r="T326" i="81"/>
  <c r="B326" i="81"/>
  <c r="F326" i="81"/>
  <c r="C326" i="81"/>
  <c r="D326" i="81"/>
  <c r="G326" i="81"/>
  <c r="H326" i="81"/>
  <c r="A327" i="81"/>
  <c r="L327" i="81" l="1"/>
  <c r="M327" i="81"/>
  <c r="Q327" i="81"/>
  <c r="H327" i="81"/>
  <c r="I327" i="81"/>
  <c r="J327" i="81"/>
  <c r="K327" i="81"/>
  <c r="N327" i="81"/>
  <c r="O327" i="81"/>
  <c r="P327" i="81"/>
  <c r="R327" i="81"/>
  <c r="S327" i="81"/>
  <c r="T327" i="81"/>
  <c r="B327" i="81"/>
  <c r="U327" i="81"/>
  <c r="E327" i="81"/>
  <c r="C327" i="81"/>
  <c r="D327" i="81"/>
  <c r="F327" i="81"/>
  <c r="G327" i="81"/>
  <c r="A328" i="81"/>
  <c r="H328" i="81" l="1"/>
  <c r="I328" i="81"/>
  <c r="M328" i="81"/>
  <c r="G328" i="81"/>
  <c r="J328" i="81"/>
  <c r="K328" i="81"/>
  <c r="L328" i="81"/>
  <c r="N328" i="81"/>
  <c r="O328" i="81"/>
  <c r="P328" i="81"/>
  <c r="Q328" i="81"/>
  <c r="R328" i="81"/>
  <c r="S328" i="81"/>
  <c r="T328" i="81"/>
  <c r="D328" i="81"/>
  <c r="U328" i="81"/>
  <c r="B328" i="81"/>
  <c r="C328" i="81"/>
  <c r="E328" i="81"/>
  <c r="F328" i="81"/>
  <c r="A329" i="81"/>
  <c r="D329" i="81" l="1"/>
  <c r="T329" i="81"/>
  <c r="E329" i="81"/>
  <c r="U329" i="81"/>
  <c r="I329" i="81"/>
  <c r="H329" i="81"/>
  <c r="J329" i="81"/>
  <c r="K329" i="81"/>
  <c r="L329" i="81"/>
  <c r="M329" i="81"/>
  <c r="N329" i="81"/>
  <c r="O329" i="81"/>
  <c r="P329" i="81"/>
  <c r="Q329" i="81"/>
  <c r="R329" i="81"/>
  <c r="S329" i="81"/>
  <c r="C329" i="81"/>
  <c r="B329" i="81"/>
  <c r="F329" i="81"/>
  <c r="G329" i="81"/>
  <c r="A330" i="81"/>
  <c r="P330" i="81" l="1"/>
  <c r="Q330" i="81"/>
  <c r="G330" i="81"/>
  <c r="H330" i="81"/>
  <c r="I330" i="81"/>
  <c r="J330" i="81"/>
  <c r="K330" i="81"/>
  <c r="L330" i="81"/>
  <c r="M330" i="81"/>
  <c r="N330" i="81"/>
  <c r="O330" i="81"/>
  <c r="R330" i="81"/>
  <c r="S330" i="81"/>
  <c r="D330" i="81"/>
  <c r="B330" i="81"/>
  <c r="C330" i="81"/>
  <c r="E330" i="81"/>
  <c r="F330" i="81"/>
  <c r="T330" i="81"/>
  <c r="U330" i="81"/>
  <c r="A331" i="81"/>
  <c r="L331" i="81" l="1"/>
  <c r="M331" i="81"/>
  <c r="E331" i="81"/>
  <c r="F331" i="81"/>
  <c r="G331" i="81"/>
  <c r="H331" i="81"/>
  <c r="I331" i="81"/>
  <c r="J331" i="81"/>
  <c r="K331" i="81"/>
  <c r="N331" i="81"/>
  <c r="O331" i="81"/>
  <c r="P331" i="81"/>
  <c r="Q331" i="81"/>
  <c r="B331" i="81"/>
  <c r="T331" i="81"/>
  <c r="C331" i="81"/>
  <c r="D331" i="81"/>
  <c r="R331" i="81"/>
  <c r="S331" i="81"/>
  <c r="U331" i="81"/>
  <c r="A332" i="81"/>
  <c r="H332" i="81" l="1"/>
  <c r="I332" i="81"/>
  <c r="C332" i="81"/>
  <c r="U332" i="81"/>
  <c r="D332" i="81"/>
  <c r="E332" i="81"/>
  <c r="F332" i="81"/>
  <c r="G332" i="81"/>
  <c r="J332" i="81"/>
  <c r="K332" i="81"/>
  <c r="L332" i="81"/>
  <c r="M332" i="81"/>
  <c r="N332" i="81"/>
  <c r="O332" i="81"/>
  <c r="R332" i="81"/>
  <c r="P332" i="81"/>
  <c r="B332" i="81"/>
  <c r="Q332" i="81"/>
  <c r="S332" i="81"/>
  <c r="T332" i="81"/>
  <c r="A333" i="81"/>
  <c r="D333" i="81" l="1"/>
  <c r="T333" i="81"/>
  <c r="E333" i="81"/>
  <c r="U333" i="81"/>
  <c r="S333" i="81"/>
  <c r="B333" i="81"/>
  <c r="C333" i="81"/>
  <c r="F333" i="81"/>
  <c r="G333" i="81"/>
  <c r="H333" i="81"/>
  <c r="I333" i="81"/>
  <c r="J333" i="81"/>
  <c r="K333" i="81"/>
  <c r="L333" i="81"/>
  <c r="M333" i="81"/>
  <c r="N333" i="81"/>
  <c r="O333" i="81"/>
  <c r="P333" i="81"/>
  <c r="Q333" i="81"/>
  <c r="R333" i="81"/>
  <c r="A334" i="81"/>
  <c r="P334" i="81" l="1"/>
  <c r="Q334" i="81"/>
  <c r="S334" i="81"/>
  <c r="B334" i="81"/>
  <c r="T334" i="81"/>
  <c r="C334" i="81"/>
  <c r="U334" i="81"/>
  <c r="D334" i="81"/>
  <c r="E334" i="81"/>
  <c r="F334" i="81"/>
  <c r="G334" i="81"/>
  <c r="H334" i="81"/>
  <c r="I334" i="81"/>
  <c r="J334" i="81"/>
  <c r="K334" i="81"/>
  <c r="L334" i="81"/>
  <c r="M334" i="81"/>
  <c r="N334" i="81"/>
  <c r="O334" i="81"/>
  <c r="R334" i="81"/>
  <c r="A335" i="81"/>
  <c r="L335" i="81" l="1"/>
  <c r="M335" i="81"/>
  <c r="Q335" i="81"/>
  <c r="R335" i="81"/>
  <c r="S335" i="81"/>
  <c r="B335" i="81"/>
  <c r="T335" i="81"/>
  <c r="C335" i="81"/>
  <c r="U335" i="81"/>
  <c r="D335" i="81"/>
  <c r="E335" i="81"/>
  <c r="F335" i="81"/>
  <c r="G335" i="81"/>
  <c r="H335" i="81"/>
  <c r="I335" i="81"/>
  <c r="N335" i="81"/>
  <c r="J335" i="81"/>
  <c r="K335" i="81"/>
  <c r="O335" i="81"/>
  <c r="P335" i="81"/>
  <c r="A336" i="81"/>
  <c r="H336" i="81" l="1"/>
  <c r="I336" i="81"/>
  <c r="O336" i="81"/>
  <c r="P336" i="81"/>
  <c r="Q336" i="81"/>
  <c r="R336" i="81"/>
  <c r="S336" i="81"/>
  <c r="B336" i="81"/>
  <c r="T336" i="81"/>
  <c r="C336" i="81"/>
  <c r="U336" i="81"/>
  <c r="D336" i="81"/>
  <c r="E336" i="81"/>
  <c r="F336" i="81"/>
  <c r="G336" i="81"/>
  <c r="K336" i="81"/>
  <c r="L336" i="81"/>
  <c r="M336" i="81"/>
  <c r="N336" i="81"/>
  <c r="J336" i="81"/>
  <c r="A337" i="81"/>
  <c r="D337" i="81" l="1"/>
  <c r="T337" i="81"/>
  <c r="E337" i="81"/>
  <c r="U337" i="81"/>
  <c r="M337" i="81"/>
  <c r="N337" i="81"/>
  <c r="O337" i="81"/>
  <c r="P337" i="81"/>
  <c r="Q337" i="81"/>
  <c r="R337" i="81"/>
  <c r="S337" i="81"/>
  <c r="B337" i="81"/>
  <c r="C337" i="81"/>
  <c r="F337" i="81"/>
  <c r="G337" i="81"/>
  <c r="H337" i="81"/>
  <c r="I337" i="81"/>
  <c r="J337" i="81"/>
  <c r="K337" i="81"/>
  <c r="L337" i="81"/>
  <c r="A338" i="81"/>
  <c r="P338" i="81" l="1"/>
  <c r="Q338" i="81"/>
  <c r="K338" i="81"/>
  <c r="L338" i="81"/>
  <c r="M338" i="81"/>
  <c r="N338" i="81"/>
  <c r="O338" i="81"/>
  <c r="S338" i="81"/>
  <c r="B338" i="81"/>
  <c r="T338" i="81"/>
  <c r="C338" i="81"/>
  <c r="U338" i="81"/>
  <c r="E338" i="81"/>
  <c r="H338" i="81"/>
  <c r="D338" i="81"/>
  <c r="F338" i="81"/>
  <c r="G338" i="81"/>
  <c r="I338" i="81"/>
  <c r="J338" i="81"/>
  <c r="R338" i="81"/>
  <c r="A339" i="81"/>
  <c r="M339" i="81" l="1"/>
  <c r="I339" i="81"/>
  <c r="J339" i="81"/>
  <c r="K339" i="81"/>
  <c r="L339" i="81"/>
  <c r="N339" i="81"/>
  <c r="P339" i="81"/>
  <c r="Q339" i="81"/>
  <c r="R339" i="81"/>
  <c r="C339" i="81"/>
  <c r="T339" i="81"/>
  <c r="B339" i="81"/>
  <c r="D339" i="81"/>
  <c r="E339" i="81"/>
  <c r="F339" i="81"/>
  <c r="G339" i="81"/>
  <c r="H339" i="81"/>
  <c r="O339" i="81"/>
  <c r="S339" i="81"/>
  <c r="U339" i="81"/>
  <c r="A340" i="81"/>
  <c r="I340" i="81" l="1"/>
  <c r="F340" i="81"/>
  <c r="G340" i="81"/>
  <c r="H340" i="81"/>
  <c r="J340" i="81"/>
  <c r="K340" i="81"/>
  <c r="M340" i="81"/>
  <c r="N340" i="81"/>
  <c r="O340" i="81"/>
  <c r="Q340" i="81"/>
  <c r="S340" i="81"/>
  <c r="T340" i="81"/>
  <c r="U340" i="81"/>
  <c r="E340" i="81"/>
  <c r="B340" i="81"/>
  <c r="C340" i="81"/>
  <c r="D340" i="81"/>
  <c r="L340" i="81"/>
  <c r="P340" i="81"/>
  <c r="R340" i="81"/>
  <c r="A341" i="81"/>
  <c r="E341" i="81" l="1"/>
  <c r="U341" i="81"/>
  <c r="C341" i="81"/>
  <c r="T341" i="81"/>
  <c r="D341" i="81"/>
  <c r="F341" i="81"/>
  <c r="G341" i="81"/>
  <c r="H341" i="81"/>
  <c r="J341" i="81"/>
  <c r="K341" i="81"/>
  <c r="L341" i="81"/>
  <c r="N341" i="81"/>
  <c r="B341" i="81"/>
  <c r="I341" i="81"/>
  <c r="M341" i="81"/>
  <c r="O341" i="81"/>
  <c r="P341" i="81"/>
  <c r="Q341" i="81"/>
  <c r="R341" i="81"/>
  <c r="S341" i="81"/>
  <c r="A342" i="81"/>
  <c r="Q342" i="81" l="1"/>
  <c r="R342" i="81"/>
  <c r="B342" i="81"/>
  <c r="S342" i="81"/>
  <c r="C342" i="81"/>
  <c r="T342" i="81"/>
  <c r="D342" i="81"/>
  <c r="U342" i="81"/>
  <c r="E342" i="81"/>
  <c r="G342" i="81"/>
  <c r="H342" i="81"/>
  <c r="I342" i="81"/>
  <c r="K342" i="81"/>
  <c r="O342" i="81"/>
  <c r="P342" i="81"/>
  <c r="J342" i="81"/>
  <c r="F342" i="81"/>
  <c r="L342" i="81"/>
  <c r="M342" i="81"/>
  <c r="N342" i="81"/>
  <c r="A343" i="81"/>
  <c r="M343" i="81" l="1"/>
  <c r="O343" i="81"/>
  <c r="P343" i="81"/>
  <c r="Q343" i="81"/>
  <c r="R343" i="81"/>
  <c r="B343" i="81"/>
  <c r="S343" i="81"/>
  <c r="D343" i="81"/>
  <c r="U343" i="81"/>
  <c r="E343" i="81"/>
  <c r="F343" i="81"/>
  <c r="H343" i="81"/>
  <c r="C343" i="81"/>
  <c r="G343" i="81"/>
  <c r="I343" i="81"/>
  <c r="J343" i="81"/>
  <c r="K343" i="81"/>
  <c r="L343" i="81"/>
  <c r="N343" i="81"/>
  <c r="T343" i="81"/>
  <c r="A344" i="81"/>
  <c r="I344" i="81" l="1"/>
  <c r="L344" i="81"/>
  <c r="M344" i="81"/>
  <c r="N344" i="81"/>
  <c r="O344" i="81"/>
  <c r="P344" i="81"/>
  <c r="R344" i="81"/>
  <c r="B344" i="81"/>
  <c r="S344" i="81"/>
  <c r="C344" i="81"/>
  <c r="T344" i="81"/>
  <c r="E344" i="81"/>
  <c r="Q344" i="81"/>
  <c r="U344" i="81"/>
  <c r="G344" i="81"/>
  <c r="D344" i="81"/>
  <c r="F344" i="81"/>
  <c r="H344" i="81"/>
  <c r="J344" i="81"/>
  <c r="K344" i="81"/>
  <c r="A345" i="81"/>
  <c r="E345" i="81" l="1"/>
  <c r="U345" i="81"/>
  <c r="I345" i="81"/>
  <c r="J345" i="81"/>
  <c r="K345" i="81"/>
  <c r="L345" i="81"/>
  <c r="M345" i="81"/>
  <c r="O345" i="81"/>
  <c r="P345" i="81"/>
  <c r="Q345" i="81"/>
  <c r="B345" i="81"/>
  <c r="C345" i="81"/>
  <c r="D345" i="81"/>
  <c r="F345" i="81"/>
  <c r="G345" i="81"/>
  <c r="H345" i="81"/>
  <c r="N345" i="81"/>
  <c r="R345" i="81"/>
  <c r="S345" i="81"/>
  <c r="T345" i="81"/>
  <c r="A346" i="81"/>
  <c r="Q346" i="81" l="1"/>
  <c r="F346" i="81"/>
  <c r="G346" i="81"/>
  <c r="H346" i="81"/>
  <c r="I346" i="81"/>
  <c r="J346" i="81"/>
  <c r="L346" i="81"/>
  <c r="M346" i="81"/>
  <c r="N346" i="81"/>
  <c r="K346" i="81"/>
  <c r="O346" i="81"/>
  <c r="P346" i="81"/>
  <c r="R346" i="81"/>
  <c r="S346" i="81"/>
  <c r="B346" i="81"/>
  <c r="T346" i="81"/>
  <c r="U346" i="81"/>
  <c r="C346" i="81"/>
  <c r="D346" i="81"/>
  <c r="E346" i="81"/>
  <c r="A347" i="81"/>
  <c r="M347" i="81" l="1"/>
  <c r="C347" i="81"/>
  <c r="T347" i="81"/>
  <c r="D347" i="81"/>
  <c r="U347" i="81"/>
  <c r="E347" i="81"/>
  <c r="F347" i="81"/>
  <c r="G347" i="81"/>
  <c r="I347" i="81"/>
  <c r="J347" i="81"/>
  <c r="S347" i="81"/>
  <c r="B347" i="81"/>
  <c r="H347" i="81"/>
  <c r="K347" i="81"/>
  <c r="L347" i="81"/>
  <c r="N347" i="81"/>
  <c r="O347" i="81"/>
  <c r="P347" i="81"/>
  <c r="Q347" i="81"/>
  <c r="R347" i="81"/>
  <c r="A348" i="81"/>
  <c r="I348" i="81" l="1"/>
  <c r="Q348" i="81"/>
  <c r="R348" i="81"/>
  <c r="B348" i="81"/>
  <c r="S348" i="81"/>
  <c r="C348" i="81"/>
  <c r="T348" i="81"/>
  <c r="D348" i="81"/>
  <c r="U348" i="81"/>
  <c r="F348" i="81"/>
  <c r="G348" i="81"/>
  <c r="E348" i="81"/>
  <c r="H348" i="81"/>
  <c r="J348" i="81"/>
  <c r="K348" i="81"/>
  <c r="L348" i="81"/>
  <c r="M348" i="81"/>
  <c r="N348" i="81"/>
  <c r="O348" i="81"/>
  <c r="P348" i="81"/>
  <c r="A349" i="81"/>
  <c r="E349" i="81" l="1"/>
  <c r="N349" i="81"/>
  <c r="O349" i="81"/>
  <c r="P349" i="81"/>
  <c r="Q349" i="81"/>
  <c r="R349" i="81"/>
  <c r="C349" i="81"/>
  <c r="T349" i="81"/>
  <c r="D349" i="81"/>
  <c r="U349" i="81"/>
  <c r="K349" i="81"/>
  <c r="L349" i="81"/>
  <c r="M349" i="81"/>
  <c r="S349" i="81"/>
  <c r="G349" i="81"/>
  <c r="B349" i="81"/>
  <c r="F349" i="81"/>
  <c r="H349" i="81"/>
  <c r="I349" i="81"/>
  <c r="J349" i="81"/>
  <c r="A350" i="81"/>
  <c r="J350" i="81" l="1"/>
  <c r="K350" i="81"/>
  <c r="L350" i="81"/>
  <c r="M350" i="81"/>
  <c r="N350" i="81"/>
  <c r="P350" i="81"/>
  <c r="Q350" i="81"/>
  <c r="U350" i="81"/>
  <c r="B350" i="81"/>
  <c r="O350" i="81"/>
  <c r="C350" i="81"/>
  <c r="D350" i="81"/>
  <c r="E350" i="81"/>
  <c r="F350" i="81"/>
  <c r="G350" i="81"/>
  <c r="H350" i="81"/>
  <c r="I350" i="81"/>
  <c r="R350" i="81"/>
  <c r="S350" i="81"/>
  <c r="T350" i="81"/>
  <c r="A351" i="81"/>
  <c r="F351" i="81" l="1"/>
  <c r="G351" i="81"/>
  <c r="H351" i="81"/>
  <c r="I351" i="81"/>
  <c r="J351" i="81"/>
  <c r="L351" i="81"/>
  <c r="M351" i="81"/>
  <c r="B351" i="81"/>
  <c r="C351" i="81"/>
  <c r="D351" i="81"/>
  <c r="E351" i="81"/>
  <c r="T351" i="81"/>
  <c r="K351" i="81"/>
  <c r="N351" i="81"/>
  <c r="O351" i="81"/>
  <c r="P351" i="81"/>
  <c r="Q351" i="81"/>
  <c r="R351" i="81"/>
  <c r="S351" i="81"/>
  <c r="U351" i="81"/>
  <c r="A352" i="81"/>
  <c r="B352" i="81" l="1"/>
  <c r="R352" i="81"/>
  <c r="C352" i="81"/>
  <c r="S352" i="81"/>
  <c r="D352" i="81"/>
  <c r="T352" i="81"/>
  <c r="E352" i="81"/>
  <c r="U352" i="81"/>
  <c r="F352" i="81"/>
  <c r="H352" i="81"/>
  <c r="I352" i="81"/>
  <c r="K352" i="81"/>
  <c r="L352" i="81"/>
  <c r="M352" i="81"/>
  <c r="N352" i="81"/>
  <c r="O352" i="81"/>
  <c r="P352" i="81"/>
  <c r="Q352" i="81"/>
  <c r="G352" i="81"/>
  <c r="J352" i="81"/>
  <c r="A353" i="81"/>
  <c r="N353" i="81" l="1"/>
  <c r="O353" i="81"/>
  <c r="P353" i="81"/>
  <c r="Q353" i="81"/>
  <c r="B353" i="81"/>
  <c r="R353" i="81"/>
  <c r="D353" i="81"/>
  <c r="T353" i="81"/>
  <c r="M353" i="81"/>
  <c r="S353" i="81"/>
  <c r="U353" i="81"/>
  <c r="C353" i="81"/>
  <c r="E353" i="81"/>
  <c r="F353" i="81"/>
  <c r="G353" i="81"/>
  <c r="H353" i="81"/>
  <c r="I353" i="81"/>
  <c r="J353" i="81"/>
  <c r="K353" i="81"/>
  <c r="L353" i="81"/>
  <c r="A354" i="81"/>
  <c r="J354" i="81" l="1"/>
  <c r="K354" i="81"/>
  <c r="L354" i="81"/>
  <c r="M354" i="81"/>
  <c r="N354" i="81"/>
  <c r="P354" i="81"/>
  <c r="U354" i="81"/>
  <c r="B354" i="81"/>
  <c r="C354" i="81"/>
  <c r="Q354" i="81"/>
  <c r="D354" i="81"/>
  <c r="E354" i="81"/>
  <c r="F354" i="81"/>
  <c r="G354" i="81"/>
  <c r="H354" i="81"/>
  <c r="I354" i="81"/>
  <c r="O354" i="81"/>
  <c r="R354" i="81"/>
  <c r="S354" i="81"/>
  <c r="T354" i="81"/>
  <c r="A355" i="81"/>
  <c r="F355" i="81" l="1"/>
  <c r="G355" i="81"/>
  <c r="H355" i="81"/>
  <c r="I355" i="81"/>
  <c r="J355" i="81"/>
  <c r="L355" i="81"/>
  <c r="B355" i="81"/>
  <c r="C355" i="81"/>
  <c r="D355" i="81"/>
  <c r="E355" i="81"/>
  <c r="K355" i="81"/>
  <c r="M355" i="81"/>
  <c r="N355" i="81"/>
  <c r="O355" i="81"/>
  <c r="P355" i="81"/>
  <c r="Q355" i="81"/>
  <c r="R355" i="81"/>
  <c r="S355" i="81"/>
  <c r="T355" i="81"/>
  <c r="U355" i="81"/>
  <c r="A356" i="81"/>
  <c r="B356" i="81" l="1"/>
  <c r="R356" i="81"/>
  <c r="C356" i="81"/>
  <c r="S356" i="81"/>
  <c r="D356" i="81"/>
  <c r="T356" i="81"/>
  <c r="E356" i="81"/>
  <c r="U356" i="81"/>
  <c r="F356" i="81"/>
  <c r="H356" i="81"/>
  <c r="I356" i="81"/>
  <c r="J356" i="81"/>
  <c r="K356" i="81"/>
  <c r="L356" i="81"/>
  <c r="M356" i="81"/>
  <c r="N356" i="81"/>
  <c r="O356" i="81"/>
  <c r="P356" i="81"/>
  <c r="Q356" i="81"/>
  <c r="G356" i="81"/>
  <c r="A357" i="81"/>
  <c r="N357" i="81" l="1"/>
  <c r="O357" i="81"/>
  <c r="P357" i="81"/>
  <c r="Q357" i="81"/>
  <c r="B357" i="81"/>
  <c r="R357" i="81"/>
  <c r="D357" i="81"/>
  <c r="T357" i="81"/>
  <c r="K357" i="81"/>
  <c r="L357" i="81"/>
  <c r="M357" i="81"/>
  <c r="S357" i="81"/>
  <c r="U357" i="81"/>
  <c r="G357" i="81"/>
  <c r="C357" i="81"/>
  <c r="E357" i="81"/>
  <c r="F357" i="81"/>
  <c r="H357" i="81"/>
  <c r="I357" i="81"/>
  <c r="J357" i="81"/>
  <c r="A358" i="81"/>
  <c r="J358" i="81" l="1"/>
  <c r="K358" i="81"/>
  <c r="L358" i="81"/>
  <c r="M358" i="81"/>
  <c r="N358" i="81"/>
  <c r="P358" i="81"/>
  <c r="S358" i="81"/>
  <c r="T358" i="81"/>
  <c r="U358" i="81"/>
  <c r="B358" i="81"/>
  <c r="C358" i="81"/>
  <c r="D358" i="81"/>
  <c r="E358" i="81"/>
  <c r="F358" i="81"/>
  <c r="G358" i="81"/>
  <c r="H358" i="81"/>
  <c r="I358" i="81"/>
  <c r="O358" i="81"/>
  <c r="Q358" i="81"/>
  <c r="R358" i="81"/>
  <c r="A359" i="81"/>
  <c r="F359" i="81" l="1"/>
  <c r="G359" i="81"/>
  <c r="H359" i="81"/>
  <c r="I359" i="81"/>
  <c r="J359" i="81"/>
  <c r="L359" i="81"/>
  <c r="U359" i="81"/>
  <c r="B359" i="81"/>
  <c r="C359" i="81"/>
  <c r="Q359" i="81"/>
  <c r="D359" i="81"/>
  <c r="E359" i="81"/>
  <c r="K359" i="81"/>
  <c r="M359" i="81"/>
  <c r="N359" i="81"/>
  <c r="O359" i="81"/>
  <c r="P359" i="81"/>
  <c r="R359" i="81"/>
  <c r="S359" i="81"/>
  <c r="T359" i="81"/>
  <c r="A360" i="81"/>
  <c r="B360" i="81" l="1"/>
  <c r="R360" i="81"/>
  <c r="C360" i="81"/>
  <c r="S360" i="81"/>
  <c r="D360" i="81"/>
  <c r="T360" i="81"/>
  <c r="E360" i="81"/>
  <c r="U360" i="81"/>
  <c r="F360" i="81"/>
  <c r="H360" i="81"/>
  <c r="G360" i="81"/>
  <c r="I360" i="81"/>
  <c r="J360" i="81"/>
  <c r="K360" i="81"/>
  <c r="L360" i="81"/>
  <c r="M360" i="81"/>
  <c r="N360" i="81"/>
  <c r="O360" i="81"/>
  <c r="P360" i="81"/>
  <c r="Q360" i="81"/>
  <c r="A361" i="81"/>
  <c r="N361" i="81" l="1"/>
  <c r="O361" i="81"/>
  <c r="P361" i="81"/>
  <c r="Q361" i="81"/>
  <c r="B361" i="81"/>
  <c r="R361" i="81"/>
  <c r="D361" i="81"/>
  <c r="T361" i="81"/>
  <c r="I361" i="81"/>
  <c r="J361" i="81"/>
  <c r="K361" i="81"/>
  <c r="L361" i="81"/>
  <c r="M361" i="81"/>
  <c r="S361" i="81"/>
  <c r="U361" i="81"/>
  <c r="C361" i="81"/>
  <c r="E361" i="81"/>
  <c r="F361" i="81"/>
  <c r="G361" i="81"/>
  <c r="H361" i="81"/>
  <c r="A362" i="81"/>
  <c r="J362" i="81" l="1"/>
  <c r="K362" i="81"/>
  <c r="L362" i="81"/>
  <c r="M362" i="81"/>
  <c r="N362" i="81"/>
  <c r="P362" i="81"/>
  <c r="Q362" i="81"/>
  <c r="R362" i="81"/>
  <c r="S362" i="81"/>
  <c r="T362" i="81"/>
  <c r="U362" i="81"/>
  <c r="G362" i="81"/>
  <c r="B362" i="81"/>
  <c r="C362" i="81"/>
  <c r="D362" i="81"/>
  <c r="E362" i="81"/>
  <c r="F362" i="81"/>
  <c r="H362" i="81"/>
  <c r="I362" i="81"/>
  <c r="O362" i="81"/>
  <c r="A363" i="81"/>
  <c r="F363" i="81" l="1"/>
  <c r="G363" i="81"/>
  <c r="H363" i="81"/>
  <c r="I363" i="81"/>
  <c r="L363" i="81"/>
  <c r="R363" i="81"/>
  <c r="S363" i="81"/>
  <c r="T363" i="81"/>
  <c r="U363" i="81"/>
  <c r="B363" i="81"/>
  <c r="C363" i="81"/>
  <c r="D363" i="81"/>
  <c r="E363" i="81"/>
  <c r="J363" i="81"/>
  <c r="K363" i="81"/>
  <c r="M363" i="81"/>
  <c r="N363" i="81"/>
  <c r="O363" i="81"/>
  <c r="P363" i="81"/>
  <c r="Q363" i="81"/>
  <c r="A364" i="81"/>
  <c r="B364" i="81" l="1"/>
  <c r="R364" i="81"/>
  <c r="C364" i="81"/>
  <c r="S364" i="81"/>
  <c r="D364" i="81"/>
  <c r="T364" i="81"/>
  <c r="E364" i="81"/>
  <c r="U364" i="81"/>
  <c r="F364" i="81"/>
  <c r="N364" i="81"/>
  <c r="G364" i="81"/>
  <c r="H364" i="81"/>
  <c r="I364" i="81"/>
  <c r="J364" i="81"/>
  <c r="K364" i="81"/>
  <c r="L364" i="81"/>
  <c r="M364" i="81"/>
  <c r="O364" i="81"/>
  <c r="P364" i="81"/>
  <c r="Q364" i="81"/>
  <c r="A365" i="81"/>
  <c r="N365" i="81" l="1"/>
  <c r="O365" i="81"/>
  <c r="P365" i="81"/>
  <c r="Q365" i="81"/>
  <c r="B365" i="81"/>
  <c r="C365" i="81"/>
  <c r="D365" i="81"/>
  <c r="E365" i="81"/>
  <c r="F365" i="81"/>
  <c r="R365" i="81"/>
  <c r="G365" i="81"/>
  <c r="H365" i="81"/>
  <c r="I365" i="81"/>
  <c r="J365" i="81"/>
  <c r="K365" i="81"/>
  <c r="L365" i="81"/>
  <c r="M365" i="81"/>
  <c r="S365" i="81"/>
  <c r="T365" i="81"/>
  <c r="U365" i="81"/>
  <c r="A366" i="81"/>
  <c r="J366" i="81" l="1"/>
  <c r="K366" i="81"/>
  <c r="L366" i="81"/>
  <c r="M366" i="81"/>
  <c r="B366" i="81"/>
  <c r="C366" i="81"/>
  <c r="D366" i="81"/>
  <c r="E366" i="81"/>
  <c r="F366" i="81"/>
  <c r="G366" i="81"/>
  <c r="H366" i="81"/>
  <c r="I366" i="81"/>
  <c r="N366" i="81"/>
  <c r="O366" i="81"/>
  <c r="P366" i="81"/>
  <c r="Q366" i="81"/>
  <c r="R366" i="81"/>
  <c r="S366" i="81"/>
  <c r="T366" i="81"/>
  <c r="U366" i="81"/>
  <c r="A367" i="81"/>
  <c r="F367" i="81" l="1"/>
  <c r="G367" i="81"/>
  <c r="H367" i="81"/>
  <c r="B367" i="81"/>
  <c r="U367" i="81"/>
  <c r="C367" i="81"/>
  <c r="D367" i="81"/>
  <c r="E367" i="81"/>
  <c r="I367" i="81"/>
  <c r="Q367" i="81"/>
  <c r="J367" i="81"/>
  <c r="K367" i="81"/>
  <c r="L367" i="81"/>
  <c r="M367" i="81"/>
  <c r="N367" i="81"/>
  <c r="O367" i="81"/>
  <c r="P367" i="81"/>
  <c r="R367" i="81"/>
  <c r="S367" i="81"/>
  <c r="T367" i="81"/>
  <c r="A368" i="81"/>
  <c r="D368" i="81" l="1"/>
  <c r="R368" i="81"/>
  <c r="B368" i="81"/>
  <c r="S368" i="81"/>
  <c r="C368" i="81"/>
  <c r="T368" i="81"/>
  <c r="E368" i="81"/>
  <c r="U368" i="81"/>
  <c r="F368" i="81"/>
  <c r="G368" i="81"/>
  <c r="H368" i="81"/>
  <c r="I368" i="81"/>
  <c r="J368" i="81"/>
  <c r="K368" i="81"/>
  <c r="L368" i="81"/>
  <c r="M368" i="81"/>
  <c r="N368" i="81"/>
  <c r="O368" i="81"/>
  <c r="P368" i="81"/>
  <c r="Q368" i="81"/>
  <c r="A369" i="81"/>
  <c r="N369" i="81" l="1"/>
  <c r="O369" i="81"/>
  <c r="P369" i="81"/>
  <c r="Q369" i="81"/>
  <c r="B369" i="81"/>
  <c r="R369" i="81"/>
  <c r="J369" i="81"/>
  <c r="C369" i="81"/>
  <c r="S369" i="81"/>
  <c r="D369" i="81"/>
  <c r="T369" i="81"/>
  <c r="E369" i="81"/>
  <c r="U369" i="81"/>
  <c r="F369" i="81"/>
  <c r="G369" i="81"/>
  <c r="H369" i="81"/>
  <c r="I369" i="81"/>
  <c r="K369" i="81"/>
  <c r="L369" i="81"/>
  <c r="M369" i="81"/>
  <c r="A370" i="81"/>
  <c r="J370" i="81" l="1"/>
  <c r="K370" i="81"/>
  <c r="L370" i="81"/>
  <c r="M370" i="81"/>
  <c r="N370" i="81"/>
  <c r="O370" i="81"/>
  <c r="P370" i="81"/>
  <c r="Q370" i="81"/>
  <c r="B370" i="81"/>
  <c r="R370" i="81"/>
  <c r="C370" i="81"/>
  <c r="S370" i="81"/>
  <c r="D370" i="81"/>
  <c r="T370" i="81"/>
  <c r="E370" i="81"/>
  <c r="U370" i="81"/>
  <c r="F370" i="81"/>
  <c r="G370" i="81"/>
  <c r="H370" i="81"/>
  <c r="I370" i="81"/>
  <c r="A371" i="81"/>
  <c r="F371" i="81" l="1"/>
  <c r="G371" i="81"/>
  <c r="H371" i="81"/>
  <c r="I371" i="81"/>
  <c r="J371" i="81"/>
  <c r="B371" i="81"/>
  <c r="K371" i="81"/>
  <c r="L371" i="81"/>
  <c r="M371" i="81"/>
  <c r="N371" i="81"/>
  <c r="O371" i="81"/>
  <c r="P371" i="81"/>
  <c r="Q371" i="81"/>
  <c r="R371" i="81"/>
  <c r="C371" i="81"/>
  <c r="S371" i="81"/>
  <c r="D371" i="81"/>
  <c r="T371" i="81"/>
  <c r="E371" i="81"/>
  <c r="U371" i="81"/>
  <c r="A3" i="65"/>
  <c r="A4" i="65" s="1"/>
  <c r="A5" i="65" s="1"/>
  <c r="A6" i="65" s="1"/>
  <c r="A7" i="65" s="1"/>
  <c r="A8" i="65" s="1"/>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 i="63"/>
  <c r="AI3" i="63" l="1"/>
  <c r="AY3" i="63"/>
  <c r="AJ3" i="63"/>
  <c r="AK3" i="63"/>
  <c r="AL3" i="63"/>
  <c r="AM3" i="63"/>
  <c r="AN3" i="63"/>
  <c r="AO3" i="63"/>
  <c r="AP3" i="63"/>
  <c r="AQ3" i="63"/>
  <c r="AR3" i="63"/>
  <c r="AC3" i="63"/>
  <c r="AS3" i="63"/>
  <c r="AD3" i="63"/>
  <c r="AT3" i="63"/>
  <c r="AE3" i="63"/>
  <c r="AU3" i="63"/>
  <c r="AF3" i="63"/>
  <c r="AV3" i="63"/>
  <c r="AH3" i="63"/>
  <c r="AX3" i="63"/>
  <c r="AG3" i="63"/>
  <c r="AW3" i="63"/>
  <c r="A4" i="63"/>
  <c r="AH4" i="63" l="1"/>
  <c r="AX4" i="63"/>
  <c r="AI4" i="63"/>
  <c r="AY4" i="63"/>
  <c r="AJ4" i="63"/>
  <c r="AK4" i="63"/>
  <c r="AL4" i="63"/>
  <c r="AM4" i="63"/>
  <c r="AO4" i="63"/>
  <c r="AP4" i="63"/>
  <c r="AQ4" i="63"/>
  <c r="AR4" i="63"/>
  <c r="AC4" i="63"/>
  <c r="AS4" i="63"/>
  <c r="AD4" i="63"/>
  <c r="AT4" i="63"/>
  <c r="AG4" i="63"/>
  <c r="AW4" i="63"/>
  <c r="AE4" i="63"/>
  <c r="AF4" i="63"/>
  <c r="AN4" i="63"/>
  <c r="AU4" i="63"/>
  <c r="AV4" i="63"/>
  <c r="AK7" i="24" a="1"/>
  <c r="AK7" i="24" s="1"/>
  <c r="AI7" i="24" a="1"/>
  <c r="AI7" i="24" s="1"/>
  <c r="AY7" i="24" a="1"/>
  <c r="AY7" i="24" s="1"/>
  <c r="AU7" i="24" a="1"/>
  <c r="AU7" i="24" s="1"/>
  <c r="AX7" i="24" a="1"/>
  <c r="AX7" i="24" s="1"/>
  <c r="AL7" i="24" a="1"/>
  <c r="AL7" i="24" s="1"/>
  <c r="AM7" i="24" a="1"/>
  <c r="AM7" i="24" s="1"/>
  <c r="AN7" i="24" a="1"/>
  <c r="AN7" i="24" s="1"/>
  <c r="AO7" i="24" a="1"/>
  <c r="AO7" i="24" s="1"/>
  <c r="AP7" i="24" a="1"/>
  <c r="AP7" i="24" s="1"/>
  <c r="AQ7" i="24" a="1"/>
  <c r="AQ7" i="24" s="1"/>
  <c r="AR7" i="24" a="1"/>
  <c r="AR7" i="24" s="1"/>
  <c r="AS7" i="24" a="1"/>
  <c r="AS7" i="24" s="1"/>
  <c r="AT7" i="24" a="1"/>
  <c r="AT7" i="24" s="1"/>
  <c r="AW7" i="24" a="1"/>
  <c r="AW7" i="24" s="1"/>
  <c r="AV7" i="24" a="1"/>
  <c r="AV7" i="24" s="1"/>
  <c r="AJ7" i="24" a="1"/>
  <c r="AJ7" i="24" s="1"/>
  <c r="AG7" i="24" a="1"/>
  <c r="AG7" i="24" s="1"/>
  <c r="AH7" i="24" a="1"/>
  <c r="AH7" i="24" s="1"/>
  <c r="AF7" i="24" a="1"/>
  <c r="AF7" i="24" s="1"/>
  <c r="C7" i="24" a="1"/>
  <c r="C7" i="24" s="1"/>
  <c r="G7" i="24" a="1"/>
  <c r="G7" i="24" s="1"/>
  <c r="K7" i="24" a="1"/>
  <c r="K7" i="24" s="1"/>
  <c r="O7" i="24" a="1"/>
  <c r="O7" i="24" s="1"/>
  <c r="O3" i="63" s="1"/>
  <c r="S7" i="24" a="1"/>
  <c r="S7" i="24" s="1"/>
  <c r="W7" i="24" a="1"/>
  <c r="W7" i="24" s="1"/>
  <c r="W3" i="63" s="1"/>
  <c r="AA7" i="24" a="1"/>
  <c r="AA7" i="24" s="1"/>
  <c r="AE7" i="24" a="1"/>
  <c r="AE7" i="24" s="1"/>
  <c r="H3" i="63"/>
  <c r="L7" i="24" a="1"/>
  <c r="L7" i="24" s="1"/>
  <c r="L3" i="63" s="1"/>
  <c r="P7" i="24" a="1"/>
  <c r="P7" i="24" s="1"/>
  <c r="AD7" i="24" a="1"/>
  <c r="AD7" i="24" s="1"/>
  <c r="T7" i="24" a="1"/>
  <c r="T7" i="24" s="1"/>
  <c r="T3" i="63" s="1"/>
  <c r="X7" i="24" a="1"/>
  <c r="X7" i="24" s="1"/>
  <c r="AB7" i="24" a="1"/>
  <c r="AB7" i="24" s="1"/>
  <c r="Q7" i="24" a="1"/>
  <c r="Q7" i="24" s="1"/>
  <c r="Q3" i="63" s="1"/>
  <c r="E7" i="24" a="1"/>
  <c r="E7" i="24" s="1"/>
  <c r="I7" i="24" a="1"/>
  <c r="I7" i="24" s="1"/>
  <c r="I3" i="63" s="1"/>
  <c r="M7" i="24" a="1"/>
  <c r="M7" i="24" s="1"/>
  <c r="M3" i="63" s="1"/>
  <c r="Y7" i="24" a="1"/>
  <c r="Y7" i="24" s="1"/>
  <c r="U7" i="24" a="1"/>
  <c r="U7" i="24" s="1"/>
  <c r="U3" i="63" s="1"/>
  <c r="Z7" i="24" a="1"/>
  <c r="Z7" i="24" s="1"/>
  <c r="Z3" i="63" s="1"/>
  <c r="J7" i="24" a="1"/>
  <c r="J7" i="24" s="1"/>
  <c r="J3" i="63" s="1"/>
  <c r="AC7" i="24" a="1"/>
  <c r="AC7" i="24" s="1"/>
  <c r="F7" i="24" a="1"/>
  <c r="F7" i="24" s="1"/>
  <c r="R7" i="24" a="1"/>
  <c r="R7" i="24" s="1"/>
  <c r="R3" i="63" s="1"/>
  <c r="V7" i="24" a="1"/>
  <c r="V7" i="24" s="1"/>
  <c r="V3" i="63" s="1"/>
  <c r="D3" i="65" s="1"/>
  <c r="N7" i="24" a="1"/>
  <c r="N7" i="24" s="1"/>
  <c r="N3" i="63" s="1"/>
  <c r="A5" i="63"/>
  <c r="Z4" i="63" l="1"/>
  <c r="AC3" i="65"/>
  <c r="K3" i="65"/>
  <c r="AA3" i="65"/>
  <c r="AB3" i="65"/>
  <c r="I3" i="65"/>
  <c r="G3" i="65"/>
  <c r="S4" i="63"/>
  <c r="S3" i="63"/>
  <c r="J3" i="65" s="1"/>
  <c r="T4" i="63"/>
  <c r="K4" i="63"/>
  <c r="K3" i="63"/>
  <c r="Z3" i="65" s="1"/>
  <c r="V4" i="63"/>
  <c r="D4" i="65" s="1"/>
  <c r="L4" i="63"/>
  <c r="K4" i="65" s="1"/>
  <c r="U4" i="63"/>
  <c r="O4" i="63"/>
  <c r="H4" i="63"/>
  <c r="J4" i="63"/>
  <c r="I4" i="63"/>
  <c r="N4" i="63"/>
  <c r="W4" i="63"/>
  <c r="P5" i="63"/>
  <c r="AF5" i="63"/>
  <c r="AV5" i="63"/>
  <c r="AG5" i="63"/>
  <c r="AW5" i="63"/>
  <c r="B5" i="63"/>
  <c r="AH5" i="63"/>
  <c r="AX5" i="63"/>
  <c r="C5" i="63"/>
  <c r="AI5" i="63"/>
  <c r="AY5" i="63"/>
  <c r="D5" i="63"/>
  <c r="T5" i="63"/>
  <c r="AJ5" i="63"/>
  <c r="E5" i="63"/>
  <c r="AK5" i="63"/>
  <c r="G5" i="63"/>
  <c r="W5" i="63"/>
  <c r="AM5" i="63"/>
  <c r="H5" i="63"/>
  <c r="G5" i="65" s="1"/>
  <c r="X5" i="63"/>
  <c r="AN5" i="63"/>
  <c r="I5" i="63"/>
  <c r="Y5" i="63"/>
  <c r="AE5" i="65" s="1"/>
  <c r="AO5" i="63"/>
  <c r="J5" i="63"/>
  <c r="Z5" i="63"/>
  <c r="AP5" i="63"/>
  <c r="AQ5" i="63"/>
  <c r="L5" i="63"/>
  <c r="AR5" i="63"/>
  <c r="O5" i="63"/>
  <c r="AE5" i="63"/>
  <c r="AU5" i="63"/>
  <c r="AS5" i="63"/>
  <c r="AT5" i="63"/>
  <c r="F5" i="63"/>
  <c r="M5" i="63"/>
  <c r="N5" i="63"/>
  <c r="V5" i="63"/>
  <c r="AC5" i="63"/>
  <c r="AD5" i="63"/>
  <c r="AL5" i="63"/>
  <c r="M4" i="63"/>
  <c r="W3" i="65"/>
  <c r="O3" i="65"/>
  <c r="A6" i="63"/>
  <c r="AD5" i="65" l="1"/>
  <c r="V4" i="65"/>
  <c r="AC4" i="65"/>
  <c r="Z5" i="65"/>
  <c r="J4" i="65"/>
  <c r="T5" i="65"/>
  <c r="O4" i="65"/>
  <c r="P3" i="65"/>
  <c r="P4" i="65"/>
  <c r="K5" i="65"/>
  <c r="D5" i="65"/>
  <c r="J5" i="65"/>
  <c r="Z4" i="65"/>
  <c r="W4" i="65"/>
  <c r="AA4" i="65"/>
  <c r="W5" i="65"/>
  <c r="I4" i="65"/>
  <c r="O5" i="65"/>
  <c r="AA5" i="65"/>
  <c r="P5" i="65"/>
  <c r="V5" i="65"/>
  <c r="I5" i="65"/>
  <c r="G4" i="65"/>
  <c r="N6" i="63"/>
  <c r="AD6" i="63"/>
  <c r="AT6" i="63"/>
  <c r="O6" i="63"/>
  <c r="AE6" i="63"/>
  <c r="AU6" i="63"/>
  <c r="AF6" i="63"/>
  <c r="AV6" i="63"/>
  <c r="AG6" i="63"/>
  <c r="AW6" i="63"/>
  <c r="B6" i="63"/>
  <c r="AH6" i="63"/>
  <c r="AX6" i="63"/>
  <c r="C6" i="63"/>
  <c r="AI6" i="63"/>
  <c r="AY6" i="63"/>
  <c r="E6" i="63"/>
  <c r="AK6" i="63"/>
  <c r="F6" i="63"/>
  <c r="V6" i="63"/>
  <c r="AL6" i="63"/>
  <c r="G6" i="63"/>
  <c r="W6" i="63"/>
  <c r="AM6" i="63"/>
  <c r="H6" i="63"/>
  <c r="X6" i="63"/>
  <c r="AN6" i="63"/>
  <c r="I6" i="63"/>
  <c r="Y6" i="63"/>
  <c r="AE6" i="65" s="1"/>
  <c r="AO6" i="63"/>
  <c r="J6" i="63"/>
  <c r="Z6" i="63"/>
  <c r="AP6" i="63"/>
  <c r="M6" i="63"/>
  <c r="AC6" i="63"/>
  <c r="AS6" i="63"/>
  <c r="D6" i="63"/>
  <c r="L6" i="63"/>
  <c r="T6" i="63"/>
  <c r="AJ6" i="63"/>
  <c r="AQ6" i="63"/>
  <c r="AR6" i="63"/>
  <c r="Y3" i="65"/>
  <c r="Y4" i="65"/>
  <c r="A7" i="63"/>
  <c r="T6" i="65" l="1"/>
  <c r="AD6" i="65"/>
  <c r="J6" i="65"/>
  <c r="K6" i="65"/>
  <c r="D6" i="65"/>
  <c r="Z6" i="65"/>
  <c r="P6" i="65"/>
  <c r="W6" i="65"/>
  <c r="O6" i="65"/>
  <c r="AA6" i="65"/>
  <c r="G6" i="65"/>
  <c r="V6" i="65"/>
  <c r="I6" i="65"/>
  <c r="L7" i="63"/>
  <c r="AR7" i="63"/>
  <c r="M7" i="63"/>
  <c r="AC7" i="63"/>
  <c r="AS7" i="63"/>
  <c r="N7" i="63"/>
  <c r="AD7" i="63"/>
  <c r="AT7" i="63"/>
  <c r="O7" i="63"/>
  <c r="AE7" i="63"/>
  <c r="AU7" i="63"/>
  <c r="AF7" i="63"/>
  <c r="AV7" i="63"/>
  <c r="Q7" i="63"/>
  <c r="AG7" i="63"/>
  <c r="AW7" i="63"/>
  <c r="C7" i="63"/>
  <c r="AI7" i="63"/>
  <c r="AY7" i="63"/>
  <c r="D7" i="63"/>
  <c r="T7" i="63"/>
  <c r="AJ7" i="63"/>
  <c r="E7" i="63"/>
  <c r="U7" i="63"/>
  <c r="AK7" i="63"/>
  <c r="F7" i="63"/>
  <c r="V7" i="63"/>
  <c r="AL7" i="63"/>
  <c r="G7" i="63"/>
  <c r="AM7" i="63"/>
  <c r="X7" i="63"/>
  <c r="AN7" i="63"/>
  <c r="AQ7" i="63"/>
  <c r="Z7" i="63"/>
  <c r="AH7" i="63"/>
  <c r="AO7" i="63"/>
  <c r="AP7" i="63"/>
  <c r="AX7" i="63"/>
  <c r="B7" i="63"/>
  <c r="I7" i="63"/>
  <c r="J7" i="63"/>
  <c r="R7" i="63"/>
  <c r="Y7" i="63"/>
  <c r="AE7" i="65" s="1"/>
  <c r="A8" i="63"/>
  <c r="T7" i="65" l="1"/>
  <c r="AC7" i="65"/>
  <c r="AD7" i="65"/>
  <c r="AB7" i="65"/>
  <c r="P7" i="65"/>
  <c r="D7" i="65"/>
  <c r="K7" i="65"/>
  <c r="Z7" i="65"/>
  <c r="V7" i="65"/>
  <c r="O7" i="65"/>
  <c r="AA7" i="65"/>
  <c r="W7" i="65"/>
  <c r="I7" i="65"/>
  <c r="J8" i="63"/>
  <c r="Z8" i="63"/>
  <c r="AP8" i="63"/>
  <c r="K8" i="63"/>
  <c r="AQ8" i="63"/>
  <c r="L8" i="63"/>
  <c r="K8" i="65" s="1"/>
  <c r="AR8" i="63"/>
  <c r="M8" i="63"/>
  <c r="AC8" i="63"/>
  <c r="AS8" i="63"/>
  <c r="N8" i="63"/>
  <c r="AD8" i="63"/>
  <c r="AT8" i="63"/>
  <c r="O8" i="63"/>
  <c r="AE8" i="63"/>
  <c r="AU8" i="63"/>
  <c r="Q8" i="63"/>
  <c r="AG8" i="63"/>
  <c r="AW8" i="63"/>
  <c r="B8" i="63"/>
  <c r="R8" i="63"/>
  <c r="AH8" i="63"/>
  <c r="AX8" i="63"/>
  <c r="C8" i="63"/>
  <c r="S8" i="63"/>
  <c r="AI8" i="63"/>
  <c r="AY8" i="63"/>
  <c r="D8" i="63"/>
  <c r="T8" i="63"/>
  <c r="AJ8" i="63"/>
  <c r="E8" i="63"/>
  <c r="U8" i="63"/>
  <c r="AK8" i="63"/>
  <c r="F8" i="63"/>
  <c r="V8" i="63"/>
  <c r="D8" i="65" s="1"/>
  <c r="AL8" i="63"/>
  <c r="Y8" i="63"/>
  <c r="AE8" i="65" s="1"/>
  <c r="AO8" i="63"/>
  <c r="G8" i="63"/>
  <c r="P8" i="63"/>
  <c r="X8" i="63"/>
  <c r="AF8" i="63"/>
  <c r="AM8" i="63"/>
  <c r="AN8" i="63"/>
  <c r="AV8" i="63"/>
  <c r="A9" i="63"/>
  <c r="AB8" i="65" l="1"/>
  <c r="AD8" i="65"/>
  <c r="Z8" i="65"/>
  <c r="AC8" i="65"/>
  <c r="T8" i="65"/>
  <c r="I8" i="65"/>
  <c r="G8" i="65"/>
  <c r="O8" i="65"/>
  <c r="AA8" i="65"/>
  <c r="V8" i="65"/>
  <c r="P8" i="65"/>
  <c r="W8" i="65"/>
  <c r="H9" i="63"/>
  <c r="X9" i="63"/>
  <c r="AN9" i="63"/>
  <c r="Y9" i="63"/>
  <c r="AE9" i="65" s="1"/>
  <c r="AO9" i="63"/>
  <c r="J9" i="63"/>
  <c r="Z9" i="63"/>
  <c r="AP9" i="63"/>
  <c r="K9" i="63"/>
  <c r="AQ9" i="63"/>
  <c r="L9" i="63"/>
  <c r="AR9" i="63"/>
  <c r="M9" i="63"/>
  <c r="AC9" i="63"/>
  <c r="AS9" i="63"/>
  <c r="O9" i="63"/>
  <c r="AE9" i="63"/>
  <c r="AU9" i="63"/>
  <c r="P9" i="63"/>
  <c r="AF9" i="63"/>
  <c r="AV9" i="63"/>
  <c r="Q9" i="63"/>
  <c r="AG9" i="63"/>
  <c r="AW9" i="63"/>
  <c r="B9" i="63"/>
  <c r="R9" i="63"/>
  <c r="AH9" i="63"/>
  <c r="AX9" i="63"/>
  <c r="C9" i="63"/>
  <c r="S9" i="63"/>
  <c r="AI9" i="63"/>
  <c r="AY9" i="63"/>
  <c r="D9" i="63"/>
  <c r="T9" i="63"/>
  <c r="AJ9" i="63"/>
  <c r="G9" i="63"/>
  <c r="W9" i="63"/>
  <c r="AM9" i="63"/>
  <c r="N9" i="63"/>
  <c r="U9" i="63"/>
  <c r="V9" i="63"/>
  <c r="AD9" i="63"/>
  <c r="AK9" i="63"/>
  <c r="AL9" i="63"/>
  <c r="AT9" i="63"/>
  <c r="E9" i="63"/>
  <c r="F9" i="63"/>
  <c r="Y8" i="65"/>
  <c r="A10" i="63"/>
  <c r="AB9" i="65" l="1"/>
  <c r="P9" i="65"/>
  <c r="T9" i="65"/>
  <c r="AC9" i="65"/>
  <c r="AD9" i="65"/>
  <c r="Z9" i="65"/>
  <c r="K9" i="65"/>
  <c r="J9" i="65"/>
  <c r="D9" i="65"/>
  <c r="O9" i="65"/>
  <c r="AA9" i="65"/>
  <c r="G9" i="65"/>
  <c r="W9" i="65"/>
  <c r="I9" i="65"/>
  <c r="V9" i="65"/>
  <c r="F10" i="63"/>
  <c r="V10" i="63"/>
  <c r="AL10" i="63"/>
  <c r="G10" i="63"/>
  <c r="AM10" i="63"/>
  <c r="X10" i="63"/>
  <c r="AN10" i="63"/>
  <c r="I10" i="63"/>
  <c r="Y10" i="63"/>
  <c r="AE10" i="65" s="1"/>
  <c r="AO10" i="63"/>
  <c r="J10" i="63"/>
  <c r="Z10" i="63"/>
  <c r="AP10" i="63"/>
  <c r="K10" i="63"/>
  <c r="AQ10" i="63"/>
  <c r="M10" i="63"/>
  <c r="AC10" i="63"/>
  <c r="AS10" i="63"/>
  <c r="N10" i="63"/>
  <c r="AD10" i="63"/>
  <c r="AT10" i="63"/>
  <c r="O10" i="63"/>
  <c r="AE10" i="63"/>
  <c r="AU10" i="63"/>
  <c r="P10" i="63"/>
  <c r="AF10" i="63"/>
  <c r="AV10" i="63"/>
  <c r="Q10" i="63"/>
  <c r="AG10" i="63"/>
  <c r="AW10" i="63"/>
  <c r="B10" i="63"/>
  <c r="R10" i="63"/>
  <c r="AH10" i="63"/>
  <c r="AX10" i="63"/>
  <c r="E10" i="63"/>
  <c r="U10" i="63"/>
  <c r="AK10" i="63"/>
  <c r="AY10" i="63"/>
  <c r="C10" i="63"/>
  <c r="D10" i="63"/>
  <c r="L10" i="63"/>
  <c r="S10" i="63"/>
  <c r="T10" i="63"/>
  <c r="AI10" i="63"/>
  <c r="AJ10" i="63"/>
  <c r="AR10" i="63"/>
  <c r="Y9" i="65"/>
  <c r="A11" i="63"/>
  <c r="T10" i="65" l="1"/>
  <c r="Z10" i="65"/>
  <c r="AC10" i="65"/>
  <c r="AD10" i="65"/>
  <c r="AB10" i="65"/>
  <c r="D10" i="65"/>
  <c r="K10" i="65"/>
  <c r="W10" i="65"/>
  <c r="G10" i="65"/>
  <c r="O10" i="65"/>
  <c r="AA10" i="65"/>
  <c r="P10" i="65"/>
  <c r="I10" i="65"/>
  <c r="V10" i="65"/>
  <c r="T11" i="63"/>
  <c r="AJ11" i="63"/>
  <c r="U11" i="63"/>
  <c r="AK11" i="63"/>
  <c r="V11" i="63"/>
  <c r="AL11" i="63"/>
  <c r="AM11" i="63"/>
  <c r="AN11" i="63"/>
  <c r="AO11" i="63"/>
  <c r="K11" i="63"/>
  <c r="AQ11" i="63"/>
  <c r="L11" i="63"/>
  <c r="K11" i="65" s="1"/>
  <c r="AR11" i="63"/>
  <c r="AC11" i="63"/>
  <c r="AS11" i="63"/>
  <c r="N11" i="63"/>
  <c r="AD11" i="63"/>
  <c r="AT11" i="63"/>
  <c r="O11" i="63"/>
  <c r="AE11" i="63"/>
  <c r="AU11" i="63"/>
  <c r="P11" i="63"/>
  <c r="AF11" i="63"/>
  <c r="AV11" i="63"/>
  <c r="S11" i="63"/>
  <c r="AI11" i="63"/>
  <c r="AY11" i="63"/>
  <c r="J11" i="63"/>
  <c r="Z11" i="63"/>
  <c r="AG11" i="63"/>
  <c r="AH11" i="63"/>
  <c r="AP11" i="63"/>
  <c r="AW11" i="63"/>
  <c r="AX11" i="63"/>
  <c r="Y10" i="65"/>
  <c r="A12" i="63"/>
  <c r="AE11" i="65" l="1"/>
  <c r="AC11" i="65"/>
  <c r="D11" i="65"/>
  <c r="Z11" i="65"/>
  <c r="O11" i="65"/>
  <c r="AA11" i="65"/>
  <c r="P11" i="65"/>
  <c r="I11" i="65"/>
  <c r="V11" i="65"/>
  <c r="W11" i="65"/>
  <c r="G11" i="65"/>
  <c r="AH12" i="63"/>
  <c r="AX12" i="63"/>
  <c r="AI12" i="63"/>
  <c r="AY12" i="63"/>
  <c r="T12" i="63"/>
  <c r="AJ12" i="63"/>
  <c r="U12" i="63"/>
  <c r="AK12" i="63"/>
  <c r="V12" i="63"/>
  <c r="AL12" i="63"/>
  <c r="W12" i="63"/>
  <c r="AM12" i="63"/>
  <c r="AO12" i="63"/>
  <c r="J12" i="63"/>
  <c r="Z12" i="63"/>
  <c r="AP12" i="63"/>
  <c r="AQ12" i="63"/>
  <c r="L12" i="63"/>
  <c r="AR12" i="63"/>
  <c r="AC12" i="63"/>
  <c r="AS12" i="63"/>
  <c r="N12" i="63"/>
  <c r="AD12" i="63"/>
  <c r="AT12" i="63"/>
  <c r="AG12" i="63"/>
  <c r="AW12" i="63"/>
  <c r="AF12" i="63"/>
  <c r="AN12" i="63"/>
  <c r="AU12" i="63"/>
  <c r="AV12" i="63"/>
  <c r="H12" i="63"/>
  <c r="O12" i="63"/>
  <c r="P12" i="63"/>
  <c r="AE12" i="63"/>
  <c r="Y11" i="65"/>
  <c r="A13" i="63"/>
  <c r="AC12" i="65" l="1"/>
  <c r="Z12" i="65"/>
  <c r="K12" i="65"/>
  <c r="J12" i="65"/>
  <c r="D12" i="65"/>
  <c r="W12" i="65"/>
  <c r="I12" i="65"/>
  <c r="O12" i="65"/>
  <c r="AA12" i="65"/>
  <c r="G12" i="65"/>
  <c r="P12" i="65"/>
  <c r="P13" i="63"/>
  <c r="AF13" i="63"/>
  <c r="AV13" i="63"/>
  <c r="AG13" i="63"/>
  <c r="AW13" i="63"/>
  <c r="B13" i="63"/>
  <c r="AH13" i="63"/>
  <c r="AX13" i="63"/>
  <c r="C13" i="63"/>
  <c r="AI13" i="63"/>
  <c r="AY13" i="63"/>
  <c r="D13" i="63"/>
  <c r="AJ13" i="63"/>
  <c r="E13" i="63"/>
  <c r="U13" i="63"/>
  <c r="AK13" i="63"/>
  <c r="G13" i="63"/>
  <c r="W13" i="63"/>
  <c r="AM13" i="63"/>
  <c r="H13" i="63"/>
  <c r="G13" i="65" s="1"/>
  <c r="X13" i="63"/>
  <c r="AN13" i="63"/>
  <c r="I13" i="63"/>
  <c r="Y13" i="63"/>
  <c r="AO13" i="63"/>
  <c r="J13" i="63"/>
  <c r="Z13" i="63"/>
  <c r="AP13" i="63"/>
  <c r="AQ13" i="63"/>
  <c r="L13" i="63"/>
  <c r="AR13" i="63"/>
  <c r="O13" i="63"/>
  <c r="AE13" i="63"/>
  <c r="AU13" i="63"/>
  <c r="F13" i="63"/>
  <c r="M13" i="63"/>
  <c r="N13" i="63"/>
  <c r="V13" i="63"/>
  <c r="AC13" i="63"/>
  <c r="AD13" i="63"/>
  <c r="AL13" i="63"/>
  <c r="AS13" i="63"/>
  <c r="AT13" i="63"/>
  <c r="A14" i="63"/>
  <c r="T13" i="65" l="1"/>
  <c r="AD13" i="65"/>
  <c r="AE13" i="65"/>
  <c r="Z13" i="65"/>
  <c r="O13" i="65"/>
  <c r="AC13" i="65"/>
  <c r="K13" i="65"/>
  <c r="D13" i="65"/>
  <c r="J13" i="65"/>
  <c r="W13" i="65"/>
  <c r="I13" i="65"/>
  <c r="P13" i="65"/>
  <c r="V13" i="65"/>
  <c r="N14" i="63"/>
  <c r="AD14" i="63"/>
  <c r="AT14" i="63"/>
  <c r="O14" i="63"/>
  <c r="AE14" i="63"/>
  <c r="AU14" i="63"/>
  <c r="P14" i="63"/>
  <c r="AF14" i="63"/>
  <c r="AV14" i="63"/>
  <c r="Q14" i="63"/>
  <c r="AG14" i="63"/>
  <c r="AW14" i="63"/>
  <c r="B14" i="63"/>
  <c r="R14" i="63"/>
  <c r="AH14" i="63"/>
  <c r="AX14" i="63"/>
  <c r="C14" i="63"/>
  <c r="AI14" i="63"/>
  <c r="AY14" i="63"/>
  <c r="E14" i="63"/>
  <c r="U14" i="63"/>
  <c r="AK14" i="63"/>
  <c r="F14" i="63"/>
  <c r="V14" i="63"/>
  <c r="AL14" i="63"/>
  <c r="G14" i="63"/>
  <c r="W14" i="63"/>
  <c r="AM14" i="63"/>
  <c r="H14" i="63"/>
  <c r="X14" i="63"/>
  <c r="AN14" i="63"/>
  <c r="I14" i="63"/>
  <c r="Y14" i="63"/>
  <c r="AE14" i="65" s="1"/>
  <c r="AO14" i="63"/>
  <c r="J14" i="63"/>
  <c r="Z14" i="63"/>
  <c r="AP14" i="63"/>
  <c r="AC14" i="63"/>
  <c r="AS14" i="63"/>
  <c r="AJ14" i="63"/>
  <c r="AQ14" i="63"/>
  <c r="AR14" i="63"/>
  <c r="L14" i="63"/>
  <c r="D14" i="63"/>
  <c r="A15" i="63"/>
  <c r="T14" i="65" l="1"/>
  <c r="AC14" i="65"/>
  <c r="AD14" i="65"/>
  <c r="AB14" i="65"/>
  <c r="J14" i="65"/>
  <c r="Z14" i="65"/>
  <c r="K14" i="65"/>
  <c r="D14" i="65"/>
  <c r="P14" i="65"/>
  <c r="I14" i="65"/>
  <c r="O14" i="65"/>
  <c r="W14" i="65"/>
  <c r="V14" i="65"/>
  <c r="G14" i="65"/>
  <c r="L15" i="63"/>
  <c r="AR15" i="63"/>
  <c r="AC15" i="63"/>
  <c r="AS15" i="63"/>
  <c r="N15" i="63"/>
  <c r="AD15" i="63"/>
  <c r="AT15" i="63"/>
  <c r="O15" i="63"/>
  <c r="AE15" i="63"/>
  <c r="AU15" i="63"/>
  <c r="P15" i="63"/>
  <c r="AF15" i="63"/>
  <c r="AV15" i="63"/>
  <c r="Q15" i="63"/>
  <c r="AG15" i="63"/>
  <c r="AW15" i="63"/>
  <c r="C15" i="63"/>
  <c r="S15" i="63"/>
  <c r="AI15" i="63"/>
  <c r="AY15" i="63"/>
  <c r="D15" i="63"/>
  <c r="V15" i="65" s="1"/>
  <c r="AJ15" i="63"/>
  <c r="E15" i="63"/>
  <c r="U15" i="63"/>
  <c r="AK15" i="63"/>
  <c r="F15" i="63"/>
  <c r="V15" i="63"/>
  <c r="AL15" i="63"/>
  <c r="G15" i="63"/>
  <c r="W15" i="63"/>
  <c r="AM15" i="63"/>
  <c r="H15" i="63"/>
  <c r="G15" i="65" s="1"/>
  <c r="X15" i="63"/>
  <c r="AN15" i="63"/>
  <c r="K15" i="63"/>
  <c r="AQ15" i="63"/>
  <c r="AX15" i="63"/>
  <c r="B15" i="63"/>
  <c r="I15" i="63"/>
  <c r="J15" i="63"/>
  <c r="R15" i="63"/>
  <c r="Y15" i="63"/>
  <c r="AE15" i="65" s="1"/>
  <c r="Z15" i="63"/>
  <c r="AH15" i="63"/>
  <c r="AO15" i="63"/>
  <c r="AP15" i="63"/>
  <c r="A16" i="63"/>
  <c r="AC15" i="65" l="1"/>
  <c r="AD15" i="65"/>
  <c r="AB15" i="65"/>
  <c r="T15" i="65"/>
  <c r="P15" i="65"/>
  <c r="D15" i="65"/>
  <c r="J15" i="65"/>
  <c r="K15" i="65"/>
  <c r="Z15" i="65"/>
  <c r="W15" i="65"/>
  <c r="I15" i="65"/>
  <c r="O15" i="65"/>
  <c r="J16" i="63"/>
  <c r="Z16" i="63"/>
  <c r="AP16" i="63"/>
  <c r="K16" i="63"/>
  <c r="AQ16" i="63"/>
  <c r="L16" i="63"/>
  <c r="K16" i="65" s="1"/>
  <c r="AR16" i="63"/>
  <c r="M16" i="63"/>
  <c r="AC16" i="63"/>
  <c r="AS16" i="63"/>
  <c r="N16" i="63"/>
  <c r="AD16" i="63"/>
  <c r="AT16" i="63"/>
  <c r="O16" i="63"/>
  <c r="AE16" i="63"/>
  <c r="AU16" i="63"/>
  <c r="Q16" i="63"/>
  <c r="AG16" i="63"/>
  <c r="AW16" i="63"/>
  <c r="B16" i="63"/>
  <c r="R16" i="63"/>
  <c r="AH16" i="63"/>
  <c r="AX16" i="63"/>
  <c r="C16" i="63"/>
  <c r="S16" i="63"/>
  <c r="AI16" i="63"/>
  <c r="AY16" i="63"/>
  <c r="D16" i="63"/>
  <c r="T16" i="63"/>
  <c r="AJ16" i="63"/>
  <c r="E16" i="63"/>
  <c r="U16" i="63"/>
  <c r="AK16" i="63"/>
  <c r="F16" i="63"/>
  <c r="V16" i="63"/>
  <c r="D16" i="65" s="1"/>
  <c r="AL16" i="63"/>
  <c r="G16" i="63"/>
  <c r="H16" i="63"/>
  <c r="G16" i="65" s="1"/>
  <c r="I16" i="63"/>
  <c r="P16" i="63"/>
  <c r="W16" i="63"/>
  <c r="X16" i="63"/>
  <c r="Y16" i="63"/>
  <c r="AE16" i="65" s="1"/>
  <c r="AF16" i="63"/>
  <c r="AM16" i="63"/>
  <c r="AN16" i="63"/>
  <c r="AO16" i="63"/>
  <c r="AV16" i="63"/>
  <c r="Y15" i="65"/>
  <c r="A17" i="63"/>
  <c r="AB16" i="65" l="1"/>
  <c r="AD16" i="65"/>
  <c r="Z16" i="65"/>
  <c r="T16" i="65"/>
  <c r="AC16" i="65"/>
  <c r="J16" i="65"/>
  <c r="W16" i="65"/>
  <c r="I16" i="65"/>
  <c r="O16" i="65"/>
  <c r="AA16" i="65"/>
  <c r="P16" i="65"/>
  <c r="V16" i="65"/>
  <c r="H17" i="63"/>
  <c r="AN17" i="63"/>
  <c r="I17" i="63"/>
  <c r="AO17" i="63"/>
  <c r="J17" i="63"/>
  <c r="Z17" i="63"/>
  <c r="AP17" i="63"/>
  <c r="K17" i="63"/>
  <c r="AQ17" i="63"/>
  <c r="L17" i="63"/>
  <c r="AR17" i="63"/>
  <c r="M17" i="63"/>
  <c r="AC17" i="63"/>
  <c r="AS17" i="63"/>
  <c r="O17" i="63"/>
  <c r="AE17" i="63"/>
  <c r="AU17" i="63"/>
  <c r="P17" i="63"/>
  <c r="AF17" i="63"/>
  <c r="AV17" i="63"/>
  <c r="Q17" i="63"/>
  <c r="AG17" i="63"/>
  <c r="AW17" i="63"/>
  <c r="R17" i="63"/>
  <c r="AH17" i="63"/>
  <c r="AX17" i="63"/>
  <c r="S17" i="63"/>
  <c r="AI17" i="63"/>
  <c r="AY17" i="63"/>
  <c r="N17" i="63"/>
  <c r="T17" i="63"/>
  <c r="U17" i="63"/>
  <c r="V17" i="63"/>
  <c r="W17" i="63"/>
  <c r="AD17" i="63"/>
  <c r="AJ17" i="63"/>
  <c r="AK17" i="63"/>
  <c r="AL17" i="63"/>
  <c r="AM17" i="63"/>
  <c r="AT17" i="63"/>
  <c r="Y16" i="65"/>
  <c r="A18" i="63"/>
  <c r="P17" i="65" l="1"/>
  <c r="AB17" i="65"/>
  <c r="Z17" i="65"/>
  <c r="AC17" i="65"/>
  <c r="D17" i="65"/>
  <c r="J17" i="65"/>
  <c r="K17" i="65"/>
  <c r="V17" i="65"/>
  <c r="O17" i="65"/>
  <c r="AA17" i="65"/>
  <c r="W17" i="65"/>
  <c r="G17" i="65"/>
  <c r="I17" i="65"/>
  <c r="Y17" i="65"/>
  <c r="V18" i="63"/>
  <c r="AL18" i="63"/>
  <c r="W18" i="63"/>
  <c r="AM18" i="63"/>
  <c r="H18" i="63"/>
  <c r="G18" i="65" s="1"/>
  <c r="AN18" i="63"/>
  <c r="I18" i="63"/>
  <c r="AO18" i="63"/>
  <c r="J18" i="63"/>
  <c r="Z18" i="63"/>
  <c r="AP18" i="63"/>
  <c r="K18" i="63"/>
  <c r="AQ18" i="63"/>
  <c r="M18" i="63"/>
  <c r="AC18" i="63"/>
  <c r="AS18" i="63"/>
  <c r="N18" i="63"/>
  <c r="AD18" i="63"/>
  <c r="AT18" i="63"/>
  <c r="O18" i="63"/>
  <c r="AE18" i="63"/>
  <c r="AU18" i="63"/>
  <c r="P18" i="63"/>
  <c r="AF18" i="63"/>
  <c r="AV18" i="63"/>
  <c r="AG18" i="63"/>
  <c r="AW18" i="63"/>
  <c r="L18" i="63"/>
  <c r="K18" i="65" s="1"/>
  <c r="S18" i="63"/>
  <c r="T18" i="63"/>
  <c r="U18" i="63"/>
  <c r="AH18" i="63"/>
  <c r="AI18" i="63"/>
  <c r="AJ18" i="63"/>
  <c r="AK18" i="63"/>
  <c r="AR18" i="63"/>
  <c r="AX18" i="63"/>
  <c r="AY18" i="63"/>
  <c r="A19" i="63"/>
  <c r="AC18" i="65" l="1"/>
  <c r="J18" i="65"/>
  <c r="P18" i="65"/>
  <c r="D18" i="65"/>
  <c r="W18" i="65"/>
  <c r="Z18" i="65"/>
  <c r="V18" i="65"/>
  <c r="Y18" i="65"/>
  <c r="O18" i="65"/>
  <c r="AA18" i="65"/>
  <c r="I18" i="65"/>
  <c r="D19" i="63"/>
  <c r="T19" i="63"/>
  <c r="AJ19" i="63"/>
  <c r="E19" i="63"/>
  <c r="U19" i="63"/>
  <c r="AK19" i="63"/>
  <c r="F19" i="63"/>
  <c r="V19" i="63"/>
  <c r="D19" i="65" s="1"/>
  <c r="AL19" i="63"/>
  <c r="G19" i="63"/>
  <c r="W19" i="63"/>
  <c r="AM19" i="63"/>
  <c r="H19" i="63"/>
  <c r="X19" i="63"/>
  <c r="AN19" i="63"/>
  <c r="I19" i="63"/>
  <c r="Y19" i="63"/>
  <c r="AO19" i="63"/>
  <c r="AQ19" i="63"/>
  <c r="L19" i="63"/>
  <c r="K19" i="65" s="1"/>
  <c r="AR19" i="63"/>
  <c r="M19" i="63"/>
  <c r="AC19" i="63"/>
  <c r="AS19" i="63"/>
  <c r="N19" i="63"/>
  <c r="AD19" i="63"/>
  <c r="AT19" i="63"/>
  <c r="O19" i="63"/>
  <c r="AE19" i="63"/>
  <c r="J19" i="63"/>
  <c r="P19" i="63"/>
  <c r="Z19" i="63"/>
  <c r="AF19" i="63"/>
  <c r="AG19" i="63"/>
  <c r="AH19" i="63"/>
  <c r="AI19" i="63"/>
  <c r="AP19" i="63"/>
  <c r="AU19" i="63"/>
  <c r="AV19" i="63"/>
  <c r="AY19" i="63"/>
  <c r="B19" i="63"/>
  <c r="C19" i="63"/>
  <c r="AW19" i="63"/>
  <c r="AX19" i="63"/>
  <c r="A20" i="63"/>
  <c r="T19" i="65" l="1"/>
  <c r="AD19" i="65"/>
  <c r="AE19" i="65"/>
  <c r="Z19" i="65"/>
  <c r="J19" i="65"/>
  <c r="AC19" i="65"/>
  <c r="P19" i="65"/>
  <c r="G19" i="65"/>
  <c r="O19" i="65"/>
  <c r="AA19" i="65"/>
  <c r="V19" i="65"/>
  <c r="I19" i="65"/>
  <c r="W19" i="65"/>
  <c r="B20" i="63"/>
  <c r="AH20" i="63"/>
  <c r="AX20" i="63"/>
  <c r="C20" i="63"/>
  <c r="AI20" i="63"/>
  <c r="AY20" i="63"/>
  <c r="D20" i="63"/>
  <c r="V20" i="65" s="1"/>
  <c r="T20" i="63"/>
  <c r="AJ20" i="63"/>
  <c r="E20" i="63"/>
  <c r="U20" i="63"/>
  <c r="AK20" i="63"/>
  <c r="F20" i="63"/>
  <c r="V20" i="63"/>
  <c r="AL20" i="63"/>
  <c r="G20" i="63"/>
  <c r="W20" i="63"/>
  <c r="AM20" i="63"/>
  <c r="I20" i="63"/>
  <c r="Y20" i="63"/>
  <c r="AE20" i="65" s="1"/>
  <c r="AO20" i="63"/>
  <c r="J20" i="63"/>
  <c r="Z20" i="63"/>
  <c r="AP20" i="63"/>
  <c r="AQ20" i="63"/>
  <c r="L20" i="63"/>
  <c r="AR20" i="63"/>
  <c r="H20" i="63"/>
  <c r="AV20" i="63"/>
  <c r="M20" i="63"/>
  <c r="AW20" i="63"/>
  <c r="N20" i="63"/>
  <c r="O20" i="63"/>
  <c r="P20" i="63"/>
  <c r="X20" i="63"/>
  <c r="AC20" i="63"/>
  <c r="AD20" i="63"/>
  <c r="AE20" i="63"/>
  <c r="AF20" i="63"/>
  <c r="AG20" i="63"/>
  <c r="AN20" i="63"/>
  <c r="AS20" i="63"/>
  <c r="AT20" i="63"/>
  <c r="AU20" i="63"/>
  <c r="A21" i="63"/>
  <c r="T20" i="65" l="1"/>
  <c r="Z20" i="65"/>
  <c r="AC20" i="65"/>
  <c r="AD20" i="65"/>
  <c r="P20" i="65"/>
  <c r="J20" i="65"/>
  <c r="D20" i="65"/>
  <c r="K20" i="65"/>
  <c r="W20" i="65"/>
  <c r="G20" i="65"/>
  <c r="I20" i="65"/>
  <c r="O20" i="65"/>
  <c r="AA20" i="65"/>
  <c r="P21" i="63"/>
  <c r="AF21" i="63"/>
  <c r="AV21" i="63"/>
  <c r="Q21" i="63"/>
  <c r="AG21" i="63"/>
  <c r="AW21" i="63"/>
  <c r="B21" i="63"/>
  <c r="R21" i="63"/>
  <c r="AH21" i="63"/>
  <c r="AX21" i="63"/>
  <c r="C21" i="63"/>
  <c r="AI21" i="63"/>
  <c r="AY21" i="63"/>
  <c r="D21" i="63"/>
  <c r="T21" i="63"/>
  <c r="AJ21" i="63"/>
  <c r="E21" i="63"/>
  <c r="U21" i="63"/>
  <c r="AK21" i="63"/>
  <c r="G21" i="63"/>
  <c r="W21" i="63"/>
  <c r="AM21" i="63"/>
  <c r="H21" i="63"/>
  <c r="X21" i="63"/>
  <c r="AN21" i="63"/>
  <c r="I21" i="63"/>
  <c r="Y21" i="63"/>
  <c r="AE21" i="65" s="1"/>
  <c r="AO21" i="63"/>
  <c r="J21" i="63"/>
  <c r="Z21" i="63"/>
  <c r="AP21" i="63"/>
  <c r="AR21" i="63"/>
  <c r="AS21" i="63"/>
  <c r="F21" i="63"/>
  <c r="AT21" i="63"/>
  <c r="AU21" i="63"/>
  <c r="L21" i="63"/>
  <c r="M21" i="63"/>
  <c r="N21" i="63"/>
  <c r="O21" i="63"/>
  <c r="V21" i="63"/>
  <c r="AC21" i="63"/>
  <c r="AD21" i="63"/>
  <c r="AE21" i="63"/>
  <c r="AL21" i="63"/>
  <c r="AQ21" i="63"/>
  <c r="O21" i="65"/>
  <c r="A22" i="63"/>
  <c r="T21" i="65" l="1"/>
  <c r="AD21" i="65"/>
  <c r="Z21" i="65"/>
  <c r="AC21" i="65"/>
  <c r="J21" i="65"/>
  <c r="K21" i="65"/>
  <c r="D21" i="65"/>
  <c r="W21" i="65"/>
  <c r="AA21" i="65"/>
  <c r="AB21" i="65"/>
  <c r="I21" i="65"/>
  <c r="G21" i="65"/>
  <c r="V21" i="65"/>
  <c r="P21" i="65"/>
  <c r="N22" i="63"/>
  <c r="AD22" i="63"/>
  <c r="AT22" i="63"/>
  <c r="O22" i="63"/>
  <c r="AE22" i="63"/>
  <c r="AU22" i="63"/>
  <c r="P22" i="63"/>
  <c r="AF22" i="63"/>
  <c r="AV22" i="63"/>
  <c r="Q22" i="63"/>
  <c r="AG22" i="63"/>
  <c r="AW22" i="63"/>
  <c r="B22" i="63"/>
  <c r="R22" i="63"/>
  <c r="AH22" i="63"/>
  <c r="AX22" i="63"/>
  <c r="C22" i="63"/>
  <c r="S22" i="63"/>
  <c r="AI22" i="63"/>
  <c r="AY22" i="63"/>
  <c r="E22" i="63"/>
  <c r="U22" i="63"/>
  <c r="AK22" i="63"/>
  <c r="F22" i="63"/>
  <c r="V22" i="63"/>
  <c r="AL22" i="63"/>
  <c r="G22" i="63"/>
  <c r="W22" i="63"/>
  <c r="H22" i="63"/>
  <c r="AC22" i="63"/>
  <c r="AJ22" i="63"/>
  <c r="AM22" i="63"/>
  <c r="AN22" i="63"/>
  <c r="D22" i="63"/>
  <c r="AO22" i="63"/>
  <c r="I22" i="63"/>
  <c r="AP22" i="63"/>
  <c r="J22" i="63"/>
  <c r="AQ22" i="63"/>
  <c r="K22" i="63"/>
  <c r="AR22" i="63"/>
  <c r="L22" i="63"/>
  <c r="AS22" i="63"/>
  <c r="M22" i="63"/>
  <c r="T22" i="63"/>
  <c r="X22" i="63"/>
  <c r="Y22" i="63"/>
  <c r="AE22" i="65" s="1"/>
  <c r="Z22" i="63"/>
  <c r="A23" i="63"/>
  <c r="T22" i="65" l="1"/>
  <c r="AC22" i="65"/>
  <c r="AD22" i="65"/>
  <c r="AB22" i="65"/>
  <c r="P22" i="65"/>
  <c r="J22" i="65"/>
  <c r="Z22" i="65"/>
  <c r="D22" i="65"/>
  <c r="K22" i="65"/>
  <c r="I22" i="65"/>
  <c r="O22" i="65"/>
  <c r="AA22" i="65"/>
  <c r="V22" i="65"/>
  <c r="W22" i="65"/>
  <c r="G22" i="65"/>
  <c r="L23" i="63"/>
  <c r="AR23" i="63"/>
  <c r="M23" i="63"/>
  <c r="AC23" i="63"/>
  <c r="AS23" i="63"/>
  <c r="N23" i="63"/>
  <c r="AD23" i="63"/>
  <c r="AT23" i="63"/>
  <c r="O23" i="63"/>
  <c r="AE23" i="63"/>
  <c r="AU23" i="63"/>
  <c r="P23" i="63"/>
  <c r="AF23" i="63"/>
  <c r="AV23" i="63"/>
  <c r="Q23" i="63"/>
  <c r="AG23" i="63"/>
  <c r="AW23" i="63"/>
  <c r="C23" i="63"/>
  <c r="S23" i="63"/>
  <c r="AI23" i="63"/>
  <c r="AY23" i="63"/>
  <c r="D23" i="63"/>
  <c r="T23" i="63"/>
  <c r="AJ23" i="63"/>
  <c r="K23" i="63"/>
  <c r="AQ23" i="63"/>
  <c r="R23" i="63"/>
  <c r="AX23" i="63"/>
  <c r="U23" i="63"/>
  <c r="V23" i="63"/>
  <c r="D23" i="65" s="1"/>
  <c r="W23" i="63"/>
  <c r="X23" i="63"/>
  <c r="Y23" i="63"/>
  <c r="AE23" i="65" s="1"/>
  <c r="Z23" i="63"/>
  <c r="B23" i="63"/>
  <c r="AH23" i="63"/>
  <c r="E23" i="63"/>
  <c r="AK23" i="63"/>
  <c r="F23" i="63"/>
  <c r="AL23" i="63"/>
  <c r="G23" i="63"/>
  <c r="AM23" i="63"/>
  <c r="H23" i="63"/>
  <c r="I23" i="63"/>
  <c r="J23" i="63"/>
  <c r="AN23" i="63"/>
  <c r="AO23" i="63"/>
  <c r="AP23" i="63"/>
  <c r="Y22" i="65"/>
  <c r="A24" i="63"/>
  <c r="T23" i="65" l="1"/>
  <c r="AC23" i="65"/>
  <c r="AD23" i="65"/>
  <c r="AB23" i="65"/>
  <c r="P23" i="65"/>
  <c r="K23" i="65"/>
  <c r="J23" i="65"/>
  <c r="Z23" i="65"/>
  <c r="G23" i="65"/>
  <c r="I23" i="65"/>
  <c r="W23" i="65"/>
  <c r="O23" i="65"/>
  <c r="AA23" i="65"/>
  <c r="V23" i="65"/>
  <c r="J24" i="63"/>
  <c r="Z24" i="63"/>
  <c r="AP24" i="63"/>
  <c r="K24" i="63"/>
  <c r="AQ24" i="63"/>
  <c r="L24" i="63"/>
  <c r="K24" i="65" s="1"/>
  <c r="AR24" i="63"/>
  <c r="M24" i="63"/>
  <c r="AC24" i="63"/>
  <c r="AS24" i="63"/>
  <c r="AD24" i="63"/>
  <c r="AT24" i="63"/>
  <c r="O24" i="63"/>
  <c r="AE24" i="63"/>
  <c r="AU24" i="63"/>
  <c r="Q24" i="63"/>
  <c r="AG24" i="63"/>
  <c r="AW24" i="63"/>
  <c r="B24" i="63"/>
  <c r="R24" i="63"/>
  <c r="AH24" i="63"/>
  <c r="AX24" i="63"/>
  <c r="Y24" i="63"/>
  <c r="AE24" i="65" s="1"/>
  <c r="AF24" i="63"/>
  <c r="C24" i="63"/>
  <c r="AI24" i="63"/>
  <c r="D24" i="63"/>
  <c r="AJ24" i="63"/>
  <c r="E24" i="63"/>
  <c r="AK24" i="63"/>
  <c r="F24" i="63"/>
  <c r="AL24" i="63"/>
  <c r="G24" i="63"/>
  <c r="AM24" i="63"/>
  <c r="H24" i="63"/>
  <c r="AN24" i="63"/>
  <c r="I24" i="63"/>
  <c r="AO24" i="63"/>
  <c r="P24" i="63"/>
  <c r="AV24" i="63"/>
  <c r="S24" i="63"/>
  <c r="AY24" i="63"/>
  <c r="T24" i="63"/>
  <c r="U24" i="63"/>
  <c r="W24" i="63"/>
  <c r="X24" i="63"/>
  <c r="Y23" i="65"/>
  <c r="A25" i="63"/>
  <c r="AD24" i="65" l="1"/>
  <c r="Z24" i="65"/>
  <c r="AB24" i="65"/>
  <c r="T24" i="65"/>
  <c r="AC24" i="65"/>
  <c r="Y24" i="65"/>
  <c r="D24" i="65"/>
  <c r="W24" i="65"/>
  <c r="G24" i="65"/>
  <c r="I24" i="65"/>
  <c r="V24" i="65"/>
  <c r="O24" i="65"/>
  <c r="AA24" i="65"/>
  <c r="P24" i="65"/>
  <c r="H25" i="63"/>
  <c r="AN25" i="63"/>
  <c r="I25" i="63"/>
  <c r="AO25" i="63"/>
  <c r="J25" i="63"/>
  <c r="Z25" i="63"/>
  <c r="AP25" i="63"/>
  <c r="K25" i="63"/>
  <c r="AQ25" i="63"/>
  <c r="L25" i="63"/>
  <c r="AR25" i="63"/>
  <c r="M25" i="63"/>
  <c r="AC25" i="63"/>
  <c r="AS25" i="63"/>
  <c r="AE25" i="63"/>
  <c r="AU25" i="63"/>
  <c r="P25" i="63"/>
  <c r="AF25" i="63"/>
  <c r="AV25" i="63"/>
  <c r="AM25" i="63"/>
  <c r="AT25" i="63"/>
  <c r="AW25" i="63"/>
  <c r="AX25" i="63"/>
  <c r="S25" i="63"/>
  <c r="AY25" i="63"/>
  <c r="T25" i="63"/>
  <c r="U25" i="63"/>
  <c r="W25" i="63"/>
  <c r="AD25" i="63"/>
  <c r="AG25" i="63"/>
  <c r="AH25" i="63"/>
  <c r="AI25" i="63"/>
  <c r="AK25" i="63"/>
  <c r="AL25" i="63"/>
  <c r="AJ25" i="63"/>
  <c r="A26" i="63"/>
  <c r="AE25" i="65" l="1"/>
  <c r="AC25" i="65"/>
  <c r="O25" i="65"/>
  <c r="K25" i="65"/>
  <c r="P25" i="65"/>
  <c r="Z25" i="65"/>
  <c r="AA25" i="65"/>
  <c r="W25" i="65"/>
  <c r="G25" i="65"/>
  <c r="V25" i="65"/>
  <c r="I25" i="65"/>
  <c r="V26" i="63"/>
  <c r="AL26" i="63"/>
  <c r="W26" i="63"/>
  <c r="AM26" i="63"/>
  <c r="H26" i="63"/>
  <c r="AN26" i="63"/>
  <c r="I26" i="63"/>
  <c r="AO26" i="63"/>
  <c r="J26" i="63"/>
  <c r="Z26" i="63"/>
  <c r="AP26" i="63"/>
  <c r="AQ26" i="63"/>
  <c r="M26" i="63"/>
  <c r="AC26" i="63"/>
  <c r="AS26" i="63"/>
  <c r="N26" i="63"/>
  <c r="AD26" i="63"/>
  <c r="AT26" i="63"/>
  <c r="U26" i="63"/>
  <c r="AE26" i="63"/>
  <c r="AF26" i="63"/>
  <c r="AG26" i="63"/>
  <c r="AH26" i="63"/>
  <c r="AI26" i="63"/>
  <c r="AJ26" i="63"/>
  <c r="AK26" i="63"/>
  <c r="L26" i="63"/>
  <c r="K26" i="65" s="1"/>
  <c r="AR26" i="63"/>
  <c r="AU26" i="63"/>
  <c r="P26" i="63"/>
  <c r="AV26" i="63"/>
  <c r="AW26" i="63"/>
  <c r="T26" i="63"/>
  <c r="AX26" i="63"/>
  <c r="AY26" i="63"/>
  <c r="Y25" i="65"/>
  <c r="A27" i="63"/>
  <c r="AC26" i="65" l="1"/>
  <c r="P26" i="65"/>
  <c r="D26" i="65"/>
  <c r="J26" i="65"/>
  <c r="Z26" i="65"/>
  <c r="W26" i="65"/>
  <c r="O26" i="65"/>
  <c r="AA26" i="65"/>
  <c r="I26" i="65"/>
  <c r="V26" i="65"/>
  <c r="G26" i="65"/>
  <c r="D27" i="63"/>
  <c r="T27" i="63"/>
  <c r="AJ27" i="63"/>
  <c r="F27" i="63"/>
  <c r="AL27" i="63"/>
  <c r="G27" i="63"/>
  <c r="W27" i="63"/>
  <c r="AM27" i="63"/>
  <c r="H27" i="63"/>
  <c r="X27" i="63"/>
  <c r="AN27" i="63"/>
  <c r="I27" i="63"/>
  <c r="Y27" i="63"/>
  <c r="AE27" i="65" s="1"/>
  <c r="AO27" i="63"/>
  <c r="AQ27" i="63"/>
  <c r="L27" i="63"/>
  <c r="AR27" i="63"/>
  <c r="C27" i="63"/>
  <c r="AG27" i="63"/>
  <c r="E27" i="63"/>
  <c r="AH27" i="63"/>
  <c r="J27" i="63"/>
  <c r="AI27" i="63"/>
  <c r="M27" i="63"/>
  <c r="AK27" i="63"/>
  <c r="AP27" i="63"/>
  <c r="O27" i="63"/>
  <c r="AS27" i="63"/>
  <c r="P27" i="63"/>
  <c r="AT27" i="63"/>
  <c r="AU27" i="63"/>
  <c r="AV27" i="63"/>
  <c r="AW27" i="63"/>
  <c r="U27" i="63"/>
  <c r="AX27" i="63"/>
  <c r="Z27" i="63"/>
  <c r="AY27" i="63"/>
  <c r="AC27" i="63"/>
  <c r="AE27" i="63"/>
  <c r="AF27" i="63"/>
  <c r="B27" i="63"/>
  <c r="AD27" i="63"/>
  <c r="A28" i="63"/>
  <c r="Z27" i="65" l="1"/>
  <c r="AC27" i="65"/>
  <c r="AD27" i="65"/>
  <c r="T27" i="65"/>
  <c r="I27" i="65"/>
  <c r="K27" i="65"/>
  <c r="D27" i="65"/>
  <c r="P27" i="65"/>
  <c r="G27" i="65"/>
  <c r="V27" i="65"/>
  <c r="O27" i="65"/>
  <c r="AA27" i="65"/>
  <c r="W27" i="65"/>
  <c r="B28" i="63"/>
  <c r="R28" i="63"/>
  <c r="AH28" i="63"/>
  <c r="AX28" i="63"/>
  <c r="D28" i="63"/>
  <c r="T28" i="63"/>
  <c r="AJ28" i="63"/>
  <c r="E28" i="63"/>
  <c r="U28" i="63"/>
  <c r="AK28" i="63"/>
  <c r="F28" i="63"/>
  <c r="AL28" i="63"/>
  <c r="G28" i="63"/>
  <c r="W28" i="63"/>
  <c r="AM28" i="63"/>
  <c r="I28" i="63"/>
  <c r="Y28" i="63"/>
  <c r="AE28" i="65" s="1"/>
  <c r="AO28" i="63"/>
  <c r="J28" i="63"/>
  <c r="Z28" i="63"/>
  <c r="AP28" i="63"/>
  <c r="M28" i="63"/>
  <c r="AQ28" i="63"/>
  <c r="AR28" i="63"/>
  <c r="AS28" i="63"/>
  <c r="P28" i="63"/>
  <c r="AT28" i="63"/>
  <c r="Q28" i="63"/>
  <c r="AU28" i="63"/>
  <c r="AV28" i="63"/>
  <c r="X28" i="63"/>
  <c r="AW28" i="63"/>
  <c r="AY28" i="63"/>
  <c r="AC28" i="63"/>
  <c r="AD28" i="63"/>
  <c r="AE28" i="63"/>
  <c r="C28" i="63"/>
  <c r="AF28" i="63"/>
  <c r="H28" i="63"/>
  <c r="L28" i="63"/>
  <c r="K28" i="65" s="1"/>
  <c r="AG28" i="63"/>
  <c r="AN28" i="63"/>
  <c r="AI28" i="63"/>
  <c r="A29" i="63"/>
  <c r="AC28" i="65" l="1"/>
  <c r="AD28" i="65"/>
  <c r="AB28" i="65"/>
  <c r="T28" i="65"/>
  <c r="P28" i="65"/>
  <c r="D28" i="65"/>
  <c r="Z28" i="65"/>
  <c r="W28" i="65"/>
  <c r="O28" i="65"/>
  <c r="AA28" i="65"/>
  <c r="V28" i="65"/>
  <c r="I28" i="65"/>
  <c r="G28" i="65"/>
  <c r="P29" i="63"/>
  <c r="AF29" i="63"/>
  <c r="AV29" i="63"/>
  <c r="B29" i="63"/>
  <c r="R29" i="63"/>
  <c r="AH29" i="63"/>
  <c r="AX29" i="63"/>
  <c r="C29" i="63"/>
  <c r="S29" i="63"/>
  <c r="AI29" i="63"/>
  <c r="AY29" i="63"/>
  <c r="D29" i="63"/>
  <c r="T29" i="63"/>
  <c r="AJ29" i="63"/>
  <c r="E29" i="63"/>
  <c r="U29" i="63"/>
  <c r="AK29" i="63"/>
  <c r="G29" i="63"/>
  <c r="W29" i="63"/>
  <c r="AM29" i="63"/>
  <c r="H29" i="63"/>
  <c r="X29" i="63"/>
  <c r="AN29" i="63"/>
  <c r="Q29" i="63"/>
  <c r="AT29" i="63"/>
  <c r="V29" i="63"/>
  <c r="AU29" i="63"/>
  <c r="Y29" i="63"/>
  <c r="AE29" i="65" s="1"/>
  <c r="AW29" i="63"/>
  <c r="Z29" i="63"/>
  <c r="AC29" i="63"/>
  <c r="AD29" i="63"/>
  <c r="F29" i="63"/>
  <c r="AE29" i="63"/>
  <c r="I29" i="63"/>
  <c r="AG29" i="63"/>
  <c r="J29" i="63"/>
  <c r="AL29" i="63"/>
  <c r="K29" i="63"/>
  <c r="AO29" i="63"/>
  <c r="L29" i="63"/>
  <c r="AP29" i="63"/>
  <c r="M29" i="63"/>
  <c r="N29" i="63"/>
  <c r="AQ29" i="63"/>
  <c r="AR29" i="63"/>
  <c r="AS29" i="63"/>
  <c r="A30" i="63"/>
  <c r="AB29" i="65" l="1"/>
  <c r="T29" i="65"/>
  <c r="AD29" i="65"/>
  <c r="J29" i="65"/>
  <c r="AC29" i="65"/>
  <c r="Z29" i="65"/>
  <c r="K29" i="65"/>
  <c r="D29" i="65"/>
  <c r="I29" i="65"/>
  <c r="O29" i="65"/>
  <c r="AA29" i="65"/>
  <c r="G29" i="65"/>
  <c r="P29" i="65"/>
  <c r="W29" i="65"/>
  <c r="V29" i="65"/>
  <c r="N30" i="63"/>
  <c r="AD30" i="63"/>
  <c r="AT30" i="63"/>
  <c r="P30" i="63"/>
  <c r="AF30" i="63"/>
  <c r="AV30" i="63"/>
  <c r="Q30" i="63"/>
  <c r="AG30" i="63"/>
  <c r="AW30" i="63"/>
  <c r="B30" i="63"/>
  <c r="R30" i="63"/>
  <c r="AH30" i="63"/>
  <c r="AX30" i="63"/>
  <c r="C30" i="63"/>
  <c r="S30" i="63"/>
  <c r="AI30" i="63"/>
  <c r="AY30" i="63"/>
  <c r="E30" i="63"/>
  <c r="U30" i="63"/>
  <c r="AK30" i="63"/>
  <c r="F30" i="63"/>
  <c r="V30" i="63"/>
  <c r="D30" i="65" s="1"/>
  <c r="AL30" i="63"/>
  <c r="D30" i="63"/>
  <c r="AC30" i="63"/>
  <c r="G30" i="63"/>
  <c r="AE30" i="63"/>
  <c r="H30" i="63"/>
  <c r="AJ30" i="63"/>
  <c r="I30" i="63"/>
  <c r="O30" i="65" s="1"/>
  <c r="AM30" i="63"/>
  <c r="J30" i="63"/>
  <c r="AN30" i="63"/>
  <c r="K30" i="63"/>
  <c r="W30" i="65" s="1"/>
  <c r="AO30" i="63"/>
  <c r="L30" i="63"/>
  <c r="K30" i="65" s="1"/>
  <c r="AP30" i="63"/>
  <c r="M30" i="63"/>
  <c r="AQ30" i="63"/>
  <c r="O30" i="63"/>
  <c r="AR30" i="63"/>
  <c r="T30" i="63"/>
  <c r="AS30" i="63"/>
  <c r="Y30" i="63"/>
  <c r="AU30" i="63"/>
  <c r="W30" i="63"/>
  <c r="X30" i="63"/>
  <c r="Y29" i="65"/>
  <c r="A31" i="63"/>
  <c r="AD30" i="65" l="1"/>
  <c r="AE30" i="65"/>
  <c r="T30" i="65"/>
  <c r="AC30" i="65"/>
  <c r="Z30" i="65"/>
  <c r="J30" i="65"/>
  <c r="AA30" i="65"/>
  <c r="AB30" i="65"/>
  <c r="I30" i="65"/>
  <c r="G30" i="65"/>
  <c r="V30" i="65"/>
  <c r="V31" i="63"/>
  <c r="AL31" i="63"/>
  <c r="W31" i="63"/>
  <c r="AM31" i="63"/>
  <c r="H31" i="63"/>
  <c r="AN31" i="63"/>
  <c r="I31" i="63"/>
  <c r="AO31" i="63"/>
  <c r="J31" i="63"/>
  <c r="AP31" i="63"/>
  <c r="K31" i="63"/>
  <c r="AQ31" i="63"/>
  <c r="L31" i="63"/>
  <c r="AR31" i="63"/>
  <c r="M31" i="63"/>
  <c r="AC31" i="63"/>
  <c r="AS31" i="63"/>
  <c r="N31" i="63"/>
  <c r="AD31" i="63"/>
  <c r="AT31" i="63"/>
  <c r="O31" i="63"/>
  <c r="AE31" i="63"/>
  <c r="AU31" i="63"/>
  <c r="P31" i="63"/>
  <c r="AF31" i="63"/>
  <c r="AV31" i="63"/>
  <c r="Q31" i="63"/>
  <c r="AG31" i="63"/>
  <c r="AW31" i="63"/>
  <c r="R31" i="63"/>
  <c r="AH31" i="63"/>
  <c r="AX31" i="63"/>
  <c r="S31" i="63"/>
  <c r="T31" i="63"/>
  <c r="AI31" i="63"/>
  <c r="AJ31" i="63"/>
  <c r="AK31" i="63"/>
  <c r="AY31" i="63"/>
  <c r="U31" i="63"/>
  <c r="Y30" i="65"/>
  <c r="A32" i="63"/>
  <c r="O31" i="65" l="1"/>
  <c r="Z31" i="65"/>
  <c r="AC31" i="65"/>
  <c r="J31" i="65"/>
  <c r="D31" i="65"/>
  <c r="K31" i="65"/>
  <c r="W31" i="65"/>
  <c r="AA31" i="65"/>
  <c r="AB31" i="65"/>
  <c r="G31" i="65"/>
  <c r="I31" i="65"/>
  <c r="V31" i="65"/>
  <c r="T32" i="63"/>
  <c r="AJ32" i="63"/>
  <c r="U32" i="63"/>
  <c r="AK32" i="63"/>
  <c r="V32" i="63"/>
  <c r="AL32" i="63"/>
  <c r="W32" i="63"/>
  <c r="AM32" i="63"/>
  <c r="H32" i="63"/>
  <c r="AN32" i="63"/>
  <c r="I32" i="63"/>
  <c r="AO32" i="63"/>
  <c r="J32" i="63"/>
  <c r="Z32" i="63"/>
  <c r="AP32" i="63"/>
  <c r="K32" i="63"/>
  <c r="AQ32" i="63"/>
  <c r="L32" i="63"/>
  <c r="AR32" i="63"/>
  <c r="M32" i="63"/>
  <c r="AC32" i="63"/>
  <c r="AS32" i="63"/>
  <c r="N32" i="63"/>
  <c r="AD32" i="63"/>
  <c r="AT32" i="63"/>
  <c r="O32" i="63"/>
  <c r="AE32" i="63"/>
  <c r="AU32" i="63"/>
  <c r="P32" i="63"/>
  <c r="AF32" i="63"/>
  <c r="AV32" i="63"/>
  <c r="AG32" i="63"/>
  <c r="AH32" i="63"/>
  <c r="AI32" i="63"/>
  <c r="AW32" i="63"/>
  <c r="AX32" i="63"/>
  <c r="AY32" i="63"/>
  <c r="S32" i="63"/>
  <c r="Y31" i="65"/>
  <c r="A33" i="63"/>
  <c r="AC32" i="65" l="1"/>
  <c r="Z32" i="65"/>
  <c r="K32" i="65"/>
  <c r="D32" i="65"/>
  <c r="P32" i="65"/>
  <c r="G32" i="65"/>
  <c r="I32" i="65"/>
  <c r="W32" i="65"/>
  <c r="O32" i="65"/>
  <c r="AA32" i="65"/>
  <c r="V32" i="65"/>
  <c r="Y32" i="65"/>
  <c r="B33" i="63"/>
  <c r="AH33" i="63"/>
  <c r="AX33" i="63"/>
  <c r="C33" i="63"/>
  <c r="AI33" i="63"/>
  <c r="AY33" i="63"/>
  <c r="D33" i="63"/>
  <c r="T33" i="63"/>
  <c r="AJ33" i="63"/>
  <c r="E33" i="63"/>
  <c r="U33" i="63"/>
  <c r="AK33" i="63"/>
  <c r="F33" i="63"/>
  <c r="V33" i="63"/>
  <c r="AL33" i="63"/>
  <c r="G33" i="63"/>
  <c r="W33" i="63"/>
  <c r="AM33" i="63"/>
  <c r="H33" i="63"/>
  <c r="X33" i="63"/>
  <c r="AN33" i="63"/>
  <c r="I33" i="63"/>
  <c r="Y33" i="63"/>
  <c r="AE33" i="65" s="1"/>
  <c r="AO33" i="63"/>
  <c r="J33" i="63"/>
  <c r="Z33" i="63"/>
  <c r="AP33" i="63"/>
  <c r="AQ33" i="63"/>
  <c r="L33" i="63"/>
  <c r="AR33" i="63"/>
  <c r="M33" i="63"/>
  <c r="AC33" i="63"/>
  <c r="AS33" i="63"/>
  <c r="N33" i="63"/>
  <c r="AD33" i="63"/>
  <c r="AT33" i="63"/>
  <c r="P33" i="63"/>
  <c r="AE33" i="63"/>
  <c r="AF33" i="63"/>
  <c r="AG33" i="63"/>
  <c r="AU33" i="63"/>
  <c r="AV33" i="63"/>
  <c r="AW33" i="63"/>
  <c r="O33" i="63"/>
  <c r="A34" i="63"/>
  <c r="AD33" i="65" l="1"/>
  <c r="Z33" i="65"/>
  <c r="AC33" i="65"/>
  <c r="T33" i="65"/>
  <c r="J33" i="65"/>
  <c r="K33" i="65"/>
  <c r="D33" i="65"/>
  <c r="P33" i="65"/>
  <c r="G33" i="65"/>
  <c r="W33" i="65"/>
  <c r="I33" i="65"/>
  <c r="V33" i="65"/>
  <c r="O33" i="65"/>
  <c r="AA33" i="65"/>
  <c r="AF34" i="63"/>
  <c r="AV34" i="63"/>
  <c r="AG34" i="63"/>
  <c r="AW34" i="63"/>
  <c r="B34" i="63"/>
  <c r="AH34" i="63"/>
  <c r="AX34" i="63"/>
  <c r="C34" i="63"/>
  <c r="AI34" i="63"/>
  <c r="AY34" i="63"/>
  <c r="D34" i="63"/>
  <c r="AJ34" i="63"/>
  <c r="E34" i="63"/>
  <c r="U34" i="63"/>
  <c r="AK34" i="63"/>
  <c r="F34" i="63"/>
  <c r="G34" i="63"/>
  <c r="W34" i="63"/>
  <c r="AM34" i="63"/>
  <c r="H34" i="63"/>
  <c r="G34" i="65" s="1"/>
  <c r="X34" i="63"/>
  <c r="AN34" i="63"/>
  <c r="I34" i="63"/>
  <c r="Y34" i="63"/>
  <c r="AO34" i="63"/>
  <c r="J34" i="63"/>
  <c r="Z34" i="63"/>
  <c r="AP34" i="63"/>
  <c r="AQ34" i="63"/>
  <c r="L34" i="63"/>
  <c r="K34" i="65" s="1"/>
  <c r="AR34" i="63"/>
  <c r="N34" i="63"/>
  <c r="O34" i="63"/>
  <c r="V34" i="63"/>
  <c r="AC34" i="63"/>
  <c r="AD34" i="63"/>
  <c r="AE34" i="63"/>
  <c r="AS34" i="63"/>
  <c r="AT34" i="63"/>
  <c r="AU34" i="63"/>
  <c r="M34" i="63"/>
  <c r="AL34" i="63"/>
  <c r="A35" i="63"/>
  <c r="T34" i="65" l="1"/>
  <c r="AD34" i="65"/>
  <c r="AE34" i="65"/>
  <c r="Z34" i="65"/>
  <c r="AC34" i="65"/>
  <c r="J34" i="65"/>
  <c r="D34" i="65"/>
  <c r="W34" i="65"/>
  <c r="I34" i="65"/>
  <c r="P34" i="65"/>
  <c r="O34" i="65"/>
  <c r="V34" i="65"/>
  <c r="N35" i="63"/>
  <c r="AD35" i="63"/>
  <c r="AT35" i="63"/>
  <c r="O35" i="63"/>
  <c r="AE35" i="63"/>
  <c r="AU35" i="63"/>
  <c r="AF35" i="63"/>
  <c r="AV35" i="63"/>
  <c r="Q35" i="63"/>
  <c r="AG35" i="63"/>
  <c r="AW35" i="63"/>
  <c r="B35" i="63"/>
  <c r="R35" i="63"/>
  <c r="AH35" i="63"/>
  <c r="AX35" i="63"/>
  <c r="C35" i="63"/>
  <c r="AI35" i="63"/>
  <c r="AY35" i="63"/>
  <c r="E35" i="63"/>
  <c r="U35" i="63"/>
  <c r="AK35" i="63"/>
  <c r="F35" i="63"/>
  <c r="V35" i="63"/>
  <c r="AL35" i="63"/>
  <c r="G35" i="63"/>
  <c r="W35" i="63"/>
  <c r="AM35" i="63"/>
  <c r="H35" i="63"/>
  <c r="X35" i="63"/>
  <c r="AN35" i="63"/>
  <c r="I35" i="63"/>
  <c r="Y35" i="63"/>
  <c r="AE35" i="65" s="1"/>
  <c r="AO35" i="63"/>
  <c r="J35" i="63"/>
  <c r="Z35" i="63"/>
  <c r="AP35" i="63"/>
  <c r="AC35" i="63"/>
  <c r="AJ35" i="63"/>
  <c r="AQ35" i="63"/>
  <c r="AR35" i="63"/>
  <c r="AS35" i="63"/>
  <c r="D35" i="63"/>
  <c r="L35" i="63"/>
  <c r="M35" i="63"/>
  <c r="A36" i="63"/>
  <c r="T35" i="65" l="1"/>
  <c r="AC35" i="65"/>
  <c r="AD35" i="65"/>
  <c r="AB35" i="65"/>
  <c r="P35" i="65"/>
  <c r="J35" i="65"/>
  <c r="K35" i="65"/>
  <c r="D35" i="65"/>
  <c r="Z35" i="65"/>
  <c r="O35" i="65"/>
  <c r="W35" i="65"/>
  <c r="G35" i="65"/>
  <c r="I35" i="65"/>
  <c r="V35" i="65"/>
  <c r="L36" i="63"/>
  <c r="AR36" i="63"/>
  <c r="M36" i="63"/>
  <c r="AC36" i="63"/>
  <c r="AS36" i="63"/>
  <c r="N36" i="63"/>
  <c r="AD36" i="63"/>
  <c r="AT36" i="63"/>
  <c r="O36" i="63"/>
  <c r="AE36" i="63"/>
  <c r="AU36" i="63"/>
  <c r="P36" i="63"/>
  <c r="AF36" i="63"/>
  <c r="AV36" i="63"/>
  <c r="Q36" i="63"/>
  <c r="AG36" i="63"/>
  <c r="AW36" i="63"/>
  <c r="C36" i="63"/>
  <c r="S36" i="63"/>
  <c r="AI36" i="63"/>
  <c r="AY36" i="63"/>
  <c r="D36" i="63"/>
  <c r="AJ36" i="63"/>
  <c r="E36" i="63"/>
  <c r="U36" i="63"/>
  <c r="AK36" i="63"/>
  <c r="F36" i="63"/>
  <c r="V36" i="63"/>
  <c r="AL36" i="63"/>
  <c r="G36" i="63"/>
  <c r="W36" i="63"/>
  <c r="AM36" i="63"/>
  <c r="H36" i="63"/>
  <c r="X36" i="63"/>
  <c r="AN36" i="63"/>
  <c r="AP36" i="63"/>
  <c r="AQ36" i="63"/>
  <c r="AX36" i="63"/>
  <c r="I36" i="63"/>
  <c r="J36" i="63"/>
  <c r="K36" i="63"/>
  <c r="R36" i="63"/>
  <c r="Y36" i="63"/>
  <c r="AE36" i="65" s="1"/>
  <c r="Z36" i="63"/>
  <c r="B36" i="63"/>
  <c r="AH36" i="63"/>
  <c r="AO36" i="63"/>
  <c r="A37" i="63"/>
  <c r="T36" i="65" l="1"/>
  <c r="AC36" i="65"/>
  <c r="AD36" i="65"/>
  <c r="AB36" i="65"/>
  <c r="P36" i="65"/>
  <c r="K36" i="65"/>
  <c r="D36" i="65"/>
  <c r="J36" i="65"/>
  <c r="Z36" i="65"/>
  <c r="I36" i="65"/>
  <c r="W36" i="65"/>
  <c r="V36" i="65"/>
  <c r="Y36" i="65"/>
  <c r="G36" i="65"/>
  <c r="O36" i="65"/>
  <c r="J37" i="63"/>
  <c r="Z37" i="63"/>
  <c r="AP37" i="63"/>
  <c r="K37" i="63"/>
  <c r="AQ37" i="63"/>
  <c r="L37" i="63"/>
  <c r="AR37" i="63"/>
  <c r="M37" i="63"/>
  <c r="AC37" i="63"/>
  <c r="AS37" i="63"/>
  <c r="N37" i="63"/>
  <c r="AD37" i="63"/>
  <c r="AT37" i="63"/>
  <c r="O37" i="63"/>
  <c r="AE37" i="63"/>
  <c r="AU37" i="63"/>
  <c r="Q37" i="63"/>
  <c r="AG37" i="63"/>
  <c r="AW37" i="63"/>
  <c r="B37" i="63"/>
  <c r="R37" i="63"/>
  <c r="AH37" i="63"/>
  <c r="AX37" i="63"/>
  <c r="C37" i="63"/>
  <c r="S37" i="63"/>
  <c r="AI37" i="63"/>
  <c r="AY37" i="63"/>
  <c r="D37" i="63"/>
  <c r="T37" i="63"/>
  <c r="AJ37" i="63"/>
  <c r="E37" i="63"/>
  <c r="U37" i="63"/>
  <c r="AK37" i="63"/>
  <c r="F37" i="63"/>
  <c r="V37" i="63"/>
  <c r="D37" i="65" s="1"/>
  <c r="AL37" i="63"/>
  <c r="G37" i="63"/>
  <c r="I37" i="63"/>
  <c r="X37" i="63"/>
  <c r="Y37" i="63"/>
  <c r="AF37" i="63"/>
  <c r="AM37" i="63"/>
  <c r="AN37" i="63"/>
  <c r="AO37" i="63"/>
  <c r="AV37" i="63"/>
  <c r="A38" i="63"/>
  <c r="AD37" i="65" l="1"/>
  <c r="AE37" i="65"/>
  <c r="Z37" i="65"/>
  <c r="O37" i="65"/>
  <c r="AC37" i="65"/>
  <c r="T37" i="65"/>
  <c r="I37" i="65"/>
  <c r="K37" i="65"/>
  <c r="AA37" i="65"/>
  <c r="AB37" i="65"/>
  <c r="G37" i="65"/>
  <c r="P37" i="65"/>
  <c r="V37" i="65"/>
  <c r="W37" i="65"/>
  <c r="Y37" i="65"/>
  <c r="X38" i="63"/>
  <c r="AN38" i="63"/>
  <c r="Y38" i="63"/>
  <c r="AE38" i="65" s="1"/>
  <c r="AO38" i="63"/>
  <c r="J38" i="63"/>
  <c r="Z38" i="63"/>
  <c r="AP38" i="63"/>
  <c r="K38" i="63"/>
  <c r="AQ38" i="63"/>
  <c r="L38" i="63"/>
  <c r="AR38" i="63"/>
  <c r="M38" i="63"/>
  <c r="AC38" i="63"/>
  <c r="AS38" i="63"/>
  <c r="O38" i="63"/>
  <c r="AE38" i="63"/>
  <c r="AU38" i="63"/>
  <c r="AF38" i="63"/>
  <c r="AV38" i="63"/>
  <c r="Q38" i="63"/>
  <c r="AG38" i="63"/>
  <c r="AW38" i="63"/>
  <c r="B38" i="63"/>
  <c r="R38" i="63"/>
  <c r="AH38" i="63"/>
  <c r="AX38" i="63"/>
  <c r="C38" i="63"/>
  <c r="S38" i="63"/>
  <c r="AI38" i="63"/>
  <c r="D38" i="63"/>
  <c r="T38" i="63"/>
  <c r="AJ38" i="63"/>
  <c r="F38" i="63"/>
  <c r="G38" i="63"/>
  <c r="N38" i="63"/>
  <c r="U38" i="63"/>
  <c r="V38" i="63"/>
  <c r="D38" i="65" s="1"/>
  <c r="AK38" i="63"/>
  <c r="AL38" i="63"/>
  <c r="AM38" i="63"/>
  <c r="AT38" i="63"/>
  <c r="AY38" i="63"/>
  <c r="E38" i="63"/>
  <c r="AD38" i="63"/>
  <c r="A39" i="63"/>
  <c r="AB38" i="65" l="1"/>
  <c r="P38" i="65"/>
  <c r="AD38" i="65"/>
  <c r="T38" i="65"/>
  <c r="AC38" i="65"/>
  <c r="K38" i="65"/>
  <c r="Z38" i="65"/>
  <c r="W38" i="65"/>
  <c r="G38" i="65"/>
  <c r="O38" i="65"/>
  <c r="AA38" i="65"/>
  <c r="V38" i="65"/>
  <c r="I38" i="65"/>
  <c r="Y38" i="65"/>
  <c r="V39" i="63"/>
  <c r="AL39" i="63"/>
  <c r="AM39" i="63"/>
  <c r="AN39" i="63"/>
  <c r="AO39" i="63"/>
  <c r="J39" i="63"/>
  <c r="Z39" i="63"/>
  <c r="AP39" i="63"/>
  <c r="K39" i="63"/>
  <c r="AQ39" i="63"/>
  <c r="M39" i="63"/>
  <c r="AC39" i="63"/>
  <c r="AS39" i="63"/>
  <c r="N39" i="63"/>
  <c r="AD39" i="63"/>
  <c r="AT39" i="63"/>
  <c r="O39" i="63"/>
  <c r="AE39" i="63"/>
  <c r="AU39" i="63"/>
  <c r="P39" i="63"/>
  <c r="AF39" i="63"/>
  <c r="AV39" i="63"/>
  <c r="L39" i="63"/>
  <c r="S39" i="63"/>
  <c r="T39" i="63"/>
  <c r="U39" i="63"/>
  <c r="AG39" i="63"/>
  <c r="AH39" i="63"/>
  <c r="AI39" i="63"/>
  <c r="AJ39" i="63"/>
  <c r="AK39" i="63"/>
  <c r="AR39" i="63"/>
  <c r="AW39" i="63"/>
  <c r="AX39" i="63"/>
  <c r="AY39" i="63"/>
  <c r="A40" i="63"/>
  <c r="AE39" i="65" l="1"/>
  <c r="AC39" i="65"/>
  <c r="Y39" i="65"/>
  <c r="D39" i="65"/>
  <c r="K39" i="65"/>
  <c r="W39" i="65"/>
  <c r="Z39" i="65"/>
  <c r="G39" i="65"/>
  <c r="P39" i="65"/>
  <c r="I39" i="65"/>
  <c r="O39" i="65"/>
  <c r="AA39" i="65"/>
  <c r="V39" i="65"/>
  <c r="T40" i="63"/>
  <c r="AJ40" i="63"/>
  <c r="U40" i="63"/>
  <c r="AK40" i="63"/>
  <c r="V40" i="63"/>
  <c r="AL40" i="63"/>
  <c r="W40" i="63"/>
  <c r="AM40" i="63"/>
  <c r="H40" i="63"/>
  <c r="AN40" i="63"/>
  <c r="AO40" i="63"/>
  <c r="AQ40" i="63"/>
  <c r="L40" i="63"/>
  <c r="AR40" i="63"/>
  <c r="M40" i="63"/>
  <c r="AC40" i="63"/>
  <c r="AS40" i="63"/>
  <c r="N40" i="63"/>
  <c r="AD40" i="63"/>
  <c r="AT40" i="63"/>
  <c r="AV40" i="63"/>
  <c r="AW40" i="63"/>
  <c r="J40" i="63"/>
  <c r="AX40" i="63"/>
  <c r="O40" i="63"/>
  <c r="AY40" i="63"/>
  <c r="P40" i="63"/>
  <c r="Z40" i="63"/>
  <c r="P40" i="65" s="1"/>
  <c r="AE40" i="63"/>
  <c r="AF40" i="63"/>
  <c r="AG40" i="63"/>
  <c r="AH40" i="63"/>
  <c r="AI40" i="63"/>
  <c r="AP40" i="63"/>
  <c r="AU40" i="63"/>
  <c r="A41" i="63"/>
  <c r="AC40" i="65" l="1"/>
  <c r="K40" i="65"/>
  <c r="Z40" i="65"/>
  <c r="D40" i="65"/>
  <c r="I40" i="65"/>
  <c r="V40" i="65"/>
  <c r="O40" i="65"/>
  <c r="AA40" i="65"/>
  <c r="W40" i="65"/>
  <c r="G40" i="65"/>
  <c r="B41" i="63"/>
  <c r="AH41" i="63"/>
  <c r="AX41" i="63"/>
  <c r="C41" i="63"/>
  <c r="AI41" i="63"/>
  <c r="AY41" i="63"/>
  <c r="D41" i="63"/>
  <c r="V41" i="65" s="1"/>
  <c r="T41" i="63"/>
  <c r="AJ41" i="63"/>
  <c r="E41" i="63"/>
  <c r="U41" i="63"/>
  <c r="AK41" i="63"/>
  <c r="F41" i="63"/>
  <c r="V41" i="63"/>
  <c r="AL41" i="63"/>
  <c r="G41" i="63"/>
  <c r="W41" i="63"/>
  <c r="AM41" i="63"/>
  <c r="I41" i="63"/>
  <c r="Y41" i="63"/>
  <c r="AE41" i="65" s="1"/>
  <c r="AO41" i="63"/>
  <c r="J41" i="63"/>
  <c r="Z41" i="63"/>
  <c r="AP41" i="63"/>
  <c r="AQ41" i="63"/>
  <c r="L41" i="63"/>
  <c r="AR41" i="63"/>
  <c r="AN41" i="63"/>
  <c r="AS41" i="63"/>
  <c r="AT41" i="63"/>
  <c r="AU41" i="63"/>
  <c r="H41" i="63"/>
  <c r="G41" i="65" s="1"/>
  <c r="AV41" i="63"/>
  <c r="AW41" i="63"/>
  <c r="O41" i="63"/>
  <c r="P41" i="63"/>
  <c r="X41" i="63"/>
  <c r="AC41" i="63"/>
  <c r="AD41" i="63"/>
  <c r="N41" i="63"/>
  <c r="AE41" i="63"/>
  <c r="AF41" i="63"/>
  <c r="AG41" i="63"/>
  <c r="A42" i="63"/>
  <c r="AD41" i="65" l="1"/>
  <c r="T41" i="65"/>
  <c r="AC41" i="65"/>
  <c r="J41" i="65"/>
  <c r="D41" i="65"/>
  <c r="K41" i="65"/>
  <c r="P41" i="65"/>
  <c r="I41" i="65"/>
  <c r="O41" i="65"/>
  <c r="AA41" i="65"/>
  <c r="W41" i="65"/>
  <c r="P42" i="63"/>
  <c r="AF42" i="63"/>
  <c r="AV42" i="63"/>
  <c r="Q42" i="63"/>
  <c r="AG42" i="63"/>
  <c r="AW42" i="63"/>
  <c r="B42" i="63"/>
  <c r="R42" i="63"/>
  <c r="AH42" i="63"/>
  <c r="AX42" i="63"/>
  <c r="C42" i="63"/>
  <c r="AI42" i="63"/>
  <c r="AY42" i="63"/>
  <c r="D42" i="63"/>
  <c r="T42" i="63"/>
  <c r="AJ42" i="63"/>
  <c r="E42" i="63"/>
  <c r="U42" i="63"/>
  <c r="AK42" i="63"/>
  <c r="G42" i="63"/>
  <c r="W42" i="63"/>
  <c r="AM42" i="63"/>
  <c r="H42" i="63"/>
  <c r="X42" i="63"/>
  <c r="AN42" i="63"/>
  <c r="I42" i="63"/>
  <c r="J42" i="63"/>
  <c r="Z42" i="63"/>
  <c r="AC42" i="63"/>
  <c r="AD42" i="63"/>
  <c r="AE42" i="63"/>
  <c r="AL42" i="63"/>
  <c r="AO42" i="63"/>
  <c r="AP42" i="63"/>
  <c r="AR42" i="63"/>
  <c r="L42" i="63"/>
  <c r="AS42" i="63"/>
  <c r="AT42" i="63"/>
  <c r="N42" i="63"/>
  <c r="AU42" i="63"/>
  <c r="O42" i="63"/>
  <c r="V42" i="63"/>
  <c r="Y42" i="63"/>
  <c r="AE42" i="65" s="1"/>
  <c r="AQ42" i="63"/>
  <c r="F42" i="63"/>
  <c r="A43" i="63"/>
  <c r="AD42" i="65" l="1"/>
  <c r="Z42" i="65"/>
  <c r="T42" i="65"/>
  <c r="O42" i="65"/>
  <c r="AC42" i="65"/>
  <c r="J42" i="65"/>
  <c r="W42" i="65"/>
  <c r="K42" i="65"/>
  <c r="D42" i="65"/>
  <c r="AA42" i="65"/>
  <c r="AB42" i="65"/>
  <c r="G42" i="65"/>
  <c r="I42" i="65"/>
  <c r="P42" i="65"/>
  <c r="V42" i="65"/>
  <c r="N43" i="63"/>
  <c r="AD43" i="63"/>
  <c r="AT43" i="63"/>
  <c r="O43" i="63"/>
  <c r="AE43" i="63"/>
  <c r="AU43" i="63"/>
  <c r="P43" i="63"/>
  <c r="AF43" i="63"/>
  <c r="AV43" i="63"/>
  <c r="Q43" i="63"/>
  <c r="AG43" i="63"/>
  <c r="AW43" i="63"/>
  <c r="B43" i="63"/>
  <c r="R43" i="63"/>
  <c r="AH43" i="63"/>
  <c r="AX43" i="63"/>
  <c r="C43" i="63"/>
  <c r="S43" i="63"/>
  <c r="AI43" i="63"/>
  <c r="AY43" i="63"/>
  <c r="E43" i="63"/>
  <c r="U43" i="63"/>
  <c r="AK43" i="63"/>
  <c r="F43" i="63"/>
  <c r="V43" i="63"/>
  <c r="AL43" i="63"/>
  <c r="K43" i="63"/>
  <c r="AQ43" i="63"/>
  <c r="L43" i="63"/>
  <c r="AR43" i="63"/>
  <c r="AS43" i="63"/>
  <c r="T43" i="63"/>
  <c r="W43" i="63"/>
  <c r="X43" i="63"/>
  <c r="Z43" i="63"/>
  <c r="AC43" i="63"/>
  <c r="D43" i="63"/>
  <c r="AJ43" i="63"/>
  <c r="G43" i="63"/>
  <c r="AM43" i="63"/>
  <c r="Y43" i="63"/>
  <c r="AE43" i="65" s="1"/>
  <c r="AN43" i="63"/>
  <c r="AO43" i="63"/>
  <c r="AP43" i="63"/>
  <c r="H43" i="63"/>
  <c r="I43" i="63"/>
  <c r="J43" i="63"/>
  <c r="A44" i="63"/>
  <c r="AC43" i="65" l="1"/>
  <c r="AD43" i="65"/>
  <c r="T43" i="65"/>
  <c r="AB43" i="65"/>
  <c r="J43" i="65"/>
  <c r="K43" i="65"/>
  <c r="Z43" i="65"/>
  <c r="D43" i="65"/>
  <c r="W43" i="65"/>
  <c r="V43" i="65"/>
  <c r="G43" i="65"/>
  <c r="I43" i="65"/>
  <c r="O43" i="65"/>
  <c r="AA43" i="65"/>
  <c r="P43" i="65"/>
  <c r="L44" i="63"/>
  <c r="AR44" i="63"/>
  <c r="M44" i="63"/>
  <c r="AC44" i="63"/>
  <c r="AS44" i="63"/>
  <c r="N44" i="63"/>
  <c r="AD44" i="63"/>
  <c r="AT44" i="63"/>
  <c r="O44" i="63"/>
  <c r="AE44" i="63"/>
  <c r="AU44" i="63"/>
  <c r="P44" i="63"/>
  <c r="AF44" i="63"/>
  <c r="AV44" i="63"/>
  <c r="Q44" i="63"/>
  <c r="AG44" i="63"/>
  <c r="AW44" i="63"/>
  <c r="C44" i="63"/>
  <c r="S44" i="63"/>
  <c r="AI44" i="63"/>
  <c r="AY44" i="63"/>
  <c r="D44" i="63"/>
  <c r="V44" i="65" s="1"/>
  <c r="T44" i="63"/>
  <c r="AJ44" i="63"/>
  <c r="Y44" i="63"/>
  <c r="AE44" i="65" s="1"/>
  <c r="Z44" i="63"/>
  <c r="B44" i="63"/>
  <c r="AH44" i="63"/>
  <c r="E44" i="63"/>
  <c r="AK44" i="63"/>
  <c r="F44" i="63"/>
  <c r="AL44" i="63"/>
  <c r="H44" i="63"/>
  <c r="AN44" i="63"/>
  <c r="I44" i="63"/>
  <c r="AO44" i="63"/>
  <c r="J44" i="63"/>
  <c r="AP44" i="63"/>
  <c r="K44" i="63"/>
  <c r="AQ44" i="63"/>
  <c r="R44" i="63"/>
  <c r="AX44" i="63"/>
  <c r="U44" i="63"/>
  <c r="G44" i="63"/>
  <c r="V44" i="63"/>
  <c r="D44" i="65" s="1"/>
  <c r="W44" i="63"/>
  <c r="X44" i="63"/>
  <c r="AM44" i="63"/>
  <c r="Y43" i="65"/>
  <c r="A45" i="63"/>
  <c r="AD44" i="65" l="1"/>
  <c r="T44" i="65"/>
  <c r="AC44" i="65"/>
  <c r="AB44" i="65"/>
  <c r="K44" i="65"/>
  <c r="J44" i="65"/>
  <c r="Z44" i="65"/>
  <c r="G44" i="65"/>
  <c r="O44" i="65"/>
  <c r="AA44" i="65"/>
  <c r="I44" i="65"/>
  <c r="W44" i="65"/>
  <c r="P44" i="65"/>
  <c r="Y44" i="65"/>
  <c r="J45" i="63"/>
  <c r="Z45" i="63"/>
  <c r="AP45" i="63"/>
  <c r="K45" i="63"/>
  <c r="AQ45" i="63"/>
  <c r="L45" i="63"/>
  <c r="AR45" i="63"/>
  <c r="M45" i="63"/>
  <c r="AC45" i="63"/>
  <c r="AS45" i="63"/>
  <c r="N45" i="63"/>
  <c r="AD45" i="63"/>
  <c r="AT45" i="63"/>
  <c r="O45" i="63"/>
  <c r="AE45" i="63"/>
  <c r="AU45" i="63"/>
  <c r="Q45" i="63"/>
  <c r="AG45" i="63"/>
  <c r="AW45" i="63"/>
  <c r="R45" i="63"/>
  <c r="AH45" i="63"/>
  <c r="AX45" i="63"/>
  <c r="AM45" i="63"/>
  <c r="H45" i="63"/>
  <c r="AN45" i="63"/>
  <c r="I45" i="63"/>
  <c r="AO45" i="63"/>
  <c r="P45" i="63"/>
  <c r="AV45" i="63"/>
  <c r="S45" i="63"/>
  <c r="AY45" i="63"/>
  <c r="T45" i="63"/>
  <c r="V45" i="63"/>
  <c r="D45" i="65" s="1"/>
  <c r="W45" i="63"/>
  <c r="AF45" i="63"/>
  <c r="AI45" i="63"/>
  <c r="U45" i="63"/>
  <c r="AJ45" i="63"/>
  <c r="AK45" i="63"/>
  <c r="AL45" i="63"/>
  <c r="A46" i="63"/>
  <c r="AB45" i="65" l="1"/>
  <c r="AC45" i="65"/>
  <c r="Z45" i="65"/>
  <c r="W45" i="65"/>
  <c r="J45" i="65"/>
  <c r="K45" i="65"/>
  <c r="P45" i="65"/>
  <c r="I45" i="65"/>
  <c r="O45" i="65"/>
  <c r="AA45" i="65"/>
  <c r="G45" i="65"/>
  <c r="V45" i="65"/>
  <c r="Y45" i="65"/>
  <c r="H46" i="63"/>
  <c r="AN46" i="63"/>
  <c r="I46" i="63"/>
  <c r="AO46" i="63"/>
  <c r="J46" i="63"/>
  <c r="Z46" i="63"/>
  <c r="AP46" i="63"/>
  <c r="K46" i="63"/>
  <c r="AQ46" i="63"/>
  <c r="L46" i="63"/>
  <c r="AR46" i="63"/>
  <c r="M46" i="63"/>
  <c r="AC46" i="63"/>
  <c r="AS46" i="63"/>
  <c r="O46" i="63"/>
  <c r="AE46" i="63"/>
  <c r="AU46" i="63"/>
  <c r="P46" i="63"/>
  <c r="AF46" i="63"/>
  <c r="AV46" i="63"/>
  <c r="U46" i="63"/>
  <c r="V46" i="63"/>
  <c r="D46" i="65" s="1"/>
  <c r="W46" i="63"/>
  <c r="AD46" i="63"/>
  <c r="AG46" i="63"/>
  <c r="AH46" i="63"/>
  <c r="AJ46" i="63"/>
  <c r="AK46" i="63"/>
  <c r="AL46" i="63"/>
  <c r="AM46" i="63"/>
  <c r="N46" i="63"/>
  <c r="AT46" i="63"/>
  <c r="AW46" i="63"/>
  <c r="S46" i="63"/>
  <c r="T46" i="63"/>
  <c r="AI46" i="63"/>
  <c r="AX46" i="63"/>
  <c r="AY46" i="63"/>
  <c r="A47" i="63"/>
  <c r="AC46" i="65" l="1"/>
  <c r="P46" i="65"/>
  <c r="K46" i="65"/>
  <c r="J46" i="65"/>
  <c r="Z46" i="65"/>
  <c r="W46" i="65"/>
  <c r="G46" i="65"/>
  <c r="O46" i="65"/>
  <c r="AA46" i="65"/>
  <c r="V46" i="65"/>
  <c r="I46" i="65"/>
  <c r="Y46" i="65"/>
  <c r="F47" i="63"/>
  <c r="V47" i="63"/>
  <c r="D47" i="65" s="1"/>
  <c r="AL47" i="63"/>
  <c r="G47" i="63"/>
  <c r="W47" i="63"/>
  <c r="AM47" i="63"/>
  <c r="H47" i="63"/>
  <c r="G47" i="65" s="1"/>
  <c r="X47" i="63"/>
  <c r="AN47" i="63"/>
  <c r="I47" i="63"/>
  <c r="Y47" i="63"/>
  <c r="AE47" i="65" s="1"/>
  <c r="AO47" i="63"/>
  <c r="J47" i="63"/>
  <c r="Z47" i="63"/>
  <c r="AP47" i="63"/>
  <c r="AQ47" i="63"/>
  <c r="M47" i="63"/>
  <c r="AC47" i="63"/>
  <c r="AS47" i="63"/>
  <c r="N47" i="63"/>
  <c r="AD47" i="63"/>
  <c r="AT47" i="63"/>
  <c r="C47" i="63"/>
  <c r="AI47" i="63"/>
  <c r="D47" i="63"/>
  <c r="AJ47" i="63"/>
  <c r="E47" i="63"/>
  <c r="AK47" i="63"/>
  <c r="L47" i="63"/>
  <c r="AR47" i="63"/>
  <c r="O47" i="63"/>
  <c r="AU47" i="63"/>
  <c r="P47" i="63"/>
  <c r="AV47" i="63"/>
  <c r="AX47" i="63"/>
  <c r="AY47" i="63"/>
  <c r="T47" i="63"/>
  <c r="U47" i="63"/>
  <c r="AE47" i="63"/>
  <c r="B47" i="63"/>
  <c r="AF47" i="63"/>
  <c r="AG47" i="63"/>
  <c r="AH47" i="63"/>
  <c r="AW47" i="63"/>
  <c r="A48" i="63"/>
  <c r="T47" i="65" l="1"/>
  <c r="Z47" i="65"/>
  <c r="AC47" i="65"/>
  <c r="AD47" i="65"/>
  <c r="J47" i="65"/>
  <c r="P47" i="65"/>
  <c r="K47" i="65"/>
  <c r="W47" i="65"/>
  <c r="O47" i="65"/>
  <c r="AA47" i="65"/>
  <c r="I47" i="65"/>
  <c r="V47" i="65"/>
  <c r="D48" i="63"/>
  <c r="T48" i="63"/>
  <c r="AJ48" i="63"/>
  <c r="E48" i="63"/>
  <c r="U48" i="63"/>
  <c r="AK48" i="63"/>
  <c r="F48" i="63"/>
  <c r="V48" i="63"/>
  <c r="D48" i="65" s="1"/>
  <c r="AL48" i="63"/>
  <c r="G48" i="63"/>
  <c r="W48" i="63"/>
  <c r="AM48" i="63"/>
  <c r="H48" i="63"/>
  <c r="X48" i="63"/>
  <c r="AN48" i="63"/>
  <c r="I48" i="63"/>
  <c r="Y48" i="63"/>
  <c r="AO48" i="63"/>
  <c r="AQ48" i="63"/>
  <c r="L48" i="63"/>
  <c r="K48" i="65" s="1"/>
  <c r="AR48" i="63"/>
  <c r="AW48" i="63"/>
  <c r="AX48" i="63"/>
  <c r="AY48" i="63"/>
  <c r="Z48" i="63"/>
  <c r="AC48" i="63"/>
  <c r="AD48" i="63"/>
  <c r="AF48" i="63"/>
  <c r="AG48" i="63"/>
  <c r="B48" i="63"/>
  <c r="AH48" i="63"/>
  <c r="C48" i="63"/>
  <c r="AI48" i="63"/>
  <c r="J48" i="63"/>
  <c r="AP48" i="63"/>
  <c r="M48" i="63"/>
  <c r="AS48" i="63"/>
  <c r="AE48" i="63"/>
  <c r="AT48" i="63"/>
  <c r="AU48" i="63"/>
  <c r="AV48" i="63"/>
  <c r="N48" i="63"/>
  <c r="O48" i="63"/>
  <c r="P48" i="63"/>
  <c r="A49" i="63"/>
  <c r="AD48" i="65" l="1"/>
  <c r="AE48" i="65"/>
  <c r="T48" i="65"/>
  <c r="AC48" i="65"/>
  <c r="Z48" i="65"/>
  <c r="J48" i="65"/>
  <c r="P48" i="65"/>
  <c r="I48" i="65"/>
  <c r="O48" i="65"/>
  <c r="AA48" i="65"/>
  <c r="V48" i="65"/>
  <c r="W48" i="65"/>
  <c r="G48" i="65"/>
  <c r="B49" i="63"/>
  <c r="R49" i="63"/>
  <c r="AH49" i="63"/>
  <c r="AX49" i="63"/>
  <c r="C49" i="63"/>
  <c r="D49" i="63"/>
  <c r="T49" i="63"/>
  <c r="E49" i="63"/>
  <c r="U49" i="63"/>
  <c r="F49" i="63"/>
  <c r="V49" i="63"/>
  <c r="G49" i="63"/>
  <c r="W49" i="63"/>
  <c r="AM49" i="63"/>
  <c r="I49" i="63"/>
  <c r="Y49" i="63"/>
  <c r="AE49" i="65" s="1"/>
  <c r="J49" i="63"/>
  <c r="Z49" i="63"/>
  <c r="AD49" i="63"/>
  <c r="AV49" i="63"/>
  <c r="AE49" i="63"/>
  <c r="AW49" i="63"/>
  <c r="AF49" i="63"/>
  <c r="AY49" i="63"/>
  <c r="H49" i="63"/>
  <c r="AG49" i="63"/>
  <c r="AI49" i="63"/>
  <c r="L49" i="63"/>
  <c r="AJ49" i="63"/>
  <c r="N49" i="63"/>
  <c r="AL49" i="63"/>
  <c r="O49" i="63"/>
  <c r="AN49" i="63"/>
  <c r="P49" i="63"/>
  <c r="AO49" i="63"/>
  <c r="Q49" i="63"/>
  <c r="AP49" i="63"/>
  <c r="AQ49" i="63"/>
  <c r="X49" i="63"/>
  <c r="AR49" i="63"/>
  <c r="M49" i="63"/>
  <c r="AC49" i="63"/>
  <c r="AS49" i="63"/>
  <c r="AT49" i="63"/>
  <c r="AU49" i="63"/>
  <c r="AK49" i="63"/>
  <c r="A50" i="63"/>
  <c r="Z49" i="65" l="1"/>
  <c r="AC49" i="65"/>
  <c r="AD49" i="65"/>
  <c r="T49" i="65"/>
  <c r="AB49" i="65"/>
  <c r="P49" i="65"/>
  <c r="J49" i="65"/>
  <c r="D49" i="65"/>
  <c r="K49" i="65"/>
  <c r="W49" i="65"/>
  <c r="G49" i="65"/>
  <c r="V49" i="65"/>
  <c r="O49" i="65"/>
  <c r="AA49" i="65"/>
  <c r="I49" i="65"/>
  <c r="P50" i="63"/>
  <c r="AF50" i="63"/>
  <c r="AV50" i="63"/>
  <c r="O50" i="63"/>
  <c r="AG50" i="63"/>
  <c r="AX50" i="63"/>
  <c r="Q50" i="63"/>
  <c r="AH50" i="63"/>
  <c r="AY50" i="63"/>
  <c r="R50" i="63"/>
  <c r="AI50" i="63"/>
  <c r="B50" i="63"/>
  <c r="S50" i="63"/>
  <c r="AJ50" i="63"/>
  <c r="C50" i="63"/>
  <c r="T50" i="63"/>
  <c r="AK50" i="63"/>
  <c r="D50" i="63"/>
  <c r="U50" i="63"/>
  <c r="AL50" i="63"/>
  <c r="F50" i="63"/>
  <c r="W50" i="63"/>
  <c r="AN50" i="63"/>
  <c r="G50" i="63"/>
  <c r="X50" i="63"/>
  <c r="AO50" i="63"/>
  <c r="H50" i="63"/>
  <c r="Y50" i="63"/>
  <c r="AP50" i="63"/>
  <c r="I50" i="63"/>
  <c r="Z50" i="63"/>
  <c r="AQ50" i="63"/>
  <c r="J50" i="63"/>
  <c r="AR50" i="63"/>
  <c r="K50" i="63"/>
  <c r="AS50" i="63"/>
  <c r="V50" i="63"/>
  <c r="AC50" i="63"/>
  <c r="AD50" i="63"/>
  <c r="AE50" i="63"/>
  <c r="AM50" i="63"/>
  <c r="AT50" i="63"/>
  <c r="AU50" i="63"/>
  <c r="AW50" i="63"/>
  <c r="E50" i="63"/>
  <c r="L50" i="63"/>
  <c r="M50" i="63"/>
  <c r="N50" i="63"/>
  <c r="A51" i="63"/>
  <c r="T50" i="65" l="1"/>
  <c r="P50" i="65"/>
  <c r="AD50" i="65"/>
  <c r="AE50" i="65"/>
  <c r="O50" i="65"/>
  <c r="AC50" i="65"/>
  <c r="K50" i="65"/>
  <c r="J50" i="65"/>
  <c r="W50" i="65"/>
  <c r="D50" i="65"/>
  <c r="Z50" i="65"/>
  <c r="G50" i="65"/>
  <c r="AA50" i="65"/>
  <c r="AB50" i="65"/>
  <c r="V50" i="65"/>
  <c r="I50" i="65"/>
  <c r="Y50" i="65"/>
  <c r="N51" i="63"/>
  <c r="AD51" i="63"/>
  <c r="AT51" i="63"/>
  <c r="Q51" i="63"/>
  <c r="AH51" i="63"/>
  <c r="AY51" i="63"/>
  <c r="R51" i="63"/>
  <c r="AI51" i="63"/>
  <c r="B51" i="63"/>
  <c r="S51" i="63"/>
  <c r="AJ51" i="63"/>
  <c r="C51" i="63"/>
  <c r="T51" i="63"/>
  <c r="AK51" i="63"/>
  <c r="D51" i="63"/>
  <c r="U51" i="63"/>
  <c r="AL51" i="63"/>
  <c r="E51" i="63"/>
  <c r="V51" i="63"/>
  <c r="D51" i="65" s="1"/>
  <c r="AM51" i="63"/>
  <c r="G51" i="63"/>
  <c r="X51" i="63"/>
  <c r="AO51" i="63"/>
  <c r="H51" i="63"/>
  <c r="Y51" i="63"/>
  <c r="AE51" i="65" s="1"/>
  <c r="AP51" i="63"/>
  <c r="I51" i="63"/>
  <c r="Z51" i="63"/>
  <c r="AQ51" i="63"/>
  <c r="J51" i="63"/>
  <c r="AR51" i="63"/>
  <c r="K51" i="63"/>
  <c r="AS51" i="63"/>
  <c r="L51" i="63"/>
  <c r="K51" i="65" s="1"/>
  <c r="AC51" i="63"/>
  <c r="AU51" i="63"/>
  <c r="AN51" i="63"/>
  <c r="AV51" i="63"/>
  <c r="AW51" i="63"/>
  <c r="AX51" i="63"/>
  <c r="M51" i="63"/>
  <c r="O51" i="63"/>
  <c r="P51" i="63"/>
  <c r="W51" i="63"/>
  <c r="F51" i="63"/>
  <c r="AE51" i="63"/>
  <c r="AF51" i="63"/>
  <c r="AG51" i="63"/>
  <c r="A52" i="63"/>
  <c r="T51" i="65" l="1"/>
  <c r="AB51" i="65"/>
  <c r="AD51" i="65"/>
  <c r="Z51" i="65"/>
  <c r="AC51" i="65"/>
  <c r="J51" i="65"/>
  <c r="W51" i="65"/>
  <c r="P51" i="65"/>
  <c r="G51" i="65"/>
  <c r="O51" i="65"/>
  <c r="AA51" i="65"/>
  <c r="I51" i="65"/>
  <c r="V51" i="65"/>
  <c r="Q52" i="63"/>
  <c r="Z52" i="65" s="1"/>
  <c r="AG52" i="63"/>
  <c r="AW52" i="63"/>
  <c r="B52" i="63"/>
  <c r="R52" i="63"/>
  <c r="AH52" i="63"/>
  <c r="AX52" i="63"/>
  <c r="C52" i="63"/>
  <c r="S52" i="63"/>
  <c r="AI52" i="63"/>
  <c r="AY52" i="63"/>
  <c r="D52" i="63"/>
  <c r="T52" i="63"/>
  <c r="AJ52" i="63"/>
  <c r="E52" i="63"/>
  <c r="U52" i="63"/>
  <c r="AK52" i="63"/>
  <c r="F52" i="63"/>
  <c r="V52" i="63"/>
  <c r="D52" i="65" s="1"/>
  <c r="AL52" i="63"/>
  <c r="H52" i="63"/>
  <c r="X52" i="63"/>
  <c r="AN52" i="63"/>
  <c r="I52" i="63"/>
  <c r="Y52" i="63"/>
  <c r="AE52" i="65" s="1"/>
  <c r="AO52" i="63"/>
  <c r="J52" i="63"/>
  <c r="Z52" i="63"/>
  <c r="AP52" i="63"/>
  <c r="K52" i="63"/>
  <c r="AQ52" i="63"/>
  <c r="L52" i="63"/>
  <c r="AR52" i="63"/>
  <c r="M52" i="63"/>
  <c r="AC52" i="63"/>
  <c r="AS52" i="63"/>
  <c r="G52" i="63"/>
  <c r="N52" i="63"/>
  <c r="O52" i="63"/>
  <c r="P52" i="63"/>
  <c r="AD52" i="63"/>
  <c r="AE52" i="63"/>
  <c r="AF52" i="63"/>
  <c r="AM52" i="63"/>
  <c r="W52" i="63"/>
  <c r="AT52" i="63"/>
  <c r="AU52" i="63"/>
  <c r="AV52" i="63"/>
  <c r="Y51" i="65"/>
  <c r="A53" i="63"/>
  <c r="AB52" i="65" l="1"/>
  <c r="AD52" i="65"/>
  <c r="J52" i="65"/>
  <c r="T52" i="65"/>
  <c r="AC52" i="65"/>
  <c r="K52" i="65"/>
  <c r="I52" i="65"/>
  <c r="W52" i="65"/>
  <c r="O52" i="65"/>
  <c r="AA52" i="65"/>
  <c r="P52" i="65"/>
  <c r="G52" i="65"/>
  <c r="V52" i="65"/>
  <c r="O53" i="63"/>
  <c r="AE53" i="63"/>
  <c r="AU53" i="63"/>
  <c r="P53" i="63"/>
  <c r="AF53" i="63"/>
  <c r="AV53" i="63"/>
  <c r="AG53" i="63"/>
  <c r="AW53" i="63"/>
  <c r="AH53" i="63"/>
  <c r="AX53" i="63"/>
  <c r="S53" i="63"/>
  <c r="AI53" i="63"/>
  <c r="AY53" i="63"/>
  <c r="T53" i="63"/>
  <c r="AJ53" i="63"/>
  <c r="V53" i="63"/>
  <c r="D53" i="65" s="1"/>
  <c r="AL53" i="63"/>
  <c r="W53" i="63"/>
  <c r="AM53" i="63"/>
  <c r="H53" i="63"/>
  <c r="AN53" i="63"/>
  <c r="I53" i="63"/>
  <c r="AO53" i="63"/>
  <c r="J53" i="63"/>
  <c r="Z53" i="63"/>
  <c r="P53" i="65" s="1"/>
  <c r="AP53" i="63"/>
  <c r="K53" i="63"/>
  <c r="AQ53" i="63"/>
  <c r="L53" i="63"/>
  <c r="K53" i="65" s="1"/>
  <c r="M53" i="63"/>
  <c r="N53" i="63"/>
  <c r="U53" i="63"/>
  <c r="AC53" i="63"/>
  <c r="AD53" i="63"/>
  <c r="AR53" i="63"/>
  <c r="AS53" i="63"/>
  <c r="AT53" i="63"/>
  <c r="AK53" i="63"/>
  <c r="Y52" i="65"/>
  <c r="A54" i="63"/>
  <c r="Z53" i="65" l="1"/>
  <c r="AC53" i="65"/>
  <c r="J53" i="65"/>
  <c r="I53" i="65"/>
  <c r="W53" i="65"/>
  <c r="G53" i="65"/>
  <c r="V53" i="65"/>
  <c r="O53" i="65"/>
  <c r="AA53" i="65"/>
  <c r="M54" i="63"/>
  <c r="AC54" i="63"/>
  <c r="AS54" i="63"/>
  <c r="AD54" i="63"/>
  <c r="AT54" i="63"/>
  <c r="O54" i="63"/>
  <c r="AE54" i="63"/>
  <c r="AU54" i="63"/>
  <c r="P54" i="63"/>
  <c r="AF54" i="63"/>
  <c r="AV54" i="63"/>
  <c r="AG54" i="63"/>
  <c r="AW54" i="63"/>
  <c r="AH54" i="63"/>
  <c r="AX54" i="63"/>
  <c r="T54" i="63"/>
  <c r="AJ54" i="63"/>
  <c r="U54" i="63"/>
  <c r="AK54" i="63"/>
  <c r="AL54" i="63"/>
  <c r="W54" i="63"/>
  <c r="AM54" i="63"/>
  <c r="H54" i="63"/>
  <c r="AN54" i="63"/>
  <c r="I54" i="63"/>
  <c r="AO54" i="63"/>
  <c r="Z54" i="63"/>
  <c r="AI54" i="63"/>
  <c r="AP54" i="63"/>
  <c r="AQ54" i="63"/>
  <c r="AR54" i="63"/>
  <c r="J54" i="63"/>
  <c r="L54" i="63"/>
  <c r="AY54" i="63"/>
  <c r="Y53" i="65"/>
  <c r="A55" i="63"/>
  <c r="AE54" i="65" l="1"/>
  <c r="AC54" i="65"/>
  <c r="P54" i="65"/>
  <c r="K54" i="65"/>
  <c r="D54" i="65"/>
  <c r="W54" i="65"/>
  <c r="Z54" i="65"/>
  <c r="I54" i="65"/>
  <c r="O54" i="65"/>
  <c r="AA54" i="65"/>
  <c r="V54" i="65"/>
  <c r="G54" i="65"/>
  <c r="AQ55" i="63"/>
  <c r="L55" i="63"/>
  <c r="K55" i="65" s="1"/>
  <c r="AR55" i="63"/>
  <c r="M55" i="63"/>
  <c r="AC55" i="63"/>
  <c r="AS55" i="63"/>
  <c r="AD55" i="63"/>
  <c r="AT55" i="63"/>
  <c r="AE55" i="63"/>
  <c r="AU55" i="63"/>
  <c r="P55" i="63"/>
  <c r="AF55" i="63"/>
  <c r="AV55" i="63"/>
  <c r="B55" i="63"/>
  <c r="AH55" i="63"/>
  <c r="AX55" i="63"/>
  <c r="C55" i="63"/>
  <c r="AI55" i="63"/>
  <c r="AY55" i="63"/>
  <c r="D55" i="63"/>
  <c r="V55" i="65" s="1"/>
  <c r="AJ55" i="63"/>
  <c r="E55" i="63"/>
  <c r="U55" i="63"/>
  <c r="AK55" i="63"/>
  <c r="F55" i="63"/>
  <c r="AL55" i="63"/>
  <c r="G55" i="63"/>
  <c r="W55" i="63"/>
  <c r="AM55" i="63"/>
  <c r="AG55" i="63"/>
  <c r="AN55" i="63"/>
  <c r="AO55" i="63"/>
  <c r="AP55" i="63"/>
  <c r="AW55" i="63"/>
  <c r="H55" i="63"/>
  <c r="I55" i="63"/>
  <c r="J55" i="63"/>
  <c r="X55" i="63"/>
  <c r="Y55" i="63"/>
  <c r="AE55" i="65" s="1"/>
  <c r="Z55" i="63"/>
  <c r="A56" i="63"/>
  <c r="AC55" i="65" l="1"/>
  <c r="AD55" i="65"/>
  <c r="T55" i="65"/>
  <c r="D55" i="65"/>
  <c r="G55" i="65"/>
  <c r="W55" i="65"/>
  <c r="I55" i="65"/>
  <c r="O55" i="65"/>
  <c r="P55" i="65"/>
  <c r="I56" i="63"/>
  <c r="Y56" i="63"/>
  <c r="AO56" i="63"/>
  <c r="J56" i="63"/>
  <c r="Z56" i="63"/>
  <c r="AP56" i="63"/>
  <c r="AQ56" i="63"/>
  <c r="L56" i="63"/>
  <c r="AR56" i="63"/>
  <c r="M56" i="63"/>
  <c r="AC56" i="63"/>
  <c r="AS56" i="63"/>
  <c r="AD56" i="63"/>
  <c r="AT56" i="63"/>
  <c r="P56" i="63"/>
  <c r="AF56" i="63"/>
  <c r="AV56" i="63"/>
  <c r="Q56" i="63"/>
  <c r="AG56" i="63"/>
  <c r="AW56" i="63"/>
  <c r="B56" i="63"/>
  <c r="R56" i="63"/>
  <c r="AH56" i="63"/>
  <c r="AX56" i="63"/>
  <c r="C56" i="63"/>
  <c r="AI56" i="63"/>
  <c r="AY56" i="63"/>
  <c r="D56" i="63"/>
  <c r="AJ56" i="63"/>
  <c r="E56" i="63"/>
  <c r="U56" i="63"/>
  <c r="AK56" i="63"/>
  <c r="AU56" i="63"/>
  <c r="F56" i="63"/>
  <c r="G56" i="63"/>
  <c r="H56" i="63"/>
  <c r="G56" i="65" s="1"/>
  <c r="W56" i="63"/>
  <c r="X56" i="63"/>
  <c r="AE56" i="63"/>
  <c r="AL56" i="63"/>
  <c r="AM56" i="63"/>
  <c r="AN56" i="63"/>
  <c r="A57" i="63"/>
  <c r="T56" i="65" l="1"/>
  <c r="AD56" i="65"/>
  <c r="AE56" i="65"/>
  <c r="Z56" i="65"/>
  <c r="AB56" i="65"/>
  <c r="AC56" i="65"/>
  <c r="I56" i="65"/>
  <c r="K56" i="65"/>
  <c r="D56" i="65"/>
  <c r="P56" i="65"/>
  <c r="O56" i="65"/>
  <c r="V56" i="65"/>
  <c r="W56" i="65"/>
  <c r="G57" i="63"/>
  <c r="W57" i="63"/>
  <c r="AM57" i="63"/>
  <c r="H57" i="63"/>
  <c r="X57" i="63"/>
  <c r="AN57" i="63"/>
  <c r="I57" i="63"/>
  <c r="Y57" i="63"/>
  <c r="AE57" i="65" s="1"/>
  <c r="AO57" i="63"/>
  <c r="J57" i="63"/>
  <c r="Z57" i="63"/>
  <c r="AP57" i="63"/>
  <c r="K57" i="63"/>
  <c r="AQ57" i="63"/>
  <c r="L57" i="63"/>
  <c r="AR57" i="63"/>
  <c r="N57" i="63"/>
  <c r="AD57" i="63"/>
  <c r="AT57" i="63"/>
  <c r="AE57" i="63"/>
  <c r="AU57" i="63"/>
  <c r="P57" i="63"/>
  <c r="AF57" i="63"/>
  <c r="AV57" i="63"/>
  <c r="Q57" i="63"/>
  <c r="Z57" i="65" s="1"/>
  <c r="AG57" i="63"/>
  <c r="AW57" i="63"/>
  <c r="B57" i="63"/>
  <c r="R57" i="63"/>
  <c r="AH57" i="63"/>
  <c r="AX57" i="63"/>
  <c r="C57" i="63"/>
  <c r="S57" i="63"/>
  <c r="AI57" i="63"/>
  <c r="AY57" i="63"/>
  <c r="D57" i="63"/>
  <c r="E57" i="63"/>
  <c r="F57" i="63"/>
  <c r="M57" i="63"/>
  <c r="U57" i="63"/>
  <c r="V57" i="63"/>
  <c r="AJ57" i="63"/>
  <c r="AK57" i="63"/>
  <c r="AL57" i="63"/>
  <c r="AS57" i="63"/>
  <c r="AC57" i="63"/>
  <c r="A58" i="63"/>
  <c r="AB57" i="65" l="1"/>
  <c r="AD57" i="65"/>
  <c r="T57" i="65"/>
  <c r="AC57" i="65"/>
  <c r="P57" i="65"/>
  <c r="J57" i="65"/>
  <c r="K57" i="65"/>
  <c r="D57" i="65"/>
  <c r="G57" i="65"/>
  <c r="V57" i="65"/>
  <c r="O57" i="65"/>
  <c r="W57" i="65"/>
  <c r="I57" i="65"/>
  <c r="E58" i="63"/>
  <c r="U58" i="63"/>
  <c r="AK58" i="63"/>
  <c r="F58" i="63"/>
  <c r="V58" i="63"/>
  <c r="D58" i="65" s="1"/>
  <c r="AL58" i="63"/>
  <c r="G58" i="63"/>
  <c r="W58" i="63"/>
  <c r="AM58" i="63"/>
  <c r="H58" i="63"/>
  <c r="G58" i="65" s="1"/>
  <c r="X58" i="63"/>
  <c r="AN58" i="63"/>
  <c r="I58" i="63"/>
  <c r="Y58" i="63"/>
  <c r="AO58" i="63"/>
  <c r="J58" i="63"/>
  <c r="Z58" i="63"/>
  <c r="AP58" i="63"/>
  <c r="L58" i="63"/>
  <c r="AR58" i="63"/>
  <c r="M58" i="63"/>
  <c r="AC58" i="63"/>
  <c r="AS58" i="63"/>
  <c r="N58" i="63"/>
  <c r="AD58" i="63"/>
  <c r="AT58" i="63"/>
  <c r="O58" i="63"/>
  <c r="AE58" i="63"/>
  <c r="AU58" i="63"/>
  <c r="P58" i="63"/>
  <c r="AF58" i="63"/>
  <c r="AV58" i="63"/>
  <c r="Q58" i="63"/>
  <c r="AG58" i="63"/>
  <c r="AW58" i="63"/>
  <c r="K58" i="63"/>
  <c r="R58" i="63"/>
  <c r="S58" i="63"/>
  <c r="T58" i="63"/>
  <c r="AH58" i="63"/>
  <c r="AI58" i="63"/>
  <c r="AJ58" i="63"/>
  <c r="AX58" i="63"/>
  <c r="AY58" i="63"/>
  <c r="B58" i="63"/>
  <c r="C58" i="63"/>
  <c r="D58" i="63"/>
  <c r="AQ58" i="63"/>
  <c r="Y57" i="65"/>
  <c r="A59" i="63"/>
  <c r="T58" i="65" l="1"/>
  <c r="P58" i="65"/>
  <c r="AD58" i="65"/>
  <c r="AE58" i="65"/>
  <c r="O58" i="65"/>
  <c r="AC58" i="65"/>
  <c r="J58" i="65"/>
  <c r="K58" i="65"/>
  <c r="Z58" i="65"/>
  <c r="AA58" i="65"/>
  <c r="AB58" i="65"/>
  <c r="W58" i="65"/>
  <c r="V58" i="65"/>
  <c r="I58" i="65"/>
  <c r="S59" i="63"/>
  <c r="AI59" i="63"/>
  <c r="AY59" i="63"/>
  <c r="T59" i="63"/>
  <c r="AJ59" i="63"/>
  <c r="U59" i="63"/>
  <c r="AK59" i="63"/>
  <c r="V59" i="63"/>
  <c r="AL59" i="63"/>
  <c r="W59" i="63"/>
  <c r="AM59" i="63"/>
  <c r="H59" i="63"/>
  <c r="AN59" i="63"/>
  <c r="J59" i="63"/>
  <c r="Z59" i="63"/>
  <c r="AP59" i="63"/>
  <c r="K59" i="63"/>
  <c r="AQ59" i="63"/>
  <c r="L59" i="63"/>
  <c r="AR59" i="63"/>
  <c r="M59" i="63"/>
  <c r="AC59" i="63"/>
  <c r="AS59" i="63"/>
  <c r="N59" i="63"/>
  <c r="AD59" i="63"/>
  <c r="AT59" i="63"/>
  <c r="O59" i="63"/>
  <c r="AE59" i="63"/>
  <c r="AU59" i="63"/>
  <c r="AF59" i="63"/>
  <c r="AG59" i="63"/>
  <c r="AH59" i="63"/>
  <c r="AO59" i="63"/>
  <c r="AV59" i="63"/>
  <c r="AW59" i="63"/>
  <c r="AX59" i="63"/>
  <c r="I59" i="63"/>
  <c r="P59" i="63"/>
  <c r="Q59" i="63"/>
  <c r="R59" i="63"/>
  <c r="Y58" i="65"/>
  <c r="A60" i="63"/>
  <c r="J59" i="65" l="1"/>
  <c r="AC59" i="65"/>
  <c r="AB59" i="65"/>
  <c r="D59" i="65"/>
  <c r="K59" i="65"/>
  <c r="Z59" i="65"/>
  <c r="G59" i="65"/>
  <c r="I59" i="65"/>
  <c r="P59" i="65"/>
  <c r="V59" i="65"/>
  <c r="W59" i="65"/>
  <c r="O59" i="65"/>
  <c r="AA59" i="65"/>
  <c r="AG60" i="63"/>
  <c r="AW60" i="63"/>
  <c r="AH60" i="63"/>
  <c r="AX60" i="63"/>
  <c r="S60" i="63"/>
  <c r="AI60" i="63"/>
  <c r="AY60" i="63"/>
  <c r="T60" i="63"/>
  <c r="AJ60" i="63"/>
  <c r="U60" i="63"/>
  <c r="AK60" i="63"/>
  <c r="V60" i="63"/>
  <c r="D60" i="65" s="1"/>
  <c r="AL60" i="63"/>
  <c r="H60" i="63"/>
  <c r="AN60" i="63"/>
  <c r="I60" i="63"/>
  <c r="AO60" i="63"/>
  <c r="J60" i="63"/>
  <c r="Z60" i="63"/>
  <c r="AP60" i="63"/>
  <c r="K60" i="63"/>
  <c r="AQ60" i="63"/>
  <c r="L60" i="63"/>
  <c r="AR60" i="63"/>
  <c r="M60" i="63"/>
  <c r="AC60" i="63"/>
  <c r="AS60" i="63"/>
  <c r="AM60" i="63"/>
  <c r="AT60" i="63"/>
  <c r="AU60" i="63"/>
  <c r="AV60" i="63"/>
  <c r="N60" i="63"/>
  <c r="O60" i="63"/>
  <c r="P60" i="63"/>
  <c r="W60" i="63"/>
  <c r="AD60" i="63"/>
  <c r="AE60" i="63"/>
  <c r="AF60" i="63"/>
  <c r="Y59" i="65"/>
  <c r="A61" i="63"/>
  <c r="AC60" i="65" l="1"/>
  <c r="J60" i="65"/>
  <c r="K60" i="65"/>
  <c r="O60" i="65"/>
  <c r="AA60" i="65"/>
  <c r="I60" i="65"/>
  <c r="W60" i="65"/>
  <c r="P60" i="65"/>
  <c r="G60" i="65"/>
  <c r="V60" i="65"/>
  <c r="O61" i="63"/>
  <c r="AE61" i="63"/>
  <c r="AU61" i="63"/>
  <c r="P61" i="63"/>
  <c r="AF61" i="63"/>
  <c r="AV61" i="63"/>
  <c r="AG61" i="63"/>
  <c r="AW61" i="63"/>
  <c r="B61" i="63"/>
  <c r="AH61" i="63"/>
  <c r="AX61" i="63"/>
  <c r="C61" i="63"/>
  <c r="AI61" i="63"/>
  <c r="AY61" i="63"/>
  <c r="D61" i="63"/>
  <c r="T61" i="63"/>
  <c r="AJ61" i="63"/>
  <c r="F61" i="63"/>
  <c r="V61" i="63"/>
  <c r="D61" i="65" s="1"/>
  <c r="AL61" i="63"/>
  <c r="G61" i="63"/>
  <c r="W61" i="63"/>
  <c r="AM61" i="63"/>
  <c r="H61" i="63"/>
  <c r="X61" i="63"/>
  <c r="AN61" i="63"/>
  <c r="I61" i="63"/>
  <c r="Y61" i="63"/>
  <c r="AE61" i="65" s="1"/>
  <c r="AO61" i="63"/>
  <c r="J61" i="63"/>
  <c r="Z61" i="63"/>
  <c r="P61" i="65" s="1"/>
  <c r="AP61" i="63"/>
  <c r="AQ61" i="63"/>
  <c r="E61" i="63"/>
  <c r="L61" i="63"/>
  <c r="M61" i="63"/>
  <c r="N61" i="63"/>
  <c r="AC61" i="63"/>
  <c r="AD61" i="63"/>
  <c r="AK61" i="63"/>
  <c r="U61" i="63"/>
  <c r="AR61" i="63"/>
  <c r="AS61" i="63"/>
  <c r="AT61" i="63"/>
  <c r="Y60" i="65"/>
  <c r="A62" i="63"/>
  <c r="T61" i="65" l="1"/>
  <c r="Z61" i="65"/>
  <c r="AC61" i="65"/>
  <c r="AD61" i="65"/>
  <c r="J61" i="65"/>
  <c r="I61" i="65"/>
  <c r="K61" i="65"/>
  <c r="O61" i="65"/>
  <c r="AA61" i="65"/>
  <c r="V61" i="65"/>
  <c r="W61" i="65"/>
  <c r="G61" i="65"/>
  <c r="M62" i="63"/>
  <c r="AC62" i="63"/>
  <c r="AS62" i="63"/>
  <c r="N62" i="63"/>
  <c r="AD62" i="63"/>
  <c r="AT62" i="63"/>
  <c r="O62" i="63"/>
  <c r="AE62" i="63"/>
  <c r="AU62" i="63"/>
  <c r="P62" i="63"/>
  <c r="AF62" i="63"/>
  <c r="AV62" i="63"/>
  <c r="AG62" i="63"/>
  <c r="AW62" i="63"/>
  <c r="B62" i="63"/>
  <c r="AH62" i="63"/>
  <c r="AX62" i="63"/>
  <c r="D62" i="63"/>
  <c r="T62" i="63"/>
  <c r="AJ62" i="63"/>
  <c r="E62" i="63"/>
  <c r="U62" i="63"/>
  <c r="AK62" i="63"/>
  <c r="F62" i="63"/>
  <c r="V62" i="63"/>
  <c r="AL62" i="63"/>
  <c r="G62" i="63"/>
  <c r="W62" i="63"/>
  <c r="AM62" i="63"/>
  <c r="H62" i="63"/>
  <c r="X62" i="63"/>
  <c r="AN62" i="63"/>
  <c r="I62" i="63"/>
  <c r="Y62" i="63"/>
  <c r="AE62" i="65" s="1"/>
  <c r="AO62" i="63"/>
  <c r="C62" i="63"/>
  <c r="J62" i="63"/>
  <c r="L62" i="63"/>
  <c r="Z62" i="63"/>
  <c r="AP62" i="63"/>
  <c r="AQ62" i="63"/>
  <c r="AR62" i="63"/>
  <c r="AY62" i="63"/>
  <c r="AI62" i="63"/>
  <c r="A63" i="63"/>
  <c r="J62" i="65" l="1"/>
  <c r="P62" i="65"/>
  <c r="AC62" i="65"/>
  <c r="AD62" i="65"/>
  <c r="T62" i="65"/>
  <c r="D62" i="65"/>
  <c r="I62" i="65"/>
  <c r="K62" i="65"/>
  <c r="Z62" i="65"/>
  <c r="G62" i="65"/>
  <c r="W62" i="65"/>
  <c r="O62" i="65"/>
  <c r="AA62" i="65"/>
  <c r="V62" i="65"/>
  <c r="AQ63" i="63"/>
  <c r="L63" i="63"/>
  <c r="K63" i="65" s="1"/>
  <c r="AR63" i="63"/>
  <c r="M63" i="63"/>
  <c r="AC63" i="63"/>
  <c r="AS63" i="63"/>
  <c r="N63" i="63"/>
  <c r="AD63" i="63"/>
  <c r="AT63" i="63"/>
  <c r="O63" i="63"/>
  <c r="AE63" i="63"/>
  <c r="AU63" i="63"/>
  <c r="P63" i="63"/>
  <c r="AF63" i="63"/>
  <c r="AV63" i="63"/>
  <c r="B63" i="63"/>
  <c r="R63" i="63"/>
  <c r="AH63" i="63"/>
  <c r="AX63" i="63"/>
  <c r="C63" i="63"/>
  <c r="AI63" i="63"/>
  <c r="AY63" i="63"/>
  <c r="D63" i="63"/>
  <c r="T63" i="63"/>
  <c r="AJ63" i="63"/>
  <c r="E63" i="63"/>
  <c r="U63" i="63"/>
  <c r="AK63" i="63"/>
  <c r="F63" i="63"/>
  <c r="V63" i="63"/>
  <c r="AL63" i="63"/>
  <c r="G63" i="63"/>
  <c r="W63" i="63"/>
  <c r="AM63" i="63"/>
  <c r="Q63" i="63"/>
  <c r="X63" i="63"/>
  <c r="Y63" i="63"/>
  <c r="AE63" i="65" s="1"/>
  <c r="Z63" i="63"/>
  <c r="AG63" i="63"/>
  <c r="AN63" i="63"/>
  <c r="AO63" i="63"/>
  <c r="AP63" i="63"/>
  <c r="H63" i="63"/>
  <c r="I63" i="63"/>
  <c r="J63" i="63"/>
  <c r="AW63" i="63"/>
  <c r="A64" i="63"/>
  <c r="AB63" i="65" l="1"/>
  <c r="AD63" i="65"/>
  <c r="T63" i="65"/>
  <c r="J63" i="65"/>
  <c r="AC63" i="65"/>
  <c r="Z63" i="65"/>
  <c r="D63" i="65"/>
  <c r="W63" i="65"/>
  <c r="V63" i="65"/>
  <c r="I63" i="65"/>
  <c r="G63" i="65"/>
  <c r="O63" i="65"/>
  <c r="AA63" i="65"/>
  <c r="P63" i="65"/>
  <c r="I64" i="63"/>
  <c r="Y64" i="63"/>
  <c r="AO64" i="63"/>
  <c r="J64" i="63"/>
  <c r="Z64" i="63"/>
  <c r="AP64" i="63"/>
  <c r="K64" i="63"/>
  <c r="AQ64" i="63"/>
  <c r="L64" i="63"/>
  <c r="AR64" i="63"/>
  <c r="M64" i="63"/>
  <c r="AC64" i="63"/>
  <c r="AS64" i="63"/>
  <c r="N64" i="63"/>
  <c r="AD64" i="63"/>
  <c r="AT64" i="63"/>
  <c r="AF64" i="63"/>
  <c r="AV64" i="63"/>
  <c r="Q64" i="63"/>
  <c r="AG64" i="63"/>
  <c r="AW64" i="63"/>
  <c r="B64" i="63"/>
  <c r="R64" i="63"/>
  <c r="AH64" i="63"/>
  <c r="AX64" i="63"/>
  <c r="C64" i="63"/>
  <c r="S64" i="63"/>
  <c r="AI64" i="63"/>
  <c r="AY64" i="63"/>
  <c r="D64" i="63"/>
  <c r="T64" i="63"/>
  <c r="AJ64" i="63"/>
  <c r="E64" i="63"/>
  <c r="U64" i="63"/>
  <c r="AK64" i="63"/>
  <c r="AE64" i="63"/>
  <c r="AL64" i="63"/>
  <c r="AM64" i="63"/>
  <c r="AN64" i="63"/>
  <c r="AU64" i="63"/>
  <c r="F64" i="63"/>
  <c r="G64" i="63"/>
  <c r="H64" i="63"/>
  <c r="O64" i="63"/>
  <c r="V64" i="63"/>
  <c r="D64" i="65" s="1"/>
  <c r="W64" i="63"/>
  <c r="X64" i="63"/>
  <c r="A65" i="63"/>
  <c r="Z64" i="65" l="1"/>
  <c r="AD64" i="65"/>
  <c r="AE64" i="65"/>
  <c r="AB64" i="65"/>
  <c r="AC64" i="65"/>
  <c r="T64" i="65"/>
  <c r="J64" i="65"/>
  <c r="I64" i="65"/>
  <c r="K64" i="65"/>
  <c r="V64" i="65"/>
  <c r="G64" i="65"/>
  <c r="W64" i="65"/>
  <c r="P64" i="65"/>
  <c r="O64" i="65"/>
  <c r="AA64" i="65"/>
  <c r="G65" i="63"/>
  <c r="W65" i="63"/>
  <c r="AM65" i="63"/>
  <c r="H65" i="63"/>
  <c r="X65" i="63"/>
  <c r="AN65" i="63"/>
  <c r="I65" i="63"/>
  <c r="Y65" i="63"/>
  <c r="AE65" i="65" s="1"/>
  <c r="AO65" i="63"/>
  <c r="J65" i="63"/>
  <c r="Z65" i="63"/>
  <c r="AP65" i="63"/>
  <c r="K65" i="63"/>
  <c r="AQ65" i="63"/>
  <c r="L65" i="63"/>
  <c r="AR65" i="63"/>
  <c r="N65" i="63"/>
  <c r="AD65" i="63"/>
  <c r="AT65" i="63"/>
  <c r="O65" i="63"/>
  <c r="AE65" i="63"/>
  <c r="AU65" i="63"/>
  <c r="AF65" i="63"/>
  <c r="AV65" i="63"/>
  <c r="Q65" i="63"/>
  <c r="Z65" i="65" s="1"/>
  <c r="AG65" i="63"/>
  <c r="AW65" i="63"/>
  <c r="B65" i="63"/>
  <c r="R65" i="63"/>
  <c r="AH65" i="63"/>
  <c r="AX65" i="63"/>
  <c r="C65" i="63"/>
  <c r="S65" i="63"/>
  <c r="AI65" i="63"/>
  <c r="AY65" i="63"/>
  <c r="AS65" i="63"/>
  <c r="D65" i="63"/>
  <c r="E65" i="63"/>
  <c r="F65" i="63"/>
  <c r="T65" i="63"/>
  <c r="U65" i="63"/>
  <c r="V65" i="63"/>
  <c r="AC65" i="63"/>
  <c r="AJ65" i="63"/>
  <c r="AK65" i="63"/>
  <c r="AL65" i="63"/>
  <c r="M65" i="63"/>
  <c r="Y64" i="65"/>
  <c r="A66" i="63"/>
  <c r="AB65" i="65" l="1"/>
  <c r="T65" i="65"/>
  <c r="AD65" i="65"/>
  <c r="AC65" i="65"/>
  <c r="K65" i="65"/>
  <c r="J65" i="65"/>
  <c r="D65" i="65"/>
  <c r="V65" i="65"/>
  <c r="P65" i="65"/>
  <c r="W65" i="65"/>
  <c r="G65" i="65"/>
  <c r="I65" i="65"/>
  <c r="O65" i="65"/>
  <c r="AA65" i="65"/>
  <c r="E66" i="63"/>
  <c r="U66" i="63"/>
  <c r="AK66" i="63"/>
  <c r="F66" i="63"/>
  <c r="V66" i="63"/>
  <c r="D66" i="65" s="1"/>
  <c r="AL66" i="63"/>
  <c r="G66" i="63"/>
  <c r="W66" i="63"/>
  <c r="AM66" i="63"/>
  <c r="H66" i="63"/>
  <c r="X66" i="63"/>
  <c r="AN66" i="63"/>
  <c r="I66" i="63"/>
  <c r="Y66" i="63"/>
  <c r="AE66" i="65" s="1"/>
  <c r="AO66" i="63"/>
  <c r="J66" i="63"/>
  <c r="Z66" i="63"/>
  <c r="AP66" i="63"/>
  <c r="L66" i="63"/>
  <c r="AR66" i="63"/>
  <c r="M66" i="63"/>
  <c r="AC66" i="63"/>
  <c r="AS66" i="63"/>
  <c r="N66" i="63"/>
  <c r="AD66" i="63"/>
  <c r="AT66" i="63"/>
  <c r="O66" i="63"/>
  <c r="AE66" i="63"/>
  <c r="AU66" i="63"/>
  <c r="AF66" i="63"/>
  <c r="AV66" i="63"/>
  <c r="Q66" i="63"/>
  <c r="Z66" i="65" s="1"/>
  <c r="AG66" i="63"/>
  <c r="AW66" i="63"/>
  <c r="B66" i="63"/>
  <c r="C66" i="63"/>
  <c r="D66" i="63"/>
  <c r="K66" i="63"/>
  <c r="R66" i="63"/>
  <c r="S66" i="63"/>
  <c r="T66" i="63"/>
  <c r="AH66" i="63"/>
  <c r="AI66" i="63"/>
  <c r="AJ66" i="63"/>
  <c r="AQ66" i="63"/>
  <c r="AX66" i="63"/>
  <c r="AY66" i="63"/>
  <c r="O66" i="65"/>
  <c r="Y65" i="65"/>
  <c r="A67" i="63"/>
  <c r="AD66" i="65" l="1"/>
  <c r="AC66" i="65"/>
  <c r="Y66" i="65"/>
  <c r="T66" i="65"/>
  <c r="J66" i="65"/>
  <c r="K66" i="65"/>
  <c r="AA66" i="65"/>
  <c r="AB66" i="65"/>
  <c r="V66" i="65"/>
  <c r="G66" i="65"/>
  <c r="P66" i="65"/>
  <c r="W66" i="65"/>
  <c r="I66" i="65"/>
  <c r="S67" i="63"/>
  <c r="AI67" i="63"/>
  <c r="AY67" i="63"/>
  <c r="T67" i="63"/>
  <c r="AJ67" i="63"/>
  <c r="AK67" i="63"/>
  <c r="V67" i="63"/>
  <c r="AL67" i="63"/>
  <c r="W67" i="63"/>
  <c r="AM67" i="63"/>
  <c r="H67" i="63"/>
  <c r="AN67" i="63"/>
  <c r="J67" i="63"/>
  <c r="Z67" i="63"/>
  <c r="AP67" i="63"/>
  <c r="K67" i="63"/>
  <c r="AQ67" i="63"/>
  <c r="L67" i="63"/>
  <c r="AR67" i="63"/>
  <c r="M67" i="63"/>
  <c r="AC67" i="63"/>
  <c r="AS67" i="63"/>
  <c r="N67" i="63"/>
  <c r="AD67" i="63"/>
  <c r="AT67" i="63"/>
  <c r="O67" i="63"/>
  <c r="AE67" i="63"/>
  <c r="AU67" i="63"/>
  <c r="I67" i="63"/>
  <c r="P67" i="63"/>
  <c r="AF67" i="63"/>
  <c r="AG67" i="63"/>
  <c r="AH67" i="63"/>
  <c r="AV67" i="63"/>
  <c r="AW67" i="63"/>
  <c r="AX67" i="63"/>
  <c r="AO67" i="63"/>
  <c r="A68" i="63"/>
  <c r="P67" i="65" l="1"/>
  <c r="Z67" i="65"/>
  <c r="J67" i="65"/>
  <c r="D67" i="65"/>
  <c r="K67" i="65"/>
  <c r="W67" i="65"/>
  <c r="I67" i="65"/>
  <c r="V67" i="65"/>
  <c r="O67" i="65"/>
  <c r="AA67" i="65"/>
  <c r="G67" i="65"/>
  <c r="AG68" i="63"/>
  <c r="AW68" i="63"/>
  <c r="AH68" i="63"/>
  <c r="AX68" i="63"/>
  <c r="AI68" i="63"/>
  <c r="AY68" i="63"/>
  <c r="T68" i="63"/>
  <c r="AJ68" i="63"/>
  <c r="AK68" i="63"/>
  <c r="V68" i="63"/>
  <c r="D68" i="65" s="1"/>
  <c r="AL68" i="63"/>
  <c r="AN68" i="63"/>
  <c r="I68" i="63"/>
  <c r="AO68" i="63"/>
  <c r="J68" i="63"/>
  <c r="Z68" i="63"/>
  <c r="L68" i="63"/>
  <c r="M68" i="63"/>
  <c r="AC68" i="63"/>
  <c r="AD68" i="63"/>
  <c r="AE68" i="63"/>
  <c r="AF68" i="63"/>
  <c r="AM68" i="63"/>
  <c r="AP68" i="63"/>
  <c r="AQ68" i="63"/>
  <c r="AR68" i="63"/>
  <c r="AT68" i="63"/>
  <c r="AU68" i="63"/>
  <c r="AV68" i="63"/>
  <c r="N68" i="63"/>
  <c r="O68" i="63"/>
  <c r="P68" i="63"/>
  <c r="AS68" i="63"/>
  <c r="Y67" i="65"/>
  <c r="A69" i="63"/>
  <c r="K68" i="65" l="1"/>
  <c r="W68" i="65"/>
  <c r="G68" i="65"/>
  <c r="O68" i="65"/>
  <c r="AA68" i="65"/>
  <c r="I68" i="65"/>
  <c r="P68" i="65"/>
  <c r="V68" i="65"/>
  <c r="O69" i="63"/>
  <c r="AE69" i="63"/>
  <c r="AU69" i="63"/>
  <c r="P69" i="63"/>
  <c r="AF69" i="63"/>
  <c r="AV69" i="63"/>
  <c r="AG69" i="63"/>
  <c r="AW69" i="63"/>
  <c r="B69" i="63"/>
  <c r="AH69" i="63"/>
  <c r="AX69" i="63"/>
  <c r="C69" i="63"/>
  <c r="AI69" i="63"/>
  <c r="AY69" i="63"/>
  <c r="F69" i="63"/>
  <c r="V69" i="63"/>
  <c r="AL69" i="63"/>
  <c r="G69" i="63"/>
  <c r="AM69" i="63"/>
  <c r="J69" i="63"/>
  <c r="AN69" i="63"/>
  <c r="AO69" i="63"/>
  <c r="L69" i="63"/>
  <c r="AP69" i="63"/>
  <c r="M69" i="63"/>
  <c r="AQ69" i="63"/>
  <c r="N69" i="63"/>
  <c r="AR69" i="63"/>
  <c r="T69" i="63"/>
  <c r="AS69" i="63"/>
  <c r="U69" i="63"/>
  <c r="AT69" i="63"/>
  <c r="X69" i="63"/>
  <c r="Z69" i="63"/>
  <c r="P69" i="65" s="1"/>
  <c r="D69" i="63"/>
  <c r="AC69" i="63"/>
  <c r="E69" i="63"/>
  <c r="AD69" i="63"/>
  <c r="AJ69" i="63"/>
  <c r="AK69" i="63"/>
  <c r="Y69" i="63"/>
  <c r="AE69" i="65" s="1"/>
  <c r="A70" i="63"/>
  <c r="Z69" i="65" l="1"/>
  <c r="AC69" i="65"/>
  <c r="AD69" i="65"/>
  <c r="T69" i="65"/>
  <c r="D69" i="65"/>
  <c r="K69" i="65"/>
  <c r="AA69" i="65"/>
  <c r="W69" i="65"/>
  <c r="I69" i="65"/>
  <c r="G69" i="65"/>
  <c r="V69" i="65"/>
  <c r="M70" i="63"/>
  <c r="AC70" i="63"/>
  <c r="AS70" i="63"/>
  <c r="N70" i="63"/>
  <c r="AD70" i="63"/>
  <c r="AT70" i="63"/>
  <c r="O70" i="63"/>
  <c r="AE70" i="63"/>
  <c r="AU70" i="63"/>
  <c r="P70" i="63"/>
  <c r="AF70" i="63"/>
  <c r="AV70" i="63"/>
  <c r="Q70" i="63"/>
  <c r="AG70" i="63"/>
  <c r="AW70" i="63"/>
  <c r="D70" i="63"/>
  <c r="T70" i="63"/>
  <c r="AJ70" i="63"/>
  <c r="E70" i="63"/>
  <c r="U70" i="63"/>
  <c r="AK70" i="63"/>
  <c r="R70" i="63"/>
  <c r="AQ70" i="63"/>
  <c r="AR70" i="63"/>
  <c r="V70" i="63"/>
  <c r="AX70" i="63"/>
  <c r="AY70" i="63"/>
  <c r="X70" i="63"/>
  <c r="Y70" i="63"/>
  <c r="Z70" i="63"/>
  <c r="B70" i="63"/>
  <c r="F70" i="63"/>
  <c r="AH70" i="63"/>
  <c r="G70" i="63"/>
  <c r="AI70" i="63"/>
  <c r="AL70" i="63"/>
  <c r="AM70" i="63"/>
  <c r="AN70" i="63"/>
  <c r="AO70" i="63"/>
  <c r="AP70" i="63"/>
  <c r="C70" i="63"/>
  <c r="J70" i="63"/>
  <c r="L70" i="63"/>
  <c r="A71" i="63"/>
  <c r="T70" i="65" l="1"/>
  <c r="AD70" i="65"/>
  <c r="AE70" i="65"/>
  <c r="AB70" i="65"/>
  <c r="AC70" i="65"/>
  <c r="K70" i="65"/>
  <c r="D70" i="65"/>
  <c r="Z70" i="65"/>
  <c r="G70" i="65"/>
  <c r="P70" i="65"/>
  <c r="O70" i="65"/>
  <c r="AA70" i="65"/>
  <c r="V70" i="65"/>
  <c r="I70" i="65"/>
  <c r="W70" i="65"/>
  <c r="K71" i="63"/>
  <c r="AQ71" i="63"/>
  <c r="L71" i="63"/>
  <c r="K71" i="65" s="1"/>
  <c r="AR71" i="63"/>
  <c r="M71" i="63"/>
  <c r="AC71" i="63"/>
  <c r="AS71" i="63"/>
  <c r="N71" i="63"/>
  <c r="AD71" i="63"/>
  <c r="AT71" i="63"/>
  <c r="O71" i="63"/>
  <c r="AE71" i="63"/>
  <c r="AU71" i="63"/>
  <c r="B71" i="63"/>
  <c r="R71" i="63"/>
  <c r="AH71" i="63"/>
  <c r="AX71" i="63"/>
  <c r="C71" i="63"/>
  <c r="S71" i="63"/>
  <c r="AI71" i="63"/>
  <c r="AY71" i="63"/>
  <c r="W71" i="63"/>
  <c r="X71" i="63"/>
  <c r="Y71" i="63"/>
  <c r="AE71" i="65" s="1"/>
  <c r="Z71" i="63"/>
  <c r="D71" i="63"/>
  <c r="AF71" i="63"/>
  <c r="E71" i="63"/>
  <c r="AG71" i="63"/>
  <c r="F71" i="63"/>
  <c r="AJ71" i="63"/>
  <c r="G71" i="63"/>
  <c r="AK71" i="63"/>
  <c r="AM71" i="63"/>
  <c r="J71" i="63"/>
  <c r="AN71" i="63"/>
  <c r="P71" i="63"/>
  <c r="AO71" i="63"/>
  <c r="Q71" i="63"/>
  <c r="AP71" i="63"/>
  <c r="H71" i="63"/>
  <c r="T71" i="63"/>
  <c r="U71" i="63"/>
  <c r="V71" i="63"/>
  <c r="D71" i="65" s="1"/>
  <c r="AV71" i="63"/>
  <c r="AW71" i="63"/>
  <c r="AL71" i="63"/>
  <c r="A72" i="63"/>
  <c r="AB71" i="65" l="1"/>
  <c r="AD71" i="65"/>
  <c r="T71" i="65"/>
  <c r="AC71" i="65"/>
  <c r="J71" i="65"/>
  <c r="Z71" i="65"/>
  <c r="W71" i="65"/>
  <c r="I71" i="65"/>
  <c r="P71" i="65"/>
  <c r="O71" i="65"/>
  <c r="AA71" i="65"/>
  <c r="V71" i="65"/>
  <c r="G71" i="65"/>
  <c r="I72" i="63"/>
  <c r="Y72" i="63"/>
  <c r="AE72" i="65" s="1"/>
  <c r="AO72" i="63"/>
  <c r="J72" i="63"/>
  <c r="Z72" i="63"/>
  <c r="AP72" i="63"/>
  <c r="K72" i="63"/>
  <c r="AQ72" i="63"/>
  <c r="L72" i="63"/>
  <c r="AR72" i="63"/>
  <c r="AC72" i="63"/>
  <c r="AS72" i="63"/>
  <c r="P72" i="63"/>
  <c r="AF72" i="63"/>
  <c r="AV72" i="63"/>
  <c r="Q72" i="63"/>
  <c r="AG72" i="63"/>
  <c r="AW72" i="63"/>
  <c r="C72" i="63"/>
  <c r="AE72" i="63"/>
  <c r="D72" i="63"/>
  <c r="AH72" i="63"/>
  <c r="E72" i="63"/>
  <c r="AI72" i="63"/>
  <c r="F72" i="63"/>
  <c r="AJ72" i="63"/>
  <c r="G72" i="63"/>
  <c r="AK72" i="63"/>
  <c r="H72" i="63"/>
  <c r="AL72" i="63"/>
  <c r="N72" i="63"/>
  <c r="AM72" i="63"/>
  <c r="O72" i="63"/>
  <c r="AN72" i="63"/>
  <c r="S72" i="63"/>
  <c r="AU72" i="63"/>
  <c r="T72" i="63"/>
  <c r="AX72" i="63"/>
  <c r="U72" i="63"/>
  <c r="AY72" i="63"/>
  <c r="V72" i="63"/>
  <c r="AT72" i="63"/>
  <c r="B72" i="63"/>
  <c r="R72" i="63"/>
  <c r="W72" i="63"/>
  <c r="X72" i="63"/>
  <c r="AD72" i="63"/>
  <c r="Y71" i="65"/>
  <c r="A73" i="63"/>
  <c r="AC72" i="65" l="1"/>
  <c r="AD72" i="65"/>
  <c r="AB72" i="65"/>
  <c r="T72" i="65"/>
  <c r="P72" i="65"/>
  <c r="D72" i="65"/>
  <c r="J72" i="65"/>
  <c r="K72" i="65"/>
  <c r="I72" i="65"/>
  <c r="Z72" i="65"/>
  <c r="V72" i="65"/>
  <c r="G72" i="65"/>
  <c r="W72" i="65"/>
  <c r="O72" i="65"/>
  <c r="AA72" i="65"/>
  <c r="W73" i="63"/>
  <c r="AM73" i="63"/>
  <c r="H73" i="63"/>
  <c r="AN73" i="63"/>
  <c r="I73" i="63"/>
  <c r="AO73" i="63"/>
  <c r="J73" i="63"/>
  <c r="Z73" i="63"/>
  <c r="AP73" i="63"/>
  <c r="K73" i="63"/>
  <c r="AQ73" i="63"/>
  <c r="N73" i="63"/>
  <c r="AD73" i="63"/>
  <c r="AT73" i="63"/>
  <c r="O73" i="63"/>
  <c r="AE73" i="63"/>
  <c r="AU73" i="63"/>
  <c r="AJ73" i="63"/>
  <c r="L73" i="63"/>
  <c r="AK73" i="63"/>
  <c r="AL73" i="63"/>
  <c r="P73" i="63"/>
  <c r="AR73" i="63"/>
  <c r="Q73" i="63"/>
  <c r="AS73" i="63"/>
  <c r="R73" i="63"/>
  <c r="AV73" i="63"/>
  <c r="S73" i="63"/>
  <c r="AW73" i="63"/>
  <c r="T73" i="63"/>
  <c r="AX73" i="63"/>
  <c r="V73" i="63"/>
  <c r="D73" i="65" s="1"/>
  <c r="AC73" i="63"/>
  <c r="AF73" i="63"/>
  <c r="U73" i="63"/>
  <c r="AG73" i="63"/>
  <c r="AH73" i="63"/>
  <c r="AI73" i="63"/>
  <c r="AY73" i="63"/>
  <c r="Y72" i="65"/>
  <c r="A74" i="63"/>
  <c r="AB73" i="65" l="1"/>
  <c r="AC73" i="65"/>
  <c r="J73" i="65"/>
  <c r="K73" i="65"/>
  <c r="Z73" i="65"/>
  <c r="V73" i="65"/>
  <c r="W73" i="65"/>
  <c r="G73" i="65"/>
  <c r="P73" i="65"/>
  <c r="I73" i="65"/>
  <c r="O73" i="65"/>
  <c r="AA73" i="65"/>
  <c r="U74" i="63"/>
  <c r="AK74" i="63"/>
  <c r="V74" i="63"/>
  <c r="D74" i="65" s="1"/>
  <c r="AL74" i="63"/>
  <c r="W74" i="63"/>
  <c r="AM74" i="63"/>
  <c r="H74" i="63"/>
  <c r="AN74" i="63"/>
  <c r="I74" i="63"/>
  <c r="AO74" i="63"/>
  <c r="L74" i="63"/>
  <c r="AR74" i="63"/>
  <c r="AC74" i="63"/>
  <c r="AS74" i="63"/>
  <c r="P74" i="63"/>
  <c r="AT74" i="63"/>
  <c r="AU74" i="63"/>
  <c r="AV74" i="63"/>
  <c r="S74" i="63"/>
  <c r="AW74" i="63"/>
  <c r="T74" i="63"/>
  <c r="AX74" i="63"/>
  <c r="Z74" i="63"/>
  <c r="AY74" i="63"/>
  <c r="AD74" i="63"/>
  <c r="AF74" i="63"/>
  <c r="AG74" i="63"/>
  <c r="AH74" i="63"/>
  <c r="J74" i="63"/>
  <c r="AI74" i="63"/>
  <c r="K74" i="63"/>
  <c r="N74" i="63"/>
  <c r="O74" i="63"/>
  <c r="AE74" i="63"/>
  <c r="AJ74" i="63"/>
  <c r="AP74" i="63"/>
  <c r="AQ74" i="63"/>
  <c r="Y73" i="65"/>
  <c r="A75" i="63"/>
  <c r="O74" i="65" l="1"/>
  <c r="AE74" i="65"/>
  <c r="AC74" i="65"/>
  <c r="K74" i="65"/>
  <c r="J74" i="65"/>
  <c r="Z74" i="65"/>
  <c r="AA74" i="65"/>
  <c r="G74" i="65"/>
  <c r="I74" i="65"/>
  <c r="P74" i="65"/>
  <c r="W74" i="65"/>
  <c r="C75" i="63"/>
  <c r="AI75" i="63"/>
  <c r="AY75" i="63"/>
  <c r="D75" i="63"/>
  <c r="T75" i="63"/>
  <c r="AJ75" i="63"/>
  <c r="E75" i="63"/>
  <c r="U75" i="63"/>
  <c r="AK75" i="63"/>
  <c r="F75" i="63"/>
  <c r="V75" i="63"/>
  <c r="AL75" i="63"/>
  <c r="G75" i="63"/>
  <c r="W75" i="63"/>
  <c r="AM75" i="63"/>
  <c r="J75" i="63"/>
  <c r="Z75" i="63"/>
  <c r="AP75" i="63"/>
  <c r="AQ75" i="63"/>
  <c r="X75" i="63"/>
  <c r="AW75" i="63"/>
  <c r="Y75" i="63"/>
  <c r="AE75" i="65" s="1"/>
  <c r="AX75" i="63"/>
  <c r="AC75" i="63"/>
  <c r="AD75" i="63"/>
  <c r="AE75" i="63"/>
  <c r="B75" i="63"/>
  <c r="AF75" i="63"/>
  <c r="H75" i="63"/>
  <c r="AG75" i="63"/>
  <c r="L75" i="63"/>
  <c r="AN75" i="63"/>
  <c r="M75" i="63"/>
  <c r="AO75" i="63"/>
  <c r="N75" i="63"/>
  <c r="AR75" i="63"/>
  <c r="O75" i="63"/>
  <c r="AS75" i="63"/>
  <c r="I75" i="63"/>
  <c r="P75" i="63"/>
  <c r="AH75" i="63"/>
  <c r="AT75" i="63"/>
  <c r="AU75" i="63"/>
  <c r="AV75" i="63"/>
  <c r="Y74" i="65"/>
  <c r="A76" i="63"/>
  <c r="T75" i="65" l="1"/>
  <c r="P75" i="65"/>
  <c r="AC75" i="65"/>
  <c r="AD75" i="65"/>
  <c r="K75" i="65"/>
  <c r="D75" i="65"/>
  <c r="J75" i="65"/>
  <c r="W75" i="65"/>
  <c r="Z75" i="65"/>
  <c r="V75" i="65"/>
  <c r="I75" i="65"/>
  <c r="O75" i="65"/>
  <c r="AA75" i="65"/>
  <c r="G75" i="65"/>
  <c r="AG76" i="63"/>
  <c r="AW76" i="63"/>
  <c r="B76" i="63"/>
  <c r="AH76" i="63"/>
  <c r="AX76" i="63"/>
  <c r="C76" i="63"/>
  <c r="AI76" i="63"/>
  <c r="AY76" i="63"/>
  <c r="D76" i="63"/>
  <c r="AJ76" i="63"/>
  <c r="E76" i="63"/>
  <c r="U76" i="63"/>
  <c r="AK76" i="63"/>
  <c r="H76" i="63"/>
  <c r="X76" i="63"/>
  <c r="AN76" i="63"/>
  <c r="I76" i="63"/>
  <c r="Y76" i="63"/>
  <c r="AE76" i="65" s="1"/>
  <c r="AO76" i="63"/>
  <c r="AC76" i="63"/>
  <c r="AD76" i="63"/>
  <c r="F76" i="63"/>
  <c r="AE76" i="63"/>
  <c r="G76" i="63"/>
  <c r="AF76" i="63"/>
  <c r="J76" i="63"/>
  <c r="AL76" i="63"/>
  <c r="AM76" i="63"/>
  <c r="L76" i="63"/>
  <c r="AP76" i="63"/>
  <c r="M76" i="63"/>
  <c r="AQ76" i="63"/>
  <c r="O76" i="63"/>
  <c r="AS76" i="63"/>
  <c r="P76" i="63"/>
  <c r="AT76" i="63"/>
  <c r="V76" i="63"/>
  <c r="AU76" i="63"/>
  <c r="W76" i="63"/>
  <c r="AV76" i="63"/>
  <c r="Z76" i="63"/>
  <c r="AR76" i="63"/>
  <c r="N76" i="63"/>
  <c r="A77" i="63"/>
  <c r="AD76" i="65" l="1"/>
  <c r="T76" i="65"/>
  <c r="AC76" i="65"/>
  <c r="J76" i="65"/>
  <c r="D76" i="65"/>
  <c r="K76" i="65"/>
  <c r="W76" i="65"/>
  <c r="G76" i="65"/>
  <c r="I76" i="65"/>
  <c r="P76" i="65"/>
  <c r="O76" i="65"/>
  <c r="V76" i="65"/>
  <c r="O77" i="63"/>
  <c r="AE77" i="63"/>
  <c r="AU77" i="63"/>
  <c r="P77" i="63"/>
  <c r="AF77" i="63"/>
  <c r="AV77" i="63"/>
  <c r="Q77" i="63"/>
  <c r="AG77" i="63"/>
  <c r="AW77" i="63"/>
  <c r="B77" i="63"/>
  <c r="R77" i="63"/>
  <c r="AH77" i="63"/>
  <c r="AX77" i="63"/>
  <c r="C77" i="63"/>
  <c r="AI77" i="63"/>
  <c r="AY77" i="63"/>
  <c r="F77" i="63"/>
  <c r="V77" i="63"/>
  <c r="AL77" i="63"/>
  <c r="G77" i="63"/>
  <c r="W77" i="63"/>
  <c r="AM77" i="63"/>
  <c r="I77" i="63"/>
  <c r="AK77" i="63"/>
  <c r="J77" i="63"/>
  <c r="AN77" i="63"/>
  <c r="AO77" i="63"/>
  <c r="L77" i="63"/>
  <c r="AP77" i="63"/>
  <c r="M77" i="63"/>
  <c r="AQ77" i="63"/>
  <c r="N77" i="63"/>
  <c r="AR77" i="63"/>
  <c r="AS77" i="63"/>
  <c r="U77" i="63"/>
  <c r="AT77" i="63"/>
  <c r="Y77" i="63"/>
  <c r="AE77" i="65" s="1"/>
  <c r="Z77" i="63"/>
  <c r="X77" i="63"/>
  <c r="AC77" i="63"/>
  <c r="AD77" i="63"/>
  <c r="AJ77" i="63"/>
  <c r="D77" i="63"/>
  <c r="E77" i="63"/>
  <c r="H77" i="63"/>
  <c r="A78" i="63"/>
  <c r="T77" i="65" l="1"/>
  <c r="AB77" i="65"/>
  <c r="AC77" i="65"/>
  <c r="AD77" i="65"/>
  <c r="Z77" i="65"/>
  <c r="D77" i="65"/>
  <c r="K77" i="65"/>
  <c r="J77" i="65"/>
  <c r="P77" i="65"/>
  <c r="V77" i="65"/>
  <c r="G77" i="65"/>
  <c r="I77" i="65"/>
  <c r="O77" i="65"/>
  <c r="W77" i="65"/>
  <c r="M78" i="63"/>
  <c r="AC78" i="63"/>
  <c r="AS78" i="63"/>
  <c r="N78" i="63"/>
  <c r="O78" i="63"/>
  <c r="P78" i="63"/>
  <c r="Q78" i="63"/>
  <c r="AG78" i="63"/>
  <c r="D78" i="63"/>
  <c r="AJ78" i="63"/>
  <c r="E78" i="63"/>
  <c r="U78" i="63"/>
  <c r="L78" i="63"/>
  <c r="AL78" i="63"/>
  <c r="R78" i="63"/>
  <c r="AM78" i="63"/>
  <c r="S78" i="63"/>
  <c r="AN78" i="63"/>
  <c r="V78" i="63"/>
  <c r="D78" i="65" s="1"/>
  <c r="AO78" i="63"/>
  <c r="W78" i="63"/>
  <c r="AP78" i="63"/>
  <c r="X78" i="63"/>
  <c r="AQ78" i="63"/>
  <c r="Y78" i="63"/>
  <c r="AE78" i="65" s="1"/>
  <c r="AR78" i="63"/>
  <c r="Z78" i="63"/>
  <c r="AT78" i="63"/>
  <c r="C78" i="63"/>
  <c r="AV78" i="63"/>
  <c r="F78" i="63"/>
  <c r="AD78" i="63"/>
  <c r="AW78" i="63"/>
  <c r="G78" i="63"/>
  <c r="AE78" i="63"/>
  <c r="AX78" i="63"/>
  <c r="H78" i="63"/>
  <c r="G78" i="65" s="1"/>
  <c r="AF78" i="63"/>
  <c r="AY78" i="63"/>
  <c r="B78" i="63"/>
  <c r="I78" i="63"/>
  <c r="J78" i="63"/>
  <c r="K78" i="63"/>
  <c r="AH78" i="63"/>
  <c r="AI78" i="63"/>
  <c r="AK78" i="63"/>
  <c r="AU78" i="63"/>
  <c r="A79" i="63"/>
  <c r="T78" i="65" l="1"/>
  <c r="AB78" i="65"/>
  <c r="V78" i="65"/>
  <c r="AD78" i="65"/>
  <c r="AC78" i="65"/>
  <c r="J78" i="65"/>
  <c r="K78" i="65"/>
  <c r="W78" i="65"/>
  <c r="Z78" i="65"/>
  <c r="I78" i="65"/>
  <c r="O78" i="65"/>
  <c r="P78" i="65"/>
  <c r="Y78" i="65"/>
  <c r="K79" i="63"/>
  <c r="AQ79" i="63"/>
  <c r="E79" i="63"/>
  <c r="V79" i="63"/>
  <c r="AM79" i="63"/>
  <c r="F79" i="63"/>
  <c r="W79" i="63"/>
  <c r="AN79" i="63"/>
  <c r="G79" i="63"/>
  <c r="X79" i="63"/>
  <c r="AO79" i="63"/>
  <c r="H79" i="63"/>
  <c r="Y79" i="63"/>
  <c r="AE79" i="65" s="1"/>
  <c r="AP79" i="63"/>
  <c r="I79" i="63"/>
  <c r="Z79" i="63"/>
  <c r="AR79" i="63"/>
  <c r="AS79" i="63"/>
  <c r="L79" i="63"/>
  <c r="AC79" i="63"/>
  <c r="AT79" i="63"/>
  <c r="M79" i="63"/>
  <c r="AD79" i="63"/>
  <c r="AU79" i="63"/>
  <c r="O79" i="63"/>
  <c r="AF79" i="63"/>
  <c r="AW79" i="63"/>
  <c r="P79" i="63"/>
  <c r="AG79" i="63"/>
  <c r="AX79" i="63"/>
  <c r="Q79" i="63"/>
  <c r="AH79" i="63"/>
  <c r="AY79" i="63"/>
  <c r="R79" i="63"/>
  <c r="AI79" i="63"/>
  <c r="N79" i="63"/>
  <c r="S79" i="63"/>
  <c r="T79" i="63"/>
  <c r="U79" i="63"/>
  <c r="AE79" i="63"/>
  <c r="AJ79" i="63"/>
  <c r="AK79" i="63"/>
  <c r="AL79" i="63"/>
  <c r="B79" i="63"/>
  <c r="C79" i="63"/>
  <c r="D79" i="63"/>
  <c r="AV79" i="63"/>
  <c r="A80" i="63"/>
  <c r="T79" i="65" l="1"/>
  <c r="AC79" i="65"/>
  <c r="AD79" i="65"/>
  <c r="AB79" i="65"/>
  <c r="P79" i="65"/>
  <c r="J79" i="65"/>
  <c r="K79" i="65"/>
  <c r="D79" i="65"/>
  <c r="W79" i="65"/>
  <c r="Z79" i="65"/>
  <c r="I79" i="65"/>
  <c r="G79" i="65"/>
  <c r="O79" i="65"/>
  <c r="AA79" i="65"/>
  <c r="V79" i="65"/>
  <c r="I80" i="63"/>
  <c r="Y80" i="63"/>
  <c r="AE80" i="65" s="1"/>
  <c r="AO80" i="63"/>
  <c r="F80" i="63"/>
  <c r="W80" i="63"/>
  <c r="AN80" i="63"/>
  <c r="G80" i="63"/>
  <c r="X80" i="63"/>
  <c r="AP80" i="63"/>
  <c r="H80" i="63"/>
  <c r="Z80" i="63"/>
  <c r="AQ80" i="63"/>
  <c r="AR80" i="63"/>
  <c r="K80" i="63"/>
  <c r="AS80" i="63"/>
  <c r="AC80" i="63"/>
  <c r="AT80" i="63"/>
  <c r="M80" i="63"/>
  <c r="AD80" i="63"/>
  <c r="AU80" i="63"/>
  <c r="N80" i="63"/>
  <c r="AE80" i="63"/>
  <c r="AV80" i="63"/>
  <c r="P80" i="63"/>
  <c r="AG80" i="63"/>
  <c r="AX80" i="63"/>
  <c r="Q80" i="63"/>
  <c r="AH80" i="63"/>
  <c r="AY80" i="63"/>
  <c r="R80" i="63"/>
  <c r="AI80" i="63"/>
  <c r="B80" i="63"/>
  <c r="S80" i="63"/>
  <c r="AJ80" i="63"/>
  <c r="AF80" i="63"/>
  <c r="AK80" i="63"/>
  <c r="AL80" i="63"/>
  <c r="AM80" i="63"/>
  <c r="AW80" i="63"/>
  <c r="C80" i="63"/>
  <c r="D80" i="63"/>
  <c r="E80" i="63"/>
  <c r="O80" i="63"/>
  <c r="T80" i="63"/>
  <c r="U80" i="63"/>
  <c r="V80" i="63"/>
  <c r="A81" i="63"/>
  <c r="T80" i="65" l="1"/>
  <c r="AC80" i="65"/>
  <c r="AD80" i="65"/>
  <c r="AB80" i="65"/>
  <c r="Z80" i="65"/>
  <c r="W80" i="65"/>
  <c r="D80" i="65"/>
  <c r="J80" i="65"/>
  <c r="G80" i="65"/>
  <c r="P80" i="65"/>
  <c r="I80" i="65"/>
  <c r="O80" i="65"/>
  <c r="AA80" i="65"/>
  <c r="V80" i="65"/>
  <c r="W81" i="63"/>
  <c r="AM81" i="63"/>
  <c r="H81" i="63"/>
  <c r="AP81" i="63"/>
  <c r="I81" i="63"/>
  <c r="Z81" i="63"/>
  <c r="AQ81" i="63"/>
  <c r="J81" i="63"/>
  <c r="AR81" i="63"/>
  <c r="K81" i="63"/>
  <c r="AS81" i="63"/>
  <c r="L81" i="63"/>
  <c r="AC81" i="63"/>
  <c r="AT81" i="63"/>
  <c r="M81" i="63"/>
  <c r="AD81" i="63"/>
  <c r="AU81" i="63"/>
  <c r="N81" i="63"/>
  <c r="AE81" i="63"/>
  <c r="AV81" i="63"/>
  <c r="O81" i="63"/>
  <c r="AF81" i="63"/>
  <c r="AW81" i="63"/>
  <c r="AH81" i="63"/>
  <c r="AY81" i="63"/>
  <c r="AI81" i="63"/>
  <c r="S81" i="63"/>
  <c r="AJ81" i="63"/>
  <c r="T81" i="63"/>
  <c r="AK81" i="63"/>
  <c r="AX81" i="63"/>
  <c r="U81" i="63"/>
  <c r="V81" i="63"/>
  <c r="AG81" i="63"/>
  <c r="P81" i="63"/>
  <c r="AL81" i="63"/>
  <c r="AN81" i="63"/>
  <c r="AO81" i="63"/>
  <c r="A82" i="63"/>
  <c r="P81" i="65" l="1"/>
  <c r="AC81" i="65"/>
  <c r="K81" i="65"/>
  <c r="J81" i="65"/>
  <c r="D81" i="65"/>
  <c r="Z81" i="65"/>
  <c r="V81" i="65"/>
  <c r="G81" i="65"/>
  <c r="O81" i="65"/>
  <c r="AA81" i="65"/>
  <c r="I81" i="65"/>
  <c r="W81" i="65"/>
  <c r="U82" i="63"/>
  <c r="AK82" i="63"/>
  <c r="I82" i="63"/>
  <c r="Z82" i="63"/>
  <c r="P82" i="65" s="1"/>
  <c r="AQ82" i="63"/>
  <c r="J82" i="63"/>
  <c r="AR82" i="63"/>
  <c r="AS82" i="63"/>
  <c r="L82" i="63"/>
  <c r="AC82" i="63"/>
  <c r="AT82" i="63"/>
  <c r="M82" i="63"/>
  <c r="AD82" i="63"/>
  <c r="AU82" i="63"/>
  <c r="N82" i="63"/>
  <c r="AE82" i="63"/>
  <c r="AV82" i="63"/>
  <c r="O82" i="63"/>
  <c r="AF82" i="63"/>
  <c r="AW82" i="63"/>
  <c r="P82" i="63"/>
  <c r="AG82" i="63"/>
  <c r="AX82" i="63"/>
  <c r="AI82" i="63"/>
  <c r="AJ82" i="63"/>
  <c r="T82" i="63"/>
  <c r="AL82" i="63"/>
  <c r="V82" i="63"/>
  <c r="D82" i="65" s="1"/>
  <c r="AM82" i="63"/>
  <c r="H82" i="63"/>
  <c r="G82" i="65" s="1"/>
  <c r="W82" i="63"/>
  <c r="AN82" i="63"/>
  <c r="AO82" i="63"/>
  <c r="AP82" i="63"/>
  <c r="AY82" i="63"/>
  <c r="AH82" i="63"/>
  <c r="Y81" i="65"/>
  <c r="A83" i="63"/>
  <c r="AE82" i="65" l="1"/>
  <c r="O82" i="65"/>
  <c r="AC82" i="65"/>
  <c r="J82" i="65"/>
  <c r="K82" i="65"/>
  <c r="Z82" i="65"/>
  <c r="AA82" i="65"/>
  <c r="W82" i="65"/>
  <c r="V82" i="65"/>
  <c r="I82" i="65"/>
  <c r="C83" i="63"/>
  <c r="AI83" i="63"/>
  <c r="AY83" i="63"/>
  <c r="J83" i="63"/>
  <c r="AR83" i="63"/>
  <c r="AS83" i="63"/>
  <c r="L83" i="63"/>
  <c r="AC83" i="63"/>
  <c r="AT83" i="63"/>
  <c r="M83" i="63"/>
  <c r="AD83" i="63"/>
  <c r="AU83" i="63"/>
  <c r="N83" i="63"/>
  <c r="AE83" i="63"/>
  <c r="AV83" i="63"/>
  <c r="O83" i="63"/>
  <c r="AF83" i="63"/>
  <c r="AW83" i="63"/>
  <c r="P83" i="63"/>
  <c r="AG83" i="63"/>
  <c r="AX83" i="63"/>
  <c r="AH83" i="63"/>
  <c r="B83" i="63"/>
  <c r="T83" i="63"/>
  <c r="AK83" i="63"/>
  <c r="D83" i="63"/>
  <c r="U83" i="63"/>
  <c r="AL83" i="63"/>
  <c r="E83" i="63"/>
  <c r="V83" i="63"/>
  <c r="AM83" i="63"/>
  <c r="F83" i="63"/>
  <c r="W83" i="63"/>
  <c r="AN83" i="63"/>
  <c r="X83" i="63"/>
  <c r="Y83" i="63"/>
  <c r="AE83" i="65" s="1"/>
  <c r="Z83" i="63"/>
  <c r="AJ83" i="63"/>
  <c r="AO83" i="63"/>
  <c r="AP83" i="63"/>
  <c r="AQ83" i="63"/>
  <c r="G83" i="63"/>
  <c r="H83" i="63"/>
  <c r="I83" i="63"/>
  <c r="A84" i="63"/>
  <c r="T83" i="65" l="1"/>
  <c r="AD83" i="65"/>
  <c r="AC83" i="65"/>
  <c r="J83" i="65"/>
  <c r="D83" i="65"/>
  <c r="K83" i="65"/>
  <c r="Z83" i="65"/>
  <c r="P83" i="65"/>
  <c r="W83" i="65"/>
  <c r="G83" i="65"/>
  <c r="I83" i="65"/>
  <c r="O83" i="65"/>
  <c r="AA83" i="65"/>
  <c r="V83" i="65"/>
  <c r="Q84" i="63"/>
  <c r="Z84" i="65" s="1"/>
  <c r="AG84" i="63"/>
  <c r="AW84" i="63"/>
  <c r="AS84" i="63"/>
  <c r="L84" i="63"/>
  <c r="AC84" i="63"/>
  <c r="AT84" i="63"/>
  <c r="M84" i="63"/>
  <c r="AD84" i="63"/>
  <c r="AU84" i="63"/>
  <c r="N84" i="63"/>
  <c r="AE84" i="63"/>
  <c r="AV84" i="63"/>
  <c r="O84" i="63"/>
  <c r="AF84" i="63"/>
  <c r="AX84" i="63"/>
  <c r="P84" i="63"/>
  <c r="AH84" i="63"/>
  <c r="AY84" i="63"/>
  <c r="R84" i="63"/>
  <c r="AI84" i="63"/>
  <c r="B84" i="63"/>
  <c r="AJ84" i="63"/>
  <c r="D84" i="63"/>
  <c r="U84" i="63"/>
  <c r="AL84" i="63"/>
  <c r="E84" i="63"/>
  <c r="V84" i="63"/>
  <c r="AM84" i="63"/>
  <c r="F84" i="63"/>
  <c r="W84" i="63"/>
  <c r="AN84" i="63"/>
  <c r="G84" i="63"/>
  <c r="X84" i="63"/>
  <c r="AO84" i="63"/>
  <c r="AK84" i="63"/>
  <c r="AP84" i="63"/>
  <c r="AQ84" i="63"/>
  <c r="AR84" i="63"/>
  <c r="H84" i="63"/>
  <c r="I84" i="63"/>
  <c r="J84" i="63"/>
  <c r="T84" i="63"/>
  <c r="C84" i="63"/>
  <c r="Y84" i="63"/>
  <c r="AE84" i="65" s="1"/>
  <c r="Z84" i="63"/>
  <c r="A85" i="63"/>
  <c r="T84" i="65" l="1"/>
  <c r="AC84" i="65"/>
  <c r="AD84" i="65"/>
  <c r="AB84" i="65"/>
  <c r="J84" i="65"/>
  <c r="D84" i="65"/>
  <c r="I84" i="65"/>
  <c r="K84" i="65"/>
  <c r="G84" i="65"/>
  <c r="V84" i="65"/>
  <c r="W84" i="65"/>
  <c r="P84" i="65"/>
  <c r="O84" i="65"/>
  <c r="AA84" i="65"/>
  <c r="O85" i="63"/>
  <c r="AE85" i="63"/>
  <c r="AU85" i="63"/>
  <c r="L85" i="63"/>
  <c r="AC85" i="63"/>
  <c r="AT85" i="63"/>
  <c r="M85" i="63"/>
  <c r="AD85" i="63"/>
  <c r="AV85" i="63"/>
  <c r="AF85" i="63"/>
  <c r="AW85" i="63"/>
  <c r="P85" i="63"/>
  <c r="AG85" i="63"/>
  <c r="AX85" i="63"/>
  <c r="Q85" i="63"/>
  <c r="AH85" i="63"/>
  <c r="AY85" i="63"/>
  <c r="R85" i="63"/>
  <c r="AI85" i="63"/>
  <c r="B85" i="63"/>
  <c r="S85" i="63"/>
  <c r="AJ85" i="63"/>
  <c r="C85" i="63"/>
  <c r="T85" i="63"/>
  <c r="AK85" i="63"/>
  <c r="E85" i="63"/>
  <c r="AM85" i="63"/>
  <c r="F85" i="63"/>
  <c r="W85" i="63"/>
  <c r="AN85" i="63"/>
  <c r="G85" i="63"/>
  <c r="X85" i="63"/>
  <c r="AO85" i="63"/>
  <c r="H85" i="63"/>
  <c r="Y85" i="63"/>
  <c r="AE85" i="65" s="1"/>
  <c r="AP85" i="63"/>
  <c r="D85" i="63"/>
  <c r="I85" i="63"/>
  <c r="J85" i="63"/>
  <c r="K85" i="63"/>
  <c r="Z85" i="63"/>
  <c r="AL85" i="63"/>
  <c r="AQ85" i="63"/>
  <c r="AR85" i="63"/>
  <c r="AS85" i="63"/>
  <c r="U85" i="63"/>
  <c r="A86" i="63"/>
  <c r="AB85" i="65" l="1"/>
  <c r="AD85" i="65"/>
  <c r="T85" i="65"/>
  <c r="AC85" i="65"/>
  <c r="P85" i="65"/>
  <c r="K85" i="65"/>
  <c r="D85" i="65"/>
  <c r="Z85" i="65"/>
  <c r="V85" i="65"/>
  <c r="I85" i="65"/>
  <c r="G85" i="65"/>
  <c r="O85" i="65"/>
  <c r="AA85" i="65"/>
  <c r="W85" i="65"/>
  <c r="M86" i="63"/>
  <c r="AC86" i="63"/>
  <c r="AS86" i="63"/>
  <c r="AD86" i="63"/>
  <c r="AT86" i="63"/>
  <c r="AE86" i="63"/>
  <c r="AU86" i="63"/>
  <c r="P86" i="63"/>
  <c r="AF86" i="63"/>
  <c r="AV86" i="63"/>
  <c r="Q86" i="63"/>
  <c r="AG86" i="63"/>
  <c r="AW86" i="63"/>
  <c r="B86" i="63"/>
  <c r="R86" i="63"/>
  <c r="AH86" i="63"/>
  <c r="AX86" i="63"/>
  <c r="C86" i="63"/>
  <c r="S86" i="63"/>
  <c r="AI86" i="63"/>
  <c r="AY86" i="63"/>
  <c r="D86" i="63"/>
  <c r="V86" i="65" s="1"/>
  <c r="T86" i="63"/>
  <c r="AJ86" i="63"/>
  <c r="F86" i="63"/>
  <c r="AL86" i="63"/>
  <c r="G86" i="63"/>
  <c r="W86" i="63"/>
  <c r="AM86" i="63"/>
  <c r="H86" i="63"/>
  <c r="X86" i="63"/>
  <c r="AN86" i="63"/>
  <c r="I86" i="63"/>
  <c r="Y86" i="63"/>
  <c r="AE86" i="65" s="1"/>
  <c r="AO86" i="63"/>
  <c r="E86" i="63"/>
  <c r="J86" i="63"/>
  <c r="K86" i="63"/>
  <c r="L86" i="63"/>
  <c r="U86" i="63"/>
  <c r="Z86" i="63"/>
  <c r="AP86" i="63"/>
  <c r="AQ86" i="63"/>
  <c r="AR86" i="63"/>
  <c r="AK86" i="63"/>
  <c r="Y85" i="65"/>
  <c r="A87" i="63"/>
  <c r="AD86" i="65" l="1"/>
  <c r="AB86" i="65"/>
  <c r="AC86" i="65"/>
  <c r="T86" i="65"/>
  <c r="P86" i="65"/>
  <c r="D86" i="65"/>
  <c r="K86" i="65"/>
  <c r="Z86" i="65"/>
  <c r="I86" i="65"/>
  <c r="W86" i="65"/>
  <c r="O86" i="65"/>
  <c r="AA86" i="65"/>
  <c r="G86" i="65"/>
  <c r="K87" i="63"/>
  <c r="AQ87" i="63"/>
  <c r="L87" i="63"/>
  <c r="AR87" i="63"/>
  <c r="M87" i="63"/>
  <c r="AC87" i="63"/>
  <c r="AS87" i="63"/>
  <c r="AD87" i="63"/>
  <c r="AT87" i="63"/>
  <c r="AE87" i="63"/>
  <c r="AU87" i="63"/>
  <c r="P87" i="63"/>
  <c r="AF87" i="63"/>
  <c r="AV87" i="63"/>
  <c r="Q87" i="63"/>
  <c r="AG87" i="63"/>
  <c r="AW87" i="63"/>
  <c r="R87" i="63"/>
  <c r="AH87" i="63"/>
  <c r="AX87" i="63"/>
  <c r="T87" i="63"/>
  <c r="AJ87" i="63"/>
  <c r="U87" i="63"/>
  <c r="AK87" i="63"/>
  <c r="AL87" i="63"/>
  <c r="W87" i="63"/>
  <c r="AM87" i="63"/>
  <c r="S87" i="63"/>
  <c r="Z87" i="63"/>
  <c r="AI87" i="63"/>
  <c r="AN87" i="63"/>
  <c r="AO87" i="63"/>
  <c r="AP87" i="63"/>
  <c r="AY87" i="63"/>
  <c r="H87" i="63"/>
  <c r="I87" i="63"/>
  <c r="J87" i="63"/>
  <c r="Y86" i="65"/>
  <c r="A88" i="63"/>
  <c r="P87" i="65" l="1"/>
  <c r="V87" i="65"/>
  <c r="Z87" i="65"/>
  <c r="AB87" i="65"/>
  <c r="AC87" i="65"/>
  <c r="D87" i="65"/>
  <c r="K87" i="65"/>
  <c r="W87" i="65"/>
  <c r="I87" i="65"/>
  <c r="O87" i="65"/>
  <c r="AA87" i="65"/>
  <c r="G87" i="65"/>
  <c r="Y87" i="65"/>
  <c r="I88" i="63"/>
  <c r="AO88" i="63"/>
  <c r="J88" i="63"/>
  <c r="Z88" i="63"/>
  <c r="AP88" i="63"/>
  <c r="K88" i="63"/>
  <c r="AQ88" i="63"/>
  <c r="L88" i="63"/>
  <c r="AR88" i="63"/>
  <c r="M88" i="63"/>
  <c r="AC88" i="63"/>
  <c r="AS88" i="63"/>
  <c r="N88" i="63"/>
  <c r="AD88" i="63"/>
  <c r="AT88" i="63"/>
  <c r="AE88" i="63"/>
  <c r="AU88" i="63"/>
  <c r="P88" i="63"/>
  <c r="AF88" i="63"/>
  <c r="AV88" i="63"/>
  <c r="AH88" i="63"/>
  <c r="AX88" i="63"/>
  <c r="S88" i="63"/>
  <c r="AI88" i="63"/>
  <c r="AY88" i="63"/>
  <c r="T88" i="63"/>
  <c r="AJ88" i="63"/>
  <c r="U88" i="63"/>
  <c r="AK88" i="63"/>
  <c r="AG88" i="63"/>
  <c r="AL88" i="63"/>
  <c r="AM88" i="63"/>
  <c r="AN88" i="63"/>
  <c r="AW88" i="63"/>
  <c r="H88" i="63"/>
  <c r="V88" i="63"/>
  <c r="D88" i="65" s="1"/>
  <c r="W88" i="63"/>
  <c r="A89" i="63"/>
  <c r="AC88" i="65" l="1"/>
  <c r="J88" i="65"/>
  <c r="I88" i="65"/>
  <c r="K88" i="65"/>
  <c r="Z88" i="65"/>
  <c r="W88" i="65"/>
  <c r="G88" i="65"/>
  <c r="P88" i="65"/>
  <c r="O88" i="65"/>
  <c r="AA88" i="65"/>
  <c r="V88" i="65"/>
  <c r="G89" i="63"/>
  <c r="W89" i="63"/>
  <c r="AM89" i="63"/>
  <c r="H89" i="63"/>
  <c r="X89" i="63"/>
  <c r="AN89" i="63"/>
  <c r="I89" i="63"/>
  <c r="Y89" i="63"/>
  <c r="AE89" i="65" s="1"/>
  <c r="AO89" i="63"/>
  <c r="J89" i="63"/>
  <c r="Z89" i="63"/>
  <c r="AP89" i="63"/>
  <c r="AQ89" i="63"/>
  <c r="L89" i="63"/>
  <c r="AR89" i="63"/>
  <c r="M89" i="63"/>
  <c r="AC89" i="63"/>
  <c r="AS89" i="63"/>
  <c r="N89" i="63"/>
  <c r="AD89" i="63"/>
  <c r="AT89" i="63"/>
  <c r="P89" i="63"/>
  <c r="AF89" i="63"/>
  <c r="AV89" i="63"/>
  <c r="AG89" i="63"/>
  <c r="AW89" i="63"/>
  <c r="B89" i="63"/>
  <c r="AH89" i="63"/>
  <c r="AX89" i="63"/>
  <c r="C89" i="63"/>
  <c r="AI89" i="63"/>
  <c r="AY89" i="63"/>
  <c r="AU89" i="63"/>
  <c r="D89" i="63"/>
  <c r="E89" i="63"/>
  <c r="F89" i="63"/>
  <c r="T89" i="63"/>
  <c r="U89" i="63"/>
  <c r="V89" i="63"/>
  <c r="AE89" i="63"/>
  <c r="O89" i="63"/>
  <c r="AJ89" i="63"/>
  <c r="AK89" i="63"/>
  <c r="AL89" i="63"/>
  <c r="Y88" i="65"/>
  <c r="A90" i="63"/>
  <c r="Z89" i="65" l="1"/>
  <c r="AD89" i="65"/>
  <c r="T89" i="65"/>
  <c r="AC89" i="65"/>
  <c r="D89" i="65"/>
  <c r="K89" i="65"/>
  <c r="J89" i="65"/>
  <c r="P89" i="65"/>
  <c r="V89" i="65"/>
  <c r="W89" i="65"/>
  <c r="G89" i="65"/>
  <c r="O89" i="65"/>
  <c r="AA89" i="65"/>
  <c r="I89" i="65"/>
  <c r="E90" i="63"/>
  <c r="U90" i="63"/>
  <c r="AK90" i="63"/>
  <c r="F90" i="63"/>
  <c r="V90" i="63"/>
  <c r="D90" i="65" s="1"/>
  <c r="AL90" i="63"/>
  <c r="G90" i="63"/>
  <c r="W90" i="63"/>
  <c r="AM90" i="63"/>
  <c r="H90" i="63"/>
  <c r="X90" i="63"/>
  <c r="AN90" i="63"/>
  <c r="I90" i="63"/>
  <c r="Y90" i="63"/>
  <c r="AE90" i="65" s="1"/>
  <c r="AO90" i="63"/>
  <c r="J90" i="63"/>
  <c r="Z90" i="63"/>
  <c r="AP90" i="63"/>
  <c r="AQ90" i="63"/>
  <c r="L90" i="63"/>
  <c r="K90" i="65" s="1"/>
  <c r="AR90" i="63"/>
  <c r="N90" i="63"/>
  <c r="AD90" i="63"/>
  <c r="AT90" i="63"/>
  <c r="O90" i="63"/>
  <c r="AE90" i="63"/>
  <c r="AU90" i="63"/>
  <c r="P90" i="63"/>
  <c r="AF90" i="63"/>
  <c r="AV90" i="63"/>
  <c r="AG90" i="63"/>
  <c r="AW90" i="63"/>
  <c r="B90" i="63"/>
  <c r="C90" i="63"/>
  <c r="D90" i="63"/>
  <c r="V90" i="65" s="1"/>
  <c r="M90" i="63"/>
  <c r="T90" i="63"/>
  <c r="AH90" i="63"/>
  <c r="AI90" i="63"/>
  <c r="AJ90" i="63"/>
  <c r="AS90" i="63"/>
  <c r="AX90" i="63"/>
  <c r="AY90" i="63"/>
  <c r="AC90" i="63"/>
  <c r="A91" i="63"/>
  <c r="Z90" i="65" l="1"/>
  <c r="AD90" i="65"/>
  <c r="O90" i="65"/>
  <c r="AC90" i="65"/>
  <c r="T90" i="65"/>
  <c r="J90" i="65"/>
  <c r="AA90" i="65"/>
  <c r="G90" i="65"/>
  <c r="P90" i="65"/>
  <c r="W90" i="65"/>
  <c r="I90" i="65"/>
  <c r="C91" i="63"/>
  <c r="AI91" i="63"/>
  <c r="AY91" i="63"/>
  <c r="D91" i="63"/>
  <c r="T91" i="63"/>
  <c r="AJ91" i="63"/>
  <c r="E91" i="63"/>
  <c r="U91" i="63"/>
  <c r="AK91" i="63"/>
  <c r="F91" i="63"/>
  <c r="V91" i="63"/>
  <c r="AL91" i="63"/>
  <c r="G91" i="63"/>
  <c r="W91" i="63"/>
  <c r="AM91" i="63"/>
  <c r="H91" i="63"/>
  <c r="X91" i="63"/>
  <c r="AN91" i="63"/>
  <c r="I91" i="63"/>
  <c r="Y91" i="63"/>
  <c r="AE91" i="65" s="1"/>
  <c r="AO91" i="63"/>
  <c r="J91" i="63"/>
  <c r="Z91" i="63"/>
  <c r="AP91" i="63"/>
  <c r="L91" i="63"/>
  <c r="AR91" i="63"/>
  <c r="M91" i="63"/>
  <c r="AC91" i="63"/>
  <c r="AS91" i="63"/>
  <c r="N91" i="63"/>
  <c r="AD91" i="63"/>
  <c r="AT91" i="63"/>
  <c r="O91" i="63"/>
  <c r="AE91" i="63"/>
  <c r="AU91" i="63"/>
  <c r="P91" i="63"/>
  <c r="Q91" i="63"/>
  <c r="R91" i="63"/>
  <c r="AF91" i="63"/>
  <c r="AG91" i="63"/>
  <c r="AH91" i="63"/>
  <c r="AV91" i="63"/>
  <c r="AW91" i="63"/>
  <c r="AX91" i="63"/>
  <c r="B91" i="63"/>
  <c r="AQ91" i="63"/>
  <c r="A92" i="63"/>
  <c r="Z91" i="65" l="1"/>
  <c r="T91" i="65"/>
  <c r="AC91" i="65"/>
  <c r="AD91" i="65"/>
  <c r="AB91" i="65"/>
  <c r="J91" i="65"/>
  <c r="P91" i="65"/>
  <c r="I91" i="65"/>
  <c r="K91" i="65"/>
  <c r="D91" i="65"/>
  <c r="O91" i="65"/>
  <c r="AA91" i="65"/>
  <c r="V91" i="65"/>
  <c r="W91" i="65"/>
  <c r="G91" i="65"/>
  <c r="Q92" i="63"/>
  <c r="AG92" i="63"/>
  <c r="AW92" i="63"/>
  <c r="B92" i="63"/>
  <c r="R92" i="63"/>
  <c r="AH92" i="63"/>
  <c r="AX92" i="63"/>
  <c r="C92" i="63"/>
  <c r="S92" i="63"/>
  <c r="AI92" i="63"/>
  <c r="AY92" i="63"/>
  <c r="D92" i="63"/>
  <c r="T92" i="63"/>
  <c r="AJ92" i="63"/>
  <c r="E92" i="63"/>
  <c r="U92" i="63"/>
  <c r="AK92" i="63"/>
  <c r="F92" i="63"/>
  <c r="V92" i="63"/>
  <c r="AL92" i="63"/>
  <c r="G92" i="63"/>
  <c r="W92" i="63"/>
  <c r="AM92" i="63"/>
  <c r="H92" i="63"/>
  <c r="G92" i="65" s="1"/>
  <c r="X92" i="63"/>
  <c r="AN92" i="63"/>
  <c r="J92" i="63"/>
  <c r="Z92" i="63"/>
  <c r="AP92" i="63"/>
  <c r="K92" i="63"/>
  <c r="AQ92" i="63"/>
  <c r="L92" i="63"/>
  <c r="AR92" i="63"/>
  <c r="M92" i="63"/>
  <c r="AC92" i="63"/>
  <c r="AS92" i="63"/>
  <c r="Y92" i="63"/>
  <c r="AE92" i="65" s="1"/>
  <c r="AD92" i="63"/>
  <c r="AE92" i="63"/>
  <c r="AF92" i="63"/>
  <c r="AO92" i="63"/>
  <c r="AT92" i="63"/>
  <c r="AU92" i="63"/>
  <c r="AV92" i="63"/>
  <c r="I92" i="63"/>
  <c r="N92" i="63"/>
  <c r="O92" i="63"/>
  <c r="P92" i="63"/>
  <c r="A93" i="63"/>
  <c r="Z92" i="65" l="1"/>
  <c r="AD92" i="65"/>
  <c r="AB92" i="65"/>
  <c r="T92" i="65"/>
  <c r="AC92" i="65"/>
  <c r="J92" i="65"/>
  <c r="K92" i="65"/>
  <c r="D92" i="65"/>
  <c r="W92" i="65"/>
  <c r="I92" i="65"/>
  <c r="O92" i="65"/>
  <c r="AA92" i="65"/>
  <c r="P92" i="65"/>
  <c r="V92" i="65"/>
  <c r="O93" i="63"/>
  <c r="AE93" i="63"/>
  <c r="AU93" i="63"/>
  <c r="P93" i="63"/>
  <c r="AF93" i="63"/>
  <c r="AV93" i="63"/>
  <c r="Q93" i="63"/>
  <c r="AG93" i="63"/>
  <c r="AW93" i="63"/>
  <c r="B93" i="63"/>
  <c r="R93" i="63"/>
  <c r="AH93" i="63"/>
  <c r="AX93" i="63"/>
  <c r="C93" i="63"/>
  <c r="S93" i="63"/>
  <c r="AI93" i="63"/>
  <c r="AY93" i="63"/>
  <c r="D93" i="63"/>
  <c r="T93" i="63"/>
  <c r="AJ93" i="63"/>
  <c r="E93" i="63"/>
  <c r="U93" i="63"/>
  <c r="AK93" i="63"/>
  <c r="F93" i="63"/>
  <c r="V93" i="63"/>
  <c r="AL93" i="63"/>
  <c r="H93" i="63"/>
  <c r="X93" i="63"/>
  <c r="AN93" i="63"/>
  <c r="I93" i="63"/>
  <c r="Y93" i="63"/>
  <c r="AE93" i="65" s="1"/>
  <c r="AO93" i="63"/>
  <c r="J93" i="63"/>
  <c r="Z93" i="63"/>
  <c r="AP93" i="63"/>
  <c r="K93" i="63"/>
  <c r="AQ93" i="63"/>
  <c r="AM93" i="63"/>
  <c r="AR93" i="63"/>
  <c r="AS93" i="63"/>
  <c r="AT93" i="63"/>
  <c r="L93" i="63"/>
  <c r="M93" i="63"/>
  <c r="N93" i="63"/>
  <c r="W93" i="63"/>
  <c r="G93" i="63"/>
  <c r="AC93" i="63"/>
  <c r="AD93" i="63"/>
  <c r="Y92" i="65"/>
  <c r="A94" i="63"/>
  <c r="T93" i="65" l="1"/>
  <c r="AC93" i="65"/>
  <c r="AD93" i="65"/>
  <c r="AB93" i="65"/>
  <c r="Z93" i="65"/>
  <c r="K93" i="65"/>
  <c r="J93" i="65"/>
  <c r="D93" i="65"/>
  <c r="P93" i="65"/>
  <c r="I93" i="65"/>
  <c r="G93" i="65"/>
  <c r="W93" i="65"/>
  <c r="V93" i="65"/>
  <c r="O93" i="65"/>
  <c r="AA93" i="65"/>
  <c r="M94" i="63"/>
  <c r="AC94" i="63"/>
  <c r="AS94" i="63"/>
  <c r="N94" i="63"/>
  <c r="AD94" i="63"/>
  <c r="AT94" i="63"/>
  <c r="O94" i="63"/>
  <c r="AE94" i="63"/>
  <c r="AU94" i="63"/>
  <c r="P94" i="63"/>
  <c r="AF94" i="63"/>
  <c r="AV94" i="63"/>
  <c r="Q94" i="63"/>
  <c r="AG94" i="63"/>
  <c r="AW94" i="63"/>
  <c r="B94" i="63"/>
  <c r="R94" i="63"/>
  <c r="AH94" i="63"/>
  <c r="AX94" i="63"/>
  <c r="D94" i="63"/>
  <c r="T94" i="63"/>
  <c r="AJ94" i="63"/>
  <c r="F94" i="63"/>
  <c r="V94" i="63"/>
  <c r="AL94" i="63"/>
  <c r="G94" i="63"/>
  <c r="W94" i="63"/>
  <c r="AM94" i="63"/>
  <c r="H94" i="63"/>
  <c r="X94" i="63"/>
  <c r="AN94" i="63"/>
  <c r="I94" i="63"/>
  <c r="Y94" i="63"/>
  <c r="AE94" i="65" s="1"/>
  <c r="AO94" i="63"/>
  <c r="AP94" i="63"/>
  <c r="AQ94" i="63"/>
  <c r="AR94" i="63"/>
  <c r="AY94" i="63"/>
  <c r="C94" i="63"/>
  <c r="E94" i="63"/>
  <c r="J94" i="63"/>
  <c r="K94" i="63"/>
  <c r="S94" i="63"/>
  <c r="U94" i="63"/>
  <c r="Z94" i="63"/>
  <c r="L94" i="63"/>
  <c r="AI94" i="63"/>
  <c r="AK94" i="63"/>
  <c r="Y93" i="65"/>
  <c r="A95" i="63"/>
  <c r="J94" i="65" l="1"/>
  <c r="AC94" i="65"/>
  <c r="AD94" i="65"/>
  <c r="AB94" i="65"/>
  <c r="T94" i="65"/>
  <c r="P94" i="65"/>
  <c r="K94" i="65"/>
  <c r="D94" i="65"/>
  <c r="Z94" i="65"/>
  <c r="G94" i="65"/>
  <c r="O94" i="65"/>
  <c r="AA94" i="65"/>
  <c r="V94" i="65"/>
  <c r="I94" i="65"/>
  <c r="W94" i="65"/>
  <c r="Y94" i="65"/>
  <c r="K95" i="63"/>
  <c r="AQ95" i="63"/>
  <c r="L95" i="63"/>
  <c r="K95" i="65" s="1"/>
  <c r="AR95" i="63"/>
  <c r="M95" i="63"/>
  <c r="AC95" i="63"/>
  <c r="AS95" i="63"/>
  <c r="N95" i="63"/>
  <c r="AD95" i="63"/>
  <c r="AT95" i="63"/>
  <c r="O95" i="63"/>
  <c r="AE95" i="63"/>
  <c r="AU95" i="63"/>
  <c r="AF95" i="63"/>
  <c r="AV95" i="63"/>
  <c r="AH95" i="63"/>
  <c r="AX95" i="63"/>
  <c r="T95" i="63"/>
  <c r="AJ95" i="63"/>
  <c r="AK95" i="63"/>
  <c r="V95" i="63"/>
  <c r="AL95" i="63"/>
  <c r="W95" i="63"/>
  <c r="AM95" i="63"/>
  <c r="AO95" i="63"/>
  <c r="AP95" i="63"/>
  <c r="AW95" i="63"/>
  <c r="AY95" i="63"/>
  <c r="H95" i="63"/>
  <c r="I95" i="63"/>
  <c r="J95" i="63"/>
  <c r="S95" i="63"/>
  <c r="Z95" i="63"/>
  <c r="AG95" i="63"/>
  <c r="AI95" i="63"/>
  <c r="AN95" i="63"/>
  <c r="A96" i="63"/>
  <c r="J95" i="65" l="1"/>
  <c r="P95" i="65"/>
  <c r="D95" i="65"/>
  <c r="Z95" i="65"/>
  <c r="G95" i="65"/>
  <c r="V95" i="65"/>
  <c r="W95" i="65"/>
  <c r="I95" i="65"/>
  <c r="O95" i="65"/>
  <c r="AA95" i="65"/>
  <c r="I96" i="63"/>
  <c r="AO96" i="63"/>
  <c r="J96" i="63"/>
  <c r="Z96" i="63"/>
  <c r="AP96" i="63"/>
  <c r="AQ96" i="63"/>
  <c r="L96" i="63"/>
  <c r="AR96" i="63"/>
  <c r="M96" i="63"/>
  <c r="AC96" i="63"/>
  <c r="AS96" i="63"/>
  <c r="N96" i="63"/>
  <c r="AD96" i="63"/>
  <c r="AT96" i="63"/>
  <c r="AF96" i="63"/>
  <c r="AV96" i="63"/>
  <c r="AH96" i="63"/>
  <c r="AI96" i="63"/>
  <c r="AY96" i="63"/>
  <c r="T96" i="63"/>
  <c r="AJ96" i="63"/>
  <c r="AK96" i="63"/>
  <c r="AN96" i="63"/>
  <c r="AU96" i="63"/>
  <c r="AW96" i="63"/>
  <c r="AX96" i="63"/>
  <c r="H96" i="63"/>
  <c r="G96" i="65" s="1"/>
  <c r="O96" i="63"/>
  <c r="V96" i="63"/>
  <c r="W96" i="63"/>
  <c r="AE96" i="63"/>
  <c r="AG96" i="63"/>
  <c r="AL96" i="63"/>
  <c r="AM96" i="63"/>
  <c r="Y95" i="65"/>
  <c r="A97" i="63"/>
  <c r="J96" i="65" l="1"/>
  <c r="Z96" i="65"/>
  <c r="D96" i="65"/>
  <c r="K96" i="65"/>
  <c r="I96" i="65"/>
  <c r="O96" i="65"/>
  <c r="AA96" i="65"/>
  <c r="P96" i="65"/>
  <c r="V96" i="65"/>
  <c r="W96" i="65"/>
  <c r="G97" i="63"/>
  <c r="W97" i="63"/>
  <c r="AM97" i="63"/>
  <c r="H97" i="63"/>
  <c r="X97" i="63"/>
  <c r="AN97" i="63"/>
  <c r="I97" i="63"/>
  <c r="Y97" i="63"/>
  <c r="AE97" i="65" s="1"/>
  <c r="AO97" i="63"/>
  <c r="J97" i="63"/>
  <c r="Z97" i="63"/>
  <c r="AP97" i="63"/>
  <c r="AQ97" i="63"/>
  <c r="L97" i="63"/>
  <c r="AR97" i="63"/>
  <c r="N97" i="63"/>
  <c r="AD97" i="63"/>
  <c r="AT97" i="63"/>
  <c r="AG97" i="63"/>
  <c r="B97" i="63"/>
  <c r="AH97" i="63"/>
  <c r="AX97" i="63"/>
  <c r="C97" i="63"/>
  <c r="AI97" i="63"/>
  <c r="AY97" i="63"/>
  <c r="AJ97" i="63"/>
  <c r="AK97" i="63"/>
  <c r="AL97" i="63"/>
  <c r="AS97" i="63"/>
  <c r="D97" i="63"/>
  <c r="AU97" i="63"/>
  <c r="E97" i="63"/>
  <c r="AV97" i="63"/>
  <c r="F97" i="63"/>
  <c r="AW97" i="63"/>
  <c r="M97" i="63"/>
  <c r="U97" i="63"/>
  <c r="V97" i="63"/>
  <c r="O97" i="63"/>
  <c r="AC97" i="63"/>
  <c r="AE97" i="63"/>
  <c r="AF97" i="63"/>
  <c r="A98" i="63"/>
  <c r="T97" i="65" l="1"/>
  <c r="AD97" i="65"/>
  <c r="AC97" i="65"/>
  <c r="Z97" i="65"/>
  <c r="K97" i="65"/>
  <c r="J97" i="65"/>
  <c r="D97" i="65"/>
  <c r="G97" i="65"/>
  <c r="W97" i="65"/>
  <c r="I97" i="65"/>
  <c r="O97" i="65"/>
  <c r="V97" i="65"/>
  <c r="P97" i="65"/>
  <c r="E98" i="63"/>
  <c r="U98" i="63"/>
  <c r="AK98" i="63"/>
  <c r="F98" i="63"/>
  <c r="V98" i="63"/>
  <c r="D98" i="65" s="1"/>
  <c r="AL98" i="63"/>
  <c r="G98" i="63"/>
  <c r="AM98" i="63"/>
  <c r="X98" i="63"/>
  <c r="AN98" i="63"/>
  <c r="I98" i="63"/>
  <c r="Y98" i="63"/>
  <c r="AO98" i="63"/>
  <c r="J98" i="63"/>
  <c r="Z98" i="63"/>
  <c r="AP98" i="63"/>
  <c r="L98" i="63"/>
  <c r="AR98" i="63"/>
  <c r="P98" i="63"/>
  <c r="AF98" i="63"/>
  <c r="AV98" i="63"/>
  <c r="Q98" i="63"/>
  <c r="AG98" i="63"/>
  <c r="AW98" i="63"/>
  <c r="AC98" i="63"/>
  <c r="AD98" i="63"/>
  <c r="AE98" i="63"/>
  <c r="AH98" i="63"/>
  <c r="AI98" i="63"/>
  <c r="B98" i="63"/>
  <c r="AJ98" i="63"/>
  <c r="D98" i="63"/>
  <c r="AS98" i="63"/>
  <c r="AT98" i="63"/>
  <c r="M98" i="63"/>
  <c r="AU98" i="63"/>
  <c r="N98" i="63"/>
  <c r="AX98" i="63"/>
  <c r="C98" i="63"/>
  <c r="O98" i="63"/>
  <c r="R98" i="63"/>
  <c r="AY98" i="63"/>
  <c r="AQ98" i="63"/>
  <c r="A99" i="63"/>
  <c r="T98" i="65" l="1"/>
  <c r="AD98" i="65"/>
  <c r="AE98" i="65"/>
  <c r="O98" i="65"/>
  <c r="AC98" i="65"/>
  <c r="K98" i="65"/>
  <c r="Z98" i="65"/>
  <c r="AB98" i="65"/>
  <c r="V98" i="65"/>
  <c r="G98" i="65"/>
  <c r="P98" i="65"/>
  <c r="I98" i="65"/>
  <c r="W98" i="65"/>
  <c r="C99" i="63"/>
  <c r="S99" i="63"/>
  <c r="AI99" i="63"/>
  <c r="AY99" i="63"/>
  <c r="D99" i="63"/>
  <c r="AJ99" i="63"/>
  <c r="E99" i="63"/>
  <c r="U99" i="63"/>
  <c r="AK99" i="63"/>
  <c r="F99" i="63"/>
  <c r="V99" i="63"/>
  <c r="AL99" i="63"/>
  <c r="G99" i="63"/>
  <c r="AM99" i="63"/>
  <c r="X99" i="63"/>
  <c r="AN99" i="63"/>
  <c r="J99" i="63"/>
  <c r="Z99" i="63"/>
  <c r="AP99" i="63"/>
  <c r="N99" i="63"/>
  <c r="O99" i="63"/>
  <c r="AE99" i="63"/>
  <c r="K99" i="63"/>
  <c r="AR99" i="63"/>
  <c r="L99" i="63"/>
  <c r="AS99" i="63"/>
  <c r="M99" i="63"/>
  <c r="AT99" i="63"/>
  <c r="P99" i="63"/>
  <c r="AU99" i="63"/>
  <c r="Q99" i="63"/>
  <c r="AV99" i="63"/>
  <c r="R99" i="63"/>
  <c r="AW99" i="63"/>
  <c r="Y99" i="63"/>
  <c r="AE99" i="65" s="1"/>
  <c r="AX99" i="63"/>
  <c r="AC99" i="63"/>
  <c r="AD99" i="63"/>
  <c r="AF99" i="63"/>
  <c r="AG99" i="63"/>
  <c r="B99" i="63"/>
  <c r="AH99" i="63"/>
  <c r="AO99" i="63"/>
  <c r="AQ99" i="63"/>
  <c r="A100" i="63"/>
  <c r="AD99" i="65" l="1"/>
  <c r="T99" i="65"/>
  <c r="AB99" i="65"/>
  <c r="AC99" i="65"/>
  <c r="D99" i="65"/>
  <c r="K99" i="65"/>
  <c r="Z99" i="65"/>
  <c r="I99" i="65"/>
  <c r="P99" i="65"/>
  <c r="V99" i="65"/>
  <c r="W99" i="65"/>
  <c r="O99" i="65"/>
  <c r="Q100" i="63"/>
  <c r="Z100" i="65" s="1"/>
  <c r="AG100" i="63"/>
  <c r="AW100" i="63"/>
  <c r="B100" i="63"/>
  <c r="R100" i="63"/>
  <c r="AH100" i="63"/>
  <c r="AX100" i="63"/>
  <c r="C100" i="63"/>
  <c r="S100" i="63"/>
  <c r="AI100" i="63"/>
  <c r="AY100" i="63"/>
  <c r="D100" i="63"/>
  <c r="T100" i="63"/>
  <c r="AJ100" i="63"/>
  <c r="E100" i="63"/>
  <c r="U100" i="63"/>
  <c r="AK100" i="63"/>
  <c r="F100" i="63"/>
  <c r="V100" i="63"/>
  <c r="D100" i="65" s="1"/>
  <c r="AL100" i="63"/>
  <c r="X100" i="63"/>
  <c r="AN100" i="63"/>
  <c r="AU100" i="63"/>
  <c r="Y100" i="63"/>
  <c r="AE100" i="65" s="1"/>
  <c r="AV100" i="63"/>
  <c r="Z100" i="63"/>
  <c r="AC100" i="63"/>
  <c r="AD100" i="63"/>
  <c r="G100" i="63"/>
  <c r="AE100" i="63"/>
  <c r="J100" i="63"/>
  <c r="AM100" i="63"/>
  <c r="K100" i="63"/>
  <c r="AO100" i="63"/>
  <c r="L100" i="63"/>
  <c r="K100" i="65" s="1"/>
  <c r="AP100" i="63"/>
  <c r="M100" i="63"/>
  <c r="AQ100" i="63"/>
  <c r="N100" i="63"/>
  <c r="O100" i="63"/>
  <c r="P100" i="63"/>
  <c r="AF100" i="63"/>
  <c r="AR100" i="63"/>
  <c r="AS100" i="63"/>
  <c r="AT100" i="63"/>
  <c r="Y99" i="65"/>
  <c r="A101" i="63"/>
  <c r="T100" i="65" l="1"/>
  <c r="AD100" i="65"/>
  <c r="AB100" i="65"/>
  <c r="AC100" i="65"/>
  <c r="Y100" i="65"/>
  <c r="I100" i="65"/>
  <c r="W100" i="65"/>
  <c r="G100" i="65"/>
  <c r="O100" i="65"/>
  <c r="AA100" i="65"/>
  <c r="P100" i="65"/>
  <c r="V100" i="65"/>
  <c r="O101" i="63"/>
  <c r="AE101" i="63"/>
  <c r="AU101" i="63"/>
  <c r="P101" i="63"/>
  <c r="AF101" i="63"/>
  <c r="AV101" i="63"/>
  <c r="Q101" i="63"/>
  <c r="AG101" i="63"/>
  <c r="AW101" i="63"/>
  <c r="R101" i="63"/>
  <c r="AH101" i="63"/>
  <c r="AX101" i="63"/>
  <c r="S101" i="63"/>
  <c r="AI101" i="63"/>
  <c r="AY101" i="63"/>
  <c r="T101" i="63"/>
  <c r="AJ101" i="63"/>
  <c r="V101" i="63"/>
  <c r="D101" i="65" s="1"/>
  <c r="AL101" i="63"/>
  <c r="AC101" i="63"/>
  <c r="AD101" i="63"/>
  <c r="H101" i="63"/>
  <c r="AK101" i="63"/>
  <c r="AM101" i="63"/>
  <c r="J101" i="63"/>
  <c r="AN101" i="63"/>
  <c r="K101" i="63"/>
  <c r="AO101" i="63"/>
  <c r="M101" i="63"/>
  <c r="AQ101" i="63"/>
  <c r="N101" i="63"/>
  <c r="AR101" i="63"/>
  <c r="U101" i="63"/>
  <c r="AS101" i="63"/>
  <c r="W101" i="63"/>
  <c r="AT101" i="63"/>
  <c r="Z101" i="63"/>
  <c r="AP101" i="63"/>
  <c r="L101" i="63"/>
  <c r="A102" i="63"/>
  <c r="Z101" i="65" l="1"/>
  <c r="AB101" i="65"/>
  <c r="AC101" i="65"/>
  <c r="K101" i="65"/>
  <c r="J101" i="65"/>
  <c r="P101" i="65"/>
  <c r="V101" i="65"/>
  <c r="O101" i="65"/>
  <c r="AA101" i="65"/>
  <c r="W101" i="65"/>
  <c r="I101" i="65"/>
  <c r="G101" i="65"/>
  <c r="AC102" i="63"/>
  <c r="AS102" i="63"/>
  <c r="N102" i="63"/>
  <c r="AD102" i="63"/>
  <c r="AT102" i="63"/>
  <c r="O102" i="63"/>
  <c r="AE102" i="63"/>
  <c r="AU102" i="63"/>
  <c r="P102" i="63"/>
  <c r="AF102" i="63"/>
  <c r="AV102" i="63"/>
  <c r="AG102" i="63"/>
  <c r="AW102" i="63"/>
  <c r="AH102" i="63"/>
  <c r="T102" i="63"/>
  <c r="AJ102" i="63"/>
  <c r="AK102" i="63"/>
  <c r="H102" i="63"/>
  <c r="AL102" i="63"/>
  <c r="I102" i="63"/>
  <c r="AM102" i="63"/>
  <c r="J102" i="63"/>
  <c r="AN102" i="63"/>
  <c r="K102" i="63"/>
  <c r="AO102" i="63"/>
  <c r="L102" i="63"/>
  <c r="AP102" i="63"/>
  <c r="S102" i="63"/>
  <c r="AQ102" i="63"/>
  <c r="U102" i="63"/>
  <c r="AR102" i="63"/>
  <c r="W102" i="63"/>
  <c r="AY102" i="63"/>
  <c r="Z102" i="63"/>
  <c r="V102" i="63"/>
  <c r="AI102" i="63"/>
  <c r="AX102" i="63"/>
  <c r="Y101" i="65"/>
  <c r="A103" i="63"/>
  <c r="P102" i="65" l="1"/>
  <c r="AE102" i="65"/>
  <c r="AC102" i="65"/>
  <c r="J102" i="65"/>
  <c r="D102" i="65"/>
  <c r="K102" i="65"/>
  <c r="W102" i="65"/>
  <c r="Z102" i="65"/>
  <c r="G102" i="65"/>
  <c r="I102" i="65"/>
  <c r="V102" i="65"/>
  <c r="O102" i="65"/>
  <c r="AA102" i="65"/>
  <c r="AQ103" i="63"/>
  <c r="L103" i="63"/>
  <c r="AR103" i="63"/>
  <c r="AC103" i="63"/>
  <c r="AS103" i="63"/>
  <c r="N103" i="63"/>
  <c r="AD103" i="63"/>
  <c r="AT103" i="63"/>
  <c r="O103" i="63"/>
  <c r="AE103" i="63"/>
  <c r="AU103" i="63"/>
  <c r="B103" i="63"/>
  <c r="AH103" i="63"/>
  <c r="AX103" i="63"/>
  <c r="I103" i="63"/>
  <c r="AK103" i="63"/>
  <c r="J103" i="63"/>
  <c r="AL103" i="63"/>
  <c r="P103" i="63"/>
  <c r="AM103" i="63"/>
  <c r="AN103" i="63"/>
  <c r="AO103" i="63"/>
  <c r="T103" i="63"/>
  <c r="AP103" i="63"/>
  <c r="U103" i="63"/>
  <c r="AV103" i="63"/>
  <c r="V103" i="63"/>
  <c r="D103" i="65" s="1"/>
  <c r="AW103" i="63"/>
  <c r="X103" i="63"/>
  <c r="C103" i="63"/>
  <c r="Y103" i="63"/>
  <c r="AE103" i="65" s="1"/>
  <c r="D103" i="63"/>
  <c r="Z103" i="63"/>
  <c r="E103" i="63"/>
  <c r="AF103" i="63"/>
  <c r="F103" i="63"/>
  <c r="G103" i="63"/>
  <c r="H103" i="63"/>
  <c r="AG103" i="63"/>
  <c r="AI103" i="63"/>
  <c r="AJ103" i="63"/>
  <c r="AY103" i="63"/>
  <c r="W103" i="63"/>
  <c r="Y102" i="65"/>
  <c r="A104" i="63"/>
  <c r="AD103" i="65" l="1"/>
  <c r="AC103" i="65"/>
  <c r="T103" i="65"/>
  <c r="J103" i="65"/>
  <c r="K103" i="65"/>
  <c r="Z103" i="65"/>
  <c r="W103" i="65"/>
  <c r="I103" i="65"/>
  <c r="V103" i="65"/>
  <c r="O103" i="65"/>
  <c r="AA103" i="65"/>
  <c r="P103" i="65"/>
  <c r="G103" i="65"/>
  <c r="I104" i="63"/>
  <c r="Y104" i="63"/>
  <c r="AE104" i="65" s="1"/>
  <c r="AO104" i="63"/>
  <c r="J104" i="63"/>
  <c r="Z104" i="63"/>
  <c r="AP104" i="63"/>
  <c r="AQ104" i="63"/>
  <c r="L104" i="63"/>
  <c r="AR104" i="63"/>
  <c r="AC104" i="63"/>
  <c r="AS104" i="63"/>
  <c r="P104" i="63"/>
  <c r="AF104" i="63"/>
  <c r="AV104" i="63"/>
  <c r="N104" i="63"/>
  <c r="AK104" i="63"/>
  <c r="O104" i="63"/>
  <c r="AL104" i="63"/>
  <c r="AM104" i="63"/>
  <c r="AN104" i="63"/>
  <c r="AT104" i="63"/>
  <c r="T104" i="63"/>
  <c r="AU104" i="63"/>
  <c r="U104" i="63"/>
  <c r="AW104" i="63"/>
  <c r="V104" i="63"/>
  <c r="D104" i="65" s="1"/>
  <c r="AX104" i="63"/>
  <c r="B104" i="63"/>
  <c r="X104" i="63"/>
  <c r="C104" i="63"/>
  <c r="AD104" i="63"/>
  <c r="D104" i="63"/>
  <c r="AE104" i="63"/>
  <c r="E104" i="63"/>
  <c r="AG104" i="63"/>
  <c r="W104" i="63"/>
  <c r="AH104" i="63"/>
  <c r="AI104" i="63"/>
  <c r="AJ104" i="63"/>
  <c r="AY104" i="63"/>
  <c r="F104" i="63"/>
  <c r="G104" i="63"/>
  <c r="H104" i="63"/>
  <c r="G104" i="65" s="1"/>
  <c r="A105" i="63"/>
  <c r="T104" i="65" l="1"/>
  <c r="AC104" i="65"/>
  <c r="AD104" i="65"/>
  <c r="Z104" i="65"/>
  <c r="K104" i="65"/>
  <c r="J104" i="65"/>
  <c r="W104" i="65"/>
  <c r="I104" i="65"/>
  <c r="V104" i="65"/>
  <c r="O104" i="65"/>
  <c r="AA104" i="65"/>
  <c r="P104" i="65"/>
  <c r="G105" i="63"/>
  <c r="W105" i="63"/>
  <c r="AM105" i="63"/>
  <c r="H105" i="63"/>
  <c r="X105" i="63"/>
  <c r="AN105" i="63"/>
  <c r="I105" i="63"/>
  <c r="Y105" i="63"/>
  <c r="AE105" i="65" s="1"/>
  <c r="AO105" i="63"/>
  <c r="J105" i="63"/>
  <c r="Z105" i="63"/>
  <c r="AP105" i="63"/>
  <c r="AQ105" i="63"/>
  <c r="N105" i="63"/>
  <c r="AD105" i="63"/>
  <c r="AT105" i="63"/>
  <c r="O105" i="63"/>
  <c r="AK105" i="63"/>
  <c r="P105" i="63"/>
  <c r="AL105" i="63"/>
  <c r="Q105" i="63"/>
  <c r="AR105" i="63"/>
  <c r="R105" i="63"/>
  <c r="AS105" i="63"/>
  <c r="AU105" i="63"/>
  <c r="T105" i="63"/>
  <c r="AV105" i="63"/>
  <c r="U105" i="63"/>
  <c r="AW105" i="63"/>
  <c r="V105" i="63"/>
  <c r="D105" i="65" s="1"/>
  <c r="AX105" i="63"/>
  <c r="B105" i="63"/>
  <c r="AC105" i="63"/>
  <c r="C105" i="63"/>
  <c r="AE105" i="63"/>
  <c r="D105" i="63"/>
  <c r="AF105" i="63"/>
  <c r="E105" i="63"/>
  <c r="AG105" i="63"/>
  <c r="F105" i="63"/>
  <c r="L105" i="63"/>
  <c r="M105" i="63"/>
  <c r="AH105" i="63"/>
  <c r="AI105" i="63"/>
  <c r="AJ105" i="63"/>
  <c r="AY105" i="63"/>
  <c r="A106" i="63"/>
  <c r="AB105" i="65" l="1"/>
  <c r="T105" i="65"/>
  <c r="AD105" i="65"/>
  <c r="AC105" i="65"/>
  <c r="Z105" i="65"/>
  <c r="K105" i="65"/>
  <c r="J105" i="65"/>
  <c r="G105" i="65"/>
  <c r="V105" i="65"/>
  <c r="O105" i="65"/>
  <c r="AA105" i="65"/>
  <c r="W105" i="65"/>
  <c r="P105" i="65"/>
  <c r="I105" i="65"/>
  <c r="E106" i="63"/>
  <c r="U106" i="63"/>
  <c r="AK106" i="63"/>
  <c r="F106" i="63"/>
  <c r="G106" i="63"/>
  <c r="W106" i="63"/>
  <c r="AM106" i="63"/>
  <c r="H106" i="63"/>
  <c r="G106" i="65" s="1"/>
  <c r="X106" i="63"/>
  <c r="AN106" i="63"/>
  <c r="I106" i="63"/>
  <c r="Y106" i="63"/>
  <c r="AE106" i="65" s="1"/>
  <c r="AO106" i="63"/>
  <c r="L106" i="63"/>
  <c r="AR106" i="63"/>
  <c r="O106" i="63"/>
  <c r="AJ106" i="63"/>
  <c r="P106" i="63"/>
  <c r="AL106" i="63"/>
  <c r="Q106" i="63"/>
  <c r="AP106" i="63"/>
  <c r="R106" i="63"/>
  <c r="AQ106" i="63"/>
  <c r="S106" i="63"/>
  <c r="AS106" i="63"/>
  <c r="T106" i="63"/>
  <c r="AT106" i="63"/>
  <c r="V106" i="63"/>
  <c r="AU106" i="63"/>
  <c r="Z106" i="63"/>
  <c r="AV106" i="63"/>
  <c r="B106" i="63"/>
  <c r="AC106" i="63"/>
  <c r="AX106" i="63"/>
  <c r="C106" i="63"/>
  <c r="AD106" i="63"/>
  <c r="AY106" i="63"/>
  <c r="D106" i="63"/>
  <c r="V106" i="65" s="1"/>
  <c r="AE106" i="63"/>
  <c r="J106" i="63"/>
  <c r="AF106" i="63"/>
  <c r="AG106" i="63"/>
  <c r="AH106" i="63"/>
  <c r="AI106" i="63"/>
  <c r="AW106" i="63"/>
  <c r="K106" i="63"/>
  <c r="M106" i="63"/>
  <c r="N106" i="63"/>
  <c r="A107" i="63"/>
  <c r="T106" i="65" l="1"/>
  <c r="AD106" i="65"/>
  <c r="Z106" i="65"/>
  <c r="O106" i="65"/>
  <c r="AC106" i="65"/>
  <c r="J106" i="65"/>
  <c r="K106" i="65"/>
  <c r="D106" i="65"/>
  <c r="AA106" i="65"/>
  <c r="AB106" i="65"/>
  <c r="W106" i="65"/>
  <c r="I106" i="65"/>
  <c r="P106" i="65"/>
  <c r="C107" i="63"/>
  <c r="S107" i="63"/>
  <c r="AI107" i="63"/>
  <c r="AY107" i="63"/>
  <c r="E107" i="63"/>
  <c r="F107" i="63"/>
  <c r="G107" i="63"/>
  <c r="K107" i="63"/>
  <c r="AS107" i="63"/>
  <c r="L107" i="63"/>
  <c r="AC107" i="63"/>
  <c r="AT107" i="63"/>
  <c r="M107" i="63"/>
  <c r="AD107" i="63"/>
  <c r="AU107" i="63"/>
  <c r="N107" i="63"/>
  <c r="AE107" i="63"/>
  <c r="AV107" i="63"/>
  <c r="O107" i="63"/>
  <c r="AF107" i="63"/>
  <c r="AW107" i="63"/>
  <c r="P107" i="63"/>
  <c r="AG107" i="63"/>
  <c r="AX107" i="63"/>
  <c r="Q107" i="63"/>
  <c r="AH107" i="63"/>
  <c r="R107" i="63"/>
  <c r="AJ107" i="63"/>
  <c r="U107" i="63"/>
  <c r="AL107" i="63"/>
  <c r="V107" i="63"/>
  <c r="AM107" i="63"/>
  <c r="B107" i="63"/>
  <c r="W107" i="63"/>
  <c r="AN107" i="63"/>
  <c r="D107" i="63"/>
  <c r="X107" i="63"/>
  <c r="AO107" i="63"/>
  <c r="H107" i="63"/>
  <c r="I107" i="63"/>
  <c r="J107" i="63"/>
  <c r="Y107" i="63"/>
  <c r="AE107" i="65" s="1"/>
  <c r="Z107" i="63"/>
  <c r="AK107" i="63"/>
  <c r="AP107" i="63"/>
  <c r="AQ107" i="63"/>
  <c r="AR107" i="63"/>
  <c r="T107" i="63"/>
  <c r="Y106" i="65"/>
  <c r="A108" i="63"/>
  <c r="P107" i="65" l="1"/>
  <c r="AB107" i="65"/>
  <c r="AD107" i="65"/>
  <c r="T107" i="65"/>
  <c r="AC107" i="65"/>
  <c r="D107" i="65"/>
  <c r="J107" i="65"/>
  <c r="K107" i="65"/>
  <c r="Z107" i="65"/>
  <c r="G107" i="65"/>
  <c r="I107" i="65"/>
  <c r="Y107" i="65"/>
  <c r="O107" i="65"/>
  <c r="AA107" i="65"/>
  <c r="V107" i="65"/>
  <c r="W107" i="65"/>
  <c r="Q108" i="63"/>
  <c r="AG108" i="63"/>
  <c r="AW108" i="63"/>
  <c r="L108" i="63"/>
  <c r="K108" i="65" s="1"/>
  <c r="AC108" i="63"/>
  <c r="AT108" i="63"/>
  <c r="M108" i="63"/>
  <c r="AD108" i="63"/>
  <c r="AU108" i="63"/>
  <c r="N108" i="63"/>
  <c r="AE108" i="63"/>
  <c r="AV108" i="63"/>
  <c r="O108" i="63"/>
  <c r="AF108" i="63"/>
  <c r="AX108" i="63"/>
  <c r="P108" i="63"/>
  <c r="AH108" i="63"/>
  <c r="AY108" i="63"/>
  <c r="R108" i="63"/>
  <c r="AI108" i="63"/>
  <c r="B108" i="63"/>
  <c r="S108" i="63"/>
  <c r="AJ108" i="63"/>
  <c r="C108" i="63"/>
  <c r="T108" i="63"/>
  <c r="AK108" i="63"/>
  <c r="E108" i="63"/>
  <c r="V108" i="63"/>
  <c r="AM108" i="63"/>
  <c r="F108" i="63"/>
  <c r="W108" i="63"/>
  <c r="AN108" i="63"/>
  <c r="G108" i="63"/>
  <c r="X108" i="63"/>
  <c r="AO108" i="63"/>
  <c r="H108" i="63"/>
  <c r="Y108" i="63"/>
  <c r="AE108" i="65" s="1"/>
  <c r="AP108" i="63"/>
  <c r="D108" i="63"/>
  <c r="I108" i="63"/>
  <c r="J108" i="63"/>
  <c r="K108" i="63"/>
  <c r="U108" i="63"/>
  <c r="Z108" i="63"/>
  <c r="AQ108" i="63"/>
  <c r="AR108" i="63"/>
  <c r="AS108" i="63"/>
  <c r="AL108" i="63"/>
  <c r="A109" i="63"/>
  <c r="AD108" i="65" l="1"/>
  <c r="AB108" i="65"/>
  <c r="J108" i="65"/>
  <c r="T108" i="65"/>
  <c r="AC108" i="65"/>
  <c r="P108" i="65"/>
  <c r="D108" i="65"/>
  <c r="Z108" i="65"/>
  <c r="W108" i="65"/>
  <c r="O108" i="65"/>
  <c r="AA108" i="65"/>
  <c r="V108" i="65"/>
  <c r="I108" i="65"/>
  <c r="G108" i="65"/>
  <c r="Y108" i="65"/>
  <c r="O109" i="63"/>
  <c r="AE109" i="63"/>
  <c r="AU109" i="63"/>
  <c r="M109" i="63"/>
  <c r="AD109" i="63"/>
  <c r="AV109" i="63"/>
  <c r="N109" i="63"/>
  <c r="AF109" i="63"/>
  <c r="AW109" i="63"/>
  <c r="P109" i="63"/>
  <c r="AG109" i="63"/>
  <c r="AX109" i="63"/>
  <c r="AH109" i="63"/>
  <c r="AY109" i="63"/>
  <c r="AI109" i="63"/>
  <c r="S109" i="63"/>
  <c r="AJ109" i="63"/>
  <c r="T109" i="63"/>
  <c r="AK109" i="63"/>
  <c r="U109" i="63"/>
  <c r="AL109" i="63"/>
  <c r="W109" i="63"/>
  <c r="AN109" i="63"/>
  <c r="AO109" i="63"/>
  <c r="H109" i="63"/>
  <c r="AP109" i="63"/>
  <c r="I109" i="63"/>
  <c r="Z109" i="63"/>
  <c r="AQ109" i="63"/>
  <c r="V109" i="63"/>
  <c r="D109" i="65" s="1"/>
  <c r="AC109" i="63"/>
  <c r="AM109" i="63"/>
  <c r="AR109" i="63"/>
  <c r="AS109" i="63"/>
  <c r="AT109" i="63"/>
  <c r="J109" i="63"/>
  <c r="K109" i="63"/>
  <c r="L109" i="63"/>
  <c r="A110" i="63"/>
  <c r="AC109" i="65" l="1"/>
  <c r="P109" i="65"/>
  <c r="J109" i="65"/>
  <c r="K109" i="65"/>
  <c r="Z109" i="65"/>
  <c r="O109" i="65"/>
  <c r="AA109" i="65"/>
  <c r="W109" i="65"/>
  <c r="G109" i="65"/>
  <c r="I109" i="65"/>
  <c r="M110" i="63"/>
  <c r="AC110" i="63"/>
  <c r="AS110" i="63"/>
  <c r="O110" i="63"/>
  <c r="AF110" i="63"/>
  <c r="AW110" i="63"/>
  <c r="P110" i="63"/>
  <c r="AG110" i="63"/>
  <c r="AX110" i="63"/>
  <c r="AH110" i="63"/>
  <c r="AY110" i="63"/>
  <c r="AI110" i="63"/>
  <c r="AJ110" i="63"/>
  <c r="T110" i="63"/>
  <c r="AK110" i="63"/>
  <c r="U110" i="63"/>
  <c r="AL110" i="63"/>
  <c r="V110" i="63"/>
  <c r="AM110" i="63"/>
  <c r="AO110" i="63"/>
  <c r="H110" i="63"/>
  <c r="AP110" i="63"/>
  <c r="I110" i="63"/>
  <c r="Z110" i="63"/>
  <c r="P110" i="65" s="1"/>
  <c r="AQ110" i="63"/>
  <c r="J110" i="63"/>
  <c r="AR110" i="63"/>
  <c r="AN110" i="63"/>
  <c r="AT110" i="63"/>
  <c r="AU110" i="63"/>
  <c r="AV110" i="63"/>
  <c r="L110" i="63"/>
  <c r="N110" i="63"/>
  <c r="W110" i="63"/>
  <c r="AD110" i="63"/>
  <c r="AE110" i="63"/>
  <c r="Y109" i="65"/>
  <c r="A111" i="63"/>
  <c r="AC110" i="65" l="1"/>
  <c r="D110" i="65"/>
  <c r="J110" i="65"/>
  <c r="K110" i="65"/>
  <c r="Z110" i="65"/>
  <c r="O110" i="65"/>
  <c r="AA110" i="65"/>
  <c r="V110" i="65"/>
  <c r="G110" i="65"/>
  <c r="I110" i="65"/>
  <c r="W110" i="65"/>
  <c r="AQ111" i="63"/>
  <c r="P111" i="63"/>
  <c r="AG111" i="63"/>
  <c r="AX111" i="63"/>
  <c r="AH111" i="63"/>
  <c r="AY111" i="63"/>
  <c r="AI111" i="63"/>
  <c r="B111" i="63"/>
  <c r="AJ111" i="63"/>
  <c r="C111" i="63"/>
  <c r="T111" i="63"/>
  <c r="AK111" i="63"/>
  <c r="D111" i="63"/>
  <c r="U111" i="63"/>
  <c r="AL111" i="63"/>
  <c r="E111" i="63"/>
  <c r="V111" i="63"/>
  <c r="D111" i="65" s="1"/>
  <c r="AM111" i="63"/>
  <c r="F111" i="63"/>
  <c r="W111" i="63"/>
  <c r="AN111" i="63"/>
  <c r="H111" i="63"/>
  <c r="Y111" i="63"/>
  <c r="AP111" i="63"/>
  <c r="I111" i="63"/>
  <c r="Z111" i="63"/>
  <c r="AR111" i="63"/>
  <c r="J111" i="63"/>
  <c r="AS111" i="63"/>
  <c r="L111" i="63"/>
  <c r="K111" i="65" s="1"/>
  <c r="AC111" i="63"/>
  <c r="AT111" i="63"/>
  <c r="G111" i="63"/>
  <c r="M111" i="63"/>
  <c r="N111" i="63"/>
  <c r="O111" i="63"/>
  <c r="AD111" i="63"/>
  <c r="AE111" i="63"/>
  <c r="AF111" i="63"/>
  <c r="AO111" i="63"/>
  <c r="X111" i="63"/>
  <c r="AU111" i="63"/>
  <c r="AV111" i="63"/>
  <c r="AW111" i="63"/>
  <c r="A112" i="63"/>
  <c r="P111" i="65" l="1"/>
  <c r="T111" i="65"/>
  <c r="AD111" i="65"/>
  <c r="AE111" i="65"/>
  <c r="O111" i="65"/>
  <c r="AC111" i="65"/>
  <c r="Z111" i="65"/>
  <c r="J111" i="65"/>
  <c r="AA111" i="65"/>
  <c r="I111" i="65"/>
  <c r="W111" i="65"/>
  <c r="V111" i="65"/>
  <c r="G111" i="65"/>
  <c r="I112" i="63"/>
  <c r="Y112" i="63"/>
  <c r="AE112" i="65" s="1"/>
  <c r="AO112" i="63"/>
  <c r="Q112" i="63"/>
  <c r="AH112" i="63"/>
  <c r="AY112" i="63"/>
  <c r="R112" i="63"/>
  <c r="AI112" i="63"/>
  <c r="B112" i="63"/>
  <c r="AJ112" i="63"/>
  <c r="C112" i="63"/>
  <c r="T112" i="63"/>
  <c r="AK112" i="63"/>
  <c r="D112" i="63"/>
  <c r="U112" i="63"/>
  <c r="AL112" i="63"/>
  <c r="E112" i="63"/>
  <c r="V112" i="63"/>
  <c r="AM112" i="63"/>
  <c r="F112" i="63"/>
  <c r="W112" i="63"/>
  <c r="AN112" i="63"/>
  <c r="G112" i="63"/>
  <c r="X112" i="63"/>
  <c r="AP112" i="63"/>
  <c r="J112" i="63"/>
  <c r="AR112" i="63"/>
  <c r="AS112" i="63"/>
  <c r="L112" i="63"/>
  <c r="AC112" i="63"/>
  <c r="AT112" i="63"/>
  <c r="M112" i="63"/>
  <c r="AD112" i="63"/>
  <c r="AU112" i="63"/>
  <c r="H112" i="63"/>
  <c r="G112" i="65" s="1"/>
  <c r="N112" i="63"/>
  <c r="O112" i="63"/>
  <c r="P112" i="63"/>
  <c r="Z112" i="63"/>
  <c r="AE112" i="63"/>
  <c r="AF112" i="63"/>
  <c r="AG112" i="63"/>
  <c r="AV112" i="63"/>
  <c r="AW112" i="63"/>
  <c r="AX112" i="63"/>
  <c r="AQ112" i="63"/>
  <c r="A113" i="63"/>
  <c r="T112" i="65" l="1"/>
  <c r="Z112" i="65"/>
  <c r="AC112" i="65"/>
  <c r="AD112" i="65"/>
  <c r="AB112" i="65"/>
  <c r="J112" i="65"/>
  <c r="D112" i="65"/>
  <c r="K112" i="65"/>
  <c r="I112" i="65"/>
  <c r="O112" i="65"/>
  <c r="AA112" i="65"/>
  <c r="V112" i="65"/>
  <c r="W112" i="65"/>
  <c r="P112" i="65"/>
  <c r="G113" i="63"/>
  <c r="W113" i="63"/>
  <c r="AM113" i="63"/>
  <c r="R113" i="63"/>
  <c r="AI113" i="63"/>
  <c r="B113" i="63"/>
  <c r="S113" i="63"/>
  <c r="AJ113" i="63"/>
  <c r="C113" i="63"/>
  <c r="T113" i="63"/>
  <c r="AK113" i="63"/>
  <c r="D113" i="63"/>
  <c r="U113" i="63"/>
  <c r="AL113" i="63"/>
  <c r="E113" i="63"/>
  <c r="V113" i="63"/>
  <c r="AN113" i="63"/>
  <c r="F113" i="63"/>
  <c r="X113" i="63"/>
  <c r="AO113" i="63"/>
  <c r="H113" i="63"/>
  <c r="Y113" i="63"/>
  <c r="AE113" i="65" s="1"/>
  <c r="AP113" i="63"/>
  <c r="I113" i="63"/>
  <c r="Z113" i="63"/>
  <c r="AQ113" i="63"/>
  <c r="K113" i="63"/>
  <c r="AS113" i="63"/>
  <c r="L113" i="63"/>
  <c r="AC113" i="63"/>
  <c r="AT113" i="63"/>
  <c r="M113" i="63"/>
  <c r="AD113" i="63"/>
  <c r="AU113" i="63"/>
  <c r="N113" i="63"/>
  <c r="AE113" i="63"/>
  <c r="AV113" i="63"/>
  <c r="AF113" i="63"/>
  <c r="AG113" i="63"/>
  <c r="AH113" i="63"/>
  <c r="AR113" i="63"/>
  <c r="AW113" i="63"/>
  <c r="AX113" i="63"/>
  <c r="AY113" i="63"/>
  <c r="J113" i="63"/>
  <c r="O113" i="63"/>
  <c r="P113" i="63"/>
  <c r="Q113" i="63"/>
  <c r="W113" i="65"/>
  <c r="A114" i="63"/>
  <c r="AD113" i="65" l="1"/>
  <c r="T113" i="65"/>
  <c r="AB113" i="65"/>
  <c r="AC113" i="65"/>
  <c r="P113" i="65"/>
  <c r="J113" i="65"/>
  <c r="K113" i="65"/>
  <c r="D113" i="65"/>
  <c r="Z113" i="65"/>
  <c r="I113" i="65"/>
  <c r="O113" i="65"/>
  <c r="AA113" i="65"/>
  <c r="V113" i="65"/>
  <c r="G113" i="65"/>
  <c r="E114" i="63"/>
  <c r="U114" i="63"/>
  <c r="AK114" i="63"/>
  <c r="B114" i="63"/>
  <c r="S114" i="63"/>
  <c r="AJ114" i="63"/>
  <c r="C114" i="63"/>
  <c r="T114" i="63"/>
  <c r="AL114" i="63"/>
  <c r="D114" i="63"/>
  <c r="V114" i="65" s="1"/>
  <c r="V114" i="63"/>
  <c r="AM114" i="63"/>
  <c r="F114" i="63"/>
  <c r="W114" i="63"/>
  <c r="AN114" i="63"/>
  <c r="G114" i="63"/>
  <c r="X114" i="63"/>
  <c r="AO114" i="63"/>
  <c r="H114" i="63"/>
  <c r="Y114" i="63"/>
  <c r="AP114" i="63"/>
  <c r="I114" i="63"/>
  <c r="O114" i="65" s="1"/>
  <c r="Z114" i="63"/>
  <c r="AQ114" i="63"/>
  <c r="J114" i="63"/>
  <c r="AR114" i="63"/>
  <c r="L114" i="63"/>
  <c r="AC114" i="63"/>
  <c r="AT114" i="63"/>
  <c r="M114" i="63"/>
  <c r="AD114" i="63"/>
  <c r="AU114" i="63"/>
  <c r="N114" i="63"/>
  <c r="AE114" i="63"/>
  <c r="AV114" i="63"/>
  <c r="O114" i="63"/>
  <c r="AF114" i="63"/>
  <c r="AW114" i="63"/>
  <c r="AS114" i="63"/>
  <c r="AX114" i="63"/>
  <c r="AY114" i="63"/>
  <c r="P114" i="63"/>
  <c r="Q114" i="63"/>
  <c r="R114" i="63"/>
  <c r="K114" i="63"/>
  <c r="AG114" i="63"/>
  <c r="AH114" i="63"/>
  <c r="AI114" i="63"/>
  <c r="Y113" i="65"/>
  <c r="A115" i="63"/>
  <c r="AD114" i="65" l="1"/>
  <c r="AE114" i="65"/>
  <c r="T114" i="65"/>
  <c r="AC114" i="65"/>
  <c r="P114" i="65"/>
  <c r="J114" i="65"/>
  <c r="K114" i="65"/>
  <c r="D114" i="65"/>
  <c r="W114" i="65"/>
  <c r="Z114" i="65"/>
  <c r="AA114" i="65"/>
  <c r="AB114" i="65"/>
  <c r="G114" i="65"/>
  <c r="I114" i="65"/>
  <c r="S115" i="63"/>
  <c r="AI115" i="63"/>
  <c r="AY115" i="63"/>
  <c r="U115" i="63"/>
  <c r="AL115" i="63"/>
  <c r="AM115" i="63"/>
  <c r="W115" i="63"/>
  <c r="AN115" i="63"/>
  <c r="AO115" i="63"/>
  <c r="H115" i="63"/>
  <c r="AP115" i="63"/>
  <c r="I115" i="63"/>
  <c r="Z115" i="63"/>
  <c r="AQ115" i="63"/>
  <c r="J115" i="63"/>
  <c r="AR115" i="63"/>
  <c r="K115" i="63"/>
  <c r="AS115" i="63"/>
  <c r="M115" i="63"/>
  <c r="AD115" i="63"/>
  <c r="AU115" i="63"/>
  <c r="AE115" i="63"/>
  <c r="AV115" i="63"/>
  <c r="O115" i="63"/>
  <c r="AF115" i="63"/>
  <c r="AW115" i="63"/>
  <c r="P115" i="63"/>
  <c r="AG115" i="63"/>
  <c r="AX115" i="63"/>
  <c r="L115" i="63"/>
  <c r="Q115" i="63"/>
  <c r="R115" i="63"/>
  <c r="T115" i="63"/>
  <c r="AH115" i="63"/>
  <c r="AJ115" i="63"/>
  <c r="AK115" i="63"/>
  <c r="AT115" i="63"/>
  <c r="AC115" i="63"/>
  <c r="Y114" i="65"/>
  <c r="A116" i="63"/>
  <c r="AC115" i="65" l="1"/>
  <c r="AB115" i="65"/>
  <c r="Z115" i="65"/>
  <c r="K115" i="65"/>
  <c r="D115" i="65"/>
  <c r="P115" i="65"/>
  <c r="I115" i="65"/>
  <c r="O115" i="65"/>
  <c r="AA115" i="65"/>
  <c r="V115" i="65"/>
  <c r="G115" i="65"/>
  <c r="W115" i="65"/>
  <c r="AG116" i="63"/>
  <c r="AM116" i="63"/>
  <c r="W116" i="63"/>
  <c r="AN116" i="63"/>
  <c r="AO116" i="63"/>
  <c r="H116" i="63"/>
  <c r="AP116" i="63"/>
  <c r="I116" i="63"/>
  <c r="Z116" i="63"/>
  <c r="AQ116" i="63"/>
  <c r="J116" i="63"/>
  <c r="AR116" i="63"/>
  <c r="K116" i="63"/>
  <c r="AS116" i="63"/>
  <c r="L116" i="63"/>
  <c r="AC116" i="63"/>
  <c r="AT116" i="63"/>
  <c r="AE116" i="63"/>
  <c r="AV116" i="63"/>
  <c r="AF116" i="63"/>
  <c r="AW116" i="63"/>
  <c r="P116" i="63"/>
  <c r="AH116" i="63"/>
  <c r="AX116" i="63"/>
  <c r="AI116" i="63"/>
  <c r="AY116" i="63"/>
  <c r="M116" i="63"/>
  <c r="S116" i="63"/>
  <c r="T116" i="63"/>
  <c r="U116" i="63"/>
  <c r="AD116" i="63"/>
  <c r="AJ116" i="63"/>
  <c r="AK116" i="63"/>
  <c r="AL116" i="63"/>
  <c r="AU116" i="63"/>
  <c r="Y115" i="65"/>
  <c r="A117" i="63"/>
  <c r="AC116" i="65" l="1"/>
  <c r="P116" i="65"/>
  <c r="I116" i="65"/>
  <c r="K116" i="65"/>
  <c r="Z116" i="65"/>
  <c r="W116" i="65"/>
  <c r="O116" i="65"/>
  <c r="AA116" i="65"/>
  <c r="V116" i="65"/>
  <c r="G116" i="65"/>
  <c r="E117" i="63"/>
  <c r="U117" i="63"/>
  <c r="AK117" i="63"/>
  <c r="F117" i="63"/>
  <c r="AL117" i="63"/>
  <c r="G117" i="63"/>
  <c r="W117" i="63"/>
  <c r="AM117" i="63"/>
  <c r="H117" i="63"/>
  <c r="G117" i="65" s="1"/>
  <c r="X117" i="63"/>
  <c r="AN117" i="63"/>
  <c r="I117" i="63"/>
  <c r="Y117" i="63"/>
  <c r="AE117" i="65" s="1"/>
  <c r="AO117" i="63"/>
  <c r="J117" i="63"/>
  <c r="Z117" i="63"/>
  <c r="AP117" i="63"/>
  <c r="AQ117" i="63"/>
  <c r="L117" i="63"/>
  <c r="K117" i="65" s="1"/>
  <c r="AR117" i="63"/>
  <c r="AD117" i="63"/>
  <c r="AT117" i="63"/>
  <c r="AE117" i="63"/>
  <c r="AU117" i="63"/>
  <c r="P117" i="63"/>
  <c r="AF117" i="63"/>
  <c r="AV117" i="63"/>
  <c r="AG117" i="63"/>
  <c r="AW117" i="63"/>
  <c r="AC117" i="63"/>
  <c r="AH117" i="63"/>
  <c r="AI117" i="63"/>
  <c r="AJ117" i="63"/>
  <c r="AS117" i="63"/>
  <c r="AX117" i="63"/>
  <c r="AY117" i="63"/>
  <c r="B117" i="63"/>
  <c r="C117" i="63"/>
  <c r="D117" i="63"/>
  <c r="M117" i="63"/>
  <c r="T117" i="63"/>
  <c r="Y116" i="65"/>
  <c r="A118" i="63"/>
  <c r="T117" i="65" l="1"/>
  <c r="AD117" i="65"/>
  <c r="O117" i="65"/>
  <c r="AC117" i="65"/>
  <c r="Z117" i="65"/>
  <c r="D117" i="65"/>
  <c r="P117" i="65"/>
  <c r="W117" i="65"/>
  <c r="AA117" i="65"/>
  <c r="I117" i="65"/>
  <c r="V117" i="65"/>
  <c r="C118" i="63"/>
  <c r="AI118" i="63"/>
  <c r="AY118" i="63"/>
  <c r="D118" i="63"/>
  <c r="AJ118" i="63"/>
  <c r="E118" i="63"/>
  <c r="U118" i="63"/>
  <c r="AK118" i="63"/>
  <c r="F118" i="63"/>
  <c r="V118" i="63"/>
  <c r="AL118" i="63"/>
  <c r="G118" i="63"/>
  <c r="W118" i="63"/>
  <c r="AM118" i="63"/>
  <c r="H118" i="63"/>
  <c r="X118" i="63"/>
  <c r="AN118" i="63"/>
  <c r="I118" i="63"/>
  <c r="Y118" i="63"/>
  <c r="AE118" i="65" s="1"/>
  <c r="AO118" i="63"/>
  <c r="J118" i="63"/>
  <c r="Z118" i="63"/>
  <c r="AP118" i="63"/>
  <c r="L118" i="63"/>
  <c r="AR118" i="63"/>
  <c r="M118" i="63"/>
  <c r="AC118" i="63"/>
  <c r="AS118" i="63"/>
  <c r="N118" i="63"/>
  <c r="AD118" i="63"/>
  <c r="AT118" i="63"/>
  <c r="AE118" i="63"/>
  <c r="AU118" i="63"/>
  <c r="AQ118" i="63"/>
  <c r="AV118" i="63"/>
  <c r="AW118" i="63"/>
  <c r="AX118" i="63"/>
  <c r="B118" i="63"/>
  <c r="P118" i="63"/>
  <c r="AF118" i="63"/>
  <c r="AG118" i="63"/>
  <c r="AH118" i="63"/>
  <c r="A119" i="63"/>
  <c r="AC118" i="65" l="1"/>
  <c r="AD118" i="65"/>
  <c r="T118" i="65"/>
  <c r="J118" i="65"/>
  <c r="D118" i="65"/>
  <c r="K118" i="65"/>
  <c r="W118" i="65"/>
  <c r="Z118" i="65"/>
  <c r="P118" i="65"/>
  <c r="I118" i="65"/>
  <c r="V118" i="65"/>
  <c r="O118" i="65"/>
  <c r="G118" i="65"/>
  <c r="Q119" i="63"/>
  <c r="AG119" i="63"/>
  <c r="AW119" i="63"/>
  <c r="B119" i="63"/>
  <c r="R119" i="63"/>
  <c r="AH119" i="63"/>
  <c r="AX119" i="63"/>
  <c r="C119" i="63"/>
  <c r="AI119" i="63"/>
  <c r="AY119" i="63"/>
  <c r="D119" i="63"/>
  <c r="AJ119" i="63"/>
  <c r="E119" i="63"/>
  <c r="U119" i="63"/>
  <c r="AK119" i="63"/>
  <c r="F119" i="63"/>
  <c r="V119" i="63"/>
  <c r="D119" i="65" s="1"/>
  <c r="AL119" i="63"/>
  <c r="G119" i="63"/>
  <c r="W119" i="63"/>
  <c r="AM119" i="63"/>
  <c r="H119" i="63"/>
  <c r="G119" i="65" s="1"/>
  <c r="X119" i="63"/>
  <c r="AN119" i="63"/>
  <c r="J119" i="63"/>
  <c r="Z119" i="63"/>
  <c r="AP119" i="63"/>
  <c r="AQ119" i="63"/>
  <c r="L119" i="63"/>
  <c r="AR119" i="63"/>
  <c r="M119" i="63"/>
  <c r="AC119" i="63"/>
  <c r="AS119" i="63"/>
  <c r="I119" i="63"/>
  <c r="N119" i="63"/>
  <c r="O119" i="63"/>
  <c r="P119" i="63"/>
  <c r="AD119" i="63"/>
  <c r="AE119" i="63"/>
  <c r="AF119" i="63"/>
  <c r="AO119" i="63"/>
  <c r="Y119" i="63"/>
  <c r="AE119" i="65" s="1"/>
  <c r="AT119" i="63"/>
  <c r="AU119" i="63"/>
  <c r="AV119" i="63"/>
  <c r="A120" i="63"/>
  <c r="AB119" i="65" l="1"/>
  <c r="Z119" i="65"/>
  <c r="AC119" i="65"/>
  <c r="AD119" i="65"/>
  <c r="T119" i="65"/>
  <c r="J119" i="65"/>
  <c r="K119" i="65"/>
  <c r="W119" i="65"/>
  <c r="I119" i="65"/>
  <c r="O119" i="65"/>
  <c r="P119" i="65"/>
  <c r="V119" i="65"/>
  <c r="O120" i="63"/>
  <c r="AE120" i="63"/>
  <c r="AU120" i="63"/>
  <c r="P120" i="63"/>
  <c r="AF120" i="63"/>
  <c r="AV120" i="63"/>
  <c r="Q120" i="63"/>
  <c r="AG120" i="63"/>
  <c r="AW120" i="63"/>
  <c r="B120" i="63"/>
  <c r="R120" i="63"/>
  <c r="AH120" i="63"/>
  <c r="AX120" i="63"/>
  <c r="C120" i="63"/>
  <c r="S120" i="63"/>
  <c r="AI120" i="63"/>
  <c r="AY120" i="63"/>
  <c r="D120" i="63"/>
  <c r="AJ120" i="63"/>
  <c r="E120" i="63"/>
  <c r="U120" i="63"/>
  <c r="AK120" i="63"/>
  <c r="F120" i="63"/>
  <c r="V120" i="63"/>
  <c r="D120" i="65" s="1"/>
  <c r="AL120" i="63"/>
  <c r="H120" i="63"/>
  <c r="X120" i="63"/>
  <c r="AN120" i="63"/>
  <c r="I120" i="63"/>
  <c r="Y120" i="63"/>
  <c r="AO120" i="63"/>
  <c r="J120" i="63"/>
  <c r="Z120" i="63"/>
  <c r="AP120" i="63"/>
  <c r="K120" i="63"/>
  <c r="AQ120" i="63"/>
  <c r="G120" i="63"/>
  <c r="L120" i="63"/>
  <c r="K120" i="65" s="1"/>
  <c r="M120" i="63"/>
  <c r="N120" i="63"/>
  <c r="W120" i="63"/>
  <c r="AC120" i="63"/>
  <c r="AD120" i="63"/>
  <c r="AR120" i="63"/>
  <c r="AS120" i="63"/>
  <c r="AT120" i="63"/>
  <c r="AM120" i="63"/>
  <c r="A121" i="63"/>
  <c r="T120" i="65" l="1"/>
  <c r="AD120" i="65"/>
  <c r="AE120" i="65"/>
  <c r="Z120" i="65"/>
  <c r="AB120" i="65"/>
  <c r="AC120" i="65"/>
  <c r="J120" i="65"/>
  <c r="G120" i="65"/>
  <c r="I120" i="65"/>
  <c r="O120" i="65"/>
  <c r="V120" i="65"/>
  <c r="P120" i="65"/>
  <c r="W120" i="65"/>
  <c r="M121" i="63"/>
  <c r="AC121" i="63"/>
  <c r="AS121" i="63"/>
  <c r="N121" i="63"/>
  <c r="AD121" i="63"/>
  <c r="AT121" i="63"/>
  <c r="O121" i="63"/>
  <c r="AE121" i="63"/>
  <c r="AU121" i="63"/>
  <c r="P121" i="63"/>
  <c r="AF121" i="63"/>
  <c r="AV121" i="63"/>
  <c r="Q121" i="63"/>
  <c r="AG121" i="63"/>
  <c r="AW121" i="63"/>
  <c r="B121" i="63"/>
  <c r="R121" i="63"/>
  <c r="AH121" i="63"/>
  <c r="AX121" i="63"/>
  <c r="C121" i="63"/>
  <c r="S121" i="63"/>
  <c r="AI121" i="63"/>
  <c r="AY121" i="63"/>
  <c r="D121" i="63"/>
  <c r="T121" i="63"/>
  <c r="AJ121" i="63"/>
  <c r="F121" i="63"/>
  <c r="V121" i="63"/>
  <c r="AL121" i="63"/>
  <c r="G121" i="63"/>
  <c r="W121" i="63"/>
  <c r="AM121" i="63"/>
  <c r="H121" i="63"/>
  <c r="X121" i="63"/>
  <c r="AN121" i="63"/>
  <c r="I121" i="63"/>
  <c r="Y121" i="63"/>
  <c r="AE121" i="65" s="1"/>
  <c r="AO121" i="63"/>
  <c r="U121" i="63"/>
  <c r="Z121" i="63"/>
  <c r="AK121" i="63"/>
  <c r="AP121" i="63"/>
  <c r="AQ121" i="63"/>
  <c r="AR121" i="63"/>
  <c r="E121" i="63"/>
  <c r="J121" i="63"/>
  <c r="K121" i="63"/>
  <c r="L121" i="63"/>
  <c r="Y120" i="65"/>
  <c r="A122" i="63"/>
  <c r="T121" i="65" l="1"/>
  <c r="AC121" i="65"/>
  <c r="AD121" i="65"/>
  <c r="AB121" i="65"/>
  <c r="P121" i="65"/>
  <c r="K121" i="65"/>
  <c r="D121" i="65"/>
  <c r="J121" i="65"/>
  <c r="Z121" i="65"/>
  <c r="W121" i="65"/>
  <c r="V121" i="65"/>
  <c r="I121" i="65"/>
  <c r="G121" i="65"/>
  <c r="O121" i="65"/>
  <c r="AA121" i="65"/>
  <c r="K122" i="63"/>
  <c r="AQ122" i="63"/>
  <c r="L122" i="63"/>
  <c r="K122" i="65" s="1"/>
  <c r="AR122" i="63"/>
  <c r="M122" i="63"/>
  <c r="AC122" i="63"/>
  <c r="AS122" i="63"/>
  <c r="N122" i="63"/>
  <c r="AD122" i="63"/>
  <c r="AT122" i="63"/>
  <c r="O122" i="63"/>
  <c r="AE122" i="63"/>
  <c r="AU122" i="63"/>
  <c r="P122" i="63"/>
  <c r="AF122" i="63"/>
  <c r="AV122" i="63"/>
  <c r="Q122" i="63"/>
  <c r="AG122" i="63"/>
  <c r="AW122" i="63"/>
  <c r="B122" i="63"/>
  <c r="R122" i="63"/>
  <c r="AH122" i="63"/>
  <c r="AX122" i="63"/>
  <c r="D122" i="63"/>
  <c r="T122" i="63"/>
  <c r="AJ122" i="63"/>
  <c r="E122" i="63"/>
  <c r="U122" i="63"/>
  <c r="AK122" i="63"/>
  <c r="F122" i="63"/>
  <c r="V122" i="63"/>
  <c r="AL122" i="63"/>
  <c r="G122" i="63"/>
  <c r="W122" i="63"/>
  <c r="AM122" i="63"/>
  <c r="AI122" i="63"/>
  <c r="AN122" i="63"/>
  <c r="AO122" i="63"/>
  <c r="AP122" i="63"/>
  <c r="AY122" i="63"/>
  <c r="H122" i="63"/>
  <c r="I122" i="63"/>
  <c r="J122" i="63"/>
  <c r="S122" i="63"/>
  <c r="C122" i="63"/>
  <c r="X122" i="63"/>
  <c r="Y122" i="63"/>
  <c r="AE122" i="65" s="1"/>
  <c r="Z122" i="63"/>
  <c r="Y121" i="65"/>
  <c r="A123" i="63"/>
  <c r="T122" i="65" l="1"/>
  <c r="V122" i="65"/>
  <c r="Z122" i="65"/>
  <c r="AC122" i="65"/>
  <c r="AD122" i="65"/>
  <c r="AB122" i="65"/>
  <c r="P122" i="65"/>
  <c r="D122" i="65"/>
  <c r="J122" i="65"/>
  <c r="W122" i="65"/>
  <c r="I122" i="65"/>
  <c r="G122" i="65"/>
  <c r="O122" i="65"/>
  <c r="AA122" i="65"/>
  <c r="I123" i="63"/>
  <c r="AO123" i="63"/>
  <c r="J123" i="63"/>
  <c r="Z123" i="63"/>
  <c r="AP123" i="63"/>
  <c r="K123" i="63"/>
  <c r="AQ123" i="63"/>
  <c r="L123" i="63"/>
  <c r="AR123" i="63"/>
  <c r="M123" i="63"/>
  <c r="AC123" i="63"/>
  <c r="AS123" i="63"/>
  <c r="N123" i="63"/>
  <c r="AD123" i="63"/>
  <c r="AT123" i="63"/>
  <c r="O123" i="63"/>
  <c r="AE123" i="63"/>
  <c r="AU123" i="63"/>
  <c r="P123" i="63"/>
  <c r="AF123" i="63"/>
  <c r="AV123" i="63"/>
  <c r="AH123" i="63"/>
  <c r="AX123" i="63"/>
  <c r="S123" i="63"/>
  <c r="AI123" i="63"/>
  <c r="AY123" i="63"/>
  <c r="T123" i="63"/>
  <c r="AJ123" i="63"/>
  <c r="U123" i="63"/>
  <c r="AK123" i="63"/>
  <c r="AW123" i="63"/>
  <c r="H123" i="63"/>
  <c r="G123" i="65" s="1"/>
  <c r="V123" i="63"/>
  <c r="W123" i="63"/>
  <c r="AG123" i="63"/>
  <c r="AL123" i="63"/>
  <c r="AM123" i="63"/>
  <c r="AN123" i="63"/>
  <c r="Y122" i="65"/>
  <c r="A124" i="63"/>
  <c r="AE123" i="65" l="1"/>
  <c r="AC123" i="65"/>
  <c r="J123" i="65"/>
  <c r="I123" i="65"/>
  <c r="K123" i="65"/>
  <c r="D123" i="65"/>
  <c r="P123" i="65"/>
  <c r="O123" i="65"/>
  <c r="AA123" i="65"/>
  <c r="V123" i="65"/>
  <c r="W123" i="65"/>
  <c r="W124" i="63"/>
  <c r="AM124" i="63"/>
  <c r="H124" i="63"/>
  <c r="AN124" i="63"/>
  <c r="I124" i="63"/>
  <c r="AO124" i="63"/>
  <c r="J124" i="63"/>
  <c r="Z124" i="63"/>
  <c r="AP124" i="63"/>
  <c r="AQ124" i="63"/>
  <c r="L124" i="63"/>
  <c r="AR124" i="63"/>
  <c r="M124" i="63"/>
  <c r="AC124" i="63"/>
  <c r="AS124" i="63"/>
  <c r="N124" i="63"/>
  <c r="AD124" i="63"/>
  <c r="AT124" i="63"/>
  <c r="P124" i="63"/>
  <c r="AF124" i="63"/>
  <c r="AV124" i="63"/>
  <c r="AG124" i="63"/>
  <c r="AW124" i="63"/>
  <c r="AH124" i="63"/>
  <c r="AX124" i="63"/>
  <c r="AI124" i="63"/>
  <c r="AY124" i="63"/>
  <c r="O124" i="63"/>
  <c r="T124" i="63"/>
  <c r="U124" i="63"/>
  <c r="V124" i="63"/>
  <c r="AJ124" i="63"/>
  <c r="AK124" i="63"/>
  <c r="AL124" i="63"/>
  <c r="AU124" i="63"/>
  <c r="AE124" i="63"/>
  <c r="Y123" i="65"/>
  <c r="A125" i="63"/>
  <c r="Z124" i="65" l="1"/>
  <c r="AC124" i="65"/>
  <c r="P124" i="65"/>
  <c r="K124" i="65"/>
  <c r="J124" i="65"/>
  <c r="D124" i="65"/>
  <c r="O124" i="65"/>
  <c r="AA124" i="65"/>
  <c r="W124" i="65"/>
  <c r="G124" i="65"/>
  <c r="V124" i="65"/>
  <c r="I124" i="65"/>
  <c r="E125" i="63"/>
  <c r="U125" i="63"/>
  <c r="AK125" i="63"/>
  <c r="F125" i="63"/>
  <c r="V125" i="63"/>
  <c r="AL125" i="63"/>
  <c r="G125" i="63"/>
  <c r="W125" i="63"/>
  <c r="AM125" i="63"/>
  <c r="H125" i="63"/>
  <c r="X125" i="63"/>
  <c r="AN125" i="63"/>
  <c r="I125" i="63"/>
  <c r="Y125" i="63"/>
  <c r="AO125" i="63"/>
  <c r="J125" i="63"/>
  <c r="Z125" i="63"/>
  <c r="AP125" i="63"/>
  <c r="AQ125" i="63"/>
  <c r="L125" i="63"/>
  <c r="K125" i="65" s="1"/>
  <c r="AR125" i="63"/>
  <c r="N125" i="63"/>
  <c r="AD125" i="63"/>
  <c r="AT125" i="63"/>
  <c r="O125" i="63"/>
  <c r="AE125" i="63"/>
  <c r="AU125" i="63"/>
  <c r="AF125" i="63"/>
  <c r="AV125" i="63"/>
  <c r="AG125" i="63"/>
  <c r="AW125" i="63"/>
  <c r="M125" i="63"/>
  <c r="T125" i="63"/>
  <c r="AC125" i="63"/>
  <c r="AH125" i="63"/>
  <c r="AI125" i="63"/>
  <c r="AJ125" i="63"/>
  <c r="AX125" i="63"/>
  <c r="AY125" i="63"/>
  <c r="AS125" i="63"/>
  <c r="B125" i="63"/>
  <c r="C125" i="63"/>
  <c r="D125" i="63"/>
  <c r="A126" i="63"/>
  <c r="T125" i="65" l="1"/>
  <c r="P125" i="65"/>
  <c r="AD125" i="65"/>
  <c r="AE125" i="65"/>
  <c r="O125" i="65"/>
  <c r="AC125" i="65"/>
  <c r="J125" i="65"/>
  <c r="D125" i="65"/>
  <c r="Z125" i="65"/>
  <c r="AA125" i="65"/>
  <c r="V125" i="65"/>
  <c r="W125" i="65"/>
  <c r="I125" i="65"/>
  <c r="G125" i="65"/>
  <c r="C126" i="63"/>
  <c r="AI126" i="63"/>
  <c r="AY126" i="63"/>
  <c r="D126" i="63"/>
  <c r="T126" i="63"/>
  <c r="AJ126" i="63"/>
  <c r="E126" i="63"/>
  <c r="U126" i="63"/>
  <c r="AK126" i="63"/>
  <c r="F126" i="63"/>
  <c r="V126" i="63"/>
  <c r="AL126" i="63"/>
  <c r="G126" i="63"/>
  <c r="W126" i="63"/>
  <c r="AM126" i="63"/>
  <c r="H126" i="63"/>
  <c r="X126" i="63"/>
  <c r="AN126" i="63"/>
  <c r="I126" i="63"/>
  <c r="Y126" i="63"/>
  <c r="AE126" i="65" s="1"/>
  <c r="AO126" i="63"/>
  <c r="J126" i="63"/>
  <c r="Z126" i="63"/>
  <c r="AP126" i="63"/>
  <c r="L126" i="63"/>
  <c r="AR126" i="63"/>
  <c r="M126" i="63"/>
  <c r="AC126" i="63"/>
  <c r="AS126" i="63"/>
  <c r="N126" i="63"/>
  <c r="AD126" i="63"/>
  <c r="AT126" i="63"/>
  <c r="O126" i="63"/>
  <c r="AE126" i="63"/>
  <c r="AU126" i="63"/>
  <c r="AF126" i="63"/>
  <c r="AG126" i="63"/>
  <c r="AH126" i="63"/>
  <c r="AQ126" i="63"/>
  <c r="AV126" i="63"/>
  <c r="AW126" i="63"/>
  <c r="AX126" i="63"/>
  <c r="B126" i="63"/>
  <c r="Q126" i="63"/>
  <c r="R126" i="63"/>
  <c r="A127" i="63"/>
  <c r="P126" i="65" l="1"/>
  <c r="J126" i="65"/>
  <c r="T126" i="65"/>
  <c r="AC126" i="65"/>
  <c r="AD126" i="65"/>
  <c r="AB126" i="65"/>
  <c r="D126" i="65"/>
  <c r="K126" i="65"/>
  <c r="Z126" i="65"/>
  <c r="I126" i="65"/>
  <c r="V126" i="65"/>
  <c r="O126" i="65"/>
  <c r="AA126" i="65"/>
  <c r="W126" i="65"/>
  <c r="G126" i="65"/>
  <c r="Q127" i="63"/>
  <c r="AG127" i="63"/>
  <c r="AW127" i="63"/>
  <c r="B127" i="63"/>
  <c r="R127" i="63"/>
  <c r="AH127" i="63"/>
  <c r="AX127" i="63"/>
  <c r="C127" i="63"/>
  <c r="S127" i="63"/>
  <c r="AI127" i="63"/>
  <c r="AY127" i="63"/>
  <c r="D127" i="63"/>
  <c r="T127" i="63"/>
  <c r="AJ127" i="63"/>
  <c r="E127" i="63"/>
  <c r="U127" i="63"/>
  <c r="AK127" i="63"/>
  <c r="F127" i="63"/>
  <c r="V127" i="63"/>
  <c r="AL127" i="63"/>
  <c r="G127" i="63"/>
  <c r="W127" i="63"/>
  <c r="AM127" i="63"/>
  <c r="H127" i="63"/>
  <c r="G127" i="65" s="1"/>
  <c r="X127" i="63"/>
  <c r="AN127" i="63"/>
  <c r="J127" i="63"/>
  <c r="Z127" i="63"/>
  <c r="AP127" i="63"/>
  <c r="K127" i="63"/>
  <c r="AQ127" i="63"/>
  <c r="L127" i="63"/>
  <c r="AR127" i="63"/>
  <c r="M127" i="63"/>
  <c r="AC127" i="63"/>
  <c r="AS127" i="63"/>
  <c r="AO127" i="63"/>
  <c r="AT127" i="63"/>
  <c r="AU127" i="63"/>
  <c r="AV127" i="63"/>
  <c r="N127" i="63"/>
  <c r="O127" i="63"/>
  <c r="Y127" i="63"/>
  <c r="I127" i="63"/>
  <c r="AD127" i="63"/>
  <c r="AE127" i="63"/>
  <c r="AF127" i="63"/>
  <c r="A128" i="63"/>
  <c r="Z127" i="65" l="1"/>
  <c r="AD127" i="65"/>
  <c r="AE127" i="65"/>
  <c r="AB127" i="65"/>
  <c r="T127" i="65"/>
  <c r="AC127" i="65"/>
  <c r="J127" i="65"/>
  <c r="K127" i="65"/>
  <c r="D127" i="65"/>
  <c r="W127" i="65"/>
  <c r="O127" i="65"/>
  <c r="AA127" i="65"/>
  <c r="I127" i="65"/>
  <c r="P127" i="65"/>
  <c r="V127" i="65"/>
  <c r="O128" i="63"/>
  <c r="AE128" i="63"/>
  <c r="AU128" i="63"/>
  <c r="P128" i="63"/>
  <c r="AF128" i="63"/>
  <c r="AV128" i="63"/>
  <c r="Q128" i="63"/>
  <c r="AG128" i="63"/>
  <c r="AW128" i="63"/>
  <c r="B128" i="63"/>
  <c r="R128" i="63"/>
  <c r="AH128" i="63"/>
  <c r="AX128" i="63"/>
  <c r="C128" i="63"/>
  <c r="S128" i="63"/>
  <c r="AI128" i="63"/>
  <c r="AY128" i="63"/>
  <c r="D128" i="63"/>
  <c r="T128" i="63"/>
  <c r="AJ128" i="63"/>
  <c r="E128" i="63"/>
  <c r="U128" i="63"/>
  <c r="AK128" i="63"/>
  <c r="F128" i="63"/>
  <c r="V128" i="63"/>
  <c r="AL128" i="63"/>
  <c r="H128" i="63"/>
  <c r="X128" i="63"/>
  <c r="AN128" i="63"/>
  <c r="I128" i="63"/>
  <c r="Y128" i="63"/>
  <c r="AE128" i="65" s="1"/>
  <c r="AO128" i="63"/>
  <c r="J128" i="63"/>
  <c r="Z128" i="63"/>
  <c r="AP128" i="63"/>
  <c r="K128" i="63"/>
  <c r="AQ128" i="63"/>
  <c r="G128" i="63"/>
  <c r="L128" i="63"/>
  <c r="K128" i="65" s="1"/>
  <c r="M128" i="63"/>
  <c r="N128" i="63"/>
  <c r="AC128" i="63"/>
  <c r="AD128" i="63"/>
  <c r="AM128" i="63"/>
  <c r="AR128" i="63"/>
  <c r="AS128" i="63"/>
  <c r="AT128" i="63"/>
  <c r="W128" i="63"/>
  <c r="Y127" i="65"/>
  <c r="A129" i="63"/>
  <c r="T128" i="65" l="1"/>
  <c r="AB128" i="65"/>
  <c r="AC128" i="65"/>
  <c r="AD128" i="65"/>
  <c r="Z128" i="65"/>
  <c r="J128" i="65"/>
  <c r="Y128" i="65"/>
  <c r="D128" i="65"/>
  <c r="P128" i="65"/>
  <c r="G128" i="65"/>
  <c r="I128" i="65"/>
  <c r="V128" i="65"/>
  <c r="O128" i="65"/>
  <c r="AA128" i="65"/>
  <c r="W128" i="65"/>
  <c r="M129" i="63"/>
  <c r="AC129" i="63"/>
  <c r="AS129" i="63"/>
  <c r="N129" i="63"/>
  <c r="AD129" i="63"/>
  <c r="AT129" i="63"/>
  <c r="O129" i="63"/>
  <c r="AE129" i="63"/>
  <c r="AU129" i="63"/>
  <c r="P129" i="63"/>
  <c r="AF129" i="63"/>
  <c r="AV129" i="63"/>
  <c r="Q129" i="63"/>
  <c r="Z129" i="65" s="1"/>
  <c r="AG129" i="63"/>
  <c r="AW129" i="63"/>
  <c r="R129" i="63"/>
  <c r="AH129" i="63"/>
  <c r="AX129" i="63"/>
  <c r="S129" i="63"/>
  <c r="AI129" i="63"/>
  <c r="AY129" i="63"/>
  <c r="T129" i="63"/>
  <c r="AJ129" i="63"/>
  <c r="V129" i="63"/>
  <c r="AL129" i="63"/>
  <c r="AM129" i="63"/>
  <c r="AN129" i="63"/>
  <c r="I129" i="63"/>
  <c r="AO129" i="63"/>
  <c r="J129" i="63"/>
  <c r="K129" i="63"/>
  <c r="L129" i="63"/>
  <c r="U129" i="63"/>
  <c r="Z129" i="63"/>
  <c r="AP129" i="63"/>
  <c r="AQ129" i="63"/>
  <c r="AR129" i="63"/>
  <c r="AK129" i="63"/>
  <c r="A130" i="63"/>
  <c r="AB129" i="65" l="1"/>
  <c r="AC129" i="65"/>
  <c r="P129" i="65"/>
  <c r="D129" i="65"/>
  <c r="K129" i="65"/>
  <c r="I129" i="65"/>
  <c r="V129" i="65"/>
  <c r="G129" i="65"/>
  <c r="O129" i="65"/>
  <c r="AA129" i="65"/>
  <c r="W129" i="65"/>
  <c r="K130" i="63"/>
  <c r="AQ130" i="63"/>
  <c r="L130" i="63"/>
  <c r="AR130" i="63"/>
  <c r="M130" i="63"/>
  <c r="AC130" i="63"/>
  <c r="AS130" i="63"/>
  <c r="N130" i="63"/>
  <c r="AD130" i="63"/>
  <c r="AT130" i="63"/>
  <c r="O130" i="63"/>
  <c r="AE130" i="63"/>
  <c r="AU130" i="63"/>
  <c r="P130" i="63"/>
  <c r="AF130" i="63"/>
  <c r="AV130" i="63"/>
  <c r="AG130" i="63"/>
  <c r="AW130" i="63"/>
  <c r="AH130" i="63"/>
  <c r="AX130" i="63"/>
  <c r="T130" i="63"/>
  <c r="AJ130" i="63"/>
  <c r="U130" i="63"/>
  <c r="AK130" i="63"/>
  <c r="V130" i="63"/>
  <c r="AL130" i="63"/>
  <c r="AM130" i="63"/>
  <c r="S130" i="63"/>
  <c r="Z130" i="63"/>
  <c r="AI130" i="63"/>
  <c r="AN130" i="63"/>
  <c r="AO130" i="63"/>
  <c r="AP130" i="63"/>
  <c r="AY130" i="63"/>
  <c r="J130" i="63"/>
  <c r="Y129" i="65"/>
  <c r="A131" i="63"/>
  <c r="V130" i="65" l="1"/>
  <c r="Z130" i="65"/>
  <c r="AC130" i="65"/>
  <c r="K130" i="65"/>
  <c r="D130" i="65"/>
  <c r="W130" i="65"/>
  <c r="P130" i="65"/>
  <c r="G130" i="65"/>
  <c r="O130" i="65"/>
  <c r="AA130" i="65"/>
  <c r="I130" i="65"/>
  <c r="Y130" i="65"/>
  <c r="Y131" i="63"/>
  <c r="AE131" i="65" s="1"/>
  <c r="AO131" i="63"/>
  <c r="J131" i="63"/>
  <c r="Z131" i="63"/>
  <c r="AP131" i="63"/>
  <c r="AQ131" i="63"/>
  <c r="L131" i="63"/>
  <c r="AR131" i="63"/>
  <c r="M131" i="63"/>
  <c r="AC131" i="63"/>
  <c r="AS131" i="63"/>
  <c r="N131" i="63"/>
  <c r="AD131" i="63"/>
  <c r="AT131" i="63"/>
  <c r="O131" i="63"/>
  <c r="AE131" i="63"/>
  <c r="P131" i="63"/>
  <c r="AF131" i="63"/>
  <c r="AV131" i="63"/>
  <c r="B131" i="63"/>
  <c r="AH131" i="63"/>
  <c r="AX131" i="63"/>
  <c r="C131" i="63"/>
  <c r="AI131" i="63"/>
  <c r="D131" i="63"/>
  <c r="T131" i="63"/>
  <c r="AJ131" i="63"/>
  <c r="E131" i="63"/>
  <c r="U131" i="63"/>
  <c r="AK131" i="63"/>
  <c r="AG131" i="63"/>
  <c r="AL131" i="63"/>
  <c r="AM131" i="63"/>
  <c r="AN131" i="63"/>
  <c r="AU131" i="63"/>
  <c r="AW131" i="63"/>
  <c r="AY131" i="63"/>
  <c r="F131" i="63"/>
  <c r="G131" i="63"/>
  <c r="V131" i="63"/>
  <c r="X131" i="63"/>
  <c r="A132" i="63"/>
  <c r="O131" i="65" l="1"/>
  <c r="AC131" i="65"/>
  <c r="AD131" i="65"/>
  <c r="T131" i="65"/>
  <c r="Z131" i="65"/>
  <c r="D131" i="65"/>
  <c r="K131" i="65"/>
  <c r="I131" i="65"/>
  <c r="AA131" i="65"/>
  <c r="W131" i="65"/>
  <c r="V131" i="65"/>
  <c r="P131" i="65"/>
  <c r="G131" i="65"/>
  <c r="G132" i="63"/>
  <c r="W132" i="63"/>
  <c r="AM132" i="63"/>
  <c r="H132" i="63"/>
  <c r="X132" i="63"/>
  <c r="AN132" i="63"/>
  <c r="Y132" i="63"/>
  <c r="AE132" i="65" s="1"/>
  <c r="AO132" i="63"/>
  <c r="J132" i="63"/>
  <c r="Z132" i="63"/>
  <c r="AP132" i="63"/>
  <c r="AQ132" i="63"/>
  <c r="L132" i="63"/>
  <c r="AR132" i="63"/>
  <c r="N132" i="63"/>
  <c r="AD132" i="63"/>
  <c r="AT132" i="63"/>
  <c r="P132" i="63"/>
  <c r="AF132" i="63"/>
  <c r="AV132" i="63"/>
  <c r="B132" i="63"/>
  <c r="AH132" i="63"/>
  <c r="AX132" i="63"/>
  <c r="U132" i="63"/>
  <c r="V132" i="63"/>
  <c r="AC132" i="63"/>
  <c r="AE132" i="63"/>
  <c r="AG132" i="63"/>
  <c r="AI132" i="63"/>
  <c r="AJ132" i="63"/>
  <c r="C132" i="63"/>
  <c r="AK132" i="63"/>
  <c r="E132" i="63"/>
  <c r="AS132" i="63"/>
  <c r="F132" i="63"/>
  <c r="AU132" i="63"/>
  <c r="M132" i="63"/>
  <c r="AW132" i="63"/>
  <c r="O132" i="63"/>
  <c r="AY132" i="63"/>
  <c r="D132" i="63"/>
  <c r="T132" i="63"/>
  <c r="AL132" i="63"/>
  <c r="A133" i="63"/>
  <c r="AD132" i="65" l="1"/>
  <c r="T132" i="65"/>
  <c r="AC132" i="65"/>
  <c r="K132" i="65"/>
  <c r="D132" i="65"/>
  <c r="J132" i="65"/>
  <c r="Z132" i="65"/>
  <c r="W132" i="65"/>
  <c r="G132" i="65"/>
  <c r="P132" i="65"/>
  <c r="I132" i="65"/>
  <c r="V132" i="65"/>
  <c r="O132" i="65"/>
  <c r="AA132" i="65"/>
  <c r="E133" i="63"/>
  <c r="U133" i="63"/>
  <c r="AK133" i="63"/>
  <c r="F133" i="63"/>
  <c r="V133" i="63"/>
  <c r="D133" i="65" s="1"/>
  <c r="AL133" i="63"/>
  <c r="G133" i="63"/>
  <c r="W133" i="63"/>
  <c r="AM133" i="63"/>
  <c r="H133" i="63"/>
  <c r="X133" i="63"/>
  <c r="AN133" i="63"/>
  <c r="I133" i="63"/>
  <c r="Y133" i="63"/>
  <c r="AO133" i="63"/>
  <c r="J133" i="63"/>
  <c r="Z133" i="63"/>
  <c r="AP133" i="63"/>
  <c r="L133" i="63"/>
  <c r="AR133" i="63"/>
  <c r="N133" i="63"/>
  <c r="AD133" i="63"/>
  <c r="AT133" i="63"/>
  <c r="P133" i="63"/>
  <c r="AF133" i="63"/>
  <c r="AV133" i="63"/>
  <c r="AU133" i="63"/>
  <c r="AW133" i="63"/>
  <c r="O133" i="63"/>
  <c r="AX133" i="63"/>
  <c r="Q133" i="63"/>
  <c r="AY133" i="63"/>
  <c r="R133" i="63"/>
  <c r="T133" i="63"/>
  <c r="AE133" i="63"/>
  <c r="AG133" i="63"/>
  <c r="AH133" i="63"/>
  <c r="AI133" i="63"/>
  <c r="B133" i="63"/>
  <c r="C133" i="63"/>
  <c r="D133" i="63"/>
  <c r="AC133" i="63"/>
  <c r="AJ133" i="63"/>
  <c r="AQ133" i="63"/>
  <c r="AS133" i="63"/>
  <c r="A134" i="63"/>
  <c r="T133" i="65" l="1"/>
  <c r="AD133" i="65"/>
  <c r="AE133" i="65"/>
  <c r="O133" i="65"/>
  <c r="AC133" i="65"/>
  <c r="J133" i="65"/>
  <c r="P133" i="65"/>
  <c r="K133" i="65"/>
  <c r="Z133" i="65"/>
  <c r="AA133" i="65"/>
  <c r="AB133" i="65"/>
  <c r="I133" i="65"/>
  <c r="W133" i="65"/>
  <c r="V133" i="65"/>
  <c r="G133" i="65"/>
  <c r="C134" i="63"/>
  <c r="S134" i="63"/>
  <c r="AI134" i="63"/>
  <c r="AY134" i="63"/>
  <c r="D134" i="63"/>
  <c r="T134" i="63"/>
  <c r="AJ134" i="63"/>
  <c r="E134" i="63"/>
  <c r="U134" i="63"/>
  <c r="AK134" i="63"/>
  <c r="F134" i="63"/>
  <c r="V134" i="63"/>
  <c r="AL134" i="63"/>
  <c r="G134" i="63"/>
  <c r="W134" i="63"/>
  <c r="AM134" i="63"/>
  <c r="H134" i="63"/>
  <c r="X134" i="63"/>
  <c r="AN134" i="63"/>
  <c r="J134" i="63"/>
  <c r="Z134" i="63"/>
  <c r="AP134" i="63"/>
  <c r="L134" i="63"/>
  <c r="K134" i="65" s="1"/>
  <c r="AR134" i="63"/>
  <c r="N134" i="63"/>
  <c r="AD134" i="63"/>
  <c r="AT134" i="63"/>
  <c r="AF134" i="63"/>
  <c r="AG134" i="63"/>
  <c r="AH134" i="63"/>
  <c r="AO134" i="63"/>
  <c r="B134" i="63"/>
  <c r="AQ134" i="63"/>
  <c r="I134" i="63"/>
  <c r="AS134" i="63"/>
  <c r="K134" i="63"/>
  <c r="AU134" i="63"/>
  <c r="AV134" i="63"/>
  <c r="P134" i="63"/>
  <c r="AX134" i="63"/>
  <c r="Q134" i="63"/>
  <c r="R134" i="63"/>
  <c r="Y134" i="63"/>
  <c r="AE134" i="65" s="1"/>
  <c r="O134" i="63"/>
  <c r="AC134" i="63"/>
  <c r="AE134" i="63"/>
  <c r="AW134" i="63"/>
  <c r="A135" i="63"/>
  <c r="P134" i="65" l="1"/>
  <c r="T134" i="65"/>
  <c r="AC134" i="65"/>
  <c r="AD134" i="65"/>
  <c r="AB134" i="65"/>
  <c r="D134" i="65"/>
  <c r="J134" i="65"/>
  <c r="Z134" i="65"/>
  <c r="V134" i="65"/>
  <c r="O134" i="65"/>
  <c r="AA134" i="65"/>
  <c r="W134" i="65"/>
  <c r="G134" i="65"/>
  <c r="Y134" i="65"/>
  <c r="I134" i="65"/>
  <c r="Q135" i="63"/>
  <c r="Z135" i="65" s="1"/>
  <c r="AG135" i="63"/>
  <c r="AW135" i="63"/>
  <c r="B135" i="63"/>
  <c r="R135" i="63"/>
  <c r="AH135" i="63"/>
  <c r="AX135" i="63"/>
  <c r="C135" i="63"/>
  <c r="S135" i="63"/>
  <c r="AI135" i="63"/>
  <c r="AY135" i="63"/>
  <c r="D135" i="63"/>
  <c r="T135" i="63"/>
  <c r="AJ135" i="63"/>
  <c r="E135" i="63"/>
  <c r="U135" i="63"/>
  <c r="AK135" i="63"/>
  <c r="F135" i="63"/>
  <c r="V135" i="63"/>
  <c r="D135" i="65" s="1"/>
  <c r="AL135" i="63"/>
  <c r="H135" i="63"/>
  <c r="X135" i="63"/>
  <c r="AN135" i="63"/>
  <c r="L135" i="63"/>
  <c r="AR135" i="63"/>
  <c r="O135" i="63"/>
  <c r="AU135" i="63"/>
  <c r="P135" i="63"/>
  <c r="AV135" i="63"/>
  <c r="W135" i="63"/>
  <c r="Y135" i="63"/>
  <c r="AE135" i="65" s="1"/>
  <c r="Z135" i="63"/>
  <c r="AC135" i="63"/>
  <c r="AD135" i="63"/>
  <c r="AF135" i="63"/>
  <c r="G135" i="63"/>
  <c r="AM135" i="63"/>
  <c r="I135" i="63"/>
  <c r="AO135" i="63"/>
  <c r="J135" i="63"/>
  <c r="AP135" i="63"/>
  <c r="K135" i="63"/>
  <c r="N135" i="63"/>
  <c r="AQ135" i="63"/>
  <c r="AS135" i="63"/>
  <c r="AT135" i="63"/>
  <c r="AE135" i="63"/>
  <c r="A136" i="63"/>
  <c r="AB135" i="65" l="1"/>
  <c r="AC135" i="65"/>
  <c r="AD135" i="65"/>
  <c r="J135" i="65"/>
  <c r="T135" i="65"/>
  <c r="W135" i="65"/>
  <c r="I135" i="65"/>
  <c r="K135" i="65"/>
  <c r="P135" i="65"/>
  <c r="G135" i="65"/>
  <c r="O135" i="65"/>
  <c r="AA135" i="65"/>
  <c r="V135" i="65"/>
  <c r="O136" i="63"/>
  <c r="AE136" i="63"/>
  <c r="AU136" i="63"/>
  <c r="P136" i="63"/>
  <c r="AF136" i="63"/>
  <c r="AV136" i="63"/>
  <c r="Q136" i="63"/>
  <c r="AG136" i="63"/>
  <c r="AW136" i="63"/>
  <c r="B136" i="63"/>
  <c r="R136" i="63"/>
  <c r="AH136" i="63"/>
  <c r="AX136" i="63"/>
  <c r="C136" i="63"/>
  <c r="S136" i="63"/>
  <c r="AI136" i="63"/>
  <c r="AY136" i="63"/>
  <c r="D136" i="63"/>
  <c r="T136" i="63"/>
  <c r="AJ136" i="63"/>
  <c r="F136" i="63"/>
  <c r="V136" i="63"/>
  <c r="D136" i="65" s="1"/>
  <c r="AL136" i="63"/>
  <c r="J136" i="63"/>
  <c r="Z136" i="63"/>
  <c r="AC136" i="63"/>
  <c r="AD136" i="63"/>
  <c r="E136" i="63"/>
  <c r="AK136" i="63"/>
  <c r="G136" i="63"/>
  <c r="AM136" i="63"/>
  <c r="H136" i="63"/>
  <c r="AN136" i="63"/>
  <c r="I136" i="63"/>
  <c r="AO136" i="63"/>
  <c r="K136" i="63"/>
  <c r="AP136" i="63"/>
  <c r="L136" i="63"/>
  <c r="K136" i="65" s="1"/>
  <c r="AQ136" i="63"/>
  <c r="N136" i="63"/>
  <c r="AS136" i="63"/>
  <c r="U136" i="63"/>
  <c r="AT136" i="63"/>
  <c r="W136" i="63"/>
  <c r="X136" i="63"/>
  <c r="AR136" i="63"/>
  <c r="M136" i="63"/>
  <c r="Y136" i="63"/>
  <c r="AE136" i="65" s="1"/>
  <c r="Y135" i="65"/>
  <c r="A137" i="63"/>
  <c r="T136" i="65" l="1"/>
  <c r="Z136" i="65"/>
  <c r="AC136" i="65"/>
  <c r="AD136" i="65"/>
  <c r="AB136" i="65"/>
  <c r="J136" i="65"/>
  <c r="P136" i="65"/>
  <c r="I136" i="65"/>
  <c r="O136" i="65"/>
  <c r="AA136" i="65"/>
  <c r="G136" i="65"/>
  <c r="V136" i="65"/>
  <c r="W136" i="65"/>
  <c r="M137" i="63"/>
  <c r="AC137" i="63"/>
  <c r="AS137" i="63"/>
  <c r="N137" i="63"/>
  <c r="AD137" i="63"/>
  <c r="AT137" i="63"/>
  <c r="O137" i="63"/>
  <c r="AE137" i="63"/>
  <c r="AU137" i="63"/>
  <c r="P137" i="63"/>
  <c r="AF137" i="63"/>
  <c r="AV137" i="63"/>
  <c r="AG137" i="63"/>
  <c r="AW137" i="63"/>
  <c r="AH137" i="63"/>
  <c r="AX137" i="63"/>
  <c r="T137" i="63"/>
  <c r="AJ137" i="63"/>
  <c r="I137" i="63"/>
  <c r="AM137" i="63"/>
  <c r="J137" i="63"/>
  <c r="AN137" i="63"/>
  <c r="K137" i="63"/>
  <c r="AO137" i="63"/>
  <c r="L137" i="63"/>
  <c r="AP137" i="63"/>
  <c r="S137" i="63"/>
  <c r="AQ137" i="63"/>
  <c r="U137" i="63"/>
  <c r="AR137" i="63"/>
  <c r="V137" i="63"/>
  <c r="AY137" i="63"/>
  <c r="W137" i="63"/>
  <c r="Z137" i="63"/>
  <c r="H137" i="63"/>
  <c r="AI137" i="63"/>
  <c r="AK137" i="63"/>
  <c r="AL137" i="63"/>
  <c r="Y136" i="65"/>
  <c r="A138" i="63"/>
  <c r="P137" i="65" l="1"/>
  <c r="AC137" i="65"/>
  <c r="J137" i="65"/>
  <c r="D137" i="65"/>
  <c r="K137" i="65"/>
  <c r="Z137" i="65"/>
  <c r="O137" i="65"/>
  <c r="AA137" i="65"/>
  <c r="V137" i="65"/>
  <c r="G137" i="65"/>
  <c r="W137" i="65"/>
  <c r="I137" i="65"/>
  <c r="AQ138" i="63"/>
  <c r="L138" i="63"/>
  <c r="AR138" i="63"/>
  <c r="M138" i="63"/>
  <c r="AC138" i="63"/>
  <c r="AS138" i="63"/>
  <c r="N138" i="63"/>
  <c r="AD138" i="63"/>
  <c r="AT138" i="63"/>
  <c r="O138" i="63"/>
  <c r="AE138" i="63"/>
  <c r="AU138" i="63"/>
  <c r="P138" i="63"/>
  <c r="AF138" i="63"/>
  <c r="AV138" i="63"/>
  <c r="AH138" i="63"/>
  <c r="AX138" i="63"/>
  <c r="AP138" i="63"/>
  <c r="T138" i="63"/>
  <c r="AW138" i="63"/>
  <c r="U138" i="63"/>
  <c r="AY138" i="63"/>
  <c r="V138" i="63"/>
  <c r="W138" i="63"/>
  <c r="Z138" i="63"/>
  <c r="AI138" i="63"/>
  <c r="AJ138" i="63"/>
  <c r="AK138" i="63"/>
  <c r="H138" i="63"/>
  <c r="G138" i="65" s="1"/>
  <c r="AL138" i="63"/>
  <c r="I138" i="63"/>
  <c r="J138" i="63"/>
  <c r="AG138" i="63"/>
  <c r="AM138" i="63"/>
  <c r="AN138" i="63"/>
  <c r="AO138" i="63"/>
  <c r="Y137" i="65"/>
  <c r="A139" i="63"/>
  <c r="AC138" i="65" l="1"/>
  <c r="P138" i="65"/>
  <c r="K138" i="65"/>
  <c r="J138" i="65"/>
  <c r="D138" i="65"/>
  <c r="Z138" i="65"/>
  <c r="I138" i="65"/>
  <c r="V138" i="65"/>
  <c r="W138" i="65"/>
  <c r="O138" i="65"/>
  <c r="AA138" i="65"/>
  <c r="I139" i="63"/>
  <c r="Y139" i="63"/>
  <c r="AE139" i="65" s="1"/>
  <c r="AO139" i="63"/>
  <c r="J139" i="63"/>
  <c r="Z139" i="63"/>
  <c r="AP139" i="63"/>
  <c r="AQ139" i="63"/>
  <c r="L139" i="63"/>
  <c r="AR139" i="63"/>
  <c r="M139" i="63"/>
  <c r="AC139" i="63"/>
  <c r="AS139" i="63"/>
  <c r="N139" i="63"/>
  <c r="AD139" i="63"/>
  <c r="AT139" i="63"/>
  <c r="P139" i="63"/>
  <c r="AF139" i="63"/>
  <c r="AV139" i="63"/>
  <c r="V139" i="63"/>
  <c r="D139" i="65" s="1"/>
  <c r="W139" i="63"/>
  <c r="X139" i="63"/>
  <c r="B139" i="63"/>
  <c r="AE139" i="63"/>
  <c r="C139" i="63"/>
  <c r="AG139" i="63"/>
  <c r="D139" i="63"/>
  <c r="AH139" i="63"/>
  <c r="E139" i="63"/>
  <c r="AI139" i="63"/>
  <c r="F139" i="63"/>
  <c r="AJ139" i="63"/>
  <c r="H139" i="63"/>
  <c r="G139" i="65" s="1"/>
  <c r="AL139" i="63"/>
  <c r="O139" i="63"/>
  <c r="AM139" i="63"/>
  <c r="AN139" i="63"/>
  <c r="AU139" i="63"/>
  <c r="G139" i="63"/>
  <c r="U139" i="63"/>
  <c r="AK139" i="63"/>
  <c r="AW139" i="63"/>
  <c r="AX139" i="63"/>
  <c r="AY139" i="63"/>
  <c r="A140" i="63"/>
  <c r="T139" i="65" l="1"/>
  <c r="AC139" i="65"/>
  <c r="AD139" i="65"/>
  <c r="J139" i="65"/>
  <c r="W139" i="65"/>
  <c r="Z139" i="65"/>
  <c r="K139" i="65"/>
  <c r="I139" i="65"/>
  <c r="V139" i="65"/>
  <c r="O139" i="65"/>
  <c r="P139" i="65"/>
  <c r="G140" i="63"/>
  <c r="W140" i="63"/>
  <c r="AM140" i="63"/>
  <c r="H140" i="63"/>
  <c r="X140" i="63"/>
  <c r="AN140" i="63"/>
  <c r="I140" i="63"/>
  <c r="Y140" i="63"/>
  <c r="AE140" i="65" s="1"/>
  <c r="AO140" i="63"/>
  <c r="J140" i="63"/>
  <c r="Z140" i="63"/>
  <c r="AQ140" i="63"/>
  <c r="L140" i="63"/>
  <c r="N140" i="63"/>
  <c r="AD140" i="63"/>
  <c r="AT140" i="63"/>
  <c r="B140" i="63"/>
  <c r="AF140" i="63"/>
  <c r="C140" i="63"/>
  <c r="AG140" i="63"/>
  <c r="D140" i="63"/>
  <c r="AH140" i="63"/>
  <c r="E140" i="63"/>
  <c r="AI140" i="63"/>
  <c r="F140" i="63"/>
  <c r="AJ140" i="63"/>
  <c r="M140" i="63"/>
  <c r="AK140" i="63"/>
  <c r="O140" i="63"/>
  <c r="AL140" i="63"/>
  <c r="P140" i="63"/>
  <c r="AP140" i="63"/>
  <c r="R140" i="63"/>
  <c r="AS140" i="63"/>
  <c r="AU140" i="63"/>
  <c r="AV140" i="63"/>
  <c r="U140" i="63"/>
  <c r="AW140" i="63"/>
  <c r="V140" i="63"/>
  <c r="AC140" i="63"/>
  <c r="AE140" i="63"/>
  <c r="AR140" i="63"/>
  <c r="Q140" i="63"/>
  <c r="AX140" i="63"/>
  <c r="AY140" i="63"/>
  <c r="A141" i="63"/>
  <c r="T140" i="65" l="1"/>
  <c r="AD140" i="65"/>
  <c r="AC140" i="65"/>
  <c r="AB140" i="65"/>
  <c r="P140" i="65"/>
  <c r="J140" i="65"/>
  <c r="K140" i="65"/>
  <c r="D140" i="65"/>
  <c r="Z140" i="65"/>
  <c r="O140" i="65"/>
  <c r="G140" i="65"/>
  <c r="W140" i="65"/>
  <c r="I140" i="65"/>
  <c r="V140" i="65"/>
  <c r="E141" i="63"/>
  <c r="U141" i="63"/>
  <c r="AK141" i="63"/>
  <c r="F141" i="63"/>
  <c r="V141" i="63"/>
  <c r="D141" i="65" s="1"/>
  <c r="AL141" i="63"/>
  <c r="G141" i="63"/>
  <c r="W141" i="63"/>
  <c r="AM141" i="63"/>
  <c r="I141" i="63"/>
  <c r="Y141" i="63"/>
  <c r="AE141" i="65" s="1"/>
  <c r="AO141" i="63"/>
  <c r="C141" i="63"/>
  <c r="AV141" i="63"/>
  <c r="D141" i="63"/>
  <c r="AC141" i="63"/>
  <c r="AW141" i="63"/>
  <c r="H141" i="63"/>
  <c r="AD141" i="63"/>
  <c r="AX141" i="63"/>
  <c r="AE141" i="63"/>
  <c r="AY141" i="63"/>
  <c r="K141" i="63"/>
  <c r="AF141" i="63"/>
  <c r="M141" i="63"/>
  <c r="AG141" i="63"/>
  <c r="N141" i="63"/>
  <c r="AH141" i="63"/>
  <c r="O141" i="63"/>
  <c r="AI141" i="63"/>
  <c r="Q141" i="63"/>
  <c r="AN141" i="63"/>
  <c r="R141" i="63"/>
  <c r="AP141" i="63"/>
  <c r="S141" i="63"/>
  <c r="AQ141" i="63"/>
  <c r="AR141" i="63"/>
  <c r="P141" i="63"/>
  <c r="X141" i="63"/>
  <c r="Z141" i="63"/>
  <c r="AJ141" i="63"/>
  <c r="AS141" i="63"/>
  <c r="AT141" i="63"/>
  <c r="AU141" i="63"/>
  <c r="B141" i="63"/>
  <c r="A142" i="63"/>
  <c r="T141" i="65" l="1"/>
  <c r="AB141" i="65"/>
  <c r="AD141" i="65"/>
  <c r="AC141" i="65"/>
  <c r="P141" i="65"/>
  <c r="J141" i="65"/>
  <c r="K141" i="65"/>
  <c r="Z141" i="65"/>
  <c r="O141" i="65"/>
  <c r="V141" i="65"/>
  <c r="G141" i="65"/>
  <c r="I141" i="65"/>
  <c r="W141" i="65"/>
  <c r="C142" i="63"/>
  <c r="S142" i="63"/>
  <c r="AI142" i="63"/>
  <c r="AY142" i="63"/>
  <c r="D142" i="63"/>
  <c r="T142" i="63"/>
  <c r="AJ142" i="63"/>
  <c r="E142" i="63"/>
  <c r="U142" i="63"/>
  <c r="AK142" i="63"/>
  <c r="G142" i="63"/>
  <c r="W142" i="63"/>
  <c r="AM142" i="63"/>
  <c r="R142" i="63"/>
  <c r="AP142" i="63"/>
  <c r="V142" i="63"/>
  <c r="D142" i="65" s="1"/>
  <c r="AQ142" i="63"/>
  <c r="X142" i="63"/>
  <c r="AR142" i="63"/>
  <c r="Y142" i="63"/>
  <c r="AE142" i="65" s="1"/>
  <c r="AS142" i="63"/>
  <c r="B142" i="63"/>
  <c r="Z142" i="63"/>
  <c r="AT142" i="63"/>
  <c r="F142" i="63"/>
  <c r="AU142" i="63"/>
  <c r="H142" i="63"/>
  <c r="AV142" i="63"/>
  <c r="I142" i="63"/>
  <c r="AC142" i="63"/>
  <c r="AW142" i="63"/>
  <c r="K142" i="63"/>
  <c r="AE142" i="63"/>
  <c r="AF142" i="63"/>
  <c r="M142" i="63"/>
  <c r="AG142" i="63"/>
  <c r="N142" i="63"/>
  <c r="AH142" i="63"/>
  <c r="AX142" i="63"/>
  <c r="O142" i="63"/>
  <c r="P142" i="63"/>
  <c r="Q142" i="63"/>
  <c r="AD142" i="63"/>
  <c r="AL142" i="63"/>
  <c r="AN142" i="63"/>
  <c r="AO142" i="63"/>
  <c r="A143" i="63"/>
  <c r="T142" i="65" l="1"/>
  <c r="AC142" i="65"/>
  <c r="AD142" i="65"/>
  <c r="AB142" i="65"/>
  <c r="J142" i="65"/>
  <c r="K142" i="65"/>
  <c r="W142" i="65"/>
  <c r="Z142" i="65"/>
  <c r="P142" i="65"/>
  <c r="I142" i="65"/>
  <c r="V142" i="65"/>
  <c r="G142" i="65"/>
  <c r="O142" i="65"/>
  <c r="AA142" i="65"/>
  <c r="Q143" i="63"/>
  <c r="AG143" i="63"/>
  <c r="AW143" i="63"/>
  <c r="R143" i="63"/>
  <c r="AH143" i="63"/>
  <c r="AX143" i="63"/>
  <c r="S143" i="63"/>
  <c r="AI143" i="63"/>
  <c r="AY143" i="63"/>
  <c r="U143" i="63"/>
  <c r="AK143" i="63"/>
  <c r="L143" i="63"/>
  <c r="AF143" i="63"/>
  <c r="M143" i="63"/>
  <c r="AJ143" i="63"/>
  <c r="N143" i="63"/>
  <c r="AL143" i="63"/>
  <c r="O143" i="63"/>
  <c r="AM143" i="63"/>
  <c r="P143" i="63"/>
  <c r="AN143" i="63"/>
  <c r="T143" i="63"/>
  <c r="AO143" i="63"/>
  <c r="V143" i="63"/>
  <c r="AP143" i="63"/>
  <c r="W143" i="63"/>
  <c r="AQ143" i="63"/>
  <c r="AS143" i="63"/>
  <c r="Z143" i="63"/>
  <c r="AT143" i="63"/>
  <c r="AU143" i="63"/>
  <c r="H143" i="63"/>
  <c r="G143" i="65" s="1"/>
  <c r="AV143" i="63"/>
  <c r="I143" i="63"/>
  <c r="J143" i="63"/>
  <c r="K143" i="63"/>
  <c r="AC143" i="63"/>
  <c r="AD143" i="63"/>
  <c r="AE143" i="63"/>
  <c r="AR143" i="63"/>
  <c r="A144" i="63"/>
  <c r="Z143" i="65" l="1"/>
  <c r="AC143" i="65"/>
  <c r="AB143" i="65"/>
  <c r="P143" i="65"/>
  <c r="J143" i="65"/>
  <c r="D143" i="65"/>
  <c r="K143" i="65"/>
  <c r="W143" i="65"/>
  <c r="I143" i="65"/>
  <c r="V143" i="65"/>
  <c r="O143" i="65"/>
  <c r="AA143" i="65"/>
  <c r="O144" i="63"/>
  <c r="AE144" i="63"/>
  <c r="AU144" i="63"/>
  <c r="P144" i="63"/>
  <c r="AF144" i="63"/>
  <c r="AV144" i="63"/>
  <c r="AG144" i="63"/>
  <c r="AW144" i="63"/>
  <c r="S144" i="63"/>
  <c r="AI144" i="63"/>
  <c r="AY144" i="63"/>
  <c r="Z144" i="63"/>
  <c r="AT144" i="63"/>
  <c r="AX144" i="63"/>
  <c r="H144" i="63"/>
  <c r="I144" i="63"/>
  <c r="AC144" i="63"/>
  <c r="J144" i="63"/>
  <c r="AD144" i="63"/>
  <c r="K144" i="63"/>
  <c r="AH144" i="63"/>
  <c r="L144" i="63"/>
  <c r="AJ144" i="63"/>
  <c r="M144" i="63"/>
  <c r="AK144" i="63"/>
  <c r="AM144" i="63"/>
  <c r="T144" i="63"/>
  <c r="AN144" i="63"/>
  <c r="U144" i="63"/>
  <c r="AO144" i="63"/>
  <c r="V144" i="63"/>
  <c r="D144" i="65" s="1"/>
  <c r="AP144" i="63"/>
  <c r="AL144" i="63"/>
  <c r="AQ144" i="63"/>
  <c r="AR144" i="63"/>
  <c r="AS144" i="63"/>
  <c r="N144" i="63"/>
  <c r="W144" i="63"/>
  <c r="Y143" i="65"/>
  <c r="A145" i="63"/>
  <c r="AE144" i="65" l="1"/>
  <c r="AC144" i="65"/>
  <c r="Z144" i="65"/>
  <c r="J144" i="65"/>
  <c r="K144" i="65"/>
  <c r="G144" i="65"/>
  <c r="I144" i="65"/>
  <c r="P144" i="65"/>
  <c r="O144" i="65"/>
  <c r="AA144" i="65"/>
  <c r="W144" i="65"/>
  <c r="V144" i="65"/>
  <c r="M145" i="63"/>
  <c r="AC145" i="63"/>
  <c r="AS145" i="63"/>
  <c r="N145" i="63"/>
  <c r="AD145" i="63"/>
  <c r="AT145" i="63"/>
  <c r="O145" i="63"/>
  <c r="AE145" i="63"/>
  <c r="AU145" i="63"/>
  <c r="AG145" i="63"/>
  <c r="AW145" i="63"/>
  <c r="T145" i="63"/>
  <c r="AN145" i="63"/>
  <c r="U145" i="63"/>
  <c r="AO145" i="63"/>
  <c r="B145" i="63"/>
  <c r="V145" i="63"/>
  <c r="AP145" i="63"/>
  <c r="C145" i="63"/>
  <c r="W145" i="63"/>
  <c r="AQ145" i="63"/>
  <c r="D145" i="63"/>
  <c r="X145" i="63"/>
  <c r="AR145" i="63"/>
  <c r="E145" i="63"/>
  <c r="Y145" i="63"/>
  <c r="AE145" i="65" s="1"/>
  <c r="AV145" i="63"/>
  <c r="F145" i="63"/>
  <c r="Z145" i="63"/>
  <c r="AX145" i="63"/>
  <c r="G145" i="63"/>
  <c r="AY145" i="63"/>
  <c r="I145" i="63"/>
  <c r="AF145" i="63"/>
  <c r="J145" i="63"/>
  <c r="AH145" i="63"/>
  <c r="AI145" i="63"/>
  <c r="L145" i="63"/>
  <c r="AJ145" i="63"/>
  <c r="H145" i="63"/>
  <c r="P145" i="63"/>
  <c r="AK145" i="63"/>
  <c r="AL145" i="63"/>
  <c r="AM145" i="63"/>
  <c r="Y144" i="65"/>
  <c r="A146" i="63"/>
  <c r="AD145" i="65" l="1"/>
  <c r="AC145" i="65"/>
  <c r="T145" i="65"/>
  <c r="J145" i="65"/>
  <c r="W145" i="65"/>
  <c r="D145" i="65"/>
  <c r="K145" i="65"/>
  <c r="Z145" i="65"/>
  <c r="I145" i="65"/>
  <c r="G145" i="65"/>
  <c r="V145" i="65"/>
  <c r="O145" i="65"/>
  <c r="AA145" i="65"/>
  <c r="P145" i="65"/>
  <c r="AQ146" i="63"/>
  <c r="L146" i="63"/>
  <c r="K146" i="65" s="1"/>
  <c r="AR146" i="63"/>
  <c r="M146" i="63"/>
  <c r="AC146" i="63"/>
  <c r="AS146" i="63"/>
  <c r="O146" i="63"/>
  <c r="AE146" i="63"/>
  <c r="J146" i="63"/>
  <c r="AH146" i="63"/>
  <c r="AI146" i="63"/>
  <c r="P146" i="63"/>
  <c r="AJ146" i="63"/>
  <c r="AK146" i="63"/>
  <c r="AL146" i="63"/>
  <c r="AM146" i="63"/>
  <c r="T146" i="63"/>
  <c r="AN146" i="63"/>
  <c r="U146" i="63"/>
  <c r="AO146" i="63"/>
  <c r="C146" i="63"/>
  <c r="W146" i="63"/>
  <c r="AT146" i="63"/>
  <c r="D146" i="63"/>
  <c r="X146" i="63"/>
  <c r="AU146" i="63"/>
  <c r="E146" i="63"/>
  <c r="Y146" i="63"/>
  <c r="AE146" i="65" s="1"/>
  <c r="AV146" i="63"/>
  <c r="F146" i="63"/>
  <c r="Z146" i="63"/>
  <c r="AW146" i="63"/>
  <c r="AD146" i="63"/>
  <c r="AF146" i="63"/>
  <c r="AG146" i="63"/>
  <c r="AP146" i="63"/>
  <c r="AX146" i="63"/>
  <c r="AY146" i="63"/>
  <c r="B146" i="63"/>
  <c r="G146" i="63"/>
  <c r="H146" i="63"/>
  <c r="I146" i="63"/>
  <c r="A147" i="63"/>
  <c r="AD146" i="65" l="1"/>
  <c r="T146" i="65"/>
  <c r="AC146" i="65"/>
  <c r="P146" i="65"/>
  <c r="Z146" i="65"/>
  <c r="G146" i="65"/>
  <c r="I146" i="65"/>
  <c r="W146" i="65"/>
  <c r="V146" i="65"/>
  <c r="O146" i="65"/>
  <c r="AA146" i="65"/>
  <c r="I147" i="63"/>
  <c r="Y147" i="63"/>
  <c r="AE147" i="65" s="1"/>
  <c r="AO147" i="63"/>
  <c r="J147" i="63"/>
  <c r="Z147" i="63"/>
  <c r="AP147" i="63"/>
  <c r="AQ147" i="63"/>
  <c r="C147" i="63"/>
  <c r="AR147" i="63"/>
  <c r="D147" i="63"/>
  <c r="W147" i="63"/>
  <c r="AS147" i="63"/>
  <c r="E147" i="63"/>
  <c r="X147" i="63"/>
  <c r="AT147" i="63"/>
  <c r="F147" i="63"/>
  <c r="AU147" i="63"/>
  <c r="G147" i="63"/>
  <c r="AC147" i="63"/>
  <c r="AV147" i="63"/>
  <c r="H147" i="63"/>
  <c r="AD147" i="63"/>
  <c r="AW147" i="63"/>
  <c r="L147" i="63"/>
  <c r="AE147" i="63"/>
  <c r="AX147" i="63"/>
  <c r="M147" i="63"/>
  <c r="AF147" i="63"/>
  <c r="AY147" i="63"/>
  <c r="AH147" i="63"/>
  <c r="P147" i="63"/>
  <c r="AI147" i="63"/>
  <c r="Q147" i="63"/>
  <c r="AJ147" i="63"/>
  <c r="R147" i="63"/>
  <c r="AK147" i="63"/>
  <c r="B147" i="63"/>
  <c r="T147" i="63"/>
  <c r="U147" i="63"/>
  <c r="AG147" i="63"/>
  <c r="AL147" i="63"/>
  <c r="AM147" i="63"/>
  <c r="AN147" i="63"/>
  <c r="A148" i="63"/>
  <c r="AB147" i="65" l="1"/>
  <c r="AC147" i="65"/>
  <c r="AD147" i="65"/>
  <c r="T147" i="65"/>
  <c r="Z147" i="65"/>
  <c r="K147" i="65"/>
  <c r="D147" i="65"/>
  <c r="G147" i="65"/>
  <c r="W147" i="65"/>
  <c r="V147" i="65"/>
  <c r="O147" i="65"/>
  <c r="AA147" i="65"/>
  <c r="I147" i="65"/>
  <c r="P147" i="65"/>
  <c r="G148" i="63"/>
  <c r="W148" i="63"/>
  <c r="H148" i="63"/>
  <c r="X148" i="63"/>
  <c r="I148" i="63"/>
  <c r="Y148" i="63"/>
  <c r="AE148" i="65" s="1"/>
  <c r="M148" i="63"/>
  <c r="AF148" i="63"/>
  <c r="AV148" i="63"/>
  <c r="AG148" i="63"/>
  <c r="AW148" i="63"/>
  <c r="AH148" i="63"/>
  <c r="AX148" i="63"/>
  <c r="P148" i="63"/>
  <c r="AI148" i="63"/>
  <c r="AY148" i="63"/>
  <c r="Q148" i="63"/>
  <c r="AJ148" i="63"/>
  <c r="R148" i="63"/>
  <c r="AK148" i="63"/>
  <c r="S148" i="63"/>
  <c r="AL148" i="63"/>
  <c r="T148" i="63"/>
  <c r="AM148" i="63"/>
  <c r="C148" i="63"/>
  <c r="AO148" i="63"/>
  <c r="D148" i="63"/>
  <c r="Z148" i="63"/>
  <c r="AP148" i="63"/>
  <c r="E148" i="63"/>
  <c r="AQ148" i="63"/>
  <c r="F148" i="63"/>
  <c r="AR148" i="63"/>
  <c r="B148" i="63"/>
  <c r="J148" i="63"/>
  <c r="K148" i="63"/>
  <c r="L148" i="63"/>
  <c r="U148" i="63"/>
  <c r="AC148" i="63"/>
  <c r="AD148" i="63"/>
  <c r="AE148" i="63"/>
  <c r="AS148" i="63"/>
  <c r="AT148" i="63"/>
  <c r="AU148" i="63"/>
  <c r="AN148" i="63"/>
  <c r="A149" i="63"/>
  <c r="T148" i="65" l="1"/>
  <c r="P148" i="65"/>
  <c r="AD148" i="65"/>
  <c r="AC148" i="65"/>
  <c r="AB148" i="65"/>
  <c r="D148" i="65"/>
  <c r="K148" i="65"/>
  <c r="Z148" i="65"/>
  <c r="I148" i="65"/>
  <c r="G148" i="65"/>
  <c r="W148" i="65"/>
  <c r="V148" i="65"/>
  <c r="O148" i="65"/>
  <c r="AA148" i="65"/>
  <c r="N149" i="63"/>
  <c r="AD149" i="63"/>
  <c r="AT149" i="63"/>
  <c r="AE149" i="63"/>
  <c r="AU149" i="63"/>
  <c r="P149" i="63"/>
  <c r="AF149" i="63"/>
  <c r="AV149" i="63"/>
  <c r="Q149" i="63"/>
  <c r="AG149" i="63"/>
  <c r="AW149" i="63"/>
  <c r="B149" i="63"/>
  <c r="R149" i="63"/>
  <c r="AH149" i="63"/>
  <c r="AX149" i="63"/>
  <c r="C149" i="63"/>
  <c r="S149" i="63"/>
  <c r="AI149" i="63"/>
  <c r="AY149" i="63"/>
  <c r="D149" i="63"/>
  <c r="T149" i="63"/>
  <c r="AJ149" i="63"/>
  <c r="E149" i="63"/>
  <c r="U149" i="63"/>
  <c r="AK149" i="63"/>
  <c r="G149" i="63"/>
  <c r="W149" i="63"/>
  <c r="AM149" i="63"/>
  <c r="H149" i="63"/>
  <c r="X149" i="63"/>
  <c r="AN149" i="63"/>
  <c r="I149" i="63"/>
  <c r="Y149" i="63"/>
  <c r="AE149" i="65" s="1"/>
  <c r="AO149" i="63"/>
  <c r="J149" i="63"/>
  <c r="AP149" i="63"/>
  <c r="V149" i="63"/>
  <c r="D149" i="65" s="1"/>
  <c r="AC149" i="63"/>
  <c r="AL149" i="63"/>
  <c r="AQ149" i="63"/>
  <c r="AR149" i="63"/>
  <c r="AS149" i="63"/>
  <c r="F149" i="63"/>
  <c r="K149" i="63"/>
  <c r="L149" i="63"/>
  <c r="M149" i="63"/>
  <c r="Y148" i="65"/>
  <c r="A150" i="63"/>
  <c r="T149" i="65" l="1"/>
  <c r="AB149" i="65"/>
  <c r="AC149" i="65"/>
  <c r="AD149" i="65"/>
  <c r="K149" i="65"/>
  <c r="J149" i="65"/>
  <c r="Z149" i="65"/>
  <c r="V149" i="65"/>
  <c r="I149" i="65"/>
  <c r="O149" i="65"/>
  <c r="AA149" i="65"/>
  <c r="W149" i="65"/>
  <c r="G149" i="65"/>
  <c r="L150" i="63"/>
  <c r="AR150" i="63"/>
  <c r="M150" i="63"/>
  <c r="AC150" i="63"/>
  <c r="AS150" i="63"/>
  <c r="N150" i="63"/>
  <c r="AD150" i="63"/>
  <c r="AT150" i="63"/>
  <c r="O150" i="63"/>
  <c r="AE150" i="63"/>
  <c r="AU150" i="63"/>
  <c r="P150" i="63"/>
  <c r="AF150" i="63"/>
  <c r="AV150" i="63"/>
  <c r="Q150" i="63"/>
  <c r="AG150" i="63"/>
  <c r="AW150" i="63"/>
  <c r="B150" i="63"/>
  <c r="R150" i="63"/>
  <c r="AH150" i="63"/>
  <c r="AX150" i="63"/>
  <c r="C150" i="63"/>
  <c r="S150" i="63"/>
  <c r="AI150" i="63"/>
  <c r="AY150" i="63"/>
  <c r="E150" i="63"/>
  <c r="U150" i="63"/>
  <c r="AK150" i="63"/>
  <c r="F150" i="63"/>
  <c r="V150" i="63"/>
  <c r="AL150" i="63"/>
  <c r="G150" i="63"/>
  <c r="W150" i="63"/>
  <c r="AM150" i="63"/>
  <c r="H150" i="63"/>
  <c r="X150" i="63"/>
  <c r="AN150" i="63"/>
  <c r="AJ150" i="63"/>
  <c r="AO150" i="63"/>
  <c r="AP150" i="63"/>
  <c r="AQ150" i="63"/>
  <c r="I150" i="63"/>
  <c r="J150" i="63"/>
  <c r="K150" i="63"/>
  <c r="T150" i="63"/>
  <c r="D150" i="63"/>
  <c r="Y150" i="63"/>
  <c r="AE150" i="65" s="1"/>
  <c r="Y149" i="65"/>
  <c r="A151" i="63"/>
  <c r="AC150" i="65" l="1"/>
  <c r="AD150" i="65"/>
  <c r="J150" i="65"/>
  <c r="AB150" i="65"/>
  <c r="T150" i="65"/>
  <c r="Z150" i="65"/>
  <c r="K150" i="65"/>
  <c r="D150" i="65"/>
  <c r="O150" i="65"/>
  <c r="AA150" i="65"/>
  <c r="W150" i="65"/>
  <c r="I150" i="65"/>
  <c r="G150" i="65"/>
  <c r="V150" i="65"/>
  <c r="J151" i="63"/>
  <c r="Z151" i="63"/>
  <c r="AP151" i="63"/>
  <c r="K151" i="63"/>
  <c r="AQ151" i="63"/>
  <c r="L151" i="63"/>
  <c r="AR151" i="63"/>
  <c r="M151" i="63"/>
  <c r="AC151" i="63"/>
  <c r="AS151" i="63"/>
  <c r="N151" i="63"/>
  <c r="AD151" i="63"/>
  <c r="AT151" i="63"/>
  <c r="O151" i="63"/>
  <c r="AE151" i="63"/>
  <c r="AU151" i="63"/>
  <c r="P151" i="63"/>
  <c r="AF151" i="63"/>
  <c r="AV151" i="63"/>
  <c r="AG151" i="63"/>
  <c r="AW151" i="63"/>
  <c r="S151" i="63"/>
  <c r="AI151" i="63"/>
  <c r="AY151" i="63"/>
  <c r="T151" i="63"/>
  <c r="AJ151" i="63"/>
  <c r="U151" i="63"/>
  <c r="AK151" i="63"/>
  <c r="V151" i="63"/>
  <c r="D151" i="65" s="1"/>
  <c r="AL151" i="63"/>
  <c r="AX151" i="63"/>
  <c r="H151" i="63"/>
  <c r="G151" i="65" s="1"/>
  <c r="I151" i="63"/>
  <c r="W151" i="63"/>
  <c r="AH151" i="63"/>
  <c r="AM151" i="63"/>
  <c r="AN151" i="63"/>
  <c r="AO151" i="63"/>
  <c r="Y150" i="65"/>
  <c r="A152" i="63"/>
  <c r="AE151" i="65" l="1"/>
  <c r="AC151" i="65"/>
  <c r="Z151" i="65"/>
  <c r="J151" i="65"/>
  <c r="I151" i="65"/>
  <c r="K151" i="65"/>
  <c r="O151" i="65"/>
  <c r="AA151" i="65"/>
  <c r="P151" i="65"/>
  <c r="V151" i="65"/>
  <c r="W151" i="65"/>
  <c r="H152" i="63"/>
  <c r="AN152" i="63"/>
  <c r="I152" i="63"/>
  <c r="AO152" i="63"/>
  <c r="J152" i="63"/>
  <c r="Z152" i="63"/>
  <c r="AP152" i="63"/>
  <c r="AQ152" i="63"/>
  <c r="L152" i="63"/>
  <c r="AR152" i="63"/>
  <c r="M152" i="63"/>
  <c r="AC152" i="63"/>
  <c r="AS152" i="63"/>
  <c r="N152" i="63"/>
  <c r="AD152" i="63"/>
  <c r="AT152" i="63"/>
  <c r="O152" i="63"/>
  <c r="AE152" i="63"/>
  <c r="AU152" i="63"/>
  <c r="AG152" i="63"/>
  <c r="AW152" i="63"/>
  <c r="AH152" i="63"/>
  <c r="AX152" i="63"/>
  <c r="AI152" i="63"/>
  <c r="AY152" i="63"/>
  <c r="T152" i="63"/>
  <c r="AJ152" i="63"/>
  <c r="P152" i="63"/>
  <c r="U152" i="63"/>
  <c r="V152" i="63"/>
  <c r="D152" i="65" s="1"/>
  <c r="W152" i="63"/>
  <c r="AK152" i="63"/>
  <c r="AL152" i="63"/>
  <c r="AM152" i="63"/>
  <c r="AV152" i="63"/>
  <c r="AF152" i="63"/>
  <c r="Y151" i="65"/>
  <c r="A153" i="63"/>
  <c r="P152" i="65" l="1"/>
  <c r="AC152" i="65"/>
  <c r="Z152" i="65"/>
  <c r="J152" i="65"/>
  <c r="K152" i="65"/>
  <c r="W152" i="65"/>
  <c r="V152" i="65"/>
  <c r="O152" i="65"/>
  <c r="AA152" i="65"/>
  <c r="G152" i="65"/>
  <c r="I152" i="65"/>
  <c r="F153" i="63"/>
  <c r="V153" i="63"/>
  <c r="AL153" i="63"/>
  <c r="G153" i="63"/>
  <c r="W153" i="63"/>
  <c r="AM153" i="63"/>
  <c r="H153" i="63"/>
  <c r="X153" i="63"/>
  <c r="AN153" i="63"/>
  <c r="I153" i="63"/>
  <c r="Y153" i="63"/>
  <c r="AE153" i="65" s="1"/>
  <c r="AO153" i="63"/>
  <c r="J153" i="63"/>
  <c r="Z153" i="63"/>
  <c r="AP153" i="63"/>
  <c r="AQ153" i="63"/>
  <c r="L153" i="63"/>
  <c r="AR153" i="63"/>
  <c r="M153" i="63"/>
  <c r="AC153" i="63"/>
  <c r="AS153" i="63"/>
  <c r="O153" i="63"/>
  <c r="AE153" i="63"/>
  <c r="AU153" i="63"/>
  <c r="P153" i="63"/>
  <c r="AF153" i="63"/>
  <c r="AV153" i="63"/>
  <c r="AG153" i="63"/>
  <c r="AW153" i="63"/>
  <c r="B153" i="63"/>
  <c r="AH153" i="63"/>
  <c r="AX153" i="63"/>
  <c r="N153" i="63"/>
  <c r="T153" i="63"/>
  <c r="U153" i="63"/>
  <c r="AD153" i="63"/>
  <c r="AI153" i="63"/>
  <c r="AJ153" i="63"/>
  <c r="AK153" i="63"/>
  <c r="AY153" i="63"/>
  <c r="C153" i="63"/>
  <c r="D153" i="63"/>
  <c r="E153" i="63"/>
  <c r="AT153" i="63"/>
  <c r="A154" i="63"/>
  <c r="T153" i="65" l="1"/>
  <c r="AC153" i="65"/>
  <c r="AD153" i="65"/>
  <c r="W153" i="65"/>
  <c r="P153" i="65"/>
  <c r="K153" i="65"/>
  <c r="J153" i="65"/>
  <c r="D153" i="65"/>
  <c r="Z153" i="65"/>
  <c r="V153" i="65"/>
  <c r="O153" i="65"/>
  <c r="AA153" i="65"/>
  <c r="G153" i="65"/>
  <c r="I153" i="65"/>
  <c r="D154" i="63"/>
  <c r="T154" i="63"/>
  <c r="AJ154" i="63"/>
  <c r="E154" i="63"/>
  <c r="U154" i="63"/>
  <c r="AK154" i="63"/>
  <c r="F154" i="63"/>
  <c r="V154" i="63"/>
  <c r="AL154" i="63"/>
  <c r="G154" i="63"/>
  <c r="W154" i="63"/>
  <c r="AM154" i="63"/>
  <c r="H154" i="63"/>
  <c r="X154" i="63"/>
  <c r="AN154" i="63"/>
  <c r="I154" i="63"/>
  <c r="Y154" i="63"/>
  <c r="AE154" i="65" s="1"/>
  <c r="AO154" i="63"/>
  <c r="J154" i="63"/>
  <c r="Z154" i="63"/>
  <c r="AP154" i="63"/>
  <c r="AQ154" i="63"/>
  <c r="M154" i="63"/>
  <c r="AC154" i="63"/>
  <c r="AS154" i="63"/>
  <c r="N154" i="63"/>
  <c r="AD154" i="63"/>
  <c r="AT154" i="63"/>
  <c r="O154" i="63"/>
  <c r="AE154" i="63"/>
  <c r="AU154" i="63"/>
  <c r="P154" i="63"/>
  <c r="AF154" i="63"/>
  <c r="AV154" i="63"/>
  <c r="AG154" i="63"/>
  <c r="AH154" i="63"/>
  <c r="AI154" i="63"/>
  <c r="AR154" i="63"/>
  <c r="AW154" i="63"/>
  <c r="AX154" i="63"/>
  <c r="AY154" i="63"/>
  <c r="B154" i="63"/>
  <c r="C154" i="63"/>
  <c r="L154" i="63"/>
  <c r="Q154" i="63"/>
  <c r="R154" i="63"/>
  <c r="A155" i="63"/>
  <c r="T154" i="65" l="1"/>
  <c r="P154" i="65"/>
  <c r="AC154" i="65"/>
  <c r="AD154" i="65"/>
  <c r="AB154" i="65"/>
  <c r="K154" i="65"/>
  <c r="J154" i="65"/>
  <c r="Z154" i="65"/>
  <c r="D154" i="65"/>
  <c r="O154" i="65"/>
  <c r="AA154" i="65"/>
  <c r="V154" i="65"/>
  <c r="W154" i="65"/>
  <c r="I154" i="65"/>
  <c r="G154" i="65"/>
  <c r="B155" i="63"/>
  <c r="R155" i="63"/>
  <c r="AH155" i="63"/>
  <c r="AX155" i="63"/>
  <c r="C155" i="63"/>
  <c r="S155" i="63"/>
  <c r="AI155" i="63"/>
  <c r="AY155" i="63"/>
  <c r="D155" i="63"/>
  <c r="V155" i="65" s="1"/>
  <c r="T155" i="63"/>
  <c r="AJ155" i="63"/>
  <c r="E155" i="63"/>
  <c r="U155" i="63"/>
  <c r="AK155" i="63"/>
  <c r="F155" i="63"/>
  <c r="V155" i="63"/>
  <c r="AL155" i="63"/>
  <c r="G155" i="63"/>
  <c r="W155" i="63"/>
  <c r="AM155" i="63"/>
  <c r="H155" i="63"/>
  <c r="X155" i="63"/>
  <c r="AN155" i="63"/>
  <c r="I155" i="63"/>
  <c r="Y155" i="63"/>
  <c r="AE155" i="65" s="1"/>
  <c r="AO155" i="63"/>
  <c r="K155" i="63"/>
  <c r="AQ155" i="63"/>
  <c r="L155" i="63"/>
  <c r="AR155" i="63"/>
  <c r="M155" i="63"/>
  <c r="AC155" i="63"/>
  <c r="AS155" i="63"/>
  <c r="N155" i="63"/>
  <c r="AD155" i="63"/>
  <c r="AT155" i="63"/>
  <c r="AP155" i="63"/>
  <c r="AU155" i="63"/>
  <c r="AV155" i="63"/>
  <c r="AW155" i="63"/>
  <c r="O155" i="63"/>
  <c r="P155" i="63"/>
  <c r="Q155" i="63"/>
  <c r="Z155" i="63"/>
  <c r="J155" i="63"/>
  <c r="AE155" i="63"/>
  <c r="AF155" i="63"/>
  <c r="AG155" i="63"/>
  <c r="A156" i="63"/>
  <c r="AD155" i="65" l="1"/>
  <c r="AB155" i="65"/>
  <c r="AC155" i="65"/>
  <c r="T155" i="65"/>
  <c r="P155" i="65"/>
  <c r="D155" i="65"/>
  <c r="K155" i="65"/>
  <c r="J155" i="65"/>
  <c r="W155" i="65"/>
  <c r="Z155" i="65"/>
  <c r="G155" i="65"/>
  <c r="O155" i="65"/>
  <c r="AA155" i="65"/>
  <c r="I155" i="65"/>
  <c r="AF156" i="63"/>
  <c r="AV156" i="63"/>
  <c r="Q156" i="63"/>
  <c r="AG156" i="63"/>
  <c r="AW156" i="63"/>
  <c r="B156" i="63"/>
  <c r="R156" i="63"/>
  <c r="AH156" i="63"/>
  <c r="AX156" i="63"/>
  <c r="C156" i="63"/>
  <c r="S156" i="63"/>
  <c r="AI156" i="63"/>
  <c r="AY156" i="63"/>
  <c r="D156" i="63"/>
  <c r="T156" i="63"/>
  <c r="AJ156" i="63"/>
  <c r="E156" i="63"/>
  <c r="U156" i="63"/>
  <c r="AK156" i="63"/>
  <c r="F156" i="63"/>
  <c r="V156" i="63"/>
  <c r="D156" i="65" s="1"/>
  <c r="AL156" i="63"/>
  <c r="G156" i="63"/>
  <c r="W156" i="63"/>
  <c r="AM156" i="63"/>
  <c r="I156" i="63"/>
  <c r="O156" i="65" s="1"/>
  <c r="Y156" i="63"/>
  <c r="AO156" i="63"/>
  <c r="J156" i="63"/>
  <c r="Z156" i="63"/>
  <c r="AP156" i="63"/>
  <c r="K156" i="63"/>
  <c r="AQ156" i="63"/>
  <c r="L156" i="63"/>
  <c r="AR156" i="63"/>
  <c r="H156" i="63"/>
  <c r="M156" i="63"/>
  <c r="N156" i="63"/>
  <c r="O156" i="63"/>
  <c r="AC156" i="63"/>
  <c r="AD156" i="63"/>
  <c r="AE156" i="63"/>
  <c r="AN156" i="63"/>
  <c r="X156" i="63"/>
  <c r="AS156" i="63"/>
  <c r="AT156" i="63"/>
  <c r="AU156" i="63"/>
  <c r="Y155" i="65"/>
  <c r="A157" i="63"/>
  <c r="AD156" i="65" l="1"/>
  <c r="AE156" i="65"/>
  <c r="Z156" i="65"/>
  <c r="T156" i="65"/>
  <c r="Y156" i="65"/>
  <c r="AC156" i="65"/>
  <c r="J156" i="65"/>
  <c r="K156" i="65"/>
  <c r="AA156" i="65"/>
  <c r="AB156" i="65"/>
  <c r="I156" i="65"/>
  <c r="G156" i="65"/>
  <c r="V156" i="65"/>
  <c r="P156" i="65"/>
  <c r="W156" i="65"/>
  <c r="N157" i="63"/>
  <c r="AD157" i="63"/>
  <c r="AT157" i="63"/>
  <c r="O157" i="63"/>
  <c r="AE157" i="63"/>
  <c r="AU157" i="63"/>
  <c r="AF157" i="63"/>
  <c r="AV157" i="63"/>
  <c r="Q157" i="63"/>
  <c r="AG157" i="63"/>
  <c r="AW157" i="63"/>
  <c r="R157" i="63"/>
  <c r="AH157" i="63"/>
  <c r="AX157" i="63"/>
  <c r="S157" i="63"/>
  <c r="AI157" i="63"/>
  <c r="AY157" i="63"/>
  <c r="T157" i="63"/>
  <c r="AJ157" i="63"/>
  <c r="AK157" i="63"/>
  <c r="W157" i="63"/>
  <c r="AM157" i="63"/>
  <c r="H157" i="63"/>
  <c r="AN157" i="63"/>
  <c r="I157" i="63"/>
  <c r="AO157" i="63"/>
  <c r="J157" i="63"/>
  <c r="Z157" i="63"/>
  <c r="AP157" i="63"/>
  <c r="K157" i="63"/>
  <c r="L157" i="63"/>
  <c r="M157" i="63"/>
  <c r="V157" i="63"/>
  <c r="AC157" i="63"/>
  <c r="AQ157" i="63"/>
  <c r="AR157" i="63"/>
  <c r="AS157" i="63"/>
  <c r="AL157" i="63"/>
  <c r="A158" i="63"/>
  <c r="P157" i="65" l="1"/>
  <c r="AB157" i="65"/>
  <c r="D157" i="65"/>
  <c r="J157" i="65"/>
  <c r="K157" i="65"/>
  <c r="Z157" i="65"/>
  <c r="I157" i="65"/>
  <c r="O157" i="65"/>
  <c r="AA157" i="65"/>
  <c r="V157" i="65"/>
  <c r="W157" i="65"/>
  <c r="G157" i="65"/>
  <c r="Y157" i="65"/>
  <c r="L158" i="63"/>
  <c r="AR158" i="63"/>
  <c r="M158" i="63"/>
  <c r="AC158" i="63"/>
  <c r="AS158" i="63"/>
  <c r="N158" i="63"/>
  <c r="AD158" i="63"/>
  <c r="AT158" i="63"/>
  <c r="O158" i="63"/>
  <c r="AE158" i="63"/>
  <c r="AU158" i="63"/>
  <c r="AF158" i="63"/>
  <c r="AV158" i="63"/>
  <c r="AG158" i="63"/>
  <c r="AW158" i="63"/>
  <c r="AH158" i="63"/>
  <c r="AX158" i="63"/>
  <c r="S158" i="63"/>
  <c r="AI158" i="63"/>
  <c r="AY158" i="63"/>
  <c r="AK158" i="63"/>
  <c r="V158" i="63"/>
  <c r="AL158" i="63"/>
  <c r="W158" i="63"/>
  <c r="AM158" i="63"/>
  <c r="H158" i="63"/>
  <c r="G158" i="65" s="1"/>
  <c r="AN158" i="63"/>
  <c r="T158" i="63"/>
  <c r="Z158" i="63"/>
  <c r="AJ158" i="63"/>
  <c r="AO158" i="63"/>
  <c r="AP158" i="63"/>
  <c r="AQ158" i="63"/>
  <c r="I158" i="63"/>
  <c r="J158" i="63"/>
  <c r="K158" i="63"/>
  <c r="A159" i="63"/>
  <c r="J158" i="65" l="1"/>
  <c r="P158" i="65"/>
  <c r="W158" i="65"/>
  <c r="K158" i="65"/>
  <c r="D158" i="65"/>
  <c r="Z158" i="65"/>
  <c r="V158" i="65"/>
  <c r="I158" i="65"/>
  <c r="Y158" i="65"/>
  <c r="O158" i="65"/>
  <c r="AA158" i="65"/>
  <c r="J159" i="63"/>
  <c r="Z159" i="63"/>
  <c r="AP159" i="63"/>
  <c r="AQ159" i="63"/>
  <c r="L159" i="63"/>
  <c r="K159" i="65" s="1"/>
  <c r="AR159" i="63"/>
  <c r="M159" i="63"/>
  <c r="AC159" i="63"/>
  <c r="AS159" i="63"/>
  <c r="N159" i="63"/>
  <c r="AD159" i="63"/>
  <c r="AT159" i="63"/>
  <c r="O159" i="63"/>
  <c r="AE159" i="63"/>
  <c r="AU159" i="63"/>
  <c r="P159" i="63"/>
  <c r="AF159" i="63"/>
  <c r="AV159" i="63"/>
  <c r="AG159" i="63"/>
  <c r="AW159" i="63"/>
  <c r="C159" i="63"/>
  <c r="AI159" i="63"/>
  <c r="AY159" i="63"/>
  <c r="D159" i="63"/>
  <c r="T159" i="63"/>
  <c r="AJ159" i="63"/>
  <c r="E159" i="63"/>
  <c r="U159" i="63"/>
  <c r="AK159" i="63"/>
  <c r="F159" i="63"/>
  <c r="V159" i="63"/>
  <c r="D159" i="65" s="1"/>
  <c r="AL159" i="63"/>
  <c r="AH159" i="63"/>
  <c r="AM159" i="63"/>
  <c r="AN159" i="63"/>
  <c r="AO159" i="63"/>
  <c r="AX159" i="63"/>
  <c r="G159" i="63"/>
  <c r="H159" i="63"/>
  <c r="I159" i="63"/>
  <c r="B159" i="63"/>
  <c r="X159" i="63"/>
  <c r="Y159" i="63"/>
  <c r="AE159" i="65" s="1"/>
  <c r="W159" i="63"/>
  <c r="A160" i="63"/>
  <c r="AC159" i="65" l="1"/>
  <c r="AD159" i="65"/>
  <c r="T159" i="65"/>
  <c r="Z159" i="65"/>
  <c r="J159" i="65"/>
  <c r="G159" i="65"/>
  <c r="I159" i="65"/>
  <c r="O159" i="65"/>
  <c r="AA159" i="65"/>
  <c r="W159" i="65"/>
  <c r="P159" i="65"/>
  <c r="V159" i="65"/>
  <c r="X160" i="63"/>
  <c r="AN160" i="63"/>
  <c r="I160" i="63"/>
  <c r="Y160" i="63"/>
  <c r="AE160" i="65" s="1"/>
  <c r="AO160" i="63"/>
  <c r="J160" i="63"/>
  <c r="Z160" i="63"/>
  <c r="AP160" i="63"/>
  <c r="AQ160" i="63"/>
  <c r="L160" i="63"/>
  <c r="AR160" i="63"/>
  <c r="M160" i="63"/>
  <c r="AC160" i="63"/>
  <c r="AS160" i="63"/>
  <c r="N160" i="63"/>
  <c r="AD160" i="63"/>
  <c r="AT160" i="63"/>
  <c r="O160" i="63"/>
  <c r="AE160" i="63"/>
  <c r="AU160" i="63"/>
  <c r="AG160" i="63"/>
  <c r="AW160" i="63"/>
  <c r="B160" i="63"/>
  <c r="AH160" i="63"/>
  <c r="AX160" i="63"/>
  <c r="C160" i="63"/>
  <c r="AI160" i="63"/>
  <c r="AY160" i="63"/>
  <c r="D160" i="63"/>
  <c r="AJ160" i="63"/>
  <c r="AV160" i="63"/>
  <c r="E160" i="63"/>
  <c r="F160" i="63"/>
  <c r="G160" i="63"/>
  <c r="U160" i="63"/>
  <c r="V160" i="63"/>
  <c r="AF160" i="63"/>
  <c r="P160" i="63"/>
  <c r="AK160" i="63"/>
  <c r="AL160" i="63"/>
  <c r="AM160" i="63"/>
  <c r="A161" i="63"/>
  <c r="P160" i="65" l="1"/>
  <c r="AD160" i="65"/>
  <c r="T160" i="65"/>
  <c r="AC160" i="65"/>
  <c r="K160" i="65"/>
  <c r="D160" i="65"/>
  <c r="Z160" i="65"/>
  <c r="W160" i="65"/>
  <c r="G160" i="65"/>
  <c r="V160" i="65"/>
  <c r="I160" i="65"/>
  <c r="O160" i="65"/>
  <c r="F161" i="63"/>
  <c r="V161" i="63"/>
  <c r="AL161" i="63"/>
  <c r="G161" i="63"/>
  <c r="AM161" i="63"/>
  <c r="X161" i="63"/>
  <c r="AN161" i="63"/>
  <c r="Y161" i="63"/>
  <c r="AE161" i="65" s="1"/>
  <c r="AO161" i="63"/>
  <c r="J161" i="63"/>
  <c r="Z161" i="63"/>
  <c r="AP161" i="63"/>
  <c r="AQ161" i="63"/>
  <c r="L161" i="63"/>
  <c r="AR161" i="63"/>
  <c r="M161" i="63"/>
  <c r="AC161" i="63"/>
  <c r="AS161" i="63"/>
  <c r="O161" i="63"/>
  <c r="AE161" i="63"/>
  <c r="AU161" i="63"/>
  <c r="P161" i="63"/>
  <c r="AF161" i="63"/>
  <c r="AV161" i="63"/>
  <c r="Q161" i="63"/>
  <c r="AG161" i="63"/>
  <c r="AW161" i="63"/>
  <c r="B161" i="63"/>
  <c r="R161" i="63"/>
  <c r="AH161" i="63"/>
  <c r="AX161" i="63"/>
  <c r="C161" i="63"/>
  <c r="D161" i="63"/>
  <c r="E161" i="63"/>
  <c r="N161" i="63"/>
  <c r="U161" i="63"/>
  <c r="AI161" i="63"/>
  <c r="AJ161" i="63"/>
  <c r="AK161" i="63"/>
  <c r="AT161" i="63"/>
  <c r="AD161" i="63"/>
  <c r="AY161" i="63"/>
  <c r="A162" i="63"/>
  <c r="AD161" i="65" l="1"/>
  <c r="Z161" i="65"/>
  <c r="T161" i="65"/>
  <c r="AC161" i="65"/>
  <c r="AB161" i="65"/>
  <c r="K161" i="65"/>
  <c r="D161" i="65"/>
  <c r="W161" i="65"/>
  <c r="V161" i="65"/>
  <c r="G161" i="65"/>
  <c r="O161" i="65"/>
  <c r="I161" i="65"/>
  <c r="P161" i="65"/>
  <c r="D162" i="63"/>
  <c r="AJ162" i="63"/>
  <c r="E162" i="63"/>
  <c r="U162" i="63"/>
  <c r="AK162" i="63"/>
  <c r="F162" i="63"/>
  <c r="V162" i="63"/>
  <c r="AL162" i="63"/>
  <c r="G162" i="63"/>
  <c r="W162" i="63"/>
  <c r="AM162" i="63"/>
  <c r="H162" i="63"/>
  <c r="X162" i="63"/>
  <c r="AN162" i="63"/>
  <c r="Y162" i="63"/>
  <c r="AE162" i="65" s="1"/>
  <c r="AO162" i="63"/>
  <c r="J162" i="63"/>
  <c r="Z162" i="63"/>
  <c r="AP162" i="63"/>
  <c r="K162" i="63"/>
  <c r="AQ162" i="63"/>
  <c r="M162" i="63"/>
  <c r="AC162" i="63"/>
  <c r="AS162" i="63"/>
  <c r="N162" i="63"/>
  <c r="AD162" i="63"/>
  <c r="AT162" i="63"/>
  <c r="O162" i="63"/>
  <c r="AE162" i="63"/>
  <c r="AU162" i="63"/>
  <c r="P162" i="63"/>
  <c r="AF162" i="63"/>
  <c r="AV162" i="63"/>
  <c r="L162" i="63"/>
  <c r="K162" i="65" s="1"/>
  <c r="Q162" i="63"/>
  <c r="R162" i="63"/>
  <c r="S162" i="63"/>
  <c r="AG162" i="63"/>
  <c r="AH162" i="63"/>
  <c r="AI162" i="63"/>
  <c r="AW162" i="63"/>
  <c r="AX162" i="63"/>
  <c r="AY162" i="63"/>
  <c r="B162" i="63"/>
  <c r="C162" i="63"/>
  <c r="AR162" i="63"/>
  <c r="A163" i="63"/>
  <c r="T162" i="65" l="1"/>
  <c r="AC162" i="65"/>
  <c r="AD162" i="65"/>
  <c r="AB162" i="65"/>
  <c r="J162" i="65"/>
  <c r="Z162" i="65"/>
  <c r="D162" i="65"/>
  <c r="O162" i="65"/>
  <c r="P162" i="65"/>
  <c r="V162" i="65"/>
  <c r="I162" i="65"/>
  <c r="W162" i="65"/>
  <c r="G162" i="65"/>
  <c r="Y162" i="65"/>
  <c r="B163" i="63"/>
  <c r="R163" i="63"/>
  <c r="AH163" i="63"/>
  <c r="AX163" i="63"/>
  <c r="C163" i="63"/>
  <c r="S163" i="63"/>
  <c r="AI163" i="63"/>
  <c r="AY163" i="63"/>
  <c r="D163" i="63"/>
  <c r="T163" i="63"/>
  <c r="AJ163" i="63"/>
  <c r="E163" i="63"/>
  <c r="U163" i="63"/>
  <c r="AK163" i="63"/>
  <c r="F163" i="63"/>
  <c r="V163" i="63"/>
  <c r="AL163" i="63"/>
  <c r="G163" i="63"/>
  <c r="W163" i="63"/>
  <c r="AM163" i="63"/>
  <c r="H163" i="63"/>
  <c r="X163" i="63"/>
  <c r="AN163" i="63"/>
  <c r="I163" i="63"/>
  <c r="Y163" i="63"/>
  <c r="AE163" i="65" s="1"/>
  <c r="AO163" i="63"/>
  <c r="K163" i="63"/>
  <c r="AQ163" i="63"/>
  <c r="L163" i="63"/>
  <c r="AR163" i="63"/>
  <c r="M163" i="63"/>
  <c r="AC163" i="63"/>
  <c r="AS163" i="63"/>
  <c r="N163" i="63"/>
  <c r="AD163" i="63"/>
  <c r="AT163" i="63"/>
  <c r="Z163" i="63"/>
  <c r="AE163" i="63"/>
  <c r="AF163" i="63"/>
  <c r="AG163" i="63"/>
  <c r="AP163" i="63"/>
  <c r="AU163" i="63"/>
  <c r="AV163" i="63"/>
  <c r="AW163" i="63"/>
  <c r="J163" i="63"/>
  <c r="O163" i="63"/>
  <c r="P163" i="63"/>
  <c r="Q163" i="63"/>
  <c r="A164" i="63"/>
  <c r="AD163" i="65" l="1"/>
  <c r="Z163" i="65"/>
  <c r="T163" i="65"/>
  <c r="AC163" i="65"/>
  <c r="AB163" i="65"/>
  <c r="W163" i="65"/>
  <c r="J163" i="65"/>
  <c r="K163" i="65"/>
  <c r="D163" i="65"/>
  <c r="G163" i="65"/>
  <c r="O163" i="65"/>
  <c r="AA163" i="65"/>
  <c r="I163" i="65"/>
  <c r="P163" i="65"/>
  <c r="V163" i="65"/>
  <c r="P164" i="63"/>
  <c r="AF164" i="63"/>
  <c r="AV164" i="63"/>
  <c r="Q164" i="63"/>
  <c r="AG164" i="63"/>
  <c r="AW164" i="63"/>
  <c r="B164" i="63"/>
  <c r="R164" i="63"/>
  <c r="AH164" i="63"/>
  <c r="AX164" i="63"/>
  <c r="C164" i="63"/>
  <c r="S164" i="63"/>
  <c r="AI164" i="63"/>
  <c r="AY164" i="63"/>
  <c r="D164" i="63"/>
  <c r="T164" i="63"/>
  <c r="AJ164" i="63"/>
  <c r="E164" i="63"/>
  <c r="U164" i="63"/>
  <c r="AK164" i="63"/>
  <c r="F164" i="63"/>
  <c r="V164" i="63"/>
  <c r="D164" i="65" s="1"/>
  <c r="AL164" i="63"/>
  <c r="G164" i="63"/>
  <c r="W164" i="63"/>
  <c r="AM164" i="63"/>
  <c r="I164" i="63"/>
  <c r="Y164" i="63"/>
  <c r="AO164" i="63"/>
  <c r="J164" i="63"/>
  <c r="Z164" i="63"/>
  <c r="AP164" i="63"/>
  <c r="K164" i="63"/>
  <c r="AQ164" i="63"/>
  <c r="L164" i="63"/>
  <c r="K164" i="65" s="1"/>
  <c r="AR164" i="63"/>
  <c r="AN164" i="63"/>
  <c r="AS164" i="63"/>
  <c r="AT164" i="63"/>
  <c r="AU164" i="63"/>
  <c r="N164" i="63"/>
  <c r="O164" i="63"/>
  <c r="X164" i="63"/>
  <c r="H164" i="63"/>
  <c r="O164" i="65" s="1"/>
  <c r="AC164" i="63"/>
  <c r="AD164" i="63"/>
  <c r="AE164" i="63"/>
  <c r="Y163" i="65"/>
  <c r="A165" i="63"/>
  <c r="AD164" i="65" l="1"/>
  <c r="AE164" i="65"/>
  <c r="Z164" i="65"/>
  <c r="T164" i="65"/>
  <c r="AC164" i="65"/>
  <c r="J164" i="65"/>
  <c r="AA164" i="65"/>
  <c r="AB164" i="65"/>
  <c r="P164" i="65"/>
  <c r="I164" i="65"/>
  <c r="G164" i="65"/>
  <c r="W164" i="65"/>
  <c r="V164" i="65"/>
  <c r="N165" i="63"/>
  <c r="AD165" i="63"/>
  <c r="AT165" i="63"/>
  <c r="O165" i="63"/>
  <c r="AE165" i="63"/>
  <c r="AU165" i="63"/>
  <c r="P165" i="63"/>
  <c r="AF165" i="63"/>
  <c r="AV165" i="63"/>
  <c r="AG165" i="63"/>
  <c r="AW165" i="63"/>
  <c r="AH165" i="63"/>
  <c r="AX165" i="63"/>
  <c r="S165" i="63"/>
  <c r="AI165" i="63"/>
  <c r="AY165" i="63"/>
  <c r="U165" i="63"/>
  <c r="AK165" i="63"/>
  <c r="W165" i="63"/>
  <c r="AM165" i="63"/>
  <c r="H165" i="63"/>
  <c r="I165" i="63"/>
  <c r="AO165" i="63"/>
  <c r="J165" i="63"/>
  <c r="Z165" i="63"/>
  <c r="AN165" i="63"/>
  <c r="AP165" i="63"/>
  <c r="AQ165" i="63"/>
  <c r="AR165" i="63"/>
  <c r="AS165" i="63"/>
  <c r="K165" i="63"/>
  <c r="L165" i="63"/>
  <c r="V165" i="63"/>
  <c r="D165" i="65" s="1"/>
  <c r="T165" i="63"/>
  <c r="AC165" i="63"/>
  <c r="AJ165" i="63"/>
  <c r="AL165" i="63"/>
  <c r="Y164" i="65"/>
  <c r="A166" i="63"/>
  <c r="AC165" i="65" l="1"/>
  <c r="P165" i="65"/>
  <c r="J165" i="65"/>
  <c r="I165" i="65"/>
  <c r="K165" i="65"/>
  <c r="Z165" i="65"/>
  <c r="O165" i="65"/>
  <c r="AA165" i="65"/>
  <c r="V165" i="65"/>
  <c r="W165" i="65"/>
  <c r="G165" i="65"/>
  <c r="L166" i="63"/>
  <c r="AR166" i="63"/>
  <c r="M166" i="63"/>
  <c r="AC166" i="63"/>
  <c r="AS166" i="63"/>
  <c r="N166" i="63"/>
  <c r="AD166" i="63"/>
  <c r="AT166" i="63"/>
  <c r="O166" i="63"/>
  <c r="AE166" i="63"/>
  <c r="AU166" i="63"/>
  <c r="P166" i="63"/>
  <c r="AF166" i="63"/>
  <c r="AV166" i="63"/>
  <c r="AG166" i="63"/>
  <c r="AW166" i="63"/>
  <c r="AI166" i="63"/>
  <c r="AY166" i="63"/>
  <c r="U166" i="63"/>
  <c r="AK166" i="63"/>
  <c r="W166" i="63"/>
  <c r="AM166" i="63"/>
  <c r="Z166" i="63"/>
  <c r="AH166" i="63"/>
  <c r="AJ166" i="63"/>
  <c r="AL166" i="63"/>
  <c r="AN166" i="63"/>
  <c r="AO166" i="63"/>
  <c r="I166" i="63"/>
  <c r="AQ166" i="63"/>
  <c r="J166" i="63"/>
  <c r="AX166" i="63"/>
  <c r="H166" i="63"/>
  <c r="T166" i="63"/>
  <c r="V166" i="63"/>
  <c r="D166" i="65" s="1"/>
  <c r="AP166" i="63"/>
  <c r="Y165" i="65"/>
  <c r="A167" i="63"/>
  <c r="AC166" i="65" l="1"/>
  <c r="Z166" i="65"/>
  <c r="K166" i="65"/>
  <c r="J166" i="65"/>
  <c r="O166" i="65"/>
  <c r="AA166" i="65"/>
  <c r="I166" i="65"/>
  <c r="W166" i="65"/>
  <c r="P166" i="65"/>
  <c r="V166" i="65"/>
  <c r="G166" i="65"/>
  <c r="J167" i="63"/>
  <c r="Z167" i="63"/>
  <c r="AP167" i="63"/>
  <c r="AQ167" i="63"/>
  <c r="L167" i="63"/>
  <c r="AR167" i="63"/>
  <c r="M167" i="63"/>
  <c r="AC167" i="63"/>
  <c r="AS167" i="63"/>
  <c r="N167" i="63"/>
  <c r="AD167" i="63"/>
  <c r="AT167" i="63"/>
  <c r="O167" i="63"/>
  <c r="AE167" i="63"/>
  <c r="AU167" i="63"/>
  <c r="AG167" i="63"/>
  <c r="AW167" i="63"/>
  <c r="C167" i="63"/>
  <c r="AI167" i="63"/>
  <c r="AY167" i="63"/>
  <c r="E167" i="63"/>
  <c r="U167" i="63"/>
  <c r="AK167" i="63"/>
  <c r="I167" i="63"/>
  <c r="AX167" i="63"/>
  <c r="P167" i="63"/>
  <c r="T167" i="63"/>
  <c r="V167" i="63"/>
  <c r="D167" i="65" s="1"/>
  <c r="W167" i="63"/>
  <c r="X167" i="63"/>
  <c r="W167" i="65" s="1"/>
  <c r="Y167" i="63"/>
  <c r="AE167" i="65" s="1"/>
  <c r="AH167" i="63"/>
  <c r="AJ167" i="63"/>
  <c r="B167" i="63"/>
  <c r="AL167" i="63"/>
  <c r="D167" i="63"/>
  <c r="AM167" i="63"/>
  <c r="F167" i="63"/>
  <c r="G167" i="63"/>
  <c r="H167" i="63"/>
  <c r="G167" i="65" s="1"/>
  <c r="AF167" i="63"/>
  <c r="AN167" i="63"/>
  <c r="AO167" i="63"/>
  <c r="AV167" i="63"/>
  <c r="A168" i="63"/>
  <c r="AD167" i="65" l="1"/>
  <c r="Z167" i="65"/>
  <c r="T167" i="65"/>
  <c r="AC167" i="65"/>
  <c r="I167" i="65"/>
  <c r="K167" i="65"/>
  <c r="J167" i="65"/>
  <c r="P167" i="65"/>
  <c r="O167" i="65"/>
  <c r="AA167" i="65"/>
  <c r="V167" i="65"/>
  <c r="H168" i="63"/>
  <c r="X168" i="63"/>
  <c r="AN168" i="63"/>
  <c r="I168" i="63"/>
  <c r="Y168" i="63"/>
  <c r="AE168" i="65" s="1"/>
  <c r="AO168" i="63"/>
  <c r="J168" i="63"/>
  <c r="Z168" i="63"/>
  <c r="AP168" i="63"/>
  <c r="AQ168" i="63"/>
  <c r="L168" i="63"/>
  <c r="AR168" i="63"/>
  <c r="M168" i="63"/>
  <c r="AC168" i="63"/>
  <c r="AS168" i="63"/>
  <c r="O168" i="63"/>
  <c r="AE168" i="63"/>
  <c r="AU168" i="63"/>
  <c r="Q168" i="63"/>
  <c r="AG168" i="63"/>
  <c r="AW168" i="63"/>
  <c r="C168" i="63"/>
  <c r="AI168" i="63"/>
  <c r="AY168" i="63"/>
  <c r="AJ168" i="63"/>
  <c r="B168" i="63"/>
  <c r="AK168" i="63"/>
  <c r="D168" i="63"/>
  <c r="AL168" i="63"/>
  <c r="E168" i="63"/>
  <c r="AM168" i="63"/>
  <c r="F168" i="63"/>
  <c r="AT168" i="63"/>
  <c r="G168" i="63"/>
  <c r="AV168" i="63"/>
  <c r="N168" i="63"/>
  <c r="AX168" i="63"/>
  <c r="P168" i="63"/>
  <c r="T168" i="63"/>
  <c r="U168" i="63"/>
  <c r="V168" i="63"/>
  <c r="W168" i="63"/>
  <c r="R168" i="63"/>
  <c r="AD168" i="63"/>
  <c r="AF168" i="63"/>
  <c r="AH168" i="63"/>
  <c r="A169" i="63"/>
  <c r="J168" i="65" l="1"/>
  <c r="AB168" i="65"/>
  <c r="AC168" i="65"/>
  <c r="AD168" i="65"/>
  <c r="T168" i="65"/>
  <c r="P168" i="65"/>
  <c r="D168" i="65"/>
  <c r="K168" i="65"/>
  <c r="Z168" i="65"/>
  <c r="O168" i="65"/>
  <c r="AA168" i="65"/>
  <c r="W168" i="65"/>
  <c r="G168" i="65"/>
  <c r="V168" i="65"/>
  <c r="I168" i="65"/>
  <c r="F169" i="63"/>
  <c r="V169" i="63"/>
  <c r="AL169" i="63"/>
  <c r="G169" i="63"/>
  <c r="W169" i="63"/>
  <c r="AM169" i="63"/>
  <c r="H169" i="63"/>
  <c r="X169" i="63"/>
  <c r="AN169" i="63"/>
  <c r="I169" i="63"/>
  <c r="Y169" i="63"/>
  <c r="AO169" i="63"/>
  <c r="J169" i="63"/>
  <c r="Z169" i="63"/>
  <c r="AP169" i="63"/>
  <c r="K169" i="63"/>
  <c r="AQ169" i="63"/>
  <c r="M169" i="63"/>
  <c r="AC169" i="63"/>
  <c r="AS169" i="63"/>
  <c r="O169" i="63"/>
  <c r="AE169" i="63"/>
  <c r="AU169" i="63"/>
  <c r="Q169" i="63"/>
  <c r="AG169" i="63"/>
  <c r="AW169" i="63"/>
  <c r="T169" i="63"/>
  <c r="U169" i="63"/>
  <c r="AD169" i="63"/>
  <c r="AF169" i="63"/>
  <c r="AH169" i="63"/>
  <c r="AI169" i="63"/>
  <c r="B169" i="63"/>
  <c r="AJ169" i="63"/>
  <c r="D169" i="63"/>
  <c r="AR169" i="63"/>
  <c r="E169" i="63"/>
  <c r="AT169" i="63"/>
  <c r="L169" i="63"/>
  <c r="AV169" i="63"/>
  <c r="N169" i="63"/>
  <c r="AX169" i="63"/>
  <c r="C169" i="63"/>
  <c r="P169" i="63"/>
  <c r="R169" i="63"/>
  <c r="S169" i="63"/>
  <c r="AK169" i="63"/>
  <c r="AY169" i="63"/>
  <c r="A170" i="63"/>
  <c r="T169" i="65" l="1"/>
  <c r="AB169" i="65"/>
  <c r="AD169" i="65"/>
  <c r="AE169" i="65"/>
  <c r="AC169" i="65"/>
  <c r="J169" i="65"/>
  <c r="W169" i="65"/>
  <c r="D169" i="65"/>
  <c r="I169" i="65"/>
  <c r="K169" i="65"/>
  <c r="Z169" i="65"/>
  <c r="G169" i="65"/>
  <c r="V169" i="65"/>
  <c r="O169" i="65"/>
  <c r="AA169" i="65"/>
  <c r="P169" i="65"/>
  <c r="D170" i="63"/>
  <c r="T170" i="63"/>
  <c r="AJ170" i="63"/>
  <c r="E170" i="63"/>
  <c r="U170" i="63"/>
  <c r="AK170" i="63"/>
  <c r="F170" i="63"/>
  <c r="V170" i="63"/>
  <c r="AL170" i="63"/>
  <c r="G170" i="63"/>
  <c r="W170" i="63"/>
  <c r="AM170" i="63"/>
  <c r="H170" i="63"/>
  <c r="X170" i="63"/>
  <c r="AN170" i="63"/>
  <c r="I170" i="63"/>
  <c r="Y170" i="63"/>
  <c r="AE170" i="65" s="1"/>
  <c r="AO170" i="63"/>
  <c r="K170" i="63"/>
  <c r="AQ170" i="63"/>
  <c r="M170" i="63"/>
  <c r="AC170" i="63"/>
  <c r="AS170" i="63"/>
  <c r="O170" i="63"/>
  <c r="AE170" i="63"/>
  <c r="AU170" i="63"/>
  <c r="J170" i="63"/>
  <c r="AT170" i="63"/>
  <c r="L170" i="63"/>
  <c r="AV170" i="63"/>
  <c r="N170" i="63"/>
  <c r="AW170" i="63"/>
  <c r="P170" i="63"/>
  <c r="AX170" i="63"/>
  <c r="Q170" i="63"/>
  <c r="AY170" i="63"/>
  <c r="R170" i="63"/>
  <c r="S170" i="63"/>
  <c r="Z170" i="63"/>
  <c r="P170" i="65" s="1"/>
  <c r="AD170" i="63"/>
  <c r="AF170" i="63"/>
  <c r="AG170" i="63"/>
  <c r="AH170" i="63"/>
  <c r="B170" i="63"/>
  <c r="C170" i="63"/>
  <c r="AI170" i="63"/>
  <c r="AP170" i="63"/>
  <c r="AR170" i="63"/>
  <c r="Y169" i="65"/>
  <c r="A171" i="63"/>
  <c r="T170" i="65" l="1"/>
  <c r="Z170" i="65"/>
  <c r="AC170" i="65"/>
  <c r="AD170" i="65"/>
  <c r="AB170" i="65"/>
  <c r="J170" i="65"/>
  <c r="K170" i="65"/>
  <c r="D170" i="65"/>
  <c r="O170" i="65"/>
  <c r="AA170" i="65"/>
  <c r="V170" i="65"/>
  <c r="W170" i="65"/>
  <c r="I170" i="65"/>
  <c r="G170" i="65"/>
  <c r="Y170" i="65"/>
  <c r="R171" i="63"/>
  <c r="AH171" i="63"/>
  <c r="AX171" i="63"/>
  <c r="S171" i="63"/>
  <c r="AI171" i="63"/>
  <c r="AY171" i="63"/>
  <c r="T171" i="63"/>
  <c r="AJ171" i="63"/>
  <c r="U171" i="63"/>
  <c r="AK171" i="63"/>
  <c r="V171" i="63"/>
  <c r="AL171" i="63"/>
  <c r="W171" i="63"/>
  <c r="AM171" i="63"/>
  <c r="I171" i="63"/>
  <c r="AO171" i="63"/>
  <c r="K171" i="63"/>
  <c r="M171" i="63"/>
  <c r="AC171" i="63"/>
  <c r="AS171" i="63"/>
  <c r="AD171" i="63"/>
  <c r="AE171" i="63"/>
  <c r="AF171" i="63"/>
  <c r="AG171" i="63"/>
  <c r="AN171" i="63"/>
  <c r="H171" i="63"/>
  <c r="AP171" i="63"/>
  <c r="J171" i="63"/>
  <c r="AQ171" i="63"/>
  <c r="L171" i="63"/>
  <c r="AR171" i="63"/>
  <c r="O171" i="63"/>
  <c r="AU171" i="63"/>
  <c r="P171" i="63"/>
  <c r="AV171" i="63"/>
  <c r="Q171" i="63"/>
  <c r="Z171" i="65" s="1"/>
  <c r="AW171" i="63"/>
  <c r="N171" i="63"/>
  <c r="Z171" i="63"/>
  <c r="AT171" i="63"/>
  <c r="A172" i="63"/>
  <c r="AB171" i="65" l="1"/>
  <c r="AC171" i="65"/>
  <c r="K171" i="65"/>
  <c r="D171" i="65"/>
  <c r="J171" i="65"/>
  <c r="I171" i="65"/>
  <c r="G171" i="65"/>
  <c r="W171" i="65"/>
  <c r="O171" i="65"/>
  <c r="AA171" i="65"/>
  <c r="P171" i="65"/>
  <c r="P172" i="63"/>
  <c r="AF172" i="63"/>
  <c r="AV172" i="63"/>
  <c r="AG172" i="63"/>
  <c r="AW172" i="63"/>
  <c r="AH172" i="63"/>
  <c r="AX172" i="63"/>
  <c r="S172" i="63"/>
  <c r="AI172" i="63"/>
  <c r="AY172" i="63"/>
  <c r="T172" i="63"/>
  <c r="AJ172" i="63"/>
  <c r="U172" i="63"/>
  <c r="AK172" i="63"/>
  <c r="W172" i="63"/>
  <c r="AM172" i="63"/>
  <c r="K172" i="63"/>
  <c r="L172" i="63"/>
  <c r="AQ172" i="63"/>
  <c r="M172" i="63"/>
  <c r="AR172" i="63"/>
  <c r="N172" i="63"/>
  <c r="AS172" i="63"/>
  <c r="O172" i="63"/>
  <c r="AT172" i="63"/>
  <c r="V172" i="63"/>
  <c r="AU172" i="63"/>
  <c r="Z172" i="63"/>
  <c r="AC172" i="63"/>
  <c r="AD172" i="63"/>
  <c r="AE172" i="63"/>
  <c r="AL172" i="63"/>
  <c r="H172" i="63"/>
  <c r="O172" i="65" s="1"/>
  <c r="I172" i="63"/>
  <c r="J172" i="63"/>
  <c r="AN172" i="63"/>
  <c r="AO172" i="63"/>
  <c r="AP172" i="63"/>
  <c r="Y171" i="65"/>
  <c r="A173" i="63"/>
  <c r="Z172" i="65" l="1"/>
  <c r="Y172" i="65"/>
  <c r="AC172" i="65"/>
  <c r="J172" i="65"/>
  <c r="D172" i="65"/>
  <c r="I172" i="65"/>
  <c r="K172" i="65"/>
  <c r="W172" i="65"/>
  <c r="AA172" i="65"/>
  <c r="G172" i="65"/>
  <c r="P172" i="65"/>
  <c r="V172" i="65"/>
  <c r="N173" i="63"/>
  <c r="AD173" i="63"/>
  <c r="AT173" i="63"/>
  <c r="O173" i="63"/>
  <c r="AE173" i="63"/>
  <c r="AU173" i="63"/>
  <c r="P173" i="63"/>
  <c r="AF173" i="63"/>
  <c r="AV173" i="63"/>
  <c r="AG173" i="63"/>
  <c r="AW173" i="63"/>
  <c r="B173" i="63"/>
  <c r="AH173" i="63"/>
  <c r="AX173" i="63"/>
  <c r="C173" i="63"/>
  <c r="AI173" i="63"/>
  <c r="AY173" i="63"/>
  <c r="E173" i="63"/>
  <c r="U173" i="63"/>
  <c r="AK173" i="63"/>
  <c r="W173" i="63"/>
  <c r="X173" i="63"/>
  <c r="Y173" i="63"/>
  <c r="AE173" i="65" s="1"/>
  <c r="Z173" i="63"/>
  <c r="D173" i="63"/>
  <c r="F173" i="63"/>
  <c r="AC173" i="63"/>
  <c r="G173" i="63"/>
  <c r="AJ173" i="63"/>
  <c r="I173" i="63"/>
  <c r="AM173" i="63"/>
  <c r="J173" i="63"/>
  <c r="AN173" i="63"/>
  <c r="AO173" i="63"/>
  <c r="L173" i="63"/>
  <c r="AP173" i="63"/>
  <c r="AL173" i="63"/>
  <c r="AQ173" i="63"/>
  <c r="AR173" i="63"/>
  <c r="AS173" i="63"/>
  <c r="H173" i="63"/>
  <c r="M173" i="63"/>
  <c r="T173" i="63"/>
  <c r="V173" i="63"/>
  <c r="D173" i="65" s="1"/>
  <c r="A174" i="63"/>
  <c r="T173" i="65" l="1"/>
  <c r="AC173" i="65"/>
  <c r="AD173" i="65"/>
  <c r="J173" i="65"/>
  <c r="Z173" i="65"/>
  <c r="I173" i="65"/>
  <c r="K173" i="65"/>
  <c r="W173" i="65"/>
  <c r="V173" i="65"/>
  <c r="O173" i="65"/>
  <c r="AA173" i="65"/>
  <c r="P173" i="65"/>
  <c r="G173" i="65"/>
  <c r="L174" i="63"/>
  <c r="K174" i="65" s="1"/>
  <c r="AR174" i="63"/>
  <c r="M174" i="63"/>
  <c r="AC174" i="63"/>
  <c r="AS174" i="63"/>
  <c r="N174" i="63"/>
  <c r="AD174" i="63"/>
  <c r="AT174" i="63"/>
  <c r="O174" i="63"/>
  <c r="AE174" i="63"/>
  <c r="AU174" i="63"/>
  <c r="P174" i="63"/>
  <c r="AF174" i="63"/>
  <c r="AV174" i="63"/>
  <c r="AG174" i="63"/>
  <c r="AW174" i="63"/>
  <c r="C174" i="63"/>
  <c r="AI174" i="63"/>
  <c r="AY174" i="63"/>
  <c r="B174" i="63"/>
  <c r="Z174" i="63"/>
  <c r="D174" i="63"/>
  <c r="E174" i="63"/>
  <c r="AH174" i="63"/>
  <c r="F174" i="63"/>
  <c r="AJ174" i="63"/>
  <c r="G174" i="63"/>
  <c r="AK174" i="63"/>
  <c r="H174" i="63"/>
  <c r="AL174" i="63"/>
  <c r="I174" i="63"/>
  <c r="AM174" i="63"/>
  <c r="J174" i="63"/>
  <c r="AN174" i="63"/>
  <c r="AP174" i="63"/>
  <c r="T174" i="63"/>
  <c r="AQ174" i="63"/>
  <c r="U174" i="63"/>
  <c r="AX174" i="63"/>
  <c r="V174" i="63"/>
  <c r="W174" i="63"/>
  <c r="X174" i="63"/>
  <c r="Y174" i="63"/>
  <c r="AE174" i="65" s="1"/>
  <c r="AO174" i="63"/>
  <c r="A175" i="63"/>
  <c r="AC174" i="65" l="1"/>
  <c r="AD174" i="65"/>
  <c r="T174" i="65"/>
  <c r="P174" i="65"/>
  <c r="D174" i="65"/>
  <c r="J174" i="65"/>
  <c r="Z174" i="65"/>
  <c r="V174" i="65"/>
  <c r="O174" i="65"/>
  <c r="AA174" i="65"/>
  <c r="I174" i="65"/>
  <c r="G174" i="65"/>
  <c r="W174" i="65"/>
  <c r="J175" i="63"/>
  <c r="Z175" i="63"/>
  <c r="AP175" i="63"/>
  <c r="AQ175" i="63"/>
  <c r="L175" i="63"/>
  <c r="K175" i="65" s="1"/>
  <c r="AR175" i="63"/>
  <c r="M175" i="63"/>
  <c r="AC175" i="63"/>
  <c r="AS175" i="63"/>
  <c r="N175" i="63"/>
  <c r="AD175" i="63"/>
  <c r="AT175" i="63"/>
  <c r="O175" i="63"/>
  <c r="AE175" i="63"/>
  <c r="AU175" i="63"/>
  <c r="Q175" i="63"/>
  <c r="AG175" i="63"/>
  <c r="AW175" i="63"/>
  <c r="F175" i="63"/>
  <c r="AJ175" i="63"/>
  <c r="G175" i="63"/>
  <c r="AK175" i="63"/>
  <c r="H175" i="63"/>
  <c r="AL175" i="63"/>
  <c r="I175" i="63"/>
  <c r="AM175" i="63"/>
  <c r="P175" i="63"/>
  <c r="AN175" i="63"/>
  <c r="R175" i="63"/>
  <c r="AO175" i="63"/>
  <c r="AV175" i="63"/>
  <c r="T175" i="63"/>
  <c r="AX175" i="63"/>
  <c r="V175" i="63"/>
  <c r="W175" i="63"/>
  <c r="X175" i="63"/>
  <c r="B175" i="63"/>
  <c r="Y175" i="63"/>
  <c r="AE175" i="65" s="1"/>
  <c r="AY175" i="63"/>
  <c r="C175" i="63"/>
  <c r="D175" i="63"/>
  <c r="E175" i="63"/>
  <c r="U175" i="63"/>
  <c r="AI175" i="63"/>
  <c r="AF175" i="63"/>
  <c r="AH175" i="63"/>
  <c r="A176" i="63"/>
  <c r="J175" i="65" l="1"/>
  <c r="T175" i="65"/>
  <c r="AD175" i="65"/>
  <c r="AB175" i="65"/>
  <c r="AC175" i="65"/>
  <c r="D175" i="65"/>
  <c r="W175" i="65"/>
  <c r="Z175" i="65"/>
  <c r="G175" i="65"/>
  <c r="I175" i="65"/>
  <c r="P175" i="65"/>
  <c r="O175" i="65"/>
  <c r="AA175" i="65"/>
  <c r="V175" i="65"/>
  <c r="H176" i="63"/>
  <c r="X176" i="63"/>
  <c r="AN176" i="63"/>
  <c r="I176" i="63"/>
  <c r="Y176" i="63"/>
  <c r="AE176" i="65" s="1"/>
  <c r="AO176" i="63"/>
  <c r="J176" i="63"/>
  <c r="Z176" i="63"/>
  <c r="AP176" i="63"/>
  <c r="K176" i="63"/>
  <c r="AQ176" i="63"/>
  <c r="L176" i="63"/>
  <c r="AR176" i="63"/>
  <c r="M176" i="63"/>
  <c r="AC176" i="63"/>
  <c r="AS176" i="63"/>
  <c r="O176" i="63"/>
  <c r="AE176" i="63"/>
  <c r="AU176" i="63"/>
  <c r="P176" i="63"/>
  <c r="AM176" i="63"/>
  <c r="Q176" i="63"/>
  <c r="AT176" i="63"/>
  <c r="R176" i="63"/>
  <c r="AV176" i="63"/>
  <c r="S176" i="63"/>
  <c r="AW176" i="63"/>
  <c r="T176" i="63"/>
  <c r="AX176" i="63"/>
  <c r="U176" i="63"/>
  <c r="AY176" i="63"/>
  <c r="V176" i="63"/>
  <c r="D176" i="65" s="1"/>
  <c r="W176" i="63"/>
  <c r="B176" i="63"/>
  <c r="AF176" i="63"/>
  <c r="C176" i="63"/>
  <c r="AG176" i="63"/>
  <c r="D176" i="63"/>
  <c r="AH176" i="63"/>
  <c r="E176" i="63"/>
  <c r="AI176" i="63"/>
  <c r="F176" i="63"/>
  <c r="G176" i="63"/>
  <c r="N176" i="63"/>
  <c r="AD176" i="63"/>
  <c r="AJ176" i="63"/>
  <c r="AK176" i="63"/>
  <c r="AL176" i="63"/>
  <c r="A177" i="63"/>
  <c r="AB176" i="65" l="1"/>
  <c r="AD176" i="65"/>
  <c r="T176" i="65"/>
  <c r="AC176" i="65"/>
  <c r="J176" i="65"/>
  <c r="Z176" i="65"/>
  <c r="K176" i="65"/>
  <c r="W176" i="65"/>
  <c r="G176" i="65"/>
  <c r="V176" i="65"/>
  <c r="O176" i="65"/>
  <c r="AA176" i="65"/>
  <c r="P176" i="65"/>
  <c r="I176" i="65"/>
  <c r="F177" i="63"/>
  <c r="AL177" i="63"/>
  <c r="G177" i="63"/>
  <c r="W177" i="63"/>
  <c r="AM177" i="63"/>
  <c r="H177" i="63"/>
  <c r="G177" i="65" s="1"/>
  <c r="X177" i="63"/>
  <c r="AN177" i="63"/>
  <c r="I177" i="63"/>
  <c r="Y177" i="63"/>
  <c r="AE177" i="65" s="1"/>
  <c r="AO177" i="63"/>
  <c r="K177" i="63"/>
  <c r="AQ177" i="63"/>
  <c r="M177" i="63"/>
  <c r="R177" i="63"/>
  <c r="AR177" i="63"/>
  <c r="S177" i="63"/>
  <c r="AS177" i="63"/>
  <c r="T177" i="63"/>
  <c r="AT177" i="63"/>
  <c r="U177" i="63"/>
  <c r="AU177" i="63"/>
  <c r="Z177" i="63"/>
  <c r="AV177" i="63"/>
  <c r="AW177" i="63"/>
  <c r="B177" i="63"/>
  <c r="AC177" i="63"/>
  <c r="AX177" i="63"/>
  <c r="C177" i="63"/>
  <c r="AD177" i="63"/>
  <c r="AY177" i="63"/>
  <c r="E177" i="63"/>
  <c r="AF177" i="63"/>
  <c r="J177" i="63"/>
  <c r="AG177" i="63"/>
  <c r="L177" i="63"/>
  <c r="AH177" i="63"/>
  <c r="AI177" i="63"/>
  <c r="D177" i="63"/>
  <c r="O177" i="63"/>
  <c r="P177" i="63"/>
  <c r="Q177" i="63"/>
  <c r="AE177" i="63"/>
  <c r="AJ177" i="63"/>
  <c r="AK177" i="63"/>
  <c r="AP177" i="63"/>
  <c r="Y176" i="65"/>
  <c r="A178" i="63"/>
  <c r="T177" i="65" l="1"/>
  <c r="P177" i="65"/>
  <c r="AC177" i="65"/>
  <c r="AD177" i="65"/>
  <c r="AB177" i="65"/>
  <c r="W177" i="65"/>
  <c r="K177" i="65"/>
  <c r="Z177" i="65"/>
  <c r="I177" i="65"/>
  <c r="O177" i="65"/>
  <c r="AA177" i="65"/>
  <c r="V177" i="65"/>
  <c r="D178" i="63"/>
  <c r="T178" i="63"/>
  <c r="AJ178" i="63"/>
  <c r="E178" i="63"/>
  <c r="U178" i="63"/>
  <c r="AK178" i="63"/>
  <c r="F178" i="63"/>
  <c r="AL178" i="63"/>
  <c r="G178" i="63"/>
  <c r="W178" i="63"/>
  <c r="AM178" i="63"/>
  <c r="I178" i="63"/>
  <c r="Y178" i="63"/>
  <c r="AO178" i="63"/>
  <c r="AN178" i="63"/>
  <c r="P178" i="63"/>
  <c r="AP178" i="63"/>
  <c r="Q178" i="63"/>
  <c r="AQ178" i="63"/>
  <c r="R178" i="63"/>
  <c r="AR178" i="63"/>
  <c r="S178" i="63"/>
  <c r="AS178" i="63"/>
  <c r="X178" i="63"/>
  <c r="AT178" i="63"/>
  <c r="Z178" i="63"/>
  <c r="AU178" i="63"/>
  <c r="AV178" i="63"/>
  <c r="C178" i="63"/>
  <c r="AC178" i="63"/>
  <c r="AX178" i="63"/>
  <c r="H178" i="63"/>
  <c r="AD178" i="63"/>
  <c r="AY178" i="63"/>
  <c r="J178" i="63"/>
  <c r="AE178" i="63"/>
  <c r="K178" i="63"/>
  <c r="AF178" i="63"/>
  <c r="B178" i="63"/>
  <c r="L178" i="63"/>
  <c r="M178" i="63"/>
  <c r="AG178" i="63"/>
  <c r="AH178" i="63"/>
  <c r="AI178" i="63"/>
  <c r="AW178" i="63"/>
  <c r="Y177" i="65"/>
  <c r="A179" i="63"/>
  <c r="T178" i="65" l="1"/>
  <c r="Z178" i="65"/>
  <c r="AD178" i="65"/>
  <c r="AE178" i="65"/>
  <c r="AB178" i="65"/>
  <c r="AC178" i="65"/>
  <c r="W178" i="65"/>
  <c r="I178" i="65"/>
  <c r="K178" i="65"/>
  <c r="P178" i="65"/>
  <c r="O178" i="65"/>
  <c r="AA178" i="65"/>
  <c r="V178" i="65"/>
  <c r="G178" i="65"/>
  <c r="Y178" i="65"/>
  <c r="AH179" i="63"/>
  <c r="AX179" i="63"/>
  <c r="S179" i="63"/>
  <c r="AI179" i="63"/>
  <c r="AY179" i="63"/>
  <c r="T179" i="63"/>
  <c r="AJ179" i="63"/>
  <c r="U179" i="63"/>
  <c r="AK179" i="63"/>
  <c r="W179" i="63"/>
  <c r="AM179" i="63"/>
  <c r="L179" i="63"/>
  <c r="K179" i="65" s="1"/>
  <c r="AG179" i="63"/>
  <c r="M179" i="63"/>
  <c r="AL179" i="63"/>
  <c r="N179" i="63"/>
  <c r="AN179" i="63"/>
  <c r="AO179" i="63"/>
  <c r="P179" i="63"/>
  <c r="AP179" i="63"/>
  <c r="AQ179" i="63"/>
  <c r="V179" i="63"/>
  <c r="AR179" i="63"/>
  <c r="AS179" i="63"/>
  <c r="Z179" i="63"/>
  <c r="AU179" i="63"/>
  <c r="AV179" i="63"/>
  <c r="AW179" i="63"/>
  <c r="H179" i="63"/>
  <c r="G179" i="65" s="1"/>
  <c r="AC179" i="63"/>
  <c r="AT179" i="63"/>
  <c r="I179" i="63"/>
  <c r="J179" i="63"/>
  <c r="K179" i="63"/>
  <c r="AD179" i="63"/>
  <c r="AE179" i="63"/>
  <c r="AF179" i="63"/>
  <c r="A180" i="63"/>
  <c r="Z179" i="65" l="1"/>
  <c r="AC179" i="65"/>
  <c r="P179" i="65"/>
  <c r="J179" i="65"/>
  <c r="D179" i="65"/>
  <c r="W179" i="65"/>
  <c r="I179" i="65"/>
  <c r="O179" i="65"/>
  <c r="AA179" i="65"/>
  <c r="P180" i="63"/>
  <c r="AF180" i="63"/>
  <c r="AV180" i="63"/>
  <c r="AG180" i="63"/>
  <c r="AW180" i="63"/>
  <c r="AH180" i="63"/>
  <c r="AX180" i="63"/>
  <c r="AI180" i="63"/>
  <c r="AY180" i="63"/>
  <c r="U180" i="63"/>
  <c r="AK180" i="63"/>
  <c r="I180" i="63"/>
  <c r="AD180" i="63"/>
  <c r="J180" i="63"/>
  <c r="AE180" i="63"/>
  <c r="AJ180" i="63"/>
  <c r="L180" i="63"/>
  <c r="AL180" i="63"/>
  <c r="M180" i="63"/>
  <c r="AM180" i="63"/>
  <c r="N180" i="63"/>
  <c r="AN180" i="63"/>
  <c r="O180" i="63"/>
  <c r="AO180" i="63"/>
  <c r="T180" i="63"/>
  <c r="AP180" i="63"/>
  <c r="W180" i="63"/>
  <c r="AR180" i="63"/>
  <c r="AS180" i="63"/>
  <c r="AT180" i="63"/>
  <c r="Z180" i="63"/>
  <c r="AU180" i="63"/>
  <c r="H180" i="63"/>
  <c r="V180" i="63"/>
  <c r="AC180" i="63"/>
  <c r="AQ180" i="63"/>
  <c r="Y179" i="65"/>
  <c r="A181" i="63"/>
  <c r="AC180" i="65" l="1"/>
  <c r="J180" i="65"/>
  <c r="K180" i="65"/>
  <c r="D180" i="65"/>
  <c r="G180" i="65"/>
  <c r="V180" i="65"/>
  <c r="I180" i="65"/>
  <c r="P180" i="65"/>
  <c r="O180" i="65"/>
  <c r="AA180" i="65"/>
  <c r="W180" i="65"/>
  <c r="N181" i="63"/>
  <c r="AD181" i="63"/>
  <c r="AT181" i="63"/>
  <c r="O181" i="63"/>
  <c r="AE181" i="63"/>
  <c r="AU181" i="63"/>
  <c r="P181" i="63"/>
  <c r="AF181" i="63"/>
  <c r="AV181" i="63"/>
  <c r="AG181" i="63"/>
  <c r="AW181" i="63"/>
  <c r="C181" i="63"/>
  <c r="AI181" i="63"/>
  <c r="AY181" i="63"/>
  <c r="F181" i="63"/>
  <c r="G181" i="63"/>
  <c r="H181" i="63"/>
  <c r="AC181" i="63"/>
  <c r="I181" i="63"/>
  <c r="AH181" i="63"/>
  <c r="J181" i="63"/>
  <c r="AJ181" i="63"/>
  <c r="AK181" i="63"/>
  <c r="L181" i="63"/>
  <c r="AL181" i="63"/>
  <c r="M181" i="63"/>
  <c r="AM181" i="63"/>
  <c r="AO181" i="63"/>
  <c r="U181" i="63"/>
  <c r="AP181" i="63"/>
  <c r="V181" i="63"/>
  <c r="D181" i="65" s="1"/>
  <c r="AQ181" i="63"/>
  <c r="W181" i="63"/>
  <c r="AR181" i="63"/>
  <c r="AN181" i="63"/>
  <c r="AS181" i="63"/>
  <c r="AX181" i="63"/>
  <c r="B181" i="63"/>
  <c r="D181" i="63"/>
  <c r="E181" i="63"/>
  <c r="X181" i="63"/>
  <c r="Y181" i="63"/>
  <c r="Z181" i="63"/>
  <c r="P181" i="65" s="1"/>
  <c r="A182" i="63"/>
  <c r="AD181" i="65" l="1"/>
  <c r="AE181" i="65"/>
  <c r="AC181" i="65"/>
  <c r="T181" i="65"/>
  <c r="O181" i="65"/>
  <c r="J181" i="65"/>
  <c r="K181" i="65"/>
  <c r="Z181" i="65"/>
  <c r="G181" i="65"/>
  <c r="W181" i="65"/>
  <c r="I181" i="65"/>
  <c r="V181" i="65"/>
  <c r="L182" i="63"/>
  <c r="AR182" i="63"/>
  <c r="M182" i="63"/>
  <c r="AC182" i="63"/>
  <c r="AS182" i="63"/>
  <c r="N182" i="63"/>
  <c r="AD182" i="63"/>
  <c r="AT182" i="63"/>
  <c r="O182" i="63"/>
  <c r="AE182" i="63"/>
  <c r="AU182" i="63"/>
  <c r="C182" i="63"/>
  <c r="W182" i="63"/>
  <c r="AQ182" i="63"/>
  <c r="D182" i="63"/>
  <c r="X182" i="63"/>
  <c r="AV182" i="63"/>
  <c r="E182" i="63"/>
  <c r="Y182" i="63"/>
  <c r="AE182" i="65" s="1"/>
  <c r="AW182" i="63"/>
  <c r="F182" i="63"/>
  <c r="Z182" i="63"/>
  <c r="AX182" i="63"/>
  <c r="G182" i="63"/>
  <c r="AY182" i="63"/>
  <c r="H182" i="63"/>
  <c r="AF182" i="63"/>
  <c r="I182" i="63"/>
  <c r="AG182" i="63"/>
  <c r="J182" i="63"/>
  <c r="AH182" i="63"/>
  <c r="P182" i="63"/>
  <c r="AJ182" i="63"/>
  <c r="Q182" i="63"/>
  <c r="AK182" i="63"/>
  <c r="R182" i="63"/>
  <c r="AL182" i="63"/>
  <c r="AM182" i="63"/>
  <c r="B182" i="63"/>
  <c r="U182" i="63"/>
  <c r="V182" i="63"/>
  <c r="D182" i="65" s="1"/>
  <c r="AI182" i="63"/>
  <c r="AN182" i="63"/>
  <c r="AO182" i="63"/>
  <c r="AP182" i="63"/>
  <c r="A183" i="63"/>
  <c r="Z182" i="65" l="1"/>
  <c r="AD182" i="65"/>
  <c r="AC182" i="65"/>
  <c r="AB182" i="65"/>
  <c r="T182" i="65"/>
  <c r="J182" i="65"/>
  <c r="K182" i="65"/>
  <c r="G182" i="65"/>
  <c r="P182" i="65"/>
  <c r="O182" i="65"/>
  <c r="I182" i="65"/>
  <c r="V182" i="65"/>
  <c r="W182" i="65"/>
  <c r="J183" i="63"/>
  <c r="L183" i="63"/>
  <c r="O183" i="63"/>
  <c r="AE183" i="63"/>
  <c r="AU183" i="63"/>
  <c r="P183" i="63"/>
  <c r="AF183" i="63"/>
  <c r="AV183" i="63"/>
  <c r="Q183" i="63"/>
  <c r="AG183" i="63"/>
  <c r="AW183" i="63"/>
  <c r="R183" i="63"/>
  <c r="AH183" i="63"/>
  <c r="AX183" i="63"/>
  <c r="S183" i="63"/>
  <c r="AI183" i="63"/>
  <c r="AY183" i="63"/>
  <c r="B183" i="63"/>
  <c r="AJ183" i="63"/>
  <c r="C183" i="63"/>
  <c r="U183" i="63"/>
  <c r="AK183" i="63"/>
  <c r="D183" i="63"/>
  <c r="V183" i="63"/>
  <c r="AL183" i="63"/>
  <c r="F183" i="63"/>
  <c r="X183" i="63"/>
  <c r="AN183" i="63"/>
  <c r="G183" i="63"/>
  <c r="Y183" i="63"/>
  <c r="AE183" i="65" s="1"/>
  <c r="AO183" i="63"/>
  <c r="H183" i="63"/>
  <c r="Z183" i="63"/>
  <c r="P183" i="65" s="1"/>
  <c r="AP183" i="63"/>
  <c r="I183" i="63"/>
  <c r="AQ183" i="63"/>
  <c r="W183" i="63"/>
  <c r="AC183" i="63"/>
  <c r="AD183" i="63"/>
  <c r="AM183" i="63"/>
  <c r="AR183" i="63"/>
  <c r="AS183" i="63"/>
  <c r="AT183" i="63"/>
  <c r="E183" i="63"/>
  <c r="K183" i="63"/>
  <c r="M183" i="63"/>
  <c r="N183" i="63"/>
  <c r="A184" i="63"/>
  <c r="AC183" i="65" l="1"/>
  <c r="AD183" i="65"/>
  <c r="AB183" i="65"/>
  <c r="T183" i="65"/>
  <c r="K183" i="65"/>
  <c r="J183" i="65"/>
  <c r="D183" i="65"/>
  <c r="Z183" i="65"/>
  <c r="V183" i="65"/>
  <c r="I183" i="65"/>
  <c r="O183" i="65"/>
  <c r="G183" i="65"/>
  <c r="W183" i="65"/>
  <c r="M184" i="63"/>
  <c r="AC184" i="63"/>
  <c r="AS184" i="63"/>
  <c r="N184" i="63"/>
  <c r="AD184" i="63"/>
  <c r="AT184" i="63"/>
  <c r="O184" i="63"/>
  <c r="AE184" i="63"/>
  <c r="AU184" i="63"/>
  <c r="P184" i="63"/>
  <c r="AF184" i="63"/>
  <c r="AV184" i="63"/>
  <c r="Q184" i="63"/>
  <c r="AG184" i="63"/>
  <c r="AW184" i="63"/>
  <c r="B184" i="63"/>
  <c r="R184" i="63"/>
  <c r="AH184" i="63"/>
  <c r="AX184" i="63"/>
  <c r="C184" i="63"/>
  <c r="S184" i="63"/>
  <c r="AI184" i="63"/>
  <c r="AY184" i="63"/>
  <c r="D184" i="63"/>
  <c r="V184" i="65" s="1"/>
  <c r="T184" i="63"/>
  <c r="AJ184" i="63"/>
  <c r="F184" i="63"/>
  <c r="V184" i="63"/>
  <c r="AL184" i="63"/>
  <c r="G184" i="63"/>
  <c r="W184" i="63"/>
  <c r="AM184" i="63"/>
  <c r="H184" i="63"/>
  <c r="X184" i="63"/>
  <c r="AN184" i="63"/>
  <c r="I184" i="63"/>
  <c r="Y184" i="63"/>
  <c r="AE184" i="65" s="1"/>
  <c r="AO184" i="63"/>
  <c r="AK184" i="63"/>
  <c r="AP184" i="63"/>
  <c r="AQ184" i="63"/>
  <c r="AR184" i="63"/>
  <c r="E184" i="63"/>
  <c r="J184" i="63"/>
  <c r="K184" i="63"/>
  <c r="L184" i="63"/>
  <c r="U184" i="63"/>
  <c r="Z184" i="63"/>
  <c r="Y183" i="65"/>
  <c r="A185" i="63"/>
  <c r="AB184" i="65" l="1"/>
  <c r="AD184" i="65"/>
  <c r="AC184" i="65"/>
  <c r="T184" i="65"/>
  <c r="P184" i="65"/>
  <c r="J184" i="65"/>
  <c r="K184" i="65"/>
  <c r="D184" i="65"/>
  <c r="W184" i="65"/>
  <c r="Z184" i="65"/>
  <c r="G184" i="65"/>
  <c r="O184" i="65"/>
  <c r="AA184" i="65"/>
  <c r="I184" i="65"/>
  <c r="K185" i="63"/>
  <c r="AQ185" i="63"/>
  <c r="L185" i="63"/>
  <c r="AR185" i="63"/>
  <c r="M185" i="63"/>
  <c r="AC185" i="63"/>
  <c r="AS185" i="63"/>
  <c r="N185" i="63"/>
  <c r="AD185" i="63"/>
  <c r="AT185" i="63"/>
  <c r="O185" i="63"/>
  <c r="AE185" i="63"/>
  <c r="AU185" i="63"/>
  <c r="P185" i="63"/>
  <c r="AF185" i="63"/>
  <c r="AV185" i="63"/>
  <c r="Q185" i="63"/>
  <c r="AG185" i="63"/>
  <c r="AW185" i="63"/>
  <c r="R185" i="63"/>
  <c r="AH185" i="63"/>
  <c r="AX185" i="63"/>
  <c r="T185" i="63"/>
  <c r="AJ185" i="63"/>
  <c r="AK185" i="63"/>
  <c r="V185" i="63"/>
  <c r="AL185" i="63"/>
  <c r="W185" i="63"/>
  <c r="AM185" i="63"/>
  <c r="AY185" i="63"/>
  <c r="H185" i="63"/>
  <c r="G185" i="65" s="1"/>
  <c r="I185" i="63"/>
  <c r="J185" i="63"/>
  <c r="S185" i="63"/>
  <c r="Z185" i="63"/>
  <c r="AI185" i="63"/>
  <c r="AN185" i="63"/>
  <c r="AO185" i="63"/>
  <c r="AP185" i="63"/>
  <c r="Y184" i="65"/>
  <c r="A186" i="63"/>
  <c r="Z185" i="65" l="1"/>
  <c r="AB185" i="65"/>
  <c r="P185" i="65"/>
  <c r="J185" i="65"/>
  <c r="K185" i="65"/>
  <c r="D185" i="65"/>
  <c r="W185" i="65"/>
  <c r="I185" i="65"/>
  <c r="O185" i="65"/>
  <c r="AA185" i="65"/>
  <c r="Y185" i="65"/>
  <c r="I186" i="63"/>
  <c r="AO186" i="63"/>
  <c r="J186" i="63"/>
  <c r="Z186" i="63"/>
  <c r="AP186" i="63"/>
  <c r="K186" i="63"/>
  <c r="AQ186" i="63"/>
  <c r="L186" i="63"/>
  <c r="AR186" i="63"/>
  <c r="M186" i="63"/>
  <c r="AC186" i="63"/>
  <c r="AS186" i="63"/>
  <c r="N186" i="63"/>
  <c r="AD186" i="63"/>
  <c r="AT186" i="63"/>
  <c r="O186" i="63"/>
  <c r="AE186" i="63"/>
  <c r="AU186" i="63"/>
  <c r="P186" i="63"/>
  <c r="AF186" i="63"/>
  <c r="AV186" i="63"/>
  <c r="AH186" i="63"/>
  <c r="AX186" i="63"/>
  <c r="S186" i="63"/>
  <c r="AI186" i="63"/>
  <c r="AY186" i="63"/>
  <c r="T186" i="63"/>
  <c r="AJ186" i="63"/>
  <c r="AK186" i="63"/>
  <c r="H186" i="63"/>
  <c r="G186" i="65" s="1"/>
  <c r="V186" i="63"/>
  <c r="W186" i="63"/>
  <c r="AG186" i="63"/>
  <c r="AL186" i="63"/>
  <c r="AM186" i="63"/>
  <c r="AN186" i="63"/>
  <c r="AW186" i="63"/>
  <c r="A187" i="63"/>
  <c r="D186" i="65" l="1"/>
  <c r="Z186" i="65"/>
  <c r="J186" i="65"/>
  <c r="I186" i="65"/>
  <c r="K186" i="65"/>
  <c r="P186" i="65"/>
  <c r="O186" i="65"/>
  <c r="AA186" i="65"/>
  <c r="V186" i="65"/>
  <c r="W186" i="65"/>
  <c r="G187" i="63"/>
  <c r="W187" i="63"/>
  <c r="AM187" i="63"/>
  <c r="H187" i="63"/>
  <c r="X187" i="63"/>
  <c r="AN187" i="63"/>
  <c r="I187" i="63"/>
  <c r="Y187" i="63"/>
  <c r="AE187" i="65" s="1"/>
  <c r="AO187" i="63"/>
  <c r="J187" i="63"/>
  <c r="Z187" i="63"/>
  <c r="AP187" i="63"/>
  <c r="AQ187" i="63"/>
  <c r="L187" i="63"/>
  <c r="AR187" i="63"/>
  <c r="M187" i="63"/>
  <c r="AC187" i="63"/>
  <c r="AS187" i="63"/>
  <c r="N187" i="63"/>
  <c r="AD187" i="63"/>
  <c r="AT187" i="63"/>
  <c r="AF187" i="63"/>
  <c r="AV187" i="63"/>
  <c r="AG187" i="63"/>
  <c r="AW187" i="63"/>
  <c r="B187" i="63"/>
  <c r="AH187" i="63"/>
  <c r="AX187" i="63"/>
  <c r="C187" i="63"/>
  <c r="AI187" i="63"/>
  <c r="AY187" i="63"/>
  <c r="O187" i="63"/>
  <c r="T187" i="63"/>
  <c r="U187" i="63"/>
  <c r="V187" i="63"/>
  <c r="AE187" i="63"/>
  <c r="AJ187" i="63"/>
  <c r="AK187" i="63"/>
  <c r="AL187" i="63"/>
  <c r="AU187" i="63"/>
  <c r="D187" i="63"/>
  <c r="E187" i="63"/>
  <c r="F187" i="63"/>
  <c r="Y186" i="65"/>
  <c r="A188" i="63"/>
  <c r="T187" i="65" l="1"/>
  <c r="AD187" i="65"/>
  <c r="AC187" i="65"/>
  <c r="P187" i="65"/>
  <c r="J187" i="65"/>
  <c r="K187" i="65"/>
  <c r="D187" i="65"/>
  <c r="Z187" i="65"/>
  <c r="W187" i="65"/>
  <c r="G187" i="65"/>
  <c r="O187" i="65"/>
  <c r="AA187" i="65"/>
  <c r="V187" i="65"/>
  <c r="I187" i="65"/>
  <c r="E188" i="63"/>
  <c r="U188" i="63"/>
  <c r="AK188" i="63"/>
  <c r="F188" i="63"/>
  <c r="V188" i="63"/>
  <c r="D188" i="65" s="1"/>
  <c r="AL188" i="63"/>
  <c r="G188" i="63"/>
  <c r="W188" i="63"/>
  <c r="AM188" i="63"/>
  <c r="H188" i="63"/>
  <c r="X188" i="63"/>
  <c r="AN188" i="63"/>
  <c r="I188" i="63"/>
  <c r="Y188" i="63"/>
  <c r="AO188" i="63"/>
  <c r="J188" i="63"/>
  <c r="Z188" i="63"/>
  <c r="AP188" i="63"/>
  <c r="AQ188" i="63"/>
  <c r="L188" i="63"/>
  <c r="K188" i="65" s="1"/>
  <c r="AR188" i="63"/>
  <c r="N188" i="63"/>
  <c r="AD188" i="63"/>
  <c r="AT188" i="63"/>
  <c r="O188" i="63"/>
  <c r="AE188" i="63"/>
  <c r="AU188" i="63"/>
  <c r="AF188" i="63"/>
  <c r="AV188" i="63"/>
  <c r="AG188" i="63"/>
  <c r="AW188" i="63"/>
  <c r="AC188" i="63"/>
  <c r="AH188" i="63"/>
  <c r="AI188" i="63"/>
  <c r="AJ188" i="63"/>
  <c r="AS188" i="63"/>
  <c r="AX188" i="63"/>
  <c r="AY188" i="63"/>
  <c r="B188" i="63"/>
  <c r="C188" i="63"/>
  <c r="D188" i="63"/>
  <c r="M188" i="63"/>
  <c r="T188" i="63"/>
  <c r="A189" i="63"/>
  <c r="T188" i="65" l="1"/>
  <c r="AD188" i="65"/>
  <c r="AE188" i="65"/>
  <c r="Z188" i="65"/>
  <c r="AC188" i="65"/>
  <c r="O188" i="65"/>
  <c r="P188" i="65"/>
  <c r="J188" i="65"/>
  <c r="G188" i="65"/>
  <c r="AA188" i="65"/>
  <c r="I188" i="65"/>
  <c r="V188" i="65"/>
  <c r="W188" i="65"/>
  <c r="C189" i="63"/>
  <c r="AI189" i="63"/>
  <c r="AY189" i="63"/>
  <c r="D189" i="63"/>
  <c r="T189" i="63"/>
  <c r="AJ189" i="63"/>
  <c r="E189" i="63"/>
  <c r="U189" i="63"/>
  <c r="AK189" i="63"/>
  <c r="F189" i="63"/>
  <c r="V189" i="63"/>
  <c r="AL189" i="63"/>
  <c r="G189" i="63"/>
  <c r="W189" i="63"/>
  <c r="AM189" i="63"/>
  <c r="H189" i="63"/>
  <c r="X189" i="63"/>
  <c r="AN189" i="63"/>
  <c r="I189" i="63"/>
  <c r="Y189" i="63"/>
  <c r="AE189" i="65" s="1"/>
  <c r="AO189" i="63"/>
  <c r="J189" i="63"/>
  <c r="Z189" i="63"/>
  <c r="AP189" i="63"/>
  <c r="L189" i="63"/>
  <c r="AR189" i="63"/>
  <c r="M189" i="63"/>
  <c r="AC189" i="63"/>
  <c r="AS189" i="63"/>
  <c r="N189" i="63"/>
  <c r="AD189" i="63"/>
  <c r="AT189" i="63"/>
  <c r="O189" i="63"/>
  <c r="AE189" i="63"/>
  <c r="AU189" i="63"/>
  <c r="AQ189" i="63"/>
  <c r="AV189" i="63"/>
  <c r="AW189" i="63"/>
  <c r="AX189" i="63"/>
  <c r="B189" i="63"/>
  <c r="P189" i="63"/>
  <c r="Q189" i="63"/>
  <c r="R189" i="63"/>
  <c r="AF189" i="63"/>
  <c r="AG189" i="63"/>
  <c r="AH189" i="63"/>
  <c r="A190" i="63"/>
  <c r="AD189" i="65" l="1"/>
  <c r="T189" i="65"/>
  <c r="AC189" i="65"/>
  <c r="AB189" i="65"/>
  <c r="J189" i="65"/>
  <c r="D189" i="65"/>
  <c r="K189" i="65"/>
  <c r="Z189" i="65"/>
  <c r="W189" i="65"/>
  <c r="I189" i="65"/>
  <c r="O189" i="65"/>
  <c r="AA189" i="65"/>
  <c r="P189" i="65"/>
  <c r="V189" i="65"/>
  <c r="G189" i="65"/>
  <c r="Q190" i="63"/>
  <c r="AG190" i="63"/>
  <c r="AW190" i="63"/>
  <c r="B190" i="63"/>
  <c r="R190" i="63"/>
  <c r="AH190" i="63"/>
  <c r="AX190" i="63"/>
  <c r="C190" i="63"/>
  <c r="S190" i="63"/>
  <c r="AI190" i="63"/>
  <c r="AY190" i="63"/>
  <c r="D190" i="63"/>
  <c r="T190" i="63"/>
  <c r="AJ190" i="63"/>
  <c r="E190" i="63"/>
  <c r="U190" i="63"/>
  <c r="AK190" i="63"/>
  <c r="F190" i="63"/>
  <c r="V190" i="63"/>
  <c r="D190" i="65" s="1"/>
  <c r="AL190" i="63"/>
  <c r="G190" i="63"/>
  <c r="AM190" i="63"/>
  <c r="X190" i="63"/>
  <c r="AN190" i="63"/>
  <c r="J190" i="63"/>
  <c r="Z190" i="63"/>
  <c r="AP190" i="63"/>
  <c r="K190" i="63"/>
  <c r="AQ190" i="63"/>
  <c r="L190" i="63"/>
  <c r="AR190" i="63"/>
  <c r="M190" i="63"/>
  <c r="AC190" i="63"/>
  <c r="AS190" i="63"/>
  <c r="I190" i="63"/>
  <c r="N190" i="63"/>
  <c r="O190" i="63"/>
  <c r="P190" i="63"/>
  <c r="Y190" i="63"/>
  <c r="AE190" i="65" s="1"/>
  <c r="AD190" i="63"/>
  <c r="AE190" i="63"/>
  <c r="AF190" i="63"/>
  <c r="AO190" i="63"/>
  <c r="AT190" i="63"/>
  <c r="AU190" i="63"/>
  <c r="AV190" i="63"/>
  <c r="A191" i="63"/>
  <c r="AD190" i="65" l="1"/>
  <c r="Z190" i="65"/>
  <c r="T190" i="65"/>
  <c r="AC190" i="65"/>
  <c r="AB190" i="65"/>
  <c r="K190" i="65"/>
  <c r="W190" i="65"/>
  <c r="O190" i="65"/>
  <c r="AA190" i="65"/>
  <c r="I190" i="65"/>
  <c r="P190" i="65"/>
  <c r="V190" i="65"/>
  <c r="O191" i="63"/>
  <c r="AE191" i="63"/>
  <c r="AU191" i="63"/>
  <c r="P191" i="63"/>
  <c r="AF191" i="63"/>
  <c r="AV191" i="63"/>
  <c r="Q191" i="63"/>
  <c r="AG191" i="63"/>
  <c r="AW191" i="63"/>
  <c r="B191" i="63"/>
  <c r="R191" i="63"/>
  <c r="AH191" i="63"/>
  <c r="AX191" i="63"/>
  <c r="C191" i="63"/>
  <c r="S191" i="63"/>
  <c r="AI191" i="63"/>
  <c r="AY191" i="63"/>
  <c r="D191" i="63"/>
  <c r="T191" i="63"/>
  <c r="AJ191" i="63"/>
  <c r="E191" i="63"/>
  <c r="U191" i="63"/>
  <c r="AK191" i="63"/>
  <c r="F191" i="63"/>
  <c r="V191" i="63"/>
  <c r="D191" i="65" s="1"/>
  <c r="AL191" i="63"/>
  <c r="X191" i="63"/>
  <c r="AN191" i="63"/>
  <c r="Y191" i="63"/>
  <c r="AE191" i="65" s="1"/>
  <c r="AO191" i="63"/>
  <c r="J191" i="63"/>
  <c r="Z191" i="63"/>
  <c r="AP191" i="63"/>
  <c r="K191" i="63"/>
  <c r="AQ191" i="63"/>
  <c r="G191" i="63"/>
  <c r="L191" i="63"/>
  <c r="K191" i="65" s="1"/>
  <c r="M191" i="63"/>
  <c r="N191" i="63"/>
  <c r="AC191" i="63"/>
  <c r="AD191" i="63"/>
  <c r="AM191" i="63"/>
  <c r="AR191" i="63"/>
  <c r="AS191" i="63"/>
  <c r="AT191" i="63"/>
  <c r="Y190" i="65"/>
  <c r="A192" i="63"/>
  <c r="T191" i="65" l="1"/>
  <c r="Z191" i="65"/>
  <c r="AB191" i="65"/>
  <c r="AC191" i="65"/>
  <c r="AD191" i="65"/>
  <c r="P191" i="65"/>
  <c r="G191" i="65"/>
  <c r="I191" i="65"/>
  <c r="V191" i="65"/>
  <c r="O191" i="65"/>
  <c r="AA191" i="65"/>
  <c r="W191" i="65"/>
  <c r="Y191" i="65"/>
  <c r="M192" i="63"/>
  <c r="AC192" i="63"/>
  <c r="AS192" i="63"/>
  <c r="N192" i="63"/>
  <c r="AD192" i="63"/>
  <c r="AT192" i="63"/>
  <c r="O192" i="63"/>
  <c r="AE192" i="63"/>
  <c r="AU192" i="63"/>
  <c r="P192" i="63"/>
  <c r="AF192" i="63"/>
  <c r="AV192" i="63"/>
  <c r="Q192" i="63"/>
  <c r="AG192" i="63"/>
  <c r="AW192" i="63"/>
  <c r="B192" i="63"/>
  <c r="R192" i="63"/>
  <c r="AH192" i="63"/>
  <c r="AX192" i="63"/>
  <c r="C192" i="63"/>
  <c r="S192" i="63"/>
  <c r="AI192" i="63"/>
  <c r="AY192" i="63"/>
  <c r="D192" i="63"/>
  <c r="T192" i="63"/>
  <c r="AJ192" i="63"/>
  <c r="F192" i="63"/>
  <c r="V192" i="63"/>
  <c r="AL192" i="63"/>
  <c r="G192" i="63"/>
  <c r="AM192" i="63"/>
  <c r="X192" i="63"/>
  <c r="AN192" i="63"/>
  <c r="Y192" i="63"/>
  <c r="AE192" i="65" s="1"/>
  <c r="AO192" i="63"/>
  <c r="U192" i="63"/>
  <c r="Z192" i="63"/>
  <c r="AK192" i="63"/>
  <c r="AP192" i="63"/>
  <c r="AQ192" i="63"/>
  <c r="AR192" i="63"/>
  <c r="E192" i="63"/>
  <c r="K192" i="63"/>
  <c r="L192" i="63"/>
  <c r="J192" i="63"/>
  <c r="W192" i="65" s="1"/>
  <c r="A193" i="63"/>
  <c r="Z192" i="65" l="1"/>
  <c r="T192" i="65"/>
  <c r="AC192" i="65"/>
  <c r="AD192" i="65"/>
  <c r="AB192" i="65"/>
  <c r="K192" i="65"/>
  <c r="D192" i="65"/>
  <c r="P192" i="65"/>
  <c r="V192" i="65"/>
  <c r="G192" i="65"/>
  <c r="O192" i="65"/>
  <c r="AA192" i="65"/>
  <c r="I192" i="65"/>
  <c r="Y192" i="65"/>
  <c r="K193" i="63"/>
  <c r="AQ193" i="63"/>
  <c r="L193" i="63"/>
  <c r="K193" i="65" s="1"/>
  <c r="AR193" i="63"/>
  <c r="M193" i="63"/>
  <c r="AC193" i="63"/>
  <c r="AS193" i="63"/>
  <c r="N193" i="63"/>
  <c r="AD193" i="63"/>
  <c r="AT193" i="63"/>
  <c r="O193" i="63"/>
  <c r="AE193" i="63"/>
  <c r="AU193" i="63"/>
  <c r="P193" i="63"/>
  <c r="AF193" i="63"/>
  <c r="AV193" i="63"/>
  <c r="AG193" i="63"/>
  <c r="AW193" i="63"/>
  <c r="AH193" i="63"/>
  <c r="AX193" i="63"/>
  <c r="T193" i="63"/>
  <c r="AJ193" i="63"/>
  <c r="U193" i="63"/>
  <c r="AK193" i="63"/>
  <c r="V193" i="63"/>
  <c r="AL193" i="63"/>
  <c r="W193" i="63"/>
  <c r="AM193" i="63"/>
  <c r="AI193" i="63"/>
  <c r="AN193" i="63"/>
  <c r="AO193" i="63"/>
  <c r="AP193" i="63"/>
  <c r="AY193" i="63"/>
  <c r="H193" i="63"/>
  <c r="G193" i="65" s="1"/>
  <c r="J193" i="63"/>
  <c r="S193" i="63"/>
  <c r="Z193" i="63"/>
  <c r="A194" i="63"/>
  <c r="Z193" i="65" l="1"/>
  <c r="AC193" i="65"/>
  <c r="D193" i="65"/>
  <c r="J193" i="65"/>
  <c r="W193" i="65"/>
  <c r="V193" i="65"/>
  <c r="P193" i="65"/>
  <c r="I193" i="65"/>
  <c r="O193" i="65"/>
  <c r="AA193" i="65"/>
  <c r="Y193" i="65"/>
  <c r="I194" i="63"/>
  <c r="AO194" i="63"/>
  <c r="J194" i="63"/>
  <c r="Z194" i="63"/>
  <c r="AP194" i="63"/>
  <c r="AQ194" i="63"/>
  <c r="L194" i="63"/>
  <c r="AR194" i="63"/>
  <c r="AC194" i="63"/>
  <c r="AS194" i="63"/>
  <c r="N194" i="63"/>
  <c r="AD194" i="63"/>
  <c r="AT194" i="63"/>
  <c r="O194" i="63"/>
  <c r="AE194" i="63"/>
  <c r="AU194" i="63"/>
  <c r="P194" i="63"/>
  <c r="AF194" i="63"/>
  <c r="AV194" i="63"/>
  <c r="AH194" i="63"/>
  <c r="AX194" i="63"/>
  <c r="AI194" i="63"/>
  <c r="AY194" i="63"/>
  <c r="T194" i="63"/>
  <c r="AJ194" i="63"/>
  <c r="U194" i="63"/>
  <c r="AK194" i="63"/>
  <c r="AW194" i="63"/>
  <c r="H194" i="63"/>
  <c r="V194" i="63"/>
  <c r="D194" i="65" s="1"/>
  <c r="W194" i="63"/>
  <c r="AG194" i="63"/>
  <c r="AL194" i="63"/>
  <c r="AM194" i="63"/>
  <c r="AN194" i="63"/>
  <c r="A195" i="63"/>
  <c r="AC194" i="65" l="1"/>
  <c r="J194" i="65"/>
  <c r="K194" i="65"/>
  <c r="Z194" i="65"/>
  <c r="G194" i="65"/>
  <c r="I194" i="65"/>
  <c r="O194" i="65"/>
  <c r="AA194" i="65"/>
  <c r="P194" i="65"/>
  <c r="V194" i="65"/>
  <c r="W194" i="65"/>
  <c r="G195" i="63"/>
  <c r="W195" i="63"/>
  <c r="AM195" i="63"/>
  <c r="H195" i="63"/>
  <c r="X195" i="63"/>
  <c r="AN195" i="63"/>
  <c r="I195" i="63"/>
  <c r="Y195" i="63"/>
  <c r="AE195" i="65" s="1"/>
  <c r="AO195" i="63"/>
  <c r="J195" i="63"/>
  <c r="Z195" i="63"/>
  <c r="AP195" i="63"/>
  <c r="AQ195" i="63"/>
  <c r="L195" i="63"/>
  <c r="AR195" i="63"/>
  <c r="AC195" i="63"/>
  <c r="AS195" i="63"/>
  <c r="N195" i="63"/>
  <c r="AD195" i="63"/>
  <c r="AT195" i="63"/>
  <c r="P195" i="63"/>
  <c r="AF195" i="63"/>
  <c r="AV195" i="63"/>
  <c r="AG195" i="63"/>
  <c r="AW195" i="63"/>
  <c r="B195" i="63"/>
  <c r="AH195" i="63"/>
  <c r="AX195" i="63"/>
  <c r="C195" i="63"/>
  <c r="AI195" i="63"/>
  <c r="AY195" i="63"/>
  <c r="D195" i="63"/>
  <c r="E195" i="63"/>
  <c r="F195" i="63"/>
  <c r="O195" i="63"/>
  <c r="T195" i="63"/>
  <c r="U195" i="63"/>
  <c r="V195" i="63"/>
  <c r="AE195" i="63"/>
  <c r="AJ195" i="63"/>
  <c r="AK195" i="63"/>
  <c r="AL195" i="63"/>
  <c r="AU195" i="63"/>
  <c r="A196" i="63"/>
  <c r="T195" i="65" l="1"/>
  <c r="AD195" i="65"/>
  <c r="AC195" i="65"/>
  <c r="P195" i="65"/>
  <c r="K195" i="65"/>
  <c r="D195" i="65"/>
  <c r="J195" i="65"/>
  <c r="Z195" i="65"/>
  <c r="G195" i="65"/>
  <c r="W195" i="65"/>
  <c r="V195" i="65"/>
  <c r="I195" i="65"/>
  <c r="O195" i="65"/>
  <c r="AA195" i="65"/>
  <c r="E196" i="63"/>
  <c r="U196" i="63"/>
  <c r="AK196" i="63"/>
  <c r="F196" i="63"/>
  <c r="V196" i="63"/>
  <c r="D196" i="65" s="1"/>
  <c r="AL196" i="63"/>
  <c r="G196" i="63"/>
  <c r="W196" i="63"/>
  <c r="AM196" i="63"/>
  <c r="H196" i="63"/>
  <c r="G196" i="65" s="1"/>
  <c r="X196" i="63"/>
  <c r="AN196" i="63"/>
  <c r="I196" i="63"/>
  <c r="Y196" i="63"/>
  <c r="AE196" i="65" s="1"/>
  <c r="AO196" i="63"/>
  <c r="J196" i="63"/>
  <c r="Z196" i="63"/>
  <c r="AP196" i="63"/>
  <c r="AQ196" i="63"/>
  <c r="L196" i="63"/>
  <c r="K196" i="65" s="1"/>
  <c r="AR196" i="63"/>
  <c r="N196" i="63"/>
  <c r="AD196" i="63"/>
  <c r="AT196" i="63"/>
  <c r="O196" i="63"/>
  <c r="AE196" i="63"/>
  <c r="AU196" i="63"/>
  <c r="P196" i="63"/>
  <c r="AF196" i="63"/>
  <c r="AV196" i="63"/>
  <c r="Q196" i="63"/>
  <c r="AG196" i="63"/>
  <c r="AW196" i="63"/>
  <c r="R196" i="63"/>
  <c r="T196" i="63"/>
  <c r="AC196" i="63"/>
  <c r="AH196" i="63"/>
  <c r="AI196" i="63"/>
  <c r="AJ196" i="63"/>
  <c r="AS196" i="63"/>
  <c r="AX196" i="63"/>
  <c r="AY196" i="63"/>
  <c r="B196" i="63"/>
  <c r="C196" i="63"/>
  <c r="D196" i="63"/>
  <c r="A197" i="63"/>
  <c r="T196" i="65" l="1"/>
  <c r="J196" i="65"/>
  <c r="AC196" i="65"/>
  <c r="AD196" i="65"/>
  <c r="O196" i="65"/>
  <c r="P196" i="65"/>
  <c r="Z196" i="65"/>
  <c r="AA196" i="65"/>
  <c r="AB196" i="65"/>
  <c r="W196" i="65"/>
  <c r="I196" i="65"/>
  <c r="V196" i="65"/>
  <c r="C197" i="63"/>
  <c r="S197" i="63"/>
  <c r="AI197" i="63"/>
  <c r="AY197" i="63"/>
  <c r="D197" i="63"/>
  <c r="T197" i="63"/>
  <c r="AJ197" i="63"/>
  <c r="E197" i="63"/>
  <c r="U197" i="63"/>
  <c r="AK197" i="63"/>
  <c r="F197" i="63"/>
  <c r="V197" i="63"/>
  <c r="AL197" i="63"/>
  <c r="G197" i="63"/>
  <c r="W197" i="63"/>
  <c r="AM197" i="63"/>
  <c r="H197" i="63"/>
  <c r="X197" i="63"/>
  <c r="AN197" i="63"/>
  <c r="I197" i="63"/>
  <c r="Y197" i="63"/>
  <c r="AE197" i="65" s="1"/>
  <c r="AO197" i="63"/>
  <c r="J197" i="63"/>
  <c r="Z197" i="63"/>
  <c r="AP197" i="63"/>
  <c r="L197" i="63"/>
  <c r="K197" i="65" s="1"/>
  <c r="AR197" i="63"/>
  <c r="M197" i="63"/>
  <c r="AC197" i="63"/>
  <c r="AS197" i="63"/>
  <c r="N197" i="63"/>
  <c r="AD197" i="63"/>
  <c r="AT197" i="63"/>
  <c r="O197" i="63"/>
  <c r="AE197" i="63"/>
  <c r="AU197" i="63"/>
  <c r="AF197" i="63"/>
  <c r="AG197" i="63"/>
  <c r="AH197" i="63"/>
  <c r="AQ197" i="63"/>
  <c r="AV197" i="63"/>
  <c r="AW197" i="63"/>
  <c r="AX197" i="63"/>
  <c r="B197" i="63"/>
  <c r="K197" i="63"/>
  <c r="P197" i="63"/>
  <c r="Q197" i="63"/>
  <c r="R197" i="63"/>
  <c r="A198" i="63"/>
  <c r="J197" i="65" l="1"/>
  <c r="AC197" i="65"/>
  <c r="AD197" i="65"/>
  <c r="T197" i="65"/>
  <c r="AB197" i="65"/>
  <c r="D197" i="65"/>
  <c r="Z197" i="65"/>
  <c r="I197" i="65"/>
  <c r="P197" i="65"/>
  <c r="O197" i="65"/>
  <c r="AA197" i="65"/>
  <c r="V197" i="65"/>
  <c r="W197" i="65"/>
  <c r="G197" i="65"/>
  <c r="Y197" i="65"/>
  <c r="Q198" i="63"/>
  <c r="AG198" i="63"/>
  <c r="AW198" i="63"/>
  <c r="B198" i="63"/>
  <c r="R198" i="63"/>
  <c r="AH198" i="63"/>
  <c r="AX198" i="63"/>
  <c r="C198" i="63"/>
  <c r="S198" i="63"/>
  <c r="AI198" i="63"/>
  <c r="AY198" i="63"/>
  <c r="D198" i="63"/>
  <c r="T198" i="63"/>
  <c r="AJ198" i="63"/>
  <c r="E198" i="63"/>
  <c r="U198" i="63"/>
  <c r="AK198" i="63"/>
  <c r="F198" i="63"/>
  <c r="V198" i="63"/>
  <c r="AL198" i="63"/>
  <c r="G198" i="63"/>
  <c r="W198" i="63"/>
  <c r="AM198" i="63"/>
  <c r="H198" i="63"/>
  <c r="G198" i="65" s="1"/>
  <c r="X198" i="63"/>
  <c r="AN198" i="63"/>
  <c r="J198" i="63"/>
  <c r="Z198" i="63"/>
  <c r="AP198" i="63"/>
  <c r="K198" i="63"/>
  <c r="AQ198" i="63"/>
  <c r="L198" i="63"/>
  <c r="AR198" i="63"/>
  <c r="M198" i="63"/>
  <c r="AC198" i="63"/>
  <c r="AS198" i="63"/>
  <c r="AO198" i="63"/>
  <c r="AT198" i="63"/>
  <c r="AU198" i="63"/>
  <c r="AV198" i="63"/>
  <c r="I198" i="63"/>
  <c r="N198" i="63"/>
  <c r="O198" i="63"/>
  <c r="P198" i="63"/>
  <c r="Y198" i="63"/>
  <c r="AE198" i="65" s="1"/>
  <c r="AF198" i="63"/>
  <c r="AD198" i="63"/>
  <c r="AE198" i="63"/>
  <c r="A199" i="63"/>
  <c r="A2" i="55" a="1"/>
  <c r="A2" i="55" s="1"/>
  <c r="Z198" i="65" l="1"/>
  <c r="AC198" i="65"/>
  <c r="AD198" i="65"/>
  <c r="AB198" i="65"/>
  <c r="T198" i="65"/>
  <c r="J198" i="65"/>
  <c r="K198" i="65"/>
  <c r="D198" i="65"/>
  <c r="W198" i="65"/>
  <c r="I198" i="65"/>
  <c r="P198" i="65"/>
  <c r="O198" i="65"/>
  <c r="AA198" i="65"/>
  <c r="V198" i="65"/>
  <c r="O199" i="63"/>
  <c r="AE199" i="63"/>
  <c r="AU199" i="63"/>
  <c r="P199" i="63"/>
  <c r="AF199" i="63"/>
  <c r="AV199" i="63"/>
  <c r="Q199" i="63"/>
  <c r="AG199" i="63"/>
  <c r="AW199" i="63"/>
  <c r="R199" i="63"/>
  <c r="AH199" i="63"/>
  <c r="AX199" i="63"/>
  <c r="S199" i="63"/>
  <c r="AI199" i="63"/>
  <c r="AY199" i="63"/>
  <c r="T199" i="63"/>
  <c r="AJ199" i="63"/>
  <c r="U199" i="63"/>
  <c r="AK199" i="63"/>
  <c r="V199" i="63"/>
  <c r="D199" i="65" s="1"/>
  <c r="AL199" i="63"/>
  <c r="H199" i="63"/>
  <c r="AN199" i="63"/>
  <c r="I199" i="63"/>
  <c r="AO199" i="63"/>
  <c r="J199" i="63"/>
  <c r="Z199" i="63"/>
  <c r="AP199" i="63"/>
  <c r="K199" i="63"/>
  <c r="AQ199" i="63"/>
  <c r="L199" i="63"/>
  <c r="M199" i="63"/>
  <c r="N199" i="63"/>
  <c r="W199" i="63"/>
  <c r="AC199" i="63"/>
  <c r="AD199" i="63"/>
  <c r="AM199" i="63"/>
  <c r="AR199" i="63"/>
  <c r="AS199" i="63"/>
  <c r="AT199" i="63"/>
  <c r="Y198" i="65"/>
  <c r="X50" i="65"/>
  <c r="X97" i="65"/>
  <c r="X170" i="65"/>
  <c r="X27" i="65"/>
  <c r="X35" i="65"/>
  <c r="X43" i="65"/>
  <c r="X57" i="65"/>
  <c r="X128" i="65"/>
  <c r="X28" i="65"/>
  <c r="X29" i="65"/>
  <c r="X83" i="65"/>
  <c r="X106" i="65"/>
  <c r="X145" i="65"/>
  <c r="X49" i="65"/>
  <c r="X119" i="65"/>
  <c r="X181" i="65"/>
  <c r="X196" i="65"/>
  <c r="X14" i="65"/>
  <c r="X15" i="65"/>
  <c r="X20" i="65"/>
  <c r="X36" i="65"/>
  <c r="X103" i="65"/>
  <c r="X140" i="65"/>
  <c r="X141" i="65"/>
  <c r="X154" i="65"/>
  <c r="X187" i="65"/>
  <c r="X188" i="65"/>
  <c r="X7" i="65"/>
  <c r="X23" i="65"/>
  <c r="X84" i="65"/>
  <c r="X94" i="65"/>
  <c r="X10" i="65"/>
  <c r="X149" i="65"/>
  <c r="X16" i="65"/>
  <c r="X69" i="65"/>
  <c r="X71" i="65"/>
  <c r="X98" i="65"/>
  <c r="X182" i="65"/>
  <c r="X195" i="65"/>
  <c r="X34" i="65"/>
  <c r="X37" i="65"/>
  <c r="X48" i="65"/>
  <c r="X78" i="65"/>
  <c r="X105" i="65"/>
  <c r="X70" i="65"/>
  <c r="X85" i="65"/>
  <c r="X93" i="65"/>
  <c r="X100" i="65"/>
  <c r="X164" i="65"/>
  <c r="X5" i="65"/>
  <c r="X62" i="65"/>
  <c r="X80" i="65"/>
  <c r="X118" i="65"/>
  <c r="X21" i="65"/>
  <c r="X38" i="65"/>
  <c r="X47" i="65"/>
  <c r="X89" i="65"/>
  <c r="X136" i="65"/>
  <c r="X163" i="65"/>
  <c r="X162" i="65"/>
  <c r="X9" i="65"/>
  <c r="X22" i="65"/>
  <c r="X120" i="65"/>
  <c r="X139" i="65"/>
  <c r="X183" i="65"/>
  <c r="X52" i="65"/>
  <c r="X66" i="65"/>
  <c r="X79" i="65"/>
  <c r="X135" i="65"/>
  <c r="X150" i="65"/>
  <c r="X178" i="65"/>
  <c r="X197" i="65"/>
  <c r="X30" i="65"/>
  <c r="X65" i="65"/>
  <c r="X76" i="65"/>
  <c r="X121" i="65"/>
  <c r="X126" i="65"/>
  <c r="X58" i="65"/>
  <c r="X156" i="65"/>
  <c r="X176" i="65"/>
  <c r="A200" i="63"/>
  <c r="AC199" i="65" l="1"/>
  <c r="AB199" i="65"/>
  <c r="Z199" i="65"/>
  <c r="K199" i="65"/>
  <c r="J199" i="65"/>
  <c r="G199" i="65"/>
  <c r="I199" i="65"/>
  <c r="O199" i="65"/>
  <c r="AA199" i="65"/>
  <c r="P199" i="65"/>
  <c r="V199" i="65"/>
  <c r="W199" i="65"/>
  <c r="M200" i="63"/>
  <c r="AC200" i="63"/>
  <c r="AS200" i="63"/>
  <c r="N200" i="63"/>
  <c r="AD200" i="63"/>
  <c r="AT200" i="63"/>
  <c r="O200" i="63"/>
  <c r="AE200" i="63"/>
  <c r="AU200" i="63"/>
  <c r="P200" i="63"/>
  <c r="AF200" i="63"/>
  <c r="AV200" i="63"/>
  <c r="AG200" i="63"/>
  <c r="AW200" i="63"/>
  <c r="AH200" i="63"/>
  <c r="AX200" i="63"/>
  <c r="S200" i="63"/>
  <c r="AI200" i="63"/>
  <c r="AY200" i="63"/>
  <c r="T200" i="63"/>
  <c r="AJ200" i="63"/>
  <c r="V200" i="63"/>
  <c r="AL200" i="63"/>
  <c r="W200" i="63"/>
  <c r="AM200" i="63"/>
  <c r="H200" i="63"/>
  <c r="AN200" i="63"/>
  <c r="I200" i="63"/>
  <c r="AO200" i="63"/>
  <c r="J200" i="63"/>
  <c r="K200" i="63"/>
  <c r="L200" i="63"/>
  <c r="U200" i="63"/>
  <c r="Z200" i="63"/>
  <c r="AK200" i="63"/>
  <c r="AP200" i="63"/>
  <c r="AQ200" i="63"/>
  <c r="AR200" i="63"/>
  <c r="Y199" i="65"/>
  <c r="X51" i="65"/>
  <c r="X111" i="65"/>
  <c r="X104" i="65"/>
  <c r="X131" i="65"/>
  <c r="X127" i="65"/>
  <c r="X75" i="65"/>
  <c r="X19" i="65"/>
  <c r="X159" i="65"/>
  <c r="X146" i="65"/>
  <c r="X161" i="65"/>
  <c r="X125" i="65"/>
  <c r="X99" i="65"/>
  <c r="X55" i="65"/>
  <c r="X112" i="65"/>
  <c r="X160" i="65"/>
  <c r="X198" i="65"/>
  <c r="X117" i="65"/>
  <c r="X132" i="65"/>
  <c r="X177" i="65"/>
  <c r="X72" i="65"/>
  <c r="X190" i="65"/>
  <c r="X77" i="65"/>
  <c r="X175" i="65"/>
  <c r="X168" i="65"/>
  <c r="X167" i="65"/>
  <c r="X122" i="65"/>
  <c r="X155" i="65"/>
  <c r="X173" i="65"/>
  <c r="X33" i="65"/>
  <c r="X41" i="65"/>
  <c r="X134" i="65"/>
  <c r="X147" i="65"/>
  <c r="X184" i="65"/>
  <c r="X90" i="65"/>
  <c r="X174" i="65"/>
  <c r="X114" i="65"/>
  <c r="X113" i="65"/>
  <c r="X192" i="65"/>
  <c r="X153" i="65"/>
  <c r="X91" i="65"/>
  <c r="X56" i="65"/>
  <c r="X133" i="65"/>
  <c r="X13" i="65"/>
  <c r="X191" i="65"/>
  <c r="X107" i="65"/>
  <c r="X148" i="65"/>
  <c r="X86" i="65"/>
  <c r="X44" i="65"/>
  <c r="X92" i="65"/>
  <c r="X24" i="65"/>
  <c r="X42" i="65"/>
  <c r="X142" i="65"/>
  <c r="X108" i="65"/>
  <c r="X63" i="65"/>
  <c r="X64" i="65"/>
  <c r="X8" i="65"/>
  <c r="X189" i="65"/>
  <c r="X169" i="65"/>
  <c r="X6" i="65"/>
  <c r="M20" i="65"/>
  <c r="S49" i="65"/>
  <c r="M8" i="65"/>
  <c r="N20" i="65"/>
  <c r="N23" i="65"/>
  <c r="S15" i="65"/>
  <c r="S10" i="65"/>
  <c r="X61" i="65"/>
  <c r="N13" i="65"/>
  <c r="N17" i="65"/>
  <c r="S42" i="65"/>
  <c r="M44" i="65"/>
  <c r="S53" i="65"/>
  <c r="M26" i="65"/>
  <c r="N6" i="65"/>
  <c r="M18" i="65"/>
  <c r="S47" i="65"/>
  <c r="N18" i="65"/>
  <c r="M50" i="65"/>
  <c r="M43" i="65"/>
  <c r="M19" i="65"/>
  <c r="S26" i="65"/>
  <c r="S51" i="65"/>
  <c r="U38" i="65"/>
  <c r="M52" i="65"/>
  <c r="S64" i="65"/>
  <c r="M41" i="65"/>
  <c r="N61" i="65"/>
  <c r="N33" i="65"/>
  <c r="M65" i="65"/>
  <c r="N74" i="65"/>
  <c r="N75" i="65"/>
  <c r="N16" i="65"/>
  <c r="N25" i="65"/>
  <c r="M31" i="65"/>
  <c r="N50" i="65"/>
  <c r="M17" i="65"/>
  <c r="N28" i="65"/>
  <c r="M35" i="65"/>
  <c r="S38" i="65"/>
  <c r="S41" i="65"/>
  <c r="S69" i="65"/>
  <c r="N77" i="65"/>
  <c r="S79" i="65"/>
  <c r="M110" i="65"/>
  <c r="M79" i="65"/>
  <c r="N59" i="65"/>
  <c r="M81" i="65"/>
  <c r="M109" i="65"/>
  <c r="M59" i="65"/>
  <c r="N107" i="65"/>
  <c r="N138" i="65"/>
  <c r="M77" i="65"/>
  <c r="M89" i="65"/>
  <c r="M106" i="65"/>
  <c r="M154" i="65"/>
  <c r="N97" i="65"/>
  <c r="N87" i="65"/>
  <c r="S107" i="65"/>
  <c r="N118" i="65"/>
  <c r="N120" i="65"/>
  <c r="M47" i="65"/>
  <c r="S86" i="65"/>
  <c r="N91" i="65"/>
  <c r="N92" i="65"/>
  <c r="M93" i="65"/>
  <c r="S106" i="65"/>
  <c r="N114" i="65"/>
  <c r="M135" i="65"/>
  <c r="M64" i="65"/>
  <c r="N85" i="65"/>
  <c r="S96" i="65"/>
  <c r="M103" i="65"/>
  <c r="N83" i="65"/>
  <c r="M85" i="65"/>
  <c r="M99" i="65"/>
  <c r="N140" i="65"/>
  <c r="N65" i="65"/>
  <c r="S114" i="65"/>
  <c r="M82" i="65"/>
  <c r="M83" i="65"/>
  <c r="N78" i="65"/>
  <c r="N105" i="65"/>
  <c r="S121" i="65"/>
  <c r="N122" i="65"/>
  <c r="M151" i="65"/>
  <c r="M78" i="65"/>
  <c r="S84" i="65"/>
  <c r="M90" i="65"/>
  <c r="M94" i="65"/>
  <c r="S100" i="65"/>
  <c r="S108" i="65"/>
  <c r="M117" i="65"/>
  <c r="M152" i="65"/>
  <c r="N103" i="65"/>
  <c r="S187" i="65"/>
  <c r="S119" i="65"/>
  <c r="S139" i="65"/>
  <c r="M142" i="65"/>
  <c r="N171" i="65"/>
  <c r="M122" i="65"/>
  <c r="M177" i="65"/>
  <c r="M88" i="65"/>
  <c r="N175" i="65"/>
  <c r="S123" i="65"/>
  <c r="M119" i="65"/>
  <c r="M150" i="65"/>
  <c r="N110" i="65"/>
  <c r="N177" i="65"/>
  <c r="S188" i="65"/>
  <c r="M141" i="65"/>
  <c r="N148" i="65"/>
  <c r="S173" i="65"/>
  <c r="S186" i="65"/>
  <c r="M197" i="65"/>
  <c r="M120" i="65"/>
  <c r="S146" i="65"/>
  <c r="N156" i="65"/>
  <c r="S165" i="65"/>
  <c r="N166" i="65"/>
  <c r="M173" i="65"/>
  <c r="S182" i="65"/>
  <c r="M148" i="65"/>
  <c r="S150" i="65"/>
  <c r="S170" i="65"/>
  <c r="S190" i="65"/>
  <c r="S140" i="65"/>
  <c r="N145" i="65"/>
  <c r="H161" i="65"/>
  <c r="M172" i="65"/>
  <c r="M115" i="65"/>
  <c r="S130" i="65"/>
  <c r="N143" i="65"/>
  <c r="S155" i="65"/>
  <c r="U170" i="65"/>
  <c r="S157" i="65"/>
  <c r="N164" i="65"/>
  <c r="S167" i="65"/>
  <c r="S175" i="65"/>
  <c r="N176" i="65"/>
  <c r="S125" i="65"/>
  <c r="S143" i="65"/>
  <c r="S154" i="65"/>
  <c r="M157" i="65"/>
  <c r="M163" i="65"/>
  <c r="S164" i="65"/>
  <c r="S172" i="65"/>
  <c r="M125" i="65"/>
  <c r="S135" i="65"/>
  <c r="N144" i="65"/>
  <c r="S156" i="65"/>
  <c r="M165" i="65"/>
  <c r="N167" i="65"/>
  <c r="N170" i="65"/>
  <c r="N179" i="65"/>
  <c r="S184" i="65"/>
  <c r="M186" i="65"/>
  <c r="U187" i="65"/>
  <c r="M131" i="65"/>
  <c r="M137" i="65"/>
  <c r="S145" i="65"/>
  <c r="M149" i="65"/>
  <c r="N174" i="65"/>
  <c r="S189" i="65"/>
  <c r="N188" i="65"/>
  <c r="M194" i="65"/>
  <c r="M185" i="65"/>
  <c r="S192" i="65"/>
  <c r="U195" i="65"/>
  <c r="N198" i="65"/>
  <c r="A201" i="63"/>
  <c r="AC200" i="65" l="1"/>
  <c r="J200" i="65"/>
  <c r="D200" i="65"/>
  <c r="K200" i="65"/>
  <c r="V200" i="65"/>
  <c r="P200" i="65"/>
  <c r="I200" i="65"/>
  <c r="W200" i="65"/>
  <c r="G200" i="65"/>
  <c r="Z200" i="65"/>
  <c r="O200" i="65"/>
  <c r="AA200" i="65"/>
  <c r="M200" i="65"/>
  <c r="Y200" i="65"/>
  <c r="AQ201" i="63"/>
  <c r="L201" i="63"/>
  <c r="AR201" i="63"/>
  <c r="M201" i="63"/>
  <c r="AC201" i="63"/>
  <c r="AS201" i="63"/>
  <c r="N201" i="63"/>
  <c r="AD201" i="63"/>
  <c r="AT201" i="63"/>
  <c r="O201" i="63"/>
  <c r="AE201" i="63"/>
  <c r="AU201" i="63"/>
  <c r="P201" i="63"/>
  <c r="AF201" i="63"/>
  <c r="AV201" i="63"/>
  <c r="AG201" i="63"/>
  <c r="AW201" i="63"/>
  <c r="B201" i="63"/>
  <c r="B201" i="65" s="1"/>
  <c r="AH201" i="63"/>
  <c r="AX201" i="63"/>
  <c r="D201" i="63"/>
  <c r="T201" i="63"/>
  <c r="AJ201" i="63"/>
  <c r="E201" i="63"/>
  <c r="U201" i="63"/>
  <c r="AK201" i="63"/>
  <c r="F201" i="63"/>
  <c r="V201" i="63"/>
  <c r="AL201" i="63"/>
  <c r="G201" i="63"/>
  <c r="W201" i="63"/>
  <c r="AM201" i="63"/>
  <c r="X201" i="63"/>
  <c r="Y201" i="63"/>
  <c r="AE201" i="65" s="1"/>
  <c r="Z201" i="63"/>
  <c r="AI201" i="63"/>
  <c r="AN201" i="63"/>
  <c r="AO201" i="63"/>
  <c r="AP201" i="63"/>
  <c r="AY201" i="63"/>
  <c r="C201" i="63"/>
  <c r="H201" i="63"/>
  <c r="I201" i="63"/>
  <c r="J201" i="63"/>
  <c r="U153" i="65"/>
  <c r="N152" i="65"/>
  <c r="U91" i="65"/>
  <c r="U75" i="65"/>
  <c r="S129" i="65"/>
  <c r="U131" i="65"/>
  <c r="M67" i="65"/>
  <c r="M45" i="65"/>
  <c r="M70" i="65"/>
  <c r="S45" i="65"/>
  <c r="S72" i="65"/>
  <c r="S24" i="65"/>
  <c r="U34" i="65"/>
  <c r="M68" i="65"/>
  <c r="U9" i="65"/>
  <c r="M21" i="65"/>
  <c r="M71" i="65"/>
  <c r="S16" i="65"/>
  <c r="M84" i="65"/>
  <c r="S50" i="65"/>
  <c r="S14" i="65"/>
  <c r="S13" i="65"/>
  <c r="S196" i="65"/>
  <c r="S159" i="65"/>
  <c r="N194" i="65"/>
  <c r="N49" i="65"/>
  <c r="S73" i="65"/>
  <c r="S20" i="65"/>
  <c r="S61" i="65"/>
  <c r="M37" i="65"/>
  <c r="S52" i="65"/>
  <c r="S19" i="65"/>
  <c r="M9" i="65"/>
  <c r="S168" i="65"/>
  <c r="M16" i="65"/>
  <c r="M184" i="65"/>
  <c r="N133" i="65"/>
  <c r="M133" i="65"/>
  <c r="N172" i="65"/>
  <c r="N126" i="65"/>
  <c r="S110" i="65"/>
  <c r="M39" i="65"/>
  <c r="N199" i="65"/>
  <c r="N158" i="65"/>
  <c r="M130" i="65"/>
  <c r="N108" i="65"/>
  <c r="S199" i="65"/>
  <c r="S36" i="65"/>
  <c r="S103" i="65"/>
  <c r="S112" i="65"/>
  <c r="N113" i="65"/>
  <c r="M95" i="65"/>
  <c r="M32" i="65"/>
  <c r="S43" i="65"/>
  <c r="S25" i="65"/>
  <c r="U27" i="65"/>
  <c r="N52" i="65"/>
  <c r="U111" i="65"/>
  <c r="U112" i="65"/>
  <c r="U30" i="65"/>
  <c r="U49" i="65"/>
  <c r="N4" i="65"/>
  <c r="N95" i="65"/>
  <c r="S122" i="65"/>
  <c r="M199" i="65"/>
  <c r="S194" i="65"/>
  <c r="U177" i="65"/>
  <c r="N183" i="65"/>
  <c r="S70" i="65"/>
  <c r="S28" i="65"/>
  <c r="S136" i="65"/>
  <c r="N102" i="65"/>
  <c r="N117" i="65"/>
  <c r="M63" i="65"/>
  <c r="N48" i="65"/>
  <c r="N125" i="65"/>
  <c r="H50" i="65"/>
  <c r="H25" i="65"/>
  <c r="N168" i="65"/>
  <c r="M147" i="65"/>
  <c r="N189" i="65"/>
  <c r="N135" i="65"/>
  <c r="N116" i="65"/>
  <c r="S88" i="65"/>
  <c r="N94" i="65"/>
  <c r="N67" i="65"/>
  <c r="S104" i="65"/>
  <c r="M61" i="65"/>
  <c r="S62" i="65"/>
  <c r="M48" i="65"/>
  <c r="S17" i="65"/>
  <c r="N62" i="65"/>
  <c r="N43" i="65"/>
  <c r="N64" i="65"/>
  <c r="M169" i="65"/>
  <c r="N86" i="65"/>
  <c r="S71" i="65"/>
  <c r="U183" i="65"/>
  <c r="U135" i="65"/>
  <c r="S174" i="65"/>
  <c r="M140" i="65"/>
  <c r="S158" i="65"/>
  <c r="M128" i="65"/>
  <c r="S141" i="65"/>
  <c r="S169" i="65"/>
  <c r="N150" i="65"/>
  <c r="S142" i="65"/>
  <c r="N180" i="65"/>
  <c r="S126" i="65"/>
  <c r="S89" i="65"/>
  <c r="M51" i="65"/>
  <c r="M91" i="65"/>
  <c r="N57" i="65"/>
  <c r="U103" i="65"/>
  <c r="M97" i="65"/>
  <c r="S63" i="65"/>
  <c r="N111" i="65"/>
  <c r="M56" i="65"/>
  <c r="N29" i="65"/>
  <c r="S58" i="65"/>
  <c r="N27" i="65"/>
  <c r="S39" i="65"/>
  <c r="M10" i="65"/>
  <c r="S101" i="65"/>
  <c r="S57" i="65"/>
  <c r="N32" i="65"/>
  <c r="N81" i="65"/>
  <c r="N60" i="65"/>
  <c r="N31" i="65"/>
  <c r="S59" i="65"/>
  <c r="S23" i="65"/>
  <c r="M161" i="65"/>
  <c r="S80" i="65"/>
  <c r="M129" i="65"/>
  <c r="S113" i="65"/>
  <c r="N84" i="65"/>
  <c r="M55" i="65"/>
  <c r="S60" i="65"/>
  <c r="N30" i="65"/>
  <c r="M24" i="65"/>
  <c r="U6" i="65"/>
  <c r="S87" i="65"/>
  <c r="N128" i="65"/>
  <c r="N22" i="65"/>
  <c r="M153" i="65"/>
  <c r="S74" i="65"/>
  <c r="U72" i="65"/>
  <c r="M143" i="65"/>
  <c r="N58" i="65"/>
  <c r="S33" i="65"/>
  <c r="N73" i="65"/>
  <c r="U55" i="65"/>
  <c r="S44" i="65"/>
  <c r="U36" i="65"/>
  <c r="H59" i="65"/>
  <c r="H70" i="65"/>
  <c r="H111" i="65"/>
  <c r="H11" i="65"/>
  <c r="S56" i="65"/>
  <c r="H133" i="65"/>
  <c r="N26" i="65"/>
  <c r="N124" i="65"/>
  <c r="N15" i="65"/>
  <c r="S12" i="65"/>
  <c r="S180" i="65"/>
  <c r="U156" i="65"/>
  <c r="S185" i="65"/>
  <c r="U118" i="65"/>
  <c r="S78" i="65"/>
  <c r="U100" i="65"/>
  <c r="N146" i="65"/>
  <c r="M155" i="65"/>
  <c r="U71" i="65"/>
  <c r="M36" i="65"/>
  <c r="U79" i="65"/>
  <c r="N21" i="65"/>
  <c r="S22" i="65"/>
  <c r="U23" i="65"/>
  <c r="N5" i="65"/>
  <c r="U14" i="65"/>
  <c r="H109" i="65"/>
  <c r="H7" i="65"/>
  <c r="H26" i="65"/>
  <c r="H129" i="65"/>
  <c r="H199" i="65"/>
  <c r="H32" i="65"/>
  <c r="U174" i="65"/>
  <c r="M193" i="65"/>
  <c r="U176" i="65"/>
  <c r="M182" i="65"/>
  <c r="M166" i="65"/>
  <c r="S148" i="65"/>
  <c r="M178" i="65"/>
  <c r="N186" i="65"/>
  <c r="N142" i="65"/>
  <c r="S116" i="65"/>
  <c r="M96" i="65"/>
  <c r="M146" i="65"/>
  <c r="S83" i="65"/>
  <c r="U92" i="65"/>
  <c r="M57" i="65"/>
  <c r="S120" i="65"/>
  <c r="S128" i="65"/>
  <c r="S118" i="65"/>
  <c r="U98" i="65"/>
  <c r="N76" i="65"/>
  <c r="U147" i="65"/>
  <c r="M105" i="65"/>
  <c r="N137" i="65"/>
  <c r="S82" i="65"/>
  <c r="M87" i="65"/>
  <c r="M66" i="65"/>
  <c r="S68" i="65"/>
  <c r="S127" i="65"/>
  <c r="U43" i="65"/>
  <c r="N55" i="65"/>
  <c r="N66" i="65"/>
  <c r="M3" i="65"/>
  <c r="U19" i="65"/>
  <c r="U13" i="65"/>
  <c r="S3" i="65"/>
  <c r="S21" i="65"/>
  <c r="N79" i="65"/>
  <c r="N63" i="65"/>
  <c r="M15" i="65"/>
  <c r="H72" i="65"/>
  <c r="H112" i="65"/>
  <c r="H69" i="65"/>
  <c r="H41" i="65"/>
  <c r="H138" i="65"/>
  <c r="H35" i="65"/>
  <c r="H190" i="65"/>
  <c r="H132" i="65"/>
  <c r="H93" i="65"/>
  <c r="H39" i="65"/>
  <c r="H48" i="65"/>
  <c r="H63" i="65"/>
  <c r="H10" i="65"/>
  <c r="H137" i="65"/>
  <c r="N173" i="65"/>
  <c r="S171" i="65"/>
  <c r="M159" i="65"/>
  <c r="U148" i="65"/>
  <c r="M181" i="65"/>
  <c r="M187" i="65"/>
  <c r="S111" i="65"/>
  <c r="U50" i="65"/>
  <c r="M86" i="65"/>
  <c r="U127" i="65"/>
  <c r="U62" i="65"/>
  <c r="S98" i="65"/>
  <c r="M42" i="65"/>
  <c r="U64" i="65"/>
  <c r="N44" i="65"/>
  <c r="U20" i="65"/>
  <c r="M30" i="65"/>
  <c r="M14" i="65"/>
  <c r="U65" i="65"/>
  <c r="M28" i="65"/>
  <c r="U10" i="65"/>
  <c r="H169" i="65"/>
  <c r="H96" i="65"/>
  <c r="H185" i="65"/>
  <c r="H89" i="65"/>
  <c r="H162" i="65"/>
  <c r="H142" i="65"/>
  <c r="H183" i="65"/>
  <c r="H182" i="65"/>
  <c r="H172" i="65"/>
  <c r="H42" i="65"/>
  <c r="H87" i="65"/>
  <c r="H118" i="65"/>
  <c r="S138" i="65"/>
  <c r="U188" i="65"/>
  <c r="M179" i="65"/>
  <c r="S137" i="65"/>
  <c r="N123" i="65"/>
  <c r="M158" i="65"/>
  <c r="U125" i="65"/>
  <c r="M107" i="65"/>
  <c r="N96" i="65"/>
  <c r="N106" i="65"/>
  <c r="U142" i="65"/>
  <c r="S151" i="65"/>
  <c r="M101" i="65"/>
  <c r="N41" i="65"/>
  <c r="S105" i="65"/>
  <c r="U63" i="65"/>
  <c r="M29" i="65"/>
  <c r="M49" i="65"/>
  <c r="S7" i="65"/>
  <c r="S77" i="65"/>
  <c r="U44" i="65"/>
  <c r="H56" i="65"/>
  <c r="H164" i="65"/>
  <c r="H170" i="65"/>
  <c r="H107" i="65"/>
  <c r="H103" i="65"/>
  <c r="H100" i="65"/>
  <c r="H130" i="65"/>
  <c r="H117" i="65"/>
  <c r="H77" i="65"/>
  <c r="H174" i="65"/>
  <c r="H152" i="65"/>
  <c r="H192" i="65"/>
  <c r="H5" i="65"/>
  <c r="M192" i="65"/>
  <c r="M174" i="65"/>
  <c r="S183" i="65"/>
  <c r="N139" i="65"/>
  <c r="M176" i="65"/>
  <c r="N149" i="65"/>
  <c r="S147" i="65"/>
  <c r="N141" i="65"/>
  <c r="U126" i="65"/>
  <c r="S134" i="65"/>
  <c r="U117" i="65"/>
  <c r="M118" i="65"/>
  <c r="U52" i="65"/>
  <c r="M69" i="65"/>
  <c r="U33" i="65"/>
  <c r="U21" i="65"/>
  <c r="S46" i="65"/>
  <c r="M6" i="65"/>
  <c r="S8" i="65"/>
  <c r="H27" i="65"/>
  <c r="H67" i="65"/>
  <c r="H165" i="65"/>
  <c r="H74" i="65"/>
  <c r="H158" i="65"/>
  <c r="H15" i="65"/>
  <c r="H31" i="65"/>
  <c r="H79" i="65"/>
  <c r="H54" i="65"/>
  <c r="H151" i="65"/>
  <c r="H36" i="65"/>
  <c r="H104" i="65"/>
  <c r="H78" i="65"/>
  <c r="H43" i="65"/>
  <c r="N178" i="65"/>
  <c r="N134" i="65"/>
  <c r="M191" i="65"/>
  <c r="S181" i="65"/>
  <c r="S178" i="65"/>
  <c r="M160" i="65"/>
  <c r="N182" i="65"/>
  <c r="S115" i="65"/>
  <c r="S65" i="65"/>
  <c r="U140" i="65"/>
  <c r="S132" i="65"/>
  <c r="S93" i="65"/>
  <c r="U83" i="65"/>
  <c r="S76" i="65"/>
  <c r="S149" i="65"/>
  <c r="U133" i="65"/>
  <c r="M116" i="65"/>
  <c r="S95" i="65"/>
  <c r="U69" i="65"/>
  <c r="U41" i="65"/>
  <c r="S31" i="65"/>
  <c r="U42" i="65"/>
  <c r="N42" i="65"/>
  <c r="M62" i="65"/>
  <c r="M33" i="65"/>
  <c r="U16" i="65"/>
  <c r="U7" i="65"/>
  <c r="S11" i="65"/>
  <c r="U61" i="65"/>
  <c r="S6" i="65"/>
  <c r="H21" i="65"/>
  <c r="H91" i="65"/>
  <c r="H141" i="65"/>
  <c r="H13" i="65"/>
  <c r="H29" i="65"/>
  <c r="H18" i="65"/>
  <c r="H76" i="65"/>
  <c r="H175" i="65"/>
  <c r="H121" i="65"/>
  <c r="H14" i="65"/>
  <c r="H173" i="65"/>
  <c r="H196" i="65"/>
  <c r="H97" i="65"/>
  <c r="S200" i="65"/>
  <c r="M168" i="65"/>
  <c r="M180" i="65"/>
  <c r="U173" i="65"/>
  <c r="U167" i="65"/>
  <c r="U160" i="65"/>
  <c r="N165" i="65"/>
  <c r="S152" i="65"/>
  <c r="U139" i="65"/>
  <c r="U155" i="65"/>
  <c r="M167" i="65"/>
  <c r="M144" i="65"/>
  <c r="U159" i="65"/>
  <c r="M164" i="65"/>
  <c r="S197" i="65"/>
  <c r="S161" i="65"/>
  <c r="U128" i="65"/>
  <c r="U99" i="65"/>
  <c r="N112" i="65"/>
  <c r="M102" i="65"/>
  <c r="M121" i="65"/>
  <c r="S94" i="65"/>
  <c r="U132" i="65"/>
  <c r="M112" i="65"/>
  <c r="U57" i="65"/>
  <c r="U58" i="65"/>
  <c r="S27" i="65"/>
  <c r="S29" i="65"/>
  <c r="S40" i="65"/>
  <c r="S81" i="65"/>
  <c r="N46" i="65"/>
  <c r="M27" i="65"/>
  <c r="N3" i="65"/>
  <c r="M60" i="65"/>
  <c r="H65" i="65"/>
  <c r="H160" i="65"/>
  <c r="H99" i="65"/>
  <c r="H9" i="65"/>
  <c r="H157" i="65"/>
  <c r="H55" i="65"/>
  <c r="H28" i="65"/>
  <c r="H52" i="65"/>
  <c r="H119" i="65"/>
  <c r="H123" i="65"/>
  <c r="H22" i="65"/>
  <c r="H60" i="65"/>
  <c r="U184" i="65"/>
  <c r="S163" i="65"/>
  <c r="M188" i="65"/>
  <c r="S179" i="65"/>
  <c r="S85" i="65"/>
  <c r="U121" i="65"/>
  <c r="N109" i="65"/>
  <c r="M138" i="65"/>
  <c r="M46" i="65"/>
  <c r="S5" i="65"/>
  <c r="H188" i="65"/>
  <c r="H113" i="65"/>
  <c r="H171" i="65"/>
  <c r="H116" i="65"/>
  <c r="H95" i="65"/>
  <c r="H19" i="65"/>
  <c r="H195" i="65"/>
  <c r="H83" i="65"/>
  <c r="H124" i="65"/>
  <c r="H136" i="65"/>
  <c r="H125" i="65"/>
  <c r="H154" i="65"/>
  <c r="H80" i="65"/>
  <c r="S176" i="65"/>
  <c r="M170" i="65"/>
  <c r="N136" i="65"/>
  <c r="M195" i="65"/>
  <c r="U122" i="65"/>
  <c r="N90" i="65"/>
  <c r="U120" i="65"/>
  <c r="U66" i="65"/>
  <c r="U78" i="65"/>
  <c r="M25" i="65"/>
  <c r="U47" i="65"/>
  <c r="M72" i="65"/>
  <c r="H82" i="65"/>
  <c r="H187" i="65"/>
  <c r="H181" i="65"/>
  <c r="H176" i="65"/>
  <c r="H71" i="65"/>
  <c r="H8" i="65"/>
  <c r="H73" i="65"/>
  <c r="H167" i="65"/>
  <c r="H126" i="65"/>
  <c r="H40" i="65"/>
  <c r="S191" i="65"/>
  <c r="U169" i="65"/>
  <c r="U161" i="65"/>
  <c r="U134" i="65"/>
  <c r="U181" i="65"/>
  <c r="M139" i="65"/>
  <c r="N153" i="65"/>
  <c r="U106" i="65"/>
  <c r="M156" i="65"/>
  <c r="U89" i="65"/>
  <c r="U119" i="65"/>
  <c r="M126" i="65"/>
  <c r="U108" i="65"/>
  <c r="S99" i="65"/>
  <c r="S55" i="65"/>
  <c r="U15" i="65"/>
  <c r="M34" i="65"/>
  <c r="M98" i="65"/>
  <c r="S30" i="65"/>
  <c r="S75" i="65"/>
  <c r="M13" i="65"/>
  <c r="U29" i="65"/>
  <c r="U22" i="65"/>
  <c r="S35" i="65"/>
  <c r="M38" i="65"/>
  <c r="H68" i="65"/>
  <c r="H98" i="65"/>
  <c r="H150" i="65"/>
  <c r="H84" i="65"/>
  <c r="H66" i="65"/>
  <c r="H179" i="65"/>
  <c r="H37" i="65"/>
  <c r="H47" i="65"/>
  <c r="H115" i="65"/>
  <c r="N181" i="65"/>
  <c r="U162" i="65"/>
  <c r="M136" i="65"/>
  <c r="M134" i="65"/>
  <c r="U196" i="65"/>
  <c r="U146" i="65"/>
  <c r="U168" i="65"/>
  <c r="M198" i="65"/>
  <c r="U191" i="65"/>
  <c r="S124" i="65"/>
  <c r="M76" i="65"/>
  <c r="N88" i="65"/>
  <c r="M104" i="65"/>
  <c r="U86" i="65"/>
  <c r="M111" i="65"/>
  <c r="U93" i="65"/>
  <c r="M80" i="65"/>
  <c r="M108" i="65"/>
  <c r="S97" i="65"/>
  <c r="N53" i="65"/>
  <c r="S32" i="65"/>
  <c r="M58" i="65"/>
  <c r="M40" i="65"/>
  <c r="M11" i="65"/>
  <c r="U28" i="65"/>
  <c r="M22" i="65"/>
  <c r="U5" i="65"/>
  <c r="N56" i="65"/>
  <c r="U37" i="65"/>
  <c r="S4" i="65"/>
  <c r="H131" i="65"/>
  <c r="H16" i="65"/>
  <c r="H102" i="65"/>
  <c r="H139" i="65"/>
  <c r="H45" i="65"/>
  <c r="H61" i="65"/>
  <c r="H168" i="65"/>
  <c r="H184" i="65"/>
  <c r="H166" i="65"/>
  <c r="H46" i="65"/>
  <c r="N200" i="65"/>
  <c r="N196" i="65"/>
  <c r="M175" i="65"/>
  <c r="S166" i="65"/>
  <c r="M145" i="65"/>
  <c r="M196" i="65"/>
  <c r="N163" i="65"/>
  <c r="U76" i="65"/>
  <c r="N151" i="65"/>
  <c r="H92" i="65"/>
  <c r="M100" i="65"/>
  <c r="N127" i="65"/>
  <c r="S37" i="65"/>
  <c r="S9" i="65"/>
  <c r="U85" i="65"/>
  <c r="M53" i="65"/>
  <c r="S18" i="65"/>
  <c r="H177" i="65"/>
  <c r="H140" i="65"/>
  <c r="H33" i="65"/>
  <c r="H51" i="65"/>
  <c r="H144" i="65"/>
  <c r="H135" i="65"/>
  <c r="H193" i="65"/>
  <c r="H110" i="65"/>
  <c r="H200" i="65"/>
  <c r="U198" i="65"/>
  <c r="N195" i="65"/>
  <c r="M127" i="65"/>
  <c r="S144" i="65"/>
  <c r="S195" i="65"/>
  <c r="U178" i="65"/>
  <c r="N119" i="65"/>
  <c r="S162" i="65"/>
  <c r="N197" i="65"/>
  <c r="M171" i="65"/>
  <c r="S92" i="65"/>
  <c r="U114" i="65"/>
  <c r="U149" i="65"/>
  <c r="S133" i="65"/>
  <c r="M123" i="65"/>
  <c r="N104" i="65"/>
  <c r="U136" i="65"/>
  <c r="N115" i="65"/>
  <c r="M113" i="65"/>
  <c r="S91" i="65"/>
  <c r="M73" i="65"/>
  <c r="N51" i="65"/>
  <c r="N47" i="65"/>
  <c r="M114" i="65"/>
  <c r="N24" i="65"/>
  <c r="M75" i="65"/>
  <c r="U56" i="65"/>
  <c r="M4" i="65"/>
  <c r="N54" i="65"/>
  <c r="N19" i="65"/>
  <c r="U84" i="65"/>
  <c r="N36" i="65"/>
  <c r="H34" i="65"/>
  <c r="H94" i="65"/>
  <c r="H3" i="65"/>
  <c r="H75" i="65"/>
  <c r="H149" i="65"/>
  <c r="H198" i="65"/>
  <c r="H90" i="65"/>
  <c r="H106" i="65"/>
  <c r="H194" i="65"/>
  <c r="H57" i="65"/>
  <c r="H81" i="65"/>
  <c r="H17" i="65"/>
  <c r="M190" i="65"/>
  <c r="N159" i="65"/>
  <c r="N185" i="65"/>
  <c r="N169" i="65"/>
  <c r="N187" i="65"/>
  <c r="S193" i="65"/>
  <c r="U192" i="65"/>
  <c r="U105" i="65"/>
  <c r="U190" i="65"/>
  <c r="U154" i="65"/>
  <c r="U97" i="65"/>
  <c r="M124" i="65"/>
  <c r="M132" i="65"/>
  <c r="N80" i="65"/>
  <c r="U94" i="65"/>
  <c r="S90" i="65"/>
  <c r="N157" i="65"/>
  <c r="S117" i="65"/>
  <c r="N82" i="65"/>
  <c r="N45" i="65"/>
  <c r="U107" i="65"/>
  <c r="U35" i="65"/>
  <c r="M7" i="65"/>
  <c r="M12" i="65"/>
  <c r="U24" i="65"/>
  <c r="M74" i="65"/>
  <c r="U8" i="65"/>
  <c r="N35" i="65"/>
  <c r="H86" i="65"/>
  <c r="H163" i="65"/>
  <c r="H146" i="65"/>
  <c r="H53" i="65"/>
  <c r="H156" i="65"/>
  <c r="H153" i="65"/>
  <c r="H120" i="65"/>
  <c r="H197" i="65"/>
  <c r="H145" i="65"/>
  <c r="H23" i="65"/>
  <c r="H101" i="65"/>
  <c r="U175" i="65"/>
  <c r="S177" i="65"/>
  <c r="S198" i="65"/>
  <c r="U163" i="65"/>
  <c r="U164" i="65"/>
  <c r="S153" i="65"/>
  <c r="U189" i="65"/>
  <c r="S160" i="65"/>
  <c r="M189" i="65"/>
  <c r="N147" i="65"/>
  <c r="U141" i="65"/>
  <c r="S131" i="65"/>
  <c r="U113" i="65"/>
  <c r="U150" i="65"/>
  <c r="N93" i="65"/>
  <c r="S109" i="65"/>
  <c r="U80" i="65"/>
  <c r="U70" i="65"/>
  <c r="U48" i="65"/>
  <c r="S54" i="65"/>
  <c r="N72" i="65"/>
  <c r="M54" i="65"/>
  <c r="M92" i="65"/>
  <c r="M23" i="65"/>
  <c r="S34" i="65"/>
  <c r="S66" i="65"/>
  <c r="U51" i="65"/>
  <c r="H155" i="65"/>
  <c r="H159" i="65"/>
  <c r="H62" i="65"/>
  <c r="H191" i="65"/>
  <c r="H147" i="65"/>
  <c r="H128" i="65"/>
  <c r="H44" i="65"/>
  <c r="H122" i="65"/>
  <c r="H134" i="65"/>
  <c r="H127" i="65"/>
  <c r="H38" i="65"/>
  <c r="H180" i="65"/>
  <c r="N184" i="65"/>
  <c r="U77" i="65"/>
  <c r="N121" i="65"/>
  <c r="N89" i="65"/>
  <c r="U90" i="65"/>
  <c r="M5" i="65"/>
  <c r="H105" i="65"/>
  <c r="H20" i="65"/>
  <c r="H189" i="65"/>
  <c r="H148" i="65"/>
  <c r="H12" i="65"/>
  <c r="U182" i="65"/>
  <c r="M162" i="65"/>
  <c r="N155" i="65"/>
  <c r="M183" i="65"/>
  <c r="U197" i="65"/>
  <c r="U145" i="65"/>
  <c r="N154" i="65"/>
  <c r="S102" i="65"/>
  <c r="U104" i="65"/>
  <c r="N34" i="65"/>
  <c r="S67" i="65"/>
  <c r="S48" i="65"/>
  <c r="N14" i="65"/>
  <c r="H4" i="65"/>
  <c r="H114" i="65"/>
  <c r="H143" i="65"/>
  <c r="H88" i="65"/>
  <c r="H178" i="65"/>
  <c r="H24" i="65"/>
  <c r="H6" i="65"/>
  <c r="H85" i="65"/>
  <c r="H108" i="65"/>
  <c r="H30" i="65"/>
  <c r="H186" i="65"/>
  <c r="H58" i="65"/>
  <c r="H64" i="65"/>
  <c r="H49" i="65"/>
  <c r="B86" i="65"/>
  <c r="B113" i="65"/>
  <c r="B196" i="65"/>
  <c r="B10" i="65"/>
  <c r="B50" i="65"/>
  <c r="B128" i="65"/>
  <c r="B41" i="65"/>
  <c r="B149" i="65"/>
  <c r="B62" i="65"/>
  <c r="B126" i="65"/>
  <c r="B80" i="65"/>
  <c r="B33" i="65"/>
  <c r="B111" i="65"/>
  <c r="B135" i="65"/>
  <c r="B197" i="65"/>
  <c r="B64" i="65"/>
  <c r="B119" i="65"/>
  <c r="B104" i="65"/>
  <c r="B85" i="65"/>
  <c r="B148" i="65"/>
  <c r="B44" i="65"/>
  <c r="B65" i="65"/>
  <c r="B16" i="65"/>
  <c r="B98" i="65"/>
  <c r="B93" i="65"/>
  <c r="B160" i="65"/>
  <c r="B76" i="65"/>
  <c r="B139" i="65"/>
  <c r="B195" i="65"/>
  <c r="B176" i="65"/>
  <c r="B23" i="65"/>
  <c r="B84" i="65"/>
  <c r="B177" i="65"/>
  <c r="B142" i="65"/>
  <c r="B173" i="65"/>
  <c r="B13" i="65"/>
  <c r="B164" i="65"/>
  <c r="B140" i="65"/>
  <c r="B118" i="65"/>
  <c r="B168" i="65"/>
  <c r="B49" i="65"/>
  <c r="B108" i="65"/>
  <c r="B58" i="65"/>
  <c r="B57" i="65"/>
  <c r="B146" i="65"/>
  <c r="B56" i="65"/>
  <c r="B70" i="65"/>
  <c r="B183" i="65"/>
  <c r="B52" i="65"/>
  <c r="B178" i="65"/>
  <c r="B66" i="65"/>
  <c r="B15" i="65"/>
  <c r="B9" i="65"/>
  <c r="B163" i="65"/>
  <c r="B198" i="65"/>
  <c r="B147" i="65"/>
  <c r="B182" i="65"/>
  <c r="B34" i="65"/>
  <c r="B132" i="65"/>
  <c r="B55" i="65"/>
  <c r="B187" i="65"/>
  <c r="B83" i="65"/>
  <c r="B100" i="65"/>
  <c r="B133" i="65"/>
  <c r="B184" i="65"/>
  <c r="B103" i="65"/>
  <c r="B141" i="65"/>
  <c r="B48" i="65"/>
  <c r="B38" i="65"/>
  <c r="B7" i="65"/>
  <c r="B75" i="65"/>
  <c r="B114" i="65"/>
  <c r="B8" i="65"/>
  <c r="B122" i="65"/>
  <c r="B42" i="65"/>
  <c r="B90" i="65"/>
  <c r="B24" i="65"/>
  <c r="B5" i="65"/>
  <c r="B72" i="65"/>
  <c r="B127" i="65"/>
  <c r="B188" i="65"/>
  <c r="B154" i="65"/>
  <c r="B150" i="65"/>
  <c r="B43" i="65"/>
  <c r="B136" i="65"/>
  <c r="B89" i="65"/>
  <c r="B155" i="65"/>
  <c r="B167" i="65"/>
  <c r="B20" i="65"/>
  <c r="B51" i="65"/>
  <c r="B120" i="65"/>
  <c r="B35" i="65"/>
  <c r="B153" i="65"/>
  <c r="B37" i="65"/>
  <c r="B78" i="65"/>
  <c r="B99" i="65"/>
  <c r="B19" i="65"/>
  <c r="B156" i="65"/>
  <c r="B22" i="65"/>
  <c r="B105" i="65"/>
  <c r="B159" i="65"/>
  <c r="B28" i="65"/>
  <c r="B175" i="65"/>
  <c r="B36" i="65"/>
  <c r="B189" i="65"/>
  <c r="B170" i="65"/>
  <c r="B107" i="65"/>
  <c r="B190" i="65"/>
  <c r="B21" i="65"/>
  <c r="B71" i="65"/>
  <c r="B125" i="65"/>
  <c r="B94" i="65"/>
  <c r="B97" i="65"/>
  <c r="B174" i="65"/>
  <c r="B117" i="65"/>
  <c r="B77" i="65"/>
  <c r="B27" i="65"/>
  <c r="B191" i="65"/>
  <c r="B14" i="65"/>
  <c r="B79" i="65"/>
  <c r="B92" i="65"/>
  <c r="B145" i="65"/>
  <c r="B131" i="65"/>
  <c r="B61" i="65"/>
  <c r="B161" i="65"/>
  <c r="B181" i="65"/>
  <c r="B106" i="65"/>
  <c r="B6" i="65"/>
  <c r="B169" i="65"/>
  <c r="B192" i="65"/>
  <c r="B91" i="65"/>
  <c r="B69" i="65"/>
  <c r="B121" i="65"/>
  <c r="B63" i="65"/>
  <c r="B162" i="65"/>
  <c r="B29" i="65"/>
  <c r="B30" i="65"/>
  <c r="B134" i="65"/>
  <c r="B112" i="65"/>
  <c r="B47" i="65"/>
  <c r="A202" i="63"/>
  <c r="AC201" i="65" l="1"/>
  <c r="AD201" i="65"/>
  <c r="Z201" i="65"/>
  <c r="D201" i="65"/>
  <c r="J201" i="65"/>
  <c r="K201" i="65"/>
  <c r="G201" i="65"/>
  <c r="X201" i="65"/>
  <c r="T201" i="65"/>
  <c r="W201" i="65"/>
  <c r="I201" i="65"/>
  <c r="O201" i="65"/>
  <c r="AA201" i="65"/>
  <c r="P201" i="65"/>
  <c r="V201" i="65"/>
  <c r="I202" i="63"/>
  <c r="Y202" i="63"/>
  <c r="AE202" i="65" s="1"/>
  <c r="AO202" i="63"/>
  <c r="J202" i="63"/>
  <c r="Z202" i="63"/>
  <c r="AP202" i="63"/>
  <c r="AQ202" i="63"/>
  <c r="L202" i="63"/>
  <c r="AR202" i="63"/>
  <c r="M202" i="63"/>
  <c r="AC202" i="63"/>
  <c r="AS202" i="63"/>
  <c r="N202" i="63"/>
  <c r="AD202" i="63"/>
  <c r="AT202" i="63"/>
  <c r="O202" i="63"/>
  <c r="AE202" i="63"/>
  <c r="AU202" i="63"/>
  <c r="P202" i="63"/>
  <c r="AF202" i="63"/>
  <c r="AV202" i="63"/>
  <c r="B202" i="63"/>
  <c r="AH202" i="63"/>
  <c r="AX202" i="63"/>
  <c r="C202" i="63"/>
  <c r="AI202" i="63"/>
  <c r="AY202" i="63"/>
  <c r="D202" i="63"/>
  <c r="AJ202" i="63"/>
  <c r="E202" i="63"/>
  <c r="U202" i="63"/>
  <c r="AK202" i="63"/>
  <c r="AG202" i="63"/>
  <c r="AL202" i="63"/>
  <c r="AM202" i="63"/>
  <c r="AN202" i="63"/>
  <c r="AW202" i="63"/>
  <c r="F202" i="63"/>
  <c r="G202" i="63"/>
  <c r="H202" i="63"/>
  <c r="V202" i="63"/>
  <c r="W202" i="63"/>
  <c r="X202" i="63"/>
  <c r="M201" i="65"/>
  <c r="N201" i="65"/>
  <c r="S201" i="65"/>
  <c r="H201" i="65"/>
  <c r="U201" i="65"/>
  <c r="A203" i="63"/>
  <c r="AD202" i="65" l="1"/>
  <c r="AC202" i="65"/>
  <c r="D202" i="65"/>
  <c r="J202" i="65"/>
  <c r="K202" i="65"/>
  <c r="X202" i="65"/>
  <c r="T202" i="65"/>
  <c r="I202" i="65"/>
  <c r="B202" i="65"/>
  <c r="G202" i="65"/>
  <c r="O202" i="65"/>
  <c r="V202" i="65"/>
  <c r="P202" i="65"/>
  <c r="Z202" i="65"/>
  <c r="W202" i="65"/>
  <c r="S202" i="65"/>
  <c r="G203" i="63"/>
  <c r="W203" i="63"/>
  <c r="AM203" i="63"/>
  <c r="H203" i="63"/>
  <c r="X203" i="63"/>
  <c r="AN203" i="63"/>
  <c r="I203" i="63"/>
  <c r="Y203" i="63"/>
  <c r="AE203" i="65" s="1"/>
  <c r="AO203" i="63"/>
  <c r="J203" i="63"/>
  <c r="Z203" i="63"/>
  <c r="AP203" i="63"/>
  <c r="AQ203" i="63"/>
  <c r="L203" i="63"/>
  <c r="AR203" i="63"/>
  <c r="M203" i="63"/>
  <c r="AC203" i="63"/>
  <c r="AS203" i="63"/>
  <c r="N203" i="63"/>
  <c r="AD203" i="63"/>
  <c r="AT203" i="63"/>
  <c r="P203" i="63"/>
  <c r="AF203" i="63"/>
  <c r="AV203" i="63"/>
  <c r="Q203" i="63"/>
  <c r="AG203" i="63"/>
  <c r="AW203" i="63"/>
  <c r="B203" i="63"/>
  <c r="R203" i="63"/>
  <c r="AH203" i="63"/>
  <c r="AX203" i="63"/>
  <c r="C203" i="63"/>
  <c r="AI203" i="63"/>
  <c r="AY203" i="63"/>
  <c r="AU203" i="63"/>
  <c r="D203" i="63"/>
  <c r="E203" i="63"/>
  <c r="F203" i="63"/>
  <c r="O203" i="63"/>
  <c r="U203" i="63"/>
  <c r="V203" i="63"/>
  <c r="AE203" i="63"/>
  <c r="AJ203" i="63"/>
  <c r="AK203" i="63"/>
  <c r="AL203" i="63"/>
  <c r="N202" i="65"/>
  <c r="M202" i="65"/>
  <c r="H202" i="65"/>
  <c r="U202" i="65"/>
  <c r="A204" i="63"/>
  <c r="AD203" i="65" l="1"/>
  <c r="AB203" i="65"/>
  <c r="AC203" i="65"/>
  <c r="J203" i="65"/>
  <c r="D203" i="65"/>
  <c r="K203" i="65"/>
  <c r="X203" i="65"/>
  <c r="T203" i="65"/>
  <c r="W203" i="65"/>
  <c r="P203" i="65"/>
  <c r="V203" i="65"/>
  <c r="G203" i="65"/>
  <c r="I203" i="65"/>
  <c r="Z203" i="65"/>
  <c r="B203" i="65"/>
  <c r="O203" i="65"/>
  <c r="E204" i="63"/>
  <c r="U204" i="63"/>
  <c r="AK204" i="63"/>
  <c r="F204" i="63"/>
  <c r="V204" i="63"/>
  <c r="AL204" i="63"/>
  <c r="G204" i="63"/>
  <c r="W204" i="63"/>
  <c r="AM204" i="63"/>
  <c r="H204" i="63"/>
  <c r="X204" i="63"/>
  <c r="AN204" i="63"/>
  <c r="I204" i="63"/>
  <c r="Y204" i="63"/>
  <c r="AE204" i="65" s="1"/>
  <c r="AO204" i="63"/>
  <c r="J204" i="63"/>
  <c r="Z204" i="63"/>
  <c r="AP204" i="63"/>
  <c r="K204" i="63"/>
  <c r="L204" i="63"/>
  <c r="AR204" i="63"/>
  <c r="N204" i="63"/>
  <c r="O204" i="63"/>
  <c r="P204" i="63"/>
  <c r="AF204" i="63"/>
  <c r="AV204" i="63"/>
  <c r="Q204" i="63"/>
  <c r="AG204" i="63"/>
  <c r="AW204" i="63"/>
  <c r="AS204" i="63"/>
  <c r="B204" i="63"/>
  <c r="AT204" i="63"/>
  <c r="C204" i="63"/>
  <c r="AU204" i="63"/>
  <c r="D204" i="63"/>
  <c r="AX204" i="63"/>
  <c r="M204" i="63"/>
  <c r="AY204" i="63"/>
  <c r="R204" i="63"/>
  <c r="S204" i="63"/>
  <c r="AC204" i="63"/>
  <c r="AD204" i="63"/>
  <c r="AE204" i="63"/>
  <c r="AH204" i="63"/>
  <c r="AJ204" i="63"/>
  <c r="AQ204" i="63"/>
  <c r="AI204" i="63"/>
  <c r="N203" i="65"/>
  <c r="S203" i="65"/>
  <c r="M203" i="65"/>
  <c r="H203" i="65"/>
  <c r="U203" i="65"/>
  <c r="A205" i="63"/>
  <c r="D103" i="5"/>
  <c r="E103" i="5" s="1"/>
  <c r="F103" i="5" s="1"/>
  <c r="G103" i="5" s="1"/>
  <c r="H103" i="5" s="1"/>
  <c r="I103" i="5" s="1"/>
  <c r="J103" i="5" s="1"/>
  <c r="K103" i="5" s="1"/>
  <c r="L103" i="5" s="1"/>
  <c r="M103" i="5" s="1"/>
  <c r="N103" i="5" s="1"/>
  <c r="B82" i="5"/>
  <c r="AC204" i="65" l="1"/>
  <c r="AD204" i="65"/>
  <c r="AB204" i="65"/>
  <c r="J204" i="65"/>
  <c r="K204" i="65"/>
  <c r="D204" i="65"/>
  <c r="X204" i="65"/>
  <c r="T204" i="65"/>
  <c r="O204" i="65"/>
  <c r="B204" i="65"/>
  <c r="V204" i="65"/>
  <c r="I204" i="65"/>
  <c r="Z204" i="65"/>
  <c r="W204" i="65"/>
  <c r="P204" i="65"/>
  <c r="G204" i="65"/>
  <c r="M204" i="65"/>
  <c r="C205" i="63"/>
  <c r="S205" i="63"/>
  <c r="AI205" i="63"/>
  <c r="AY205" i="63"/>
  <c r="D205" i="63"/>
  <c r="T205" i="63"/>
  <c r="AJ205" i="63"/>
  <c r="E205" i="63"/>
  <c r="U205" i="63"/>
  <c r="AK205" i="63"/>
  <c r="F205" i="63"/>
  <c r="V205" i="63"/>
  <c r="AL205" i="63"/>
  <c r="G205" i="63"/>
  <c r="W205" i="63"/>
  <c r="AM205" i="63"/>
  <c r="H205" i="63"/>
  <c r="X205" i="63"/>
  <c r="AN205" i="63"/>
  <c r="N205" i="63"/>
  <c r="AD205" i="63"/>
  <c r="AT205" i="63"/>
  <c r="O205" i="63"/>
  <c r="AE205" i="63"/>
  <c r="AU205" i="63"/>
  <c r="AC205" i="63"/>
  <c r="AF205" i="63"/>
  <c r="AG205" i="63"/>
  <c r="B205" i="63"/>
  <c r="AH205" i="63"/>
  <c r="I205" i="63"/>
  <c r="AO205" i="63"/>
  <c r="J205" i="63"/>
  <c r="AP205" i="63"/>
  <c r="K205" i="63"/>
  <c r="AQ205" i="63"/>
  <c r="L205" i="63"/>
  <c r="AR205" i="63"/>
  <c r="M205" i="63"/>
  <c r="AS205" i="63"/>
  <c r="P205" i="63"/>
  <c r="AV205" i="63"/>
  <c r="Q205" i="63"/>
  <c r="AW205" i="63"/>
  <c r="R205" i="63"/>
  <c r="Y205" i="63"/>
  <c r="AE205" i="65" s="1"/>
  <c r="Z205" i="63"/>
  <c r="AX205" i="63"/>
  <c r="U204" i="65"/>
  <c r="S204" i="65"/>
  <c r="Y204" i="65"/>
  <c r="N204" i="65"/>
  <c r="H204" i="65"/>
  <c r="A206" i="63"/>
  <c r="C86" i="5"/>
  <c r="D86" i="5" s="1"/>
  <c r="E86" i="5" s="1"/>
  <c r="F86" i="5" s="1"/>
  <c r="G86" i="5" s="1"/>
  <c r="H86" i="5" s="1"/>
  <c r="I86" i="5" s="1"/>
  <c r="J86" i="5" s="1"/>
  <c r="K86" i="5" s="1"/>
  <c r="L86" i="5" s="1"/>
  <c r="M86" i="5" s="1"/>
  <c r="N86" i="5" s="1"/>
  <c r="AD205" i="65" l="1"/>
  <c r="AB205" i="65"/>
  <c r="AC205" i="65"/>
  <c r="D205" i="65"/>
  <c r="K205" i="65"/>
  <c r="J205" i="65"/>
  <c r="X205" i="65"/>
  <c r="T205" i="65"/>
  <c r="V205" i="65"/>
  <c r="G205" i="65"/>
  <c r="B205" i="65"/>
  <c r="W205" i="65"/>
  <c r="Z205" i="65"/>
  <c r="O205" i="65"/>
  <c r="AA205" i="65"/>
  <c r="I205" i="65"/>
  <c r="P205" i="65"/>
  <c r="Q206" i="63"/>
  <c r="AG206" i="63"/>
  <c r="AW206" i="63"/>
  <c r="B206" i="63"/>
  <c r="R206" i="63"/>
  <c r="AH206" i="63"/>
  <c r="AX206" i="63"/>
  <c r="C206" i="63"/>
  <c r="S206" i="63"/>
  <c r="AI206" i="63"/>
  <c r="AY206" i="63"/>
  <c r="D206" i="63"/>
  <c r="T206" i="63"/>
  <c r="AJ206" i="63"/>
  <c r="E206" i="63"/>
  <c r="U206" i="63"/>
  <c r="AK206" i="63"/>
  <c r="F206" i="63"/>
  <c r="V206" i="63"/>
  <c r="AL206" i="63"/>
  <c r="L206" i="63"/>
  <c r="AR206" i="63"/>
  <c r="M206" i="63"/>
  <c r="AC206" i="63"/>
  <c r="AS206" i="63"/>
  <c r="I206" i="63"/>
  <c r="AO206" i="63"/>
  <c r="J206" i="63"/>
  <c r="AP206" i="63"/>
  <c r="K206" i="63"/>
  <c r="AQ206" i="63"/>
  <c r="N206" i="63"/>
  <c r="AT206" i="63"/>
  <c r="O206" i="63"/>
  <c r="AU206" i="63"/>
  <c r="P206" i="63"/>
  <c r="AV206" i="63"/>
  <c r="W206" i="63"/>
  <c r="X206" i="63"/>
  <c r="Y206" i="63"/>
  <c r="AE206" i="65" s="1"/>
  <c r="Z206" i="63"/>
  <c r="AD206" i="63"/>
  <c r="AE206" i="63"/>
  <c r="G206" i="63"/>
  <c r="H206" i="63"/>
  <c r="AF206" i="63"/>
  <c r="AM206" i="63"/>
  <c r="AN206" i="63"/>
  <c r="S205" i="65"/>
  <c r="H205" i="65"/>
  <c r="Y205" i="65"/>
  <c r="U205" i="65"/>
  <c r="M205" i="65"/>
  <c r="N205" i="65"/>
  <c r="A207" i="63"/>
  <c r="AB206" i="65" l="1"/>
  <c r="AC206" i="65"/>
  <c r="AD206" i="65"/>
  <c r="D206" i="65"/>
  <c r="K206" i="65"/>
  <c r="J206" i="65"/>
  <c r="X206" i="65"/>
  <c r="T206" i="65"/>
  <c r="W206" i="65"/>
  <c r="G206" i="65"/>
  <c r="I206" i="65"/>
  <c r="Z206" i="65"/>
  <c r="B206" i="65"/>
  <c r="P206" i="65"/>
  <c r="V206" i="65"/>
  <c r="O206" i="65"/>
  <c r="AA206" i="65"/>
  <c r="S206" i="65"/>
  <c r="O207" i="63"/>
  <c r="AE207" i="63"/>
  <c r="AU207" i="63"/>
  <c r="P207" i="63"/>
  <c r="AF207" i="63"/>
  <c r="AV207" i="63"/>
  <c r="AG207" i="63"/>
  <c r="AW207" i="63"/>
  <c r="AH207" i="63"/>
  <c r="AX207" i="63"/>
  <c r="S207" i="63"/>
  <c r="AI207" i="63"/>
  <c r="AY207" i="63"/>
  <c r="T207" i="63"/>
  <c r="AJ207" i="63"/>
  <c r="J207" i="63"/>
  <c r="Z207" i="63"/>
  <c r="AP207" i="63"/>
  <c r="K207" i="63"/>
  <c r="AQ207" i="63"/>
  <c r="W207" i="63"/>
  <c r="AC207" i="63"/>
  <c r="AD207" i="63"/>
  <c r="AK207" i="63"/>
  <c r="AL207" i="63"/>
  <c r="AM207" i="63"/>
  <c r="H207" i="63"/>
  <c r="AN207" i="63"/>
  <c r="I207" i="63"/>
  <c r="AO207" i="63"/>
  <c r="L207" i="63"/>
  <c r="AR207" i="63"/>
  <c r="M207" i="63"/>
  <c r="AS207" i="63"/>
  <c r="U207" i="63"/>
  <c r="AT207" i="63"/>
  <c r="N206" i="65"/>
  <c r="H206" i="65"/>
  <c r="U206" i="65"/>
  <c r="M206" i="65"/>
  <c r="Y206" i="65"/>
  <c r="A208" i="63"/>
  <c r="B75" i="5"/>
  <c r="B69" i="5"/>
  <c r="B63" i="5"/>
  <c r="B40" i="5"/>
  <c r="C4" i="5"/>
  <c r="AC207" i="65" l="1"/>
  <c r="C61" i="5"/>
  <c r="D207" i="65"/>
  <c r="K207" i="65"/>
  <c r="P207" i="65"/>
  <c r="G207" i="65"/>
  <c r="V207" i="65"/>
  <c r="Z207" i="65"/>
  <c r="W207" i="65"/>
  <c r="I207" i="65"/>
  <c r="O207" i="65"/>
  <c r="AA207" i="65"/>
  <c r="C58" i="5"/>
  <c r="C59" i="5"/>
  <c r="M208" i="63"/>
  <c r="AC208" i="63"/>
  <c r="AS208" i="63"/>
  <c r="AD208" i="63"/>
  <c r="AT208" i="63"/>
  <c r="AE208" i="63"/>
  <c r="AU208" i="63"/>
  <c r="P208" i="63"/>
  <c r="AF208" i="63"/>
  <c r="AV208" i="63"/>
  <c r="AG208" i="63"/>
  <c r="AW208" i="63"/>
  <c r="AH208" i="63"/>
  <c r="AX208" i="63"/>
  <c r="H208" i="63"/>
  <c r="AN208" i="63"/>
  <c r="I208" i="63"/>
  <c r="AO208" i="63"/>
  <c r="AK208" i="63"/>
  <c r="AL208" i="63"/>
  <c r="AM208" i="63"/>
  <c r="J208" i="63"/>
  <c r="AP208" i="63"/>
  <c r="AQ208" i="63"/>
  <c r="L208" i="63"/>
  <c r="K208" i="65" s="1"/>
  <c r="AR208" i="63"/>
  <c r="AY208" i="63"/>
  <c r="T208" i="63"/>
  <c r="U208" i="63"/>
  <c r="W208" i="63"/>
  <c r="Z208" i="63"/>
  <c r="AI208" i="63"/>
  <c r="AJ208" i="63"/>
  <c r="Y207" i="65"/>
  <c r="H207" i="65"/>
  <c r="M207" i="65"/>
  <c r="S207" i="65"/>
  <c r="N207" i="65"/>
  <c r="C20" i="5"/>
  <c r="C21" i="5"/>
  <c r="C73" i="5"/>
  <c r="C57" i="5"/>
  <c r="C48" i="5"/>
  <c r="C49" i="5"/>
  <c r="C36" i="5"/>
  <c r="C37" i="5"/>
  <c r="C35" i="5"/>
  <c r="C38" i="5"/>
  <c r="A209" i="63"/>
  <c r="D4" i="5"/>
  <c r="O208" i="65" l="1"/>
  <c r="AC208" i="65"/>
  <c r="D208" i="65"/>
  <c r="AA208" i="65"/>
  <c r="W208" i="65"/>
  <c r="P208" i="65"/>
  <c r="V208" i="65"/>
  <c r="Z208" i="65"/>
  <c r="I208" i="65"/>
  <c r="G208" i="65"/>
  <c r="D58" i="5"/>
  <c r="D61" i="5"/>
  <c r="AQ209" i="63"/>
  <c r="L209" i="63"/>
  <c r="AR209" i="63"/>
  <c r="M209" i="63"/>
  <c r="AC209" i="63"/>
  <c r="AS209" i="63"/>
  <c r="AD209" i="63"/>
  <c r="AT209" i="63"/>
  <c r="AE209" i="63"/>
  <c r="AU209" i="63"/>
  <c r="P209" i="63"/>
  <c r="AF209" i="63"/>
  <c r="AV209" i="63"/>
  <c r="F209" i="63"/>
  <c r="AL209" i="63"/>
  <c r="G209" i="63"/>
  <c r="W209" i="63"/>
  <c r="AM209" i="63"/>
  <c r="AY209" i="63"/>
  <c r="T209" i="63"/>
  <c r="U209" i="63"/>
  <c r="X209" i="63"/>
  <c r="Y209" i="63"/>
  <c r="Z209" i="63"/>
  <c r="AG209" i="63"/>
  <c r="B209" i="63"/>
  <c r="AH209" i="63"/>
  <c r="C209" i="63"/>
  <c r="AI209" i="63"/>
  <c r="D209" i="63"/>
  <c r="AJ209" i="63"/>
  <c r="E209" i="63"/>
  <c r="AK209" i="63"/>
  <c r="H209" i="63"/>
  <c r="AN209" i="63"/>
  <c r="I209" i="63"/>
  <c r="AO209" i="63"/>
  <c r="J209" i="63"/>
  <c r="AP209" i="63"/>
  <c r="AW209" i="63"/>
  <c r="AX209" i="63"/>
  <c r="N208" i="65"/>
  <c r="S208" i="65"/>
  <c r="H208" i="65"/>
  <c r="M208" i="65"/>
  <c r="D21" i="5"/>
  <c r="D73" i="5"/>
  <c r="D57" i="5"/>
  <c r="D47" i="5"/>
  <c r="D49" i="5"/>
  <c r="D36" i="5"/>
  <c r="D37" i="5"/>
  <c r="D38" i="5"/>
  <c r="D35" i="5"/>
  <c r="A210" i="63"/>
  <c r="C96" i="5"/>
  <c r="E4" i="5"/>
  <c r="AD209" i="65" l="1"/>
  <c r="AE209" i="65"/>
  <c r="AC209" i="65"/>
  <c r="D209" i="65"/>
  <c r="K209" i="65"/>
  <c r="X209" i="65"/>
  <c r="T209" i="65"/>
  <c r="B209" i="65"/>
  <c r="I209" i="65"/>
  <c r="Z209" i="65"/>
  <c r="W209" i="65"/>
  <c r="O209" i="65"/>
  <c r="AA209" i="65"/>
  <c r="P209" i="65"/>
  <c r="G209" i="65"/>
  <c r="V209" i="65"/>
  <c r="E58" i="5"/>
  <c r="E61" i="5"/>
  <c r="E59" i="5"/>
  <c r="I210" i="63"/>
  <c r="Y210" i="63"/>
  <c r="AE210" i="65" s="1"/>
  <c r="AO210" i="63"/>
  <c r="J210" i="63"/>
  <c r="Z210" i="63"/>
  <c r="AP210" i="63"/>
  <c r="AQ210" i="63"/>
  <c r="L210" i="63"/>
  <c r="AR210" i="63"/>
  <c r="M210" i="63"/>
  <c r="AC210" i="63"/>
  <c r="AS210" i="63"/>
  <c r="N210" i="63"/>
  <c r="AD210" i="63"/>
  <c r="AT210" i="63"/>
  <c r="D210" i="63"/>
  <c r="T210" i="63"/>
  <c r="AJ210" i="63"/>
  <c r="E210" i="63"/>
  <c r="U210" i="63"/>
  <c r="AK210" i="63"/>
  <c r="AG210" i="63"/>
  <c r="B210" i="63"/>
  <c r="AH210" i="63"/>
  <c r="C210" i="63"/>
  <c r="AI210" i="63"/>
  <c r="F210" i="63"/>
  <c r="AL210" i="63"/>
  <c r="G210" i="63"/>
  <c r="AM210" i="63"/>
  <c r="H210" i="63"/>
  <c r="G210" i="65" s="1"/>
  <c r="AN210" i="63"/>
  <c r="AU210" i="63"/>
  <c r="P210" i="63"/>
  <c r="AV210" i="63"/>
  <c r="Q210" i="63"/>
  <c r="AW210" i="63"/>
  <c r="R210" i="63"/>
  <c r="AX210" i="63"/>
  <c r="AY210" i="63"/>
  <c r="V210" i="63"/>
  <c r="D210" i="65" s="1"/>
  <c r="W210" i="63"/>
  <c r="X210" i="63"/>
  <c r="AE210" i="63"/>
  <c r="AF210" i="63"/>
  <c r="U209" i="65"/>
  <c r="M209" i="65"/>
  <c r="H209" i="65"/>
  <c r="S209" i="65"/>
  <c r="N209" i="65"/>
  <c r="E21" i="5"/>
  <c r="E20" i="5"/>
  <c r="E73" i="5"/>
  <c r="E36" i="5"/>
  <c r="E37" i="5"/>
  <c r="E38" i="5"/>
  <c r="E35" i="5"/>
  <c r="A211" i="63"/>
  <c r="C40" i="5"/>
  <c r="F4" i="5"/>
  <c r="AD210" i="65" l="1"/>
  <c r="AB210" i="65"/>
  <c r="AC210" i="65"/>
  <c r="K210" i="65"/>
  <c r="J210" i="65"/>
  <c r="X210" i="65"/>
  <c r="T210" i="65"/>
  <c r="W210" i="65"/>
  <c r="I210" i="65"/>
  <c r="Z210" i="65"/>
  <c r="O210" i="65"/>
  <c r="AA210" i="65"/>
  <c r="P210" i="65"/>
  <c r="V210" i="65"/>
  <c r="B210" i="65"/>
  <c r="F59" i="5"/>
  <c r="F58" i="5"/>
  <c r="F61" i="5"/>
  <c r="M210" i="65"/>
  <c r="G211" i="63"/>
  <c r="W211" i="63"/>
  <c r="AM211" i="63"/>
  <c r="H211" i="63"/>
  <c r="X211" i="63"/>
  <c r="AN211" i="63"/>
  <c r="I211" i="63"/>
  <c r="Y211" i="63"/>
  <c r="AE211" i="65" s="1"/>
  <c r="AO211" i="63"/>
  <c r="J211" i="63"/>
  <c r="AP211" i="63"/>
  <c r="K211" i="63"/>
  <c r="AQ211" i="63"/>
  <c r="L211" i="63"/>
  <c r="AR211" i="63"/>
  <c r="B211" i="63"/>
  <c r="R211" i="63"/>
  <c r="AH211" i="63"/>
  <c r="AX211" i="63"/>
  <c r="C211" i="63"/>
  <c r="S211" i="63"/>
  <c r="AI211" i="63"/>
  <c r="AY211" i="63"/>
  <c r="O211" i="63"/>
  <c r="AU211" i="63"/>
  <c r="P211" i="63"/>
  <c r="AV211" i="63"/>
  <c r="Q211" i="63"/>
  <c r="AW211" i="63"/>
  <c r="T211" i="63"/>
  <c r="U211" i="63"/>
  <c r="V211" i="63"/>
  <c r="AC211" i="63"/>
  <c r="AD211" i="63"/>
  <c r="AE211" i="63"/>
  <c r="AF211" i="63"/>
  <c r="AG211" i="63"/>
  <c r="D211" i="63"/>
  <c r="AJ211" i="63"/>
  <c r="E211" i="63"/>
  <c r="AK211" i="63"/>
  <c r="AT211" i="63"/>
  <c r="F211" i="63"/>
  <c r="M211" i="63"/>
  <c r="N211" i="63"/>
  <c r="AS211" i="63"/>
  <c r="AL211" i="63"/>
  <c r="S210" i="65"/>
  <c r="H210" i="65"/>
  <c r="U210" i="65"/>
  <c r="N210" i="65"/>
  <c r="F21" i="5"/>
  <c r="F20" i="5"/>
  <c r="F36" i="5"/>
  <c r="F37" i="5"/>
  <c r="F38" i="5"/>
  <c r="F35" i="5"/>
  <c r="A212" i="63"/>
  <c r="D40" i="5"/>
  <c r="G4" i="5"/>
  <c r="AB211" i="65" l="1"/>
  <c r="AC211" i="65"/>
  <c r="AD211" i="65"/>
  <c r="J211" i="65"/>
  <c r="D211" i="65"/>
  <c r="K211" i="65"/>
  <c r="X211" i="65"/>
  <c r="T211" i="65"/>
  <c r="V211" i="65"/>
  <c r="W211" i="65"/>
  <c r="G211" i="65"/>
  <c r="B211" i="65"/>
  <c r="O211" i="65"/>
  <c r="AA211" i="65"/>
  <c r="Z211" i="65"/>
  <c r="I211" i="65"/>
  <c r="G59" i="5"/>
  <c r="G58" i="5"/>
  <c r="G61" i="5"/>
  <c r="E212" i="63"/>
  <c r="U212" i="63"/>
  <c r="AK212" i="63"/>
  <c r="F212" i="63"/>
  <c r="V212" i="63"/>
  <c r="AL212" i="63"/>
  <c r="G212" i="63"/>
  <c r="W212" i="63"/>
  <c r="AM212" i="63"/>
  <c r="H212" i="63"/>
  <c r="X212" i="63"/>
  <c r="AN212" i="63"/>
  <c r="I212" i="63"/>
  <c r="Y212" i="63"/>
  <c r="AO212" i="63"/>
  <c r="J212" i="63"/>
  <c r="AP212" i="63"/>
  <c r="P212" i="63"/>
  <c r="AF212" i="63"/>
  <c r="AV212" i="63"/>
  <c r="Q212" i="63"/>
  <c r="AG212" i="63"/>
  <c r="AW212" i="63"/>
  <c r="AC212" i="63"/>
  <c r="AD212" i="63"/>
  <c r="AE212" i="63"/>
  <c r="B212" i="63"/>
  <c r="AH212" i="63"/>
  <c r="C212" i="63"/>
  <c r="AI212" i="63"/>
  <c r="D212" i="63"/>
  <c r="AJ212" i="63"/>
  <c r="K212" i="63"/>
  <c r="AQ212" i="63"/>
  <c r="L212" i="63"/>
  <c r="AR212" i="63"/>
  <c r="M212" i="63"/>
  <c r="AS212" i="63"/>
  <c r="N212" i="63"/>
  <c r="AT212" i="63"/>
  <c r="O212" i="63"/>
  <c r="AU212" i="63"/>
  <c r="R212" i="63"/>
  <c r="AX212" i="63"/>
  <c r="S212" i="63"/>
  <c r="AY212" i="63"/>
  <c r="T212" i="63"/>
  <c r="Y211" i="65"/>
  <c r="H211" i="65"/>
  <c r="N211" i="65"/>
  <c r="S211" i="65"/>
  <c r="M211" i="65"/>
  <c r="U211" i="65"/>
  <c r="G21" i="5"/>
  <c r="G73" i="5"/>
  <c r="G57" i="5"/>
  <c r="G47" i="5"/>
  <c r="G37" i="5"/>
  <c r="G38" i="5"/>
  <c r="G35" i="5"/>
  <c r="G36" i="5"/>
  <c r="A213" i="63"/>
  <c r="E40" i="5"/>
  <c r="H4" i="5"/>
  <c r="AD212" i="65" l="1"/>
  <c r="AE212" i="65"/>
  <c r="AB212" i="65"/>
  <c r="AC212" i="65"/>
  <c r="J212" i="65"/>
  <c r="Z212" i="65"/>
  <c r="D212" i="65"/>
  <c r="K212" i="65"/>
  <c r="B212" i="65"/>
  <c r="X212" i="65"/>
  <c r="T212" i="65"/>
  <c r="W212" i="65"/>
  <c r="G212" i="65"/>
  <c r="I212" i="65"/>
  <c r="O212" i="65"/>
  <c r="AA212" i="65"/>
  <c r="V212" i="65"/>
  <c r="H58" i="5"/>
  <c r="H61" i="5"/>
  <c r="S213" i="63"/>
  <c r="AI213" i="63"/>
  <c r="AY213" i="63"/>
  <c r="T213" i="63"/>
  <c r="AJ213" i="63"/>
  <c r="U213" i="63"/>
  <c r="AK213" i="63"/>
  <c r="V213" i="63"/>
  <c r="D213" i="65" s="1"/>
  <c r="AL213" i="63"/>
  <c r="W213" i="63"/>
  <c r="AM213" i="63"/>
  <c r="H213" i="63"/>
  <c r="AN213" i="63"/>
  <c r="N213" i="63"/>
  <c r="AD213" i="63"/>
  <c r="AT213" i="63"/>
  <c r="O213" i="63"/>
  <c r="AE213" i="63"/>
  <c r="AU213" i="63"/>
  <c r="K213" i="63"/>
  <c r="AQ213" i="63"/>
  <c r="L213" i="63"/>
  <c r="AR213" i="63"/>
  <c r="M213" i="63"/>
  <c r="AS213" i="63"/>
  <c r="P213" i="63"/>
  <c r="AV213" i="63"/>
  <c r="Q213" i="63"/>
  <c r="AW213" i="63"/>
  <c r="R213" i="63"/>
  <c r="AX213" i="63"/>
  <c r="Z213" i="63"/>
  <c r="AC213" i="63"/>
  <c r="AF213" i="63"/>
  <c r="AG213" i="63"/>
  <c r="I213" i="63"/>
  <c r="J213" i="63"/>
  <c r="AH213" i="63"/>
  <c r="AO213" i="63"/>
  <c r="AP213" i="63"/>
  <c r="M212" i="65"/>
  <c r="Y212" i="65"/>
  <c r="N212" i="65"/>
  <c r="U212" i="65"/>
  <c r="S212" i="65"/>
  <c r="H212" i="65"/>
  <c r="H21" i="5"/>
  <c r="H73" i="5"/>
  <c r="H57" i="5"/>
  <c r="H49" i="5"/>
  <c r="H37" i="5"/>
  <c r="H38" i="5"/>
  <c r="H35" i="5"/>
  <c r="H36" i="5"/>
  <c r="A214" i="63"/>
  <c r="F40" i="5"/>
  <c r="I4" i="5"/>
  <c r="AC213" i="65" l="1"/>
  <c r="AB213" i="65"/>
  <c r="J213" i="65"/>
  <c r="K213" i="65"/>
  <c r="W213" i="65"/>
  <c r="G213" i="65"/>
  <c r="I213" i="65"/>
  <c r="O213" i="65"/>
  <c r="AA213" i="65"/>
  <c r="P213" i="65"/>
  <c r="Z213" i="65"/>
  <c r="V213" i="65"/>
  <c r="I59" i="5"/>
  <c r="I58" i="5"/>
  <c r="I61" i="5"/>
  <c r="AG214" i="63"/>
  <c r="AW214" i="63"/>
  <c r="AH214" i="63"/>
  <c r="AX214" i="63"/>
  <c r="S214" i="63"/>
  <c r="AI214" i="63"/>
  <c r="AY214" i="63"/>
  <c r="T214" i="63"/>
  <c r="AJ214" i="63"/>
  <c r="U214" i="63"/>
  <c r="AK214" i="63"/>
  <c r="V214" i="63"/>
  <c r="AL214" i="63"/>
  <c r="L214" i="63"/>
  <c r="AR214" i="63"/>
  <c r="M214" i="63"/>
  <c r="AC214" i="63"/>
  <c r="AS214" i="63"/>
  <c r="Z214" i="63"/>
  <c r="AD214" i="63"/>
  <c r="AE214" i="63"/>
  <c r="AF214" i="63"/>
  <c r="AM214" i="63"/>
  <c r="H214" i="63"/>
  <c r="AN214" i="63"/>
  <c r="I214" i="63"/>
  <c r="AO214" i="63"/>
  <c r="J214" i="63"/>
  <c r="AP214" i="63"/>
  <c r="K214" i="63"/>
  <c r="AQ214" i="63"/>
  <c r="N214" i="63"/>
  <c r="AT214" i="63"/>
  <c r="O214" i="63"/>
  <c r="AU214" i="63"/>
  <c r="P214" i="63"/>
  <c r="W214" i="63"/>
  <c r="AV214" i="63"/>
  <c r="N213" i="65"/>
  <c r="Y213" i="65"/>
  <c r="M213" i="65"/>
  <c r="H213" i="65"/>
  <c r="S213" i="65"/>
  <c r="I21" i="5"/>
  <c r="I73" i="5"/>
  <c r="I57" i="5"/>
  <c r="I37" i="5"/>
  <c r="I38" i="5"/>
  <c r="I35" i="5"/>
  <c r="I36" i="5"/>
  <c r="A215" i="63"/>
  <c r="G40" i="5"/>
  <c r="J4" i="5"/>
  <c r="AC214" i="65" l="1"/>
  <c r="P214" i="65"/>
  <c r="D214" i="65"/>
  <c r="K214" i="65"/>
  <c r="J214" i="65"/>
  <c r="W214" i="65"/>
  <c r="G214" i="65"/>
  <c r="Z214" i="65"/>
  <c r="O214" i="65"/>
  <c r="AA214" i="65"/>
  <c r="V214" i="65"/>
  <c r="I214" i="65"/>
  <c r="O215" i="63"/>
  <c r="AE215" i="63"/>
  <c r="AU215" i="63"/>
  <c r="P215" i="63"/>
  <c r="AF215" i="63"/>
  <c r="AV215" i="63"/>
  <c r="AG215" i="63"/>
  <c r="AW215" i="63"/>
  <c r="B215" i="63"/>
  <c r="AH215" i="63"/>
  <c r="AX215" i="63"/>
  <c r="C215" i="63"/>
  <c r="AI215" i="63"/>
  <c r="AY215" i="63"/>
  <c r="D215" i="63"/>
  <c r="T215" i="63"/>
  <c r="AJ215" i="63"/>
  <c r="J215" i="63"/>
  <c r="Z215" i="63"/>
  <c r="AP215" i="63"/>
  <c r="AQ215" i="63"/>
  <c r="G215" i="63"/>
  <c r="AM215" i="63"/>
  <c r="H215" i="63"/>
  <c r="AN215" i="63"/>
  <c r="I215" i="63"/>
  <c r="AO215" i="63"/>
  <c r="L215" i="63"/>
  <c r="AR215" i="63"/>
  <c r="M215" i="63"/>
  <c r="AS215" i="63"/>
  <c r="N215" i="63"/>
  <c r="AT215" i="63"/>
  <c r="U215" i="63"/>
  <c r="V215" i="63"/>
  <c r="W215" i="63"/>
  <c r="X215" i="63"/>
  <c r="Y215" i="63"/>
  <c r="AE215" i="65" s="1"/>
  <c r="AC215" i="63"/>
  <c r="AD215" i="63"/>
  <c r="AK215" i="63"/>
  <c r="AL215" i="63"/>
  <c r="E215" i="63"/>
  <c r="F215" i="63"/>
  <c r="H214" i="65"/>
  <c r="S214" i="65"/>
  <c r="N214" i="65"/>
  <c r="M214" i="65"/>
  <c r="Y214" i="65"/>
  <c r="J37" i="5"/>
  <c r="A216" i="63"/>
  <c r="H40" i="5"/>
  <c r="K4" i="5"/>
  <c r="AC215" i="65" l="1"/>
  <c r="AD215" i="65"/>
  <c r="J215" i="65"/>
  <c r="D215" i="65"/>
  <c r="K215" i="65"/>
  <c r="B215" i="65"/>
  <c r="X215" i="65"/>
  <c r="T215" i="65"/>
  <c r="I215" i="65"/>
  <c r="W215" i="65"/>
  <c r="V215" i="65"/>
  <c r="P215" i="65"/>
  <c r="G215" i="65"/>
  <c r="O215" i="65"/>
  <c r="AA215" i="65"/>
  <c r="Z215" i="65"/>
  <c r="M216" i="63"/>
  <c r="AC216" i="63"/>
  <c r="AS216" i="63"/>
  <c r="N216" i="63"/>
  <c r="AD216" i="63"/>
  <c r="AT216" i="63"/>
  <c r="O216" i="63"/>
  <c r="AE216" i="63"/>
  <c r="P216" i="63"/>
  <c r="AF216" i="63"/>
  <c r="AV216" i="63"/>
  <c r="AG216" i="63"/>
  <c r="AW216" i="63"/>
  <c r="B216" i="63"/>
  <c r="AH216" i="63"/>
  <c r="AX216" i="63"/>
  <c r="I216" i="63"/>
  <c r="T216" i="63"/>
  <c r="AP216" i="63"/>
  <c r="U216" i="63"/>
  <c r="AQ216" i="63"/>
  <c r="V216" i="63"/>
  <c r="AR216" i="63"/>
  <c r="W216" i="63"/>
  <c r="AU216" i="63"/>
  <c r="X216" i="63"/>
  <c r="AY216" i="63"/>
  <c r="Y216" i="63"/>
  <c r="AE216" i="65" s="1"/>
  <c r="C216" i="63"/>
  <c r="Z216" i="63"/>
  <c r="D216" i="63"/>
  <c r="E216" i="63"/>
  <c r="F216" i="63"/>
  <c r="AI216" i="63"/>
  <c r="G216" i="63"/>
  <c r="AJ216" i="63"/>
  <c r="H216" i="63"/>
  <c r="AK216" i="63"/>
  <c r="J216" i="63"/>
  <c r="AL216" i="63"/>
  <c r="L216" i="63"/>
  <c r="AM216" i="63"/>
  <c r="AN216" i="63"/>
  <c r="AO216" i="63"/>
  <c r="H215" i="65"/>
  <c r="S215" i="65"/>
  <c r="U215" i="65"/>
  <c r="M215" i="65"/>
  <c r="N215" i="65"/>
  <c r="K37" i="5"/>
  <c r="A217" i="63"/>
  <c r="I40" i="5"/>
  <c r="L4" i="5"/>
  <c r="AD216" i="65" l="1"/>
  <c r="AC216" i="65"/>
  <c r="J216" i="65"/>
  <c r="D216" i="65"/>
  <c r="K216" i="65"/>
  <c r="X216" i="65"/>
  <c r="T216" i="65"/>
  <c r="B216" i="65"/>
  <c r="W216" i="65"/>
  <c r="P216" i="65"/>
  <c r="V216" i="65"/>
  <c r="G216" i="65"/>
  <c r="I216" i="65"/>
  <c r="Z216" i="65"/>
  <c r="O216" i="65"/>
  <c r="AA216" i="65"/>
  <c r="N216" i="65"/>
  <c r="AQ217" i="63"/>
  <c r="L217" i="63"/>
  <c r="AR217" i="63"/>
  <c r="N217" i="63"/>
  <c r="AD217" i="63"/>
  <c r="AT217" i="63"/>
  <c r="AF217" i="63"/>
  <c r="AV217" i="63"/>
  <c r="Q217" i="63"/>
  <c r="AK217" i="63"/>
  <c r="R217" i="63"/>
  <c r="AL217" i="63"/>
  <c r="AM217" i="63"/>
  <c r="T217" i="63"/>
  <c r="AN217" i="63"/>
  <c r="U217" i="63"/>
  <c r="AO217" i="63"/>
  <c r="B217" i="63"/>
  <c r="V217" i="63"/>
  <c r="AP217" i="63"/>
  <c r="C217" i="63"/>
  <c r="W217" i="63"/>
  <c r="AS217" i="63"/>
  <c r="D217" i="63"/>
  <c r="X217" i="63"/>
  <c r="AU217" i="63"/>
  <c r="E217" i="63"/>
  <c r="Y217" i="63"/>
  <c r="AE217" i="65" s="1"/>
  <c r="AW217" i="63"/>
  <c r="F217" i="63"/>
  <c r="Z217" i="63"/>
  <c r="AX217" i="63"/>
  <c r="G217" i="63"/>
  <c r="AC217" i="63"/>
  <c r="AY217" i="63"/>
  <c r="H217" i="63"/>
  <c r="AE217" i="63"/>
  <c r="I217" i="63"/>
  <c r="AG217" i="63"/>
  <c r="J217" i="63"/>
  <c r="M217" i="63"/>
  <c r="O217" i="63"/>
  <c r="AH217" i="63"/>
  <c r="AI217" i="63"/>
  <c r="AJ217" i="63"/>
  <c r="H216" i="65"/>
  <c r="S216" i="65"/>
  <c r="U216" i="65"/>
  <c r="M216" i="65"/>
  <c r="L37" i="5"/>
  <c r="A218" i="63"/>
  <c r="M4" i="5"/>
  <c r="AB217" i="65" l="1"/>
  <c r="V217" i="65"/>
  <c r="AD217" i="65"/>
  <c r="AC217" i="65"/>
  <c r="D217" i="65"/>
  <c r="K217" i="65"/>
  <c r="J217" i="65"/>
  <c r="X217" i="65"/>
  <c r="T217" i="65"/>
  <c r="W217" i="65"/>
  <c r="Z217" i="65"/>
  <c r="G217" i="65"/>
  <c r="O217" i="65"/>
  <c r="AA217" i="65"/>
  <c r="I217" i="65"/>
  <c r="B217" i="65"/>
  <c r="P217" i="65"/>
  <c r="M217" i="65"/>
  <c r="S217" i="65"/>
  <c r="I218" i="63"/>
  <c r="Y218" i="63"/>
  <c r="AE218" i="65" s="1"/>
  <c r="J218" i="63"/>
  <c r="Z218" i="63"/>
  <c r="L218" i="63"/>
  <c r="N218" i="63"/>
  <c r="G218" i="63"/>
  <c r="AD218" i="63"/>
  <c r="AT218" i="63"/>
  <c r="H218" i="63"/>
  <c r="AE218" i="63"/>
  <c r="AU218" i="63"/>
  <c r="K218" i="63"/>
  <c r="AF218" i="63"/>
  <c r="AV218" i="63"/>
  <c r="M218" i="63"/>
  <c r="AG218" i="63"/>
  <c r="AW218" i="63"/>
  <c r="O218" i="63"/>
  <c r="AH218" i="63"/>
  <c r="AX218" i="63"/>
  <c r="AI218" i="63"/>
  <c r="AY218" i="63"/>
  <c r="Q218" i="63"/>
  <c r="AJ218" i="63"/>
  <c r="R218" i="63"/>
  <c r="AK218" i="63"/>
  <c r="S218" i="63"/>
  <c r="AL218" i="63"/>
  <c r="T218" i="63"/>
  <c r="AM218" i="63"/>
  <c r="U218" i="63"/>
  <c r="AN218" i="63"/>
  <c r="B218" i="63"/>
  <c r="V218" i="63"/>
  <c r="AO218" i="63"/>
  <c r="C218" i="63"/>
  <c r="W218" i="63"/>
  <c r="AP218" i="63"/>
  <c r="E218" i="63"/>
  <c r="F218" i="63"/>
  <c r="X218" i="63"/>
  <c r="AC218" i="63"/>
  <c r="AQ218" i="63"/>
  <c r="AR218" i="63"/>
  <c r="AS218" i="63"/>
  <c r="D218" i="63"/>
  <c r="H217" i="65"/>
  <c r="U217" i="65"/>
  <c r="N217" i="65"/>
  <c r="M37" i="5"/>
  <c r="A219" i="63"/>
  <c r="N4" i="5"/>
  <c r="AC218" i="65" l="1"/>
  <c r="AD218" i="65"/>
  <c r="AB218" i="65"/>
  <c r="P218" i="65"/>
  <c r="J218" i="65"/>
  <c r="D218" i="65"/>
  <c r="K218" i="65"/>
  <c r="X218" i="65"/>
  <c r="T218" i="65"/>
  <c r="G218" i="65"/>
  <c r="W218" i="65"/>
  <c r="Z218" i="65"/>
  <c r="I218" i="65"/>
  <c r="V218" i="65"/>
  <c r="O218" i="65"/>
  <c r="AA218" i="65"/>
  <c r="B218" i="65"/>
  <c r="N218" i="65"/>
  <c r="L219" i="63"/>
  <c r="AR219" i="63"/>
  <c r="M219" i="63"/>
  <c r="AC219" i="63"/>
  <c r="AS219" i="63"/>
  <c r="N219" i="63"/>
  <c r="AD219" i="63"/>
  <c r="AT219" i="63"/>
  <c r="O219" i="63"/>
  <c r="AE219" i="63"/>
  <c r="AU219" i="63"/>
  <c r="AF219" i="63"/>
  <c r="AV219" i="63"/>
  <c r="Q219" i="63"/>
  <c r="AG219" i="63"/>
  <c r="AW219" i="63"/>
  <c r="B219" i="63"/>
  <c r="R219" i="63"/>
  <c r="AH219" i="63"/>
  <c r="AX219" i="63"/>
  <c r="C219" i="63"/>
  <c r="S219" i="63"/>
  <c r="AI219" i="63"/>
  <c r="AY219" i="63"/>
  <c r="D219" i="63"/>
  <c r="T219" i="63"/>
  <c r="AJ219" i="63"/>
  <c r="E219" i="63"/>
  <c r="U219" i="63"/>
  <c r="AK219" i="63"/>
  <c r="F219" i="63"/>
  <c r="V219" i="63"/>
  <c r="AL219" i="63"/>
  <c r="G219" i="63"/>
  <c r="W219" i="63"/>
  <c r="AM219" i="63"/>
  <c r="H219" i="63"/>
  <c r="X219" i="63"/>
  <c r="AN219" i="63"/>
  <c r="AQ219" i="63"/>
  <c r="I219" i="63"/>
  <c r="J219" i="63"/>
  <c r="K219" i="63"/>
  <c r="Y219" i="63"/>
  <c r="AE219" i="65" s="1"/>
  <c r="Z219" i="63"/>
  <c r="AP219" i="63"/>
  <c r="AO219" i="63"/>
  <c r="U218" i="65"/>
  <c r="S218" i="65"/>
  <c r="M218" i="65"/>
  <c r="Y218" i="65"/>
  <c r="H218" i="65"/>
  <c r="N37" i="5"/>
  <c r="A220" i="63"/>
  <c r="AC219" i="65" l="1"/>
  <c r="AD219" i="65"/>
  <c r="AB219" i="65"/>
  <c r="P219" i="65"/>
  <c r="D219" i="65"/>
  <c r="J219" i="65"/>
  <c r="K219" i="65"/>
  <c r="X219" i="65"/>
  <c r="T219" i="65"/>
  <c r="B219" i="65"/>
  <c r="O219" i="65"/>
  <c r="AA219" i="65"/>
  <c r="W219" i="65"/>
  <c r="V219" i="65"/>
  <c r="G219" i="65"/>
  <c r="I219" i="65"/>
  <c r="Z219" i="65"/>
  <c r="N219" i="65"/>
  <c r="J220" i="63"/>
  <c r="Z220" i="63"/>
  <c r="AP220" i="63"/>
  <c r="K220" i="63"/>
  <c r="AQ220" i="63"/>
  <c r="L220" i="63"/>
  <c r="AR220" i="63"/>
  <c r="M220" i="63"/>
  <c r="AC220" i="63"/>
  <c r="AS220" i="63"/>
  <c r="N220" i="63"/>
  <c r="AD220" i="63"/>
  <c r="AT220" i="63"/>
  <c r="O220" i="63"/>
  <c r="AE220" i="63"/>
  <c r="AU220" i="63"/>
  <c r="P220" i="63"/>
  <c r="AF220" i="63"/>
  <c r="AV220" i="63"/>
  <c r="Q220" i="63"/>
  <c r="AG220" i="63"/>
  <c r="AW220" i="63"/>
  <c r="B220" i="63"/>
  <c r="R220" i="63"/>
  <c r="AH220" i="63"/>
  <c r="AX220" i="63"/>
  <c r="C220" i="63"/>
  <c r="S220" i="63"/>
  <c r="AI220" i="63"/>
  <c r="AY220" i="63"/>
  <c r="D220" i="63"/>
  <c r="T220" i="63"/>
  <c r="AJ220" i="63"/>
  <c r="E220" i="63"/>
  <c r="U220" i="63"/>
  <c r="AK220" i="63"/>
  <c r="F220" i="63"/>
  <c r="V220" i="63"/>
  <c r="AL220" i="63"/>
  <c r="G220" i="63"/>
  <c r="H220" i="63"/>
  <c r="I220" i="63"/>
  <c r="W220" i="63"/>
  <c r="X220" i="63"/>
  <c r="Y220" i="63"/>
  <c r="AE220" i="65" s="1"/>
  <c r="AM220" i="63"/>
  <c r="AN220" i="63"/>
  <c r="AO220" i="63"/>
  <c r="M219" i="65"/>
  <c r="Y219" i="65"/>
  <c r="H219" i="65"/>
  <c r="U219" i="65"/>
  <c r="S219" i="65"/>
  <c r="A221" i="63"/>
  <c r="N220" i="65" l="1"/>
  <c r="AD220" i="65"/>
  <c r="AC220" i="65"/>
  <c r="O220" i="65"/>
  <c r="J220" i="65"/>
  <c r="D220" i="65"/>
  <c r="K220" i="65"/>
  <c r="P220" i="65"/>
  <c r="X220" i="65"/>
  <c r="T220" i="65"/>
  <c r="Z220" i="65"/>
  <c r="AA220" i="65"/>
  <c r="AB220" i="65"/>
  <c r="I220" i="65"/>
  <c r="V220" i="65"/>
  <c r="G220" i="65"/>
  <c r="W220" i="65"/>
  <c r="B220" i="65"/>
  <c r="AN221" i="63"/>
  <c r="I221" i="63"/>
  <c r="AO221" i="63"/>
  <c r="J221" i="63"/>
  <c r="Z221" i="63"/>
  <c r="AP221" i="63"/>
  <c r="K221" i="63"/>
  <c r="AQ221" i="63"/>
  <c r="L221" i="63"/>
  <c r="AR221" i="63"/>
  <c r="M221" i="63"/>
  <c r="AC221" i="63"/>
  <c r="AS221" i="63"/>
  <c r="N221" i="63"/>
  <c r="AD221" i="63"/>
  <c r="AT221" i="63"/>
  <c r="O221" i="63"/>
  <c r="AE221" i="63"/>
  <c r="AU221" i="63"/>
  <c r="P221" i="63"/>
  <c r="AF221" i="63"/>
  <c r="AV221" i="63"/>
  <c r="AG221" i="63"/>
  <c r="AW221" i="63"/>
  <c r="AH221" i="63"/>
  <c r="AX221" i="63"/>
  <c r="S221" i="63"/>
  <c r="AI221" i="63"/>
  <c r="AY221" i="63"/>
  <c r="T221" i="63"/>
  <c r="AJ221" i="63"/>
  <c r="AK221" i="63"/>
  <c r="AL221" i="63"/>
  <c r="AM221" i="63"/>
  <c r="U221" i="63"/>
  <c r="V221" i="63"/>
  <c r="D221" i="65" s="1"/>
  <c r="Y220" i="65"/>
  <c r="S220" i="65"/>
  <c r="U220" i="65"/>
  <c r="M220" i="65"/>
  <c r="H220" i="65"/>
  <c r="A222" i="63"/>
  <c r="P37" i="5"/>
  <c r="AC221" i="65" l="1"/>
  <c r="P221" i="65"/>
  <c r="K221" i="65"/>
  <c r="W221" i="65"/>
  <c r="I221" i="65"/>
  <c r="V221" i="65"/>
  <c r="G221" i="65"/>
  <c r="O221" i="65"/>
  <c r="AA221" i="65"/>
  <c r="Z221" i="65"/>
  <c r="V222" i="63"/>
  <c r="AL222" i="63"/>
  <c r="AM222" i="63"/>
  <c r="AN222" i="63"/>
  <c r="AO222" i="63"/>
  <c r="J222" i="63"/>
  <c r="Z222" i="63"/>
  <c r="AP222" i="63"/>
  <c r="AQ222" i="63"/>
  <c r="L222" i="63"/>
  <c r="AR222" i="63"/>
  <c r="M222" i="63"/>
  <c r="AC222" i="63"/>
  <c r="AS222" i="63"/>
  <c r="N222" i="63"/>
  <c r="AD222" i="63"/>
  <c r="AT222" i="63"/>
  <c r="O222" i="63"/>
  <c r="AE222" i="63"/>
  <c r="AU222" i="63"/>
  <c r="P222" i="63"/>
  <c r="AF222" i="63"/>
  <c r="AV222" i="63"/>
  <c r="AG222" i="63"/>
  <c r="AW222" i="63"/>
  <c r="AH222" i="63"/>
  <c r="AX222" i="63"/>
  <c r="T222" i="63"/>
  <c r="U222" i="63"/>
  <c r="AI222" i="63"/>
  <c r="AJ222" i="63"/>
  <c r="AK222" i="63"/>
  <c r="AY222" i="63"/>
  <c r="S221" i="65"/>
  <c r="H221" i="65"/>
  <c r="M221" i="65"/>
  <c r="Y221" i="65"/>
  <c r="A223" i="63"/>
  <c r="Z222" i="65" l="1"/>
  <c r="AC222" i="65"/>
  <c r="D222" i="65"/>
  <c r="K222" i="65"/>
  <c r="G222" i="65"/>
  <c r="I222" i="65"/>
  <c r="W222" i="65"/>
  <c r="O222" i="65"/>
  <c r="AA222" i="65"/>
  <c r="P222" i="65"/>
  <c r="V222" i="65"/>
  <c r="D223" i="63"/>
  <c r="AJ223" i="63"/>
  <c r="E223" i="63"/>
  <c r="U223" i="63"/>
  <c r="AK223" i="63"/>
  <c r="F223" i="63"/>
  <c r="V223" i="63"/>
  <c r="AL223" i="63"/>
  <c r="G223" i="63"/>
  <c r="AM223" i="63"/>
  <c r="X223" i="63"/>
  <c r="AN223" i="63"/>
  <c r="Y223" i="63"/>
  <c r="AE223" i="65" s="1"/>
  <c r="AO223" i="63"/>
  <c r="J223" i="63"/>
  <c r="Z223" i="63"/>
  <c r="AP223" i="63"/>
  <c r="AQ223" i="63"/>
  <c r="L223" i="63"/>
  <c r="AR223" i="63"/>
  <c r="M223" i="63"/>
  <c r="AC223" i="63"/>
  <c r="AS223" i="63"/>
  <c r="N223" i="63"/>
  <c r="AD223" i="63"/>
  <c r="AT223" i="63"/>
  <c r="O223" i="63"/>
  <c r="AE223" i="63"/>
  <c r="AU223" i="63"/>
  <c r="P223" i="63"/>
  <c r="AF223" i="63"/>
  <c r="AV223" i="63"/>
  <c r="AG223" i="63"/>
  <c r="AH223" i="63"/>
  <c r="AI223" i="63"/>
  <c r="AW223" i="63"/>
  <c r="AX223" i="63"/>
  <c r="AY223" i="63"/>
  <c r="B223" i="63"/>
  <c r="C223" i="63"/>
  <c r="H222" i="65"/>
  <c r="A224" i="63"/>
  <c r="AD223" i="65" l="1"/>
  <c r="AC223" i="65"/>
  <c r="P223" i="65"/>
  <c r="O223" i="65"/>
  <c r="K223" i="65"/>
  <c r="D223" i="65"/>
  <c r="X223" i="65"/>
  <c r="T223" i="65"/>
  <c r="I223" i="65"/>
  <c r="Z223" i="65"/>
  <c r="V223" i="65"/>
  <c r="W223" i="65"/>
  <c r="B223" i="65"/>
  <c r="G223" i="65"/>
  <c r="B224" i="63"/>
  <c r="R224" i="63"/>
  <c r="AH224" i="63"/>
  <c r="AX224" i="63"/>
  <c r="C224" i="63"/>
  <c r="AI224" i="63"/>
  <c r="AY224" i="63"/>
  <c r="D224" i="63"/>
  <c r="AJ224" i="63"/>
  <c r="E224" i="63"/>
  <c r="U224" i="63"/>
  <c r="AK224" i="63"/>
  <c r="F224" i="63"/>
  <c r="V224" i="63"/>
  <c r="D224" i="65" s="1"/>
  <c r="AL224" i="63"/>
  <c r="G224" i="63"/>
  <c r="W224" i="63"/>
  <c r="AM224" i="63"/>
  <c r="H224" i="63"/>
  <c r="X224" i="63"/>
  <c r="AN224" i="63"/>
  <c r="Y224" i="63"/>
  <c r="AE224" i="65" s="1"/>
  <c r="AO224" i="63"/>
  <c r="J224" i="63"/>
  <c r="Z224" i="63"/>
  <c r="AP224" i="63"/>
  <c r="AQ224" i="63"/>
  <c r="L224" i="63"/>
  <c r="K224" i="65" s="1"/>
  <c r="AR224" i="63"/>
  <c r="M224" i="63"/>
  <c r="AC224" i="63"/>
  <c r="AS224" i="63"/>
  <c r="N224" i="63"/>
  <c r="AD224" i="63"/>
  <c r="AT224" i="63"/>
  <c r="AW224" i="63"/>
  <c r="O224" i="63"/>
  <c r="P224" i="63"/>
  <c r="Q224" i="63"/>
  <c r="AE224" i="63"/>
  <c r="AF224" i="63"/>
  <c r="AG224" i="63"/>
  <c r="AU224" i="63"/>
  <c r="AV224" i="63"/>
  <c r="M223" i="65"/>
  <c r="S223" i="65"/>
  <c r="U223" i="65"/>
  <c r="H223" i="65"/>
  <c r="A225" i="63"/>
  <c r="AD224" i="65" l="1"/>
  <c r="AB224" i="65"/>
  <c r="AC224" i="65"/>
  <c r="J224" i="65"/>
  <c r="X224" i="65"/>
  <c r="T224" i="65"/>
  <c r="W224" i="65"/>
  <c r="V224" i="65"/>
  <c r="P224" i="65"/>
  <c r="G224" i="65"/>
  <c r="B224" i="65"/>
  <c r="O224" i="65"/>
  <c r="I224" i="65"/>
  <c r="Z224" i="65"/>
  <c r="H224" i="65"/>
  <c r="P225" i="63"/>
  <c r="AF225" i="63"/>
  <c r="AV225" i="63"/>
  <c r="Q225" i="63"/>
  <c r="AG225" i="63"/>
  <c r="AW225" i="63"/>
  <c r="B225" i="63"/>
  <c r="R225" i="63"/>
  <c r="AH225" i="63"/>
  <c r="AX225" i="63"/>
  <c r="C225" i="63"/>
  <c r="S225" i="63"/>
  <c r="AI225" i="63"/>
  <c r="AY225" i="63"/>
  <c r="D225" i="63"/>
  <c r="AJ225" i="63"/>
  <c r="E225" i="63"/>
  <c r="U225" i="63"/>
  <c r="AK225" i="63"/>
  <c r="F225" i="63"/>
  <c r="V225" i="63"/>
  <c r="AL225" i="63"/>
  <c r="G225" i="63"/>
  <c r="W225" i="63"/>
  <c r="AM225" i="63"/>
  <c r="H225" i="63"/>
  <c r="X225" i="63"/>
  <c r="AN225" i="63"/>
  <c r="I225" i="63"/>
  <c r="Y225" i="63"/>
  <c r="AE225" i="65" s="1"/>
  <c r="AO225" i="63"/>
  <c r="J225" i="63"/>
  <c r="Z225" i="63"/>
  <c r="AP225" i="63"/>
  <c r="K225" i="63"/>
  <c r="AQ225" i="63"/>
  <c r="L225" i="63"/>
  <c r="AR225" i="63"/>
  <c r="N225" i="63"/>
  <c r="O225" i="63"/>
  <c r="AC225" i="63"/>
  <c r="AD225" i="63"/>
  <c r="AE225" i="63"/>
  <c r="AS225" i="63"/>
  <c r="AT225" i="63"/>
  <c r="AU225" i="63"/>
  <c r="M224" i="65"/>
  <c r="S224" i="65"/>
  <c r="U224" i="65"/>
  <c r="A226" i="63"/>
  <c r="AC225" i="65" l="1"/>
  <c r="AD225" i="65"/>
  <c r="O225" i="65"/>
  <c r="J225" i="65"/>
  <c r="K225" i="65"/>
  <c r="D225" i="65"/>
  <c r="X225" i="65"/>
  <c r="T225" i="65"/>
  <c r="B225" i="65"/>
  <c r="Z225" i="65"/>
  <c r="AB225" i="65"/>
  <c r="I225" i="65"/>
  <c r="G225" i="65"/>
  <c r="P225" i="65"/>
  <c r="V225" i="65"/>
  <c r="W225" i="65"/>
  <c r="N226" i="63"/>
  <c r="AD226" i="63"/>
  <c r="AT226" i="63"/>
  <c r="O226" i="63"/>
  <c r="AE226" i="63"/>
  <c r="AU226" i="63"/>
  <c r="P226" i="63"/>
  <c r="AF226" i="63"/>
  <c r="AV226" i="63"/>
  <c r="Q226" i="63"/>
  <c r="AG226" i="63"/>
  <c r="AW226" i="63"/>
  <c r="B226" i="63"/>
  <c r="R226" i="63"/>
  <c r="AH226" i="63"/>
  <c r="AX226" i="63"/>
  <c r="C226" i="63"/>
  <c r="S226" i="63"/>
  <c r="AI226" i="63"/>
  <c r="AY226" i="63"/>
  <c r="D226" i="63"/>
  <c r="T226" i="63"/>
  <c r="AJ226" i="63"/>
  <c r="E226" i="63"/>
  <c r="U226" i="63"/>
  <c r="AK226" i="63"/>
  <c r="F226" i="63"/>
  <c r="V226" i="63"/>
  <c r="AL226" i="63"/>
  <c r="G226" i="63"/>
  <c r="W226" i="63"/>
  <c r="AM226" i="63"/>
  <c r="H226" i="63"/>
  <c r="X226" i="63"/>
  <c r="AN226" i="63"/>
  <c r="I226" i="63"/>
  <c r="Y226" i="63"/>
  <c r="AE226" i="65" s="1"/>
  <c r="AO226" i="63"/>
  <c r="J226" i="63"/>
  <c r="Z226" i="63"/>
  <c r="AP226" i="63"/>
  <c r="AQ226" i="63"/>
  <c r="AR226" i="63"/>
  <c r="AS226" i="63"/>
  <c r="K226" i="63"/>
  <c r="L226" i="63"/>
  <c r="AC226" i="63"/>
  <c r="N225" i="65"/>
  <c r="Y225" i="65"/>
  <c r="H225" i="65"/>
  <c r="U225" i="65"/>
  <c r="S225" i="65"/>
  <c r="M225" i="65"/>
  <c r="A227" i="63"/>
  <c r="AD226" i="65" l="1"/>
  <c r="AB226" i="65"/>
  <c r="AC226" i="65"/>
  <c r="J226" i="65"/>
  <c r="P226" i="65"/>
  <c r="D226" i="65"/>
  <c r="K226" i="65"/>
  <c r="X226" i="65"/>
  <c r="T226" i="65"/>
  <c r="W226" i="65"/>
  <c r="G226" i="65"/>
  <c r="Z226" i="65"/>
  <c r="V226" i="65"/>
  <c r="O226" i="65"/>
  <c r="AA226" i="65"/>
  <c r="B226" i="65"/>
  <c r="I226" i="65"/>
  <c r="H226" i="65"/>
  <c r="L227" i="63"/>
  <c r="K227" i="65" s="1"/>
  <c r="AR227" i="63"/>
  <c r="AC227" i="63"/>
  <c r="AS227" i="63"/>
  <c r="N227" i="63"/>
  <c r="AD227" i="63"/>
  <c r="AT227" i="63"/>
  <c r="O227" i="63"/>
  <c r="AE227" i="63"/>
  <c r="AU227" i="63"/>
  <c r="P227" i="63"/>
  <c r="AF227" i="63"/>
  <c r="AV227" i="63"/>
  <c r="Q227" i="63"/>
  <c r="AG227" i="63"/>
  <c r="AW227" i="63"/>
  <c r="R227" i="63"/>
  <c r="AH227" i="63"/>
  <c r="AX227" i="63"/>
  <c r="S227" i="63"/>
  <c r="AI227" i="63"/>
  <c r="AY227" i="63"/>
  <c r="T227" i="63"/>
  <c r="AJ227" i="63"/>
  <c r="U227" i="63"/>
  <c r="AK227" i="63"/>
  <c r="V227" i="63"/>
  <c r="D227" i="65" s="1"/>
  <c r="AL227" i="63"/>
  <c r="W227" i="63"/>
  <c r="AM227" i="63"/>
  <c r="H227" i="63"/>
  <c r="AN227" i="63"/>
  <c r="I227" i="63"/>
  <c r="J227" i="63"/>
  <c r="K227" i="63"/>
  <c r="Z227" i="63"/>
  <c r="AO227" i="63"/>
  <c r="AP227" i="63"/>
  <c r="AQ227" i="63"/>
  <c r="N226" i="65"/>
  <c r="S226" i="65"/>
  <c r="M226" i="65"/>
  <c r="U226" i="65"/>
  <c r="Y226" i="65"/>
  <c r="A228" i="63"/>
  <c r="AB227" i="65" l="1"/>
  <c r="AC227" i="65"/>
  <c r="J227" i="65"/>
  <c r="G227" i="65"/>
  <c r="I227" i="65"/>
  <c r="W227" i="65"/>
  <c r="Z227" i="65"/>
  <c r="P227" i="65"/>
  <c r="V227" i="65"/>
  <c r="O227" i="65"/>
  <c r="AA227" i="65"/>
  <c r="J228" i="63"/>
  <c r="Z228" i="63"/>
  <c r="AP228" i="63"/>
  <c r="K228" i="63"/>
  <c r="AQ228" i="63"/>
  <c r="L228" i="63"/>
  <c r="AR228" i="63"/>
  <c r="M228" i="63"/>
  <c r="AC228" i="63"/>
  <c r="AS228" i="63"/>
  <c r="N228" i="63"/>
  <c r="AD228" i="63"/>
  <c r="AT228" i="63"/>
  <c r="O228" i="63"/>
  <c r="AE228" i="63"/>
  <c r="AU228" i="63"/>
  <c r="P228" i="63"/>
  <c r="AF228" i="63"/>
  <c r="AV228" i="63"/>
  <c r="AG228" i="63"/>
  <c r="AW228" i="63"/>
  <c r="AH228" i="63"/>
  <c r="AX228" i="63"/>
  <c r="S228" i="63"/>
  <c r="AI228" i="63"/>
  <c r="AY228" i="63"/>
  <c r="T228" i="63"/>
  <c r="AJ228" i="63"/>
  <c r="U228" i="63"/>
  <c r="AK228" i="63"/>
  <c r="V228" i="63"/>
  <c r="AL228" i="63"/>
  <c r="AM228" i="63"/>
  <c r="AN228" i="63"/>
  <c r="AO228" i="63"/>
  <c r="W228" i="63"/>
  <c r="H228" i="63"/>
  <c r="I228" i="63"/>
  <c r="M227" i="65"/>
  <c r="S227" i="65"/>
  <c r="N227" i="65"/>
  <c r="H227" i="65"/>
  <c r="Y227" i="65"/>
  <c r="A229" i="63"/>
  <c r="AC228" i="65" l="1"/>
  <c r="O228" i="65"/>
  <c r="P228" i="65"/>
  <c r="J228" i="65"/>
  <c r="K228" i="65"/>
  <c r="D228" i="65"/>
  <c r="I228" i="65"/>
  <c r="Z228" i="65"/>
  <c r="AA228" i="65"/>
  <c r="G228" i="65"/>
  <c r="V228" i="65"/>
  <c r="W228" i="65"/>
  <c r="N228" i="65"/>
  <c r="H229" i="63"/>
  <c r="X229" i="63"/>
  <c r="AN229" i="63"/>
  <c r="I229" i="63"/>
  <c r="Y229" i="63"/>
  <c r="AO229" i="63"/>
  <c r="J229" i="63"/>
  <c r="Z229" i="63"/>
  <c r="AP229" i="63"/>
  <c r="AQ229" i="63"/>
  <c r="L229" i="63"/>
  <c r="K229" i="65" s="1"/>
  <c r="AR229" i="63"/>
  <c r="M229" i="63"/>
  <c r="AC229" i="63"/>
  <c r="AS229" i="63"/>
  <c r="N229" i="63"/>
  <c r="AD229" i="63"/>
  <c r="AT229" i="63"/>
  <c r="O229" i="63"/>
  <c r="AE229" i="63"/>
  <c r="AU229" i="63"/>
  <c r="P229" i="63"/>
  <c r="AF229" i="63"/>
  <c r="AV229" i="63"/>
  <c r="AG229" i="63"/>
  <c r="AW229" i="63"/>
  <c r="B229" i="63"/>
  <c r="AH229" i="63"/>
  <c r="AX229" i="63"/>
  <c r="C229" i="63"/>
  <c r="AI229" i="63"/>
  <c r="AY229" i="63"/>
  <c r="D229" i="63"/>
  <c r="T229" i="63"/>
  <c r="AJ229" i="63"/>
  <c r="E229" i="63"/>
  <c r="F229" i="63"/>
  <c r="G229" i="63"/>
  <c r="U229" i="63"/>
  <c r="V229" i="63"/>
  <c r="W229" i="63"/>
  <c r="AK229" i="63"/>
  <c r="AL229" i="63"/>
  <c r="AM229" i="63"/>
  <c r="Y228" i="65"/>
  <c r="S228" i="65"/>
  <c r="M228" i="65"/>
  <c r="H228" i="65"/>
  <c r="A230" i="63"/>
  <c r="T229" i="65" l="1"/>
  <c r="AD229" i="65"/>
  <c r="AE229" i="65"/>
  <c r="X229" i="65"/>
  <c r="AC229" i="65"/>
  <c r="J229" i="65"/>
  <c r="P229" i="65"/>
  <c r="D229" i="65"/>
  <c r="B229" i="65"/>
  <c r="W229" i="65"/>
  <c r="G229" i="65"/>
  <c r="V229" i="65"/>
  <c r="O229" i="65"/>
  <c r="AA229" i="65"/>
  <c r="I229" i="65"/>
  <c r="Z229" i="65"/>
  <c r="F230" i="63"/>
  <c r="V230" i="63"/>
  <c r="D230" i="65" s="1"/>
  <c r="AL230" i="63"/>
  <c r="G230" i="63"/>
  <c r="W230" i="63"/>
  <c r="AM230" i="63"/>
  <c r="H230" i="63"/>
  <c r="X230" i="63"/>
  <c r="AN230" i="63"/>
  <c r="I230" i="63"/>
  <c r="Y230" i="63"/>
  <c r="AE230" i="65" s="1"/>
  <c r="AO230" i="63"/>
  <c r="J230" i="63"/>
  <c r="Z230" i="63"/>
  <c r="AP230" i="63"/>
  <c r="AQ230" i="63"/>
  <c r="L230" i="63"/>
  <c r="K230" i="65" s="1"/>
  <c r="AR230" i="63"/>
  <c r="M230" i="63"/>
  <c r="AC230" i="63"/>
  <c r="AS230" i="63"/>
  <c r="N230" i="63"/>
  <c r="AD230" i="63"/>
  <c r="AT230" i="63"/>
  <c r="O230" i="63"/>
  <c r="AE230" i="63"/>
  <c r="AU230" i="63"/>
  <c r="P230" i="63"/>
  <c r="AF230" i="63"/>
  <c r="AV230" i="63"/>
  <c r="AG230" i="63"/>
  <c r="AW230" i="63"/>
  <c r="B230" i="63"/>
  <c r="AH230" i="63"/>
  <c r="AX230" i="63"/>
  <c r="E230" i="63"/>
  <c r="T230" i="63"/>
  <c r="U230" i="63"/>
  <c r="AI230" i="63"/>
  <c r="AJ230" i="63"/>
  <c r="AK230" i="63"/>
  <c r="AY230" i="63"/>
  <c r="C230" i="63"/>
  <c r="D230" i="63"/>
  <c r="S229" i="65"/>
  <c r="M229" i="65"/>
  <c r="H229" i="65"/>
  <c r="U229" i="65"/>
  <c r="N229" i="65"/>
  <c r="A231" i="63"/>
  <c r="Z230" i="65" l="1"/>
  <c r="AC230" i="65"/>
  <c r="AD230" i="65"/>
  <c r="T230" i="65"/>
  <c r="J230" i="65"/>
  <c r="X230" i="65"/>
  <c r="V230" i="65"/>
  <c r="B230" i="65"/>
  <c r="G230" i="65"/>
  <c r="I230" i="65"/>
  <c r="W230" i="65"/>
  <c r="O230" i="65"/>
  <c r="AA230" i="65"/>
  <c r="P230" i="65"/>
  <c r="D231" i="63"/>
  <c r="T231" i="63"/>
  <c r="AJ231" i="63"/>
  <c r="E231" i="63"/>
  <c r="U231" i="63"/>
  <c r="AK231" i="63"/>
  <c r="F231" i="63"/>
  <c r="V231" i="63"/>
  <c r="AL231" i="63"/>
  <c r="G231" i="63"/>
  <c r="W231" i="63"/>
  <c r="AM231" i="63"/>
  <c r="H231" i="63"/>
  <c r="X231" i="63"/>
  <c r="AN231" i="63"/>
  <c r="I231" i="63"/>
  <c r="Y231" i="63"/>
  <c r="AE231" i="65" s="1"/>
  <c r="AO231" i="63"/>
  <c r="J231" i="63"/>
  <c r="Z231" i="63"/>
  <c r="AP231" i="63"/>
  <c r="AQ231" i="63"/>
  <c r="L231" i="63"/>
  <c r="AR231" i="63"/>
  <c r="M231" i="63"/>
  <c r="AC231" i="63"/>
  <c r="AS231" i="63"/>
  <c r="N231" i="63"/>
  <c r="AD231" i="63"/>
  <c r="AT231" i="63"/>
  <c r="O231" i="63"/>
  <c r="AE231" i="63"/>
  <c r="AU231" i="63"/>
  <c r="P231" i="63"/>
  <c r="AF231" i="63"/>
  <c r="AV231" i="63"/>
  <c r="AW231" i="63"/>
  <c r="AX231" i="63"/>
  <c r="AY231" i="63"/>
  <c r="B231" i="63"/>
  <c r="C231" i="63"/>
  <c r="Q231" i="63"/>
  <c r="R231" i="63"/>
  <c r="AG231" i="63"/>
  <c r="AH231" i="63"/>
  <c r="AI231" i="63"/>
  <c r="S230" i="65"/>
  <c r="M230" i="65"/>
  <c r="U230" i="65"/>
  <c r="H230" i="65"/>
  <c r="N230" i="65"/>
  <c r="A232" i="63"/>
  <c r="AC231" i="65" l="1"/>
  <c r="AD231" i="65"/>
  <c r="O231" i="65"/>
  <c r="J231" i="65"/>
  <c r="K231" i="65"/>
  <c r="D231" i="65"/>
  <c r="X231" i="65"/>
  <c r="T231" i="65"/>
  <c r="AA231" i="65"/>
  <c r="AB231" i="65"/>
  <c r="I231" i="65"/>
  <c r="B231" i="65"/>
  <c r="V231" i="65"/>
  <c r="P231" i="65"/>
  <c r="W231" i="65"/>
  <c r="Z231" i="65"/>
  <c r="G231" i="65"/>
  <c r="H231" i="65"/>
  <c r="B232" i="63"/>
  <c r="R232" i="63"/>
  <c r="AH232" i="63"/>
  <c r="AX232" i="63"/>
  <c r="C232" i="63"/>
  <c r="S232" i="63"/>
  <c r="AI232" i="63"/>
  <c r="AY232" i="63"/>
  <c r="D232" i="63"/>
  <c r="T232" i="63"/>
  <c r="AJ232" i="63"/>
  <c r="E232" i="63"/>
  <c r="U232" i="63"/>
  <c r="AK232" i="63"/>
  <c r="F232" i="63"/>
  <c r="V232" i="63"/>
  <c r="AL232" i="63"/>
  <c r="G232" i="63"/>
  <c r="W232" i="63"/>
  <c r="AM232" i="63"/>
  <c r="H232" i="63"/>
  <c r="X232" i="63"/>
  <c r="AN232" i="63"/>
  <c r="I232" i="63"/>
  <c r="Y232" i="63"/>
  <c r="AO232" i="63"/>
  <c r="J232" i="63"/>
  <c r="Z232" i="63"/>
  <c r="AP232" i="63"/>
  <c r="K232" i="63"/>
  <c r="AQ232" i="63"/>
  <c r="L232" i="63"/>
  <c r="AR232" i="63"/>
  <c r="M232" i="63"/>
  <c r="AC232" i="63"/>
  <c r="AS232" i="63"/>
  <c r="N232" i="63"/>
  <c r="AD232" i="63"/>
  <c r="AT232" i="63"/>
  <c r="O232" i="63"/>
  <c r="P232" i="63"/>
  <c r="Q232" i="63"/>
  <c r="AE232" i="63"/>
  <c r="AF232" i="63"/>
  <c r="AG232" i="63"/>
  <c r="AU232" i="63"/>
  <c r="AV232" i="63"/>
  <c r="AW232" i="63"/>
  <c r="N231" i="65"/>
  <c r="U231" i="65"/>
  <c r="S231" i="65"/>
  <c r="M231" i="65"/>
  <c r="A233" i="63"/>
  <c r="AD232" i="65" l="1"/>
  <c r="AE232" i="65"/>
  <c r="AB232" i="65"/>
  <c r="AC232" i="65"/>
  <c r="D232" i="65"/>
  <c r="J232" i="65"/>
  <c r="K232" i="65"/>
  <c r="X232" i="65"/>
  <c r="T232" i="65"/>
  <c r="W232" i="65"/>
  <c r="B232" i="65"/>
  <c r="G232" i="65"/>
  <c r="O232" i="65"/>
  <c r="AA232" i="65"/>
  <c r="I232" i="65"/>
  <c r="P232" i="65"/>
  <c r="Z232" i="65"/>
  <c r="V232" i="65"/>
  <c r="P233" i="63"/>
  <c r="AF233" i="63"/>
  <c r="AV233" i="63"/>
  <c r="Q233" i="63"/>
  <c r="AG233" i="63"/>
  <c r="AW233" i="63"/>
  <c r="B233" i="63"/>
  <c r="R233" i="63"/>
  <c r="AH233" i="63"/>
  <c r="AX233" i="63"/>
  <c r="C233" i="63"/>
  <c r="S233" i="63"/>
  <c r="AI233" i="63"/>
  <c r="AY233" i="63"/>
  <c r="D233" i="63"/>
  <c r="T233" i="63"/>
  <c r="AJ233" i="63"/>
  <c r="E233" i="63"/>
  <c r="U233" i="63"/>
  <c r="AK233" i="63"/>
  <c r="F233" i="63"/>
  <c r="V233" i="63"/>
  <c r="AL233" i="63"/>
  <c r="G233" i="63"/>
  <c r="W233" i="63"/>
  <c r="AM233" i="63"/>
  <c r="H233" i="63"/>
  <c r="X233" i="63"/>
  <c r="AN233" i="63"/>
  <c r="I233" i="63"/>
  <c r="Y233" i="63"/>
  <c r="AE233" i="65" s="1"/>
  <c r="AO233" i="63"/>
  <c r="J233" i="63"/>
  <c r="Z233" i="63"/>
  <c r="AP233" i="63"/>
  <c r="K233" i="63"/>
  <c r="AQ233" i="63"/>
  <c r="L233" i="63"/>
  <c r="AR233" i="63"/>
  <c r="AD233" i="63"/>
  <c r="AE233" i="63"/>
  <c r="AS233" i="63"/>
  <c r="AT233" i="63"/>
  <c r="AU233" i="63"/>
  <c r="M233" i="63"/>
  <c r="O233" i="63"/>
  <c r="AC233" i="63"/>
  <c r="N233" i="63"/>
  <c r="Y232" i="65"/>
  <c r="N232" i="65"/>
  <c r="H232" i="65"/>
  <c r="U232" i="65"/>
  <c r="M232" i="65"/>
  <c r="S232" i="65"/>
  <c r="A234" i="63"/>
  <c r="AD233" i="65" l="1"/>
  <c r="AC233" i="65"/>
  <c r="O233" i="65"/>
  <c r="J233" i="65"/>
  <c r="K233" i="65"/>
  <c r="D233" i="65"/>
  <c r="X233" i="65"/>
  <c r="T233" i="65"/>
  <c r="B233" i="65"/>
  <c r="AA233" i="65"/>
  <c r="AB233" i="65"/>
  <c r="I233" i="65"/>
  <c r="Z233" i="65"/>
  <c r="P233" i="65"/>
  <c r="V233" i="65"/>
  <c r="W233" i="65"/>
  <c r="G233" i="65"/>
  <c r="N234" i="63"/>
  <c r="AD234" i="63"/>
  <c r="AT234" i="63"/>
  <c r="O234" i="63"/>
  <c r="AE234" i="63"/>
  <c r="AU234" i="63"/>
  <c r="P234" i="63"/>
  <c r="AF234" i="63"/>
  <c r="AV234" i="63"/>
  <c r="Q234" i="63"/>
  <c r="AG234" i="63"/>
  <c r="AW234" i="63"/>
  <c r="B234" i="63"/>
  <c r="R234" i="63"/>
  <c r="AH234" i="63"/>
  <c r="AX234" i="63"/>
  <c r="C234" i="63"/>
  <c r="S234" i="63"/>
  <c r="AI234" i="63"/>
  <c r="AY234" i="63"/>
  <c r="D234" i="63"/>
  <c r="T234" i="63"/>
  <c r="AJ234" i="63"/>
  <c r="E234" i="63"/>
  <c r="U234" i="63"/>
  <c r="AK234" i="63"/>
  <c r="F234" i="63"/>
  <c r="V234" i="63"/>
  <c r="AL234" i="63"/>
  <c r="G234" i="63"/>
  <c r="W234" i="63"/>
  <c r="AM234" i="63"/>
  <c r="H234" i="63"/>
  <c r="X234" i="63"/>
  <c r="AN234" i="63"/>
  <c r="I234" i="63"/>
  <c r="Y234" i="63"/>
  <c r="AE234" i="65" s="1"/>
  <c r="AO234" i="63"/>
  <c r="J234" i="63"/>
  <c r="Z234" i="63"/>
  <c r="AP234" i="63"/>
  <c r="K234" i="63"/>
  <c r="L234" i="63"/>
  <c r="K234" i="65" s="1"/>
  <c r="M234" i="63"/>
  <c r="AC234" i="63"/>
  <c r="AQ234" i="63"/>
  <c r="AR234" i="63"/>
  <c r="AS234" i="63"/>
  <c r="Y233" i="65"/>
  <c r="U233" i="65"/>
  <c r="M233" i="65"/>
  <c r="S233" i="65"/>
  <c r="N233" i="65"/>
  <c r="H233" i="65"/>
  <c r="A235" i="63"/>
  <c r="AD234" i="65" l="1"/>
  <c r="AB234" i="65"/>
  <c r="AC234" i="65"/>
  <c r="J234" i="65"/>
  <c r="P234" i="65"/>
  <c r="D234" i="65"/>
  <c r="X234" i="65"/>
  <c r="T234" i="65"/>
  <c r="W234" i="65"/>
  <c r="G234" i="65"/>
  <c r="V234" i="65"/>
  <c r="Z234" i="65"/>
  <c r="S234" i="65"/>
  <c r="O234" i="65"/>
  <c r="AA234" i="65"/>
  <c r="B234" i="65"/>
  <c r="I234" i="65"/>
  <c r="U234" i="65"/>
  <c r="Y234" i="65"/>
  <c r="L235" i="63"/>
  <c r="K235" i="65" s="1"/>
  <c r="AR235" i="63"/>
  <c r="M235" i="63"/>
  <c r="AC235" i="63"/>
  <c r="AS235" i="63"/>
  <c r="N235" i="63"/>
  <c r="AD235" i="63"/>
  <c r="AT235" i="63"/>
  <c r="O235" i="63"/>
  <c r="AE235" i="63"/>
  <c r="AU235" i="63"/>
  <c r="P235" i="63"/>
  <c r="AF235" i="63"/>
  <c r="AV235" i="63"/>
  <c r="AG235" i="63"/>
  <c r="AW235" i="63"/>
  <c r="AH235" i="63"/>
  <c r="AX235" i="63"/>
  <c r="S235" i="63"/>
  <c r="AI235" i="63"/>
  <c r="AY235" i="63"/>
  <c r="T235" i="63"/>
  <c r="AJ235" i="63"/>
  <c r="U235" i="63"/>
  <c r="AK235" i="63"/>
  <c r="V235" i="63"/>
  <c r="AL235" i="63"/>
  <c r="W235" i="63"/>
  <c r="AM235" i="63"/>
  <c r="H235" i="63"/>
  <c r="AN235" i="63"/>
  <c r="K235" i="63"/>
  <c r="Z235" i="63"/>
  <c r="AO235" i="63"/>
  <c r="AP235" i="63"/>
  <c r="AQ235" i="63"/>
  <c r="I235" i="63"/>
  <c r="J235" i="63"/>
  <c r="N234" i="65"/>
  <c r="M234" i="65"/>
  <c r="H234" i="65"/>
  <c r="A236" i="63"/>
  <c r="N235" i="65" l="1"/>
  <c r="AC235" i="65"/>
  <c r="D235" i="65"/>
  <c r="J235" i="65"/>
  <c r="I235" i="65"/>
  <c r="G235" i="65"/>
  <c r="O235" i="65"/>
  <c r="AA235" i="65"/>
  <c r="Z235" i="65"/>
  <c r="P235" i="65"/>
  <c r="V235" i="65"/>
  <c r="W235" i="65"/>
  <c r="H235" i="65"/>
  <c r="J236" i="63"/>
  <c r="Z236" i="63"/>
  <c r="AP236" i="63"/>
  <c r="AQ236" i="63"/>
  <c r="L236" i="63"/>
  <c r="AR236" i="63"/>
  <c r="M236" i="63"/>
  <c r="AC236" i="63"/>
  <c r="AS236" i="63"/>
  <c r="N236" i="63"/>
  <c r="AD236" i="63"/>
  <c r="AT236" i="63"/>
  <c r="O236" i="63"/>
  <c r="AE236" i="63"/>
  <c r="AU236" i="63"/>
  <c r="P236" i="63"/>
  <c r="AF236" i="63"/>
  <c r="AV236" i="63"/>
  <c r="AG236" i="63"/>
  <c r="AW236" i="63"/>
  <c r="AH236" i="63"/>
  <c r="AX236" i="63"/>
  <c r="AI236" i="63"/>
  <c r="AY236" i="63"/>
  <c r="T236" i="63"/>
  <c r="AJ236" i="63"/>
  <c r="U236" i="63"/>
  <c r="AK236" i="63"/>
  <c r="V236" i="63"/>
  <c r="AL236" i="63"/>
  <c r="H236" i="63"/>
  <c r="I236" i="63"/>
  <c r="W236" i="63"/>
  <c r="AM236" i="63"/>
  <c r="AN236" i="63"/>
  <c r="AO236" i="63"/>
  <c r="Y235" i="65"/>
  <c r="S235" i="65"/>
  <c r="M235" i="65"/>
  <c r="A237" i="63"/>
  <c r="AC236" i="65" l="1"/>
  <c r="D236" i="65"/>
  <c r="J236" i="65"/>
  <c r="K236" i="65"/>
  <c r="P236" i="65"/>
  <c r="G236" i="65"/>
  <c r="I236" i="65"/>
  <c r="Z236" i="65"/>
  <c r="V236" i="65"/>
  <c r="O236" i="65"/>
  <c r="AA236" i="65"/>
  <c r="W236" i="65"/>
  <c r="H237" i="63"/>
  <c r="X237" i="63"/>
  <c r="AN237" i="63"/>
  <c r="I237" i="63"/>
  <c r="Y237" i="63"/>
  <c r="AE237" i="65" s="1"/>
  <c r="AO237" i="63"/>
  <c r="J237" i="63"/>
  <c r="Z237" i="63"/>
  <c r="AP237" i="63"/>
  <c r="AQ237" i="63"/>
  <c r="L237" i="63"/>
  <c r="AR237" i="63"/>
  <c r="M237" i="63"/>
  <c r="AC237" i="63"/>
  <c r="AS237" i="63"/>
  <c r="N237" i="63"/>
  <c r="AD237" i="63"/>
  <c r="AT237" i="63"/>
  <c r="O237" i="63"/>
  <c r="AE237" i="63"/>
  <c r="AU237" i="63"/>
  <c r="P237" i="63"/>
  <c r="AF237" i="63"/>
  <c r="AV237" i="63"/>
  <c r="AG237" i="63"/>
  <c r="AW237" i="63"/>
  <c r="B237" i="63"/>
  <c r="AH237" i="63"/>
  <c r="AX237" i="63"/>
  <c r="C237" i="63"/>
  <c r="AI237" i="63"/>
  <c r="AY237" i="63"/>
  <c r="D237" i="63"/>
  <c r="V237" i="65" s="1"/>
  <c r="T237" i="63"/>
  <c r="AJ237" i="63"/>
  <c r="E237" i="63"/>
  <c r="F237" i="63"/>
  <c r="G237" i="63"/>
  <c r="U237" i="63"/>
  <c r="V237" i="63"/>
  <c r="D237" i="65" s="1"/>
  <c r="W237" i="63"/>
  <c r="AK237" i="63"/>
  <c r="AL237" i="63"/>
  <c r="AM237" i="63"/>
  <c r="S236" i="65"/>
  <c r="M236" i="65"/>
  <c r="N236" i="65"/>
  <c r="H236" i="65"/>
  <c r="A238" i="63"/>
  <c r="D96" i="5"/>
  <c r="AD237" i="65" l="1"/>
  <c r="AC237" i="65"/>
  <c r="J237" i="65"/>
  <c r="K237" i="65"/>
  <c r="X237" i="65"/>
  <c r="T237" i="65"/>
  <c r="W237" i="65"/>
  <c r="B237" i="65"/>
  <c r="P237" i="65"/>
  <c r="G237" i="65"/>
  <c r="I237" i="65"/>
  <c r="O237" i="65"/>
  <c r="AA237" i="65"/>
  <c r="Z237" i="65"/>
  <c r="F238" i="63"/>
  <c r="AL238" i="63"/>
  <c r="G238" i="63"/>
  <c r="W238" i="63"/>
  <c r="AM238" i="63"/>
  <c r="H238" i="63"/>
  <c r="X238" i="63"/>
  <c r="AN238" i="63"/>
  <c r="I238" i="63"/>
  <c r="Y238" i="63"/>
  <c r="AO238" i="63"/>
  <c r="J238" i="63"/>
  <c r="Z238" i="63"/>
  <c r="AP238" i="63"/>
  <c r="AQ238" i="63"/>
  <c r="L238" i="63"/>
  <c r="K238" i="65" s="1"/>
  <c r="AR238" i="63"/>
  <c r="M238" i="63"/>
  <c r="AC238" i="63"/>
  <c r="AS238" i="63"/>
  <c r="AD238" i="63"/>
  <c r="AT238" i="63"/>
  <c r="O238" i="63"/>
  <c r="AE238" i="63"/>
  <c r="AU238" i="63"/>
  <c r="P238" i="63"/>
  <c r="AF238" i="63"/>
  <c r="AV238" i="63"/>
  <c r="Q238" i="63"/>
  <c r="AG238" i="63"/>
  <c r="AW238" i="63"/>
  <c r="B238" i="63"/>
  <c r="R238" i="63"/>
  <c r="AH238" i="63"/>
  <c r="AX238" i="63"/>
  <c r="AJ238" i="63"/>
  <c r="AK238" i="63"/>
  <c r="AY238" i="63"/>
  <c r="C238" i="63"/>
  <c r="D238" i="63"/>
  <c r="E238" i="63"/>
  <c r="U238" i="63"/>
  <c r="AI238" i="63"/>
  <c r="T238" i="63"/>
  <c r="M237" i="65"/>
  <c r="H237" i="65"/>
  <c r="U237" i="65"/>
  <c r="N237" i="65"/>
  <c r="S237" i="65"/>
  <c r="A239" i="63"/>
  <c r="E96" i="5"/>
  <c r="P238" i="65" l="1"/>
  <c r="AD238" i="65"/>
  <c r="AE238" i="65"/>
  <c r="Z238" i="65"/>
  <c r="AB238" i="65"/>
  <c r="AC238" i="65"/>
  <c r="W238" i="65"/>
  <c r="X238" i="65"/>
  <c r="T238" i="65"/>
  <c r="B238" i="65"/>
  <c r="G238" i="65"/>
  <c r="I238" i="65"/>
  <c r="O238" i="65"/>
  <c r="AA238" i="65"/>
  <c r="V238" i="65"/>
  <c r="D239" i="63"/>
  <c r="T239" i="63"/>
  <c r="AJ239" i="63"/>
  <c r="E239" i="63"/>
  <c r="U239" i="63"/>
  <c r="AK239" i="63"/>
  <c r="F239" i="63"/>
  <c r="AL239" i="63"/>
  <c r="G239" i="63"/>
  <c r="W239" i="63"/>
  <c r="AM239" i="63"/>
  <c r="H239" i="63"/>
  <c r="X239" i="63"/>
  <c r="AN239" i="63"/>
  <c r="I239" i="63"/>
  <c r="Y239" i="63"/>
  <c r="AE239" i="65" s="1"/>
  <c r="AO239" i="63"/>
  <c r="J239" i="63"/>
  <c r="Z239" i="63"/>
  <c r="AP239" i="63"/>
  <c r="K239" i="63"/>
  <c r="AQ239" i="63"/>
  <c r="L239" i="63"/>
  <c r="AR239" i="63"/>
  <c r="M239" i="63"/>
  <c r="AC239" i="63"/>
  <c r="AS239" i="63"/>
  <c r="AD239" i="63"/>
  <c r="AT239" i="63"/>
  <c r="AE239" i="63"/>
  <c r="AU239" i="63"/>
  <c r="P239" i="63"/>
  <c r="AF239" i="63"/>
  <c r="AV239" i="63"/>
  <c r="B239" i="63"/>
  <c r="C239" i="63"/>
  <c r="Q239" i="63"/>
  <c r="R239" i="63"/>
  <c r="S239" i="63"/>
  <c r="AG239" i="63"/>
  <c r="AH239" i="63"/>
  <c r="AI239" i="63"/>
  <c r="AW239" i="63"/>
  <c r="AX239" i="63"/>
  <c r="AY239" i="63"/>
  <c r="U238" i="65"/>
  <c r="N238" i="65"/>
  <c r="M238" i="65"/>
  <c r="H238" i="65"/>
  <c r="S238" i="65"/>
  <c r="A240" i="63"/>
  <c r="AC239" i="65" l="1"/>
  <c r="AD239" i="65"/>
  <c r="O239" i="65"/>
  <c r="D239" i="65"/>
  <c r="K239" i="65"/>
  <c r="X239" i="65"/>
  <c r="T239" i="65"/>
  <c r="P239" i="65"/>
  <c r="AA239" i="65"/>
  <c r="AB239" i="65"/>
  <c r="I239" i="65"/>
  <c r="V239" i="65"/>
  <c r="Z239" i="65"/>
  <c r="B239" i="65"/>
  <c r="W239" i="65"/>
  <c r="G239" i="65"/>
  <c r="B240" i="63"/>
  <c r="R240" i="63"/>
  <c r="AH240" i="63"/>
  <c r="AX240" i="63"/>
  <c r="C240" i="63"/>
  <c r="S240" i="63"/>
  <c r="AI240" i="63"/>
  <c r="AY240" i="63"/>
  <c r="D240" i="63"/>
  <c r="T240" i="63"/>
  <c r="AJ240" i="63"/>
  <c r="E240" i="63"/>
  <c r="U240" i="63"/>
  <c r="AK240" i="63"/>
  <c r="F240" i="63"/>
  <c r="AL240" i="63"/>
  <c r="G240" i="63"/>
  <c r="W240" i="63"/>
  <c r="AM240" i="63"/>
  <c r="H240" i="63"/>
  <c r="X240" i="63"/>
  <c r="AN240" i="63"/>
  <c r="I240" i="63"/>
  <c r="M240" i="65" s="1"/>
  <c r="Y240" i="63"/>
  <c r="AE240" i="65" s="1"/>
  <c r="AO240" i="63"/>
  <c r="J240" i="63"/>
  <c r="Z240" i="63"/>
  <c r="AP240" i="63"/>
  <c r="K240" i="63"/>
  <c r="AQ240" i="63"/>
  <c r="L240" i="63"/>
  <c r="AR240" i="63"/>
  <c r="M240" i="63"/>
  <c r="AC240" i="63"/>
  <c r="AS240" i="63"/>
  <c r="AD240" i="63"/>
  <c r="AT240" i="63"/>
  <c r="Q240" i="63"/>
  <c r="AE240" i="63"/>
  <c r="AF240" i="63"/>
  <c r="AG240" i="63"/>
  <c r="AU240" i="63"/>
  <c r="AV240" i="63"/>
  <c r="AW240" i="63"/>
  <c r="P240" i="63"/>
  <c r="H239" i="65"/>
  <c r="N239" i="65"/>
  <c r="Y239" i="65"/>
  <c r="U239" i="65"/>
  <c r="S239" i="65"/>
  <c r="M239" i="65"/>
  <c r="A241" i="63"/>
  <c r="AB240" i="65" l="1"/>
  <c r="AD240" i="65"/>
  <c r="AC240" i="65"/>
  <c r="K240" i="65"/>
  <c r="B240" i="65"/>
  <c r="X240" i="65"/>
  <c r="S240" i="65"/>
  <c r="T240" i="65"/>
  <c r="W240" i="65"/>
  <c r="V240" i="65"/>
  <c r="P240" i="65"/>
  <c r="Z240" i="65"/>
  <c r="I240" i="65"/>
  <c r="O240" i="65"/>
  <c r="AA240" i="65"/>
  <c r="G240" i="65"/>
  <c r="P241" i="63"/>
  <c r="AF241" i="63"/>
  <c r="AV241" i="63"/>
  <c r="Q241" i="63"/>
  <c r="AG241" i="63"/>
  <c r="AW241" i="63"/>
  <c r="R241" i="63"/>
  <c r="AH241" i="63"/>
  <c r="AX241" i="63"/>
  <c r="S241" i="63"/>
  <c r="AI241" i="63"/>
  <c r="AY241" i="63"/>
  <c r="T241" i="63"/>
  <c r="AJ241" i="63"/>
  <c r="U241" i="63"/>
  <c r="AK241" i="63"/>
  <c r="V241" i="63"/>
  <c r="AL241" i="63"/>
  <c r="W241" i="63"/>
  <c r="AM241" i="63"/>
  <c r="H241" i="63"/>
  <c r="AN241" i="63"/>
  <c r="I241" i="63"/>
  <c r="AO241" i="63"/>
  <c r="J241" i="63"/>
  <c r="Z241" i="63"/>
  <c r="AP241" i="63"/>
  <c r="K241" i="63"/>
  <c r="AQ241" i="63"/>
  <c r="L241" i="63"/>
  <c r="AR241" i="63"/>
  <c r="M241" i="63"/>
  <c r="N241" i="63"/>
  <c r="AC241" i="63"/>
  <c r="AD241" i="63"/>
  <c r="AE241" i="63"/>
  <c r="AS241" i="63"/>
  <c r="AU241" i="63"/>
  <c r="AT241" i="63"/>
  <c r="N240" i="65"/>
  <c r="Y240" i="65"/>
  <c r="U240" i="65"/>
  <c r="H240" i="65"/>
  <c r="A242" i="63"/>
  <c r="AC241" i="65" l="1"/>
  <c r="O241" i="65"/>
  <c r="J241" i="65"/>
  <c r="K241" i="65"/>
  <c r="D241" i="65"/>
  <c r="Z241" i="65"/>
  <c r="I241" i="65"/>
  <c r="AA241" i="65"/>
  <c r="AB241" i="65"/>
  <c r="P241" i="65"/>
  <c r="V241" i="65"/>
  <c r="W241" i="65"/>
  <c r="G241" i="65"/>
  <c r="N242" i="63"/>
  <c r="AD242" i="63"/>
  <c r="AT242" i="63"/>
  <c r="O242" i="63"/>
  <c r="AE242" i="63"/>
  <c r="AU242" i="63"/>
  <c r="P242" i="63"/>
  <c r="AF242" i="63"/>
  <c r="AV242" i="63"/>
  <c r="AG242" i="63"/>
  <c r="AW242" i="63"/>
  <c r="AH242" i="63"/>
  <c r="AX242" i="63"/>
  <c r="S242" i="63"/>
  <c r="AI242" i="63"/>
  <c r="AY242" i="63"/>
  <c r="T242" i="63"/>
  <c r="AJ242" i="63"/>
  <c r="U242" i="63"/>
  <c r="AK242" i="63"/>
  <c r="V242" i="63"/>
  <c r="AL242" i="63"/>
  <c r="W242" i="63"/>
  <c r="AM242" i="63"/>
  <c r="H242" i="63"/>
  <c r="AN242" i="63"/>
  <c r="I242" i="63"/>
  <c r="AO242" i="63"/>
  <c r="J242" i="63"/>
  <c r="Z242" i="63"/>
  <c r="AP242" i="63"/>
  <c r="K242" i="63"/>
  <c r="L242" i="63"/>
  <c r="M242" i="63"/>
  <c r="AC242" i="63"/>
  <c r="AQ242" i="63"/>
  <c r="AR242" i="63"/>
  <c r="AS242" i="63"/>
  <c r="S241" i="65"/>
  <c r="N241" i="65"/>
  <c r="M241" i="65"/>
  <c r="Y241" i="65"/>
  <c r="H241" i="65"/>
  <c r="A243" i="63"/>
  <c r="N242" i="65" l="1"/>
  <c r="AC242" i="65"/>
  <c r="J242" i="65"/>
  <c r="K242" i="65"/>
  <c r="D242" i="65"/>
  <c r="I242" i="65"/>
  <c r="W242" i="65"/>
  <c r="V242" i="65"/>
  <c r="O242" i="65"/>
  <c r="AA242" i="65"/>
  <c r="P242" i="65"/>
  <c r="Z242" i="65"/>
  <c r="G242" i="65"/>
  <c r="L243" i="63"/>
  <c r="K243" i="65" s="1"/>
  <c r="AR243" i="63"/>
  <c r="M243" i="63"/>
  <c r="AC243" i="63"/>
  <c r="AS243" i="63"/>
  <c r="N243" i="63"/>
  <c r="AD243" i="63"/>
  <c r="AT243" i="63"/>
  <c r="O243" i="63"/>
  <c r="AE243" i="63"/>
  <c r="AU243" i="63"/>
  <c r="P243" i="63"/>
  <c r="AF243" i="63"/>
  <c r="AV243" i="63"/>
  <c r="AG243" i="63"/>
  <c r="AW243" i="63"/>
  <c r="B243" i="63"/>
  <c r="AH243" i="63"/>
  <c r="AX243" i="63"/>
  <c r="C243" i="63"/>
  <c r="AI243" i="63"/>
  <c r="AY243" i="63"/>
  <c r="D243" i="63"/>
  <c r="T243" i="63"/>
  <c r="AJ243" i="63"/>
  <c r="E243" i="63"/>
  <c r="U243" i="63"/>
  <c r="AK243" i="63"/>
  <c r="F243" i="63"/>
  <c r="V243" i="63"/>
  <c r="D243" i="65" s="1"/>
  <c r="AL243" i="63"/>
  <c r="G243" i="63"/>
  <c r="W243" i="63"/>
  <c r="AM243" i="63"/>
  <c r="H243" i="63"/>
  <c r="X243" i="63"/>
  <c r="AN243" i="63"/>
  <c r="AP243" i="63"/>
  <c r="AQ243" i="63"/>
  <c r="I243" i="63"/>
  <c r="J243" i="63"/>
  <c r="Y243" i="63"/>
  <c r="AE243" i="65" s="1"/>
  <c r="Z243" i="63"/>
  <c r="AO243" i="63"/>
  <c r="H242" i="65"/>
  <c r="S242" i="65"/>
  <c r="Y242" i="65"/>
  <c r="M242" i="65"/>
  <c r="A244" i="63"/>
  <c r="AC243" i="65" l="1"/>
  <c r="AD243" i="65"/>
  <c r="J243" i="65"/>
  <c r="X243" i="65"/>
  <c r="T243" i="65"/>
  <c r="G243" i="65"/>
  <c r="B243" i="65"/>
  <c r="W243" i="65"/>
  <c r="I243" i="65"/>
  <c r="Z243" i="65"/>
  <c r="O243" i="65"/>
  <c r="AA243" i="65"/>
  <c r="P243" i="65"/>
  <c r="V243" i="65"/>
  <c r="M243" i="65"/>
  <c r="J244" i="63"/>
  <c r="Z244" i="63"/>
  <c r="AP244" i="63"/>
  <c r="AQ244" i="63"/>
  <c r="L244" i="63"/>
  <c r="AR244" i="63"/>
  <c r="M244" i="63"/>
  <c r="AC244" i="63"/>
  <c r="AS244" i="63"/>
  <c r="N244" i="63"/>
  <c r="AD244" i="63"/>
  <c r="AT244" i="63"/>
  <c r="O244" i="63"/>
  <c r="AE244" i="63"/>
  <c r="AU244" i="63"/>
  <c r="P244" i="63"/>
  <c r="AF244" i="63"/>
  <c r="AV244" i="63"/>
  <c r="AG244" i="63"/>
  <c r="AW244" i="63"/>
  <c r="B244" i="63"/>
  <c r="AH244" i="63"/>
  <c r="AX244" i="63"/>
  <c r="C244" i="63"/>
  <c r="AI244" i="63"/>
  <c r="AY244" i="63"/>
  <c r="D244" i="63"/>
  <c r="AJ244" i="63"/>
  <c r="E244" i="63"/>
  <c r="U244" i="63"/>
  <c r="AK244" i="63"/>
  <c r="F244" i="63"/>
  <c r="V244" i="63"/>
  <c r="AL244" i="63"/>
  <c r="G244" i="63"/>
  <c r="H244" i="63"/>
  <c r="I244" i="63"/>
  <c r="W244" i="63"/>
  <c r="X244" i="63"/>
  <c r="Y244" i="63"/>
  <c r="AE244" i="65" s="1"/>
  <c r="AM244" i="63"/>
  <c r="AN244" i="63"/>
  <c r="AO244" i="63"/>
  <c r="N243" i="65"/>
  <c r="S243" i="65"/>
  <c r="H243" i="65"/>
  <c r="U243" i="65"/>
  <c r="A245" i="63"/>
  <c r="AC244" i="65" l="1"/>
  <c r="AD244" i="65"/>
  <c r="J244" i="65"/>
  <c r="K244" i="65"/>
  <c r="D244" i="65"/>
  <c r="X244" i="65"/>
  <c r="T244" i="65"/>
  <c r="P244" i="65"/>
  <c r="I244" i="65"/>
  <c r="Z244" i="65"/>
  <c r="O244" i="65"/>
  <c r="G244" i="65"/>
  <c r="V244" i="65"/>
  <c r="W244" i="65"/>
  <c r="B244" i="65"/>
  <c r="H245" i="63"/>
  <c r="X245" i="63"/>
  <c r="AN245" i="63"/>
  <c r="I245" i="63"/>
  <c r="Y245" i="63"/>
  <c r="AE245" i="65" s="1"/>
  <c r="AO245" i="63"/>
  <c r="J245" i="63"/>
  <c r="Z245" i="63"/>
  <c r="AP245" i="63"/>
  <c r="AQ245" i="63"/>
  <c r="L245" i="63"/>
  <c r="K245" i="65" s="1"/>
  <c r="AR245" i="63"/>
  <c r="M245" i="63"/>
  <c r="AC245" i="63"/>
  <c r="AS245" i="63"/>
  <c r="N245" i="63"/>
  <c r="AD245" i="63"/>
  <c r="AT245" i="63"/>
  <c r="O245" i="63"/>
  <c r="AE245" i="63"/>
  <c r="AU245" i="63"/>
  <c r="P245" i="63"/>
  <c r="AF245" i="63"/>
  <c r="AV245" i="63"/>
  <c r="Q245" i="63"/>
  <c r="AG245" i="63"/>
  <c r="AW245" i="63"/>
  <c r="B245" i="63"/>
  <c r="R245" i="63"/>
  <c r="AH245" i="63"/>
  <c r="AX245" i="63"/>
  <c r="C245" i="63"/>
  <c r="AI245" i="63"/>
  <c r="AY245" i="63"/>
  <c r="D245" i="63"/>
  <c r="V245" i="65" s="1"/>
  <c r="AJ245" i="63"/>
  <c r="W245" i="63"/>
  <c r="AK245" i="63"/>
  <c r="AL245" i="63"/>
  <c r="AM245" i="63"/>
  <c r="E245" i="63"/>
  <c r="F245" i="63"/>
  <c r="G245" i="63"/>
  <c r="U245" i="63"/>
  <c r="V245" i="63"/>
  <c r="M244" i="65"/>
  <c r="U244" i="65"/>
  <c r="S244" i="65"/>
  <c r="N244" i="65"/>
  <c r="H244" i="65"/>
  <c r="A246" i="63"/>
  <c r="T245" i="65" l="1"/>
  <c r="AC245" i="65"/>
  <c r="AD245" i="65"/>
  <c r="AB245" i="65"/>
  <c r="J245" i="65"/>
  <c r="X245" i="65"/>
  <c r="D245" i="65"/>
  <c r="P245" i="65"/>
  <c r="G245" i="65"/>
  <c r="W245" i="65"/>
  <c r="O245" i="65"/>
  <c r="I245" i="65"/>
  <c r="B245" i="65"/>
  <c r="Z245" i="65"/>
  <c r="F246" i="63"/>
  <c r="V246" i="63"/>
  <c r="AL246" i="63"/>
  <c r="G246" i="63"/>
  <c r="W246" i="63"/>
  <c r="AM246" i="63"/>
  <c r="H246" i="63"/>
  <c r="G246" i="65" s="1"/>
  <c r="X246" i="63"/>
  <c r="AN246" i="63"/>
  <c r="I246" i="63"/>
  <c r="M246" i="65" s="1"/>
  <c r="Y246" i="63"/>
  <c r="AE246" i="65" s="1"/>
  <c r="AO246" i="63"/>
  <c r="J246" i="63"/>
  <c r="Z246" i="63"/>
  <c r="AP246" i="63"/>
  <c r="K246" i="63"/>
  <c r="AQ246" i="63"/>
  <c r="L246" i="63"/>
  <c r="AR246" i="63"/>
  <c r="M246" i="63"/>
  <c r="AC246" i="63"/>
  <c r="AS246" i="63"/>
  <c r="N246" i="63"/>
  <c r="AD246" i="63"/>
  <c r="AT246" i="63"/>
  <c r="O246" i="63"/>
  <c r="AE246" i="63"/>
  <c r="AU246" i="63"/>
  <c r="P246" i="63"/>
  <c r="AF246" i="63"/>
  <c r="AV246" i="63"/>
  <c r="Q246" i="63"/>
  <c r="AG246" i="63"/>
  <c r="AW246" i="63"/>
  <c r="B246" i="63"/>
  <c r="R246" i="63"/>
  <c r="AH246" i="63"/>
  <c r="AX246" i="63"/>
  <c r="C246" i="63"/>
  <c r="D246" i="63"/>
  <c r="E246" i="63"/>
  <c r="S246" i="63"/>
  <c r="U246" i="63"/>
  <c r="AI246" i="63"/>
  <c r="AJ246" i="63"/>
  <c r="AK246" i="63"/>
  <c r="AY246" i="63"/>
  <c r="U245" i="65"/>
  <c r="S245" i="65"/>
  <c r="N245" i="65"/>
  <c r="M245" i="65"/>
  <c r="H245" i="65"/>
  <c r="A247" i="63"/>
  <c r="AD246" i="65" l="1"/>
  <c r="Z246" i="65"/>
  <c r="Y246" i="65"/>
  <c r="AB246" i="65"/>
  <c r="AC246" i="65"/>
  <c r="J246" i="65"/>
  <c r="K246" i="65"/>
  <c r="D246" i="65"/>
  <c r="B246" i="65"/>
  <c r="X246" i="65"/>
  <c r="T246" i="65"/>
  <c r="W246" i="65"/>
  <c r="P246" i="65"/>
  <c r="S246" i="65"/>
  <c r="I246" i="65"/>
  <c r="O246" i="65"/>
  <c r="V246" i="65"/>
  <c r="D247" i="63"/>
  <c r="T247" i="63"/>
  <c r="AJ247" i="63"/>
  <c r="E247" i="63"/>
  <c r="AK247" i="63"/>
  <c r="F247" i="63"/>
  <c r="V247" i="63"/>
  <c r="AL247" i="63"/>
  <c r="G247" i="63"/>
  <c r="W247" i="63"/>
  <c r="AM247" i="63"/>
  <c r="H247" i="63"/>
  <c r="X247" i="63"/>
  <c r="AN247" i="63"/>
  <c r="I247" i="63"/>
  <c r="Y247" i="63"/>
  <c r="AE247" i="65" s="1"/>
  <c r="AO247" i="63"/>
  <c r="J247" i="63"/>
  <c r="Z247" i="63"/>
  <c r="AP247" i="63"/>
  <c r="K247" i="63"/>
  <c r="AQ247" i="63"/>
  <c r="L247" i="63"/>
  <c r="AR247" i="63"/>
  <c r="M247" i="63"/>
  <c r="AC247" i="63"/>
  <c r="AS247" i="63"/>
  <c r="N247" i="63"/>
  <c r="AD247" i="63"/>
  <c r="AT247" i="63"/>
  <c r="O247" i="63"/>
  <c r="AE247" i="63"/>
  <c r="AU247" i="63"/>
  <c r="P247" i="63"/>
  <c r="AF247" i="63"/>
  <c r="AV247" i="63"/>
  <c r="Q247" i="63"/>
  <c r="R247" i="63"/>
  <c r="S247" i="63"/>
  <c r="AG247" i="63"/>
  <c r="AH247" i="63"/>
  <c r="AI247" i="63"/>
  <c r="AW247" i="63"/>
  <c r="AX247" i="63"/>
  <c r="AY247" i="63"/>
  <c r="C247" i="63"/>
  <c r="B247" i="63"/>
  <c r="N246" i="65"/>
  <c r="H246" i="65"/>
  <c r="U246" i="65"/>
  <c r="A248" i="63"/>
  <c r="N247" i="65" l="1"/>
  <c r="AD247" i="65"/>
  <c r="J247" i="65"/>
  <c r="O247" i="65"/>
  <c r="B247" i="65"/>
  <c r="K247" i="65"/>
  <c r="D247" i="65"/>
  <c r="X247" i="65"/>
  <c r="T247" i="65"/>
  <c r="AA247" i="65"/>
  <c r="AB247" i="65"/>
  <c r="I247" i="65"/>
  <c r="P247" i="65"/>
  <c r="V247" i="65"/>
  <c r="W247" i="65"/>
  <c r="Z247" i="65"/>
  <c r="G247" i="65"/>
  <c r="Y247" i="65"/>
  <c r="M247" i="65"/>
  <c r="B248" i="63"/>
  <c r="R248" i="63"/>
  <c r="AH248" i="63"/>
  <c r="AX248" i="63"/>
  <c r="C248" i="63"/>
  <c r="S248" i="63"/>
  <c r="AI248" i="63"/>
  <c r="AY248" i="63"/>
  <c r="D248" i="63"/>
  <c r="T248" i="63"/>
  <c r="AJ248" i="63"/>
  <c r="E248" i="63"/>
  <c r="AK248" i="63"/>
  <c r="F248" i="63"/>
  <c r="V248" i="63"/>
  <c r="AL248" i="63"/>
  <c r="G248" i="63"/>
  <c r="W248" i="63"/>
  <c r="AM248" i="63"/>
  <c r="H248" i="63"/>
  <c r="X248" i="63"/>
  <c r="AN248" i="63"/>
  <c r="I248" i="63"/>
  <c r="Y248" i="63"/>
  <c r="AE248" i="65" s="1"/>
  <c r="AO248" i="63"/>
  <c r="J248" i="63"/>
  <c r="Z248" i="63"/>
  <c r="AP248" i="63"/>
  <c r="K248" i="63"/>
  <c r="AQ248" i="63"/>
  <c r="L248" i="63"/>
  <c r="AR248" i="63"/>
  <c r="M248" i="63"/>
  <c r="AC248" i="63"/>
  <c r="AS248" i="63"/>
  <c r="N248" i="63"/>
  <c r="AD248" i="63"/>
  <c r="AT248" i="63"/>
  <c r="AV248" i="63"/>
  <c r="AW248" i="63"/>
  <c r="O248" i="63"/>
  <c r="Q248" i="63"/>
  <c r="AE248" i="63"/>
  <c r="AF248" i="63"/>
  <c r="AG248" i="63"/>
  <c r="AU248" i="63"/>
  <c r="S247" i="65"/>
  <c r="H247" i="65"/>
  <c r="U247" i="65"/>
  <c r="A249" i="63"/>
  <c r="AD248" i="65" l="1"/>
  <c r="AB248" i="65"/>
  <c r="J248" i="65"/>
  <c r="K248" i="65"/>
  <c r="D248" i="65"/>
  <c r="X248" i="65"/>
  <c r="T248" i="65"/>
  <c r="W248" i="65"/>
  <c r="B248" i="65"/>
  <c r="G248" i="65"/>
  <c r="O248" i="65"/>
  <c r="AA248" i="65"/>
  <c r="I248" i="65"/>
  <c r="Z248" i="65"/>
  <c r="P248" i="65"/>
  <c r="V248" i="65"/>
  <c r="Y248" i="65"/>
  <c r="AF249" i="63"/>
  <c r="AV249" i="63"/>
  <c r="AG249" i="63"/>
  <c r="AW249" i="63"/>
  <c r="AH249" i="63"/>
  <c r="AX249" i="63"/>
  <c r="S249" i="63"/>
  <c r="AI249" i="63"/>
  <c r="AY249" i="63"/>
  <c r="T249" i="63"/>
  <c r="AJ249" i="63"/>
  <c r="U249" i="63"/>
  <c r="AK249" i="63"/>
  <c r="V249" i="63"/>
  <c r="AL249" i="63"/>
  <c r="W249" i="63"/>
  <c r="AM249" i="63"/>
  <c r="H249" i="63"/>
  <c r="AN249" i="63"/>
  <c r="I249" i="63"/>
  <c r="AO249" i="63"/>
  <c r="J249" i="63"/>
  <c r="Z249" i="63"/>
  <c r="AP249" i="63"/>
  <c r="K249" i="63"/>
  <c r="AQ249" i="63"/>
  <c r="L249" i="63"/>
  <c r="AR249" i="63"/>
  <c r="M249" i="63"/>
  <c r="N249" i="63"/>
  <c r="O249" i="63"/>
  <c r="AC249" i="63"/>
  <c r="AD249" i="63"/>
  <c r="AE249" i="63"/>
  <c r="AS249" i="63"/>
  <c r="AT249" i="63"/>
  <c r="AU249" i="63"/>
  <c r="S248" i="65"/>
  <c r="U248" i="65"/>
  <c r="H248" i="65"/>
  <c r="N248" i="65"/>
  <c r="M248" i="65"/>
  <c r="A250" i="63"/>
  <c r="AC249" i="65" l="1"/>
  <c r="O249" i="65"/>
  <c r="P249" i="65"/>
  <c r="D249" i="65"/>
  <c r="K249" i="65"/>
  <c r="J249" i="65"/>
  <c r="Z249" i="65"/>
  <c r="AA249" i="65"/>
  <c r="I249" i="65"/>
  <c r="V249" i="65"/>
  <c r="W249" i="65"/>
  <c r="G249" i="65"/>
  <c r="N250" i="63"/>
  <c r="AD250" i="63"/>
  <c r="AT250" i="63"/>
  <c r="O250" i="63"/>
  <c r="AE250" i="63"/>
  <c r="AU250" i="63"/>
  <c r="AF250" i="63"/>
  <c r="AV250" i="63"/>
  <c r="AG250" i="63"/>
  <c r="AW250" i="63"/>
  <c r="AH250" i="63"/>
  <c r="AX250" i="63"/>
  <c r="AI250" i="63"/>
  <c r="AY250" i="63"/>
  <c r="T250" i="63"/>
  <c r="AJ250" i="63"/>
  <c r="U250" i="63"/>
  <c r="AK250" i="63"/>
  <c r="V250" i="63"/>
  <c r="AL250" i="63"/>
  <c r="W250" i="63"/>
  <c r="AM250" i="63"/>
  <c r="H250" i="63"/>
  <c r="AN250" i="63"/>
  <c r="I250" i="63"/>
  <c r="AO250" i="63"/>
  <c r="J250" i="63"/>
  <c r="Z250" i="63"/>
  <c r="AP250" i="63"/>
  <c r="AC250" i="63"/>
  <c r="AQ250" i="63"/>
  <c r="AR250" i="63"/>
  <c r="AS250" i="63"/>
  <c r="L250" i="63"/>
  <c r="M250" i="63"/>
  <c r="N249" i="65"/>
  <c r="M249" i="65"/>
  <c r="H249" i="65"/>
  <c r="Y249" i="65"/>
  <c r="S249" i="65"/>
  <c r="A251" i="63"/>
  <c r="J250" i="65" l="1"/>
  <c r="AC250" i="65"/>
  <c r="D250" i="65"/>
  <c r="K250" i="65"/>
  <c r="P250" i="65"/>
  <c r="W250" i="65"/>
  <c r="Z250" i="65"/>
  <c r="V250" i="65"/>
  <c r="O250" i="65"/>
  <c r="AA250" i="65"/>
  <c r="G250" i="65"/>
  <c r="I250" i="65"/>
  <c r="L251" i="63"/>
  <c r="K251" i="65" s="1"/>
  <c r="AR251" i="63"/>
  <c r="M251" i="63"/>
  <c r="AC251" i="63"/>
  <c r="AS251" i="63"/>
  <c r="N251" i="63"/>
  <c r="AD251" i="63"/>
  <c r="AT251" i="63"/>
  <c r="O251" i="63"/>
  <c r="AE251" i="63"/>
  <c r="AU251" i="63"/>
  <c r="P251" i="63"/>
  <c r="AF251" i="63"/>
  <c r="AV251" i="63"/>
  <c r="AG251" i="63"/>
  <c r="AW251" i="63"/>
  <c r="B251" i="63"/>
  <c r="AH251" i="63"/>
  <c r="C251" i="63"/>
  <c r="AI251" i="63"/>
  <c r="AY251" i="63"/>
  <c r="D251" i="63"/>
  <c r="T251" i="63"/>
  <c r="AJ251" i="63"/>
  <c r="E251" i="63"/>
  <c r="U251" i="63"/>
  <c r="AK251" i="63"/>
  <c r="F251" i="63"/>
  <c r="V251" i="63"/>
  <c r="D251" i="65" s="1"/>
  <c r="AL251" i="63"/>
  <c r="G251" i="63"/>
  <c r="AM251" i="63"/>
  <c r="X251" i="63"/>
  <c r="AN251" i="63"/>
  <c r="I251" i="63"/>
  <c r="M251" i="65" s="1"/>
  <c r="J251" i="63"/>
  <c r="Y251" i="63"/>
  <c r="AE251" i="65" s="1"/>
  <c r="Z251" i="63"/>
  <c r="AO251" i="63"/>
  <c r="AP251" i="63"/>
  <c r="AQ251" i="63"/>
  <c r="AX251" i="63"/>
  <c r="M250" i="65"/>
  <c r="S250" i="65"/>
  <c r="H250" i="65"/>
  <c r="N250" i="65"/>
  <c r="A252" i="63"/>
  <c r="AC251" i="65" l="1"/>
  <c r="AD251" i="65"/>
  <c r="T251" i="65"/>
  <c r="X251" i="65"/>
  <c r="G251" i="65"/>
  <c r="W251" i="65"/>
  <c r="B251" i="65"/>
  <c r="I251" i="65"/>
  <c r="P251" i="65"/>
  <c r="O251" i="65"/>
  <c r="AA251" i="65"/>
  <c r="V251" i="65"/>
  <c r="Z251" i="65"/>
  <c r="J252" i="63"/>
  <c r="Z252" i="63"/>
  <c r="AP252" i="63"/>
  <c r="AQ252" i="63"/>
  <c r="L252" i="63"/>
  <c r="AR252" i="63"/>
  <c r="M252" i="63"/>
  <c r="AC252" i="63"/>
  <c r="AS252" i="63"/>
  <c r="N252" i="63"/>
  <c r="AD252" i="63"/>
  <c r="AT252" i="63"/>
  <c r="O252" i="63"/>
  <c r="AE252" i="63"/>
  <c r="AU252" i="63"/>
  <c r="Q252" i="63"/>
  <c r="AG252" i="63"/>
  <c r="AW252" i="63"/>
  <c r="B252" i="63"/>
  <c r="C252" i="63"/>
  <c r="AI252" i="63"/>
  <c r="AY252" i="63"/>
  <c r="D252" i="63"/>
  <c r="E252" i="63"/>
  <c r="U252" i="63"/>
  <c r="AK252" i="63"/>
  <c r="F252" i="63"/>
  <c r="V252" i="63"/>
  <c r="D252" i="65" s="1"/>
  <c r="AL252" i="63"/>
  <c r="P252" i="63"/>
  <c r="R252" i="63"/>
  <c r="T252" i="63"/>
  <c r="X252" i="63"/>
  <c r="Y252" i="63"/>
  <c r="AE252" i="65" s="1"/>
  <c r="AF252" i="63"/>
  <c r="AH252" i="63"/>
  <c r="AJ252" i="63"/>
  <c r="AM252" i="63"/>
  <c r="AN252" i="63"/>
  <c r="AO252" i="63"/>
  <c r="G252" i="63"/>
  <c r="AV252" i="63"/>
  <c r="AX252" i="63"/>
  <c r="U251" i="65"/>
  <c r="S251" i="65"/>
  <c r="H251" i="65"/>
  <c r="A253" i="63"/>
  <c r="AB252" i="65" l="1"/>
  <c r="Z252" i="65"/>
  <c r="AD252" i="65"/>
  <c r="AC252" i="65"/>
  <c r="P252" i="65"/>
  <c r="K252" i="65"/>
  <c r="W252" i="65"/>
  <c r="I252" i="65"/>
  <c r="X252" i="65"/>
  <c r="T252" i="65"/>
  <c r="G252" i="65"/>
  <c r="B252" i="65"/>
  <c r="O252" i="65"/>
  <c r="AA252" i="65"/>
  <c r="V252" i="65"/>
  <c r="X253" i="63"/>
  <c r="AN253" i="63"/>
  <c r="Y253" i="63"/>
  <c r="AE253" i="65" s="1"/>
  <c r="AO253" i="63"/>
  <c r="J253" i="63"/>
  <c r="Z253" i="63"/>
  <c r="AP253" i="63"/>
  <c r="K253" i="63"/>
  <c r="AQ253" i="63"/>
  <c r="L253" i="63"/>
  <c r="AR253" i="63"/>
  <c r="M253" i="63"/>
  <c r="AC253" i="63"/>
  <c r="AS253" i="63"/>
  <c r="O253" i="63"/>
  <c r="AE253" i="63"/>
  <c r="AU253" i="63"/>
  <c r="Q253" i="63"/>
  <c r="AG253" i="63"/>
  <c r="AW253" i="63"/>
  <c r="C253" i="63"/>
  <c r="S253" i="63"/>
  <c r="AI253" i="63"/>
  <c r="AY253" i="63"/>
  <c r="D253" i="63"/>
  <c r="T253" i="63"/>
  <c r="AJ253" i="63"/>
  <c r="E253" i="63"/>
  <c r="AV253" i="63"/>
  <c r="F253" i="63"/>
  <c r="AX253" i="63"/>
  <c r="G253" i="63"/>
  <c r="N253" i="63"/>
  <c r="P253" i="63"/>
  <c r="R253" i="63"/>
  <c r="U253" i="63"/>
  <c r="V253" i="63"/>
  <c r="AD253" i="63"/>
  <c r="AF253" i="63"/>
  <c r="AH253" i="63"/>
  <c r="AK253" i="63"/>
  <c r="B253" i="63"/>
  <c r="AT253" i="63"/>
  <c r="AL253" i="63"/>
  <c r="AM253" i="63"/>
  <c r="M252" i="65"/>
  <c r="H252" i="65"/>
  <c r="S252" i="65"/>
  <c r="U252" i="65"/>
  <c r="A254" i="63"/>
  <c r="AD253" i="65" l="1"/>
  <c r="AB253" i="65"/>
  <c r="AC253" i="65"/>
  <c r="D253" i="65"/>
  <c r="K253" i="65"/>
  <c r="Z253" i="65"/>
  <c r="X253" i="65"/>
  <c r="T253" i="65"/>
  <c r="W253" i="65"/>
  <c r="O253" i="65"/>
  <c r="AA253" i="65"/>
  <c r="G253" i="65"/>
  <c r="B253" i="65"/>
  <c r="P253" i="65"/>
  <c r="V253" i="65"/>
  <c r="I253" i="65"/>
  <c r="F254" i="63"/>
  <c r="V254" i="63"/>
  <c r="D254" i="65" s="1"/>
  <c r="AL254" i="63"/>
  <c r="G254" i="63"/>
  <c r="W254" i="63"/>
  <c r="AM254" i="63"/>
  <c r="H254" i="63"/>
  <c r="X254" i="63"/>
  <c r="AN254" i="63"/>
  <c r="Y254" i="63"/>
  <c r="AE254" i="65" s="1"/>
  <c r="AO254" i="63"/>
  <c r="J254" i="63"/>
  <c r="Z254" i="63"/>
  <c r="AP254" i="63"/>
  <c r="K254" i="63"/>
  <c r="AQ254" i="63"/>
  <c r="M254" i="63"/>
  <c r="AC254" i="63"/>
  <c r="AS254" i="63"/>
  <c r="O254" i="63"/>
  <c r="AE254" i="63"/>
  <c r="AU254" i="63"/>
  <c r="Q254" i="63"/>
  <c r="AG254" i="63"/>
  <c r="AW254" i="63"/>
  <c r="B254" i="63"/>
  <c r="R254" i="63"/>
  <c r="AH254" i="63"/>
  <c r="AX254" i="63"/>
  <c r="AK254" i="63"/>
  <c r="AR254" i="63"/>
  <c r="C254" i="63"/>
  <c r="AT254" i="63"/>
  <c r="D254" i="63"/>
  <c r="AV254" i="63"/>
  <c r="E254" i="63"/>
  <c r="AY254" i="63"/>
  <c r="L254" i="63"/>
  <c r="N254" i="63"/>
  <c r="P254" i="63"/>
  <c r="S254" i="63"/>
  <c r="T254" i="63"/>
  <c r="U254" i="63"/>
  <c r="AD254" i="63"/>
  <c r="AF254" i="63"/>
  <c r="AI254" i="63"/>
  <c r="AJ254" i="63"/>
  <c r="H253" i="65"/>
  <c r="Y253" i="65"/>
  <c r="U253" i="65"/>
  <c r="M253" i="65"/>
  <c r="S253" i="65"/>
  <c r="A255" i="63"/>
  <c r="AB254" i="65" l="1"/>
  <c r="AD254" i="65"/>
  <c r="AC254" i="65"/>
  <c r="T254" i="65"/>
  <c r="P254" i="65"/>
  <c r="J254" i="65"/>
  <c r="K254" i="65"/>
  <c r="X254" i="65"/>
  <c r="I254" i="65"/>
  <c r="W254" i="65"/>
  <c r="G254" i="65"/>
  <c r="Z254" i="65"/>
  <c r="O254" i="65"/>
  <c r="AA254" i="65"/>
  <c r="B254" i="65"/>
  <c r="V254" i="65"/>
  <c r="T255" i="63"/>
  <c r="AJ255" i="63"/>
  <c r="U255" i="63"/>
  <c r="V255" i="63"/>
  <c r="W255" i="63"/>
  <c r="AM255" i="63"/>
  <c r="H255" i="63"/>
  <c r="I255" i="63"/>
  <c r="AO255" i="63"/>
  <c r="K255" i="63"/>
  <c r="O255" i="63"/>
  <c r="P255" i="63"/>
  <c r="AU255" i="63"/>
  <c r="AC255" i="63"/>
  <c r="AV255" i="63"/>
  <c r="AD255" i="63"/>
  <c r="AW255" i="63"/>
  <c r="AE255" i="63"/>
  <c r="AX255" i="63"/>
  <c r="AF255" i="63"/>
  <c r="AY255" i="63"/>
  <c r="AG255" i="63"/>
  <c r="AH255" i="63"/>
  <c r="J255" i="63"/>
  <c r="AI255" i="63"/>
  <c r="L255" i="63"/>
  <c r="AK255" i="63"/>
  <c r="N255" i="63"/>
  <c r="AL255" i="63"/>
  <c r="Q255" i="63"/>
  <c r="AN255" i="63"/>
  <c r="R255" i="63"/>
  <c r="AP255" i="63"/>
  <c r="S255" i="63"/>
  <c r="AQ255" i="63"/>
  <c r="Z255" i="63"/>
  <c r="AS255" i="63"/>
  <c r="AT255" i="63"/>
  <c r="AR255" i="63"/>
  <c r="Y254" i="65"/>
  <c r="S254" i="65"/>
  <c r="U254" i="65"/>
  <c r="M254" i="65"/>
  <c r="H254" i="65"/>
  <c r="A256" i="63"/>
  <c r="P255" i="65" l="1"/>
  <c r="AC255" i="65"/>
  <c r="O255" i="65"/>
  <c r="K255" i="65"/>
  <c r="J255" i="65"/>
  <c r="D255" i="65"/>
  <c r="Z255" i="65"/>
  <c r="AA255" i="65"/>
  <c r="AB255" i="65"/>
  <c r="I255" i="65"/>
  <c r="V255" i="65"/>
  <c r="W255" i="65"/>
  <c r="G255" i="65"/>
  <c r="AH256" i="63"/>
  <c r="AX256" i="63"/>
  <c r="U256" i="63"/>
  <c r="AK256" i="63"/>
  <c r="W256" i="63"/>
  <c r="AM256" i="63"/>
  <c r="P256" i="63"/>
  <c r="AJ256" i="63"/>
  <c r="AL256" i="63"/>
  <c r="S256" i="63"/>
  <c r="AN256" i="63"/>
  <c r="T256" i="63"/>
  <c r="AO256" i="63"/>
  <c r="V256" i="63"/>
  <c r="AP256" i="63"/>
  <c r="AQ256" i="63"/>
  <c r="AR256" i="63"/>
  <c r="Z256" i="63"/>
  <c r="AS256" i="63"/>
  <c r="H256" i="63"/>
  <c r="O256" i="65" s="1"/>
  <c r="AT256" i="63"/>
  <c r="I256" i="63"/>
  <c r="AU256" i="63"/>
  <c r="J256" i="63"/>
  <c r="AC256" i="63"/>
  <c r="AV256" i="63"/>
  <c r="K256" i="63"/>
  <c r="AD256" i="63"/>
  <c r="AW256" i="63"/>
  <c r="L256" i="63"/>
  <c r="AE256" i="63"/>
  <c r="AY256" i="63"/>
  <c r="N256" i="63"/>
  <c r="O256" i="63"/>
  <c r="AF256" i="63"/>
  <c r="AG256" i="63"/>
  <c r="AI256" i="63"/>
  <c r="M255" i="65"/>
  <c r="S255" i="65"/>
  <c r="N255" i="65"/>
  <c r="Y255" i="65"/>
  <c r="H255" i="65"/>
  <c r="A257" i="63"/>
  <c r="AC256" i="65" l="1"/>
  <c r="J256" i="65"/>
  <c r="P256" i="65"/>
  <c r="D256" i="65"/>
  <c r="K256" i="65"/>
  <c r="AA256" i="65"/>
  <c r="W256" i="65"/>
  <c r="V256" i="65"/>
  <c r="G256" i="65"/>
  <c r="Z256" i="65"/>
  <c r="I256" i="65"/>
  <c r="P257" i="63"/>
  <c r="AF257" i="63"/>
  <c r="AV257" i="63"/>
  <c r="C257" i="63"/>
  <c r="AI257" i="63"/>
  <c r="AY257" i="63"/>
  <c r="E257" i="63"/>
  <c r="U257" i="63"/>
  <c r="AK257" i="63"/>
  <c r="G257" i="63"/>
  <c r="Z257" i="63"/>
  <c r="AS257" i="63"/>
  <c r="H257" i="63"/>
  <c r="AT257" i="63"/>
  <c r="I257" i="63"/>
  <c r="AU257" i="63"/>
  <c r="J257" i="63"/>
  <c r="AC257" i="63"/>
  <c r="AW257" i="63"/>
  <c r="AD257" i="63"/>
  <c r="AX257" i="63"/>
  <c r="L257" i="63"/>
  <c r="AE257" i="63"/>
  <c r="AG257" i="63"/>
  <c r="N257" i="63"/>
  <c r="AH257" i="63"/>
  <c r="O257" i="63"/>
  <c r="AJ257" i="63"/>
  <c r="AL257" i="63"/>
  <c r="AM257" i="63"/>
  <c r="T257" i="63"/>
  <c r="AN257" i="63"/>
  <c r="V257" i="63"/>
  <c r="AO257" i="63"/>
  <c r="D257" i="63"/>
  <c r="F257" i="63"/>
  <c r="W257" i="63"/>
  <c r="X257" i="63"/>
  <c r="Y257" i="63"/>
  <c r="AE257" i="65" s="1"/>
  <c r="AP257" i="63"/>
  <c r="AR257" i="63"/>
  <c r="B257" i="63"/>
  <c r="AQ257" i="63"/>
  <c r="N256" i="65"/>
  <c r="M256" i="65"/>
  <c r="S256" i="65"/>
  <c r="Y256" i="65"/>
  <c r="H256" i="65"/>
  <c r="A258" i="63"/>
  <c r="AC257" i="65" l="1"/>
  <c r="AD257" i="65"/>
  <c r="T257" i="65"/>
  <c r="J257" i="65"/>
  <c r="K257" i="65"/>
  <c r="D257" i="65"/>
  <c r="X257" i="65"/>
  <c r="P257" i="65"/>
  <c r="Z257" i="65"/>
  <c r="O257" i="65"/>
  <c r="AA257" i="65"/>
  <c r="B257" i="65"/>
  <c r="G257" i="65"/>
  <c r="W257" i="65"/>
  <c r="V257" i="65"/>
  <c r="I257" i="65"/>
  <c r="N258" i="63"/>
  <c r="AD258" i="63"/>
  <c r="AT258" i="63"/>
  <c r="AG258" i="63"/>
  <c r="AW258" i="63"/>
  <c r="C258" i="63"/>
  <c r="AI258" i="63"/>
  <c r="AY258" i="63"/>
  <c r="O258" i="63"/>
  <c r="AJ258" i="63"/>
  <c r="P258" i="63"/>
  <c r="AK258" i="63"/>
  <c r="AL258" i="63"/>
  <c r="T258" i="63"/>
  <c r="AM258" i="63"/>
  <c r="U258" i="63"/>
  <c r="AN258" i="63"/>
  <c r="B258" i="63"/>
  <c r="V258" i="63"/>
  <c r="AO258" i="63"/>
  <c r="D258" i="63"/>
  <c r="V258" i="65" s="1"/>
  <c r="W258" i="63"/>
  <c r="AP258" i="63"/>
  <c r="E258" i="63"/>
  <c r="X258" i="63"/>
  <c r="AQ258" i="63"/>
  <c r="F258" i="63"/>
  <c r="Y258" i="63"/>
  <c r="AE258" i="65" s="1"/>
  <c r="AR258" i="63"/>
  <c r="G258" i="63"/>
  <c r="Z258" i="63"/>
  <c r="AS258" i="63"/>
  <c r="H258" i="63"/>
  <c r="AU258" i="63"/>
  <c r="I258" i="63"/>
  <c r="AV258" i="63"/>
  <c r="J258" i="63"/>
  <c r="AC258" i="63"/>
  <c r="AX258" i="63"/>
  <c r="L258" i="63"/>
  <c r="M258" i="63"/>
  <c r="AE258" i="63"/>
  <c r="AF258" i="63"/>
  <c r="AH258" i="63"/>
  <c r="U257" i="65"/>
  <c r="N257" i="65"/>
  <c r="M257" i="65"/>
  <c r="H257" i="65"/>
  <c r="S257" i="65"/>
  <c r="O258" i="65"/>
  <c r="A259" i="63"/>
  <c r="AC258" i="65" l="1"/>
  <c r="AD258" i="65"/>
  <c r="J258" i="65"/>
  <c r="K258" i="65"/>
  <c r="D258" i="65"/>
  <c r="X258" i="65"/>
  <c r="T258" i="65"/>
  <c r="AA258" i="65"/>
  <c r="B258" i="65"/>
  <c r="Z258" i="65"/>
  <c r="S258" i="65"/>
  <c r="P258" i="65"/>
  <c r="I258" i="65"/>
  <c r="G258" i="65"/>
  <c r="W258" i="65"/>
  <c r="L259" i="63"/>
  <c r="AR259" i="63"/>
  <c r="O259" i="63"/>
  <c r="AE259" i="63"/>
  <c r="AU259" i="63"/>
  <c r="Q259" i="63"/>
  <c r="AG259" i="63"/>
  <c r="AW259" i="63"/>
  <c r="E259" i="63"/>
  <c r="X259" i="63"/>
  <c r="AQ259" i="63"/>
  <c r="F259" i="63"/>
  <c r="Y259" i="63"/>
  <c r="AE259" i="65" s="1"/>
  <c r="AS259" i="63"/>
  <c r="G259" i="63"/>
  <c r="Z259" i="63"/>
  <c r="AT259" i="63"/>
  <c r="H259" i="63"/>
  <c r="AV259" i="63"/>
  <c r="I259" i="63"/>
  <c r="AC259" i="63"/>
  <c r="AX259" i="63"/>
  <c r="J259" i="63"/>
  <c r="AD259" i="63"/>
  <c r="AY259" i="63"/>
  <c r="AF259" i="63"/>
  <c r="M259" i="63"/>
  <c r="AH259" i="63"/>
  <c r="N259" i="63"/>
  <c r="AI259" i="63"/>
  <c r="P259" i="63"/>
  <c r="AJ259" i="63"/>
  <c r="R259" i="63"/>
  <c r="AK259" i="63"/>
  <c r="AL259" i="63"/>
  <c r="T259" i="63"/>
  <c r="AM259" i="63"/>
  <c r="D259" i="63"/>
  <c r="U259" i="63"/>
  <c r="V259" i="63"/>
  <c r="D259" i="65" s="1"/>
  <c r="W259" i="63"/>
  <c r="AN259" i="63"/>
  <c r="AO259" i="63"/>
  <c r="C259" i="63"/>
  <c r="B259" i="63"/>
  <c r="AP259" i="63"/>
  <c r="U258" i="65"/>
  <c r="M258" i="65"/>
  <c r="N258" i="65"/>
  <c r="H258" i="65"/>
  <c r="A260" i="63"/>
  <c r="AB259" i="65" l="1"/>
  <c r="AC259" i="65"/>
  <c r="AD259" i="65"/>
  <c r="K259" i="65"/>
  <c r="J259" i="65"/>
  <c r="X259" i="65"/>
  <c r="T259" i="65"/>
  <c r="B259" i="65"/>
  <c r="I259" i="65"/>
  <c r="Z259" i="65"/>
  <c r="W259" i="65"/>
  <c r="G259" i="65"/>
  <c r="O259" i="65"/>
  <c r="AA259" i="65"/>
  <c r="V259" i="65"/>
  <c r="P259" i="65"/>
  <c r="H259" i="65"/>
  <c r="J260" i="63"/>
  <c r="Z260" i="63"/>
  <c r="AP260" i="63"/>
  <c r="M260" i="63"/>
  <c r="AC260" i="63"/>
  <c r="AS260" i="63"/>
  <c r="O260" i="63"/>
  <c r="AE260" i="63"/>
  <c r="AU260" i="63"/>
  <c r="N260" i="63"/>
  <c r="AH260" i="63"/>
  <c r="P260" i="63"/>
  <c r="AI260" i="63"/>
  <c r="Q260" i="63"/>
  <c r="AJ260" i="63"/>
  <c r="R260" i="63"/>
  <c r="AK260" i="63"/>
  <c r="S260" i="63"/>
  <c r="AL260" i="63"/>
  <c r="T260" i="63"/>
  <c r="AM260" i="63"/>
  <c r="B260" i="63"/>
  <c r="U260" i="63"/>
  <c r="AN260" i="63"/>
  <c r="C260" i="63"/>
  <c r="V260" i="63"/>
  <c r="D260" i="65" s="1"/>
  <c r="AO260" i="63"/>
  <c r="D260" i="63"/>
  <c r="W260" i="63"/>
  <c r="AQ260" i="63"/>
  <c r="E260" i="63"/>
  <c r="X260" i="63"/>
  <c r="AR260" i="63"/>
  <c r="F260" i="63"/>
  <c r="Y260" i="63"/>
  <c r="AE260" i="65" s="1"/>
  <c r="AT260" i="63"/>
  <c r="G260" i="63"/>
  <c r="AV260" i="63"/>
  <c r="H260" i="63"/>
  <c r="AW260" i="63"/>
  <c r="I260" i="63"/>
  <c r="K260" i="63"/>
  <c r="L260" i="63"/>
  <c r="K260" i="65" s="1"/>
  <c r="AD260" i="63"/>
  <c r="AF260" i="63"/>
  <c r="AG260" i="63"/>
  <c r="AX260" i="63"/>
  <c r="AY260" i="63"/>
  <c r="U259" i="65"/>
  <c r="S259" i="65"/>
  <c r="N259" i="65"/>
  <c r="M259" i="65"/>
  <c r="A261" i="63"/>
  <c r="AD260" i="65" l="1"/>
  <c r="J260" i="65"/>
  <c r="AB260" i="65"/>
  <c r="AC260" i="65"/>
  <c r="X260" i="65"/>
  <c r="T260" i="65"/>
  <c r="B260" i="65"/>
  <c r="Z260" i="65"/>
  <c r="W260" i="65"/>
  <c r="V260" i="65"/>
  <c r="O260" i="65"/>
  <c r="AA260" i="65"/>
  <c r="I260" i="65"/>
  <c r="P260" i="65"/>
  <c r="G260" i="65"/>
  <c r="S260" i="65"/>
  <c r="H261" i="63"/>
  <c r="G261" i="65" s="1"/>
  <c r="X261" i="63"/>
  <c r="AN261" i="63"/>
  <c r="K261" i="63"/>
  <c r="AQ261" i="63"/>
  <c r="M261" i="63"/>
  <c r="AC261" i="63"/>
  <c r="AS261" i="63"/>
  <c r="C261" i="63"/>
  <c r="V261" i="63"/>
  <c r="AP261" i="63"/>
  <c r="D261" i="63"/>
  <c r="W261" i="63"/>
  <c r="AR261" i="63"/>
  <c r="E261" i="63"/>
  <c r="Y261" i="63"/>
  <c r="AE261" i="65" s="1"/>
  <c r="AT261" i="63"/>
  <c r="F261" i="63"/>
  <c r="Z261" i="63"/>
  <c r="AU261" i="63"/>
  <c r="G261" i="63"/>
  <c r="AV261" i="63"/>
  <c r="I261" i="63"/>
  <c r="AD261" i="63"/>
  <c r="AW261" i="63"/>
  <c r="J261" i="63"/>
  <c r="AE261" i="63"/>
  <c r="AX261" i="63"/>
  <c r="L261" i="63"/>
  <c r="K261" i="65" s="1"/>
  <c r="AF261" i="63"/>
  <c r="AY261" i="63"/>
  <c r="N261" i="63"/>
  <c r="AG261" i="63"/>
  <c r="O261" i="63"/>
  <c r="AH261" i="63"/>
  <c r="P261" i="63"/>
  <c r="AI261" i="63"/>
  <c r="Q261" i="63"/>
  <c r="AJ261" i="63"/>
  <c r="R261" i="63"/>
  <c r="AK261" i="63"/>
  <c r="S261" i="63"/>
  <c r="T261" i="63"/>
  <c r="U261" i="63"/>
  <c r="AL261" i="63"/>
  <c r="AM261" i="63"/>
  <c r="AO261" i="63"/>
  <c r="B261" i="63"/>
  <c r="M260" i="65"/>
  <c r="Y260" i="65"/>
  <c r="U260" i="65"/>
  <c r="H260" i="65"/>
  <c r="N260" i="65"/>
  <c r="A262" i="63"/>
  <c r="AB261" i="65" l="1"/>
  <c r="AD261" i="65"/>
  <c r="AC261" i="65"/>
  <c r="D261" i="65"/>
  <c r="J261" i="65"/>
  <c r="B261" i="65"/>
  <c r="X261" i="65"/>
  <c r="T261" i="65"/>
  <c r="W261" i="65"/>
  <c r="O261" i="65"/>
  <c r="AA261" i="65"/>
  <c r="V261" i="65"/>
  <c r="P261" i="65"/>
  <c r="I261" i="65"/>
  <c r="Z261" i="65"/>
  <c r="F262" i="63"/>
  <c r="V262" i="63"/>
  <c r="D262" i="65" s="1"/>
  <c r="AL262" i="63"/>
  <c r="I262" i="63"/>
  <c r="Y262" i="63"/>
  <c r="AE262" i="65" s="1"/>
  <c r="AO262" i="63"/>
  <c r="K262" i="63"/>
  <c r="AQ262" i="63"/>
  <c r="M262" i="63"/>
  <c r="AF262" i="63"/>
  <c r="AY262" i="63"/>
  <c r="N262" i="63"/>
  <c r="AG262" i="63"/>
  <c r="O262" i="63"/>
  <c r="AH262" i="63"/>
  <c r="P262" i="63"/>
  <c r="AI262" i="63"/>
  <c r="Q262" i="63"/>
  <c r="AJ262" i="63"/>
  <c r="R262" i="63"/>
  <c r="AK262" i="63"/>
  <c r="S262" i="63"/>
  <c r="AM262" i="63"/>
  <c r="T262" i="63"/>
  <c r="AN262" i="63"/>
  <c r="B262" i="63"/>
  <c r="U262" i="63"/>
  <c r="AP262" i="63"/>
  <c r="C262" i="63"/>
  <c r="W262" i="63"/>
  <c r="AR262" i="63"/>
  <c r="D262" i="63"/>
  <c r="X262" i="63"/>
  <c r="AS262" i="63"/>
  <c r="E262" i="63"/>
  <c r="Z262" i="63"/>
  <c r="AT262" i="63"/>
  <c r="G262" i="63"/>
  <c r="AU262" i="63"/>
  <c r="L262" i="63"/>
  <c r="AC262" i="63"/>
  <c r="AD262" i="63"/>
  <c r="AE262" i="63"/>
  <c r="AV262" i="63"/>
  <c r="H262" i="63"/>
  <c r="AW262" i="63"/>
  <c r="AX262" i="63"/>
  <c r="N261" i="65"/>
  <c r="M261" i="65"/>
  <c r="Y261" i="65"/>
  <c r="H261" i="65"/>
  <c r="S261" i="65"/>
  <c r="U261" i="65"/>
  <c r="A263" i="63"/>
  <c r="AB262" i="65" l="1"/>
  <c r="AD262" i="65"/>
  <c r="AC262" i="65"/>
  <c r="Z262" i="65"/>
  <c r="J262" i="65"/>
  <c r="K262" i="65"/>
  <c r="X262" i="65"/>
  <c r="T262" i="65"/>
  <c r="W262" i="65"/>
  <c r="G262" i="65"/>
  <c r="P262" i="65"/>
  <c r="V262" i="65"/>
  <c r="O262" i="65"/>
  <c r="AA262" i="65"/>
  <c r="I262" i="65"/>
  <c r="B262" i="65"/>
  <c r="T263" i="63"/>
  <c r="AJ263" i="63"/>
  <c r="W263" i="63"/>
  <c r="AM263" i="63"/>
  <c r="I263" i="63"/>
  <c r="AO263" i="63"/>
  <c r="U263" i="63"/>
  <c r="AP263" i="63"/>
  <c r="V263" i="63"/>
  <c r="D263" i="65" s="1"/>
  <c r="AQ263" i="63"/>
  <c r="AR263" i="63"/>
  <c r="Z263" i="63"/>
  <c r="AS263" i="63"/>
  <c r="AT263" i="63"/>
  <c r="H263" i="63"/>
  <c r="G263" i="65" s="1"/>
  <c r="AU263" i="63"/>
  <c r="AC263" i="63"/>
  <c r="AV263" i="63"/>
  <c r="K263" i="63"/>
  <c r="AD263" i="63"/>
  <c r="AW263" i="63"/>
  <c r="L263" i="63"/>
  <c r="K263" i="65" s="1"/>
  <c r="AE263" i="63"/>
  <c r="AX263" i="63"/>
  <c r="M263" i="63"/>
  <c r="AF263" i="63"/>
  <c r="AY263" i="63"/>
  <c r="N263" i="63"/>
  <c r="AG263" i="63"/>
  <c r="O263" i="63"/>
  <c r="AH263" i="63"/>
  <c r="P263" i="63"/>
  <c r="AI263" i="63"/>
  <c r="S263" i="63"/>
  <c r="AK263" i="63"/>
  <c r="AL263" i="63"/>
  <c r="AN263" i="63"/>
  <c r="H262" i="65"/>
  <c r="S262" i="65"/>
  <c r="N262" i="65"/>
  <c r="U262" i="65"/>
  <c r="M262" i="65"/>
  <c r="A264" i="63"/>
  <c r="Z263" i="65" l="1"/>
  <c r="AC263" i="65"/>
  <c r="J263" i="65"/>
  <c r="P263" i="65"/>
  <c r="W263" i="65"/>
  <c r="O263" i="65"/>
  <c r="AA263" i="65"/>
  <c r="V263" i="65"/>
  <c r="I263" i="65"/>
  <c r="S263" i="65"/>
  <c r="AH264" i="63"/>
  <c r="AX264" i="63"/>
  <c r="U264" i="63"/>
  <c r="AK264" i="63"/>
  <c r="W264" i="63"/>
  <c r="AM264" i="63"/>
  <c r="AD264" i="63"/>
  <c r="AW264" i="63"/>
  <c r="L264" i="63"/>
  <c r="AE264" i="63"/>
  <c r="AY264" i="63"/>
  <c r="M264" i="63"/>
  <c r="AF264" i="63"/>
  <c r="N264" i="63"/>
  <c r="AG264" i="63"/>
  <c r="O264" i="63"/>
  <c r="AI264" i="63"/>
  <c r="P264" i="63"/>
  <c r="AJ264" i="63"/>
  <c r="AL264" i="63"/>
  <c r="AN264" i="63"/>
  <c r="T264" i="63"/>
  <c r="AO264" i="63"/>
  <c r="V264" i="63"/>
  <c r="AP264" i="63"/>
  <c r="AQ264" i="63"/>
  <c r="AR264" i="63"/>
  <c r="Z264" i="63"/>
  <c r="AS264" i="63"/>
  <c r="H264" i="63"/>
  <c r="J264" i="63"/>
  <c r="AC264" i="63"/>
  <c r="AT264" i="63"/>
  <c r="AU264" i="63"/>
  <c r="I264" i="63"/>
  <c r="AV264" i="63"/>
  <c r="H263" i="65"/>
  <c r="N263" i="65"/>
  <c r="M263" i="65"/>
  <c r="A265" i="63"/>
  <c r="AC264" i="65" l="1"/>
  <c r="J264" i="65"/>
  <c r="D264" i="65"/>
  <c r="W264" i="65"/>
  <c r="K264" i="65"/>
  <c r="G264" i="65"/>
  <c r="V264" i="65"/>
  <c r="O264" i="65"/>
  <c r="AA264" i="65"/>
  <c r="I264" i="65"/>
  <c r="P264" i="65"/>
  <c r="Z264" i="65"/>
  <c r="S264" i="65"/>
  <c r="P265" i="63"/>
  <c r="AF265" i="63"/>
  <c r="AV265" i="63"/>
  <c r="C265" i="63"/>
  <c r="AI265" i="63"/>
  <c r="E265" i="63"/>
  <c r="U265" i="63"/>
  <c r="AK265" i="63"/>
  <c r="AN265" i="63"/>
  <c r="V265" i="63"/>
  <c r="AO265" i="63"/>
  <c r="B265" i="63"/>
  <c r="W265" i="63"/>
  <c r="AP265" i="63"/>
  <c r="D265" i="63"/>
  <c r="X265" i="63"/>
  <c r="AQ265" i="63"/>
  <c r="F265" i="63"/>
  <c r="Y265" i="63"/>
  <c r="AE265" i="65" s="1"/>
  <c r="AR265" i="63"/>
  <c r="G265" i="63"/>
  <c r="Z265" i="63"/>
  <c r="AS265" i="63"/>
  <c r="H265" i="63"/>
  <c r="AT265" i="63"/>
  <c r="I265" i="63"/>
  <c r="AU265" i="63"/>
  <c r="J265" i="63"/>
  <c r="AC265" i="63"/>
  <c r="AD265" i="63"/>
  <c r="AX265" i="63"/>
  <c r="L265" i="63"/>
  <c r="AE265" i="63"/>
  <c r="AY265" i="63"/>
  <c r="M265" i="63"/>
  <c r="AG265" i="63"/>
  <c r="N265" i="63"/>
  <c r="AH265" i="63"/>
  <c r="AJ265" i="63"/>
  <c r="AL265" i="63"/>
  <c r="AM265" i="63"/>
  <c r="AW265" i="63"/>
  <c r="O265" i="63"/>
  <c r="M264" i="65"/>
  <c r="N264" i="65"/>
  <c r="H264" i="65"/>
  <c r="A266" i="63"/>
  <c r="T265" i="65" l="1"/>
  <c r="AD265" i="65"/>
  <c r="AC265" i="65"/>
  <c r="J265" i="65"/>
  <c r="D265" i="65"/>
  <c r="K265" i="65"/>
  <c r="X265" i="65"/>
  <c r="B265" i="65"/>
  <c r="W265" i="65"/>
  <c r="O265" i="65"/>
  <c r="Z265" i="65"/>
  <c r="S265" i="65"/>
  <c r="I265" i="65"/>
  <c r="V265" i="65"/>
  <c r="G265" i="65"/>
  <c r="P265" i="65"/>
  <c r="N266" i="63"/>
  <c r="AD266" i="63"/>
  <c r="AT266" i="63"/>
  <c r="G266" i="63"/>
  <c r="X266" i="63"/>
  <c r="AO266" i="63"/>
  <c r="H266" i="63"/>
  <c r="Y266" i="63"/>
  <c r="AE266" i="65" s="1"/>
  <c r="AP266" i="63"/>
  <c r="I266" i="63"/>
  <c r="Z266" i="63"/>
  <c r="AQ266" i="63"/>
  <c r="J266" i="63"/>
  <c r="AR266" i="63"/>
  <c r="AS266" i="63"/>
  <c r="L266" i="63"/>
  <c r="AC266" i="63"/>
  <c r="AU266" i="63"/>
  <c r="M266" i="63"/>
  <c r="AE266" i="63"/>
  <c r="AV266" i="63"/>
  <c r="O266" i="63"/>
  <c r="AF266" i="63"/>
  <c r="AW266" i="63"/>
  <c r="Q266" i="63"/>
  <c r="AH266" i="63"/>
  <c r="AY266" i="63"/>
  <c r="R266" i="63"/>
  <c r="AI266" i="63"/>
  <c r="B266" i="63"/>
  <c r="AJ266" i="63"/>
  <c r="C266" i="63"/>
  <c r="AK266" i="63"/>
  <c r="AX266" i="63"/>
  <c r="D266" i="63"/>
  <c r="F266" i="63"/>
  <c r="P266" i="63"/>
  <c r="U266" i="63"/>
  <c r="V266" i="63"/>
  <c r="D266" i="65" s="1"/>
  <c r="W266" i="63"/>
  <c r="AG266" i="63"/>
  <c r="AN266" i="63"/>
  <c r="E266" i="63"/>
  <c r="AL266" i="63"/>
  <c r="AM266" i="63"/>
  <c r="N265" i="65"/>
  <c r="H265" i="65"/>
  <c r="U265" i="65"/>
  <c r="M265" i="65"/>
  <c r="A267" i="63"/>
  <c r="AB266" i="65" l="1"/>
  <c r="AD266" i="65"/>
  <c r="T266" i="65"/>
  <c r="AC266" i="65"/>
  <c r="J266" i="65"/>
  <c r="K266" i="65"/>
  <c r="X266" i="65"/>
  <c r="B266" i="65"/>
  <c r="W266" i="65"/>
  <c r="G266" i="65"/>
  <c r="Z266" i="65"/>
  <c r="I266" i="65"/>
  <c r="O266" i="65"/>
  <c r="P266" i="65"/>
  <c r="V266" i="65"/>
  <c r="L267" i="63"/>
  <c r="K267" i="65" s="1"/>
  <c r="AR267" i="63"/>
  <c r="H267" i="63"/>
  <c r="Y267" i="63"/>
  <c r="AE267" i="65" s="1"/>
  <c r="AP267" i="63"/>
  <c r="I267" i="63"/>
  <c r="Z267" i="63"/>
  <c r="AQ267" i="63"/>
  <c r="J267" i="63"/>
  <c r="AS267" i="63"/>
  <c r="K267" i="63"/>
  <c r="AC267" i="63"/>
  <c r="AT267" i="63"/>
  <c r="M267" i="63"/>
  <c r="AD267" i="63"/>
  <c r="AU267" i="63"/>
  <c r="N267" i="63"/>
  <c r="AE267" i="63"/>
  <c r="AV267" i="63"/>
  <c r="O267" i="63"/>
  <c r="AF267" i="63"/>
  <c r="AW267" i="63"/>
  <c r="P267" i="63"/>
  <c r="AG267" i="63"/>
  <c r="AX267" i="63"/>
  <c r="R267" i="63"/>
  <c r="AI267" i="63"/>
  <c r="B267" i="63"/>
  <c r="S267" i="63"/>
  <c r="AJ267" i="63"/>
  <c r="C267" i="63"/>
  <c r="AK267" i="63"/>
  <c r="D267" i="63"/>
  <c r="U267" i="63"/>
  <c r="AL267" i="63"/>
  <c r="E267" i="63"/>
  <c r="F267" i="63"/>
  <c r="G267" i="63"/>
  <c r="Q267" i="63"/>
  <c r="V267" i="63"/>
  <c r="X267" i="63"/>
  <c r="AH267" i="63"/>
  <c r="AM267" i="63"/>
  <c r="AN267" i="63"/>
  <c r="AO267" i="63"/>
  <c r="AY267" i="63"/>
  <c r="W267" i="63"/>
  <c r="S266" i="65"/>
  <c r="M266" i="65"/>
  <c r="H266" i="65"/>
  <c r="N266" i="65"/>
  <c r="U266" i="65"/>
  <c r="A268" i="63"/>
  <c r="X267" i="65" l="1"/>
  <c r="T267" i="65"/>
  <c r="AC267" i="65"/>
  <c r="AD267" i="65"/>
  <c r="AB267" i="65"/>
  <c r="J267" i="65"/>
  <c r="D267" i="65"/>
  <c r="W267" i="65"/>
  <c r="P267" i="65"/>
  <c r="G267" i="65"/>
  <c r="I267" i="65"/>
  <c r="O267" i="65"/>
  <c r="B267" i="65"/>
  <c r="V267" i="65"/>
  <c r="Y267" i="65"/>
  <c r="Z267" i="65"/>
  <c r="J268" i="63"/>
  <c r="Z268" i="63"/>
  <c r="AP268" i="63"/>
  <c r="I268" i="63"/>
  <c r="AR268" i="63"/>
  <c r="K268" i="63"/>
  <c r="AS268" i="63"/>
  <c r="L268" i="63"/>
  <c r="AC268" i="63"/>
  <c r="AT268" i="63"/>
  <c r="M268" i="63"/>
  <c r="AD268" i="63"/>
  <c r="AU268" i="63"/>
  <c r="AE268" i="63"/>
  <c r="AV268" i="63"/>
  <c r="O268" i="63"/>
  <c r="AF268" i="63"/>
  <c r="AW268" i="63"/>
  <c r="P268" i="63"/>
  <c r="AG268" i="63"/>
  <c r="AX268" i="63"/>
  <c r="Q268" i="63"/>
  <c r="AH268" i="63"/>
  <c r="AY268" i="63"/>
  <c r="B268" i="63"/>
  <c r="S268" i="63"/>
  <c r="AJ268" i="63"/>
  <c r="C268" i="63"/>
  <c r="T268" i="63"/>
  <c r="AK268" i="63"/>
  <c r="D268" i="63"/>
  <c r="U268" i="63"/>
  <c r="AL268" i="63"/>
  <c r="E268" i="63"/>
  <c r="AM268" i="63"/>
  <c r="R268" i="63"/>
  <c r="W268" i="63"/>
  <c r="X268" i="63"/>
  <c r="Y268" i="63"/>
  <c r="AE268" i="65" s="1"/>
  <c r="AI268" i="63"/>
  <c r="AN268" i="63"/>
  <c r="AQ268" i="63"/>
  <c r="H268" i="63"/>
  <c r="F268" i="63"/>
  <c r="G268" i="63"/>
  <c r="AO268" i="63"/>
  <c r="N267" i="65"/>
  <c r="M267" i="65"/>
  <c r="U267" i="65"/>
  <c r="S267" i="65"/>
  <c r="H267" i="65"/>
  <c r="A269" i="63"/>
  <c r="P268" i="65" l="1"/>
  <c r="O268" i="65"/>
  <c r="AC268" i="65"/>
  <c r="AD268" i="65"/>
  <c r="K268" i="65"/>
  <c r="D268" i="65"/>
  <c r="X268" i="65"/>
  <c r="T268" i="65"/>
  <c r="AA268" i="65"/>
  <c r="AB268" i="65"/>
  <c r="V268" i="65"/>
  <c r="G268" i="65"/>
  <c r="B268" i="65"/>
  <c r="W268" i="65"/>
  <c r="I268" i="65"/>
  <c r="Z268" i="65"/>
  <c r="H269" i="63"/>
  <c r="G269" i="65" s="1"/>
  <c r="AN269" i="63"/>
  <c r="K269" i="63"/>
  <c r="AS269" i="63"/>
  <c r="L269" i="63"/>
  <c r="AC269" i="63"/>
  <c r="AT269" i="63"/>
  <c r="M269" i="63"/>
  <c r="AD269" i="63"/>
  <c r="AU269" i="63"/>
  <c r="AE269" i="63"/>
  <c r="AV269" i="63"/>
  <c r="AF269" i="63"/>
  <c r="AW269" i="63"/>
  <c r="P269" i="63"/>
  <c r="AG269" i="63"/>
  <c r="AX269" i="63"/>
  <c r="Q269" i="63"/>
  <c r="AH269" i="63"/>
  <c r="AY269" i="63"/>
  <c r="R269" i="63"/>
  <c r="AI269" i="63"/>
  <c r="T269" i="63"/>
  <c r="AK269" i="63"/>
  <c r="U269" i="63"/>
  <c r="AL269" i="63"/>
  <c r="AM269" i="63"/>
  <c r="W269" i="63"/>
  <c r="AO269" i="63"/>
  <c r="AJ269" i="63"/>
  <c r="AP269" i="63"/>
  <c r="AQ269" i="63"/>
  <c r="AR269" i="63"/>
  <c r="I269" i="63"/>
  <c r="J269" i="63"/>
  <c r="S269" i="63"/>
  <c r="Z269" i="63"/>
  <c r="H268" i="65"/>
  <c r="S268" i="65"/>
  <c r="Y268" i="65"/>
  <c r="U268" i="65"/>
  <c r="M268" i="65"/>
  <c r="N268" i="65"/>
  <c r="A270" i="63"/>
  <c r="AB269" i="65" l="1"/>
  <c r="AC269" i="65"/>
  <c r="K269" i="65"/>
  <c r="I269" i="65"/>
  <c r="Z269" i="65"/>
  <c r="W269" i="65"/>
  <c r="O269" i="65"/>
  <c r="AA269" i="65"/>
  <c r="V269" i="65"/>
  <c r="P269" i="65"/>
  <c r="AL270" i="63"/>
  <c r="L270" i="63"/>
  <c r="K270" i="65" s="1"/>
  <c r="AC270" i="63"/>
  <c r="AT270" i="63"/>
  <c r="M270" i="63"/>
  <c r="AD270" i="63"/>
  <c r="AU270" i="63"/>
  <c r="AE270" i="63"/>
  <c r="AV270" i="63"/>
  <c r="AF270" i="63"/>
  <c r="AW270" i="63"/>
  <c r="P270" i="63"/>
  <c r="AG270" i="63"/>
  <c r="AX270" i="63"/>
  <c r="AH270" i="63"/>
  <c r="AY270" i="63"/>
  <c r="AI270" i="63"/>
  <c r="S270" i="63"/>
  <c r="AJ270" i="63"/>
  <c r="U270" i="63"/>
  <c r="AM270" i="63"/>
  <c r="W270" i="63"/>
  <c r="AN270" i="63"/>
  <c r="AO270" i="63"/>
  <c r="H270" i="63"/>
  <c r="AP270" i="63"/>
  <c r="I270" i="63"/>
  <c r="M270" i="65" s="1"/>
  <c r="K270" i="63"/>
  <c r="T270" i="63"/>
  <c r="Z270" i="63"/>
  <c r="AK270" i="63"/>
  <c r="AS270" i="63"/>
  <c r="J270" i="63"/>
  <c r="AQ270" i="63"/>
  <c r="AR270" i="63"/>
  <c r="S269" i="65"/>
  <c r="Y269" i="65"/>
  <c r="N269" i="65"/>
  <c r="M269" i="65"/>
  <c r="H269" i="65"/>
  <c r="A271" i="63"/>
  <c r="Z270" i="65" l="1"/>
  <c r="AC270" i="65"/>
  <c r="W270" i="65"/>
  <c r="S270" i="65"/>
  <c r="V270" i="65"/>
  <c r="I270" i="65"/>
  <c r="P270" i="65"/>
  <c r="G270" i="65"/>
  <c r="O270" i="65"/>
  <c r="AA270" i="65"/>
  <c r="N270" i="65"/>
  <c r="D271" i="63"/>
  <c r="T271" i="63"/>
  <c r="AJ271" i="63"/>
  <c r="M271" i="63"/>
  <c r="AD271" i="63"/>
  <c r="AU271" i="63"/>
  <c r="N271" i="63"/>
  <c r="AE271" i="63"/>
  <c r="AV271" i="63"/>
  <c r="AF271" i="63"/>
  <c r="AW271" i="63"/>
  <c r="P271" i="63"/>
  <c r="AG271" i="63"/>
  <c r="AX271" i="63"/>
  <c r="AH271" i="63"/>
  <c r="AY271" i="63"/>
  <c r="AI271" i="63"/>
  <c r="B271" i="63"/>
  <c r="AK271" i="63"/>
  <c r="C271" i="63"/>
  <c r="U271" i="63"/>
  <c r="AL271" i="63"/>
  <c r="F271" i="63"/>
  <c r="W271" i="63"/>
  <c r="AN271" i="63"/>
  <c r="G271" i="63"/>
  <c r="X271" i="63"/>
  <c r="AO271" i="63"/>
  <c r="H271" i="63"/>
  <c r="Y271" i="63"/>
  <c r="AE271" i="65" s="1"/>
  <c r="AP271" i="63"/>
  <c r="I271" i="63"/>
  <c r="Z271" i="63"/>
  <c r="AQ271" i="63"/>
  <c r="E271" i="63"/>
  <c r="J271" i="63"/>
  <c r="L271" i="63"/>
  <c r="V271" i="63"/>
  <c r="D271" i="65" s="1"/>
  <c r="AC271" i="63"/>
  <c r="AM271" i="63"/>
  <c r="AR271" i="63"/>
  <c r="AS271" i="63"/>
  <c r="AT271" i="63"/>
  <c r="Y270" i="65"/>
  <c r="H270" i="65"/>
  <c r="A272" i="63"/>
  <c r="AD271" i="65" l="1"/>
  <c r="AC271" i="65"/>
  <c r="J271" i="65"/>
  <c r="K271" i="65"/>
  <c r="P271" i="65"/>
  <c r="X271" i="65"/>
  <c r="T271" i="65"/>
  <c r="I271" i="65"/>
  <c r="B271" i="65"/>
  <c r="V271" i="65"/>
  <c r="O271" i="65"/>
  <c r="AA271" i="65"/>
  <c r="G271" i="65"/>
  <c r="Z271" i="65"/>
  <c r="W271" i="65"/>
  <c r="B272" i="63"/>
  <c r="AH272" i="63"/>
  <c r="AX272" i="63"/>
  <c r="N272" i="63"/>
  <c r="AE272" i="63"/>
  <c r="AV272" i="63"/>
  <c r="O272" i="63"/>
  <c r="AF272" i="63"/>
  <c r="AW272" i="63"/>
  <c r="P272" i="63"/>
  <c r="AG272" i="63"/>
  <c r="AY272" i="63"/>
  <c r="AI272" i="63"/>
  <c r="AJ272" i="63"/>
  <c r="C272" i="63"/>
  <c r="T272" i="63"/>
  <c r="AK272" i="63"/>
  <c r="D272" i="63"/>
  <c r="U272" i="63"/>
  <c r="AL272" i="63"/>
  <c r="E272" i="63"/>
  <c r="V272" i="63"/>
  <c r="D272" i="65" s="1"/>
  <c r="AM272" i="63"/>
  <c r="G272" i="63"/>
  <c r="X272" i="63"/>
  <c r="AO272" i="63"/>
  <c r="H272" i="63"/>
  <c r="Y272" i="63"/>
  <c r="AE272" i="65" s="1"/>
  <c r="AP272" i="63"/>
  <c r="I272" i="63"/>
  <c r="Z272" i="63"/>
  <c r="AQ272" i="63"/>
  <c r="J272" i="63"/>
  <c r="AR272" i="63"/>
  <c r="W272" i="63"/>
  <c r="AC272" i="63"/>
  <c r="AD272" i="63"/>
  <c r="AN272" i="63"/>
  <c r="AS272" i="63"/>
  <c r="AU272" i="63"/>
  <c r="F272" i="63"/>
  <c r="M272" i="63"/>
  <c r="AT272" i="63"/>
  <c r="L272" i="63"/>
  <c r="K272" i="65" s="1"/>
  <c r="S271" i="65"/>
  <c r="U271" i="65"/>
  <c r="N271" i="65"/>
  <c r="M271" i="65"/>
  <c r="H271" i="65"/>
  <c r="A273" i="63"/>
  <c r="AC272" i="65" l="1"/>
  <c r="AD272" i="65"/>
  <c r="T272" i="65"/>
  <c r="J272" i="65"/>
  <c r="X272" i="65"/>
  <c r="P272" i="65"/>
  <c r="O272" i="65"/>
  <c r="AA272" i="65"/>
  <c r="B272" i="65"/>
  <c r="V272" i="65"/>
  <c r="Z272" i="65"/>
  <c r="G272" i="65"/>
  <c r="I272" i="65"/>
  <c r="W272" i="65"/>
  <c r="P273" i="63"/>
  <c r="AF273" i="63"/>
  <c r="AV273" i="63"/>
  <c r="O273" i="63"/>
  <c r="AG273" i="63"/>
  <c r="AX273" i="63"/>
  <c r="Q273" i="63"/>
  <c r="AH273" i="63"/>
  <c r="AY273" i="63"/>
  <c r="R273" i="63"/>
  <c r="AI273" i="63"/>
  <c r="B273" i="63"/>
  <c r="AJ273" i="63"/>
  <c r="C273" i="63"/>
  <c r="T273" i="63"/>
  <c r="AK273" i="63"/>
  <c r="D273" i="63"/>
  <c r="U273" i="63"/>
  <c r="AL273" i="63"/>
  <c r="E273" i="63"/>
  <c r="V273" i="63"/>
  <c r="AM273" i="63"/>
  <c r="F273" i="63"/>
  <c r="W273" i="63"/>
  <c r="AN273" i="63"/>
  <c r="H273" i="63"/>
  <c r="Y273" i="63"/>
  <c r="AE273" i="65" s="1"/>
  <c r="AP273" i="63"/>
  <c r="I273" i="63"/>
  <c r="Z273" i="63"/>
  <c r="AQ273" i="63"/>
  <c r="J273" i="63"/>
  <c r="AR273" i="63"/>
  <c r="AS273" i="63"/>
  <c r="AO273" i="63"/>
  <c r="AT273" i="63"/>
  <c r="AU273" i="63"/>
  <c r="AW273" i="63"/>
  <c r="G273" i="63"/>
  <c r="L273" i="63"/>
  <c r="M273" i="63"/>
  <c r="N273" i="63"/>
  <c r="X273" i="63"/>
  <c r="AE273" i="63"/>
  <c r="AC273" i="63"/>
  <c r="AD273" i="63"/>
  <c r="N272" i="65"/>
  <c r="H272" i="65"/>
  <c r="S272" i="65"/>
  <c r="U272" i="65"/>
  <c r="M272" i="65"/>
  <c r="A274" i="63"/>
  <c r="P273" i="65" l="1"/>
  <c r="AC273" i="65"/>
  <c r="AD273" i="65"/>
  <c r="O273" i="65"/>
  <c r="J273" i="65"/>
  <c r="K273" i="65"/>
  <c r="D273" i="65"/>
  <c r="X273" i="65"/>
  <c r="T273" i="65"/>
  <c r="AA273" i="65"/>
  <c r="AB273" i="65"/>
  <c r="Z273" i="65"/>
  <c r="W273" i="65"/>
  <c r="B273" i="65"/>
  <c r="V273" i="65"/>
  <c r="I273" i="65"/>
  <c r="G273" i="65"/>
  <c r="N274" i="63"/>
  <c r="AD274" i="63"/>
  <c r="AT274" i="63"/>
  <c r="Q274" i="63"/>
  <c r="AH274" i="63"/>
  <c r="AY274" i="63"/>
  <c r="R274" i="63"/>
  <c r="AI274" i="63"/>
  <c r="B274" i="63"/>
  <c r="S274" i="63"/>
  <c r="AJ274" i="63"/>
  <c r="C274" i="63"/>
  <c r="T274" i="63"/>
  <c r="AK274" i="63"/>
  <c r="D274" i="63"/>
  <c r="U274" i="63"/>
  <c r="AL274" i="63"/>
  <c r="E274" i="63"/>
  <c r="V274" i="63"/>
  <c r="AM274" i="63"/>
  <c r="F274" i="63"/>
  <c r="W274" i="63"/>
  <c r="AN274" i="63"/>
  <c r="G274" i="63"/>
  <c r="X274" i="63"/>
  <c r="AO274" i="63"/>
  <c r="I274" i="63"/>
  <c r="Z274" i="63"/>
  <c r="AQ274" i="63"/>
  <c r="J274" i="63"/>
  <c r="AR274" i="63"/>
  <c r="K274" i="63"/>
  <c r="AS274" i="63"/>
  <c r="L274" i="63"/>
  <c r="AC274" i="63"/>
  <c r="AU274" i="63"/>
  <c r="H274" i="63"/>
  <c r="M274" i="63"/>
  <c r="P274" i="63"/>
  <c r="Y274" i="63"/>
  <c r="AE274" i="63"/>
  <c r="AF274" i="63"/>
  <c r="AG274" i="63"/>
  <c r="AP274" i="63"/>
  <c r="AX274" i="63"/>
  <c r="O274" i="63"/>
  <c r="AV274" i="63"/>
  <c r="AW274" i="63"/>
  <c r="H273" i="65"/>
  <c r="S273" i="65"/>
  <c r="U273" i="65"/>
  <c r="N273" i="65"/>
  <c r="M273" i="65"/>
  <c r="A275" i="63"/>
  <c r="AD274" i="65" l="1"/>
  <c r="AE274" i="65"/>
  <c r="AB274" i="65"/>
  <c r="AC274" i="65"/>
  <c r="J274" i="65"/>
  <c r="K274" i="65"/>
  <c r="Z274" i="65"/>
  <c r="D274" i="65"/>
  <c r="X274" i="65"/>
  <c r="T274" i="65"/>
  <c r="G274" i="65"/>
  <c r="B274" i="65"/>
  <c r="W274" i="65"/>
  <c r="V274" i="65"/>
  <c r="O274" i="65"/>
  <c r="AA274" i="65"/>
  <c r="P274" i="65"/>
  <c r="I274" i="65"/>
  <c r="Y274" i="65"/>
  <c r="L275" i="63"/>
  <c r="R275" i="63"/>
  <c r="AI275" i="63"/>
  <c r="AY275" i="63"/>
  <c r="B275" i="63"/>
  <c r="S275" i="63"/>
  <c r="AJ275" i="63"/>
  <c r="C275" i="63"/>
  <c r="T275" i="63"/>
  <c r="AK275" i="63"/>
  <c r="D275" i="63"/>
  <c r="AL275" i="63"/>
  <c r="E275" i="63"/>
  <c r="V275" i="63"/>
  <c r="D275" i="65" s="1"/>
  <c r="AM275" i="63"/>
  <c r="F275" i="63"/>
  <c r="W275" i="63"/>
  <c r="AN275" i="63"/>
  <c r="G275" i="63"/>
  <c r="X275" i="63"/>
  <c r="AO275" i="63"/>
  <c r="H275" i="63"/>
  <c r="Y275" i="63"/>
  <c r="AE275" i="65" s="1"/>
  <c r="AP275" i="63"/>
  <c r="J275" i="63"/>
  <c r="AR275" i="63"/>
  <c r="K275" i="63"/>
  <c r="AC275" i="63"/>
  <c r="AS275" i="63"/>
  <c r="M275" i="63"/>
  <c r="AD275" i="63"/>
  <c r="AT275" i="63"/>
  <c r="N275" i="63"/>
  <c r="AE275" i="63"/>
  <c r="AU275" i="63"/>
  <c r="I275" i="63"/>
  <c r="O275" i="63"/>
  <c r="P275" i="63"/>
  <c r="Q275" i="63"/>
  <c r="Z275" i="63"/>
  <c r="AF275" i="63"/>
  <c r="AH275" i="63"/>
  <c r="AQ275" i="63"/>
  <c r="AV275" i="63"/>
  <c r="AW275" i="63"/>
  <c r="AX275" i="63"/>
  <c r="AG275" i="63"/>
  <c r="M274" i="65"/>
  <c r="U274" i="65"/>
  <c r="N274" i="65"/>
  <c r="H274" i="65"/>
  <c r="S274" i="65"/>
  <c r="A276" i="63"/>
  <c r="AB275" i="65" l="1"/>
  <c r="AD275" i="65"/>
  <c r="J275" i="65"/>
  <c r="K275" i="65"/>
  <c r="W275" i="65"/>
  <c r="X275" i="65"/>
  <c r="T275" i="65"/>
  <c r="G275" i="65"/>
  <c r="B275" i="65"/>
  <c r="I275" i="65"/>
  <c r="O275" i="65"/>
  <c r="AA275" i="65"/>
  <c r="V275" i="65"/>
  <c r="Z275" i="65"/>
  <c r="P275" i="65"/>
  <c r="N275" i="65"/>
  <c r="Q276" i="63"/>
  <c r="AG276" i="63"/>
  <c r="AW276" i="63"/>
  <c r="B276" i="63"/>
  <c r="R276" i="63"/>
  <c r="AH276" i="63"/>
  <c r="AX276" i="63"/>
  <c r="C276" i="63"/>
  <c r="S276" i="63"/>
  <c r="AI276" i="63"/>
  <c r="AY276" i="63"/>
  <c r="D276" i="63"/>
  <c r="T276" i="63"/>
  <c r="AJ276" i="63"/>
  <c r="E276" i="63"/>
  <c r="AK276" i="63"/>
  <c r="F276" i="63"/>
  <c r="V276" i="63"/>
  <c r="AL276" i="63"/>
  <c r="G276" i="63"/>
  <c r="W276" i="63"/>
  <c r="AM276" i="63"/>
  <c r="H276" i="63"/>
  <c r="X276" i="63"/>
  <c r="AN276" i="63"/>
  <c r="J276" i="63"/>
  <c r="Z276" i="63"/>
  <c r="AP276" i="63"/>
  <c r="K276" i="63"/>
  <c r="AQ276" i="63"/>
  <c r="L276" i="63"/>
  <c r="K276" i="65" s="1"/>
  <c r="AR276" i="63"/>
  <c r="M276" i="63"/>
  <c r="AC276" i="63"/>
  <c r="AS276" i="63"/>
  <c r="Y276" i="63"/>
  <c r="AE276" i="65" s="1"/>
  <c r="AD276" i="63"/>
  <c r="AE276" i="63"/>
  <c r="AF276" i="63"/>
  <c r="AO276" i="63"/>
  <c r="AT276" i="63"/>
  <c r="AV276" i="63"/>
  <c r="I276" i="63"/>
  <c r="P276" i="63"/>
  <c r="N276" i="63"/>
  <c r="O276" i="63"/>
  <c r="AU276" i="63"/>
  <c r="S275" i="65"/>
  <c r="Y275" i="65"/>
  <c r="U275" i="65"/>
  <c r="M275" i="65"/>
  <c r="H275" i="65"/>
  <c r="A277" i="63"/>
  <c r="N276" i="65" l="1"/>
  <c r="AD276" i="65"/>
  <c r="AB276" i="65"/>
  <c r="J276" i="65"/>
  <c r="D276" i="65"/>
  <c r="X276" i="65"/>
  <c r="T276" i="65"/>
  <c r="B276" i="65"/>
  <c r="I276" i="65"/>
  <c r="G276" i="65"/>
  <c r="Z276" i="65"/>
  <c r="O276" i="65"/>
  <c r="AA276" i="65"/>
  <c r="P276" i="65"/>
  <c r="V276" i="65"/>
  <c r="W276" i="65"/>
  <c r="O277" i="63"/>
  <c r="AE277" i="63"/>
  <c r="AU277" i="63"/>
  <c r="P277" i="63"/>
  <c r="AF277" i="63"/>
  <c r="AV277" i="63"/>
  <c r="AG277" i="63"/>
  <c r="AW277" i="63"/>
  <c r="AH277" i="63"/>
  <c r="AX277" i="63"/>
  <c r="S277" i="63"/>
  <c r="AI277" i="63"/>
  <c r="AY277" i="63"/>
  <c r="T277" i="63"/>
  <c r="AJ277" i="63"/>
  <c r="U277" i="63"/>
  <c r="AK277" i="63"/>
  <c r="V277" i="63"/>
  <c r="AL277" i="63"/>
  <c r="H277" i="63"/>
  <c r="AN277" i="63"/>
  <c r="I277" i="63"/>
  <c r="O277" i="65" s="1"/>
  <c r="AO277" i="63"/>
  <c r="J277" i="63"/>
  <c r="Z277" i="63"/>
  <c r="AP277" i="63"/>
  <c r="K277" i="63"/>
  <c r="AQ277" i="63"/>
  <c r="AM277" i="63"/>
  <c r="AR277" i="63"/>
  <c r="AS277" i="63"/>
  <c r="AT277" i="63"/>
  <c r="L277" i="63"/>
  <c r="M277" i="63"/>
  <c r="N277" i="63"/>
  <c r="W277" i="63"/>
  <c r="AD277" i="63"/>
  <c r="AC277" i="63"/>
  <c r="Y276" i="65"/>
  <c r="M276" i="65"/>
  <c r="H276" i="65"/>
  <c r="U276" i="65"/>
  <c r="S276" i="65"/>
  <c r="A278" i="63"/>
  <c r="AC277" i="65" l="1"/>
  <c r="K277" i="65"/>
  <c r="J277" i="65"/>
  <c r="D277" i="65"/>
  <c r="P277" i="65"/>
  <c r="AA277" i="65"/>
  <c r="V277" i="65"/>
  <c r="I277" i="65"/>
  <c r="W277" i="65"/>
  <c r="Z277" i="65"/>
  <c r="G277" i="65"/>
  <c r="S277" i="65"/>
  <c r="M278" i="63"/>
  <c r="AC278" i="63"/>
  <c r="AS278" i="63"/>
  <c r="N278" i="63"/>
  <c r="AD278" i="63"/>
  <c r="AT278" i="63"/>
  <c r="O278" i="63"/>
  <c r="AE278" i="63"/>
  <c r="AU278" i="63"/>
  <c r="AF278" i="63"/>
  <c r="AV278" i="63"/>
  <c r="AG278" i="63"/>
  <c r="AW278" i="63"/>
  <c r="AH278" i="63"/>
  <c r="AX278" i="63"/>
  <c r="AI278" i="63"/>
  <c r="AY278" i="63"/>
  <c r="T278" i="63"/>
  <c r="AJ278" i="63"/>
  <c r="V278" i="63"/>
  <c r="D278" i="65" s="1"/>
  <c r="AL278" i="63"/>
  <c r="W278" i="63"/>
  <c r="AM278" i="63"/>
  <c r="H278" i="63"/>
  <c r="AN278" i="63"/>
  <c r="I278" i="63"/>
  <c r="AO278" i="63"/>
  <c r="J278" i="63"/>
  <c r="L278" i="63"/>
  <c r="K278" i="65" s="1"/>
  <c r="U278" i="63"/>
  <c r="Z278" i="63"/>
  <c r="AK278" i="63"/>
  <c r="AR278" i="63"/>
  <c r="AP278" i="63"/>
  <c r="AQ278" i="63"/>
  <c r="Y277" i="65"/>
  <c r="N277" i="65"/>
  <c r="M277" i="65"/>
  <c r="H277" i="65"/>
  <c r="A279" i="63"/>
  <c r="AC278" i="65" l="1"/>
  <c r="J278" i="65"/>
  <c r="V278" i="65"/>
  <c r="W278" i="65"/>
  <c r="Z278" i="65"/>
  <c r="G278" i="65"/>
  <c r="O278" i="65"/>
  <c r="AA278" i="65"/>
  <c r="I278" i="65"/>
  <c r="P278" i="65"/>
  <c r="AQ279" i="63"/>
  <c r="L279" i="63"/>
  <c r="AR279" i="63"/>
  <c r="M279" i="63"/>
  <c r="AC279" i="63"/>
  <c r="AS279" i="63"/>
  <c r="N279" i="63"/>
  <c r="AD279" i="63"/>
  <c r="AT279" i="63"/>
  <c r="O279" i="63"/>
  <c r="AE279" i="63"/>
  <c r="AU279" i="63"/>
  <c r="AF279" i="63"/>
  <c r="AV279" i="63"/>
  <c r="AG279" i="63"/>
  <c r="AW279" i="63"/>
  <c r="B279" i="63"/>
  <c r="AH279" i="63"/>
  <c r="AX279" i="63"/>
  <c r="D279" i="63"/>
  <c r="T279" i="63"/>
  <c r="AJ279" i="63"/>
  <c r="E279" i="63"/>
  <c r="U279" i="63"/>
  <c r="AK279" i="63"/>
  <c r="F279" i="63"/>
  <c r="V279" i="63"/>
  <c r="D279" i="65" s="1"/>
  <c r="AL279" i="63"/>
  <c r="G279" i="63"/>
  <c r="W279" i="63"/>
  <c r="AM279" i="63"/>
  <c r="C279" i="63"/>
  <c r="H279" i="63"/>
  <c r="I279" i="63"/>
  <c r="J279" i="63"/>
  <c r="X279" i="63"/>
  <c r="Z279" i="63"/>
  <c r="AI279" i="63"/>
  <c r="AN279" i="63"/>
  <c r="AO279" i="63"/>
  <c r="AP279" i="63"/>
  <c r="AY279" i="63"/>
  <c r="Y279" i="63"/>
  <c r="AE279" i="65" s="1"/>
  <c r="M278" i="65"/>
  <c r="H278" i="65"/>
  <c r="N278" i="65"/>
  <c r="S278" i="65"/>
  <c r="A280" i="63"/>
  <c r="AD279" i="65" l="1"/>
  <c r="AC279" i="65"/>
  <c r="J279" i="65"/>
  <c r="K279" i="65"/>
  <c r="X279" i="65"/>
  <c r="T279" i="65"/>
  <c r="G279" i="65"/>
  <c r="B279" i="65"/>
  <c r="I279" i="65"/>
  <c r="Z279" i="65"/>
  <c r="O279" i="65"/>
  <c r="AA279" i="65"/>
  <c r="W279" i="65"/>
  <c r="P279" i="65"/>
  <c r="V279" i="65"/>
  <c r="I280" i="63"/>
  <c r="Y280" i="63"/>
  <c r="AE280" i="65" s="1"/>
  <c r="AO280" i="63"/>
  <c r="J280" i="63"/>
  <c r="Z280" i="63"/>
  <c r="AP280" i="63"/>
  <c r="AQ280" i="63"/>
  <c r="L280" i="63"/>
  <c r="AR280" i="63"/>
  <c r="M280" i="63"/>
  <c r="AC280" i="63"/>
  <c r="AS280" i="63"/>
  <c r="N280" i="63"/>
  <c r="AD280" i="63"/>
  <c r="AT280" i="63"/>
  <c r="O280" i="63"/>
  <c r="AE280" i="63"/>
  <c r="AU280" i="63"/>
  <c r="AF280" i="63"/>
  <c r="AV280" i="63"/>
  <c r="B280" i="63"/>
  <c r="R280" i="63"/>
  <c r="AH280" i="63"/>
  <c r="AX280" i="63"/>
  <c r="C280" i="63"/>
  <c r="AI280" i="63"/>
  <c r="AY280" i="63"/>
  <c r="D280" i="63"/>
  <c r="T280" i="63"/>
  <c r="AJ280" i="63"/>
  <c r="E280" i="63"/>
  <c r="U280" i="63"/>
  <c r="AK280" i="63"/>
  <c r="Q280" i="63"/>
  <c r="V280" i="63"/>
  <c r="W280" i="63"/>
  <c r="X280" i="63"/>
  <c r="AG280" i="63"/>
  <c r="AL280" i="63"/>
  <c r="AN280" i="63"/>
  <c r="AW280" i="63"/>
  <c r="H280" i="63"/>
  <c r="F280" i="63"/>
  <c r="G280" i="63"/>
  <c r="AM280" i="63"/>
  <c r="U279" i="65"/>
  <c r="N279" i="65"/>
  <c r="H279" i="65"/>
  <c r="S279" i="65"/>
  <c r="M279" i="65"/>
  <c r="A281" i="63"/>
  <c r="P280" i="65" l="1"/>
  <c r="AD280" i="65"/>
  <c r="AB280" i="65"/>
  <c r="AC280" i="65"/>
  <c r="D280" i="65"/>
  <c r="K280" i="65"/>
  <c r="J280" i="65"/>
  <c r="X280" i="65"/>
  <c r="T280" i="65"/>
  <c r="B280" i="65"/>
  <c r="G280" i="65"/>
  <c r="O280" i="65"/>
  <c r="AA280" i="65"/>
  <c r="V280" i="65"/>
  <c r="Z280" i="65"/>
  <c r="W280" i="65"/>
  <c r="I280" i="65"/>
  <c r="G281" i="63"/>
  <c r="W281" i="63"/>
  <c r="AM281" i="63"/>
  <c r="H281" i="63"/>
  <c r="X281" i="63"/>
  <c r="AN281" i="63"/>
  <c r="I281" i="63"/>
  <c r="O281" i="65" s="1"/>
  <c r="Y281" i="63"/>
  <c r="AE281" i="65" s="1"/>
  <c r="AO281" i="63"/>
  <c r="J281" i="63"/>
  <c r="Z281" i="63"/>
  <c r="AP281" i="63"/>
  <c r="K281" i="63"/>
  <c r="AQ281" i="63"/>
  <c r="L281" i="63"/>
  <c r="K281" i="65" s="1"/>
  <c r="AR281" i="63"/>
  <c r="M281" i="63"/>
  <c r="AC281" i="63"/>
  <c r="AS281" i="63"/>
  <c r="N281" i="63"/>
  <c r="AD281" i="63"/>
  <c r="AT281" i="63"/>
  <c r="P281" i="63"/>
  <c r="AF281" i="63"/>
  <c r="AV281" i="63"/>
  <c r="Q281" i="63"/>
  <c r="AG281" i="63"/>
  <c r="AW281" i="63"/>
  <c r="B281" i="63"/>
  <c r="R281" i="63"/>
  <c r="AH281" i="63"/>
  <c r="AX281" i="63"/>
  <c r="C281" i="63"/>
  <c r="S281" i="63"/>
  <c r="AI281" i="63"/>
  <c r="AY281" i="63"/>
  <c r="AE281" i="63"/>
  <c r="AJ281" i="63"/>
  <c r="AK281" i="63"/>
  <c r="AL281" i="63"/>
  <c r="AU281" i="63"/>
  <c r="D281" i="63"/>
  <c r="E281" i="63"/>
  <c r="F281" i="63"/>
  <c r="O281" i="63"/>
  <c r="V281" i="63"/>
  <c r="D281" i="65" s="1"/>
  <c r="T281" i="63"/>
  <c r="U281" i="63"/>
  <c r="N280" i="65"/>
  <c r="H280" i="65"/>
  <c r="M280" i="65"/>
  <c r="S280" i="65"/>
  <c r="U280" i="65"/>
  <c r="A282" i="63"/>
  <c r="J281" i="65" l="1"/>
  <c r="AC281" i="65"/>
  <c r="AD281" i="65"/>
  <c r="T281" i="65"/>
  <c r="P281" i="65"/>
  <c r="X281" i="65"/>
  <c r="W281" i="65"/>
  <c r="AA281" i="65"/>
  <c r="AB281" i="65"/>
  <c r="G281" i="65"/>
  <c r="B281" i="65"/>
  <c r="I281" i="65"/>
  <c r="V281" i="65"/>
  <c r="Z281" i="65"/>
  <c r="E282" i="63"/>
  <c r="U282" i="63"/>
  <c r="AK282" i="63"/>
  <c r="F282" i="63"/>
  <c r="V282" i="63"/>
  <c r="D282" i="65" s="1"/>
  <c r="AL282" i="63"/>
  <c r="G282" i="63"/>
  <c r="AM282" i="63"/>
  <c r="X282" i="63"/>
  <c r="AN282" i="63"/>
  <c r="I282" i="63"/>
  <c r="Y282" i="63"/>
  <c r="AO282" i="63"/>
  <c r="J282" i="63"/>
  <c r="Z282" i="63"/>
  <c r="AP282" i="63"/>
  <c r="K282" i="63"/>
  <c r="AQ282" i="63"/>
  <c r="L282" i="63"/>
  <c r="K282" i="65" s="1"/>
  <c r="AR282" i="63"/>
  <c r="N282" i="63"/>
  <c r="AD282" i="63"/>
  <c r="AT282" i="63"/>
  <c r="O282" i="63"/>
  <c r="AE282" i="63"/>
  <c r="AU282" i="63"/>
  <c r="P282" i="63"/>
  <c r="AF282" i="63"/>
  <c r="AV282" i="63"/>
  <c r="Q282" i="63"/>
  <c r="AG282" i="63"/>
  <c r="AW282" i="63"/>
  <c r="AS282" i="63"/>
  <c r="AX282" i="63"/>
  <c r="AY282" i="63"/>
  <c r="B282" i="63"/>
  <c r="D282" i="63"/>
  <c r="M282" i="63"/>
  <c r="R282" i="63"/>
  <c r="S282" i="63"/>
  <c r="T282" i="63"/>
  <c r="AC282" i="63"/>
  <c r="AJ282" i="63"/>
  <c r="C282" i="63"/>
  <c r="AH282" i="63"/>
  <c r="AI282" i="63"/>
  <c r="U281" i="65"/>
  <c r="N281" i="65"/>
  <c r="H281" i="65"/>
  <c r="M281" i="65"/>
  <c r="Y281" i="65"/>
  <c r="S281" i="65"/>
  <c r="A283" i="63"/>
  <c r="AD282" i="65" l="1"/>
  <c r="AE282" i="65"/>
  <c r="Z282" i="65"/>
  <c r="O282" i="65"/>
  <c r="AC282" i="65"/>
  <c r="X282" i="65"/>
  <c r="T282" i="65"/>
  <c r="AA282" i="65"/>
  <c r="AB282" i="65"/>
  <c r="G282" i="65"/>
  <c r="V282" i="65"/>
  <c r="W282" i="65"/>
  <c r="B282" i="65"/>
  <c r="I282" i="65"/>
  <c r="P282" i="65"/>
  <c r="S282" i="65"/>
  <c r="S283" i="63"/>
  <c r="AI283" i="63"/>
  <c r="AY283" i="63"/>
  <c r="T283" i="63"/>
  <c r="AJ283" i="63"/>
  <c r="U283" i="63"/>
  <c r="AK283" i="63"/>
  <c r="V283" i="63"/>
  <c r="AL283" i="63"/>
  <c r="AM283" i="63"/>
  <c r="AN283" i="63"/>
  <c r="AO283" i="63"/>
  <c r="J283" i="63"/>
  <c r="Z283" i="63"/>
  <c r="AP283" i="63"/>
  <c r="L283" i="63"/>
  <c r="AR283" i="63"/>
  <c r="M283" i="63"/>
  <c r="AC283" i="63"/>
  <c r="AS283" i="63"/>
  <c r="N283" i="63"/>
  <c r="AD283" i="63"/>
  <c r="AT283" i="63"/>
  <c r="O283" i="63"/>
  <c r="AE283" i="63"/>
  <c r="AU283" i="63"/>
  <c r="K283" i="63"/>
  <c r="P283" i="63"/>
  <c r="R283" i="63"/>
  <c r="AF283" i="63"/>
  <c r="AG283" i="63"/>
  <c r="AH283" i="63"/>
  <c r="AQ283" i="63"/>
  <c r="AX283" i="63"/>
  <c r="Q283" i="63"/>
  <c r="AV283" i="63"/>
  <c r="AW283" i="63"/>
  <c r="Y282" i="65"/>
  <c r="M282" i="65"/>
  <c r="H282" i="65"/>
  <c r="U282" i="65"/>
  <c r="A284" i="63"/>
  <c r="AB283" i="65" l="1"/>
  <c r="AC283" i="65"/>
  <c r="K283" i="65"/>
  <c r="D283" i="65"/>
  <c r="P283" i="65"/>
  <c r="I283" i="65"/>
  <c r="O283" i="65"/>
  <c r="AA283" i="65"/>
  <c r="V283" i="65"/>
  <c r="W283" i="65"/>
  <c r="G283" i="65"/>
  <c r="Z283" i="65"/>
  <c r="AG284" i="63"/>
  <c r="AW284" i="63"/>
  <c r="AH284" i="63"/>
  <c r="AX284" i="63"/>
  <c r="S284" i="63"/>
  <c r="AI284" i="63"/>
  <c r="AY284" i="63"/>
  <c r="T284" i="63"/>
  <c r="AJ284" i="63"/>
  <c r="U284" i="63"/>
  <c r="AK284" i="63"/>
  <c r="V284" i="63"/>
  <c r="AL284" i="63"/>
  <c r="AM284" i="63"/>
  <c r="AN284" i="63"/>
  <c r="J284" i="63"/>
  <c r="Z284" i="63"/>
  <c r="AP284" i="63"/>
  <c r="K284" i="63"/>
  <c r="AQ284" i="63"/>
  <c r="L284" i="63"/>
  <c r="K284" i="65" s="1"/>
  <c r="AR284" i="63"/>
  <c r="M284" i="63"/>
  <c r="AC284" i="63"/>
  <c r="AS284" i="63"/>
  <c r="N284" i="63"/>
  <c r="O284" i="63"/>
  <c r="P284" i="63"/>
  <c r="AD284" i="63"/>
  <c r="AF284" i="63"/>
  <c r="AO284" i="63"/>
  <c r="AT284" i="63"/>
  <c r="AU284" i="63"/>
  <c r="AV284" i="63"/>
  <c r="AE284" i="63"/>
  <c r="Y283" i="65"/>
  <c r="S283" i="65"/>
  <c r="H283" i="65"/>
  <c r="M283" i="65"/>
  <c r="A285" i="63"/>
  <c r="Z284" i="65" l="1"/>
  <c r="AC284" i="65"/>
  <c r="D284" i="65"/>
  <c r="P284" i="65"/>
  <c r="I284" i="65"/>
  <c r="V284" i="65"/>
  <c r="O284" i="65"/>
  <c r="AA284" i="65"/>
  <c r="W284" i="65"/>
  <c r="G284" i="65"/>
  <c r="O285" i="63"/>
  <c r="AE285" i="63"/>
  <c r="AU285" i="63"/>
  <c r="P285" i="63"/>
  <c r="AF285" i="63"/>
  <c r="AV285" i="63"/>
  <c r="AG285" i="63"/>
  <c r="AW285" i="63"/>
  <c r="B285" i="63"/>
  <c r="AH285" i="63"/>
  <c r="AX285" i="63"/>
  <c r="C285" i="63"/>
  <c r="AI285" i="63"/>
  <c r="AY285" i="63"/>
  <c r="D285" i="63"/>
  <c r="T285" i="63"/>
  <c r="AJ285" i="63"/>
  <c r="E285" i="63"/>
  <c r="U285" i="63"/>
  <c r="AK285" i="63"/>
  <c r="F285" i="63"/>
  <c r="V285" i="63"/>
  <c r="D285" i="65" s="1"/>
  <c r="AL285" i="63"/>
  <c r="H285" i="63"/>
  <c r="X285" i="63"/>
  <c r="AN285" i="63"/>
  <c r="Y285" i="63"/>
  <c r="AE285" i="65" s="1"/>
  <c r="AO285" i="63"/>
  <c r="J285" i="63"/>
  <c r="Z285" i="63"/>
  <c r="AP285" i="63"/>
  <c r="AQ285" i="63"/>
  <c r="W285" i="63"/>
  <c r="AC285" i="63"/>
  <c r="AD285" i="63"/>
  <c r="AM285" i="63"/>
  <c r="AR285" i="63"/>
  <c r="AT285" i="63"/>
  <c r="G285" i="63"/>
  <c r="N285" i="63"/>
  <c r="L285" i="63"/>
  <c r="M285" i="63"/>
  <c r="AS285" i="63"/>
  <c r="Y284" i="65"/>
  <c r="H284" i="65"/>
  <c r="S284" i="65"/>
  <c r="M284" i="65"/>
  <c r="A286" i="63"/>
  <c r="S285" i="65" l="1"/>
  <c r="AC285" i="65"/>
  <c r="AD285" i="65"/>
  <c r="P285" i="65"/>
  <c r="K285" i="65"/>
  <c r="J285" i="65"/>
  <c r="X285" i="65"/>
  <c r="T285" i="65"/>
  <c r="Z285" i="65"/>
  <c r="I285" i="65"/>
  <c r="V285" i="65"/>
  <c r="O285" i="65"/>
  <c r="AA285" i="65"/>
  <c r="W285" i="65"/>
  <c r="G285" i="65"/>
  <c r="B285" i="65"/>
  <c r="AC286" i="63"/>
  <c r="AS286" i="63"/>
  <c r="N286" i="63"/>
  <c r="AD286" i="63"/>
  <c r="AT286" i="63"/>
  <c r="O286" i="63"/>
  <c r="AE286" i="63"/>
  <c r="AU286" i="63"/>
  <c r="P286" i="63"/>
  <c r="AF286" i="63"/>
  <c r="AV286" i="63"/>
  <c r="AG286" i="63"/>
  <c r="AW286" i="63"/>
  <c r="B286" i="63"/>
  <c r="AH286" i="63"/>
  <c r="AX286" i="63"/>
  <c r="C286" i="63"/>
  <c r="AI286" i="63"/>
  <c r="AY286" i="63"/>
  <c r="F286" i="63"/>
  <c r="V286" i="63"/>
  <c r="AL286" i="63"/>
  <c r="G286" i="63"/>
  <c r="W286" i="63"/>
  <c r="AM286" i="63"/>
  <c r="H286" i="63"/>
  <c r="X286" i="63"/>
  <c r="AN286" i="63"/>
  <c r="I286" i="63"/>
  <c r="Y286" i="63"/>
  <c r="AO286" i="63"/>
  <c r="AJ286" i="63"/>
  <c r="AK286" i="63"/>
  <c r="AP286" i="63"/>
  <c r="AQ286" i="63"/>
  <c r="D286" i="63"/>
  <c r="E286" i="63"/>
  <c r="J286" i="63"/>
  <c r="L286" i="63"/>
  <c r="Z286" i="63"/>
  <c r="U286" i="63"/>
  <c r="AR286" i="63"/>
  <c r="H285" i="65"/>
  <c r="U285" i="65"/>
  <c r="M285" i="65"/>
  <c r="A287" i="63"/>
  <c r="P286" i="65" l="1"/>
  <c r="AD286" i="65"/>
  <c r="AE286" i="65"/>
  <c r="T286" i="65"/>
  <c r="AC286" i="65"/>
  <c r="X286" i="65"/>
  <c r="J286" i="65"/>
  <c r="K286" i="65"/>
  <c r="D286" i="65"/>
  <c r="B286" i="65"/>
  <c r="W286" i="65"/>
  <c r="I286" i="65"/>
  <c r="O286" i="65"/>
  <c r="G286" i="65"/>
  <c r="Z286" i="65"/>
  <c r="V286" i="65"/>
  <c r="H286" i="65"/>
  <c r="AQ287" i="63"/>
  <c r="L287" i="63"/>
  <c r="AR287" i="63"/>
  <c r="AC287" i="63"/>
  <c r="AS287" i="63"/>
  <c r="N287" i="63"/>
  <c r="AD287" i="63"/>
  <c r="AT287" i="63"/>
  <c r="O287" i="63"/>
  <c r="AE287" i="63"/>
  <c r="AU287" i="63"/>
  <c r="P287" i="63"/>
  <c r="AF287" i="63"/>
  <c r="AV287" i="63"/>
  <c r="Q287" i="63"/>
  <c r="AG287" i="63"/>
  <c r="AW287" i="63"/>
  <c r="D287" i="63"/>
  <c r="AJ287" i="63"/>
  <c r="E287" i="63"/>
  <c r="U287" i="63"/>
  <c r="AK287" i="63"/>
  <c r="F287" i="63"/>
  <c r="V287" i="63"/>
  <c r="AL287" i="63"/>
  <c r="G287" i="63"/>
  <c r="W287" i="63"/>
  <c r="AM287" i="63"/>
  <c r="Z287" i="63"/>
  <c r="AH287" i="63"/>
  <c r="AI287" i="63"/>
  <c r="AN287" i="63"/>
  <c r="AO287" i="63"/>
  <c r="AP287" i="63"/>
  <c r="B287" i="63"/>
  <c r="AY287" i="63"/>
  <c r="C287" i="63"/>
  <c r="H287" i="63"/>
  <c r="G287" i="65" s="1"/>
  <c r="I287" i="63"/>
  <c r="J287" i="63"/>
  <c r="R287" i="63"/>
  <c r="Y287" i="63"/>
  <c r="AE287" i="65" s="1"/>
  <c r="X287" i="63"/>
  <c r="AX287" i="63"/>
  <c r="N286" i="65"/>
  <c r="S286" i="65"/>
  <c r="U286" i="65"/>
  <c r="M286" i="65"/>
  <c r="A288" i="63"/>
  <c r="AB287" i="65" l="1"/>
  <c r="AC287" i="65"/>
  <c r="AD287" i="65"/>
  <c r="Z287" i="65"/>
  <c r="J287" i="65"/>
  <c r="D287" i="65"/>
  <c r="I287" i="65"/>
  <c r="K287" i="65"/>
  <c r="X287" i="65"/>
  <c r="T287" i="65"/>
  <c r="W287" i="65"/>
  <c r="O287" i="65"/>
  <c r="B287" i="65"/>
  <c r="P287" i="65"/>
  <c r="V287" i="65"/>
  <c r="I288" i="63"/>
  <c r="Y288" i="63"/>
  <c r="AE288" i="65" s="1"/>
  <c r="AO288" i="63"/>
  <c r="J288" i="63"/>
  <c r="Z288" i="63"/>
  <c r="AP288" i="63"/>
  <c r="K288" i="63"/>
  <c r="AQ288" i="63"/>
  <c r="L288" i="63"/>
  <c r="AR288" i="63"/>
  <c r="AC288" i="63"/>
  <c r="AS288" i="63"/>
  <c r="N288" i="63"/>
  <c r="AD288" i="63"/>
  <c r="AT288" i="63"/>
  <c r="O288" i="63"/>
  <c r="AE288" i="63"/>
  <c r="AU288" i="63"/>
  <c r="B288" i="63"/>
  <c r="R288" i="63"/>
  <c r="AH288" i="63"/>
  <c r="AX288" i="63"/>
  <c r="C288" i="63"/>
  <c r="S288" i="63"/>
  <c r="AI288" i="63"/>
  <c r="AY288" i="63"/>
  <c r="D288" i="63"/>
  <c r="AJ288" i="63"/>
  <c r="E288" i="63"/>
  <c r="U288" i="63"/>
  <c r="AK288" i="63"/>
  <c r="AF288" i="63"/>
  <c r="AG288" i="63"/>
  <c r="AL288" i="63"/>
  <c r="AM288" i="63"/>
  <c r="AN288" i="63"/>
  <c r="AV288" i="63"/>
  <c r="F288" i="63"/>
  <c r="G288" i="63"/>
  <c r="H288" i="63"/>
  <c r="P288" i="63"/>
  <c r="Q288" i="63"/>
  <c r="X288" i="63"/>
  <c r="V288" i="63"/>
  <c r="D288" i="65" s="1"/>
  <c r="W288" i="63"/>
  <c r="AW288" i="63"/>
  <c r="U287" i="65"/>
  <c r="M287" i="65"/>
  <c r="N287" i="65"/>
  <c r="H287" i="65"/>
  <c r="S287" i="65"/>
  <c r="A289" i="63"/>
  <c r="AD288" i="65" l="1"/>
  <c r="AC288" i="65"/>
  <c r="O288" i="65"/>
  <c r="K288" i="65"/>
  <c r="J288" i="65"/>
  <c r="B288" i="65"/>
  <c r="X288" i="65"/>
  <c r="T288" i="65"/>
  <c r="I288" i="65"/>
  <c r="AB288" i="65"/>
  <c r="G288" i="65"/>
  <c r="P288" i="65"/>
  <c r="W288" i="65"/>
  <c r="Z288" i="65"/>
  <c r="V288" i="65"/>
  <c r="G289" i="63"/>
  <c r="W289" i="63"/>
  <c r="AM289" i="63"/>
  <c r="H289" i="63"/>
  <c r="X289" i="63"/>
  <c r="AN289" i="63"/>
  <c r="I289" i="63"/>
  <c r="Y289" i="63"/>
  <c r="AE289" i="65" s="1"/>
  <c r="AO289" i="63"/>
  <c r="J289" i="63"/>
  <c r="Z289" i="63"/>
  <c r="AP289" i="63"/>
  <c r="K289" i="63"/>
  <c r="AQ289" i="63"/>
  <c r="L289" i="63"/>
  <c r="K289" i="65" s="1"/>
  <c r="AR289" i="63"/>
  <c r="M289" i="63"/>
  <c r="AC289" i="63"/>
  <c r="AS289" i="63"/>
  <c r="P289" i="63"/>
  <c r="AF289" i="63"/>
  <c r="AV289" i="63"/>
  <c r="Q289" i="63"/>
  <c r="AG289" i="63"/>
  <c r="AW289" i="63"/>
  <c r="B289" i="63"/>
  <c r="R289" i="63"/>
  <c r="AH289" i="63"/>
  <c r="AX289" i="63"/>
  <c r="C289" i="63"/>
  <c r="S289" i="63"/>
  <c r="AI289" i="63"/>
  <c r="AY289" i="63"/>
  <c r="AE289" i="63"/>
  <c r="AJ289" i="63"/>
  <c r="AK289" i="63"/>
  <c r="AL289" i="63"/>
  <c r="AT289" i="63"/>
  <c r="AU289" i="63"/>
  <c r="D289" i="63"/>
  <c r="E289" i="63"/>
  <c r="F289" i="63"/>
  <c r="N289" i="63"/>
  <c r="O289" i="63"/>
  <c r="T289" i="63"/>
  <c r="AD289" i="63"/>
  <c r="U289" i="63"/>
  <c r="V289" i="63"/>
  <c r="D289" i="65" s="1"/>
  <c r="S288" i="65"/>
  <c r="Y288" i="65"/>
  <c r="U288" i="65"/>
  <c r="M288" i="65"/>
  <c r="N288" i="65"/>
  <c r="H288" i="65"/>
  <c r="A290" i="63"/>
  <c r="P289" i="65" l="1"/>
  <c r="AC289" i="65"/>
  <c r="AD289" i="65"/>
  <c r="AB289" i="65"/>
  <c r="J289" i="65"/>
  <c r="X289" i="65"/>
  <c r="T289" i="65"/>
  <c r="V289" i="65"/>
  <c r="W289" i="65"/>
  <c r="G289" i="65"/>
  <c r="O289" i="65"/>
  <c r="AA289" i="65"/>
  <c r="Z289" i="65"/>
  <c r="I289" i="65"/>
  <c r="B289" i="65"/>
  <c r="E290" i="63"/>
  <c r="U290" i="63"/>
  <c r="AK290" i="63"/>
  <c r="F290" i="63"/>
  <c r="V290" i="63"/>
  <c r="AL290" i="63"/>
  <c r="G290" i="63"/>
  <c r="W290" i="63"/>
  <c r="AM290" i="63"/>
  <c r="H290" i="63"/>
  <c r="X290" i="63"/>
  <c r="AN290" i="63"/>
  <c r="I290" i="63"/>
  <c r="O290" i="65" s="1"/>
  <c r="Y290" i="63"/>
  <c r="AO290" i="63"/>
  <c r="J290" i="63"/>
  <c r="Z290" i="63"/>
  <c r="AP290" i="63"/>
  <c r="K290" i="63"/>
  <c r="AQ290" i="63"/>
  <c r="N290" i="63"/>
  <c r="AD290" i="63"/>
  <c r="AT290" i="63"/>
  <c r="O290" i="63"/>
  <c r="AE290" i="63"/>
  <c r="AU290" i="63"/>
  <c r="P290" i="63"/>
  <c r="AF290" i="63"/>
  <c r="AV290" i="63"/>
  <c r="Q290" i="63"/>
  <c r="AG290" i="63"/>
  <c r="AW290" i="63"/>
  <c r="AH290" i="63"/>
  <c r="AI290" i="63"/>
  <c r="AJ290" i="63"/>
  <c r="AR290" i="63"/>
  <c r="AS290" i="63"/>
  <c r="AX290" i="63"/>
  <c r="C290" i="63"/>
  <c r="D290" i="63"/>
  <c r="L290" i="63"/>
  <c r="M290" i="63"/>
  <c r="R290" i="63"/>
  <c r="S290" i="63"/>
  <c r="AC290" i="63"/>
  <c r="B290" i="63"/>
  <c r="T290" i="63"/>
  <c r="AY290" i="63"/>
  <c r="S289" i="65"/>
  <c r="Y289" i="65"/>
  <c r="H289" i="65"/>
  <c r="U289" i="65"/>
  <c r="M289" i="65"/>
  <c r="N289" i="65"/>
  <c r="A291" i="63"/>
  <c r="J290" i="65" l="1"/>
  <c r="P290" i="65"/>
  <c r="AD290" i="65"/>
  <c r="AE290" i="65"/>
  <c r="AC290" i="65"/>
  <c r="D290" i="65"/>
  <c r="K290" i="65"/>
  <c r="X290" i="65"/>
  <c r="T290" i="65"/>
  <c r="AA290" i="65"/>
  <c r="AB290" i="65"/>
  <c r="V290" i="65"/>
  <c r="Y290" i="65"/>
  <c r="I290" i="65"/>
  <c r="G290" i="65"/>
  <c r="Z290" i="65"/>
  <c r="B290" i="65"/>
  <c r="W290" i="65"/>
  <c r="S291" i="63"/>
  <c r="AI291" i="63"/>
  <c r="AY291" i="63"/>
  <c r="T291" i="63"/>
  <c r="AJ291" i="63"/>
  <c r="U291" i="63"/>
  <c r="AK291" i="63"/>
  <c r="V291" i="63"/>
  <c r="AL291" i="63"/>
  <c r="W291" i="63"/>
  <c r="AM291" i="63"/>
  <c r="H291" i="63"/>
  <c r="AN291" i="63"/>
  <c r="I291" i="63"/>
  <c r="AO291" i="63"/>
  <c r="L291" i="63"/>
  <c r="AR291" i="63"/>
  <c r="M291" i="63"/>
  <c r="AC291" i="63"/>
  <c r="AS291" i="63"/>
  <c r="N291" i="63"/>
  <c r="AD291" i="63"/>
  <c r="AT291" i="63"/>
  <c r="O291" i="63"/>
  <c r="AE291" i="63"/>
  <c r="AU291" i="63"/>
  <c r="AG291" i="63"/>
  <c r="AH291" i="63"/>
  <c r="AP291" i="63"/>
  <c r="AQ291" i="63"/>
  <c r="AV291" i="63"/>
  <c r="AW291" i="63"/>
  <c r="J291" i="63"/>
  <c r="K291" i="63"/>
  <c r="P291" i="63"/>
  <c r="AF291" i="63"/>
  <c r="AX291" i="63"/>
  <c r="Z291" i="63"/>
  <c r="U290" i="65"/>
  <c r="S290" i="65"/>
  <c r="M290" i="65"/>
  <c r="H290" i="65"/>
  <c r="N290" i="65"/>
  <c r="A292" i="63"/>
  <c r="AC291" i="65" l="1"/>
  <c r="D291" i="65"/>
  <c r="J291" i="65"/>
  <c r="K291" i="65"/>
  <c r="W291" i="65"/>
  <c r="P291" i="65"/>
  <c r="O291" i="65"/>
  <c r="AA291" i="65"/>
  <c r="I291" i="65"/>
  <c r="V291" i="65"/>
  <c r="G291" i="65"/>
  <c r="Z291" i="65"/>
  <c r="AG292" i="63"/>
  <c r="AW292" i="63"/>
  <c r="AH292" i="63"/>
  <c r="AX292" i="63"/>
  <c r="AI292" i="63"/>
  <c r="AY292" i="63"/>
  <c r="T292" i="63"/>
  <c r="AJ292" i="63"/>
  <c r="U292" i="63"/>
  <c r="AK292" i="63"/>
  <c r="V292" i="63"/>
  <c r="AL292" i="63"/>
  <c r="W292" i="63"/>
  <c r="AM292" i="63"/>
  <c r="J292" i="63"/>
  <c r="Z292" i="63"/>
  <c r="AP292" i="63"/>
  <c r="AQ292" i="63"/>
  <c r="L292" i="63"/>
  <c r="AR292" i="63"/>
  <c r="M292" i="63"/>
  <c r="AC292" i="63"/>
  <c r="AS292" i="63"/>
  <c r="AF292" i="63"/>
  <c r="AN292" i="63"/>
  <c r="AO292" i="63"/>
  <c r="AT292" i="63"/>
  <c r="AU292" i="63"/>
  <c r="AV292" i="63"/>
  <c r="H292" i="63"/>
  <c r="I292" i="63"/>
  <c r="N292" i="63"/>
  <c r="O292" i="63"/>
  <c r="P292" i="63"/>
  <c r="AE292" i="63"/>
  <c r="AD292" i="63"/>
  <c r="M291" i="65"/>
  <c r="S291" i="65"/>
  <c r="Y291" i="65"/>
  <c r="N291" i="65"/>
  <c r="H291" i="65"/>
  <c r="A293" i="63"/>
  <c r="AC292" i="65" l="1"/>
  <c r="K292" i="65"/>
  <c r="J292" i="65"/>
  <c r="D292" i="65"/>
  <c r="I292" i="65"/>
  <c r="Z292" i="65"/>
  <c r="O292" i="65"/>
  <c r="AA292" i="65"/>
  <c r="W292" i="65"/>
  <c r="P292" i="65"/>
  <c r="V292" i="65"/>
  <c r="G292" i="65"/>
  <c r="O293" i="63"/>
  <c r="AE293" i="63"/>
  <c r="AU293" i="63"/>
  <c r="P293" i="63"/>
  <c r="AF293" i="63"/>
  <c r="AV293" i="63"/>
  <c r="AG293" i="63"/>
  <c r="AW293" i="63"/>
  <c r="B293" i="63"/>
  <c r="AH293" i="63"/>
  <c r="AX293" i="63"/>
  <c r="C293" i="63"/>
  <c r="AI293" i="63"/>
  <c r="AY293" i="63"/>
  <c r="D293" i="63"/>
  <c r="T293" i="63"/>
  <c r="AJ293" i="63"/>
  <c r="E293" i="63"/>
  <c r="U293" i="63"/>
  <c r="AK293" i="63"/>
  <c r="H293" i="63"/>
  <c r="X293" i="63"/>
  <c r="AN293" i="63"/>
  <c r="I293" i="63"/>
  <c r="Y293" i="63"/>
  <c r="AE293" i="65" s="1"/>
  <c r="AO293" i="63"/>
  <c r="J293" i="63"/>
  <c r="Z293" i="63"/>
  <c r="AP293" i="63"/>
  <c r="AQ293" i="63"/>
  <c r="AL293" i="63"/>
  <c r="AM293" i="63"/>
  <c r="AR293" i="63"/>
  <c r="AS293" i="63"/>
  <c r="AT293" i="63"/>
  <c r="G293" i="63"/>
  <c r="L293" i="63"/>
  <c r="M293" i="63"/>
  <c r="N293" i="63"/>
  <c r="V293" i="63"/>
  <c r="W293" i="63"/>
  <c r="AD293" i="63"/>
  <c r="F293" i="63"/>
  <c r="AC293" i="63"/>
  <c r="N292" i="65"/>
  <c r="S292" i="65"/>
  <c r="M292" i="65"/>
  <c r="H292" i="65"/>
  <c r="A294" i="63"/>
  <c r="AC293" i="65" l="1"/>
  <c r="AD293" i="65"/>
  <c r="O293" i="65"/>
  <c r="D293" i="65"/>
  <c r="J293" i="65"/>
  <c r="K293" i="65"/>
  <c r="X293" i="65"/>
  <c r="T293" i="65"/>
  <c r="P293" i="65"/>
  <c r="AA293" i="65"/>
  <c r="Z293" i="65"/>
  <c r="V293" i="65"/>
  <c r="B293" i="65"/>
  <c r="I293" i="65"/>
  <c r="W293" i="65"/>
  <c r="G293" i="65"/>
  <c r="M294" i="63"/>
  <c r="AC294" i="63"/>
  <c r="AS294" i="63"/>
  <c r="N294" i="63"/>
  <c r="AD294" i="63"/>
  <c r="AT294" i="63"/>
  <c r="O294" i="63"/>
  <c r="AE294" i="63"/>
  <c r="AU294" i="63"/>
  <c r="P294" i="63"/>
  <c r="AF294" i="63"/>
  <c r="AV294" i="63"/>
  <c r="Q294" i="63"/>
  <c r="AG294" i="63"/>
  <c r="AW294" i="63"/>
  <c r="B294" i="63"/>
  <c r="R294" i="63"/>
  <c r="AH294" i="63"/>
  <c r="AX294" i="63"/>
  <c r="C294" i="63"/>
  <c r="AI294" i="63"/>
  <c r="AY294" i="63"/>
  <c r="F294" i="63"/>
  <c r="V294" i="63"/>
  <c r="AL294" i="63"/>
  <c r="G294" i="63"/>
  <c r="W294" i="63"/>
  <c r="AM294" i="63"/>
  <c r="H294" i="63"/>
  <c r="X294" i="63"/>
  <c r="AN294" i="63"/>
  <c r="I294" i="63"/>
  <c r="Y294" i="63"/>
  <c r="AE294" i="65" s="1"/>
  <c r="AO294" i="63"/>
  <c r="AK294" i="63"/>
  <c r="AP294" i="63"/>
  <c r="AQ294" i="63"/>
  <c r="AR294" i="63"/>
  <c r="D294" i="63"/>
  <c r="J294" i="63"/>
  <c r="L294" i="63"/>
  <c r="K294" i="65" s="1"/>
  <c r="T294" i="63"/>
  <c r="U294" i="63"/>
  <c r="Z294" i="63"/>
  <c r="AJ294" i="63"/>
  <c r="E294" i="63"/>
  <c r="S293" i="65"/>
  <c r="M293" i="65"/>
  <c r="H293" i="65"/>
  <c r="N293" i="65"/>
  <c r="U293" i="65"/>
  <c r="A295" i="63"/>
  <c r="AB294" i="65" l="1"/>
  <c r="AD294" i="65"/>
  <c r="T294" i="65"/>
  <c r="AC294" i="65"/>
  <c r="D294" i="65"/>
  <c r="J294" i="65"/>
  <c r="X294" i="65"/>
  <c r="V294" i="65"/>
  <c r="G294" i="65"/>
  <c r="W294" i="65"/>
  <c r="Z294" i="65"/>
  <c r="P294" i="65"/>
  <c r="B294" i="65"/>
  <c r="O294" i="65"/>
  <c r="AA294" i="65"/>
  <c r="I294" i="65"/>
  <c r="N294" i="65"/>
  <c r="K295" i="63"/>
  <c r="AQ295" i="63"/>
  <c r="L295" i="63"/>
  <c r="AR295" i="63"/>
  <c r="M295" i="63"/>
  <c r="AC295" i="63"/>
  <c r="AS295" i="63"/>
  <c r="N295" i="63"/>
  <c r="AD295" i="63"/>
  <c r="AT295" i="63"/>
  <c r="O295" i="63"/>
  <c r="AE295" i="63"/>
  <c r="AU295" i="63"/>
  <c r="P295" i="63"/>
  <c r="AF295" i="63"/>
  <c r="AV295" i="63"/>
  <c r="Q295" i="63"/>
  <c r="AG295" i="63"/>
  <c r="AW295" i="63"/>
  <c r="D295" i="63"/>
  <c r="T295" i="63"/>
  <c r="AJ295" i="63"/>
  <c r="E295" i="63"/>
  <c r="U295" i="63"/>
  <c r="AK295" i="63"/>
  <c r="F295" i="63"/>
  <c r="V295" i="63"/>
  <c r="AL295" i="63"/>
  <c r="G295" i="63"/>
  <c r="W295" i="63"/>
  <c r="AM295" i="63"/>
  <c r="AN295" i="63"/>
  <c r="AO295" i="63"/>
  <c r="AP295" i="63"/>
  <c r="AX295" i="63"/>
  <c r="B295" i="63"/>
  <c r="AY295" i="63"/>
  <c r="C295" i="63"/>
  <c r="I295" i="63"/>
  <c r="J295" i="63"/>
  <c r="R295" i="63"/>
  <c r="S295" i="63"/>
  <c r="X295" i="63"/>
  <c r="Y295" i="63"/>
  <c r="AE295" i="65" s="1"/>
  <c r="AI295" i="63"/>
  <c r="H295" i="63"/>
  <c r="G295" i="65" s="1"/>
  <c r="Z295" i="63"/>
  <c r="AH295" i="63"/>
  <c r="S294" i="65"/>
  <c r="H294" i="65"/>
  <c r="U294" i="65"/>
  <c r="M294" i="65"/>
  <c r="A296" i="63"/>
  <c r="AB295" i="65" l="1"/>
  <c r="AC295" i="65"/>
  <c r="AD295" i="65"/>
  <c r="J295" i="65"/>
  <c r="D295" i="65"/>
  <c r="I295" i="65"/>
  <c r="K295" i="65"/>
  <c r="Z295" i="65"/>
  <c r="X295" i="65"/>
  <c r="T295" i="65"/>
  <c r="V295" i="65"/>
  <c r="B295" i="65"/>
  <c r="W295" i="65"/>
  <c r="O295" i="65"/>
  <c r="AA295" i="65"/>
  <c r="P295" i="65"/>
  <c r="S295" i="65"/>
  <c r="I296" i="63"/>
  <c r="Y296" i="63"/>
  <c r="AE296" i="65" s="1"/>
  <c r="AO296" i="63"/>
  <c r="J296" i="63"/>
  <c r="Z296" i="63"/>
  <c r="AP296" i="63"/>
  <c r="K296" i="63"/>
  <c r="AQ296" i="63"/>
  <c r="L296" i="63"/>
  <c r="AR296" i="63"/>
  <c r="M296" i="63"/>
  <c r="AC296" i="63"/>
  <c r="AS296" i="63"/>
  <c r="N296" i="63"/>
  <c r="AD296" i="63"/>
  <c r="AT296" i="63"/>
  <c r="O296" i="63"/>
  <c r="AE296" i="63"/>
  <c r="AU296" i="63"/>
  <c r="B296" i="63"/>
  <c r="R296" i="63"/>
  <c r="AH296" i="63"/>
  <c r="AX296" i="63"/>
  <c r="C296" i="63"/>
  <c r="S296" i="63"/>
  <c r="AI296" i="63"/>
  <c r="AY296" i="63"/>
  <c r="D296" i="63"/>
  <c r="E296" i="63"/>
  <c r="AG296" i="63"/>
  <c r="AJ296" i="63"/>
  <c r="AK296" i="63"/>
  <c r="AL296" i="63"/>
  <c r="AM296" i="63"/>
  <c r="F296" i="63"/>
  <c r="AN296" i="63"/>
  <c r="H296" i="63"/>
  <c r="AW296" i="63"/>
  <c r="P296" i="63"/>
  <c r="Q296" i="63"/>
  <c r="T296" i="63"/>
  <c r="U296" i="63"/>
  <c r="V296" i="63"/>
  <c r="AF296" i="63"/>
  <c r="G296" i="63"/>
  <c r="W296" i="63"/>
  <c r="X296" i="63"/>
  <c r="AV296" i="63"/>
  <c r="M295" i="65"/>
  <c r="H295" i="65"/>
  <c r="U295" i="65"/>
  <c r="N295" i="65"/>
  <c r="Y295" i="65"/>
  <c r="A297" i="63"/>
  <c r="N296" i="65" l="1"/>
  <c r="AD296" i="65"/>
  <c r="AB296" i="65"/>
  <c r="AC296" i="65"/>
  <c r="K296" i="65"/>
  <c r="D296" i="65"/>
  <c r="J296" i="65"/>
  <c r="W296" i="65"/>
  <c r="B296" i="65"/>
  <c r="X296" i="65"/>
  <c r="T296" i="65"/>
  <c r="G296" i="65"/>
  <c r="I296" i="65"/>
  <c r="Z296" i="65"/>
  <c r="O296" i="65"/>
  <c r="AA296" i="65"/>
  <c r="V296" i="65"/>
  <c r="P296" i="65"/>
  <c r="W297" i="63"/>
  <c r="AM297" i="63"/>
  <c r="H297" i="63"/>
  <c r="AN297" i="63"/>
  <c r="I297" i="63"/>
  <c r="AO297" i="63"/>
  <c r="J297" i="63"/>
  <c r="Z297" i="63"/>
  <c r="AP297" i="63"/>
  <c r="K297" i="63"/>
  <c r="AQ297" i="63"/>
  <c r="L297" i="63"/>
  <c r="K297" i="65" s="1"/>
  <c r="AR297" i="63"/>
  <c r="M297" i="63"/>
  <c r="AC297" i="63"/>
  <c r="AS297" i="63"/>
  <c r="P297" i="63"/>
  <c r="AF297" i="63"/>
  <c r="AV297" i="63"/>
  <c r="Q297" i="63"/>
  <c r="AG297" i="63"/>
  <c r="AW297" i="63"/>
  <c r="S297" i="63"/>
  <c r="T297" i="63"/>
  <c r="U297" i="63"/>
  <c r="V297" i="63"/>
  <c r="D297" i="65" s="1"/>
  <c r="AD297" i="63"/>
  <c r="AE297" i="63"/>
  <c r="AI297" i="63"/>
  <c r="AJ297" i="63"/>
  <c r="AK297" i="63"/>
  <c r="AL297" i="63"/>
  <c r="AT297" i="63"/>
  <c r="AU297" i="63"/>
  <c r="R297" i="63"/>
  <c r="N297" i="63"/>
  <c r="O297" i="63"/>
  <c r="AH297" i="63"/>
  <c r="AX297" i="63"/>
  <c r="AY297" i="63"/>
  <c r="H296" i="65"/>
  <c r="Y296" i="65"/>
  <c r="U296" i="65"/>
  <c r="S296" i="65"/>
  <c r="M296" i="65"/>
  <c r="A298" i="63"/>
  <c r="AE297" i="65" l="1"/>
  <c r="AB297" i="65"/>
  <c r="AC297" i="65"/>
  <c r="J297" i="65"/>
  <c r="G297" i="65"/>
  <c r="W297" i="65"/>
  <c r="O297" i="65"/>
  <c r="AA297" i="65"/>
  <c r="V297" i="65"/>
  <c r="I297" i="65"/>
  <c r="Z297" i="65"/>
  <c r="P297" i="65"/>
  <c r="U298" i="63"/>
  <c r="AK298" i="63"/>
  <c r="V298" i="63"/>
  <c r="D298" i="65" s="1"/>
  <c r="AL298" i="63"/>
  <c r="W298" i="63"/>
  <c r="AM298" i="63"/>
  <c r="H298" i="63"/>
  <c r="AN298" i="63"/>
  <c r="I298" i="63"/>
  <c r="AO298" i="63"/>
  <c r="J298" i="63"/>
  <c r="Z298" i="63"/>
  <c r="AP298" i="63"/>
  <c r="K298" i="63"/>
  <c r="AQ298" i="63"/>
  <c r="N298" i="63"/>
  <c r="AD298" i="63"/>
  <c r="AT298" i="63"/>
  <c r="O298" i="63"/>
  <c r="AE298" i="63"/>
  <c r="AU298" i="63"/>
  <c r="AR298" i="63"/>
  <c r="AS298" i="63"/>
  <c r="L298" i="63"/>
  <c r="AV298" i="63"/>
  <c r="M298" i="63"/>
  <c r="AW298" i="63"/>
  <c r="P298" i="63"/>
  <c r="AX298" i="63"/>
  <c r="AY298" i="63"/>
  <c r="S298" i="63"/>
  <c r="T298" i="63"/>
  <c r="AC298" i="63"/>
  <c r="AF298" i="63"/>
  <c r="AG298" i="63"/>
  <c r="AJ298" i="63"/>
  <c r="AH298" i="63"/>
  <c r="AI298" i="63"/>
  <c r="S297" i="65"/>
  <c r="M297" i="65"/>
  <c r="N297" i="65"/>
  <c r="Y297" i="65"/>
  <c r="H297" i="65"/>
  <c r="A299" i="63"/>
  <c r="AE298" i="65" l="1"/>
  <c r="J298" i="65"/>
  <c r="O298" i="65"/>
  <c r="AC298" i="65"/>
  <c r="K298" i="65"/>
  <c r="AA298" i="65"/>
  <c r="V298" i="65"/>
  <c r="Z298" i="65"/>
  <c r="I298" i="65"/>
  <c r="W298" i="65"/>
  <c r="G298" i="65"/>
  <c r="P298" i="65"/>
  <c r="C299" i="63"/>
  <c r="AI299" i="63"/>
  <c r="AY299" i="63"/>
  <c r="D299" i="63"/>
  <c r="T299" i="63"/>
  <c r="AJ299" i="63"/>
  <c r="E299" i="63"/>
  <c r="U299" i="63"/>
  <c r="AK299" i="63"/>
  <c r="F299" i="63"/>
  <c r="AL299" i="63"/>
  <c r="G299" i="63"/>
  <c r="W299" i="63"/>
  <c r="AM299" i="63"/>
  <c r="H299" i="63"/>
  <c r="X299" i="63"/>
  <c r="AN299" i="63"/>
  <c r="I299" i="63"/>
  <c r="Y299" i="63"/>
  <c r="AE299" i="65" s="1"/>
  <c r="AO299" i="63"/>
  <c r="L299" i="63"/>
  <c r="AR299" i="63"/>
  <c r="M299" i="63"/>
  <c r="AC299" i="63"/>
  <c r="AS299" i="63"/>
  <c r="AD299" i="63"/>
  <c r="AE299" i="63"/>
  <c r="AF299" i="63"/>
  <c r="AG299" i="63"/>
  <c r="AH299" i="63"/>
  <c r="AP299" i="63"/>
  <c r="J299" i="63"/>
  <c r="AT299" i="63"/>
  <c r="AU299" i="63"/>
  <c r="AV299" i="63"/>
  <c r="O299" i="63"/>
  <c r="AW299" i="63"/>
  <c r="P299" i="63"/>
  <c r="AX299" i="63"/>
  <c r="B299" i="63"/>
  <c r="Z299" i="63"/>
  <c r="AQ299" i="63"/>
  <c r="H298" i="65"/>
  <c r="N298" i="65"/>
  <c r="M298" i="65"/>
  <c r="Y298" i="65"/>
  <c r="S298" i="65"/>
  <c r="A300" i="63"/>
  <c r="AD299" i="65" l="1"/>
  <c r="T299" i="65"/>
  <c r="AC299" i="65"/>
  <c r="X299" i="65"/>
  <c r="K299" i="65"/>
  <c r="B299" i="65"/>
  <c r="W299" i="65"/>
  <c r="V299" i="65"/>
  <c r="P299" i="65"/>
  <c r="O299" i="65"/>
  <c r="AA299" i="65"/>
  <c r="G299" i="65"/>
  <c r="Z299" i="65"/>
  <c r="I299" i="65"/>
  <c r="AG300" i="63"/>
  <c r="AW300" i="63"/>
  <c r="B300" i="63"/>
  <c r="AH300" i="63"/>
  <c r="AX300" i="63"/>
  <c r="C300" i="63"/>
  <c r="AI300" i="63"/>
  <c r="AY300" i="63"/>
  <c r="D300" i="63"/>
  <c r="T300" i="63"/>
  <c r="AJ300" i="63"/>
  <c r="E300" i="63"/>
  <c r="U300" i="63"/>
  <c r="AK300" i="63"/>
  <c r="F300" i="63"/>
  <c r="AL300" i="63"/>
  <c r="G300" i="63"/>
  <c r="J300" i="63"/>
  <c r="Z300" i="63"/>
  <c r="AP300" i="63"/>
  <c r="AQ300" i="63"/>
  <c r="AT300" i="63"/>
  <c r="AU300" i="63"/>
  <c r="P300" i="63"/>
  <c r="AV300" i="63"/>
  <c r="W300" i="63"/>
  <c r="X300" i="63"/>
  <c r="Y300" i="63"/>
  <c r="AC300" i="63"/>
  <c r="AD300" i="63"/>
  <c r="AE300" i="63"/>
  <c r="AF300" i="63"/>
  <c r="AM300" i="63"/>
  <c r="H300" i="63"/>
  <c r="AN300" i="63"/>
  <c r="M300" i="63"/>
  <c r="AS300" i="63"/>
  <c r="AR300" i="63"/>
  <c r="I300" i="63"/>
  <c r="L300" i="63"/>
  <c r="AO300" i="63"/>
  <c r="H299" i="65"/>
  <c r="M299" i="65"/>
  <c r="S299" i="65"/>
  <c r="U299" i="65"/>
  <c r="N299" i="65"/>
  <c r="A301" i="63"/>
  <c r="AD300" i="65" l="1"/>
  <c r="AE300" i="65"/>
  <c r="AC300" i="65"/>
  <c r="B300" i="65"/>
  <c r="D300" i="65"/>
  <c r="I300" i="65"/>
  <c r="K300" i="65"/>
  <c r="X300" i="65"/>
  <c r="T300" i="65"/>
  <c r="W300" i="65"/>
  <c r="G300" i="65"/>
  <c r="Z300" i="65"/>
  <c r="O300" i="65"/>
  <c r="AA300" i="65"/>
  <c r="P300" i="65"/>
  <c r="V300" i="65"/>
  <c r="AE301" i="63"/>
  <c r="AU301" i="63"/>
  <c r="P301" i="63"/>
  <c r="AF301" i="63"/>
  <c r="AV301" i="63"/>
  <c r="Q301" i="63"/>
  <c r="AG301" i="63"/>
  <c r="AW301" i="63"/>
  <c r="B301" i="63"/>
  <c r="R301" i="63"/>
  <c r="AH301" i="63"/>
  <c r="AX301" i="63"/>
  <c r="C301" i="63"/>
  <c r="AI301" i="63"/>
  <c r="AY301" i="63"/>
  <c r="D301" i="63"/>
  <c r="T301" i="63"/>
  <c r="AJ301" i="63"/>
  <c r="H301" i="63"/>
  <c r="I301" i="63"/>
  <c r="Y301" i="63"/>
  <c r="AE301" i="65" s="1"/>
  <c r="AC301" i="63"/>
  <c r="E301" i="63"/>
  <c r="AD301" i="63"/>
  <c r="F301" i="63"/>
  <c r="AK301" i="63"/>
  <c r="G301" i="63"/>
  <c r="AL301" i="63"/>
  <c r="AN301" i="63"/>
  <c r="L301" i="63"/>
  <c r="AO301" i="63"/>
  <c r="M301" i="63"/>
  <c r="AP301" i="63"/>
  <c r="AQ301" i="63"/>
  <c r="U301" i="63"/>
  <c r="AR301" i="63"/>
  <c r="AS301" i="63"/>
  <c r="Z301" i="63"/>
  <c r="J301" i="63"/>
  <c r="W301" i="63"/>
  <c r="X301" i="63"/>
  <c r="AM301" i="63"/>
  <c r="AT301" i="63"/>
  <c r="U300" i="65"/>
  <c r="N300" i="65"/>
  <c r="S300" i="65"/>
  <c r="M300" i="65"/>
  <c r="H300" i="65"/>
  <c r="A302" i="63"/>
  <c r="AB301" i="65" l="1"/>
  <c r="V301" i="65"/>
  <c r="AD301" i="65"/>
  <c r="AC301" i="65"/>
  <c r="P301" i="65"/>
  <c r="K301" i="65"/>
  <c r="X301" i="65"/>
  <c r="T301" i="65"/>
  <c r="Z301" i="65"/>
  <c r="W301" i="65"/>
  <c r="G301" i="65"/>
  <c r="B301" i="65"/>
  <c r="O301" i="65"/>
  <c r="AA301" i="65"/>
  <c r="I301" i="65"/>
  <c r="M302" i="63"/>
  <c r="AC302" i="63"/>
  <c r="AS302" i="63"/>
  <c r="N302" i="63"/>
  <c r="AD302" i="63"/>
  <c r="AT302" i="63"/>
  <c r="AE302" i="63"/>
  <c r="AU302" i="63"/>
  <c r="P302" i="63"/>
  <c r="AF302" i="63"/>
  <c r="AV302" i="63"/>
  <c r="Q302" i="63"/>
  <c r="AG302" i="63"/>
  <c r="AW302" i="63"/>
  <c r="B302" i="63"/>
  <c r="R302" i="63"/>
  <c r="AH302" i="63"/>
  <c r="AX302" i="63"/>
  <c r="E302" i="63"/>
  <c r="F302" i="63"/>
  <c r="G302" i="63"/>
  <c r="AI302" i="63"/>
  <c r="H302" i="63"/>
  <c r="AJ302" i="63"/>
  <c r="I302" i="63"/>
  <c r="AK302" i="63"/>
  <c r="J302" i="63"/>
  <c r="AL302" i="63"/>
  <c r="L302" i="63"/>
  <c r="AN302" i="63"/>
  <c r="S302" i="63"/>
  <c r="AO302" i="63"/>
  <c r="T302" i="63"/>
  <c r="AP302" i="63"/>
  <c r="U302" i="63"/>
  <c r="AQ302" i="63"/>
  <c r="V302" i="63"/>
  <c r="D302" i="65" s="1"/>
  <c r="AR302" i="63"/>
  <c r="W302" i="63"/>
  <c r="AY302" i="63"/>
  <c r="D302" i="63"/>
  <c r="Z302" i="63"/>
  <c r="C302" i="63"/>
  <c r="K302" i="63"/>
  <c r="X302" i="63"/>
  <c r="Y302" i="63"/>
  <c r="AE302" i="65" s="1"/>
  <c r="AM302" i="63"/>
  <c r="M301" i="65"/>
  <c r="H301" i="65"/>
  <c r="S301" i="65"/>
  <c r="U301" i="65"/>
  <c r="N301" i="65"/>
  <c r="A303" i="63"/>
  <c r="J302" i="65" l="1"/>
  <c r="AC302" i="65"/>
  <c r="AD302" i="65"/>
  <c r="O302" i="65"/>
  <c r="K302" i="65"/>
  <c r="W302" i="65"/>
  <c r="X302" i="65"/>
  <c r="T302" i="65"/>
  <c r="P302" i="65"/>
  <c r="AA302" i="65"/>
  <c r="AB302" i="65"/>
  <c r="V302" i="65"/>
  <c r="G302" i="65"/>
  <c r="Z302" i="65"/>
  <c r="B302" i="65"/>
  <c r="U302" i="65"/>
  <c r="I302" i="65"/>
  <c r="Y302" i="65"/>
  <c r="K303" i="63"/>
  <c r="AQ303" i="63"/>
  <c r="L303" i="63"/>
  <c r="AR303" i="63"/>
  <c r="M303" i="63"/>
  <c r="AC303" i="63"/>
  <c r="AS303" i="63"/>
  <c r="N303" i="63"/>
  <c r="AD303" i="63"/>
  <c r="AT303" i="63"/>
  <c r="O303" i="63"/>
  <c r="AE303" i="63"/>
  <c r="AU303" i="63"/>
  <c r="P303" i="63"/>
  <c r="AF303" i="63"/>
  <c r="AV303" i="63"/>
  <c r="E303" i="63"/>
  <c r="AG303" i="63"/>
  <c r="F303" i="63"/>
  <c r="AH303" i="63"/>
  <c r="G303" i="63"/>
  <c r="AI303" i="63"/>
  <c r="H303" i="63"/>
  <c r="AJ303" i="63"/>
  <c r="I303" i="63"/>
  <c r="AK303" i="63"/>
  <c r="J303" i="63"/>
  <c r="AL303" i="63"/>
  <c r="R303" i="63"/>
  <c r="AN303" i="63"/>
  <c r="S303" i="63"/>
  <c r="AO303" i="63"/>
  <c r="T303" i="63"/>
  <c r="AP303" i="63"/>
  <c r="U303" i="63"/>
  <c r="AW303" i="63"/>
  <c r="V303" i="63"/>
  <c r="AX303" i="63"/>
  <c r="W303" i="63"/>
  <c r="AY303" i="63"/>
  <c r="D303" i="63"/>
  <c r="Z303" i="63"/>
  <c r="AM303" i="63"/>
  <c r="B303" i="63"/>
  <c r="C303" i="63"/>
  <c r="Q303" i="63"/>
  <c r="X303" i="63"/>
  <c r="Y303" i="63"/>
  <c r="AE303" i="65" s="1"/>
  <c r="M302" i="65"/>
  <c r="H302" i="65"/>
  <c r="S302" i="65"/>
  <c r="N302" i="65"/>
  <c r="A304" i="63"/>
  <c r="AD303" i="65" l="1"/>
  <c r="J303" i="65"/>
  <c r="AC303" i="65"/>
  <c r="O303" i="65"/>
  <c r="D303" i="65"/>
  <c r="K303" i="65"/>
  <c r="X303" i="65"/>
  <c r="T303" i="65"/>
  <c r="P303" i="65"/>
  <c r="AA303" i="65"/>
  <c r="AB303" i="65"/>
  <c r="W303" i="65"/>
  <c r="I303" i="65"/>
  <c r="Y303" i="65"/>
  <c r="G303" i="65"/>
  <c r="B303" i="65"/>
  <c r="Z303" i="65"/>
  <c r="V303" i="65"/>
  <c r="U303" i="65"/>
  <c r="I304" i="63"/>
  <c r="Y304" i="63"/>
  <c r="AE304" i="65" s="1"/>
  <c r="AO304" i="63"/>
  <c r="J304" i="63"/>
  <c r="Z304" i="63"/>
  <c r="AP304" i="63"/>
  <c r="K304" i="63"/>
  <c r="AQ304" i="63"/>
  <c r="L304" i="63"/>
  <c r="AR304" i="63"/>
  <c r="M304" i="63"/>
  <c r="AC304" i="63"/>
  <c r="AS304" i="63"/>
  <c r="N304" i="63"/>
  <c r="AD304" i="63"/>
  <c r="AT304" i="63"/>
  <c r="E304" i="63"/>
  <c r="AG304" i="63"/>
  <c r="F304" i="63"/>
  <c r="AH304" i="63"/>
  <c r="G304" i="63"/>
  <c r="AI304" i="63"/>
  <c r="H304" i="63"/>
  <c r="O304" i="65" s="1"/>
  <c r="AJ304" i="63"/>
  <c r="O304" i="63"/>
  <c r="AK304" i="63"/>
  <c r="P304" i="63"/>
  <c r="AL304" i="63"/>
  <c r="R304" i="63"/>
  <c r="AN304" i="63"/>
  <c r="S304" i="63"/>
  <c r="AU304" i="63"/>
  <c r="T304" i="63"/>
  <c r="AV304" i="63"/>
  <c r="U304" i="63"/>
  <c r="AW304" i="63"/>
  <c r="V304" i="63"/>
  <c r="D304" i="65" s="1"/>
  <c r="AX304" i="63"/>
  <c r="W304" i="63"/>
  <c r="AY304" i="63"/>
  <c r="D304" i="63"/>
  <c r="AF304" i="63"/>
  <c r="B304" i="63"/>
  <c r="C304" i="63"/>
  <c r="Q304" i="63"/>
  <c r="X304" i="63"/>
  <c r="AE304" i="63"/>
  <c r="AM304" i="63"/>
  <c r="M303" i="65"/>
  <c r="S303" i="65"/>
  <c r="N303" i="65"/>
  <c r="H303" i="65"/>
  <c r="A305" i="63"/>
  <c r="AD304" i="65" l="1"/>
  <c r="AC304" i="65"/>
  <c r="J304" i="65"/>
  <c r="K304" i="65"/>
  <c r="P304" i="65"/>
  <c r="X304" i="65"/>
  <c r="T304" i="65"/>
  <c r="AA304" i="65"/>
  <c r="AB304" i="65"/>
  <c r="V304" i="65"/>
  <c r="I304" i="65"/>
  <c r="M304" i="65"/>
  <c r="G304" i="65"/>
  <c r="W304" i="65"/>
  <c r="Z304" i="65"/>
  <c r="B304" i="65"/>
  <c r="W305" i="63"/>
  <c r="AM305" i="63"/>
  <c r="H305" i="63"/>
  <c r="AN305" i="63"/>
  <c r="I305" i="63"/>
  <c r="O305" i="65" s="1"/>
  <c r="AO305" i="63"/>
  <c r="K305" i="63"/>
  <c r="AQ305" i="63"/>
  <c r="AC305" i="63"/>
  <c r="AW305" i="63"/>
  <c r="AD305" i="63"/>
  <c r="AX305" i="63"/>
  <c r="J305" i="63"/>
  <c r="AE305" i="63"/>
  <c r="AY305" i="63"/>
  <c r="L305" i="63"/>
  <c r="AF305" i="63"/>
  <c r="M305" i="63"/>
  <c r="AG305" i="63"/>
  <c r="N305" i="63"/>
  <c r="AH305" i="63"/>
  <c r="P305" i="63"/>
  <c r="AJ305" i="63"/>
  <c r="AK305" i="63"/>
  <c r="AL305" i="63"/>
  <c r="S305" i="63"/>
  <c r="AP305" i="63"/>
  <c r="T305" i="63"/>
  <c r="AR305" i="63"/>
  <c r="U305" i="63"/>
  <c r="AS305" i="63"/>
  <c r="AV305" i="63"/>
  <c r="O305" i="63"/>
  <c r="V305" i="63"/>
  <c r="D305" i="65" s="1"/>
  <c r="Z305" i="63"/>
  <c r="AI305" i="63"/>
  <c r="AT305" i="63"/>
  <c r="AU305" i="63"/>
  <c r="Y304" i="65"/>
  <c r="N304" i="65"/>
  <c r="S304" i="65"/>
  <c r="H304" i="65"/>
  <c r="U304" i="65"/>
  <c r="A306" i="63"/>
  <c r="AC305" i="65" l="1"/>
  <c r="P305" i="65"/>
  <c r="S305" i="65"/>
  <c r="J305" i="65"/>
  <c r="K305" i="65"/>
  <c r="AA305" i="65"/>
  <c r="V305" i="65"/>
  <c r="G305" i="65"/>
  <c r="W305" i="65"/>
  <c r="I305" i="65"/>
  <c r="Z305" i="65"/>
  <c r="U306" i="63"/>
  <c r="AK306" i="63"/>
  <c r="V306" i="63"/>
  <c r="AL306" i="63"/>
  <c r="W306" i="63"/>
  <c r="AM306" i="63"/>
  <c r="I306" i="63"/>
  <c r="O306" i="65" s="1"/>
  <c r="AO306" i="63"/>
  <c r="AQ306" i="63"/>
  <c r="T306" i="63"/>
  <c r="AR306" i="63"/>
  <c r="AS306" i="63"/>
  <c r="Z306" i="63"/>
  <c r="AT306" i="63"/>
  <c r="AU306" i="63"/>
  <c r="AV306" i="63"/>
  <c r="J306" i="63"/>
  <c r="AD306" i="63"/>
  <c r="AX306" i="63"/>
  <c r="AE306" i="63"/>
  <c r="AY306" i="63"/>
  <c r="L306" i="63"/>
  <c r="K306" i="65" s="1"/>
  <c r="AF306" i="63"/>
  <c r="M306" i="63"/>
  <c r="AG306" i="63"/>
  <c r="N306" i="63"/>
  <c r="AH306" i="63"/>
  <c r="O306" i="63"/>
  <c r="AI306" i="63"/>
  <c r="AP306" i="63"/>
  <c r="P306" i="63"/>
  <c r="AC306" i="63"/>
  <c r="AJ306" i="63"/>
  <c r="AN306" i="63"/>
  <c r="AW306" i="63"/>
  <c r="H306" i="63"/>
  <c r="Y305" i="65"/>
  <c r="M305" i="65"/>
  <c r="N305" i="65"/>
  <c r="H305" i="65"/>
  <c r="A307" i="63"/>
  <c r="AC306" i="65" l="1"/>
  <c r="J306" i="65"/>
  <c r="D306" i="65"/>
  <c r="W306" i="65"/>
  <c r="AA306" i="65"/>
  <c r="V306" i="65"/>
  <c r="G306" i="65"/>
  <c r="P306" i="65"/>
  <c r="Z306" i="65"/>
  <c r="I306" i="65"/>
  <c r="N306" i="65"/>
  <c r="C307" i="63"/>
  <c r="AI307" i="63"/>
  <c r="AY307" i="63"/>
  <c r="D307" i="63"/>
  <c r="AJ307" i="63"/>
  <c r="E307" i="63"/>
  <c r="U307" i="63"/>
  <c r="AK307" i="63"/>
  <c r="G307" i="63"/>
  <c r="W307" i="63"/>
  <c r="AM307" i="63"/>
  <c r="M307" i="63"/>
  <c r="AG307" i="63"/>
  <c r="N307" i="63"/>
  <c r="AH307" i="63"/>
  <c r="O307" i="63"/>
  <c r="AL307" i="63"/>
  <c r="P307" i="63"/>
  <c r="AN307" i="63"/>
  <c r="AO307" i="63"/>
  <c r="AP307" i="63"/>
  <c r="X307" i="63"/>
  <c r="AR307" i="63"/>
  <c r="Y307" i="63"/>
  <c r="AE307" i="65" s="1"/>
  <c r="AS307" i="63"/>
  <c r="B307" i="63"/>
  <c r="Z307" i="63"/>
  <c r="AT307" i="63"/>
  <c r="F307" i="63"/>
  <c r="AU307" i="63"/>
  <c r="H307" i="63"/>
  <c r="AV307" i="63"/>
  <c r="I307" i="63"/>
  <c r="AC307" i="63"/>
  <c r="AW307" i="63"/>
  <c r="L307" i="63"/>
  <c r="AF307" i="63"/>
  <c r="J307" i="63"/>
  <c r="V307" i="63"/>
  <c r="D307" i="65" s="1"/>
  <c r="AD307" i="63"/>
  <c r="AE307" i="63"/>
  <c r="AQ307" i="63"/>
  <c r="AX307" i="63"/>
  <c r="S306" i="65"/>
  <c r="H306" i="65"/>
  <c r="M306" i="65"/>
  <c r="A308" i="63"/>
  <c r="AC307" i="65" l="1"/>
  <c r="AD307" i="65"/>
  <c r="T307" i="65"/>
  <c r="X307" i="65"/>
  <c r="K307" i="65"/>
  <c r="J307" i="65"/>
  <c r="P307" i="65"/>
  <c r="S307" i="65"/>
  <c r="I307" i="65"/>
  <c r="W307" i="65"/>
  <c r="B307" i="65"/>
  <c r="Z307" i="65"/>
  <c r="O307" i="65"/>
  <c r="V307" i="65"/>
  <c r="G307" i="65"/>
  <c r="Q308" i="63"/>
  <c r="AG308" i="63"/>
  <c r="AW308" i="63"/>
  <c r="B308" i="63"/>
  <c r="R308" i="63"/>
  <c r="AH308" i="63"/>
  <c r="AX308" i="63"/>
  <c r="C308" i="63"/>
  <c r="AI308" i="63"/>
  <c r="AY308" i="63"/>
  <c r="E308" i="63"/>
  <c r="U308" i="63"/>
  <c r="AK308" i="63"/>
  <c r="G308" i="63"/>
  <c r="AU308" i="63"/>
  <c r="H308" i="63"/>
  <c r="AV308" i="63"/>
  <c r="I308" i="63"/>
  <c r="AC308" i="63"/>
  <c r="J308" i="63"/>
  <c r="AD308" i="63"/>
  <c r="AE308" i="63"/>
  <c r="L308" i="63"/>
  <c r="AF308" i="63"/>
  <c r="N308" i="63"/>
  <c r="AL308" i="63"/>
  <c r="O308" i="63"/>
  <c r="AM308" i="63"/>
  <c r="P308" i="63"/>
  <c r="AN308" i="63"/>
  <c r="AO308" i="63"/>
  <c r="V308" i="63"/>
  <c r="AP308" i="63"/>
  <c r="W308" i="63"/>
  <c r="AQ308" i="63"/>
  <c r="F308" i="63"/>
  <c r="Z308" i="63"/>
  <c r="AT308" i="63"/>
  <c r="Y308" i="63"/>
  <c r="AE308" i="65" s="1"/>
  <c r="AJ308" i="63"/>
  <c r="AR308" i="63"/>
  <c r="AS308" i="63"/>
  <c r="D308" i="63"/>
  <c r="M308" i="63"/>
  <c r="X308" i="63"/>
  <c r="U307" i="65"/>
  <c r="N307" i="65"/>
  <c r="M307" i="65"/>
  <c r="H307" i="65"/>
  <c r="A309" i="63"/>
  <c r="T308" i="65" l="1"/>
  <c r="AC308" i="65"/>
  <c r="AD308" i="65"/>
  <c r="X308" i="65"/>
  <c r="AB308" i="65"/>
  <c r="D308" i="65"/>
  <c r="J308" i="65"/>
  <c r="K308" i="65"/>
  <c r="Z308" i="65"/>
  <c r="W308" i="65"/>
  <c r="P308" i="65"/>
  <c r="B308" i="65"/>
  <c r="G308" i="65"/>
  <c r="V308" i="65"/>
  <c r="O308" i="65"/>
  <c r="I308" i="65"/>
  <c r="O309" i="63"/>
  <c r="AE309" i="63"/>
  <c r="AU309" i="63"/>
  <c r="AF309" i="63"/>
  <c r="Q309" i="63"/>
  <c r="AG309" i="63"/>
  <c r="C309" i="63"/>
  <c r="S309" i="63"/>
  <c r="AI309" i="63"/>
  <c r="AY309" i="63"/>
  <c r="U309" i="63"/>
  <c r="AO309" i="63"/>
  <c r="V309" i="63"/>
  <c r="AP309" i="63"/>
  <c r="B309" i="63"/>
  <c r="W309" i="63"/>
  <c r="AQ309" i="63"/>
  <c r="D309" i="63"/>
  <c r="X309" i="63"/>
  <c r="AR309" i="63"/>
  <c r="E309" i="63"/>
  <c r="Y309" i="63"/>
  <c r="AE309" i="65" s="1"/>
  <c r="AS309" i="63"/>
  <c r="F309" i="63"/>
  <c r="Z309" i="63"/>
  <c r="AT309" i="63"/>
  <c r="H309" i="63"/>
  <c r="AW309" i="63"/>
  <c r="I309" i="63"/>
  <c r="AC309" i="63"/>
  <c r="AX309" i="63"/>
  <c r="J309" i="63"/>
  <c r="AD309" i="63"/>
  <c r="K309" i="63"/>
  <c r="AH309" i="63"/>
  <c r="L309" i="63"/>
  <c r="AJ309" i="63"/>
  <c r="M309" i="63"/>
  <c r="AK309" i="63"/>
  <c r="AN309" i="63"/>
  <c r="G309" i="63"/>
  <c r="N309" i="63"/>
  <c r="R309" i="63"/>
  <c r="AL309" i="63"/>
  <c r="AM309" i="63"/>
  <c r="AV309" i="63"/>
  <c r="H308" i="65"/>
  <c r="U308" i="65"/>
  <c r="N308" i="65"/>
  <c r="M308" i="65"/>
  <c r="S308" i="65"/>
  <c r="A310" i="63"/>
  <c r="AB309" i="65" l="1"/>
  <c r="AD309" i="65"/>
  <c r="AC309" i="65"/>
  <c r="J309" i="65"/>
  <c r="D309" i="65"/>
  <c r="K309" i="65"/>
  <c r="Z309" i="65"/>
  <c r="X309" i="65"/>
  <c r="T309" i="65"/>
  <c r="W309" i="65"/>
  <c r="B309" i="65"/>
  <c r="P309" i="65"/>
  <c r="I309" i="65"/>
  <c r="V309" i="65"/>
  <c r="G309" i="65"/>
  <c r="O309" i="65"/>
  <c r="M310" i="63"/>
  <c r="AC310" i="63"/>
  <c r="AS310" i="63"/>
  <c r="Q310" i="63"/>
  <c r="AG310" i="63"/>
  <c r="AW310" i="63"/>
  <c r="I310" i="63"/>
  <c r="AT310" i="63"/>
  <c r="J310" i="63"/>
  <c r="AU310" i="63"/>
  <c r="K310" i="63"/>
  <c r="AD310" i="63"/>
  <c r="AV310" i="63"/>
  <c r="L310" i="63"/>
  <c r="K310" i="65" s="1"/>
  <c r="AE310" i="63"/>
  <c r="AX310" i="63"/>
  <c r="N310" i="63"/>
  <c r="AF310" i="63"/>
  <c r="AY310" i="63"/>
  <c r="O310" i="63"/>
  <c r="AH310" i="63"/>
  <c r="R310" i="63"/>
  <c r="AJ310" i="63"/>
  <c r="S310" i="63"/>
  <c r="AK310" i="63"/>
  <c r="B310" i="63"/>
  <c r="T310" i="63"/>
  <c r="AL310" i="63"/>
  <c r="C310" i="63"/>
  <c r="U310" i="63"/>
  <c r="AM310" i="63"/>
  <c r="D310" i="63"/>
  <c r="V310" i="63"/>
  <c r="AN310" i="63"/>
  <c r="E310" i="63"/>
  <c r="W310" i="63"/>
  <c r="AO310" i="63"/>
  <c r="H310" i="63"/>
  <c r="G310" i="65" s="1"/>
  <c r="Z310" i="63"/>
  <c r="AR310" i="63"/>
  <c r="AI310" i="63"/>
  <c r="AP310" i="63"/>
  <c r="AQ310" i="63"/>
  <c r="F310" i="63"/>
  <c r="G310" i="63"/>
  <c r="X310" i="63"/>
  <c r="Y310" i="63"/>
  <c r="Y309" i="65"/>
  <c r="M309" i="65"/>
  <c r="N309" i="65"/>
  <c r="U309" i="65"/>
  <c r="H309" i="65"/>
  <c r="S309" i="65"/>
  <c r="A311" i="63"/>
  <c r="AD310" i="65" l="1"/>
  <c r="AE310" i="65"/>
  <c r="AB310" i="65"/>
  <c r="AC310" i="65"/>
  <c r="J310" i="65"/>
  <c r="Z310" i="65"/>
  <c r="D310" i="65"/>
  <c r="S310" i="65"/>
  <c r="X310" i="65"/>
  <c r="T310" i="65"/>
  <c r="B310" i="65"/>
  <c r="I310" i="65"/>
  <c r="W310" i="65"/>
  <c r="O310" i="65"/>
  <c r="AA310" i="65"/>
  <c r="V310" i="65"/>
  <c r="P310" i="65"/>
  <c r="K311" i="63"/>
  <c r="AQ311" i="63"/>
  <c r="O311" i="63"/>
  <c r="AE311" i="63"/>
  <c r="AU311" i="63"/>
  <c r="N311" i="63"/>
  <c r="AG311" i="63"/>
  <c r="AY311" i="63"/>
  <c r="AH311" i="63"/>
  <c r="Q311" i="63"/>
  <c r="AI311" i="63"/>
  <c r="R311" i="63"/>
  <c r="AJ311" i="63"/>
  <c r="S311" i="63"/>
  <c r="AK311" i="63"/>
  <c r="T311" i="63"/>
  <c r="AL311" i="63"/>
  <c r="V311" i="63"/>
  <c r="AN311" i="63"/>
  <c r="W311" i="63"/>
  <c r="AO311" i="63"/>
  <c r="AP311" i="63"/>
  <c r="AR311" i="63"/>
  <c r="H311" i="63"/>
  <c r="Z311" i="63"/>
  <c r="AS311" i="63"/>
  <c r="I311" i="63"/>
  <c r="AT311" i="63"/>
  <c r="M311" i="63"/>
  <c r="AF311" i="63"/>
  <c r="AX311" i="63"/>
  <c r="J311" i="63"/>
  <c r="L311" i="63"/>
  <c r="K311" i="65" s="1"/>
  <c r="U311" i="63"/>
  <c r="AC311" i="63"/>
  <c r="AD311" i="63"/>
  <c r="AM311" i="63"/>
  <c r="AV311" i="63"/>
  <c r="AW311" i="63"/>
  <c r="U310" i="65"/>
  <c r="H310" i="65"/>
  <c r="Y310" i="65"/>
  <c r="N310" i="65"/>
  <c r="M310" i="65"/>
  <c r="A312" i="63"/>
  <c r="AB311" i="65" l="1"/>
  <c r="AC311" i="65"/>
  <c r="P311" i="65"/>
  <c r="J311" i="65"/>
  <c r="D311" i="65"/>
  <c r="G311" i="65"/>
  <c r="V311" i="65"/>
  <c r="O311" i="65"/>
  <c r="AA311" i="65"/>
  <c r="W311" i="65"/>
  <c r="Z311" i="65"/>
  <c r="I311" i="65"/>
  <c r="I312" i="63"/>
  <c r="AO312" i="63"/>
  <c r="M312" i="63"/>
  <c r="AC312" i="63"/>
  <c r="AS312" i="63"/>
  <c r="S312" i="63"/>
  <c r="AK312" i="63"/>
  <c r="T312" i="63"/>
  <c r="AL312" i="63"/>
  <c r="U312" i="63"/>
  <c r="AM312" i="63"/>
  <c r="V312" i="63"/>
  <c r="AN312" i="63"/>
  <c r="W312" i="63"/>
  <c r="AP312" i="63"/>
  <c r="AQ312" i="63"/>
  <c r="H312" i="63"/>
  <c r="AT312" i="63"/>
  <c r="J312" i="63"/>
  <c r="AU312" i="63"/>
  <c r="K312" i="63"/>
  <c r="AD312" i="63"/>
  <c r="AV312" i="63"/>
  <c r="L312" i="63"/>
  <c r="K312" i="65" s="1"/>
  <c r="AE312" i="63"/>
  <c r="AW312" i="63"/>
  <c r="N312" i="63"/>
  <c r="AF312" i="63"/>
  <c r="AX312" i="63"/>
  <c r="O312" i="63"/>
  <c r="AG312" i="63"/>
  <c r="AY312" i="63"/>
  <c r="AJ312" i="63"/>
  <c r="AH312" i="63"/>
  <c r="AI312" i="63"/>
  <c r="AR312" i="63"/>
  <c r="P312" i="63"/>
  <c r="Z312" i="63"/>
  <c r="S311" i="65"/>
  <c r="Y311" i="65"/>
  <c r="N311" i="65"/>
  <c r="M311" i="65"/>
  <c r="H311" i="65"/>
  <c r="A313" i="63"/>
  <c r="AC312" i="65" l="1"/>
  <c r="J312" i="65"/>
  <c r="D312" i="65"/>
  <c r="W312" i="65"/>
  <c r="G312" i="65"/>
  <c r="Z312" i="65"/>
  <c r="I312" i="65"/>
  <c r="V312" i="65"/>
  <c r="O312" i="65"/>
  <c r="AA312" i="65"/>
  <c r="P312" i="65"/>
  <c r="G313" i="63"/>
  <c r="AM313" i="63"/>
  <c r="E313" i="63"/>
  <c r="X313" i="63"/>
  <c r="AO313" i="63"/>
  <c r="F313" i="63"/>
  <c r="Y313" i="63"/>
  <c r="AE313" i="65" s="1"/>
  <c r="AP313" i="63"/>
  <c r="Z313" i="63"/>
  <c r="AQ313" i="63"/>
  <c r="I313" i="63"/>
  <c r="AR313" i="63"/>
  <c r="J313" i="63"/>
  <c r="AS313" i="63"/>
  <c r="L313" i="63"/>
  <c r="AC313" i="63"/>
  <c r="AT313" i="63"/>
  <c r="N313" i="63"/>
  <c r="AE313" i="63"/>
  <c r="AV313" i="63"/>
  <c r="O313" i="63"/>
  <c r="AF313" i="63"/>
  <c r="AW313" i="63"/>
  <c r="P313" i="63"/>
  <c r="AG313" i="63"/>
  <c r="AX313" i="63"/>
  <c r="AH313" i="63"/>
  <c r="AY313" i="63"/>
  <c r="AI313" i="63"/>
  <c r="AJ313" i="63"/>
  <c r="D313" i="63"/>
  <c r="V313" i="63"/>
  <c r="AN313" i="63"/>
  <c r="B313" i="63"/>
  <c r="C313" i="63"/>
  <c r="M313" i="63"/>
  <c r="T313" i="63"/>
  <c r="U313" i="63"/>
  <c r="AD313" i="63"/>
  <c r="AK313" i="63"/>
  <c r="AL313" i="63"/>
  <c r="AU313" i="63"/>
  <c r="Y312" i="65"/>
  <c r="M312" i="65"/>
  <c r="H312" i="65"/>
  <c r="N312" i="65"/>
  <c r="S312" i="65"/>
  <c r="A314" i="63"/>
  <c r="P313" i="65" l="1"/>
  <c r="V313" i="65"/>
  <c r="AD313" i="65"/>
  <c r="AC313" i="65"/>
  <c r="D313" i="65"/>
  <c r="K313" i="65"/>
  <c r="X313" i="65"/>
  <c r="T313" i="65"/>
  <c r="W313" i="65"/>
  <c r="I313" i="65"/>
  <c r="O313" i="65"/>
  <c r="AA313" i="65"/>
  <c r="Z313" i="65"/>
  <c r="G313" i="65"/>
  <c r="B313" i="65"/>
  <c r="E314" i="63"/>
  <c r="X314" i="63"/>
  <c r="AN314" i="63"/>
  <c r="Y314" i="63"/>
  <c r="AE314" i="65" s="1"/>
  <c r="AO314" i="63"/>
  <c r="J314" i="63"/>
  <c r="Z314" i="63"/>
  <c r="AP314" i="63"/>
  <c r="AQ314" i="63"/>
  <c r="L314" i="63"/>
  <c r="AR314" i="63"/>
  <c r="M314" i="63"/>
  <c r="AC314" i="63"/>
  <c r="AS314" i="63"/>
  <c r="O314" i="63"/>
  <c r="AE314" i="63"/>
  <c r="AU314" i="63"/>
  <c r="P314" i="63"/>
  <c r="AF314" i="63"/>
  <c r="AV314" i="63"/>
  <c r="AG314" i="63"/>
  <c r="AW314" i="63"/>
  <c r="AH314" i="63"/>
  <c r="AX314" i="63"/>
  <c r="B314" i="63"/>
  <c r="AI314" i="63"/>
  <c r="AY314" i="63"/>
  <c r="C314" i="63"/>
  <c r="T314" i="63"/>
  <c r="AJ314" i="63"/>
  <c r="G314" i="63"/>
  <c r="AM314" i="63"/>
  <c r="V314" i="63"/>
  <c r="D314" i="65" s="1"/>
  <c r="AD314" i="63"/>
  <c r="AK314" i="63"/>
  <c r="AL314" i="63"/>
  <c r="AT314" i="63"/>
  <c r="D314" i="63"/>
  <c r="F314" i="63"/>
  <c r="N314" i="63"/>
  <c r="U314" i="63"/>
  <c r="S313" i="65"/>
  <c r="U313" i="65"/>
  <c r="H313" i="65"/>
  <c r="M313" i="65"/>
  <c r="A315" i="63"/>
  <c r="T314" i="65" l="1"/>
  <c r="AC314" i="65"/>
  <c r="AD314" i="65"/>
  <c r="X314" i="65"/>
  <c r="O314" i="65"/>
  <c r="P314" i="65"/>
  <c r="K314" i="65"/>
  <c r="W314" i="65"/>
  <c r="AA314" i="65"/>
  <c r="G314" i="65"/>
  <c r="I314" i="65"/>
  <c r="V314" i="65"/>
  <c r="S314" i="65"/>
  <c r="B314" i="65"/>
  <c r="Z314" i="65"/>
  <c r="F315" i="63"/>
  <c r="V315" i="63"/>
  <c r="AL315" i="63"/>
  <c r="G315" i="63"/>
  <c r="W315" i="63"/>
  <c r="AM315" i="63"/>
  <c r="H315" i="63"/>
  <c r="X315" i="63"/>
  <c r="AN315" i="63"/>
  <c r="Y315" i="63"/>
  <c r="AE315" i="65" s="1"/>
  <c r="AO315" i="63"/>
  <c r="J315" i="63"/>
  <c r="Z315" i="63"/>
  <c r="AP315" i="63"/>
  <c r="AQ315" i="63"/>
  <c r="M315" i="63"/>
  <c r="AC315" i="63"/>
  <c r="AS315" i="63"/>
  <c r="N315" i="63"/>
  <c r="AD315" i="63"/>
  <c r="AT315" i="63"/>
  <c r="O315" i="63"/>
  <c r="AE315" i="63"/>
  <c r="AU315" i="63"/>
  <c r="P315" i="63"/>
  <c r="AF315" i="63"/>
  <c r="AV315" i="63"/>
  <c r="Q315" i="63"/>
  <c r="AG315" i="63"/>
  <c r="AW315" i="63"/>
  <c r="B315" i="63"/>
  <c r="R315" i="63"/>
  <c r="AH315" i="63"/>
  <c r="AX315" i="63"/>
  <c r="E315" i="63"/>
  <c r="U315" i="63"/>
  <c r="AK315" i="63"/>
  <c r="C315" i="63"/>
  <c r="D315" i="63"/>
  <c r="L315" i="63"/>
  <c r="T315" i="63"/>
  <c r="AI315" i="63"/>
  <c r="AJ315" i="63"/>
  <c r="AR315" i="63"/>
  <c r="AY315" i="63"/>
  <c r="M314" i="65"/>
  <c r="H314" i="65"/>
  <c r="U314" i="65"/>
  <c r="A316" i="63"/>
  <c r="AC315" i="65" l="1"/>
  <c r="AD315" i="65"/>
  <c r="AB315" i="65"/>
  <c r="J315" i="65"/>
  <c r="D315" i="65"/>
  <c r="K315" i="65"/>
  <c r="B315" i="65"/>
  <c r="X315" i="65"/>
  <c r="T315" i="65"/>
  <c r="W315" i="65"/>
  <c r="V315" i="65"/>
  <c r="G315" i="65"/>
  <c r="O315" i="65"/>
  <c r="AA315" i="65"/>
  <c r="P315" i="65"/>
  <c r="Z315" i="65"/>
  <c r="I315" i="65"/>
  <c r="D316" i="63"/>
  <c r="T316" i="63"/>
  <c r="AJ316" i="63"/>
  <c r="E316" i="63"/>
  <c r="U316" i="63"/>
  <c r="AK316" i="63"/>
  <c r="F316" i="63"/>
  <c r="V316" i="63"/>
  <c r="AL316" i="63"/>
  <c r="G316" i="63"/>
  <c r="W316" i="63"/>
  <c r="AM316" i="63"/>
  <c r="H316" i="63"/>
  <c r="X316" i="63"/>
  <c r="AN316" i="63"/>
  <c r="I316" i="63"/>
  <c r="Y316" i="63"/>
  <c r="AE316" i="65" s="1"/>
  <c r="AO316" i="63"/>
  <c r="K316" i="63"/>
  <c r="AQ316" i="63"/>
  <c r="L316" i="63"/>
  <c r="AR316" i="63"/>
  <c r="M316" i="63"/>
  <c r="AC316" i="63"/>
  <c r="AS316" i="63"/>
  <c r="N316" i="63"/>
  <c r="AD316" i="63"/>
  <c r="AT316" i="63"/>
  <c r="O316" i="63"/>
  <c r="AE316" i="63"/>
  <c r="AU316" i="63"/>
  <c r="P316" i="63"/>
  <c r="AF316" i="63"/>
  <c r="AV316" i="63"/>
  <c r="C316" i="63"/>
  <c r="S316" i="63"/>
  <c r="AI316" i="63"/>
  <c r="AY316" i="63"/>
  <c r="J316" i="63"/>
  <c r="Q316" i="63"/>
  <c r="R316" i="63"/>
  <c r="Z316" i="63"/>
  <c r="AG316" i="63"/>
  <c r="AH316" i="63"/>
  <c r="AP316" i="63"/>
  <c r="AW316" i="63"/>
  <c r="AX316" i="63"/>
  <c r="B316" i="63"/>
  <c r="H315" i="65"/>
  <c r="M315" i="65"/>
  <c r="S315" i="65"/>
  <c r="U315" i="65"/>
  <c r="A317" i="63"/>
  <c r="AD316" i="65" l="1"/>
  <c r="T316" i="65"/>
  <c r="AC316" i="65"/>
  <c r="J316" i="65"/>
  <c r="O316" i="65"/>
  <c r="D316" i="65"/>
  <c r="K316" i="65"/>
  <c r="X316" i="65"/>
  <c r="P316" i="65"/>
  <c r="B316" i="65"/>
  <c r="I316" i="65"/>
  <c r="AA316" i="65"/>
  <c r="AB316" i="65"/>
  <c r="V316" i="65"/>
  <c r="W316" i="65"/>
  <c r="G316" i="65"/>
  <c r="Z316" i="65"/>
  <c r="Y316" i="65"/>
  <c r="B317" i="63"/>
  <c r="R317" i="63"/>
  <c r="AH317" i="63"/>
  <c r="AX317" i="63"/>
  <c r="C317" i="63"/>
  <c r="S317" i="63"/>
  <c r="AI317" i="63"/>
  <c r="AY317" i="63"/>
  <c r="D317" i="63"/>
  <c r="T317" i="63"/>
  <c r="AJ317" i="63"/>
  <c r="E317" i="63"/>
  <c r="U317" i="63"/>
  <c r="AK317" i="63"/>
  <c r="F317" i="63"/>
  <c r="V317" i="63"/>
  <c r="D317" i="65" s="1"/>
  <c r="AL317" i="63"/>
  <c r="G317" i="63"/>
  <c r="W317" i="63"/>
  <c r="AM317" i="63"/>
  <c r="I317" i="63"/>
  <c r="Y317" i="63"/>
  <c r="AO317" i="63"/>
  <c r="J317" i="63"/>
  <c r="Z317" i="63"/>
  <c r="AP317" i="63"/>
  <c r="K317" i="63"/>
  <c r="AQ317" i="63"/>
  <c r="L317" i="63"/>
  <c r="AR317" i="63"/>
  <c r="AC317" i="63"/>
  <c r="AS317" i="63"/>
  <c r="N317" i="63"/>
  <c r="AD317" i="63"/>
  <c r="AT317" i="63"/>
  <c r="Q317" i="63"/>
  <c r="AG317" i="63"/>
  <c r="AU317" i="63"/>
  <c r="AV317" i="63"/>
  <c r="AW317" i="63"/>
  <c r="H317" i="63"/>
  <c r="O317" i="63"/>
  <c r="P317" i="63"/>
  <c r="X317" i="63"/>
  <c r="AE317" i="63"/>
  <c r="AF317" i="63"/>
  <c r="AN317" i="63"/>
  <c r="N316" i="65"/>
  <c r="U316" i="65"/>
  <c r="H316" i="65"/>
  <c r="M316" i="65"/>
  <c r="S316" i="65"/>
  <c r="A318" i="63"/>
  <c r="N317" i="65" l="1"/>
  <c r="AD317" i="65"/>
  <c r="AE317" i="65"/>
  <c r="AC317" i="65"/>
  <c r="AB317" i="65"/>
  <c r="K317" i="65"/>
  <c r="J317" i="65"/>
  <c r="X317" i="65"/>
  <c r="T317" i="65"/>
  <c r="B317" i="65"/>
  <c r="I317" i="65"/>
  <c r="O317" i="65"/>
  <c r="AA317" i="65"/>
  <c r="Z317" i="65"/>
  <c r="W317" i="65"/>
  <c r="G317" i="65"/>
  <c r="P317" i="65"/>
  <c r="V317" i="65"/>
  <c r="P318" i="63"/>
  <c r="AF318" i="63"/>
  <c r="AV318" i="63"/>
  <c r="Q318" i="63"/>
  <c r="AG318" i="63"/>
  <c r="AW318" i="63"/>
  <c r="B318" i="63"/>
  <c r="R318" i="63"/>
  <c r="AH318" i="63"/>
  <c r="AX318" i="63"/>
  <c r="C318" i="63"/>
  <c r="S318" i="63"/>
  <c r="AI318" i="63"/>
  <c r="AY318" i="63"/>
  <c r="D318" i="63"/>
  <c r="T318" i="63"/>
  <c r="AJ318" i="63"/>
  <c r="E318" i="63"/>
  <c r="U318" i="63"/>
  <c r="AK318" i="63"/>
  <c r="G318" i="63"/>
  <c r="W318" i="63"/>
  <c r="AM318" i="63"/>
  <c r="H318" i="63"/>
  <c r="X318" i="63"/>
  <c r="AN318" i="63"/>
  <c r="I318" i="63"/>
  <c r="O318" i="65" s="1"/>
  <c r="Y318" i="63"/>
  <c r="AE318" i="65" s="1"/>
  <c r="AO318" i="63"/>
  <c r="J318" i="63"/>
  <c r="Z318" i="63"/>
  <c r="AP318" i="63"/>
  <c r="K318" i="63"/>
  <c r="AQ318" i="63"/>
  <c r="L318" i="63"/>
  <c r="AR318" i="63"/>
  <c r="F318" i="63"/>
  <c r="N318" i="63"/>
  <c r="O318" i="63"/>
  <c r="V318" i="63"/>
  <c r="D318" i="65" s="1"/>
  <c r="AC318" i="63"/>
  <c r="AD318" i="63"/>
  <c r="AE318" i="63"/>
  <c r="AL318" i="63"/>
  <c r="AS318" i="63"/>
  <c r="AT318" i="63"/>
  <c r="AU318" i="63"/>
  <c r="Y317" i="65"/>
  <c r="S317" i="65"/>
  <c r="H317" i="65"/>
  <c r="U317" i="65"/>
  <c r="M317" i="65"/>
  <c r="A319" i="63"/>
  <c r="P318" i="65" l="1"/>
  <c r="AC318" i="65"/>
  <c r="AD318" i="65"/>
  <c r="J318" i="65"/>
  <c r="I318" i="65"/>
  <c r="K318" i="65"/>
  <c r="X318" i="65"/>
  <c r="T318" i="65"/>
  <c r="AA318" i="65"/>
  <c r="AB318" i="65"/>
  <c r="B318" i="65"/>
  <c r="Z318" i="65"/>
  <c r="V318" i="65"/>
  <c r="W318" i="65"/>
  <c r="G318" i="65"/>
  <c r="N319" i="63"/>
  <c r="AD319" i="63"/>
  <c r="AT319" i="63"/>
  <c r="O319" i="63"/>
  <c r="AE319" i="63"/>
  <c r="AU319" i="63"/>
  <c r="P319" i="63"/>
  <c r="AF319" i="63"/>
  <c r="AV319" i="63"/>
  <c r="AG319" i="63"/>
  <c r="AW319" i="63"/>
  <c r="AH319" i="63"/>
  <c r="AX319" i="63"/>
  <c r="S319" i="63"/>
  <c r="AI319" i="63"/>
  <c r="AY319" i="63"/>
  <c r="U319" i="63"/>
  <c r="AK319" i="63"/>
  <c r="V319" i="63"/>
  <c r="AL319" i="63"/>
  <c r="W319" i="63"/>
  <c r="AM319" i="63"/>
  <c r="H319" i="63"/>
  <c r="AN319" i="63"/>
  <c r="I319" i="63"/>
  <c r="AO319" i="63"/>
  <c r="J319" i="63"/>
  <c r="Z319" i="63"/>
  <c r="K319" i="63"/>
  <c r="L319" i="63"/>
  <c r="M319" i="63"/>
  <c r="T319" i="63"/>
  <c r="AC319" i="63"/>
  <c r="AJ319" i="63"/>
  <c r="AP319" i="63"/>
  <c r="AQ319" i="63"/>
  <c r="AR319" i="63"/>
  <c r="AS319" i="63"/>
  <c r="M318" i="65"/>
  <c r="N318" i="65"/>
  <c r="Y318" i="65"/>
  <c r="H318" i="65"/>
  <c r="S318" i="65"/>
  <c r="U318" i="65"/>
  <c r="A320" i="63"/>
  <c r="N319" i="65" l="1"/>
  <c r="AC319" i="65"/>
  <c r="O319" i="65"/>
  <c r="J319" i="65"/>
  <c r="D319" i="65"/>
  <c r="K319" i="65"/>
  <c r="AA319" i="65"/>
  <c r="P319" i="65"/>
  <c r="I319" i="65"/>
  <c r="Z319" i="65"/>
  <c r="V319" i="65"/>
  <c r="W319" i="65"/>
  <c r="G319" i="65"/>
  <c r="L320" i="63"/>
  <c r="K320" i="65" s="1"/>
  <c r="AR320" i="63"/>
  <c r="M320" i="63"/>
  <c r="AC320" i="63"/>
  <c r="N320" i="63"/>
  <c r="AD320" i="63"/>
  <c r="AT320" i="63"/>
  <c r="O320" i="63"/>
  <c r="AE320" i="63"/>
  <c r="P320" i="63"/>
  <c r="AF320" i="63"/>
  <c r="AG320" i="63"/>
  <c r="AW320" i="63"/>
  <c r="AI320" i="63"/>
  <c r="AY320" i="63"/>
  <c r="T320" i="63"/>
  <c r="U320" i="63"/>
  <c r="AK320" i="63"/>
  <c r="V320" i="63"/>
  <c r="AL320" i="63"/>
  <c r="W320" i="63"/>
  <c r="AX320" i="63"/>
  <c r="Z320" i="63"/>
  <c r="AH320" i="63"/>
  <c r="AJ320" i="63"/>
  <c r="AM320" i="63"/>
  <c r="AN320" i="63"/>
  <c r="AO320" i="63"/>
  <c r="AP320" i="63"/>
  <c r="AQ320" i="63"/>
  <c r="H320" i="63"/>
  <c r="AS320" i="63"/>
  <c r="I320" i="63"/>
  <c r="J320" i="63"/>
  <c r="AU320" i="63"/>
  <c r="AV320" i="63"/>
  <c r="S319" i="65"/>
  <c r="H319" i="65"/>
  <c r="M319" i="65"/>
  <c r="Y319" i="65"/>
  <c r="A321" i="63"/>
  <c r="AC320" i="65" l="1"/>
  <c r="J320" i="65"/>
  <c r="D320" i="65"/>
  <c r="W320" i="65"/>
  <c r="P320" i="65"/>
  <c r="O320" i="65"/>
  <c r="AA320" i="65"/>
  <c r="I320" i="65"/>
  <c r="V320" i="65"/>
  <c r="G320" i="65"/>
  <c r="Z320" i="65"/>
  <c r="J321" i="63"/>
  <c r="Z321" i="63"/>
  <c r="AP321" i="63"/>
  <c r="L321" i="63"/>
  <c r="AR321" i="63"/>
  <c r="O321" i="63"/>
  <c r="AE321" i="63"/>
  <c r="AU321" i="63"/>
  <c r="AG321" i="63"/>
  <c r="AW321" i="63"/>
  <c r="C321" i="63"/>
  <c r="AI321" i="63"/>
  <c r="AY321" i="63"/>
  <c r="W321" i="63"/>
  <c r="AT321" i="63"/>
  <c r="B321" i="63"/>
  <c r="X321" i="63"/>
  <c r="AV321" i="63"/>
  <c r="D321" i="63"/>
  <c r="Y321" i="63"/>
  <c r="AX321" i="63"/>
  <c r="E321" i="63"/>
  <c r="F321" i="63"/>
  <c r="AC321" i="63"/>
  <c r="G321" i="63"/>
  <c r="AD321" i="63"/>
  <c r="H321" i="63"/>
  <c r="AF321" i="63"/>
  <c r="I321" i="63"/>
  <c r="AH321" i="63"/>
  <c r="AJ321" i="63"/>
  <c r="M321" i="63"/>
  <c r="AK321" i="63"/>
  <c r="N321" i="63"/>
  <c r="AL321" i="63"/>
  <c r="P321" i="63"/>
  <c r="AM321" i="63"/>
  <c r="AN321" i="63"/>
  <c r="T321" i="63"/>
  <c r="AO321" i="63"/>
  <c r="U321" i="63"/>
  <c r="V321" i="63"/>
  <c r="AQ321" i="63"/>
  <c r="AS321" i="63"/>
  <c r="N320" i="65"/>
  <c r="M320" i="65"/>
  <c r="S320" i="65"/>
  <c r="H320" i="65"/>
  <c r="A322" i="63"/>
  <c r="AD321" i="65" l="1"/>
  <c r="AE321" i="65"/>
  <c r="V321" i="65"/>
  <c r="AC321" i="65"/>
  <c r="J321" i="65"/>
  <c r="K321" i="65"/>
  <c r="B321" i="65"/>
  <c r="D321" i="65"/>
  <c r="X321" i="65"/>
  <c r="T321" i="65"/>
  <c r="W321" i="65"/>
  <c r="I321" i="65"/>
  <c r="O321" i="65"/>
  <c r="AA321" i="65"/>
  <c r="G321" i="65"/>
  <c r="P321" i="65"/>
  <c r="Z321" i="65"/>
  <c r="S321" i="65"/>
  <c r="H322" i="63"/>
  <c r="X322" i="63"/>
  <c r="AN322" i="63"/>
  <c r="J322" i="63"/>
  <c r="Z322" i="63"/>
  <c r="AP322" i="63"/>
  <c r="M322" i="63"/>
  <c r="AC322" i="63"/>
  <c r="AS322" i="63"/>
  <c r="O322" i="63"/>
  <c r="Q322" i="63"/>
  <c r="AG322" i="63"/>
  <c r="T322" i="63"/>
  <c r="AO322" i="63"/>
  <c r="U322" i="63"/>
  <c r="AQ322" i="63"/>
  <c r="V322" i="63"/>
  <c r="D322" i="65" s="1"/>
  <c r="AR322" i="63"/>
  <c r="B322" i="63"/>
  <c r="W322" i="63"/>
  <c r="AT322" i="63"/>
  <c r="C322" i="63"/>
  <c r="Y322" i="63"/>
  <c r="AU322" i="63"/>
  <c r="D322" i="63"/>
  <c r="AV322" i="63"/>
  <c r="E322" i="63"/>
  <c r="AW322" i="63"/>
  <c r="F322" i="63"/>
  <c r="AD322" i="63"/>
  <c r="AX322" i="63"/>
  <c r="G322" i="63"/>
  <c r="AE322" i="63"/>
  <c r="AY322" i="63"/>
  <c r="I322" i="63"/>
  <c r="AF322" i="63"/>
  <c r="AH322" i="63"/>
  <c r="L322" i="63"/>
  <c r="AI322" i="63"/>
  <c r="N322" i="63"/>
  <c r="AJ322" i="63"/>
  <c r="P322" i="63"/>
  <c r="AK322" i="63"/>
  <c r="AM322" i="63"/>
  <c r="R322" i="63"/>
  <c r="AL322" i="63"/>
  <c r="M321" i="65"/>
  <c r="U321" i="65"/>
  <c r="N321" i="65"/>
  <c r="H321" i="65"/>
  <c r="A323" i="63"/>
  <c r="B322" i="65" l="1"/>
  <c r="AD322" i="65"/>
  <c r="AE322" i="65"/>
  <c r="AB322" i="65"/>
  <c r="AC322" i="65"/>
  <c r="J322" i="65"/>
  <c r="K322" i="65"/>
  <c r="X322" i="65"/>
  <c r="T322" i="65"/>
  <c r="I322" i="65"/>
  <c r="V322" i="65"/>
  <c r="W322" i="65"/>
  <c r="G322" i="65"/>
  <c r="P322" i="65"/>
  <c r="O322" i="65"/>
  <c r="AA322" i="65"/>
  <c r="Z322" i="65"/>
  <c r="F323" i="63"/>
  <c r="V323" i="63"/>
  <c r="AL323" i="63"/>
  <c r="H323" i="63"/>
  <c r="G323" i="65" s="1"/>
  <c r="X323" i="63"/>
  <c r="AN323" i="63"/>
  <c r="K323" i="63"/>
  <c r="AQ323" i="63"/>
  <c r="L323" i="63"/>
  <c r="AE323" i="63"/>
  <c r="AX323" i="63"/>
  <c r="M323" i="63"/>
  <c r="AF323" i="63"/>
  <c r="AY323" i="63"/>
  <c r="N323" i="63"/>
  <c r="AG323" i="63"/>
  <c r="O323" i="63"/>
  <c r="AH323" i="63"/>
  <c r="P323" i="63"/>
  <c r="AI323" i="63"/>
  <c r="Q323" i="63"/>
  <c r="AJ323" i="63"/>
  <c r="R323" i="63"/>
  <c r="AK323" i="63"/>
  <c r="S323" i="63"/>
  <c r="AM323" i="63"/>
  <c r="T323" i="63"/>
  <c r="AO323" i="63"/>
  <c r="B323" i="63"/>
  <c r="U323" i="63"/>
  <c r="AP323" i="63"/>
  <c r="C323" i="63"/>
  <c r="W323" i="63"/>
  <c r="AR323" i="63"/>
  <c r="D323" i="63"/>
  <c r="Y323" i="63"/>
  <c r="AE323" i="65" s="1"/>
  <c r="AS323" i="63"/>
  <c r="E323" i="63"/>
  <c r="Z323" i="63"/>
  <c r="AT323" i="63"/>
  <c r="G323" i="63"/>
  <c r="AU323" i="63"/>
  <c r="AC323" i="63"/>
  <c r="AD323" i="63"/>
  <c r="AV323" i="63"/>
  <c r="AW323" i="63"/>
  <c r="I323" i="63"/>
  <c r="J323" i="63"/>
  <c r="N322" i="65"/>
  <c r="S322" i="65"/>
  <c r="U322" i="65"/>
  <c r="M322" i="65"/>
  <c r="H322" i="65"/>
  <c r="A324" i="63"/>
  <c r="T323" i="65" l="1"/>
  <c r="AB323" i="65"/>
  <c r="AD323" i="65"/>
  <c r="AC323" i="65"/>
  <c r="X323" i="65"/>
  <c r="J323" i="65"/>
  <c r="D323" i="65"/>
  <c r="K323" i="65"/>
  <c r="Z323" i="65"/>
  <c r="W323" i="65"/>
  <c r="O323" i="65"/>
  <c r="AA323" i="65"/>
  <c r="V323" i="65"/>
  <c r="B323" i="65"/>
  <c r="P323" i="65"/>
  <c r="I323" i="65"/>
  <c r="D324" i="63"/>
  <c r="T324" i="63"/>
  <c r="AJ324" i="63"/>
  <c r="F324" i="63"/>
  <c r="R324" i="63"/>
  <c r="AI324" i="63"/>
  <c r="S324" i="63"/>
  <c r="AK324" i="63"/>
  <c r="B324" i="63"/>
  <c r="U324" i="63"/>
  <c r="AL324" i="63"/>
  <c r="C324" i="63"/>
  <c r="V324" i="63"/>
  <c r="AM324" i="63"/>
  <c r="E324" i="63"/>
  <c r="W324" i="63"/>
  <c r="AN324" i="63"/>
  <c r="G324" i="63"/>
  <c r="X324" i="63"/>
  <c r="AO324" i="63"/>
  <c r="H324" i="63"/>
  <c r="Y324" i="63"/>
  <c r="AE324" i="65" s="1"/>
  <c r="AP324" i="63"/>
  <c r="I324" i="63"/>
  <c r="M324" i="65" s="1"/>
  <c r="Z324" i="63"/>
  <c r="AQ324" i="63"/>
  <c r="AR324" i="63"/>
  <c r="K324" i="63"/>
  <c r="AS324" i="63"/>
  <c r="L324" i="63"/>
  <c r="AC324" i="63"/>
  <c r="AT324" i="63"/>
  <c r="M324" i="63"/>
  <c r="AD324" i="63"/>
  <c r="AU324" i="63"/>
  <c r="N324" i="63"/>
  <c r="AE324" i="63"/>
  <c r="AV324" i="63"/>
  <c r="O324" i="63"/>
  <c r="AF324" i="63"/>
  <c r="AW324" i="63"/>
  <c r="P324" i="63"/>
  <c r="Q324" i="63"/>
  <c r="AG324" i="63"/>
  <c r="AH324" i="63"/>
  <c r="AX324" i="63"/>
  <c r="AY324" i="63"/>
  <c r="Y323" i="65"/>
  <c r="M323" i="65"/>
  <c r="N323" i="65"/>
  <c r="H323" i="65"/>
  <c r="S323" i="65"/>
  <c r="U323" i="65"/>
  <c r="A325" i="63"/>
  <c r="AD324" i="65" l="1"/>
  <c r="AC324" i="65"/>
  <c r="AB324" i="65"/>
  <c r="J324" i="65"/>
  <c r="K324" i="65"/>
  <c r="D324" i="65"/>
  <c r="W324" i="65"/>
  <c r="X324" i="65"/>
  <c r="T324" i="65"/>
  <c r="B324" i="65"/>
  <c r="P324" i="65"/>
  <c r="O324" i="65"/>
  <c r="AA324" i="65"/>
  <c r="V324" i="65"/>
  <c r="G324" i="65"/>
  <c r="Z324" i="65"/>
  <c r="I324" i="65"/>
  <c r="R325" i="63"/>
  <c r="AH325" i="63"/>
  <c r="AX325" i="63"/>
  <c r="T325" i="63"/>
  <c r="AK325" i="63"/>
  <c r="U325" i="63"/>
  <c r="AL325" i="63"/>
  <c r="V325" i="63"/>
  <c r="AM325" i="63"/>
  <c r="W325" i="63"/>
  <c r="AN325" i="63"/>
  <c r="AO325" i="63"/>
  <c r="H325" i="63"/>
  <c r="AP325" i="63"/>
  <c r="I325" i="63"/>
  <c r="Z325" i="63"/>
  <c r="AQ325" i="63"/>
  <c r="AR325" i="63"/>
  <c r="K325" i="63"/>
  <c r="AS325" i="63"/>
  <c r="L325" i="63"/>
  <c r="K325" i="65" s="1"/>
  <c r="AC325" i="63"/>
  <c r="AT325" i="63"/>
  <c r="M325" i="63"/>
  <c r="AD325" i="63"/>
  <c r="AU325" i="63"/>
  <c r="N325" i="63"/>
  <c r="AE325" i="63"/>
  <c r="AV325" i="63"/>
  <c r="O325" i="63"/>
  <c r="AF325" i="63"/>
  <c r="AW325" i="63"/>
  <c r="P325" i="63"/>
  <c r="AG325" i="63"/>
  <c r="AY325" i="63"/>
  <c r="Q325" i="63"/>
  <c r="S325" i="63"/>
  <c r="AI325" i="63"/>
  <c r="AJ325" i="63"/>
  <c r="N324" i="65"/>
  <c r="U324" i="65"/>
  <c r="H324" i="65"/>
  <c r="S324" i="65"/>
  <c r="A326" i="63"/>
  <c r="AB325" i="65" l="1"/>
  <c r="AC325" i="65"/>
  <c r="P325" i="65"/>
  <c r="J325" i="65"/>
  <c r="D325" i="65"/>
  <c r="W325" i="65"/>
  <c r="G325" i="65"/>
  <c r="Z325" i="65"/>
  <c r="O325" i="65"/>
  <c r="AA325" i="65"/>
  <c r="I325" i="65"/>
  <c r="N325" i="65"/>
  <c r="P326" i="63"/>
  <c r="AF326" i="63"/>
  <c r="AV326" i="63"/>
  <c r="U326" i="63"/>
  <c r="AL326" i="63"/>
  <c r="V326" i="63"/>
  <c r="AM326" i="63"/>
  <c r="W326" i="63"/>
  <c r="AN326" i="63"/>
  <c r="AO326" i="63"/>
  <c r="H326" i="63"/>
  <c r="O326" i="65" s="1"/>
  <c r="AP326" i="63"/>
  <c r="I326" i="63"/>
  <c r="Z326" i="63"/>
  <c r="AQ326" i="63"/>
  <c r="J326" i="63"/>
  <c r="AR326" i="63"/>
  <c r="K326" i="63"/>
  <c r="AS326" i="63"/>
  <c r="L326" i="63"/>
  <c r="AC326" i="63"/>
  <c r="AT326" i="63"/>
  <c r="M326" i="63"/>
  <c r="AD326" i="63"/>
  <c r="AU326" i="63"/>
  <c r="N326" i="63"/>
  <c r="AE326" i="63"/>
  <c r="AW326" i="63"/>
  <c r="O326" i="63"/>
  <c r="AG326" i="63"/>
  <c r="AX326" i="63"/>
  <c r="AH326" i="63"/>
  <c r="AY326" i="63"/>
  <c r="AI326" i="63"/>
  <c r="S326" i="63"/>
  <c r="T326" i="63"/>
  <c r="AJ326" i="63"/>
  <c r="AK326" i="63"/>
  <c r="H325" i="65"/>
  <c r="S325" i="65"/>
  <c r="M325" i="65"/>
  <c r="A327" i="63"/>
  <c r="AC326" i="65" l="1"/>
  <c r="J326" i="65"/>
  <c r="K326" i="65"/>
  <c r="D326" i="65"/>
  <c r="AA326" i="65"/>
  <c r="G326" i="65"/>
  <c r="V326" i="65"/>
  <c r="W326" i="65"/>
  <c r="S326" i="65"/>
  <c r="I326" i="65"/>
  <c r="Z326" i="65"/>
  <c r="P326" i="65"/>
  <c r="Y326" i="65"/>
  <c r="N327" i="63"/>
  <c r="AD327" i="63"/>
  <c r="AT327" i="63"/>
  <c r="E327" i="63"/>
  <c r="V327" i="63"/>
  <c r="AM327" i="63"/>
  <c r="F327" i="63"/>
  <c r="W327" i="63"/>
  <c r="AN327" i="63"/>
  <c r="G327" i="63"/>
  <c r="X327" i="63"/>
  <c r="AO327" i="63"/>
  <c r="H327" i="63"/>
  <c r="Y327" i="63"/>
  <c r="AE327" i="65" s="1"/>
  <c r="AP327" i="63"/>
  <c r="I327" i="63"/>
  <c r="Z327" i="63"/>
  <c r="AQ327" i="63"/>
  <c r="J327" i="63"/>
  <c r="AR327" i="63"/>
  <c r="AS327" i="63"/>
  <c r="L327" i="63"/>
  <c r="AC327" i="63"/>
  <c r="AU327" i="63"/>
  <c r="M327" i="63"/>
  <c r="AE327" i="63"/>
  <c r="AV327" i="63"/>
  <c r="O327" i="63"/>
  <c r="AF327" i="63"/>
  <c r="AW327" i="63"/>
  <c r="P327" i="63"/>
  <c r="AG327" i="63"/>
  <c r="AX327" i="63"/>
  <c r="AH327" i="63"/>
  <c r="AY327" i="63"/>
  <c r="AI327" i="63"/>
  <c r="B327" i="63"/>
  <c r="AJ327" i="63"/>
  <c r="C327" i="63"/>
  <c r="D327" i="63"/>
  <c r="T327" i="63"/>
  <c r="U327" i="63"/>
  <c r="AK327" i="63"/>
  <c r="AL327" i="63"/>
  <c r="M326" i="65"/>
  <c r="N326" i="65"/>
  <c r="H326" i="65"/>
  <c r="A328" i="63"/>
  <c r="P327" i="65" l="1"/>
  <c r="AC327" i="65"/>
  <c r="AD327" i="65"/>
  <c r="J327" i="65"/>
  <c r="D327" i="65"/>
  <c r="K327" i="65"/>
  <c r="X327" i="65"/>
  <c r="T327" i="65"/>
  <c r="O327" i="65"/>
  <c r="AA327" i="65"/>
  <c r="G327" i="65"/>
  <c r="W327" i="65"/>
  <c r="Z327" i="65"/>
  <c r="V327" i="65"/>
  <c r="B327" i="65"/>
  <c r="I327" i="65"/>
  <c r="L328" i="63"/>
  <c r="K328" i="65" s="1"/>
  <c r="AR328" i="63"/>
  <c r="F328" i="63"/>
  <c r="W328" i="63"/>
  <c r="AN328" i="63"/>
  <c r="G328" i="63"/>
  <c r="X328" i="63"/>
  <c r="AO328" i="63"/>
  <c r="H328" i="63"/>
  <c r="Y328" i="63"/>
  <c r="AP328" i="63"/>
  <c r="I328" i="63"/>
  <c r="Z328" i="63"/>
  <c r="AQ328" i="63"/>
  <c r="J328" i="63"/>
  <c r="AS328" i="63"/>
  <c r="AC328" i="63"/>
  <c r="AT328" i="63"/>
  <c r="M328" i="63"/>
  <c r="AD328" i="63"/>
  <c r="AU328" i="63"/>
  <c r="N328" i="63"/>
  <c r="AE328" i="63"/>
  <c r="AV328" i="63"/>
  <c r="O328" i="63"/>
  <c r="AF328" i="63"/>
  <c r="AW328" i="63"/>
  <c r="P328" i="63"/>
  <c r="AG328" i="63"/>
  <c r="AX328" i="63"/>
  <c r="AH328" i="63"/>
  <c r="AY328" i="63"/>
  <c r="AI328" i="63"/>
  <c r="B328" i="63"/>
  <c r="AJ328" i="63"/>
  <c r="C328" i="63"/>
  <c r="AK328" i="63"/>
  <c r="AL328" i="63"/>
  <c r="D328" i="63"/>
  <c r="E328" i="63"/>
  <c r="U328" i="63"/>
  <c r="V328" i="63"/>
  <c r="D328" i="65" s="1"/>
  <c r="AM328" i="63"/>
  <c r="M327" i="65"/>
  <c r="S327" i="65"/>
  <c r="N327" i="65"/>
  <c r="H327" i="65"/>
  <c r="U327" i="65"/>
  <c r="A329" i="63"/>
  <c r="AD328" i="65" l="1"/>
  <c r="AE328" i="65"/>
  <c r="AC328" i="65"/>
  <c r="Z328" i="65"/>
  <c r="J328" i="65"/>
  <c r="X328" i="65"/>
  <c r="T328" i="65"/>
  <c r="B328" i="65"/>
  <c r="I328" i="65"/>
  <c r="V328" i="65"/>
  <c r="O328" i="65"/>
  <c r="P328" i="65"/>
  <c r="G328" i="65"/>
  <c r="W328" i="65"/>
  <c r="J329" i="63"/>
  <c r="Z329" i="63"/>
  <c r="AP329" i="63"/>
  <c r="G329" i="63"/>
  <c r="X329" i="63"/>
  <c r="AO329" i="63"/>
  <c r="H329" i="63"/>
  <c r="Y329" i="63"/>
  <c r="AQ329" i="63"/>
  <c r="I329" i="63"/>
  <c r="AR329" i="63"/>
  <c r="AS329" i="63"/>
  <c r="L329" i="63"/>
  <c r="AC329" i="63"/>
  <c r="AT329" i="63"/>
  <c r="M329" i="63"/>
  <c r="AD329" i="63"/>
  <c r="AU329" i="63"/>
  <c r="N329" i="63"/>
  <c r="AE329" i="63"/>
  <c r="AV329" i="63"/>
  <c r="O329" i="63"/>
  <c r="AF329" i="63"/>
  <c r="AW329" i="63"/>
  <c r="P329" i="63"/>
  <c r="AG329" i="63"/>
  <c r="AX329" i="63"/>
  <c r="Q329" i="63"/>
  <c r="AH329" i="63"/>
  <c r="AY329" i="63"/>
  <c r="R329" i="63"/>
  <c r="AI329" i="63"/>
  <c r="B329" i="63"/>
  <c r="AJ329" i="63"/>
  <c r="C329" i="63"/>
  <c r="AK329" i="63"/>
  <c r="D329" i="63"/>
  <c r="U329" i="63"/>
  <c r="AL329" i="63"/>
  <c r="E329" i="63"/>
  <c r="F329" i="63"/>
  <c r="V329" i="63"/>
  <c r="W329" i="63"/>
  <c r="AM329" i="63"/>
  <c r="AN329" i="63"/>
  <c r="H328" i="65"/>
  <c r="S328" i="65"/>
  <c r="N328" i="65"/>
  <c r="U328" i="65"/>
  <c r="M328" i="65"/>
  <c r="A330" i="63"/>
  <c r="T329" i="65" l="1"/>
  <c r="AD329" i="65"/>
  <c r="AE329" i="65"/>
  <c r="AB329" i="65"/>
  <c r="AC329" i="65"/>
  <c r="P329" i="65"/>
  <c r="J329" i="65"/>
  <c r="K329" i="65"/>
  <c r="D329" i="65"/>
  <c r="W329" i="65"/>
  <c r="X329" i="65"/>
  <c r="G329" i="65"/>
  <c r="B329" i="65"/>
  <c r="I329" i="65"/>
  <c r="Z329" i="65"/>
  <c r="O329" i="65"/>
  <c r="V329" i="65"/>
  <c r="H330" i="63"/>
  <c r="X330" i="63"/>
  <c r="AN330" i="63"/>
  <c r="I330" i="63"/>
  <c r="Z330" i="63"/>
  <c r="AQ330" i="63"/>
  <c r="J330" i="63"/>
  <c r="AR330" i="63"/>
  <c r="K330" i="63"/>
  <c r="AS330" i="63"/>
  <c r="L330" i="63"/>
  <c r="AC330" i="63"/>
  <c r="AT330" i="63"/>
  <c r="M330" i="63"/>
  <c r="AD330" i="63"/>
  <c r="AU330" i="63"/>
  <c r="AE330" i="63"/>
  <c r="AV330" i="63"/>
  <c r="O330" i="63"/>
  <c r="AF330" i="63"/>
  <c r="AW330" i="63"/>
  <c r="P330" i="63"/>
  <c r="AG330" i="63"/>
  <c r="AX330" i="63"/>
  <c r="Q330" i="63"/>
  <c r="AH330" i="63"/>
  <c r="AY330" i="63"/>
  <c r="R330" i="63"/>
  <c r="AI330" i="63"/>
  <c r="B330" i="63"/>
  <c r="S330" i="63"/>
  <c r="AJ330" i="63"/>
  <c r="C330" i="63"/>
  <c r="AK330" i="63"/>
  <c r="D330" i="63"/>
  <c r="U330" i="63"/>
  <c r="AL330" i="63"/>
  <c r="E330" i="63"/>
  <c r="AM330" i="63"/>
  <c r="F330" i="63"/>
  <c r="G330" i="63"/>
  <c r="W330" i="63"/>
  <c r="Y330" i="63"/>
  <c r="AE330" i="65" s="1"/>
  <c r="AO330" i="63"/>
  <c r="AP330" i="63"/>
  <c r="U329" i="65"/>
  <c r="N329" i="65"/>
  <c r="M329" i="65"/>
  <c r="S329" i="65"/>
  <c r="H329" i="65"/>
  <c r="A331" i="63"/>
  <c r="T330" i="65" l="1"/>
  <c r="P330" i="65"/>
  <c r="AD330" i="65"/>
  <c r="AC330" i="65"/>
  <c r="AB330" i="65"/>
  <c r="D330" i="65"/>
  <c r="K330" i="65"/>
  <c r="X330" i="65"/>
  <c r="B330" i="65"/>
  <c r="W330" i="65"/>
  <c r="V330" i="65"/>
  <c r="G330" i="65"/>
  <c r="I330" i="65"/>
  <c r="Z330" i="65"/>
  <c r="O330" i="65"/>
  <c r="M330" i="65"/>
  <c r="F331" i="63"/>
  <c r="AL331" i="63"/>
  <c r="J331" i="63"/>
  <c r="AR331" i="63"/>
  <c r="K331" i="63"/>
  <c r="AS331" i="63"/>
  <c r="L331" i="63"/>
  <c r="AC331" i="63"/>
  <c r="AT331" i="63"/>
  <c r="M331" i="63"/>
  <c r="AD331" i="63"/>
  <c r="AU331" i="63"/>
  <c r="AE331" i="63"/>
  <c r="AV331" i="63"/>
  <c r="AF331" i="63"/>
  <c r="AW331" i="63"/>
  <c r="P331" i="63"/>
  <c r="AG331" i="63"/>
  <c r="AX331" i="63"/>
  <c r="Q331" i="63"/>
  <c r="AH331" i="63"/>
  <c r="AY331" i="63"/>
  <c r="R331" i="63"/>
  <c r="AI331" i="63"/>
  <c r="B331" i="63"/>
  <c r="S331" i="63"/>
  <c r="AJ331" i="63"/>
  <c r="C331" i="63"/>
  <c r="T331" i="63"/>
  <c r="AK331" i="63"/>
  <c r="D331" i="63"/>
  <c r="U331" i="63"/>
  <c r="AM331" i="63"/>
  <c r="E331" i="63"/>
  <c r="W331" i="63"/>
  <c r="AN331" i="63"/>
  <c r="G331" i="63"/>
  <c r="X331" i="63"/>
  <c r="AO331" i="63"/>
  <c r="AP331" i="63"/>
  <c r="AQ331" i="63"/>
  <c r="Y331" i="63"/>
  <c r="AE331" i="65" s="1"/>
  <c r="H331" i="63"/>
  <c r="I331" i="63"/>
  <c r="Z331" i="63"/>
  <c r="H330" i="65"/>
  <c r="Y330" i="65"/>
  <c r="S330" i="65"/>
  <c r="N330" i="65"/>
  <c r="U330" i="65"/>
  <c r="A332" i="63"/>
  <c r="AC331" i="65" l="1"/>
  <c r="AD331" i="65"/>
  <c r="O331" i="65"/>
  <c r="D331" i="65"/>
  <c r="K331" i="65"/>
  <c r="G331" i="65"/>
  <c r="P331" i="65"/>
  <c r="X331" i="65"/>
  <c r="T331" i="65"/>
  <c r="AA331" i="65"/>
  <c r="AB331" i="65"/>
  <c r="Z331" i="65"/>
  <c r="V331" i="65"/>
  <c r="B331" i="65"/>
  <c r="W331" i="65"/>
  <c r="I331" i="65"/>
  <c r="D332" i="63"/>
  <c r="T332" i="63"/>
  <c r="AJ332" i="63"/>
  <c r="K332" i="63"/>
  <c r="AS332" i="63"/>
  <c r="L332" i="63"/>
  <c r="AC332" i="63"/>
  <c r="AT332" i="63"/>
  <c r="M332" i="63"/>
  <c r="AD332" i="63"/>
  <c r="AU332" i="63"/>
  <c r="N332" i="63"/>
  <c r="AE332" i="63"/>
  <c r="AV332" i="63"/>
  <c r="AF332" i="63"/>
  <c r="AW332" i="63"/>
  <c r="P332" i="63"/>
  <c r="AG332" i="63"/>
  <c r="AX332" i="63"/>
  <c r="Q332" i="63"/>
  <c r="AH332" i="63"/>
  <c r="AY332" i="63"/>
  <c r="R332" i="63"/>
  <c r="AI332" i="63"/>
  <c r="B332" i="63"/>
  <c r="S332" i="63"/>
  <c r="AK332" i="63"/>
  <c r="C332" i="63"/>
  <c r="U332" i="63"/>
  <c r="AL332" i="63"/>
  <c r="E332" i="63"/>
  <c r="V332" i="63"/>
  <c r="D332" i="65" s="1"/>
  <c r="AM332" i="63"/>
  <c r="F332" i="63"/>
  <c r="W332" i="63"/>
  <c r="AN332" i="63"/>
  <c r="G332" i="63"/>
  <c r="X332" i="63"/>
  <c r="AO332" i="63"/>
  <c r="H332" i="63"/>
  <c r="Y332" i="63"/>
  <c r="AP332" i="63"/>
  <c r="I332" i="63"/>
  <c r="M332" i="65" s="1"/>
  <c r="J332" i="63"/>
  <c r="Z332" i="63"/>
  <c r="AQ332" i="63"/>
  <c r="AR332" i="63"/>
  <c r="N331" i="65"/>
  <c r="Y331" i="65"/>
  <c r="M331" i="65"/>
  <c r="H331" i="65"/>
  <c r="S331" i="65"/>
  <c r="U331" i="65"/>
  <c r="A333" i="63"/>
  <c r="AD332" i="65" l="1"/>
  <c r="AE332" i="65"/>
  <c r="AB332" i="65"/>
  <c r="AC332" i="65"/>
  <c r="P332" i="65"/>
  <c r="K332" i="65"/>
  <c r="J332" i="65"/>
  <c r="W332" i="65"/>
  <c r="X332" i="65"/>
  <c r="T332" i="65"/>
  <c r="Z332" i="65"/>
  <c r="G332" i="65"/>
  <c r="I332" i="65"/>
  <c r="V332" i="65"/>
  <c r="O332" i="65"/>
  <c r="AA332" i="65"/>
  <c r="B332" i="65"/>
  <c r="AH333" i="63"/>
  <c r="AX333" i="63"/>
  <c r="L333" i="63"/>
  <c r="AC333" i="63"/>
  <c r="AT333" i="63"/>
  <c r="M333" i="63"/>
  <c r="AD333" i="63"/>
  <c r="AU333" i="63"/>
  <c r="N333" i="63"/>
  <c r="AE333" i="63"/>
  <c r="AV333" i="63"/>
  <c r="O333" i="63"/>
  <c r="AF333" i="63"/>
  <c r="AW333" i="63"/>
  <c r="P333" i="63"/>
  <c r="AG333" i="63"/>
  <c r="AY333" i="63"/>
  <c r="AI333" i="63"/>
  <c r="S333" i="63"/>
  <c r="AJ333" i="63"/>
  <c r="T333" i="63"/>
  <c r="AK333" i="63"/>
  <c r="U333" i="63"/>
  <c r="AL333" i="63"/>
  <c r="V333" i="63"/>
  <c r="AM333" i="63"/>
  <c r="W333" i="63"/>
  <c r="AN333" i="63"/>
  <c r="AO333" i="63"/>
  <c r="H333" i="63"/>
  <c r="AP333" i="63"/>
  <c r="I333" i="63"/>
  <c r="AQ333" i="63"/>
  <c r="J333" i="63"/>
  <c r="K333" i="63"/>
  <c r="AR333" i="63"/>
  <c r="AS333" i="63"/>
  <c r="U332" i="65"/>
  <c r="H332" i="65"/>
  <c r="S332" i="65"/>
  <c r="Y332" i="65"/>
  <c r="N332" i="65"/>
  <c r="A334" i="63"/>
  <c r="AC333" i="65" l="1"/>
  <c r="J333" i="65"/>
  <c r="D333" i="65"/>
  <c r="K333" i="65"/>
  <c r="Z333" i="65"/>
  <c r="W333" i="65"/>
  <c r="V333" i="65"/>
  <c r="O333" i="65"/>
  <c r="AA333" i="65"/>
  <c r="G333" i="65"/>
  <c r="I333" i="65"/>
  <c r="P334" i="63"/>
  <c r="AF334" i="63"/>
  <c r="AV334" i="63"/>
  <c r="M334" i="63"/>
  <c r="AD334" i="63"/>
  <c r="AU334" i="63"/>
  <c r="N334" i="63"/>
  <c r="AE334" i="63"/>
  <c r="AW334" i="63"/>
  <c r="O334" i="63"/>
  <c r="AG334" i="63"/>
  <c r="AX334" i="63"/>
  <c r="AH334" i="63"/>
  <c r="AY334" i="63"/>
  <c r="AI334" i="63"/>
  <c r="AJ334" i="63"/>
  <c r="T334" i="63"/>
  <c r="AK334" i="63"/>
  <c r="U334" i="63"/>
  <c r="AL334" i="63"/>
  <c r="V334" i="63"/>
  <c r="AM334" i="63"/>
  <c r="W334" i="63"/>
  <c r="AN334" i="63"/>
  <c r="AO334" i="63"/>
  <c r="H334" i="63"/>
  <c r="AP334" i="63"/>
  <c r="I334" i="63"/>
  <c r="AQ334" i="63"/>
  <c r="J334" i="63"/>
  <c r="AR334" i="63"/>
  <c r="AC334" i="63"/>
  <c r="AS334" i="63"/>
  <c r="AT334" i="63"/>
  <c r="L334" i="63"/>
  <c r="K334" i="65" s="1"/>
  <c r="H333" i="65"/>
  <c r="S333" i="65"/>
  <c r="N333" i="65"/>
  <c r="M333" i="65"/>
  <c r="Y333" i="65"/>
  <c r="A335" i="63"/>
  <c r="J334" i="65" l="1"/>
  <c r="AC334" i="65"/>
  <c r="D334" i="65"/>
  <c r="W334" i="65"/>
  <c r="O334" i="65"/>
  <c r="AA334" i="65"/>
  <c r="G334" i="65"/>
  <c r="I334" i="65"/>
  <c r="Z334" i="65"/>
  <c r="N335" i="63"/>
  <c r="AD335" i="63"/>
  <c r="AT335" i="63"/>
  <c r="O335" i="63"/>
  <c r="AF335" i="63"/>
  <c r="AW335" i="63"/>
  <c r="P335" i="63"/>
  <c r="AG335" i="63"/>
  <c r="AX335" i="63"/>
  <c r="AH335" i="63"/>
  <c r="AY335" i="63"/>
  <c r="AI335" i="63"/>
  <c r="B335" i="63"/>
  <c r="AJ335" i="63"/>
  <c r="C335" i="63"/>
  <c r="T335" i="63"/>
  <c r="AK335" i="63"/>
  <c r="D335" i="63"/>
  <c r="U335" i="63"/>
  <c r="AL335" i="63"/>
  <c r="E335" i="63"/>
  <c r="V335" i="63"/>
  <c r="AM335" i="63"/>
  <c r="F335" i="63"/>
  <c r="W335" i="63"/>
  <c r="AN335" i="63"/>
  <c r="G335" i="63"/>
  <c r="X335" i="63"/>
  <c r="AO335" i="63"/>
  <c r="H335" i="63"/>
  <c r="Y335" i="63"/>
  <c r="AE335" i="65" s="1"/>
  <c r="AP335" i="63"/>
  <c r="I335" i="63"/>
  <c r="Z335" i="63"/>
  <c r="AQ335" i="63"/>
  <c r="J335" i="63"/>
  <c r="AR335" i="63"/>
  <c r="AS335" i="63"/>
  <c r="L335" i="63"/>
  <c r="M335" i="63"/>
  <c r="AC335" i="63"/>
  <c r="AE335" i="63"/>
  <c r="AU335" i="63"/>
  <c r="AV335" i="63"/>
  <c r="S334" i="65"/>
  <c r="N334" i="65"/>
  <c r="M334" i="65"/>
  <c r="H334" i="65"/>
  <c r="A336" i="63"/>
  <c r="AC335" i="65" l="1"/>
  <c r="AD335" i="65"/>
  <c r="T335" i="65"/>
  <c r="P335" i="65"/>
  <c r="O335" i="65"/>
  <c r="X335" i="65"/>
  <c r="J335" i="65"/>
  <c r="K335" i="65"/>
  <c r="D335" i="65"/>
  <c r="AA335" i="65"/>
  <c r="G335" i="65"/>
  <c r="Z335" i="65"/>
  <c r="B335" i="65"/>
  <c r="I335" i="65"/>
  <c r="W335" i="65"/>
  <c r="V335" i="65"/>
  <c r="L336" i="63"/>
  <c r="K336" i="65" s="1"/>
  <c r="AR336" i="63"/>
  <c r="P336" i="63"/>
  <c r="AG336" i="63"/>
  <c r="AX336" i="63"/>
  <c r="Q336" i="63"/>
  <c r="AH336" i="63"/>
  <c r="AY336" i="63"/>
  <c r="R336" i="63"/>
  <c r="AI336" i="63"/>
  <c r="B336" i="63"/>
  <c r="AJ336" i="63"/>
  <c r="C336" i="63"/>
  <c r="T336" i="63"/>
  <c r="AK336" i="63"/>
  <c r="D336" i="63"/>
  <c r="U336" i="63"/>
  <c r="AL336" i="63"/>
  <c r="E336" i="63"/>
  <c r="V336" i="63"/>
  <c r="AM336" i="63"/>
  <c r="F336" i="63"/>
  <c r="W336" i="63"/>
  <c r="AN336" i="63"/>
  <c r="G336" i="63"/>
  <c r="X336" i="63"/>
  <c r="AO336" i="63"/>
  <c r="H336" i="63"/>
  <c r="Y336" i="63"/>
  <c r="AE336" i="65" s="1"/>
  <c r="AP336" i="63"/>
  <c r="I336" i="63"/>
  <c r="Z336" i="63"/>
  <c r="AQ336" i="63"/>
  <c r="J336" i="63"/>
  <c r="AS336" i="63"/>
  <c r="AC336" i="63"/>
  <c r="AT336" i="63"/>
  <c r="M336" i="63"/>
  <c r="AD336" i="63"/>
  <c r="AU336" i="63"/>
  <c r="AV336" i="63"/>
  <c r="N336" i="63"/>
  <c r="O336" i="63"/>
  <c r="AE336" i="63"/>
  <c r="AF336" i="63"/>
  <c r="AW336" i="63"/>
  <c r="N335" i="65"/>
  <c r="S335" i="65"/>
  <c r="U335" i="65"/>
  <c r="H335" i="65"/>
  <c r="M335" i="65"/>
  <c r="A337" i="63"/>
  <c r="P336" i="65" l="1"/>
  <c r="AC336" i="65"/>
  <c r="AD336" i="65"/>
  <c r="O336" i="65"/>
  <c r="J336" i="65"/>
  <c r="D336" i="65"/>
  <c r="X336" i="65"/>
  <c r="T336" i="65"/>
  <c r="AA336" i="65"/>
  <c r="AB336" i="65"/>
  <c r="V336" i="65"/>
  <c r="I336" i="65"/>
  <c r="G336" i="65"/>
  <c r="Z336" i="65"/>
  <c r="B336" i="65"/>
  <c r="W336" i="65"/>
  <c r="S336" i="65"/>
  <c r="J337" i="63"/>
  <c r="Z337" i="63"/>
  <c r="AP337" i="63"/>
  <c r="Q337" i="63"/>
  <c r="AH337" i="63"/>
  <c r="AY337" i="63"/>
  <c r="R337" i="63"/>
  <c r="AI337" i="63"/>
  <c r="B337" i="63"/>
  <c r="S337" i="63"/>
  <c r="AJ337" i="63"/>
  <c r="C337" i="63"/>
  <c r="T337" i="63"/>
  <c r="AK337" i="63"/>
  <c r="D337" i="63"/>
  <c r="AL337" i="63"/>
  <c r="E337" i="63"/>
  <c r="V337" i="63"/>
  <c r="AM337" i="63"/>
  <c r="F337" i="63"/>
  <c r="W337" i="63"/>
  <c r="AN337" i="63"/>
  <c r="G337" i="63"/>
  <c r="X337" i="63"/>
  <c r="AO337" i="63"/>
  <c r="H337" i="63"/>
  <c r="Y337" i="63"/>
  <c r="AQ337" i="63"/>
  <c r="I337" i="63"/>
  <c r="AR337" i="63"/>
  <c r="K337" i="63"/>
  <c r="AS337" i="63"/>
  <c r="L337" i="63"/>
  <c r="AC337" i="63"/>
  <c r="AT337" i="63"/>
  <c r="M337" i="63"/>
  <c r="AD337" i="63"/>
  <c r="AU337" i="63"/>
  <c r="N337" i="63"/>
  <c r="AE337" i="63"/>
  <c r="AV337" i="63"/>
  <c r="O337" i="63"/>
  <c r="P337" i="63"/>
  <c r="AF337" i="63"/>
  <c r="AG337" i="63"/>
  <c r="AW337" i="63"/>
  <c r="AX337" i="63"/>
  <c r="H336" i="65"/>
  <c r="N336" i="65"/>
  <c r="U336" i="65"/>
  <c r="M336" i="65"/>
  <c r="A338" i="63"/>
  <c r="P337" i="65" l="1"/>
  <c r="AD337" i="65"/>
  <c r="AE337" i="65"/>
  <c r="AB337" i="65"/>
  <c r="J337" i="65"/>
  <c r="K337" i="65"/>
  <c r="Z337" i="65"/>
  <c r="D337" i="65"/>
  <c r="X337" i="65"/>
  <c r="T337" i="65"/>
  <c r="V337" i="65"/>
  <c r="G337" i="65"/>
  <c r="I337" i="65"/>
  <c r="O337" i="65"/>
  <c r="AA337" i="65"/>
  <c r="W337" i="65"/>
  <c r="B337" i="65"/>
  <c r="M337" i="65"/>
  <c r="H338" i="63"/>
  <c r="X338" i="63"/>
  <c r="AN338" i="63"/>
  <c r="R338" i="63"/>
  <c r="AI338" i="63"/>
  <c r="B338" i="63"/>
  <c r="S338" i="63"/>
  <c r="AJ338" i="63"/>
  <c r="C338" i="63"/>
  <c r="T338" i="63"/>
  <c r="AK338" i="63"/>
  <c r="D338" i="63"/>
  <c r="AL338" i="63"/>
  <c r="E338" i="63"/>
  <c r="V338" i="63"/>
  <c r="D338" i="65" s="1"/>
  <c r="AM338" i="63"/>
  <c r="F338" i="63"/>
  <c r="W338" i="63"/>
  <c r="AO338" i="63"/>
  <c r="G338" i="63"/>
  <c r="Y338" i="63"/>
  <c r="AE338" i="65" s="1"/>
  <c r="AP338" i="63"/>
  <c r="I338" i="63"/>
  <c r="Z338" i="63"/>
  <c r="AQ338" i="63"/>
  <c r="J338" i="63"/>
  <c r="AR338" i="63"/>
  <c r="K338" i="63"/>
  <c r="AS338" i="63"/>
  <c r="L338" i="63"/>
  <c r="K338" i="65" s="1"/>
  <c r="AC338" i="63"/>
  <c r="AT338" i="63"/>
  <c r="M338" i="63"/>
  <c r="AD338" i="63"/>
  <c r="AU338" i="63"/>
  <c r="N338" i="63"/>
  <c r="AE338" i="63"/>
  <c r="AV338" i="63"/>
  <c r="O338" i="63"/>
  <c r="AF338" i="63"/>
  <c r="AW338" i="63"/>
  <c r="P338" i="63"/>
  <c r="Q338" i="63"/>
  <c r="AG338" i="63"/>
  <c r="AH338" i="63"/>
  <c r="AX338" i="63"/>
  <c r="AY338" i="63"/>
  <c r="Y337" i="65"/>
  <c r="S337" i="65"/>
  <c r="N337" i="65"/>
  <c r="U337" i="65"/>
  <c r="H337" i="65"/>
  <c r="A339" i="63"/>
  <c r="AB338" i="65" l="1"/>
  <c r="AD338" i="65"/>
  <c r="J338" i="65"/>
  <c r="W338" i="65"/>
  <c r="X338" i="65"/>
  <c r="T338" i="65"/>
  <c r="B338" i="65"/>
  <c r="G338" i="65"/>
  <c r="I338" i="65"/>
  <c r="O338" i="65"/>
  <c r="AA338" i="65"/>
  <c r="Z338" i="65"/>
  <c r="V338" i="65"/>
  <c r="P338" i="65"/>
  <c r="U338" i="65"/>
  <c r="V339" i="63"/>
  <c r="AL339" i="63"/>
  <c r="S339" i="63"/>
  <c r="AJ339" i="63"/>
  <c r="T339" i="63"/>
  <c r="AK339" i="63"/>
  <c r="U339" i="63"/>
  <c r="AM339" i="63"/>
  <c r="W339" i="63"/>
  <c r="AN339" i="63"/>
  <c r="AO339" i="63"/>
  <c r="H339" i="63"/>
  <c r="AP339" i="63"/>
  <c r="I339" i="63"/>
  <c r="Z339" i="63"/>
  <c r="AQ339" i="63"/>
  <c r="J339" i="63"/>
  <c r="AR339" i="63"/>
  <c r="K339" i="63"/>
  <c r="AS339" i="63"/>
  <c r="L339" i="63"/>
  <c r="AC339" i="63"/>
  <c r="AT339" i="63"/>
  <c r="M339" i="63"/>
  <c r="AD339" i="63"/>
  <c r="AU339" i="63"/>
  <c r="N339" i="63"/>
  <c r="AE339" i="63"/>
  <c r="AV339" i="63"/>
  <c r="O339" i="63"/>
  <c r="AF339" i="63"/>
  <c r="AW339" i="63"/>
  <c r="P339" i="63"/>
  <c r="AG339" i="63"/>
  <c r="AX339" i="63"/>
  <c r="AY339" i="63"/>
  <c r="Q339" i="63"/>
  <c r="R339" i="63"/>
  <c r="AH339" i="63"/>
  <c r="AI339" i="63"/>
  <c r="N338" i="65"/>
  <c r="S338" i="65"/>
  <c r="Y338" i="65"/>
  <c r="M338" i="65"/>
  <c r="H338" i="65"/>
  <c r="M339" i="65"/>
  <c r="A340" i="63"/>
  <c r="J339" i="65" l="1"/>
  <c r="AB339" i="65"/>
  <c r="AC339" i="65"/>
  <c r="D339" i="65"/>
  <c r="K339" i="65"/>
  <c r="W339" i="65"/>
  <c r="G339" i="65"/>
  <c r="I339" i="65"/>
  <c r="O339" i="65"/>
  <c r="AA339" i="65"/>
  <c r="V339" i="65"/>
  <c r="Z339" i="65"/>
  <c r="P339" i="65"/>
  <c r="T340" i="63"/>
  <c r="AJ340" i="63"/>
  <c r="U340" i="63"/>
  <c r="AL340" i="63"/>
  <c r="V340" i="63"/>
  <c r="AM340" i="63"/>
  <c r="W340" i="63"/>
  <c r="AN340" i="63"/>
  <c r="AO340" i="63"/>
  <c r="H340" i="63"/>
  <c r="AP340" i="63"/>
  <c r="I340" i="63"/>
  <c r="Z340" i="63"/>
  <c r="AQ340" i="63"/>
  <c r="J340" i="63"/>
  <c r="AR340" i="63"/>
  <c r="K340" i="63"/>
  <c r="AS340" i="63"/>
  <c r="L340" i="63"/>
  <c r="AC340" i="63"/>
  <c r="AT340" i="63"/>
  <c r="M340" i="63"/>
  <c r="AD340" i="63"/>
  <c r="AU340" i="63"/>
  <c r="N340" i="63"/>
  <c r="AE340" i="63"/>
  <c r="AV340" i="63"/>
  <c r="O340" i="63"/>
  <c r="AF340" i="63"/>
  <c r="AW340" i="63"/>
  <c r="AG340" i="63"/>
  <c r="AX340" i="63"/>
  <c r="AH340" i="63"/>
  <c r="AY340" i="63"/>
  <c r="S340" i="63"/>
  <c r="AI340" i="63"/>
  <c r="AK340" i="63"/>
  <c r="Y339" i="65"/>
  <c r="S339" i="65"/>
  <c r="N339" i="65"/>
  <c r="H339" i="65"/>
  <c r="A341" i="63"/>
  <c r="J340" i="65" l="1"/>
  <c r="O340" i="65"/>
  <c r="AC340" i="65"/>
  <c r="K340" i="65"/>
  <c r="D340" i="65"/>
  <c r="P340" i="65"/>
  <c r="AA340" i="65"/>
  <c r="G340" i="65"/>
  <c r="V340" i="65"/>
  <c r="W340" i="65"/>
  <c r="I340" i="65"/>
  <c r="Z340" i="65"/>
  <c r="H340" i="65"/>
  <c r="B341" i="63"/>
  <c r="AH341" i="63"/>
  <c r="AX341" i="63"/>
  <c r="E341" i="63"/>
  <c r="V341" i="63"/>
  <c r="AM341" i="63"/>
  <c r="F341" i="63"/>
  <c r="AN341" i="63"/>
  <c r="G341" i="63"/>
  <c r="X341" i="63"/>
  <c r="AO341" i="63"/>
  <c r="Y341" i="63"/>
  <c r="AE341" i="65" s="1"/>
  <c r="AP341" i="63"/>
  <c r="I341" i="63"/>
  <c r="Z341" i="63"/>
  <c r="AQ341" i="63"/>
  <c r="J341" i="63"/>
  <c r="AR341" i="63"/>
  <c r="AS341" i="63"/>
  <c r="L341" i="63"/>
  <c r="AC341" i="63"/>
  <c r="AT341" i="63"/>
  <c r="M341" i="63"/>
  <c r="AD341" i="63"/>
  <c r="AU341" i="63"/>
  <c r="N341" i="63"/>
  <c r="AE341" i="63"/>
  <c r="AV341" i="63"/>
  <c r="O341" i="63"/>
  <c r="AF341" i="63"/>
  <c r="AW341" i="63"/>
  <c r="AG341" i="63"/>
  <c r="AY341" i="63"/>
  <c r="AI341" i="63"/>
  <c r="AJ341" i="63"/>
  <c r="C341" i="63"/>
  <c r="D341" i="63"/>
  <c r="T341" i="63"/>
  <c r="U341" i="63"/>
  <c r="AK341" i="63"/>
  <c r="AL341" i="63"/>
  <c r="S340" i="65"/>
  <c r="M340" i="65"/>
  <c r="N340" i="65"/>
  <c r="Y340" i="65"/>
  <c r="A342" i="63"/>
  <c r="AD341" i="65" l="1"/>
  <c r="AC341" i="65"/>
  <c r="K341" i="65"/>
  <c r="D341" i="65"/>
  <c r="X341" i="65"/>
  <c r="T341" i="65"/>
  <c r="B341" i="65"/>
  <c r="G341" i="65"/>
  <c r="P341" i="65"/>
  <c r="Z341" i="65"/>
  <c r="O341" i="65"/>
  <c r="AA341" i="65"/>
  <c r="H341" i="65"/>
  <c r="V341" i="65"/>
  <c r="W341" i="65"/>
  <c r="I341" i="65"/>
  <c r="P342" i="63"/>
  <c r="AF342" i="63"/>
  <c r="AV342" i="63"/>
  <c r="F342" i="63"/>
  <c r="AN342" i="63"/>
  <c r="G342" i="63"/>
  <c r="X342" i="63"/>
  <c r="AO342" i="63"/>
  <c r="Y342" i="63"/>
  <c r="AP342" i="63"/>
  <c r="I342" i="63"/>
  <c r="Z342" i="63"/>
  <c r="AQ342" i="63"/>
  <c r="J342" i="63"/>
  <c r="AR342" i="63"/>
  <c r="AS342" i="63"/>
  <c r="L342" i="63"/>
  <c r="AC342" i="63"/>
  <c r="AT342" i="63"/>
  <c r="M342" i="63"/>
  <c r="AD342" i="63"/>
  <c r="AU342" i="63"/>
  <c r="N342" i="63"/>
  <c r="AE342" i="63"/>
  <c r="AW342" i="63"/>
  <c r="O342" i="63"/>
  <c r="AG342" i="63"/>
  <c r="AX342" i="63"/>
  <c r="AH342" i="63"/>
  <c r="AY342" i="63"/>
  <c r="AI342" i="63"/>
  <c r="B342" i="63"/>
  <c r="AJ342" i="63"/>
  <c r="C342" i="63"/>
  <c r="T342" i="63"/>
  <c r="AK342" i="63"/>
  <c r="AL342" i="63"/>
  <c r="AM342" i="63"/>
  <c r="U342" i="63"/>
  <c r="D342" i="63"/>
  <c r="E342" i="63"/>
  <c r="V342" i="63"/>
  <c r="D342" i="65" s="1"/>
  <c r="S341" i="65"/>
  <c r="M341" i="65"/>
  <c r="U341" i="65"/>
  <c r="A343" i="63"/>
  <c r="AD342" i="65" l="1"/>
  <c r="AE342" i="65"/>
  <c r="AC342" i="65"/>
  <c r="K342" i="65"/>
  <c r="Z342" i="65"/>
  <c r="X342" i="65"/>
  <c r="T342" i="65"/>
  <c r="I342" i="65"/>
  <c r="W342" i="65"/>
  <c r="B342" i="65"/>
  <c r="V342" i="65"/>
  <c r="O342" i="65"/>
  <c r="AA342" i="65"/>
  <c r="P342" i="65"/>
  <c r="G342" i="65"/>
  <c r="N343" i="63"/>
  <c r="AD343" i="63"/>
  <c r="AT343" i="63"/>
  <c r="G343" i="63"/>
  <c r="X343" i="63"/>
  <c r="AO343" i="63"/>
  <c r="H343" i="63"/>
  <c r="Y343" i="63"/>
  <c r="AE343" i="65" s="1"/>
  <c r="AP343" i="63"/>
  <c r="I343" i="63"/>
  <c r="Z343" i="63"/>
  <c r="AQ343" i="63"/>
  <c r="J343" i="63"/>
  <c r="AR343" i="63"/>
  <c r="AS343" i="63"/>
  <c r="L343" i="63"/>
  <c r="K343" i="65" s="1"/>
  <c r="AC343" i="63"/>
  <c r="AU343" i="63"/>
  <c r="M343" i="63"/>
  <c r="AE343" i="63"/>
  <c r="AV343" i="63"/>
  <c r="O343" i="63"/>
  <c r="AF343" i="63"/>
  <c r="AW343" i="63"/>
  <c r="P343" i="63"/>
  <c r="AG343" i="63"/>
  <c r="AX343" i="63"/>
  <c r="Q343" i="63"/>
  <c r="AH343" i="63"/>
  <c r="AY343" i="63"/>
  <c r="R343" i="63"/>
  <c r="AI343" i="63"/>
  <c r="B343" i="63"/>
  <c r="AJ343" i="63"/>
  <c r="C343" i="63"/>
  <c r="T343" i="63"/>
  <c r="AK343" i="63"/>
  <c r="D343" i="63"/>
  <c r="U343" i="63"/>
  <c r="AL343" i="63"/>
  <c r="E343" i="63"/>
  <c r="F343" i="63"/>
  <c r="V343" i="63"/>
  <c r="D343" i="65" s="1"/>
  <c r="W343" i="63"/>
  <c r="AM343" i="63"/>
  <c r="AN343" i="63"/>
  <c r="M342" i="65"/>
  <c r="H342" i="65"/>
  <c r="S342" i="65"/>
  <c r="U342" i="65"/>
  <c r="A344" i="63"/>
  <c r="AD343" i="65" l="1"/>
  <c r="AC343" i="65"/>
  <c r="AB343" i="65"/>
  <c r="J343" i="65"/>
  <c r="P343" i="65"/>
  <c r="W343" i="65"/>
  <c r="X343" i="65"/>
  <c r="T343" i="65"/>
  <c r="B343" i="65"/>
  <c r="V343" i="65"/>
  <c r="O343" i="65"/>
  <c r="AA343" i="65"/>
  <c r="I343" i="65"/>
  <c r="G343" i="65"/>
  <c r="Z343" i="65"/>
  <c r="L344" i="63"/>
  <c r="AR344" i="63"/>
  <c r="Y344" i="63"/>
  <c r="AE344" i="65" s="1"/>
  <c r="AP344" i="63"/>
  <c r="I344" i="63"/>
  <c r="Z344" i="63"/>
  <c r="AQ344" i="63"/>
  <c r="J344" i="63"/>
  <c r="AS344" i="63"/>
  <c r="K344" i="63"/>
  <c r="AC344" i="63"/>
  <c r="AT344" i="63"/>
  <c r="M344" i="63"/>
  <c r="AD344" i="63"/>
  <c r="AU344" i="63"/>
  <c r="N344" i="63"/>
  <c r="AE344" i="63"/>
  <c r="AV344" i="63"/>
  <c r="O344" i="63"/>
  <c r="AF344" i="63"/>
  <c r="AW344" i="63"/>
  <c r="P344" i="63"/>
  <c r="AG344" i="63"/>
  <c r="AX344" i="63"/>
  <c r="Q344" i="63"/>
  <c r="AH344" i="63"/>
  <c r="AY344" i="63"/>
  <c r="R344" i="63"/>
  <c r="AI344" i="63"/>
  <c r="B344" i="63"/>
  <c r="S344" i="63"/>
  <c r="AJ344" i="63"/>
  <c r="C344" i="63"/>
  <c r="T344" i="63"/>
  <c r="AK344" i="63"/>
  <c r="D344" i="63"/>
  <c r="V344" i="65" s="1"/>
  <c r="U344" i="63"/>
  <c r="AL344" i="63"/>
  <c r="E344" i="63"/>
  <c r="F344" i="63"/>
  <c r="G344" i="63"/>
  <c r="AN344" i="63"/>
  <c r="V344" i="63"/>
  <c r="D344" i="65" s="1"/>
  <c r="X344" i="63"/>
  <c r="AM344" i="63"/>
  <c r="AO344" i="63"/>
  <c r="S343" i="65"/>
  <c r="N343" i="65"/>
  <c r="M343" i="65"/>
  <c r="U343" i="65"/>
  <c r="H343" i="65"/>
  <c r="A345" i="63"/>
  <c r="X344" i="65" l="1"/>
  <c r="AD344" i="65"/>
  <c r="AB344" i="65"/>
  <c r="AC344" i="65"/>
  <c r="T344" i="65"/>
  <c r="K344" i="65"/>
  <c r="B344" i="65"/>
  <c r="P344" i="65"/>
  <c r="G344" i="65"/>
  <c r="I344" i="65"/>
  <c r="O344" i="65"/>
  <c r="AA344" i="65"/>
  <c r="W344" i="65"/>
  <c r="Z344" i="65"/>
  <c r="J345" i="63"/>
  <c r="Z345" i="63"/>
  <c r="AP345" i="63"/>
  <c r="I345" i="63"/>
  <c r="AR345" i="63"/>
  <c r="K345" i="63"/>
  <c r="AS345" i="63"/>
  <c r="L345" i="63"/>
  <c r="AC345" i="63"/>
  <c r="AT345" i="63"/>
  <c r="M345" i="63"/>
  <c r="AD345" i="63"/>
  <c r="AU345" i="63"/>
  <c r="N345" i="63"/>
  <c r="AE345" i="63"/>
  <c r="AV345" i="63"/>
  <c r="O345" i="63"/>
  <c r="AF345" i="63"/>
  <c r="AW345" i="63"/>
  <c r="P345" i="63"/>
  <c r="AG345" i="63"/>
  <c r="AX345" i="63"/>
  <c r="Q345" i="63"/>
  <c r="AH345" i="63"/>
  <c r="AY345" i="63"/>
  <c r="R345" i="63"/>
  <c r="AI345" i="63"/>
  <c r="B345" i="63"/>
  <c r="S345" i="63"/>
  <c r="AJ345" i="63"/>
  <c r="C345" i="63"/>
  <c r="T345" i="63"/>
  <c r="AK345" i="63"/>
  <c r="D345" i="63"/>
  <c r="U345" i="63"/>
  <c r="AL345" i="63"/>
  <c r="E345" i="63"/>
  <c r="V345" i="63"/>
  <c r="AM345" i="63"/>
  <c r="F345" i="63"/>
  <c r="G345" i="63"/>
  <c r="X345" i="63"/>
  <c r="Y345" i="63"/>
  <c r="AE345" i="65" s="1"/>
  <c r="AN345" i="63"/>
  <c r="AO345" i="63"/>
  <c r="AQ345" i="63"/>
  <c r="S344" i="65"/>
  <c r="M344" i="65"/>
  <c r="H344" i="65"/>
  <c r="U344" i="65"/>
  <c r="Y344" i="65"/>
  <c r="A346" i="63"/>
  <c r="AC345" i="65" l="1"/>
  <c r="AD345" i="65"/>
  <c r="O345" i="65"/>
  <c r="K345" i="65"/>
  <c r="D345" i="65"/>
  <c r="X345" i="65"/>
  <c r="T345" i="65"/>
  <c r="P345" i="65"/>
  <c r="AA345" i="65"/>
  <c r="AB345" i="65"/>
  <c r="I345" i="65"/>
  <c r="Z345" i="65"/>
  <c r="B345" i="65"/>
  <c r="W345" i="65"/>
  <c r="G345" i="65"/>
  <c r="V345" i="65"/>
  <c r="H346" i="63"/>
  <c r="G346" i="65" s="1"/>
  <c r="X346" i="63"/>
  <c r="AN346" i="63"/>
  <c r="K346" i="63"/>
  <c r="AS346" i="63"/>
  <c r="L346" i="63"/>
  <c r="AC346" i="63"/>
  <c r="AT346" i="63"/>
  <c r="M346" i="63"/>
  <c r="AD346" i="63"/>
  <c r="AU346" i="63"/>
  <c r="N346" i="63"/>
  <c r="AE346" i="63"/>
  <c r="AV346" i="63"/>
  <c r="O346" i="63"/>
  <c r="AF346" i="63"/>
  <c r="AW346" i="63"/>
  <c r="P346" i="63"/>
  <c r="AG346" i="63"/>
  <c r="AX346" i="63"/>
  <c r="Q346" i="63"/>
  <c r="AH346" i="63"/>
  <c r="AY346" i="63"/>
  <c r="R346" i="63"/>
  <c r="AI346" i="63"/>
  <c r="B346" i="63"/>
  <c r="S346" i="63"/>
  <c r="AJ346" i="63"/>
  <c r="C346" i="63"/>
  <c r="T346" i="63"/>
  <c r="AK346" i="63"/>
  <c r="D346" i="63"/>
  <c r="U346" i="63"/>
  <c r="AL346" i="63"/>
  <c r="E346" i="63"/>
  <c r="V346" i="63"/>
  <c r="AM346" i="63"/>
  <c r="F346" i="63"/>
  <c r="W346" i="63"/>
  <c r="AO346" i="63"/>
  <c r="AQ346" i="63"/>
  <c r="AR346" i="63"/>
  <c r="G346" i="63"/>
  <c r="I346" i="63"/>
  <c r="O346" i="65" s="1"/>
  <c r="J346" i="63"/>
  <c r="Y346" i="63"/>
  <c r="AE346" i="65" s="1"/>
  <c r="Z346" i="63"/>
  <c r="AP346" i="63"/>
  <c r="M345" i="65"/>
  <c r="Y345" i="65"/>
  <c r="H345" i="65"/>
  <c r="U345" i="65"/>
  <c r="S345" i="65"/>
  <c r="A347" i="63"/>
  <c r="P346" i="65" l="1"/>
  <c r="AC346" i="65"/>
  <c r="AD346" i="65"/>
  <c r="J346" i="65"/>
  <c r="K346" i="65"/>
  <c r="D346" i="65"/>
  <c r="X346" i="65"/>
  <c r="T346" i="65"/>
  <c r="I346" i="65"/>
  <c r="Z346" i="65"/>
  <c r="AA346" i="65"/>
  <c r="AB346" i="65"/>
  <c r="W346" i="65"/>
  <c r="V346" i="65"/>
  <c r="B346" i="65"/>
  <c r="V347" i="63"/>
  <c r="D347" i="65" s="1"/>
  <c r="AL347" i="63"/>
  <c r="L347" i="63"/>
  <c r="K347" i="65" s="1"/>
  <c r="AC347" i="63"/>
  <c r="AT347" i="63"/>
  <c r="M347" i="63"/>
  <c r="AD347" i="63"/>
  <c r="AU347" i="63"/>
  <c r="N347" i="63"/>
  <c r="AE347" i="63"/>
  <c r="AV347" i="63"/>
  <c r="O347" i="63"/>
  <c r="AF347" i="63"/>
  <c r="AW347" i="63"/>
  <c r="P347" i="63"/>
  <c r="AG347" i="63"/>
  <c r="AX347" i="63"/>
  <c r="AH347" i="63"/>
  <c r="AY347" i="63"/>
  <c r="AI347" i="63"/>
  <c r="S347" i="63"/>
  <c r="AJ347" i="63"/>
  <c r="T347" i="63"/>
  <c r="AK347" i="63"/>
  <c r="U347" i="63"/>
  <c r="AM347" i="63"/>
  <c r="W347" i="63"/>
  <c r="AN347" i="63"/>
  <c r="AO347" i="63"/>
  <c r="H347" i="63"/>
  <c r="AP347" i="63"/>
  <c r="I347" i="63"/>
  <c r="J347" i="63"/>
  <c r="K347" i="63"/>
  <c r="Z347" i="63"/>
  <c r="AQ347" i="63"/>
  <c r="AR347" i="63"/>
  <c r="AS347" i="63"/>
  <c r="N346" i="65"/>
  <c r="H346" i="65"/>
  <c r="S346" i="65"/>
  <c r="Y346" i="65"/>
  <c r="U346" i="65"/>
  <c r="M346" i="65"/>
  <c r="A348" i="63"/>
  <c r="Z347" i="65" l="1"/>
  <c r="AC347" i="65"/>
  <c r="J347" i="65"/>
  <c r="P347" i="65"/>
  <c r="W347" i="65"/>
  <c r="V347" i="65"/>
  <c r="G347" i="65"/>
  <c r="I347" i="65"/>
  <c r="O347" i="65"/>
  <c r="AA347" i="65"/>
  <c r="M348" i="63"/>
  <c r="AC348" i="63"/>
  <c r="AS348" i="63"/>
  <c r="N348" i="63"/>
  <c r="AD348" i="63"/>
  <c r="AT348" i="63"/>
  <c r="O348" i="63"/>
  <c r="AE348" i="63"/>
  <c r="AU348" i="63"/>
  <c r="P348" i="63"/>
  <c r="AF348" i="63"/>
  <c r="AV348" i="63"/>
  <c r="AG348" i="63"/>
  <c r="AW348" i="63"/>
  <c r="AH348" i="63"/>
  <c r="AX348" i="63"/>
  <c r="AI348" i="63"/>
  <c r="AY348" i="63"/>
  <c r="T348" i="63"/>
  <c r="AJ348" i="63"/>
  <c r="U348" i="63"/>
  <c r="AK348" i="63"/>
  <c r="V348" i="63"/>
  <c r="AL348" i="63"/>
  <c r="W348" i="63"/>
  <c r="AM348" i="63"/>
  <c r="H348" i="63"/>
  <c r="AN348" i="63"/>
  <c r="I348" i="63"/>
  <c r="AO348" i="63"/>
  <c r="AP348" i="63"/>
  <c r="AQ348" i="63"/>
  <c r="AR348" i="63"/>
  <c r="Z348" i="63"/>
  <c r="J348" i="63"/>
  <c r="L348" i="63"/>
  <c r="K348" i="65" s="1"/>
  <c r="H347" i="65"/>
  <c r="S347" i="65"/>
  <c r="Y347" i="65"/>
  <c r="N347" i="65"/>
  <c r="M347" i="65"/>
  <c r="A349" i="63"/>
  <c r="AC348" i="65" l="1"/>
  <c r="J348" i="65"/>
  <c r="P348" i="65"/>
  <c r="D348" i="65"/>
  <c r="W348" i="65"/>
  <c r="O348" i="65"/>
  <c r="AA348" i="65"/>
  <c r="V348" i="65"/>
  <c r="I348" i="65"/>
  <c r="G348" i="65"/>
  <c r="Z348" i="65"/>
  <c r="AQ349" i="63"/>
  <c r="L349" i="63"/>
  <c r="K349" i="65" s="1"/>
  <c r="AR349" i="63"/>
  <c r="M349" i="63"/>
  <c r="AC349" i="63"/>
  <c r="AS349" i="63"/>
  <c r="N349" i="63"/>
  <c r="AD349" i="63"/>
  <c r="AT349" i="63"/>
  <c r="O349" i="63"/>
  <c r="AE349" i="63"/>
  <c r="AU349" i="63"/>
  <c r="P349" i="63"/>
  <c r="AF349" i="63"/>
  <c r="AV349" i="63"/>
  <c r="AG349" i="63"/>
  <c r="AW349" i="63"/>
  <c r="B349" i="63"/>
  <c r="AH349" i="63"/>
  <c r="AX349" i="63"/>
  <c r="C349" i="63"/>
  <c r="AI349" i="63"/>
  <c r="AY349" i="63"/>
  <c r="D349" i="63"/>
  <c r="AJ349" i="63"/>
  <c r="E349" i="63"/>
  <c r="U349" i="63"/>
  <c r="AK349" i="63"/>
  <c r="F349" i="63"/>
  <c r="V349" i="63"/>
  <c r="AL349" i="63"/>
  <c r="G349" i="63"/>
  <c r="W349" i="63"/>
  <c r="AM349" i="63"/>
  <c r="H349" i="63"/>
  <c r="I349" i="63"/>
  <c r="J349" i="63"/>
  <c r="X349" i="63"/>
  <c r="Y349" i="63"/>
  <c r="AE349" i="65" s="1"/>
  <c r="Z349" i="63"/>
  <c r="AN349" i="63"/>
  <c r="AO349" i="63"/>
  <c r="AP349" i="63"/>
  <c r="H348" i="65"/>
  <c r="N348" i="65"/>
  <c r="M348" i="65"/>
  <c r="S348" i="65"/>
  <c r="A350" i="63"/>
  <c r="AC349" i="65" l="1"/>
  <c r="AD349" i="65"/>
  <c r="O349" i="65"/>
  <c r="Z349" i="65"/>
  <c r="D349" i="65"/>
  <c r="J349" i="65"/>
  <c r="X349" i="65"/>
  <c r="T349" i="65"/>
  <c r="G349" i="65"/>
  <c r="B349" i="65"/>
  <c r="I349" i="65"/>
  <c r="P349" i="65"/>
  <c r="V349" i="65"/>
  <c r="W349" i="65"/>
  <c r="H349" i="65"/>
  <c r="I350" i="63"/>
  <c r="Y350" i="63"/>
  <c r="AE350" i="65" s="1"/>
  <c r="AO350" i="63"/>
  <c r="J350" i="63"/>
  <c r="Z350" i="63"/>
  <c r="AP350" i="63"/>
  <c r="AQ350" i="63"/>
  <c r="L350" i="63"/>
  <c r="AR350" i="63"/>
  <c r="M350" i="63"/>
  <c r="AC350" i="63"/>
  <c r="AS350" i="63"/>
  <c r="N350" i="63"/>
  <c r="AD350" i="63"/>
  <c r="AT350" i="63"/>
  <c r="O350" i="63"/>
  <c r="AE350" i="63"/>
  <c r="AU350" i="63"/>
  <c r="P350" i="63"/>
  <c r="AF350" i="63"/>
  <c r="AV350" i="63"/>
  <c r="Q350" i="63"/>
  <c r="AG350" i="63"/>
  <c r="AW350" i="63"/>
  <c r="B350" i="63"/>
  <c r="R350" i="63"/>
  <c r="AH350" i="63"/>
  <c r="AX350" i="63"/>
  <c r="C350" i="63"/>
  <c r="AI350" i="63"/>
  <c r="AY350" i="63"/>
  <c r="D350" i="63"/>
  <c r="AJ350" i="63"/>
  <c r="E350" i="63"/>
  <c r="U350" i="63"/>
  <c r="AK350" i="63"/>
  <c r="V350" i="63"/>
  <c r="W350" i="63"/>
  <c r="X350" i="63"/>
  <c r="AL350" i="63"/>
  <c r="AM350" i="63"/>
  <c r="AN350" i="63"/>
  <c r="G350" i="63"/>
  <c r="F350" i="63"/>
  <c r="H350" i="63"/>
  <c r="N349" i="65"/>
  <c r="M349" i="65"/>
  <c r="U349" i="65"/>
  <c r="S349" i="65"/>
  <c r="A351" i="63"/>
  <c r="AD350" i="65" l="1"/>
  <c r="AB350" i="65"/>
  <c r="AC350" i="65"/>
  <c r="K350" i="65"/>
  <c r="D350" i="65"/>
  <c r="J350" i="65"/>
  <c r="P350" i="65"/>
  <c r="X350" i="65"/>
  <c r="T350" i="65"/>
  <c r="G350" i="65"/>
  <c r="V350" i="65"/>
  <c r="I350" i="65"/>
  <c r="O350" i="65"/>
  <c r="Z350" i="65"/>
  <c r="W350" i="65"/>
  <c r="B350" i="65"/>
  <c r="G351" i="63"/>
  <c r="W351" i="63"/>
  <c r="AM351" i="63"/>
  <c r="H351" i="63"/>
  <c r="X351" i="63"/>
  <c r="AN351" i="63"/>
  <c r="I351" i="63"/>
  <c r="Y351" i="63"/>
  <c r="AO351" i="63"/>
  <c r="J351" i="63"/>
  <c r="Z351" i="63"/>
  <c r="AP351" i="63"/>
  <c r="K351" i="63"/>
  <c r="AQ351" i="63"/>
  <c r="L351" i="63"/>
  <c r="K351" i="65" s="1"/>
  <c r="AR351" i="63"/>
  <c r="M351" i="63"/>
  <c r="AC351" i="63"/>
  <c r="AS351" i="63"/>
  <c r="N351" i="63"/>
  <c r="AD351" i="63"/>
  <c r="AT351" i="63"/>
  <c r="O351" i="63"/>
  <c r="AE351" i="63"/>
  <c r="AU351" i="63"/>
  <c r="P351" i="63"/>
  <c r="AF351" i="63"/>
  <c r="AV351" i="63"/>
  <c r="Q351" i="63"/>
  <c r="AG351" i="63"/>
  <c r="AW351" i="63"/>
  <c r="B351" i="63"/>
  <c r="R351" i="63"/>
  <c r="AH351" i="63"/>
  <c r="AX351" i="63"/>
  <c r="C351" i="63"/>
  <c r="S351" i="63"/>
  <c r="AI351" i="63"/>
  <c r="AY351" i="63"/>
  <c r="D351" i="63"/>
  <c r="E351" i="63"/>
  <c r="F351" i="63"/>
  <c r="U351" i="63"/>
  <c r="V351" i="63"/>
  <c r="D351" i="65" s="1"/>
  <c r="AJ351" i="63"/>
  <c r="AK351" i="63"/>
  <c r="AL351" i="63"/>
  <c r="H350" i="65"/>
  <c r="U350" i="65"/>
  <c r="S350" i="65"/>
  <c r="M350" i="65"/>
  <c r="N350" i="65"/>
  <c r="A352" i="63"/>
  <c r="T351" i="65" l="1"/>
  <c r="AD351" i="65"/>
  <c r="AE351" i="65"/>
  <c r="AB351" i="65"/>
  <c r="AC351" i="65"/>
  <c r="J351" i="65"/>
  <c r="X351" i="65"/>
  <c r="B351" i="65"/>
  <c r="V351" i="65"/>
  <c r="W351" i="65"/>
  <c r="G351" i="65"/>
  <c r="I351" i="65"/>
  <c r="P351" i="65"/>
  <c r="Z351" i="65"/>
  <c r="O351" i="65"/>
  <c r="H351" i="65"/>
  <c r="E352" i="63"/>
  <c r="U352" i="63"/>
  <c r="AK352" i="63"/>
  <c r="F352" i="63"/>
  <c r="V352" i="63"/>
  <c r="AL352" i="63"/>
  <c r="G352" i="63"/>
  <c r="W352" i="63"/>
  <c r="AM352" i="63"/>
  <c r="H352" i="63"/>
  <c r="X352" i="63"/>
  <c r="AN352" i="63"/>
  <c r="I352" i="63"/>
  <c r="Y352" i="63"/>
  <c r="AE352" i="65" s="1"/>
  <c r="AO352" i="63"/>
  <c r="J352" i="63"/>
  <c r="Z352" i="63"/>
  <c r="AP352" i="63"/>
  <c r="K352" i="63"/>
  <c r="AQ352" i="63"/>
  <c r="AR352" i="63"/>
  <c r="M352" i="63"/>
  <c r="AC352" i="63"/>
  <c r="AS352" i="63"/>
  <c r="N352" i="63"/>
  <c r="AD352" i="63"/>
  <c r="AT352" i="63"/>
  <c r="O352" i="63"/>
  <c r="AE352" i="63"/>
  <c r="AU352" i="63"/>
  <c r="P352" i="63"/>
  <c r="AF352" i="63"/>
  <c r="AV352" i="63"/>
  <c r="Q352" i="63"/>
  <c r="AG352" i="63"/>
  <c r="AW352" i="63"/>
  <c r="C352" i="63"/>
  <c r="D352" i="63"/>
  <c r="R352" i="63"/>
  <c r="S352" i="63"/>
  <c r="T352" i="63"/>
  <c r="AH352" i="63"/>
  <c r="AI352" i="63"/>
  <c r="AJ352" i="63"/>
  <c r="AX352" i="63"/>
  <c r="AY352" i="63"/>
  <c r="B352" i="63"/>
  <c r="U351" i="65"/>
  <c r="N351" i="65"/>
  <c r="S351" i="65"/>
  <c r="M351" i="65"/>
  <c r="Y351" i="65"/>
  <c r="A353" i="63"/>
  <c r="J352" i="65" l="1"/>
  <c r="AC352" i="65"/>
  <c r="AD352" i="65"/>
  <c r="O352" i="65"/>
  <c r="K352" i="65"/>
  <c r="D352" i="65"/>
  <c r="Z352" i="65"/>
  <c r="B352" i="65"/>
  <c r="X352" i="65"/>
  <c r="T352" i="65"/>
  <c r="AA352" i="65"/>
  <c r="AB352" i="65"/>
  <c r="I352" i="65"/>
  <c r="P352" i="65"/>
  <c r="W352" i="65"/>
  <c r="G352" i="65"/>
  <c r="V352" i="65"/>
  <c r="S352" i="65"/>
  <c r="S353" i="63"/>
  <c r="AI353" i="63"/>
  <c r="AY353" i="63"/>
  <c r="T353" i="63"/>
  <c r="AJ353" i="63"/>
  <c r="U353" i="63"/>
  <c r="AK353" i="63"/>
  <c r="V353" i="63"/>
  <c r="AL353" i="63"/>
  <c r="W353" i="63"/>
  <c r="AM353" i="63"/>
  <c r="H353" i="63"/>
  <c r="AN353" i="63"/>
  <c r="I353" i="63"/>
  <c r="AO353" i="63"/>
  <c r="J353" i="63"/>
  <c r="Z353" i="63"/>
  <c r="AP353" i="63"/>
  <c r="K353" i="63"/>
  <c r="AQ353" i="63"/>
  <c r="AR353" i="63"/>
  <c r="M353" i="63"/>
  <c r="AC353" i="63"/>
  <c r="AS353" i="63"/>
  <c r="N353" i="63"/>
  <c r="AD353" i="63"/>
  <c r="AT353" i="63"/>
  <c r="O353" i="63"/>
  <c r="AE353" i="63"/>
  <c r="AU353" i="63"/>
  <c r="AH353" i="63"/>
  <c r="AV353" i="63"/>
  <c r="AW353" i="63"/>
  <c r="AX353" i="63"/>
  <c r="AF353" i="63"/>
  <c r="P353" i="63"/>
  <c r="Q353" i="63"/>
  <c r="R353" i="63"/>
  <c r="AG353" i="63"/>
  <c r="H352" i="65"/>
  <c r="M352" i="65"/>
  <c r="U352" i="65"/>
  <c r="N352" i="65"/>
  <c r="Y352" i="65"/>
  <c r="A354" i="63"/>
  <c r="AB353" i="65" l="1"/>
  <c r="AC353" i="65"/>
  <c r="J353" i="65"/>
  <c r="P353" i="65"/>
  <c r="D353" i="65"/>
  <c r="K353" i="65"/>
  <c r="W353" i="65"/>
  <c r="G353" i="65"/>
  <c r="V353" i="65"/>
  <c r="O353" i="65"/>
  <c r="AA353" i="65"/>
  <c r="Z353" i="65"/>
  <c r="I353" i="65"/>
  <c r="H353" i="65"/>
  <c r="AG354" i="63"/>
  <c r="AW354" i="63"/>
  <c r="AH354" i="63"/>
  <c r="AX354" i="63"/>
  <c r="S354" i="63"/>
  <c r="AI354" i="63"/>
  <c r="AY354" i="63"/>
  <c r="T354" i="63"/>
  <c r="AJ354" i="63"/>
  <c r="U354" i="63"/>
  <c r="AK354" i="63"/>
  <c r="V354" i="63"/>
  <c r="D354" i="65" s="1"/>
  <c r="AL354" i="63"/>
  <c r="W354" i="63"/>
  <c r="AM354" i="63"/>
  <c r="H354" i="63"/>
  <c r="AN354" i="63"/>
  <c r="I354" i="63"/>
  <c r="AO354" i="63"/>
  <c r="J354" i="63"/>
  <c r="Z354" i="63"/>
  <c r="AP354" i="63"/>
  <c r="K354" i="63"/>
  <c r="AQ354" i="63"/>
  <c r="L354" i="63"/>
  <c r="K354" i="65" s="1"/>
  <c r="AR354" i="63"/>
  <c r="M354" i="63"/>
  <c r="AC354" i="63"/>
  <c r="AS354" i="63"/>
  <c r="N354" i="63"/>
  <c r="O354" i="63"/>
  <c r="P354" i="63"/>
  <c r="AD354" i="63"/>
  <c r="AE354" i="63"/>
  <c r="AF354" i="63"/>
  <c r="AT354" i="63"/>
  <c r="AU354" i="63"/>
  <c r="AV354" i="63"/>
  <c r="Y353" i="65"/>
  <c r="M353" i="65"/>
  <c r="N353" i="65"/>
  <c r="S353" i="65"/>
  <c r="A355" i="63"/>
  <c r="Z354" i="65" l="1"/>
  <c r="AC354" i="65"/>
  <c r="J354" i="65"/>
  <c r="G354" i="65"/>
  <c r="W354" i="65"/>
  <c r="P354" i="65"/>
  <c r="O354" i="65"/>
  <c r="AA354" i="65"/>
  <c r="V354" i="65"/>
  <c r="I354" i="65"/>
  <c r="O355" i="63"/>
  <c r="AE355" i="63"/>
  <c r="AU355" i="63"/>
  <c r="P355" i="63"/>
  <c r="AF355" i="63"/>
  <c r="AV355" i="63"/>
  <c r="AG355" i="63"/>
  <c r="AW355" i="63"/>
  <c r="B355" i="63"/>
  <c r="AH355" i="63"/>
  <c r="AX355" i="63"/>
  <c r="C355" i="63"/>
  <c r="AI355" i="63"/>
  <c r="AY355" i="63"/>
  <c r="D355" i="63"/>
  <c r="T355" i="63"/>
  <c r="AJ355" i="63"/>
  <c r="E355" i="63"/>
  <c r="U355" i="63"/>
  <c r="AK355" i="63"/>
  <c r="F355" i="63"/>
  <c r="V355" i="63"/>
  <c r="AL355" i="63"/>
  <c r="G355" i="63"/>
  <c r="W355" i="63"/>
  <c r="AM355" i="63"/>
  <c r="H355" i="63"/>
  <c r="X355" i="63"/>
  <c r="AN355" i="63"/>
  <c r="I355" i="63"/>
  <c r="Y355" i="63"/>
  <c r="AE355" i="65" s="1"/>
  <c r="AO355" i="63"/>
  <c r="J355" i="63"/>
  <c r="Z355" i="63"/>
  <c r="AP355" i="63"/>
  <c r="AQ355" i="63"/>
  <c r="AC355" i="63"/>
  <c r="AD355" i="63"/>
  <c r="AR355" i="63"/>
  <c r="AS355" i="63"/>
  <c r="AT355" i="63"/>
  <c r="M355" i="63"/>
  <c r="L355" i="63"/>
  <c r="N355" i="63"/>
  <c r="M354" i="65"/>
  <c r="Y354" i="65"/>
  <c r="N354" i="65"/>
  <c r="S354" i="65"/>
  <c r="H354" i="65"/>
  <c r="A356" i="63"/>
  <c r="AC355" i="65" l="1"/>
  <c r="AD355" i="65"/>
  <c r="K355" i="65"/>
  <c r="J355" i="65"/>
  <c r="D355" i="65"/>
  <c r="X355" i="65"/>
  <c r="T355" i="65"/>
  <c r="Z355" i="65"/>
  <c r="B355" i="65"/>
  <c r="V355" i="65"/>
  <c r="O355" i="65"/>
  <c r="AA355" i="65"/>
  <c r="I355" i="65"/>
  <c r="P355" i="65"/>
  <c r="W355" i="65"/>
  <c r="G355" i="65"/>
  <c r="M356" i="63"/>
  <c r="AC356" i="63"/>
  <c r="AS356" i="63"/>
  <c r="N356" i="63"/>
  <c r="AD356" i="63"/>
  <c r="AT356" i="63"/>
  <c r="O356" i="63"/>
  <c r="AE356" i="63"/>
  <c r="AU356" i="63"/>
  <c r="P356" i="63"/>
  <c r="AF356" i="63"/>
  <c r="AV356" i="63"/>
  <c r="AG356" i="63"/>
  <c r="AW356" i="63"/>
  <c r="B356" i="63"/>
  <c r="AH356" i="63"/>
  <c r="AX356" i="63"/>
  <c r="C356" i="63"/>
  <c r="AI356" i="63"/>
  <c r="AY356" i="63"/>
  <c r="D356" i="63"/>
  <c r="V356" i="65" s="1"/>
  <c r="T356" i="63"/>
  <c r="AJ356" i="63"/>
  <c r="E356" i="63"/>
  <c r="U356" i="63"/>
  <c r="AK356" i="63"/>
  <c r="F356" i="63"/>
  <c r="V356" i="63"/>
  <c r="D356" i="65" s="1"/>
  <c r="AL356" i="63"/>
  <c r="G356" i="63"/>
  <c r="W356" i="63"/>
  <c r="AM356" i="63"/>
  <c r="H356" i="63"/>
  <c r="X356" i="63"/>
  <c r="AN356" i="63"/>
  <c r="I356" i="63"/>
  <c r="Y356" i="63"/>
  <c r="AE356" i="65" s="1"/>
  <c r="AO356" i="63"/>
  <c r="J356" i="63"/>
  <c r="L356" i="63"/>
  <c r="Z356" i="63"/>
  <c r="AP356" i="63"/>
  <c r="AQ356" i="63"/>
  <c r="AR356" i="63"/>
  <c r="S355" i="65"/>
  <c r="N355" i="65"/>
  <c r="H355" i="65"/>
  <c r="M355" i="65"/>
  <c r="U355" i="65"/>
  <c r="A357" i="63"/>
  <c r="AD356" i="65" l="1"/>
  <c r="AC356" i="65"/>
  <c r="T356" i="65"/>
  <c r="J356" i="65"/>
  <c r="X356" i="65"/>
  <c r="K356" i="65"/>
  <c r="W356" i="65"/>
  <c r="B356" i="65"/>
  <c r="Z356" i="65"/>
  <c r="I356" i="65"/>
  <c r="O356" i="65"/>
  <c r="AA356" i="65"/>
  <c r="G356" i="65"/>
  <c r="P356" i="65"/>
  <c r="AQ357" i="63"/>
  <c r="L357" i="63"/>
  <c r="K357" i="65" s="1"/>
  <c r="AR357" i="63"/>
  <c r="M357" i="63"/>
  <c r="AC357" i="63"/>
  <c r="AS357" i="63"/>
  <c r="N357" i="63"/>
  <c r="AD357" i="63"/>
  <c r="AT357" i="63"/>
  <c r="O357" i="63"/>
  <c r="AE357" i="63"/>
  <c r="AU357" i="63"/>
  <c r="P357" i="63"/>
  <c r="AF357" i="63"/>
  <c r="AV357" i="63"/>
  <c r="Q357" i="63"/>
  <c r="AG357" i="63"/>
  <c r="AW357" i="63"/>
  <c r="B357" i="63"/>
  <c r="R357" i="63"/>
  <c r="AH357" i="63"/>
  <c r="AX357" i="63"/>
  <c r="C357" i="63"/>
  <c r="AI357" i="63"/>
  <c r="AY357" i="63"/>
  <c r="D357" i="63"/>
  <c r="T357" i="63"/>
  <c r="AJ357" i="63"/>
  <c r="E357" i="63"/>
  <c r="U357" i="63"/>
  <c r="AK357" i="63"/>
  <c r="F357" i="63"/>
  <c r="V357" i="63"/>
  <c r="D357" i="65" s="1"/>
  <c r="AL357" i="63"/>
  <c r="G357" i="63"/>
  <c r="W357" i="63"/>
  <c r="AM357" i="63"/>
  <c r="I357" i="63"/>
  <c r="J357" i="63"/>
  <c r="X357" i="63"/>
  <c r="Y357" i="63"/>
  <c r="AE357" i="65" s="1"/>
  <c r="Z357" i="63"/>
  <c r="AN357" i="63"/>
  <c r="AO357" i="63"/>
  <c r="AP357" i="63"/>
  <c r="H357" i="63"/>
  <c r="N356" i="65"/>
  <c r="M356" i="65"/>
  <c r="S356" i="65"/>
  <c r="H356" i="65"/>
  <c r="U356" i="65"/>
  <c r="A358" i="63"/>
  <c r="Z357" i="65" l="1"/>
  <c r="AC357" i="65"/>
  <c r="AD357" i="65"/>
  <c r="O357" i="65"/>
  <c r="J357" i="65"/>
  <c r="X357" i="65"/>
  <c r="T357" i="65"/>
  <c r="AA357" i="65"/>
  <c r="AB357" i="65"/>
  <c r="G357" i="65"/>
  <c r="I357" i="65"/>
  <c r="B357" i="65"/>
  <c r="P357" i="65"/>
  <c r="W357" i="65"/>
  <c r="V357" i="65"/>
  <c r="I358" i="63"/>
  <c r="Y358" i="63"/>
  <c r="AE358" i="65" s="1"/>
  <c r="AO358" i="63"/>
  <c r="J358" i="63"/>
  <c r="Z358" i="63"/>
  <c r="AP358" i="63"/>
  <c r="K358" i="63"/>
  <c r="AQ358" i="63"/>
  <c r="L358" i="63"/>
  <c r="AR358" i="63"/>
  <c r="M358" i="63"/>
  <c r="AC358" i="63"/>
  <c r="AS358" i="63"/>
  <c r="N358" i="63"/>
  <c r="AD358" i="63"/>
  <c r="AT358" i="63"/>
  <c r="O358" i="63"/>
  <c r="AE358" i="63"/>
  <c r="AU358" i="63"/>
  <c r="P358" i="63"/>
  <c r="AF358" i="63"/>
  <c r="AV358" i="63"/>
  <c r="Q358" i="63"/>
  <c r="AG358" i="63"/>
  <c r="AW358" i="63"/>
  <c r="B358" i="63"/>
  <c r="R358" i="63"/>
  <c r="AH358" i="63"/>
  <c r="AX358" i="63"/>
  <c r="C358" i="63"/>
  <c r="S358" i="63"/>
  <c r="AI358" i="63"/>
  <c r="AY358" i="63"/>
  <c r="D358" i="63"/>
  <c r="T358" i="63"/>
  <c r="AJ358" i="63"/>
  <c r="E358" i="63"/>
  <c r="U358" i="63"/>
  <c r="AK358" i="63"/>
  <c r="AN358" i="63"/>
  <c r="F358" i="63"/>
  <c r="G358" i="63"/>
  <c r="AL358" i="63"/>
  <c r="H358" i="63"/>
  <c r="V358" i="63"/>
  <c r="D358" i="65" s="1"/>
  <c r="W358" i="63"/>
  <c r="X358" i="63"/>
  <c r="AM358" i="63"/>
  <c r="S357" i="65"/>
  <c r="U357" i="65"/>
  <c r="M357" i="65"/>
  <c r="H357" i="65"/>
  <c r="N357" i="65"/>
  <c r="A359" i="63"/>
  <c r="AC358" i="65" l="1"/>
  <c r="AD358" i="65"/>
  <c r="AB358" i="65"/>
  <c r="J358" i="65"/>
  <c r="K358" i="65"/>
  <c r="X358" i="65"/>
  <c r="T358" i="65"/>
  <c r="G358" i="65"/>
  <c r="I358" i="65"/>
  <c r="B358" i="65"/>
  <c r="Z358" i="65"/>
  <c r="P358" i="65"/>
  <c r="W358" i="65"/>
  <c r="O358" i="65"/>
  <c r="AA358" i="65"/>
  <c r="V358" i="65"/>
  <c r="Y358" i="65"/>
  <c r="G359" i="63"/>
  <c r="W359" i="63"/>
  <c r="AM359" i="63"/>
  <c r="H359" i="63"/>
  <c r="X359" i="63"/>
  <c r="AN359" i="63"/>
  <c r="I359" i="63"/>
  <c r="Y359" i="63"/>
  <c r="AO359" i="63"/>
  <c r="J359" i="63"/>
  <c r="Z359" i="63"/>
  <c r="AP359" i="63"/>
  <c r="K359" i="63"/>
  <c r="AQ359" i="63"/>
  <c r="L359" i="63"/>
  <c r="K359" i="65" s="1"/>
  <c r="AR359" i="63"/>
  <c r="M359" i="63"/>
  <c r="AC359" i="63"/>
  <c r="AS359" i="63"/>
  <c r="N359" i="63"/>
  <c r="AD359" i="63"/>
  <c r="AT359" i="63"/>
  <c r="O359" i="63"/>
  <c r="AE359" i="63"/>
  <c r="AU359" i="63"/>
  <c r="P359" i="63"/>
  <c r="AF359" i="63"/>
  <c r="AV359" i="63"/>
  <c r="Q359" i="63"/>
  <c r="AG359" i="63"/>
  <c r="AW359" i="63"/>
  <c r="B359" i="63"/>
  <c r="R359" i="63"/>
  <c r="AH359" i="63"/>
  <c r="AX359" i="63"/>
  <c r="C359" i="63"/>
  <c r="S359" i="63"/>
  <c r="AI359" i="63"/>
  <c r="AY359" i="63"/>
  <c r="D359" i="63"/>
  <c r="E359" i="63"/>
  <c r="F359" i="63"/>
  <c r="T359" i="63"/>
  <c r="U359" i="63"/>
  <c r="V359" i="63"/>
  <c r="D359" i="65" s="1"/>
  <c r="AJ359" i="63"/>
  <c r="AK359" i="63"/>
  <c r="AL359" i="63"/>
  <c r="S358" i="65"/>
  <c r="U358" i="65"/>
  <c r="M358" i="65"/>
  <c r="N358" i="65"/>
  <c r="H358" i="65"/>
  <c r="A360" i="63"/>
  <c r="AD359" i="65" l="1"/>
  <c r="AE359" i="65"/>
  <c r="AB359" i="65"/>
  <c r="AC359" i="65"/>
  <c r="J359" i="65"/>
  <c r="W359" i="65"/>
  <c r="X359" i="65"/>
  <c r="T359" i="65"/>
  <c r="B359" i="65"/>
  <c r="I359" i="65"/>
  <c r="Z359" i="65"/>
  <c r="O359" i="65"/>
  <c r="AA359" i="65"/>
  <c r="G359" i="65"/>
  <c r="V359" i="65"/>
  <c r="P359" i="65"/>
  <c r="E360" i="63"/>
  <c r="U360" i="63"/>
  <c r="AK360" i="63"/>
  <c r="F360" i="63"/>
  <c r="V360" i="63"/>
  <c r="AL360" i="63"/>
  <c r="G360" i="63"/>
  <c r="W360" i="63"/>
  <c r="AM360" i="63"/>
  <c r="H360" i="63"/>
  <c r="X360" i="63"/>
  <c r="AN360" i="63"/>
  <c r="I360" i="63"/>
  <c r="Y360" i="63"/>
  <c r="AE360" i="65" s="1"/>
  <c r="AO360" i="63"/>
  <c r="J360" i="63"/>
  <c r="Z360" i="63"/>
  <c r="AP360" i="63"/>
  <c r="K360" i="63"/>
  <c r="AQ360" i="63"/>
  <c r="L360" i="63"/>
  <c r="AR360" i="63"/>
  <c r="M360" i="63"/>
  <c r="AC360" i="63"/>
  <c r="AS360" i="63"/>
  <c r="N360" i="63"/>
  <c r="AD360" i="63"/>
  <c r="AT360" i="63"/>
  <c r="O360" i="63"/>
  <c r="AE360" i="63"/>
  <c r="AU360" i="63"/>
  <c r="P360" i="63"/>
  <c r="AF360" i="63"/>
  <c r="AV360" i="63"/>
  <c r="Q360" i="63"/>
  <c r="AG360" i="63"/>
  <c r="AW360" i="63"/>
  <c r="AH360" i="63"/>
  <c r="AI360" i="63"/>
  <c r="AJ360" i="63"/>
  <c r="AX360" i="63"/>
  <c r="AY360" i="63"/>
  <c r="B360" i="63"/>
  <c r="C360" i="63"/>
  <c r="D360" i="63"/>
  <c r="R360" i="63"/>
  <c r="S360" i="63"/>
  <c r="T360" i="63"/>
  <c r="Y359" i="65"/>
  <c r="S359" i="65"/>
  <c r="H359" i="65"/>
  <c r="N359" i="65"/>
  <c r="M359" i="65"/>
  <c r="U359" i="65"/>
  <c r="A361" i="63"/>
  <c r="J360" i="65" l="1"/>
  <c r="AC360" i="65"/>
  <c r="AD360" i="65"/>
  <c r="O360" i="65"/>
  <c r="K360" i="65"/>
  <c r="D360" i="65"/>
  <c r="X360" i="65"/>
  <c r="T360" i="65"/>
  <c r="I360" i="65"/>
  <c r="Z360" i="65"/>
  <c r="AA360" i="65"/>
  <c r="AB360" i="65"/>
  <c r="B360" i="65"/>
  <c r="W360" i="65"/>
  <c r="G360" i="65"/>
  <c r="V360" i="65"/>
  <c r="P360" i="65"/>
  <c r="M360" i="65"/>
  <c r="S361" i="63"/>
  <c r="AI361" i="63"/>
  <c r="AY361" i="63"/>
  <c r="T361" i="63"/>
  <c r="AJ361" i="63"/>
  <c r="U361" i="63"/>
  <c r="AK361" i="63"/>
  <c r="V361" i="63"/>
  <c r="AL361" i="63"/>
  <c r="W361" i="63"/>
  <c r="AM361" i="63"/>
  <c r="H361" i="63"/>
  <c r="AN361" i="63"/>
  <c r="I361" i="63"/>
  <c r="AO361" i="63"/>
  <c r="J361" i="63"/>
  <c r="Z361" i="63"/>
  <c r="AP361" i="63"/>
  <c r="K361" i="63"/>
  <c r="AQ361" i="63"/>
  <c r="L361" i="63"/>
  <c r="AR361" i="63"/>
  <c r="M361" i="63"/>
  <c r="AC361" i="63"/>
  <c r="AS361" i="63"/>
  <c r="N361" i="63"/>
  <c r="AD361" i="63"/>
  <c r="AT361" i="63"/>
  <c r="O361" i="63"/>
  <c r="AE361" i="63"/>
  <c r="AU361" i="63"/>
  <c r="P361" i="63"/>
  <c r="AF361" i="63"/>
  <c r="AX361" i="63"/>
  <c r="AG361" i="63"/>
  <c r="AH361" i="63"/>
  <c r="AV361" i="63"/>
  <c r="AW361" i="63"/>
  <c r="U360" i="65"/>
  <c r="H360" i="65"/>
  <c r="N360" i="65"/>
  <c r="S360" i="65"/>
  <c r="Y360" i="65"/>
  <c r="A362" i="63"/>
  <c r="AC361" i="65" l="1"/>
  <c r="D361" i="65"/>
  <c r="K361" i="65"/>
  <c r="J361" i="65"/>
  <c r="W361" i="65"/>
  <c r="O361" i="65"/>
  <c r="AA361" i="65"/>
  <c r="G361" i="65"/>
  <c r="P361" i="65"/>
  <c r="V361" i="65"/>
  <c r="I361" i="65"/>
  <c r="Z361" i="65"/>
  <c r="AG362" i="63"/>
  <c r="AW362" i="63"/>
  <c r="AH362" i="63"/>
  <c r="AX362" i="63"/>
  <c r="AI362" i="63"/>
  <c r="AY362" i="63"/>
  <c r="T362" i="63"/>
  <c r="AJ362" i="63"/>
  <c r="U362" i="63"/>
  <c r="AK362" i="63"/>
  <c r="V362" i="63"/>
  <c r="AL362" i="63"/>
  <c r="W362" i="63"/>
  <c r="AM362" i="63"/>
  <c r="H362" i="63"/>
  <c r="AN362" i="63"/>
  <c r="I362" i="63"/>
  <c r="M362" i="65" s="1"/>
  <c r="AO362" i="63"/>
  <c r="J362" i="63"/>
  <c r="Z362" i="63"/>
  <c r="AP362" i="63"/>
  <c r="AQ362" i="63"/>
  <c r="L362" i="63"/>
  <c r="AR362" i="63"/>
  <c r="M362" i="63"/>
  <c r="AC362" i="63"/>
  <c r="AS362" i="63"/>
  <c r="O362" i="63"/>
  <c r="P362" i="63"/>
  <c r="AD362" i="63"/>
  <c r="AE362" i="63"/>
  <c r="AF362" i="63"/>
  <c r="AT362" i="63"/>
  <c r="AU362" i="63"/>
  <c r="AV362" i="63"/>
  <c r="N362" i="63"/>
  <c r="Y361" i="65"/>
  <c r="S361" i="65"/>
  <c r="N361" i="65"/>
  <c r="M361" i="65"/>
  <c r="H361" i="65"/>
  <c r="A363" i="63"/>
  <c r="AC362" i="65" l="1"/>
  <c r="J362" i="65"/>
  <c r="K362" i="65"/>
  <c r="D362" i="65"/>
  <c r="G362" i="65"/>
  <c r="Z362" i="65"/>
  <c r="O362" i="65"/>
  <c r="AA362" i="65"/>
  <c r="I362" i="65"/>
  <c r="P362" i="65"/>
  <c r="V362" i="65"/>
  <c r="W362" i="65"/>
  <c r="O363" i="63"/>
  <c r="AE363" i="63"/>
  <c r="AU363" i="63"/>
  <c r="P363" i="63"/>
  <c r="AF363" i="63"/>
  <c r="AV363" i="63"/>
  <c r="AG363" i="63"/>
  <c r="AW363" i="63"/>
  <c r="B363" i="63"/>
  <c r="AH363" i="63"/>
  <c r="AX363" i="63"/>
  <c r="C363" i="63"/>
  <c r="AI363" i="63"/>
  <c r="AY363" i="63"/>
  <c r="D363" i="63"/>
  <c r="T363" i="63"/>
  <c r="AJ363" i="63"/>
  <c r="E363" i="63"/>
  <c r="U363" i="63"/>
  <c r="AK363" i="63"/>
  <c r="F363" i="63"/>
  <c r="V363" i="63"/>
  <c r="AL363" i="63"/>
  <c r="G363" i="63"/>
  <c r="W363" i="63"/>
  <c r="AM363" i="63"/>
  <c r="H363" i="63"/>
  <c r="X363" i="63"/>
  <c r="AN363" i="63"/>
  <c r="I363" i="63"/>
  <c r="Y363" i="63"/>
  <c r="AE363" i="65" s="1"/>
  <c r="AO363" i="63"/>
  <c r="J363" i="63"/>
  <c r="Z363" i="63"/>
  <c r="AP363" i="63"/>
  <c r="AQ363" i="63"/>
  <c r="AT363" i="63"/>
  <c r="L363" i="63"/>
  <c r="M363" i="63"/>
  <c r="N363" i="63"/>
  <c r="AC363" i="63"/>
  <c r="AD363" i="63"/>
  <c r="AR363" i="63"/>
  <c r="AS363" i="63"/>
  <c r="S362" i="65"/>
  <c r="N362" i="65"/>
  <c r="H362" i="65"/>
  <c r="A364" i="63"/>
  <c r="AD363" i="65" l="1"/>
  <c r="O363" i="65"/>
  <c r="AC363" i="65"/>
  <c r="P363" i="65"/>
  <c r="J363" i="65"/>
  <c r="D363" i="65"/>
  <c r="K363" i="65"/>
  <c r="X363" i="65"/>
  <c r="T363" i="65"/>
  <c r="AA363" i="65"/>
  <c r="Z363" i="65"/>
  <c r="V363" i="65"/>
  <c r="G363" i="65"/>
  <c r="I363" i="65"/>
  <c r="B363" i="65"/>
  <c r="W363" i="65"/>
  <c r="M364" i="63"/>
  <c r="AC364" i="63"/>
  <c r="AS364" i="63"/>
  <c r="N364" i="63"/>
  <c r="AD364" i="63"/>
  <c r="AT364" i="63"/>
  <c r="O364" i="63"/>
  <c r="AE364" i="63"/>
  <c r="AU364" i="63"/>
  <c r="P364" i="63"/>
  <c r="AF364" i="63"/>
  <c r="AV364" i="63"/>
  <c r="Q364" i="63"/>
  <c r="AG364" i="63"/>
  <c r="AW364" i="63"/>
  <c r="B364" i="63"/>
  <c r="R364" i="63"/>
  <c r="AH364" i="63"/>
  <c r="AX364" i="63"/>
  <c r="C364" i="63"/>
  <c r="AI364" i="63"/>
  <c r="AY364" i="63"/>
  <c r="D364" i="63"/>
  <c r="T364" i="63"/>
  <c r="AJ364" i="63"/>
  <c r="E364" i="63"/>
  <c r="U364" i="63"/>
  <c r="AK364" i="63"/>
  <c r="F364" i="63"/>
  <c r="V364" i="63"/>
  <c r="D364" i="65" s="1"/>
  <c r="AL364" i="63"/>
  <c r="G364" i="63"/>
  <c r="W364" i="63"/>
  <c r="AM364" i="63"/>
  <c r="H364" i="63"/>
  <c r="X364" i="63"/>
  <c r="AN364" i="63"/>
  <c r="I364" i="63"/>
  <c r="Y364" i="63"/>
  <c r="AE364" i="65" s="1"/>
  <c r="AO364" i="63"/>
  <c r="J364" i="63"/>
  <c r="L364" i="63"/>
  <c r="Z364" i="63"/>
  <c r="AP364" i="63"/>
  <c r="AQ364" i="63"/>
  <c r="AR364" i="63"/>
  <c r="S363" i="65"/>
  <c r="U363" i="65"/>
  <c r="H363" i="65"/>
  <c r="M363" i="65"/>
  <c r="A365" i="63"/>
  <c r="T364" i="65" l="1"/>
  <c r="AD364" i="65"/>
  <c r="AB364" i="65"/>
  <c r="AC364" i="65"/>
  <c r="J364" i="65"/>
  <c r="K364" i="65"/>
  <c r="X364" i="65"/>
  <c r="W364" i="65"/>
  <c r="V364" i="65"/>
  <c r="B364" i="65"/>
  <c r="O364" i="65"/>
  <c r="AA364" i="65"/>
  <c r="G364" i="65"/>
  <c r="I364" i="65"/>
  <c r="Z364" i="65"/>
  <c r="P364" i="65"/>
  <c r="N364" i="65"/>
  <c r="K365" i="63"/>
  <c r="AQ365" i="63"/>
  <c r="L365" i="63"/>
  <c r="AR365" i="63"/>
  <c r="M365" i="63"/>
  <c r="AC365" i="63"/>
  <c r="AS365" i="63"/>
  <c r="N365" i="63"/>
  <c r="AD365" i="63"/>
  <c r="AT365" i="63"/>
  <c r="O365" i="63"/>
  <c r="AE365" i="63"/>
  <c r="AU365" i="63"/>
  <c r="P365" i="63"/>
  <c r="AF365" i="63"/>
  <c r="AV365" i="63"/>
  <c r="Q365" i="63"/>
  <c r="AG365" i="63"/>
  <c r="AW365" i="63"/>
  <c r="B365" i="63"/>
  <c r="R365" i="63"/>
  <c r="AH365" i="63"/>
  <c r="AX365" i="63"/>
  <c r="C365" i="63"/>
  <c r="S365" i="63"/>
  <c r="AI365" i="63"/>
  <c r="AY365" i="63"/>
  <c r="D365" i="63"/>
  <c r="T365" i="63"/>
  <c r="AJ365" i="63"/>
  <c r="E365" i="63"/>
  <c r="AK365" i="63"/>
  <c r="F365" i="63"/>
  <c r="V365" i="63"/>
  <c r="AL365" i="63"/>
  <c r="G365" i="63"/>
  <c r="W365" i="63"/>
  <c r="AM365" i="63"/>
  <c r="AN365" i="63"/>
  <c r="AO365" i="63"/>
  <c r="AP365" i="63"/>
  <c r="H365" i="63"/>
  <c r="I365" i="63"/>
  <c r="J365" i="63"/>
  <c r="X365" i="63"/>
  <c r="Y365" i="63"/>
  <c r="AE365" i="65" s="1"/>
  <c r="Z365" i="63"/>
  <c r="M364" i="65"/>
  <c r="U364" i="65"/>
  <c r="S364" i="65"/>
  <c r="H364" i="65"/>
  <c r="A366" i="63"/>
  <c r="AD365" i="65" l="1"/>
  <c r="O365" i="65"/>
  <c r="Z365" i="65"/>
  <c r="J365" i="65"/>
  <c r="D365" i="65"/>
  <c r="K365" i="65"/>
  <c r="B365" i="65"/>
  <c r="X365" i="65"/>
  <c r="T365" i="65"/>
  <c r="AA365" i="65"/>
  <c r="AB365" i="65"/>
  <c r="G365" i="65"/>
  <c r="W365" i="65"/>
  <c r="I365" i="65"/>
  <c r="V365" i="65"/>
  <c r="P365" i="65"/>
  <c r="I366" i="63"/>
  <c r="Y366" i="63"/>
  <c r="AE366" i="65" s="1"/>
  <c r="AO366" i="63"/>
  <c r="J366" i="63"/>
  <c r="Z366" i="63"/>
  <c r="AP366" i="63"/>
  <c r="K366" i="63"/>
  <c r="AQ366" i="63"/>
  <c r="L366" i="63"/>
  <c r="AR366" i="63"/>
  <c r="M366" i="63"/>
  <c r="AC366" i="63"/>
  <c r="AS366" i="63"/>
  <c r="N366" i="63"/>
  <c r="AD366" i="63"/>
  <c r="AT366" i="63"/>
  <c r="O366" i="63"/>
  <c r="AE366" i="63"/>
  <c r="AU366" i="63"/>
  <c r="P366" i="63"/>
  <c r="AF366" i="63"/>
  <c r="AV366" i="63"/>
  <c r="Q366" i="63"/>
  <c r="AG366" i="63"/>
  <c r="AW366" i="63"/>
  <c r="B366" i="63"/>
  <c r="R366" i="63"/>
  <c r="AH366" i="63"/>
  <c r="AX366" i="63"/>
  <c r="C366" i="63"/>
  <c r="S366" i="63"/>
  <c r="AI366" i="63"/>
  <c r="AY366" i="63"/>
  <c r="D366" i="63"/>
  <c r="T366" i="63"/>
  <c r="AJ366" i="63"/>
  <c r="E366" i="63"/>
  <c r="AK366" i="63"/>
  <c r="F366" i="63"/>
  <c r="G366" i="63"/>
  <c r="H366" i="63"/>
  <c r="V366" i="63"/>
  <c r="D366" i="65" s="1"/>
  <c r="W366" i="63"/>
  <c r="X366" i="63"/>
  <c r="AL366" i="63"/>
  <c r="AM366" i="63"/>
  <c r="AN366" i="63"/>
  <c r="Y365" i="65"/>
  <c r="S365" i="65"/>
  <c r="M365" i="65"/>
  <c r="N365" i="65"/>
  <c r="H365" i="65"/>
  <c r="U365" i="65"/>
  <c r="A367" i="63"/>
  <c r="N366" i="65" l="1"/>
  <c r="AD366" i="65"/>
  <c r="AB366" i="65"/>
  <c r="J366" i="65"/>
  <c r="K366" i="65"/>
  <c r="X366" i="65"/>
  <c r="T366" i="65"/>
  <c r="G366" i="65"/>
  <c r="B366" i="65"/>
  <c r="I366" i="65"/>
  <c r="O366" i="65"/>
  <c r="AA366" i="65"/>
  <c r="V366" i="65"/>
  <c r="P366" i="65"/>
  <c r="Z366" i="65"/>
  <c r="W366" i="65"/>
  <c r="G367" i="63"/>
  <c r="W367" i="63"/>
  <c r="AM367" i="63"/>
  <c r="H367" i="63"/>
  <c r="X367" i="63"/>
  <c r="AN367" i="63"/>
  <c r="I367" i="63"/>
  <c r="Y367" i="63"/>
  <c r="AE367" i="65" s="1"/>
  <c r="AO367" i="63"/>
  <c r="J367" i="63"/>
  <c r="Z367" i="63"/>
  <c r="AP367" i="63"/>
  <c r="K367" i="63"/>
  <c r="AQ367" i="63"/>
  <c r="L367" i="63"/>
  <c r="K367" i="65" s="1"/>
  <c r="AR367" i="63"/>
  <c r="M367" i="63"/>
  <c r="AC367" i="63"/>
  <c r="AS367" i="63"/>
  <c r="N367" i="63"/>
  <c r="AD367" i="63"/>
  <c r="AT367" i="63"/>
  <c r="O367" i="63"/>
  <c r="AE367" i="63"/>
  <c r="AU367" i="63"/>
  <c r="P367" i="63"/>
  <c r="AF367" i="63"/>
  <c r="AV367" i="63"/>
  <c r="Q367" i="63"/>
  <c r="AG367" i="63"/>
  <c r="AW367" i="63"/>
  <c r="B367" i="63"/>
  <c r="R367" i="63"/>
  <c r="AH367" i="63"/>
  <c r="AX367" i="63"/>
  <c r="C367" i="63"/>
  <c r="S367" i="63"/>
  <c r="AI367" i="63"/>
  <c r="AY367" i="63"/>
  <c r="U367" i="63"/>
  <c r="V367" i="63"/>
  <c r="AJ367" i="63"/>
  <c r="AK367" i="63"/>
  <c r="AL367" i="63"/>
  <c r="F367" i="63"/>
  <c r="D367" i="63"/>
  <c r="E367" i="63"/>
  <c r="T367" i="63"/>
  <c r="H366" i="65"/>
  <c r="M366" i="65"/>
  <c r="Y366" i="65"/>
  <c r="S366" i="65"/>
  <c r="U366" i="65"/>
  <c r="A368" i="63"/>
  <c r="T367" i="65" l="1"/>
  <c r="AD367" i="65"/>
  <c r="AC367" i="65"/>
  <c r="AB367" i="65"/>
  <c r="B367" i="65"/>
  <c r="J367" i="65"/>
  <c r="D367" i="65"/>
  <c r="P367" i="65"/>
  <c r="W367" i="65"/>
  <c r="X367" i="65"/>
  <c r="V367" i="65"/>
  <c r="I367" i="65"/>
  <c r="G367" i="65"/>
  <c r="Z367" i="65"/>
  <c r="O367" i="65"/>
  <c r="AA367" i="65"/>
  <c r="E368" i="63"/>
  <c r="U368" i="63"/>
  <c r="AK368" i="63"/>
  <c r="F368" i="63"/>
  <c r="V368" i="63"/>
  <c r="AL368" i="63"/>
  <c r="G368" i="63"/>
  <c r="W368" i="63"/>
  <c r="AM368" i="63"/>
  <c r="H368" i="63"/>
  <c r="X368" i="63"/>
  <c r="AN368" i="63"/>
  <c r="I368" i="63"/>
  <c r="Y368" i="63"/>
  <c r="AE368" i="65" s="1"/>
  <c r="AO368" i="63"/>
  <c r="J368" i="63"/>
  <c r="Z368" i="63"/>
  <c r="AP368" i="63"/>
  <c r="K368" i="63"/>
  <c r="AQ368" i="63"/>
  <c r="L368" i="63"/>
  <c r="AR368" i="63"/>
  <c r="M368" i="63"/>
  <c r="AC368" i="63"/>
  <c r="AS368" i="63"/>
  <c r="N368" i="63"/>
  <c r="AD368" i="63"/>
  <c r="AT368" i="63"/>
  <c r="O368" i="63"/>
  <c r="AE368" i="63"/>
  <c r="AU368" i="63"/>
  <c r="P368" i="63"/>
  <c r="AF368" i="63"/>
  <c r="AV368" i="63"/>
  <c r="Q368" i="63"/>
  <c r="AG368" i="63"/>
  <c r="AW368" i="63"/>
  <c r="B368" i="63"/>
  <c r="C368" i="63"/>
  <c r="D368" i="63"/>
  <c r="R368" i="63"/>
  <c r="S368" i="63"/>
  <c r="T368" i="63"/>
  <c r="AH368" i="63"/>
  <c r="AI368" i="63"/>
  <c r="AJ368" i="63"/>
  <c r="AX368" i="63"/>
  <c r="AY368" i="63"/>
  <c r="M367" i="65"/>
  <c r="S367" i="65"/>
  <c r="Y367" i="65"/>
  <c r="H367" i="65"/>
  <c r="N367" i="65"/>
  <c r="U367" i="65"/>
  <c r="A369" i="63"/>
  <c r="J368" i="65" l="1"/>
  <c r="AC368" i="65"/>
  <c r="AD368" i="65"/>
  <c r="O368" i="65"/>
  <c r="K368" i="65"/>
  <c r="Z368" i="65"/>
  <c r="D368" i="65"/>
  <c r="X368" i="65"/>
  <c r="T368" i="65"/>
  <c r="AA368" i="65"/>
  <c r="AB368" i="65"/>
  <c r="V368" i="65"/>
  <c r="G368" i="65"/>
  <c r="B368" i="65"/>
  <c r="I368" i="65"/>
  <c r="P368" i="65"/>
  <c r="W368" i="65"/>
  <c r="C369" i="63"/>
  <c r="S369" i="63"/>
  <c r="AI369" i="63"/>
  <c r="AY369" i="63"/>
  <c r="D369" i="63"/>
  <c r="T369" i="63"/>
  <c r="AJ369" i="63"/>
  <c r="E369" i="63"/>
  <c r="U369" i="63"/>
  <c r="AK369" i="63"/>
  <c r="F369" i="63"/>
  <c r="V369" i="63"/>
  <c r="AL369" i="63"/>
  <c r="G369" i="63"/>
  <c r="W369" i="63"/>
  <c r="AM369" i="63"/>
  <c r="H369" i="63"/>
  <c r="X369" i="63"/>
  <c r="AN369" i="63"/>
  <c r="I369" i="63"/>
  <c r="Y369" i="63"/>
  <c r="AE369" i="65" s="1"/>
  <c r="AO369" i="63"/>
  <c r="J369" i="63"/>
  <c r="Z369" i="63"/>
  <c r="AP369" i="63"/>
  <c r="K369" i="63"/>
  <c r="AA369" i="63"/>
  <c r="AQ369" i="63"/>
  <c r="L369" i="63"/>
  <c r="AB369" i="63"/>
  <c r="AR369" i="63"/>
  <c r="M369" i="63"/>
  <c r="AC369" i="63"/>
  <c r="AS369" i="63"/>
  <c r="N369" i="63"/>
  <c r="AD369" i="63"/>
  <c r="AT369" i="63"/>
  <c r="O369" i="63"/>
  <c r="AE369" i="63"/>
  <c r="AU369" i="63"/>
  <c r="B369" i="63"/>
  <c r="P369" i="63"/>
  <c r="Q369" i="63"/>
  <c r="R369" i="63"/>
  <c r="AF369" i="63"/>
  <c r="AG369" i="63"/>
  <c r="AH369" i="63"/>
  <c r="AV369" i="63"/>
  <c r="AW369" i="63"/>
  <c r="AX369" i="63"/>
  <c r="M368" i="65"/>
  <c r="N368" i="65"/>
  <c r="S368" i="65"/>
  <c r="Y368" i="65"/>
  <c r="U368" i="65"/>
  <c r="H368" i="65"/>
  <c r="N369" i="65" l="1"/>
  <c r="AD369" i="65"/>
  <c r="AB369" i="65"/>
  <c r="J58" i="5"/>
  <c r="L58" i="5"/>
  <c r="M58" i="5"/>
  <c r="N58" i="5"/>
  <c r="AC369" i="65"/>
  <c r="T369" i="65"/>
  <c r="D369" i="65"/>
  <c r="K369" i="65"/>
  <c r="J369" i="65"/>
  <c r="X369" i="65"/>
  <c r="B369" i="65"/>
  <c r="Q369" i="65"/>
  <c r="S369" i="65"/>
  <c r="I369" i="65"/>
  <c r="J49" i="5"/>
  <c r="K49" i="5"/>
  <c r="L49" i="5"/>
  <c r="M49" i="5"/>
  <c r="N49" i="5"/>
  <c r="V369" i="65"/>
  <c r="R369" i="65"/>
  <c r="Z369" i="65"/>
  <c r="W369" i="65"/>
  <c r="P369" i="65"/>
  <c r="O369" i="65"/>
  <c r="AA369" i="65"/>
  <c r="G369" i="65"/>
  <c r="M369" i="65"/>
  <c r="Y369" i="65"/>
  <c r="U369" i="65"/>
  <c r="H369" i="65"/>
  <c r="J36" i="5"/>
  <c r="K36" i="5"/>
  <c r="L36" i="5"/>
  <c r="M36" i="5"/>
  <c r="N36" i="5"/>
  <c r="K59" i="5" l="1"/>
  <c r="L59" i="5"/>
  <c r="M59" i="5"/>
  <c r="J57" i="5"/>
  <c r="K57" i="5"/>
  <c r="L57" i="5"/>
  <c r="M57" i="5"/>
  <c r="N57" i="5"/>
  <c r="L61" i="5"/>
  <c r="M61" i="5"/>
  <c r="N61" i="5"/>
  <c r="J73" i="5"/>
  <c r="K73" i="5"/>
  <c r="L73" i="5"/>
  <c r="M73" i="5"/>
  <c r="N73" i="5"/>
  <c r="J38" i="5"/>
  <c r="K38" i="5"/>
  <c r="L38" i="5"/>
  <c r="M38" i="5"/>
  <c r="N38" i="5"/>
  <c r="J20" i="5"/>
  <c r="N20" i="5"/>
  <c r="J21" i="5"/>
  <c r="K21" i="5"/>
  <c r="L21" i="5"/>
  <c r="M21" i="5"/>
  <c r="N21" i="5"/>
  <c r="J47" i="5"/>
  <c r="M47" i="5"/>
  <c r="P36" i="5"/>
  <c r="J35" i="5"/>
  <c r="K35" i="5"/>
  <c r="L35" i="5"/>
  <c r="M35" i="5"/>
  <c r="N35" i="5"/>
  <c r="L40" i="5" l="1"/>
  <c r="K40" i="5"/>
  <c r="M40" i="5"/>
  <c r="N40" i="5"/>
  <c r="P38" i="5"/>
  <c r="J40" i="5"/>
  <c r="P35" i="5"/>
  <c r="P40" i="5" s="1"/>
  <c r="P21" i="5" l="1"/>
  <c r="N363" i="65"/>
  <c r="AE354" i="65"/>
  <c r="AE340" i="65"/>
  <c r="AE326" i="65"/>
  <c r="AE312" i="65"/>
  <c r="D301" i="65"/>
  <c r="AE284" i="65"/>
  <c r="D270" i="65"/>
  <c r="AE270" i="65"/>
  <c r="AE256" i="65"/>
  <c r="J40" i="65"/>
  <c r="AE242" i="65"/>
  <c r="D240" i="65"/>
  <c r="AE228" i="65"/>
  <c r="AE214" i="65"/>
  <c r="AE200" i="65"/>
  <c r="V74" i="65"/>
  <c r="AE186" i="65"/>
  <c r="Z180" i="65"/>
  <c r="I49" i="5" s="1"/>
  <c r="D178" i="65"/>
  <c r="AE172" i="65"/>
  <c r="AE158" i="65"/>
  <c r="AE130" i="65"/>
  <c r="AE116" i="65"/>
  <c r="AE88" i="65"/>
  <c r="Z68" i="65"/>
  <c r="AE60" i="65"/>
  <c r="AE46" i="65"/>
  <c r="AE32" i="65"/>
  <c r="AE18" i="65"/>
  <c r="AE4" i="65"/>
  <c r="B2" i="63" a="1"/>
  <c r="L353" i="63" l="1"/>
  <c r="P3" i="63"/>
  <c r="U5" i="63"/>
  <c r="AC5" i="65" s="1"/>
  <c r="H7" i="63"/>
  <c r="W7" i="63"/>
  <c r="J7" i="65" s="1"/>
  <c r="I8" i="63"/>
  <c r="X11" i="63"/>
  <c r="T11" i="65" s="1"/>
  <c r="D11" i="63"/>
  <c r="F11" i="63"/>
  <c r="Y11" i="63"/>
  <c r="AD11" i="65" s="1"/>
  <c r="E11" i="63"/>
  <c r="M11" i="63"/>
  <c r="C11" i="63"/>
  <c r="U11" i="65" s="1"/>
  <c r="G11" i="63"/>
  <c r="N24" i="63"/>
  <c r="V24" i="63"/>
  <c r="J24" i="65" s="1"/>
  <c r="G25" i="63"/>
  <c r="D25" i="63"/>
  <c r="E25" i="63"/>
  <c r="C25" i="63"/>
  <c r="U25" i="65" s="1"/>
  <c r="X25" i="63"/>
  <c r="T25" i="65" s="1"/>
  <c r="F25" i="63"/>
  <c r="Y25" i="63"/>
  <c r="AD25" i="65" s="1"/>
  <c r="O25" i="63"/>
  <c r="P34" i="63"/>
  <c r="H37" i="63"/>
  <c r="N37" i="65" s="1"/>
  <c r="W37" i="63"/>
  <c r="J37" i="65" s="1"/>
  <c r="I38" i="63"/>
  <c r="E39" i="63"/>
  <c r="C39" i="63"/>
  <c r="U39" i="65" s="1"/>
  <c r="F39" i="63"/>
  <c r="G39" i="63"/>
  <c r="X39" i="63"/>
  <c r="T39" i="65" s="1"/>
  <c r="Y39" i="63"/>
  <c r="AD39" i="65" s="1"/>
  <c r="D39" i="63"/>
  <c r="M41" i="63"/>
  <c r="C53" i="63"/>
  <c r="U53" i="65" s="1"/>
  <c r="E53" i="63"/>
  <c r="X53" i="63"/>
  <c r="T53" i="65" s="1"/>
  <c r="D53" i="63"/>
  <c r="Y53" i="63"/>
  <c r="F53" i="63"/>
  <c r="G53" i="63"/>
  <c r="N54" i="63"/>
  <c r="V54" i="63"/>
  <c r="J54" i="65" s="1"/>
  <c r="O55" i="63"/>
  <c r="P64" i="63"/>
  <c r="G67" i="63"/>
  <c r="Y67" i="63"/>
  <c r="C67" i="63"/>
  <c r="U67" i="65" s="1"/>
  <c r="D67" i="63"/>
  <c r="X67" i="63"/>
  <c r="T67" i="65" s="1"/>
  <c r="E67" i="63"/>
  <c r="F67" i="63"/>
  <c r="H68" i="63"/>
  <c r="N68" i="65" s="1"/>
  <c r="W68" i="63"/>
  <c r="J68" i="65" s="1"/>
  <c r="I69" i="63"/>
  <c r="M72" i="63"/>
  <c r="J79" i="63"/>
  <c r="Y79" i="65" s="1"/>
  <c r="D81" i="63"/>
  <c r="E81" i="63"/>
  <c r="F81" i="63"/>
  <c r="G81" i="63"/>
  <c r="X81" i="63"/>
  <c r="T81" i="65" s="1"/>
  <c r="Y81" i="63"/>
  <c r="C81" i="63"/>
  <c r="U81" i="65" s="1"/>
  <c r="V85" i="63"/>
  <c r="J85" i="65" s="1"/>
  <c r="N85" i="63"/>
  <c r="O86" i="63"/>
  <c r="E95" i="63"/>
  <c r="F95" i="63"/>
  <c r="U95" i="63"/>
  <c r="AC95" i="65" s="1"/>
  <c r="C95" i="63"/>
  <c r="U95" i="65" s="1"/>
  <c r="P95" i="63"/>
  <c r="X95" i="63"/>
  <c r="T95" i="65" s="1"/>
  <c r="Y95" i="63"/>
  <c r="G95" i="63"/>
  <c r="D95" i="63"/>
  <c r="H98" i="63"/>
  <c r="N98" i="65" s="1"/>
  <c r="W98" i="63"/>
  <c r="J98" i="65" s="1"/>
  <c r="I99" i="63"/>
  <c r="M102" i="63"/>
  <c r="D109" i="63"/>
  <c r="F109" i="63"/>
  <c r="G109" i="63"/>
  <c r="X109" i="63"/>
  <c r="T109" i="65" s="1"/>
  <c r="C109" i="63"/>
  <c r="U109" i="65" s="1"/>
  <c r="E109" i="63"/>
  <c r="Y109" i="63"/>
  <c r="N115" i="63"/>
  <c r="V115" i="63"/>
  <c r="J115" i="65" s="1"/>
  <c r="O116" i="63"/>
  <c r="F123" i="63"/>
  <c r="Y123" i="63"/>
  <c r="AD123" i="65" s="1"/>
  <c r="C123" i="63"/>
  <c r="U123" i="65" s="1"/>
  <c r="G123" i="63"/>
  <c r="D123" i="63"/>
  <c r="X123" i="63"/>
  <c r="T123" i="65" s="1"/>
  <c r="E123" i="63"/>
  <c r="P125" i="63"/>
  <c r="W129" i="63"/>
  <c r="J129" i="65" s="1"/>
  <c r="H129" i="63"/>
  <c r="N129" i="65" s="1"/>
  <c r="I130" i="63"/>
  <c r="M133" i="63"/>
  <c r="Y137" i="63"/>
  <c r="F137" i="63"/>
  <c r="C137" i="63"/>
  <c r="U137" i="65" s="1"/>
  <c r="E137" i="63"/>
  <c r="G137" i="63"/>
  <c r="X137" i="63"/>
  <c r="T137" i="65" s="1"/>
  <c r="D137" i="63"/>
  <c r="N146" i="63"/>
  <c r="V146" i="63"/>
  <c r="O147" i="63"/>
  <c r="Z149" i="63"/>
  <c r="P149" i="65" s="1"/>
  <c r="G151" i="63"/>
  <c r="D151" i="63"/>
  <c r="E151" i="63"/>
  <c r="X151" i="63"/>
  <c r="T151" i="65" s="1"/>
  <c r="Y151" i="63"/>
  <c r="AD151" i="65" s="1"/>
  <c r="F151" i="63"/>
  <c r="C151" i="63"/>
  <c r="U151" i="65" s="1"/>
  <c r="P156" i="63"/>
  <c r="F165" i="63"/>
  <c r="X165" i="63"/>
  <c r="T165" i="65" s="1"/>
  <c r="C165" i="63"/>
  <c r="U165" i="65" s="1"/>
  <c r="Y165" i="63"/>
  <c r="E165" i="63"/>
  <c r="D165" i="63"/>
  <c r="G165" i="63"/>
  <c r="F179" i="63"/>
  <c r="E179" i="63"/>
  <c r="G179" i="63"/>
  <c r="C179" i="63"/>
  <c r="U179" i="65" s="1"/>
  <c r="Y179" i="63"/>
  <c r="X179" i="63"/>
  <c r="T179" i="65" s="1"/>
  <c r="D179" i="63"/>
  <c r="U185" i="63"/>
  <c r="AC185" i="65" s="1"/>
  <c r="W190" i="63"/>
  <c r="J190" i="65" s="1"/>
  <c r="H190" i="63"/>
  <c r="I191" i="63"/>
  <c r="E193" i="63"/>
  <c r="G193" i="63"/>
  <c r="C193" i="63"/>
  <c r="U193" i="65" s="1"/>
  <c r="F193" i="63"/>
  <c r="X193" i="63"/>
  <c r="T193" i="65" s="1"/>
  <c r="Y193" i="63"/>
  <c r="D193" i="63"/>
  <c r="M194" i="63"/>
  <c r="F207" i="63"/>
  <c r="N207" i="63"/>
  <c r="G207" i="63"/>
  <c r="V207" i="63"/>
  <c r="J207" i="65" s="1"/>
  <c r="C207" i="63"/>
  <c r="U207" i="65" s="1"/>
  <c r="X207" i="63"/>
  <c r="T207" i="65" s="1"/>
  <c r="D207" i="63"/>
  <c r="E207" i="63"/>
  <c r="Y207" i="63"/>
  <c r="O208" i="63"/>
  <c r="P217" i="63"/>
  <c r="C221" i="63"/>
  <c r="U221" i="65" s="1"/>
  <c r="G221" i="63"/>
  <c r="F221" i="63"/>
  <c r="W221" i="63"/>
  <c r="J221" i="65" s="1"/>
  <c r="D221" i="63"/>
  <c r="E221" i="63"/>
  <c r="H221" i="63"/>
  <c r="N221" i="65" s="1"/>
  <c r="X221" i="63"/>
  <c r="T221" i="65" s="1"/>
  <c r="Y221" i="63"/>
  <c r="I222" i="63"/>
  <c r="M222" i="65" s="1"/>
  <c r="K58" i="5" s="1"/>
  <c r="P58" i="5" s="1"/>
  <c r="M225" i="63"/>
  <c r="F235" i="63"/>
  <c r="C235" i="63"/>
  <c r="U235" i="65" s="1"/>
  <c r="G235" i="63"/>
  <c r="D235" i="63"/>
  <c r="X235" i="65" s="1"/>
  <c r="X235" i="63"/>
  <c r="T235" i="65" s="1"/>
  <c r="E235" i="63"/>
  <c r="Y235" i="63"/>
  <c r="V238" i="63"/>
  <c r="N238" i="63"/>
  <c r="O239" i="63"/>
  <c r="P248" i="63"/>
  <c r="C249" i="63"/>
  <c r="U249" i="65" s="1"/>
  <c r="G249" i="63"/>
  <c r="D249" i="63"/>
  <c r="X249" i="63"/>
  <c r="T249" i="65" s="1"/>
  <c r="E249" i="63"/>
  <c r="Y249" i="63"/>
  <c r="F249" i="63"/>
  <c r="W251" i="63"/>
  <c r="J251" i="65" s="1"/>
  <c r="H251" i="63"/>
  <c r="N251" i="65" s="1"/>
  <c r="I252" i="63"/>
  <c r="M255" i="63"/>
  <c r="J262" i="63"/>
  <c r="Y262" i="65" s="1"/>
  <c r="Y263" i="63"/>
  <c r="F263" i="63"/>
  <c r="D263" i="63"/>
  <c r="C263" i="63"/>
  <c r="U263" i="65" s="1"/>
  <c r="G263" i="63"/>
  <c r="X263" i="63"/>
  <c r="T263" i="65" s="1"/>
  <c r="E263" i="63"/>
  <c r="V268" i="63"/>
  <c r="J268" i="65" s="1"/>
  <c r="N268" i="63"/>
  <c r="O269" i="63"/>
  <c r="U275" i="63"/>
  <c r="AC275" i="65" s="1"/>
  <c r="F277" i="63"/>
  <c r="C277" i="63"/>
  <c r="U277" i="65" s="1"/>
  <c r="X277" i="63"/>
  <c r="T277" i="65" s="1"/>
  <c r="G277" i="63"/>
  <c r="Y277" i="63"/>
  <c r="D277" i="63"/>
  <c r="E277" i="63"/>
  <c r="P278" i="63"/>
  <c r="W282" i="63"/>
  <c r="J282" i="65" s="1"/>
  <c r="H282" i="63"/>
  <c r="N282" i="65" s="1"/>
  <c r="I283" i="63"/>
  <c r="M286" i="63"/>
  <c r="Y291" i="63"/>
  <c r="X291" i="63"/>
  <c r="T291" i="65" s="1"/>
  <c r="E291" i="63"/>
  <c r="F291" i="63"/>
  <c r="C291" i="63"/>
  <c r="U291" i="65" s="1"/>
  <c r="D291" i="63"/>
  <c r="G291" i="63"/>
  <c r="V299" i="63"/>
  <c r="N299" i="63"/>
  <c r="O300" i="63"/>
  <c r="E305" i="63"/>
  <c r="G305" i="63"/>
  <c r="D305" i="63"/>
  <c r="F305" i="63"/>
  <c r="C305" i="63"/>
  <c r="U305" i="65" s="1"/>
  <c r="X305" i="63"/>
  <c r="T305" i="65" s="1"/>
  <c r="Y305" i="63"/>
  <c r="P309" i="63"/>
  <c r="F319" i="63"/>
  <c r="D319" i="63"/>
  <c r="G319" i="63"/>
  <c r="C319" i="63"/>
  <c r="U319" i="65" s="1"/>
  <c r="X319" i="63"/>
  <c r="T319" i="65" s="1"/>
  <c r="E319" i="63"/>
  <c r="Y319" i="63"/>
  <c r="C333" i="63"/>
  <c r="U333" i="65" s="1"/>
  <c r="G333" i="63"/>
  <c r="X333" i="63"/>
  <c r="T333" i="65" s="1"/>
  <c r="D333" i="63"/>
  <c r="X333" i="65" s="1"/>
  <c r="Y333" i="63"/>
  <c r="E333" i="63"/>
  <c r="Z333" i="63"/>
  <c r="P333" i="65" s="1"/>
  <c r="F333" i="63"/>
  <c r="H341" i="63"/>
  <c r="N341" i="65" s="1"/>
  <c r="W341" i="63"/>
  <c r="J341" i="65" s="1"/>
  <c r="G347" i="63"/>
  <c r="Y347" i="63"/>
  <c r="X347" i="63"/>
  <c r="T347" i="65" s="1"/>
  <c r="D347" i="63"/>
  <c r="F347" i="63"/>
  <c r="C347" i="63"/>
  <c r="U347" i="65" s="1"/>
  <c r="E347" i="63"/>
  <c r="L352" i="63"/>
  <c r="E361" i="63"/>
  <c r="G361" i="63"/>
  <c r="Y361" i="63"/>
  <c r="F361" i="63"/>
  <c r="C361" i="63"/>
  <c r="U361" i="65" s="1"/>
  <c r="X361" i="63"/>
  <c r="T361" i="65" s="1"/>
  <c r="D361" i="63"/>
  <c r="U365" i="63"/>
  <c r="AC365" i="65" s="1"/>
  <c r="P4" i="63"/>
  <c r="R6" i="63"/>
  <c r="U6" i="63"/>
  <c r="AC6" i="65" s="1"/>
  <c r="C47" i="5" s="1"/>
  <c r="Q6" i="63"/>
  <c r="AB6" i="65" s="1"/>
  <c r="K7" i="63"/>
  <c r="Y7" i="65" s="1"/>
  <c r="S7" i="63"/>
  <c r="H8" i="63"/>
  <c r="N8" i="65" s="1"/>
  <c r="W8" i="63"/>
  <c r="J8" i="65" s="1"/>
  <c r="I9" i="63"/>
  <c r="N9" i="65" s="1"/>
  <c r="F12" i="63"/>
  <c r="X12" i="63"/>
  <c r="T12" i="65" s="1"/>
  <c r="M12" i="63"/>
  <c r="C12" i="63"/>
  <c r="U12" i="65" s="1"/>
  <c r="G12" i="63"/>
  <c r="D12" i="63"/>
  <c r="Y12" i="63"/>
  <c r="E12" i="63"/>
  <c r="Q13" i="63"/>
  <c r="AB13" i="65" s="1"/>
  <c r="R13" i="63"/>
  <c r="K14" i="63"/>
  <c r="Y14" i="65" s="1"/>
  <c r="S14" i="63"/>
  <c r="T15" i="63"/>
  <c r="AA15" i="65" s="1"/>
  <c r="Q20" i="63"/>
  <c r="AB20" i="65" s="1"/>
  <c r="R20" i="63"/>
  <c r="S21" i="63"/>
  <c r="K21" i="63"/>
  <c r="Y21" i="65" s="1"/>
  <c r="N25" i="63"/>
  <c r="V25" i="63"/>
  <c r="Y26" i="63"/>
  <c r="O26" i="63"/>
  <c r="F26" i="63"/>
  <c r="G26" i="63"/>
  <c r="C26" i="63"/>
  <c r="U26" i="65" s="1"/>
  <c r="D26" i="63"/>
  <c r="X26" i="63"/>
  <c r="T26" i="65" s="1"/>
  <c r="E26" i="63"/>
  <c r="Q27" i="63"/>
  <c r="AB27" i="65" s="1"/>
  <c r="R27" i="63"/>
  <c r="K28" i="63"/>
  <c r="Y28" i="65" s="1"/>
  <c r="S28" i="63"/>
  <c r="Q34" i="63"/>
  <c r="AB34" i="65" s="1"/>
  <c r="R34" i="63"/>
  <c r="S35" i="63"/>
  <c r="P35" i="63"/>
  <c r="K35" i="63"/>
  <c r="Y35" i="65" s="1"/>
  <c r="T36" i="63"/>
  <c r="AA36" i="65" s="1"/>
  <c r="G40" i="63"/>
  <c r="X40" i="63"/>
  <c r="T40" i="65" s="1"/>
  <c r="D40" i="63"/>
  <c r="E40" i="63"/>
  <c r="Y40" i="63"/>
  <c r="C40" i="63"/>
  <c r="U40" i="65" s="1"/>
  <c r="F40" i="63"/>
  <c r="R41" i="63"/>
  <c r="Q41" i="63"/>
  <c r="S42" i="63"/>
  <c r="K42" i="63"/>
  <c r="Y42" i="65" s="1"/>
  <c r="Q48" i="63"/>
  <c r="AB48" i="65" s="1"/>
  <c r="R48" i="63"/>
  <c r="S49" i="63"/>
  <c r="K49" i="63"/>
  <c r="Y49" i="65" s="1"/>
  <c r="C54" i="63"/>
  <c r="U54" i="65" s="1"/>
  <c r="G54" i="63"/>
  <c r="Y54" i="63"/>
  <c r="AD54" i="65" s="1"/>
  <c r="D54" i="63"/>
  <c r="X54" i="63"/>
  <c r="T54" i="65" s="1"/>
  <c r="E54" i="63"/>
  <c r="F54" i="63"/>
  <c r="R55" i="63"/>
  <c r="Q55" i="63"/>
  <c r="S56" i="63"/>
  <c r="K56" i="63"/>
  <c r="Y56" i="65" s="1"/>
  <c r="T57" i="63"/>
  <c r="AA57" i="65" s="1"/>
  <c r="Q62" i="63"/>
  <c r="AB62" i="65" s="1"/>
  <c r="R62" i="63"/>
  <c r="S63" i="63"/>
  <c r="K63" i="63"/>
  <c r="Y63" i="65" s="1"/>
  <c r="E68" i="63"/>
  <c r="F68" i="63"/>
  <c r="G68" i="63"/>
  <c r="C68" i="63"/>
  <c r="U68" i="65" s="1"/>
  <c r="X68" i="63"/>
  <c r="T68" i="65" s="1"/>
  <c r="D68" i="63"/>
  <c r="Y68" i="63"/>
  <c r="Q69" i="63"/>
  <c r="AB69" i="65" s="1"/>
  <c r="R69" i="63"/>
  <c r="K70" i="63"/>
  <c r="Y70" i="65" s="1"/>
  <c r="S70" i="63"/>
  <c r="Q76" i="63"/>
  <c r="R76" i="63"/>
  <c r="K77" i="63"/>
  <c r="Y77" i="65" s="1"/>
  <c r="S77" i="63"/>
  <c r="T78" i="63"/>
  <c r="AA78" i="65" s="1"/>
  <c r="J80" i="63"/>
  <c r="Y80" i="65" s="1"/>
  <c r="L80" i="63"/>
  <c r="K80" i="65" s="1"/>
  <c r="F73" i="5" s="1"/>
  <c r="G82" i="63"/>
  <c r="F82" i="63"/>
  <c r="E82" i="63"/>
  <c r="C82" i="63"/>
  <c r="U82" i="65" s="1"/>
  <c r="D82" i="63"/>
  <c r="X82" i="63"/>
  <c r="T82" i="65" s="1"/>
  <c r="Y82" i="63"/>
  <c r="AD82" i="65" s="1"/>
  <c r="Q83" i="63"/>
  <c r="AB83" i="65" s="1"/>
  <c r="R83" i="63"/>
  <c r="S84" i="63"/>
  <c r="K84" i="63"/>
  <c r="Y84" i="65" s="1"/>
  <c r="R90" i="63"/>
  <c r="Q90" i="63"/>
  <c r="AB90" i="65" s="1"/>
  <c r="K91" i="63"/>
  <c r="Y91" i="65" s="1"/>
  <c r="S91" i="63"/>
  <c r="Y96" i="63"/>
  <c r="E96" i="63"/>
  <c r="U96" i="63"/>
  <c r="AC96" i="65" s="1"/>
  <c r="C96" i="63"/>
  <c r="U96" i="65" s="1"/>
  <c r="F96" i="63"/>
  <c r="G96" i="63"/>
  <c r="D96" i="63"/>
  <c r="X96" i="63"/>
  <c r="T96" i="65" s="1"/>
  <c r="Q97" i="63"/>
  <c r="AB97" i="65" s="1"/>
  <c r="R97" i="63"/>
  <c r="K98" i="63"/>
  <c r="Y98" i="65" s="1"/>
  <c r="S98" i="63"/>
  <c r="T99" i="63"/>
  <c r="AA99" i="65" s="1"/>
  <c r="Q104" i="63"/>
  <c r="AB104" i="65" s="1"/>
  <c r="R104" i="63"/>
  <c r="K105" i="63"/>
  <c r="Y105" i="65" s="1"/>
  <c r="S105" i="63"/>
  <c r="X110" i="63"/>
  <c r="T110" i="65" s="1"/>
  <c r="C110" i="63"/>
  <c r="U110" i="65" s="1"/>
  <c r="Y110" i="63"/>
  <c r="D110" i="63"/>
  <c r="F110" i="63"/>
  <c r="E110" i="63"/>
  <c r="G110" i="63"/>
  <c r="Q111" i="63"/>
  <c r="AB111" i="65" s="1"/>
  <c r="R111" i="63"/>
  <c r="K112" i="63"/>
  <c r="Y112" i="65" s="1"/>
  <c r="S112" i="63"/>
  <c r="Q118" i="63"/>
  <c r="AB118" i="65" s="1"/>
  <c r="R118" i="63"/>
  <c r="K119" i="63"/>
  <c r="Y119" i="65" s="1"/>
  <c r="S119" i="63"/>
  <c r="T120" i="63"/>
  <c r="AA120" i="65" s="1"/>
  <c r="G124" i="63"/>
  <c r="Y124" i="63"/>
  <c r="E124" i="63"/>
  <c r="X124" i="63"/>
  <c r="T124" i="65" s="1"/>
  <c r="C124" i="63"/>
  <c r="U124" i="65" s="1"/>
  <c r="D124" i="63"/>
  <c r="F124" i="63"/>
  <c r="R125" i="63"/>
  <c r="Q125" i="63"/>
  <c r="AB125" i="65" s="1"/>
  <c r="S126" i="63"/>
  <c r="K126" i="63"/>
  <c r="Y126" i="65" s="1"/>
  <c r="Q132" i="63"/>
  <c r="AB132" i="65" s="1"/>
  <c r="R132" i="63"/>
  <c r="S133" i="63"/>
  <c r="K133" i="63"/>
  <c r="Y133" i="65" s="1"/>
  <c r="F138" i="63"/>
  <c r="X138" i="63"/>
  <c r="T138" i="65" s="1"/>
  <c r="Y138" i="63"/>
  <c r="C138" i="63"/>
  <c r="U138" i="65" s="1"/>
  <c r="D138" i="63"/>
  <c r="E138" i="63"/>
  <c r="G138" i="63"/>
  <c r="Q139" i="63"/>
  <c r="AB139" i="65" s="1"/>
  <c r="R139" i="63"/>
  <c r="S140" i="63"/>
  <c r="K140" i="63"/>
  <c r="Y140" i="65" s="1"/>
  <c r="T141" i="63"/>
  <c r="AA141" i="65" s="1"/>
  <c r="Q146" i="63"/>
  <c r="AB146" i="65" s="1"/>
  <c r="R146" i="63"/>
  <c r="K147" i="63"/>
  <c r="Y147" i="65" s="1"/>
  <c r="S147" i="63"/>
  <c r="Z150" i="63"/>
  <c r="P150" i="65" s="1"/>
  <c r="H59" i="5" s="1"/>
  <c r="C152" i="63"/>
  <c r="U152" i="65" s="1"/>
  <c r="X152" i="63"/>
  <c r="T152" i="65" s="1"/>
  <c r="Y152" i="63"/>
  <c r="D152" i="63"/>
  <c r="G152" i="63"/>
  <c r="E152" i="63"/>
  <c r="F152" i="63"/>
  <c r="Q153" i="63"/>
  <c r="AB153" i="65" s="1"/>
  <c r="R153" i="63"/>
  <c r="K154" i="63"/>
  <c r="Y154" i="65" s="1"/>
  <c r="S154" i="63"/>
  <c r="R160" i="63"/>
  <c r="Q160" i="63"/>
  <c r="AB160" i="65" s="1"/>
  <c r="S161" i="63"/>
  <c r="K161" i="63"/>
  <c r="Y161" i="65" s="1"/>
  <c r="T162" i="63"/>
  <c r="AA162" i="65" s="1"/>
  <c r="Y166" i="63"/>
  <c r="G166" i="63"/>
  <c r="C166" i="63"/>
  <c r="U166" i="65" s="1"/>
  <c r="X166" i="63"/>
  <c r="T166" i="65" s="1"/>
  <c r="E166" i="63"/>
  <c r="D166" i="63"/>
  <c r="F166" i="63"/>
  <c r="Q167" i="63"/>
  <c r="AB167" i="65" s="1"/>
  <c r="R167" i="63"/>
  <c r="K168" i="63"/>
  <c r="Y168" i="65" s="1"/>
  <c r="S168" i="63"/>
  <c r="R174" i="63"/>
  <c r="Q174" i="63"/>
  <c r="AB174" i="65" s="1"/>
  <c r="K175" i="63"/>
  <c r="Y175" i="65" s="1"/>
  <c r="S175" i="63"/>
  <c r="G180" i="63"/>
  <c r="F180" i="63"/>
  <c r="X180" i="63"/>
  <c r="T180" i="65" s="1"/>
  <c r="C180" i="63"/>
  <c r="U180" i="65" s="1"/>
  <c r="Y180" i="63"/>
  <c r="D180" i="63"/>
  <c r="E180" i="63"/>
  <c r="R181" i="63"/>
  <c r="Q181" i="63"/>
  <c r="AB181" i="65" s="1"/>
  <c r="S182" i="63"/>
  <c r="K182" i="63"/>
  <c r="Y182" i="65" s="1"/>
  <c r="T183" i="63"/>
  <c r="AA183" i="65" s="1"/>
  <c r="U186" i="63"/>
  <c r="AC186" i="65" s="1"/>
  <c r="I47" i="5" s="1"/>
  <c r="Q188" i="63"/>
  <c r="AB188" i="65" s="1"/>
  <c r="R188" i="63"/>
  <c r="S189" i="63"/>
  <c r="K189" i="63"/>
  <c r="Y189" i="65" s="1"/>
  <c r="G194" i="63"/>
  <c r="C194" i="63"/>
  <c r="U194" i="65" s="1"/>
  <c r="Y194" i="63"/>
  <c r="D194" i="63"/>
  <c r="X194" i="63"/>
  <c r="T194" i="65" s="1"/>
  <c r="E194" i="63"/>
  <c r="F194" i="63"/>
  <c r="Q195" i="63"/>
  <c r="AB195" i="65" s="1"/>
  <c r="R195" i="63"/>
  <c r="S196" i="63"/>
  <c r="K196" i="63"/>
  <c r="Y196" i="65" s="1"/>
  <c r="R202" i="63"/>
  <c r="Q202" i="63"/>
  <c r="AB202" i="65" s="1"/>
  <c r="S203" i="63"/>
  <c r="K203" i="63"/>
  <c r="Y203" i="65" s="1"/>
  <c r="T204" i="63"/>
  <c r="AA204" i="65" s="1"/>
  <c r="C208" i="63"/>
  <c r="U208" i="65" s="1"/>
  <c r="X208" i="63"/>
  <c r="T208" i="65" s="1"/>
  <c r="D208" i="63"/>
  <c r="Y208" i="63"/>
  <c r="F208" i="63"/>
  <c r="E208" i="63"/>
  <c r="G208" i="63"/>
  <c r="Q209" i="63"/>
  <c r="AB209" i="65" s="1"/>
  <c r="R209" i="63"/>
  <c r="S210" i="63"/>
  <c r="K210" i="63"/>
  <c r="Y210" i="65" s="1"/>
  <c r="Q216" i="63"/>
  <c r="AB216" i="65" s="1"/>
  <c r="R216" i="63"/>
  <c r="K217" i="63"/>
  <c r="Y217" i="65" s="1"/>
  <c r="S217" i="63"/>
  <c r="Y222" i="63"/>
  <c r="C222" i="63"/>
  <c r="U222" i="65" s="1"/>
  <c r="D222" i="63"/>
  <c r="F222" i="63"/>
  <c r="G222" i="63"/>
  <c r="X222" i="63"/>
  <c r="T222" i="65" s="1"/>
  <c r="E222" i="63"/>
  <c r="Q223" i="63"/>
  <c r="AB223" i="65" s="1"/>
  <c r="R223" i="63"/>
  <c r="S224" i="63"/>
  <c r="K224" i="63"/>
  <c r="Y224" i="65" s="1"/>
  <c r="T225" i="63"/>
  <c r="AA225" i="65" s="1"/>
  <c r="R230" i="63"/>
  <c r="Q230" i="63"/>
  <c r="AB230" i="65" s="1"/>
  <c r="K231" i="63"/>
  <c r="Y231" i="65" s="1"/>
  <c r="S231" i="63"/>
  <c r="F236" i="63"/>
  <c r="D236" i="63"/>
  <c r="C236" i="63"/>
  <c r="U236" i="65" s="1"/>
  <c r="G236" i="63"/>
  <c r="X236" i="63"/>
  <c r="T236" i="65" s="1"/>
  <c r="Y236" i="63"/>
  <c r="E236" i="63"/>
  <c r="Q237" i="63"/>
  <c r="AB237" i="65" s="1"/>
  <c r="R237" i="63"/>
  <c r="K238" i="63"/>
  <c r="Y238" i="65" s="1"/>
  <c r="S238" i="63"/>
  <c r="R244" i="63"/>
  <c r="Q244" i="63"/>
  <c r="AB244" i="65" s="1"/>
  <c r="K245" i="63"/>
  <c r="Y245" i="65" s="1"/>
  <c r="S245" i="63"/>
  <c r="T246" i="63"/>
  <c r="AA246" i="65" s="1"/>
  <c r="Y250" i="63"/>
  <c r="F250" i="63"/>
  <c r="C250" i="63"/>
  <c r="U250" i="65" s="1"/>
  <c r="G250" i="63"/>
  <c r="D250" i="63"/>
  <c r="X250" i="63"/>
  <c r="T250" i="65" s="1"/>
  <c r="E250" i="63"/>
  <c r="Q251" i="63"/>
  <c r="AB251" i="65" s="1"/>
  <c r="R251" i="63"/>
  <c r="S252" i="63"/>
  <c r="K252" i="63"/>
  <c r="Y252" i="65" s="1"/>
  <c r="R258" i="63"/>
  <c r="Q258" i="63"/>
  <c r="AB258" i="65" s="1"/>
  <c r="S259" i="63"/>
  <c r="K259" i="63"/>
  <c r="Y259" i="65" s="1"/>
  <c r="J263" i="63"/>
  <c r="Y263" i="65" s="1"/>
  <c r="F264" i="63"/>
  <c r="E264" i="63"/>
  <c r="X264" i="63"/>
  <c r="T264" i="65" s="1"/>
  <c r="G264" i="63"/>
  <c r="C264" i="63"/>
  <c r="U264" i="65" s="1"/>
  <c r="D264" i="63"/>
  <c r="Y264" i="63"/>
  <c r="Q265" i="63"/>
  <c r="AB265" i="65" s="1"/>
  <c r="R265" i="63"/>
  <c r="S266" i="63"/>
  <c r="K266" i="63"/>
  <c r="Y266" i="65" s="1"/>
  <c r="T267" i="63"/>
  <c r="AA267" i="65" s="1"/>
  <c r="Q272" i="63"/>
  <c r="AB272" i="65" s="1"/>
  <c r="R272" i="63"/>
  <c r="K273" i="63"/>
  <c r="Y273" i="65" s="1"/>
  <c r="S273" i="63"/>
  <c r="U276" i="63"/>
  <c r="AC276" i="65" s="1"/>
  <c r="L47" i="5" s="1"/>
  <c r="D278" i="63"/>
  <c r="Y278" i="63"/>
  <c r="F278" i="63"/>
  <c r="C278" i="63"/>
  <c r="U278" i="65" s="1"/>
  <c r="G278" i="63"/>
  <c r="X278" i="63"/>
  <c r="T278" i="65" s="1"/>
  <c r="E278" i="63"/>
  <c r="Q279" i="63"/>
  <c r="AB279" i="65" s="1"/>
  <c r="R279" i="63"/>
  <c r="S280" i="63"/>
  <c r="K280" i="63"/>
  <c r="Y280" i="65" s="1"/>
  <c r="Q286" i="63"/>
  <c r="AB286" i="65" s="1"/>
  <c r="R286" i="63"/>
  <c r="S287" i="63"/>
  <c r="K287" i="63"/>
  <c r="Y287" i="65" s="1"/>
  <c r="T288" i="63"/>
  <c r="AA288" i="65" s="1"/>
  <c r="D292" i="63"/>
  <c r="F292" i="63"/>
  <c r="E292" i="63"/>
  <c r="X292" i="63"/>
  <c r="T292" i="65" s="1"/>
  <c r="C292" i="63"/>
  <c r="U292" i="65" s="1"/>
  <c r="G292" i="63"/>
  <c r="Y292" i="63"/>
  <c r="R293" i="63"/>
  <c r="Q293" i="63"/>
  <c r="AB293" i="65" s="1"/>
  <c r="S294" i="63"/>
  <c r="K294" i="63"/>
  <c r="Y294" i="65" s="1"/>
  <c r="Q300" i="63"/>
  <c r="AB300" i="65" s="1"/>
  <c r="R300" i="63"/>
  <c r="S301" i="63"/>
  <c r="K301" i="63"/>
  <c r="Y301" i="65" s="1"/>
  <c r="Y306" i="63"/>
  <c r="D306" i="63"/>
  <c r="E306" i="63"/>
  <c r="X306" i="63"/>
  <c r="T306" i="65" s="1"/>
  <c r="F306" i="63"/>
  <c r="G306" i="63"/>
  <c r="C306" i="63"/>
  <c r="U306" i="65" s="1"/>
  <c r="R307" i="63"/>
  <c r="Q307" i="63"/>
  <c r="AB307" i="65" s="1"/>
  <c r="S308" i="63"/>
  <c r="K308" i="63"/>
  <c r="Y308" i="65" s="1"/>
  <c r="T309" i="63"/>
  <c r="AA309" i="65" s="1"/>
  <c r="R314" i="63"/>
  <c r="Q314" i="63"/>
  <c r="AB314" i="65" s="1"/>
  <c r="K315" i="63"/>
  <c r="Y315" i="65" s="1"/>
  <c r="S315" i="63"/>
  <c r="G320" i="63"/>
  <c r="F320" i="63"/>
  <c r="C320" i="63"/>
  <c r="U320" i="65" s="1"/>
  <c r="X320" i="63"/>
  <c r="T320" i="65" s="1"/>
  <c r="D320" i="63"/>
  <c r="Y320" i="63"/>
  <c r="E320" i="63"/>
  <c r="R321" i="63"/>
  <c r="Q321" i="63"/>
  <c r="AB321" i="65" s="1"/>
  <c r="K322" i="63"/>
  <c r="Y322" i="65" s="1"/>
  <c r="S322" i="63"/>
  <c r="R328" i="63"/>
  <c r="Q328" i="63"/>
  <c r="AB328" i="65" s="1"/>
  <c r="S329" i="63"/>
  <c r="K329" i="63"/>
  <c r="Y329" i="65" s="1"/>
  <c r="T330" i="63"/>
  <c r="AA330" i="65" s="1"/>
  <c r="D334" i="63"/>
  <c r="Y334" i="63"/>
  <c r="E334" i="63"/>
  <c r="X334" i="63"/>
  <c r="T334" i="65" s="1"/>
  <c r="Z334" i="63"/>
  <c r="P334" i="65" s="1"/>
  <c r="N59" i="5" s="1"/>
  <c r="F334" i="63"/>
  <c r="C334" i="63"/>
  <c r="U334" i="65" s="1"/>
  <c r="G334" i="63"/>
  <c r="R335" i="63"/>
  <c r="Q335" i="63"/>
  <c r="AB335" i="65" s="1"/>
  <c r="S336" i="63"/>
  <c r="K336" i="63"/>
  <c r="Y336" i="65" s="1"/>
  <c r="R342" i="63"/>
  <c r="H342" i="63"/>
  <c r="N342" i="65" s="1"/>
  <c r="W342" i="63"/>
  <c r="J342" i="65" s="1"/>
  <c r="Q342" i="63"/>
  <c r="AB342" i="65" s="1"/>
  <c r="S343" i="63"/>
  <c r="K343" i="63"/>
  <c r="Y343" i="65" s="1"/>
  <c r="Y348" i="63"/>
  <c r="E348" i="63"/>
  <c r="D348" i="63"/>
  <c r="F348" i="63"/>
  <c r="G348" i="63"/>
  <c r="C348" i="63"/>
  <c r="U348" i="65" s="1"/>
  <c r="X348" i="63"/>
  <c r="T348" i="65" s="1"/>
  <c r="Q349" i="63"/>
  <c r="AB349" i="65" s="1"/>
  <c r="R349" i="63"/>
  <c r="S350" i="63"/>
  <c r="K350" i="63"/>
  <c r="Y350" i="65" s="1"/>
  <c r="T351" i="63"/>
  <c r="AA351" i="65" s="1"/>
  <c r="Q356" i="63"/>
  <c r="AB356" i="65" s="1"/>
  <c r="R356" i="63"/>
  <c r="S357" i="63"/>
  <c r="K357" i="63"/>
  <c r="Y357" i="65" s="1"/>
  <c r="D362" i="63"/>
  <c r="X362" i="63"/>
  <c r="T362" i="65" s="1"/>
  <c r="E362" i="63"/>
  <c r="Y362" i="63"/>
  <c r="F362" i="63"/>
  <c r="C362" i="63"/>
  <c r="U362" i="65" s="1"/>
  <c r="G362" i="63"/>
  <c r="R363" i="63"/>
  <c r="Q363" i="63"/>
  <c r="AB363" i="65" s="1"/>
  <c r="S364" i="63"/>
  <c r="K364" i="63"/>
  <c r="Y364" i="65" s="1"/>
  <c r="U366" i="63"/>
  <c r="AC366" i="65" s="1"/>
  <c r="AA4" i="63"/>
  <c r="R4" i="65" s="1"/>
  <c r="AA3" i="63"/>
  <c r="R3" i="65" s="1"/>
  <c r="AA5" i="63"/>
  <c r="R5" i="65" s="1"/>
  <c r="AA6" i="63"/>
  <c r="AA7" i="63"/>
  <c r="AA8" i="63"/>
  <c r="R8" i="65" s="1"/>
  <c r="AA9" i="63"/>
  <c r="R9" i="65" s="1"/>
  <c r="AA10" i="63"/>
  <c r="R10" i="65" s="1"/>
  <c r="AA11" i="63"/>
  <c r="AA12" i="63"/>
  <c r="AA13" i="63"/>
  <c r="R13" i="65" s="1"/>
  <c r="AA14" i="63"/>
  <c r="AA15" i="63"/>
  <c r="AA16" i="63"/>
  <c r="R16" i="65" s="1"/>
  <c r="AA17" i="63"/>
  <c r="R17" i="65" s="1"/>
  <c r="AA18" i="63"/>
  <c r="R18" i="65" s="1"/>
  <c r="AA19" i="63"/>
  <c r="R19" i="65" s="1"/>
  <c r="AA20" i="63"/>
  <c r="R20" i="65" s="1"/>
  <c r="AA21" i="63"/>
  <c r="R21" i="65" s="1"/>
  <c r="AA22" i="63"/>
  <c r="R22" i="65" s="1"/>
  <c r="AA23" i="63"/>
  <c r="R23" i="65" s="1"/>
  <c r="AA24" i="63"/>
  <c r="R24" i="65" s="1"/>
  <c r="AA25" i="63"/>
  <c r="AA26" i="63"/>
  <c r="AA27" i="63"/>
  <c r="AA28" i="63"/>
  <c r="AA29" i="63"/>
  <c r="AA32" i="63"/>
  <c r="R32" i="65" s="1"/>
  <c r="AA33" i="63"/>
  <c r="R33" i="65" s="1"/>
  <c r="AA34" i="63"/>
  <c r="R34" i="65" s="1"/>
  <c r="AA35" i="63"/>
  <c r="AA36" i="63"/>
  <c r="R36" i="65" s="1"/>
  <c r="AA37" i="63"/>
  <c r="AA38" i="63"/>
  <c r="AA39" i="63"/>
  <c r="R39" i="65" s="1"/>
  <c r="AA40" i="63"/>
  <c r="R40" i="65" s="1"/>
  <c r="AA41" i="63"/>
  <c r="AA42" i="63"/>
  <c r="AA43" i="63"/>
  <c r="AA44" i="63"/>
  <c r="R44" i="65" s="1"/>
  <c r="AA45" i="63"/>
  <c r="R45" i="65" s="1"/>
  <c r="AA46" i="63"/>
  <c r="R46" i="65" s="1"/>
  <c r="AA47" i="63"/>
  <c r="R47" i="65" s="1"/>
  <c r="AA48" i="63"/>
  <c r="R48" i="65" s="1"/>
  <c r="AA49" i="63"/>
  <c r="R49" i="65" s="1"/>
  <c r="AA50" i="63"/>
  <c r="R50" i="65" s="1"/>
  <c r="AA51" i="63"/>
  <c r="R51" i="65" s="1"/>
  <c r="AA52" i="63"/>
  <c r="R52" i="65" s="1"/>
  <c r="AA53" i="63"/>
  <c r="R53" i="65" s="1"/>
  <c r="AA54" i="63"/>
  <c r="R54" i="65" s="1"/>
  <c r="AA55" i="63"/>
  <c r="AA56" i="63"/>
  <c r="AA57" i="63"/>
  <c r="AA60" i="63"/>
  <c r="R60" i="65" s="1"/>
  <c r="AA61" i="63"/>
  <c r="R61" i="65" s="1"/>
  <c r="AA62" i="63"/>
  <c r="R62" i="65" s="1"/>
  <c r="AA63" i="63"/>
  <c r="R63" i="65" s="1"/>
  <c r="AA64" i="63"/>
  <c r="R64" i="65" s="1"/>
  <c r="AA65" i="63"/>
  <c r="AA66" i="63"/>
  <c r="AA67" i="63"/>
  <c r="R67" i="65" s="1"/>
  <c r="AA68" i="63"/>
  <c r="R68" i="65" s="1"/>
  <c r="AA69" i="63"/>
  <c r="R69" i="65" s="1"/>
  <c r="AA70" i="63"/>
  <c r="R70" i="65" s="1"/>
  <c r="AA71" i="63"/>
  <c r="R71" i="65" s="1"/>
  <c r="AA72" i="63"/>
  <c r="R72" i="65" s="1"/>
  <c r="AA73" i="63"/>
  <c r="AA74" i="63"/>
  <c r="AA75" i="63"/>
  <c r="R75" i="65" s="1"/>
  <c r="AA76" i="63"/>
  <c r="R76" i="65" s="1"/>
  <c r="AA77" i="63"/>
  <c r="R77" i="65" s="1"/>
  <c r="AA78" i="63"/>
  <c r="R78" i="65" s="1"/>
  <c r="AA79" i="63"/>
  <c r="R79" i="65" s="1"/>
  <c r="AA80" i="63"/>
  <c r="AA81" i="63"/>
  <c r="R81" i="65" s="1"/>
  <c r="AA82" i="63"/>
  <c r="R82" i="65" s="1"/>
  <c r="AA83" i="63"/>
  <c r="R83" i="65" s="1"/>
  <c r="AA84" i="63"/>
  <c r="R84" i="65" s="1"/>
  <c r="AA85" i="63"/>
  <c r="R85" i="65" s="1"/>
  <c r="AA86" i="63"/>
  <c r="AA87" i="63"/>
  <c r="AA88" i="63"/>
  <c r="AA91" i="63"/>
  <c r="R91" i="65" s="1"/>
  <c r="AA92" i="63"/>
  <c r="R92" i="65" s="1"/>
  <c r="AA93" i="63"/>
  <c r="R93" i="65" s="1"/>
  <c r="AA94" i="63"/>
  <c r="R94" i="65" s="1"/>
  <c r="AA95" i="63"/>
  <c r="R95" i="65" s="1"/>
  <c r="AA96" i="63"/>
  <c r="AA97" i="63"/>
  <c r="AA98" i="63"/>
  <c r="R98" i="65" s="1"/>
  <c r="AA99" i="63"/>
  <c r="R99" i="65" s="1"/>
  <c r="AA100" i="63"/>
  <c r="R100" i="65" s="1"/>
  <c r="AA101" i="63"/>
  <c r="R101" i="65" s="1"/>
  <c r="AA102" i="63"/>
  <c r="R102" i="65" s="1"/>
  <c r="AA103" i="63"/>
  <c r="AA104" i="63"/>
  <c r="AA105" i="63"/>
  <c r="R105" i="65" s="1"/>
  <c r="AA106" i="63"/>
  <c r="R106" i="65" s="1"/>
  <c r="AA107" i="63"/>
  <c r="R107" i="65" s="1"/>
  <c r="AA108" i="63"/>
  <c r="R108" i="65" s="1"/>
  <c r="AA109" i="63"/>
  <c r="R109" i="65" s="1"/>
  <c r="AA110" i="63"/>
  <c r="R110" i="65" s="1"/>
  <c r="AA111" i="63"/>
  <c r="R111" i="65" s="1"/>
  <c r="AA112" i="63"/>
  <c r="R112" i="65" s="1"/>
  <c r="AA113" i="63"/>
  <c r="R113" i="65" s="1"/>
  <c r="AA114" i="63"/>
  <c r="R114" i="65" s="1"/>
  <c r="AA115" i="63"/>
  <c r="R115" i="65" s="1"/>
  <c r="AA116" i="63"/>
  <c r="AA117" i="63"/>
  <c r="AA118" i="63"/>
  <c r="AA121" i="63"/>
  <c r="R121" i="65" s="1"/>
  <c r="AA122" i="63"/>
  <c r="R122" i="65" s="1"/>
  <c r="AA123" i="63"/>
  <c r="R123" i="65" s="1"/>
  <c r="AA124" i="63"/>
  <c r="R124" i="65" s="1"/>
  <c r="AA125" i="63"/>
  <c r="R125" i="65" s="1"/>
  <c r="AA126" i="63"/>
  <c r="AA127" i="63"/>
  <c r="AA128" i="63"/>
  <c r="R128" i="65" s="1"/>
  <c r="AA129" i="63"/>
  <c r="R129" i="65" s="1"/>
  <c r="AA130" i="63"/>
  <c r="R130" i="65" s="1"/>
  <c r="AA131" i="63"/>
  <c r="R131" i="65" s="1"/>
  <c r="AA132" i="63"/>
  <c r="R132" i="65" s="1"/>
  <c r="AA133" i="63"/>
  <c r="R133" i="65" s="1"/>
  <c r="AA134" i="63"/>
  <c r="AA135" i="63"/>
  <c r="AA136" i="63"/>
  <c r="R136" i="65" s="1"/>
  <c r="AA137" i="63"/>
  <c r="R137" i="65" s="1"/>
  <c r="AA138" i="63"/>
  <c r="R138" i="65" s="1"/>
  <c r="AA139" i="63"/>
  <c r="R139" i="65" s="1"/>
  <c r="AA140" i="63"/>
  <c r="R140" i="65" s="1"/>
  <c r="AA141" i="63"/>
  <c r="AA142" i="63"/>
  <c r="AA143" i="63"/>
  <c r="R143" i="65" s="1"/>
  <c r="AA144" i="63"/>
  <c r="R144" i="65" s="1"/>
  <c r="AA145" i="63"/>
  <c r="R145" i="65" s="1"/>
  <c r="AA146" i="63"/>
  <c r="R146" i="65" s="1"/>
  <c r="AA147" i="63"/>
  <c r="AA148" i="63"/>
  <c r="AA149" i="63"/>
  <c r="AA152" i="63"/>
  <c r="R152" i="65" s="1"/>
  <c r="AA153" i="63"/>
  <c r="R153" i="65" s="1"/>
  <c r="AA154" i="63"/>
  <c r="R154" i="65" s="1"/>
  <c r="AA155" i="63"/>
  <c r="R155" i="65" s="1"/>
  <c r="AA156" i="63"/>
  <c r="R156" i="65" s="1"/>
  <c r="AA157" i="63"/>
  <c r="AA158" i="63"/>
  <c r="AA159" i="63"/>
  <c r="R159" i="65" s="1"/>
  <c r="AA160" i="63"/>
  <c r="R160" i="65" s="1"/>
  <c r="AA161" i="63"/>
  <c r="R161" i="65" s="1"/>
  <c r="AA162" i="63"/>
  <c r="R162" i="65" s="1"/>
  <c r="AA163" i="63"/>
  <c r="R163" i="65" s="1"/>
  <c r="AA164" i="63"/>
  <c r="AA165" i="63"/>
  <c r="AA166" i="63"/>
  <c r="R166" i="65" s="1"/>
  <c r="AA167" i="63"/>
  <c r="R167" i="65" s="1"/>
  <c r="AA168" i="63"/>
  <c r="R168" i="65" s="1"/>
  <c r="AA169" i="63"/>
  <c r="R169" i="65" s="1"/>
  <c r="AA170" i="63"/>
  <c r="R170" i="65" s="1"/>
  <c r="AA171" i="63"/>
  <c r="R171" i="65" s="1"/>
  <c r="AA172" i="63"/>
  <c r="R172" i="65" s="1"/>
  <c r="AA173" i="63"/>
  <c r="R173" i="65" s="1"/>
  <c r="AA174" i="63"/>
  <c r="R174" i="65" s="1"/>
  <c r="AA175" i="63"/>
  <c r="R175" i="65" s="1"/>
  <c r="AA176" i="63"/>
  <c r="R176" i="65" s="1"/>
  <c r="AA177" i="63"/>
  <c r="AA178" i="63"/>
  <c r="AA179" i="63"/>
  <c r="AA182" i="63"/>
  <c r="R182" i="65" s="1"/>
  <c r="AA183" i="63"/>
  <c r="R183" i="65" s="1"/>
  <c r="AA184" i="63"/>
  <c r="R184" i="65" s="1"/>
  <c r="AA185" i="63"/>
  <c r="R185" i="65" s="1"/>
  <c r="AA186" i="63"/>
  <c r="R186" i="65" s="1"/>
  <c r="AA187" i="63"/>
  <c r="AA188" i="63"/>
  <c r="AA189" i="63"/>
  <c r="R189" i="65" s="1"/>
  <c r="AA190" i="63"/>
  <c r="R190" i="65" s="1"/>
  <c r="AA191" i="63"/>
  <c r="R191" i="65" s="1"/>
  <c r="AA192" i="63"/>
  <c r="R192" i="65" s="1"/>
  <c r="AA193" i="63"/>
  <c r="R193" i="65" s="1"/>
  <c r="AA194" i="63"/>
  <c r="R194" i="65" s="1"/>
  <c r="AA195" i="63"/>
  <c r="AA196" i="63"/>
  <c r="AA197" i="63"/>
  <c r="R197" i="65" s="1"/>
  <c r="AA198" i="63"/>
  <c r="R198" i="65" s="1"/>
  <c r="AA199" i="63"/>
  <c r="R199" i="65" s="1"/>
  <c r="AA200" i="63"/>
  <c r="R200" i="65" s="1"/>
  <c r="AA201" i="63"/>
  <c r="R201" i="65" s="1"/>
  <c r="AA202" i="63"/>
  <c r="R202" i="65" s="1"/>
  <c r="AA203" i="63"/>
  <c r="R203" i="65" s="1"/>
  <c r="AA204" i="63"/>
  <c r="R204" i="65" s="1"/>
  <c r="AA205" i="63"/>
  <c r="R205" i="65" s="1"/>
  <c r="AA206" i="63"/>
  <c r="R206" i="65" s="1"/>
  <c r="AA207" i="63"/>
  <c r="R207" i="65" s="1"/>
  <c r="AA208" i="63"/>
  <c r="AA209" i="63"/>
  <c r="AA210" i="63"/>
  <c r="AA213" i="63"/>
  <c r="R213" i="65" s="1"/>
  <c r="AA214" i="63"/>
  <c r="R214" i="65" s="1"/>
  <c r="AA215" i="63"/>
  <c r="R215" i="65" s="1"/>
  <c r="AA216" i="63"/>
  <c r="R216" i="65" s="1"/>
  <c r="AA217" i="63"/>
  <c r="R217" i="65" s="1"/>
  <c r="AA218" i="63"/>
  <c r="AA219" i="63"/>
  <c r="AA220" i="63"/>
  <c r="R220" i="65" s="1"/>
  <c r="AA221" i="63"/>
  <c r="R221" i="65" s="1"/>
  <c r="AA222" i="63"/>
  <c r="R222" i="65" s="1"/>
  <c r="AA223" i="63"/>
  <c r="R223" i="65" s="1"/>
  <c r="AA224" i="63"/>
  <c r="R224" i="65" s="1"/>
  <c r="AA225" i="63"/>
  <c r="R225" i="65" s="1"/>
  <c r="AA226" i="63"/>
  <c r="AA227" i="63"/>
  <c r="AA228" i="63"/>
  <c r="R228" i="65" s="1"/>
  <c r="AA229" i="63"/>
  <c r="R229" i="65" s="1"/>
  <c r="AA230" i="63"/>
  <c r="R230" i="65" s="1"/>
  <c r="AA231" i="63"/>
  <c r="R231" i="65" s="1"/>
  <c r="AA232" i="63"/>
  <c r="R232" i="65" s="1"/>
  <c r="AA233" i="63"/>
  <c r="R233" i="65" s="1"/>
  <c r="AA234" i="63"/>
  <c r="R234" i="65" s="1"/>
  <c r="AA235" i="63"/>
  <c r="R235" i="65" s="1"/>
  <c r="AA236" i="63"/>
  <c r="R236" i="65" s="1"/>
  <c r="AA237" i="63"/>
  <c r="R237" i="65" s="1"/>
  <c r="AA238" i="63"/>
  <c r="AA239" i="63"/>
  <c r="AA240" i="63"/>
  <c r="AA241" i="63"/>
  <c r="AA244" i="63"/>
  <c r="R244" i="65" s="1"/>
  <c r="AA245" i="63"/>
  <c r="R245" i="65" s="1"/>
  <c r="AA246" i="63"/>
  <c r="R246" i="65" s="1"/>
  <c r="AA247" i="63"/>
  <c r="R247" i="65" s="1"/>
  <c r="AA248" i="63"/>
  <c r="R248" i="65" s="1"/>
  <c r="AA249" i="63"/>
  <c r="AA250" i="63"/>
  <c r="AA251" i="63"/>
  <c r="R251" i="65" s="1"/>
  <c r="AA252" i="63"/>
  <c r="R252" i="65" s="1"/>
  <c r="AA253" i="63"/>
  <c r="R253" i="65" s="1"/>
  <c r="AA254" i="63"/>
  <c r="R254" i="65" s="1"/>
  <c r="AA255" i="63"/>
  <c r="R255" i="65" s="1"/>
  <c r="AA256" i="63"/>
  <c r="AA257" i="63"/>
  <c r="AA258" i="63"/>
  <c r="R258" i="65" s="1"/>
  <c r="AA259" i="63"/>
  <c r="R259" i="65" s="1"/>
  <c r="AA260" i="63"/>
  <c r="R260" i="65" s="1"/>
  <c r="AA261" i="63"/>
  <c r="R261" i="65" s="1"/>
  <c r="AA262" i="63"/>
  <c r="R262" i="65" s="1"/>
  <c r="AA263" i="63"/>
  <c r="R263" i="65" s="1"/>
  <c r="AA264" i="63"/>
  <c r="R264" i="65" s="1"/>
  <c r="AA265" i="63"/>
  <c r="R265" i="65" s="1"/>
  <c r="AA266" i="63"/>
  <c r="R266" i="65" s="1"/>
  <c r="AA267" i="63"/>
  <c r="R267" i="65" s="1"/>
  <c r="AA268" i="63"/>
  <c r="R268" i="65" s="1"/>
  <c r="AA269" i="63"/>
  <c r="AA270" i="63"/>
  <c r="AA271" i="63"/>
  <c r="AA274" i="63"/>
  <c r="R274" i="65" s="1"/>
  <c r="AA275" i="63"/>
  <c r="R275" i="65" s="1"/>
  <c r="AA276" i="63"/>
  <c r="R276" i="65" s="1"/>
  <c r="AA277" i="63"/>
  <c r="R277" i="65" s="1"/>
  <c r="AA278" i="63"/>
  <c r="R278" i="65" s="1"/>
  <c r="AA279" i="63"/>
  <c r="AA280" i="63"/>
  <c r="AA281" i="63"/>
  <c r="R281" i="65" s="1"/>
  <c r="AA282" i="63"/>
  <c r="R282" i="65" s="1"/>
  <c r="AA283" i="63"/>
  <c r="R283" i="65" s="1"/>
  <c r="AA284" i="63"/>
  <c r="R284" i="65" s="1"/>
  <c r="AA285" i="63"/>
  <c r="R285" i="65" s="1"/>
  <c r="AA286" i="63"/>
  <c r="R286" i="65" s="1"/>
  <c r="AA287" i="63"/>
  <c r="AA288" i="63"/>
  <c r="AA289" i="63"/>
  <c r="R289" i="65" s="1"/>
  <c r="AA290" i="63"/>
  <c r="R290" i="65" s="1"/>
  <c r="AA291" i="63"/>
  <c r="R291" i="65" s="1"/>
  <c r="AA292" i="63"/>
  <c r="R292" i="65" s="1"/>
  <c r="AA293" i="63"/>
  <c r="R293" i="65" s="1"/>
  <c r="AA294" i="63"/>
  <c r="R294" i="65" s="1"/>
  <c r="AA295" i="63"/>
  <c r="R295" i="65" s="1"/>
  <c r="AA296" i="63"/>
  <c r="R296" i="65" s="1"/>
  <c r="AA297" i="63"/>
  <c r="R297" i="65" s="1"/>
  <c r="AA298" i="63"/>
  <c r="R298" i="65" s="1"/>
  <c r="AA299" i="63"/>
  <c r="R299" i="65" s="1"/>
  <c r="AA300" i="63"/>
  <c r="AA301" i="63"/>
  <c r="AA302" i="63"/>
  <c r="AA305" i="63"/>
  <c r="R305" i="65" s="1"/>
  <c r="AA306" i="63"/>
  <c r="R306" i="65" s="1"/>
  <c r="AA307" i="63"/>
  <c r="R307" i="65" s="1"/>
  <c r="AA308" i="63"/>
  <c r="R308" i="65" s="1"/>
  <c r="AA309" i="63"/>
  <c r="R309" i="65" s="1"/>
  <c r="AA310" i="63"/>
  <c r="AA311" i="63"/>
  <c r="AA312" i="63"/>
  <c r="R312" i="65" s="1"/>
  <c r="AA313" i="63"/>
  <c r="R313" i="65" s="1"/>
  <c r="AA314" i="63"/>
  <c r="R314" i="65" s="1"/>
  <c r="AA315" i="63"/>
  <c r="R315" i="65" s="1"/>
  <c r="AA316" i="63"/>
  <c r="R316" i="65" s="1"/>
  <c r="AA317" i="63"/>
  <c r="AA318" i="63"/>
  <c r="AA319" i="63"/>
  <c r="R319" i="65" s="1"/>
  <c r="AA320" i="63"/>
  <c r="R320" i="65" s="1"/>
  <c r="AA321" i="63"/>
  <c r="R321" i="65" s="1"/>
  <c r="AA322" i="63"/>
  <c r="R322" i="65" s="1"/>
  <c r="AA323" i="63"/>
  <c r="R323" i="65" s="1"/>
  <c r="AA324" i="63"/>
  <c r="R324" i="65" s="1"/>
  <c r="AA325" i="63"/>
  <c r="R325" i="65" s="1"/>
  <c r="AA326" i="63"/>
  <c r="R326" i="65" s="1"/>
  <c r="AA327" i="63"/>
  <c r="R327" i="65" s="1"/>
  <c r="AA328" i="63"/>
  <c r="R328" i="65" s="1"/>
  <c r="AA329" i="63"/>
  <c r="R329" i="65" s="1"/>
  <c r="AA330" i="63"/>
  <c r="AA331" i="63"/>
  <c r="AA332" i="63"/>
  <c r="AA335" i="63"/>
  <c r="R335" i="65" s="1"/>
  <c r="AA336" i="63"/>
  <c r="R336" i="65" s="1"/>
  <c r="AA337" i="63"/>
  <c r="R337" i="65" s="1"/>
  <c r="AA338" i="63"/>
  <c r="R338" i="65" s="1"/>
  <c r="AA339" i="63"/>
  <c r="R339" i="65" s="1"/>
  <c r="AA340" i="63"/>
  <c r="AA341" i="63"/>
  <c r="AA342" i="63"/>
  <c r="R342" i="65" s="1"/>
  <c r="AA343" i="63"/>
  <c r="R343" i="65" s="1"/>
  <c r="AA344" i="63"/>
  <c r="R344" i="65" s="1"/>
  <c r="AA345" i="63"/>
  <c r="R345" i="65" s="1"/>
  <c r="AA346" i="63"/>
  <c r="R346" i="65" s="1"/>
  <c r="AA347" i="63"/>
  <c r="R347" i="65" s="1"/>
  <c r="AA348" i="63"/>
  <c r="R348" i="65" s="1"/>
  <c r="AA349" i="63"/>
  <c r="R349" i="65" s="1"/>
  <c r="AA350" i="63"/>
  <c r="R350" i="65" s="1"/>
  <c r="AA351" i="63"/>
  <c r="R351" i="65" s="1"/>
  <c r="AA352" i="63"/>
  <c r="R352" i="65" s="1"/>
  <c r="AA353" i="63"/>
  <c r="R353" i="65" s="1"/>
  <c r="AA354" i="63"/>
  <c r="R354" i="65" s="1"/>
  <c r="AA355" i="63"/>
  <c r="R355" i="65" s="1"/>
  <c r="AA356" i="63"/>
  <c r="R356" i="65" s="1"/>
  <c r="AA357" i="63"/>
  <c r="R357" i="65" s="1"/>
  <c r="AA358" i="63"/>
  <c r="R358" i="65" s="1"/>
  <c r="AA359" i="63"/>
  <c r="R359" i="65" s="1"/>
  <c r="AA360" i="63"/>
  <c r="R360" i="65" s="1"/>
  <c r="AA361" i="63"/>
  <c r="R361" i="65" s="1"/>
  <c r="AA362" i="63"/>
  <c r="R362" i="65" s="1"/>
  <c r="AA363" i="63"/>
  <c r="R363" i="65" s="1"/>
  <c r="AA364" i="63"/>
  <c r="R364" i="65" s="1"/>
  <c r="AA365" i="63"/>
  <c r="R365" i="65" s="1"/>
  <c r="AA366" i="63"/>
  <c r="R366" i="65" s="1"/>
  <c r="AA367" i="63"/>
  <c r="R367" i="65" s="1"/>
  <c r="AA368" i="63"/>
  <c r="R368" i="65" s="1"/>
  <c r="AB234" i="63"/>
  <c r="Q234" i="65" s="1"/>
  <c r="D3" i="63"/>
  <c r="G3" i="63"/>
  <c r="R4" i="63"/>
  <c r="C3" i="63"/>
  <c r="U3" i="65" s="1"/>
  <c r="Q4" i="63"/>
  <c r="AB4" i="65" s="1"/>
  <c r="X3" i="63"/>
  <c r="T3" i="65" s="1"/>
  <c r="E3" i="63"/>
  <c r="V3" i="65" s="1"/>
  <c r="Y3" i="63"/>
  <c r="F3" i="63"/>
  <c r="K5" i="63"/>
  <c r="Y5" i="65" s="1"/>
  <c r="S5" i="63"/>
  <c r="P6" i="63"/>
  <c r="W10" i="63"/>
  <c r="J10" i="65" s="1"/>
  <c r="H10" i="63"/>
  <c r="N10" i="65" s="1"/>
  <c r="Q11" i="63"/>
  <c r="AB11" i="65" s="1"/>
  <c r="I11" i="63"/>
  <c r="R11" i="63"/>
  <c r="S12" i="63"/>
  <c r="K12" i="63"/>
  <c r="Y12" i="65" s="1"/>
  <c r="T13" i="63"/>
  <c r="AA13" i="65" s="1"/>
  <c r="M14" i="63"/>
  <c r="Y17" i="63"/>
  <c r="G17" i="63"/>
  <c r="E17" i="63"/>
  <c r="C17" i="63"/>
  <c r="U17" i="65" s="1"/>
  <c r="X17" i="63"/>
  <c r="T17" i="65" s="1"/>
  <c r="F17" i="63"/>
  <c r="D17" i="63"/>
  <c r="Q18" i="63"/>
  <c r="AB18" i="65" s="1"/>
  <c r="R18" i="63"/>
  <c r="K19" i="63"/>
  <c r="Y19" i="65" s="1"/>
  <c r="S19" i="63"/>
  <c r="Q25" i="63"/>
  <c r="AB25" i="65" s="1"/>
  <c r="R25" i="63"/>
  <c r="K26" i="63"/>
  <c r="Y26" i="65" s="1"/>
  <c r="S26" i="63"/>
  <c r="V27" i="63"/>
  <c r="J27" i="65" s="1"/>
  <c r="N27" i="63"/>
  <c r="R27" i="65" s="1"/>
  <c r="O28" i="63"/>
  <c r="Z30" i="63"/>
  <c r="P30" i="65" s="1"/>
  <c r="AA30" i="63"/>
  <c r="R30" i="65" s="1"/>
  <c r="C31" i="63"/>
  <c r="G31" i="63"/>
  <c r="E31" i="63"/>
  <c r="X31" i="63"/>
  <c r="D31" i="63"/>
  <c r="Y31" i="63"/>
  <c r="F31" i="63"/>
  <c r="Q32" i="63"/>
  <c r="AB32" i="65" s="1"/>
  <c r="R32" i="63"/>
  <c r="J32" i="65" s="1"/>
  <c r="S33" i="63"/>
  <c r="K33" i="63"/>
  <c r="Y33" i="65" s="1"/>
  <c r="T34" i="63"/>
  <c r="AA34" i="65" s="1"/>
  <c r="P37" i="63"/>
  <c r="H38" i="63"/>
  <c r="N38" i="65" s="1"/>
  <c r="W38" i="63"/>
  <c r="J38" i="65" s="1"/>
  <c r="Q39" i="63"/>
  <c r="AB39" i="65" s="1"/>
  <c r="I39" i="63"/>
  <c r="R39" i="63"/>
  <c r="K40" i="63"/>
  <c r="Y40" i="65" s="1"/>
  <c r="S40" i="63"/>
  <c r="M42" i="63"/>
  <c r="D45" i="63"/>
  <c r="X45" i="63"/>
  <c r="Y45" i="63"/>
  <c r="C45" i="63"/>
  <c r="E45" i="63"/>
  <c r="G45" i="63"/>
  <c r="F45" i="63"/>
  <c r="R46" i="63"/>
  <c r="Q46" i="63"/>
  <c r="AB46" i="65" s="1"/>
  <c r="S47" i="63"/>
  <c r="K47" i="63"/>
  <c r="Y47" i="65" s="1"/>
  <c r="Q53" i="63"/>
  <c r="AB53" i="65" s="1"/>
  <c r="R53" i="63"/>
  <c r="K54" i="63"/>
  <c r="Y54" i="65" s="1"/>
  <c r="S54" i="63"/>
  <c r="V55" i="63"/>
  <c r="J55" i="65" s="1"/>
  <c r="T55" i="63"/>
  <c r="AA55" i="65" s="1"/>
  <c r="N55" i="63"/>
  <c r="O56" i="63"/>
  <c r="AA58" i="63"/>
  <c r="R58" i="65" s="1"/>
  <c r="Y59" i="63"/>
  <c r="G59" i="63"/>
  <c r="X59" i="63"/>
  <c r="T59" i="65" s="1"/>
  <c r="D59" i="63"/>
  <c r="E59" i="63"/>
  <c r="C59" i="63"/>
  <c r="U59" i="65" s="1"/>
  <c r="F59" i="63"/>
  <c r="R60" i="63"/>
  <c r="Q60" i="63"/>
  <c r="S61" i="63"/>
  <c r="K61" i="63"/>
  <c r="Y61" i="65" s="1"/>
  <c r="P65" i="63"/>
  <c r="Q67" i="63"/>
  <c r="AB67" i="65" s="1"/>
  <c r="R67" i="63"/>
  <c r="U67" i="63"/>
  <c r="AC67" i="65" s="1"/>
  <c r="K68" i="63"/>
  <c r="Y68" i="65" s="1"/>
  <c r="S68" i="63"/>
  <c r="H69" i="63"/>
  <c r="W69" i="63"/>
  <c r="J69" i="65" s="1"/>
  <c r="I70" i="63"/>
  <c r="F73" i="63"/>
  <c r="E73" i="63"/>
  <c r="X73" i="63"/>
  <c r="D73" i="63"/>
  <c r="Y73" i="63"/>
  <c r="C73" i="63"/>
  <c r="M73" i="63"/>
  <c r="G73" i="63"/>
  <c r="Q74" i="63"/>
  <c r="AB74" i="65" s="1"/>
  <c r="R74" i="63"/>
  <c r="S75" i="63"/>
  <c r="K75" i="63"/>
  <c r="Y75" i="65" s="1"/>
  <c r="T76" i="63"/>
  <c r="AA76" i="65" s="1"/>
  <c r="R81" i="63"/>
  <c r="Q81" i="63"/>
  <c r="AB81" i="65" s="1"/>
  <c r="S82" i="63"/>
  <c r="K82" i="63"/>
  <c r="Y82" i="65" s="1"/>
  <c r="N86" i="63"/>
  <c r="V86" i="63"/>
  <c r="J86" i="65" s="1"/>
  <c r="X87" i="63"/>
  <c r="Y87" i="63"/>
  <c r="E87" i="63"/>
  <c r="G87" i="63"/>
  <c r="D87" i="63"/>
  <c r="F87" i="63"/>
  <c r="C87" i="63"/>
  <c r="O87" i="63"/>
  <c r="Q88" i="63"/>
  <c r="AB88" i="65" s="1"/>
  <c r="R88" i="63"/>
  <c r="K89" i="63"/>
  <c r="Y89" i="65" s="1"/>
  <c r="AA89" i="63"/>
  <c r="R89" i="65" s="1"/>
  <c r="S89" i="63"/>
  <c r="R95" i="63"/>
  <c r="Q95" i="63"/>
  <c r="AB95" i="65" s="1"/>
  <c r="K96" i="63"/>
  <c r="Y96" i="65" s="1"/>
  <c r="S96" i="63"/>
  <c r="P96" i="63"/>
  <c r="T97" i="63"/>
  <c r="AA97" i="65" s="1"/>
  <c r="H99" i="63"/>
  <c r="W99" i="63"/>
  <c r="J99" i="65" s="1"/>
  <c r="I100" i="63"/>
  <c r="F101" i="63"/>
  <c r="G101" i="63"/>
  <c r="X101" i="63"/>
  <c r="T101" i="65" s="1"/>
  <c r="E101" i="63"/>
  <c r="D101" i="63"/>
  <c r="Y101" i="63"/>
  <c r="C101" i="63"/>
  <c r="U101" i="65" s="1"/>
  <c r="Q102" i="63"/>
  <c r="AB102" i="65" s="1"/>
  <c r="R102" i="63"/>
  <c r="M103" i="63"/>
  <c r="S103" i="63"/>
  <c r="K103" i="63"/>
  <c r="Y103" i="65" s="1"/>
  <c r="R109" i="63"/>
  <c r="Q109" i="63"/>
  <c r="AB109" i="65" s="1"/>
  <c r="S110" i="63"/>
  <c r="K110" i="63"/>
  <c r="Y110" i="65" s="1"/>
  <c r="Y115" i="63"/>
  <c r="D115" i="63"/>
  <c r="G115" i="63"/>
  <c r="E115" i="63"/>
  <c r="C115" i="63"/>
  <c r="U115" i="65" s="1"/>
  <c r="X115" i="63"/>
  <c r="T115" i="65" s="1"/>
  <c r="F115" i="63"/>
  <c r="N116" i="63"/>
  <c r="V116" i="63"/>
  <c r="Q116" i="63"/>
  <c r="AB116" i="65" s="1"/>
  <c r="R116" i="63"/>
  <c r="K117" i="63"/>
  <c r="Y117" i="65" s="1"/>
  <c r="S117" i="63"/>
  <c r="O117" i="63"/>
  <c r="T118" i="63"/>
  <c r="AA118" i="65" s="1"/>
  <c r="AA119" i="63"/>
  <c r="R119" i="65" s="1"/>
  <c r="R123" i="63"/>
  <c r="Q123" i="63"/>
  <c r="K124" i="63"/>
  <c r="Y124" i="65" s="1"/>
  <c r="S124" i="63"/>
  <c r="P126" i="63"/>
  <c r="C129" i="63"/>
  <c r="U129" i="65" s="1"/>
  <c r="E129" i="63"/>
  <c r="Y129" i="63"/>
  <c r="D129" i="63"/>
  <c r="F129" i="63"/>
  <c r="G129" i="63"/>
  <c r="X129" i="63"/>
  <c r="T129" i="65" s="1"/>
  <c r="R130" i="63"/>
  <c r="H130" i="63"/>
  <c r="N130" i="65" s="1"/>
  <c r="Q130" i="63"/>
  <c r="AB130" i="65" s="1"/>
  <c r="W130" i="63"/>
  <c r="J130" i="65" s="1"/>
  <c r="K131" i="63"/>
  <c r="Y131" i="65" s="1"/>
  <c r="I131" i="63"/>
  <c r="S131" i="63"/>
  <c r="M134" i="63"/>
  <c r="Q137" i="63"/>
  <c r="AB137" i="65" s="1"/>
  <c r="R137" i="63"/>
  <c r="S138" i="63"/>
  <c r="K138" i="63"/>
  <c r="Y138" i="65" s="1"/>
  <c r="T139" i="63"/>
  <c r="AA139" i="65" s="1"/>
  <c r="J141" i="63"/>
  <c r="Y141" i="65" s="1"/>
  <c r="L141" i="63"/>
  <c r="G143" i="63"/>
  <c r="E143" i="63"/>
  <c r="F143" i="63"/>
  <c r="C143" i="63"/>
  <c r="U143" i="65" s="1"/>
  <c r="Y143" i="63"/>
  <c r="D143" i="63"/>
  <c r="X143" i="63"/>
  <c r="T143" i="65" s="1"/>
  <c r="Q144" i="63"/>
  <c r="AB144" i="65" s="1"/>
  <c r="R144" i="63"/>
  <c r="K145" i="63"/>
  <c r="Y145" i="65" s="1"/>
  <c r="S145" i="63"/>
  <c r="N147" i="63"/>
  <c r="V147" i="63"/>
  <c r="J147" i="65" s="1"/>
  <c r="O148" i="63"/>
  <c r="AA150" i="63"/>
  <c r="R150" i="65" s="1"/>
  <c r="R151" i="63"/>
  <c r="Q151" i="63"/>
  <c r="AB151" i="65" s="1"/>
  <c r="K152" i="63"/>
  <c r="Y152" i="65" s="1"/>
  <c r="S152" i="63"/>
  <c r="Y157" i="63"/>
  <c r="E157" i="63"/>
  <c r="X157" i="63"/>
  <c r="T157" i="65" s="1"/>
  <c r="D157" i="63"/>
  <c r="P157" i="63"/>
  <c r="F157" i="63"/>
  <c r="U157" i="63"/>
  <c r="AC157" i="65" s="1"/>
  <c r="G157" i="63"/>
  <c r="C157" i="63"/>
  <c r="U157" i="65" s="1"/>
  <c r="R158" i="63"/>
  <c r="Q158" i="63"/>
  <c r="AB158" i="65" s="1"/>
  <c r="S159" i="63"/>
  <c r="K159" i="63"/>
  <c r="Y159" i="65" s="1"/>
  <c r="T160" i="63"/>
  <c r="AA160" i="65" s="1"/>
  <c r="H160" i="63"/>
  <c r="N160" i="65" s="1"/>
  <c r="W160" i="63"/>
  <c r="J160" i="65" s="1"/>
  <c r="I161" i="63"/>
  <c r="M164" i="63"/>
  <c r="R164" i="65" s="1"/>
  <c r="Q165" i="63"/>
  <c r="AB165" i="65" s="1"/>
  <c r="R165" i="63"/>
  <c r="S166" i="63"/>
  <c r="K166" i="63"/>
  <c r="Y166" i="65" s="1"/>
  <c r="G171" i="63"/>
  <c r="X171" i="63"/>
  <c r="T171" i="65" s="1"/>
  <c r="C171" i="63"/>
  <c r="U171" i="65" s="1"/>
  <c r="Y171" i="63"/>
  <c r="F171" i="63"/>
  <c r="E171" i="63"/>
  <c r="D171" i="63"/>
  <c r="Q172" i="63"/>
  <c r="AB172" i="65" s="1"/>
  <c r="R172" i="63"/>
  <c r="K173" i="63"/>
  <c r="Y173" i="65" s="1"/>
  <c r="S173" i="63"/>
  <c r="V177" i="63"/>
  <c r="N177" i="63"/>
  <c r="O178" i="63"/>
  <c r="Q179" i="63"/>
  <c r="AB179" i="65" s="1"/>
  <c r="R179" i="63"/>
  <c r="AA180" i="63"/>
  <c r="R180" i="65" s="1"/>
  <c r="S180" i="63"/>
  <c r="K180" i="63"/>
  <c r="Y180" i="65" s="1"/>
  <c r="T181" i="63"/>
  <c r="AA181" i="65" s="1"/>
  <c r="C185" i="63"/>
  <c r="U185" i="65" s="1"/>
  <c r="F185" i="63"/>
  <c r="E185" i="63"/>
  <c r="Y185" i="63"/>
  <c r="X185" i="63"/>
  <c r="T185" i="65" s="1"/>
  <c r="D185" i="63"/>
  <c r="G185" i="63"/>
  <c r="R186" i="63"/>
  <c r="Q186" i="63"/>
  <c r="AB186" i="65" s="1"/>
  <c r="K187" i="63"/>
  <c r="Y187" i="65" s="1"/>
  <c r="P187" i="63"/>
  <c r="S187" i="63"/>
  <c r="H191" i="63"/>
  <c r="N191" i="65" s="1"/>
  <c r="W191" i="63"/>
  <c r="J191" i="65" s="1"/>
  <c r="I192" i="63"/>
  <c r="R193" i="63"/>
  <c r="Q193" i="63"/>
  <c r="AB193" i="65" s="1"/>
  <c r="K194" i="63"/>
  <c r="Y194" i="65" s="1"/>
  <c r="S194" i="63"/>
  <c r="M195" i="63"/>
  <c r="Y199" i="63"/>
  <c r="E199" i="63"/>
  <c r="G199" i="63"/>
  <c r="F199" i="63"/>
  <c r="X199" i="63"/>
  <c r="T199" i="65" s="1"/>
  <c r="C199" i="63"/>
  <c r="U199" i="65" s="1"/>
  <c r="D199" i="63"/>
  <c r="R200" i="63"/>
  <c r="Q200" i="63"/>
  <c r="AB200" i="65" s="1"/>
  <c r="K201" i="63"/>
  <c r="Y201" i="65" s="1"/>
  <c r="S201" i="63"/>
  <c r="T202" i="63"/>
  <c r="AA202" i="65" s="1"/>
  <c r="Q207" i="63"/>
  <c r="AB207" i="65" s="1"/>
  <c r="R207" i="63"/>
  <c r="K208" i="63"/>
  <c r="Y208" i="65" s="1"/>
  <c r="V208" i="63"/>
  <c r="J208" i="65" s="1"/>
  <c r="N208" i="63"/>
  <c r="S208" i="63"/>
  <c r="O209" i="63"/>
  <c r="AA211" i="63"/>
  <c r="R211" i="65" s="1"/>
  <c r="Z211" i="63"/>
  <c r="P211" i="65" s="1"/>
  <c r="G213" i="63"/>
  <c r="C213" i="63"/>
  <c r="U213" i="65" s="1"/>
  <c r="X213" i="63"/>
  <c r="T213" i="65" s="1"/>
  <c r="Y213" i="63"/>
  <c r="E213" i="63"/>
  <c r="D213" i="63"/>
  <c r="F213" i="63"/>
  <c r="Q214" i="63"/>
  <c r="AB214" i="65" s="1"/>
  <c r="R214" i="63"/>
  <c r="S215" i="63"/>
  <c r="K215" i="63"/>
  <c r="Y215" i="65" s="1"/>
  <c r="P218" i="63"/>
  <c r="R221" i="63"/>
  <c r="Q221" i="63"/>
  <c r="AB221" i="65" s="1"/>
  <c r="K222" i="63"/>
  <c r="Y222" i="65" s="1"/>
  <c r="W222" i="63"/>
  <c r="J222" i="65" s="1"/>
  <c r="S222" i="63"/>
  <c r="S222" i="65" s="1"/>
  <c r="H222" i="63"/>
  <c r="N222" i="65" s="1"/>
  <c r="T223" i="63"/>
  <c r="AA223" i="65" s="1"/>
  <c r="I223" i="63"/>
  <c r="M226" i="63"/>
  <c r="F227" i="63"/>
  <c r="G227" i="63"/>
  <c r="C227" i="63"/>
  <c r="U227" i="65" s="1"/>
  <c r="X227" i="63"/>
  <c r="T227" i="65" s="1"/>
  <c r="D227" i="63"/>
  <c r="E227" i="63"/>
  <c r="Y227" i="63"/>
  <c r="Q228" i="63"/>
  <c r="AB228" i="65" s="1"/>
  <c r="R228" i="63"/>
  <c r="S229" i="63"/>
  <c r="K229" i="63"/>
  <c r="Y229" i="65" s="1"/>
  <c r="Q235" i="63"/>
  <c r="AB235" i="65" s="1"/>
  <c r="R235" i="63"/>
  <c r="K236" i="63"/>
  <c r="Y236" i="65" s="1"/>
  <c r="S236" i="63"/>
  <c r="N239" i="63"/>
  <c r="V239" i="63"/>
  <c r="J239" i="65" s="1"/>
  <c r="O240" i="63"/>
  <c r="G241" i="63"/>
  <c r="C241" i="63"/>
  <c r="U241" i="65" s="1"/>
  <c r="Y241" i="63"/>
  <c r="E241" i="63"/>
  <c r="F241" i="63"/>
  <c r="D241" i="63"/>
  <c r="X241" i="63"/>
  <c r="T241" i="65" s="1"/>
  <c r="AA242" i="63"/>
  <c r="R242" i="65" s="1"/>
  <c r="Q242" i="63"/>
  <c r="AB242" i="65" s="1"/>
  <c r="R242" i="63"/>
  <c r="K243" i="63"/>
  <c r="Y243" i="65" s="1"/>
  <c r="S243" i="63"/>
  <c r="T244" i="63"/>
  <c r="AA244" i="65" s="1"/>
  <c r="U247" i="63"/>
  <c r="AC247" i="65" s="1"/>
  <c r="Q249" i="63"/>
  <c r="AB249" i="65" s="1"/>
  <c r="P249" i="63"/>
  <c r="R249" i="63"/>
  <c r="S250" i="63"/>
  <c r="K250" i="63"/>
  <c r="Y250" i="65" s="1"/>
  <c r="W252" i="63"/>
  <c r="J252" i="65" s="1"/>
  <c r="H252" i="63"/>
  <c r="I253" i="63"/>
  <c r="D255" i="63"/>
  <c r="Y255" i="63"/>
  <c r="E255" i="63"/>
  <c r="F255" i="63"/>
  <c r="G255" i="63"/>
  <c r="X255" i="63"/>
  <c r="T255" i="65" s="1"/>
  <c r="C255" i="63"/>
  <c r="U255" i="65" s="1"/>
  <c r="R256" i="63"/>
  <c r="M256" i="63"/>
  <c r="Q256" i="63"/>
  <c r="AB256" i="65" s="1"/>
  <c r="S257" i="63"/>
  <c r="K257" i="63"/>
  <c r="Y257" i="65" s="1"/>
  <c r="Q263" i="63"/>
  <c r="AB263" i="65" s="1"/>
  <c r="R263" i="63"/>
  <c r="S264" i="63"/>
  <c r="K264" i="63"/>
  <c r="Y264" i="65" s="1"/>
  <c r="T265" i="63"/>
  <c r="AA265" i="65" s="1"/>
  <c r="E269" i="63"/>
  <c r="Y269" i="63"/>
  <c r="V269" i="63"/>
  <c r="G269" i="63"/>
  <c r="X269" i="63"/>
  <c r="T269" i="65" s="1"/>
  <c r="F269" i="63"/>
  <c r="N269" i="63"/>
  <c r="C269" i="63"/>
  <c r="U269" i="65" s="1"/>
  <c r="D269" i="63"/>
  <c r="R270" i="63"/>
  <c r="Q270" i="63"/>
  <c r="AB270" i="65" s="1"/>
  <c r="O270" i="63"/>
  <c r="K271" i="63"/>
  <c r="Y271" i="65" s="1"/>
  <c r="S271" i="63"/>
  <c r="AA272" i="63"/>
  <c r="R272" i="65" s="1"/>
  <c r="Q277" i="63"/>
  <c r="AB277" i="65" s="1"/>
  <c r="R277" i="63"/>
  <c r="S278" i="63"/>
  <c r="K278" i="63"/>
  <c r="Y278" i="65" s="1"/>
  <c r="P279" i="63"/>
  <c r="W283" i="63"/>
  <c r="J283" i="65" s="1"/>
  <c r="E283" i="63"/>
  <c r="H283" i="63"/>
  <c r="X283" i="63"/>
  <c r="T283" i="65" s="1"/>
  <c r="D283" i="63"/>
  <c r="C283" i="63"/>
  <c r="U283" i="65" s="1"/>
  <c r="Y283" i="63"/>
  <c r="F283" i="63"/>
  <c r="G283" i="63"/>
  <c r="Q284" i="63"/>
  <c r="AB284" i="65" s="1"/>
  <c r="R284" i="63"/>
  <c r="I284" i="63"/>
  <c r="K285" i="63"/>
  <c r="Y285" i="65" s="1"/>
  <c r="S285" i="63"/>
  <c r="T286" i="63"/>
  <c r="AA286" i="65" s="1"/>
  <c r="M287" i="63"/>
  <c r="R291" i="63"/>
  <c r="Q291" i="63"/>
  <c r="AB291" i="65" s="1"/>
  <c r="K292" i="63"/>
  <c r="Y292" i="65" s="1"/>
  <c r="S292" i="63"/>
  <c r="E297" i="63"/>
  <c r="G297" i="63"/>
  <c r="C297" i="63"/>
  <c r="U297" i="65" s="1"/>
  <c r="D297" i="63"/>
  <c r="X297" i="63"/>
  <c r="T297" i="65" s="1"/>
  <c r="Y297" i="63"/>
  <c r="AD297" i="65" s="1"/>
  <c r="F297" i="63"/>
  <c r="R298" i="63"/>
  <c r="Q298" i="63"/>
  <c r="AB298" i="65" s="1"/>
  <c r="K299" i="63"/>
  <c r="Y299" i="65" s="1"/>
  <c r="S299" i="63"/>
  <c r="V300" i="63"/>
  <c r="J300" i="65" s="1"/>
  <c r="N300" i="63"/>
  <c r="O301" i="63"/>
  <c r="AA303" i="63"/>
  <c r="R303" i="65" s="1"/>
  <c r="Q305" i="63"/>
  <c r="AB305" i="65" s="1"/>
  <c r="R305" i="63"/>
  <c r="K306" i="63"/>
  <c r="Y306" i="65" s="1"/>
  <c r="S306" i="63"/>
  <c r="T307" i="63"/>
  <c r="AA307" i="65" s="1"/>
  <c r="P310" i="63"/>
  <c r="D311" i="63"/>
  <c r="X311" i="63"/>
  <c r="T311" i="65" s="1"/>
  <c r="C311" i="63"/>
  <c r="U311" i="65" s="1"/>
  <c r="E311" i="63"/>
  <c r="F311" i="63"/>
  <c r="G311" i="63"/>
  <c r="Y311" i="63"/>
  <c r="Q312" i="63"/>
  <c r="AB312" i="65" s="1"/>
  <c r="R312" i="63"/>
  <c r="K313" i="63"/>
  <c r="Y313" i="65" s="1"/>
  <c r="W313" i="63"/>
  <c r="J313" i="65" s="1"/>
  <c r="H313" i="63"/>
  <c r="N313" i="65" s="1"/>
  <c r="S313" i="63"/>
  <c r="I314" i="63"/>
  <c r="M317" i="63"/>
  <c r="Q319" i="63"/>
  <c r="AB319" i="65" s="1"/>
  <c r="R319" i="63"/>
  <c r="S320" i="63"/>
  <c r="K320" i="63"/>
  <c r="Y320" i="65" s="1"/>
  <c r="J324" i="63"/>
  <c r="Y324" i="65" s="1"/>
  <c r="G325" i="63"/>
  <c r="E325" i="63"/>
  <c r="X325" i="63"/>
  <c r="F325" i="63"/>
  <c r="D325" i="63"/>
  <c r="C325" i="63"/>
  <c r="Y325" i="63"/>
  <c r="Q326" i="63"/>
  <c r="AB326" i="65" s="1"/>
  <c r="R326" i="63"/>
  <c r="K327" i="63"/>
  <c r="Y327" i="65" s="1"/>
  <c r="S327" i="63"/>
  <c r="T328" i="63"/>
  <c r="AA328" i="65" s="1"/>
  <c r="N330" i="63"/>
  <c r="V330" i="63"/>
  <c r="J330" i="65" s="1"/>
  <c r="O331" i="63"/>
  <c r="R333" i="63"/>
  <c r="Q333" i="63"/>
  <c r="AB333" i="65" s="1"/>
  <c r="AA333" i="63"/>
  <c r="R333" i="65" s="1"/>
  <c r="K334" i="63"/>
  <c r="Y334" i="65" s="1"/>
  <c r="S334" i="63"/>
  <c r="U337" i="63"/>
  <c r="AC337" i="65" s="1"/>
  <c r="F339" i="63"/>
  <c r="C339" i="63"/>
  <c r="U339" i="65" s="1"/>
  <c r="Y339" i="63"/>
  <c r="X339" i="63"/>
  <c r="T339" i="65" s="1"/>
  <c r="E339" i="63"/>
  <c r="G339" i="63"/>
  <c r="D339" i="63"/>
  <c r="P340" i="63"/>
  <c r="Q340" i="63"/>
  <c r="AB340" i="65" s="1"/>
  <c r="R340" i="63"/>
  <c r="K341" i="63"/>
  <c r="Y341" i="65" s="1"/>
  <c r="S341" i="63"/>
  <c r="H344" i="63"/>
  <c r="N344" i="65" s="1"/>
  <c r="W344" i="63"/>
  <c r="J344" i="65" s="1"/>
  <c r="Q347" i="63"/>
  <c r="AB347" i="65" s="1"/>
  <c r="R347" i="63"/>
  <c r="S348" i="63"/>
  <c r="K348" i="63"/>
  <c r="Y348" i="65" s="1"/>
  <c r="T349" i="63"/>
  <c r="AA349" i="65" s="1"/>
  <c r="G353" i="63"/>
  <c r="Y353" i="63"/>
  <c r="C353" i="63"/>
  <c r="U353" i="65" s="1"/>
  <c r="E353" i="63"/>
  <c r="X353" i="63"/>
  <c r="T353" i="65" s="1"/>
  <c r="D353" i="63"/>
  <c r="F353" i="63"/>
  <c r="Q354" i="63"/>
  <c r="AB354" i="65" s="1"/>
  <c r="R354" i="63"/>
  <c r="K355" i="63"/>
  <c r="Y355" i="65" s="1"/>
  <c r="S355" i="63"/>
  <c r="R361" i="63"/>
  <c r="Q361" i="63"/>
  <c r="AB361" i="65" s="1"/>
  <c r="K362" i="63"/>
  <c r="Y362" i="65" s="1"/>
  <c r="S362" i="63"/>
  <c r="D46" i="63"/>
  <c r="V240" i="63"/>
  <c r="J240" i="65" s="1"/>
  <c r="X228" i="63"/>
  <c r="T228" i="65" s="1"/>
  <c r="T224" i="63"/>
  <c r="AA224" i="65" s="1"/>
  <c r="AB288" i="63"/>
  <c r="Q288" i="65" s="1"/>
  <c r="S279" i="63"/>
  <c r="N270" i="63"/>
  <c r="R264" i="63"/>
  <c r="AB256" i="63"/>
  <c r="V87" i="63"/>
  <c r="J87" i="65" s="1"/>
  <c r="AB245" i="63"/>
  <c r="Q245" i="65" s="1"/>
  <c r="D228" i="63"/>
  <c r="W11" i="63"/>
  <c r="J11" i="65" s="1"/>
  <c r="M196" i="63"/>
  <c r="Y200" i="63"/>
  <c r="AD200" i="65" s="1"/>
  <c r="K230" i="63"/>
  <c r="Y230" i="65" s="1"/>
  <c r="AB367" i="63"/>
  <c r="Q367" i="65" s="1"/>
  <c r="AB361" i="63"/>
  <c r="Q355" i="63"/>
  <c r="AB355" i="65" s="1"/>
  <c r="AB352" i="63"/>
  <c r="Q352" i="65" s="1"/>
  <c r="AB347" i="63"/>
  <c r="S342" i="63"/>
  <c r="C340" i="63"/>
  <c r="U340" i="65" s="1"/>
  <c r="AA334" i="63"/>
  <c r="R334" i="65" s="1"/>
  <c r="AB330" i="63"/>
  <c r="Q330" i="65" s="1"/>
  <c r="J325" i="63"/>
  <c r="Y325" i="65" s="1"/>
  <c r="AB317" i="63"/>
  <c r="Q317" i="65" s="1"/>
  <c r="AB310" i="63"/>
  <c r="Q310" i="65" s="1"/>
  <c r="AB305" i="63"/>
  <c r="K300" i="63"/>
  <c r="Y300" i="65" s="1"/>
  <c r="AB294" i="63"/>
  <c r="Q294" i="65" s="1"/>
  <c r="AB284" i="63"/>
  <c r="AB255" i="63"/>
  <c r="Q255" i="65" s="1"/>
  <c r="AB249" i="63"/>
  <c r="F32" i="63"/>
  <c r="AB61" i="63"/>
  <c r="AB96" i="63"/>
  <c r="G130" i="63"/>
  <c r="F158" i="63"/>
  <c r="AB188" i="63"/>
  <c r="AB223" i="63"/>
  <c r="E256" i="63"/>
  <c r="AB285" i="63"/>
  <c r="AB320" i="63"/>
  <c r="E354" i="63"/>
  <c r="I162" i="63"/>
  <c r="N162" i="65" s="1"/>
  <c r="AB218" i="63"/>
  <c r="Q218" i="65" s="1"/>
  <c r="R222" i="63"/>
  <c r="AB228" i="63"/>
  <c r="Q236" i="63"/>
  <c r="AB236" i="65" s="1"/>
  <c r="AB240" i="63"/>
  <c r="Q240" i="65" s="1"/>
  <c r="AB5" i="63"/>
  <c r="G32" i="63"/>
  <c r="AB62" i="63"/>
  <c r="AB97" i="63"/>
  <c r="E130" i="63"/>
  <c r="AB159" i="63"/>
  <c r="AB194" i="63"/>
  <c r="E228" i="63"/>
  <c r="F256" i="63"/>
  <c r="AB286" i="63"/>
  <c r="AB321" i="63"/>
  <c r="F354" i="63"/>
  <c r="AB9" i="63"/>
  <c r="Q9" i="65" s="1"/>
  <c r="AB18" i="63"/>
  <c r="AB24" i="63"/>
  <c r="Q24" i="65" s="1"/>
  <c r="AB30" i="63"/>
  <c r="Q30" i="65" s="1"/>
  <c r="T35" i="63"/>
  <c r="AA35" i="65" s="1"/>
  <c r="AB42" i="63"/>
  <c r="S48" i="63"/>
  <c r="S55" i="63"/>
  <c r="AB60" i="63"/>
  <c r="AB66" i="63"/>
  <c r="Q66" i="65" s="1"/>
  <c r="AB72" i="63"/>
  <c r="Q72" i="65" s="1"/>
  <c r="AB80" i="63"/>
  <c r="Q80" i="65" s="1"/>
  <c r="AB86" i="63"/>
  <c r="Q86" i="65" s="1"/>
  <c r="K90" i="63"/>
  <c r="Y90" i="65" s="1"/>
  <c r="K97" i="63"/>
  <c r="Y97" i="65" s="1"/>
  <c r="R103" i="63"/>
  <c r="R110" i="63"/>
  <c r="AB116" i="63"/>
  <c r="AB122" i="63"/>
  <c r="Q122" i="65" s="1"/>
  <c r="AB128" i="63"/>
  <c r="Q128" i="65" s="1"/>
  <c r="AB134" i="63"/>
  <c r="Q134" i="65" s="1"/>
  <c r="AB141" i="63"/>
  <c r="Q141" i="65" s="1"/>
  <c r="S146" i="63"/>
  <c r="K153" i="63"/>
  <c r="Y153" i="65" s="1"/>
  <c r="Q159" i="63"/>
  <c r="AB159" i="65" s="1"/>
  <c r="AB164" i="63"/>
  <c r="Q164" i="65" s="1"/>
  <c r="AB172" i="63"/>
  <c r="AB178" i="63"/>
  <c r="Q178" i="65" s="1"/>
  <c r="AB184" i="63"/>
  <c r="Q184" i="65" s="1"/>
  <c r="AB189" i="63"/>
  <c r="AB197" i="63"/>
  <c r="Q197" i="65" s="1"/>
  <c r="O179" i="63"/>
  <c r="D60" i="63"/>
  <c r="P38" i="63"/>
  <c r="N148" i="63"/>
  <c r="X32" i="63"/>
  <c r="T32" i="65" s="1"/>
  <c r="X116" i="63"/>
  <c r="T116" i="65" s="1"/>
  <c r="H161" i="63"/>
  <c r="S202" i="63"/>
  <c r="C46" i="63"/>
  <c r="U46" i="65" s="1"/>
  <c r="Y144" i="63"/>
  <c r="AD144" i="65" s="1"/>
  <c r="F4" i="63"/>
  <c r="AB33" i="63"/>
  <c r="AB68" i="63"/>
  <c r="F102" i="63"/>
  <c r="F130" i="63"/>
  <c r="AB160" i="63"/>
  <c r="AB195" i="63"/>
  <c r="F228" i="63"/>
  <c r="AB257" i="63"/>
  <c r="AB292" i="63"/>
  <c r="G326" i="63"/>
  <c r="G354" i="63"/>
  <c r="R208" i="63"/>
  <c r="T77" i="63"/>
  <c r="AA77" i="65" s="1"/>
  <c r="Y102" i="63"/>
  <c r="AD102" i="65" s="1"/>
  <c r="T140" i="63"/>
  <c r="AA140" i="65" s="1"/>
  <c r="M165" i="63"/>
  <c r="AB162" i="63"/>
  <c r="Q162" i="65" s="1"/>
  <c r="I101" i="63"/>
  <c r="N101" i="65" s="1"/>
  <c r="K223" i="63"/>
  <c r="Y223" i="65" s="1"/>
  <c r="R229" i="63"/>
  <c r="R236" i="63"/>
  <c r="AB241" i="63"/>
  <c r="Q241" i="65" s="1"/>
  <c r="V117" i="63"/>
  <c r="J117" i="65" s="1"/>
  <c r="G4" i="63"/>
  <c r="AB34" i="63"/>
  <c r="AB69" i="63"/>
  <c r="G102" i="63"/>
  <c r="AB131" i="63"/>
  <c r="AB166" i="63"/>
  <c r="E200" i="63"/>
  <c r="G228" i="63"/>
  <c r="AB258" i="63"/>
  <c r="AB293" i="63"/>
  <c r="E326" i="63"/>
  <c r="AB355" i="63"/>
  <c r="AB10" i="63"/>
  <c r="Q10" i="65" s="1"/>
  <c r="Q19" i="63"/>
  <c r="AB19" i="65" s="1"/>
  <c r="AB25" i="63"/>
  <c r="AB31" i="63"/>
  <c r="Q31" i="65" s="1"/>
  <c r="AB35" i="63"/>
  <c r="Q35" i="65" s="1"/>
  <c r="AB43" i="63"/>
  <c r="Q43" i="65" s="1"/>
  <c r="AB49" i="63"/>
  <c r="K55" i="63"/>
  <c r="Y55" i="65" s="1"/>
  <c r="Q61" i="63"/>
  <c r="AB61" i="65" s="1"/>
  <c r="AB67" i="63"/>
  <c r="AB73" i="63"/>
  <c r="Q73" i="65" s="1"/>
  <c r="AB81" i="63"/>
  <c r="AB87" i="63"/>
  <c r="Q87" i="65" s="1"/>
  <c r="AB91" i="63"/>
  <c r="Q91" i="65" s="1"/>
  <c r="S97" i="63"/>
  <c r="S104" i="63"/>
  <c r="K111" i="63"/>
  <c r="Y111" i="65" s="1"/>
  <c r="R117" i="63"/>
  <c r="AB123" i="63"/>
  <c r="AB129" i="63"/>
  <c r="Q129" i="65" s="1"/>
  <c r="AB135" i="63"/>
  <c r="Q135" i="65" s="1"/>
  <c r="AB142" i="63"/>
  <c r="Q142" i="65" s="1"/>
  <c r="AB147" i="63"/>
  <c r="S153" i="63"/>
  <c r="R159" i="63"/>
  <c r="AB165" i="63"/>
  <c r="Q173" i="63"/>
  <c r="AB173" i="65" s="1"/>
  <c r="AB179" i="63"/>
  <c r="AB185" i="63"/>
  <c r="Q185" i="65" s="1"/>
  <c r="AB190" i="63"/>
  <c r="Q190" i="65" s="1"/>
  <c r="D88" i="63"/>
  <c r="P188" i="63"/>
  <c r="D116" i="63"/>
  <c r="O88" i="63"/>
  <c r="O149" i="63"/>
  <c r="C32" i="63"/>
  <c r="U32" i="65" s="1"/>
  <c r="C116" i="63"/>
  <c r="U116" i="65" s="1"/>
  <c r="H192" i="63"/>
  <c r="AB203" i="63"/>
  <c r="Q203" i="65" s="1"/>
  <c r="K209" i="63"/>
  <c r="Y209" i="65" s="1"/>
  <c r="X18" i="63"/>
  <c r="T18" i="65" s="1"/>
  <c r="R215" i="63"/>
  <c r="R243" i="63"/>
  <c r="Q12" i="63"/>
  <c r="AB12" i="65" s="1"/>
  <c r="E4" i="63"/>
  <c r="AB40" i="63"/>
  <c r="F74" i="63"/>
  <c r="E102" i="63"/>
  <c r="AB132" i="63"/>
  <c r="AB167" i="63"/>
  <c r="F200" i="63"/>
  <c r="AB229" i="63"/>
  <c r="AB264" i="63"/>
  <c r="E298" i="63"/>
  <c r="F326" i="63"/>
  <c r="AB356" i="63"/>
  <c r="M15" i="63"/>
  <c r="R15" i="65" s="1"/>
  <c r="N209" i="63"/>
  <c r="I12" i="63"/>
  <c r="N12" i="65" s="1"/>
  <c r="S223" i="63"/>
  <c r="AB6" i="63"/>
  <c r="AB41" i="63"/>
  <c r="G74" i="63"/>
  <c r="AB103" i="63"/>
  <c r="AB138" i="63"/>
  <c r="G172" i="63"/>
  <c r="G200" i="63"/>
  <c r="AB230" i="63"/>
  <c r="AB265" i="63"/>
  <c r="G298" i="63"/>
  <c r="AB327" i="63"/>
  <c r="AB362" i="63"/>
  <c r="AB11" i="63"/>
  <c r="R19" i="63"/>
  <c r="Q26" i="63"/>
  <c r="AB26" i="65" s="1"/>
  <c r="Y32" i="63"/>
  <c r="AD32" i="65" s="1"/>
  <c r="AB36" i="63"/>
  <c r="Q36" i="65" s="1"/>
  <c r="AB44" i="63"/>
  <c r="Q44" i="65" s="1"/>
  <c r="AB50" i="63"/>
  <c r="Q50" i="65" s="1"/>
  <c r="AB56" i="63"/>
  <c r="Q56" i="65" s="1"/>
  <c r="R61" i="63"/>
  <c r="Q68" i="63"/>
  <c r="AB68" i="65" s="1"/>
  <c r="AB74" i="63"/>
  <c r="Q82" i="63"/>
  <c r="AB82" i="65" s="1"/>
  <c r="Y88" i="63"/>
  <c r="AD88" i="65" s="1"/>
  <c r="AB92" i="63"/>
  <c r="Q92" i="65" s="1"/>
  <c r="AB98" i="63"/>
  <c r="Q98" i="65" s="1"/>
  <c r="AB105" i="63"/>
  <c r="Q105" i="65" s="1"/>
  <c r="S111" i="63"/>
  <c r="Q117" i="63"/>
  <c r="AB117" i="65" s="1"/>
  <c r="Q124" i="63"/>
  <c r="AB124" i="65" s="1"/>
  <c r="Y130" i="63"/>
  <c r="AD130" i="65" s="1"/>
  <c r="AB136" i="63"/>
  <c r="Q136" i="65" s="1"/>
  <c r="J142" i="63"/>
  <c r="Y142" i="65" s="1"/>
  <c r="AB148" i="63"/>
  <c r="Q148" i="65" s="1"/>
  <c r="AB154" i="63"/>
  <c r="K160" i="63"/>
  <c r="Y160" i="65" s="1"/>
  <c r="R166" i="63"/>
  <c r="R173" i="63"/>
  <c r="Q180" i="63"/>
  <c r="AB180" i="65" s="1"/>
  <c r="Y186" i="63"/>
  <c r="AD186" i="65" s="1"/>
  <c r="AB191" i="63"/>
  <c r="Q191" i="65" s="1"/>
  <c r="AB198" i="63"/>
  <c r="Q198" i="65" s="1"/>
  <c r="N87" i="63"/>
  <c r="X158" i="63"/>
  <c r="T158" i="65" s="1"/>
  <c r="P97" i="63"/>
  <c r="R97" i="65" s="1"/>
  <c r="N56" i="63"/>
  <c r="X186" i="63"/>
  <c r="T186" i="65" s="1"/>
  <c r="AB204" i="63"/>
  <c r="Q204" i="65" s="1"/>
  <c r="K41" i="63"/>
  <c r="Y41" i="65" s="1"/>
  <c r="K76" i="63"/>
  <c r="Y76" i="65" s="1"/>
  <c r="C102" i="63"/>
  <c r="U102" i="65" s="1"/>
  <c r="K132" i="63"/>
  <c r="Y132" i="65" s="1"/>
  <c r="X74" i="63"/>
  <c r="T74" i="65" s="1"/>
  <c r="AB213" i="63"/>
  <c r="Q213" i="65" s="1"/>
  <c r="T182" i="63"/>
  <c r="AA182" i="65" s="1"/>
  <c r="AB214" i="63"/>
  <c r="K216" i="63"/>
  <c r="Y216" i="65" s="1"/>
  <c r="AA243" i="63"/>
  <c r="R243" i="65" s="1"/>
  <c r="S251" i="63"/>
  <c r="AB12" i="63"/>
  <c r="E46" i="63"/>
  <c r="E74" i="63"/>
  <c r="AB104" i="63"/>
  <c r="AB139" i="63"/>
  <c r="F172" i="63"/>
  <c r="AB201" i="63"/>
  <c r="AB236" i="63"/>
  <c r="F270" i="63"/>
  <c r="F298" i="63"/>
  <c r="AB328" i="63"/>
  <c r="AB363" i="63"/>
  <c r="R40" i="63"/>
  <c r="P219" i="63"/>
  <c r="W223" i="63"/>
  <c r="J223" i="65" s="1"/>
  <c r="AB231" i="63"/>
  <c r="S237" i="63"/>
  <c r="N240" i="63"/>
  <c r="V148" i="63"/>
  <c r="J148" i="65" s="1"/>
  <c r="AB13" i="63"/>
  <c r="F46" i="63"/>
  <c r="AB75" i="63"/>
  <c r="AB110" i="63"/>
  <c r="E144" i="63"/>
  <c r="E172" i="63"/>
  <c r="AB202" i="63"/>
  <c r="AB237" i="63"/>
  <c r="G270" i="63"/>
  <c r="AB299" i="63"/>
  <c r="AB334" i="63"/>
  <c r="R5" i="63"/>
  <c r="S13" i="63"/>
  <c r="K20" i="63"/>
  <c r="Y20" i="65" s="1"/>
  <c r="R26" i="63"/>
  <c r="AB32" i="63"/>
  <c r="AB37" i="63"/>
  <c r="Q37" i="65" s="1"/>
  <c r="AB45" i="63"/>
  <c r="Q45" i="65" s="1"/>
  <c r="AB51" i="63"/>
  <c r="Q51" i="65" s="1"/>
  <c r="AB57" i="63"/>
  <c r="Q57" i="65" s="1"/>
  <c r="S62" i="63"/>
  <c r="R68" i="63"/>
  <c r="R75" i="63"/>
  <c r="R82" i="63"/>
  <c r="X88" i="63"/>
  <c r="T88" i="65" s="1"/>
  <c r="AB93" i="63"/>
  <c r="Q93" i="65" s="1"/>
  <c r="T98" i="63"/>
  <c r="AA98" i="65" s="1"/>
  <c r="AB106" i="63"/>
  <c r="Q106" i="65" s="1"/>
  <c r="AB112" i="63"/>
  <c r="K118" i="63"/>
  <c r="Y118" i="65" s="1"/>
  <c r="R124" i="63"/>
  <c r="AB130" i="63"/>
  <c r="AB137" i="63"/>
  <c r="AB143" i="63"/>
  <c r="Q143" i="65" s="1"/>
  <c r="AB149" i="63"/>
  <c r="Q149" i="65" s="1"/>
  <c r="AB155" i="63"/>
  <c r="Q155" i="65" s="1"/>
  <c r="S160" i="63"/>
  <c r="S167" i="63"/>
  <c r="K174" i="63"/>
  <c r="Y174" i="65" s="1"/>
  <c r="R180" i="63"/>
  <c r="AB186" i="63"/>
  <c r="AB192" i="63"/>
  <c r="Q192" i="65" s="1"/>
  <c r="D158" i="63"/>
  <c r="O29" i="63"/>
  <c r="C158" i="63"/>
  <c r="U158" i="65" s="1"/>
  <c r="O118" i="63"/>
  <c r="N117" i="63"/>
  <c r="C186" i="63"/>
  <c r="U186" i="65" s="1"/>
  <c r="X130" i="63"/>
  <c r="T130" i="65" s="1"/>
  <c r="H131" i="63"/>
  <c r="AB205" i="63"/>
  <c r="Q205" i="65" s="1"/>
  <c r="Y18" i="63"/>
  <c r="AD18" i="65" s="1"/>
  <c r="Y74" i="63"/>
  <c r="AD74" i="65" s="1"/>
  <c r="C214" i="63"/>
  <c r="U214" i="65" s="1"/>
  <c r="S216" i="63"/>
  <c r="F18" i="63"/>
  <c r="G46" i="63"/>
  <c r="AB76" i="63"/>
  <c r="AB111" i="63"/>
  <c r="F144" i="63"/>
  <c r="AB173" i="63"/>
  <c r="AB208" i="63"/>
  <c r="G242" i="63"/>
  <c r="E270" i="63"/>
  <c r="AB300" i="63"/>
  <c r="AB335" i="63"/>
  <c r="K104" i="63"/>
  <c r="Y104" i="65" s="1"/>
  <c r="X46" i="63"/>
  <c r="T46" i="65" s="1"/>
  <c r="AA212" i="63"/>
  <c r="R212" i="65" s="1"/>
  <c r="Y172" i="63"/>
  <c r="AD172" i="65" s="1"/>
  <c r="K167" i="63"/>
  <c r="Y167" i="65" s="1"/>
  <c r="I40" i="63"/>
  <c r="N40" i="65" s="1"/>
  <c r="AB219" i="63"/>
  <c r="Q219" i="65" s="1"/>
  <c r="H223" i="63"/>
  <c r="AB232" i="63"/>
  <c r="Q232" i="65" s="1"/>
  <c r="AB238" i="63"/>
  <c r="V56" i="63"/>
  <c r="J56" i="65" s="1"/>
  <c r="AB247" i="63"/>
  <c r="Q247" i="65" s="1"/>
  <c r="E18" i="63"/>
  <c r="AB47" i="63"/>
  <c r="AB82" i="63"/>
  <c r="E116" i="63"/>
  <c r="G144" i="63"/>
  <c r="AB174" i="63"/>
  <c r="AB209" i="63"/>
  <c r="E242" i="63"/>
  <c r="AB271" i="63"/>
  <c r="AB306" i="63"/>
  <c r="F340" i="63"/>
  <c r="AB4" i="63"/>
  <c r="AB14" i="63"/>
  <c r="Q14" i="65" s="1"/>
  <c r="S20" i="63"/>
  <c r="K27" i="63"/>
  <c r="Y27" i="65" s="1"/>
  <c r="Q33" i="63"/>
  <c r="AB33" i="65" s="1"/>
  <c r="AB38" i="63"/>
  <c r="Q38" i="65" s="1"/>
  <c r="AB46" i="63"/>
  <c r="AB52" i="63"/>
  <c r="Q52" i="65" s="1"/>
  <c r="AB58" i="63"/>
  <c r="Q58" i="65" s="1"/>
  <c r="K62" i="63"/>
  <c r="Y62" i="65" s="1"/>
  <c r="K69" i="63"/>
  <c r="Y69" i="65" s="1"/>
  <c r="S76" i="63"/>
  <c r="K83" i="63"/>
  <c r="Y83" i="65" s="1"/>
  <c r="AB88" i="63"/>
  <c r="AB94" i="63"/>
  <c r="Q94" i="65" s="1"/>
  <c r="AB99" i="63"/>
  <c r="Q99" i="65" s="1"/>
  <c r="AB107" i="63"/>
  <c r="Q107" i="65" s="1"/>
  <c r="AB113" i="63"/>
  <c r="Q113" i="65" s="1"/>
  <c r="S118" i="63"/>
  <c r="K125" i="63"/>
  <c r="Y125" i="65" s="1"/>
  <c r="W131" i="63"/>
  <c r="J131" i="65" s="1"/>
  <c r="R138" i="63"/>
  <c r="AB144" i="63"/>
  <c r="AB150" i="63"/>
  <c r="Q150" i="65" s="1"/>
  <c r="AB156" i="63"/>
  <c r="Q156" i="65" s="1"/>
  <c r="AB161" i="63"/>
  <c r="Q161" i="65" s="1"/>
  <c r="AB168" i="63"/>
  <c r="Q168" i="65" s="1"/>
  <c r="S174" i="63"/>
  <c r="K181" i="63"/>
  <c r="Y181" i="65" s="1"/>
  <c r="Q187" i="63"/>
  <c r="AB187" i="65" s="1"/>
  <c r="W192" i="63"/>
  <c r="J192" i="65" s="1"/>
  <c r="D130" i="63"/>
  <c r="P66" i="63"/>
  <c r="P158" i="63"/>
  <c r="O57" i="63"/>
  <c r="N28" i="63"/>
  <c r="C130" i="63"/>
  <c r="U130" i="65" s="1"/>
  <c r="C88" i="63"/>
  <c r="U88" i="65" s="1"/>
  <c r="AB206" i="63"/>
  <c r="Q206" i="65" s="1"/>
  <c r="S209" i="63"/>
  <c r="T56" i="63"/>
  <c r="AA56" i="65" s="1"/>
  <c r="AB212" i="63"/>
  <c r="Q212" i="65" s="1"/>
  <c r="D214" i="63"/>
  <c r="AB217" i="63"/>
  <c r="Q217" i="65" s="1"/>
  <c r="C242" i="63"/>
  <c r="U242" i="65" s="1"/>
  <c r="S244" i="63"/>
  <c r="Q103" i="63"/>
  <c r="AB103" i="65" s="1"/>
  <c r="AB252" i="63"/>
  <c r="AB259" i="63"/>
  <c r="K265" i="63"/>
  <c r="Y265" i="65" s="1"/>
  <c r="C270" i="63"/>
  <c r="U270" i="65" s="1"/>
  <c r="S272" i="63"/>
  <c r="G18" i="63"/>
  <c r="AB48" i="63"/>
  <c r="AB83" i="63"/>
  <c r="F116" i="63"/>
  <c r="AB145" i="63"/>
  <c r="AB180" i="63"/>
  <c r="E214" i="63"/>
  <c r="F242" i="63"/>
  <c r="AB272" i="63"/>
  <c r="AB307" i="63"/>
  <c r="E340" i="63"/>
  <c r="C18" i="63"/>
  <c r="U18" i="65" s="1"/>
  <c r="C74" i="63"/>
  <c r="U74" i="65" s="1"/>
  <c r="U158" i="63"/>
  <c r="AC158" i="65" s="1"/>
  <c r="AB220" i="63"/>
  <c r="Q220" i="65" s="1"/>
  <c r="AB19" i="63"/>
  <c r="AB54" i="63"/>
  <c r="E88" i="63"/>
  <c r="G116" i="63"/>
  <c r="AB146" i="63"/>
  <c r="AB181" i="63"/>
  <c r="G214" i="63"/>
  <c r="AB243" i="63"/>
  <c r="AB278" i="63"/>
  <c r="E312" i="63"/>
  <c r="G340" i="63"/>
  <c r="S6" i="63"/>
  <c r="AB15" i="63"/>
  <c r="Q15" i="65" s="1"/>
  <c r="AB21" i="63"/>
  <c r="Q21" i="65" s="1"/>
  <c r="S27" i="63"/>
  <c r="R33" i="63"/>
  <c r="AB39" i="63"/>
  <c r="Q47" i="63"/>
  <c r="AB47" i="65" s="1"/>
  <c r="AB53" i="63"/>
  <c r="AB59" i="63"/>
  <c r="Q59" i="65" s="1"/>
  <c r="AB63" i="63"/>
  <c r="Q63" i="65" s="1"/>
  <c r="S69" i="63"/>
  <c r="AB77" i="63"/>
  <c r="Q77" i="65" s="1"/>
  <c r="S83" i="63"/>
  <c r="Q89" i="63"/>
  <c r="AB89" i="65" s="1"/>
  <c r="AB95" i="63"/>
  <c r="AB100" i="63"/>
  <c r="Q100" i="65" s="1"/>
  <c r="AB108" i="63"/>
  <c r="Q108" i="65" s="1"/>
  <c r="AB114" i="63"/>
  <c r="Q114" i="65" s="1"/>
  <c r="AB119" i="63"/>
  <c r="Q119" i="65" s="1"/>
  <c r="S125" i="63"/>
  <c r="R131" i="63"/>
  <c r="S139" i="63"/>
  <c r="Q145" i="63"/>
  <c r="AB145" i="65" s="1"/>
  <c r="AB151" i="63"/>
  <c r="AB157" i="63"/>
  <c r="Q157" i="65" s="1"/>
  <c r="W161" i="63"/>
  <c r="J161" i="65" s="1"/>
  <c r="AB169" i="63"/>
  <c r="Q169" i="65" s="1"/>
  <c r="AB175" i="63"/>
  <c r="Q175" i="65" s="1"/>
  <c r="S181" i="63"/>
  <c r="R187" i="63"/>
  <c r="R194" i="63"/>
  <c r="P127" i="63"/>
  <c r="R127" i="65" s="1"/>
  <c r="D186" i="63"/>
  <c r="AA90" i="63"/>
  <c r="R90" i="65" s="1"/>
  <c r="H39" i="63"/>
  <c r="AA120" i="63"/>
  <c r="R120" i="65" s="1"/>
  <c r="C60" i="63"/>
  <c r="U60" i="65" s="1"/>
  <c r="H70" i="63"/>
  <c r="Q201" i="63"/>
  <c r="AB201" i="65" s="1"/>
  <c r="AB207" i="63"/>
  <c r="M43" i="63"/>
  <c r="C144" i="63"/>
  <c r="U144" i="65" s="1"/>
  <c r="C172" i="63"/>
  <c r="U172" i="65" s="1"/>
  <c r="X214" i="63"/>
  <c r="T214" i="65" s="1"/>
  <c r="I132" i="63"/>
  <c r="N132" i="65" s="1"/>
  <c r="AB20" i="63"/>
  <c r="AB55" i="63"/>
  <c r="F88" i="63"/>
  <c r="AB117" i="63"/>
  <c r="AB152" i="63"/>
  <c r="F186" i="63"/>
  <c r="F214" i="63"/>
  <c r="AB244" i="63"/>
  <c r="AB279" i="63"/>
  <c r="F312" i="63"/>
  <c r="AB341" i="63"/>
  <c r="AB211" i="63"/>
  <c r="Q211" i="65" s="1"/>
  <c r="AB101" i="63"/>
  <c r="Q101" i="65" s="1"/>
  <c r="Y214" i="63"/>
  <c r="AD214" i="65" s="1"/>
  <c r="I71" i="63"/>
  <c r="N71" i="65" s="1"/>
  <c r="AB221" i="63"/>
  <c r="AB26" i="63"/>
  <c r="F60" i="63"/>
  <c r="G88" i="63"/>
  <c r="AB118" i="63"/>
  <c r="AB153" i="63"/>
  <c r="E186" i="63"/>
  <c r="AB215" i="63"/>
  <c r="AB250" i="63"/>
  <c r="E284" i="63"/>
  <c r="G312" i="63"/>
  <c r="AB342" i="63"/>
  <c r="AB7" i="63"/>
  <c r="AB16" i="63"/>
  <c r="Q16" i="65" s="1"/>
  <c r="AB22" i="63"/>
  <c r="Q22" i="65" s="1"/>
  <c r="AB28" i="63"/>
  <c r="Q28" i="65" s="1"/>
  <c r="K34" i="63"/>
  <c r="Y34" i="65" s="1"/>
  <c r="W39" i="63"/>
  <c r="J39" i="65" s="1"/>
  <c r="R47" i="63"/>
  <c r="Q54" i="63"/>
  <c r="AB54" i="65" s="1"/>
  <c r="Y60" i="63"/>
  <c r="AD60" i="65" s="1"/>
  <c r="AB64" i="63"/>
  <c r="Q64" i="65" s="1"/>
  <c r="W70" i="63"/>
  <c r="J70" i="65" s="1"/>
  <c r="AB78" i="63"/>
  <c r="Q78" i="65" s="1"/>
  <c r="AB84" i="63"/>
  <c r="Q84" i="65" s="1"/>
  <c r="R89" i="63"/>
  <c r="Q96" i="63"/>
  <c r="AB96" i="65" s="1"/>
  <c r="W100" i="63"/>
  <c r="J100" i="65" s="1"/>
  <c r="AB109" i="63"/>
  <c r="AB115" i="63"/>
  <c r="Q115" i="65" s="1"/>
  <c r="AB120" i="63"/>
  <c r="Q120" i="65" s="1"/>
  <c r="AB126" i="63"/>
  <c r="Q126" i="65" s="1"/>
  <c r="Q131" i="63"/>
  <c r="AB131" i="65" s="1"/>
  <c r="K139" i="63"/>
  <c r="Y139" i="65" s="1"/>
  <c r="R145" i="63"/>
  <c r="Q152" i="63"/>
  <c r="AB152" i="65" s="1"/>
  <c r="Y158" i="63"/>
  <c r="AD158" i="65" s="1"/>
  <c r="T161" i="63"/>
  <c r="AA161" i="65" s="1"/>
  <c r="AB170" i="63"/>
  <c r="Q170" i="65" s="1"/>
  <c r="AB176" i="63"/>
  <c r="Q176" i="65" s="1"/>
  <c r="AB182" i="63"/>
  <c r="K188" i="63"/>
  <c r="Y188" i="65" s="1"/>
  <c r="S195" i="63"/>
  <c r="AA181" i="63"/>
  <c r="R181" i="65" s="1"/>
  <c r="AA31" i="63"/>
  <c r="R31" i="65" s="1"/>
  <c r="L142" i="63"/>
  <c r="N178" i="63"/>
  <c r="H100" i="63"/>
  <c r="AB200" i="63"/>
  <c r="R201" i="63"/>
  <c r="Q208" i="63"/>
  <c r="AB208" i="65" s="1"/>
  <c r="AB210" i="63"/>
  <c r="Q210" i="65" s="1"/>
  <c r="O210" i="63"/>
  <c r="Q215" i="63"/>
  <c r="AB215" i="65" s="1"/>
  <c r="AB27" i="63"/>
  <c r="G60" i="63"/>
  <c r="AB89" i="63"/>
  <c r="AB124" i="63"/>
  <c r="G158" i="63"/>
  <c r="G186" i="63"/>
  <c r="AB216" i="63"/>
  <c r="AB251" i="63"/>
  <c r="F284" i="63"/>
  <c r="AB313" i="63"/>
  <c r="AB348" i="63"/>
  <c r="K13" i="63"/>
  <c r="Y13" i="65" s="1"/>
  <c r="Y46" i="63"/>
  <c r="AD46" i="65" s="1"/>
  <c r="M104" i="63"/>
  <c r="M135" i="63"/>
  <c r="S132" i="63"/>
  <c r="X102" i="63"/>
  <c r="T102" i="65" s="1"/>
  <c r="Q222" i="63"/>
  <c r="AB222" i="65" s="1"/>
  <c r="AB227" i="63"/>
  <c r="Q227" i="65" s="1"/>
  <c r="AB235" i="63"/>
  <c r="E32" i="63"/>
  <c r="E60" i="63"/>
  <c r="AB90" i="63"/>
  <c r="AB125" i="63"/>
  <c r="E158" i="63"/>
  <c r="AB187" i="63"/>
  <c r="AB222" i="63"/>
  <c r="G256" i="63"/>
  <c r="G284" i="63"/>
  <c r="AB314" i="63"/>
  <c r="AB349" i="63"/>
  <c r="AB8" i="63"/>
  <c r="Q8" i="65" s="1"/>
  <c r="AB17" i="63"/>
  <c r="Q17" i="65" s="1"/>
  <c r="AB23" i="63"/>
  <c r="Q23" i="65" s="1"/>
  <c r="AB29" i="63"/>
  <c r="Q29" i="65" s="1"/>
  <c r="S34" i="63"/>
  <c r="S41" i="63"/>
  <c r="K48" i="63"/>
  <c r="Y48" i="65" s="1"/>
  <c r="R54" i="63"/>
  <c r="X60" i="63"/>
  <c r="T60" i="65" s="1"/>
  <c r="AB65" i="63"/>
  <c r="Q65" i="65" s="1"/>
  <c r="AB70" i="63"/>
  <c r="Q70" i="65" s="1"/>
  <c r="AB79" i="63"/>
  <c r="Q79" i="65" s="1"/>
  <c r="AB85" i="63"/>
  <c r="Q85" i="65" s="1"/>
  <c r="S90" i="63"/>
  <c r="R96" i="63"/>
  <c r="AB102" i="63"/>
  <c r="Q110" i="63"/>
  <c r="AB110" i="65" s="1"/>
  <c r="Y116" i="63"/>
  <c r="AD116" i="65" s="1"/>
  <c r="AB121" i="63"/>
  <c r="Q121" i="65" s="1"/>
  <c r="AB127" i="63"/>
  <c r="Q127" i="65" s="1"/>
  <c r="AB133" i="63"/>
  <c r="Q133" i="65" s="1"/>
  <c r="AB140" i="63"/>
  <c r="K146" i="63"/>
  <c r="Y146" i="65" s="1"/>
  <c r="R152" i="63"/>
  <c r="AB158" i="63"/>
  <c r="AB163" i="63"/>
  <c r="Q163" i="65" s="1"/>
  <c r="AB171" i="63"/>
  <c r="Q171" i="65" s="1"/>
  <c r="AB177" i="63"/>
  <c r="Q177" i="65" s="1"/>
  <c r="AB183" i="63"/>
  <c r="Q183" i="65" s="1"/>
  <c r="S188" i="63"/>
  <c r="AB196" i="63"/>
  <c r="Q196" i="65" s="1"/>
  <c r="AA59" i="63"/>
  <c r="R59" i="65" s="1"/>
  <c r="AB199" i="63"/>
  <c r="Q199" i="65" s="1"/>
  <c r="AA151" i="63"/>
  <c r="R151" i="65" s="1"/>
  <c r="D32" i="63"/>
  <c r="K202" i="63"/>
  <c r="Y202" i="65" s="1"/>
  <c r="R12" i="63"/>
  <c r="M74" i="63"/>
  <c r="AB71" i="63"/>
  <c r="Q71" i="65" s="1"/>
  <c r="T119" i="63"/>
  <c r="AA119" i="65" s="1"/>
  <c r="X144" i="63"/>
  <c r="T144" i="65" s="1"/>
  <c r="X172" i="63"/>
  <c r="T172" i="65" s="1"/>
  <c r="Q40" i="63"/>
  <c r="AB40" i="65" s="1"/>
  <c r="Q250" i="63"/>
  <c r="AB250" i="65" s="1"/>
  <c r="Q257" i="63"/>
  <c r="AB257" i="65" s="1"/>
  <c r="Z212" i="63"/>
  <c r="P212" i="65" s="1"/>
  <c r="R285" i="63"/>
  <c r="AB287" i="63"/>
  <c r="Q287" i="65" s="1"/>
  <c r="R278" i="63"/>
  <c r="K272" i="63"/>
  <c r="Y272" i="65" s="1"/>
  <c r="D270" i="63"/>
  <c r="Q264" i="63"/>
  <c r="AB264" i="65" s="1"/>
  <c r="T245" i="63"/>
  <c r="AA245" i="65" s="1"/>
  <c r="D74" i="63"/>
  <c r="B2" i="63"/>
  <c r="C4" i="63"/>
  <c r="U4" i="65" s="1"/>
  <c r="T14" i="63"/>
  <c r="AA14" i="65" s="1"/>
  <c r="C326" i="63"/>
  <c r="U326" i="65" s="1"/>
  <c r="AB366" i="63"/>
  <c r="Q366" i="65" s="1"/>
  <c r="AB360" i="63"/>
  <c r="Q360" i="65" s="1"/>
  <c r="AB351" i="63"/>
  <c r="Q351" i="65" s="1"/>
  <c r="AB346" i="63"/>
  <c r="Q346" i="65" s="1"/>
  <c r="R341" i="63"/>
  <c r="Y340" i="63"/>
  <c r="AD340" i="65" s="1"/>
  <c r="R334" i="63"/>
  <c r="AB329" i="63"/>
  <c r="Q329" i="65" s="1"/>
  <c r="AB324" i="63"/>
  <c r="Q324" i="65" s="1"/>
  <c r="AB316" i="63"/>
  <c r="Q316" i="65" s="1"/>
  <c r="X312" i="63"/>
  <c r="T312" i="65" s="1"/>
  <c r="AB309" i="63"/>
  <c r="Q309" i="65" s="1"/>
  <c r="AA304" i="63"/>
  <c r="R304" i="65" s="1"/>
  <c r="S300" i="63"/>
  <c r="K293" i="63"/>
  <c r="Y293" i="65" s="1"/>
  <c r="Y284" i="63"/>
  <c r="AD284" i="65" s="1"/>
  <c r="AB263" i="63"/>
  <c r="W253" i="63"/>
  <c r="J253" i="65" s="1"/>
  <c r="AB248" i="63"/>
  <c r="Q248" i="65" s="1"/>
  <c r="O241" i="63"/>
  <c r="AB233" i="63"/>
  <c r="Q233" i="65" s="1"/>
  <c r="D256" i="63"/>
  <c r="I254" i="63"/>
  <c r="N254" i="65" s="1"/>
  <c r="U248" i="63"/>
  <c r="AC248" i="65" s="1"/>
  <c r="AB3" i="63"/>
  <c r="Q3" i="65" s="1"/>
  <c r="AB254" i="63"/>
  <c r="Q254" i="65" s="1"/>
  <c r="C200" i="63"/>
  <c r="U200" i="65" s="1"/>
  <c r="S286" i="63"/>
  <c r="Q278" i="63"/>
  <c r="AB278" i="65" s="1"/>
  <c r="O271" i="63"/>
  <c r="R271" i="65" s="1"/>
  <c r="Y270" i="63"/>
  <c r="AD270" i="65" s="1"/>
  <c r="V178" i="63"/>
  <c r="J178" i="65" s="1"/>
  <c r="Q75" i="63"/>
  <c r="AB75" i="65" s="1"/>
  <c r="K244" i="63"/>
  <c r="Y244" i="65" s="1"/>
  <c r="Y326" i="63"/>
  <c r="AD326" i="65" s="1"/>
  <c r="K286" i="63"/>
  <c r="Y286" i="65" s="1"/>
  <c r="AB365" i="63"/>
  <c r="Q365" i="65" s="1"/>
  <c r="AB359" i="63"/>
  <c r="Q359" i="65" s="1"/>
  <c r="X354" i="63"/>
  <c r="T354" i="65" s="1"/>
  <c r="AB350" i="63"/>
  <c r="Q350" i="65" s="1"/>
  <c r="AB345" i="63"/>
  <c r="Q345" i="65" s="1"/>
  <c r="Q341" i="63"/>
  <c r="AB341" i="65" s="1"/>
  <c r="AB339" i="63"/>
  <c r="Q339" i="65" s="1"/>
  <c r="Q334" i="63"/>
  <c r="AB334" i="65" s="1"/>
  <c r="S328" i="63"/>
  <c r="AB323" i="63"/>
  <c r="Q323" i="65" s="1"/>
  <c r="K314" i="63"/>
  <c r="Y314" i="65" s="1"/>
  <c r="D312" i="63"/>
  <c r="AB308" i="63"/>
  <c r="AB304" i="63"/>
  <c r="Q304" i="65" s="1"/>
  <c r="R299" i="63"/>
  <c r="S293" i="63"/>
  <c r="AB283" i="63"/>
  <c r="Q283" i="65" s="1"/>
  <c r="AB269" i="63"/>
  <c r="Q269" i="65" s="1"/>
  <c r="AB262" i="63"/>
  <c r="Q262" i="65" s="1"/>
  <c r="AB253" i="63"/>
  <c r="Q253" i="65" s="1"/>
  <c r="S230" i="63"/>
  <c r="D326" i="63"/>
  <c r="V270" i="63"/>
  <c r="J270" i="65" s="1"/>
  <c r="I285" i="63"/>
  <c r="N285" i="65" s="1"/>
  <c r="AB193" i="63"/>
  <c r="AB277" i="63"/>
  <c r="R271" i="63"/>
  <c r="Q243" i="63"/>
  <c r="AB243" i="65" s="1"/>
  <c r="D18" i="63"/>
  <c r="X4" i="63"/>
  <c r="T4" i="65" s="1"/>
  <c r="X200" i="63"/>
  <c r="T200" i="65" s="1"/>
  <c r="T329" i="63"/>
  <c r="AA329" i="65" s="1"/>
  <c r="AB315" i="63"/>
  <c r="AB364" i="63"/>
  <c r="Q364" i="65" s="1"/>
  <c r="AB358" i="63"/>
  <c r="Q358" i="65" s="1"/>
  <c r="D354" i="63"/>
  <c r="T350" i="63"/>
  <c r="AA350" i="65" s="1"/>
  <c r="H345" i="63"/>
  <c r="N345" i="65" s="1"/>
  <c r="P341" i="63"/>
  <c r="AB338" i="63"/>
  <c r="Q338" i="65" s="1"/>
  <c r="AB333" i="63"/>
  <c r="K328" i="63"/>
  <c r="Y328" i="65" s="1"/>
  <c r="AB322" i="63"/>
  <c r="W314" i="63"/>
  <c r="J314" i="65" s="1"/>
  <c r="C312" i="63"/>
  <c r="U312" i="65" s="1"/>
  <c r="T308" i="63"/>
  <c r="AA308" i="65" s="1"/>
  <c r="AB303" i="63"/>
  <c r="Q303" i="65" s="1"/>
  <c r="Q299" i="63"/>
  <c r="AB299" i="65" s="1"/>
  <c r="R292" i="63"/>
  <c r="AB282" i="63"/>
  <c r="Q282" i="65" s="1"/>
  <c r="Q271" i="63"/>
  <c r="AB271" i="65" s="1"/>
  <c r="AB268" i="63"/>
  <c r="Q268" i="65" s="1"/>
  <c r="AB261" i="63"/>
  <c r="Q261" i="65" s="1"/>
  <c r="H253" i="63"/>
  <c r="D102" i="63"/>
  <c r="I315" i="63"/>
  <c r="N315" i="65" s="1"/>
  <c r="Z31" i="63"/>
  <c r="P31" i="65" s="1"/>
  <c r="Y4" i="63"/>
  <c r="AD4" i="65" s="1"/>
  <c r="X298" i="63"/>
  <c r="T298" i="65" s="1"/>
  <c r="X326" i="63"/>
  <c r="T326" i="65" s="1"/>
  <c r="Y298" i="63"/>
  <c r="AD298" i="65" s="1"/>
  <c r="C228" i="63"/>
  <c r="U228" i="65" s="1"/>
  <c r="X284" i="63"/>
  <c r="T284" i="65" s="1"/>
  <c r="AB276" i="63"/>
  <c r="Q276" i="65" s="1"/>
  <c r="Q5" i="63"/>
  <c r="AB5" i="65" s="1"/>
  <c r="AB226" i="63"/>
  <c r="Q226" i="65" s="1"/>
  <c r="C298" i="63"/>
  <c r="U298" i="65" s="1"/>
  <c r="K363" i="63"/>
  <c r="Y363" i="65" s="1"/>
  <c r="AB357" i="63"/>
  <c r="Q357" i="65" s="1"/>
  <c r="AB354" i="63"/>
  <c r="S349" i="63"/>
  <c r="W345" i="63"/>
  <c r="J345" i="65" s="1"/>
  <c r="AB337" i="63"/>
  <c r="Q337" i="65" s="1"/>
  <c r="O332" i="63"/>
  <c r="R327" i="63"/>
  <c r="S321" i="63"/>
  <c r="S314" i="63"/>
  <c r="AB312" i="63"/>
  <c r="S307" i="63"/>
  <c r="O302" i="63"/>
  <c r="AB298" i="63"/>
  <c r="Q292" i="63"/>
  <c r="AB292" i="65" s="1"/>
  <c r="AB281" i="63"/>
  <c r="Q281" i="65" s="1"/>
  <c r="AB275" i="63"/>
  <c r="Q275" i="65" s="1"/>
  <c r="AB270" i="63"/>
  <c r="AB267" i="63"/>
  <c r="Q267" i="65" s="1"/>
  <c r="AB260" i="63"/>
  <c r="Q260" i="65" s="1"/>
  <c r="Q166" i="63"/>
  <c r="AB166" i="65" s="1"/>
  <c r="AB246" i="63"/>
  <c r="Q246" i="65" s="1"/>
  <c r="X242" i="63"/>
  <c r="T242" i="65" s="1"/>
  <c r="H11" i="63"/>
  <c r="D298" i="63"/>
  <c r="I193" i="63"/>
  <c r="N193" i="65" s="1"/>
  <c r="I224" i="63"/>
  <c r="N224" i="65" s="1"/>
  <c r="AB224" i="63"/>
  <c r="K321" i="63"/>
  <c r="Y321" i="65" s="1"/>
  <c r="D284" i="63"/>
  <c r="AB280" i="63"/>
  <c r="K251" i="63"/>
  <c r="Y251" i="65" s="1"/>
  <c r="AB239" i="63"/>
  <c r="Q239" i="65" s="1"/>
  <c r="AB225" i="63"/>
  <c r="Q225" i="65" s="1"/>
  <c r="D144" i="63"/>
  <c r="V209" i="63"/>
  <c r="J209" i="65" s="1"/>
  <c r="P7" i="63"/>
  <c r="R7" i="65" s="1"/>
  <c r="M288" i="63"/>
  <c r="M257" i="63"/>
  <c r="Y256" i="63"/>
  <c r="AD256" i="65" s="1"/>
  <c r="T287" i="63"/>
  <c r="AA287" i="65" s="1"/>
  <c r="S363" i="63"/>
  <c r="S356" i="63"/>
  <c r="Y354" i="63"/>
  <c r="AD354" i="65" s="1"/>
  <c r="K349" i="63"/>
  <c r="Y349" i="65" s="1"/>
  <c r="AB344" i="63"/>
  <c r="Q344" i="65" s="1"/>
  <c r="AB340" i="63"/>
  <c r="AB336" i="63"/>
  <c r="Q336" i="65" s="1"/>
  <c r="AB332" i="63"/>
  <c r="Q332" i="65" s="1"/>
  <c r="Q327" i="63"/>
  <c r="AB327" i="65" s="1"/>
  <c r="R320" i="63"/>
  <c r="H314" i="63"/>
  <c r="Y312" i="63"/>
  <c r="AD312" i="65" s="1"/>
  <c r="K307" i="63"/>
  <c r="Y307" i="65" s="1"/>
  <c r="AB302" i="63"/>
  <c r="Q302" i="65" s="1"/>
  <c r="AB297" i="63"/>
  <c r="Q297" i="65" s="1"/>
  <c r="AB291" i="63"/>
  <c r="W284" i="63"/>
  <c r="J284" i="65" s="1"/>
  <c r="AB274" i="63"/>
  <c r="Q274" i="65" s="1"/>
  <c r="AB266" i="63"/>
  <c r="D242" i="63"/>
  <c r="Q229" i="63"/>
  <c r="AB229" i="65" s="1"/>
  <c r="X256" i="63"/>
  <c r="T256" i="65" s="1"/>
  <c r="K6" i="63"/>
  <c r="Y6" i="65" s="1"/>
  <c r="T203" i="63"/>
  <c r="AA203" i="65" s="1"/>
  <c r="AB290" i="63"/>
  <c r="Q290" i="65" s="1"/>
  <c r="P280" i="63"/>
  <c r="S258" i="63"/>
  <c r="D4" i="63"/>
  <c r="D172" i="63"/>
  <c r="V301" i="63"/>
  <c r="J301" i="65" s="1"/>
  <c r="T266" i="63"/>
  <c r="AA266" i="65" s="1"/>
  <c r="K195" i="63"/>
  <c r="Y195" i="65" s="1"/>
  <c r="R362" i="63"/>
  <c r="K356" i="63"/>
  <c r="Y356" i="65" s="1"/>
  <c r="C354" i="63"/>
  <c r="U354" i="65" s="1"/>
  <c r="R348" i="63"/>
  <c r="AB343" i="63"/>
  <c r="Q343" i="65" s="1"/>
  <c r="X340" i="63"/>
  <c r="T340" i="65" s="1"/>
  <c r="S335" i="63"/>
  <c r="AB331" i="63"/>
  <c r="Q331" i="65" s="1"/>
  <c r="AB326" i="63"/>
  <c r="AB319" i="63"/>
  <c r="R313" i="63"/>
  <c r="P311" i="63"/>
  <c r="Q306" i="63"/>
  <c r="AB306" i="65" s="1"/>
  <c r="N301" i="63"/>
  <c r="AB296" i="63"/>
  <c r="Q296" i="65" s="1"/>
  <c r="H284" i="63"/>
  <c r="AA273" i="63"/>
  <c r="R273" i="65" s="1"/>
  <c r="X270" i="63"/>
  <c r="T270" i="65" s="1"/>
  <c r="P250" i="63"/>
  <c r="AB242" i="63"/>
  <c r="D200" i="63"/>
  <c r="Q285" i="63"/>
  <c r="AB285" i="65" s="1"/>
  <c r="Q320" i="63"/>
  <c r="AB320" i="65" s="1"/>
  <c r="M227" i="63"/>
  <c r="U338" i="63"/>
  <c r="AC338" i="65" s="1"/>
  <c r="Y228" i="63"/>
  <c r="AD228" i="65" s="1"/>
  <c r="K258" i="63"/>
  <c r="Y258" i="65" s="1"/>
  <c r="AB289" i="63"/>
  <c r="Q289" i="65" s="1"/>
  <c r="K279" i="63"/>
  <c r="Y279" i="65" s="1"/>
  <c r="S265" i="63"/>
  <c r="R257" i="63"/>
  <c r="R250" i="63"/>
  <c r="Q138" i="63"/>
  <c r="AB138" i="65" s="1"/>
  <c r="Y242" i="63"/>
  <c r="AD242" i="65" s="1"/>
  <c r="K237" i="63"/>
  <c r="Y237" i="65" s="1"/>
  <c r="V331" i="63"/>
  <c r="J331" i="65" s="1"/>
  <c r="Q194" i="63"/>
  <c r="AB194" i="65" s="1"/>
  <c r="U68" i="63"/>
  <c r="AC68" i="65" s="1"/>
  <c r="M318" i="63"/>
  <c r="C256" i="63"/>
  <c r="U256" i="65" s="1"/>
  <c r="AB368" i="63"/>
  <c r="Q368" i="65" s="1"/>
  <c r="Q362" i="63"/>
  <c r="AB362" i="65" s="1"/>
  <c r="R355" i="63"/>
  <c r="AB353" i="63"/>
  <c r="Q353" i="65" s="1"/>
  <c r="Q348" i="63"/>
  <c r="AB348" i="65" s="1"/>
  <c r="K342" i="63"/>
  <c r="Y342" i="65" s="1"/>
  <c r="D340" i="63"/>
  <c r="K335" i="63"/>
  <c r="Y335" i="65" s="1"/>
  <c r="N331" i="63"/>
  <c r="AB325" i="63"/>
  <c r="Q325" i="65" s="1"/>
  <c r="AB318" i="63"/>
  <c r="Q318" i="65" s="1"/>
  <c r="Q313" i="63"/>
  <c r="AB313" i="65" s="1"/>
  <c r="AB311" i="63"/>
  <c r="Q311" i="65" s="1"/>
  <c r="R306" i="63"/>
  <c r="AB301" i="63"/>
  <c r="Q301" i="65" s="1"/>
  <c r="AB295" i="63"/>
  <c r="Q295" i="65" s="1"/>
  <c r="C284" i="63"/>
  <c r="U284" i="65" s="1"/>
  <c r="AB273" i="63"/>
  <c r="Q273" i="65" s="1"/>
  <c r="V28" i="63"/>
  <c r="J28" i="65" s="1"/>
  <c r="X207" i="65" l="1"/>
  <c r="X81" i="65"/>
  <c r="B11" i="63"/>
  <c r="B11" i="65" s="1"/>
  <c r="B25" i="63"/>
  <c r="B25" i="65" s="1"/>
  <c r="B39" i="63"/>
  <c r="B39" i="65" s="1"/>
  <c r="B53" i="63"/>
  <c r="B53" i="65" s="1"/>
  <c r="B67" i="63"/>
  <c r="B67" i="65" s="1"/>
  <c r="B81" i="63"/>
  <c r="B81" i="65" s="1"/>
  <c r="B95" i="63"/>
  <c r="B95" i="65" s="1"/>
  <c r="B109" i="63"/>
  <c r="B109" i="65" s="1"/>
  <c r="B123" i="63"/>
  <c r="B123" i="65" s="1"/>
  <c r="B137" i="63"/>
  <c r="B137" i="65" s="1"/>
  <c r="B151" i="63"/>
  <c r="B151" i="65" s="1"/>
  <c r="B165" i="63"/>
  <c r="B165" i="65" s="1"/>
  <c r="B179" i="63"/>
  <c r="B179" i="65" s="1"/>
  <c r="B193" i="63"/>
  <c r="B193" i="65" s="1"/>
  <c r="B207" i="63"/>
  <c r="B207" i="65" s="1"/>
  <c r="B221" i="63"/>
  <c r="B221" i="65" s="1"/>
  <c r="B235" i="63"/>
  <c r="B235" i="65" s="1"/>
  <c r="B249" i="63"/>
  <c r="B249" i="65" s="1"/>
  <c r="B263" i="63"/>
  <c r="B263" i="65" s="1"/>
  <c r="B277" i="63"/>
  <c r="B277" i="65" s="1"/>
  <c r="B291" i="63"/>
  <c r="B291" i="65" s="1"/>
  <c r="B305" i="63"/>
  <c r="B305" i="65" s="1"/>
  <c r="B319" i="63"/>
  <c r="B319" i="65" s="1"/>
  <c r="B333" i="63"/>
  <c r="B333" i="65" s="1"/>
  <c r="B347" i="63"/>
  <c r="B347" i="65" s="1"/>
  <c r="B361" i="63"/>
  <c r="B361" i="65" s="1"/>
  <c r="R11" i="65"/>
  <c r="AE361" i="65"/>
  <c r="AD361" i="65"/>
  <c r="D238" i="65"/>
  <c r="K20" i="5" s="1"/>
  <c r="J238" i="65"/>
  <c r="V109" i="65"/>
  <c r="X109" i="65"/>
  <c r="X39" i="65"/>
  <c r="AE235" i="65"/>
  <c r="AD235" i="65"/>
  <c r="X319" i="65"/>
  <c r="D299" i="65"/>
  <c r="M20" i="5" s="1"/>
  <c r="J299" i="65"/>
  <c r="X221" i="65"/>
  <c r="X165" i="65"/>
  <c r="X151" i="65"/>
  <c r="AE137" i="65"/>
  <c r="AD137" i="65"/>
  <c r="N283" i="65"/>
  <c r="J61" i="5"/>
  <c r="K61" i="5"/>
  <c r="R238" i="65"/>
  <c r="AE249" i="65"/>
  <c r="AD249" i="65"/>
  <c r="G190" i="65"/>
  <c r="N190" i="65"/>
  <c r="X11" i="65"/>
  <c r="AE333" i="65"/>
  <c r="AD333" i="65"/>
  <c r="X291" i="65"/>
  <c r="X277" i="65"/>
  <c r="AE165" i="65"/>
  <c r="AD165" i="65"/>
  <c r="AE305" i="65"/>
  <c r="AD305" i="65"/>
  <c r="AE277" i="65"/>
  <c r="AD277" i="65"/>
  <c r="X95" i="65"/>
  <c r="X25" i="65"/>
  <c r="X263" i="65"/>
  <c r="X249" i="65"/>
  <c r="V179" i="65"/>
  <c r="X179" i="65"/>
  <c r="D146" i="65"/>
  <c r="H20" i="5" s="1"/>
  <c r="J146" i="65"/>
  <c r="AE109" i="65"/>
  <c r="AD109" i="65"/>
  <c r="AE81" i="65"/>
  <c r="AD81" i="65"/>
  <c r="AE53" i="65"/>
  <c r="AD53" i="65"/>
  <c r="Q7" i="65"/>
  <c r="X347" i="65"/>
  <c r="X193" i="65"/>
  <c r="AE95" i="65"/>
  <c r="AD95" i="65"/>
  <c r="X53" i="65"/>
  <c r="G7" i="65"/>
  <c r="N7" i="65"/>
  <c r="N252" i="65"/>
  <c r="R41" i="65"/>
  <c r="X361" i="65"/>
  <c r="AE263" i="65"/>
  <c r="AD263" i="65"/>
  <c r="AE193" i="65"/>
  <c r="AD193" i="65"/>
  <c r="AE179" i="65"/>
  <c r="AD179" i="65"/>
  <c r="X137" i="65"/>
  <c r="X67" i="65"/>
  <c r="AE347" i="65"/>
  <c r="AD347" i="65"/>
  <c r="AE319" i="65"/>
  <c r="AD319" i="65"/>
  <c r="X305" i="65"/>
  <c r="AE291" i="65"/>
  <c r="AD291" i="65"/>
  <c r="AE207" i="65"/>
  <c r="AD207" i="65"/>
  <c r="R25" i="65"/>
  <c r="AE221" i="65"/>
  <c r="AD221" i="65"/>
  <c r="X123" i="65"/>
  <c r="AE67" i="65"/>
  <c r="AD67" i="65"/>
  <c r="Q252" i="65"/>
  <c r="Q42" i="65"/>
  <c r="R35" i="65"/>
  <c r="C46" i="5"/>
  <c r="R227" i="65"/>
  <c r="Q315" i="65"/>
  <c r="R26" i="65"/>
  <c r="F96" i="5"/>
  <c r="G96" i="5" s="1"/>
  <c r="H96" i="5" s="1"/>
  <c r="I96" i="5" s="1"/>
  <c r="J96" i="5" s="1"/>
  <c r="K96" i="5" s="1"/>
  <c r="L96" i="5" s="1"/>
  <c r="M96" i="5" s="1"/>
  <c r="N96" i="5" s="1"/>
  <c r="P73" i="5"/>
  <c r="R135" i="65"/>
  <c r="R57" i="65"/>
  <c r="R74" i="65"/>
  <c r="R280" i="65"/>
  <c r="Q39" i="65"/>
  <c r="R226" i="65"/>
  <c r="R302" i="65"/>
  <c r="Q280" i="65"/>
  <c r="Q322" i="65"/>
  <c r="Q238" i="65"/>
  <c r="R179" i="65"/>
  <c r="R38" i="65"/>
  <c r="R332" i="65"/>
  <c r="Q231" i="65"/>
  <c r="Q189" i="65"/>
  <c r="Q112" i="65"/>
  <c r="Q154" i="65"/>
  <c r="Q147" i="65"/>
  <c r="R88" i="65"/>
  <c r="R219" i="65"/>
  <c r="R141" i="65"/>
  <c r="R65" i="65"/>
  <c r="Q32" i="65"/>
  <c r="R80" i="65"/>
  <c r="Q308" i="65"/>
  <c r="Q224" i="65"/>
  <c r="Q140" i="65"/>
  <c r="R29" i="65"/>
  <c r="Q259" i="65"/>
  <c r="R287" i="65"/>
  <c r="Q182" i="65"/>
  <c r="R43" i="65"/>
  <c r="Q266" i="65"/>
  <c r="Q88" i="65"/>
  <c r="R37" i="65"/>
  <c r="Q242" i="65"/>
  <c r="R165" i="65"/>
  <c r="Q109" i="65"/>
  <c r="Q291" i="65"/>
  <c r="N131" i="65"/>
  <c r="R126" i="65"/>
  <c r="X68" i="65"/>
  <c r="X96" i="65"/>
  <c r="X292" i="65"/>
  <c r="X40" i="65"/>
  <c r="AE362" i="65"/>
  <c r="AD362" i="65"/>
  <c r="AE334" i="65"/>
  <c r="AD334" i="65"/>
  <c r="AE320" i="65"/>
  <c r="AD320" i="65"/>
  <c r="AE236" i="65"/>
  <c r="AD236" i="65"/>
  <c r="AE166" i="65"/>
  <c r="AD166" i="65"/>
  <c r="AE68" i="65"/>
  <c r="AD68" i="65"/>
  <c r="V334" i="65"/>
  <c r="X334" i="65"/>
  <c r="X320" i="65"/>
  <c r="AE250" i="65"/>
  <c r="AD250" i="65"/>
  <c r="X194" i="65"/>
  <c r="X152" i="65"/>
  <c r="X110" i="65"/>
  <c r="Q49" i="65"/>
  <c r="AE194" i="65"/>
  <c r="AD194" i="65"/>
  <c r="AE152" i="65"/>
  <c r="AD152" i="65"/>
  <c r="AE110" i="65"/>
  <c r="AD110" i="65"/>
  <c r="Z55" i="65"/>
  <c r="AB55" i="65"/>
  <c r="X26" i="65"/>
  <c r="X362" i="65"/>
  <c r="AE278" i="65"/>
  <c r="AD278" i="65"/>
  <c r="AE264" i="65"/>
  <c r="AD264" i="65"/>
  <c r="X278" i="65"/>
  <c r="X264" i="65"/>
  <c r="X236" i="65"/>
  <c r="X180" i="65"/>
  <c r="X348" i="65"/>
  <c r="AE180" i="65"/>
  <c r="AD180" i="65"/>
  <c r="X138" i="65"/>
  <c r="Z41" i="65"/>
  <c r="AB41" i="65"/>
  <c r="R12" i="65"/>
  <c r="AE292" i="65"/>
  <c r="AD292" i="65"/>
  <c r="B12" i="63"/>
  <c r="B12" i="65" s="1"/>
  <c r="B26" i="63"/>
  <c r="B26" i="65" s="1"/>
  <c r="B40" i="63"/>
  <c r="B40" i="65" s="1"/>
  <c r="B54" i="63"/>
  <c r="B54" i="65" s="1"/>
  <c r="B68" i="63"/>
  <c r="B68" i="65" s="1"/>
  <c r="B82" i="63"/>
  <c r="B82" i="65" s="1"/>
  <c r="B96" i="63"/>
  <c r="B96" i="65" s="1"/>
  <c r="B110" i="63"/>
  <c r="B110" i="65" s="1"/>
  <c r="B124" i="63"/>
  <c r="B124" i="65" s="1"/>
  <c r="B138" i="63"/>
  <c r="B138" i="65" s="1"/>
  <c r="B152" i="63"/>
  <c r="B152" i="65" s="1"/>
  <c r="B166" i="63"/>
  <c r="B166" i="65" s="1"/>
  <c r="B180" i="63"/>
  <c r="B180" i="65" s="1"/>
  <c r="B194" i="63"/>
  <c r="B194" i="65" s="1"/>
  <c r="B208" i="63"/>
  <c r="B208" i="65" s="1"/>
  <c r="B222" i="63"/>
  <c r="B222" i="65" s="1"/>
  <c r="B236" i="63"/>
  <c r="B236" i="65" s="1"/>
  <c r="B250" i="63"/>
  <c r="B250" i="65" s="1"/>
  <c r="B264" i="63"/>
  <c r="B264" i="65" s="1"/>
  <c r="B278" i="63"/>
  <c r="B278" i="65" s="1"/>
  <c r="B292" i="63"/>
  <c r="B292" i="65" s="1"/>
  <c r="B306" i="63"/>
  <c r="B306" i="65" s="1"/>
  <c r="B320" i="63"/>
  <c r="B320" i="65" s="1"/>
  <c r="B334" i="63"/>
  <c r="B334" i="65" s="1"/>
  <c r="B348" i="63"/>
  <c r="B348" i="65" s="1"/>
  <c r="B362" i="63"/>
  <c r="B362" i="65" s="1"/>
  <c r="R6" i="65"/>
  <c r="C60" i="5" s="1"/>
  <c r="AE348" i="65"/>
  <c r="AD348" i="65"/>
  <c r="X222" i="65"/>
  <c r="X166" i="65"/>
  <c r="AE138" i="65"/>
  <c r="AD138" i="65"/>
  <c r="X124" i="65"/>
  <c r="Z76" i="65"/>
  <c r="F49" i="5" s="1"/>
  <c r="AB76" i="65"/>
  <c r="F55" i="5" s="1"/>
  <c r="X54" i="65"/>
  <c r="AE26" i="65"/>
  <c r="AD26" i="65"/>
  <c r="X306" i="65"/>
  <c r="X82" i="65"/>
  <c r="D25" i="65"/>
  <c r="D20" i="5" s="1"/>
  <c r="J25" i="65"/>
  <c r="D72" i="5" s="1"/>
  <c r="D75" i="5" s="1"/>
  <c r="AE12" i="65"/>
  <c r="AD12" i="65"/>
  <c r="AE306" i="65"/>
  <c r="AD306" i="65"/>
  <c r="X250" i="65"/>
  <c r="AE222" i="65"/>
  <c r="AD222" i="65"/>
  <c r="AE208" i="65"/>
  <c r="AD208" i="65"/>
  <c r="AE96" i="65"/>
  <c r="AD96" i="65"/>
  <c r="AE40" i="65"/>
  <c r="AD40" i="65"/>
  <c r="V12" i="65"/>
  <c r="X12" i="65"/>
  <c r="X208" i="65"/>
  <c r="AE124" i="65"/>
  <c r="AD124" i="65"/>
  <c r="R149" i="65"/>
  <c r="R66" i="65"/>
  <c r="R134" i="65"/>
  <c r="R210" i="65"/>
  <c r="R56" i="65"/>
  <c r="Q130" i="65"/>
  <c r="R73" i="65"/>
  <c r="J48" i="5"/>
  <c r="N39" i="65"/>
  <c r="Q25" i="65"/>
  <c r="R288" i="65"/>
  <c r="Q144" i="65"/>
  <c r="Q319" i="65"/>
  <c r="R250" i="65"/>
  <c r="R142" i="65"/>
  <c r="Q4" i="65"/>
  <c r="R116" i="65"/>
  <c r="R14" i="65"/>
  <c r="Q200" i="65"/>
  <c r="R178" i="65"/>
  <c r="R42" i="65"/>
  <c r="Q11" i="65"/>
  <c r="R158" i="65"/>
  <c r="R196" i="65"/>
  <c r="R318" i="65"/>
  <c r="N100" i="65"/>
  <c r="Q277" i="65"/>
  <c r="N47" i="5"/>
  <c r="G48" i="5"/>
  <c r="E47" i="5"/>
  <c r="F47" i="5"/>
  <c r="R104" i="65"/>
  <c r="Q95" i="65"/>
  <c r="R28" i="65"/>
  <c r="R86" i="65"/>
  <c r="C55" i="5"/>
  <c r="R241" i="65"/>
  <c r="Q257" i="65"/>
  <c r="D59" i="5"/>
  <c r="R195" i="65"/>
  <c r="R279" i="65"/>
  <c r="Q151" i="65"/>
  <c r="R55" i="65"/>
  <c r="R117" i="65"/>
  <c r="R147" i="65"/>
  <c r="Q306" i="65"/>
  <c r="N314" i="65"/>
  <c r="N45" i="5" s="1"/>
  <c r="N48" i="5"/>
  <c r="Q263" i="65"/>
  <c r="R256" i="65"/>
  <c r="R208" i="65"/>
  <c r="R310" i="65"/>
  <c r="C67" i="5"/>
  <c r="R341" i="65"/>
  <c r="R87" i="65"/>
  <c r="R269" i="65"/>
  <c r="Q74" i="65"/>
  <c r="Q123" i="65"/>
  <c r="J59" i="5"/>
  <c r="N11" i="65"/>
  <c r="C45" i="5" s="1"/>
  <c r="R301" i="65"/>
  <c r="Q354" i="65"/>
  <c r="Q327" i="65"/>
  <c r="Q179" i="65"/>
  <c r="R218" i="65"/>
  <c r="Q165" i="65"/>
  <c r="Q60" i="65"/>
  <c r="Q333" i="65"/>
  <c r="Q235" i="65"/>
  <c r="R340" i="65"/>
  <c r="Q293" i="65"/>
  <c r="R300" i="65"/>
  <c r="R96" i="65"/>
  <c r="R188" i="65"/>
  <c r="C66" i="5"/>
  <c r="C88" i="5" s="1"/>
  <c r="R239" i="65"/>
  <c r="D48" i="5"/>
  <c r="Q137" i="65"/>
  <c r="Q46" i="65"/>
  <c r="R118" i="65"/>
  <c r="N70" i="65"/>
  <c r="R257" i="65"/>
  <c r="N192" i="65"/>
  <c r="R103" i="65"/>
  <c r="K47" i="5"/>
  <c r="E48" i="5"/>
  <c r="R177" i="65"/>
  <c r="Q320" i="65"/>
  <c r="N253" i="65"/>
  <c r="Q102" i="65"/>
  <c r="R157" i="65"/>
  <c r="X4" i="65"/>
  <c r="R311" i="65"/>
  <c r="Q265" i="65"/>
  <c r="Q326" i="65"/>
  <c r="Q270" i="65"/>
  <c r="R148" i="65"/>
  <c r="R249" i="65"/>
  <c r="J72" i="5"/>
  <c r="J75" i="5" s="1"/>
  <c r="R317" i="65"/>
  <c r="Q186" i="65"/>
  <c r="Q188" i="65"/>
  <c r="C72" i="5"/>
  <c r="C75" i="5" s="1"/>
  <c r="X242" i="65"/>
  <c r="Q221" i="65"/>
  <c r="Q258" i="65"/>
  <c r="Q356" i="65"/>
  <c r="Q312" i="65"/>
  <c r="R187" i="65"/>
  <c r="Q362" i="65"/>
  <c r="Q81" i="65"/>
  <c r="Q53" i="65"/>
  <c r="Q67" i="65"/>
  <c r="R330" i="65"/>
  <c r="X17" i="65"/>
  <c r="H47" i="5"/>
  <c r="Q335" i="65"/>
  <c r="Q158" i="65"/>
  <c r="R240" i="65"/>
  <c r="Q193" i="65"/>
  <c r="Q230" i="65"/>
  <c r="Q305" i="65"/>
  <c r="R270" i="65"/>
  <c r="Q116" i="65"/>
  <c r="Q69" i="65"/>
  <c r="N223" i="65"/>
  <c r="Q299" i="65"/>
  <c r="Q207" i="65"/>
  <c r="Q214" i="65"/>
  <c r="Q334" i="65"/>
  <c r="Q284" i="65"/>
  <c r="Q292" i="65"/>
  <c r="Q62" i="65"/>
  <c r="Q347" i="65"/>
  <c r="X255" i="65"/>
  <c r="X87" i="65"/>
  <c r="X31" i="65"/>
  <c r="L48" i="5"/>
  <c r="H66" i="5"/>
  <c r="Q12" i="65"/>
  <c r="X339" i="65"/>
  <c r="Q131" i="65"/>
  <c r="X129" i="65"/>
  <c r="Q96" i="65"/>
  <c r="Q194" i="65"/>
  <c r="Q172" i="65"/>
  <c r="AE255" i="65"/>
  <c r="AD255" i="65"/>
  <c r="D177" i="65"/>
  <c r="I20" i="5" s="1"/>
  <c r="J177" i="65"/>
  <c r="I72" i="5" s="1"/>
  <c r="I75" i="5" s="1"/>
  <c r="AE143" i="65"/>
  <c r="AD143" i="65"/>
  <c r="X45" i="65"/>
  <c r="AE31" i="65"/>
  <c r="AD31" i="65"/>
  <c r="B3" i="63"/>
  <c r="B3" i="65" s="1"/>
  <c r="B17" i="63"/>
  <c r="B17" i="65" s="1"/>
  <c r="B31" i="63"/>
  <c r="B31" i="65" s="1"/>
  <c r="B45" i="63"/>
  <c r="B45" i="65" s="1"/>
  <c r="B59" i="63"/>
  <c r="B59" i="65" s="1"/>
  <c r="B73" i="63"/>
  <c r="B73" i="65" s="1"/>
  <c r="B87" i="63"/>
  <c r="B87" i="65" s="1"/>
  <c r="B101" i="63"/>
  <c r="B101" i="65" s="1"/>
  <c r="B115" i="63"/>
  <c r="B115" i="65" s="1"/>
  <c r="B129" i="63"/>
  <c r="B129" i="65" s="1"/>
  <c r="B143" i="63"/>
  <c r="B143" i="65" s="1"/>
  <c r="B157" i="63"/>
  <c r="B157" i="65" s="1"/>
  <c r="B171" i="63"/>
  <c r="B171" i="65" s="1"/>
  <c r="B185" i="63"/>
  <c r="B185" i="65" s="1"/>
  <c r="B199" i="63"/>
  <c r="B199" i="65" s="1"/>
  <c r="B213" i="63"/>
  <c r="B213" i="65" s="1"/>
  <c r="B227" i="63"/>
  <c r="B227" i="65" s="1"/>
  <c r="B241" i="63"/>
  <c r="B241" i="65" s="1"/>
  <c r="B255" i="63"/>
  <c r="B255" i="65" s="1"/>
  <c r="B269" i="63"/>
  <c r="B269" i="65" s="1"/>
  <c r="B283" i="63"/>
  <c r="B283" i="65" s="1"/>
  <c r="B297" i="63"/>
  <c r="B297" i="65" s="1"/>
  <c r="B311" i="63"/>
  <c r="B311" i="65" s="1"/>
  <c r="B325" i="63"/>
  <c r="B325" i="65" s="1"/>
  <c r="B339" i="63"/>
  <c r="B339" i="65" s="1"/>
  <c r="B353" i="63"/>
  <c r="B353" i="65" s="1"/>
  <c r="R209" i="65"/>
  <c r="X353" i="65"/>
  <c r="X241" i="65"/>
  <c r="V185" i="65"/>
  <c r="X185" i="65"/>
  <c r="G99" i="65"/>
  <c r="N99" i="65"/>
  <c r="AE157" i="65"/>
  <c r="AD157" i="65"/>
  <c r="N161" i="65"/>
  <c r="I45" i="5" s="1"/>
  <c r="X311" i="65"/>
  <c r="AE227" i="65"/>
  <c r="AD227" i="65"/>
  <c r="AE199" i="65"/>
  <c r="AD199" i="65"/>
  <c r="T73" i="65"/>
  <c r="U73" i="65"/>
  <c r="AE185" i="65"/>
  <c r="AD185" i="65"/>
  <c r="AE87" i="65"/>
  <c r="AD87" i="65"/>
  <c r="AE73" i="65"/>
  <c r="AD73" i="65"/>
  <c r="Z60" i="65"/>
  <c r="E49" i="5" s="1"/>
  <c r="AB60" i="65"/>
  <c r="X326" i="65"/>
  <c r="Q5" i="65"/>
  <c r="X297" i="65"/>
  <c r="AE241" i="65"/>
  <c r="AD241" i="65"/>
  <c r="X227" i="65"/>
  <c r="V171" i="65"/>
  <c r="X171" i="65"/>
  <c r="X73" i="65"/>
  <c r="T31" i="65"/>
  <c r="D66" i="5" s="1"/>
  <c r="U31" i="65"/>
  <c r="D67" i="5" s="1"/>
  <c r="Q249" i="65"/>
  <c r="Q361" i="65"/>
  <c r="AE353" i="65"/>
  <c r="AD353" i="65"/>
  <c r="AE283" i="65"/>
  <c r="AD283" i="65"/>
  <c r="Q18" i="65"/>
  <c r="Q228" i="65"/>
  <c r="D116" i="65"/>
  <c r="G20" i="5" s="1"/>
  <c r="J116" i="65"/>
  <c r="G72" i="5" s="1"/>
  <c r="G75" i="5" s="1"/>
  <c r="AE3" i="65"/>
  <c r="AD3" i="65"/>
  <c r="C50" i="5" s="1"/>
  <c r="AE339" i="65"/>
  <c r="AD339" i="65"/>
  <c r="X283" i="65"/>
  <c r="X269" i="65"/>
  <c r="AE171" i="65"/>
  <c r="AD171" i="65"/>
  <c r="AE129" i="65"/>
  <c r="AD129" i="65"/>
  <c r="AE325" i="65"/>
  <c r="AD325" i="65"/>
  <c r="X213" i="65"/>
  <c r="X59" i="65"/>
  <c r="AE17" i="65"/>
  <c r="AD17" i="65"/>
  <c r="X200" i="65"/>
  <c r="Q298" i="65"/>
  <c r="Q285" i="65"/>
  <c r="Q166" i="65"/>
  <c r="T325" i="65"/>
  <c r="N66" i="5" s="1"/>
  <c r="U325" i="65"/>
  <c r="N67" i="5" s="1"/>
  <c r="AE101" i="65"/>
  <c r="AD101" i="65"/>
  <c r="Q340" i="65"/>
  <c r="V325" i="65"/>
  <c r="X325" i="65"/>
  <c r="AE213" i="65"/>
  <c r="AD213" i="65"/>
  <c r="X101" i="65"/>
  <c r="O69" i="65"/>
  <c r="N69" i="65"/>
  <c r="AE59" i="65"/>
  <c r="AD59" i="65"/>
  <c r="X199" i="65"/>
  <c r="T45" i="65"/>
  <c r="E66" i="5" s="1"/>
  <c r="U45" i="65"/>
  <c r="E67" i="5" s="1"/>
  <c r="AE311" i="65"/>
  <c r="AD311" i="65"/>
  <c r="R331" i="65"/>
  <c r="D269" i="65"/>
  <c r="L20" i="5" s="1"/>
  <c r="J269" i="65"/>
  <c r="L72" i="5" s="1"/>
  <c r="L75" i="5" s="1"/>
  <c r="X157" i="65"/>
  <c r="Z123" i="65"/>
  <c r="G49" i="5" s="1"/>
  <c r="AB123" i="65"/>
  <c r="G55" i="5" s="1"/>
  <c r="X115" i="65"/>
  <c r="AE45" i="65"/>
  <c r="AD45" i="65"/>
  <c r="X3" i="65"/>
  <c r="N284" i="65"/>
  <c r="Q256" i="65"/>
  <c r="AE269" i="65"/>
  <c r="AD269" i="65"/>
  <c r="X143" i="65"/>
  <c r="AE115" i="65"/>
  <c r="AD115" i="65"/>
  <c r="T87" i="65"/>
  <c r="U87" i="65"/>
  <c r="I48" i="5"/>
  <c r="Q363" i="65"/>
  <c r="I66" i="5"/>
  <c r="Q300" i="65"/>
  <c r="G66" i="5"/>
  <c r="X18" i="65"/>
  <c r="Q47" i="65"/>
  <c r="Q6" i="65"/>
  <c r="Q41" i="65"/>
  <c r="Q355" i="65"/>
  <c r="X102" i="65"/>
  <c r="X144" i="65"/>
  <c r="Q278" i="65"/>
  <c r="Q139" i="65"/>
  <c r="J66" i="5"/>
  <c r="Q250" i="65"/>
  <c r="J46" i="5"/>
  <c r="Q341" i="65"/>
  <c r="Q348" i="65"/>
  <c r="Q68" i="65"/>
  <c r="Q201" i="65"/>
  <c r="X74" i="65"/>
  <c r="X270" i="65"/>
  <c r="Q307" i="65"/>
  <c r="K67" i="5"/>
  <c r="H55" i="5"/>
  <c r="X298" i="65"/>
  <c r="Q321" i="65"/>
  <c r="X312" i="65"/>
  <c r="I67" i="5"/>
  <c r="X172" i="65"/>
  <c r="I55" i="5"/>
  <c r="Q286" i="65"/>
  <c r="J67" i="5"/>
  <c r="X354" i="65"/>
  <c r="Q132" i="65"/>
  <c r="X130" i="65"/>
  <c r="Q328" i="65"/>
  <c r="Q195" i="65"/>
  <c r="Q313" i="65"/>
  <c r="Q349" i="65"/>
  <c r="Q34" i="65"/>
  <c r="J55" i="5"/>
  <c r="M48" i="5"/>
  <c r="N55" i="5"/>
  <c r="Q167" i="65"/>
  <c r="Q160" i="65"/>
  <c r="Q152" i="65"/>
  <c r="X256" i="65"/>
  <c r="Q314" i="65"/>
  <c r="Q271" i="65"/>
  <c r="X340" i="65"/>
  <c r="Q138" i="65"/>
  <c r="X284" i="65"/>
  <c r="Q83" i="65"/>
  <c r="Q97" i="65"/>
  <c r="Q54" i="65"/>
  <c r="Q272" i="65"/>
  <c r="M67" i="5"/>
  <c r="L66" i="5"/>
  <c r="X186" i="65"/>
  <c r="Q180" i="65"/>
  <c r="Q173" i="65"/>
  <c r="Q103" i="65"/>
  <c r="Q75" i="65"/>
  <c r="Q145" i="65"/>
  <c r="Q61" i="65"/>
  <c r="Q181" i="65"/>
  <c r="M66" i="5"/>
  <c r="H67" i="5"/>
  <c r="Q209" i="65"/>
  <c r="Q223" i="65"/>
  <c r="M72" i="5"/>
  <c r="M75" i="5" s="1"/>
  <c r="Q237" i="65"/>
  <c r="Q111" i="65"/>
  <c r="Q159" i="65"/>
  <c r="Q33" i="65"/>
  <c r="Q20" i="65"/>
  <c r="L67" i="5"/>
  <c r="Q40" i="65"/>
  <c r="X60" i="65"/>
  <c r="Q110" i="65"/>
  <c r="Q222" i="65"/>
  <c r="K46" i="5"/>
  <c r="Q82" i="65"/>
  <c r="K55" i="5"/>
  <c r="Q244" i="65"/>
  <c r="I46" i="5"/>
  <c r="Q216" i="65"/>
  <c r="Q117" i="65"/>
  <c r="Q236" i="65"/>
  <c r="M46" i="5"/>
  <c r="Q90" i="65"/>
  <c r="H46" i="5"/>
  <c r="X116" i="65"/>
  <c r="Q229" i="65"/>
  <c r="N46" i="5"/>
  <c r="L55" i="5"/>
  <c r="D46" i="5"/>
  <c r="Q187" i="65"/>
  <c r="Q174" i="65"/>
  <c r="Q76" i="65"/>
  <c r="G67" i="5"/>
  <c r="Q104" i="65"/>
  <c r="X228" i="65"/>
  <c r="M55" i="5"/>
  <c r="N72" i="5"/>
  <c r="N75" i="5" s="1"/>
  <c r="X214" i="65"/>
  <c r="F46" i="5"/>
  <c r="X88" i="65"/>
  <c r="G46" i="5"/>
  <c r="E46" i="5"/>
  <c r="F72" i="5"/>
  <c r="F75" i="5" s="1"/>
  <c r="D55" i="5"/>
  <c r="H48" i="5"/>
  <c r="Q264" i="65"/>
  <c r="H72" i="5"/>
  <c r="H75" i="5" s="1"/>
  <c r="Q243" i="65"/>
  <c r="Q55" i="65"/>
  <c r="B214" i="63"/>
  <c r="B214" i="65" s="1"/>
  <c r="B158" i="63"/>
  <c r="B158" i="65" s="1"/>
  <c r="B88" i="63"/>
  <c r="B88" i="65" s="1"/>
  <c r="B130" i="63"/>
  <c r="B130" i="65" s="1"/>
  <c r="B116" i="63"/>
  <c r="B116" i="65" s="1"/>
  <c r="B186" i="63"/>
  <c r="B186" i="65" s="1"/>
  <c r="B32" i="63"/>
  <c r="B32" i="65" s="1"/>
  <c r="B60" i="63"/>
  <c r="B60" i="65" s="1"/>
  <c r="B242" i="63"/>
  <c r="B242" i="65" s="1"/>
  <c r="B326" i="63"/>
  <c r="B326" i="65" s="1"/>
  <c r="B200" i="63"/>
  <c r="B200" i="65" s="1"/>
  <c r="B172" i="63"/>
  <c r="B172" i="65" s="1"/>
  <c r="B228" i="63"/>
  <c r="B228" i="65" s="1"/>
  <c r="B270" i="63"/>
  <c r="B270" i="65" s="1"/>
  <c r="B144" i="63"/>
  <c r="B144" i="65" s="1"/>
  <c r="B74" i="63"/>
  <c r="B74" i="65" s="1"/>
  <c r="B298" i="63"/>
  <c r="B298" i="65" s="1"/>
  <c r="B4" i="63"/>
  <c r="B4" i="65" s="1"/>
  <c r="B340" i="63"/>
  <c r="B340" i="65" s="1"/>
  <c r="B256" i="63"/>
  <c r="B256" i="65" s="1"/>
  <c r="B18" i="63"/>
  <c r="B18" i="65" s="1"/>
  <c r="B102" i="63"/>
  <c r="B102" i="65" s="1"/>
  <c r="B284" i="63"/>
  <c r="B284" i="65" s="1"/>
  <c r="B354" i="63"/>
  <c r="B354" i="65" s="1"/>
  <c r="B46" i="63"/>
  <c r="B46" i="65" s="1"/>
  <c r="B312" i="63"/>
  <c r="B312" i="65" s="1"/>
  <c r="Q124" i="65"/>
  <c r="Q26" i="65"/>
  <c r="Q19" i="65"/>
  <c r="Q215" i="65"/>
  <c r="F48" i="5"/>
  <c r="Q202" i="65"/>
  <c r="Q146" i="65"/>
  <c r="Q48" i="65"/>
  <c r="Q342" i="65"/>
  <c r="Q279" i="65"/>
  <c r="Q208" i="65"/>
  <c r="L46" i="5"/>
  <c r="Q89" i="65"/>
  <c r="E72" i="5"/>
  <c r="E75" i="5" s="1"/>
  <c r="Q13" i="65"/>
  <c r="Q251" i="65"/>
  <c r="Q153" i="65"/>
  <c r="K48" i="5"/>
  <c r="Q118" i="65"/>
  <c r="K66" i="5"/>
  <c r="X32" i="65"/>
  <c r="Q125" i="65"/>
  <c r="Q27" i="65"/>
  <c r="X158" i="65"/>
  <c r="K72" i="5"/>
  <c r="K75" i="5" s="1"/>
  <c r="X46" i="65"/>
  <c r="P61" i="5" l="1"/>
  <c r="E57" i="5"/>
  <c r="F57" i="5"/>
  <c r="E45" i="5"/>
  <c r="H45" i="5"/>
  <c r="M45" i="5"/>
  <c r="G45" i="5"/>
  <c r="E55" i="5"/>
  <c r="P55" i="5" s="1"/>
  <c r="E60" i="5"/>
  <c r="D60" i="5"/>
  <c r="M50" i="5"/>
  <c r="J45" i="5"/>
  <c r="K45" i="5"/>
  <c r="L45" i="5"/>
  <c r="P59" i="5"/>
  <c r="D45" i="5"/>
  <c r="C69" i="5"/>
  <c r="H69" i="5"/>
  <c r="C52" i="5"/>
  <c r="L60" i="5"/>
  <c r="G60" i="5"/>
  <c r="F45" i="5"/>
  <c r="H60" i="5"/>
  <c r="J60" i="5"/>
  <c r="F60" i="5"/>
  <c r="H50" i="5"/>
  <c r="P20" i="5"/>
  <c r="P49" i="5"/>
  <c r="P52" i="5" s="1"/>
  <c r="K60" i="5"/>
  <c r="G50" i="5"/>
  <c r="I60" i="5"/>
  <c r="M60" i="5"/>
  <c r="C19" i="5"/>
  <c r="C28" i="5" s="1"/>
  <c r="F50" i="5"/>
  <c r="N60" i="5"/>
  <c r="P47" i="5"/>
  <c r="C95" i="5"/>
  <c r="C98" i="5" s="1"/>
  <c r="E50" i="5"/>
  <c r="K50" i="5"/>
  <c r="D50" i="5"/>
  <c r="I69" i="5"/>
  <c r="J50" i="5"/>
  <c r="L50" i="5"/>
  <c r="C56" i="5"/>
  <c r="C63" i="5" s="1"/>
  <c r="F67" i="5"/>
  <c r="P67" i="5" s="1"/>
  <c r="D69" i="5"/>
  <c r="I50" i="5"/>
  <c r="I52" i="5" s="1"/>
  <c r="N56" i="5"/>
  <c r="N69" i="5"/>
  <c r="G69" i="5"/>
  <c r="N50" i="5"/>
  <c r="N52" i="5" s="1"/>
  <c r="F66" i="5"/>
  <c r="P66" i="5" s="1"/>
  <c r="M69" i="5"/>
  <c r="E56" i="5"/>
  <c r="K69" i="5"/>
  <c r="H19" i="5"/>
  <c r="H23" i="5" s="1"/>
  <c r="D88" i="5"/>
  <c r="E88" i="5" s="1"/>
  <c r="J69" i="5"/>
  <c r="M56" i="5"/>
  <c r="J56" i="5"/>
  <c r="I19" i="5"/>
  <c r="I28" i="5" s="1"/>
  <c r="M19" i="5"/>
  <c r="M23" i="5" s="1"/>
  <c r="F19" i="5"/>
  <c r="F28" i="5" s="1"/>
  <c r="L56" i="5"/>
  <c r="G56" i="5"/>
  <c r="D56" i="5"/>
  <c r="P48" i="5"/>
  <c r="K19" i="5"/>
  <c r="K80" i="5" s="1"/>
  <c r="K82" i="5" s="1"/>
  <c r="J19" i="5"/>
  <c r="J28" i="5" s="1"/>
  <c r="I56" i="5"/>
  <c r="P46" i="5"/>
  <c r="N19" i="5"/>
  <c r="N28" i="5" s="1"/>
  <c r="K56" i="5"/>
  <c r="D19" i="5"/>
  <c r="D28" i="5" s="1"/>
  <c r="F56" i="5"/>
  <c r="L69" i="5"/>
  <c r="H56" i="5"/>
  <c r="P72" i="5"/>
  <c r="P75" i="5" s="1"/>
  <c r="E19" i="5"/>
  <c r="E28" i="5" s="1"/>
  <c r="E69" i="5"/>
  <c r="G19" i="5"/>
  <c r="L19" i="5"/>
  <c r="P57" i="5" l="1"/>
  <c r="E52" i="5"/>
  <c r="H52" i="5"/>
  <c r="D63" i="5"/>
  <c r="M52" i="5"/>
  <c r="E63" i="5"/>
  <c r="J52" i="5"/>
  <c r="G52" i="5"/>
  <c r="F63" i="5"/>
  <c r="C77" i="5"/>
  <c r="C10" i="5" s="1"/>
  <c r="P45" i="5"/>
  <c r="L52" i="5"/>
  <c r="J63" i="5"/>
  <c r="H63" i="5"/>
  <c r="L63" i="5"/>
  <c r="D52" i="5"/>
  <c r="D77" i="5" s="1"/>
  <c r="D10" i="5" s="1"/>
  <c r="K52" i="5"/>
  <c r="I63" i="5"/>
  <c r="I77" i="5" s="1"/>
  <c r="I10" i="5" s="1"/>
  <c r="G63" i="5"/>
  <c r="M63" i="5"/>
  <c r="K63" i="5"/>
  <c r="C23" i="5"/>
  <c r="C27" i="5"/>
  <c r="C80" i="5"/>
  <c r="C82" i="5" s="1"/>
  <c r="C26" i="5"/>
  <c r="D95" i="5"/>
  <c r="D98" i="5" s="1"/>
  <c r="P60" i="5"/>
  <c r="F52" i="5"/>
  <c r="N63" i="5"/>
  <c r="N77" i="5" s="1"/>
  <c r="N10" i="5" s="1"/>
  <c r="P50" i="5"/>
  <c r="H26" i="5"/>
  <c r="H80" i="5"/>
  <c r="H82" i="5" s="1"/>
  <c r="H27" i="5"/>
  <c r="H28" i="5"/>
  <c r="F88" i="5"/>
  <c r="G88" i="5" s="1"/>
  <c r="H88" i="5" s="1"/>
  <c r="I88" i="5" s="1"/>
  <c r="J88" i="5" s="1"/>
  <c r="K88" i="5" s="1"/>
  <c r="L88" i="5" s="1"/>
  <c r="M88" i="5" s="1"/>
  <c r="N88" i="5" s="1"/>
  <c r="F69" i="5"/>
  <c r="F23" i="5"/>
  <c r="F27" i="5"/>
  <c r="F80" i="5"/>
  <c r="F82" i="5" s="1"/>
  <c r="I80" i="5"/>
  <c r="I82" i="5" s="1"/>
  <c r="D26" i="5"/>
  <c r="I26" i="5"/>
  <c r="I27" i="5"/>
  <c r="M28" i="5"/>
  <c r="M27" i="5"/>
  <c r="M26" i="5"/>
  <c r="F26" i="5"/>
  <c r="M80" i="5"/>
  <c r="M82" i="5" s="1"/>
  <c r="K28" i="5"/>
  <c r="I23" i="5"/>
  <c r="K26" i="5"/>
  <c r="J80" i="5"/>
  <c r="J82" i="5" s="1"/>
  <c r="J27" i="5"/>
  <c r="D23" i="5"/>
  <c r="J26" i="5"/>
  <c r="D80" i="5"/>
  <c r="D82" i="5" s="1"/>
  <c r="D27" i="5"/>
  <c r="K23" i="5"/>
  <c r="J23" i="5"/>
  <c r="K27" i="5"/>
  <c r="N27" i="5"/>
  <c r="P69" i="5"/>
  <c r="N23" i="5"/>
  <c r="N80" i="5"/>
  <c r="N82" i="5" s="1"/>
  <c r="N26" i="5"/>
  <c r="P56" i="5"/>
  <c r="E77" i="5"/>
  <c r="E10" i="5" s="1"/>
  <c r="G80" i="5"/>
  <c r="G82" i="5" s="1"/>
  <c r="G27" i="5"/>
  <c r="G26" i="5"/>
  <c r="G23" i="5"/>
  <c r="G28" i="5"/>
  <c r="L26" i="5"/>
  <c r="L23" i="5"/>
  <c r="L80" i="5"/>
  <c r="L82" i="5" s="1"/>
  <c r="L27" i="5"/>
  <c r="L28" i="5"/>
  <c r="P19" i="5"/>
  <c r="E27" i="5"/>
  <c r="E80" i="5"/>
  <c r="E82" i="5" s="1"/>
  <c r="E26" i="5"/>
  <c r="E23" i="5"/>
  <c r="H77" i="5" l="1"/>
  <c r="H10" i="5" s="1"/>
  <c r="L77" i="5"/>
  <c r="L10" i="5" s="1"/>
  <c r="J77" i="5"/>
  <c r="J10" i="5" s="1"/>
  <c r="M77" i="5"/>
  <c r="M10" i="5" s="1"/>
  <c r="G77" i="5"/>
  <c r="G10" i="5" s="1"/>
  <c r="P63" i="5"/>
  <c r="P77" i="5" s="1"/>
  <c r="E95" i="5"/>
  <c r="F95" i="5" s="1"/>
  <c r="K77" i="5"/>
  <c r="K10" i="5" s="1"/>
  <c r="F77" i="5"/>
  <c r="F10" i="5" s="1"/>
  <c r="C89" i="5"/>
  <c r="D89" i="5" s="1"/>
  <c r="E89" i="5" s="1"/>
  <c r="F89" i="5" s="1"/>
  <c r="G89" i="5" s="1"/>
  <c r="H89" i="5" s="1"/>
  <c r="I89" i="5" s="1"/>
  <c r="J89" i="5" s="1"/>
  <c r="K89" i="5" s="1"/>
  <c r="L89" i="5" s="1"/>
  <c r="M89" i="5" s="1"/>
  <c r="N89" i="5" s="1"/>
  <c r="C30" i="5"/>
  <c r="C32" i="5" s="1"/>
  <c r="H30" i="5"/>
  <c r="H32" i="5" s="1"/>
  <c r="H42" i="5" s="1"/>
  <c r="H9" i="5" s="1"/>
  <c r="D30" i="5"/>
  <c r="D32" i="5" s="1"/>
  <c r="D42" i="5" s="1"/>
  <c r="D9" i="5" s="1"/>
  <c r="D11" i="5" s="1"/>
  <c r="F30" i="5"/>
  <c r="F32" i="5" s="1"/>
  <c r="F42" i="5" s="1"/>
  <c r="F9" i="5" s="1"/>
  <c r="I30" i="5"/>
  <c r="I32" i="5" s="1"/>
  <c r="I42" i="5" s="1"/>
  <c r="I9" i="5" s="1"/>
  <c r="I12" i="5" s="1"/>
  <c r="M30" i="5"/>
  <c r="M32" i="5" s="1"/>
  <c r="M42" i="5" s="1"/>
  <c r="M9" i="5" s="1"/>
  <c r="K30" i="5"/>
  <c r="K32" i="5" s="1"/>
  <c r="K42" i="5" s="1"/>
  <c r="K9" i="5" s="1"/>
  <c r="K12" i="5" s="1"/>
  <c r="J30" i="5"/>
  <c r="J32" i="5" s="1"/>
  <c r="J42" i="5" s="1"/>
  <c r="J9" i="5" s="1"/>
  <c r="E30" i="5"/>
  <c r="E32" i="5" s="1"/>
  <c r="E42" i="5" s="1"/>
  <c r="E9" i="5" s="1"/>
  <c r="N30" i="5"/>
  <c r="N32" i="5" s="1"/>
  <c r="N42" i="5" s="1"/>
  <c r="N9" i="5" s="1"/>
  <c r="N11" i="5" s="1"/>
  <c r="P28" i="5"/>
  <c r="P23" i="5"/>
  <c r="P27" i="5"/>
  <c r="G30" i="5"/>
  <c r="G32" i="5" s="1"/>
  <c r="G42" i="5" s="1"/>
  <c r="G9" i="5" s="1"/>
  <c r="L30" i="5"/>
  <c r="P80" i="5"/>
  <c r="P82" i="5" s="1"/>
  <c r="P26" i="5"/>
  <c r="H11" i="5" l="1"/>
  <c r="J11" i="5"/>
  <c r="M11" i="5"/>
  <c r="E98" i="5"/>
  <c r="D12" i="5"/>
  <c r="P10" i="5"/>
  <c r="F11" i="5"/>
  <c r="H12" i="5"/>
  <c r="N12" i="5"/>
  <c r="I11" i="5"/>
  <c r="F12" i="5"/>
  <c r="M12" i="5"/>
  <c r="K11" i="5"/>
  <c r="J12" i="5"/>
  <c r="P30" i="5"/>
  <c r="L32" i="5"/>
  <c r="L42" i="5" s="1"/>
  <c r="L9" i="5" s="1"/>
  <c r="L11" i="5" s="1"/>
  <c r="G11" i="5"/>
  <c r="G12" i="5"/>
  <c r="E12" i="5"/>
  <c r="E11" i="5"/>
  <c r="C42" i="5"/>
  <c r="C9" i="5" s="1"/>
  <c r="F98" i="5"/>
  <c r="G95" i="5"/>
  <c r="P32" i="5" l="1"/>
  <c r="P42" i="5" s="1"/>
  <c r="L12" i="5"/>
  <c r="G98" i="5"/>
  <c r="H95" i="5"/>
  <c r="P9" i="5"/>
  <c r="P12" i="5" s="1"/>
  <c r="C11" i="5"/>
  <c r="C12" i="5"/>
  <c r="C15" i="5" l="1"/>
  <c r="P11" i="5"/>
  <c r="H98" i="5"/>
  <c r="I95" i="5"/>
  <c r="I98" i="5" l="1"/>
  <c r="J95" i="5"/>
  <c r="D15" i="5"/>
  <c r="C85" i="5"/>
  <c r="C93" i="5" s="1"/>
  <c r="C100" i="5" s="1"/>
  <c r="C16" i="5" s="1"/>
  <c r="D85" i="5" l="1"/>
  <c r="D93" i="5" s="1"/>
  <c r="D100" i="5" s="1"/>
  <c r="D16" i="5" s="1"/>
  <c r="E15" i="5"/>
  <c r="J98" i="5"/>
  <c r="K95" i="5"/>
  <c r="L95" i="5" l="1"/>
  <c r="K98" i="5"/>
  <c r="E85" i="5"/>
  <c r="E93" i="5" s="1"/>
  <c r="E100" i="5" s="1"/>
  <c r="E16" i="5" s="1"/>
  <c r="F15" i="5"/>
  <c r="F85" i="5" l="1"/>
  <c r="F93" i="5" s="1"/>
  <c r="F100" i="5" s="1"/>
  <c r="F16" i="5" s="1"/>
  <c r="G15" i="5"/>
  <c r="L98" i="5"/>
  <c r="M95" i="5"/>
  <c r="M98" i="5" l="1"/>
  <c r="N95" i="5"/>
  <c r="H15" i="5"/>
  <c r="G85" i="5"/>
  <c r="G93" i="5" s="1"/>
  <c r="G100" i="5" s="1"/>
  <c r="G16" i="5" s="1"/>
  <c r="H85" i="5" l="1"/>
  <c r="H93" i="5" s="1"/>
  <c r="H100" i="5" s="1"/>
  <c r="H16" i="5" s="1"/>
  <c r="I15" i="5"/>
  <c r="N98" i="5"/>
  <c r="J15" i="5" l="1"/>
  <c r="I85" i="5"/>
  <c r="I93" i="5" s="1"/>
  <c r="I100" i="5" s="1"/>
  <c r="I16" i="5" s="1"/>
  <c r="J85" i="5" l="1"/>
  <c r="J93" i="5" s="1"/>
  <c r="J100" i="5" s="1"/>
  <c r="J16" i="5" s="1"/>
  <c r="K15" i="5"/>
  <c r="L15" i="5" l="1"/>
  <c r="K85" i="5"/>
  <c r="K93" i="5" s="1"/>
  <c r="K100" i="5" s="1"/>
  <c r="K16" i="5" s="1"/>
  <c r="L85" i="5" l="1"/>
  <c r="L93" i="5" s="1"/>
  <c r="L100" i="5" s="1"/>
  <c r="L16" i="5" s="1"/>
  <c r="M15" i="5"/>
  <c r="N15" i="5" l="1"/>
  <c r="M85" i="5"/>
  <c r="M93" i="5" s="1"/>
  <c r="M100" i="5" s="1"/>
  <c r="M16" i="5" s="1"/>
  <c r="N85" i="5" l="1"/>
  <c r="P15" i="5"/>
  <c r="N93" i="5" l="1"/>
  <c r="N100" i="5" l="1"/>
  <c r="N16" i="5" l="1"/>
  <c r="P16"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<sst xmlns="http://schemas.openxmlformats.org/spreadsheetml/2006/main" count="864" uniqueCount="370">
  <si>
    <t>Rent</t>
  </si>
  <si>
    <t>Groceries</t>
  </si>
  <si>
    <t>Food &amp; Drinks</t>
  </si>
  <si>
    <t>Account</t>
  </si>
  <si>
    <t>Loans</t>
  </si>
  <si>
    <t>Cash</t>
  </si>
  <si>
    <t>Amount</t>
  </si>
  <si>
    <t>Bonus</t>
  </si>
  <si>
    <t>Friend Fees</t>
  </si>
  <si>
    <t>Selling &amp; Refunds</t>
  </si>
  <si>
    <t>Brokerage Cashout</t>
  </si>
  <si>
    <t>INVESTMENTS</t>
  </si>
  <si>
    <t>DEBT PAYMENTS</t>
  </si>
  <si>
    <t>Investments</t>
  </si>
  <si>
    <t>Credit Cards</t>
  </si>
  <si>
    <t>Social Security</t>
  </si>
  <si>
    <t>Gross Earnings</t>
  </si>
  <si>
    <t>Transportation</t>
  </si>
  <si>
    <t>Line Item</t>
  </si>
  <si>
    <t>Taxes</t>
  </si>
  <si>
    <t>EARNINGS</t>
  </si>
  <si>
    <t>Total INFLOWS</t>
  </si>
  <si>
    <t>Net from Gross Earnings</t>
  </si>
  <si>
    <t>Other Earnings</t>
  </si>
  <si>
    <t>Other Inflows</t>
  </si>
  <si>
    <t>Next Twelve Months (NTM)</t>
  </si>
  <si>
    <t>Retirement</t>
  </si>
  <si>
    <t>Brokerage</t>
  </si>
  <si>
    <t>Housing</t>
  </si>
  <si>
    <t>FLEXIBLE OUTFLOWS</t>
  </si>
  <si>
    <t>Total OUTFLOWS</t>
  </si>
  <si>
    <t>Total FIXED OUTFLOWS</t>
  </si>
  <si>
    <t>SUMMARY</t>
  </si>
  <si>
    <t>Inflows</t>
  </si>
  <si>
    <t>Outflows</t>
  </si>
  <si>
    <t>NET WORTH</t>
  </si>
  <si>
    <t>x</t>
  </si>
  <si>
    <t>ENDING BALANCES</t>
  </si>
  <si>
    <t>Item</t>
  </si>
  <si>
    <t>Amt</t>
  </si>
  <si>
    <t>Electricity</t>
  </si>
  <si>
    <t>Gas / Oil</t>
  </si>
  <si>
    <t>Water / Sewer</t>
  </si>
  <si>
    <t>Trash</t>
  </si>
  <si>
    <t>Internet</t>
  </si>
  <si>
    <t>Auto Fuel</t>
  </si>
  <si>
    <t>Parking / Tolls</t>
  </si>
  <si>
    <t>Dry Cleaning</t>
  </si>
  <si>
    <t>Laundry</t>
  </si>
  <si>
    <t>Groceries / Food</t>
  </si>
  <si>
    <t>Home Supplies</t>
  </si>
  <si>
    <t>Outside Childcare (daycare, etc.)</t>
  </si>
  <si>
    <t>Healthcare / Insurance</t>
  </si>
  <si>
    <t>Dental Care / Insurance</t>
  </si>
  <si>
    <t>Vision Care / Insurance</t>
  </si>
  <si>
    <t>Life Insurance</t>
  </si>
  <si>
    <t>Medicine / Prescriptions</t>
  </si>
  <si>
    <t>Veterinarian</t>
  </si>
  <si>
    <t>Auto Insurance</t>
  </si>
  <si>
    <t>Auto Registration / License</t>
  </si>
  <si>
    <t>Home / Rental Insurance</t>
  </si>
  <si>
    <t>Home Owners' Assoc. Fees</t>
  </si>
  <si>
    <t>Property Taxes</t>
  </si>
  <si>
    <t>School Taxes</t>
  </si>
  <si>
    <t>REQUIRED OUTFLOWS</t>
  </si>
  <si>
    <t>Dining Out</t>
  </si>
  <si>
    <t>Concerts / Plays</t>
  </si>
  <si>
    <t>Sports</t>
  </si>
  <si>
    <t>Gym Membership</t>
  </si>
  <si>
    <t>Home Improvement</t>
  </si>
  <si>
    <t>Home Security</t>
  </si>
  <si>
    <t>Lawn / Garden</t>
  </si>
  <si>
    <t>Pet Boarding</t>
  </si>
  <si>
    <t>Beer / Alcohol</t>
  </si>
  <si>
    <t>Pension</t>
  </si>
  <si>
    <t>Severance</t>
  </si>
  <si>
    <t>Other</t>
  </si>
  <si>
    <t>Inflow</t>
  </si>
  <si>
    <t>NON CASH</t>
  </si>
  <si>
    <t>Retirement Deductions</t>
  </si>
  <si>
    <t>Brokerage Contributions</t>
  </si>
  <si>
    <t>Retirement Contributions</t>
  </si>
  <si>
    <t>Employer Retirement Contributions</t>
  </si>
  <si>
    <t>Balances</t>
  </si>
  <si>
    <t>Recurring</t>
  </si>
  <si>
    <t>Planned</t>
  </si>
  <si>
    <t>Other Deductions</t>
  </si>
  <si>
    <t>FORMULA</t>
  </si>
  <si>
    <t>=</t>
  </si>
  <si>
    <t>Cash flows</t>
  </si>
  <si>
    <t>Net CASH FLOW</t>
  </si>
  <si>
    <t>ASSETS</t>
  </si>
  <si>
    <t>LIABILITIES</t>
  </si>
  <si>
    <t>STATIC INPUT</t>
  </si>
  <si>
    <t>FREQUENT INPUT</t>
  </si>
  <si>
    <t>Master</t>
  </si>
  <si>
    <t>All other banking/cash accounts that you don't have spend out of (typically higher interest rates)</t>
  </si>
  <si>
    <t>Savings</t>
  </si>
  <si>
    <t>NT</t>
  </si>
  <si>
    <t>N/A</t>
  </si>
  <si>
    <t>PNC</t>
  </si>
  <si>
    <t>Apple</t>
  </si>
  <si>
    <t>Amazon Prime</t>
  </si>
  <si>
    <t>Renters insurance</t>
  </si>
  <si>
    <t>Netflix</t>
  </si>
  <si>
    <t>Spotify</t>
  </si>
  <si>
    <t>iCloud</t>
  </si>
  <si>
    <t>Date</t>
  </si>
  <si>
    <t>TOTAL</t>
  </si>
  <si>
    <t>SUMMARY tabs</t>
  </si>
  <si>
    <t>Where you will add inputs</t>
  </si>
  <si>
    <t>WORKING tabs</t>
  </si>
  <si>
    <t>AD HOC tabs</t>
  </si>
  <si>
    <t>HELPER tabs</t>
  </si>
  <si>
    <t>Inform calculations in other tabs</t>
  </si>
  <si>
    <t>Flexible to create your own tabs for calculations or tracking. There may be cases where you feed the result into a WORKING TAB</t>
  </si>
  <si>
    <t>Terms</t>
  </si>
  <si>
    <t>Color coding</t>
  </si>
  <si>
    <t>FUTURE CASH FLOW CHANGES</t>
  </si>
  <si>
    <t>Asset</t>
  </si>
  <si>
    <t>Real Asset</t>
  </si>
  <si>
    <t>Car</t>
  </si>
  <si>
    <t>House</t>
  </si>
  <si>
    <t>Phone</t>
  </si>
  <si>
    <t>Auto Maintenance</t>
  </si>
  <si>
    <t>Home Maintenance</t>
  </si>
  <si>
    <t>Car Maintenance</t>
  </si>
  <si>
    <t>Salary/Wages</t>
  </si>
  <si>
    <t>Current Due Date</t>
  </si>
  <si>
    <t>Require no inputs. These are output tabs that auto populate as changes are made in WORKING tabs</t>
  </si>
  <si>
    <t>Don’t forget accounts like Venmo, Apple Cash, Starbucks, physical cash or sportsbooks</t>
  </si>
  <si>
    <t>Excl. Financing/Investing Activities</t>
  </si>
  <si>
    <t>Friend Payment</t>
  </si>
  <si>
    <t>Friend Receivable</t>
  </si>
  <si>
    <t>Outflow safety helper</t>
  </si>
  <si>
    <t>Not financial advice</t>
  </si>
  <si>
    <t>Projected asset balances doesn’t account for yield</t>
  </si>
  <si>
    <t>DEFINITIONS</t>
  </si>
  <si>
    <t>INFLOWS</t>
  </si>
  <si>
    <t>Total EARNINGS</t>
  </si>
  <si>
    <t>Line Items</t>
  </si>
  <si>
    <t>Hide the Helper and DEV tabs</t>
  </si>
  <si>
    <t>Compare vs prior version to log upgrades</t>
  </si>
  <si>
    <t>Recurrance Base</t>
  </si>
  <si>
    <t>Day</t>
  </si>
  <si>
    <t>Week</t>
  </si>
  <si>
    <t>Month</t>
  </si>
  <si>
    <t>Year</t>
  </si>
  <si>
    <t>Line Item →</t>
  </si>
  <si>
    <t>Start date →</t>
  </si>
  <si>
    <t>Dates →</t>
  </si>
  <si>
    <t>Dental</t>
  </si>
  <si>
    <t>Health Savings Contribution</t>
  </si>
  <si>
    <t>Medical</t>
  </si>
  <si>
    <t>Vision</t>
  </si>
  <si>
    <t>Barber</t>
  </si>
  <si>
    <t>IRA</t>
  </si>
  <si>
    <t>ComEd + Lemonade</t>
  </si>
  <si>
    <t>Data validation</t>
  </si>
  <si>
    <t>Same amount of formula columns in each intermediate tab</t>
  </si>
  <si>
    <t>Add column here</t>
  </si>
  <si>
    <t>Aggregated Student loans</t>
  </si>
  <si>
    <t>Less Precedents &amp; Deductions</t>
  </si>
  <si>
    <t>Brokerage Withdrawal</t>
  </si>
  <si>
    <t>Assets</t>
  </si>
  <si>
    <t>Car insurance</t>
  </si>
  <si>
    <t>Gas</t>
  </si>
  <si>
    <t>Medication &amp; Supplements</t>
  </si>
  <si>
    <t>Protein powder</t>
  </si>
  <si>
    <t>Hide Helper rows in NTM</t>
  </si>
  <si>
    <t>–</t>
  </si>
  <si>
    <t>Split into TEMPLATE and EXAMPLE files</t>
  </si>
  <si>
    <t>Support more recurrences, like every 3 months or every 90 days</t>
  </si>
  <si>
    <t>Going out</t>
  </si>
  <si>
    <t>Trader Joes</t>
  </si>
  <si>
    <t>Allow user inputs of cash redemption and average value of loyalty points inputs</t>
  </si>
  <si>
    <t>Simplified loan and credit card payments into Recurring tab</t>
  </si>
  <si>
    <t>Separated graphics into their own tab</t>
  </si>
  <si>
    <t>Bolstered guidance throughout</t>
  </si>
  <si>
    <t>Removed some un-used inputs/columns</t>
  </si>
  <si>
    <t>Added custom formulas to simplify some inputs</t>
  </si>
  <si>
    <t>Robinhood</t>
  </si>
  <si>
    <t>Jun Sell stock</t>
  </si>
  <si>
    <t xml:space="preserve">Credit Cards </t>
  </si>
  <si>
    <t xml:space="preserve">Loans </t>
  </si>
  <si>
    <t xml:space="preserve">Retirement </t>
  </si>
  <si>
    <t xml:space="preserve">Brokerage </t>
  </si>
  <si>
    <t xml:space="preserve">Cash </t>
  </si>
  <si>
    <t xml:space="preserve">Rewards Upside Value </t>
  </si>
  <si>
    <t>Cash Flow</t>
  </si>
  <si>
    <t>Balance Sheet</t>
  </si>
  <si>
    <t>Row limits</t>
  </si>
  <si>
    <t>None</t>
  </si>
  <si>
    <t>Loyalty Points &amp; Miles</t>
  </si>
  <si>
    <t>Precedents</t>
  </si>
  <si>
    <t>Changes</t>
  </si>
  <si>
    <t>Tabs sections</t>
  </si>
  <si>
    <t>DISCLAIMERS</t>
  </si>
  <si>
    <t>Where to start</t>
  </si>
  <si>
    <t>1)</t>
  </si>
  <si>
    <t>Start inputting your data into rows, starting with the Assets tab and moving right through all the blue tabs</t>
  </si>
  <si>
    <t>2)</t>
  </si>
  <si>
    <t>In the Blanket tab, be sure to designate one checking account as Master. That account is designated to have all deposits and spending flow out of it</t>
  </si>
  <si>
    <t>3)</t>
  </si>
  <si>
    <t>4)</t>
  </si>
  <si>
    <t>Update regularly and use the recommended actions to rebalance accounts each time</t>
  </si>
  <si>
    <t>Any Due Date</t>
  </si>
  <si>
    <t>Every nth time</t>
  </si>
  <si>
    <t>Recurrence →</t>
  </si>
  <si>
    <t>Occurrence base →</t>
  </si>
  <si>
    <t>Cable / Satellite</t>
  </si>
  <si>
    <t>Public Transpiration</t>
  </si>
  <si>
    <t>Brokerage Deposits</t>
  </si>
  <si>
    <t>401K Deposits</t>
  </si>
  <si>
    <t>IRA Deposit</t>
  </si>
  <si>
    <t>Dependent</t>
  </si>
  <si>
    <t>Projected loan balances doesn’t account for interest accruals</t>
  </si>
  <si>
    <t>Review the NTM tab as your input details and watch how the next twelve months change</t>
  </si>
  <si>
    <t>Checking account that all outflow/spending will flow out of</t>
  </si>
  <si>
    <t>Investment accounts that don't have pre-retirement withdrawal penalties (more liquid but don't really want to sell if you don’t have to)</t>
  </si>
  <si>
    <t>Investment accounts that have pre-retirement withdrawal penalties (long term lock-ups)</t>
  </si>
  <si>
    <t>Next twelve (i.e. NTM = next twelve months)</t>
  </si>
  <si>
    <t>Recurrence Base</t>
  </si>
  <si>
    <t>Create TEMPLATE version and delete inputs and blue text boxes</t>
  </si>
  <si>
    <t>Spell check and freeze frames in each tab</t>
  </si>
  <si>
    <t>Automatic calculations</t>
  </si>
  <si>
    <t>v5</t>
  </si>
  <si>
    <t>v6</t>
  </si>
  <si>
    <t>Description</t>
  </si>
  <si>
    <t>Category</t>
  </si>
  <si>
    <t>Tags</t>
  </si>
  <si>
    <t>Restaurants</t>
  </si>
  <si>
    <t>Online Services</t>
  </si>
  <si>
    <t>Fanduel Sportsbook &amp; Casino</t>
  </si>
  <si>
    <t>Entertainment</t>
  </si>
  <si>
    <t>Refunds &amp; Reimbursements</t>
  </si>
  <si>
    <t>Travel</t>
  </si>
  <si>
    <t>Clothing/Shoes</t>
  </si>
  <si>
    <t>General Merchandise</t>
  </si>
  <si>
    <t>Lyft</t>
  </si>
  <si>
    <t>1/9/2024</t>
  </si>
  <si>
    <t>Us Department Of Education</t>
  </si>
  <si>
    <t>Personal Care</t>
  </si>
  <si>
    <t>1/11/2024</t>
  </si>
  <si>
    <t>United Airlines</t>
  </si>
  <si>
    <t>Paychecks/Salary</t>
  </si>
  <si>
    <t>1/13/2024</t>
  </si>
  <si>
    <t>Etsy</t>
  </si>
  <si>
    <t>Other Expenses</t>
  </si>
  <si>
    <t>1/18/2024</t>
  </si>
  <si>
    <t>Jewel-osco</t>
  </si>
  <si>
    <t>Comcast</t>
  </si>
  <si>
    <t>Cable/Satellite</t>
  </si>
  <si>
    <t>Utilities</t>
  </si>
  <si>
    <t>Amazon</t>
  </si>
  <si>
    <t>2/15/2024</t>
  </si>
  <si>
    <t>Gifts</t>
  </si>
  <si>
    <t>Deposits</t>
  </si>
  <si>
    <t>2/17/2024</t>
  </si>
  <si>
    <t>In-n-out Burger</t>
  </si>
  <si>
    <t>Lululemon Athletica</t>
  </si>
  <si>
    <t>2/23/2024</t>
  </si>
  <si>
    <t>ATM/Cash</t>
  </si>
  <si>
    <t>3/2/2024</t>
  </si>
  <si>
    <t>3/13/2024</t>
  </si>
  <si>
    <t>New York State Department Of Tax &amp; Finance</t>
  </si>
  <si>
    <t>Instacart</t>
  </si>
  <si>
    <t>3/19/2024</t>
  </si>
  <si>
    <t>3/20/2024</t>
  </si>
  <si>
    <t>Charitable Giving</t>
  </si>
  <si>
    <t>3/29/2024</t>
  </si>
  <si>
    <t>State Of Illinois</t>
  </si>
  <si>
    <t>Five Guys</t>
  </si>
  <si>
    <t>Healthcare/Medical</t>
  </si>
  <si>
    <t>Gasoline/Fuel</t>
  </si>
  <si>
    <t>6/2/2024</t>
  </si>
  <si>
    <t>7/1/2024</t>
  </si>
  <si>
    <t>Annual Membership Fee</t>
  </si>
  <si>
    <t>Dues &amp; Subscriptions</t>
  </si>
  <si>
    <t>7/5/2024</t>
  </si>
  <si>
    <t>Hobbies</t>
  </si>
  <si>
    <t>7/8/2024</t>
  </si>
  <si>
    <t>Service Charges/Fees</t>
  </si>
  <si>
    <t>7/20/2024</t>
  </si>
  <si>
    <t>Costco Gas Stations</t>
  </si>
  <si>
    <t>8/3/2024</t>
  </si>
  <si>
    <t>8/18/2024</t>
  </si>
  <si>
    <t>Insurance</t>
  </si>
  <si>
    <t>Cvs Pharmacy</t>
  </si>
  <si>
    <t>9/4/2024</t>
  </si>
  <si>
    <t>9/6/2024</t>
  </si>
  <si>
    <t>9/7/2024</t>
  </si>
  <si>
    <t>9/9/2024</t>
  </si>
  <si>
    <t>9/10/2024</t>
  </si>
  <si>
    <t>Verizon Wireless</t>
  </si>
  <si>
    <t>Telephone</t>
  </si>
  <si>
    <t>Electronics</t>
  </si>
  <si>
    <t>9/13/2024</t>
  </si>
  <si>
    <t>9/16/2024</t>
  </si>
  <si>
    <t>9/18/2024</t>
  </si>
  <si>
    <t>Whole Foods</t>
  </si>
  <si>
    <t>Trader Joe's</t>
  </si>
  <si>
    <t>9/19/2024</t>
  </si>
  <si>
    <t>Rally House</t>
  </si>
  <si>
    <t>9/26/2024</t>
  </si>
  <si>
    <t>10/17/2024</t>
  </si>
  <si>
    <t>Other Income</t>
  </si>
  <si>
    <t>Rewards</t>
  </si>
  <si>
    <t>10/30/2024</t>
  </si>
  <si>
    <t>10/31/2024</t>
  </si>
  <si>
    <t>Interest Earned</t>
  </si>
  <si>
    <t>Interest</t>
  </si>
  <si>
    <t>12/13/2024</t>
  </si>
  <si>
    <t>12/26/2024</t>
  </si>
  <si>
    <t>PASTE</t>
  </si>
  <si>
    <t>Date vF</t>
  </si>
  <si>
    <t>Empower Category</t>
  </si>
  <si>
    <t>Events &amp; Entertainment</t>
  </si>
  <si>
    <t>Shopping</t>
  </si>
  <si>
    <t>Health &amp; Personal Care</t>
  </si>
  <si>
    <t>Other Flexible Outflows</t>
  </si>
  <si>
    <t>Potential Items</t>
  </si>
  <si>
    <t>CF or BS</t>
  </si>
  <si>
    <t>Sub-Type</t>
  </si>
  <si>
    <t>Behavior</t>
  </si>
  <si>
    <t>Flexible Outflow</t>
  </si>
  <si>
    <t>Required Outflow</t>
  </si>
  <si>
    <t>Debt Payments</t>
  </si>
  <si>
    <t>Statement paydown</t>
  </si>
  <si>
    <t>Student loan payment</t>
  </si>
  <si>
    <t>Non-Cash</t>
  </si>
  <si>
    <t>Salary &amp; Paychecks</t>
  </si>
  <si>
    <t>Other Required Outflows</t>
  </si>
  <si>
    <t>Something</t>
  </si>
  <si>
    <t>Trip</t>
  </si>
  <si>
    <t>Vacation</t>
  </si>
  <si>
    <t>Socks</t>
  </si>
  <si>
    <t>Shoes</t>
  </si>
  <si>
    <t>Month_Last30</t>
  </si>
  <si>
    <t>Day_Last30</t>
  </si>
  <si>
    <t>Week_Last30</t>
  </si>
  <si>
    <t>Year_Last30</t>
  </si>
  <si>
    <t>Year_FullRange</t>
  </si>
  <si>
    <t>Year_LTM</t>
  </si>
  <si>
    <t>Month_LTM</t>
  </si>
  <si>
    <t>Month_FullRange</t>
  </si>
  <si>
    <t>Week_LTM</t>
  </si>
  <si>
    <t>Week_FullRange</t>
  </si>
  <si>
    <t>Day_LTM</t>
  </si>
  <si>
    <t>Day_FullRange</t>
  </si>
  <si>
    <t>Supporting Empower Personal Dashboard transaction data imports</t>
  </si>
  <si>
    <t>Formulas to sync Empower transaction data to recurring inputs</t>
  </si>
  <si>
    <t>Manual inputs that are input once or infrequently (like the list of accounts you have)</t>
  </si>
  <si>
    <t>Manual inputs each time you open up the budget (like balances)</t>
  </si>
  <si>
    <t>TBD</t>
  </si>
  <si>
    <t>Atm Withdrawal</t>
  </si>
  <si>
    <t>IRS</t>
  </si>
  <si>
    <t>Massage</t>
  </si>
  <si>
    <t>Mobile Payment</t>
  </si>
  <si>
    <t>Payment</t>
  </si>
  <si>
    <t>Welcome Bonus</t>
  </si>
  <si>
    <t>Fee</t>
  </si>
  <si>
    <t>Apr Dog sitting</t>
  </si>
  <si>
    <t>Mar Dinner</t>
  </si>
  <si>
    <t>Mar Amazon return</t>
  </si>
  <si>
    <t>Mar Insurance payout</t>
  </si>
  <si>
    <t>Mar Hockey game</t>
  </si>
  <si>
    <t>Jun New laptop, Oct Clothes</t>
  </si>
  <si>
    <t>Jun Something</t>
  </si>
  <si>
    <t>Apr Current payment, Mar Current payment, May Next payment, Apr Next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</si>
</sst>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_(#,##0_);\(#,##0\)"/>
    <numFmt numFmtId="165" formatCode="_(#,##0.00_);\(#,##0.00\)"/>
    <numFmt numFmtId="166" formatCode="mmm"/>
    <numFmt numFmtId="167" formatCode="_(* #,##0_);_(* \(#,##0\);_(* &quot;-&quot;??_);_(@_)"/>
    <numFmt numFmtId="169" formatCode="_(#,##0_);\(#,##0\);_(* &quot;–&quot;_);_(@_)"/>
    <numFmt numFmtId="170" formatCode="_(#,##0_);\(#,##0\);_(* &quot;– &quot;_);_(@_)"/>
    <numFmt numFmtId="171" formatCode="ddd\ yyyy/mm/dd"/>
  </numFmts>
  <fonts count="44" x14ac:knownFonts="1">
    <font>
      <sz val="10"/>
      <color rgb="FF000000"/>
      <name val="Arial"/>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scheme val="minor"/>
    </font>
    <font>
      <u/>
      <sz val="10"/>
      <color theme="10"/>
      <name val="Arial"/>
      <family val="2"/>
      <scheme val="minor"/>
    </font>
    <font>
      <b/>
      <sz val="10"/>
      <color indexed="8"/>
      <name val="Arial"/>
      <family val="2"/>
      <scheme val="major"/>
    </font>
    <font>
      <b/>
      <sz val="10"/>
      <name val="Arial"/>
      <family val="2"/>
      <scheme val="major"/>
    </font>
    <font>
      <sz val="10"/>
      <color indexed="8"/>
      <name val="Arial"/>
      <family val="2"/>
      <scheme val="major"/>
    </font>
    <font>
      <sz val="10"/>
      <name val="Arial"/>
      <family val="2"/>
      <scheme val="major"/>
    </font>
    <font>
      <i/>
      <sz val="10"/>
      <name val="Arial"/>
      <family val="2"/>
      <scheme val="major"/>
    </font>
    <font>
      <i/>
      <sz val="10"/>
      <color indexed="8"/>
      <name val="Arial"/>
      <family val="2"/>
      <scheme val="major"/>
    </font>
    <font>
      <b/>
      <sz val="10"/>
      <color theme="0"/>
      <name val="Arial"/>
      <family val="2"/>
      <scheme val="major"/>
    </font>
    <font>
      <sz val="10"/>
      <color theme="0"/>
      <name val="Arial"/>
      <family val="2"/>
      <scheme val="major"/>
    </font>
    <font>
      <b/>
      <sz val="10"/>
      <color rgb="FF333333"/>
      <name val="Arial"/>
      <family val="2"/>
      <scheme val="major"/>
    </font>
    <font>
      <u/>
      <sz val="10"/>
      <color theme="10"/>
      <name val="Arial"/>
      <family val="2"/>
      <scheme val="major"/>
    </font>
    <font>
      <i/>
      <sz val="10"/>
      <color theme="0" tint="-0.499984740745262"/>
      <name val="Arial"/>
      <family val="2"/>
      <scheme val="major"/>
    </font>
    <font>
      <b/>
      <sz val="10"/>
      <color rgb="FF000000"/>
      <name val="Arial"/>
      <family val="2"/>
      <scheme val="minor"/>
    </font>
    <font>
      <b/>
      <u val="singleAccounting"/>
      <sz val="10"/>
      <color rgb="FF000000"/>
      <name val="Arial"/>
      <family val="2"/>
      <scheme val="minor"/>
    </font>
    <font>
      <sz val="10"/>
      <name val="Arial"/>
      <family val="2"/>
      <scheme val="minor"/>
    </font>
    <font>
      <b/>
      <sz val="10"/>
      <name val="Arial"/>
      <family val="2"/>
      <scheme val="minor"/>
    </font>
    <font>
      <b/>
      <u val="singleAccounting"/>
      <sz val="10"/>
      <name val="Arial"/>
      <family val="2"/>
      <scheme val="minor"/>
    </font>
    <font>
      <sz val="10"/>
      <color rgb="FFFF0000"/>
      <name val="Arial"/>
      <family val="2"/>
      <scheme val="minor"/>
    </font>
    <font>
      <b/>
      <sz val="10"/>
      <color theme="0"/>
      <name val="Arial"/>
      <family val="2"/>
      <scheme val="minor"/>
    </font>
    <font>
      <i/>
      <sz val="10"/>
      <color rgb="FFFF0000"/>
      <name val="Arial"/>
      <family val="2"/>
      <scheme val="major"/>
    </font>
    <font>
      <i/>
      <sz val="10"/>
      <color theme="0"/>
      <name val="Arial"/>
      <family val="2"/>
      <scheme val="major"/>
    </font>
    <font>
      <i/>
      <u/>
      <sz val="10"/>
      <name val="Arial"/>
      <family val="2"/>
      <scheme val="major"/>
    </font>
    <font>
      <i/>
      <u/>
      <sz val="10"/>
      <color indexed="8"/>
      <name val="Arial"/>
      <family val="2"/>
      <scheme val="major"/>
    </font>
    <font>
      <sz val="10"/>
      <color theme="7" tint="-0.249977111117893"/>
      <name val="Arial"/>
      <family val="2"/>
      <scheme val="minor"/>
    </font>
    <font>
      <b/>
      <u/>
      <sz val="10"/>
      <color rgb="FF000000"/>
      <name val="Arial"/>
      <family val="2"/>
      <scheme val="minor"/>
    </font>
    <font>
      <sz val="10"/>
      <color rgb="FFFF0000"/>
      <name val="Arial"/>
      <family val="2"/>
      <scheme val="major"/>
    </font>
    <font>
      <sz val="10"/>
      <color theme="0"/>
      <name val="Arial"/>
      <family val="2"/>
      <scheme val="minor"/>
    </font>
    <font>
      <i/>
      <sz val="10"/>
      <color rgb="FF000000"/>
      <name val="Arial"/>
      <family val="2"/>
      <scheme val="minor"/>
    </font>
    <font>
      <u/>
      <sz val="10"/>
      <color rgb="FF000000"/>
      <name val="Arial"/>
      <family val="2"/>
    </font>
    <font>
      <sz val="8"/>
      <color indexed="8"/>
      <name val="Arial"/>
      <family val="2"/>
      <scheme val="major"/>
    </font>
    <font>
      <b/>
      <sz val="8"/>
      <color indexed="8"/>
      <name val="Arial"/>
      <family val="2"/>
      <scheme val="major"/>
    </font>
    <font>
      <b/>
      <sz val="8"/>
      <name val="Arial"/>
      <family val="2"/>
      <scheme val="major"/>
    </font>
    <font>
      <sz val="8"/>
      <name val="Arial"/>
      <family val="2"/>
      <scheme val="major"/>
    </font>
    <font>
      <sz val="10"/>
      <name val="Arial"/>
      <family val="2"/>
    </font>
    <font>
      <u/>
      <sz val="10"/>
      <color rgb="FF000000"/>
      <name val="Arial"/>
      <family val="2"/>
      <scheme val="minor"/>
    </font>
    <font>
      <b/>
      <i/>
      <u/>
      <sz val="10"/>
      <color rgb="FFFF0000"/>
      <name val="Arial"/>
      <family val="2"/>
      <scheme val="major"/>
    </font>
    <font>
      <b/>
      <sz val="10"/>
      <color rgb="FFFF0000"/>
      <name val="Arial"/>
      <family val="2"/>
      <scheme val="minor"/>
    </font>
  </fonts>
  <fills count="19">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bgColor indexed="64"/>
      </patternFill>
    </fill>
    <fill>
      <patternFill patternType="solid">
        <fgColor theme="4" tint="0.79998168889431442"/>
        <bgColor indexed="64"/>
      </patternFill>
    </fill>
    <fill>
      <patternFill patternType="solid">
        <fgColor theme="5"/>
        <bgColor indexed="64"/>
      </patternFill>
    </fill>
    <fill>
      <patternFill patternType="solid">
        <fgColor theme="6" tint="0.39997558519241921"/>
        <bgColor indexed="64"/>
      </patternFill>
    </fill>
    <fill>
      <patternFill patternType="solid">
        <fgColor theme="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6"/>
        <bgColor indexed="64"/>
      </patternFill>
    </fill>
  </fills>
  <borders count="1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indexed="64"/>
      </right>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theme="0" tint="-0.14993743705557422"/>
      </right>
      <top style="thin">
        <color theme="0" tint="-0.14996795556505021"/>
      </top>
      <bottom style="thin">
        <color auto="1"/>
      </bottom>
      <diagonal/>
    </border>
    <border>
      <left style="thin">
        <color theme="0" tint="-0.14996795556505021"/>
      </left>
      <right style="thin">
        <color indexed="64"/>
      </right>
      <top style="thin">
        <color theme="0" tint="-0.14996795556505021"/>
      </top>
      <bottom style="thin">
        <color theme="0" tint="-0.14996795556505021"/>
      </bottom>
      <diagonal/>
    </border>
  </borders>
  <cellStyleXfs count="10">
    <xf numFmtId="0" fontId="0" fillId="0" borderId="0"/>
    <xf numFmtId="43" fontId="6" fillId="0" borderId="0" applyFont="0" applyFill="0" applyBorder="0" applyAlignment="0" applyProtection="0"/>
    <xf numFmtId="0" fontId="7" fillId="0" borderId="0" applyNumberFormat="0" applyFill="0" applyBorder="0" applyAlignment="0" applyProtection="0"/>
    <xf numFmtId="0" fontId="5" fillId="0" borderId="0"/>
    <xf numFmtId="0" fontId="4" fillId="0" borderId="0"/>
    <xf numFmtId="0" fontId="3" fillId="0" borderId="0"/>
    <xf numFmtId="0" fontId="6" fillId="0" borderId="0"/>
    <xf numFmtId="0" fontId="2" fillId="0" borderId="0"/>
    <xf numFmtId="0" fontId="2" fillId="0" borderId="0"/>
    <xf numFmtId="0" fontId="2" fillId="0" borderId="0"/>
  </cellStyleXfs>
  <cellXfs count="188">
    <xf numFmtId="0" fontId="0" fillId="0" borderId="0" xfId="0"/>
    <xf numFmtId="164" fontId="0" fillId="0" borderId="0" xfId="0" applyNumberFormat="1"/>
    <xf numFmtId="165" fontId="0" fillId="0" borderId="0" xfId="0" applyNumberFormat="1"/>
    <xf numFmtId="0" fontId="9" fillId="2" borderId="0" xfId="0" applyFont="1" applyFill="1"/>
    <xf numFmtId="14" fontId="9" fillId="2" borderId="0" xfId="0" applyNumberFormat="1" applyFont="1" applyFill="1"/>
    <xf numFmtId="0" fontId="10" fillId="0" borderId="0" xfId="0" applyFont="1"/>
    <xf numFmtId="164" fontId="10" fillId="0" borderId="0" xfId="0" applyNumberFormat="1" applyFont="1"/>
    <xf numFmtId="166" fontId="9" fillId="3" borderId="2" xfId="0" applyNumberFormat="1" applyFont="1" applyFill="1" applyBorder="1" applyAlignment="1">
      <alignment horizontal="center" vertical="center"/>
    </xf>
    <xf numFmtId="0" fontId="8" fillId="0" borderId="0" xfId="0" applyFont="1" applyAlignment="1">
      <alignment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xf numFmtId="14" fontId="10" fillId="0" borderId="0" xfId="0" applyNumberFormat="1" applyFont="1" applyAlignment="1">
      <alignment horizontal="right"/>
    </xf>
    <xf numFmtId="164" fontId="11" fillId="0" borderId="0" xfId="0" applyNumberFormat="1" applyFont="1"/>
    <xf numFmtId="164" fontId="12" fillId="0" borderId="0" xfId="0" applyNumberFormat="1" applyFont="1"/>
    <xf numFmtId="167" fontId="10" fillId="0" borderId="0" xfId="1" applyNumberFormat="1" applyFont="1" applyFill="1" applyBorder="1"/>
    <xf numFmtId="164" fontId="13" fillId="3" borderId="0" xfId="0" applyNumberFormat="1" applyFont="1" applyFill="1"/>
    <xf numFmtId="164" fontId="8" fillId="0" borderId="0" xfId="0" applyNumberFormat="1" applyFont="1" applyAlignment="1">
      <alignment horizontal="right"/>
    </xf>
    <xf numFmtId="167" fontId="10" fillId="0" borderId="0" xfId="0" applyNumberFormat="1" applyFont="1"/>
    <xf numFmtId="43" fontId="16" fillId="0" borderId="0" xfId="1" applyFont="1"/>
    <xf numFmtId="164" fontId="16" fillId="0" borderId="0" xfId="1" applyNumberFormat="1" applyFont="1"/>
    <xf numFmtId="166" fontId="10" fillId="0" borderId="0" xfId="0" applyNumberFormat="1" applyFont="1"/>
    <xf numFmtId="0" fontId="17" fillId="0" borderId="0" xfId="2" applyFont="1" applyBorder="1"/>
    <xf numFmtId="0" fontId="20" fillId="0" borderId="0" xfId="0" applyFont="1"/>
    <xf numFmtId="164" fontId="20" fillId="0" borderId="0" xfId="0" applyNumberFormat="1" applyFont="1"/>
    <xf numFmtId="0" fontId="0" fillId="11" borderId="0" xfId="0" applyFill="1"/>
    <xf numFmtId="0" fontId="6" fillId="0" borderId="0" xfId="0" applyFont="1"/>
    <xf numFmtId="165" fontId="25" fillId="12" borderId="0" xfId="0" applyNumberFormat="1" applyFont="1" applyFill="1"/>
    <xf numFmtId="14" fontId="0" fillId="0" borderId="0" xfId="0" applyNumberFormat="1"/>
    <xf numFmtId="14" fontId="10" fillId="0" borderId="0" xfId="3" applyNumberFormat="1" applyFont="1"/>
    <xf numFmtId="0" fontId="10" fillId="0" borderId="0" xfId="3" applyFont="1"/>
    <xf numFmtId="0" fontId="13" fillId="0" borderId="0" xfId="0" applyFont="1"/>
    <xf numFmtId="14" fontId="21" fillId="0" borderId="0" xfId="0" applyNumberFormat="1" applyFont="1"/>
    <xf numFmtId="14" fontId="20" fillId="0" borderId="0" xfId="0" applyNumberFormat="1" applyFont="1"/>
    <xf numFmtId="0" fontId="23" fillId="0" borderId="0" xfId="0" applyFont="1"/>
    <xf numFmtId="164" fontId="23" fillId="0" borderId="0" xfId="0" applyNumberFormat="1" applyFont="1"/>
    <xf numFmtId="0" fontId="21" fillId="0" borderId="0" xfId="0" applyFont="1"/>
    <xf numFmtId="164" fontId="21" fillId="0" borderId="0" xfId="0" applyNumberFormat="1" applyFont="1"/>
    <xf numFmtId="0" fontId="13" fillId="3" borderId="0" xfId="0" applyFont="1" applyFill="1"/>
    <xf numFmtId="0" fontId="13" fillId="3" borderId="0" xfId="0" applyFont="1" applyFill="1" applyAlignment="1">
      <alignment vertical="center"/>
    </xf>
    <xf numFmtId="164" fontId="10" fillId="3" borderId="0" xfId="0" applyNumberFormat="1" applyFont="1" applyFill="1"/>
    <xf numFmtId="0" fontId="27" fillId="3" borderId="0" xfId="0" applyFont="1" applyFill="1"/>
    <xf numFmtId="169" fontId="9" fillId="3" borderId="0" xfId="0" applyNumberFormat="1" applyFont="1" applyFill="1" applyAlignment="1">
      <alignment horizontal="center" vertical="center"/>
    </xf>
    <xf numFmtId="169" fontId="13" fillId="3" borderId="0" xfId="0" applyNumberFormat="1" applyFont="1" applyFill="1" applyAlignment="1">
      <alignment vertical="center"/>
    </xf>
    <xf numFmtId="169" fontId="14" fillId="4" borderId="0" xfId="0" applyNumberFormat="1" applyFont="1" applyFill="1" applyAlignment="1">
      <alignment horizontal="center" vertical="center"/>
    </xf>
    <xf numFmtId="169" fontId="10" fillId="3" borderId="0" xfId="0" applyNumberFormat="1" applyFont="1" applyFill="1" applyAlignment="1">
      <alignment horizontal="right" vertical="center"/>
    </xf>
    <xf numFmtId="169" fontId="13" fillId="3" borderId="0" xfId="0" applyNumberFormat="1" applyFont="1" applyFill="1"/>
    <xf numFmtId="169" fontId="26" fillId="3" borderId="0" xfId="0" applyNumberFormat="1" applyFont="1" applyFill="1"/>
    <xf numFmtId="169" fontId="11" fillId="3" borderId="0" xfId="0" applyNumberFormat="1" applyFont="1" applyFill="1"/>
    <xf numFmtId="169" fontId="18" fillId="3" borderId="0" xfId="0" applyNumberFormat="1" applyFont="1" applyFill="1"/>
    <xf numFmtId="169" fontId="10" fillId="3" borderId="0" xfId="0" applyNumberFormat="1" applyFont="1" applyFill="1"/>
    <xf numFmtId="0" fontId="25" fillId="7" borderId="0" xfId="0" applyFont="1" applyFill="1"/>
    <xf numFmtId="0" fontId="22" fillId="2" borderId="0" xfId="0" applyFont="1" applyFill="1"/>
    <xf numFmtId="0" fontId="13" fillId="3" borderId="0" xfId="0" applyFont="1" applyFill="1" applyAlignment="1">
      <alignment horizontal="right"/>
    </xf>
    <xf numFmtId="0" fontId="9" fillId="2" borderId="0" xfId="2" applyNumberFormat="1" applyFont="1" applyFill="1" applyBorder="1"/>
    <xf numFmtId="0" fontId="10" fillId="3" borderId="0" xfId="0" applyFont="1" applyFill="1"/>
    <xf numFmtId="0" fontId="14" fillId="4" borderId="0" xfId="0" applyFont="1" applyFill="1"/>
    <xf numFmtId="0" fontId="8" fillId="13" borderId="4" xfId="0" applyFont="1" applyFill="1" applyBorder="1" applyAlignment="1">
      <alignment horizontal="right" vertical="center"/>
    </xf>
    <xf numFmtId="0" fontId="11" fillId="3" borderId="0" xfId="0" applyFont="1" applyFill="1" applyAlignment="1">
      <alignment horizontal="right"/>
    </xf>
    <xf numFmtId="0" fontId="14" fillId="5" borderId="7" xfId="0" applyFont="1" applyFill="1" applyBorder="1"/>
    <xf numFmtId="0" fontId="11" fillId="3" borderId="10" xfId="0" applyFont="1" applyFill="1" applyBorder="1"/>
    <xf numFmtId="0" fontId="11" fillId="3" borderId="0" xfId="0" applyFont="1" applyFill="1"/>
    <xf numFmtId="0" fontId="11" fillId="13" borderId="10" xfId="0" applyFont="1" applyFill="1" applyBorder="1" applyAlignment="1">
      <alignment horizontal="right"/>
    </xf>
    <xf numFmtId="0" fontId="28" fillId="3" borderId="10" xfId="0" applyFont="1" applyFill="1" applyBorder="1"/>
    <xf numFmtId="0" fontId="11" fillId="6" borderId="13" xfId="0" applyFont="1" applyFill="1" applyBorder="1" applyAlignment="1">
      <alignment horizontal="right"/>
    </xf>
    <xf numFmtId="0" fontId="14" fillId="5" borderId="7" xfId="0" applyFont="1" applyFill="1" applyBorder="1" applyAlignment="1">
      <alignment horizontal="left"/>
    </xf>
    <xf numFmtId="0" fontId="9" fillId="10" borderId="4" xfId="0" applyFont="1" applyFill="1" applyBorder="1"/>
    <xf numFmtId="0" fontId="14" fillId="7" borderId="7" xfId="0" applyFont="1" applyFill="1" applyBorder="1"/>
    <xf numFmtId="0" fontId="11" fillId="3" borderId="10" xfId="0" applyFont="1" applyFill="1" applyBorder="1" applyAlignment="1">
      <alignment horizontal="left"/>
    </xf>
    <xf numFmtId="0" fontId="0" fillId="3" borderId="10" xfId="0" applyFill="1" applyBorder="1"/>
    <xf numFmtId="0" fontId="11" fillId="8" borderId="13" xfId="0" applyFont="1" applyFill="1" applyBorder="1" applyAlignment="1">
      <alignment horizontal="right"/>
    </xf>
    <xf numFmtId="0" fontId="9" fillId="14" borderId="4" xfId="0" applyFont="1" applyFill="1" applyBorder="1"/>
    <xf numFmtId="0" fontId="14" fillId="9" borderId="7" xfId="0" applyFont="1" applyFill="1" applyBorder="1"/>
    <xf numFmtId="0" fontId="9" fillId="13" borderId="10" xfId="0" applyFont="1" applyFill="1" applyBorder="1" applyAlignment="1">
      <alignment horizontal="right"/>
    </xf>
    <xf numFmtId="0" fontId="9" fillId="15" borderId="13" xfId="0" applyFont="1" applyFill="1" applyBorder="1" applyAlignment="1">
      <alignment horizontal="right"/>
    </xf>
    <xf numFmtId="0" fontId="10" fillId="13" borderId="0" xfId="0" applyFont="1" applyFill="1" applyAlignment="1">
      <alignment horizontal="left" vertical="center"/>
    </xf>
    <xf numFmtId="0" fontId="29" fillId="3" borderId="0" xfId="0" applyFont="1" applyFill="1" applyAlignment="1">
      <alignment horizontal="left" vertical="center"/>
    </xf>
    <xf numFmtId="165" fontId="22" fillId="2" borderId="0" xfId="0" applyNumberFormat="1" applyFont="1" applyFill="1"/>
    <xf numFmtId="0" fontId="25" fillId="16" borderId="0" xfId="0" applyFont="1" applyFill="1"/>
    <xf numFmtId="0" fontId="6" fillId="0" borderId="0" xfId="0" quotePrefix="1" applyFont="1"/>
    <xf numFmtId="0" fontId="9" fillId="3" borderId="3" xfId="0" applyFont="1" applyFill="1" applyBorder="1" applyAlignment="1">
      <alignment horizontal="center" vertical="center" wrapText="1"/>
    </xf>
    <xf numFmtId="170" fontId="11" fillId="3" borderId="0" xfId="0" applyNumberFormat="1" applyFont="1" applyFill="1"/>
    <xf numFmtId="170" fontId="10" fillId="3" borderId="0" xfId="0" applyNumberFormat="1" applyFont="1" applyFill="1" applyAlignment="1">
      <alignment horizontal="right" vertical="center"/>
    </xf>
    <xf numFmtId="170" fontId="10" fillId="13" borderId="0" xfId="0" applyNumberFormat="1" applyFont="1" applyFill="1" applyAlignment="1">
      <alignment horizontal="right" vertical="center"/>
    </xf>
    <xf numFmtId="170" fontId="10" fillId="13" borderId="0" xfId="0" applyNumberFormat="1" applyFont="1" applyFill="1"/>
    <xf numFmtId="170" fontId="8" fillId="13" borderId="5" xfId="0" applyNumberFormat="1" applyFont="1" applyFill="1" applyBorder="1" applyAlignment="1">
      <alignment horizontal="right" vertical="center"/>
    </xf>
    <xf numFmtId="170" fontId="8" fillId="13" borderId="6" xfId="0" applyNumberFormat="1" applyFont="1" applyFill="1" applyBorder="1"/>
    <xf numFmtId="170" fontId="8" fillId="3" borderId="0" xfId="0" applyNumberFormat="1" applyFont="1" applyFill="1"/>
    <xf numFmtId="170" fontId="15" fillId="5" borderId="8" xfId="0" applyNumberFormat="1" applyFont="1" applyFill="1" applyBorder="1" applyAlignment="1">
      <alignment horizontal="center"/>
    </xf>
    <xf numFmtId="170" fontId="15" fillId="5" borderId="9" xfId="0" applyNumberFormat="1" applyFont="1" applyFill="1" applyBorder="1" applyAlignment="1">
      <alignment horizontal="center"/>
    </xf>
    <xf numFmtId="170" fontId="11" fillId="3" borderId="11" xfId="0" applyNumberFormat="1" applyFont="1" applyFill="1" applyBorder="1"/>
    <xf numFmtId="170" fontId="11" fillId="3" borderId="12" xfId="0" applyNumberFormat="1" applyFont="1" applyFill="1" applyBorder="1"/>
    <xf numFmtId="170" fontId="11" fillId="13" borderId="0" xfId="0" applyNumberFormat="1" applyFont="1" applyFill="1"/>
    <xf numFmtId="170" fontId="11" fillId="13" borderId="12" xfId="0" applyNumberFormat="1" applyFont="1" applyFill="1" applyBorder="1"/>
    <xf numFmtId="170" fontId="11" fillId="6" borderId="14" xfId="0" applyNumberFormat="1" applyFont="1" applyFill="1" applyBorder="1"/>
    <xf numFmtId="170" fontId="11" fillId="6" borderId="15" xfId="0" applyNumberFormat="1" applyFont="1" applyFill="1" applyBorder="1"/>
    <xf numFmtId="170" fontId="9" fillId="10" borderId="5" xfId="0" applyNumberFormat="1" applyFont="1" applyFill="1" applyBorder="1"/>
    <xf numFmtId="170" fontId="9" fillId="10" borderId="6" xfId="0" applyNumberFormat="1" applyFont="1" applyFill="1" applyBorder="1"/>
    <xf numFmtId="170" fontId="11" fillId="8" borderId="14" xfId="0" applyNumberFormat="1" applyFont="1" applyFill="1" applyBorder="1"/>
    <xf numFmtId="170" fontId="11" fillId="8" borderId="16" xfId="0" applyNumberFormat="1" applyFont="1" applyFill="1" applyBorder="1"/>
    <xf numFmtId="170" fontId="11" fillId="8" borderId="15" xfId="0" applyNumberFormat="1" applyFont="1" applyFill="1" applyBorder="1"/>
    <xf numFmtId="170" fontId="11" fillId="14" borderId="5" xfId="0" applyNumberFormat="1" applyFont="1" applyFill="1" applyBorder="1"/>
    <xf numFmtId="170" fontId="9" fillId="14" borderId="5" xfId="0" applyNumberFormat="1" applyFont="1" applyFill="1" applyBorder="1"/>
    <xf numFmtId="170" fontId="9" fillId="14" borderId="6" xfId="0" applyNumberFormat="1" applyFont="1" applyFill="1" applyBorder="1"/>
    <xf numFmtId="170" fontId="11" fillId="6" borderId="16" xfId="0" applyNumberFormat="1" applyFont="1" applyFill="1" applyBorder="1"/>
    <xf numFmtId="170" fontId="15" fillId="9" borderId="8" xfId="0" applyNumberFormat="1" applyFont="1" applyFill="1" applyBorder="1" applyAlignment="1">
      <alignment horizontal="center"/>
    </xf>
    <xf numFmtId="170" fontId="9" fillId="13" borderId="0" xfId="0" applyNumberFormat="1" applyFont="1" applyFill="1"/>
    <xf numFmtId="170" fontId="9" fillId="15" borderId="14" xfId="0" applyNumberFormat="1" applyFont="1" applyFill="1" applyBorder="1"/>
    <xf numFmtId="165" fontId="23" fillId="0" borderId="0" xfId="0" applyNumberFormat="1" applyFont="1"/>
    <xf numFmtId="165" fontId="25" fillId="16" borderId="0" xfId="0" applyNumberFormat="1" applyFont="1" applyFill="1"/>
    <xf numFmtId="0" fontId="24" fillId="0" borderId="0" xfId="0" applyFont="1"/>
    <xf numFmtId="164" fontId="30" fillId="0" borderId="0" xfId="0" applyNumberFormat="1" applyFont="1"/>
    <xf numFmtId="166" fontId="9" fillId="3" borderId="1" xfId="0" applyNumberFormat="1" applyFont="1" applyFill="1" applyBorder="1" applyAlignment="1">
      <alignment horizontal="center" vertical="center"/>
    </xf>
    <xf numFmtId="170" fontId="11" fillId="3" borderId="17" xfId="0" applyNumberFormat="1" applyFont="1" applyFill="1" applyBorder="1"/>
    <xf numFmtId="170" fontId="9" fillId="13" borderId="12" xfId="0" applyNumberFormat="1" applyFont="1" applyFill="1" applyBorder="1"/>
    <xf numFmtId="170" fontId="9" fillId="15" borderId="15" xfId="0" applyNumberFormat="1" applyFont="1" applyFill="1" applyBorder="1"/>
    <xf numFmtId="170" fontId="15" fillId="9" borderId="9" xfId="0" applyNumberFormat="1" applyFont="1" applyFill="1" applyBorder="1" applyAlignment="1">
      <alignment horizontal="center"/>
    </xf>
    <xf numFmtId="0" fontId="31" fillId="0" borderId="0" xfId="0" applyFont="1"/>
    <xf numFmtId="0" fontId="31" fillId="0" borderId="0" xfId="0" quotePrefix="1" applyFont="1"/>
    <xf numFmtId="0" fontId="10" fillId="0" borderId="0" xfId="0" quotePrefix="1" applyFont="1"/>
    <xf numFmtId="170" fontId="11" fillId="5" borderId="8" xfId="0" applyNumberFormat="1" applyFont="1" applyFill="1" applyBorder="1" applyAlignment="1">
      <alignment horizontal="center"/>
    </xf>
    <xf numFmtId="170" fontId="11" fillId="5" borderId="9" xfId="0" applyNumberFormat="1" applyFont="1" applyFill="1" applyBorder="1" applyAlignment="1">
      <alignment horizontal="center"/>
    </xf>
    <xf numFmtId="170" fontId="11" fillId="5" borderId="8" xfId="0" applyNumberFormat="1" applyFont="1" applyFill="1" applyBorder="1" applyAlignment="1">
      <alignment horizontal="left"/>
    </xf>
    <xf numFmtId="170" fontId="11" fillId="5" borderId="9" xfId="0" applyNumberFormat="1" applyFont="1" applyFill="1" applyBorder="1" applyAlignment="1">
      <alignment horizontal="left"/>
    </xf>
    <xf numFmtId="170" fontId="11" fillId="7" borderId="8" xfId="0" applyNumberFormat="1" applyFont="1" applyFill="1" applyBorder="1" applyAlignment="1">
      <alignment horizontal="center"/>
    </xf>
    <xf numFmtId="170" fontId="11" fillId="7" borderId="9" xfId="0" applyNumberFormat="1" applyFont="1" applyFill="1" applyBorder="1" applyAlignment="1">
      <alignment horizontal="center"/>
    </xf>
    <xf numFmtId="0" fontId="6" fillId="3" borderId="10" xfId="0" applyFont="1" applyFill="1" applyBorder="1"/>
    <xf numFmtId="0" fontId="32" fillId="0" borderId="0" xfId="0" applyFont="1"/>
    <xf numFmtId="0" fontId="13" fillId="0" borderId="0" xfId="0" quotePrefix="1" applyFont="1"/>
    <xf numFmtId="0" fontId="10" fillId="3" borderId="0" xfId="0" applyFont="1" applyFill="1" applyAlignment="1">
      <alignment horizontal="right" vertical="center"/>
    </xf>
    <xf numFmtId="0" fontId="33" fillId="7" borderId="0" xfId="0" applyFont="1" applyFill="1"/>
    <xf numFmtId="0" fontId="6" fillId="11" borderId="0" xfId="0" applyFont="1" applyFill="1"/>
    <xf numFmtId="0" fontId="25" fillId="16" borderId="0" xfId="0" applyFont="1" applyFill="1" applyAlignment="1">
      <alignment horizontal="left"/>
    </xf>
    <xf numFmtId="0" fontId="0" fillId="0" borderId="0" xfId="0" applyAlignment="1">
      <alignment horizontal="left"/>
    </xf>
    <xf numFmtId="0" fontId="23" fillId="0" borderId="0" xfId="0" applyFont="1" applyAlignment="1">
      <alignment horizontal="left"/>
    </xf>
    <xf numFmtId="16" fontId="21" fillId="0" borderId="0" xfId="0" quotePrefix="1" applyNumberFormat="1" applyFont="1" applyAlignment="1">
      <alignment horizontal="left"/>
    </xf>
    <xf numFmtId="0" fontId="26" fillId="0" borderId="0" xfId="0" applyFont="1"/>
    <xf numFmtId="164" fontId="32" fillId="0" borderId="0" xfId="0" applyNumberFormat="1" applyFont="1"/>
    <xf numFmtId="14" fontId="32" fillId="0" borderId="0" xfId="0" applyNumberFormat="1" applyFont="1"/>
    <xf numFmtId="14" fontId="10" fillId="0" borderId="0" xfId="0" applyNumberFormat="1" applyFont="1"/>
    <xf numFmtId="164" fontId="10" fillId="0" borderId="0" xfId="3" applyNumberFormat="1" applyFont="1"/>
    <xf numFmtId="171" fontId="0" fillId="0" borderId="0" xfId="0" applyNumberFormat="1"/>
    <xf numFmtId="0" fontId="36" fillId="0" borderId="0" xfId="3" applyFont="1"/>
    <xf numFmtId="0" fontId="37" fillId="17" borderId="0" xfId="3" applyFont="1" applyFill="1"/>
    <xf numFmtId="164" fontId="36" fillId="0" borderId="0" xfId="3" applyNumberFormat="1" applyFont="1"/>
    <xf numFmtId="164" fontId="37" fillId="17" borderId="0" xfId="3" applyNumberFormat="1" applyFont="1" applyFill="1"/>
    <xf numFmtId="14" fontId="36" fillId="0" borderId="0" xfId="3" applyNumberFormat="1" applyFont="1"/>
    <xf numFmtId="14" fontId="37" fillId="17" borderId="0" xfId="3" applyNumberFormat="1" applyFont="1" applyFill="1"/>
    <xf numFmtId="14" fontId="38" fillId="2" borderId="0" xfId="3" quotePrefix="1" applyNumberFormat="1" applyFont="1" applyFill="1"/>
    <xf numFmtId="14" fontId="39" fillId="0" borderId="0" xfId="3" quotePrefix="1" applyNumberFormat="1" applyFont="1" applyAlignment="1">
      <alignment wrapText="1"/>
    </xf>
    <xf numFmtId="14" fontId="36" fillId="0" borderId="0" xfId="3" quotePrefix="1" applyNumberFormat="1" applyFont="1" applyAlignment="1">
      <alignment wrapText="1"/>
    </xf>
    <xf numFmtId="171" fontId="25" fillId="16" borderId="0" xfId="0" applyNumberFormat="1" applyFont="1" applyFill="1" applyAlignment="1">
      <alignment horizontal="left"/>
    </xf>
    <xf numFmtId="171" fontId="34" fillId="0" borderId="0" xfId="0" applyNumberFormat="1" applyFont="1"/>
    <xf numFmtId="171" fontId="23" fillId="0" borderId="0" xfId="0" applyNumberFormat="1" applyFont="1"/>
    <xf numFmtId="171" fontId="6" fillId="0" borderId="0" xfId="0" applyNumberFormat="1" applyFont="1"/>
    <xf numFmtId="171" fontId="21" fillId="0" borderId="0" xfId="0" applyNumberFormat="1" applyFont="1"/>
    <xf numFmtId="165" fontId="21" fillId="0" borderId="0" xfId="0" applyNumberFormat="1" applyFont="1"/>
    <xf numFmtId="0" fontId="2" fillId="0" borderId="0" xfId="4" applyFont="1"/>
    <xf numFmtId="0" fontId="37" fillId="17" borderId="0" xfId="3" quotePrefix="1" applyFont="1" applyFill="1"/>
    <xf numFmtId="170" fontId="11" fillId="3" borderId="11" xfId="0" quotePrefix="1" applyNumberFormat="1" applyFont="1" applyFill="1" applyBorder="1" applyAlignment="1">
      <alignment wrapText="1"/>
    </xf>
    <xf numFmtId="0" fontId="11" fillId="0" borderId="0" xfId="0" applyFont="1"/>
    <xf numFmtId="0" fontId="11" fillId="0" borderId="0" xfId="0" applyFont="1" applyAlignment="1">
      <alignment horizontal="left"/>
    </xf>
    <xf numFmtId="0" fontId="26" fillId="0" borderId="0" xfId="3" applyFont="1"/>
    <xf numFmtId="165" fontId="40" fillId="0" borderId="0" xfId="4" applyNumberFormat="1" applyFont="1"/>
    <xf numFmtId="164" fontId="34" fillId="0" borderId="0" xfId="0" applyNumberFormat="1" applyFont="1"/>
    <xf numFmtId="164" fontId="6" fillId="0" borderId="0" xfId="0" applyNumberFormat="1" applyFont="1"/>
    <xf numFmtId="164" fontId="40" fillId="0" borderId="0" xfId="4" applyNumberFormat="1" applyFont="1"/>
    <xf numFmtId="0" fontId="6" fillId="0" borderId="0" xfId="0" applyFont="1" applyAlignment="1">
      <alignment horizontal="left"/>
    </xf>
    <xf numFmtId="14" fontId="24" fillId="0" borderId="0" xfId="0" applyNumberFormat="1" applyFont="1"/>
    <xf numFmtId="0" fontId="1" fillId="0" borderId="0" xfId="4" applyFont="1"/>
    <xf numFmtId="0" fontId="41" fillId="0" borderId="0" xfId="0" applyFont="1"/>
    <xf numFmtId="0" fontId="13" fillId="0" borderId="0" xfId="0" applyFont="1" applyAlignment="1">
      <alignment horizontal="right" vertical="center"/>
    </xf>
    <xf numFmtId="164" fontId="12" fillId="0" borderId="0" xfId="0" applyNumberFormat="1" applyFont="1" applyAlignment="1">
      <alignment horizontal="right" vertical="center"/>
    </xf>
    <xf numFmtId="164" fontId="13" fillId="0" borderId="0" xfId="0" applyNumberFormat="1" applyFont="1" applyAlignment="1">
      <alignment horizontal="right" vertical="center"/>
    </xf>
    <xf numFmtId="164" fontId="8" fillId="0" borderId="0" xfId="0" applyNumberFormat="1" applyFont="1"/>
    <xf numFmtId="0" fontId="0" fillId="0" borderId="0" xfId="0" applyAlignment="1">
      <alignment horizontal="right"/>
    </xf>
    <xf numFmtId="0" fontId="6" fillId="0" borderId="0" xfId="0" applyFont="1" applyAlignment="1">
      <alignment horizontal="right"/>
    </xf>
    <xf numFmtId="0" fontId="19" fillId="18" borderId="0" xfId="0" applyFont="1" applyFill="1"/>
    <xf numFmtId="0" fontId="19" fillId="2" borderId="0" xfId="0" applyFont="1" applyFill="1"/>
    <xf numFmtId="164" fontId="6" fillId="0" borderId="0" xfId="0" quotePrefix="1" applyNumberFormat="1" applyFont="1" applyAlignment="1">
      <alignment wrapText="1"/>
    </xf>
    <xf numFmtId="0" fontId="20" fillId="0" borderId="0" xfId="0" applyFont="1" applyAlignment="1">
      <alignment wrapText="1"/>
    </xf>
    <xf numFmtId="0" fontId="26" fillId="3" borderId="0" xfId="0" applyFont="1" applyFill="1" applyAlignment="1">
      <alignment horizontal="right"/>
    </xf>
    <xf numFmtId="3" fontId="26" fillId="3" borderId="0" xfId="0" applyNumberFormat="1" applyFont="1" applyFill="1" applyAlignment="1">
      <alignment horizontal="right"/>
    </xf>
    <xf numFmtId="0" fontId="26" fillId="0" borderId="0" xfId="0" applyFont="1" applyAlignment="1">
      <alignment horizontal="right"/>
    </xf>
    <xf numFmtId="0" fontId="26" fillId="3" borderId="0" xfId="0" quotePrefix="1" applyFont="1" applyFill="1" applyAlignment="1">
      <alignment horizontal="right"/>
    </xf>
    <xf numFmtId="0" fontId="26" fillId="3" borderId="0" xfId="0" applyFont="1" applyFill="1" applyAlignment="1">
      <alignment horizontal="right" vertical="center"/>
    </xf>
    <xf numFmtId="0" fontId="42" fillId="3" borderId="0" xfId="0" applyFont="1" applyFill="1" applyAlignment="1">
      <alignment horizontal="right"/>
    </xf>
    <xf numFmtId="0" fontId="43" fillId="0" borderId="0" xfId="0" applyFont="1"/>
  </cellXfs>
  <cellStyles count="10">
    <cellStyle name="Comma" xfId="1" builtinId="3"/>
    <cellStyle name="Hyperlink" xfId="2" builtinId="8"/>
    <cellStyle name="Normal" xfId="0" builtinId="0"/>
    <cellStyle name="Normal 2" xfId="3" xr:uid="{CEC3D16E-4166-4668-9BC3-C144B47C870F}"/>
    <cellStyle name="Normal 2 2" xfId="9" xr:uid="{4CDF68D9-8FD3-4CD9-AE0E-9FB4370069D7}"/>
    <cellStyle name="Normal 3" xfId="4" xr:uid="{6CA16E74-4B7B-4598-9E11-AB00B459EAD6}"/>
    <cellStyle name="Normal 3 2" xfId="7" xr:uid="{2132DAE0-3AEB-4268-86F5-6EA33EACCB52}"/>
    <cellStyle name="Normal 4" xfId="5" xr:uid="{28C9050D-52DD-4991-AD73-BA46E072E313}"/>
    <cellStyle name="Normal 5" xfId="6" xr:uid="{95D77AE4-61FA-4D24-8238-2B6A554365FC}"/>
    <cellStyle name="Normal 5 2" xfId="8" xr:uid="{7E69B8E1-40C1-493D-9721-80C65467E93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EBF7"/>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28</xdr:row>
      <xdr:rowOff>0</xdr:rowOff>
    </xdr:from>
    <xdr:ext cx="5156668" cy="254557"/>
    <xdr:sp macro="" textlink="">
      <xdr:nvSpPr>
        <xdr:cNvPr id="2" name="TextBox 1">
          <a:extLst>
            <a:ext uri="{FF2B5EF4-FFF2-40B4-BE49-F238E27FC236}">
              <a16:creationId xmlns:a16="http://schemas.microsoft.com/office/drawing/2014/main" id="{ED185404-B67F-429F-BF6C-01743B248AED}"/>
            </a:ext>
          </a:extLst>
        </xdr:cNvPr>
        <xdr:cNvSpPr txBox="1"/>
      </xdr:nvSpPr>
      <xdr:spPr>
        <a:xfrm>
          <a:off x="190500" y="4857750"/>
          <a:ext cx="5156668"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provide direction for what to do/input in its respective tab</a:t>
          </a:r>
        </a:p>
      </xdr:txBody>
    </xdr:sp>
    <xdr:clientData/>
  </xdr:oneCellAnchor>
  <xdr:oneCellAnchor>
    <xdr:from>
      <xdr:col>1</xdr:col>
      <xdr:colOff>0</xdr:colOff>
      <xdr:row>30</xdr:row>
      <xdr:rowOff>0</xdr:rowOff>
    </xdr:from>
    <xdr:ext cx="10378932" cy="254557"/>
    <xdr:sp macro="" textlink="">
      <xdr:nvSpPr>
        <xdr:cNvPr id="3" name="TextBox 2">
          <a:extLst>
            <a:ext uri="{FF2B5EF4-FFF2-40B4-BE49-F238E27FC236}">
              <a16:creationId xmlns:a16="http://schemas.microsoft.com/office/drawing/2014/main" id="{7A451287-A001-28B6-4FC0-A40F23570857}"/>
            </a:ext>
          </a:extLst>
        </xdr:cNvPr>
        <xdr:cNvSpPr txBox="1"/>
      </xdr:nvSpPr>
      <xdr:spPr>
        <a:xfrm>
          <a:off x="190500" y="8743950"/>
          <a:ext cx="1037893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point to items to provide guidance or insight (only exists in the EXAMPLE workbook). Feel free to move them out of the way to see details.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17</xdr:col>
      <xdr:colOff>421298</xdr:colOff>
      <xdr:row>10</xdr:row>
      <xdr:rowOff>0</xdr:rowOff>
    </xdr:from>
    <xdr:ext cx="5461789" cy="416781"/>
    <xdr:sp macro="" textlink="">
      <xdr:nvSpPr>
        <xdr:cNvPr id="5" name="TextBox 4">
          <a:extLst>
            <a:ext uri="{FF2B5EF4-FFF2-40B4-BE49-F238E27FC236}">
              <a16:creationId xmlns:a16="http://schemas.microsoft.com/office/drawing/2014/main" id="{78DCAFD9-8B8B-44D4-B641-095F7DAA75E5}"/>
            </a:ext>
          </a:extLst>
        </xdr:cNvPr>
        <xdr:cNvSpPr txBox="1"/>
      </xdr:nvSpPr>
      <xdr:spPr>
        <a:xfrm>
          <a:off x="12523651" y="1176618"/>
          <a:ext cx="5461789"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Zeros/negatives for Net Cash Flow are not inherently bad... simply means that you are allocating all/more money coming in to something. It could be your savings</a:t>
          </a:r>
        </a:p>
      </xdr:txBody>
    </xdr:sp>
    <xdr:clientData/>
  </xdr:oneCellAnchor>
  <xdr:twoCellAnchor>
    <xdr:from>
      <xdr:col>17</xdr:col>
      <xdr:colOff>38100</xdr:colOff>
      <xdr:row>10</xdr:row>
      <xdr:rowOff>104775</xdr:rowOff>
    </xdr:from>
    <xdr:to>
      <xdr:col>17</xdr:col>
      <xdr:colOff>352425</xdr:colOff>
      <xdr:row>10</xdr:row>
      <xdr:rowOff>104775</xdr:rowOff>
    </xdr:to>
    <xdr:cxnSp macro="">
      <xdr:nvCxnSpPr>
        <xdr:cNvPr id="3" name="Straight Arrow Connector 2">
          <a:extLst>
            <a:ext uri="{FF2B5EF4-FFF2-40B4-BE49-F238E27FC236}">
              <a16:creationId xmlns:a16="http://schemas.microsoft.com/office/drawing/2014/main" id="{3F1DA141-CE39-C37E-1CC2-D76ADD10892B}"/>
            </a:ext>
          </a:extLst>
        </xdr:cNvPr>
        <xdr:cNvCxnSpPr/>
      </xdr:nvCxnSpPr>
      <xdr:spPr>
        <a:xfrm flipH="1">
          <a:off x="12153900" y="1314450"/>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421298</xdr:colOff>
      <xdr:row>14</xdr:row>
      <xdr:rowOff>0</xdr:rowOff>
    </xdr:from>
    <xdr:ext cx="3276643" cy="416781"/>
    <xdr:sp macro="" textlink="">
      <xdr:nvSpPr>
        <xdr:cNvPr id="2" name="TextBox 1">
          <a:extLst>
            <a:ext uri="{FF2B5EF4-FFF2-40B4-BE49-F238E27FC236}">
              <a16:creationId xmlns:a16="http://schemas.microsoft.com/office/drawing/2014/main" id="{439DFB9E-9992-193F-FEA2-EB6DFBCFDAB9}"/>
            </a:ext>
          </a:extLst>
        </xdr:cNvPr>
        <xdr:cNvSpPr txBox="1"/>
      </xdr:nvSpPr>
      <xdr:spPr>
        <a:xfrm>
          <a:off x="12523651" y="1703294"/>
          <a:ext cx="3276643"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But if Cash balance drops below zero, you know you need to allocate money into your accounts</a:t>
          </a:r>
        </a:p>
      </xdr:txBody>
    </xdr:sp>
    <xdr:clientData/>
  </xdr:oneCellAnchor>
  <xdr:twoCellAnchor>
    <xdr:from>
      <xdr:col>17</xdr:col>
      <xdr:colOff>38100</xdr:colOff>
      <xdr:row>14</xdr:row>
      <xdr:rowOff>104775</xdr:rowOff>
    </xdr:from>
    <xdr:to>
      <xdr:col>17</xdr:col>
      <xdr:colOff>352425</xdr:colOff>
      <xdr:row>14</xdr:row>
      <xdr:rowOff>104775</xdr:rowOff>
    </xdr:to>
    <xdr:cxnSp macro="">
      <xdr:nvCxnSpPr>
        <xdr:cNvPr id="4" name="Straight Arrow Connector 3">
          <a:extLst>
            <a:ext uri="{FF2B5EF4-FFF2-40B4-BE49-F238E27FC236}">
              <a16:creationId xmlns:a16="http://schemas.microsoft.com/office/drawing/2014/main" id="{129502AC-BC47-F76C-C2E4-FF7BDCC8B61E}"/>
            </a:ext>
          </a:extLst>
        </xdr:cNvPr>
        <xdr:cNvCxnSpPr/>
      </xdr:nvCxnSpPr>
      <xdr:spPr>
        <a:xfrm flipH="1">
          <a:off x="12153900" y="1857375"/>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23</xdr:col>
      <xdr:colOff>240323</xdr:colOff>
      <xdr:row>1</xdr:row>
      <xdr:rowOff>28575</xdr:rowOff>
    </xdr:from>
    <xdr:ext cx="2941027" cy="1390124"/>
    <xdr:sp macro="" textlink="">
      <xdr:nvSpPr>
        <xdr:cNvPr id="6" name="TextBox 5">
          <a:extLst>
            <a:ext uri="{FF2B5EF4-FFF2-40B4-BE49-F238E27FC236}">
              <a16:creationId xmlns:a16="http://schemas.microsoft.com/office/drawing/2014/main" id="{9F559B78-B350-EA85-FF81-2350D76E13C4}"/>
            </a:ext>
          </a:extLst>
        </xdr:cNvPr>
        <xdr:cNvSpPr txBox="1"/>
      </xdr:nvSpPr>
      <xdr:spPr>
        <a:xfrm>
          <a:off x="18156848" y="85725"/>
          <a:ext cx="2941027" cy="1390124"/>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buttons help with various readaiblity options:</a:t>
          </a:r>
        </a:p>
        <a:p>
          <a:r>
            <a:rPr lang="en-US" sz="1100" b="0" u="sng" baseline="0"/>
            <a:t>Refresh change notes:</a:t>
          </a:r>
          <a:r>
            <a:rPr lang="en-US" sz="1100" b="0" u="none" baseline="0"/>
            <a:t> Populate notes down the FUTURE CASH FLOW CHANGES column to easily reference changes to your cash flows over the next twelve months</a:t>
          </a:r>
        </a:p>
        <a:p>
          <a:r>
            <a:rPr lang="en-US" sz="1100" b="0" u="sng" baseline="0"/>
            <a:t>Hide Unused Rows</a:t>
          </a:r>
          <a:r>
            <a:rPr lang="en-US" sz="1100" b="0" u="none" baseline="0"/>
            <a:t> and </a:t>
          </a:r>
          <a:r>
            <a:rPr lang="en-US" sz="1100" b="0" u="sng" baseline="0"/>
            <a:t>Unhide All Rows</a:t>
          </a:r>
          <a:r>
            <a:rPr lang="en-US" sz="1100" b="0" u="none" baseline="0"/>
            <a:t> are hopefully self-explainatory.</a:t>
          </a:r>
        </a:p>
      </xdr:txBody>
    </xdr:sp>
    <xdr:clientData/>
  </xdr:oneCellAnchor>
  <xdr:twoCellAnchor>
    <xdr:from>
      <xdr:col>22</xdr:col>
      <xdr:colOff>57150</xdr:colOff>
      <xdr:row>1</xdr:row>
      <xdr:rowOff>133350</xdr:rowOff>
    </xdr:from>
    <xdr:to>
      <xdr:col>23</xdr:col>
      <xdr:colOff>285750</xdr:colOff>
      <xdr:row>1</xdr:row>
      <xdr:rowOff>133350</xdr:rowOff>
    </xdr:to>
    <xdr:cxnSp macro="">
      <xdr:nvCxnSpPr>
        <xdr:cNvPr id="7" name="Straight Arrow Connector 6">
          <a:extLst>
            <a:ext uri="{FF2B5EF4-FFF2-40B4-BE49-F238E27FC236}">
              <a16:creationId xmlns:a16="http://schemas.microsoft.com/office/drawing/2014/main" id="{75DDAE8A-5D7F-0409-CAA7-3A55A767D5B5}"/>
            </a:ext>
          </a:extLst>
        </xdr:cNvPr>
        <xdr:cNvCxnSpPr/>
      </xdr:nvCxnSpPr>
      <xdr:spPr>
        <a:xfrm flipH="1">
          <a:off x="17278350" y="190500"/>
          <a:ext cx="9239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1392848</xdr:colOff>
      <xdr:row>19</xdr:row>
      <xdr:rowOff>142875</xdr:rowOff>
    </xdr:from>
    <xdr:ext cx="1969477" cy="416781"/>
    <xdr:sp macro="" textlink="">
      <xdr:nvSpPr>
        <xdr:cNvPr id="8" name="TextBox 7">
          <a:extLst>
            <a:ext uri="{FF2B5EF4-FFF2-40B4-BE49-F238E27FC236}">
              <a16:creationId xmlns:a16="http://schemas.microsoft.com/office/drawing/2014/main" id="{4FD7EC01-1BFE-33D4-37D9-106F9129F823}"/>
            </a:ext>
          </a:extLst>
        </xdr:cNvPr>
        <xdr:cNvSpPr txBox="1"/>
      </xdr:nvSpPr>
      <xdr:spPr>
        <a:xfrm>
          <a:off x="13508648" y="2705100"/>
          <a:ext cx="1969477"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Auto populated to note changes in your cash flows</a:t>
          </a:r>
        </a:p>
      </xdr:txBody>
    </xdr:sp>
    <xdr:clientData/>
  </xdr:oneCellAnchor>
  <xdr:twoCellAnchor>
    <xdr:from>
      <xdr:col>17</xdr:col>
      <xdr:colOff>1009650</xdr:colOff>
      <xdr:row>20</xdr:row>
      <xdr:rowOff>85725</xdr:rowOff>
    </xdr:from>
    <xdr:to>
      <xdr:col>17</xdr:col>
      <xdr:colOff>1323975</xdr:colOff>
      <xdr:row>20</xdr:row>
      <xdr:rowOff>85725</xdr:rowOff>
    </xdr:to>
    <xdr:cxnSp macro="">
      <xdr:nvCxnSpPr>
        <xdr:cNvPr id="9" name="Straight Arrow Connector 8">
          <a:extLst>
            <a:ext uri="{FF2B5EF4-FFF2-40B4-BE49-F238E27FC236}">
              <a16:creationId xmlns:a16="http://schemas.microsoft.com/office/drawing/2014/main" id="{4DC2B22A-4E0C-6883-14C4-D7BE2835348F}"/>
            </a:ext>
          </a:extLst>
        </xdr:cNvPr>
        <xdr:cNvCxnSpPr/>
      </xdr:nvCxnSpPr>
      <xdr:spPr>
        <a:xfrm flipH="1">
          <a:off x="13125450" y="2809875"/>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421298</xdr:colOff>
      <xdr:row>78</xdr:row>
      <xdr:rowOff>142875</xdr:rowOff>
    </xdr:from>
    <xdr:ext cx="3588727" cy="416781"/>
    <xdr:sp macro="" textlink="">
      <xdr:nvSpPr>
        <xdr:cNvPr id="10" name="TextBox 9">
          <a:extLst>
            <a:ext uri="{FF2B5EF4-FFF2-40B4-BE49-F238E27FC236}">
              <a16:creationId xmlns:a16="http://schemas.microsoft.com/office/drawing/2014/main" id="{87867354-CDA0-150F-9BF9-BF0A5BDC302F}"/>
            </a:ext>
          </a:extLst>
        </xdr:cNvPr>
        <xdr:cNvSpPr txBox="1"/>
      </xdr:nvSpPr>
      <xdr:spPr>
        <a:xfrm>
          <a:off x="12537098" y="10201275"/>
          <a:ext cx="3588727"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are contributions to retirement plans directly from your employer (i.e. employer 401k matching)</a:t>
          </a:r>
        </a:p>
      </xdr:txBody>
    </xdr:sp>
    <xdr:clientData/>
  </xdr:oneCellAnchor>
  <xdr:twoCellAnchor>
    <xdr:from>
      <xdr:col>17</xdr:col>
      <xdr:colOff>38100</xdr:colOff>
      <xdr:row>79</xdr:row>
      <xdr:rowOff>85725</xdr:rowOff>
    </xdr:from>
    <xdr:to>
      <xdr:col>17</xdr:col>
      <xdr:colOff>352425</xdr:colOff>
      <xdr:row>79</xdr:row>
      <xdr:rowOff>85725</xdr:rowOff>
    </xdr:to>
    <xdr:cxnSp macro="">
      <xdr:nvCxnSpPr>
        <xdr:cNvPr id="11" name="Straight Arrow Connector 10">
          <a:extLst>
            <a:ext uri="{FF2B5EF4-FFF2-40B4-BE49-F238E27FC236}">
              <a16:creationId xmlns:a16="http://schemas.microsoft.com/office/drawing/2014/main" id="{0FA809B2-4936-8523-18C1-45BDCD9BA19A}"/>
            </a:ext>
          </a:extLst>
        </xdr:cNvPr>
        <xdr:cNvCxnSpPr/>
      </xdr:nvCxnSpPr>
      <xdr:spPr>
        <a:xfrm flipH="1">
          <a:off x="12153900" y="10306050"/>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421298</xdr:colOff>
      <xdr:row>7</xdr:row>
      <xdr:rowOff>133350</xdr:rowOff>
    </xdr:from>
    <xdr:ext cx="5461789" cy="254557"/>
    <xdr:sp macro="" textlink="">
      <xdr:nvSpPr>
        <xdr:cNvPr id="12" name="TextBox 11">
          <a:extLst>
            <a:ext uri="{FF2B5EF4-FFF2-40B4-BE49-F238E27FC236}">
              <a16:creationId xmlns:a16="http://schemas.microsoft.com/office/drawing/2014/main" id="{00F66202-D41B-49A7-3004-67DA1B58572D}"/>
            </a:ext>
          </a:extLst>
        </xdr:cNvPr>
        <xdr:cNvSpPr txBox="1"/>
      </xdr:nvSpPr>
      <xdr:spPr>
        <a:xfrm>
          <a:off x="12537098" y="857250"/>
          <a:ext cx="5461789"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Months will always start with the current month and project the next twelve</a:t>
          </a:r>
        </a:p>
      </xdr:txBody>
    </xdr:sp>
    <xdr:clientData/>
  </xdr:oneCellAnchor>
  <xdr:twoCellAnchor>
    <xdr:from>
      <xdr:col>13</xdr:col>
      <xdr:colOff>628651</xdr:colOff>
      <xdr:row>3</xdr:row>
      <xdr:rowOff>76200</xdr:rowOff>
    </xdr:from>
    <xdr:to>
      <xdr:col>17</xdr:col>
      <xdr:colOff>421299</xdr:colOff>
      <xdr:row>8</xdr:row>
      <xdr:rowOff>98704</xdr:rowOff>
    </xdr:to>
    <xdr:cxnSp macro="">
      <xdr:nvCxnSpPr>
        <xdr:cNvPr id="14" name="Connector: Elbow 13">
          <a:extLst>
            <a:ext uri="{FF2B5EF4-FFF2-40B4-BE49-F238E27FC236}">
              <a16:creationId xmlns:a16="http://schemas.microsoft.com/office/drawing/2014/main" id="{1DDF7043-D378-3117-0456-FA3A43421506}"/>
            </a:ext>
          </a:extLst>
        </xdr:cNvPr>
        <xdr:cNvCxnSpPr>
          <a:stCxn id="12" idx="1"/>
        </xdr:cNvCxnSpPr>
      </xdr:nvCxnSpPr>
      <xdr:spPr>
        <a:xfrm rot="10800000">
          <a:off x="11077576" y="352425"/>
          <a:ext cx="1459523" cy="632104"/>
        </a:xfrm>
        <a:prstGeom prst="bentConnector3">
          <a:avLst>
            <a:gd name="adj1" fmla="val 3107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0</xdr:colOff>
      <xdr:row>1</xdr:row>
      <xdr:rowOff>0</xdr:rowOff>
    </xdr:from>
    <xdr:ext cx="5048250" cy="390525"/>
    <xdr:sp macro="" textlink="">
      <xdr:nvSpPr>
        <xdr:cNvPr id="13" name="TextBox 12">
          <a:extLst>
            <a:ext uri="{FF2B5EF4-FFF2-40B4-BE49-F238E27FC236}">
              <a16:creationId xmlns:a16="http://schemas.microsoft.com/office/drawing/2014/main" id="{12EED736-FFFD-B934-8EC3-19F4570AD3D5}"/>
            </a:ext>
          </a:extLst>
        </xdr:cNvPr>
        <xdr:cNvSpPr txBox="1"/>
      </xdr:nvSpPr>
      <xdr:spPr>
        <a:xfrm>
          <a:off x="12172950" y="57150"/>
          <a:ext cx="5048250" cy="390525"/>
        </a:xfrm>
        <a:prstGeom prst="rect">
          <a:avLst/>
        </a:prstGeom>
        <a:solidFill>
          <a:schemeClr val="bg1"/>
        </a:solidFill>
        <a:ln>
          <a:solidFill>
            <a:schemeClr val="tx1"/>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u="none" baseline="0"/>
            <a:t>BUTTONS:</a:t>
          </a:r>
        </a:p>
      </xdr:txBody>
    </xdr:sp>
    <xdr:clientData/>
  </xdr:oneCellAnchor>
  <mc:AlternateContent xmlns:mc="http://schemas.openxmlformats.org/markup-compatibility/2006">
    <mc:Choice xmlns:a14="http://schemas.microsoft.com/office/drawing/2010/main" Requires="a14">
      <xdr:twoCellAnchor editAs="oneCell">
        <xdr:from>
          <xdr:col>17</xdr:col>
          <xdr:colOff>962025</xdr:colOff>
          <xdr:row>1</xdr:row>
          <xdr:rowOff>76200</xdr:rowOff>
        </xdr:from>
        <xdr:to>
          <xdr:col>18</xdr:col>
          <xdr:colOff>352425</xdr:colOff>
          <xdr:row>3</xdr:row>
          <xdr:rowOff>104775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Refresh change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457200</xdr:colOff>
          <xdr:row>1</xdr:row>
          <xdr:rowOff>76200</xdr:rowOff>
        </xdr:from>
        <xdr:to>
          <xdr:col>20</xdr:col>
          <xdr:colOff>381000</xdr:colOff>
          <xdr:row>3</xdr:row>
          <xdr:rowOff>104775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200-00000A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1</xdr:row>
          <xdr:rowOff>76200</xdr:rowOff>
        </xdr:from>
        <xdr:to>
          <xdr:col>21</xdr:col>
          <xdr:colOff>619125</xdr:colOff>
          <xdr:row>3</xdr:row>
          <xdr:rowOff>104775</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200-00000B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Unhide All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9</xdr:col>
      <xdr:colOff>228599</xdr:colOff>
      <xdr:row>27</xdr:row>
      <xdr:rowOff>9525</xdr:rowOff>
    </xdr:from>
    <xdr:ext cx="6286501" cy="3823483"/>
    <xdr:sp macro="" textlink="">
      <xdr:nvSpPr>
        <xdr:cNvPr id="3" name="TextBox 2">
          <a:extLst>
            <a:ext uri="{FF2B5EF4-FFF2-40B4-BE49-F238E27FC236}">
              <a16:creationId xmlns:a16="http://schemas.microsoft.com/office/drawing/2014/main" id="{176160E4-4B7B-4913-82AD-BAD47B8F5881}"/>
            </a:ext>
          </a:extLst>
        </xdr:cNvPr>
        <xdr:cNvSpPr txBox="1"/>
      </xdr:nvSpPr>
      <xdr:spPr>
        <a:xfrm>
          <a:off x="10925174" y="4410075"/>
          <a:ext cx="6286501" cy="3823483"/>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Dues &amp; Memberships,</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Health,</a:t>
          </a:r>
          <a:r>
            <a:rPr lang="en-US"/>
            <a:t> </a:t>
          </a:r>
          <a:r>
            <a:rPr lang="en-US" sz="1100" b="0" i="0" u="none" strike="noStrike">
              <a:solidFill>
                <a:schemeClr val="tx1"/>
              </a:solidFill>
              <a:effectLst/>
              <a:latin typeface="+mn-lt"/>
              <a:ea typeface="+mn-ea"/>
              <a:cs typeface="+mn-cs"/>
            </a:rPr>
            <a:t>Groceries,</a:t>
          </a:r>
          <a:r>
            <a:rPr lang="en-US"/>
            <a:t> </a:t>
          </a:r>
          <a:r>
            <a:rPr lang="en-US" sz="1100" b="0" i="0" u="none" strike="noStrike">
              <a:solidFill>
                <a:schemeClr val="tx1"/>
              </a:solidFill>
              <a:effectLst/>
              <a:latin typeface="+mn-lt"/>
              <a:ea typeface="+mn-ea"/>
              <a:cs typeface="+mn-cs"/>
            </a:rPr>
            <a:t>Food &amp; Drinks,</a:t>
          </a:r>
          <a:r>
            <a:rPr lang="en-US"/>
            <a:t> </a:t>
          </a:r>
          <a:r>
            <a:rPr lang="en-US" sz="1100" b="0" i="0" u="none" strike="noStrike">
              <a:solidFill>
                <a:schemeClr val="tx1"/>
              </a:solidFill>
              <a:effectLst/>
              <a:latin typeface="+mn-lt"/>
              <a:ea typeface="+mn-ea"/>
              <a:cs typeface="+mn-cs"/>
            </a:rPr>
            <a:t>Brokerage Contributions,</a:t>
          </a:r>
          <a:r>
            <a:rPr lang="en-US"/>
            <a:t> </a:t>
          </a:r>
          <a:r>
            <a:rPr lang="en-US" sz="1100" b="0" i="0" u="none" strike="noStrike">
              <a:solidFill>
                <a:schemeClr val="tx1"/>
              </a:solidFill>
              <a:effectLst/>
              <a:latin typeface="+mn-lt"/>
              <a:ea typeface="+mn-ea"/>
              <a:cs typeface="+mn-cs"/>
            </a:rPr>
            <a:t>Retirement Contributions,</a:t>
          </a:r>
          <a:r>
            <a:rPr lang="en-US"/>
            <a:t> </a:t>
          </a:r>
          <a:r>
            <a:rPr lang="en-US" sz="1100" b="0" i="0" u="none" strike="noStrike">
              <a:solidFill>
                <a:schemeClr val="tx1"/>
              </a:solidFill>
              <a:effectLst/>
              <a:latin typeface="+mn-lt"/>
              <a:ea typeface="+mn-ea"/>
              <a:cs typeface="+mn-cs"/>
            </a:rPr>
            <a:t>Other Deductions,</a:t>
          </a:r>
          <a:r>
            <a:rPr lang="en-US"/>
            <a:t> or </a:t>
          </a:r>
          <a:r>
            <a:rPr lang="en-US" sz="1100" b="0" i="0" u="none" strike="noStrike">
              <a:solidFill>
                <a:schemeClr val="tx1"/>
              </a:solidFill>
              <a:effectLst/>
              <a:latin typeface="+mn-lt"/>
              <a:ea typeface="+mn-ea"/>
              <a:cs typeface="+mn-cs"/>
            </a:rPr>
            <a:t>Salary</a:t>
          </a:r>
          <a:r>
            <a:rPr lang="en-US"/>
            <a:t> </a:t>
          </a:r>
        </a:p>
        <a:p>
          <a:pPr marL="628650" lvl="1" indent="-171450">
            <a:buFont typeface="Arial" panose="020B0604020202020204" pitchFamily="34" charset="0"/>
            <a:buChar char="•"/>
          </a:pPr>
          <a:r>
            <a:rPr lang="en-US" sz="1100" baseline="0"/>
            <a:t>Salary should be pre-everything (tax, medicare, social security, savings deductions, etc). Deductions like taxes can be calculated based on the Precedents inputs</a:t>
          </a:r>
        </a:p>
        <a:p>
          <a:pPr marL="171450" indent="-171450">
            <a:buFont typeface="Arial" panose="020B0604020202020204" pitchFamily="34" charset="0"/>
            <a:buChar char="•"/>
          </a:pPr>
          <a:r>
            <a:rPr lang="en-US" sz="1100" baseline="0"/>
            <a:t>Item: Freeform input to describe the item in the row, unless utilizing the Empower formula (see below)</a:t>
          </a:r>
        </a:p>
        <a:p>
          <a:pPr marL="171450" indent="-171450">
            <a:buFont typeface="Arial" panose="020B0604020202020204" pitchFamily="34" charset="0"/>
            <a:buChar char="•"/>
          </a:pPr>
          <a:r>
            <a:rPr lang="en-US" sz="1100" baseline="0"/>
            <a:t>Any Due Date: </a:t>
          </a:r>
          <a:r>
            <a:rPr lang="en-US" sz="1100" baseline="0">
              <a:solidFill>
                <a:schemeClr val="tx1"/>
              </a:solidFill>
              <a:effectLst/>
              <a:latin typeface="+mn-lt"/>
              <a:ea typeface="+mn-ea"/>
              <a:cs typeface="+mn-cs"/>
            </a:rPr>
            <a:t>Day in which the recurring payment has or will occur. This ensures the formula calculates the correct coming due dates. Input the following formula for end-of month due dates "=EndDayOfCurrentMonth". </a:t>
          </a:r>
        </a:p>
        <a:p>
          <a:pPr marL="171450" indent="-171450">
            <a:buFont typeface="Arial" panose="020B0604020202020204" pitchFamily="34" charset="0"/>
            <a:buChar char="•"/>
          </a:pPr>
          <a:r>
            <a:rPr lang="en-US" sz="1100" baseline="0">
              <a:solidFill>
                <a:schemeClr val="tx1"/>
              </a:solidFill>
              <a:effectLst/>
              <a:latin typeface="+mn-lt"/>
              <a:ea typeface="+mn-ea"/>
              <a:cs typeface="+mn-cs"/>
            </a:rPr>
            <a:t>Every nth time: How often does the payment hit on the recurrence (like 2 for every other)</a:t>
          </a:r>
        </a:p>
        <a:p>
          <a:pPr marL="171450" indent="-171450">
            <a:buFont typeface="Arial" panose="020B0604020202020204" pitchFamily="34" charset="0"/>
            <a:buChar cha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b="1" u="sng">
              <a:solidFill>
                <a:schemeClr val="tx1"/>
              </a:solidFill>
              <a:effectLst/>
              <a:latin typeface="+mn-lt"/>
              <a:ea typeface="+mn-ea"/>
              <a:cs typeface="+mn-cs"/>
            </a:rPr>
            <a:t>Empower specific guidance</a:t>
          </a:r>
          <a:endParaRPr lang="en-US" sz="1100" baseline="0">
            <a:solidFill>
              <a:srgbClr val="FF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In the Item column, input the exact Empower Category from the EMPOWER DATA Summary tab</a:t>
          </a:r>
        </a:p>
        <a:p>
          <a:pPr marL="171450" indent="-171450">
            <a:buFont typeface="Arial" panose="020B0604020202020204" pitchFamily="34" charset="0"/>
            <a:buChar char="•"/>
          </a:pPr>
          <a:r>
            <a:rPr lang="en-US" sz="1100" baseline="0">
              <a:solidFill>
                <a:schemeClr val="tx1"/>
              </a:solidFill>
              <a:effectLst/>
              <a:latin typeface="+mn-lt"/>
              <a:ea typeface="+mn-ea"/>
              <a:cs typeface="+mn-cs"/>
            </a:rPr>
            <a:t>In the Amt column, input =Empower([calculation option])</a:t>
          </a:r>
        </a:p>
        <a:p>
          <a:pPr marL="171450" indent="-171450">
            <a:buFont typeface="Arial" panose="020B0604020202020204" pitchFamily="34" charset="0"/>
            <a:buChar char="•"/>
          </a:pPr>
          <a:r>
            <a:rPr lang="en-US" sz="1100" baseline="0">
              <a:solidFill>
                <a:schemeClr val="tx1"/>
              </a:solidFill>
              <a:effectLst/>
              <a:latin typeface="+mn-lt"/>
              <a:ea typeface="+mn-ea"/>
              <a:cs typeface="+mn-cs"/>
            </a:rPr>
            <a:t>For the [calculation option], you can put in the following (including quotation marks) to configure the Amt you would like: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"Last30": Will pull the last 30 day total if Month recurrance, or average for the recurrance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"LTM": Will pull the last twelve month total if Year recurrance, or average for the recurrance</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"FullRange": Will pull average for the recurrance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tx1"/>
              </a:solidFill>
              <a:effectLst/>
            </a:rPr>
            <a:t>For</a:t>
          </a:r>
          <a:r>
            <a:rPr lang="en-US" sz="1100" baseline="0">
              <a:solidFill>
                <a:schemeClr val="tx1"/>
              </a:solidFill>
              <a:effectLst/>
            </a:rPr>
            <a:t> the Every nth time column, input 1 (the calculation only supports this)</a:t>
          </a:r>
          <a:endParaRPr lang="en-US" sz="1100">
            <a:solidFill>
              <a:schemeClr val="tx1"/>
            </a:solidFill>
            <a:effectLst/>
          </a:endParaRPr>
        </a:p>
      </xdr:txBody>
    </xdr:sp>
    <xdr:clientData/>
  </xdr:oneCellAnchor>
  <xdr:oneCellAnchor>
    <xdr:from>
      <xdr:col>9</xdr:col>
      <xdr:colOff>440349</xdr:colOff>
      <xdr:row>10</xdr:row>
      <xdr:rowOff>152400</xdr:rowOff>
    </xdr:from>
    <xdr:ext cx="2245702" cy="254557"/>
    <xdr:sp macro="" textlink="">
      <xdr:nvSpPr>
        <xdr:cNvPr id="2" name="TextBox 1">
          <a:extLst>
            <a:ext uri="{FF2B5EF4-FFF2-40B4-BE49-F238E27FC236}">
              <a16:creationId xmlns:a16="http://schemas.microsoft.com/office/drawing/2014/main" id="{5BB5BAE3-A36E-4E3D-A860-9F75FF2543BE}"/>
            </a:ext>
          </a:extLst>
        </xdr:cNvPr>
        <xdr:cNvSpPr txBox="1"/>
      </xdr:nvSpPr>
      <xdr:spPr>
        <a:xfrm>
          <a:off x="10470174" y="1800225"/>
          <a:ext cx="224570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Example of a bi-annual payment</a:t>
          </a:r>
        </a:p>
      </xdr:txBody>
    </xdr:sp>
    <xdr:clientData/>
  </xdr:oneCellAnchor>
  <xdr:twoCellAnchor>
    <xdr:from>
      <xdr:col>9</xdr:col>
      <xdr:colOff>57150</xdr:colOff>
      <xdr:row>11</xdr:row>
      <xdr:rowOff>95250</xdr:rowOff>
    </xdr:from>
    <xdr:to>
      <xdr:col>9</xdr:col>
      <xdr:colOff>371475</xdr:colOff>
      <xdr:row>11</xdr:row>
      <xdr:rowOff>95250</xdr:rowOff>
    </xdr:to>
    <xdr:cxnSp macro="">
      <xdr:nvCxnSpPr>
        <xdr:cNvPr id="4" name="Straight Arrow Connector 3">
          <a:extLst>
            <a:ext uri="{FF2B5EF4-FFF2-40B4-BE49-F238E27FC236}">
              <a16:creationId xmlns:a16="http://schemas.microsoft.com/office/drawing/2014/main" id="{25DB2CBD-9F9B-45D7-8425-AD6CA0C33206}"/>
            </a:ext>
          </a:extLst>
        </xdr:cNvPr>
        <xdr:cNvCxnSpPr/>
      </xdr:nvCxnSpPr>
      <xdr:spPr>
        <a:xfrm flipH="1">
          <a:off x="10086975" y="1905000"/>
          <a:ext cx="3143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440349</xdr:colOff>
      <xdr:row>19</xdr:row>
      <xdr:rowOff>0</xdr:rowOff>
    </xdr:from>
    <xdr:ext cx="2245702" cy="416781"/>
    <xdr:sp macro="" textlink="">
      <xdr:nvSpPr>
        <xdr:cNvPr id="5" name="TextBox 4">
          <a:extLst>
            <a:ext uri="{FF2B5EF4-FFF2-40B4-BE49-F238E27FC236}">
              <a16:creationId xmlns:a16="http://schemas.microsoft.com/office/drawing/2014/main" id="{58596775-3DEC-841D-2826-8B04FE328292}"/>
            </a:ext>
          </a:extLst>
        </xdr:cNvPr>
        <xdr:cNvSpPr txBox="1"/>
      </xdr:nvSpPr>
      <xdr:spPr>
        <a:xfrm>
          <a:off x="10476978" y="3129643"/>
          <a:ext cx="2245702" cy="416781"/>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Example of a weekend only payment</a:t>
          </a:r>
        </a:p>
      </xdr:txBody>
    </xdr:sp>
    <xdr:clientData/>
  </xdr:oneCellAnchor>
  <xdr:twoCellAnchor>
    <xdr:from>
      <xdr:col>9</xdr:col>
      <xdr:colOff>95250</xdr:colOff>
      <xdr:row>19</xdr:row>
      <xdr:rowOff>1</xdr:rowOff>
    </xdr:from>
    <xdr:to>
      <xdr:col>9</xdr:col>
      <xdr:colOff>190500</xdr:colOff>
      <xdr:row>21</xdr:row>
      <xdr:rowOff>1</xdr:rowOff>
    </xdr:to>
    <xdr:sp macro="" textlink="">
      <xdr:nvSpPr>
        <xdr:cNvPr id="6" name="Right Brace 5">
          <a:extLst>
            <a:ext uri="{FF2B5EF4-FFF2-40B4-BE49-F238E27FC236}">
              <a16:creationId xmlns:a16="http://schemas.microsoft.com/office/drawing/2014/main" id="{0F24209A-37EB-4057-A814-A092D5E51024}"/>
            </a:ext>
          </a:extLst>
        </xdr:cNvPr>
        <xdr:cNvSpPr/>
      </xdr:nvSpPr>
      <xdr:spPr>
        <a:xfrm>
          <a:off x="10134600" y="3139441"/>
          <a:ext cx="95250" cy="327660"/>
        </a:xfrm>
        <a:prstGeom prst="rightBrace">
          <a:avLst/>
        </a:prstGeom>
        <a:ln>
          <a:solidFill>
            <a:schemeClr val="accent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742950</xdr:colOff>
      <xdr:row>30</xdr:row>
      <xdr:rowOff>66675</xdr:rowOff>
    </xdr:from>
    <xdr:to>
      <xdr:col>3</xdr:col>
      <xdr:colOff>742950</xdr:colOff>
      <xdr:row>37</xdr:row>
      <xdr:rowOff>0</xdr:rowOff>
    </xdr:to>
    <xdr:cxnSp macro="">
      <xdr:nvCxnSpPr>
        <xdr:cNvPr id="8" name="Straight Arrow Connector 7">
          <a:extLst>
            <a:ext uri="{FF2B5EF4-FFF2-40B4-BE49-F238E27FC236}">
              <a16:creationId xmlns:a16="http://schemas.microsoft.com/office/drawing/2014/main" id="{88E87F86-B238-411E-AFD2-ECFC438B75DD}"/>
            </a:ext>
          </a:extLst>
        </xdr:cNvPr>
        <xdr:cNvCxnSpPr/>
      </xdr:nvCxnSpPr>
      <xdr:spPr>
        <a:xfrm flipV="1">
          <a:off x="5191125" y="4953000"/>
          <a:ext cx="0" cy="10668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1535724</xdr:colOff>
      <xdr:row>35</xdr:row>
      <xdr:rowOff>133350</xdr:rowOff>
    </xdr:from>
    <xdr:ext cx="2245702" cy="254557"/>
    <xdr:sp macro="" textlink="">
      <xdr:nvSpPr>
        <xdr:cNvPr id="7" name="TextBox 6">
          <a:extLst>
            <a:ext uri="{FF2B5EF4-FFF2-40B4-BE49-F238E27FC236}">
              <a16:creationId xmlns:a16="http://schemas.microsoft.com/office/drawing/2014/main" id="{CFB65A51-C4BA-1A4A-25AB-FF34C5AD241C}"/>
            </a:ext>
          </a:extLst>
        </xdr:cNvPr>
        <xdr:cNvSpPr txBox="1"/>
      </xdr:nvSpPr>
      <xdr:spPr>
        <a:xfrm>
          <a:off x="3840774" y="5829300"/>
          <a:ext cx="224570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Example of an Empower input</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383198</xdr:colOff>
      <xdr:row>0</xdr:row>
      <xdr:rowOff>104775</xdr:rowOff>
    </xdr:from>
    <xdr:ext cx="5722327" cy="2850139"/>
    <xdr:sp macro="" textlink="">
      <xdr:nvSpPr>
        <xdr:cNvPr id="2" name="TextBox 1">
          <a:extLst>
            <a:ext uri="{FF2B5EF4-FFF2-40B4-BE49-F238E27FC236}">
              <a16:creationId xmlns:a16="http://schemas.microsoft.com/office/drawing/2014/main" id="{9DC045E2-3656-448D-BA43-7870E9E126A2}"/>
            </a:ext>
          </a:extLst>
        </xdr:cNvPr>
        <xdr:cNvSpPr txBox="1"/>
      </xdr:nvSpPr>
      <xdr:spPr>
        <a:xfrm>
          <a:off x="10679723" y="104775"/>
          <a:ext cx="5722327" cy="2850139"/>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Empower Personal Dashboard is the only provider I have found that can aggregate transactions across cash and credit accounts, for an aggregated view of all transactions. If you want, make an Empower account and connect your banking. Then, follow the below to paste in your LTM transacitons. Once you do, you can use the information to populate into the Recurring tab.</a:t>
          </a:r>
        </a:p>
        <a:p>
          <a:endParaRPr lang="en-US" sz="1100" b="0" u="none" baseline="0"/>
        </a:p>
        <a:p>
          <a:r>
            <a:rPr lang="en-US" sz="1100" b="0" u="none" baseline="0"/>
            <a:t>1) In your browser, go to Banking&gt;Cash Flow in the top banner</a:t>
          </a:r>
        </a:p>
        <a:p>
          <a:r>
            <a:rPr lang="en-US" sz="1100" b="0" u="none" baseline="0"/>
            <a:t>2) Filter for All accounts and 1 year</a:t>
          </a:r>
        </a:p>
        <a:p>
          <a:endParaRPr lang="en-US" sz="1100" b="0" u="none" baseline="0"/>
        </a:p>
        <a:p>
          <a:endParaRPr lang="en-US" sz="1100" b="0" u="none" baseline="0"/>
        </a:p>
        <a:p>
          <a:endParaRPr lang="en-US" sz="1100" b="0" u="none" baseline="0"/>
        </a:p>
        <a:p>
          <a:endParaRPr lang="en-US" sz="1100" b="0" u="none" baseline="0"/>
        </a:p>
        <a:p>
          <a:endParaRPr lang="en-US" sz="1100" b="0" u="none" baseline="0"/>
        </a:p>
        <a:p>
          <a:r>
            <a:rPr lang="en-US" sz="1100" b="0" u="none" baseline="0"/>
            <a:t>3) Find this            logo and save where comfortable</a:t>
          </a:r>
        </a:p>
        <a:p>
          <a:r>
            <a:rPr lang="en-US" sz="1100" b="0" u="none" baseline="0"/>
            <a:t>4) Open the new file</a:t>
          </a:r>
        </a:p>
        <a:p>
          <a:r>
            <a:rPr lang="en-US" sz="1100" b="0" u="none" baseline="0"/>
            <a:t>5) Copy from columns A to F, and down to the end of the available data</a:t>
          </a:r>
        </a:p>
        <a:p>
          <a:r>
            <a:rPr lang="en-US" sz="1100" b="0" u="none" baseline="0"/>
            <a:t>6) Paste in A3</a:t>
          </a:r>
        </a:p>
      </xdr:txBody>
    </xdr:sp>
    <xdr:clientData/>
  </xdr:oneCellAnchor>
  <xdr:twoCellAnchor editAs="oneCell">
    <xdr:from>
      <xdr:col>9</xdr:col>
      <xdr:colOff>30773</xdr:colOff>
      <xdr:row>9</xdr:row>
      <xdr:rowOff>9525</xdr:rowOff>
    </xdr:from>
    <xdr:to>
      <xdr:col>16</xdr:col>
      <xdr:colOff>326694</xdr:colOff>
      <xdr:row>11</xdr:row>
      <xdr:rowOff>114360</xdr:rowOff>
    </xdr:to>
    <xdr:pic>
      <xdr:nvPicPr>
        <xdr:cNvPr id="6" name="Picture 5">
          <a:extLst>
            <a:ext uri="{FF2B5EF4-FFF2-40B4-BE49-F238E27FC236}">
              <a16:creationId xmlns:a16="http://schemas.microsoft.com/office/drawing/2014/main" id="{38A1028A-86EC-1C51-4BA3-8912DF6CE985}"/>
            </a:ext>
          </a:extLst>
        </xdr:cNvPr>
        <xdr:cNvPicPr>
          <a:picLocks noChangeAspect="1"/>
        </xdr:cNvPicPr>
      </xdr:nvPicPr>
      <xdr:blipFill>
        <a:blip xmlns:r="http://schemas.openxmlformats.org/officeDocument/2006/relationships" r:embed="rId1"/>
        <a:stretch>
          <a:fillRect/>
        </a:stretch>
      </xdr:blipFill>
      <xdr:spPr>
        <a:xfrm>
          <a:off x="11003573" y="1495425"/>
          <a:ext cx="4629796" cy="428685"/>
        </a:xfrm>
        <a:prstGeom prst="rect">
          <a:avLst/>
        </a:prstGeom>
      </xdr:spPr>
    </xdr:pic>
    <xdr:clientData/>
  </xdr:twoCellAnchor>
  <xdr:twoCellAnchor editAs="oneCell">
    <xdr:from>
      <xdr:col>9</xdr:col>
      <xdr:colOff>554648</xdr:colOff>
      <xdr:row>12</xdr:row>
      <xdr:rowOff>66675</xdr:rowOff>
    </xdr:from>
    <xdr:to>
      <xdr:col>10</xdr:col>
      <xdr:colOff>211795</xdr:colOff>
      <xdr:row>14</xdr:row>
      <xdr:rowOff>95299</xdr:rowOff>
    </xdr:to>
    <xdr:pic>
      <xdr:nvPicPr>
        <xdr:cNvPr id="7" name="Picture 6">
          <a:extLst>
            <a:ext uri="{FF2B5EF4-FFF2-40B4-BE49-F238E27FC236}">
              <a16:creationId xmlns:a16="http://schemas.microsoft.com/office/drawing/2014/main" id="{8229DFEC-3051-C752-D5D7-CE62F4CF5520}"/>
            </a:ext>
          </a:extLst>
        </xdr:cNvPr>
        <xdr:cNvPicPr>
          <a:picLocks noChangeAspect="1"/>
        </xdr:cNvPicPr>
      </xdr:nvPicPr>
      <xdr:blipFill>
        <a:blip xmlns:r="http://schemas.openxmlformats.org/officeDocument/2006/relationships" r:embed="rId2"/>
        <a:stretch>
          <a:fillRect/>
        </a:stretch>
      </xdr:blipFill>
      <xdr:spPr>
        <a:xfrm>
          <a:off x="11527448" y="2038350"/>
          <a:ext cx="333422" cy="352474"/>
        </a:xfrm>
        <a:prstGeom prst="rect">
          <a:avLst/>
        </a:prstGeom>
      </xdr:spPr>
    </xdr:pic>
    <xdr:clientData/>
  </xdr:twoCellAnchor>
  <xdr:twoCellAnchor>
    <xdr:from>
      <xdr:col>0</xdr:col>
      <xdr:colOff>347004</xdr:colOff>
      <xdr:row>1</xdr:row>
      <xdr:rowOff>43945</xdr:rowOff>
    </xdr:from>
    <xdr:to>
      <xdr:col>8</xdr:col>
      <xdr:colOff>383199</xdr:colOff>
      <xdr:row>2</xdr:row>
      <xdr:rowOff>0</xdr:rowOff>
    </xdr:to>
    <xdr:cxnSp macro="">
      <xdr:nvCxnSpPr>
        <xdr:cNvPr id="12" name="Connector: Elbow 11">
          <a:extLst>
            <a:ext uri="{FF2B5EF4-FFF2-40B4-BE49-F238E27FC236}">
              <a16:creationId xmlns:a16="http://schemas.microsoft.com/office/drawing/2014/main" id="{09F9ED39-DBAE-59EA-8E6A-450E54860D16}"/>
            </a:ext>
          </a:extLst>
        </xdr:cNvPr>
        <xdr:cNvCxnSpPr/>
      </xdr:nvCxnSpPr>
      <xdr:spPr>
        <a:xfrm rot="10800000" flipV="1">
          <a:off x="347004" y="205870"/>
          <a:ext cx="10332720" cy="1179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Sheets">
  <a:themeElements>
    <a:clrScheme name="PNC">
      <a:dk1>
        <a:srgbClr val="000000"/>
      </a:dk1>
      <a:lt1>
        <a:srgbClr val="FFFFFF"/>
      </a:lt1>
      <a:dk2>
        <a:srgbClr val="005288"/>
      </a:dk2>
      <a:lt2>
        <a:srgbClr val="DCF1F7"/>
      </a:lt2>
      <a:accent1>
        <a:srgbClr val="5B9BD5"/>
      </a:accent1>
      <a:accent2>
        <a:srgbClr val="ED9131"/>
      </a:accent2>
      <a:accent3>
        <a:srgbClr val="70AD47"/>
      </a:accent3>
      <a:accent4>
        <a:srgbClr val="FCC000"/>
      </a:accent4>
      <a:accent5>
        <a:srgbClr val="4472C4"/>
      </a:accent5>
      <a:accent6>
        <a:srgbClr val="A5A5A5"/>
      </a:accent6>
      <a:hlink>
        <a:srgbClr val="7F7F7F"/>
      </a:hlink>
      <a:folHlink>
        <a:srgbClr val="ABB0B4"/>
      </a:folHlink>
    </a:clrScheme>
    <a:fontScheme name="PNC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2A20-D9A6-4E50-97AD-C21F6F219053}">
  <sheetPr codeName="Sheet2">
    <tabColor rgb="FFC00000"/>
  </sheetPr>
  <dimension ref="B2:E38"/>
  <sheetViews>
    <sheetView workbookViewId="0">
      <selection activeCell="E20" sqref="E20"/>
    </sheetView>
  </sheetViews>
  <sheetFormatPr defaultRowHeight="12.75" x14ac:dyDescent="0.2"/>
  <cols>
    <col min="1" max="1" width="2.85546875" customWidth="1"/>
    <col min="2" max="2" width="2.7109375" customWidth="1"/>
    <col min="3" max="3" width="20.85546875" bestFit="1" customWidth="1"/>
    <col min="4" max="4" width="2.140625" bestFit="1" customWidth="1"/>
  </cols>
  <sheetData>
    <row r="2" spans="2:5" x14ac:dyDescent="0.2">
      <c r="B2" s="117" t="s">
        <v>198</v>
      </c>
      <c r="C2" s="117"/>
    </row>
    <row r="3" spans="2:5" x14ac:dyDescent="0.2">
      <c r="B3" s="26" t="s">
        <v>199</v>
      </c>
      <c r="C3" s="26" t="s">
        <v>200</v>
      </c>
    </row>
    <row r="4" spans="2:5" x14ac:dyDescent="0.2">
      <c r="B4" s="26" t="s">
        <v>201</v>
      </c>
      <c r="C4" s="26" t="s">
        <v>202</v>
      </c>
    </row>
    <row r="5" spans="2:5" x14ac:dyDescent="0.2">
      <c r="B5" s="26" t="s">
        <v>203</v>
      </c>
      <c r="C5" s="26" t="s">
        <v>217</v>
      </c>
    </row>
    <row r="6" spans="2:5" x14ac:dyDescent="0.2">
      <c r="B6" s="26" t="s">
        <v>204</v>
      </c>
      <c r="C6" s="26" t="s">
        <v>205</v>
      </c>
    </row>
    <row r="7" spans="2:5" x14ac:dyDescent="0.2">
      <c r="B7" s="26"/>
      <c r="C7" s="26"/>
    </row>
    <row r="8" spans="2:5" s="130" customFormat="1" x14ac:dyDescent="0.2">
      <c r="B8" s="51" t="s">
        <v>137</v>
      </c>
      <c r="C8" s="51"/>
    </row>
    <row r="10" spans="2:5" x14ac:dyDescent="0.2">
      <c r="B10" s="117" t="s">
        <v>116</v>
      </c>
      <c r="C10" s="117"/>
    </row>
    <row r="11" spans="2:5" x14ac:dyDescent="0.2">
      <c r="B11" s="26" t="s">
        <v>95</v>
      </c>
      <c r="C11" s="26"/>
      <c r="D11" s="79" t="s">
        <v>88</v>
      </c>
      <c r="E11" s="26" t="s">
        <v>218</v>
      </c>
    </row>
    <row r="12" spans="2:5" x14ac:dyDescent="0.2">
      <c r="B12" s="26" t="s">
        <v>97</v>
      </c>
      <c r="C12" s="26"/>
      <c r="D12" s="79" t="s">
        <v>88</v>
      </c>
      <c r="E12" s="26" t="s">
        <v>96</v>
      </c>
    </row>
    <row r="13" spans="2:5" x14ac:dyDescent="0.2">
      <c r="B13" s="26" t="s">
        <v>27</v>
      </c>
      <c r="C13" s="26"/>
      <c r="D13" s="79" t="s">
        <v>88</v>
      </c>
      <c r="E13" s="26" t="s">
        <v>219</v>
      </c>
    </row>
    <row r="14" spans="2:5" x14ac:dyDescent="0.2">
      <c r="B14" s="26" t="s">
        <v>26</v>
      </c>
      <c r="C14" s="26"/>
      <c r="D14" s="79" t="s">
        <v>88</v>
      </c>
      <c r="E14" s="26" t="s">
        <v>220</v>
      </c>
    </row>
    <row r="15" spans="2:5" x14ac:dyDescent="0.2">
      <c r="B15" s="26" t="s">
        <v>98</v>
      </c>
      <c r="C15" s="26"/>
      <c r="D15" s="79" t="s">
        <v>88</v>
      </c>
      <c r="E15" s="26" t="s">
        <v>221</v>
      </c>
    </row>
    <row r="16" spans="2:5" x14ac:dyDescent="0.2">
      <c r="B16" s="26" t="s">
        <v>5</v>
      </c>
      <c r="C16" s="26"/>
      <c r="D16" s="26" t="s">
        <v>88</v>
      </c>
      <c r="E16" t="s">
        <v>130</v>
      </c>
    </row>
    <row r="17" spans="2:5" x14ac:dyDescent="0.2">
      <c r="B17" s="26"/>
      <c r="C17" s="26"/>
      <c r="D17" s="79"/>
      <c r="E17" s="26"/>
    </row>
    <row r="18" spans="2:5" x14ac:dyDescent="0.2">
      <c r="B18" s="117" t="s">
        <v>117</v>
      </c>
      <c r="C18" s="117"/>
      <c r="D18" s="79"/>
      <c r="E18" s="26"/>
    </row>
    <row r="19" spans="2:5" x14ac:dyDescent="0.2">
      <c r="B19" s="27" t="s">
        <v>94</v>
      </c>
      <c r="C19" s="27"/>
      <c r="D19" s="79" t="s">
        <v>88</v>
      </c>
      <c r="E19" s="26" t="s">
        <v>353</v>
      </c>
    </row>
    <row r="20" spans="2:5" x14ac:dyDescent="0.2">
      <c r="B20" s="78" t="s">
        <v>93</v>
      </c>
      <c r="C20" s="78"/>
      <c r="D20" s="79" t="s">
        <v>88</v>
      </c>
      <c r="E20" s="26" t="s">
        <v>352</v>
      </c>
    </row>
    <row r="21" spans="2:5" x14ac:dyDescent="0.2">
      <c r="B21" s="77" t="s">
        <v>87</v>
      </c>
      <c r="C21" s="77"/>
      <c r="D21" s="79" t="s">
        <v>88</v>
      </c>
      <c r="E21" s="26" t="s">
        <v>225</v>
      </c>
    </row>
    <row r="22" spans="2:5" x14ac:dyDescent="0.2">
      <c r="B22" s="111"/>
      <c r="C22" s="111"/>
      <c r="D22" s="79"/>
      <c r="E22" s="26"/>
    </row>
    <row r="23" spans="2:5" x14ac:dyDescent="0.2">
      <c r="B23" s="118" t="s">
        <v>196</v>
      </c>
      <c r="C23" s="118"/>
      <c r="D23" s="79"/>
      <c r="E23" s="26"/>
    </row>
    <row r="24" spans="2:5" x14ac:dyDescent="0.2">
      <c r="B24" s="26" t="s">
        <v>109</v>
      </c>
      <c r="C24" s="26"/>
      <c r="D24" s="26" t="s">
        <v>88</v>
      </c>
      <c r="E24" t="s">
        <v>129</v>
      </c>
    </row>
    <row r="25" spans="2:5" x14ac:dyDescent="0.2">
      <c r="B25" s="26" t="s">
        <v>111</v>
      </c>
      <c r="C25" s="26"/>
      <c r="D25" s="26" t="s">
        <v>88</v>
      </c>
      <c r="E25" t="s">
        <v>110</v>
      </c>
    </row>
    <row r="26" spans="2:5" x14ac:dyDescent="0.2">
      <c r="B26" s="26" t="s">
        <v>112</v>
      </c>
      <c r="C26" s="26"/>
      <c r="D26" s="26" t="s">
        <v>88</v>
      </c>
      <c r="E26" t="s">
        <v>115</v>
      </c>
    </row>
    <row r="27" spans="2:5" x14ac:dyDescent="0.2">
      <c r="B27" s="26" t="s">
        <v>113</v>
      </c>
      <c r="C27" s="26"/>
      <c r="D27" s="26" t="s">
        <v>88</v>
      </c>
      <c r="E27" t="s">
        <v>114</v>
      </c>
    </row>
    <row r="34" spans="2:3" s="130" customFormat="1" x14ac:dyDescent="0.2">
      <c r="B34" s="51" t="s">
        <v>197</v>
      </c>
      <c r="C34" s="51"/>
    </row>
    <row r="36" spans="2:3" x14ac:dyDescent="0.2">
      <c r="B36" s="26" t="s">
        <v>216</v>
      </c>
      <c r="C36" s="26"/>
    </row>
    <row r="37" spans="2:3" x14ac:dyDescent="0.2">
      <c r="B37" s="26" t="s">
        <v>136</v>
      </c>
      <c r="C37" s="26"/>
    </row>
    <row r="38" spans="2:3" x14ac:dyDescent="0.2">
      <c r="B38" s="26" t="s">
        <v>135</v>
      </c>
      <c r="C38" s="2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A0A3-6000-4FCF-9738-A3321631AF9A}">
  <sheetPr codeName="Sheet5"/>
  <dimension ref="A1"/>
  <sheetViews>
    <sheetView workbookViewId="0"/>
  </sheetViews>
  <sheetFormatPr defaultRowHeight="12.75" x14ac:dyDescent="0.2"/>
  <cols>
    <col min="1" max="16384" width="9.140625" style="25"/>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B05C2-B667-4769-8178-2C34FF729726}">
  <sheetPr codeName="Sheet6">
    <tabColor theme="7"/>
  </sheetPr>
  <dimension ref="A1:AF506"/>
  <sheetViews>
    <sheetView tabSelected="1" zoomScaleNormal="100" workbookViewId="0">
      <pane xSplit="2" ySplit="5" topLeftCell="C6" activePane="bottomRight" state="frozen"/>
      <selection pane="topRight" activeCell="C1" sqref="C1"/>
      <selection pane="bottomLeft" activeCell="A6" sqref="A6"/>
      <selection pane="bottomRight" activeCell="K10" sqref="K10"/>
    </sheetView>
  </sheetViews>
  <sheetFormatPr defaultColWidth="7.7109375" defaultRowHeight="12.75" x14ac:dyDescent="0.2"/>
  <cols>
    <col min="1" max="1" width="1.85546875" style="183" customWidth="1"/>
    <col min="2" max="2" width="30.5703125" style="5" bestFit="1" customWidth="1"/>
    <col min="3" max="3" width="10.28515625" style="5" customWidth="1"/>
    <col min="4" max="11" width="11.28515625" style="5" bestFit="1" customWidth="1"/>
    <col min="12" max="14" width="12.28515625" style="5" bestFit="1" customWidth="1"/>
    <col min="15" max="15" width="1.28515625" style="5" customWidth="1"/>
    <col min="16" max="16" width="10.42578125" style="5" customWidth="1"/>
    <col min="17" max="17" width="1" style="31" customWidth="1"/>
    <col min="18" max="18" width="30.42578125" style="31" bestFit="1" customWidth="1"/>
    <col min="19" max="19" width="9.85546875" style="5" bestFit="1" customWidth="1"/>
    <col min="20" max="20" width="10.42578125" style="5" bestFit="1" customWidth="1"/>
    <col min="21" max="21" width="14.5703125" style="5" customWidth="1"/>
    <col min="22" max="22" width="10.42578125" style="6" bestFit="1" customWidth="1"/>
    <col min="23" max="23" width="10.42578125" style="5" customWidth="1"/>
    <col min="24" max="26" width="9.140625" style="5" customWidth="1"/>
    <col min="27" max="27" width="7.7109375" style="5"/>
    <col min="28" max="28" width="18.85546875" style="5" customWidth="1"/>
    <col min="29" max="29" width="22" style="5" bestFit="1" customWidth="1"/>
    <col min="30" max="30" width="7.7109375" style="5"/>
    <col min="31" max="31" width="10.42578125" style="5" bestFit="1" customWidth="1"/>
    <col min="32" max="33" width="7.7109375" style="5"/>
    <col min="34" max="34" width="10.42578125" style="5" bestFit="1" customWidth="1"/>
    <col min="35" max="16384" width="7.7109375" style="5"/>
  </cols>
  <sheetData>
    <row r="1" spans="1:32" ht="5.0999999999999996" customHeight="1" x14ac:dyDescent="0.2">
      <c r="A1" s="184"/>
      <c r="B1" s="53"/>
      <c r="C1" s="16"/>
      <c r="D1" s="16"/>
      <c r="E1" s="16"/>
      <c r="F1" s="16"/>
      <c r="G1" s="16"/>
      <c r="H1" s="16"/>
      <c r="I1" s="16"/>
      <c r="J1" s="16"/>
      <c r="K1" s="16"/>
      <c r="L1" s="16"/>
      <c r="M1" s="16"/>
      <c r="N1" s="16"/>
      <c r="O1" s="16"/>
      <c r="P1" s="40"/>
      <c r="Q1" s="41" t="s">
        <v>36</v>
      </c>
      <c r="U1" s="13"/>
      <c r="V1" s="13"/>
      <c r="W1" s="15"/>
    </row>
    <row r="2" spans="1:32" ht="12.75" customHeight="1" x14ac:dyDescent="0.2">
      <c r="A2" s="181"/>
      <c r="B2" s="54" t="s">
        <v>25</v>
      </c>
      <c r="C2" s="3"/>
      <c r="D2" s="3"/>
      <c r="E2" s="4"/>
      <c r="F2" s="4"/>
      <c r="G2" s="4"/>
      <c r="H2" s="4"/>
      <c r="I2" s="4"/>
      <c r="J2" s="4"/>
      <c r="K2" s="4"/>
      <c r="L2" s="4"/>
      <c r="M2" s="4"/>
      <c r="N2" s="4"/>
      <c r="O2" s="4"/>
      <c r="P2" s="3"/>
      <c r="Q2" s="38"/>
    </row>
    <row r="3" spans="1:32" ht="5.0999999999999996" customHeight="1" thickBot="1" x14ac:dyDescent="0.25">
      <c r="A3" s="181"/>
      <c r="B3" s="53"/>
      <c r="C3" s="16"/>
      <c r="D3" s="16"/>
      <c r="E3" s="16"/>
      <c r="F3" s="16"/>
      <c r="G3" s="16"/>
      <c r="H3" s="16"/>
      <c r="I3" s="16"/>
      <c r="J3" s="16"/>
      <c r="K3" s="16"/>
      <c r="L3" s="16"/>
      <c r="M3" s="16"/>
      <c r="N3" s="16"/>
      <c r="O3" s="16"/>
      <c r="P3" s="40"/>
      <c r="Q3" s="38"/>
      <c r="U3" s="13"/>
      <c r="V3" s="13"/>
      <c r="W3" s="15"/>
    </row>
    <row r="4" spans="1:32" ht="13.5" thickBot="1" x14ac:dyDescent="0.25">
      <c r="A4" s="185"/>
      <c r="B4" s="55"/>
      <c r="C4" s="112">
        <f ca="1">TODAY()</f>
        <v>45743</v>
      </c>
      <c r="D4" s="7">
        <f ca="1">EOMONTH(C4,0)+1</f>
        <v>45748</v>
      </c>
      <c r="E4" s="7">
        <f t="shared" ref="E4:N4" ca="1" si="0">EDATE(D4,1)</f>
        <v>45778</v>
      </c>
      <c r="F4" s="7">
        <f t="shared" ca="1" si="0"/>
        <v>45809</v>
      </c>
      <c r="G4" s="7">
        <f t="shared" ca="1" si="0"/>
        <v>45839</v>
      </c>
      <c r="H4" s="7">
        <f t="shared" ca="1" si="0"/>
        <v>45870</v>
      </c>
      <c r="I4" s="7">
        <f t="shared" ca="1" si="0"/>
        <v>45901</v>
      </c>
      <c r="J4" s="7">
        <f t="shared" ca="1" si="0"/>
        <v>45931</v>
      </c>
      <c r="K4" s="7">
        <f t="shared" ca="1" si="0"/>
        <v>45962</v>
      </c>
      <c r="L4" s="7">
        <f t="shared" ca="1" si="0"/>
        <v>45992</v>
      </c>
      <c r="M4" s="7">
        <f t="shared" ca="1" si="0"/>
        <v>46023</v>
      </c>
      <c r="N4" s="7">
        <f t="shared" ca="1" si="0"/>
        <v>46054</v>
      </c>
      <c r="O4" s="7"/>
      <c r="P4" s="80" t="s">
        <v>108</v>
      </c>
      <c r="Q4" s="39"/>
      <c r="S4" s="127"/>
      <c r="U4" s="8"/>
      <c r="V4" s="9"/>
      <c r="W4" s="10"/>
      <c r="X4" s="11"/>
      <c r="AD4" s="12"/>
      <c r="AE4" s="12"/>
      <c r="AF4" s="12"/>
    </row>
    <row r="5" spans="1:32" ht="5.0999999999999996" customHeight="1" x14ac:dyDescent="0.2">
      <c r="A5" s="185"/>
      <c r="B5" s="55"/>
      <c r="C5" s="42"/>
      <c r="D5" s="42"/>
      <c r="E5" s="42"/>
      <c r="F5" s="42"/>
      <c r="G5" s="42"/>
      <c r="H5" s="42"/>
      <c r="I5" s="42"/>
      <c r="J5" s="42"/>
      <c r="K5" s="42"/>
      <c r="L5" s="42"/>
      <c r="M5" s="42"/>
      <c r="N5" s="42"/>
      <c r="O5" s="42"/>
      <c r="P5" s="42"/>
      <c r="Q5" s="43"/>
      <c r="U5" s="8"/>
      <c r="V5" s="9"/>
      <c r="W5" s="10"/>
      <c r="X5" s="11"/>
      <c r="AD5" s="12"/>
      <c r="AE5" s="12"/>
      <c r="AF5" s="12"/>
    </row>
    <row r="6" spans="1:32" x14ac:dyDescent="0.2">
      <c r="A6" s="185"/>
      <c r="B6" s="56" t="s">
        <v>32</v>
      </c>
      <c r="C6" s="44"/>
      <c r="D6" s="44"/>
      <c r="E6" s="44"/>
      <c r="F6" s="44"/>
      <c r="G6" s="44"/>
      <c r="H6" s="44"/>
      <c r="I6" s="44"/>
      <c r="J6" s="44"/>
      <c r="K6" s="44"/>
      <c r="L6" s="44"/>
      <c r="M6" s="44"/>
      <c r="N6" s="44"/>
      <c r="O6" s="44"/>
      <c r="P6" s="44"/>
      <c r="Q6" s="43"/>
      <c r="R6" s="56" t="s">
        <v>118</v>
      </c>
      <c r="U6" s="8"/>
      <c r="V6" s="9"/>
      <c r="W6" s="10"/>
      <c r="X6" s="11"/>
      <c r="AD6" s="12"/>
      <c r="AE6" s="12"/>
      <c r="AF6" s="12"/>
    </row>
    <row r="7" spans="1:32" ht="5.0999999999999996" customHeight="1" x14ac:dyDescent="0.2">
      <c r="A7" s="181"/>
      <c r="B7" s="61"/>
      <c r="C7" s="48"/>
      <c r="D7" s="48"/>
      <c r="E7" s="48"/>
      <c r="F7" s="48"/>
      <c r="G7" s="48"/>
      <c r="H7" s="48"/>
      <c r="I7" s="48"/>
      <c r="J7" s="48"/>
      <c r="K7" s="48"/>
      <c r="L7" s="48"/>
      <c r="M7" s="48"/>
      <c r="N7" s="48"/>
      <c r="O7" s="48"/>
      <c r="P7" s="48"/>
      <c r="Q7" s="46"/>
      <c r="R7" s="38"/>
      <c r="W7" s="18"/>
    </row>
    <row r="8" spans="1:32" ht="12.75" customHeight="1" x14ac:dyDescent="0.2">
      <c r="A8" s="181"/>
      <c r="B8" s="76" t="s">
        <v>89</v>
      </c>
      <c r="C8" s="45"/>
      <c r="D8" s="45"/>
      <c r="E8" s="45"/>
      <c r="F8" s="45"/>
      <c r="G8" s="45"/>
      <c r="H8" s="45"/>
      <c r="I8" s="45"/>
      <c r="J8" s="45"/>
      <c r="K8" s="45"/>
      <c r="L8" s="45"/>
      <c r="M8" s="45"/>
      <c r="N8" s="45"/>
      <c r="O8" s="45"/>
      <c r="P8" s="50"/>
      <c r="Q8" s="46"/>
      <c r="R8" s="38"/>
      <c r="U8" s="13"/>
      <c r="V8" s="14"/>
      <c r="W8" s="15"/>
    </row>
    <row r="9" spans="1:32" ht="12.75" customHeight="1" x14ac:dyDescent="0.2">
      <c r="A9" s="181"/>
      <c r="B9" s="75" t="s">
        <v>33</v>
      </c>
      <c r="C9" s="83">
        <f t="shared" ref="C9:N9" ca="1" si="1">C42</f>
        <v>0</v>
      </c>
      <c r="D9" s="83">
        <f t="shared" ca="1" si="1"/>
        <v>7808</v>
      </c>
      <c r="E9" s="83">
        <f t="shared" ca="1" si="1"/>
        <v>11712</v>
      </c>
      <c r="F9" s="83">
        <f t="shared" ca="1" si="1"/>
        <v>7808</v>
      </c>
      <c r="G9" s="83">
        <f t="shared" ca="1" si="1"/>
        <v>7808</v>
      </c>
      <c r="H9" s="83">
        <f t="shared" ca="1" si="1"/>
        <v>7808</v>
      </c>
      <c r="I9" s="83">
        <f t="shared" ca="1" si="1"/>
        <v>7808</v>
      </c>
      <c r="J9" s="83">
        <f t="shared" ca="1" si="1"/>
        <v>11712</v>
      </c>
      <c r="K9" s="83">
        <f t="shared" ca="1" si="1"/>
        <v>7808</v>
      </c>
      <c r="L9" s="83">
        <f t="shared" ca="1" si="1"/>
        <v>7808</v>
      </c>
      <c r="M9" s="83">
        <f t="shared" ca="1" si="1"/>
        <v>7808</v>
      </c>
      <c r="N9" s="83">
        <f t="shared" ca="1" si="1"/>
        <v>7808</v>
      </c>
      <c r="O9" s="82"/>
      <c r="P9" s="84">
        <f ca="1">SUM(C9:N9)</f>
        <v>93696</v>
      </c>
      <c r="Q9" s="46"/>
      <c r="R9" s="38"/>
      <c r="U9" s="13"/>
      <c r="V9" s="14"/>
      <c r="W9" s="15"/>
    </row>
    <row r="10" spans="1:32" ht="12.75" customHeight="1" x14ac:dyDescent="0.2">
      <c r="A10" s="181"/>
      <c r="B10" s="75" t="s">
        <v>34</v>
      </c>
      <c r="C10" s="83">
        <f ca="1">C77</f>
        <v>543.26700831024937</v>
      </c>
      <c r="D10" s="83">
        <f t="shared" ref="D10:N10" ca="1" si="2">D77</f>
        <v>4491.9492243767318</v>
      </c>
      <c r="E10" s="83">
        <f t="shared" ca="1" si="2"/>
        <v>4942.0046260387817</v>
      </c>
      <c r="F10" s="83">
        <f t="shared" ca="1" si="2"/>
        <v>5191.9492243767318</v>
      </c>
      <c r="G10" s="83">
        <f t="shared" ca="1" si="2"/>
        <v>4442.0046260387817</v>
      </c>
      <c r="H10" s="83">
        <f t="shared" ca="1" si="2"/>
        <v>4812.0046260387817</v>
      </c>
      <c r="I10" s="83">
        <f t="shared" ca="1" si="2"/>
        <v>4541.9492243767318</v>
      </c>
      <c r="J10" s="83">
        <f t="shared" ca="1" si="2"/>
        <v>4742.0046260387817</v>
      </c>
      <c r="K10" s="83">
        <f t="shared" ca="1" si="2"/>
        <v>4841.9492243767318</v>
      </c>
      <c r="L10" s="83">
        <f t="shared" ca="1" si="2"/>
        <v>4992.0046260387817</v>
      </c>
      <c r="M10" s="83">
        <f t="shared" ca="1" si="2"/>
        <v>4692.0046260387817</v>
      </c>
      <c r="N10" s="83">
        <f t="shared" ca="1" si="2"/>
        <v>4461.8384210526319</v>
      </c>
      <c r="O10" s="82"/>
      <c r="P10" s="84">
        <f ca="1">SUM(C10:N10)</f>
        <v>52694.930083102503</v>
      </c>
      <c r="Q10" s="46"/>
      <c r="R10" s="38"/>
      <c r="U10" s="13"/>
      <c r="V10" s="14"/>
      <c r="W10" s="15"/>
    </row>
    <row r="11" spans="1:32" ht="12.75" customHeight="1" x14ac:dyDescent="0.2">
      <c r="A11" s="181"/>
      <c r="B11" s="57" t="s">
        <v>90</v>
      </c>
      <c r="C11" s="85">
        <f ca="1">C9-C10</f>
        <v>-543.26700831024937</v>
      </c>
      <c r="D11" s="85">
        <f t="shared" ref="D11:N11" ca="1" si="3">D9-D10</f>
        <v>3316.0507756232682</v>
      </c>
      <c r="E11" s="85">
        <f t="shared" ca="1" si="3"/>
        <v>6769.9953739612183</v>
      </c>
      <c r="F11" s="85">
        <f t="shared" ca="1" si="3"/>
        <v>2616.0507756232682</v>
      </c>
      <c r="G11" s="85">
        <f t="shared" ca="1" si="3"/>
        <v>3365.9953739612183</v>
      </c>
      <c r="H11" s="85">
        <f t="shared" ca="1" si="3"/>
        <v>2995.9953739612183</v>
      </c>
      <c r="I11" s="85">
        <f t="shared" ca="1" si="3"/>
        <v>3266.0507756232682</v>
      </c>
      <c r="J11" s="85">
        <f t="shared" ca="1" si="3"/>
        <v>6969.9953739612183</v>
      </c>
      <c r="K11" s="85">
        <f t="shared" ca="1" si="3"/>
        <v>2966.0507756232682</v>
      </c>
      <c r="L11" s="85">
        <f t="shared" ca="1" si="3"/>
        <v>2815.9953739612183</v>
      </c>
      <c r="M11" s="85">
        <f t="shared" ca="1" si="3"/>
        <v>3115.9953739612183</v>
      </c>
      <c r="N11" s="85">
        <f t="shared" ca="1" si="3"/>
        <v>3346.1615789473681</v>
      </c>
      <c r="O11" s="85"/>
      <c r="P11" s="86">
        <f ca="1">SUM(C11:N11)</f>
        <v>41001.069916897497</v>
      </c>
      <c r="Q11" s="46"/>
      <c r="R11" s="38"/>
      <c r="U11" s="13"/>
      <c r="V11" s="13"/>
      <c r="W11" s="15"/>
    </row>
    <row r="12" spans="1:32" ht="12.75" customHeight="1" x14ac:dyDescent="0.2">
      <c r="A12" s="181"/>
      <c r="B12" s="129" t="s">
        <v>131</v>
      </c>
      <c r="C12" s="82">
        <f t="shared" ref="C12:N12" ca="1" si="4">C9-SUM(C37)+SUM(C66:C67,C27:C27,C72:C73)</f>
        <v>100</v>
      </c>
      <c r="D12" s="82">
        <f t="shared" ca="1" si="4"/>
        <v>8608</v>
      </c>
      <c r="E12" s="82">
        <f t="shared" ca="1" si="4"/>
        <v>12762</v>
      </c>
      <c r="F12" s="82">
        <f t="shared" ca="1" si="4"/>
        <v>8608</v>
      </c>
      <c r="G12" s="82">
        <f t="shared" ca="1" si="4"/>
        <v>8608</v>
      </c>
      <c r="H12" s="82">
        <f t="shared" ca="1" si="4"/>
        <v>8608</v>
      </c>
      <c r="I12" s="82">
        <f t="shared" ca="1" si="4"/>
        <v>8608</v>
      </c>
      <c r="J12" s="82">
        <f t="shared" ca="1" si="4"/>
        <v>12762</v>
      </c>
      <c r="K12" s="82">
        <f t="shared" ca="1" si="4"/>
        <v>8608</v>
      </c>
      <c r="L12" s="82">
        <f t="shared" ca="1" si="4"/>
        <v>8608</v>
      </c>
      <c r="M12" s="82">
        <f t="shared" ca="1" si="4"/>
        <v>8608</v>
      </c>
      <c r="N12" s="82">
        <f t="shared" ca="1" si="4"/>
        <v>8608</v>
      </c>
      <c r="O12" s="82"/>
      <c r="P12" s="82">
        <f ca="1">P9-SUM(P37)+SUM(P66:P67,P27:P27,P72:P73)</f>
        <v>103096</v>
      </c>
      <c r="Q12" s="46"/>
      <c r="R12" s="38"/>
      <c r="U12" s="13"/>
      <c r="V12" s="13"/>
      <c r="W12" s="15"/>
    </row>
    <row r="13" spans="1:32" ht="5.0999999999999996" customHeight="1" x14ac:dyDescent="0.2">
      <c r="A13" s="181"/>
      <c r="B13" s="61"/>
      <c r="C13" s="81"/>
      <c r="D13" s="81"/>
      <c r="E13" s="81"/>
      <c r="F13" s="81"/>
      <c r="G13" s="81"/>
      <c r="H13" s="81"/>
      <c r="I13" s="81"/>
      <c r="J13" s="81"/>
      <c r="K13" s="81"/>
      <c r="L13" s="81"/>
      <c r="M13" s="81"/>
      <c r="N13" s="81"/>
      <c r="O13" s="81"/>
      <c r="P13" s="81"/>
      <c r="Q13" s="46"/>
      <c r="R13" s="38"/>
      <c r="W13" s="18"/>
    </row>
    <row r="14" spans="1:32" ht="12.75" customHeight="1" x14ac:dyDescent="0.2">
      <c r="A14" s="181"/>
      <c r="B14" s="76" t="s">
        <v>83</v>
      </c>
      <c r="C14" s="82"/>
      <c r="D14" s="82"/>
      <c r="E14" s="82"/>
      <c r="F14" s="82"/>
      <c r="G14" s="82"/>
      <c r="H14" s="82"/>
      <c r="I14" s="82"/>
      <c r="J14" s="82"/>
      <c r="K14" s="82"/>
      <c r="L14" s="82"/>
      <c r="M14" s="82"/>
      <c r="N14" s="82"/>
      <c r="O14" s="82"/>
      <c r="P14" s="87"/>
      <c r="Q14" s="47"/>
      <c r="R14" s="38"/>
      <c r="U14" s="13"/>
      <c r="V14" s="13"/>
      <c r="W14" s="15"/>
    </row>
    <row r="15" spans="1:32" ht="12.75" customHeight="1" x14ac:dyDescent="0.2">
      <c r="A15" s="181"/>
      <c r="B15" s="75" t="s">
        <v>5</v>
      </c>
      <c r="C15" s="83" t="e">
        <f ca="1">#REF!+C11</f>
        <v>#REF!</v>
      </c>
      <c r="D15" s="83" t="e">
        <f t="shared" ref="D15:N15" ca="1" si="5">C15+D11</f>
        <v>#REF!</v>
      </c>
      <c r="E15" s="83" t="e">
        <f t="shared" ca="1" si="5"/>
        <v>#REF!</v>
      </c>
      <c r="F15" s="83" t="e">
        <f t="shared" ca="1" si="5"/>
        <v>#REF!</v>
      </c>
      <c r="G15" s="83" t="e">
        <f t="shared" ca="1" si="5"/>
        <v>#REF!</v>
      </c>
      <c r="H15" s="83" t="e">
        <f t="shared" ca="1" si="5"/>
        <v>#REF!</v>
      </c>
      <c r="I15" s="83" t="e">
        <f t="shared" ca="1" si="5"/>
        <v>#REF!</v>
      </c>
      <c r="J15" s="83" t="e">
        <f t="shared" ca="1" si="5"/>
        <v>#REF!</v>
      </c>
      <c r="K15" s="83" t="e">
        <f t="shared" ca="1" si="5"/>
        <v>#REF!</v>
      </c>
      <c r="L15" s="83" t="e">
        <f t="shared" ca="1" si="5"/>
        <v>#REF!</v>
      </c>
      <c r="M15" s="83" t="e">
        <f t="shared" ca="1" si="5"/>
        <v>#REF!</v>
      </c>
      <c r="N15" s="83" t="e">
        <f t="shared" ca="1" si="5"/>
        <v>#REF!</v>
      </c>
      <c r="O15" s="82"/>
      <c r="P15" s="84" t="e">
        <f ca="1">N15</f>
        <v>#REF!</v>
      </c>
      <c r="Q15" s="47"/>
      <c r="R15" s="38"/>
      <c r="S15" s="119"/>
      <c r="U15" s="13"/>
      <c r="V15" s="13"/>
      <c r="W15" s="15"/>
    </row>
    <row r="16" spans="1:32" ht="12.75" customHeight="1" x14ac:dyDescent="0.2">
      <c r="A16" s="181"/>
      <c r="B16" s="57" t="s">
        <v>35</v>
      </c>
      <c r="C16" s="85" t="e">
        <f t="shared" ref="C16:N16" ca="1" si="6">C100</f>
        <v>#REF!</v>
      </c>
      <c r="D16" s="85" t="e">
        <f t="shared" ca="1" si="6"/>
        <v>#REF!</v>
      </c>
      <c r="E16" s="85" t="e">
        <f t="shared" ca="1" si="6"/>
        <v>#REF!</v>
      </c>
      <c r="F16" s="85" t="e">
        <f t="shared" ca="1" si="6"/>
        <v>#REF!</v>
      </c>
      <c r="G16" s="85" t="e">
        <f t="shared" ca="1" si="6"/>
        <v>#REF!</v>
      </c>
      <c r="H16" s="85" t="e">
        <f t="shared" ca="1" si="6"/>
        <v>#REF!</v>
      </c>
      <c r="I16" s="85" t="e">
        <f t="shared" ca="1" si="6"/>
        <v>#REF!</v>
      </c>
      <c r="J16" s="85" t="e">
        <f t="shared" ca="1" si="6"/>
        <v>#REF!</v>
      </c>
      <c r="K16" s="85" t="e">
        <f t="shared" ca="1" si="6"/>
        <v>#REF!</v>
      </c>
      <c r="L16" s="85" t="e">
        <f t="shared" ca="1" si="6"/>
        <v>#REF!</v>
      </c>
      <c r="M16" s="85" t="e">
        <f t="shared" ca="1" si="6"/>
        <v>#REF!</v>
      </c>
      <c r="N16" s="85" t="e">
        <f t="shared" ca="1" si="6"/>
        <v>#REF!</v>
      </c>
      <c r="O16" s="85"/>
      <c r="P16" s="86" t="e">
        <f ca="1">N16</f>
        <v>#REF!</v>
      </c>
      <c r="Q16" s="47"/>
      <c r="R16" s="38"/>
      <c r="S16" s="119"/>
      <c r="U16" s="13"/>
      <c r="V16" s="13"/>
      <c r="W16" s="15"/>
    </row>
    <row r="17" spans="1:23" ht="12.75" customHeight="1" x14ac:dyDescent="0.2">
      <c r="A17" s="181"/>
      <c r="B17" s="58"/>
      <c r="C17" s="81"/>
      <c r="D17" s="81"/>
      <c r="E17" s="81"/>
      <c r="F17" s="81"/>
      <c r="G17" s="81"/>
      <c r="H17" s="81"/>
      <c r="I17" s="81"/>
      <c r="J17" s="81"/>
      <c r="K17" s="81"/>
      <c r="L17" s="81"/>
      <c r="M17" s="81"/>
      <c r="N17" s="81"/>
      <c r="O17" s="81"/>
      <c r="P17" s="81"/>
      <c r="Q17" s="46"/>
      <c r="R17" s="38"/>
      <c r="U17" s="11"/>
      <c r="V17" s="17"/>
      <c r="W17" s="17"/>
    </row>
    <row r="18" spans="1:23" ht="12.75" customHeight="1" x14ac:dyDescent="0.2">
      <c r="A18" s="186"/>
      <c r="B18" s="59" t="s">
        <v>20</v>
      </c>
      <c r="C18" s="120"/>
      <c r="D18" s="120"/>
      <c r="E18" s="120"/>
      <c r="F18" s="120"/>
      <c r="G18" s="120"/>
      <c r="H18" s="120"/>
      <c r="I18" s="120"/>
      <c r="J18" s="120"/>
      <c r="K18" s="120"/>
      <c r="L18" s="120"/>
      <c r="M18" s="120"/>
      <c r="N18" s="120"/>
      <c r="O18" s="120"/>
      <c r="P18" s="121"/>
      <c r="Q18" s="46"/>
      <c r="R18" s="38"/>
      <c r="S18" s="119"/>
    </row>
    <row r="19" spans="1:23" ht="12.75" customHeight="1" x14ac:dyDescent="0.2">
      <c r="A19" s="181"/>
      <c r="B19" s="60" t="s">
        <v>331</v>
      </c>
      <c r="C19" s="90">
        <f ca="1">_xlfn.LET(
_xlpm.recurring,SUMIFS(INDEX(recurring_master!$A:$AF,,MATCH($B19,recurring_master!$A$1:$AF$1,0)),recurring_master!$A:$A,"&lt;="&amp;EOMONTH(C$4,0),recurring_master!$A:$A,"&gt;="&amp;C$4),
_xlpm.planned,SUMIFS(#REF!,#REF!,$B19,#REF!,"&gt;="&amp;C$4,#REF!,"&lt;="&amp;EOMONTH(C$4,0)),
IFERROR(_xlpm.recurring,0)+IFERROR(_xlpm.planned,0))</f>
        <v>0</v>
      </c>
      <c r="D19" s="90">
        <f ca="1">_xlfn.LET(
_xlpm.recurring,SUMIFS(INDEX(recurring_master!$A:$AF,,MATCH($B19,recurring_master!$A$1:$AF$1,0)),recurring_master!$A:$A,"&lt;="&amp;EOMONTH(D$4,0),recurring_master!$A:$A,"&gt;="&amp;D$4),
_xlpm.planned,SUMIFS(#REF!,#REF!,$B19,#REF!,"&gt;="&amp;D$4,#REF!,"&lt;="&amp;EOMONTH(D$4,0)),
IFERROR(_xlpm.recurring,0)+IFERROR(_xlpm.planned,0))</f>
        <v>8000</v>
      </c>
      <c r="E19" s="90">
        <f ca="1">_xlfn.LET(
_xlpm.recurring,SUMIFS(INDEX(recurring_master!$A:$AF,,MATCH($B19,recurring_master!$A$1:$AF$1,0)),recurring_master!$A:$A,"&lt;="&amp;EOMONTH(E$4,0),recurring_master!$A:$A,"&gt;="&amp;E$4),
_xlpm.planned,SUMIFS(#REF!,#REF!,$B19,#REF!,"&gt;="&amp;E$4,#REF!,"&lt;="&amp;EOMONTH(E$4,0)),
IFERROR(_xlpm.recurring,0)+IFERROR(_xlpm.planned,0))</f>
        <v>12000</v>
      </c>
      <c r="F19" s="90">
        <f ca="1">_xlfn.LET(
_xlpm.recurring,SUMIFS(INDEX(recurring_master!$A:$AF,,MATCH($B19,recurring_master!$A$1:$AF$1,0)),recurring_master!$A:$A,"&lt;="&amp;EOMONTH(F$4,0),recurring_master!$A:$A,"&gt;="&amp;F$4),
_xlpm.planned,SUMIFS(#REF!,#REF!,$B19,#REF!,"&gt;="&amp;F$4,#REF!,"&lt;="&amp;EOMONTH(F$4,0)),
IFERROR(_xlpm.recurring,0)+IFERROR(_xlpm.planned,0))</f>
        <v>8000</v>
      </c>
      <c r="G19" s="90">
        <f ca="1">_xlfn.LET(
_xlpm.recurring,SUMIFS(INDEX(recurring_master!$A:$AF,,MATCH($B19,recurring_master!$A$1:$AF$1,0)),recurring_master!$A:$A,"&lt;="&amp;EOMONTH(G$4,0),recurring_master!$A:$A,"&gt;="&amp;G$4),
_xlpm.planned,SUMIFS(#REF!,#REF!,$B19,#REF!,"&gt;="&amp;G$4,#REF!,"&lt;="&amp;EOMONTH(G$4,0)),
IFERROR(_xlpm.recurring,0)+IFERROR(_xlpm.planned,0))</f>
        <v>8000</v>
      </c>
      <c r="H19" s="90">
        <f ca="1">_xlfn.LET(
_xlpm.recurring,SUMIFS(INDEX(recurring_master!$A:$AF,,MATCH($B19,recurring_master!$A$1:$AF$1,0)),recurring_master!$A:$A,"&lt;="&amp;EOMONTH(H$4,0),recurring_master!$A:$A,"&gt;="&amp;H$4),
_xlpm.planned,SUMIFS(#REF!,#REF!,$B19,#REF!,"&gt;="&amp;H$4,#REF!,"&lt;="&amp;EOMONTH(H$4,0)),
IFERROR(_xlpm.recurring,0)+IFERROR(_xlpm.planned,0))</f>
        <v>8000</v>
      </c>
      <c r="I19" s="90">
        <f ca="1">_xlfn.LET(
_xlpm.recurring,SUMIFS(INDEX(recurring_master!$A:$AF,,MATCH($B19,recurring_master!$A$1:$AF$1,0)),recurring_master!$A:$A,"&lt;="&amp;EOMONTH(I$4,0),recurring_master!$A:$A,"&gt;="&amp;I$4),
_xlpm.planned,SUMIFS(#REF!,#REF!,$B19,#REF!,"&gt;="&amp;I$4,#REF!,"&lt;="&amp;EOMONTH(I$4,0)),
IFERROR(_xlpm.recurring,0)+IFERROR(_xlpm.planned,0))</f>
        <v>8000</v>
      </c>
      <c r="J19" s="90">
        <f ca="1">_xlfn.LET(
_xlpm.recurring,SUMIFS(INDEX(recurring_master!$A:$AF,,MATCH($B19,recurring_master!$A$1:$AF$1,0)),recurring_master!$A:$A,"&lt;="&amp;EOMONTH(J$4,0),recurring_master!$A:$A,"&gt;="&amp;J$4),
_xlpm.planned,SUMIFS(#REF!,#REF!,$B19,#REF!,"&gt;="&amp;J$4,#REF!,"&lt;="&amp;EOMONTH(J$4,0)),
IFERROR(_xlpm.recurring,0)+IFERROR(_xlpm.planned,0))</f>
        <v>12000</v>
      </c>
      <c r="K19" s="90">
        <f ca="1">_xlfn.LET(
_xlpm.recurring,SUMIFS(INDEX(recurring_master!$A:$AF,,MATCH($B19,recurring_master!$A$1:$AF$1,0)),recurring_master!$A:$A,"&lt;="&amp;EOMONTH(K$4,0),recurring_master!$A:$A,"&gt;="&amp;K$4),
_xlpm.planned,SUMIFS(#REF!,#REF!,$B19,#REF!,"&gt;="&amp;K$4,#REF!,"&lt;="&amp;EOMONTH(K$4,0)),
IFERROR(_xlpm.recurring,0)+IFERROR(_xlpm.planned,0))</f>
        <v>8000</v>
      </c>
      <c r="L19" s="90">
        <f ca="1">_xlfn.LET(
_xlpm.recurring,SUMIFS(INDEX(recurring_master!$A:$AF,,MATCH($B19,recurring_master!$A$1:$AF$1,0)),recurring_master!$A:$A,"&lt;="&amp;EOMONTH(L$4,0),recurring_master!$A:$A,"&gt;="&amp;L$4),
_xlpm.planned,SUMIFS(#REF!,#REF!,$B19,#REF!,"&gt;="&amp;L$4,#REF!,"&lt;="&amp;EOMONTH(L$4,0)),
IFERROR(_xlpm.recurring,0)+IFERROR(_xlpm.planned,0))</f>
        <v>8000</v>
      </c>
      <c r="M19" s="90">
        <f ca="1">_xlfn.LET(
_xlpm.recurring,SUMIFS(INDEX(recurring_master!$A:$AF,,MATCH($B19,recurring_master!$A$1:$AF$1,0)),recurring_master!$A:$A,"&lt;="&amp;EOMONTH(M$4,0),recurring_master!$A:$A,"&gt;="&amp;M$4),
_xlpm.planned,SUMIFS(#REF!,#REF!,$B19,#REF!,"&gt;="&amp;M$4,#REF!,"&lt;="&amp;EOMONTH(M$4,0)),
IFERROR(_xlpm.recurring,0)+IFERROR(_xlpm.planned,0))</f>
        <v>8000</v>
      </c>
      <c r="N19" s="90">
        <f ca="1">_xlfn.LET(
_xlpm.recurring,SUMIFS(INDEX(recurring_master!$A:$AF,,MATCH($B19,recurring_master!$A$1:$AF$1,0)),recurring_master!$A:$A,"&lt;="&amp;EOMONTH(N$4,0),recurring_master!$A:$A,"&gt;="&amp;N$4),
_xlpm.planned,SUMIFS(#REF!,#REF!,$B19,#REF!,"&gt;="&amp;N$4,#REF!,"&lt;="&amp;EOMONTH(N$4,0)),
IFERROR(_xlpm.recurring,0)+IFERROR(_xlpm.planned,0))</f>
        <v>8000</v>
      </c>
      <c r="O19" s="81"/>
      <c r="P19" s="91">
        <f ca="1">SUM(C19:N19)</f>
        <v>96000</v>
      </c>
      <c r="Q19" s="46"/>
      <c r="R19" s="38"/>
      <c r="S19" s="128"/>
      <c r="T19" s="128"/>
      <c r="U19" s="128"/>
      <c r="W19" s="18"/>
    </row>
    <row r="20" spans="1:23" ht="12.75" customHeight="1" x14ac:dyDescent="0.2">
      <c r="A20" s="181"/>
      <c r="B20" s="60" t="s">
        <v>7</v>
      </c>
      <c r="C20" s="90">
        <f ca="1">_xlfn.LET(
_xlpm.recurring,SUMIFS(INDEX(recurring_master!$A:$AF,,MATCH($B20,recurring_master!$A$1:$AF$1,0)),recurring_master!$A:$A,"&lt;="&amp;EOMONTH(C$4,0),recurring_master!$A:$A,"&gt;="&amp;C$4),
_xlpm.planned,SUMIFS(#REF!,#REF!,$B20,#REF!,"&gt;="&amp;C$4,#REF!,"&lt;="&amp;EOMONTH(C$4,0)),
IFERROR(_xlpm.recurring,0)+IFERROR(_xlpm.planned,0))</f>
        <v>0</v>
      </c>
      <c r="D20" s="90">
        <f ca="1">_xlfn.LET(
_xlpm.recurring,SUMIFS(INDEX(recurring_master!$A:$AF,,MATCH($B20,recurring_master!$A$1:$AF$1,0)),recurring_master!$A:$A,"&lt;="&amp;EOMONTH(D$4,0),recurring_master!$A:$A,"&gt;="&amp;D$4),
_xlpm.planned,SUMIFS(#REF!,#REF!,$B20,#REF!,"&gt;="&amp;D$4,#REF!,"&lt;="&amp;EOMONTH(D$4,0)),
IFERROR(_xlpm.recurring,0)+IFERROR(_xlpm.planned,0))</f>
        <v>0</v>
      </c>
      <c r="E20" s="90">
        <f ca="1">_xlfn.LET(
_xlpm.recurring,SUMIFS(INDEX(recurring_master!$A:$AF,,MATCH($B20,recurring_master!$A$1:$AF$1,0)),recurring_master!$A:$A,"&lt;="&amp;EOMONTH(E$4,0),recurring_master!$A:$A,"&gt;="&amp;E$4),
_xlpm.planned,SUMIFS(#REF!,#REF!,$B20,#REF!,"&gt;="&amp;E$4,#REF!,"&lt;="&amp;EOMONTH(E$4,0)),
IFERROR(_xlpm.recurring,0)+IFERROR(_xlpm.planned,0))</f>
        <v>0</v>
      </c>
      <c r="F20" s="90">
        <f ca="1">_xlfn.LET(
_xlpm.recurring,SUMIFS(INDEX(recurring_master!$A:$AF,,MATCH($B20,recurring_master!$A$1:$AF$1,0)),recurring_master!$A:$A,"&lt;="&amp;EOMONTH(F$4,0),recurring_master!$A:$A,"&gt;="&amp;F$4),
_xlpm.planned,SUMIFS(#REF!,#REF!,$B20,#REF!,"&gt;="&amp;F$4,#REF!,"&lt;="&amp;EOMONTH(F$4,0)),
IFERROR(_xlpm.recurring,0)+IFERROR(_xlpm.planned,0))</f>
        <v>0</v>
      </c>
      <c r="G20" s="90">
        <f ca="1">_xlfn.LET(
_xlpm.recurring,SUMIFS(INDEX(recurring_master!$A:$AF,,MATCH($B20,recurring_master!$A$1:$AF$1,0)),recurring_master!$A:$A,"&lt;="&amp;EOMONTH(G$4,0),recurring_master!$A:$A,"&gt;="&amp;G$4),
_xlpm.planned,SUMIFS(#REF!,#REF!,$B20,#REF!,"&gt;="&amp;G$4,#REF!,"&lt;="&amp;EOMONTH(G$4,0)),
IFERROR(_xlpm.recurring,0)+IFERROR(_xlpm.planned,0))</f>
        <v>0</v>
      </c>
      <c r="H20" s="90">
        <f ca="1">_xlfn.LET(
_xlpm.recurring,SUMIFS(INDEX(recurring_master!$A:$AF,,MATCH($B20,recurring_master!$A$1:$AF$1,0)),recurring_master!$A:$A,"&lt;="&amp;EOMONTH(H$4,0),recurring_master!$A:$A,"&gt;="&amp;H$4),
_xlpm.planned,SUMIFS(#REF!,#REF!,$B20,#REF!,"&gt;="&amp;H$4,#REF!,"&lt;="&amp;EOMONTH(H$4,0)),
IFERROR(_xlpm.recurring,0)+IFERROR(_xlpm.planned,0))</f>
        <v>0</v>
      </c>
      <c r="I20" s="90">
        <f ca="1">_xlfn.LET(
_xlpm.recurring,SUMIFS(INDEX(recurring_master!$A:$AF,,MATCH($B20,recurring_master!$A$1:$AF$1,0)),recurring_master!$A:$A,"&lt;="&amp;EOMONTH(I$4,0),recurring_master!$A:$A,"&gt;="&amp;I$4),
_xlpm.planned,SUMIFS(#REF!,#REF!,$B20,#REF!,"&gt;="&amp;I$4,#REF!,"&lt;="&amp;EOMONTH(I$4,0)),
IFERROR(_xlpm.recurring,0)+IFERROR(_xlpm.planned,0))</f>
        <v>0</v>
      </c>
      <c r="J20" s="90">
        <f ca="1">_xlfn.LET(
_xlpm.recurring,SUMIFS(INDEX(recurring_master!$A:$AF,,MATCH($B20,recurring_master!$A$1:$AF$1,0)),recurring_master!$A:$A,"&lt;="&amp;EOMONTH(J$4,0),recurring_master!$A:$A,"&gt;="&amp;J$4),
_xlpm.planned,SUMIFS(#REF!,#REF!,$B20,#REF!,"&gt;="&amp;J$4,#REF!,"&lt;="&amp;EOMONTH(J$4,0)),
IFERROR(_xlpm.recurring,0)+IFERROR(_xlpm.planned,0))</f>
        <v>0</v>
      </c>
      <c r="K20" s="90">
        <f ca="1">_xlfn.LET(
_xlpm.recurring,SUMIFS(INDEX(recurring_master!$A:$AF,,MATCH($B20,recurring_master!$A$1:$AF$1,0)),recurring_master!$A:$A,"&lt;="&amp;EOMONTH(K$4,0),recurring_master!$A:$A,"&gt;="&amp;K$4),
_xlpm.planned,SUMIFS(#REF!,#REF!,$B20,#REF!,"&gt;="&amp;K$4,#REF!,"&lt;="&amp;EOMONTH(K$4,0)),
IFERROR(_xlpm.recurring,0)+IFERROR(_xlpm.planned,0))</f>
        <v>0</v>
      </c>
      <c r="L20" s="90">
        <f ca="1">_xlfn.LET(
_xlpm.recurring,SUMIFS(INDEX(recurring_master!$A:$AF,,MATCH($B20,recurring_master!$A$1:$AF$1,0)),recurring_master!$A:$A,"&lt;="&amp;EOMONTH(L$4,0),recurring_master!$A:$A,"&gt;="&amp;L$4),
_xlpm.planned,SUMIFS(#REF!,#REF!,$B20,#REF!,"&gt;="&amp;L$4,#REF!,"&lt;="&amp;EOMONTH(L$4,0)),
IFERROR(_xlpm.recurring,0)+IFERROR(_xlpm.planned,0))</f>
        <v>0</v>
      </c>
      <c r="M20" s="90">
        <f ca="1">_xlfn.LET(
_xlpm.recurring,SUMIFS(INDEX(recurring_master!$A:$AF,,MATCH($B20,recurring_master!$A$1:$AF$1,0)),recurring_master!$A:$A,"&lt;="&amp;EOMONTH(M$4,0),recurring_master!$A:$A,"&gt;="&amp;M$4),
_xlpm.planned,SUMIFS(#REF!,#REF!,$B20,#REF!,"&gt;="&amp;M$4,#REF!,"&lt;="&amp;EOMONTH(M$4,0)),
IFERROR(_xlpm.recurring,0)+IFERROR(_xlpm.planned,0))</f>
        <v>0</v>
      </c>
      <c r="N20" s="90">
        <f ca="1">_xlfn.LET(
_xlpm.recurring,SUMIFS(INDEX(recurring_master!$A:$AF,,MATCH($B20,recurring_master!$A$1:$AF$1,0)),recurring_master!$A:$A,"&lt;="&amp;EOMONTH(N$4,0),recurring_master!$A:$A,"&gt;="&amp;N$4),
_xlpm.planned,SUMIFS(#REF!,#REF!,$B20,#REF!,"&gt;="&amp;N$4,#REF!,"&lt;="&amp;EOMONTH(N$4,0)),
IFERROR(_xlpm.recurring,0)+IFERROR(_xlpm.planned,0))</f>
        <v>0</v>
      </c>
      <c r="O20" s="81"/>
      <c r="P20" s="91">
        <f ca="1">SUM(C20:N20)</f>
        <v>0</v>
      </c>
      <c r="Q20" s="46"/>
      <c r="R20" s="38"/>
      <c r="S20" s="128"/>
      <c r="T20" s="128"/>
      <c r="U20" s="128"/>
      <c r="W20" s="18"/>
    </row>
    <row r="21" spans="1:23" ht="12.75" customHeight="1" x14ac:dyDescent="0.2">
      <c r="A21" s="181"/>
      <c r="B21" s="60" t="s">
        <v>23</v>
      </c>
      <c r="C21" s="90">
        <f ca="1">_xlfn.LET(
_xlpm.recurring,SUMIFS(INDEX(recurring_master!$A:$AF,,MATCH($B21,recurring_master!$A$1:$AF$1,0)),recurring_master!$A:$A,"&lt;="&amp;EOMONTH(C$4,0),recurring_master!$A:$A,"&gt;="&amp;C$4),
_xlpm.planned,SUMIFS(#REF!,#REF!,$B21,#REF!,"&gt;="&amp;C$4,#REF!,"&lt;="&amp;EOMONTH(C$4,0)),
IFERROR(_xlpm.recurring,0)+IFERROR(_xlpm.planned,0))</f>
        <v>0</v>
      </c>
      <c r="D21" s="90">
        <f ca="1">_xlfn.LET(
_xlpm.recurring,SUMIFS(INDEX(recurring_master!$A:$AF,,MATCH($B21,recurring_master!$A$1:$AF$1,0)),recurring_master!$A:$A,"&lt;="&amp;EOMONTH(D$4,0),recurring_master!$A:$A,"&gt;="&amp;D$4),
_xlpm.planned,SUMIFS(#REF!,#REF!,$B21,#REF!,"&gt;="&amp;D$4,#REF!,"&lt;="&amp;EOMONTH(D$4,0)),
IFERROR(_xlpm.recurring,0)+IFERROR(_xlpm.planned,0))</f>
        <v>0</v>
      </c>
      <c r="E21" s="90">
        <f ca="1">_xlfn.LET(
_xlpm.recurring,SUMIFS(INDEX(recurring_master!$A:$AF,,MATCH($B21,recurring_master!$A$1:$AF$1,0)),recurring_master!$A:$A,"&lt;="&amp;EOMONTH(E$4,0),recurring_master!$A:$A,"&gt;="&amp;E$4),
_xlpm.planned,SUMIFS(#REF!,#REF!,$B21,#REF!,"&gt;="&amp;E$4,#REF!,"&lt;="&amp;EOMONTH(E$4,0)),
IFERROR(_xlpm.recurring,0)+IFERROR(_xlpm.planned,0))</f>
        <v>0</v>
      </c>
      <c r="F21" s="90">
        <f ca="1">_xlfn.LET(
_xlpm.recurring,SUMIFS(INDEX(recurring_master!$A:$AF,,MATCH($B21,recurring_master!$A$1:$AF$1,0)),recurring_master!$A:$A,"&lt;="&amp;EOMONTH(F$4,0),recurring_master!$A:$A,"&gt;="&amp;F$4),
_xlpm.planned,SUMIFS(#REF!,#REF!,$B21,#REF!,"&gt;="&amp;F$4,#REF!,"&lt;="&amp;EOMONTH(F$4,0)),
IFERROR(_xlpm.recurring,0)+IFERROR(_xlpm.planned,0))</f>
        <v>0</v>
      </c>
      <c r="G21" s="90">
        <f ca="1">_xlfn.LET(
_xlpm.recurring,SUMIFS(INDEX(recurring_master!$A:$AF,,MATCH($B21,recurring_master!$A$1:$AF$1,0)),recurring_master!$A:$A,"&lt;="&amp;EOMONTH(G$4,0),recurring_master!$A:$A,"&gt;="&amp;G$4),
_xlpm.planned,SUMIFS(#REF!,#REF!,$B21,#REF!,"&gt;="&amp;G$4,#REF!,"&lt;="&amp;EOMONTH(G$4,0)),
IFERROR(_xlpm.recurring,0)+IFERROR(_xlpm.planned,0))</f>
        <v>0</v>
      </c>
      <c r="H21" s="90">
        <f ca="1">_xlfn.LET(
_xlpm.recurring,SUMIFS(INDEX(recurring_master!$A:$AF,,MATCH($B21,recurring_master!$A$1:$AF$1,0)),recurring_master!$A:$A,"&lt;="&amp;EOMONTH(H$4,0),recurring_master!$A:$A,"&gt;="&amp;H$4),
_xlpm.planned,SUMIFS(#REF!,#REF!,$B21,#REF!,"&gt;="&amp;H$4,#REF!,"&lt;="&amp;EOMONTH(H$4,0)),
IFERROR(_xlpm.recurring,0)+IFERROR(_xlpm.planned,0))</f>
        <v>0</v>
      </c>
      <c r="I21" s="90">
        <f ca="1">_xlfn.LET(
_xlpm.recurring,SUMIFS(INDEX(recurring_master!$A:$AF,,MATCH($B21,recurring_master!$A$1:$AF$1,0)),recurring_master!$A:$A,"&lt;="&amp;EOMONTH(I$4,0),recurring_master!$A:$A,"&gt;="&amp;I$4),
_xlpm.planned,SUMIFS(#REF!,#REF!,$B21,#REF!,"&gt;="&amp;I$4,#REF!,"&lt;="&amp;EOMONTH(I$4,0)),
IFERROR(_xlpm.recurring,0)+IFERROR(_xlpm.planned,0))</f>
        <v>0</v>
      </c>
      <c r="J21" s="90">
        <f ca="1">_xlfn.LET(
_xlpm.recurring,SUMIFS(INDEX(recurring_master!$A:$AF,,MATCH($B21,recurring_master!$A$1:$AF$1,0)),recurring_master!$A:$A,"&lt;="&amp;EOMONTH(J$4,0),recurring_master!$A:$A,"&gt;="&amp;J$4),
_xlpm.planned,SUMIFS(#REF!,#REF!,$B21,#REF!,"&gt;="&amp;J$4,#REF!,"&lt;="&amp;EOMONTH(J$4,0)),
IFERROR(_xlpm.recurring,0)+IFERROR(_xlpm.planned,0))</f>
        <v>0</v>
      </c>
      <c r="K21" s="90">
        <f ca="1">_xlfn.LET(
_xlpm.recurring,SUMIFS(INDEX(recurring_master!$A:$AF,,MATCH($B21,recurring_master!$A$1:$AF$1,0)),recurring_master!$A:$A,"&lt;="&amp;EOMONTH(K$4,0),recurring_master!$A:$A,"&gt;="&amp;K$4),
_xlpm.planned,SUMIFS(#REF!,#REF!,$B21,#REF!,"&gt;="&amp;K$4,#REF!,"&lt;="&amp;EOMONTH(K$4,0)),
IFERROR(_xlpm.recurring,0)+IFERROR(_xlpm.planned,0))</f>
        <v>0</v>
      </c>
      <c r="L21" s="90">
        <f ca="1">_xlfn.LET(
_xlpm.recurring,SUMIFS(INDEX(recurring_master!$A:$AF,,MATCH($B21,recurring_master!$A$1:$AF$1,0)),recurring_master!$A:$A,"&lt;="&amp;EOMONTH(L$4,0),recurring_master!$A:$A,"&gt;="&amp;L$4),
_xlpm.planned,SUMIFS(#REF!,#REF!,$B21,#REF!,"&gt;="&amp;L$4,#REF!,"&lt;="&amp;EOMONTH(L$4,0)),
IFERROR(_xlpm.recurring,0)+IFERROR(_xlpm.planned,0))</f>
        <v>0</v>
      </c>
      <c r="M21" s="90">
        <f ca="1">_xlfn.LET(
_xlpm.recurring,SUMIFS(INDEX(recurring_master!$A:$AF,,MATCH($B21,recurring_master!$A$1:$AF$1,0)),recurring_master!$A:$A,"&lt;="&amp;EOMONTH(M$4,0),recurring_master!$A:$A,"&gt;="&amp;M$4),
_xlpm.planned,SUMIFS(#REF!,#REF!,$B21,#REF!,"&gt;="&amp;M$4,#REF!,"&lt;="&amp;EOMONTH(M$4,0)),
IFERROR(_xlpm.recurring,0)+IFERROR(_xlpm.planned,0))</f>
        <v>0</v>
      </c>
      <c r="N21" s="90">
        <f ca="1">_xlfn.LET(
_xlpm.recurring,SUMIFS(INDEX(recurring_master!$A:$AF,,MATCH($B21,recurring_master!$A$1:$AF$1,0)),recurring_master!$A:$A,"&lt;="&amp;EOMONTH(N$4,0),recurring_master!$A:$A,"&gt;="&amp;N$4),
_xlpm.planned,SUMIFS(#REF!,#REF!,$B21,#REF!,"&gt;="&amp;N$4,#REF!,"&lt;="&amp;EOMONTH(N$4,0)),
IFERROR(_xlpm.recurring,0)+IFERROR(_xlpm.planned,0))</f>
        <v>0</v>
      </c>
      <c r="O21" s="81"/>
      <c r="P21" s="91">
        <f ca="1">SUM(C21:N21)</f>
        <v>0</v>
      </c>
      <c r="Q21" s="46"/>
      <c r="R21" s="38" t="s">
        <v>362</v>
      </c>
      <c r="S21" s="128"/>
      <c r="T21" s="128"/>
      <c r="U21" s="128"/>
      <c r="W21" s="18"/>
    </row>
    <row r="22" spans="1:23" ht="5.0999999999999996" customHeight="1" x14ac:dyDescent="0.2">
      <c r="A22" s="181"/>
      <c r="B22" s="60"/>
      <c r="C22" s="81"/>
      <c r="D22" s="81"/>
      <c r="E22" s="81"/>
      <c r="F22" s="81"/>
      <c r="G22" s="81"/>
      <c r="H22" s="81"/>
      <c r="I22" s="81"/>
      <c r="J22" s="81"/>
      <c r="K22" s="81"/>
      <c r="L22" s="81"/>
      <c r="M22" s="81"/>
      <c r="N22" s="81"/>
      <c r="O22" s="81"/>
      <c r="P22" s="91"/>
      <c r="Q22" s="46"/>
      <c r="R22" s="38"/>
      <c r="W22" s="18"/>
    </row>
    <row r="23" spans="1:23" ht="12.75" customHeight="1" x14ac:dyDescent="0.2">
      <c r="A23" s="181"/>
      <c r="B23" s="62" t="s">
        <v>16</v>
      </c>
      <c r="C23" s="92">
        <f t="shared" ref="C23:N23" ca="1" si="7">SUM(C19:C22)</f>
        <v>0</v>
      </c>
      <c r="D23" s="92">
        <f t="shared" ca="1" si="7"/>
        <v>8000</v>
      </c>
      <c r="E23" s="92">
        <f t="shared" ca="1" si="7"/>
        <v>12000</v>
      </c>
      <c r="F23" s="92">
        <f t="shared" ca="1" si="7"/>
        <v>8000</v>
      </c>
      <c r="G23" s="92">
        <f t="shared" ca="1" si="7"/>
        <v>8000</v>
      </c>
      <c r="H23" s="92">
        <f t="shared" ca="1" si="7"/>
        <v>8000</v>
      </c>
      <c r="I23" s="92">
        <f t="shared" ca="1" si="7"/>
        <v>8000</v>
      </c>
      <c r="J23" s="92">
        <f t="shared" ca="1" si="7"/>
        <v>12000</v>
      </c>
      <c r="K23" s="92">
        <f t="shared" ca="1" si="7"/>
        <v>8000</v>
      </c>
      <c r="L23" s="92">
        <f t="shared" ca="1" si="7"/>
        <v>8000</v>
      </c>
      <c r="M23" s="92">
        <f t="shared" ca="1" si="7"/>
        <v>8000</v>
      </c>
      <c r="N23" s="92">
        <f t="shared" ca="1" si="7"/>
        <v>8000</v>
      </c>
      <c r="O23" s="92"/>
      <c r="P23" s="93">
        <f ca="1">SUM(C23:N23)</f>
        <v>96000</v>
      </c>
      <c r="Q23" s="46"/>
      <c r="R23" s="38"/>
      <c r="S23" s="128"/>
      <c r="W23" s="18"/>
    </row>
    <row r="24" spans="1:23" ht="5.0999999999999996" customHeight="1" x14ac:dyDescent="0.2">
      <c r="A24" s="181"/>
      <c r="B24" s="60"/>
      <c r="C24" s="81"/>
      <c r="D24" s="81"/>
      <c r="E24" s="81"/>
      <c r="F24" s="81"/>
      <c r="G24" s="81"/>
      <c r="H24" s="81"/>
      <c r="I24" s="81"/>
      <c r="J24" s="81"/>
      <c r="K24" s="81"/>
      <c r="L24" s="81"/>
      <c r="M24" s="81"/>
      <c r="N24" s="81"/>
      <c r="O24" s="81"/>
      <c r="P24" s="91"/>
      <c r="Q24" s="46"/>
      <c r="R24" s="38"/>
      <c r="W24" s="18"/>
    </row>
    <row r="25" spans="1:23" x14ac:dyDescent="0.2">
      <c r="A25" s="181"/>
      <c r="B25" s="63" t="s">
        <v>162</v>
      </c>
      <c r="C25" s="81"/>
      <c r="D25" s="81"/>
      <c r="E25" s="81"/>
      <c r="F25" s="81"/>
      <c r="G25" s="81"/>
      <c r="H25" s="81"/>
      <c r="I25" s="81"/>
      <c r="J25" s="81"/>
      <c r="K25" s="81"/>
      <c r="L25" s="81"/>
      <c r="M25" s="81"/>
      <c r="N25" s="81"/>
      <c r="O25" s="81"/>
      <c r="P25" s="91"/>
      <c r="Q25" s="46"/>
      <c r="R25" s="38"/>
      <c r="S25" s="128"/>
      <c r="T25" s="128"/>
      <c r="U25" s="128"/>
      <c r="W25" s="18"/>
    </row>
    <row r="26" spans="1:23" ht="12.75" customHeight="1" x14ac:dyDescent="0.2">
      <c r="A26" s="181"/>
      <c r="B26" s="60" t="s">
        <v>19</v>
      </c>
      <c r="C26" s="159">
        <f ca="1">_xlfn.LET(
_xlpm.recurring,SUMIFS(INDEX(recurring_master!$A:$AF,,MATCH($B26,recurring_master!$A$1:$AF$1,0)),recurring_master!$A:$A,"&lt;="&amp;EOMONTH(C$4,0),recurring_master!$A:$A,"&gt;="&amp;C$4),
_xlpm.planned,SUMIFS(#REF!,#REF!,$B26,#REF!,"&gt;="&amp;C$4,#REF!,"&lt;="&amp;EOMONTH(C$4,0)),
_xlpm.precedents,C$19*SUMIFS(#REF!,#REF!,$B$19,#REF!,$B26)+C$20*SUMIFS(#REF!,#REF!,$B$20,#REF!,$B26),
IFERROR(_xlpm.recurring,0)+IFERROR(_xlpm.planned,0)+IFERROR(_xlpm.precedents,0))</f>
        <v>0</v>
      </c>
      <c r="D26" s="159">
        <f ca="1">_xlfn.LET(
_xlpm.recurring,SUMIFS(INDEX(recurring_master!$A:$AF,,MATCH($B26,recurring_master!$A$1:$AF$1,0)),recurring_master!$A:$A,"&lt;="&amp;EOMONTH(D$4,0),recurring_master!$A:$A,"&gt;="&amp;D$4),
_xlpm.planned,SUMIFS(#REF!,#REF!,$B26,#REF!,"&gt;="&amp;D$4,#REF!,"&lt;="&amp;EOMONTH(D$4,0)),
_xlpm.precedents,D$19*SUMIFS(#REF!,#REF!,$B$19,#REF!,$B26)+D$20*SUMIFS(#REF!,#REF!,$B$20,#REF!,$B26),
IFERROR(_xlpm.recurring,0)+IFERROR(_xlpm.planned,0)+IFERROR(_xlpm.precedents,0))</f>
        <v>0</v>
      </c>
      <c r="E26" s="159">
        <f ca="1">_xlfn.LET(
_xlpm.recurring,SUMIFS(INDEX(recurring_master!$A:$AF,,MATCH($B26,recurring_master!$A$1:$AF$1,0)),recurring_master!$A:$A,"&lt;="&amp;EOMONTH(E$4,0),recurring_master!$A:$A,"&gt;="&amp;E$4),
_xlpm.planned,SUMIFS(#REF!,#REF!,$B26,#REF!,"&gt;="&amp;E$4,#REF!,"&lt;="&amp;EOMONTH(E$4,0)),
_xlpm.precedents,E$19*SUMIFS(#REF!,#REF!,$B$19,#REF!,$B26)+E$20*SUMIFS(#REF!,#REF!,$B$20,#REF!,$B26),
IFERROR(_xlpm.recurring,0)+IFERROR(_xlpm.planned,0)+IFERROR(_xlpm.precedents,0))</f>
        <v>0</v>
      </c>
      <c r="F26" s="159">
        <f ca="1">_xlfn.LET(
_xlpm.recurring,SUMIFS(INDEX(recurring_master!$A:$AF,,MATCH($B26,recurring_master!$A$1:$AF$1,0)),recurring_master!$A:$A,"&lt;="&amp;EOMONTH(F$4,0),recurring_master!$A:$A,"&gt;="&amp;F$4),
_xlpm.planned,SUMIFS(#REF!,#REF!,$B26,#REF!,"&gt;="&amp;F$4,#REF!,"&lt;="&amp;EOMONTH(F$4,0)),
_xlpm.precedents,F$19*SUMIFS(#REF!,#REF!,$B$19,#REF!,$B26)+F$20*SUMIFS(#REF!,#REF!,$B$20,#REF!,$B26),
IFERROR(_xlpm.recurring,0)+IFERROR(_xlpm.planned,0)+IFERROR(_xlpm.precedents,0))</f>
        <v>0</v>
      </c>
      <c r="G26" s="159">
        <f ca="1">_xlfn.LET(
_xlpm.recurring,SUMIFS(INDEX(recurring_master!$A:$AF,,MATCH($B26,recurring_master!$A$1:$AF$1,0)),recurring_master!$A:$A,"&lt;="&amp;EOMONTH(G$4,0),recurring_master!$A:$A,"&gt;="&amp;G$4),
_xlpm.planned,SUMIFS(#REF!,#REF!,$B26,#REF!,"&gt;="&amp;G$4,#REF!,"&lt;="&amp;EOMONTH(G$4,0)),
_xlpm.precedents,G$19*SUMIFS(#REF!,#REF!,$B$19,#REF!,$B26)+G$20*SUMIFS(#REF!,#REF!,$B$20,#REF!,$B26),
IFERROR(_xlpm.recurring,0)+IFERROR(_xlpm.planned,0)+IFERROR(_xlpm.precedents,0))</f>
        <v>0</v>
      </c>
      <c r="H26" s="159">
        <f ca="1">_xlfn.LET(
_xlpm.recurring,SUMIFS(INDEX(recurring_master!$A:$AF,,MATCH($B26,recurring_master!$A$1:$AF$1,0)),recurring_master!$A:$A,"&lt;="&amp;EOMONTH(H$4,0),recurring_master!$A:$A,"&gt;="&amp;H$4),
_xlpm.planned,SUMIFS(#REF!,#REF!,$B26,#REF!,"&gt;="&amp;H$4,#REF!,"&lt;="&amp;EOMONTH(H$4,0)),
_xlpm.precedents,H$19*SUMIFS(#REF!,#REF!,$B$19,#REF!,$B26)+H$20*SUMIFS(#REF!,#REF!,$B$20,#REF!,$B26),
IFERROR(_xlpm.recurring,0)+IFERROR(_xlpm.planned,0)+IFERROR(_xlpm.precedents,0))</f>
        <v>0</v>
      </c>
      <c r="I26" s="159">
        <f ca="1">_xlfn.LET(
_xlpm.recurring,SUMIFS(INDEX(recurring_master!$A:$AF,,MATCH($B26,recurring_master!$A$1:$AF$1,0)),recurring_master!$A:$A,"&lt;="&amp;EOMONTH(I$4,0),recurring_master!$A:$A,"&gt;="&amp;I$4),
_xlpm.planned,SUMIFS(#REF!,#REF!,$B26,#REF!,"&gt;="&amp;I$4,#REF!,"&lt;="&amp;EOMONTH(I$4,0)),
_xlpm.precedents,I$19*SUMIFS(#REF!,#REF!,$B$19,#REF!,$B26)+I$20*SUMIFS(#REF!,#REF!,$B$20,#REF!,$B26),
IFERROR(_xlpm.recurring,0)+IFERROR(_xlpm.planned,0)+IFERROR(_xlpm.precedents,0))</f>
        <v>0</v>
      </c>
      <c r="J26" s="159">
        <f ca="1">_xlfn.LET(
_xlpm.recurring,SUMIFS(INDEX(recurring_master!$A:$AF,,MATCH($B26,recurring_master!$A$1:$AF$1,0)),recurring_master!$A:$A,"&lt;="&amp;EOMONTH(J$4,0),recurring_master!$A:$A,"&gt;="&amp;J$4),
_xlpm.planned,SUMIFS(#REF!,#REF!,$B26,#REF!,"&gt;="&amp;J$4,#REF!,"&lt;="&amp;EOMONTH(J$4,0)),
_xlpm.precedents,J$19*SUMIFS(#REF!,#REF!,$B$19,#REF!,$B26)+J$20*SUMIFS(#REF!,#REF!,$B$20,#REF!,$B26),
IFERROR(_xlpm.recurring,0)+IFERROR(_xlpm.planned,0)+IFERROR(_xlpm.precedents,0))</f>
        <v>0</v>
      </c>
      <c r="K26" s="159">
        <f ca="1">_xlfn.LET(
_xlpm.recurring,SUMIFS(INDEX(recurring_master!$A:$AF,,MATCH($B26,recurring_master!$A$1:$AF$1,0)),recurring_master!$A:$A,"&lt;="&amp;EOMONTH(K$4,0),recurring_master!$A:$A,"&gt;="&amp;K$4),
_xlpm.planned,SUMIFS(#REF!,#REF!,$B26,#REF!,"&gt;="&amp;K$4,#REF!,"&lt;="&amp;EOMONTH(K$4,0)),
_xlpm.precedents,K$19*SUMIFS(#REF!,#REF!,$B$19,#REF!,$B26)+K$20*SUMIFS(#REF!,#REF!,$B$20,#REF!,$B26),
IFERROR(_xlpm.recurring,0)+IFERROR(_xlpm.planned,0)+IFERROR(_xlpm.precedents,0))</f>
        <v>0</v>
      </c>
      <c r="L26" s="159">
        <f ca="1">_xlfn.LET(
_xlpm.recurring,SUMIFS(INDEX(recurring_master!$A:$AF,,MATCH($B26,recurring_master!$A$1:$AF$1,0)),recurring_master!$A:$A,"&lt;="&amp;EOMONTH(L$4,0),recurring_master!$A:$A,"&gt;="&amp;L$4),
_xlpm.planned,SUMIFS(#REF!,#REF!,$B26,#REF!,"&gt;="&amp;L$4,#REF!,"&lt;="&amp;EOMONTH(L$4,0)),
_xlpm.precedents,L$19*SUMIFS(#REF!,#REF!,$B$19,#REF!,$B26)+L$20*SUMIFS(#REF!,#REF!,$B$20,#REF!,$B26),
IFERROR(_xlpm.recurring,0)+IFERROR(_xlpm.planned,0)+IFERROR(_xlpm.precedents,0))</f>
        <v>0</v>
      </c>
      <c r="M26" s="159">
        <f ca="1">_xlfn.LET(
_xlpm.recurring,SUMIFS(INDEX(recurring_master!$A:$AF,,MATCH($B26,recurring_master!$A$1:$AF$1,0)),recurring_master!$A:$A,"&lt;="&amp;EOMONTH(M$4,0),recurring_master!$A:$A,"&gt;="&amp;M$4),
_xlpm.planned,SUMIFS(#REF!,#REF!,$B26,#REF!,"&gt;="&amp;M$4,#REF!,"&lt;="&amp;EOMONTH(M$4,0)),
_xlpm.precedents,M$19*SUMIFS(#REF!,#REF!,$B$19,#REF!,$B26)+M$20*SUMIFS(#REF!,#REF!,$B$20,#REF!,$B26),
IFERROR(_xlpm.recurring,0)+IFERROR(_xlpm.planned,0)+IFERROR(_xlpm.precedents,0))</f>
        <v>0</v>
      </c>
      <c r="N26" s="159">
        <f ca="1">_xlfn.LET(
_xlpm.recurring,SUMIFS(INDEX(recurring_master!$A:$AF,,MATCH($B26,recurring_master!$A$1:$AF$1,0)),recurring_master!$A:$A,"&lt;="&amp;EOMONTH(N$4,0),recurring_master!$A:$A,"&gt;="&amp;N$4),
_xlpm.planned,SUMIFS(#REF!,#REF!,$B26,#REF!,"&gt;="&amp;N$4,#REF!,"&lt;="&amp;EOMONTH(N$4,0)),
_xlpm.precedents,N$19*SUMIFS(#REF!,#REF!,$B$19,#REF!,$B26)+N$20*SUMIFS(#REF!,#REF!,$B$20,#REF!,$B26),
IFERROR(_xlpm.recurring,0)+IFERROR(_xlpm.planned,0)+IFERROR(_xlpm.precedents,0))</f>
        <v>0</v>
      </c>
      <c r="O26" s="81"/>
      <c r="P26" s="91">
        <f ca="1">SUM(C26:N26)</f>
        <v>0</v>
      </c>
      <c r="Q26" s="46"/>
      <c r="R26" s="38"/>
      <c r="S26" s="128"/>
    </row>
    <row r="27" spans="1:23" ht="12.75" customHeight="1" x14ac:dyDescent="0.2">
      <c r="A27" s="181"/>
      <c r="B27" s="60" t="s">
        <v>79</v>
      </c>
      <c r="C27" s="159">
        <f ca="1">_xlfn.LET(
_xlpm.recurring,SUMIFS(INDEX(recurring_master!$A:$AF,,MATCH($B27,recurring_master!$A$1:$AF$1,0)),recurring_master!$A:$A,"&lt;="&amp;EOMONTH(C$4,0),recurring_master!$A:$A,"&gt;="&amp;C$4),
_xlpm.planned,SUMIFS(#REF!,#REF!,$B27,#REF!,"&gt;="&amp;C$4,#REF!,"&lt;="&amp;EOMONTH(C$4,0)),
_xlpm.precedents,C$19*SUMIFS(#REF!,#REF!,$B$19,#REF!,$B27)+C$20*SUMIFS(#REF!,#REF!,$B$20,#REF!,$B27),
IFERROR(_xlpm.recurring,0)+IFERROR(_xlpm.planned,0)+IFERROR(_xlpm.precedents,0))</f>
        <v>0</v>
      </c>
      <c r="D27" s="159">
        <f ca="1">_xlfn.LET(
_xlpm.recurring,SUMIFS(INDEX(recurring_master!$A:$AF,,MATCH($B27,recurring_master!$A$1:$AF$1,0)),recurring_master!$A:$A,"&lt;="&amp;EOMONTH(D$4,0),recurring_master!$A:$A,"&gt;="&amp;D$4),
_xlpm.planned,SUMIFS(#REF!,#REF!,$B27,#REF!,"&gt;="&amp;D$4,#REF!,"&lt;="&amp;EOMONTH(D$4,0)),
_xlpm.precedents,D$19*SUMIFS(#REF!,#REF!,$B$19,#REF!,$B27)+D$20*SUMIFS(#REF!,#REF!,$B$20,#REF!,$B27),
IFERROR(_xlpm.recurring,0)+IFERROR(_xlpm.planned,0)+IFERROR(_xlpm.precedents,0))</f>
        <v>0</v>
      </c>
      <c r="E27" s="159">
        <f ca="1">_xlfn.LET(
_xlpm.recurring,SUMIFS(INDEX(recurring_master!$A:$AF,,MATCH($B27,recurring_master!$A$1:$AF$1,0)),recurring_master!$A:$A,"&lt;="&amp;EOMONTH(E$4,0),recurring_master!$A:$A,"&gt;="&amp;E$4),
_xlpm.planned,SUMIFS(#REF!,#REF!,$B27,#REF!,"&gt;="&amp;E$4,#REF!,"&lt;="&amp;EOMONTH(E$4,0)),
_xlpm.precedents,E$19*SUMIFS(#REF!,#REF!,$B$19,#REF!,$B27)+E$20*SUMIFS(#REF!,#REF!,$B$20,#REF!,$B27),
IFERROR(_xlpm.recurring,0)+IFERROR(_xlpm.planned,0)+IFERROR(_xlpm.precedents,0))</f>
        <v>0</v>
      </c>
      <c r="F27" s="159">
        <f ca="1">_xlfn.LET(
_xlpm.recurring,SUMIFS(INDEX(recurring_master!$A:$AF,,MATCH($B27,recurring_master!$A$1:$AF$1,0)),recurring_master!$A:$A,"&lt;="&amp;EOMONTH(F$4,0),recurring_master!$A:$A,"&gt;="&amp;F$4),
_xlpm.planned,SUMIFS(#REF!,#REF!,$B27,#REF!,"&gt;="&amp;F$4,#REF!,"&lt;="&amp;EOMONTH(F$4,0)),
_xlpm.precedents,F$19*SUMIFS(#REF!,#REF!,$B$19,#REF!,$B27)+F$20*SUMIFS(#REF!,#REF!,$B$20,#REF!,$B27),
IFERROR(_xlpm.recurring,0)+IFERROR(_xlpm.planned,0)+IFERROR(_xlpm.precedents,0))</f>
        <v>0</v>
      </c>
      <c r="G27" s="159">
        <f ca="1">_xlfn.LET(
_xlpm.recurring,SUMIFS(INDEX(recurring_master!$A:$AF,,MATCH($B27,recurring_master!$A$1:$AF$1,0)),recurring_master!$A:$A,"&lt;="&amp;EOMONTH(G$4,0),recurring_master!$A:$A,"&gt;="&amp;G$4),
_xlpm.planned,SUMIFS(#REF!,#REF!,$B27,#REF!,"&gt;="&amp;G$4,#REF!,"&lt;="&amp;EOMONTH(G$4,0)),
_xlpm.precedents,G$19*SUMIFS(#REF!,#REF!,$B$19,#REF!,$B27)+G$20*SUMIFS(#REF!,#REF!,$B$20,#REF!,$B27),
IFERROR(_xlpm.recurring,0)+IFERROR(_xlpm.planned,0)+IFERROR(_xlpm.precedents,0))</f>
        <v>0</v>
      </c>
      <c r="H27" s="159">
        <f ca="1">_xlfn.LET(
_xlpm.recurring,SUMIFS(INDEX(recurring_master!$A:$AF,,MATCH($B27,recurring_master!$A$1:$AF$1,0)),recurring_master!$A:$A,"&lt;="&amp;EOMONTH(H$4,0),recurring_master!$A:$A,"&gt;="&amp;H$4),
_xlpm.planned,SUMIFS(#REF!,#REF!,$B27,#REF!,"&gt;="&amp;H$4,#REF!,"&lt;="&amp;EOMONTH(H$4,0)),
_xlpm.precedents,H$19*SUMIFS(#REF!,#REF!,$B$19,#REF!,$B27)+H$20*SUMIFS(#REF!,#REF!,$B$20,#REF!,$B27),
IFERROR(_xlpm.recurring,0)+IFERROR(_xlpm.planned,0)+IFERROR(_xlpm.precedents,0))</f>
        <v>0</v>
      </c>
      <c r="I27" s="159">
        <f ca="1">_xlfn.LET(
_xlpm.recurring,SUMIFS(INDEX(recurring_master!$A:$AF,,MATCH($B27,recurring_master!$A$1:$AF$1,0)),recurring_master!$A:$A,"&lt;="&amp;EOMONTH(I$4,0),recurring_master!$A:$A,"&gt;="&amp;I$4),
_xlpm.planned,SUMIFS(#REF!,#REF!,$B27,#REF!,"&gt;="&amp;I$4,#REF!,"&lt;="&amp;EOMONTH(I$4,0)),
_xlpm.precedents,I$19*SUMIFS(#REF!,#REF!,$B$19,#REF!,$B27)+I$20*SUMIFS(#REF!,#REF!,$B$20,#REF!,$B27),
IFERROR(_xlpm.recurring,0)+IFERROR(_xlpm.planned,0)+IFERROR(_xlpm.precedents,0))</f>
        <v>0</v>
      </c>
      <c r="J27" s="159">
        <f ca="1">_xlfn.LET(
_xlpm.recurring,SUMIFS(INDEX(recurring_master!$A:$AF,,MATCH($B27,recurring_master!$A$1:$AF$1,0)),recurring_master!$A:$A,"&lt;="&amp;EOMONTH(J$4,0),recurring_master!$A:$A,"&gt;="&amp;J$4),
_xlpm.planned,SUMIFS(#REF!,#REF!,$B27,#REF!,"&gt;="&amp;J$4,#REF!,"&lt;="&amp;EOMONTH(J$4,0)),
_xlpm.precedents,J$19*SUMIFS(#REF!,#REF!,$B$19,#REF!,$B27)+J$20*SUMIFS(#REF!,#REF!,$B$20,#REF!,$B27),
IFERROR(_xlpm.recurring,0)+IFERROR(_xlpm.planned,0)+IFERROR(_xlpm.precedents,0))</f>
        <v>0</v>
      </c>
      <c r="K27" s="159">
        <f ca="1">_xlfn.LET(
_xlpm.recurring,SUMIFS(INDEX(recurring_master!$A:$AF,,MATCH($B27,recurring_master!$A$1:$AF$1,0)),recurring_master!$A:$A,"&lt;="&amp;EOMONTH(K$4,0),recurring_master!$A:$A,"&gt;="&amp;K$4),
_xlpm.planned,SUMIFS(#REF!,#REF!,$B27,#REF!,"&gt;="&amp;K$4,#REF!,"&lt;="&amp;EOMONTH(K$4,0)),
_xlpm.precedents,K$19*SUMIFS(#REF!,#REF!,$B$19,#REF!,$B27)+K$20*SUMIFS(#REF!,#REF!,$B$20,#REF!,$B27),
IFERROR(_xlpm.recurring,0)+IFERROR(_xlpm.planned,0)+IFERROR(_xlpm.precedents,0))</f>
        <v>0</v>
      </c>
      <c r="L27" s="159">
        <f ca="1">_xlfn.LET(
_xlpm.recurring,SUMIFS(INDEX(recurring_master!$A:$AF,,MATCH($B27,recurring_master!$A$1:$AF$1,0)),recurring_master!$A:$A,"&lt;="&amp;EOMONTH(L$4,0),recurring_master!$A:$A,"&gt;="&amp;L$4),
_xlpm.planned,SUMIFS(#REF!,#REF!,$B27,#REF!,"&gt;="&amp;L$4,#REF!,"&lt;="&amp;EOMONTH(L$4,0)),
_xlpm.precedents,L$19*SUMIFS(#REF!,#REF!,$B$19,#REF!,$B27)+L$20*SUMIFS(#REF!,#REF!,$B$20,#REF!,$B27),
IFERROR(_xlpm.recurring,0)+IFERROR(_xlpm.planned,0)+IFERROR(_xlpm.precedents,0))</f>
        <v>0</v>
      </c>
      <c r="M27" s="159">
        <f ca="1">_xlfn.LET(
_xlpm.recurring,SUMIFS(INDEX(recurring_master!$A:$AF,,MATCH($B27,recurring_master!$A$1:$AF$1,0)),recurring_master!$A:$A,"&lt;="&amp;EOMONTH(M$4,0),recurring_master!$A:$A,"&gt;="&amp;M$4),
_xlpm.planned,SUMIFS(#REF!,#REF!,$B27,#REF!,"&gt;="&amp;M$4,#REF!,"&lt;="&amp;EOMONTH(M$4,0)),
_xlpm.precedents,M$19*SUMIFS(#REF!,#REF!,$B$19,#REF!,$B27)+M$20*SUMIFS(#REF!,#REF!,$B$20,#REF!,$B27),
IFERROR(_xlpm.recurring,0)+IFERROR(_xlpm.planned,0)+IFERROR(_xlpm.precedents,0))</f>
        <v>0</v>
      </c>
      <c r="N27" s="159">
        <f ca="1">_xlfn.LET(
_xlpm.recurring,SUMIFS(INDEX(recurring_master!$A:$AF,,MATCH($B27,recurring_master!$A$1:$AF$1,0)),recurring_master!$A:$A,"&lt;="&amp;EOMONTH(N$4,0),recurring_master!$A:$A,"&gt;="&amp;N$4),
_xlpm.planned,SUMIFS(#REF!,#REF!,$B27,#REF!,"&gt;="&amp;N$4,#REF!,"&lt;="&amp;EOMONTH(N$4,0)),
_xlpm.precedents,N$19*SUMIFS(#REF!,#REF!,$B$19,#REF!,$B27)+N$20*SUMIFS(#REF!,#REF!,$B$20,#REF!,$B27),
IFERROR(_xlpm.recurring,0)+IFERROR(_xlpm.planned,0)+IFERROR(_xlpm.precedents,0))</f>
        <v>0</v>
      </c>
      <c r="O27" s="81"/>
      <c r="P27" s="91">
        <f ca="1">SUM(C27:N27)</f>
        <v>0</v>
      </c>
      <c r="Q27" s="46"/>
      <c r="R27" s="38"/>
    </row>
    <row r="28" spans="1:23" ht="12.75" customHeight="1" x14ac:dyDescent="0.2">
      <c r="A28" s="181"/>
      <c r="B28" s="60" t="s">
        <v>86</v>
      </c>
      <c r="C28" s="159">
        <f ca="1">_xlfn.LET(
_xlpm.recurring,SUMIFS(INDEX(recurring_master!$A:$AF,,MATCH($B28,recurring_master!$A$1:$AF$1,0)),recurring_master!$A:$A,"&lt;="&amp;EOMONTH(C$4,0),recurring_master!$A:$A,"&gt;="&amp;C$4),
_xlpm.planned,SUMIFS(#REF!,#REF!,$B28,#REF!,"&gt;="&amp;C$4,#REF!,"&lt;="&amp;EOMONTH(C$4,0)),
_xlpm.precedents,C$19*SUMIFS(#REF!,#REF!,$B$19,#REF!,$B28)+C$20*SUMIFS(#REF!,#REF!,$B$20,#REF!,$B28),
IFERROR(_xlpm.recurring,0)+IFERROR(_xlpm.planned,0)+IFERROR(_xlpm.precedents,0))</f>
        <v>0</v>
      </c>
      <c r="D28" s="159">
        <f ca="1">_xlfn.LET(
_xlpm.recurring,SUMIFS(INDEX(recurring_master!$A:$AF,,MATCH($B28,recurring_master!$A$1:$AF$1,0)),recurring_master!$A:$A,"&lt;="&amp;EOMONTH(D$4,0),recurring_master!$A:$A,"&gt;="&amp;D$4),
_xlpm.planned,SUMIFS(#REF!,#REF!,$B28,#REF!,"&gt;="&amp;D$4,#REF!,"&lt;="&amp;EOMONTH(D$4,0)),
_xlpm.precedents,D$19*SUMIFS(#REF!,#REF!,$B$19,#REF!,$B28)+D$20*SUMIFS(#REF!,#REF!,$B$20,#REF!,$B28),
IFERROR(_xlpm.recurring,0)+IFERROR(_xlpm.planned,0)+IFERROR(_xlpm.precedents,0))</f>
        <v>192</v>
      </c>
      <c r="E28" s="159">
        <f ca="1">_xlfn.LET(
_xlpm.recurring,SUMIFS(INDEX(recurring_master!$A:$AF,,MATCH($B28,recurring_master!$A$1:$AF$1,0)),recurring_master!$A:$A,"&lt;="&amp;EOMONTH(E$4,0),recurring_master!$A:$A,"&gt;="&amp;E$4),
_xlpm.planned,SUMIFS(#REF!,#REF!,$B28,#REF!,"&gt;="&amp;E$4,#REF!,"&lt;="&amp;EOMONTH(E$4,0)),
_xlpm.precedents,E$19*SUMIFS(#REF!,#REF!,$B$19,#REF!,$B28)+E$20*SUMIFS(#REF!,#REF!,$B$20,#REF!,$B28),
IFERROR(_xlpm.recurring,0)+IFERROR(_xlpm.planned,0)+IFERROR(_xlpm.precedents,0))</f>
        <v>288</v>
      </c>
      <c r="F28" s="159">
        <f ca="1">_xlfn.LET(
_xlpm.recurring,SUMIFS(INDEX(recurring_master!$A:$AF,,MATCH($B28,recurring_master!$A$1:$AF$1,0)),recurring_master!$A:$A,"&lt;="&amp;EOMONTH(F$4,0),recurring_master!$A:$A,"&gt;="&amp;F$4),
_xlpm.planned,SUMIFS(#REF!,#REF!,$B28,#REF!,"&gt;="&amp;F$4,#REF!,"&lt;="&amp;EOMONTH(F$4,0)),
_xlpm.precedents,F$19*SUMIFS(#REF!,#REF!,$B$19,#REF!,$B28)+F$20*SUMIFS(#REF!,#REF!,$B$20,#REF!,$B28),
IFERROR(_xlpm.recurring,0)+IFERROR(_xlpm.planned,0)+IFERROR(_xlpm.precedents,0))</f>
        <v>192</v>
      </c>
      <c r="G28" s="159">
        <f ca="1">_xlfn.LET(
_xlpm.recurring,SUMIFS(INDEX(recurring_master!$A:$AF,,MATCH($B28,recurring_master!$A$1:$AF$1,0)),recurring_master!$A:$A,"&lt;="&amp;EOMONTH(G$4,0),recurring_master!$A:$A,"&gt;="&amp;G$4),
_xlpm.planned,SUMIFS(#REF!,#REF!,$B28,#REF!,"&gt;="&amp;G$4,#REF!,"&lt;="&amp;EOMONTH(G$4,0)),
_xlpm.precedents,G$19*SUMIFS(#REF!,#REF!,$B$19,#REF!,$B28)+G$20*SUMIFS(#REF!,#REF!,$B$20,#REF!,$B28),
IFERROR(_xlpm.recurring,0)+IFERROR(_xlpm.planned,0)+IFERROR(_xlpm.precedents,0))</f>
        <v>192</v>
      </c>
      <c r="H28" s="159">
        <f ca="1">_xlfn.LET(
_xlpm.recurring,SUMIFS(INDEX(recurring_master!$A:$AF,,MATCH($B28,recurring_master!$A$1:$AF$1,0)),recurring_master!$A:$A,"&lt;="&amp;EOMONTH(H$4,0),recurring_master!$A:$A,"&gt;="&amp;H$4),
_xlpm.planned,SUMIFS(#REF!,#REF!,$B28,#REF!,"&gt;="&amp;H$4,#REF!,"&lt;="&amp;EOMONTH(H$4,0)),
_xlpm.precedents,H$19*SUMIFS(#REF!,#REF!,$B$19,#REF!,$B28)+H$20*SUMIFS(#REF!,#REF!,$B$20,#REF!,$B28),
IFERROR(_xlpm.recurring,0)+IFERROR(_xlpm.planned,0)+IFERROR(_xlpm.precedents,0))</f>
        <v>192</v>
      </c>
      <c r="I28" s="159">
        <f ca="1">_xlfn.LET(
_xlpm.recurring,SUMIFS(INDEX(recurring_master!$A:$AF,,MATCH($B28,recurring_master!$A$1:$AF$1,0)),recurring_master!$A:$A,"&lt;="&amp;EOMONTH(I$4,0),recurring_master!$A:$A,"&gt;="&amp;I$4),
_xlpm.planned,SUMIFS(#REF!,#REF!,$B28,#REF!,"&gt;="&amp;I$4,#REF!,"&lt;="&amp;EOMONTH(I$4,0)),
_xlpm.precedents,I$19*SUMIFS(#REF!,#REF!,$B$19,#REF!,$B28)+I$20*SUMIFS(#REF!,#REF!,$B$20,#REF!,$B28),
IFERROR(_xlpm.recurring,0)+IFERROR(_xlpm.planned,0)+IFERROR(_xlpm.precedents,0))</f>
        <v>192</v>
      </c>
      <c r="J28" s="159">
        <f ca="1">_xlfn.LET(
_xlpm.recurring,SUMIFS(INDEX(recurring_master!$A:$AF,,MATCH($B28,recurring_master!$A$1:$AF$1,0)),recurring_master!$A:$A,"&lt;="&amp;EOMONTH(J$4,0),recurring_master!$A:$A,"&gt;="&amp;J$4),
_xlpm.planned,SUMIFS(#REF!,#REF!,$B28,#REF!,"&gt;="&amp;J$4,#REF!,"&lt;="&amp;EOMONTH(J$4,0)),
_xlpm.precedents,J$19*SUMIFS(#REF!,#REF!,$B$19,#REF!,$B28)+J$20*SUMIFS(#REF!,#REF!,$B$20,#REF!,$B28),
IFERROR(_xlpm.recurring,0)+IFERROR(_xlpm.planned,0)+IFERROR(_xlpm.precedents,0))</f>
        <v>288</v>
      </c>
      <c r="K28" s="159">
        <f ca="1">_xlfn.LET(
_xlpm.recurring,SUMIFS(INDEX(recurring_master!$A:$AF,,MATCH($B28,recurring_master!$A$1:$AF$1,0)),recurring_master!$A:$A,"&lt;="&amp;EOMONTH(K$4,0),recurring_master!$A:$A,"&gt;="&amp;K$4),
_xlpm.planned,SUMIFS(#REF!,#REF!,$B28,#REF!,"&gt;="&amp;K$4,#REF!,"&lt;="&amp;EOMONTH(K$4,0)),
_xlpm.precedents,K$19*SUMIFS(#REF!,#REF!,$B$19,#REF!,$B28)+K$20*SUMIFS(#REF!,#REF!,$B$20,#REF!,$B28),
IFERROR(_xlpm.recurring,0)+IFERROR(_xlpm.planned,0)+IFERROR(_xlpm.precedents,0))</f>
        <v>192</v>
      </c>
      <c r="L28" s="159">
        <f ca="1">_xlfn.LET(
_xlpm.recurring,SUMIFS(INDEX(recurring_master!$A:$AF,,MATCH($B28,recurring_master!$A$1:$AF$1,0)),recurring_master!$A:$A,"&lt;="&amp;EOMONTH(L$4,0),recurring_master!$A:$A,"&gt;="&amp;L$4),
_xlpm.planned,SUMIFS(#REF!,#REF!,$B28,#REF!,"&gt;="&amp;L$4,#REF!,"&lt;="&amp;EOMONTH(L$4,0)),
_xlpm.precedents,L$19*SUMIFS(#REF!,#REF!,$B$19,#REF!,$B28)+L$20*SUMIFS(#REF!,#REF!,$B$20,#REF!,$B28),
IFERROR(_xlpm.recurring,0)+IFERROR(_xlpm.planned,0)+IFERROR(_xlpm.precedents,0))</f>
        <v>192</v>
      </c>
      <c r="M28" s="159">
        <f ca="1">_xlfn.LET(
_xlpm.recurring,SUMIFS(INDEX(recurring_master!$A:$AF,,MATCH($B28,recurring_master!$A$1:$AF$1,0)),recurring_master!$A:$A,"&lt;="&amp;EOMONTH(M$4,0),recurring_master!$A:$A,"&gt;="&amp;M$4),
_xlpm.planned,SUMIFS(#REF!,#REF!,$B28,#REF!,"&gt;="&amp;M$4,#REF!,"&lt;="&amp;EOMONTH(M$4,0)),
_xlpm.precedents,M$19*SUMIFS(#REF!,#REF!,$B$19,#REF!,$B28)+M$20*SUMIFS(#REF!,#REF!,$B$20,#REF!,$B28),
IFERROR(_xlpm.recurring,0)+IFERROR(_xlpm.planned,0)+IFERROR(_xlpm.precedents,0))</f>
        <v>192</v>
      </c>
      <c r="N28" s="159">
        <f ca="1">_xlfn.LET(
_xlpm.recurring,SUMIFS(INDEX(recurring_master!$A:$AF,,MATCH($B28,recurring_master!$A$1:$AF$1,0)),recurring_master!$A:$A,"&lt;="&amp;EOMONTH(N$4,0),recurring_master!$A:$A,"&gt;="&amp;N$4),
_xlpm.planned,SUMIFS(#REF!,#REF!,$B28,#REF!,"&gt;="&amp;N$4,#REF!,"&lt;="&amp;EOMONTH(N$4,0)),
_xlpm.precedents,N$19*SUMIFS(#REF!,#REF!,$B$19,#REF!,$B28)+N$20*SUMIFS(#REF!,#REF!,$B$20,#REF!,$B28),
IFERROR(_xlpm.recurring,0)+IFERROR(_xlpm.planned,0)+IFERROR(_xlpm.precedents,0))</f>
        <v>192</v>
      </c>
      <c r="O28" s="81"/>
      <c r="P28" s="91">
        <f ca="1">SUM(C28:N28)</f>
        <v>2304</v>
      </c>
      <c r="Q28" s="47"/>
      <c r="R28" s="38"/>
    </row>
    <row r="29" spans="1:23" ht="5.0999999999999996" customHeight="1" x14ac:dyDescent="0.2">
      <c r="A29" s="181"/>
      <c r="B29" s="60"/>
      <c r="C29" s="81"/>
      <c r="D29" s="81"/>
      <c r="E29" s="81"/>
      <c r="F29" s="81"/>
      <c r="G29" s="81"/>
      <c r="H29" s="81"/>
      <c r="I29" s="81"/>
      <c r="J29" s="81"/>
      <c r="K29" s="81"/>
      <c r="L29" s="81"/>
      <c r="M29" s="81"/>
      <c r="N29" s="81"/>
      <c r="O29" s="81"/>
      <c r="P29" s="91"/>
      <c r="Q29" s="46"/>
      <c r="R29" s="38"/>
      <c r="W29" s="18"/>
    </row>
    <row r="30" spans="1:23" ht="12.75" customHeight="1" x14ac:dyDescent="0.2">
      <c r="A30" s="181"/>
      <c r="B30" s="62" t="s">
        <v>22</v>
      </c>
      <c r="C30" s="92">
        <f t="shared" ref="C30:N30" ca="1" si="8">SUM(C26:C29)</f>
        <v>0</v>
      </c>
      <c r="D30" s="92">
        <f t="shared" ca="1" si="8"/>
        <v>192</v>
      </c>
      <c r="E30" s="92">
        <f t="shared" ca="1" si="8"/>
        <v>288</v>
      </c>
      <c r="F30" s="92">
        <f t="shared" ca="1" si="8"/>
        <v>192</v>
      </c>
      <c r="G30" s="92">
        <f t="shared" ca="1" si="8"/>
        <v>192</v>
      </c>
      <c r="H30" s="92">
        <f t="shared" ca="1" si="8"/>
        <v>192</v>
      </c>
      <c r="I30" s="92">
        <f t="shared" ca="1" si="8"/>
        <v>192</v>
      </c>
      <c r="J30" s="92">
        <f t="shared" ca="1" si="8"/>
        <v>288</v>
      </c>
      <c r="K30" s="92">
        <f t="shared" ca="1" si="8"/>
        <v>192</v>
      </c>
      <c r="L30" s="92">
        <f t="shared" ca="1" si="8"/>
        <v>192</v>
      </c>
      <c r="M30" s="92">
        <f t="shared" ca="1" si="8"/>
        <v>192</v>
      </c>
      <c r="N30" s="92">
        <f t="shared" ca="1" si="8"/>
        <v>192</v>
      </c>
      <c r="O30" s="92"/>
      <c r="P30" s="93">
        <f ca="1">SUM(C30:N30)</f>
        <v>2304</v>
      </c>
      <c r="Q30" s="46"/>
      <c r="R30" s="38"/>
      <c r="U30" s="19"/>
      <c r="V30" s="20"/>
      <c r="W30" s="19"/>
    </row>
    <row r="31" spans="1:23" ht="5.0999999999999996" customHeight="1" x14ac:dyDescent="0.2">
      <c r="A31" s="181"/>
      <c r="B31" s="60"/>
      <c r="C31" s="81"/>
      <c r="D31" s="81"/>
      <c r="E31" s="81"/>
      <c r="F31" s="81"/>
      <c r="G31" s="81"/>
      <c r="H31" s="81"/>
      <c r="I31" s="81"/>
      <c r="J31" s="81"/>
      <c r="K31" s="81"/>
      <c r="L31" s="81"/>
      <c r="M31" s="81"/>
      <c r="N31" s="81"/>
      <c r="O31" s="81"/>
      <c r="P31" s="91"/>
      <c r="Q31" s="46"/>
      <c r="R31" s="38"/>
      <c r="W31" s="18"/>
    </row>
    <row r="32" spans="1:23" ht="12.75" customHeight="1" x14ac:dyDescent="0.2">
      <c r="A32" s="181"/>
      <c r="B32" s="64" t="s">
        <v>139</v>
      </c>
      <c r="C32" s="94">
        <f t="shared" ref="C32:N32" ca="1" si="9">C23-C30</f>
        <v>0</v>
      </c>
      <c r="D32" s="94">
        <f t="shared" ca="1" si="9"/>
        <v>7808</v>
      </c>
      <c r="E32" s="94">
        <f t="shared" ca="1" si="9"/>
        <v>11712</v>
      </c>
      <c r="F32" s="94">
        <f t="shared" ca="1" si="9"/>
        <v>7808</v>
      </c>
      <c r="G32" s="94">
        <f t="shared" ca="1" si="9"/>
        <v>7808</v>
      </c>
      <c r="H32" s="94">
        <f t="shared" ca="1" si="9"/>
        <v>7808</v>
      </c>
      <c r="I32" s="94">
        <f t="shared" ca="1" si="9"/>
        <v>7808</v>
      </c>
      <c r="J32" s="94">
        <f t="shared" ca="1" si="9"/>
        <v>11712</v>
      </c>
      <c r="K32" s="94">
        <f t="shared" ca="1" si="9"/>
        <v>7808</v>
      </c>
      <c r="L32" s="94">
        <f t="shared" ca="1" si="9"/>
        <v>7808</v>
      </c>
      <c r="M32" s="94">
        <f t="shared" ca="1" si="9"/>
        <v>7808</v>
      </c>
      <c r="N32" s="94">
        <f t="shared" ca="1" si="9"/>
        <v>7808</v>
      </c>
      <c r="O32" s="94"/>
      <c r="P32" s="95">
        <f ca="1">SUM(C32:N32)</f>
        <v>93696</v>
      </c>
      <c r="Q32" s="46"/>
      <c r="R32" s="38"/>
      <c r="U32" s="21"/>
      <c r="W32" s="21"/>
    </row>
    <row r="33" spans="1:23" ht="5.0999999999999996" customHeight="1" x14ac:dyDescent="0.2">
      <c r="A33" s="181"/>
      <c r="B33" s="58"/>
      <c r="C33" s="81"/>
      <c r="D33" s="81"/>
      <c r="E33" s="81"/>
      <c r="F33" s="81"/>
      <c r="G33" s="81"/>
      <c r="H33" s="81"/>
      <c r="I33" s="81"/>
      <c r="J33" s="81"/>
      <c r="K33" s="81"/>
      <c r="L33" s="81"/>
      <c r="M33" s="81"/>
      <c r="N33" s="81"/>
      <c r="O33" s="81"/>
      <c r="P33" s="81"/>
      <c r="Q33" s="46"/>
      <c r="R33" s="38"/>
    </row>
    <row r="34" spans="1:23" ht="12.75" customHeight="1" x14ac:dyDescent="0.2">
      <c r="A34" s="181"/>
      <c r="B34" s="65" t="s">
        <v>138</v>
      </c>
      <c r="C34" s="122"/>
      <c r="D34" s="122"/>
      <c r="E34" s="122"/>
      <c r="F34" s="122"/>
      <c r="G34" s="122"/>
      <c r="H34" s="122"/>
      <c r="I34" s="122"/>
      <c r="J34" s="122"/>
      <c r="K34" s="122"/>
      <c r="L34" s="122"/>
      <c r="M34" s="122"/>
      <c r="N34" s="122"/>
      <c r="O34" s="122"/>
      <c r="P34" s="123"/>
      <c r="Q34" s="46"/>
      <c r="R34" s="38"/>
    </row>
    <row r="35" spans="1:23" ht="12.75" customHeight="1" x14ac:dyDescent="0.2">
      <c r="A35" s="181"/>
      <c r="B35" s="126" t="s">
        <v>133</v>
      </c>
      <c r="C35" s="90">
        <f ca="1">_xlfn.LET(
_xlpm.recurring,SUMIFS(INDEX(recurring_master!$A:$AF,,MATCH($B35,recurring_master!$A$1:$AF$1,0)),recurring_master!$A:$A,"&lt;="&amp;EOMONTH(C$4,0),recurring_master!$A:$A,"&gt;="&amp;C$4),
_xlpm.planned,SUMIFS(#REF!,#REF!,$B35,#REF!,"&gt;="&amp;C$4,#REF!,"&lt;="&amp;EOMONTH(C$4,0)),
IFERROR(_xlpm.recurring,0)+IFERROR(_xlpm.planned,0))</f>
        <v>0</v>
      </c>
      <c r="D35" s="90">
        <f ca="1">_xlfn.LET(
_xlpm.recurring,SUMIFS(INDEX(recurring_master!$A:$AF,,MATCH($B35,recurring_master!$A$1:$AF$1,0)),recurring_master!$A:$A,"&lt;="&amp;EOMONTH(D$4,0),recurring_master!$A:$A,"&gt;="&amp;D$4),
_xlpm.planned,SUMIFS(#REF!,#REF!,$B35,#REF!,"&gt;="&amp;D$4,#REF!,"&lt;="&amp;EOMONTH(D$4,0)),
IFERROR(_xlpm.recurring,0)+IFERROR(_xlpm.planned,0))</f>
        <v>0</v>
      </c>
      <c r="E35" s="90">
        <f ca="1">_xlfn.LET(
_xlpm.recurring,SUMIFS(INDEX(recurring_master!$A:$AF,,MATCH($B35,recurring_master!$A$1:$AF$1,0)),recurring_master!$A:$A,"&lt;="&amp;EOMONTH(E$4,0),recurring_master!$A:$A,"&gt;="&amp;E$4),
_xlpm.planned,SUMIFS(#REF!,#REF!,$B35,#REF!,"&gt;="&amp;E$4,#REF!,"&lt;="&amp;EOMONTH(E$4,0)),
IFERROR(_xlpm.recurring,0)+IFERROR(_xlpm.planned,0))</f>
        <v>0</v>
      </c>
      <c r="F35" s="90">
        <f ca="1">_xlfn.LET(
_xlpm.recurring,SUMIFS(INDEX(recurring_master!$A:$AF,,MATCH($B35,recurring_master!$A$1:$AF$1,0)),recurring_master!$A:$A,"&lt;="&amp;EOMONTH(F$4,0),recurring_master!$A:$A,"&gt;="&amp;F$4),
_xlpm.planned,SUMIFS(#REF!,#REF!,$B35,#REF!,"&gt;="&amp;F$4,#REF!,"&lt;="&amp;EOMONTH(F$4,0)),
IFERROR(_xlpm.recurring,0)+IFERROR(_xlpm.planned,0))</f>
        <v>0</v>
      </c>
      <c r="G35" s="90">
        <f ca="1">_xlfn.LET(
_xlpm.recurring,SUMIFS(INDEX(recurring_master!$A:$AF,,MATCH($B35,recurring_master!$A$1:$AF$1,0)),recurring_master!$A:$A,"&lt;="&amp;EOMONTH(G$4,0),recurring_master!$A:$A,"&gt;="&amp;G$4),
_xlpm.planned,SUMIFS(#REF!,#REF!,$B35,#REF!,"&gt;="&amp;G$4,#REF!,"&lt;="&amp;EOMONTH(G$4,0)),
IFERROR(_xlpm.recurring,0)+IFERROR(_xlpm.planned,0))</f>
        <v>0</v>
      </c>
      <c r="H35" s="90">
        <f ca="1">_xlfn.LET(
_xlpm.recurring,SUMIFS(INDEX(recurring_master!$A:$AF,,MATCH($B35,recurring_master!$A$1:$AF$1,0)),recurring_master!$A:$A,"&lt;="&amp;EOMONTH(H$4,0),recurring_master!$A:$A,"&gt;="&amp;H$4),
_xlpm.planned,SUMIFS(#REF!,#REF!,$B35,#REF!,"&gt;="&amp;H$4,#REF!,"&lt;="&amp;EOMONTH(H$4,0)),
IFERROR(_xlpm.recurring,0)+IFERROR(_xlpm.planned,0))</f>
        <v>0</v>
      </c>
      <c r="I35" s="90">
        <f ca="1">_xlfn.LET(
_xlpm.recurring,SUMIFS(INDEX(recurring_master!$A:$AF,,MATCH($B35,recurring_master!$A$1:$AF$1,0)),recurring_master!$A:$A,"&lt;="&amp;EOMONTH(I$4,0),recurring_master!$A:$A,"&gt;="&amp;I$4),
_xlpm.planned,SUMIFS(#REF!,#REF!,$B35,#REF!,"&gt;="&amp;I$4,#REF!,"&lt;="&amp;EOMONTH(I$4,0)),
IFERROR(_xlpm.recurring,0)+IFERROR(_xlpm.planned,0))</f>
        <v>0</v>
      </c>
      <c r="J35" s="90">
        <f ca="1">_xlfn.LET(
_xlpm.recurring,SUMIFS(INDEX(recurring_master!$A:$AF,,MATCH($B35,recurring_master!$A$1:$AF$1,0)),recurring_master!$A:$A,"&lt;="&amp;EOMONTH(J$4,0),recurring_master!$A:$A,"&gt;="&amp;J$4),
_xlpm.planned,SUMIFS(#REF!,#REF!,$B35,#REF!,"&gt;="&amp;J$4,#REF!,"&lt;="&amp;EOMONTH(J$4,0)),
IFERROR(_xlpm.recurring,0)+IFERROR(_xlpm.planned,0))</f>
        <v>0</v>
      </c>
      <c r="K35" s="90">
        <f ca="1">_xlfn.LET(
_xlpm.recurring,SUMIFS(INDEX(recurring_master!$A:$AF,,MATCH($B35,recurring_master!$A$1:$AF$1,0)),recurring_master!$A:$A,"&lt;="&amp;EOMONTH(K$4,0),recurring_master!$A:$A,"&gt;="&amp;K$4),
_xlpm.planned,SUMIFS(#REF!,#REF!,$B35,#REF!,"&gt;="&amp;K$4,#REF!,"&lt;="&amp;EOMONTH(K$4,0)),
IFERROR(_xlpm.recurring,0)+IFERROR(_xlpm.planned,0))</f>
        <v>0</v>
      </c>
      <c r="L35" s="90">
        <f ca="1">_xlfn.LET(
_xlpm.recurring,SUMIFS(INDEX(recurring_master!$A:$AF,,MATCH($B35,recurring_master!$A$1:$AF$1,0)),recurring_master!$A:$A,"&lt;="&amp;EOMONTH(L$4,0),recurring_master!$A:$A,"&gt;="&amp;L$4),
_xlpm.planned,SUMIFS(#REF!,#REF!,$B35,#REF!,"&gt;="&amp;L$4,#REF!,"&lt;="&amp;EOMONTH(L$4,0)),
IFERROR(_xlpm.recurring,0)+IFERROR(_xlpm.planned,0))</f>
        <v>0</v>
      </c>
      <c r="M35" s="90">
        <f ca="1">_xlfn.LET(
_xlpm.recurring,SUMIFS(INDEX(recurring_master!$A:$AF,,MATCH($B35,recurring_master!$A$1:$AF$1,0)),recurring_master!$A:$A,"&lt;="&amp;EOMONTH(M$4,0),recurring_master!$A:$A,"&gt;="&amp;M$4),
_xlpm.planned,SUMIFS(#REF!,#REF!,$B35,#REF!,"&gt;="&amp;M$4,#REF!,"&lt;="&amp;EOMONTH(M$4,0)),
IFERROR(_xlpm.recurring,0)+IFERROR(_xlpm.planned,0))</f>
        <v>0</v>
      </c>
      <c r="N35" s="90">
        <f ca="1">_xlfn.LET(
_xlpm.recurring,SUMIFS(INDEX(recurring_master!$A:$AF,,MATCH($B35,recurring_master!$A$1:$AF$1,0)),recurring_master!$A:$A,"&lt;="&amp;EOMONTH(N$4,0),recurring_master!$A:$A,"&gt;="&amp;N$4),
_xlpm.planned,SUMIFS(#REF!,#REF!,$B35,#REF!,"&gt;="&amp;N$4,#REF!,"&lt;="&amp;EOMONTH(N$4,0)),
IFERROR(_xlpm.recurring,0)+IFERROR(_xlpm.planned,0))</f>
        <v>0</v>
      </c>
      <c r="O35" s="81"/>
      <c r="P35" s="91">
        <f ca="1">SUM(C35:N35)</f>
        <v>0</v>
      </c>
      <c r="Q35" s="47"/>
      <c r="R35" s="38" t="s">
        <v>363</v>
      </c>
    </row>
    <row r="36" spans="1:23" ht="12.75" customHeight="1" x14ac:dyDescent="0.2">
      <c r="A36" s="181"/>
      <c r="B36" s="60" t="s">
        <v>9</v>
      </c>
      <c r="C36" s="90">
        <f ca="1">_xlfn.LET(
_xlpm.recurring,SUMIFS(INDEX(recurring_master!$A:$AF,,MATCH($B36,recurring_master!$A$1:$AF$1,0)),recurring_master!$A:$A,"&lt;="&amp;EOMONTH(C$4,0),recurring_master!$A:$A,"&gt;="&amp;C$4),
_xlpm.planned,SUMIFS(#REF!,#REF!,$B36,#REF!,"&gt;="&amp;C$4,#REF!,"&lt;="&amp;EOMONTH(C$4,0)),
IFERROR(_xlpm.recurring,0)+IFERROR(_xlpm.planned,0))</f>
        <v>0</v>
      </c>
      <c r="D36" s="90">
        <f ca="1">_xlfn.LET(
_xlpm.recurring,SUMIFS(INDEX(recurring_master!$A:$AF,,MATCH($B36,recurring_master!$A$1:$AF$1,0)),recurring_master!$A:$A,"&lt;="&amp;EOMONTH(D$4,0),recurring_master!$A:$A,"&gt;="&amp;D$4),
_xlpm.planned,SUMIFS(#REF!,#REF!,$B36,#REF!,"&gt;="&amp;D$4,#REF!,"&lt;="&amp;EOMONTH(D$4,0)),
IFERROR(_xlpm.recurring,0)+IFERROR(_xlpm.planned,0))</f>
        <v>0</v>
      </c>
      <c r="E36" s="90">
        <f ca="1">_xlfn.LET(
_xlpm.recurring,SUMIFS(INDEX(recurring_master!$A:$AF,,MATCH($B36,recurring_master!$A$1:$AF$1,0)),recurring_master!$A:$A,"&lt;="&amp;EOMONTH(E$4,0),recurring_master!$A:$A,"&gt;="&amp;E$4),
_xlpm.planned,SUMIFS(#REF!,#REF!,$B36,#REF!,"&gt;="&amp;E$4,#REF!,"&lt;="&amp;EOMONTH(E$4,0)),
IFERROR(_xlpm.recurring,0)+IFERROR(_xlpm.planned,0))</f>
        <v>0</v>
      </c>
      <c r="F36" s="90">
        <f ca="1">_xlfn.LET(
_xlpm.recurring,SUMIFS(INDEX(recurring_master!$A:$AF,,MATCH($B36,recurring_master!$A$1:$AF$1,0)),recurring_master!$A:$A,"&lt;="&amp;EOMONTH(F$4,0),recurring_master!$A:$A,"&gt;="&amp;F$4),
_xlpm.planned,SUMIFS(#REF!,#REF!,$B36,#REF!,"&gt;="&amp;F$4,#REF!,"&lt;="&amp;EOMONTH(F$4,0)),
IFERROR(_xlpm.recurring,0)+IFERROR(_xlpm.planned,0))</f>
        <v>0</v>
      </c>
      <c r="G36" s="90">
        <f ca="1">_xlfn.LET(
_xlpm.recurring,SUMIFS(INDEX(recurring_master!$A:$AF,,MATCH($B36,recurring_master!$A$1:$AF$1,0)),recurring_master!$A:$A,"&lt;="&amp;EOMONTH(G$4,0),recurring_master!$A:$A,"&gt;="&amp;G$4),
_xlpm.planned,SUMIFS(#REF!,#REF!,$B36,#REF!,"&gt;="&amp;G$4,#REF!,"&lt;="&amp;EOMONTH(G$4,0)),
IFERROR(_xlpm.recurring,0)+IFERROR(_xlpm.planned,0))</f>
        <v>0</v>
      </c>
      <c r="H36" s="90">
        <f ca="1">_xlfn.LET(
_xlpm.recurring,SUMIFS(INDEX(recurring_master!$A:$AF,,MATCH($B36,recurring_master!$A$1:$AF$1,0)),recurring_master!$A:$A,"&lt;="&amp;EOMONTH(H$4,0),recurring_master!$A:$A,"&gt;="&amp;H$4),
_xlpm.planned,SUMIFS(#REF!,#REF!,$B36,#REF!,"&gt;="&amp;H$4,#REF!,"&lt;="&amp;EOMONTH(H$4,0)),
IFERROR(_xlpm.recurring,0)+IFERROR(_xlpm.planned,0))</f>
        <v>0</v>
      </c>
      <c r="I36" s="90">
        <f ca="1">_xlfn.LET(
_xlpm.recurring,SUMIFS(INDEX(recurring_master!$A:$AF,,MATCH($B36,recurring_master!$A$1:$AF$1,0)),recurring_master!$A:$A,"&lt;="&amp;EOMONTH(I$4,0),recurring_master!$A:$A,"&gt;="&amp;I$4),
_xlpm.planned,SUMIFS(#REF!,#REF!,$B36,#REF!,"&gt;="&amp;I$4,#REF!,"&lt;="&amp;EOMONTH(I$4,0)),
IFERROR(_xlpm.recurring,0)+IFERROR(_xlpm.planned,0))</f>
        <v>0</v>
      </c>
      <c r="J36" s="90">
        <f ca="1">_xlfn.LET(
_xlpm.recurring,SUMIFS(INDEX(recurring_master!$A:$AF,,MATCH($B36,recurring_master!$A$1:$AF$1,0)),recurring_master!$A:$A,"&lt;="&amp;EOMONTH(J$4,0),recurring_master!$A:$A,"&gt;="&amp;J$4),
_xlpm.planned,SUMIFS(#REF!,#REF!,$B36,#REF!,"&gt;="&amp;J$4,#REF!,"&lt;="&amp;EOMONTH(J$4,0)),
IFERROR(_xlpm.recurring,0)+IFERROR(_xlpm.planned,0))</f>
        <v>0</v>
      </c>
      <c r="K36" s="90">
        <f ca="1">_xlfn.LET(
_xlpm.recurring,SUMIFS(INDEX(recurring_master!$A:$AF,,MATCH($B36,recurring_master!$A$1:$AF$1,0)),recurring_master!$A:$A,"&lt;="&amp;EOMONTH(K$4,0),recurring_master!$A:$A,"&gt;="&amp;K$4),
_xlpm.planned,SUMIFS(#REF!,#REF!,$B36,#REF!,"&gt;="&amp;K$4,#REF!,"&lt;="&amp;EOMONTH(K$4,0)),
IFERROR(_xlpm.recurring,0)+IFERROR(_xlpm.planned,0))</f>
        <v>0</v>
      </c>
      <c r="L36" s="90">
        <f ca="1">_xlfn.LET(
_xlpm.recurring,SUMIFS(INDEX(recurring_master!$A:$AF,,MATCH($B36,recurring_master!$A$1:$AF$1,0)),recurring_master!$A:$A,"&lt;="&amp;EOMONTH(L$4,0),recurring_master!$A:$A,"&gt;="&amp;L$4),
_xlpm.planned,SUMIFS(#REF!,#REF!,$B36,#REF!,"&gt;="&amp;L$4,#REF!,"&lt;="&amp;EOMONTH(L$4,0)),
IFERROR(_xlpm.recurring,0)+IFERROR(_xlpm.planned,0))</f>
        <v>0</v>
      </c>
      <c r="M36" s="90">
        <f ca="1">_xlfn.LET(
_xlpm.recurring,SUMIFS(INDEX(recurring_master!$A:$AF,,MATCH($B36,recurring_master!$A$1:$AF$1,0)),recurring_master!$A:$A,"&lt;="&amp;EOMONTH(M$4,0),recurring_master!$A:$A,"&gt;="&amp;M$4),
_xlpm.planned,SUMIFS(#REF!,#REF!,$B36,#REF!,"&gt;="&amp;M$4,#REF!,"&lt;="&amp;EOMONTH(M$4,0)),
IFERROR(_xlpm.recurring,0)+IFERROR(_xlpm.planned,0))</f>
        <v>0</v>
      </c>
      <c r="N36" s="90">
        <f ca="1">_xlfn.LET(
_xlpm.recurring,SUMIFS(INDEX(recurring_master!$A:$AF,,MATCH($B36,recurring_master!$A$1:$AF$1,0)),recurring_master!$A:$A,"&lt;="&amp;EOMONTH(N$4,0),recurring_master!$A:$A,"&gt;="&amp;N$4),
_xlpm.planned,SUMIFS(#REF!,#REF!,$B36,#REF!,"&gt;="&amp;N$4,#REF!,"&lt;="&amp;EOMONTH(N$4,0)),
IFERROR(_xlpm.recurring,0)+IFERROR(_xlpm.planned,0))</f>
        <v>0</v>
      </c>
      <c r="O36" s="81"/>
      <c r="P36" s="91">
        <f ca="1">SUM(C36:N36)</f>
        <v>0</v>
      </c>
      <c r="Q36" s="47"/>
      <c r="R36" s="38" t="s">
        <v>364</v>
      </c>
    </row>
    <row r="37" spans="1:23" ht="12.75" customHeight="1" x14ac:dyDescent="0.2">
      <c r="A37" s="181"/>
      <c r="B37" s="60" t="s">
        <v>163</v>
      </c>
      <c r="C37" s="90">
        <f ca="1">_xlfn.LET(
_xlpm.recurring,SUMIFS(INDEX(recurring_master!$A:$AF,,MATCH($B37,recurring_master!$A$1:$AF$1,0)),recurring_master!$A:$A,"&lt;="&amp;EOMONTH(C$4,0),recurring_master!$A:$A,"&gt;="&amp;C$4),
_xlpm.planned,SUMIFS(#REF!,#REF!,$B37,#REF!,"&gt;="&amp;C$4,#REF!,"&lt;="&amp;EOMONTH(C$4,0)),
IFERROR(_xlpm.recurring,0)+IFERROR(_xlpm.planned,0))</f>
        <v>0</v>
      </c>
      <c r="D37" s="90">
        <f ca="1">_xlfn.LET(
_xlpm.recurring,SUMIFS(INDEX(recurring_master!$A:$AF,,MATCH($B37,recurring_master!$A$1:$AF$1,0)),recurring_master!$A:$A,"&lt;="&amp;EOMONTH(D$4,0),recurring_master!$A:$A,"&gt;="&amp;D$4),
_xlpm.planned,SUMIFS(#REF!,#REF!,$B37,#REF!,"&gt;="&amp;D$4,#REF!,"&lt;="&amp;EOMONTH(D$4,0)),
IFERROR(_xlpm.recurring,0)+IFERROR(_xlpm.planned,0))</f>
        <v>0</v>
      </c>
      <c r="E37" s="90">
        <f ca="1">_xlfn.LET(
_xlpm.recurring,SUMIFS(INDEX(recurring_master!$A:$AF,,MATCH($B37,recurring_master!$A$1:$AF$1,0)),recurring_master!$A:$A,"&lt;="&amp;EOMONTH(E$4,0),recurring_master!$A:$A,"&gt;="&amp;E$4),
_xlpm.planned,SUMIFS(#REF!,#REF!,$B37,#REF!,"&gt;="&amp;E$4,#REF!,"&lt;="&amp;EOMONTH(E$4,0)),
IFERROR(_xlpm.recurring,0)+IFERROR(_xlpm.planned,0))</f>
        <v>0</v>
      </c>
      <c r="F37" s="90">
        <f ca="1">_xlfn.LET(
_xlpm.recurring,SUMIFS(INDEX(recurring_master!$A:$AF,,MATCH($B37,recurring_master!$A$1:$AF$1,0)),recurring_master!$A:$A,"&lt;="&amp;EOMONTH(F$4,0),recurring_master!$A:$A,"&gt;="&amp;F$4),
_xlpm.planned,SUMIFS(#REF!,#REF!,$B37,#REF!,"&gt;="&amp;F$4,#REF!,"&lt;="&amp;EOMONTH(F$4,0)),
IFERROR(_xlpm.recurring,0)+IFERROR(_xlpm.planned,0))</f>
        <v>0</v>
      </c>
      <c r="G37" s="90">
        <f ca="1">_xlfn.LET(
_xlpm.recurring,SUMIFS(INDEX(recurring_master!$A:$AF,,MATCH($B37,recurring_master!$A$1:$AF$1,0)),recurring_master!$A:$A,"&lt;="&amp;EOMONTH(G$4,0),recurring_master!$A:$A,"&gt;="&amp;G$4),
_xlpm.planned,SUMIFS(#REF!,#REF!,$B37,#REF!,"&gt;="&amp;G$4,#REF!,"&lt;="&amp;EOMONTH(G$4,0)),
IFERROR(_xlpm.recurring,0)+IFERROR(_xlpm.planned,0))</f>
        <v>0</v>
      </c>
      <c r="H37" s="90">
        <f ca="1">_xlfn.LET(
_xlpm.recurring,SUMIFS(INDEX(recurring_master!$A:$AF,,MATCH($B37,recurring_master!$A$1:$AF$1,0)),recurring_master!$A:$A,"&lt;="&amp;EOMONTH(H$4,0),recurring_master!$A:$A,"&gt;="&amp;H$4),
_xlpm.planned,SUMIFS(#REF!,#REF!,$B37,#REF!,"&gt;="&amp;H$4,#REF!,"&lt;="&amp;EOMONTH(H$4,0)),
IFERROR(_xlpm.recurring,0)+IFERROR(_xlpm.planned,0))</f>
        <v>0</v>
      </c>
      <c r="I37" s="90">
        <f ca="1">_xlfn.LET(
_xlpm.recurring,SUMIFS(INDEX(recurring_master!$A:$AF,,MATCH($B37,recurring_master!$A$1:$AF$1,0)),recurring_master!$A:$A,"&lt;="&amp;EOMONTH(I$4,0),recurring_master!$A:$A,"&gt;="&amp;I$4),
_xlpm.planned,SUMIFS(#REF!,#REF!,$B37,#REF!,"&gt;="&amp;I$4,#REF!,"&lt;="&amp;EOMONTH(I$4,0)),
IFERROR(_xlpm.recurring,0)+IFERROR(_xlpm.planned,0))</f>
        <v>0</v>
      </c>
      <c r="J37" s="90">
        <f ca="1">_xlfn.LET(
_xlpm.recurring,SUMIFS(INDEX(recurring_master!$A:$AF,,MATCH($B37,recurring_master!$A$1:$AF$1,0)),recurring_master!$A:$A,"&lt;="&amp;EOMONTH(J$4,0),recurring_master!$A:$A,"&gt;="&amp;J$4),
_xlpm.planned,SUMIFS(#REF!,#REF!,$B37,#REF!,"&gt;="&amp;J$4,#REF!,"&lt;="&amp;EOMONTH(J$4,0)),
IFERROR(_xlpm.recurring,0)+IFERROR(_xlpm.planned,0))</f>
        <v>0</v>
      </c>
      <c r="K37" s="90">
        <f ca="1">_xlfn.LET(
_xlpm.recurring,SUMIFS(INDEX(recurring_master!$A:$AF,,MATCH($B37,recurring_master!$A$1:$AF$1,0)),recurring_master!$A:$A,"&lt;="&amp;EOMONTH(K$4,0),recurring_master!$A:$A,"&gt;="&amp;K$4),
_xlpm.planned,SUMIFS(#REF!,#REF!,$B37,#REF!,"&gt;="&amp;K$4,#REF!,"&lt;="&amp;EOMONTH(K$4,0)),
IFERROR(_xlpm.recurring,0)+IFERROR(_xlpm.planned,0))</f>
        <v>0</v>
      </c>
      <c r="L37" s="90">
        <f ca="1">_xlfn.LET(
_xlpm.recurring,SUMIFS(INDEX(recurring_master!$A:$AF,,MATCH($B37,recurring_master!$A$1:$AF$1,0)),recurring_master!$A:$A,"&lt;="&amp;EOMONTH(L$4,0),recurring_master!$A:$A,"&gt;="&amp;L$4),
_xlpm.planned,SUMIFS(#REF!,#REF!,$B37,#REF!,"&gt;="&amp;L$4,#REF!,"&lt;="&amp;EOMONTH(L$4,0)),
IFERROR(_xlpm.recurring,0)+IFERROR(_xlpm.planned,0))</f>
        <v>0</v>
      </c>
      <c r="M37" s="90">
        <f ca="1">_xlfn.LET(
_xlpm.recurring,SUMIFS(INDEX(recurring_master!$A:$AF,,MATCH($B37,recurring_master!$A$1:$AF$1,0)),recurring_master!$A:$A,"&lt;="&amp;EOMONTH(M$4,0),recurring_master!$A:$A,"&gt;="&amp;M$4),
_xlpm.planned,SUMIFS(#REF!,#REF!,$B37,#REF!,"&gt;="&amp;M$4,#REF!,"&lt;="&amp;EOMONTH(M$4,0)),
IFERROR(_xlpm.recurring,0)+IFERROR(_xlpm.planned,0))</f>
        <v>0</v>
      </c>
      <c r="N37" s="90">
        <f ca="1">_xlfn.LET(
_xlpm.recurring,SUMIFS(INDEX(recurring_master!$A:$AF,,MATCH($B37,recurring_master!$A$1:$AF$1,0)),recurring_master!$A:$A,"&lt;="&amp;EOMONTH(N$4,0),recurring_master!$A:$A,"&gt;="&amp;N$4),
_xlpm.planned,SUMIFS(#REF!,#REF!,$B37,#REF!,"&gt;="&amp;N$4,#REF!,"&lt;="&amp;EOMONTH(N$4,0)),
IFERROR(_xlpm.recurring,0)+IFERROR(_xlpm.planned,0))</f>
        <v>0</v>
      </c>
      <c r="O37" s="81"/>
      <c r="P37" s="91">
        <f ca="1">SUM(C37:N37)</f>
        <v>0</v>
      </c>
      <c r="Q37" s="47"/>
      <c r="R37" s="38" t="s">
        <v>182</v>
      </c>
      <c r="U37" s="22"/>
    </row>
    <row r="38" spans="1:23" ht="12.75" customHeight="1" x14ac:dyDescent="0.2">
      <c r="A38" s="181"/>
      <c r="B38" s="60" t="s">
        <v>24</v>
      </c>
      <c r="C38" s="90">
        <f ca="1">_xlfn.LET(
_xlpm.recurring,SUMIFS(INDEX(recurring_master!$A:$AF,,MATCH($B38,recurring_master!$A$1:$AF$1,0)),recurring_master!$A:$A,"&lt;="&amp;EOMONTH(C$4,0),recurring_master!$A:$A,"&gt;="&amp;C$4),
_xlpm.planned,SUMIFS(#REF!,#REF!,$B38,#REF!,"&gt;="&amp;C$4,#REF!,"&lt;="&amp;EOMONTH(C$4,0)),
IFERROR(_xlpm.recurring,0)+IFERROR(_xlpm.planned,0))</f>
        <v>0</v>
      </c>
      <c r="D38" s="90">
        <f ca="1">_xlfn.LET(
_xlpm.recurring,SUMIFS(INDEX(recurring_master!$A:$AF,,MATCH($B38,recurring_master!$A$1:$AF$1,0)),recurring_master!$A:$A,"&lt;="&amp;EOMONTH(D$4,0),recurring_master!$A:$A,"&gt;="&amp;D$4),
_xlpm.planned,SUMIFS(#REF!,#REF!,$B38,#REF!,"&gt;="&amp;D$4,#REF!,"&lt;="&amp;EOMONTH(D$4,0)),
IFERROR(_xlpm.recurring,0)+IFERROR(_xlpm.planned,0))</f>
        <v>0</v>
      </c>
      <c r="E38" s="90">
        <f ca="1">_xlfn.LET(
_xlpm.recurring,SUMIFS(INDEX(recurring_master!$A:$AF,,MATCH($B38,recurring_master!$A$1:$AF$1,0)),recurring_master!$A:$A,"&lt;="&amp;EOMONTH(E$4,0),recurring_master!$A:$A,"&gt;="&amp;E$4),
_xlpm.planned,SUMIFS(#REF!,#REF!,$B38,#REF!,"&gt;="&amp;E$4,#REF!,"&lt;="&amp;EOMONTH(E$4,0)),
IFERROR(_xlpm.recurring,0)+IFERROR(_xlpm.planned,0))</f>
        <v>0</v>
      </c>
      <c r="F38" s="90">
        <f ca="1">_xlfn.LET(
_xlpm.recurring,SUMIFS(INDEX(recurring_master!$A:$AF,,MATCH($B38,recurring_master!$A$1:$AF$1,0)),recurring_master!$A:$A,"&lt;="&amp;EOMONTH(F$4,0),recurring_master!$A:$A,"&gt;="&amp;F$4),
_xlpm.planned,SUMIFS(#REF!,#REF!,$B38,#REF!,"&gt;="&amp;F$4,#REF!,"&lt;="&amp;EOMONTH(F$4,0)),
IFERROR(_xlpm.recurring,0)+IFERROR(_xlpm.planned,0))</f>
        <v>0</v>
      </c>
      <c r="G38" s="90">
        <f ca="1">_xlfn.LET(
_xlpm.recurring,SUMIFS(INDEX(recurring_master!$A:$AF,,MATCH($B38,recurring_master!$A$1:$AF$1,0)),recurring_master!$A:$A,"&lt;="&amp;EOMONTH(G$4,0),recurring_master!$A:$A,"&gt;="&amp;G$4),
_xlpm.planned,SUMIFS(#REF!,#REF!,$B38,#REF!,"&gt;="&amp;G$4,#REF!,"&lt;="&amp;EOMONTH(G$4,0)),
IFERROR(_xlpm.recurring,0)+IFERROR(_xlpm.planned,0))</f>
        <v>0</v>
      </c>
      <c r="H38" s="90">
        <f ca="1">_xlfn.LET(
_xlpm.recurring,SUMIFS(INDEX(recurring_master!$A:$AF,,MATCH($B38,recurring_master!$A$1:$AF$1,0)),recurring_master!$A:$A,"&lt;="&amp;EOMONTH(H$4,0),recurring_master!$A:$A,"&gt;="&amp;H$4),
_xlpm.planned,SUMIFS(#REF!,#REF!,$B38,#REF!,"&gt;="&amp;H$4,#REF!,"&lt;="&amp;EOMONTH(H$4,0)),
IFERROR(_xlpm.recurring,0)+IFERROR(_xlpm.planned,0))</f>
        <v>0</v>
      </c>
      <c r="I38" s="90">
        <f ca="1">_xlfn.LET(
_xlpm.recurring,SUMIFS(INDEX(recurring_master!$A:$AF,,MATCH($B38,recurring_master!$A$1:$AF$1,0)),recurring_master!$A:$A,"&lt;="&amp;EOMONTH(I$4,0),recurring_master!$A:$A,"&gt;="&amp;I$4),
_xlpm.planned,SUMIFS(#REF!,#REF!,$B38,#REF!,"&gt;="&amp;I$4,#REF!,"&lt;="&amp;EOMONTH(I$4,0)),
IFERROR(_xlpm.recurring,0)+IFERROR(_xlpm.planned,0))</f>
        <v>0</v>
      </c>
      <c r="J38" s="90">
        <f ca="1">_xlfn.LET(
_xlpm.recurring,SUMIFS(INDEX(recurring_master!$A:$AF,,MATCH($B38,recurring_master!$A$1:$AF$1,0)),recurring_master!$A:$A,"&lt;="&amp;EOMONTH(J$4,0),recurring_master!$A:$A,"&gt;="&amp;J$4),
_xlpm.planned,SUMIFS(#REF!,#REF!,$B38,#REF!,"&gt;="&amp;J$4,#REF!,"&lt;="&amp;EOMONTH(J$4,0)),
IFERROR(_xlpm.recurring,0)+IFERROR(_xlpm.planned,0))</f>
        <v>0</v>
      </c>
      <c r="K38" s="90">
        <f ca="1">_xlfn.LET(
_xlpm.recurring,SUMIFS(INDEX(recurring_master!$A:$AF,,MATCH($B38,recurring_master!$A$1:$AF$1,0)),recurring_master!$A:$A,"&lt;="&amp;EOMONTH(K$4,0),recurring_master!$A:$A,"&gt;="&amp;K$4),
_xlpm.planned,SUMIFS(#REF!,#REF!,$B38,#REF!,"&gt;="&amp;K$4,#REF!,"&lt;="&amp;EOMONTH(K$4,0)),
IFERROR(_xlpm.recurring,0)+IFERROR(_xlpm.planned,0))</f>
        <v>0</v>
      </c>
      <c r="L38" s="90">
        <f ca="1">_xlfn.LET(
_xlpm.recurring,SUMIFS(INDEX(recurring_master!$A:$AF,,MATCH($B38,recurring_master!$A$1:$AF$1,0)),recurring_master!$A:$A,"&lt;="&amp;EOMONTH(L$4,0),recurring_master!$A:$A,"&gt;="&amp;L$4),
_xlpm.planned,SUMIFS(#REF!,#REF!,$B38,#REF!,"&gt;="&amp;L$4,#REF!,"&lt;="&amp;EOMONTH(L$4,0)),
IFERROR(_xlpm.recurring,0)+IFERROR(_xlpm.planned,0))</f>
        <v>0</v>
      </c>
      <c r="M38" s="90">
        <f ca="1">_xlfn.LET(
_xlpm.recurring,SUMIFS(INDEX(recurring_master!$A:$AF,,MATCH($B38,recurring_master!$A$1:$AF$1,0)),recurring_master!$A:$A,"&lt;="&amp;EOMONTH(M$4,0),recurring_master!$A:$A,"&gt;="&amp;M$4),
_xlpm.planned,SUMIFS(#REF!,#REF!,$B38,#REF!,"&gt;="&amp;M$4,#REF!,"&lt;="&amp;EOMONTH(M$4,0)),
IFERROR(_xlpm.recurring,0)+IFERROR(_xlpm.planned,0))</f>
        <v>0</v>
      </c>
      <c r="N38" s="90">
        <f ca="1">_xlfn.LET(
_xlpm.recurring,SUMIFS(INDEX(recurring_master!$A:$AF,,MATCH($B38,recurring_master!$A$1:$AF$1,0)),recurring_master!$A:$A,"&lt;="&amp;EOMONTH(N$4,0),recurring_master!$A:$A,"&gt;="&amp;N$4),
_xlpm.planned,SUMIFS(#REF!,#REF!,$B38,#REF!,"&gt;="&amp;N$4,#REF!,"&lt;="&amp;EOMONTH(N$4,0)),
IFERROR(_xlpm.recurring,0)+IFERROR(_xlpm.planned,0))</f>
        <v>0</v>
      </c>
      <c r="O38" s="81"/>
      <c r="P38" s="91">
        <f ca="1">SUM(C38:N38)</f>
        <v>0</v>
      </c>
      <c r="Q38" s="47"/>
      <c r="R38" s="38" t="s">
        <v>365</v>
      </c>
      <c r="U38" s="22"/>
    </row>
    <row r="39" spans="1:23" ht="5.0999999999999996" customHeight="1" x14ac:dyDescent="0.2">
      <c r="A39" s="181"/>
      <c r="B39" s="60"/>
      <c r="C39" s="81"/>
      <c r="D39" s="81"/>
      <c r="E39" s="81"/>
      <c r="F39" s="81"/>
      <c r="G39" s="81"/>
      <c r="H39" s="81"/>
      <c r="I39" s="81"/>
      <c r="J39" s="81"/>
      <c r="K39" s="81"/>
      <c r="L39" s="81"/>
      <c r="M39" s="81"/>
      <c r="N39" s="81"/>
      <c r="O39" s="81"/>
      <c r="P39" s="91"/>
      <c r="Q39" s="46"/>
      <c r="R39" s="38"/>
      <c r="W39" s="18"/>
    </row>
    <row r="40" spans="1:23" ht="12.75" customHeight="1" x14ac:dyDescent="0.2">
      <c r="A40" s="181"/>
      <c r="B40" s="64" t="str">
        <f>"Total "&amp;B34</f>
        <v>Total INFLOWS</v>
      </c>
      <c r="C40" s="94">
        <f t="shared" ref="C40:E40" ca="1" si="10">SUM(C35:C39)</f>
        <v>0</v>
      </c>
      <c r="D40" s="94">
        <f t="shared" ca="1" si="10"/>
        <v>0</v>
      </c>
      <c r="E40" s="94">
        <f t="shared" ca="1" si="10"/>
        <v>0</v>
      </c>
      <c r="F40" s="94">
        <f ca="1">SUM(F35:F39)</f>
        <v>0</v>
      </c>
      <c r="G40" s="94">
        <f t="shared" ref="G40:N40" ca="1" si="11">SUM(G35:G39)</f>
        <v>0</v>
      </c>
      <c r="H40" s="94">
        <f t="shared" ca="1" si="11"/>
        <v>0</v>
      </c>
      <c r="I40" s="94">
        <f t="shared" ca="1" si="11"/>
        <v>0</v>
      </c>
      <c r="J40" s="94">
        <f t="shared" ca="1" si="11"/>
        <v>0</v>
      </c>
      <c r="K40" s="94">
        <f t="shared" ca="1" si="11"/>
        <v>0</v>
      </c>
      <c r="L40" s="94">
        <f t="shared" ca="1" si="11"/>
        <v>0</v>
      </c>
      <c r="M40" s="94">
        <f t="shared" ca="1" si="11"/>
        <v>0</v>
      </c>
      <c r="N40" s="94">
        <f t="shared" ca="1" si="11"/>
        <v>0</v>
      </c>
      <c r="O40" s="94"/>
      <c r="P40" s="95">
        <f ca="1">SUM(P35:P37)</f>
        <v>0</v>
      </c>
      <c r="Q40" s="46"/>
      <c r="R40" s="38"/>
      <c r="U40" s="22"/>
    </row>
    <row r="41" spans="1:23" ht="5.0999999999999996" customHeight="1" x14ac:dyDescent="0.2">
      <c r="A41" s="181"/>
      <c r="B41" s="58"/>
      <c r="C41" s="81"/>
      <c r="D41" s="81"/>
      <c r="E41" s="81"/>
      <c r="F41" s="81"/>
      <c r="G41" s="81"/>
      <c r="H41" s="81"/>
      <c r="I41" s="81"/>
      <c r="J41" s="81"/>
      <c r="K41" s="81"/>
      <c r="L41" s="81"/>
      <c r="M41" s="81"/>
      <c r="N41" s="81"/>
      <c r="O41" s="81"/>
      <c r="P41" s="81"/>
      <c r="Q41" s="46"/>
      <c r="R41" s="38"/>
    </row>
    <row r="42" spans="1:23" ht="12.75" customHeight="1" x14ac:dyDescent="0.2">
      <c r="A42" s="181"/>
      <c r="B42" s="66" t="s">
        <v>21</v>
      </c>
      <c r="C42" s="96">
        <f t="shared" ref="C42:N42" ca="1" si="12">SUM(C40,C32)</f>
        <v>0</v>
      </c>
      <c r="D42" s="96">
        <f t="shared" ca="1" si="12"/>
        <v>7808</v>
      </c>
      <c r="E42" s="96">
        <f t="shared" ca="1" si="12"/>
        <v>11712</v>
      </c>
      <c r="F42" s="96">
        <f t="shared" ca="1" si="12"/>
        <v>7808</v>
      </c>
      <c r="G42" s="96">
        <f t="shared" ca="1" si="12"/>
        <v>7808</v>
      </c>
      <c r="H42" s="96">
        <f t="shared" ca="1" si="12"/>
        <v>7808</v>
      </c>
      <c r="I42" s="96">
        <f t="shared" ca="1" si="12"/>
        <v>7808</v>
      </c>
      <c r="J42" s="96">
        <f t="shared" ca="1" si="12"/>
        <v>11712</v>
      </c>
      <c r="K42" s="96">
        <f t="shared" ca="1" si="12"/>
        <v>7808</v>
      </c>
      <c r="L42" s="96">
        <f t="shared" ca="1" si="12"/>
        <v>7808</v>
      </c>
      <c r="M42" s="96">
        <f t="shared" ca="1" si="12"/>
        <v>7808</v>
      </c>
      <c r="N42" s="96">
        <f t="shared" ca="1" si="12"/>
        <v>7808</v>
      </c>
      <c r="O42" s="96"/>
      <c r="P42" s="97">
        <f ca="1">SUM(P40,P32)</f>
        <v>93696</v>
      </c>
      <c r="Q42" s="49"/>
      <c r="R42" s="38"/>
      <c r="U42" s="22"/>
    </row>
    <row r="43" spans="1:23" x14ac:dyDescent="0.2">
      <c r="A43" s="181"/>
      <c r="B43" s="58"/>
      <c r="C43" s="81"/>
      <c r="D43" s="81"/>
      <c r="E43" s="81"/>
      <c r="F43" s="81"/>
      <c r="G43" s="81"/>
      <c r="H43" s="81"/>
      <c r="I43" s="81"/>
      <c r="J43" s="81"/>
      <c r="K43" s="81"/>
      <c r="L43" s="81"/>
      <c r="M43" s="81"/>
      <c r="N43" s="81"/>
      <c r="O43" s="81"/>
      <c r="P43" s="81"/>
      <c r="Q43" s="46"/>
      <c r="R43" s="38"/>
    </row>
    <row r="44" spans="1:23" ht="12.75" customHeight="1" x14ac:dyDescent="0.2">
      <c r="A44" s="181"/>
      <c r="B44" s="67" t="s">
        <v>64</v>
      </c>
      <c r="C44" s="124"/>
      <c r="D44" s="124"/>
      <c r="E44" s="124"/>
      <c r="F44" s="124"/>
      <c r="G44" s="124"/>
      <c r="H44" s="124"/>
      <c r="I44" s="124"/>
      <c r="J44" s="124"/>
      <c r="K44" s="124"/>
      <c r="L44" s="124"/>
      <c r="M44" s="124"/>
      <c r="N44" s="124"/>
      <c r="O44" s="124"/>
      <c r="P44" s="125"/>
      <c r="Q44" s="46"/>
      <c r="R44" s="38"/>
      <c r="U44" s="22"/>
    </row>
    <row r="45" spans="1:23" ht="12.75" customHeight="1" x14ac:dyDescent="0.2">
      <c r="A45" s="181"/>
      <c r="B45" s="60" t="s">
        <v>28</v>
      </c>
      <c r="C45" s="90">
        <f ca="1">_xlfn.LET(
_xlpm.recurring,SUMIFS(INDEX(recurring_master!$A:$AF,,MATCH($B45,recurring_master!$A$1:$AF$1,0)),recurring_master!$A:$A,"&lt;="&amp;EOMONTH(C$4,0),recurring_master!$A:$A,"&gt;="&amp;C$4),
_xlpm.planned,SUMIFS(#REF!,#REF!,$B45,#REF!,"&gt;="&amp;C$4,#REF!,"&lt;="&amp;EOMONTH(C$4,0)),
IFERROR(_xlpm.recurring,0)+IFERROR(_xlpm.planned,0))</f>
        <v>40</v>
      </c>
      <c r="D45" s="90">
        <f ca="1">_xlfn.LET(
_xlpm.recurring,SUMIFS(INDEX(recurring_master!$A:$AF,,MATCH($B45,recurring_master!$A$1:$AF$1,0)),recurring_master!$A:$A,"&lt;="&amp;EOMONTH(D$4,0),recurring_master!$A:$A,"&gt;="&amp;D$4),
_xlpm.planned,SUMIFS(#REF!,#REF!,$B45,#REF!,"&gt;="&amp;D$4,#REF!,"&lt;="&amp;EOMONTH(D$4,0)),
IFERROR(_xlpm.recurring,0)+IFERROR(_xlpm.planned,0))</f>
        <v>2040</v>
      </c>
      <c r="E45" s="90">
        <f ca="1">_xlfn.LET(
_xlpm.recurring,SUMIFS(INDEX(recurring_master!$A:$AF,,MATCH($B45,recurring_master!$A$1:$AF$1,0)),recurring_master!$A:$A,"&lt;="&amp;EOMONTH(E$4,0),recurring_master!$A:$A,"&gt;="&amp;E$4),
_xlpm.planned,SUMIFS(#REF!,#REF!,$B45,#REF!,"&gt;="&amp;E$4,#REF!,"&lt;="&amp;EOMONTH(E$4,0)),
IFERROR(_xlpm.recurring,0)+IFERROR(_xlpm.planned,0))</f>
        <v>2040</v>
      </c>
      <c r="F45" s="90">
        <f ca="1">_xlfn.LET(
_xlpm.recurring,SUMIFS(INDEX(recurring_master!$A:$AF,,MATCH($B45,recurring_master!$A$1:$AF$1,0)),recurring_master!$A:$A,"&lt;="&amp;EOMONTH(F$4,0),recurring_master!$A:$A,"&gt;="&amp;F$4),
_xlpm.planned,SUMIFS(#REF!,#REF!,$B45,#REF!,"&gt;="&amp;F$4,#REF!,"&lt;="&amp;EOMONTH(F$4,0)),
IFERROR(_xlpm.recurring,0)+IFERROR(_xlpm.planned,0))</f>
        <v>2040</v>
      </c>
      <c r="G45" s="90">
        <f ca="1">_xlfn.LET(
_xlpm.recurring,SUMIFS(INDEX(recurring_master!$A:$AF,,MATCH($B45,recurring_master!$A$1:$AF$1,0)),recurring_master!$A:$A,"&lt;="&amp;EOMONTH(G$4,0),recurring_master!$A:$A,"&gt;="&amp;G$4),
_xlpm.planned,SUMIFS(#REF!,#REF!,$B45,#REF!,"&gt;="&amp;G$4,#REF!,"&lt;="&amp;EOMONTH(G$4,0)),
IFERROR(_xlpm.recurring,0)+IFERROR(_xlpm.planned,0))</f>
        <v>2040</v>
      </c>
      <c r="H45" s="90">
        <f ca="1">_xlfn.LET(
_xlpm.recurring,SUMIFS(INDEX(recurring_master!$A:$AF,,MATCH($B45,recurring_master!$A$1:$AF$1,0)),recurring_master!$A:$A,"&lt;="&amp;EOMONTH(H$4,0),recurring_master!$A:$A,"&gt;="&amp;H$4),
_xlpm.planned,SUMIFS(#REF!,#REF!,$B45,#REF!,"&gt;="&amp;H$4,#REF!,"&lt;="&amp;EOMONTH(H$4,0)),
IFERROR(_xlpm.recurring,0)+IFERROR(_xlpm.planned,0))</f>
        <v>2040</v>
      </c>
      <c r="I45" s="90">
        <f ca="1">_xlfn.LET(
_xlpm.recurring,SUMIFS(INDEX(recurring_master!$A:$AF,,MATCH($B45,recurring_master!$A$1:$AF$1,0)),recurring_master!$A:$A,"&lt;="&amp;EOMONTH(I$4,0),recurring_master!$A:$A,"&gt;="&amp;I$4),
_xlpm.planned,SUMIFS(#REF!,#REF!,$B45,#REF!,"&gt;="&amp;I$4,#REF!,"&lt;="&amp;EOMONTH(I$4,0)),
IFERROR(_xlpm.recurring,0)+IFERROR(_xlpm.planned,0))</f>
        <v>2040</v>
      </c>
      <c r="J45" s="90">
        <f ca="1">_xlfn.LET(
_xlpm.recurring,SUMIFS(INDEX(recurring_master!$A:$AF,,MATCH($B45,recurring_master!$A$1:$AF$1,0)),recurring_master!$A:$A,"&lt;="&amp;EOMONTH(J$4,0),recurring_master!$A:$A,"&gt;="&amp;J$4),
_xlpm.planned,SUMIFS(#REF!,#REF!,$B45,#REF!,"&gt;="&amp;J$4,#REF!,"&lt;="&amp;EOMONTH(J$4,0)),
IFERROR(_xlpm.recurring,0)+IFERROR(_xlpm.planned,0))</f>
        <v>2040</v>
      </c>
      <c r="K45" s="90">
        <f ca="1">_xlfn.LET(
_xlpm.recurring,SUMIFS(INDEX(recurring_master!$A:$AF,,MATCH($B45,recurring_master!$A$1:$AF$1,0)),recurring_master!$A:$A,"&lt;="&amp;EOMONTH(K$4,0),recurring_master!$A:$A,"&gt;="&amp;K$4),
_xlpm.planned,SUMIFS(#REF!,#REF!,$B45,#REF!,"&gt;="&amp;K$4,#REF!,"&lt;="&amp;EOMONTH(K$4,0)),
IFERROR(_xlpm.recurring,0)+IFERROR(_xlpm.planned,0))</f>
        <v>2040</v>
      </c>
      <c r="L45" s="90">
        <f ca="1">_xlfn.LET(
_xlpm.recurring,SUMIFS(INDEX(recurring_master!$A:$AF,,MATCH($B45,recurring_master!$A$1:$AF$1,0)),recurring_master!$A:$A,"&lt;="&amp;EOMONTH(L$4,0),recurring_master!$A:$A,"&gt;="&amp;L$4),
_xlpm.planned,SUMIFS(#REF!,#REF!,$B45,#REF!,"&gt;="&amp;L$4,#REF!,"&lt;="&amp;EOMONTH(L$4,0)),
IFERROR(_xlpm.recurring,0)+IFERROR(_xlpm.planned,0))</f>
        <v>2040</v>
      </c>
      <c r="M45" s="90">
        <f ca="1">_xlfn.LET(
_xlpm.recurring,SUMIFS(INDEX(recurring_master!$A:$AF,,MATCH($B45,recurring_master!$A$1:$AF$1,0)),recurring_master!$A:$A,"&lt;="&amp;EOMONTH(M$4,0),recurring_master!$A:$A,"&gt;="&amp;M$4),
_xlpm.planned,SUMIFS(#REF!,#REF!,$B45,#REF!,"&gt;="&amp;M$4,#REF!,"&lt;="&amp;EOMONTH(M$4,0)),
IFERROR(_xlpm.recurring,0)+IFERROR(_xlpm.planned,0))</f>
        <v>2040</v>
      </c>
      <c r="N45" s="90">
        <f ca="1">_xlfn.LET(
_xlpm.recurring,SUMIFS(INDEX(recurring_master!$A:$AF,,MATCH($B45,recurring_master!$A$1:$AF$1,0)),recurring_master!$A:$A,"&lt;="&amp;EOMONTH(N$4,0),recurring_master!$A:$A,"&gt;="&amp;N$4),
_xlpm.planned,SUMIFS(#REF!,#REF!,$B45,#REF!,"&gt;="&amp;N$4,#REF!,"&lt;="&amp;EOMONTH(N$4,0)),
IFERROR(_xlpm.recurring,0)+IFERROR(_xlpm.planned,0))</f>
        <v>2040</v>
      </c>
      <c r="O45" s="81"/>
      <c r="P45" s="91">
        <f t="shared" ref="P45:P50" ca="1" si="13">SUM(C45:N45)</f>
        <v>22480</v>
      </c>
      <c r="Q45" s="46"/>
      <c r="R45" s="38"/>
      <c r="U45" s="22"/>
    </row>
    <row r="46" spans="1:23" ht="12.75" customHeight="1" x14ac:dyDescent="0.2">
      <c r="A46" s="181"/>
      <c r="B46" s="60" t="s">
        <v>17</v>
      </c>
      <c r="C46" s="90">
        <f ca="1">_xlfn.LET(
_xlpm.recurring,SUMIFS(INDEX(recurring_master!$A:$AF,,MATCH($B46,recurring_master!$A$1:$AF$1,0)),recurring_master!$A:$A,"&lt;="&amp;EOMONTH(C$4,0),recurring_master!$A:$A,"&gt;="&amp;C$4),
_xlpm.planned,SUMIFS(#REF!,#REF!,$B46,#REF!,"&gt;="&amp;C$4,#REF!,"&lt;="&amp;EOMONTH(C$4,0)),
IFERROR(_xlpm.recurring,0)+IFERROR(_xlpm.planned,0))</f>
        <v>50</v>
      </c>
      <c r="D46" s="90">
        <f ca="1">_xlfn.LET(
_xlpm.recurring,SUMIFS(INDEX(recurring_master!$A:$AF,,MATCH($B46,recurring_master!$A$1:$AF$1,0)),recurring_master!$A:$A,"&lt;="&amp;EOMONTH(D$4,0),recurring_master!$A:$A,"&gt;="&amp;D$4),
_xlpm.planned,SUMIFS(#REF!,#REF!,$B46,#REF!,"&gt;="&amp;D$4,#REF!,"&lt;="&amp;EOMONTH(D$4,0)),
IFERROR(_xlpm.recurring,0)+IFERROR(_xlpm.planned,0))</f>
        <v>200</v>
      </c>
      <c r="E46" s="90">
        <f ca="1">_xlfn.LET(
_xlpm.recurring,SUMIFS(INDEX(recurring_master!$A:$AF,,MATCH($B46,recurring_master!$A$1:$AF$1,0)),recurring_master!$A:$A,"&lt;="&amp;EOMONTH(E$4,0),recurring_master!$A:$A,"&gt;="&amp;E$4),
_xlpm.planned,SUMIFS(#REF!,#REF!,$B46,#REF!,"&gt;="&amp;E$4,#REF!,"&lt;="&amp;EOMONTH(E$4,0)),
IFERROR(_xlpm.recurring,0)+IFERROR(_xlpm.planned,0))</f>
        <v>200</v>
      </c>
      <c r="F46" s="90">
        <f ca="1">_xlfn.LET(
_xlpm.recurring,SUMIFS(INDEX(recurring_master!$A:$AF,,MATCH($B46,recurring_master!$A$1:$AF$1,0)),recurring_master!$A:$A,"&lt;="&amp;EOMONTH(F$4,0),recurring_master!$A:$A,"&gt;="&amp;F$4),
_xlpm.planned,SUMIFS(#REF!,#REF!,$B46,#REF!,"&gt;="&amp;F$4,#REF!,"&lt;="&amp;EOMONTH(F$4,0)),
IFERROR(_xlpm.recurring,0)+IFERROR(_xlpm.planned,0))</f>
        <v>750</v>
      </c>
      <c r="G46" s="90">
        <f ca="1">_xlfn.LET(
_xlpm.recurring,SUMIFS(INDEX(recurring_master!$A:$AF,,MATCH($B46,recurring_master!$A$1:$AF$1,0)),recurring_master!$A:$A,"&lt;="&amp;EOMONTH(G$4,0),recurring_master!$A:$A,"&gt;="&amp;G$4),
_xlpm.planned,SUMIFS(#REF!,#REF!,$B46,#REF!,"&gt;="&amp;G$4,#REF!,"&lt;="&amp;EOMONTH(G$4,0)),
IFERROR(_xlpm.recurring,0)+IFERROR(_xlpm.planned,0))</f>
        <v>200</v>
      </c>
      <c r="H46" s="90">
        <f ca="1">_xlfn.LET(
_xlpm.recurring,SUMIFS(INDEX(recurring_master!$A:$AF,,MATCH($B46,recurring_master!$A$1:$AF$1,0)),recurring_master!$A:$A,"&lt;="&amp;EOMONTH(H$4,0),recurring_master!$A:$A,"&gt;="&amp;H$4),
_xlpm.planned,SUMIFS(#REF!,#REF!,$B46,#REF!,"&gt;="&amp;H$4,#REF!,"&lt;="&amp;EOMONTH(H$4,0)),
IFERROR(_xlpm.recurring,0)+IFERROR(_xlpm.planned,0))</f>
        <v>250</v>
      </c>
      <c r="I46" s="90">
        <f ca="1">_xlfn.LET(
_xlpm.recurring,SUMIFS(INDEX(recurring_master!$A:$AF,,MATCH($B46,recurring_master!$A$1:$AF$1,0)),recurring_master!$A:$A,"&lt;="&amp;EOMONTH(I$4,0),recurring_master!$A:$A,"&gt;="&amp;I$4),
_xlpm.planned,SUMIFS(#REF!,#REF!,$B46,#REF!,"&gt;="&amp;I$4,#REF!,"&lt;="&amp;EOMONTH(I$4,0)),
IFERROR(_xlpm.recurring,0)+IFERROR(_xlpm.planned,0))</f>
        <v>200</v>
      </c>
      <c r="J46" s="90">
        <f ca="1">_xlfn.LET(
_xlpm.recurring,SUMIFS(INDEX(recurring_master!$A:$AF,,MATCH($B46,recurring_master!$A$1:$AF$1,0)),recurring_master!$A:$A,"&lt;="&amp;EOMONTH(J$4,0),recurring_master!$A:$A,"&gt;="&amp;J$4),
_xlpm.planned,SUMIFS(#REF!,#REF!,$B46,#REF!,"&gt;="&amp;J$4,#REF!,"&lt;="&amp;EOMONTH(J$4,0)),
IFERROR(_xlpm.recurring,0)+IFERROR(_xlpm.planned,0))</f>
        <v>200</v>
      </c>
      <c r="K46" s="90">
        <f ca="1">_xlfn.LET(
_xlpm.recurring,SUMIFS(INDEX(recurring_master!$A:$AF,,MATCH($B46,recurring_master!$A$1:$AF$1,0)),recurring_master!$A:$A,"&lt;="&amp;EOMONTH(K$4,0),recurring_master!$A:$A,"&gt;="&amp;K$4),
_xlpm.planned,SUMIFS(#REF!,#REF!,$B46,#REF!,"&gt;="&amp;K$4,#REF!,"&lt;="&amp;EOMONTH(K$4,0)),
IFERROR(_xlpm.recurring,0)+IFERROR(_xlpm.planned,0))</f>
        <v>250</v>
      </c>
      <c r="L46" s="90">
        <f ca="1">_xlfn.LET(
_xlpm.recurring,SUMIFS(INDEX(recurring_master!$A:$AF,,MATCH($B46,recurring_master!$A$1:$AF$1,0)),recurring_master!$A:$A,"&lt;="&amp;EOMONTH(L$4,0),recurring_master!$A:$A,"&gt;="&amp;L$4),
_xlpm.planned,SUMIFS(#REF!,#REF!,$B46,#REF!,"&gt;="&amp;L$4,#REF!,"&lt;="&amp;EOMONTH(L$4,0)),
IFERROR(_xlpm.recurring,0)+IFERROR(_xlpm.planned,0))</f>
        <v>700</v>
      </c>
      <c r="M46" s="90">
        <f ca="1">_xlfn.LET(
_xlpm.recurring,SUMIFS(INDEX(recurring_master!$A:$AF,,MATCH($B46,recurring_master!$A$1:$AF$1,0)),recurring_master!$A:$A,"&lt;="&amp;EOMONTH(M$4,0),recurring_master!$A:$A,"&gt;="&amp;M$4),
_xlpm.planned,SUMIFS(#REF!,#REF!,$B46,#REF!,"&gt;="&amp;M$4,#REF!,"&lt;="&amp;EOMONTH(M$4,0)),
IFERROR(_xlpm.recurring,0)+IFERROR(_xlpm.planned,0))</f>
        <v>200</v>
      </c>
      <c r="N46" s="90">
        <f ca="1">_xlfn.LET(
_xlpm.recurring,SUMIFS(INDEX(recurring_master!$A:$AF,,MATCH($B46,recurring_master!$A$1:$AF$1,0)),recurring_master!$A:$A,"&lt;="&amp;EOMONTH(N$4,0),recurring_master!$A:$A,"&gt;="&amp;N$4),
_xlpm.planned,SUMIFS(#REF!,#REF!,$B46,#REF!,"&gt;="&amp;N$4,#REF!,"&lt;="&amp;EOMONTH(N$4,0)),
IFERROR(_xlpm.recurring,0)+IFERROR(_xlpm.planned,0))</f>
        <v>200</v>
      </c>
      <c r="O46" s="81"/>
      <c r="P46" s="91">
        <f t="shared" ca="1" si="13"/>
        <v>3400</v>
      </c>
      <c r="Q46" s="47"/>
      <c r="R46" s="38"/>
      <c r="U46" s="22"/>
    </row>
    <row r="47" spans="1:23" ht="12.75" customHeight="1" x14ac:dyDescent="0.2">
      <c r="A47" s="181"/>
      <c r="B47" s="68" t="s">
        <v>167</v>
      </c>
      <c r="C47" s="90">
        <f ca="1">_xlfn.LET(
_xlpm.recurring,SUMIFS(INDEX(recurring_master!$A:$AF,,MATCH($B47,recurring_master!$A$1:$AF$1,0)),recurring_master!$A:$A,"&lt;="&amp;EOMONTH(C$4,0),recurring_master!$A:$A,"&gt;="&amp;C$4),
_xlpm.planned,SUMIFS(#REF!,#REF!,$B47,#REF!,"&gt;="&amp;C$4,#REF!,"&lt;="&amp;EOMONTH(C$4,0)),
IFERROR(_xlpm.recurring,0)+IFERROR(_xlpm.planned,0))</f>
        <v>50</v>
      </c>
      <c r="D47" s="90">
        <f ca="1">_xlfn.LET(
_xlpm.recurring,SUMIFS(INDEX(recurring_master!$A:$AF,,MATCH($B47,recurring_master!$A$1:$AF$1,0)),recurring_master!$A:$A,"&lt;="&amp;EOMONTH(D$4,0),recurring_master!$A:$A,"&gt;="&amp;D$4),
_xlpm.planned,SUMIFS(#REF!,#REF!,$B47,#REF!,"&gt;="&amp;D$4,#REF!,"&lt;="&amp;EOMONTH(D$4,0)),
IFERROR(_xlpm.recurring,0)+IFERROR(_xlpm.planned,0))</f>
        <v>0</v>
      </c>
      <c r="E47" s="90">
        <f ca="1">_xlfn.LET(
_xlpm.recurring,SUMIFS(INDEX(recurring_master!$A:$AF,,MATCH($B47,recurring_master!$A$1:$AF$1,0)),recurring_master!$A:$A,"&lt;="&amp;EOMONTH(E$4,0),recurring_master!$A:$A,"&gt;="&amp;E$4),
_xlpm.planned,SUMIFS(#REF!,#REF!,$B47,#REF!,"&gt;="&amp;E$4,#REF!,"&lt;="&amp;EOMONTH(E$4,0)),
IFERROR(_xlpm.recurring,0)+IFERROR(_xlpm.planned,0))</f>
        <v>0</v>
      </c>
      <c r="F47" s="90">
        <f ca="1">_xlfn.LET(
_xlpm.recurring,SUMIFS(INDEX(recurring_master!$A:$AF,,MATCH($B47,recurring_master!$A$1:$AF$1,0)),recurring_master!$A:$A,"&lt;="&amp;EOMONTH(F$4,0),recurring_master!$A:$A,"&gt;="&amp;F$4),
_xlpm.planned,SUMIFS(#REF!,#REF!,$B47,#REF!,"&gt;="&amp;F$4,#REF!,"&lt;="&amp;EOMONTH(F$4,0)),
IFERROR(_xlpm.recurring,0)+IFERROR(_xlpm.planned,0))</f>
        <v>50</v>
      </c>
      <c r="G47" s="90">
        <f ca="1">_xlfn.LET(
_xlpm.recurring,SUMIFS(INDEX(recurring_master!$A:$AF,,MATCH($B47,recurring_master!$A$1:$AF$1,0)),recurring_master!$A:$A,"&lt;="&amp;EOMONTH(G$4,0),recurring_master!$A:$A,"&gt;="&amp;G$4),
_xlpm.planned,SUMIFS(#REF!,#REF!,$B47,#REF!,"&gt;="&amp;G$4,#REF!,"&lt;="&amp;EOMONTH(G$4,0)),
IFERROR(_xlpm.recurring,0)+IFERROR(_xlpm.planned,0))</f>
        <v>0</v>
      </c>
      <c r="H47" s="90">
        <f ca="1">_xlfn.LET(
_xlpm.recurring,SUMIFS(INDEX(recurring_master!$A:$AF,,MATCH($B47,recurring_master!$A$1:$AF$1,0)),recurring_master!$A:$A,"&lt;="&amp;EOMONTH(H$4,0),recurring_master!$A:$A,"&gt;="&amp;H$4),
_xlpm.planned,SUMIFS(#REF!,#REF!,$B47,#REF!,"&gt;="&amp;H$4,#REF!,"&lt;="&amp;EOMONTH(H$4,0)),
IFERROR(_xlpm.recurring,0)+IFERROR(_xlpm.planned,0))</f>
        <v>0</v>
      </c>
      <c r="I47" s="90">
        <f ca="1">_xlfn.LET(
_xlpm.recurring,SUMIFS(INDEX(recurring_master!$A:$AF,,MATCH($B47,recurring_master!$A$1:$AF$1,0)),recurring_master!$A:$A,"&lt;="&amp;EOMONTH(I$4,0),recurring_master!$A:$A,"&gt;="&amp;I$4),
_xlpm.planned,SUMIFS(#REF!,#REF!,$B47,#REF!,"&gt;="&amp;I$4,#REF!,"&lt;="&amp;EOMONTH(I$4,0)),
IFERROR(_xlpm.recurring,0)+IFERROR(_xlpm.planned,0))</f>
        <v>50</v>
      </c>
      <c r="J47" s="90">
        <f ca="1">_xlfn.LET(
_xlpm.recurring,SUMIFS(INDEX(recurring_master!$A:$AF,,MATCH($B47,recurring_master!$A$1:$AF$1,0)),recurring_master!$A:$A,"&lt;="&amp;EOMONTH(J$4,0),recurring_master!$A:$A,"&gt;="&amp;J$4),
_xlpm.planned,SUMIFS(#REF!,#REF!,$B47,#REF!,"&gt;="&amp;J$4,#REF!,"&lt;="&amp;EOMONTH(J$4,0)),
IFERROR(_xlpm.recurring,0)+IFERROR(_xlpm.planned,0))</f>
        <v>0</v>
      </c>
      <c r="K47" s="90">
        <f ca="1">_xlfn.LET(
_xlpm.recurring,SUMIFS(INDEX(recurring_master!$A:$AF,,MATCH($B47,recurring_master!$A$1:$AF$1,0)),recurring_master!$A:$A,"&lt;="&amp;EOMONTH(K$4,0),recurring_master!$A:$A,"&gt;="&amp;K$4),
_xlpm.planned,SUMIFS(#REF!,#REF!,$B47,#REF!,"&gt;="&amp;K$4,#REF!,"&lt;="&amp;EOMONTH(K$4,0)),
IFERROR(_xlpm.recurring,0)+IFERROR(_xlpm.planned,0))</f>
        <v>0</v>
      </c>
      <c r="L47" s="90">
        <f ca="1">_xlfn.LET(
_xlpm.recurring,SUMIFS(INDEX(recurring_master!$A:$AF,,MATCH($B47,recurring_master!$A$1:$AF$1,0)),recurring_master!$A:$A,"&lt;="&amp;EOMONTH(L$4,0),recurring_master!$A:$A,"&gt;="&amp;L$4),
_xlpm.planned,SUMIFS(#REF!,#REF!,$B47,#REF!,"&gt;="&amp;L$4,#REF!,"&lt;="&amp;EOMONTH(L$4,0)),
IFERROR(_xlpm.recurring,0)+IFERROR(_xlpm.planned,0))</f>
        <v>50</v>
      </c>
      <c r="M47" s="90">
        <f ca="1">_xlfn.LET(
_xlpm.recurring,SUMIFS(INDEX(recurring_master!$A:$AF,,MATCH($B47,recurring_master!$A$1:$AF$1,0)),recurring_master!$A:$A,"&lt;="&amp;EOMONTH(M$4,0),recurring_master!$A:$A,"&gt;="&amp;M$4),
_xlpm.planned,SUMIFS(#REF!,#REF!,$B47,#REF!,"&gt;="&amp;M$4,#REF!,"&lt;="&amp;EOMONTH(M$4,0)),
IFERROR(_xlpm.recurring,0)+IFERROR(_xlpm.planned,0))</f>
        <v>0</v>
      </c>
      <c r="N47" s="90">
        <f ca="1">_xlfn.LET(
_xlpm.recurring,SUMIFS(INDEX(recurring_master!$A:$AF,,MATCH($B47,recurring_master!$A$1:$AF$1,0)),recurring_master!$A:$A,"&lt;="&amp;EOMONTH(N$4,0),recurring_master!$A:$A,"&gt;="&amp;N$4),
_xlpm.planned,SUMIFS(#REF!,#REF!,$B47,#REF!,"&gt;="&amp;N$4,#REF!,"&lt;="&amp;EOMONTH(N$4,0)),
IFERROR(_xlpm.recurring,0)+IFERROR(_xlpm.planned,0))</f>
        <v>0</v>
      </c>
      <c r="O47" s="81"/>
      <c r="P47" s="91">
        <f t="shared" ca="1" si="13"/>
        <v>200</v>
      </c>
      <c r="Q47" s="46"/>
      <c r="R47" s="38"/>
      <c r="U47" s="22"/>
    </row>
    <row r="48" spans="1:23" ht="12.75" customHeight="1" x14ac:dyDescent="0.2">
      <c r="A48" s="181"/>
      <c r="B48" s="60" t="s">
        <v>319</v>
      </c>
      <c r="C48" s="90">
        <f ca="1">_xlfn.LET(
_xlpm.recurring,SUMIFS(INDEX(recurring_master!$A:$AF,,MATCH($B48,recurring_master!$A$1:$AF$1,0)),recurring_master!$A:$A,"&lt;="&amp;EOMONTH(C$4,0),recurring_master!$A:$A,"&gt;="&amp;C$4),
_xlpm.planned,SUMIFS(#REF!,#REF!,$B48,#REF!,"&gt;="&amp;C$4,#REF!,"&lt;="&amp;EOMONTH(C$4,0)),
IFERROR(_xlpm.recurring,0)+IFERROR(_xlpm.planned,0))</f>
        <v>0</v>
      </c>
      <c r="D48" s="90">
        <f ca="1">_xlfn.LET(
_xlpm.recurring,SUMIFS(INDEX(recurring_master!$A:$AF,,MATCH($B48,recurring_master!$A$1:$AF$1,0)),recurring_master!$A:$A,"&lt;="&amp;EOMONTH(D$4,0),recurring_master!$A:$A,"&gt;="&amp;D$4),
_xlpm.planned,SUMIFS(#REF!,#REF!,$B48,#REF!,"&gt;="&amp;D$4,#REF!,"&lt;="&amp;EOMONTH(D$4,0)),
IFERROR(_xlpm.recurring,0)+IFERROR(_xlpm.planned,0))</f>
        <v>100</v>
      </c>
      <c r="E48" s="90">
        <f ca="1">_xlfn.LET(
_xlpm.recurring,SUMIFS(INDEX(recurring_master!$A:$AF,,MATCH($B48,recurring_master!$A$1:$AF$1,0)),recurring_master!$A:$A,"&lt;="&amp;EOMONTH(E$4,0),recurring_master!$A:$A,"&gt;="&amp;E$4),
_xlpm.planned,SUMIFS(#REF!,#REF!,$B48,#REF!,"&gt;="&amp;E$4,#REF!,"&lt;="&amp;EOMONTH(E$4,0)),
IFERROR(_xlpm.recurring,0)+IFERROR(_xlpm.planned,0))</f>
        <v>50</v>
      </c>
      <c r="F48" s="90">
        <f ca="1">_xlfn.LET(
_xlpm.recurring,SUMIFS(INDEX(recurring_master!$A:$AF,,MATCH($B48,recurring_master!$A$1:$AF$1,0)),recurring_master!$A:$A,"&lt;="&amp;EOMONTH(F$4,0),recurring_master!$A:$A,"&gt;="&amp;F$4),
_xlpm.planned,SUMIFS(#REF!,#REF!,$B48,#REF!,"&gt;="&amp;F$4,#REF!,"&lt;="&amp;EOMONTH(F$4,0)),
IFERROR(_xlpm.recurring,0)+IFERROR(_xlpm.planned,0))</f>
        <v>100</v>
      </c>
      <c r="G48" s="90">
        <f ca="1">_xlfn.LET(
_xlpm.recurring,SUMIFS(INDEX(recurring_master!$A:$AF,,MATCH($B48,recurring_master!$A$1:$AF$1,0)),recurring_master!$A:$A,"&lt;="&amp;EOMONTH(G$4,0),recurring_master!$A:$A,"&gt;="&amp;G$4),
_xlpm.planned,SUMIFS(#REF!,#REF!,$B48,#REF!,"&gt;="&amp;G$4,#REF!,"&lt;="&amp;EOMONTH(G$4,0)),
IFERROR(_xlpm.recurring,0)+IFERROR(_xlpm.planned,0))</f>
        <v>50</v>
      </c>
      <c r="H48" s="90">
        <f ca="1">_xlfn.LET(
_xlpm.recurring,SUMIFS(INDEX(recurring_master!$A:$AF,,MATCH($B48,recurring_master!$A$1:$AF$1,0)),recurring_master!$A:$A,"&lt;="&amp;EOMONTH(H$4,0),recurring_master!$A:$A,"&gt;="&amp;H$4),
_xlpm.planned,SUMIFS(#REF!,#REF!,$B48,#REF!,"&gt;="&amp;H$4,#REF!,"&lt;="&amp;EOMONTH(H$4,0)),
IFERROR(_xlpm.recurring,0)+IFERROR(_xlpm.planned,0))</f>
        <v>50</v>
      </c>
      <c r="I48" s="90">
        <f ca="1">_xlfn.LET(
_xlpm.recurring,SUMIFS(INDEX(recurring_master!$A:$AF,,MATCH($B48,recurring_master!$A$1:$AF$1,0)),recurring_master!$A:$A,"&lt;="&amp;EOMONTH(I$4,0),recurring_master!$A:$A,"&gt;="&amp;I$4),
_xlpm.planned,SUMIFS(#REF!,#REF!,$B48,#REF!,"&gt;="&amp;I$4,#REF!,"&lt;="&amp;EOMONTH(I$4,0)),
IFERROR(_xlpm.recurring,0)+IFERROR(_xlpm.planned,0))</f>
        <v>100</v>
      </c>
      <c r="J48" s="90">
        <f ca="1">_xlfn.LET(
_xlpm.recurring,SUMIFS(INDEX(recurring_master!$A:$AF,,MATCH($B48,recurring_master!$A$1:$AF$1,0)),recurring_master!$A:$A,"&lt;="&amp;EOMONTH(J$4,0),recurring_master!$A:$A,"&gt;="&amp;J$4),
_xlpm.planned,SUMIFS(#REF!,#REF!,$B48,#REF!,"&gt;="&amp;J$4,#REF!,"&lt;="&amp;EOMONTH(J$4,0)),
IFERROR(_xlpm.recurring,0)+IFERROR(_xlpm.planned,0))</f>
        <v>50</v>
      </c>
      <c r="K48" s="90">
        <f ca="1">_xlfn.LET(
_xlpm.recurring,SUMIFS(INDEX(recurring_master!$A:$AF,,MATCH($B48,recurring_master!$A$1:$AF$1,0)),recurring_master!$A:$A,"&lt;="&amp;EOMONTH(K$4,0),recurring_master!$A:$A,"&gt;="&amp;K$4),
_xlpm.planned,SUMIFS(#REF!,#REF!,$B48,#REF!,"&gt;="&amp;K$4,#REF!,"&lt;="&amp;EOMONTH(K$4,0)),
IFERROR(_xlpm.recurring,0)+IFERROR(_xlpm.planned,0))</f>
        <v>100</v>
      </c>
      <c r="L48" s="90">
        <f ca="1">_xlfn.LET(
_xlpm.recurring,SUMIFS(INDEX(recurring_master!$A:$AF,,MATCH($B48,recurring_master!$A$1:$AF$1,0)),recurring_master!$A:$A,"&lt;="&amp;EOMONTH(L$4,0),recurring_master!$A:$A,"&gt;="&amp;L$4),
_xlpm.planned,SUMIFS(#REF!,#REF!,$B48,#REF!,"&gt;="&amp;L$4,#REF!,"&lt;="&amp;EOMONTH(L$4,0)),
IFERROR(_xlpm.recurring,0)+IFERROR(_xlpm.planned,0))</f>
        <v>50</v>
      </c>
      <c r="M48" s="90">
        <f ca="1">_xlfn.LET(
_xlpm.recurring,SUMIFS(INDEX(recurring_master!$A:$AF,,MATCH($B48,recurring_master!$A$1:$AF$1,0)),recurring_master!$A:$A,"&lt;="&amp;EOMONTH(M$4,0),recurring_master!$A:$A,"&gt;="&amp;M$4),
_xlpm.planned,SUMIFS(#REF!,#REF!,$B48,#REF!,"&gt;="&amp;M$4,#REF!,"&lt;="&amp;EOMONTH(M$4,0)),
IFERROR(_xlpm.recurring,0)+IFERROR(_xlpm.planned,0))</f>
        <v>100</v>
      </c>
      <c r="N48" s="90">
        <f ca="1">_xlfn.LET(
_xlpm.recurring,SUMIFS(INDEX(recurring_master!$A:$AF,,MATCH($B48,recurring_master!$A$1:$AF$1,0)),recurring_master!$A:$A,"&lt;="&amp;EOMONTH(N$4,0),recurring_master!$A:$A,"&gt;="&amp;N$4),
_xlpm.planned,SUMIFS(#REF!,#REF!,$B48,#REF!,"&gt;="&amp;N$4,#REF!,"&lt;="&amp;EOMONTH(N$4,0)),
IFERROR(_xlpm.recurring,0)+IFERROR(_xlpm.planned,0))</f>
        <v>50</v>
      </c>
      <c r="O48" s="81"/>
      <c r="P48" s="91">
        <f t="shared" ca="1" si="13"/>
        <v>800</v>
      </c>
      <c r="Q48" s="46"/>
      <c r="R48" s="38"/>
      <c r="U48" s="22"/>
    </row>
    <row r="49" spans="1:23" ht="12.75" customHeight="1" x14ac:dyDescent="0.2">
      <c r="A49" s="181"/>
      <c r="B49" s="126" t="s">
        <v>132</v>
      </c>
      <c r="C49" s="90">
        <f ca="1">_xlfn.LET(
_xlpm.recurring,SUMIFS(INDEX(recurring_master!$A:$AF,,MATCH($B49,recurring_master!$A$1:$AF$1,0)),recurring_master!$A:$A,"&lt;="&amp;EOMONTH(C$4,0),recurring_master!$A:$A,"&gt;="&amp;C$4),
_xlpm.planned,SUMIFS(#REF!,#REF!,$B49,#REF!,"&gt;="&amp;C$4,#REF!,"&lt;="&amp;EOMONTH(C$4,0)),
IFERROR(_xlpm.recurring,0)+IFERROR(_xlpm.planned,0))</f>
        <v>0</v>
      </c>
      <c r="D49" s="90">
        <f ca="1">_xlfn.LET(
_xlpm.recurring,SUMIFS(INDEX(recurring_master!$A:$AF,,MATCH($B49,recurring_master!$A$1:$AF$1,0)),recurring_master!$A:$A,"&lt;="&amp;EOMONTH(D$4,0),recurring_master!$A:$A,"&gt;="&amp;D$4),
_xlpm.planned,SUMIFS(#REF!,#REF!,$B49,#REF!,"&gt;="&amp;D$4,#REF!,"&lt;="&amp;EOMONTH(D$4,0)),
IFERROR(_xlpm.recurring,0)+IFERROR(_xlpm.planned,0))</f>
        <v>0</v>
      </c>
      <c r="E49" s="90">
        <f ca="1">_xlfn.LET(
_xlpm.recurring,SUMIFS(INDEX(recurring_master!$A:$AF,,MATCH($B49,recurring_master!$A$1:$AF$1,0)),recurring_master!$A:$A,"&lt;="&amp;EOMONTH(E$4,0),recurring_master!$A:$A,"&gt;="&amp;E$4),
_xlpm.planned,SUMIFS(#REF!,#REF!,$B49,#REF!,"&gt;="&amp;E$4,#REF!,"&lt;="&amp;EOMONTH(E$4,0)),
IFERROR(_xlpm.recurring,0)+IFERROR(_xlpm.planned,0))</f>
        <v>0</v>
      </c>
      <c r="F49" s="90">
        <f ca="1">_xlfn.LET(
_xlpm.recurring,SUMIFS(INDEX(recurring_master!$A:$AF,,MATCH($B49,recurring_master!$A$1:$AF$1,0)),recurring_master!$A:$A,"&lt;="&amp;EOMONTH(F$4,0),recurring_master!$A:$A,"&gt;="&amp;F$4),
_xlpm.planned,SUMIFS(#REF!,#REF!,$B49,#REF!,"&gt;="&amp;F$4,#REF!,"&lt;="&amp;EOMONTH(F$4,0)),
IFERROR(_xlpm.recurring,0)+IFERROR(_xlpm.planned,0))</f>
        <v>0</v>
      </c>
      <c r="G49" s="90">
        <f ca="1">_xlfn.LET(
_xlpm.recurring,SUMIFS(INDEX(recurring_master!$A:$AF,,MATCH($B49,recurring_master!$A$1:$AF$1,0)),recurring_master!$A:$A,"&lt;="&amp;EOMONTH(G$4,0),recurring_master!$A:$A,"&gt;="&amp;G$4),
_xlpm.planned,SUMIFS(#REF!,#REF!,$B49,#REF!,"&gt;="&amp;G$4,#REF!,"&lt;="&amp;EOMONTH(G$4,0)),
IFERROR(_xlpm.recurring,0)+IFERROR(_xlpm.planned,0))</f>
        <v>0</v>
      </c>
      <c r="H49" s="90">
        <f ca="1">_xlfn.LET(
_xlpm.recurring,SUMIFS(INDEX(recurring_master!$A:$AF,,MATCH($B49,recurring_master!$A$1:$AF$1,0)),recurring_master!$A:$A,"&lt;="&amp;EOMONTH(H$4,0),recurring_master!$A:$A,"&gt;="&amp;H$4),
_xlpm.planned,SUMIFS(#REF!,#REF!,$B49,#REF!,"&gt;="&amp;H$4,#REF!,"&lt;="&amp;EOMONTH(H$4,0)),
IFERROR(_xlpm.recurring,0)+IFERROR(_xlpm.planned,0))</f>
        <v>0</v>
      </c>
      <c r="I49" s="90">
        <f ca="1">_xlfn.LET(
_xlpm.recurring,SUMIFS(INDEX(recurring_master!$A:$AF,,MATCH($B49,recurring_master!$A$1:$AF$1,0)),recurring_master!$A:$A,"&lt;="&amp;EOMONTH(I$4,0),recurring_master!$A:$A,"&gt;="&amp;I$4),
_xlpm.planned,SUMIFS(#REF!,#REF!,$B49,#REF!,"&gt;="&amp;I$4,#REF!,"&lt;="&amp;EOMONTH(I$4,0)),
IFERROR(_xlpm.recurring,0)+IFERROR(_xlpm.planned,0))</f>
        <v>0</v>
      </c>
      <c r="J49" s="90">
        <f ca="1">_xlfn.LET(
_xlpm.recurring,SUMIFS(INDEX(recurring_master!$A:$AF,,MATCH($B49,recurring_master!$A$1:$AF$1,0)),recurring_master!$A:$A,"&lt;="&amp;EOMONTH(J$4,0),recurring_master!$A:$A,"&gt;="&amp;J$4),
_xlpm.planned,SUMIFS(#REF!,#REF!,$B49,#REF!,"&gt;="&amp;J$4,#REF!,"&lt;="&amp;EOMONTH(J$4,0)),
IFERROR(_xlpm.recurring,0)+IFERROR(_xlpm.planned,0))</f>
        <v>0</v>
      </c>
      <c r="K49" s="90">
        <f ca="1">_xlfn.LET(
_xlpm.recurring,SUMIFS(INDEX(recurring_master!$A:$AF,,MATCH($B49,recurring_master!$A$1:$AF$1,0)),recurring_master!$A:$A,"&lt;="&amp;EOMONTH(K$4,0),recurring_master!$A:$A,"&gt;="&amp;K$4),
_xlpm.planned,SUMIFS(#REF!,#REF!,$B49,#REF!,"&gt;="&amp;K$4,#REF!,"&lt;="&amp;EOMONTH(K$4,0)),
IFERROR(_xlpm.recurring,0)+IFERROR(_xlpm.planned,0))</f>
        <v>0</v>
      </c>
      <c r="L49" s="90">
        <f ca="1">_xlfn.LET(
_xlpm.recurring,SUMIFS(INDEX(recurring_master!$A:$AF,,MATCH($B49,recurring_master!$A$1:$AF$1,0)),recurring_master!$A:$A,"&lt;="&amp;EOMONTH(L$4,0),recurring_master!$A:$A,"&gt;="&amp;L$4),
_xlpm.planned,SUMIFS(#REF!,#REF!,$B49,#REF!,"&gt;="&amp;L$4,#REF!,"&lt;="&amp;EOMONTH(L$4,0)),
IFERROR(_xlpm.recurring,0)+IFERROR(_xlpm.planned,0))</f>
        <v>0</v>
      </c>
      <c r="M49" s="90">
        <f ca="1">_xlfn.LET(
_xlpm.recurring,SUMIFS(INDEX(recurring_master!$A:$AF,,MATCH($B49,recurring_master!$A$1:$AF$1,0)),recurring_master!$A:$A,"&lt;="&amp;EOMONTH(M$4,0),recurring_master!$A:$A,"&gt;="&amp;M$4),
_xlpm.planned,SUMIFS(#REF!,#REF!,$B49,#REF!,"&gt;="&amp;M$4,#REF!,"&lt;="&amp;EOMONTH(M$4,0)),
IFERROR(_xlpm.recurring,0)+IFERROR(_xlpm.planned,0))</f>
        <v>0</v>
      </c>
      <c r="N49" s="90">
        <f ca="1">_xlfn.LET(
_xlpm.recurring,SUMIFS(INDEX(recurring_master!$A:$AF,,MATCH($B49,recurring_master!$A$1:$AF$1,0)),recurring_master!$A:$A,"&lt;="&amp;EOMONTH(N$4,0),recurring_master!$A:$A,"&gt;="&amp;N$4),
_xlpm.planned,SUMIFS(#REF!,#REF!,$B49,#REF!,"&gt;="&amp;N$4,#REF!,"&lt;="&amp;EOMONTH(N$4,0)),
IFERROR(_xlpm.recurring,0)+IFERROR(_xlpm.planned,0))</f>
        <v>0</v>
      </c>
      <c r="O49" s="81"/>
      <c r="P49" s="91">
        <f t="shared" ca="1" si="13"/>
        <v>0</v>
      </c>
      <c r="Q49" s="46"/>
      <c r="R49" s="38" t="s">
        <v>366</v>
      </c>
      <c r="U49" s="22"/>
    </row>
    <row r="50" spans="1:23" ht="12.75" customHeight="1" x14ac:dyDescent="0.2">
      <c r="A50" s="181"/>
      <c r="B50" s="126" t="s">
        <v>332</v>
      </c>
      <c r="C50" s="90">
        <f ca="1">_xlfn.LET(
_xlpm.recurring,SUMIFS(INDEX(recurring_master!$A:$AF,,MATCH($B50,recurring_master!$A$1:$AF$1,0)),recurring_master!$A:$A,"&lt;="&amp;EOMONTH(C$4,0),recurring_master!$A:$A,"&gt;="&amp;C$4),
_xlpm.planned,SUMIFS(#REF!,#REF!,$B50,#REF!,"&gt;="&amp;C$4,#REF!,"&lt;="&amp;EOMONTH(C$4,0)),
IFERROR(_xlpm.recurring,0)+IFERROR(_xlpm.planned,0))</f>
        <v>0</v>
      </c>
      <c r="D50" s="90">
        <f ca="1">_xlfn.LET(
_xlpm.recurring,SUMIFS(INDEX(recurring_master!$A:$AF,,MATCH($B50,recurring_master!$A$1:$AF$1,0)),recurring_master!$A:$A,"&lt;="&amp;EOMONTH(D$4,0),recurring_master!$A:$A,"&gt;="&amp;D$4),
_xlpm.planned,SUMIFS(#REF!,#REF!,$B50,#REF!,"&gt;="&amp;D$4,#REF!,"&lt;="&amp;EOMONTH(D$4,0)),
IFERROR(_xlpm.recurring,0)+IFERROR(_xlpm.planned,0))</f>
        <v>100</v>
      </c>
      <c r="E50" s="90">
        <f ca="1">_xlfn.LET(
_xlpm.recurring,SUMIFS(INDEX(recurring_master!$A:$AF,,MATCH($B50,recurring_master!$A$1:$AF$1,0)),recurring_master!$A:$A,"&lt;="&amp;EOMONTH(E$4,0),recurring_master!$A:$A,"&gt;="&amp;E$4),
_xlpm.planned,SUMIFS(#REF!,#REF!,$B50,#REF!,"&gt;="&amp;E$4,#REF!,"&lt;="&amp;EOMONTH(E$4,0)),
IFERROR(_xlpm.recurring,0)+IFERROR(_xlpm.planned,0))</f>
        <v>150</v>
      </c>
      <c r="F50" s="90">
        <f ca="1">_xlfn.LET(
_xlpm.recurring,SUMIFS(INDEX(recurring_master!$A:$AF,,MATCH($B50,recurring_master!$A$1:$AF$1,0)),recurring_master!$A:$A,"&lt;="&amp;EOMONTH(F$4,0),recurring_master!$A:$A,"&gt;="&amp;F$4),
_xlpm.planned,SUMIFS(#REF!,#REF!,$B50,#REF!,"&gt;="&amp;F$4,#REF!,"&lt;="&amp;EOMONTH(F$4,0)),
IFERROR(_xlpm.recurring,0)+IFERROR(_xlpm.planned,0))</f>
        <v>100</v>
      </c>
      <c r="G50" s="90">
        <f ca="1">_xlfn.LET(
_xlpm.recurring,SUMIFS(INDEX(recurring_master!$A:$AF,,MATCH($B50,recurring_master!$A$1:$AF$1,0)),recurring_master!$A:$A,"&lt;="&amp;EOMONTH(G$4,0),recurring_master!$A:$A,"&gt;="&amp;G$4),
_xlpm.planned,SUMIFS(#REF!,#REF!,$B50,#REF!,"&gt;="&amp;G$4,#REF!,"&lt;="&amp;EOMONTH(G$4,0)),
IFERROR(_xlpm.recurring,0)+IFERROR(_xlpm.planned,0))</f>
        <v>100</v>
      </c>
      <c r="H50" s="90">
        <f ca="1">_xlfn.LET(
_xlpm.recurring,SUMIFS(INDEX(recurring_master!$A:$AF,,MATCH($B50,recurring_master!$A$1:$AF$1,0)),recurring_master!$A:$A,"&lt;="&amp;EOMONTH(H$4,0),recurring_master!$A:$A,"&gt;="&amp;H$4),
_xlpm.planned,SUMIFS(#REF!,#REF!,$B50,#REF!,"&gt;="&amp;H$4,#REF!,"&lt;="&amp;EOMONTH(H$4,0)),
IFERROR(_xlpm.recurring,0)+IFERROR(_xlpm.planned,0))</f>
        <v>100</v>
      </c>
      <c r="I50" s="90">
        <f ca="1">_xlfn.LET(
_xlpm.recurring,SUMIFS(INDEX(recurring_master!$A:$AF,,MATCH($B50,recurring_master!$A$1:$AF$1,0)),recurring_master!$A:$A,"&lt;="&amp;EOMONTH(I$4,0),recurring_master!$A:$A,"&gt;="&amp;I$4),
_xlpm.planned,SUMIFS(#REF!,#REF!,$B50,#REF!,"&gt;="&amp;I$4,#REF!,"&lt;="&amp;EOMONTH(I$4,0)),
IFERROR(_xlpm.recurring,0)+IFERROR(_xlpm.planned,0))</f>
        <v>100</v>
      </c>
      <c r="J50" s="90">
        <f ca="1">_xlfn.LET(
_xlpm.recurring,SUMIFS(INDEX(recurring_master!$A:$AF,,MATCH($B50,recurring_master!$A$1:$AF$1,0)),recurring_master!$A:$A,"&lt;="&amp;EOMONTH(J$4,0),recurring_master!$A:$A,"&gt;="&amp;J$4),
_xlpm.planned,SUMIFS(#REF!,#REF!,$B50,#REF!,"&gt;="&amp;J$4,#REF!,"&lt;="&amp;EOMONTH(J$4,0)),
IFERROR(_xlpm.recurring,0)+IFERROR(_xlpm.planned,0))</f>
        <v>150</v>
      </c>
      <c r="K50" s="90">
        <f ca="1">_xlfn.LET(
_xlpm.recurring,SUMIFS(INDEX(recurring_master!$A:$AF,,MATCH($B50,recurring_master!$A$1:$AF$1,0)),recurring_master!$A:$A,"&lt;="&amp;EOMONTH(K$4,0),recurring_master!$A:$A,"&gt;="&amp;K$4),
_xlpm.planned,SUMIFS(#REF!,#REF!,$B50,#REF!,"&gt;="&amp;K$4,#REF!,"&lt;="&amp;EOMONTH(K$4,0)),
IFERROR(_xlpm.recurring,0)+IFERROR(_xlpm.planned,0))</f>
        <v>100</v>
      </c>
      <c r="L50" s="90">
        <f ca="1">_xlfn.LET(
_xlpm.recurring,SUMIFS(INDEX(recurring_master!$A:$AF,,MATCH($B50,recurring_master!$A$1:$AF$1,0)),recurring_master!$A:$A,"&lt;="&amp;EOMONTH(L$4,0),recurring_master!$A:$A,"&gt;="&amp;L$4),
_xlpm.planned,SUMIFS(#REF!,#REF!,$B50,#REF!,"&gt;="&amp;L$4,#REF!,"&lt;="&amp;EOMONTH(L$4,0)),
IFERROR(_xlpm.recurring,0)+IFERROR(_xlpm.planned,0))</f>
        <v>100</v>
      </c>
      <c r="M50" s="90">
        <f ca="1">_xlfn.LET(
_xlpm.recurring,SUMIFS(INDEX(recurring_master!$A:$AF,,MATCH($B50,recurring_master!$A$1:$AF$1,0)),recurring_master!$A:$A,"&lt;="&amp;EOMONTH(M$4,0),recurring_master!$A:$A,"&gt;="&amp;M$4),
_xlpm.planned,SUMIFS(#REF!,#REF!,$B50,#REF!,"&gt;="&amp;M$4,#REF!,"&lt;="&amp;EOMONTH(M$4,0)),
IFERROR(_xlpm.recurring,0)+IFERROR(_xlpm.planned,0))</f>
        <v>100</v>
      </c>
      <c r="N50" s="90">
        <f ca="1">_xlfn.LET(
_xlpm.recurring,SUMIFS(INDEX(recurring_master!$A:$AF,,MATCH($B50,recurring_master!$A$1:$AF$1,0)),recurring_master!$A:$A,"&lt;="&amp;EOMONTH(N$4,0),recurring_master!$A:$A,"&gt;="&amp;N$4),
_xlpm.planned,SUMIFS(#REF!,#REF!,$B50,#REF!,"&gt;="&amp;N$4,#REF!,"&lt;="&amp;EOMONTH(N$4,0)),
IFERROR(_xlpm.recurring,0)+IFERROR(_xlpm.planned,0))</f>
        <v>100</v>
      </c>
      <c r="O50" s="81"/>
      <c r="P50" s="91">
        <f t="shared" ca="1" si="13"/>
        <v>1200</v>
      </c>
      <c r="Q50" s="46"/>
      <c r="R50" s="38"/>
      <c r="U50" s="22"/>
    </row>
    <row r="51" spans="1:23" ht="5.0999999999999996" customHeight="1" x14ac:dyDescent="0.2">
      <c r="A51" s="181"/>
      <c r="B51" s="60"/>
      <c r="C51" s="81"/>
      <c r="D51" s="81"/>
      <c r="E51" s="81"/>
      <c r="F51" s="81"/>
      <c r="G51" s="81"/>
      <c r="H51" s="81"/>
      <c r="I51" s="81"/>
      <c r="J51" s="81"/>
      <c r="K51" s="81"/>
      <c r="L51" s="81"/>
      <c r="M51" s="81"/>
      <c r="N51" s="81"/>
      <c r="O51" s="81"/>
      <c r="P51" s="91"/>
      <c r="Q51" s="46"/>
      <c r="R51" s="38"/>
      <c r="W51" s="18"/>
    </row>
    <row r="52" spans="1:23" ht="12.75" customHeight="1" x14ac:dyDescent="0.2">
      <c r="A52" s="181"/>
      <c r="B52" s="70" t="s">
        <v>31</v>
      </c>
      <c r="C52" s="98">
        <f ca="1">SUM(C45:C51)</f>
        <v>140</v>
      </c>
      <c r="D52" s="98">
        <f t="shared" ref="D52:N52" ca="1" si="14">SUM(D45:D51)</f>
        <v>2440</v>
      </c>
      <c r="E52" s="98">
        <f t="shared" ca="1" si="14"/>
        <v>2440</v>
      </c>
      <c r="F52" s="98">
        <f t="shared" ca="1" si="14"/>
        <v>3040</v>
      </c>
      <c r="G52" s="98">
        <f t="shared" ca="1" si="14"/>
        <v>2390</v>
      </c>
      <c r="H52" s="98">
        <f t="shared" ca="1" si="14"/>
        <v>2440</v>
      </c>
      <c r="I52" s="98">
        <f t="shared" ca="1" si="14"/>
        <v>2490</v>
      </c>
      <c r="J52" s="98">
        <f t="shared" ca="1" si="14"/>
        <v>2440</v>
      </c>
      <c r="K52" s="98">
        <f t="shared" ca="1" si="14"/>
        <v>2490</v>
      </c>
      <c r="L52" s="98">
        <f t="shared" ca="1" si="14"/>
        <v>2940</v>
      </c>
      <c r="M52" s="98">
        <f t="shared" ca="1" si="14"/>
        <v>2440</v>
      </c>
      <c r="N52" s="99">
        <f t="shared" ca="1" si="14"/>
        <v>2390</v>
      </c>
      <c r="O52" s="98"/>
      <c r="P52" s="100">
        <f ca="1">SUM(P49:P49)</f>
        <v>0</v>
      </c>
      <c r="Q52" s="46"/>
      <c r="R52" s="38"/>
      <c r="U52" s="22"/>
    </row>
    <row r="53" spans="1:23" ht="5.0999999999999996" customHeight="1" x14ac:dyDescent="0.2">
      <c r="A53" s="181"/>
      <c r="B53" s="58"/>
      <c r="C53" s="81"/>
      <c r="D53" s="81"/>
      <c r="E53" s="81"/>
      <c r="F53" s="81"/>
      <c r="G53" s="81"/>
      <c r="H53" s="81"/>
      <c r="I53" s="81"/>
      <c r="J53" s="81"/>
      <c r="K53" s="81"/>
      <c r="L53" s="81"/>
      <c r="M53" s="81"/>
      <c r="N53" s="81"/>
      <c r="O53" s="81"/>
      <c r="P53" s="81"/>
      <c r="Q53" s="46"/>
      <c r="R53" s="38"/>
    </row>
    <row r="54" spans="1:23" ht="12.75" customHeight="1" x14ac:dyDescent="0.2">
      <c r="A54" s="181"/>
      <c r="B54" s="67" t="s">
        <v>29</v>
      </c>
      <c r="C54" s="124"/>
      <c r="D54" s="124"/>
      <c r="E54" s="124"/>
      <c r="F54" s="124"/>
      <c r="G54" s="124"/>
      <c r="H54" s="124"/>
      <c r="I54" s="124"/>
      <c r="J54" s="124"/>
      <c r="K54" s="124"/>
      <c r="L54" s="124"/>
      <c r="M54" s="124"/>
      <c r="N54" s="124"/>
      <c r="O54" s="124"/>
      <c r="P54" s="125"/>
      <c r="Q54" s="46"/>
      <c r="R54" s="38"/>
      <c r="U54" s="22"/>
    </row>
    <row r="55" spans="1:23" ht="12.75" customHeight="1" x14ac:dyDescent="0.2">
      <c r="A55" s="182"/>
      <c r="B55" s="60" t="s">
        <v>1</v>
      </c>
      <c r="C55" s="90">
        <f ca="1">_xlfn.LET(
_xlpm.recurring,SUMIFS(INDEX(recurring_master!$A:$AF,,MATCH($B55,recurring_master!$A$1:$AF$1,0)),recurring_master!$A:$A,"&lt;="&amp;EOMONTH(C$4,0),recurring_master!$A:$A,"&gt;="&amp;C$4),
_xlpm.planned,SUMIFS(#REF!,#REF!,$B55,#REF!,"&gt;="&amp;C$4,#REF!,"&lt;="&amp;EOMONTH(C$4,0)),
IFERROR(_xlpm.recurring,0)+IFERROR(_xlpm.planned,0))</f>
        <v>100</v>
      </c>
      <c r="D55" s="90">
        <f ca="1">_xlfn.LET(
_xlpm.recurring,SUMIFS(INDEX(recurring_master!$A:$AF,,MATCH($B55,recurring_master!$A$1:$AF$1,0)),recurring_master!$A:$A,"&lt;="&amp;EOMONTH(D$4,0),recurring_master!$A:$A,"&gt;="&amp;D$4),
_xlpm.planned,SUMIFS(#REF!,#REF!,$B55,#REF!,"&gt;="&amp;D$4,#REF!,"&lt;="&amp;EOMONTH(D$4,0)),
IFERROR(_xlpm.recurring,0)+IFERROR(_xlpm.planned,0))</f>
        <v>400</v>
      </c>
      <c r="E55" s="90">
        <f ca="1">_xlfn.LET(
_xlpm.recurring,SUMIFS(INDEX(recurring_master!$A:$AF,,MATCH($B55,recurring_master!$A$1:$AF$1,0)),recurring_master!$A:$A,"&lt;="&amp;EOMONTH(E$4,0),recurring_master!$A:$A,"&gt;="&amp;E$4),
_xlpm.planned,SUMIFS(#REF!,#REF!,$B55,#REF!,"&gt;="&amp;E$4,#REF!,"&lt;="&amp;EOMONTH(E$4,0)),
IFERROR(_xlpm.recurring,0)+IFERROR(_xlpm.planned,0))</f>
        <v>500</v>
      </c>
      <c r="F55" s="90">
        <f ca="1">_xlfn.LET(
_xlpm.recurring,SUMIFS(INDEX(recurring_master!$A:$AF,,MATCH($B55,recurring_master!$A$1:$AF$1,0)),recurring_master!$A:$A,"&lt;="&amp;EOMONTH(F$4,0),recurring_master!$A:$A,"&gt;="&amp;F$4),
_xlpm.planned,SUMIFS(#REF!,#REF!,$B55,#REF!,"&gt;="&amp;F$4,#REF!,"&lt;="&amp;EOMONTH(F$4,0)),
IFERROR(_xlpm.recurring,0)+IFERROR(_xlpm.planned,0))</f>
        <v>400</v>
      </c>
      <c r="G55" s="90">
        <f ca="1">_xlfn.LET(
_xlpm.recurring,SUMIFS(INDEX(recurring_master!$A:$AF,,MATCH($B55,recurring_master!$A$1:$AF$1,0)),recurring_master!$A:$A,"&lt;="&amp;EOMONTH(G$4,0),recurring_master!$A:$A,"&gt;="&amp;G$4),
_xlpm.planned,SUMIFS(#REF!,#REF!,$B55,#REF!,"&gt;="&amp;G$4,#REF!,"&lt;="&amp;EOMONTH(G$4,0)),
IFERROR(_xlpm.recurring,0)+IFERROR(_xlpm.planned,0))</f>
        <v>400</v>
      </c>
      <c r="H55" s="90">
        <f ca="1">_xlfn.LET(
_xlpm.recurring,SUMIFS(INDEX(recurring_master!$A:$AF,,MATCH($B55,recurring_master!$A$1:$AF$1,0)),recurring_master!$A:$A,"&lt;="&amp;EOMONTH(H$4,0),recurring_master!$A:$A,"&gt;="&amp;H$4),
_xlpm.planned,SUMIFS(#REF!,#REF!,$B55,#REF!,"&gt;="&amp;H$4,#REF!,"&lt;="&amp;EOMONTH(H$4,0)),
IFERROR(_xlpm.recurring,0)+IFERROR(_xlpm.planned,0))</f>
        <v>500</v>
      </c>
      <c r="I55" s="90">
        <f ca="1">_xlfn.LET(
_xlpm.recurring,SUMIFS(INDEX(recurring_master!$A:$AF,,MATCH($B55,recurring_master!$A$1:$AF$1,0)),recurring_master!$A:$A,"&lt;="&amp;EOMONTH(I$4,0),recurring_master!$A:$A,"&gt;="&amp;I$4),
_xlpm.planned,SUMIFS(#REF!,#REF!,$B55,#REF!,"&gt;="&amp;I$4,#REF!,"&lt;="&amp;EOMONTH(I$4,0)),
IFERROR(_xlpm.recurring,0)+IFERROR(_xlpm.planned,0))</f>
        <v>400</v>
      </c>
      <c r="J55" s="90">
        <f ca="1">_xlfn.LET(
_xlpm.recurring,SUMIFS(INDEX(recurring_master!$A:$AF,,MATCH($B55,recurring_master!$A$1:$AF$1,0)),recurring_master!$A:$A,"&lt;="&amp;EOMONTH(J$4,0),recurring_master!$A:$A,"&gt;="&amp;J$4),
_xlpm.planned,SUMIFS(#REF!,#REF!,$B55,#REF!,"&gt;="&amp;J$4,#REF!,"&lt;="&amp;EOMONTH(J$4,0)),
IFERROR(_xlpm.recurring,0)+IFERROR(_xlpm.planned,0))</f>
        <v>400</v>
      </c>
      <c r="K55" s="90">
        <f ca="1">_xlfn.LET(
_xlpm.recurring,SUMIFS(INDEX(recurring_master!$A:$AF,,MATCH($B55,recurring_master!$A$1:$AF$1,0)),recurring_master!$A:$A,"&lt;="&amp;EOMONTH(K$4,0),recurring_master!$A:$A,"&gt;="&amp;K$4),
_xlpm.planned,SUMIFS(#REF!,#REF!,$B55,#REF!,"&gt;="&amp;K$4,#REF!,"&lt;="&amp;EOMONTH(K$4,0)),
IFERROR(_xlpm.recurring,0)+IFERROR(_xlpm.planned,0))</f>
        <v>500</v>
      </c>
      <c r="L55" s="90">
        <f ca="1">_xlfn.LET(
_xlpm.recurring,SUMIFS(INDEX(recurring_master!$A:$AF,,MATCH($B55,recurring_master!$A$1:$AF$1,0)),recurring_master!$A:$A,"&lt;="&amp;EOMONTH(L$4,0),recurring_master!$A:$A,"&gt;="&amp;L$4),
_xlpm.planned,SUMIFS(#REF!,#REF!,$B55,#REF!,"&gt;="&amp;L$4,#REF!,"&lt;="&amp;EOMONTH(L$4,0)),
IFERROR(_xlpm.recurring,0)+IFERROR(_xlpm.planned,0))</f>
        <v>400</v>
      </c>
      <c r="M55" s="90">
        <f ca="1">_xlfn.LET(
_xlpm.recurring,SUMIFS(INDEX(recurring_master!$A:$AF,,MATCH($B55,recurring_master!$A$1:$AF$1,0)),recurring_master!$A:$A,"&lt;="&amp;EOMONTH(M$4,0),recurring_master!$A:$A,"&gt;="&amp;M$4),
_xlpm.planned,SUMIFS(#REF!,#REF!,$B55,#REF!,"&gt;="&amp;M$4,#REF!,"&lt;="&amp;EOMONTH(M$4,0)),
IFERROR(_xlpm.recurring,0)+IFERROR(_xlpm.planned,0))</f>
        <v>500</v>
      </c>
      <c r="N55" s="90">
        <f ca="1">_xlfn.LET(
_xlpm.recurring,SUMIFS(INDEX(recurring_master!$A:$AF,,MATCH($B55,recurring_master!$A$1:$AF$1,0)),recurring_master!$A:$A,"&lt;="&amp;EOMONTH(N$4,0),recurring_master!$A:$A,"&gt;="&amp;N$4),
_xlpm.planned,SUMIFS(#REF!,#REF!,$B55,#REF!,"&gt;="&amp;N$4,#REF!,"&lt;="&amp;EOMONTH(N$4,0)),
IFERROR(_xlpm.recurring,0)+IFERROR(_xlpm.planned,0))</f>
        <v>400</v>
      </c>
      <c r="O55" s="81"/>
      <c r="P55" s="91">
        <f t="shared" ref="P55:P61" ca="1" si="15">SUM(C55:N55)</f>
        <v>4900</v>
      </c>
      <c r="Q55" s="47"/>
      <c r="R55" s="38"/>
      <c r="U55" s="22"/>
    </row>
    <row r="56" spans="1:23" ht="12.75" customHeight="1" x14ac:dyDescent="0.2">
      <c r="A56" s="182"/>
      <c r="B56" s="60" t="s">
        <v>2</v>
      </c>
      <c r="C56" s="90">
        <f ca="1">_xlfn.LET(
_xlpm.recurring,SUMIFS(INDEX(recurring_master!$A:$AF,,MATCH($B56,recurring_master!$A$1:$AF$1,0)),recurring_master!$A:$A,"&lt;="&amp;EOMONTH(C$4,0),recurring_master!$A:$A,"&gt;="&amp;C$4),
_xlpm.planned,SUMIFS(#REF!,#REF!,$B56,#REF!,"&gt;="&amp;C$4,#REF!,"&lt;="&amp;EOMONTH(C$4,0)),
IFERROR(_xlpm.recurring,0)+IFERROR(_xlpm.planned,0))</f>
        <v>200.2770083102493</v>
      </c>
      <c r="D56" s="90">
        <f ca="1">_xlfn.LET(
_xlpm.recurring,SUMIFS(INDEX(recurring_master!$A:$AF,,MATCH($B56,recurring_master!$A$1:$AF$1,0)),recurring_master!$A:$A,"&lt;="&amp;EOMONTH(D$4,0),recurring_master!$A:$A,"&gt;="&amp;D$4),
_xlpm.planned,SUMIFS(#REF!,#REF!,$B56,#REF!,"&gt;="&amp;D$4,#REF!,"&lt;="&amp;EOMONTH(D$4,0)),
IFERROR(_xlpm.recurring,0)+IFERROR(_xlpm.planned,0))</f>
        <v>801.66204986149637</v>
      </c>
      <c r="E56" s="90">
        <f ca="1">_xlfn.LET(
_xlpm.recurring,SUMIFS(INDEX(recurring_master!$A:$AF,,MATCH($B56,recurring_master!$A$1:$AF$1,0)),recurring_master!$A:$A,"&lt;="&amp;EOMONTH(E$4,0),recurring_master!$A:$A,"&gt;="&amp;E$4),
_xlpm.planned,SUMIFS(#REF!,#REF!,$B56,#REF!,"&gt;="&amp;E$4,#REF!,"&lt;="&amp;EOMONTH(E$4,0)),
IFERROR(_xlpm.recurring,0)+IFERROR(_xlpm.planned,0))</f>
        <v>901.71745152354629</v>
      </c>
      <c r="F56" s="90">
        <f ca="1">_xlfn.LET(
_xlpm.recurring,SUMIFS(INDEX(recurring_master!$A:$AF,,MATCH($B56,recurring_master!$A$1:$AF$1,0)),recurring_master!$A:$A,"&lt;="&amp;EOMONTH(F$4,0),recurring_master!$A:$A,"&gt;="&amp;F$4),
_xlpm.planned,SUMIFS(#REF!,#REF!,$B56,#REF!,"&gt;="&amp;F$4,#REF!,"&lt;="&amp;EOMONTH(F$4,0)),
IFERROR(_xlpm.recurring,0)+IFERROR(_xlpm.planned,0))</f>
        <v>901.66204986149637</v>
      </c>
      <c r="G56" s="90">
        <f ca="1">_xlfn.LET(
_xlpm.recurring,SUMIFS(INDEX(recurring_master!$A:$AF,,MATCH($B56,recurring_master!$A$1:$AF$1,0)),recurring_master!$A:$A,"&lt;="&amp;EOMONTH(G$4,0),recurring_master!$A:$A,"&gt;="&amp;G$4),
_xlpm.planned,SUMIFS(#REF!,#REF!,$B56,#REF!,"&gt;="&amp;G$4,#REF!,"&lt;="&amp;EOMONTH(G$4,0)),
IFERROR(_xlpm.recurring,0)+IFERROR(_xlpm.planned,0))</f>
        <v>801.71745152354629</v>
      </c>
      <c r="H56" s="90">
        <f ca="1">_xlfn.LET(
_xlpm.recurring,SUMIFS(INDEX(recurring_master!$A:$AF,,MATCH($B56,recurring_master!$A$1:$AF$1,0)),recurring_master!$A:$A,"&lt;="&amp;EOMONTH(H$4,0),recurring_master!$A:$A,"&gt;="&amp;H$4),
_xlpm.planned,SUMIFS(#REF!,#REF!,$B56,#REF!,"&gt;="&amp;H$4,#REF!,"&lt;="&amp;EOMONTH(H$4,0)),
IFERROR(_xlpm.recurring,0)+IFERROR(_xlpm.planned,0))</f>
        <v>1001.7174515235465</v>
      </c>
      <c r="I56" s="90">
        <f ca="1">_xlfn.LET(
_xlpm.recurring,SUMIFS(INDEX(recurring_master!$A:$AF,,MATCH($B56,recurring_master!$A$1:$AF$1,0)),recurring_master!$A:$A,"&lt;="&amp;EOMONTH(I$4,0),recurring_master!$A:$A,"&gt;="&amp;I$4),
_xlpm.planned,SUMIFS(#REF!,#REF!,$B56,#REF!,"&gt;="&amp;I$4,#REF!,"&lt;="&amp;EOMONTH(I$4,0)),
IFERROR(_xlpm.recurring,0)+IFERROR(_xlpm.planned,0))</f>
        <v>801.66204986149637</v>
      </c>
      <c r="J56" s="90">
        <f ca="1">_xlfn.LET(
_xlpm.recurring,SUMIFS(INDEX(recurring_master!$A:$AF,,MATCH($B56,recurring_master!$A$1:$AF$1,0)),recurring_master!$A:$A,"&lt;="&amp;EOMONTH(J$4,0),recurring_master!$A:$A,"&gt;="&amp;J$4),
_xlpm.planned,SUMIFS(#REF!,#REF!,$B56,#REF!,"&gt;="&amp;J$4,#REF!,"&lt;="&amp;EOMONTH(J$4,0)),
IFERROR(_xlpm.recurring,0)+IFERROR(_xlpm.planned,0))</f>
        <v>801.71745152354629</v>
      </c>
      <c r="K56" s="90">
        <f ca="1">_xlfn.LET(
_xlpm.recurring,SUMIFS(INDEX(recurring_master!$A:$AF,,MATCH($B56,recurring_master!$A$1:$AF$1,0)),recurring_master!$A:$A,"&lt;="&amp;EOMONTH(K$4,0),recurring_master!$A:$A,"&gt;="&amp;K$4),
_xlpm.planned,SUMIFS(#REF!,#REF!,$B56,#REF!,"&gt;="&amp;K$4,#REF!,"&lt;="&amp;EOMONTH(K$4,0)),
IFERROR(_xlpm.recurring,0)+IFERROR(_xlpm.planned,0))</f>
        <v>1001.6620498614966</v>
      </c>
      <c r="L56" s="90">
        <f ca="1">_xlfn.LET(
_xlpm.recurring,SUMIFS(INDEX(recurring_master!$A:$AF,,MATCH($B56,recurring_master!$A$1:$AF$1,0)),recurring_master!$A:$A,"&lt;="&amp;EOMONTH(L$4,0),recurring_master!$A:$A,"&gt;="&amp;L$4),
_xlpm.planned,SUMIFS(#REF!,#REF!,$B56,#REF!,"&gt;="&amp;L$4,#REF!,"&lt;="&amp;EOMONTH(L$4,0)),
IFERROR(_xlpm.recurring,0)+IFERROR(_xlpm.planned,0))</f>
        <v>801.71745152354629</v>
      </c>
      <c r="M56" s="90">
        <f ca="1">_xlfn.LET(
_xlpm.recurring,SUMIFS(INDEX(recurring_master!$A:$AF,,MATCH($B56,recurring_master!$A$1:$AF$1,0)),recurring_master!$A:$A,"&lt;="&amp;EOMONTH(M$4,0),recurring_master!$A:$A,"&gt;="&amp;M$4),
_xlpm.planned,SUMIFS(#REF!,#REF!,$B56,#REF!,"&gt;="&amp;M$4,#REF!,"&lt;="&amp;EOMONTH(M$4,0)),
IFERROR(_xlpm.recurring,0)+IFERROR(_xlpm.planned,0))</f>
        <v>901.71745152354629</v>
      </c>
      <c r="N56" s="90">
        <f ca="1">_xlfn.LET(
_xlpm.recurring,SUMIFS(INDEX(recurring_master!$A:$AF,,MATCH($B56,recurring_master!$A$1:$AF$1,0)),recurring_master!$A:$A,"&lt;="&amp;EOMONTH(N$4,0),recurring_master!$A:$A,"&gt;="&amp;N$4),
_xlpm.planned,SUMIFS(#REF!,#REF!,$B56,#REF!,"&gt;="&amp;N$4,#REF!,"&lt;="&amp;EOMONTH(N$4,0)),
IFERROR(_xlpm.recurring,0)+IFERROR(_xlpm.planned,0))</f>
        <v>801.55124653739654</v>
      </c>
      <c r="O56" s="81"/>
      <c r="P56" s="91">
        <f t="shared" ca="1" si="15"/>
        <v>9718.7811634349091</v>
      </c>
      <c r="Q56" s="47"/>
      <c r="R56" s="38"/>
      <c r="U56" s="22"/>
    </row>
    <row r="57" spans="1:23" ht="12.75" customHeight="1" x14ac:dyDescent="0.2">
      <c r="A57" s="181"/>
      <c r="B57" s="60" t="s">
        <v>236</v>
      </c>
      <c r="C57" s="90">
        <f ca="1">_xlfn.LET(
_xlpm.recurring,SUMIFS(INDEX(recurring_master!$A:$AF,,MATCH($B57,recurring_master!$A$1:$AF$1,0)),recurring_master!$A:$A,"&lt;="&amp;EOMONTH(C$4,0),recurring_master!$A:$A,"&gt;="&amp;C$4),
_xlpm.planned,SUMIFS(#REF!,#REF!,$B57,#REF!,"&gt;="&amp;C$4,#REF!,"&lt;="&amp;EOMONTH(C$4,0)),
IFERROR(_xlpm.recurring,0)+IFERROR(_xlpm.planned,0))</f>
        <v>0</v>
      </c>
      <c r="D57" s="90">
        <f ca="1">_xlfn.LET(
_xlpm.recurring,SUMIFS(INDEX(recurring_master!$A:$AF,,MATCH($B57,recurring_master!$A$1:$AF$1,0)),recurring_master!$A:$A,"&lt;="&amp;EOMONTH(D$4,0),recurring_master!$A:$A,"&gt;="&amp;D$4),
_xlpm.planned,SUMIFS(#REF!,#REF!,$B57,#REF!,"&gt;="&amp;D$4,#REF!,"&lt;="&amp;EOMONTH(D$4,0)),
IFERROR(_xlpm.recurring,0)+IFERROR(_xlpm.planned,0))</f>
        <v>0</v>
      </c>
      <c r="E57" s="90">
        <f ca="1">_xlfn.LET(
_xlpm.recurring,SUMIFS(INDEX(recurring_master!$A:$AF,,MATCH($B57,recurring_master!$A$1:$AF$1,0)),recurring_master!$A:$A,"&lt;="&amp;EOMONTH(E$4,0),recurring_master!$A:$A,"&gt;="&amp;E$4),
_xlpm.planned,SUMIFS(#REF!,#REF!,$B57,#REF!,"&gt;="&amp;E$4,#REF!,"&lt;="&amp;EOMONTH(E$4,0)),
IFERROR(_xlpm.recurring,0)+IFERROR(_xlpm.planned,0))</f>
        <v>0</v>
      </c>
      <c r="F57" s="90">
        <f ca="1">_xlfn.LET(
_xlpm.recurring,SUMIFS(INDEX(recurring_master!$A:$AF,,MATCH($B57,recurring_master!$A$1:$AF$1,0)),recurring_master!$A:$A,"&lt;="&amp;EOMONTH(F$4,0),recurring_master!$A:$A,"&gt;="&amp;F$4),
_xlpm.planned,SUMIFS(#REF!,#REF!,$B57,#REF!,"&gt;="&amp;F$4,#REF!,"&lt;="&amp;EOMONTH(F$4,0)),
IFERROR(_xlpm.recurring,0)+IFERROR(_xlpm.planned,0))</f>
        <v>0</v>
      </c>
      <c r="G57" s="90">
        <f ca="1">_xlfn.LET(
_xlpm.recurring,SUMIFS(INDEX(recurring_master!$A:$AF,,MATCH($B57,recurring_master!$A$1:$AF$1,0)),recurring_master!$A:$A,"&lt;="&amp;EOMONTH(G$4,0),recurring_master!$A:$A,"&gt;="&amp;G$4),
_xlpm.planned,SUMIFS(#REF!,#REF!,$B57,#REF!,"&gt;="&amp;G$4,#REF!,"&lt;="&amp;EOMONTH(G$4,0)),
IFERROR(_xlpm.recurring,0)+IFERROR(_xlpm.planned,0))</f>
        <v>0</v>
      </c>
      <c r="H57" s="90">
        <f ca="1">_xlfn.LET(
_xlpm.recurring,SUMIFS(INDEX(recurring_master!$A:$AF,,MATCH($B57,recurring_master!$A$1:$AF$1,0)),recurring_master!$A:$A,"&lt;="&amp;EOMONTH(H$4,0),recurring_master!$A:$A,"&gt;="&amp;H$4),
_xlpm.planned,SUMIFS(#REF!,#REF!,$B57,#REF!,"&gt;="&amp;H$4,#REF!,"&lt;="&amp;EOMONTH(H$4,0)),
IFERROR(_xlpm.recurring,0)+IFERROR(_xlpm.planned,0))</f>
        <v>0</v>
      </c>
      <c r="I57" s="90">
        <f ca="1">_xlfn.LET(
_xlpm.recurring,SUMIFS(INDEX(recurring_master!$A:$AF,,MATCH($B57,recurring_master!$A$1:$AF$1,0)),recurring_master!$A:$A,"&lt;="&amp;EOMONTH(I$4,0),recurring_master!$A:$A,"&gt;="&amp;I$4),
_xlpm.planned,SUMIFS(#REF!,#REF!,$B57,#REF!,"&gt;="&amp;I$4,#REF!,"&lt;="&amp;EOMONTH(I$4,0)),
IFERROR(_xlpm.recurring,0)+IFERROR(_xlpm.planned,0))</f>
        <v>0</v>
      </c>
      <c r="J57" s="90">
        <f ca="1">_xlfn.LET(
_xlpm.recurring,SUMIFS(INDEX(recurring_master!$A:$AF,,MATCH($B57,recurring_master!$A$1:$AF$1,0)),recurring_master!$A:$A,"&lt;="&amp;EOMONTH(J$4,0),recurring_master!$A:$A,"&gt;="&amp;J$4),
_xlpm.planned,SUMIFS(#REF!,#REF!,$B57,#REF!,"&gt;="&amp;J$4,#REF!,"&lt;="&amp;EOMONTH(J$4,0)),
IFERROR(_xlpm.recurring,0)+IFERROR(_xlpm.planned,0))</f>
        <v>0</v>
      </c>
      <c r="K57" s="90">
        <f ca="1">_xlfn.LET(
_xlpm.recurring,SUMIFS(INDEX(recurring_master!$A:$AF,,MATCH($B57,recurring_master!$A$1:$AF$1,0)),recurring_master!$A:$A,"&lt;="&amp;EOMONTH(K$4,0),recurring_master!$A:$A,"&gt;="&amp;K$4),
_xlpm.planned,SUMIFS(#REF!,#REF!,$B57,#REF!,"&gt;="&amp;K$4,#REF!,"&lt;="&amp;EOMONTH(K$4,0)),
IFERROR(_xlpm.recurring,0)+IFERROR(_xlpm.planned,0))</f>
        <v>0</v>
      </c>
      <c r="L57" s="90">
        <f ca="1">_xlfn.LET(
_xlpm.recurring,SUMIFS(INDEX(recurring_master!$A:$AF,,MATCH($B57,recurring_master!$A$1:$AF$1,0)),recurring_master!$A:$A,"&lt;="&amp;EOMONTH(L$4,0),recurring_master!$A:$A,"&gt;="&amp;L$4),
_xlpm.planned,SUMIFS(#REF!,#REF!,$B57,#REF!,"&gt;="&amp;L$4,#REF!,"&lt;="&amp;EOMONTH(L$4,0)),
IFERROR(_xlpm.recurring,0)+IFERROR(_xlpm.planned,0))</f>
        <v>0</v>
      </c>
      <c r="M57" s="90">
        <f ca="1">_xlfn.LET(
_xlpm.recurring,SUMIFS(INDEX(recurring_master!$A:$AF,,MATCH($B57,recurring_master!$A$1:$AF$1,0)),recurring_master!$A:$A,"&lt;="&amp;EOMONTH(M$4,0),recurring_master!$A:$A,"&gt;="&amp;M$4),
_xlpm.planned,SUMIFS(#REF!,#REF!,$B57,#REF!,"&gt;="&amp;M$4,#REF!,"&lt;="&amp;EOMONTH(M$4,0)),
IFERROR(_xlpm.recurring,0)+IFERROR(_xlpm.planned,0))</f>
        <v>0</v>
      </c>
      <c r="N57" s="90">
        <f ca="1">_xlfn.LET(
_xlpm.recurring,SUMIFS(INDEX(recurring_master!$A:$AF,,MATCH($B57,recurring_master!$A$1:$AF$1,0)),recurring_master!$A:$A,"&lt;="&amp;EOMONTH(N$4,0),recurring_master!$A:$A,"&gt;="&amp;N$4),
_xlpm.planned,SUMIFS(#REF!,#REF!,$B57,#REF!,"&gt;="&amp;N$4,#REF!,"&lt;="&amp;EOMONTH(N$4,0)),
IFERROR(_xlpm.recurring,0)+IFERROR(_xlpm.planned,0))</f>
        <v>0</v>
      </c>
      <c r="O57" s="81"/>
      <c r="P57" s="91">
        <f t="shared" ca="1" si="15"/>
        <v>0</v>
      </c>
      <c r="Q57" s="46"/>
      <c r="R57" s="38"/>
      <c r="U57" s="22"/>
    </row>
    <row r="58" spans="1:23" ht="12.75" customHeight="1" x14ac:dyDescent="0.2">
      <c r="A58" s="181"/>
      <c r="B58" s="60" t="s">
        <v>317</v>
      </c>
      <c r="C58" s="90">
        <f ca="1">_xlfn.LET(
_xlpm.recurring,SUMIFS(INDEX(recurring_master!$A:$AF,,MATCH($B58,recurring_master!$A$1:$AF$1,0)),recurring_master!$A:$A,"&lt;="&amp;EOMONTH(C$4,0),recurring_master!$A:$A,"&gt;="&amp;C$4),
_xlpm.planned,SUMIFS(#REF!,#REF!,$B58,#REF!,"&gt;="&amp;C$4,#REF!,"&lt;="&amp;EOMONTH(C$4,0)),
IFERROR(_xlpm.recurring,0)+IFERROR(_xlpm.planned,0))</f>
        <v>0</v>
      </c>
      <c r="D58" s="90">
        <f ca="1">_xlfn.LET(
_xlpm.recurring,SUMIFS(INDEX(recurring_master!$A:$AF,,MATCH($B58,recurring_master!$A$1:$AF$1,0)),recurring_master!$A:$A,"&lt;="&amp;EOMONTH(D$4,0),recurring_master!$A:$A,"&gt;="&amp;D$4),
_xlpm.planned,SUMIFS(#REF!,#REF!,$B58,#REF!,"&gt;="&amp;D$4,#REF!,"&lt;="&amp;EOMONTH(D$4,0)),
IFERROR(_xlpm.recurring,0)+IFERROR(_xlpm.planned,0))</f>
        <v>0</v>
      </c>
      <c r="E58" s="90">
        <f ca="1">_xlfn.LET(
_xlpm.recurring,SUMIFS(INDEX(recurring_master!$A:$AF,,MATCH($B58,recurring_master!$A$1:$AF$1,0)),recurring_master!$A:$A,"&lt;="&amp;EOMONTH(E$4,0),recurring_master!$A:$A,"&gt;="&amp;E$4),
_xlpm.planned,SUMIFS(#REF!,#REF!,$B58,#REF!,"&gt;="&amp;E$4,#REF!,"&lt;="&amp;EOMONTH(E$4,0)),
IFERROR(_xlpm.recurring,0)+IFERROR(_xlpm.planned,0))</f>
        <v>0</v>
      </c>
      <c r="F58" s="90">
        <f ca="1">_xlfn.LET(
_xlpm.recurring,SUMIFS(INDEX(recurring_master!$A:$AF,,MATCH($B58,recurring_master!$A$1:$AF$1,0)),recurring_master!$A:$A,"&lt;="&amp;EOMONTH(F$4,0),recurring_master!$A:$A,"&gt;="&amp;F$4),
_xlpm.planned,SUMIFS(#REF!,#REF!,$B58,#REF!,"&gt;="&amp;F$4,#REF!,"&lt;="&amp;EOMONTH(F$4,0)),
IFERROR(_xlpm.recurring,0)+IFERROR(_xlpm.planned,0))</f>
        <v>0</v>
      </c>
      <c r="G58" s="90">
        <f ca="1">_xlfn.LET(
_xlpm.recurring,SUMIFS(INDEX(recurring_master!$A:$AF,,MATCH($B58,recurring_master!$A$1:$AF$1,0)),recurring_master!$A:$A,"&lt;="&amp;EOMONTH(G$4,0),recurring_master!$A:$A,"&gt;="&amp;G$4),
_xlpm.planned,SUMIFS(#REF!,#REF!,$B58,#REF!,"&gt;="&amp;G$4,#REF!,"&lt;="&amp;EOMONTH(G$4,0)),
IFERROR(_xlpm.recurring,0)+IFERROR(_xlpm.planned,0))</f>
        <v>0</v>
      </c>
      <c r="H58" s="90">
        <f ca="1">_xlfn.LET(
_xlpm.recurring,SUMIFS(INDEX(recurring_master!$A:$AF,,MATCH($B58,recurring_master!$A$1:$AF$1,0)),recurring_master!$A:$A,"&lt;="&amp;EOMONTH(H$4,0),recurring_master!$A:$A,"&gt;="&amp;H$4),
_xlpm.planned,SUMIFS(#REF!,#REF!,$B58,#REF!,"&gt;="&amp;H$4,#REF!,"&lt;="&amp;EOMONTH(H$4,0)),
IFERROR(_xlpm.recurring,0)+IFERROR(_xlpm.planned,0))</f>
        <v>0</v>
      </c>
      <c r="I58" s="90">
        <f ca="1">_xlfn.LET(
_xlpm.recurring,SUMIFS(INDEX(recurring_master!$A:$AF,,MATCH($B58,recurring_master!$A$1:$AF$1,0)),recurring_master!$A:$A,"&lt;="&amp;EOMONTH(I$4,0),recurring_master!$A:$A,"&gt;="&amp;I$4),
_xlpm.planned,SUMIFS(#REF!,#REF!,$B58,#REF!,"&gt;="&amp;I$4,#REF!,"&lt;="&amp;EOMONTH(I$4,0)),
IFERROR(_xlpm.recurring,0)+IFERROR(_xlpm.planned,0))</f>
        <v>0</v>
      </c>
      <c r="J58" s="90">
        <f ca="1">_xlfn.LET(
_xlpm.recurring,SUMIFS(INDEX(recurring_master!$A:$AF,,MATCH($B58,recurring_master!$A$1:$AF$1,0)),recurring_master!$A:$A,"&lt;="&amp;EOMONTH(J$4,0),recurring_master!$A:$A,"&gt;="&amp;J$4),
_xlpm.planned,SUMIFS(#REF!,#REF!,$B58,#REF!,"&gt;="&amp;J$4,#REF!,"&lt;="&amp;EOMONTH(J$4,0)),
IFERROR(_xlpm.recurring,0)+IFERROR(_xlpm.planned,0))</f>
        <v>0</v>
      </c>
      <c r="K58" s="90">
        <f ca="1">_xlfn.LET(
_xlpm.recurring,SUMIFS(INDEX(recurring_master!$A:$AF,,MATCH($B58,recurring_master!$A$1:$AF$1,0)),recurring_master!$A:$A,"&lt;="&amp;EOMONTH(K$4,0),recurring_master!$A:$A,"&gt;="&amp;K$4),
_xlpm.planned,SUMIFS(#REF!,#REF!,$B58,#REF!,"&gt;="&amp;K$4,#REF!,"&lt;="&amp;EOMONTH(K$4,0)),
IFERROR(_xlpm.recurring,0)+IFERROR(_xlpm.planned,0))</f>
        <v>0</v>
      </c>
      <c r="L58" s="90">
        <f ca="1">_xlfn.LET(
_xlpm.recurring,SUMIFS(INDEX(recurring_master!$A:$AF,,MATCH($B58,recurring_master!$A$1:$AF$1,0)),recurring_master!$A:$A,"&lt;="&amp;EOMONTH(L$4,0),recurring_master!$A:$A,"&gt;="&amp;L$4),
_xlpm.planned,SUMIFS(#REF!,#REF!,$B58,#REF!,"&gt;="&amp;L$4,#REF!,"&lt;="&amp;EOMONTH(L$4,0)),
IFERROR(_xlpm.recurring,0)+IFERROR(_xlpm.planned,0))</f>
        <v>0</v>
      </c>
      <c r="M58" s="90">
        <f ca="1">_xlfn.LET(
_xlpm.recurring,SUMIFS(INDEX(recurring_master!$A:$AF,,MATCH($B58,recurring_master!$A$1:$AF$1,0)),recurring_master!$A:$A,"&lt;="&amp;EOMONTH(M$4,0),recurring_master!$A:$A,"&gt;="&amp;M$4),
_xlpm.planned,SUMIFS(#REF!,#REF!,$B58,#REF!,"&gt;="&amp;M$4,#REF!,"&lt;="&amp;EOMONTH(M$4,0)),
IFERROR(_xlpm.recurring,0)+IFERROR(_xlpm.planned,0))</f>
        <v>0</v>
      </c>
      <c r="N58" s="90">
        <f ca="1">_xlfn.LET(
_xlpm.recurring,SUMIFS(INDEX(recurring_master!$A:$AF,,MATCH($B58,recurring_master!$A$1:$AF$1,0)),recurring_master!$A:$A,"&lt;="&amp;EOMONTH(N$4,0),recurring_master!$A:$A,"&gt;="&amp;N$4),
_xlpm.planned,SUMIFS(#REF!,#REF!,$B58,#REF!,"&gt;="&amp;N$4,#REF!,"&lt;="&amp;EOMONTH(N$4,0)),
IFERROR(_xlpm.recurring,0)+IFERROR(_xlpm.planned,0))</f>
        <v>0</v>
      </c>
      <c r="O58" s="81"/>
      <c r="P58" s="91">
        <f t="shared" ca="1" si="15"/>
        <v>0</v>
      </c>
      <c r="Q58" s="46"/>
      <c r="R58" s="38"/>
      <c r="U58" s="22"/>
    </row>
    <row r="59" spans="1:23" ht="12.75" customHeight="1" x14ac:dyDescent="0.2">
      <c r="A59" s="181"/>
      <c r="B59" s="60" t="s">
        <v>318</v>
      </c>
      <c r="C59" s="90">
        <f ca="1">_xlfn.LET(
_xlpm.recurring,SUMIFS(INDEX(recurring_master!$A:$AF,,MATCH($B59,recurring_master!$A$1:$AF$1,0)),recurring_master!$A:$A,"&lt;="&amp;EOMONTH(C$4,0),recurring_master!$A:$A,"&gt;="&amp;C$4),
_xlpm.planned,SUMIFS(#REF!,#REF!,$B59,#REF!,"&gt;="&amp;C$4,#REF!,"&lt;="&amp;EOMONTH(C$4,0)),
IFERROR(_xlpm.recurring,0)+IFERROR(_xlpm.planned,0))</f>
        <v>0</v>
      </c>
      <c r="D59" s="90">
        <f ca="1">_xlfn.LET(
_xlpm.recurring,SUMIFS(INDEX(recurring_master!$A:$AF,,MATCH($B59,recurring_master!$A$1:$AF$1,0)),recurring_master!$A:$A,"&lt;="&amp;EOMONTH(D$4,0),recurring_master!$A:$A,"&gt;="&amp;D$4),
_xlpm.planned,SUMIFS(#REF!,#REF!,$B59,#REF!,"&gt;="&amp;D$4,#REF!,"&lt;="&amp;EOMONTH(D$4,0)),
IFERROR(_xlpm.recurring,0)+IFERROR(_xlpm.planned,0))</f>
        <v>0</v>
      </c>
      <c r="E59" s="90">
        <f ca="1">_xlfn.LET(
_xlpm.recurring,SUMIFS(INDEX(recurring_master!$A:$AF,,MATCH($B59,recurring_master!$A$1:$AF$1,0)),recurring_master!$A:$A,"&lt;="&amp;EOMONTH(E$4,0),recurring_master!$A:$A,"&gt;="&amp;E$4),
_xlpm.planned,SUMIFS(#REF!,#REF!,$B59,#REF!,"&gt;="&amp;E$4,#REF!,"&lt;="&amp;EOMONTH(E$4,0)),
IFERROR(_xlpm.recurring,0)+IFERROR(_xlpm.planned,0))</f>
        <v>0</v>
      </c>
      <c r="F59" s="90">
        <f ca="1">_xlfn.LET(
_xlpm.recurring,SUMIFS(INDEX(recurring_master!$A:$AF,,MATCH($B59,recurring_master!$A$1:$AF$1,0)),recurring_master!$A:$A,"&lt;="&amp;EOMONTH(F$4,0),recurring_master!$A:$A,"&gt;="&amp;F$4),
_xlpm.planned,SUMIFS(#REF!,#REF!,$B59,#REF!,"&gt;="&amp;F$4,#REF!,"&lt;="&amp;EOMONTH(F$4,0)),
IFERROR(_xlpm.recurring,0)+IFERROR(_xlpm.planned,0))</f>
        <v>0</v>
      </c>
      <c r="G59" s="90">
        <f ca="1">_xlfn.LET(
_xlpm.recurring,SUMIFS(INDEX(recurring_master!$A:$AF,,MATCH($B59,recurring_master!$A$1:$AF$1,0)),recurring_master!$A:$A,"&lt;="&amp;EOMONTH(G$4,0),recurring_master!$A:$A,"&gt;="&amp;G$4),
_xlpm.planned,SUMIFS(#REF!,#REF!,$B59,#REF!,"&gt;="&amp;G$4,#REF!,"&lt;="&amp;EOMONTH(G$4,0)),
IFERROR(_xlpm.recurring,0)+IFERROR(_xlpm.planned,0))</f>
        <v>0</v>
      </c>
      <c r="H59" s="90">
        <f ca="1">_xlfn.LET(
_xlpm.recurring,SUMIFS(INDEX(recurring_master!$A:$AF,,MATCH($B59,recurring_master!$A$1:$AF$1,0)),recurring_master!$A:$A,"&lt;="&amp;EOMONTH(H$4,0),recurring_master!$A:$A,"&gt;="&amp;H$4),
_xlpm.planned,SUMIFS(#REF!,#REF!,$B59,#REF!,"&gt;="&amp;H$4,#REF!,"&lt;="&amp;EOMONTH(H$4,0)),
IFERROR(_xlpm.recurring,0)+IFERROR(_xlpm.planned,0))</f>
        <v>20</v>
      </c>
      <c r="I59" s="90">
        <f ca="1">_xlfn.LET(
_xlpm.recurring,SUMIFS(INDEX(recurring_master!$A:$AF,,MATCH($B59,recurring_master!$A$1:$AF$1,0)),recurring_master!$A:$A,"&lt;="&amp;EOMONTH(I$4,0),recurring_master!$A:$A,"&gt;="&amp;I$4),
_xlpm.planned,SUMIFS(#REF!,#REF!,$B59,#REF!,"&gt;="&amp;I$4,#REF!,"&lt;="&amp;EOMONTH(I$4,0)),
IFERROR(_xlpm.recurring,0)+IFERROR(_xlpm.planned,0))</f>
        <v>0</v>
      </c>
      <c r="J59" s="90">
        <f ca="1">_xlfn.LET(
_xlpm.recurring,SUMIFS(INDEX(recurring_master!$A:$AF,,MATCH($B59,recurring_master!$A$1:$AF$1,0)),recurring_master!$A:$A,"&lt;="&amp;EOMONTH(J$4,0),recurring_master!$A:$A,"&gt;="&amp;J$4),
_xlpm.planned,SUMIFS(#REF!,#REF!,$B59,#REF!,"&gt;="&amp;J$4,#REF!,"&lt;="&amp;EOMONTH(J$4,0)),
IFERROR(_xlpm.recurring,0)+IFERROR(_xlpm.planned,0))</f>
        <v>0</v>
      </c>
      <c r="K59" s="90">
        <f ca="1">_xlfn.LET(
_xlpm.recurring,SUMIFS(INDEX(recurring_master!$A:$AF,,MATCH($B59,recurring_master!$A$1:$AF$1,0)),recurring_master!$A:$A,"&lt;="&amp;EOMONTH(K$4,0),recurring_master!$A:$A,"&gt;="&amp;K$4),
_xlpm.planned,SUMIFS(#REF!,#REF!,$B59,#REF!,"&gt;="&amp;K$4,#REF!,"&lt;="&amp;EOMONTH(K$4,0)),
IFERROR(_xlpm.recurring,0)+IFERROR(_xlpm.planned,0))</f>
        <v>0</v>
      </c>
      <c r="L59" s="90">
        <f ca="1">_xlfn.LET(
_xlpm.recurring,SUMIFS(INDEX(recurring_master!$A:$AF,,MATCH($B59,recurring_master!$A$1:$AF$1,0)),recurring_master!$A:$A,"&lt;="&amp;EOMONTH(L$4,0),recurring_master!$A:$A,"&gt;="&amp;L$4),
_xlpm.planned,SUMIFS(#REF!,#REF!,$B59,#REF!,"&gt;="&amp;L$4,#REF!,"&lt;="&amp;EOMONTH(L$4,0)),
IFERROR(_xlpm.recurring,0)+IFERROR(_xlpm.planned,0))</f>
        <v>0</v>
      </c>
      <c r="M59" s="90">
        <f ca="1">_xlfn.LET(
_xlpm.recurring,SUMIFS(INDEX(recurring_master!$A:$AF,,MATCH($B59,recurring_master!$A$1:$AF$1,0)),recurring_master!$A:$A,"&lt;="&amp;EOMONTH(M$4,0),recurring_master!$A:$A,"&gt;="&amp;M$4),
_xlpm.planned,SUMIFS(#REF!,#REF!,$B59,#REF!,"&gt;="&amp;M$4,#REF!,"&lt;="&amp;EOMONTH(M$4,0)),
IFERROR(_xlpm.recurring,0)+IFERROR(_xlpm.planned,0))</f>
        <v>0</v>
      </c>
      <c r="N59" s="90">
        <f ca="1">_xlfn.LET(
_xlpm.recurring,SUMIFS(INDEX(recurring_master!$A:$AF,,MATCH($B59,recurring_master!$A$1:$AF$1,0)),recurring_master!$A:$A,"&lt;="&amp;EOMONTH(N$4,0),recurring_master!$A:$A,"&gt;="&amp;N$4),
_xlpm.planned,SUMIFS(#REF!,#REF!,$B59,#REF!,"&gt;="&amp;N$4,#REF!,"&lt;="&amp;EOMONTH(N$4,0)),
IFERROR(_xlpm.recurring,0)+IFERROR(_xlpm.planned,0))</f>
        <v>20</v>
      </c>
      <c r="O59" s="81"/>
      <c r="P59" s="91">
        <f t="shared" ca="1" si="15"/>
        <v>40</v>
      </c>
      <c r="Q59" s="46"/>
      <c r="R59" s="38" t="s">
        <v>367</v>
      </c>
      <c r="U59" s="22"/>
    </row>
    <row r="60" spans="1:23" ht="12.75" customHeight="1" x14ac:dyDescent="0.2">
      <c r="A60" s="181"/>
      <c r="B60" s="60" t="s">
        <v>278</v>
      </c>
      <c r="C60" s="90">
        <f ca="1">_xlfn.LET(
_xlpm.recurring,SUMIFS(INDEX(recurring_master!$A:$AF,,MATCH($B60,recurring_master!$A$1:$AF$1,0)),recurring_master!$A:$A,"&lt;="&amp;EOMONTH(C$4,0),recurring_master!$A:$A,"&gt;="&amp;C$4),
_xlpm.planned,SUMIFS(#REF!,#REF!,$B60,#REF!,"&gt;="&amp;C$4,#REF!,"&lt;="&amp;EOMONTH(C$4,0)),
IFERROR(_xlpm.recurring,0)+IFERROR(_xlpm.planned,0))</f>
        <v>2.99</v>
      </c>
      <c r="D60" s="90">
        <f ca="1">_xlfn.LET(
_xlpm.recurring,SUMIFS(INDEX(recurring_master!$A:$AF,,MATCH($B60,recurring_master!$A$1:$AF$1,0)),recurring_master!$A:$A,"&lt;="&amp;EOMONTH(D$4,0),recurring_master!$A:$A,"&gt;="&amp;D$4),
_xlpm.planned,SUMIFS(#REF!,#REF!,$B60,#REF!,"&gt;="&amp;D$4,#REF!,"&lt;="&amp;EOMONTH(D$4,0)),
IFERROR(_xlpm.recurring,0)+IFERROR(_xlpm.planned,0))</f>
        <v>50.287174515235463</v>
      </c>
      <c r="E60" s="90">
        <f ca="1">_xlfn.LET(
_xlpm.recurring,SUMIFS(INDEX(recurring_master!$A:$AF,,MATCH($B60,recurring_master!$A$1:$AF$1,0)),recurring_master!$A:$A,"&lt;="&amp;EOMONTH(E$4,0),recurring_master!$A:$A,"&gt;="&amp;E$4),
_xlpm.planned,SUMIFS(#REF!,#REF!,$B60,#REF!,"&gt;="&amp;E$4,#REF!,"&lt;="&amp;EOMONTH(E$4,0)),
IFERROR(_xlpm.recurring,0)+IFERROR(_xlpm.planned,0))</f>
        <v>50.287174515235463</v>
      </c>
      <c r="F60" s="90">
        <f ca="1">_xlfn.LET(
_xlpm.recurring,SUMIFS(INDEX(recurring_master!$A:$AF,,MATCH($B60,recurring_master!$A$1:$AF$1,0)),recurring_master!$A:$A,"&lt;="&amp;EOMONTH(F$4,0),recurring_master!$A:$A,"&gt;="&amp;F$4),
_xlpm.planned,SUMIFS(#REF!,#REF!,$B60,#REF!,"&gt;="&amp;F$4,#REF!,"&lt;="&amp;EOMONTH(F$4,0)),
IFERROR(_xlpm.recurring,0)+IFERROR(_xlpm.planned,0))</f>
        <v>50.287174515235463</v>
      </c>
      <c r="G60" s="90">
        <f ca="1">_xlfn.LET(
_xlpm.recurring,SUMIFS(INDEX(recurring_master!$A:$AF,,MATCH($B60,recurring_master!$A$1:$AF$1,0)),recurring_master!$A:$A,"&lt;="&amp;EOMONTH(G$4,0),recurring_master!$A:$A,"&gt;="&amp;G$4),
_xlpm.planned,SUMIFS(#REF!,#REF!,$B60,#REF!,"&gt;="&amp;G$4,#REF!,"&lt;="&amp;EOMONTH(G$4,0)),
IFERROR(_xlpm.recurring,0)+IFERROR(_xlpm.planned,0))</f>
        <v>50.287174515235463</v>
      </c>
      <c r="H60" s="90">
        <f ca="1">_xlfn.LET(
_xlpm.recurring,SUMIFS(INDEX(recurring_master!$A:$AF,,MATCH($B60,recurring_master!$A$1:$AF$1,0)),recurring_master!$A:$A,"&lt;="&amp;EOMONTH(H$4,0),recurring_master!$A:$A,"&gt;="&amp;H$4),
_xlpm.planned,SUMIFS(#REF!,#REF!,$B60,#REF!,"&gt;="&amp;H$4,#REF!,"&lt;="&amp;EOMONTH(H$4,0)),
IFERROR(_xlpm.recurring,0)+IFERROR(_xlpm.planned,0))</f>
        <v>50.287174515235463</v>
      </c>
      <c r="I60" s="90">
        <f ca="1">_xlfn.LET(
_xlpm.recurring,SUMIFS(INDEX(recurring_master!$A:$AF,,MATCH($B60,recurring_master!$A$1:$AF$1,0)),recurring_master!$A:$A,"&lt;="&amp;EOMONTH(I$4,0),recurring_master!$A:$A,"&gt;="&amp;I$4),
_xlpm.planned,SUMIFS(#REF!,#REF!,$B60,#REF!,"&gt;="&amp;I$4,#REF!,"&lt;="&amp;EOMONTH(I$4,0)),
IFERROR(_xlpm.recurring,0)+IFERROR(_xlpm.planned,0))</f>
        <v>50.287174515235463</v>
      </c>
      <c r="J60" s="90">
        <f ca="1">_xlfn.LET(
_xlpm.recurring,SUMIFS(INDEX(recurring_master!$A:$AF,,MATCH($B60,recurring_master!$A$1:$AF$1,0)),recurring_master!$A:$A,"&lt;="&amp;EOMONTH(J$4,0),recurring_master!$A:$A,"&gt;="&amp;J$4),
_xlpm.planned,SUMIFS(#REF!,#REF!,$B60,#REF!,"&gt;="&amp;J$4,#REF!,"&lt;="&amp;EOMONTH(J$4,0)),
IFERROR(_xlpm.recurring,0)+IFERROR(_xlpm.planned,0))</f>
        <v>50.287174515235463</v>
      </c>
      <c r="K60" s="90">
        <f ca="1">_xlfn.LET(
_xlpm.recurring,SUMIFS(INDEX(recurring_master!$A:$AF,,MATCH($B60,recurring_master!$A$1:$AF$1,0)),recurring_master!$A:$A,"&lt;="&amp;EOMONTH(K$4,0),recurring_master!$A:$A,"&gt;="&amp;K$4),
_xlpm.planned,SUMIFS(#REF!,#REF!,$B60,#REF!,"&gt;="&amp;K$4,#REF!,"&lt;="&amp;EOMONTH(K$4,0)),
IFERROR(_xlpm.recurring,0)+IFERROR(_xlpm.planned,0))</f>
        <v>50.287174515235463</v>
      </c>
      <c r="L60" s="90">
        <f ca="1">_xlfn.LET(
_xlpm.recurring,SUMIFS(INDEX(recurring_master!$A:$AF,,MATCH($B60,recurring_master!$A$1:$AF$1,0)),recurring_master!$A:$A,"&lt;="&amp;EOMONTH(L$4,0),recurring_master!$A:$A,"&gt;="&amp;L$4),
_xlpm.planned,SUMIFS(#REF!,#REF!,$B60,#REF!,"&gt;="&amp;L$4,#REF!,"&lt;="&amp;EOMONTH(L$4,0)),
IFERROR(_xlpm.recurring,0)+IFERROR(_xlpm.planned,0))</f>
        <v>50.287174515235463</v>
      </c>
      <c r="M60" s="90">
        <f ca="1">_xlfn.LET(
_xlpm.recurring,SUMIFS(INDEX(recurring_master!$A:$AF,,MATCH($B60,recurring_master!$A$1:$AF$1,0)),recurring_master!$A:$A,"&lt;="&amp;EOMONTH(M$4,0),recurring_master!$A:$A,"&gt;="&amp;M$4),
_xlpm.planned,SUMIFS(#REF!,#REF!,$B60,#REF!,"&gt;="&amp;M$4,#REF!,"&lt;="&amp;EOMONTH(M$4,0)),
IFERROR(_xlpm.recurring,0)+IFERROR(_xlpm.planned,0))</f>
        <v>50.287174515235463</v>
      </c>
      <c r="N60" s="90">
        <f ca="1">_xlfn.LET(
_xlpm.recurring,SUMIFS(INDEX(recurring_master!$A:$AF,,MATCH($B60,recurring_master!$A$1:$AF$1,0)),recurring_master!$A:$A,"&lt;="&amp;EOMONTH(N$4,0),recurring_master!$A:$A,"&gt;="&amp;N$4),
_xlpm.planned,SUMIFS(#REF!,#REF!,$B60,#REF!,"&gt;="&amp;N$4,#REF!,"&lt;="&amp;EOMONTH(N$4,0)),
IFERROR(_xlpm.recurring,0)+IFERROR(_xlpm.planned,0))</f>
        <v>50.287174515235463</v>
      </c>
      <c r="O60" s="81"/>
      <c r="P60" s="91">
        <f t="shared" ca="1" si="15"/>
        <v>556.14891966759001</v>
      </c>
      <c r="Q60" s="47"/>
      <c r="R60" s="38"/>
    </row>
    <row r="61" spans="1:23" ht="12.75" customHeight="1" x14ac:dyDescent="0.2">
      <c r="A61" s="181"/>
      <c r="B61" s="69" t="s">
        <v>320</v>
      </c>
      <c r="C61" s="90">
        <f ca="1">_xlfn.LET(
_xlpm.recurring,SUMIFS(INDEX(recurring_master!$A:$AF,,MATCH($B61,recurring_master!$A$1:$AF$1,0)),recurring_master!$A:$A,"&lt;="&amp;EOMONTH(C$4,0),recurring_master!$A:$A,"&gt;="&amp;C$4),
_xlpm.planned,SUMIFS(#REF!,#REF!,$B61,#REF!,"&gt;="&amp;C$4,#REF!,"&lt;="&amp;EOMONTH(C$4,0)),
IFERROR(_xlpm.recurring,0)+IFERROR(_xlpm.planned,0))</f>
        <v>0</v>
      </c>
      <c r="D61" s="90">
        <f ca="1">_xlfn.LET(
_xlpm.recurring,SUMIFS(INDEX(recurring_master!$A:$AF,,MATCH($B61,recurring_master!$A$1:$AF$1,0)),recurring_master!$A:$A,"&lt;="&amp;EOMONTH(D$4,0),recurring_master!$A:$A,"&gt;="&amp;D$4),
_xlpm.planned,SUMIFS(#REF!,#REF!,$B61,#REF!,"&gt;="&amp;D$4,#REF!,"&lt;="&amp;EOMONTH(D$4,0)),
IFERROR(_xlpm.recurring,0)+IFERROR(_xlpm.planned,0))</f>
        <v>0</v>
      </c>
      <c r="E61" s="90">
        <f ca="1">_xlfn.LET(
_xlpm.recurring,SUMIFS(INDEX(recurring_master!$A:$AF,,MATCH($B61,recurring_master!$A$1:$AF$1,0)),recurring_master!$A:$A,"&lt;="&amp;EOMONTH(E$4,0),recurring_master!$A:$A,"&gt;="&amp;E$4),
_xlpm.planned,SUMIFS(#REF!,#REF!,$B61,#REF!,"&gt;="&amp;E$4,#REF!,"&lt;="&amp;EOMONTH(E$4,0)),
IFERROR(_xlpm.recurring,0)+IFERROR(_xlpm.planned,0))</f>
        <v>0</v>
      </c>
      <c r="F61" s="90">
        <f ca="1">_xlfn.LET(
_xlpm.recurring,SUMIFS(INDEX(recurring_master!$A:$AF,,MATCH($B61,recurring_master!$A$1:$AF$1,0)),recurring_master!$A:$A,"&lt;="&amp;EOMONTH(F$4,0),recurring_master!$A:$A,"&gt;="&amp;F$4),
_xlpm.planned,SUMIFS(#REF!,#REF!,$B61,#REF!,"&gt;="&amp;F$4,#REF!,"&lt;="&amp;EOMONTH(F$4,0)),
IFERROR(_xlpm.recurring,0)+IFERROR(_xlpm.planned,0))</f>
        <v>0</v>
      </c>
      <c r="G61" s="90">
        <f ca="1">_xlfn.LET(
_xlpm.recurring,SUMIFS(INDEX(recurring_master!$A:$AF,,MATCH($B61,recurring_master!$A$1:$AF$1,0)),recurring_master!$A:$A,"&lt;="&amp;EOMONTH(G$4,0),recurring_master!$A:$A,"&gt;="&amp;G$4),
_xlpm.planned,SUMIFS(#REF!,#REF!,$B61,#REF!,"&gt;="&amp;G$4,#REF!,"&lt;="&amp;EOMONTH(G$4,0)),
IFERROR(_xlpm.recurring,0)+IFERROR(_xlpm.planned,0))</f>
        <v>0</v>
      </c>
      <c r="H61" s="90">
        <f ca="1">_xlfn.LET(
_xlpm.recurring,SUMIFS(INDEX(recurring_master!$A:$AF,,MATCH($B61,recurring_master!$A$1:$AF$1,0)),recurring_master!$A:$A,"&lt;="&amp;EOMONTH(H$4,0),recurring_master!$A:$A,"&gt;="&amp;H$4),
_xlpm.planned,SUMIFS(#REF!,#REF!,$B61,#REF!,"&gt;="&amp;H$4,#REF!,"&lt;="&amp;EOMONTH(H$4,0)),
IFERROR(_xlpm.recurring,0)+IFERROR(_xlpm.planned,0))</f>
        <v>0</v>
      </c>
      <c r="I61" s="90">
        <f ca="1">_xlfn.LET(
_xlpm.recurring,SUMIFS(INDEX(recurring_master!$A:$AF,,MATCH($B61,recurring_master!$A$1:$AF$1,0)),recurring_master!$A:$A,"&lt;="&amp;EOMONTH(I$4,0),recurring_master!$A:$A,"&gt;="&amp;I$4),
_xlpm.planned,SUMIFS(#REF!,#REF!,$B61,#REF!,"&gt;="&amp;I$4,#REF!,"&lt;="&amp;EOMONTH(I$4,0)),
IFERROR(_xlpm.recurring,0)+IFERROR(_xlpm.planned,0))</f>
        <v>0</v>
      </c>
      <c r="J61" s="90">
        <f ca="1">_xlfn.LET(
_xlpm.recurring,SUMIFS(INDEX(recurring_master!$A:$AF,,MATCH($B61,recurring_master!$A$1:$AF$1,0)),recurring_master!$A:$A,"&lt;="&amp;EOMONTH(J$4,0),recurring_master!$A:$A,"&gt;="&amp;J$4),
_xlpm.planned,SUMIFS(#REF!,#REF!,$B61,#REF!,"&gt;="&amp;J$4,#REF!,"&lt;="&amp;EOMONTH(J$4,0)),
IFERROR(_xlpm.recurring,0)+IFERROR(_xlpm.planned,0))</f>
        <v>0</v>
      </c>
      <c r="K61" s="90">
        <f ca="1">_xlfn.LET(
_xlpm.recurring,SUMIFS(INDEX(recurring_master!$A:$AF,,MATCH($B61,recurring_master!$A$1:$AF$1,0)),recurring_master!$A:$A,"&lt;="&amp;EOMONTH(K$4,0),recurring_master!$A:$A,"&gt;="&amp;K$4),
_xlpm.planned,SUMIFS(#REF!,#REF!,$B61,#REF!,"&gt;="&amp;K$4,#REF!,"&lt;="&amp;EOMONTH(K$4,0)),
IFERROR(_xlpm.recurring,0)+IFERROR(_xlpm.planned,0))</f>
        <v>0</v>
      </c>
      <c r="L61" s="90">
        <f ca="1">_xlfn.LET(
_xlpm.recurring,SUMIFS(INDEX(recurring_master!$A:$AF,,MATCH($B61,recurring_master!$A$1:$AF$1,0)),recurring_master!$A:$A,"&lt;="&amp;EOMONTH(L$4,0),recurring_master!$A:$A,"&gt;="&amp;L$4),
_xlpm.planned,SUMIFS(#REF!,#REF!,$B61,#REF!,"&gt;="&amp;L$4,#REF!,"&lt;="&amp;EOMONTH(L$4,0)),
IFERROR(_xlpm.recurring,0)+IFERROR(_xlpm.planned,0))</f>
        <v>0</v>
      </c>
      <c r="M61" s="90">
        <f ca="1">_xlfn.LET(
_xlpm.recurring,SUMIFS(INDEX(recurring_master!$A:$AF,,MATCH($B61,recurring_master!$A$1:$AF$1,0)),recurring_master!$A:$A,"&lt;="&amp;EOMONTH(M$4,0),recurring_master!$A:$A,"&gt;="&amp;M$4),
_xlpm.planned,SUMIFS(#REF!,#REF!,$B61,#REF!,"&gt;="&amp;M$4,#REF!,"&lt;="&amp;EOMONTH(M$4,0)),
IFERROR(_xlpm.recurring,0)+IFERROR(_xlpm.planned,0))</f>
        <v>0</v>
      </c>
      <c r="N61" s="90">
        <f ca="1">_xlfn.LET(
_xlpm.recurring,SUMIFS(INDEX(recurring_master!$A:$AF,,MATCH($B61,recurring_master!$A$1:$AF$1,0)),recurring_master!$A:$A,"&lt;="&amp;EOMONTH(N$4,0),recurring_master!$A:$A,"&gt;="&amp;N$4),
_xlpm.planned,SUMIFS(#REF!,#REF!,$B61,#REF!,"&gt;="&amp;N$4,#REF!,"&lt;="&amp;EOMONTH(N$4,0)),
IFERROR(_xlpm.recurring,0)+IFERROR(_xlpm.planned,0))</f>
        <v>0</v>
      </c>
      <c r="O61" s="81"/>
      <c r="P61" s="91">
        <f t="shared" ca="1" si="15"/>
        <v>0</v>
      </c>
      <c r="Q61" s="46"/>
      <c r="R61" s="38" t="s">
        <v>368</v>
      </c>
      <c r="U61" s="22"/>
    </row>
    <row r="62" spans="1:23" ht="5.0999999999999996" customHeight="1" x14ac:dyDescent="0.2">
      <c r="A62" s="181"/>
      <c r="B62" s="60"/>
      <c r="C62" s="81"/>
      <c r="D62" s="81"/>
      <c r="E62" s="81"/>
      <c r="F62" s="81"/>
      <c r="G62" s="81"/>
      <c r="H62" s="81"/>
      <c r="I62" s="81"/>
      <c r="J62" s="81"/>
      <c r="K62" s="81"/>
      <c r="L62" s="81"/>
      <c r="M62" s="81"/>
      <c r="N62" s="81"/>
      <c r="O62" s="81"/>
      <c r="P62" s="91"/>
      <c r="Q62" s="46"/>
      <c r="R62" s="38"/>
      <c r="W62" s="18"/>
    </row>
    <row r="63" spans="1:23" ht="12.75" customHeight="1" x14ac:dyDescent="0.2">
      <c r="A63" s="181"/>
      <c r="B63" s="70" t="str">
        <f>"Total "&amp;B54</f>
        <v>Total FLEXIBLE OUTFLOWS</v>
      </c>
      <c r="C63" s="98">
        <f t="shared" ref="C63:N63" ca="1" si="16">SUM(C54:C62)</f>
        <v>303.26700831024931</v>
      </c>
      <c r="D63" s="98">
        <f t="shared" ca="1" si="16"/>
        <v>1251.9492243767318</v>
      </c>
      <c r="E63" s="98">
        <f t="shared" ca="1" si="16"/>
        <v>1452.0046260387817</v>
      </c>
      <c r="F63" s="98">
        <f t="shared" ca="1" si="16"/>
        <v>1351.9492243767318</v>
      </c>
      <c r="G63" s="98">
        <f t="shared" ca="1" si="16"/>
        <v>1252.0046260387817</v>
      </c>
      <c r="H63" s="98">
        <f t="shared" ca="1" si="16"/>
        <v>1572.0046260387819</v>
      </c>
      <c r="I63" s="98">
        <f t="shared" ca="1" si="16"/>
        <v>1251.9492243767318</v>
      </c>
      <c r="J63" s="98">
        <f t="shared" ca="1" si="16"/>
        <v>1252.0046260387817</v>
      </c>
      <c r="K63" s="98">
        <f t="shared" ca="1" si="16"/>
        <v>1551.949224376732</v>
      </c>
      <c r="L63" s="98">
        <f t="shared" ca="1" si="16"/>
        <v>1252.0046260387817</v>
      </c>
      <c r="M63" s="98">
        <f t="shared" ca="1" si="16"/>
        <v>1452.0046260387817</v>
      </c>
      <c r="N63" s="99">
        <f t="shared" ca="1" si="16"/>
        <v>1271.8384210526319</v>
      </c>
      <c r="O63" s="98"/>
      <c r="P63" s="100">
        <f ca="1">SUM(P45:P54)</f>
        <v>28080</v>
      </c>
      <c r="Q63" s="46"/>
      <c r="R63" s="38"/>
      <c r="U63" s="22"/>
    </row>
    <row r="64" spans="1:23" ht="5.0999999999999996" customHeight="1" x14ac:dyDescent="0.2">
      <c r="A64" s="181"/>
      <c r="B64" s="58"/>
      <c r="C64" s="81"/>
      <c r="D64" s="81"/>
      <c r="E64" s="81"/>
      <c r="F64" s="81"/>
      <c r="G64" s="81"/>
      <c r="H64" s="81"/>
      <c r="I64" s="81"/>
      <c r="J64" s="81"/>
      <c r="K64" s="81"/>
      <c r="L64" s="81"/>
      <c r="M64" s="81"/>
      <c r="N64" s="81"/>
      <c r="O64" s="81"/>
      <c r="P64" s="81"/>
      <c r="Q64" s="46"/>
      <c r="R64" s="38"/>
    </row>
    <row r="65" spans="1:23" ht="12.75" customHeight="1" x14ac:dyDescent="0.2">
      <c r="A65" s="181"/>
      <c r="B65" s="67" t="s">
        <v>11</v>
      </c>
      <c r="C65" s="124"/>
      <c r="D65" s="124"/>
      <c r="E65" s="124"/>
      <c r="F65" s="124"/>
      <c r="G65" s="124"/>
      <c r="H65" s="124"/>
      <c r="I65" s="124"/>
      <c r="J65" s="124"/>
      <c r="K65" s="124"/>
      <c r="L65" s="124"/>
      <c r="M65" s="124"/>
      <c r="N65" s="124"/>
      <c r="O65" s="124"/>
      <c r="P65" s="125"/>
      <c r="Q65" s="46"/>
      <c r="R65" s="38"/>
    </row>
    <row r="66" spans="1:23" ht="12.75" customHeight="1" x14ac:dyDescent="0.2">
      <c r="A66" s="182"/>
      <c r="B66" s="60" t="s">
        <v>80</v>
      </c>
      <c r="C66" s="90">
        <f ca="1">_xlfn.LET(
_xlpm.recurring,SUMIFS(INDEX(recurring_master!$A:$AF,,MATCH($B66,recurring_master!$A$1:$AF$1,0)),recurring_master!$A:$A,"&lt;="&amp;EOMONTH(C$4,0),recurring_master!$A:$A,"&gt;="&amp;C$4),
_xlpm.planned,SUMIFS(#REF!,#REF!,$B66,#REF!,"&gt;="&amp;C$4,#REF!,"&lt;="&amp;EOMONTH(C$4,0)),
IFERROR(_xlpm.recurring,0)+IFERROR(_xlpm.planned,0))</f>
        <v>0</v>
      </c>
      <c r="D66" s="90">
        <f ca="1">_xlfn.LET(
_xlpm.recurring,SUMIFS(INDEX(recurring_master!$A:$AF,,MATCH($B66,recurring_master!$A$1:$AF$1,0)),recurring_master!$A:$A,"&lt;="&amp;EOMONTH(D$4,0),recurring_master!$A:$A,"&gt;="&amp;D$4),
_xlpm.planned,SUMIFS(#REF!,#REF!,$B66,#REF!,"&gt;="&amp;D$4,#REF!,"&lt;="&amp;EOMONTH(D$4,0)),
IFERROR(_xlpm.recurring,0)+IFERROR(_xlpm.planned,0))</f>
        <v>100</v>
      </c>
      <c r="E66" s="90">
        <f ca="1">_xlfn.LET(
_xlpm.recurring,SUMIFS(INDEX(recurring_master!$A:$AF,,MATCH($B66,recurring_master!$A$1:$AF$1,0)),recurring_master!$A:$A,"&lt;="&amp;EOMONTH(E$4,0),recurring_master!$A:$A,"&gt;="&amp;E$4),
_xlpm.planned,SUMIFS(#REF!,#REF!,$B66,#REF!,"&gt;="&amp;E$4,#REF!,"&lt;="&amp;EOMONTH(E$4,0)),
IFERROR(_xlpm.recurring,0)+IFERROR(_xlpm.planned,0))</f>
        <v>150</v>
      </c>
      <c r="F66" s="90">
        <f ca="1">_xlfn.LET(
_xlpm.recurring,SUMIFS(INDEX(recurring_master!$A:$AF,,MATCH($B66,recurring_master!$A$1:$AF$1,0)),recurring_master!$A:$A,"&lt;="&amp;EOMONTH(F$4,0),recurring_master!$A:$A,"&gt;="&amp;F$4),
_xlpm.planned,SUMIFS(#REF!,#REF!,$B66,#REF!,"&gt;="&amp;F$4,#REF!,"&lt;="&amp;EOMONTH(F$4,0)),
IFERROR(_xlpm.recurring,0)+IFERROR(_xlpm.planned,0))</f>
        <v>100</v>
      </c>
      <c r="G66" s="90">
        <f ca="1">_xlfn.LET(
_xlpm.recurring,SUMIFS(INDEX(recurring_master!$A:$AF,,MATCH($B66,recurring_master!$A$1:$AF$1,0)),recurring_master!$A:$A,"&lt;="&amp;EOMONTH(G$4,0),recurring_master!$A:$A,"&gt;="&amp;G$4),
_xlpm.planned,SUMIFS(#REF!,#REF!,$B66,#REF!,"&gt;="&amp;G$4,#REF!,"&lt;="&amp;EOMONTH(G$4,0)),
IFERROR(_xlpm.recurring,0)+IFERROR(_xlpm.planned,0))</f>
        <v>100</v>
      </c>
      <c r="H66" s="90">
        <f ca="1">_xlfn.LET(
_xlpm.recurring,SUMIFS(INDEX(recurring_master!$A:$AF,,MATCH($B66,recurring_master!$A$1:$AF$1,0)),recurring_master!$A:$A,"&lt;="&amp;EOMONTH(H$4,0),recurring_master!$A:$A,"&gt;="&amp;H$4),
_xlpm.planned,SUMIFS(#REF!,#REF!,$B66,#REF!,"&gt;="&amp;H$4,#REF!,"&lt;="&amp;EOMONTH(H$4,0)),
IFERROR(_xlpm.recurring,0)+IFERROR(_xlpm.planned,0))</f>
        <v>100</v>
      </c>
      <c r="I66" s="90">
        <f ca="1">_xlfn.LET(
_xlpm.recurring,SUMIFS(INDEX(recurring_master!$A:$AF,,MATCH($B66,recurring_master!$A$1:$AF$1,0)),recurring_master!$A:$A,"&lt;="&amp;EOMONTH(I$4,0),recurring_master!$A:$A,"&gt;="&amp;I$4),
_xlpm.planned,SUMIFS(#REF!,#REF!,$B66,#REF!,"&gt;="&amp;I$4,#REF!,"&lt;="&amp;EOMONTH(I$4,0)),
IFERROR(_xlpm.recurring,0)+IFERROR(_xlpm.planned,0))</f>
        <v>100</v>
      </c>
      <c r="J66" s="90">
        <f ca="1">_xlfn.LET(
_xlpm.recurring,SUMIFS(INDEX(recurring_master!$A:$AF,,MATCH($B66,recurring_master!$A$1:$AF$1,0)),recurring_master!$A:$A,"&lt;="&amp;EOMONTH(J$4,0),recurring_master!$A:$A,"&gt;="&amp;J$4),
_xlpm.planned,SUMIFS(#REF!,#REF!,$B66,#REF!,"&gt;="&amp;J$4,#REF!,"&lt;="&amp;EOMONTH(J$4,0)),
IFERROR(_xlpm.recurring,0)+IFERROR(_xlpm.planned,0))</f>
        <v>150</v>
      </c>
      <c r="K66" s="90">
        <f ca="1">_xlfn.LET(
_xlpm.recurring,SUMIFS(INDEX(recurring_master!$A:$AF,,MATCH($B66,recurring_master!$A$1:$AF$1,0)),recurring_master!$A:$A,"&lt;="&amp;EOMONTH(K$4,0),recurring_master!$A:$A,"&gt;="&amp;K$4),
_xlpm.planned,SUMIFS(#REF!,#REF!,$B66,#REF!,"&gt;="&amp;K$4,#REF!,"&lt;="&amp;EOMONTH(K$4,0)),
IFERROR(_xlpm.recurring,0)+IFERROR(_xlpm.planned,0))</f>
        <v>100</v>
      </c>
      <c r="L66" s="90">
        <f ca="1">_xlfn.LET(
_xlpm.recurring,SUMIFS(INDEX(recurring_master!$A:$AF,,MATCH($B66,recurring_master!$A$1:$AF$1,0)),recurring_master!$A:$A,"&lt;="&amp;EOMONTH(L$4,0),recurring_master!$A:$A,"&gt;="&amp;L$4),
_xlpm.planned,SUMIFS(#REF!,#REF!,$B66,#REF!,"&gt;="&amp;L$4,#REF!,"&lt;="&amp;EOMONTH(L$4,0)),
IFERROR(_xlpm.recurring,0)+IFERROR(_xlpm.planned,0))</f>
        <v>100</v>
      </c>
      <c r="M66" s="90">
        <f ca="1">_xlfn.LET(
_xlpm.recurring,SUMIFS(INDEX(recurring_master!$A:$AF,,MATCH($B66,recurring_master!$A$1:$AF$1,0)),recurring_master!$A:$A,"&lt;="&amp;EOMONTH(M$4,0),recurring_master!$A:$A,"&gt;="&amp;M$4),
_xlpm.planned,SUMIFS(#REF!,#REF!,$B66,#REF!,"&gt;="&amp;M$4,#REF!,"&lt;="&amp;EOMONTH(M$4,0)),
IFERROR(_xlpm.recurring,0)+IFERROR(_xlpm.planned,0))</f>
        <v>100</v>
      </c>
      <c r="N66" s="90">
        <f ca="1">_xlfn.LET(
_xlpm.recurring,SUMIFS(INDEX(recurring_master!$A:$AF,,MATCH($B66,recurring_master!$A$1:$AF$1,0)),recurring_master!$A:$A,"&lt;="&amp;EOMONTH(N$4,0),recurring_master!$A:$A,"&gt;="&amp;N$4),
_xlpm.planned,SUMIFS(#REF!,#REF!,$B66,#REF!,"&gt;="&amp;N$4,#REF!,"&lt;="&amp;EOMONTH(N$4,0)),
IFERROR(_xlpm.recurring,0)+IFERROR(_xlpm.planned,0))</f>
        <v>100</v>
      </c>
      <c r="O66" s="81"/>
      <c r="P66" s="91">
        <f ca="1">SUM(C66:N66)</f>
        <v>1200</v>
      </c>
      <c r="Q66" s="47"/>
      <c r="R66" s="38"/>
    </row>
    <row r="67" spans="1:23" ht="12.75" customHeight="1" x14ac:dyDescent="0.2">
      <c r="A67" s="182"/>
      <c r="B67" s="60" t="s">
        <v>81</v>
      </c>
      <c r="C67" s="90">
        <f ca="1">_xlfn.LET(
_xlpm.recurring,SUMIFS(INDEX(recurring_master!$A:$AF,,MATCH($B67,recurring_master!$A$1:$AF$1,0)),recurring_master!$A:$A,"&lt;="&amp;EOMONTH(C$4,0),recurring_master!$A:$A,"&gt;="&amp;C$4),
_xlpm.planned,SUMIFS(#REF!,#REF!,$B67,#REF!,"&gt;="&amp;C$4,#REF!,"&lt;="&amp;EOMONTH(C$4,0)),
IFERROR(_xlpm.recurring,0)+IFERROR(_xlpm.planned,0))</f>
        <v>0</v>
      </c>
      <c r="D67" s="90">
        <f ca="1">_xlfn.LET(
_xlpm.recurring,SUMIFS(INDEX(recurring_master!$A:$AF,,MATCH($B67,recurring_master!$A$1:$AF$1,0)),recurring_master!$A:$A,"&lt;="&amp;EOMONTH(D$4,0),recurring_master!$A:$A,"&gt;="&amp;D$4),
_xlpm.planned,SUMIFS(#REF!,#REF!,$B67,#REF!,"&gt;="&amp;D$4,#REF!,"&lt;="&amp;EOMONTH(D$4,0)),
IFERROR(_xlpm.recurring,0)+IFERROR(_xlpm.planned,0))</f>
        <v>400</v>
      </c>
      <c r="E67" s="90">
        <f ca="1">_xlfn.LET(
_xlpm.recurring,SUMIFS(INDEX(recurring_master!$A:$AF,,MATCH($B67,recurring_master!$A$1:$AF$1,0)),recurring_master!$A:$A,"&lt;="&amp;EOMONTH(E$4,0),recurring_master!$A:$A,"&gt;="&amp;E$4),
_xlpm.planned,SUMIFS(#REF!,#REF!,$B67,#REF!,"&gt;="&amp;E$4,#REF!,"&lt;="&amp;EOMONTH(E$4,0)),
IFERROR(_xlpm.recurring,0)+IFERROR(_xlpm.planned,0))</f>
        <v>600</v>
      </c>
      <c r="F67" s="90">
        <f ca="1">_xlfn.LET(
_xlpm.recurring,SUMIFS(INDEX(recurring_master!$A:$AF,,MATCH($B67,recurring_master!$A$1:$AF$1,0)),recurring_master!$A:$A,"&lt;="&amp;EOMONTH(F$4,0),recurring_master!$A:$A,"&gt;="&amp;F$4),
_xlpm.planned,SUMIFS(#REF!,#REF!,$B67,#REF!,"&gt;="&amp;F$4,#REF!,"&lt;="&amp;EOMONTH(F$4,0)),
IFERROR(_xlpm.recurring,0)+IFERROR(_xlpm.planned,0))</f>
        <v>400</v>
      </c>
      <c r="G67" s="90">
        <f ca="1">_xlfn.LET(
_xlpm.recurring,SUMIFS(INDEX(recurring_master!$A:$AF,,MATCH($B67,recurring_master!$A$1:$AF$1,0)),recurring_master!$A:$A,"&lt;="&amp;EOMONTH(G$4,0),recurring_master!$A:$A,"&gt;="&amp;G$4),
_xlpm.planned,SUMIFS(#REF!,#REF!,$B67,#REF!,"&gt;="&amp;G$4,#REF!,"&lt;="&amp;EOMONTH(G$4,0)),
IFERROR(_xlpm.recurring,0)+IFERROR(_xlpm.planned,0))</f>
        <v>400</v>
      </c>
      <c r="H67" s="90">
        <f ca="1">_xlfn.LET(
_xlpm.recurring,SUMIFS(INDEX(recurring_master!$A:$AF,,MATCH($B67,recurring_master!$A$1:$AF$1,0)),recurring_master!$A:$A,"&lt;="&amp;EOMONTH(H$4,0),recurring_master!$A:$A,"&gt;="&amp;H$4),
_xlpm.planned,SUMIFS(#REF!,#REF!,$B67,#REF!,"&gt;="&amp;H$4,#REF!,"&lt;="&amp;EOMONTH(H$4,0)),
IFERROR(_xlpm.recurring,0)+IFERROR(_xlpm.planned,0))</f>
        <v>400</v>
      </c>
      <c r="I67" s="90">
        <f ca="1">_xlfn.LET(
_xlpm.recurring,SUMIFS(INDEX(recurring_master!$A:$AF,,MATCH($B67,recurring_master!$A$1:$AF$1,0)),recurring_master!$A:$A,"&lt;="&amp;EOMONTH(I$4,0),recurring_master!$A:$A,"&gt;="&amp;I$4),
_xlpm.planned,SUMIFS(#REF!,#REF!,$B67,#REF!,"&gt;="&amp;I$4,#REF!,"&lt;="&amp;EOMONTH(I$4,0)),
IFERROR(_xlpm.recurring,0)+IFERROR(_xlpm.planned,0))</f>
        <v>400</v>
      </c>
      <c r="J67" s="90">
        <f ca="1">_xlfn.LET(
_xlpm.recurring,SUMIFS(INDEX(recurring_master!$A:$AF,,MATCH($B67,recurring_master!$A$1:$AF$1,0)),recurring_master!$A:$A,"&lt;="&amp;EOMONTH(J$4,0),recurring_master!$A:$A,"&gt;="&amp;J$4),
_xlpm.planned,SUMIFS(#REF!,#REF!,$B67,#REF!,"&gt;="&amp;J$4,#REF!,"&lt;="&amp;EOMONTH(J$4,0)),
IFERROR(_xlpm.recurring,0)+IFERROR(_xlpm.planned,0))</f>
        <v>600</v>
      </c>
      <c r="K67" s="90">
        <f ca="1">_xlfn.LET(
_xlpm.recurring,SUMIFS(INDEX(recurring_master!$A:$AF,,MATCH($B67,recurring_master!$A$1:$AF$1,0)),recurring_master!$A:$A,"&lt;="&amp;EOMONTH(K$4,0),recurring_master!$A:$A,"&gt;="&amp;K$4),
_xlpm.planned,SUMIFS(#REF!,#REF!,$B67,#REF!,"&gt;="&amp;K$4,#REF!,"&lt;="&amp;EOMONTH(K$4,0)),
IFERROR(_xlpm.recurring,0)+IFERROR(_xlpm.planned,0))</f>
        <v>400</v>
      </c>
      <c r="L67" s="90">
        <f ca="1">_xlfn.LET(
_xlpm.recurring,SUMIFS(INDEX(recurring_master!$A:$AF,,MATCH($B67,recurring_master!$A$1:$AF$1,0)),recurring_master!$A:$A,"&lt;="&amp;EOMONTH(L$4,0),recurring_master!$A:$A,"&gt;="&amp;L$4),
_xlpm.planned,SUMIFS(#REF!,#REF!,$B67,#REF!,"&gt;="&amp;L$4,#REF!,"&lt;="&amp;EOMONTH(L$4,0)),
IFERROR(_xlpm.recurring,0)+IFERROR(_xlpm.planned,0))</f>
        <v>400</v>
      </c>
      <c r="M67" s="90">
        <f ca="1">_xlfn.LET(
_xlpm.recurring,SUMIFS(INDEX(recurring_master!$A:$AF,,MATCH($B67,recurring_master!$A$1:$AF$1,0)),recurring_master!$A:$A,"&lt;="&amp;EOMONTH(M$4,0),recurring_master!$A:$A,"&gt;="&amp;M$4),
_xlpm.planned,SUMIFS(#REF!,#REF!,$B67,#REF!,"&gt;="&amp;M$4,#REF!,"&lt;="&amp;EOMONTH(M$4,0)),
IFERROR(_xlpm.recurring,0)+IFERROR(_xlpm.planned,0))</f>
        <v>400</v>
      </c>
      <c r="N67" s="90">
        <f ca="1">_xlfn.LET(
_xlpm.recurring,SUMIFS(INDEX(recurring_master!$A:$AF,,MATCH($B67,recurring_master!$A$1:$AF$1,0)),recurring_master!$A:$A,"&lt;="&amp;EOMONTH(N$4,0),recurring_master!$A:$A,"&gt;="&amp;N$4),
_xlpm.planned,SUMIFS(#REF!,#REF!,$B67,#REF!,"&gt;="&amp;N$4,#REF!,"&lt;="&amp;EOMONTH(N$4,0)),
IFERROR(_xlpm.recurring,0)+IFERROR(_xlpm.planned,0))</f>
        <v>400</v>
      </c>
      <c r="O67" s="81"/>
      <c r="P67" s="91">
        <f ca="1">SUM(C67:N67)</f>
        <v>4800</v>
      </c>
      <c r="Q67" s="47"/>
      <c r="R67" s="38"/>
      <c r="W67" s="6"/>
    </row>
    <row r="68" spans="1:23" ht="5.0999999999999996" customHeight="1" x14ac:dyDescent="0.2">
      <c r="A68" s="181"/>
      <c r="B68" s="60"/>
      <c r="C68" s="81"/>
      <c r="D68" s="81"/>
      <c r="E68" s="81"/>
      <c r="F68" s="81"/>
      <c r="G68" s="81"/>
      <c r="H68" s="81"/>
      <c r="I68" s="81"/>
      <c r="J68" s="81"/>
      <c r="K68" s="81"/>
      <c r="L68" s="81"/>
      <c r="M68" s="81"/>
      <c r="N68" s="81"/>
      <c r="O68" s="81"/>
      <c r="P68" s="91"/>
      <c r="Q68" s="46"/>
      <c r="R68" s="38"/>
      <c r="W68" s="18"/>
    </row>
    <row r="69" spans="1:23" ht="12.75" customHeight="1" x14ac:dyDescent="0.2">
      <c r="A69" s="181"/>
      <c r="B69" s="70" t="str">
        <f>"Total "&amp;B65</f>
        <v>Total INVESTMENTS</v>
      </c>
      <c r="C69" s="98">
        <f ca="1">SUM(C66:C68)</f>
        <v>0</v>
      </c>
      <c r="D69" s="98">
        <f t="shared" ref="D69:N69" ca="1" si="17">SUM(D66:D68)</f>
        <v>500</v>
      </c>
      <c r="E69" s="98">
        <f t="shared" ca="1" si="17"/>
        <v>750</v>
      </c>
      <c r="F69" s="98">
        <f t="shared" ca="1" si="17"/>
        <v>500</v>
      </c>
      <c r="G69" s="98">
        <f t="shared" ca="1" si="17"/>
        <v>500</v>
      </c>
      <c r="H69" s="98">
        <f t="shared" ca="1" si="17"/>
        <v>500</v>
      </c>
      <c r="I69" s="98">
        <f t="shared" ca="1" si="17"/>
        <v>500</v>
      </c>
      <c r="J69" s="98">
        <f t="shared" ca="1" si="17"/>
        <v>750</v>
      </c>
      <c r="K69" s="98">
        <f t="shared" ca="1" si="17"/>
        <v>500</v>
      </c>
      <c r="L69" s="98">
        <f t="shared" ca="1" si="17"/>
        <v>500</v>
      </c>
      <c r="M69" s="98">
        <f t="shared" ca="1" si="17"/>
        <v>500</v>
      </c>
      <c r="N69" s="99">
        <f t="shared" ca="1" si="17"/>
        <v>500</v>
      </c>
      <c r="O69" s="98"/>
      <c r="P69" s="100">
        <f t="shared" ref="P69" ca="1" si="18">SUM(P66:P67)</f>
        <v>6000</v>
      </c>
      <c r="Q69" s="46"/>
      <c r="R69" s="38"/>
    </row>
    <row r="70" spans="1:23" ht="5.0999999999999996" customHeight="1" x14ac:dyDescent="0.2">
      <c r="A70" s="181"/>
      <c r="B70" s="58"/>
      <c r="C70" s="81"/>
      <c r="D70" s="81"/>
      <c r="E70" s="81"/>
      <c r="F70" s="81"/>
      <c r="G70" s="81"/>
      <c r="H70" s="81"/>
      <c r="I70" s="81"/>
      <c r="J70" s="81"/>
      <c r="K70" s="81"/>
      <c r="L70" s="81"/>
      <c r="M70" s="81"/>
      <c r="N70" s="81"/>
      <c r="O70" s="81"/>
      <c r="P70" s="81"/>
      <c r="Q70" s="46"/>
      <c r="R70" s="38"/>
    </row>
    <row r="71" spans="1:23" s="6" customFormat="1" ht="12.75" customHeight="1" x14ac:dyDescent="0.2">
      <c r="A71" s="181"/>
      <c r="B71" s="67" t="s">
        <v>12</v>
      </c>
      <c r="C71" s="124"/>
      <c r="D71" s="124"/>
      <c r="E71" s="124"/>
      <c r="F71" s="124"/>
      <c r="G71" s="124"/>
      <c r="H71" s="124"/>
      <c r="I71" s="124"/>
      <c r="J71" s="124"/>
      <c r="K71" s="124"/>
      <c r="L71" s="124"/>
      <c r="M71" s="124"/>
      <c r="N71" s="124"/>
      <c r="O71" s="124"/>
      <c r="P71" s="125"/>
      <c r="Q71" s="46"/>
      <c r="R71" s="38"/>
      <c r="S71" s="5"/>
      <c r="T71" s="5"/>
      <c r="U71" s="5"/>
      <c r="W71" s="5"/>
    </row>
    <row r="72" spans="1:23" ht="12.75" customHeight="1" x14ac:dyDescent="0.2">
      <c r="A72" s="182"/>
      <c r="B72" s="60" t="s">
        <v>4</v>
      </c>
      <c r="C72" s="90">
        <f ca="1">_xlfn.LET(
_xlpm.recurring,SUMIFS(INDEX(recurring_master!$A:$AF,,MATCH($B72,recurring_master!$A$1:$AF$1,0)),recurring_master!$A:$A,"&lt;="&amp;EOMONTH(C$4,0),recurring_master!$A:$A,"&gt;="&amp;C$4),
_xlpm.planned,SUMIFS(#REF!,#REF!,$B72,#REF!,"&gt;="&amp;C$4,#REF!,"&lt;="&amp;EOMONTH(C$4,0)),
IFERROR(_xlpm.recurring,0)+IFERROR(_xlpm.planned,0))</f>
        <v>100</v>
      </c>
      <c r="D72" s="90">
        <f ca="1">_xlfn.LET(
_xlpm.recurring,SUMIFS(INDEX(recurring_master!$A:$AF,,MATCH($B72,recurring_master!$A$1:$AF$1,0)),recurring_master!$A:$A,"&lt;="&amp;EOMONTH(D$4,0),recurring_master!$A:$A,"&gt;="&amp;D$4),
_xlpm.planned,SUMIFS(#REF!,#REF!,$B72,#REF!,"&gt;="&amp;D$4,#REF!,"&lt;="&amp;EOMONTH(D$4,0)),
IFERROR(_xlpm.recurring,0)+IFERROR(_xlpm.planned,0))</f>
        <v>300</v>
      </c>
      <c r="E72" s="90">
        <f ca="1">_xlfn.LET(
_xlpm.recurring,SUMIFS(INDEX(recurring_master!$A:$AF,,MATCH($B72,recurring_master!$A$1:$AF$1,0)),recurring_master!$A:$A,"&lt;="&amp;EOMONTH(E$4,0),recurring_master!$A:$A,"&gt;="&amp;E$4),
_xlpm.planned,SUMIFS(#REF!,#REF!,$B72,#REF!,"&gt;="&amp;E$4,#REF!,"&lt;="&amp;EOMONTH(E$4,0)),
IFERROR(_xlpm.recurring,0)+IFERROR(_xlpm.planned,0))</f>
        <v>300</v>
      </c>
      <c r="F72" s="90">
        <f ca="1">_xlfn.LET(
_xlpm.recurring,SUMIFS(INDEX(recurring_master!$A:$AF,,MATCH($B72,recurring_master!$A$1:$AF$1,0)),recurring_master!$A:$A,"&lt;="&amp;EOMONTH(F$4,0),recurring_master!$A:$A,"&gt;="&amp;F$4),
_xlpm.planned,SUMIFS(#REF!,#REF!,$B72,#REF!,"&gt;="&amp;F$4,#REF!,"&lt;="&amp;EOMONTH(F$4,0)),
IFERROR(_xlpm.recurring,0)+IFERROR(_xlpm.planned,0))</f>
        <v>300</v>
      </c>
      <c r="G72" s="90">
        <f ca="1">_xlfn.LET(
_xlpm.recurring,SUMIFS(INDEX(recurring_master!$A:$AF,,MATCH($B72,recurring_master!$A$1:$AF$1,0)),recurring_master!$A:$A,"&lt;="&amp;EOMONTH(G$4,0),recurring_master!$A:$A,"&gt;="&amp;G$4),
_xlpm.planned,SUMIFS(#REF!,#REF!,$B72,#REF!,"&gt;="&amp;G$4,#REF!,"&lt;="&amp;EOMONTH(G$4,0)),
IFERROR(_xlpm.recurring,0)+IFERROR(_xlpm.planned,0))</f>
        <v>300</v>
      </c>
      <c r="H72" s="90">
        <f ca="1">_xlfn.LET(
_xlpm.recurring,SUMIFS(INDEX(recurring_master!$A:$AF,,MATCH($B72,recurring_master!$A$1:$AF$1,0)),recurring_master!$A:$A,"&lt;="&amp;EOMONTH(H$4,0),recurring_master!$A:$A,"&gt;="&amp;H$4),
_xlpm.planned,SUMIFS(#REF!,#REF!,$B72,#REF!,"&gt;="&amp;H$4,#REF!,"&lt;="&amp;EOMONTH(H$4,0)),
IFERROR(_xlpm.recurring,0)+IFERROR(_xlpm.planned,0))</f>
        <v>300</v>
      </c>
      <c r="I72" s="90">
        <f ca="1">_xlfn.LET(
_xlpm.recurring,SUMIFS(INDEX(recurring_master!$A:$AF,,MATCH($B72,recurring_master!$A$1:$AF$1,0)),recurring_master!$A:$A,"&lt;="&amp;EOMONTH(I$4,0),recurring_master!$A:$A,"&gt;="&amp;I$4),
_xlpm.planned,SUMIFS(#REF!,#REF!,$B72,#REF!,"&gt;="&amp;I$4,#REF!,"&lt;="&amp;EOMONTH(I$4,0)),
IFERROR(_xlpm.recurring,0)+IFERROR(_xlpm.planned,0))</f>
        <v>300</v>
      </c>
      <c r="J72" s="90">
        <f ca="1">_xlfn.LET(
_xlpm.recurring,SUMIFS(INDEX(recurring_master!$A:$AF,,MATCH($B72,recurring_master!$A$1:$AF$1,0)),recurring_master!$A:$A,"&lt;="&amp;EOMONTH(J$4,0),recurring_master!$A:$A,"&gt;="&amp;J$4),
_xlpm.planned,SUMIFS(#REF!,#REF!,$B72,#REF!,"&gt;="&amp;J$4,#REF!,"&lt;="&amp;EOMONTH(J$4,0)),
IFERROR(_xlpm.recurring,0)+IFERROR(_xlpm.planned,0))</f>
        <v>300</v>
      </c>
      <c r="K72" s="90">
        <f ca="1">_xlfn.LET(
_xlpm.recurring,SUMIFS(INDEX(recurring_master!$A:$AF,,MATCH($B72,recurring_master!$A$1:$AF$1,0)),recurring_master!$A:$A,"&lt;="&amp;EOMONTH(K$4,0),recurring_master!$A:$A,"&gt;="&amp;K$4),
_xlpm.planned,SUMIFS(#REF!,#REF!,$B72,#REF!,"&gt;="&amp;K$4,#REF!,"&lt;="&amp;EOMONTH(K$4,0)),
IFERROR(_xlpm.recurring,0)+IFERROR(_xlpm.planned,0))</f>
        <v>300</v>
      </c>
      <c r="L72" s="90">
        <f ca="1">_xlfn.LET(
_xlpm.recurring,SUMIFS(INDEX(recurring_master!$A:$AF,,MATCH($B72,recurring_master!$A$1:$AF$1,0)),recurring_master!$A:$A,"&lt;="&amp;EOMONTH(L$4,0),recurring_master!$A:$A,"&gt;="&amp;L$4),
_xlpm.planned,SUMIFS(#REF!,#REF!,$B72,#REF!,"&gt;="&amp;L$4,#REF!,"&lt;="&amp;EOMONTH(L$4,0)),
IFERROR(_xlpm.recurring,0)+IFERROR(_xlpm.planned,0))</f>
        <v>300</v>
      </c>
      <c r="M72" s="90">
        <f ca="1">_xlfn.LET(
_xlpm.recurring,SUMIFS(INDEX(recurring_master!$A:$AF,,MATCH($B72,recurring_master!$A$1:$AF$1,0)),recurring_master!$A:$A,"&lt;="&amp;EOMONTH(M$4,0),recurring_master!$A:$A,"&gt;="&amp;M$4),
_xlpm.planned,SUMIFS(#REF!,#REF!,$B72,#REF!,"&gt;="&amp;M$4,#REF!,"&lt;="&amp;EOMONTH(M$4,0)),
IFERROR(_xlpm.recurring,0)+IFERROR(_xlpm.planned,0))</f>
        <v>300</v>
      </c>
      <c r="N72" s="90">
        <f ca="1">_xlfn.LET(
_xlpm.recurring,SUMIFS(INDEX(recurring_master!$A:$AF,,MATCH($B72,recurring_master!$A$1:$AF$1,0)),recurring_master!$A:$A,"&lt;="&amp;EOMONTH(N$4,0),recurring_master!$A:$A,"&gt;="&amp;N$4),
_xlpm.planned,SUMIFS(#REF!,#REF!,$B72,#REF!,"&gt;="&amp;N$4,#REF!,"&lt;="&amp;EOMONTH(N$4,0)),
IFERROR(_xlpm.recurring,0)+IFERROR(_xlpm.planned,0))</f>
        <v>300</v>
      </c>
      <c r="O72" s="81"/>
      <c r="P72" s="91">
        <f ca="1">SUM(C72:N72)</f>
        <v>3400</v>
      </c>
      <c r="Q72" s="47"/>
      <c r="R72" s="38"/>
    </row>
    <row r="73" spans="1:23" ht="12.75" customHeight="1" x14ac:dyDescent="0.2">
      <c r="A73" s="182"/>
      <c r="B73" s="60" t="s">
        <v>14</v>
      </c>
      <c r="C73" s="90">
        <f ca="1">_xlfn.LET(
_xlpm.recurring,SUMIFS(INDEX(recurring_master!$A:$AF,,MATCH($B73,recurring_master!$A$1:$AF$1,0)),recurring_master!$A:$A,"&lt;="&amp;EOMONTH(C$4,0),recurring_master!$A:$A,"&gt;="&amp;C$4),
_xlpm.planned,SUMIFS(#REF!,#REF!,$B73,#REF!,"&gt;="&amp;C$4,#REF!,"&lt;="&amp;EOMONTH(C$4,0)),
IFERROR(_xlpm.recurring,0)+IFERROR(_xlpm.planned,0))</f>
        <v>0</v>
      </c>
      <c r="D73" s="90">
        <f ca="1">_xlfn.LET(
_xlpm.recurring,SUMIFS(INDEX(recurring_master!$A:$AF,,MATCH($B73,recurring_master!$A$1:$AF$1,0)),recurring_master!$A:$A,"&lt;="&amp;EOMONTH(D$4,0),recurring_master!$A:$A,"&gt;="&amp;D$4),
_xlpm.planned,SUMIFS(#REF!,#REF!,$B73,#REF!,"&gt;="&amp;D$4,#REF!,"&lt;="&amp;EOMONTH(D$4,0)),
IFERROR(_xlpm.recurring,0)+IFERROR(_xlpm.planned,0))</f>
        <v>0</v>
      </c>
      <c r="E73" s="90">
        <f ca="1">_xlfn.LET(
_xlpm.recurring,SUMIFS(INDEX(recurring_master!$A:$AF,,MATCH($B73,recurring_master!$A$1:$AF$1,0)),recurring_master!$A:$A,"&lt;="&amp;EOMONTH(E$4,0),recurring_master!$A:$A,"&gt;="&amp;E$4),
_xlpm.planned,SUMIFS(#REF!,#REF!,$B73,#REF!,"&gt;="&amp;E$4,#REF!,"&lt;="&amp;EOMONTH(E$4,0)),
IFERROR(_xlpm.recurring,0)+IFERROR(_xlpm.planned,0))</f>
        <v>0</v>
      </c>
      <c r="F73" s="90">
        <f ca="1">_xlfn.LET(
_xlpm.recurring,SUMIFS(INDEX(recurring_master!$A:$AF,,MATCH($B73,recurring_master!$A$1:$AF$1,0)),recurring_master!$A:$A,"&lt;="&amp;EOMONTH(F$4,0),recurring_master!$A:$A,"&gt;="&amp;F$4),
_xlpm.planned,SUMIFS(#REF!,#REF!,$B73,#REF!,"&gt;="&amp;F$4,#REF!,"&lt;="&amp;EOMONTH(F$4,0)),
IFERROR(_xlpm.recurring,0)+IFERROR(_xlpm.planned,0))</f>
        <v>0</v>
      </c>
      <c r="G73" s="90">
        <f ca="1">_xlfn.LET(
_xlpm.recurring,SUMIFS(INDEX(recurring_master!$A:$AF,,MATCH($B73,recurring_master!$A$1:$AF$1,0)),recurring_master!$A:$A,"&lt;="&amp;EOMONTH(G$4,0),recurring_master!$A:$A,"&gt;="&amp;G$4),
_xlpm.planned,SUMIFS(#REF!,#REF!,$B73,#REF!,"&gt;="&amp;G$4,#REF!,"&lt;="&amp;EOMONTH(G$4,0)),
IFERROR(_xlpm.recurring,0)+IFERROR(_xlpm.planned,0))</f>
        <v>0</v>
      </c>
      <c r="H73" s="90">
        <f ca="1">_xlfn.LET(
_xlpm.recurring,SUMIFS(INDEX(recurring_master!$A:$AF,,MATCH($B73,recurring_master!$A$1:$AF$1,0)),recurring_master!$A:$A,"&lt;="&amp;EOMONTH(H$4,0),recurring_master!$A:$A,"&gt;="&amp;H$4),
_xlpm.planned,SUMIFS(#REF!,#REF!,$B73,#REF!,"&gt;="&amp;H$4,#REF!,"&lt;="&amp;EOMONTH(H$4,0)),
IFERROR(_xlpm.recurring,0)+IFERROR(_xlpm.planned,0))</f>
        <v>0</v>
      </c>
      <c r="I73" s="90">
        <f ca="1">_xlfn.LET(
_xlpm.recurring,SUMIFS(INDEX(recurring_master!$A:$AF,,MATCH($B73,recurring_master!$A$1:$AF$1,0)),recurring_master!$A:$A,"&lt;="&amp;EOMONTH(I$4,0),recurring_master!$A:$A,"&gt;="&amp;I$4),
_xlpm.planned,SUMIFS(#REF!,#REF!,$B73,#REF!,"&gt;="&amp;I$4,#REF!,"&lt;="&amp;EOMONTH(I$4,0)),
IFERROR(_xlpm.recurring,0)+IFERROR(_xlpm.planned,0))</f>
        <v>0</v>
      </c>
      <c r="J73" s="90">
        <f ca="1">_xlfn.LET(
_xlpm.recurring,SUMIFS(INDEX(recurring_master!$A:$AF,,MATCH($B73,recurring_master!$A$1:$AF$1,0)),recurring_master!$A:$A,"&lt;="&amp;EOMONTH(J$4,0),recurring_master!$A:$A,"&gt;="&amp;J$4),
_xlpm.planned,SUMIFS(#REF!,#REF!,$B73,#REF!,"&gt;="&amp;J$4,#REF!,"&lt;="&amp;EOMONTH(J$4,0)),
IFERROR(_xlpm.recurring,0)+IFERROR(_xlpm.planned,0))</f>
        <v>0</v>
      </c>
      <c r="K73" s="90">
        <f ca="1">_xlfn.LET(
_xlpm.recurring,SUMIFS(INDEX(recurring_master!$A:$AF,,MATCH($B73,recurring_master!$A$1:$AF$1,0)),recurring_master!$A:$A,"&lt;="&amp;EOMONTH(K$4,0),recurring_master!$A:$A,"&gt;="&amp;K$4),
_xlpm.planned,SUMIFS(#REF!,#REF!,$B73,#REF!,"&gt;="&amp;K$4,#REF!,"&lt;="&amp;EOMONTH(K$4,0)),
IFERROR(_xlpm.recurring,0)+IFERROR(_xlpm.planned,0))</f>
        <v>0</v>
      </c>
      <c r="L73" s="90">
        <f ca="1">_xlfn.LET(
_xlpm.recurring,SUMIFS(INDEX(recurring_master!$A:$AF,,MATCH($B73,recurring_master!$A$1:$AF$1,0)),recurring_master!$A:$A,"&lt;="&amp;EOMONTH(L$4,0),recurring_master!$A:$A,"&gt;="&amp;L$4),
_xlpm.planned,SUMIFS(#REF!,#REF!,$B73,#REF!,"&gt;="&amp;L$4,#REF!,"&lt;="&amp;EOMONTH(L$4,0)),
IFERROR(_xlpm.recurring,0)+IFERROR(_xlpm.planned,0))</f>
        <v>0</v>
      </c>
      <c r="M73" s="90">
        <f ca="1">_xlfn.LET(
_xlpm.recurring,SUMIFS(INDEX(recurring_master!$A:$AF,,MATCH($B73,recurring_master!$A$1:$AF$1,0)),recurring_master!$A:$A,"&lt;="&amp;EOMONTH(M$4,0),recurring_master!$A:$A,"&gt;="&amp;M$4),
_xlpm.planned,SUMIFS(#REF!,#REF!,$B73,#REF!,"&gt;="&amp;M$4,#REF!,"&lt;="&amp;EOMONTH(M$4,0)),
IFERROR(_xlpm.recurring,0)+IFERROR(_xlpm.planned,0))</f>
        <v>0</v>
      </c>
      <c r="N73" s="90">
        <f ca="1">_xlfn.LET(
_xlpm.recurring,SUMIFS(INDEX(recurring_master!$A:$AF,,MATCH($B73,recurring_master!$A$1:$AF$1,0)),recurring_master!$A:$A,"&lt;="&amp;EOMONTH(N$4,0),recurring_master!$A:$A,"&gt;="&amp;N$4),
_xlpm.planned,SUMIFS(#REF!,#REF!,$B73,#REF!,"&gt;="&amp;N$4,#REF!,"&lt;="&amp;EOMONTH(N$4,0)),
IFERROR(_xlpm.recurring,0)+IFERROR(_xlpm.planned,0))</f>
        <v>0</v>
      </c>
      <c r="O73" s="81"/>
      <c r="P73" s="91">
        <f ca="1">SUM(C73:N73)</f>
        <v>0</v>
      </c>
      <c r="Q73" s="47"/>
      <c r="R73" s="38" t="s">
        <v>369</v>
      </c>
    </row>
    <row r="74" spans="1:23" ht="5.0999999999999996" customHeight="1" x14ac:dyDescent="0.2">
      <c r="A74" s="181"/>
      <c r="B74" s="60"/>
      <c r="C74" s="81"/>
      <c r="D74" s="81"/>
      <c r="E74" s="81"/>
      <c r="F74" s="81"/>
      <c r="G74" s="81"/>
      <c r="H74" s="81"/>
      <c r="I74" s="81"/>
      <c r="J74" s="81"/>
      <c r="K74" s="81"/>
      <c r="L74" s="81"/>
      <c r="M74" s="81"/>
      <c r="N74" s="81"/>
      <c r="O74" s="81"/>
      <c r="P74" s="91"/>
      <c r="Q74" s="46"/>
      <c r="R74" s="38"/>
      <c r="W74" s="18"/>
    </row>
    <row r="75" spans="1:23" ht="12.75" customHeight="1" x14ac:dyDescent="0.2">
      <c r="A75" s="181"/>
      <c r="B75" s="70" t="str">
        <f>"Total "&amp;B71</f>
        <v>Total DEBT PAYMENTS</v>
      </c>
      <c r="C75" s="98">
        <f ca="1">SUM(C72:C74)</f>
        <v>100</v>
      </c>
      <c r="D75" s="98">
        <f t="shared" ref="D75:N75" ca="1" si="19">SUM(D72:D74)</f>
        <v>300</v>
      </c>
      <c r="E75" s="98">
        <f t="shared" ca="1" si="19"/>
        <v>300</v>
      </c>
      <c r="F75" s="98">
        <f t="shared" ca="1" si="19"/>
        <v>300</v>
      </c>
      <c r="G75" s="98">
        <f t="shared" ca="1" si="19"/>
        <v>300</v>
      </c>
      <c r="H75" s="98">
        <f t="shared" ca="1" si="19"/>
        <v>300</v>
      </c>
      <c r="I75" s="98">
        <f t="shared" ca="1" si="19"/>
        <v>300</v>
      </c>
      <c r="J75" s="98">
        <f t="shared" ca="1" si="19"/>
        <v>300</v>
      </c>
      <c r="K75" s="98">
        <f t="shared" ca="1" si="19"/>
        <v>300</v>
      </c>
      <c r="L75" s="98">
        <f t="shared" ca="1" si="19"/>
        <v>300</v>
      </c>
      <c r="M75" s="98">
        <f t="shared" ca="1" si="19"/>
        <v>300</v>
      </c>
      <c r="N75" s="99">
        <f t="shared" ca="1" si="19"/>
        <v>300</v>
      </c>
      <c r="O75" s="98"/>
      <c r="P75" s="100">
        <f ca="1">SUM(P72:P73)</f>
        <v>3400</v>
      </c>
      <c r="Q75" s="46"/>
      <c r="R75" s="38"/>
    </row>
    <row r="76" spans="1:23" ht="5.0999999999999996" customHeight="1" x14ac:dyDescent="0.2">
      <c r="A76" s="181"/>
      <c r="B76" s="61"/>
      <c r="C76" s="81"/>
      <c r="D76" s="81"/>
      <c r="E76" s="81"/>
      <c r="F76" s="81"/>
      <c r="G76" s="81"/>
      <c r="H76" s="81"/>
      <c r="I76" s="81"/>
      <c r="J76" s="81"/>
      <c r="K76" s="81"/>
      <c r="L76" s="81"/>
      <c r="M76" s="81"/>
      <c r="N76" s="81"/>
      <c r="O76" s="81"/>
      <c r="P76" s="81"/>
      <c r="Q76" s="46"/>
      <c r="R76" s="38"/>
    </row>
    <row r="77" spans="1:23" ht="12.75" customHeight="1" x14ac:dyDescent="0.2">
      <c r="A77" s="181"/>
      <c r="B77" s="71" t="s">
        <v>30</v>
      </c>
      <c r="C77" s="102">
        <f t="shared" ref="C77:N77" ca="1" si="20">SUM(C75,C69,C63,C52)</f>
        <v>543.26700831024937</v>
      </c>
      <c r="D77" s="102">
        <f t="shared" ca="1" si="20"/>
        <v>4491.9492243767318</v>
      </c>
      <c r="E77" s="102">
        <f t="shared" ca="1" si="20"/>
        <v>4942.0046260387817</v>
      </c>
      <c r="F77" s="102">
        <f t="shared" ca="1" si="20"/>
        <v>5191.9492243767318</v>
      </c>
      <c r="G77" s="102">
        <f t="shared" ca="1" si="20"/>
        <v>4442.0046260387817</v>
      </c>
      <c r="H77" s="102">
        <f t="shared" ca="1" si="20"/>
        <v>4812.0046260387817</v>
      </c>
      <c r="I77" s="102">
        <f t="shared" ca="1" si="20"/>
        <v>4541.9492243767318</v>
      </c>
      <c r="J77" s="102">
        <f t="shared" ca="1" si="20"/>
        <v>4742.0046260387817</v>
      </c>
      <c r="K77" s="102">
        <f t="shared" ca="1" si="20"/>
        <v>4841.9492243767318</v>
      </c>
      <c r="L77" s="102">
        <f t="shared" ca="1" si="20"/>
        <v>4992.0046260387817</v>
      </c>
      <c r="M77" s="102">
        <f t="shared" ca="1" si="20"/>
        <v>4692.0046260387817</v>
      </c>
      <c r="N77" s="102">
        <f t="shared" ca="1" si="20"/>
        <v>4461.8384210526319</v>
      </c>
      <c r="O77" s="101"/>
      <c r="P77" s="103">
        <f ca="1">SUM(P75,P69,P63,P52)</f>
        <v>37480</v>
      </c>
      <c r="Q77" s="46"/>
      <c r="R77" s="38"/>
    </row>
    <row r="78" spans="1:23" x14ac:dyDescent="0.2">
      <c r="A78" s="181"/>
      <c r="B78" s="61"/>
      <c r="C78" s="81"/>
      <c r="D78" s="81"/>
      <c r="E78" s="81"/>
      <c r="F78" s="81"/>
      <c r="G78" s="81"/>
      <c r="H78" s="81"/>
      <c r="I78" s="81"/>
      <c r="J78" s="81"/>
      <c r="K78" s="81"/>
      <c r="L78" s="81"/>
      <c r="M78" s="81"/>
      <c r="N78" s="81"/>
      <c r="O78" s="81"/>
      <c r="P78" s="81"/>
      <c r="Q78" s="46"/>
      <c r="R78" s="38"/>
      <c r="W78" s="18"/>
    </row>
    <row r="79" spans="1:23" ht="12.75" customHeight="1" x14ac:dyDescent="0.2">
      <c r="A79" s="181"/>
      <c r="B79" s="59" t="s">
        <v>78</v>
      </c>
      <c r="C79" s="88"/>
      <c r="D79" s="88"/>
      <c r="E79" s="88"/>
      <c r="F79" s="88"/>
      <c r="G79" s="88"/>
      <c r="H79" s="88"/>
      <c r="I79" s="88"/>
      <c r="J79" s="88"/>
      <c r="K79" s="88"/>
      <c r="L79" s="88"/>
      <c r="M79" s="88"/>
      <c r="N79" s="88"/>
      <c r="O79" s="88"/>
      <c r="P79" s="89"/>
      <c r="Q79" s="46"/>
      <c r="R79" s="38"/>
    </row>
    <row r="80" spans="1:23" ht="12.75" customHeight="1" x14ac:dyDescent="0.2">
      <c r="A80" s="181"/>
      <c r="B80" s="60" t="s">
        <v>82</v>
      </c>
      <c r="C80" s="159">
        <f ca="1">_xlfn.LET(
_xlpm.recurring,SUMIFS(INDEX(recurring_master!$A:$AF,,MATCH($B80,recurring_master!$A$1:$AF$1,0)),recurring_master!$A:$A,"&lt;="&amp;EOMONTH(C$4,0),recurring_master!$A:$A,"&gt;="&amp;C$4),
_xlpm.planned,SUMIFS(#REF!,#REF!,$B80,#REF!,"&gt;="&amp;C$4,#REF!,"&lt;="&amp;EOMONTH(C$4,0)),
_xlpm.precedents,C$19*SUMIFS(#REF!,#REF!,$B$19,#REF!,$B80)+C$20*SUMIFS(#REF!,#REF!,$B$20,#REF!,$B80),
IFERROR(_xlpm.recurring,0)+IFERROR(_xlpm.planned,0)+IFERROR(_xlpm.precedents,0))</f>
        <v>0</v>
      </c>
      <c r="D80" s="159">
        <f ca="1">_xlfn.LET(
_xlpm.recurring,SUMIFS(INDEX(recurring_master!$A:$AF,,MATCH($B80,recurring_master!$A$1:$AF$1,0)),recurring_master!$A:$A,"&lt;="&amp;EOMONTH(D$4,0),recurring_master!$A:$A,"&gt;="&amp;D$4),
_xlpm.planned,SUMIFS(#REF!,#REF!,$B80,#REF!,"&gt;="&amp;D$4,#REF!,"&lt;="&amp;EOMONTH(D$4,0)),
_xlpm.precedents,D$19*SUMIFS(#REF!,#REF!,$B$19,#REF!,$B80)+D$20*SUMIFS(#REF!,#REF!,$B$20,#REF!,$B80),
IFERROR(_xlpm.recurring,0)+IFERROR(_xlpm.planned,0)+IFERROR(_xlpm.precedents,0))</f>
        <v>0</v>
      </c>
      <c r="E80" s="159">
        <f ca="1">_xlfn.LET(
_xlpm.recurring,SUMIFS(INDEX(recurring_master!$A:$AF,,MATCH($B80,recurring_master!$A$1:$AF$1,0)),recurring_master!$A:$A,"&lt;="&amp;EOMONTH(E$4,0),recurring_master!$A:$A,"&gt;="&amp;E$4),
_xlpm.planned,SUMIFS(#REF!,#REF!,$B80,#REF!,"&gt;="&amp;E$4,#REF!,"&lt;="&amp;EOMONTH(E$4,0)),
_xlpm.precedents,E$19*SUMIFS(#REF!,#REF!,$B$19,#REF!,$B80)+E$20*SUMIFS(#REF!,#REF!,$B$20,#REF!,$B80),
IFERROR(_xlpm.recurring,0)+IFERROR(_xlpm.planned,0)+IFERROR(_xlpm.precedents,0))</f>
        <v>0</v>
      </c>
      <c r="F80" s="159">
        <f ca="1">_xlfn.LET(
_xlpm.recurring,SUMIFS(INDEX(recurring_master!$A:$AF,,MATCH($B80,recurring_master!$A$1:$AF$1,0)),recurring_master!$A:$A,"&lt;="&amp;EOMONTH(F$4,0),recurring_master!$A:$A,"&gt;="&amp;F$4),
_xlpm.planned,SUMIFS(#REF!,#REF!,$B80,#REF!,"&gt;="&amp;F$4,#REF!,"&lt;="&amp;EOMONTH(F$4,0)),
_xlpm.precedents,F$19*SUMIFS(#REF!,#REF!,$B$19,#REF!,$B80)+F$20*SUMIFS(#REF!,#REF!,$B$20,#REF!,$B80),
IFERROR(_xlpm.recurring,0)+IFERROR(_xlpm.planned,0)+IFERROR(_xlpm.precedents,0))</f>
        <v>0</v>
      </c>
      <c r="G80" s="159">
        <f ca="1">_xlfn.LET(
_xlpm.recurring,SUMIFS(INDEX(recurring_master!$A:$AF,,MATCH($B80,recurring_master!$A$1:$AF$1,0)),recurring_master!$A:$A,"&lt;="&amp;EOMONTH(G$4,0),recurring_master!$A:$A,"&gt;="&amp;G$4),
_xlpm.planned,SUMIFS(#REF!,#REF!,$B80,#REF!,"&gt;="&amp;G$4,#REF!,"&lt;="&amp;EOMONTH(G$4,0)),
_xlpm.precedents,G$19*SUMIFS(#REF!,#REF!,$B$19,#REF!,$B80)+G$20*SUMIFS(#REF!,#REF!,$B$20,#REF!,$B80),
IFERROR(_xlpm.recurring,0)+IFERROR(_xlpm.planned,0)+IFERROR(_xlpm.precedents,0))</f>
        <v>0</v>
      </c>
      <c r="H80" s="159">
        <f ca="1">_xlfn.LET(
_xlpm.recurring,SUMIFS(INDEX(recurring_master!$A:$AF,,MATCH($B80,recurring_master!$A$1:$AF$1,0)),recurring_master!$A:$A,"&lt;="&amp;EOMONTH(H$4,0),recurring_master!$A:$A,"&gt;="&amp;H$4),
_xlpm.planned,SUMIFS(#REF!,#REF!,$B80,#REF!,"&gt;="&amp;H$4,#REF!,"&lt;="&amp;EOMONTH(H$4,0)),
_xlpm.precedents,H$19*SUMIFS(#REF!,#REF!,$B$19,#REF!,$B80)+H$20*SUMIFS(#REF!,#REF!,$B$20,#REF!,$B80),
IFERROR(_xlpm.recurring,0)+IFERROR(_xlpm.planned,0)+IFERROR(_xlpm.precedents,0))</f>
        <v>0</v>
      </c>
      <c r="I80" s="159">
        <f ca="1">_xlfn.LET(
_xlpm.recurring,SUMIFS(INDEX(recurring_master!$A:$AF,,MATCH($B80,recurring_master!$A$1:$AF$1,0)),recurring_master!$A:$A,"&lt;="&amp;EOMONTH(I$4,0),recurring_master!$A:$A,"&gt;="&amp;I$4),
_xlpm.planned,SUMIFS(#REF!,#REF!,$B80,#REF!,"&gt;="&amp;I$4,#REF!,"&lt;="&amp;EOMONTH(I$4,0)),
_xlpm.precedents,I$19*SUMIFS(#REF!,#REF!,$B$19,#REF!,$B80)+I$20*SUMIFS(#REF!,#REF!,$B$20,#REF!,$B80),
IFERROR(_xlpm.recurring,0)+IFERROR(_xlpm.planned,0)+IFERROR(_xlpm.precedents,0))</f>
        <v>0</v>
      </c>
      <c r="J80" s="159">
        <f ca="1">_xlfn.LET(
_xlpm.recurring,SUMIFS(INDEX(recurring_master!$A:$AF,,MATCH($B80,recurring_master!$A$1:$AF$1,0)),recurring_master!$A:$A,"&lt;="&amp;EOMONTH(J$4,0),recurring_master!$A:$A,"&gt;="&amp;J$4),
_xlpm.planned,SUMIFS(#REF!,#REF!,$B80,#REF!,"&gt;="&amp;J$4,#REF!,"&lt;="&amp;EOMONTH(J$4,0)),
_xlpm.precedents,J$19*SUMIFS(#REF!,#REF!,$B$19,#REF!,$B80)+J$20*SUMIFS(#REF!,#REF!,$B$20,#REF!,$B80),
IFERROR(_xlpm.recurring,0)+IFERROR(_xlpm.planned,0)+IFERROR(_xlpm.precedents,0))</f>
        <v>0</v>
      </c>
      <c r="K80" s="159">
        <f ca="1">_xlfn.LET(
_xlpm.recurring,SUMIFS(INDEX(recurring_master!$A:$AF,,MATCH($B80,recurring_master!$A$1:$AF$1,0)),recurring_master!$A:$A,"&lt;="&amp;EOMONTH(K$4,0),recurring_master!$A:$A,"&gt;="&amp;K$4),
_xlpm.planned,SUMIFS(#REF!,#REF!,$B80,#REF!,"&gt;="&amp;K$4,#REF!,"&lt;="&amp;EOMONTH(K$4,0)),
_xlpm.precedents,K$19*SUMIFS(#REF!,#REF!,$B$19,#REF!,$B80)+K$20*SUMIFS(#REF!,#REF!,$B$20,#REF!,$B80),
IFERROR(_xlpm.recurring,0)+IFERROR(_xlpm.planned,0)+IFERROR(_xlpm.precedents,0))</f>
        <v>0</v>
      </c>
      <c r="L80" s="159">
        <f ca="1">_xlfn.LET(
_xlpm.recurring,SUMIFS(INDEX(recurring_master!$A:$AF,,MATCH($B80,recurring_master!$A$1:$AF$1,0)),recurring_master!$A:$A,"&lt;="&amp;EOMONTH(L$4,0),recurring_master!$A:$A,"&gt;="&amp;L$4),
_xlpm.planned,SUMIFS(#REF!,#REF!,$B80,#REF!,"&gt;="&amp;L$4,#REF!,"&lt;="&amp;EOMONTH(L$4,0)),
_xlpm.precedents,L$19*SUMIFS(#REF!,#REF!,$B$19,#REF!,$B80)+L$20*SUMIFS(#REF!,#REF!,$B$20,#REF!,$B80),
IFERROR(_xlpm.recurring,0)+IFERROR(_xlpm.planned,0)+IFERROR(_xlpm.precedents,0))</f>
        <v>0</v>
      </c>
      <c r="M80" s="159">
        <f ca="1">_xlfn.LET(
_xlpm.recurring,SUMIFS(INDEX(recurring_master!$A:$AF,,MATCH($B80,recurring_master!$A$1:$AF$1,0)),recurring_master!$A:$A,"&lt;="&amp;EOMONTH(M$4,0),recurring_master!$A:$A,"&gt;="&amp;M$4),
_xlpm.planned,SUMIFS(#REF!,#REF!,$B80,#REF!,"&gt;="&amp;M$4,#REF!,"&lt;="&amp;EOMONTH(M$4,0)),
_xlpm.precedents,M$19*SUMIFS(#REF!,#REF!,$B$19,#REF!,$B80)+M$20*SUMIFS(#REF!,#REF!,$B$20,#REF!,$B80),
IFERROR(_xlpm.recurring,0)+IFERROR(_xlpm.planned,0)+IFERROR(_xlpm.precedents,0))</f>
        <v>0</v>
      </c>
      <c r="N80" s="159">
        <f ca="1">_xlfn.LET(
_xlpm.recurring,SUMIFS(INDEX(recurring_master!$A:$AF,,MATCH($B80,recurring_master!$A$1:$AF$1,0)),recurring_master!$A:$A,"&lt;="&amp;EOMONTH(N$4,0),recurring_master!$A:$A,"&gt;="&amp;N$4),
_xlpm.planned,SUMIFS(#REF!,#REF!,$B80,#REF!,"&gt;="&amp;N$4,#REF!,"&lt;="&amp;EOMONTH(N$4,0)),
_xlpm.precedents,N$19*SUMIFS(#REF!,#REF!,$B$19,#REF!,$B80)+N$20*SUMIFS(#REF!,#REF!,$B$20,#REF!,$B80),
IFERROR(_xlpm.recurring,0)+IFERROR(_xlpm.planned,0)+IFERROR(_xlpm.precedents,0))</f>
        <v>0</v>
      </c>
      <c r="O80" s="81"/>
      <c r="P80" s="91">
        <f ca="1">SUM(C80:N80)</f>
        <v>0</v>
      </c>
      <c r="Q80" s="46"/>
      <c r="R80" s="38"/>
    </row>
    <row r="81" spans="1:23" ht="5.0999999999999996" customHeight="1" x14ac:dyDescent="0.2">
      <c r="A81" s="181"/>
      <c r="B81" s="60"/>
      <c r="C81" s="81"/>
      <c r="D81" s="81"/>
      <c r="E81" s="81"/>
      <c r="F81" s="81"/>
      <c r="G81" s="81"/>
      <c r="H81" s="81"/>
      <c r="I81" s="81"/>
      <c r="J81" s="81"/>
      <c r="K81" s="81"/>
      <c r="L81" s="81"/>
      <c r="M81" s="81"/>
      <c r="N81" s="81"/>
      <c r="O81" s="81"/>
      <c r="P81" s="91"/>
      <c r="Q81" s="46"/>
      <c r="R81" s="38"/>
    </row>
    <row r="82" spans="1:23" ht="12.75" customHeight="1" x14ac:dyDescent="0.2">
      <c r="A82" s="181"/>
      <c r="B82" s="64" t="str">
        <f>"Total "&amp;B79</f>
        <v>Total NON CASH</v>
      </c>
      <c r="C82" s="94">
        <f t="shared" ref="C82:N82" ca="1" si="21">SUM(C80:C81)</f>
        <v>0</v>
      </c>
      <c r="D82" s="94">
        <f t="shared" ca="1" si="21"/>
        <v>0</v>
      </c>
      <c r="E82" s="94">
        <f t="shared" ca="1" si="21"/>
        <v>0</v>
      </c>
      <c r="F82" s="94">
        <f t="shared" ca="1" si="21"/>
        <v>0</v>
      </c>
      <c r="G82" s="94">
        <f t="shared" ca="1" si="21"/>
        <v>0</v>
      </c>
      <c r="H82" s="94">
        <f t="shared" ca="1" si="21"/>
        <v>0</v>
      </c>
      <c r="I82" s="94">
        <f t="shared" ca="1" si="21"/>
        <v>0</v>
      </c>
      <c r="J82" s="94">
        <f t="shared" ca="1" si="21"/>
        <v>0</v>
      </c>
      <c r="K82" s="94">
        <f t="shared" ca="1" si="21"/>
        <v>0</v>
      </c>
      <c r="L82" s="94">
        <f t="shared" ca="1" si="21"/>
        <v>0</v>
      </c>
      <c r="M82" s="94">
        <f t="shared" ca="1" si="21"/>
        <v>0</v>
      </c>
      <c r="N82" s="104">
        <f t="shared" ca="1" si="21"/>
        <v>0</v>
      </c>
      <c r="O82" s="94"/>
      <c r="P82" s="95">
        <f ca="1">SUM(P80:P80)</f>
        <v>0</v>
      </c>
      <c r="Q82" s="46"/>
      <c r="R82" s="38"/>
    </row>
    <row r="83" spans="1:23" x14ac:dyDescent="0.2">
      <c r="A83" s="181"/>
      <c r="B83" s="61"/>
      <c r="C83" s="81"/>
      <c r="D83" s="81"/>
      <c r="E83" s="81"/>
      <c r="F83" s="81"/>
      <c r="G83" s="81"/>
      <c r="H83" s="81"/>
      <c r="I83" s="81"/>
      <c r="J83" s="81"/>
      <c r="K83" s="81"/>
      <c r="L83" s="81"/>
      <c r="M83" s="81"/>
      <c r="N83" s="81"/>
      <c r="O83" s="81"/>
      <c r="P83" s="81"/>
      <c r="Q83" s="46"/>
      <c r="R83" s="38"/>
    </row>
    <row r="84" spans="1:23" ht="12.75" customHeight="1" x14ac:dyDescent="0.2">
      <c r="A84" s="181"/>
      <c r="B84" s="72" t="s">
        <v>37</v>
      </c>
      <c r="C84" s="105"/>
      <c r="D84" s="105"/>
      <c r="E84" s="105"/>
      <c r="F84" s="105"/>
      <c r="G84" s="105"/>
      <c r="H84" s="105"/>
      <c r="I84" s="105"/>
      <c r="J84" s="105"/>
      <c r="K84" s="105"/>
      <c r="L84" s="105"/>
      <c r="M84" s="105"/>
      <c r="N84" s="116"/>
      <c r="O84" s="81"/>
      <c r="P84" s="81"/>
      <c r="Q84" s="46"/>
      <c r="R84" s="38"/>
    </row>
    <row r="85" spans="1:23" ht="12.75" customHeight="1" x14ac:dyDescent="0.2">
      <c r="A85" s="181"/>
      <c r="B85" s="60" t="s">
        <v>187</v>
      </c>
      <c r="C85" s="90" t="e">
        <f t="shared" ref="C85:N85" ca="1" si="22">C15</f>
        <v>#REF!</v>
      </c>
      <c r="D85" s="90" t="e">
        <f t="shared" ca="1" si="22"/>
        <v>#REF!</v>
      </c>
      <c r="E85" s="90" t="e">
        <f t="shared" ca="1" si="22"/>
        <v>#REF!</v>
      </c>
      <c r="F85" s="90" t="e">
        <f t="shared" ca="1" si="22"/>
        <v>#REF!</v>
      </c>
      <c r="G85" s="90" t="e">
        <f t="shared" ca="1" si="22"/>
        <v>#REF!</v>
      </c>
      <c r="H85" s="90" t="e">
        <f t="shared" ca="1" si="22"/>
        <v>#REF!</v>
      </c>
      <c r="I85" s="90" t="e">
        <f t="shared" ca="1" si="22"/>
        <v>#REF!</v>
      </c>
      <c r="J85" s="90" t="e">
        <f t="shared" ca="1" si="22"/>
        <v>#REF!</v>
      </c>
      <c r="K85" s="90" t="e">
        <f t="shared" ca="1" si="22"/>
        <v>#REF!</v>
      </c>
      <c r="L85" s="90" t="e">
        <f t="shared" ca="1" si="22"/>
        <v>#REF!</v>
      </c>
      <c r="M85" s="90" t="e">
        <f t="shared" ca="1" si="22"/>
        <v>#REF!</v>
      </c>
      <c r="N85" s="113" t="e">
        <f t="shared" ca="1" si="22"/>
        <v>#REF!</v>
      </c>
      <c r="O85" s="81"/>
      <c r="P85" s="81"/>
      <c r="Q85" s="46"/>
      <c r="R85" s="38"/>
    </row>
    <row r="86" spans="1:23" ht="12.75" customHeight="1" x14ac:dyDescent="0.2">
      <c r="A86" s="181"/>
      <c r="B86" s="60" t="s">
        <v>188</v>
      </c>
      <c r="C86" s="90" t="e">
        <f>#REF!</f>
        <v>#REF!</v>
      </c>
      <c r="D86" s="90" t="e">
        <f>C86</f>
        <v>#REF!</v>
      </c>
      <c r="E86" s="90" t="e">
        <f t="shared" ref="E86:N86" si="23">D86</f>
        <v>#REF!</v>
      </c>
      <c r="F86" s="90" t="e">
        <f t="shared" si="23"/>
        <v>#REF!</v>
      </c>
      <c r="G86" s="90" t="e">
        <f t="shared" si="23"/>
        <v>#REF!</v>
      </c>
      <c r="H86" s="90" t="e">
        <f t="shared" si="23"/>
        <v>#REF!</v>
      </c>
      <c r="I86" s="90" t="e">
        <f t="shared" si="23"/>
        <v>#REF!</v>
      </c>
      <c r="J86" s="90" t="e">
        <f t="shared" si="23"/>
        <v>#REF!</v>
      </c>
      <c r="K86" s="90" t="e">
        <f t="shared" si="23"/>
        <v>#REF!</v>
      </c>
      <c r="L86" s="90" t="e">
        <f t="shared" si="23"/>
        <v>#REF!</v>
      </c>
      <c r="M86" s="90" t="e">
        <f t="shared" si="23"/>
        <v>#REF!</v>
      </c>
      <c r="N86" s="113" t="e">
        <f t="shared" si="23"/>
        <v>#REF!</v>
      </c>
      <c r="O86" s="81"/>
      <c r="P86" s="81"/>
      <c r="Q86" s="46"/>
      <c r="R86" s="38"/>
    </row>
    <row r="87" spans="1:23" ht="5.0999999999999996" customHeight="1" x14ac:dyDescent="0.2">
      <c r="A87" s="181"/>
      <c r="B87" s="60"/>
      <c r="C87" s="81"/>
      <c r="D87" s="81"/>
      <c r="E87" s="81"/>
      <c r="F87" s="81"/>
      <c r="G87" s="81"/>
      <c r="H87" s="81"/>
      <c r="I87" s="81"/>
      <c r="J87" s="81"/>
      <c r="K87" s="81"/>
      <c r="L87" s="81"/>
      <c r="M87" s="81"/>
      <c r="N87" s="91"/>
      <c r="O87" s="81"/>
      <c r="P87" s="81"/>
      <c r="Q87" s="46"/>
      <c r="R87" s="38"/>
      <c r="W87" s="18"/>
    </row>
    <row r="88" spans="1:23" ht="12.75" customHeight="1" x14ac:dyDescent="0.2">
      <c r="A88" s="181"/>
      <c r="B88" s="60" t="s">
        <v>186</v>
      </c>
      <c r="C88" s="90" t="e">
        <f ca="1">#REF!+C66-C37</f>
        <v>#REF!</v>
      </c>
      <c r="D88" s="90" t="e">
        <f t="shared" ref="D88:N88" ca="1" si="24">C88+D66-D37</f>
        <v>#REF!</v>
      </c>
      <c r="E88" s="90" t="e">
        <f t="shared" ca="1" si="24"/>
        <v>#REF!</v>
      </c>
      <c r="F88" s="90" t="e">
        <f t="shared" ca="1" si="24"/>
        <v>#REF!</v>
      </c>
      <c r="G88" s="90" t="e">
        <f t="shared" ca="1" si="24"/>
        <v>#REF!</v>
      </c>
      <c r="H88" s="90" t="e">
        <f t="shared" ca="1" si="24"/>
        <v>#REF!</v>
      </c>
      <c r="I88" s="90" t="e">
        <f t="shared" ca="1" si="24"/>
        <v>#REF!</v>
      </c>
      <c r="J88" s="90" t="e">
        <f t="shared" ca="1" si="24"/>
        <v>#REF!</v>
      </c>
      <c r="K88" s="90" t="e">
        <f t="shared" ca="1" si="24"/>
        <v>#REF!</v>
      </c>
      <c r="L88" s="90" t="e">
        <f t="shared" ca="1" si="24"/>
        <v>#REF!</v>
      </c>
      <c r="M88" s="90" t="e">
        <f t="shared" ca="1" si="24"/>
        <v>#REF!</v>
      </c>
      <c r="N88" s="113" t="e">
        <f t="shared" ca="1" si="24"/>
        <v>#REF!</v>
      </c>
      <c r="O88" s="81"/>
      <c r="P88" s="81"/>
      <c r="Q88" s="46"/>
      <c r="R88" s="38"/>
    </row>
    <row r="89" spans="1:23" ht="12.75" customHeight="1" x14ac:dyDescent="0.2">
      <c r="A89" s="181"/>
      <c r="B89" s="60" t="s">
        <v>185</v>
      </c>
      <c r="C89" s="90" t="e">
        <f ca="1">#REF!+SUM(C67,C27,C80)</f>
        <v>#REF!</v>
      </c>
      <c r="D89" s="90" t="e">
        <f t="shared" ref="D89:N89" ca="1" si="25">C89+SUM(D67,D27,D80)</f>
        <v>#REF!</v>
      </c>
      <c r="E89" s="90" t="e">
        <f t="shared" ca="1" si="25"/>
        <v>#REF!</v>
      </c>
      <c r="F89" s="90" t="e">
        <f t="shared" ca="1" si="25"/>
        <v>#REF!</v>
      </c>
      <c r="G89" s="90" t="e">
        <f t="shared" ca="1" si="25"/>
        <v>#REF!</v>
      </c>
      <c r="H89" s="90" t="e">
        <f t="shared" ca="1" si="25"/>
        <v>#REF!</v>
      </c>
      <c r="I89" s="90" t="e">
        <f t="shared" ca="1" si="25"/>
        <v>#REF!</v>
      </c>
      <c r="J89" s="90" t="e">
        <f t="shared" ca="1" si="25"/>
        <v>#REF!</v>
      </c>
      <c r="K89" s="90" t="e">
        <f t="shared" ca="1" si="25"/>
        <v>#REF!</v>
      </c>
      <c r="L89" s="90" t="e">
        <f t="shared" ca="1" si="25"/>
        <v>#REF!</v>
      </c>
      <c r="M89" s="90" t="e">
        <f t="shared" ca="1" si="25"/>
        <v>#REF!</v>
      </c>
      <c r="N89" s="113" t="e">
        <f t="shared" ca="1" si="25"/>
        <v>#REF!</v>
      </c>
      <c r="O89" s="81"/>
      <c r="P89" s="81"/>
      <c r="Q89" s="46"/>
      <c r="R89" s="38"/>
    </row>
    <row r="90" spans="1:23" ht="5.0999999999999996" customHeight="1" x14ac:dyDescent="0.2">
      <c r="A90" s="181"/>
      <c r="B90" s="60"/>
      <c r="C90" s="81"/>
      <c r="D90" s="81"/>
      <c r="E90" s="81"/>
      <c r="F90" s="81"/>
      <c r="G90" s="81"/>
      <c r="H90" s="81"/>
      <c r="I90" s="81"/>
      <c r="J90" s="81"/>
      <c r="K90" s="81"/>
      <c r="L90" s="81"/>
      <c r="M90" s="81"/>
      <c r="N90" s="91"/>
      <c r="O90" s="81"/>
      <c r="P90" s="81"/>
      <c r="Q90" s="46"/>
      <c r="R90" s="38"/>
      <c r="W90" s="18"/>
    </row>
    <row r="91" spans="1:23" ht="12.75" customHeight="1" x14ac:dyDescent="0.2">
      <c r="A91" s="181"/>
      <c r="B91" s="60" t="s">
        <v>185</v>
      </c>
      <c r="C91" s="90" t="e">
        <f>#REF!</f>
        <v>#REF!</v>
      </c>
      <c r="D91" s="90" t="e">
        <f>C91</f>
        <v>#REF!</v>
      </c>
      <c r="E91" s="90" t="e">
        <f t="shared" ref="E91:N91" si="26">D91</f>
        <v>#REF!</v>
      </c>
      <c r="F91" s="90" t="e">
        <f t="shared" si="26"/>
        <v>#REF!</v>
      </c>
      <c r="G91" s="90" t="e">
        <f t="shared" si="26"/>
        <v>#REF!</v>
      </c>
      <c r="H91" s="90" t="e">
        <f t="shared" si="26"/>
        <v>#REF!</v>
      </c>
      <c r="I91" s="90" t="e">
        <f t="shared" si="26"/>
        <v>#REF!</v>
      </c>
      <c r="J91" s="90" t="e">
        <f t="shared" si="26"/>
        <v>#REF!</v>
      </c>
      <c r="K91" s="90" t="e">
        <f t="shared" si="26"/>
        <v>#REF!</v>
      </c>
      <c r="L91" s="90" t="e">
        <f t="shared" si="26"/>
        <v>#REF!</v>
      </c>
      <c r="M91" s="90" t="e">
        <f t="shared" si="26"/>
        <v>#REF!</v>
      </c>
      <c r="N91" s="113" t="e">
        <f t="shared" si="26"/>
        <v>#REF!</v>
      </c>
      <c r="O91" s="81"/>
      <c r="P91" s="81"/>
      <c r="Q91" s="46"/>
      <c r="R91" s="38"/>
    </row>
    <row r="92" spans="1:23" ht="5.0999999999999996" customHeight="1" x14ac:dyDescent="0.2">
      <c r="A92" s="181"/>
      <c r="B92" s="60"/>
      <c r="C92" s="81"/>
      <c r="D92" s="81"/>
      <c r="E92" s="81"/>
      <c r="F92" s="81"/>
      <c r="G92" s="81"/>
      <c r="H92" s="81"/>
      <c r="I92" s="81"/>
      <c r="J92" s="81"/>
      <c r="K92" s="81"/>
      <c r="L92" s="81"/>
      <c r="M92" s="81"/>
      <c r="N92" s="91"/>
      <c r="O92" s="81"/>
      <c r="P92" s="81"/>
      <c r="Q92" s="46"/>
      <c r="R92" s="38"/>
      <c r="W92" s="18"/>
    </row>
    <row r="93" spans="1:23" ht="12.75" customHeight="1" x14ac:dyDescent="0.2">
      <c r="A93" s="181"/>
      <c r="B93" s="73" t="s">
        <v>91</v>
      </c>
      <c r="C93" s="106" t="e">
        <f t="shared" ref="C93:N93" ca="1" si="27">SUM(C85:C90)</f>
        <v>#REF!</v>
      </c>
      <c r="D93" s="106" t="e">
        <f t="shared" ca="1" si="27"/>
        <v>#REF!</v>
      </c>
      <c r="E93" s="106" t="e">
        <f t="shared" ca="1" si="27"/>
        <v>#REF!</v>
      </c>
      <c r="F93" s="106" t="e">
        <f t="shared" ca="1" si="27"/>
        <v>#REF!</v>
      </c>
      <c r="G93" s="106" t="e">
        <f t="shared" ca="1" si="27"/>
        <v>#REF!</v>
      </c>
      <c r="H93" s="106" t="e">
        <f t="shared" ca="1" si="27"/>
        <v>#REF!</v>
      </c>
      <c r="I93" s="106" t="e">
        <f t="shared" ca="1" si="27"/>
        <v>#REF!</v>
      </c>
      <c r="J93" s="106" t="e">
        <f t="shared" ca="1" si="27"/>
        <v>#REF!</v>
      </c>
      <c r="K93" s="106" t="e">
        <f t="shared" ca="1" si="27"/>
        <v>#REF!</v>
      </c>
      <c r="L93" s="106" t="e">
        <f t="shared" ca="1" si="27"/>
        <v>#REF!</v>
      </c>
      <c r="M93" s="106" t="e">
        <f t="shared" ca="1" si="27"/>
        <v>#REF!</v>
      </c>
      <c r="N93" s="114" t="e">
        <f t="shared" ca="1" si="27"/>
        <v>#REF!</v>
      </c>
      <c r="O93" s="81"/>
      <c r="P93" s="81"/>
      <c r="Q93" s="46"/>
      <c r="R93" s="38"/>
    </row>
    <row r="94" spans="1:23" ht="5.0999999999999996" customHeight="1" x14ac:dyDescent="0.2">
      <c r="A94" s="181"/>
      <c r="B94" s="60"/>
      <c r="C94" s="81"/>
      <c r="D94" s="81"/>
      <c r="E94" s="81"/>
      <c r="F94" s="81"/>
      <c r="G94" s="81"/>
      <c r="H94" s="81"/>
      <c r="I94" s="81"/>
      <c r="J94" s="81"/>
      <c r="K94" s="81"/>
      <c r="L94" s="81"/>
      <c r="M94" s="81"/>
      <c r="N94" s="91"/>
      <c r="O94" s="81"/>
      <c r="P94" s="81"/>
      <c r="Q94" s="46"/>
      <c r="R94" s="38"/>
      <c r="W94" s="18"/>
    </row>
    <row r="95" spans="1:23" ht="12.75" customHeight="1" x14ac:dyDescent="0.2">
      <c r="A95" s="181"/>
      <c r="B95" s="60" t="s">
        <v>184</v>
      </c>
      <c r="C95" s="90" t="e">
        <f ca="1">#REF!-C72</f>
        <v>#REF!</v>
      </c>
      <c r="D95" s="90" t="e">
        <f t="shared" ref="D95:N95" ca="1" si="28">C95-D72</f>
        <v>#REF!</v>
      </c>
      <c r="E95" s="90" t="e">
        <f t="shared" ca="1" si="28"/>
        <v>#REF!</v>
      </c>
      <c r="F95" s="90" t="e">
        <f t="shared" ca="1" si="28"/>
        <v>#REF!</v>
      </c>
      <c r="G95" s="90" t="e">
        <f t="shared" ca="1" si="28"/>
        <v>#REF!</v>
      </c>
      <c r="H95" s="90" t="e">
        <f t="shared" ca="1" si="28"/>
        <v>#REF!</v>
      </c>
      <c r="I95" s="90" t="e">
        <f t="shared" ca="1" si="28"/>
        <v>#REF!</v>
      </c>
      <c r="J95" s="90" t="e">
        <f t="shared" ca="1" si="28"/>
        <v>#REF!</v>
      </c>
      <c r="K95" s="90" t="e">
        <f t="shared" ca="1" si="28"/>
        <v>#REF!</v>
      </c>
      <c r="L95" s="90" t="e">
        <f t="shared" ca="1" si="28"/>
        <v>#REF!</v>
      </c>
      <c r="M95" s="90" t="e">
        <f t="shared" ca="1" si="28"/>
        <v>#REF!</v>
      </c>
      <c r="N95" s="113" t="e">
        <f t="shared" ca="1" si="28"/>
        <v>#REF!</v>
      </c>
      <c r="O95" s="81"/>
      <c r="P95" s="81"/>
      <c r="Q95" s="46"/>
      <c r="R95" s="38"/>
    </row>
    <row r="96" spans="1:23" ht="12.75" customHeight="1" x14ac:dyDescent="0.2">
      <c r="A96" s="181"/>
      <c r="B96" s="60" t="s">
        <v>183</v>
      </c>
      <c r="C96" s="90" t="e">
        <f ca="1">#REF!-C73</f>
        <v>#REF!</v>
      </c>
      <c r="D96" s="90" t="e">
        <f t="shared" ref="D96:N96" ca="1" si="29">C96-D73</f>
        <v>#REF!</v>
      </c>
      <c r="E96" s="90" t="e">
        <f t="shared" ca="1" si="29"/>
        <v>#REF!</v>
      </c>
      <c r="F96" s="90" t="e">
        <f t="shared" ca="1" si="29"/>
        <v>#REF!</v>
      </c>
      <c r="G96" s="90" t="e">
        <f t="shared" ca="1" si="29"/>
        <v>#REF!</v>
      </c>
      <c r="H96" s="90" t="e">
        <f t="shared" ca="1" si="29"/>
        <v>#REF!</v>
      </c>
      <c r="I96" s="90" t="e">
        <f t="shared" ca="1" si="29"/>
        <v>#REF!</v>
      </c>
      <c r="J96" s="90" t="e">
        <f t="shared" ca="1" si="29"/>
        <v>#REF!</v>
      </c>
      <c r="K96" s="90" t="e">
        <f t="shared" ca="1" si="29"/>
        <v>#REF!</v>
      </c>
      <c r="L96" s="90" t="e">
        <f t="shared" ca="1" si="29"/>
        <v>#REF!</v>
      </c>
      <c r="M96" s="90" t="e">
        <f t="shared" ca="1" si="29"/>
        <v>#REF!</v>
      </c>
      <c r="N96" s="113" t="e">
        <f t="shared" ca="1" si="29"/>
        <v>#REF!</v>
      </c>
      <c r="O96" s="81"/>
      <c r="P96" s="81"/>
      <c r="Q96" s="46"/>
      <c r="R96" s="38"/>
    </row>
    <row r="97" spans="1:23" ht="5.0999999999999996" customHeight="1" x14ac:dyDescent="0.2">
      <c r="A97" s="181"/>
      <c r="B97" s="60"/>
      <c r="C97" s="81"/>
      <c r="D97" s="81"/>
      <c r="E97" s="81"/>
      <c r="F97" s="81"/>
      <c r="G97" s="81"/>
      <c r="H97" s="81"/>
      <c r="I97" s="81"/>
      <c r="J97" s="81"/>
      <c r="K97" s="81"/>
      <c r="L97" s="81"/>
      <c r="M97" s="81"/>
      <c r="N97" s="91"/>
      <c r="O97" s="81"/>
      <c r="P97" s="81"/>
      <c r="Q97" s="46"/>
      <c r="R97" s="38"/>
      <c r="W97" s="18"/>
    </row>
    <row r="98" spans="1:23" ht="12.75" customHeight="1" x14ac:dyDescent="0.2">
      <c r="A98" s="181"/>
      <c r="B98" s="73" t="s">
        <v>92</v>
      </c>
      <c r="C98" s="106" t="e">
        <f ca="1">SUM(C94:C97)</f>
        <v>#REF!</v>
      </c>
      <c r="D98" s="106" t="e">
        <f t="shared" ref="D98:N98" ca="1" si="30">SUM(D94:D97)</f>
        <v>#REF!</v>
      </c>
      <c r="E98" s="106" t="e">
        <f t="shared" ca="1" si="30"/>
        <v>#REF!</v>
      </c>
      <c r="F98" s="106" t="e">
        <f t="shared" ca="1" si="30"/>
        <v>#REF!</v>
      </c>
      <c r="G98" s="106" t="e">
        <f t="shared" ca="1" si="30"/>
        <v>#REF!</v>
      </c>
      <c r="H98" s="106" t="e">
        <f t="shared" ca="1" si="30"/>
        <v>#REF!</v>
      </c>
      <c r="I98" s="106" t="e">
        <f t="shared" ca="1" si="30"/>
        <v>#REF!</v>
      </c>
      <c r="J98" s="106" t="e">
        <f t="shared" ca="1" si="30"/>
        <v>#REF!</v>
      </c>
      <c r="K98" s="106" t="e">
        <f t="shared" ca="1" si="30"/>
        <v>#REF!</v>
      </c>
      <c r="L98" s="106" t="e">
        <f t="shared" ca="1" si="30"/>
        <v>#REF!</v>
      </c>
      <c r="M98" s="106" t="e">
        <f t="shared" ca="1" si="30"/>
        <v>#REF!</v>
      </c>
      <c r="N98" s="114" t="e">
        <f t="shared" ca="1" si="30"/>
        <v>#REF!</v>
      </c>
      <c r="O98" s="81"/>
      <c r="P98" s="81"/>
      <c r="Q98" s="46"/>
      <c r="R98" s="38"/>
    </row>
    <row r="99" spans="1:23" ht="5.0999999999999996" customHeight="1" x14ac:dyDescent="0.2">
      <c r="A99" s="181"/>
      <c r="B99" s="60"/>
      <c r="C99" s="81"/>
      <c r="D99" s="81"/>
      <c r="E99" s="81"/>
      <c r="F99" s="81"/>
      <c r="G99" s="81"/>
      <c r="H99" s="81"/>
      <c r="I99" s="81"/>
      <c r="J99" s="81"/>
      <c r="K99" s="81"/>
      <c r="L99" s="81"/>
      <c r="M99" s="81"/>
      <c r="N99" s="91"/>
      <c r="O99" s="81"/>
      <c r="P99" s="81"/>
      <c r="Q99" s="46"/>
      <c r="R99" s="38"/>
      <c r="W99" s="18"/>
    </row>
    <row r="100" spans="1:23" ht="12.75" customHeight="1" x14ac:dyDescent="0.2">
      <c r="A100" s="181"/>
      <c r="B100" s="74" t="s">
        <v>35</v>
      </c>
      <c r="C100" s="107" t="e">
        <f ca="1">C93-C98</f>
        <v>#REF!</v>
      </c>
      <c r="D100" s="107" t="e">
        <f t="shared" ref="D100:N100" ca="1" si="31">D93-D98</f>
        <v>#REF!</v>
      </c>
      <c r="E100" s="107" t="e">
        <f t="shared" ca="1" si="31"/>
        <v>#REF!</v>
      </c>
      <c r="F100" s="107" t="e">
        <f t="shared" ca="1" si="31"/>
        <v>#REF!</v>
      </c>
      <c r="G100" s="107" t="e">
        <f t="shared" ca="1" si="31"/>
        <v>#REF!</v>
      </c>
      <c r="H100" s="107" t="e">
        <f t="shared" ca="1" si="31"/>
        <v>#REF!</v>
      </c>
      <c r="I100" s="107" t="e">
        <f t="shared" ca="1" si="31"/>
        <v>#REF!</v>
      </c>
      <c r="J100" s="107" t="e">
        <f t="shared" ca="1" si="31"/>
        <v>#REF!</v>
      </c>
      <c r="K100" s="107" t="e">
        <f t="shared" ca="1" si="31"/>
        <v>#REF!</v>
      </c>
      <c r="L100" s="107" t="e">
        <f t="shared" ca="1" si="31"/>
        <v>#REF!</v>
      </c>
      <c r="M100" s="107" t="e">
        <f t="shared" ca="1" si="31"/>
        <v>#REF!</v>
      </c>
      <c r="N100" s="115" t="e">
        <f t="shared" ca="1" si="31"/>
        <v>#REF!</v>
      </c>
      <c r="O100" s="81"/>
      <c r="P100" s="81"/>
      <c r="Q100" s="46"/>
      <c r="R100" s="38"/>
    </row>
    <row r="101" spans="1:23" ht="5.0999999999999996" customHeight="1" x14ac:dyDescent="0.2">
      <c r="A101" s="181" t="s">
        <v>36</v>
      </c>
      <c r="B101" s="53"/>
      <c r="C101" s="46"/>
      <c r="D101" s="46"/>
      <c r="E101" s="46"/>
      <c r="F101" s="46"/>
      <c r="G101" s="46"/>
      <c r="H101" s="46"/>
      <c r="I101" s="46"/>
      <c r="J101" s="46"/>
      <c r="K101" s="46"/>
      <c r="L101" s="46"/>
      <c r="M101" s="46"/>
      <c r="N101" s="46"/>
      <c r="O101" s="81"/>
      <c r="P101" s="81"/>
      <c r="Q101" s="41" t="s">
        <v>36</v>
      </c>
      <c r="R101" s="38"/>
      <c r="U101" s="13"/>
      <c r="V101" s="13"/>
      <c r="W101" s="15"/>
    </row>
    <row r="102" spans="1:23" x14ac:dyDescent="0.2">
      <c r="Q102" s="5"/>
      <c r="R102" s="38"/>
    </row>
    <row r="103" spans="1:23" x14ac:dyDescent="0.2">
      <c r="B103" s="171" t="s">
        <v>134</v>
      </c>
      <c r="C103" s="172">
        <v>1</v>
      </c>
      <c r="D103" s="173">
        <f>C103+1</f>
        <v>2</v>
      </c>
      <c r="E103" s="173">
        <f t="shared" ref="E103:N103" si="32">D103+1</f>
        <v>3</v>
      </c>
      <c r="F103" s="173">
        <f t="shared" si="32"/>
        <v>4</v>
      </c>
      <c r="G103" s="173">
        <f t="shared" si="32"/>
        <v>5</v>
      </c>
      <c r="H103" s="173">
        <f t="shared" si="32"/>
        <v>6</v>
      </c>
      <c r="I103" s="173">
        <f t="shared" si="32"/>
        <v>7</v>
      </c>
      <c r="J103" s="173">
        <f t="shared" si="32"/>
        <v>8</v>
      </c>
      <c r="K103" s="173">
        <f t="shared" si="32"/>
        <v>9</v>
      </c>
      <c r="L103" s="173">
        <f t="shared" si="32"/>
        <v>10</v>
      </c>
      <c r="M103" s="173">
        <f t="shared" si="32"/>
        <v>11</v>
      </c>
      <c r="N103" s="173">
        <f t="shared" si="32"/>
        <v>12</v>
      </c>
      <c r="O103" s="173"/>
      <c r="P103" s="174"/>
      <c r="R103" s="38"/>
      <c r="U103" s="13"/>
      <c r="V103" s="13"/>
      <c r="W103" s="15"/>
    </row>
    <row r="104" spans="1:23" ht="12.75" customHeight="1" x14ac:dyDescent="0.2"/>
    <row r="105" spans="1:23" ht="12.75" customHeight="1" x14ac:dyDescent="0.2"/>
    <row r="106" spans="1:23" ht="12.75" customHeight="1" x14ac:dyDescent="0.2">
      <c r="C106" s="137"/>
    </row>
    <row r="107" spans="1:23" ht="12.75" customHeight="1" x14ac:dyDescent="0.2">
      <c r="C107" s="137"/>
    </row>
    <row r="108" spans="1:23" s="127" customFormat="1" ht="12.75" customHeight="1" x14ac:dyDescent="0.2">
      <c r="A108" s="183"/>
      <c r="C108" s="137"/>
      <c r="D108" s="137"/>
      <c r="E108" s="137"/>
      <c r="F108" s="137"/>
      <c r="G108" s="137"/>
      <c r="H108" s="137"/>
      <c r="I108" s="137"/>
      <c r="J108" s="137"/>
      <c r="K108" s="137"/>
      <c r="L108" s="137"/>
      <c r="M108" s="137"/>
      <c r="N108" s="137"/>
      <c r="Q108" s="136"/>
      <c r="R108" s="136"/>
      <c r="V108" s="137"/>
    </row>
    <row r="109" spans="1:23" s="127" customFormat="1" ht="12.75" customHeight="1" x14ac:dyDescent="0.2">
      <c r="A109" s="183"/>
      <c r="C109" s="137"/>
      <c r="D109" s="137"/>
      <c r="E109" s="137"/>
      <c r="F109" s="137"/>
      <c r="G109" s="137"/>
      <c r="H109" s="137"/>
      <c r="I109" s="137"/>
      <c r="J109" s="137"/>
      <c r="K109" s="137"/>
      <c r="L109" s="137"/>
      <c r="M109" s="137"/>
      <c r="N109" s="137"/>
      <c r="Q109" s="136"/>
      <c r="R109" s="136"/>
      <c r="V109" s="137"/>
    </row>
    <row r="111" spans="1:23" s="127" customFormat="1" ht="12.75" customHeight="1" x14ac:dyDescent="0.2">
      <c r="A111" s="183"/>
      <c r="C111" s="137"/>
      <c r="D111" s="137"/>
      <c r="E111" s="137"/>
      <c r="F111" s="137"/>
      <c r="G111" s="137"/>
      <c r="H111" s="137"/>
      <c r="I111" s="137"/>
      <c r="J111" s="137"/>
      <c r="K111" s="137"/>
      <c r="L111" s="137"/>
      <c r="M111" s="137"/>
      <c r="N111" s="137"/>
      <c r="Q111" s="136"/>
      <c r="R111" s="136"/>
      <c r="V111" s="137"/>
    </row>
    <row r="112" spans="1:23" ht="12.75" customHeight="1" x14ac:dyDescent="0.2">
      <c r="C112" s="137"/>
      <c r="D112" s="6"/>
      <c r="E112" s="6"/>
      <c r="F112" s="6"/>
    </row>
    <row r="113" spans="3:4" ht="12.75" customHeight="1" x14ac:dyDescent="0.2">
      <c r="D113" s="137"/>
    </row>
    <row r="114" spans="3:4" ht="12.75" customHeight="1" x14ac:dyDescent="0.2">
      <c r="C114" s="127"/>
      <c r="D114" s="127"/>
    </row>
    <row r="115" spans="3:4" ht="12.75" customHeight="1" x14ac:dyDescent="0.2">
      <c r="C115" s="138"/>
      <c r="D115" s="138"/>
    </row>
    <row r="116" spans="3:4" ht="12.75" customHeight="1" x14ac:dyDescent="0.2">
      <c r="C116" s="138"/>
      <c r="D116" s="138"/>
    </row>
    <row r="117" spans="3:4" ht="12.75" customHeight="1" x14ac:dyDescent="0.2">
      <c r="C117" s="139"/>
      <c r="D117" s="139"/>
    </row>
    <row r="118" spans="3:4" ht="12.75" customHeight="1" x14ac:dyDescent="0.2">
      <c r="C118" s="139"/>
      <c r="D118" s="139"/>
    </row>
    <row r="119" spans="3:4" ht="12.75" customHeight="1" x14ac:dyDescent="0.2">
      <c r="C119" s="139"/>
      <c r="D119" s="139"/>
    </row>
    <row r="120" spans="3:4" ht="12.75" customHeight="1" x14ac:dyDescent="0.2">
      <c r="C120" s="139"/>
      <c r="D120" s="139"/>
    </row>
    <row r="121" spans="3:4" ht="12.75" customHeight="1" x14ac:dyDescent="0.2">
      <c r="C121" s="139"/>
      <c r="D121" s="139"/>
    </row>
    <row r="122" spans="3:4" ht="12.75" customHeight="1" x14ac:dyDescent="0.2">
      <c r="C122" s="139"/>
      <c r="D122" s="139"/>
    </row>
    <row r="123" spans="3:4" ht="12.75" customHeight="1" x14ac:dyDescent="0.2">
      <c r="C123" s="139"/>
      <c r="D123" s="139"/>
    </row>
    <row r="124" spans="3:4" ht="12.75" customHeight="1" x14ac:dyDescent="0.2">
      <c r="C124" s="139"/>
      <c r="D124" s="139"/>
    </row>
    <row r="125" spans="3:4" ht="12.75" customHeight="1" x14ac:dyDescent="0.2">
      <c r="C125" s="139"/>
      <c r="D125" s="139"/>
    </row>
    <row r="126" spans="3:4" ht="12.75" customHeight="1" x14ac:dyDescent="0.2">
      <c r="C126" s="139"/>
      <c r="D126" s="139"/>
    </row>
    <row r="127" spans="3:4" ht="12.75" customHeight="1" x14ac:dyDescent="0.2">
      <c r="C127" s="139"/>
      <c r="D127" s="139"/>
    </row>
    <row r="128" spans="3:4" ht="12.75" customHeight="1" x14ac:dyDescent="0.2">
      <c r="C128" s="139"/>
      <c r="D128" s="139"/>
    </row>
    <row r="129" spans="3:4" ht="12.75" customHeight="1" x14ac:dyDescent="0.2">
      <c r="C129" s="139"/>
      <c r="D129" s="139"/>
    </row>
    <row r="130" spans="3:4" ht="12.75" customHeight="1" x14ac:dyDescent="0.2">
      <c r="C130" s="139"/>
      <c r="D130" s="139"/>
    </row>
    <row r="131" spans="3:4" ht="12.75" customHeight="1" x14ac:dyDescent="0.2">
      <c r="C131" s="139"/>
      <c r="D131" s="139"/>
    </row>
    <row r="132" spans="3:4" ht="12.75" customHeight="1" x14ac:dyDescent="0.2">
      <c r="C132" s="139"/>
      <c r="D132" s="139"/>
    </row>
    <row r="133" spans="3:4" ht="12.75" customHeight="1" x14ac:dyDescent="0.2">
      <c r="C133" s="139"/>
      <c r="D133" s="139"/>
    </row>
    <row r="134" spans="3:4" ht="12.75" customHeight="1" x14ac:dyDescent="0.2">
      <c r="C134" s="139"/>
      <c r="D134" s="139"/>
    </row>
    <row r="135" spans="3:4" ht="12.75" customHeight="1" x14ac:dyDescent="0.2">
      <c r="C135" s="139"/>
      <c r="D135" s="139"/>
    </row>
    <row r="136" spans="3:4" ht="12.75" customHeight="1" x14ac:dyDescent="0.2">
      <c r="C136" s="139"/>
      <c r="D136" s="139"/>
    </row>
    <row r="137" spans="3:4" ht="12.75" customHeight="1" x14ac:dyDescent="0.2">
      <c r="C137" s="139"/>
      <c r="D137" s="139"/>
    </row>
    <row r="138" spans="3:4" ht="12.75" customHeight="1" x14ac:dyDescent="0.2">
      <c r="C138" s="139"/>
      <c r="D138" s="139"/>
    </row>
    <row r="139" spans="3:4" ht="12.75" customHeight="1" x14ac:dyDescent="0.2">
      <c r="C139" s="139"/>
      <c r="D139" s="139"/>
    </row>
    <row r="140" spans="3:4" ht="12.75" customHeight="1" x14ac:dyDescent="0.2">
      <c r="C140" s="139"/>
      <c r="D140" s="139"/>
    </row>
    <row r="141" spans="3:4" x14ac:dyDescent="0.2">
      <c r="C141" s="139"/>
      <c r="D141" s="139"/>
    </row>
    <row r="142" spans="3:4" x14ac:dyDescent="0.2">
      <c r="C142" s="139"/>
      <c r="D142" s="139"/>
    </row>
    <row r="143" spans="3:4" x14ac:dyDescent="0.2">
      <c r="C143" s="139"/>
      <c r="D143" s="139"/>
    </row>
    <row r="144" spans="3:4" x14ac:dyDescent="0.2">
      <c r="C144" s="139"/>
      <c r="D144" s="139"/>
    </row>
    <row r="145" spans="3:4" x14ac:dyDescent="0.2">
      <c r="C145" s="139"/>
      <c r="D145" s="139"/>
    </row>
    <row r="146" spans="3:4" x14ac:dyDescent="0.2">
      <c r="C146" s="139"/>
      <c r="D146" s="139"/>
    </row>
    <row r="147" spans="3:4" x14ac:dyDescent="0.2">
      <c r="C147" s="139"/>
      <c r="D147" s="139"/>
    </row>
    <row r="148" spans="3:4" x14ac:dyDescent="0.2">
      <c r="C148" s="139"/>
      <c r="D148" s="139"/>
    </row>
    <row r="149" spans="3:4" x14ac:dyDescent="0.2">
      <c r="C149" s="139"/>
      <c r="D149" s="139"/>
    </row>
    <row r="150" spans="3:4" x14ac:dyDescent="0.2">
      <c r="C150" s="139"/>
      <c r="D150" s="139"/>
    </row>
    <row r="151" spans="3:4" x14ac:dyDescent="0.2">
      <c r="C151" s="139"/>
      <c r="D151" s="139"/>
    </row>
    <row r="152" spans="3:4" x14ac:dyDescent="0.2">
      <c r="C152" s="139"/>
      <c r="D152" s="139"/>
    </row>
    <row r="153" spans="3:4" x14ac:dyDescent="0.2">
      <c r="C153" s="139"/>
      <c r="D153" s="139"/>
    </row>
    <row r="154" spans="3:4" x14ac:dyDescent="0.2">
      <c r="C154" s="139"/>
      <c r="D154" s="139"/>
    </row>
    <row r="155" spans="3:4" x14ac:dyDescent="0.2">
      <c r="C155" s="139"/>
      <c r="D155" s="139"/>
    </row>
    <row r="156" spans="3:4" x14ac:dyDescent="0.2">
      <c r="C156" s="139"/>
      <c r="D156" s="139"/>
    </row>
    <row r="157" spans="3:4" x14ac:dyDescent="0.2">
      <c r="C157" s="139"/>
      <c r="D157" s="139"/>
    </row>
    <row r="158" spans="3:4" x14ac:dyDescent="0.2">
      <c r="C158" s="139"/>
      <c r="D158" s="139"/>
    </row>
    <row r="159" spans="3:4" x14ac:dyDescent="0.2">
      <c r="C159" s="139"/>
      <c r="D159" s="139"/>
    </row>
    <row r="160" spans="3:4" x14ac:dyDescent="0.2">
      <c r="C160" s="139"/>
      <c r="D160" s="139"/>
    </row>
    <row r="161" spans="3:4" x14ac:dyDescent="0.2">
      <c r="C161" s="139"/>
      <c r="D161" s="139"/>
    </row>
    <row r="162" spans="3:4" x14ac:dyDescent="0.2">
      <c r="C162" s="139"/>
      <c r="D162" s="139"/>
    </row>
    <row r="163" spans="3:4" x14ac:dyDescent="0.2">
      <c r="C163" s="139"/>
      <c r="D163" s="139"/>
    </row>
    <row r="164" spans="3:4" x14ac:dyDescent="0.2">
      <c r="C164" s="139"/>
      <c r="D164" s="139"/>
    </row>
    <row r="165" spans="3:4" x14ac:dyDescent="0.2">
      <c r="C165" s="139"/>
      <c r="D165" s="139"/>
    </row>
    <row r="166" spans="3:4" x14ac:dyDescent="0.2">
      <c r="C166" s="139"/>
      <c r="D166" s="139"/>
    </row>
    <row r="167" spans="3:4" x14ac:dyDescent="0.2">
      <c r="C167" s="139"/>
      <c r="D167" s="139"/>
    </row>
    <row r="168" spans="3:4" x14ac:dyDescent="0.2">
      <c r="C168" s="139"/>
      <c r="D168" s="139"/>
    </row>
    <row r="169" spans="3:4" x14ac:dyDescent="0.2">
      <c r="C169" s="139"/>
      <c r="D169" s="139"/>
    </row>
    <row r="170" spans="3:4" x14ac:dyDescent="0.2">
      <c r="C170" s="139"/>
      <c r="D170" s="139"/>
    </row>
    <row r="171" spans="3:4" x14ac:dyDescent="0.2">
      <c r="C171" s="139"/>
      <c r="D171" s="139"/>
    </row>
    <row r="172" spans="3:4" x14ac:dyDescent="0.2">
      <c r="C172" s="139"/>
      <c r="D172" s="139"/>
    </row>
    <row r="173" spans="3:4" x14ac:dyDescent="0.2">
      <c r="C173" s="139"/>
      <c r="D173" s="139"/>
    </row>
    <row r="174" spans="3:4" x14ac:dyDescent="0.2">
      <c r="C174" s="139"/>
      <c r="D174" s="139"/>
    </row>
    <row r="175" spans="3:4" x14ac:dyDescent="0.2">
      <c r="C175" s="139"/>
      <c r="D175" s="139"/>
    </row>
    <row r="176" spans="3:4" x14ac:dyDescent="0.2">
      <c r="C176" s="139"/>
      <c r="D176" s="139"/>
    </row>
    <row r="177" spans="3:4" x14ac:dyDescent="0.2">
      <c r="C177" s="139"/>
      <c r="D177" s="139"/>
    </row>
    <row r="178" spans="3:4" x14ac:dyDescent="0.2">
      <c r="C178" s="139"/>
      <c r="D178" s="139"/>
    </row>
    <row r="179" spans="3:4" x14ac:dyDescent="0.2">
      <c r="C179" s="139"/>
      <c r="D179" s="139"/>
    </row>
    <row r="180" spans="3:4" x14ac:dyDescent="0.2">
      <c r="C180" s="139"/>
      <c r="D180" s="139"/>
    </row>
    <row r="181" spans="3:4" x14ac:dyDescent="0.2">
      <c r="C181" s="139"/>
      <c r="D181" s="139"/>
    </row>
    <row r="182" spans="3:4" x14ac:dyDescent="0.2">
      <c r="C182" s="139"/>
      <c r="D182" s="139"/>
    </row>
    <row r="183" spans="3:4" x14ac:dyDescent="0.2">
      <c r="C183" s="139"/>
      <c r="D183" s="139"/>
    </row>
    <row r="184" spans="3:4" x14ac:dyDescent="0.2">
      <c r="C184" s="139"/>
      <c r="D184" s="139"/>
    </row>
    <row r="185" spans="3:4" x14ac:dyDescent="0.2">
      <c r="C185" s="139"/>
      <c r="D185" s="139"/>
    </row>
    <row r="186" spans="3:4" x14ac:dyDescent="0.2">
      <c r="C186" s="139"/>
      <c r="D186" s="139"/>
    </row>
    <row r="187" spans="3:4" x14ac:dyDescent="0.2">
      <c r="C187" s="139"/>
      <c r="D187" s="139"/>
    </row>
    <row r="188" spans="3:4" x14ac:dyDescent="0.2">
      <c r="C188" s="139"/>
      <c r="D188" s="139"/>
    </row>
    <row r="189" spans="3:4" x14ac:dyDescent="0.2">
      <c r="C189" s="139"/>
      <c r="D189" s="139"/>
    </row>
    <row r="190" spans="3:4" x14ac:dyDescent="0.2">
      <c r="C190" s="139"/>
      <c r="D190" s="139"/>
    </row>
    <row r="191" spans="3:4" x14ac:dyDescent="0.2">
      <c r="C191" s="139"/>
      <c r="D191" s="139"/>
    </row>
    <row r="192" spans="3:4" x14ac:dyDescent="0.2">
      <c r="C192" s="139"/>
      <c r="D192" s="139"/>
    </row>
    <row r="193" spans="3:4" x14ac:dyDescent="0.2">
      <c r="C193" s="139"/>
      <c r="D193" s="139"/>
    </row>
    <row r="194" spans="3:4" x14ac:dyDescent="0.2">
      <c r="C194" s="139"/>
      <c r="D194" s="139"/>
    </row>
    <row r="195" spans="3:4" x14ac:dyDescent="0.2">
      <c r="C195" s="139"/>
      <c r="D195" s="139"/>
    </row>
    <row r="196" spans="3:4" x14ac:dyDescent="0.2">
      <c r="C196" s="139"/>
      <c r="D196" s="139"/>
    </row>
    <row r="197" spans="3:4" x14ac:dyDescent="0.2">
      <c r="C197" s="139"/>
      <c r="D197" s="139"/>
    </row>
    <row r="198" spans="3:4" x14ac:dyDescent="0.2">
      <c r="C198" s="139"/>
      <c r="D198" s="139"/>
    </row>
    <row r="199" spans="3:4" x14ac:dyDescent="0.2">
      <c r="C199" s="139"/>
      <c r="D199" s="139"/>
    </row>
    <row r="200" spans="3:4" x14ac:dyDescent="0.2">
      <c r="C200" s="139"/>
      <c r="D200" s="139"/>
    </row>
    <row r="201" spans="3:4" x14ac:dyDescent="0.2">
      <c r="C201" s="139"/>
      <c r="D201" s="139"/>
    </row>
    <row r="202" spans="3:4" x14ac:dyDescent="0.2">
      <c r="C202" s="139"/>
      <c r="D202" s="139"/>
    </row>
    <row r="203" spans="3:4" x14ac:dyDescent="0.2">
      <c r="C203" s="139"/>
      <c r="D203" s="139"/>
    </row>
    <row r="204" spans="3:4" x14ac:dyDescent="0.2">
      <c r="C204" s="139"/>
      <c r="D204" s="139"/>
    </row>
    <row r="205" spans="3:4" x14ac:dyDescent="0.2">
      <c r="C205" s="139"/>
      <c r="D205" s="139"/>
    </row>
    <row r="206" spans="3:4" x14ac:dyDescent="0.2">
      <c r="C206" s="139"/>
      <c r="D206" s="139"/>
    </row>
    <row r="207" spans="3:4" x14ac:dyDescent="0.2">
      <c r="C207" s="139"/>
      <c r="D207" s="139"/>
    </row>
    <row r="208" spans="3:4" x14ac:dyDescent="0.2">
      <c r="C208" s="139"/>
      <c r="D208" s="139"/>
    </row>
    <row r="209" spans="3:4" x14ac:dyDescent="0.2">
      <c r="C209" s="139"/>
      <c r="D209" s="139"/>
    </row>
    <row r="210" spans="3:4" x14ac:dyDescent="0.2">
      <c r="C210" s="139"/>
      <c r="D210" s="139"/>
    </row>
    <row r="211" spans="3:4" x14ac:dyDescent="0.2">
      <c r="C211" s="139"/>
      <c r="D211" s="139"/>
    </row>
    <row r="212" spans="3:4" x14ac:dyDescent="0.2">
      <c r="C212" s="139"/>
      <c r="D212" s="139"/>
    </row>
    <row r="213" spans="3:4" x14ac:dyDescent="0.2">
      <c r="C213" s="139"/>
      <c r="D213" s="139"/>
    </row>
    <row r="214" spans="3:4" x14ac:dyDescent="0.2">
      <c r="C214" s="139"/>
      <c r="D214" s="139"/>
    </row>
    <row r="215" spans="3:4" x14ac:dyDescent="0.2">
      <c r="C215" s="139"/>
      <c r="D215" s="139"/>
    </row>
    <row r="216" spans="3:4" x14ac:dyDescent="0.2">
      <c r="C216" s="139"/>
      <c r="D216" s="139"/>
    </row>
    <row r="217" spans="3:4" x14ac:dyDescent="0.2">
      <c r="C217" s="139"/>
      <c r="D217" s="139"/>
    </row>
    <row r="218" spans="3:4" x14ac:dyDescent="0.2">
      <c r="C218" s="139"/>
      <c r="D218" s="139"/>
    </row>
    <row r="219" spans="3:4" x14ac:dyDescent="0.2">
      <c r="C219" s="139"/>
      <c r="D219" s="139"/>
    </row>
    <row r="220" spans="3:4" x14ac:dyDescent="0.2">
      <c r="C220" s="139"/>
      <c r="D220" s="139"/>
    </row>
    <row r="221" spans="3:4" x14ac:dyDescent="0.2">
      <c r="C221" s="139"/>
      <c r="D221" s="139"/>
    </row>
    <row r="222" spans="3:4" x14ac:dyDescent="0.2">
      <c r="C222" s="139"/>
      <c r="D222" s="139"/>
    </row>
    <row r="223" spans="3:4" x14ac:dyDescent="0.2">
      <c r="C223" s="139"/>
      <c r="D223" s="139"/>
    </row>
    <row r="224" spans="3:4" x14ac:dyDescent="0.2">
      <c r="C224" s="139"/>
      <c r="D224" s="139"/>
    </row>
    <row r="225" spans="3:4" x14ac:dyDescent="0.2">
      <c r="C225" s="139"/>
      <c r="D225" s="139"/>
    </row>
    <row r="226" spans="3:4" x14ac:dyDescent="0.2">
      <c r="C226" s="139"/>
      <c r="D226" s="139"/>
    </row>
    <row r="227" spans="3:4" x14ac:dyDescent="0.2">
      <c r="C227" s="139"/>
      <c r="D227" s="139"/>
    </row>
    <row r="228" spans="3:4" x14ac:dyDescent="0.2">
      <c r="C228" s="139"/>
      <c r="D228" s="139"/>
    </row>
    <row r="229" spans="3:4" x14ac:dyDescent="0.2">
      <c r="C229" s="139"/>
      <c r="D229" s="139"/>
    </row>
    <row r="230" spans="3:4" x14ac:dyDescent="0.2">
      <c r="C230" s="139"/>
      <c r="D230" s="139"/>
    </row>
    <row r="231" spans="3:4" x14ac:dyDescent="0.2">
      <c r="C231" s="139"/>
      <c r="D231" s="139"/>
    </row>
    <row r="232" spans="3:4" x14ac:dyDescent="0.2">
      <c r="C232" s="139"/>
      <c r="D232" s="139"/>
    </row>
    <row r="233" spans="3:4" x14ac:dyDescent="0.2">
      <c r="C233" s="139"/>
      <c r="D233" s="139"/>
    </row>
    <row r="234" spans="3:4" x14ac:dyDescent="0.2">
      <c r="C234" s="139"/>
      <c r="D234" s="139"/>
    </row>
    <row r="235" spans="3:4" x14ac:dyDescent="0.2">
      <c r="C235" s="139"/>
      <c r="D235" s="139"/>
    </row>
    <row r="236" spans="3:4" x14ac:dyDescent="0.2">
      <c r="C236" s="139"/>
      <c r="D236" s="139"/>
    </row>
    <row r="237" spans="3:4" x14ac:dyDescent="0.2">
      <c r="C237" s="139"/>
      <c r="D237" s="139"/>
    </row>
    <row r="238" spans="3:4" x14ac:dyDescent="0.2">
      <c r="C238" s="139"/>
      <c r="D238" s="139"/>
    </row>
    <row r="239" spans="3:4" x14ac:dyDescent="0.2">
      <c r="C239" s="139"/>
      <c r="D239" s="139"/>
    </row>
    <row r="240" spans="3:4" x14ac:dyDescent="0.2">
      <c r="C240" s="139"/>
      <c r="D240" s="139"/>
    </row>
    <row r="241" spans="3:4" x14ac:dyDescent="0.2">
      <c r="C241" s="139"/>
      <c r="D241" s="139"/>
    </row>
    <row r="242" spans="3:4" x14ac:dyDescent="0.2">
      <c r="C242" s="139"/>
      <c r="D242" s="139"/>
    </row>
    <row r="243" spans="3:4" x14ac:dyDescent="0.2">
      <c r="C243" s="139"/>
      <c r="D243" s="139"/>
    </row>
    <row r="244" spans="3:4" x14ac:dyDescent="0.2">
      <c r="C244" s="139"/>
      <c r="D244" s="139"/>
    </row>
    <row r="245" spans="3:4" x14ac:dyDescent="0.2">
      <c r="C245" s="139"/>
      <c r="D245" s="139"/>
    </row>
    <row r="246" spans="3:4" x14ac:dyDescent="0.2">
      <c r="C246" s="139"/>
      <c r="D246" s="139"/>
    </row>
    <row r="247" spans="3:4" x14ac:dyDescent="0.2">
      <c r="C247" s="139"/>
      <c r="D247" s="139"/>
    </row>
    <row r="248" spans="3:4" x14ac:dyDescent="0.2">
      <c r="C248" s="139"/>
      <c r="D248" s="139"/>
    </row>
    <row r="249" spans="3:4" x14ac:dyDescent="0.2">
      <c r="C249" s="139"/>
      <c r="D249" s="139"/>
    </row>
    <row r="250" spans="3:4" x14ac:dyDescent="0.2">
      <c r="C250" s="139"/>
      <c r="D250" s="139"/>
    </row>
    <row r="251" spans="3:4" x14ac:dyDescent="0.2">
      <c r="C251" s="139"/>
      <c r="D251" s="139"/>
    </row>
    <row r="252" spans="3:4" x14ac:dyDescent="0.2">
      <c r="C252" s="139"/>
      <c r="D252" s="139"/>
    </row>
    <row r="253" spans="3:4" x14ac:dyDescent="0.2">
      <c r="C253" s="139"/>
      <c r="D253" s="139"/>
    </row>
    <row r="254" spans="3:4" x14ac:dyDescent="0.2">
      <c r="C254" s="139"/>
      <c r="D254" s="139"/>
    </row>
    <row r="255" spans="3:4" x14ac:dyDescent="0.2">
      <c r="C255" s="139"/>
      <c r="D255" s="139"/>
    </row>
    <row r="256" spans="3:4" x14ac:dyDescent="0.2">
      <c r="C256" s="139"/>
      <c r="D256" s="139"/>
    </row>
    <row r="257" spans="3:4" x14ac:dyDescent="0.2">
      <c r="C257" s="139"/>
      <c r="D257" s="139"/>
    </row>
    <row r="258" spans="3:4" x14ac:dyDescent="0.2">
      <c r="C258" s="139"/>
      <c r="D258" s="139"/>
    </row>
    <row r="259" spans="3:4" x14ac:dyDescent="0.2">
      <c r="C259" s="139"/>
      <c r="D259" s="139"/>
    </row>
    <row r="260" spans="3:4" x14ac:dyDescent="0.2">
      <c r="C260" s="139"/>
      <c r="D260" s="139"/>
    </row>
    <row r="261" spans="3:4" x14ac:dyDescent="0.2">
      <c r="C261" s="139"/>
      <c r="D261" s="139"/>
    </row>
    <row r="262" spans="3:4" x14ac:dyDescent="0.2">
      <c r="C262" s="139"/>
      <c r="D262" s="139"/>
    </row>
    <row r="263" spans="3:4" x14ac:dyDescent="0.2">
      <c r="C263" s="139"/>
      <c r="D263" s="139"/>
    </row>
    <row r="264" spans="3:4" x14ac:dyDescent="0.2">
      <c r="C264" s="139"/>
      <c r="D264" s="139"/>
    </row>
    <row r="265" spans="3:4" x14ac:dyDescent="0.2">
      <c r="C265" s="139"/>
      <c r="D265" s="139"/>
    </row>
    <row r="266" spans="3:4" x14ac:dyDescent="0.2">
      <c r="C266" s="139"/>
      <c r="D266" s="139"/>
    </row>
    <row r="267" spans="3:4" x14ac:dyDescent="0.2">
      <c r="C267" s="139"/>
      <c r="D267" s="139"/>
    </row>
    <row r="268" spans="3:4" x14ac:dyDescent="0.2">
      <c r="C268" s="139"/>
      <c r="D268" s="139"/>
    </row>
    <row r="269" spans="3:4" x14ac:dyDescent="0.2">
      <c r="C269" s="139"/>
      <c r="D269" s="139"/>
    </row>
    <row r="270" spans="3:4" x14ac:dyDescent="0.2">
      <c r="C270" s="139"/>
      <c r="D270" s="139"/>
    </row>
    <row r="271" spans="3:4" x14ac:dyDescent="0.2">
      <c r="C271" s="139"/>
      <c r="D271" s="139"/>
    </row>
    <row r="272" spans="3:4" x14ac:dyDescent="0.2">
      <c r="C272" s="139"/>
      <c r="D272" s="139"/>
    </row>
    <row r="273" spans="3:4" x14ac:dyDescent="0.2">
      <c r="C273" s="139"/>
      <c r="D273" s="139"/>
    </row>
    <row r="274" spans="3:4" x14ac:dyDescent="0.2">
      <c r="C274" s="139"/>
      <c r="D274" s="139"/>
    </row>
    <row r="275" spans="3:4" x14ac:dyDescent="0.2">
      <c r="C275" s="139"/>
      <c r="D275" s="139"/>
    </row>
    <row r="276" spans="3:4" x14ac:dyDescent="0.2">
      <c r="C276" s="139"/>
      <c r="D276" s="139"/>
    </row>
    <row r="277" spans="3:4" x14ac:dyDescent="0.2">
      <c r="C277" s="139"/>
      <c r="D277" s="139"/>
    </row>
    <row r="278" spans="3:4" x14ac:dyDescent="0.2">
      <c r="C278" s="139"/>
      <c r="D278" s="139"/>
    </row>
    <row r="279" spans="3:4" x14ac:dyDescent="0.2">
      <c r="C279" s="139"/>
      <c r="D279" s="139"/>
    </row>
    <row r="280" spans="3:4" x14ac:dyDescent="0.2">
      <c r="C280" s="139"/>
      <c r="D280" s="139"/>
    </row>
    <row r="281" spans="3:4" x14ac:dyDescent="0.2">
      <c r="C281" s="139"/>
      <c r="D281" s="139"/>
    </row>
    <row r="282" spans="3:4" x14ac:dyDescent="0.2">
      <c r="C282" s="139"/>
      <c r="D282" s="139"/>
    </row>
    <row r="283" spans="3:4" x14ac:dyDescent="0.2">
      <c r="C283" s="139"/>
      <c r="D283" s="139"/>
    </row>
    <row r="284" spans="3:4" x14ac:dyDescent="0.2">
      <c r="C284" s="139"/>
      <c r="D284" s="139"/>
    </row>
    <row r="285" spans="3:4" x14ac:dyDescent="0.2">
      <c r="C285" s="139"/>
      <c r="D285" s="139"/>
    </row>
    <row r="286" spans="3:4" x14ac:dyDescent="0.2">
      <c r="C286" s="139"/>
      <c r="D286" s="139"/>
    </row>
    <row r="287" spans="3:4" x14ac:dyDescent="0.2">
      <c r="C287" s="139"/>
      <c r="D287" s="139"/>
    </row>
    <row r="288" spans="3:4" x14ac:dyDescent="0.2">
      <c r="C288" s="139"/>
      <c r="D288" s="139"/>
    </row>
    <row r="289" spans="3:4" x14ac:dyDescent="0.2">
      <c r="C289" s="139"/>
      <c r="D289" s="139"/>
    </row>
    <row r="290" spans="3:4" x14ac:dyDescent="0.2">
      <c r="C290" s="139"/>
      <c r="D290" s="139"/>
    </row>
    <row r="291" spans="3:4" x14ac:dyDescent="0.2">
      <c r="C291" s="139"/>
      <c r="D291" s="139"/>
    </row>
    <row r="292" spans="3:4" x14ac:dyDescent="0.2">
      <c r="C292" s="139"/>
      <c r="D292" s="139"/>
    </row>
    <row r="293" spans="3:4" x14ac:dyDescent="0.2">
      <c r="C293" s="139"/>
      <c r="D293" s="139"/>
    </row>
    <row r="294" spans="3:4" x14ac:dyDescent="0.2">
      <c r="C294" s="139"/>
      <c r="D294" s="139"/>
    </row>
    <row r="295" spans="3:4" x14ac:dyDescent="0.2">
      <c r="C295" s="139"/>
      <c r="D295" s="139"/>
    </row>
    <row r="296" spans="3:4" x14ac:dyDescent="0.2">
      <c r="C296" s="139"/>
      <c r="D296" s="139"/>
    </row>
    <row r="297" spans="3:4" x14ac:dyDescent="0.2">
      <c r="C297" s="139"/>
      <c r="D297" s="139"/>
    </row>
    <row r="298" spans="3:4" x14ac:dyDescent="0.2">
      <c r="C298" s="139"/>
      <c r="D298" s="139"/>
    </row>
    <row r="299" spans="3:4" x14ac:dyDescent="0.2">
      <c r="C299" s="139"/>
      <c r="D299" s="139"/>
    </row>
    <row r="300" spans="3:4" x14ac:dyDescent="0.2">
      <c r="C300" s="139"/>
      <c r="D300" s="139"/>
    </row>
    <row r="301" spans="3:4" x14ac:dyDescent="0.2">
      <c r="C301" s="139"/>
      <c r="D301" s="139"/>
    </row>
    <row r="302" spans="3:4" x14ac:dyDescent="0.2">
      <c r="C302" s="139"/>
      <c r="D302" s="139"/>
    </row>
    <row r="303" spans="3:4" x14ac:dyDescent="0.2">
      <c r="C303" s="139"/>
      <c r="D303" s="139"/>
    </row>
    <row r="304" spans="3:4" x14ac:dyDescent="0.2">
      <c r="C304" s="139"/>
      <c r="D304" s="139"/>
    </row>
    <row r="305" spans="3:4" x14ac:dyDescent="0.2">
      <c r="C305" s="139"/>
      <c r="D305" s="139"/>
    </row>
    <row r="306" spans="3:4" x14ac:dyDescent="0.2">
      <c r="C306" s="139"/>
      <c r="D306" s="139"/>
    </row>
    <row r="307" spans="3:4" x14ac:dyDescent="0.2">
      <c r="C307" s="139"/>
      <c r="D307" s="139"/>
    </row>
    <row r="308" spans="3:4" x14ac:dyDescent="0.2">
      <c r="C308" s="139"/>
      <c r="D308" s="139"/>
    </row>
    <row r="309" spans="3:4" x14ac:dyDescent="0.2">
      <c r="C309" s="139"/>
      <c r="D309" s="139"/>
    </row>
    <row r="310" spans="3:4" x14ac:dyDescent="0.2">
      <c r="C310" s="139"/>
      <c r="D310" s="139"/>
    </row>
    <row r="311" spans="3:4" x14ac:dyDescent="0.2">
      <c r="C311" s="139"/>
      <c r="D311" s="139"/>
    </row>
    <row r="312" spans="3:4" x14ac:dyDescent="0.2">
      <c r="C312" s="139"/>
      <c r="D312" s="139"/>
    </row>
    <row r="313" spans="3:4" x14ac:dyDescent="0.2">
      <c r="C313" s="139"/>
      <c r="D313" s="139"/>
    </row>
    <row r="314" spans="3:4" x14ac:dyDescent="0.2">
      <c r="C314" s="139"/>
      <c r="D314" s="139"/>
    </row>
    <row r="315" spans="3:4" x14ac:dyDescent="0.2">
      <c r="C315" s="139"/>
      <c r="D315" s="139"/>
    </row>
    <row r="316" spans="3:4" x14ac:dyDescent="0.2">
      <c r="C316" s="139"/>
      <c r="D316" s="139"/>
    </row>
    <row r="317" spans="3:4" x14ac:dyDescent="0.2">
      <c r="C317" s="139"/>
      <c r="D317" s="139"/>
    </row>
    <row r="318" spans="3:4" x14ac:dyDescent="0.2">
      <c r="C318" s="139"/>
      <c r="D318" s="139"/>
    </row>
    <row r="319" spans="3:4" x14ac:dyDescent="0.2">
      <c r="C319" s="139"/>
      <c r="D319" s="139"/>
    </row>
    <row r="320" spans="3:4" x14ac:dyDescent="0.2">
      <c r="C320" s="139"/>
      <c r="D320" s="139"/>
    </row>
    <row r="321" spans="3:4" x14ac:dyDescent="0.2">
      <c r="C321" s="139"/>
      <c r="D321" s="139"/>
    </row>
    <row r="322" spans="3:4" x14ac:dyDescent="0.2">
      <c r="C322" s="139"/>
      <c r="D322" s="139"/>
    </row>
    <row r="323" spans="3:4" x14ac:dyDescent="0.2">
      <c r="C323" s="139"/>
      <c r="D323" s="139"/>
    </row>
    <row r="324" spans="3:4" x14ac:dyDescent="0.2">
      <c r="C324" s="139"/>
      <c r="D324" s="139"/>
    </row>
    <row r="325" spans="3:4" x14ac:dyDescent="0.2">
      <c r="C325" s="139"/>
      <c r="D325" s="139"/>
    </row>
    <row r="326" spans="3:4" x14ac:dyDescent="0.2">
      <c r="C326" s="139"/>
      <c r="D326" s="139"/>
    </row>
    <row r="327" spans="3:4" x14ac:dyDescent="0.2">
      <c r="C327" s="139"/>
      <c r="D327" s="139"/>
    </row>
    <row r="328" spans="3:4" x14ac:dyDescent="0.2">
      <c r="C328" s="139"/>
      <c r="D328" s="139"/>
    </row>
    <row r="329" spans="3:4" x14ac:dyDescent="0.2">
      <c r="C329" s="139"/>
      <c r="D329" s="139"/>
    </row>
    <row r="330" spans="3:4" x14ac:dyDescent="0.2">
      <c r="C330" s="139"/>
      <c r="D330" s="139"/>
    </row>
    <row r="331" spans="3:4" x14ac:dyDescent="0.2">
      <c r="C331" s="139"/>
      <c r="D331" s="139"/>
    </row>
    <row r="332" spans="3:4" x14ac:dyDescent="0.2">
      <c r="C332" s="139"/>
      <c r="D332" s="139"/>
    </row>
    <row r="333" spans="3:4" x14ac:dyDescent="0.2">
      <c r="C333" s="139"/>
      <c r="D333" s="139"/>
    </row>
    <row r="334" spans="3:4" x14ac:dyDescent="0.2">
      <c r="C334" s="139"/>
      <c r="D334" s="139"/>
    </row>
    <row r="335" spans="3:4" x14ac:dyDescent="0.2">
      <c r="C335" s="139"/>
      <c r="D335" s="139"/>
    </row>
    <row r="336" spans="3:4" x14ac:dyDescent="0.2">
      <c r="C336" s="139"/>
      <c r="D336" s="139"/>
    </row>
    <row r="337" spans="3:4" x14ac:dyDescent="0.2">
      <c r="C337" s="139"/>
      <c r="D337" s="139"/>
    </row>
    <row r="338" spans="3:4" x14ac:dyDescent="0.2">
      <c r="C338" s="139"/>
      <c r="D338" s="139"/>
    </row>
    <row r="339" spans="3:4" x14ac:dyDescent="0.2">
      <c r="C339" s="139"/>
      <c r="D339" s="139"/>
    </row>
    <row r="340" spans="3:4" x14ac:dyDescent="0.2">
      <c r="C340" s="139"/>
      <c r="D340" s="139"/>
    </row>
    <row r="341" spans="3:4" x14ac:dyDescent="0.2">
      <c r="C341" s="139"/>
      <c r="D341" s="139"/>
    </row>
    <row r="342" spans="3:4" x14ac:dyDescent="0.2">
      <c r="C342" s="139"/>
      <c r="D342" s="139"/>
    </row>
    <row r="343" spans="3:4" x14ac:dyDescent="0.2">
      <c r="C343" s="139"/>
      <c r="D343" s="139"/>
    </row>
    <row r="344" spans="3:4" x14ac:dyDescent="0.2">
      <c r="C344" s="139"/>
      <c r="D344" s="139"/>
    </row>
    <row r="345" spans="3:4" x14ac:dyDescent="0.2">
      <c r="C345" s="139"/>
      <c r="D345" s="139"/>
    </row>
    <row r="346" spans="3:4" x14ac:dyDescent="0.2">
      <c r="C346" s="139"/>
      <c r="D346" s="139"/>
    </row>
    <row r="347" spans="3:4" x14ac:dyDescent="0.2">
      <c r="C347" s="139"/>
      <c r="D347" s="139"/>
    </row>
    <row r="348" spans="3:4" x14ac:dyDescent="0.2">
      <c r="C348" s="139"/>
      <c r="D348" s="139"/>
    </row>
    <row r="349" spans="3:4" x14ac:dyDescent="0.2">
      <c r="C349" s="139"/>
      <c r="D349" s="139"/>
    </row>
    <row r="350" spans="3:4" x14ac:dyDescent="0.2">
      <c r="C350" s="139"/>
      <c r="D350" s="139"/>
    </row>
    <row r="351" spans="3:4" x14ac:dyDescent="0.2">
      <c r="C351" s="139"/>
      <c r="D351" s="139"/>
    </row>
    <row r="352" spans="3:4" x14ac:dyDescent="0.2">
      <c r="C352" s="139"/>
      <c r="D352" s="139"/>
    </row>
    <row r="353" spans="3:4" x14ac:dyDescent="0.2">
      <c r="C353" s="139"/>
      <c r="D353" s="139"/>
    </row>
    <row r="354" spans="3:4" x14ac:dyDescent="0.2">
      <c r="C354" s="139"/>
      <c r="D354" s="139"/>
    </row>
    <row r="355" spans="3:4" x14ac:dyDescent="0.2">
      <c r="C355" s="139"/>
      <c r="D355" s="139"/>
    </row>
    <row r="356" spans="3:4" x14ac:dyDescent="0.2">
      <c r="C356" s="139"/>
      <c r="D356" s="139"/>
    </row>
    <row r="357" spans="3:4" x14ac:dyDescent="0.2">
      <c r="C357" s="139"/>
      <c r="D357" s="139"/>
    </row>
    <row r="358" spans="3:4" x14ac:dyDescent="0.2">
      <c r="C358" s="139"/>
      <c r="D358" s="139"/>
    </row>
    <row r="359" spans="3:4" x14ac:dyDescent="0.2">
      <c r="C359" s="139"/>
      <c r="D359" s="139"/>
    </row>
    <row r="360" spans="3:4" x14ac:dyDescent="0.2">
      <c r="C360" s="139"/>
      <c r="D360" s="139"/>
    </row>
    <row r="361" spans="3:4" x14ac:dyDescent="0.2">
      <c r="C361" s="139"/>
      <c r="D361" s="139"/>
    </row>
    <row r="362" spans="3:4" x14ac:dyDescent="0.2">
      <c r="C362" s="139"/>
      <c r="D362" s="139"/>
    </row>
    <row r="363" spans="3:4" x14ac:dyDescent="0.2">
      <c r="C363" s="139"/>
      <c r="D363" s="139"/>
    </row>
    <row r="364" spans="3:4" x14ac:dyDescent="0.2">
      <c r="C364" s="139"/>
      <c r="D364" s="139"/>
    </row>
    <row r="365" spans="3:4" x14ac:dyDescent="0.2">
      <c r="C365" s="139"/>
      <c r="D365" s="139"/>
    </row>
    <row r="366" spans="3:4" x14ac:dyDescent="0.2">
      <c r="C366" s="139"/>
      <c r="D366" s="139"/>
    </row>
    <row r="367" spans="3:4" x14ac:dyDescent="0.2">
      <c r="C367" s="139"/>
      <c r="D367" s="139"/>
    </row>
    <row r="368" spans="3:4" x14ac:dyDescent="0.2">
      <c r="C368" s="139"/>
      <c r="D368" s="139"/>
    </row>
    <row r="369" spans="3:4" x14ac:dyDescent="0.2">
      <c r="C369" s="139"/>
      <c r="D369" s="139"/>
    </row>
    <row r="370" spans="3:4" x14ac:dyDescent="0.2">
      <c r="C370" s="139"/>
      <c r="D370" s="139"/>
    </row>
    <row r="371" spans="3:4" x14ac:dyDescent="0.2">
      <c r="C371" s="139"/>
      <c r="D371" s="139"/>
    </row>
    <row r="372" spans="3:4" x14ac:dyDescent="0.2">
      <c r="C372" s="139"/>
      <c r="D372" s="139"/>
    </row>
    <row r="373" spans="3:4" x14ac:dyDescent="0.2">
      <c r="C373" s="139"/>
      <c r="D373" s="139"/>
    </row>
    <row r="374" spans="3:4" x14ac:dyDescent="0.2">
      <c r="C374" s="139"/>
      <c r="D374" s="139"/>
    </row>
    <row r="375" spans="3:4" x14ac:dyDescent="0.2">
      <c r="C375" s="139"/>
      <c r="D375" s="139"/>
    </row>
    <row r="376" spans="3:4" x14ac:dyDescent="0.2">
      <c r="C376" s="139"/>
      <c r="D376" s="139"/>
    </row>
    <row r="377" spans="3:4" x14ac:dyDescent="0.2">
      <c r="C377" s="139"/>
      <c r="D377" s="139"/>
    </row>
    <row r="378" spans="3:4" x14ac:dyDescent="0.2">
      <c r="C378" s="139"/>
      <c r="D378" s="139"/>
    </row>
    <row r="379" spans="3:4" x14ac:dyDescent="0.2">
      <c r="C379" s="139"/>
      <c r="D379" s="139"/>
    </row>
    <row r="380" spans="3:4" x14ac:dyDescent="0.2">
      <c r="C380" s="139"/>
      <c r="D380" s="139"/>
    </row>
    <row r="381" spans="3:4" x14ac:dyDescent="0.2">
      <c r="C381" s="139"/>
      <c r="D381" s="139"/>
    </row>
    <row r="382" spans="3:4" x14ac:dyDescent="0.2">
      <c r="C382" s="139"/>
      <c r="D382" s="139"/>
    </row>
    <row r="383" spans="3:4" x14ac:dyDescent="0.2">
      <c r="C383" s="139"/>
      <c r="D383" s="139"/>
    </row>
    <row r="384" spans="3:4" x14ac:dyDescent="0.2">
      <c r="C384" s="139"/>
      <c r="D384" s="139"/>
    </row>
    <row r="385" spans="3:4" x14ac:dyDescent="0.2">
      <c r="C385" s="139"/>
      <c r="D385" s="139"/>
    </row>
    <row r="386" spans="3:4" x14ac:dyDescent="0.2">
      <c r="C386" s="139"/>
      <c r="D386" s="139"/>
    </row>
    <row r="387" spans="3:4" x14ac:dyDescent="0.2">
      <c r="C387" s="139"/>
      <c r="D387" s="139"/>
    </row>
    <row r="388" spans="3:4" x14ac:dyDescent="0.2">
      <c r="C388" s="139"/>
      <c r="D388" s="139"/>
    </row>
    <row r="389" spans="3:4" x14ac:dyDescent="0.2">
      <c r="C389" s="139"/>
      <c r="D389" s="139"/>
    </row>
    <row r="390" spans="3:4" x14ac:dyDescent="0.2">
      <c r="C390" s="139"/>
      <c r="D390" s="139"/>
    </row>
    <row r="391" spans="3:4" x14ac:dyDescent="0.2">
      <c r="C391" s="139"/>
      <c r="D391" s="139"/>
    </row>
    <row r="392" spans="3:4" x14ac:dyDescent="0.2">
      <c r="C392" s="139"/>
      <c r="D392" s="139"/>
    </row>
    <row r="393" spans="3:4" x14ac:dyDescent="0.2">
      <c r="C393" s="139"/>
      <c r="D393" s="139"/>
    </row>
    <row r="394" spans="3:4" x14ac:dyDescent="0.2">
      <c r="C394" s="139"/>
      <c r="D394" s="139"/>
    </row>
    <row r="395" spans="3:4" x14ac:dyDescent="0.2">
      <c r="C395" s="139"/>
      <c r="D395" s="139"/>
    </row>
    <row r="396" spans="3:4" x14ac:dyDescent="0.2">
      <c r="C396" s="139"/>
      <c r="D396" s="139"/>
    </row>
    <row r="397" spans="3:4" x14ac:dyDescent="0.2">
      <c r="C397" s="139"/>
      <c r="D397" s="139"/>
    </row>
    <row r="398" spans="3:4" x14ac:dyDescent="0.2">
      <c r="C398" s="139"/>
      <c r="D398" s="139"/>
    </row>
    <row r="399" spans="3:4" x14ac:dyDescent="0.2">
      <c r="C399" s="139"/>
      <c r="D399" s="139"/>
    </row>
    <row r="400" spans="3:4" x14ac:dyDescent="0.2">
      <c r="C400" s="139"/>
      <c r="D400" s="139"/>
    </row>
    <row r="401" spans="3:4" x14ac:dyDescent="0.2">
      <c r="C401" s="139"/>
      <c r="D401" s="139"/>
    </row>
    <row r="402" spans="3:4" x14ac:dyDescent="0.2">
      <c r="C402" s="139"/>
      <c r="D402" s="139"/>
    </row>
    <row r="403" spans="3:4" x14ac:dyDescent="0.2">
      <c r="C403" s="139"/>
      <c r="D403" s="139"/>
    </row>
    <row r="404" spans="3:4" x14ac:dyDescent="0.2">
      <c r="C404" s="139"/>
      <c r="D404" s="139"/>
    </row>
    <row r="405" spans="3:4" x14ac:dyDescent="0.2">
      <c r="C405" s="139"/>
      <c r="D405" s="139"/>
    </row>
    <row r="406" spans="3:4" x14ac:dyDescent="0.2">
      <c r="C406" s="139"/>
      <c r="D406" s="139"/>
    </row>
    <row r="407" spans="3:4" x14ac:dyDescent="0.2">
      <c r="C407" s="139"/>
      <c r="D407" s="139"/>
    </row>
    <row r="408" spans="3:4" x14ac:dyDescent="0.2">
      <c r="C408" s="139"/>
      <c r="D408" s="139"/>
    </row>
    <row r="409" spans="3:4" x14ac:dyDescent="0.2">
      <c r="C409" s="139"/>
      <c r="D409" s="139"/>
    </row>
    <row r="410" spans="3:4" x14ac:dyDescent="0.2">
      <c r="C410" s="139"/>
      <c r="D410" s="139"/>
    </row>
    <row r="411" spans="3:4" x14ac:dyDescent="0.2">
      <c r="C411" s="139"/>
      <c r="D411" s="139"/>
    </row>
    <row r="412" spans="3:4" x14ac:dyDescent="0.2">
      <c r="C412" s="139"/>
      <c r="D412" s="139"/>
    </row>
    <row r="413" spans="3:4" x14ac:dyDescent="0.2">
      <c r="C413" s="139"/>
      <c r="D413" s="139"/>
    </row>
    <row r="414" spans="3:4" x14ac:dyDescent="0.2">
      <c r="C414" s="139"/>
      <c r="D414" s="139"/>
    </row>
    <row r="415" spans="3:4" x14ac:dyDescent="0.2">
      <c r="C415" s="139"/>
      <c r="D415" s="139"/>
    </row>
    <row r="416" spans="3:4" x14ac:dyDescent="0.2">
      <c r="C416" s="139"/>
      <c r="D416" s="139"/>
    </row>
    <row r="417" spans="3:4" x14ac:dyDescent="0.2">
      <c r="C417" s="139"/>
      <c r="D417" s="139"/>
    </row>
    <row r="418" spans="3:4" x14ac:dyDescent="0.2">
      <c r="C418" s="139"/>
      <c r="D418" s="139"/>
    </row>
    <row r="419" spans="3:4" x14ac:dyDescent="0.2">
      <c r="C419" s="139"/>
      <c r="D419" s="139"/>
    </row>
    <row r="420" spans="3:4" x14ac:dyDescent="0.2">
      <c r="C420" s="139"/>
      <c r="D420" s="139"/>
    </row>
    <row r="421" spans="3:4" x14ac:dyDescent="0.2">
      <c r="C421" s="139"/>
      <c r="D421" s="139"/>
    </row>
    <row r="422" spans="3:4" x14ac:dyDescent="0.2">
      <c r="C422" s="139"/>
      <c r="D422" s="139"/>
    </row>
    <row r="423" spans="3:4" x14ac:dyDescent="0.2">
      <c r="C423" s="139"/>
      <c r="D423" s="139"/>
    </row>
    <row r="424" spans="3:4" x14ac:dyDescent="0.2">
      <c r="C424" s="139"/>
      <c r="D424" s="139"/>
    </row>
    <row r="425" spans="3:4" x14ac:dyDescent="0.2">
      <c r="C425" s="139"/>
      <c r="D425" s="139"/>
    </row>
    <row r="426" spans="3:4" x14ac:dyDescent="0.2">
      <c r="C426" s="139"/>
      <c r="D426" s="139"/>
    </row>
    <row r="427" spans="3:4" x14ac:dyDescent="0.2">
      <c r="C427" s="139"/>
      <c r="D427" s="139"/>
    </row>
    <row r="428" spans="3:4" x14ac:dyDescent="0.2">
      <c r="C428" s="139"/>
      <c r="D428" s="139"/>
    </row>
    <row r="429" spans="3:4" x14ac:dyDescent="0.2">
      <c r="C429" s="139"/>
      <c r="D429" s="139"/>
    </row>
    <row r="430" spans="3:4" x14ac:dyDescent="0.2">
      <c r="C430" s="139"/>
      <c r="D430" s="139"/>
    </row>
    <row r="431" spans="3:4" x14ac:dyDescent="0.2">
      <c r="C431" s="139"/>
      <c r="D431" s="139"/>
    </row>
    <row r="432" spans="3:4" x14ac:dyDescent="0.2">
      <c r="C432" s="139"/>
      <c r="D432" s="139"/>
    </row>
    <row r="433" spans="3:4" x14ac:dyDescent="0.2">
      <c r="C433" s="139"/>
      <c r="D433" s="139"/>
    </row>
    <row r="434" spans="3:4" x14ac:dyDescent="0.2">
      <c r="C434" s="139"/>
      <c r="D434" s="139"/>
    </row>
    <row r="435" spans="3:4" x14ac:dyDescent="0.2">
      <c r="C435" s="139"/>
      <c r="D435" s="139"/>
    </row>
    <row r="436" spans="3:4" x14ac:dyDescent="0.2">
      <c r="C436" s="139"/>
      <c r="D436" s="139"/>
    </row>
    <row r="437" spans="3:4" x14ac:dyDescent="0.2">
      <c r="C437" s="139"/>
      <c r="D437" s="139"/>
    </row>
    <row r="438" spans="3:4" x14ac:dyDescent="0.2">
      <c r="C438" s="139"/>
      <c r="D438" s="139"/>
    </row>
    <row r="439" spans="3:4" x14ac:dyDescent="0.2">
      <c r="C439" s="139"/>
      <c r="D439" s="139"/>
    </row>
    <row r="440" spans="3:4" x14ac:dyDescent="0.2">
      <c r="C440" s="139"/>
      <c r="D440" s="139"/>
    </row>
    <row r="441" spans="3:4" x14ac:dyDescent="0.2">
      <c r="C441" s="139"/>
      <c r="D441" s="139"/>
    </row>
    <row r="442" spans="3:4" x14ac:dyDescent="0.2">
      <c r="C442" s="139"/>
      <c r="D442" s="139"/>
    </row>
    <row r="443" spans="3:4" x14ac:dyDescent="0.2">
      <c r="C443" s="139"/>
      <c r="D443" s="139"/>
    </row>
    <row r="444" spans="3:4" x14ac:dyDescent="0.2">
      <c r="C444" s="139"/>
      <c r="D444" s="139"/>
    </row>
    <row r="445" spans="3:4" x14ac:dyDescent="0.2">
      <c r="C445" s="139"/>
      <c r="D445" s="139"/>
    </row>
    <row r="446" spans="3:4" x14ac:dyDescent="0.2">
      <c r="C446" s="139"/>
      <c r="D446" s="139"/>
    </row>
    <row r="447" spans="3:4" x14ac:dyDescent="0.2">
      <c r="C447" s="139"/>
      <c r="D447" s="139"/>
    </row>
    <row r="448" spans="3:4" x14ac:dyDescent="0.2">
      <c r="C448" s="139"/>
      <c r="D448" s="139"/>
    </row>
    <row r="449" spans="3:4" x14ac:dyDescent="0.2">
      <c r="C449" s="139"/>
      <c r="D449" s="139"/>
    </row>
    <row r="450" spans="3:4" x14ac:dyDescent="0.2">
      <c r="C450" s="139"/>
      <c r="D450" s="139"/>
    </row>
    <row r="451" spans="3:4" x14ac:dyDescent="0.2">
      <c r="C451" s="139"/>
      <c r="D451" s="139"/>
    </row>
    <row r="452" spans="3:4" x14ac:dyDescent="0.2">
      <c r="C452" s="139"/>
      <c r="D452" s="139"/>
    </row>
    <row r="453" spans="3:4" x14ac:dyDescent="0.2">
      <c r="C453" s="139"/>
      <c r="D453" s="139"/>
    </row>
    <row r="454" spans="3:4" x14ac:dyDescent="0.2">
      <c r="C454" s="139"/>
      <c r="D454" s="139"/>
    </row>
    <row r="455" spans="3:4" x14ac:dyDescent="0.2">
      <c r="C455" s="139"/>
      <c r="D455" s="139"/>
    </row>
    <row r="456" spans="3:4" x14ac:dyDescent="0.2">
      <c r="C456" s="139"/>
      <c r="D456" s="139"/>
    </row>
    <row r="457" spans="3:4" x14ac:dyDescent="0.2">
      <c r="C457" s="139"/>
      <c r="D457" s="139"/>
    </row>
    <row r="458" spans="3:4" x14ac:dyDescent="0.2">
      <c r="C458" s="139"/>
      <c r="D458" s="139"/>
    </row>
    <row r="459" spans="3:4" x14ac:dyDescent="0.2">
      <c r="C459" s="139"/>
      <c r="D459" s="139"/>
    </row>
    <row r="460" spans="3:4" x14ac:dyDescent="0.2">
      <c r="C460" s="139"/>
      <c r="D460" s="139"/>
    </row>
    <row r="461" spans="3:4" x14ac:dyDescent="0.2">
      <c r="C461" s="139"/>
      <c r="D461" s="139"/>
    </row>
    <row r="462" spans="3:4" x14ac:dyDescent="0.2">
      <c r="C462" s="139"/>
      <c r="D462" s="139"/>
    </row>
    <row r="463" spans="3:4" x14ac:dyDescent="0.2">
      <c r="C463" s="139"/>
      <c r="D463" s="139"/>
    </row>
    <row r="464" spans="3:4" x14ac:dyDescent="0.2">
      <c r="C464" s="139"/>
      <c r="D464" s="139"/>
    </row>
    <row r="465" spans="3:4" x14ac:dyDescent="0.2">
      <c r="C465" s="139"/>
      <c r="D465" s="139"/>
    </row>
    <row r="466" spans="3:4" x14ac:dyDescent="0.2">
      <c r="C466" s="139"/>
      <c r="D466" s="139"/>
    </row>
    <row r="467" spans="3:4" x14ac:dyDescent="0.2">
      <c r="C467" s="139"/>
      <c r="D467" s="139"/>
    </row>
    <row r="468" spans="3:4" x14ac:dyDescent="0.2">
      <c r="C468" s="139"/>
      <c r="D468" s="139"/>
    </row>
    <row r="469" spans="3:4" x14ac:dyDescent="0.2">
      <c r="C469" s="139"/>
      <c r="D469" s="139"/>
    </row>
    <row r="470" spans="3:4" x14ac:dyDescent="0.2">
      <c r="C470" s="139"/>
      <c r="D470" s="139"/>
    </row>
    <row r="471" spans="3:4" x14ac:dyDescent="0.2">
      <c r="C471" s="139"/>
      <c r="D471" s="139"/>
    </row>
    <row r="472" spans="3:4" x14ac:dyDescent="0.2">
      <c r="C472" s="139"/>
      <c r="D472" s="139"/>
    </row>
    <row r="473" spans="3:4" x14ac:dyDescent="0.2">
      <c r="C473" s="139"/>
      <c r="D473" s="139"/>
    </row>
    <row r="474" spans="3:4" x14ac:dyDescent="0.2">
      <c r="C474" s="139"/>
      <c r="D474" s="139"/>
    </row>
    <row r="475" spans="3:4" x14ac:dyDescent="0.2">
      <c r="C475" s="139"/>
      <c r="D475" s="139"/>
    </row>
    <row r="476" spans="3:4" x14ac:dyDescent="0.2">
      <c r="C476" s="139"/>
      <c r="D476" s="139"/>
    </row>
    <row r="477" spans="3:4" x14ac:dyDescent="0.2">
      <c r="C477" s="139"/>
      <c r="D477" s="139"/>
    </row>
    <row r="478" spans="3:4" x14ac:dyDescent="0.2">
      <c r="C478" s="139"/>
      <c r="D478" s="139"/>
    </row>
    <row r="479" spans="3:4" x14ac:dyDescent="0.2">
      <c r="C479" s="139"/>
      <c r="D479" s="139"/>
    </row>
    <row r="480" spans="3:4" x14ac:dyDescent="0.2">
      <c r="C480" s="139"/>
      <c r="D480" s="139"/>
    </row>
    <row r="481" spans="3:4" x14ac:dyDescent="0.2">
      <c r="C481" s="139"/>
      <c r="D481" s="139"/>
    </row>
    <row r="482" spans="3:4" x14ac:dyDescent="0.2">
      <c r="C482" s="139"/>
      <c r="D482" s="139"/>
    </row>
    <row r="483" spans="3:4" x14ac:dyDescent="0.2">
      <c r="C483" s="139"/>
      <c r="D483" s="139"/>
    </row>
    <row r="484" spans="3:4" x14ac:dyDescent="0.2">
      <c r="C484" s="139"/>
      <c r="D484" s="139"/>
    </row>
    <row r="485" spans="3:4" x14ac:dyDescent="0.2">
      <c r="C485" s="139"/>
      <c r="D485" s="139"/>
    </row>
    <row r="486" spans="3:4" x14ac:dyDescent="0.2">
      <c r="C486" s="139"/>
      <c r="D486" s="139"/>
    </row>
    <row r="487" spans="3:4" x14ac:dyDescent="0.2">
      <c r="C487" s="139"/>
      <c r="D487" s="139"/>
    </row>
    <row r="488" spans="3:4" x14ac:dyDescent="0.2">
      <c r="C488" s="139"/>
      <c r="D488" s="139"/>
    </row>
    <row r="489" spans="3:4" x14ac:dyDescent="0.2">
      <c r="C489" s="139"/>
      <c r="D489" s="139"/>
    </row>
    <row r="490" spans="3:4" x14ac:dyDescent="0.2">
      <c r="C490" s="139"/>
      <c r="D490" s="139"/>
    </row>
    <row r="491" spans="3:4" x14ac:dyDescent="0.2">
      <c r="C491" s="139"/>
      <c r="D491" s="139"/>
    </row>
    <row r="492" spans="3:4" x14ac:dyDescent="0.2">
      <c r="C492" s="139"/>
      <c r="D492" s="139"/>
    </row>
    <row r="493" spans="3:4" x14ac:dyDescent="0.2">
      <c r="C493" s="139"/>
      <c r="D493" s="139"/>
    </row>
    <row r="494" spans="3:4" x14ac:dyDescent="0.2">
      <c r="C494" s="139"/>
      <c r="D494" s="139"/>
    </row>
    <row r="495" spans="3:4" x14ac:dyDescent="0.2">
      <c r="C495" s="139"/>
      <c r="D495" s="139"/>
    </row>
    <row r="496" spans="3:4" x14ac:dyDescent="0.2">
      <c r="C496" s="139"/>
      <c r="D496" s="139"/>
    </row>
    <row r="497" spans="3:4" x14ac:dyDescent="0.2">
      <c r="C497" s="139"/>
      <c r="D497" s="139"/>
    </row>
    <row r="498" spans="3:4" x14ac:dyDescent="0.2">
      <c r="C498" s="139"/>
      <c r="D498" s="139"/>
    </row>
    <row r="499" spans="3:4" x14ac:dyDescent="0.2">
      <c r="C499" s="139"/>
      <c r="D499" s="139"/>
    </row>
    <row r="500" spans="3:4" x14ac:dyDescent="0.2">
      <c r="C500" s="139"/>
      <c r="D500" s="139"/>
    </row>
    <row r="501" spans="3:4" x14ac:dyDescent="0.2">
      <c r="C501" s="139"/>
      <c r="D501" s="139"/>
    </row>
    <row r="502" spans="3:4" x14ac:dyDescent="0.2">
      <c r="C502" s="139"/>
      <c r="D502" s="139"/>
    </row>
    <row r="503" spans="3:4" x14ac:dyDescent="0.2">
      <c r="C503" s="139"/>
      <c r="D503" s="139"/>
    </row>
    <row r="504" spans="3:4" x14ac:dyDescent="0.2">
      <c r="C504" s="139"/>
      <c r="D504" s="139"/>
    </row>
    <row r="505" spans="3:4" x14ac:dyDescent="0.2">
      <c r="C505" s="139"/>
      <c r="D505" s="139"/>
    </row>
    <row r="506" spans="3:4" x14ac:dyDescent="0.2">
      <c r="C506" s="139"/>
      <c r="D506" s="139"/>
    </row>
  </sheetData>
  <conditionalFormatting sqref="C14:O16 C12:O12">
    <cfRule type="cellIs" dxfId="1" priority="3" operator="lessThan">
      <formula>0</formula>
    </cfRule>
  </conditionalFormatting>
  <conditionalFormatting sqref="P12">
    <cfRule type="cellIs" dxfId="0"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3" r:id="rId4" name="Button 9">
              <controlPr defaultSize="0" print="0" autoFill="0" autoPict="0" macro="[0]!ChangeNotes">
                <anchor moveWithCells="1">
                  <from>
                    <xdr:col>17</xdr:col>
                    <xdr:colOff>962025</xdr:colOff>
                    <xdr:row>1</xdr:row>
                    <xdr:rowOff>76200</xdr:rowOff>
                  </from>
                  <to>
                    <xdr:col>18</xdr:col>
                    <xdr:colOff>352425</xdr:colOff>
                    <xdr:row>3</xdr:row>
                    <xdr:rowOff>104775</xdr:rowOff>
                  </to>
                </anchor>
              </controlPr>
            </control>
          </mc:Choice>
        </mc:AlternateContent>
        <mc:AlternateContent xmlns:mc="http://schemas.openxmlformats.org/markup-compatibility/2006">
          <mc:Choice Requires="x14">
            <control shapeId="47114" r:id="rId5" name="Button 10">
              <controlPr defaultSize="0" print="0" autoFill="0" autoPict="0" macro="[0]!HideRowsWithZeroInRanges">
                <anchor moveWithCells="1">
                  <from>
                    <xdr:col>18</xdr:col>
                    <xdr:colOff>457200</xdr:colOff>
                    <xdr:row>1</xdr:row>
                    <xdr:rowOff>76200</xdr:rowOff>
                  </from>
                  <to>
                    <xdr:col>20</xdr:col>
                    <xdr:colOff>381000</xdr:colOff>
                    <xdr:row>3</xdr:row>
                    <xdr:rowOff>104775</xdr:rowOff>
                  </to>
                </anchor>
              </controlPr>
            </control>
          </mc:Choice>
        </mc:AlternateContent>
        <mc:AlternateContent xmlns:mc="http://schemas.openxmlformats.org/markup-compatibility/2006">
          <mc:Choice Requires="x14">
            <control shapeId="47115" r:id="rId6" name="Button 11">
              <controlPr defaultSize="0" print="0" autoFill="0" autoPict="0" macro="[0]!UnhideRows">
                <anchor moveWithCells="1">
                  <from>
                    <xdr:col>20</xdr:col>
                    <xdr:colOff>485775</xdr:colOff>
                    <xdr:row>1</xdr:row>
                    <xdr:rowOff>76200</xdr:rowOff>
                  </from>
                  <to>
                    <xdr:col>21</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226B-B534-40C3-BD6D-78D5CDFA724A}">
  <sheetPr codeName="Sheet10"/>
  <dimension ref="A1"/>
  <sheetViews>
    <sheetView workbookViewId="0">
      <selection activeCell="G38" sqref="G38"/>
    </sheetView>
  </sheetViews>
  <sheetFormatPr defaultRowHeight="12.75" x14ac:dyDescent="0.2"/>
  <cols>
    <col min="1" max="16384" width="9.140625" style="25"/>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55F6-D3CB-4342-AF80-F445B78F2F4C}">
  <sheetPr codeName="Sheet16">
    <tabColor rgb="FF0000FF"/>
  </sheetPr>
  <dimension ref="B1:O54"/>
  <sheetViews>
    <sheetView zoomScaleNormal="100" workbookViewId="0">
      <pane xSplit="2" ySplit="3" topLeftCell="C14" activePane="bottomRight" state="frozen"/>
      <selection pane="topRight" activeCell="C1" sqref="C1"/>
      <selection pane="bottomLeft" activeCell="A4" sqref="A4"/>
      <selection pane="bottomRight" activeCell="D30" sqref="D30"/>
    </sheetView>
  </sheetViews>
  <sheetFormatPr defaultRowHeight="12.75" x14ac:dyDescent="0.2"/>
  <cols>
    <col min="1" max="1" width="2.42578125" customWidth="1"/>
    <col min="2" max="3" width="32.140625" customWidth="1"/>
    <col min="4" max="4" width="15.5703125" style="2" customWidth="1"/>
    <col min="5" max="5" width="21.140625" style="133" bestFit="1" customWidth="1"/>
    <col min="6" max="6" width="19.28515625" style="141" customWidth="1"/>
    <col min="7" max="7" width="16.42578125" style="1" bestFit="1" customWidth="1"/>
    <col min="8" max="8" width="2.28515625" style="1" customWidth="1"/>
    <col min="9" max="9" width="19" bestFit="1" customWidth="1"/>
    <col min="10" max="10" width="10.140625" bestFit="1" customWidth="1"/>
    <col min="15" max="15" width="10.140625" style="28" bestFit="1" customWidth="1"/>
  </cols>
  <sheetData>
    <row r="1" spans="2:15" x14ac:dyDescent="0.2">
      <c r="B1" s="78" t="s">
        <v>93</v>
      </c>
      <c r="C1" s="78" t="s">
        <v>93</v>
      </c>
      <c r="D1" s="109" t="s">
        <v>93</v>
      </c>
      <c r="E1" s="132" t="s">
        <v>93</v>
      </c>
      <c r="F1" s="151" t="s">
        <v>93</v>
      </c>
      <c r="G1" s="151" t="s">
        <v>93</v>
      </c>
      <c r="H1" s="164"/>
      <c r="I1" s="52" t="s">
        <v>87</v>
      </c>
    </row>
    <row r="2" spans="2:15" x14ac:dyDescent="0.2">
      <c r="F2" s="152"/>
      <c r="G2" s="164"/>
      <c r="H2" s="164"/>
    </row>
    <row r="3" spans="2:15" s="23" customFormat="1" ht="15" x14ac:dyDescent="0.35">
      <c r="B3" s="23" t="s">
        <v>18</v>
      </c>
      <c r="C3" s="34" t="s">
        <v>38</v>
      </c>
      <c r="D3" s="108" t="s">
        <v>39</v>
      </c>
      <c r="E3" s="134" t="s">
        <v>222</v>
      </c>
      <c r="F3" s="153" t="s">
        <v>206</v>
      </c>
      <c r="G3" s="35" t="s">
        <v>207</v>
      </c>
      <c r="H3" s="35" t="s">
        <v>36</v>
      </c>
      <c r="I3" s="23" t="s">
        <v>128</v>
      </c>
      <c r="O3" s="33"/>
    </row>
    <row r="4" spans="2:15" x14ac:dyDescent="0.2">
      <c r="B4" s="26" t="s">
        <v>331</v>
      </c>
      <c r="C4" s="26" t="s">
        <v>100</v>
      </c>
      <c r="D4" s="156">
        <v>4000</v>
      </c>
      <c r="E4" s="133" t="s">
        <v>145</v>
      </c>
      <c r="F4" s="141">
        <v>45639</v>
      </c>
      <c r="G4" s="37">
        <v>2</v>
      </c>
      <c r="H4" s="37"/>
      <c r="I4" s="28" cm="1">
        <f t="array" aca="1" ref="I4" ca="1">_xlfn.LET(
    _xlpm.frequency_type,$E4,
    _xlpm.frequency_value,$G4,
    _xlpm.start_date,$F4,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J4" s="28"/>
    </row>
    <row r="5" spans="2:15" x14ac:dyDescent="0.2">
      <c r="B5" s="26" t="s">
        <v>81</v>
      </c>
      <c r="C5" s="157" t="s">
        <v>156</v>
      </c>
      <c r="D5" s="156">
        <v>200</v>
      </c>
      <c r="E5" s="133" t="s">
        <v>145</v>
      </c>
      <c r="F5" s="141">
        <v>45667</v>
      </c>
      <c r="G5" s="37">
        <v>2</v>
      </c>
      <c r="H5" s="37"/>
      <c r="I5" s="28" cm="1">
        <f t="array" aca="1" ref="I5" ca="1">_xlfn.LET(
    _xlpm.frequency_type,$E5,
    _xlpm.frequency_value,$G5,
    _xlpm.start_date,$F5,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row>
    <row r="6" spans="2:15" s="36" customFormat="1" x14ac:dyDescent="0.2">
      <c r="B6" s="26" t="s">
        <v>86</v>
      </c>
      <c r="C6" t="s">
        <v>151</v>
      </c>
      <c r="D6" s="156">
        <v>2</v>
      </c>
      <c r="E6" s="133" t="s">
        <v>145</v>
      </c>
      <c r="F6" s="141">
        <v>45639</v>
      </c>
      <c r="G6" s="37">
        <v>2</v>
      </c>
      <c r="H6" s="37"/>
      <c r="I6" s="28" cm="1">
        <f t="array" aca="1" ref="I6" ca="1">_xlfn.LET(
    _xlpm.frequency_type,$E6,
    _xlpm.frequency_value,$G6,
    _xlpm.start_date,$F6,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O6" s="32"/>
    </row>
    <row r="7" spans="2:15" s="110" customFormat="1" x14ac:dyDescent="0.2">
      <c r="B7" s="26" t="s">
        <v>86</v>
      </c>
      <c r="C7" t="s">
        <v>152</v>
      </c>
      <c r="D7" s="156">
        <v>40</v>
      </c>
      <c r="E7" s="133" t="s">
        <v>145</v>
      </c>
      <c r="F7" s="141">
        <v>45639</v>
      </c>
      <c r="G7" s="37">
        <v>2</v>
      </c>
      <c r="H7" s="37"/>
      <c r="I7" s="28" cm="1">
        <f t="array" aca="1" ref="I7" ca="1">_xlfn.LET(
    _xlpm.frequency_type,$E7,
    _xlpm.frequency_value,$G7,
    _xlpm.start_date,$F7,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O7" s="168"/>
    </row>
    <row r="8" spans="2:15" s="36" customFormat="1" x14ac:dyDescent="0.2">
      <c r="B8" s="26" t="s">
        <v>86</v>
      </c>
      <c r="C8" t="s">
        <v>153</v>
      </c>
      <c r="D8" s="156">
        <v>50</v>
      </c>
      <c r="E8" s="133" t="s">
        <v>145</v>
      </c>
      <c r="F8" s="141">
        <v>45639</v>
      </c>
      <c r="G8" s="37">
        <v>2</v>
      </c>
      <c r="H8" s="37"/>
      <c r="I8" s="28" cm="1">
        <f t="array" aca="1" ref="I8" ca="1">_xlfn.LET(
    _xlpm.frequency_type,$E8,
    _xlpm.frequency_value,$G8,
    _xlpm.start_date,$F8,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O8" s="32"/>
    </row>
    <row r="9" spans="2:15" s="36" customFormat="1" x14ac:dyDescent="0.2">
      <c r="B9" s="26" t="s">
        <v>86</v>
      </c>
      <c r="C9" t="s">
        <v>154</v>
      </c>
      <c r="D9" s="156">
        <v>4</v>
      </c>
      <c r="E9" s="133" t="s">
        <v>145</v>
      </c>
      <c r="F9" s="141">
        <v>45639</v>
      </c>
      <c r="G9" s="37">
        <v>2</v>
      </c>
      <c r="H9" s="37"/>
      <c r="I9" s="28" cm="1">
        <f t="array" aca="1" ref="I9" ca="1">_xlfn.LET(
    _xlpm.frequency_type,$E9,
    _xlpm.frequency_value,$G9,
    _xlpm.start_date,$F9,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c r="O9" s="32"/>
    </row>
    <row r="10" spans="2:15" x14ac:dyDescent="0.2">
      <c r="B10" s="26" t="s">
        <v>28</v>
      </c>
      <c r="C10" s="26" t="s">
        <v>157</v>
      </c>
      <c r="D10" s="156">
        <v>40</v>
      </c>
      <c r="E10" s="135" t="s">
        <v>146</v>
      </c>
      <c r="F10" s="141">
        <f ca="1">EOMONTH(TODAY(),0)</f>
        <v>45747</v>
      </c>
      <c r="G10" s="165">
        <v>1</v>
      </c>
      <c r="H10" s="165"/>
      <c r="I10" s="28" cm="1">
        <f t="array" aca="1" ref="I10" ca="1">_xlfn.LET(
    _xlpm.frequency_type,$E10,
    _xlpm.frequency_value,$G10,
    _xlpm.start_date,$F10,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45747</v>
      </c>
    </row>
    <row r="11" spans="2:15" x14ac:dyDescent="0.2">
      <c r="B11" s="26" t="s">
        <v>28</v>
      </c>
      <c r="C11" s="26" t="s">
        <v>0</v>
      </c>
      <c r="D11" s="156">
        <v>2000</v>
      </c>
      <c r="E11" s="135" t="s">
        <v>146</v>
      </c>
      <c r="F11" s="141">
        <v>45597</v>
      </c>
      <c r="G11" s="165">
        <v>1</v>
      </c>
      <c r="H11" s="165"/>
      <c r="I11" s="28" cm="1">
        <f t="array" aca="1" ref="I11" ca="1">_xlfn.LET(
    _xlpm.frequency_type,$E11,
    _xlpm.frequency_value,$G11,
    _xlpm.start_date,$F11,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45717</v>
      </c>
    </row>
    <row r="12" spans="2:15" x14ac:dyDescent="0.2">
      <c r="B12" s="26" t="s">
        <v>17</v>
      </c>
      <c r="C12" s="26" t="s">
        <v>165</v>
      </c>
      <c r="D12" s="156">
        <v>500</v>
      </c>
      <c r="E12" s="135" t="s">
        <v>146</v>
      </c>
      <c r="F12" s="141">
        <v>45454</v>
      </c>
      <c r="G12" s="165">
        <v>6</v>
      </c>
      <c r="H12" s="165"/>
      <c r="I12" s="28" cm="1">
        <f t="array" aca="1" ref="I12" ca="1">_xlfn.LET(
    _xlpm.frequency_type,$E12,
    _xlpm.frequency_value,$G12,
    _xlpm.start_date,$F12,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45819</v>
      </c>
    </row>
    <row r="13" spans="2:15" x14ac:dyDescent="0.2">
      <c r="B13" s="26" t="s">
        <v>17</v>
      </c>
      <c r="C13" s="26" t="s">
        <v>166</v>
      </c>
      <c r="D13" s="156">
        <v>50</v>
      </c>
      <c r="E13" s="135" t="s">
        <v>145</v>
      </c>
      <c r="F13" s="141">
        <v>45669</v>
      </c>
      <c r="G13" s="165">
        <v>1</v>
      </c>
      <c r="H13" s="165"/>
      <c r="I13" s="28" cm="1">
        <f t="array" aca="1" ref="I13" ca="1">_xlfn.LET(
    _xlpm.frequency_type,$E13,
    _xlpm.frequency_value,$G13,
    _xlpm.start_date,$F13,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45746</v>
      </c>
    </row>
    <row r="14" spans="2:15" x14ac:dyDescent="0.2">
      <c r="B14" s="26" t="s">
        <v>278</v>
      </c>
      <c r="C14" s="36" t="s">
        <v>102</v>
      </c>
      <c r="D14" s="156">
        <v>69</v>
      </c>
      <c r="E14" s="135" t="s">
        <v>147</v>
      </c>
      <c r="F14" s="154">
        <v>45727</v>
      </c>
      <c r="G14" s="165">
        <v>1</v>
      </c>
      <c r="H14" s="165"/>
      <c r="I14" s="28" cm="1">
        <f t="array" aca="1" ref="I14" ca="1">_xlfn.LET(
    _xlpm.frequency_type,$E14,
    _xlpm.frequency_value,$G14,
    _xlpm.start_date,$F14,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45727</v>
      </c>
    </row>
    <row r="15" spans="2:15" x14ac:dyDescent="0.2">
      <c r="B15" s="26" t="s">
        <v>278</v>
      </c>
      <c r="C15" s="36" t="s">
        <v>103</v>
      </c>
      <c r="D15" s="156">
        <v>15</v>
      </c>
      <c r="E15" s="135" t="s">
        <v>146</v>
      </c>
      <c r="F15" s="155">
        <v>45661</v>
      </c>
      <c r="G15" s="165">
        <v>1</v>
      </c>
      <c r="H15" s="165"/>
      <c r="I15" s="28" cm="1">
        <f t="array" aca="1" ref="I15" ca="1">_xlfn.LET(
    _xlpm.frequency_type,$E15,
    _xlpm.frequency_value,$G15,
    _xlpm.start_date,$F15,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45720</v>
      </c>
    </row>
    <row r="16" spans="2:15" x14ac:dyDescent="0.2">
      <c r="B16" s="26" t="s">
        <v>278</v>
      </c>
      <c r="C16" s="26" t="s">
        <v>104</v>
      </c>
      <c r="D16" s="156">
        <v>15.49</v>
      </c>
      <c r="E16" s="135" t="s">
        <v>146</v>
      </c>
      <c r="F16" s="155">
        <v>45674</v>
      </c>
      <c r="G16" s="165">
        <v>1</v>
      </c>
      <c r="H16" s="165"/>
      <c r="I16" s="28" cm="1">
        <f t="array" aca="1" ref="I16" ca="1">_xlfn.LET(
    _xlpm.frequency_type,$E16,
    _xlpm.frequency_value,$G16,
    _xlpm.start_date,$F16,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45733</v>
      </c>
    </row>
    <row r="17" spans="2:9" x14ac:dyDescent="0.2">
      <c r="B17" s="26" t="s">
        <v>278</v>
      </c>
      <c r="C17" s="26" t="s">
        <v>105</v>
      </c>
      <c r="D17" s="2">
        <v>10.99</v>
      </c>
      <c r="E17" s="135" t="s">
        <v>146</v>
      </c>
      <c r="F17" s="155">
        <v>45675</v>
      </c>
      <c r="G17" s="165">
        <v>1</v>
      </c>
      <c r="H17" s="165"/>
      <c r="I17" s="28" cm="1">
        <f t="array" aca="1" ref="I17" ca="1">_xlfn.LET(
    _xlpm.frequency_type,$E17,
    _xlpm.frequency_value,$G17,
    _xlpm.start_date,$F17,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45734</v>
      </c>
    </row>
    <row r="18" spans="2:9" x14ac:dyDescent="0.2">
      <c r="B18" s="26" t="s">
        <v>278</v>
      </c>
      <c r="C18" s="26" t="s">
        <v>106</v>
      </c>
      <c r="D18" s="156">
        <v>2.99</v>
      </c>
      <c r="E18" s="135" t="s">
        <v>146</v>
      </c>
      <c r="F18" s="155">
        <v>45684</v>
      </c>
      <c r="G18" s="165">
        <v>1</v>
      </c>
      <c r="H18" s="165"/>
      <c r="I18" s="28" cm="1">
        <f t="array" aca="1" ref="I18" ca="1">_xlfn.LET(
    _xlpm.frequency_type,$E18,
    _xlpm.frequency_value,$G18,
    _xlpm.start_date,$F18,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45743</v>
      </c>
    </row>
    <row r="19" spans="2:9" x14ac:dyDescent="0.2">
      <c r="B19" s="26" t="s">
        <v>1</v>
      </c>
      <c r="C19" s="26" t="s">
        <v>174</v>
      </c>
      <c r="D19" s="2">
        <v>100</v>
      </c>
      <c r="E19" s="135" t="s">
        <v>145</v>
      </c>
      <c r="F19" s="155">
        <v>45304</v>
      </c>
      <c r="G19" s="165">
        <v>1</v>
      </c>
      <c r="H19" s="165"/>
      <c r="I19" s="28" cm="1">
        <f t="array" aca="1" ref="I19" ca="1">_xlfn.LET(
    _xlpm.frequency_type,$E19,
    _xlpm.frequency_value,$G19,
    _xlpm.start_date,$F19,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45745</v>
      </c>
    </row>
    <row r="20" spans="2:9" x14ac:dyDescent="0.2">
      <c r="B20" s="26" t="s">
        <v>2</v>
      </c>
      <c r="C20" t="s">
        <v>173</v>
      </c>
      <c r="D20" s="2">
        <v>100</v>
      </c>
      <c r="E20" s="135" t="s">
        <v>145</v>
      </c>
      <c r="F20" s="155">
        <v>45304</v>
      </c>
      <c r="G20" s="165">
        <v>1</v>
      </c>
      <c r="H20" s="165"/>
      <c r="I20" s="32" cm="1">
        <f t="array" aca="1" ref="I20" ca="1">_xlfn.LET(
    _xlpm.frequency_type,$E20,
    _xlpm.frequency_value,$G20,
    _xlpm.start_date,$F20,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45745</v>
      </c>
    </row>
    <row r="21" spans="2:9" x14ac:dyDescent="0.2">
      <c r="B21" s="26" t="s">
        <v>2</v>
      </c>
      <c r="C21" t="s">
        <v>173</v>
      </c>
      <c r="D21" s="2">
        <v>100</v>
      </c>
      <c r="E21" s="135" t="s">
        <v>145</v>
      </c>
      <c r="F21" s="155">
        <v>45305</v>
      </c>
      <c r="G21" s="165">
        <v>1</v>
      </c>
      <c r="H21" s="165"/>
      <c r="I21" s="32" cm="1">
        <f t="array" aca="1" ref="I21" ca="1">_xlfn.LET(
    _xlpm.frequency_type,$E21,
    _xlpm.frequency_value,$G21,
    _xlpm.start_date,$F21,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45746</v>
      </c>
    </row>
    <row r="22" spans="2:9" x14ac:dyDescent="0.2">
      <c r="B22" s="26" t="s">
        <v>319</v>
      </c>
      <c r="C22" s="26" t="s">
        <v>155</v>
      </c>
      <c r="D22" s="156">
        <v>50</v>
      </c>
      <c r="E22" s="133" t="s">
        <v>145</v>
      </c>
      <c r="F22" s="141">
        <v>45670</v>
      </c>
      <c r="G22" s="37">
        <v>3</v>
      </c>
      <c r="H22" s="37"/>
      <c r="I22" s="32" cm="1">
        <f t="array" aca="1" ref="I22" ca="1">_xlfn.LET(
    _xlpm.frequency_type,$E22,
    _xlpm.frequency_value,$G22,
    _xlpm.start_date,$F22,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45754</v>
      </c>
    </row>
    <row r="23" spans="2:9" x14ac:dyDescent="0.2">
      <c r="B23" s="26" t="s">
        <v>167</v>
      </c>
      <c r="C23" s="169" t="s">
        <v>168</v>
      </c>
      <c r="D23" s="163">
        <v>50</v>
      </c>
      <c r="E23" s="167" t="s">
        <v>144</v>
      </c>
      <c r="F23" s="141">
        <v>45655</v>
      </c>
      <c r="G23" s="166">
        <v>90</v>
      </c>
      <c r="H23" s="166"/>
      <c r="I23" s="28" cm="1">
        <f t="array" aca="1" ref="I23" ca="1">_xlfn.LET(
    _xlpm.frequency_type,$E23,
    _xlpm.frequency_value,$G23,
    _xlpm.start_date,$F23,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45745</v>
      </c>
    </row>
    <row r="24" spans="2:9" x14ac:dyDescent="0.2">
      <c r="B24" s="26" t="s">
        <v>4</v>
      </c>
      <c r="C24" s="26" t="s">
        <v>161</v>
      </c>
      <c r="D24" s="2">
        <v>200</v>
      </c>
      <c r="E24" s="167" t="s">
        <v>146</v>
      </c>
      <c r="F24" s="141">
        <v>45674</v>
      </c>
      <c r="G24" s="166">
        <v>1</v>
      </c>
      <c r="H24" s="166"/>
      <c r="I24" s="28" cm="1">
        <f t="array" aca="1" ref="I24" ca="1">_xlfn.LET(
    _xlpm.frequency_type,$E24,
    _xlpm.frequency_value,$G24,
    _xlpm.start_date,$F24,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45733</v>
      </c>
    </row>
    <row r="25" spans="2:9" x14ac:dyDescent="0.2">
      <c r="B25" s="26" t="s">
        <v>4</v>
      </c>
      <c r="C25" s="26" t="s">
        <v>101</v>
      </c>
      <c r="D25" s="2">
        <v>100</v>
      </c>
      <c r="E25" s="167" t="s">
        <v>146</v>
      </c>
      <c r="F25" s="141">
        <v>45688</v>
      </c>
      <c r="G25" s="166">
        <v>1</v>
      </c>
      <c r="H25" s="166"/>
      <c r="I25" s="28" cm="1">
        <f t="array" aca="1" ref="I25" ca="1">_xlfn.LET(
    _xlpm.frequency_type,$E25,
    _xlpm.frequency_value,$G25,
    _xlpm.start_date,$F25,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45747</v>
      </c>
    </row>
    <row r="26" spans="2:9" x14ac:dyDescent="0.2">
      <c r="B26" s="26" t="s">
        <v>80</v>
      </c>
      <c r="C26" s="26" t="s">
        <v>181</v>
      </c>
      <c r="D26" s="2">
        <v>50</v>
      </c>
      <c r="E26" s="133" t="s">
        <v>145</v>
      </c>
      <c r="F26" s="141">
        <v>45639</v>
      </c>
      <c r="G26" s="37">
        <v>2</v>
      </c>
      <c r="H26" s="37"/>
      <c r="I26" s="28" cm="1">
        <f t="array" aca="1" ref="I26" ca="1">_xlfn.LET(
    _xlpm.frequency_type,$E26,
    _xlpm.frequency_value,$G26,
    _xlpm.start_date,$F26,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row>
    <row r="27" spans="2:9" x14ac:dyDescent="0.2">
      <c r="B27" s="26" t="s">
        <v>332</v>
      </c>
      <c r="C27" s="26" t="s">
        <v>333</v>
      </c>
      <c r="D27" s="2">
        <v>50</v>
      </c>
      <c r="E27" s="133" t="s">
        <v>145</v>
      </c>
      <c r="F27" s="141">
        <v>45639</v>
      </c>
      <c r="G27" s="37">
        <v>2</v>
      </c>
      <c r="H27" s="166"/>
      <c r="I27" s="28" cm="1">
        <f t="array" aca="1" ref="I27" ca="1">_xlfn.LET(
    _xlpm.frequency_type,$E27,
    _xlpm.frequency_value,$G27,
    _xlpm.start_date,$F27,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45751</v>
      </c>
    </row>
    <row r="28" spans="2:9" x14ac:dyDescent="0.2">
      <c r="B28" s="26" t="s">
        <v>318</v>
      </c>
      <c r="C28" s="26" t="s">
        <v>336</v>
      </c>
      <c r="D28" s="2">
        <v>20</v>
      </c>
      <c r="E28" s="167" t="s">
        <v>146</v>
      </c>
      <c r="F28" s="141">
        <v>45708</v>
      </c>
      <c r="G28" s="166">
        <v>6</v>
      </c>
      <c r="H28" s="166"/>
      <c r="I28" s="28" cm="1">
        <f t="array" aca="1" ref="I28" ca="1">_xlfn.LET(
    _xlpm.frequency_type,$E28,
    _xlpm.frequency_value,$G28,
    _xlpm.start_date,$F28,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45889</v>
      </c>
    </row>
    <row r="29" spans="2:9" x14ac:dyDescent="0.2">
      <c r="B29" s="26" t="s">
        <v>278</v>
      </c>
      <c r="C29" s="26" t="s">
        <v>252</v>
      </c>
      <c r="D29" s="2" cm="1">
        <f t="array" ref="D29">Empower("LTM")</f>
        <v>5.8171745152354575</v>
      </c>
      <c r="E29" s="167" t="s">
        <v>146</v>
      </c>
      <c r="F29" s="141">
        <v>45708</v>
      </c>
      <c r="G29" s="166">
        <v>1</v>
      </c>
      <c r="H29" s="166"/>
      <c r="I29" s="28" cm="1">
        <f t="array" aca="1" ref="I29" ca="1">_xlfn.LET(
    _xlpm.frequency_type,$E29,
    _xlpm.frequency_value,$G29,
    _xlpm.start_date,$F29,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45736</v>
      </c>
    </row>
    <row r="30" spans="2:9" x14ac:dyDescent="0.2">
      <c r="B30" s="26" t="s">
        <v>2</v>
      </c>
      <c r="C30" s="26" t="s">
        <v>231</v>
      </c>
      <c r="D30" s="2" cm="1">
        <f t="array" ref="D30">Empower("LTM")</f>
        <v>5.5401662049861494E-2</v>
      </c>
      <c r="E30" s="167" t="s">
        <v>144</v>
      </c>
      <c r="F30" s="141">
        <v>45679</v>
      </c>
      <c r="G30" s="166">
        <v>1</v>
      </c>
      <c r="H30" s="166"/>
      <c r="I30" s="28" cm="1">
        <f t="array" aca="1" ref="I30" ca="1">_xlfn.LET(
    _xlpm.frequency_type,$E30,
    _xlpm.frequency_value,$G30,
    _xlpm.start_date,$F30,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45743</v>
      </c>
    </row>
    <row r="31" spans="2:9" x14ac:dyDescent="0.2">
      <c r="B31" s="26"/>
      <c r="C31" s="26"/>
      <c r="E31" s="167"/>
      <c r="G31" s="166"/>
      <c r="H31" s="166"/>
      <c r="I31" s="28" t="str" cm="1">
        <f t="array" aca="1" ref="I31" ca="1">_xlfn.LET(
    _xlpm.frequency_type,$E31,
    _xlpm.frequency_value,$G31,
    _xlpm.start_date,$F31,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2" spans="2:9" x14ac:dyDescent="0.2">
      <c r="B32" s="26"/>
      <c r="C32" s="26"/>
      <c r="E32" s="167"/>
      <c r="G32" s="166"/>
      <c r="H32" s="166"/>
      <c r="I32" s="28" t="str" cm="1">
        <f t="array" aca="1" ref="I32" ca="1">_xlfn.LET(
    _xlpm.frequency_type,$E32,
    _xlpm.frequency_value,$G32,
    _xlpm.start_date,$F32,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3" spans="2:9" x14ac:dyDescent="0.2">
      <c r="B33" s="26"/>
      <c r="C33" s="26"/>
      <c r="E33" s="167"/>
      <c r="G33" s="166"/>
      <c r="H33" s="166"/>
      <c r="I33" s="28" t="str" cm="1">
        <f t="array" aca="1" ref="I33" ca="1">_xlfn.LET(
    _xlpm.frequency_type,$E33,
    _xlpm.frequency_value,$G33,
    _xlpm.start_date,$F33,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4" spans="2:9" x14ac:dyDescent="0.2">
      <c r="B34" s="26"/>
      <c r="C34" s="26"/>
      <c r="E34" s="167"/>
      <c r="G34" s="166"/>
      <c r="H34" s="166"/>
      <c r="I34" s="28" t="str" cm="1">
        <f t="array" aca="1" ref="I34" ca="1">_xlfn.LET(
    _xlpm.frequency_type,$E34,
    _xlpm.frequency_value,$G34,
    _xlpm.start_date,$F34,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5" spans="2:9" x14ac:dyDescent="0.2">
      <c r="B35" s="26"/>
      <c r="C35" s="26"/>
      <c r="E35" s="167"/>
      <c r="G35" s="166"/>
      <c r="H35" s="166"/>
      <c r="I35" s="28" t="str" cm="1">
        <f t="array" aca="1" ref="I35" ca="1">_xlfn.LET(
    _xlpm.frequency_type,$E35,
    _xlpm.frequency_value,$G35,
    _xlpm.start_date,$F35,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6" spans="2:9" x14ac:dyDescent="0.2">
      <c r="B36" s="26"/>
      <c r="C36" s="26"/>
      <c r="E36" s="167"/>
      <c r="G36" s="166"/>
      <c r="H36" s="166"/>
      <c r="I36" s="28" t="str" cm="1">
        <f t="array" aca="1" ref="I36" ca="1">_xlfn.LET(
    _xlpm.frequency_type,$E36,
    _xlpm.frequency_value,$G36,
    _xlpm.start_date,$F36,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7" spans="2:9" x14ac:dyDescent="0.2">
      <c r="B37" s="26"/>
      <c r="C37" s="26"/>
      <c r="E37" s="167"/>
      <c r="G37" s="166"/>
      <c r="H37" s="166"/>
      <c r="I37" s="28" t="str" cm="1">
        <f t="array" aca="1" ref="I37" ca="1">_xlfn.LET(
    _xlpm.frequency_type,$E37,
    _xlpm.frequency_value,$G37,
    _xlpm.start_date,$F37,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8" spans="2:9" x14ac:dyDescent="0.2">
      <c r="B38" s="26"/>
      <c r="E38" s="167"/>
      <c r="G38" s="166"/>
      <c r="H38" s="166"/>
      <c r="I38" s="28" t="str" cm="1">
        <f t="array" aca="1" ref="I38" ca="1">_xlfn.LET(
    _xlpm.frequency_type,$E38,
    _xlpm.frequency_value,$G38,
    _xlpm.start_date,$F38,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9" spans="2:9" x14ac:dyDescent="0.2">
      <c r="B39" s="26"/>
      <c r="E39" s="167"/>
      <c r="G39" s="166"/>
      <c r="H39" s="166"/>
      <c r="I39" s="28" t="str" cm="1">
        <f t="array" aca="1" ref="I39" ca="1">_xlfn.LET(
    _xlpm.frequency_type,$E39,
    _xlpm.frequency_value,$G39,
    _xlpm.start_date,$F39,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0" spans="2:9" x14ac:dyDescent="0.2">
      <c r="B40" s="26"/>
      <c r="E40" s="167"/>
      <c r="G40" s="166"/>
      <c r="H40" s="166"/>
      <c r="I40" s="28" t="str" cm="1">
        <f t="array" aca="1" ref="I40" ca="1">_xlfn.LET(
    _xlpm.frequency_type,$E40,
    _xlpm.frequency_value,$G40,
    _xlpm.start_date,$F40,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1" spans="2:9" x14ac:dyDescent="0.2">
      <c r="B41" s="26"/>
      <c r="E41" s="167"/>
      <c r="G41" s="166"/>
      <c r="H41" s="166"/>
      <c r="I41" s="28" t="str" cm="1">
        <f t="array" aca="1" ref="I41" ca="1">_xlfn.LET(
    _xlpm.frequency_type,$E41,
    _xlpm.frequency_value,$G41,
    _xlpm.start_date,$F41,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2" spans="2:9" x14ac:dyDescent="0.2">
      <c r="B42" s="26"/>
      <c r="E42" s="167"/>
      <c r="G42" s="166"/>
      <c r="H42" s="166"/>
      <c r="I42" s="28" t="str" cm="1">
        <f t="array" aca="1" ref="I42" ca="1">_xlfn.LET(
    _xlpm.frequency_type,$E42,
    _xlpm.frequency_value,$G42,
    _xlpm.start_date,$F42,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3" spans="2:9" x14ac:dyDescent="0.2">
      <c r="I43" s="28" t="str" cm="1">
        <f t="array" aca="1" ref="I43" ca="1">_xlfn.LET(
    _xlpm.frequency_type,$E43,
    _xlpm.frequency_value,$G43,
    _xlpm.start_date,$F43,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4" spans="2:9" x14ac:dyDescent="0.2">
      <c r="I44" s="28" t="str" cm="1">
        <f t="array" aca="1" ref="I44" ca="1">_xlfn.LET(
    _xlpm.frequency_type,$E44,
    _xlpm.frequency_value,$G44,
    _xlpm.start_date,$F44,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5" spans="2:9" x14ac:dyDescent="0.2">
      <c r="I45" s="28" t="str" cm="1">
        <f t="array" aca="1" ref="I45" ca="1">_xlfn.LET(
    _xlpm.frequency_type,$E45,
    _xlpm.frequency_value,$G45,
    _xlpm.start_date,$F45,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6" spans="2:9" x14ac:dyDescent="0.2">
      <c r="I46" s="28" t="str" cm="1">
        <f t="array" aca="1" ref="I46" ca="1">_xlfn.LET(
    _xlpm.frequency_type,$E46,
    _xlpm.frequency_value,$G46,
    _xlpm.start_date,$F46,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7" spans="2:9" x14ac:dyDescent="0.2">
      <c r="I47" s="28" t="str" cm="1">
        <f t="array" aca="1" ref="I47" ca="1">_xlfn.LET(
    _xlpm.frequency_type,$E47,
    _xlpm.frequency_value,$G47,
    _xlpm.start_date,$F47,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8" spans="2:9" x14ac:dyDescent="0.2">
      <c r="I48" s="28" t="str" cm="1">
        <f t="array" aca="1" ref="I48" ca="1">_xlfn.LET(
    _xlpm.frequency_type,$E48,
    _xlpm.frequency_value,$G48,
    _xlpm.start_date,$F48,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9" spans="9:9" x14ac:dyDescent="0.2">
      <c r="I49" s="28" t="str" cm="1">
        <f t="array" aca="1" ref="I49" ca="1">_xlfn.LET(
    _xlpm.frequency_type,$E49,
    _xlpm.frequency_value,$G49,
    _xlpm.start_date,$F49,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0" spans="9:9" x14ac:dyDescent="0.2">
      <c r="I50" s="28" t="str" cm="1">
        <f t="array" aca="1" ref="I50" ca="1">_xlfn.LET(
    _xlpm.frequency_type,$E50,
    _xlpm.frequency_value,$G50,
    _xlpm.start_date,$F50,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1" spans="9:9" x14ac:dyDescent="0.2">
      <c r="I51" s="28" t="str" cm="1">
        <f t="array" aca="1" ref="I51" ca="1">_xlfn.LET(
    _xlpm.frequency_type,$E51,
    _xlpm.frequency_value,$G51,
    _xlpm.start_date,$F51,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2" spans="9:9" x14ac:dyDescent="0.2">
      <c r="I52" s="28" t="str" cm="1">
        <f t="array" aca="1" ref="I52" ca="1">_xlfn.LET(
    _xlpm.frequency_type,$E52,
    _xlpm.frequency_value,$G52,
    _xlpm.start_date,$F52,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3" spans="9:9" x14ac:dyDescent="0.2">
      <c r="I53" s="28" t="str" cm="1">
        <f t="array" aca="1" ref="I53" ca="1">_xlfn.LET(
    _xlpm.frequency_type,$E53,
    _xlpm.frequency_value,$G53,
    _xlpm.start_date,$F53,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4" spans="9:9" x14ac:dyDescent="0.2">
      <c r="I54" s="28"/>
    </row>
  </sheetData>
  <autoFilter ref="B3:I53" xr:uid="{85FE55F6-D3CB-4342-AF80-F445B78F2F4C}"/>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CB39B3-D641-4D30-A5DD-9A55832BC5B3}">
          <x14:formula1>
            <xm:f>'Data Validation'!$B$2:$B$50</xm:f>
          </x14:formula1>
          <xm:sqref>B4:B1048576</xm:sqref>
        </x14:dataValidation>
        <x14:dataValidation type="list" allowBlank="1" showInputMessage="1" showErrorMessage="1" xr:uid="{0B4FF59B-1AA3-4B02-B52A-91F340BEAE88}">
          <x14:formula1>
            <xm:f>'Data Validation'!$C$2:$C$5</xm:f>
          </x14:formula1>
          <xm:sqref>E4:E1048576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93854-875D-4F5D-86E3-3AB3A80F5C4B}">
  <sheetPr codeName="Sheet25"/>
  <dimension ref="A1"/>
  <sheetViews>
    <sheetView workbookViewId="0"/>
  </sheetViews>
  <sheetFormatPr defaultRowHeight="12.75" x14ac:dyDescent="0.2"/>
  <cols>
    <col min="1" max="16384" width="9.140625" style="25"/>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9722-404A-4B30-B093-6FD87C8A5056}">
  <sheetPr codeName="Sheet9">
    <tabColor theme="6"/>
  </sheetPr>
  <dimension ref="A1:N33"/>
  <sheetViews>
    <sheetView workbookViewId="0">
      <selection activeCell="G31" sqref="G31"/>
    </sheetView>
  </sheetViews>
  <sheetFormatPr defaultRowHeight="12.75" x14ac:dyDescent="0.2"/>
  <cols>
    <col min="1" max="1" width="24.5703125" customWidth="1"/>
    <col min="2" max="2" width="24.5703125" bestFit="1" customWidth="1"/>
    <col min="3" max="14" width="17" customWidth="1"/>
  </cols>
  <sheetData>
    <row r="1" spans="1:14" s="180" customFormat="1" ht="15" x14ac:dyDescent="0.35">
      <c r="A1" s="180" t="s">
        <v>18</v>
      </c>
      <c r="B1" s="180" t="s">
        <v>316</v>
      </c>
      <c r="C1" s="180" t="s">
        <v>341</v>
      </c>
      <c r="D1" s="180" t="s">
        <v>343</v>
      </c>
      <c r="E1" s="180" t="s">
        <v>342</v>
      </c>
      <c r="F1" s="180" t="s">
        <v>338</v>
      </c>
      <c r="G1" s="180" t="s">
        <v>344</v>
      </c>
      <c r="H1" s="180" t="s">
        <v>345</v>
      </c>
      <c r="I1" s="180" t="s">
        <v>340</v>
      </c>
      <c r="J1" s="180" t="s">
        <v>346</v>
      </c>
      <c r="K1" s="180" t="s">
        <v>347</v>
      </c>
      <c r="L1" s="180" t="s">
        <v>339</v>
      </c>
      <c r="M1" s="180" t="s">
        <v>348</v>
      </c>
      <c r="N1" s="180" t="s">
        <v>349</v>
      </c>
    </row>
    <row r="2" spans="1:14" x14ac:dyDescent="0.2">
      <c r="A2" s="26" t="s">
        <v>331</v>
      </c>
      <c r="B2" t="s">
        <v>245</v>
      </c>
      <c r="C2" s="179">
        <f ca="1">_xlfn.LET(_xlpm.end_date,MAX(Raw!$H$3:$H$9149),
_xlpm.start_date,_xlpm.end_date-30,
_xlpm.NTM_day_count,EDATE(TODAY(),12)-TODAY(),
_xlpm.total_spend,SUMIFS(Raw!$F$3:$F$9149,Raw!$H$3:$H$9149,"&gt;="&amp;_xlpm.start_date,Raw!$D$3:$D$9149,'Ref Data'!$B2),
_xlpm.one_day_spend,_xlpm.total_spend/30,
_xlpm.one_day_spend*_xlpm.NTM_day_count)</f>
        <v>0</v>
      </c>
      <c r="D2" s="179">
        <f>_xlfn.LET(_xlpm.end_date,MAX(Raw!$H$3:$H$9149),
_xlpm.start_date,EOMONTH(_xlpm.end_date,-12),
_xlpm.nbr_days,_xlpm.end_date-_xlpm.start_date,
_xlpm.ltm_spend,SUMIFS(Raw!$F$3:$F$9149,Raw!$H$3:$H$9149,"&gt;="&amp;_xlpm.start_date,Raw!$D$3:$D$9149,'Ref Data'!$B2),
_xlpm.ltm_spend)</f>
        <v>1000</v>
      </c>
      <c r="E2" s="179">
        <f ca="1">_xlfn.LET(_xlpm.total_spend,SUMIFS(Raw!$F$3:$F$9149,Raw!$D$3:$D$9149,'Ref Data'!$B2),
_xlpm.start_date,MIN(Raw!$H$3:$H$9149),
_xlpm.end_date,MAX(Raw!$H$3:$H$9149),
_xlpm.nbr_days,_xlpm.end_date-_xlpm.start_date,
_xlpm.NTM_day_count,EDATE(TODAY(),12)-TODAY(),
_xlpm.one_day_spend,_xlpm.total_spend/_xlpm.nbr_days,
_xlpm.one_day_spend*_xlpm.NTM_day_count)</f>
        <v>7.9952685534040135</v>
      </c>
      <c r="F2" s="179">
        <f>_xlfn.LET(_xlpm.end_date,MAX(Raw!$H$3:$H$9149),
_xlpm.start_date,_xlpm.end_date-30,
SUMIFS(Raw!$F$3:$F$9149,Raw!$H$3:$H$9149,"&gt;="&amp;_xlpm.start_date,Raw!$D$3:$D$9149,'Ref Data'!$B2))</f>
        <v>0</v>
      </c>
      <c r="G2" s="179">
        <f>_xlfn.LET(_xlpm.end_date,MAX(Raw!$H$3:$H$9149),
_xlpm.start_date,EOMONTH(_xlpm.end_date,-12),
_xlpm.nbr_days,_xlpm.end_date-_xlpm.start_date,
_xlpm.ltm_spend,SUMIFS(Raw!$F$3:$F$9149,Raw!$H$3:$H$9149,"&gt;="&amp;_xlpm.start_date,Raw!$D$3:$D$9149,'Ref Data'!$B2),
_xlpm.one_day_spend,_xlpm.ltm_spend/_xlpm.nbr_days,
_xlpm.one_day_spend*30)</f>
        <v>83.10249307479225</v>
      </c>
      <c r="H2" s="179">
        <f>_xlfn.LET(_xlpm.total_spend,SUMIFS(Raw!$F$3:$F$9149,Raw!$D$3:$D$9149,'Ref Data'!$B2),
_xlpm.start_date,MIN(Raw!$H$3:$H$9149),
_xlpm.end_date,MAX(Raw!$H$3:$H$9149),
_xlpm.nbr_days,_xlpm.end_date-_xlpm.start_date,
_xlpm.one_day_spend,_xlpm.total_spend/_xlpm.nbr_days,
_xlpm.one_day_spend*30)</f>
        <v>0.6571453605537545</v>
      </c>
      <c r="I2" s="179">
        <f>_xlfn.LET(_xlpm.end_date,MAX(Raw!$H$3:$H$9149),
_xlpm.start_date,_xlpm.end_date-30,
SUMIFS(Raw!$F$3:$F$9149,Raw!$H$3:$H$9149,"&gt;="&amp;_xlpm.start_date,Raw!$D$3:$D$9149,'Ref Data'!$B2)/30*7)</f>
        <v>0</v>
      </c>
      <c r="J2" s="179">
        <f>_xlfn.LET(_xlpm.end_date,MAX(Raw!$H$3:$H$9149),
_xlpm.start_date,EOMONTH(_xlpm.end_date,-12),
_xlpm.nbr_days,_xlpm.end_date-_xlpm.start_date,
_xlpm.ltm_spend,SUMIFS(Raw!$F$3:$F$9149,Raw!$H$3:$H$9149,"&gt;="&amp;_xlpm.start_date,Raw!$D$3:$D$9149,'Ref Data'!$B2),
_xlpm.one_day_spend,_xlpm.ltm_spend/_xlpm.nbr_days,
_xlpm.one_day_spend*7)</f>
        <v>19.390581717451525</v>
      </c>
      <c r="K2" s="179">
        <f>_xlfn.LET(_xlpm.total_spend,SUMIFS(Raw!$F$3:$F$9149,Raw!$D$3:$D$9149,'Ref Data'!$B2),
_xlpm.start_date,MIN(Raw!$H$3:$H$9149),
_xlpm.end_date,MAX(Raw!$H$3:$H$9149),
_xlpm.nbr_days,_xlpm.end_date-_xlpm.start_date,
_xlpm.one_day_spend,_xlpm.total_spend/_xlpm.nbr_days,
_xlpm.one_day_spend*7)</f>
        <v>0.15333391746254271</v>
      </c>
      <c r="L2" s="179">
        <f>_xlfn.LET(_xlpm.end_date,MAX(Raw!$H$3:$H$9149),
_xlpm.start_date,_xlpm.end_date-30,
SUMIFS(Raw!$F$3:$F$9149,Raw!$H$3:$H$9149,"&gt;="&amp;_xlpm.start_date,Raw!$D$3:$D$9149,'Ref Data'!$B2)/30)</f>
        <v>0</v>
      </c>
      <c r="M2" s="179">
        <f>_xlfn.LET(_xlpm.end_date,MAX(Raw!$H$3:$H$9149),
_xlpm.start_date,EOMONTH(_xlpm.end_date,-12),
_xlpm.nbr_days,_xlpm.end_date-_xlpm.start_date,
_xlpm.ltm_spend,SUMIFS(Raw!$F$3:$F$9149,Raw!$H$3:$H$9149,"&gt;="&amp;_xlpm.start_date,Raw!$D$3:$D$9149,'Ref Data'!$B2),
_xlpm.one_day_spend,_xlpm.ltm_spend/_xlpm.nbr_days,
_xlpm.one_day_spend)</f>
        <v>2.770083102493075</v>
      </c>
      <c r="N2" s="179">
        <f>_xlfn.LET(_xlpm.total_spend,SUMIFS(Raw!$F$3:$F$9149,Raw!$D$3:$D$9149,'Ref Data'!$B2),
_xlpm.start_date,MIN(Raw!$H$3:$H$9149),
_xlpm.end_date,MAX(Raw!$H$3:$H$9149),
_xlpm.nbr_days,_xlpm.end_date-_xlpm.start_date,
_xlpm.one_day_spend,_xlpm.total_spend/_xlpm.nbr_days,
_xlpm.one_day_spend)</f>
        <v>2.1904845351791817E-2</v>
      </c>
    </row>
    <row r="3" spans="1:14" x14ac:dyDescent="0.2">
      <c r="A3" t="s">
        <v>278</v>
      </c>
      <c r="B3" t="s">
        <v>252</v>
      </c>
      <c r="C3" s="179">
        <f ca="1">_xlfn.LET(_xlpm.end_date,MAX(Raw!$H$3:$H$9149),
_xlpm.start_date,_xlpm.end_date-30,
_xlpm.NTM_day_count,EDATE(TODAY(),12)-TODAY(),
_xlpm.total_spend,SUMIFS(Raw!$F$3:$F$9149,Raw!$H$3:$H$9149,"&gt;="&amp;_xlpm.start_date,Raw!$D$3:$D$9149,'Ref Data'!$B3),
_xlpm.one_day_spend,_xlpm.total_spend/30,
_xlpm.one_day_spend*_xlpm.NTM_day_count)</f>
        <v>0</v>
      </c>
      <c r="D3" s="179">
        <f>_xlfn.LET(_xlpm.end_date,MAX(Raw!$H$3:$H$9149),
_xlpm.start_date,EOMONTH(_xlpm.end_date,-12),
_xlpm.nbr_days,_xlpm.end_date-_xlpm.start_date,
_xlpm.ltm_spend,SUMIFS(Raw!$F$3:$F$9149,Raw!$H$3:$H$9149,"&gt;="&amp;_xlpm.start_date,Raw!$D$3:$D$9149,'Ref Data'!$B3),
_xlpm.ltm_spend)</f>
        <v>-70</v>
      </c>
      <c r="E3" s="179">
        <f ca="1">_xlfn.LET(_xlpm.total_spend,SUMIFS(Raw!$F$3:$F$9149,Raw!$D$3:$D$9149,'Ref Data'!$B3),
_xlpm.start_date,MIN(Raw!$H$3:$H$9149),
_xlpm.end_date,MAX(Raw!$H$3:$H$9149),
_xlpm.nbr_days,_xlpm.end_date-_xlpm.start_date,
_xlpm.NTM_day_count,EDATE(TODAY(),12)-TODAY(),
_xlpm.one_day_spend,_xlpm.total_spend/_xlpm.nbr_days,
_xlpm.one_day_spend*_xlpm.NTM_day_count)</f>
        <v>-0.5596687987382809</v>
      </c>
      <c r="F3" s="179">
        <f>_xlfn.LET(_xlpm.end_date,MAX(Raw!$H$3:$H$9149),
_xlpm.start_date,_xlpm.end_date-30,
SUMIFS(Raw!$F$3:$F$9149,Raw!$H$3:$H$9149,"&gt;="&amp;_xlpm.start_date,Raw!$D$3:$D$9149,'Ref Data'!$B3))</f>
        <v>0</v>
      </c>
      <c r="G3" s="179">
        <f>_xlfn.LET(_xlpm.end_date,MAX(Raw!$H$3:$H$9149),
_xlpm.start_date,EOMONTH(_xlpm.end_date,-12),
_xlpm.nbr_days,_xlpm.end_date-_xlpm.start_date,
_xlpm.ltm_spend,SUMIFS(Raw!$F$3:$F$9149,Raw!$H$3:$H$9149,"&gt;="&amp;_xlpm.start_date,Raw!$D$3:$D$9149,'Ref Data'!$B3),
_xlpm.one_day_spend,_xlpm.ltm_spend/_xlpm.nbr_days,
_xlpm.one_day_spend*30)</f>
        <v>-5.8171745152354575</v>
      </c>
      <c r="H3" s="179">
        <f>_xlfn.LET(_xlpm.total_spend,SUMIFS(Raw!$F$3:$F$9149,Raw!$D$3:$D$9149,'Ref Data'!$B3),
_xlpm.start_date,MIN(Raw!$H$3:$H$9149),
_xlpm.end_date,MAX(Raw!$H$3:$H$9149),
_xlpm.nbr_days,_xlpm.end_date-_xlpm.start_date,
_xlpm.one_day_spend,_xlpm.total_spend/_xlpm.nbr_days,
_xlpm.one_day_spend*30)</f>
        <v>-4.6000175238762812E-2</v>
      </c>
      <c r="I3" s="179">
        <f>_xlfn.LET(_xlpm.end_date,MAX(Raw!$H$3:$H$9149),
_xlpm.start_date,_xlpm.end_date-30,
SUMIFS(Raw!$F$3:$F$9149,Raw!$H$3:$H$9149,"&gt;="&amp;_xlpm.start_date,Raw!$D$3:$D$9149,'Ref Data'!$B3)/30*7)</f>
        <v>0</v>
      </c>
      <c r="J3" s="179">
        <f>_xlfn.LET(_xlpm.end_date,MAX(Raw!$H$3:$H$9149),
_xlpm.start_date,EOMONTH(_xlpm.end_date,-12),
_xlpm.nbr_days,_xlpm.end_date-_xlpm.start_date,
_xlpm.ltm_spend,SUMIFS(Raw!$F$3:$F$9149,Raw!$H$3:$H$9149,"&gt;="&amp;_xlpm.start_date,Raw!$D$3:$D$9149,'Ref Data'!$B3),
_xlpm.one_day_spend,_xlpm.ltm_spend/_xlpm.nbr_days,
_xlpm.one_day_spend*7)</f>
        <v>-1.3573407202216068</v>
      </c>
      <c r="K3" s="179">
        <f>_xlfn.LET(_xlpm.total_spend,SUMIFS(Raw!$F$3:$F$9149,Raw!$D$3:$D$9149,'Ref Data'!$B3),
_xlpm.start_date,MIN(Raw!$H$3:$H$9149),
_xlpm.end_date,MAX(Raw!$H$3:$H$9149),
_xlpm.nbr_days,_xlpm.end_date-_xlpm.start_date,
_xlpm.one_day_spend,_xlpm.total_spend/_xlpm.nbr_days,
_xlpm.one_day_spend*7)</f>
        <v>-1.073337422237799E-2</v>
      </c>
      <c r="L3" s="179">
        <f>_xlfn.LET(_xlpm.end_date,MAX(Raw!$H$3:$H$9149),
_xlpm.start_date,_xlpm.end_date-30,
SUMIFS(Raw!$F$3:$F$9149,Raw!$H$3:$H$9149,"&gt;="&amp;_xlpm.start_date,Raw!$D$3:$D$9149,'Ref Data'!$B3)/30)</f>
        <v>0</v>
      </c>
      <c r="M3" s="179">
        <f>_xlfn.LET(_xlpm.end_date,MAX(Raw!$H$3:$H$9149),
_xlpm.start_date,EOMONTH(_xlpm.end_date,-12),
_xlpm.nbr_days,_xlpm.end_date-_xlpm.start_date,
_xlpm.ltm_spend,SUMIFS(Raw!$F$3:$F$9149,Raw!$H$3:$H$9149,"&gt;="&amp;_xlpm.start_date,Raw!$D$3:$D$9149,'Ref Data'!$B3),
_xlpm.one_day_spend,_xlpm.ltm_spend/_xlpm.nbr_days,
_xlpm.one_day_spend)</f>
        <v>-0.19390581717451524</v>
      </c>
      <c r="N3" s="179">
        <f>_xlfn.LET(_xlpm.total_spend,SUMIFS(Raw!$F$3:$F$9149,Raw!$D$3:$D$9149,'Ref Data'!$B3),
_xlpm.start_date,MIN(Raw!$H$3:$H$9149),
_xlpm.end_date,MAX(Raw!$H$3:$H$9149),
_xlpm.nbr_days,_xlpm.end_date-_xlpm.start_date,
_xlpm.one_day_spend,_xlpm.total_spend/_xlpm.nbr_days,
_xlpm.one_day_spend)</f>
        <v>-1.5333391746254271E-3</v>
      </c>
    </row>
    <row r="4" spans="1:14" x14ac:dyDescent="0.2">
      <c r="A4" t="s">
        <v>278</v>
      </c>
      <c r="B4" t="s">
        <v>278</v>
      </c>
      <c r="C4" s="179">
        <f ca="1">_xlfn.LET(_xlpm.end_date,MAX(Raw!$H$3:$H$9149),
_xlpm.start_date,_xlpm.end_date-30,
_xlpm.NTM_day_count,EDATE(TODAY(),12)-TODAY(),
_xlpm.total_spend,SUMIFS(Raw!$F$3:$F$9149,Raw!$H$3:$H$9149,"&gt;="&amp;_xlpm.start_date,Raw!$D$3:$D$9149,'Ref Data'!$B4),
_xlpm.one_day_spend,_xlpm.total_spend/30,
_xlpm.one_day_spend*_xlpm.NTM_day_count)</f>
        <v>0</v>
      </c>
      <c r="D4" s="179">
        <f>_xlfn.LET(_xlpm.end_date,MAX(Raw!$H$3:$H$9149),
_xlpm.start_date,EOMONTH(_xlpm.end_date,-12),
_xlpm.nbr_days,_xlpm.end_date-_xlpm.start_date,
_xlpm.ltm_spend,SUMIFS(Raw!$F$3:$F$9149,Raw!$H$3:$H$9149,"&gt;="&amp;_xlpm.start_date,Raw!$D$3:$D$9149,'Ref Data'!$B4),
_xlpm.ltm_spend)</f>
        <v>-100</v>
      </c>
      <c r="E4" s="179">
        <f ca="1">_xlfn.LET(_xlpm.total_spend,SUMIFS(Raw!$F$3:$F$9149,Raw!$D$3:$D$9149,'Ref Data'!$B4),
_xlpm.start_date,MIN(Raw!$H$3:$H$9149),
_xlpm.end_date,MAX(Raw!$H$3:$H$9149),
_xlpm.nbr_days,_xlpm.end_date-_xlpm.start_date,
_xlpm.NTM_day_count,EDATE(TODAY(),12)-TODAY(),
_xlpm.one_day_spend,_xlpm.total_spend/_xlpm.nbr_days,
_xlpm.one_day_spend*_xlpm.NTM_day_count)</f>
        <v>-0.79952685534040135</v>
      </c>
      <c r="F4" s="179">
        <f>_xlfn.LET(_xlpm.end_date,MAX(Raw!$H$3:$H$9149),
_xlpm.start_date,_xlpm.end_date-30,
SUMIFS(Raw!$F$3:$F$9149,Raw!$H$3:$H$9149,"&gt;="&amp;_xlpm.start_date,Raw!$D$3:$D$9149,'Ref Data'!$B4))</f>
        <v>0</v>
      </c>
      <c r="G4" s="179">
        <f>_xlfn.LET(_xlpm.end_date,MAX(Raw!$H$3:$H$9149),
_xlpm.start_date,EOMONTH(_xlpm.end_date,-12),
_xlpm.nbr_days,_xlpm.end_date-_xlpm.start_date,
_xlpm.ltm_spend,SUMIFS(Raw!$F$3:$F$9149,Raw!$H$3:$H$9149,"&gt;="&amp;_xlpm.start_date,Raw!$D$3:$D$9149,'Ref Data'!$B4),
_xlpm.one_day_spend,_xlpm.ltm_spend/_xlpm.nbr_days,
_xlpm.one_day_spend*30)</f>
        <v>-8.310249307479225</v>
      </c>
      <c r="H4" s="179">
        <f>_xlfn.LET(_xlpm.total_spend,SUMIFS(Raw!$F$3:$F$9149,Raw!$D$3:$D$9149,'Ref Data'!$B4),
_xlpm.start_date,MIN(Raw!$H$3:$H$9149),
_xlpm.end_date,MAX(Raw!$H$3:$H$9149),
_xlpm.nbr_days,_xlpm.end_date-_xlpm.start_date,
_xlpm.one_day_spend,_xlpm.total_spend/_xlpm.nbr_days,
_xlpm.one_day_spend*30)</f>
        <v>-6.5714536055375444E-2</v>
      </c>
      <c r="I4" s="179">
        <f>_xlfn.LET(_xlpm.end_date,MAX(Raw!$H$3:$H$9149),
_xlpm.start_date,_xlpm.end_date-30,
SUMIFS(Raw!$F$3:$F$9149,Raw!$H$3:$H$9149,"&gt;="&amp;_xlpm.start_date,Raw!$D$3:$D$9149,'Ref Data'!$B4)/30*7)</f>
        <v>0</v>
      </c>
      <c r="J4" s="179">
        <f>_xlfn.LET(_xlpm.end_date,MAX(Raw!$H$3:$H$9149),
_xlpm.start_date,EOMONTH(_xlpm.end_date,-12),
_xlpm.nbr_days,_xlpm.end_date-_xlpm.start_date,
_xlpm.ltm_spend,SUMIFS(Raw!$F$3:$F$9149,Raw!$H$3:$H$9149,"&gt;="&amp;_xlpm.start_date,Raw!$D$3:$D$9149,'Ref Data'!$B4),
_xlpm.one_day_spend,_xlpm.ltm_spend/_xlpm.nbr_days,
_xlpm.one_day_spend*7)</f>
        <v>-1.9390581717451525</v>
      </c>
      <c r="K4" s="179">
        <f>_xlfn.LET(_xlpm.total_spend,SUMIFS(Raw!$F$3:$F$9149,Raw!$D$3:$D$9149,'Ref Data'!$B4),
_xlpm.start_date,MIN(Raw!$H$3:$H$9149),
_xlpm.end_date,MAX(Raw!$H$3:$H$9149),
_xlpm.nbr_days,_xlpm.end_date-_xlpm.start_date,
_xlpm.one_day_spend,_xlpm.total_spend/_xlpm.nbr_days,
_xlpm.one_day_spend*7)</f>
        <v>-1.5333391746254272E-2</v>
      </c>
      <c r="L4" s="179">
        <f>_xlfn.LET(_xlpm.end_date,MAX(Raw!$H$3:$H$9149),
_xlpm.start_date,_xlpm.end_date-30,
SUMIFS(Raw!$F$3:$F$9149,Raw!$H$3:$H$9149,"&gt;="&amp;_xlpm.start_date,Raw!$D$3:$D$9149,'Ref Data'!$B4)/30)</f>
        <v>0</v>
      </c>
      <c r="M4" s="179">
        <f>_xlfn.LET(_xlpm.end_date,MAX(Raw!$H$3:$H$9149),
_xlpm.start_date,EOMONTH(_xlpm.end_date,-12),
_xlpm.nbr_days,_xlpm.end_date-_xlpm.start_date,
_xlpm.ltm_spend,SUMIFS(Raw!$F$3:$F$9149,Raw!$H$3:$H$9149,"&gt;="&amp;_xlpm.start_date,Raw!$D$3:$D$9149,'Ref Data'!$B4),
_xlpm.one_day_spend,_xlpm.ltm_spend/_xlpm.nbr_days,
_xlpm.one_day_spend)</f>
        <v>-0.2770083102493075</v>
      </c>
      <c r="N4" s="179">
        <f>_xlfn.LET(_xlpm.total_spend,SUMIFS(Raw!$F$3:$F$9149,Raw!$D$3:$D$9149,'Ref Data'!$B4),
_xlpm.start_date,MIN(Raw!$H$3:$H$9149),
_xlpm.end_date,MAX(Raw!$H$3:$H$9149),
_xlpm.nbr_days,_xlpm.end_date-_xlpm.start_date,
_xlpm.one_day_spend,_xlpm.total_spend/_xlpm.nbr_days,
_xlpm.one_day_spend)</f>
        <v>-2.1904845351791817E-3</v>
      </c>
    </row>
    <row r="5" spans="1:14" x14ac:dyDescent="0.2">
      <c r="A5" s="26" t="s">
        <v>317</v>
      </c>
      <c r="B5" t="s">
        <v>234</v>
      </c>
      <c r="C5" s="179">
        <f ca="1">_xlfn.LET(_xlpm.end_date,MAX(Raw!$H$3:$H$9149),
_xlpm.start_date,_xlpm.end_date-30,
_xlpm.NTM_day_count,EDATE(TODAY(),12)-TODAY(),
_xlpm.total_spend,SUMIFS(Raw!$F$3:$F$9149,Raw!$H$3:$H$9149,"&gt;="&amp;_xlpm.start_date,Raw!$D$3:$D$9149,'Ref Data'!$B5),
_xlpm.one_day_spend,_xlpm.total_spend/30,
_xlpm.one_day_spend*_xlpm.NTM_day_count)</f>
        <v>0</v>
      </c>
      <c r="D5" s="179">
        <f>_xlfn.LET(_xlpm.end_date,MAX(Raw!$H$3:$H$9149),
_xlpm.start_date,EOMONTH(_xlpm.end_date,-12),
_xlpm.nbr_days,_xlpm.end_date-_xlpm.start_date,
_xlpm.ltm_spend,SUMIFS(Raw!$F$3:$F$9149,Raw!$H$3:$H$9149,"&gt;="&amp;_xlpm.start_date,Raw!$D$3:$D$9149,'Ref Data'!$B5),
_xlpm.ltm_spend)</f>
        <v>-30</v>
      </c>
      <c r="E5" s="179">
        <f ca="1">_xlfn.LET(_xlpm.total_spend,SUMIFS(Raw!$F$3:$F$9149,Raw!$D$3:$D$9149,'Ref Data'!$B5),
_xlpm.start_date,MIN(Raw!$H$3:$H$9149),
_xlpm.end_date,MAX(Raw!$H$3:$H$9149),
_xlpm.nbr_days,_xlpm.end_date-_xlpm.start_date,
_xlpm.NTM_day_count,EDATE(TODAY(),12)-TODAY(),
_xlpm.one_day_spend,_xlpm.total_spend/_xlpm.nbr_days,
_xlpm.one_day_spend*_xlpm.NTM_day_count)</f>
        <v>-0.2398580566021204</v>
      </c>
      <c r="F5" s="179">
        <f>_xlfn.LET(_xlpm.end_date,MAX(Raw!$H$3:$H$9149),
_xlpm.start_date,_xlpm.end_date-30,
SUMIFS(Raw!$F$3:$F$9149,Raw!$H$3:$H$9149,"&gt;="&amp;_xlpm.start_date,Raw!$D$3:$D$9149,'Ref Data'!$B5))</f>
        <v>0</v>
      </c>
      <c r="G5" s="179">
        <f>_xlfn.LET(_xlpm.end_date,MAX(Raw!$H$3:$H$9149),
_xlpm.start_date,EOMONTH(_xlpm.end_date,-12),
_xlpm.nbr_days,_xlpm.end_date-_xlpm.start_date,
_xlpm.ltm_spend,SUMIFS(Raw!$F$3:$F$9149,Raw!$H$3:$H$9149,"&gt;="&amp;_xlpm.start_date,Raw!$D$3:$D$9149,'Ref Data'!$B5),
_xlpm.one_day_spend,_xlpm.ltm_spend/_xlpm.nbr_days,
_xlpm.one_day_spend*30)</f>
        <v>-2.493074792243767</v>
      </c>
      <c r="H5" s="179">
        <f>_xlfn.LET(_xlpm.total_spend,SUMIFS(Raw!$F$3:$F$9149,Raw!$D$3:$D$9149,'Ref Data'!$B5),
_xlpm.start_date,MIN(Raw!$H$3:$H$9149),
_xlpm.end_date,MAX(Raw!$H$3:$H$9149),
_xlpm.nbr_days,_xlpm.end_date-_xlpm.start_date,
_xlpm.one_day_spend,_xlpm.total_spend/_xlpm.nbr_days,
_xlpm.one_day_spend*30)</f>
        <v>-1.9714360816612635E-2</v>
      </c>
      <c r="I5" s="179">
        <f>_xlfn.LET(_xlpm.end_date,MAX(Raw!$H$3:$H$9149),
_xlpm.start_date,_xlpm.end_date-30,
SUMIFS(Raw!$F$3:$F$9149,Raw!$H$3:$H$9149,"&gt;="&amp;_xlpm.start_date,Raw!$D$3:$D$9149,'Ref Data'!$B5)/30*7)</f>
        <v>0</v>
      </c>
      <c r="J5" s="179">
        <f>_xlfn.LET(_xlpm.end_date,MAX(Raw!$H$3:$H$9149),
_xlpm.start_date,EOMONTH(_xlpm.end_date,-12),
_xlpm.nbr_days,_xlpm.end_date-_xlpm.start_date,
_xlpm.ltm_spend,SUMIFS(Raw!$F$3:$F$9149,Raw!$H$3:$H$9149,"&gt;="&amp;_xlpm.start_date,Raw!$D$3:$D$9149,'Ref Data'!$B5),
_xlpm.one_day_spend,_xlpm.ltm_spend/_xlpm.nbr_days,
_xlpm.one_day_spend*7)</f>
        <v>-0.5817174515235457</v>
      </c>
      <c r="K5" s="179">
        <f>_xlfn.LET(_xlpm.total_spend,SUMIFS(Raw!$F$3:$F$9149,Raw!$D$3:$D$9149,'Ref Data'!$B5),
_xlpm.start_date,MIN(Raw!$H$3:$H$9149),
_xlpm.end_date,MAX(Raw!$H$3:$H$9149),
_xlpm.nbr_days,_xlpm.end_date-_xlpm.start_date,
_xlpm.one_day_spend,_xlpm.total_spend/_xlpm.nbr_days,
_xlpm.one_day_spend*7)</f>
        <v>-4.6000175238762814E-3</v>
      </c>
      <c r="L5" s="179">
        <f>_xlfn.LET(_xlpm.end_date,MAX(Raw!$H$3:$H$9149),
_xlpm.start_date,_xlpm.end_date-30,
SUMIFS(Raw!$F$3:$F$9149,Raw!$H$3:$H$9149,"&gt;="&amp;_xlpm.start_date,Raw!$D$3:$D$9149,'Ref Data'!$B5)/30)</f>
        <v>0</v>
      </c>
      <c r="M5" s="179">
        <f>_xlfn.LET(_xlpm.end_date,MAX(Raw!$H$3:$H$9149),
_xlpm.start_date,EOMONTH(_xlpm.end_date,-12),
_xlpm.nbr_days,_xlpm.end_date-_xlpm.start_date,
_xlpm.ltm_spend,SUMIFS(Raw!$F$3:$F$9149,Raw!$H$3:$H$9149,"&gt;="&amp;_xlpm.start_date,Raw!$D$3:$D$9149,'Ref Data'!$B5),
_xlpm.one_day_spend,_xlpm.ltm_spend/_xlpm.nbr_days,
_xlpm.one_day_spend)</f>
        <v>-8.3102493074792241E-2</v>
      </c>
      <c r="N5" s="179">
        <f>_xlfn.LET(_xlpm.total_spend,SUMIFS(Raw!$F$3:$F$9149,Raw!$D$3:$D$9149,'Ref Data'!$B5),
_xlpm.start_date,MIN(Raw!$H$3:$H$9149),
_xlpm.end_date,MAX(Raw!$H$3:$H$9149),
_xlpm.nbr_days,_xlpm.end_date-_xlpm.start_date,
_xlpm.one_day_spend,_xlpm.total_spend/_xlpm.nbr_days,
_xlpm.one_day_spend)</f>
        <v>-6.5714536055375453E-4</v>
      </c>
    </row>
    <row r="6" spans="1:14" x14ac:dyDescent="0.2">
      <c r="A6" s="26" t="s">
        <v>2</v>
      </c>
      <c r="B6" t="s">
        <v>231</v>
      </c>
      <c r="C6" s="179">
        <f ca="1">_xlfn.LET(_xlpm.end_date,MAX(Raw!$H$3:$H$9149),
_xlpm.start_date,_xlpm.end_date-30,
_xlpm.NTM_day_count,EDATE(TODAY(),12)-TODAY(),
_xlpm.total_spend,SUMIFS(Raw!$F$3:$F$9149,Raw!$H$3:$H$9149,"&gt;="&amp;_xlpm.start_date,Raw!$D$3:$D$9149,'Ref Data'!$B6),
_xlpm.one_day_spend,_xlpm.total_spend/30,
_xlpm.one_day_spend*_xlpm.NTM_day_count)</f>
        <v>-243.33333333333331</v>
      </c>
      <c r="D6" s="179">
        <f>_xlfn.LET(_xlpm.end_date,MAX(Raw!$H$3:$H$9149),
_xlpm.start_date,EOMONTH(_xlpm.end_date,-12),
_xlpm.nbr_days,_xlpm.end_date-_xlpm.start_date,
_xlpm.ltm_spend,SUMIFS(Raw!$F$3:$F$9149,Raw!$H$3:$H$9149,"&gt;="&amp;_xlpm.start_date,Raw!$D$3:$D$9149,'Ref Data'!$B6),
_xlpm.ltm_spend)</f>
        <v>-20</v>
      </c>
      <c r="E6" s="179">
        <f ca="1">_xlfn.LET(_xlpm.total_spend,SUMIFS(Raw!$F$3:$F$9149,Raw!$D$3:$D$9149,'Ref Data'!$B6),
_xlpm.start_date,MIN(Raw!$H$3:$H$9149),
_xlpm.end_date,MAX(Raw!$H$3:$H$9149),
_xlpm.nbr_days,_xlpm.end_date-_xlpm.start_date,
_xlpm.NTM_day_count,EDATE(TODAY(),12)-TODAY(),
_xlpm.one_day_spend,_xlpm.total_spend/_xlpm.nbr_days,
_xlpm.one_day_spend*_xlpm.NTM_day_count)</f>
        <v>-0.15990537106808025</v>
      </c>
      <c r="F6" s="179">
        <f>_xlfn.LET(_xlpm.end_date,MAX(Raw!$H$3:$H$9149),
_xlpm.start_date,_xlpm.end_date-30,
SUMIFS(Raw!$F$3:$F$9149,Raw!$H$3:$H$9149,"&gt;="&amp;_xlpm.start_date,Raw!$D$3:$D$9149,'Ref Data'!$B6))</f>
        <v>-20</v>
      </c>
      <c r="G6" s="179">
        <f>_xlfn.LET(_xlpm.end_date,MAX(Raw!$H$3:$H$9149),
_xlpm.start_date,EOMONTH(_xlpm.end_date,-12),
_xlpm.nbr_days,_xlpm.end_date-_xlpm.start_date,
_xlpm.ltm_spend,SUMIFS(Raw!$F$3:$F$9149,Raw!$H$3:$H$9149,"&gt;="&amp;_xlpm.start_date,Raw!$D$3:$D$9149,'Ref Data'!$B6),
_xlpm.one_day_spend,_xlpm.ltm_spend/_xlpm.nbr_days,
_xlpm.one_day_spend*30)</f>
        <v>-1.6620498614958448</v>
      </c>
      <c r="H6" s="179">
        <f>_xlfn.LET(_xlpm.total_spend,SUMIFS(Raw!$F$3:$F$9149,Raw!$D$3:$D$9149,'Ref Data'!$B6),
_xlpm.start_date,MIN(Raw!$H$3:$H$9149),
_xlpm.end_date,MAX(Raw!$H$3:$H$9149),
_xlpm.nbr_days,_xlpm.end_date-_xlpm.start_date,
_xlpm.one_day_spend,_xlpm.total_spend/_xlpm.nbr_days,
_xlpm.one_day_spend*30)</f>
        <v>-1.314290721107509E-2</v>
      </c>
      <c r="I6" s="179">
        <f>_xlfn.LET(_xlpm.end_date,MAX(Raw!$H$3:$H$9149),
_xlpm.start_date,_xlpm.end_date-30,
SUMIFS(Raw!$F$3:$F$9149,Raw!$H$3:$H$9149,"&gt;="&amp;_xlpm.start_date,Raw!$D$3:$D$9149,'Ref Data'!$B6)/30*7)</f>
        <v>-4.6666666666666661</v>
      </c>
      <c r="J6" s="179">
        <f>_xlfn.LET(_xlpm.end_date,MAX(Raw!$H$3:$H$9149),
_xlpm.start_date,EOMONTH(_xlpm.end_date,-12),
_xlpm.nbr_days,_xlpm.end_date-_xlpm.start_date,
_xlpm.ltm_spend,SUMIFS(Raw!$F$3:$F$9149,Raw!$H$3:$H$9149,"&gt;="&amp;_xlpm.start_date,Raw!$D$3:$D$9149,'Ref Data'!$B6),
_xlpm.one_day_spend,_xlpm.ltm_spend/_xlpm.nbr_days,
_xlpm.one_day_spend*7)</f>
        <v>-0.38781163434903043</v>
      </c>
      <c r="K6" s="179">
        <f>_xlfn.LET(_xlpm.total_spend,SUMIFS(Raw!$F$3:$F$9149,Raw!$D$3:$D$9149,'Ref Data'!$B6),
_xlpm.start_date,MIN(Raw!$H$3:$H$9149),
_xlpm.end_date,MAX(Raw!$H$3:$H$9149),
_xlpm.nbr_days,_xlpm.end_date-_xlpm.start_date,
_xlpm.one_day_spend,_xlpm.total_spend/_xlpm.nbr_days,
_xlpm.one_day_spend*7)</f>
        <v>-3.0666783492508541E-3</v>
      </c>
      <c r="L6" s="179">
        <f>_xlfn.LET(_xlpm.end_date,MAX(Raw!$H$3:$H$9149),
_xlpm.start_date,_xlpm.end_date-30,
SUMIFS(Raw!$F$3:$F$9149,Raw!$H$3:$H$9149,"&gt;="&amp;_xlpm.start_date,Raw!$D$3:$D$9149,'Ref Data'!$B6)/30)</f>
        <v>-0.66666666666666663</v>
      </c>
      <c r="M6" s="179">
        <f>_xlfn.LET(_xlpm.end_date,MAX(Raw!$H$3:$H$9149),
_xlpm.start_date,EOMONTH(_xlpm.end_date,-12),
_xlpm.nbr_days,_xlpm.end_date-_xlpm.start_date,
_xlpm.ltm_spend,SUMIFS(Raw!$F$3:$F$9149,Raw!$H$3:$H$9149,"&gt;="&amp;_xlpm.start_date,Raw!$D$3:$D$9149,'Ref Data'!$B6),
_xlpm.one_day_spend,_xlpm.ltm_spend/_xlpm.nbr_days,
_xlpm.one_day_spend)</f>
        <v>-5.5401662049861494E-2</v>
      </c>
      <c r="N6" s="179">
        <f>_xlfn.LET(_xlpm.total_spend,SUMIFS(Raw!$F$3:$F$9149,Raw!$D$3:$D$9149,'Ref Data'!$B6),
_xlpm.start_date,MIN(Raw!$H$3:$H$9149),
_xlpm.end_date,MAX(Raw!$H$3:$H$9149),
_xlpm.nbr_days,_xlpm.end_date-_xlpm.start_date,
_xlpm.one_day_spend,_xlpm.total_spend/_xlpm.nbr_days,
_xlpm.one_day_spend)</f>
        <v>-4.3809690703583632E-4</v>
      </c>
    </row>
    <row r="7" spans="1:14" x14ac:dyDescent="0.2">
      <c r="A7" t="s">
        <v>1</v>
      </c>
      <c r="B7" t="s">
        <v>1</v>
      </c>
      <c r="C7" s="179">
        <f ca="1">_xlfn.LET(_xlpm.end_date,MAX(Raw!$H$3:$H$9149),
_xlpm.start_date,_xlpm.end_date-30,
_xlpm.NTM_day_count,EDATE(TODAY(),12)-TODAY(),
_xlpm.total_spend,SUMIFS(Raw!$F$3:$F$9149,Raw!$H$3:$H$9149,"&gt;="&amp;_xlpm.start_date,Raw!$D$3:$D$9149,'Ref Data'!$B7),
_xlpm.one_day_spend,_xlpm.total_spend/30,
_xlpm.one_day_spend*_xlpm.NTM_day_count)</f>
        <v>0</v>
      </c>
      <c r="D7" s="179">
        <f>_xlfn.LET(_xlpm.end_date,MAX(Raw!$H$3:$H$9149),
_xlpm.start_date,EOMONTH(_xlpm.end_date,-12),
_xlpm.nbr_days,_xlpm.end_date-_xlpm.start_date,
_xlpm.ltm_spend,SUMIFS(Raw!$F$3:$F$9149,Raw!$H$3:$H$9149,"&gt;="&amp;_xlpm.start_date,Raw!$D$3:$D$9149,'Ref Data'!$B7),
_xlpm.ltm_spend)</f>
        <v>-160</v>
      </c>
      <c r="E7" s="179">
        <f ca="1">_xlfn.LET(_xlpm.total_spend,SUMIFS(Raw!$F$3:$F$9149,Raw!$D$3:$D$9149,'Ref Data'!$B7),
_xlpm.start_date,MIN(Raw!$H$3:$H$9149),
_xlpm.end_date,MAX(Raw!$H$3:$H$9149),
_xlpm.nbr_days,_xlpm.end_date-_xlpm.start_date,
_xlpm.NTM_day_count,EDATE(TODAY(),12)-TODAY(),
_xlpm.one_day_spend,_xlpm.total_spend/_xlpm.nbr_days,
_xlpm.one_day_spend*_xlpm.NTM_day_count)</f>
        <v>-1.279242968544642</v>
      </c>
      <c r="F7" s="179">
        <f>_xlfn.LET(_xlpm.end_date,MAX(Raw!$H$3:$H$9149),
_xlpm.start_date,_xlpm.end_date-30,
SUMIFS(Raw!$F$3:$F$9149,Raw!$H$3:$H$9149,"&gt;="&amp;_xlpm.start_date,Raw!$D$3:$D$9149,'Ref Data'!$B7))</f>
        <v>0</v>
      </c>
      <c r="G7" s="179">
        <f>_xlfn.LET(_xlpm.end_date,MAX(Raw!$H$3:$H$9149),
_xlpm.start_date,EOMONTH(_xlpm.end_date,-12),
_xlpm.nbr_days,_xlpm.end_date-_xlpm.start_date,
_xlpm.ltm_spend,SUMIFS(Raw!$F$3:$F$9149,Raw!$H$3:$H$9149,"&gt;="&amp;_xlpm.start_date,Raw!$D$3:$D$9149,'Ref Data'!$B7),
_xlpm.one_day_spend,_xlpm.ltm_spend/_xlpm.nbr_days,
_xlpm.one_day_spend*30)</f>
        <v>-13.296398891966758</v>
      </c>
      <c r="H7" s="179">
        <f>_xlfn.LET(_xlpm.total_spend,SUMIFS(Raw!$F$3:$F$9149,Raw!$D$3:$D$9149,'Ref Data'!$B7),
_xlpm.start_date,MIN(Raw!$H$3:$H$9149),
_xlpm.end_date,MAX(Raw!$H$3:$H$9149),
_xlpm.nbr_days,_xlpm.end_date-_xlpm.start_date,
_xlpm.one_day_spend,_xlpm.total_spend/_xlpm.nbr_days,
_xlpm.one_day_spend*30)</f>
        <v>-0.10514325768860072</v>
      </c>
      <c r="I7" s="179">
        <f>_xlfn.LET(_xlpm.end_date,MAX(Raw!$H$3:$H$9149),
_xlpm.start_date,_xlpm.end_date-30,
SUMIFS(Raw!$F$3:$F$9149,Raw!$H$3:$H$9149,"&gt;="&amp;_xlpm.start_date,Raw!$D$3:$D$9149,'Ref Data'!$B7)/30*7)</f>
        <v>0</v>
      </c>
      <c r="J7" s="179">
        <f>_xlfn.LET(_xlpm.end_date,MAX(Raw!$H$3:$H$9149),
_xlpm.start_date,EOMONTH(_xlpm.end_date,-12),
_xlpm.nbr_days,_xlpm.end_date-_xlpm.start_date,
_xlpm.ltm_spend,SUMIFS(Raw!$F$3:$F$9149,Raw!$H$3:$H$9149,"&gt;="&amp;_xlpm.start_date,Raw!$D$3:$D$9149,'Ref Data'!$B7),
_xlpm.one_day_spend,_xlpm.ltm_spend/_xlpm.nbr_days,
_xlpm.one_day_spend*7)</f>
        <v>-3.1024930747922435</v>
      </c>
      <c r="K7" s="179">
        <f>_xlfn.LET(_xlpm.total_spend,SUMIFS(Raw!$F$3:$F$9149,Raw!$D$3:$D$9149,'Ref Data'!$B7),
_xlpm.start_date,MIN(Raw!$H$3:$H$9149),
_xlpm.end_date,MAX(Raw!$H$3:$H$9149),
_xlpm.nbr_days,_xlpm.end_date-_xlpm.start_date,
_xlpm.one_day_spend,_xlpm.total_spend/_xlpm.nbr_days,
_xlpm.one_day_spend*7)</f>
        <v>-2.4533426794006833E-2</v>
      </c>
      <c r="L7" s="179">
        <f>_xlfn.LET(_xlpm.end_date,MAX(Raw!$H$3:$H$9149),
_xlpm.start_date,_xlpm.end_date-30,
SUMIFS(Raw!$F$3:$F$9149,Raw!$H$3:$H$9149,"&gt;="&amp;_xlpm.start_date,Raw!$D$3:$D$9149,'Ref Data'!$B7)/30)</f>
        <v>0</v>
      </c>
      <c r="M7" s="179">
        <f>_xlfn.LET(_xlpm.end_date,MAX(Raw!$H$3:$H$9149),
_xlpm.start_date,EOMONTH(_xlpm.end_date,-12),
_xlpm.nbr_days,_xlpm.end_date-_xlpm.start_date,
_xlpm.ltm_spend,SUMIFS(Raw!$F$3:$F$9149,Raw!$H$3:$H$9149,"&gt;="&amp;_xlpm.start_date,Raw!$D$3:$D$9149,'Ref Data'!$B7),
_xlpm.one_day_spend,_xlpm.ltm_spend/_xlpm.nbr_days,
_xlpm.one_day_spend)</f>
        <v>-0.44321329639889195</v>
      </c>
      <c r="N7" s="179">
        <f>_xlfn.LET(_xlpm.total_spend,SUMIFS(Raw!$F$3:$F$9149,Raw!$D$3:$D$9149,'Ref Data'!$B7),
_xlpm.start_date,MIN(Raw!$H$3:$H$9149),
_xlpm.end_date,MAX(Raw!$H$3:$H$9149),
_xlpm.nbr_days,_xlpm.end_date-_xlpm.start_date,
_xlpm.one_day_spend,_xlpm.total_spend/_xlpm.nbr_days,
_xlpm.one_day_spend)</f>
        <v>-3.5047752562866906E-3</v>
      </c>
    </row>
    <row r="8" spans="1:14" x14ac:dyDescent="0.2">
      <c r="A8" s="26" t="s">
        <v>319</v>
      </c>
      <c r="B8" t="s">
        <v>242</v>
      </c>
      <c r="C8" s="179">
        <f ca="1">_xlfn.LET(_xlpm.end_date,MAX(Raw!$H$3:$H$9149),
_xlpm.start_date,_xlpm.end_date-30,
_xlpm.NTM_day_count,EDATE(TODAY(),12)-TODAY(),
_xlpm.total_spend,SUMIFS(Raw!$F$3:$F$9149,Raw!$H$3:$H$9149,"&gt;="&amp;_xlpm.start_date,Raw!$D$3:$D$9149,'Ref Data'!$B8),
_xlpm.one_day_spend,_xlpm.total_spend/30,
_xlpm.one_day_spend*_xlpm.NTM_day_count)</f>
        <v>-2433.3333333333335</v>
      </c>
      <c r="D8" s="179">
        <f>_xlfn.LET(_xlpm.end_date,MAX(Raw!$H$3:$H$9149),
_xlpm.start_date,EOMONTH(_xlpm.end_date,-12),
_xlpm.nbr_days,_xlpm.end_date-_xlpm.start_date,
_xlpm.ltm_spend,SUMIFS(Raw!$F$3:$F$9149,Raw!$H$3:$H$9149,"&gt;="&amp;_xlpm.start_date,Raw!$D$3:$D$9149,'Ref Data'!$B8),
_xlpm.ltm_spend)</f>
        <v>-265</v>
      </c>
      <c r="E8" s="179">
        <f ca="1">_xlfn.LET(_xlpm.total_spend,SUMIFS(Raw!$F$3:$F$9149,Raw!$D$3:$D$9149,'Ref Data'!$B8),
_xlpm.start_date,MIN(Raw!$H$3:$H$9149),
_xlpm.end_date,MAX(Raw!$H$3:$H$9149),
_xlpm.nbr_days,_xlpm.end_date-_xlpm.start_date,
_xlpm.NTM_day_count,EDATE(TODAY(),12)-TODAY(),
_xlpm.one_day_spend,_xlpm.total_spend/_xlpm.nbr_days,
_xlpm.one_day_spend*_xlpm.NTM_day_count)</f>
        <v>-2.1187461666520635</v>
      </c>
      <c r="F8" s="179">
        <f>_xlfn.LET(_xlpm.end_date,MAX(Raw!$H$3:$H$9149),
_xlpm.start_date,_xlpm.end_date-30,
SUMIFS(Raw!$F$3:$F$9149,Raw!$H$3:$H$9149,"&gt;="&amp;_xlpm.start_date,Raw!$D$3:$D$9149,'Ref Data'!$B8))</f>
        <v>-200</v>
      </c>
      <c r="G8" s="179">
        <f>_xlfn.LET(_xlpm.end_date,MAX(Raw!$H$3:$H$9149),
_xlpm.start_date,EOMONTH(_xlpm.end_date,-12),
_xlpm.nbr_days,_xlpm.end_date-_xlpm.start_date,
_xlpm.ltm_spend,SUMIFS(Raw!$F$3:$F$9149,Raw!$H$3:$H$9149,"&gt;="&amp;_xlpm.start_date,Raw!$D$3:$D$9149,'Ref Data'!$B8),
_xlpm.one_day_spend,_xlpm.ltm_spend/_xlpm.nbr_days,
_xlpm.one_day_spend*30)</f>
        <v>-22.022160664819943</v>
      </c>
      <c r="H8" s="179">
        <f>_xlfn.LET(_xlpm.total_spend,SUMIFS(Raw!$F$3:$F$9149,Raw!$D$3:$D$9149,'Ref Data'!$B8),
_xlpm.start_date,MIN(Raw!$H$3:$H$9149),
_xlpm.end_date,MAX(Raw!$H$3:$H$9149),
_xlpm.nbr_days,_xlpm.end_date-_xlpm.start_date,
_xlpm.one_day_spend,_xlpm.total_spend/_xlpm.nbr_days,
_xlpm.one_day_spend*30)</f>
        <v>-0.17414352054674495</v>
      </c>
      <c r="I8" s="179">
        <f>_xlfn.LET(_xlpm.end_date,MAX(Raw!$H$3:$H$9149),
_xlpm.start_date,_xlpm.end_date-30,
SUMIFS(Raw!$F$3:$F$9149,Raw!$H$3:$H$9149,"&gt;="&amp;_xlpm.start_date,Raw!$D$3:$D$9149,'Ref Data'!$B8)/30*7)</f>
        <v>-46.666666666666671</v>
      </c>
      <c r="J8" s="179">
        <f>_xlfn.LET(_xlpm.end_date,MAX(Raw!$H$3:$H$9149),
_xlpm.start_date,EOMONTH(_xlpm.end_date,-12),
_xlpm.nbr_days,_xlpm.end_date-_xlpm.start_date,
_xlpm.ltm_spend,SUMIFS(Raw!$F$3:$F$9149,Raw!$H$3:$H$9149,"&gt;="&amp;_xlpm.start_date,Raw!$D$3:$D$9149,'Ref Data'!$B8),
_xlpm.one_day_spend,_xlpm.ltm_spend/_xlpm.nbr_days,
_xlpm.one_day_spend*7)</f>
        <v>-5.1385041551246537</v>
      </c>
      <c r="K8" s="179">
        <f>_xlfn.LET(_xlpm.total_spend,SUMIFS(Raw!$F$3:$F$9149,Raw!$D$3:$D$9149,'Ref Data'!$B8),
_xlpm.start_date,MIN(Raw!$H$3:$H$9149),
_xlpm.end_date,MAX(Raw!$H$3:$H$9149),
_xlpm.nbr_days,_xlpm.end_date-_xlpm.start_date,
_xlpm.one_day_spend,_xlpm.total_spend/_xlpm.nbr_days,
_xlpm.one_day_spend*7)</f>
        <v>-4.0633488127573822E-2</v>
      </c>
      <c r="L8" s="179">
        <f>_xlfn.LET(_xlpm.end_date,MAX(Raw!$H$3:$H$9149),
_xlpm.start_date,_xlpm.end_date-30,
SUMIFS(Raw!$F$3:$F$9149,Raw!$H$3:$H$9149,"&gt;="&amp;_xlpm.start_date,Raw!$D$3:$D$9149,'Ref Data'!$B8)/30)</f>
        <v>-6.666666666666667</v>
      </c>
      <c r="M8" s="179">
        <f>_xlfn.LET(_xlpm.end_date,MAX(Raw!$H$3:$H$9149),
_xlpm.start_date,EOMONTH(_xlpm.end_date,-12),
_xlpm.nbr_days,_xlpm.end_date-_xlpm.start_date,
_xlpm.ltm_spend,SUMIFS(Raw!$F$3:$F$9149,Raw!$H$3:$H$9149,"&gt;="&amp;_xlpm.start_date,Raw!$D$3:$D$9149,'Ref Data'!$B8),
_xlpm.one_day_spend,_xlpm.ltm_spend/_xlpm.nbr_days,
_xlpm.one_day_spend)</f>
        <v>-0.73407202216066481</v>
      </c>
      <c r="N8" s="179">
        <f>_xlfn.LET(_xlpm.total_spend,SUMIFS(Raw!$F$3:$F$9149,Raw!$D$3:$D$9149,'Ref Data'!$B8),
_xlpm.start_date,MIN(Raw!$H$3:$H$9149),
_xlpm.end_date,MAX(Raw!$H$3:$H$9149),
_xlpm.nbr_days,_xlpm.end_date-_xlpm.start_date,
_xlpm.one_day_spend,_xlpm.total_spend/_xlpm.nbr_days,
_xlpm.one_day_spend)</f>
        <v>-5.8047840182248317E-3</v>
      </c>
    </row>
    <row r="9" spans="1:14" x14ac:dyDescent="0.2">
      <c r="A9" s="26" t="s">
        <v>319</v>
      </c>
      <c r="B9" t="s">
        <v>273</v>
      </c>
      <c r="C9" s="179">
        <f ca="1">_xlfn.LET(_xlpm.end_date,MAX(Raw!$H$3:$H$9149),
_xlpm.start_date,_xlpm.end_date-30,
_xlpm.NTM_day_count,EDATE(TODAY(),12)-TODAY(),
_xlpm.total_spend,SUMIFS(Raw!$F$3:$F$9149,Raw!$H$3:$H$9149,"&gt;="&amp;_xlpm.start_date,Raw!$D$3:$D$9149,'Ref Data'!$B9),
_xlpm.one_day_spend,_xlpm.total_spend/30,
_xlpm.one_day_spend*_xlpm.NTM_day_count)</f>
        <v>0</v>
      </c>
      <c r="D9" s="179">
        <f>_xlfn.LET(_xlpm.end_date,MAX(Raw!$H$3:$H$9149),
_xlpm.start_date,EOMONTH(_xlpm.end_date,-12),
_xlpm.nbr_days,_xlpm.end_date-_xlpm.start_date,
_xlpm.ltm_spend,SUMIFS(Raw!$F$3:$F$9149,Raw!$H$3:$H$9149,"&gt;="&amp;_xlpm.start_date,Raw!$D$3:$D$9149,'Ref Data'!$B9),
_xlpm.ltm_spend)</f>
        <v>-30</v>
      </c>
      <c r="E9" s="179">
        <f ca="1">_xlfn.LET(_xlpm.total_spend,SUMIFS(Raw!$F$3:$F$9149,Raw!$D$3:$D$9149,'Ref Data'!$B9),
_xlpm.start_date,MIN(Raw!$H$3:$H$9149),
_xlpm.end_date,MAX(Raw!$H$3:$H$9149),
_xlpm.nbr_days,_xlpm.end_date-_xlpm.start_date,
_xlpm.NTM_day_count,EDATE(TODAY(),12)-TODAY(),
_xlpm.one_day_spend,_xlpm.total_spend/_xlpm.nbr_days,
_xlpm.one_day_spend*_xlpm.NTM_day_count)</f>
        <v>-0.2398580566021204</v>
      </c>
      <c r="F9" s="179">
        <f>_xlfn.LET(_xlpm.end_date,MAX(Raw!$H$3:$H$9149),
_xlpm.start_date,_xlpm.end_date-30,
SUMIFS(Raw!$F$3:$F$9149,Raw!$H$3:$H$9149,"&gt;="&amp;_xlpm.start_date,Raw!$D$3:$D$9149,'Ref Data'!$B9))</f>
        <v>0</v>
      </c>
      <c r="G9" s="179">
        <f>_xlfn.LET(_xlpm.end_date,MAX(Raw!$H$3:$H$9149),
_xlpm.start_date,EOMONTH(_xlpm.end_date,-12),
_xlpm.nbr_days,_xlpm.end_date-_xlpm.start_date,
_xlpm.ltm_spend,SUMIFS(Raw!$F$3:$F$9149,Raw!$H$3:$H$9149,"&gt;="&amp;_xlpm.start_date,Raw!$D$3:$D$9149,'Ref Data'!$B9),
_xlpm.one_day_spend,_xlpm.ltm_spend/_xlpm.nbr_days,
_xlpm.one_day_spend*30)</f>
        <v>-2.493074792243767</v>
      </c>
      <c r="H9" s="179">
        <f>_xlfn.LET(_xlpm.total_spend,SUMIFS(Raw!$F$3:$F$9149,Raw!$D$3:$D$9149,'Ref Data'!$B9),
_xlpm.start_date,MIN(Raw!$H$3:$H$9149),
_xlpm.end_date,MAX(Raw!$H$3:$H$9149),
_xlpm.nbr_days,_xlpm.end_date-_xlpm.start_date,
_xlpm.one_day_spend,_xlpm.total_spend/_xlpm.nbr_days,
_xlpm.one_day_spend*30)</f>
        <v>-1.9714360816612635E-2</v>
      </c>
      <c r="I9" s="179">
        <f>_xlfn.LET(_xlpm.end_date,MAX(Raw!$H$3:$H$9149),
_xlpm.start_date,_xlpm.end_date-30,
SUMIFS(Raw!$F$3:$F$9149,Raw!$H$3:$H$9149,"&gt;="&amp;_xlpm.start_date,Raw!$D$3:$D$9149,'Ref Data'!$B9)/30*7)</f>
        <v>0</v>
      </c>
      <c r="J9" s="179">
        <f>_xlfn.LET(_xlpm.end_date,MAX(Raw!$H$3:$H$9149),
_xlpm.start_date,EOMONTH(_xlpm.end_date,-12),
_xlpm.nbr_days,_xlpm.end_date-_xlpm.start_date,
_xlpm.ltm_spend,SUMIFS(Raw!$F$3:$F$9149,Raw!$H$3:$H$9149,"&gt;="&amp;_xlpm.start_date,Raw!$D$3:$D$9149,'Ref Data'!$B9),
_xlpm.one_day_spend,_xlpm.ltm_spend/_xlpm.nbr_days,
_xlpm.one_day_spend*7)</f>
        <v>-0.5817174515235457</v>
      </c>
      <c r="K9" s="179">
        <f>_xlfn.LET(_xlpm.total_spend,SUMIFS(Raw!$F$3:$F$9149,Raw!$D$3:$D$9149,'Ref Data'!$B9),
_xlpm.start_date,MIN(Raw!$H$3:$H$9149),
_xlpm.end_date,MAX(Raw!$H$3:$H$9149),
_xlpm.nbr_days,_xlpm.end_date-_xlpm.start_date,
_xlpm.one_day_spend,_xlpm.total_spend/_xlpm.nbr_days,
_xlpm.one_day_spend*7)</f>
        <v>-4.6000175238762814E-3</v>
      </c>
      <c r="L9" s="179">
        <f>_xlfn.LET(_xlpm.end_date,MAX(Raw!$H$3:$H$9149),
_xlpm.start_date,_xlpm.end_date-30,
SUMIFS(Raw!$F$3:$F$9149,Raw!$H$3:$H$9149,"&gt;="&amp;_xlpm.start_date,Raw!$D$3:$D$9149,'Ref Data'!$B9)/30)</f>
        <v>0</v>
      </c>
      <c r="M9" s="179">
        <f>_xlfn.LET(_xlpm.end_date,MAX(Raw!$H$3:$H$9149),
_xlpm.start_date,EOMONTH(_xlpm.end_date,-12),
_xlpm.nbr_days,_xlpm.end_date-_xlpm.start_date,
_xlpm.ltm_spend,SUMIFS(Raw!$F$3:$F$9149,Raw!$H$3:$H$9149,"&gt;="&amp;_xlpm.start_date,Raw!$D$3:$D$9149,'Ref Data'!$B9),
_xlpm.one_day_spend,_xlpm.ltm_spend/_xlpm.nbr_days,
_xlpm.one_day_spend)</f>
        <v>-8.3102493074792241E-2</v>
      </c>
      <c r="N9" s="179">
        <f>_xlfn.LET(_xlpm.total_spend,SUMIFS(Raw!$F$3:$F$9149,Raw!$D$3:$D$9149,'Ref Data'!$B9),
_xlpm.start_date,MIN(Raw!$H$3:$H$9149),
_xlpm.end_date,MAX(Raw!$H$3:$H$9149),
_xlpm.nbr_days,_xlpm.end_date-_xlpm.start_date,
_xlpm.one_day_spend,_xlpm.total_spend/_xlpm.nbr_days,
_xlpm.one_day_spend)</f>
        <v>-6.5714536055375453E-4</v>
      </c>
    </row>
    <row r="10" spans="1:14" x14ac:dyDescent="0.2">
      <c r="A10" s="26" t="s">
        <v>319</v>
      </c>
      <c r="B10" t="s">
        <v>287</v>
      </c>
      <c r="C10" s="179">
        <f ca="1">_xlfn.LET(_xlpm.end_date,MAX(Raw!$H$3:$H$9149),
_xlpm.start_date,_xlpm.end_date-30,
_xlpm.NTM_day_count,EDATE(TODAY(),12)-TODAY(),
_xlpm.total_spend,SUMIFS(Raw!$F$3:$F$9149,Raw!$H$3:$H$9149,"&gt;="&amp;_xlpm.start_date,Raw!$D$3:$D$9149,'Ref Data'!$B10),
_xlpm.one_day_spend,_xlpm.total_spend/30,
_xlpm.one_day_spend*_xlpm.NTM_day_count)</f>
        <v>0</v>
      </c>
      <c r="D10" s="179">
        <f>_xlfn.LET(_xlpm.end_date,MAX(Raw!$H$3:$H$9149),
_xlpm.start_date,EOMONTH(_xlpm.end_date,-12),
_xlpm.nbr_days,_xlpm.end_date-_xlpm.start_date,
_xlpm.ltm_spend,SUMIFS(Raw!$F$3:$F$9149,Raw!$H$3:$H$9149,"&gt;="&amp;_xlpm.start_date,Raw!$D$3:$D$9149,'Ref Data'!$B10),
_xlpm.ltm_spend)</f>
        <v>-200</v>
      </c>
      <c r="E10" s="179">
        <f ca="1">_xlfn.LET(_xlpm.total_spend,SUMIFS(Raw!$F$3:$F$9149,Raw!$D$3:$D$9149,'Ref Data'!$B10),
_xlpm.start_date,MIN(Raw!$H$3:$H$9149),
_xlpm.end_date,MAX(Raw!$H$3:$H$9149),
_xlpm.nbr_days,_xlpm.end_date-_xlpm.start_date,
_xlpm.NTM_day_count,EDATE(TODAY(),12)-TODAY(),
_xlpm.one_day_spend,_xlpm.total_spend/_xlpm.nbr_days,
_xlpm.one_day_spend*_xlpm.NTM_day_count)</f>
        <v>-1.5990537106808027</v>
      </c>
      <c r="F10" s="179">
        <f>_xlfn.LET(_xlpm.end_date,MAX(Raw!$H$3:$H$9149),
_xlpm.start_date,_xlpm.end_date-30,
SUMIFS(Raw!$F$3:$F$9149,Raw!$H$3:$H$9149,"&gt;="&amp;_xlpm.start_date,Raw!$D$3:$D$9149,'Ref Data'!$B10))</f>
        <v>0</v>
      </c>
      <c r="G10" s="179">
        <f>_xlfn.LET(_xlpm.end_date,MAX(Raw!$H$3:$H$9149),
_xlpm.start_date,EOMONTH(_xlpm.end_date,-12),
_xlpm.nbr_days,_xlpm.end_date-_xlpm.start_date,
_xlpm.ltm_spend,SUMIFS(Raw!$F$3:$F$9149,Raw!$H$3:$H$9149,"&gt;="&amp;_xlpm.start_date,Raw!$D$3:$D$9149,'Ref Data'!$B10),
_xlpm.one_day_spend,_xlpm.ltm_spend/_xlpm.nbr_days,
_xlpm.one_day_spend*30)</f>
        <v>-16.62049861495845</v>
      </c>
      <c r="H10" s="179">
        <f>_xlfn.LET(_xlpm.total_spend,SUMIFS(Raw!$F$3:$F$9149,Raw!$D$3:$D$9149,'Ref Data'!$B10),
_xlpm.start_date,MIN(Raw!$H$3:$H$9149),
_xlpm.end_date,MAX(Raw!$H$3:$H$9149),
_xlpm.nbr_days,_xlpm.end_date-_xlpm.start_date,
_xlpm.one_day_spend,_xlpm.total_spend/_xlpm.nbr_days,
_xlpm.one_day_spend*30)</f>
        <v>-0.13142907211075089</v>
      </c>
      <c r="I10" s="179">
        <f>_xlfn.LET(_xlpm.end_date,MAX(Raw!$H$3:$H$9149),
_xlpm.start_date,_xlpm.end_date-30,
SUMIFS(Raw!$F$3:$F$9149,Raw!$H$3:$H$9149,"&gt;="&amp;_xlpm.start_date,Raw!$D$3:$D$9149,'Ref Data'!$B10)/30*7)</f>
        <v>0</v>
      </c>
      <c r="J10" s="179">
        <f>_xlfn.LET(_xlpm.end_date,MAX(Raw!$H$3:$H$9149),
_xlpm.start_date,EOMONTH(_xlpm.end_date,-12),
_xlpm.nbr_days,_xlpm.end_date-_xlpm.start_date,
_xlpm.ltm_spend,SUMIFS(Raw!$F$3:$F$9149,Raw!$H$3:$H$9149,"&gt;="&amp;_xlpm.start_date,Raw!$D$3:$D$9149,'Ref Data'!$B10),
_xlpm.one_day_spend,_xlpm.ltm_spend/_xlpm.nbr_days,
_xlpm.one_day_spend*7)</f>
        <v>-3.878116343490305</v>
      </c>
      <c r="K10" s="179">
        <f>_xlfn.LET(_xlpm.total_spend,SUMIFS(Raw!$F$3:$F$9149,Raw!$D$3:$D$9149,'Ref Data'!$B10),
_xlpm.start_date,MIN(Raw!$H$3:$H$9149),
_xlpm.end_date,MAX(Raw!$H$3:$H$9149),
_xlpm.nbr_days,_xlpm.end_date-_xlpm.start_date,
_xlpm.one_day_spend,_xlpm.total_spend/_xlpm.nbr_days,
_xlpm.one_day_spend*7)</f>
        <v>-3.0666783492508544E-2</v>
      </c>
      <c r="L10" s="179">
        <f>_xlfn.LET(_xlpm.end_date,MAX(Raw!$H$3:$H$9149),
_xlpm.start_date,_xlpm.end_date-30,
SUMIFS(Raw!$F$3:$F$9149,Raw!$H$3:$H$9149,"&gt;="&amp;_xlpm.start_date,Raw!$D$3:$D$9149,'Ref Data'!$B10)/30)</f>
        <v>0</v>
      </c>
      <c r="M10" s="179">
        <f>_xlfn.LET(_xlpm.end_date,MAX(Raw!$H$3:$H$9149),
_xlpm.start_date,EOMONTH(_xlpm.end_date,-12),
_xlpm.nbr_days,_xlpm.end_date-_xlpm.start_date,
_xlpm.ltm_spend,SUMIFS(Raw!$F$3:$F$9149,Raw!$H$3:$H$9149,"&gt;="&amp;_xlpm.start_date,Raw!$D$3:$D$9149,'Ref Data'!$B10),
_xlpm.one_day_spend,_xlpm.ltm_spend/_xlpm.nbr_days,
_xlpm.one_day_spend)</f>
        <v>-0.554016620498615</v>
      </c>
      <c r="N10" s="179">
        <f>_xlfn.LET(_xlpm.total_spend,SUMIFS(Raw!$F$3:$F$9149,Raw!$D$3:$D$9149,'Ref Data'!$B10),
_xlpm.start_date,MIN(Raw!$H$3:$H$9149),
_xlpm.end_date,MAX(Raw!$H$3:$H$9149),
_xlpm.nbr_days,_xlpm.end_date-_xlpm.start_date,
_xlpm.one_day_spend,_xlpm.total_spend/_xlpm.nbr_days,
_xlpm.one_day_spend)</f>
        <v>-4.3809690703583634E-3</v>
      </c>
    </row>
    <row r="11" spans="1:14" x14ac:dyDescent="0.2">
      <c r="A11" s="26" t="s">
        <v>28</v>
      </c>
      <c r="B11" t="s">
        <v>253</v>
      </c>
      <c r="C11" s="179">
        <f ca="1">_xlfn.LET(_xlpm.end_date,MAX(Raw!$H$3:$H$9149),
_xlpm.start_date,_xlpm.end_date-30,
_xlpm.NTM_day_count,EDATE(TODAY(),12)-TODAY(),
_xlpm.total_spend,SUMIFS(Raw!$F$3:$F$9149,Raw!$H$3:$H$9149,"&gt;="&amp;_xlpm.start_date,Raw!$D$3:$D$9149,'Ref Data'!$B11),
_xlpm.one_day_spend,_xlpm.total_spend/30,
_xlpm.one_day_spend*_xlpm.NTM_day_count)</f>
        <v>0</v>
      </c>
      <c r="D11" s="179">
        <f>_xlfn.LET(_xlpm.end_date,MAX(Raw!$H$3:$H$9149),
_xlpm.start_date,EOMONTH(_xlpm.end_date,-12),
_xlpm.nbr_days,_xlpm.end_date-_xlpm.start_date,
_xlpm.ltm_spend,SUMIFS(Raw!$F$3:$F$9149,Raw!$H$3:$H$9149,"&gt;="&amp;_xlpm.start_date,Raw!$D$3:$D$9149,'Ref Data'!$B11),
_xlpm.ltm_spend)</f>
        <v>-205</v>
      </c>
      <c r="E11" s="179">
        <f ca="1">_xlfn.LET(_xlpm.total_spend,SUMIFS(Raw!$F$3:$F$9149,Raw!$D$3:$D$9149,'Ref Data'!$B11),
_xlpm.start_date,MIN(Raw!$H$3:$H$9149),
_xlpm.end_date,MAX(Raw!$H$3:$H$9149),
_xlpm.nbr_days,_xlpm.end_date-_xlpm.start_date,
_xlpm.NTM_day_count,EDATE(TODAY(),12)-TODAY(),
_xlpm.one_day_spend,_xlpm.total_spend/_xlpm.nbr_days,
_xlpm.one_day_spend*_xlpm.NTM_day_count)</f>
        <v>-1.6390300534478226</v>
      </c>
      <c r="F11" s="179">
        <f>_xlfn.LET(_xlpm.end_date,MAX(Raw!$H$3:$H$9149),
_xlpm.start_date,_xlpm.end_date-30,
SUMIFS(Raw!$F$3:$F$9149,Raw!$H$3:$H$9149,"&gt;="&amp;_xlpm.start_date,Raw!$D$3:$D$9149,'Ref Data'!$B11))</f>
        <v>0</v>
      </c>
      <c r="G11" s="179">
        <f>_xlfn.LET(_xlpm.end_date,MAX(Raw!$H$3:$H$9149),
_xlpm.start_date,EOMONTH(_xlpm.end_date,-12),
_xlpm.nbr_days,_xlpm.end_date-_xlpm.start_date,
_xlpm.ltm_spend,SUMIFS(Raw!$F$3:$F$9149,Raw!$H$3:$H$9149,"&gt;="&amp;_xlpm.start_date,Raw!$D$3:$D$9149,'Ref Data'!$B11),
_xlpm.one_day_spend,_xlpm.ltm_spend/_xlpm.nbr_days,
_xlpm.one_day_spend*30)</f>
        <v>-17.036011080332411</v>
      </c>
      <c r="H11" s="179">
        <f>_xlfn.LET(_xlpm.total_spend,SUMIFS(Raw!$F$3:$F$9149,Raw!$D$3:$D$9149,'Ref Data'!$B11),
_xlpm.start_date,MIN(Raw!$H$3:$H$9149),
_xlpm.end_date,MAX(Raw!$H$3:$H$9149),
_xlpm.nbr_days,_xlpm.end_date-_xlpm.start_date,
_xlpm.one_day_spend,_xlpm.total_spend/_xlpm.nbr_days,
_xlpm.one_day_spend*30)</f>
        <v>-0.13471479891351967</v>
      </c>
      <c r="I11" s="179">
        <f>_xlfn.LET(_xlpm.end_date,MAX(Raw!$H$3:$H$9149),
_xlpm.start_date,_xlpm.end_date-30,
SUMIFS(Raw!$F$3:$F$9149,Raw!$H$3:$H$9149,"&gt;="&amp;_xlpm.start_date,Raw!$D$3:$D$9149,'Ref Data'!$B11)/30*7)</f>
        <v>0</v>
      </c>
      <c r="J11" s="179">
        <f>_xlfn.LET(_xlpm.end_date,MAX(Raw!$H$3:$H$9149),
_xlpm.start_date,EOMONTH(_xlpm.end_date,-12),
_xlpm.nbr_days,_xlpm.end_date-_xlpm.start_date,
_xlpm.ltm_spend,SUMIFS(Raw!$F$3:$F$9149,Raw!$H$3:$H$9149,"&gt;="&amp;_xlpm.start_date,Raw!$D$3:$D$9149,'Ref Data'!$B11),
_xlpm.one_day_spend,_xlpm.ltm_spend/_xlpm.nbr_days,
_xlpm.one_day_spend*7)</f>
        <v>-3.9750692520775623</v>
      </c>
      <c r="K11" s="179">
        <f>_xlfn.LET(_xlpm.total_spend,SUMIFS(Raw!$F$3:$F$9149,Raw!$D$3:$D$9149,'Ref Data'!$B11),
_xlpm.start_date,MIN(Raw!$H$3:$H$9149),
_xlpm.end_date,MAX(Raw!$H$3:$H$9149),
_xlpm.nbr_days,_xlpm.end_date-_xlpm.start_date,
_xlpm.one_day_spend,_xlpm.total_spend/_xlpm.nbr_days,
_xlpm.one_day_spend*7)</f>
        <v>-3.1433453079821254E-2</v>
      </c>
      <c r="L11" s="179">
        <f>_xlfn.LET(_xlpm.end_date,MAX(Raw!$H$3:$H$9149),
_xlpm.start_date,_xlpm.end_date-30,
SUMIFS(Raw!$F$3:$F$9149,Raw!$H$3:$H$9149,"&gt;="&amp;_xlpm.start_date,Raw!$D$3:$D$9149,'Ref Data'!$B11)/30)</f>
        <v>0</v>
      </c>
      <c r="M11" s="179">
        <f>_xlfn.LET(_xlpm.end_date,MAX(Raw!$H$3:$H$9149),
_xlpm.start_date,EOMONTH(_xlpm.end_date,-12),
_xlpm.nbr_days,_xlpm.end_date-_xlpm.start_date,
_xlpm.ltm_spend,SUMIFS(Raw!$F$3:$F$9149,Raw!$H$3:$H$9149,"&gt;="&amp;_xlpm.start_date,Raw!$D$3:$D$9149,'Ref Data'!$B11),
_xlpm.one_day_spend,_xlpm.ltm_spend/_xlpm.nbr_days,
_xlpm.one_day_spend)</f>
        <v>-0.56786703601108035</v>
      </c>
      <c r="N11" s="179">
        <f>_xlfn.LET(_xlpm.total_spend,SUMIFS(Raw!$F$3:$F$9149,Raw!$D$3:$D$9149,'Ref Data'!$B11),
_xlpm.start_date,MIN(Raw!$H$3:$H$9149),
_xlpm.end_date,MAX(Raw!$H$3:$H$9149),
_xlpm.nbr_days,_xlpm.end_date-_xlpm.start_date,
_xlpm.one_day_spend,_xlpm.total_spend/_xlpm.nbr_days,
_xlpm.one_day_spend)</f>
        <v>-4.490493297117322E-3</v>
      </c>
    </row>
    <row r="12" spans="1:14" x14ac:dyDescent="0.2">
      <c r="A12" s="26" t="s">
        <v>28</v>
      </c>
      <c r="B12" t="s">
        <v>0</v>
      </c>
      <c r="C12" s="179">
        <f ca="1">_xlfn.LET(_xlpm.end_date,MAX(Raw!$H$3:$H$9149),
_xlpm.start_date,_xlpm.end_date-30,
_xlpm.NTM_day_count,EDATE(TODAY(),12)-TODAY(),
_xlpm.total_spend,SUMIFS(Raw!$F$3:$F$9149,Raw!$H$3:$H$9149,"&gt;="&amp;_xlpm.start_date,Raw!$D$3:$D$9149,'Ref Data'!$B12),
_xlpm.one_day_spend,_xlpm.total_spend/30,
_xlpm.one_day_spend*_xlpm.NTM_day_count)</f>
        <v>0</v>
      </c>
      <c r="D12" s="179">
        <f>_xlfn.LET(_xlpm.end_date,MAX(Raw!$H$3:$H$9149),
_xlpm.start_date,EOMONTH(_xlpm.end_date,-12),
_xlpm.nbr_days,_xlpm.end_date-_xlpm.start_date,
_xlpm.ltm_spend,SUMIFS(Raw!$F$3:$F$9149,Raw!$H$3:$H$9149,"&gt;="&amp;_xlpm.start_date,Raw!$D$3:$D$9149,'Ref Data'!$B12),
_xlpm.ltm_spend)</f>
        <v>-1500</v>
      </c>
      <c r="E12" s="179">
        <f ca="1">_xlfn.LET(_xlpm.total_spend,SUMIFS(Raw!$F$3:$F$9149,Raw!$D$3:$D$9149,'Ref Data'!$B12),
_xlpm.start_date,MIN(Raw!$H$3:$H$9149),
_xlpm.end_date,MAX(Raw!$H$3:$H$9149),
_xlpm.nbr_days,_xlpm.end_date-_xlpm.start_date,
_xlpm.NTM_day_count,EDATE(TODAY(),12)-TODAY(),
_xlpm.one_day_spend,_xlpm.total_spend/_xlpm.nbr_days,
_xlpm.one_day_spend*_xlpm.NTM_day_count)</f>
        <v>-11.992902830106019</v>
      </c>
      <c r="F12" s="179">
        <f>_xlfn.LET(_xlpm.end_date,MAX(Raw!$H$3:$H$9149),
_xlpm.start_date,_xlpm.end_date-30,
SUMIFS(Raw!$F$3:$F$9149,Raw!$H$3:$H$9149,"&gt;="&amp;_xlpm.start_date,Raw!$D$3:$D$9149,'Ref Data'!$B12))</f>
        <v>0</v>
      </c>
      <c r="G12" s="179">
        <f>_xlfn.LET(_xlpm.end_date,MAX(Raw!$H$3:$H$9149),
_xlpm.start_date,EOMONTH(_xlpm.end_date,-12),
_xlpm.nbr_days,_xlpm.end_date-_xlpm.start_date,
_xlpm.ltm_spend,SUMIFS(Raw!$F$3:$F$9149,Raw!$H$3:$H$9149,"&gt;="&amp;_xlpm.start_date,Raw!$D$3:$D$9149,'Ref Data'!$B12),
_xlpm.one_day_spend,_xlpm.ltm_spend/_xlpm.nbr_days,
_xlpm.one_day_spend*30)</f>
        <v>-124.65373961218837</v>
      </c>
      <c r="H12" s="179">
        <f>_xlfn.LET(_xlpm.total_spend,SUMIFS(Raw!$F$3:$F$9149,Raw!$D$3:$D$9149,'Ref Data'!$B12),
_xlpm.start_date,MIN(Raw!$H$3:$H$9149),
_xlpm.end_date,MAX(Raw!$H$3:$H$9149),
_xlpm.nbr_days,_xlpm.end_date-_xlpm.start_date,
_xlpm.one_day_spend,_xlpm.total_spend/_xlpm.nbr_days,
_xlpm.one_day_spend*30)</f>
        <v>-0.98571804083063164</v>
      </c>
      <c r="I12" s="179">
        <f>_xlfn.LET(_xlpm.end_date,MAX(Raw!$H$3:$H$9149),
_xlpm.start_date,_xlpm.end_date-30,
SUMIFS(Raw!$F$3:$F$9149,Raw!$H$3:$H$9149,"&gt;="&amp;_xlpm.start_date,Raw!$D$3:$D$9149,'Ref Data'!$B12)/30*7)</f>
        <v>0</v>
      </c>
      <c r="J12" s="179">
        <f>_xlfn.LET(_xlpm.end_date,MAX(Raw!$H$3:$H$9149),
_xlpm.start_date,EOMONTH(_xlpm.end_date,-12),
_xlpm.nbr_days,_xlpm.end_date-_xlpm.start_date,
_xlpm.ltm_spend,SUMIFS(Raw!$F$3:$F$9149,Raw!$H$3:$H$9149,"&gt;="&amp;_xlpm.start_date,Raw!$D$3:$D$9149,'Ref Data'!$B12),
_xlpm.one_day_spend,_xlpm.ltm_spend/_xlpm.nbr_days,
_xlpm.one_day_spend*7)</f>
        <v>-29.085872576177287</v>
      </c>
      <c r="K12" s="179">
        <f>_xlfn.LET(_xlpm.total_spend,SUMIFS(Raw!$F$3:$F$9149,Raw!$D$3:$D$9149,'Ref Data'!$B12),
_xlpm.start_date,MIN(Raw!$H$3:$H$9149),
_xlpm.end_date,MAX(Raw!$H$3:$H$9149),
_xlpm.nbr_days,_xlpm.end_date-_xlpm.start_date,
_xlpm.one_day_spend,_xlpm.total_spend/_xlpm.nbr_days,
_xlpm.one_day_spend*7)</f>
        <v>-0.23000087619381404</v>
      </c>
      <c r="L12" s="179">
        <f>_xlfn.LET(_xlpm.end_date,MAX(Raw!$H$3:$H$9149),
_xlpm.start_date,_xlpm.end_date-30,
SUMIFS(Raw!$F$3:$F$9149,Raw!$H$3:$H$9149,"&gt;="&amp;_xlpm.start_date,Raw!$D$3:$D$9149,'Ref Data'!$B12)/30)</f>
        <v>0</v>
      </c>
      <c r="M12" s="179">
        <f>_xlfn.LET(_xlpm.end_date,MAX(Raw!$H$3:$H$9149),
_xlpm.start_date,EOMONTH(_xlpm.end_date,-12),
_xlpm.nbr_days,_xlpm.end_date-_xlpm.start_date,
_xlpm.ltm_spend,SUMIFS(Raw!$F$3:$F$9149,Raw!$H$3:$H$9149,"&gt;="&amp;_xlpm.start_date,Raw!$D$3:$D$9149,'Ref Data'!$B12),
_xlpm.one_day_spend,_xlpm.ltm_spend/_xlpm.nbr_days,
_xlpm.one_day_spend)</f>
        <v>-4.1551246537396125</v>
      </c>
      <c r="N12" s="179">
        <f>_xlfn.LET(_xlpm.total_spend,SUMIFS(Raw!$F$3:$F$9149,Raw!$D$3:$D$9149,'Ref Data'!$B12),
_xlpm.start_date,MIN(Raw!$H$3:$H$9149),
_xlpm.end_date,MAX(Raw!$H$3:$H$9149),
_xlpm.nbr_days,_xlpm.end_date-_xlpm.start_date,
_xlpm.one_day_spend,_xlpm.total_spend/_xlpm.nbr_days,
_xlpm.one_day_spend)</f>
        <v>-3.2857268027687722E-2</v>
      </c>
    </row>
    <row r="13" spans="1:14" x14ac:dyDescent="0.2">
      <c r="A13" s="26" t="s">
        <v>28</v>
      </c>
      <c r="B13" t="s">
        <v>69</v>
      </c>
      <c r="C13" s="179">
        <f ca="1">_xlfn.LET(_xlpm.end_date,MAX(Raw!$H$3:$H$9149),
_xlpm.start_date,_xlpm.end_date-30,
_xlpm.NTM_day_count,EDATE(TODAY(),12)-TODAY(),
_xlpm.total_spend,SUMIFS(Raw!$F$3:$F$9149,Raw!$H$3:$H$9149,"&gt;="&amp;_xlpm.start_date,Raw!$D$3:$D$9149,'Ref Data'!$B13),
_xlpm.one_day_spend,_xlpm.total_spend/30,
_xlpm.one_day_spend*_xlpm.NTM_day_count)</f>
        <v>0</v>
      </c>
      <c r="D13" s="179">
        <f>_xlfn.LET(_xlpm.end_date,MAX(Raw!$H$3:$H$9149),
_xlpm.start_date,EOMONTH(_xlpm.end_date,-12),
_xlpm.nbr_days,_xlpm.end_date-_xlpm.start_date,
_xlpm.ltm_spend,SUMIFS(Raw!$F$3:$F$9149,Raw!$H$3:$H$9149,"&gt;="&amp;_xlpm.start_date,Raw!$D$3:$D$9149,'Ref Data'!$B13),
_xlpm.ltm_spend)</f>
        <v>-100</v>
      </c>
      <c r="E13" s="179">
        <f ca="1">_xlfn.LET(_xlpm.total_spend,SUMIFS(Raw!$F$3:$F$9149,Raw!$D$3:$D$9149,'Ref Data'!$B13),
_xlpm.start_date,MIN(Raw!$H$3:$H$9149),
_xlpm.end_date,MAX(Raw!$H$3:$H$9149),
_xlpm.nbr_days,_xlpm.end_date-_xlpm.start_date,
_xlpm.NTM_day_count,EDATE(TODAY(),12)-TODAY(),
_xlpm.one_day_spend,_xlpm.total_spend/_xlpm.nbr_days,
_xlpm.one_day_spend*_xlpm.NTM_day_count)</f>
        <v>-0.79952685534040135</v>
      </c>
      <c r="F13" s="179">
        <f>_xlfn.LET(_xlpm.end_date,MAX(Raw!$H$3:$H$9149),
_xlpm.start_date,_xlpm.end_date-30,
SUMIFS(Raw!$F$3:$F$9149,Raw!$H$3:$H$9149,"&gt;="&amp;_xlpm.start_date,Raw!$D$3:$D$9149,'Ref Data'!$B13))</f>
        <v>0</v>
      </c>
      <c r="G13" s="179">
        <f>_xlfn.LET(_xlpm.end_date,MAX(Raw!$H$3:$H$9149),
_xlpm.start_date,EOMONTH(_xlpm.end_date,-12),
_xlpm.nbr_days,_xlpm.end_date-_xlpm.start_date,
_xlpm.ltm_spend,SUMIFS(Raw!$F$3:$F$9149,Raw!$H$3:$H$9149,"&gt;="&amp;_xlpm.start_date,Raw!$D$3:$D$9149,'Ref Data'!$B13),
_xlpm.one_day_spend,_xlpm.ltm_spend/_xlpm.nbr_days,
_xlpm.one_day_spend*30)</f>
        <v>-8.310249307479225</v>
      </c>
      <c r="H13" s="179">
        <f>_xlfn.LET(_xlpm.total_spend,SUMIFS(Raw!$F$3:$F$9149,Raw!$D$3:$D$9149,'Ref Data'!$B13),
_xlpm.start_date,MIN(Raw!$H$3:$H$9149),
_xlpm.end_date,MAX(Raw!$H$3:$H$9149),
_xlpm.nbr_days,_xlpm.end_date-_xlpm.start_date,
_xlpm.one_day_spend,_xlpm.total_spend/_xlpm.nbr_days,
_xlpm.one_day_spend*30)</f>
        <v>-6.5714536055375444E-2</v>
      </c>
      <c r="I13" s="179">
        <f>_xlfn.LET(_xlpm.end_date,MAX(Raw!$H$3:$H$9149),
_xlpm.start_date,_xlpm.end_date-30,
SUMIFS(Raw!$F$3:$F$9149,Raw!$H$3:$H$9149,"&gt;="&amp;_xlpm.start_date,Raw!$D$3:$D$9149,'Ref Data'!$B13)/30*7)</f>
        <v>0</v>
      </c>
      <c r="J13" s="179">
        <f>_xlfn.LET(_xlpm.end_date,MAX(Raw!$H$3:$H$9149),
_xlpm.start_date,EOMONTH(_xlpm.end_date,-12),
_xlpm.nbr_days,_xlpm.end_date-_xlpm.start_date,
_xlpm.ltm_spend,SUMIFS(Raw!$F$3:$F$9149,Raw!$H$3:$H$9149,"&gt;="&amp;_xlpm.start_date,Raw!$D$3:$D$9149,'Ref Data'!$B13),
_xlpm.one_day_spend,_xlpm.ltm_spend/_xlpm.nbr_days,
_xlpm.one_day_spend*7)</f>
        <v>-1.9390581717451525</v>
      </c>
      <c r="K13" s="179">
        <f>_xlfn.LET(_xlpm.total_spend,SUMIFS(Raw!$F$3:$F$9149,Raw!$D$3:$D$9149,'Ref Data'!$B13),
_xlpm.start_date,MIN(Raw!$H$3:$H$9149),
_xlpm.end_date,MAX(Raw!$H$3:$H$9149),
_xlpm.nbr_days,_xlpm.end_date-_xlpm.start_date,
_xlpm.one_day_spend,_xlpm.total_spend/_xlpm.nbr_days,
_xlpm.one_day_spend*7)</f>
        <v>-1.5333391746254272E-2</v>
      </c>
      <c r="L13" s="179">
        <f>_xlfn.LET(_xlpm.end_date,MAX(Raw!$H$3:$H$9149),
_xlpm.start_date,_xlpm.end_date-30,
SUMIFS(Raw!$F$3:$F$9149,Raw!$H$3:$H$9149,"&gt;="&amp;_xlpm.start_date,Raw!$D$3:$D$9149,'Ref Data'!$B13)/30)</f>
        <v>0</v>
      </c>
      <c r="M13" s="179">
        <f>_xlfn.LET(_xlpm.end_date,MAX(Raw!$H$3:$H$9149),
_xlpm.start_date,EOMONTH(_xlpm.end_date,-12),
_xlpm.nbr_days,_xlpm.end_date-_xlpm.start_date,
_xlpm.ltm_spend,SUMIFS(Raw!$F$3:$F$9149,Raw!$H$3:$H$9149,"&gt;="&amp;_xlpm.start_date,Raw!$D$3:$D$9149,'Ref Data'!$B13),
_xlpm.one_day_spend,_xlpm.ltm_spend/_xlpm.nbr_days,
_xlpm.one_day_spend)</f>
        <v>-0.2770083102493075</v>
      </c>
      <c r="N13" s="179">
        <f>_xlfn.LET(_xlpm.total_spend,SUMIFS(Raw!$F$3:$F$9149,Raw!$D$3:$D$9149,'Ref Data'!$B13),
_xlpm.start_date,MIN(Raw!$H$3:$H$9149),
_xlpm.end_date,MAX(Raw!$H$3:$H$9149),
_xlpm.nbr_days,_xlpm.end_date-_xlpm.start_date,
_xlpm.one_day_spend,_xlpm.total_spend/_xlpm.nbr_days,
_xlpm.one_day_spend)</f>
        <v>-2.1904845351791817E-3</v>
      </c>
    </row>
    <row r="14" spans="1:14" x14ac:dyDescent="0.2">
      <c r="A14" s="26" t="s">
        <v>28</v>
      </c>
      <c r="B14" t="s">
        <v>295</v>
      </c>
      <c r="C14" s="179">
        <f ca="1">_xlfn.LET(_xlpm.end_date,MAX(Raw!$H$3:$H$9149),
_xlpm.start_date,_xlpm.end_date-30,
_xlpm.NTM_day_count,EDATE(TODAY(),12)-TODAY(),
_xlpm.total_spend,SUMIFS(Raw!$F$3:$F$9149,Raw!$H$3:$H$9149,"&gt;="&amp;_xlpm.start_date,Raw!$D$3:$D$9149,'Ref Data'!$B14),
_xlpm.one_day_spend,_xlpm.total_spend/30,
_xlpm.one_day_spend*_xlpm.NTM_day_count)</f>
        <v>0</v>
      </c>
      <c r="D14" s="179">
        <f>_xlfn.LET(_xlpm.end_date,MAX(Raw!$H$3:$H$9149),
_xlpm.start_date,EOMONTH(_xlpm.end_date,-12),
_xlpm.nbr_days,_xlpm.end_date-_xlpm.start_date,
_xlpm.ltm_spend,SUMIFS(Raw!$F$3:$F$9149,Raw!$H$3:$H$9149,"&gt;="&amp;_xlpm.start_date,Raw!$D$3:$D$9149,'Ref Data'!$B14),
_xlpm.ltm_spend)</f>
        <v>-150</v>
      </c>
      <c r="E14" s="179">
        <f ca="1">_xlfn.LET(_xlpm.total_spend,SUMIFS(Raw!$F$3:$F$9149,Raw!$D$3:$D$9149,'Ref Data'!$B14),
_xlpm.start_date,MIN(Raw!$H$3:$H$9149),
_xlpm.end_date,MAX(Raw!$H$3:$H$9149),
_xlpm.nbr_days,_xlpm.end_date-_xlpm.start_date,
_xlpm.NTM_day_count,EDATE(TODAY(),12)-TODAY(),
_xlpm.one_day_spend,_xlpm.total_spend/_xlpm.nbr_days,
_xlpm.one_day_spend*_xlpm.NTM_day_count)</f>
        <v>-1.199290283010602</v>
      </c>
      <c r="F14" s="179">
        <f>_xlfn.LET(_xlpm.end_date,MAX(Raw!$H$3:$H$9149),
_xlpm.start_date,_xlpm.end_date-30,
SUMIFS(Raw!$F$3:$F$9149,Raw!$H$3:$H$9149,"&gt;="&amp;_xlpm.start_date,Raw!$D$3:$D$9149,'Ref Data'!$B14))</f>
        <v>0</v>
      </c>
      <c r="G14" s="179">
        <f>_xlfn.LET(_xlpm.end_date,MAX(Raw!$H$3:$H$9149),
_xlpm.start_date,EOMONTH(_xlpm.end_date,-12),
_xlpm.nbr_days,_xlpm.end_date-_xlpm.start_date,
_xlpm.ltm_spend,SUMIFS(Raw!$F$3:$F$9149,Raw!$H$3:$H$9149,"&gt;="&amp;_xlpm.start_date,Raw!$D$3:$D$9149,'Ref Data'!$B14),
_xlpm.one_day_spend,_xlpm.ltm_spend/_xlpm.nbr_days,
_xlpm.one_day_spend*30)</f>
        <v>-12.465373961218836</v>
      </c>
      <c r="H14" s="179">
        <f>_xlfn.LET(_xlpm.total_spend,SUMIFS(Raw!$F$3:$F$9149,Raw!$D$3:$D$9149,'Ref Data'!$B14),
_xlpm.start_date,MIN(Raw!$H$3:$H$9149),
_xlpm.end_date,MAX(Raw!$H$3:$H$9149),
_xlpm.nbr_days,_xlpm.end_date-_xlpm.start_date,
_xlpm.one_day_spend,_xlpm.total_spend/_xlpm.nbr_days,
_xlpm.one_day_spend*30)</f>
        <v>-9.857180408306318E-2</v>
      </c>
      <c r="I14" s="179">
        <f>_xlfn.LET(_xlpm.end_date,MAX(Raw!$H$3:$H$9149),
_xlpm.start_date,_xlpm.end_date-30,
SUMIFS(Raw!$F$3:$F$9149,Raw!$H$3:$H$9149,"&gt;="&amp;_xlpm.start_date,Raw!$D$3:$D$9149,'Ref Data'!$B14)/30*7)</f>
        <v>0</v>
      </c>
      <c r="J14" s="179">
        <f>_xlfn.LET(_xlpm.end_date,MAX(Raw!$H$3:$H$9149),
_xlpm.start_date,EOMONTH(_xlpm.end_date,-12),
_xlpm.nbr_days,_xlpm.end_date-_xlpm.start_date,
_xlpm.ltm_spend,SUMIFS(Raw!$F$3:$F$9149,Raw!$H$3:$H$9149,"&gt;="&amp;_xlpm.start_date,Raw!$D$3:$D$9149,'Ref Data'!$B14),
_xlpm.one_day_spend,_xlpm.ltm_spend/_xlpm.nbr_days,
_xlpm.one_day_spend*7)</f>
        <v>-2.9085872576177283</v>
      </c>
      <c r="K14" s="179">
        <f>_xlfn.LET(_xlpm.total_spend,SUMIFS(Raw!$F$3:$F$9149,Raw!$D$3:$D$9149,'Ref Data'!$B14),
_xlpm.start_date,MIN(Raw!$H$3:$H$9149),
_xlpm.end_date,MAX(Raw!$H$3:$H$9149),
_xlpm.nbr_days,_xlpm.end_date-_xlpm.start_date,
_xlpm.one_day_spend,_xlpm.total_spend/_xlpm.nbr_days,
_xlpm.one_day_spend*7)</f>
        <v>-2.300008761938141E-2</v>
      </c>
      <c r="L14" s="179">
        <f>_xlfn.LET(_xlpm.end_date,MAX(Raw!$H$3:$H$9149),
_xlpm.start_date,_xlpm.end_date-30,
SUMIFS(Raw!$F$3:$F$9149,Raw!$H$3:$H$9149,"&gt;="&amp;_xlpm.start_date,Raw!$D$3:$D$9149,'Ref Data'!$B14)/30)</f>
        <v>0</v>
      </c>
      <c r="M14" s="179">
        <f>_xlfn.LET(_xlpm.end_date,MAX(Raw!$H$3:$H$9149),
_xlpm.start_date,EOMONTH(_xlpm.end_date,-12),
_xlpm.nbr_days,_xlpm.end_date-_xlpm.start_date,
_xlpm.ltm_spend,SUMIFS(Raw!$F$3:$F$9149,Raw!$H$3:$H$9149,"&gt;="&amp;_xlpm.start_date,Raw!$D$3:$D$9149,'Ref Data'!$B14),
_xlpm.one_day_spend,_xlpm.ltm_spend/_xlpm.nbr_days,
_xlpm.one_day_spend)</f>
        <v>-0.41551246537396119</v>
      </c>
      <c r="N14" s="179">
        <f>_xlfn.LET(_xlpm.total_spend,SUMIFS(Raw!$F$3:$F$9149,Raw!$D$3:$D$9149,'Ref Data'!$B14),
_xlpm.start_date,MIN(Raw!$H$3:$H$9149),
_xlpm.end_date,MAX(Raw!$H$3:$H$9149),
_xlpm.nbr_days,_xlpm.end_date-_xlpm.start_date,
_xlpm.one_day_spend,_xlpm.total_spend/_xlpm.nbr_days,
_xlpm.one_day_spend)</f>
        <v>-3.2857268027687726E-3</v>
      </c>
    </row>
    <row r="15" spans="1:14" x14ac:dyDescent="0.2">
      <c r="A15" t="s">
        <v>4</v>
      </c>
      <c r="B15" t="s">
        <v>4</v>
      </c>
      <c r="C15" s="179">
        <f ca="1">_xlfn.LET(_xlpm.end_date,MAX(Raw!$H$3:$H$9149),
_xlpm.start_date,_xlpm.end_date-30,
_xlpm.NTM_day_count,EDATE(TODAY(),12)-TODAY(),
_xlpm.total_spend,SUMIFS(Raw!$F$3:$F$9149,Raw!$H$3:$H$9149,"&gt;="&amp;_xlpm.start_date,Raw!$D$3:$D$9149,'Ref Data'!$B15),
_xlpm.one_day_spend,_xlpm.total_spend/30,
_xlpm.one_day_spend*_xlpm.NTM_day_count)</f>
        <v>0</v>
      </c>
      <c r="D15" s="179">
        <f>_xlfn.LET(_xlpm.end_date,MAX(Raw!$H$3:$H$9149),
_xlpm.start_date,EOMONTH(_xlpm.end_date,-12),
_xlpm.nbr_days,_xlpm.end_date-_xlpm.start_date,
_xlpm.ltm_spend,SUMIFS(Raw!$F$3:$F$9149,Raw!$H$3:$H$9149,"&gt;="&amp;_xlpm.start_date,Raw!$D$3:$D$9149,'Ref Data'!$B15),
_xlpm.ltm_spend)</f>
        <v>-300</v>
      </c>
      <c r="E15" s="179">
        <f ca="1">_xlfn.LET(_xlpm.total_spend,SUMIFS(Raw!$F$3:$F$9149,Raw!$D$3:$D$9149,'Ref Data'!$B15),
_xlpm.start_date,MIN(Raw!$H$3:$H$9149),
_xlpm.end_date,MAX(Raw!$H$3:$H$9149),
_xlpm.nbr_days,_xlpm.end_date-_xlpm.start_date,
_xlpm.NTM_day_count,EDATE(TODAY(),12)-TODAY(),
_xlpm.one_day_spend,_xlpm.total_spend/_xlpm.nbr_days,
_xlpm.one_day_spend*_xlpm.NTM_day_count)</f>
        <v>-2.3985805660212041</v>
      </c>
      <c r="F15" s="179">
        <f>_xlfn.LET(_xlpm.end_date,MAX(Raw!$H$3:$H$9149),
_xlpm.start_date,_xlpm.end_date-30,
SUMIFS(Raw!$F$3:$F$9149,Raw!$H$3:$H$9149,"&gt;="&amp;_xlpm.start_date,Raw!$D$3:$D$9149,'Ref Data'!$B15))</f>
        <v>0</v>
      </c>
      <c r="G15" s="179">
        <f>_xlfn.LET(_xlpm.end_date,MAX(Raw!$H$3:$H$9149),
_xlpm.start_date,EOMONTH(_xlpm.end_date,-12),
_xlpm.nbr_days,_xlpm.end_date-_xlpm.start_date,
_xlpm.ltm_spend,SUMIFS(Raw!$F$3:$F$9149,Raw!$H$3:$H$9149,"&gt;="&amp;_xlpm.start_date,Raw!$D$3:$D$9149,'Ref Data'!$B15),
_xlpm.one_day_spend,_xlpm.ltm_spend/_xlpm.nbr_days,
_xlpm.one_day_spend*30)</f>
        <v>-24.930747922437671</v>
      </c>
      <c r="H15" s="179">
        <f>_xlfn.LET(_xlpm.total_spend,SUMIFS(Raw!$F$3:$F$9149,Raw!$D$3:$D$9149,'Ref Data'!$B15),
_xlpm.start_date,MIN(Raw!$H$3:$H$9149),
_xlpm.end_date,MAX(Raw!$H$3:$H$9149),
_xlpm.nbr_days,_xlpm.end_date-_xlpm.start_date,
_xlpm.one_day_spend,_xlpm.total_spend/_xlpm.nbr_days,
_xlpm.one_day_spend*30)</f>
        <v>-0.19714360816612636</v>
      </c>
      <c r="I15" s="179">
        <f>_xlfn.LET(_xlpm.end_date,MAX(Raw!$H$3:$H$9149),
_xlpm.start_date,_xlpm.end_date-30,
SUMIFS(Raw!$F$3:$F$9149,Raw!$H$3:$H$9149,"&gt;="&amp;_xlpm.start_date,Raw!$D$3:$D$9149,'Ref Data'!$B15)/30*7)</f>
        <v>0</v>
      </c>
      <c r="J15" s="179">
        <f>_xlfn.LET(_xlpm.end_date,MAX(Raw!$H$3:$H$9149),
_xlpm.start_date,EOMONTH(_xlpm.end_date,-12),
_xlpm.nbr_days,_xlpm.end_date-_xlpm.start_date,
_xlpm.ltm_spend,SUMIFS(Raw!$F$3:$F$9149,Raw!$H$3:$H$9149,"&gt;="&amp;_xlpm.start_date,Raw!$D$3:$D$9149,'Ref Data'!$B15),
_xlpm.one_day_spend,_xlpm.ltm_spend/_xlpm.nbr_days,
_xlpm.one_day_spend*7)</f>
        <v>-5.8171745152354566</v>
      </c>
      <c r="K15" s="179">
        <f>_xlfn.LET(_xlpm.total_spend,SUMIFS(Raw!$F$3:$F$9149,Raw!$D$3:$D$9149,'Ref Data'!$B15),
_xlpm.start_date,MIN(Raw!$H$3:$H$9149),
_xlpm.end_date,MAX(Raw!$H$3:$H$9149),
_xlpm.nbr_days,_xlpm.end_date-_xlpm.start_date,
_xlpm.one_day_spend,_xlpm.total_spend/_xlpm.nbr_days,
_xlpm.one_day_spend*7)</f>
        <v>-4.6000175238762819E-2</v>
      </c>
      <c r="L15" s="179">
        <f>_xlfn.LET(_xlpm.end_date,MAX(Raw!$H$3:$H$9149),
_xlpm.start_date,_xlpm.end_date-30,
SUMIFS(Raw!$F$3:$F$9149,Raw!$H$3:$H$9149,"&gt;="&amp;_xlpm.start_date,Raw!$D$3:$D$9149,'Ref Data'!$B15)/30)</f>
        <v>0</v>
      </c>
      <c r="M15" s="179">
        <f>_xlfn.LET(_xlpm.end_date,MAX(Raw!$H$3:$H$9149),
_xlpm.start_date,EOMONTH(_xlpm.end_date,-12),
_xlpm.nbr_days,_xlpm.end_date-_xlpm.start_date,
_xlpm.ltm_spend,SUMIFS(Raw!$F$3:$F$9149,Raw!$H$3:$H$9149,"&gt;="&amp;_xlpm.start_date,Raw!$D$3:$D$9149,'Ref Data'!$B15),
_xlpm.one_day_spend,_xlpm.ltm_spend/_xlpm.nbr_days,
_xlpm.one_day_spend)</f>
        <v>-0.83102493074792239</v>
      </c>
      <c r="N15" s="179">
        <f>_xlfn.LET(_xlpm.total_spend,SUMIFS(Raw!$F$3:$F$9149,Raw!$D$3:$D$9149,'Ref Data'!$B15),
_xlpm.start_date,MIN(Raw!$H$3:$H$9149),
_xlpm.end_date,MAX(Raw!$H$3:$H$9149),
_xlpm.nbr_days,_xlpm.end_date-_xlpm.start_date,
_xlpm.one_day_spend,_xlpm.total_spend/_xlpm.nbr_days,
_xlpm.one_day_spend)</f>
        <v>-6.5714536055375451E-3</v>
      </c>
    </row>
    <row r="16" spans="1:14" x14ac:dyDescent="0.2">
      <c r="A16" s="26" t="s">
        <v>318</v>
      </c>
      <c r="B16" t="s">
        <v>237</v>
      </c>
      <c r="C16" s="179">
        <f ca="1">_xlfn.LET(_xlpm.end_date,MAX(Raw!$H$3:$H$9149),
_xlpm.start_date,_xlpm.end_date-30,
_xlpm.NTM_day_count,EDATE(TODAY(),12)-TODAY(),
_xlpm.total_spend,SUMIFS(Raw!$F$3:$F$9149,Raw!$H$3:$H$9149,"&gt;="&amp;_xlpm.start_date,Raw!$D$3:$D$9149,'Ref Data'!$B16),
_xlpm.one_day_spend,_xlpm.total_spend/30,
_xlpm.one_day_spend*_xlpm.NTM_day_count)</f>
        <v>0</v>
      </c>
      <c r="D16" s="179">
        <f>_xlfn.LET(_xlpm.end_date,MAX(Raw!$H$3:$H$9149),
_xlpm.start_date,EOMONTH(_xlpm.end_date,-12),
_xlpm.nbr_days,_xlpm.end_date-_xlpm.start_date,
_xlpm.ltm_spend,SUMIFS(Raw!$F$3:$F$9149,Raw!$H$3:$H$9149,"&gt;="&amp;_xlpm.start_date,Raw!$D$3:$D$9149,'Ref Data'!$B16),
_xlpm.ltm_spend)</f>
        <v>-200</v>
      </c>
      <c r="E16" s="179">
        <f ca="1">_xlfn.LET(_xlpm.total_spend,SUMIFS(Raw!$F$3:$F$9149,Raw!$D$3:$D$9149,'Ref Data'!$B16),
_xlpm.start_date,MIN(Raw!$H$3:$H$9149),
_xlpm.end_date,MAX(Raw!$H$3:$H$9149),
_xlpm.nbr_days,_xlpm.end_date-_xlpm.start_date,
_xlpm.NTM_day_count,EDATE(TODAY(),12)-TODAY(),
_xlpm.one_day_spend,_xlpm.total_spend/_xlpm.nbr_days,
_xlpm.one_day_spend*_xlpm.NTM_day_count)</f>
        <v>-1.5990537106808027</v>
      </c>
      <c r="F16" s="179">
        <f>_xlfn.LET(_xlpm.end_date,MAX(Raw!$H$3:$H$9149),
_xlpm.start_date,_xlpm.end_date-30,
SUMIFS(Raw!$F$3:$F$9149,Raw!$H$3:$H$9149,"&gt;="&amp;_xlpm.start_date,Raw!$D$3:$D$9149,'Ref Data'!$B16))</f>
        <v>0</v>
      </c>
      <c r="G16" s="179">
        <f>_xlfn.LET(_xlpm.end_date,MAX(Raw!$H$3:$H$9149),
_xlpm.start_date,EOMONTH(_xlpm.end_date,-12),
_xlpm.nbr_days,_xlpm.end_date-_xlpm.start_date,
_xlpm.ltm_spend,SUMIFS(Raw!$F$3:$F$9149,Raw!$H$3:$H$9149,"&gt;="&amp;_xlpm.start_date,Raw!$D$3:$D$9149,'Ref Data'!$B16),
_xlpm.one_day_spend,_xlpm.ltm_spend/_xlpm.nbr_days,
_xlpm.one_day_spend*30)</f>
        <v>-16.62049861495845</v>
      </c>
      <c r="H16" s="179">
        <f>_xlfn.LET(_xlpm.total_spend,SUMIFS(Raw!$F$3:$F$9149,Raw!$D$3:$D$9149,'Ref Data'!$B16),
_xlpm.start_date,MIN(Raw!$H$3:$H$9149),
_xlpm.end_date,MAX(Raw!$H$3:$H$9149),
_xlpm.nbr_days,_xlpm.end_date-_xlpm.start_date,
_xlpm.one_day_spend,_xlpm.total_spend/_xlpm.nbr_days,
_xlpm.one_day_spend*30)</f>
        <v>-0.13142907211075089</v>
      </c>
      <c r="I16" s="179">
        <f>_xlfn.LET(_xlpm.end_date,MAX(Raw!$H$3:$H$9149),
_xlpm.start_date,_xlpm.end_date-30,
SUMIFS(Raw!$F$3:$F$9149,Raw!$H$3:$H$9149,"&gt;="&amp;_xlpm.start_date,Raw!$D$3:$D$9149,'Ref Data'!$B16)/30*7)</f>
        <v>0</v>
      </c>
      <c r="J16" s="179">
        <f>_xlfn.LET(_xlpm.end_date,MAX(Raw!$H$3:$H$9149),
_xlpm.start_date,EOMONTH(_xlpm.end_date,-12),
_xlpm.nbr_days,_xlpm.end_date-_xlpm.start_date,
_xlpm.ltm_spend,SUMIFS(Raw!$F$3:$F$9149,Raw!$H$3:$H$9149,"&gt;="&amp;_xlpm.start_date,Raw!$D$3:$D$9149,'Ref Data'!$B16),
_xlpm.one_day_spend,_xlpm.ltm_spend/_xlpm.nbr_days,
_xlpm.one_day_spend*7)</f>
        <v>-3.878116343490305</v>
      </c>
      <c r="K16" s="179">
        <f>_xlfn.LET(_xlpm.total_spend,SUMIFS(Raw!$F$3:$F$9149,Raw!$D$3:$D$9149,'Ref Data'!$B16),
_xlpm.start_date,MIN(Raw!$H$3:$H$9149),
_xlpm.end_date,MAX(Raw!$H$3:$H$9149),
_xlpm.nbr_days,_xlpm.end_date-_xlpm.start_date,
_xlpm.one_day_spend,_xlpm.total_spend/_xlpm.nbr_days,
_xlpm.one_day_spend*7)</f>
        <v>-3.0666783492508544E-2</v>
      </c>
      <c r="L16" s="179">
        <f>_xlfn.LET(_xlpm.end_date,MAX(Raw!$H$3:$H$9149),
_xlpm.start_date,_xlpm.end_date-30,
SUMIFS(Raw!$F$3:$F$9149,Raw!$H$3:$H$9149,"&gt;="&amp;_xlpm.start_date,Raw!$D$3:$D$9149,'Ref Data'!$B16)/30)</f>
        <v>0</v>
      </c>
      <c r="M16" s="179">
        <f>_xlfn.LET(_xlpm.end_date,MAX(Raw!$H$3:$H$9149),
_xlpm.start_date,EOMONTH(_xlpm.end_date,-12),
_xlpm.nbr_days,_xlpm.end_date-_xlpm.start_date,
_xlpm.ltm_spend,SUMIFS(Raw!$F$3:$F$9149,Raw!$H$3:$H$9149,"&gt;="&amp;_xlpm.start_date,Raw!$D$3:$D$9149,'Ref Data'!$B16),
_xlpm.one_day_spend,_xlpm.ltm_spend/_xlpm.nbr_days,
_xlpm.one_day_spend)</f>
        <v>-0.554016620498615</v>
      </c>
      <c r="N16" s="179">
        <f>_xlfn.LET(_xlpm.total_spend,SUMIFS(Raw!$F$3:$F$9149,Raw!$D$3:$D$9149,'Ref Data'!$B16),
_xlpm.start_date,MIN(Raw!$H$3:$H$9149),
_xlpm.end_date,MAX(Raw!$H$3:$H$9149),
_xlpm.nbr_days,_xlpm.end_date-_xlpm.start_date,
_xlpm.one_day_spend,_xlpm.total_spend/_xlpm.nbr_days,
_xlpm.one_day_spend)</f>
        <v>-4.3809690703583634E-3</v>
      </c>
    </row>
    <row r="17" spans="1:14" x14ac:dyDescent="0.2">
      <c r="A17" s="26" t="s">
        <v>318</v>
      </c>
      <c r="B17" t="s">
        <v>238</v>
      </c>
      <c r="C17" s="179">
        <f ca="1">_xlfn.LET(_xlpm.end_date,MAX(Raw!$H$3:$H$9149),
_xlpm.start_date,_xlpm.end_date-30,
_xlpm.NTM_day_count,EDATE(TODAY(),12)-TODAY(),
_xlpm.total_spend,SUMIFS(Raw!$F$3:$F$9149,Raw!$H$3:$H$9149,"&gt;="&amp;_xlpm.start_date,Raw!$D$3:$D$9149,'Ref Data'!$B17),
_xlpm.one_day_spend,_xlpm.total_spend/30,
_xlpm.one_day_spend*_xlpm.NTM_day_count)</f>
        <v>0</v>
      </c>
      <c r="D17" s="179">
        <f>_xlfn.LET(_xlpm.end_date,MAX(Raw!$H$3:$H$9149),
_xlpm.start_date,EOMONTH(_xlpm.end_date,-12),
_xlpm.nbr_days,_xlpm.end_date-_xlpm.start_date,
_xlpm.ltm_spend,SUMIFS(Raw!$F$3:$F$9149,Raw!$H$3:$H$9149,"&gt;="&amp;_xlpm.start_date,Raw!$D$3:$D$9149,'Ref Data'!$B17),
_xlpm.ltm_spend)</f>
        <v>-90</v>
      </c>
      <c r="E17" s="179">
        <f ca="1">_xlfn.LET(_xlpm.total_spend,SUMIFS(Raw!$F$3:$F$9149,Raw!$D$3:$D$9149,'Ref Data'!$B17),
_xlpm.start_date,MIN(Raw!$H$3:$H$9149),
_xlpm.end_date,MAX(Raw!$H$3:$H$9149),
_xlpm.nbr_days,_xlpm.end_date-_xlpm.start_date,
_xlpm.NTM_day_count,EDATE(TODAY(),12)-TODAY(),
_xlpm.one_day_spend,_xlpm.total_spend/_xlpm.nbr_days,
_xlpm.one_day_spend*_xlpm.NTM_day_count)</f>
        <v>-0.71957416980636113</v>
      </c>
      <c r="F17" s="179">
        <f>_xlfn.LET(_xlpm.end_date,MAX(Raw!$H$3:$H$9149),
_xlpm.start_date,_xlpm.end_date-30,
SUMIFS(Raw!$F$3:$F$9149,Raw!$H$3:$H$9149,"&gt;="&amp;_xlpm.start_date,Raw!$D$3:$D$9149,'Ref Data'!$B17))</f>
        <v>0</v>
      </c>
      <c r="G17" s="179">
        <f>_xlfn.LET(_xlpm.end_date,MAX(Raw!$H$3:$H$9149),
_xlpm.start_date,EOMONTH(_xlpm.end_date,-12),
_xlpm.nbr_days,_xlpm.end_date-_xlpm.start_date,
_xlpm.ltm_spend,SUMIFS(Raw!$F$3:$F$9149,Raw!$H$3:$H$9149,"&gt;="&amp;_xlpm.start_date,Raw!$D$3:$D$9149,'Ref Data'!$B17),
_xlpm.one_day_spend,_xlpm.ltm_spend/_xlpm.nbr_days,
_xlpm.one_day_spend*30)</f>
        <v>-7.4792243767313025</v>
      </c>
      <c r="H17" s="179">
        <f>_xlfn.LET(_xlpm.total_spend,SUMIFS(Raw!$F$3:$F$9149,Raw!$D$3:$D$9149,'Ref Data'!$B17),
_xlpm.start_date,MIN(Raw!$H$3:$H$9149),
_xlpm.end_date,MAX(Raw!$H$3:$H$9149),
_xlpm.nbr_days,_xlpm.end_date-_xlpm.start_date,
_xlpm.one_day_spend,_xlpm.total_spend/_xlpm.nbr_days,
_xlpm.one_day_spend*30)</f>
        <v>-5.9143082449837896E-2</v>
      </c>
      <c r="I17" s="179">
        <f>_xlfn.LET(_xlpm.end_date,MAX(Raw!$H$3:$H$9149),
_xlpm.start_date,_xlpm.end_date-30,
SUMIFS(Raw!$F$3:$F$9149,Raw!$H$3:$H$9149,"&gt;="&amp;_xlpm.start_date,Raw!$D$3:$D$9149,'Ref Data'!$B17)/30*7)</f>
        <v>0</v>
      </c>
      <c r="J17" s="179">
        <f>_xlfn.LET(_xlpm.end_date,MAX(Raw!$H$3:$H$9149),
_xlpm.start_date,EOMONTH(_xlpm.end_date,-12),
_xlpm.nbr_days,_xlpm.end_date-_xlpm.start_date,
_xlpm.ltm_spend,SUMIFS(Raw!$F$3:$F$9149,Raw!$H$3:$H$9149,"&gt;="&amp;_xlpm.start_date,Raw!$D$3:$D$9149,'Ref Data'!$B17),
_xlpm.one_day_spend,_xlpm.ltm_spend/_xlpm.nbr_days,
_xlpm.one_day_spend*7)</f>
        <v>-1.7451523545706371</v>
      </c>
      <c r="K17" s="179">
        <f>_xlfn.LET(_xlpm.total_spend,SUMIFS(Raw!$F$3:$F$9149,Raw!$D$3:$D$9149,'Ref Data'!$B17),
_xlpm.start_date,MIN(Raw!$H$3:$H$9149),
_xlpm.end_date,MAX(Raw!$H$3:$H$9149),
_xlpm.nbr_days,_xlpm.end_date-_xlpm.start_date,
_xlpm.one_day_spend,_xlpm.total_spend/_xlpm.nbr_days,
_xlpm.one_day_spend*7)</f>
        <v>-1.3800052571628843E-2</v>
      </c>
      <c r="L17" s="179">
        <f>_xlfn.LET(_xlpm.end_date,MAX(Raw!$H$3:$H$9149),
_xlpm.start_date,_xlpm.end_date-30,
SUMIFS(Raw!$F$3:$F$9149,Raw!$H$3:$H$9149,"&gt;="&amp;_xlpm.start_date,Raw!$D$3:$D$9149,'Ref Data'!$B17)/30)</f>
        <v>0</v>
      </c>
      <c r="M17" s="179">
        <f>_xlfn.LET(_xlpm.end_date,MAX(Raw!$H$3:$H$9149),
_xlpm.start_date,EOMONTH(_xlpm.end_date,-12),
_xlpm.nbr_days,_xlpm.end_date-_xlpm.start_date,
_xlpm.ltm_spend,SUMIFS(Raw!$F$3:$F$9149,Raw!$H$3:$H$9149,"&gt;="&amp;_xlpm.start_date,Raw!$D$3:$D$9149,'Ref Data'!$B17),
_xlpm.one_day_spend,_xlpm.ltm_spend/_xlpm.nbr_days,
_xlpm.one_day_spend)</f>
        <v>-0.24930747922437674</v>
      </c>
      <c r="N17" s="179">
        <f>_xlfn.LET(_xlpm.total_spend,SUMIFS(Raw!$F$3:$F$9149,Raw!$D$3:$D$9149,'Ref Data'!$B17),
_xlpm.start_date,MIN(Raw!$H$3:$H$9149),
_xlpm.end_date,MAX(Raw!$H$3:$H$9149),
_xlpm.nbr_days,_xlpm.end_date-_xlpm.start_date,
_xlpm.one_day_spend,_xlpm.total_spend/_xlpm.nbr_days,
_xlpm.one_day_spend)</f>
        <v>-1.9714360816612633E-3</v>
      </c>
    </row>
    <row r="18" spans="1:14" x14ac:dyDescent="0.2">
      <c r="A18" s="26" t="s">
        <v>318</v>
      </c>
      <c r="B18" t="s">
        <v>256</v>
      </c>
      <c r="C18" s="179">
        <f ca="1">_xlfn.LET(_xlpm.end_date,MAX(Raw!$H$3:$H$9149),
_xlpm.start_date,_xlpm.end_date-30,
_xlpm.NTM_day_count,EDATE(TODAY(),12)-TODAY(),
_xlpm.total_spend,SUMIFS(Raw!$F$3:$F$9149,Raw!$H$3:$H$9149,"&gt;="&amp;_xlpm.start_date,Raw!$D$3:$D$9149,'Ref Data'!$B18),
_xlpm.one_day_spend,_xlpm.total_spend/30,
_xlpm.one_day_spend*_xlpm.NTM_day_count)</f>
        <v>0</v>
      </c>
      <c r="D18" s="179">
        <f>_xlfn.LET(_xlpm.end_date,MAX(Raw!$H$3:$H$9149),
_xlpm.start_date,EOMONTH(_xlpm.end_date,-12),
_xlpm.nbr_days,_xlpm.end_date-_xlpm.start_date,
_xlpm.ltm_spend,SUMIFS(Raw!$F$3:$F$9149,Raw!$H$3:$H$9149,"&gt;="&amp;_xlpm.start_date,Raw!$D$3:$D$9149,'Ref Data'!$B18),
_xlpm.ltm_spend)</f>
        <v>-30</v>
      </c>
      <c r="E18" s="179">
        <f ca="1">_xlfn.LET(_xlpm.total_spend,SUMIFS(Raw!$F$3:$F$9149,Raw!$D$3:$D$9149,'Ref Data'!$B18),
_xlpm.start_date,MIN(Raw!$H$3:$H$9149),
_xlpm.end_date,MAX(Raw!$H$3:$H$9149),
_xlpm.nbr_days,_xlpm.end_date-_xlpm.start_date,
_xlpm.NTM_day_count,EDATE(TODAY(),12)-TODAY(),
_xlpm.one_day_spend,_xlpm.total_spend/_xlpm.nbr_days,
_xlpm.one_day_spend*_xlpm.NTM_day_count)</f>
        <v>-0.2398580566021204</v>
      </c>
      <c r="F18" s="179">
        <f>_xlfn.LET(_xlpm.end_date,MAX(Raw!$H$3:$H$9149),
_xlpm.start_date,_xlpm.end_date-30,
SUMIFS(Raw!$F$3:$F$9149,Raw!$H$3:$H$9149,"&gt;="&amp;_xlpm.start_date,Raw!$D$3:$D$9149,'Ref Data'!$B18))</f>
        <v>0</v>
      </c>
      <c r="G18" s="179">
        <f>_xlfn.LET(_xlpm.end_date,MAX(Raw!$H$3:$H$9149),
_xlpm.start_date,EOMONTH(_xlpm.end_date,-12),
_xlpm.nbr_days,_xlpm.end_date-_xlpm.start_date,
_xlpm.ltm_spend,SUMIFS(Raw!$F$3:$F$9149,Raw!$H$3:$H$9149,"&gt;="&amp;_xlpm.start_date,Raw!$D$3:$D$9149,'Ref Data'!$B18),
_xlpm.one_day_spend,_xlpm.ltm_spend/_xlpm.nbr_days,
_xlpm.one_day_spend*30)</f>
        <v>-2.493074792243767</v>
      </c>
      <c r="H18" s="179">
        <f>_xlfn.LET(_xlpm.total_spend,SUMIFS(Raw!$F$3:$F$9149,Raw!$D$3:$D$9149,'Ref Data'!$B18),
_xlpm.start_date,MIN(Raw!$H$3:$H$9149),
_xlpm.end_date,MAX(Raw!$H$3:$H$9149),
_xlpm.nbr_days,_xlpm.end_date-_xlpm.start_date,
_xlpm.one_day_spend,_xlpm.total_spend/_xlpm.nbr_days,
_xlpm.one_day_spend*30)</f>
        <v>-1.9714360816612635E-2</v>
      </c>
      <c r="I18" s="179">
        <f>_xlfn.LET(_xlpm.end_date,MAX(Raw!$H$3:$H$9149),
_xlpm.start_date,_xlpm.end_date-30,
SUMIFS(Raw!$F$3:$F$9149,Raw!$H$3:$H$9149,"&gt;="&amp;_xlpm.start_date,Raw!$D$3:$D$9149,'Ref Data'!$B18)/30*7)</f>
        <v>0</v>
      </c>
      <c r="J18" s="179">
        <f>_xlfn.LET(_xlpm.end_date,MAX(Raw!$H$3:$H$9149),
_xlpm.start_date,EOMONTH(_xlpm.end_date,-12),
_xlpm.nbr_days,_xlpm.end_date-_xlpm.start_date,
_xlpm.ltm_spend,SUMIFS(Raw!$F$3:$F$9149,Raw!$H$3:$H$9149,"&gt;="&amp;_xlpm.start_date,Raw!$D$3:$D$9149,'Ref Data'!$B18),
_xlpm.one_day_spend,_xlpm.ltm_spend/_xlpm.nbr_days,
_xlpm.one_day_spend*7)</f>
        <v>-0.5817174515235457</v>
      </c>
      <c r="K18" s="179">
        <f>_xlfn.LET(_xlpm.total_spend,SUMIFS(Raw!$F$3:$F$9149,Raw!$D$3:$D$9149,'Ref Data'!$B18),
_xlpm.start_date,MIN(Raw!$H$3:$H$9149),
_xlpm.end_date,MAX(Raw!$H$3:$H$9149),
_xlpm.nbr_days,_xlpm.end_date-_xlpm.start_date,
_xlpm.one_day_spend,_xlpm.total_spend/_xlpm.nbr_days,
_xlpm.one_day_spend*7)</f>
        <v>-4.6000175238762814E-3</v>
      </c>
      <c r="L18" s="179">
        <f>_xlfn.LET(_xlpm.end_date,MAX(Raw!$H$3:$H$9149),
_xlpm.start_date,_xlpm.end_date-30,
SUMIFS(Raw!$F$3:$F$9149,Raw!$H$3:$H$9149,"&gt;="&amp;_xlpm.start_date,Raw!$D$3:$D$9149,'Ref Data'!$B18)/30)</f>
        <v>0</v>
      </c>
      <c r="M18" s="179">
        <f>_xlfn.LET(_xlpm.end_date,MAX(Raw!$H$3:$H$9149),
_xlpm.start_date,EOMONTH(_xlpm.end_date,-12),
_xlpm.nbr_days,_xlpm.end_date-_xlpm.start_date,
_xlpm.ltm_spend,SUMIFS(Raw!$F$3:$F$9149,Raw!$H$3:$H$9149,"&gt;="&amp;_xlpm.start_date,Raw!$D$3:$D$9149,'Ref Data'!$B18),
_xlpm.one_day_spend,_xlpm.ltm_spend/_xlpm.nbr_days,
_xlpm.one_day_spend)</f>
        <v>-8.3102493074792241E-2</v>
      </c>
      <c r="N18" s="179">
        <f>_xlfn.LET(_xlpm.total_spend,SUMIFS(Raw!$F$3:$F$9149,Raw!$D$3:$D$9149,'Ref Data'!$B18),
_xlpm.start_date,MIN(Raw!$H$3:$H$9149),
_xlpm.end_date,MAX(Raw!$H$3:$H$9149),
_xlpm.nbr_days,_xlpm.end_date-_xlpm.start_date,
_xlpm.one_day_spend,_xlpm.total_spend/_xlpm.nbr_days,
_xlpm.one_day_spend)</f>
        <v>-6.5714536055375453E-4</v>
      </c>
    </row>
    <row r="19" spans="1:14" x14ac:dyDescent="0.2">
      <c r="A19" s="26" t="s">
        <v>318</v>
      </c>
      <c r="B19" t="s">
        <v>280</v>
      </c>
      <c r="C19" s="179">
        <f ca="1">_xlfn.LET(_xlpm.end_date,MAX(Raw!$H$3:$H$9149),
_xlpm.start_date,_xlpm.end_date-30,
_xlpm.NTM_day_count,EDATE(TODAY(),12)-TODAY(),
_xlpm.total_spend,SUMIFS(Raw!$F$3:$F$9149,Raw!$H$3:$H$9149,"&gt;="&amp;_xlpm.start_date,Raw!$D$3:$D$9149,'Ref Data'!$B19),
_xlpm.one_day_spend,_xlpm.total_spend/30,
_xlpm.one_day_spend*_xlpm.NTM_day_count)</f>
        <v>0</v>
      </c>
      <c r="D19" s="179">
        <f>_xlfn.LET(_xlpm.end_date,MAX(Raw!$H$3:$H$9149),
_xlpm.start_date,EOMONTH(_xlpm.end_date,-12),
_xlpm.nbr_days,_xlpm.end_date-_xlpm.start_date,
_xlpm.ltm_spend,SUMIFS(Raw!$F$3:$F$9149,Raw!$H$3:$H$9149,"&gt;="&amp;_xlpm.start_date,Raw!$D$3:$D$9149,'Ref Data'!$B19),
_xlpm.ltm_spend)</f>
        <v>-20</v>
      </c>
      <c r="E19" s="179">
        <f ca="1">_xlfn.LET(_xlpm.total_spend,SUMIFS(Raw!$F$3:$F$9149,Raw!$D$3:$D$9149,'Ref Data'!$B19),
_xlpm.start_date,MIN(Raw!$H$3:$H$9149),
_xlpm.end_date,MAX(Raw!$H$3:$H$9149),
_xlpm.nbr_days,_xlpm.end_date-_xlpm.start_date,
_xlpm.NTM_day_count,EDATE(TODAY(),12)-TODAY(),
_xlpm.one_day_spend,_xlpm.total_spend/_xlpm.nbr_days,
_xlpm.one_day_spend*_xlpm.NTM_day_count)</f>
        <v>-0.15990537106808025</v>
      </c>
      <c r="F19" s="179">
        <f>_xlfn.LET(_xlpm.end_date,MAX(Raw!$H$3:$H$9149),
_xlpm.start_date,_xlpm.end_date-30,
SUMIFS(Raw!$F$3:$F$9149,Raw!$H$3:$H$9149,"&gt;="&amp;_xlpm.start_date,Raw!$D$3:$D$9149,'Ref Data'!$B19))</f>
        <v>0</v>
      </c>
      <c r="G19" s="179">
        <f>_xlfn.LET(_xlpm.end_date,MAX(Raw!$H$3:$H$9149),
_xlpm.start_date,EOMONTH(_xlpm.end_date,-12),
_xlpm.nbr_days,_xlpm.end_date-_xlpm.start_date,
_xlpm.ltm_spend,SUMIFS(Raw!$F$3:$F$9149,Raw!$H$3:$H$9149,"&gt;="&amp;_xlpm.start_date,Raw!$D$3:$D$9149,'Ref Data'!$B19),
_xlpm.one_day_spend,_xlpm.ltm_spend/_xlpm.nbr_days,
_xlpm.one_day_spend*30)</f>
        <v>-1.6620498614958448</v>
      </c>
      <c r="H19" s="179">
        <f>_xlfn.LET(_xlpm.total_spend,SUMIFS(Raw!$F$3:$F$9149,Raw!$D$3:$D$9149,'Ref Data'!$B19),
_xlpm.start_date,MIN(Raw!$H$3:$H$9149),
_xlpm.end_date,MAX(Raw!$H$3:$H$9149),
_xlpm.nbr_days,_xlpm.end_date-_xlpm.start_date,
_xlpm.one_day_spend,_xlpm.total_spend/_xlpm.nbr_days,
_xlpm.one_day_spend*30)</f>
        <v>-1.314290721107509E-2</v>
      </c>
      <c r="I19" s="179">
        <f>_xlfn.LET(_xlpm.end_date,MAX(Raw!$H$3:$H$9149),
_xlpm.start_date,_xlpm.end_date-30,
SUMIFS(Raw!$F$3:$F$9149,Raw!$H$3:$H$9149,"&gt;="&amp;_xlpm.start_date,Raw!$D$3:$D$9149,'Ref Data'!$B19)/30*7)</f>
        <v>0</v>
      </c>
      <c r="J19" s="179">
        <f>_xlfn.LET(_xlpm.end_date,MAX(Raw!$H$3:$H$9149),
_xlpm.start_date,EOMONTH(_xlpm.end_date,-12),
_xlpm.nbr_days,_xlpm.end_date-_xlpm.start_date,
_xlpm.ltm_spend,SUMIFS(Raw!$F$3:$F$9149,Raw!$H$3:$H$9149,"&gt;="&amp;_xlpm.start_date,Raw!$D$3:$D$9149,'Ref Data'!$B19),
_xlpm.one_day_spend,_xlpm.ltm_spend/_xlpm.nbr_days,
_xlpm.one_day_spend*7)</f>
        <v>-0.38781163434903043</v>
      </c>
      <c r="K19" s="179">
        <f>_xlfn.LET(_xlpm.total_spend,SUMIFS(Raw!$F$3:$F$9149,Raw!$D$3:$D$9149,'Ref Data'!$B19),
_xlpm.start_date,MIN(Raw!$H$3:$H$9149),
_xlpm.end_date,MAX(Raw!$H$3:$H$9149),
_xlpm.nbr_days,_xlpm.end_date-_xlpm.start_date,
_xlpm.one_day_spend,_xlpm.total_spend/_xlpm.nbr_days,
_xlpm.one_day_spend*7)</f>
        <v>-3.0666783492508541E-3</v>
      </c>
      <c r="L19" s="179">
        <f>_xlfn.LET(_xlpm.end_date,MAX(Raw!$H$3:$H$9149),
_xlpm.start_date,_xlpm.end_date-30,
SUMIFS(Raw!$F$3:$F$9149,Raw!$H$3:$H$9149,"&gt;="&amp;_xlpm.start_date,Raw!$D$3:$D$9149,'Ref Data'!$B19)/30)</f>
        <v>0</v>
      </c>
      <c r="M19" s="179">
        <f>_xlfn.LET(_xlpm.end_date,MAX(Raw!$H$3:$H$9149),
_xlpm.start_date,EOMONTH(_xlpm.end_date,-12),
_xlpm.nbr_days,_xlpm.end_date-_xlpm.start_date,
_xlpm.ltm_spend,SUMIFS(Raw!$F$3:$F$9149,Raw!$H$3:$H$9149,"&gt;="&amp;_xlpm.start_date,Raw!$D$3:$D$9149,'Ref Data'!$B19),
_xlpm.one_day_spend,_xlpm.ltm_spend/_xlpm.nbr_days,
_xlpm.one_day_spend)</f>
        <v>-5.5401662049861494E-2</v>
      </c>
      <c r="N19" s="179">
        <f>_xlfn.LET(_xlpm.total_spend,SUMIFS(Raw!$F$3:$F$9149,Raw!$D$3:$D$9149,'Ref Data'!$B19),
_xlpm.start_date,MIN(Raw!$H$3:$H$9149),
_xlpm.end_date,MAX(Raw!$H$3:$H$9149),
_xlpm.nbr_days,_xlpm.end_date-_xlpm.start_date,
_xlpm.one_day_spend,_xlpm.total_spend/_xlpm.nbr_days,
_xlpm.one_day_spend)</f>
        <v>-4.3809690703583632E-4</v>
      </c>
    </row>
    <row r="20" spans="1:14" x14ac:dyDescent="0.2">
      <c r="A20" s="26" t="s">
        <v>318</v>
      </c>
      <c r="B20" t="s">
        <v>296</v>
      </c>
      <c r="C20" s="179">
        <f ca="1">_xlfn.LET(_xlpm.end_date,MAX(Raw!$H$3:$H$9149),
_xlpm.start_date,_xlpm.end_date-30,
_xlpm.NTM_day_count,EDATE(TODAY(),12)-TODAY(),
_xlpm.total_spend,SUMIFS(Raw!$F$3:$F$9149,Raw!$H$3:$H$9149,"&gt;="&amp;_xlpm.start_date,Raw!$D$3:$D$9149,'Ref Data'!$B20),
_xlpm.one_day_spend,_xlpm.total_spend/30,
_xlpm.one_day_spend*_xlpm.NTM_day_count)</f>
        <v>0</v>
      </c>
      <c r="D20" s="179">
        <f>_xlfn.LET(_xlpm.end_date,MAX(Raw!$H$3:$H$9149),
_xlpm.start_date,EOMONTH(_xlpm.end_date,-12),
_xlpm.nbr_days,_xlpm.end_date-_xlpm.start_date,
_xlpm.ltm_spend,SUMIFS(Raw!$F$3:$F$9149,Raw!$H$3:$H$9149,"&gt;="&amp;_xlpm.start_date,Raw!$D$3:$D$9149,'Ref Data'!$B20),
_xlpm.ltm_spend)</f>
        <v>-75</v>
      </c>
      <c r="E20" s="179">
        <f ca="1">_xlfn.LET(_xlpm.total_spend,SUMIFS(Raw!$F$3:$F$9149,Raw!$D$3:$D$9149,'Ref Data'!$B20),
_xlpm.start_date,MIN(Raw!$H$3:$H$9149),
_xlpm.end_date,MAX(Raw!$H$3:$H$9149),
_xlpm.nbr_days,_xlpm.end_date-_xlpm.start_date,
_xlpm.NTM_day_count,EDATE(TODAY(),12)-TODAY(),
_xlpm.one_day_spend,_xlpm.total_spend/_xlpm.nbr_days,
_xlpm.one_day_spend*_xlpm.NTM_day_count)</f>
        <v>-0.59964514150530102</v>
      </c>
      <c r="F20" s="179">
        <f>_xlfn.LET(_xlpm.end_date,MAX(Raw!$H$3:$H$9149),
_xlpm.start_date,_xlpm.end_date-30,
SUMIFS(Raw!$F$3:$F$9149,Raw!$H$3:$H$9149,"&gt;="&amp;_xlpm.start_date,Raw!$D$3:$D$9149,'Ref Data'!$B20))</f>
        <v>0</v>
      </c>
      <c r="G20" s="179">
        <f>_xlfn.LET(_xlpm.end_date,MAX(Raw!$H$3:$H$9149),
_xlpm.start_date,EOMONTH(_xlpm.end_date,-12),
_xlpm.nbr_days,_xlpm.end_date-_xlpm.start_date,
_xlpm.ltm_spend,SUMIFS(Raw!$F$3:$F$9149,Raw!$H$3:$H$9149,"&gt;="&amp;_xlpm.start_date,Raw!$D$3:$D$9149,'Ref Data'!$B20),
_xlpm.one_day_spend,_xlpm.ltm_spend/_xlpm.nbr_days,
_xlpm.one_day_spend*30)</f>
        <v>-6.2326869806094178</v>
      </c>
      <c r="H20" s="179">
        <f>_xlfn.LET(_xlpm.total_spend,SUMIFS(Raw!$F$3:$F$9149,Raw!$D$3:$D$9149,'Ref Data'!$B20),
_xlpm.start_date,MIN(Raw!$H$3:$H$9149),
_xlpm.end_date,MAX(Raw!$H$3:$H$9149),
_xlpm.nbr_days,_xlpm.end_date-_xlpm.start_date,
_xlpm.one_day_spend,_xlpm.total_spend/_xlpm.nbr_days,
_xlpm.one_day_spend*30)</f>
        <v>-4.928590204153159E-2</v>
      </c>
      <c r="I20" s="179">
        <f>_xlfn.LET(_xlpm.end_date,MAX(Raw!$H$3:$H$9149),
_xlpm.start_date,_xlpm.end_date-30,
SUMIFS(Raw!$F$3:$F$9149,Raw!$H$3:$H$9149,"&gt;="&amp;_xlpm.start_date,Raw!$D$3:$D$9149,'Ref Data'!$B20)/30*7)</f>
        <v>0</v>
      </c>
      <c r="J20" s="179">
        <f>_xlfn.LET(_xlpm.end_date,MAX(Raw!$H$3:$H$9149),
_xlpm.start_date,EOMONTH(_xlpm.end_date,-12),
_xlpm.nbr_days,_xlpm.end_date-_xlpm.start_date,
_xlpm.ltm_spend,SUMIFS(Raw!$F$3:$F$9149,Raw!$H$3:$H$9149,"&gt;="&amp;_xlpm.start_date,Raw!$D$3:$D$9149,'Ref Data'!$B20),
_xlpm.one_day_spend,_xlpm.ltm_spend/_xlpm.nbr_days,
_xlpm.one_day_spend*7)</f>
        <v>-1.4542936288088641</v>
      </c>
      <c r="K20" s="179">
        <f>_xlfn.LET(_xlpm.total_spend,SUMIFS(Raw!$F$3:$F$9149,Raw!$D$3:$D$9149,'Ref Data'!$B20),
_xlpm.start_date,MIN(Raw!$H$3:$H$9149),
_xlpm.end_date,MAX(Raw!$H$3:$H$9149),
_xlpm.nbr_days,_xlpm.end_date-_xlpm.start_date,
_xlpm.one_day_spend,_xlpm.total_spend/_xlpm.nbr_days,
_xlpm.one_day_spend*7)</f>
        <v>-1.1500043809690705E-2</v>
      </c>
      <c r="L20" s="179">
        <f>_xlfn.LET(_xlpm.end_date,MAX(Raw!$H$3:$H$9149),
_xlpm.start_date,_xlpm.end_date-30,
SUMIFS(Raw!$F$3:$F$9149,Raw!$H$3:$H$9149,"&gt;="&amp;_xlpm.start_date,Raw!$D$3:$D$9149,'Ref Data'!$B20)/30)</f>
        <v>0</v>
      </c>
      <c r="M20" s="179">
        <f>_xlfn.LET(_xlpm.end_date,MAX(Raw!$H$3:$H$9149),
_xlpm.start_date,EOMONTH(_xlpm.end_date,-12),
_xlpm.nbr_days,_xlpm.end_date-_xlpm.start_date,
_xlpm.ltm_spend,SUMIFS(Raw!$F$3:$F$9149,Raw!$H$3:$H$9149,"&gt;="&amp;_xlpm.start_date,Raw!$D$3:$D$9149,'Ref Data'!$B20),
_xlpm.one_day_spend,_xlpm.ltm_spend/_xlpm.nbr_days,
_xlpm.one_day_spend)</f>
        <v>-0.2077562326869806</v>
      </c>
      <c r="N20" s="179">
        <f>_xlfn.LET(_xlpm.total_spend,SUMIFS(Raw!$F$3:$F$9149,Raw!$D$3:$D$9149,'Ref Data'!$B20),
_xlpm.start_date,MIN(Raw!$H$3:$H$9149),
_xlpm.end_date,MAX(Raw!$H$3:$H$9149),
_xlpm.nbr_days,_xlpm.end_date-_xlpm.start_date,
_xlpm.one_day_spend,_xlpm.total_spend/_xlpm.nbr_days,
_xlpm.one_day_spend)</f>
        <v>-1.6428634013843863E-3</v>
      </c>
    </row>
    <row r="21" spans="1:14" x14ac:dyDescent="0.2">
      <c r="A21" s="26" t="s">
        <v>17</v>
      </c>
      <c r="B21" t="s">
        <v>274</v>
      </c>
      <c r="C21" s="179">
        <f ca="1">_xlfn.LET(_xlpm.end_date,MAX(Raw!$H$3:$H$9149),
_xlpm.start_date,_xlpm.end_date-30,
_xlpm.NTM_day_count,EDATE(TODAY(),12)-TODAY(),
_xlpm.total_spend,SUMIFS(Raw!$F$3:$F$9149,Raw!$H$3:$H$9149,"&gt;="&amp;_xlpm.start_date,Raw!$D$3:$D$9149,'Ref Data'!$B21),
_xlpm.one_day_spend,_xlpm.total_spend/30,
_xlpm.one_day_spend*_xlpm.NTM_day_count)</f>
        <v>0</v>
      </c>
      <c r="D21" s="179">
        <f>_xlfn.LET(_xlpm.end_date,MAX(Raw!$H$3:$H$9149),
_xlpm.start_date,EOMONTH(_xlpm.end_date,-12),
_xlpm.nbr_days,_xlpm.end_date-_xlpm.start_date,
_xlpm.ltm_spend,SUMIFS(Raw!$F$3:$F$9149,Raw!$H$3:$H$9149,"&gt;="&amp;_xlpm.start_date,Raw!$D$3:$D$9149,'Ref Data'!$B21),
_xlpm.ltm_spend)</f>
        <v>-20</v>
      </c>
      <c r="E21" s="179">
        <f ca="1">_xlfn.LET(_xlpm.total_spend,SUMIFS(Raw!$F$3:$F$9149,Raw!$D$3:$D$9149,'Ref Data'!$B21),
_xlpm.start_date,MIN(Raw!$H$3:$H$9149),
_xlpm.end_date,MAX(Raw!$H$3:$H$9149),
_xlpm.nbr_days,_xlpm.end_date-_xlpm.start_date,
_xlpm.NTM_day_count,EDATE(TODAY(),12)-TODAY(),
_xlpm.one_day_spend,_xlpm.total_spend/_xlpm.nbr_days,
_xlpm.one_day_spend*_xlpm.NTM_day_count)</f>
        <v>-0.15990537106808025</v>
      </c>
      <c r="F21" s="179">
        <f>_xlfn.LET(_xlpm.end_date,MAX(Raw!$H$3:$H$9149),
_xlpm.start_date,_xlpm.end_date-30,
SUMIFS(Raw!$F$3:$F$9149,Raw!$H$3:$H$9149,"&gt;="&amp;_xlpm.start_date,Raw!$D$3:$D$9149,'Ref Data'!$B21))</f>
        <v>0</v>
      </c>
      <c r="G21" s="179">
        <f>_xlfn.LET(_xlpm.end_date,MAX(Raw!$H$3:$H$9149),
_xlpm.start_date,EOMONTH(_xlpm.end_date,-12),
_xlpm.nbr_days,_xlpm.end_date-_xlpm.start_date,
_xlpm.ltm_spend,SUMIFS(Raw!$F$3:$F$9149,Raw!$H$3:$H$9149,"&gt;="&amp;_xlpm.start_date,Raw!$D$3:$D$9149,'Ref Data'!$B21),
_xlpm.one_day_spend,_xlpm.ltm_spend/_xlpm.nbr_days,
_xlpm.one_day_spend*30)</f>
        <v>-1.6620498614958448</v>
      </c>
      <c r="H21" s="179">
        <f>_xlfn.LET(_xlpm.total_spend,SUMIFS(Raw!$F$3:$F$9149,Raw!$D$3:$D$9149,'Ref Data'!$B21),
_xlpm.start_date,MIN(Raw!$H$3:$H$9149),
_xlpm.end_date,MAX(Raw!$H$3:$H$9149),
_xlpm.nbr_days,_xlpm.end_date-_xlpm.start_date,
_xlpm.one_day_spend,_xlpm.total_spend/_xlpm.nbr_days,
_xlpm.one_day_spend*30)</f>
        <v>-1.314290721107509E-2</v>
      </c>
      <c r="I21" s="179">
        <f>_xlfn.LET(_xlpm.end_date,MAX(Raw!$H$3:$H$9149),
_xlpm.start_date,_xlpm.end_date-30,
SUMIFS(Raw!$F$3:$F$9149,Raw!$H$3:$H$9149,"&gt;="&amp;_xlpm.start_date,Raw!$D$3:$D$9149,'Ref Data'!$B21)/30*7)</f>
        <v>0</v>
      </c>
      <c r="J21" s="179">
        <f>_xlfn.LET(_xlpm.end_date,MAX(Raw!$H$3:$H$9149),
_xlpm.start_date,EOMONTH(_xlpm.end_date,-12),
_xlpm.nbr_days,_xlpm.end_date-_xlpm.start_date,
_xlpm.ltm_spend,SUMIFS(Raw!$F$3:$F$9149,Raw!$H$3:$H$9149,"&gt;="&amp;_xlpm.start_date,Raw!$D$3:$D$9149,'Ref Data'!$B21),
_xlpm.one_day_spend,_xlpm.ltm_spend/_xlpm.nbr_days,
_xlpm.one_day_spend*7)</f>
        <v>-0.38781163434903043</v>
      </c>
      <c r="K21" s="179">
        <f>_xlfn.LET(_xlpm.total_spend,SUMIFS(Raw!$F$3:$F$9149,Raw!$D$3:$D$9149,'Ref Data'!$B21),
_xlpm.start_date,MIN(Raw!$H$3:$H$9149),
_xlpm.end_date,MAX(Raw!$H$3:$H$9149),
_xlpm.nbr_days,_xlpm.end_date-_xlpm.start_date,
_xlpm.one_day_spend,_xlpm.total_spend/_xlpm.nbr_days,
_xlpm.one_day_spend*7)</f>
        <v>-3.0666783492508541E-3</v>
      </c>
      <c r="L21" s="179">
        <f>_xlfn.LET(_xlpm.end_date,MAX(Raw!$H$3:$H$9149),
_xlpm.start_date,_xlpm.end_date-30,
SUMIFS(Raw!$F$3:$F$9149,Raw!$H$3:$H$9149,"&gt;="&amp;_xlpm.start_date,Raw!$D$3:$D$9149,'Ref Data'!$B21)/30)</f>
        <v>0</v>
      </c>
      <c r="M21" s="179">
        <f>_xlfn.LET(_xlpm.end_date,MAX(Raw!$H$3:$H$9149),
_xlpm.start_date,EOMONTH(_xlpm.end_date,-12),
_xlpm.nbr_days,_xlpm.end_date-_xlpm.start_date,
_xlpm.ltm_spend,SUMIFS(Raw!$F$3:$F$9149,Raw!$H$3:$H$9149,"&gt;="&amp;_xlpm.start_date,Raw!$D$3:$D$9149,'Ref Data'!$B21),
_xlpm.one_day_spend,_xlpm.ltm_spend/_xlpm.nbr_days,
_xlpm.one_day_spend)</f>
        <v>-5.5401662049861494E-2</v>
      </c>
      <c r="N21" s="179">
        <f>_xlfn.LET(_xlpm.total_spend,SUMIFS(Raw!$F$3:$F$9149,Raw!$D$3:$D$9149,'Ref Data'!$B21),
_xlpm.start_date,MIN(Raw!$H$3:$H$9149),
_xlpm.end_date,MAX(Raw!$H$3:$H$9149),
_xlpm.nbr_days,_xlpm.end_date-_xlpm.start_date,
_xlpm.one_day_spend,_xlpm.total_spend/_xlpm.nbr_days,
_xlpm.one_day_spend)</f>
        <v>-4.3809690703583632E-4</v>
      </c>
    </row>
    <row r="22" spans="1:14" x14ac:dyDescent="0.2">
      <c r="A22" t="s">
        <v>236</v>
      </c>
      <c r="B22" t="s">
        <v>236</v>
      </c>
      <c r="C22" s="179">
        <f ca="1">_xlfn.LET(_xlpm.end_date,MAX(Raw!$H$3:$H$9149),
_xlpm.start_date,_xlpm.end_date-30,
_xlpm.NTM_day_count,EDATE(TODAY(),12)-TODAY(),
_xlpm.total_spend,SUMIFS(Raw!$F$3:$F$9149,Raw!$H$3:$H$9149,"&gt;="&amp;_xlpm.start_date,Raw!$D$3:$D$9149,'Ref Data'!$B22),
_xlpm.one_day_spend,_xlpm.total_spend/30,
_xlpm.one_day_spend*_xlpm.NTM_day_count)</f>
        <v>0</v>
      </c>
      <c r="D22" s="179">
        <f>_xlfn.LET(_xlpm.end_date,MAX(Raw!$H$3:$H$9149),
_xlpm.start_date,EOMONTH(_xlpm.end_date,-12),
_xlpm.nbr_days,_xlpm.end_date-_xlpm.start_date,
_xlpm.ltm_spend,SUMIFS(Raw!$F$3:$F$9149,Raw!$H$3:$H$9149,"&gt;="&amp;_xlpm.start_date,Raw!$D$3:$D$9149,'Ref Data'!$B22),
_xlpm.ltm_spend)</f>
        <v>-330</v>
      </c>
      <c r="E22" s="179">
        <f ca="1">_xlfn.LET(_xlpm.total_spend,SUMIFS(Raw!$F$3:$F$9149,Raw!$D$3:$D$9149,'Ref Data'!$B22),
_xlpm.start_date,MIN(Raw!$H$3:$H$9149),
_xlpm.end_date,MAX(Raw!$H$3:$H$9149),
_xlpm.nbr_days,_xlpm.end_date-_xlpm.start_date,
_xlpm.NTM_day_count,EDATE(TODAY(),12)-TODAY(),
_xlpm.one_day_spend,_xlpm.total_spend/_xlpm.nbr_days,
_xlpm.one_day_spend*_xlpm.NTM_day_count)</f>
        <v>-2.6384386226233243</v>
      </c>
      <c r="F22" s="179">
        <f>_xlfn.LET(_xlpm.end_date,MAX(Raw!$H$3:$H$9149),
_xlpm.start_date,_xlpm.end_date-30,
SUMIFS(Raw!$F$3:$F$9149,Raw!$H$3:$H$9149,"&gt;="&amp;_xlpm.start_date,Raw!$D$3:$D$9149,'Ref Data'!$B22))</f>
        <v>0</v>
      </c>
      <c r="G22" s="179">
        <f>_xlfn.LET(_xlpm.end_date,MAX(Raw!$H$3:$H$9149),
_xlpm.start_date,EOMONTH(_xlpm.end_date,-12),
_xlpm.nbr_days,_xlpm.end_date-_xlpm.start_date,
_xlpm.ltm_spend,SUMIFS(Raw!$F$3:$F$9149,Raw!$H$3:$H$9149,"&gt;="&amp;_xlpm.start_date,Raw!$D$3:$D$9149,'Ref Data'!$B22),
_xlpm.one_day_spend,_xlpm.ltm_spend/_xlpm.nbr_days,
_xlpm.one_day_spend*30)</f>
        <v>-27.423822714681442</v>
      </c>
      <c r="H22" s="179">
        <f>_xlfn.LET(_xlpm.total_spend,SUMIFS(Raw!$F$3:$F$9149,Raw!$D$3:$D$9149,'Ref Data'!$B22),
_xlpm.start_date,MIN(Raw!$H$3:$H$9149),
_xlpm.end_date,MAX(Raw!$H$3:$H$9149),
_xlpm.nbr_days,_xlpm.end_date-_xlpm.start_date,
_xlpm.one_day_spend,_xlpm.total_spend/_xlpm.nbr_days,
_xlpm.one_day_spend*30)</f>
        <v>-0.21685796898273899</v>
      </c>
      <c r="I22" s="179">
        <f>_xlfn.LET(_xlpm.end_date,MAX(Raw!$H$3:$H$9149),
_xlpm.start_date,_xlpm.end_date-30,
SUMIFS(Raw!$F$3:$F$9149,Raw!$H$3:$H$9149,"&gt;="&amp;_xlpm.start_date,Raw!$D$3:$D$9149,'Ref Data'!$B22)/30*7)</f>
        <v>0</v>
      </c>
      <c r="J22" s="179">
        <f>_xlfn.LET(_xlpm.end_date,MAX(Raw!$H$3:$H$9149),
_xlpm.start_date,EOMONTH(_xlpm.end_date,-12),
_xlpm.nbr_days,_xlpm.end_date-_xlpm.start_date,
_xlpm.ltm_spend,SUMIFS(Raw!$F$3:$F$9149,Raw!$H$3:$H$9149,"&gt;="&amp;_xlpm.start_date,Raw!$D$3:$D$9149,'Ref Data'!$B22),
_xlpm.one_day_spend,_xlpm.ltm_spend/_xlpm.nbr_days,
_xlpm.one_day_spend*7)</f>
        <v>-6.3988919667590034</v>
      </c>
      <c r="K22" s="179">
        <f>_xlfn.LET(_xlpm.total_spend,SUMIFS(Raw!$F$3:$F$9149,Raw!$D$3:$D$9149,'Ref Data'!$B22),
_xlpm.start_date,MIN(Raw!$H$3:$H$9149),
_xlpm.end_date,MAX(Raw!$H$3:$H$9149),
_xlpm.nbr_days,_xlpm.end_date-_xlpm.start_date,
_xlpm.one_day_spend,_xlpm.total_spend/_xlpm.nbr_days,
_xlpm.one_day_spend*7)</f>
        <v>-5.0600192762639093E-2</v>
      </c>
      <c r="L22" s="179">
        <f>_xlfn.LET(_xlpm.end_date,MAX(Raw!$H$3:$H$9149),
_xlpm.start_date,_xlpm.end_date-30,
SUMIFS(Raw!$F$3:$F$9149,Raw!$H$3:$H$9149,"&gt;="&amp;_xlpm.start_date,Raw!$D$3:$D$9149,'Ref Data'!$B22)/30)</f>
        <v>0</v>
      </c>
      <c r="M22" s="179">
        <f>_xlfn.LET(_xlpm.end_date,MAX(Raw!$H$3:$H$9149),
_xlpm.start_date,EOMONTH(_xlpm.end_date,-12),
_xlpm.nbr_days,_xlpm.end_date-_xlpm.start_date,
_xlpm.ltm_spend,SUMIFS(Raw!$F$3:$F$9149,Raw!$H$3:$H$9149,"&gt;="&amp;_xlpm.start_date,Raw!$D$3:$D$9149,'Ref Data'!$B22),
_xlpm.one_day_spend,_xlpm.ltm_spend/_xlpm.nbr_days,
_xlpm.one_day_spend)</f>
        <v>-0.91412742382271472</v>
      </c>
      <c r="N22" s="179">
        <f>_xlfn.LET(_xlpm.total_spend,SUMIFS(Raw!$F$3:$F$9149,Raw!$D$3:$D$9149,'Ref Data'!$B22),
_xlpm.start_date,MIN(Raw!$H$3:$H$9149),
_xlpm.end_date,MAX(Raw!$H$3:$H$9149),
_xlpm.nbr_days,_xlpm.end_date-_xlpm.start_date,
_xlpm.one_day_spend,_xlpm.total_spend/_xlpm.nbr_days,
_xlpm.one_day_spend)</f>
        <v>-7.2285989660912991E-3</v>
      </c>
    </row>
    <row r="23" spans="1:14" x14ac:dyDescent="0.2">
      <c r="A23" t="s">
        <v>320</v>
      </c>
      <c r="B23" t="s">
        <v>269</v>
      </c>
      <c r="C23" s="179">
        <f ca="1">_xlfn.LET(_xlpm.end_date,MAX(Raw!$H$3:$H$9149),
_xlpm.start_date,_xlpm.end_date-30,
_xlpm.NTM_day_count,EDATE(TODAY(),12)-TODAY(),
_xlpm.total_spend,SUMIFS(Raw!$F$3:$F$9149,Raw!$H$3:$H$9149,"&gt;="&amp;_xlpm.start_date,Raw!$D$3:$D$9149,'Ref Data'!$B23),
_xlpm.one_day_spend,_xlpm.total_spend/30,
_xlpm.one_day_spend*_xlpm.NTM_day_count)</f>
        <v>0</v>
      </c>
      <c r="D23" s="179">
        <f>_xlfn.LET(_xlpm.end_date,MAX(Raw!$H$3:$H$9149),
_xlpm.start_date,EOMONTH(_xlpm.end_date,-12),
_xlpm.nbr_days,_xlpm.end_date-_xlpm.start_date,
_xlpm.ltm_spend,SUMIFS(Raw!$F$3:$F$9149,Raw!$H$3:$H$9149,"&gt;="&amp;_xlpm.start_date,Raw!$D$3:$D$9149,'Ref Data'!$B23),
_xlpm.ltm_spend)</f>
        <v>-4.9800000000000004</v>
      </c>
      <c r="E23" s="179">
        <f ca="1">_xlfn.LET(_xlpm.total_spend,SUMIFS(Raw!$F$3:$F$9149,Raw!$D$3:$D$9149,'Ref Data'!$B23),
_xlpm.start_date,MIN(Raw!$H$3:$H$9149),
_xlpm.end_date,MAX(Raw!$H$3:$H$9149),
_xlpm.nbr_days,_xlpm.end_date-_xlpm.start_date,
_xlpm.NTM_day_count,EDATE(TODAY(),12)-TODAY(),
_xlpm.one_day_spend,_xlpm.total_spend/_xlpm.nbr_days,
_xlpm.one_day_spend*_xlpm.NTM_day_count)</f>
        <v>-3.981643739595199E-2</v>
      </c>
      <c r="F23" s="179">
        <f>_xlfn.LET(_xlpm.end_date,MAX(Raw!$H$3:$H$9149),
_xlpm.start_date,_xlpm.end_date-30,
SUMIFS(Raw!$F$3:$F$9149,Raw!$H$3:$H$9149,"&gt;="&amp;_xlpm.start_date,Raw!$D$3:$D$9149,'Ref Data'!$B23))</f>
        <v>0</v>
      </c>
      <c r="G23" s="179">
        <f>_xlfn.LET(_xlpm.end_date,MAX(Raw!$H$3:$H$9149),
_xlpm.start_date,EOMONTH(_xlpm.end_date,-12),
_xlpm.nbr_days,_xlpm.end_date-_xlpm.start_date,
_xlpm.ltm_spend,SUMIFS(Raw!$F$3:$F$9149,Raw!$H$3:$H$9149,"&gt;="&amp;_xlpm.start_date,Raw!$D$3:$D$9149,'Ref Data'!$B23),
_xlpm.one_day_spend,_xlpm.ltm_spend/_xlpm.nbr_days,
_xlpm.one_day_spend*30)</f>
        <v>-0.41385041551246543</v>
      </c>
      <c r="H23" s="179">
        <f>_xlfn.LET(_xlpm.total_spend,SUMIFS(Raw!$F$3:$F$9149,Raw!$D$3:$D$9149,'Ref Data'!$B23),
_xlpm.start_date,MIN(Raw!$H$3:$H$9149),
_xlpm.end_date,MAX(Raw!$H$3:$H$9149),
_xlpm.nbr_days,_xlpm.end_date-_xlpm.start_date,
_xlpm.one_day_spend,_xlpm.total_spend/_xlpm.nbr_days,
_xlpm.one_day_spend*30)</f>
        <v>-3.2725838955576978E-3</v>
      </c>
      <c r="I23" s="179">
        <f>_xlfn.LET(_xlpm.end_date,MAX(Raw!$H$3:$H$9149),
_xlpm.start_date,_xlpm.end_date-30,
SUMIFS(Raw!$F$3:$F$9149,Raw!$H$3:$H$9149,"&gt;="&amp;_xlpm.start_date,Raw!$D$3:$D$9149,'Ref Data'!$B23)/30*7)</f>
        <v>0</v>
      </c>
      <c r="J23" s="179">
        <f>_xlfn.LET(_xlpm.end_date,MAX(Raw!$H$3:$H$9149),
_xlpm.start_date,EOMONTH(_xlpm.end_date,-12),
_xlpm.nbr_days,_xlpm.end_date-_xlpm.start_date,
_xlpm.ltm_spend,SUMIFS(Raw!$F$3:$F$9149,Raw!$H$3:$H$9149,"&gt;="&amp;_xlpm.start_date,Raw!$D$3:$D$9149,'Ref Data'!$B23),
_xlpm.one_day_spend,_xlpm.ltm_spend/_xlpm.nbr_days,
_xlpm.one_day_spend*7)</f>
        <v>-9.6565096952908602E-2</v>
      </c>
      <c r="K23" s="179">
        <f>_xlfn.LET(_xlpm.total_spend,SUMIFS(Raw!$F$3:$F$9149,Raw!$D$3:$D$9149,'Ref Data'!$B23),
_xlpm.start_date,MIN(Raw!$H$3:$H$9149),
_xlpm.end_date,MAX(Raw!$H$3:$H$9149),
_xlpm.nbr_days,_xlpm.end_date-_xlpm.start_date,
_xlpm.one_day_spend,_xlpm.total_spend/_xlpm.nbr_days,
_xlpm.one_day_spend*7)</f>
        <v>-7.6360290896346282E-4</v>
      </c>
      <c r="L23" s="179">
        <f>_xlfn.LET(_xlpm.end_date,MAX(Raw!$H$3:$H$9149),
_xlpm.start_date,_xlpm.end_date-30,
SUMIFS(Raw!$F$3:$F$9149,Raw!$H$3:$H$9149,"&gt;="&amp;_xlpm.start_date,Raw!$D$3:$D$9149,'Ref Data'!$B23)/30)</f>
        <v>0</v>
      </c>
      <c r="M23" s="179">
        <f>_xlfn.LET(_xlpm.end_date,MAX(Raw!$H$3:$H$9149),
_xlpm.start_date,EOMONTH(_xlpm.end_date,-12),
_xlpm.nbr_days,_xlpm.end_date-_xlpm.start_date,
_xlpm.ltm_spend,SUMIFS(Raw!$F$3:$F$9149,Raw!$H$3:$H$9149,"&gt;="&amp;_xlpm.start_date,Raw!$D$3:$D$9149,'Ref Data'!$B23),
_xlpm.one_day_spend,_xlpm.ltm_spend/_xlpm.nbr_days,
_xlpm.one_day_spend)</f>
        <v>-1.3795013850415514E-2</v>
      </c>
      <c r="N23" s="179">
        <f>_xlfn.LET(_xlpm.total_spend,SUMIFS(Raw!$F$3:$F$9149,Raw!$D$3:$D$9149,'Ref Data'!$B23),
_xlpm.start_date,MIN(Raw!$H$3:$H$9149),
_xlpm.end_date,MAX(Raw!$H$3:$H$9149),
_xlpm.nbr_days,_xlpm.end_date-_xlpm.start_date,
_xlpm.one_day_spend,_xlpm.total_spend/_xlpm.nbr_days,
_xlpm.one_day_spend)</f>
        <v>-1.0908612985192326E-4</v>
      </c>
    </row>
    <row r="24" spans="1:14" x14ac:dyDescent="0.2">
      <c r="A24" s="26" t="s">
        <v>99</v>
      </c>
      <c r="B24" t="s">
        <v>232</v>
      </c>
      <c r="C24" s="179">
        <f ca="1">_xlfn.LET(_xlpm.end_date,MAX(Raw!$H$3:$H$9149),
_xlpm.start_date,_xlpm.end_date-30,
_xlpm.NTM_day_count,EDATE(TODAY(),12)-TODAY(),
_xlpm.total_spend,SUMIFS(Raw!$F$3:$F$9149,Raw!$H$3:$H$9149,"&gt;="&amp;_xlpm.start_date,Raw!$D$3:$D$9149,'Ref Data'!$B24),
_xlpm.one_day_spend,_xlpm.total_spend/30,
_xlpm.one_day_spend*_xlpm.NTM_day_count)</f>
        <v>0</v>
      </c>
      <c r="D24" s="179">
        <f>_xlfn.LET(_xlpm.end_date,MAX(Raw!$H$3:$H$9149),
_xlpm.start_date,EOMONTH(_xlpm.end_date,-12),
_xlpm.nbr_days,_xlpm.end_date-_xlpm.start_date,
_xlpm.ltm_spend,SUMIFS(Raw!$F$3:$F$9149,Raw!$H$3:$H$9149,"&gt;="&amp;_xlpm.start_date,Raw!$D$3:$D$9149,'Ref Data'!$B24),
_xlpm.ltm_spend)</f>
        <v>-30</v>
      </c>
      <c r="E24" s="179">
        <f ca="1">_xlfn.LET(_xlpm.total_spend,SUMIFS(Raw!$F$3:$F$9149,Raw!$D$3:$D$9149,'Ref Data'!$B24),
_xlpm.start_date,MIN(Raw!$H$3:$H$9149),
_xlpm.end_date,MAX(Raw!$H$3:$H$9149),
_xlpm.nbr_days,_xlpm.end_date-_xlpm.start_date,
_xlpm.NTM_day_count,EDATE(TODAY(),12)-TODAY(),
_xlpm.one_day_spend,_xlpm.total_spend/_xlpm.nbr_days,
_xlpm.one_day_spend*_xlpm.NTM_day_count)</f>
        <v>-0.2398580566021204</v>
      </c>
      <c r="F24" s="179">
        <f>_xlfn.LET(_xlpm.end_date,MAX(Raw!$H$3:$H$9149),
_xlpm.start_date,_xlpm.end_date-30,
SUMIFS(Raw!$F$3:$F$9149,Raw!$H$3:$H$9149,"&gt;="&amp;_xlpm.start_date,Raw!$D$3:$D$9149,'Ref Data'!$B24))</f>
        <v>0</v>
      </c>
      <c r="G24" s="179">
        <f>_xlfn.LET(_xlpm.end_date,MAX(Raw!$H$3:$H$9149),
_xlpm.start_date,EOMONTH(_xlpm.end_date,-12),
_xlpm.nbr_days,_xlpm.end_date-_xlpm.start_date,
_xlpm.ltm_spend,SUMIFS(Raw!$F$3:$F$9149,Raw!$H$3:$H$9149,"&gt;="&amp;_xlpm.start_date,Raw!$D$3:$D$9149,'Ref Data'!$B24),
_xlpm.one_day_spend,_xlpm.ltm_spend/_xlpm.nbr_days,
_xlpm.one_day_spend*30)</f>
        <v>-2.493074792243767</v>
      </c>
      <c r="H24" s="179">
        <f>_xlfn.LET(_xlpm.total_spend,SUMIFS(Raw!$F$3:$F$9149,Raw!$D$3:$D$9149,'Ref Data'!$B24),
_xlpm.start_date,MIN(Raw!$H$3:$H$9149),
_xlpm.end_date,MAX(Raw!$H$3:$H$9149),
_xlpm.nbr_days,_xlpm.end_date-_xlpm.start_date,
_xlpm.one_day_spend,_xlpm.total_spend/_xlpm.nbr_days,
_xlpm.one_day_spend*30)</f>
        <v>-1.9714360816612635E-2</v>
      </c>
      <c r="I24" s="179">
        <f>_xlfn.LET(_xlpm.end_date,MAX(Raw!$H$3:$H$9149),
_xlpm.start_date,_xlpm.end_date-30,
SUMIFS(Raw!$F$3:$F$9149,Raw!$H$3:$H$9149,"&gt;="&amp;_xlpm.start_date,Raw!$D$3:$D$9149,'Ref Data'!$B24)/30*7)</f>
        <v>0</v>
      </c>
      <c r="J24" s="179">
        <f>_xlfn.LET(_xlpm.end_date,MAX(Raw!$H$3:$H$9149),
_xlpm.start_date,EOMONTH(_xlpm.end_date,-12),
_xlpm.nbr_days,_xlpm.end_date-_xlpm.start_date,
_xlpm.ltm_spend,SUMIFS(Raw!$F$3:$F$9149,Raw!$H$3:$H$9149,"&gt;="&amp;_xlpm.start_date,Raw!$D$3:$D$9149,'Ref Data'!$B24),
_xlpm.one_day_spend,_xlpm.ltm_spend/_xlpm.nbr_days,
_xlpm.one_day_spend*7)</f>
        <v>-0.5817174515235457</v>
      </c>
      <c r="K24" s="179">
        <f>_xlfn.LET(_xlpm.total_spend,SUMIFS(Raw!$F$3:$F$9149,Raw!$D$3:$D$9149,'Ref Data'!$B24),
_xlpm.start_date,MIN(Raw!$H$3:$H$9149),
_xlpm.end_date,MAX(Raw!$H$3:$H$9149),
_xlpm.nbr_days,_xlpm.end_date-_xlpm.start_date,
_xlpm.one_day_spend,_xlpm.total_spend/_xlpm.nbr_days,
_xlpm.one_day_spend*7)</f>
        <v>-4.6000175238762814E-3</v>
      </c>
      <c r="L24" s="179">
        <f>_xlfn.LET(_xlpm.end_date,MAX(Raw!$H$3:$H$9149),
_xlpm.start_date,_xlpm.end_date-30,
SUMIFS(Raw!$F$3:$F$9149,Raw!$H$3:$H$9149,"&gt;="&amp;_xlpm.start_date,Raw!$D$3:$D$9149,'Ref Data'!$B24)/30)</f>
        <v>0</v>
      </c>
      <c r="M24" s="179">
        <f>_xlfn.LET(_xlpm.end_date,MAX(Raw!$H$3:$H$9149),
_xlpm.start_date,EOMONTH(_xlpm.end_date,-12),
_xlpm.nbr_days,_xlpm.end_date-_xlpm.start_date,
_xlpm.ltm_spend,SUMIFS(Raw!$F$3:$F$9149,Raw!$H$3:$H$9149,"&gt;="&amp;_xlpm.start_date,Raw!$D$3:$D$9149,'Ref Data'!$B24),
_xlpm.one_day_spend,_xlpm.ltm_spend/_xlpm.nbr_days,
_xlpm.one_day_spend)</f>
        <v>-8.3102493074792241E-2</v>
      </c>
      <c r="N24" s="179">
        <f>_xlfn.LET(_xlpm.total_spend,SUMIFS(Raw!$F$3:$F$9149,Raw!$D$3:$D$9149,'Ref Data'!$B24),
_xlpm.start_date,MIN(Raw!$H$3:$H$9149),
_xlpm.end_date,MAX(Raw!$H$3:$H$9149),
_xlpm.nbr_days,_xlpm.end_date-_xlpm.start_date,
_xlpm.one_day_spend,_xlpm.total_spend/_xlpm.nbr_days,
_xlpm.one_day_spend)</f>
        <v>-6.5714536055375453E-4</v>
      </c>
    </row>
    <row r="25" spans="1:14" x14ac:dyDescent="0.2">
      <c r="A25" s="26" t="s">
        <v>99</v>
      </c>
      <c r="B25" t="s">
        <v>235</v>
      </c>
      <c r="C25" s="179">
        <f ca="1">_xlfn.LET(_xlpm.end_date,MAX(Raw!$H$3:$H$9149),
_xlpm.start_date,_xlpm.end_date-30,
_xlpm.NTM_day_count,EDATE(TODAY(),12)-TODAY(),
_xlpm.total_spend,SUMIFS(Raw!$F$3:$F$9149,Raw!$H$3:$H$9149,"&gt;="&amp;_xlpm.start_date,Raw!$D$3:$D$9149,'Ref Data'!$B25),
_xlpm.one_day_spend,_xlpm.total_spend/30,
_xlpm.one_day_spend*_xlpm.NTM_day_count)</f>
        <v>0</v>
      </c>
      <c r="D25" s="179">
        <f>_xlfn.LET(_xlpm.end_date,MAX(Raw!$H$3:$H$9149),
_xlpm.start_date,EOMONTH(_xlpm.end_date,-12),
_xlpm.nbr_days,_xlpm.end_date-_xlpm.start_date,
_xlpm.ltm_spend,SUMIFS(Raw!$F$3:$F$9149,Raw!$H$3:$H$9149,"&gt;="&amp;_xlpm.start_date,Raw!$D$3:$D$9149,'Ref Data'!$B25),
_xlpm.ltm_spend)</f>
        <v>1000</v>
      </c>
      <c r="E25" s="179">
        <f ca="1">_xlfn.LET(_xlpm.total_spend,SUMIFS(Raw!$F$3:$F$9149,Raw!$D$3:$D$9149,'Ref Data'!$B25),
_xlpm.start_date,MIN(Raw!$H$3:$H$9149),
_xlpm.end_date,MAX(Raw!$H$3:$H$9149),
_xlpm.nbr_days,_xlpm.end_date-_xlpm.start_date,
_xlpm.NTM_day_count,EDATE(TODAY(),12)-TODAY(),
_xlpm.one_day_spend,_xlpm.total_spend/_xlpm.nbr_days,
_xlpm.one_day_spend*_xlpm.NTM_day_count)</f>
        <v>7.9952685534040135</v>
      </c>
      <c r="F25" s="179">
        <f>_xlfn.LET(_xlpm.end_date,MAX(Raw!$H$3:$H$9149),
_xlpm.start_date,_xlpm.end_date-30,
SUMIFS(Raw!$F$3:$F$9149,Raw!$H$3:$H$9149,"&gt;="&amp;_xlpm.start_date,Raw!$D$3:$D$9149,'Ref Data'!$B25))</f>
        <v>0</v>
      </c>
      <c r="G25" s="179">
        <f>_xlfn.LET(_xlpm.end_date,MAX(Raw!$H$3:$H$9149),
_xlpm.start_date,EOMONTH(_xlpm.end_date,-12),
_xlpm.nbr_days,_xlpm.end_date-_xlpm.start_date,
_xlpm.ltm_spend,SUMIFS(Raw!$F$3:$F$9149,Raw!$H$3:$H$9149,"&gt;="&amp;_xlpm.start_date,Raw!$D$3:$D$9149,'Ref Data'!$B25),
_xlpm.one_day_spend,_xlpm.ltm_spend/_xlpm.nbr_days,
_xlpm.one_day_spend*30)</f>
        <v>83.10249307479225</v>
      </c>
      <c r="H25" s="179">
        <f>_xlfn.LET(_xlpm.total_spend,SUMIFS(Raw!$F$3:$F$9149,Raw!$D$3:$D$9149,'Ref Data'!$B25),
_xlpm.start_date,MIN(Raw!$H$3:$H$9149),
_xlpm.end_date,MAX(Raw!$H$3:$H$9149),
_xlpm.nbr_days,_xlpm.end_date-_xlpm.start_date,
_xlpm.one_day_spend,_xlpm.total_spend/_xlpm.nbr_days,
_xlpm.one_day_spend*30)</f>
        <v>0.6571453605537545</v>
      </c>
      <c r="I25" s="179">
        <f>_xlfn.LET(_xlpm.end_date,MAX(Raw!$H$3:$H$9149),
_xlpm.start_date,_xlpm.end_date-30,
SUMIFS(Raw!$F$3:$F$9149,Raw!$H$3:$H$9149,"&gt;="&amp;_xlpm.start_date,Raw!$D$3:$D$9149,'Ref Data'!$B25)/30*7)</f>
        <v>0</v>
      </c>
      <c r="J25" s="179">
        <f>_xlfn.LET(_xlpm.end_date,MAX(Raw!$H$3:$H$9149),
_xlpm.start_date,EOMONTH(_xlpm.end_date,-12),
_xlpm.nbr_days,_xlpm.end_date-_xlpm.start_date,
_xlpm.ltm_spend,SUMIFS(Raw!$F$3:$F$9149,Raw!$H$3:$H$9149,"&gt;="&amp;_xlpm.start_date,Raw!$D$3:$D$9149,'Ref Data'!$B25),
_xlpm.one_day_spend,_xlpm.ltm_spend/_xlpm.nbr_days,
_xlpm.one_day_spend*7)</f>
        <v>19.390581717451525</v>
      </c>
      <c r="K25" s="179">
        <f>_xlfn.LET(_xlpm.total_spend,SUMIFS(Raw!$F$3:$F$9149,Raw!$D$3:$D$9149,'Ref Data'!$B25),
_xlpm.start_date,MIN(Raw!$H$3:$H$9149),
_xlpm.end_date,MAX(Raw!$H$3:$H$9149),
_xlpm.nbr_days,_xlpm.end_date-_xlpm.start_date,
_xlpm.one_day_spend,_xlpm.total_spend/_xlpm.nbr_days,
_xlpm.one_day_spend*7)</f>
        <v>0.15333391746254271</v>
      </c>
      <c r="L25" s="179">
        <f>_xlfn.LET(_xlpm.end_date,MAX(Raw!$H$3:$H$9149),
_xlpm.start_date,_xlpm.end_date-30,
SUMIFS(Raw!$F$3:$F$9149,Raw!$H$3:$H$9149,"&gt;="&amp;_xlpm.start_date,Raw!$D$3:$D$9149,'Ref Data'!$B25)/30)</f>
        <v>0</v>
      </c>
      <c r="M25" s="179">
        <f>_xlfn.LET(_xlpm.end_date,MAX(Raw!$H$3:$H$9149),
_xlpm.start_date,EOMONTH(_xlpm.end_date,-12),
_xlpm.nbr_days,_xlpm.end_date-_xlpm.start_date,
_xlpm.ltm_spend,SUMIFS(Raw!$F$3:$F$9149,Raw!$H$3:$H$9149,"&gt;="&amp;_xlpm.start_date,Raw!$D$3:$D$9149,'Ref Data'!$B25),
_xlpm.one_day_spend,_xlpm.ltm_spend/_xlpm.nbr_days,
_xlpm.one_day_spend)</f>
        <v>2.770083102493075</v>
      </c>
      <c r="N25" s="179">
        <f>_xlfn.LET(_xlpm.total_spend,SUMIFS(Raw!$F$3:$F$9149,Raw!$D$3:$D$9149,'Ref Data'!$B25),
_xlpm.start_date,MIN(Raw!$H$3:$H$9149),
_xlpm.end_date,MAX(Raw!$H$3:$H$9149),
_xlpm.nbr_days,_xlpm.end_date-_xlpm.start_date,
_xlpm.one_day_spend,_xlpm.total_spend/_xlpm.nbr_days,
_xlpm.one_day_spend)</f>
        <v>2.1904845351791817E-2</v>
      </c>
    </row>
    <row r="26" spans="1:14" x14ac:dyDescent="0.2">
      <c r="A26" s="26" t="s">
        <v>99</v>
      </c>
      <c r="B26" t="s">
        <v>248</v>
      </c>
      <c r="C26" s="179">
        <f ca="1">_xlfn.LET(_xlpm.end_date,MAX(Raw!$H$3:$H$9149),
_xlpm.start_date,_xlpm.end_date-30,
_xlpm.NTM_day_count,EDATE(TODAY(),12)-TODAY(),
_xlpm.total_spend,SUMIFS(Raw!$F$3:$F$9149,Raw!$H$3:$H$9149,"&gt;="&amp;_xlpm.start_date,Raw!$D$3:$D$9149,'Ref Data'!$B26),
_xlpm.one_day_spend,_xlpm.total_spend/30,
_xlpm.one_day_spend*_xlpm.NTM_day_count)</f>
        <v>0</v>
      </c>
      <c r="D26" s="179">
        <f>_xlfn.LET(_xlpm.end_date,MAX(Raw!$H$3:$H$9149),
_xlpm.start_date,EOMONTH(_xlpm.end_date,-12),
_xlpm.nbr_days,_xlpm.end_date-_xlpm.start_date,
_xlpm.ltm_spend,SUMIFS(Raw!$F$3:$F$9149,Raw!$H$3:$H$9149,"&gt;="&amp;_xlpm.start_date,Raw!$D$3:$D$9149,'Ref Data'!$B26),
_xlpm.ltm_spend)</f>
        <v>-20</v>
      </c>
      <c r="E26" s="179">
        <f ca="1">_xlfn.LET(_xlpm.total_spend,SUMIFS(Raw!$F$3:$F$9149,Raw!$D$3:$D$9149,'Ref Data'!$B26),
_xlpm.start_date,MIN(Raw!$H$3:$H$9149),
_xlpm.end_date,MAX(Raw!$H$3:$H$9149),
_xlpm.nbr_days,_xlpm.end_date-_xlpm.start_date,
_xlpm.NTM_day_count,EDATE(TODAY(),12)-TODAY(),
_xlpm.one_day_spend,_xlpm.total_spend/_xlpm.nbr_days,
_xlpm.one_day_spend*_xlpm.NTM_day_count)</f>
        <v>-0.15990537106808025</v>
      </c>
      <c r="F26" s="179">
        <f>_xlfn.LET(_xlpm.end_date,MAX(Raw!$H$3:$H$9149),
_xlpm.start_date,_xlpm.end_date-30,
SUMIFS(Raw!$F$3:$F$9149,Raw!$H$3:$H$9149,"&gt;="&amp;_xlpm.start_date,Raw!$D$3:$D$9149,'Ref Data'!$B26))</f>
        <v>0</v>
      </c>
      <c r="G26" s="179">
        <f>_xlfn.LET(_xlpm.end_date,MAX(Raw!$H$3:$H$9149),
_xlpm.start_date,EOMONTH(_xlpm.end_date,-12),
_xlpm.nbr_days,_xlpm.end_date-_xlpm.start_date,
_xlpm.ltm_spend,SUMIFS(Raw!$F$3:$F$9149,Raw!$H$3:$H$9149,"&gt;="&amp;_xlpm.start_date,Raw!$D$3:$D$9149,'Ref Data'!$B26),
_xlpm.one_day_spend,_xlpm.ltm_spend/_xlpm.nbr_days,
_xlpm.one_day_spend*30)</f>
        <v>-1.6620498614958448</v>
      </c>
      <c r="H26" s="179">
        <f>_xlfn.LET(_xlpm.total_spend,SUMIFS(Raw!$F$3:$F$9149,Raw!$D$3:$D$9149,'Ref Data'!$B26),
_xlpm.start_date,MIN(Raw!$H$3:$H$9149),
_xlpm.end_date,MAX(Raw!$H$3:$H$9149),
_xlpm.nbr_days,_xlpm.end_date-_xlpm.start_date,
_xlpm.one_day_spend,_xlpm.total_spend/_xlpm.nbr_days,
_xlpm.one_day_spend*30)</f>
        <v>-1.314290721107509E-2</v>
      </c>
      <c r="I26" s="179">
        <f>_xlfn.LET(_xlpm.end_date,MAX(Raw!$H$3:$H$9149),
_xlpm.start_date,_xlpm.end_date-30,
SUMIFS(Raw!$F$3:$F$9149,Raw!$H$3:$H$9149,"&gt;="&amp;_xlpm.start_date,Raw!$D$3:$D$9149,'Ref Data'!$B26)/30*7)</f>
        <v>0</v>
      </c>
      <c r="J26" s="179">
        <f>_xlfn.LET(_xlpm.end_date,MAX(Raw!$H$3:$H$9149),
_xlpm.start_date,EOMONTH(_xlpm.end_date,-12),
_xlpm.nbr_days,_xlpm.end_date-_xlpm.start_date,
_xlpm.ltm_spend,SUMIFS(Raw!$F$3:$F$9149,Raw!$H$3:$H$9149,"&gt;="&amp;_xlpm.start_date,Raw!$D$3:$D$9149,'Ref Data'!$B26),
_xlpm.one_day_spend,_xlpm.ltm_spend/_xlpm.nbr_days,
_xlpm.one_day_spend*7)</f>
        <v>-0.38781163434903043</v>
      </c>
      <c r="K26" s="179">
        <f>_xlfn.LET(_xlpm.total_spend,SUMIFS(Raw!$F$3:$F$9149,Raw!$D$3:$D$9149,'Ref Data'!$B26),
_xlpm.start_date,MIN(Raw!$H$3:$H$9149),
_xlpm.end_date,MAX(Raw!$H$3:$H$9149),
_xlpm.nbr_days,_xlpm.end_date-_xlpm.start_date,
_xlpm.one_day_spend,_xlpm.total_spend/_xlpm.nbr_days,
_xlpm.one_day_spend*7)</f>
        <v>-3.0666783492508541E-3</v>
      </c>
      <c r="L26" s="179">
        <f>_xlfn.LET(_xlpm.end_date,MAX(Raw!$H$3:$H$9149),
_xlpm.start_date,_xlpm.end_date-30,
SUMIFS(Raw!$F$3:$F$9149,Raw!$H$3:$H$9149,"&gt;="&amp;_xlpm.start_date,Raw!$D$3:$D$9149,'Ref Data'!$B26)/30)</f>
        <v>0</v>
      </c>
      <c r="M26" s="179">
        <f>_xlfn.LET(_xlpm.end_date,MAX(Raw!$H$3:$H$9149),
_xlpm.start_date,EOMONTH(_xlpm.end_date,-12),
_xlpm.nbr_days,_xlpm.end_date-_xlpm.start_date,
_xlpm.ltm_spend,SUMIFS(Raw!$F$3:$F$9149,Raw!$H$3:$H$9149,"&gt;="&amp;_xlpm.start_date,Raw!$D$3:$D$9149,'Ref Data'!$B26),
_xlpm.one_day_spend,_xlpm.ltm_spend/_xlpm.nbr_days,
_xlpm.one_day_spend)</f>
        <v>-5.5401662049861494E-2</v>
      </c>
      <c r="N26" s="179">
        <f>_xlfn.LET(_xlpm.total_spend,SUMIFS(Raw!$F$3:$F$9149,Raw!$D$3:$D$9149,'Ref Data'!$B26),
_xlpm.start_date,MIN(Raw!$H$3:$H$9149),
_xlpm.end_date,MAX(Raw!$H$3:$H$9149),
_xlpm.nbr_days,_xlpm.end_date-_xlpm.start_date,
_xlpm.one_day_spend,_xlpm.total_spend/_xlpm.nbr_days,
_xlpm.one_day_spend)</f>
        <v>-4.3809690703583632E-4</v>
      </c>
    </row>
    <row r="27" spans="1:14" x14ac:dyDescent="0.2">
      <c r="A27" s="26" t="s">
        <v>99</v>
      </c>
      <c r="B27" t="s">
        <v>257</v>
      </c>
      <c r="C27" s="179">
        <f ca="1">_xlfn.LET(_xlpm.end_date,MAX(Raw!$H$3:$H$9149),
_xlpm.start_date,_xlpm.end_date-30,
_xlpm.NTM_day_count,EDATE(TODAY(),12)-TODAY(),
_xlpm.total_spend,SUMIFS(Raw!$F$3:$F$9149,Raw!$H$3:$H$9149,"&gt;="&amp;_xlpm.start_date,Raw!$D$3:$D$9149,'Ref Data'!$B27),
_xlpm.one_day_spend,_xlpm.total_spend/30,
_xlpm.one_day_spend*_xlpm.NTM_day_count)</f>
        <v>0</v>
      </c>
      <c r="D27" s="179">
        <f>_xlfn.LET(_xlpm.end_date,MAX(Raw!$H$3:$H$9149),
_xlpm.start_date,EOMONTH(_xlpm.end_date,-12),
_xlpm.nbr_days,_xlpm.end_date-_xlpm.start_date,
_xlpm.ltm_spend,SUMIFS(Raw!$F$3:$F$9149,Raw!$H$3:$H$9149,"&gt;="&amp;_xlpm.start_date,Raw!$D$3:$D$9149,'Ref Data'!$B27),
_xlpm.ltm_spend)</f>
        <v>1000</v>
      </c>
      <c r="E27" s="179">
        <f ca="1">_xlfn.LET(_xlpm.total_spend,SUMIFS(Raw!$F$3:$F$9149,Raw!$D$3:$D$9149,'Ref Data'!$B27),
_xlpm.start_date,MIN(Raw!$H$3:$H$9149),
_xlpm.end_date,MAX(Raw!$H$3:$H$9149),
_xlpm.nbr_days,_xlpm.end_date-_xlpm.start_date,
_xlpm.NTM_day_count,EDATE(TODAY(),12)-TODAY(),
_xlpm.one_day_spend,_xlpm.total_spend/_xlpm.nbr_days,
_xlpm.one_day_spend*_xlpm.NTM_day_count)</f>
        <v>7.9952685534040135</v>
      </c>
      <c r="F27" s="179">
        <f>_xlfn.LET(_xlpm.end_date,MAX(Raw!$H$3:$H$9149),
_xlpm.start_date,_xlpm.end_date-30,
SUMIFS(Raw!$F$3:$F$9149,Raw!$H$3:$H$9149,"&gt;="&amp;_xlpm.start_date,Raw!$D$3:$D$9149,'Ref Data'!$B27))</f>
        <v>0</v>
      </c>
      <c r="G27" s="179">
        <f>_xlfn.LET(_xlpm.end_date,MAX(Raw!$H$3:$H$9149),
_xlpm.start_date,EOMONTH(_xlpm.end_date,-12),
_xlpm.nbr_days,_xlpm.end_date-_xlpm.start_date,
_xlpm.ltm_spend,SUMIFS(Raw!$F$3:$F$9149,Raw!$H$3:$H$9149,"&gt;="&amp;_xlpm.start_date,Raw!$D$3:$D$9149,'Ref Data'!$B27),
_xlpm.one_day_spend,_xlpm.ltm_spend/_xlpm.nbr_days,
_xlpm.one_day_spend*30)</f>
        <v>83.10249307479225</v>
      </c>
      <c r="H27" s="179">
        <f>_xlfn.LET(_xlpm.total_spend,SUMIFS(Raw!$F$3:$F$9149,Raw!$D$3:$D$9149,'Ref Data'!$B27),
_xlpm.start_date,MIN(Raw!$H$3:$H$9149),
_xlpm.end_date,MAX(Raw!$H$3:$H$9149),
_xlpm.nbr_days,_xlpm.end_date-_xlpm.start_date,
_xlpm.one_day_spend,_xlpm.total_spend/_xlpm.nbr_days,
_xlpm.one_day_spend*30)</f>
        <v>0.6571453605537545</v>
      </c>
      <c r="I27" s="179">
        <f>_xlfn.LET(_xlpm.end_date,MAX(Raw!$H$3:$H$9149),
_xlpm.start_date,_xlpm.end_date-30,
SUMIFS(Raw!$F$3:$F$9149,Raw!$H$3:$H$9149,"&gt;="&amp;_xlpm.start_date,Raw!$D$3:$D$9149,'Ref Data'!$B27)/30*7)</f>
        <v>0</v>
      </c>
      <c r="J27" s="179">
        <f>_xlfn.LET(_xlpm.end_date,MAX(Raw!$H$3:$H$9149),
_xlpm.start_date,EOMONTH(_xlpm.end_date,-12),
_xlpm.nbr_days,_xlpm.end_date-_xlpm.start_date,
_xlpm.ltm_spend,SUMIFS(Raw!$F$3:$F$9149,Raw!$H$3:$H$9149,"&gt;="&amp;_xlpm.start_date,Raw!$D$3:$D$9149,'Ref Data'!$B27),
_xlpm.one_day_spend,_xlpm.ltm_spend/_xlpm.nbr_days,
_xlpm.one_day_spend*7)</f>
        <v>19.390581717451525</v>
      </c>
      <c r="K27" s="179">
        <f>_xlfn.LET(_xlpm.total_spend,SUMIFS(Raw!$F$3:$F$9149,Raw!$D$3:$D$9149,'Ref Data'!$B27),
_xlpm.start_date,MIN(Raw!$H$3:$H$9149),
_xlpm.end_date,MAX(Raw!$H$3:$H$9149),
_xlpm.nbr_days,_xlpm.end_date-_xlpm.start_date,
_xlpm.one_day_spend,_xlpm.total_spend/_xlpm.nbr_days,
_xlpm.one_day_spend*7)</f>
        <v>0.15333391746254271</v>
      </c>
      <c r="L27" s="179">
        <f>_xlfn.LET(_xlpm.end_date,MAX(Raw!$H$3:$H$9149),
_xlpm.start_date,_xlpm.end_date-30,
SUMIFS(Raw!$F$3:$F$9149,Raw!$H$3:$H$9149,"&gt;="&amp;_xlpm.start_date,Raw!$D$3:$D$9149,'Ref Data'!$B27)/30)</f>
        <v>0</v>
      </c>
      <c r="M27" s="179">
        <f>_xlfn.LET(_xlpm.end_date,MAX(Raw!$H$3:$H$9149),
_xlpm.start_date,EOMONTH(_xlpm.end_date,-12),
_xlpm.nbr_days,_xlpm.end_date-_xlpm.start_date,
_xlpm.ltm_spend,SUMIFS(Raw!$F$3:$F$9149,Raw!$H$3:$H$9149,"&gt;="&amp;_xlpm.start_date,Raw!$D$3:$D$9149,'Ref Data'!$B27),
_xlpm.one_day_spend,_xlpm.ltm_spend/_xlpm.nbr_days,
_xlpm.one_day_spend)</f>
        <v>2.770083102493075</v>
      </c>
      <c r="N27" s="179">
        <f>_xlfn.LET(_xlpm.total_spend,SUMIFS(Raw!$F$3:$F$9149,Raw!$D$3:$D$9149,'Ref Data'!$B27),
_xlpm.start_date,MIN(Raw!$H$3:$H$9149),
_xlpm.end_date,MAX(Raw!$H$3:$H$9149),
_xlpm.nbr_days,_xlpm.end_date-_xlpm.start_date,
_xlpm.one_day_spend,_xlpm.total_spend/_xlpm.nbr_days,
_xlpm.one_day_spend)</f>
        <v>2.1904845351791817E-2</v>
      </c>
    </row>
    <row r="28" spans="1:14" x14ac:dyDescent="0.2">
      <c r="A28" s="26" t="s">
        <v>99</v>
      </c>
      <c r="B28" t="s">
        <v>262</v>
      </c>
      <c r="C28" s="179">
        <f ca="1">_xlfn.LET(_xlpm.end_date,MAX(Raw!$H$3:$H$9149),
_xlpm.start_date,_xlpm.end_date-30,
_xlpm.NTM_day_count,EDATE(TODAY(),12)-TODAY(),
_xlpm.total_spend,SUMIFS(Raw!$F$3:$F$9149,Raw!$H$3:$H$9149,"&gt;="&amp;_xlpm.start_date,Raw!$D$3:$D$9149,'Ref Data'!$B28),
_xlpm.one_day_spend,_xlpm.total_spend/30,
_xlpm.one_day_spend*_xlpm.NTM_day_count)</f>
        <v>0</v>
      </c>
      <c r="D28" s="179">
        <f>_xlfn.LET(_xlpm.end_date,MAX(Raw!$H$3:$H$9149),
_xlpm.start_date,EOMONTH(_xlpm.end_date,-12),
_xlpm.nbr_days,_xlpm.end_date-_xlpm.start_date,
_xlpm.ltm_spend,SUMIFS(Raw!$F$3:$F$9149,Raw!$H$3:$H$9149,"&gt;="&amp;_xlpm.start_date,Raw!$D$3:$D$9149,'Ref Data'!$B28),
_xlpm.ltm_spend)</f>
        <v>-50</v>
      </c>
      <c r="E28" s="179">
        <f ca="1">_xlfn.LET(_xlpm.total_spend,SUMIFS(Raw!$F$3:$F$9149,Raw!$D$3:$D$9149,'Ref Data'!$B28),
_xlpm.start_date,MIN(Raw!$H$3:$H$9149),
_xlpm.end_date,MAX(Raw!$H$3:$H$9149),
_xlpm.nbr_days,_xlpm.end_date-_xlpm.start_date,
_xlpm.NTM_day_count,EDATE(TODAY(),12)-TODAY(),
_xlpm.one_day_spend,_xlpm.total_spend/_xlpm.nbr_days,
_xlpm.one_day_spend*_xlpm.NTM_day_count)</f>
        <v>-0.39976342767020068</v>
      </c>
      <c r="F28" s="179">
        <f>_xlfn.LET(_xlpm.end_date,MAX(Raw!$H$3:$H$9149),
_xlpm.start_date,_xlpm.end_date-30,
SUMIFS(Raw!$F$3:$F$9149,Raw!$H$3:$H$9149,"&gt;="&amp;_xlpm.start_date,Raw!$D$3:$D$9149,'Ref Data'!$B28))</f>
        <v>0</v>
      </c>
      <c r="G28" s="179">
        <f>_xlfn.LET(_xlpm.end_date,MAX(Raw!$H$3:$H$9149),
_xlpm.start_date,EOMONTH(_xlpm.end_date,-12),
_xlpm.nbr_days,_xlpm.end_date-_xlpm.start_date,
_xlpm.ltm_spend,SUMIFS(Raw!$F$3:$F$9149,Raw!$H$3:$H$9149,"&gt;="&amp;_xlpm.start_date,Raw!$D$3:$D$9149,'Ref Data'!$B28),
_xlpm.one_day_spend,_xlpm.ltm_spend/_xlpm.nbr_days,
_xlpm.one_day_spend*30)</f>
        <v>-4.1551246537396125</v>
      </c>
      <c r="H28" s="179">
        <f>_xlfn.LET(_xlpm.total_spend,SUMIFS(Raw!$F$3:$F$9149,Raw!$D$3:$D$9149,'Ref Data'!$B28),
_xlpm.start_date,MIN(Raw!$H$3:$H$9149),
_xlpm.end_date,MAX(Raw!$H$3:$H$9149),
_xlpm.nbr_days,_xlpm.end_date-_xlpm.start_date,
_xlpm.one_day_spend,_xlpm.total_spend/_xlpm.nbr_days,
_xlpm.one_day_spend*30)</f>
        <v>-3.2857268027687722E-2</v>
      </c>
      <c r="I28" s="179">
        <f>_xlfn.LET(_xlpm.end_date,MAX(Raw!$H$3:$H$9149),
_xlpm.start_date,_xlpm.end_date-30,
SUMIFS(Raw!$F$3:$F$9149,Raw!$H$3:$H$9149,"&gt;="&amp;_xlpm.start_date,Raw!$D$3:$D$9149,'Ref Data'!$B28)/30*7)</f>
        <v>0</v>
      </c>
      <c r="J28" s="179">
        <f>_xlfn.LET(_xlpm.end_date,MAX(Raw!$H$3:$H$9149),
_xlpm.start_date,EOMONTH(_xlpm.end_date,-12),
_xlpm.nbr_days,_xlpm.end_date-_xlpm.start_date,
_xlpm.ltm_spend,SUMIFS(Raw!$F$3:$F$9149,Raw!$H$3:$H$9149,"&gt;="&amp;_xlpm.start_date,Raw!$D$3:$D$9149,'Ref Data'!$B28),
_xlpm.one_day_spend,_xlpm.ltm_spend/_xlpm.nbr_days,
_xlpm.one_day_spend*7)</f>
        <v>-0.96952908587257625</v>
      </c>
      <c r="K28" s="179">
        <f>_xlfn.LET(_xlpm.total_spend,SUMIFS(Raw!$F$3:$F$9149,Raw!$D$3:$D$9149,'Ref Data'!$B28),
_xlpm.start_date,MIN(Raw!$H$3:$H$9149),
_xlpm.end_date,MAX(Raw!$H$3:$H$9149),
_xlpm.nbr_days,_xlpm.end_date-_xlpm.start_date,
_xlpm.one_day_spend,_xlpm.total_spend/_xlpm.nbr_days,
_xlpm.one_day_spend*7)</f>
        <v>-7.666695873127136E-3</v>
      </c>
      <c r="L28" s="179">
        <f>_xlfn.LET(_xlpm.end_date,MAX(Raw!$H$3:$H$9149),
_xlpm.start_date,_xlpm.end_date-30,
SUMIFS(Raw!$F$3:$F$9149,Raw!$H$3:$H$9149,"&gt;="&amp;_xlpm.start_date,Raw!$D$3:$D$9149,'Ref Data'!$B28)/30)</f>
        <v>0</v>
      </c>
      <c r="M28" s="179">
        <f>_xlfn.LET(_xlpm.end_date,MAX(Raw!$H$3:$H$9149),
_xlpm.start_date,EOMONTH(_xlpm.end_date,-12),
_xlpm.nbr_days,_xlpm.end_date-_xlpm.start_date,
_xlpm.ltm_spend,SUMIFS(Raw!$F$3:$F$9149,Raw!$H$3:$H$9149,"&gt;="&amp;_xlpm.start_date,Raw!$D$3:$D$9149,'Ref Data'!$B28),
_xlpm.one_day_spend,_xlpm.ltm_spend/_xlpm.nbr_days,
_xlpm.one_day_spend)</f>
        <v>-0.13850415512465375</v>
      </c>
      <c r="N28" s="179">
        <f>_xlfn.LET(_xlpm.total_spend,SUMIFS(Raw!$F$3:$F$9149,Raw!$D$3:$D$9149,'Ref Data'!$B28),
_xlpm.start_date,MIN(Raw!$H$3:$H$9149),
_xlpm.end_date,MAX(Raw!$H$3:$H$9149),
_xlpm.nbr_days,_xlpm.end_date-_xlpm.start_date,
_xlpm.one_day_spend,_xlpm.total_spend/_xlpm.nbr_days,
_xlpm.one_day_spend)</f>
        <v>-1.0952422675895909E-3</v>
      </c>
    </row>
    <row r="29" spans="1:14" x14ac:dyDescent="0.2">
      <c r="A29" s="26" t="s">
        <v>99</v>
      </c>
      <c r="B29" t="s">
        <v>19</v>
      </c>
      <c r="C29" s="179">
        <f ca="1">_xlfn.LET(_xlpm.end_date,MAX(Raw!$H$3:$H$9149),
_xlpm.start_date,_xlpm.end_date-30,
_xlpm.NTM_day_count,EDATE(TODAY(),12)-TODAY(),
_xlpm.total_spend,SUMIFS(Raw!$F$3:$F$9149,Raw!$H$3:$H$9149,"&gt;="&amp;_xlpm.start_date,Raw!$D$3:$D$9149,'Ref Data'!$B29),
_xlpm.one_day_spend,_xlpm.total_spend/30,
_xlpm.one_day_spend*_xlpm.NTM_day_count)</f>
        <v>0</v>
      </c>
      <c r="D29" s="179">
        <f>_xlfn.LET(_xlpm.end_date,MAX(Raw!$H$3:$H$9149),
_xlpm.start_date,EOMONTH(_xlpm.end_date,-12),
_xlpm.nbr_days,_xlpm.end_date-_xlpm.start_date,
_xlpm.ltm_spend,SUMIFS(Raw!$F$3:$F$9149,Raw!$H$3:$H$9149,"&gt;="&amp;_xlpm.start_date,Raw!$D$3:$D$9149,'Ref Data'!$B29),
_xlpm.ltm_spend)</f>
        <v>-10</v>
      </c>
      <c r="E29" s="179">
        <f ca="1">_xlfn.LET(_xlpm.total_spend,SUMIFS(Raw!$F$3:$F$9149,Raw!$D$3:$D$9149,'Ref Data'!$B29),
_xlpm.start_date,MIN(Raw!$H$3:$H$9149),
_xlpm.end_date,MAX(Raw!$H$3:$H$9149),
_xlpm.nbr_days,_xlpm.end_date-_xlpm.start_date,
_xlpm.NTM_day_count,EDATE(TODAY(),12)-TODAY(),
_xlpm.one_day_spend,_xlpm.total_spend/_xlpm.nbr_days,
_xlpm.one_day_spend*_xlpm.NTM_day_count)</f>
        <v>-7.9952685534040127E-2</v>
      </c>
      <c r="F29" s="179">
        <f>_xlfn.LET(_xlpm.end_date,MAX(Raw!$H$3:$H$9149),
_xlpm.start_date,_xlpm.end_date-30,
SUMIFS(Raw!$F$3:$F$9149,Raw!$H$3:$H$9149,"&gt;="&amp;_xlpm.start_date,Raw!$D$3:$D$9149,'Ref Data'!$B29))</f>
        <v>0</v>
      </c>
      <c r="G29" s="179">
        <f>_xlfn.LET(_xlpm.end_date,MAX(Raw!$H$3:$H$9149),
_xlpm.start_date,EOMONTH(_xlpm.end_date,-12),
_xlpm.nbr_days,_xlpm.end_date-_xlpm.start_date,
_xlpm.ltm_spend,SUMIFS(Raw!$F$3:$F$9149,Raw!$H$3:$H$9149,"&gt;="&amp;_xlpm.start_date,Raw!$D$3:$D$9149,'Ref Data'!$B29),
_xlpm.one_day_spend,_xlpm.ltm_spend/_xlpm.nbr_days,
_xlpm.one_day_spend*30)</f>
        <v>-0.83102493074792239</v>
      </c>
      <c r="H29" s="179">
        <f>_xlfn.LET(_xlpm.total_spend,SUMIFS(Raw!$F$3:$F$9149,Raw!$D$3:$D$9149,'Ref Data'!$B29),
_xlpm.start_date,MIN(Raw!$H$3:$H$9149),
_xlpm.end_date,MAX(Raw!$H$3:$H$9149),
_xlpm.nbr_days,_xlpm.end_date-_xlpm.start_date,
_xlpm.one_day_spend,_xlpm.total_spend/_xlpm.nbr_days,
_xlpm.one_day_spend*30)</f>
        <v>-6.5714536055375451E-3</v>
      </c>
      <c r="I29" s="179">
        <f>_xlfn.LET(_xlpm.end_date,MAX(Raw!$H$3:$H$9149),
_xlpm.start_date,_xlpm.end_date-30,
SUMIFS(Raw!$F$3:$F$9149,Raw!$H$3:$H$9149,"&gt;="&amp;_xlpm.start_date,Raw!$D$3:$D$9149,'Ref Data'!$B29)/30*7)</f>
        <v>0</v>
      </c>
      <c r="J29" s="179">
        <f>_xlfn.LET(_xlpm.end_date,MAX(Raw!$H$3:$H$9149),
_xlpm.start_date,EOMONTH(_xlpm.end_date,-12),
_xlpm.nbr_days,_xlpm.end_date-_xlpm.start_date,
_xlpm.ltm_spend,SUMIFS(Raw!$F$3:$F$9149,Raw!$H$3:$H$9149,"&gt;="&amp;_xlpm.start_date,Raw!$D$3:$D$9149,'Ref Data'!$B29),
_xlpm.one_day_spend,_xlpm.ltm_spend/_xlpm.nbr_days,
_xlpm.one_day_spend*7)</f>
        <v>-0.19390581717451522</v>
      </c>
      <c r="K29" s="179">
        <f>_xlfn.LET(_xlpm.total_spend,SUMIFS(Raw!$F$3:$F$9149,Raw!$D$3:$D$9149,'Ref Data'!$B29),
_xlpm.start_date,MIN(Raw!$H$3:$H$9149),
_xlpm.end_date,MAX(Raw!$H$3:$H$9149),
_xlpm.nbr_days,_xlpm.end_date-_xlpm.start_date,
_xlpm.one_day_spend,_xlpm.total_spend/_xlpm.nbr_days,
_xlpm.one_day_spend*7)</f>
        <v>-1.5333391746254271E-3</v>
      </c>
      <c r="L29" s="179">
        <f>_xlfn.LET(_xlpm.end_date,MAX(Raw!$H$3:$H$9149),
_xlpm.start_date,_xlpm.end_date-30,
SUMIFS(Raw!$F$3:$F$9149,Raw!$H$3:$H$9149,"&gt;="&amp;_xlpm.start_date,Raw!$D$3:$D$9149,'Ref Data'!$B29)/30)</f>
        <v>0</v>
      </c>
      <c r="M29" s="179">
        <f>_xlfn.LET(_xlpm.end_date,MAX(Raw!$H$3:$H$9149),
_xlpm.start_date,EOMONTH(_xlpm.end_date,-12),
_xlpm.nbr_days,_xlpm.end_date-_xlpm.start_date,
_xlpm.ltm_spend,SUMIFS(Raw!$F$3:$F$9149,Raw!$H$3:$H$9149,"&gt;="&amp;_xlpm.start_date,Raw!$D$3:$D$9149,'Ref Data'!$B29),
_xlpm.one_day_spend,_xlpm.ltm_spend/_xlpm.nbr_days,
_xlpm.one_day_spend)</f>
        <v>-2.7700831024930747E-2</v>
      </c>
      <c r="N29" s="179">
        <f>_xlfn.LET(_xlpm.total_spend,SUMIFS(Raw!$F$3:$F$9149,Raw!$D$3:$D$9149,'Ref Data'!$B29),
_xlpm.start_date,MIN(Raw!$H$3:$H$9149),
_xlpm.end_date,MAX(Raw!$H$3:$H$9149),
_xlpm.nbr_days,_xlpm.end_date-_xlpm.start_date,
_xlpm.one_day_spend,_xlpm.total_spend/_xlpm.nbr_days,
_xlpm.one_day_spend)</f>
        <v>-2.1904845351791816E-4</v>
      </c>
    </row>
    <row r="30" spans="1:14" x14ac:dyDescent="0.2">
      <c r="A30" s="26" t="s">
        <v>99</v>
      </c>
      <c r="B30" t="s">
        <v>282</v>
      </c>
      <c r="C30" s="179">
        <f ca="1">_xlfn.LET(_xlpm.end_date,MAX(Raw!$H$3:$H$9149),
_xlpm.start_date,_xlpm.end_date-30,
_xlpm.NTM_day_count,EDATE(TODAY(),12)-TODAY(),
_xlpm.total_spend,SUMIFS(Raw!$F$3:$F$9149,Raw!$H$3:$H$9149,"&gt;="&amp;_xlpm.start_date,Raw!$D$3:$D$9149,'Ref Data'!$B30),
_xlpm.one_day_spend,_xlpm.total_spend/30,
_xlpm.one_day_spend*_xlpm.NTM_day_count)</f>
        <v>0</v>
      </c>
      <c r="D30" s="179">
        <f>_xlfn.LET(_xlpm.end_date,MAX(Raw!$H$3:$H$9149),
_xlpm.start_date,EOMONTH(_xlpm.end_date,-12),
_xlpm.nbr_days,_xlpm.end_date-_xlpm.start_date,
_xlpm.ltm_spend,SUMIFS(Raw!$F$3:$F$9149,Raw!$H$3:$H$9149,"&gt;="&amp;_xlpm.start_date,Raw!$D$3:$D$9149,'Ref Data'!$B30),
_xlpm.ltm_spend)</f>
        <v>-10</v>
      </c>
      <c r="E30" s="179">
        <f ca="1">_xlfn.LET(_xlpm.total_spend,SUMIFS(Raw!$F$3:$F$9149,Raw!$D$3:$D$9149,'Ref Data'!$B30),
_xlpm.start_date,MIN(Raw!$H$3:$H$9149),
_xlpm.end_date,MAX(Raw!$H$3:$H$9149),
_xlpm.nbr_days,_xlpm.end_date-_xlpm.start_date,
_xlpm.NTM_day_count,EDATE(TODAY(),12)-TODAY(),
_xlpm.one_day_spend,_xlpm.total_spend/_xlpm.nbr_days,
_xlpm.one_day_spend*_xlpm.NTM_day_count)</f>
        <v>-7.9952685534040127E-2</v>
      </c>
      <c r="F30" s="179">
        <f>_xlfn.LET(_xlpm.end_date,MAX(Raw!$H$3:$H$9149),
_xlpm.start_date,_xlpm.end_date-30,
SUMIFS(Raw!$F$3:$F$9149,Raw!$H$3:$H$9149,"&gt;="&amp;_xlpm.start_date,Raw!$D$3:$D$9149,'Ref Data'!$B30))</f>
        <v>0</v>
      </c>
      <c r="G30" s="179">
        <f>_xlfn.LET(_xlpm.end_date,MAX(Raw!$H$3:$H$9149),
_xlpm.start_date,EOMONTH(_xlpm.end_date,-12),
_xlpm.nbr_days,_xlpm.end_date-_xlpm.start_date,
_xlpm.ltm_spend,SUMIFS(Raw!$F$3:$F$9149,Raw!$H$3:$H$9149,"&gt;="&amp;_xlpm.start_date,Raw!$D$3:$D$9149,'Ref Data'!$B30),
_xlpm.one_day_spend,_xlpm.ltm_spend/_xlpm.nbr_days,
_xlpm.one_day_spend*30)</f>
        <v>-0.83102493074792239</v>
      </c>
      <c r="H30" s="179">
        <f>_xlfn.LET(_xlpm.total_spend,SUMIFS(Raw!$F$3:$F$9149,Raw!$D$3:$D$9149,'Ref Data'!$B30),
_xlpm.start_date,MIN(Raw!$H$3:$H$9149),
_xlpm.end_date,MAX(Raw!$H$3:$H$9149),
_xlpm.nbr_days,_xlpm.end_date-_xlpm.start_date,
_xlpm.one_day_spend,_xlpm.total_spend/_xlpm.nbr_days,
_xlpm.one_day_spend*30)</f>
        <v>-6.5714536055375451E-3</v>
      </c>
      <c r="I30" s="179">
        <f>_xlfn.LET(_xlpm.end_date,MAX(Raw!$H$3:$H$9149),
_xlpm.start_date,_xlpm.end_date-30,
SUMIFS(Raw!$F$3:$F$9149,Raw!$H$3:$H$9149,"&gt;="&amp;_xlpm.start_date,Raw!$D$3:$D$9149,'Ref Data'!$B30)/30*7)</f>
        <v>0</v>
      </c>
      <c r="J30" s="179">
        <f>_xlfn.LET(_xlpm.end_date,MAX(Raw!$H$3:$H$9149),
_xlpm.start_date,EOMONTH(_xlpm.end_date,-12),
_xlpm.nbr_days,_xlpm.end_date-_xlpm.start_date,
_xlpm.ltm_spend,SUMIFS(Raw!$F$3:$F$9149,Raw!$H$3:$H$9149,"&gt;="&amp;_xlpm.start_date,Raw!$D$3:$D$9149,'Ref Data'!$B30),
_xlpm.one_day_spend,_xlpm.ltm_spend/_xlpm.nbr_days,
_xlpm.one_day_spend*7)</f>
        <v>-0.19390581717451522</v>
      </c>
      <c r="K30" s="179">
        <f>_xlfn.LET(_xlpm.total_spend,SUMIFS(Raw!$F$3:$F$9149,Raw!$D$3:$D$9149,'Ref Data'!$B30),
_xlpm.start_date,MIN(Raw!$H$3:$H$9149),
_xlpm.end_date,MAX(Raw!$H$3:$H$9149),
_xlpm.nbr_days,_xlpm.end_date-_xlpm.start_date,
_xlpm.one_day_spend,_xlpm.total_spend/_xlpm.nbr_days,
_xlpm.one_day_spend*7)</f>
        <v>-1.5333391746254271E-3</v>
      </c>
      <c r="L30" s="179">
        <f>_xlfn.LET(_xlpm.end_date,MAX(Raw!$H$3:$H$9149),
_xlpm.start_date,_xlpm.end_date-30,
SUMIFS(Raw!$F$3:$F$9149,Raw!$H$3:$H$9149,"&gt;="&amp;_xlpm.start_date,Raw!$D$3:$D$9149,'Ref Data'!$B30)/30)</f>
        <v>0</v>
      </c>
      <c r="M30" s="179">
        <f>_xlfn.LET(_xlpm.end_date,MAX(Raw!$H$3:$H$9149),
_xlpm.start_date,EOMONTH(_xlpm.end_date,-12),
_xlpm.nbr_days,_xlpm.end_date-_xlpm.start_date,
_xlpm.ltm_spend,SUMIFS(Raw!$F$3:$F$9149,Raw!$H$3:$H$9149,"&gt;="&amp;_xlpm.start_date,Raw!$D$3:$D$9149,'Ref Data'!$B30),
_xlpm.one_day_spend,_xlpm.ltm_spend/_xlpm.nbr_days,
_xlpm.one_day_spend)</f>
        <v>-2.7700831024930747E-2</v>
      </c>
      <c r="N30" s="179">
        <f>_xlfn.LET(_xlpm.total_spend,SUMIFS(Raw!$F$3:$F$9149,Raw!$D$3:$D$9149,'Ref Data'!$B30),
_xlpm.start_date,MIN(Raw!$H$3:$H$9149),
_xlpm.end_date,MAX(Raw!$H$3:$H$9149),
_xlpm.nbr_days,_xlpm.end_date-_xlpm.start_date,
_xlpm.one_day_spend,_xlpm.total_spend/_xlpm.nbr_days,
_xlpm.one_day_spend)</f>
        <v>-2.1904845351791816E-4</v>
      </c>
    </row>
    <row r="31" spans="1:14" x14ac:dyDescent="0.2">
      <c r="A31" s="26" t="s">
        <v>99</v>
      </c>
      <c r="B31" t="s">
        <v>307</v>
      </c>
      <c r="C31" s="179">
        <f ca="1">_xlfn.LET(_xlpm.end_date,MAX(Raw!$H$3:$H$9149),
_xlpm.start_date,_xlpm.end_date-30,
_xlpm.NTM_day_count,EDATE(TODAY(),12)-TODAY(),
_xlpm.total_spend,SUMIFS(Raw!$F$3:$F$9149,Raw!$H$3:$H$9149,"&gt;="&amp;_xlpm.start_date,Raw!$D$3:$D$9149,'Ref Data'!$B31),
_xlpm.one_day_spend,_xlpm.total_spend/30,
_xlpm.one_day_spend*_xlpm.NTM_day_count)</f>
        <v>0</v>
      </c>
      <c r="D31" s="179">
        <f>_xlfn.LET(_xlpm.end_date,MAX(Raw!$H$3:$H$9149),
_xlpm.start_date,EOMONTH(_xlpm.end_date,-12),
_xlpm.nbr_days,_xlpm.end_date-_xlpm.start_date,
_xlpm.ltm_spend,SUMIFS(Raw!$F$3:$F$9149,Raw!$H$3:$H$9149,"&gt;="&amp;_xlpm.start_date,Raw!$D$3:$D$9149,'Ref Data'!$B31),
_xlpm.ltm_spend)</f>
        <v>50</v>
      </c>
      <c r="E31" s="179">
        <f ca="1">_xlfn.LET(_xlpm.total_spend,SUMIFS(Raw!$F$3:$F$9149,Raw!$D$3:$D$9149,'Ref Data'!$B31),
_xlpm.start_date,MIN(Raw!$H$3:$H$9149),
_xlpm.end_date,MAX(Raw!$H$3:$H$9149),
_xlpm.nbr_days,_xlpm.end_date-_xlpm.start_date,
_xlpm.NTM_day_count,EDATE(TODAY(),12)-TODAY(),
_xlpm.one_day_spend,_xlpm.total_spend/_xlpm.nbr_days,
_xlpm.one_day_spend*_xlpm.NTM_day_count)</f>
        <v>0.39976342767020068</v>
      </c>
      <c r="F31" s="179">
        <f>_xlfn.LET(_xlpm.end_date,MAX(Raw!$H$3:$H$9149),
_xlpm.start_date,_xlpm.end_date-30,
SUMIFS(Raw!$F$3:$F$9149,Raw!$H$3:$H$9149,"&gt;="&amp;_xlpm.start_date,Raw!$D$3:$D$9149,'Ref Data'!$B31))</f>
        <v>0</v>
      </c>
      <c r="G31" s="179">
        <f>_xlfn.LET(_xlpm.end_date,MAX(Raw!$H$3:$H$9149),
_xlpm.start_date,EOMONTH(_xlpm.end_date,-12),
_xlpm.nbr_days,_xlpm.end_date-_xlpm.start_date,
_xlpm.ltm_spend,SUMIFS(Raw!$F$3:$F$9149,Raw!$H$3:$H$9149,"&gt;="&amp;_xlpm.start_date,Raw!$D$3:$D$9149,'Ref Data'!$B31),
_xlpm.one_day_spend,_xlpm.ltm_spend/_xlpm.nbr_days,
_xlpm.one_day_spend*30)</f>
        <v>4.1551246537396125</v>
      </c>
      <c r="H31" s="179">
        <f>_xlfn.LET(_xlpm.total_spend,SUMIFS(Raw!$F$3:$F$9149,Raw!$D$3:$D$9149,'Ref Data'!$B31),
_xlpm.start_date,MIN(Raw!$H$3:$H$9149),
_xlpm.end_date,MAX(Raw!$H$3:$H$9149),
_xlpm.nbr_days,_xlpm.end_date-_xlpm.start_date,
_xlpm.one_day_spend,_xlpm.total_spend/_xlpm.nbr_days,
_xlpm.one_day_spend*30)</f>
        <v>3.2857268027687722E-2</v>
      </c>
      <c r="I31" s="179">
        <f>_xlfn.LET(_xlpm.end_date,MAX(Raw!$H$3:$H$9149),
_xlpm.start_date,_xlpm.end_date-30,
SUMIFS(Raw!$F$3:$F$9149,Raw!$H$3:$H$9149,"&gt;="&amp;_xlpm.start_date,Raw!$D$3:$D$9149,'Ref Data'!$B31)/30*7)</f>
        <v>0</v>
      </c>
      <c r="J31" s="179">
        <f>_xlfn.LET(_xlpm.end_date,MAX(Raw!$H$3:$H$9149),
_xlpm.start_date,EOMONTH(_xlpm.end_date,-12),
_xlpm.nbr_days,_xlpm.end_date-_xlpm.start_date,
_xlpm.ltm_spend,SUMIFS(Raw!$F$3:$F$9149,Raw!$H$3:$H$9149,"&gt;="&amp;_xlpm.start_date,Raw!$D$3:$D$9149,'Ref Data'!$B31),
_xlpm.one_day_spend,_xlpm.ltm_spend/_xlpm.nbr_days,
_xlpm.one_day_spend*7)</f>
        <v>0.96952908587257625</v>
      </c>
      <c r="K31" s="179">
        <f>_xlfn.LET(_xlpm.total_spend,SUMIFS(Raw!$F$3:$F$9149,Raw!$D$3:$D$9149,'Ref Data'!$B31),
_xlpm.start_date,MIN(Raw!$H$3:$H$9149),
_xlpm.end_date,MAX(Raw!$H$3:$H$9149),
_xlpm.nbr_days,_xlpm.end_date-_xlpm.start_date,
_xlpm.one_day_spend,_xlpm.total_spend/_xlpm.nbr_days,
_xlpm.one_day_spend*7)</f>
        <v>7.666695873127136E-3</v>
      </c>
      <c r="L31" s="179">
        <f>_xlfn.LET(_xlpm.end_date,MAX(Raw!$H$3:$H$9149),
_xlpm.start_date,_xlpm.end_date-30,
SUMIFS(Raw!$F$3:$F$9149,Raw!$H$3:$H$9149,"&gt;="&amp;_xlpm.start_date,Raw!$D$3:$D$9149,'Ref Data'!$B31)/30)</f>
        <v>0</v>
      </c>
      <c r="M31" s="179">
        <f>_xlfn.LET(_xlpm.end_date,MAX(Raw!$H$3:$H$9149),
_xlpm.start_date,EOMONTH(_xlpm.end_date,-12),
_xlpm.nbr_days,_xlpm.end_date-_xlpm.start_date,
_xlpm.ltm_spend,SUMIFS(Raw!$F$3:$F$9149,Raw!$H$3:$H$9149,"&gt;="&amp;_xlpm.start_date,Raw!$D$3:$D$9149,'Ref Data'!$B31),
_xlpm.one_day_spend,_xlpm.ltm_spend/_xlpm.nbr_days,
_xlpm.one_day_spend)</f>
        <v>0.13850415512465375</v>
      </c>
      <c r="N31" s="179">
        <f>_xlfn.LET(_xlpm.total_spend,SUMIFS(Raw!$F$3:$F$9149,Raw!$D$3:$D$9149,'Ref Data'!$B31),
_xlpm.start_date,MIN(Raw!$H$3:$H$9149),
_xlpm.end_date,MAX(Raw!$H$3:$H$9149),
_xlpm.nbr_days,_xlpm.end_date-_xlpm.start_date,
_xlpm.one_day_spend,_xlpm.total_spend/_xlpm.nbr_days,
_xlpm.one_day_spend)</f>
        <v>1.0952422675895909E-3</v>
      </c>
    </row>
    <row r="32" spans="1:14" x14ac:dyDescent="0.2">
      <c r="A32" s="26" t="s">
        <v>99</v>
      </c>
      <c r="B32" t="s">
        <v>311</v>
      </c>
      <c r="C32" s="179">
        <f ca="1">_xlfn.LET(_xlpm.end_date,MAX(Raw!$H$3:$H$9149),
_xlpm.start_date,_xlpm.end_date-30,
_xlpm.NTM_day_count,EDATE(TODAY(),12)-TODAY(),
_xlpm.total_spend,SUMIFS(Raw!$F$3:$F$9149,Raw!$H$3:$H$9149,"&gt;="&amp;_xlpm.start_date,Raw!$D$3:$D$9149,'Ref Data'!$B32),
_xlpm.one_day_spend,_xlpm.total_spend/30,
_xlpm.one_day_spend*_xlpm.NTM_day_count)</f>
        <v>0</v>
      </c>
      <c r="D32" s="179">
        <f>_xlfn.LET(_xlpm.end_date,MAX(Raw!$H$3:$H$9149),
_xlpm.start_date,EOMONTH(_xlpm.end_date,-12),
_xlpm.nbr_days,_xlpm.end_date-_xlpm.start_date,
_xlpm.ltm_spend,SUMIFS(Raw!$F$3:$F$9149,Raw!$H$3:$H$9149,"&gt;="&amp;_xlpm.start_date,Raw!$D$3:$D$9149,'Ref Data'!$B32),
_xlpm.ltm_spend)</f>
        <v>10</v>
      </c>
      <c r="E32" s="179">
        <f ca="1">_xlfn.LET(_xlpm.total_spend,SUMIFS(Raw!$F$3:$F$9149,Raw!$D$3:$D$9149,'Ref Data'!$B32),
_xlpm.start_date,MIN(Raw!$H$3:$H$9149),
_xlpm.end_date,MAX(Raw!$H$3:$H$9149),
_xlpm.nbr_days,_xlpm.end_date-_xlpm.start_date,
_xlpm.NTM_day_count,EDATE(TODAY(),12)-TODAY(),
_xlpm.one_day_spend,_xlpm.total_spend/_xlpm.nbr_days,
_xlpm.one_day_spend*_xlpm.NTM_day_count)</f>
        <v>7.9952685534040127E-2</v>
      </c>
      <c r="F32" s="179">
        <f>_xlfn.LET(_xlpm.end_date,MAX(Raw!$H$3:$H$9149),
_xlpm.start_date,_xlpm.end_date-30,
SUMIFS(Raw!$F$3:$F$9149,Raw!$H$3:$H$9149,"&gt;="&amp;_xlpm.start_date,Raw!$D$3:$D$9149,'Ref Data'!$B32))</f>
        <v>0</v>
      </c>
      <c r="G32" s="179">
        <f>_xlfn.LET(_xlpm.end_date,MAX(Raw!$H$3:$H$9149),
_xlpm.start_date,EOMONTH(_xlpm.end_date,-12),
_xlpm.nbr_days,_xlpm.end_date-_xlpm.start_date,
_xlpm.ltm_spend,SUMIFS(Raw!$F$3:$F$9149,Raw!$H$3:$H$9149,"&gt;="&amp;_xlpm.start_date,Raw!$D$3:$D$9149,'Ref Data'!$B32),
_xlpm.one_day_spend,_xlpm.ltm_spend/_xlpm.nbr_days,
_xlpm.one_day_spend*30)</f>
        <v>0.83102493074792239</v>
      </c>
      <c r="H32" s="179">
        <f>_xlfn.LET(_xlpm.total_spend,SUMIFS(Raw!$F$3:$F$9149,Raw!$D$3:$D$9149,'Ref Data'!$B32),
_xlpm.start_date,MIN(Raw!$H$3:$H$9149),
_xlpm.end_date,MAX(Raw!$H$3:$H$9149),
_xlpm.nbr_days,_xlpm.end_date-_xlpm.start_date,
_xlpm.one_day_spend,_xlpm.total_spend/_xlpm.nbr_days,
_xlpm.one_day_spend*30)</f>
        <v>6.5714536055375451E-3</v>
      </c>
      <c r="I32" s="179">
        <f>_xlfn.LET(_xlpm.end_date,MAX(Raw!$H$3:$H$9149),
_xlpm.start_date,_xlpm.end_date-30,
SUMIFS(Raw!$F$3:$F$9149,Raw!$H$3:$H$9149,"&gt;="&amp;_xlpm.start_date,Raw!$D$3:$D$9149,'Ref Data'!$B32)/30*7)</f>
        <v>0</v>
      </c>
      <c r="J32" s="179">
        <f>_xlfn.LET(_xlpm.end_date,MAX(Raw!$H$3:$H$9149),
_xlpm.start_date,EOMONTH(_xlpm.end_date,-12),
_xlpm.nbr_days,_xlpm.end_date-_xlpm.start_date,
_xlpm.ltm_spend,SUMIFS(Raw!$F$3:$F$9149,Raw!$H$3:$H$9149,"&gt;="&amp;_xlpm.start_date,Raw!$D$3:$D$9149,'Ref Data'!$B32),
_xlpm.one_day_spend,_xlpm.ltm_spend/_xlpm.nbr_days,
_xlpm.one_day_spend*7)</f>
        <v>0.19390581717451522</v>
      </c>
      <c r="K32" s="179">
        <f>_xlfn.LET(_xlpm.total_spend,SUMIFS(Raw!$F$3:$F$9149,Raw!$D$3:$D$9149,'Ref Data'!$B32),
_xlpm.start_date,MIN(Raw!$H$3:$H$9149),
_xlpm.end_date,MAX(Raw!$H$3:$H$9149),
_xlpm.nbr_days,_xlpm.end_date-_xlpm.start_date,
_xlpm.one_day_spend,_xlpm.total_spend/_xlpm.nbr_days,
_xlpm.one_day_spend*7)</f>
        <v>1.5333391746254271E-3</v>
      </c>
      <c r="L32" s="179">
        <f>_xlfn.LET(_xlpm.end_date,MAX(Raw!$H$3:$H$9149),
_xlpm.start_date,_xlpm.end_date-30,
SUMIFS(Raw!$F$3:$F$9149,Raw!$H$3:$H$9149,"&gt;="&amp;_xlpm.start_date,Raw!$D$3:$D$9149,'Ref Data'!$B32)/30)</f>
        <v>0</v>
      </c>
      <c r="M32" s="179">
        <f>_xlfn.LET(_xlpm.end_date,MAX(Raw!$H$3:$H$9149),
_xlpm.start_date,EOMONTH(_xlpm.end_date,-12),
_xlpm.nbr_days,_xlpm.end_date-_xlpm.start_date,
_xlpm.ltm_spend,SUMIFS(Raw!$F$3:$F$9149,Raw!$H$3:$H$9149,"&gt;="&amp;_xlpm.start_date,Raw!$D$3:$D$9149,'Ref Data'!$B32),
_xlpm.one_day_spend,_xlpm.ltm_spend/_xlpm.nbr_days,
_xlpm.one_day_spend)</f>
        <v>2.7700831024930747E-2</v>
      </c>
      <c r="N32" s="179">
        <f>_xlfn.LET(_xlpm.total_spend,SUMIFS(Raw!$F$3:$F$9149,Raw!$D$3:$D$9149,'Ref Data'!$B32),
_xlpm.start_date,MIN(Raw!$H$3:$H$9149),
_xlpm.end_date,MAX(Raw!$H$3:$H$9149),
_xlpm.nbr_days,_xlpm.end_date-_xlpm.start_date,
_xlpm.one_day_spend,_xlpm.total_spend/_xlpm.nbr_days,
_xlpm.one_day_spend)</f>
        <v>2.1904845351791816E-4</v>
      </c>
    </row>
    <row r="33" spans="1:14" x14ac:dyDescent="0.2">
      <c r="A33" s="26" t="s">
        <v>99</v>
      </c>
      <c r="B33" t="s">
        <v>306</v>
      </c>
      <c r="C33" s="179">
        <f ca="1">_xlfn.LET(_xlpm.end_date,MAX(Raw!$H$3:$H$9149),
_xlpm.start_date,_xlpm.end_date-30,
_xlpm.NTM_day_count,EDATE(TODAY(),12)-TODAY(),
_xlpm.total_spend,SUMIFS(Raw!$F$3:$F$9149,Raw!$H$3:$H$9149,"&gt;="&amp;_xlpm.start_date,Raw!$D$3:$D$9149,'Ref Data'!$B33),
_xlpm.one_day_spend,_xlpm.total_spend/30,
_xlpm.one_day_spend*_xlpm.NTM_day_count)</f>
        <v>0</v>
      </c>
      <c r="D33" s="179">
        <f>_xlfn.LET(_xlpm.end_date,MAX(Raw!$H$3:$H$9149),
_xlpm.start_date,EOMONTH(_xlpm.end_date,-12),
_xlpm.nbr_days,_xlpm.end_date-_xlpm.start_date,
_xlpm.ltm_spend,SUMIFS(Raw!$F$3:$F$9149,Raw!$H$3:$H$9149,"&gt;="&amp;_xlpm.start_date,Raw!$D$3:$D$9149,'Ref Data'!$B33),
_xlpm.ltm_spend)</f>
        <v>1000</v>
      </c>
      <c r="E33" s="179">
        <f ca="1">_xlfn.LET(_xlpm.total_spend,SUMIFS(Raw!$F$3:$F$9149,Raw!$D$3:$D$9149,'Ref Data'!$B33),
_xlpm.start_date,MIN(Raw!$H$3:$H$9149),
_xlpm.end_date,MAX(Raw!$H$3:$H$9149),
_xlpm.nbr_days,_xlpm.end_date-_xlpm.start_date,
_xlpm.NTM_day_count,EDATE(TODAY(),12)-TODAY(),
_xlpm.one_day_spend,_xlpm.total_spend/_xlpm.nbr_days,
_xlpm.one_day_spend*_xlpm.NTM_day_count)</f>
        <v>7.9952685534040135</v>
      </c>
      <c r="F33" s="179">
        <f>_xlfn.LET(_xlpm.end_date,MAX(Raw!$H$3:$H$9149),
_xlpm.start_date,_xlpm.end_date-30,
SUMIFS(Raw!$F$3:$F$9149,Raw!$H$3:$H$9149,"&gt;="&amp;_xlpm.start_date,Raw!$D$3:$D$9149,'Ref Data'!$B33))</f>
        <v>0</v>
      </c>
      <c r="G33" s="179">
        <f>_xlfn.LET(_xlpm.end_date,MAX(Raw!$H$3:$H$9149),
_xlpm.start_date,EOMONTH(_xlpm.end_date,-12),
_xlpm.nbr_days,_xlpm.end_date-_xlpm.start_date,
_xlpm.ltm_spend,SUMIFS(Raw!$F$3:$F$9149,Raw!$H$3:$H$9149,"&gt;="&amp;_xlpm.start_date,Raw!$D$3:$D$9149,'Ref Data'!$B33),
_xlpm.one_day_spend,_xlpm.ltm_spend/_xlpm.nbr_days,
_xlpm.one_day_spend*30)</f>
        <v>83.10249307479225</v>
      </c>
      <c r="H33" s="179">
        <f>_xlfn.LET(_xlpm.total_spend,SUMIFS(Raw!$F$3:$F$9149,Raw!$D$3:$D$9149,'Ref Data'!$B33),
_xlpm.start_date,MIN(Raw!$H$3:$H$9149),
_xlpm.end_date,MAX(Raw!$H$3:$H$9149),
_xlpm.nbr_days,_xlpm.end_date-_xlpm.start_date,
_xlpm.one_day_spend,_xlpm.total_spend/_xlpm.nbr_days,
_xlpm.one_day_spend*30)</f>
        <v>0.6571453605537545</v>
      </c>
      <c r="I33" s="179">
        <f>_xlfn.LET(_xlpm.end_date,MAX(Raw!$H$3:$H$9149),
_xlpm.start_date,_xlpm.end_date-30,
SUMIFS(Raw!$F$3:$F$9149,Raw!$H$3:$H$9149,"&gt;="&amp;_xlpm.start_date,Raw!$D$3:$D$9149,'Ref Data'!$B33)/30*7)</f>
        <v>0</v>
      </c>
      <c r="J33" s="179">
        <f>_xlfn.LET(_xlpm.end_date,MAX(Raw!$H$3:$H$9149),
_xlpm.start_date,EOMONTH(_xlpm.end_date,-12),
_xlpm.nbr_days,_xlpm.end_date-_xlpm.start_date,
_xlpm.ltm_spend,SUMIFS(Raw!$F$3:$F$9149,Raw!$H$3:$H$9149,"&gt;="&amp;_xlpm.start_date,Raw!$D$3:$D$9149,'Ref Data'!$B33),
_xlpm.one_day_spend,_xlpm.ltm_spend/_xlpm.nbr_days,
_xlpm.one_day_spend*7)</f>
        <v>19.390581717451525</v>
      </c>
      <c r="K33" s="179">
        <f>_xlfn.LET(_xlpm.total_spend,SUMIFS(Raw!$F$3:$F$9149,Raw!$D$3:$D$9149,'Ref Data'!$B33),
_xlpm.start_date,MIN(Raw!$H$3:$H$9149),
_xlpm.end_date,MAX(Raw!$H$3:$H$9149),
_xlpm.nbr_days,_xlpm.end_date-_xlpm.start_date,
_xlpm.one_day_spend,_xlpm.total_spend/_xlpm.nbr_days,
_xlpm.one_day_spend*7)</f>
        <v>0.15333391746254271</v>
      </c>
      <c r="L33" s="179">
        <f>_xlfn.LET(_xlpm.end_date,MAX(Raw!$H$3:$H$9149),
_xlpm.start_date,_xlpm.end_date-30,
SUMIFS(Raw!$F$3:$F$9149,Raw!$H$3:$H$9149,"&gt;="&amp;_xlpm.start_date,Raw!$D$3:$D$9149,'Ref Data'!$B33)/30)</f>
        <v>0</v>
      </c>
      <c r="M33" s="179">
        <f>_xlfn.LET(_xlpm.end_date,MAX(Raw!$H$3:$H$9149),
_xlpm.start_date,EOMONTH(_xlpm.end_date,-12),
_xlpm.nbr_days,_xlpm.end_date-_xlpm.start_date,
_xlpm.ltm_spend,SUMIFS(Raw!$F$3:$F$9149,Raw!$H$3:$H$9149,"&gt;="&amp;_xlpm.start_date,Raw!$D$3:$D$9149,'Ref Data'!$B33),
_xlpm.one_day_spend,_xlpm.ltm_spend/_xlpm.nbr_days,
_xlpm.one_day_spend)</f>
        <v>2.770083102493075</v>
      </c>
      <c r="N33" s="179">
        <f>_xlfn.LET(_xlpm.total_spend,SUMIFS(Raw!$F$3:$F$9149,Raw!$D$3:$D$9149,'Ref Data'!$B33),
_xlpm.start_date,MIN(Raw!$H$3:$H$9149),
_xlpm.end_date,MAX(Raw!$H$3:$H$9149),
_xlpm.nbr_days,_xlpm.end_date-_xlpm.start_date,
_xlpm.one_day_spend,_xlpm.total_spend/_xlpm.nbr_days,
_xlpm.one_day_spend)</f>
        <v>2.1904845351791817E-2</v>
      </c>
    </row>
  </sheetData>
  <autoFilter ref="A1:H22" xr:uid="{778E9722-404A-4B30-B093-6FD87C8A5056}">
    <sortState xmlns:xlrd2="http://schemas.microsoft.com/office/spreadsheetml/2017/richdata2" ref="A2:H22">
      <sortCondition ref="A1:A2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89B5-17B4-4873-8FA9-816046CA5156}">
  <sheetPr codeName="Sheet26">
    <tabColor theme="6"/>
  </sheetPr>
  <dimension ref="A1:I9149"/>
  <sheetViews>
    <sheetView workbookViewId="0">
      <pane xSplit="3" ySplit="3" topLeftCell="D4" activePane="bottomRight" state="frozen"/>
      <selection pane="topRight" activeCell="D1" sqref="D1"/>
      <selection pane="bottomLeft" activeCell="A4" sqref="A4"/>
      <selection pane="bottomRight" activeCell="H4" sqref="H4"/>
    </sheetView>
  </sheetViews>
  <sheetFormatPr defaultRowHeight="12.75" x14ac:dyDescent="0.2"/>
  <cols>
    <col min="1" max="1" width="10.140625" bestFit="1" customWidth="1"/>
    <col min="2" max="2" width="42.5703125" bestFit="1" customWidth="1"/>
    <col min="3" max="3" width="50.85546875" bestFit="1" customWidth="1"/>
    <col min="4" max="4" width="24.5703125" bestFit="1" customWidth="1"/>
    <col min="5" max="5" width="5" bestFit="1" customWidth="1"/>
    <col min="6" max="6" width="9" style="1" bestFit="1" customWidth="1"/>
    <col min="7" max="7" width="2.140625" style="1" customWidth="1"/>
    <col min="8" max="10" width="10.140625" bestFit="1" customWidth="1"/>
  </cols>
  <sheetData>
    <row r="1" spans="1:9" x14ac:dyDescent="0.2">
      <c r="A1" s="177" t="s">
        <v>314</v>
      </c>
      <c r="B1" s="177" t="s">
        <v>314</v>
      </c>
      <c r="C1" s="177" t="s">
        <v>314</v>
      </c>
      <c r="D1" s="177" t="s">
        <v>314</v>
      </c>
      <c r="E1" s="177" t="s">
        <v>314</v>
      </c>
      <c r="F1" s="177" t="s">
        <v>314</v>
      </c>
      <c r="H1" s="178" t="s">
        <v>87</v>
      </c>
    </row>
    <row r="3" spans="1:9" s="23" customFormat="1" ht="15" x14ac:dyDescent="0.35">
      <c r="A3" s="23" t="s">
        <v>107</v>
      </c>
      <c r="B3" s="23" t="s">
        <v>3</v>
      </c>
      <c r="C3" s="23" t="s">
        <v>228</v>
      </c>
      <c r="D3" s="23" t="s">
        <v>229</v>
      </c>
      <c r="E3" s="23" t="s">
        <v>230</v>
      </c>
      <c r="F3" s="24" t="s">
        <v>6</v>
      </c>
      <c r="G3" s="24"/>
      <c r="H3" s="23" t="s">
        <v>315</v>
      </c>
    </row>
    <row r="4" spans="1:9" x14ac:dyDescent="0.2">
      <c r="A4" t="s">
        <v>275</v>
      </c>
      <c r="C4" s="26" t="s">
        <v>355</v>
      </c>
      <c r="D4" t="s">
        <v>262</v>
      </c>
      <c r="F4" s="1">
        <v>-50</v>
      </c>
      <c r="H4" s="28" cm="1">
        <f t="array" ref="H4:H9149">_xlfn.LET(_xlpm.first_slash_position,FIND("/",$A4:$A9149),
_xlpm.second_slash_position,FIND("/",$A4:$A9149,4),
_xlpm.year,RIGHT($A4:$A9149,4),
_xlpm.month,LEFT($A4:$A9149,_xlpm.first_slash_position-1),
_xlpm.day,MID($A4:$A9149,_xlpm.first_slash_position+1,_xlpm.second_slash_position-_xlpm.first_slash_position-1),
IFERROR(DATE(_xlpm.year,_xlpm.month,_xlpm.day),$A4:$A9149))</f>
        <v>45445</v>
      </c>
      <c r="I4" s="28"/>
    </row>
    <row r="5" spans="1:9" x14ac:dyDescent="0.2">
      <c r="A5" t="s">
        <v>261</v>
      </c>
      <c r="C5" t="s">
        <v>251</v>
      </c>
      <c r="D5" t="s">
        <v>252</v>
      </c>
      <c r="F5" s="1">
        <v>-70</v>
      </c>
      <c r="H5" s="28">
        <v>45345</v>
      </c>
    </row>
    <row r="6" spans="1:9" x14ac:dyDescent="0.2">
      <c r="A6" t="s">
        <v>268</v>
      </c>
      <c r="D6" t="s">
        <v>269</v>
      </c>
      <c r="F6" s="1">
        <v>-4.9800000000000004</v>
      </c>
      <c r="H6" s="28">
        <v>45371</v>
      </c>
    </row>
    <row r="7" spans="1:9" x14ac:dyDescent="0.2">
      <c r="A7" t="s">
        <v>302</v>
      </c>
      <c r="C7" t="s">
        <v>303</v>
      </c>
      <c r="D7" t="s">
        <v>237</v>
      </c>
      <c r="F7" s="1">
        <v>-100</v>
      </c>
      <c r="H7" s="28">
        <v>45554</v>
      </c>
    </row>
    <row r="8" spans="1:9" x14ac:dyDescent="0.2">
      <c r="A8" t="s">
        <v>263</v>
      </c>
      <c r="C8" t="s">
        <v>260</v>
      </c>
      <c r="D8" t="s">
        <v>237</v>
      </c>
      <c r="F8" s="1">
        <v>-100</v>
      </c>
      <c r="H8" s="28">
        <v>45353</v>
      </c>
    </row>
    <row r="9" spans="1:9" x14ac:dyDescent="0.2">
      <c r="A9" t="s">
        <v>267</v>
      </c>
      <c r="C9" s="26" t="s">
        <v>356</v>
      </c>
      <c r="D9" t="s">
        <v>257</v>
      </c>
      <c r="F9" s="1">
        <v>1000</v>
      </c>
      <c r="H9" s="28">
        <v>45370</v>
      </c>
    </row>
    <row r="10" spans="1:9" x14ac:dyDescent="0.2">
      <c r="A10" t="s">
        <v>276</v>
      </c>
      <c r="C10" t="s">
        <v>277</v>
      </c>
      <c r="D10" t="s">
        <v>278</v>
      </c>
      <c r="F10" s="1">
        <v>-100</v>
      </c>
      <c r="H10" s="28">
        <v>45474</v>
      </c>
    </row>
    <row r="11" spans="1:9" x14ac:dyDescent="0.2">
      <c r="A11" t="s">
        <v>297</v>
      </c>
      <c r="C11" t="s">
        <v>101</v>
      </c>
      <c r="D11" t="s">
        <v>296</v>
      </c>
      <c r="F11" s="1">
        <v>-75</v>
      </c>
      <c r="H11" s="28">
        <v>45548</v>
      </c>
    </row>
    <row r="12" spans="1:9" x14ac:dyDescent="0.2">
      <c r="A12" t="s">
        <v>292</v>
      </c>
      <c r="C12" t="s">
        <v>233</v>
      </c>
      <c r="D12" t="s">
        <v>234</v>
      </c>
      <c r="F12" s="1">
        <v>-30</v>
      </c>
      <c r="H12" s="28">
        <v>45544</v>
      </c>
    </row>
    <row r="13" spans="1:9" x14ac:dyDescent="0.2">
      <c r="A13" t="s">
        <v>283</v>
      </c>
      <c r="C13" t="s">
        <v>284</v>
      </c>
      <c r="D13" t="s">
        <v>274</v>
      </c>
      <c r="F13" s="1">
        <v>-20</v>
      </c>
      <c r="H13" s="28">
        <v>45493</v>
      </c>
    </row>
    <row r="14" spans="1:9" x14ac:dyDescent="0.2">
      <c r="A14" t="s">
        <v>291</v>
      </c>
      <c r="C14" t="s">
        <v>254</v>
      </c>
      <c r="D14" t="s">
        <v>238</v>
      </c>
      <c r="F14" s="1">
        <v>-10</v>
      </c>
      <c r="H14" s="28">
        <v>45542</v>
      </c>
    </row>
    <row r="15" spans="1:9" x14ac:dyDescent="0.2">
      <c r="A15" t="s">
        <v>246</v>
      </c>
      <c r="C15" t="s">
        <v>247</v>
      </c>
      <c r="D15" t="s">
        <v>238</v>
      </c>
      <c r="F15" s="1">
        <v>-80</v>
      </c>
      <c r="H15" s="28">
        <v>45304</v>
      </c>
    </row>
    <row r="16" spans="1:9" x14ac:dyDescent="0.2">
      <c r="A16" t="s">
        <v>255</v>
      </c>
      <c r="D16" t="s">
        <v>256</v>
      </c>
      <c r="F16" s="1">
        <v>-30</v>
      </c>
      <c r="H16" s="28">
        <v>45337</v>
      </c>
    </row>
    <row r="17" spans="1:8" x14ac:dyDescent="0.2">
      <c r="A17" t="s">
        <v>290</v>
      </c>
      <c r="C17" t="s">
        <v>250</v>
      </c>
      <c r="D17" t="s">
        <v>1</v>
      </c>
      <c r="F17" s="1">
        <v>-20</v>
      </c>
      <c r="H17" s="28">
        <v>45541</v>
      </c>
    </row>
    <row r="18" spans="1:8" x14ac:dyDescent="0.2">
      <c r="A18" t="s">
        <v>299</v>
      </c>
      <c r="C18" t="s">
        <v>300</v>
      </c>
      <c r="D18" t="s">
        <v>1</v>
      </c>
      <c r="F18" s="1">
        <v>-15</v>
      </c>
      <c r="H18" s="28">
        <v>45553</v>
      </c>
    </row>
    <row r="19" spans="1:8" x14ac:dyDescent="0.2">
      <c r="A19" t="s">
        <v>299</v>
      </c>
      <c r="C19" t="s">
        <v>301</v>
      </c>
      <c r="D19" t="s">
        <v>1</v>
      </c>
      <c r="F19" s="1">
        <v>-25</v>
      </c>
      <c r="H19" s="28">
        <v>45553</v>
      </c>
    </row>
    <row r="20" spans="1:8" x14ac:dyDescent="0.2">
      <c r="A20" t="s">
        <v>298</v>
      </c>
      <c r="C20" t="s">
        <v>266</v>
      </c>
      <c r="D20" t="s">
        <v>1</v>
      </c>
      <c r="F20" s="1">
        <v>-100</v>
      </c>
      <c r="H20" s="28">
        <v>45551</v>
      </c>
    </row>
    <row r="21" spans="1:8" x14ac:dyDescent="0.2">
      <c r="A21" t="s">
        <v>291</v>
      </c>
      <c r="C21" t="s">
        <v>288</v>
      </c>
      <c r="D21" t="s">
        <v>273</v>
      </c>
      <c r="F21" s="1">
        <v>-30</v>
      </c>
      <c r="H21" s="28">
        <v>45542</v>
      </c>
    </row>
    <row r="22" spans="1:8" x14ac:dyDescent="0.2">
      <c r="A22" t="s">
        <v>279</v>
      </c>
      <c r="D22" t="s">
        <v>280</v>
      </c>
      <c r="F22" s="1">
        <v>-20</v>
      </c>
      <c r="H22" s="28">
        <v>45478</v>
      </c>
    </row>
    <row r="23" spans="1:8" x14ac:dyDescent="0.2">
      <c r="A23" t="s">
        <v>285</v>
      </c>
      <c r="D23" t="s">
        <v>69</v>
      </c>
      <c r="F23" s="1">
        <v>-100</v>
      </c>
      <c r="H23" s="28">
        <v>45507</v>
      </c>
    </row>
    <row r="24" spans="1:8" x14ac:dyDescent="0.2">
      <c r="A24" t="s">
        <v>286</v>
      </c>
      <c r="D24" t="s">
        <v>287</v>
      </c>
      <c r="F24" s="1">
        <v>-200</v>
      </c>
      <c r="H24" s="28">
        <v>45522</v>
      </c>
    </row>
    <row r="25" spans="1:8" x14ac:dyDescent="0.2">
      <c r="A25" t="s">
        <v>309</v>
      </c>
      <c r="C25" t="s">
        <v>310</v>
      </c>
      <c r="D25" t="s">
        <v>311</v>
      </c>
      <c r="F25" s="1">
        <v>10</v>
      </c>
      <c r="H25" s="28">
        <v>45596</v>
      </c>
    </row>
    <row r="26" spans="1:8" x14ac:dyDescent="0.2">
      <c r="A26" t="s">
        <v>293</v>
      </c>
      <c r="C26" t="s">
        <v>241</v>
      </c>
      <c r="D26" t="s">
        <v>4</v>
      </c>
      <c r="F26" s="1">
        <v>-300</v>
      </c>
      <c r="H26" s="28">
        <v>45545</v>
      </c>
    </row>
    <row r="27" spans="1:8" x14ac:dyDescent="0.2">
      <c r="A27" t="s">
        <v>304</v>
      </c>
      <c r="D27" t="s">
        <v>232</v>
      </c>
      <c r="F27" s="1">
        <v>-30</v>
      </c>
      <c r="H27" s="28">
        <v>45561</v>
      </c>
    </row>
    <row r="28" spans="1:8" x14ac:dyDescent="0.2">
      <c r="A28" t="s">
        <v>258</v>
      </c>
      <c r="C28" t="s">
        <v>259</v>
      </c>
      <c r="D28" t="s">
        <v>248</v>
      </c>
      <c r="F28" s="1">
        <v>-20</v>
      </c>
      <c r="H28" s="28">
        <v>45339</v>
      </c>
    </row>
    <row r="29" spans="1:8" x14ac:dyDescent="0.2">
      <c r="A29" t="s">
        <v>308</v>
      </c>
      <c r="D29" t="s">
        <v>306</v>
      </c>
      <c r="F29" s="1">
        <v>1000</v>
      </c>
      <c r="H29" s="28">
        <v>45595</v>
      </c>
    </row>
    <row r="30" spans="1:8" x14ac:dyDescent="0.2">
      <c r="A30" t="s">
        <v>290</v>
      </c>
      <c r="D30" t="s">
        <v>245</v>
      </c>
      <c r="F30" s="1">
        <v>1000</v>
      </c>
      <c r="H30" s="28">
        <v>45541</v>
      </c>
    </row>
    <row r="31" spans="1:8" x14ac:dyDescent="0.2">
      <c r="A31" t="s">
        <v>312</v>
      </c>
      <c r="C31" s="26" t="s">
        <v>357</v>
      </c>
      <c r="D31" t="s">
        <v>242</v>
      </c>
      <c r="F31" s="1">
        <v>-200</v>
      </c>
      <c r="H31" s="28">
        <v>45639</v>
      </c>
    </row>
    <row r="32" spans="1:8" x14ac:dyDescent="0.2">
      <c r="A32" t="s">
        <v>240</v>
      </c>
      <c r="C32" s="26" t="s">
        <v>155</v>
      </c>
      <c r="D32" t="s">
        <v>242</v>
      </c>
      <c r="F32" s="1">
        <v>-65</v>
      </c>
      <c r="H32" s="28">
        <v>45300</v>
      </c>
    </row>
    <row r="33" spans="1:8" x14ac:dyDescent="0.2">
      <c r="A33" t="s">
        <v>249</v>
      </c>
      <c r="C33" s="26" t="s">
        <v>358</v>
      </c>
      <c r="D33" t="s">
        <v>235</v>
      </c>
      <c r="F33" s="1">
        <v>1000</v>
      </c>
      <c r="H33" s="28">
        <v>45309</v>
      </c>
    </row>
    <row r="34" spans="1:8" x14ac:dyDescent="0.2">
      <c r="A34" t="s">
        <v>289</v>
      </c>
      <c r="C34" s="26" t="s">
        <v>359</v>
      </c>
      <c r="D34" t="s">
        <v>0</v>
      </c>
      <c r="F34" s="1">
        <v>-1500</v>
      </c>
      <c r="H34" s="28">
        <v>45539</v>
      </c>
    </row>
    <row r="35" spans="1:8" x14ac:dyDescent="0.2">
      <c r="A35" t="s">
        <v>313</v>
      </c>
      <c r="C35" t="s">
        <v>272</v>
      </c>
      <c r="D35" t="s">
        <v>231</v>
      </c>
      <c r="F35" s="1">
        <v>-20</v>
      </c>
      <c r="H35" s="28">
        <v>45652</v>
      </c>
    </row>
    <row r="36" spans="1:8" x14ac:dyDescent="0.2">
      <c r="A36" t="s">
        <v>305</v>
      </c>
      <c r="C36" s="26" t="s">
        <v>360</v>
      </c>
      <c r="D36" t="s">
        <v>307</v>
      </c>
      <c r="F36" s="1">
        <v>50</v>
      </c>
      <c r="H36" s="28">
        <v>45582</v>
      </c>
    </row>
    <row r="37" spans="1:8" x14ac:dyDescent="0.2">
      <c r="A37" t="s">
        <v>281</v>
      </c>
      <c r="C37" s="26" t="s">
        <v>361</v>
      </c>
      <c r="D37" t="s">
        <v>282</v>
      </c>
      <c r="F37" s="1">
        <v>-10</v>
      </c>
      <c r="H37" s="28">
        <v>45481</v>
      </c>
    </row>
    <row r="38" spans="1:8" x14ac:dyDescent="0.2">
      <c r="A38" t="s">
        <v>264</v>
      </c>
      <c r="C38" s="26" t="s">
        <v>265</v>
      </c>
      <c r="D38" t="s">
        <v>19</v>
      </c>
      <c r="F38" s="1">
        <v>-10</v>
      </c>
      <c r="H38" s="28">
        <v>45364</v>
      </c>
    </row>
    <row r="39" spans="1:8" x14ac:dyDescent="0.2">
      <c r="A39" t="s">
        <v>293</v>
      </c>
      <c r="C39" t="s">
        <v>294</v>
      </c>
      <c r="D39" t="s">
        <v>295</v>
      </c>
      <c r="F39" s="1">
        <v>-150</v>
      </c>
      <c r="H39" s="28">
        <v>45545</v>
      </c>
    </row>
    <row r="40" spans="1:8" x14ac:dyDescent="0.2">
      <c r="A40" t="s">
        <v>292</v>
      </c>
      <c r="C40" t="s">
        <v>239</v>
      </c>
      <c r="D40" t="s">
        <v>236</v>
      </c>
      <c r="F40" s="1">
        <v>-30</v>
      </c>
      <c r="H40" s="28">
        <v>45544</v>
      </c>
    </row>
    <row r="41" spans="1:8" x14ac:dyDescent="0.2">
      <c r="A41" t="s">
        <v>243</v>
      </c>
      <c r="C41" t="s">
        <v>244</v>
      </c>
      <c r="D41" t="s">
        <v>236</v>
      </c>
      <c r="F41" s="1">
        <v>-300</v>
      </c>
      <c r="H41" s="28">
        <v>45302</v>
      </c>
    </row>
    <row r="42" spans="1:8" x14ac:dyDescent="0.2">
      <c r="A42" t="s">
        <v>270</v>
      </c>
      <c r="C42" t="s">
        <v>271</v>
      </c>
      <c r="D42" t="s">
        <v>253</v>
      </c>
      <c r="F42" s="1">
        <v>-205</v>
      </c>
      <c r="H42" s="28">
        <v>45380</v>
      </c>
    </row>
    <row r="43" spans="1:8" x14ac:dyDescent="0.2">
      <c r="H43">
        <v>0</v>
      </c>
    </row>
    <row r="44" spans="1:8" x14ac:dyDescent="0.2">
      <c r="H44">
        <v>0</v>
      </c>
    </row>
    <row r="45" spans="1:8" x14ac:dyDescent="0.2">
      <c r="H45">
        <v>0</v>
      </c>
    </row>
    <row r="46" spans="1:8" x14ac:dyDescent="0.2">
      <c r="H46">
        <v>0</v>
      </c>
    </row>
    <row r="47" spans="1:8" x14ac:dyDescent="0.2">
      <c r="H47">
        <v>0</v>
      </c>
    </row>
    <row r="48" spans="1:8" x14ac:dyDescent="0.2">
      <c r="H48">
        <v>0</v>
      </c>
    </row>
    <row r="49" spans="8:8" x14ac:dyDescent="0.2">
      <c r="H49">
        <v>0</v>
      </c>
    </row>
    <row r="50" spans="8:8" x14ac:dyDescent="0.2">
      <c r="H50">
        <v>0</v>
      </c>
    </row>
    <row r="51" spans="8:8" x14ac:dyDescent="0.2">
      <c r="H51">
        <v>0</v>
      </c>
    </row>
    <row r="52" spans="8:8" x14ac:dyDescent="0.2">
      <c r="H52">
        <v>0</v>
      </c>
    </row>
    <row r="53" spans="8:8" x14ac:dyDescent="0.2">
      <c r="H53">
        <v>0</v>
      </c>
    </row>
    <row r="54" spans="8:8" x14ac:dyDescent="0.2">
      <c r="H54">
        <v>0</v>
      </c>
    </row>
    <row r="55" spans="8:8" x14ac:dyDescent="0.2">
      <c r="H55">
        <v>0</v>
      </c>
    </row>
    <row r="56" spans="8:8" x14ac:dyDescent="0.2">
      <c r="H56">
        <v>0</v>
      </c>
    </row>
    <row r="57" spans="8:8" x14ac:dyDescent="0.2">
      <c r="H57">
        <v>0</v>
      </c>
    </row>
    <row r="58" spans="8:8" x14ac:dyDescent="0.2">
      <c r="H58">
        <v>0</v>
      </c>
    </row>
    <row r="59" spans="8:8" x14ac:dyDescent="0.2">
      <c r="H59">
        <v>0</v>
      </c>
    </row>
    <row r="60" spans="8:8" x14ac:dyDescent="0.2">
      <c r="H60">
        <v>0</v>
      </c>
    </row>
    <row r="61" spans="8:8" x14ac:dyDescent="0.2">
      <c r="H61">
        <v>0</v>
      </c>
    </row>
    <row r="62" spans="8:8" x14ac:dyDescent="0.2">
      <c r="H62">
        <v>0</v>
      </c>
    </row>
    <row r="63" spans="8:8" x14ac:dyDescent="0.2">
      <c r="H63">
        <v>0</v>
      </c>
    </row>
    <row r="64" spans="8:8" x14ac:dyDescent="0.2">
      <c r="H64">
        <v>0</v>
      </c>
    </row>
    <row r="65" spans="8:8" x14ac:dyDescent="0.2">
      <c r="H65">
        <v>0</v>
      </c>
    </row>
    <row r="66" spans="8:8" x14ac:dyDescent="0.2">
      <c r="H66">
        <v>0</v>
      </c>
    </row>
    <row r="67" spans="8:8" x14ac:dyDescent="0.2">
      <c r="H67">
        <v>0</v>
      </c>
    </row>
    <row r="68" spans="8:8" x14ac:dyDescent="0.2">
      <c r="H68">
        <v>0</v>
      </c>
    </row>
    <row r="69" spans="8:8" x14ac:dyDescent="0.2">
      <c r="H69">
        <v>0</v>
      </c>
    </row>
    <row r="70" spans="8:8" x14ac:dyDescent="0.2">
      <c r="H70">
        <v>0</v>
      </c>
    </row>
    <row r="71" spans="8:8" x14ac:dyDescent="0.2">
      <c r="H71">
        <v>0</v>
      </c>
    </row>
    <row r="72" spans="8:8" x14ac:dyDescent="0.2">
      <c r="H72">
        <v>0</v>
      </c>
    </row>
    <row r="73" spans="8:8" x14ac:dyDescent="0.2">
      <c r="H73">
        <v>0</v>
      </c>
    </row>
    <row r="74" spans="8:8" x14ac:dyDescent="0.2">
      <c r="H74">
        <v>0</v>
      </c>
    </row>
    <row r="75" spans="8:8" x14ac:dyDescent="0.2">
      <c r="H75">
        <v>0</v>
      </c>
    </row>
    <row r="76" spans="8:8" x14ac:dyDescent="0.2">
      <c r="H76">
        <v>0</v>
      </c>
    </row>
    <row r="77" spans="8:8" x14ac:dyDescent="0.2">
      <c r="H77">
        <v>0</v>
      </c>
    </row>
    <row r="78" spans="8:8" x14ac:dyDescent="0.2">
      <c r="H78">
        <v>0</v>
      </c>
    </row>
    <row r="79" spans="8:8" x14ac:dyDescent="0.2">
      <c r="H79">
        <v>0</v>
      </c>
    </row>
    <row r="80" spans="8:8" x14ac:dyDescent="0.2">
      <c r="H80">
        <v>0</v>
      </c>
    </row>
    <row r="81" spans="8:8" x14ac:dyDescent="0.2">
      <c r="H81">
        <v>0</v>
      </c>
    </row>
    <row r="82" spans="8:8" x14ac:dyDescent="0.2">
      <c r="H82">
        <v>0</v>
      </c>
    </row>
    <row r="83" spans="8:8" x14ac:dyDescent="0.2">
      <c r="H83">
        <v>0</v>
      </c>
    </row>
    <row r="84" spans="8:8" x14ac:dyDescent="0.2">
      <c r="H84">
        <v>0</v>
      </c>
    </row>
    <row r="85" spans="8:8" x14ac:dyDescent="0.2">
      <c r="H85">
        <v>0</v>
      </c>
    </row>
    <row r="86" spans="8:8" x14ac:dyDescent="0.2">
      <c r="H86">
        <v>0</v>
      </c>
    </row>
    <row r="87" spans="8:8" x14ac:dyDescent="0.2">
      <c r="H87">
        <v>0</v>
      </c>
    </row>
    <row r="88" spans="8:8" x14ac:dyDescent="0.2">
      <c r="H88">
        <v>0</v>
      </c>
    </row>
    <row r="89" spans="8:8" x14ac:dyDescent="0.2">
      <c r="H89">
        <v>0</v>
      </c>
    </row>
    <row r="90" spans="8:8" x14ac:dyDescent="0.2">
      <c r="H90">
        <v>0</v>
      </c>
    </row>
    <row r="91" spans="8:8" x14ac:dyDescent="0.2">
      <c r="H91">
        <v>0</v>
      </c>
    </row>
    <row r="92" spans="8:8" x14ac:dyDescent="0.2">
      <c r="H92">
        <v>0</v>
      </c>
    </row>
    <row r="93" spans="8:8" x14ac:dyDescent="0.2">
      <c r="H93">
        <v>0</v>
      </c>
    </row>
    <row r="94" spans="8:8" x14ac:dyDescent="0.2">
      <c r="H94">
        <v>0</v>
      </c>
    </row>
    <row r="95" spans="8:8" x14ac:dyDescent="0.2">
      <c r="H95">
        <v>0</v>
      </c>
    </row>
    <row r="96" spans="8:8" x14ac:dyDescent="0.2">
      <c r="H96">
        <v>0</v>
      </c>
    </row>
    <row r="97" spans="8:8" x14ac:dyDescent="0.2">
      <c r="H97">
        <v>0</v>
      </c>
    </row>
    <row r="98" spans="8:8" x14ac:dyDescent="0.2">
      <c r="H98">
        <v>0</v>
      </c>
    </row>
    <row r="99" spans="8:8" x14ac:dyDescent="0.2">
      <c r="H99">
        <v>0</v>
      </c>
    </row>
    <row r="100" spans="8:8" x14ac:dyDescent="0.2">
      <c r="H100">
        <v>0</v>
      </c>
    </row>
    <row r="101" spans="8:8" x14ac:dyDescent="0.2">
      <c r="H101">
        <v>0</v>
      </c>
    </row>
    <row r="102" spans="8:8" x14ac:dyDescent="0.2">
      <c r="H102">
        <v>0</v>
      </c>
    </row>
    <row r="103" spans="8:8" x14ac:dyDescent="0.2">
      <c r="H103">
        <v>0</v>
      </c>
    </row>
    <row r="104" spans="8:8" x14ac:dyDescent="0.2">
      <c r="H104">
        <v>0</v>
      </c>
    </row>
    <row r="105" spans="8:8" x14ac:dyDescent="0.2">
      <c r="H105">
        <v>0</v>
      </c>
    </row>
    <row r="106" spans="8:8" x14ac:dyDescent="0.2">
      <c r="H106">
        <v>0</v>
      </c>
    </row>
    <row r="107" spans="8:8" x14ac:dyDescent="0.2">
      <c r="H107">
        <v>0</v>
      </c>
    </row>
    <row r="108" spans="8:8" x14ac:dyDescent="0.2">
      <c r="H108">
        <v>0</v>
      </c>
    </row>
    <row r="109" spans="8:8" x14ac:dyDescent="0.2">
      <c r="H109">
        <v>0</v>
      </c>
    </row>
    <row r="110" spans="8:8" x14ac:dyDescent="0.2">
      <c r="H110">
        <v>0</v>
      </c>
    </row>
    <row r="111" spans="8:8" x14ac:dyDescent="0.2">
      <c r="H111">
        <v>0</v>
      </c>
    </row>
    <row r="112" spans="8:8" x14ac:dyDescent="0.2">
      <c r="H112">
        <v>0</v>
      </c>
    </row>
    <row r="113" spans="8:8" x14ac:dyDescent="0.2">
      <c r="H113">
        <v>0</v>
      </c>
    </row>
    <row r="114" spans="8:8" x14ac:dyDescent="0.2">
      <c r="H114">
        <v>0</v>
      </c>
    </row>
    <row r="115" spans="8:8" x14ac:dyDescent="0.2">
      <c r="H115">
        <v>0</v>
      </c>
    </row>
    <row r="116" spans="8:8" x14ac:dyDescent="0.2">
      <c r="H116">
        <v>0</v>
      </c>
    </row>
    <row r="117" spans="8:8" x14ac:dyDescent="0.2">
      <c r="H117">
        <v>0</v>
      </c>
    </row>
    <row r="118" spans="8:8" x14ac:dyDescent="0.2">
      <c r="H118">
        <v>0</v>
      </c>
    </row>
    <row r="119" spans="8:8" x14ac:dyDescent="0.2">
      <c r="H119">
        <v>0</v>
      </c>
    </row>
    <row r="120" spans="8:8" x14ac:dyDescent="0.2">
      <c r="H120">
        <v>0</v>
      </c>
    </row>
    <row r="121" spans="8:8" x14ac:dyDescent="0.2">
      <c r="H121">
        <v>0</v>
      </c>
    </row>
    <row r="122" spans="8:8" x14ac:dyDescent="0.2">
      <c r="H122">
        <v>0</v>
      </c>
    </row>
    <row r="123" spans="8:8" x14ac:dyDescent="0.2">
      <c r="H123">
        <v>0</v>
      </c>
    </row>
    <row r="124" spans="8:8" x14ac:dyDescent="0.2">
      <c r="H124">
        <v>0</v>
      </c>
    </row>
    <row r="125" spans="8:8" x14ac:dyDescent="0.2">
      <c r="H125">
        <v>0</v>
      </c>
    </row>
    <row r="126" spans="8:8" x14ac:dyDescent="0.2">
      <c r="H126">
        <v>0</v>
      </c>
    </row>
    <row r="127" spans="8:8" x14ac:dyDescent="0.2">
      <c r="H127">
        <v>0</v>
      </c>
    </row>
    <row r="128" spans="8:8" x14ac:dyDescent="0.2">
      <c r="H128">
        <v>0</v>
      </c>
    </row>
    <row r="129" spans="8:8" x14ac:dyDescent="0.2">
      <c r="H129">
        <v>0</v>
      </c>
    </row>
    <row r="130" spans="8:8" x14ac:dyDescent="0.2">
      <c r="H130">
        <v>0</v>
      </c>
    </row>
    <row r="131" spans="8:8" x14ac:dyDescent="0.2">
      <c r="H131">
        <v>0</v>
      </c>
    </row>
    <row r="132" spans="8:8" x14ac:dyDescent="0.2">
      <c r="H132">
        <v>0</v>
      </c>
    </row>
    <row r="133" spans="8:8" x14ac:dyDescent="0.2">
      <c r="H133">
        <v>0</v>
      </c>
    </row>
    <row r="134" spans="8:8" x14ac:dyDescent="0.2">
      <c r="H134">
        <v>0</v>
      </c>
    </row>
    <row r="135" spans="8:8" x14ac:dyDescent="0.2">
      <c r="H135">
        <v>0</v>
      </c>
    </row>
    <row r="136" spans="8:8" x14ac:dyDescent="0.2">
      <c r="H136">
        <v>0</v>
      </c>
    </row>
    <row r="137" spans="8:8" x14ac:dyDescent="0.2">
      <c r="H137">
        <v>0</v>
      </c>
    </row>
    <row r="138" spans="8:8" x14ac:dyDescent="0.2">
      <c r="H138">
        <v>0</v>
      </c>
    </row>
    <row r="139" spans="8:8" x14ac:dyDescent="0.2">
      <c r="H139">
        <v>0</v>
      </c>
    </row>
    <row r="140" spans="8:8" x14ac:dyDescent="0.2">
      <c r="H140">
        <v>0</v>
      </c>
    </row>
    <row r="141" spans="8:8" x14ac:dyDescent="0.2">
      <c r="H141">
        <v>0</v>
      </c>
    </row>
    <row r="142" spans="8:8" x14ac:dyDescent="0.2">
      <c r="H142">
        <v>0</v>
      </c>
    </row>
    <row r="143" spans="8:8" x14ac:dyDescent="0.2">
      <c r="H143">
        <v>0</v>
      </c>
    </row>
    <row r="144" spans="8:8" x14ac:dyDescent="0.2">
      <c r="H144">
        <v>0</v>
      </c>
    </row>
    <row r="145" spans="8:8" x14ac:dyDescent="0.2">
      <c r="H145">
        <v>0</v>
      </c>
    </row>
    <row r="146" spans="8:8" x14ac:dyDescent="0.2">
      <c r="H146">
        <v>0</v>
      </c>
    </row>
    <row r="147" spans="8:8" x14ac:dyDescent="0.2">
      <c r="H147">
        <v>0</v>
      </c>
    </row>
    <row r="148" spans="8:8" x14ac:dyDescent="0.2">
      <c r="H148">
        <v>0</v>
      </c>
    </row>
    <row r="149" spans="8:8" x14ac:dyDescent="0.2">
      <c r="H149">
        <v>0</v>
      </c>
    </row>
    <row r="150" spans="8:8" x14ac:dyDescent="0.2">
      <c r="H150">
        <v>0</v>
      </c>
    </row>
    <row r="151" spans="8:8" x14ac:dyDescent="0.2">
      <c r="H151">
        <v>0</v>
      </c>
    </row>
    <row r="152" spans="8:8" x14ac:dyDescent="0.2">
      <c r="H152">
        <v>0</v>
      </c>
    </row>
    <row r="153" spans="8:8" x14ac:dyDescent="0.2">
      <c r="H153">
        <v>0</v>
      </c>
    </row>
    <row r="154" spans="8:8" x14ac:dyDescent="0.2">
      <c r="H154">
        <v>0</v>
      </c>
    </row>
    <row r="155" spans="8:8" x14ac:dyDescent="0.2">
      <c r="H155">
        <v>0</v>
      </c>
    </row>
    <row r="156" spans="8:8" x14ac:dyDescent="0.2">
      <c r="H156">
        <v>0</v>
      </c>
    </row>
    <row r="157" spans="8:8" x14ac:dyDescent="0.2">
      <c r="H157">
        <v>0</v>
      </c>
    </row>
    <row r="158" spans="8:8" x14ac:dyDescent="0.2">
      <c r="H158">
        <v>0</v>
      </c>
    </row>
    <row r="159" spans="8:8" x14ac:dyDescent="0.2">
      <c r="H159">
        <v>0</v>
      </c>
    </row>
    <row r="160" spans="8:8" x14ac:dyDescent="0.2">
      <c r="H160">
        <v>0</v>
      </c>
    </row>
    <row r="161" spans="8:8" x14ac:dyDescent="0.2">
      <c r="H161">
        <v>0</v>
      </c>
    </row>
    <row r="162" spans="8:8" x14ac:dyDescent="0.2">
      <c r="H162">
        <v>0</v>
      </c>
    </row>
    <row r="163" spans="8:8" x14ac:dyDescent="0.2">
      <c r="H163">
        <v>0</v>
      </c>
    </row>
    <row r="164" spans="8:8" x14ac:dyDescent="0.2">
      <c r="H164">
        <v>0</v>
      </c>
    </row>
    <row r="165" spans="8:8" x14ac:dyDescent="0.2">
      <c r="H165">
        <v>0</v>
      </c>
    </row>
    <row r="166" spans="8:8" x14ac:dyDescent="0.2">
      <c r="H166">
        <v>0</v>
      </c>
    </row>
    <row r="167" spans="8:8" x14ac:dyDescent="0.2">
      <c r="H167">
        <v>0</v>
      </c>
    </row>
    <row r="168" spans="8:8" x14ac:dyDescent="0.2">
      <c r="H168">
        <v>0</v>
      </c>
    </row>
    <row r="169" spans="8:8" x14ac:dyDescent="0.2">
      <c r="H169">
        <v>0</v>
      </c>
    </row>
    <row r="170" spans="8:8" x14ac:dyDescent="0.2">
      <c r="H170">
        <v>0</v>
      </c>
    </row>
    <row r="171" spans="8:8" x14ac:dyDescent="0.2">
      <c r="H171">
        <v>0</v>
      </c>
    </row>
    <row r="172" spans="8:8" x14ac:dyDescent="0.2">
      <c r="H172">
        <v>0</v>
      </c>
    </row>
    <row r="173" spans="8:8" x14ac:dyDescent="0.2">
      <c r="H173">
        <v>0</v>
      </c>
    </row>
    <row r="174" spans="8:8" x14ac:dyDescent="0.2">
      <c r="H174">
        <v>0</v>
      </c>
    </row>
    <row r="175" spans="8:8" x14ac:dyDescent="0.2">
      <c r="H175">
        <v>0</v>
      </c>
    </row>
    <row r="176" spans="8:8" x14ac:dyDescent="0.2">
      <c r="H176">
        <v>0</v>
      </c>
    </row>
    <row r="177" spans="8:8" x14ac:dyDescent="0.2">
      <c r="H177">
        <v>0</v>
      </c>
    </row>
    <row r="178" spans="8:8" x14ac:dyDescent="0.2">
      <c r="H178">
        <v>0</v>
      </c>
    </row>
    <row r="179" spans="8:8" x14ac:dyDescent="0.2">
      <c r="H179">
        <v>0</v>
      </c>
    </row>
    <row r="180" spans="8:8" x14ac:dyDescent="0.2">
      <c r="H180">
        <v>0</v>
      </c>
    </row>
    <row r="181" spans="8:8" x14ac:dyDescent="0.2">
      <c r="H181">
        <v>0</v>
      </c>
    </row>
    <row r="182" spans="8:8" x14ac:dyDescent="0.2">
      <c r="H182">
        <v>0</v>
      </c>
    </row>
    <row r="183" spans="8:8" x14ac:dyDescent="0.2">
      <c r="H183">
        <v>0</v>
      </c>
    </row>
    <row r="184" spans="8:8" x14ac:dyDescent="0.2">
      <c r="H184">
        <v>0</v>
      </c>
    </row>
    <row r="185" spans="8:8" x14ac:dyDescent="0.2">
      <c r="H185">
        <v>0</v>
      </c>
    </row>
    <row r="186" spans="8:8" x14ac:dyDescent="0.2">
      <c r="H186">
        <v>0</v>
      </c>
    </row>
    <row r="187" spans="8:8" x14ac:dyDescent="0.2">
      <c r="H187">
        <v>0</v>
      </c>
    </row>
    <row r="188" spans="8:8" x14ac:dyDescent="0.2">
      <c r="H188">
        <v>0</v>
      </c>
    </row>
    <row r="189" spans="8:8" x14ac:dyDescent="0.2">
      <c r="H189">
        <v>0</v>
      </c>
    </row>
    <row r="190" spans="8:8" x14ac:dyDescent="0.2">
      <c r="H190">
        <v>0</v>
      </c>
    </row>
    <row r="191" spans="8:8" x14ac:dyDescent="0.2">
      <c r="H191">
        <v>0</v>
      </c>
    </row>
    <row r="192" spans="8:8" x14ac:dyDescent="0.2">
      <c r="H192">
        <v>0</v>
      </c>
    </row>
    <row r="193" spans="8:8" x14ac:dyDescent="0.2">
      <c r="H193">
        <v>0</v>
      </c>
    </row>
    <row r="194" spans="8:8" x14ac:dyDescent="0.2">
      <c r="H194">
        <v>0</v>
      </c>
    </row>
    <row r="195" spans="8:8" x14ac:dyDescent="0.2">
      <c r="H195">
        <v>0</v>
      </c>
    </row>
    <row r="196" spans="8:8" x14ac:dyDescent="0.2">
      <c r="H196">
        <v>0</v>
      </c>
    </row>
    <row r="197" spans="8:8" x14ac:dyDescent="0.2">
      <c r="H197">
        <v>0</v>
      </c>
    </row>
    <row r="198" spans="8:8" x14ac:dyDescent="0.2">
      <c r="H198">
        <v>0</v>
      </c>
    </row>
    <row r="199" spans="8:8" x14ac:dyDescent="0.2">
      <c r="H199">
        <v>0</v>
      </c>
    </row>
    <row r="200" spans="8:8" x14ac:dyDescent="0.2">
      <c r="H200">
        <v>0</v>
      </c>
    </row>
    <row r="201" spans="8:8" x14ac:dyDescent="0.2">
      <c r="H201">
        <v>0</v>
      </c>
    </row>
    <row r="202" spans="8:8" x14ac:dyDescent="0.2">
      <c r="H202">
        <v>0</v>
      </c>
    </row>
    <row r="203" spans="8:8" x14ac:dyDescent="0.2">
      <c r="H203">
        <v>0</v>
      </c>
    </row>
    <row r="204" spans="8:8" x14ac:dyDescent="0.2">
      <c r="H204">
        <v>0</v>
      </c>
    </row>
    <row r="205" spans="8:8" x14ac:dyDescent="0.2">
      <c r="H205">
        <v>0</v>
      </c>
    </row>
    <row r="206" spans="8:8" x14ac:dyDescent="0.2">
      <c r="H206">
        <v>0</v>
      </c>
    </row>
    <row r="207" spans="8:8" x14ac:dyDescent="0.2">
      <c r="H207">
        <v>0</v>
      </c>
    </row>
    <row r="208" spans="8:8" x14ac:dyDescent="0.2">
      <c r="H208">
        <v>0</v>
      </c>
    </row>
    <row r="209" spans="8:8" x14ac:dyDescent="0.2">
      <c r="H209">
        <v>0</v>
      </c>
    </row>
    <row r="210" spans="8:8" x14ac:dyDescent="0.2">
      <c r="H210">
        <v>0</v>
      </c>
    </row>
    <row r="211" spans="8:8" x14ac:dyDescent="0.2">
      <c r="H211">
        <v>0</v>
      </c>
    </row>
    <row r="212" spans="8:8" x14ac:dyDescent="0.2">
      <c r="H212">
        <v>0</v>
      </c>
    </row>
    <row r="213" spans="8:8" x14ac:dyDescent="0.2">
      <c r="H213">
        <v>0</v>
      </c>
    </row>
    <row r="214" spans="8:8" x14ac:dyDescent="0.2">
      <c r="H214">
        <v>0</v>
      </c>
    </row>
    <row r="215" spans="8:8" x14ac:dyDescent="0.2">
      <c r="H215">
        <v>0</v>
      </c>
    </row>
    <row r="216" spans="8:8" x14ac:dyDescent="0.2">
      <c r="H216">
        <v>0</v>
      </c>
    </row>
    <row r="217" spans="8:8" x14ac:dyDescent="0.2">
      <c r="H217">
        <v>0</v>
      </c>
    </row>
    <row r="218" spans="8:8" x14ac:dyDescent="0.2">
      <c r="H218">
        <v>0</v>
      </c>
    </row>
    <row r="219" spans="8:8" x14ac:dyDescent="0.2">
      <c r="H219">
        <v>0</v>
      </c>
    </row>
    <row r="220" spans="8:8" x14ac:dyDescent="0.2">
      <c r="H220">
        <v>0</v>
      </c>
    </row>
    <row r="221" spans="8:8" x14ac:dyDescent="0.2">
      <c r="H221">
        <v>0</v>
      </c>
    </row>
    <row r="222" spans="8:8" x14ac:dyDescent="0.2">
      <c r="H222">
        <v>0</v>
      </c>
    </row>
    <row r="223" spans="8:8" x14ac:dyDescent="0.2">
      <c r="H223">
        <v>0</v>
      </c>
    </row>
    <row r="224" spans="8:8" x14ac:dyDescent="0.2">
      <c r="H224">
        <v>0</v>
      </c>
    </row>
    <row r="225" spans="8:8" x14ac:dyDescent="0.2">
      <c r="H225">
        <v>0</v>
      </c>
    </row>
    <row r="226" spans="8:8" x14ac:dyDescent="0.2">
      <c r="H226">
        <v>0</v>
      </c>
    </row>
    <row r="227" spans="8:8" x14ac:dyDescent="0.2">
      <c r="H227">
        <v>0</v>
      </c>
    </row>
    <row r="228" spans="8:8" x14ac:dyDescent="0.2">
      <c r="H228">
        <v>0</v>
      </c>
    </row>
    <row r="229" spans="8:8" x14ac:dyDescent="0.2">
      <c r="H229">
        <v>0</v>
      </c>
    </row>
    <row r="230" spans="8:8" x14ac:dyDescent="0.2">
      <c r="H230">
        <v>0</v>
      </c>
    </row>
    <row r="231" spans="8:8" x14ac:dyDescent="0.2">
      <c r="H231">
        <v>0</v>
      </c>
    </row>
    <row r="232" spans="8:8" x14ac:dyDescent="0.2">
      <c r="H232">
        <v>0</v>
      </c>
    </row>
    <row r="233" spans="8:8" x14ac:dyDescent="0.2">
      <c r="H233">
        <v>0</v>
      </c>
    </row>
    <row r="234" spans="8:8" x14ac:dyDescent="0.2">
      <c r="H234">
        <v>0</v>
      </c>
    </row>
    <row r="235" spans="8:8" x14ac:dyDescent="0.2">
      <c r="H235">
        <v>0</v>
      </c>
    </row>
    <row r="236" spans="8:8" x14ac:dyDescent="0.2">
      <c r="H236">
        <v>0</v>
      </c>
    </row>
    <row r="237" spans="8:8" x14ac:dyDescent="0.2">
      <c r="H237">
        <v>0</v>
      </c>
    </row>
    <row r="238" spans="8:8" x14ac:dyDescent="0.2">
      <c r="H238">
        <v>0</v>
      </c>
    </row>
    <row r="239" spans="8:8" x14ac:dyDescent="0.2">
      <c r="H239">
        <v>0</v>
      </c>
    </row>
    <row r="240" spans="8:8" x14ac:dyDescent="0.2">
      <c r="H240">
        <v>0</v>
      </c>
    </row>
    <row r="241" spans="8:8" x14ac:dyDescent="0.2">
      <c r="H241">
        <v>0</v>
      </c>
    </row>
    <row r="242" spans="8:8" x14ac:dyDescent="0.2">
      <c r="H242">
        <v>0</v>
      </c>
    </row>
    <row r="243" spans="8:8" x14ac:dyDescent="0.2">
      <c r="H243">
        <v>0</v>
      </c>
    </row>
    <row r="244" spans="8:8" x14ac:dyDescent="0.2">
      <c r="H244">
        <v>0</v>
      </c>
    </row>
    <row r="245" spans="8:8" x14ac:dyDescent="0.2">
      <c r="H245">
        <v>0</v>
      </c>
    </row>
    <row r="246" spans="8:8" x14ac:dyDescent="0.2">
      <c r="H246">
        <v>0</v>
      </c>
    </row>
    <row r="247" spans="8:8" x14ac:dyDescent="0.2">
      <c r="H247">
        <v>0</v>
      </c>
    </row>
    <row r="248" spans="8:8" x14ac:dyDescent="0.2">
      <c r="H248">
        <v>0</v>
      </c>
    </row>
    <row r="249" spans="8:8" x14ac:dyDescent="0.2">
      <c r="H249">
        <v>0</v>
      </c>
    </row>
    <row r="250" spans="8:8" x14ac:dyDescent="0.2">
      <c r="H250">
        <v>0</v>
      </c>
    </row>
    <row r="251" spans="8:8" x14ac:dyDescent="0.2">
      <c r="H251">
        <v>0</v>
      </c>
    </row>
    <row r="252" spans="8:8" x14ac:dyDescent="0.2">
      <c r="H252">
        <v>0</v>
      </c>
    </row>
    <row r="253" spans="8:8" x14ac:dyDescent="0.2">
      <c r="H253">
        <v>0</v>
      </c>
    </row>
    <row r="254" spans="8:8" x14ac:dyDescent="0.2">
      <c r="H254">
        <v>0</v>
      </c>
    </row>
    <row r="255" spans="8:8" x14ac:dyDescent="0.2">
      <c r="H255">
        <v>0</v>
      </c>
    </row>
    <row r="256" spans="8:8" x14ac:dyDescent="0.2">
      <c r="H256">
        <v>0</v>
      </c>
    </row>
    <row r="257" spans="8:8" x14ac:dyDescent="0.2">
      <c r="H257">
        <v>0</v>
      </c>
    </row>
    <row r="258" spans="8:8" x14ac:dyDescent="0.2">
      <c r="H258">
        <v>0</v>
      </c>
    </row>
    <row r="259" spans="8:8" x14ac:dyDescent="0.2">
      <c r="H259">
        <v>0</v>
      </c>
    </row>
    <row r="260" spans="8:8" x14ac:dyDescent="0.2">
      <c r="H260">
        <v>0</v>
      </c>
    </row>
    <row r="261" spans="8:8" x14ac:dyDescent="0.2">
      <c r="H261">
        <v>0</v>
      </c>
    </row>
    <row r="262" spans="8:8" x14ac:dyDescent="0.2">
      <c r="H262">
        <v>0</v>
      </c>
    </row>
    <row r="263" spans="8:8" x14ac:dyDescent="0.2">
      <c r="H263">
        <v>0</v>
      </c>
    </row>
    <row r="264" spans="8:8" x14ac:dyDescent="0.2">
      <c r="H264">
        <v>0</v>
      </c>
    </row>
    <row r="265" spans="8:8" x14ac:dyDescent="0.2">
      <c r="H265">
        <v>0</v>
      </c>
    </row>
    <row r="266" spans="8:8" x14ac:dyDescent="0.2">
      <c r="H266">
        <v>0</v>
      </c>
    </row>
    <row r="267" spans="8:8" x14ac:dyDescent="0.2">
      <c r="H267">
        <v>0</v>
      </c>
    </row>
    <row r="268" spans="8:8" x14ac:dyDescent="0.2">
      <c r="H268">
        <v>0</v>
      </c>
    </row>
    <row r="269" spans="8:8" x14ac:dyDescent="0.2">
      <c r="H269">
        <v>0</v>
      </c>
    </row>
    <row r="270" spans="8:8" x14ac:dyDescent="0.2">
      <c r="H270">
        <v>0</v>
      </c>
    </row>
    <row r="271" spans="8:8" x14ac:dyDescent="0.2">
      <c r="H271">
        <v>0</v>
      </c>
    </row>
    <row r="272" spans="8:8" x14ac:dyDescent="0.2">
      <c r="H272">
        <v>0</v>
      </c>
    </row>
    <row r="273" spans="8:8" x14ac:dyDescent="0.2">
      <c r="H273">
        <v>0</v>
      </c>
    </row>
    <row r="274" spans="8:8" x14ac:dyDescent="0.2">
      <c r="H274">
        <v>0</v>
      </c>
    </row>
    <row r="275" spans="8:8" x14ac:dyDescent="0.2">
      <c r="H275">
        <v>0</v>
      </c>
    </row>
    <row r="276" spans="8:8" x14ac:dyDescent="0.2">
      <c r="H276">
        <v>0</v>
      </c>
    </row>
    <row r="277" spans="8:8" x14ac:dyDescent="0.2">
      <c r="H277">
        <v>0</v>
      </c>
    </row>
    <row r="278" spans="8:8" x14ac:dyDescent="0.2">
      <c r="H278">
        <v>0</v>
      </c>
    </row>
    <row r="279" spans="8:8" x14ac:dyDescent="0.2">
      <c r="H279">
        <v>0</v>
      </c>
    </row>
    <row r="280" spans="8:8" x14ac:dyDescent="0.2">
      <c r="H280">
        <v>0</v>
      </c>
    </row>
    <row r="281" spans="8:8" x14ac:dyDescent="0.2">
      <c r="H281">
        <v>0</v>
      </c>
    </row>
    <row r="282" spans="8:8" x14ac:dyDescent="0.2">
      <c r="H282">
        <v>0</v>
      </c>
    </row>
    <row r="283" spans="8:8" x14ac:dyDescent="0.2">
      <c r="H283">
        <v>0</v>
      </c>
    </row>
    <row r="284" spans="8:8" x14ac:dyDescent="0.2">
      <c r="H284">
        <v>0</v>
      </c>
    </row>
    <row r="285" spans="8:8" x14ac:dyDescent="0.2">
      <c r="H285">
        <v>0</v>
      </c>
    </row>
    <row r="286" spans="8:8" x14ac:dyDescent="0.2">
      <c r="H286">
        <v>0</v>
      </c>
    </row>
    <row r="287" spans="8:8" x14ac:dyDescent="0.2">
      <c r="H287">
        <v>0</v>
      </c>
    </row>
    <row r="288" spans="8:8" x14ac:dyDescent="0.2">
      <c r="H288">
        <v>0</v>
      </c>
    </row>
    <row r="289" spans="8:8" x14ac:dyDescent="0.2">
      <c r="H289">
        <v>0</v>
      </c>
    </row>
    <row r="290" spans="8:8" x14ac:dyDescent="0.2">
      <c r="H290">
        <v>0</v>
      </c>
    </row>
    <row r="291" spans="8:8" x14ac:dyDescent="0.2">
      <c r="H291">
        <v>0</v>
      </c>
    </row>
    <row r="292" spans="8:8" x14ac:dyDescent="0.2">
      <c r="H292">
        <v>0</v>
      </c>
    </row>
    <row r="293" spans="8:8" x14ac:dyDescent="0.2">
      <c r="H293">
        <v>0</v>
      </c>
    </row>
    <row r="294" spans="8:8" x14ac:dyDescent="0.2">
      <c r="H294">
        <v>0</v>
      </c>
    </row>
    <row r="295" spans="8:8" x14ac:dyDescent="0.2">
      <c r="H295">
        <v>0</v>
      </c>
    </row>
    <row r="296" spans="8:8" x14ac:dyDescent="0.2">
      <c r="H296">
        <v>0</v>
      </c>
    </row>
    <row r="297" spans="8:8" x14ac:dyDescent="0.2">
      <c r="H297">
        <v>0</v>
      </c>
    </row>
    <row r="298" spans="8:8" x14ac:dyDescent="0.2">
      <c r="H298">
        <v>0</v>
      </c>
    </row>
    <row r="299" spans="8:8" x14ac:dyDescent="0.2">
      <c r="H299">
        <v>0</v>
      </c>
    </row>
    <row r="300" spans="8:8" x14ac:dyDescent="0.2">
      <c r="H300">
        <v>0</v>
      </c>
    </row>
    <row r="301" spans="8:8" x14ac:dyDescent="0.2">
      <c r="H301">
        <v>0</v>
      </c>
    </row>
    <row r="302" spans="8:8" x14ac:dyDescent="0.2">
      <c r="H302">
        <v>0</v>
      </c>
    </row>
    <row r="303" spans="8:8" x14ac:dyDescent="0.2">
      <c r="H303">
        <v>0</v>
      </c>
    </row>
    <row r="304" spans="8:8" x14ac:dyDescent="0.2">
      <c r="H304">
        <v>0</v>
      </c>
    </row>
    <row r="305" spans="8:8" x14ac:dyDescent="0.2">
      <c r="H305">
        <v>0</v>
      </c>
    </row>
    <row r="306" spans="8:8" x14ac:dyDescent="0.2">
      <c r="H306">
        <v>0</v>
      </c>
    </row>
    <row r="307" spans="8:8" x14ac:dyDescent="0.2">
      <c r="H307">
        <v>0</v>
      </c>
    </row>
    <row r="308" spans="8:8" x14ac:dyDescent="0.2">
      <c r="H308">
        <v>0</v>
      </c>
    </row>
    <row r="309" spans="8:8" x14ac:dyDescent="0.2">
      <c r="H309">
        <v>0</v>
      </c>
    </row>
    <row r="310" spans="8:8" x14ac:dyDescent="0.2">
      <c r="H310">
        <v>0</v>
      </c>
    </row>
    <row r="311" spans="8:8" x14ac:dyDescent="0.2">
      <c r="H311">
        <v>0</v>
      </c>
    </row>
    <row r="312" spans="8:8" x14ac:dyDescent="0.2">
      <c r="H312">
        <v>0</v>
      </c>
    </row>
    <row r="313" spans="8:8" x14ac:dyDescent="0.2">
      <c r="H313">
        <v>0</v>
      </c>
    </row>
    <row r="314" spans="8:8" x14ac:dyDescent="0.2">
      <c r="H314">
        <v>0</v>
      </c>
    </row>
    <row r="315" spans="8:8" x14ac:dyDescent="0.2">
      <c r="H315">
        <v>0</v>
      </c>
    </row>
    <row r="316" spans="8:8" x14ac:dyDescent="0.2">
      <c r="H316">
        <v>0</v>
      </c>
    </row>
    <row r="317" spans="8:8" x14ac:dyDescent="0.2">
      <c r="H317">
        <v>0</v>
      </c>
    </row>
    <row r="318" spans="8:8" x14ac:dyDescent="0.2">
      <c r="H318">
        <v>0</v>
      </c>
    </row>
    <row r="319" spans="8:8" x14ac:dyDescent="0.2">
      <c r="H319">
        <v>0</v>
      </c>
    </row>
    <row r="320" spans="8:8" x14ac:dyDescent="0.2">
      <c r="H320">
        <v>0</v>
      </c>
    </row>
    <row r="321" spans="8:8" x14ac:dyDescent="0.2">
      <c r="H321">
        <v>0</v>
      </c>
    </row>
    <row r="322" spans="8:8" x14ac:dyDescent="0.2">
      <c r="H322">
        <v>0</v>
      </c>
    </row>
    <row r="323" spans="8:8" x14ac:dyDescent="0.2">
      <c r="H323">
        <v>0</v>
      </c>
    </row>
    <row r="324" spans="8:8" x14ac:dyDescent="0.2">
      <c r="H324">
        <v>0</v>
      </c>
    </row>
    <row r="325" spans="8:8" x14ac:dyDescent="0.2">
      <c r="H325">
        <v>0</v>
      </c>
    </row>
    <row r="326" spans="8:8" x14ac:dyDescent="0.2">
      <c r="H326">
        <v>0</v>
      </c>
    </row>
    <row r="327" spans="8:8" x14ac:dyDescent="0.2">
      <c r="H327">
        <v>0</v>
      </c>
    </row>
    <row r="328" spans="8:8" x14ac:dyDescent="0.2">
      <c r="H328">
        <v>0</v>
      </c>
    </row>
    <row r="329" spans="8:8" x14ac:dyDescent="0.2">
      <c r="H329">
        <v>0</v>
      </c>
    </row>
    <row r="330" spans="8:8" x14ac:dyDescent="0.2">
      <c r="H330">
        <v>0</v>
      </c>
    </row>
    <row r="331" spans="8:8" x14ac:dyDescent="0.2">
      <c r="H331">
        <v>0</v>
      </c>
    </row>
    <row r="332" spans="8:8" x14ac:dyDescent="0.2">
      <c r="H332">
        <v>0</v>
      </c>
    </row>
    <row r="333" spans="8:8" x14ac:dyDescent="0.2">
      <c r="H333">
        <v>0</v>
      </c>
    </row>
    <row r="334" spans="8:8" x14ac:dyDescent="0.2">
      <c r="H334">
        <v>0</v>
      </c>
    </row>
    <row r="335" spans="8:8" x14ac:dyDescent="0.2">
      <c r="H335">
        <v>0</v>
      </c>
    </row>
    <row r="336" spans="8:8" x14ac:dyDescent="0.2">
      <c r="H336">
        <v>0</v>
      </c>
    </row>
    <row r="337" spans="8:8" x14ac:dyDescent="0.2">
      <c r="H337">
        <v>0</v>
      </c>
    </row>
    <row r="338" spans="8:8" x14ac:dyDescent="0.2">
      <c r="H338">
        <v>0</v>
      </c>
    </row>
    <row r="339" spans="8:8" x14ac:dyDescent="0.2">
      <c r="H339">
        <v>0</v>
      </c>
    </row>
    <row r="340" spans="8:8" x14ac:dyDescent="0.2">
      <c r="H340">
        <v>0</v>
      </c>
    </row>
    <row r="341" spans="8:8" x14ac:dyDescent="0.2">
      <c r="H341">
        <v>0</v>
      </c>
    </row>
    <row r="342" spans="8:8" x14ac:dyDescent="0.2">
      <c r="H342">
        <v>0</v>
      </c>
    </row>
    <row r="343" spans="8:8" x14ac:dyDescent="0.2">
      <c r="H343">
        <v>0</v>
      </c>
    </row>
    <row r="344" spans="8:8" x14ac:dyDescent="0.2">
      <c r="H344">
        <v>0</v>
      </c>
    </row>
    <row r="345" spans="8:8" x14ac:dyDescent="0.2">
      <c r="H345">
        <v>0</v>
      </c>
    </row>
    <row r="346" spans="8:8" x14ac:dyDescent="0.2">
      <c r="H346">
        <v>0</v>
      </c>
    </row>
    <row r="347" spans="8:8" x14ac:dyDescent="0.2">
      <c r="H347">
        <v>0</v>
      </c>
    </row>
    <row r="348" spans="8:8" x14ac:dyDescent="0.2">
      <c r="H348">
        <v>0</v>
      </c>
    </row>
    <row r="349" spans="8:8" x14ac:dyDescent="0.2">
      <c r="H349">
        <v>0</v>
      </c>
    </row>
    <row r="350" spans="8:8" x14ac:dyDescent="0.2">
      <c r="H350">
        <v>0</v>
      </c>
    </row>
    <row r="351" spans="8:8" x14ac:dyDescent="0.2">
      <c r="H351">
        <v>0</v>
      </c>
    </row>
    <row r="352" spans="8:8" x14ac:dyDescent="0.2">
      <c r="H352">
        <v>0</v>
      </c>
    </row>
    <row r="353" spans="8:8" x14ac:dyDescent="0.2">
      <c r="H353">
        <v>0</v>
      </c>
    </row>
    <row r="354" spans="8:8" x14ac:dyDescent="0.2">
      <c r="H354">
        <v>0</v>
      </c>
    </row>
    <row r="355" spans="8:8" x14ac:dyDescent="0.2">
      <c r="H355">
        <v>0</v>
      </c>
    </row>
    <row r="356" spans="8:8" x14ac:dyDescent="0.2">
      <c r="H356">
        <v>0</v>
      </c>
    </row>
    <row r="357" spans="8:8" x14ac:dyDescent="0.2">
      <c r="H357">
        <v>0</v>
      </c>
    </row>
    <row r="358" spans="8:8" x14ac:dyDescent="0.2">
      <c r="H358">
        <v>0</v>
      </c>
    </row>
    <row r="359" spans="8:8" x14ac:dyDescent="0.2">
      <c r="H359">
        <v>0</v>
      </c>
    </row>
    <row r="360" spans="8:8" x14ac:dyDescent="0.2">
      <c r="H360">
        <v>0</v>
      </c>
    </row>
    <row r="361" spans="8:8" x14ac:dyDescent="0.2">
      <c r="H361">
        <v>0</v>
      </c>
    </row>
    <row r="362" spans="8:8" x14ac:dyDescent="0.2">
      <c r="H362">
        <v>0</v>
      </c>
    </row>
    <row r="363" spans="8:8" x14ac:dyDescent="0.2">
      <c r="H363">
        <v>0</v>
      </c>
    </row>
    <row r="364" spans="8:8" x14ac:dyDescent="0.2">
      <c r="H364">
        <v>0</v>
      </c>
    </row>
    <row r="365" spans="8:8" x14ac:dyDescent="0.2">
      <c r="H365">
        <v>0</v>
      </c>
    </row>
    <row r="366" spans="8:8" x14ac:dyDescent="0.2">
      <c r="H366">
        <v>0</v>
      </c>
    </row>
    <row r="367" spans="8:8" x14ac:dyDescent="0.2">
      <c r="H367">
        <v>0</v>
      </c>
    </row>
    <row r="368" spans="8:8" x14ac:dyDescent="0.2">
      <c r="H368">
        <v>0</v>
      </c>
    </row>
    <row r="369" spans="8:8" x14ac:dyDescent="0.2">
      <c r="H369">
        <v>0</v>
      </c>
    </row>
    <row r="370" spans="8:8" x14ac:dyDescent="0.2">
      <c r="H370">
        <v>0</v>
      </c>
    </row>
    <row r="371" spans="8:8" x14ac:dyDescent="0.2">
      <c r="H371">
        <v>0</v>
      </c>
    </row>
    <row r="372" spans="8:8" x14ac:dyDescent="0.2">
      <c r="H372">
        <v>0</v>
      </c>
    </row>
    <row r="373" spans="8:8" x14ac:dyDescent="0.2">
      <c r="H373">
        <v>0</v>
      </c>
    </row>
    <row r="374" spans="8:8" x14ac:dyDescent="0.2">
      <c r="H374">
        <v>0</v>
      </c>
    </row>
    <row r="375" spans="8:8" x14ac:dyDescent="0.2">
      <c r="H375">
        <v>0</v>
      </c>
    </row>
    <row r="376" spans="8:8" x14ac:dyDescent="0.2">
      <c r="H376">
        <v>0</v>
      </c>
    </row>
    <row r="377" spans="8:8" x14ac:dyDescent="0.2">
      <c r="H377">
        <v>0</v>
      </c>
    </row>
    <row r="378" spans="8:8" x14ac:dyDescent="0.2">
      <c r="H378">
        <v>0</v>
      </c>
    </row>
    <row r="379" spans="8:8" x14ac:dyDescent="0.2">
      <c r="H379">
        <v>0</v>
      </c>
    </row>
    <row r="380" spans="8:8" x14ac:dyDescent="0.2">
      <c r="H380">
        <v>0</v>
      </c>
    </row>
    <row r="381" spans="8:8" x14ac:dyDescent="0.2">
      <c r="H381">
        <v>0</v>
      </c>
    </row>
    <row r="382" spans="8:8" x14ac:dyDescent="0.2">
      <c r="H382">
        <v>0</v>
      </c>
    </row>
    <row r="383" spans="8:8" x14ac:dyDescent="0.2">
      <c r="H383">
        <v>0</v>
      </c>
    </row>
    <row r="384" spans="8:8" x14ac:dyDescent="0.2">
      <c r="H384">
        <v>0</v>
      </c>
    </row>
    <row r="385" spans="8:8" x14ac:dyDescent="0.2">
      <c r="H385">
        <v>0</v>
      </c>
    </row>
    <row r="386" spans="8:8" x14ac:dyDescent="0.2">
      <c r="H386">
        <v>0</v>
      </c>
    </row>
    <row r="387" spans="8:8" x14ac:dyDescent="0.2">
      <c r="H387">
        <v>0</v>
      </c>
    </row>
    <row r="388" spans="8:8" x14ac:dyDescent="0.2">
      <c r="H388">
        <v>0</v>
      </c>
    </row>
    <row r="389" spans="8:8" x14ac:dyDescent="0.2">
      <c r="H389">
        <v>0</v>
      </c>
    </row>
    <row r="390" spans="8:8" x14ac:dyDescent="0.2">
      <c r="H390">
        <v>0</v>
      </c>
    </row>
    <row r="391" spans="8:8" x14ac:dyDescent="0.2">
      <c r="H391">
        <v>0</v>
      </c>
    </row>
    <row r="392" spans="8:8" x14ac:dyDescent="0.2">
      <c r="H392">
        <v>0</v>
      </c>
    </row>
    <row r="393" spans="8:8" x14ac:dyDescent="0.2">
      <c r="H393">
        <v>0</v>
      </c>
    </row>
    <row r="394" spans="8:8" x14ac:dyDescent="0.2">
      <c r="H394">
        <v>0</v>
      </c>
    </row>
    <row r="395" spans="8:8" x14ac:dyDescent="0.2">
      <c r="H395">
        <v>0</v>
      </c>
    </row>
    <row r="396" spans="8:8" x14ac:dyDescent="0.2">
      <c r="H396">
        <v>0</v>
      </c>
    </row>
    <row r="397" spans="8:8" x14ac:dyDescent="0.2">
      <c r="H397">
        <v>0</v>
      </c>
    </row>
    <row r="398" spans="8:8" x14ac:dyDescent="0.2">
      <c r="H398">
        <v>0</v>
      </c>
    </row>
    <row r="399" spans="8:8" x14ac:dyDescent="0.2">
      <c r="H399">
        <v>0</v>
      </c>
    </row>
    <row r="400" spans="8:8" x14ac:dyDescent="0.2">
      <c r="H400">
        <v>0</v>
      </c>
    </row>
    <row r="401" spans="8:8" x14ac:dyDescent="0.2">
      <c r="H401">
        <v>0</v>
      </c>
    </row>
    <row r="402" spans="8:8" x14ac:dyDescent="0.2">
      <c r="H402">
        <v>0</v>
      </c>
    </row>
    <row r="403" spans="8:8" x14ac:dyDescent="0.2">
      <c r="H403">
        <v>0</v>
      </c>
    </row>
    <row r="404" spans="8:8" x14ac:dyDescent="0.2">
      <c r="H404">
        <v>0</v>
      </c>
    </row>
    <row r="405" spans="8:8" x14ac:dyDescent="0.2">
      <c r="H405">
        <v>0</v>
      </c>
    </row>
    <row r="406" spans="8:8" x14ac:dyDescent="0.2">
      <c r="H406">
        <v>0</v>
      </c>
    </row>
    <row r="407" spans="8:8" x14ac:dyDescent="0.2">
      <c r="H407">
        <v>0</v>
      </c>
    </row>
    <row r="408" spans="8:8" x14ac:dyDescent="0.2">
      <c r="H408">
        <v>0</v>
      </c>
    </row>
    <row r="409" spans="8:8" x14ac:dyDescent="0.2">
      <c r="H409">
        <v>0</v>
      </c>
    </row>
    <row r="410" spans="8:8" x14ac:dyDescent="0.2">
      <c r="H410">
        <v>0</v>
      </c>
    </row>
    <row r="411" spans="8:8" x14ac:dyDescent="0.2">
      <c r="H411">
        <v>0</v>
      </c>
    </row>
    <row r="412" spans="8:8" x14ac:dyDescent="0.2">
      <c r="H412">
        <v>0</v>
      </c>
    </row>
    <row r="413" spans="8:8" x14ac:dyDescent="0.2">
      <c r="H413">
        <v>0</v>
      </c>
    </row>
    <row r="414" spans="8:8" x14ac:dyDescent="0.2">
      <c r="H414">
        <v>0</v>
      </c>
    </row>
    <row r="415" spans="8:8" x14ac:dyDescent="0.2">
      <c r="H415">
        <v>0</v>
      </c>
    </row>
    <row r="416" spans="8:8" x14ac:dyDescent="0.2">
      <c r="H416">
        <v>0</v>
      </c>
    </row>
    <row r="417" spans="8:8" x14ac:dyDescent="0.2">
      <c r="H417">
        <v>0</v>
      </c>
    </row>
    <row r="418" spans="8:8" x14ac:dyDescent="0.2">
      <c r="H418">
        <v>0</v>
      </c>
    </row>
    <row r="419" spans="8:8" x14ac:dyDescent="0.2">
      <c r="H419">
        <v>0</v>
      </c>
    </row>
    <row r="420" spans="8:8" x14ac:dyDescent="0.2">
      <c r="H420">
        <v>0</v>
      </c>
    </row>
    <row r="421" spans="8:8" x14ac:dyDescent="0.2">
      <c r="H421">
        <v>0</v>
      </c>
    </row>
    <row r="422" spans="8:8" x14ac:dyDescent="0.2">
      <c r="H422">
        <v>0</v>
      </c>
    </row>
    <row r="423" spans="8:8" x14ac:dyDescent="0.2">
      <c r="H423">
        <v>0</v>
      </c>
    </row>
    <row r="424" spans="8:8" x14ac:dyDescent="0.2">
      <c r="H424">
        <v>0</v>
      </c>
    </row>
    <row r="425" spans="8:8" x14ac:dyDescent="0.2">
      <c r="H425">
        <v>0</v>
      </c>
    </row>
    <row r="426" spans="8:8" x14ac:dyDescent="0.2">
      <c r="H426">
        <v>0</v>
      </c>
    </row>
    <row r="427" spans="8:8" x14ac:dyDescent="0.2">
      <c r="H427">
        <v>0</v>
      </c>
    </row>
    <row r="428" spans="8:8" x14ac:dyDescent="0.2">
      <c r="H428">
        <v>0</v>
      </c>
    </row>
    <row r="429" spans="8:8" x14ac:dyDescent="0.2">
      <c r="H429">
        <v>0</v>
      </c>
    </row>
    <row r="430" spans="8:8" x14ac:dyDescent="0.2">
      <c r="H430">
        <v>0</v>
      </c>
    </row>
    <row r="431" spans="8:8" x14ac:dyDescent="0.2">
      <c r="H431">
        <v>0</v>
      </c>
    </row>
    <row r="432" spans="8:8" x14ac:dyDescent="0.2">
      <c r="H432">
        <v>0</v>
      </c>
    </row>
    <row r="433" spans="8:8" x14ac:dyDescent="0.2">
      <c r="H433">
        <v>0</v>
      </c>
    </row>
    <row r="434" spans="8:8" x14ac:dyDescent="0.2">
      <c r="H434">
        <v>0</v>
      </c>
    </row>
    <row r="435" spans="8:8" x14ac:dyDescent="0.2">
      <c r="H435">
        <v>0</v>
      </c>
    </row>
    <row r="436" spans="8:8" x14ac:dyDescent="0.2">
      <c r="H436">
        <v>0</v>
      </c>
    </row>
    <row r="437" spans="8:8" x14ac:dyDescent="0.2">
      <c r="H437">
        <v>0</v>
      </c>
    </row>
    <row r="438" spans="8:8" x14ac:dyDescent="0.2">
      <c r="H438">
        <v>0</v>
      </c>
    </row>
    <row r="439" spans="8:8" x14ac:dyDescent="0.2">
      <c r="H439">
        <v>0</v>
      </c>
    </row>
    <row r="440" spans="8:8" x14ac:dyDescent="0.2">
      <c r="H440">
        <v>0</v>
      </c>
    </row>
    <row r="441" spans="8:8" x14ac:dyDescent="0.2">
      <c r="H441">
        <v>0</v>
      </c>
    </row>
    <row r="442" spans="8:8" x14ac:dyDescent="0.2">
      <c r="H442">
        <v>0</v>
      </c>
    </row>
    <row r="443" spans="8:8" x14ac:dyDescent="0.2">
      <c r="H443">
        <v>0</v>
      </c>
    </row>
    <row r="444" spans="8:8" x14ac:dyDescent="0.2">
      <c r="H444">
        <v>0</v>
      </c>
    </row>
    <row r="445" spans="8:8" x14ac:dyDescent="0.2">
      <c r="H445">
        <v>0</v>
      </c>
    </row>
    <row r="446" spans="8:8" x14ac:dyDescent="0.2">
      <c r="H446">
        <v>0</v>
      </c>
    </row>
    <row r="447" spans="8:8" x14ac:dyDescent="0.2">
      <c r="H447">
        <v>0</v>
      </c>
    </row>
    <row r="448" spans="8:8" x14ac:dyDescent="0.2">
      <c r="H448">
        <v>0</v>
      </c>
    </row>
    <row r="449" spans="8:8" x14ac:dyDescent="0.2">
      <c r="H449">
        <v>0</v>
      </c>
    </row>
    <row r="450" spans="8:8" x14ac:dyDescent="0.2">
      <c r="H450">
        <v>0</v>
      </c>
    </row>
    <row r="451" spans="8:8" x14ac:dyDescent="0.2">
      <c r="H451">
        <v>0</v>
      </c>
    </row>
    <row r="452" spans="8:8" x14ac:dyDescent="0.2">
      <c r="H452">
        <v>0</v>
      </c>
    </row>
    <row r="453" spans="8:8" x14ac:dyDescent="0.2">
      <c r="H453">
        <v>0</v>
      </c>
    </row>
    <row r="454" spans="8:8" x14ac:dyDescent="0.2">
      <c r="H454">
        <v>0</v>
      </c>
    </row>
    <row r="455" spans="8:8" x14ac:dyDescent="0.2">
      <c r="H455">
        <v>0</v>
      </c>
    </row>
    <row r="456" spans="8:8" x14ac:dyDescent="0.2">
      <c r="H456">
        <v>0</v>
      </c>
    </row>
    <row r="457" spans="8:8" x14ac:dyDescent="0.2">
      <c r="H457">
        <v>0</v>
      </c>
    </row>
    <row r="458" spans="8:8" x14ac:dyDescent="0.2">
      <c r="H458">
        <v>0</v>
      </c>
    </row>
    <row r="459" spans="8:8" x14ac:dyDescent="0.2">
      <c r="H459">
        <v>0</v>
      </c>
    </row>
    <row r="460" spans="8:8" x14ac:dyDescent="0.2">
      <c r="H460">
        <v>0</v>
      </c>
    </row>
    <row r="461" spans="8:8" x14ac:dyDescent="0.2">
      <c r="H461">
        <v>0</v>
      </c>
    </row>
    <row r="462" spans="8:8" x14ac:dyDescent="0.2">
      <c r="H462">
        <v>0</v>
      </c>
    </row>
    <row r="463" spans="8:8" x14ac:dyDescent="0.2">
      <c r="H463">
        <v>0</v>
      </c>
    </row>
    <row r="464" spans="8:8" x14ac:dyDescent="0.2">
      <c r="H464">
        <v>0</v>
      </c>
    </row>
    <row r="465" spans="8:8" x14ac:dyDescent="0.2">
      <c r="H465">
        <v>0</v>
      </c>
    </row>
    <row r="466" spans="8:8" x14ac:dyDescent="0.2">
      <c r="H466">
        <v>0</v>
      </c>
    </row>
    <row r="467" spans="8:8" x14ac:dyDescent="0.2">
      <c r="H467">
        <v>0</v>
      </c>
    </row>
    <row r="468" spans="8:8" x14ac:dyDescent="0.2">
      <c r="H468">
        <v>0</v>
      </c>
    </row>
    <row r="469" spans="8:8" x14ac:dyDescent="0.2">
      <c r="H469">
        <v>0</v>
      </c>
    </row>
    <row r="470" spans="8:8" x14ac:dyDescent="0.2">
      <c r="H470">
        <v>0</v>
      </c>
    </row>
    <row r="471" spans="8:8" x14ac:dyDescent="0.2">
      <c r="H471">
        <v>0</v>
      </c>
    </row>
    <row r="472" spans="8:8" x14ac:dyDescent="0.2">
      <c r="H472">
        <v>0</v>
      </c>
    </row>
    <row r="473" spans="8:8" x14ac:dyDescent="0.2">
      <c r="H473">
        <v>0</v>
      </c>
    </row>
    <row r="474" spans="8:8" x14ac:dyDescent="0.2">
      <c r="H474">
        <v>0</v>
      </c>
    </row>
    <row r="475" spans="8:8" x14ac:dyDescent="0.2">
      <c r="H475">
        <v>0</v>
      </c>
    </row>
    <row r="476" spans="8:8" x14ac:dyDescent="0.2">
      <c r="H476">
        <v>0</v>
      </c>
    </row>
    <row r="477" spans="8:8" x14ac:dyDescent="0.2">
      <c r="H477">
        <v>0</v>
      </c>
    </row>
    <row r="478" spans="8:8" x14ac:dyDescent="0.2">
      <c r="H478">
        <v>0</v>
      </c>
    </row>
    <row r="479" spans="8:8" x14ac:dyDescent="0.2">
      <c r="H479">
        <v>0</v>
      </c>
    </row>
    <row r="480" spans="8:8" x14ac:dyDescent="0.2">
      <c r="H480">
        <v>0</v>
      </c>
    </row>
    <row r="481" spans="8:8" x14ac:dyDescent="0.2">
      <c r="H481">
        <v>0</v>
      </c>
    </row>
    <row r="482" spans="8:8" x14ac:dyDescent="0.2">
      <c r="H482">
        <v>0</v>
      </c>
    </row>
    <row r="483" spans="8:8" x14ac:dyDescent="0.2">
      <c r="H483">
        <v>0</v>
      </c>
    </row>
    <row r="484" spans="8:8" x14ac:dyDescent="0.2">
      <c r="H484">
        <v>0</v>
      </c>
    </row>
    <row r="485" spans="8:8" x14ac:dyDescent="0.2">
      <c r="H485">
        <v>0</v>
      </c>
    </row>
    <row r="486" spans="8:8" x14ac:dyDescent="0.2">
      <c r="H486">
        <v>0</v>
      </c>
    </row>
    <row r="487" spans="8:8" x14ac:dyDescent="0.2">
      <c r="H487">
        <v>0</v>
      </c>
    </row>
    <row r="488" spans="8:8" x14ac:dyDescent="0.2">
      <c r="H488">
        <v>0</v>
      </c>
    </row>
    <row r="489" spans="8:8" x14ac:dyDescent="0.2">
      <c r="H489">
        <v>0</v>
      </c>
    </row>
    <row r="490" spans="8:8" x14ac:dyDescent="0.2">
      <c r="H490">
        <v>0</v>
      </c>
    </row>
    <row r="491" spans="8:8" x14ac:dyDescent="0.2">
      <c r="H491">
        <v>0</v>
      </c>
    </row>
    <row r="492" spans="8:8" x14ac:dyDescent="0.2">
      <c r="H492">
        <v>0</v>
      </c>
    </row>
    <row r="493" spans="8:8" x14ac:dyDescent="0.2">
      <c r="H493">
        <v>0</v>
      </c>
    </row>
    <row r="494" spans="8:8" x14ac:dyDescent="0.2">
      <c r="H494">
        <v>0</v>
      </c>
    </row>
    <row r="495" spans="8:8" x14ac:dyDescent="0.2">
      <c r="H495">
        <v>0</v>
      </c>
    </row>
    <row r="496" spans="8:8" x14ac:dyDescent="0.2">
      <c r="H496">
        <v>0</v>
      </c>
    </row>
    <row r="497" spans="8:8" x14ac:dyDescent="0.2">
      <c r="H497">
        <v>0</v>
      </c>
    </row>
    <row r="498" spans="8:8" x14ac:dyDescent="0.2">
      <c r="H498">
        <v>0</v>
      </c>
    </row>
    <row r="499" spans="8:8" x14ac:dyDescent="0.2">
      <c r="H499">
        <v>0</v>
      </c>
    </row>
    <row r="500" spans="8:8" x14ac:dyDescent="0.2">
      <c r="H500">
        <v>0</v>
      </c>
    </row>
    <row r="501" spans="8:8" x14ac:dyDescent="0.2">
      <c r="H501">
        <v>0</v>
      </c>
    </row>
    <row r="502" spans="8:8" x14ac:dyDescent="0.2">
      <c r="H502">
        <v>0</v>
      </c>
    </row>
    <row r="503" spans="8:8" x14ac:dyDescent="0.2">
      <c r="H503">
        <v>0</v>
      </c>
    </row>
    <row r="504" spans="8:8" x14ac:dyDescent="0.2">
      <c r="H504">
        <v>0</v>
      </c>
    </row>
    <row r="505" spans="8:8" x14ac:dyDescent="0.2">
      <c r="H505">
        <v>0</v>
      </c>
    </row>
    <row r="506" spans="8:8" x14ac:dyDescent="0.2">
      <c r="H506">
        <v>0</v>
      </c>
    </row>
    <row r="507" spans="8:8" x14ac:dyDescent="0.2">
      <c r="H507">
        <v>0</v>
      </c>
    </row>
    <row r="508" spans="8:8" x14ac:dyDescent="0.2">
      <c r="H508">
        <v>0</v>
      </c>
    </row>
    <row r="509" spans="8:8" x14ac:dyDescent="0.2">
      <c r="H509">
        <v>0</v>
      </c>
    </row>
    <row r="510" spans="8:8" x14ac:dyDescent="0.2">
      <c r="H510">
        <v>0</v>
      </c>
    </row>
    <row r="511" spans="8:8" x14ac:dyDescent="0.2">
      <c r="H511">
        <v>0</v>
      </c>
    </row>
    <row r="512" spans="8:8" x14ac:dyDescent="0.2">
      <c r="H512">
        <v>0</v>
      </c>
    </row>
    <row r="513" spans="8:8" x14ac:dyDescent="0.2">
      <c r="H513">
        <v>0</v>
      </c>
    </row>
    <row r="514" spans="8:8" x14ac:dyDescent="0.2">
      <c r="H514">
        <v>0</v>
      </c>
    </row>
    <row r="515" spans="8:8" x14ac:dyDescent="0.2">
      <c r="H515">
        <v>0</v>
      </c>
    </row>
    <row r="516" spans="8:8" x14ac:dyDescent="0.2">
      <c r="H516">
        <v>0</v>
      </c>
    </row>
    <row r="517" spans="8:8" x14ac:dyDescent="0.2">
      <c r="H517">
        <v>0</v>
      </c>
    </row>
    <row r="518" spans="8:8" x14ac:dyDescent="0.2">
      <c r="H518">
        <v>0</v>
      </c>
    </row>
    <row r="519" spans="8:8" x14ac:dyDescent="0.2">
      <c r="H519">
        <v>0</v>
      </c>
    </row>
    <row r="520" spans="8:8" x14ac:dyDescent="0.2">
      <c r="H520">
        <v>0</v>
      </c>
    </row>
    <row r="521" spans="8:8" x14ac:dyDescent="0.2">
      <c r="H521">
        <v>0</v>
      </c>
    </row>
    <row r="522" spans="8:8" x14ac:dyDescent="0.2">
      <c r="H522">
        <v>0</v>
      </c>
    </row>
    <row r="523" spans="8:8" x14ac:dyDescent="0.2">
      <c r="H523">
        <v>0</v>
      </c>
    </row>
    <row r="524" spans="8:8" x14ac:dyDescent="0.2">
      <c r="H524">
        <v>0</v>
      </c>
    </row>
    <row r="525" spans="8:8" x14ac:dyDescent="0.2">
      <c r="H525">
        <v>0</v>
      </c>
    </row>
    <row r="526" spans="8:8" x14ac:dyDescent="0.2">
      <c r="H526">
        <v>0</v>
      </c>
    </row>
    <row r="527" spans="8:8" x14ac:dyDescent="0.2">
      <c r="H527">
        <v>0</v>
      </c>
    </row>
    <row r="528" spans="8:8" x14ac:dyDescent="0.2">
      <c r="H528">
        <v>0</v>
      </c>
    </row>
    <row r="529" spans="8:8" x14ac:dyDescent="0.2">
      <c r="H529">
        <v>0</v>
      </c>
    </row>
    <row r="530" spans="8:8" x14ac:dyDescent="0.2">
      <c r="H530">
        <v>0</v>
      </c>
    </row>
    <row r="531" spans="8:8" x14ac:dyDescent="0.2">
      <c r="H531">
        <v>0</v>
      </c>
    </row>
    <row r="532" spans="8:8" x14ac:dyDescent="0.2">
      <c r="H532">
        <v>0</v>
      </c>
    </row>
    <row r="533" spans="8:8" x14ac:dyDescent="0.2">
      <c r="H533">
        <v>0</v>
      </c>
    </row>
    <row r="534" spans="8:8" x14ac:dyDescent="0.2">
      <c r="H534">
        <v>0</v>
      </c>
    </row>
    <row r="535" spans="8:8" x14ac:dyDescent="0.2">
      <c r="H535">
        <v>0</v>
      </c>
    </row>
    <row r="536" spans="8:8" x14ac:dyDescent="0.2">
      <c r="H536">
        <v>0</v>
      </c>
    </row>
    <row r="537" spans="8:8" x14ac:dyDescent="0.2">
      <c r="H537">
        <v>0</v>
      </c>
    </row>
    <row r="538" spans="8:8" x14ac:dyDescent="0.2">
      <c r="H538">
        <v>0</v>
      </c>
    </row>
    <row r="539" spans="8:8" x14ac:dyDescent="0.2">
      <c r="H539">
        <v>0</v>
      </c>
    </row>
    <row r="540" spans="8:8" x14ac:dyDescent="0.2">
      <c r="H540">
        <v>0</v>
      </c>
    </row>
    <row r="541" spans="8:8" x14ac:dyDescent="0.2">
      <c r="H541">
        <v>0</v>
      </c>
    </row>
    <row r="542" spans="8:8" x14ac:dyDescent="0.2">
      <c r="H542">
        <v>0</v>
      </c>
    </row>
    <row r="543" spans="8:8" x14ac:dyDescent="0.2">
      <c r="H543">
        <v>0</v>
      </c>
    </row>
    <row r="544" spans="8:8" x14ac:dyDescent="0.2">
      <c r="H544">
        <v>0</v>
      </c>
    </row>
    <row r="545" spans="8:8" x14ac:dyDescent="0.2">
      <c r="H545">
        <v>0</v>
      </c>
    </row>
    <row r="546" spans="8:8" x14ac:dyDescent="0.2">
      <c r="H546">
        <v>0</v>
      </c>
    </row>
    <row r="547" spans="8:8" x14ac:dyDescent="0.2">
      <c r="H547">
        <v>0</v>
      </c>
    </row>
    <row r="548" spans="8:8" x14ac:dyDescent="0.2">
      <c r="H548">
        <v>0</v>
      </c>
    </row>
    <row r="549" spans="8:8" x14ac:dyDescent="0.2">
      <c r="H549">
        <v>0</v>
      </c>
    </row>
    <row r="550" spans="8:8" x14ac:dyDescent="0.2">
      <c r="H550">
        <v>0</v>
      </c>
    </row>
    <row r="551" spans="8:8" x14ac:dyDescent="0.2">
      <c r="H551">
        <v>0</v>
      </c>
    </row>
    <row r="552" spans="8:8" x14ac:dyDescent="0.2">
      <c r="H552">
        <v>0</v>
      </c>
    </row>
    <row r="553" spans="8:8" x14ac:dyDescent="0.2">
      <c r="H553">
        <v>0</v>
      </c>
    </row>
    <row r="554" spans="8:8" x14ac:dyDescent="0.2">
      <c r="H554">
        <v>0</v>
      </c>
    </row>
    <row r="555" spans="8:8" x14ac:dyDescent="0.2">
      <c r="H555">
        <v>0</v>
      </c>
    </row>
    <row r="556" spans="8:8" x14ac:dyDescent="0.2">
      <c r="H556">
        <v>0</v>
      </c>
    </row>
    <row r="557" spans="8:8" x14ac:dyDescent="0.2">
      <c r="H557">
        <v>0</v>
      </c>
    </row>
    <row r="558" spans="8:8" x14ac:dyDescent="0.2">
      <c r="H558">
        <v>0</v>
      </c>
    </row>
    <row r="559" spans="8:8" x14ac:dyDescent="0.2">
      <c r="H559">
        <v>0</v>
      </c>
    </row>
    <row r="560" spans="8:8" x14ac:dyDescent="0.2">
      <c r="H560">
        <v>0</v>
      </c>
    </row>
    <row r="561" spans="8:8" x14ac:dyDescent="0.2">
      <c r="H561">
        <v>0</v>
      </c>
    </row>
    <row r="562" spans="8:8" x14ac:dyDescent="0.2">
      <c r="H562">
        <v>0</v>
      </c>
    </row>
    <row r="563" spans="8:8" x14ac:dyDescent="0.2">
      <c r="H563">
        <v>0</v>
      </c>
    </row>
    <row r="564" spans="8:8" x14ac:dyDescent="0.2">
      <c r="H564">
        <v>0</v>
      </c>
    </row>
    <row r="565" spans="8:8" x14ac:dyDescent="0.2">
      <c r="H565">
        <v>0</v>
      </c>
    </row>
    <row r="566" spans="8:8" x14ac:dyDescent="0.2">
      <c r="H566">
        <v>0</v>
      </c>
    </row>
    <row r="567" spans="8:8" x14ac:dyDescent="0.2">
      <c r="H567">
        <v>0</v>
      </c>
    </row>
    <row r="568" spans="8:8" x14ac:dyDescent="0.2">
      <c r="H568">
        <v>0</v>
      </c>
    </row>
    <row r="569" spans="8:8" x14ac:dyDescent="0.2">
      <c r="H569">
        <v>0</v>
      </c>
    </row>
    <row r="570" spans="8:8" x14ac:dyDescent="0.2">
      <c r="H570">
        <v>0</v>
      </c>
    </row>
    <row r="571" spans="8:8" x14ac:dyDescent="0.2">
      <c r="H571">
        <v>0</v>
      </c>
    </row>
    <row r="572" spans="8:8" x14ac:dyDescent="0.2">
      <c r="H572">
        <v>0</v>
      </c>
    </row>
    <row r="573" spans="8:8" x14ac:dyDescent="0.2">
      <c r="H573">
        <v>0</v>
      </c>
    </row>
    <row r="574" spans="8:8" x14ac:dyDescent="0.2">
      <c r="H574">
        <v>0</v>
      </c>
    </row>
    <row r="575" spans="8:8" x14ac:dyDescent="0.2">
      <c r="H575">
        <v>0</v>
      </c>
    </row>
    <row r="576" spans="8:8" x14ac:dyDescent="0.2">
      <c r="H576">
        <v>0</v>
      </c>
    </row>
    <row r="577" spans="8:8" x14ac:dyDescent="0.2">
      <c r="H577">
        <v>0</v>
      </c>
    </row>
    <row r="578" spans="8:8" x14ac:dyDescent="0.2">
      <c r="H578">
        <v>0</v>
      </c>
    </row>
    <row r="579" spans="8:8" x14ac:dyDescent="0.2">
      <c r="H579">
        <v>0</v>
      </c>
    </row>
    <row r="580" spans="8:8" x14ac:dyDescent="0.2">
      <c r="H580">
        <v>0</v>
      </c>
    </row>
    <row r="581" spans="8:8" x14ac:dyDescent="0.2">
      <c r="H581">
        <v>0</v>
      </c>
    </row>
    <row r="582" spans="8:8" x14ac:dyDescent="0.2">
      <c r="H582">
        <v>0</v>
      </c>
    </row>
    <row r="583" spans="8:8" x14ac:dyDescent="0.2">
      <c r="H583">
        <v>0</v>
      </c>
    </row>
    <row r="584" spans="8:8" x14ac:dyDescent="0.2">
      <c r="H584">
        <v>0</v>
      </c>
    </row>
    <row r="585" spans="8:8" x14ac:dyDescent="0.2">
      <c r="H585">
        <v>0</v>
      </c>
    </row>
    <row r="586" spans="8:8" x14ac:dyDescent="0.2">
      <c r="H586">
        <v>0</v>
      </c>
    </row>
    <row r="587" spans="8:8" x14ac:dyDescent="0.2">
      <c r="H587">
        <v>0</v>
      </c>
    </row>
    <row r="588" spans="8:8" x14ac:dyDescent="0.2">
      <c r="H588">
        <v>0</v>
      </c>
    </row>
    <row r="589" spans="8:8" x14ac:dyDescent="0.2">
      <c r="H589">
        <v>0</v>
      </c>
    </row>
    <row r="590" spans="8:8" x14ac:dyDescent="0.2">
      <c r="H590">
        <v>0</v>
      </c>
    </row>
    <row r="591" spans="8:8" x14ac:dyDescent="0.2">
      <c r="H591">
        <v>0</v>
      </c>
    </row>
    <row r="592" spans="8:8" x14ac:dyDescent="0.2">
      <c r="H592">
        <v>0</v>
      </c>
    </row>
    <row r="593" spans="8:8" x14ac:dyDescent="0.2">
      <c r="H593">
        <v>0</v>
      </c>
    </row>
    <row r="594" spans="8:8" x14ac:dyDescent="0.2">
      <c r="H594">
        <v>0</v>
      </c>
    </row>
    <row r="595" spans="8:8" x14ac:dyDescent="0.2">
      <c r="H595">
        <v>0</v>
      </c>
    </row>
    <row r="596" spans="8:8" x14ac:dyDescent="0.2">
      <c r="H596">
        <v>0</v>
      </c>
    </row>
    <row r="597" spans="8:8" x14ac:dyDescent="0.2">
      <c r="H597">
        <v>0</v>
      </c>
    </row>
    <row r="598" spans="8:8" x14ac:dyDescent="0.2">
      <c r="H598">
        <v>0</v>
      </c>
    </row>
    <row r="599" spans="8:8" x14ac:dyDescent="0.2">
      <c r="H599">
        <v>0</v>
      </c>
    </row>
    <row r="600" spans="8:8" x14ac:dyDescent="0.2">
      <c r="H600">
        <v>0</v>
      </c>
    </row>
    <row r="601" spans="8:8" x14ac:dyDescent="0.2">
      <c r="H601">
        <v>0</v>
      </c>
    </row>
    <row r="602" spans="8:8" x14ac:dyDescent="0.2">
      <c r="H602">
        <v>0</v>
      </c>
    </row>
    <row r="603" spans="8:8" x14ac:dyDescent="0.2">
      <c r="H603">
        <v>0</v>
      </c>
    </row>
    <row r="604" spans="8:8" x14ac:dyDescent="0.2">
      <c r="H604">
        <v>0</v>
      </c>
    </row>
    <row r="605" spans="8:8" x14ac:dyDescent="0.2">
      <c r="H605">
        <v>0</v>
      </c>
    </row>
    <row r="606" spans="8:8" x14ac:dyDescent="0.2">
      <c r="H606">
        <v>0</v>
      </c>
    </row>
    <row r="607" spans="8:8" x14ac:dyDescent="0.2">
      <c r="H607">
        <v>0</v>
      </c>
    </row>
    <row r="608" spans="8:8" x14ac:dyDescent="0.2">
      <c r="H608">
        <v>0</v>
      </c>
    </row>
    <row r="609" spans="8:8" x14ac:dyDescent="0.2">
      <c r="H609">
        <v>0</v>
      </c>
    </row>
    <row r="610" spans="8:8" x14ac:dyDescent="0.2">
      <c r="H610">
        <v>0</v>
      </c>
    </row>
    <row r="611" spans="8:8" x14ac:dyDescent="0.2">
      <c r="H611">
        <v>0</v>
      </c>
    </row>
    <row r="612" spans="8:8" x14ac:dyDescent="0.2">
      <c r="H612">
        <v>0</v>
      </c>
    </row>
    <row r="613" spans="8:8" x14ac:dyDescent="0.2">
      <c r="H613">
        <v>0</v>
      </c>
    </row>
    <row r="614" spans="8:8" x14ac:dyDescent="0.2">
      <c r="H614">
        <v>0</v>
      </c>
    </row>
    <row r="615" spans="8:8" x14ac:dyDescent="0.2">
      <c r="H615">
        <v>0</v>
      </c>
    </row>
    <row r="616" spans="8:8" x14ac:dyDescent="0.2">
      <c r="H616">
        <v>0</v>
      </c>
    </row>
    <row r="617" spans="8:8" x14ac:dyDescent="0.2">
      <c r="H617">
        <v>0</v>
      </c>
    </row>
    <row r="618" spans="8:8" x14ac:dyDescent="0.2">
      <c r="H618">
        <v>0</v>
      </c>
    </row>
    <row r="619" spans="8:8" x14ac:dyDescent="0.2">
      <c r="H619">
        <v>0</v>
      </c>
    </row>
    <row r="620" spans="8:8" x14ac:dyDescent="0.2">
      <c r="H620">
        <v>0</v>
      </c>
    </row>
    <row r="621" spans="8:8" x14ac:dyDescent="0.2">
      <c r="H621">
        <v>0</v>
      </c>
    </row>
    <row r="622" spans="8:8" x14ac:dyDescent="0.2">
      <c r="H622">
        <v>0</v>
      </c>
    </row>
    <row r="623" spans="8:8" x14ac:dyDescent="0.2">
      <c r="H623">
        <v>0</v>
      </c>
    </row>
    <row r="624" spans="8:8" x14ac:dyDescent="0.2">
      <c r="H624">
        <v>0</v>
      </c>
    </row>
    <row r="625" spans="8:8" x14ac:dyDescent="0.2">
      <c r="H625">
        <v>0</v>
      </c>
    </row>
    <row r="626" spans="8:8" x14ac:dyDescent="0.2">
      <c r="H626">
        <v>0</v>
      </c>
    </row>
    <row r="627" spans="8:8" x14ac:dyDescent="0.2">
      <c r="H627">
        <v>0</v>
      </c>
    </row>
    <row r="628" spans="8:8" x14ac:dyDescent="0.2">
      <c r="H628">
        <v>0</v>
      </c>
    </row>
    <row r="629" spans="8:8" x14ac:dyDescent="0.2">
      <c r="H629">
        <v>0</v>
      </c>
    </row>
    <row r="630" spans="8:8" x14ac:dyDescent="0.2">
      <c r="H630">
        <v>0</v>
      </c>
    </row>
    <row r="631" spans="8:8" x14ac:dyDescent="0.2">
      <c r="H631">
        <v>0</v>
      </c>
    </row>
    <row r="632" spans="8:8" x14ac:dyDescent="0.2">
      <c r="H632">
        <v>0</v>
      </c>
    </row>
    <row r="633" spans="8:8" x14ac:dyDescent="0.2">
      <c r="H633">
        <v>0</v>
      </c>
    </row>
    <row r="634" spans="8:8" x14ac:dyDescent="0.2">
      <c r="H634">
        <v>0</v>
      </c>
    </row>
    <row r="635" spans="8:8" x14ac:dyDescent="0.2">
      <c r="H635">
        <v>0</v>
      </c>
    </row>
    <row r="636" spans="8:8" x14ac:dyDescent="0.2">
      <c r="H636">
        <v>0</v>
      </c>
    </row>
    <row r="637" spans="8:8" x14ac:dyDescent="0.2">
      <c r="H637">
        <v>0</v>
      </c>
    </row>
    <row r="638" spans="8:8" x14ac:dyDescent="0.2">
      <c r="H638">
        <v>0</v>
      </c>
    </row>
    <row r="639" spans="8:8" x14ac:dyDescent="0.2">
      <c r="H639">
        <v>0</v>
      </c>
    </row>
    <row r="640" spans="8:8" x14ac:dyDescent="0.2">
      <c r="H640">
        <v>0</v>
      </c>
    </row>
    <row r="641" spans="8:8" x14ac:dyDescent="0.2">
      <c r="H641">
        <v>0</v>
      </c>
    </row>
    <row r="642" spans="8:8" x14ac:dyDescent="0.2">
      <c r="H642">
        <v>0</v>
      </c>
    </row>
    <row r="643" spans="8:8" x14ac:dyDescent="0.2">
      <c r="H643">
        <v>0</v>
      </c>
    </row>
    <row r="644" spans="8:8" x14ac:dyDescent="0.2">
      <c r="H644">
        <v>0</v>
      </c>
    </row>
    <row r="645" spans="8:8" x14ac:dyDescent="0.2">
      <c r="H645">
        <v>0</v>
      </c>
    </row>
    <row r="646" spans="8:8" x14ac:dyDescent="0.2">
      <c r="H646">
        <v>0</v>
      </c>
    </row>
    <row r="647" spans="8:8" x14ac:dyDescent="0.2">
      <c r="H647">
        <v>0</v>
      </c>
    </row>
    <row r="648" spans="8:8" x14ac:dyDescent="0.2">
      <c r="H648">
        <v>0</v>
      </c>
    </row>
    <row r="649" spans="8:8" x14ac:dyDescent="0.2">
      <c r="H649">
        <v>0</v>
      </c>
    </row>
    <row r="650" spans="8:8" x14ac:dyDescent="0.2">
      <c r="H650">
        <v>0</v>
      </c>
    </row>
    <row r="651" spans="8:8" x14ac:dyDescent="0.2">
      <c r="H651">
        <v>0</v>
      </c>
    </row>
    <row r="652" spans="8:8" x14ac:dyDescent="0.2">
      <c r="H652">
        <v>0</v>
      </c>
    </row>
    <row r="653" spans="8:8" x14ac:dyDescent="0.2">
      <c r="H653">
        <v>0</v>
      </c>
    </row>
    <row r="654" spans="8:8" x14ac:dyDescent="0.2">
      <c r="H654">
        <v>0</v>
      </c>
    </row>
    <row r="655" spans="8:8" x14ac:dyDescent="0.2">
      <c r="H655">
        <v>0</v>
      </c>
    </row>
    <row r="656" spans="8:8" x14ac:dyDescent="0.2">
      <c r="H656">
        <v>0</v>
      </c>
    </row>
    <row r="657" spans="8:8" x14ac:dyDescent="0.2">
      <c r="H657">
        <v>0</v>
      </c>
    </row>
    <row r="658" spans="8:8" x14ac:dyDescent="0.2">
      <c r="H658">
        <v>0</v>
      </c>
    </row>
    <row r="659" spans="8:8" x14ac:dyDescent="0.2">
      <c r="H659">
        <v>0</v>
      </c>
    </row>
    <row r="660" spans="8:8" x14ac:dyDescent="0.2">
      <c r="H660">
        <v>0</v>
      </c>
    </row>
    <row r="661" spans="8:8" x14ac:dyDescent="0.2">
      <c r="H661">
        <v>0</v>
      </c>
    </row>
    <row r="662" spans="8:8" x14ac:dyDescent="0.2">
      <c r="H662">
        <v>0</v>
      </c>
    </row>
    <row r="663" spans="8:8" x14ac:dyDescent="0.2">
      <c r="H663">
        <v>0</v>
      </c>
    </row>
    <row r="664" spans="8:8" x14ac:dyDescent="0.2">
      <c r="H664">
        <v>0</v>
      </c>
    </row>
    <row r="665" spans="8:8" x14ac:dyDescent="0.2">
      <c r="H665">
        <v>0</v>
      </c>
    </row>
    <row r="666" spans="8:8" x14ac:dyDescent="0.2">
      <c r="H666">
        <v>0</v>
      </c>
    </row>
    <row r="667" spans="8:8" x14ac:dyDescent="0.2">
      <c r="H667">
        <v>0</v>
      </c>
    </row>
    <row r="668" spans="8:8" x14ac:dyDescent="0.2">
      <c r="H668">
        <v>0</v>
      </c>
    </row>
    <row r="669" spans="8:8" x14ac:dyDescent="0.2">
      <c r="H669">
        <v>0</v>
      </c>
    </row>
    <row r="670" spans="8:8" x14ac:dyDescent="0.2">
      <c r="H670">
        <v>0</v>
      </c>
    </row>
    <row r="671" spans="8:8" x14ac:dyDescent="0.2">
      <c r="H671">
        <v>0</v>
      </c>
    </row>
    <row r="672" spans="8:8" x14ac:dyDescent="0.2">
      <c r="H672">
        <v>0</v>
      </c>
    </row>
    <row r="673" spans="8:8" x14ac:dyDescent="0.2">
      <c r="H673">
        <v>0</v>
      </c>
    </row>
    <row r="674" spans="8:8" x14ac:dyDescent="0.2">
      <c r="H674">
        <v>0</v>
      </c>
    </row>
    <row r="675" spans="8:8" x14ac:dyDescent="0.2">
      <c r="H675">
        <v>0</v>
      </c>
    </row>
    <row r="676" spans="8:8" x14ac:dyDescent="0.2">
      <c r="H676">
        <v>0</v>
      </c>
    </row>
    <row r="677" spans="8:8" x14ac:dyDescent="0.2">
      <c r="H677">
        <v>0</v>
      </c>
    </row>
    <row r="678" spans="8:8" x14ac:dyDescent="0.2">
      <c r="H678">
        <v>0</v>
      </c>
    </row>
    <row r="679" spans="8:8" x14ac:dyDescent="0.2">
      <c r="H679">
        <v>0</v>
      </c>
    </row>
    <row r="680" spans="8:8" x14ac:dyDescent="0.2">
      <c r="H680">
        <v>0</v>
      </c>
    </row>
    <row r="681" spans="8:8" x14ac:dyDescent="0.2">
      <c r="H681">
        <v>0</v>
      </c>
    </row>
    <row r="682" spans="8:8" x14ac:dyDescent="0.2">
      <c r="H682">
        <v>0</v>
      </c>
    </row>
    <row r="683" spans="8:8" x14ac:dyDescent="0.2">
      <c r="H683">
        <v>0</v>
      </c>
    </row>
    <row r="684" spans="8:8" x14ac:dyDescent="0.2">
      <c r="H684">
        <v>0</v>
      </c>
    </row>
    <row r="685" spans="8:8" x14ac:dyDescent="0.2">
      <c r="H685">
        <v>0</v>
      </c>
    </row>
    <row r="686" spans="8:8" x14ac:dyDescent="0.2">
      <c r="H686">
        <v>0</v>
      </c>
    </row>
    <row r="687" spans="8:8" x14ac:dyDescent="0.2">
      <c r="H687">
        <v>0</v>
      </c>
    </row>
    <row r="688" spans="8:8" x14ac:dyDescent="0.2">
      <c r="H688">
        <v>0</v>
      </c>
    </row>
    <row r="689" spans="8:8" x14ac:dyDescent="0.2">
      <c r="H689">
        <v>0</v>
      </c>
    </row>
    <row r="690" spans="8:8" x14ac:dyDescent="0.2">
      <c r="H690">
        <v>0</v>
      </c>
    </row>
    <row r="691" spans="8:8" x14ac:dyDescent="0.2">
      <c r="H691">
        <v>0</v>
      </c>
    </row>
    <row r="692" spans="8:8" x14ac:dyDescent="0.2">
      <c r="H692">
        <v>0</v>
      </c>
    </row>
    <row r="693" spans="8:8" x14ac:dyDescent="0.2">
      <c r="H693">
        <v>0</v>
      </c>
    </row>
    <row r="694" spans="8:8" x14ac:dyDescent="0.2">
      <c r="H694">
        <v>0</v>
      </c>
    </row>
    <row r="695" spans="8:8" x14ac:dyDescent="0.2">
      <c r="H695">
        <v>0</v>
      </c>
    </row>
    <row r="696" spans="8:8" x14ac:dyDescent="0.2">
      <c r="H696">
        <v>0</v>
      </c>
    </row>
    <row r="697" spans="8:8" x14ac:dyDescent="0.2">
      <c r="H697">
        <v>0</v>
      </c>
    </row>
    <row r="698" spans="8:8" x14ac:dyDescent="0.2">
      <c r="H698">
        <v>0</v>
      </c>
    </row>
    <row r="699" spans="8:8" x14ac:dyDescent="0.2">
      <c r="H699">
        <v>0</v>
      </c>
    </row>
    <row r="700" spans="8:8" x14ac:dyDescent="0.2">
      <c r="H700">
        <v>0</v>
      </c>
    </row>
    <row r="701" spans="8:8" x14ac:dyDescent="0.2">
      <c r="H701">
        <v>0</v>
      </c>
    </row>
    <row r="702" spans="8:8" x14ac:dyDescent="0.2">
      <c r="H702">
        <v>0</v>
      </c>
    </row>
    <row r="703" spans="8:8" x14ac:dyDescent="0.2">
      <c r="H703">
        <v>0</v>
      </c>
    </row>
    <row r="704" spans="8:8" x14ac:dyDescent="0.2">
      <c r="H704">
        <v>0</v>
      </c>
    </row>
    <row r="705" spans="8:8" x14ac:dyDescent="0.2">
      <c r="H705">
        <v>0</v>
      </c>
    </row>
    <row r="706" spans="8:8" x14ac:dyDescent="0.2">
      <c r="H706">
        <v>0</v>
      </c>
    </row>
    <row r="707" spans="8:8" x14ac:dyDescent="0.2">
      <c r="H707">
        <v>0</v>
      </c>
    </row>
    <row r="708" spans="8:8" x14ac:dyDescent="0.2">
      <c r="H708">
        <v>0</v>
      </c>
    </row>
    <row r="709" spans="8:8" x14ac:dyDescent="0.2">
      <c r="H709">
        <v>0</v>
      </c>
    </row>
    <row r="710" spans="8:8" x14ac:dyDescent="0.2">
      <c r="H710">
        <v>0</v>
      </c>
    </row>
    <row r="711" spans="8:8" x14ac:dyDescent="0.2">
      <c r="H711">
        <v>0</v>
      </c>
    </row>
    <row r="712" spans="8:8" x14ac:dyDescent="0.2">
      <c r="H712">
        <v>0</v>
      </c>
    </row>
    <row r="713" spans="8:8" x14ac:dyDescent="0.2">
      <c r="H713">
        <v>0</v>
      </c>
    </row>
    <row r="714" spans="8:8" x14ac:dyDescent="0.2">
      <c r="H714">
        <v>0</v>
      </c>
    </row>
    <row r="715" spans="8:8" x14ac:dyDescent="0.2">
      <c r="H715">
        <v>0</v>
      </c>
    </row>
    <row r="716" spans="8:8" x14ac:dyDescent="0.2">
      <c r="H716">
        <v>0</v>
      </c>
    </row>
    <row r="717" spans="8:8" x14ac:dyDescent="0.2">
      <c r="H717">
        <v>0</v>
      </c>
    </row>
    <row r="718" spans="8:8" x14ac:dyDescent="0.2">
      <c r="H718">
        <v>0</v>
      </c>
    </row>
    <row r="719" spans="8:8" x14ac:dyDescent="0.2">
      <c r="H719">
        <v>0</v>
      </c>
    </row>
    <row r="720" spans="8:8" x14ac:dyDescent="0.2">
      <c r="H720">
        <v>0</v>
      </c>
    </row>
    <row r="721" spans="8:8" x14ac:dyDescent="0.2">
      <c r="H721">
        <v>0</v>
      </c>
    </row>
    <row r="722" spans="8:8" x14ac:dyDescent="0.2">
      <c r="H722">
        <v>0</v>
      </c>
    </row>
    <row r="723" spans="8:8" x14ac:dyDescent="0.2">
      <c r="H723">
        <v>0</v>
      </c>
    </row>
    <row r="724" spans="8:8" x14ac:dyDescent="0.2">
      <c r="H724">
        <v>0</v>
      </c>
    </row>
    <row r="725" spans="8:8" x14ac:dyDescent="0.2">
      <c r="H725">
        <v>0</v>
      </c>
    </row>
    <row r="726" spans="8:8" x14ac:dyDescent="0.2">
      <c r="H726">
        <v>0</v>
      </c>
    </row>
    <row r="727" spans="8:8" x14ac:dyDescent="0.2">
      <c r="H727">
        <v>0</v>
      </c>
    </row>
    <row r="728" spans="8:8" x14ac:dyDescent="0.2">
      <c r="H728">
        <v>0</v>
      </c>
    </row>
    <row r="729" spans="8:8" x14ac:dyDescent="0.2">
      <c r="H729">
        <v>0</v>
      </c>
    </row>
    <row r="730" spans="8:8" x14ac:dyDescent="0.2">
      <c r="H730">
        <v>0</v>
      </c>
    </row>
    <row r="731" spans="8:8" x14ac:dyDescent="0.2">
      <c r="H731">
        <v>0</v>
      </c>
    </row>
    <row r="732" spans="8:8" x14ac:dyDescent="0.2">
      <c r="H732">
        <v>0</v>
      </c>
    </row>
    <row r="733" spans="8:8" x14ac:dyDescent="0.2">
      <c r="H733">
        <v>0</v>
      </c>
    </row>
    <row r="734" spans="8:8" x14ac:dyDescent="0.2">
      <c r="H734">
        <v>0</v>
      </c>
    </row>
    <row r="735" spans="8:8" x14ac:dyDescent="0.2">
      <c r="H735">
        <v>0</v>
      </c>
    </row>
    <row r="736" spans="8:8" x14ac:dyDescent="0.2">
      <c r="H736">
        <v>0</v>
      </c>
    </row>
    <row r="737" spans="8:8" x14ac:dyDescent="0.2">
      <c r="H737">
        <v>0</v>
      </c>
    </row>
    <row r="738" spans="8:8" x14ac:dyDescent="0.2">
      <c r="H738">
        <v>0</v>
      </c>
    </row>
    <row r="739" spans="8:8" x14ac:dyDescent="0.2">
      <c r="H739">
        <v>0</v>
      </c>
    </row>
    <row r="740" spans="8:8" x14ac:dyDescent="0.2">
      <c r="H740">
        <v>0</v>
      </c>
    </row>
    <row r="741" spans="8:8" x14ac:dyDescent="0.2">
      <c r="H741">
        <v>0</v>
      </c>
    </row>
    <row r="742" spans="8:8" x14ac:dyDescent="0.2">
      <c r="H742">
        <v>0</v>
      </c>
    </row>
    <row r="743" spans="8:8" x14ac:dyDescent="0.2">
      <c r="H743">
        <v>0</v>
      </c>
    </row>
    <row r="744" spans="8:8" x14ac:dyDescent="0.2">
      <c r="H744">
        <v>0</v>
      </c>
    </row>
    <row r="745" spans="8:8" x14ac:dyDescent="0.2">
      <c r="H745">
        <v>0</v>
      </c>
    </row>
    <row r="746" spans="8:8" x14ac:dyDescent="0.2">
      <c r="H746">
        <v>0</v>
      </c>
    </row>
    <row r="747" spans="8:8" x14ac:dyDescent="0.2">
      <c r="H747">
        <v>0</v>
      </c>
    </row>
    <row r="748" spans="8:8" x14ac:dyDescent="0.2">
      <c r="H748">
        <v>0</v>
      </c>
    </row>
    <row r="749" spans="8:8" x14ac:dyDescent="0.2">
      <c r="H749">
        <v>0</v>
      </c>
    </row>
    <row r="750" spans="8:8" x14ac:dyDescent="0.2">
      <c r="H750">
        <v>0</v>
      </c>
    </row>
    <row r="751" spans="8:8" x14ac:dyDescent="0.2">
      <c r="H751">
        <v>0</v>
      </c>
    </row>
    <row r="752" spans="8:8" x14ac:dyDescent="0.2">
      <c r="H752">
        <v>0</v>
      </c>
    </row>
    <row r="753" spans="8:8" x14ac:dyDescent="0.2">
      <c r="H753">
        <v>0</v>
      </c>
    </row>
    <row r="754" spans="8:8" x14ac:dyDescent="0.2">
      <c r="H754">
        <v>0</v>
      </c>
    </row>
    <row r="755" spans="8:8" x14ac:dyDescent="0.2">
      <c r="H755">
        <v>0</v>
      </c>
    </row>
    <row r="756" spans="8:8" x14ac:dyDescent="0.2">
      <c r="H756">
        <v>0</v>
      </c>
    </row>
    <row r="757" spans="8:8" x14ac:dyDescent="0.2">
      <c r="H757">
        <v>0</v>
      </c>
    </row>
    <row r="758" spans="8:8" x14ac:dyDescent="0.2">
      <c r="H758">
        <v>0</v>
      </c>
    </row>
    <row r="759" spans="8:8" x14ac:dyDescent="0.2">
      <c r="H759">
        <v>0</v>
      </c>
    </row>
    <row r="760" spans="8:8" x14ac:dyDescent="0.2">
      <c r="H760">
        <v>0</v>
      </c>
    </row>
    <row r="761" spans="8:8" x14ac:dyDescent="0.2">
      <c r="H761">
        <v>0</v>
      </c>
    </row>
    <row r="762" spans="8:8" x14ac:dyDescent="0.2">
      <c r="H762">
        <v>0</v>
      </c>
    </row>
    <row r="763" spans="8:8" x14ac:dyDescent="0.2">
      <c r="H763">
        <v>0</v>
      </c>
    </row>
    <row r="764" spans="8:8" x14ac:dyDescent="0.2">
      <c r="H764">
        <v>0</v>
      </c>
    </row>
    <row r="765" spans="8:8" x14ac:dyDescent="0.2">
      <c r="H765">
        <v>0</v>
      </c>
    </row>
    <row r="766" spans="8:8" x14ac:dyDescent="0.2">
      <c r="H766">
        <v>0</v>
      </c>
    </row>
    <row r="767" spans="8:8" x14ac:dyDescent="0.2">
      <c r="H767">
        <v>0</v>
      </c>
    </row>
    <row r="768" spans="8:8" x14ac:dyDescent="0.2">
      <c r="H768">
        <v>0</v>
      </c>
    </row>
    <row r="769" spans="8:8" x14ac:dyDescent="0.2">
      <c r="H769">
        <v>0</v>
      </c>
    </row>
    <row r="770" spans="8:8" x14ac:dyDescent="0.2">
      <c r="H770">
        <v>0</v>
      </c>
    </row>
    <row r="771" spans="8:8" x14ac:dyDescent="0.2">
      <c r="H771">
        <v>0</v>
      </c>
    </row>
    <row r="772" spans="8:8" x14ac:dyDescent="0.2">
      <c r="H772">
        <v>0</v>
      </c>
    </row>
    <row r="773" spans="8:8" x14ac:dyDescent="0.2">
      <c r="H773">
        <v>0</v>
      </c>
    </row>
    <row r="774" spans="8:8" x14ac:dyDescent="0.2">
      <c r="H774">
        <v>0</v>
      </c>
    </row>
    <row r="775" spans="8:8" x14ac:dyDescent="0.2">
      <c r="H775">
        <v>0</v>
      </c>
    </row>
    <row r="776" spans="8:8" x14ac:dyDescent="0.2">
      <c r="H776">
        <v>0</v>
      </c>
    </row>
    <row r="777" spans="8:8" x14ac:dyDescent="0.2">
      <c r="H777">
        <v>0</v>
      </c>
    </row>
    <row r="778" spans="8:8" x14ac:dyDescent="0.2">
      <c r="H778">
        <v>0</v>
      </c>
    </row>
    <row r="779" spans="8:8" x14ac:dyDescent="0.2">
      <c r="H779">
        <v>0</v>
      </c>
    </row>
    <row r="780" spans="8:8" x14ac:dyDescent="0.2">
      <c r="H780">
        <v>0</v>
      </c>
    </row>
    <row r="781" spans="8:8" x14ac:dyDescent="0.2">
      <c r="H781">
        <v>0</v>
      </c>
    </row>
    <row r="782" spans="8:8" x14ac:dyDescent="0.2">
      <c r="H782">
        <v>0</v>
      </c>
    </row>
    <row r="783" spans="8:8" x14ac:dyDescent="0.2">
      <c r="H783">
        <v>0</v>
      </c>
    </row>
    <row r="784" spans="8:8" x14ac:dyDescent="0.2">
      <c r="H784">
        <v>0</v>
      </c>
    </row>
    <row r="785" spans="8:8" x14ac:dyDescent="0.2">
      <c r="H785">
        <v>0</v>
      </c>
    </row>
    <row r="786" spans="8:8" x14ac:dyDescent="0.2">
      <c r="H786">
        <v>0</v>
      </c>
    </row>
    <row r="787" spans="8:8" x14ac:dyDescent="0.2">
      <c r="H787">
        <v>0</v>
      </c>
    </row>
    <row r="788" spans="8:8" x14ac:dyDescent="0.2">
      <c r="H788">
        <v>0</v>
      </c>
    </row>
    <row r="789" spans="8:8" x14ac:dyDescent="0.2">
      <c r="H789">
        <v>0</v>
      </c>
    </row>
    <row r="790" spans="8:8" x14ac:dyDescent="0.2">
      <c r="H790">
        <v>0</v>
      </c>
    </row>
    <row r="791" spans="8:8" x14ac:dyDescent="0.2">
      <c r="H791">
        <v>0</v>
      </c>
    </row>
    <row r="792" spans="8:8" x14ac:dyDescent="0.2">
      <c r="H792">
        <v>0</v>
      </c>
    </row>
    <row r="793" spans="8:8" x14ac:dyDescent="0.2">
      <c r="H793">
        <v>0</v>
      </c>
    </row>
    <row r="794" spans="8:8" x14ac:dyDescent="0.2">
      <c r="H794">
        <v>0</v>
      </c>
    </row>
    <row r="795" spans="8:8" x14ac:dyDescent="0.2">
      <c r="H795">
        <v>0</v>
      </c>
    </row>
    <row r="796" spans="8:8" x14ac:dyDescent="0.2">
      <c r="H796">
        <v>0</v>
      </c>
    </row>
    <row r="797" spans="8:8" x14ac:dyDescent="0.2">
      <c r="H797">
        <v>0</v>
      </c>
    </row>
    <row r="798" spans="8:8" x14ac:dyDescent="0.2">
      <c r="H798">
        <v>0</v>
      </c>
    </row>
    <row r="799" spans="8:8" x14ac:dyDescent="0.2">
      <c r="H799">
        <v>0</v>
      </c>
    </row>
    <row r="800" spans="8:8" x14ac:dyDescent="0.2">
      <c r="H800">
        <v>0</v>
      </c>
    </row>
    <row r="801" spans="8:8" x14ac:dyDescent="0.2">
      <c r="H801">
        <v>0</v>
      </c>
    </row>
    <row r="802" spans="8:8" x14ac:dyDescent="0.2">
      <c r="H802">
        <v>0</v>
      </c>
    </row>
    <row r="803" spans="8:8" x14ac:dyDescent="0.2">
      <c r="H803">
        <v>0</v>
      </c>
    </row>
    <row r="804" spans="8:8" x14ac:dyDescent="0.2">
      <c r="H804">
        <v>0</v>
      </c>
    </row>
    <row r="805" spans="8:8" x14ac:dyDescent="0.2">
      <c r="H805">
        <v>0</v>
      </c>
    </row>
    <row r="806" spans="8:8" x14ac:dyDescent="0.2">
      <c r="H806">
        <v>0</v>
      </c>
    </row>
    <row r="807" spans="8:8" x14ac:dyDescent="0.2">
      <c r="H807">
        <v>0</v>
      </c>
    </row>
    <row r="808" spans="8:8" x14ac:dyDescent="0.2">
      <c r="H808">
        <v>0</v>
      </c>
    </row>
    <row r="809" spans="8:8" x14ac:dyDescent="0.2">
      <c r="H809">
        <v>0</v>
      </c>
    </row>
    <row r="810" spans="8:8" x14ac:dyDescent="0.2">
      <c r="H810">
        <v>0</v>
      </c>
    </row>
    <row r="811" spans="8:8" x14ac:dyDescent="0.2">
      <c r="H811">
        <v>0</v>
      </c>
    </row>
    <row r="812" spans="8:8" x14ac:dyDescent="0.2">
      <c r="H812">
        <v>0</v>
      </c>
    </row>
    <row r="813" spans="8:8" x14ac:dyDescent="0.2">
      <c r="H813">
        <v>0</v>
      </c>
    </row>
    <row r="814" spans="8:8" x14ac:dyDescent="0.2">
      <c r="H814">
        <v>0</v>
      </c>
    </row>
    <row r="815" spans="8:8" x14ac:dyDescent="0.2">
      <c r="H815">
        <v>0</v>
      </c>
    </row>
    <row r="816" spans="8:8" x14ac:dyDescent="0.2">
      <c r="H816">
        <v>0</v>
      </c>
    </row>
    <row r="817" spans="8:8" x14ac:dyDescent="0.2">
      <c r="H817">
        <v>0</v>
      </c>
    </row>
    <row r="818" spans="8:8" x14ac:dyDescent="0.2">
      <c r="H818">
        <v>0</v>
      </c>
    </row>
    <row r="819" spans="8:8" x14ac:dyDescent="0.2">
      <c r="H819">
        <v>0</v>
      </c>
    </row>
    <row r="820" spans="8:8" x14ac:dyDescent="0.2">
      <c r="H820">
        <v>0</v>
      </c>
    </row>
    <row r="821" spans="8:8" x14ac:dyDescent="0.2">
      <c r="H821">
        <v>0</v>
      </c>
    </row>
    <row r="822" spans="8:8" x14ac:dyDescent="0.2">
      <c r="H822">
        <v>0</v>
      </c>
    </row>
    <row r="823" spans="8:8" x14ac:dyDescent="0.2">
      <c r="H823">
        <v>0</v>
      </c>
    </row>
    <row r="824" spans="8:8" x14ac:dyDescent="0.2">
      <c r="H824">
        <v>0</v>
      </c>
    </row>
    <row r="825" spans="8:8" x14ac:dyDescent="0.2">
      <c r="H825">
        <v>0</v>
      </c>
    </row>
    <row r="826" spans="8:8" x14ac:dyDescent="0.2">
      <c r="H826">
        <v>0</v>
      </c>
    </row>
    <row r="827" spans="8:8" x14ac:dyDescent="0.2">
      <c r="H827">
        <v>0</v>
      </c>
    </row>
    <row r="828" spans="8:8" x14ac:dyDescent="0.2">
      <c r="H828">
        <v>0</v>
      </c>
    </row>
    <row r="829" spans="8:8" x14ac:dyDescent="0.2">
      <c r="H829">
        <v>0</v>
      </c>
    </row>
    <row r="830" spans="8:8" x14ac:dyDescent="0.2">
      <c r="H830">
        <v>0</v>
      </c>
    </row>
    <row r="831" spans="8:8" x14ac:dyDescent="0.2">
      <c r="H831">
        <v>0</v>
      </c>
    </row>
    <row r="832" spans="8:8" x14ac:dyDescent="0.2">
      <c r="H832">
        <v>0</v>
      </c>
    </row>
    <row r="833" spans="8:8" x14ac:dyDescent="0.2">
      <c r="H833">
        <v>0</v>
      </c>
    </row>
    <row r="834" spans="8:8" x14ac:dyDescent="0.2">
      <c r="H834">
        <v>0</v>
      </c>
    </row>
    <row r="835" spans="8:8" x14ac:dyDescent="0.2">
      <c r="H835">
        <v>0</v>
      </c>
    </row>
    <row r="836" spans="8:8" x14ac:dyDescent="0.2">
      <c r="H836">
        <v>0</v>
      </c>
    </row>
    <row r="837" spans="8:8" x14ac:dyDescent="0.2">
      <c r="H837">
        <v>0</v>
      </c>
    </row>
    <row r="838" spans="8:8" x14ac:dyDescent="0.2">
      <c r="H838">
        <v>0</v>
      </c>
    </row>
    <row r="839" spans="8:8" x14ac:dyDescent="0.2">
      <c r="H839">
        <v>0</v>
      </c>
    </row>
    <row r="840" spans="8:8" x14ac:dyDescent="0.2">
      <c r="H840">
        <v>0</v>
      </c>
    </row>
    <row r="841" spans="8:8" x14ac:dyDescent="0.2">
      <c r="H841">
        <v>0</v>
      </c>
    </row>
    <row r="842" spans="8:8" x14ac:dyDescent="0.2">
      <c r="H842">
        <v>0</v>
      </c>
    </row>
    <row r="843" spans="8:8" x14ac:dyDescent="0.2">
      <c r="H843">
        <v>0</v>
      </c>
    </row>
    <row r="844" spans="8:8" x14ac:dyDescent="0.2">
      <c r="H844">
        <v>0</v>
      </c>
    </row>
    <row r="845" spans="8:8" x14ac:dyDescent="0.2">
      <c r="H845">
        <v>0</v>
      </c>
    </row>
    <row r="846" spans="8:8" x14ac:dyDescent="0.2">
      <c r="H846">
        <v>0</v>
      </c>
    </row>
    <row r="847" spans="8:8" x14ac:dyDescent="0.2">
      <c r="H847">
        <v>0</v>
      </c>
    </row>
    <row r="848" spans="8:8" x14ac:dyDescent="0.2">
      <c r="H848">
        <v>0</v>
      </c>
    </row>
    <row r="849" spans="8:8" x14ac:dyDescent="0.2">
      <c r="H849">
        <v>0</v>
      </c>
    </row>
    <row r="850" spans="8:8" x14ac:dyDescent="0.2">
      <c r="H850">
        <v>0</v>
      </c>
    </row>
    <row r="851" spans="8:8" x14ac:dyDescent="0.2">
      <c r="H851">
        <v>0</v>
      </c>
    </row>
    <row r="852" spans="8:8" x14ac:dyDescent="0.2">
      <c r="H852">
        <v>0</v>
      </c>
    </row>
    <row r="853" spans="8:8" x14ac:dyDescent="0.2">
      <c r="H853">
        <v>0</v>
      </c>
    </row>
    <row r="854" spans="8:8" x14ac:dyDescent="0.2">
      <c r="H854">
        <v>0</v>
      </c>
    </row>
    <row r="855" spans="8:8" x14ac:dyDescent="0.2">
      <c r="H855">
        <v>0</v>
      </c>
    </row>
    <row r="856" spans="8:8" x14ac:dyDescent="0.2">
      <c r="H856">
        <v>0</v>
      </c>
    </row>
    <row r="857" spans="8:8" x14ac:dyDescent="0.2">
      <c r="H857">
        <v>0</v>
      </c>
    </row>
    <row r="858" spans="8:8" x14ac:dyDescent="0.2">
      <c r="H858">
        <v>0</v>
      </c>
    </row>
    <row r="859" spans="8:8" x14ac:dyDescent="0.2">
      <c r="H859">
        <v>0</v>
      </c>
    </row>
    <row r="860" spans="8:8" x14ac:dyDescent="0.2">
      <c r="H860">
        <v>0</v>
      </c>
    </row>
    <row r="861" spans="8:8" x14ac:dyDescent="0.2">
      <c r="H861">
        <v>0</v>
      </c>
    </row>
    <row r="862" spans="8:8" x14ac:dyDescent="0.2">
      <c r="H862">
        <v>0</v>
      </c>
    </row>
    <row r="863" spans="8:8" x14ac:dyDescent="0.2">
      <c r="H863">
        <v>0</v>
      </c>
    </row>
    <row r="864" spans="8:8" x14ac:dyDescent="0.2">
      <c r="H864">
        <v>0</v>
      </c>
    </row>
    <row r="865" spans="8:8" x14ac:dyDescent="0.2">
      <c r="H865">
        <v>0</v>
      </c>
    </row>
    <row r="866" spans="8:8" x14ac:dyDescent="0.2">
      <c r="H866">
        <v>0</v>
      </c>
    </row>
    <row r="867" spans="8:8" x14ac:dyDescent="0.2">
      <c r="H867">
        <v>0</v>
      </c>
    </row>
    <row r="868" spans="8:8" x14ac:dyDescent="0.2">
      <c r="H868">
        <v>0</v>
      </c>
    </row>
    <row r="869" spans="8:8" x14ac:dyDescent="0.2">
      <c r="H869">
        <v>0</v>
      </c>
    </row>
    <row r="870" spans="8:8" x14ac:dyDescent="0.2">
      <c r="H870">
        <v>0</v>
      </c>
    </row>
    <row r="871" spans="8:8" x14ac:dyDescent="0.2">
      <c r="H871">
        <v>0</v>
      </c>
    </row>
    <row r="872" spans="8:8" x14ac:dyDescent="0.2">
      <c r="H872">
        <v>0</v>
      </c>
    </row>
    <row r="873" spans="8:8" x14ac:dyDescent="0.2">
      <c r="H873">
        <v>0</v>
      </c>
    </row>
    <row r="874" spans="8:8" x14ac:dyDescent="0.2">
      <c r="H874">
        <v>0</v>
      </c>
    </row>
    <row r="875" spans="8:8" x14ac:dyDescent="0.2">
      <c r="H875">
        <v>0</v>
      </c>
    </row>
    <row r="876" spans="8:8" x14ac:dyDescent="0.2">
      <c r="H876">
        <v>0</v>
      </c>
    </row>
    <row r="877" spans="8:8" x14ac:dyDescent="0.2">
      <c r="H877">
        <v>0</v>
      </c>
    </row>
    <row r="878" spans="8:8" x14ac:dyDescent="0.2">
      <c r="H878">
        <v>0</v>
      </c>
    </row>
    <row r="879" spans="8:8" x14ac:dyDescent="0.2">
      <c r="H879">
        <v>0</v>
      </c>
    </row>
    <row r="880" spans="8:8" x14ac:dyDescent="0.2">
      <c r="H880">
        <v>0</v>
      </c>
    </row>
    <row r="881" spans="8:8" x14ac:dyDescent="0.2">
      <c r="H881">
        <v>0</v>
      </c>
    </row>
    <row r="882" spans="8:8" x14ac:dyDescent="0.2">
      <c r="H882">
        <v>0</v>
      </c>
    </row>
    <row r="883" spans="8:8" x14ac:dyDescent="0.2">
      <c r="H883">
        <v>0</v>
      </c>
    </row>
    <row r="884" spans="8:8" x14ac:dyDescent="0.2">
      <c r="H884">
        <v>0</v>
      </c>
    </row>
    <row r="885" spans="8:8" x14ac:dyDescent="0.2">
      <c r="H885">
        <v>0</v>
      </c>
    </row>
    <row r="886" spans="8:8" x14ac:dyDescent="0.2">
      <c r="H886">
        <v>0</v>
      </c>
    </row>
    <row r="887" spans="8:8" x14ac:dyDescent="0.2">
      <c r="H887">
        <v>0</v>
      </c>
    </row>
    <row r="888" spans="8:8" x14ac:dyDescent="0.2">
      <c r="H888">
        <v>0</v>
      </c>
    </row>
    <row r="889" spans="8:8" x14ac:dyDescent="0.2">
      <c r="H889">
        <v>0</v>
      </c>
    </row>
    <row r="890" spans="8:8" x14ac:dyDescent="0.2">
      <c r="H890">
        <v>0</v>
      </c>
    </row>
    <row r="891" spans="8:8" x14ac:dyDescent="0.2">
      <c r="H891">
        <v>0</v>
      </c>
    </row>
    <row r="892" spans="8:8" x14ac:dyDescent="0.2">
      <c r="H892">
        <v>0</v>
      </c>
    </row>
    <row r="893" spans="8:8" x14ac:dyDescent="0.2">
      <c r="H893">
        <v>0</v>
      </c>
    </row>
    <row r="894" spans="8:8" x14ac:dyDescent="0.2">
      <c r="H894">
        <v>0</v>
      </c>
    </row>
    <row r="895" spans="8:8" x14ac:dyDescent="0.2">
      <c r="H895">
        <v>0</v>
      </c>
    </row>
    <row r="896" spans="8:8" x14ac:dyDescent="0.2">
      <c r="H896">
        <v>0</v>
      </c>
    </row>
    <row r="897" spans="8:8" x14ac:dyDescent="0.2">
      <c r="H897">
        <v>0</v>
      </c>
    </row>
    <row r="898" spans="8:8" x14ac:dyDescent="0.2">
      <c r="H898">
        <v>0</v>
      </c>
    </row>
    <row r="899" spans="8:8" x14ac:dyDescent="0.2">
      <c r="H899">
        <v>0</v>
      </c>
    </row>
    <row r="900" spans="8:8" x14ac:dyDescent="0.2">
      <c r="H900">
        <v>0</v>
      </c>
    </row>
    <row r="901" spans="8:8" x14ac:dyDescent="0.2">
      <c r="H901">
        <v>0</v>
      </c>
    </row>
    <row r="902" spans="8:8" x14ac:dyDescent="0.2">
      <c r="H902">
        <v>0</v>
      </c>
    </row>
    <row r="903" spans="8:8" x14ac:dyDescent="0.2">
      <c r="H903">
        <v>0</v>
      </c>
    </row>
    <row r="904" spans="8:8" x14ac:dyDescent="0.2">
      <c r="H904">
        <v>0</v>
      </c>
    </row>
    <row r="905" spans="8:8" x14ac:dyDescent="0.2">
      <c r="H905">
        <v>0</v>
      </c>
    </row>
    <row r="906" spans="8:8" x14ac:dyDescent="0.2">
      <c r="H906">
        <v>0</v>
      </c>
    </row>
    <row r="907" spans="8:8" x14ac:dyDescent="0.2">
      <c r="H907">
        <v>0</v>
      </c>
    </row>
    <row r="908" spans="8:8" x14ac:dyDescent="0.2">
      <c r="H908">
        <v>0</v>
      </c>
    </row>
    <row r="909" spans="8:8" x14ac:dyDescent="0.2">
      <c r="H909">
        <v>0</v>
      </c>
    </row>
    <row r="910" spans="8:8" x14ac:dyDescent="0.2">
      <c r="H910">
        <v>0</v>
      </c>
    </row>
    <row r="911" spans="8:8" x14ac:dyDescent="0.2">
      <c r="H911">
        <v>0</v>
      </c>
    </row>
    <row r="912" spans="8:8" x14ac:dyDescent="0.2">
      <c r="H912">
        <v>0</v>
      </c>
    </row>
    <row r="913" spans="8:8" x14ac:dyDescent="0.2">
      <c r="H913">
        <v>0</v>
      </c>
    </row>
    <row r="914" spans="8:8" x14ac:dyDescent="0.2">
      <c r="H914">
        <v>0</v>
      </c>
    </row>
    <row r="915" spans="8:8" x14ac:dyDescent="0.2">
      <c r="H915">
        <v>0</v>
      </c>
    </row>
    <row r="916" spans="8:8" x14ac:dyDescent="0.2">
      <c r="H916">
        <v>0</v>
      </c>
    </row>
    <row r="917" spans="8:8" x14ac:dyDescent="0.2">
      <c r="H917">
        <v>0</v>
      </c>
    </row>
    <row r="918" spans="8:8" x14ac:dyDescent="0.2">
      <c r="H918">
        <v>0</v>
      </c>
    </row>
    <row r="919" spans="8:8" x14ac:dyDescent="0.2">
      <c r="H919">
        <v>0</v>
      </c>
    </row>
    <row r="920" spans="8:8" x14ac:dyDescent="0.2">
      <c r="H920">
        <v>0</v>
      </c>
    </row>
    <row r="921" spans="8:8" x14ac:dyDescent="0.2">
      <c r="H921">
        <v>0</v>
      </c>
    </row>
    <row r="922" spans="8:8" x14ac:dyDescent="0.2">
      <c r="H922">
        <v>0</v>
      </c>
    </row>
    <row r="923" spans="8:8" x14ac:dyDescent="0.2">
      <c r="H923">
        <v>0</v>
      </c>
    </row>
    <row r="924" spans="8:8" x14ac:dyDescent="0.2">
      <c r="H924">
        <v>0</v>
      </c>
    </row>
    <row r="925" spans="8:8" x14ac:dyDescent="0.2">
      <c r="H925">
        <v>0</v>
      </c>
    </row>
    <row r="926" spans="8:8" x14ac:dyDescent="0.2">
      <c r="H926">
        <v>0</v>
      </c>
    </row>
    <row r="927" spans="8:8" x14ac:dyDescent="0.2">
      <c r="H927">
        <v>0</v>
      </c>
    </row>
    <row r="928" spans="8:8" x14ac:dyDescent="0.2">
      <c r="H928">
        <v>0</v>
      </c>
    </row>
    <row r="929" spans="8:8" x14ac:dyDescent="0.2">
      <c r="H929">
        <v>0</v>
      </c>
    </row>
    <row r="930" spans="8:8" x14ac:dyDescent="0.2">
      <c r="H930">
        <v>0</v>
      </c>
    </row>
    <row r="931" spans="8:8" x14ac:dyDescent="0.2">
      <c r="H931">
        <v>0</v>
      </c>
    </row>
    <row r="932" spans="8:8" x14ac:dyDescent="0.2">
      <c r="H932">
        <v>0</v>
      </c>
    </row>
    <row r="933" spans="8:8" x14ac:dyDescent="0.2">
      <c r="H933">
        <v>0</v>
      </c>
    </row>
    <row r="934" spans="8:8" x14ac:dyDescent="0.2">
      <c r="H934">
        <v>0</v>
      </c>
    </row>
    <row r="935" spans="8:8" x14ac:dyDescent="0.2">
      <c r="H935">
        <v>0</v>
      </c>
    </row>
    <row r="936" spans="8:8" x14ac:dyDescent="0.2">
      <c r="H936">
        <v>0</v>
      </c>
    </row>
    <row r="937" spans="8:8" x14ac:dyDescent="0.2">
      <c r="H937">
        <v>0</v>
      </c>
    </row>
    <row r="938" spans="8:8" x14ac:dyDescent="0.2">
      <c r="H938">
        <v>0</v>
      </c>
    </row>
    <row r="939" spans="8:8" x14ac:dyDescent="0.2">
      <c r="H939">
        <v>0</v>
      </c>
    </row>
    <row r="940" spans="8:8" x14ac:dyDescent="0.2">
      <c r="H940">
        <v>0</v>
      </c>
    </row>
    <row r="941" spans="8:8" x14ac:dyDescent="0.2">
      <c r="H941">
        <v>0</v>
      </c>
    </row>
    <row r="942" spans="8:8" x14ac:dyDescent="0.2">
      <c r="H942">
        <v>0</v>
      </c>
    </row>
    <row r="943" spans="8:8" x14ac:dyDescent="0.2">
      <c r="H943">
        <v>0</v>
      </c>
    </row>
    <row r="944" spans="8:8" x14ac:dyDescent="0.2">
      <c r="H944">
        <v>0</v>
      </c>
    </row>
    <row r="945" spans="8:8" x14ac:dyDescent="0.2">
      <c r="H945">
        <v>0</v>
      </c>
    </row>
    <row r="946" spans="8:8" x14ac:dyDescent="0.2">
      <c r="H946">
        <v>0</v>
      </c>
    </row>
    <row r="947" spans="8:8" x14ac:dyDescent="0.2">
      <c r="H947">
        <v>0</v>
      </c>
    </row>
    <row r="948" spans="8:8" x14ac:dyDescent="0.2">
      <c r="H948">
        <v>0</v>
      </c>
    </row>
    <row r="949" spans="8:8" x14ac:dyDescent="0.2">
      <c r="H949">
        <v>0</v>
      </c>
    </row>
    <row r="950" spans="8:8" x14ac:dyDescent="0.2">
      <c r="H950">
        <v>0</v>
      </c>
    </row>
    <row r="951" spans="8:8" x14ac:dyDescent="0.2">
      <c r="H951">
        <v>0</v>
      </c>
    </row>
    <row r="952" spans="8:8" x14ac:dyDescent="0.2">
      <c r="H952">
        <v>0</v>
      </c>
    </row>
    <row r="953" spans="8:8" x14ac:dyDescent="0.2">
      <c r="H953">
        <v>0</v>
      </c>
    </row>
    <row r="954" spans="8:8" x14ac:dyDescent="0.2">
      <c r="H954">
        <v>0</v>
      </c>
    </row>
    <row r="955" spans="8:8" x14ac:dyDescent="0.2">
      <c r="H955">
        <v>0</v>
      </c>
    </row>
    <row r="956" spans="8:8" x14ac:dyDescent="0.2">
      <c r="H956">
        <v>0</v>
      </c>
    </row>
    <row r="957" spans="8:8" x14ac:dyDescent="0.2">
      <c r="H957">
        <v>0</v>
      </c>
    </row>
    <row r="958" spans="8:8" x14ac:dyDescent="0.2">
      <c r="H958">
        <v>0</v>
      </c>
    </row>
    <row r="959" spans="8:8" x14ac:dyDescent="0.2">
      <c r="H959">
        <v>0</v>
      </c>
    </row>
    <row r="960" spans="8:8" x14ac:dyDescent="0.2">
      <c r="H960">
        <v>0</v>
      </c>
    </row>
    <row r="961" spans="8:8" x14ac:dyDescent="0.2">
      <c r="H961">
        <v>0</v>
      </c>
    </row>
    <row r="962" spans="8:8" x14ac:dyDescent="0.2">
      <c r="H962">
        <v>0</v>
      </c>
    </row>
    <row r="963" spans="8:8" x14ac:dyDescent="0.2">
      <c r="H963">
        <v>0</v>
      </c>
    </row>
    <row r="964" spans="8:8" x14ac:dyDescent="0.2">
      <c r="H964">
        <v>0</v>
      </c>
    </row>
    <row r="965" spans="8:8" x14ac:dyDescent="0.2">
      <c r="H965">
        <v>0</v>
      </c>
    </row>
    <row r="966" spans="8:8" x14ac:dyDescent="0.2">
      <c r="H966">
        <v>0</v>
      </c>
    </row>
    <row r="967" spans="8:8" x14ac:dyDescent="0.2">
      <c r="H967">
        <v>0</v>
      </c>
    </row>
    <row r="968" spans="8:8" x14ac:dyDescent="0.2">
      <c r="H968">
        <v>0</v>
      </c>
    </row>
    <row r="969" spans="8:8" x14ac:dyDescent="0.2">
      <c r="H969">
        <v>0</v>
      </c>
    </row>
    <row r="970" spans="8:8" x14ac:dyDescent="0.2">
      <c r="H970">
        <v>0</v>
      </c>
    </row>
    <row r="971" spans="8:8" x14ac:dyDescent="0.2">
      <c r="H971">
        <v>0</v>
      </c>
    </row>
    <row r="972" spans="8:8" x14ac:dyDescent="0.2">
      <c r="H972">
        <v>0</v>
      </c>
    </row>
    <row r="973" spans="8:8" x14ac:dyDescent="0.2">
      <c r="H973">
        <v>0</v>
      </c>
    </row>
    <row r="974" spans="8:8" x14ac:dyDescent="0.2">
      <c r="H974">
        <v>0</v>
      </c>
    </row>
    <row r="975" spans="8:8" x14ac:dyDescent="0.2">
      <c r="H975">
        <v>0</v>
      </c>
    </row>
    <row r="976" spans="8:8" x14ac:dyDescent="0.2">
      <c r="H976">
        <v>0</v>
      </c>
    </row>
    <row r="977" spans="8:8" x14ac:dyDescent="0.2">
      <c r="H977">
        <v>0</v>
      </c>
    </row>
    <row r="978" spans="8:8" x14ac:dyDescent="0.2">
      <c r="H978">
        <v>0</v>
      </c>
    </row>
    <row r="979" spans="8:8" x14ac:dyDescent="0.2">
      <c r="H979">
        <v>0</v>
      </c>
    </row>
    <row r="980" spans="8:8" x14ac:dyDescent="0.2">
      <c r="H980">
        <v>0</v>
      </c>
    </row>
    <row r="981" spans="8:8" x14ac:dyDescent="0.2">
      <c r="H981">
        <v>0</v>
      </c>
    </row>
    <row r="982" spans="8:8" x14ac:dyDescent="0.2">
      <c r="H982">
        <v>0</v>
      </c>
    </row>
    <row r="983" spans="8:8" x14ac:dyDescent="0.2">
      <c r="H983">
        <v>0</v>
      </c>
    </row>
    <row r="984" spans="8:8" x14ac:dyDescent="0.2">
      <c r="H984">
        <v>0</v>
      </c>
    </row>
    <row r="985" spans="8:8" x14ac:dyDescent="0.2">
      <c r="H985">
        <v>0</v>
      </c>
    </row>
    <row r="986" spans="8:8" x14ac:dyDescent="0.2">
      <c r="H986">
        <v>0</v>
      </c>
    </row>
    <row r="987" spans="8:8" x14ac:dyDescent="0.2">
      <c r="H987">
        <v>0</v>
      </c>
    </row>
    <row r="988" spans="8:8" x14ac:dyDescent="0.2">
      <c r="H988">
        <v>0</v>
      </c>
    </row>
    <row r="989" spans="8:8" x14ac:dyDescent="0.2">
      <c r="H989">
        <v>0</v>
      </c>
    </row>
    <row r="990" spans="8:8" x14ac:dyDescent="0.2">
      <c r="H990">
        <v>0</v>
      </c>
    </row>
    <row r="991" spans="8:8" x14ac:dyDescent="0.2">
      <c r="H991">
        <v>0</v>
      </c>
    </row>
    <row r="992" spans="8:8" x14ac:dyDescent="0.2">
      <c r="H992">
        <v>0</v>
      </c>
    </row>
    <row r="993" spans="8:8" x14ac:dyDescent="0.2">
      <c r="H993">
        <v>0</v>
      </c>
    </row>
    <row r="994" spans="8:8" x14ac:dyDescent="0.2">
      <c r="H994">
        <v>0</v>
      </c>
    </row>
    <row r="995" spans="8:8" x14ac:dyDescent="0.2">
      <c r="H995">
        <v>0</v>
      </c>
    </row>
    <row r="996" spans="8:8" x14ac:dyDescent="0.2">
      <c r="H996">
        <v>0</v>
      </c>
    </row>
    <row r="997" spans="8:8" x14ac:dyDescent="0.2">
      <c r="H997">
        <v>0</v>
      </c>
    </row>
    <row r="998" spans="8:8" x14ac:dyDescent="0.2">
      <c r="H998">
        <v>0</v>
      </c>
    </row>
    <row r="999" spans="8:8" x14ac:dyDescent="0.2">
      <c r="H999">
        <v>0</v>
      </c>
    </row>
    <row r="1000" spans="8:8" x14ac:dyDescent="0.2">
      <c r="H1000">
        <v>0</v>
      </c>
    </row>
    <row r="1001" spans="8:8" x14ac:dyDescent="0.2">
      <c r="H1001">
        <v>0</v>
      </c>
    </row>
    <row r="1002" spans="8:8" x14ac:dyDescent="0.2">
      <c r="H1002">
        <v>0</v>
      </c>
    </row>
    <row r="1003" spans="8:8" x14ac:dyDescent="0.2">
      <c r="H1003">
        <v>0</v>
      </c>
    </row>
    <row r="1004" spans="8:8" x14ac:dyDescent="0.2">
      <c r="H1004">
        <v>0</v>
      </c>
    </row>
    <row r="1005" spans="8:8" x14ac:dyDescent="0.2">
      <c r="H1005">
        <v>0</v>
      </c>
    </row>
    <row r="1006" spans="8:8" x14ac:dyDescent="0.2">
      <c r="H1006">
        <v>0</v>
      </c>
    </row>
    <row r="1007" spans="8:8" x14ac:dyDescent="0.2">
      <c r="H1007">
        <v>0</v>
      </c>
    </row>
    <row r="1008" spans="8:8" x14ac:dyDescent="0.2">
      <c r="H1008">
        <v>0</v>
      </c>
    </row>
    <row r="1009" spans="8:8" x14ac:dyDescent="0.2">
      <c r="H1009">
        <v>0</v>
      </c>
    </row>
    <row r="1010" spans="8:8" x14ac:dyDescent="0.2">
      <c r="H1010">
        <v>0</v>
      </c>
    </row>
    <row r="1011" spans="8:8" x14ac:dyDescent="0.2">
      <c r="H1011">
        <v>0</v>
      </c>
    </row>
    <row r="1012" spans="8:8" x14ac:dyDescent="0.2">
      <c r="H1012">
        <v>0</v>
      </c>
    </row>
    <row r="1013" spans="8:8" x14ac:dyDescent="0.2">
      <c r="H1013">
        <v>0</v>
      </c>
    </row>
    <row r="1014" spans="8:8" x14ac:dyDescent="0.2">
      <c r="H1014">
        <v>0</v>
      </c>
    </row>
    <row r="1015" spans="8:8" x14ac:dyDescent="0.2">
      <c r="H1015">
        <v>0</v>
      </c>
    </row>
    <row r="1016" spans="8:8" x14ac:dyDescent="0.2">
      <c r="H1016">
        <v>0</v>
      </c>
    </row>
    <row r="1017" spans="8:8" x14ac:dyDescent="0.2">
      <c r="H1017">
        <v>0</v>
      </c>
    </row>
    <row r="1018" spans="8:8" x14ac:dyDescent="0.2">
      <c r="H1018">
        <v>0</v>
      </c>
    </row>
    <row r="1019" spans="8:8" x14ac:dyDescent="0.2">
      <c r="H1019">
        <v>0</v>
      </c>
    </row>
    <row r="1020" spans="8:8" x14ac:dyDescent="0.2">
      <c r="H1020">
        <v>0</v>
      </c>
    </row>
    <row r="1021" spans="8:8" x14ac:dyDescent="0.2">
      <c r="H1021">
        <v>0</v>
      </c>
    </row>
    <row r="1022" spans="8:8" x14ac:dyDescent="0.2">
      <c r="H1022">
        <v>0</v>
      </c>
    </row>
    <row r="1023" spans="8:8" x14ac:dyDescent="0.2">
      <c r="H1023">
        <v>0</v>
      </c>
    </row>
    <row r="1024" spans="8:8" x14ac:dyDescent="0.2">
      <c r="H1024">
        <v>0</v>
      </c>
    </row>
    <row r="1025" spans="8:8" x14ac:dyDescent="0.2">
      <c r="H1025">
        <v>0</v>
      </c>
    </row>
    <row r="1026" spans="8:8" x14ac:dyDescent="0.2">
      <c r="H1026">
        <v>0</v>
      </c>
    </row>
    <row r="1027" spans="8:8" x14ac:dyDescent="0.2">
      <c r="H1027">
        <v>0</v>
      </c>
    </row>
    <row r="1028" spans="8:8" x14ac:dyDescent="0.2">
      <c r="H1028">
        <v>0</v>
      </c>
    </row>
    <row r="1029" spans="8:8" x14ac:dyDescent="0.2">
      <c r="H1029">
        <v>0</v>
      </c>
    </row>
    <row r="1030" spans="8:8" x14ac:dyDescent="0.2">
      <c r="H1030">
        <v>0</v>
      </c>
    </row>
    <row r="1031" spans="8:8" x14ac:dyDescent="0.2">
      <c r="H1031">
        <v>0</v>
      </c>
    </row>
    <row r="1032" spans="8:8" x14ac:dyDescent="0.2">
      <c r="H1032">
        <v>0</v>
      </c>
    </row>
    <row r="1033" spans="8:8" x14ac:dyDescent="0.2">
      <c r="H1033">
        <v>0</v>
      </c>
    </row>
    <row r="1034" spans="8:8" x14ac:dyDescent="0.2">
      <c r="H1034">
        <v>0</v>
      </c>
    </row>
    <row r="1035" spans="8:8" x14ac:dyDescent="0.2">
      <c r="H1035">
        <v>0</v>
      </c>
    </row>
    <row r="1036" spans="8:8" x14ac:dyDescent="0.2">
      <c r="H1036">
        <v>0</v>
      </c>
    </row>
    <row r="1037" spans="8:8" x14ac:dyDescent="0.2">
      <c r="H1037">
        <v>0</v>
      </c>
    </row>
    <row r="1038" spans="8:8" x14ac:dyDescent="0.2">
      <c r="H1038">
        <v>0</v>
      </c>
    </row>
    <row r="1039" spans="8:8" x14ac:dyDescent="0.2">
      <c r="H1039">
        <v>0</v>
      </c>
    </row>
    <row r="1040" spans="8:8" x14ac:dyDescent="0.2">
      <c r="H1040">
        <v>0</v>
      </c>
    </row>
    <row r="1041" spans="8:8" x14ac:dyDescent="0.2">
      <c r="H1041">
        <v>0</v>
      </c>
    </row>
    <row r="1042" spans="8:8" x14ac:dyDescent="0.2">
      <c r="H1042">
        <v>0</v>
      </c>
    </row>
    <row r="1043" spans="8:8" x14ac:dyDescent="0.2">
      <c r="H1043">
        <v>0</v>
      </c>
    </row>
    <row r="1044" spans="8:8" x14ac:dyDescent="0.2">
      <c r="H1044">
        <v>0</v>
      </c>
    </row>
    <row r="1045" spans="8:8" x14ac:dyDescent="0.2">
      <c r="H1045">
        <v>0</v>
      </c>
    </row>
    <row r="1046" spans="8:8" x14ac:dyDescent="0.2">
      <c r="H1046">
        <v>0</v>
      </c>
    </row>
    <row r="1047" spans="8:8" x14ac:dyDescent="0.2">
      <c r="H1047">
        <v>0</v>
      </c>
    </row>
    <row r="1048" spans="8:8" x14ac:dyDescent="0.2">
      <c r="H1048">
        <v>0</v>
      </c>
    </row>
    <row r="1049" spans="8:8" x14ac:dyDescent="0.2">
      <c r="H1049">
        <v>0</v>
      </c>
    </row>
    <row r="1050" spans="8:8" x14ac:dyDescent="0.2">
      <c r="H1050">
        <v>0</v>
      </c>
    </row>
    <row r="1051" spans="8:8" x14ac:dyDescent="0.2">
      <c r="H1051">
        <v>0</v>
      </c>
    </row>
    <row r="1052" spans="8:8" x14ac:dyDescent="0.2">
      <c r="H1052">
        <v>0</v>
      </c>
    </row>
    <row r="1053" spans="8:8" x14ac:dyDescent="0.2">
      <c r="H1053">
        <v>0</v>
      </c>
    </row>
    <row r="1054" spans="8:8" x14ac:dyDescent="0.2">
      <c r="H1054">
        <v>0</v>
      </c>
    </row>
    <row r="1055" spans="8:8" x14ac:dyDescent="0.2">
      <c r="H1055">
        <v>0</v>
      </c>
    </row>
    <row r="1056" spans="8:8" x14ac:dyDescent="0.2">
      <c r="H1056">
        <v>0</v>
      </c>
    </row>
    <row r="1057" spans="8:8" x14ac:dyDescent="0.2">
      <c r="H1057">
        <v>0</v>
      </c>
    </row>
    <row r="1058" spans="8:8" x14ac:dyDescent="0.2">
      <c r="H1058">
        <v>0</v>
      </c>
    </row>
    <row r="1059" spans="8:8" x14ac:dyDescent="0.2">
      <c r="H1059">
        <v>0</v>
      </c>
    </row>
    <row r="1060" spans="8:8" x14ac:dyDescent="0.2">
      <c r="H1060">
        <v>0</v>
      </c>
    </row>
    <row r="1061" spans="8:8" x14ac:dyDescent="0.2">
      <c r="H1061">
        <v>0</v>
      </c>
    </row>
    <row r="1062" spans="8:8" x14ac:dyDescent="0.2">
      <c r="H1062">
        <v>0</v>
      </c>
    </row>
    <row r="1063" spans="8:8" x14ac:dyDescent="0.2">
      <c r="H1063">
        <v>0</v>
      </c>
    </row>
    <row r="1064" spans="8:8" x14ac:dyDescent="0.2">
      <c r="H1064">
        <v>0</v>
      </c>
    </row>
    <row r="1065" spans="8:8" x14ac:dyDescent="0.2">
      <c r="H1065">
        <v>0</v>
      </c>
    </row>
    <row r="1066" spans="8:8" x14ac:dyDescent="0.2">
      <c r="H1066">
        <v>0</v>
      </c>
    </row>
    <row r="1067" spans="8:8" x14ac:dyDescent="0.2">
      <c r="H1067">
        <v>0</v>
      </c>
    </row>
    <row r="1068" spans="8:8" x14ac:dyDescent="0.2">
      <c r="H1068">
        <v>0</v>
      </c>
    </row>
    <row r="1069" spans="8:8" x14ac:dyDescent="0.2">
      <c r="H1069">
        <v>0</v>
      </c>
    </row>
    <row r="1070" spans="8:8" x14ac:dyDescent="0.2">
      <c r="H1070">
        <v>0</v>
      </c>
    </row>
    <row r="1071" spans="8:8" x14ac:dyDescent="0.2">
      <c r="H1071">
        <v>0</v>
      </c>
    </row>
    <row r="1072" spans="8:8" x14ac:dyDescent="0.2">
      <c r="H1072">
        <v>0</v>
      </c>
    </row>
    <row r="1073" spans="8:8" x14ac:dyDescent="0.2">
      <c r="H1073">
        <v>0</v>
      </c>
    </row>
    <row r="1074" spans="8:8" x14ac:dyDescent="0.2">
      <c r="H1074">
        <v>0</v>
      </c>
    </row>
    <row r="1075" spans="8:8" x14ac:dyDescent="0.2">
      <c r="H1075">
        <v>0</v>
      </c>
    </row>
    <row r="1076" spans="8:8" x14ac:dyDescent="0.2">
      <c r="H1076">
        <v>0</v>
      </c>
    </row>
    <row r="1077" spans="8:8" x14ac:dyDescent="0.2">
      <c r="H1077">
        <v>0</v>
      </c>
    </row>
    <row r="1078" spans="8:8" x14ac:dyDescent="0.2">
      <c r="H1078">
        <v>0</v>
      </c>
    </row>
    <row r="1079" spans="8:8" x14ac:dyDescent="0.2">
      <c r="H1079">
        <v>0</v>
      </c>
    </row>
    <row r="1080" spans="8:8" x14ac:dyDescent="0.2">
      <c r="H1080">
        <v>0</v>
      </c>
    </row>
    <row r="1081" spans="8:8" x14ac:dyDescent="0.2">
      <c r="H1081">
        <v>0</v>
      </c>
    </row>
    <row r="1082" spans="8:8" x14ac:dyDescent="0.2">
      <c r="H1082">
        <v>0</v>
      </c>
    </row>
    <row r="1083" spans="8:8" x14ac:dyDescent="0.2">
      <c r="H1083">
        <v>0</v>
      </c>
    </row>
    <row r="1084" spans="8:8" x14ac:dyDescent="0.2">
      <c r="H1084">
        <v>0</v>
      </c>
    </row>
    <row r="1085" spans="8:8" x14ac:dyDescent="0.2">
      <c r="H1085">
        <v>0</v>
      </c>
    </row>
    <row r="1086" spans="8:8" x14ac:dyDescent="0.2">
      <c r="H1086">
        <v>0</v>
      </c>
    </row>
    <row r="1087" spans="8:8" x14ac:dyDescent="0.2">
      <c r="H1087">
        <v>0</v>
      </c>
    </row>
    <row r="1088" spans="8:8" x14ac:dyDescent="0.2">
      <c r="H1088">
        <v>0</v>
      </c>
    </row>
    <row r="1089" spans="8:8" x14ac:dyDescent="0.2">
      <c r="H1089">
        <v>0</v>
      </c>
    </row>
    <row r="1090" spans="8:8" x14ac:dyDescent="0.2">
      <c r="H1090">
        <v>0</v>
      </c>
    </row>
    <row r="1091" spans="8:8" x14ac:dyDescent="0.2">
      <c r="H1091">
        <v>0</v>
      </c>
    </row>
    <row r="1092" spans="8:8" x14ac:dyDescent="0.2">
      <c r="H1092">
        <v>0</v>
      </c>
    </row>
    <row r="1093" spans="8:8" x14ac:dyDescent="0.2">
      <c r="H1093">
        <v>0</v>
      </c>
    </row>
    <row r="1094" spans="8:8" x14ac:dyDescent="0.2">
      <c r="H1094">
        <v>0</v>
      </c>
    </row>
    <row r="1095" spans="8:8" x14ac:dyDescent="0.2">
      <c r="H1095">
        <v>0</v>
      </c>
    </row>
    <row r="1096" spans="8:8" x14ac:dyDescent="0.2">
      <c r="H1096">
        <v>0</v>
      </c>
    </row>
    <row r="1097" spans="8:8" x14ac:dyDescent="0.2">
      <c r="H1097">
        <v>0</v>
      </c>
    </row>
    <row r="1098" spans="8:8" x14ac:dyDescent="0.2">
      <c r="H1098">
        <v>0</v>
      </c>
    </row>
    <row r="1099" spans="8:8" x14ac:dyDescent="0.2">
      <c r="H1099">
        <v>0</v>
      </c>
    </row>
    <row r="1100" spans="8:8" x14ac:dyDescent="0.2">
      <c r="H1100">
        <v>0</v>
      </c>
    </row>
    <row r="1101" spans="8:8" x14ac:dyDescent="0.2">
      <c r="H1101">
        <v>0</v>
      </c>
    </row>
    <row r="1102" spans="8:8" x14ac:dyDescent="0.2">
      <c r="H1102">
        <v>0</v>
      </c>
    </row>
    <row r="1103" spans="8:8" x14ac:dyDescent="0.2">
      <c r="H1103">
        <v>0</v>
      </c>
    </row>
    <row r="1104" spans="8:8" x14ac:dyDescent="0.2">
      <c r="H1104">
        <v>0</v>
      </c>
    </row>
    <row r="1105" spans="8:8" x14ac:dyDescent="0.2">
      <c r="H1105">
        <v>0</v>
      </c>
    </row>
    <row r="1106" spans="8:8" x14ac:dyDescent="0.2">
      <c r="H1106">
        <v>0</v>
      </c>
    </row>
    <row r="1107" spans="8:8" x14ac:dyDescent="0.2">
      <c r="H1107">
        <v>0</v>
      </c>
    </row>
    <row r="1108" spans="8:8" x14ac:dyDescent="0.2">
      <c r="H1108">
        <v>0</v>
      </c>
    </row>
    <row r="1109" spans="8:8" x14ac:dyDescent="0.2">
      <c r="H1109">
        <v>0</v>
      </c>
    </row>
    <row r="1110" spans="8:8" x14ac:dyDescent="0.2">
      <c r="H1110">
        <v>0</v>
      </c>
    </row>
    <row r="1111" spans="8:8" x14ac:dyDescent="0.2">
      <c r="H1111">
        <v>0</v>
      </c>
    </row>
    <row r="1112" spans="8:8" x14ac:dyDescent="0.2">
      <c r="H1112">
        <v>0</v>
      </c>
    </row>
    <row r="1113" spans="8:8" x14ac:dyDescent="0.2">
      <c r="H1113">
        <v>0</v>
      </c>
    </row>
    <row r="1114" spans="8:8" x14ac:dyDescent="0.2">
      <c r="H1114">
        <v>0</v>
      </c>
    </row>
    <row r="1115" spans="8:8" x14ac:dyDescent="0.2">
      <c r="H1115">
        <v>0</v>
      </c>
    </row>
    <row r="1116" spans="8:8" x14ac:dyDescent="0.2">
      <c r="H1116">
        <v>0</v>
      </c>
    </row>
    <row r="1117" spans="8:8" x14ac:dyDescent="0.2">
      <c r="H1117">
        <v>0</v>
      </c>
    </row>
    <row r="1118" spans="8:8" x14ac:dyDescent="0.2">
      <c r="H1118">
        <v>0</v>
      </c>
    </row>
    <row r="1119" spans="8:8" x14ac:dyDescent="0.2">
      <c r="H1119">
        <v>0</v>
      </c>
    </row>
    <row r="1120" spans="8:8" x14ac:dyDescent="0.2">
      <c r="H1120">
        <v>0</v>
      </c>
    </row>
    <row r="1121" spans="8:8" x14ac:dyDescent="0.2">
      <c r="H1121">
        <v>0</v>
      </c>
    </row>
    <row r="1122" spans="8:8" x14ac:dyDescent="0.2">
      <c r="H1122">
        <v>0</v>
      </c>
    </row>
    <row r="1123" spans="8:8" x14ac:dyDescent="0.2">
      <c r="H1123">
        <v>0</v>
      </c>
    </row>
    <row r="1124" spans="8:8" x14ac:dyDescent="0.2">
      <c r="H1124">
        <v>0</v>
      </c>
    </row>
    <row r="1125" spans="8:8" x14ac:dyDescent="0.2">
      <c r="H1125">
        <v>0</v>
      </c>
    </row>
    <row r="1126" spans="8:8" x14ac:dyDescent="0.2">
      <c r="H1126">
        <v>0</v>
      </c>
    </row>
    <row r="1127" spans="8:8" x14ac:dyDescent="0.2">
      <c r="H1127">
        <v>0</v>
      </c>
    </row>
    <row r="1128" spans="8:8" x14ac:dyDescent="0.2">
      <c r="H1128">
        <v>0</v>
      </c>
    </row>
    <row r="1129" spans="8:8" x14ac:dyDescent="0.2">
      <c r="H1129">
        <v>0</v>
      </c>
    </row>
    <row r="1130" spans="8:8" x14ac:dyDescent="0.2">
      <c r="H1130">
        <v>0</v>
      </c>
    </row>
    <row r="1131" spans="8:8" x14ac:dyDescent="0.2">
      <c r="H1131">
        <v>0</v>
      </c>
    </row>
    <row r="1132" spans="8:8" x14ac:dyDescent="0.2">
      <c r="H1132">
        <v>0</v>
      </c>
    </row>
    <row r="1133" spans="8:8" x14ac:dyDescent="0.2">
      <c r="H1133">
        <v>0</v>
      </c>
    </row>
    <row r="1134" spans="8:8" x14ac:dyDescent="0.2">
      <c r="H1134">
        <v>0</v>
      </c>
    </row>
    <row r="1135" spans="8:8" x14ac:dyDescent="0.2">
      <c r="H1135">
        <v>0</v>
      </c>
    </row>
    <row r="1136" spans="8:8" x14ac:dyDescent="0.2">
      <c r="H1136">
        <v>0</v>
      </c>
    </row>
    <row r="1137" spans="8:8" x14ac:dyDescent="0.2">
      <c r="H1137">
        <v>0</v>
      </c>
    </row>
    <row r="1138" spans="8:8" x14ac:dyDescent="0.2">
      <c r="H1138">
        <v>0</v>
      </c>
    </row>
    <row r="1139" spans="8:8" x14ac:dyDescent="0.2">
      <c r="H1139">
        <v>0</v>
      </c>
    </row>
    <row r="1140" spans="8:8" x14ac:dyDescent="0.2">
      <c r="H1140">
        <v>0</v>
      </c>
    </row>
    <row r="1141" spans="8:8" x14ac:dyDescent="0.2">
      <c r="H1141">
        <v>0</v>
      </c>
    </row>
    <row r="1142" spans="8:8" x14ac:dyDescent="0.2">
      <c r="H1142">
        <v>0</v>
      </c>
    </row>
    <row r="1143" spans="8:8" x14ac:dyDescent="0.2">
      <c r="H1143">
        <v>0</v>
      </c>
    </row>
    <row r="1144" spans="8:8" x14ac:dyDescent="0.2">
      <c r="H1144">
        <v>0</v>
      </c>
    </row>
    <row r="1145" spans="8:8" x14ac:dyDescent="0.2">
      <c r="H1145">
        <v>0</v>
      </c>
    </row>
    <row r="1146" spans="8:8" x14ac:dyDescent="0.2">
      <c r="H1146">
        <v>0</v>
      </c>
    </row>
    <row r="1147" spans="8:8" x14ac:dyDescent="0.2">
      <c r="H1147">
        <v>0</v>
      </c>
    </row>
    <row r="1148" spans="8:8" x14ac:dyDescent="0.2">
      <c r="H1148">
        <v>0</v>
      </c>
    </row>
    <row r="1149" spans="8:8" x14ac:dyDescent="0.2">
      <c r="H1149">
        <v>0</v>
      </c>
    </row>
    <row r="1150" spans="8:8" x14ac:dyDescent="0.2">
      <c r="H1150">
        <v>0</v>
      </c>
    </row>
    <row r="1151" spans="8:8" x14ac:dyDescent="0.2">
      <c r="H1151">
        <v>0</v>
      </c>
    </row>
    <row r="1152" spans="8:8" x14ac:dyDescent="0.2">
      <c r="H1152">
        <v>0</v>
      </c>
    </row>
    <row r="1153" spans="8:8" x14ac:dyDescent="0.2">
      <c r="H1153">
        <v>0</v>
      </c>
    </row>
    <row r="1154" spans="8:8" x14ac:dyDescent="0.2">
      <c r="H1154">
        <v>0</v>
      </c>
    </row>
    <row r="1155" spans="8:8" x14ac:dyDescent="0.2">
      <c r="H1155">
        <v>0</v>
      </c>
    </row>
    <row r="1156" spans="8:8" x14ac:dyDescent="0.2">
      <c r="H1156">
        <v>0</v>
      </c>
    </row>
    <row r="1157" spans="8:8" x14ac:dyDescent="0.2">
      <c r="H1157">
        <v>0</v>
      </c>
    </row>
    <row r="1158" spans="8:8" x14ac:dyDescent="0.2">
      <c r="H1158">
        <v>0</v>
      </c>
    </row>
    <row r="1159" spans="8:8" x14ac:dyDescent="0.2">
      <c r="H1159">
        <v>0</v>
      </c>
    </row>
    <row r="1160" spans="8:8" x14ac:dyDescent="0.2">
      <c r="H1160">
        <v>0</v>
      </c>
    </row>
    <row r="1161" spans="8:8" x14ac:dyDescent="0.2">
      <c r="H1161">
        <v>0</v>
      </c>
    </row>
    <row r="1162" spans="8:8" x14ac:dyDescent="0.2">
      <c r="H1162">
        <v>0</v>
      </c>
    </row>
    <row r="1163" spans="8:8" x14ac:dyDescent="0.2">
      <c r="H1163">
        <v>0</v>
      </c>
    </row>
    <row r="1164" spans="8:8" x14ac:dyDescent="0.2">
      <c r="H1164">
        <v>0</v>
      </c>
    </row>
    <row r="1165" spans="8:8" x14ac:dyDescent="0.2">
      <c r="H1165">
        <v>0</v>
      </c>
    </row>
    <row r="1166" spans="8:8" x14ac:dyDescent="0.2">
      <c r="H1166">
        <v>0</v>
      </c>
    </row>
    <row r="1167" spans="8:8" x14ac:dyDescent="0.2">
      <c r="H1167">
        <v>0</v>
      </c>
    </row>
    <row r="1168" spans="8:8" x14ac:dyDescent="0.2">
      <c r="H1168">
        <v>0</v>
      </c>
    </row>
    <row r="1169" spans="8:8" x14ac:dyDescent="0.2">
      <c r="H1169">
        <v>0</v>
      </c>
    </row>
    <row r="1170" spans="8:8" x14ac:dyDescent="0.2">
      <c r="H1170">
        <v>0</v>
      </c>
    </row>
    <row r="1171" spans="8:8" x14ac:dyDescent="0.2">
      <c r="H1171">
        <v>0</v>
      </c>
    </row>
    <row r="1172" spans="8:8" x14ac:dyDescent="0.2">
      <c r="H1172">
        <v>0</v>
      </c>
    </row>
    <row r="1173" spans="8:8" x14ac:dyDescent="0.2">
      <c r="H1173">
        <v>0</v>
      </c>
    </row>
    <row r="1174" spans="8:8" x14ac:dyDescent="0.2">
      <c r="H1174">
        <v>0</v>
      </c>
    </row>
    <row r="1175" spans="8:8" x14ac:dyDescent="0.2">
      <c r="H1175">
        <v>0</v>
      </c>
    </row>
    <row r="1176" spans="8:8" x14ac:dyDescent="0.2">
      <c r="H1176">
        <v>0</v>
      </c>
    </row>
    <row r="1177" spans="8:8" x14ac:dyDescent="0.2">
      <c r="H1177">
        <v>0</v>
      </c>
    </row>
    <row r="1178" spans="8:8" x14ac:dyDescent="0.2">
      <c r="H1178">
        <v>0</v>
      </c>
    </row>
    <row r="1179" spans="8:8" x14ac:dyDescent="0.2">
      <c r="H1179">
        <v>0</v>
      </c>
    </row>
    <row r="1180" spans="8:8" x14ac:dyDescent="0.2">
      <c r="H1180">
        <v>0</v>
      </c>
    </row>
    <row r="1181" spans="8:8" x14ac:dyDescent="0.2">
      <c r="H1181">
        <v>0</v>
      </c>
    </row>
    <row r="1182" spans="8:8" x14ac:dyDescent="0.2">
      <c r="H1182">
        <v>0</v>
      </c>
    </row>
    <row r="1183" spans="8:8" x14ac:dyDescent="0.2">
      <c r="H1183">
        <v>0</v>
      </c>
    </row>
    <row r="1184" spans="8:8" x14ac:dyDescent="0.2">
      <c r="H1184">
        <v>0</v>
      </c>
    </row>
    <row r="1185" spans="8:8" x14ac:dyDescent="0.2">
      <c r="H1185">
        <v>0</v>
      </c>
    </row>
    <row r="1186" spans="8:8" x14ac:dyDescent="0.2">
      <c r="H1186">
        <v>0</v>
      </c>
    </row>
    <row r="1187" spans="8:8" x14ac:dyDescent="0.2">
      <c r="H1187">
        <v>0</v>
      </c>
    </row>
    <row r="1188" spans="8:8" x14ac:dyDescent="0.2">
      <c r="H1188">
        <v>0</v>
      </c>
    </row>
    <row r="1189" spans="8:8" x14ac:dyDescent="0.2">
      <c r="H1189">
        <v>0</v>
      </c>
    </row>
    <row r="1190" spans="8:8" x14ac:dyDescent="0.2">
      <c r="H1190">
        <v>0</v>
      </c>
    </row>
    <row r="1191" spans="8:8" x14ac:dyDescent="0.2">
      <c r="H1191">
        <v>0</v>
      </c>
    </row>
    <row r="1192" spans="8:8" x14ac:dyDescent="0.2">
      <c r="H1192">
        <v>0</v>
      </c>
    </row>
    <row r="1193" spans="8:8" x14ac:dyDescent="0.2">
      <c r="H1193">
        <v>0</v>
      </c>
    </row>
    <row r="1194" spans="8:8" x14ac:dyDescent="0.2">
      <c r="H1194">
        <v>0</v>
      </c>
    </row>
    <row r="1195" spans="8:8" x14ac:dyDescent="0.2">
      <c r="H1195">
        <v>0</v>
      </c>
    </row>
    <row r="1196" spans="8:8" x14ac:dyDescent="0.2">
      <c r="H1196">
        <v>0</v>
      </c>
    </row>
    <row r="1197" spans="8:8" x14ac:dyDescent="0.2">
      <c r="H1197">
        <v>0</v>
      </c>
    </row>
    <row r="1198" spans="8:8" x14ac:dyDescent="0.2">
      <c r="H1198">
        <v>0</v>
      </c>
    </row>
    <row r="1199" spans="8:8" x14ac:dyDescent="0.2">
      <c r="H1199">
        <v>0</v>
      </c>
    </row>
    <row r="1200" spans="8:8" x14ac:dyDescent="0.2">
      <c r="H1200">
        <v>0</v>
      </c>
    </row>
    <row r="1201" spans="8:8" x14ac:dyDescent="0.2">
      <c r="H1201">
        <v>0</v>
      </c>
    </row>
    <row r="1202" spans="8:8" x14ac:dyDescent="0.2">
      <c r="H1202">
        <v>0</v>
      </c>
    </row>
    <row r="1203" spans="8:8" x14ac:dyDescent="0.2">
      <c r="H1203">
        <v>0</v>
      </c>
    </row>
    <row r="1204" spans="8:8" x14ac:dyDescent="0.2">
      <c r="H1204">
        <v>0</v>
      </c>
    </row>
    <row r="1205" spans="8:8" x14ac:dyDescent="0.2">
      <c r="H1205">
        <v>0</v>
      </c>
    </row>
    <row r="1206" spans="8:8" x14ac:dyDescent="0.2">
      <c r="H1206">
        <v>0</v>
      </c>
    </row>
    <row r="1207" spans="8:8" x14ac:dyDescent="0.2">
      <c r="H1207">
        <v>0</v>
      </c>
    </row>
    <row r="1208" spans="8:8" x14ac:dyDescent="0.2">
      <c r="H1208">
        <v>0</v>
      </c>
    </row>
    <row r="1209" spans="8:8" x14ac:dyDescent="0.2">
      <c r="H1209">
        <v>0</v>
      </c>
    </row>
    <row r="1210" spans="8:8" x14ac:dyDescent="0.2">
      <c r="H1210">
        <v>0</v>
      </c>
    </row>
    <row r="1211" spans="8:8" x14ac:dyDescent="0.2">
      <c r="H1211">
        <v>0</v>
      </c>
    </row>
    <row r="1212" spans="8:8" x14ac:dyDescent="0.2">
      <c r="H1212">
        <v>0</v>
      </c>
    </row>
    <row r="1213" spans="8:8" x14ac:dyDescent="0.2">
      <c r="H1213">
        <v>0</v>
      </c>
    </row>
    <row r="1214" spans="8:8" x14ac:dyDescent="0.2">
      <c r="H1214">
        <v>0</v>
      </c>
    </row>
    <row r="1215" spans="8:8" x14ac:dyDescent="0.2">
      <c r="H1215">
        <v>0</v>
      </c>
    </row>
    <row r="1216" spans="8:8" x14ac:dyDescent="0.2">
      <c r="H1216">
        <v>0</v>
      </c>
    </row>
    <row r="1217" spans="8:8" x14ac:dyDescent="0.2">
      <c r="H1217">
        <v>0</v>
      </c>
    </row>
    <row r="1218" spans="8:8" x14ac:dyDescent="0.2">
      <c r="H1218">
        <v>0</v>
      </c>
    </row>
    <row r="1219" spans="8:8" x14ac:dyDescent="0.2">
      <c r="H1219">
        <v>0</v>
      </c>
    </row>
    <row r="1220" spans="8:8" x14ac:dyDescent="0.2">
      <c r="H1220">
        <v>0</v>
      </c>
    </row>
    <row r="1221" spans="8:8" x14ac:dyDescent="0.2">
      <c r="H1221">
        <v>0</v>
      </c>
    </row>
    <row r="1222" spans="8:8" x14ac:dyDescent="0.2">
      <c r="H1222">
        <v>0</v>
      </c>
    </row>
    <row r="1223" spans="8:8" x14ac:dyDescent="0.2">
      <c r="H1223">
        <v>0</v>
      </c>
    </row>
    <row r="1224" spans="8:8" x14ac:dyDescent="0.2">
      <c r="H1224">
        <v>0</v>
      </c>
    </row>
    <row r="1225" spans="8:8" x14ac:dyDescent="0.2">
      <c r="H1225">
        <v>0</v>
      </c>
    </row>
    <row r="1226" spans="8:8" x14ac:dyDescent="0.2">
      <c r="H1226">
        <v>0</v>
      </c>
    </row>
    <row r="1227" spans="8:8" x14ac:dyDescent="0.2">
      <c r="H1227">
        <v>0</v>
      </c>
    </row>
    <row r="1228" spans="8:8" x14ac:dyDescent="0.2">
      <c r="H1228">
        <v>0</v>
      </c>
    </row>
    <row r="1229" spans="8:8" x14ac:dyDescent="0.2">
      <c r="H1229">
        <v>0</v>
      </c>
    </row>
    <row r="1230" spans="8:8" x14ac:dyDescent="0.2">
      <c r="H1230">
        <v>0</v>
      </c>
    </row>
    <row r="1231" spans="8:8" x14ac:dyDescent="0.2">
      <c r="H1231">
        <v>0</v>
      </c>
    </row>
    <row r="1232" spans="8:8" x14ac:dyDescent="0.2">
      <c r="H1232">
        <v>0</v>
      </c>
    </row>
    <row r="1233" spans="8:8" x14ac:dyDescent="0.2">
      <c r="H1233">
        <v>0</v>
      </c>
    </row>
    <row r="1234" spans="8:8" x14ac:dyDescent="0.2">
      <c r="H1234">
        <v>0</v>
      </c>
    </row>
    <row r="1235" spans="8:8" x14ac:dyDescent="0.2">
      <c r="H1235">
        <v>0</v>
      </c>
    </row>
    <row r="1236" spans="8:8" x14ac:dyDescent="0.2">
      <c r="H1236">
        <v>0</v>
      </c>
    </row>
    <row r="1237" spans="8:8" x14ac:dyDescent="0.2">
      <c r="H1237">
        <v>0</v>
      </c>
    </row>
    <row r="1238" spans="8:8" x14ac:dyDescent="0.2">
      <c r="H1238">
        <v>0</v>
      </c>
    </row>
    <row r="1239" spans="8:8" x14ac:dyDescent="0.2">
      <c r="H1239">
        <v>0</v>
      </c>
    </row>
    <row r="1240" spans="8:8" x14ac:dyDescent="0.2">
      <c r="H1240">
        <v>0</v>
      </c>
    </row>
    <row r="1241" spans="8:8" x14ac:dyDescent="0.2">
      <c r="H1241">
        <v>0</v>
      </c>
    </row>
    <row r="1242" spans="8:8" x14ac:dyDescent="0.2">
      <c r="H1242">
        <v>0</v>
      </c>
    </row>
    <row r="1243" spans="8:8" x14ac:dyDescent="0.2">
      <c r="H1243">
        <v>0</v>
      </c>
    </row>
    <row r="1244" spans="8:8" x14ac:dyDescent="0.2">
      <c r="H1244">
        <v>0</v>
      </c>
    </row>
    <row r="1245" spans="8:8" x14ac:dyDescent="0.2">
      <c r="H1245">
        <v>0</v>
      </c>
    </row>
    <row r="1246" spans="8:8" x14ac:dyDescent="0.2">
      <c r="H1246">
        <v>0</v>
      </c>
    </row>
    <row r="1247" spans="8:8" x14ac:dyDescent="0.2">
      <c r="H1247">
        <v>0</v>
      </c>
    </row>
    <row r="1248" spans="8:8" x14ac:dyDescent="0.2">
      <c r="H1248">
        <v>0</v>
      </c>
    </row>
    <row r="1249" spans="8:8" x14ac:dyDescent="0.2">
      <c r="H1249">
        <v>0</v>
      </c>
    </row>
    <row r="1250" spans="8:8" x14ac:dyDescent="0.2">
      <c r="H1250">
        <v>0</v>
      </c>
    </row>
    <row r="1251" spans="8:8" x14ac:dyDescent="0.2">
      <c r="H1251">
        <v>0</v>
      </c>
    </row>
    <row r="1252" spans="8:8" x14ac:dyDescent="0.2">
      <c r="H1252">
        <v>0</v>
      </c>
    </row>
    <row r="1253" spans="8:8" x14ac:dyDescent="0.2">
      <c r="H1253">
        <v>0</v>
      </c>
    </row>
    <row r="1254" spans="8:8" x14ac:dyDescent="0.2">
      <c r="H1254">
        <v>0</v>
      </c>
    </row>
    <row r="1255" spans="8:8" x14ac:dyDescent="0.2">
      <c r="H1255">
        <v>0</v>
      </c>
    </row>
    <row r="1256" spans="8:8" x14ac:dyDescent="0.2">
      <c r="H1256">
        <v>0</v>
      </c>
    </row>
    <row r="1257" spans="8:8" x14ac:dyDescent="0.2">
      <c r="H1257">
        <v>0</v>
      </c>
    </row>
    <row r="1258" spans="8:8" x14ac:dyDescent="0.2">
      <c r="H1258">
        <v>0</v>
      </c>
    </row>
    <row r="1259" spans="8:8" x14ac:dyDescent="0.2">
      <c r="H1259">
        <v>0</v>
      </c>
    </row>
    <row r="1260" spans="8:8" x14ac:dyDescent="0.2">
      <c r="H1260">
        <v>0</v>
      </c>
    </row>
    <row r="1261" spans="8:8" x14ac:dyDescent="0.2">
      <c r="H1261">
        <v>0</v>
      </c>
    </row>
    <row r="1262" spans="8:8" x14ac:dyDescent="0.2">
      <c r="H1262">
        <v>0</v>
      </c>
    </row>
    <row r="1263" spans="8:8" x14ac:dyDescent="0.2">
      <c r="H1263">
        <v>0</v>
      </c>
    </row>
    <row r="1264" spans="8:8" x14ac:dyDescent="0.2">
      <c r="H1264">
        <v>0</v>
      </c>
    </row>
    <row r="1265" spans="8:8" x14ac:dyDescent="0.2">
      <c r="H1265">
        <v>0</v>
      </c>
    </row>
    <row r="1266" spans="8:8" x14ac:dyDescent="0.2">
      <c r="H1266">
        <v>0</v>
      </c>
    </row>
    <row r="1267" spans="8:8" x14ac:dyDescent="0.2">
      <c r="H1267">
        <v>0</v>
      </c>
    </row>
    <row r="1268" spans="8:8" x14ac:dyDescent="0.2">
      <c r="H1268">
        <v>0</v>
      </c>
    </row>
    <row r="1269" spans="8:8" x14ac:dyDescent="0.2">
      <c r="H1269">
        <v>0</v>
      </c>
    </row>
    <row r="1270" spans="8:8" x14ac:dyDescent="0.2">
      <c r="H1270">
        <v>0</v>
      </c>
    </row>
    <row r="1271" spans="8:8" x14ac:dyDescent="0.2">
      <c r="H1271">
        <v>0</v>
      </c>
    </row>
    <row r="1272" spans="8:8" x14ac:dyDescent="0.2">
      <c r="H1272">
        <v>0</v>
      </c>
    </row>
    <row r="1273" spans="8:8" x14ac:dyDescent="0.2">
      <c r="H1273">
        <v>0</v>
      </c>
    </row>
    <row r="1274" spans="8:8" x14ac:dyDescent="0.2">
      <c r="H1274">
        <v>0</v>
      </c>
    </row>
    <row r="1275" spans="8:8" x14ac:dyDescent="0.2">
      <c r="H1275">
        <v>0</v>
      </c>
    </row>
    <row r="1276" spans="8:8" x14ac:dyDescent="0.2">
      <c r="H1276">
        <v>0</v>
      </c>
    </row>
    <row r="1277" spans="8:8" x14ac:dyDescent="0.2">
      <c r="H1277">
        <v>0</v>
      </c>
    </row>
    <row r="1278" spans="8:8" x14ac:dyDescent="0.2">
      <c r="H1278">
        <v>0</v>
      </c>
    </row>
    <row r="1279" spans="8:8" x14ac:dyDescent="0.2">
      <c r="H1279">
        <v>0</v>
      </c>
    </row>
    <row r="1280" spans="8:8" x14ac:dyDescent="0.2">
      <c r="H1280">
        <v>0</v>
      </c>
    </row>
    <row r="1281" spans="8:8" x14ac:dyDescent="0.2">
      <c r="H1281">
        <v>0</v>
      </c>
    </row>
    <row r="1282" spans="8:8" x14ac:dyDescent="0.2">
      <c r="H1282">
        <v>0</v>
      </c>
    </row>
    <row r="1283" spans="8:8" x14ac:dyDescent="0.2">
      <c r="H1283">
        <v>0</v>
      </c>
    </row>
    <row r="1284" spans="8:8" x14ac:dyDescent="0.2">
      <c r="H1284">
        <v>0</v>
      </c>
    </row>
    <row r="1285" spans="8:8" x14ac:dyDescent="0.2">
      <c r="H1285">
        <v>0</v>
      </c>
    </row>
    <row r="1286" spans="8:8" x14ac:dyDescent="0.2">
      <c r="H1286">
        <v>0</v>
      </c>
    </row>
    <row r="1287" spans="8:8" x14ac:dyDescent="0.2">
      <c r="H1287">
        <v>0</v>
      </c>
    </row>
    <row r="1288" spans="8:8" x14ac:dyDescent="0.2">
      <c r="H1288">
        <v>0</v>
      </c>
    </row>
    <row r="1289" spans="8:8" x14ac:dyDescent="0.2">
      <c r="H1289">
        <v>0</v>
      </c>
    </row>
    <row r="1290" spans="8:8" x14ac:dyDescent="0.2">
      <c r="H1290">
        <v>0</v>
      </c>
    </row>
    <row r="1291" spans="8:8" x14ac:dyDescent="0.2">
      <c r="H1291">
        <v>0</v>
      </c>
    </row>
    <row r="1292" spans="8:8" x14ac:dyDescent="0.2">
      <c r="H1292">
        <v>0</v>
      </c>
    </row>
    <row r="1293" spans="8:8" x14ac:dyDescent="0.2">
      <c r="H1293">
        <v>0</v>
      </c>
    </row>
    <row r="1294" spans="8:8" x14ac:dyDescent="0.2">
      <c r="H1294">
        <v>0</v>
      </c>
    </row>
    <row r="1295" spans="8:8" x14ac:dyDescent="0.2">
      <c r="H1295">
        <v>0</v>
      </c>
    </row>
    <row r="1296" spans="8:8" x14ac:dyDescent="0.2">
      <c r="H1296">
        <v>0</v>
      </c>
    </row>
    <row r="1297" spans="8:8" x14ac:dyDescent="0.2">
      <c r="H1297">
        <v>0</v>
      </c>
    </row>
    <row r="1298" spans="8:8" x14ac:dyDescent="0.2">
      <c r="H1298">
        <v>0</v>
      </c>
    </row>
    <row r="1299" spans="8:8" x14ac:dyDescent="0.2">
      <c r="H1299">
        <v>0</v>
      </c>
    </row>
    <row r="1300" spans="8:8" x14ac:dyDescent="0.2">
      <c r="H1300">
        <v>0</v>
      </c>
    </row>
    <row r="1301" spans="8:8" x14ac:dyDescent="0.2">
      <c r="H1301">
        <v>0</v>
      </c>
    </row>
    <row r="1302" spans="8:8" x14ac:dyDescent="0.2">
      <c r="H1302">
        <v>0</v>
      </c>
    </row>
    <row r="1303" spans="8:8" x14ac:dyDescent="0.2">
      <c r="H1303">
        <v>0</v>
      </c>
    </row>
    <row r="1304" spans="8:8" x14ac:dyDescent="0.2">
      <c r="H1304">
        <v>0</v>
      </c>
    </row>
    <row r="1305" spans="8:8" x14ac:dyDescent="0.2">
      <c r="H1305">
        <v>0</v>
      </c>
    </row>
    <row r="1306" spans="8:8" x14ac:dyDescent="0.2">
      <c r="H1306">
        <v>0</v>
      </c>
    </row>
    <row r="1307" spans="8:8" x14ac:dyDescent="0.2">
      <c r="H1307">
        <v>0</v>
      </c>
    </row>
    <row r="1308" spans="8:8" x14ac:dyDescent="0.2">
      <c r="H1308">
        <v>0</v>
      </c>
    </row>
    <row r="1309" spans="8:8" x14ac:dyDescent="0.2">
      <c r="H1309">
        <v>0</v>
      </c>
    </row>
    <row r="1310" spans="8:8" x14ac:dyDescent="0.2">
      <c r="H1310">
        <v>0</v>
      </c>
    </row>
    <row r="1311" spans="8:8" x14ac:dyDescent="0.2">
      <c r="H1311">
        <v>0</v>
      </c>
    </row>
    <row r="1312" spans="8:8" x14ac:dyDescent="0.2">
      <c r="H1312">
        <v>0</v>
      </c>
    </row>
    <row r="1313" spans="8:8" x14ac:dyDescent="0.2">
      <c r="H1313">
        <v>0</v>
      </c>
    </row>
    <row r="1314" spans="8:8" x14ac:dyDescent="0.2">
      <c r="H1314">
        <v>0</v>
      </c>
    </row>
    <row r="1315" spans="8:8" x14ac:dyDescent="0.2">
      <c r="H1315">
        <v>0</v>
      </c>
    </row>
    <row r="1316" spans="8:8" x14ac:dyDescent="0.2">
      <c r="H1316">
        <v>0</v>
      </c>
    </row>
    <row r="1317" spans="8:8" x14ac:dyDescent="0.2">
      <c r="H1317">
        <v>0</v>
      </c>
    </row>
    <row r="1318" spans="8:8" x14ac:dyDescent="0.2">
      <c r="H1318">
        <v>0</v>
      </c>
    </row>
    <row r="1319" spans="8:8" x14ac:dyDescent="0.2">
      <c r="H1319">
        <v>0</v>
      </c>
    </row>
    <row r="1320" spans="8:8" x14ac:dyDescent="0.2">
      <c r="H1320">
        <v>0</v>
      </c>
    </row>
    <row r="1321" spans="8:8" x14ac:dyDescent="0.2">
      <c r="H1321">
        <v>0</v>
      </c>
    </row>
    <row r="1322" spans="8:8" x14ac:dyDescent="0.2">
      <c r="H1322">
        <v>0</v>
      </c>
    </row>
    <row r="1323" spans="8:8" x14ac:dyDescent="0.2">
      <c r="H1323">
        <v>0</v>
      </c>
    </row>
    <row r="1324" spans="8:8" x14ac:dyDescent="0.2">
      <c r="H1324">
        <v>0</v>
      </c>
    </row>
    <row r="1325" spans="8:8" x14ac:dyDescent="0.2">
      <c r="H1325">
        <v>0</v>
      </c>
    </row>
    <row r="1326" spans="8:8" x14ac:dyDescent="0.2">
      <c r="H1326">
        <v>0</v>
      </c>
    </row>
    <row r="1327" spans="8:8" x14ac:dyDescent="0.2">
      <c r="H1327">
        <v>0</v>
      </c>
    </row>
    <row r="1328" spans="8:8" x14ac:dyDescent="0.2">
      <c r="H1328">
        <v>0</v>
      </c>
    </row>
    <row r="1329" spans="8:8" x14ac:dyDescent="0.2">
      <c r="H1329">
        <v>0</v>
      </c>
    </row>
    <row r="1330" spans="8:8" x14ac:dyDescent="0.2">
      <c r="H1330">
        <v>0</v>
      </c>
    </row>
    <row r="1331" spans="8:8" x14ac:dyDescent="0.2">
      <c r="H1331">
        <v>0</v>
      </c>
    </row>
    <row r="1332" spans="8:8" x14ac:dyDescent="0.2">
      <c r="H1332">
        <v>0</v>
      </c>
    </row>
    <row r="1333" spans="8:8" x14ac:dyDescent="0.2">
      <c r="H1333">
        <v>0</v>
      </c>
    </row>
    <row r="1334" spans="8:8" x14ac:dyDescent="0.2">
      <c r="H1334">
        <v>0</v>
      </c>
    </row>
    <row r="1335" spans="8:8" x14ac:dyDescent="0.2">
      <c r="H1335">
        <v>0</v>
      </c>
    </row>
    <row r="1336" spans="8:8" x14ac:dyDescent="0.2">
      <c r="H1336">
        <v>0</v>
      </c>
    </row>
    <row r="1337" spans="8:8" x14ac:dyDescent="0.2">
      <c r="H1337">
        <v>0</v>
      </c>
    </row>
    <row r="1338" spans="8:8" x14ac:dyDescent="0.2">
      <c r="H1338">
        <v>0</v>
      </c>
    </row>
    <row r="1339" spans="8:8" x14ac:dyDescent="0.2">
      <c r="H1339">
        <v>0</v>
      </c>
    </row>
    <row r="1340" spans="8:8" x14ac:dyDescent="0.2">
      <c r="H1340">
        <v>0</v>
      </c>
    </row>
    <row r="1341" spans="8:8" x14ac:dyDescent="0.2">
      <c r="H1341">
        <v>0</v>
      </c>
    </row>
    <row r="1342" spans="8:8" x14ac:dyDescent="0.2">
      <c r="H1342">
        <v>0</v>
      </c>
    </row>
    <row r="1343" spans="8:8" x14ac:dyDescent="0.2">
      <c r="H1343">
        <v>0</v>
      </c>
    </row>
    <row r="1344" spans="8:8" x14ac:dyDescent="0.2">
      <c r="H1344">
        <v>0</v>
      </c>
    </row>
    <row r="1345" spans="8:8" x14ac:dyDescent="0.2">
      <c r="H1345">
        <v>0</v>
      </c>
    </row>
    <row r="1346" spans="8:8" x14ac:dyDescent="0.2">
      <c r="H1346">
        <v>0</v>
      </c>
    </row>
    <row r="1347" spans="8:8" x14ac:dyDescent="0.2">
      <c r="H1347">
        <v>0</v>
      </c>
    </row>
    <row r="1348" spans="8:8" x14ac:dyDescent="0.2">
      <c r="H1348">
        <v>0</v>
      </c>
    </row>
    <row r="1349" spans="8:8" x14ac:dyDescent="0.2">
      <c r="H1349">
        <v>0</v>
      </c>
    </row>
    <row r="1350" spans="8:8" x14ac:dyDescent="0.2">
      <c r="H1350">
        <v>0</v>
      </c>
    </row>
    <row r="1351" spans="8:8" x14ac:dyDescent="0.2">
      <c r="H1351">
        <v>0</v>
      </c>
    </row>
    <row r="1352" spans="8:8" x14ac:dyDescent="0.2">
      <c r="H1352">
        <v>0</v>
      </c>
    </row>
    <row r="1353" spans="8:8" x14ac:dyDescent="0.2">
      <c r="H1353">
        <v>0</v>
      </c>
    </row>
    <row r="1354" spans="8:8" x14ac:dyDescent="0.2">
      <c r="H1354">
        <v>0</v>
      </c>
    </row>
    <row r="1355" spans="8:8" x14ac:dyDescent="0.2">
      <c r="H1355">
        <v>0</v>
      </c>
    </row>
    <row r="1356" spans="8:8" x14ac:dyDescent="0.2">
      <c r="H1356">
        <v>0</v>
      </c>
    </row>
    <row r="1357" spans="8:8" x14ac:dyDescent="0.2">
      <c r="H1357">
        <v>0</v>
      </c>
    </row>
    <row r="1358" spans="8:8" x14ac:dyDescent="0.2">
      <c r="H1358">
        <v>0</v>
      </c>
    </row>
    <row r="1359" spans="8:8" x14ac:dyDescent="0.2">
      <c r="H1359">
        <v>0</v>
      </c>
    </row>
    <row r="1360" spans="8:8" x14ac:dyDescent="0.2">
      <c r="H1360">
        <v>0</v>
      </c>
    </row>
    <row r="1361" spans="8:8" x14ac:dyDescent="0.2">
      <c r="H1361">
        <v>0</v>
      </c>
    </row>
    <row r="1362" spans="8:8" x14ac:dyDescent="0.2">
      <c r="H1362">
        <v>0</v>
      </c>
    </row>
    <row r="1363" spans="8:8" x14ac:dyDescent="0.2">
      <c r="H1363">
        <v>0</v>
      </c>
    </row>
    <row r="1364" spans="8:8" x14ac:dyDescent="0.2">
      <c r="H1364">
        <v>0</v>
      </c>
    </row>
    <row r="1365" spans="8:8" x14ac:dyDescent="0.2">
      <c r="H1365">
        <v>0</v>
      </c>
    </row>
    <row r="1366" spans="8:8" x14ac:dyDescent="0.2">
      <c r="H1366">
        <v>0</v>
      </c>
    </row>
    <row r="1367" spans="8:8" x14ac:dyDescent="0.2">
      <c r="H1367">
        <v>0</v>
      </c>
    </row>
    <row r="1368" spans="8:8" x14ac:dyDescent="0.2">
      <c r="H1368">
        <v>0</v>
      </c>
    </row>
    <row r="1369" spans="8:8" x14ac:dyDescent="0.2">
      <c r="H1369">
        <v>0</v>
      </c>
    </row>
    <row r="1370" spans="8:8" x14ac:dyDescent="0.2">
      <c r="H1370">
        <v>0</v>
      </c>
    </row>
    <row r="1371" spans="8:8" x14ac:dyDescent="0.2">
      <c r="H1371">
        <v>0</v>
      </c>
    </row>
    <row r="1372" spans="8:8" x14ac:dyDescent="0.2">
      <c r="H1372">
        <v>0</v>
      </c>
    </row>
    <row r="1373" spans="8:8" x14ac:dyDescent="0.2">
      <c r="H1373">
        <v>0</v>
      </c>
    </row>
    <row r="1374" spans="8:8" x14ac:dyDescent="0.2">
      <c r="H1374">
        <v>0</v>
      </c>
    </row>
    <row r="1375" spans="8:8" x14ac:dyDescent="0.2">
      <c r="H1375">
        <v>0</v>
      </c>
    </row>
    <row r="1376" spans="8:8" x14ac:dyDescent="0.2">
      <c r="H1376">
        <v>0</v>
      </c>
    </row>
    <row r="1377" spans="8:8" x14ac:dyDescent="0.2">
      <c r="H1377">
        <v>0</v>
      </c>
    </row>
    <row r="1378" spans="8:8" x14ac:dyDescent="0.2">
      <c r="H1378">
        <v>0</v>
      </c>
    </row>
    <row r="1379" spans="8:8" x14ac:dyDescent="0.2">
      <c r="H1379">
        <v>0</v>
      </c>
    </row>
    <row r="1380" spans="8:8" x14ac:dyDescent="0.2">
      <c r="H1380">
        <v>0</v>
      </c>
    </row>
    <row r="1381" spans="8:8" x14ac:dyDescent="0.2">
      <c r="H1381">
        <v>0</v>
      </c>
    </row>
    <row r="1382" spans="8:8" x14ac:dyDescent="0.2">
      <c r="H1382">
        <v>0</v>
      </c>
    </row>
    <row r="1383" spans="8:8" x14ac:dyDescent="0.2">
      <c r="H1383">
        <v>0</v>
      </c>
    </row>
    <row r="1384" spans="8:8" x14ac:dyDescent="0.2">
      <c r="H1384">
        <v>0</v>
      </c>
    </row>
    <row r="1385" spans="8:8" x14ac:dyDescent="0.2">
      <c r="H1385">
        <v>0</v>
      </c>
    </row>
    <row r="1386" spans="8:8" x14ac:dyDescent="0.2">
      <c r="H1386">
        <v>0</v>
      </c>
    </row>
    <row r="1387" spans="8:8" x14ac:dyDescent="0.2">
      <c r="H1387">
        <v>0</v>
      </c>
    </row>
    <row r="1388" spans="8:8" x14ac:dyDescent="0.2">
      <c r="H1388">
        <v>0</v>
      </c>
    </row>
    <row r="1389" spans="8:8" x14ac:dyDescent="0.2">
      <c r="H1389">
        <v>0</v>
      </c>
    </row>
    <row r="1390" spans="8:8" x14ac:dyDescent="0.2">
      <c r="H1390">
        <v>0</v>
      </c>
    </row>
    <row r="1391" spans="8:8" x14ac:dyDescent="0.2">
      <c r="H1391">
        <v>0</v>
      </c>
    </row>
    <row r="1392" spans="8:8" x14ac:dyDescent="0.2">
      <c r="H1392">
        <v>0</v>
      </c>
    </row>
    <row r="1393" spans="8:8" x14ac:dyDescent="0.2">
      <c r="H1393">
        <v>0</v>
      </c>
    </row>
    <row r="1394" spans="8:8" x14ac:dyDescent="0.2">
      <c r="H1394">
        <v>0</v>
      </c>
    </row>
    <row r="1395" spans="8:8" x14ac:dyDescent="0.2">
      <c r="H1395">
        <v>0</v>
      </c>
    </row>
    <row r="1396" spans="8:8" x14ac:dyDescent="0.2">
      <c r="H1396">
        <v>0</v>
      </c>
    </row>
    <row r="1397" spans="8:8" x14ac:dyDescent="0.2">
      <c r="H1397">
        <v>0</v>
      </c>
    </row>
    <row r="1398" spans="8:8" x14ac:dyDescent="0.2">
      <c r="H1398">
        <v>0</v>
      </c>
    </row>
    <row r="1399" spans="8:8" x14ac:dyDescent="0.2">
      <c r="H1399">
        <v>0</v>
      </c>
    </row>
    <row r="1400" spans="8:8" x14ac:dyDescent="0.2">
      <c r="H1400">
        <v>0</v>
      </c>
    </row>
    <row r="1401" spans="8:8" x14ac:dyDescent="0.2">
      <c r="H1401">
        <v>0</v>
      </c>
    </row>
    <row r="1402" spans="8:8" x14ac:dyDescent="0.2">
      <c r="H1402">
        <v>0</v>
      </c>
    </row>
    <row r="1403" spans="8:8" x14ac:dyDescent="0.2">
      <c r="H1403">
        <v>0</v>
      </c>
    </row>
    <row r="1404" spans="8:8" x14ac:dyDescent="0.2">
      <c r="H1404">
        <v>0</v>
      </c>
    </row>
    <row r="1405" spans="8:8" x14ac:dyDescent="0.2">
      <c r="H1405">
        <v>0</v>
      </c>
    </row>
    <row r="1406" spans="8:8" x14ac:dyDescent="0.2">
      <c r="H1406">
        <v>0</v>
      </c>
    </row>
    <row r="1407" spans="8:8" x14ac:dyDescent="0.2">
      <c r="H1407">
        <v>0</v>
      </c>
    </row>
    <row r="1408" spans="8:8" x14ac:dyDescent="0.2">
      <c r="H1408">
        <v>0</v>
      </c>
    </row>
    <row r="1409" spans="8:8" x14ac:dyDescent="0.2">
      <c r="H1409">
        <v>0</v>
      </c>
    </row>
    <row r="1410" spans="8:8" x14ac:dyDescent="0.2">
      <c r="H1410">
        <v>0</v>
      </c>
    </row>
    <row r="1411" spans="8:8" x14ac:dyDescent="0.2">
      <c r="H1411">
        <v>0</v>
      </c>
    </row>
    <row r="1412" spans="8:8" x14ac:dyDescent="0.2">
      <c r="H1412">
        <v>0</v>
      </c>
    </row>
    <row r="1413" spans="8:8" x14ac:dyDescent="0.2">
      <c r="H1413">
        <v>0</v>
      </c>
    </row>
    <row r="1414" spans="8:8" x14ac:dyDescent="0.2">
      <c r="H1414">
        <v>0</v>
      </c>
    </row>
    <row r="1415" spans="8:8" x14ac:dyDescent="0.2">
      <c r="H1415">
        <v>0</v>
      </c>
    </row>
    <row r="1416" spans="8:8" x14ac:dyDescent="0.2">
      <c r="H1416">
        <v>0</v>
      </c>
    </row>
    <row r="1417" spans="8:8" x14ac:dyDescent="0.2">
      <c r="H1417">
        <v>0</v>
      </c>
    </row>
    <row r="1418" spans="8:8" x14ac:dyDescent="0.2">
      <c r="H1418">
        <v>0</v>
      </c>
    </row>
    <row r="1419" spans="8:8" x14ac:dyDescent="0.2">
      <c r="H1419">
        <v>0</v>
      </c>
    </row>
    <row r="1420" spans="8:8" x14ac:dyDescent="0.2">
      <c r="H1420">
        <v>0</v>
      </c>
    </row>
    <row r="1421" spans="8:8" x14ac:dyDescent="0.2">
      <c r="H1421">
        <v>0</v>
      </c>
    </row>
    <row r="1422" spans="8:8" x14ac:dyDescent="0.2">
      <c r="H1422">
        <v>0</v>
      </c>
    </row>
    <row r="1423" spans="8:8" x14ac:dyDescent="0.2">
      <c r="H1423">
        <v>0</v>
      </c>
    </row>
    <row r="1424" spans="8:8" x14ac:dyDescent="0.2">
      <c r="H1424">
        <v>0</v>
      </c>
    </row>
    <row r="1425" spans="8:8" x14ac:dyDescent="0.2">
      <c r="H1425">
        <v>0</v>
      </c>
    </row>
    <row r="1426" spans="8:8" x14ac:dyDescent="0.2">
      <c r="H1426">
        <v>0</v>
      </c>
    </row>
    <row r="1427" spans="8:8" x14ac:dyDescent="0.2">
      <c r="H1427">
        <v>0</v>
      </c>
    </row>
    <row r="1428" spans="8:8" x14ac:dyDescent="0.2">
      <c r="H1428">
        <v>0</v>
      </c>
    </row>
    <row r="1429" spans="8:8" x14ac:dyDescent="0.2">
      <c r="H1429">
        <v>0</v>
      </c>
    </row>
    <row r="1430" spans="8:8" x14ac:dyDescent="0.2">
      <c r="H1430">
        <v>0</v>
      </c>
    </row>
    <row r="1431" spans="8:8" x14ac:dyDescent="0.2">
      <c r="H1431">
        <v>0</v>
      </c>
    </row>
    <row r="1432" spans="8:8" x14ac:dyDescent="0.2">
      <c r="H1432">
        <v>0</v>
      </c>
    </row>
    <row r="1433" spans="8:8" x14ac:dyDescent="0.2">
      <c r="H1433">
        <v>0</v>
      </c>
    </row>
    <row r="1434" spans="8:8" x14ac:dyDescent="0.2">
      <c r="H1434">
        <v>0</v>
      </c>
    </row>
    <row r="1435" spans="8:8" x14ac:dyDescent="0.2">
      <c r="H1435">
        <v>0</v>
      </c>
    </row>
    <row r="1436" spans="8:8" x14ac:dyDescent="0.2">
      <c r="H1436">
        <v>0</v>
      </c>
    </row>
    <row r="1437" spans="8:8" x14ac:dyDescent="0.2">
      <c r="H1437">
        <v>0</v>
      </c>
    </row>
    <row r="1438" spans="8:8" x14ac:dyDescent="0.2">
      <c r="H1438">
        <v>0</v>
      </c>
    </row>
    <row r="1439" spans="8:8" x14ac:dyDescent="0.2">
      <c r="H1439">
        <v>0</v>
      </c>
    </row>
    <row r="1440" spans="8:8" x14ac:dyDescent="0.2">
      <c r="H1440">
        <v>0</v>
      </c>
    </row>
    <row r="1441" spans="8:8" x14ac:dyDescent="0.2">
      <c r="H1441">
        <v>0</v>
      </c>
    </row>
    <row r="1442" spans="8:8" x14ac:dyDescent="0.2">
      <c r="H1442">
        <v>0</v>
      </c>
    </row>
    <row r="1443" spans="8:8" x14ac:dyDescent="0.2">
      <c r="H1443">
        <v>0</v>
      </c>
    </row>
    <row r="1444" spans="8:8" x14ac:dyDescent="0.2">
      <c r="H1444">
        <v>0</v>
      </c>
    </row>
    <row r="1445" spans="8:8" x14ac:dyDescent="0.2">
      <c r="H1445">
        <v>0</v>
      </c>
    </row>
    <row r="1446" spans="8:8" x14ac:dyDescent="0.2">
      <c r="H1446">
        <v>0</v>
      </c>
    </row>
    <row r="1447" spans="8:8" x14ac:dyDescent="0.2">
      <c r="H1447">
        <v>0</v>
      </c>
    </row>
    <row r="1448" spans="8:8" x14ac:dyDescent="0.2">
      <c r="H1448">
        <v>0</v>
      </c>
    </row>
    <row r="1449" spans="8:8" x14ac:dyDescent="0.2">
      <c r="H1449">
        <v>0</v>
      </c>
    </row>
    <row r="1450" spans="8:8" x14ac:dyDescent="0.2">
      <c r="H1450">
        <v>0</v>
      </c>
    </row>
    <row r="1451" spans="8:8" x14ac:dyDescent="0.2">
      <c r="H1451">
        <v>0</v>
      </c>
    </row>
    <row r="1452" spans="8:8" x14ac:dyDescent="0.2">
      <c r="H1452">
        <v>0</v>
      </c>
    </row>
    <row r="1453" spans="8:8" x14ac:dyDescent="0.2">
      <c r="H1453">
        <v>0</v>
      </c>
    </row>
    <row r="1454" spans="8:8" x14ac:dyDescent="0.2">
      <c r="H1454">
        <v>0</v>
      </c>
    </row>
    <row r="1455" spans="8:8" x14ac:dyDescent="0.2">
      <c r="H1455">
        <v>0</v>
      </c>
    </row>
    <row r="1456" spans="8:8" x14ac:dyDescent="0.2">
      <c r="H1456">
        <v>0</v>
      </c>
    </row>
    <row r="1457" spans="8:8" x14ac:dyDescent="0.2">
      <c r="H1457">
        <v>0</v>
      </c>
    </row>
    <row r="1458" spans="8:8" x14ac:dyDescent="0.2">
      <c r="H1458">
        <v>0</v>
      </c>
    </row>
    <row r="1459" spans="8:8" x14ac:dyDescent="0.2">
      <c r="H1459">
        <v>0</v>
      </c>
    </row>
    <row r="1460" spans="8:8" x14ac:dyDescent="0.2">
      <c r="H1460">
        <v>0</v>
      </c>
    </row>
    <row r="1461" spans="8:8" x14ac:dyDescent="0.2">
      <c r="H1461">
        <v>0</v>
      </c>
    </row>
    <row r="1462" spans="8:8" x14ac:dyDescent="0.2">
      <c r="H1462">
        <v>0</v>
      </c>
    </row>
    <row r="1463" spans="8:8" x14ac:dyDescent="0.2">
      <c r="H1463">
        <v>0</v>
      </c>
    </row>
    <row r="1464" spans="8:8" x14ac:dyDescent="0.2">
      <c r="H1464">
        <v>0</v>
      </c>
    </row>
    <row r="1465" spans="8:8" x14ac:dyDescent="0.2">
      <c r="H1465">
        <v>0</v>
      </c>
    </row>
    <row r="1466" spans="8:8" x14ac:dyDescent="0.2">
      <c r="H1466">
        <v>0</v>
      </c>
    </row>
    <row r="1467" spans="8:8" x14ac:dyDescent="0.2">
      <c r="H1467">
        <v>0</v>
      </c>
    </row>
    <row r="1468" spans="8:8" x14ac:dyDescent="0.2">
      <c r="H1468">
        <v>0</v>
      </c>
    </row>
    <row r="1469" spans="8:8" x14ac:dyDescent="0.2">
      <c r="H1469">
        <v>0</v>
      </c>
    </row>
    <row r="1470" spans="8:8" x14ac:dyDescent="0.2">
      <c r="H1470">
        <v>0</v>
      </c>
    </row>
    <row r="1471" spans="8:8" x14ac:dyDescent="0.2">
      <c r="H1471">
        <v>0</v>
      </c>
    </row>
    <row r="1472" spans="8:8" x14ac:dyDescent="0.2">
      <c r="H1472">
        <v>0</v>
      </c>
    </row>
    <row r="1473" spans="8:8" x14ac:dyDescent="0.2">
      <c r="H1473">
        <v>0</v>
      </c>
    </row>
    <row r="1474" spans="8:8" x14ac:dyDescent="0.2">
      <c r="H1474">
        <v>0</v>
      </c>
    </row>
    <row r="1475" spans="8:8" x14ac:dyDescent="0.2">
      <c r="H1475">
        <v>0</v>
      </c>
    </row>
    <row r="1476" spans="8:8" x14ac:dyDescent="0.2">
      <c r="H1476">
        <v>0</v>
      </c>
    </row>
    <row r="1477" spans="8:8" x14ac:dyDescent="0.2">
      <c r="H1477">
        <v>0</v>
      </c>
    </row>
    <row r="1478" spans="8:8" x14ac:dyDescent="0.2">
      <c r="H1478">
        <v>0</v>
      </c>
    </row>
    <row r="1479" spans="8:8" x14ac:dyDescent="0.2">
      <c r="H1479">
        <v>0</v>
      </c>
    </row>
    <row r="1480" spans="8:8" x14ac:dyDescent="0.2">
      <c r="H1480">
        <v>0</v>
      </c>
    </row>
    <row r="1481" spans="8:8" x14ac:dyDescent="0.2">
      <c r="H1481">
        <v>0</v>
      </c>
    </row>
    <row r="1482" spans="8:8" x14ac:dyDescent="0.2">
      <c r="H1482">
        <v>0</v>
      </c>
    </row>
    <row r="1483" spans="8:8" x14ac:dyDescent="0.2">
      <c r="H1483">
        <v>0</v>
      </c>
    </row>
    <row r="1484" spans="8:8" x14ac:dyDescent="0.2">
      <c r="H1484">
        <v>0</v>
      </c>
    </row>
    <row r="1485" spans="8:8" x14ac:dyDescent="0.2">
      <c r="H1485">
        <v>0</v>
      </c>
    </row>
    <row r="1486" spans="8:8" x14ac:dyDescent="0.2">
      <c r="H1486">
        <v>0</v>
      </c>
    </row>
    <row r="1487" spans="8:8" x14ac:dyDescent="0.2">
      <c r="H1487">
        <v>0</v>
      </c>
    </row>
    <row r="1488" spans="8:8" x14ac:dyDescent="0.2">
      <c r="H1488">
        <v>0</v>
      </c>
    </row>
    <row r="1489" spans="8:8" x14ac:dyDescent="0.2">
      <c r="H1489">
        <v>0</v>
      </c>
    </row>
    <row r="1490" spans="8:8" x14ac:dyDescent="0.2">
      <c r="H1490">
        <v>0</v>
      </c>
    </row>
    <row r="1491" spans="8:8" x14ac:dyDescent="0.2">
      <c r="H1491">
        <v>0</v>
      </c>
    </row>
    <row r="1492" spans="8:8" x14ac:dyDescent="0.2">
      <c r="H1492">
        <v>0</v>
      </c>
    </row>
    <row r="1493" spans="8:8" x14ac:dyDescent="0.2">
      <c r="H1493">
        <v>0</v>
      </c>
    </row>
    <row r="1494" spans="8:8" x14ac:dyDescent="0.2">
      <c r="H1494">
        <v>0</v>
      </c>
    </row>
    <row r="1495" spans="8:8" x14ac:dyDescent="0.2">
      <c r="H1495">
        <v>0</v>
      </c>
    </row>
    <row r="1496" spans="8:8" x14ac:dyDescent="0.2">
      <c r="H1496">
        <v>0</v>
      </c>
    </row>
    <row r="1497" spans="8:8" x14ac:dyDescent="0.2">
      <c r="H1497">
        <v>0</v>
      </c>
    </row>
    <row r="1498" spans="8:8" x14ac:dyDescent="0.2">
      <c r="H1498">
        <v>0</v>
      </c>
    </row>
    <row r="1499" spans="8:8" x14ac:dyDescent="0.2">
      <c r="H1499">
        <v>0</v>
      </c>
    </row>
    <row r="1500" spans="8:8" x14ac:dyDescent="0.2">
      <c r="H1500">
        <v>0</v>
      </c>
    </row>
    <row r="1501" spans="8:8" x14ac:dyDescent="0.2">
      <c r="H1501">
        <v>0</v>
      </c>
    </row>
    <row r="1502" spans="8:8" x14ac:dyDescent="0.2">
      <c r="H1502">
        <v>0</v>
      </c>
    </row>
    <row r="1503" spans="8:8" x14ac:dyDescent="0.2">
      <c r="H1503">
        <v>0</v>
      </c>
    </row>
    <row r="1504" spans="8:8" x14ac:dyDescent="0.2">
      <c r="H1504">
        <v>0</v>
      </c>
    </row>
    <row r="1505" spans="8:8" x14ac:dyDescent="0.2">
      <c r="H1505">
        <v>0</v>
      </c>
    </row>
    <row r="1506" spans="8:8" x14ac:dyDescent="0.2">
      <c r="H1506">
        <v>0</v>
      </c>
    </row>
    <row r="1507" spans="8:8" x14ac:dyDescent="0.2">
      <c r="H1507">
        <v>0</v>
      </c>
    </row>
    <row r="1508" spans="8:8" x14ac:dyDescent="0.2">
      <c r="H1508">
        <v>0</v>
      </c>
    </row>
    <row r="1509" spans="8:8" x14ac:dyDescent="0.2">
      <c r="H1509">
        <v>0</v>
      </c>
    </row>
    <row r="1510" spans="8:8" x14ac:dyDescent="0.2">
      <c r="H1510">
        <v>0</v>
      </c>
    </row>
    <row r="1511" spans="8:8" x14ac:dyDescent="0.2">
      <c r="H1511">
        <v>0</v>
      </c>
    </row>
    <row r="1512" spans="8:8" x14ac:dyDescent="0.2">
      <c r="H1512">
        <v>0</v>
      </c>
    </row>
    <row r="1513" spans="8:8" x14ac:dyDescent="0.2">
      <c r="H1513">
        <v>0</v>
      </c>
    </row>
    <row r="1514" spans="8:8" x14ac:dyDescent="0.2">
      <c r="H1514">
        <v>0</v>
      </c>
    </row>
    <row r="1515" spans="8:8" x14ac:dyDescent="0.2">
      <c r="H1515">
        <v>0</v>
      </c>
    </row>
    <row r="1516" spans="8:8" x14ac:dyDescent="0.2">
      <c r="H1516">
        <v>0</v>
      </c>
    </row>
    <row r="1517" spans="8:8" x14ac:dyDescent="0.2">
      <c r="H1517">
        <v>0</v>
      </c>
    </row>
    <row r="1518" spans="8:8" x14ac:dyDescent="0.2">
      <c r="H1518">
        <v>0</v>
      </c>
    </row>
    <row r="1519" spans="8:8" x14ac:dyDescent="0.2">
      <c r="H1519">
        <v>0</v>
      </c>
    </row>
    <row r="1520" spans="8:8" x14ac:dyDescent="0.2">
      <c r="H1520">
        <v>0</v>
      </c>
    </row>
    <row r="1521" spans="8:8" x14ac:dyDescent="0.2">
      <c r="H1521">
        <v>0</v>
      </c>
    </row>
    <row r="1522" spans="8:8" x14ac:dyDescent="0.2">
      <c r="H1522">
        <v>0</v>
      </c>
    </row>
    <row r="1523" spans="8:8" x14ac:dyDescent="0.2">
      <c r="H1523">
        <v>0</v>
      </c>
    </row>
    <row r="1524" spans="8:8" x14ac:dyDescent="0.2">
      <c r="H1524">
        <v>0</v>
      </c>
    </row>
    <row r="1525" spans="8:8" x14ac:dyDescent="0.2">
      <c r="H1525">
        <v>0</v>
      </c>
    </row>
    <row r="1526" spans="8:8" x14ac:dyDescent="0.2">
      <c r="H1526">
        <v>0</v>
      </c>
    </row>
    <row r="1527" spans="8:8" x14ac:dyDescent="0.2">
      <c r="H1527">
        <v>0</v>
      </c>
    </row>
    <row r="1528" spans="8:8" x14ac:dyDescent="0.2">
      <c r="H1528">
        <v>0</v>
      </c>
    </row>
    <row r="1529" spans="8:8" x14ac:dyDescent="0.2">
      <c r="H1529">
        <v>0</v>
      </c>
    </row>
    <row r="1530" spans="8:8" x14ac:dyDescent="0.2">
      <c r="H1530">
        <v>0</v>
      </c>
    </row>
    <row r="1531" spans="8:8" x14ac:dyDescent="0.2">
      <c r="H1531">
        <v>0</v>
      </c>
    </row>
    <row r="1532" spans="8:8" x14ac:dyDescent="0.2">
      <c r="H1532">
        <v>0</v>
      </c>
    </row>
    <row r="1533" spans="8:8" x14ac:dyDescent="0.2">
      <c r="H1533">
        <v>0</v>
      </c>
    </row>
    <row r="1534" spans="8:8" x14ac:dyDescent="0.2">
      <c r="H1534">
        <v>0</v>
      </c>
    </row>
    <row r="1535" spans="8:8" x14ac:dyDescent="0.2">
      <c r="H1535">
        <v>0</v>
      </c>
    </row>
    <row r="1536" spans="8:8" x14ac:dyDescent="0.2">
      <c r="H1536">
        <v>0</v>
      </c>
    </row>
    <row r="1537" spans="8:8" x14ac:dyDescent="0.2">
      <c r="H1537">
        <v>0</v>
      </c>
    </row>
    <row r="1538" spans="8:8" x14ac:dyDescent="0.2">
      <c r="H1538">
        <v>0</v>
      </c>
    </row>
    <row r="1539" spans="8:8" x14ac:dyDescent="0.2">
      <c r="H1539">
        <v>0</v>
      </c>
    </row>
    <row r="1540" spans="8:8" x14ac:dyDescent="0.2">
      <c r="H1540">
        <v>0</v>
      </c>
    </row>
    <row r="1541" spans="8:8" x14ac:dyDescent="0.2">
      <c r="H1541">
        <v>0</v>
      </c>
    </row>
    <row r="1542" spans="8:8" x14ac:dyDescent="0.2">
      <c r="H1542">
        <v>0</v>
      </c>
    </row>
    <row r="1543" spans="8:8" x14ac:dyDescent="0.2">
      <c r="H1543">
        <v>0</v>
      </c>
    </row>
    <row r="1544" spans="8:8" x14ac:dyDescent="0.2">
      <c r="H1544">
        <v>0</v>
      </c>
    </row>
    <row r="1545" spans="8:8" x14ac:dyDescent="0.2">
      <c r="H1545">
        <v>0</v>
      </c>
    </row>
    <row r="1546" spans="8:8" x14ac:dyDescent="0.2">
      <c r="H1546">
        <v>0</v>
      </c>
    </row>
    <row r="1547" spans="8:8" x14ac:dyDescent="0.2">
      <c r="H1547">
        <v>0</v>
      </c>
    </row>
    <row r="1548" spans="8:8" x14ac:dyDescent="0.2">
      <c r="H1548">
        <v>0</v>
      </c>
    </row>
    <row r="1549" spans="8:8" x14ac:dyDescent="0.2">
      <c r="H1549">
        <v>0</v>
      </c>
    </row>
    <row r="1550" spans="8:8" x14ac:dyDescent="0.2">
      <c r="H1550">
        <v>0</v>
      </c>
    </row>
    <row r="1551" spans="8:8" x14ac:dyDescent="0.2">
      <c r="H1551">
        <v>0</v>
      </c>
    </row>
    <row r="1552" spans="8:8" x14ac:dyDescent="0.2">
      <c r="H1552">
        <v>0</v>
      </c>
    </row>
    <row r="1553" spans="8:8" x14ac:dyDescent="0.2">
      <c r="H1553">
        <v>0</v>
      </c>
    </row>
    <row r="1554" spans="8:8" x14ac:dyDescent="0.2">
      <c r="H1554">
        <v>0</v>
      </c>
    </row>
    <row r="1555" spans="8:8" x14ac:dyDescent="0.2">
      <c r="H1555">
        <v>0</v>
      </c>
    </row>
    <row r="1556" spans="8:8" x14ac:dyDescent="0.2">
      <c r="H1556">
        <v>0</v>
      </c>
    </row>
    <row r="1557" spans="8:8" x14ac:dyDescent="0.2">
      <c r="H1557">
        <v>0</v>
      </c>
    </row>
    <row r="1558" spans="8:8" x14ac:dyDescent="0.2">
      <c r="H1558">
        <v>0</v>
      </c>
    </row>
    <row r="1559" spans="8:8" x14ac:dyDescent="0.2">
      <c r="H1559">
        <v>0</v>
      </c>
    </row>
    <row r="1560" spans="8:8" x14ac:dyDescent="0.2">
      <c r="H1560">
        <v>0</v>
      </c>
    </row>
    <row r="1561" spans="8:8" x14ac:dyDescent="0.2">
      <c r="H1561">
        <v>0</v>
      </c>
    </row>
    <row r="1562" spans="8:8" x14ac:dyDescent="0.2">
      <c r="H1562">
        <v>0</v>
      </c>
    </row>
    <row r="1563" spans="8:8" x14ac:dyDescent="0.2">
      <c r="H1563">
        <v>0</v>
      </c>
    </row>
    <row r="1564" spans="8:8" x14ac:dyDescent="0.2">
      <c r="H1564">
        <v>0</v>
      </c>
    </row>
    <row r="1565" spans="8:8" x14ac:dyDescent="0.2">
      <c r="H1565">
        <v>0</v>
      </c>
    </row>
    <row r="1566" spans="8:8" x14ac:dyDescent="0.2">
      <c r="H1566">
        <v>0</v>
      </c>
    </row>
    <row r="1567" spans="8:8" x14ac:dyDescent="0.2">
      <c r="H1567">
        <v>0</v>
      </c>
    </row>
    <row r="1568" spans="8:8" x14ac:dyDescent="0.2">
      <c r="H1568">
        <v>0</v>
      </c>
    </row>
    <row r="1569" spans="8:8" x14ac:dyDescent="0.2">
      <c r="H1569">
        <v>0</v>
      </c>
    </row>
    <row r="1570" spans="8:8" x14ac:dyDescent="0.2">
      <c r="H1570">
        <v>0</v>
      </c>
    </row>
    <row r="1571" spans="8:8" x14ac:dyDescent="0.2">
      <c r="H1571">
        <v>0</v>
      </c>
    </row>
    <row r="1572" spans="8:8" x14ac:dyDescent="0.2">
      <c r="H1572">
        <v>0</v>
      </c>
    </row>
    <row r="1573" spans="8:8" x14ac:dyDescent="0.2">
      <c r="H1573">
        <v>0</v>
      </c>
    </row>
    <row r="1574" spans="8:8" x14ac:dyDescent="0.2">
      <c r="H1574">
        <v>0</v>
      </c>
    </row>
    <row r="1575" spans="8:8" x14ac:dyDescent="0.2">
      <c r="H1575">
        <v>0</v>
      </c>
    </row>
    <row r="1576" spans="8:8" x14ac:dyDescent="0.2">
      <c r="H1576">
        <v>0</v>
      </c>
    </row>
    <row r="1577" spans="8:8" x14ac:dyDescent="0.2">
      <c r="H1577">
        <v>0</v>
      </c>
    </row>
    <row r="1578" spans="8:8" x14ac:dyDescent="0.2">
      <c r="H1578">
        <v>0</v>
      </c>
    </row>
    <row r="1579" spans="8:8" x14ac:dyDescent="0.2">
      <c r="H1579">
        <v>0</v>
      </c>
    </row>
    <row r="1580" spans="8:8" x14ac:dyDescent="0.2">
      <c r="H1580">
        <v>0</v>
      </c>
    </row>
    <row r="1581" spans="8:8" x14ac:dyDescent="0.2">
      <c r="H1581">
        <v>0</v>
      </c>
    </row>
    <row r="1582" spans="8:8" x14ac:dyDescent="0.2">
      <c r="H1582">
        <v>0</v>
      </c>
    </row>
    <row r="1583" spans="8:8" x14ac:dyDescent="0.2">
      <c r="H1583">
        <v>0</v>
      </c>
    </row>
    <row r="1584" spans="8:8" x14ac:dyDescent="0.2">
      <c r="H1584">
        <v>0</v>
      </c>
    </row>
    <row r="1585" spans="8:8" x14ac:dyDescent="0.2">
      <c r="H1585">
        <v>0</v>
      </c>
    </row>
    <row r="1586" spans="8:8" x14ac:dyDescent="0.2">
      <c r="H1586">
        <v>0</v>
      </c>
    </row>
    <row r="1587" spans="8:8" x14ac:dyDescent="0.2">
      <c r="H1587">
        <v>0</v>
      </c>
    </row>
    <row r="1588" spans="8:8" x14ac:dyDescent="0.2">
      <c r="H1588">
        <v>0</v>
      </c>
    </row>
    <row r="1589" spans="8:8" x14ac:dyDescent="0.2">
      <c r="H1589">
        <v>0</v>
      </c>
    </row>
    <row r="1590" spans="8:8" x14ac:dyDescent="0.2">
      <c r="H1590">
        <v>0</v>
      </c>
    </row>
    <row r="1591" spans="8:8" x14ac:dyDescent="0.2">
      <c r="H1591">
        <v>0</v>
      </c>
    </row>
    <row r="1592" spans="8:8" x14ac:dyDescent="0.2">
      <c r="H1592">
        <v>0</v>
      </c>
    </row>
    <row r="1593" spans="8:8" x14ac:dyDescent="0.2">
      <c r="H1593">
        <v>0</v>
      </c>
    </row>
    <row r="1594" spans="8:8" x14ac:dyDescent="0.2">
      <c r="H1594">
        <v>0</v>
      </c>
    </row>
    <row r="1595" spans="8:8" x14ac:dyDescent="0.2">
      <c r="H1595">
        <v>0</v>
      </c>
    </row>
    <row r="1596" spans="8:8" x14ac:dyDescent="0.2">
      <c r="H1596">
        <v>0</v>
      </c>
    </row>
    <row r="1597" spans="8:8" x14ac:dyDescent="0.2">
      <c r="H1597">
        <v>0</v>
      </c>
    </row>
    <row r="1598" spans="8:8" x14ac:dyDescent="0.2">
      <c r="H1598">
        <v>0</v>
      </c>
    </row>
    <row r="1599" spans="8:8" x14ac:dyDescent="0.2">
      <c r="H1599">
        <v>0</v>
      </c>
    </row>
    <row r="1600" spans="8:8" x14ac:dyDescent="0.2">
      <c r="H1600">
        <v>0</v>
      </c>
    </row>
    <row r="1601" spans="8:8" x14ac:dyDescent="0.2">
      <c r="H1601">
        <v>0</v>
      </c>
    </row>
    <row r="1602" spans="8:8" x14ac:dyDescent="0.2">
      <c r="H1602">
        <v>0</v>
      </c>
    </row>
    <row r="1603" spans="8:8" x14ac:dyDescent="0.2">
      <c r="H1603">
        <v>0</v>
      </c>
    </row>
    <row r="1604" spans="8:8" x14ac:dyDescent="0.2">
      <c r="H1604">
        <v>0</v>
      </c>
    </row>
    <row r="1605" spans="8:8" x14ac:dyDescent="0.2">
      <c r="H1605">
        <v>0</v>
      </c>
    </row>
    <row r="1606" spans="8:8" x14ac:dyDescent="0.2">
      <c r="H1606">
        <v>0</v>
      </c>
    </row>
    <row r="1607" spans="8:8" x14ac:dyDescent="0.2">
      <c r="H1607">
        <v>0</v>
      </c>
    </row>
    <row r="1608" spans="8:8" x14ac:dyDescent="0.2">
      <c r="H1608">
        <v>0</v>
      </c>
    </row>
    <row r="1609" spans="8:8" x14ac:dyDescent="0.2">
      <c r="H1609">
        <v>0</v>
      </c>
    </row>
    <row r="1610" spans="8:8" x14ac:dyDescent="0.2">
      <c r="H1610">
        <v>0</v>
      </c>
    </row>
    <row r="1611" spans="8:8" x14ac:dyDescent="0.2">
      <c r="H1611">
        <v>0</v>
      </c>
    </row>
    <row r="1612" spans="8:8" x14ac:dyDescent="0.2">
      <c r="H1612">
        <v>0</v>
      </c>
    </row>
    <row r="1613" spans="8:8" x14ac:dyDescent="0.2">
      <c r="H1613">
        <v>0</v>
      </c>
    </row>
    <row r="1614" spans="8:8" x14ac:dyDescent="0.2">
      <c r="H1614">
        <v>0</v>
      </c>
    </row>
    <row r="1615" spans="8:8" x14ac:dyDescent="0.2">
      <c r="H1615">
        <v>0</v>
      </c>
    </row>
    <row r="1616" spans="8:8" x14ac:dyDescent="0.2">
      <c r="H1616">
        <v>0</v>
      </c>
    </row>
    <row r="1617" spans="8:8" x14ac:dyDescent="0.2">
      <c r="H1617">
        <v>0</v>
      </c>
    </row>
    <row r="1618" spans="8:8" x14ac:dyDescent="0.2">
      <c r="H1618">
        <v>0</v>
      </c>
    </row>
    <row r="1619" spans="8:8" x14ac:dyDescent="0.2">
      <c r="H1619">
        <v>0</v>
      </c>
    </row>
    <row r="1620" spans="8:8" x14ac:dyDescent="0.2">
      <c r="H1620">
        <v>0</v>
      </c>
    </row>
    <row r="1621" spans="8:8" x14ac:dyDescent="0.2">
      <c r="H1621">
        <v>0</v>
      </c>
    </row>
    <row r="1622" spans="8:8" x14ac:dyDescent="0.2">
      <c r="H1622">
        <v>0</v>
      </c>
    </row>
    <row r="1623" spans="8:8" x14ac:dyDescent="0.2">
      <c r="H1623">
        <v>0</v>
      </c>
    </row>
    <row r="1624" spans="8:8" x14ac:dyDescent="0.2">
      <c r="H1624">
        <v>0</v>
      </c>
    </row>
    <row r="1625" spans="8:8" x14ac:dyDescent="0.2">
      <c r="H1625">
        <v>0</v>
      </c>
    </row>
    <row r="1626" spans="8:8" x14ac:dyDescent="0.2">
      <c r="H1626">
        <v>0</v>
      </c>
    </row>
    <row r="1627" spans="8:8" x14ac:dyDescent="0.2">
      <c r="H1627">
        <v>0</v>
      </c>
    </row>
    <row r="1628" spans="8:8" x14ac:dyDescent="0.2">
      <c r="H1628">
        <v>0</v>
      </c>
    </row>
    <row r="1629" spans="8:8" x14ac:dyDescent="0.2">
      <c r="H1629">
        <v>0</v>
      </c>
    </row>
    <row r="1630" spans="8:8" x14ac:dyDescent="0.2">
      <c r="H1630">
        <v>0</v>
      </c>
    </row>
    <row r="1631" spans="8:8" x14ac:dyDescent="0.2">
      <c r="H1631">
        <v>0</v>
      </c>
    </row>
    <row r="1632" spans="8:8" x14ac:dyDescent="0.2">
      <c r="H1632">
        <v>0</v>
      </c>
    </row>
    <row r="1633" spans="8:8" x14ac:dyDescent="0.2">
      <c r="H1633">
        <v>0</v>
      </c>
    </row>
    <row r="1634" spans="8:8" x14ac:dyDescent="0.2">
      <c r="H1634">
        <v>0</v>
      </c>
    </row>
    <row r="1635" spans="8:8" x14ac:dyDescent="0.2">
      <c r="H1635">
        <v>0</v>
      </c>
    </row>
    <row r="1636" spans="8:8" x14ac:dyDescent="0.2">
      <c r="H1636">
        <v>0</v>
      </c>
    </row>
    <row r="1637" spans="8:8" x14ac:dyDescent="0.2">
      <c r="H1637">
        <v>0</v>
      </c>
    </row>
    <row r="1638" spans="8:8" x14ac:dyDescent="0.2">
      <c r="H1638">
        <v>0</v>
      </c>
    </row>
    <row r="1639" spans="8:8" x14ac:dyDescent="0.2">
      <c r="H1639">
        <v>0</v>
      </c>
    </row>
    <row r="1640" spans="8:8" x14ac:dyDescent="0.2">
      <c r="H1640">
        <v>0</v>
      </c>
    </row>
    <row r="1641" spans="8:8" x14ac:dyDescent="0.2">
      <c r="H1641">
        <v>0</v>
      </c>
    </row>
    <row r="1642" spans="8:8" x14ac:dyDescent="0.2">
      <c r="H1642">
        <v>0</v>
      </c>
    </row>
    <row r="1643" spans="8:8" x14ac:dyDescent="0.2">
      <c r="H1643">
        <v>0</v>
      </c>
    </row>
    <row r="1644" spans="8:8" x14ac:dyDescent="0.2">
      <c r="H1644">
        <v>0</v>
      </c>
    </row>
    <row r="1645" spans="8:8" x14ac:dyDescent="0.2">
      <c r="H1645">
        <v>0</v>
      </c>
    </row>
    <row r="1646" spans="8:8" x14ac:dyDescent="0.2">
      <c r="H1646">
        <v>0</v>
      </c>
    </row>
    <row r="1647" spans="8:8" x14ac:dyDescent="0.2">
      <c r="H1647">
        <v>0</v>
      </c>
    </row>
    <row r="1648" spans="8:8" x14ac:dyDescent="0.2">
      <c r="H1648">
        <v>0</v>
      </c>
    </row>
    <row r="1649" spans="8:8" x14ac:dyDescent="0.2">
      <c r="H1649">
        <v>0</v>
      </c>
    </row>
    <row r="1650" spans="8:8" x14ac:dyDescent="0.2">
      <c r="H1650">
        <v>0</v>
      </c>
    </row>
    <row r="1651" spans="8:8" x14ac:dyDescent="0.2">
      <c r="H1651">
        <v>0</v>
      </c>
    </row>
    <row r="1652" spans="8:8" x14ac:dyDescent="0.2">
      <c r="H1652">
        <v>0</v>
      </c>
    </row>
    <row r="1653" spans="8:8" x14ac:dyDescent="0.2">
      <c r="H1653">
        <v>0</v>
      </c>
    </row>
    <row r="1654" spans="8:8" x14ac:dyDescent="0.2">
      <c r="H1654">
        <v>0</v>
      </c>
    </row>
    <row r="1655" spans="8:8" x14ac:dyDescent="0.2">
      <c r="H1655">
        <v>0</v>
      </c>
    </row>
    <row r="1656" spans="8:8" x14ac:dyDescent="0.2">
      <c r="H1656">
        <v>0</v>
      </c>
    </row>
    <row r="1657" spans="8:8" x14ac:dyDescent="0.2">
      <c r="H1657">
        <v>0</v>
      </c>
    </row>
    <row r="1658" spans="8:8" x14ac:dyDescent="0.2">
      <c r="H1658">
        <v>0</v>
      </c>
    </row>
    <row r="1659" spans="8:8" x14ac:dyDescent="0.2">
      <c r="H1659">
        <v>0</v>
      </c>
    </row>
    <row r="1660" spans="8:8" x14ac:dyDescent="0.2">
      <c r="H1660">
        <v>0</v>
      </c>
    </row>
    <row r="1661" spans="8:8" x14ac:dyDescent="0.2">
      <c r="H1661">
        <v>0</v>
      </c>
    </row>
    <row r="1662" spans="8:8" x14ac:dyDescent="0.2">
      <c r="H1662">
        <v>0</v>
      </c>
    </row>
    <row r="1663" spans="8:8" x14ac:dyDescent="0.2">
      <c r="H1663">
        <v>0</v>
      </c>
    </row>
    <row r="1664" spans="8:8" x14ac:dyDescent="0.2">
      <c r="H1664">
        <v>0</v>
      </c>
    </row>
    <row r="1665" spans="8:8" x14ac:dyDescent="0.2">
      <c r="H1665">
        <v>0</v>
      </c>
    </row>
    <row r="1666" spans="8:8" x14ac:dyDescent="0.2">
      <c r="H1666">
        <v>0</v>
      </c>
    </row>
    <row r="1667" spans="8:8" x14ac:dyDescent="0.2">
      <c r="H1667">
        <v>0</v>
      </c>
    </row>
    <row r="1668" spans="8:8" x14ac:dyDescent="0.2">
      <c r="H1668">
        <v>0</v>
      </c>
    </row>
    <row r="1669" spans="8:8" x14ac:dyDescent="0.2">
      <c r="H1669">
        <v>0</v>
      </c>
    </row>
    <row r="1670" spans="8:8" x14ac:dyDescent="0.2">
      <c r="H1670">
        <v>0</v>
      </c>
    </row>
    <row r="1671" spans="8:8" x14ac:dyDescent="0.2">
      <c r="H1671">
        <v>0</v>
      </c>
    </row>
    <row r="1672" spans="8:8" x14ac:dyDescent="0.2">
      <c r="H1672">
        <v>0</v>
      </c>
    </row>
    <row r="1673" spans="8:8" x14ac:dyDescent="0.2">
      <c r="H1673">
        <v>0</v>
      </c>
    </row>
    <row r="1674" spans="8:8" x14ac:dyDescent="0.2">
      <c r="H1674">
        <v>0</v>
      </c>
    </row>
    <row r="1675" spans="8:8" x14ac:dyDescent="0.2">
      <c r="H1675">
        <v>0</v>
      </c>
    </row>
    <row r="1676" spans="8:8" x14ac:dyDescent="0.2">
      <c r="H1676">
        <v>0</v>
      </c>
    </row>
    <row r="1677" spans="8:8" x14ac:dyDescent="0.2">
      <c r="H1677">
        <v>0</v>
      </c>
    </row>
    <row r="1678" spans="8:8" x14ac:dyDescent="0.2">
      <c r="H1678">
        <v>0</v>
      </c>
    </row>
    <row r="1679" spans="8:8" x14ac:dyDescent="0.2">
      <c r="H1679">
        <v>0</v>
      </c>
    </row>
    <row r="1680" spans="8:8" x14ac:dyDescent="0.2">
      <c r="H1680">
        <v>0</v>
      </c>
    </row>
    <row r="1681" spans="8:8" x14ac:dyDescent="0.2">
      <c r="H1681">
        <v>0</v>
      </c>
    </row>
    <row r="1682" spans="8:8" x14ac:dyDescent="0.2">
      <c r="H1682">
        <v>0</v>
      </c>
    </row>
    <row r="1683" spans="8:8" x14ac:dyDescent="0.2">
      <c r="H1683">
        <v>0</v>
      </c>
    </row>
    <row r="1684" spans="8:8" x14ac:dyDescent="0.2">
      <c r="H1684">
        <v>0</v>
      </c>
    </row>
    <row r="1685" spans="8:8" x14ac:dyDescent="0.2">
      <c r="H1685">
        <v>0</v>
      </c>
    </row>
    <row r="1686" spans="8:8" x14ac:dyDescent="0.2">
      <c r="H1686">
        <v>0</v>
      </c>
    </row>
    <row r="1687" spans="8:8" x14ac:dyDescent="0.2">
      <c r="H1687">
        <v>0</v>
      </c>
    </row>
    <row r="1688" spans="8:8" x14ac:dyDescent="0.2">
      <c r="H1688">
        <v>0</v>
      </c>
    </row>
    <row r="1689" spans="8:8" x14ac:dyDescent="0.2">
      <c r="H1689">
        <v>0</v>
      </c>
    </row>
    <row r="1690" spans="8:8" x14ac:dyDescent="0.2">
      <c r="H1690">
        <v>0</v>
      </c>
    </row>
    <row r="1691" spans="8:8" x14ac:dyDescent="0.2">
      <c r="H1691">
        <v>0</v>
      </c>
    </row>
    <row r="1692" spans="8:8" x14ac:dyDescent="0.2">
      <c r="H1692">
        <v>0</v>
      </c>
    </row>
    <row r="1693" spans="8:8" x14ac:dyDescent="0.2">
      <c r="H1693">
        <v>0</v>
      </c>
    </row>
    <row r="1694" spans="8:8" x14ac:dyDescent="0.2">
      <c r="H1694">
        <v>0</v>
      </c>
    </row>
    <row r="1695" spans="8:8" x14ac:dyDescent="0.2">
      <c r="H1695">
        <v>0</v>
      </c>
    </row>
    <row r="1696" spans="8:8" x14ac:dyDescent="0.2">
      <c r="H1696">
        <v>0</v>
      </c>
    </row>
    <row r="1697" spans="8:8" x14ac:dyDescent="0.2">
      <c r="H1697">
        <v>0</v>
      </c>
    </row>
    <row r="1698" spans="8:8" x14ac:dyDescent="0.2">
      <c r="H1698">
        <v>0</v>
      </c>
    </row>
    <row r="1699" spans="8:8" x14ac:dyDescent="0.2">
      <c r="H1699">
        <v>0</v>
      </c>
    </row>
    <row r="1700" spans="8:8" x14ac:dyDescent="0.2">
      <c r="H1700">
        <v>0</v>
      </c>
    </row>
    <row r="1701" spans="8:8" x14ac:dyDescent="0.2">
      <c r="H1701">
        <v>0</v>
      </c>
    </row>
    <row r="1702" spans="8:8" x14ac:dyDescent="0.2">
      <c r="H1702">
        <v>0</v>
      </c>
    </row>
    <row r="1703" spans="8:8" x14ac:dyDescent="0.2">
      <c r="H1703">
        <v>0</v>
      </c>
    </row>
    <row r="1704" spans="8:8" x14ac:dyDescent="0.2">
      <c r="H1704">
        <v>0</v>
      </c>
    </row>
    <row r="1705" spans="8:8" x14ac:dyDescent="0.2">
      <c r="H1705">
        <v>0</v>
      </c>
    </row>
    <row r="1706" spans="8:8" x14ac:dyDescent="0.2">
      <c r="H1706">
        <v>0</v>
      </c>
    </row>
    <row r="1707" spans="8:8" x14ac:dyDescent="0.2">
      <c r="H1707">
        <v>0</v>
      </c>
    </row>
    <row r="1708" spans="8:8" x14ac:dyDescent="0.2">
      <c r="H1708">
        <v>0</v>
      </c>
    </row>
    <row r="1709" spans="8:8" x14ac:dyDescent="0.2">
      <c r="H1709">
        <v>0</v>
      </c>
    </row>
    <row r="1710" spans="8:8" x14ac:dyDescent="0.2">
      <c r="H1710">
        <v>0</v>
      </c>
    </row>
    <row r="1711" spans="8:8" x14ac:dyDescent="0.2">
      <c r="H1711">
        <v>0</v>
      </c>
    </row>
    <row r="1712" spans="8:8" x14ac:dyDescent="0.2">
      <c r="H1712">
        <v>0</v>
      </c>
    </row>
    <row r="1713" spans="8:8" x14ac:dyDescent="0.2">
      <c r="H1713">
        <v>0</v>
      </c>
    </row>
    <row r="1714" spans="8:8" x14ac:dyDescent="0.2">
      <c r="H1714">
        <v>0</v>
      </c>
    </row>
    <row r="1715" spans="8:8" x14ac:dyDescent="0.2">
      <c r="H1715">
        <v>0</v>
      </c>
    </row>
    <row r="1716" spans="8:8" x14ac:dyDescent="0.2">
      <c r="H1716">
        <v>0</v>
      </c>
    </row>
    <row r="1717" spans="8:8" x14ac:dyDescent="0.2">
      <c r="H1717">
        <v>0</v>
      </c>
    </row>
    <row r="1718" spans="8:8" x14ac:dyDescent="0.2">
      <c r="H1718">
        <v>0</v>
      </c>
    </row>
    <row r="1719" spans="8:8" x14ac:dyDescent="0.2">
      <c r="H1719">
        <v>0</v>
      </c>
    </row>
    <row r="1720" spans="8:8" x14ac:dyDescent="0.2">
      <c r="H1720">
        <v>0</v>
      </c>
    </row>
    <row r="1721" spans="8:8" x14ac:dyDescent="0.2">
      <c r="H1721">
        <v>0</v>
      </c>
    </row>
    <row r="1722" spans="8:8" x14ac:dyDescent="0.2">
      <c r="H1722">
        <v>0</v>
      </c>
    </row>
    <row r="1723" spans="8:8" x14ac:dyDescent="0.2">
      <c r="H1723">
        <v>0</v>
      </c>
    </row>
    <row r="1724" spans="8:8" x14ac:dyDescent="0.2">
      <c r="H1724">
        <v>0</v>
      </c>
    </row>
    <row r="1725" spans="8:8" x14ac:dyDescent="0.2">
      <c r="H1725">
        <v>0</v>
      </c>
    </row>
    <row r="1726" spans="8:8" x14ac:dyDescent="0.2">
      <c r="H1726">
        <v>0</v>
      </c>
    </row>
    <row r="1727" spans="8:8" x14ac:dyDescent="0.2">
      <c r="H1727">
        <v>0</v>
      </c>
    </row>
    <row r="1728" spans="8:8" x14ac:dyDescent="0.2">
      <c r="H1728">
        <v>0</v>
      </c>
    </row>
    <row r="1729" spans="8:8" x14ac:dyDescent="0.2">
      <c r="H1729">
        <v>0</v>
      </c>
    </row>
    <row r="1730" spans="8:8" x14ac:dyDescent="0.2">
      <c r="H1730">
        <v>0</v>
      </c>
    </row>
    <row r="1731" spans="8:8" x14ac:dyDescent="0.2">
      <c r="H1731">
        <v>0</v>
      </c>
    </row>
    <row r="1732" spans="8:8" x14ac:dyDescent="0.2">
      <c r="H1732">
        <v>0</v>
      </c>
    </row>
    <row r="1733" spans="8:8" x14ac:dyDescent="0.2">
      <c r="H1733">
        <v>0</v>
      </c>
    </row>
    <row r="1734" spans="8:8" x14ac:dyDescent="0.2">
      <c r="H1734">
        <v>0</v>
      </c>
    </row>
    <row r="1735" spans="8:8" x14ac:dyDescent="0.2">
      <c r="H1735">
        <v>0</v>
      </c>
    </row>
    <row r="1736" spans="8:8" x14ac:dyDescent="0.2">
      <c r="H1736">
        <v>0</v>
      </c>
    </row>
    <row r="1737" spans="8:8" x14ac:dyDescent="0.2">
      <c r="H1737">
        <v>0</v>
      </c>
    </row>
    <row r="1738" spans="8:8" x14ac:dyDescent="0.2">
      <c r="H1738">
        <v>0</v>
      </c>
    </row>
    <row r="1739" spans="8:8" x14ac:dyDescent="0.2">
      <c r="H1739">
        <v>0</v>
      </c>
    </row>
    <row r="1740" spans="8:8" x14ac:dyDescent="0.2">
      <c r="H1740">
        <v>0</v>
      </c>
    </row>
    <row r="1741" spans="8:8" x14ac:dyDescent="0.2">
      <c r="H1741">
        <v>0</v>
      </c>
    </row>
    <row r="1742" spans="8:8" x14ac:dyDescent="0.2">
      <c r="H1742">
        <v>0</v>
      </c>
    </row>
    <row r="1743" spans="8:8" x14ac:dyDescent="0.2">
      <c r="H1743">
        <v>0</v>
      </c>
    </row>
    <row r="1744" spans="8:8" x14ac:dyDescent="0.2">
      <c r="H1744">
        <v>0</v>
      </c>
    </row>
    <row r="1745" spans="8:8" x14ac:dyDescent="0.2">
      <c r="H1745">
        <v>0</v>
      </c>
    </row>
    <row r="1746" spans="8:8" x14ac:dyDescent="0.2">
      <c r="H1746">
        <v>0</v>
      </c>
    </row>
    <row r="1747" spans="8:8" x14ac:dyDescent="0.2">
      <c r="H1747">
        <v>0</v>
      </c>
    </row>
    <row r="1748" spans="8:8" x14ac:dyDescent="0.2">
      <c r="H1748">
        <v>0</v>
      </c>
    </row>
    <row r="1749" spans="8:8" x14ac:dyDescent="0.2">
      <c r="H1749">
        <v>0</v>
      </c>
    </row>
    <row r="1750" spans="8:8" x14ac:dyDescent="0.2">
      <c r="H1750">
        <v>0</v>
      </c>
    </row>
    <row r="1751" spans="8:8" x14ac:dyDescent="0.2">
      <c r="H1751">
        <v>0</v>
      </c>
    </row>
    <row r="1752" spans="8:8" x14ac:dyDescent="0.2">
      <c r="H1752">
        <v>0</v>
      </c>
    </row>
    <row r="1753" spans="8:8" x14ac:dyDescent="0.2">
      <c r="H1753">
        <v>0</v>
      </c>
    </row>
    <row r="1754" spans="8:8" x14ac:dyDescent="0.2">
      <c r="H1754">
        <v>0</v>
      </c>
    </row>
    <row r="1755" spans="8:8" x14ac:dyDescent="0.2">
      <c r="H1755">
        <v>0</v>
      </c>
    </row>
    <row r="1756" spans="8:8" x14ac:dyDescent="0.2">
      <c r="H1756">
        <v>0</v>
      </c>
    </row>
    <row r="1757" spans="8:8" x14ac:dyDescent="0.2">
      <c r="H1757">
        <v>0</v>
      </c>
    </row>
    <row r="1758" spans="8:8" x14ac:dyDescent="0.2">
      <c r="H1758">
        <v>0</v>
      </c>
    </row>
    <row r="1759" spans="8:8" x14ac:dyDescent="0.2">
      <c r="H1759">
        <v>0</v>
      </c>
    </row>
    <row r="1760" spans="8:8" x14ac:dyDescent="0.2">
      <c r="H1760">
        <v>0</v>
      </c>
    </row>
    <row r="1761" spans="8:8" x14ac:dyDescent="0.2">
      <c r="H1761">
        <v>0</v>
      </c>
    </row>
    <row r="1762" spans="8:8" x14ac:dyDescent="0.2">
      <c r="H1762">
        <v>0</v>
      </c>
    </row>
    <row r="1763" spans="8:8" x14ac:dyDescent="0.2">
      <c r="H1763">
        <v>0</v>
      </c>
    </row>
    <row r="1764" spans="8:8" x14ac:dyDescent="0.2">
      <c r="H1764">
        <v>0</v>
      </c>
    </row>
    <row r="1765" spans="8:8" x14ac:dyDescent="0.2">
      <c r="H1765">
        <v>0</v>
      </c>
    </row>
    <row r="1766" spans="8:8" x14ac:dyDescent="0.2">
      <c r="H1766">
        <v>0</v>
      </c>
    </row>
    <row r="1767" spans="8:8" x14ac:dyDescent="0.2">
      <c r="H1767">
        <v>0</v>
      </c>
    </row>
    <row r="1768" spans="8:8" x14ac:dyDescent="0.2">
      <c r="H1768">
        <v>0</v>
      </c>
    </row>
    <row r="1769" spans="8:8" x14ac:dyDescent="0.2">
      <c r="H1769">
        <v>0</v>
      </c>
    </row>
    <row r="1770" spans="8:8" x14ac:dyDescent="0.2">
      <c r="H1770">
        <v>0</v>
      </c>
    </row>
    <row r="1771" spans="8:8" x14ac:dyDescent="0.2">
      <c r="H1771">
        <v>0</v>
      </c>
    </row>
    <row r="1772" spans="8:8" x14ac:dyDescent="0.2">
      <c r="H1772">
        <v>0</v>
      </c>
    </row>
    <row r="1773" spans="8:8" x14ac:dyDescent="0.2">
      <c r="H1773">
        <v>0</v>
      </c>
    </row>
    <row r="1774" spans="8:8" x14ac:dyDescent="0.2">
      <c r="H1774">
        <v>0</v>
      </c>
    </row>
    <row r="1775" spans="8:8" x14ac:dyDescent="0.2">
      <c r="H1775">
        <v>0</v>
      </c>
    </row>
    <row r="1776" spans="8:8" x14ac:dyDescent="0.2">
      <c r="H1776">
        <v>0</v>
      </c>
    </row>
    <row r="1777" spans="8:8" x14ac:dyDescent="0.2">
      <c r="H1777">
        <v>0</v>
      </c>
    </row>
    <row r="1778" spans="8:8" x14ac:dyDescent="0.2">
      <c r="H1778">
        <v>0</v>
      </c>
    </row>
    <row r="1779" spans="8:8" x14ac:dyDescent="0.2">
      <c r="H1779">
        <v>0</v>
      </c>
    </row>
    <row r="1780" spans="8:8" x14ac:dyDescent="0.2">
      <c r="H1780">
        <v>0</v>
      </c>
    </row>
    <row r="1781" spans="8:8" x14ac:dyDescent="0.2">
      <c r="H1781">
        <v>0</v>
      </c>
    </row>
    <row r="1782" spans="8:8" x14ac:dyDescent="0.2">
      <c r="H1782">
        <v>0</v>
      </c>
    </row>
    <row r="1783" spans="8:8" x14ac:dyDescent="0.2">
      <c r="H1783">
        <v>0</v>
      </c>
    </row>
    <row r="1784" spans="8:8" x14ac:dyDescent="0.2">
      <c r="H1784">
        <v>0</v>
      </c>
    </row>
    <row r="1785" spans="8:8" x14ac:dyDescent="0.2">
      <c r="H1785">
        <v>0</v>
      </c>
    </row>
    <row r="1786" spans="8:8" x14ac:dyDescent="0.2">
      <c r="H1786">
        <v>0</v>
      </c>
    </row>
    <row r="1787" spans="8:8" x14ac:dyDescent="0.2">
      <c r="H1787">
        <v>0</v>
      </c>
    </row>
    <row r="1788" spans="8:8" x14ac:dyDescent="0.2">
      <c r="H1788">
        <v>0</v>
      </c>
    </row>
    <row r="1789" spans="8:8" x14ac:dyDescent="0.2">
      <c r="H1789">
        <v>0</v>
      </c>
    </row>
    <row r="1790" spans="8:8" x14ac:dyDescent="0.2">
      <c r="H1790">
        <v>0</v>
      </c>
    </row>
    <row r="1791" spans="8:8" x14ac:dyDescent="0.2">
      <c r="H1791">
        <v>0</v>
      </c>
    </row>
    <row r="1792" spans="8:8" x14ac:dyDescent="0.2">
      <c r="H1792">
        <v>0</v>
      </c>
    </row>
    <row r="1793" spans="8:8" x14ac:dyDescent="0.2">
      <c r="H1793">
        <v>0</v>
      </c>
    </row>
    <row r="1794" spans="8:8" x14ac:dyDescent="0.2">
      <c r="H1794">
        <v>0</v>
      </c>
    </row>
    <row r="1795" spans="8:8" x14ac:dyDescent="0.2">
      <c r="H1795">
        <v>0</v>
      </c>
    </row>
    <row r="1796" spans="8:8" x14ac:dyDescent="0.2">
      <c r="H1796">
        <v>0</v>
      </c>
    </row>
    <row r="1797" spans="8:8" x14ac:dyDescent="0.2">
      <c r="H1797">
        <v>0</v>
      </c>
    </row>
    <row r="1798" spans="8:8" x14ac:dyDescent="0.2">
      <c r="H1798">
        <v>0</v>
      </c>
    </row>
    <row r="1799" spans="8:8" x14ac:dyDescent="0.2">
      <c r="H1799">
        <v>0</v>
      </c>
    </row>
    <row r="1800" spans="8:8" x14ac:dyDescent="0.2">
      <c r="H1800">
        <v>0</v>
      </c>
    </row>
    <row r="1801" spans="8:8" x14ac:dyDescent="0.2">
      <c r="H1801">
        <v>0</v>
      </c>
    </row>
    <row r="1802" spans="8:8" x14ac:dyDescent="0.2">
      <c r="H1802">
        <v>0</v>
      </c>
    </row>
    <row r="1803" spans="8:8" x14ac:dyDescent="0.2">
      <c r="H1803">
        <v>0</v>
      </c>
    </row>
    <row r="1804" spans="8:8" x14ac:dyDescent="0.2">
      <c r="H1804">
        <v>0</v>
      </c>
    </row>
    <row r="1805" spans="8:8" x14ac:dyDescent="0.2">
      <c r="H1805">
        <v>0</v>
      </c>
    </row>
    <row r="1806" spans="8:8" x14ac:dyDescent="0.2">
      <c r="H1806">
        <v>0</v>
      </c>
    </row>
    <row r="1807" spans="8:8" x14ac:dyDescent="0.2">
      <c r="H1807">
        <v>0</v>
      </c>
    </row>
    <row r="1808" spans="8:8" x14ac:dyDescent="0.2">
      <c r="H1808">
        <v>0</v>
      </c>
    </row>
    <row r="1809" spans="8:8" x14ac:dyDescent="0.2">
      <c r="H1809">
        <v>0</v>
      </c>
    </row>
    <row r="1810" spans="8:8" x14ac:dyDescent="0.2">
      <c r="H1810">
        <v>0</v>
      </c>
    </row>
    <row r="1811" spans="8:8" x14ac:dyDescent="0.2">
      <c r="H1811">
        <v>0</v>
      </c>
    </row>
    <row r="1812" spans="8:8" x14ac:dyDescent="0.2">
      <c r="H1812">
        <v>0</v>
      </c>
    </row>
    <row r="1813" spans="8:8" x14ac:dyDescent="0.2">
      <c r="H1813">
        <v>0</v>
      </c>
    </row>
    <row r="1814" spans="8:8" x14ac:dyDescent="0.2">
      <c r="H1814">
        <v>0</v>
      </c>
    </row>
    <row r="1815" spans="8:8" x14ac:dyDescent="0.2">
      <c r="H1815">
        <v>0</v>
      </c>
    </row>
    <row r="1816" spans="8:8" x14ac:dyDescent="0.2">
      <c r="H1816">
        <v>0</v>
      </c>
    </row>
    <row r="1817" spans="8:8" x14ac:dyDescent="0.2">
      <c r="H1817">
        <v>0</v>
      </c>
    </row>
    <row r="1818" spans="8:8" x14ac:dyDescent="0.2">
      <c r="H1818">
        <v>0</v>
      </c>
    </row>
    <row r="1819" spans="8:8" x14ac:dyDescent="0.2">
      <c r="H1819">
        <v>0</v>
      </c>
    </row>
    <row r="1820" spans="8:8" x14ac:dyDescent="0.2">
      <c r="H1820">
        <v>0</v>
      </c>
    </row>
    <row r="1821" spans="8:8" x14ac:dyDescent="0.2">
      <c r="H1821">
        <v>0</v>
      </c>
    </row>
    <row r="1822" spans="8:8" x14ac:dyDescent="0.2">
      <c r="H1822">
        <v>0</v>
      </c>
    </row>
    <row r="1823" spans="8:8" x14ac:dyDescent="0.2">
      <c r="H1823">
        <v>0</v>
      </c>
    </row>
    <row r="1824" spans="8:8" x14ac:dyDescent="0.2">
      <c r="H1824">
        <v>0</v>
      </c>
    </row>
    <row r="1825" spans="8:8" x14ac:dyDescent="0.2">
      <c r="H1825">
        <v>0</v>
      </c>
    </row>
    <row r="1826" spans="8:8" x14ac:dyDescent="0.2">
      <c r="H1826">
        <v>0</v>
      </c>
    </row>
    <row r="1827" spans="8:8" x14ac:dyDescent="0.2">
      <c r="H1827">
        <v>0</v>
      </c>
    </row>
    <row r="1828" spans="8:8" x14ac:dyDescent="0.2">
      <c r="H1828">
        <v>0</v>
      </c>
    </row>
    <row r="1829" spans="8:8" x14ac:dyDescent="0.2">
      <c r="H1829">
        <v>0</v>
      </c>
    </row>
    <row r="1830" spans="8:8" x14ac:dyDescent="0.2">
      <c r="H1830">
        <v>0</v>
      </c>
    </row>
    <row r="1831" spans="8:8" x14ac:dyDescent="0.2">
      <c r="H1831">
        <v>0</v>
      </c>
    </row>
    <row r="1832" spans="8:8" x14ac:dyDescent="0.2">
      <c r="H1832">
        <v>0</v>
      </c>
    </row>
    <row r="1833" spans="8:8" x14ac:dyDescent="0.2">
      <c r="H1833">
        <v>0</v>
      </c>
    </row>
    <row r="1834" spans="8:8" x14ac:dyDescent="0.2">
      <c r="H1834">
        <v>0</v>
      </c>
    </row>
    <row r="1835" spans="8:8" x14ac:dyDescent="0.2">
      <c r="H1835">
        <v>0</v>
      </c>
    </row>
    <row r="1836" spans="8:8" x14ac:dyDescent="0.2">
      <c r="H1836">
        <v>0</v>
      </c>
    </row>
    <row r="1837" spans="8:8" x14ac:dyDescent="0.2">
      <c r="H1837">
        <v>0</v>
      </c>
    </row>
    <row r="1838" spans="8:8" x14ac:dyDescent="0.2">
      <c r="H1838">
        <v>0</v>
      </c>
    </row>
    <row r="1839" spans="8:8" x14ac:dyDescent="0.2">
      <c r="H1839">
        <v>0</v>
      </c>
    </row>
    <row r="1840" spans="8:8" x14ac:dyDescent="0.2">
      <c r="H1840">
        <v>0</v>
      </c>
    </row>
    <row r="1841" spans="8:8" x14ac:dyDescent="0.2">
      <c r="H1841">
        <v>0</v>
      </c>
    </row>
    <row r="1842" spans="8:8" x14ac:dyDescent="0.2">
      <c r="H1842">
        <v>0</v>
      </c>
    </row>
    <row r="1843" spans="8:8" x14ac:dyDescent="0.2">
      <c r="H1843">
        <v>0</v>
      </c>
    </row>
    <row r="1844" spans="8:8" x14ac:dyDescent="0.2">
      <c r="H1844">
        <v>0</v>
      </c>
    </row>
    <row r="1845" spans="8:8" x14ac:dyDescent="0.2">
      <c r="H1845">
        <v>0</v>
      </c>
    </row>
    <row r="1846" spans="8:8" x14ac:dyDescent="0.2">
      <c r="H1846">
        <v>0</v>
      </c>
    </row>
    <row r="1847" spans="8:8" x14ac:dyDescent="0.2">
      <c r="H1847">
        <v>0</v>
      </c>
    </row>
    <row r="1848" spans="8:8" x14ac:dyDescent="0.2">
      <c r="H1848">
        <v>0</v>
      </c>
    </row>
    <row r="1849" spans="8:8" x14ac:dyDescent="0.2">
      <c r="H1849">
        <v>0</v>
      </c>
    </row>
    <row r="1850" spans="8:8" x14ac:dyDescent="0.2">
      <c r="H1850">
        <v>0</v>
      </c>
    </row>
    <row r="1851" spans="8:8" x14ac:dyDescent="0.2">
      <c r="H1851">
        <v>0</v>
      </c>
    </row>
    <row r="1852" spans="8:8" x14ac:dyDescent="0.2">
      <c r="H1852">
        <v>0</v>
      </c>
    </row>
    <row r="1853" spans="8:8" x14ac:dyDescent="0.2">
      <c r="H1853">
        <v>0</v>
      </c>
    </row>
    <row r="1854" spans="8:8" x14ac:dyDescent="0.2">
      <c r="H1854">
        <v>0</v>
      </c>
    </row>
    <row r="1855" spans="8:8" x14ac:dyDescent="0.2">
      <c r="H1855">
        <v>0</v>
      </c>
    </row>
    <row r="1856" spans="8:8" x14ac:dyDescent="0.2">
      <c r="H1856">
        <v>0</v>
      </c>
    </row>
    <row r="1857" spans="8:8" x14ac:dyDescent="0.2">
      <c r="H1857">
        <v>0</v>
      </c>
    </row>
    <row r="1858" spans="8:8" x14ac:dyDescent="0.2">
      <c r="H1858">
        <v>0</v>
      </c>
    </row>
    <row r="1859" spans="8:8" x14ac:dyDescent="0.2">
      <c r="H1859">
        <v>0</v>
      </c>
    </row>
    <row r="1860" spans="8:8" x14ac:dyDescent="0.2">
      <c r="H1860">
        <v>0</v>
      </c>
    </row>
    <row r="1861" spans="8:8" x14ac:dyDescent="0.2">
      <c r="H1861">
        <v>0</v>
      </c>
    </row>
    <row r="1862" spans="8:8" x14ac:dyDescent="0.2">
      <c r="H1862">
        <v>0</v>
      </c>
    </row>
    <row r="1863" spans="8:8" x14ac:dyDescent="0.2">
      <c r="H1863">
        <v>0</v>
      </c>
    </row>
    <row r="1864" spans="8:8" x14ac:dyDescent="0.2">
      <c r="H1864">
        <v>0</v>
      </c>
    </row>
    <row r="1865" spans="8:8" x14ac:dyDescent="0.2">
      <c r="H1865">
        <v>0</v>
      </c>
    </row>
    <row r="1866" spans="8:8" x14ac:dyDescent="0.2">
      <c r="H1866">
        <v>0</v>
      </c>
    </row>
    <row r="1867" spans="8:8" x14ac:dyDescent="0.2">
      <c r="H1867">
        <v>0</v>
      </c>
    </row>
    <row r="1868" spans="8:8" x14ac:dyDescent="0.2">
      <c r="H1868">
        <v>0</v>
      </c>
    </row>
    <row r="1869" spans="8:8" x14ac:dyDescent="0.2">
      <c r="H1869">
        <v>0</v>
      </c>
    </row>
    <row r="1870" spans="8:8" x14ac:dyDescent="0.2">
      <c r="H1870">
        <v>0</v>
      </c>
    </row>
    <row r="1871" spans="8:8" x14ac:dyDescent="0.2">
      <c r="H1871">
        <v>0</v>
      </c>
    </row>
    <row r="1872" spans="8:8" x14ac:dyDescent="0.2">
      <c r="H1872">
        <v>0</v>
      </c>
    </row>
    <row r="1873" spans="8:8" x14ac:dyDescent="0.2">
      <c r="H1873">
        <v>0</v>
      </c>
    </row>
    <row r="1874" spans="8:8" x14ac:dyDescent="0.2">
      <c r="H1874">
        <v>0</v>
      </c>
    </row>
    <row r="1875" spans="8:8" x14ac:dyDescent="0.2">
      <c r="H1875">
        <v>0</v>
      </c>
    </row>
    <row r="1876" spans="8:8" x14ac:dyDescent="0.2">
      <c r="H1876">
        <v>0</v>
      </c>
    </row>
    <row r="1877" spans="8:8" x14ac:dyDescent="0.2">
      <c r="H1877">
        <v>0</v>
      </c>
    </row>
    <row r="1878" spans="8:8" x14ac:dyDescent="0.2">
      <c r="H1878">
        <v>0</v>
      </c>
    </row>
    <row r="1879" spans="8:8" x14ac:dyDescent="0.2">
      <c r="H1879">
        <v>0</v>
      </c>
    </row>
    <row r="1880" spans="8:8" x14ac:dyDescent="0.2">
      <c r="H1880">
        <v>0</v>
      </c>
    </row>
    <row r="1881" spans="8:8" x14ac:dyDescent="0.2">
      <c r="H1881">
        <v>0</v>
      </c>
    </row>
    <row r="1882" spans="8:8" x14ac:dyDescent="0.2">
      <c r="H1882">
        <v>0</v>
      </c>
    </row>
    <row r="1883" spans="8:8" x14ac:dyDescent="0.2">
      <c r="H1883">
        <v>0</v>
      </c>
    </row>
    <row r="1884" spans="8:8" x14ac:dyDescent="0.2">
      <c r="H1884">
        <v>0</v>
      </c>
    </row>
    <row r="1885" spans="8:8" x14ac:dyDescent="0.2">
      <c r="H1885">
        <v>0</v>
      </c>
    </row>
    <row r="1886" spans="8:8" x14ac:dyDescent="0.2">
      <c r="H1886">
        <v>0</v>
      </c>
    </row>
    <row r="1887" spans="8:8" x14ac:dyDescent="0.2">
      <c r="H1887">
        <v>0</v>
      </c>
    </row>
    <row r="1888" spans="8:8" x14ac:dyDescent="0.2">
      <c r="H1888">
        <v>0</v>
      </c>
    </row>
    <row r="1889" spans="8:8" x14ac:dyDescent="0.2">
      <c r="H1889">
        <v>0</v>
      </c>
    </row>
    <row r="1890" spans="8:8" x14ac:dyDescent="0.2">
      <c r="H1890">
        <v>0</v>
      </c>
    </row>
    <row r="1891" spans="8:8" x14ac:dyDescent="0.2">
      <c r="H1891">
        <v>0</v>
      </c>
    </row>
    <row r="1892" spans="8:8" x14ac:dyDescent="0.2">
      <c r="H1892">
        <v>0</v>
      </c>
    </row>
    <row r="1893" spans="8:8" x14ac:dyDescent="0.2">
      <c r="H1893">
        <v>0</v>
      </c>
    </row>
    <row r="1894" spans="8:8" x14ac:dyDescent="0.2">
      <c r="H1894">
        <v>0</v>
      </c>
    </row>
    <row r="1895" spans="8:8" x14ac:dyDescent="0.2">
      <c r="H1895">
        <v>0</v>
      </c>
    </row>
    <row r="1896" spans="8:8" x14ac:dyDescent="0.2">
      <c r="H1896">
        <v>0</v>
      </c>
    </row>
    <row r="1897" spans="8:8" x14ac:dyDescent="0.2">
      <c r="H1897">
        <v>0</v>
      </c>
    </row>
    <row r="1898" spans="8:8" x14ac:dyDescent="0.2">
      <c r="H1898">
        <v>0</v>
      </c>
    </row>
    <row r="1899" spans="8:8" x14ac:dyDescent="0.2">
      <c r="H1899">
        <v>0</v>
      </c>
    </row>
    <row r="1900" spans="8:8" x14ac:dyDescent="0.2">
      <c r="H1900">
        <v>0</v>
      </c>
    </row>
    <row r="1901" spans="8:8" x14ac:dyDescent="0.2">
      <c r="H1901">
        <v>0</v>
      </c>
    </row>
    <row r="1902" spans="8:8" x14ac:dyDescent="0.2">
      <c r="H1902">
        <v>0</v>
      </c>
    </row>
    <row r="1903" spans="8:8" x14ac:dyDescent="0.2">
      <c r="H1903">
        <v>0</v>
      </c>
    </row>
    <row r="1904" spans="8:8" x14ac:dyDescent="0.2">
      <c r="H1904">
        <v>0</v>
      </c>
    </row>
    <row r="1905" spans="8:8" x14ac:dyDescent="0.2">
      <c r="H1905">
        <v>0</v>
      </c>
    </row>
    <row r="1906" spans="8:8" x14ac:dyDescent="0.2">
      <c r="H1906">
        <v>0</v>
      </c>
    </row>
    <row r="1907" spans="8:8" x14ac:dyDescent="0.2">
      <c r="H1907">
        <v>0</v>
      </c>
    </row>
    <row r="1908" spans="8:8" x14ac:dyDescent="0.2">
      <c r="H1908">
        <v>0</v>
      </c>
    </row>
    <row r="1909" spans="8:8" x14ac:dyDescent="0.2">
      <c r="H1909">
        <v>0</v>
      </c>
    </row>
    <row r="1910" spans="8:8" x14ac:dyDescent="0.2">
      <c r="H1910">
        <v>0</v>
      </c>
    </row>
    <row r="1911" spans="8:8" x14ac:dyDescent="0.2">
      <c r="H1911">
        <v>0</v>
      </c>
    </row>
    <row r="1912" spans="8:8" x14ac:dyDescent="0.2">
      <c r="H1912">
        <v>0</v>
      </c>
    </row>
    <row r="1913" spans="8:8" x14ac:dyDescent="0.2">
      <c r="H1913">
        <v>0</v>
      </c>
    </row>
    <row r="1914" spans="8:8" x14ac:dyDescent="0.2">
      <c r="H1914">
        <v>0</v>
      </c>
    </row>
    <row r="1915" spans="8:8" x14ac:dyDescent="0.2">
      <c r="H1915">
        <v>0</v>
      </c>
    </row>
    <row r="1916" spans="8:8" x14ac:dyDescent="0.2">
      <c r="H1916">
        <v>0</v>
      </c>
    </row>
    <row r="1917" spans="8:8" x14ac:dyDescent="0.2">
      <c r="H1917">
        <v>0</v>
      </c>
    </row>
    <row r="1918" spans="8:8" x14ac:dyDescent="0.2">
      <c r="H1918">
        <v>0</v>
      </c>
    </row>
    <row r="1919" spans="8:8" x14ac:dyDescent="0.2">
      <c r="H1919">
        <v>0</v>
      </c>
    </row>
    <row r="1920" spans="8:8" x14ac:dyDescent="0.2">
      <c r="H1920">
        <v>0</v>
      </c>
    </row>
    <row r="1921" spans="8:8" x14ac:dyDescent="0.2">
      <c r="H1921">
        <v>0</v>
      </c>
    </row>
    <row r="1922" spans="8:8" x14ac:dyDescent="0.2">
      <c r="H1922">
        <v>0</v>
      </c>
    </row>
    <row r="1923" spans="8:8" x14ac:dyDescent="0.2">
      <c r="H1923">
        <v>0</v>
      </c>
    </row>
    <row r="1924" spans="8:8" x14ac:dyDescent="0.2">
      <c r="H1924">
        <v>0</v>
      </c>
    </row>
    <row r="1925" spans="8:8" x14ac:dyDescent="0.2">
      <c r="H1925">
        <v>0</v>
      </c>
    </row>
    <row r="1926" spans="8:8" x14ac:dyDescent="0.2">
      <c r="H1926">
        <v>0</v>
      </c>
    </row>
    <row r="1927" spans="8:8" x14ac:dyDescent="0.2">
      <c r="H1927">
        <v>0</v>
      </c>
    </row>
    <row r="1928" spans="8:8" x14ac:dyDescent="0.2">
      <c r="H1928">
        <v>0</v>
      </c>
    </row>
    <row r="1929" spans="8:8" x14ac:dyDescent="0.2">
      <c r="H1929">
        <v>0</v>
      </c>
    </row>
    <row r="1930" spans="8:8" x14ac:dyDescent="0.2">
      <c r="H1930">
        <v>0</v>
      </c>
    </row>
    <row r="1931" spans="8:8" x14ac:dyDescent="0.2">
      <c r="H1931">
        <v>0</v>
      </c>
    </row>
    <row r="1932" spans="8:8" x14ac:dyDescent="0.2">
      <c r="H1932">
        <v>0</v>
      </c>
    </row>
    <row r="1933" spans="8:8" x14ac:dyDescent="0.2">
      <c r="H1933">
        <v>0</v>
      </c>
    </row>
    <row r="1934" spans="8:8" x14ac:dyDescent="0.2">
      <c r="H1934">
        <v>0</v>
      </c>
    </row>
    <row r="1935" spans="8:8" x14ac:dyDescent="0.2">
      <c r="H1935">
        <v>0</v>
      </c>
    </row>
    <row r="1936" spans="8:8" x14ac:dyDescent="0.2">
      <c r="H1936">
        <v>0</v>
      </c>
    </row>
    <row r="1937" spans="8:8" x14ac:dyDescent="0.2">
      <c r="H1937">
        <v>0</v>
      </c>
    </row>
    <row r="1938" spans="8:8" x14ac:dyDescent="0.2">
      <c r="H1938">
        <v>0</v>
      </c>
    </row>
    <row r="1939" spans="8:8" x14ac:dyDescent="0.2">
      <c r="H1939">
        <v>0</v>
      </c>
    </row>
    <row r="1940" spans="8:8" x14ac:dyDescent="0.2">
      <c r="H1940">
        <v>0</v>
      </c>
    </row>
    <row r="1941" spans="8:8" x14ac:dyDescent="0.2">
      <c r="H1941">
        <v>0</v>
      </c>
    </row>
    <row r="1942" spans="8:8" x14ac:dyDescent="0.2">
      <c r="H1942">
        <v>0</v>
      </c>
    </row>
    <row r="1943" spans="8:8" x14ac:dyDescent="0.2">
      <c r="H1943">
        <v>0</v>
      </c>
    </row>
    <row r="1944" spans="8:8" x14ac:dyDescent="0.2">
      <c r="H1944">
        <v>0</v>
      </c>
    </row>
    <row r="1945" spans="8:8" x14ac:dyDescent="0.2">
      <c r="H1945">
        <v>0</v>
      </c>
    </row>
    <row r="1946" spans="8:8" x14ac:dyDescent="0.2">
      <c r="H1946">
        <v>0</v>
      </c>
    </row>
    <row r="1947" spans="8:8" x14ac:dyDescent="0.2">
      <c r="H1947">
        <v>0</v>
      </c>
    </row>
    <row r="1948" spans="8:8" x14ac:dyDescent="0.2">
      <c r="H1948">
        <v>0</v>
      </c>
    </row>
    <row r="1949" spans="8:8" x14ac:dyDescent="0.2">
      <c r="H1949">
        <v>0</v>
      </c>
    </row>
    <row r="1950" spans="8:8" x14ac:dyDescent="0.2">
      <c r="H1950">
        <v>0</v>
      </c>
    </row>
    <row r="1951" spans="8:8" x14ac:dyDescent="0.2">
      <c r="H1951">
        <v>0</v>
      </c>
    </row>
    <row r="1952" spans="8:8" x14ac:dyDescent="0.2">
      <c r="H1952">
        <v>0</v>
      </c>
    </row>
    <row r="1953" spans="8:8" x14ac:dyDescent="0.2">
      <c r="H1953">
        <v>0</v>
      </c>
    </row>
    <row r="1954" spans="8:8" x14ac:dyDescent="0.2">
      <c r="H1954">
        <v>0</v>
      </c>
    </row>
    <row r="1955" spans="8:8" x14ac:dyDescent="0.2">
      <c r="H1955">
        <v>0</v>
      </c>
    </row>
    <row r="1956" spans="8:8" x14ac:dyDescent="0.2">
      <c r="H1956">
        <v>0</v>
      </c>
    </row>
    <row r="1957" spans="8:8" x14ac:dyDescent="0.2">
      <c r="H1957">
        <v>0</v>
      </c>
    </row>
    <row r="1958" spans="8:8" x14ac:dyDescent="0.2">
      <c r="H1958">
        <v>0</v>
      </c>
    </row>
    <row r="1959" spans="8:8" x14ac:dyDescent="0.2">
      <c r="H1959">
        <v>0</v>
      </c>
    </row>
    <row r="1960" spans="8:8" x14ac:dyDescent="0.2">
      <c r="H1960">
        <v>0</v>
      </c>
    </row>
    <row r="1961" spans="8:8" x14ac:dyDescent="0.2">
      <c r="H1961">
        <v>0</v>
      </c>
    </row>
    <row r="1962" spans="8:8" x14ac:dyDescent="0.2">
      <c r="H1962">
        <v>0</v>
      </c>
    </row>
    <row r="1963" spans="8:8" x14ac:dyDescent="0.2">
      <c r="H1963">
        <v>0</v>
      </c>
    </row>
    <row r="1964" spans="8:8" x14ac:dyDescent="0.2">
      <c r="H1964">
        <v>0</v>
      </c>
    </row>
    <row r="1965" spans="8:8" x14ac:dyDescent="0.2">
      <c r="H1965">
        <v>0</v>
      </c>
    </row>
    <row r="1966" spans="8:8" x14ac:dyDescent="0.2">
      <c r="H1966">
        <v>0</v>
      </c>
    </row>
    <row r="1967" spans="8:8" x14ac:dyDescent="0.2">
      <c r="H1967">
        <v>0</v>
      </c>
    </row>
    <row r="1968" spans="8:8" x14ac:dyDescent="0.2">
      <c r="H1968">
        <v>0</v>
      </c>
    </row>
    <row r="1969" spans="8:8" x14ac:dyDescent="0.2">
      <c r="H1969">
        <v>0</v>
      </c>
    </row>
    <row r="1970" spans="8:8" x14ac:dyDescent="0.2">
      <c r="H1970">
        <v>0</v>
      </c>
    </row>
    <row r="1971" spans="8:8" x14ac:dyDescent="0.2">
      <c r="H1971">
        <v>0</v>
      </c>
    </row>
    <row r="1972" spans="8:8" x14ac:dyDescent="0.2">
      <c r="H1972">
        <v>0</v>
      </c>
    </row>
    <row r="1973" spans="8:8" x14ac:dyDescent="0.2">
      <c r="H1973">
        <v>0</v>
      </c>
    </row>
    <row r="1974" spans="8:8" x14ac:dyDescent="0.2">
      <c r="H1974">
        <v>0</v>
      </c>
    </row>
    <row r="1975" spans="8:8" x14ac:dyDescent="0.2">
      <c r="H1975">
        <v>0</v>
      </c>
    </row>
    <row r="1976" spans="8:8" x14ac:dyDescent="0.2">
      <c r="H1976">
        <v>0</v>
      </c>
    </row>
    <row r="1977" spans="8:8" x14ac:dyDescent="0.2">
      <c r="H1977">
        <v>0</v>
      </c>
    </row>
    <row r="1978" spans="8:8" x14ac:dyDescent="0.2">
      <c r="H1978">
        <v>0</v>
      </c>
    </row>
    <row r="1979" spans="8:8" x14ac:dyDescent="0.2">
      <c r="H1979">
        <v>0</v>
      </c>
    </row>
    <row r="1980" spans="8:8" x14ac:dyDescent="0.2">
      <c r="H1980">
        <v>0</v>
      </c>
    </row>
    <row r="1981" spans="8:8" x14ac:dyDescent="0.2">
      <c r="H1981">
        <v>0</v>
      </c>
    </row>
    <row r="1982" spans="8:8" x14ac:dyDescent="0.2">
      <c r="H1982">
        <v>0</v>
      </c>
    </row>
    <row r="1983" spans="8:8" x14ac:dyDescent="0.2">
      <c r="H1983">
        <v>0</v>
      </c>
    </row>
    <row r="1984" spans="8:8" x14ac:dyDescent="0.2">
      <c r="H1984">
        <v>0</v>
      </c>
    </row>
    <row r="1985" spans="8:8" x14ac:dyDescent="0.2">
      <c r="H1985">
        <v>0</v>
      </c>
    </row>
    <row r="1986" spans="8:8" x14ac:dyDescent="0.2">
      <c r="H1986">
        <v>0</v>
      </c>
    </row>
    <row r="1987" spans="8:8" x14ac:dyDescent="0.2">
      <c r="H1987">
        <v>0</v>
      </c>
    </row>
    <row r="1988" spans="8:8" x14ac:dyDescent="0.2">
      <c r="H1988">
        <v>0</v>
      </c>
    </row>
    <row r="1989" spans="8:8" x14ac:dyDescent="0.2">
      <c r="H1989">
        <v>0</v>
      </c>
    </row>
    <row r="1990" spans="8:8" x14ac:dyDescent="0.2">
      <c r="H1990">
        <v>0</v>
      </c>
    </row>
    <row r="1991" spans="8:8" x14ac:dyDescent="0.2">
      <c r="H1991">
        <v>0</v>
      </c>
    </row>
    <row r="1992" spans="8:8" x14ac:dyDescent="0.2">
      <c r="H1992">
        <v>0</v>
      </c>
    </row>
    <row r="1993" spans="8:8" x14ac:dyDescent="0.2">
      <c r="H1993">
        <v>0</v>
      </c>
    </row>
    <row r="1994" spans="8:8" x14ac:dyDescent="0.2">
      <c r="H1994">
        <v>0</v>
      </c>
    </row>
    <row r="1995" spans="8:8" x14ac:dyDescent="0.2">
      <c r="H1995">
        <v>0</v>
      </c>
    </row>
    <row r="1996" spans="8:8" x14ac:dyDescent="0.2">
      <c r="H1996">
        <v>0</v>
      </c>
    </row>
    <row r="1997" spans="8:8" x14ac:dyDescent="0.2">
      <c r="H1997">
        <v>0</v>
      </c>
    </row>
    <row r="1998" spans="8:8" x14ac:dyDescent="0.2">
      <c r="H1998">
        <v>0</v>
      </c>
    </row>
    <row r="1999" spans="8:8" x14ac:dyDescent="0.2">
      <c r="H1999">
        <v>0</v>
      </c>
    </row>
    <row r="2000" spans="8:8" x14ac:dyDescent="0.2">
      <c r="H2000">
        <v>0</v>
      </c>
    </row>
    <row r="2001" spans="8:8" x14ac:dyDescent="0.2">
      <c r="H2001">
        <v>0</v>
      </c>
    </row>
    <row r="2002" spans="8:8" x14ac:dyDescent="0.2">
      <c r="H2002">
        <v>0</v>
      </c>
    </row>
    <row r="2003" spans="8:8" x14ac:dyDescent="0.2">
      <c r="H2003">
        <v>0</v>
      </c>
    </row>
    <row r="2004" spans="8:8" x14ac:dyDescent="0.2">
      <c r="H2004">
        <v>0</v>
      </c>
    </row>
    <row r="2005" spans="8:8" x14ac:dyDescent="0.2">
      <c r="H2005">
        <v>0</v>
      </c>
    </row>
    <row r="2006" spans="8:8" x14ac:dyDescent="0.2">
      <c r="H2006">
        <v>0</v>
      </c>
    </row>
    <row r="2007" spans="8:8" x14ac:dyDescent="0.2">
      <c r="H2007">
        <v>0</v>
      </c>
    </row>
    <row r="2008" spans="8:8" x14ac:dyDescent="0.2">
      <c r="H2008">
        <v>0</v>
      </c>
    </row>
    <row r="2009" spans="8:8" x14ac:dyDescent="0.2">
      <c r="H2009">
        <v>0</v>
      </c>
    </row>
    <row r="2010" spans="8:8" x14ac:dyDescent="0.2">
      <c r="H2010">
        <v>0</v>
      </c>
    </row>
    <row r="2011" spans="8:8" x14ac:dyDescent="0.2">
      <c r="H2011">
        <v>0</v>
      </c>
    </row>
    <row r="2012" spans="8:8" x14ac:dyDescent="0.2">
      <c r="H2012">
        <v>0</v>
      </c>
    </row>
    <row r="2013" spans="8:8" x14ac:dyDescent="0.2">
      <c r="H2013">
        <v>0</v>
      </c>
    </row>
    <row r="2014" spans="8:8" x14ac:dyDescent="0.2">
      <c r="H2014">
        <v>0</v>
      </c>
    </row>
    <row r="2015" spans="8:8" x14ac:dyDescent="0.2">
      <c r="H2015">
        <v>0</v>
      </c>
    </row>
    <row r="2016" spans="8:8" x14ac:dyDescent="0.2">
      <c r="H2016">
        <v>0</v>
      </c>
    </row>
    <row r="2017" spans="8:8" x14ac:dyDescent="0.2">
      <c r="H2017">
        <v>0</v>
      </c>
    </row>
    <row r="2018" spans="8:8" x14ac:dyDescent="0.2">
      <c r="H2018">
        <v>0</v>
      </c>
    </row>
    <row r="2019" spans="8:8" x14ac:dyDescent="0.2">
      <c r="H2019">
        <v>0</v>
      </c>
    </row>
    <row r="2020" spans="8:8" x14ac:dyDescent="0.2">
      <c r="H2020">
        <v>0</v>
      </c>
    </row>
    <row r="2021" spans="8:8" x14ac:dyDescent="0.2">
      <c r="H2021">
        <v>0</v>
      </c>
    </row>
    <row r="2022" spans="8:8" x14ac:dyDescent="0.2">
      <c r="H2022">
        <v>0</v>
      </c>
    </row>
    <row r="2023" spans="8:8" x14ac:dyDescent="0.2">
      <c r="H2023">
        <v>0</v>
      </c>
    </row>
    <row r="2024" spans="8:8" x14ac:dyDescent="0.2">
      <c r="H2024">
        <v>0</v>
      </c>
    </row>
    <row r="2025" spans="8:8" x14ac:dyDescent="0.2">
      <c r="H2025">
        <v>0</v>
      </c>
    </row>
    <row r="2026" spans="8:8" x14ac:dyDescent="0.2">
      <c r="H2026">
        <v>0</v>
      </c>
    </row>
    <row r="2027" spans="8:8" x14ac:dyDescent="0.2">
      <c r="H2027">
        <v>0</v>
      </c>
    </row>
    <row r="2028" spans="8:8" x14ac:dyDescent="0.2">
      <c r="H2028">
        <v>0</v>
      </c>
    </row>
    <row r="2029" spans="8:8" x14ac:dyDescent="0.2">
      <c r="H2029">
        <v>0</v>
      </c>
    </row>
    <row r="2030" spans="8:8" x14ac:dyDescent="0.2">
      <c r="H2030">
        <v>0</v>
      </c>
    </row>
    <row r="2031" spans="8:8" x14ac:dyDescent="0.2">
      <c r="H2031">
        <v>0</v>
      </c>
    </row>
    <row r="2032" spans="8:8" x14ac:dyDescent="0.2">
      <c r="H2032">
        <v>0</v>
      </c>
    </row>
    <row r="2033" spans="8:8" x14ac:dyDescent="0.2">
      <c r="H2033">
        <v>0</v>
      </c>
    </row>
    <row r="2034" spans="8:8" x14ac:dyDescent="0.2">
      <c r="H2034">
        <v>0</v>
      </c>
    </row>
    <row r="2035" spans="8:8" x14ac:dyDescent="0.2">
      <c r="H2035">
        <v>0</v>
      </c>
    </row>
    <row r="2036" spans="8:8" x14ac:dyDescent="0.2">
      <c r="H2036">
        <v>0</v>
      </c>
    </row>
    <row r="2037" spans="8:8" x14ac:dyDescent="0.2">
      <c r="H2037">
        <v>0</v>
      </c>
    </row>
    <row r="2038" spans="8:8" x14ac:dyDescent="0.2">
      <c r="H2038">
        <v>0</v>
      </c>
    </row>
    <row r="2039" spans="8:8" x14ac:dyDescent="0.2">
      <c r="H2039">
        <v>0</v>
      </c>
    </row>
    <row r="2040" spans="8:8" x14ac:dyDescent="0.2">
      <c r="H2040">
        <v>0</v>
      </c>
    </row>
    <row r="2041" spans="8:8" x14ac:dyDescent="0.2">
      <c r="H2041">
        <v>0</v>
      </c>
    </row>
    <row r="2042" spans="8:8" x14ac:dyDescent="0.2">
      <c r="H2042">
        <v>0</v>
      </c>
    </row>
    <row r="2043" spans="8:8" x14ac:dyDescent="0.2">
      <c r="H2043">
        <v>0</v>
      </c>
    </row>
    <row r="2044" spans="8:8" x14ac:dyDescent="0.2">
      <c r="H2044">
        <v>0</v>
      </c>
    </row>
    <row r="2045" spans="8:8" x14ac:dyDescent="0.2">
      <c r="H2045">
        <v>0</v>
      </c>
    </row>
    <row r="2046" spans="8:8" x14ac:dyDescent="0.2">
      <c r="H2046">
        <v>0</v>
      </c>
    </row>
    <row r="2047" spans="8:8" x14ac:dyDescent="0.2">
      <c r="H2047">
        <v>0</v>
      </c>
    </row>
    <row r="2048" spans="8:8" x14ac:dyDescent="0.2">
      <c r="H2048">
        <v>0</v>
      </c>
    </row>
    <row r="2049" spans="8:8" x14ac:dyDescent="0.2">
      <c r="H2049">
        <v>0</v>
      </c>
    </row>
    <row r="2050" spans="8:8" x14ac:dyDescent="0.2">
      <c r="H2050">
        <v>0</v>
      </c>
    </row>
    <row r="2051" spans="8:8" x14ac:dyDescent="0.2">
      <c r="H2051">
        <v>0</v>
      </c>
    </row>
    <row r="2052" spans="8:8" x14ac:dyDescent="0.2">
      <c r="H2052">
        <v>0</v>
      </c>
    </row>
    <row r="2053" spans="8:8" x14ac:dyDescent="0.2">
      <c r="H2053">
        <v>0</v>
      </c>
    </row>
    <row r="2054" spans="8:8" x14ac:dyDescent="0.2">
      <c r="H2054">
        <v>0</v>
      </c>
    </row>
    <row r="2055" spans="8:8" x14ac:dyDescent="0.2">
      <c r="H2055">
        <v>0</v>
      </c>
    </row>
    <row r="2056" spans="8:8" x14ac:dyDescent="0.2">
      <c r="H2056">
        <v>0</v>
      </c>
    </row>
    <row r="2057" spans="8:8" x14ac:dyDescent="0.2">
      <c r="H2057">
        <v>0</v>
      </c>
    </row>
    <row r="2058" spans="8:8" x14ac:dyDescent="0.2">
      <c r="H2058">
        <v>0</v>
      </c>
    </row>
    <row r="2059" spans="8:8" x14ac:dyDescent="0.2">
      <c r="H2059">
        <v>0</v>
      </c>
    </row>
    <row r="2060" spans="8:8" x14ac:dyDescent="0.2">
      <c r="H2060">
        <v>0</v>
      </c>
    </row>
    <row r="2061" spans="8:8" x14ac:dyDescent="0.2">
      <c r="H2061">
        <v>0</v>
      </c>
    </row>
    <row r="2062" spans="8:8" x14ac:dyDescent="0.2">
      <c r="H2062">
        <v>0</v>
      </c>
    </row>
    <row r="2063" spans="8:8" x14ac:dyDescent="0.2">
      <c r="H2063">
        <v>0</v>
      </c>
    </row>
    <row r="2064" spans="8:8" x14ac:dyDescent="0.2">
      <c r="H2064">
        <v>0</v>
      </c>
    </row>
    <row r="2065" spans="8:8" x14ac:dyDescent="0.2">
      <c r="H2065">
        <v>0</v>
      </c>
    </row>
    <row r="2066" spans="8:8" x14ac:dyDescent="0.2">
      <c r="H2066">
        <v>0</v>
      </c>
    </row>
    <row r="2067" spans="8:8" x14ac:dyDescent="0.2">
      <c r="H2067">
        <v>0</v>
      </c>
    </row>
    <row r="2068" spans="8:8" x14ac:dyDescent="0.2">
      <c r="H2068">
        <v>0</v>
      </c>
    </row>
    <row r="2069" spans="8:8" x14ac:dyDescent="0.2">
      <c r="H2069">
        <v>0</v>
      </c>
    </row>
    <row r="2070" spans="8:8" x14ac:dyDescent="0.2">
      <c r="H2070">
        <v>0</v>
      </c>
    </row>
    <row r="2071" spans="8:8" x14ac:dyDescent="0.2">
      <c r="H2071">
        <v>0</v>
      </c>
    </row>
    <row r="2072" spans="8:8" x14ac:dyDescent="0.2">
      <c r="H2072">
        <v>0</v>
      </c>
    </row>
    <row r="2073" spans="8:8" x14ac:dyDescent="0.2">
      <c r="H2073">
        <v>0</v>
      </c>
    </row>
    <row r="2074" spans="8:8" x14ac:dyDescent="0.2">
      <c r="H2074">
        <v>0</v>
      </c>
    </row>
    <row r="2075" spans="8:8" x14ac:dyDescent="0.2">
      <c r="H2075">
        <v>0</v>
      </c>
    </row>
    <row r="2076" spans="8:8" x14ac:dyDescent="0.2">
      <c r="H2076">
        <v>0</v>
      </c>
    </row>
    <row r="2077" spans="8:8" x14ac:dyDescent="0.2">
      <c r="H2077">
        <v>0</v>
      </c>
    </row>
    <row r="2078" spans="8:8" x14ac:dyDescent="0.2">
      <c r="H2078">
        <v>0</v>
      </c>
    </row>
    <row r="2079" spans="8:8" x14ac:dyDescent="0.2">
      <c r="H2079">
        <v>0</v>
      </c>
    </row>
    <row r="2080" spans="8:8" x14ac:dyDescent="0.2">
      <c r="H2080">
        <v>0</v>
      </c>
    </row>
    <row r="2081" spans="8:8" x14ac:dyDescent="0.2">
      <c r="H2081">
        <v>0</v>
      </c>
    </row>
    <row r="2082" spans="8:8" x14ac:dyDescent="0.2">
      <c r="H2082">
        <v>0</v>
      </c>
    </row>
    <row r="2083" spans="8:8" x14ac:dyDescent="0.2">
      <c r="H2083">
        <v>0</v>
      </c>
    </row>
    <row r="2084" spans="8:8" x14ac:dyDescent="0.2">
      <c r="H2084">
        <v>0</v>
      </c>
    </row>
    <row r="2085" spans="8:8" x14ac:dyDescent="0.2">
      <c r="H2085">
        <v>0</v>
      </c>
    </row>
    <row r="2086" spans="8:8" x14ac:dyDescent="0.2">
      <c r="H2086">
        <v>0</v>
      </c>
    </row>
    <row r="2087" spans="8:8" x14ac:dyDescent="0.2">
      <c r="H2087">
        <v>0</v>
      </c>
    </row>
    <row r="2088" spans="8:8" x14ac:dyDescent="0.2">
      <c r="H2088">
        <v>0</v>
      </c>
    </row>
    <row r="2089" spans="8:8" x14ac:dyDescent="0.2">
      <c r="H2089">
        <v>0</v>
      </c>
    </row>
    <row r="2090" spans="8:8" x14ac:dyDescent="0.2">
      <c r="H2090">
        <v>0</v>
      </c>
    </row>
    <row r="2091" spans="8:8" x14ac:dyDescent="0.2">
      <c r="H2091">
        <v>0</v>
      </c>
    </row>
    <row r="2092" spans="8:8" x14ac:dyDescent="0.2">
      <c r="H2092">
        <v>0</v>
      </c>
    </row>
    <row r="2093" spans="8:8" x14ac:dyDescent="0.2">
      <c r="H2093">
        <v>0</v>
      </c>
    </row>
    <row r="2094" spans="8:8" x14ac:dyDescent="0.2">
      <c r="H2094">
        <v>0</v>
      </c>
    </row>
    <row r="2095" spans="8:8" x14ac:dyDescent="0.2">
      <c r="H2095">
        <v>0</v>
      </c>
    </row>
    <row r="2096" spans="8:8" x14ac:dyDescent="0.2">
      <c r="H2096">
        <v>0</v>
      </c>
    </row>
    <row r="2097" spans="8:8" x14ac:dyDescent="0.2">
      <c r="H2097">
        <v>0</v>
      </c>
    </row>
    <row r="2098" spans="8:8" x14ac:dyDescent="0.2">
      <c r="H2098">
        <v>0</v>
      </c>
    </row>
    <row r="2099" spans="8:8" x14ac:dyDescent="0.2">
      <c r="H2099">
        <v>0</v>
      </c>
    </row>
    <row r="2100" spans="8:8" x14ac:dyDescent="0.2">
      <c r="H2100">
        <v>0</v>
      </c>
    </row>
    <row r="2101" spans="8:8" x14ac:dyDescent="0.2">
      <c r="H2101">
        <v>0</v>
      </c>
    </row>
    <row r="2102" spans="8:8" x14ac:dyDescent="0.2">
      <c r="H2102">
        <v>0</v>
      </c>
    </row>
    <row r="2103" spans="8:8" x14ac:dyDescent="0.2">
      <c r="H2103">
        <v>0</v>
      </c>
    </row>
    <row r="2104" spans="8:8" x14ac:dyDescent="0.2">
      <c r="H2104">
        <v>0</v>
      </c>
    </row>
    <row r="2105" spans="8:8" x14ac:dyDescent="0.2">
      <c r="H2105">
        <v>0</v>
      </c>
    </row>
    <row r="2106" spans="8:8" x14ac:dyDescent="0.2">
      <c r="H2106">
        <v>0</v>
      </c>
    </row>
    <row r="2107" spans="8:8" x14ac:dyDescent="0.2">
      <c r="H2107">
        <v>0</v>
      </c>
    </row>
    <row r="2108" spans="8:8" x14ac:dyDescent="0.2">
      <c r="H2108">
        <v>0</v>
      </c>
    </row>
    <row r="2109" spans="8:8" x14ac:dyDescent="0.2">
      <c r="H2109">
        <v>0</v>
      </c>
    </row>
    <row r="2110" spans="8:8" x14ac:dyDescent="0.2">
      <c r="H2110">
        <v>0</v>
      </c>
    </row>
    <row r="2111" spans="8:8" x14ac:dyDescent="0.2">
      <c r="H2111">
        <v>0</v>
      </c>
    </row>
    <row r="2112" spans="8:8" x14ac:dyDescent="0.2">
      <c r="H2112">
        <v>0</v>
      </c>
    </row>
    <row r="2113" spans="8:8" x14ac:dyDescent="0.2">
      <c r="H2113">
        <v>0</v>
      </c>
    </row>
    <row r="2114" spans="8:8" x14ac:dyDescent="0.2">
      <c r="H2114">
        <v>0</v>
      </c>
    </row>
    <row r="2115" spans="8:8" x14ac:dyDescent="0.2">
      <c r="H2115">
        <v>0</v>
      </c>
    </row>
    <row r="2116" spans="8:8" x14ac:dyDescent="0.2">
      <c r="H2116">
        <v>0</v>
      </c>
    </row>
    <row r="2117" spans="8:8" x14ac:dyDescent="0.2">
      <c r="H2117">
        <v>0</v>
      </c>
    </row>
    <row r="2118" spans="8:8" x14ac:dyDescent="0.2">
      <c r="H2118">
        <v>0</v>
      </c>
    </row>
    <row r="2119" spans="8:8" x14ac:dyDescent="0.2">
      <c r="H2119">
        <v>0</v>
      </c>
    </row>
    <row r="2120" spans="8:8" x14ac:dyDescent="0.2">
      <c r="H2120">
        <v>0</v>
      </c>
    </row>
    <row r="2121" spans="8:8" x14ac:dyDescent="0.2">
      <c r="H2121">
        <v>0</v>
      </c>
    </row>
    <row r="2122" spans="8:8" x14ac:dyDescent="0.2">
      <c r="H2122">
        <v>0</v>
      </c>
    </row>
    <row r="2123" spans="8:8" x14ac:dyDescent="0.2">
      <c r="H2123">
        <v>0</v>
      </c>
    </row>
    <row r="2124" spans="8:8" x14ac:dyDescent="0.2">
      <c r="H2124">
        <v>0</v>
      </c>
    </row>
    <row r="2125" spans="8:8" x14ac:dyDescent="0.2">
      <c r="H2125">
        <v>0</v>
      </c>
    </row>
    <row r="2126" spans="8:8" x14ac:dyDescent="0.2">
      <c r="H2126">
        <v>0</v>
      </c>
    </row>
    <row r="2127" spans="8:8" x14ac:dyDescent="0.2">
      <c r="H2127">
        <v>0</v>
      </c>
    </row>
    <row r="2128" spans="8:8" x14ac:dyDescent="0.2">
      <c r="H2128">
        <v>0</v>
      </c>
    </row>
    <row r="2129" spans="8:8" x14ac:dyDescent="0.2">
      <c r="H2129">
        <v>0</v>
      </c>
    </row>
    <row r="2130" spans="8:8" x14ac:dyDescent="0.2">
      <c r="H2130">
        <v>0</v>
      </c>
    </row>
    <row r="2131" spans="8:8" x14ac:dyDescent="0.2">
      <c r="H2131">
        <v>0</v>
      </c>
    </row>
    <row r="2132" spans="8:8" x14ac:dyDescent="0.2">
      <c r="H2132">
        <v>0</v>
      </c>
    </row>
    <row r="2133" spans="8:8" x14ac:dyDescent="0.2">
      <c r="H2133">
        <v>0</v>
      </c>
    </row>
    <row r="2134" spans="8:8" x14ac:dyDescent="0.2">
      <c r="H2134">
        <v>0</v>
      </c>
    </row>
    <row r="2135" spans="8:8" x14ac:dyDescent="0.2">
      <c r="H2135">
        <v>0</v>
      </c>
    </row>
    <row r="2136" spans="8:8" x14ac:dyDescent="0.2">
      <c r="H2136">
        <v>0</v>
      </c>
    </row>
    <row r="2137" spans="8:8" x14ac:dyDescent="0.2">
      <c r="H2137">
        <v>0</v>
      </c>
    </row>
    <row r="2138" spans="8:8" x14ac:dyDescent="0.2">
      <c r="H2138">
        <v>0</v>
      </c>
    </row>
    <row r="2139" spans="8:8" x14ac:dyDescent="0.2">
      <c r="H2139">
        <v>0</v>
      </c>
    </row>
    <row r="2140" spans="8:8" x14ac:dyDescent="0.2">
      <c r="H2140">
        <v>0</v>
      </c>
    </row>
    <row r="2141" spans="8:8" x14ac:dyDescent="0.2">
      <c r="H2141">
        <v>0</v>
      </c>
    </row>
    <row r="2142" spans="8:8" x14ac:dyDescent="0.2">
      <c r="H2142">
        <v>0</v>
      </c>
    </row>
    <row r="2143" spans="8:8" x14ac:dyDescent="0.2">
      <c r="H2143">
        <v>0</v>
      </c>
    </row>
    <row r="2144" spans="8:8" x14ac:dyDescent="0.2">
      <c r="H2144">
        <v>0</v>
      </c>
    </row>
    <row r="2145" spans="8:8" x14ac:dyDescent="0.2">
      <c r="H2145">
        <v>0</v>
      </c>
    </row>
    <row r="2146" spans="8:8" x14ac:dyDescent="0.2">
      <c r="H2146">
        <v>0</v>
      </c>
    </row>
    <row r="2147" spans="8:8" x14ac:dyDescent="0.2">
      <c r="H2147">
        <v>0</v>
      </c>
    </row>
    <row r="2148" spans="8:8" x14ac:dyDescent="0.2">
      <c r="H2148">
        <v>0</v>
      </c>
    </row>
    <row r="2149" spans="8:8" x14ac:dyDescent="0.2">
      <c r="H2149">
        <v>0</v>
      </c>
    </row>
    <row r="2150" spans="8:8" x14ac:dyDescent="0.2">
      <c r="H2150">
        <v>0</v>
      </c>
    </row>
    <row r="2151" spans="8:8" x14ac:dyDescent="0.2">
      <c r="H2151">
        <v>0</v>
      </c>
    </row>
    <row r="2152" spans="8:8" x14ac:dyDescent="0.2">
      <c r="H2152">
        <v>0</v>
      </c>
    </row>
    <row r="2153" spans="8:8" x14ac:dyDescent="0.2">
      <c r="H2153">
        <v>0</v>
      </c>
    </row>
    <row r="2154" spans="8:8" x14ac:dyDescent="0.2">
      <c r="H2154">
        <v>0</v>
      </c>
    </row>
    <row r="2155" spans="8:8" x14ac:dyDescent="0.2">
      <c r="H2155">
        <v>0</v>
      </c>
    </row>
    <row r="2156" spans="8:8" x14ac:dyDescent="0.2">
      <c r="H2156">
        <v>0</v>
      </c>
    </row>
    <row r="2157" spans="8:8" x14ac:dyDescent="0.2">
      <c r="H2157">
        <v>0</v>
      </c>
    </row>
    <row r="2158" spans="8:8" x14ac:dyDescent="0.2">
      <c r="H2158">
        <v>0</v>
      </c>
    </row>
    <row r="2159" spans="8:8" x14ac:dyDescent="0.2">
      <c r="H2159">
        <v>0</v>
      </c>
    </row>
    <row r="2160" spans="8:8" x14ac:dyDescent="0.2">
      <c r="H2160">
        <v>0</v>
      </c>
    </row>
    <row r="2161" spans="8:8" x14ac:dyDescent="0.2">
      <c r="H2161">
        <v>0</v>
      </c>
    </row>
    <row r="2162" spans="8:8" x14ac:dyDescent="0.2">
      <c r="H2162">
        <v>0</v>
      </c>
    </row>
    <row r="2163" spans="8:8" x14ac:dyDescent="0.2">
      <c r="H2163">
        <v>0</v>
      </c>
    </row>
    <row r="2164" spans="8:8" x14ac:dyDescent="0.2">
      <c r="H2164">
        <v>0</v>
      </c>
    </row>
    <row r="2165" spans="8:8" x14ac:dyDescent="0.2">
      <c r="H2165">
        <v>0</v>
      </c>
    </row>
    <row r="2166" spans="8:8" x14ac:dyDescent="0.2">
      <c r="H2166">
        <v>0</v>
      </c>
    </row>
    <row r="2167" spans="8:8" x14ac:dyDescent="0.2">
      <c r="H2167">
        <v>0</v>
      </c>
    </row>
    <row r="2168" spans="8:8" x14ac:dyDescent="0.2">
      <c r="H2168">
        <v>0</v>
      </c>
    </row>
    <row r="2169" spans="8:8" x14ac:dyDescent="0.2">
      <c r="H2169">
        <v>0</v>
      </c>
    </row>
    <row r="2170" spans="8:8" x14ac:dyDescent="0.2">
      <c r="H2170">
        <v>0</v>
      </c>
    </row>
    <row r="2171" spans="8:8" x14ac:dyDescent="0.2">
      <c r="H2171">
        <v>0</v>
      </c>
    </row>
    <row r="2172" spans="8:8" x14ac:dyDescent="0.2">
      <c r="H2172">
        <v>0</v>
      </c>
    </row>
    <row r="2173" spans="8:8" x14ac:dyDescent="0.2">
      <c r="H2173">
        <v>0</v>
      </c>
    </row>
    <row r="2174" spans="8:8" x14ac:dyDescent="0.2">
      <c r="H2174">
        <v>0</v>
      </c>
    </row>
    <row r="2175" spans="8:8" x14ac:dyDescent="0.2">
      <c r="H2175">
        <v>0</v>
      </c>
    </row>
    <row r="2176" spans="8:8" x14ac:dyDescent="0.2">
      <c r="H2176">
        <v>0</v>
      </c>
    </row>
    <row r="2177" spans="8:8" x14ac:dyDescent="0.2">
      <c r="H2177">
        <v>0</v>
      </c>
    </row>
    <row r="2178" spans="8:8" x14ac:dyDescent="0.2">
      <c r="H2178">
        <v>0</v>
      </c>
    </row>
    <row r="2179" spans="8:8" x14ac:dyDescent="0.2">
      <c r="H2179">
        <v>0</v>
      </c>
    </row>
    <row r="2180" spans="8:8" x14ac:dyDescent="0.2">
      <c r="H2180">
        <v>0</v>
      </c>
    </row>
    <row r="2181" spans="8:8" x14ac:dyDescent="0.2">
      <c r="H2181">
        <v>0</v>
      </c>
    </row>
    <row r="2182" spans="8:8" x14ac:dyDescent="0.2">
      <c r="H2182">
        <v>0</v>
      </c>
    </row>
    <row r="2183" spans="8:8" x14ac:dyDescent="0.2">
      <c r="H2183">
        <v>0</v>
      </c>
    </row>
    <row r="2184" spans="8:8" x14ac:dyDescent="0.2">
      <c r="H2184">
        <v>0</v>
      </c>
    </row>
    <row r="2185" spans="8:8" x14ac:dyDescent="0.2">
      <c r="H2185">
        <v>0</v>
      </c>
    </row>
    <row r="2186" spans="8:8" x14ac:dyDescent="0.2">
      <c r="H2186">
        <v>0</v>
      </c>
    </row>
    <row r="2187" spans="8:8" x14ac:dyDescent="0.2">
      <c r="H2187">
        <v>0</v>
      </c>
    </row>
    <row r="2188" spans="8:8" x14ac:dyDescent="0.2">
      <c r="H2188">
        <v>0</v>
      </c>
    </row>
    <row r="2189" spans="8:8" x14ac:dyDescent="0.2">
      <c r="H2189">
        <v>0</v>
      </c>
    </row>
    <row r="2190" spans="8:8" x14ac:dyDescent="0.2">
      <c r="H2190">
        <v>0</v>
      </c>
    </row>
    <row r="2191" spans="8:8" x14ac:dyDescent="0.2">
      <c r="H2191">
        <v>0</v>
      </c>
    </row>
    <row r="2192" spans="8:8" x14ac:dyDescent="0.2">
      <c r="H2192">
        <v>0</v>
      </c>
    </row>
    <row r="2193" spans="8:8" x14ac:dyDescent="0.2">
      <c r="H2193">
        <v>0</v>
      </c>
    </row>
    <row r="2194" spans="8:8" x14ac:dyDescent="0.2">
      <c r="H2194">
        <v>0</v>
      </c>
    </row>
    <row r="2195" spans="8:8" x14ac:dyDescent="0.2">
      <c r="H2195">
        <v>0</v>
      </c>
    </row>
    <row r="2196" spans="8:8" x14ac:dyDescent="0.2">
      <c r="H2196">
        <v>0</v>
      </c>
    </row>
    <row r="2197" spans="8:8" x14ac:dyDescent="0.2">
      <c r="H2197">
        <v>0</v>
      </c>
    </row>
    <row r="2198" spans="8:8" x14ac:dyDescent="0.2">
      <c r="H2198">
        <v>0</v>
      </c>
    </row>
    <row r="2199" spans="8:8" x14ac:dyDescent="0.2">
      <c r="H2199">
        <v>0</v>
      </c>
    </row>
    <row r="2200" spans="8:8" x14ac:dyDescent="0.2">
      <c r="H2200">
        <v>0</v>
      </c>
    </row>
    <row r="2201" spans="8:8" x14ac:dyDescent="0.2">
      <c r="H2201">
        <v>0</v>
      </c>
    </row>
    <row r="2202" spans="8:8" x14ac:dyDescent="0.2">
      <c r="H2202">
        <v>0</v>
      </c>
    </row>
    <row r="2203" spans="8:8" x14ac:dyDescent="0.2">
      <c r="H2203">
        <v>0</v>
      </c>
    </row>
    <row r="2204" spans="8:8" x14ac:dyDescent="0.2">
      <c r="H2204">
        <v>0</v>
      </c>
    </row>
    <row r="2205" spans="8:8" x14ac:dyDescent="0.2">
      <c r="H2205">
        <v>0</v>
      </c>
    </row>
    <row r="2206" spans="8:8" x14ac:dyDescent="0.2">
      <c r="H2206">
        <v>0</v>
      </c>
    </row>
    <row r="2207" spans="8:8" x14ac:dyDescent="0.2">
      <c r="H2207">
        <v>0</v>
      </c>
    </row>
    <row r="2208" spans="8:8" x14ac:dyDescent="0.2">
      <c r="H2208">
        <v>0</v>
      </c>
    </row>
    <row r="2209" spans="8:8" x14ac:dyDescent="0.2">
      <c r="H2209">
        <v>0</v>
      </c>
    </row>
    <row r="2210" spans="8:8" x14ac:dyDescent="0.2">
      <c r="H2210">
        <v>0</v>
      </c>
    </row>
    <row r="2211" spans="8:8" x14ac:dyDescent="0.2">
      <c r="H2211">
        <v>0</v>
      </c>
    </row>
    <row r="2212" spans="8:8" x14ac:dyDescent="0.2">
      <c r="H2212">
        <v>0</v>
      </c>
    </row>
    <row r="2213" spans="8:8" x14ac:dyDescent="0.2">
      <c r="H2213">
        <v>0</v>
      </c>
    </row>
    <row r="2214" spans="8:8" x14ac:dyDescent="0.2">
      <c r="H2214">
        <v>0</v>
      </c>
    </row>
    <row r="2215" spans="8:8" x14ac:dyDescent="0.2">
      <c r="H2215">
        <v>0</v>
      </c>
    </row>
    <row r="2216" spans="8:8" x14ac:dyDescent="0.2">
      <c r="H2216">
        <v>0</v>
      </c>
    </row>
    <row r="2217" spans="8:8" x14ac:dyDescent="0.2">
      <c r="H2217">
        <v>0</v>
      </c>
    </row>
    <row r="2218" spans="8:8" x14ac:dyDescent="0.2">
      <c r="H2218">
        <v>0</v>
      </c>
    </row>
    <row r="2219" spans="8:8" x14ac:dyDescent="0.2">
      <c r="H2219">
        <v>0</v>
      </c>
    </row>
    <row r="2220" spans="8:8" x14ac:dyDescent="0.2">
      <c r="H2220">
        <v>0</v>
      </c>
    </row>
    <row r="2221" spans="8:8" x14ac:dyDescent="0.2">
      <c r="H2221">
        <v>0</v>
      </c>
    </row>
    <row r="2222" spans="8:8" x14ac:dyDescent="0.2">
      <c r="H2222">
        <v>0</v>
      </c>
    </row>
    <row r="2223" spans="8:8" x14ac:dyDescent="0.2">
      <c r="H2223">
        <v>0</v>
      </c>
    </row>
    <row r="2224" spans="8:8" x14ac:dyDescent="0.2">
      <c r="H2224">
        <v>0</v>
      </c>
    </row>
    <row r="2225" spans="8:8" x14ac:dyDescent="0.2">
      <c r="H2225">
        <v>0</v>
      </c>
    </row>
    <row r="2226" spans="8:8" x14ac:dyDescent="0.2">
      <c r="H2226">
        <v>0</v>
      </c>
    </row>
    <row r="2227" spans="8:8" x14ac:dyDescent="0.2">
      <c r="H2227">
        <v>0</v>
      </c>
    </row>
    <row r="2228" spans="8:8" x14ac:dyDescent="0.2">
      <c r="H2228">
        <v>0</v>
      </c>
    </row>
    <row r="2229" spans="8:8" x14ac:dyDescent="0.2">
      <c r="H2229">
        <v>0</v>
      </c>
    </row>
    <row r="2230" spans="8:8" x14ac:dyDescent="0.2">
      <c r="H2230">
        <v>0</v>
      </c>
    </row>
    <row r="2231" spans="8:8" x14ac:dyDescent="0.2">
      <c r="H2231">
        <v>0</v>
      </c>
    </row>
    <row r="2232" spans="8:8" x14ac:dyDescent="0.2">
      <c r="H2232">
        <v>0</v>
      </c>
    </row>
    <row r="2233" spans="8:8" x14ac:dyDescent="0.2">
      <c r="H2233">
        <v>0</v>
      </c>
    </row>
    <row r="2234" spans="8:8" x14ac:dyDescent="0.2">
      <c r="H2234">
        <v>0</v>
      </c>
    </row>
    <row r="2235" spans="8:8" x14ac:dyDescent="0.2">
      <c r="H2235">
        <v>0</v>
      </c>
    </row>
    <row r="2236" spans="8:8" x14ac:dyDescent="0.2">
      <c r="H2236">
        <v>0</v>
      </c>
    </row>
    <row r="2237" spans="8:8" x14ac:dyDescent="0.2">
      <c r="H2237">
        <v>0</v>
      </c>
    </row>
    <row r="2238" spans="8:8" x14ac:dyDescent="0.2">
      <c r="H2238">
        <v>0</v>
      </c>
    </row>
    <row r="2239" spans="8:8" x14ac:dyDescent="0.2">
      <c r="H2239">
        <v>0</v>
      </c>
    </row>
    <row r="2240" spans="8:8" x14ac:dyDescent="0.2">
      <c r="H2240">
        <v>0</v>
      </c>
    </row>
    <row r="2241" spans="8:8" x14ac:dyDescent="0.2">
      <c r="H2241">
        <v>0</v>
      </c>
    </row>
    <row r="2242" spans="8:8" x14ac:dyDescent="0.2">
      <c r="H2242">
        <v>0</v>
      </c>
    </row>
    <row r="2243" spans="8:8" x14ac:dyDescent="0.2">
      <c r="H2243">
        <v>0</v>
      </c>
    </row>
    <row r="2244" spans="8:8" x14ac:dyDescent="0.2">
      <c r="H2244">
        <v>0</v>
      </c>
    </row>
    <row r="2245" spans="8:8" x14ac:dyDescent="0.2">
      <c r="H2245">
        <v>0</v>
      </c>
    </row>
    <row r="2246" spans="8:8" x14ac:dyDescent="0.2">
      <c r="H2246">
        <v>0</v>
      </c>
    </row>
    <row r="2247" spans="8:8" x14ac:dyDescent="0.2">
      <c r="H2247">
        <v>0</v>
      </c>
    </row>
    <row r="2248" spans="8:8" x14ac:dyDescent="0.2">
      <c r="H2248">
        <v>0</v>
      </c>
    </row>
    <row r="2249" spans="8:8" x14ac:dyDescent="0.2">
      <c r="H2249">
        <v>0</v>
      </c>
    </row>
    <row r="2250" spans="8:8" x14ac:dyDescent="0.2">
      <c r="H2250">
        <v>0</v>
      </c>
    </row>
    <row r="2251" spans="8:8" x14ac:dyDescent="0.2">
      <c r="H2251">
        <v>0</v>
      </c>
    </row>
    <row r="2252" spans="8:8" x14ac:dyDescent="0.2">
      <c r="H2252">
        <v>0</v>
      </c>
    </row>
    <row r="2253" spans="8:8" x14ac:dyDescent="0.2">
      <c r="H2253">
        <v>0</v>
      </c>
    </row>
    <row r="2254" spans="8:8" x14ac:dyDescent="0.2">
      <c r="H2254">
        <v>0</v>
      </c>
    </row>
    <row r="2255" spans="8:8" x14ac:dyDescent="0.2">
      <c r="H2255">
        <v>0</v>
      </c>
    </row>
    <row r="2256" spans="8:8" x14ac:dyDescent="0.2">
      <c r="H2256">
        <v>0</v>
      </c>
    </row>
    <row r="2257" spans="8:8" x14ac:dyDescent="0.2">
      <c r="H2257">
        <v>0</v>
      </c>
    </row>
    <row r="2258" spans="8:8" x14ac:dyDescent="0.2">
      <c r="H2258">
        <v>0</v>
      </c>
    </row>
    <row r="2259" spans="8:8" x14ac:dyDescent="0.2">
      <c r="H2259">
        <v>0</v>
      </c>
    </row>
    <row r="2260" spans="8:8" x14ac:dyDescent="0.2">
      <c r="H2260">
        <v>0</v>
      </c>
    </row>
    <row r="2261" spans="8:8" x14ac:dyDescent="0.2">
      <c r="H2261">
        <v>0</v>
      </c>
    </row>
    <row r="2262" spans="8:8" x14ac:dyDescent="0.2">
      <c r="H2262">
        <v>0</v>
      </c>
    </row>
    <row r="2263" spans="8:8" x14ac:dyDescent="0.2">
      <c r="H2263">
        <v>0</v>
      </c>
    </row>
    <row r="2264" spans="8:8" x14ac:dyDescent="0.2">
      <c r="H2264">
        <v>0</v>
      </c>
    </row>
    <row r="2265" spans="8:8" x14ac:dyDescent="0.2">
      <c r="H2265">
        <v>0</v>
      </c>
    </row>
    <row r="2266" spans="8:8" x14ac:dyDescent="0.2">
      <c r="H2266">
        <v>0</v>
      </c>
    </row>
    <row r="2267" spans="8:8" x14ac:dyDescent="0.2">
      <c r="H2267">
        <v>0</v>
      </c>
    </row>
    <row r="2268" spans="8:8" x14ac:dyDescent="0.2">
      <c r="H2268">
        <v>0</v>
      </c>
    </row>
    <row r="2269" spans="8:8" x14ac:dyDescent="0.2">
      <c r="H2269">
        <v>0</v>
      </c>
    </row>
    <row r="2270" spans="8:8" x14ac:dyDescent="0.2">
      <c r="H2270">
        <v>0</v>
      </c>
    </row>
    <row r="2271" spans="8:8" x14ac:dyDescent="0.2">
      <c r="H2271">
        <v>0</v>
      </c>
    </row>
    <row r="2272" spans="8:8" x14ac:dyDescent="0.2">
      <c r="H2272">
        <v>0</v>
      </c>
    </row>
    <row r="2273" spans="8:8" x14ac:dyDescent="0.2">
      <c r="H2273">
        <v>0</v>
      </c>
    </row>
    <row r="2274" spans="8:8" x14ac:dyDescent="0.2">
      <c r="H2274">
        <v>0</v>
      </c>
    </row>
    <row r="2275" spans="8:8" x14ac:dyDescent="0.2">
      <c r="H2275">
        <v>0</v>
      </c>
    </row>
    <row r="2276" spans="8:8" x14ac:dyDescent="0.2">
      <c r="H2276">
        <v>0</v>
      </c>
    </row>
    <row r="2277" spans="8:8" x14ac:dyDescent="0.2">
      <c r="H2277">
        <v>0</v>
      </c>
    </row>
    <row r="2278" spans="8:8" x14ac:dyDescent="0.2">
      <c r="H2278">
        <v>0</v>
      </c>
    </row>
    <row r="2279" spans="8:8" x14ac:dyDescent="0.2">
      <c r="H2279">
        <v>0</v>
      </c>
    </row>
    <row r="2280" spans="8:8" x14ac:dyDescent="0.2">
      <c r="H2280">
        <v>0</v>
      </c>
    </row>
    <row r="2281" spans="8:8" x14ac:dyDescent="0.2">
      <c r="H2281">
        <v>0</v>
      </c>
    </row>
    <row r="2282" spans="8:8" x14ac:dyDescent="0.2">
      <c r="H2282">
        <v>0</v>
      </c>
    </row>
    <row r="2283" spans="8:8" x14ac:dyDescent="0.2">
      <c r="H2283">
        <v>0</v>
      </c>
    </row>
    <row r="2284" spans="8:8" x14ac:dyDescent="0.2">
      <c r="H2284">
        <v>0</v>
      </c>
    </row>
    <row r="2285" spans="8:8" x14ac:dyDescent="0.2">
      <c r="H2285">
        <v>0</v>
      </c>
    </row>
    <row r="2286" spans="8:8" x14ac:dyDescent="0.2">
      <c r="H2286">
        <v>0</v>
      </c>
    </row>
    <row r="2287" spans="8:8" x14ac:dyDescent="0.2">
      <c r="H2287">
        <v>0</v>
      </c>
    </row>
    <row r="2288" spans="8:8" x14ac:dyDescent="0.2">
      <c r="H2288">
        <v>0</v>
      </c>
    </row>
    <row r="2289" spans="8:8" x14ac:dyDescent="0.2">
      <c r="H2289">
        <v>0</v>
      </c>
    </row>
    <row r="2290" spans="8:8" x14ac:dyDescent="0.2">
      <c r="H2290">
        <v>0</v>
      </c>
    </row>
    <row r="2291" spans="8:8" x14ac:dyDescent="0.2">
      <c r="H2291">
        <v>0</v>
      </c>
    </row>
    <row r="2292" spans="8:8" x14ac:dyDescent="0.2">
      <c r="H2292">
        <v>0</v>
      </c>
    </row>
    <row r="2293" spans="8:8" x14ac:dyDescent="0.2">
      <c r="H2293">
        <v>0</v>
      </c>
    </row>
    <row r="2294" spans="8:8" x14ac:dyDescent="0.2">
      <c r="H2294">
        <v>0</v>
      </c>
    </row>
    <row r="2295" spans="8:8" x14ac:dyDescent="0.2">
      <c r="H2295">
        <v>0</v>
      </c>
    </row>
    <row r="2296" spans="8:8" x14ac:dyDescent="0.2">
      <c r="H2296">
        <v>0</v>
      </c>
    </row>
    <row r="2297" spans="8:8" x14ac:dyDescent="0.2">
      <c r="H2297">
        <v>0</v>
      </c>
    </row>
    <row r="2298" spans="8:8" x14ac:dyDescent="0.2">
      <c r="H2298">
        <v>0</v>
      </c>
    </row>
    <row r="2299" spans="8:8" x14ac:dyDescent="0.2">
      <c r="H2299">
        <v>0</v>
      </c>
    </row>
    <row r="2300" spans="8:8" x14ac:dyDescent="0.2">
      <c r="H2300">
        <v>0</v>
      </c>
    </row>
    <row r="2301" spans="8:8" x14ac:dyDescent="0.2">
      <c r="H2301">
        <v>0</v>
      </c>
    </row>
    <row r="2302" spans="8:8" x14ac:dyDescent="0.2">
      <c r="H2302">
        <v>0</v>
      </c>
    </row>
    <row r="2303" spans="8:8" x14ac:dyDescent="0.2">
      <c r="H2303">
        <v>0</v>
      </c>
    </row>
    <row r="2304" spans="8:8" x14ac:dyDescent="0.2">
      <c r="H2304">
        <v>0</v>
      </c>
    </row>
    <row r="2305" spans="8:8" x14ac:dyDescent="0.2">
      <c r="H2305">
        <v>0</v>
      </c>
    </row>
    <row r="2306" spans="8:8" x14ac:dyDescent="0.2">
      <c r="H2306">
        <v>0</v>
      </c>
    </row>
    <row r="2307" spans="8:8" x14ac:dyDescent="0.2">
      <c r="H2307">
        <v>0</v>
      </c>
    </row>
    <row r="2308" spans="8:8" x14ac:dyDescent="0.2">
      <c r="H2308">
        <v>0</v>
      </c>
    </row>
    <row r="2309" spans="8:8" x14ac:dyDescent="0.2">
      <c r="H2309">
        <v>0</v>
      </c>
    </row>
    <row r="2310" spans="8:8" x14ac:dyDescent="0.2">
      <c r="H2310">
        <v>0</v>
      </c>
    </row>
    <row r="2311" spans="8:8" x14ac:dyDescent="0.2">
      <c r="H2311">
        <v>0</v>
      </c>
    </row>
    <row r="2312" spans="8:8" x14ac:dyDescent="0.2">
      <c r="H2312">
        <v>0</v>
      </c>
    </row>
    <row r="2313" spans="8:8" x14ac:dyDescent="0.2">
      <c r="H2313">
        <v>0</v>
      </c>
    </row>
    <row r="2314" spans="8:8" x14ac:dyDescent="0.2">
      <c r="H2314">
        <v>0</v>
      </c>
    </row>
    <row r="2315" spans="8:8" x14ac:dyDescent="0.2">
      <c r="H2315">
        <v>0</v>
      </c>
    </row>
    <row r="2316" spans="8:8" x14ac:dyDescent="0.2">
      <c r="H2316">
        <v>0</v>
      </c>
    </row>
    <row r="2317" spans="8:8" x14ac:dyDescent="0.2">
      <c r="H2317">
        <v>0</v>
      </c>
    </row>
    <row r="2318" spans="8:8" x14ac:dyDescent="0.2">
      <c r="H2318">
        <v>0</v>
      </c>
    </row>
    <row r="2319" spans="8:8" x14ac:dyDescent="0.2">
      <c r="H2319">
        <v>0</v>
      </c>
    </row>
    <row r="2320" spans="8:8" x14ac:dyDescent="0.2">
      <c r="H2320">
        <v>0</v>
      </c>
    </row>
    <row r="2321" spans="8:8" x14ac:dyDescent="0.2">
      <c r="H2321">
        <v>0</v>
      </c>
    </row>
    <row r="2322" spans="8:8" x14ac:dyDescent="0.2">
      <c r="H2322">
        <v>0</v>
      </c>
    </row>
    <row r="2323" spans="8:8" x14ac:dyDescent="0.2">
      <c r="H2323">
        <v>0</v>
      </c>
    </row>
    <row r="2324" spans="8:8" x14ac:dyDescent="0.2">
      <c r="H2324">
        <v>0</v>
      </c>
    </row>
    <row r="2325" spans="8:8" x14ac:dyDescent="0.2">
      <c r="H2325">
        <v>0</v>
      </c>
    </row>
    <row r="2326" spans="8:8" x14ac:dyDescent="0.2">
      <c r="H2326">
        <v>0</v>
      </c>
    </row>
    <row r="2327" spans="8:8" x14ac:dyDescent="0.2">
      <c r="H2327">
        <v>0</v>
      </c>
    </row>
    <row r="2328" spans="8:8" x14ac:dyDescent="0.2">
      <c r="H2328">
        <v>0</v>
      </c>
    </row>
    <row r="2329" spans="8:8" x14ac:dyDescent="0.2">
      <c r="H2329">
        <v>0</v>
      </c>
    </row>
    <row r="2330" spans="8:8" x14ac:dyDescent="0.2">
      <c r="H2330">
        <v>0</v>
      </c>
    </row>
    <row r="2331" spans="8:8" x14ac:dyDescent="0.2">
      <c r="H2331">
        <v>0</v>
      </c>
    </row>
    <row r="2332" spans="8:8" x14ac:dyDescent="0.2">
      <c r="H2332">
        <v>0</v>
      </c>
    </row>
    <row r="2333" spans="8:8" x14ac:dyDescent="0.2">
      <c r="H2333">
        <v>0</v>
      </c>
    </row>
    <row r="2334" spans="8:8" x14ac:dyDescent="0.2">
      <c r="H2334">
        <v>0</v>
      </c>
    </row>
    <row r="2335" spans="8:8" x14ac:dyDescent="0.2">
      <c r="H2335">
        <v>0</v>
      </c>
    </row>
    <row r="2336" spans="8:8" x14ac:dyDescent="0.2">
      <c r="H2336">
        <v>0</v>
      </c>
    </row>
    <row r="2337" spans="8:8" x14ac:dyDescent="0.2">
      <c r="H2337">
        <v>0</v>
      </c>
    </row>
    <row r="2338" spans="8:8" x14ac:dyDescent="0.2">
      <c r="H2338">
        <v>0</v>
      </c>
    </row>
    <row r="2339" spans="8:8" x14ac:dyDescent="0.2">
      <c r="H2339">
        <v>0</v>
      </c>
    </row>
    <row r="2340" spans="8:8" x14ac:dyDescent="0.2">
      <c r="H2340">
        <v>0</v>
      </c>
    </row>
    <row r="2341" spans="8:8" x14ac:dyDescent="0.2">
      <c r="H2341">
        <v>0</v>
      </c>
    </row>
    <row r="2342" spans="8:8" x14ac:dyDescent="0.2">
      <c r="H2342">
        <v>0</v>
      </c>
    </row>
    <row r="2343" spans="8:8" x14ac:dyDescent="0.2">
      <c r="H2343">
        <v>0</v>
      </c>
    </row>
    <row r="2344" spans="8:8" x14ac:dyDescent="0.2">
      <c r="H2344">
        <v>0</v>
      </c>
    </row>
    <row r="2345" spans="8:8" x14ac:dyDescent="0.2">
      <c r="H2345">
        <v>0</v>
      </c>
    </row>
    <row r="2346" spans="8:8" x14ac:dyDescent="0.2">
      <c r="H2346">
        <v>0</v>
      </c>
    </row>
    <row r="2347" spans="8:8" x14ac:dyDescent="0.2">
      <c r="H2347">
        <v>0</v>
      </c>
    </row>
    <row r="2348" spans="8:8" x14ac:dyDescent="0.2">
      <c r="H2348">
        <v>0</v>
      </c>
    </row>
    <row r="2349" spans="8:8" x14ac:dyDescent="0.2">
      <c r="H2349">
        <v>0</v>
      </c>
    </row>
    <row r="2350" spans="8:8" x14ac:dyDescent="0.2">
      <c r="H2350">
        <v>0</v>
      </c>
    </row>
    <row r="2351" spans="8:8" x14ac:dyDescent="0.2">
      <c r="H2351">
        <v>0</v>
      </c>
    </row>
    <row r="2352" spans="8:8" x14ac:dyDescent="0.2">
      <c r="H2352">
        <v>0</v>
      </c>
    </row>
    <row r="2353" spans="8:8" x14ac:dyDescent="0.2">
      <c r="H2353">
        <v>0</v>
      </c>
    </row>
    <row r="2354" spans="8:8" x14ac:dyDescent="0.2">
      <c r="H2354">
        <v>0</v>
      </c>
    </row>
    <row r="2355" spans="8:8" x14ac:dyDescent="0.2">
      <c r="H2355">
        <v>0</v>
      </c>
    </row>
    <row r="2356" spans="8:8" x14ac:dyDescent="0.2">
      <c r="H2356">
        <v>0</v>
      </c>
    </row>
    <row r="2357" spans="8:8" x14ac:dyDescent="0.2">
      <c r="H2357">
        <v>0</v>
      </c>
    </row>
    <row r="2358" spans="8:8" x14ac:dyDescent="0.2">
      <c r="H2358">
        <v>0</v>
      </c>
    </row>
    <row r="2359" spans="8:8" x14ac:dyDescent="0.2">
      <c r="H2359">
        <v>0</v>
      </c>
    </row>
    <row r="2360" spans="8:8" x14ac:dyDescent="0.2">
      <c r="H2360">
        <v>0</v>
      </c>
    </row>
    <row r="2361" spans="8:8" x14ac:dyDescent="0.2">
      <c r="H2361">
        <v>0</v>
      </c>
    </row>
    <row r="2362" spans="8:8" x14ac:dyDescent="0.2">
      <c r="H2362">
        <v>0</v>
      </c>
    </row>
    <row r="2363" spans="8:8" x14ac:dyDescent="0.2">
      <c r="H2363">
        <v>0</v>
      </c>
    </row>
    <row r="2364" spans="8:8" x14ac:dyDescent="0.2">
      <c r="H2364">
        <v>0</v>
      </c>
    </row>
    <row r="2365" spans="8:8" x14ac:dyDescent="0.2">
      <c r="H2365">
        <v>0</v>
      </c>
    </row>
    <row r="2366" spans="8:8" x14ac:dyDescent="0.2">
      <c r="H2366">
        <v>0</v>
      </c>
    </row>
    <row r="2367" spans="8:8" x14ac:dyDescent="0.2">
      <c r="H2367">
        <v>0</v>
      </c>
    </row>
    <row r="2368" spans="8:8" x14ac:dyDescent="0.2">
      <c r="H2368">
        <v>0</v>
      </c>
    </row>
    <row r="2369" spans="8:8" x14ac:dyDescent="0.2">
      <c r="H2369">
        <v>0</v>
      </c>
    </row>
    <row r="2370" spans="8:8" x14ac:dyDescent="0.2">
      <c r="H2370">
        <v>0</v>
      </c>
    </row>
    <row r="2371" spans="8:8" x14ac:dyDescent="0.2">
      <c r="H2371">
        <v>0</v>
      </c>
    </row>
    <row r="2372" spans="8:8" x14ac:dyDescent="0.2">
      <c r="H2372">
        <v>0</v>
      </c>
    </row>
    <row r="2373" spans="8:8" x14ac:dyDescent="0.2">
      <c r="H2373">
        <v>0</v>
      </c>
    </row>
    <row r="2374" spans="8:8" x14ac:dyDescent="0.2">
      <c r="H2374">
        <v>0</v>
      </c>
    </row>
    <row r="2375" spans="8:8" x14ac:dyDescent="0.2">
      <c r="H2375">
        <v>0</v>
      </c>
    </row>
    <row r="2376" spans="8:8" x14ac:dyDescent="0.2">
      <c r="H2376">
        <v>0</v>
      </c>
    </row>
    <row r="2377" spans="8:8" x14ac:dyDescent="0.2">
      <c r="H2377">
        <v>0</v>
      </c>
    </row>
    <row r="2378" spans="8:8" x14ac:dyDescent="0.2">
      <c r="H2378">
        <v>0</v>
      </c>
    </row>
    <row r="2379" spans="8:8" x14ac:dyDescent="0.2">
      <c r="H2379">
        <v>0</v>
      </c>
    </row>
    <row r="2380" spans="8:8" x14ac:dyDescent="0.2">
      <c r="H2380">
        <v>0</v>
      </c>
    </row>
    <row r="2381" spans="8:8" x14ac:dyDescent="0.2">
      <c r="H2381">
        <v>0</v>
      </c>
    </row>
    <row r="2382" spans="8:8" x14ac:dyDescent="0.2">
      <c r="H2382">
        <v>0</v>
      </c>
    </row>
    <row r="2383" spans="8:8" x14ac:dyDescent="0.2">
      <c r="H2383">
        <v>0</v>
      </c>
    </row>
    <row r="2384" spans="8:8" x14ac:dyDescent="0.2">
      <c r="H2384">
        <v>0</v>
      </c>
    </row>
    <row r="2385" spans="8:8" x14ac:dyDescent="0.2">
      <c r="H2385">
        <v>0</v>
      </c>
    </row>
    <row r="2386" spans="8:8" x14ac:dyDescent="0.2">
      <c r="H2386">
        <v>0</v>
      </c>
    </row>
    <row r="2387" spans="8:8" x14ac:dyDescent="0.2">
      <c r="H2387">
        <v>0</v>
      </c>
    </row>
    <row r="2388" spans="8:8" x14ac:dyDescent="0.2">
      <c r="H2388">
        <v>0</v>
      </c>
    </row>
    <row r="2389" spans="8:8" x14ac:dyDescent="0.2">
      <c r="H2389">
        <v>0</v>
      </c>
    </row>
    <row r="2390" spans="8:8" x14ac:dyDescent="0.2">
      <c r="H2390">
        <v>0</v>
      </c>
    </row>
    <row r="2391" spans="8:8" x14ac:dyDescent="0.2">
      <c r="H2391">
        <v>0</v>
      </c>
    </row>
    <row r="2392" spans="8:8" x14ac:dyDescent="0.2">
      <c r="H2392">
        <v>0</v>
      </c>
    </row>
    <row r="2393" spans="8:8" x14ac:dyDescent="0.2">
      <c r="H2393">
        <v>0</v>
      </c>
    </row>
    <row r="2394" spans="8:8" x14ac:dyDescent="0.2">
      <c r="H2394">
        <v>0</v>
      </c>
    </row>
    <row r="2395" spans="8:8" x14ac:dyDescent="0.2">
      <c r="H2395">
        <v>0</v>
      </c>
    </row>
    <row r="2396" spans="8:8" x14ac:dyDescent="0.2">
      <c r="H2396">
        <v>0</v>
      </c>
    </row>
    <row r="2397" spans="8:8" x14ac:dyDescent="0.2">
      <c r="H2397">
        <v>0</v>
      </c>
    </row>
    <row r="2398" spans="8:8" x14ac:dyDescent="0.2">
      <c r="H2398">
        <v>0</v>
      </c>
    </row>
    <row r="2399" spans="8:8" x14ac:dyDescent="0.2">
      <c r="H2399">
        <v>0</v>
      </c>
    </row>
    <row r="2400" spans="8:8" x14ac:dyDescent="0.2">
      <c r="H2400">
        <v>0</v>
      </c>
    </row>
    <row r="2401" spans="8:8" x14ac:dyDescent="0.2">
      <c r="H2401">
        <v>0</v>
      </c>
    </row>
    <row r="2402" spans="8:8" x14ac:dyDescent="0.2">
      <c r="H2402">
        <v>0</v>
      </c>
    </row>
    <row r="2403" spans="8:8" x14ac:dyDescent="0.2">
      <c r="H2403">
        <v>0</v>
      </c>
    </row>
    <row r="2404" spans="8:8" x14ac:dyDescent="0.2">
      <c r="H2404">
        <v>0</v>
      </c>
    </row>
    <row r="2405" spans="8:8" x14ac:dyDescent="0.2">
      <c r="H2405">
        <v>0</v>
      </c>
    </row>
    <row r="2406" spans="8:8" x14ac:dyDescent="0.2">
      <c r="H2406">
        <v>0</v>
      </c>
    </row>
    <row r="2407" spans="8:8" x14ac:dyDescent="0.2">
      <c r="H2407">
        <v>0</v>
      </c>
    </row>
    <row r="2408" spans="8:8" x14ac:dyDescent="0.2">
      <c r="H2408">
        <v>0</v>
      </c>
    </row>
    <row r="2409" spans="8:8" x14ac:dyDescent="0.2">
      <c r="H2409">
        <v>0</v>
      </c>
    </row>
    <row r="2410" spans="8:8" x14ac:dyDescent="0.2">
      <c r="H2410">
        <v>0</v>
      </c>
    </row>
    <row r="2411" spans="8:8" x14ac:dyDescent="0.2">
      <c r="H2411">
        <v>0</v>
      </c>
    </row>
    <row r="2412" spans="8:8" x14ac:dyDescent="0.2">
      <c r="H2412">
        <v>0</v>
      </c>
    </row>
    <row r="2413" spans="8:8" x14ac:dyDescent="0.2">
      <c r="H2413">
        <v>0</v>
      </c>
    </row>
    <row r="2414" spans="8:8" x14ac:dyDescent="0.2">
      <c r="H2414">
        <v>0</v>
      </c>
    </row>
    <row r="2415" spans="8:8" x14ac:dyDescent="0.2">
      <c r="H2415">
        <v>0</v>
      </c>
    </row>
    <row r="2416" spans="8:8" x14ac:dyDescent="0.2">
      <c r="H2416">
        <v>0</v>
      </c>
    </row>
    <row r="2417" spans="8:8" x14ac:dyDescent="0.2">
      <c r="H2417">
        <v>0</v>
      </c>
    </row>
    <row r="2418" spans="8:8" x14ac:dyDescent="0.2">
      <c r="H2418">
        <v>0</v>
      </c>
    </row>
    <row r="2419" spans="8:8" x14ac:dyDescent="0.2">
      <c r="H2419">
        <v>0</v>
      </c>
    </row>
    <row r="2420" spans="8:8" x14ac:dyDescent="0.2">
      <c r="H2420">
        <v>0</v>
      </c>
    </row>
    <row r="2421" spans="8:8" x14ac:dyDescent="0.2">
      <c r="H2421">
        <v>0</v>
      </c>
    </row>
    <row r="2422" spans="8:8" x14ac:dyDescent="0.2">
      <c r="H2422">
        <v>0</v>
      </c>
    </row>
    <row r="2423" spans="8:8" x14ac:dyDescent="0.2">
      <c r="H2423">
        <v>0</v>
      </c>
    </row>
    <row r="2424" spans="8:8" x14ac:dyDescent="0.2">
      <c r="H2424">
        <v>0</v>
      </c>
    </row>
    <row r="2425" spans="8:8" x14ac:dyDescent="0.2">
      <c r="H2425">
        <v>0</v>
      </c>
    </row>
    <row r="2426" spans="8:8" x14ac:dyDescent="0.2">
      <c r="H2426">
        <v>0</v>
      </c>
    </row>
    <row r="2427" spans="8:8" x14ac:dyDescent="0.2">
      <c r="H2427">
        <v>0</v>
      </c>
    </row>
    <row r="2428" spans="8:8" x14ac:dyDescent="0.2">
      <c r="H2428">
        <v>0</v>
      </c>
    </row>
    <row r="2429" spans="8:8" x14ac:dyDescent="0.2">
      <c r="H2429">
        <v>0</v>
      </c>
    </row>
    <row r="2430" spans="8:8" x14ac:dyDescent="0.2">
      <c r="H2430">
        <v>0</v>
      </c>
    </row>
    <row r="2431" spans="8:8" x14ac:dyDescent="0.2">
      <c r="H2431">
        <v>0</v>
      </c>
    </row>
    <row r="2432" spans="8:8" x14ac:dyDescent="0.2">
      <c r="H2432">
        <v>0</v>
      </c>
    </row>
    <row r="2433" spans="8:8" x14ac:dyDescent="0.2">
      <c r="H2433">
        <v>0</v>
      </c>
    </row>
    <row r="2434" spans="8:8" x14ac:dyDescent="0.2">
      <c r="H2434">
        <v>0</v>
      </c>
    </row>
    <row r="2435" spans="8:8" x14ac:dyDescent="0.2">
      <c r="H2435">
        <v>0</v>
      </c>
    </row>
    <row r="2436" spans="8:8" x14ac:dyDescent="0.2">
      <c r="H2436">
        <v>0</v>
      </c>
    </row>
    <row r="2437" spans="8:8" x14ac:dyDescent="0.2">
      <c r="H2437">
        <v>0</v>
      </c>
    </row>
    <row r="2438" spans="8:8" x14ac:dyDescent="0.2">
      <c r="H2438">
        <v>0</v>
      </c>
    </row>
    <row r="2439" spans="8:8" x14ac:dyDescent="0.2">
      <c r="H2439">
        <v>0</v>
      </c>
    </row>
    <row r="2440" spans="8:8" x14ac:dyDescent="0.2">
      <c r="H2440">
        <v>0</v>
      </c>
    </row>
    <row r="2441" spans="8:8" x14ac:dyDescent="0.2">
      <c r="H2441">
        <v>0</v>
      </c>
    </row>
    <row r="2442" spans="8:8" x14ac:dyDescent="0.2">
      <c r="H2442">
        <v>0</v>
      </c>
    </row>
    <row r="2443" spans="8:8" x14ac:dyDescent="0.2">
      <c r="H2443">
        <v>0</v>
      </c>
    </row>
    <row r="2444" spans="8:8" x14ac:dyDescent="0.2">
      <c r="H2444">
        <v>0</v>
      </c>
    </row>
    <row r="2445" spans="8:8" x14ac:dyDescent="0.2">
      <c r="H2445">
        <v>0</v>
      </c>
    </row>
    <row r="2446" spans="8:8" x14ac:dyDescent="0.2">
      <c r="H2446">
        <v>0</v>
      </c>
    </row>
    <row r="2447" spans="8:8" x14ac:dyDescent="0.2">
      <c r="H2447">
        <v>0</v>
      </c>
    </row>
    <row r="2448" spans="8:8" x14ac:dyDescent="0.2">
      <c r="H2448">
        <v>0</v>
      </c>
    </row>
    <row r="2449" spans="8:8" x14ac:dyDescent="0.2">
      <c r="H2449">
        <v>0</v>
      </c>
    </row>
    <row r="2450" spans="8:8" x14ac:dyDescent="0.2">
      <c r="H2450">
        <v>0</v>
      </c>
    </row>
    <row r="2451" spans="8:8" x14ac:dyDescent="0.2">
      <c r="H2451">
        <v>0</v>
      </c>
    </row>
    <row r="2452" spans="8:8" x14ac:dyDescent="0.2">
      <c r="H2452">
        <v>0</v>
      </c>
    </row>
    <row r="2453" spans="8:8" x14ac:dyDescent="0.2">
      <c r="H2453">
        <v>0</v>
      </c>
    </row>
    <row r="2454" spans="8:8" x14ac:dyDescent="0.2">
      <c r="H2454">
        <v>0</v>
      </c>
    </row>
    <row r="2455" spans="8:8" x14ac:dyDescent="0.2">
      <c r="H2455">
        <v>0</v>
      </c>
    </row>
    <row r="2456" spans="8:8" x14ac:dyDescent="0.2">
      <c r="H2456">
        <v>0</v>
      </c>
    </row>
    <row r="2457" spans="8:8" x14ac:dyDescent="0.2">
      <c r="H2457">
        <v>0</v>
      </c>
    </row>
    <row r="2458" spans="8:8" x14ac:dyDescent="0.2">
      <c r="H2458">
        <v>0</v>
      </c>
    </row>
    <row r="2459" spans="8:8" x14ac:dyDescent="0.2">
      <c r="H2459">
        <v>0</v>
      </c>
    </row>
    <row r="2460" spans="8:8" x14ac:dyDescent="0.2">
      <c r="H2460">
        <v>0</v>
      </c>
    </row>
    <row r="2461" spans="8:8" x14ac:dyDescent="0.2">
      <c r="H2461">
        <v>0</v>
      </c>
    </row>
    <row r="2462" spans="8:8" x14ac:dyDescent="0.2">
      <c r="H2462">
        <v>0</v>
      </c>
    </row>
    <row r="2463" spans="8:8" x14ac:dyDescent="0.2">
      <c r="H2463">
        <v>0</v>
      </c>
    </row>
    <row r="2464" spans="8:8" x14ac:dyDescent="0.2">
      <c r="H2464">
        <v>0</v>
      </c>
    </row>
    <row r="2465" spans="8:8" x14ac:dyDescent="0.2">
      <c r="H2465">
        <v>0</v>
      </c>
    </row>
    <row r="2466" spans="8:8" x14ac:dyDescent="0.2">
      <c r="H2466">
        <v>0</v>
      </c>
    </row>
    <row r="2467" spans="8:8" x14ac:dyDescent="0.2">
      <c r="H2467">
        <v>0</v>
      </c>
    </row>
    <row r="2468" spans="8:8" x14ac:dyDescent="0.2">
      <c r="H2468">
        <v>0</v>
      </c>
    </row>
    <row r="2469" spans="8:8" x14ac:dyDescent="0.2">
      <c r="H2469">
        <v>0</v>
      </c>
    </row>
    <row r="2470" spans="8:8" x14ac:dyDescent="0.2">
      <c r="H2470">
        <v>0</v>
      </c>
    </row>
    <row r="2471" spans="8:8" x14ac:dyDescent="0.2">
      <c r="H2471">
        <v>0</v>
      </c>
    </row>
    <row r="2472" spans="8:8" x14ac:dyDescent="0.2">
      <c r="H2472">
        <v>0</v>
      </c>
    </row>
    <row r="2473" spans="8:8" x14ac:dyDescent="0.2">
      <c r="H2473">
        <v>0</v>
      </c>
    </row>
    <row r="2474" spans="8:8" x14ac:dyDescent="0.2">
      <c r="H2474">
        <v>0</v>
      </c>
    </row>
    <row r="2475" spans="8:8" x14ac:dyDescent="0.2">
      <c r="H2475">
        <v>0</v>
      </c>
    </row>
    <row r="2476" spans="8:8" x14ac:dyDescent="0.2">
      <c r="H2476">
        <v>0</v>
      </c>
    </row>
    <row r="2477" spans="8:8" x14ac:dyDescent="0.2">
      <c r="H2477">
        <v>0</v>
      </c>
    </row>
    <row r="2478" spans="8:8" x14ac:dyDescent="0.2">
      <c r="H2478">
        <v>0</v>
      </c>
    </row>
    <row r="2479" spans="8:8" x14ac:dyDescent="0.2">
      <c r="H2479">
        <v>0</v>
      </c>
    </row>
    <row r="2480" spans="8:8" x14ac:dyDescent="0.2">
      <c r="H2480">
        <v>0</v>
      </c>
    </row>
    <row r="2481" spans="8:8" x14ac:dyDescent="0.2">
      <c r="H2481">
        <v>0</v>
      </c>
    </row>
    <row r="2482" spans="8:8" x14ac:dyDescent="0.2">
      <c r="H2482">
        <v>0</v>
      </c>
    </row>
    <row r="2483" spans="8:8" x14ac:dyDescent="0.2">
      <c r="H2483">
        <v>0</v>
      </c>
    </row>
    <row r="2484" spans="8:8" x14ac:dyDescent="0.2">
      <c r="H2484">
        <v>0</v>
      </c>
    </row>
    <row r="2485" spans="8:8" x14ac:dyDescent="0.2">
      <c r="H2485">
        <v>0</v>
      </c>
    </row>
    <row r="2486" spans="8:8" x14ac:dyDescent="0.2">
      <c r="H2486">
        <v>0</v>
      </c>
    </row>
    <row r="2487" spans="8:8" x14ac:dyDescent="0.2">
      <c r="H2487">
        <v>0</v>
      </c>
    </row>
    <row r="2488" spans="8:8" x14ac:dyDescent="0.2">
      <c r="H2488">
        <v>0</v>
      </c>
    </row>
    <row r="2489" spans="8:8" x14ac:dyDescent="0.2">
      <c r="H2489">
        <v>0</v>
      </c>
    </row>
    <row r="2490" spans="8:8" x14ac:dyDescent="0.2">
      <c r="H2490">
        <v>0</v>
      </c>
    </row>
    <row r="2491" spans="8:8" x14ac:dyDescent="0.2">
      <c r="H2491">
        <v>0</v>
      </c>
    </row>
    <row r="2492" spans="8:8" x14ac:dyDescent="0.2">
      <c r="H2492">
        <v>0</v>
      </c>
    </row>
    <row r="2493" spans="8:8" x14ac:dyDescent="0.2">
      <c r="H2493">
        <v>0</v>
      </c>
    </row>
    <row r="2494" spans="8:8" x14ac:dyDescent="0.2">
      <c r="H2494">
        <v>0</v>
      </c>
    </row>
    <row r="2495" spans="8:8" x14ac:dyDescent="0.2">
      <c r="H2495">
        <v>0</v>
      </c>
    </row>
    <row r="2496" spans="8:8" x14ac:dyDescent="0.2">
      <c r="H2496">
        <v>0</v>
      </c>
    </row>
    <row r="2497" spans="8:8" x14ac:dyDescent="0.2">
      <c r="H2497">
        <v>0</v>
      </c>
    </row>
    <row r="2498" spans="8:8" x14ac:dyDescent="0.2">
      <c r="H2498">
        <v>0</v>
      </c>
    </row>
    <row r="2499" spans="8:8" x14ac:dyDescent="0.2">
      <c r="H2499">
        <v>0</v>
      </c>
    </row>
    <row r="2500" spans="8:8" x14ac:dyDescent="0.2">
      <c r="H2500">
        <v>0</v>
      </c>
    </row>
    <row r="2501" spans="8:8" x14ac:dyDescent="0.2">
      <c r="H2501">
        <v>0</v>
      </c>
    </row>
    <row r="2502" spans="8:8" x14ac:dyDescent="0.2">
      <c r="H2502">
        <v>0</v>
      </c>
    </row>
    <row r="2503" spans="8:8" x14ac:dyDescent="0.2">
      <c r="H2503">
        <v>0</v>
      </c>
    </row>
    <row r="2504" spans="8:8" x14ac:dyDescent="0.2">
      <c r="H2504">
        <v>0</v>
      </c>
    </row>
    <row r="2505" spans="8:8" x14ac:dyDescent="0.2">
      <c r="H2505">
        <v>0</v>
      </c>
    </row>
    <row r="2506" spans="8:8" x14ac:dyDescent="0.2">
      <c r="H2506">
        <v>0</v>
      </c>
    </row>
    <row r="2507" spans="8:8" x14ac:dyDescent="0.2">
      <c r="H2507">
        <v>0</v>
      </c>
    </row>
    <row r="2508" spans="8:8" x14ac:dyDescent="0.2">
      <c r="H2508">
        <v>0</v>
      </c>
    </row>
    <row r="2509" spans="8:8" x14ac:dyDescent="0.2">
      <c r="H2509">
        <v>0</v>
      </c>
    </row>
    <row r="2510" spans="8:8" x14ac:dyDescent="0.2">
      <c r="H2510">
        <v>0</v>
      </c>
    </row>
    <row r="2511" spans="8:8" x14ac:dyDescent="0.2">
      <c r="H2511">
        <v>0</v>
      </c>
    </row>
    <row r="2512" spans="8:8" x14ac:dyDescent="0.2">
      <c r="H2512">
        <v>0</v>
      </c>
    </row>
    <row r="2513" spans="8:8" x14ac:dyDescent="0.2">
      <c r="H2513">
        <v>0</v>
      </c>
    </row>
    <row r="2514" spans="8:8" x14ac:dyDescent="0.2">
      <c r="H2514">
        <v>0</v>
      </c>
    </row>
    <row r="2515" spans="8:8" x14ac:dyDescent="0.2">
      <c r="H2515">
        <v>0</v>
      </c>
    </row>
    <row r="2516" spans="8:8" x14ac:dyDescent="0.2">
      <c r="H2516">
        <v>0</v>
      </c>
    </row>
    <row r="2517" spans="8:8" x14ac:dyDescent="0.2">
      <c r="H2517">
        <v>0</v>
      </c>
    </row>
    <row r="2518" spans="8:8" x14ac:dyDescent="0.2">
      <c r="H2518">
        <v>0</v>
      </c>
    </row>
    <row r="2519" spans="8:8" x14ac:dyDescent="0.2">
      <c r="H2519">
        <v>0</v>
      </c>
    </row>
    <row r="2520" spans="8:8" x14ac:dyDescent="0.2">
      <c r="H2520">
        <v>0</v>
      </c>
    </row>
    <row r="2521" spans="8:8" x14ac:dyDescent="0.2">
      <c r="H2521">
        <v>0</v>
      </c>
    </row>
    <row r="2522" spans="8:8" x14ac:dyDescent="0.2">
      <c r="H2522">
        <v>0</v>
      </c>
    </row>
    <row r="2523" spans="8:8" x14ac:dyDescent="0.2">
      <c r="H2523">
        <v>0</v>
      </c>
    </row>
    <row r="2524" spans="8:8" x14ac:dyDescent="0.2">
      <c r="H2524">
        <v>0</v>
      </c>
    </row>
    <row r="2525" spans="8:8" x14ac:dyDescent="0.2">
      <c r="H2525">
        <v>0</v>
      </c>
    </row>
    <row r="2526" spans="8:8" x14ac:dyDescent="0.2">
      <c r="H2526">
        <v>0</v>
      </c>
    </row>
    <row r="2527" spans="8:8" x14ac:dyDescent="0.2">
      <c r="H2527">
        <v>0</v>
      </c>
    </row>
    <row r="2528" spans="8:8" x14ac:dyDescent="0.2">
      <c r="H2528">
        <v>0</v>
      </c>
    </row>
    <row r="2529" spans="8:8" x14ac:dyDescent="0.2">
      <c r="H2529">
        <v>0</v>
      </c>
    </row>
    <row r="2530" spans="8:8" x14ac:dyDescent="0.2">
      <c r="H2530">
        <v>0</v>
      </c>
    </row>
    <row r="2531" spans="8:8" x14ac:dyDescent="0.2">
      <c r="H2531">
        <v>0</v>
      </c>
    </row>
    <row r="2532" spans="8:8" x14ac:dyDescent="0.2">
      <c r="H2532">
        <v>0</v>
      </c>
    </row>
    <row r="2533" spans="8:8" x14ac:dyDescent="0.2">
      <c r="H2533">
        <v>0</v>
      </c>
    </row>
    <row r="2534" spans="8:8" x14ac:dyDescent="0.2">
      <c r="H2534">
        <v>0</v>
      </c>
    </row>
    <row r="2535" spans="8:8" x14ac:dyDescent="0.2">
      <c r="H2535">
        <v>0</v>
      </c>
    </row>
    <row r="2536" spans="8:8" x14ac:dyDescent="0.2">
      <c r="H2536">
        <v>0</v>
      </c>
    </row>
    <row r="2537" spans="8:8" x14ac:dyDescent="0.2">
      <c r="H2537">
        <v>0</v>
      </c>
    </row>
    <row r="2538" spans="8:8" x14ac:dyDescent="0.2">
      <c r="H2538">
        <v>0</v>
      </c>
    </row>
    <row r="2539" spans="8:8" x14ac:dyDescent="0.2">
      <c r="H2539">
        <v>0</v>
      </c>
    </row>
    <row r="2540" spans="8:8" x14ac:dyDescent="0.2">
      <c r="H2540">
        <v>0</v>
      </c>
    </row>
    <row r="2541" spans="8:8" x14ac:dyDescent="0.2">
      <c r="H2541">
        <v>0</v>
      </c>
    </row>
    <row r="2542" spans="8:8" x14ac:dyDescent="0.2">
      <c r="H2542">
        <v>0</v>
      </c>
    </row>
    <row r="2543" spans="8:8" x14ac:dyDescent="0.2">
      <c r="H2543">
        <v>0</v>
      </c>
    </row>
    <row r="2544" spans="8:8" x14ac:dyDescent="0.2">
      <c r="H2544">
        <v>0</v>
      </c>
    </row>
    <row r="2545" spans="8:8" x14ac:dyDescent="0.2">
      <c r="H2545">
        <v>0</v>
      </c>
    </row>
    <row r="2546" spans="8:8" x14ac:dyDescent="0.2">
      <c r="H2546">
        <v>0</v>
      </c>
    </row>
    <row r="2547" spans="8:8" x14ac:dyDescent="0.2">
      <c r="H2547">
        <v>0</v>
      </c>
    </row>
    <row r="2548" spans="8:8" x14ac:dyDescent="0.2">
      <c r="H2548">
        <v>0</v>
      </c>
    </row>
    <row r="2549" spans="8:8" x14ac:dyDescent="0.2">
      <c r="H2549">
        <v>0</v>
      </c>
    </row>
    <row r="2550" spans="8:8" x14ac:dyDescent="0.2">
      <c r="H2550">
        <v>0</v>
      </c>
    </row>
    <row r="2551" spans="8:8" x14ac:dyDescent="0.2">
      <c r="H2551">
        <v>0</v>
      </c>
    </row>
    <row r="2552" spans="8:8" x14ac:dyDescent="0.2">
      <c r="H2552">
        <v>0</v>
      </c>
    </row>
    <row r="2553" spans="8:8" x14ac:dyDescent="0.2">
      <c r="H2553">
        <v>0</v>
      </c>
    </row>
    <row r="2554" spans="8:8" x14ac:dyDescent="0.2">
      <c r="H2554">
        <v>0</v>
      </c>
    </row>
    <row r="2555" spans="8:8" x14ac:dyDescent="0.2">
      <c r="H2555">
        <v>0</v>
      </c>
    </row>
    <row r="2556" spans="8:8" x14ac:dyDescent="0.2">
      <c r="H2556">
        <v>0</v>
      </c>
    </row>
    <row r="2557" spans="8:8" x14ac:dyDescent="0.2">
      <c r="H2557">
        <v>0</v>
      </c>
    </row>
    <row r="2558" spans="8:8" x14ac:dyDescent="0.2">
      <c r="H2558">
        <v>0</v>
      </c>
    </row>
    <row r="2559" spans="8:8" x14ac:dyDescent="0.2">
      <c r="H2559">
        <v>0</v>
      </c>
    </row>
    <row r="2560" spans="8:8" x14ac:dyDescent="0.2">
      <c r="H2560">
        <v>0</v>
      </c>
    </row>
    <row r="2561" spans="8:8" x14ac:dyDescent="0.2">
      <c r="H2561">
        <v>0</v>
      </c>
    </row>
    <row r="2562" spans="8:8" x14ac:dyDescent="0.2">
      <c r="H2562">
        <v>0</v>
      </c>
    </row>
    <row r="2563" spans="8:8" x14ac:dyDescent="0.2">
      <c r="H2563">
        <v>0</v>
      </c>
    </row>
    <row r="2564" spans="8:8" x14ac:dyDescent="0.2">
      <c r="H2564">
        <v>0</v>
      </c>
    </row>
    <row r="2565" spans="8:8" x14ac:dyDescent="0.2">
      <c r="H2565">
        <v>0</v>
      </c>
    </row>
    <row r="2566" spans="8:8" x14ac:dyDescent="0.2">
      <c r="H2566">
        <v>0</v>
      </c>
    </row>
    <row r="2567" spans="8:8" x14ac:dyDescent="0.2">
      <c r="H2567">
        <v>0</v>
      </c>
    </row>
    <row r="2568" spans="8:8" x14ac:dyDescent="0.2">
      <c r="H2568">
        <v>0</v>
      </c>
    </row>
    <row r="2569" spans="8:8" x14ac:dyDescent="0.2">
      <c r="H2569">
        <v>0</v>
      </c>
    </row>
    <row r="2570" spans="8:8" x14ac:dyDescent="0.2">
      <c r="H2570">
        <v>0</v>
      </c>
    </row>
    <row r="2571" spans="8:8" x14ac:dyDescent="0.2">
      <c r="H2571">
        <v>0</v>
      </c>
    </row>
    <row r="2572" spans="8:8" x14ac:dyDescent="0.2">
      <c r="H2572">
        <v>0</v>
      </c>
    </row>
    <row r="2573" spans="8:8" x14ac:dyDescent="0.2">
      <c r="H2573">
        <v>0</v>
      </c>
    </row>
    <row r="2574" spans="8:8" x14ac:dyDescent="0.2">
      <c r="H2574">
        <v>0</v>
      </c>
    </row>
    <row r="2575" spans="8:8" x14ac:dyDescent="0.2">
      <c r="H2575">
        <v>0</v>
      </c>
    </row>
    <row r="2576" spans="8:8" x14ac:dyDescent="0.2">
      <c r="H2576">
        <v>0</v>
      </c>
    </row>
    <row r="2577" spans="8:8" x14ac:dyDescent="0.2">
      <c r="H2577">
        <v>0</v>
      </c>
    </row>
    <row r="2578" spans="8:8" x14ac:dyDescent="0.2">
      <c r="H2578">
        <v>0</v>
      </c>
    </row>
    <row r="2579" spans="8:8" x14ac:dyDescent="0.2">
      <c r="H2579">
        <v>0</v>
      </c>
    </row>
    <row r="2580" spans="8:8" x14ac:dyDescent="0.2">
      <c r="H2580">
        <v>0</v>
      </c>
    </row>
    <row r="2581" spans="8:8" x14ac:dyDescent="0.2">
      <c r="H2581">
        <v>0</v>
      </c>
    </row>
    <row r="2582" spans="8:8" x14ac:dyDescent="0.2">
      <c r="H2582">
        <v>0</v>
      </c>
    </row>
    <row r="2583" spans="8:8" x14ac:dyDescent="0.2">
      <c r="H2583">
        <v>0</v>
      </c>
    </row>
    <row r="2584" spans="8:8" x14ac:dyDescent="0.2">
      <c r="H2584">
        <v>0</v>
      </c>
    </row>
    <row r="2585" spans="8:8" x14ac:dyDescent="0.2">
      <c r="H2585">
        <v>0</v>
      </c>
    </row>
    <row r="2586" spans="8:8" x14ac:dyDescent="0.2">
      <c r="H2586">
        <v>0</v>
      </c>
    </row>
    <row r="2587" spans="8:8" x14ac:dyDescent="0.2">
      <c r="H2587">
        <v>0</v>
      </c>
    </row>
    <row r="2588" spans="8:8" x14ac:dyDescent="0.2">
      <c r="H2588">
        <v>0</v>
      </c>
    </row>
    <row r="2589" spans="8:8" x14ac:dyDescent="0.2">
      <c r="H2589">
        <v>0</v>
      </c>
    </row>
    <row r="2590" spans="8:8" x14ac:dyDescent="0.2">
      <c r="H2590">
        <v>0</v>
      </c>
    </row>
    <row r="2591" spans="8:8" x14ac:dyDescent="0.2">
      <c r="H2591">
        <v>0</v>
      </c>
    </row>
    <row r="2592" spans="8:8" x14ac:dyDescent="0.2">
      <c r="H2592">
        <v>0</v>
      </c>
    </row>
    <row r="2593" spans="8:8" x14ac:dyDescent="0.2">
      <c r="H2593">
        <v>0</v>
      </c>
    </row>
    <row r="2594" spans="8:8" x14ac:dyDescent="0.2">
      <c r="H2594">
        <v>0</v>
      </c>
    </row>
    <row r="2595" spans="8:8" x14ac:dyDescent="0.2">
      <c r="H2595">
        <v>0</v>
      </c>
    </row>
    <row r="2596" spans="8:8" x14ac:dyDescent="0.2">
      <c r="H2596">
        <v>0</v>
      </c>
    </row>
    <row r="2597" spans="8:8" x14ac:dyDescent="0.2">
      <c r="H2597">
        <v>0</v>
      </c>
    </row>
    <row r="2598" spans="8:8" x14ac:dyDescent="0.2">
      <c r="H2598">
        <v>0</v>
      </c>
    </row>
    <row r="2599" spans="8:8" x14ac:dyDescent="0.2">
      <c r="H2599">
        <v>0</v>
      </c>
    </row>
    <row r="2600" spans="8:8" x14ac:dyDescent="0.2">
      <c r="H2600">
        <v>0</v>
      </c>
    </row>
    <row r="2601" spans="8:8" x14ac:dyDescent="0.2">
      <c r="H2601">
        <v>0</v>
      </c>
    </row>
    <row r="2602" spans="8:8" x14ac:dyDescent="0.2">
      <c r="H2602">
        <v>0</v>
      </c>
    </row>
    <row r="2603" spans="8:8" x14ac:dyDescent="0.2">
      <c r="H2603">
        <v>0</v>
      </c>
    </row>
    <row r="2604" spans="8:8" x14ac:dyDescent="0.2">
      <c r="H2604">
        <v>0</v>
      </c>
    </row>
    <row r="2605" spans="8:8" x14ac:dyDescent="0.2">
      <c r="H2605">
        <v>0</v>
      </c>
    </row>
    <row r="2606" spans="8:8" x14ac:dyDescent="0.2">
      <c r="H2606">
        <v>0</v>
      </c>
    </row>
    <row r="2607" spans="8:8" x14ac:dyDescent="0.2">
      <c r="H2607">
        <v>0</v>
      </c>
    </row>
    <row r="2608" spans="8:8" x14ac:dyDescent="0.2">
      <c r="H2608">
        <v>0</v>
      </c>
    </row>
    <row r="2609" spans="8:8" x14ac:dyDescent="0.2">
      <c r="H2609">
        <v>0</v>
      </c>
    </row>
    <row r="2610" spans="8:8" x14ac:dyDescent="0.2">
      <c r="H2610">
        <v>0</v>
      </c>
    </row>
    <row r="2611" spans="8:8" x14ac:dyDescent="0.2">
      <c r="H2611">
        <v>0</v>
      </c>
    </row>
    <row r="2612" spans="8:8" x14ac:dyDescent="0.2">
      <c r="H2612">
        <v>0</v>
      </c>
    </row>
    <row r="2613" spans="8:8" x14ac:dyDescent="0.2">
      <c r="H2613">
        <v>0</v>
      </c>
    </row>
    <row r="2614" spans="8:8" x14ac:dyDescent="0.2">
      <c r="H2614">
        <v>0</v>
      </c>
    </row>
    <row r="2615" spans="8:8" x14ac:dyDescent="0.2">
      <c r="H2615">
        <v>0</v>
      </c>
    </row>
    <row r="2616" spans="8:8" x14ac:dyDescent="0.2">
      <c r="H2616">
        <v>0</v>
      </c>
    </row>
    <row r="2617" spans="8:8" x14ac:dyDescent="0.2">
      <c r="H2617">
        <v>0</v>
      </c>
    </row>
    <row r="2618" spans="8:8" x14ac:dyDescent="0.2">
      <c r="H2618">
        <v>0</v>
      </c>
    </row>
    <row r="2619" spans="8:8" x14ac:dyDescent="0.2">
      <c r="H2619">
        <v>0</v>
      </c>
    </row>
    <row r="2620" spans="8:8" x14ac:dyDescent="0.2">
      <c r="H2620">
        <v>0</v>
      </c>
    </row>
    <row r="2621" spans="8:8" x14ac:dyDescent="0.2">
      <c r="H2621">
        <v>0</v>
      </c>
    </row>
    <row r="2622" spans="8:8" x14ac:dyDescent="0.2">
      <c r="H2622">
        <v>0</v>
      </c>
    </row>
    <row r="2623" spans="8:8" x14ac:dyDescent="0.2">
      <c r="H2623">
        <v>0</v>
      </c>
    </row>
    <row r="2624" spans="8:8" x14ac:dyDescent="0.2">
      <c r="H2624">
        <v>0</v>
      </c>
    </row>
    <row r="2625" spans="8:8" x14ac:dyDescent="0.2">
      <c r="H2625">
        <v>0</v>
      </c>
    </row>
    <row r="2626" spans="8:8" x14ac:dyDescent="0.2">
      <c r="H2626">
        <v>0</v>
      </c>
    </row>
    <row r="2627" spans="8:8" x14ac:dyDescent="0.2">
      <c r="H2627">
        <v>0</v>
      </c>
    </row>
    <row r="2628" spans="8:8" x14ac:dyDescent="0.2">
      <c r="H2628">
        <v>0</v>
      </c>
    </row>
    <row r="2629" spans="8:8" x14ac:dyDescent="0.2">
      <c r="H2629">
        <v>0</v>
      </c>
    </row>
    <row r="2630" spans="8:8" x14ac:dyDescent="0.2">
      <c r="H2630">
        <v>0</v>
      </c>
    </row>
    <row r="2631" spans="8:8" x14ac:dyDescent="0.2">
      <c r="H2631">
        <v>0</v>
      </c>
    </row>
    <row r="2632" spans="8:8" x14ac:dyDescent="0.2">
      <c r="H2632">
        <v>0</v>
      </c>
    </row>
    <row r="2633" spans="8:8" x14ac:dyDescent="0.2">
      <c r="H2633">
        <v>0</v>
      </c>
    </row>
    <row r="2634" spans="8:8" x14ac:dyDescent="0.2">
      <c r="H2634">
        <v>0</v>
      </c>
    </row>
    <row r="2635" spans="8:8" x14ac:dyDescent="0.2">
      <c r="H2635">
        <v>0</v>
      </c>
    </row>
    <row r="2636" spans="8:8" x14ac:dyDescent="0.2">
      <c r="H2636">
        <v>0</v>
      </c>
    </row>
    <row r="2637" spans="8:8" x14ac:dyDescent="0.2">
      <c r="H2637">
        <v>0</v>
      </c>
    </row>
    <row r="2638" spans="8:8" x14ac:dyDescent="0.2">
      <c r="H2638">
        <v>0</v>
      </c>
    </row>
    <row r="2639" spans="8:8" x14ac:dyDescent="0.2">
      <c r="H2639">
        <v>0</v>
      </c>
    </row>
    <row r="2640" spans="8:8" x14ac:dyDescent="0.2">
      <c r="H2640">
        <v>0</v>
      </c>
    </row>
    <row r="2641" spans="8:8" x14ac:dyDescent="0.2">
      <c r="H2641">
        <v>0</v>
      </c>
    </row>
    <row r="2642" spans="8:8" x14ac:dyDescent="0.2">
      <c r="H2642">
        <v>0</v>
      </c>
    </row>
    <row r="2643" spans="8:8" x14ac:dyDescent="0.2">
      <c r="H2643">
        <v>0</v>
      </c>
    </row>
    <row r="2644" spans="8:8" x14ac:dyDescent="0.2">
      <c r="H2644">
        <v>0</v>
      </c>
    </row>
    <row r="2645" spans="8:8" x14ac:dyDescent="0.2">
      <c r="H2645">
        <v>0</v>
      </c>
    </row>
    <row r="2646" spans="8:8" x14ac:dyDescent="0.2">
      <c r="H2646">
        <v>0</v>
      </c>
    </row>
    <row r="2647" spans="8:8" x14ac:dyDescent="0.2">
      <c r="H2647">
        <v>0</v>
      </c>
    </row>
    <row r="2648" spans="8:8" x14ac:dyDescent="0.2">
      <c r="H2648">
        <v>0</v>
      </c>
    </row>
    <row r="2649" spans="8:8" x14ac:dyDescent="0.2">
      <c r="H2649">
        <v>0</v>
      </c>
    </row>
    <row r="2650" spans="8:8" x14ac:dyDescent="0.2">
      <c r="H2650">
        <v>0</v>
      </c>
    </row>
    <row r="2651" spans="8:8" x14ac:dyDescent="0.2">
      <c r="H2651">
        <v>0</v>
      </c>
    </row>
    <row r="2652" spans="8:8" x14ac:dyDescent="0.2">
      <c r="H2652">
        <v>0</v>
      </c>
    </row>
    <row r="2653" spans="8:8" x14ac:dyDescent="0.2">
      <c r="H2653">
        <v>0</v>
      </c>
    </row>
    <row r="2654" spans="8:8" x14ac:dyDescent="0.2">
      <c r="H2654">
        <v>0</v>
      </c>
    </row>
    <row r="2655" spans="8:8" x14ac:dyDescent="0.2">
      <c r="H2655">
        <v>0</v>
      </c>
    </row>
    <row r="2656" spans="8:8" x14ac:dyDescent="0.2">
      <c r="H2656">
        <v>0</v>
      </c>
    </row>
    <row r="2657" spans="8:8" x14ac:dyDescent="0.2">
      <c r="H2657">
        <v>0</v>
      </c>
    </row>
    <row r="2658" spans="8:8" x14ac:dyDescent="0.2">
      <c r="H2658">
        <v>0</v>
      </c>
    </row>
    <row r="2659" spans="8:8" x14ac:dyDescent="0.2">
      <c r="H2659">
        <v>0</v>
      </c>
    </row>
    <row r="2660" spans="8:8" x14ac:dyDescent="0.2">
      <c r="H2660">
        <v>0</v>
      </c>
    </row>
    <row r="2661" spans="8:8" x14ac:dyDescent="0.2">
      <c r="H2661">
        <v>0</v>
      </c>
    </row>
    <row r="2662" spans="8:8" x14ac:dyDescent="0.2">
      <c r="H2662">
        <v>0</v>
      </c>
    </row>
    <row r="2663" spans="8:8" x14ac:dyDescent="0.2">
      <c r="H2663">
        <v>0</v>
      </c>
    </row>
    <row r="2664" spans="8:8" x14ac:dyDescent="0.2">
      <c r="H2664">
        <v>0</v>
      </c>
    </row>
    <row r="2665" spans="8:8" x14ac:dyDescent="0.2">
      <c r="H2665">
        <v>0</v>
      </c>
    </row>
    <row r="2666" spans="8:8" x14ac:dyDescent="0.2">
      <c r="H2666">
        <v>0</v>
      </c>
    </row>
    <row r="2667" spans="8:8" x14ac:dyDescent="0.2">
      <c r="H2667">
        <v>0</v>
      </c>
    </row>
    <row r="2668" spans="8:8" x14ac:dyDescent="0.2">
      <c r="H2668">
        <v>0</v>
      </c>
    </row>
    <row r="2669" spans="8:8" x14ac:dyDescent="0.2">
      <c r="H2669">
        <v>0</v>
      </c>
    </row>
    <row r="2670" spans="8:8" x14ac:dyDescent="0.2">
      <c r="H2670">
        <v>0</v>
      </c>
    </row>
    <row r="2671" spans="8:8" x14ac:dyDescent="0.2">
      <c r="H2671">
        <v>0</v>
      </c>
    </row>
    <row r="2672" spans="8:8" x14ac:dyDescent="0.2">
      <c r="H2672">
        <v>0</v>
      </c>
    </row>
    <row r="2673" spans="8:8" x14ac:dyDescent="0.2">
      <c r="H2673">
        <v>0</v>
      </c>
    </row>
    <row r="2674" spans="8:8" x14ac:dyDescent="0.2">
      <c r="H2674">
        <v>0</v>
      </c>
    </row>
    <row r="2675" spans="8:8" x14ac:dyDescent="0.2">
      <c r="H2675">
        <v>0</v>
      </c>
    </row>
    <row r="2676" spans="8:8" x14ac:dyDescent="0.2">
      <c r="H2676">
        <v>0</v>
      </c>
    </row>
    <row r="2677" spans="8:8" x14ac:dyDescent="0.2">
      <c r="H2677">
        <v>0</v>
      </c>
    </row>
    <row r="2678" spans="8:8" x14ac:dyDescent="0.2">
      <c r="H2678">
        <v>0</v>
      </c>
    </row>
    <row r="2679" spans="8:8" x14ac:dyDescent="0.2">
      <c r="H2679">
        <v>0</v>
      </c>
    </row>
    <row r="2680" spans="8:8" x14ac:dyDescent="0.2">
      <c r="H2680">
        <v>0</v>
      </c>
    </row>
    <row r="2681" spans="8:8" x14ac:dyDescent="0.2">
      <c r="H2681">
        <v>0</v>
      </c>
    </row>
    <row r="2682" spans="8:8" x14ac:dyDescent="0.2">
      <c r="H2682">
        <v>0</v>
      </c>
    </row>
    <row r="2683" spans="8:8" x14ac:dyDescent="0.2">
      <c r="H2683">
        <v>0</v>
      </c>
    </row>
    <row r="2684" spans="8:8" x14ac:dyDescent="0.2">
      <c r="H2684">
        <v>0</v>
      </c>
    </row>
    <row r="2685" spans="8:8" x14ac:dyDescent="0.2">
      <c r="H2685">
        <v>0</v>
      </c>
    </row>
    <row r="2686" spans="8:8" x14ac:dyDescent="0.2">
      <c r="H2686">
        <v>0</v>
      </c>
    </row>
    <row r="2687" spans="8:8" x14ac:dyDescent="0.2">
      <c r="H2687">
        <v>0</v>
      </c>
    </row>
    <row r="2688" spans="8:8" x14ac:dyDescent="0.2">
      <c r="H2688">
        <v>0</v>
      </c>
    </row>
    <row r="2689" spans="8:8" x14ac:dyDescent="0.2">
      <c r="H2689">
        <v>0</v>
      </c>
    </row>
    <row r="2690" spans="8:8" x14ac:dyDescent="0.2">
      <c r="H2690">
        <v>0</v>
      </c>
    </row>
    <row r="2691" spans="8:8" x14ac:dyDescent="0.2">
      <c r="H2691">
        <v>0</v>
      </c>
    </row>
    <row r="2692" spans="8:8" x14ac:dyDescent="0.2">
      <c r="H2692">
        <v>0</v>
      </c>
    </row>
    <row r="2693" spans="8:8" x14ac:dyDescent="0.2">
      <c r="H2693">
        <v>0</v>
      </c>
    </row>
    <row r="2694" spans="8:8" x14ac:dyDescent="0.2">
      <c r="H2694">
        <v>0</v>
      </c>
    </row>
    <row r="2695" spans="8:8" x14ac:dyDescent="0.2">
      <c r="H2695">
        <v>0</v>
      </c>
    </row>
    <row r="2696" spans="8:8" x14ac:dyDescent="0.2">
      <c r="H2696">
        <v>0</v>
      </c>
    </row>
    <row r="2697" spans="8:8" x14ac:dyDescent="0.2">
      <c r="H2697">
        <v>0</v>
      </c>
    </row>
    <row r="2698" spans="8:8" x14ac:dyDescent="0.2">
      <c r="H2698">
        <v>0</v>
      </c>
    </row>
    <row r="2699" spans="8:8" x14ac:dyDescent="0.2">
      <c r="H2699">
        <v>0</v>
      </c>
    </row>
    <row r="2700" spans="8:8" x14ac:dyDescent="0.2">
      <c r="H2700">
        <v>0</v>
      </c>
    </row>
    <row r="2701" spans="8:8" x14ac:dyDescent="0.2">
      <c r="H2701">
        <v>0</v>
      </c>
    </row>
    <row r="2702" spans="8:8" x14ac:dyDescent="0.2">
      <c r="H2702">
        <v>0</v>
      </c>
    </row>
    <row r="2703" spans="8:8" x14ac:dyDescent="0.2">
      <c r="H2703">
        <v>0</v>
      </c>
    </row>
    <row r="2704" spans="8:8" x14ac:dyDescent="0.2">
      <c r="H2704">
        <v>0</v>
      </c>
    </row>
    <row r="2705" spans="8:8" x14ac:dyDescent="0.2">
      <c r="H2705">
        <v>0</v>
      </c>
    </row>
    <row r="2706" spans="8:8" x14ac:dyDescent="0.2">
      <c r="H2706">
        <v>0</v>
      </c>
    </row>
    <row r="2707" spans="8:8" x14ac:dyDescent="0.2">
      <c r="H2707">
        <v>0</v>
      </c>
    </row>
    <row r="2708" spans="8:8" x14ac:dyDescent="0.2">
      <c r="H2708">
        <v>0</v>
      </c>
    </row>
    <row r="2709" spans="8:8" x14ac:dyDescent="0.2">
      <c r="H2709">
        <v>0</v>
      </c>
    </row>
    <row r="2710" spans="8:8" x14ac:dyDescent="0.2">
      <c r="H2710">
        <v>0</v>
      </c>
    </row>
    <row r="2711" spans="8:8" x14ac:dyDescent="0.2">
      <c r="H2711">
        <v>0</v>
      </c>
    </row>
    <row r="2712" spans="8:8" x14ac:dyDescent="0.2">
      <c r="H2712">
        <v>0</v>
      </c>
    </row>
    <row r="2713" spans="8:8" x14ac:dyDescent="0.2">
      <c r="H2713">
        <v>0</v>
      </c>
    </row>
    <row r="2714" spans="8:8" x14ac:dyDescent="0.2">
      <c r="H2714">
        <v>0</v>
      </c>
    </row>
    <row r="2715" spans="8:8" x14ac:dyDescent="0.2">
      <c r="H2715">
        <v>0</v>
      </c>
    </row>
    <row r="2716" spans="8:8" x14ac:dyDescent="0.2">
      <c r="H2716">
        <v>0</v>
      </c>
    </row>
    <row r="2717" spans="8:8" x14ac:dyDescent="0.2">
      <c r="H2717">
        <v>0</v>
      </c>
    </row>
    <row r="2718" spans="8:8" x14ac:dyDescent="0.2">
      <c r="H2718">
        <v>0</v>
      </c>
    </row>
    <row r="2719" spans="8:8" x14ac:dyDescent="0.2">
      <c r="H2719">
        <v>0</v>
      </c>
    </row>
    <row r="2720" spans="8:8" x14ac:dyDescent="0.2">
      <c r="H2720">
        <v>0</v>
      </c>
    </row>
    <row r="2721" spans="8:8" x14ac:dyDescent="0.2">
      <c r="H2721">
        <v>0</v>
      </c>
    </row>
    <row r="2722" spans="8:8" x14ac:dyDescent="0.2">
      <c r="H2722">
        <v>0</v>
      </c>
    </row>
    <row r="2723" spans="8:8" x14ac:dyDescent="0.2">
      <c r="H2723">
        <v>0</v>
      </c>
    </row>
    <row r="2724" spans="8:8" x14ac:dyDescent="0.2">
      <c r="H2724">
        <v>0</v>
      </c>
    </row>
    <row r="2725" spans="8:8" x14ac:dyDescent="0.2">
      <c r="H2725">
        <v>0</v>
      </c>
    </row>
    <row r="2726" spans="8:8" x14ac:dyDescent="0.2">
      <c r="H2726">
        <v>0</v>
      </c>
    </row>
    <row r="2727" spans="8:8" x14ac:dyDescent="0.2">
      <c r="H2727">
        <v>0</v>
      </c>
    </row>
    <row r="2728" spans="8:8" x14ac:dyDescent="0.2">
      <c r="H2728">
        <v>0</v>
      </c>
    </row>
    <row r="2729" spans="8:8" x14ac:dyDescent="0.2">
      <c r="H2729">
        <v>0</v>
      </c>
    </row>
    <row r="2730" spans="8:8" x14ac:dyDescent="0.2">
      <c r="H2730">
        <v>0</v>
      </c>
    </row>
    <row r="2731" spans="8:8" x14ac:dyDescent="0.2">
      <c r="H2731">
        <v>0</v>
      </c>
    </row>
    <row r="2732" spans="8:8" x14ac:dyDescent="0.2">
      <c r="H2732">
        <v>0</v>
      </c>
    </row>
    <row r="2733" spans="8:8" x14ac:dyDescent="0.2">
      <c r="H2733">
        <v>0</v>
      </c>
    </row>
    <row r="2734" spans="8:8" x14ac:dyDescent="0.2">
      <c r="H2734">
        <v>0</v>
      </c>
    </row>
    <row r="2735" spans="8:8" x14ac:dyDescent="0.2">
      <c r="H2735">
        <v>0</v>
      </c>
    </row>
    <row r="2736" spans="8:8" x14ac:dyDescent="0.2">
      <c r="H2736">
        <v>0</v>
      </c>
    </row>
    <row r="2737" spans="8:8" x14ac:dyDescent="0.2">
      <c r="H2737">
        <v>0</v>
      </c>
    </row>
    <row r="2738" spans="8:8" x14ac:dyDescent="0.2">
      <c r="H2738">
        <v>0</v>
      </c>
    </row>
    <row r="2739" spans="8:8" x14ac:dyDescent="0.2">
      <c r="H2739">
        <v>0</v>
      </c>
    </row>
    <row r="2740" spans="8:8" x14ac:dyDescent="0.2">
      <c r="H2740">
        <v>0</v>
      </c>
    </row>
    <row r="2741" spans="8:8" x14ac:dyDescent="0.2">
      <c r="H2741">
        <v>0</v>
      </c>
    </row>
    <row r="2742" spans="8:8" x14ac:dyDescent="0.2">
      <c r="H2742">
        <v>0</v>
      </c>
    </row>
    <row r="2743" spans="8:8" x14ac:dyDescent="0.2">
      <c r="H2743">
        <v>0</v>
      </c>
    </row>
    <row r="2744" spans="8:8" x14ac:dyDescent="0.2">
      <c r="H2744">
        <v>0</v>
      </c>
    </row>
    <row r="2745" spans="8:8" x14ac:dyDescent="0.2">
      <c r="H2745">
        <v>0</v>
      </c>
    </row>
    <row r="2746" spans="8:8" x14ac:dyDescent="0.2">
      <c r="H2746">
        <v>0</v>
      </c>
    </row>
    <row r="2747" spans="8:8" x14ac:dyDescent="0.2">
      <c r="H2747">
        <v>0</v>
      </c>
    </row>
    <row r="2748" spans="8:8" x14ac:dyDescent="0.2">
      <c r="H2748">
        <v>0</v>
      </c>
    </row>
    <row r="2749" spans="8:8" x14ac:dyDescent="0.2">
      <c r="H2749">
        <v>0</v>
      </c>
    </row>
    <row r="2750" spans="8:8" x14ac:dyDescent="0.2">
      <c r="H2750">
        <v>0</v>
      </c>
    </row>
    <row r="2751" spans="8:8" x14ac:dyDescent="0.2">
      <c r="H2751">
        <v>0</v>
      </c>
    </row>
    <row r="2752" spans="8:8" x14ac:dyDescent="0.2">
      <c r="H2752">
        <v>0</v>
      </c>
    </row>
    <row r="2753" spans="8:8" x14ac:dyDescent="0.2">
      <c r="H2753">
        <v>0</v>
      </c>
    </row>
    <row r="2754" spans="8:8" x14ac:dyDescent="0.2">
      <c r="H2754">
        <v>0</v>
      </c>
    </row>
    <row r="2755" spans="8:8" x14ac:dyDescent="0.2">
      <c r="H2755">
        <v>0</v>
      </c>
    </row>
    <row r="2756" spans="8:8" x14ac:dyDescent="0.2">
      <c r="H2756">
        <v>0</v>
      </c>
    </row>
    <row r="2757" spans="8:8" x14ac:dyDescent="0.2">
      <c r="H2757">
        <v>0</v>
      </c>
    </row>
    <row r="2758" spans="8:8" x14ac:dyDescent="0.2">
      <c r="H2758">
        <v>0</v>
      </c>
    </row>
    <row r="2759" spans="8:8" x14ac:dyDescent="0.2">
      <c r="H2759">
        <v>0</v>
      </c>
    </row>
    <row r="2760" spans="8:8" x14ac:dyDescent="0.2">
      <c r="H2760">
        <v>0</v>
      </c>
    </row>
    <row r="2761" spans="8:8" x14ac:dyDescent="0.2">
      <c r="H2761">
        <v>0</v>
      </c>
    </row>
    <row r="2762" spans="8:8" x14ac:dyDescent="0.2">
      <c r="H2762">
        <v>0</v>
      </c>
    </row>
    <row r="2763" spans="8:8" x14ac:dyDescent="0.2">
      <c r="H2763">
        <v>0</v>
      </c>
    </row>
    <row r="2764" spans="8:8" x14ac:dyDescent="0.2">
      <c r="H2764">
        <v>0</v>
      </c>
    </row>
    <row r="2765" spans="8:8" x14ac:dyDescent="0.2">
      <c r="H2765">
        <v>0</v>
      </c>
    </row>
    <row r="2766" spans="8:8" x14ac:dyDescent="0.2">
      <c r="H2766">
        <v>0</v>
      </c>
    </row>
    <row r="2767" spans="8:8" x14ac:dyDescent="0.2">
      <c r="H2767">
        <v>0</v>
      </c>
    </row>
    <row r="2768" spans="8:8" x14ac:dyDescent="0.2">
      <c r="H2768">
        <v>0</v>
      </c>
    </row>
    <row r="2769" spans="8:8" x14ac:dyDescent="0.2">
      <c r="H2769">
        <v>0</v>
      </c>
    </row>
    <row r="2770" spans="8:8" x14ac:dyDescent="0.2">
      <c r="H2770">
        <v>0</v>
      </c>
    </row>
    <row r="2771" spans="8:8" x14ac:dyDescent="0.2">
      <c r="H2771">
        <v>0</v>
      </c>
    </row>
    <row r="2772" spans="8:8" x14ac:dyDescent="0.2">
      <c r="H2772">
        <v>0</v>
      </c>
    </row>
    <row r="2773" spans="8:8" x14ac:dyDescent="0.2">
      <c r="H2773">
        <v>0</v>
      </c>
    </row>
    <row r="2774" spans="8:8" x14ac:dyDescent="0.2">
      <c r="H2774">
        <v>0</v>
      </c>
    </row>
    <row r="2775" spans="8:8" x14ac:dyDescent="0.2">
      <c r="H2775">
        <v>0</v>
      </c>
    </row>
    <row r="2776" spans="8:8" x14ac:dyDescent="0.2">
      <c r="H2776">
        <v>0</v>
      </c>
    </row>
    <row r="2777" spans="8:8" x14ac:dyDescent="0.2">
      <c r="H2777">
        <v>0</v>
      </c>
    </row>
    <row r="2778" spans="8:8" x14ac:dyDescent="0.2">
      <c r="H2778">
        <v>0</v>
      </c>
    </row>
    <row r="2779" spans="8:8" x14ac:dyDescent="0.2">
      <c r="H2779">
        <v>0</v>
      </c>
    </row>
    <row r="2780" spans="8:8" x14ac:dyDescent="0.2">
      <c r="H2780">
        <v>0</v>
      </c>
    </row>
    <row r="2781" spans="8:8" x14ac:dyDescent="0.2">
      <c r="H2781">
        <v>0</v>
      </c>
    </row>
    <row r="2782" spans="8:8" x14ac:dyDescent="0.2">
      <c r="H2782">
        <v>0</v>
      </c>
    </row>
    <row r="2783" spans="8:8" x14ac:dyDescent="0.2">
      <c r="H2783">
        <v>0</v>
      </c>
    </row>
    <row r="2784" spans="8:8" x14ac:dyDescent="0.2">
      <c r="H2784">
        <v>0</v>
      </c>
    </row>
    <row r="2785" spans="8:8" x14ac:dyDescent="0.2">
      <c r="H2785">
        <v>0</v>
      </c>
    </row>
    <row r="2786" spans="8:8" x14ac:dyDescent="0.2">
      <c r="H2786">
        <v>0</v>
      </c>
    </row>
    <row r="2787" spans="8:8" x14ac:dyDescent="0.2">
      <c r="H2787">
        <v>0</v>
      </c>
    </row>
    <row r="2788" spans="8:8" x14ac:dyDescent="0.2">
      <c r="H2788">
        <v>0</v>
      </c>
    </row>
    <row r="2789" spans="8:8" x14ac:dyDescent="0.2">
      <c r="H2789">
        <v>0</v>
      </c>
    </row>
    <row r="2790" spans="8:8" x14ac:dyDescent="0.2">
      <c r="H2790">
        <v>0</v>
      </c>
    </row>
    <row r="2791" spans="8:8" x14ac:dyDescent="0.2">
      <c r="H2791">
        <v>0</v>
      </c>
    </row>
    <row r="2792" spans="8:8" x14ac:dyDescent="0.2">
      <c r="H2792">
        <v>0</v>
      </c>
    </row>
    <row r="2793" spans="8:8" x14ac:dyDescent="0.2">
      <c r="H2793">
        <v>0</v>
      </c>
    </row>
    <row r="2794" spans="8:8" x14ac:dyDescent="0.2">
      <c r="H2794">
        <v>0</v>
      </c>
    </row>
    <row r="2795" spans="8:8" x14ac:dyDescent="0.2">
      <c r="H2795">
        <v>0</v>
      </c>
    </row>
    <row r="2796" spans="8:8" x14ac:dyDescent="0.2">
      <c r="H2796">
        <v>0</v>
      </c>
    </row>
    <row r="2797" spans="8:8" x14ac:dyDescent="0.2">
      <c r="H2797">
        <v>0</v>
      </c>
    </row>
    <row r="2798" spans="8:8" x14ac:dyDescent="0.2">
      <c r="H2798">
        <v>0</v>
      </c>
    </row>
    <row r="2799" spans="8:8" x14ac:dyDescent="0.2">
      <c r="H2799">
        <v>0</v>
      </c>
    </row>
    <row r="2800" spans="8:8" x14ac:dyDescent="0.2">
      <c r="H2800">
        <v>0</v>
      </c>
    </row>
    <row r="2801" spans="8:8" x14ac:dyDescent="0.2">
      <c r="H2801">
        <v>0</v>
      </c>
    </row>
    <row r="2802" spans="8:8" x14ac:dyDescent="0.2">
      <c r="H2802">
        <v>0</v>
      </c>
    </row>
    <row r="2803" spans="8:8" x14ac:dyDescent="0.2">
      <c r="H2803">
        <v>0</v>
      </c>
    </row>
    <row r="2804" spans="8:8" x14ac:dyDescent="0.2">
      <c r="H2804">
        <v>0</v>
      </c>
    </row>
    <row r="2805" spans="8:8" x14ac:dyDescent="0.2">
      <c r="H2805">
        <v>0</v>
      </c>
    </row>
    <row r="2806" spans="8:8" x14ac:dyDescent="0.2">
      <c r="H2806">
        <v>0</v>
      </c>
    </row>
    <row r="2807" spans="8:8" x14ac:dyDescent="0.2">
      <c r="H2807">
        <v>0</v>
      </c>
    </row>
    <row r="2808" spans="8:8" x14ac:dyDescent="0.2">
      <c r="H2808">
        <v>0</v>
      </c>
    </row>
    <row r="2809" spans="8:8" x14ac:dyDescent="0.2">
      <c r="H2809">
        <v>0</v>
      </c>
    </row>
    <row r="2810" spans="8:8" x14ac:dyDescent="0.2">
      <c r="H2810">
        <v>0</v>
      </c>
    </row>
    <row r="2811" spans="8:8" x14ac:dyDescent="0.2">
      <c r="H2811">
        <v>0</v>
      </c>
    </row>
    <row r="2812" spans="8:8" x14ac:dyDescent="0.2">
      <c r="H2812">
        <v>0</v>
      </c>
    </row>
    <row r="2813" spans="8:8" x14ac:dyDescent="0.2">
      <c r="H2813">
        <v>0</v>
      </c>
    </row>
    <row r="2814" spans="8:8" x14ac:dyDescent="0.2">
      <c r="H2814">
        <v>0</v>
      </c>
    </row>
    <row r="2815" spans="8:8" x14ac:dyDescent="0.2">
      <c r="H2815">
        <v>0</v>
      </c>
    </row>
    <row r="2816" spans="8:8" x14ac:dyDescent="0.2">
      <c r="H2816">
        <v>0</v>
      </c>
    </row>
    <row r="2817" spans="8:8" x14ac:dyDescent="0.2">
      <c r="H2817">
        <v>0</v>
      </c>
    </row>
    <row r="2818" spans="8:8" x14ac:dyDescent="0.2">
      <c r="H2818">
        <v>0</v>
      </c>
    </row>
    <row r="2819" spans="8:8" x14ac:dyDescent="0.2">
      <c r="H2819">
        <v>0</v>
      </c>
    </row>
    <row r="2820" spans="8:8" x14ac:dyDescent="0.2">
      <c r="H2820">
        <v>0</v>
      </c>
    </row>
    <row r="2821" spans="8:8" x14ac:dyDescent="0.2">
      <c r="H2821">
        <v>0</v>
      </c>
    </row>
    <row r="2822" spans="8:8" x14ac:dyDescent="0.2">
      <c r="H2822">
        <v>0</v>
      </c>
    </row>
    <row r="2823" spans="8:8" x14ac:dyDescent="0.2">
      <c r="H2823">
        <v>0</v>
      </c>
    </row>
    <row r="2824" spans="8:8" x14ac:dyDescent="0.2">
      <c r="H2824">
        <v>0</v>
      </c>
    </row>
    <row r="2825" spans="8:8" x14ac:dyDescent="0.2">
      <c r="H2825">
        <v>0</v>
      </c>
    </row>
    <row r="2826" spans="8:8" x14ac:dyDescent="0.2">
      <c r="H2826">
        <v>0</v>
      </c>
    </row>
    <row r="2827" spans="8:8" x14ac:dyDescent="0.2">
      <c r="H2827">
        <v>0</v>
      </c>
    </row>
    <row r="2828" spans="8:8" x14ac:dyDescent="0.2">
      <c r="H2828">
        <v>0</v>
      </c>
    </row>
    <row r="2829" spans="8:8" x14ac:dyDescent="0.2">
      <c r="H2829">
        <v>0</v>
      </c>
    </row>
    <row r="2830" spans="8:8" x14ac:dyDescent="0.2">
      <c r="H2830">
        <v>0</v>
      </c>
    </row>
    <row r="2831" spans="8:8" x14ac:dyDescent="0.2">
      <c r="H2831">
        <v>0</v>
      </c>
    </row>
    <row r="2832" spans="8:8" x14ac:dyDescent="0.2">
      <c r="H2832">
        <v>0</v>
      </c>
    </row>
    <row r="2833" spans="8:8" x14ac:dyDescent="0.2">
      <c r="H2833">
        <v>0</v>
      </c>
    </row>
    <row r="2834" spans="8:8" x14ac:dyDescent="0.2">
      <c r="H2834">
        <v>0</v>
      </c>
    </row>
    <row r="2835" spans="8:8" x14ac:dyDescent="0.2">
      <c r="H2835">
        <v>0</v>
      </c>
    </row>
    <row r="2836" spans="8:8" x14ac:dyDescent="0.2">
      <c r="H2836">
        <v>0</v>
      </c>
    </row>
    <row r="2837" spans="8:8" x14ac:dyDescent="0.2">
      <c r="H2837">
        <v>0</v>
      </c>
    </row>
    <row r="2838" spans="8:8" x14ac:dyDescent="0.2">
      <c r="H2838">
        <v>0</v>
      </c>
    </row>
    <row r="2839" spans="8:8" x14ac:dyDescent="0.2">
      <c r="H2839">
        <v>0</v>
      </c>
    </row>
    <row r="2840" spans="8:8" x14ac:dyDescent="0.2">
      <c r="H2840">
        <v>0</v>
      </c>
    </row>
    <row r="2841" spans="8:8" x14ac:dyDescent="0.2">
      <c r="H2841">
        <v>0</v>
      </c>
    </row>
    <row r="2842" spans="8:8" x14ac:dyDescent="0.2">
      <c r="H2842">
        <v>0</v>
      </c>
    </row>
    <row r="2843" spans="8:8" x14ac:dyDescent="0.2">
      <c r="H2843">
        <v>0</v>
      </c>
    </row>
    <row r="2844" spans="8:8" x14ac:dyDescent="0.2">
      <c r="H2844">
        <v>0</v>
      </c>
    </row>
    <row r="2845" spans="8:8" x14ac:dyDescent="0.2">
      <c r="H2845">
        <v>0</v>
      </c>
    </row>
    <row r="2846" spans="8:8" x14ac:dyDescent="0.2">
      <c r="H2846">
        <v>0</v>
      </c>
    </row>
    <row r="2847" spans="8:8" x14ac:dyDescent="0.2">
      <c r="H2847">
        <v>0</v>
      </c>
    </row>
    <row r="2848" spans="8:8" x14ac:dyDescent="0.2">
      <c r="H2848">
        <v>0</v>
      </c>
    </row>
    <row r="2849" spans="8:8" x14ac:dyDescent="0.2">
      <c r="H2849">
        <v>0</v>
      </c>
    </row>
    <row r="2850" spans="8:8" x14ac:dyDescent="0.2">
      <c r="H2850">
        <v>0</v>
      </c>
    </row>
    <row r="2851" spans="8:8" x14ac:dyDescent="0.2">
      <c r="H2851">
        <v>0</v>
      </c>
    </row>
    <row r="2852" spans="8:8" x14ac:dyDescent="0.2">
      <c r="H2852">
        <v>0</v>
      </c>
    </row>
    <row r="2853" spans="8:8" x14ac:dyDescent="0.2">
      <c r="H2853">
        <v>0</v>
      </c>
    </row>
    <row r="2854" spans="8:8" x14ac:dyDescent="0.2">
      <c r="H2854">
        <v>0</v>
      </c>
    </row>
    <row r="2855" spans="8:8" x14ac:dyDescent="0.2">
      <c r="H2855">
        <v>0</v>
      </c>
    </row>
    <row r="2856" spans="8:8" x14ac:dyDescent="0.2">
      <c r="H2856">
        <v>0</v>
      </c>
    </row>
    <row r="2857" spans="8:8" x14ac:dyDescent="0.2">
      <c r="H2857">
        <v>0</v>
      </c>
    </row>
    <row r="2858" spans="8:8" x14ac:dyDescent="0.2">
      <c r="H2858">
        <v>0</v>
      </c>
    </row>
    <row r="2859" spans="8:8" x14ac:dyDescent="0.2">
      <c r="H2859">
        <v>0</v>
      </c>
    </row>
    <row r="2860" spans="8:8" x14ac:dyDescent="0.2">
      <c r="H2860">
        <v>0</v>
      </c>
    </row>
    <row r="2861" spans="8:8" x14ac:dyDescent="0.2">
      <c r="H2861">
        <v>0</v>
      </c>
    </row>
    <row r="2862" spans="8:8" x14ac:dyDescent="0.2">
      <c r="H2862">
        <v>0</v>
      </c>
    </row>
    <row r="2863" spans="8:8" x14ac:dyDescent="0.2">
      <c r="H2863">
        <v>0</v>
      </c>
    </row>
    <row r="2864" spans="8:8" x14ac:dyDescent="0.2">
      <c r="H2864">
        <v>0</v>
      </c>
    </row>
    <row r="2865" spans="8:8" x14ac:dyDescent="0.2">
      <c r="H2865">
        <v>0</v>
      </c>
    </row>
    <row r="2866" spans="8:8" x14ac:dyDescent="0.2">
      <c r="H2866">
        <v>0</v>
      </c>
    </row>
    <row r="2867" spans="8:8" x14ac:dyDescent="0.2">
      <c r="H2867">
        <v>0</v>
      </c>
    </row>
    <row r="2868" spans="8:8" x14ac:dyDescent="0.2">
      <c r="H2868">
        <v>0</v>
      </c>
    </row>
    <row r="2869" spans="8:8" x14ac:dyDescent="0.2">
      <c r="H2869">
        <v>0</v>
      </c>
    </row>
    <row r="2870" spans="8:8" x14ac:dyDescent="0.2">
      <c r="H2870">
        <v>0</v>
      </c>
    </row>
    <row r="2871" spans="8:8" x14ac:dyDescent="0.2">
      <c r="H2871">
        <v>0</v>
      </c>
    </row>
    <row r="2872" spans="8:8" x14ac:dyDescent="0.2">
      <c r="H2872">
        <v>0</v>
      </c>
    </row>
    <row r="2873" spans="8:8" x14ac:dyDescent="0.2">
      <c r="H2873">
        <v>0</v>
      </c>
    </row>
    <row r="2874" spans="8:8" x14ac:dyDescent="0.2">
      <c r="H2874">
        <v>0</v>
      </c>
    </row>
    <row r="2875" spans="8:8" x14ac:dyDescent="0.2">
      <c r="H2875">
        <v>0</v>
      </c>
    </row>
    <row r="2876" spans="8:8" x14ac:dyDescent="0.2">
      <c r="H2876">
        <v>0</v>
      </c>
    </row>
    <row r="2877" spans="8:8" x14ac:dyDescent="0.2">
      <c r="H2877">
        <v>0</v>
      </c>
    </row>
    <row r="2878" spans="8:8" x14ac:dyDescent="0.2">
      <c r="H2878">
        <v>0</v>
      </c>
    </row>
    <row r="2879" spans="8:8" x14ac:dyDescent="0.2">
      <c r="H2879">
        <v>0</v>
      </c>
    </row>
    <row r="2880" spans="8:8" x14ac:dyDescent="0.2">
      <c r="H2880">
        <v>0</v>
      </c>
    </row>
    <row r="2881" spans="8:8" x14ac:dyDescent="0.2">
      <c r="H2881">
        <v>0</v>
      </c>
    </row>
    <row r="2882" spans="8:8" x14ac:dyDescent="0.2">
      <c r="H2882">
        <v>0</v>
      </c>
    </row>
    <row r="2883" spans="8:8" x14ac:dyDescent="0.2">
      <c r="H2883">
        <v>0</v>
      </c>
    </row>
    <row r="2884" spans="8:8" x14ac:dyDescent="0.2">
      <c r="H2884">
        <v>0</v>
      </c>
    </row>
    <row r="2885" spans="8:8" x14ac:dyDescent="0.2">
      <c r="H2885">
        <v>0</v>
      </c>
    </row>
    <row r="2886" spans="8:8" x14ac:dyDescent="0.2">
      <c r="H2886">
        <v>0</v>
      </c>
    </row>
    <row r="2887" spans="8:8" x14ac:dyDescent="0.2">
      <c r="H2887">
        <v>0</v>
      </c>
    </row>
    <row r="2888" spans="8:8" x14ac:dyDescent="0.2">
      <c r="H2888">
        <v>0</v>
      </c>
    </row>
    <row r="2889" spans="8:8" x14ac:dyDescent="0.2">
      <c r="H2889">
        <v>0</v>
      </c>
    </row>
    <row r="2890" spans="8:8" x14ac:dyDescent="0.2">
      <c r="H2890">
        <v>0</v>
      </c>
    </row>
    <row r="2891" spans="8:8" x14ac:dyDescent="0.2">
      <c r="H2891">
        <v>0</v>
      </c>
    </row>
    <row r="2892" spans="8:8" x14ac:dyDescent="0.2">
      <c r="H2892">
        <v>0</v>
      </c>
    </row>
    <row r="2893" spans="8:8" x14ac:dyDescent="0.2">
      <c r="H2893">
        <v>0</v>
      </c>
    </row>
    <row r="2894" spans="8:8" x14ac:dyDescent="0.2">
      <c r="H2894">
        <v>0</v>
      </c>
    </row>
    <row r="2895" spans="8:8" x14ac:dyDescent="0.2">
      <c r="H2895">
        <v>0</v>
      </c>
    </row>
    <row r="2896" spans="8:8" x14ac:dyDescent="0.2">
      <c r="H2896">
        <v>0</v>
      </c>
    </row>
    <row r="2897" spans="8:8" x14ac:dyDescent="0.2">
      <c r="H2897">
        <v>0</v>
      </c>
    </row>
    <row r="2898" spans="8:8" x14ac:dyDescent="0.2">
      <c r="H2898">
        <v>0</v>
      </c>
    </row>
    <row r="2899" spans="8:8" x14ac:dyDescent="0.2">
      <c r="H2899">
        <v>0</v>
      </c>
    </row>
    <row r="2900" spans="8:8" x14ac:dyDescent="0.2">
      <c r="H2900">
        <v>0</v>
      </c>
    </row>
    <row r="2901" spans="8:8" x14ac:dyDescent="0.2">
      <c r="H2901">
        <v>0</v>
      </c>
    </row>
    <row r="2902" spans="8:8" x14ac:dyDescent="0.2">
      <c r="H2902">
        <v>0</v>
      </c>
    </row>
    <row r="2903" spans="8:8" x14ac:dyDescent="0.2">
      <c r="H2903">
        <v>0</v>
      </c>
    </row>
    <row r="2904" spans="8:8" x14ac:dyDescent="0.2">
      <c r="H2904">
        <v>0</v>
      </c>
    </row>
    <row r="2905" spans="8:8" x14ac:dyDescent="0.2">
      <c r="H2905">
        <v>0</v>
      </c>
    </row>
    <row r="2906" spans="8:8" x14ac:dyDescent="0.2">
      <c r="H2906">
        <v>0</v>
      </c>
    </row>
    <row r="2907" spans="8:8" x14ac:dyDescent="0.2">
      <c r="H2907">
        <v>0</v>
      </c>
    </row>
    <row r="2908" spans="8:8" x14ac:dyDescent="0.2">
      <c r="H2908">
        <v>0</v>
      </c>
    </row>
    <row r="2909" spans="8:8" x14ac:dyDescent="0.2">
      <c r="H2909">
        <v>0</v>
      </c>
    </row>
    <row r="2910" spans="8:8" x14ac:dyDescent="0.2">
      <c r="H2910">
        <v>0</v>
      </c>
    </row>
    <row r="2911" spans="8:8" x14ac:dyDescent="0.2">
      <c r="H2911">
        <v>0</v>
      </c>
    </row>
    <row r="2912" spans="8:8" x14ac:dyDescent="0.2">
      <c r="H2912">
        <v>0</v>
      </c>
    </row>
    <row r="2913" spans="8:8" x14ac:dyDescent="0.2">
      <c r="H2913">
        <v>0</v>
      </c>
    </row>
    <row r="2914" spans="8:8" x14ac:dyDescent="0.2">
      <c r="H2914">
        <v>0</v>
      </c>
    </row>
    <row r="2915" spans="8:8" x14ac:dyDescent="0.2">
      <c r="H2915">
        <v>0</v>
      </c>
    </row>
    <row r="2916" spans="8:8" x14ac:dyDescent="0.2">
      <c r="H2916">
        <v>0</v>
      </c>
    </row>
    <row r="2917" spans="8:8" x14ac:dyDescent="0.2">
      <c r="H2917">
        <v>0</v>
      </c>
    </row>
    <row r="2918" spans="8:8" x14ac:dyDescent="0.2">
      <c r="H2918">
        <v>0</v>
      </c>
    </row>
    <row r="2919" spans="8:8" x14ac:dyDescent="0.2">
      <c r="H2919">
        <v>0</v>
      </c>
    </row>
    <row r="2920" spans="8:8" x14ac:dyDescent="0.2">
      <c r="H2920">
        <v>0</v>
      </c>
    </row>
    <row r="2921" spans="8:8" x14ac:dyDescent="0.2">
      <c r="H2921">
        <v>0</v>
      </c>
    </row>
    <row r="2922" spans="8:8" x14ac:dyDescent="0.2">
      <c r="H2922">
        <v>0</v>
      </c>
    </row>
    <row r="2923" spans="8:8" x14ac:dyDescent="0.2">
      <c r="H2923">
        <v>0</v>
      </c>
    </row>
    <row r="2924" spans="8:8" x14ac:dyDescent="0.2">
      <c r="H2924">
        <v>0</v>
      </c>
    </row>
    <row r="2925" spans="8:8" x14ac:dyDescent="0.2">
      <c r="H2925">
        <v>0</v>
      </c>
    </row>
    <row r="2926" spans="8:8" x14ac:dyDescent="0.2">
      <c r="H2926">
        <v>0</v>
      </c>
    </row>
    <row r="2927" spans="8:8" x14ac:dyDescent="0.2">
      <c r="H2927">
        <v>0</v>
      </c>
    </row>
    <row r="2928" spans="8:8" x14ac:dyDescent="0.2">
      <c r="H2928">
        <v>0</v>
      </c>
    </row>
    <row r="2929" spans="8:8" x14ac:dyDescent="0.2">
      <c r="H2929">
        <v>0</v>
      </c>
    </row>
    <row r="2930" spans="8:8" x14ac:dyDescent="0.2">
      <c r="H2930">
        <v>0</v>
      </c>
    </row>
    <row r="2931" spans="8:8" x14ac:dyDescent="0.2">
      <c r="H2931">
        <v>0</v>
      </c>
    </row>
    <row r="2932" spans="8:8" x14ac:dyDescent="0.2">
      <c r="H2932">
        <v>0</v>
      </c>
    </row>
    <row r="2933" spans="8:8" x14ac:dyDescent="0.2">
      <c r="H2933">
        <v>0</v>
      </c>
    </row>
    <row r="2934" spans="8:8" x14ac:dyDescent="0.2">
      <c r="H2934">
        <v>0</v>
      </c>
    </row>
    <row r="2935" spans="8:8" x14ac:dyDescent="0.2">
      <c r="H2935">
        <v>0</v>
      </c>
    </row>
    <row r="2936" spans="8:8" x14ac:dyDescent="0.2">
      <c r="H2936">
        <v>0</v>
      </c>
    </row>
    <row r="2937" spans="8:8" x14ac:dyDescent="0.2">
      <c r="H2937">
        <v>0</v>
      </c>
    </row>
    <row r="2938" spans="8:8" x14ac:dyDescent="0.2">
      <c r="H2938">
        <v>0</v>
      </c>
    </row>
    <row r="2939" spans="8:8" x14ac:dyDescent="0.2">
      <c r="H2939">
        <v>0</v>
      </c>
    </row>
    <row r="2940" spans="8:8" x14ac:dyDescent="0.2">
      <c r="H2940">
        <v>0</v>
      </c>
    </row>
    <row r="2941" spans="8:8" x14ac:dyDescent="0.2">
      <c r="H2941">
        <v>0</v>
      </c>
    </row>
    <row r="2942" spans="8:8" x14ac:dyDescent="0.2">
      <c r="H2942">
        <v>0</v>
      </c>
    </row>
    <row r="2943" spans="8:8" x14ac:dyDescent="0.2">
      <c r="H2943">
        <v>0</v>
      </c>
    </row>
    <row r="2944" spans="8:8" x14ac:dyDescent="0.2">
      <c r="H2944">
        <v>0</v>
      </c>
    </row>
    <row r="2945" spans="8:8" x14ac:dyDescent="0.2">
      <c r="H2945">
        <v>0</v>
      </c>
    </row>
    <row r="2946" spans="8:8" x14ac:dyDescent="0.2">
      <c r="H2946">
        <v>0</v>
      </c>
    </row>
    <row r="2947" spans="8:8" x14ac:dyDescent="0.2">
      <c r="H2947">
        <v>0</v>
      </c>
    </row>
    <row r="2948" spans="8:8" x14ac:dyDescent="0.2">
      <c r="H2948">
        <v>0</v>
      </c>
    </row>
    <row r="2949" spans="8:8" x14ac:dyDescent="0.2">
      <c r="H2949">
        <v>0</v>
      </c>
    </row>
    <row r="2950" spans="8:8" x14ac:dyDescent="0.2">
      <c r="H2950">
        <v>0</v>
      </c>
    </row>
    <row r="2951" spans="8:8" x14ac:dyDescent="0.2">
      <c r="H2951">
        <v>0</v>
      </c>
    </row>
    <row r="2952" spans="8:8" x14ac:dyDescent="0.2">
      <c r="H2952">
        <v>0</v>
      </c>
    </row>
    <row r="2953" spans="8:8" x14ac:dyDescent="0.2">
      <c r="H2953">
        <v>0</v>
      </c>
    </row>
    <row r="2954" spans="8:8" x14ac:dyDescent="0.2">
      <c r="H2954">
        <v>0</v>
      </c>
    </row>
    <row r="2955" spans="8:8" x14ac:dyDescent="0.2">
      <c r="H2955">
        <v>0</v>
      </c>
    </row>
    <row r="2956" spans="8:8" x14ac:dyDescent="0.2">
      <c r="H2956">
        <v>0</v>
      </c>
    </row>
    <row r="2957" spans="8:8" x14ac:dyDescent="0.2">
      <c r="H2957">
        <v>0</v>
      </c>
    </row>
    <row r="2958" spans="8:8" x14ac:dyDescent="0.2">
      <c r="H2958">
        <v>0</v>
      </c>
    </row>
    <row r="2959" spans="8:8" x14ac:dyDescent="0.2">
      <c r="H2959">
        <v>0</v>
      </c>
    </row>
    <row r="2960" spans="8:8" x14ac:dyDescent="0.2">
      <c r="H2960">
        <v>0</v>
      </c>
    </row>
    <row r="2961" spans="8:8" x14ac:dyDescent="0.2">
      <c r="H2961">
        <v>0</v>
      </c>
    </row>
    <row r="2962" spans="8:8" x14ac:dyDescent="0.2">
      <c r="H2962">
        <v>0</v>
      </c>
    </row>
    <row r="2963" spans="8:8" x14ac:dyDescent="0.2">
      <c r="H2963">
        <v>0</v>
      </c>
    </row>
    <row r="2964" spans="8:8" x14ac:dyDescent="0.2">
      <c r="H2964">
        <v>0</v>
      </c>
    </row>
    <row r="2965" spans="8:8" x14ac:dyDescent="0.2">
      <c r="H2965">
        <v>0</v>
      </c>
    </row>
    <row r="2966" spans="8:8" x14ac:dyDescent="0.2">
      <c r="H2966">
        <v>0</v>
      </c>
    </row>
    <row r="2967" spans="8:8" x14ac:dyDescent="0.2">
      <c r="H2967">
        <v>0</v>
      </c>
    </row>
    <row r="2968" spans="8:8" x14ac:dyDescent="0.2">
      <c r="H2968">
        <v>0</v>
      </c>
    </row>
    <row r="2969" spans="8:8" x14ac:dyDescent="0.2">
      <c r="H2969">
        <v>0</v>
      </c>
    </row>
    <row r="2970" spans="8:8" x14ac:dyDescent="0.2">
      <c r="H2970">
        <v>0</v>
      </c>
    </row>
    <row r="2971" spans="8:8" x14ac:dyDescent="0.2">
      <c r="H2971">
        <v>0</v>
      </c>
    </row>
    <row r="2972" spans="8:8" x14ac:dyDescent="0.2">
      <c r="H2972">
        <v>0</v>
      </c>
    </row>
    <row r="2973" spans="8:8" x14ac:dyDescent="0.2">
      <c r="H2973">
        <v>0</v>
      </c>
    </row>
    <row r="2974" spans="8:8" x14ac:dyDescent="0.2">
      <c r="H2974">
        <v>0</v>
      </c>
    </row>
    <row r="2975" spans="8:8" x14ac:dyDescent="0.2">
      <c r="H2975">
        <v>0</v>
      </c>
    </row>
    <row r="2976" spans="8:8" x14ac:dyDescent="0.2">
      <c r="H2976">
        <v>0</v>
      </c>
    </row>
    <row r="2977" spans="8:8" x14ac:dyDescent="0.2">
      <c r="H2977">
        <v>0</v>
      </c>
    </row>
    <row r="2978" spans="8:8" x14ac:dyDescent="0.2">
      <c r="H2978">
        <v>0</v>
      </c>
    </row>
    <row r="2979" spans="8:8" x14ac:dyDescent="0.2">
      <c r="H2979">
        <v>0</v>
      </c>
    </row>
    <row r="2980" spans="8:8" x14ac:dyDescent="0.2">
      <c r="H2980">
        <v>0</v>
      </c>
    </row>
    <row r="2981" spans="8:8" x14ac:dyDescent="0.2">
      <c r="H2981">
        <v>0</v>
      </c>
    </row>
    <row r="2982" spans="8:8" x14ac:dyDescent="0.2">
      <c r="H2982">
        <v>0</v>
      </c>
    </row>
    <row r="2983" spans="8:8" x14ac:dyDescent="0.2">
      <c r="H2983">
        <v>0</v>
      </c>
    </row>
    <row r="2984" spans="8:8" x14ac:dyDescent="0.2">
      <c r="H2984">
        <v>0</v>
      </c>
    </row>
    <row r="2985" spans="8:8" x14ac:dyDescent="0.2">
      <c r="H2985">
        <v>0</v>
      </c>
    </row>
    <row r="2986" spans="8:8" x14ac:dyDescent="0.2">
      <c r="H2986">
        <v>0</v>
      </c>
    </row>
    <row r="2987" spans="8:8" x14ac:dyDescent="0.2">
      <c r="H2987">
        <v>0</v>
      </c>
    </row>
    <row r="2988" spans="8:8" x14ac:dyDescent="0.2">
      <c r="H2988">
        <v>0</v>
      </c>
    </row>
    <row r="2989" spans="8:8" x14ac:dyDescent="0.2">
      <c r="H2989">
        <v>0</v>
      </c>
    </row>
    <row r="2990" spans="8:8" x14ac:dyDescent="0.2">
      <c r="H2990">
        <v>0</v>
      </c>
    </row>
    <row r="2991" spans="8:8" x14ac:dyDescent="0.2">
      <c r="H2991">
        <v>0</v>
      </c>
    </row>
    <row r="2992" spans="8:8" x14ac:dyDescent="0.2">
      <c r="H2992">
        <v>0</v>
      </c>
    </row>
    <row r="2993" spans="8:8" x14ac:dyDescent="0.2">
      <c r="H2993">
        <v>0</v>
      </c>
    </row>
    <row r="2994" spans="8:8" x14ac:dyDescent="0.2">
      <c r="H2994">
        <v>0</v>
      </c>
    </row>
    <row r="2995" spans="8:8" x14ac:dyDescent="0.2">
      <c r="H2995">
        <v>0</v>
      </c>
    </row>
    <row r="2996" spans="8:8" x14ac:dyDescent="0.2">
      <c r="H2996">
        <v>0</v>
      </c>
    </row>
    <row r="2997" spans="8:8" x14ac:dyDescent="0.2">
      <c r="H2997">
        <v>0</v>
      </c>
    </row>
    <row r="2998" spans="8:8" x14ac:dyDescent="0.2">
      <c r="H2998">
        <v>0</v>
      </c>
    </row>
    <row r="2999" spans="8:8" x14ac:dyDescent="0.2">
      <c r="H2999">
        <v>0</v>
      </c>
    </row>
    <row r="3000" spans="8:8" x14ac:dyDescent="0.2">
      <c r="H3000">
        <v>0</v>
      </c>
    </row>
    <row r="3001" spans="8:8" x14ac:dyDescent="0.2">
      <c r="H3001">
        <v>0</v>
      </c>
    </row>
    <row r="3002" spans="8:8" x14ac:dyDescent="0.2">
      <c r="H3002">
        <v>0</v>
      </c>
    </row>
    <row r="3003" spans="8:8" x14ac:dyDescent="0.2">
      <c r="H3003">
        <v>0</v>
      </c>
    </row>
    <row r="3004" spans="8:8" x14ac:dyDescent="0.2">
      <c r="H3004">
        <v>0</v>
      </c>
    </row>
    <row r="3005" spans="8:8" x14ac:dyDescent="0.2">
      <c r="H3005">
        <v>0</v>
      </c>
    </row>
    <row r="3006" spans="8:8" x14ac:dyDescent="0.2">
      <c r="H3006">
        <v>0</v>
      </c>
    </row>
    <row r="3007" spans="8:8" x14ac:dyDescent="0.2">
      <c r="H3007">
        <v>0</v>
      </c>
    </row>
    <row r="3008" spans="8:8" x14ac:dyDescent="0.2">
      <c r="H3008">
        <v>0</v>
      </c>
    </row>
    <row r="3009" spans="8:8" x14ac:dyDescent="0.2">
      <c r="H3009">
        <v>0</v>
      </c>
    </row>
    <row r="3010" spans="8:8" x14ac:dyDescent="0.2">
      <c r="H3010">
        <v>0</v>
      </c>
    </row>
    <row r="3011" spans="8:8" x14ac:dyDescent="0.2">
      <c r="H3011">
        <v>0</v>
      </c>
    </row>
    <row r="3012" spans="8:8" x14ac:dyDescent="0.2">
      <c r="H3012">
        <v>0</v>
      </c>
    </row>
    <row r="3013" spans="8:8" x14ac:dyDescent="0.2">
      <c r="H3013">
        <v>0</v>
      </c>
    </row>
    <row r="3014" spans="8:8" x14ac:dyDescent="0.2">
      <c r="H3014">
        <v>0</v>
      </c>
    </row>
    <row r="3015" spans="8:8" x14ac:dyDescent="0.2">
      <c r="H3015">
        <v>0</v>
      </c>
    </row>
    <row r="3016" spans="8:8" x14ac:dyDescent="0.2">
      <c r="H3016">
        <v>0</v>
      </c>
    </row>
    <row r="3017" spans="8:8" x14ac:dyDescent="0.2">
      <c r="H3017">
        <v>0</v>
      </c>
    </row>
    <row r="3018" spans="8:8" x14ac:dyDescent="0.2">
      <c r="H3018">
        <v>0</v>
      </c>
    </row>
    <row r="3019" spans="8:8" x14ac:dyDescent="0.2">
      <c r="H3019">
        <v>0</v>
      </c>
    </row>
    <row r="3020" spans="8:8" x14ac:dyDescent="0.2">
      <c r="H3020">
        <v>0</v>
      </c>
    </row>
    <row r="3021" spans="8:8" x14ac:dyDescent="0.2">
      <c r="H3021">
        <v>0</v>
      </c>
    </row>
    <row r="3022" spans="8:8" x14ac:dyDescent="0.2">
      <c r="H3022">
        <v>0</v>
      </c>
    </row>
    <row r="3023" spans="8:8" x14ac:dyDescent="0.2">
      <c r="H3023">
        <v>0</v>
      </c>
    </row>
    <row r="3024" spans="8:8" x14ac:dyDescent="0.2">
      <c r="H3024">
        <v>0</v>
      </c>
    </row>
    <row r="3025" spans="8:8" x14ac:dyDescent="0.2">
      <c r="H3025">
        <v>0</v>
      </c>
    </row>
    <row r="3026" spans="8:8" x14ac:dyDescent="0.2">
      <c r="H3026">
        <v>0</v>
      </c>
    </row>
    <row r="3027" spans="8:8" x14ac:dyDescent="0.2">
      <c r="H3027">
        <v>0</v>
      </c>
    </row>
    <row r="3028" spans="8:8" x14ac:dyDescent="0.2">
      <c r="H3028">
        <v>0</v>
      </c>
    </row>
    <row r="3029" spans="8:8" x14ac:dyDescent="0.2">
      <c r="H3029">
        <v>0</v>
      </c>
    </row>
    <row r="3030" spans="8:8" x14ac:dyDescent="0.2">
      <c r="H3030">
        <v>0</v>
      </c>
    </row>
    <row r="3031" spans="8:8" x14ac:dyDescent="0.2">
      <c r="H3031">
        <v>0</v>
      </c>
    </row>
    <row r="3032" spans="8:8" x14ac:dyDescent="0.2">
      <c r="H3032">
        <v>0</v>
      </c>
    </row>
    <row r="3033" spans="8:8" x14ac:dyDescent="0.2">
      <c r="H3033">
        <v>0</v>
      </c>
    </row>
    <row r="3034" spans="8:8" x14ac:dyDescent="0.2">
      <c r="H3034">
        <v>0</v>
      </c>
    </row>
    <row r="3035" spans="8:8" x14ac:dyDescent="0.2">
      <c r="H3035">
        <v>0</v>
      </c>
    </row>
    <row r="3036" spans="8:8" x14ac:dyDescent="0.2">
      <c r="H3036">
        <v>0</v>
      </c>
    </row>
    <row r="3037" spans="8:8" x14ac:dyDescent="0.2">
      <c r="H3037">
        <v>0</v>
      </c>
    </row>
    <row r="3038" spans="8:8" x14ac:dyDescent="0.2">
      <c r="H3038">
        <v>0</v>
      </c>
    </row>
    <row r="3039" spans="8:8" x14ac:dyDescent="0.2">
      <c r="H3039">
        <v>0</v>
      </c>
    </row>
    <row r="3040" spans="8:8" x14ac:dyDescent="0.2">
      <c r="H3040">
        <v>0</v>
      </c>
    </row>
    <row r="3041" spans="8:8" x14ac:dyDescent="0.2">
      <c r="H3041">
        <v>0</v>
      </c>
    </row>
    <row r="3042" spans="8:8" x14ac:dyDescent="0.2">
      <c r="H3042">
        <v>0</v>
      </c>
    </row>
    <row r="3043" spans="8:8" x14ac:dyDescent="0.2">
      <c r="H3043">
        <v>0</v>
      </c>
    </row>
    <row r="3044" spans="8:8" x14ac:dyDescent="0.2">
      <c r="H3044">
        <v>0</v>
      </c>
    </row>
    <row r="3045" spans="8:8" x14ac:dyDescent="0.2">
      <c r="H3045">
        <v>0</v>
      </c>
    </row>
    <row r="3046" spans="8:8" x14ac:dyDescent="0.2">
      <c r="H3046">
        <v>0</v>
      </c>
    </row>
    <row r="3047" spans="8:8" x14ac:dyDescent="0.2">
      <c r="H3047">
        <v>0</v>
      </c>
    </row>
    <row r="3048" spans="8:8" x14ac:dyDescent="0.2">
      <c r="H3048">
        <v>0</v>
      </c>
    </row>
    <row r="3049" spans="8:8" x14ac:dyDescent="0.2">
      <c r="H3049">
        <v>0</v>
      </c>
    </row>
    <row r="3050" spans="8:8" x14ac:dyDescent="0.2">
      <c r="H3050">
        <v>0</v>
      </c>
    </row>
    <row r="3051" spans="8:8" x14ac:dyDescent="0.2">
      <c r="H3051">
        <v>0</v>
      </c>
    </row>
    <row r="3052" spans="8:8" x14ac:dyDescent="0.2">
      <c r="H3052">
        <v>0</v>
      </c>
    </row>
    <row r="3053" spans="8:8" x14ac:dyDescent="0.2">
      <c r="H3053">
        <v>0</v>
      </c>
    </row>
    <row r="3054" spans="8:8" x14ac:dyDescent="0.2">
      <c r="H3054">
        <v>0</v>
      </c>
    </row>
    <row r="3055" spans="8:8" x14ac:dyDescent="0.2">
      <c r="H3055">
        <v>0</v>
      </c>
    </row>
    <row r="3056" spans="8:8" x14ac:dyDescent="0.2">
      <c r="H3056">
        <v>0</v>
      </c>
    </row>
    <row r="3057" spans="8:8" x14ac:dyDescent="0.2">
      <c r="H3057">
        <v>0</v>
      </c>
    </row>
    <row r="3058" spans="8:8" x14ac:dyDescent="0.2">
      <c r="H3058">
        <v>0</v>
      </c>
    </row>
    <row r="3059" spans="8:8" x14ac:dyDescent="0.2">
      <c r="H3059">
        <v>0</v>
      </c>
    </row>
    <row r="3060" spans="8:8" x14ac:dyDescent="0.2">
      <c r="H3060">
        <v>0</v>
      </c>
    </row>
    <row r="3061" spans="8:8" x14ac:dyDescent="0.2">
      <c r="H3061">
        <v>0</v>
      </c>
    </row>
    <row r="3062" spans="8:8" x14ac:dyDescent="0.2">
      <c r="H3062">
        <v>0</v>
      </c>
    </row>
    <row r="3063" spans="8:8" x14ac:dyDescent="0.2">
      <c r="H3063">
        <v>0</v>
      </c>
    </row>
    <row r="3064" spans="8:8" x14ac:dyDescent="0.2">
      <c r="H3064">
        <v>0</v>
      </c>
    </row>
    <row r="3065" spans="8:8" x14ac:dyDescent="0.2">
      <c r="H3065">
        <v>0</v>
      </c>
    </row>
    <row r="3066" spans="8:8" x14ac:dyDescent="0.2">
      <c r="H3066">
        <v>0</v>
      </c>
    </row>
    <row r="3067" spans="8:8" x14ac:dyDescent="0.2">
      <c r="H3067">
        <v>0</v>
      </c>
    </row>
    <row r="3068" spans="8:8" x14ac:dyDescent="0.2">
      <c r="H3068">
        <v>0</v>
      </c>
    </row>
    <row r="3069" spans="8:8" x14ac:dyDescent="0.2">
      <c r="H3069">
        <v>0</v>
      </c>
    </row>
    <row r="3070" spans="8:8" x14ac:dyDescent="0.2">
      <c r="H3070">
        <v>0</v>
      </c>
    </row>
    <row r="3071" spans="8:8" x14ac:dyDescent="0.2">
      <c r="H3071">
        <v>0</v>
      </c>
    </row>
    <row r="3072" spans="8:8" x14ac:dyDescent="0.2">
      <c r="H3072">
        <v>0</v>
      </c>
    </row>
    <row r="3073" spans="8:8" x14ac:dyDescent="0.2">
      <c r="H3073">
        <v>0</v>
      </c>
    </row>
    <row r="3074" spans="8:8" x14ac:dyDescent="0.2">
      <c r="H3074">
        <v>0</v>
      </c>
    </row>
    <row r="3075" spans="8:8" x14ac:dyDescent="0.2">
      <c r="H3075">
        <v>0</v>
      </c>
    </row>
    <row r="3076" spans="8:8" x14ac:dyDescent="0.2">
      <c r="H3076">
        <v>0</v>
      </c>
    </row>
    <row r="3077" spans="8:8" x14ac:dyDescent="0.2">
      <c r="H3077">
        <v>0</v>
      </c>
    </row>
    <row r="3078" spans="8:8" x14ac:dyDescent="0.2">
      <c r="H3078">
        <v>0</v>
      </c>
    </row>
    <row r="3079" spans="8:8" x14ac:dyDescent="0.2">
      <c r="H3079">
        <v>0</v>
      </c>
    </row>
    <row r="3080" spans="8:8" x14ac:dyDescent="0.2">
      <c r="H3080">
        <v>0</v>
      </c>
    </row>
    <row r="3081" spans="8:8" x14ac:dyDescent="0.2">
      <c r="H3081">
        <v>0</v>
      </c>
    </row>
    <row r="3082" spans="8:8" x14ac:dyDescent="0.2">
      <c r="H3082">
        <v>0</v>
      </c>
    </row>
    <row r="3083" spans="8:8" x14ac:dyDescent="0.2">
      <c r="H3083">
        <v>0</v>
      </c>
    </row>
    <row r="3084" spans="8:8" x14ac:dyDescent="0.2">
      <c r="H3084">
        <v>0</v>
      </c>
    </row>
    <row r="3085" spans="8:8" x14ac:dyDescent="0.2">
      <c r="H3085">
        <v>0</v>
      </c>
    </row>
    <row r="3086" spans="8:8" x14ac:dyDescent="0.2">
      <c r="H3086">
        <v>0</v>
      </c>
    </row>
    <row r="3087" spans="8:8" x14ac:dyDescent="0.2">
      <c r="H3087">
        <v>0</v>
      </c>
    </row>
    <row r="3088" spans="8:8" x14ac:dyDescent="0.2">
      <c r="H3088">
        <v>0</v>
      </c>
    </row>
    <row r="3089" spans="8:8" x14ac:dyDescent="0.2">
      <c r="H3089">
        <v>0</v>
      </c>
    </row>
    <row r="3090" spans="8:8" x14ac:dyDescent="0.2">
      <c r="H3090">
        <v>0</v>
      </c>
    </row>
    <row r="3091" spans="8:8" x14ac:dyDescent="0.2">
      <c r="H3091">
        <v>0</v>
      </c>
    </row>
    <row r="3092" spans="8:8" x14ac:dyDescent="0.2">
      <c r="H3092">
        <v>0</v>
      </c>
    </row>
    <row r="3093" spans="8:8" x14ac:dyDescent="0.2">
      <c r="H3093">
        <v>0</v>
      </c>
    </row>
    <row r="3094" spans="8:8" x14ac:dyDescent="0.2">
      <c r="H3094">
        <v>0</v>
      </c>
    </row>
    <row r="3095" spans="8:8" x14ac:dyDescent="0.2">
      <c r="H3095">
        <v>0</v>
      </c>
    </row>
    <row r="3096" spans="8:8" x14ac:dyDescent="0.2">
      <c r="H3096">
        <v>0</v>
      </c>
    </row>
    <row r="3097" spans="8:8" x14ac:dyDescent="0.2">
      <c r="H3097">
        <v>0</v>
      </c>
    </row>
    <row r="3098" spans="8:8" x14ac:dyDescent="0.2">
      <c r="H3098">
        <v>0</v>
      </c>
    </row>
    <row r="3099" spans="8:8" x14ac:dyDescent="0.2">
      <c r="H3099">
        <v>0</v>
      </c>
    </row>
    <row r="3100" spans="8:8" x14ac:dyDescent="0.2">
      <c r="H3100">
        <v>0</v>
      </c>
    </row>
    <row r="3101" spans="8:8" x14ac:dyDescent="0.2">
      <c r="H3101">
        <v>0</v>
      </c>
    </row>
    <row r="3102" spans="8:8" x14ac:dyDescent="0.2">
      <c r="H3102">
        <v>0</v>
      </c>
    </row>
    <row r="3103" spans="8:8" x14ac:dyDescent="0.2">
      <c r="H3103">
        <v>0</v>
      </c>
    </row>
    <row r="3104" spans="8:8" x14ac:dyDescent="0.2">
      <c r="H3104">
        <v>0</v>
      </c>
    </row>
    <row r="3105" spans="8:8" x14ac:dyDescent="0.2">
      <c r="H3105">
        <v>0</v>
      </c>
    </row>
    <row r="3106" spans="8:8" x14ac:dyDescent="0.2">
      <c r="H3106">
        <v>0</v>
      </c>
    </row>
    <row r="3107" spans="8:8" x14ac:dyDescent="0.2">
      <c r="H3107">
        <v>0</v>
      </c>
    </row>
    <row r="3108" spans="8:8" x14ac:dyDescent="0.2">
      <c r="H3108">
        <v>0</v>
      </c>
    </row>
    <row r="3109" spans="8:8" x14ac:dyDescent="0.2">
      <c r="H3109">
        <v>0</v>
      </c>
    </row>
    <row r="3110" spans="8:8" x14ac:dyDescent="0.2">
      <c r="H3110">
        <v>0</v>
      </c>
    </row>
    <row r="3111" spans="8:8" x14ac:dyDescent="0.2">
      <c r="H3111">
        <v>0</v>
      </c>
    </row>
    <row r="3112" spans="8:8" x14ac:dyDescent="0.2">
      <c r="H3112">
        <v>0</v>
      </c>
    </row>
    <row r="3113" spans="8:8" x14ac:dyDescent="0.2">
      <c r="H3113">
        <v>0</v>
      </c>
    </row>
    <row r="3114" spans="8:8" x14ac:dyDescent="0.2">
      <c r="H3114">
        <v>0</v>
      </c>
    </row>
    <row r="3115" spans="8:8" x14ac:dyDescent="0.2">
      <c r="H3115">
        <v>0</v>
      </c>
    </row>
    <row r="3116" spans="8:8" x14ac:dyDescent="0.2">
      <c r="H3116">
        <v>0</v>
      </c>
    </row>
    <row r="3117" spans="8:8" x14ac:dyDescent="0.2">
      <c r="H3117">
        <v>0</v>
      </c>
    </row>
    <row r="3118" spans="8:8" x14ac:dyDescent="0.2">
      <c r="H3118">
        <v>0</v>
      </c>
    </row>
    <row r="3119" spans="8:8" x14ac:dyDescent="0.2">
      <c r="H3119">
        <v>0</v>
      </c>
    </row>
    <row r="3120" spans="8:8" x14ac:dyDescent="0.2">
      <c r="H3120">
        <v>0</v>
      </c>
    </row>
    <row r="3121" spans="8:8" x14ac:dyDescent="0.2">
      <c r="H3121">
        <v>0</v>
      </c>
    </row>
    <row r="3122" spans="8:8" x14ac:dyDescent="0.2">
      <c r="H3122">
        <v>0</v>
      </c>
    </row>
    <row r="3123" spans="8:8" x14ac:dyDescent="0.2">
      <c r="H3123">
        <v>0</v>
      </c>
    </row>
    <row r="3124" spans="8:8" x14ac:dyDescent="0.2">
      <c r="H3124">
        <v>0</v>
      </c>
    </row>
    <row r="3125" spans="8:8" x14ac:dyDescent="0.2">
      <c r="H3125">
        <v>0</v>
      </c>
    </row>
    <row r="3126" spans="8:8" x14ac:dyDescent="0.2">
      <c r="H3126">
        <v>0</v>
      </c>
    </row>
    <row r="3127" spans="8:8" x14ac:dyDescent="0.2">
      <c r="H3127">
        <v>0</v>
      </c>
    </row>
    <row r="3128" spans="8:8" x14ac:dyDescent="0.2">
      <c r="H3128">
        <v>0</v>
      </c>
    </row>
    <row r="3129" spans="8:8" x14ac:dyDescent="0.2">
      <c r="H3129">
        <v>0</v>
      </c>
    </row>
    <row r="3130" spans="8:8" x14ac:dyDescent="0.2">
      <c r="H3130">
        <v>0</v>
      </c>
    </row>
    <row r="3131" spans="8:8" x14ac:dyDescent="0.2">
      <c r="H3131">
        <v>0</v>
      </c>
    </row>
    <row r="3132" spans="8:8" x14ac:dyDescent="0.2">
      <c r="H3132">
        <v>0</v>
      </c>
    </row>
    <row r="3133" spans="8:8" x14ac:dyDescent="0.2">
      <c r="H3133">
        <v>0</v>
      </c>
    </row>
    <row r="3134" spans="8:8" x14ac:dyDescent="0.2">
      <c r="H3134">
        <v>0</v>
      </c>
    </row>
    <row r="3135" spans="8:8" x14ac:dyDescent="0.2">
      <c r="H3135">
        <v>0</v>
      </c>
    </row>
    <row r="3136" spans="8:8" x14ac:dyDescent="0.2">
      <c r="H3136">
        <v>0</v>
      </c>
    </row>
    <row r="3137" spans="8:8" x14ac:dyDescent="0.2">
      <c r="H3137">
        <v>0</v>
      </c>
    </row>
    <row r="3138" spans="8:8" x14ac:dyDescent="0.2">
      <c r="H3138">
        <v>0</v>
      </c>
    </row>
    <row r="3139" spans="8:8" x14ac:dyDescent="0.2">
      <c r="H3139">
        <v>0</v>
      </c>
    </row>
    <row r="3140" spans="8:8" x14ac:dyDescent="0.2">
      <c r="H3140">
        <v>0</v>
      </c>
    </row>
    <row r="3141" spans="8:8" x14ac:dyDescent="0.2">
      <c r="H3141">
        <v>0</v>
      </c>
    </row>
    <row r="3142" spans="8:8" x14ac:dyDescent="0.2">
      <c r="H3142">
        <v>0</v>
      </c>
    </row>
    <row r="3143" spans="8:8" x14ac:dyDescent="0.2">
      <c r="H3143">
        <v>0</v>
      </c>
    </row>
    <row r="3144" spans="8:8" x14ac:dyDescent="0.2">
      <c r="H3144">
        <v>0</v>
      </c>
    </row>
    <row r="3145" spans="8:8" x14ac:dyDescent="0.2">
      <c r="H3145">
        <v>0</v>
      </c>
    </row>
    <row r="3146" spans="8:8" x14ac:dyDescent="0.2">
      <c r="H3146">
        <v>0</v>
      </c>
    </row>
    <row r="3147" spans="8:8" x14ac:dyDescent="0.2">
      <c r="H3147">
        <v>0</v>
      </c>
    </row>
    <row r="3148" spans="8:8" x14ac:dyDescent="0.2">
      <c r="H3148">
        <v>0</v>
      </c>
    </row>
    <row r="3149" spans="8:8" x14ac:dyDescent="0.2">
      <c r="H3149">
        <v>0</v>
      </c>
    </row>
    <row r="3150" spans="8:8" x14ac:dyDescent="0.2">
      <c r="H3150">
        <v>0</v>
      </c>
    </row>
    <row r="3151" spans="8:8" x14ac:dyDescent="0.2">
      <c r="H3151">
        <v>0</v>
      </c>
    </row>
    <row r="3152" spans="8:8" x14ac:dyDescent="0.2">
      <c r="H3152">
        <v>0</v>
      </c>
    </row>
    <row r="3153" spans="8:8" x14ac:dyDescent="0.2">
      <c r="H3153">
        <v>0</v>
      </c>
    </row>
    <row r="3154" spans="8:8" x14ac:dyDescent="0.2">
      <c r="H3154">
        <v>0</v>
      </c>
    </row>
    <row r="3155" spans="8:8" x14ac:dyDescent="0.2">
      <c r="H3155">
        <v>0</v>
      </c>
    </row>
    <row r="3156" spans="8:8" x14ac:dyDescent="0.2">
      <c r="H3156">
        <v>0</v>
      </c>
    </row>
    <row r="3157" spans="8:8" x14ac:dyDescent="0.2">
      <c r="H3157">
        <v>0</v>
      </c>
    </row>
    <row r="3158" spans="8:8" x14ac:dyDescent="0.2">
      <c r="H3158">
        <v>0</v>
      </c>
    </row>
    <row r="3159" spans="8:8" x14ac:dyDescent="0.2">
      <c r="H3159">
        <v>0</v>
      </c>
    </row>
    <row r="3160" spans="8:8" x14ac:dyDescent="0.2">
      <c r="H3160">
        <v>0</v>
      </c>
    </row>
    <row r="3161" spans="8:8" x14ac:dyDescent="0.2">
      <c r="H3161">
        <v>0</v>
      </c>
    </row>
    <row r="3162" spans="8:8" x14ac:dyDescent="0.2">
      <c r="H3162">
        <v>0</v>
      </c>
    </row>
    <row r="3163" spans="8:8" x14ac:dyDescent="0.2">
      <c r="H3163">
        <v>0</v>
      </c>
    </row>
    <row r="3164" spans="8:8" x14ac:dyDescent="0.2">
      <c r="H3164">
        <v>0</v>
      </c>
    </row>
    <row r="3165" spans="8:8" x14ac:dyDescent="0.2">
      <c r="H3165">
        <v>0</v>
      </c>
    </row>
    <row r="3166" spans="8:8" x14ac:dyDescent="0.2">
      <c r="H3166">
        <v>0</v>
      </c>
    </row>
    <row r="3167" spans="8:8" x14ac:dyDescent="0.2">
      <c r="H3167">
        <v>0</v>
      </c>
    </row>
    <row r="3168" spans="8:8" x14ac:dyDescent="0.2">
      <c r="H3168">
        <v>0</v>
      </c>
    </row>
    <row r="3169" spans="8:8" x14ac:dyDescent="0.2">
      <c r="H3169">
        <v>0</v>
      </c>
    </row>
    <row r="3170" spans="8:8" x14ac:dyDescent="0.2">
      <c r="H3170">
        <v>0</v>
      </c>
    </row>
    <row r="3171" spans="8:8" x14ac:dyDescent="0.2">
      <c r="H3171">
        <v>0</v>
      </c>
    </row>
    <row r="3172" spans="8:8" x14ac:dyDescent="0.2">
      <c r="H3172">
        <v>0</v>
      </c>
    </row>
    <row r="3173" spans="8:8" x14ac:dyDescent="0.2">
      <c r="H3173">
        <v>0</v>
      </c>
    </row>
    <row r="3174" spans="8:8" x14ac:dyDescent="0.2">
      <c r="H3174">
        <v>0</v>
      </c>
    </row>
    <row r="3175" spans="8:8" x14ac:dyDescent="0.2">
      <c r="H3175">
        <v>0</v>
      </c>
    </row>
    <row r="3176" spans="8:8" x14ac:dyDescent="0.2">
      <c r="H3176">
        <v>0</v>
      </c>
    </row>
    <row r="3177" spans="8:8" x14ac:dyDescent="0.2">
      <c r="H3177">
        <v>0</v>
      </c>
    </row>
    <row r="3178" spans="8:8" x14ac:dyDescent="0.2">
      <c r="H3178">
        <v>0</v>
      </c>
    </row>
    <row r="3179" spans="8:8" x14ac:dyDescent="0.2">
      <c r="H3179">
        <v>0</v>
      </c>
    </row>
    <row r="3180" spans="8:8" x14ac:dyDescent="0.2">
      <c r="H3180">
        <v>0</v>
      </c>
    </row>
    <row r="3181" spans="8:8" x14ac:dyDescent="0.2">
      <c r="H3181">
        <v>0</v>
      </c>
    </row>
    <row r="3182" spans="8:8" x14ac:dyDescent="0.2">
      <c r="H3182">
        <v>0</v>
      </c>
    </row>
    <row r="3183" spans="8:8" x14ac:dyDescent="0.2">
      <c r="H3183">
        <v>0</v>
      </c>
    </row>
    <row r="3184" spans="8:8" x14ac:dyDescent="0.2">
      <c r="H3184">
        <v>0</v>
      </c>
    </row>
    <row r="3185" spans="8:8" x14ac:dyDescent="0.2">
      <c r="H3185">
        <v>0</v>
      </c>
    </row>
    <row r="3186" spans="8:8" x14ac:dyDescent="0.2">
      <c r="H3186">
        <v>0</v>
      </c>
    </row>
    <row r="3187" spans="8:8" x14ac:dyDescent="0.2">
      <c r="H3187">
        <v>0</v>
      </c>
    </row>
    <row r="3188" spans="8:8" x14ac:dyDescent="0.2">
      <c r="H3188">
        <v>0</v>
      </c>
    </row>
    <row r="3189" spans="8:8" x14ac:dyDescent="0.2">
      <c r="H3189">
        <v>0</v>
      </c>
    </row>
    <row r="3190" spans="8:8" x14ac:dyDescent="0.2">
      <c r="H3190">
        <v>0</v>
      </c>
    </row>
    <row r="3191" spans="8:8" x14ac:dyDescent="0.2">
      <c r="H3191">
        <v>0</v>
      </c>
    </row>
    <row r="3192" spans="8:8" x14ac:dyDescent="0.2">
      <c r="H3192">
        <v>0</v>
      </c>
    </row>
    <row r="3193" spans="8:8" x14ac:dyDescent="0.2">
      <c r="H3193">
        <v>0</v>
      </c>
    </row>
    <row r="3194" spans="8:8" x14ac:dyDescent="0.2">
      <c r="H3194">
        <v>0</v>
      </c>
    </row>
    <row r="3195" spans="8:8" x14ac:dyDescent="0.2">
      <c r="H3195">
        <v>0</v>
      </c>
    </row>
    <row r="3196" spans="8:8" x14ac:dyDescent="0.2">
      <c r="H3196">
        <v>0</v>
      </c>
    </row>
    <row r="3197" spans="8:8" x14ac:dyDescent="0.2">
      <c r="H3197">
        <v>0</v>
      </c>
    </row>
    <row r="3198" spans="8:8" x14ac:dyDescent="0.2">
      <c r="H3198">
        <v>0</v>
      </c>
    </row>
    <row r="3199" spans="8:8" x14ac:dyDescent="0.2">
      <c r="H3199">
        <v>0</v>
      </c>
    </row>
    <row r="3200" spans="8:8" x14ac:dyDescent="0.2">
      <c r="H3200">
        <v>0</v>
      </c>
    </row>
    <row r="3201" spans="8:8" x14ac:dyDescent="0.2">
      <c r="H3201">
        <v>0</v>
      </c>
    </row>
    <row r="3202" spans="8:8" x14ac:dyDescent="0.2">
      <c r="H3202">
        <v>0</v>
      </c>
    </row>
    <row r="3203" spans="8:8" x14ac:dyDescent="0.2">
      <c r="H3203">
        <v>0</v>
      </c>
    </row>
    <row r="3204" spans="8:8" x14ac:dyDescent="0.2">
      <c r="H3204">
        <v>0</v>
      </c>
    </row>
    <row r="3205" spans="8:8" x14ac:dyDescent="0.2">
      <c r="H3205">
        <v>0</v>
      </c>
    </row>
    <row r="3206" spans="8:8" x14ac:dyDescent="0.2">
      <c r="H3206">
        <v>0</v>
      </c>
    </row>
    <row r="3207" spans="8:8" x14ac:dyDescent="0.2">
      <c r="H3207">
        <v>0</v>
      </c>
    </row>
    <row r="3208" spans="8:8" x14ac:dyDescent="0.2">
      <c r="H3208">
        <v>0</v>
      </c>
    </row>
    <row r="3209" spans="8:8" x14ac:dyDescent="0.2">
      <c r="H3209">
        <v>0</v>
      </c>
    </row>
    <row r="3210" spans="8:8" x14ac:dyDescent="0.2">
      <c r="H3210">
        <v>0</v>
      </c>
    </row>
    <row r="3211" spans="8:8" x14ac:dyDescent="0.2">
      <c r="H3211">
        <v>0</v>
      </c>
    </row>
    <row r="3212" spans="8:8" x14ac:dyDescent="0.2">
      <c r="H3212">
        <v>0</v>
      </c>
    </row>
    <row r="3213" spans="8:8" x14ac:dyDescent="0.2">
      <c r="H3213">
        <v>0</v>
      </c>
    </row>
    <row r="3214" spans="8:8" x14ac:dyDescent="0.2">
      <c r="H3214">
        <v>0</v>
      </c>
    </row>
    <row r="3215" spans="8:8" x14ac:dyDescent="0.2">
      <c r="H3215">
        <v>0</v>
      </c>
    </row>
    <row r="3216" spans="8:8" x14ac:dyDescent="0.2">
      <c r="H3216">
        <v>0</v>
      </c>
    </row>
    <row r="3217" spans="8:8" x14ac:dyDescent="0.2">
      <c r="H3217">
        <v>0</v>
      </c>
    </row>
    <row r="3218" spans="8:8" x14ac:dyDescent="0.2">
      <c r="H3218">
        <v>0</v>
      </c>
    </row>
    <row r="3219" spans="8:8" x14ac:dyDescent="0.2">
      <c r="H3219">
        <v>0</v>
      </c>
    </row>
    <row r="3220" spans="8:8" x14ac:dyDescent="0.2">
      <c r="H3220">
        <v>0</v>
      </c>
    </row>
    <row r="3221" spans="8:8" x14ac:dyDescent="0.2">
      <c r="H3221">
        <v>0</v>
      </c>
    </row>
    <row r="3222" spans="8:8" x14ac:dyDescent="0.2">
      <c r="H3222">
        <v>0</v>
      </c>
    </row>
    <row r="3223" spans="8:8" x14ac:dyDescent="0.2">
      <c r="H3223">
        <v>0</v>
      </c>
    </row>
    <row r="3224" spans="8:8" x14ac:dyDescent="0.2">
      <c r="H3224">
        <v>0</v>
      </c>
    </row>
    <row r="3225" spans="8:8" x14ac:dyDescent="0.2">
      <c r="H3225">
        <v>0</v>
      </c>
    </row>
    <row r="3226" spans="8:8" x14ac:dyDescent="0.2">
      <c r="H3226">
        <v>0</v>
      </c>
    </row>
    <row r="3227" spans="8:8" x14ac:dyDescent="0.2">
      <c r="H3227">
        <v>0</v>
      </c>
    </row>
    <row r="3228" spans="8:8" x14ac:dyDescent="0.2">
      <c r="H3228">
        <v>0</v>
      </c>
    </row>
    <row r="3229" spans="8:8" x14ac:dyDescent="0.2">
      <c r="H3229">
        <v>0</v>
      </c>
    </row>
    <row r="3230" spans="8:8" x14ac:dyDescent="0.2">
      <c r="H3230">
        <v>0</v>
      </c>
    </row>
    <row r="3231" spans="8:8" x14ac:dyDescent="0.2">
      <c r="H3231">
        <v>0</v>
      </c>
    </row>
    <row r="3232" spans="8:8" x14ac:dyDescent="0.2">
      <c r="H3232">
        <v>0</v>
      </c>
    </row>
    <row r="3233" spans="8:8" x14ac:dyDescent="0.2">
      <c r="H3233">
        <v>0</v>
      </c>
    </row>
    <row r="3234" spans="8:8" x14ac:dyDescent="0.2">
      <c r="H3234">
        <v>0</v>
      </c>
    </row>
    <row r="3235" spans="8:8" x14ac:dyDescent="0.2">
      <c r="H3235">
        <v>0</v>
      </c>
    </row>
    <row r="3236" spans="8:8" x14ac:dyDescent="0.2">
      <c r="H3236">
        <v>0</v>
      </c>
    </row>
    <row r="3237" spans="8:8" x14ac:dyDescent="0.2">
      <c r="H3237">
        <v>0</v>
      </c>
    </row>
    <row r="3238" spans="8:8" x14ac:dyDescent="0.2">
      <c r="H3238">
        <v>0</v>
      </c>
    </row>
    <row r="3239" spans="8:8" x14ac:dyDescent="0.2">
      <c r="H3239">
        <v>0</v>
      </c>
    </row>
    <row r="3240" spans="8:8" x14ac:dyDescent="0.2">
      <c r="H3240">
        <v>0</v>
      </c>
    </row>
    <row r="3241" spans="8:8" x14ac:dyDescent="0.2">
      <c r="H3241">
        <v>0</v>
      </c>
    </row>
    <row r="3242" spans="8:8" x14ac:dyDescent="0.2">
      <c r="H3242">
        <v>0</v>
      </c>
    </row>
    <row r="3243" spans="8:8" x14ac:dyDescent="0.2">
      <c r="H3243">
        <v>0</v>
      </c>
    </row>
    <row r="3244" spans="8:8" x14ac:dyDescent="0.2">
      <c r="H3244">
        <v>0</v>
      </c>
    </row>
    <row r="3245" spans="8:8" x14ac:dyDescent="0.2">
      <c r="H3245">
        <v>0</v>
      </c>
    </row>
    <row r="3246" spans="8:8" x14ac:dyDescent="0.2">
      <c r="H3246">
        <v>0</v>
      </c>
    </row>
    <row r="3247" spans="8:8" x14ac:dyDescent="0.2">
      <c r="H3247">
        <v>0</v>
      </c>
    </row>
    <row r="3248" spans="8:8" x14ac:dyDescent="0.2">
      <c r="H3248">
        <v>0</v>
      </c>
    </row>
    <row r="3249" spans="8:8" x14ac:dyDescent="0.2">
      <c r="H3249">
        <v>0</v>
      </c>
    </row>
    <row r="3250" spans="8:8" x14ac:dyDescent="0.2">
      <c r="H3250">
        <v>0</v>
      </c>
    </row>
    <row r="3251" spans="8:8" x14ac:dyDescent="0.2">
      <c r="H3251">
        <v>0</v>
      </c>
    </row>
    <row r="3252" spans="8:8" x14ac:dyDescent="0.2">
      <c r="H3252">
        <v>0</v>
      </c>
    </row>
    <row r="3253" spans="8:8" x14ac:dyDescent="0.2">
      <c r="H3253">
        <v>0</v>
      </c>
    </row>
    <row r="3254" spans="8:8" x14ac:dyDescent="0.2">
      <c r="H3254">
        <v>0</v>
      </c>
    </row>
    <row r="3255" spans="8:8" x14ac:dyDescent="0.2">
      <c r="H3255">
        <v>0</v>
      </c>
    </row>
    <row r="3256" spans="8:8" x14ac:dyDescent="0.2">
      <c r="H3256">
        <v>0</v>
      </c>
    </row>
    <row r="3257" spans="8:8" x14ac:dyDescent="0.2">
      <c r="H3257">
        <v>0</v>
      </c>
    </row>
    <row r="3258" spans="8:8" x14ac:dyDescent="0.2">
      <c r="H3258">
        <v>0</v>
      </c>
    </row>
    <row r="3259" spans="8:8" x14ac:dyDescent="0.2">
      <c r="H3259">
        <v>0</v>
      </c>
    </row>
    <row r="3260" spans="8:8" x14ac:dyDescent="0.2">
      <c r="H3260">
        <v>0</v>
      </c>
    </row>
    <row r="3261" spans="8:8" x14ac:dyDescent="0.2">
      <c r="H3261">
        <v>0</v>
      </c>
    </row>
    <row r="3262" spans="8:8" x14ac:dyDescent="0.2">
      <c r="H3262">
        <v>0</v>
      </c>
    </row>
    <row r="3263" spans="8:8" x14ac:dyDescent="0.2">
      <c r="H3263">
        <v>0</v>
      </c>
    </row>
    <row r="3264" spans="8:8" x14ac:dyDescent="0.2">
      <c r="H3264">
        <v>0</v>
      </c>
    </row>
    <row r="3265" spans="8:8" x14ac:dyDescent="0.2">
      <c r="H3265">
        <v>0</v>
      </c>
    </row>
    <row r="3266" spans="8:8" x14ac:dyDescent="0.2">
      <c r="H3266">
        <v>0</v>
      </c>
    </row>
    <row r="3267" spans="8:8" x14ac:dyDescent="0.2">
      <c r="H3267">
        <v>0</v>
      </c>
    </row>
    <row r="3268" spans="8:8" x14ac:dyDescent="0.2">
      <c r="H3268">
        <v>0</v>
      </c>
    </row>
    <row r="3269" spans="8:8" x14ac:dyDescent="0.2">
      <c r="H3269">
        <v>0</v>
      </c>
    </row>
    <row r="3270" spans="8:8" x14ac:dyDescent="0.2">
      <c r="H3270">
        <v>0</v>
      </c>
    </row>
    <row r="3271" spans="8:8" x14ac:dyDescent="0.2">
      <c r="H3271">
        <v>0</v>
      </c>
    </row>
    <row r="3272" spans="8:8" x14ac:dyDescent="0.2">
      <c r="H3272">
        <v>0</v>
      </c>
    </row>
    <row r="3273" spans="8:8" x14ac:dyDescent="0.2">
      <c r="H3273">
        <v>0</v>
      </c>
    </row>
    <row r="3274" spans="8:8" x14ac:dyDescent="0.2">
      <c r="H3274">
        <v>0</v>
      </c>
    </row>
    <row r="3275" spans="8:8" x14ac:dyDescent="0.2">
      <c r="H3275">
        <v>0</v>
      </c>
    </row>
    <row r="3276" spans="8:8" x14ac:dyDescent="0.2">
      <c r="H3276">
        <v>0</v>
      </c>
    </row>
    <row r="3277" spans="8:8" x14ac:dyDescent="0.2">
      <c r="H3277">
        <v>0</v>
      </c>
    </row>
    <row r="3278" spans="8:8" x14ac:dyDescent="0.2">
      <c r="H3278">
        <v>0</v>
      </c>
    </row>
    <row r="3279" spans="8:8" x14ac:dyDescent="0.2">
      <c r="H3279">
        <v>0</v>
      </c>
    </row>
    <row r="3280" spans="8:8" x14ac:dyDescent="0.2">
      <c r="H3280">
        <v>0</v>
      </c>
    </row>
    <row r="3281" spans="8:8" x14ac:dyDescent="0.2">
      <c r="H3281">
        <v>0</v>
      </c>
    </row>
    <row r="3282" spans="8:8" x14ac:dyDescent="0.2">
      <c r="H3282">
        <v>0</v>
      </c>
    </row>
    <row r="3283" spans="8:8" x14ac:dyDescent="0.2">
      <c r="H3283">
        <v>0</v>
      </c>
    </row>
    <row r="3284" spans="8:8" x14ac:dyDescent="0.2">
      <c r="H3284">
        <v>0</v>
      </c>
    </row>
    <row r="3285" spans="8:8" x14ac:dyDescent="0.2">
      <c r="H3285">
        <v>0</v>
      </c>
    </row>
    <row r="3286" spans="8:8" x14ac:dyDescent="0.2">
      <c r="H3286">
        <v>0</v>
      </c>
    </row>
    <row r="3287" spans="8:8" x14ac:dyDescent="0.2">
      <c r="H3287">
        <v>0</v>
      </c>
    </row>
    <row r="3288" spans="8:8" x14ac:dyDescent="0.2">
      <c r="H3288">
        <v>0</v>
      </c>
    </row>
    <row r="3289" spans="8:8" x14ac:dyDescent="0.2">
      <c r="H3289">
        <v>0</v>
      </c>
    </row>
    <row r="3290" spans="8:8" x14ac:dyDescent="0.2">
      <c r="H3290">
        <v>0</v>
      </c>
    </row>
    <row r="3291" spans="8:8" x14ac:dyDescent="0.2">
      <c r="H3291">
        <v>0</v>
      </c>
    </row>
    <row r="3292" spans="8:8" x14ac:dyDescent="0.2">
      <c r="H3292">
        <v>0</v>
      </c>
    </row>
    <row r="3293" spans="8:8" x14ac:dyDescent="0.2">
      <c r="H3293">
        <v>0</v>
      </c>
    </row>
    <row r="3294" spans="8:8" x14ac:dyDescent="0.2">
      <c r="H3294">
        <v>0</v>
      </c>
    </row>
    <row r="3295" spans="8:8" x14ac:dyDescent="0.2">
      <c r="H3295">
        <v>0</v>
      </c>
    </row>
    <row r="3296" spans="8:8" x14ac:dyDescent="0.2">
      <c r="H3296">
        <v>0</v>
      </c>
    </row>
    <row r="3297" spans="8:8" x14ac:dyDescent="0.2">
      <c r="H3297">
        <v>0</v>
      </c>
    </row>
    <row r="3298" spans="8:8" x14ac:dyDescent="0.2">
      <c r="H3298">
        <v>0</v>
      </c>
    </row>
    <row r="3299" spans="8:8" x14ac:dyDescent="0.2">
      <c r="H3299">
        <v>0</v>
      </c>
    </row>
    <row r="3300" spans="8:8" x14ac:dyDescent="0.2">
      <c r="H3300">
        <v>0</v>
      </c>
    </row>
    <row r="3301" spans="8:8" x14ac:dyDescent="0.2">
      <c r="H3301">
        <v>0</v>
      </c>
    </row>
    <row r="3302" spans="8:8" x14ac:dyDescent="0.2">
      <c r="H3302">
        <v>0</v>
      </c>
    </row>
    <row r="3303" spans="8:8" x14ac:dyDescent="0.2">
      <c r="H3303">
        <v>0</v>
      </c>
    </row>
    <row r="3304" spans="8:8" x14ac:dyDescent="0.2">
      <c r="H3304">
        <v>0</v>
      </c>
    </row>
    <row r="3305" spans="8:8" x14ac:dyDescent="0.2">
      <c r="H3305">
        <v>0</v>
      </c>
    </row>
    <row r="3306" spans="8:8" x14ac:dyDescent="0.2">
      <c r="H3306">
        <v>0</v>
      </c>
    </row>
    <row r="3307" spans="8:8" x14ac:dyDescent="0.2">
      <c r="H3307">
        <v>0</v>
      </c>
    </row>
    <row r="3308" spans="8:8" x14ac:dyDescent="0.2">
      <c r="H3308">
        <v>0</v>
      </c>
    </row>
    <row r="3309" spans="8:8" x14ac:dyDescent="0.2">
      <c r="H3309">
        <v>0</v>
      </c>
    </row>
    <row r="3310" spans="8:8" x14ac:dyDescent="0.2">
      <c r="H3310">
        <v>0</v>
      </c>
    </row>
    <row r="3311" spans="8:8" x14ac:dyDescent="0.2">
      <c r="H3311">
        <v>0</v>
      </c>
    </row>
    <row r="3312" spans="8:8" x14ac:dyDescent="0.2">
      <c r="H3312">
        <v>0</v>
      </c>
    </row>
    <row r="3313" spans="8:8" x14ac:dyDescent="0.2">
      <c r="H3313">
        <v>0</v>
      </c>
    </row>
    <row r="3314" spans="8:8" x14ac:dyDescent="0.2">
      <c r="H3314">
        <v>0</v>
      </c>
    </row>
    <row r="3315" spans="8:8" x14ac:dyDescent="0.2">
      <c r="H3315">
        <v>0</v>
      </c>
    </row>
    <row r="3316" spans="8:8" x14ac:dyDescent="0.2">
      <c r="H3316">
        <v>0</v>
      </c>
    </row>
    <row r="3317" spans="8:8" x14ac:dyDescent="0.2">
      <c r="H3317">
        <v>0</v>
      </c>
    </row>
    <row r="3318" spans="8:8" x14ac:dyDescent="0.2">
      <c r="H3318">
        <v>0</v>
      </c>
    </row>
    <row r="3319" spans="8:8" x14ac:dyDescent="0.2">
      <c r="H3319">
        <v>0</v>
      </c>
    </row>
    <row r="3320" spans="8:8" x14ac:dyDescent="0.2">
      <c r="H3320">
        <v>0</v>
      </c>
    </row>
    <row r="3321" spans="8:8" x14ac:dyDescent="0.2">
      <c r="H3321">
        <v>0</v>
      </c>
    </row>
    <row r="3322" spans="8:8" x14ac:dyDescent="0.2">
      <c r="H3322">
        <v>0</v>
      </c>
    </row>
    <row r="3323" spans="8:8" x14ac:dyDescent="0.2">
      <c r="H3323">
        <v>0</v>
      </c>
    </row>
    <row r="3324" spans="8:8" x14ac:dyDescent="0.2">
      <c r="H3324">
        <v>0</v>
      </c>
    </row>
    <row r="3325" spans="8:8" x14ac:dyDescent="0.2">
      <c r="H3325">
        <v>0</v>
      </c>
    </row>
    <row r="3326" spans="8:8" x14ac:dyDescent="0.2">
      <c r="H3326">
        <v>0</v>
      </c>
    </row>
    <row r="3327" spans="8:8" x14ac:dyDescent="0.2">
      <c r="H3327">
        <v>0</v>
      </c>
    </row>
    <row r="3328" spans="8:8" x14ac:dyDescent="0.2">
      <c r="H3328">
        <v>0</v>
      </c>
    </row>
    <row r="3329" spans="8:8" x14ac:dyDescent="0.2">
      <c r="H3329">
        <v>0</v>
      </c>
    </row>
    <row r="3330" spans="8:8" x14ac:dyDescent="0.2">
      <c r="H3330">
        <v>0</v>
      </c>
    </row>
    <row r="3331" spans="8:8" x14ac:dyDescent="0.2">
      <c r="H3331">
        <v>0</v>
      </c>
    </row>
    <row r="3332" spans="8:8" x14ac:dyDescent="0.2">
      <c r="H3332">
        <v>0</v>
      </c>
    </row>
    <row r="3333" spans="8:8" x14ac:dyDescent="0.2">
      <c r="H3333">
        <v>0</v>
      </c>
    </row>
    <row r="3334" spans="8:8" x14ac:dyDescent="0.2">
      <c r="H3334">
        <v>0</v>
      </c>
    </row>
    <row r="3335" spans="8:8" x14ac:dyDescent="0.2">
      <c r="H3335">
        <v>0</v>
      </c>
    </row>
    <row r="3336" spans="8:8" x14ac:dyDescent="0.2">
      <c r="H3336">
        <v>0</v>
      </c>
    </row>
    <row r="3337" spans="8:8" x14ac:dyDescent="0.2">
      <c r="H3337">
        <v>0</v>
      </c>
    </row>
    <row r="3338" spans="8:8" x14ac:dyDescent="0.2">
      <c r="H3338">
        <v>0</v>
      </c>
    </row>
    <row r="3339" spans="8:8" x14ac:dyDescent="0.2">
      <c r="H3339">
        <v>0</v>
      </c>
    </row>
    <row r="3340" spans="8:8" x14ac:dyDescent="0.2">
      <c r="H3340">
        <v>0</v>
      </c>
    </row>
    <row r="3341" spans="8:8" x14ac:dyDescent="0.2">
      <c r="H3341">
        <v>0</v>
      </c>
    </row>
    <row r="3342" spans="8:8" x14ac:dyDescent="0.2">
      <c r="H3342">
        <v>0</v>
      </c>
    </row>
    <row r="3343" spans="8:8" x14ac:dyDescent="0.2">
      <c r="H3343">
        <v>0</v>
      </c>
    </row>
    <row r="3344" spans="8:8" x14ac:dyDescent="0.2">
      <c r="H3344">
        <v>0</v>
      </c>
    </row>
    <row r="3345" spans="8:8" x14ac:dyDescent="0.2">
      <c r="H3345">
        <v>0</v>
      </c>
    </row>
    <row r="3346" spans="8:8" x14ac:dyDescent="0.2">
      <c r="H3346">
        <v>0</v>
      </c>
    </row>
    <row r="3347" spans="8:8" x14ac:dyDescent="0.2">
      <c r="H3347">
        <v>0</v>
      </c>
    </row>
    <row r="3348" spans="8:8" x14ac:dyDescent="0.2">
      <c r="H3348">
        <v>0</v>
      </c>
    </row>
    <row r="3349" spans="8:8" x14ac:dyDescent="0.2">
      <c r="H3349">
        <v>0</v>
      </c>
    </row>
    <row r="3350" spans="8:8" x14ac:dyDescent="0.2">
      <c r="H3350">
        <v>0</v>
      </c>
    </row>
    <row r="3351" spans="8:8" x14ac:dyDescent="0.2">
      <c r="H3351">
        <v>0</v>
      </c>
    </row>
    <row r="3352" spans="8:8" x14ac:dyDescent="0.2">
      <c r="H3352">
        <v>0</v>
      </c>
    </row>
    <row r="3353" spans="8:8" x14ac:dyDescent="0.2">
      <c r="H3353">
        <v>0</v>
      </c>
    </row>
    <row r="3354" spans="8:8" x14ac:dyDescent="0.2">
      <c r="H3354">
        <v>0</v>
      </c>
    </row>
    <row r="3355" spans="8:8" x14ac:dyDescent="0.2">
      <c r="H3355">
        <v>0</v>
      </c>
    </row>
    <row r="3356" spans="8:8" x14ac:dyDescent="0.2">
      <c r="H3356">
        <v>0</v>
      </c>
    </row>
    <row r="3357" spans="8:8" x14ac:dyDescent="0.2">
      <c r="H3357">
        <v>0</v>
      </c>
    </row>
    <row r="3358" spans="8:8" x14ac:dyDescent="0.2">
      <c r="H3358">
        <v>0</v>
      </c>
    </row>
    <row r="3359" spans="8:8" x14ac:dyDescent="0.2">
      <c r="H3359">
        <v>0</v>
      </c>
    </row>
    <row r="3360" spans="8:8" x14ac:dyDescent="0.2">
      <c r="H3360">
        <v>0</v>
      </c>
    </row>
    <row r="3361" spans="8:8" x14ac:dyDescent="0.2">
      <c r="H3361">
        <v>0</v>
      </c>
    </row>
    <row r="3362" spans="8:8" x14ac:dyDescent="0.2">
      <c r="H3362">
        <v>0</v>
      </c>
    </row>
    <row r="3363" spans="8:8" x14ac:dyDescent="0.2">
      <c r="H3363">
        <v>0</v>
      </c>
    </row>
    <row r="3364" spans="8:8" x14ac:dyDescent="0.2">
      <c r="H3364">
        <v>0</v>
      </c>
    </row>
    <row r="3365" spans="8:8" x14ac:dyDescent="0.2">
      <c r="H3365">
        <v>0</v>
      </c>
    </row>
    <row r="3366" spans="8:8" x14ac:dyDescent="0.2">
      <c r="H3366">
        <v>0</v>
      </c>
    </row>
    <row r="3367" spans="8:8" x14ac:dyDescent="0.2">
      <c r="H3367">
        <v>0</v>
      </c>
    </row>
    <row r="3368" spans="8:8" x14ac:dyDescent="0.2">
      <c r="H3368">
        <v>0</v>
      </c>
    </row>
    <row r="3369" spans="8:8" x14ac:dyDescent="0.2">
      <c r="H3369">
        <v>0</v>
      </c>
    </row>
    <row r="3370" spans="8:8" x14ac:dyDescent="0.2">
      <c r="H3370">
        <v>0</v>
      </c>
    </row>
    <row r="3371" spans="8:8" x14ac:dyDescent="0.2">
      <c r="H3371">
        <v>0</v>
      </c>
    </row>
    <row r="3372" spans="8:8" x14ac:dyDescent="0.2">
      <c r="H3372">
        <v>0</v>
      </c>
    </row>
    <row r="3373" spans="8:8" x14ac:dyDescent="0.2">
      <c r="H3373">
        <v>0</v>
      </c>
    </row>
    <row r="3374" spans="8:8" x14ac:dyDescent="0.2">
      <c r="H3374">
        <v>0</v>
      </c>
    </row>
    <row r="3375" spans="8:8" x14ac:dyDescent="0.2">
      <c r="H3375">
        <v>0</v>
      </c>
    </row>
    <row r="3376" spans="8:8" x14ac:dyDescent="0.2">
      <c r="H3376">
        <v>0</v>
      </c>
    </row>
    <row r="3377" spans="8:8" x14ac:dyDescent="0.2">
      <c r="H3377">
        <v>0</v>
      </c>
    </row>
    <row r="3378" spans="8:8" x14ac:dyDescent="0.2">
      <c r="H3378">
        <v>0</v>
      </c>
    </row>
    <row r="3379" spans="8:8" x14ac:dyDescent="0.2">
      <c r="H3379">
        <v>0</v>
      </c>
    </row>
    <row r="3380" spans="8:8" x14ac:dyDescent="0.2">
      <c r="H3380">
        <v>0</v>
      </c>
    </row>
    <row r="3381" spans="8:8" x14ac:dyDescent="0.2">
      <c r="H3381">
        <v>0</v>
      </c>
    </row>
    <row r="3382" spans="8:8" x14ac:dyDescent="0.2">
      <c r="H3382">
        <v>0</v>
      </c>
    </row>
    <row r="3383" spans="8:8" x14ac:dyDescent="0.2">
      <c r="H3383">
        <v>0</v>
      </c>
    </row>
    <row r="3384" spans="8:8" x14ac:dyDescent="0.2">
      <c r="H3384">
        <v>0</v>
      </c>
    </row>
    <row r="3385" spans="8:8" x14ac:dyDescent="0.2">
      <c r="H3385">
        <v>0</v>
      </c>
    </row>
    <row r="3386" spans="8:8" x14ac:dyDescent="0.2">
      <c r="H3386">
        <v>0</v>
      </c>
    </row>
    <row r="3387" spans="8:8" x14ac:dyDescent="0.2">
      <c r="H3387">
        <v>0</v>
      </c>
    </row>
    <row r="3388" spans="8:8" x14ac:dyDescent="0.2">
      <c r="H3388">
        <v>0</v>
      </c>
    </row>
    <row r="3389" spans="8:8" x14ac:dyDescent="0.2">
      <c r="H3389">
        <v>0</v>
      </c>
    </row>
    <row r="3390" spans="8:8" x14ac:dyDescent="0.2">
      <c r="H3390">
        <v>0</v>
      </c>
    </row>
    <row r="3391" spans="8:8" x14ac:dyDescent="0.2">
      <c r="H3391">
        <v>0</v>
      </c>
    </row>
    <row r="3392" spans="8:8" x14ac:dyDescent="0.2">
      <c r="H3392">
        <v>0</v>
      </c>
    </row>
    <row r="3393" spans="8:8" x14ac:dyDescent="0.2">
      <c r="H3393">
        <v>0</v>
      </c>
    </row>
    <row r="3394" spans="8:8" x14ac:dyDescent="0.2">
      <c r="H3394">
        <v>0</v>
      </c>
    </row>
    <row r="3395" spans="8:8" x14ac:dyDescent="0.2">
      <c r="H3395">
        <v>0</v>
      </c>
    </row>
    <row r="3396" spans="8:8" x14ac:dyDescent="0.2">
      <c r="H3396">
        <v>0</v>
      </c>
    </row>
    <row r="3397" spans="8:8" x14ac:dyDescent="0.2">
      <c r="H3397">
        <v>0</v>
      </c>
    </row>
    <row r="3398" spans="8:8" x14ac:dyDescent="0.2">
      <c r="H3398">
        <v>0</v>
      </c>
    </row>
    <row r="3399" spans="8:8" x14ac:dyDescent="0.2">
      <c r="H3399">
        <v>0</v>
      </c>
    </row>
    <row r="3400" spans="8:8" x14ac:dyDescent="0.2">
      <c r="H3400">
        <v>0</v>
      </c>
    </row>
    <row r="3401" spans="8:8" x14ac:dyDescent="0.2">
      <c r="H3401">
        <v>0</v>
      </c>
    </row>
    <row r="3402" spans="8:8" x14ac:dyDescent="0.2">
      <c r="H3402">
        <v>0</v>
      </c>
    </row>
    <row r="3403" spans="8:8" x14ac:dyDescent="0.2">
      <c r="H3403">
        <v>0</v>
      </c>
    </row>
    <row r="3404" spans="8:8" x14ac:dyDescent="0.2">
      <c r="H3404">
        <v>0</v>
      </c>
    </row>
    <row r="3405" spans="8:8" x14ac:dyDescent="0.2">
      <c r="H3405">
        <v>0</v>
      </c>
    </row>
    <row r="3406" spans="8:8" x14ac:dyDescent="0.2">
      <c r="H3406">
        <v>0</v>
      </c>
    </row>
    <row r="3407" spans="8:8" x14ac:dyDescent="0.2">
      <c r="H3407">
        <v>0</v>
      </c>
    </row>
    <row r="3408" spans="8:8" x14ac:dyDescent="0.2">
      <c r="H3408">
        <v>0</v>
      </c>
    </row>
    <row r="3409" spans="8:8" x14ac:dyDescent="0.2">
      <c r="H3409">
        <v>0</v>
      </c>
    </row>
    <row r="3410" spans="8:8" x14ac:dyDescent="0.2">
      <c r="H3410">
        <v>0</v>
      </c>
    </row>
    <row r="3411" spans="8:8" x14ac:dyDescent="0.2">
      <c r="H3411">
        <v>0</v>
      </c>
    </row>
    <row r="3412" spans="8:8" x14ac:dyDescent="0.2">
      <c r="H3412">
        <v>0</v>
      </c>
    </row>
    <row r="3413" spans="8:8" x14ac:dyDescent="0.2">
      <c r="H3413">
        <v>0</v>
      </c>
    </row>
    <row r="3414" spans="8:8" x14ac:dyDescent="0.2">
      <c r="H3414">
        <v>0</v>
      </c>
    </row>
    <row r="3415" spans="8:8" x14ac:dyDescent="0.2">
      <c r="H3415">
        <v>0</v>
      </c>
    </row>
    <row r="3416" spans="8:8" x14ac:dyDescent="0.2">
      <c r="H3416">
        <v>0</v>
      </c>
    </row>
    <row r="3417" spans="8:8" x14ac:dyDescent="0.2">
      <c r="H3417">
        <v>0</v>
      </c>
    </row>
    <row r="3418" spans="8:8" x14ac:dyDescent="0.2">
      <c r="H3418">
        <v>0</v>
      </c>
    </row>
    <row r="3419" spans="8:8" x14ac:dyDescent="0.2">
      <c r="H3419">
        <v>0</v>
      </c>
    </row>
    <row r="3420" spans="8:8" x14ac:dyDescent="0.2">
      <c r="H3420">
        <v>0</v>
      </c>
    </row>
    <row r="3421" spans="8:8" x14ac:dyDescent="0.2">
      <c r="H3421">
        <v>0</v>
      </c>
    </row>
    <row r="3422" spans="8:8" x14ac:dyDescent="0.2">
      <c r="H3422">
        <v>0</v>
      </c>
    </row>
    <row r="3423" spans="8:8" x14ac:dyDescent="0.2">
      <c r="H3423">
        <v>0</v>
      </c>
    </row>
    <row r="3424" spans="8:8" x14ac:dyDescent="0.2">
      <c r="H3424">
        <v>0</v>
      </c>
    </row>
    <row r="3425" spans="8:8" x14ac:dyDescent="0.2">
      <c r="H3425">
        <v>0</v>
      </c>
    </row>
    <row r="3426" spans="8:8" x14ac:dyDescent="0.2">
      <c r="H3426">
        <v>0</v>
      </c>
    </row>
    <row r="3427" spans="8:8" x14ac:dyDescent="0.2">
      <c r="H3427">
        <v>0</v>
      </c>
    </row>
    <row r="3428" spans="8:8" x14ac:dyDescent="0.2">
      <c r="H3428">
        <v>0</v>
      </c>
    </row>
    <row r="3429" spans="8:8" x14ac:dyDescent="0.2">
      <c r="H3429">
        <v>0</v>
      </c>
    </row>
    <row r="3430" spans="8:8" x14ac:dyDescent="0.2">
      <c r="H3430">
        <v>0</v>
      </c>
    </row>
    <row r="3431" spans="8:8" x14ac:dyDescent="0.2">
      <c r="H3431">
        <v>0</v>
      </c>
    </row>
    <row r="3432" spans="8:8" x14ac:dyDescent="0.2">
      <c r="H3432">
        <v>0</v>
      </c>
    </row>
    <row r="3433" spans="8:8" x14ac:dyDescent="0.2">
      <c r="H3433">
        <v>0</v>
      </c>
    </row>
    <row r="3434" spans="8:8" x14ac:dyDescent="0.2">
      <c r="H3434">
        <v>0</v>
      </c>
    </row>
    <row r="3435" spans="8:8" x14ac:dyDescent="0.2">
      <c r="H3435">
        <v>0</v>
      </c>
    </row>
    <row r="3436" spans="8:8" x14ac:dyDescent="0.2">
      <c r="H3436">
        <v>0</v>
      </c>
    </row>
    <row r="3437" spans="8:8" x14ac:dyDescent="0.2">
      <c r="H3437">
        <v>0</v>
      </c>
    </row>
    <row r="3438" spans="8:8" x14ac:dyDescent="0.2">
      <c r="H3438">
        <v>0</v>
      </c>
    </row>
    <row r="3439" spans="8:8" x14ac:dyDescent="0.2">
      <c r="H3439">
        <v>0</v>
      </c>
    </row>
    <row r="3440" spans="8:8" x14ac:dyDescent="0.2">
      <c r="H3440">
        <v>0</v>
      </c>
    </row>
    <row r="3441" spans="8:8" x14ac:dyDescent="0.2">
      <c r="H3441">
        <v>0</v>
      </c>
    </row>
    <row r="3442" spans="8:8" x14ac:dyDescent="0.2">
      <c r="H3442">
        <v>0</v>
      </c>
    </row>
    <row r="3443" spans="8:8" x14ac:dyDescent="0.2">
      <c r="H3443">
        <v>0</v>
      </c>
    </row>
    <row r="3444" spans="8:8" x14ac:dyDescent="0.2">
      <c r="H3444">
        <v>0</v>
      </c>
    </row>
    <row r="3445" spans="8:8" x14ac:dyDescent="0.2">
      <c r="H3445">
        <v>0</v>
      </c>
    </row>
    <row r="3446" spans="8:8" x14ac:dyDescent="0.2">
      <c r="H3446">
        <v>0</v>
      </c>
    </row>
    <row r="3447" spans="8:8" x14ac:dyDescent="0.2">
      <c r="H3447">
        <v>0</v>
      </c>
    </row>
    <row r="3448" spans="8:8" x14ac:dyDescent="0.2">
      <c r="H3448">
        <v>0</v>
      </c>
    </row>
    <row r="3449" spans="8:8" x14ac:dyDescent="0.2">
      <c r="H3449">
        <v>0</v>
      </c>
    </row>
    <row r="3450" spans="8:8" x14ac:dyDescent="0.2">
      <c r="H3450">
        <v>0</v>
      </c>
    </row>
    <row r="3451" spans="8:8" x14ac:dyDescent="0.2">
      <c r="H3451">
        <v>0</v>
      </c>
    </row>
    <row r="3452" spans="8:8" x14ac:dyDescent="0.2">
      <c r="H3452">
        <v>0</v>
      </c>
    </row>
    <row r="3453" spans="8:8" x14ac:dyDescent="0.2">
      <c r="H3453">
        <v>0</v>
      </c>
    </row>
    <row r="3454" spans="8:8" x14ac:dyDescent="0.2">
      <c r="H3454">
        <v>0</v>
      </c>
    </row>
    <row r="3455" spans="8:8" x14ac:dyDescent="0.2">
      <c r="H3455">
        <v>0</v>
      </c>
    </row>
    <row r="3456" spans="8:8" x14ac:dyDescent="0.2">
      <c r="H3456">
        <v>0</v>
      </c>
    </row>
    <row r="3457" spans="8:8" x14ac:dyDescent="0.2">
      <c r="H3457">
        <v>0</v>
      </c>
    </row>
    <row r="3458" spans="8:8" x14ac:dyDescent="0.2">
      <c r="H3458">
        <v>0</v>
      </c>
    </row>
    <row r="3459" spans="8:8" x14ac:dyDescent="0.2">
      <c r="H3459">
        <v>0</v>
      </c>
    </row>
    <row r="3460" spans="8:8" x14ac:dyDescent="0.2">
      <c r="H3460">
        <v>0</v>
      </c>
    </row>
    <row r="3461" spans="8:8" x14ac:dyDescent="0.2">
      <c r="H3461">
        <v>0</v>
      </c>
    </row>
    <row r="3462" spans="8:8" x14ac:dyDescent="0.2">
      <c r="H3462">
        <v>0</v>
      </c>
    </row>
    <row r="3463" spans="8:8" x14ac:dyDescent="0.2">
      <c r="H3463">
        <v>0</v>
      </c>
    </row>
    <row r="3464" spans="8:8" x14ac:dyDescent="0.2">
      <c r="H3464">
        <v>0</v>
      </c>
    </row>
    <row r="3465" spans="8:8" x14ac:dyDescent="0.2">
      <c r="H3465">
        <v>0</v>
      </c>
    </row>
    <row r="3466" spans="8:8" x14ac:dyDescent="0.2">
      <c r="H3466">
        <v>0</v>
      </c>
    </row>
    <row r="3467" spans="8:8" x14ac:dyDescent="0.2">
      <c r="H3467">
        <v>0</v>
      </c>
    </row>
    <row r="3468" spans="8:8" x14ac:dyDescent="0.2">
      <c r="H3468">
        <v>0</v>
      </c>
    </row>
    <row r="3469" spans="8:8" x14ac:dyDescent="0.2">
      <c r="H3469">
        <v>0</v>
      </c>
    </row>
    <row r="3470" spans="8:8" x14ac:dyDescent="0.2">
      <c r="H3470">
        <v>0</v>
      </c>
    </row>
    <row r="3471" spans="8:8" x14ac:dyDescent="0.2">
      <c r="H3471">
        <v>0</v>
      </c>
    </row>
    <row r="3472" spans="8:8" x14ac:dyDescent="0.2">
      <c r="H3472">
        <v>0</v>
      </c>
    </row>
    <row r="3473" spans="8:8" x14ac:dyDescent="0.2">
      <c r="H3473">
        <v>0</v>
      </c>
    </row>
    <row r="3474" spans="8:8" x14ac:dyDescent="0.2">
      <c r="H3474">
        <v>0</v>
      </c>
    </row>
    <row r="3475" spans="8:8" x14ac:dyDescent="0.2">
      <c r="H3475">
        <v>0</v>
      </c>
    </row>
    <row r="3476" spans="8:8" x14ac:dyDescent="0.2">
      <c r="H3476">
        <v>0</v>
      </c>
    </row>
    <row r="3477" spans="8:8" x14ac:dyDescent="0.2">
      <c r="H3477">
        <v>0</v>
      </c>
    </row>
    <row r="3478" spans="8:8" x14ac:dyDescent="0.2">
      <c r="H3478">
        <v>0</v>
      </c>
    </row>
    <row r="3479" spans="8:8" x14ac:dyDescent="0.2">
      <c r="H3479">
        <v>0</v>
      </c>
    </row>
    <row r="3480" spans="8:8" x14ac:dyDescent="0.2">
      <c r="H3480">
        <v>0</v>
      </c>
    </row>
    <row r="3481" spans="8:8" x14ac:dyDescent="0.2">
      <c r="H3481">
        <v>0</v>
      </c>
    </row>
    <row r="3482" spans="8:8" x14ac:dyDescent="0.2">
      <c r="H3482">
        <v>0</v>
      </c>
    </row>
    <row r="3483" spans="8:8" x14ac:dyDescent="0.2">
      <c r="H3483">
        <v>0</v>
      </c>
    </row>
    <row r="3484" spans="8:8" x14ac:dyDescent="0.2">
      <c r="H3484">
        <v>0</v>
      </c>
    </row>
    <row r="3485" spans="8:8" x14ac:dyDescent="0.2">
      <c r="H3485">
        <v>0</v>
      </c>
    </row>
    <row r="3486" spans="8:8" x14ac:dyDescent="0.2">
      <c r="H3486">
        <v>0</v>
      </c>
    </row>
    <row r="3487" spans="8:8" x14ac:dyDescent="0.2">
      <c r="H3487">
        <v>0</v>
      </c>
    </row>
    <row r="3488" spans="8:8" x14ac:dyDescent="0.2">
      <c r="H3488">
        <v>0</v>
      </c>
    </row>
    <row r="3489" spans="8:8" x14ac:dyDescent="0.2">
      <c r="H3489">
        <v>0</v>
      </c>
    </row>
    <row r="3490" spans="8:8" x14ac:dyDescent="0.2">
      <c r="H3490">
        <v>0</v>
      </c>
    </row>
    <row r="3491" spans="8:8" x14ac:dyDescent="0.2">
      <c r="H3491">
        <v>0</v>
      </c>
    </row>
    <row r="3492" spans="8:8" x14ac:dyDescent="0.2">
      <c r="H3492">
        <v>0</v>
      </c>
    </row>
    <row r="3493" spans="8:8" x14ac:dyDescent="0.2">
      <c r="H3493">
        <v>0</v>
      </c>
    </row>
    <row r="3494" spans="8:8" x14ac:dyDescent="0.2">
      <c r="H3494">
        <v>0</v>
      </c>
    </row>
    <row r="3495" spans="8:8" x14ac:dyDescent="0.2">
      <c r="H3495">
        <v>0</v>
      </c>
    </row>
    <row r="3496" spans="8:8" x14ac:dyDescent="0.2">
      <c r="H3496">
        <v>0</v>
      </c>
    </row>
    <row r="3497" spans="8:8" x14ac:dyDescent="0.2">
      <c r="H3497">
        <v>0</v>
      </c>
    </row>
    <row r="3498" spans="8:8" x14ac:dyDescent="0.2">
      <c r="H3498">
        <v>0</v>
      </c>
    </row>
    <row r="3499" spans="8:8" x14ac:dyDescent="0.2">
      <c r="H3499">
        <v>0</v>
      </c>
    </row>
    <row r="3500" spans="8:8" x14ac:dyDescent="0.2">
      <c r="H3500">
        <v>0</v>
      </c>
    </row>
    <row r="3501" spans="8:8" x14ac:dyDescent="0.2">
      <c r="H3501">
        <v>0</v>
      </c>
    </row>
    <row r="3502" spans="8:8" x14ac:dyDescent="0.2">
      <c r="H3502">
        <v>0</v>
      </c>
    </row>
    <row r="3503" spans="8:8" x14ac:dyDescent="0.2">
      <c r="H3503">
        <v>0</v>
      </c>
    </row>
    <row r="3504" spans="8:8" x14ac:dyDescent="0.2">
      <c r="H3504">
        <v>0</v>
      </c>
    </row>
    <row r="3505" spans="8:8" x14ac:dyDescent="0.2">
      <c r="H3505">
        <v>0</v>
      </c>
    </row>
    <row r="3506" spans="8:8" x14ac:dyDescent="0.2">
      <c r="H3506">
        <v>0</v>
      </c>
    </row>
    <row r="3507" spans="8:8" x14ac:dyDescent="0.2">
      <c r="H3507">
        <v>0</v>
      </c>
    </row>
    <row r="3508" spans="8:8" x14ac:dyDescent="0.2">
      <c r="H3508">
        <v>0</v>
      </c>
    </row>
    <row r="3509" spans="8:8" x14ac:dyDescent="0.2">
      <c r="H3509">
        <v>0</v>
      </c>
    </row>
    <row r="3510" spans="8:8" x14ac:dyDescent="0.2">
      <c r="H3510">
        <v>0</v>
      </c>
    </row>
    <row r="3511" spans="8:8" x14ac:dyDescent="0.2">
      <c r="H3511">
        <v>0</v>
      </c>
    </row>
    <row r="3512" spans="8:8" x14ac:dyDescent="0.2">
      <c r="H3512">
        <v>0</v>
      </c>
    </row>
    <row r="3513" spans="8:8" x14ac:dyDescent="0.2">
      <c r="H3513">
        <v>0</v>
      </c>
    </row>
    <row r="3514" spans="8:8" x14ac:dyDescent="0.2">
      <c r="H3514">
        <v>0</v>
      </c>
    </row>
    <row r="3515" spans="8:8" x14ac:dyDescent="0.2">
      <c r="H3515">
        <v>0</v>
      </c>
    </row>
    <row r="3516" spans="8:8" x14ac:dyDescent="0.2">
      <c r="H3516">
        <v>0</v>
      </c>
    </row>
    <row r="3517" spans="8:8" x14ac:dyDescent="0.2">
      <c r="H3517">
        <v>0</v>
      </c>
    </row>
    <row r="3518" spans="8:8" x14ac:dyDescent="0.2">
      <c r="H3518">
        <v>0</v>
      </c>
    </row>
    <row r="3519" spans="8:8" x14ac:dyDescent="0.2">
      <c r="H3519">
        <v>0</v>
      </c>
    </row>
    <row r="3520" spans="8:8" x14ac:dyDescent="0.2">
      <c r="H3520">
        <v>0</v>
      </c>
    </row>
    <row r="3521" spans="8:8" x14ac:dyDescent="0.2">
      <c r="H3521">
        <v>0</v>
      </c>
    </row>
    <row r="3522" spans="8:8" x14ac:dyDescent="0.2">
      <c r="H3522">
        <v>0</v>
      </c>
    </row>
    <row r="3523" spans="8:8" x14ac:dyDescent="0.2">
      <c r="H3523">
        <v>0</v>
      </c>
    </row>
    <row r="3524" spans="8:8" x14ac:dyDescent="0.2">
      <c r="H3524">
        <v>0</v>
      </c>
    </row>
    <row r="3525" spans="8:8" x14ac:dyDescent="0.2">
      <c r="H3525">
        <v>0</v>
      </c>
    </row>
    <row r="3526" spans="8:8" x14ac:dyDescent="0.2">
      <c r="H3526">
        <v>0</v>
      </c>
    </row>
    <row r="3527" spans="8:8" x14ac:dyDescent="0.2">
      <c r="H3527">
        <v>0</v>
      </c>
    </row>
    <row r="3528" spans="8:8" x14ac:dyDescent="0.2">
      <c r="H3528">
        <v>0</v>
      </c>
    </row>
    <row r="3529" spans="8:8" x14ac:dyDescent="0.2">
      <c r="H3529">
        <v>0</v>
      </c>
    </row>
    <row r="3530" spans="8:8" x14ac:dyDescent="0.2">
      <c r="H3530">
        <v>0</v>
      </c>
    </row>
    <row r="3531" spans="8:8" x14ac:dyDescent="0.2">
      <c r="H3531">
        <v>0</v>
      </c>
    </row>
    <row r="3532" spans="8:8" x14ac:dyDescent="0.2">
      <c r="H3532">
        <v>0</v>
      </c>
    </row>
    <row r="3533" spans="8:8" x14ac:dyDescent="0.2">
      <c r="H3533">
        <v>0</v>
      </c>
    </row>
    <row r="3534" spans="8:8" x14ac:dyDescent="0.2">
      <c r="H3534">
        <v>0</v>
      </c>
    </row>
    <row r="3535" spans="8:8" x14ac:dyDescent="0.2">
      <c r="H3535">
        <v>0</v>
      </c>
    </row>
    <row r="3536" spans="8:8" x14ac:dyDescent="0.2">
      <c r="H3536">
        <v>0</v>
      </c>
    </row>
    <row r="3537" spans="8:8" x14ac:dyDescent="0.2">
      <c r="H3537">
        <v>0</v>
      </c>
    </row>
    <row r="3538" spans="8:8" x14ac:dyDescent="0.2">
      <c r="H3538">
        <v>0</v>
      </c>
    </row>
    <row r="3539" spans="8:8" x14ac:dyDescent="0.2">
      <c r="H3539">
        <v>0</v>
      </c>
    </row>
    <row r="3540" spans="8:8" x14ac:dyDescent="0.2">
      <c r="H3540">
        <v>0</v>
      </c>
    </row>
    <row r="3541" spans="8:8" x14ac:dyDescent="0.2">
      <c r="H3541">
        <v>0</v>
      </c>
    </row>
    <row r="3542" spans="8:8" x14ac:dyDescent="0.2">
      <c r="H3542">
        <v>0</v>
      </c>
    </row>
    <row r="3543" spans="8:8" x14ac:dyDescent="0.2">
      <c r="H3543">
        <v>0</v>
      </c>
    </row>
    <row r="3544" spans="8:8" x14ac:dyDescent="0.2">
      <c r="H3544">
        <v>0</v>
      </c>
    </row>
    <row r="3545" spans="8:8" x14ac:dyDescent="0.2">
      <c r="H3545">
        <v>0</v>
      </c>
    </row>
    <row r="3546" spans="8:8" x14ac:dyDescent="0.2">
      <c r="H3546">
        <v>0</v>
      </c>
    </row>
    <row r="3547" spans="8:8" x14ac:dyDescent="0.2">
      <c r="H3547">
        <v>0</v>
      </c>
    </row>
    <row r="3548" spans="8:8" x14ac:dyDescent="0.2">
      <c r="H3548">
        <v>0</v>
      </c>
    </row>
    <row r="3549" spans="8:8" x14ac:dyDescent="0.2">
      <c r="H3549">
        <v>0</v>
      </c>
    </row>
    <row r="3550" spans="8:8" x14ac:dyDescent="0.2">
      <c r="H3550">
        <v>0</v>
      </c>
    </row>
    <row r="3551" spans="8:8" x14ac:dyDescent="0.2">
      <c r="H3551">
        <v>0</v>
      </c>
    </row>
    <row r="3552" spans="8:8" x14ac:dyDescent="0.2">
      <c r="H3552">
        <v>0</v>
      </c>
    </row>
    <row r="3553" spans="8:8" x14ac:dyDescent="0.2">
      <c r="H3553">
        <v>0</v>
      </c>
    </row>
    <row r="3554" spans="8:8" x14ac:dyDescent="0.2">
      <c r="H3554">
        <v>0</v>
      </c>
    </row>
    <row r="3555" spans="8:8" x14ac:dyDescent="0.2">
      <c r="H3555">
        <v>0</v>
      </c>
    </row>
    <row r="3556" spans="8:8" x14ac:dyDescent="0.2">
      <c r="H3556">
        <v>0</v>
      </c>
    </row>
    <row r="3557" spans="8:8" x14ac:dyDescent="0.2">
      <c r="H3557">
        <v>0</v>
      </c>
    </row>
    <row r="3558" spans="8:8" x14ac:dyDescent="0.2">
      <c r="H3558">
        <v>0</v>
      </c>
    </row>
    <row r="3559" spans="8:8" x14ac:dyDescent="0.2">
      <c r="H3559">
        <v>0</v>
      </c>
    </row>
    <row r="3560" spans="8:8" x14ac:dyDescent="0.2">
      <c r="H3560">
        <v>0</v>
      </c>
    </row>
    <row r="3561" spans="8:8" x14ac:dyDescent="0.2">
      <c r="H3561">
        <v>0</v>
      </c>
    </row>
    <row r="3562" spans="8:8" x14ac:dyDescent="0.2">
      <c r="H3562">
        <v>0</v>
      </c>
    </row>
    <row r="3563" spans="8:8" x14ac:dyDescent="0.2">
      <c r="H3563">
        <v>0</v>
      </c>
    </row>
    <row r="3564" spans="8:8" x14ac:dyDescent="0.2">
      <c r="H3564">
        <v>0</v>
      </c>
    </row>
    <row r="3565" spans="8:8" x14ac:dyDescent="0.2">
      <c r="H3565">
        <v>0</v>
      </c>
    </row>
    <row r="3566" spans="8:8" x14ac:dyDescent="0.2">
      <c r="H3566">
        <v>0</v>
      </c>
    </row>
    <row r="3567" spans="8:8" x14ac:dyDescent="0.2">
      <c r="H3567">
        <v>0</v>
      </c>
    </row>
    <row r="3568" spans="8:8" x14ac:dyDescent="0.2">
      <c r="H3568">
        <v>0</v>
      </c>
    </row>
    <row r="3569" spans="8:8" x14ac:dyDescent="0.2">
      <c r="H3569">
        <v>0</v>
      </c>
    </row>
    <row r="3570" spans="8:8" x14ac:dyDescent="0.2">
      <c r="H3570">
        <v>0</v>
      </c>
    </row>
    <row r="3571" spans="8:8" x14ac:dyDescent="0.2">
      <c r="H3571">
        <v>0</v>
      </c>
    </row>
    <row r="3572" spans="8:8" x14ac:dyDescent="0.2">
      <c r="H3572">
        <v>0</v>
      </c>
    </row>
    <row r="3573" spans="8:8" x14ac:dyDescent="0.2">
      <c r="H3573">
        <v>0</v>
      </c>
    </row>
    <row r="3574" spans="8:8" x14ac:dyDescent="0.2">
      <c r="H3574">
        <v>0</v>
      </c>
    </row>
    <row r="3575" spans="8:8" x14ac:dyDescent="0.2">
      <c r="H3575">
        <v>0</v>
      </c>
    </row>
    <row r="3576" spans="8:8" x14ac:dyDescent="0.2">
      <c r="H3576">
        <v>0</v>
      </c>
    </row>
    <row r="3577" spans="8:8" x14ac:dyDescent="0.2">
      <c r="H3577">
        <v>0</v>
      </c>
    </row>
    <row r="3578" spans="8:8" x14ac:dyDescent="0.2">
      <c r="H3578">
        <v>0</v>
      </c>
    </row>
    <row r="3579" spans="8:8" x14ac:dyDescent="0.2">
      <c r="H3579">
        <v>0</v>
      </c>
    </row>
    <row r="3580" spans="8:8" x14ac:dyDescent="0.2">
      <c r="H3580">
        <v>0</v>
      </c>
    </row>
    <row r="3581" spans="8:8" x14ac:dyDescent="0.2">
      <c r="H3581">
        <v>0</v>
      </c>
    </row>
    <row r="3582" spans="8:8" x14ac:dyDescent="0.2">
      <c r="H3582">
        <v>0</v>
      </c>
    </row>
    <row r="3583" spans="8:8" x14ac:dyDescent="0.2">
      <c r="H3583">
        <v>0</v>
      </c>
    </row>
    <row r="3584" spans="8:8" x14ac:dyDescent="0.2">
      <c r="H3584">
        <v>0</v>
      </c>
    </row>
    <row r="3585" spans="8:8" x14ac:dyDescent="0.2">
      <c r="H3585">
        <v>0</v>
      </c>
    </row>
    <row r="3586" spans="8:8" x14ac:dyDescent="0.2">
      <c r="H3586">
        <v>0</v>
      </c>
    </row>
    <row r="3587" spans="8:8" x14ac:dyDescent="0.2">
      <c r="H3587">
        <v>0</v>
      </c>
    </row>
    <row r="3588" spans="8:8" x14ac:dyDescent="0.2">
      <c r="H3588">
        <v>0</v>
      </c>
    </row>
    <row r="3589" spans="8:8" x14ac:dyDescent="0.2">
      <c r="H3589">
        <v>0</v>
      </c>
    </row>
    <row r="3590" spans="8:8" x14ac:dyDescent="0.2">
      <c r="H3590">
        <v>0</v>
      </c>
    </row>
    <row r="3591" spans="8:8" x14ac:dyDescent="0.2">
      <c r="H3591">
        <v>0</v>
      </c>
    </row>
    <row r="3592" spans="8:8" x14ac:dyDescent="0.2">
      <c r="H3592">
        <v>0</v>
      </c>
    </row>
    <row r="3593" spans="8:8" x14ac:dyDescent="0.2">
      <c r="H3593">
        <v>0</v>
      </c>
    </row>
    <row r="3594" spans="8:8" x14ac:dyDescent="0.2">
      <c r="H3594">
        <v>0</v>
      </c>
    </row>
    <row r="3595" spans="8:8" x14ac:dyDescent="0.2">
      <c r="H3595">
        <v>0</v>
      </c>
    </row>
    <row r="3596" spans="8:8" x14ac:dyDescent="0.2">
      <c r="H3596">
        <v>0</v>
      </c>
    </row>
    <row r="3597" spans="8:8" x14ac:dyDescent="0.2">
      <c r="H3597">
        <v>0</v>
      </c>
    </row>
    <row r="3598" spans="8:8" x14ac:dyDescent="0.2">
      <c r="H3598">
        <v>0</v>
      </c>
    </row>
    <row r="3599" spans="8:8" x14ac:dyDescent="0.2">
      <c r="H3599">
        <v>0</v>
      </c>
    </row>
    <row r="3600" spans="8:8" x14ac:dyDescent="0.2">
      <c r="H3600">
        <v>0</v>
      </c>
    </row>
    <row r="3601" spans="8:8" x14ac:dyDescent="0.2">
      <c r="H3601">
        <v>0</v>
      </c>
    </row>
    <row r="3602" spans="8:8" x14ac:dyDescent="0.2">
      <c r="H3602">
        <v>0</v>
      </c>
    </row>
    <row r="3603" spans="8:8" x14ac:dyDescent="0.2">
      <c r="H3603">
        <v>0</v>
      </c>
    </row>
    <row r="3604" spans="8:8" x14ac:dyDescent="0.2">
      <c r="H3604">
        <v>0</v>
      </c>
    </row>
    <row r="3605" spans="8:8" x14ac:dyDescent="0.2">
      <c r="H3605">
        <v>0</v>
      </c>
    </row>
    <row r="3606" spans="8:8" x14ac:dyDescent="0.2">
      <c r="H3606">
        <v>0</v>
      </c>
    </row>
    <row r="3607" spans="8:8" x14ac:dyDescent="0.2">
      <c r="H3607">
        <v>0</v>
      </c>
    </row>
    <row r="3608" spans="8:8" x14ac:dyDescent="0.2">
      <c r="H3608">
        <v>0</v>
      </c>
    </row>
    <row r="3609" spans="8:8" x14ac:dyDescent="0.2">
      <c r="H3609">
        <v>0</v>
      </c>
    </row>
    <row r="3610" spans="8:8" x14ac:dyDescent="0.2">
      <c r="H3610">
        <v>0</v>
      </c>
    </row>
    <row r="3611" spans="8:8" x14ac:dyDescent="0.2">
      <c r="H3611">
        <v>0</v>
      </c>
    </row>
    <row r="3612" spans="8:8" x14ac:dyDescent="0.2">
      <c r="H3612">
        <v>0</v>
      </c>
    </row>
    <row r="3613" spans="8:8" x14ac:dyDescent="0.2">
      <c r="H3613">
        <v>0</v>
      </c>
    </row>
    <row r="3614" spans="8:8" x14ac:dyDescent="0.2">
      <c r="H3614">
        <v>0</v>
      </c>
    </row>
    <row r="3615" spans="8:8" x14ac:dyDescent="0.2">
      <c r="H3615">
        <v>0</v>
      </c>
    </row>
    <row r="3616" spans="8:8" x14ac:dyDescent="0.2">
      <c r="H3616">
        <v>0</v>
      </c>
    </row>
    <row r="3617" spans="8:8" x14ac:dyDescent="0.2">
      <c r="H3617">
        <v>0</v>
      </c>
    </row>
    <row r="3618" spans="8:8" x14ac:dyDescent="0.2">
      <c r="H3618">
        <v>0</v>
      </c>
    </row>
    <row r="3619" spans="8:8" x14ac:dyDescent="0.2">
      <c r="H3619">
        <v>0</v>
      </c>
    </row>
    <row r="3620" spans="8:8" x14ac:dyDescent="0.2">
      <c r="H3620">
        <v>0</v>
      </c>
    </row>
    <row r="3621" spans="8:8" x14ac:dyDescent="0.2">
      <c r="H3621">
        <v>0</v>
      </c>
    </row>
    <row r="3622" spans="8:8" x14ac:dyDescent="0.2">
      <c r="H3622">
        <v>0</v>
      </c>
    </row>
    <row r="3623" spans="8:8" x14ac:dyDescent="0.2">
      <c r="H3623">
        <v>0</v>
      </c>
    </row>
    <row r="3624" spans="8:8" x14ac:dyDescent="0.2">
      <c r="H3624">
        <v>0</v>
      </c>
    </row>
    <row r="3625" spans="8:8" x14ac:dyDescent="0.2">
      <c r="H3625">
        <v>0</v>
      </c>
    </row>
    <row r="3626" spans="8:8" x14ac:dyDescent="0.2">
      <c r="H3626">
        <v>0</v>
      </c>
    </row>
    <row r="3627" spans="8:8" x14ac:dyDescent="0.2">
      <c r="H3627">
        <v>0</v>
      </c>
    </row>
    <row r="3628" spans="8:8" x14ac:dyDescent="0.2">
      <c r="H3628">
        <v>0</v>
      </c>
    </row>
    <row r="3629" spans="8:8" x14ac:dyDescent="0.2">
      <c r="H3629">
        <v>0</v>
      </c>
    </row>
    <row r="3630" spans="8:8" x14ac:dyDescent="0.2">
      <c r="H3630">
        <v>0</v>
      </c>
    </row>
    <row r="3631" spans="8:8" x14ac:dyDescent="0.2">
      <c r="H3631">
        <v>0</v>
      </c>
    </row>
    <row r="3632" spans="8:8" x14ac:dyDescent="0.2">
      <c r="H3632">
        <v>0</v>
      </c>
    </row>
    <row r="3633" spans="8:8" x14ac:dyDescent="0.2">
      <c r="H3633">
        <v>0</v>
      </c>
    </row>
    <row r="3634" spans="8:8" x14ac:dyDescent="0.2">
      <c r="H3634">
        <v>0</v>
      </c>
    </row>
    <row r="3635" spans="8:8" x14ac:dyDescent="0.2">
      <c r="H3635">
        <v>0</v>
      </c>
    </row>
    <row r="3636" spans="8:8" x14ac:dyDescent="0.2">
      <c r="H3636">
        <v>0</v>
      </c>
    </row>
    <row r="3637" spans="8:8" x14ac:dyDescent="0.2">
      <c r="H3637">
        <v>0</v>
      </c>
    </row>
    <row r="3638" spans="8:8" x14ac:dyDescent="0.2">
      <c r="H3638">
        <v>0</v>
      </c>
    </row>
    <row r="3639" spans="8:8" x14ac:dyDescent="0.2">
      <c r="H3639">
        <v>0</v>
      </c>
    </row>
    <row r="3640" spans="8:8" x14ac:dyDescent="0.2">
      <c r="H3640">
        <v>0</v>
      </c>
    </row>
    <row r="3641" spans="8:8" x14ac:dyDescent="0.2">
      <c r="H3641">
        <v>0</v>
      </c>
    </row>
    <row r="3642" spans="8:8" x14ac:dyDescent="0.2">
      <c r="H3642">
        <v>0</v>
      </c>
    </row>
    <row r="3643" spans="8:8" x14ac:dyDescent="0.2">
      <c r="H3643">
        <v>0</v>
      </c>
    </row>
    <row r="3644" spans="8:8" x14ac:dyDescent="0.2">
      <c r="H3644">
        <v>0</v>
      </c>
    </row>
    <row r="3645" spans="8:8" x14ac:dyDescent="0.2">
      <c r="H3645">
        <v>0</v>
      </c>
    </row>
    <row r="3646" spans="8:8" x14ac:dyDescent="0.2">
      <c r="H3646">
        <v>0</v>
      </c>
    </row>
    <row r="3647" spans="8:8" x14ac:dyDescent="0.2">
      <c r="H3647">
        <v>0</v>
      </c>
    </row>
    <row r="3648" spans="8:8" x14ac:dyDescent="0.2">
      <c r="H3648">
        <v>0</v>
      </c>
    </row>
    <row r="3649" spans="8:8" x14ac:dyDescent="0.2">
      <c r="H3649">
        <v>0</v>
      </c>
    </row>
    <row r="3650" spans="8:8" x14ac:dyDescent="0.2">
      <c r="H3650">
        <v>0</v>
      </c>
    </row>
    <row r="3651" spans="8:8" x14ac:dyDescent="0.2">
      <c r="H3651">
        <v>0</v>
      </c>
    </row>
    <row r="3652" spans="8:8" x14ac:dyDescent="0.2">
      <c r="H3652">
        <v>0</v>
      </c>
    </row>
    <row r="3653" spans="8:8" x14ac:dyDescent="0.2">
      <c r="H3653">
        <v>0</v>
      </c>
    </row>
    <row r="3654" spans="8:8" x14ac:dyDescent="0.2">
      <c r="H3654">
        <v>0</v>
      </c>
    </row>
    <row r="3655" spans="8:8" x14ac:dyDescent="0.2">
      <c r="H3655">
        <v>0</v>
      </c>
    </row>
    <row r="3656" spans="8:8" x14ac:dyDescent="0.2">
      <c r="H3656">
        <v>0</v>
      </c>
    </row>
    <row r="3657" spans="8:8" x14ac:dyDescent="0.2">
      <c r="H3657">
        <v>0</v>
      </c>
    </row>
    <row r="3658" spans="8:8" x14ac:dyDescent="0.2">
      <c r="H3658">
        <v>0</v>
      </c>
    </row>
    <row r="3659" spans="8:8" x14ac:dyDescent="0.2">
      <c r="H3659">
        <v>0</v>
      </c>
    </row>
    <row r="3660" spans="8:8" x14ac:dyDescent="0.2">
      <c r="H3660">
        <v>0</v>
      </c>
    </row>
    <row r="3661" spans="8:8" x14ac:dyDescent="0.2">
      <c r="H3661">
        <v>0</v>
      </c>
    </row>
    <row r="3662" spans="8:8" x14ac:dyDescent="0.2">
      <c r="H3662">
        <v>0</v>
      </c>
    </row>
    <row r="3663" spans="8:8" x14ac:dyDescent="0.2">
      <c r="H3663">
        <v>0</v>
      </c>
    </row>
    <row r="3664" spans="8:8" x14ac:dyDescent="0.2">
      <c r="H3664">
        <v>0</v>
      </c>
    </row>
    <row r="3665" spans="8:8" x14ac:dyDescent="0.2">
      <c r="H3665">
        <v>0</v>
      </c>
    </row>
    <row r="3666" spans="8:8" x14ac:dyDescent="0.2">
      <c r="H3666">
        <v>0</v>
      </c>
    </row>
    <row r="3667" spans="8:8" x14ac:dyDescent="0.2">
      <c r="H3667">
        <v>0</v>
      </c>
    </row>
    <row r="3668" spans="8:8" x14ac:dyDescent="0.2">
      <c r="H3668">
        <v>0</v>
      </c>
    </row>
    <row r="3669" spans="8:8" x14ac:dyDescent="0.2">
      <c r="H3669">
        <v>0</v>
      </c>
    </row>
    <row r="3670" spans="8:8" x14ac:dyDescent="0.2">
      <c r="H3670">
        <v>0</v>
      </c>
    </row>
    <row r="3671" spans="8:8" x14ac:dyDescent="0.2">
      <c r="H3671">
        <v>0</v>
      </c>
    </row>
    <row r="3672" spans="8:8" x14ac:dyDescent="0.2">
      <c r="H3672">
        <v>0</v>
      </c>
    </row>
    <row r="3673" spans="8:8" x14ac:dyDescent="0.2">
      <c r="H3673">
        <v>0</v>
      </c>
    </row>
    <row r="3674" spans="8:8" x14ac:dyDescent="0.2">
      <c r="H3674">
        <v>0</v>
      </c>
    </row>
    <row r="3675" spans="8:8" x14ac:dyDescent="0.2">
      <c r="H3675">
        <v>0</v>
      </c>
    </row>
    <row r="3676" spans="8:8" x14ac:dyDescent="0.2">
      <c r="H3676">
        <v>0</v>
      </c>
    </row>
    <row r="3677" spans="8:8" x14ac:dyDescent="0.2">
      <c r="H3677">
        <v>0</v>
      </c>
    </row>
    <row r="3678" spans="8:8" x14ac:dyDescent="0.2">
      <c r="H3678">
        <v>0</v>
      </c>
    </row>
    <row r="3679" spans="8:8" x14ac:dyDescent="0.2">
      <c r="H3679">
        <v>0</v>
      </c>
    </row>
    <row r="3680" spans="8:8" x14ac:dyDescent="0.2">
      <c r="H3680">
        <v>0</v>
      </c>
    </row>
    <row r="3681" spans="8:8" x14ac:dyDescent="0.2">
      <c r="H3681">
        <v>0</v>
      </c>
    </row>
    <row r="3682" spans="8:8" x14ac:dyDescent="0.2">
      <c r="H3682">
        <v>0</v>
      </c>
    </row>
    <row r="3683" spans="8:8" x14ac:dyDescent="0.2">
      <c r="H3683">
        <v>0</v>
      </c>
    </row>
    <row r="3684" spans="8:8" x14ac:dyDescent="0.2">
      <c r="H3684">
        <v>0</v>
      </c>
    </row>
    <row r="3685" spans="8:8" x14ac:dyDescent="0.2">
      <c r="H3685">
        <v>0</v>
      </c>
    </row>
    <row r="3686" spans="8:8" x14ac:dyDescent="0.2">
      <c r="H3686">
        <v>0</v>
      </c>
    </row>
    <row r="3687" spans="8:8" x14ac:dyDescent="0.2">
      <c r="H3687">
        <v>0</v>
      </c>
    </row>
    <row r="3688" spans="8:8" x14ac:dyDescent="0.2">
      <c r="H3688">
        <v>0</v>
      </c>
    </row>
    <row r="3689" spans="8:8" x14ac:dyDescent="0.2">
      <c r="H3689">
        <v>0</v>
      </c>
    </row>
    <row r="3690" spans="8:8" x14ac:dyDescent="0.2">
      <c r="H3690">
        <v>0</v>
      </c>
    </row>
    <row r="3691" spans="8:8" x14ac:dyDescent="0.2">
      <c r="H3691">
        <v>0</v>
      </c>
    </row>
    <row r="3692" spans="8:8" x14ac:dyDescent="0.2">
      <c r="H3692">
        <v>0</v>
      </c>
    </row>
    <row r="3693" spans="8:8" x14ac:dyDescent="0.2">
      <c r="H3693">
        <v>0</v>
      </c>
    </row>
    <row r="3694" spans="8:8" x14ac:dyDescent="0.2">
      <c r="H3694">
        <v>0</v>
      </c>
    </row>
    <row r="3695" spans="8:8" x14ac:dyDescent="0.2">
      <c r="H3695">
        <v>0</v>
      </c>
    </row>
    <row r="3696" spans="8:8" x14ac:dyDescent="0.2">
      <c r="H3696">
        <v>0</v>
      </c>
    </row>
    <row r="3697" spans="8:8" x14ac:dyDescent="0.2">
      <c r="H3697">
        <v>0</v>
      </c>
    </row>
    <row r="3698" spans="8:8" x14ac:dyDescent="0.2">
      <c r="H3698">
        <v>0</v>
      </c>
    </row>
    <row r="3699" spans="8:8" x14ac:dyDescent="0.2">
      <c r="H3699">
        <v>0</v>
      </c>
    </row>
    <row r="3700" spans="8:8" x14ac:dyDescent="0.2">
      <c r="H3700">
        <v>0</v>
      </c>
    </row>
    <row r="3701" spans="8:8" x14ac:dyDescent="0.2">
      <c r="H3701">
        <v>0</v>
      </c>
    </row>
    <row r="3702" spans="8:8" x14ac:dyDescent="0.2">
      <c r="H3702">
        <v>0</v>
      </c>
    </row>
    <row r="3703" spans="8:8" x14ac:dyDescent="0.2">
      <c r="H3703">
        <v>0</v>
      </c>
    </row>
    <row r="3704" spans="8:8" x14ac:dyDescent="0.2">
      <c r="H3704">
        <v>0</v>
      </c>
    </row>
    <row r="3705" spans="8:8" x14ac:dyDescent="0.2">
      <c r="H3705">
        <v>0</v>
      </c>
    </row>
    <row r="3706" spans="8:8" x14ac:dyDescent="0.2">
      <c r="H3706">
        <v>0</v>
      </c>
    </row>
    <row r="3707" spans="8:8" x14ac:dyDescent="0.2">
      <c r="H3707">
        <v>0</v>
      </c>
    </row>
    <row r="3708" spans="8:8" x14ac:dyDescent="0.2">
      <c r="H3708">
        <v>0</v>
      </c>
    </row>
    <row r="3709" spans="8:8" x14ac:dyDescent="0.2">
      <c r="H3709">
        <v>0</v>
      </c>
    </row>
    <row r="3710" spans="8:8" x14ac:dyDescent="0.2">
      <c r="H3710">
        <v>0</v>
      </c>
    </row>
    <row r="3711" spans="8:8" x14ac:dyDescent="0.2">
      <c r="H3711">
        <v>0</v>
      </c>
    </row>
    <row r="3712" spans="8:8" x14ac:dyDescent="0.2">
      <c r="H3712">
        <v>0</v>
      </c>
    </row>
    <row r="3713" spans="8:8" x14ac:dyDescent="0.2">
      <c r="H3713">
        <v>0</v>
      </c>
    </row>
    <row r="3714" spans="8:8" x14ac:dyDescent="0.2">
      <c r="H3714">
        <v>0</v>
      </c>
    </row>
    <row r="3715" spans="8:8" x14ac:dyDescent="0.2">
      <c r="H3715">
        <v>0</v>
      </c>
    </row>
    <row r="3716" spans="8:8" x14ac:dyDescent="0.2">
      <c r="H3716">
        <v>0</v>
      </c>
    </row>
    <row r="3717" spans="8:8" x14ac:dyDescent="0.2">
      <c r="H3717">
        <v>0</v>
      </c>
    </row>
    <row r="3718" spans="8:8" x14ac:dyDescent="0.2">
      <c r="H3718">
        <v>0</v>
      </c>
    </row>
    <row r="3719" spans="8:8" x14ac:dyDescent="0.2">
      <c r="H3719">
        <v>0</v>
      </c>
    </row>
    <row r="3720" spans="8:8" x14ac:dyDescent="0.2">
      <c r="H3720">
        <v>0</v>
      </c>
    </row>
    <row r="3721" spans="8:8" x14ac:dyDescent="0.2">
      <c r="H3721">
        <v>0</v>
      </c>
    </row>
    <row r="3722" spans="8:8" x14ac:dyDescent="0.2">
      <c r="H3722">
        <v>0</v>
      </c>
    </row>
    <row r="3723" spans="8:8" x14ac:dyDescent="0.2">
      <c r="H3723">
        <v>0</v>
      </c>
    </row>
    <row r="3724" spans="8:8" x14ac:dyDescent="0.2">
      <c r="H3724">
        <v>0</v>
      </c>
    </row>
    <row r="3725" spans="8:8" x14ac:dyDescent="0.2">
      <c r="H3725">
        <v>0</v>
      </c>
    </row>
    <row r="3726" spans="8:8" x14ac:dyDescent="0.2">
      <c r="H3726">
        <v>0</v>
      </c>
    </row>
    <row r="3727" spans="8:8" x14ac:dyDescent="0.2">
      <c r="H3727">
        <v>0</v>
      </c>
    </row>
    <row r="3728" spans="8:8" x14ac:dyDescent="0.2">
      <c r="H3728">
        <v>0</v>
      </c>
    </row>
    <row r="3729" spans="8:8" x14ac:dyDescent="0.2">
      <c r="H3729">
        <v>0</v>
      </c>
    </row>
    <row r="3730" spans="8:8" x14ac:dyDescent="0.2">
      <c r="H3730">
        <v>0</v>
      </c>
    </row>
    <row r="3731" spans="8:8" x14ac:dyDescent="0.2">
      <c r="H3731">
        <v>0</v>
      </c>
    </row>
    <row r="3732" spans="8:8" x14ac:dyDescent="0.2">
      <c r="H3732">
        <v>0</v>
      </c>
    </row>
    <row r="3733" spans="8:8" x14ac:dyDescent="0.2">
      <c r="H3733">
        <v>0</v>
      </c>
    </row>
    <row r="3734" spans="8:8" x14ac:dyDescent="0.2">
      <c r="H3734">
        <v>0</v>
      </c>
    </row>
    <row r="3735" spans="8:8" x14ac:dyDescent="0.2">
      <c r="H3735">
        <v>0</v>
      </c>
    </row>
    <row r="3736" spans="8:8" x14ac:dyDescent="0.2">
      <c r="H3736">
        <v>0</v>
      </c>
    </row>
    <row r="3737" spans="8:8" x14ac:dyDescent="0.2">
      <c r="H3737">
        <v>0</v>
      </c>
    </row>
    <row r="3738" spans="8:8" x14ac:dyDescent="0.2">
      <c r="H3738">
        <v>0</v>
      </c>
    </row>
    <row r="3739" spans="8:8" x14ac:dyDescent="0.2">
      <c r="H3739">
        <v>0</v>
      </c>
    </row>
    <row r="3740" spans="8:8" x14ac:dyDescent="0.2">
      <c r="H3740">
        <v>0</v>
      </c>
    </row>
    <row r="3741" spans="8:8" x14ac:dyDescent="0.2">
      <c r="H3741">
        <v>0</v>
      </c>
    </row>
    <row r="3742" spans="8:8" x14ac:dyDescent="0.2">
      <c r="H3742">
        <v>0</v>
      </c>
    </row>
    <row r="3743" spans="8:8" x14ac:dyDescent="0.2">
      <c r="H3743">
        <v>0</v>
      </c>
    </row>
    <row r="3744" spans="8:8" x14ac:dyDescent="0.2">
      <c r="H3744">
        <v>0</v>
      </c>
    </row>
    <row r="3745" spans="8:8" x14ac:dyDescent="0.2">
      <c r="H3745">
        <v>0</v>
      </c>
    </row>
    <row r="3746" spans="8:8" x14ac:dyDescent="0.2">
      <c r="H3746">
        <v>0</v>
      </c>
    </row>
    <row r="3747" spans="8:8" x14ac:dyDescent="0.2">
      <c r="H3747">
        <v>0</v>
      </c>
    </row>
    <row r="3748" spans="8:8" x14ac:dyDescent="0.2">
      <c r="H3748">
        <v>0</v>
      </c>
    </row>
    <row r="3749" spans="8:8" x14ac:dyDescent="0.2">
      <c r="H3749">
        <v>0</v>
      </c>
    </row>
    <row r="3750" spans="8:8" x14ac:dyDescent="0.2">
      <c r="H3750">
        <v>0</v>
      </c>
    </row>
    <row r="3751" spans="8:8" x14ac:dyDescent="0.2">
      <c r="H3751">
        <v>0</v>
      </c>
    </row>
    <row r="3752" spans="8:8" x14ac:dyDescent="0.2">
      <c r="H3752">
        <v>0</v>
      </c>
    </row>
    <row r="3753" spans="8:8" x14ac:dyDescent="0.2">
      <c r="H3753">
        <v>0</v>
      </c>
    </row>
    <row r="3754" spans="8:8" x14ac:dyDescent="0.2">
      <c r="H3754">
        <v>0</v>
      </c>
    </row>
    <row r="3755" spans="8:8" x14ac:dyDescent="0.2">
      <c r="H3755">
        <v>0</v>
      </c>
    </row>
    <row r="3756" spans="8:8" x14ac:dyDescent="0.2">
      <c r="H3756">
        <v>0</v>
      </c>
    </row>
    <row r="3757" spans="8:8" x14ac:dyDescent="0.2">
      <c r="H3757">
        <v>0</v>
      </c>
    </row>
    <row r="3758" spans="8:8" x14ac:dyDescent="0.2">
      <c r="H3758">
        <v>0</v>
      </c>
    </row>
    <row r="3759" spans="8:8" x14ac:dyDescent="0.2">
      <c r="H3759">
        <v>0</v>
      </c>
    </row>
    <row r="3760" spans="8:8" x14ac:dyDescent="0.2">
      <c r="H3760">
        <v>0</v>
      </c>
    </row>
    <row r="3761" spans="8:8" x14ac:dyDescent="0.2">
      <c r="H3761">
        <v>0</v>
      </c>
    </row>
    <row r="3762" spans="8:8" x14ac:dyDescent="0.2">
      <c r="H3762">
        <v>0</v>
      </c>
    </row>
    <row r="3763" spans="8:8" x14ac:dyDescent="0.2">
      <c r="H3763">
        <v>0</v>
      </c>
    </row>
    <row r="3764" spans="8:8" x14ac:dyDescent="0.2">
      <c r="H3764">
        <v>0</v>
      </c>
    </row>
    <row r="3765" spans="8:8" x14ac:dyDescent="0.2">
      <c r="H3765">
        <v>0</v>
      </c>
    </row>
    <row r="3766" spans="8:8" x14ac:dyDescent="0.2">
      <c r="H3766">
        <v>0</v>
      </c>
    </row>
    <row r="3767" spans="8:8" x14ac:dyDescent="0.2">
      <c r="H3767">
        <v>0</v>
      </c>
    </row>
    <row r="3768" spans="8:8" x14ac:dyDescent="0.2">
      <c r="H3768">
        <v>0</v>
      </c>
    </row>
    <row r="3769" spans="8:8" x14ac:dyDescent="0.2">
      <c r="H3769">
        <v>0</v>
      </c>
    </row>
    <row r="3770" spans="8:8" x14ac:dyDescent="0.2">
      <c r="H3770">
        <v>0</v>
      </c>
    </row>
    <row r="3771" spans="8:8" x14ac:dyDescent="0.2">
      <c r="H3771">
        <v>0</v>
      </c>
    </row>
    <row r="3772" spans="8:8" x14ac:dyDescent="0.2">
      <c r="H3772">
        <v>0</v>
      </c>
    </row>
    <row r="3773" spans="8:8" x14ac:dyDescent="0.2">
      <c r="H3773">
        <v>0</v>
      </c>
    </row>
    <row r="3774" spans="8:8" x14ac:dyDescent="0.2">
      <c r="H3774">
        <v>0</v>
      </c>
    </row>
    <row r="3775" spans="8:8" x14ac:dyDescent="0.2">
      <c r="H3775">
        <v>0</v>
      </c>
    </row>
    <row r="3776" spans="8:8" x14ac:dyDescent="0.2">
      <c r="H3776">
        <v>0</v>
      </c>
    </row>
    <row r="3777" spans="8:8" x14ac:dyDescent="0.2">
      <c r="H3777">
        <v>0</v>
      </c>
    </row>
    <row r="3778" spans="8:8" x14ac:dyDescent="0.2">
      <c r="H3778">
        <v>0</v>
      </c>
    </row>
    <row r="3779" spans="8:8" x14ac:dyDescent="0.2">
      <c r="H3779">
        <v>0</v>
      </c>
    </row>
    <row r="3780" spans="8:8" x14ac:dyDescent="0.2">
      <c r="H3780">
        <v>0</v>
      </c>
    </row>
    <row r="3781" spans="8:8" x14ac:dyDescent="0.2">
      <c r="H3781">
        <v>0</v>
      </c>
    </row>
    <row r="3782" spans="8:8" x14ac:dyDescent="0.2">
      <c r="H3782">
        <v>0</v>
      </c>
    </row>
    <row r="3783" spans="8:8" x14ac:dyDescent="0.2">
      <c r="H3783">
        <v>0</v>
      </c>
    </row>
    <row r="3784" spans="8:8" x14ac:dyDescent="0.2">
      <c r="H3784">
        <v>0</v>
      </c>
    </row>
    <row r="3785" spans="8:8" x14ac:dyDescent="0.2">
      <c r="H3785">
        <v>0</v>
      </c>
    </row>
    <row r="3786" spans="8:8" x14ac:dyDescent="0.2">
      <c r="H3786">
        <v>0</v>
      </c>
    </row>
    <row r="3787" spans="8:8" x14ac:dyDescent="0.2">
      <c r="H3787">
        <v>0</v>
      </c>
    </row>
    <row r="3788" spans="8:8" x14ac:dyDescent="0.2">
      <c r="H3788">
        <v>0</v>
      </c>
    </row>
    <row r="3789" spans="8:8" x14ac:dyDescent="0.2">
      <c r="H3789">
        <v>0</v>
      </c>
    </row>
    <row r="3790" spans="8:8" x14ac:dyDescent="0.2">
      <c r="H3790">
        <v>0</v>
      </c>
    </row>
    <row r="3791" spans="8:8" x14ac:dyDescent="0.2">
      <c r="H3791">
        <v>0</v>
      </c>
    </row>
    <row r="3792" spans="8:8" x14ac:dyDescent="0.2">
      <c r="H3792">
        <v>0</v>
      </c>
    </row>
    <row r="3793" spans="8:8" x14ac:dyDescent="0.2">
      <c r="H3793">
        <v>0</v>
      </c>
    </row>
    <row r="3794" spans="8:8" x14ac:dyDescent="0.2">
      <c r="H3794">
        <v>0</v>
      </c>
    </row>
    <row r="3795" spans="8:8" x14ac:dyDescent="0.2">
      <c r="H3795">
        <v>0</v>
      </c>
    </row>
    <row r="3796" spans="8:8" x14ac:dyDescent="0.2">
      <c r="H3796">
        <v>0</v>
      </c>
    </row>
    <row r="3797" spans="8:8" x14ac:dyDescent="0.2">
      <c r="H3797">
        <v>0</v>
      </c>
    </row>
    <row r="3798" spans="8:8" x14ac:dyDescent="0.2">
      <c r="H3798">
        <v>0</v>
      </c>
    </row>
    <row r="3799" spans="8:8" x14ac:dyDescent="0.2">
      <c r="H3799">
        <v>0</v>
      </c>
    </row>
    <row r="3800" spans="8:8" x14ac:dyDescent="0.2">
      <c r="H3800">
        <v>0</v>
      </c>
    </row>
    <row r="3801" spans="8:8" x14ac:dyDescent="0.2">
      <c r="H3801">
        <v>0</v>
      </c>
    </row>
    <row r="3802" spans="8:8" x14ac:dyDescent="0.2">
      <c r="H3802">
        <v>0</v>
      </c>
    </row>
    <row r="3803" spans="8:8" x14ac:dyDescent="0.2">
      <c r="H3803">
        <v>0</v>
      </c>
    </row>
    <row r="3804" spans="8:8" x14ac:dyDescent="0.2">
      <c r="H3804">
        <v>0</v>
      </c>
    </row>
    <row r="3805" spans="8:8" x14ac:dyDescent="0.2">
      <c r="H3805">
        <v>0</v>
      </c>
    </row>
    <row r="3806" spans="8:8" x14ac:dyDescent="0.2">
      <c r="H3806">
        <v>0</v>
      </c>
    </row>
    <row r="3807" spans="8:8" x14ac:dyDescent="0.2">
      <c r="H3807">
        <v>0</v>
      </c>
    </row>
    <row r="3808" spans="8:8" x14ac:dyDescent="0.2">
      <c r="H3808">
        <v>0</v>
      </c>
    </row>
    <row r="3809" spans="8:8" x14ac:dyDescent="0.2">
      <c r="H3809">
        <v>0</v>
      </c>
    </row>
    <row r="3810" spans="8:8" x14ac:dyDescent="0.2">
      <c r="H3810">
        <v>0</v>
      </c>
    </row>
    <row r="3811" spans="8:8" x14ac:dyDescent="0.2">
      <c r="H3811">
        <v>0</v>
      </c>
    </row>
    <row r="3812" spans="8:8" x14ac:dyDescent="0.2">
      <c r="H3812">
        <v>0</v>
      </c>
    </row>
    <row r="3813" spans="8:8" x14ac:dyDescent="0.2">
      <c r="H3813">
        <v>0</v>
      </c>
    </row>
    <row r="3814" spans="8:8" x14ac:dyDescent="0.2">
      <c r="H3814">
        <v>0</v>
      </c>
    </row>
    <row r="3815" spans="8:8" x14ac:dyDescent="0.2">
      <c r="H3815">
        <v>0</v>
      </c>
    </row>
    <row r="3816" spans="8:8" x14ac:dyDescent="0.2">
      <c r="H3816">
        <v>0</v>
      </c>
    </row>
    <row r="3817" spans="8:8" x14ac:dyDescent="0.2">
      <c r="H3817">
        <v>0</v>
      </c>
    </row>
    <row r="3818" spans="8:8" x14ac:dyDescent="0.2">
      <c r="H3818">
        <v>0</v>
      </c>
    </row>
    <row r="3819" spans="8:8" x14ac:dyDescent="0.2">
      <c r="H3819">
        <v>0</v>
      </c>
    </row>
    <row r="3820" spans="8:8" x14ac:dyDescent="0.2">
      <c r="H3820">
        <v>0</v>
      </c>
    </row>
    <row r="3821" spans="8:8" x14ac:dyDescent="0.2">
      <c r="H3821">
        <v>0</v>
      </c>
    </row>
    <row r="3822" spans="8:8" x14ac:dyDescent="0.2">
      <c r="H3822">
        <v>0</v>
      </c>
    </row>
    <row r="3823" spans="8:8" x14ac:dyDescent="0.2">
      <c r="H3823">
        <v>0</v>
      </c>
    </row>
    <row r="3824" spans="8:8" x14ac:dyDescent="0.2">
      <c r="H3824">
        <v>0</v>
      </c>
    </row>
    <row r="3825" spans="8:8" x14ac:dyDescent="0.2">
      <c r="H3825">
        <v>0</v>
      </c>
    </row>
    <row r="3826" spans="8:8" x14ac:dyDescent="0.2">
      <c r="H3826">
        <v>0</v>
      </c>
    </row>
    <row r="3827" spans="8:8" x14ac:dyDescent="0.2">
      <c r="H3827">
        <v>0</v>
      </c>
    </row>
    <row r="3828" spans="8:8" x14ac:dyDescent="0.2">
      <c r="H3828">
        <v>0</v>
      </c>
    </row>
    <row r="3829" spans="8:8" x14ac:dyDescent="0.2">
      <c r="H3829">
        <v>0</v>
      </c>
    </row>
    <row r="3830" spans="8:8" x14ac:dyDescent="0.2">
      <c r="H3830">
        <v>0</v>
      </c>
    </row>
    <row r="3831" spans="8:8" x14ac:dyDescent="0.2">
      <c r="H3831">
        <v>0</v>
      </c>
    </row>
    <row r="3832" spans="8:8" x14ac:dyDescent="0.2">
      <c r="H3832">
        <v>0</v>
      </c>
    </row>
    <row r="3833" spans="8:8" x14ac:dyDescent="0.2">
      <c r="H3833">
        <v>0</v>
      </c>
    </row>
    <row r="3834" spans="8:8" x14ac:dyDescent="0.2">
      <c r="H3834">
        <v>0</v>
      </c>
    </row>
    <row r="3835" spans="8:8" x14ac:dyDescent="0.2">
      <c r="H3835">
        <v>0</v>
      </c>
    </row>
    <row r="3836" spans="8:8" x14ac:dyDescent="0.2">
      <c r="H3836">
        <v>0</v>
      </c>
    </row>
    <row r="3837" spans="8:8" x14ac:dyDescent="0.2">
      <c r="H3837">
        <v>0</v>
      </c>
    </row>
    <row r="3838" spans="8:8" x14ac:dyDescent="0.2">
      <c r="H3838">
        <v>0</v>
      </c>
    </row>
    <row r="3839" spans="8:8" x14ac:dyDescent="0.2">
      <c r="H3839">
        <v>0</v>
      </c>
    </row>
    <row r="3840" spans="8:8" x14ac:dyDescent="0.2">
      <c r="H3840">
        <v>0</v>
      </c>
    </row>
    <row r="3841" spans="8:8" x14ac:dyDescent="0.2">
      <c r="H3841">
        <v>0</v>
      </c>
    </row>
    <row r="3842" spans="8:8" x14ac:dyDescent="0.2">
      <c r="H3842">
        <v>0</v>
      </c>
    </row>
    <row r="3843" spans="8:8" x14ac:dyDescent="0.2">
      <c r="H3843">
        <v>0</v>
      </c>
    </row>
    <row r="3844" spans="8:8" x14ac:dyDescent="0.2">
      <c r="H3844">
        <v>0</v>
      </c>
    </row>
    <row r="3845" spans="8:8" x14ac:dyDescent="0.2">
      <c r="H3845">
        <v>0</v>
      </c>
    </row>
    <row r="3846" spans="8:8" x14ac:dyDescent="0.2">
      <c r="H3846">
        <v>0</v>
      </c>
    </row>
    <row r="3847" spans="8:8" x14ac:dyDescent="0.2">
      <c r="H3847">
        <v>0</v>
      </c>
    </row>
    <row r="3848" spans="8:8" x14ac:dyDescent="0.2">
      <c r="H3848">
        <v>0</v>
      </c>
    </row>
    <row r="3849" spans="8:8" x14ac:dyDescent="0.2">
      <c r="H3849">
        <v>0</v>
      </c>
    </row>
    <row r="3850" spans="8:8" x14ac:dyDescent="0.2">
      <c r="H3850">
        <v>0</v>
      </c>
    </row>
    <row r="3851" spans="8:8" x14ac:dyDescent="0.2">
      <c r="H3851">
        <v>0</v>
      </c>
    </row>
    <row r="3852" spans="8:8" x14ac:dyDescent="0.2">
      <c r="H3852">
        <v>0</v>
      </c>
    </row>
    <row r="3853" spans="8:8" x14ac:dyDescent="0.2">
      <c r="H3853">
        <v>0</v>
      </c>
    </row>
    <row r="3854" spans="8:8" x14ac:dyDescent="0.2">
      <c r="H3854">
        <v>0</v>
      </c>
    </row>
    <row r="3855" spans="8:8" x14ac:dyDescent="0.2">
      <c r="H3855">
        <v>0</v>
      </c>
    </row>
    <row r="3856" spans="8:8" x14ac:dyDescent="0.2">
      <c r="H3856">
        <v>0</v>
      </c>
    </row>
    <row r="3857" spans="8:8" x14ac:dyDescent="0.2">
      <c r="H3857">
        <v>0</v>
      </c>
    </row>
    <row r="3858" spans="8:8" x14ac:dyDescent="0.2">
      <c r="H3858">
        <v>0</v>
      </c>
    </row>
    <row r="3859" spans="8:8" x14ac:dyDescent="0.2">
      <c r="H3859">
        <v>0</v>
      </c>
    </row>
    <row r="3860" spans="8:8" x14ac:dyDescent="0.2">
      <c r="H3860">
        <v>0</v>
      </c>
    </row>
    <row r="3861" spans="8:8" x14ac:dyDescent="0.2">
      <c r="H3861">
        <v>0</v>
      </c>
    </row>
    <row r="3862" spans="8:8" x14ac:dyDescent="0.2">
      <c r="H3862">
        <v>0</v>
      </c>
    </row>
    <row r="3863" spans="8:8" x14ac:dyDescent="0.2">
      <c r="H3863">
        <v>0</v>
      </c>
    </row>
    <row r="3864" spans="8:8" x14ac:dyDescent="0.2">
      <c r="H3864">
        <v>0</v>
      </c>
    </row>
    <row r="3865" spans="8:8" x14ac:dyDescent="0.2">
      <c r="H3865">
        <v>0</v>
      </c>
    </row>
    <row r="3866" spans="8:8" x14ac:dyDescent="0.2">
      <c r="H3866">
        <v>0</v>
      </c>
    </row>
    <row r="3867" spans="8:8" x14ac:dyDescent="0.2">
      <c r="H3867">
        <v>0</v>
      </c>
    </row>
    <row r="3868" spans="8:8" x14ac:dyDescent="0.2">
      <c r="H3868">
        <v>0</v>
      </c>
    </row>
    <row r="3869" spans="8:8" x14ac:dyDescent="0.2">
      <c r="H3869">
        <v>0</v>
      </c>
    </row>
    <row r="3870" spans="8:8" x14ac:dyDescent="0.2">
      <c r="H3870">
        <v>0</v>
      </c>
    </row>
    <row r="3871" spans="8:8" x14ac:dyDescent="0.2">
      <c r="H3871">
        <v>0</v>
      </c>
    </row>
    <row r="3872" spans="8:8" x14ac:dyDescent="0.2">
      <c r="H3872">
        <v>0</v>
      </c>
    </row>
    <row r="3873" spans="8:8" x14ac:dyDescent="0.2">
      <c r="H3873">
        <v>0</v>
      </c>
    </row>
    <row r="3874" spans="8:8" x14ac:dyDescent="0.2">
      <c r="H3874">
        <v>0</v>
      </c>
    </row>
    <row r="3875" spans="8:8" x14ac:dyDescent="0.2">
      <c r="H3875">
        <v>0</v>
      </c>
    </row>
    <row r="3876" spans="8:8" x14ac:dyDescent="0.2">
      <c r="H3876">
        <v>0</v>
      </c>
    </row>
    <row r="3877" spans="8:8" x14ac:dyDescent="0.2">
      <c r="H3877">
        <v>0</v>
      </c>
    </row>
    <row r="3878" spans="8:8" x14ac:dyDescent="0.2">
      <c r="H3878">
        <v>0</v>
      </c>
    </row>
    <row r="3879" spans="8:8" x14ac:dyDescent="0.2">
      <c r="H3879">
        <v>0</v>
      </c>
    </row>
    <row r="3880" spans="8:8" x14ac:dyDescent="0.2">
      <c r="H3880">
        <v>0</v>
      </c>
    </row>
    <row r="3881" spans="8:8" x14ac:dyDescent="0.2">
      <c r="H3881">
        <v>0</v>
      </c>
    </row>
    <row r="3882" spans="8:8" x14ac:dyDescent="0.2">
      <c r="H3882">
        <v>0</v>
      </c>
    </row>
    <row r="3883" spans="8:8" x14ac:dyDescent="0.2">
      <c r="H3883">
        <v>0</v>
      </c>
    </row>
    <row r="3884" spans="8:8" x14ac:dyDescent="0.2">
      <c r="H3884">
        <v>0</v>
      </c>
    </row>
    <row r="3885" spans="8:8" x14ac:dyDescent="0.2">
      <c r="H3885">
        <v>0</v>
      </c>
    </row>
    <row r="3886" spans="8:8" x14ac:dyDescent="0.2">
      <c r="H3886">
        <v>0</v>
      </c>
    </row>
    <row r="3887" spans="8:8" x14ac:dyDescent="0.2">
      <c r="H3887">
        <v>0</v>
      </c>
    </row>
    <row r="3888" spans="8:8" x14ac:dyDescent="0.2">
      <c r="H3888">
        <v>0</v>
      </c>
    </row>
    <row r="3889" spans="8:8" x14ac:dyDescent="0.2">
      <c r="H3889">
        <v>0</v>
      </c>
    </row>
    <row r="3890" spans="8:8" x14ac:dyDescent="0.2">
      <c r="H3890">
        <v>0</v>
      </c>
    </row>
    <row r="3891" spans="8:8" x14ac:dyDescent="0.2">
      <c r="H3891">
        <v>0</v>
      </c>
    </row>
    <row r="3892" spans="8:8" x14ac:dyDescent="0.2">
      <c r="H3892">
        <v>0</v>
      </c>
    </row>
    <row r="3893" spans="8:8" x14ac:dyDescent="0.2">
      <c r="H3893">
        <v>0</v>
      </c>
    </row>
    <row r="3894" spans="8:8" x14ac:dyDescent="0.2">
      <c r="H3894">
        <v>0</v>
      </c>
    </row>
    <row r="3895" spans="8:8" x14ac:dyDescent="0.2">
      <c r="H3895">
        <v>0</v>
      </c>
    </row>
    <row r="3896" spans="8:8" x14ac:dyDescent="0.2">
      <c r="H3896">
        <v>0</v>
      </c>
    </row>
    <row r="3897" spans="8:8" x14ac:dyDescent="0.2">
      <c r="H3897">
        <v>0</v>
      </c>
    </row>
    <row r="3898" spans="8:8" x14ac:dyDescent="0.2">
      <c r="H3898">
        <v>0</v>
      </c>
    </row>
    <row r="3899" spans="8:8" x14ac:dyDescent="0.2">
      <c r="H3899">
        <v>0</v>
      </c>
    </row>
    <row r="3900" spans="8:8" x14ac:dyDescent="0.2">
      <c r="H3900">
        <v>0</v>
      </c>
    </row>
    <row r="3901" spans="8:8" x14ac:dyDescent="0.2">
      <c r="H3901">
        <v>0</v>
      </c>
    </row>
    <row r="3902" spans="8:8" x14ac:dyDescent="0.2">
      <c r="H3902">
        <v>0</v>
      </c>
    </row>
    <row r="3903" spans="8:8" x14ac:dyDescent="0.2">
      <c r="H3903">
        <v>0</v>
      </c>
    </row>
    <row r="3904" spans="8:8" x14ac:dyDescent="0.2">
      <c r="H3904">
        <v>0</v>
      </c>
    </row>
    <row r="3905" spans="8:8" x14ac:dyDescent="0.2">
      <c r="H3905">
        <v>0</v>
      </c>
    </row>
    <row r="3906" spans="8:8" x14ac:dyDescent="0.2">
      <c r="H3906">
        <v>0</v>
      </c>
    </row>
    <row r="3907" spans="8:8" x14ac:dyDescent="0.2">
      <c r="H3907">
        <v>0</v>
      </c>
    </row>
    <row r="3908" spans="8:8" x14ac:dyDescent="0.2">
      <c r="H3908">
        <v>0</v>
      </c>
    </row>
    <row r="3909" spans="8:8" x14ac:dyDescent="0.2">
      <c r="H3909">
        <v>0</v>
      </c>
    </row>
    <row r="3910" spans="8:8" x14ac:dyDescent="0.2">
      <c r="H3910">
        <v>0</v>
      </c>
    </row>
    <row r="3911" spans="8:8" x14ac:dyDescent="0.2">
      <c r="H3911">
        <v>0</v>
      </c>
    </row>
    <row r="3912" spans="8:8" x14ac:dyDescent="0.2">
      <c r="H3912">
        <v>0</v>
      </c>
    </row>
    <row r="3913" spans="8:8" x14ac:dyDescent="0.2">
      <c r="H3913">
        <v>0</v>
      </c>
    </row>
    <row r="3914" spans="8:8" x14ac:dyDescent="0.2">
      <c r="H3914">
        <v>0</v>
      </c>
    </row>
    <row r="3915" spans="8:8" x14ac:dyDescent="0.2">
      <c r="H3915">
        <v>0</v>
      </c>
    </row>
    <row r="3916" spans="8:8" x14ac:dyDescent="0.2">
      <c r="H3916">
        <v>0</v>
      </c>
    </row>
    <row r="3917" spans="8:8" x14ac:dyDescent="0.2">
      <c r="H3917">
        <v>0</v>
      </c>
    </row>
    <row r="3918" spans="8:8" x14ac:dyDescent="0.2">
      <c r="H3918">
        <v>0</v>
      </c>
    </row>
    <row r="3919" spans="8:8" x14ac:dyDescent="0.2">
      <c r="H3919">
        <v>0</v>
      </c>
    </row>
    <row r="3920" spans="8:8" x14ac:dyDescent="0.2">
      <c r="H3920">
        <v>0</v>
      </c>
    </row>
    <row r="3921" spans="8:8" x14ac:dyDescent="0.2">
      <c r="H3921">
        <v>0</v>
      </c>
    </row>
    <row r="3922" spans="8:8" x14ac:dyDescent="0.2">
      <c r="H3922">
        <v>0</v>
      </c>
    </row>
    <row r="3923" spans="8:8" x14ac:dyDescent="0.2">
      <c r="H3923">
        <v>0</v>
      </c>
    </row>
    <row r="3924" spans="8:8" x14ac:dyDescent="0.2">
      <c r="H3924">
        <v>0</v>
      </c>
    </row>
    <row r="3925" spans="8:8" x14ac:dyDescent="0.2">
      <c r="H3925">
        <v>0</v>
      </c>
    </row>
    <row r="3926" spans="8:8" x14ac:dyDescent="0.2">
      <c r="H3926">
        <v>0</v>
      </c>
    </row>
    <row r="3927" spans="8:8" x14ac:dyDescent="0.2">
      <c r="H3927">
        <v>0</v>
      </c>
    </row>
    <row r="3928" spans="8:8" x14ac:dyDescent="0.2">
      <c r="H3928">
        <v>0</v>
      </c>
    </row>
    <row r="3929" spans="8:8" x14ac:dyDescent="0.2">
      <c r="H3929">
        <v>0</v>
      </c>
    </row>
    <row r="3930" spans="8:8" x14ac:dyDescent="0.2">
      <c r="H3930">
        <v>0</v>
      </c>
    </row>
    <row r="3931" spans="8:8" x14ac:dyDescent="0.2">
      <c r="H3931">
        <v>0</v>
      </c>
    </row>
    <row r="3932" spans="8:8" x14ac:dyDescent="0.2">
      <c r="H3932">
        <v>0</v>
      </c>
    </row>
    <row r="3933" spans="8:8" x14ac:dyDescent="0.2">
      <c r="H3933">
        <v>0</v>
      </c>
    </row>
    <row r="3934" spans="8:8" x14ac:dyDescent="0.2">
      <c r="H3934">
        <v>0</v>
      </c>
    </row>
    <row r="3935" spans="8:8" x14ac:dyDescent="0.2">
      <c r="H3935">
        <v>0</v>
      </c>
    </row>
    <row r="3936" spans="8:8" x14ac:dyDescent="0.2">
      <c r="H3936">
        <v>0</v>
      </c>
    </row>
    <row r="3937" spans="8:8" x14ac:dyDescent="0.2">
      <c r="H3937">
        <v>0</v>
      </c>
    </row>
    <row r="3938" spans="8:8" x14ac:dyDescent="0.2">
      <c r="H3938">
        <v>0</v>
      </c>
    </row>
    <row r="3939" spans="8:8" x14ac:dyDescent="0.2">
      <c r="H3939">
        <v>0</v>
      </c>
    </row>
    <row r="3940" spans="8:8" x14ac:dyDescent="0.2">
      <c r="H3940">
        <v>0</v>
      </c>
    </row>
    <row r="3941" spans="8:8" x14ac:dyDescent="0.2">
      <c r="H3941">
        <v>0</v>
      </c>
    </row>
    <row r="3942" spans="8:8" x14ac:dyDescent="0.2">
      <c r="H3942">
        <v>0</v>
      </c>
    </row>
    <row r="3943" spans="8:8" x14ac:dyDescent="0.2">
      <c r="H3943">
        <v>0</v>
      </c>
    </row>
    <row r="3944" spans="8:8" x14ac:dyDescent="0.2">
      <c r="H3944">
        <v>0</v>
      </c>
    </row>
    <row r="3945" spans="8:8" x14ac:dyDescent="0.2">
      <c r="H3945">
        <v>0</v>
      </c>
    </row>
    <row r="3946" spans="8:8" x14ac:dyDescent="0.2">
      <c r="H3946">
        <v>0</v>
      </c>
    </row>
    <row r="3947" spans="8:8" x14ac:dyDescent="0.2">
      <c r="H3947">
        <v>0</v>
      </c>
    </row>
    <row r="3948" spans="8:8" x14ac:dyDescent="0.2">
      <c r="H3948">
        <v>0</v>
      </c>
    </row>
    <row r="3949" spans="8:8" x14ac:dyDescent="0.2">
      <c r="H3949">
        <v>0</v>
      </c>
    </row>
    <row r="3950" spans="8:8" x14ac:dyDescent="0.2">
      <c r="H3950">
        <v>0</v>
      </c>
    </row>
    <row r="3951" spans="8:8" x14ac:dyDescent="0.2">
      <c r="H3951">
        <v>0</v>
      </c>
    </row>
    <row r="3952" spans="8:8" x14ac:dyDescent="0.2">
      <c r="H3952">
        <v>0</v>
      </c>
    </row>
    <row r="3953" spans="8:8" x14ac:dyDescent="0.2">
      <c r="H3953">
        <v>0</v>
      </c>
    </row>
    <row r="3954" spans="8:8" x14ac:dyDescent="0.2">
      <c r="H3954">
        <v>0</v>
      </c>
    </row>
    <row r="3955" spans="8:8" x14ac:dyDescent="0.2">
      <c r="H3955">
        <v>0</v>
      </c>
    </row>
    <row r="3956" spans="8:8" x14ac:dyDescent="0.2">
      <c r="H3956">
        <v>0</v>
      </c>
    </row>
    <row r="3957" spans="8:8" x14ac:dyDescent="0.2">
      <c r="H3957">
        <v>0</v>
      </c>
    </row>
    <row r="3958" spans="8:8" x14ac:dyDescent="0.2">
      <c r="H3958">
        <v>0</v>
      </c>
    </row>
    <row r="3959" spans="8:8" x14ac:dyDescent="0.2">
      <c r="H3959">
        <v>0</v>
      </c>
    </row>
    <row r="3960" spans="8:8" x14ac:dyDescent="0.2">
      <c r="H3960">
        <v>0</v>
      </c>
    </row>
    <row r="3961" spans="8:8" x14ac:dyDescent="0.2">
      <c r="H3961">
        <v>0</v>
      </c>
    </row>
    <row r="3962" spans="8:8" x14ac:dyDescent="0.2">
      <c r="H3962">
        <v>0</v>
      </c>
    </row>
    <row r="3963" spans="8:8" x14ac:dyDescent="0.2">
      <c r="H3963">
        <v>0</v>
      </c>
    </row>
    <row r="3964" spans="8:8" x14ac:dyDescent="0.2">
      <c r="H3964">
        <v>0</v>
      </c>
    </row>
    <row r="3965" spans="8:8" x14ac:dyDescent="0.2">
      <c r="H3965">
        <v>0</v>
      </c>
    </row>
    <row r="3966" spans="8:8" x14ac:dyDescent="0.2">
      <c r="H3966">
        <v>0</v>
      </c>
    </row>
    <row r="3967" spans="8:8" x14ac:dyDescent="0.2">
      <c r="H3967">
        <v>0</v>
      </c>
    </row>
    <row r="3968" spans="8:8" x14ac:dyDescent="0.2">
      <c r="H3968">
        <v>0</v>
      </c>
    </row>
    <row r="3969" spans="8:8" x14ac:dyDescent="0.2">
      <c r="H3969">
        <v>0</v>
      </c>
    </row>
    <row r="3970" spans="8:8" x14ac:dyDescent="0.2">
      <c r="H3970">
        <v>0</v>
      </c>
    </row>
    <row r="3971" spans="8:8" x14ac:dyDescent="0.2">
      <c r="H3971">
        <v>0</v>
      </c>
    </row>
    <row r="3972" spans="8:8" x14ac:dyDescent="0.2">
      <c r="H3972">
        <v>0</v>
      </c>
    </row>
    <row r="3973" spans="8:8" x14ac:dyDescent="0.2">
      <c r="H3973">
        <v>0</v>
      </c>
    </row>
    <row r="3974" spans="8:8" x14ac:dyDescent="0.2">
      <c r="H3974">
        <v>0</v>
      </c>
    </row>
    <row r="3975" spans="8:8" x14ac:dyDescent="0.2">
      <c r="H3975">
        <v>0</v>
      </c>
    </row>
    <row r="3976" spans="8:8" x14ac:dyDescent="0.2">
      <c r="H3976">
        <v>0</v>
      </c>
    </row>
    <row r="3977" spans="8:8" x14ac:dyDescent="0.2">
      <c r="H3977">
        <v>0</v>
      </c>
    </row>
    <row r="3978" spans="8:8" x14ac:dyDescent="0.2">
      <c r="H3978">
        <v>0</v>
      </c>
    </row>
    <row r="3979" spans="8:8" x14ac:dyDescent="0.2">
      <c r="H3979">
        <v>0</v>
      </c>
    </row>
    <row r="3980" spans="8:8" x14ac:dyDescent="0.2">
      <c r="H3980">
        <v>0</v>
      </c>
    </row>
    <row r="3981" spans="8:8" x14ac:dyDescent="0.2">
      <c r="H3981">
        <v>0</v>
      </c>
    </row>
    <row r="3982" spans="8:8" x14ac:dyDescent="0.2">
      <c r="H3982">
        <v>0</v>
      </c>
    </row>
    <row r="3983" spans="8:8" x14ac:dyDescent="0.2">
      <c r="H3983">
        <v>0</v>
      </c>
    </row>
    <row r="3984" spans="8:8" x14ac:dyDescent="0.2">
      <c r="H3984">
        <v>0</v>
      </c>
    </row>
    <row r="3985" spans="8:8" x14ac:dyDescent="0.2">
      <c r="H3985">
        <v>0</v>
      </c>
    </row>
    <row r="3986" spans="8:8" x14ac:dyDescent="0.2">
      <c r="H3986">
        <v>0</v>
      </c>
    </row>
    <row r="3987" spans="8:8" x14ac:dyDescent="0.2">
      <c r="H3987">
        <v>0</v>
      </c>
    </row>
    <row r="3988" spans="8:8" x14ac:dyDescent="0.2">
      <c r="H3988">
        <v>0</v>
      </c>
    </row>
    <row r="3989" spans="8:8" x14ac:dyDescent="0.2">
      <c r="H3989">
        <v>0</v>
      </c>
    </row>
    <row r="3990" spans="8:8" x14ac:dyDescent="0.2">
      <c r="H3990">
        <v>0</v>
      </c>
    </row>
    <row r="3991" spans="8:8" x14ac:dyDescent="0.2">
      <c r="H3991">
        <v>0</v>
      </c>
    </row>
    <row r="3992" spans="8:8" x14ac:dyDescent="0.2">
      <c r="H3992">
        <v>0</v>
      </c>
    </row>
    <row r="3993" spans="8:8" x14ac:dyDescent="0.2">
      <c r="H3993">
        <v>0</v>
      </c>
    </row>
    <row r="3994" spans="8:8" x14ac:dyDescent="0.2">
      <c r="H3994">
        <v>0</v>
      </c>
    </row>
    <row r="3995" spans="8:8" x14ac:dyDescent="0.2">
      <c r="H3995">
        <v>0</v>
      </c>
    </row>
    <row r="3996" spans="8:8" x14ac:dyDescent="0.2">
      <c r="H3996">
        <v>0</v>
      </c>
    </row>
    <row r="3997" spans="8:8" x14ac:dyDescent="0.2">
      <c r="H3997">
        <v>0</v>
      </c>
    </row>
    <row r="3998" spans="8:8" x14ac:dyDescent="0.2">
      <c r="H3998">
        <v>0</v>
      </c>
    </row>
    <row r="3999" spans="8:8" x14ac:dyDescent="0.2">
      <c r="H3999">
        <v>0</v>
      </c>
    </row>
    <row r="4000" spans="8:8" x14ac:dyDescent="0.2">
      <c r="H4000">
        <v>0</v>
      </c>
    </row>
    <row r="4001" spans="8:8" x14ac:dyDescent="0.2">
      <c r="H4001">
        <v>0</v>
      </c>
    </row>
    <row r="4002" spans="8:8" x14ac:dyDescent="0.2">
      <c r="H4002">
        <v>0</v>
      </c>
    </row>
    <row r="4003" spans="8:8" x14ac:dyDescent="0.2">
      <c r="H4003">
        <v>0</v>
      </c>
    </row>
    <row r="4004" spans="8:8" x14ac:dyDescent="0.2">
      <c r="H4004">
        <v>0</v>
      </c>
    </row>
    <row r="4005" spans="8:8" x14ac:dyDescent="0.2">
      <c r="H4005">
        <v>0</v>
      </c>
    </row>
    <row r="4006" spans="8:8" x14ac:dyDescent="0.2">
      <c r="H4006">
        <v>0</v>
      </c>
    </row>
    <row r="4007" spans="8:8" x14ac:dyDescent="0.2">
      <c r="H4007">
        <v>0</v>
      </c>
    </row>
    <row r="4008" spans="8:8" x14ac:dyDescent="0.2">
      <c r="H4008">
        <v>0</v>
      </c>
    </row>
    <row r="4009" spans="8:8" x14ac:dyDescent="0.2">
      <c r="H4009">
        <v>0</v>
      </c>
    </row>
    <row r="4010" spans="8:8" x14ac:dyDescent="0.2">
      <c r="H4010">
        <v>0</v>
      </c>
    </row>
    <row r="4011" spans="8:8" x14ac:dyDescent="0.2">
      <c r="H4011">
        <v>0</v>
      </c>
    </row>
    <row r="4012" spans="8:8" x14ac:dyDescent="0.2">
      <c r="H4012">
        <v>0</v>
      </c>
    </row>
    <row r="4013" spans="8:8" x14ac:dyDescent="0.2">
      <c r="H4013">
        <v>0</v>
      </c>
    </row>
    <row r="4014" spans="8:8" x14ac:dyDescent="0.2">
      <c r="H4014">
        <v>0</v>
      </c>
    </row>
    <row r="4015" spans="8:8" x14ac:dyDescent="0.2">
      <c r="H4015">
        <v>0</v>
      </c>
    </row>
    <row r="4016" spans="8:8" x14ac:dyDescent="0.2">
      <c r="H4016">
        <v>0</v>
      </c>
    </row>
    <row r="4017" spans="8:8" x14ac:dyDescent="0.2">
      <c r="H4017">
        <v>0</v>
      </c>
    </row>
    <row r="4018" spans="8:8" x14ac:dyDescent="0.2">
      <c r="H4018">
        <v>0</v>
      </c>
    </row>
    <row r="4019" spans="8:8" x14ac:dyDescent="0.2">
      <c r="H4019">
        <v>0</v>
      </c>
    </row>
    <row r="4020" spans="8:8" x14ac:dyDescent="0.2">
      <c r="H4020">
        <v>0</v>
      </c>
    </row>
    <row r="4021" spans="8:8" x14ac:dyDescent="0.2">
      <c r="H4021">
        <v>0</v>
      </c>
    </row>
    <row r="4022" spans="8:8" x14ac:dyDescent="0.2">
      <c r="H4022">
        <v>0</v>
      </c>
    </row>
    <row r="4023" spans="8:8" x14ac:dyDescent="0.2">
      <c r="H4023">
        <v>0</v>
      </c>
    </row>
    <row r="4024" spans="8:8" x14ac:dyDescent="0.2">
      <c r="H4024">
        <v>0</v>
      </c>
    </row>
    <row r="4025" spans="8:8" x14ac:dyDescent="0.2">
      <c r="H4025">
        <v>0</v>
      </c>
    </row>
    <row r="4026" spans="8:8" x14ac:dyDescent="0.2">
      <c r="H4026">
        <v>0</v>
      </c>
    </row>
    <row r="4027" spans="8:8" x14ac:dyDescent="0.2">
      <c r="H4027">
        <v>0</v>
      </c>
    </row>
    <row r="4028" spans="8:8" x14ac:dyDescent="0.2">
      <c r="H4028">
        <v>0</v>
      </c>
    </row>
    <row r="4029" spans="8:8" x14ac:dyDescent="0.2">
      <c r="H4029">
        <v>0</v>
      </c>
    </row>
    <row r="4030" spans="8:8" x14ac:dyDescent="0.2">
      <c r="H4030">
        <v>0</v>
      </c>
    </row>
    <row r="4031" spans="8:8" x14ac:dyDescent="0.2">
      <c r="H4031">
        <v>0</v>
      </c>
    </row>
    <row r="4032" spans="8:8" x14ac:dyDescent="0.2">
      <c r="H4032">
        <v>0</v>
      </c>
    </row>
    <row r="4033" spans="8:8" x14ac:dyDescent="0.2">
      <c r="H4033">
        <v>0</v>
      </c>
    </row>
    <row r="4034" spans="8:8" x14ac:dyDescent="0.2">
      <c r="H4034">
        <v>0</v>
      </c>
    </row>
    <row r="4035" spans="8:8" x14ac:dyDescent="0.2">
      <c r="H4035">
        <v>0</v>
      </c>
    </row>
    <row r="4036" spans="8:8" x14ac:dyDescent="0.2">
      <c r="H4036">
        <v>0</v>
      </c>
    </row>
    <row r="4037" spans="8:8" x14ac:dyDescent="0.2">
      <c r="H4037">
        <v>0</v>
      </c>
    </row>
    <row r="4038" spans="8:8" x14ac:dyDescent="0.2">
      <c r="H4038">
        <v>0</v>
      </c>
    </row>
    <row r="4039" spans="8:8" x14ac:dyDescent="0.2">
      <c r="H4039">
        <v>0</v>
      </c>
    </row>
    <row r="4040" spans="8:8" x14ac:dyDescent="0.2">
      <c r="H4040">
        <v>0</v>
      </c>
    </row>
    <row r="4041" spans="8:8" x14ac:dyDescent="0.2">
      <c r="H4041">
        <v>0</v>
      </c>
    </row>
    <row r="4042" spans="8:8" x14ac:dyDescent="0.2">
      <c r="H4042">
        <v>0</v>
      </c>
    </row>
    <row r="4043" spans="8:8" x14ac:dyDescent="0.2">
      <c r="H4043">
        <v>0</v>
      </c>
    </row>
    <row r="4044" spans="8:8" x14ac:dyDescent="0.2">
      <c r="H4044">
        <v>0</v>
      </c>
    </row>
    <row r="4045" spans="8:8" x14ac:dyDescent="0.2">
      <c r="H4045">
        <v>0</v>
      </c>
    </row>
    <row r="4046" spans="8:8" x14ac:dyDescent="0.2">
      <c r="H4046">
        <v>0</v>
      </c>
    </row>
    <row r="4047" spans="8:8" x14ac:dyDescent="0.2">
      <c r="H4047">
        <v>0</v>
      </c>
    </row>
    <row r="4048" spans="8:8" x14ac:dyDescent="0.2">
      <c r="H4048">
        <v>0</v>
      </c>
    </row>
    <row r="4049" spans="8:8" x14ac:dyDescent="0.2">
      <c r="H4049">
        <v>0</v>
      </c>
    </row>
    <row r="4050" spans="8:8" x14ac:dyDescent="0.2">
      <c r="H4050">
        <v>0</v>
      </c>
    </row>
    <row r="4051" spans="8:8" x14ac:dyDescent="0.2">
      <c r="H4051">
        <v>0</v>
      </c>
    </row>
    <row r="4052" spans="8:8" x14ac:dyDescent="0.2">
      <c r="H4052">
        <v>0</v>
      </c>
    </row>
    <row r="4053" spans="8:8" x14ac:dyDescent="0.2">
      <c r="H4053">
        <v>0</v>
      </c>
    </row>
    <row r="4054" spans="8:8" x14ac:dyDescent="0.2">
      <c r="H4054">
        <v>0</v>
      </c>
    </row>
    <row r="4055" spans="8:8" x14ac:dyDescent="0.2">
      <c r="H4055">
        <v>0</v>
      </c>
    </row>
    <row r="4056" spans="8:8" x14ac:dyDescent="0.2">
      <c r="H4056">
        <v>0</v>
      </c>
    </row>
    <row r="4057" spans="8:8" x14ac:dyDescent="0.2">
      <c r="H4057">
        <v>0</v>
      </c>
    </row>
    <row r="4058" spans="8:8" x14ac:dyDescent="0.2">
      <c r="H4058">
        <v>0</v>
      </c>
    </row>
    <row r="4059" spans="8:8" x14ac:dyDescent="0.2">
      <c r="H4059">
        <v>0</v>
      </c>
    </row>
    <row r="4060" spans="8:8" x14ac:dyDescent="0.2">
      <c r="H4060">
        <v>0</v>
      </c>
    </row>
    <row r="4061" spans="8:8" x14ac:dyDescent="0.2">
      <c r="H4061">
        <v>0</v>
      </c>
    </row>
    <row r="4062" spans="8:8" x14ac:dyDescent="0.2">
      <c r="H4062">
        <v>0</v>
      </c>
    </row>
    <row r="4063" spans="8:8" x14ac:dyDescent="0.2">
      <c r="H4063">
        <v>0</v>
      </c>
    </row>
    <row r="4064" spans="8:8" x14ac:dyDescent="0.2">
      <c r="H4064">
        <v>0</v>
      </c>
    </row>
    <row r="4065" spans="8:8" x14ac:dyDescent="0.2">
      <c r="H4065">
        <v>0</v>
      </c>
    </row>
    <row r="4066" spans="8:8" x14ac:dyDescent="0.2">
      <c r="H4066">
        <v>0</v>
      </c>
    </row>
    <row r="4067" spans="8:8" x14ac:dyDescent="0.2">
      <c r="H4067">
        <v>0</v>
      </c>
    </row>
    <row r="4068" spans="8:8" x14ac:dyDescent="0.2">
      <c r="H4068">
        <v>0</v>
      </c>
    </row>
    <row r="4069" spans="8:8" x14ac:dyDescent="0.2">
      <c r="H4069">
        <v>0</v>
      </c>
    </row>
    <row r="4070" spans="8:8" x14ac:dyDescent="0.2">
      <c r="H4070">
        <v>0</v>
      </c>
    </row>
    <row r="4071" spans="8:8" x14ac:dyDescent="0.2">
      <c r="H4071">
        <v>0</v>
      </c>
    </row>
    <row r="4072" spans="8:8" x14ac:dyDescent="0.2">
      <c r="H4072">
        <v>0</v>
      </c>
    </row>
    <row r="4073" spans="8:8" x14ac:dyDescent="0.2">
      <c r="H4073">
        <v>0</v>
      </c>
    </row>
    <row r="4074" spans="8:8" x14ac:dyDescent="0.2">
      <c r="H4074">
        <v>0</v>
      </c>
    </row>
    <row r="4075" spans="8:8" x14ac:dyDescent="0.2">
      <c r="H4075">
        <v>0</v>
      </c>
    </row>
    <row r="4076" spans="8:8" x14ac:dyDescent="0.2">
      <c r="H4076">
        <v>0</v>
      </c>
    </row>
    <row r="4077" spans="8:8" x14ac:dyDescent="0.2">
      <c r="H4077">
        <v>0</v>
      </c>
    </row>
    <row r="4078" spans="8:8" x14ac:dyDescent="0.2">
      <c r="H4078">
        <v>0</v>
      </c>
    </row>
    <row r="4079" spans="8:8" x14ac:dyDescent="0.2">
      <c r="H4079">
        <v>0</v>
      </c>
    </row>
    <row r="4080" spans="8:8" x14ac:dyDescent="0.2">
      <c r="H4080">
        <v>0</v>
      </c>
    </row>
    <row r="4081" spans="8:8" x14ac:dyDescent="0.2">
      <c r="H4081">
        <v>0</v>
      </c>
    </row>
    <row r="4082" spans="8:8" x14ac:dyDescent="0.2">
      <c r="H4082">
        <v>0</v>
      </c>
    </row>
    <row r="4083" spans="8:8" x14ac:dyDescent="0.2">
      <c r="H4083">
        <v>0</v>
      </c>
    </row>
    <row r="4084" spans="8:8" x14ac:dyDescent="0.2">
      <c r="H4084">
        <v>0</v>
      </c>
    </row>
    <row r="4085" spans="8:8" x14ac:dyDescent="0.2">
      <c r="H4085">
        <v>0</v>
      </c>
    </row>
    <row r="4086" spans="8:8" x14ac:dyDescent="0.2">
      <c r="H4086">
        <v>0</v>
      </c>
    </row>
    <row r="4087" spans="8:8" x14ac:dyDescent="0.2">
      <c r="H4087">
        <v>0</v>
      </c>
    </row>
    <row r="4088" spans="8:8" x14ac:dyDescent="0.2">
      <c r="H4088">
        <v>0</v>
      </c>
    </row>
    <row r="4089" spans="8:8" x14ac:dyDescent="0.2">
      <c r="H4089">
        <v>0</v>
      </c>
    </row>
    <row r="4090" spans="8:8" x14ac:dyDescent="0.2">
      <c r="H4090">
        <v>0</v>
      </c>
    </row>
    <row r="4091" spans="8:8" x14ac:dyDescent="0.2">
      <c r="H4091">
        <v>0</v>
      </c>
    </row>
    <row r="4092" spans="8:8" x14ac:dyDescent="0.2">
      <c r="H4092">
        <v>0</v>
      </c>
    </row>
    <row r="4093" spans="8:8" x14ac:dyDescent="0.2">
      <c r="H4093">
        <v>0</v>
      </c>
    </row>
    <row r="4094" spans="8:8" x14ac:dyDescent="0.2">
      <c r="H4094">
        <v>0</v>
      </c>
    </row>
    <row r="4095" spans="8:8" x14ac:dyDescent="0.2">
      <c r="H4095">
        <v>0</v>
      </c>
    </row>
    <row r="4096" spans="8:8" x14ac:dyDescent="0.2">
      <c r="H4096">
        <v>0</v>
      </c>
    </row>
    <row r="4097" spans="8:8" x14ac:dyDescent="0.2">
      <c r="H4097">
        <v>0</v>
      </c>
    </row>
    <row r="4098" spans="8:8" x14ac:dyDescent="0.2">
      <c r="H4098">
        <v>0</v>
      </c>
    </row>
    <row r="4099" spans="8:8" x14ac:dyDescent="0.2">
      <c r="H4099">
        <v>0</v>
      </c>
    </row>
    <row r="4100" spans="8:8" x14ac:dyDescent="0.2">
      <c r="H4100">
        <v>0</v>
      </c>
    </row>
    <row r="4101" spans="8:8" x14ac:dyDescent="0.2">
      <c r="H4101">
        <v>0</v>
      </c>
    </row>
    <row r="4102" spans="8:8" x14ac:dyDescent="0.2">
      <c r="H4102">
        <v>0</v>
      </c>
    </row>
    <row r="4103" spans="8:8" x14ac:dyDescent="0.2">
      <c r="H4103">
        <v>0</v>
      </c>
    </row>
    <row r="4104" spans="8:8" x14ac:dyDescent="0.2">
      <c r="H4104">
        <v>0</v>
      </c>
    </row>
    <row r="4105" spans="8:8" x14ac:dyDescent="0.2">
      <c r="H4105">
        <v>0</v>
      </c>
    </row>
    <row r="4106" spans="8:8" x14ac:dyDescent="0.2">
      <c r="H4106">
        <v>0</v>
      </c>
    </row>
    <row r="4107" spans="8:8" x14ac:dyDescent="0.2">
      <c r="H4107">
        <v>0</v>
      </c>
    </row>
    <row r="4108" spans="8:8" x14ac:dyDescent="0.2">
      <c r="H4108">
        <v>0</v>
      </c>
    </row>
    <row r="4109" spans="8:8" x14ac:dyDescent="0.2">
      <c r="H4109">
        <v>0</v>
      </c>
    </row>
    <row r="4110" spans="8:8" x14ac:dyDescent="0.2">
      <c r="H4110">
        <v>0</v>
      </c>
    </row>
    <row r="4111" spans="8:8" x14ac:dyDescent="0.2">
      <c r="H4111">
        <v>0</v>
      </c>
    </row>
    <row r="4112" spans="8:8" x14ac:dyDescent="0.2">
      <c r="H4112">
        <v>0</v>
      </c>
    </row>
    <row r="4113" spans="8:8" x14ac:dyDescent="0.2">
      <c r="H4113">
        <v>0</v>
      </c>
    </row>
    <row r="4114" spans="8:8" x14ac:dyDescent="0.2">
      <c r="H4114">
        <v>0</v>
      </c>
    </row>
    <row r="4115" spans="8:8" x14ac:dyDescent="0.2">
      <c r="H4115">
        <v>0</v>
      </c>
    </row>
    <row r="4116" spans="8:8" x14ac:dyDescent="0.2">
      <c r="H4116">
        <v>0</v>
      </c>
    </row>
    <row r="4117" spans="8:8" x14ac:dyDescent="0.2">
      <c r="H4117">
        <v>0</v>
      </c>
    </row>
    <row r="4118" spans="8:8" x14ac:dyDescent="0.2">
      <c r="H4118">
        <v>0</v>
      </c>
    </row>
    <row r="4119" spans="8:8" x14ac:dyDescent="0.2">
      <c r="H4119">
        <v>0</v>
      </c>
    </row>
    <row r="4120" spans="8:8" x14ac:dyDescent="0.2">
      <c r="H4120">
        <v>0</v>
      </c>
    </row>
    <row r="4121" spans="8:8" x14ac:dyDescent="0.2">
      <c r="H4121">
        <v>0</v>
      </c>
    </row>
    <row r="4122" spans="8:8" x14ac:dyDescent="0.2">
      <c r="H4122">
        <v>0</v>
      </c>
    </row>
    <row r="4123" spans="8:8" x14ac:dyDescent="0.2">
      <c r="H4123">
        <v>0</v>
      </c>
    </row>
    <row r="4124" spans="8:8" x14ac:dyDescent="0.2">
      <c r="H4124">
        <v>0</v>
      </c>
    </row>
    <row r="4125" spans="8:8" x14ac:dyDescent="0.2">
      <c r="H4125">
        <v>0</v>
      </c>
    </row>
    <row r="4126" spans="8:8" x14ac:dyDescent="0.2">
      <c r="H4126">
        <v>0</v>
      </c>
    </row>
    <row r="4127" spans="8:8" x14ac:dyDescent="0.2">
      <c r="H4127">
        <v>0</v>
      </c>
    </row>
    <row r="4128" spans="8:8" x14ac:dyDescent="0.2">
      <c r="H4128">
        <v>0</v>
      </c>
    </row>
    <row r="4129" spans="8:8" x14ac:dyDescent="0.2">
      <c r="H4129">
        <v>0</v>
      </c>
    </row>
    <row r="4130" spans="8:8" x14ac:dyDescent="0.2">
      <c r="H4130">
        <v>0</v>
      </c>
    </row>
    <row r="4131" spans="8:8" x14ac:dyDescent="0.2">
      <c r="H4131">
        <v>0</v>
      </c>
    </row>
    <row r="4132" spans="8:8" x14ac:dyDescent="0.2">
      <c r="H4132">
        <v>0</v>
      </c>
    </row>
    <row r="4133" spans="8:8" x14ac:dyDescent="0.2">
      <c r="H4133">
        <v>0</v>
      </c>
    </row>
    <row r="4134" spans="8:8" x14ac:dyDescent="0.2">
      <c r="H4134">
        <v>0</v>
      </c>
    </row>
    <row r="4135" spans="8:8" x14ac:dyDescent="0.2">
      <c r="H4135">
        <v>0</v>
      </c>
    </row>
    <row r="4136" spans="8:8" x14ac:dyDescent="0.2">
      <c r="H4136">
        <v>0</v>
      </c>
    </row>
    <row r="4137" spans="8:8" x14ac:dyDescent="0.2">
      <c r="H4137">
        <v>0</v>
      </c>
    </row>
    <row r="4138" spans="8:8" x14ac:dyDescent="0.2">
      <c r="H4138">
        <v>0</v>
      </c>
    </row>
    <row r="4139" spans="8:8" x14ac:dyDescent="0.2">
      <c r="H4139">
        <v>0</v>
      </c>
    </row>
    <row r="4140" spans="8:8" x14ac:dyDescent="0.2">
      <c r="H4140">
        <v>0</v>
      </c>
    </row>
    <row r="4141" spans="8:8" x14ac:dyDescent="0.2">
      <c r="H4141">
        <v>0</v>
      </c>
    </row>
    <row r="4142" spans="8:8" x14ac:dyDescent="0.2">
      <c r="H4142">
        <v>0</v>
      </c>
    </row>
    <row r="4143" spans="8:8" x14ac:dyDescent="0.2">
      <c r="H4143">
        <v>0</v>
      </c>
    </row>
    <row r="4144" spans="8:8" x14ac:dyDescent="0.2">
      <c r="H4144">
        <v>0</v>
      </c>
    </row>
    <row r="4145" spans="8:8" x14ac:dyDescent="0.2">
      <c r="H4145">
        <v>0</v>
      </c>
    </row>
    <row r="4146" spans="8:8" x14ac:dyDescent="0.2">
      <c r="H4146">
        <v>0</v>
      </c>
    </row>
    <row r="4147" spans="8:8" x14ac:dyDescent="0.2">
      <c r="H4147">
        <v>0</v>
      </c>
    </row>
    <row r="4148" spans="8:8" x14ac:dyDescent="0.2">
      <c r="H4148">
        <v>0</v>
      </c>
    </row>
    <row r="4149" spans="8:8" x14ac:dyDescent="0.2">
      <c r="H4149">
        <v>0</v>
      </c>
    </row>
    <row r="4150" spans="8:8" x14ac:dyDescent="0.2">
      <c r="H4150">
        <v>0</v>
      </c>
    </row>
    <row r="4151" spans="8:8" x14ac:dyDescent="0.2">
      <c r="H4151">
        <v>0</v>
      </c>
    </row>
    <row r="4152" spans="8:8" x14ac:dyDescent="0.2">
      <c r="H4152">
        <v>0</v>
      </c>
    </row>
    <row r="4153" spans="8:8" x14ac:dyDescent="0.2">
      <c r="H4153">
        <v>0</v>
      </c>
    </row>
    <row r="4154" spans="8:8" x14ac:dyDescent="0.2">
      <c r="H4154">
        <v>0</v>
      </c>
    </row>
    <row r="4155" spans="8:8" x14ac:dyDescent="0.2">
      <c r="H4155">
        <v>0</v>
      </c>
    </row>
    <row r="4156" spans="8:8" x14ac:dyDescent="0.2">
      <c r="H4156">
        <v>0</v>
      </c>
    </row>
    <row r="4157" spans="8:8" x14ac:dyDescent="0.2">
      <c r="H4157">
        <v>0</v>
      </c>
    </row>
    <row r="4158" spans="8:8" x14ac:dyDescent="0.2">
      <c r="H4158">
        <v>0</v>
      </c>
    </row>
    <row r="4159" spans="8:8" x14ac:dyDescent="0.2">
      <c r="H4159">
        <v>0</v>
      </c>
    </row>
    <row r="4160" spans="8:8" x14ac:dyDescent="0.2">
      <c r="H4160">
        <v>0</v>
      </c>
    </row>
    <row r="4161" spans="8:8" x14ac:dyDescent="0.2">
      <c r="H4161">
        <v>0</v>
      </c>
    </row>
    <row r="4162" spans="8:8" x14ac:dyDescent="0.2">
      <c r="H4162">
        <v>0</v>
      </c>
    </row>
    <row r="4163" spans="8:8" x14ac:dyDescent="0.2">
      <c r="H4163">
        <v>0</v>
      </c>
    </row>
    <row r="4164" spans="8:8" x14ac:dyDescent="0.2">
      <c r="H4164">
        <v>0</v>
      </c>
    </row>
    <row r="4165" spans="8:8" x14ac:dyDescent="0.2">
      <c r="H4165">
        <v>0</v>
      </c>
    </row>
    <row r="4166" spans="8:8" x14ac:dyDescent="0.2">
      <c r="H4166">
        <v>0</v>
      </c>
    </row>
    <row r="4167" spans="8:8" x14ac:dyDescent="0.2">
      <c r="H4167">
        <v>0</v>
      </c>
    </row>
    <row r="4168" spans="8:8" x14ac:dyDescent="0.2">
      <c r="H4168">
        <v>0</v>
      </c>
    </row>
    <row r="4169" spans="8:8" x14ac:dyDescent="0.2">
      <c r="H4169">
        <v>0</v>
      </c>
    </row>
    <row r="4170" spans="8:8" x14ac:dyDescent="0.2">
      <c r="H4170">
        <v>0</v>
      </c>
    </row>
    <row r="4171" spans="8:8" x14ac:dyDescent="0.2">
      <c r="H4171">
        <v>0</v>
      </c>
    </row>
    <row r="4172" spans="8:8" x14ac:dyDescent="0.2">
      <c r="H4172">
        <v>0</v>
      </c>
    </row>
    <row r="4173" spans="8:8" x14ac:dyDescent="0.2">
      <c r="H4173">
        <v>0</v>
      </c>
    </row>
    <row r="4174" spans="8:8" x14ac:dyDescent="0.2">
      <c r="H4174">
        <v>0</v>
      </c>
    </row>
    <row r="4175" spans="8:8" x14ac:dyDescent="0.2">
      <c r="H4175">
        <v>0</v>
      </c>
    </row>
    <row r="4176" spans="8:8" x14ac:dyDescent="0.2">
      <c r="H4176">
        <v>0</v>
      </c>
    </row>
    <row r="4177" spans="8:8" x14ac:dyDescent="0.2">
      <c r="H4177">
        <v>0</v>
      </c>
    </row>
    <row r="4178" spans="8:8" x14ac:dyDescent="0.2">
      <c r="H4178">
        <v>0</v>
      </c>
    </row>
    <row r="4179" spans="8:8" x14ac:dyDescent="0.2">
      <c r="H4179">
        <v>0</v>
      </c>
    </row>
    <row r="4180" spans="8:8" x14ac:dyDescent="0.2">
      <c r="H4180">
        <v>0</v>
      </c>
    </row>
    <row r="4181" spans="8:8" x14ac:dyDescent="0.2">
      <c r="H4181">
        <v>0</v>
      </c>
    </row>
    <row r="4182" spans="8:8" x14ac:dyDescent="0.2">
      <c r="H4182">
        <v>0</v>
      </c>
    </row>
    <row r="4183" spans="8:8" x14ac:dyDescent="0.2">
      <c r="H4183">
        <v>0</v>
      </c>
    </row>
    <row r="4184" spans="8:8" x14ac:dyDescent="0.2">
      <c r="H4184">
        <v>0</v>
      </c>
    </row>
    <row r="4185" spans="8:8" x14ac:dyDescent="0.2">
      <c r="H4185">
        <v>0</v>
      </c>
    </row>
    <row r="4186" spans="8:8" x14ac:dyDescent="0.2">
      <c r="H4186">
        <v>0</v>
      </c>
    </row>
    <row r="4187" spans="8:8" x14ac:dyDescent="0.2">
      <c r="H4187">
        <v>0</v>
      </c>
    </row>
    <row r="4188" spans="8:8" x14ac:dyDescent="0.2">
      <c r="H4188">
        <v>0</v>
      </c>
    </row>
    <row r="4189" spans="8:8" x14ac:dyDescent="0.2">
      <c r="H4189">
        <v>0</v>
      </c>
    </row>
    <row r="4190" spans="8:8" x14ac:dyDescent="0.2">
      <c r="H4190">
        <v>0</v>
      </c>
    </row>
    <row r="4191" spans="8:8" x14ac:dyDescent="0.2">
      <c r="H4191">
        <v>0</v>
      </c>
    </row>
    <row r="4192" spans="8:8" x14ac:dyDescent="0.2">
      <c r="H4192">
        <v>0</v>
      </c>
    </row>
    <row r="4193" spans="8:8" x14ac:dyDescent="0.2">
      <c r="H4193">
        <v>0</v>
      </c>
    </row>
    <row r="4194" spans="8:8" x14ac:dyDescent="0.2">
      <c r="H4194">
        <v>0</v>
      </c>
    </row>
    <row r="4195" spans="8:8" x14ac:dyDescent="0.2">
      <c r="H4195">
        <v>0</v>
      </c>
    </row>
    <row r="4196" spans="8:8" x14ac:dyDescent="0.2">
      <c r="H4196">
        <v>0</v>
      </c>
    </row>
    <row r="4197" spans="8:8" x14ac:dyDescent="0.2">
      <c r="H4197">
        <v>0</v>
      </c>
    </row>
    <row r="4198" spans="8:8" x14ac:dyDescent="0.2">
      <c r="H4198">
        <v>0</v>
      </c>
    </row>
    <row r="4199" spans="8:8" x14ac:dyDescent="0.2">
      <c r="H4199">
        <v>0</v>
      </c>
    </row>
    <row r="4200" spans="8:8" x14ac:dyDescent="0.2">
      <c r="H4200">
        <v>0</v>
      </c>
    </row>
    <row r="4201" spans="8:8" x14ac:dyDescent="0.2">
      <c r="H4201">
        <v>0</v>
      </c>
    </row>
    <row r="4202" spans="8:8" x14ac:dyDescent="0.2">
      <c r="H4202">
        <v>0</v>
      </c>
    </row>
    <row r="4203" spans="8:8" x14ac:dyDescent="0.2">
      <c r="H4203">
        <v>0</v>
      </c>
    </row>
    <row r="4204" spans="8:8" x14ac:dyDescent="0.2">
      <c r="H4204">
        <v>0</v>
      </c>
    </row>
    <row r="4205" spans="8:8" x14ac:dyDescent="0.2">
      <c r="H4205">
        <v>0</v>
      </c>
    </row>
    <row r="4206" spans="8:8" x14ac:dyDescent="0.2">
      <c r="H4206">
        <v>0</v>
      </c>
    </row>
    <row r="4207" spans="8:8" x14ac:dyDescent="0.2">
      <c r="H4207">
        <v>0</v>
      </c>
    </row>
    <row r="4208" spans="8:8" x14ac:dyDescent="0.2">
      <c r="H4208">
        <v>0</v>
      </c>
    </row>
    <row r="4209" spans="8:8" x14ac:dyDescent="0.2">
      <c r="H4209">
        <v>0</v>
      </c>
    </row>
    <row r="4210" spans="8:8" x14ac:dyDescent="0.2">
      <c r="H4210">
        <v>0</v>
      </c>
    </row>
    <row r="4211" spans="8:8" x14ac:dyDescent="0.2">
      <c r="H4211">
        <v>0</v>
      </c>
    </row>
    <row r="4212" spans="8:8" x14ac:dyDescent="0.2">
      <c r="H4212">
        <v>0</v>
      </c>
    </row>
    <row r="4213" spans="8:8" x14ac:dyDescent="0.2">
      <c r="H4213">
        <v>0</v>
      </c>
    </row>
    <row r="4214" spans="8:8" x14ac:dyDescent="0.2">
      <c r="H4214">
        <v>0</v>
      </c>
    </row>
    <row r="4215" spans="8:8" x14ac:dyDescent="0.2">
      <c r="H4215">
        <v>0</v>
      </c>
    </row>
    <row r="4216" spans="8:8" x14ac:dyDescent="0.2">
      <c r="H4216">
        <v>0</v>
      </c>
    </row>
    <row r="4217" spans="8:8" x14ac:dyDescent="0.2">
      <c r="H4217">
        <v>0</v>
      </c>
    </row>
    <row r="4218" spans="8:8" x14ac:dyDescent="0.2">
      <c r="H4218">
        <v>0</v>
      </c>
    </row>
    <row r="4219" spans="8:8" x14ac:dyDescent="0.2">
      <c r="H4219">
        <v>0</v>
      </c>
    </row>
    <row r="4220" spans="8:8" x14ac:dyDescent="0.2">
      <c r="H4220">
        <v>0</v>
      </c>
    </row>
    <row r="4221" spans="8:8" x14ac:dyDescent="0.2">
      <c r="H4221">
        <v>0</v>
      </c>
    </row>
    <row r="4222" spans="8:8" x14ac:dyDescent="0.2">
      <c r="H4222">
        <v>0</v>
      </c>
    </row>
    <row r="4223" spans="8:8" x14ac:dyDescent="0.2">
      <c r="H4223">
        <v>0</v>
      </c>
    </row>
    <row r="4224" spans="8:8" x14ac:dyDescent="0.2">
      <c r="H4224">
        <v>0</v>
      </c>
    </row>
    <row r="4225" spans="8:8" x14ac:dyDescent="0.2">
      <c r="H4225">
        <v>0</v>
      </c>
    </row>
    <row r="4226" spans="8:8" x14ac:dyDescent="0.2">
      <c r="H4226">
        <v>0</v>
      </c>
    </row>
    <row r="4227" spans="8:8" x14ac:dyDescent="0.2">
      <c r="H4227">
        <v>0</v>
      </c>
    </row>
    <row r="4228" spans="8:8" x14ac:dyDescent="0.2">
      <c r="H4228">
        <v>0</v>
      </c>
    </row>
    <row r="4229" spans="8:8" x14ac:dyDescent="0.2">
      <c r="H4229">
        <v>0</v>
      </c>
    </row>
    <row r="4230" spans="8:8" x14ac:dyDescent="0.2">
      <c r="H4230">
        <v>0</v>
      </c>
    </row>
    <row r="4231" spans="8:8" x14ac:dyDescent="0.2">
      <c r="H4231">
        <v>0</v>
      </c>
    </row>
    <row r="4232" spans="8:8" x14ac:dyDescent="0.2">
      <c r="H4232">
        <v>0</v>
      </c>
    </row>
    <row r="4233" spans="8:8" x14ac:dyDescent="0.2">
      <c r="H4233">
        <v>0</v>
      </c>
    </row>
    <row r="4234" spans="8:8" x14ac:dyDescent="0.2">
      <c r="H4234">
        <v>0</v>
      </c>
    </row>
    <row r="4235" spans="8:8" x14ac:dyDescent="0.2">
      <c r="H4235">
        <v>0</v>
      </c>
    </row>
    <row r="4236" spans="8:8" x14ac:dyDescent="0.2">
      <c r="H4236">
        <v>0</v>
      </c>
    </row>
    <row r="4237" spans="8:8" x14ac:dyDescent="0.2">
      <c r="H4237">
        <v>0</v>
      </c>
    </row>
    <row r="4238" spans="8:8" x14ac:dyDescent="0.2">
      <c r="H4238">
        <v>0</v>
      </c>
    </row>
    <row r="4239" spans="8:8" x14ac:dyDescent="0.2">
      <c r="H4239">
        <v>0</v>
      </c>
    </row>
    <row r="4240" spans="8:8" x14ac:dyDescent="0.2">
      <c r="H4240">
        <v>0</v>
      </c>
    </row>
    <row r="4241" spans="8:8" x14ac:dyDescent="0.2">
      <c r="H4241">
        <v>0</v>
      </c>
    </row>
    <row r="4242" spans="8:8" x14ac:dyDescent="0.2">
      <c r="H4242">
        <v>0</v>
      </c>
    </row>
    <row r="4243" spans="8:8" x14ac:dyDescent="0.2">
      <c r="H4243">
        <v>0</v>
      </c>
    </row>
    <row r="4244" spans="8:8" x14ac:dyDescent="0.2">
      <c r="H4244">
        <v>0</v>
      </c>
    </row>
    <row r="4245" spans="8:8" x14ac:dyDescent="0.2">
      <c r="H4245">
        <v>0</v>
      </c>
    </row>
    <row r="4246" spans="8:8" x14ac:dyDescent="0.2">
      <c r="H4246">
        <v>0</v>
      </c>
    </row>
    <row r="4247" spans="8:8" x14ac:dyDescent="0.2">
      <c r="H4247">
        <v>0</v>
      </c>
    </row>
    <row r="4248" spans="8:8" x14ac:dyDescent="0.2">
      <c r="H4248">
        <v>0</v>
      </c>
    </row>
    <row r="4249" spans="8:8" x14ac:dyDescent="0.2">
      <c r="H4249">
        <v>0</v>
      </c>
    </row>
    <row r="4250" spans="8:8" x14ac:dyDescent="0.2">
      <c r="H4250">
        <v>0</v>
      </c>
    </row>
    <row r="4251" spans="8:8" x14ac:dyDescent="0.2">
      <c r="H4251">
        <v>0</v>
      </c>
    </row>
    <row r="4252" spans="8:8" x14ac:dyDescent="0.2">
      <c r="H4252">
        <v>0</v>
      </c>
    </row>
    <row r="4253" spans="8:8" x14ac:dyDescent="0.2">
      <c r="H4253">
        <v>0</v>
      </c>
    </row>
    <row r="4254" spans="8:8" x14ac:dyDescent="0.2">
      <c r="H4254">
        <v>0</v>
      </c>
    </row>
    <row r="4255" spans="8:8" x14ac:dyDescent="0.2">
      <c r="H4255">
        <v>0</v>
      </c>
    </row>
    <row r="4256" spans="8:8" x14ac:dyDescent="0.2">
      <c r="H4256">
        <v>0</v>
      </c>
    </row>
    <row r="4257" spans="8:8" x14ac:dyDescent="0.2">
      <c r="H4257">
        <v>0</v>
      </c>
    </row>
    <row r="4258" spans="8:8" x14ac:dyDescent="0.2">
      <c r="H4258">
        <v>0</v>
      </c>
    </row>
    <row r="4259" spans="8:8" x14ac:dyDescent="0.2">
      <c r="H4259">
        <v>0</v>
      </c>
    </row>
    <row r="4260" spans="8:8" x14ac:dyDescent="0.2">
      <c r="H4260">
        <v>0</v>
      </c>
    </row>
    <row r="4261" spans="8:8" x14ac:dyDescent="0.2">
      <c r="H4261">
        <v>0</v>
      </c>
    </row>
    <row r="4262" spans="8:8" x14ac:dyDescent="0.2">
      <c r="H4262">
        <v>0</v>
      </c>
    </row>
    <row r="4263" spans="8:8" x14ac:dyDescent="0.2">
      <c r="H4263">
        <v>0</v>
      </c>
    </row>
    <row r="4264" spans="8:8" x14ac:dyDescent="0.2">
      <c r="H4264">
        <v>0</v>
      </c>
    </row>
    <row r="4265" spans="8:8" x14ac:dyDescent="0.2">
      <c r="H4265">
        <v>0</v>
      </c>
    </row>
    <row r="4266" spans="8:8" x14ac:dyDescent="0.2">
      <c r="H4266">
        <v>0</v>
      </c>
    </row>
    <row r="4267" spans="8:8" x14ac:dyDescent="0.2">
      <c r="H4267">
        <v>0</v>
      </c>
    </row>
    <row r="4268" spans="8:8" x14ac:dyDescent="0.2">
      <c r="H4268">
        <v>0</v>
      </c>
    </row>
    <row r="4269" spans="8:8" x14ac:dyDescent="0.2">
      <c r="H4269">
        <v>0</v>
      </c>
    </row>
    <row r="4270" spans="8:8" x14ac:dyDescent="0.2">
      <c r="H4270">
        <v>0</v>
      </c>
    </row>
    <row r="4271" spans="8:8" x14ac:dyDescent="0.2">
      <c r="H4271">
        <v>0</v>
      </c>
    </row>
    <row r="4272" spans="8:8" x14ac:dyDescent="0.2">
      <c r="H4272">
        <v>0</v>
      </c>
    </row>
    <row r="4273" spans="8:8" x14ac:dyDescent="0.2">
      <c r="H4273">
        <v>0</v>
      </c>
    </row>
    <row r="4274" spans="8:8" x14ac:dyDescent="0.2">
      <c r="H4274">
        <v>0</v>
      </c>
    </row>
    <row r="4275" spans="8:8" x14ac:dyDescent="0.2">
      <c r="H4275">
        <v>0</v>
      </c>
    </row>
    <row r="4276" spans="8:8" x14ac:dyDescent="0.2">
      <c r="H4276">
        <v>0</v>
      </c>
    </row>
    <row r="4277" spans="8:8" x14ac:dyDescent="0.2">
      <c r="H4277">
        <v>0</v>
      </c>
    </row>
    <row r="4278" spans="8:8" x14ac:dyDescent="0.2">
      <c r="H4278">
        <v>0</v>
      </c>
    </row>
    <row r="4279" spans="8:8" x14ac:dyDescent="0.2">
      <c r="H4279">
        <v>0</v>
      </c>
    </row>
    <row r="4280" spans="8:8" x14ac:dyDescent="0.2">
      <c r="H4280">
        <v>0</v>
      </c>
    </row>
    <row r="4281" spans="8:8" x14ac:dyDescent="0.2">
      <c r="H4281">
        <v>0</v>
      </c>
    </row>
    <row r="4282" spans="8:8" x14ac:dyDescent="0.2">
      <c r="H4282">
        <v>0</v>
      </c>
    </row>
    <row r="4283" spans="8:8" x14ac:dyDescent="0.2">
      <c r="H4283">
        <v>0</v>
      </c>
    </row>
    <row r="4284" spans="8:8" x14ac:dyDescent="0.2">
      <c r="H4284">
        <v>0</v>
      </c>
    </row>
    <row r="4285" spans="8:8" x14ac:dyDescent="0.2">
      <c r="H4285">
        <v>0</v>
      </c>
    </row>
    <row r="4286" spans="8:8" x14ac:dyDescent="0.2">
      <c r="H4286">
        <v>0</v>
      </c>
    </row>
    <row r="4287" spans="8:8" x14ac:dyDescent="0.2">
      <c r="H4287">
        <v>0</v>
      </c>
    </row>
    <row r="4288" spans="8:8" x14ac:dyDescent="0.2">
      <c r="H4288">
        <v>0</v>
      </c>
    </row>
    <row r="4289" spans="8:8" x14ac:dyDescent="0.2">
      <c r="H4289">
        <v>0</v>
      </c>
    </row>
    <row r="4290" spans="8:8" x14ac:dyDescent="0.2">
      <c r="H4290">
        <v>0</v>
      </c>
    </row>
    <row r="4291" spans="8:8" x14ac:dyDescent="0.2">
      <c r="H4291">
        <v>0</v>
      </c>
    </row>
    <row r="4292" spans="8:8" x14ac:dyDescent="0.2">
      <c r="H4292">
        <v>0</v>
      </c>
    </row>
    <row r="4293" spans="8:8" x14ac:dyDescent="0.2">
      <c r="H4293">
        <v>0</v>
      </c>
    </row>
    <row r="4294" spans="8:8" x14ac:dyDescent="0.2">
      <c r="H4294">
        <v>0</v>
      </c>
    </row>
    <row r="4295" spans="8:8" x14ac:dyDescent="0.2">
      <c r="H4295">
        <v>0</v>
      </c>
    </row>
    <row r="4296" spans="8:8" x14ac:dyDescent="0.2">
      <c r="H4296">
        <v>0</v>
      </c>
    </row>
    <row r="4297" spans="8:8" x14ac:dyDescent="0.2">
      <c r="H4297">
        <v>0</v>
      </c>
    </row>
    <row r="4298" spans="8:8" x14ac:dyDescent="0.2">
      <c r="H4298">
        <v>0</v>
      </c>
    </row>
    <row r="4299" spans="8:8" x14ac:dyDescent="0.2">
      <c r="H4299">
        <v>0</v>
      </c>
    </row>
    <row r="4300" spans="8:8" x14ac:dyDescent="0.2">
      <c r="H4300">
        <v>0</v>
      </c>
    </row>
    <row r="4301" spans="8:8" x14ac:dyDescent="0.2">
      <c r="H4301">
        <v>0</v>
      </c>
    </row>
    <row r="4302" spans="8:8" x14ac:dyDescent="0.2">
      <c r="H4302">
        <v>0</v>
      </c>
    </row>
    <row r="4303" spans="8:8" x14ac:dyDescent="0.2">
      <c r="H4303">
        <v>0</v>
      </c>
    </row>
    <row r="4304" spans="8:8" x14ac:dyDescent="0.2">
      <c r="H4304">
        <v>0</v>
      </c>
    </row>
    <row r="4305" spans="8:8" x14ac:dyDescent="0.2">
      <c r="H4305">
        <v>0</v>
      </c>
    </row>
    <row r="4306" spans="8:8" x14ac:dyDescent="0.2">
      <c r="H4306">
        <v>0</v>
      </c>
    </row>
    <row r="4307" spans="8:8" x14ac:dyDescent="0.2">
      <c r="H4307">
        <v>0</v>
      </c>
    </row>
    <row r="4308" spans="8:8" x14ac:dyDescent="0.2">
      <c r="H4308">
        <v>0</v>
      </c>
    </row>
    <row r="4309" spans="8:8" x14ac:dyDescent="0.2">
      <c r="H4309">
        <v>0</v>
      </c>
    </row>
    <row r="4310" spans="8:8" x14ac:dyDescent="0.2">
      <c r="H4310">
        <v>0</v>
      </c>
    </row>
    <row r="4311" spans="8:8" x14ac:dyDescent="0.2">
      <c r="H4311">
        <v>0</v>
      </c>
    </row>
    <row r="4312" spans="8:8" x14ac:dyDescent="0.2">
      <c r="H4312">
        <v>0</v>
      </c>
    </row>
    <row r="4313" spans="8:8" x14ac:dyDescent="0.2">
      <c r="H4313">
        <v>0</v>
      </c>
    </row>
    <row r="4314" spans="8:8" x14ac:dyDescent="0.2">
      <c r="H4314">
        <v>0</v>
      </c>
    </row>
    <row r="4315" spans="8:8" x14ac:dyDescent="0.2">
      <c r="H4315">
        <v>0</v>
      </c>
    </row>
    <row r="4316" spans="8:8" x14ac:dyDescent="0.2">
      <c r="H4316">
        <v>0</v>
      </c>
    </row>
    <row r="4317" spans="8:8" x14ac:dyDescent="0.2">
      <c r="H4317">
        <v>0</v>
      </c>
    </row>
    <row r="4318" spans="8:8" x14ac:dyDescent="0.2">
      <c r="H4318">
        <v>0</v>
      </c>
    </row>
    <row r="4319" spans="8:8" x14ac:dyDescent="0.2">
      <c r="H4319">
        <v>0</v>
      </c>
    </row>
    <row r="4320" spans="8:8" x14ac:dyDescent="0.2">
      <c r="H4320">
        <v>0</v>
      </c>
    </row>
    <row r="4321" spans="8:8" x14ac:dyDescent="0.2">
      <c r="H4321">
        <v>0</v>
      </c>
    </row>
    <row r="4322" spans="8:8" x14ac:dyDescent="0.2">
      <c r="H4322">
        <v>0</v>
      </c>
    </row>
    <row r="4323" spans="8:8" x14ac:dyDescent="0.2">
      <c r="H4323">
        <v>0</v>
      </c>
    </row>
    <row r="4324" spans="8:8" x14ac:dyDescent="0.2">
      <c r="H4324">
        <v>0</v>
      </c>
    </row>
    <row r="4325" spans="8:8" x14ac:dyDescent="0.2">
      <c r="H4325">
        <v>0</v>
      </c>
    </row>
    <row r="4326" spans="8:8" x14ac:dyDescent="0.2">
      <c r="H4326">
        <v>0</v>
      </c>
    </row>
    <row r="4327" spans="8:8" x14ac:dyDescent="0.2">
      <c r="H4327">
        <v>0</v>
      </c>
    </row>
    <row r="4328" spans="8:8" x14ac:dyDescent="0.2">
      <c r="H4328">
        <v>0</v>
      </c>
    </row>
    <row r="4329" spans="8:8" x14ac:dyDescent="0.2">
      <c r="H4329">
        <v>0</v>
      </c>
    </row>
    <row r="4330" spans="8:8" x14ac:dyDescent="0.2">
      <c r="H4330">
        <v>0</v>
      </c>
    </row>
    <row r="4331" spans="8:8" x14ac:dyDescent="0.2">
      <c r="H4331">
        <v>0</v>
      </c>
    </row>
    <row r="4332" spans="8:8" x14ac:dyDescent="0.2">
      <c r="H4332">
        <v>0</v>
      </c>
    </row>
    <row r="4333" spans="8:8" x14ac:dyDescent="0.2">
      <c r="H4333">
        <v>0</v>
      </c>
    </row>
    <row r="4334" spans="8:8" x14ac:dyDescent="0.2">
      <c r="H4334">
        <v>0</v>
      </c>
    </row>
    <row r="4335" spans="8:8" x14ac:dyDescent="0.2">
      <c r="H4335">
        <v>0</v>
      </c>
    </row>
    <row r="4336" spans="8:8" x14ac:dyDescent="0.2">
      <c r="H4336">
        <v>0</v>
      </c>
    </row>
    <row r="4337" spans="8:8" x14ac:dyDescent="0.2">
      <c r="H4337">
        <v>0</v>
      </c>
    </row>
    <row r="4338" spans="8:8" x14ac:dyDescent="0.2">
      <c r="H4338">
        <v>0</v>
      </c>
    </row>
    <row r="4339" spans="8:8" x14ac:dyDescent="0.2">
      <c r="H4339">
        <v>0</v>
      </c>
    </row>
    <row r="4340" spans="8:8" x14ac:dyDescent="0.2">
      <c r="H4340">
        <v>0</v>
      </c>
    </row>
    <row r="4341" spans="8:8" x14ac:dyDescent="0.2">
      <c r="H4341">
        <v>0</v>
      </c>
    </row>
    <row r="4342" spans="8:8" x14ac:dyDescent="0.2">
      <c r="H4342">
        <v>0</v>
      </c>
    </row>
    <row r="4343" spans="8:8" x14ac:dyDescent="0.2">
      <c r="H4343">
        <v>0</v>
      </c>
    </row>
    <row r="4344" spans="8:8" x14ac:dyDescent="0.2">
      <c r="H4344">
        <v>0</v>
      </c>
    </row>
    <row r="4345" spans="8:8" x14ac:dyDescent="0.2">
      <c r="H4345">
        <v>0</v>
      </c>
    </row>
    <row r="4346" spans="8:8" x14ac:dyDescent="0.2">
      <c r="H4346">
        <v>0</v>
      </c>
    </row>
    <row r="4347" spans="8:8" x14ac:dyDescent="0.2">
      <c r="H4347">
        <v>0</v>
      </c>
    </row>
    <row r="4348" spans="8:8" x14ac:dyDescent="0.2">
      <c r="H4348">
        <v>0</v>
      </c>
    </row>
    <row r="4349" spans="8:8" x14ac:dyDescent="0.2">
      <c r="H4349">
        <v>0</v>
      </c>
    </row>
    <row r="4350" spans="8:8" x14ac:dyDescent="0.2">
      <c r="H4350">
        <v>0</v>
      </c>
    </row>
    <row r="4351" spans="8:8" x14ac:dyDescent="0.2">
      <c r="H4351">
        <v>0</v>
      </c>
    </row>
    <row r="4352" spans="8:8" x14ac:dyDescent="0.2">
      <c r="H4352">
        <v>0</v>
      </c>
    </row>
    <row r="4353" spans="8:8" x14ac:dyDescent="0.2">
      <c r="H4353">
        <v>0</v>
      </c>
    </row>
    <row r="4354" spans="8:8" x14ac:dyDescent="0.2">
      <c r="H4354">
        <v>0</v>
      </c>
    </row>
    <row r="4355" spans="8:8" x14ac:dyDescent="0.2">
      <c r="H4355">
        <v>0</v>
      </c>
    </row>
    <row r="4356" spans="8:8" x14ac:dyDescent="0.2">
      <c r="H4356">
        <v>0</v>
      </c>
    </row>
    <row r="4357" spans="8:8" x14ac:dyDescent="0.2">
      <c r="H4357">
        <v>0</v>
      </c>
    </row>
    <row r="4358" spans="8:8" x14ac:dyDescent="0.2">
      <c r="H4358">
        <v>0</v>
      </c>
    </row>
    <row r="4359" spans="8:8" x14ac:dyDescent="0.2">
      <c r="H4359">
        <v>0</v>
      </c>
    </row>
    <row r="4360" spans="8:8" x14ac:dyDescent="0.2">
      <c r="H4360">
        <v>0</v>
      </c>
    </row>
    <row r="4361" spans="8:8" x14ac:dyDescent="0.2">
      <c r="H4361">
        <v>0</v>
      </c>
    </row>
    <row r="4362" spans="8:8" x14ac:dyDescent="0.2">
      <c r="H4362">
        <v>0</v>
      </c>
    </row>
    <row r="4363" spans="8:8" x14ac:dyDescent="0.2">
      <c r="H4363">
        <v>0</v>
      </c>
    </row>
    <row r="4364" spans="8:8" x14ac:dyDescent="0.2">
      <c r="H4364">
        <v>0</v>
      </c>
    </row>
    <row r="4365" spans="8:8" x14ac:dyDescent="0.2">
      <c r="H4365">
        <v>0</v>
      </c>
    </row>
    <row r="4366" spans="8:8" x14ac:dyDescent="0.2">
      <c r="H4366">
        <v>0</v>
      </c>
    </row>
    <row r="4367" spans="8:8" x14ac:dyDescent="0.2">
      <c r="H4367">
        <v>0</v>
      </c>
    </row>
    <row r="4368" spans="8:8" x14ac:dyDescent="0.2">
      <c r="H4368">
        <v>0</v>
      </c>
    </row>
    <row r="4369" spans="8:8" x14ac:dyDescent="0.2">
      <c r="H4369">
        <v>0</v>
      </c>
    </row>
    <row r="4370" spans="8:8" x14ac:dyDescent="0.2">
      <c r="H4370">
        <v>0</v>
      </c>
    </row>
    <row r="4371" spans="8:8" x14ac:dyDescent="0.2">
      <c r="H4371">
        <v>0</v>
      </c>
    </row>
    <row r="4372" spans="8:8" x14ac:dyDescent="0.2">
      <c r="H4372">
        <v>0</v>
      </c>
    </row>
    <row r="4373" spans="8:8" x14ac:dyDescent="0.2">
      <c r="H4373">
        <v>0</v>
      </c>
    </row>
    <row r="4374" spans="8:8" x14ac:dyDescent="0.2">
      <c r="H4374">
        <v>0</v>
      </c>
    </row>
    <row r="4375" spans="8:8" x14ac:dyDescent="0.2">
      <c r="H4375">
        <v>0</v>
      </c>
    </row>
    <row r="4376" spans="8:8" x14ac:dyDescent="0.2">
      <c r="H4376">
        <v>0</v>
      </c>
    </row>
    <row r="4377" spans="8:8" x14ac:dyDescent="0.2">
      <c r="H4377">
        <v>0</v>
      </c>
    </row>
    <row r="4378" spans="8:8" x14ac:dyDescent="0.2">
      <c r="H4378">
        <v>0</v>
      </c>
    </row>
    <row r="4379" spans="8:8" x14ac:dyDescent="0.2">
      <c r="H4379">
        <v>0</v>
      </c>
    </row>
    <row r="4380" spans="8:8" x14ac:dyDescent="0.2">
      <c r="H4380">
        <v>0</v>
      </c>
    </row>
    <row r="4381" spans="8:8" x14ac:dyDescent="0.2">
      <c r="H4381">
        <v>0</v>
      </c>
    </row>
    <row r="4382" spans="8:8" x14ac:dyDescent="0.2">
      <c r="H4382">
        <v>0</v>
      </c>
    </row>
    <row r="4383" spans="8:8" x14ac:dyDescent="0.2">
      <c r="H4383">
        <v>0</v>
      </c>
    </row>
    <row r="4384" spans="8:8" x14ac:dyDescent="0.2">
      <c r="H4384">
        <v>0</v>
      </c>
    </row>
    <row r="4385" spans="8:8" x14ac:dyDescent="0.2">
      <c r="H4385">
        <v>0</v>
      </c>
    </row>
    <row r="4386" spans="8:8" x14ac:dyDescent="0.2">
      <c r="H4386">
        <v>0</v>
      </c>
    </row>
    <row r="4387" spans="8:8" x14ac:dyDescent="0.2">
      <c r="H4387">
        <v>0</v>
      </c>
    </row>
    <row r="4388" spans="8:8" x14ac:dyDescent="0.2">
      <c r="H4388">
        <v>0</v>
      </c>
    </row>
    <row r="4389" spans="8:8" x14ac:dyDescent="0.2">
      <c r="H4389">
        <v>0</v>
      </c>
    </row>
    <row r="4390" spans="8:8" x14ac:dyDescent="0.2">
      <c r="H4390">
        <v>0</v>
      </c>
    </row>
    <row r="4391" spans="8:8" x14ac:dyDescent="0.2">
      <c r="H4391">
        <v>0</v>
      </c>
    </row>
    <row r="4392" spans="8:8" x14ac:dyDescent="0.2">
      <c r="H4392">
        <v>0</v>
      </c>
    </row>
    <row r="4393" spans="8:8" x14ac:dyDescent="0.2">
      <c r="H4393">
        <v>0</v>
      </c>
    </row>
    <row r="4394" spans="8:8" x14ac:dyDescent="0.2">
      <c r="H4394">
        <v>0</v>
      </c>
    </row>
    <row r="4395" spans="8:8" x14ac:dyDescent="0.2">
      <c r="H4395">
        <v>0</v>
      </c>
    </row>
    <row r="4396" spans="8:8" x14ac:dyDescent="0.2">
      <c r="H4396">
        <v>0</v>
      </c>
    </row>
    <row r="4397" spans="8:8" x14ac:dyDescent="0.2">
      <c r="H4397">
        <v>0</v>
      </c>
    </row>
    <row r="4398" spans="8:8" x14ac:dyDescent="0.2">
      <c r="H4398">
        <v>0</v>
      </c>
    </row>
    <row r="4399" spans="8:8" x14ac:dyDescent="0.2">
      <c r="H4399">
        <v>0</v>
      </c>
    </row>
    <row r="4400" spans="8:8" x14ac:dyDescent="0.2">
      <c r="H4400">
        <v>0</v>
      </c>
    </row>
    <row r="4401" spans="8:8" x14ac:dyDescent="0.2">
      <c r="H4401">
        <v>0</v>
      </c>
    </row>
    <row r="4402" spans="8:8" x14ac:dyDescent="0.2">
      <c r="H4402">
        <v>0</v>
      </c>
    </row>
    <row r="4403" spans="8:8" x14ac:dyDescent="0.2">
      <c r="H4403">
        <v>0</v>
      </c>
    </row>
    <row r="4404" spans="8:8" x14ac:dyDescent="0.2">
      <c r="H4404">
        <v>0</v>
      </c>
    </row>
    <row r="4405" spans="8:8" x14ac:dyDescent="0.2">
      <c r="H4405">
        <v>0</v>
      </c>
    </row>
    <row r="4406" spans="8:8" x14ac:dyDescent="0.2">
      <c r="H4406">
        <v>0</v>
      </c>
    </row>
    <row r="4407" spans="8:8" x14ac:dyDescent="0.2">
      <c r="H4407">
        <v>0</v>
      </c>
    </row>
    <row r="4408" spans="8:8" x14ac:dyDescent="0.2">
      <c r="H4408">
        <v>0</v>
      </c>
    </row>
    <row r="4409" spans="8:8" x14ac:dyDescent="0.2">
      <c r="H4409">
        <v>0</v>
      </c>
    </row>
    <row r="4410" spans="8:8" x14ac:dyDescent="0.2">
      <c r="H4410">
        <v>0</v>
      </c>
    </row>
    <row r="4411" spans="8:8" x14ac:dyDescent="0.2">
      <c r="H4411">
        <v>0</v>
      </c>
    </row>
    <row r="4412" spans="8:8" x14ac:dyDescent="0.2">
      <c r="H4412">
        <v>0</v>
      </c>
    </row>
    <row r="4413" spans="8:8" x14ac:dyDescent="0.2">
      <c r="H4413">
        <v>0</v>
      </c>
    </row>
    <row r="4414" spans="8:8" x14ac:dyDescent="0.2">
      <c r="H4414">
        <v>0</v>
      </c>
    </row>
    <row r="4415" spans="8:8" x14ac:dyDescent="0.2">
      <c r="H4415">
        <v>0</v>
      </c>
    </row>
    <row r="4416" spans="8:8" x14ac:dyDescent="0.2">
      <c r="H4416">
        <v>0</v>
      </c>
    </row>
    <row r="4417" spans="8:8" x14ac:dyDescent="0.2">
      <c r="H4417">
        <v>0</v>
      </c>
    </row>
    <row r="4418" spans="8:8" x14ac:dyDescent="0.2">
      <c r="H4418">
        <v>0</v>
      </c>
    </row>
    <row r="4419" spans="8:8" x14ac:dyDescent="0.2">
      <c r="H4419">
        <v>0</v>
      </c>
    </row>
    <row r="4420" spans="8:8" x14ac:dyDescent="0.2">
      <c r="H4420">
        <v>0</v>
      </c>
    </row>
    <row r="4421" spans="8:8" x14ac:dyDescent="0.2">
      <c r="H4421">
        <v>0</v>
      </c>
    </row>
    <row r="4422" spans="8:8" x14ac:dyDescent="0.2">
      <c r="H4422">
        <v>0</v>
      </c>
    </row>
    <row r="4423" spans="8:8" x14ac:dyDescent="0.2">
      <c r="H4423">
        <v>0</v>
      </c>
    </row>
    <row r="4424" spans="8:8" x14ac:dyDescent="0.2">
      <c r="H4424">
        <v>0</v>
      </c>
    </row>
    <row r="4425" spans="8:8" x14ac:dyDescent="0.2">
      <c r="H4425">
        <v>0</v>
      </c>
    </row>
    <row r="4426" spans="8:8" x14ac:dyDescent="0.2">
      <c r="H4426">
        <v>0</v>
      </c>
    </row>
    <row r="4427" spans="8:8" x14ac:dyDescent="0.2">
      <c r="H4427">
        <v>0</v>
      </c>
    </row>
    <row r="4428" spans="8:8" x14ac:dyDescent="0.2">
      <c r="H4428">
        <v>0</v>
      </c>
    </row>
    <row r="4429" spans="8:8" x14ac:dyDescent="0.2">
      <c r="H4429">
        <v>0</v>
      </c>
    </row>
    <row r="4430" spans="8:8" x14ac:dyDescent="0.2">
      <c r="H4430">
        <v>0</v>
      </c>
    </row>
    <row r="4431" spans="8:8" x14ac:dyDescent="0.2">
      <c r="H4431">
        <v>0</v>
      </c>
    </row>
    <row r="4432" spans="8:8" x14ac:dyDescent="0.2">
      <c r="H4432">
        <v>0</v>
      </c>
    </row>
    <row r="4433" spans="8:8" x14ac:dyDescent="0.2">
      <c r="H4433">
        <v>0</v>
      </c>
    </row>
    <row r="4434" spans="8:8" x14ac:dyDescent="0.2">
      <c r="H4434">
        <v>0</v>
      </c>
    </row>
    <row r="4435" spans="8:8" x14ac:dyDescent="0.2">
      <c r="H4435">
        <v>0</v>
      </c>
    </row>
    <row r="4436" spans="8:8" x14ac:dyDescent="0.2">
      <c r="H4436">
        <v>0</v>
      </c>
    </row>
    <row r="4437" spans="8:8" x14ac:dyDescent="0.2">
      <c r="H4437">
        <v>0</v>
      </c>
    </row>
    <row r="4438" spans="8:8" x14ac:dyDescent="0.2">
      <c r="H4438">
        <v>0</v>
      </c>
    </row>
    <row r="4439" spans="8:8" x14ac:dyDescent="0.2">
      <c r="H4439">
        <v>0</v>
      </c>
    </row>
    <row r="4440" spans="8:8" x14ac:dyDescent="0.2">
      <c r="H4440">
        <v>0</v>
      </c>
    </row>
    <row r="4441" spans="8:8" x14ac:dyDescent="0.2">
      <c r="H4441">
        <v>0</v>
      </c>
    </row>
    <row r="4442" spans="8:8" x14ac:dyDescent="0.2">
      <c r="H4442">
        <v>0</v>
      </c>
    </row>
    <row r="4443" spans="8:8" x14ac:dyDescent="0.2">
      <c r="H4443">
        <v>0</v>
      </c>
    </row>
    <row r="4444" spans="8:8" x14ac:dyDescent="0.2">
      <c r="H4444">
        <v>0</v>
      </c>
    </row>
    <row r="4445" spans="8:8" x14ac:dyDescent="0.2">
      <c r="H4445">
        <v>0</v>
      </c>
    </row>
    <row r="4446" spans="8:8" x14ac:dyDescent="0.2">
      <c r="H4446">
        <v>0</v>
      </c>
    </row>
    <row r="4447" spans="8:8" x14ac:dyDescent="0.2">
      <c r="H4447">
        <v>0</v>
      </c>
    </row>
    <row r="4448" spans="8:8" x14ac:dyDescent="0.2">
      <c r="H4448">
        <v>0</v>
      </c>
    </row>
    <row r="4449" spans="8:8" x14ac:dyDescent="0.2">
      <c r="H4449">
        <v>0</v>
      </c>
    </row>
    <row r="4450" spans="8:8" x14ac:dyDescent="0.2">
      <c r="H4450">
        <v>0</v>
      </c>
    </row>
    <row r="4451" spans="8:8" x14ac:dyDescent="0.2">
      <c r="H4451">
        <v>0</v>
      </c>
    </row>
    <row r="4452" spans="8:8" x14ac:dyDescent="0.2">
      <c r="H4452">
        <v>0</v>
      </c>
    </row>
    <row r="4453" spans="8:8" x14ac:dyDescent="0.2">
      <c r="H4453">
        <v>0</v>
      </c>
    </row>
    <row r="4454" spans="8:8" x14ac:dyDescent="0.2">
      <c r="H4454">
        <v>0</v>
      </c>
    </row>
    <row r="4455" spans="8:8" x14ac:dyDescent="0.2">
      <c r="H4455">
        <v>0</v>
      </c>
    </row>
    <row r="4456" spans="8:8" x14ac:dyDescent="0.2">
      <c r="H4456">
        <v>0</v>
      </c>
    </row>
    <row r="4457" spans="8:8" x14ac:dyDescent="0.2">
      <c r="H4457">
        <v>0</v>
      </c>
    </row>
    <row r="4458" spans="8:8" x14ac:dyDescent="0.2">
      <c r="H4458">
        <v>0</v>
      </c>
    </row>
    <row r="4459" spans="8:8" x14ac:dyDescent="0.2">
      <c r="H4459">
        <v>0</v>
      </c>
    </row>
    <row r="4460" spans="8:8" x14ac:dyDescent="0.2">
      <c r="H4460">
        <v>0</v>
      </c>
    </row>
    <row r="4461" spans="8:8" x14ac:dyDescent="0.2">
      <c r="H4461">
        <v>0</v>
      </c>
    </row>
    <row r="4462" spans="8:8" x14ac:dyDescent="0.2">
      <c r="H4462">
        <v>0</v>
      </c>
    </row>
    <row r="4463" spans="8:8" x14ac:dyDescent="0.2">
      <c r="H4463">
        <v>0</v>
      </c>
    </row>
    <row r="4464" spans="8:8" x14ac:dyDescent="0.2">
      <c r="H4464">
        <v>0</v>
      </c>
    </row>
    <row r="4465" spans="8:8" x14ac:dyDescent="0.2">
      <c r="H4465">
        <v>0</v>
      </c>
    </row>
    <row r="4466" spans="8:8" x14ac:dyDescent="0.2">
      <c r="H4466">
        <v>0</v>
      </c>
    </row>
    <row r="4467" spans="8:8" x14ac:dyDescent="0.2">
      <c r="H4467">
        <v>0</v>
      </c>
    </row>
    <row r="4468" spans="8:8" x14ac:dyDescent="0.2">
      <c r="H4468">
        <v>0</v>
      </c>
    </row>
    <row r="4469" spans="8:8" x14ac:dyDescent="0.2">
      <c r="H4469">
        <v>0</v>
      </c>
    </row>
    <row r="4470" spans="8:8" x14ac:dyDescent="0.2">
      <c r="H4470">
        <v>0</v>
      </c>
    </row>
    <row r="4471" spans="8:8" x14ac:dyDescent="0.2">
      <c r="H4471">
        <v>0</v>
      </c>
    </row>
    <row r="4472" spans="8:8" x14ac:dyDescent="0.2">
      <c r="H4472">
        <v>0</v>
      </c>
    </row>
    <row r="4473" spans="8:8" x14ac:dyDescent="0.2">
      <c r="H4473">
        <v>0</v>
      </c>
    </row>
    <row r="4474" spans="8:8" x14ac:dyDescent="0.2">
      <c r="H4474">
        <v>0</v>
      </c>
    </row>
    <row r="4475" spans="8:8" x14ac:dyDescent="0.2">
      <c r="H4475">
        <v>0</v>
      </c>
    </row>
    <row r="4476" spans="8:8" x14ac:dyDescent="0.2">
      <c r="H4476">
        <v>0</v>
      </c>
    </row>
    <row r="4477" spans="8:8" x14ac:dyDescent="0.2">
      <c r="H4477">
        <v>0</v>
      </c>
    </row>
    <row r="4478" spans="8:8" x14ac:dyDescent="0.2">
      <c r="H4478">
        <v>0</v>
      </c>
    </row>
    <row r="4479" spans="8:8" x14ac:dyDescent="0.2">
      <c r="H4479">
        <v>0</v>
      </c>
    </row>
    <row r="4480" spans="8:8" x14ac:dyDescent="0.2">
      <c r="H4480">
        <v>0</v>
      </c>
    </row>
    <row r="4481" spans="8:8" x14ac:dyDescent="0.2">
      <c r="H4481">
        <v>0</v>
      </c>
    </row>
    <row r="4482" spans="8:8" x14ac:dyDescent="0.2">
      <c r="H4482">
        <v>0</v>
      </c>
    </row>
    <row r="4483" spans="8:8" x14ac:dyDescent="0.2">
      <c r="H4483">
        <v>0</v>
      </c>
    </row>
    <row r="4484" spans="8:8" x14ac:dyDescent="0.2">
      <c r="H4484">
        <v>0</v>
      </c>
    </row>
    <row r="4485" spans="8:8" x14ac:dyDescent="0.2">
      <c r="H4485">
        <v>0</v>
      </c>
    </row>
    <row r="4486" spans="8:8" x14ac:dyDescent="0.2">
      <c r="H4486">
        <v>0</v>
      </c>
    </row>
    <row r="4487" spans="8:8" x14ac:dyDescent="0.2">
      <c r="H4487">
        <v>0</v>
      </c>
    </row>
    <row r="4488" spans="8:8" x14ac:dyDescent="0.2">
      <c r="H4488">
        <v>0</v>
      </c>
    </row>
    <row r="4489" spans="8:8" x14ac:dyDescent="0.2">
      <c r="H4489">
        <v>0</v>
      </c>
    </row>
    <row r="4490" spans="8:8" x14ac:dyDescent="0.2">
      <c r="H4490">
        <v>0</v>
      </c>
    </row>
    <row r="4491" spans="8:8" x14ac:dyDescent="0.2">
      <c r="H4491">
        <v>0</v>
      </c>
    </row>
    <row r="4492" spans="8:8" x14ac:dyDescent="0.2">
      <c r="H4492">
        <v>0</v>
      </c>
    </row>
    <row r="4493" spans="8:8" x14ac:dyDescent="0.2">
      <c r="H4493">
        <v>0</v>
      </c>
    </row>
    <row r="4494" spans="8:8" x14ac:dyDescent="0.2">
      <c r="H4494">
        <v>0</v>
      </c>
    </row>
    <row r="4495" spans="8:8" x14ac:dyDescent="0.2">
      <c r="H4495">
        <v>0</v>
      </c>
    </row>
    <row r="4496" spans="8:8" x14ac:dyDescent="0.2">
      <c r="H4496">
        <v>0</v>
      </c>
    </row>
    <row r="4497" spans="8:8" x14ac:dyDescent="0.2">
      <c r="H4497">
        <v>0</v>
      </c>
    </row>
    <row r="4498" spans="8:8" x14ac:dyDescent="0.2">
      <c r="H4498">
        <v>0</v>
      </c>
    </row>
    <row r="4499" spans="8:8" x14ac:dyDescent="0.2">
      <c r="H4499">
        <v>0</v>
      </c>
    </row>
    <row r="4500" spans="8:8" x14ac:dyDescent="0.2">
      <c r="H4500">
        <v>0</v>
      </c>
    </row>
    <row r="4501" spans="8:8" x14ac:dyDescent="0.2">
      <c r="H4501">
        <v>0</v>
      </c>
    </row>
    <row r="4502" spans="8:8" x14ac:dyDescent="0.2">
      <c r="H4502">
        <v>0</v>
      </c>
    </row>
    <row r="4503" spans="8:8" x14ac:dyDescent="0.2">
      <c r="H4503">
        <v>0</v>
      </c>
    </row>
    <row r="4504" spans="8:8" x14ac:dyDescent="0.2">
      <c r="H4504">
        <v>0</v>
      </c>
    </row>
    <row r="4505" spans="8:8" x14ac:dyDescent="0.2">
      <c r="H4505">
        <v>0</v>
      </c>
    </row>
    <row r="4506" spans="8:8" x14ac:dyDescent="0.2">
      <c r="H4506">
        <v>0</v>
      </c>
    </row>
    <row r="4507" spans="8:8" x14ac:dyDescent="0.2">
      <c r="H4507">
        <v>0</v>
      </c>
    </row>
    <row r="4508" spans="8:8" x14ac:dyDescent="0.2">
      <c r="H4508">
        <v>0</v>
      </c>
    </row>
    <row r="4509" spans="8:8" x14ac:dyDescent="0.2">
      <c r="H4509">
        <v>0</v>
      </c>
    </row>
    <row r="4510" spans="8:8" x14ac:dyDescent="0.2">
      <c r="H4510">
        <v>0</v>
      </c>
    </row>
    <row r="4511" spans="8:8" x14ac:dyDescent="0.2">
      <c r="H4511">
        <v>0</v>
      </c>
    </row>
    <row r="4512" spans="8:8" x14ac:dyDescent="0.2">
      <c r="H4512">
        <v>0</v>
      </c>
    </row>
    <row r="4513" spans="8:8" x14ac:dyDescent="0.2">
      <c r="H4513">
        <v>0</v>
      </c>
    </row>
    <row r="4514" spans="8:8" x14ac:dyDescent="0.2">
      <c r="H4514">
        <v>0</v>
      </c>
    </row>
    <row r="4515" spans="8:8" x14ac:dyDescent="0.2">
      <c r="H4515">
        <v>0</v>
      </c>
    </row>
    <row r="4516" spans="8:8" x14ac:dyDescent="0.2">
      <c r="H4516">
        <v>0</v>
      </c>
    </row>
    <row r="4517" spans="8:8" x14ac:dyDescent="0.2">
      <c r="H4517">
        <v>0</v>
      </c>
    </row>
    <row r="4518" spans="8:8" x14ac:dyDescent="0.2">
      <c r="H4518">
        <v>0</v>
      </c>
    </row>
    <row r="4519" spans="8:8" x14ac:dyDescent="0.2">
      <c r="H4519">
        <v>0</v>
      </c>
    </row>
    <row r="4520" spans="8:8" x14ac:dyDescent="0.2">
      <c r="H4520">
        <v>0</v>
      </c>
    </row>
    <row r="4521" spans="8:8" x14ac:dyDescent="0.2">
      <c r="H4521">
        <v>0</v>
      </c>
    </row>
    <row r="4522" spans="8:8" x14ac:dyDescent="0.2">
      <c r="H4522">
        <v>0</v>
      </c>
    </row>
    <row r="4523" spans="8:8" x14ac:dyDescent="0.2">
      <c r="H4523">
        <v>0</v>
      </c>
    </row>
    <row r="4524" spans="8:8" x14ac:dyDescent="0.2">
      <c r="H4524">
        <v>0</v>
      </c>
    </row>
    <row r="4525" spans="8:8" x14ac:dyDescent="0.2">
      <c r="H4525">
        <v>0</v>
      </c>
    </row>
    <row r="4526" spans="8:8" x14ac:dyDescent="0.2">
      <c r="H4526">
        <v>0</v>
      </c>
    </row>
    <row r="4527" spans="8:8" x14ac:dyDescent="0.2">
      <c r="H4527">
        <v>0</v>
      </c>
    </row>
    <row r="4528" spans="8:8" x14ac:dyDescent="0.2">
      <c r="H4528">
        <v>0</v>
      </c>
    </row>
    <row r="4529" spans="8:8" x14ac:dyDescent="0.2">
      <c r="H4529">
        <v>0</v>
      </c>
    </row>
    <row r="4530" spans="8:8" x14ac:dyDescent="0.2">
      <c r="H4530">
        <v>0</v>
      </c>
    </row>
    <row r="4531" spans="8:8" x14ac:dyDescent="0.2">
      <c r="H4531">
        <v>0</v>
      </c>
    </row>
    <row r="4532" spans="8:8" x14ac:dyDescent="0.2">
      <c r="H4532">
        <v>0</v>
      </c>
    </row>
    <row r="4533" spans="8:8" x14ac:dyDescent="0.2">
      <c r="H4533">
        <v>0</v>
      </c>
    </row>
    <row r="4534" spans="8:8" x14ac:dyDescent="0.2">
      <c r="H4534">
        <v>0</v>
      </c>
    </row>
    <row r="4535" spans="8:8" x14ac:dyDescent="0.2">
      <c r="H4535">
        <v>0</v>
      </c>
    </row>
    <row r="4536" spans="8:8" x14ac:dyDescent="0.2">
      <c r="H4536">
        <v>0</v>
      </c>
    </row>
    <row r="4537" spans="8:8" x14ac:dyDescent="0.2">
      <c r="H4537">
        <v>0</v>
      </c>
    </row>
    <row r="4538" spans="8:8" x14ac:dyDescent="0.2">
      <c r="H4538">
        <v>0</v>
      </c>
    </row>
    <row r="4539" spans="8:8" x14ac:dyDescent="0.2">
      <c r="H4539">
        <v>0</v>
      </c>
    </row>
    <row r="4540" spans="8:8" x14ac:dyDescent="0.2">
      <c r="H4540">
        <v>0</v>
      </c>
    </row>
    <row r="4541" spans="8:8" x14ac:dyDescent="0.2">
      <c r="H4541">
        <v>0</v>
      </c>
    </row>
    <row r="4542" spans="8:8" x14ac:dyDescent="0.2">
      <c r="H4542">
        <v>0</v>
      </c>
    </row>
    <row r="4543" spans="8:8" x14ac:dyDescent="0.2">
      <c r="H4543">
        <v>0</v>
      </c>
    </row>
    <row r="4544" spans="8:8" x14ac:dyDescent="0.2">
      <c r="H4544">
        <v>0</v>
      </c>
    </row>
    <row r="4545" spans="8:8" x14ac:dyDescent="0.2">
      <c r="H4545">
        <v>0</v>
      </c>
    </row>
    <row r="4546" spans="8:8" x14ac:dyDescent="0.2">
      <c r="H4546">
        <v>0</v>
      </c>
    </row>
    <row r="4547" spans="8:8" x14ac:dyDescent="0.2">
      <c r="H4547">
        <v>0</v>
      </c>
    </row>
    <row r="4548" spans="8:8" x14ac:dyDescent="0.2">
      <c r="H4548">
        <v>0</v>
      </c>
    </row>
    <row r="4549" spans="8:8" x14ac:dyDescent="0.2">
      <c r="H4549">
        <v>0</v>
      </c>
    </row>
    <row r="4550" spans="8:8" x14ac:dyDescent="0.2">
      <c r="H4550">
        <v>0</v>
      </c>
    </row>
    <row r="4551" spans="8:8" x14ac:dyDescent="0.2">
      <c r="H4551">
        <v>0</v>
      </c>
    </row>
    <row r="4552" spans="8:8" x14ac:dyDescent="0.2">
      <c r="H4552">
        <v>0</v>
      </c>
    </row>
    <row r="4553" spans="8:8" x14ac:dyDescent="0.2">
      <c r="H4553">
        <v>0</v>
      </c>
    </row>
    <row r="4554" spans="8:8" x14ac:dyDescent="0.2">
      <c r="H4554">
        <v>0</v>
      </c>
    </row>
    <row r="4555" spans="8:8" x14ac:dyDescent="0.2">
      <c r="H4555">
        <v>0</v>
      </c>
    </row>
    <row r="4556" spans="8:8" x14ac:dyDescent="0.2">
      <c r="H4556">
        <v>0</v>
      </c>
    </row>
    <row r="4557" spans="8:8" x14ac:dyDescent="0.2">
      <c r="H4557">
        <v>0</v>
      </c>
    </row>
    <row r="4558" spans="8:8" x14ac:dyDescent="0.2">
      <c r="H4558">
        <v>0</v>
      </c>
    </row>
    <row r="4559" spans="8:8" x14ac:dyDescent="0.2">
      <c r="H4559">
        <v>0</v>
      </c>
    </row>
    <row r="4560" spans="8:8" x14ac:dyDescent="0.2">
      <c r="H4560">
        <v>0</v>
      </c>
    </row>
    <row r="4561" spans="8:8" x14ac:dyDescent="0.2">
      <c r="H4561">
        <v>0</v>
      </c>
    </row>
    <row r="4562" spans="8:8" x14ac:dyDescent="0.2">
      <c r="H4562">
        <v>0</v>
      </c>
    </row>
    <row r="4563" spans="8:8" x14ac:dyDescent="0.2">
      <c r="H4563">
        <v>0</v>
      </c>
    </row>
    <row r="4564" spans="8:8" x14ac:dyDescent="0.2">
      <c r="H4564">
        <v>0</v>
      </c>
    </row>
    <row r="4565" spans="8:8" x14ac:dyDescent="0.2">
      <c r="H4565">
        <v>0</v>
      </c>
    </row>
    <row r="4566" spans="8:8" x14ac:dyDescent="0.2">
      <c r="H4566">
        <v>0</v>
      </c>
    </row>
    <row r="4567" spans="8:8" x14ac:dyDescent="0.2">
      <c r="H4567">
        <v>0</v>
      </c>
    </row>
    <row r="4568" spans="8:8" x14ac:dyDescent="0.2">
      <c r="H4568">
        <v>0</v>
      </c>
    </row>
    <row r="4569" spans="8:8" x14ac:dyDescent="0.2">
      <c r="H4569">
        <v>0</v>
      </c>
    </row>
    <row r="4570" spans="8:8" x14ac:dyDescent="0.2">
      <c r="H4570">
        <v>0</v>
      </c>
    </row>
    <row r="4571" spans="8:8" x14ac:dyDescent="0.2">
      <c r="H4571">
        <v>0</v>
      </c>
    </row>
    <row r="4572" spans="8:8" x14ac:dyDescent="0.2">
      <c r="H4572">
        <v>0</v>
      </c>
    </row>
    <row r="4573" spans="8:8" x14ac:dyDescent="0.2">
      <c r="H4573">
        <v>0</v>
      </c>
    </row>
    <row r="4574" spans="8:8" x14ac:dyDescent="0.2">
      <c r="H4574">
        <v>0</v>
      </c>
    </row>
    <row r="4575" spans="8:8" x14ac:dyDescent="0.2">
      <c r="H4575">
        <v>0</v>
      </c>
    </row>
    <row r="4576" spans="8:8" x14ac:dyDescent="0.2">
      <c r="H4576">
        <v>0</v>
      </c>
    </row>
    <row r="4577" spans="8:8" x14ac:dyDescent="0.2">
      <c r="H4577">
        <v>0</v>
      </c>
    </row>
    <row r="4578" spans="8:8" x14ac:dyDescent="0.2">
      <c r="H4578">
        <v>0</v>
      </c>
    </row>
    <row r="4579" spans="8:8" x14ac:dyDescent="0.2">
      <c r="H4579">
        <v>0</v>
      </c>
    </row>
    <row r="4580" spans="8:8" x14ac:dyDescent="0.2">
      <c r="H4580">
        <v>0</v>
      </c>
    </row>
    <row r="4581" spans="8:8" x14ac:dyDescent="0.2">
      <c r="H4581">
        <v>0</v>
      </c>
    </row>
    <row r="4582" spans="8:8" x14ac:dyDescent="0.2">
      <c r="H4582">
        <v>0</v>
      </c>
    </row>
    <row r="4583" spans="8:8" x14ac:dyDescent="0.2">
      <c r="H4583">
        <v>0</v>
      </c>
    </row>
    <row r="4584" spans="8:8" x14ac:dyDescent="0.2">
      <c r="H4584">
        <v>0</v>
      </c>
    </row>
    <row r="4585" spans="8:8" x14ac:dyDescent="0.2">
      <c r="H4585">
        <v>0</v>
      </c>
    </row>
    <row r="4586" spans="8:8" x14ac:dyDescent="0.2">
      <c r="H4586">
        <v>0</v>
      </c>
    </row>
    <row r="4587" spans="8:8" x14ac:dyDescent="0.2">
      <c r="H4587">
        <v>0</v>
      </c>
    </row>
    <row r="4588" spans="8:8" x14ac:dyDescent="0.2">
      <c r="H4588">
        <v>0</v>
      </c>
    </row>
    <row r="4589" spans="8:8" x14ac:dyDescent="0.2">
      <c r="H4589">
        <v>0</v>
      </c>
    </row>
    <row r="4590" spans="8:8" x14ac:dyDescent="0.2">
      <c r="H4590">
        <v>0</v>
      </c>
    </row>
    <row r="4591" spans="8:8" x14ac:dyDescent="0.2">
      <c r="H4591">
        <v>0</v>
      </c>
    </row>
    <row r="4592" spans="8:8" x14ac:dyDescent="0.2">
      <c r="H4592">
        <v>0</v>
      </c>
    </row>
    <row r="4593" spans="8:8" x14ac:dyDescent="0.2">
      <c r="H4593">
        <v>0</v>
      </c>
    </row>
    <row r="4594" spans="8:8" x14ac:dyDescent="0.2">
      <c r="H4594">
        <v>0</v>
      </c>
    </row>
    <row r="4595" spans="8:8" x14ac:dyDescent="0.2">
      <c r="H4595">
        <v>0</v>
      </c>
    </row>
    <row r="4596" spans="8:8" x14ac:dyDescent="0.2">
      <c r="H4596">
        <v>0</v>
      </c>
    </row>
    <row r="4597" spans="8:8" x14ac:dyDescent="0.2">
      <c r="H4597">
        <v>0</v>
      </c>
    </row>
    <row r="4598" spans="8:8" x14ac:dyDescent="0.2">
      <c r="H4598">
        <v>0</v>
      </c>
    </row>
    <row r="4599" spans="8:8" x14ac:dyDescent="0.2">
      <c r="H4599">
        <v>0</v>
      </c>
    </row>
    <row r="4600" spans="8:8" x14ac:dyDescent="0.2">
      <c r="H4600">
        <v>0</v>
      </c>
    </row>
    <row r="4601" spans="8:8" x14ac:dyDescent="0.2">
      <c r="H4601">
        <v>0</v>
      </c>
    </row>
    <row r="4602" spans="8:8" x14ac:dyDescent="0.2">
      <c r="H4602">
        <v>0</v>
      </c>
    </row>
    <row r="4603" spans="8:8" x14ac:dyDescent="0.2">
      <c r="H4603">
        <v>0</v>
      </c>
    </row>
    <row r="4604" spans="8:8" x14ac:dyDescent="0.2">
      <c r="H4604">
        <v>0</v>
      </c>
    </row>
    <row r="4605" spans="8:8" x14ac:dyDescent="0.2">
      <c r="H4605">
        <v>0</v>
      </c>
    </row>
    <row r="4606" spans="8:8" x14ac:dyDescent="0.2">
      <c r="H4606">
        <v>0</v>
      </c>
    </row>
    <row r="4607" spans="8:8" x14ac:dyDescent="0.2">
      <c r="H4607">
        <v>0</v>
      </c>
    </row>
    <row r="4608" spans="8:8" x14ac:dyDescent="0.2">
      <c r="H4608">
        <v>0</v>
      </c>
    </row>
    <row r="4609" spans="8:8" x14ac:dyDescent="0.2">
      <c r="H4609">
        <v>0</v>
      </c>
    </row>
    <row r="4610" spans="8:8" x14ac:dyDescent="0.2">
      <c r="H4610">
        <v>0</v>
      </c>
    </row>
    <row r="4611" spans="8:8" x14ac:dyDescent="0.2">
      <c r="H4611">
        <v>0</v>
      </c>
    </row>
    <row r="4612" spans="8:8" x14ac:dyDescent="0.2">
      <c r="H4612">
        <v>0</v>
      </c>
    </row>
    <row r="4613" spans="8:8" x14ac:dyDescent="0.2">
      <c r="H4613">
        <v>0</v>
      </c>
    </row>
    <row r="4614" spans="8:8" x14ac:dyDescent="0.2">
      <c r="H4614">
        <v>0</v>
      </c>
    </row>
    <row r="4615" spans="8:8" x14ac:dyDescent="0.2">
      <c r="H4615">
        <v>0</v>
      </c>
    </row>
    <row r="4616" spans="8:8" x14ac:dyDescent="0.2">
      <c r="H4616">
        <v>0</v>
      </c>
    </row>
    <row r="4617" spans="8:8" x14ac:dyDescent="0.2">
      <c r="H4617">
        <v>0</v>
      </c>
    </row>
    <row r="4618" spans="8:8" x14ac:dyDescent="0.2">
      <c r="H4618">
        <v>0</v>
      </c>
    </row>
    <row r="4619" spans="8:8" x14ac:dyDescent="0.2">
      <c r="H4619">
        <v>0</v>
      </c>
    </row>
    <row r="4620" spans="8:8" x14ac:dyDescent="0.2">
      <c r="H4620">
        <v>0</v>
      </c>
    </row>
    <row r="4621" spans="8:8" x14ac:dyDescent="0.2">
      <c r="H4621">
        <v>0</v>
      </c>
    </row>
    <row r="4622" spans="8:8" x14ac:dyDescent="0.2">
      <c r="H4622">
        <v>0</v>
      </c>
    </row>
    <row r="4623" spans="8:8" x14ac:dyDescent="0.2">
      <c r="H4623">
        <v>0</v>
      </c>
    </row>
    <row r="4624" spans="8:8" x14ac:dyDescent="0.2">
      <c r="H4624">
        <v>0</v>
      </c>
    </row>
    <row r="4625" spans="8:8" x14ac:dyDescent="0.2">
      <c r="H4625">
        <v>0</v>
      </c>
    </row>
    <row r="4626" spans="8:8" x14ac:dyDescent="0.2">
      <c r="H4626">
        <v>0</v>
      </c>
    </row>
    <row r="4627" spans="8:8" x14ac:dyDescent="0.2">
      <c r="H4627">
        <v>0</v>
      </c>
    </row>
    <row r="4628" spans="8:8" x14ac:dyDescent="0.2">
      <c r="H4628">
        <v>0</v>
      </c>
    </row>
    <row r="4629" spans="8:8" x14ac:dyDescent="0.2">
      <c r="H4629">
        <v>0</v>
      </c>
    </row>
    <row r="4630" spans="8:8" x14ac:dyDescent="0.2">
      <c r="H4630">
        <v>0</v>
      </c>
    </row>
    <row r="4631" spans="8:8" x14ac:dyDescent="0.2">
      <c r="H4631">
        <v>0</v>
      </c>
    </row>
    <row r="4632" spans="8:8" x14ac:dyDescent="0.2">
      <c r="H4632">
        <v>0</v>
      </c>
    </row>
    <row r="4633" spans="8:8" x14ac:dyDescent="0.2">
      <c r="H4633">
        <v>0</v>
      </c>
    </row>
    <row r="4634" spans="8:8" x14ac:dyDescent="0.2">
      <c r="H4634">
        <v>0</v>
      </c>
    </row>
    <row r="4635" spans="8:8" x14ac:dyDescent="0.2">
      <c r="H4635">
        <v>0</v>
      </c>
    </row>
    <row r="4636" spans="8:8" x14ac:dyDescent="0.2">
      <c r="H4636">
        <v>0</v>
      </c>
    </row>
    <row r="4637" spans="8:8" x14ac:dyDescent="0.2">
      <c r="H4637">
        <v>0</v>
      </c>
    </row>
    <row r="4638" spans="8:8" x14ac:dyDescent="0.2">
      <c r="H4638">
        <v>0</v>
      </c>
    </row>
    <row r="4639" spans="8:8" x14ac:dyDescent="0.2">
      <c r="H4639">
        <v>0</v>
      </c>
    </row>
    <row r="4640" spans="8:8" x14ac:dyDescent="0.2">
      <c r="H4640">
        <v>0</v>
      </c>
    </row>
    <row r="4641" spans="8:8" x14ac:dyDescent="0.2">
      <c r="H4641">
        <v>0</v>
      </c>
    </row>
    <row r="4642" spans="8:8" x14ac:dyDescent="0.2">
      <c r="H4642">
        <v>0</v>
      </c>
    </row>
    <row r="4643" spans="8:8" x14ac:dyDescent="0.2">
      <c r="H4643">
        <v>0</v>
      </c>
    </row>
    <row r="4644" spans="8:8" x14ac:dyDescent="0.2">
      <c r="H4644">
        <v>0</v>
      </c>
    </row>
    <row r="4645" spans="8:8" x14ac:dyDescent="0.2">
      <c r="H4645">
        <v>0</v>
      </c>
    </row>
    <row r="4646" spans="8:8" x14ac:dyDescent="0.2">
      <c r="H4646">
        <v>0</v>
      </c>
    </row>
    <row r="4647" spans="8:8" x14ac:dyDescent="0.2">
      <c r="H4647">
        <v>0</v>
      </c>
    </row>
    <row r="4648" spans="8:8" x14ac:dyDescent="0.2">
      <c r="H4648">
        <v>0</v>
      </c>
    </row>
    <row r="4649" spans="8:8" x14ac:dyDescent="0.2">
      <c r="H4649">
        <v>0</v>
      </c>
    </row>
    <row r="4650" spans="8:8" x14ac:dyDescent="0.2">
      <c r="H4650">
        <v>0</v>
      </c>
    </row>
    <row r="4651" spans="8:8" x14ac:dyDescent="0.2">
      <c r="H4651">
        <v>0</v>
      </c>
    </row>
    <row r="4652" spans="8:8" x14ac:dyDescent="0.2">
      <c r="H4652">
        <v>0</v>
      </c>
    </row>
    <row r="4653" spans="8:8" x14ac:dyDescent="0.2">
      <c r="H4653">
        <v>0</v>
      </c>
    </row>
    <row r="4654" spans="8:8" x14ac:dyDescent="0.2">
      <c r="H4654">
        <v>0</v>
      </c>
    </row>
    <row r="4655" spans="8:8" x14ac:dyDescent="0.2">
      <c r="H4655">
        <v>0</v>
      </c>
    </row>
    <row r="4656" spans="8:8" x14ac:dyDescent="0.2">
      <c r="H4656">
        <v>0</v>
      </c>
    </row>
    <row r="4657" spans="8:8" x14ac:dyDescent="0.2">
      <c r="H4657">
        <v>0</v>
      </c>
    </row>
    <row r="4658" spans="8:8" x14ac:dyDescent="0.2">
      <c r="H4658">
        <v>0</v>
      </c>
    </row>
    <row r="4659" spans="8:8" x14ac:dyDescent="0.2">
      <c r="H4659">
        <v>0</v>
      </c>
    </row>
    <row r="4660" spans="8:8" x14ac:dyDescent="0.2">
      <c r="H4660">
        <v>0</v>
      </c>
    </row>
    <row r="4661" spans="8:8" x14ac:dyDescent="0.2">
      <c r="H4661">
        <v>0</v>
      </c>
    </row>
    <row r="4662" spans="8:8" x14ac:dyDescent="0.2">
      <c r="H4662">
        <v>0</v>
      </c>
    </row>
    <row r="4663" spans="8:8" x14ac:dyDescent="0.2">
      <c r="H4663">
        <v>0</v>
      </c>
    </row>
    <row r="4664" spans="8:8" x14ac:dyDescent="0.2">
      <c r="H4664">
        <v>0</v>
      </c>
    </row>
    <row r="4665" spans="8:8" x14ac:dyDescent="0.2">
      <c r="H4665">
        <v>0</v>
      </c>
    </row>
    <row r="4666" spans="8:8" x14ac:dyDescent="0.2">
      <c r="H4666">
        <v>0</v>
      </c>
    </row>
    <row r="4667" spans="8:8" x14ac:dyDescent="0.2">
      <c r="H4667">
        <v>0</v>
      </c>
    </row>
    <row r="4668" spans="8:8" x14ac:dyDescent="0.2">
      <c r="H4668">
        <v>0</v>
      </c>
    </row>
    <row r="4669" spans="8:8" x14ac:dyDescent="0.2">
      <c r="H4669">
        <v>0</v>
      </c>
    </row>
    <row r="4670" spans="8:8" x14ac:dyDescent="0.2">
      <c r="H4670">
        <v>0</v>
      </c>
    </row>
    <row r="4671" spans="8:8" x14ac:dyDescent="0.2">
      <c r="H4671">
        <v>0</v>
      </c>
    </row>
    <row r="4672" spans="8:8" x14ac:dyDescent="0.2">
      <c r="H4672">
        <v>0</v>
      </c>
    </row>
    <row r="4673" spans="8:8" x14ac:dyDescent="0.2">
      <c r="H4673">
        <v>0</v>
      </c>
    </row>
    <row r="4674" spans="8:8" x14ac:dyDescent="0.2">
      <c r="H4674">
        <v>0</v>
      </c>
    </row>
    <row r="4675" spans="8:8" x14ac:dyDescent="0.2">
      <c r="H4675">
        <v>0</v>
      </c>
    </row>
    <row r="4676" spans="8:8" x14ac:dyDescent="0.2">
      <c r="H4676">
        <v>0</v>
      </c>
    </row>
    <row r="4677" spans="8:8" x14ac:dyDescent="0.2">
      <c r="H4677">
        <v>0</v>
      </c>
    </row>
    <row r="4678" spans="8:8" x14ac:dyDescent="0.2">
      <c r="H4678">
        <v>0</v>
      </c>
    </row>
    <row r="4679" spans="8:8" x14ac:dyDescent="0.2">
      <c r="H4679">
        <v>0</v>
      </c>
    </row>
    <row r="4680" spans="8:8" x14ac:dyDescent="0.2">
      <c r="H4680">
        <v>0</v>
      </c>
    </row>
    <row r="4681" spans="8:8" x14ac:dyDescent="0.2">
      <c r="H4681">
        <v>0</v>
      </c>
    </row>
    <row r="4682" spans="8:8" x14ac:dyDescent="0.2">
      <c r="H4682">
        <v>0</v>
      </c>
    </row>
    <row r="4683" spans="8:8" x14ac:dyDescent="0.2">
      <c r="H4683">
        <v>0</v>
      </c>
    </row>
    <row r="4684" spans="8:8" x14ac:dyDescent="0.2">
      <c r="H4684">
        <v>0</v>
      </c>
    </row>
    <row r="4685" spans="8:8" x14ac:dyDescent="0.2">
      <c r="H4685">
        <v>0</v>
      </c>
    </row>
    <row r="4686" spans="8:8" x14ac:dyDescent="0.2">
      <c r="H4686">
        <v>0</v>
      </c>
    </row>
    <row r="4687" spans="8:8" x14ac:dyDescent="0.2">
      <c r="H4687">
        <v>0</v>
      </c>
    </row>
    <row r="4688" spans="8:8" x14ac:dyDescent="0.2">
      <c r="H4688">
        <v>0</v>
      </c>
    </row>
    <row r="4689" spans="8:8" x14ac:dyDescent="0.2">
      <c r="H4689">
        <v>0</v>
      </c>
    </row>
    <row r="4690" spans="8:8" x14ac:dyDescent="0.2">
      <c r="H4690">
        <v>0</v>
      </c>
    </row>
    <row r="4691" spans="8:8" x14ac:dyDescent="0.2">
      <c r="H4691">
        <v>0</v>
      </c>
    </row>
    <row r="4692" spans="8:8" x14ac:dyDescent="0.2">
      <c r="H4692">
        <v>0</v>
      </c>
    </row>
    <row r="4693" spans="8:8" x14ac:dyDescent="0.2">
      <c r="H4693">
        <v>0</v>
      </c>
    </row>
    <row r="4694" spans="8:8" x14ac:dyDescent="0.2">
      <c r="H4694">
        <v>0</v>
      </c>
    </row>
    <row r="4695" spans="8:8" x14ac:dyDescent="0.2">
      <c r="H4695">
        <v>0</v>
      </c>
    </row>
    <row r="4696" spans="8:8" x14ac:dyDescent="0.2">
      <c r="H4696">
        <v>0</v>
      </c>
    </row>
    <row r="4697" spans="8:8" x14ac:dyDescent="0.2">
      <c r="H4697">
        <v>0</v>
      </c>
    </row>
    <row r="4698" spans="8:8" x14ac:dyDescent="0.2">
      <c r="H4698">
        <v>0</v>
      </c>
    </row>
    <row r="4699" spans="8:8" x14ac:dyDescent="0.2">
      <c r="H4699">
        <v>0</v>
      </c>
    </row>
    <row r="4700" spans="8:8" x14ac:dyDescent="0.2">
      <c r="H4700">
        <v>0</v>
      </c>
    </row>
    <row r="4701" spans="8:8" x14ac:dyDescent="0.2">
      <c r="H4701">
        <v>0</v>
      </c>
    </row>
    <row r="4702" spans="8:8" x14ac:dyDescent="0.2">
      <c r="H4702">
        <v>0</v>
      </c>
    </row>
    <row r="4703" spans="8:8" x14ac:dyDescent="0.2">
      <c r="H4703">
        <v>0</v>
      </c>
    </row>
    <row r="4704" spans="8:8" x14ac:dyDescent="0.2">
      <c r="H4704">
        <v>0</v>
      </c>
    </row>
    <row r="4705" spans="8:8" x14ac:dyDescent="0.2">
      <c r="H4705">
        <v>0</v>
      </c>
    </row>
    <row r="4706" spans="8:8" x14ac:dyDescent="0.2">
      <c r="H4706">
        <v>0</v>
      </c>
    </row>
    <row r="4707" spans="8:8" x14ac:dyDescent="0.2">
      <c r="H4707">
        <v>0</v>
      </c>
    </row>
    <row r="4708" spans="8:8" x14ac:dyDescent="0.2">
      <c r="H4708">
        <v>0</v>
      </c>
    </row>
    <row r="4709" spans="8:8" x14ac:dyDescent="0.2">
      <c r="H4709">
        <v>0</v>
      </c>
    </row>
    <row r="4710" spans="8:8" x14ac:dyDescent="0.2">
      <c r="H4710">
        <v>0</v>
      </c>
    </row>
    <row r="4711" spans="8:8" x14ac:dyDescent="0.2">
      <c r="H4711">
        <v>0</v>
      </c>
    </row>
    <row r="4712" spans="8:8" x14ac:dyDescent="0.2">
      <c r="H4712">
        <v>0</v>
      </c>
    </row>
    <row r="4713" spans="8:8" x14ac:dyDescent="0.2">
      <c r="H4713">
        <v>0</v>
      </c>
    </row>
    <row r="4714" spans="8:8" x14ac:dyDescent="0.2">
      <c r="H4714">
        <v>0</v>
      </c>
    </row>
    <row r="4715" spans="8:8" x14ac:dyDescent="0.2">
      <c r="H4715">
        <v>0</v>
      </c>
    </row>
    <row r="4716" spans="8:8" x14ac:dyDescent="0.2">
      <c r="H4716">
        <v>0</v>
      </c>
    </row>
    <row r="4717" spans="8:8" x14ac:dyDescent="0.2">
      <c r="H4717">
        <v>0</v>
      </c>
    </row>
    <row r="4718" spans="8:8" x14ac:dyDescent="0.2">
      <c r="H4718">
        <v>0</v>
      </c>
    </row>
    <row r="4719" spans="8:8" x14ac:dyDescent="0.2">
      <c r="H4719">
        <v>0</v>
      </c>
    </row>
    <row r="4720" spans="8:8" x14ac:dyDescent="0.2">
      <c r="H4720">
        <v>0</v>
      </c>
    </row>
    <row r="4721" spans="8:8" x14ac:dyDescent="0.2">
      <c r="H4721">
        <v>0</v>
      </c>
    </row>
    <row r="4722" spans="8:8" x14ac:dyDescent="0.2">
      <c r="H4722">
        <v>0</v>
      </c>
    </row>
    <row r="4723" spans="8:8" x14ac:dyDescent="0.2">
      <c r="H4723">
        <v>0</v>
      </c>
    </row>
    <row r="4724" spans="8:8" x14ac:dyDescent="0.2">
      <c r="H4724">
        <v>0</v>
      </c>
    </row>
    <row r="4725" spans="8:8" x14ac:dyDescent="0.2">
      <c r="H4725">
        <v>0</v>
      </c>
    </row>
    <row r="4726" spans="8:8" x14ac:dyDescent="0.2">
      <c r="H4726">
        <v>0</v>
      </c>
    </row>
    <row r="4727" spans="8:8" x14ac:dyDescent="0.2">
      <c r="H4727">
        <v>0</v>
      </c>
    </row>
    <row r="4728" spans="8:8" x14ac:dyDescent="0.2">
      <c r="H4728">
        <v>0</v>
      </c>
    </row>
    <row r="4729" spans="8:8" x14ac:dyDescent="0.2">
      <c r="H4729">
        <v>0</v>
      </c>
    </row>
    <row r="4730" spans="8:8" x14ac:dyDescent="0.2">
      <c r="H4730">
        <v>0</v>
      </c>
    </row>
    <row r="4731" spans="8:8" x14ac:dyDescent="0.2">
      <c r="H4731">
        <v>0</v>
      </c>
    </row>
    <row r="4732" spans="8:8" x14ac:dyDescent="0.2">
      <c r="H4732">
        <v>0</v>
      </c>
    </row>
    <row r="4733" spans="8:8" x14ac:dyDescent="0.2">
      <c r="H4733">
        <v>0</v>
      </c>
    </row>
    <row r="4734" spans="8:8" x14ac:dyDescent="0.2">
      <c r="H4734">
        <v>0</v>
      </c>
    </row>
    <row r="4735" spans="8:8" x14ac:dyDescent="0.2">
      <c r="H4735">
        <v>0</v>
      </c>
    </row>
    <row r="4736" spans="8:8" x14ac:dyDescent="0.2">
      <c r="H4736">
        <v>0</v>
      </c>
    </row>
    <row r="4737" spans="8:8" x14ac:dyDescent="0.2">
      <c r="H4737">
        <v>0</v>
      </c>
    </row>
    <row r="4738" spans="8:8" x14ac:dyDescent="0.2">
      <c r="H4738">
        <v>0</v>
      </c>
    </row>
    <row r="4739" spans="8:8" x14ac:dyDescent="0.2">
      <c r="H4739">
        <v>0</v>
      </c>
    </row>
    <row r="4740" spans="8:8" x14ac:dyDescent="0.2">
      <c r="H4740">
        <v>0</v>
      </c>
    </row>
    <row r="4741" spans="8:8" x14ac:dyDescent="0.2">
      <c r="H4741">
        <v>0</v>
      </c>
    </row>
    <row r="4742" spans="8:8" x14ac:dyDescent="0.2">
      <c r="H4742">
        <v>0</v>
      </c>
    </row>
    <row r="4743" spans="8:8" x14ac:dyDescent="0.2">
      <c r="H4743">
        <v>0</v>
      </c>
    </row>
    <row r="4744" spans="8:8" x14ac:dyDescent="0.2">
      <c r="H4744">
        <v>0</v>
      </c>
    </row>
    <row r="4745" spans="8:8" x14ac:dyDescent="0.2">
      <c r="H4745">
        <v>0</v>
      </c>
    </row>
    <row r="4746" spans="8:8" x14ac:dyDescent="0.2">
      <c r="H4746">
        <v>0</v>
      </c>
    </row>
    <row r="4747" spans="8:8" x14ac:dyDescent="0.2">
      <c r="H4747">
        <v>0</v>
      </c>
    </row>
    <row r="4748" spans="8:8" x14ac:dyDescent="0.2">
      <c r="H4748">
        <v>0</v>
      </c>
    </row>
    <row r="4749" spans="8:8" x14ac:dyDescent="0.2">
      <c r="H4749">
        <v>0</v>
      </c>
    </row>
    <row r="4750" spans="8:8" x14ac:dyDescent="0.2">
      <c r="H4750">
        <v>0</v>
      </c>
    </row>
    <row r="4751" spans="8:8" x14ac:dyDescent="0.2">
      <c r="H4751">
        <v>0</v>
      </c>
    </row>
    <row r="4752" spans="8:8" x14ac:dyDescent="0.2">
      <c r="H4752">
        <v>0</v>
      </c>
    </row>
    <row r="4753" spans="8:8" x14ac:dyDescent="0.2">
      <c r="H4753">
        <v>0</v>
      </c>
    </row>
    <row r="4754" spans="8:8" x14ac:dyDescent="0.2">
      <c r="H4754">
        <v>0</v>
      </c>
    </row>
    <row r="4755" spans="8:8" x14ac:dyDescent="0.2">
      <c r="H4755">
        <v>0</v>
      </c>
    </row>
    <row r="4756" spans="8:8" x14ac:dyDescent="0.2">
      <c r="H4756">
        <v>0</v>
      </c>
    </row>
    <row r="4757" spans="8:8" x14ac:dyDescent="0.2">
      <c r="H4757">
        <v>0</v>
      </c>
    </row>
    <row r="4758" spans="8:8" x14ac:dyDescent="0.2">
      <c r="H4758">
        <v>0</v>
      </c>
    </row>
    <row r="4759" spans="8:8" x14ac:dyDescent="0.2">
      <c r="H4759">
        <v>0</v>
      </c>
    </row>
    <row r="4760" spans="8:8" x14ac:dyDescent="0.2">
      <c r="H4760">
        <v>0</v>
      </c>
    </row>
    <row r="4761" spans="8:8" x14ac:dyDescent="0.2">
      <c r="H4761">
        <v>0</v>
      </c>
    </row>
    <row r="4762" spans="8:8" x14ac:dyDescent="0.2">
      <c r="H4762">
        <v>0</v>
      </c>
    </row>
    <row r="4763" spans="8:8" x14ac:dyDescent="0.2">
      <c r="H4763">
        <v>0</v>
      </c>
    </row>
    <row r="4764" spans="8:8" x14ac:dyDescent="0.2">
      <c r="H4764">
        <v>0</v>
      </c>
    </row>
    <row r="4765" spans="8:8" x14ac:dyDescent="0.2">
      <c r="H4765">
        <v>0</v>
      </c>
    </row>
    <row r="4766" spans="8:8" x14ac:dyDescent="0.2">
      <c r="H4766">
        <v>0</v>
      </c>
    </row>
    <row r="4767" spans="8:8" x14ac:dyDescent="0.2">
      <c r="H4767">
        <v>0</v>
      </c>
    </row>
    <row r="4768" spans="8:8" x14ac:dyDescent="0.2">
      <c r="H4768">
        <v>0</v>
      </c>
    </row>
    <row r="4769" spans="8:8" x14ac:dyDescent="0.2">
      <c r="H4769">
        <v>0</v>
      </c>
    </row>
    <row r="4770" spans="8:8" x14ac:dyDescent="0.2">
      <c r="H4770">
        <v>0</v>
      </c>
    </row>
    <row r="4771" spans="8:8" x14ac:dyDescent="0.2">
      <c r="H4771">
        <v>0</v>
      </c>
    </row>
    <row r="4772" spans="8:8" x14ac:dyDescent="0.2">
      <c r="H4772">
        <v>0</v>
      </c>
    </row>
    <row r="4773" spans="8:8" x14ac:dyDescent="0.2">
      <c r="H4773">
        <v>0</v>
      </c>
    </row>
    <row r="4774" spans="8:8" x14ac:dyDescent="0.2">
      <c r="H4774">
        <v>0</v>
      </c>
    </row>
    <row r="4775" spans="8:8" x14ac:dyDescent="0.2">
      <c r="H4775">
        <v>0</v>
      </c>
    </row>
    <row r="4776" spans="8:8" x14ac:dyDescent="0.2">
      <c r="H4776">
        <v>0</v>
      </c>
    </row>
    <row r="4777" spans="8:8" x14ac:dyDescent="0.2">
      <c r="H4777">
        <v>0</v>
      </c>
    </row>
    <row r="4778" spans="8:8" x14ac:dyDescent="0.2">
      <c r="H4778">
        <v>0</v>
      </c>
    </row>
    <row r="4779" spans="8:8" x14ac:dyDescent="0.2">
      <c r="H4779">
        <v>0</v>
      </c>
    </row>
    <row r="4780" spans="8:8" x14ac:dyDescent="0.2">
      <c r="H4780">
        <v>0</v>
      </c>
    </row>
    <row r="4781" spans="8:8" x14ac:dyDescent="0.2">
      <c r="H4781">
        <v>0</v>
      </c>
    </row>
    <row r="4782" spans="8:8" x14ac:dyDescent="0.2">
      <c r="H4782">
        <v>0</v>
      </c>
    </row>
    <row r="4783" spans="8:8" x14ac:dyDescent="0.2">
      <c r="H4783">
        <v>0</v>
      </c>
    </row>
    <row r="4784" spans="8:8" x14ac:dyDescent="0.2">
      <c r="H4784">
        <v>0</v>
      </c>
    </row>
    <row r="4785" spans="8:8" x14ac:dyDescent="0.2">
      <c r="H4785">
        <v>0</v>
      </c>
    </row>
    <row r="4786" spans="8:8" x14ac:dyDescent="0.2">
      <c r="H4786">
        <v>0</v>
      </c>
    </row>
    <row r="4787" spans="8:8" x14ac:dyDescent="0.2">
      <c r="H4787">
        <v>0</v>
      </c>
    </row>
    <row r="4788" spans="8:8" x14ac:dyDescent="0.2">
      <c r="H4788">
        <v>0</v>
      </c>
    </row>
    <row r="4789" spans="8:8" x14ac:dyDescent="0.2">
      <c r="H4789">
        <v>0</v>
      </c>
    </row>
    <row r="4790" spans="8:8" x14ac:dyDescent="0.2">
      <c r="H4790">
        <v>0</v>
      </c>
    </row>
    <row r="4791" spans="8:8" x14ac:dyDescent="0.2">
      <c r="H4791">
        <v>0</v>
      </c>
    </row>
    <row r="4792" spans="8:8" x14ac:dyDescent="0.2">
      <c r="H4792">
        <v>0</v>
      </c>
    </row>
    <row r="4793" spans="8:8" x14ac:dyDescent="0.2">
      <c r="H4793">
        <v>0</v>
      </c>
    </row>
    <row r="4794" spans="8:8" x14ac:dyDescent="0.2">
      <c r="H4794">
        <v>0</v>
      </c>
    </row>
    <row r="4795" spans="8:8" x14ac:dyDescent="0.2">
      <c r="H4795">
        <v>0</v>
      </c>
    </row>
    <row r="4796" spans="8:8" x14ac:dyDescent="0.2">
      <c r="H4796">
        <v>0</v>
      </c>
    </row>
    <row r="4797" spans="8:8" x14ac:dyDescent="0.2">
      <c r="H4797">
        <v>0</v>
      </c>
    </row>
    <row r="4798" spans="8:8" x14ac:dyDescent="0.2">
      <c r="H4798">
        <v>0</v>
      </c>
    </row>
    <row r="4799" spans="8:8" x14ac:dyDescent="0.2">
      <c r="H4799">
        <v>0</v>
      </c>
    </row>
    <row r="4800" spans="8:8" x14ac:dyDescent="0.2">
      <c r="H4800">
        <v>0</v>
      </c>
    </row>
    <row r="4801" spans="8:8" x14ac:dyDescent="0.2">
      <c r="H4801">
        <v>0</v>
      </c>
    </row>
    <row r="4802" spans="8:8" x14ac:dyDescent="0.2">
      <c r="H4802">
        <v>0</v>
      </c>
    </row>
    <row r="4803" spans="8:8" x14ac:dyDescent="0.2">
      <c r="H4803">
        <v>0</v>
      </c>
    </row>
    <row r="4804" spans="8:8" x14ac:dyDescent="0.2">
      <c r="H4804">
        <v>0</v>
      </c>
    </row>
    <row r="4805" spans="8:8" x14ac:dyDescent="0.2">
      <c r="H4805">
        <v>0</v>
      </c>
    </row>
    <row r="4806" spans="8:8" x14ac:dyDescent="0.2">
      <c r="H4806">
        <v>0</v>
      </c>
    </row>
    <row r="4807" spans="8:8" x14ac:dyDescent="0.2">
      <c r="H4807">
        <v>0</v>
      </c>
    </row>
    <row r="4808" spans="8:8" x14ac:dyDescent="0.2">
      <c r="H4808">
        <v>0</v>
      </c>
    </row>
    <row r="4809" spans="8:8" x14ac:dyDescent="0.2">
      <c r="H4809">
        <v>0</v>
      </c>
    </row>
    <row r="4810" spans="8:8" x14ac:dyDescent="0.2">
      <c r="H4810">
        <v>0</v>
      </c>
    </row>
    <row r="4811" spans="8:8" x14ac:dyDescent="0.2">
      <c r="H4811">
        <v>0</v>
      </c>
    </row>
    <row r="4812" spans="8:8" x14ac:dyDescent="0.2">
      <c r="H4812">
        <v>0</v>
      </c>
    </row>
    <row r="4813" spans="8:8" x14ac:dyDescent="0.2">
      <c r="H4813">
        <v>0</v>
      </c>
    </row>
    <row r="4814" spans="8:8" x14ac:dyDescent="0.2">
      <c r="H4814">
        <v>0</v>
      </c>
    </row>
    <row r="4815" spans="8:8" x14ac:dyDescent="0.2">
      <c r="H4815">
        <v>0</v>
      </c>
    </row>
    <row r="4816" spans="8:8" x14ac:dyDescent="0.2">
      <c r="H4816">
        <v>0</v>
      </c>
    </row>
    <row r="4817" spans="8:8" x14ac:dyDescent="0.2">
      <c r="H4817">
        <v>0</v>
      </c>
    </row>
    <row r="4818" spans="8:8" x14ac:dyDescent="0.2">
      <c r="H4818">
        <v>0</v>
      </c>
    </row>
    <row r="4819" spans="8:8" x14ac:dyDescent="0.2">
      <c r="H4819">
        <v>0</v>
      </c>
    </row>
    <row r="4820" spans="8:8" x14ac:dyDescent="0.2">
      <c r="H4820">
        <v>0</v>
      </c>
    </row>
    <row r="4821" spans="8:8" x14ac:dyDescent="0.2">
      <c r="H4821">
        <v>0</v>
      </c>
    </row>
    <row r="4822" spans="8:8" x14ac:dyDescent="0.2">
      <c r="H4822">
        <v>0</v>
      </c>
    </row>
    <row r="4823" spans="8:8" x14ac:dyDescent="0.2">
      <c r="H4823">
        <v>0</v>
      </c>
    </row>
    <row r="4824" spans="8:8" x14ac:dyDescent="0.2">
      <c r="H4824">
        <v>0</v>
      </c>
    </row>
    <row r="4825" spans="8:8" x14ac:dyDescent="0.2">
      <c r="H4825">
        <v>0</v>
      </c>
    </row>
    <row r="4826" spans="8:8" x14ac:dyDescent="0.2">
      <c r="H4826">
        <v>0</v>
      </c>
    </row>
    <row r="4827" spans="8:8" x14ac:dyDescent="0.2">
      <c r="H4827">
        <v>0</v>
      </c>
    </row>
    <row r="4828" spans="8:8" x14ac:dyDescent="0.2">
      <c r="H4828">
        <v>0</v>
      </c>
    </row>
    <row r="4829" spans="8:8" x14ac:dyDescent="0.2">
      <c r="H4829">
        <v>0</v>
      </c>
    </row>
    <row r="4830" spans="8:8" x14ac:dyDescent="0.2">
      <c r="H4830">
        <v>0</v>
      </c>
    </row>
    <row r="4831" spans="8:8" x14ac:dyDescent="0.2">
      <c r="H4831">
        <v>0</v>
      </c>
    </row>
    <row r="4832" spans="8:8" x14ac:dyDescent="0.2">
      <c r="H4832">
        <v>0</v>
      </c>
    </row>
    <row r="4833" spans="8:8" x14ac:dyDescent="0.2">
      <c r="H4833">
        <v>0</v>
      </c>
    </row>
    <row r="4834" spans="8:8" x14ac:dyDescent="0.2">
      <c r="H4834">
        <v>0</v>
      </c>
    </row>
    <row r="4835" spans="8:8" x14ac:dyDescent="0.2">
      <c r="H4835">
        <v>0</v>
      </c>
    </row>
    <row r="4836" spans="8:8" x14ac:dyDescent="0.2">
      <c r="H4836">
        <v>0</v>
      </c>
    </row>
    <row r="4837" spans="8:8" x14ac:dyDescent="0.2">
      <c r="H4837">
        <v>0</v>
      </c>
    </row>
    <row r="4838" spans="8:8" x14ac:dyDescent="0.2">
      <c r="H4838">
        <v>0</v>
      </c>
    </row>
    <row r="4839" spans="8:8" x14ac:dyDescent="0.2">
      <c r="H4839">
        <v>0</v>
      </c>
    </row>
    <row r="4840" spans="8:8" x14ac:dyDescent="0.2">
      <c r="H4840">
        <v>0</v>
      </c>
    </row>
    <row r="4841" spans="8:8" x14ac:dyDescent="0.2">
      <c r="H4841">
        <v>0</v>
      </c>
    </row>
    <row r="4842" spans="8:8" x14ac:dyDescent="0.2">
      <c r="H4842">
        <v>0</v>
      </c>
    </row>
    <row r="4843" spans="8:8" x14ac:dyDescent="0.2">
      <c r="H4843">
        <v>0</v>
      </c>
    </row>
    <row r="4844" spans="8:8" x14ac:dyDescent="0.2">
      <c r="H4844">
        <v>0</v>
      </c>
    </row>
    <row r="4845" spans="8:8" x14ac:dyDescent="0.2">
      <c r="H4845">
        <v>0</v>
      </c>
    </row>
    <row r="4846" spans="8:8" x14ac:dyDescent="0.2">
      <c r="H4846">
        <v>0</v>
      </c>
    </row>
    <row r="4847" spans="8:8" x14ac:dyDescent="0.2">
      <c r="H4847">
        <v>0</v>
      </c>
    </row>
    <row r="4848" spans="8:8" x14ac:dyDescent="0.2">
      <c r="H4848">
        <v>0</v>
      </c>
    </row>
    <row r="4849" spans="8:8" x14ac:dyDescent="0.2">
      <c r="H4849">
        <v>0</v>
      </c>
    </row>
    <row r="4850" spans="8:8" x14ac:dyDescent="0.2">
      <c r="H4850">
        <v>0</v>
      </c>
    </row>
    <row r="4851" spans="8:8" x14ac:dyDescent="0.2">
      <c r="H4851">
        <v>0</v>
      </c>
    </row>
    <row r="4852" spans="8:8" x14ac:dyDescent="0.2">
      <c r="H4852">
        <v>0</v>
      </c>
    </row>
    <row r="4853" spans="8:8" x14ac:dyDescent="0.2">
      <c r="H4853">
        <v>0</v>
      </c>
    </row>
    <row r="4854" spans="8:8" x14ac:dyDescent="0.2">
      <c r="H4854">
        <v>0</v>
      </c>
    </row>
    <row r="4855" spans="8:8" x14ac:dyDescent="0.2">
      <c r="H4855">
        <v>0</v>
      </c>
    </row>
    <row r="4856" spans="8:8" x14ac:dyDescent="0.2">
      <c r="H4856">
        <v>0</v>
      </c>
    </row>
    <row r="4857" spans="8:8" x14ac:dyDescent="0.2">
      <c r="H4857">
        <v>0</v>
      </c>
    </row>
    <row r="4858" spans="8:8" x14ac:dyDescent="0.2">
      <c r="H4858">
        <v>0</v>
      </c>
    </row>
    <row r="4859" spans="8:8" x14ac:dyDescent="0.2">
      <c r="H4859">
        <v>0</v>
      </c>
    </row>
    <row r="4860" spans="8:8" x14ac:dyDescent="0.2">
      <c r="H4860">
        <v>0</v>
      </c>
    </row>
    <row r="4861" spans="8:8" x14ac:dyDescent="0.2">
      <c r="H4861">
        <v>0</v>
      </c>
    </row>
    <row r="4862" spans="8:8" x14ac:dyDescent="0.2">
      <c r="H4862">
        <v>0</v>
      </c>
    </row>
    <row r="4863" spans="8:8" x14ac:dyDescent="0.2">
      <c r="H4863">
        <v>0</v>
      </c>
    </row>
    <row r="4864" spans="8:8" x14ac:dyDescent="0.2">
      <c r="H4864">
        <v>0</v>
      </c>
    </row>
    <row r="4865" spans="8:8" x14ac:dyDescent="0.2">
      <c r="H4865">
        <v>0</v>
      </c>
    </row>
    <row r="4866" spans="8:8" x14ac:dyDescent="0.2">
      <c r="H4866">
        <v>0</v>
      </c>
    </row>
    <row r="4867" spans="8:8" x14ac:dyDescent="0.2">
      <c r="H4867">
        <v>0</v>
      </c>
    </row>
    <row r="4868" spans="8:8" x14ac:dyDescent="0.2">
      <c r="H4868">
        <v>0</v>
      </c>
    </row>
    <row r="4869" spans="8:8" x14ac:dyDescent="0.2">
      <c r="H4869">
        <v>0</v>
      </c>
    </row>
    <row r="4870" spans="8:8" x14ac:dyDescent="0.2">
      <c r="H4870">
        <v>0</v>
      </c>
    </row>
    <row r="4871" spans="8:8" x14ac:dyDescent="0.2">
      <c r="H4871">
        <v>0</v>
      </c>
    </row>
    <row r="4872" spans="8:8" x14ac:dyDescent="0.2">
      <c r="H4872">
        <v>0</v>
      </c>
    </row>
    <row r="4873" spans="8:8" x14ac:dyDescent="0.2">
      <c r="H4873">
        <v>0</v>
      </c>
    </row>
    <row r="4874" spans="8:8" x14ac:dyDescent="0.2">
      <c r="H4874">
        <v>0</v>
      </c>
    </row>
    <row r="4875" spans="8:8" x14ac:dyDescent="0.2">
      <c r="H4875">
        <v>0</v>
      </c>
    </row>
    <row r="4876" spans="8:8" x14ac:dyDescent="0.2">
      <c r="H4876">
        <v>0</v>
      </c>
    </row>
    <row r="4877" spans="8:8" x14ac:dyDescent="0.2">
      <c r="H4877">
        <v>0</v>
      </c>
    </row>
    <row r="4878" spans="8:8" x14ac:dyDescent="0.2">
      <c r="H4878">
        <v>0</v>
      </c>
    </row>
    <row r="4879" spans="8:8" x14ac:dyDescent="0.2">
      <c r="H4879">
        <v>0</v>
      </c>
    </row>
    <row r="4880" spans="8:8" x14ac:dyDescent="0.2">
      <c r="H4880">
        <v>0</v>
      </c>
    </row>
    <row r="4881" spans="8:8" x14ac:dyDescent="0.2">
      <c r="H4881">
        <v>0</v>
      </c>
    </row>
    <row r="4882" spans="8:8" x14ac:dyDescent="0.2">
      <c r="H4882">
        <v>0</v>
      </c>
    </row>
    <row r="4883" spans="8:8" x14ac:dyDescent="0.2">
      <c r="H4883">
        <v>0</v>
      </c>
    </row>
    <row r="4884" spans="8:8" x14ac:dyDescent="0.2">
      <c r="H4884">
        <v>0</v>
      </c>
    </row>
    <row r="4885" spans="8:8" x14ac:dyDescent="0.2">
      <c r="H4885">
        <v>0</v>
      </c>
    </row>
    <row r="4886" spans="8:8" x14ac:dyDescent="0.2">
      <c r="H4886">
        <v>0</v>
      </c>
    </row>
    <row r="4887" spans="8:8" x14ac:dyDescent="0.2">
      <c r="H4887">
        <v>0</v>
      </c>
    </row>
    <row r="4888" spans="8:8" x14ac:dyDescent="0.2">
      <c r="H4888">
        <v>0</v>
      </c>
    </row>
    <row r="4889" spans="8:8" x14ac:dyDescent="0.2">
      <c r="H4889">
        <v>0</v>
      </c>
    </row>
    <row r="4890" spans="8:8" x14ac:dyDescent="0.2">
      <c r="H4890">
        <v>0</v>
      </c>
    </row>
    <row r="4891" spans="8:8" x14ac:dyDescent="0.2">
      <c r="H4891">
        <v>0</v>
      </c>
    </row>
    <row r="4892" spans="8:8" x14ac:dyDescent="0.2">
      <c r="H4892">
        <v>0</v>
      </c>
    </row>
    <row r="4893" spans="8:8" x14ac:dyDescent="0.2">
      <c r="H4893">
        <v>0</v>
      </c>
    </row>
    <row r="4894" spans="8:8" x14ac:dyDescent="0.2">
      <c r="H4894">
        <v>0</v>
      </c>
    </row>
    <row r="4895" spans="8:8" x14ac:dyDescent="0.2">
      <c r="H4895">
        <v>0</v>
      </c>
    </row>
    <row r="4896" spans="8:8" x14ac:dyDescent="0.2">
      <c r="H4896">
        <v>0</v>
      </c>
    </row>
    <row r="4897" spans="8:8" x14ac:dyDescent="0.2">
      <c r="H4897">
        <v>0</v>
      </c>
    </row>
    <row r="4898" spans="8:8" x14ac:dyDescent="0.2">
      <c r="H4898">
        <v>0</v>
      </c>
    </row>
    <row r="4899" spans="8:8" x14ac:dyDescent="0.2">
      <c r="H4899">
        <v>0</v>
      </c>
    </row>
    <row r="4900" spans="8:8" x14ac:dyDescent="0.2">
      <c r="H4900">
        <v>0</v>
      </c>
    </row>
    <row r="4901" spans="8:8" x14ac:dyDescent="0.2">
      <c r="H4901">
        <v>0</v>
      </c>
    </row>
    <row r="4902" spans="8:8" x14ac:dyDescent="0.2">
      <c r="H4902">
        <v>0</v>
      </c>
    </row>
    <row r="4903" spans="8:8" x14ac:dyDescent="0.2">
      <c r="H4903">
        <v>0</v>
      </c>
    </row>
    <row r="4904" spans="8:8" x14ac:dyDescent="0.2">
      <c r="H4904">
        <v>0</v>
      </c>
    </row>
    <row r="4905" spans="8:8" x14ac:dyDescent="0.2">
      <c r="H4905">
        <v>0</v>
      </c>
    </row>
    <row r="4906" spans="8:8" x14ac:dyDescent="0.2">
      <c r="H4906">
        <v>0</v>
      </c>
    </row>
    <row r="4907" spans="8:8" x14ac:dyDescent="0.2">
      <c r="H4907">
        <v>0</v>
      </c>
    </row>
    <row r="4908" spans="8:8" x14ac:dyDescent="0.2">
      <c r="H4908">
        <v>0</v>
      </c>
    </row>
    <row r="4909" spans="8:8" x14ac:dyDescent="0.2">
      <c r="H4909">
        <v>0</v>
      </c>
    </row>
    <row r="4910" spans="8:8" x14ac:dyDescent="0.2">
      <c r="H4910">
        <v>0</v>
      </c>
    </row>
    <row r="4911" spans="8:8" x14ac:dyDescent="0.2">
      <c r="H4911">
        <v>0</v>
      </c>
    </row>
    <row r="4912" spans="8:8" x14ac:dyDescent="0.2">
      <c r="H4912">
        <v>0</v>
      </c>
    </row>
    <row r="4913" spans="8:8" x14ac:dyDescent="0.2">
      <c r="H4913">
        <v>0</v>
      </c>
    </row>
    <row r="4914" spans="8:8" x14ac:dyDescent="0.2">
      <c r="H4914">
        <v>0</v>
      </c>
    </row>
    <row r="4915" spans="8:8" x14ac:dyDescent="0.2">
      <c r="H4915">
        <v>0</v>
      </c>
    </row>
    <row r="4916" spans="8:8" x14ac:dyDescent="0.2">
      <c r="H4916">
        <v>0</v>
      </c>
    </row>
    <row r="4917" spans="8:8" x14ac:dyDescent="0.2">
      <c r="H4917">
        <v>0</v>
      </c>
    </row>
    <row r="4918" spans="8:8" x14ac:dyDescent="0.2">
      <c r="H4918">
        <v>0</v>
      </c>
    </row>
    <row r="4919" spans="8:8" x14ac:dyDescent="0.2">
      <c r="H4919">
        <v>0</v>
      </c>
    </row>
    <row r="4920" spans="8:8" x14ac:dyDescent="0.2">
      <c r="H4920">
        <v>0</v>
      </c>
    </row>
    <row r="4921" spans="8:8" x14ac:dyDescent="0.2">
      <c r="H4921">
        <v>0</v>
      </c>
    </row>
    <row r="4922" spans="8:8" x14ac:dyDescent="0.2">
      <c r="H4922">
        <v>0</v>
      </c>
    </row>
    <row r="4923" spans="8:8" x14ac:dyDescent="0.2">
      <c r="H4923">
        <v>0</v>
      </c>
    </row>
    <row r="4924" spans="8:8" x14ac:dyDescent="0.2">
      <c r="H4924">
        <v>0</v>
      </c>
    </row>
    <row r="4925" spans="8:8" x14ac:dyDescent="0.2">
      <c r="H4925">
        <v>0</v>
      </c>
    </row>
    <row r="4926" spans="8:8" x14ac:dyDescent="0.2">
      <c r="H4926">
        <v>0</v>
      </c>
    </row>
    <row r="4927" spans="8:8" x14ac:dyDescent="0.2">
      <c r="H4927">
        <v>0</v>
      </c>
    </row>
    <row r="4928" spans="8:8" x14ac:dyDescent="0.2">
      <c r="H4928">
        <v>0</v>
      </c>
    </row>
    <row r="4929" spans="8:8" x14ac:dyDescent="0.2">
      <c r="H4929">
        <v>0</v>
      </c>
    </row>
    <row r="4930" spans="8:8" x14ac:dyDescent="0.2">
      <c r="H4930">
        <v>0</v>
      </c>
    </row>
    <row r="4931" spans="8:8" x14ac:dyDescent="0.2">
      <c r="H4931">
        <v>0</v>
      </c>
    </row>
    <row r="4932" spans="8:8" x14ac:dyDescent="0.2">
      <c r="H4932">
        <v>0</v>
      </c>
    </row>
    <row r="4933" spans="8:8" x14ac:dyDescent="0.2">
      <c r="H4933">
        <v>0</v>
      </c>
    </row>
    <row r="4934" spans="8:8" x14ac:dyDescent="0.2">
      <c r="H4934">
        <v>0</v>
      </c>
    </row>
    <row r="4935" spans="8:8" x14ac:dyDescent="0.2">
      <c r="H4935">
        <v>0</v>
      </c>
    </row>
    <row r="4936" spans="8:8" x14ac:dyDescent="0.2">
      <c r="H4936">
        <v>0</v>
      </c>
    </row>
    <row r="4937" spans="8:8" x14ac:dyDescent="0.2">
      <c r="H4937">
        <v>0</v>
      </c>
    </row>
    <row r="4938" spans="8:8" x14ac:dyDescent="0.2">
      <c r="H4938">
        <v>0</v>
      </c>
    </row>
    <row r="4939" spans="8:8" x14ac:dyDescent="0.2">
      <c r="H4939">
        <v>0</v>
      </c>
    </row>
    <row r="4940" spans="8:8" x14ac:dyDescent="0.2">
      <c r="H4940">
        <v>0</v>
      </c>
    </row>
    <row r="4941" spans="8:8" x14ac:dyDescent="0.2">
      <c r="H4941">
        <v>0</v>
      </c>
    </row>
    <row r="4942" spans="8:8" x14ac:dyDescent="0.2">
      <c r="H4942">
        <v>0</v>
      </c>
    </row>
    <row r="4943" spans="8:8" x14ac:dyDescent="0.2">
      <c r="H4943">
        <v>0</v>
      </c>
    </row>
    <row r="4944" spans="8:8" x14ac:dyDescent="0.2">
      <c r="H4944">
        <v>0</v>
      </c>
    </row>
    <row r="4945" spans="8:8" x14ac:dyDescent="0.2">
      <c r="H4945">
        <v>0</v>
      </c>
    </row>
    <row r="4946" spans="8:8" x14ac:dyDescent="0.2">
      <c r="H4946">
        <v>0</v>
      </c>
    </row>
    <row r="4947" spans="8:8" x14ac:dyDescent="0.2">
      <c r="H4947">
        <v>0</v>
      </c>
    </row>
    <row r="4948" spans="8:8" x14ac:dyDescent="0.2">
      <c r="H4948">
        <v>0</v>
      </c>
    </row>
    <row r="4949" spans="8:8" x14ac:dyDescent="0.2">
      <c r="H4949">
        <v>0</v>
      </c>
    </row>
    <row r="4950" spans="8:8" x14ac:dyDescent="0.2">
      <c r="H4950">
        <v>0</v>
      </c>
    </row>
    <row r="4951" spans="8:8" x14ac:dyDescent="0.2">
      <c r="H4951">
        <v>0</v>
      </c>
    </row>
    <row r="4952" spans="8:8" x14ac:dyDescent="0.2">
      <c r="H4952">
        <v>0</v>
      </c>
    </row>
    <row r="4953" spans="8:8" x14ac:dyDescent="0.2">
      <c r="H4953">
        <v>0</v>
      </c>
    </row>
    <row r="4954" spans="8:8" x14ac:dyDescent="0.2">
      <c r="H4954">
        <v>0</v>
      </c>
    </row>
    <row r="4955" spans="8:8" x14ac:dyDescent="0.2">
      <c r="H4955">
        <v>0</v>
      </c>
    </row>
    <row r="4956" spans="8:8" x14ac:dyDescent="0.2">
      <c r="H4956">
        <v>0</v>
      </c>
    </row>
    <row r="4957" spans="8:8" x14ac:dyDescent="0.2">
      <c r="H4957">
        <v>0</v>
      </c>
    </row>
    <row r="4958" spans="8:8" x14ac:dyDescent="0.2">
      <c r="H4958">
        <v>0</v>
      </c>
    </row>
    <row r="4959" spans="8:8" x14ac:dyDescent="0.2">
      <c r="H4959">
        <v>0</v>
      </c>
    </row>
    <row r="4960" spans="8:8" x14ac:dyDescent="0.2">
      <c r="H4960">
        <v>0</v>
      </c>
    </row>
    <row r="4961" spans="8:8" x14ac:dyDescent="0.2">
      <c r="H4961">
        <v>0</v>
      </c>
    </row>
    <row r="4962" spans="8:8" x14ac:dyDescent="0.2">
      <c r="H4962">
        <v>0</v>
      </c>
    </row>
    <row r="4963" spans="8:8" x14ac:dyDescent="0.2">
      <c r="H4963">
        <v>0</v>
      </c>
    </row>
    <row r="4964" spans="8:8" x14ac:dyDescent="0.2">
      <c r="H4964">
        <v>0</v>
      </c>
    </row>
    <row r="4965" spans="8:8" x14ac:dyDescent="0.2">
      <c r="H4965">
        <v>0</v>
      </c>
    </row>
    <row r="4966" spans="8:8" x14ac:dyDescent="0.2">
      <c r="H4966">
        <v>0</v>
      </c>
    </row>
    <row r="4967" spans="8:8" x14ac:dyDescent="0.2">
      <c r="H4967">
        <v>0</v>
      </c>
    </row>
    <row r="4968" spans="8:8" x14ac:dyDescent="0.2">
      <c r="H4968">
        <v>0</v>
      </c>
    </row>
    <row r="4969" spans="8:8" x14ac:dyDescent="0.2">
      <c r="H4969">
        <v>0</v>
      </c>
    </row>
    <row r="4970" spans="8:8" x14ac:dyDescent="0.2">
      <c r="H4970">
        <v>0</v>
      </c>
    </row>
    <row r="4971" spans="8:8" x14ac:dyDescent="0.2">
      <c r="H4971">
        <v>0</v>
      </c>
    </row>
    <row r="4972" spans="8:8" x14ac:dyDescent="0.2">
      <c r="H4972">
        <v>0</v>
      </c>
    </row>
    <row r="4973" spans="8:8" x14ac:dyDescent="0.2">
      <c r="H4973">
        <v>0</v>
      </c>
    </row>
    <row r="4974" spans="8:8" x14ac:dyDescent="0.2">
      <c r="H4974">
        <v>0</v>
      </c>
    </row>
    <row r="4975" spans="8:8" x14ac:dyDescent="0.2">
      <c r="H4975">
        <v>0</v>
      </c>
    </row>
    <row r="4976" spans="8:8" x14ac:dyDescent="0.2">
      <c r="H4976">
        <v>0</v>
      </c>
    </row>
    <row r="4977" spans="8:8" x14ac:dyDescent="0.2">
      <c r="H4977">
        <v>0</v>
      </c>
    </row>
    <row r="4978" spans="8:8" x14ac:dyDescent="0.2">
      <c r="H4978">
        <v>0</v>
      </c>
    </row>
    <row r="4979" spans="8:8" x14ac:dyDescent="0.2">
      <c r="H4979">
        <v>0</v>
      </c>
    </row>
    <row r="4980" spans="8:8" x14ac:dyDescent="0.2">
      <c r="H4980">
        <v>0</v>
      </c>
    </row>
    <row r="4981" spans="8:8" x14ac:dyDescent="0.2">
      <c r="H4981">
        <v>0</v>
      </c>
    </row>
    <row r="4982" spans="8:8" x14ac:dyDescent="0.2">
      <c r="H4982">
        <v>0</v>
      </c>
    </row>
    <row r="4983" spans="8:8" x14ac:dyDescent="0.2">
      <c r="H4983">
        <v>0</v>
      </c>
    </row>
    <row r="4984" spans="8:8" x14ac:dyDescent="0.2">
      <c r="H4984">
        <v>0</v>
      </c>
    </row>
    <row r="4985" spans="8:8" x14ac:dyDescent="0.2">
      <c r="H4985">
        <v>0</v>
      </c>
    </row>
    <row r="4986" spans="8:8" x14ac:dyDescent="0.2">
      <c r="H4986">
        <v>0</v>
      </c>
    </row>
    <row r="4987" spans="8:8" x14ac:dyDescent="0.2">
      <c r="H4987">
        <v>0</v>
      </c>
    </row>
    <row r="4988" spans="8:8" x14ac:dyDescent="0.2">
      <c r="H4988">
        <v>0</v>
      </c>
    </row>
    <row r="4989" spans="8:8" x14ac:dyDescent="0.2">
      <c r="H4989">
        <v>0</v>
      </c>
    </row>
    <row r="4990" spans="8:8" x14ac:dyDescent="0.2">
      <c r="H4990">
        <v>0</v>
      </c>
    </row>
    <row r="4991" spans="8:8" x14ac:dyDescent="0.2">
      <c r="H4991">
        <v>0</v>
      </c>
    </row>
    <row r="4992" spans="8:8" x14ac:dyDescent="0.2">
      <c r="H4992">
        <v>0</v>
      </c>
    </row>
    <row r="4993" spans="8:8" x14ac:dyDescent="0.2">
      <c r="H4993">
        <v>0</v>
      </c>
    </row>
    <row r="4994" spans="8:8" x14ac:dyDescent="0.2">
      <c r="H4994">
        <v>0</v>
      </c>
    </row>
    <row r="4995" spans="8:8" x14ac:dyDescent="0.2">
      <c r="H4995">
        <v>0</v>
      </c>
    </row>
    <row r="4996" spans="8:8" x14ac:dyDescent="0.2">
      <c r="H4996">
        <v>0</v>
      </c>
    </row>
    <row r="4997" spans="8:8" x14ac:dyDescent="0.2">
      <c r="H4997">
        <v>0</v>
      </c>
    </row>
    <row r="4998" spans="8:8" x14ac:dyDescent="0.2">
      <c r="H4998">
        <v>0</v>
      </c>
    </row>
    <row r="4999" spans="8:8" x14ac:dyDescent="0.2">
      <c r="H4999">
        <v>0</v>
      </c>
    </row>
    <row r="5000" spans="8:8" x14ac:dyDescent="0.2">
      <c r="H5000">
        <v>0</v>
      </c>
    </row>
    <row r="5001" spans="8:8" x14ac:dyDescent="0.2">
      <c r="H5001">
        <v>0</v>
      </c>
    </row>
    <row r="5002" spans="8:8" x14ac:dyDescent="0.2">
      <c r="H5002">
        <v>0</v>
      </c>
    </row>
    <row r="5003" spans="8:8" x14ac:dyDescent="0.2">
      <c r="H5003">
        <v>0</v>
      </c>
    </row>
    <row r="5004" spans="8:8" x14ac:dyDescent="0.2">
      <c r="H5004">
        <v>0</v>
      </c>
    </row>
    <row r="5005" spans="8:8" x14ac:dyDescent="0.2">
      <c r="H5005">
        <v>0</v>
      </c>
    </row>
    <row r="5006" spans="8:8" x14ac:dyDescent="0.2">
      <c r="H5006">
        <v>0</v>
      </c>
    </row>
    <row r="5007" spans="8:8" x14ac:dyDescent="0.2">
      <c r="H5007">
        <v>0</v>
      </c>
    </row>
    <row r="5008" spans="8:8" x14ac:dyDescent="0.2">
      <c r="H5008">
        <v>0</v>
      </c>
    </row>
    <row r="5009" spans="8:8" x14ac:dyDescent="0.2">
      <c r="H5009">
        <v>0</v>
      </c>
    </row>
    <row r="5010" spans="8:8" x14ac:dyDescent="0.2">
      <c r="H5010">
        <v>0</v>
      </c>
    </row>
    <row r="5011" spans="8:8" x14ac:dyDescent="0.2">
      <c r="H5011">
        <v>0</v>
      </c>
    </row>
    <row r="5012" spans="8:8" x14ac:dyDescent="0.2">
      <c r="H5012">
        <v>0</v>
      </c>
    </row>
    <row r="5013" spans="8:8" x14ac:dyDescent="0.2">
      <c r="H5013">
        <v>0</v>
      </c>
    </row>
    <row r="5014" spans="8:8" x14ac:dyDescent="0.2">
      <c r="H5014">
        <v>0</v>
      </c>
    </row>
    <row r="5015" spans="8:8" x14ac:dyDescent="0.2">
      <c r="H5015">
        <v>0</v>
      </c>
    </row>
    <row r="5016" spans="8:8" x14ac:dyDescent="0.2">
      <c r="H5016">
        <v>0</v>
      </c>
    </row>
    <row r="5017" spans="8:8" x14ac:dyDescent="0.2">
      <c r="H5017">
        <v>0</v>
      </c>
    </row>
    <row r="5018" spans="8:8" x14ac:dyDescent="0.2">
      <c r="H5018">
        <v>0</v>
      </c>
    </row>
    <row r="5019" spans="8:8" x14ac:dyDescent="0.2">
      <c r="H5019">
        <v>0</v>
      </c>
    </row>
    <row r="5020" spans="8:8" x14ac:dyDescent="0.2">
      <c r="H5020">
        <v>0</v>
      </c>
    </row>
    <row r="5021" spans="8:8" x14ac:dyDescent="0.2">
      <c r="H5021">
        <v>0</v>
      </c>
    </row>
    <row r="5022" spans="8:8" x14ac:dyDescent="0.2">
      <c r="H5022">
        <v>0</v>
      </c>
    </row>
    <row r="5023" spans="8:8" x14ac:dyDescent="0.2">
      <c r="H5023">
        <v>0</v>
      </c>
    </row>
    <row r="5024" spans="8:8" x14ac:dyDescent="0.2">
      <c r="H5024">
        <v>0</v>
      </c>
    </row>
    <row r="5025" spans="8:8" x14ac:dyDescent="0.2">
      <c r="H5025">
        <v>0</v>
      </c>
    </row>
    <row r="5026" spans="8:8" x14ac:dyDescent="0.2">
      <c r="H5026">
        <v>0</v>
      </c>
    </row>
    <row r="5027" spans="8:8" x14ac:dyDescent="0.2">
      <c r="H5027">
        <v>0</v>
      </c>
    </row>
    <row r="5028" spans="8:8" x14ac:dyDescent="0.2">
      <c r="H5028">
        <v>0</v>
      </c>
    </row>
    <row r="5029" spans="8:8" x14ac:dyDescent="0.2">
      <c r="H5029">
        <v>0</v>
      </c>
    </row>
    <row r="5030" spans="8:8" x14ac:dyDescent="0.2">
      <c r="H5030">
        <v>0</v>
      </c>
    </row>
    <row r="5031" spans="8:8" x14ac:dyDescent="0.2">
      <c r="H5031">
        <v>0</v>
      </c>
    </row>
    <row r="5032" spans="8:8" x14ac:dyDescent="0.2">
      <c r="H5032">
        <v>0</v>
      </c>
    </row>
    <row r="5033" spans="8:8" x14ac:dyDescent="0.2">
      <c r="H5033">
        <v>0</v>
      </c>
    </row>
    <row r="5034" spans="8:8" x14ac:dyDescent="0.2">
      <c r="H5034">
        <v>0</v>
      </c>
    </row>
    <row r="5035" spans="8:8" x14ac:dyDescent="0.2">
      <c r="H5035">
        <v>0</v>
      </c>
    </row>
    <row r="5036" spans="8:8" x14ac:dyDescent="0.2">
      <c r="H5036">
        <v>0</v>
      </c>
    </row>
    <row r="5037" spans="8:8" x14ac:dyDescent="0.2">
      <c r="H5037">
        <v>0</v>
      </c>
    </row>
    <row r="5038" spans="8:8" x14ac:dyDescent="0.2">
      <c r="H5038">
        <v>0</v>
      </c>
    </row>
    <row r="5039" spans="8:8" x14ac:dyDescent="0.2">
      <c r="H5039">
        <v>0</v>
      </c>
    </row>
    <row r="5040" spans="8:8" x14ac:dyDescent="0.2">
      <c r="H5040">
        <v>0</v>
      </c>
    </row>
    <row r="5041" spans="8:8" x14ac:dyDescent="0.2">
      <c r="H5041">
        <v>0</v>
      </c>
    </row>
    <row r="5042" spans="8:8" x14ac:dyDescent="0.2">
      <c r="H5042">
        <v>0</v>
      </c>
    </row>
    <row r="5043" spans="8:8" x14ac:dyDescent="0.2">
      <c r="H5043">
        <v>0</v>
      </c>
    </row>
    <row r="5044" spans="8:8" x14ac:dyDescent="0.2">
      <c r="H5044">
        <v>0</v>
      </c>
    </row>
    <row r="5045" spans="8:8" x14ac:dyDescent="0.2">
      <c r="H5045">
        <v>0</v>
      </c>
    </row>
    <row r="5046" spans="8:8" x14ac:dyDescent="0.2">
      <c r="H5046">
        <v>0</v>
      </c>
    </row>
    <row r="5047" spans="8:8" x14ac:dyDescent="0.2">
      <c r="H5047">
        <v>0</v>
      </c>
    </row>
    <row r="5048" spans="8:8" x14ac:dyDescent="0.2">
      <c r="H5048">
        <v>0</v>
      </c>
    </row>
    <row r="5049" spans="8:8" x14ac:dyDescent="0.2">
      <c r="H5049">
        <v>0</v>
      </c>
    </row>
    <row r="5050" spans="8:8" x14ac:dyDescent="0.2">
      <c r="H5050">
        <v>0</v>
      </c>
    </row>
    <row r="5051" spans="8:8" x14ac:dyDescent="0.2">
      <c r="H5051">
        <v>0</v>
      </c>
    </row>
    <row r="5052" spans="8:8" x14ac:dyDescent="0.2">
      <c r="H5052">
        <v>0</v>
      </c>
    </row>
    <row r="5053" spans="8:8" x14ac:dyDescent="0.2">
      <c r="H5053">
        <v>0</v>
      </c>
    </row>
    <row r="5054" spans="8:8" x14ac:dyDescent="0.2">
      <c r="H5054">
        <v>0</v>
      </c>
    </row>
    <row r="5055" spans="8:8" x14ac:dyDescent="0.2">
      <c r="H5055">
        <v>0</v>
      </c>
    </row>
    <row r="5056" spans="8:8" x14ac:dyDescent="0.2">
      <c r="H5056">
        <v>0</v>
      </c>
    </row>
    <row r="5057" spans="8:8" x14ac:dyDescent="0.2">
      <c r="H5057">
        <v>0</v>
      </c>
    </row>
    <row r="5058" spans="8:8" x14ac:dyDescent="0.2">
      <c r="H5058">
        <v>0</v>
      </c>
    </row>
    <row r="5059" spans="8:8" x14ac:dyDescent="0.2">
      <c r="H5059">
        <v>0</v>
      </c>
    </row>
    <row r="5060" spans="8:8" x14ac:dyDescent="0.2">
      <c r="H5060">
        <v>0</v>
      </c>
    </row>
    <row r="5061" spans="8:8" x14ac:dyDescent="0.2">
      <c r="H5061">
        <v>0</v>
      </c>
    </row>
    <row r="5062" spans="8:8" x14ac:dyDescent="0.2">
      <c r="H5062">
        <v>0</v>
      </c>
    </row>
    <row r="5063" spans="8:8" x14ac:dyDescent="0.2">
      <c r="H5063">
        <v>0</v>
      </c>
    </row>
    <row r="5064" spans="8:8" x14ac:dyDescent="0.2">
      <c r="H5064">
        <v>0</v>
      </c>
    </row>
    <row r="5065" spans="8:8" x14ac:dyDescent="0.2">
      <c r="H5065">
        <v>0</v>
      </c>
    </row>
    <row r="5066" spans="8:8" x14ac:dyDescent="0.2">
      <c r="H5066">
        <v>0</v>
      </c>
    </row>
    <row r="5067" spans="8:8" x14ac:dyDescent="0.2">
      <c r="H5067">
        <v>0</v>
      </c>
    </row>
    <row r="5068" spans="8:8" x14ac:dyDescent="0.2">
      <c r="H5068">
        <v>0</v>
      </c>
    </row>
    <row r="5069" spans="8:8" x14ac:dyDescent="0.2">
      <c r="H5069">
        <v>0</v>
      </c>
    </row>
    <row r="5070" spans="8:8" x14ac:dyDescent="0.2">
      <c r="H5070">
        <v>0</v>
      </c>
    </row>
    <row r="5071" spans="8:8" x14ac:dyDescent="0.2">
      <c r="H5071">
        <v>0</v>
      </c>
    </row>
    <row r="5072" spans="8:8" x14ac:dyDescent="0.2">
      <c r="H5072">
        <v>0</v>
      </c>
    </row>
    <row r="5073" spans="8:8" x14ac:dyDescent="0.2">
      <c r="H5073">
        <v>0</v>
      </c>
    </row>
    <row r="5074" spans="8:8" x14ac:dyDescent="0.2">
      <c r="H5074">
        <v>0</v>
      </c>
    </row>
    <row r="5075" spans="8:8" x14ac:dyDescent="0.2">
      <c r="H5075">
        <v>0</v>
      </c>
    </row>
    <row r="5076" spans="8:8" x14ac:dyDescent="0.2">
      <c r="H5076">
        <v>0</v>
      </c>
    </row>
    <row r="5077" spans="8:8" x14ac:dyDescent="0.2">
      <c r="H5077">
        <v>0</v>
      </c>
    </row>
    <row r="5078" spans="8:8" x14ac:dyDescent="0.2">
      <c r="H5078">
        <v>0</v>
      </c>
    </row>
    <row r="5079" spans="8:8" x14ac:dyDescent="0.2">
      <c r="H5079">
        <v>0</v>
      </c>
    </row>
    <row r="5080" spans="8:8" x14ac:dyDescent="0.2">
      <c r="H5080">
        <v>0</v>
      </c>
    </row>
    <row r="5081" spans="8:8" x14ac:dyDescent="0.2">
      <c r="H5081">
        <v>0</v>
      </c>
    </row>
    <row r="5082" spans="8:8" x14ac:dyDescent="0.2">
      <c r="H5082">
        <v>0</v>
      </c>
    </row>
    <row r="5083" spans="8:8" x14ac:dyDescent="0.2">
      <c r="H5083">
        <v>0</v>
      </c>
    </row>
    <row r="5084" spans="8:8" x14ac:dyDescent="0.2">
      <c r="H5084">
        <v>0</v>
      </c>
    </row>
    <row r="5085" spans="8:8" x14ac:dyDescent="0.2">
      <c r="H5085">
        <v>0</v>
      </c>
    </row>
    <row r="5086" spans="8:8" x14ac:dyDescent="0.2">
      <c r="H5086">
        <v>0</v>
      </c>
    </row>
    <row r="5087" spans="8:8" x14ac:dyDescent="0.2">
      <c r="H5087">
        <v>0</v>
      </c>
    </row>
    <row r="5088" spans="8:8" x14ac:dyDescent="0.2">
      <c r="H5088">
        <v>0</v>
      </c>
    </row>
    <row r="5089" spans="8:8" x14ac:dyDescent="0.2">
      <c r="H5089">
        <v>0</v>
      </c>
    </row>
    <row r="5090" spans="8:8" x14ac:dyDescent="0.2">
      <c r="H5090">
        <v>0</v>
      </c>
    </row>
    <row r="5091" spans="8:8" x14ac:dyDescent="0.2">
      <c r="H5091">
        <v>0</v>
      </c>
    </row>
    <row r="5092" spans="8:8" x14ac:dyDescent="0.2">
      <c r="H5092">
        <v>0</v>
      </c>
    </row>
    <row r="5093" spans="8:8" x14ac:dyDescent="0.2">
      <c r="H5093">
        <v>0</v>
      </c>
    </row>
    <row r="5094" spans="8:8" x14ac:dyDescent="0.2">
      <c r="H5094">
        <v>0</v>
      </c>
    </row>
    <row r="5095" spans="8:8" x14ac:dyDescent="0.2">
      <c r="H5095">
        <v>0</v>
      </c>
    </row>
    <row r="5096" spans="8:8" x14ac:dyDescent="0.2">
      <c r="H5096">
        <v>0</v>
      </c>
    </row>
    <row r="5097" spans="8:8" x14ac:dyDescent="0.2">
      <c r="H5097">
        <v>0</v>
      </c>
    </row>
    <row r="5098" spans="8:8" x14ac:dyDescent="0.2">
      <c r="H5098">
        <v>0</v>
      </c>
    </row>
    <row r="5099" spans="8:8" x14ac:dyDescent="0.2">
      <c r="H5099">
        <v>0</v>
      </c>
    </row>
    <row r="5100" spans="8:8" x14ac:dyDescent="0.2">
      <c r="H5100">
        <v>0</v>
      </c>
    </row>
    <row r="5101" spans="8:8" x14ac:dyDescent="0.2">
      <c r="H5101">
        <v>0</v>
      </c>
    </row>
    <row r="5102" spans="8:8" x14ac:dyDescent="0.2">
      <c r="H5102">
        <v>0</v>
      </c>
    </row>
    <row r="5103" spans="8:8" x14ac:dyDescent="0.2">
      <c r="H5103">
        <v>0</v>
      </c>
    </row>
    <row r="5104" spans="8:8" x14ac:dyDescent="0.2">
      <c r="H5104">
        <v>0</v>
      </c>
    </row>
    <row r="5105" spans="8:8" x14ac:dyDescent="0.2">
      <c r="H5105">
        <v>0</v>
      </c>
    </row>
    <row r="5106" spans="8:8" x14ac:dyDescent="0.2">
      <c r="H5106">
        <v>0</v>
      </c>
    </row>
    <row r="5107" spans="8:8" x14ac:dyDescent="0.2">
      <c r="H5107">
        <v>0</v>
      </c>
    </row>
    <row r="5108" spans="8:8" x14ac:dyDescent="0.2">
      <c r="H5108">
        <v>0</v>
      </c>
    </row>
    <row r="5109" spans="8:8" x14ac:dyDescent="0.2">
      <c r="H5109">
        <v>0</v>
      </c>
    </row>
    <row r="5110" spans="8:8" x14ac:dyDescent="0.2">
      <c r="H5110">
        <v>0</v>
      </c>
    </row>
    <row r="5111" spans="8:8" x14ac:dyDescent="0.2">
      <c r="H5111">
        <v>0</v>
      </c>
    </row>
    <row r="5112" spans="8:8" x14ac:dyDescent="0.2">
      <c r="H5112">
        <v>0</v>
      </c>
    </row>
    <row r="5113" spans="8:8" x14ac:dyDescent="0.2">
      <c r="H5113">
        <v>0</v>
      </c>
    </row>
    <row r="5114" spans="8:8" x14ac:dyDescent="0.2">
      <c r="H5114">
        <v>0</v>
      </c>
    </row>
    <row r="5115" spans="8:8" x14ac:dyDescent="0.2">
      <c r="H5115">
        <v>0</v>
      </c>
    </row>
    <row r="5116" spans="8:8" x14ac:dyDescent="0.2">
      <c r="H5116">
        <v>0</v>
      </c>
    </row>
    <row r="5117" spans="8:8" x14ac:dyDescent="0.2">
      <c r="H5117">
        <v>0</v>
      </c>
    </row>
    <row r="5118" spans="8:8" x14ac:dyDescent="0.2">
      <c r="H5118">
        <v>0</v>
      </c>
    </row>
    <row r="5119" spans="8:8" x14ac:dyDescent="0.2">
      <c r="H5119">
        <v>0</v>
      </c>
    </row>
    <row r="5120" spans="8:8" x14ac:dyDescent="0.2">
      <c r="H5120">
        <v>0</v>
      </c>
    </row>
    <row r="5121" spans="8:8" x14ac:dyDescent="0.2">
      <c r="H5121">
        <v>0</v>
      </c>
    </row>
    <row r="5122" spans="8:8" x14ac:dyDescent="0.2">
      <c r="H5122">
        <v>0</v>
      </c>
    </row>
    <row r="5123" spans="8:8" x14ac:dyDescent="0.2">
      <c r="H5123">
        <v>0</v>
      </c>
    </row>
    <row r="5124" spans="8:8" x14ac:dyDescent="0.2">
      <c r="H5124">
        <v>0</v>
      </c>
    </row>
    <row r="5125" spans="8:8" x14ac:dyDescent="0.2">
      <c r="H5125">
        <v>0</v>
      </c>
    </row>
    <row r="5126" spans="8:8" x14ac:dyDescent="0.2">
      <c r="H5126">
        <v>0</v>
      </c>
    </row>
    <row r="5127" spans="8:8" x14ac:dyDescent="0.2">
      <c r="H5127">
        <v>0</v>
      </c>
    </row>
    <row r="5128" spans="8:8" x14ac:dyDescent="0.2">
      <c r="H5128">
        <v>0</v>
      </c>
    </row>
    <row r="5129" spans="8:8" x14ac:dyDescent="0.2">
      <c r="H5129">
        <v>0</v>
      </c>
    </row>
    <row r="5130" spans="8:8" x14ac:dyDescent="0.2">
      <c r="H5130">
        <v>0</v>
      </c>
    </row>
    <row r="5131" spans="8:8" x14ac:dyDescent="0.2">
      <c r="H5131">
        <v>0</v>
      </c>
    </row>
    <row r="5132" spans="8:8" x14ac:dyDescent="0.2">
      <c r="H5132">
        <v>0</v>
      </c>
    </row>
    <row r="5133" spans="8:8" x14ac:dyDescent="0.2">
      <c r="H5133">
        <v>0</v>
      </c>
    </row>
    <row r="5134" spans="8:8" x14ac:dyDescent="0.2">
      <c r="H5134">
        <v>0</v>
      </c>
    </row>
    <row r="5135" spans="8:8" x14ac:dyDescent="0.2">
      <c r="H5135">
        <v>0</v>
      </c>
    </row>
    <row r="5136" spans="8:8" x14ac:dyDescent="0.2">
      <c r="H5136">
        <v>0</v>
      </c>
    </row>
    <row r="5137" spans="8:8" x14ac:dyDescent="0.2">
      <c r="H5137">
        <v>0</v>
      </c>
    </row>
    <row r="5138" spans="8:8" x14ac:dyDescent="0.2">
      <c r="H5138">
        <v>0</v>
      </c>
    </row>
    <row r="5139" spans="8:8" x14ac:dyDescent="0.2">
      <c r="H5139">
        <v>0</v>
      </c>
    </row>
    <row r="5140" spans="8:8" x14ac:dyDescent="0.2">
      <c r="H5140">
        <v>0</v>
      </c>
    </row>
    <row r="5141" spans="8:8" x14ac:dyDescent="0.2">
      <c r="H5141">
        <v>0</v>
      </c>
    </row>
    <row r="5142" spans="8:8" x14ac:dyDescent="0.2">
      <c r="H5142">
        <v>0</v>
      </c>
    </row>
    <row r="5143" spans="8:8" x14ac:dyDescent="0.2">
      <c r="H5143">
        <v>0</v>
      </c>
    </row>
    <row r="5144" spans="8:8" x14ac:dyDescent="0.2">
      <c r="H5144">
        <v>0</v>
      </c>
    </row>
    <row r="5145" spans="8:8" x14ac:dyDescent="0.2">
      <c r="H5145">
        <v>0</v>
      </c>
    </row>
    <row r="5146" spans="8:8" x14ac:dyDescent="0.2">
      <c r="H5146">
        <v>0</v>
      </c>
    </row>
    <row r="5147" spans="8:8" x14ac:dyDescent="0.2">
      <c r="H5147">
        <v>0</v>
      </c>
    </row>
    <row r="5148" spans="8:8" x14ac:dyDescent="0.2">
      <c r="H5148">
        <v>0</v>
      </c>
    </row>
    <row r="5149" spans="8:8" x14ac:dyDescent="0.2">
      <c r="H5149">
        <v>0</v>
      </c>
    </row>
    <row r="5150" spans="8:8" x14ac:dyDescent="0.2">
      <c r="H5150">
        <v>0</v>
      </c>
    </row>
    <row r="5151" spans="8:8" x14ac:dyDescent="0.2">
      <c r="H5151">
        <v>0</v>
      </c>
    </row>
    <row r="5152" spans="8:8" x14ac:dyDescent="0.2">
      <c r="H5152">
        <v>0</v>
      </c>
    </row>
    <row r="5153" spans="8:8" x14ac:dyDescent="0.2">
      <c r="H5153">
        <v>0</v>
      </c>
    </row>
    <row r="5154" spans="8:8" x14ac:dyDescent="0.2">
      <c r="H5154">
        <v>0</v>
      </c>
    </row>
    <row r="5155" spans="8:8" x14ac:dyDescent="0.2">
      <c r="H5155">
        <v>0</v>
      </c>
    </row>
    <row r="5156" spans="8:8" x14ac:dyDescent="0.2">
      <c r="H5156">
        <v>0</v>
      </c>
    </row>
    <row r="5157" spans="8:8" x14ac:dyDescent="0.2">
      <c r="H5157">
        <v>0</v>
      </c>
    </row>
    <row r="5158" spans="8:8" x14ac:dyDescent="0.2">
      <c r="H5158">
        <v>0</v>
      </c>
    </row>
    <row r="5159" spans="8:8" x14ac:dyDescent="0.2">
      <c r="H5159">
        <v>0</v>
      </c>
    </row>
    <row r="5160" spans="8:8" x14ac:dyDescent="0.2">
      <c r="H5160">
        <v>0</v>
      </c>
    </row>
    <row r="5161" spans="8:8" x14ac:dyDescent="0.2">
      <c r="H5161">
        <v>0</v>
      </c>
    </row>
    <row r="5162" spans="8:8" x14ac:dyDescent="0.2">
      <c r="H5162">
        <v>0</v>
      </c>
    </row>
    <row r="5163" spans="8:8" x14ac:dyDescent="0.2">
      <c r="H5163">
        <v>0</v>
      </c>
    </row>
    <row r="5164" spans="8:8" x14ac:dyDescent="0.2">
      <c r="H5164">
        <v>0</v>
      </c>
    </row>
    <row r="5165" spans="8:8" x14ac:dyDescent="0.2">
      <c r="H5165">
        <v>0</v>
      </c>
    </row>
    <row r="5166" spans="8:8" x14ac:dyDescent="0.2">
      <c r="H5166">
        <v>0</v>
      </c>
    </row>
    <row r="5167" spans="8:8" x14ac:dyDescent="0.2">
      <c r="H5167">
        <v>0</v>
      </c>
    </row>
    <row r="5168" spans="8:8" x14ac:dyDescent="0.2">
      <c r="H5168">
        <v>0</v>
      </c>
    </row>
    <row r="5169" spans="8:8" x14ac:dyDescent="0.2">
      <c r="H5169">
        <v>0</v>
      </c>
    </row>
    <row r="5170" spans="8:8" x14ac:dyDescent="0.2">
      <c r="H5170">
        <v>0</v>
      </c>
    </row>
    <row r="5171" spans="8:8" x14ac:dyDescent="0.2">
      <c r="H5171">
        <v>0</v>
      </c>
    </row>
    <row r="5172" spans="8:8" x14ac:dyDescent="0.2">
      <c r="H5172">
        <v>0</v>
      </c>
    </row>
    <row r="5173" spans="8:8" x14ac:dyDescent="0.2">
      <c r="H5173">
        <v>0</v>
      </c>
    </row>
    <row r="5174" spans="8:8" x14ac:dyDescent="0.2">
      <c r="H5174">
        <v>0</v>
      </c>
    </row>
    <row r="5175" spans="8:8" x14ac:dyDescent="0.2">
      <c r="H5175">
        <v>0</v>
      </c>
    </row>
    <row r="5176" spans="8:8" x14ac:dyDescent="0.2">
      <c r="H5176">
        <v>0</v>
      </c>
    </row>
    <row r="5177" spans="8:8" x14ac:dyDescent="0.2">
      <c r="H5177">
        <v>0</v>
      </c>
    </row>
    <row r="5178" spans="8:8" x14ac:dyDescent="0.2">
      <c r="H5178">
        <v>0</v>
      </c>
    </row>
    <row r="5179" spans="8:8" x14ac:dyDescent="0.2">
      <c r="H5179">
        <v>0</v>
      </c>
    </row>
    <row r="5180" spans="8:8" x14ac:dyDescent="0.2">
      <c r="H5180">
        <v>0</v>
      </c>
    </row>
    <row r="5181" spans="8:8" x14ac:dyDescent="0.2">
      <c r="H5181">
        <v>0</v>
      </c>
    </row>
    <row r="5182" spans="8:8" x14ac:dyDescent="0.2">
      <c r="H5182">
        <v>0</v>
      </c>
    </row>
    <row r="5183" spans="8:8" x14ac:dyDescent="0.2">
      <c r="H5183">
        <v>0</v>
      </c>
    </row>
    <row r="5184" spans="8:8" x14ac:dyDescent="0.2">
      <c r="H5184">
        <v>0</v>
      </c>
    </row>
    <row r="5185" spans="8:8" x14ac:dyDescent="0.2">
      <c r="H5185">
        <v>0</v>
      </c>
    </row>
    <row r="5186" spans="8:8" x14ac:dyDescent="0.2">
      <c r="H5186">
        <v>0</v>
      </c>
    </row>
    <row r="5187" spans="8:8" x14ac:dyDescent="0.2">
      <c r="H5187">
        <v>0</v>
      </c>
    </row>
    <row r="5188" spans="8:8" x14ac:dyDescent="0.2">
      <c r="H5188">
        <v>0</v>
      </c>
    </row>
    <row r="5189" spans="8:8" x14ac:dyDescent="0.2">
      <c r="H5189">
        <v>0</v>
      </c>
    </row>
    <row r="5190" spans="8:8" x14ac:dyDescent="0.2">
      <c r="H5190">
        <v>0</v>
      </c>
    </row>
    <row r="5191" spans="8:8" x14ac:dyDescent="0.2">
      <c r="H5191">
        <v>0</v>
      </c>
    </row>
    <row r="5192" spans="8:8" x14ac:dyDescent="0.2">
      <c r="H5192">
        <v>0</v>
      </c>
    </row>
    <row r="5193" spans="8:8" x14ac:dyDescent="0.2">
      <c r="H5193">
        <v>0</v>
      </c>
    </row>
    <row r="5194" spans="8:8" x14ac:dyDescent="0.2">
      <c r="H5194">
        <v>0</v>
      </c>
    </row>
    <row r="5195" spans="8:8" x14ac:dyDescent="0.2">
      <c r="H5195">
        <v>0</v>
      </c>
    </row>
    <row r="5196" spans="8:8" x14ac:dyDescent="0.2">
      <c r="H5196">
        <v>0</v>
      </c>
    </row>
    <row r="5197" spans="8:8" x14ac:dyDescent="0.2">
      <c r="H5197">
        <v>0</v>
      </c>
    </row>
    <row r="5198" spans="8:8" x14ac:dyDescent="0.2">
      <c r="H5198">
        <v>0</v>
      </c>
    </row>
    <row r="5199" spans="8:8" x14ac:dyDescent="0.2">
      <c r="H5199">
        <v>0</v>
      </c>
    </row>
    <row r="5200" spans="8:8" x14ac:dyDescent="0.2">
      <c r="H5200">
        <v>0</v>
      </c>
    </row>
    <row r="5201" spans="8:8" x14ac:dyDescent="0.2">
      <c r="H5201">
        <v>0</v>
      </c>
    </row>
    <row r="5202" spans="8:8" x14ac:dyDescent="0.2">
      <c r="H5202">
        <v>0</v>
      </c>
    </row>
    <row r="5203" spans="8:8" x14ac:dyDescent="0.2">
      <c r="H5203">
        <v>0</v>
      </c>
    </row>
    <row r="5204" spans="8:8" x14ac:dyDescent="0.2">
      <c r="H5204">
        <v>0</v>
      </c>
    </row>
    <row r="5205" spans="8:8" x14ac:dyDescent="0.2">
      <c r="H5205">
        <v>0</v>
      </c>
    </row>
    <row r="5206" spans="8:8" x14ac:dyDescent="0.2">
      <c r="H5206">
        <v>0</v>
      </c>
    </row>
    <row r="5207" spans="8:8" x14ac:dyDescent="0.2">
      <c r="H5207">
        <v>0</v>
      </c>
    </row>
    <row r="5208" spans="8:8" x14ac:dyDescent="0.2">
      <c r="H5208">
        <v>0</v>
      </c>
    </row>
    <row r="5209" spans="8:8" x14ac:dyDescent="0.2">
      <c r="H5209">
        <v>0</v>
      </c>
    </row>
    <row r="5210" spans="8:8" x14ac:dyDescent="0.2">
      <c r="H5210">
        <v>0</v>
      </c>
    </row>
    <row r="5211" spans="8:8" x14ac:dyDescent="0.2">
      <c r="H5211">
        <v>0</v>
      </c>
    </row>
    <row r="5212" spans="8:8" x14ac:dyDescent="0.2">
      <c r="H5212">
        <v>0</v>
      </c>
    </row>
    <row r="5213" spans="8:8" x14ac:dyDescent="0.2">
      <c r="H5213">
        <v>0</v>
      </c>
    </row>
    <row r="5214" spans="8:8" x14ac:dyDescent="0.2">
      <c r="H5214">
        <v>0</v>
      </c>
    </row>
    <row r="5215" spans="8:8" x14ac:dyDescent="0.2">
      <c r="H5215">
        <v>0</v>
      </c>
    </row>
    <row r="5216" spans="8:8" x14ac:dyDescent="0.2">
      <c r="H5216">
        <v>0</v>
      </c>
    </row>
    <row r="5217" spans="8:8" x14ac:dyDescent="0.2">
      <c r="H5217">
        <v>0</v>
      </c>
    </row>
    <row r="5218" spans="8:8" x14ac:dyDescent="0.2">
      <c r="H5218">
        <v>0</v>
      </c>
    </row>
    <row r="5219" spans="8:8" x14ac:dyDescent="0.2">
      <c r="H5219">
        <v>0</v>
      </c>
    </row>
    <row r="5220" spans="8:8" x14ac:dyDescent="0.2">
      <c r="H5220">
        <v>0</v>
      </c>
    </row>
    <row r="5221" spans="8:8" x14ac:dyDescent="0.2">
      <c r="H5221">
        <v>0</v>
      </c>
    </row>
    <row r="5222" spans="8:8" x14ac:dyDescent="0.2">
      <c r="H5222">
        <v>0</v>
      </c>
    </row>
    <row r="5223" spans="8:8" x14ac:dyDescent="0.2">
      <c r="H5223">
        <v>0</v>
      </c>
    </row>
    <row r="5224" spans="8:8" x14ac:dyDescent="0.2">
      <c r="H5224">
        <v>0</v>
      </c>
    </row>
    <row r="5225" spans="8:8" x14ac:dyDescent="0.2">
      <c r="H5225">
        <v>0</v>
      </c>
    </row>
    <row r="5226" spans="8:8" x14ac:dyDescent="0.2">
      <c r="H5226">
        <v>0</v>
      </c>
    </row>
    <row r="5227" spans="8:8" x14ac:dyDescent="0.2">
      <c r="H5227">
        <v>0</v>
      </c>
    </row>
    <row r="5228" spans="8:8" x14ac:dyDescent="0.2">
      <c r="H5228">
        <v>0</v>
      </c>
    </row>
    <row r="5229" spans="8:8" x14ac:dyDescent="0.2">
      <c r="H5229">
        <v>0</v>
      </c>
    </row>
    <row r="5230" spans="8:8" x14ac:dyDescent="0.2">
      <c r="H5230">
        <v>0</v>
      </c>
    </row>
    <row r="5231" spans="8:8" x14ac:dyDescent="0.2">
      <c r="H5231">
        <v>0</v>
      </c>
    </row>
    <row r="5232" spans="8:8" x14ac:dyDescent="0.2">
      <c r="H5232">
        <v>0</v>
      </c>
    </row>
    <row r="5233" spans="8:8" x14ac:dyDescent="0.2">
      <c r="H5233">
        <v>0</v>
      </c>
    </row>
    <row r="5234" spans="8:8" x14ac:dyDescent="0.2">
      <c r="H5234">
        <v>0</v>
      </c>
    </row>
    <row r="5235" spans="8:8" x14ac:dyDescent="0.2">
      <c r="H5235">
        <v>0</v>
      </c>
    </row>
    <row r="5236" spans="8:8" x14ac:dyDescent="0.2">
      <c r="H5236">
        <v>0</v>
      </c>
    </row>
    <row r="5237" spans="8:8" x14ac:dyDescent="0.2">
      <c r="H5237">
        <v>0</v>
      </c>
    </row>
    <row r="5238" spans="8:8" x14ac:dyDescent="0.2">
      <c r="H5238">
        <v>0</v>
      </c>
    </row>
    <row r="5239" spans="8:8" x14ac:dyDescent="0.2">
      <c r="H5239">
        <v>0</v>
      </c>
    </row>
    <row r="5240" spans="8:8" x14ac:dyDescent="0.2">
      <c r="H5240">
        <v>0</v>
      </c>
    </row>
    <row r="5241" spans="8:8" x14ac:dyDescent="0.2">
      <c r="H5241">
        <v>0</v>
      </c>
    </row>
    <row r="5242" spans="8:8" x14ac:dyDescent="0.2">
      <c r="H5242">
        <v>0</v>
      </c>
    </row>
    <row r="5243" spans="8:8" x14ac:dyDescent="0.2">
      <c r="H5243">
        <v>0</v>
      </c>
    </row>
    <row r="5244" spans="8:8" x14ac:dyDescent="0.2">
      <c r="H5244">
        <v>0</v>
      </c>
    </row>
    <row r="5245" spans="8:8" x14ac:dyDescent="0.2">
      <c r="H5245">
        <v>0</v>
      </c>
    </row>
    <row r="5246" spans="8:8" x14ac:dyDescent="0.2">
      <c r="H5246">
        <v>0</v>
      </c>
    </row>
    <row r="5247" spans="8:8" x14ac:dyDescent="0.2">
      <c r="H5247">
        <v>0</v>
      </c>
    </row>
    <row r="5248" spans="8:8" x14ac:dyDescent="0.2">
      <c r="H5248">
        <v>0</v>
      </c>
    </row>
    <row r="5249" spans="8:8" x14ac:dyDescent="0.2">
      <c r="H5249">
        <v>0</v>
      </c>
    </row>
    <row r="5250" spans="8:8" x14ac:dyDescent="0.2">
      <c r="H5250">
        <v>0</v>
      </c>
    </row>
    <row r="5251" spans="8:8" x14ac:dyDescent="0.2">
      <c r="H5251">
        <v>0</v>
      </c>
    </row>
    <row r="5252" spans="8:8" x14ac:dyDescent="0.2">
      <c r="H5252">
        <v>0</v>
      </c>
    </row>
    <row r="5253" spans="8:8" x14ac:dyDescent="0.2">
      <c r="H5253">
        <v>0</v>
      </c>
    </row>
    <row r="5254" spans="8:8" x14ac:dyDescent="0.2">
      <c r="H5254">
        <v>0</v>
      </c>
    </row>
    <row r="5255" spans="8:8" x14ac:dyDescent="0.2">
      <c r="H5255">
        <v>0</v>
      </c>
    </row>
    <row r="5256" spans="8:8" x14ac:dyDescent="0.2">
      <c r="H5256">
        <v>0</v>
      </c>
    </row>
    <row r="5257" spans="8:8" x14ac:dyDescent="0.2">
      <c r="H5257">
        <v>0</v>
      </c>
    </row>
    <row r="5258" spans="8:8" x14ac:dyDescent="0.2">
      <c r="H5258">
        <v>0</v>
      </c>
    </row>
    <row r="5259" spans="8:8" x14ac:dyDescent="0.2">
      <c r="H5259">
        <v>0</v>
      </c>
    </row>
    <row r="5260" spans="8:8" x14ac:dyDescent="0.2">
      <c r="H5260">
        <v>0</v>
      </c>
    </row>
    <row r="5261" spans="8:8" x14ac:dyDescent="0.2">
      <c r="H5261">
        <v>0</v>
      </c>
    </row>
    <row r="5262" spans="8:8" x14ac:dyDescent="0.2">
      <c r="H5262">
        <v>0</v>
      </c>
    </row>
    <row r="5263" spans="8:8" x14ac:dyDescent="0.2">
      <c r="H5263">
        <v>0</v>
      </c>
    </row>
    <row r="5264" spans="8:8" x14ac:dyDescent="0.2">
      <c r="H5264">
        <v>0</v>
      </c>
    </row>
    <row r="5265" spans="8:8" x14ac:dyDescent="0.2">
      <c r="H5265">
        <v>0</v>
      </c>
    </row>
    <row r="5266" spans="8:8" x14ac:dyDescent="0.2">
      <c r="H5266">
        <v>0</v>
      </c>
    </row>
    <row r="5267" spans="8:8" x14ac:dyDescent="0.2">
      <c r="H5267">
        <v>0</v>
      </c>
    </row>
    <row r="5268" spans="8:8" x14ac:dyDescent="0.2">
      <c r="H5268">
        <v>0</v>
      </c>
    </row>
    <row r="5269" spans="8:8" x14ac:dyDescent="0.2">
      <c r="H5269">
        <v>0</v>
      </c>
    </row>
    <row r="5270" spans="8:8" x14ac:dyDescent="0.2">
      <c r="H5270">
        <v>0</v>
      </c>
    </row>
    <row r="5271" spans="8:8" x14ac:dyDescent="0.2">
      <c r="H5271">
        <v>0</v>
      </c>
    </row>
    <row r="5272" spans="8:8" x14ac:dyDescent="0.2">
      <c r="H5272">
        <v>0</v>
      </c>
    </row>
    <row r="5273" spans="8:8" x14ac:dyDescent="0.2">
      <c r="H5273">
        <v>0</v>
      </c>
    </row>
    <row r="5274" spans="8:8" x14ac:dyDescent="0.2">
      <c r="H5274">
        <v>0</v>
      </c>
    </row>
    <row r="5275" spans="8:8" x14ac:dyDescent="0.2">
      <c r="H5275">
        <v>0</v>
      </c>
    </row>
    <row r="5276" spans="8:8" x14ac:dyDescent="0.2">
      <c r="H5276">
        <v>0</v>
      </c>
    </row>
    <row r="5277" spans="8:8" x14ac:dyDescent="0.2">
      <c r="H5277">
        <v>0</v>
      </c>
    </row>
    <row r="5278" spans="8:8" x14ac:dyDescent="0.2">
      <c r="H5278">
        <v>0</v>
      </c>
    </row>
    <row r="5279" spans="8:8" x14ac:dyDescent="0.2">
      <c r="H5279">
        <v>0</v>
      </c>
    </row>
    <row r="5280" spans="8:8" x14ac:dyDescent="0.2">
      <c r="H5280">
        <v>0</v>
      </c>
    </row>
    <row r="5281" spans="8:8" x14ac:dyDescent="0.2">
      <c r="H5281">
        <v>0</v>
      </c>
    </row>
    <row r="5282" spans="8:8" x14ac:dyDescent="0.2">
      <c r="H5282">
        <v>0</v>
      </c>
    </row>
    <row r="5283" spans="8:8" x14ac:dyDescent="0.2">
      <c r="H5283">
        <v>0</v>
      </c>
    </row>
    <row r="5284" spans="8:8" x14ac:dyDescent="0.2">
      <c r="H5284">
        <v>0</v>
      </c>
    </row>
    <row r="5285" spans="8:8" x14ac:dyDescent="0.2">
      <c r="H5285">
        <v>0</v>
      </c>
    </row>
    <row r="5286" spans="8:8" x14ac:dyDescent="0.2">
      <c r="H5286">
        <v>0</v>
      </c>
    </row>
    <row r="5287" spans="8:8" x14ac:dyDescent="0.2">
      <c r="H5287">
        <v>0</v>
      </c>
    </row>
    <row r="5288" spans="8:8" x14ac:dyDescent="0.2">
      <c r="H5288">
        <v>0</v>
      </c>
    </row>
    <row r="5289" spans="8:8" x14ac:dyDescent="0.2">
      <c r="H5289">
        <v>0</v>
      </c>
    </row>
    <row r="5290" spans="8:8" x14ac:dyDescent="0.2">
      <c r="H5290">
        <v>0</v>
      </c>
    </row>
    <row r="5291" spans="8:8" x14ac:dyDescent="0.2">
      <c r="H5291">
        <v>0</v>
      </c>
    </row>
    <row r="5292" spans="8:8" x14ac:dyDescent="0.2">
      <c r="H5292">
        <v>0</v>
      </c>
    </row>
    <row r="5293" spans="8:8" x14ac:dyDescent="0.2">
      <c r="H5293">
        <v>0</v>
      </c>
    </row>
    <row r="5294" spans="8:8" x14ac:dyDescent="0.2">
      <c r="H5294">
        <v>0</v>
      </c>
    </row>
    <row r="5295" spans="8:8" x14ac:dyDescent="0.2">
      <c r="H5295">
        <v>0</v>
      </c>
    </row>
    <row r="5296" spans="8:8" x14ac:dyDescent="0.2">
      <c r="H5296">
        <v>0</v>
      </c>
    </row>
    <row r="5297" spans="8:8" x14ac:dyDescent="0.2">
      <c r="H5297">
        <v>0</v>
      </c>
    </row>
    <row r="5298" spans="8:8" x14ac:dyDescent="0.2">
      <c r="H5298">
        <v>0</v>
      </c>
    </row>
    <row r="5299" spans="8:8" x14ac:dyDescent="0.2">
      <c r="H5299">
        <v>0</v>
      </c>
    </row>
    <row r="5300" spans="8:8" x14ac:dyDescent="0.2">
      <c r="H5300">
        <v>0</v>
      </c>
    </row>
    <row r="5301" spans="8:8" x14ac:dyDescent="0.2">
      <c r="H5301">
        <v>0</v>
      </c>
    </row>
    <row r="5302" spans="8:8" x14ac:dyDescent="0.2">
      <c r="H5302">
        <v>0</v>
      </c>
    </row>
    <row r="5303" spans="8:8" x14ac:dyDescent="0.2">
      <c r="H5303">
        <v>0</v>
      </c>
    </row>
    <row r="5304" spans="8:8" x14ac:dyDescent="0.2">
      <c r="H5304">
        <v>0</v>
      </c>
    </row>
    <row r="5305" spans="8:8" x14ac:dyDescent="0.2">
      <c r="H5305">
        <v>0</v>
      </c>
    </row>
    <row r="5306" spans="8:8" x14ac:dyDescent="0.2">
      <c r="H5306">
        <v>0</v>
      </c>
    </row>
    <row r="5307" spans="8:8" x14ac:dyDescent="0.2">
      <c r="H5307">
        <v>0</v>
      </c>
    </row>
    <row r="5308" spans="8:8" x14ac:dyDescent="0.2">
      <c r="H5308">
        <v>0</v>
      </c>
    </row>
    <row r="5309" spans="8:8" x14ac:dyDescent="0.2">
      <c r="H5309">
        <v>0</v>
      </c>
    </row>
    <row r="5310" spans="8:8" x14ac:dyDescent="0.2">
      <c r="H5310">
        <v>0</v>
      </c>
    </row>
    <row r="5311" spans="8:8" x14ac:dyDescent="0.2">
      <c r="H5311">
        <v>0</v>
      </c>
    </row>
    <row r="5312" spans="8:8" x14ac:dyDescent="0.2">
      <c r="H5312">
        <v>0</v>
      </c>
    </row>
    <row r="5313" spans="8:8" x14ac:dyDescent="0.2">
      <c r="H5313">
        <v>0</v>
      </c>
    </row>
    <row r="5314" spans="8:8" x14ac:dyDescent="0.2">
      <c r="H5314">
        <v>0</v>
      </c>
    </row>
    <row r="5315" spans="8:8" x14ac:dyDescent="0.2">
      <c r="H5315">
        <v>0</v>
      </c>
    </row>
    <row r="5316" spans="8:8" x14ac:dyDescent="0.2">
      <c r="H5316">
        <v>0</v>
      </c>
    </row>
    <row r="5317" spans="8:8" x14ac:dyDescent="0.2">
      <c r="H5317">
        <v>0</v>
      </c>
    </row>
    <row r="5318" spans="8:8" x14ac:dyDescent="0.2">
      <c r="H5318">
        <v>0</v>
      </c>
    </row>
    <row r="5319" spans="8:8" x14ac:dyDescent="0.2">
      <c r="H5319">
        <v>0</v>
      </c>
    </row>
    <row r="5320" spans="8:8" x14ac:dyDescent="0.2">
      <c r="H5320">
        <v>0</v>
      </c>
    </row>
    <row r="5321" spans="8:8" x14ac:dyDescent="0.2">
      <c r="H5321">
        <v>0</v>
      </c>
    </row>
    <row r="5322" spans="8:8" x14ac:dyDescent="0.2">
      <c r="H5322">
        <v>0</v>
      </c>
    </row>
    <row r="5323" spans="8:8" x14ac:dyDescent="0.2">
      <c r="H5323">
        <v>0</v>
      </c>
    </row>
    <row r="5324" spans="8:8" x14ac:dyDescent="0.2">
      <c r="H5324">
        <v>0</v>
      </c>
    </row>
    <row r="5325" spans="8:8" x14ac:dyDescent="0.2">
      <c r="H5325">
        <v>0</v>
      </c>
    </row>
    <row r="5326" spans="8:8" x14ac:dyDescent="0.2">
      <c r="H5326">
        <v>0</v>
      </c>
    </row>
    <row r="5327" spans="8:8" x14ac:dyDescent="0.2">
      <c r="H5327">
        <v>0</v>
      </c>
    </row>
    <row r="5328" spans="8:8" x14ac:dyDescent="0.2">
      <c r="H5328">
        <v>0</v>
      </c>
    </row>
    <row r="5329" spans="8:8" x14ac:dyDescent="0.2">
      <c r="H5329">
        <v>0</v>
      </c>
    </row>
    <row r="5330" spans="8:8" x14ac:dyDescent="0.2">
      <c r="H5330">
        <v>0</v>
      </c>
    </row>
    <row r="5331" spans="8:8" x14ac:dyDescent="0.2">
      <c r="H5331">
        <v>0</v>
      </c>
    </row>
    <row r="5332" spans="8:8" x14ac:dyDescent="0.2">
      <c r="H5332">
        <v>0</v>
      </c>
    </row>
    <row r="5333" spans="8:8" x14ac:dyDescent="0.2">
      <c r="H5333">
        <v>0</v>
      </c>
    </row>
    <row r="5334" spans="8:8" x14ac:dyDescent="0.2">
      <c r="H5334">
        <v>0</v>
      </c>
    </row>
    <row r="5335" spans="8:8" x14ac:dyDescent="0.2">
      <c r="H5335">
        <v>0</v>
      </c>
    </row>
    <row r="5336" spans="8:8" x14ac:dyDescent="0.2">
      <c r="H5336">
        <v>0</v>
      </c>
    </row>
    <row r="5337" spans="8:8" x14ac:dyDescent="0.2">
      <c r="H5337">
        <v>0</v>
      </c>
    </row>
    <row r="5338" spans="8:8" x14ac:dyDescent="0.2">
      <c r="H5338">
        <v>0</v>
      </c>
    </row>
    <row r="5339" spans="8:8" x14ac:dyDescent="0.2">
      <c r="H5339">
        <v>0</v>
      </c>
    </row>
    <row r="5340" spans="8:8" x14ac:dyDescent="0.2">
      <c r="H5340">
        <v>0</v>
      </c>
    </row>
    <row r="5341" spans="8:8" x14ac:dyDescent="0.2">
      <c r="H5341">
        <v>0</v>
      </c>
    </row>
    <row r="5342" spans="8:8" x14ac:dyDescent="0.2">
      <c r="H5342">
        <v>0</v>
      </c>
    </row>
    <row r="5343" spans="8:8" x14ac:dyDescent="0.2">
      <c r="H5343">
        <v>0</v>
      </c>
    </row>
    <row r="5344" spans="8:8" x14ac:dyDescent="0.2">
      <c r="H5344">
        <v>0</v>
      </c>
    </row>
    <row r="5345" spans="8:8" x14ac:dyDescent="0.2">
      <c r="H5345">
        <v>0</v>
      </c>
    </row>
    <row r="5346" spans="8:8" x14ac:dyDescent="0.2">
      <c r="H5346">
        <v>0</v>
      </c>
    </row>
    <row r="5347" spans="8:8" x14ac:dyDescent="0.2">
      <c r="H5347">
        <v>0</v>
      </c>
    </row>
    <row r="5348" spans="8:8" x14ac:dyDescent="0.2">
      <c r="H5348">
        <v>0</v>
      </c>
    </row>
    <row r="5349" spans="8:8" x14ac:dyDescent="0.2">
      <c r="H5349">
        <v>0</v>
      </c>
    </row>
    <row r="5350" spans="8:8" x14ac:dyDescent="0.2">
      <c r="H5350">
        <v>0</v>
      </c>
    </row>
    <row r="5351" spans="8:8" x14ac:dyDescent="0.2">
      <c r="H5351">
        <v>0</v>
      </c>
    </row>
    <row r="5352" spans="8:8" x14ac:dyDescent="0.2">
      <c r="H5352">
        <v>0</v>
      </c>
    </row>
    <row r="5353" spans="8:8" x14ac:dyDescent="0.2">
      <c r="H5353">
        <v>0</v>
      </c>
    </row>
    <row r="5354" spans="8:8" x14ac:dyDescent="0.2">
      <c r="H5354">
        <v>0</v>
      </c>
    </row>
    <row r="5355" spans="8:8" x14ac:dyDescent="0.2">
      <c r="H5355">
        <v>0</v>
      </c>
    </row>
    <row r="5356" spans="8:8" x14ac:dyDescent="0.2">
      <c r="H5356">
        <v>0</v>
      </c>
    </row>
    <row r="5357" spans="8:8" x14ac:dyDescent="0.2">
      <c r="H5357">
        <v>0</v>
      </c>
    </row>
    <row r="5358" spans="8:8" x14ac:dyDescent="0.2">
      <c r="H5358">
        <v>0</v>
      </c>
    </row>
    <row r="5359" spans="8:8" x14ac:dyDescent="0.2">
      <c r="H5359">
        <v>0</v>
      </c>
    </row>
    <row r="5360" spans="8:8" x14ac:dyDescent="0.2">
      <c r="H5360">
        <v>0</v>
      </c>
    </row>
    <row r="5361" spans="8:8" x14ac:dyDescent="0.2">
      <c r="H5361">
        <v>0</v>
      </c>
    </row>
    <row r="5362" spans="8:8" x14ac:dyDescent="0.2">
      <c r="H5362">
        <v>0</v>
      </c>
    </row>
    <row r="5363" spans="8:8" x14ac:dyDescent="0.2">
      <c r="H5363">
        <v>0</v>
      </c>
    </row>
    <row r="5364" spans="8:8" x14ac:dyDescent="0.2">
      <c r="H5364">
        <v>0</v>
      </c>
    </row>
    <row r="5365" spans="8:8" x14ac:dyDescent="0.2">
      <c r="H5365">
        <v>0</v>
      </c>
    </row>
    <row r="5366" spans="8:8" x14ac:dyDescent="0.2">
      <c r="H5366">
        <v>0</v>
      </c>
    </row>
    <row r="5367" spans="8:8" x14ac:dyDescent="0.2">
      <c r="H5367">
        <v>0</v>
      </c>
    </row>
    <row r="5368" spans="8:8" x14ac:dyDescent="0.2">
      <c r="H5368">
        <v>0</v>
      </c>
    </row>
    <row r="5369" spans="8:8" x14ac:dyDescent="0.2">
      <c r="H5369">
        <v>0</v>
      </c>
    </row>
    <row r="5370" spans="8:8" x14ac:dyDescent="0.2">
      <c r="H5370">
        <v>0</v>
      </c>
    </row>
    <row r="5371" spans="8:8" x14ac:dyDescent="0.2">
      <c r="H5371">
        <v>0</v>
      </c>
    </row>
    <row r="5372" spans="8:8" x14ac:dyDescent="0.2">
      <c r="H5372">
        <v>0</v>
      </c>
    </row>
    <row r="5373" spans="8:8" x14ac:dyDescent="0.2">
      <c r="H5373">
        <v>0</v>
      </c>
    </row>
    <row r="5374" spans="8:8" x14ac:dyDescent="0.2">
      <c r="H5374">
        <v>0</v>
      </c>
    </row>
    <row r="5375" spans="8:8" x14ac:dyDescent="0.2">
      <c r="H5375">
        <v>0</v>
      </c>
    </row>
    <row r="5376" spans="8:8" x14ac:dyDescent="0.2">
      <c r="H5376">
        <v>0</v>
      </c>
    </row>
    <row r="5377" spans="8:8" x14ac:dyDescent="0.2">
      <c r="H5377">
        <v>0</v>
      </c>
    </row>
    <row r="5378" spans="8:8" x14ac:dyDescent="0.2">
      <c r="H5378">
        <v>0</v>
      </c>
    </row>
    <row r="5379" spans="8:8" x14ac:dyDescent="0.2">
      <c r="H5379">
        <v>0</v>
      </c>
    </row>
    <row r="5380" spans="8:8" x14ac:dyDescent="0.2">
      <c r="H5380">
        <v>0</v>
      </c>
    </row>
    <row r="5381" spans="8:8" x14ac:dyDescent="0.2">
      <c r="H5381">
        <v>0</v>
      </c>
    </row>
    <row r="5382" spans="8:8" x14ac:dyDescent="0.2">
      <c r="H5382">
        <v>0</v>
      </c>
    </row>
    <row r="5383" spans="8:8" x14ac:dyDescent="0.2">
      <c r="H5383">
        <v>0</v>
      </c>
    </row>
    <row r="5384" spans="8:8" x14ac:dyDescent="0.2">
      <c r="H5384">
        <v>0</v>
      </c>
    </row>
    <row r="5385" spans="8:8" x14ac:dyDescent="0.2">
      <c r="H5385">
        <v>0</v>
      </c>
    </row>
    <row r="5386" spans="8:8" x14ac:dyDescent="0.2">
      <c r="H5386">
        <v>0</v>
      </c>
    </row>
    <row r="5387" spans="8:8" x14ac:dyDescent="0.2">
      <c r="H5387">
        <v>0</v>
      </c>
    </row>
    <row r="5388" spans="8:8" x14ac:dyDescent="0.2">
      <c r="H5388">
        <v>0</v>
      </c>
    </row>
    <row r="5389" spans="8:8" x14ac:dyDescent="0.2">
      <c r="H5389">
        <v>0</v>
      </c>
    </row>
    <row r="5390" spans="8:8" x14ac:dyDescent="0.2">
      <c r="H5390">
        <v>0</v>
      </c>
    </row>
    <row r="5391" spans="8:8" x14ac:dyDescent="0.2">
      <c r="H5391">
        <v>0</v>
      </c>
    </row>
    <row r="5392" spans="8:8" x14ac:dyDescent="0.2">
      <c r="H5392">
        <v>0</v>
      </c>
    </row>
    <row r="5393" spans="8:8" x14ac:dyDescent="0.2">
      <c r="H5393">
        <v>0</v>
      </c>
    </row>
    <row r="5394" spans="8:8" x14ac:dyDescent="0.2">
      <c r="H5394">
        <v>0</v>
      </c>
    </row>
    <row r="5395" spans="8:8" x14ac:dyDescent="0.2">
      <c r="H5395">
        <v>0</v>
      </c>
    </row>
    <row r="5396" spans="8:8" x14ac:dyDescent="0.2">
      <c r="H5396">
        <v>0</v>
      </c>
    </row>
    <row r="5397" spans="8:8" x14ac:dyDescent="0.2">
      <c r="H5397">
        <v>0</v>
      </c>
    </row>
    <row r="5398" spans="8:8" x14ac:dyDescent="0.2">
      <c r="H5398">
        <v>0</v>
      </c>
    </row>
    <row r="5399" spans="8:8" x14ac:dyDescent="0.2">
      <c r="H5399">
        <v>0</v>
      </c>
    </row>
    <row r="5400" spans="8:8" x14ac:dyDescent="0.2">
      <c r="H5400">
        <v>0</v>
      </c>
    </row>
    <row r="5401" spans="8:8" x14ac:dyDescent="0.2">
      <c r="H5401">
        <v>0</v>
      </c>
    </row>
    <row r="5402" spans="8:8" x14ac:dyDescent="0.2">
      <c r="H5402">
        <v>0</v>
      </c>
    </row>
    <row r="5403" spans="8:8" x14ac:dyDescent="0.2">
      <c r="H5403">
        <v>0</v>
      </c>
    </row>
    <row r="5404" spans="8:8" x14ac:dyDescent="0.2">
      <c r="H5404">
        <v>0</v>
      </c>
    </row>
    <row r="5405" spans="8:8" x14ac:dyDescent="0.2">
      <c r="H5405">
        <v>0</v>
      </c>
    </row>
    <row r="5406" spans="8:8" x14ac:dyDescent="0.2">
      <c r="H5406">
        <v>0</v>
      </c>
    </row>
    <row r="5407" spans="8:8" x14ac:dyDescent="0.2">
      <c r="H5407">
        <v>0</v>
      </c>
    </row>
    <row r="5408" spans="8:8" x14ac:dyDescent="0.2">
      <c r="H5408">
        <v>0</v>
      </c>
    </row>
    <row r="5409" spans="8:8" x14ac:dyDescent="0.2">
      <c r="H5409">
        <v>0</v>
      </c>
    </row>
    <row r="5410" spans="8:8" x14ac:dyDescent="0.2">
      <c r="H5410">
        <v>0</v>
      </c>
    </row>
    <row r="5411" spans="8:8" x14ac:dyDescent="0.2">
      <c r="H5411">
        <v>0</v>
      </c>
    </row>
    <row r="5412" spans="8:8" x14ac:dyDescent="0.2">
      <c r="H5412">
        <v>0</v>
      </c>
    </row>
    <row r="5413" spans="8:8" x14ac:dyDescent="0.2">
      <c r="H5413">
        <v>0</v>
      </c>
    </row>
    <row r="5414" spans="8:8" x14ac:dyDescent="0.2">
      <c r="H5414">
        <v>0</v>
      </c>
    </row>
    <row r="5415" spans="8:8" x14ac:dyDescent="0.2">
      <c r="H5415">
        <v>0</v>
      </c>
    </row>
    <row r="5416" spans="8:8" x14ac:dyDescent="0.2">
      <c r="H5416">
        <v>0</v>
      </c>
    </row>
    <row r="5417" spans="8:8" x14ac:dyDescent="0.2">
      <c r="H5417">
        <v>0</v>
      </c>
    </row>
    <row r="5418" spans="8:8" x14ac:dyDescent="0.2">
      <c r="H5418">
        <v>0</v>
      </c>
    </row>
    <row r="5419" spans="8:8" x14ac:dyDescent="0.2">
      <c r="H5419">
        <v>0</v>
      </c>
    </row>
    <row r="5420" spans="8:8" x14ac:dyDescent="0.2">
      <c r="H5420">
        <v>0</v>
      </c>
    </row>
    <row r="5421" spans="8:8" x14ac:dyDescent="0.2">
      <c r="H5421">
        <v>0</v>
      </c>
    </row>
    <row r="5422" spans="8:8" x14ac:dyDescent="0.2">
      <c r="H5422">
        <v>0</v>
      </c>
    </row>
    <row r="5423" spans="8:8" x14ac:dyDescent="0.2">
      <c r="H5423">
        <v>0</v>
      </c>
    </row>
    <row r="5424" spans="8:8" x14ac:dyDescent="0.2">
      <c r="H5424">
        <v>0</v>
      </c>
    </row>
    <row r="5425" spans="8:8" x14ac:dyDescent="0.2">
      <c r="H5425">
        <v>0</v>
      </c>
    </row>
    <row r="5426" spans="8:8" x14ac:dyDescent="0.2">
      <c r="H5426">
        <v>0</v>
      </c>
    </row>
    <row r="5427" spans="8:8" x14ac:dyDescent="0.2">
      <c r="H5427">
        <v>0</v>
      </c>
    </row>
    <row r="5428" spans="8:8" x14ac:dyDescent="0.2">
      <c r="H5428">
        <v>0</v>
      </c>
    </row>
    <row r="5429" spans="8:8" x14ac:dyDescent="0.2">
      <c r="H5429">
        <v>0</v>
      </c>
    </row>
    <row r="5430" spans="8:8" x14ac:dyDescent="0.2">
      <c r="H5430">
        <v>0</v>
      </c>
    </row>
    <row r="5431" spans="8:8" x14ac:dyDescent="0.2">
      <c r="H5431">
        <v>0</v>
      </c>
    </row>
    <row r="5432" spans="8:8" x14ac:dyDescent="0.2">
      <c r="H5432">
        <v>0</v>
      </c>
    </row>
    <row r="5433" spans="8:8" x14ac:dyDescent="0.2">
      <c r="H5433">
        <v>0</v>
      </c>
    </row>
    <row r="5434" spans="8:8" x14ac:dyDescent="0.2">
      <c r="H5434">
        <v>0</v>
      </c>
    </row>
    <row r="5435" spans="8:8" x14ac:dyDescent="0.2">
      <c r="H5435">
        <v>0</v>
      </c>
    </row>
    <row r="5436" spans="8:8" x14ac:dyDescent="0.2">
      <c r="H5436">
        <v>0</v>
      </c>
    </row>
    <row r="5437" spans="8:8" x14ac:dyDescent="0.2">
      <c r="H5437">
        <v>0</v>
      </c>
    </row>
    <row r="5438" spans="8:8" x14ac:dyDescent="0.2">
      <c r="H5438">
        <v>0</v>
      </c>
    </row>
    <row r="5439" spans="8:8" x14ac:dyDescent="0.2">
      <c r="H5439">
        <v>0</v>
      </c>
    </row>
    <row r="5440" spans="8:8" x14ac:dyDescent="0.2">
      <c r="H5440">
        <v>0</v>
      </c>
    </row>
    <row r="5441" spans="8:8" x14ac:dyDescent="0.2">
      <c r="H5441">
        <v>0</v>
      </c>
    </row>
    <row r="5442" spans="8:8" x14ac:dyDescent="0.2">
      <c r="H5442">
        <v>0</v>
      </c>
    </row>
    <row r="5443" spans="8:8" x14ac:dyDescent="0.2">
      <c r="H5443">
        <v>0</v>
      </c>
    </row>
    <row r="5444" spans="8:8" x14ac:dyDescent="0.2">
      <c r="H5444">
        <v>0</v>
      </c>
    </row>
    <row r="5445" spans="8:8" x14ac:dyDescent="0.2">
      <c r="H5445">
        <v>0</v>
      </c>
    </row>
    <row r="5446" spans="8:8" x14ac:dyDescent="0.2">
      <c r="H5446">
        <v>0</v>
      </c>
    </row>
    <row r="5447" spans="8:8" x14ac:dyDescent="0.2">
      <c r="H5447">
        <v>0</v>
      </c>
    </row>
    <row r="5448" spans="8:8" x14ac:dyDescent="0.2">
      <c r="H5448">
        <v>0</v>
      </c>
    </row>
    <row r="5449" spans="8:8" x14ac:dyDescent="0.2">
      <c r="H5449">
        <v>0</v>
      </c>
    </row>
    <row r="5450" spans="8:8" x14ac:dyDescent="0.2">
      <c r="H5450">
        <v>0</v>
      </c>
    </row>
    <row r="5451" spans="8:8" x14ac:dyDescent="0.2">
      <c r="H5451">
        <v>0</v>
      </c>
    </row>
    <row r="5452" spans="8:8" x14ac:dyDescent="0.2">
      <c r="H5452">
        <v>0</v>
      </c>
    </row>
    <row r="5453" spans="8:8" x14ac:dyDescent="0.2">
      <c r="H5453">
        <v>0</v>
      </c>
    </row>
    <row r="5454" spans="8:8" x14ac:dyDescent="0.2">
      <c r="H5454">
        <v>0</v>
      </c>
    </row>
    <row r="5455" spans="8:8" x14ac:dyDescent="0.2">
      <c r="H5455">
        <v>0</v>
      </c>
    </row>
    <row r="5456" spans="8:8" x14ac:dyDescent="0.2">
      <c r="H5456">
        <v>0</v>
      </c>
    </row>
    <row r="5457" spans="8:8" x14ac:dyDescent="0.2">
      <c r="H5457">
        <v>0</v>
      </c>
    </row>
    <row r="5458" spans="8:8" x14ac:dyDescent="0.2">
      <c r="H5458">
        <v>0</v>
      </c>
    </row>
    <row r="5459" spans="8:8" x14ac:dyDescent="0.2">
      <c r="H5459">
        <v>0</v>
      </c>
    </row>
    <row r="5460" spans="8:8" x14ac:dyDescent="0.2">
      <c r="H5460">
        <v>0</v>
      </c>
    </row>
    <row r="5461" spans="8:8" x14ac:dyDescent="0.2">
      <c r="H5461">
        <v>0</v>
      </c>
    </row>
    <row r="5462" spans="8:8" x14ac:dyDescent="0.2">
      <c r="H5462">
        <v>0</v>
      </c>
    </row>
    <row r="5463" spans="8:8" x14ac:dyDescent="0.2">
      <c r="H5463">
        <v>0</v>
      </c>
    </row>
    <row r="5464" spans="8:8" x14ac:dyDescent="0.2">
      <c r="H5464">
        <v>0</v>
      </c>
    </row>
    <row r="5465" spans="8:8" x14ac:dyDescent="0.2">
      <c r="H5465">
        <v>0</v>
      </c>
    </row>
    <row r="5466" spans="8:8" x14ac:dyDescent="0.2">
      <c r="H5466">
        <v>0</v>
      </c>
    </row>
    <row r="5467" spans="8:8" x14ac:dyDescent="0.2">
      <c r="H5467">
        <v>0</v>
      </c>
    </row>
    <row r="5468" spans="8:8" x14ac:dyDescent="0.2">
      <c r="H5468">
        <v>0</v>
      </c>
    </row>
    <row r="5469" spans="8:8" x14ac:dyDescent="0.2">
      <c r="H5469">
        <v>0</v>
      </c>
    </row>
    <row r="5470" spans="8:8" x14ac:dyDescent="0.2">
      <c r="H5470">
        <v>0</v>
      </c>
    </row>
    <row r="5471" spans="8:8" x14ac:dyDescent="0.2">
      <c r="H5471">
        <v>0</v>
      </c>
    </row>
    <row r="5472" spans="8:8" x14ac:dyDescent="0.2">
      <c r="H5472">
        <v>0</v>
      </c>
    </row>
    <row r="5473" spans="8:8" x14ac:dyDescent="0.2">
      <c r="H5473">
        <v>0</v>
      </c>
    </row>
    <row r="5474" spans="8:8" x14ac:dyDescent="0.2">
      <c r="H5474">
        <v>0</v>
      </c>
    </row>
    <row r="5475" spans="8:8" x14ac:dyDescent="0.2">
      <c r="H5475">
        <v>0</v>
      </c>
    </row>
    <row r="5476" spans="8:8" x14ac:dyDescent="0.2">
      <c r="H5476">
        <v>0</v>
      </c>
    </row>
    <row r="5477" spans="8:8" x14ac:dyDescent="0.2">
      <c r="H5477">
        <v>0</v>
      </c>
    </row>
    <row r="5478" spans="8:8" x14ac:dyDescent="0.2">
      <c r="H5478">
        <v>0</v>
      </c>
    </row>
    <row r="5479" spans="8:8" x14ac:dyDescent="0.2">
      <c r="H5479">
        <v>0</v>
      </c>
    </row>
    <row r="5480" spans="8:8" x14ac:dyDescent="0.2">
      <c r="H5480">
        <v>0</v>
      </c>
    </row>
    <row r="5481" spans="8:8" x14ac:dyDescent="0.2">
      <c r="H5481">
        <v>0</v>
      </c>
    </row>
    <row r="5482" spans="8:8" x14ac:dyDescent="0.2">
      <c r="H5482">
        <v>0</v>
      </c>
    </row>
    <row r="5483" spans="8:8" x14ac:dyDescent="0.2">
      <c r="H5483">
        <v>0</v>
      </c>
    </row>
    <row r="5484" spans="8:8" x14ac:dyDescent="0.2">
      <c r="H5484">
        <v>0</v>
      </c>
    </row>
    <row r="5485" spans="8:8" x14ac:dyDescent="0.2">
      <c r="H5485">
        <v>0</v>
      </c>
    </row>
    <row r="5486" spans="8:8" x14ac:dyDescent="0.2">
      <c r="H5486">
        <v>0</v>
      </c>
    </row>
    <row r="5487" spans="8:8" x14ac:dyDescent="0.2">
      <c r="H5487">
        <v>0</v>
      </c>
    </row>
    <row r="5488" spans="8:8" x14ac:dyDescent="0.2">
      <c r="H5488">
        <v>0</v>
      </c>
    </row>
    <row r="5489" spans="8:8" x14ac:dyDescent="0.2">
      <c r="H5489">
        <v>0</v>
      </c>
    </row>
    <row r="5490" spans="8:8" x14ac:dyDescent="0.2">
      <c r="H5490">
        <v>0</v>
      </c>
    </row>
    <row r="5491" spans="8:8" x14ac:dyDescent="0.2">
      <c r="H5491">
        <v>0</v>
      </c>
    </row>
    <row r="5492" spans="8:8" x14ac:dyDescent="0.2">
      <c r="H5492">
        <v>0</v>
      </c>
    </row>
    <row r="5493" spans="8:8" x14ac:dyDescent="0.2">
      <c r="H5493">
        <v>0</v>
      </c>
    </row>
    <row r="5494" spans="8:8" x14ac:dyDescent="0.2">
      <c r="H5494">
        <v>0</v>
      </c>
    </row>
    <row r="5495" spans="8:8" x14ac:dyDescent="0.2">
      <c r="H5495">
        <v>0</v>
      </c>
    </row>
    <row r="5496" spans="8:8" x14ac:dyDescent="0.2">
      <c r="H5496">
        <v>0</v>
      </c>
    </row>
    <row r="5497" spans="8:8" x14ac:dyDescent="0.2">
      <c r="H5497">
        <v>0</v>
      </c>
    </row>
    <row r="5498" spans="8:8" x14ac:dyDescent="0.2">
      <c r="H5498">
        <v>0</v>
      </c>
    </row>
    <row r="5499" spans="8:8" x14ac:dyDescent="0.2">
      <c r="H5499">
        <v>0</v>
      </c>
    </row>
    <row r="5500" spans="8:8" x14ac:dyDescent="0.2">
      <c r="H5500">
        <v>0</v>
      </c>
    </row>
    <row r="5501" spans="8:8" x14ac:dyDescent="0.2">
      <c r="H5501">
        <v>0</v>
      </c>
    </row>
    <row r="5502" spans="8:8" x14ac:dyDescent="0.2">
      <c r="H5502">
        <v>0</v>
      </c>
    </row>
    <row r="5503" spans="8:8" x14ac:dyDescent="0.2">
      <c r="H5503">
        <v>0</v>
      </c>
    </row>
    <row r="5504" spans="8:8" x14ac:dyDescent="0.2">
      <c r="H5504">
        <v>0</v>
      </c>
    </row>
    <row r="5505" spans="8:8" x14ac:dyDescent="0.2">
      <c r="H5505">
        <v>0</v>
      </c>
    </row>
    <row r="5506" spans="8:8" x14ac:dyDescent="0.2">
      <c r="H5506">
        <v>0</v>
      </c>
    </row>
    <row r="5507" spans="8:8" x14ac:dyDescent="0.2">
      <c r="H5507">
        <v>0</v>
      </c>
    </row>
    <row r="5508" spans="8:8" x14ac:dyDescent="0.2">
      <c r="H5508">
        <v>0</v>
      </c>
    </row>
    <row r="5509" spans="8:8" x14ac:dyDescent="0.2">
      <c r="H5509">
        <v>0</v>
      </c>
    </row>
    <row r="5510" spans="8:8" x14ac:dyDescent="0.2">
      <c r="H5510">
        <v>0</v>
      </c>
    </row>
    <row r="5511" spans="8:8" x14ac:dyDescent="0.2">
      <c r="H5511">
        <v>0</v>
      </c>
    </row>
    <row r="5512" spans="8:8" x14ac:dyDescent="0.2">
      <c r="H5512">
        <v>0</v>
      </c>
    </row>
    <row r="5513" spans="8:8" x14ac:dyDescent="0.2">
      <c r="H5513">
        <v>0</v>
      </c>
    </row>
    <row r="5514" spans="8:8" x14ac:dyDescent="0.2">
      <c r="H5514">
        <v>0</v>
      </c>
    </row>
    <row r="5515" spans="8:8" x14ac:dyDescent="0.2">
      <c r="H5515">
        <v>0</v>
      </c>
    </row>
    <row r="5516" spans="8:8" x14ac:dyDescent="0.2">
      <c r="H5516">
        <v>0</v>
      </c>
    </row>
    <row r="5517" spans="8:8" x14ac:dyDescent="0.2">
      <c r="H5517">
        <v>0</v>
      </c>
    </row>
    <row r="5518" spans="8:8" x14ac:dyDescent="0.2">
      <c r="H5518">
        <v>0</v>
      </c>
    </row>
    <row r="5519" spans="8:8" x14ac:dyDescent="0.2">
      <c r="H5519">
        <v>0</v>
      </c>
    </row>
    <row r="5520" spans="8:8" x14ac:dyDescent="0.2">
      <c r="H5520">
        <v>0</v>
      </c>
    </row>
    <row r="5521" spans="8:8" x14ac:dyDescent="0.2">
      <c r="H5521">
        <v>0</v>
      </c>
    </row>
    <row r="5522" spans="8:8" x14ac:dyDescent="0.2">
      <c r="H5522">
        <v>0</v>
      </c>
    </row>
    <row r="5523" spans="8:8" x14ac:dyDescent="0.2">
      <c r="H5523">
        <v>0</v>
      </c>
    </row>
    <row r="5524" spans="8:8" x14ac:dyDescent="0.2">
      <c r="H5524">
        <v>0</v>
      </c>
    </row>
    <row r="5525" spans="8:8" x14ac:dyDescent="0.2">
      <c r="H5525">
        <v>0</v>
      </c>
    </row>
    <row r="5526" spans="8:8" x14ac:dyDescent="0.2">
      <c r="H5526">
        <v>0</v>
      </c>
    </row>
    <row r="5527" spans="8:8" x14ac:dyDescent="0.2">
      <c r="H5527">
        <v>0</v>
      </c>
    </row>
    <row r="5528" spans="8:8" x14ac:dyDescent="0.2">
      <c r="H5528">
        <v>0</v>
      </c>
    </row>
    <row r="5529" spans="8:8" x14ac:dyDescent="0.2">
      <c r="H5529">
        <v>0</v>
      </c>
    </row>
    <row r="5530" spans="8:8" x14ac:dyDescent="0.2">
      <c r="H5530">
        <v>0</v>
      </c>
    </row>
    <row r="5531" spans="8:8" x14ac:dyDescent="0.2">
      <c r="H5531">
        <v>0</v>
      </c>
    </row>
    <row r="5532" spans="8:8" x14ac:dyDescent="0.2">
      <c r="H5532">
        <v>0</v>
      </c>
    </row>
    <row r="5533" spans="8:8" x14ac:dyDescent="0.2">
      <c r="H5533">
        <v>0</v>
      </c>
    </row>
    <row r="5534" spans="8:8" x14ac:dyDescent="0.2">
      <c r="H5534">
        <v>0</v>
      </c>
    </row>
    <row r="5535" spans="8:8" x14ac:dyDescent="0.2">
      <c r="H5535">
        <v>0</v>
      </c>
    </row>
    <row r="5536" spans="8:8" x14ac:dyDescent="0.2">
      <c r="H5536">
        <v>0</v>
      </c>
    </row>
    <row r="5537" spans="8:8" x14ac:dyDescent="0.2">
      <c r="H5537">
        <v>0</v>
      </c>
    </row>
    <row r="5538" spans="8:8" x14ac:dyDescent="0.2">
      <c r="H5538">
        <v>0</v>
      </c>
    </row>
    <row r="5539" spans="8:8" x14ac:dyDescent="0.2">
      <c r="H5539">
        <v>0</v>
      </c>
    </row>
    <row r="5540" spans="8:8" x14ac:dyDescent="0.2">
      <c r="H5540">
        <v>0</v>
      </c>
    </row>
    <row r="5541" spans="8:8" x14ac:dyDescent="0.2">
      <c r="H5541">
        <v>0</v>
      </c>
    </row>
    <row r="5542" spans="8:8" x14ac:dyDescent="0.2">
      <c r="H5542">
        <v>0</v>
      </c>
    </row>
    <row r="5543" spans="8:8" x14ac:dyDescent="0.2">
      <c r="H5543">
        <v>0</v>
      </c>
    </row>
    <row r="5544" spans="8:8" x14ac:dyDescent="0.2">
      <c r="H5544">
        <v>0</v>
      </c>
    </row>
    <row r="5545" spans="8:8" x14ac:dyDescent="0.2">
      <c r="H5545">
        <v>0</v>
      </c>
    </row>
    <row r="5546" spans="8:8" x14ac:dyDescent="0.2">
      <c r="H5546">
        <v>0</v>
      </c>
    </row>
    <row r="5547" spans="8:8" x14ac:dyDescent="0.2">
      <c r="H5547">
        <v>0</v>
      </c>
    </row>
    <row r="5548" spans="8:8" x14ac:dyDescent="0.2">
      <c r="H5548">
        <v>0</v>
      </c>
    </row>
    <row r="5549" spans="8:8" x14ac:dyDescent="0.2">
      <c r="H5549">
        <v>0</v>
      </c>
    </row>
    <row r="5550" spans="8:8" x14ac:dyDescent="0.2">
      <c r="H5550">
        <v>0</v>
      </c>
    </row>
    <row r="5551" spans="8:8" x14ac:dyDescent="0.2">
      <c r="H5551">
        <v>0</v>
      </c>
    </row>
    <row r="5552" spans="8:8" x14ac:dyDescent="0.2">
      <c r="H5552">
        <v>0</v>
      </c>
    </row>
    <row r="5553" spans="8:8" x14ac:dyDescent="0.2">
      <c r="H5553">
        <v>0</v>
      </c>
    </row>
    <row r="5554" spans="8:8" x14ac:dyDescent="0.2">
      <c r="H5554">
        <v>0</v>
      </c>
    </row>
    <row r="5555" spans="8:8" x14ac:dyDescent="0.2">
      <c r="H5555">
        <v>0</v>
      </c>
    </row>
    <row r="5556" spans="8:8" x14ac:dyDescent="0.2">
      <c r="H5556">
        <v>0</v>
      </c>
    </row>
    <row r="5557" spans="8:8" x14ac:dyDescent="0.2">
      <c r="H5557">
        <v>0</v>
      </c>
    </row>
    <row r="5558" spans="8:8" x14ac:dyDescent="0.2">
      <c r="H5558">
        <v>0</v>
      </c>
    </row>
    <row r="5559" spans="8:8" x14ac:dyDescent="0.2">
      <c r="H5559">
        <v>0</v>
      </c>
    </row>
    <row r="5560" spans="8:8" x14ac:dyDescent="0.2">
      <c r="H5560">
        <v>0</v>
      </c>
    </row>
    <row r="5561" spans="8:8" x14ac:dyDescent="0.2">
      <c r="H5561">
        <v>0</v>
      </c>
    </row>
    <row r="5562" spans="8:8" x14ac:dyDescent="0.2">
      <c r="H5562">
        <v>0</v>
      </c>
    </row>
    <row r="5563" spans="8:8" x14ac:dyDescent="0.2">
      <c r="H5563">
        <v>0</v>
      </c>
    </row>
    <row r="5564" spans="8:8" x14ac:dyDescent="0.2">
      <c r="H5564">
        <v>0</v>
      </c>
    </row>
    <row r="5565" spans="8:8" x14ac:dyDescent="0.2">
      <c r="H5565">
        <v>0</v>
      </c>
    </row>
    <row r="5566" spans="8:8" x14ac:dyDescent="0.2">
      <c r="H5566">
        <v>0</v>
      </c>
    </row>
    <row r="5567" spans="8:8" x14ac:dyDescent="0.2">
      <c r="H5567">
        <v>0</v>
      </c>
    </row>
    <row r="5568" spans="8:8" x14ac:dyDescent="0.2">
      <c r="H5568">
        <v>0</v>
      </c>
    </row>
    <row r="5569" spans="8:8" x14ac:dyDescent="0.2">
      <c r="H5569">
        <v>0</v>
      </c>
    </row>
    <row r="5570" spans="8:8" x14ac:dyDescent="0.2">
      <c r="H5570">
        <v>0</v>
      </c>
    </row>
    <row r="5571" spans="8:8" x14ac:dyDescent="0.2">
      <c r="H5571">
        <v>0</v>
      </c>
    </row>
    <row r="5572" spans="8:8" x14ac:dyDescent="0.2">
      <c r="H5572">
        <v>0</v>
      </c>
    </row>
    <row r="5573" spans="8:8" x14ac:dyDescent="0.2">
      <c r="H5573">
        <v>0</v>
      </c>
    </row>
    <row r="5574" spans="8:8" x14ac:dyDescent="0.2">
      <c r="H5574">
        <v>0</v>
      </c>
    </row>
    <row r="5575" spans="8:8" x14ac:dyDescent="0.2">
      <c r="H5575">
        <v>0</v>
      </c>
    </row>
    <row r="5576" spans="8:8" x14ac:dyDescent="0.2">
      <c r="H5576">
        <v>0</v>
      </c>
    </row>
    <row r="5577" spans="8:8" x14ac:dyDescent="0.2">
      <c r="H5577">
        <v>0</v>
      </c>
    </row>
    <row r="5578" spans="8:8" x14ac:dyDescent="0.2">
      <c r="H5578">
        <v>0</v>
      </c>
    </row>
    <row r="5579" spans="8:8" x14ac:dyDescent="0.2">
      <c r="H5579">
        <v>0</v>
      </c>
    </row>
    <row r="5580" spans="8:8" x14ac:dyDescent="0.2">
      <c r="H5580">
        <v>0</v>
      </c>
    </row>
    <row r="5581" spans="8:8" x14ac:dyDescent="0.2">
      <c r="H5581">
        <v>0</v>
      </c>
    </row>
    <row r="5582" spans="8:8" x14ac:dyDescent="0.2">
      <c r="H5582">
        <v>0</v>
      </c>
    </row>
    <row r="5583" spans="8:8" x14ac:dyDescent="0.2">
      <c r="H5583">
        <v>0</v>
      </c>
    </row>
    <row r="5584" spans="8:8" x14ac:dyDescent="0.2">
      <c r="H5584">
        <v>0</v>
      </c>
    </row>
    <row r="5585" spans="8:8" x14ac:dyDescent="0.2">
      <c r="H5585">
        <v>0</v>
      </c>
    </row>
    <row r="5586" spans="8:8" x14ac:dyDescent="0.2">
      <c r="H5586">
        <v>0</v>
      </c>
    </row>
    <row r="5587" spans="8:8" x14ac:dyDescent="0.2">
      <c r="H5587">
        <v>0</v>
      </c>
    </row>
    <row r="5588" spans="8:8" x14ac:dyDescent="0.2">
      <c r="H5588">
        <v>0</v>
      </c>
    </row>
    <row r="5589" spans="8:8" x14ac:dyDescent="0.2">
      <c r="H5589">
        <v>0</v>
      </c>
    </row>
    <row r="5590" spans="8:8" x14ac:dyDescent="0.2">
      <c r="H5590">
        <v>0</v>
      </c>
    </row>
    <row r="5591" spans="8:8" x14ac:dyDescent="0.2">
      <c r="H5591">
        <v>0</v>
      </c>
    </row>
    <row r="5592" spans="8:8" x14ac:dyDescent="0.2">
      <c r="H5592">
        <v>0</v>
      </c>
    </row>
    <row r="5593" spans="8:8" x14ac:dyDescent="0.2">
      <c r="H5593">
        <v>0</v>
      </c>
    </row>
    <row r="5594" spans="8:8" x14ac:dyDescent="0.2">
      <c r="H5594">
        <v>0</v>
      </c>
    </row>
    <row r="5595" spans="8:8" x14ac:dyDescent="0.2">
      <c r="H5595">
        <v>0</v>
      </c>
    </row>
    <row r="5596" spans="8:8" x14ac:dyDescent="0.2">
      <c r="H5596">
        <v>0</v>
      </c>
    </row>
    <row r="5597" spans="8:8" x14ac:dyDescent="0.2">
      <c r="H5597">
        <v>0</v>
      </c>
    </row>
    <row r="5598" spans="8:8" x14ac:dyDescent="0.2">
      <c r="H5598">
        <v>0</v>
      </c>
    </row>
    <row r="5599" spans="8:8" x14ac:dyDescent="0.2">
      <c r="H5599">
        <v>0</v>
      </c>
    </row>
    <row r="5600" spans="8:8" x14ac:dyDescent="0.2">
      <c r="H5600">
        <v>0</v>
      </c>
    </row>
    <row r="5601" spans="8:8" x14ac:dyDescent="0.2">
      <c r="H5601">
        <v>0</v>
      </c>
    </row>
    <row r="5602" spans="8:8" x14ac:dyDescent="0.2">
      <c r="H5602">
        <v>0</v>
      </c>
    </row>
    <row r="5603" spans="8:8" x14ac:dyDescent="0.2">
      <c r="H5603">
        <v>0</v>
      </c>
    </row>
    <row r="5604" spans="8:8" x14ac:dyDescent="0.2">
      <c r="H5604">
        <v>0</v>
      </c>
    </row>
    <row r="5605" spans="8:8" x14ac:dyDescent="0.2">
      <c r="H5605">
        <v>0</v>
      </c>
    </row>
    <row r="5606" spans="8:8" x14ac:dyDescent="0.2">
      <c r="H5606">
        <v>0</v>
      </c>
    </row>
    <row r="5607" spans="8:8" x14ac:dyDescent="0.2">
      <c r="H5607">
        <v>0</v>
      </c>
    </row>
    <row r="5608" spans="8:8" x14ac:dyDescent="0.2">
      <c r="H5608">
        <v>0</v>
      </c>
    </row>
    <row r="5609" spans="8:8" x14ac:dyDescent="0.2">
      <c r="H5609">
        <v>0</v>
      </c>
    </row>
    <row r="5610" spans="8:8" x14ac:dyDescent="0.2">
      <c r="H5610">
        <v>0</v>
      </c>
    </row>
    <row r="5611" spans="8:8" x14ac:dyDescent="0.2">
      <c r="H5611">
        <v>0</v>
      </c>
    </row>
    <row r="5612" spans="8:8" x14ac:dyDescent="0.2">
      <c r="H5612">
        <v>0</v>
      </c>
    </row>
    <row r="5613" spans="8:8" x14ac:dyDescent="0.2">
      <c r="H5613">
        <v>0</v>
      </c>
    </row>
    <row r="5614" spans="8:8" x14ac:dyDescent="0.2">
      <c r="H5614">
        <v>0</v>
      </c>
    </row>
    <row r="5615" spans="8:8" x14ac:dyDescent="0.2">
      <c r="H5615">
        <v>0</v>
      </c>
    </row>
    <row r="5616" spans="8:8" x14ac:dyDescent="0.2">
      <c r="H5616">
        <v>0</v>
      </c>
    </row>
    <row r="5617" spans="8:8" x14ac:dyDescent="0.2">
      <c r="H5617">
        <v>0</v>
      </c>
    </row>
    <row r="5618" spans="8:8" x14ac:dyDescent="0.2">
      <c r="H5618">
        <v>0</v>
      </c>
    </row>
    <row r="5619" spans="8:8" x14ac:dyDescent="0.2">
      <c r="H5619">
        <v>0</v>
      </c>
    </row>
    <row r="5620" spans="8:8" x14ac:dyDescent="0.2">
      <c r="H5620">
        <v>0</v>
      </c>
    </row>
    <row r="5621" spans="8:8" x14ac:dyDescent="0.2">
      <c r="H5621">
        <v>0</v>
      </c>
    </row>
    <row r="5622" spans="8:8" x14ac:dyDescent="0.2">
      <c r="H5622">
        <v>0</v>
      </c>
    </row>
    <row r="5623" spans="8:8" x14ac:dyDescent="0.2">
      <c r="H5623">
        <v>0</v>
      </c>
    </row>
    <row r="5624" spans="8:8" x14ac:dyDescent="0.2">
      <c r="H5624">
        <v>0</v>
      </c>
    </row>
    <row r="5625" spans="8:8" x14ac:dyDescent="0.2">
      <c r="H5625">
        <v>0</v>
      </c>
    </row>
    <row r="5626" spans="8:8" x14ac:dyDescent="0.2">
      <c r="H5626">
        <v>0</v>
      </c>
    </row>
    <row r="5627" spans="8:8" x14ac:dyDescent="0.2">
      <c r="H5627">
        <v>0</v>
      </c>
    </row>
    <row r="5628" spans="8:8" x14ac:dyDescent="0.2">
      <c r="H5628">
        <v>0</v>
      </c>
    </row>
    <row r="5629" spans="8:8" x14ac:dyDescent="0.2">
      <c r="H5629">
        <v>0</v>
      </c>
    </row>
    <row r="5630" spans="8:8" x14ac:dyDescent="0.2">
      <c r="H5630">
        <v>0</v>
      </c>
    </row>
    <row r="5631" spans="8:8" x14ac:dyDescent="0.2">
      <c r="H5631">
        <v>0</v>
      </c>
    </row>
    <row r="5632" spans="8:8" x14ac:dyDescent="0.2">
      <c r="H5632">
        <v>0</v>
      </c>
    </row>
    <row r="5633" spans="8:8" x14ac:dyDescent="0.2">
      <c r="H5633">
        <v>0</v>
      </c>
    </row>
    <row r="5634" spans="8:8" x14ac:dyDescent="0.2">
      <c r="H5634">
        <v>0</v>
      </c>
    </row>
    <row r="5635" spans="8:8" x14ac:dyDescent="0.2">
      <c r="H5635">
        <v>0</v>
      </c>
    </row>
    <row r="5636" spans="8:8" x14ac:dyDescent="0.2">
      <c r="H5636">
        <v>0</v>
      </c>
    </row>
    <row r="5637" spans="8:8" x14ac:dyDescent="0.2">
      <c r="H5637">
        <v>0</v>
      </c>
    </row>
    <row r="5638" spans="8:8" x14ac:dyDescent="0.2">
      <c r="H5638">
        <v>0</v>
      </c>
    </row>
    <row r="5639" spans="8:8" x14ac:dyDescent="0.2">
      <c r="H5639">
        <v>0</v>
      </c>
    </row>
    <row r="5640" spans="8:8" x14ac:dyDescent="0.2">
      <c r="H5640">
        <v>0</v>
      </c>
    </row>
    <row r="5641" spans="8:8" x14ac:dyDescent="0.2">
      <c r="H5641">
        <v>0</v>
      </c>
    </row>
    <row r="5642" spans="8:8" x14ac:dyDescent="0.2">
      <c r="H5642">
        <v>0</v>
      </c>
    </row>
    <row r="5643" spans="8:8" x14ac:dyDescent="0.2">
      <c r="H5643">
        <v>0</v>
      </c>
    </row>
    <row r="5644" spans="8:8" x14ac:dyDescent="0.2">
      <c r="H5644">
        <v>0</v>
      </c>
    </row>
    <row r="5645" spans="8:8" x14ac:dyDescent="0.2">
      <c r="H5645">
        <v>0</v>
      </c>
    </row>
    <row r="5646" spans="8:8" x14ac:dyDescent="0.2">
      <c r="H5646">
        <v>0</v>
      </c>
    </row>
    <row r="5647" spans="8:8" x14ac:dyDescent="0.2">
      <c r="H5647">
        <v>0</v>
      </c>
    </row>
    <row r="5648" spans="8:8" x14ac:dyDescent="0.2">
      <c r="H5648">
        <v>0</v>
      </c>
    </row>
    <row r="5649" spans="8:8" x14ac:dyDescent="0.2">
      <c r="H5649">
        <v>0</v>
      </c>
    </row>
    <row r="5650" spans="8:8" x14ac:dyDescent="0.2">
      <c r="H5650">
        <v>0</v>
      </c>
    </row>
    <row r="5651" spans="8:8" x14ac:dyDescent="0.2">
      <c r="H5651">
        <v>0</v>
      </c>
    </row>
    <row r="5652" spans="8:8" x14ac:dyDescent="0.2">
      <c r="H5652">
        <v>0</v>
      </c>
    </row>
    <row r="5653" spans="8:8" x14ac:dyDescent="0.2">
      <c r="H5653">
        <v>0</v>
      </c>
    </row>
    <row r="5654" spans="8:8" x14ac:dyDescent="0.2">
      <c r="H5654">
        <v>0</v>
      </c>
    </row>
    <row r="5655" spans="8:8" x14ac:dyDescent="0.2">
      <c r="H5655">
        <v>0</v>
      </c>
    </row>
    <row r="5656" spans="8:8" x14ac:dyDescent="0.2">
      <c r="H5656">
        <v>0</v>
      </c>
    </row>
    <row r="5657" spans="8:8" x14ac:dyDescent="0.2">
      <c r="H5657">
        <v>0</v>
      </c>
    </row>
    <row r="5658" spans="8:8" x14ac:dyDescent="0.2">
      <c r="H5658">
        <v>0</v>
      </c>
    </row>
    <row r="5659" spans="8:8" x14ac:dyDescent="0.2">
      <c r="H5659">
        <v>0</v>
      </c>
    </row>
    <row r="5660" spans="8:8" x14ac:dyDescent="0.2">
      <c r="H5660">
        <v>0</v>
      </c>
    </row>
    <row r="5661" spans="8:8" x14ac:dyDescent="0.2">
      <c r="H5661">
        <v>0</v>
      </c>
    </row>
    <row r="5662" spans="8:8" x14ac:dyDescent="0.2">
      <c r="H5662">
        <v>0</v>
      </c>
    </row>
    <row r="5663" spans="8:8" x14ac:dyDescent="0.2">
      <c r="H5663">
        <v>0</v>
      </c>
    </row>
    <row r="5664" spans="8:8" x14ac:dyDescent="0.2">
      <c r="H5664">
        <v>0</v>
      </c>
    </row>
    <row r="5665" spans="8:8" x14ac:dyDescent="0.2">
      <c r="H5665">
        <v>0</v>
      </c>
    </row>
    <row r="5666" spans="8:8" x14ac:dyDescent="0.2">
      <c r="H5666">
        <v>0</v>
      </c>
    </row>
    <row r="5667" spans="8:8" x14ac:dyDescent="0.2">
      <c r="H5667">
        <v>0</v>
      </c>
    </row>
    <row r="5668" spans="8:8" x14ac:dyDescent="0.2">
      <c r="H5668">
        <v>0</v>
      </c>
    </row>
    <row r="5669" spans="8:8" x14ac:dyDescent="0.2">
      <c r="H5669">
        <v>0</v>
      </c>
    </row>
    <row r="5670" spans="8:8" x14ac:dyDescent="0.2">
      <c r="H5670">
        <v>0</v>
      </c>
    </row>
    <row r="5671" spans="8:8" x14ac:dyDescent="0.2">
      <c r="H5671">
        <v>0</v>
      </c>
    </row>
    <row r="5672" spans="8:8" x14ac:dyDescent="0.2">
      <c r="H5672">
        <v>0</v>
      </c>
    </row>
    <row r="5673" spans="8:8" x14ac:dyDescent="0.2">
      <c r="H5673">
        <v>0</v>
      </c>
    </row>
    <row r="5674" spans="8:8" x14ac:dyDescent="0.2">
      <c r="H5674">
        <v>0</v>
      </c>
    </row>
    <row r="5675" spans="8:8" x14ac:dyDescent="0.2">
      <c r="H5675">
        <v>0</v>
      </c>
    </row>
    <row r="5676" spans="8:8" x14ac:dyDescent="0.2">
      <c r="H5676">
        <v>0</v>
      </c>
    </row>
    <row r="5677" spans="8:8" x14ac:dyDescent="0.2">
      <c r="H5677">
        <v>0</v>
      </c>
    </row>
    <row r="5678" spans="8:8" x14ac:dyDescent="0.2">
      <c r="H5678">
        <v>0</v>
      </c>
    </row>
    <row r="5679" spans="8:8" x14ac:dyDescent="0.2">
      <c r="H5679">
        <v>0</v>
      </c>
    </row>
    <row r="5680" spans="8:8" x14ac:dyDescent="0.2">
      <c r="H5680">
        <v>0</v>
      </c>
    </row>
    <row r="5681" spans="8:8" x14ac:dyDescent="0.2">
      <c r="H5681">
        <v>0</v>
      </c>
    </row>
    <row r="5682" spans="8:8" x14ac:dyDescent="0.2">
      <c r="H5682">
        <v>0</v>
      </c>
    </row>
    <row r="5683" spans="8:8" x14ac:dyDescent="0.2">
      <c r="H5683">
        <v>0</v>
      </c>
    </row>
    <row r="5684" spans="8:8" x14ac:dyDescent="0.2">
      <c r="H5684">
        <v>0</v>
      </c>
    </row>
    <row r="5685" spans="8:8" x14ac:dyDescent="0.2">
      <c r="H5685">
        <v>0</v>
      </c>
    </row>
    <row r="5686" spans="8:8" x14ac:dyDescent="0.2">
      <c r="H5686">
        <v>0</v>
      </c>
    </row>
    <row r="5687" spans="8:8" x14ac:dyDescent="0.2">
      <c r="H5687">
        <v>0</v>
      </c>
    </row>
    <row r="5688" spans="8:8" x14ac:dyDescent="0.2">
      <c r="H5688">
        <v>0</v>
      </c>
    </row>
    <row r="5689" spans="8:8" x14ac:dyDescent="0.2">
      <c r="H5689">
        <v>0</v>
      </c>
    </row>
    <row r="5690" spans="8:8" x14ac:dyDescent="0.2">
      <c r="H5690">
        <v>0</v>
      </c>
    </row>
    <row r="5691" spans="8:8" x14ac:dyDescent="0.2">
      <c r="H5691">
        <v>0</v>
      </c>
    </row>
    <row r="5692" spans="8:8" x14ac:dyDescent="0.2">
      <c r="H5692">
        <v>0</v>
      </c>
    </row>
    <row r="5693" spans="8:8" x14ac:dyDescent="0.2">
      <c r="H5693">
        <v>0</v>
      </c>
    </row>
    <row r="5694" spans="8:8" x14ac:dyDescent="0.2">
      <c r="H5694">
        <v>0</v>
      </c>
    </row>
    <row r="5695" spans="8:8" x14ac:dyDescent="0.2">
      <c r="H5695">
        <v>0</v>
      </c>
    </row>
    <row r="5696" spans="8:8" x14ac:dyDescent="0.2">
      <c r="H5696">
        <v>0</v>
      </c>
    </row>
    <row r="5697" spans="8:8" x14ac:dyDescent="0.2">
      <c r="H5697">
        <v>0</v>
      </c>
    </row>
    <row r="5698" spans="8:8" x14ac:dyDescent="0.2">
      <c r="H5698">
        <v>0</v>
      </c>
    </row>
    <row r="5699" spans="8:8" x14ac:dyDescent="0.2">
      <c r="H5699">
        <v>0</v>
      </c>
    </row>
    <row r="5700" spans="8:8" x14ac:dyDescent="0.2">
      <c r="H5700">
        <v>0</v>
      </c>
    </row>
    <row r="5701" spans="8:8" x14ac:dyDescent="0.2">
      <c r="H5701">
        <v>0</v>
      </c>
    </row>
    <row r="5702" spans="8:8" x14ac:dyDescent="0.2">
      <c r="H5702">
        <v>0</v>
      </c>
    </row>
    <row r="5703" spans="8:8" x14ac:dyDescent="0.2">
      <c r="H5703">
        <v>0</v>
      </c>
    </row>
    <row r="5704" spans="8:8" x14ac:dyDescent="0.2">
      <c r="H5704">
        <v>0</v>
      </c>
    </row>
    <row r="5705" spans="8:8" x14ac:dyDescent="0.2">
      <c r="H5705">
        <v>0</v>
      </c>
    </row>
    <row r="5706" spans="8:8" x14ac:dyDescent="0.2">
      <c r="H5706">
        <v>0</v>
      </c>
    </row>
    <row r="5707" spans="8:8" x14ac:dyDescent="0.2">
      <c r="H5707">
        <v>0</v>
      </c>
    </row>
    <row r="5708" spans="8:8" x14ac:dyDescent="0.2">
      <c r="H5708">
        <v>0</v>
      </c>
    </row>
    <row r="5709" spans="8:8" x14ac:dyDescent="0.2">
      <c r="H5709">
        <v>0</v>
      </c>
    </row>
    <row r="5710" spans="8:8" x14ac:dyDescent="0.2">
      <c r="H5710">
        <v>0</v>
      </c>
    </row>
    <row r="5711" spans="8:8" x14ac:dyDescent="0.2">
      <c r="H5711">
        <v>0</v>
      </c>
    </row>
    <row r="5712" spans="8:8" x14ac:dyDescent="0.2">
      <c r="H5712">
        <v>0</v>
      </c>
    </row>
    <row r="5713" spans="8:8" x14ac:dyDescent="0.2">
      <c r="H5713">
        <v>0</v>
      </c>
    </row>
    <row r="5714" spans="8:8" x14ac:dyDescent="0.2">
      <c r="H5714">
        <v>0</v>
      </c>
    </row>
    <row r="5715" spans="8:8" x14ac:dyDescent="0.2">
      <c r="H5715">
        <v>0</v>
      </c>
    </row>
    <row r="5716" spans="8:8" x14ac:dyDescent="0.2">
      <c r="H5716">
        <v>0</v>
      </c>
    </row>
    <row r="5717" spans="8:8" x14ac:dyDescent="0.2">
      <c r="H5717">
        <v>0</v>
      </c>
    </row>
    <row r="5718" spans="8:8" x14ac:dyDescent="0.2">
      <c r="H5718">
        <v>0</v>
      </c>
    </row>
    <row r="5719" spans="8:8" x14ac:dyDescent="0.2">
      <c r="H5719">
        <v>0</v>
      </c>
    </row>
    <row r="5720" spans="8:8" x14ac:dyDescent="0.2">
      <c r="H5720">
        <v>0</v>
      </c>
    </row>
    <row r="5721" spans="8:8" x14ac:dyDescent="0.2">
      <c r="H5721">
        <v>0</v>
      </c>
    </row>
    <row r="5722" spans="8:8" x14ac:dyDescent="0.2">
      <c r="H5722">
        <v>0</v>
      </c>
    </row>
    <row r="5723" spans="8:8" x14ac:dyDescent="0.2">
      <c r="H5723">
        <v>0</v>
      </c>
    </row>
    <row r="5724" spans="8:8" x14ac:dyDescent="0.2">
      <c r="H5724">
        <v>0</v>
      </c>
    </row>
    <row r="5725" spans="8:8" x14ac:dyDescent="0.2">
      <c r="H5725">
        <v>0</v>
      </c>
    </row>
    <row r="5726" spans="8:8" x14ac:dyDescent="0.2">
      <c r="H5726">
        <v>0</v>
      </c>
    </row>
    <row r="5727" spans="8:8" x14ac:dyDescent="0.2">
      <c r="H5727">
        <v>0</v>
      </c>
    </row>
    <row r="5728" spans="8:8" x14ac:dyDescent="0.2">
      <c r="H5728">
        <v>0</v>
      </c>
    </row>
    <row r="5729" spans="8:8" x14ac:dyDescent="0.2">
      <c r="H5729">
        <v>0</v>
      </c>
    </row>
    <row r="5730" spans="8:8" x14ac:dyDescent="0.2">
      <c r="H5730">
        <v>0</v>
      </c>
    </row>
    <row r="5731" spans="8:8" x14ac:dyDescent="0.2">
      <c r="H5731">
        <v>0</v>
      </c>
    </row>
    <row r="5732" spans="8:8" x14ac:dyDescent="0.2">
      <c r="H5732">
        <v>0</v>
      </c>
    </row>
    <row r="5733" spans="8:8" x14ac:dyDescent="0.2">
      <c r="H5733">
        <v>0</v>
      </c>
    </row>
    <row r="5734" spans="8:8" x14ac:dyDescent="0.2">
      <c r="H5734">
        <v>0</v>
      </c>
    </row>
    <row r="5735" spans="8:8" x14ac:dyDescent="0.2">
      <c r="H5735">
        <v>0</v>
      </c>
    </row>
    <row r="5736" spans="8:8" x14ac:dyDescent="0.2">
      <c r="H5736">
        <v>0</v>
      </c>
    </row>
    <row r="5737" spans="8:8" x14ac:dyDescent="0.2">
      <c r="H5737">
        <v>0</v>
      </c>
    </row>
    <row r="5738" spans="8:8" x14ac:dyDescent="0.2">
      <c r="H5738">
        <v>0</v>
      </c>
    </row>
    <row r="5739" spans="8:8" x14ac:dyDescent="0.2">
      <c r="H5739">
        <v>0</v>
      </c>
    </row>
    <row r="5740" spans="8:8" x14ac:dyDescent="0.2">
      <c r="H5740">
        <v>0</v>
      </c>
    </row>
    <row r="5741" spans="8:8" x14ac:dyDescent="0.2">
      <c r="H5741">
        <v>0</v>
      </c>
    </row>
    <row r="5742" spans="8:8" x14ac:dyDescent="0.2">
      <c r="H5742">
        <v>0</v>
      </c>
    </row>
    <row r="5743" spans="8:8" x14ac:dyDescent="0.2">
      <c r="H5743">
        <v>0</v>
      </c>
    </row>
    <row r="5744" spans="8:8" x14ac:dyDescent="0.2">
      <c r="H5744">
        <v>0</v>
      </c>
    </row>
    <row r="5745" spans="8:8" x14ac:dyDescent="0.2">
      <c r="H5745">
        <v>0</v>
      </c>
    </row>
    <row r="5746" spans="8:8" x14ac:dyDescent="0.2">
      <c r="H5746">
        <v>0</v>
      </c>
    </row>
    <row r="5747" spans="8:8" x14ac:dyDescent="0.2">
      <c r="H5747">
        <v>0</v>
      </c>
    </row>
    <row r="5748" spans="8:8" x14ac:dyDescent="0.2">
      <c r="H5748">
        <v>0</v>
      </c>
    </row>
    <row r="5749" spans="8:8" x14ac:dyDescent="0.2">
      <c r="H5749">
        <v>0</v>
      </c>
    </row>
    <row r="5750" spans="8:8" x14ac:dyDescent="0.2">
      <c r="H5750">
        <v>0</v>
      </c>
    </row>
    <row r="5751" spans="8:8" x14ac:dyDescent="0.2">
      <c r="H5751">
        <v>0</v>
      </c>
    </row>
    <row r="5752" spans="8:8" x14ac:dyDescent="0.2">
      <c r="H5752">
        <v>0</v>
      </c>
    </row>
    <row r="5753" spans="8:8" x14ac:dyDescent="0.2">
      <c r="H5753">
        <v>0</v>
      </c>
    </row>
    <row r="5754" spans="8:8" x14ac:dyDescent="0.2">
      <c r="H5754">
        <v>0</v>
      </c>
    </row>
    <row r="5755" spans="8:8" x14ac:dyDescent="0.2">
      <c r="H5755">
        <v>0</v>
      </c>
    </row>
    <row r="5756" spans="8:8" x14ac:dyDescent="0.2">
      <c r="H5756">
        <v>0</v>
      </c>
    </row>
    <row r="5757" spans="8:8" x14ac:dyDescent="0.2">
      <c r="H5757">
        <v>0</v>
      </c>
    </row>
    <row r="5758" spans="8:8" x14ac:dyDescent="0.2">
      <c r="H5758">
        <v>0</v>
      </c>
    </row>
    <row r="5759" spans="8:8" x14ac:dyDescent="0.2">
      <c r="H5759">
        <v>0</v>
      </c>
    </row>
    <row r="5760" spans="8:8" x14ac:dyDescent="0.2">
      <c r="H5760">
        <v>0</v>
      </c>
    </row>
    <row r="5761" spans="8:8" x14ac:dyDescent="0.2">
      <c r="H5761">
        <v>0</v>
      </c>
    </row>
    <row r="5762" spans="8:8" x14ac:dyDescent="0.2">
      <c r="H5762">
        <v>0</v>
      </c>
    </row>
    <row r="5763" spans="8:8" x14ac:dyDescent="0.2">
      <c r="H5763">
        <v>0</v>
      </c>
    </row>
    <row r="5764" spans="8:8" x14ac:dyDescent="0.2">
      <c r="H5764">
        <v>0</v>
      </c>
    </row>
    <row r="5765" spans="8:8" x14ac:dyDescent="0.2">
      <c r="H5765">
        <v>0</v>
      </c>
    </row>
    <row r="5766" spans="8:8" x14ac:dyDescent="0.2">
      <c r="H5766">
        <v>0</v>
      </c>
    </row>
    <row r="5767" spans="8:8" x14ac:dyDescent="0.2">
      <c r="H5767">
        <v>0</v>
      </c>
    </row>
    <row r="5768" spans="8:8" x14ac:dyDescent="0.2">
      <c r="H5768">
        <v>0</v>
      </c>
    </row>
    <row r="5769" spans="8:8" x14ac:dyDescent="0.2">
      <c r="H5769">
        <v>0</v>
      </c>
    </row>
    <row r="5770" spans="8:8" x14ac:dyDescent="0.2">
      <c r="H5770">
        <v>0</v>
      </c>
    </row>
    <row r="5771" spans="8:8" x14ac:dyDescent="0.2">
      <c r="H5771">
        <v>0</v>
      </c>
    </row>
    <row r="5772" spans="8:8" x14ac:dyDescent="0.2">
      <c r="H5772">
        <v>0</v>
      </c>
    </row>
    <row r="5773" spans="8:8" x14ac:dyDescent="0.2">
      <c r="H5773">
        <v>0</v>
      </c>
    </row>
    <row r="5774" spans="8:8" x14ac:dyDescent="0.2">
      <c r="H5774">
        <v>0</v>
      </c>
    </row>
    <row r="5775" spans="8:8" x14ac:dyDescent="0.2">
      <c r="H5775">
        <v>0</v>
      </c>
    </row>
    <row r="5776" spans="8:8" x14ac:dyDescent="0.2">
      <c r="H5776">
        <v>0</v>
      </c>
    </row>
    <row r="5777" spans="8:8" x14ac:dyDescent="0.2">
      <c r="H5777">
        <v>0</v>
      </c>
    </row>
    <row r="5778" spans="8:8" x14ac:dyDescent="0.2">
      <c r="H5778">
        <v>0</v>
      </c>
    </row>
    <row r="5779" spans="8:8" x14ac:dyDescent="0.2">
      <c r="H5779">
        <v>0</v>
      </c>
    </row>
    <row r="5780" spans="8:8" x14ac:dyDescent="0.2">
      <c r="H5780">
        <v>0</v>
      </c>
    </row>
    <row r="5781" spans="8:8" x14ac:dyDescent="0.2">
      <c r="H5781">
        <v>0</v>
      </c>
    </row>
    <row r="5782" spans="8:8" x14ac:dyDescent="0.2">
      <c r="H5782">
        <v>0</v>
      </c>
    </row>
    <row r="5783" spans="8:8" x14ac:dyDescent="0.2">
      <c r="H5783">
        <v>0</v>
      </c>
    </row>
    <row r="5784" spans="8:8" x14ac:dyDescent="0.2">
      <c r="H5784">
        <v>0</v>
      </c>
    </row>
    <row r="5785" spans="8:8" x14ac:dyDescent="0.2">
      <c r="H5785">
        <v>0</v>
      </c>
    </row>
    <row r="5786" spans="8:8" x14ac:dyDescent="0.2">
      <c r="H5786">
        <v>0</v>
      </c>
    </row>
    <row r="5787" spans="8:8" x14ac:dyDescent="0.2">
      <c r="H5787">
        <v>0</v>
      </c>
    </row>
    <row r="5788" spans="8:8" x14ac:dyDescent="0.2">
      <c r="H5788">
        <v>0</v>
      </c>
    </row>
    <row r="5789" spans="8:8" x14ac:dyDescent="0.2">
      <c r="H5789">
        <v>0</v>
      </c>
    </row>
    <row r="5790" spans="8:8" x14ac:dyDescent="0.2">
      <c r="H5790">
        <v>0</v>
      </c>
    </row>
    <row r="5791" spans="8:8" x14ac:dyDescent="0.2">
      <c r="H5791">
        <v>0</v>
      </c>
    </row>
    <row r="5792" spans="8:8" x14ac:dyDescent="0.2">
      <c r="H5792">
        <v>0</v>
      </c>
    </row>
    <row r="5793" spans="8:8" x14ac:dyDescent="0.2">
      <c r="H5793">
        <v>0</v>
      </c>
    </row>
    <row r="5794" spans="8:8" x14ac:dyDescent="0.2">
      <c r="H5794">
        <v>0</v>
      </c>
    </row>
    <row r="5795" spans="8:8" x14ac:dyDescent="0.2">
      <c r="H5795">
        <v>0</v>
      </c>
    </row>
    <row r="5796" spans="8:8" x14ac:dyDescent="0.2">
      <c r="H5796">
        <v>0</v>
      </c>
    </row>
    <row r="5797" spans="8:8" x14ac:dyDescent="0.2">
      <c r="H5797">
        <v>0</v>
      </c>
    </row>
    <row r="5798" spans="8:8" x14ac:dyDescent="0.2">
      <c r="H5798">
        <v>0</v>
      </c>
    </row>
    <row r="5799" spans="8:8" x14ac:dyDescent="0.2">
      <c r="H5799">
        <v>0</v>
      </c>
    </row>
    <row r="5800" spans="8:8" x14ac:dyDescent="0.2">
      <c r="H5800">
        <v>0</v>
      </c>
    </row>
    <row r="5801" spans="8:8" x14ac:dyDescent="0.2">
      <c r="H5801">
        <v>0</v>
      </c>
    </row>
    <row r="5802" spans="8:8" x14ac:dyDescent="0.2">
      <c r="H5802">
        <v>0</v>
      </c>
    </row>
    <row r="5803" spans="8:8" x14ac:dyDescent="0.2">
      <c r="H5803">
        <v>0</v>
      </c>
    </row>
    <row r="5804" spans="8:8" x14ac:dyDescent="0.2">
      <c r="H5804">
        <v>0</v>
      </c>
    </row>
    <row r="5805" spans="8:8" x14ac:dyDescent="0.2">
      <c r="H5805">
        <v>0</v>
      </c>
    </row>
    <row r="5806" spans="8:8" x14ac:dyDescent="0.2">
      <c r="H5806">
        <v>0</v>
      </c>
    </row>
    <row r="5807" spans="8:8" x14ac:dyDescent="0.2">
      <c r="H5807">
        <v>0</v>
      </c>
    </row>
    <row r="5808" spans="8:8" x14ac:dyDescent="0.2">
      <c r="H5808">
        <v>0</v>
      </c>
    </row>
    <row r="5809" spans="8:8" x14ac:dyDescent="0.2">
      <c r="H5809">
        <v>0</v>
      </c>
    </row>
    <row r="5810" spans="8:8" x14ac:dyDescent="0.2">
      <c r="H5810">
        <v>0</v>
      </c>
    </row>
    <row r="5811" spans="8:8" x14ac:dyDescent="0.2">
      <c r="H5811">
        <v>0</v>
      </c>
    </row>
    <row r="5812" spans="8:8" x14ac:dyDescent="0.2">
      <c r="H5812">
        <v>0</v>
      </c>
    </row>
    <row r="5813" spans="8:8" x14ac:dyDescent="0.2">
      <c r="H5813">
        <v>0</v>
      </c>
    </row>
    <row r="5814" spans="8:8" x14ac:dyDescent="0.2">
      <c r="H5814">
        <v>0</v>
      </c>
    </row>
    <row r="5815" spans="8:8" x14ac:dyDescent="0.2">
      <c r="H5815">
        <v>0</v>
      </c>
    </row>
    <row r="5816" spans="8:8" x14ac:dyDescent="0.2">
      <c r="H5816">
        <v>0</v>
      </c>
    </row>
    <row r="5817" spans="8:8" x14ac:dyDescent="0.2">
      <c r="H5817">
        <v>0</v>
      </c>
    </row>
    <row r="5818" spans="8:8" x14ac:dyDescent="0.2">
      <c r="H5818">
        <v>0</v>
      </c>
    </row>
    <row r="5819" spans="8:8" x14ac:dyDescent="0.2">
      <c r="H5819">
        <v>0</v>
      </c>
    </row>
    <row r="5820" spans="8:8" x14ac:dyDescent="0.2">
      <c r="H5820">
        <v>0</v>
      </c>
    </row>
    <row r="5821" spans="8:8" x14ac:dyDescent="0.2">
      <c r="H5821">
        <v>0</v>
      </c>
    </row>
    <row r="5822" spans="8:8" x14ac:dyDescent="0.2">
      <c r="H5822">
        <v>0</v>
      </c>
    </row>
    <row r="5823" spans="8:8" x14ac:dyDescent="0.2">
      <c r="H5823">
        <v>0</v>
      </c>
    </row>
    <row r="5824" spans="8:8" x14ac:dyDescent="0.2">
      <c r="H5824">
        <v>0</v>
      </c>
    </row>
    <row r="5825" spans="8:8" x14ac:dyDescent="0.2">
      <c r="H5825">
        <v>0</v>
      </c>
    </row>
    <row r="5826" spans="8:8" x14ac:dyDescent="0.2">
      <c r="H5826">
        <v>0</v>
      </c>
    </row>
    <row r="5827" spans="8:8" x14ac:dyDescent="0.2">
      <c r="H5827">
        <v>0</v>
      </c>
    </row>
    <row r="5828" spans="8:8" x14ac:dyDescent="0.2">
      <c r="H5828">
        <v>0</v>
      </c>
    </row>
    <row r="5829" spans="8:8" x14ac:dyDescent="0.2">
      <c r="H5829">
        <v>0</v>
      </c>
    </row>
    <row r="5830" spans="8:8" x14ac:dyDescent="0.2">
      <c r="H5830">
        <v>0</v>
      </c>
    </row>
    <row r="5831" spans="8:8" x14ac:dyDescent="0.2">
      <c r="H5831">
        <v>0</v>
      </c>
    </row>
    <row r="5832" spans="8:8" x14ac:dyDescent="0.2">
      <c r="H5832">
        <v>0</v>
      </c>
    </row>
    <row r="5833" spans="8:8" x14ac:dyDescent="0.2">
      <c r="H5833">
        <v>0</v>
      </c>
    </row>
    <row r="5834" spans="8:8" x14ac:dyDescent="0.2">
      <c r="H5834">
        <v>0</v>
      </c>
    </row>
    <row r="5835" spans="8:8" x14ac:dyDescent="0.2">
      <c r="H5835">
        <v>0</v>
      </c>
    </row>
    <row r="5836" spans="8:8" x14ac:dyDescent="0.2">
      <c r="H5836">
        <v>0</v>
      </c>
    </row>
    <row r="5837" spans="8:8" x14ac:dyDescent="0.2">
      <c r="H5837">
        <v>0</v>
      </c>
    </row>
    <row r="5838" spans="8:8" x14ac:dyDescent="0.2">
      <c r="H5838">
        <v>0</v>
      </c>
    </row>
    <row r="5839" spans="8:8" x14ac:dyDescent="0.2">
      <c r="H5839">
        <v>0</v>
      </c>
    </row>
    <row r="5840" spans="8:8" x14ac:dyDescent="0.2">
      <c r="H5840">
        <v>0</v>
      </c>
    </row>
    <row r="5841" spans="8:8" x14ac:dyDescent="0.2">
      <c r="H5841">
        <v>0</v>
      </c>
    </row>
    <row r="5842" spans="8:8" x14ac:dyDescent="0.2">
      <c r="H5842">
        <v>0</v>
      </c>
    </row>
    <row r="5843" spans="8:8" x14ac:dyDescent="0.2">
      <c r="H5843">
        <v>0</v>
      </c>
    </row>
    <row r="5844" spans="8:8" x14ac:dyDescent="0.2">
      <c r="H5844">
        <v>0</v>
      </c>
    </row>
    <row r="5845" spans="8:8" x14ac:dyDescent="0.2">
      <c r="H5845">
        <v>0</v>
      </c>
    </row>
    <row r="5846" spans="8:8" x14ac:dyDescent="0.2">
      <c r="H5846">
        <v>0</v>
      </c>
    </row>
    <row r="5847" spans="8:8" x14ac:dyDescent="0.2">
      <c r="H5847">
        <v>0</v>
      </c>
    </row>
    <row r="5848" spans="8:8" x14ac:dyDescent="0.2">
      <c r="H5848">
        <v>0</v>
      </c>
    </row>
    <row r="5849" spans="8:8" x14ac:dyDescent="0.2">
      <c r="H5849">
        <v>0</v>
      </c>
    </row>
    <row r="5850" spans="8:8" x14ac:dyDescent="0.2">
      <c r="H5850">
        <v>0</v>
      </c>
    </row>
    <row r="5851" spans="8:8" x14ac:dyDescent="0.2">
      <c r="H5851">
        <v>0</v>
      </c>
    </row>
    <row r="5852" spans="8:8" x14ac:dyDescent="0.2">
      <c r="H5852">
        <v>0</v>
      </c>
    </row>
    <row r="5853" spans="8:8" x14ac:dyDescent="0.2">
      <c r="H5853">
        <v>0</v>
      </c>
    </row>
    <row r="5854" spans="8:8" x14ac:dyDescent="0.2">
      <c r="H5854">
        <v>0</v>
      </c>
    </row>
    <row r="5855" spans="8:8" x14ac:dyDescent="0.2">
      <c r="H5855">
        <v>0</v>
      </c>
    </row>
    <row r="5856" spans="8:8" x14ac:dyDescent="0.2">
      <c r="H5856">
        <v>0</v>
      </c>
    </row>
    <row r="5857" spans="8:8" x14ac:dyDescent="0.2">
      <c r="H5857">
        <v>0</v>
      </c>
    </row>
    <row r="5858" spans="8:8" x14ac:dyDescent="0.2">
      <c r="H5858">
        <v>0</v>
      </c>
    </row>
    <row r="5859" spans="8:8" x14ac:dyDescent="0.2">
      <c r="H5859">
        <v>0</v>
      </c>
    </row>
    <row r="5860" spans="8:8" x14ac:dyDescent="0.2">
      <c r="H5860">
        <v>0</v>
      </c>
    </row>
    <row r="5861" spans="8:8" x14ac:dyDescent="0.2">
      <c r="H5861">
        <v>0</v>
      </c>
    </row>
    <row r="5862" spans="8:8" x14ac:dyDescent="0.2">
      <c r="H5862">
        <v>0</v>
      </c>
    </row>
    <row r="5863" spans="8:8" x14ac:dyDescent="0.2">
      <c r="H5863">
        <v>0</v>
      </c>
    </row>
    <row r="5864" spans="8:8" x14ac:dyDescent="0.2">
      <c r="H5864">
        <v>0</v>
      </c>
    </row>
    <row r="5865" spans="8:8" x14ac:dyDescent="0.2">
      <c r="H5865">
        <v>0</v>
      </c>
    </row>
    <row r="5866" spans="8:8" x14ac:dyDescent="0.2">
      <c r="H5866">
        <v>0</v>
      </c>
    </row>
    <row r="5867" spans="8:8" x14ac:dyDescent="0.2">
      <c r="H5867">
        <v>0</v>
      </c>
    </row>
    <row r="5868" spans="8:8" x14ac:dyDescent="0.2">
      <c r="H5868">
        <v>0</v>
      </c>
    </row>
    <row r="5869" spans="8:8" x14ac:dyDescent="0.2">
      <c r="H5869">
        <v>0</v>
      </c>
    </row>
    <row r="5870" spans="8:8" x14ac:dyDescent="0.2">
      <c r="H5870">
        <v>0</v>
      </c>
    </row>
    <row r="5871" spans="8:8" x14ac:dyDescent="0.2">
      <c r="H5871">
        <v>0</v>
      </c>
    </row>
    <row r="5872" spans="8:8" x14ac:dyDescent="0.2">
      <c r="H5872">
        <v>0</v>
      </c>
    </row>
    <row r="5873" spans="8:8" x14ac:dyDescent="0.2">
      <c r="H5873">
        <v>0</v>
      </c>
    </row>
    <row r="5874" spans="8:8" x14ac:dyDescent="0.2">
      <c r="H5874">
        <v>0</v>
      </c>
    </row>
    <row r="5875" spans="8:8" x14ac:dyDescent="0.2">
      <c r="H5875">
        <v>0</v>
      </c>
    </row>
    <row r="5876" spans="8:8" x14ac:dyDescent="0.2">
      <c r="H5876">
        <v>0</v>
      </c>
    </row>
    <row r="5877" spans="8:8" x14ac:dyDescent="0.2">
      <c r="H5877">
        <v>0</v>
      </c>
    </row>
    <row r="5878" spans="8:8" x14ac:dyDescent="0.2">
      <c r="H5878">
        <v>0</v>
      </c>
    </row>
    <row r="5879" spans="8:8" x14ac:dyDescent="0.2">
      <c r="H5879">
        <v>0</v>
      </c>
    </row>
    <row r="5880" spans="8:8" x14ac:dyDescent="0.2">
      <c r="H5880">
        <v>0</v>
      </c>
    </row>
    <row r="5881" spans="8:8" x14ac:dyDescent="0.2">
      <c r="H5881">
        <v>0</v>
      </c>
    </row>
    <row r="5882" spans="8:8" x14ac:dyDescent="0.2">
      <c r="H5882">
        <v>0</v>
      </c>
    </row>
    <row r="5883" spans="8:8" x14ac:dyDescent="0.2">
      <c r="H5883">
        <v>0</v>
      </c>
    </row>
    <row r="5884" spans="8:8" x14ac:dyDescent="0.2">
      <c r="H5884">
        <v>0</v>
      </c>
    </row>
    <row r="5885" spans="8:8" x14ac:dyDescent="0.2">
      <c r="H5885">
        <v>0</v>
      </c>
    </row>
    <row r="5886" spans="8:8" x14ac:dyDescent="0.2">
      <c r="H5886">
        <v>0</v>
      </c>
    </row>
    <row r="5887" spans="8:8" x14ac:dyDescent="0.2">
      <c r="H5887">
        <v>0</v>
      </c>
    </row>
    <row r="5888" spans="8:8" x14ac:dyDescent="0.2">
      <c r="H5888">
        <v>0</v>
      </c>
    </row>
    <row r="5889" spans="8:8" x14ac:dyDescent="0.2">
      <c r="H5889">
        <v>0</v>
      </c>
    </row>
    <row r="5890" spans="8:8" x14ac:dyDescent="0.2">
      <c r="H5890">
        <v>0</v>
      </c>
    </row>
    <row r="5891" spans="8:8" x14ac:dyDescent="0.2">
      <c r="H5891">
        <v>0</v>
      </c>
    </row>
    <row r="5892" spans="8:8" x14ac:dyDescent="0.2">
      <c r="H5892">
        <v>0</v>
      </c>
    </row>
    <row r="5893" spans="8:8" x14ac:dyDescent="0.2">
      <c r="H5893">
        <v>0</v>
      </c>
    </row>
    <row r="5894" spans="8:8" x14ac:dyDescent="0.2">
      <c r="H5894">
        <v>0</v>
      </c>
    </row>
    <row r="5895" spans="8:8" x14ac:dyDescent="0.2">
      <c r="H5895">
        <v>0</v>
      </c>
    </row>
    <row r="5896" spans="8:8" x14ac:dyDescent="0.2">
      <c r="H5896">
        <v>0</v>
      </c>
    </row>
    <row r="5897" spans="8:8" x14ac:dyDescent="0.2">
      <c r="H5897">
        <v>0</v>
      </c>
    </row>
    <row r="5898" spans="8:8" x14ac:dyDescent="0.2">
      <c r="H5898">
        <v>0</v>
      </c>
    </row>
    <row r="5899" spans="8:8" x14ac:dyDescent="0.2">
      <c r="H5899">
        <v>0</v>
      </c>
    </row>
    <row r="5900" spans="8:8" x14ac:dyDescent="0.2">
      <c r="H5900">
        <v>0</v>
      </c>
    </row>
    <row r="5901" spans="8:8" x14ac:dyDescent="0.2">
      <c r="H5901">
        <v>0</v>
      </c>
    </row>
    <row r="5902" spans="8:8" x14ac:dyDescent="0.2">
      <c r="H5902">
        <v>0</v>
      </c>
    </row>
    <row r="5903" spans="8:8" x14ac:dyDescent="0.2">
      <c r="H5903">
        <v>0</v>
      </c>
    </row>
    <row r="5904" spans="8:8" x14ac:dyDescent="0.2">
      <c r="H5904">
        <v>0</v>
      </c>
    </row>
    <row r="5905" spans="8:8" x14ac:dyDescent="0.2">
      <c r="H5905">
        <v>0</v>
      </c>
    </row>
    <row r="5906" spans="8:8" x14ac:dyDescent="0.2">
      <c r="H5906">
        <v>0</v>
      </c>
    </row>
    <row r="5907" spans="8:8" x14ac:dyDescent="0.2">
      <c r="H5907">
        <v>0</v>
      </c>
    </row>
    <row r="5908" spans="8:8" x14ac:dyDescent="0.2">
      <c r="H5908">
        <v>0</v>
      </c>
    </row>
    <row r="5909" spans="8:8" x14ac:dyDescent="0.2">
      <c r="H5909">
        <v>0</v>
      </c>
    </row>
    <row r="5910" spans="8:8" x14ac:dyDescent="0.2">
      <c r="H5910">
        <v>0</v>
      </c>
    </row>
    <row r="5911" spans="8:8" x14ac:dyDescent="0.2">
      <c r="H5911">
        <v>0</v>
      </c>
    </row>
    <row r="5912" spans="8:8" x14ac:dyDescent="0.2">
      <c r="H5912">
        <v>0</v>
      </c>
    </row>
    <row r="5913" spans="8:8" x14ac:dyDescent="0.2">
      <c r="H5913">
        <v>0</v>
      </c>
    </row>
    <row r="5914" spans="8:8" x14ac:dyDescent="0.2">
      <c r="H5914">
        <v>0</v>
      </c>
    </row>
    <row r="5915" spans="8:8" x14ac:dyDescent="0.2">
      <c r="H5915">
        <v>0</v>
      </c>
    </row>
    <row r="5916" spans="8:8" x14ac:dyDescent="0.2">
      <c r="H5916">
        <v>0</v>
      </c>
    </row>
    <row r="5917" spans="8:8" x14ac:dyDescent="0.2">
      <c r="H5917">
        <v>0</v>
      </c>
    </row>
    <row r="5918" spans="8:8" x14ac:dyDescent="0.2">
      <c r="H5918">
        <v>0</v>
      </c>
    </row>
    <row r="5919" spans="8:8" x14ac:dyDescent="0.2">
      <c r="H5919">
        <v>0</v>
      </c>
    </row>
    <row r="5920" spans="8:8" x14ac:dyDescent="0.2">
      <c r="H5920">
        <v>0</v>
      </c>
    </row>
    <row r="5921" spans="8:8" x14ac:dyDescent="0.2">
      <c r="H5921">
        <v>0</v>
      </c>
    </row>
    <row r="5922" spans="8:8" x14ac:dyDescent="0.2">
      <c r="H5922">
        <v>0</v>
      </c>
    </row>
    <row r="5923" spans="8:8" x14ac:dyDescent="0.2">
      <c r="H5923">
        <v>0</v>
      </c>
    </row>
    <row r="5924" spans="8:8" x14ac:dyDescent="0.2">
      <c r="H5924">
        <v>0</v>
      </c>
    </row>
    <row r="5925" spans="8:8" x14ac:dyDescent="0.2">
      <c r="H5925">
        <v>0</v>
      </c>
    </row>
    <row r="5926" spans="8:8" x14ac:dyDescent="0.2">
      <c r="H5926">
        <v>0</v>
      </c>
    </row>
    <row r="5927" spans="8:8" x14ac:dyDescent="0.2">
      <c r="H5927">
        <v>0</v>
      </c>
    </row>
    <row r="5928" spans="8:8" x14ac:dyDescent="0.2">
      <c r="H5928">
        <v>0</v>
      </c>
    </row>
    <row r="5929" spans="8:8" x14ac:dyDescent="0.2">
      <c r="H5929">
        <v>0</v>
      </c>
    </row>
    <row r="5930" spans="8:8" x14ac:dyDescent="0.2">
      <c r="H5930">
        <v>0</v>
      </c>
    </row>
    <row r="5931" spans="8:8" x14ac:dyDescent="0.2">
      <c r="H5931">
        <v>0</v>
      </c>
    </row>
    <row r="5932" spans="8:8" x14ac:dyDescent="0.2">
      <c r="H5932">
        <v>0</v>
      </c>
    </row>
    <row r="5933" spans="8:8" x14ac:dyDescent="0.2">
      <c r="H5933">
        <v>0</v>
      </c>
    </row>
    <row r="5934" spans="8:8" x14ac:dyDescent="0.2">
      <c r="H5934">
        <v>0</v>
      </c>
    </row>
    <row r="5935" spans="8:8" x14ac:dyDescent="0.2">
      <c r="H5935">
        <v>0</v>
      </c>
    </row>
    <row r="5936" spans="8:8" x14ac:dyDescent="0.2">
      <c r="H5936">
        <v>0</v>
      </c>
    </row>
    <row r="5937" spans="8:8" x14ac:dyDescent="0.2">
      <c r="H5937">
        <v>0</v>
      </c>
    </row>
    <row r="5938" spans="8:8" x14ac:dyDescent="0.2">
      <c r="H5938">
        <v>0</v>
      </c>
    </row>
    <row r="5939" spans="8:8" x14ac:dyDescent="0.2">
      <c r="H5939">
        <v>0</v>
      </c>
    </row>
    <row r="5940" spans="8:8" x14ac:dyDescent="0.2">
      <c r="H5940">
        <v>0</v>
      </c>
    </row>
    <row r="5941" spans="8:8" x14ac:dyDescent="0.2">
      <c r="H5941">
        <v>0</v>
      </c>
    </row>
    <row r="5942" spans="8:8" x14ac:dyDescent="0.2">
      <c r="H5942">
        <v>0</v>
      </c>
    </row>
    <row r="5943" spans="8:8" x14ac:dyDescent="0.2">
      <c r="H5943">
        <v>0</v>
      </c>
    </row>
    <row r="5944" spans="8:8" x14ac:dyDescent="0.2">
      <c r="H5944">
        <v>0</v>
      </c>
    </row>
    <row r="5945" spans="8:8" x14ac:dyDescent="0.2">
      <c r="H5945">
        <v>0</v>
      </c>
    </row>
    <row r="5946" spans="8:8" x14ac:dyDescent="0.2">
      <c r="H5946">
        <v>0</v>
      </c>
    </row>
    <row r="5947" spans="8:8" x14ac:dyDescent="0.2">
      <c r="H5947">
        <v>0</v>
      </c>
    </row>
    <row r="5948" spans="8:8" x14ac:dyDescent="0.2">
      <c r="H5948">
        <v>0</v>
      </c>
    </row>
    <row r="5949" spans="8:8" x14ac:dyDescent="0.2">
      <c r="H5949">
        <v>0</v>
      </c>
    </row>
    <row r="5950" spans="8:8" x14ac:dyDescent="0.2">
      <c r="H5950">
        <v>0</v>
      </c>
    </row>
    <row r="5951" spans="8:8" x14ac:dyDescent="0.2">
      <c r="H5951">
        <v>0</v>
      </c>
    </row>
    <row r="5952" spans="8:8" x14ac:dyDescent="0.2">
      <c r="H5952">
        <v>0</v>
      </c>
    </row>
    <row r="5953" spans="8:8" x14ac:dyDescent="0.2">
      <c r="H5953">
        <v>0</v>
      </c>
    </row>
    <row r="5954" spans="8:8" x14ac:dyDescent="0.2">
      <c r="H5954">
        <v>0</v>
      </c>
    </row>
    <row r="5955" spans="8:8" x14ac:dyDescent="0.2">
      <c r="H5955">
        <v>0</v>
      </c>
    </row>
    <row r="5956" spans="8:8" x14ac:dyDescent="0.2">
      <c r="H5956">
        <v>0</v>
      </c>
    </row>
    <row r="5957" spans="8:8" x14ac:dyDescent="0.2">
      <c r="H5957">
        <v>0</v>
      </c>
    </row>
    <row r="5958" spans="8:8" x14ac:dyDescent="0.2">
      <c r="H5958">
        <v>0</v>
      </c>
    </row>
    <row r="5959" spans="8:8" x14ac:dyDescent="0.2">
      <c r="H5959">
        <v>0</v>
      </c>
    </row>
    <row r="5960" spans="8:8" x14ac:dyDescent="0.2">
      <c r="H5960">
        <v>0</v>
      </c>
    </row>
    <row r="5961" spans="8:8" x14ac:dyDescent="0.2">
      <c r="H5961">
        <v>0</v>
      </c>
    </row>
    <row r="5962" spans="8:8" x14ac:dyDescent="0.2">
      <c r="H5962">
        <v>0</v>
      </c>
    </row>
    <row r="5963" spans="8:8" x14ac:dyDescent="0.2">
      <c r="H5963">
        <v>0</v>
      </c>
    </row>
    <row r="5964" spans="8:8" x14ac:dyDescent="0.2">
      <c r="H5964">
        <v>0</v>
      </c>
    </row>
    <row r="5965" spans="8:8" x14ac:dyDescent="0.2">
      <c r="H5965">
        <v>0</v>
      </c>
    </row>
    <row r="5966" spans="8:8" x14ac:dyDescent="0.2">
      <c r="H5966">
        <v>0</v>
      </c>
    </row>
    <row r="5967" spans="8:8" x14ac:dyDescent="0.2">
      <c r="H5967">
        <v>0</v>
      </c>
    </row>
    <row r="5968" spans="8:8" x14ac:dyDescent="0.2">
      <c r="H5968">
        <v>0</v>
      </c>
    </row>
    <row r="5969" spans="8:8" x14ac:dyDescent="0.2">
      <c r="H5969">
        <v>0</v>
      </c>
    </row>
    <row r="5970" spans="8:8" x14ac:dyDescent="0.2">
      <c r="H5970">
        <v>0</v>
      </c>
    </row>
    <row r="5971" spans="8:8" x14ac:dyDescent="0.2">
      <c r="H5971">
        <v>0</v>
      </c>
    </row>
    <row r="5972" spans="8:8" x14ac:dyDescent="0.2">
      <c r="H5972">
        <v>0</v>
      </c>
    </row>
    <row r="5973" spans="8:8" x14ac:dyDescent="0.2">
      <c r="H5973">
        <v>0</v>
      </c>
    </row>
    <row r="5974" spans="8:8" x14ac:dyDescent="0.2">
      <c r="H5974">
        <v>0</v>
      </c>
    </row>
    <row r="5975" spans="8:8" x14ac:dyDescent="0.2">
      <c r="H5975">
        <v>0</v>
      </c>
    </row>
    <row r="5976" spans="8:8" x14ac:dyDescent="0.2">
      <c r="H5976">
        <v>0</v>
      </c>
    </row>
    <row r="5977" spans="8:8" x14ac:dyDescent="0.2">
      <c r="H5977">
        <v>0</v>
      </c>
    </row>
    <row r="5978" spans="8:8" x14ac:dyDescent="0.2">
      <c r="H5978">
        <v>0</v>
      </c>
    </row>
    <row r="5979" spans="8:8" x14ac:dyDescent="0.2">
      <c r="H5979">
        <v>0</v>
      </c>
    </row>
    <row r="5980" spans="8:8" x14ac:dyDescent="0.2">
      <c r="H5980">
        <v>0</v>
      </c>
    </row>
    <row r="5981" spans="8:8" x14ac:dyDescent="0.2">
      <c r="H5981">
        <v>0</v>
      </c>
    </row>
    <row r="5982" spans="8:8" x14ac:dyDescent="0.2">
      <c r="H5982">
        <v>0</v>
      </c>
    </row>
    <row r="5983" spans="8:8" x14ac:dyDescent="0.2">
      <c r="H5983">
        <v>0</v>
      </c>
    </row>
    <row r="5984" spans="8:8" x14ac:dyDescent="0.2">
      <c r="H5984">
        <v>0</v>
      </c>
    </row>
    <row r="5985" spans="8:8" x14ac:dyDescent="0.2">
      <c r="H5985">
        <v>0</v>
      </c>
    </row>
    <row r="5986" spans="8:8" x14ac:dyDescent="0.2">
      <c r="H5986">
        <v>0</v>
      </c>
    </row>
    <row r="5987" spans="8:8" x14ac:dyDescent="0.2">
      <c r="H5987">
        <v>0</v>
      </c>
    </row>
    <row r="5988" spans="8:8" x14ac:dyDescent="0.2">
      <c r="H5988">
        <v>0</v>
      </c>
    </row>
    <row r="5989" spans="8:8" x14ac:dyDescent="0.2">
      <c r="H5989">
        <v>0</v>
      </c>
    </row>
    <row r="5990" spans="8:8" x14ac:dyDescent="0.2">
      <c r="H5990">
        <v>0</v>
      </c>
    </row>
    <row r="5991" spans="8:8" x14ac:dyDescent="0.2">
      <c r="H5991">
        <v>0</v>
      </c>
    </row>
    <row r="5992" spans="8:8" x14ac:dyDescent="0.2">
      <c r="H5992">
        <v>0</v>
      </c>
    </row>
    <row r="5993" spans="8:8" x14ac:dyDescent="0.2">
      <c r="H5993">
        <v>0</v>
      </c>
    </row>
    <row r="5994" spans="8:8" x14ac:dyDescent="0.2">
      <c r="H5994">
        <v>0</v>
      </c>
    </row>
    <row r="5995" spans="8:8" x14ac:dyDescent="0.2">
      <c r="H5995">
        <v>0</v>
      </c>
    </row>
    <row r="5996" spans="8:8" x14ac:dyDescent="0.2">
      <c r="H5996">
        <v>0</v>
      </c>
    </row>
    <row r="5997" spans="8:8" x14ac:dyDescent="0.2">
      <c r="H5997">
        <v>0</v>
      </c>
    </row>
    <row r="5998" spans="8:8" x14ac:dyDescent="0.2">
      <c r="H5998">
        <v>0</v>
      </c>
    </row>
    <row r="5999" spans="8:8" x14ac:dyDescent="0.2">
      <c r="H5999">
        <v>0</v>
      </c>
    </row>
    <row r="6000" spans="8:8" x14ac:dyDescent="0.2">
      <c r="H6000">
        <v>0</v>
      </c>
    </row>
    <row r="6001" spans="8:8" x14ac:dyDescent="0.2">
      <c r="H6001">
        <v>0</v>
      </c>
    </row>
    <row r="6002" spans="8:8" x14ac:dyDescent="0.2">
      <c r="H6002">
        <v>0</v>
      </c>
    </row>
    <row r="6003" spans="8:8" x14ac:dyDescent="0.2">
      <c r="H6003">
        <v>0</v>
      </c>
    </row>
    <row r="6004" spans="8:8" x14ac:dyDescent="0.2">
      <c r="H6004">
        <v>0</v>
      </c>
    </row>
    <row r="6005" spans="8:8" x14ac:dyDescent="0.2">
      <c r="H6005">
        <v>0</v>
      </c>
    </row>
    <row r="6006" spans="8:8" x14ac:dyDescent="0.2">
      <c r="H6006">
        <v>0</v>
      </c>
    </row>
    <row r="6007" spans="8:8" x14ac:dyDescent="0.2">
      <c r="H6007">
        <v>0</v>
      </c>
    </row>
    <row r="6008" spans="8:8" x14ac:dyDescent="0.2">
      <c r="H6008">
        <v>0</v>
      </c>
    </row>
    <row r="6009" spans="8:8" x14ac:dyDescent="0.2">
      <c r="H6009">
        <v>0</v>
      </c>
    </row>
    <row r="6010" spans="8:8" x14ac:dyDescent="0.2">
      <c r="H6010">
        <v>0</v>
      </c>
    </row>
    <row r="6011" spans="8:8" x14ac:dyDescent="0.2">
      <c r="H6011">
        <v>0</v>
      </c>
    </row>
    <row r="6012" spans="8:8" x14ac:dyDescent="0.2">
      <c r="H6012">
        <v>0</v>
      </c>
    </row>
    <row r="6013" spans="8:8" x14ac:dyDescent="0.2">
      <c r="H6013">
        <v>0</v>
      </c>
    </row>
    <row r="6014" spans="8:8" x14ac:dyDescent="0.2">
      <c r="H6014">
        <v>0</v>
      </c>
    </row>
    <row r="6015" spans="8:8" x14ac:dyDescent="0.2">
      <c r="H6015">
        <v>0</v>
      </c>
    </row>
    <row r="6016" spans="8:8" x14ac:dyDescent="0.2">
      <c r="H6016">
        <v>0</v>
      </c>
    </row>
    <row r="6017" spans="8:8" x14ac:dyDescent="0.2">
      <c r="H6017">
        <v>0</v>
      </c>
    </row>
    <row r="6018" spans="8:8" x14ac:dyDescent="0.2">
      <c r="H6018">
        <v>0</v>
      </c>
    </row>
    <row r="6019" spans="8:8" x14ac:dyDescent="0.2">
      <c r="H6019">
        <v>0</v>
      </c>
    </row>
    <row r="6020" spans="8:8" x14ac:dyDescent="0.2">
      <c r="H6020">
        <v>0</v>
      </c>
    </row>
    <row r="6021" spans="8:8" x14ac:dyDescent="0.2">
      <c r="H6021">
        <v>0</v>
      </c>
    </row>
    <row r="6022" spans="8:8" x14ac:dyDescent="0.2">
      <c r="H6022">
        <v>0</v>
      </c>
    </row>
    <row r="6023" spans="8:8" x14ac:dyDescent="0.2">
      <c r="H6023">
        <v>0</v>
      </c>
    </row>
    <row r="6024" spans="8:8" x14ac:dyDescent="0.2">
      <c r="H6024">
        <v>0</v>
      </c>
    </row>
    <row r="6025" spans="8:8" x14ac:dyDescent="0.2">
      <c r="H6025">
        <v>0</v>
      </c>
    </row>
    <row r="6026" spans="8:8" x14ac:dyDescent="0.2">
      <c r="H6026">
        <v>0</v>
      </c>
    </row>
    <row r="6027" spans="8:8" x14ac:dyDescent="0.2">
      <c r="H6027">
        <v>0</v>
      </c>
    </row>
    <row r="6028" spans="8:8" x14ac:dyDescent="0.2">
      <c r="H6028">
        <v>0</v>
      </c>
    </row>
    <row r="6029" spans="8:8" x14ac:dyDescent="0.2">
      <c r="H6029">
        <v>0</v>
      </c>
    </row>
    <row r="6030" spans="8:8" x14ac:dyDescent="0.2">
      <c r="H6030">
        <v>0</v>
      </c>
    </row>
    <row r="6031" spans="8:8" x14ac:dyDescent="0.2">
      <c r="H6031">
        <v>0</v>
      </c>
    </row>
    <row r="6032" spans="8:8" x14ac:dyDescent="0.2">
      <c r="H6032">
        <v>0</v>
      </c>
    </row>
    <row r="6033" spans="8:8" x14ac:dyDescent="0.2">
      <c r="H6033">
        <v>0</v>
      </c>
    </row>
    <row r="6034" spans="8:8" x14ac:dyDescent="0.2">
      <c r="H6034">
        <v>0</v>
      </c>
    </row>
    <row r="6035" spans="8:8" x14ac:dyDescent="0.2">
      <c r="H6035">
        <v>0</v>
      </c>
    </row>
    <row r="6036" spans="8:8" x14ac:dyDescent="0.2">
      <c r="H6036">
        <v>0</v>
      </c>
    </row>
    <row r="6037" spans="8:8" x14ac:dyDescent="0.2">
      <c r="H6037">
        <v>0</v>
      </c>
    </row>
    <row r="6038" spans="8:8" x14ac:dyDescent="0.2">
      <c r="H6038">
        <v>0</v>
      </c>
    </row>
    <row r="6039" spans="8:8" x14ac:dyDescent="0.2">
      <c r="H6039">
        <v>0</v>
      </c>
    </row>
    <row r="6040" spans="8:8" x14ac:dyDescent="0.2">
      <c r="H6040">
        <v>0</v>
      </c>
    </row>
    <row r="6041" spans="8:8" x14ac:dyDescent="0.2">
      <c r="H6041">
        <v>0</v>
      </c>
    </row>
    <row r="6042" spans="8:8" x14ac:dyDescent="0.2">
      <c r="H6042">
        <v>0</v>
      </c>
    </row>
    <row r="6043" spans="8:8" x14ac:dyDescent="0.2">
      <c r="H6043">
        <v>0</v>
      </c>
    </row>
    <row r="6044" spans="8:8" x14ac:dyDescent="0.2">
      <c r="H6044">
        <v>0</v>
      </c>
    </row>
    <row r="6045" spans="8:8" x14ac:dyDescent="0.2">
      <c r="H6045">
        <v>0</v>
      </c>
    </row>
    <row r="6046" spans="8:8" x14ac:dyDescent="0.2">
      <c r="H6046">
        <v>0</v>
      </c>
    </row>
    <row r="6047" spans="8:8" x14ac:dyDescent="0.2">
      <c r="H6047">
        <v>0</v>
      </c>
    </row>
    <row r="6048" spans="8:8" x14ac:dyDescent="0.2">
      <c r="H6048">
        <v>0</v>
      </c>
    </row>
    <row r="6049" spans="8:8" x14ac:dyDescent="0.2">
      <c r="H6049">
        <v>0</v>
      </c>
    </row>
    <row r="6050" spans="8:8" x14ac:dyDescent="0.2">
      <c r="H6050">
        <v>0</v>
      </c>
    </row>
    <row r="6051" spans="8:8" x14ac:dyDescent="0.2">
      <c r="H6051">
        <v>0</v>
      </c>
    </row>
    <row r="6052" spans="8:8" x14ac:dyDescent="0.2">
      <c r="H6052">
        <v>0</v>
      </c>
    </row>
    <row r="6053" spans="8:8" x14ac:dyDescent="0.2">
      <c r="H6053">
        <v>0</v>
      </c>
    </row>
    <row r="6054" spans="8:8" x14ac:dyDescent="0.2">
      <c r="H6054">
        <v>0</v>
      </c>
    </row>
    <row r="6055" spans="8:8" x14ac:dyDescent="0.2">
      <c r="H6055">
        <v>0</v>
      </c>
    </row>
    <row r="6056" spans="8:8" x14ac:dyDescent="0.2">
      <c r="H6056">
        <v>0</v>
      </c>
    </row>
    <row r="6057" spans="8:8" x14ac:dyDescent="0.2">
      <c r="H6057">
        <v>0</v>
      </c>
    </row>
    <row r="6058" spans="8:8" x14ac:dyDescent="0.2">
      <c r="H6058">
        <v>0</v>
      </c>
    </row>
    <row r="6059" spans="8:8" x14ac:dyDescent="0.2">
      <c r="H6059">
        <v>0</v>
      </c>
    </row>
    <row r="6060" spans="8:8" x14ac:dyDescent="0.2">
      <c r="H6060">
        <v>0</v>
      </c>
    </row>
    <row r="6061" spans="8:8" x14ac:dyDescent="0.2">
      <c r="H6061">
        <v>0</v>
      </c>
    </row>
    <row r="6062" spans="8:8" x14ac:dyDescent="0.2">
      <c r="H6062">
        <v>0</v>
      </c>
    </row>
    <row r="6063" spans="8:8" x14ac:dyDescent="0.2">
      <c r="H6063">
        <v>0</v>
      </c>
    </row>
    <row r="6064" spans="8:8" x14ac:dyDescent="0.2">
      <c r="H6064">
        <v>0</v>
      </c>
    </row>
    <row r="6065" spans="8:8" x14ac:dyDescent="0.2">
      <c r="H6065">
        <v>0</v>
      </c>
    </row>
    <row r="6066" spans="8:8" x14ac:dyDescent="0.2">
      <c r="H6066">
        <v>0</v>
      </c>
    </row>
    <row r="6067" spans="8:8" x14ac:dyDescent="0.2">
      <c r="H6067">
        <v>0</v>
      </c>
    </row>
    <row r="6068" spans="8:8" x14ac:dyDescent="0.2">
      <c r="H6068">
        <v>0</v>
      </c>
    </row>
    <row r="6069" spans="8:8" x14ac:dyDescent="0.2">
      <c r="H6069">
        <v>0</v>
      </c>
    </row>
    <row r="6070" spans="8:8" x14ac:dyDescent="0.2">
      <c r="H6070">
        <v>0</v>
      </c>
    </row>
    <row r="6071" spans="8:8" x14ac:dyDescent="0.2">
      <c r="H6071">
        <v>0</v>
      </c>
    </row>
    <row r="6072" spans="8:8" x14ac:dyDescent="0.2">
      <c r="H6072">
        <v>0</v>
      </c>
    </row>
    <row r="6073" spans="8:8" x14ac:dyDescent="0.2">
      <c r="H6073">
        <v>0</v>
      </c>
    </row>
    <row r="6074" spans="8:8" x14ac:dyDescent="0.2">
      <c r="H6074">
        <v>0</v>
      </c>
    </row>
    <row r="6075" spans="8:8" x14ac:dyDescent="0.2">
      <c r="H6075">
        <v>0</v>
      </c>
    </row>
    <row r="6076" spans="8:8" x14ac:dyDescent="0.2">
      <c r="H6076">
        <v>0</v>
      </c>
    </row>
    <row r="6077" spans="8:8" x14ac:dyDescent="0.2">
      <c r="H6077">
        <v>0</v>
      </c>
    </row>
    <row r="6078" spans="8:8" x14ac:dyDescent="0.2">
      <c r="H6078">
        <v>0</v>
      </c>
    </row>
    <row r="6079" spans="8:8" x14ac:dyDescent="0.2">
      <c r="H6079">
        <v>0</v>
      </c>
    </row>
    <row r="6080" spans="8:8" x14ac:dyDescent="0.2">
      <c r="H6080">
        <v>0</v>
      </c>
    </row>
    <row r="6081" spans="8:8" x14ac:dyDescent="0.2">
      <c r="H6081">
        <v>0</v>
      </c>
    </row>
    <row r="6082" spans="8:8" x14ac:dyDescent="0.2">
      <c r="H6082">
        <v>0</v>
      </c>
    </row>
    <row r="6083" spans="8:8" x14ac:dyDescent="0.2">
      <c r="H6083">
        <v>0</v>
      </c>
    </row>
    <row r="6084" spans="8:8" x14ac:dyDescent="0.2">
      <c r="H6084">
        <v>0</v>
      </c>
    </row>
    <row r="6085" spans="8:8" x14ac:dyDescent="0.2">
      <c r="H6085">
        <v>0</v>
      </c>
    </row>
    <row r="6086" spans="8:8" x14ac:dyDescent="0.2">
      <c r="H6086">
        <v>0</v>
      </c>
    </row>
    <row r="6087" spans="8:8" x14ac:dyDescent="0.2">
      <c r="H6087">
        <v>0</v>
      </c>
    </row>
    <row r="6088" spans="8:8" x14ac:dyDescent="0.2">
      <c r="H6088">
        <v>0</v>
      </c>
    </row>
    <row r="6089" spans="8:8" x14ac:dyDescent="0.2">
      <c r="H6089">
        <v>0</v>
      </c>
    </row>
    <row r="6090" spans="8:8" x14ac:dyDescent="0.2">
      <c r="H6090">
        <v>0</v>
      </c>
    </row>
    <row r="6091" spans="8:8" x14ac:dyDescent="0.2">
      <c r="H6091">
        <v>0</v>
      </c>
    </row>
    <row r="6092" spans="8:8" x14ac:dyDescent="0.2">
      <c r="H6092">
        <v>0</v>
      </c>
    </row>
    <row r="6093" spans="8:8" x14ac:dyDescent="0.2">
      <c r="H6093">
        <v>0</v>
      </c>
    </row>
    <row r="6094" spans="8:8" x14ac:dyDescent="0.2">
      <c r="H6094">
        <v>0</v>
      </c>
    </row>
    <row r="6095" spans="8:8" x14ac:dyDescent="0.2">
      <c r="H6095">
        <v>0</v>
      </c>
    </row>
    <row r="6096" spans="8:8" x14ac:dyDescent="0.2">
      <c r="H6096">
        <v>0</v>
      </c>
    </row>
    <row r="6097" spans="8:8" x14ac:dyDescent="0.2">
      <c r="H6097">
        <v>0</v>
      </c>
    </row>
    <row r="6098" spans="8:8" x14ac:dyDescent="0.2">
      <c r="H6098">
        <v>0</v>
      </c>
    </row>
    <row r="6099" spans="8:8" x14ac:dyDescent="0.2">
      <c r="H6099">
        <v>0</v>
      </c>
    </row>
    <row r="6100" spans="8:8" x14ac:dyDescent="0.2">
      <c r="H6100">
        <v>0</v>
      </c>
    </row>
    <row r="6101" spans="8:8" x14ac:dyDescent="0.2">
      <c r="H6101">
        <v>0</v>
      </c>
    </row>
    <row r="6102" spans="8:8" x14ac:dyDescent="0.2">
      <c r="H6102">
        <v>0</v>
      </c>
    </row>
    <row r="6103" spans="8:8" x14ac:dyDescent="0.2">
      <c r="H6103">
        <v>0</v>
      </c>
    </row>
    <row r="6104" spans="8:8" x14ac:dyDescent="0.2">
      <c r="H6104">
        <v>0</v>
      </c>
    </row>
    <row r="6105" spans="8:8" x14ac:dyDescent="0.2">
      <c r="H6105">
        <v>0</v>
      </c>
    </row>
    <row r="6106" spans="8:8" x14ac:dyDescent="0.2">
      <c r="H6106">
        <v>0</v>
      </c>
    </row>
    <row r="6107" spans="8:8" x14ac:dyDescent="0.2">
      <c r="H6107">
        <v>0</v>
      </c>
    </row>
    <row r="6108" spans="8:8" x14ac:dyDescent="0.2">
      <c r="H6108">
        <v>0</v>
      </c>
    </row>
    <row r="6109" spans="8:8" x14ac:dyDescent="0.2">
      <c r="H6109">
        <v>0</v>
      </c>
    </row>
    <row r="6110" spans="8:8" x14ac:dyDescent="0.2">
      <c r="H6110">
        <v>0</v>
      </c>
    </row>
    <row r="6111" spans="8:8" x14ac:dyDescent="0.2">
      <c r="H6111">
        <v>0</v>
      </c>
    </row>
    <row r="6112" spans="8:8" x14ac:dyDescent="0.2">
      <c r="H6112">
        <v>0</v>
      </c>
    </row>
    <row r="6113" spans="8:8" x14ac:dyDescent="0.2">
      <c r="H6113">
        <v>0</v>
      </c>
    </row>
    <row r="6114" spans="8:8" x14ac:dyDescent="0.2">
      <c r="H6114">
        <v>0</v>
      </c>
    </row>
    <row r="6115" spans="8:8" x14ac:dyDescent="0.2">
      <c r="H6115">
        <v>0</v>
      </c>
    </row>
    <row r="6116" spans="8:8" x14ac:dyDescent="0.2">
      <c r="H6116">
        <v>0</v>
      </c>
    </row>
    <row r="6117" spans="8:8" x14ac:dyDescent="0.2">
      <c r="H6117">
        <v>0</v>
      </c>
    </row>
    <row r="6118" spans="8:8" x14ac:dyDescent="0.2">
      <c r="H6118">
        <v>0</v>
      </c>
    </row>
    <row r="6119" spans="8:8" x14ac:dyDescent="0.2">
      <c r="H6119">
        <v>0</v>
      </c>
    </row>
    <row r="6120" spans="8:8" x14ac:dyDescent="0.2">
      <c r="H6120">
        <v>0</v>
      </c>
    </row>
    <row r="6121" spans="8:8" x14ac:dyDescent="0.2">
      <c r="H6121">
        <v>0</v>
      </c>
    </row>
    <row r="6122" spans="8:8" x14ac:dyDescent="0.2">
      <c r="H6122">
        <v>0</v>
      </c>
    </row>
    <row r="6123" spans="8:8" x14ac:dyDescent="0.2">
      <c r="H6123">
        <v>0</v>
      </c>
    </row>
    <row r="6124" spans="8:8" x14ac:dyDescent="0.2">
      <c r="H6124">
        <v>0</v>
      </c>
    </row>
    <row r="6125" spans="8:8" x14ac:dyDescent="0.2">
      <c r="H6125">
        <v>0</v>
      </c>
    </row>
    <row r="6126" spans="8:8" x14ac:dyDescent="0.2">
      <c r="H6126">
        <v>0</v>
      </c>
    </row>
    <row r="6127" spans="8:8" x14ac:dyDescent="0.2">
      <c r="H6127">
        <v>0</v>
      </c>
    </row>
    <row r="6128" spans="8:8" x14ac:dyDescent="0.2">
      <c r="H6128">
        <v>0</v>
      </c>
    </row>
    <row r="6129" spans="8:8" x14ac:dyDescent="0.2">
      <c r="H6129">
        <v>0</v>
      </c>
    </row>
    <row r="6130" spans="8:8" x14ac:dyDescent="0.2">
      <c r="H6130">
        <v>0</v>
      </c>
    </row>
    <row r="6131" spans="8:8" x14ac:dyDescent="0.2">
      <c r="H6131">
        <v>0</v>
      </c>
    </row>
    <row r="6132" spans="8:8" x14ac:dyDescent="0.2">
      <c r="H6132">
        <v>0</v>
      </c>
    </row>
    <row r="6133" spans="8:8" x14ac:dyDescent="0.2">
      <c r="H6133">
        <v>0</v>
      </c>
    </row>
    <row r="6134" spans="8:8" x14ac:dyDescent="0.2">
      <c r="H6134">
        <v>0</v>
      </c>
    </row>
    <row r="6135" spans="8:8" x14ac:dyDescent="0.2">
      <c r="H6135">
        <v>0</v>
      </c>
    </row>
    <row r="6136" spans="8:8" x14ac:dyDescent="0.2">
      <c r="H6136">
        <v>0</v>
      </c>
    </row>
    <row r="6137" spans="8:8" x14ac:dyDescent="0.2">
      <c r="H6137">
        <v>0</v>
      </c>
    </row>
    <row r="6138" spans="8:8" x14ac:dyDescent="0.2">
      <c r="H6138">
        <v>0</v>
      </c>
    </row>
    <row r="6139" spans="8:8" x14ac:dyDescent="0.2">
      <c r="H6139">
        <v>0</v>
      </c>
    </row>
    <row r="6140" spans="8:8" x14ac:dyDescent="0.2">
      <c r="H6140">
        <v>0</v>
      </c>
    </row>
    <row r="6141" spans="8:8" x14ac:dyDescent="0.2">
      <c r="H6141">
        <v>0</v>
      </c>
    </row>
    <row r="6142" spans="8:8" x14ac:dyDescent="0.2">
      <c r="H6142">
        <v>0</v>
      </c>
    </row>
    <row r="6143" spans="8:8" x14ac:dyDescent="0.2">
      <c r="H6143">
        <v>0</v>
      </c>
    </row>
    <row r="6144" spans="8:8" x14ac:dyDescent="0.2">
      <c r="H6144">
        <v>0</v>
      </c>
    </row>
    <row r="6145" spans="8:8" x14ac:dyDescent="0.2">
      <c r="H6145">
        <v>0</v>
      </c>
    </row>
    <row r="6146" spans="8:8" x14ac:dyDescent="0.2">
      <c r="H6146">
        <v>0</v>
      </c>
    </row>
    <row r="6147" spans="8:8" x14ac:dyDescent="0.2">
      <c r="H6147">
        <v>0</v>
      </c>
    </row>
    <row r="6148" spans="8:8" x14ac:dyDescent="0.2">
      <c r="H6148">
        <v>0</v>
      </c>
    </row>
    <row r="6149" spans="8:8" x14ac:dyDescent="0.2">
      <c r="H6149">
        <v>0</v>
      </c>
    </row>
    <row r="6150" spans="8:8" x14ac:dyDescent="0.2">
      <c r="H6150">
        <v>0</v>
      </c>
    </row>
    <row r="6151" spans="8:8" x14ac:dyDescent="0.2">
      <c r="H6151">
        <v>0</v>
      </c>
    </row>
    <row r="6152" spans="8:8" x14ac:dyDescent="0.2">
      <c r="H6152">
        <v>0</v>
      </c>
    </row>
    <row r="6153" spans="8:8" x14ac:dyDescent="0.2">
      <c r="H6153">
        <v>0</v>
      </c>
    </row>
    <row r="6154" spans="8:8" x14ac:dyDescent="0.2">
      <c r="H6154">
        <v>0</v>
      </c>
    </row>
    <row r="6155" spans="8:8" x14ac:dyDescent="0.2">
      <c r="H6155">
        <v>0</v>
      </c>
    </row>
    <row r="6156" spans="8:8" x14ac:dyDescent="0.2">
      <c r="H6156">
        <v>0</v>
      </c>
    </row>
    <row r="6157" spans="8:8" x14ac:dyDescent="0.2">
      <c r="H6157">
        <v>0</v>
      </c>
    </row>
    <row r="6158" spans="8:8" x14ac:dyDescent="0.2">
      <c r="H6158">
        <v>0</v>
      </c>
    </row>
    <row r="6159" spans="8:8" x14ac:dyDescent="0.2">
      <c r="H6159">
        <v>0</v>
      </c>
    </row>
    <row r="6160" spans="8:8" x14ac:dyDescent="0.2">
      <c r="H6160">
        <v>0</v>
      </c>
    </row>
    <row r="6161" spans="8:8" x14ac:dyDescent="0.2">
      <c r="H6161">
        <v>0</v>
      </c>
    </row>
    <row r="6162" spans="8:8" x14ac:dyDescent="0.2">
      <c r="H6162">
        <v>0</v>
      </c>
    </row>
    <row r="6163" spans="8:8" x14ac:dyDescent="0.2">
      <c r="H6163">
        <v>0</v>
      </c>
    </row>
    <row r="6164" spans="8:8" x14ac:dyDescent="0.2">
      <c r="H6164">
        <v>0</v>
      </c>
    </row>
    <row r="6165" spans="8:8" x14ac:dyDescent="0.2">
      <c r="H6165">
        <v>0</v>
      </c>
    </row>
    <row r="6166" spans="8:8" x14ac:dyDescent="0.2">
      <c r="H6166">
        <v>0</v>
      </c>
    </row>
    <row r="6167" spans="8:8" x14ac:dyDescent="0.2">
      <c r="H6167">
        <v>0</v>
      </c>
    </row>
    <row r="6168" spans="8:8" x14ac:dyDescent="0.2">
      <c r="H6168">
        <v>0</v>
      </c>
    </row>
    <row r="6169" spans="8:8" x14ac:dyDescent="0.2">
      <c r="H6169">
        <v>0</v>
      </c>
    </row>
    <row r="6170" spans="8:8" x14ac:dyDescent="0.2">
      <c r="H6170">
        <v>0</v>
      </c>
    </row>
    <row r="6171" spans="8:8" x14ac:dyDescent="0.2">
      <c r="H6171">
        <v>0</v>
      </c>
    </row>
    <row r="6172" spans="8:8" x14ac:dyDescent="0.2">
      <c r="H6172">
        <v>0</v>
      </c>
    </row>
    <row r="6173" spans="8:8" x14ac:dyDescent="0.2">
      <c r="H6173">
        <v>0</v>
      </c>
    </row>
    <row r="6174" spans="8:8" x14ac:dyDescent="0.2">
      <c r="H6174">
        <v>0</v>
      </c>
    </row>
    <row r="6175" spans="8:8" x14ac:dyDescent="0.2">
      <c r="H6175">
        <v>0</v>
      </c>
    </row>
    <row r="6176" spans="8:8" x14ac:dyDescent="0.2">
      <c r="H6176">
        <v>0</v>
      </c>
    </row>
    <row r="6177" spans="8:8" x14ac:dyDescent="0.2">
      <c r="H6177">
        <v>0</v>
      </c>
    </row>
    <row r="6178" spans="8:8" x14ac:dyDescent="0.2">
      <c r="H6178">
        <v>0</v>
      </c>
    </row>
    <row r="6179" spans="8:8" x14ac:dyDescent="0.2">
      <c r="H6179">
        <v>0</v>
      </c>
    </row>
    <row r="6180" spans="8:8" x14ac:dyDescent="0.2">
      <c r="H6180">
        <v>0</v>
      </c>
    </row>
    <row r="6181" spans="8:8" x14ac:dyDescent="0.2">
      <c r="H6181">
        <v>0</v>
      </c>
    </row>
    <row r="6182" spans="8:8" x14ac:dyDescent="0.2">
      <c r="H6182">
        <v>0</v>
      </c>
    </row>
    <row r="6183" spans="8:8" x14ac:dyDescent="0.2">
      <c r="H6183">
        <v>0</v>
      </c>
    </row>
    <row r="6184" spans="8:8" x14ac:dyDescent="0.2">
      <c r="H6184">
        <v>0</v>
      </c>
    </row>
    <row r="6185" spans="8:8" x14ac:dyDescent="0.2">
      <c r="H6185">
        <v>0</v>
      </c>
    </row>
    <row r="6186" spans="8:8" x14ac:dyDescent="0.2">
      <c r="H6186">
        <v>0</v>
      </c>
    </row>
    <row r="6187" spans="8:8" x14ac:dyDescent="0.2">
      <c r="H6187">
        <v>0</v>
      </c>
    </row>
    <row r="6188" spans="8:8" x14ac:dyDescent="0.2">
      <c r="H6188">
        <v>0</v>
      </c>
    </row>
    <row r="6189" spans="8:8" x14ac:dyDescent="0.2">
      <c r="H6189">
        <v>0</v>
      </c>
    </row>
    <row r="6190" spans="8:8" x14ac:dyDescent="0.2">
      <c r="H6190">
        <v>0</v>
      </c>
    </row>
    <row r="6191" spans="8:8" x14ac:dyDescent="0.2">
      <c r="H6191">
        <v>0</v>
      </c>
    </row>
    <row r="6192" spans="8:8" x14ac:dyDescent="0.2">
      <c r="H6192">
        <v>0</v>
      </c>
    </row>
    <row r="6193" spans="8:8" x14ac:dyDescent="0.2">
      <c r="H6193">
        <v>0</v>
      </c>
    </row>
    <row r="6194" spans="8:8" x14ac:dyDescent="0.2">
      <c r="H6194">
        <v>0</v>
      </c>
    </row>
    <row r="6195" spans="8:8" x14ac:dyDescent="0.2">
      <c r="H6195">
        <v>0</v>
      </c>
    </row>
    <row r="6196" spans="8:8" x14ac:dyDescent="0.2">
      <c r="H6196">
        <v>0</v>
      </c>
    </row>
    <row r="6197" spans="8:8" x14ac:dyDescent="0.2">
      <c r="H6197">
        <v>0</v>
      </c>
    </row>
    <row r="6198" spans="8:8" x14ac:dyDescent="0.2">
      <c r="H6198">
        <v>0</v>
      </c>
    </row>
    <row r="6199" spans="8:8" x14ac:dyDescent="0.2">
      <c r="H6199">
        <v>0</v>
      </c>
    </row>
    <row r="6200" spans="8:8" x14ac:dyDescent="0.2">
      <c r="H6200">
        <v>0</v>
      </c>
    </row>
    <row r="6201" spans="8:8" x14ac:dyDescent="0.2">
      <c r="H6201">
        <v>0</v>
      </c>
    </row>
    <row r="6202" spans="8:8" x14ac:dyDescent="0.2">
      <c r="H6202">
        <v>0</v>
      </c>
    </row>
    <row r="6203" spans="8:8" x14ac:dyDescent="0.2">
      <c r="H6203">
        <v>0</v>
      </c>
    </row>
    <row r="6204" spans="8:8" x14ac:dyDescent="0.2">
      <c r="H6204">
        <v>0</v>
      </c>
    </row>
    <row r="6205" spans="8:8" x14ac:dyDescent="0.2">
      <c r="H6205">
        <v>0</v>
      </c>
    </row>
    <row r="6206" spans="8:8" x14ac:dyDescent="0.2">
      <c r="H6206">
        <v>0</v>
      </c>
    </row>
    <row r="6207" spans="8:8" x14ac:dyDescent="0.2">
      <c r="H6207">
        <v>0</v>
      </c>
    </row>
    <row r="6208" spans="8:8" x14ac:dyDescent="0.2">
      <c r="H6208">
        <v>0</v>
      </c>
    </row>
    <row r="6209" spans="8:8" x14ac:dyDescent="0.2">
      <c r="H6209">
        <v>0</v>
      </c>
    </row>
    <row r="6210" spans="8:8" x14ac:dyDescent="0.2">
      <c r="H6210">
        <v>0</v>
      </c>
    </row>
    <row r="6211" spans="8:8" x14ac:dyDescent="0.2">
      <c r="H6211">
        <v>0</v>
      </c>
    </row>
    <row r="6212" spans="8:8" x14ac:dyDescent="0.2">
      <c r="H6212">
        <v>0</v>
      </c>
    </row>
    <row r="6213" spans="8:8" x14ac:dyDescent="0.2">
      <c r="H6213">
        <v>0</v>
      </c>
    </row>
    <row r="6214" spans="8:8" x14ac:dyDescent="0.2">
      <c r="H6214">
        <v>0</v>
      </c>
    </row>
    <row r="6215" spans="8:8" x14ac:dyDescent="0.2">
      <c r="H6215">
        <v>0</v>
      </c>
    </row>
    <row r="6216" spans="8:8" x14ac:dyDescent="0.2">
      <c r="H6216">
        <v>0</v>
      </c>
    </row>
    <row r="6217" spans="8:8" x14ac:dyDescent="0.2">
      <c r="H6217">
        <v>0</v>
      </c>
    </row>
    <row r="6218" spans="8:8" x14ac:dyDescent="0.2">
      <c r="H6218">
        <v>0</v>
      </c>
    </row>
    <row r="6219" spans="8:8" x14ac:dyDescent="0.2">
      <c r="H6219">
        <v>0</v>
      </c>
    </row>
    <row r="6220" spans="8:8" x14ac:dyDescent="0.2">
      <c r="H6220">
        <v>0</v>
      </c>
    </row>
    <row r="6221" spans="8:8" x14ac:dyDescent="0.2">
      <c r="H6221">
        <v>0</v>
      </c>
    </row>
    <row r="6222" spans="8:8" x14ac:dyDescent="0.2">
      <c r="H6222">
        <v>0</v>
      </c>
    </row>
    <row r="6223" spans="8:8" x14ac:dyDescent="0.2">
      <c r="H6223">
        <v>0</v>
      </c>
    </row>
    <row r="6224" spans="8:8" x14ac:dyDescent="0.2">
      <c r="H6224">
        <v>0</v>
      </c>
    </row>
    <row r="6225" spans="8:8" x14ac:dyDescent="0.2">
      <c r="H6225">
        <v>0</v>
      </c>
    </row>
    <row r="6226" spans="8:8" x14ac:dyDescent="0.2">
      <c r="H6226">
        <v>0</v>
      </c>
    </row>
    <row r="6227" spans="8:8" x14ac:dyDescent="0.2">
      <c r="H6227">
        <v>0</v>
      </c>
    </row>
    <row r="6228" spans="8:8" x14ac:dyDescent="0.2">
      <c r="H6228">
        <v>0</v>
      </c>
    </row>
    <row r="6229" spans="8:8" x14ac:dyDescent="0.2">
      <c r="H6229">
        <v>0</v>
      </c>
    </row>
    <row r="6230" spans="8:8" x14ac:dyDescent="0.2">
      <c r="H6230">
        <v>0</v>
      </c>
    </row>
    <row r="6231" spans="8:8" x14ac:dyDescent="0.2">
      <c r="H6231">
        <v>0</v>
      </c>
    </row>
    <row r="6232" spans="8:8" x14ac:dyDescent="0.2">
      <c r="H6232">
        <v>0</v>
      </c>
    </row>
    <row r="6233" spans="8:8" x14ac:dyDescent="0.2">
      <c r="H6233">
        <v>0</v>
      </c>
    </row>
    <row r="6234" spans="8:8" x14ac:dyDescent="0.2">
      <c r="H6234">
        <v>0</v>
      </c>
    </row>
    <row r="6235" spans="8:8" x14ac:dyDescent="0.2">
      <c r="H6235">
        <v>0</v>
      </c>
    </row>
    <row r="6236" spans="8:8" x14ac:dyDescent="0.2">
      <c r="H6236">
        <v>0</v>
      </c>
    </row>
    <row r="6237" spans="8:8" x14ac:dyDescent="0.2">
      <c r="H6237">
        <v>0</v>
      </c>
    </row>
    <row r="6238" spans="8:8" x14ac:dyDescent="0.2">
      <c r="H6238">
        <v>0</v>
      </c>
    </row>
    <row r="6239" spans="8:8" x14ac:dyDescent="0.2">
      <c r="H6239">
        <v>0</v>
      </c>
    </row>
    <row r="6240" spans="8:8" x14ac:dyDescent="0.2">
      <c r="H6240">
        <v>0</v>
      </c>
    </row>
    <row r="6241" spans="8:8" x14ac:dyDescent="0.2">
      <c r="H6241">
        <v>0</v>
      </c>
    </row>
    <row r="6242" spans="8:8" x14ac:dyDescent="0.2">
      <c r="H6242">
        <v>0</v>
      </c>
    </row>
    <row r="6243" spans="8:8" x14ac:dyDescent="0.2">
      <c r="H6243">
        <v>0</v>
      </c>
    </row>
    <row r="6244" spans="8:8" x14ac:dyDescent="0.2">
      <c r="H6244">
        <v>0</v>
      </c>
    </row>
    <row r="6245" spans="8:8" x14ac:dyDescent="0.2">
      <c r="H6245">
        <v>0</v>
      </c>
    </row>
    <row r="6246" spans="8:8" x14ac:dyDescent="0.2">
      <c r="H6246">
        <v>0</v>
      </c>
    </row>
    <row r="6247" spans="8:8" x14ac:dyDescent="0.2">
      <c r="H6247">
        <v>0</v>
      </c>
    </row>
    <row r="6248" spans="8:8" x14ac:dyDescent="0.2">
      <c r="H6248">
        <v>0</v>
      </c>
    </row>
    <row r="6249" spans="8:8" x14ac:dyDescent="0.2">
      <c r="H6249">
        <v>0</v>
      </c>
    </row>
    <row r="6250" spans="8:8" x14ac:dyDescent="0.2">
      <c r="H6250">
        <v>0</v>
      </c>
    </row>
    <row r="6251" spans="8:8" x14ac:dyDescent="0.2">
      <c r="H6251">
        <v>0</v>
      </c>
    </row>
    <row r="6252" spans="8:8" x14ac:dyDescent="0.2">
      <c r="H6252">
        <v>0</v>
      </c>
    </row>
    <row r="6253" spans="8:8" x14ac:dyDescent="0.2">
      <c r="H6253">
        <v>0</v>
      </c>
    </row>
    <row r="6254" spans="8:8" x14ac:dyDescent="0.2">
      <c r="H6254">
        <v>0</v>
      </c>
    </row>
    <row r="6255" spans="8:8" x14ac:dyDescent="0.2">
      <c r="H6255">
        <v>0</v>
      </c>
    </row>
    <row r="6256" spans="8:8" x14ac:dyDescent="0.2">
      <c r="H6256">
        <v>0</v>
      </c>
    </row>
    <row r="6257" spans="8:8" x14ac:dyDescent="0.2">
      <c r="H6257">
        <v>0</v>
      </c>
    </row>
    <row r="6258" spans="8:8" x14ac:dyDescent="0.2">
      <c r="H6258">
        <v>0</v>
      </c>
    </row>
    <row r="6259" spans="8:8" x14ac:dyDescent="0.2">
      <c r="H6259">
        <v>0</v>
      </c>
    </row>
    <row r="6260" spans="8:8" x14ac:dyDescent="0.2">
      <c r="H6260">
        <v>0</v>
      </c>
    </row>
    <row r="6261" spans="8:8" x14ac:dyDescent="0.2">
      <c r="H6261">
        <v>0</v>
      </c>
    </row>
    <row r="6262" spans="8:8" x14ac:dyDescent="0.2">
      <c r="H6262">
        <v>0</v>
      </c>
    </row>
    <row r="6263" spans="8:8" x14ac:dyDescent="0.2">
      <c r="H6263">
        <v>0</v>
      </c>
    </row>
    <row r="6264" spans="8:8" x14ac:dyDescent="0.2">
      <c r="H6264">
        <v>0</v>
      </c>
    </row>
    <row r="6265" spans="8:8" x14ac:dyDescent="0.2">
      <c r="H6265">
        <v>0</v>
      </c>
    </row>
    <row r="6266" spans="8:8" x14ac:dyDescent="0.2">
      <c r="H6266">
        <v>0</v>
      </c>
    </row>
    <row r="6267" spans="8:8" x14ac:dyDescent="0.2">
      <c r="H6267">
        <v>0</v>
      </c>
    </row>
    <row r="6268" spans="8:8" x14ac:dyDescent="0.2">
      <c r="H6268">
        <v>0</v>
      </c>
    </row>
    <row r="6269" spans="8:8" x14ac:dyDescent="0.2">
      <c r="H6269">
        <v>0</v>
      </c>
    </row>
    <row r="6270" spans="8:8" x14ac:dyDescent="0.2">
      <c r="H6270">
        <v>0</v>
      </c>
    </row>
    <row r="6271" spans="8:8" x14ac:dyDescent="0.2">
      <c r="H6271">
        <v>0</v>
      </c>
    </row>
    <row r="6272" spans="8:8" x14ac:dyDescent="0.2">
      <c r="H6272">
        <v>0</v>
      </c>
    </row>
    <row r="6273" spans="8:8" x14ac:dyDescent="0.2">
      <c r="H6273">
        <v>0</v>
      </c>
    </row>
    <row r="6274" spans="8:8" x14ac:dyDescent="0.2">
      <c r="H6274">
        <v>0</v>
      </c>
    </row>
    <row r="6275" spans="8:8" x14ac:dyDescent="0.2">
      <c r="H6275">
        <v>0</v>
      </c>
    </row>
    <row r="6276" spans="8:8" x14ac:dyDescent="0.2">
      <c r="H6276">
        <v>0</v>
      </c>
    </row>
    <row r="6277" spans="8:8" x14ac:dyDescent="0.2">
      <c r="H6277">
        <v>0</v>
      </c>
    </row>
    <row r="6278" spans="8:8" x14ac:dyDescent="0.2">
      <c r="H6278">
        <v>0</v>
      </c>
    </row>
    <row r="6279" spans="8:8" x14ac:dyDescent="0.2">
      <c r="H6279">
        <v>0</v>
      </c>
    </row>
    <row r="6280" spans="8:8" x14ac:dyDescent="0.2">
      <c r="H6280">
        <v>0</v>
      </c>
    </row>
    <row r="6281" spans="8:8" x14ac:dyDescent="0.2">
      <c r="H6281">
        <v>0</v>
      </c>
    </row>
    <row r="6282" spans="8:8" x14ac:dyDescent="0.2">
      <c r="H6282">
        <v>0</v>
      </c>
    </row>
    <row r="6283" spans="8:8" x14ac:dyDescent="0.2">
      <c r="H6283">
        <v>0</v>
      </c>
    </row>
    <row r="6284" spans="8:8" x14ac:dyDescent="0.2">
      <c r="H6284">
        <v>0</v>
      </c>
    </row>
    <row r="6285" spans="8:8" x14ac:dyDescent="0.2">
      <c r="H6285">
        <v>0</v>
      </c>
    </row>
    <row r="6286" spans="8:8" x14ac:dyDescent="0.2">
      <c r="H6286">
        <v>0</v>
      </c>
    </row>
    <row r="6287" spans="8:8" x14ac:dyDescent="0.2">
      <c r="H6287">
        <v>0</v>
      </c>
    </row>
    <row r="6288" spans="8:8" x14ac:dyDescent="0.2">
      <c r="H6288">
        <v>0</v>
      </c>
    </row>
    <row r="6289" spans="8:8" x14ac:dyDescent="0.2">
      <c r="H6289">
        <v>0</v>
      </c>
    </row>
    <row r="6290" spans="8:8" x14ac:dyDescent="0.2">
      <c r="H6290">
        <v>0</v>
      </c>
    </row>
    <row r="6291" spans="8:8" x14ac:dyDescent="0.2">
      <c r="H6291">
        <v>0</v>
      </c>
    </row>
    <row r="6292" spans="8:8" x14ac:dyDescent="0.2">
      <c r="H6292">
        <v>0</v>
      </c>
    </row>
    <row r="6293" spans="8:8" x14ac:dyDescent="0.2">
      <c r="H6293">
        <v>0</v>
      </c>
    </row>
    <row r="6294" spans="8:8" x14ac:dyDescent="0.2">
      <c r="H6294">
        <v>0</v>
      </c>
    </row>
    <row r="6295" spans="8:8" x14ac:dyDescent="0.2">
      <c r="H6295">
        <v>0</v>
      </c>
    </row>
    <row r="6296" spans="8:8" x14ac:dyDescent="0.2">
      <c r="H6296">
        <v>0</v>
      </c>
    </row>
    <row r="6297" spans="8:8" x14ac:dyDescent="0.2">
      <c r="H6297">
        <v>0</v>
      </c>
    </row>
    <row r="6298" spans="8:8" x14ac:dyDescent="0.2">
      <c r="H6298">
        <v>0</v>
      </c>
    </row>
    <row r="6299" spans="8:8" x14ac:dyDescent="0.2">
      <c r="H6299">
        <v>0</v>
      </c>
    </row>
    <row r="6300" spans="8:8" x14ac:dyDescent="0.2">
      <c r="H6300">
        <v>0</v>
      </c>
    </row>
    <row r="6301" spans="8:8" x14ac:dyDescent="0.2">
      <c r="H6301">
        <v>0</v>
      </c>
    </row>
    <row r="6302" spans="8:8" x14ac:dyDescent="0.2">
      <c r="H6302">
        <v>0</v>
      </c>
    </row>
    <row r="6303" spans="8:8" x14ac:dyDescent="0.2">
      <c r="H6303">
        <v>0</v>
      </c>
    </row>
    <row r="6304" spans="8:8" x14ac:dyDescent="0.2">
      <c r="H6304">
        <v>0</v>
      </c>
    </row>
    <row r="6305" spans="8:8" x14ac:dyDescent="0.2">
      <c r="H6305">
        <v>0</v>
      </c>
    </row>
    <row r="6306" spans="8:8" x14ac:dyDescent="0.2">
      <c r="H6306">
        <v>0</v>
      </c>
    </row>
    <row r="6307" spans="8:8" x14ac:dyDescent="0.2">
      <c r="H6307">
        <v>0</v>
      </c>
    </row>
    <row r="6308" spans="8:8" x14ac:dyDescent="0.2">
      <c r="H6308">
        <v>0</v>
      </c>
    </row>
    <row r="6309" spans="8:8" x14ac:dyDescent="0.2">
      <c r="H6309">
        <v>0</v>
      </c>
    </row>
    <row r="6310" spans="8:8" x14ac:dyDescent="0.2">
      <c r="H6310">
        <v>0</v>
      </c>
    </row>
    <row r="6311" spans="8:8" x14ac:dyDescent="0.2">
      <c r="H6311">
        <v>0</v>
      </c>
    </row>
    <row r="6312" spans="8:8" x14ac:dyDescent="0.2">
      <c r="H6312">
        <v>0</v>
      </c>
    </row>
    <row r="6313" spans="8:8" x14ac:dyDescent="0.2">
      <c r="H6313">
        <v>0</v>
      </c>
    </row>
    <row r="6314" spans="8:8" x14ac:dyDescent="0.2">
      <c r="H6314">
        <v>0</v>
      </c>
    </row>
    <row r="6315" spans="8:8" x14ac:dyDescent="0.2">
      <c r="H6315">
        <v>0</v>
      </c>
    </row>
    <row r="6316" spans="8:8" x14ac:dyDescent="0.2">
      <c r="H6316">
        <v>0</v>
      </c>
    </row>
    <row r="6317" spans="8:8" x14ac:dyDescent="0.2">
      <c r="H6317">
        <v>0</v>
      </c>
    </row>
    <row r="6318" spans="8:8" x14ac:dyDescent="0.2">
      <c r="H6318">
        <v>0</v>
      </c>
    </row>
    <row r="6319" spans="8:8" x14ac:dyDescent="0.2">
      <c r="H6319">
        <v>0</v>
      </c>
    </row>
    <row r="6320" spans="8:8" x14ac:dyDescent="0.2">
      <c r="H6320">
        <v>0</v>
      </c>
    </row>
    <row r="6321" spans="8:8" x14ac:dyDescent="0.2">
      <c r="H6321">
        <v>0</v>
      </c>
    </row>
    <row r="6322" spans="8:8" x14ac:dyDescent="0.2">
      <c r="H6322">
        <v>0</v>
      </c>
    </row>
    <row r="6323" spans="8:8" x14ac:dyDescent="0.2">
      <c r="H6323">
        <v>0</v>
      </c>
    </row>
    <row r="6324" spans="8:8" x14ac:dyDescent="0.2">
      <c r="H6324">
        <v>0</v>
      </c>
    </row>
    <row r="6325" spans="8:8" x14ac:dyDescent="0.2">
      <c r="H6325">
        <v>0</v>
      </c>
    </row>
    <row r="6326" spans="8:8" x14ac:dyDescent="0.2">
      <c r="H6326">
        <v>0</v>
      </c>
    </row>
    <row r="6327" spans="8:8" x14ac:dyDescent="0.2">
      <c r="H6327">
        <v>0</v>
      </c>
    </row>
    <row r="6328" spans="8:8" x14ac:dyDescent="0.2">
      <c r="H6328">
        <v>0</v>
      </c>
    </row>
    <row r="6329" spans="8:8" x14ac:dyDescent="0.2">
      <c r="H6329">
        <v>0</v>
      </c>
    </row>
    <row r="6330" spans="8:8" x14ac:dyDescent="0.2">
      <c r="H6330">
        <v>0</v>
      </c>
    </row>
    <row r="6331" spans="8:8" x14ac:dyDescent="0.2">
      <c r="H6331">
        <v>0</v>
      </c>
    </row>
    <row r="6332" spans="8:8" x14ac:dyDescent="0.2">
      <c r="H6332">
        <v>0</v>
      </c>
    </row>
    <row r="6333" spans="8:8" x14ac:dyDescent="0.2">
      <c r="H6333">
        <v>0</v>
      </c>
    </row>
    <row r="6334" spans="8:8" x14ac:dyDescent="0.2">
      <c r="H6334">
        <v>0</v>
      </c>
    </row>
    <row r="6335" spans="8:8" x14ac:dyDescent="0.2">
      <c r="H6335">
        <v>0</v>
      </c>
    </row>
    <row r="6336" spans="8:8" x14ac:dyDescent="0.2">
      <c r="H6336">
        <v>0</v>
      </c>
    </row>
    <row r="6337" spans="8:8" x14ac:dyDescent="0.2">
      <c r="H6337">
        <v>0</v>
      </c>
    </row>
    <row r="6338" spans="8:8" x14ac:dyDescent="0.2">
      <c r="H6338">
        <v>0</v>
      </c>
    </row>
    <row r="6339" spans="8:8" x14ac:dyDescent="0.2">
      <c r="H6339">
        <v>0</v>
      </c>
    </row>
    <row r="6340" spans="8:8" x14ac:dyDescent="0.2">
      <c r="H6340">
        <v>0</v>
      </c>
    </row>
    <row r="6341" spans="8:8" x14ac:dyDescent="0.2">
      <c r="H6341">
        <v>0</v>
      </c>
    </row>
    <row r="6342" spans="8:8" x14ac:dyDescent="0.2">
      <c r="H6342">
        <v>0</v>
      </c>
    </row>
    <row r="6343" spans="8:8" x14ac:dyDescent="0.2">
      <c r="H6343">
        <v>0</v>
      </c>
    </row>
    <row r="6344" spans="8:8" x14ac:dyDescent="0.2">
      <c r="H6344">
        <v>0</v>
      </c>
    </row>
    <row r="6345" spans="8:8" x14ac:dyDescent="0.2">
      <c r="H6345">
        <v>0</v>
      </c>
    </row>
    <row r="6346" spans="8:8" x14ac:dyDescent="0.2">
      <c r="H6346">
        <v>0</v>
      </c>
    </row>
    <row r="6347" spans="8:8" x14ac:dyDescent="0.2">
      <c r="H6347">
        <v>0</v>
      </c>
    </row>
    <row r="6348" spans="8:8" x14ac:dyDescent="0.2">
      <c r="H6348">
        <v>0</v>
      </c>
    </row>
    <row r="6349" spans="8:8" x14ac:dyDescent="0.2">
      <c r="H6349">
        <v>0</v>
      </c>
    </row>
    <row r="6350" spans="8:8" x14ac:dyDescent="0.2">
      <c r="H6350">
        <v>0</v>
      </c>
    </row>
    <row r="6351" spans="8:8" x14ac:dyDescent="0.2">
      <c r="H6351">
        <v>0</v>
      </c>
    </row>
    <row r="6352" spans="8:8" x14ac:dyDescent="0.2">
      <c r="H6352">
        <v>0</v>
      </c>
    </row>
    <row r="6353" spans="8:8" x14ac:dyDescent="0.2">
      <c r="H6353">
        <v>0</v>
      </c>
    </row>
    <row r="6354" spans="8:8" x14ac:dyDescent="0.2">
      <c r="H6354">
        <v>0</v>
      </c>
    </row>
    <row r="6355" spans="8:8" x14ac:dyDescent="0.2">
      <c r="H6355">
        <v>0</v>
      </c>
    </row>
    <row r="6356" spans="8:8" x14ac:dyDescent="0.2">
      <c r="H6356">
        <v>0</v>
      </c>
    </row>
    <row r="6357" spans="8:8" x14ac:dyDescent="0.2">
      <c r="H6357">
        <v>0</v>
      </c>
    </row>
    <row r="6358" spans="8:8" x14ac:dyDescent="0.2">
      <c r="H6358">
        <v>0</v>
      </c>
    </row>
    <row r="6359" spans="8:8" x14ac:dyDescent="0.2">
      <c r="H6359">
        <v>0</v>
      </c>
    </row>
    <row r="6360" spans="8:8" x14ac:dyDescent="0.2">
      <c r="H6360">
        <v>0</v>
      </c>
    </row>
    <row r="6361" spans="8:8" x14ac:dyDescent="0.2">
      <c r="H6361">
        <v>0</v>
      </c>
    </row>
    <row r="6362" spans="8:8" x14ac:dyDescent="0.2">
      <c r="H6362">
        <v>0</v>
      </c>
    </row>
    <row r="6363" spans="8:8" x14ac:dyDescent="0.2">
      <c r="H6363">
        <v>0</v>
      </c>
    </row>
    <row r="6364" spans="8:8" x14ac:dyDescent="0.2">
      <c r="H6364">
        <v>0</v>
      </c>
    </row>
    <row r="6365" spans="8:8" x14ac:dyDescent="0.2">
      <c r="H6365">
        <v>0</v>
      </c>
    </row>
    <row r="6366" spans="8:8" x14ac:dyDescent="0.2">
      <c r="H6366">
        <v>0</v>
      </c>
    </row>
    <row r="6367" spans="8:8" x14ac:dyDescent="0.2">
      <c r="H6367">
        <v>0</v>
      </c>
    </row>
    <row r="6368" spans="8:8" x14ac:dyDescent="0.2">
      <c r="H6368">
        <v>0</v>
      </c>
    </row>
    <row r="6369" spans="8:8" x14ac:dyDescent="0.2">
      <c r="H6369">
        <v>0</v>
      </c>
    </row>
    <row r="6370" spans="8:8" x14ac:dyDescent="0.2">
      <c r="H6370">
        <v>0</v>
      </c>
    </row>
    <row r="6371" spans="8:8" x14ac:dyDescent="0.2">
      <c r="H6371">
        <v>0</v>
      </c>
    </row>
    <row r="6372" spans="8:8" x14ac:dyDescent="0.2">
      <c r="H6372">
        <v>0</v>
      </c>
    </row>
    <row r="6373" spans="8:8" x14ac:dyDescent="0.2">
      <c r="H6373">
        <v>0</v>
      </c>
    </row>
    <row r="6374" spans="8:8" x14ac:dyDescent="0.2">
      <c r="H6374">
        <v>0</v>
      </c>
    </row>
    <row r="6375" spans="8:8" x14ac:dyDescent="0.2">
      <c r="H6375">
        <v>0</v>
      </c>
    </row>
    <row r="6376" spans="8:8" x14ac:dyDescent="0.2">
      <c r="H6376">
        <v>0</v>
      </c>
    </row>
    <row r="6377" spans="8:8" x14ac:dyDescent="0.2">
      <c r="H6377">
        <v>0</v>
      </c>
    </row>
    <row r="6378" spans="8:8" x14ac:dyDescent="0.2">
      <c r="H6378">
        <v>0</v>
      </c>
    </row>
    <row r="6379" spans="8:8" x14ac:dyDescent="0.2">
      <c r="H6379">
        <v>0</v>
      </c>
    </row>
    <row r="6380" spans="8:8" x14ac:dyDescent="0.2">
      <c r="H6380">
        <v>0</v>
      </c>
    </row>
    <row r="6381" spans="8:8" x14ac:dyDescent="0.2">
      <c r="H6381">
        <v>0</v>
      </c>
    </row>
    <row r="6382" spans="8:8" x14ac:dyDescent="0.2">
      <c r="H6382">
        <v>0</v>
      </c>
    </row>
    <row r="6383" spans="8:8" x14ac:dyDescent="0.2">
      <c r="H6383">
        <v>0</v>
      </c>
    </row>
    <row r="6384" spans="8:8" x14ac:dyDescent="0.2">
      <c r="H6384">
        <v>0</v>
      </c>
    </row>
    <row r="6385" spans="8:8" x14ac:dyDescent="0.2">
      <c r="H6385">
        <v>0</v>
      </c>
    </row>
    <row r="6386" spans="8:8" x14ac:dyDescent="0.2">
      <c r="H6386">
        <v>0</v>
      </c>
    </row>
    <row r="6387" spans="8:8" x14ac:dyDescent="0.2">
      <c r="H6387">
        <v>0</v>
      </c>
    </row>
    <row r="6388" spans="8:8" x14ac:dyDescent="0.2">
      <c r="H6388">
        <v>0</v>
      </c>
    </row>
    <row r="6389" spans="8:8" x14ac:dyDescent="0.2">
      <c r="H6389">
        <v>0</v>
      </c>
    </row>
    <row r="6390" spans="8:8" x14ac:dyDescent="0.2">
      <c r="H6390">
        <v>0</v>
      </c>
    </row>
    <row r="6391" spans="8:8" x14ac:dyDescent="0.2">
      <c r="H6391">
        <v>0</v>
      </c>
    </row>
    <row r="6392" spans="8:8" x14ac:dyDescent="0.2">
      <c r="H6392">
        <v>0</v>
      </c>
    </row>
    <row r="6393" spans="8:8" x14ac:dyDescent="0.2">
      <c r="H6393">
        <v>0</v>
      </c>
    </row>
    <row r="6394" spans="8:8" x14ac:dyDescent="0.2">
      <c r="H6394">
        <v>0</v>
      </c>
    </row>
    <row r="6395" spans="8:8" x14ac:dyDescent="0.2">
      <c r="H6395">
        <v>0</v>
      </c>
    </row>
    <row r="6396" spans="8:8" x14ac:dyDescent="0.2">
      <c r="H6396">
        <v>0</v>
      </c>
    </row>
    <row r="6397" spans="8:8" x14ac:dyDescent="0.2">
      <c r="H6397">
        <v>0</v>
      </c>
    </row>
    <row r="6398" spans="8:8" x14ac:dyDescent="0.2">
      <c r="H6398">
        <v>0</v>
      </c>
    </row>
    <row r="6399" spans="8:8" x14ac:dyDescent="0.2">
      <c r="H6399">
        <v>0</v>
      </c>
    </row>
    <row r="6400" spans="8:8" x14ac:dyDescent="0.2">
      <c r="H6400">
        <v>0</v>
      </c>
    </row>
    <row r="6401" spans="8:8" x14ac:dyDescent="0.2">
      <c r="H6401">
        <v>0</v>
      </c>
    </row>
    <row r="6402" spans="8:8" x14ac:dyDescent="0.2">
      <c r="H6402">
        <v>0</v>
      </c>
    </row>
    <row r="6403" spans="8:8" x14ac:dyDescent="0.2">
      <c r="H6403">
        <v>0</v>
      </c>
    </row>
    <row r="6404" spans="8:8" x14ac:dyDescent="0.2">
      <c r="H6404">
        <v>0</v>
      </c>
    </row>
    <row r="6405" spans="8:8" x14ac:dyDescent="0.2">
      <c r="H6405">
        <v>0</v>
      </c>
    </row>
    <row r="6406" spans="8:8" x14ac:dyDescent="0.2">
      <c r="H6406">
        <v>0</v>
      </c>
    </row>
    <row r="6407" spans="8:8" x14ac:dyDescent="0.2">
      <c r="H6407">
        <v>0</v>
      </c>
    </row>
    <row r="6408" spans="8:8" x14ac:dyDescent="0.2">
      <c r="H6408">
        <v>0</v>
      </c>
    </row>
    <row r="6409" spans="8:8" x14ac:dyDescent="0.2">
      <c r="H6409">
        <v>0</v>
      </c>
    </row>
    <row r="6410" spans="8:8" x14ac:dyDescent="0.2">
      <c r="H6410">
        <v>0</v>
      </c>
    </row>
    <row r="6411" spans="8:8" x14ac:dyDescent="0.2">
      <c r="H6411">
        <v>0</v>
      </c>
    </row>
    <row r="6412" spans="8:8" x14ac:dyDescent="0.2">
      <c r="H6412">
        <v>0</v>
      </c>
    </row>
    <row r="6413" spans="8:8" x14ac:dyDescent="0.2">
      <c r="H6413">
        <v>0</v>
      </c>
    </row>
    <row r="6414" spans="8:8" x14ac:dyDescent="0.2">
      <c r="H6414">
        <v>0</v>
      </c>
    </row>
    <row r="6415" spans="8:8" x14ac:dyDescent="0.2">
      <c r="H6415">
        <v>0</v>
      </c>
    </row>
    <row r="6416" spans="8:8" x14ac:dyDescent="0.2">
      <c r="H6416">
        <v>0</v>
      </c>
    </row>
    <row r="6417" spans="8:8" x14ac:dyDescent="0.2">
      <c r="H6417">
        <v>0</v>
      </c>
    </row>
    <row r="6418" spans="8:8" x14ac:dyDescent="0.2">
      <c r="H6418">
        <v>0</v>
      </c>
    </row>
    <row r="6419" spans="8:8" x14ac:dyDescent="0.2">
      <c r="H6419">
        <v>0</v>
      </c>
    </row>
    <row r="6420" spans="8:8" x14ac:dyDescent="0.2">
      <c r="H6420">
        <v>0</v>
      </c>
    </row>
    <row r="6421" spans="8:8" x14ac:dyDescent="0.2">
      <c r="H6421">
        <v>0</v>
      </c>
    </row>
    <row r="6422" spans="8:8" x14ac:dyDescent="0.2">
      <c r="H6422">
        <v>0</v>
      </c>
    </row>
    <row r="6423" spans="8:8" x14ac:dyDescent="0.2">
      <c r="H6423">
        <v>0</v>
      </c>
    </row>
    <row r="6424" spans="8:8" x14ac:dyDescent="0.2">
      <c r="H6424">
        <v>0</v>
      </c>
    </row>
    <row r="6425" spans="8:8" x14ac:dyDescent="0.2">
      <c r="H6425">
        <v>0</v>
      </c>
    </row>
    <row r="6426" spans="8:8" x14ac:dyDescent="0.2">
      <c r="H6426">
        <v>0</v>
      </c>
    </row>
    <row r="6427" spans="8:8" x14ac:dyDescent="0.2">
      <c r="H6427">
        <v>0</v>
      </c>
    </row>
    <row r="6428" spans="8:8" x14ac:dyDescent="0.2">
      <c r="H6428">
        <v>0</v>
      </c>
    </row>
    <row r="6429" spans="8:8" x14ac:dyDescent="0.2">
      <c r="H6429">
        <v>0</v>
      </c>
    </row>
    <row r="6430" spans="8:8" x14ac:dyDescent="0.2">
      <c r="H6430">
        <v>0</v>
      </c>
    </row>
    <row r="6431" spans="8:8" x14ac:dyDescent="0.2">
      <c r="H6431">
        <v>0</v>
      </c>
    </row>
    <row r="6432" spans="8:8" x14ac:dyDescent="0.2">
      <c r="H6432">
        <v>0</v>
      </c>
    </row>
    <row r="6433" spans="8:8" x14ac:dyDescent="0.2">
      <c r="H6433">
        <v>0</v>
      </c>
    </row>
    <row r="6434" spans="8:8" x14ac:dyDescent="0.2">
      <c r="H6434">
        <v>0</v>
      </c>
    </row>
    <row r="6435" spans="8:8" x14ac:dyDescent="0.2">
      <c r="H6435">
        <v>0</v>
      </c>
    </row>
    <row r="6436" spans="8:8" x14ac:dyDescent="0.2">
      <c r="H6436">
        <v>0</v>
      </c>
    </row>
    <row r="6437" spans="8:8" x14ac:dyDescent="0.2">
      <c r="H6437">
        <v>0</v>
      </c>
    </row>
    <row r="6438" spans="8:8" x14ac:dyDescent="0.2">
      <c r="H6438">
        <v>0</v>
      </c>
    </row>
    <row r="6439" spans="8:8" x14ac:dyDescent="0.2">
      <c r="H6439">
        <v>0</v>
      </c>
    </row>
    <row r="6440" spans="8:8" x14ac:dyDescent="0.2">
      <c r="H6440">
        <v>0</v>
      </c>
    </row>
    <row r="6441" spans="8:8" x14ac:dyDescent="0.2">
      <c r="H6441">
        <v>0</v>
      </c>
    </row>
    <row r="6442" spans="8:8" x14ac:dyDescent="0.2">
      <c r="H6442">
        <v>0</v>
      </c>
    </row>
    <row r="6443" spans="8:8" x14ac:dyDescent="0.2">
      <c r="H6443">
        <v>0</v>
      </c>
    </row>
    <row r="6444" spans="8:8" x14ac:dyDescent="0.2">
      <c r="H6444">
        <v>0</v>
      </c>
    </row>
    <row r="6445" spans="8:8" x14ac:dyDescent="0.2">
      <c r="H6445">
        <v>0</v>
      </c>
    </row>
    <row r="6446" spans="8:8" x14ac:dyDescent="0.2">
      <c r="H6446">
        <v>0</v>
      </c>
    </row>
    <row r="6447" spans="8:8" x14ac:dyDescent="0.2">
      <c r="H6447">
        <v>0</v>
      </c>
    </row>
    <row r="6448" spans="8:8" x14ac:dyDescent="0.2">
      <c r="H6448">
        <v>0</v>
      </c>
    </row>
    <row r="6449" spans="8:8" x14ac:dyDescent="0.2">
      <c r="H6449">
        <v>0</v>
      </c>
    </row>
    <row r="6450" spans="8:8" x14ac:dyDescent="0.2">
      <c r="H6450">
        <v>0</v>
      </c>
    </row>
    <row r="6451" spans="8:8" x14ac:dyDescent="0.2">
      <c r="H6451">
        <v>0</v>
      </c>
    </row>
    <row r="6452" spans="8:8" x14ac:dyDescent="0.2">
      <c r="H6452">
        <v>0</v>
      </c>
    </row>
    <row r="6453" spans="8:8" x14ac:dyDescent="0.2">
      <c r="H6453">
        <v>0</v>
      </c>
    </row>
    <row r="6454" spans="8:8" x14ac:dyDescent="0.2">
      <c r="H6454">
        <v>0</v>
      </c>
    </row>
    <row r="6455" spans="8:8" x14ac:dyDescent="0.2">
      <c r="H6455">
        <v>0</v>
      </c>
    </row>
    <row r="6456" spans="8:8" x14ac:dyDescent="0.2">
      <c r="H6456">
        <v>0</v>
      </c>
    </row>
    <row r="6457" spans="8:8" x14ac:dyDescent="0.2">
      <c r="H6457">
        <v>0</v>
      </c>
    </row>
    <row r="6458" spans="8:8" x14ac:dyDescent="0.2">
      <c r="H6458">
        <v>0</v>
      </c>
    </row>
    <row r="6459" spans="8:8" x14ac:dyDescent="0.2">
      <c r="H6459">
        <v>0</v>
      </c>
    </row>
    <row r="6460" spans="8:8" x14ac:dyDescent="0.2">
      <c r="H6460">
        <v>0</v>
      </c>
    </row>
    <row r="6461" spans="8:8" x14ac:dyDescent="0.2">
      <c r="H6461">
        <v>0</v>
      </c>
    </row>
    <row r="6462" spans="8:8" x14ac:dyDescent="0.2">
      <c r="H6462">
        <v>0</v>
      </c>
    </row>
    <row r="6463" spans="8:8" x14ac:dyDescent="0.2">
      <c r="H6463">
        <v>0</v>
      </c>
    </row>
    <row r="6464" spans="8:8" x14ac:dyDescent="0.2">
      <c r="H6464">
        <v>0</v>
      </c>
    </row>
    <row r="6465" spans="8:8" x14ac:dyDescent="0.2">
      <c r="H6465">
        <v>0</v>
      </c>
    </row>
    <row r="6466" spans="8:8" x14ac:dyDescent="0.2">
      <c r="H6466">
        <v>0</v>
      </c>
    </row>
    <row r="6467" spans="8:8" x14ac:dyDescent="0.2">
      <c r="H6467">
        <v>0</v>
      </c>
    </row>
    <row r="6468" spans="8:8" x14ac:dyDescent="0.2">
      <c r="H6468">
        <v>0</v>
      </c>
    </row>
    <row r="6469" spans="8:8" x14ac:dyDescent="0.2">
      <c r="H6469">
        <v>0</v>
      </c>
    </row>
    <row r="6470" spans="8:8" x14ac:dyDescent="0.2">
      <c r="H6470">
        <v>0</v>
      </c>
    </row>
    <row r="6471" spans="8:8" x14ac:dyDescent="0.2">
      <c r="H6471">
        <v>0</v>
      </c>
    </row>
    <row r="6472" spans="8:8" x14ac:dyDescent="0.2">
      <c r="H6472">
        <v>0</v>
      </c>
    </row>
    <row r="6473" spans="8:8" x14ac:dyDescent="0.2">
      <c r="H6473">
        <v>0</v>
      </c>
    </row>
    <row r="6474" spans="8:8" x14ac:dyDescent="0.2">
      <c r="H6474">
        <v>0</v>
      </c>
    </row>
    <row r="6475" spans="8:8" x14ac:dyDescent="0.2">
      <c r="H6475">
        <v>0</v>
      </c>
    </row>
    <row r="6476" spans="8:8" x14ac:dyDescent="0.2">
      <c r="H6476">
        <v>0</v>
      </c>
    </row>
    <row r="6477" spans="8:8" x14ac:dyDescent="0.2">
      <c r="H6477">
        <v>0</v>
      </c>
    </row>
    <row r="6478" spans="8:8" x14ac:dyDescent="0.2">
      <c r="H6478">
        <v>0</v>
      </c>
    </row>
    <row r="6479" spans="8:8" x14ac:dyDescent="0.2">
      <c r="H6479">
        <v>0</v>
      </c>
    </row>
    <row r="6480" spans="8:8" x14ac:dyDescent="0.2">
      <c r="H6480">
        <v>0</v>
      </c>
    </row>
    <row r="6481" spans="8:8" x14ac:dyDescent="0.2">
      <c r="H6481">
        <v>0</v>
      </c>
    </row>
    <row r="6482" spans="8:8" x14ac:dyDescent="0.2">
      <c r="H6482">
        <v>0</v>
      </c>
    </row>
    <row r="6483" spans="8:8" x14ac:dyDescent="0.2">
      <c r="H6483">
        <v>0</v>
      </c>
    </row>
    <row r="6484" spans="8:8" x14ac:dyDescent="0.2">
      <c r="H6484">
        <v>0</v>
      </c>
    </row>
    <row r="6485" spans="8:8" x14ac:dyDescent="0.2">
      <c r="H6485">
        <v>0</v>
      </c>
    </row>
    <row r="6486" spans="8:8" x14ac:dyDescent="0.2">
      <c r="H6486">
        <v>0</v>
      </c>
    </row>
    <row r="6487" spans="8:8" x14ac:dyDescent="0.2">
      <c r="H6487">
        <v>0</v>
      </c>
    </row>
    <row r="6488" spans="8:8" x14ac:dyDescent="0.2">
      <c r="H6488">
        <v>0</v>
      </c>
    </row>
    <row r="6489" spans="8:8" x14ac:dyDescent="0.2">
      <c r="H6489">
        <v>0</v>
      </c>
    </row>
    <row r="6490" spans="8:8" x14ac:dyDescent="0.2">
      <c r="H6490">
        <v>0</v>
      </c>
    </row>
    <row r="6491" spans="8:8" x14ac:dyDescent="0.2">
      <c r="H6491">
        <v>0</v>
      </c>
    </row>
    <row r="6492" spans="8:8" x14ac:dyDescent="0.2">
      <c r="H6492">
        <v>0</v>
      </c>
    </row>
    <row r="6493" spans="8:8" x14ac:dyDescent="0.2">
      <c r="H6493">
        <v>0</v>
      </c>
    </row>
    <row r="6494" spans="8:8" x14ac:dyDescent="0.2">
      <c r="H6494">
        <v>0</v>
      </c>
    </row>
    <row r="6495" spans="8:8" x14ac:dyDescent="0.2">
      <c r="H6495">
        <v>0</v>
      </c>
    </row>
    <row r="6496" spans="8:8" x14ac:dyDescent="0.2">
      <c r="H6496">
        <v>0</v>
      </c>
    </row>
    <row r="6497" spans="8:8" x14ac:dyDescent="0.2">
      <c r="H6497">
        <v>0</v>
      </c>
    </row>
    <row r="6498" spans="8:8" x14ac:dyDescent="0.2">
      <c r="H6498">
        <v>0</v>
      </c>
    </row>
    <row r="6499" spans="8:8" x14ac:dyDescent="0.2">
      <c r="H6499">
        <v>0</v>
      </c>
    </row>
    <row r="6500" spans="8:8" x14ac:dyDescent="0.2">
      <c r="H6500">
        <v>0</v>
      </c>
    </row>
    <row r="6501" spans="8:8" x14ac:dyDescent="0.2">
      <c r="H6501">
        <v>0</v>
      </c>
    </row>
    <row r="6502" spans="8:8" x14ac:dyDescent="0.2">
      <c r="H6502">
        <v>0</v>
      </c>
    </row>
    <row r="6503" spans="8:8" x14ac:dyDescent="0.2">
      <c r="H6503">
        <v>0</v>
      </c>
    </row>
    <row r="6504" spans="8:8" x14ac:dyDescent="0.2">
      <c r="H6504">
        <v>0</v>
      </c>
    </row>
    <row r="6505" spans="8:8" x14ac:dyDescent="0.2">
      <c r="H6505">
        <v>0</v>
      </c>
    </row>
    <row r="6506" spans="8:8" x14ac:dyDescent="0.2">
      <c r="H6506">
        <v>0</v>
      </c>
    </row>
    <row r="6507" spans="8:8" x14ac:dyDescent="0.2">
      <c r="H6507">
        <v>0</v>
      </c>
    </row>
    <row r="6508" spans="8:8" x14ac:dyDescent="0.2">
      <c r="H6508">
        <v>0</v>
      </c>
    </row>
    <row r="6509" spans="8:8" x14ac:dyDescent="0.2">
      <c r="H6509">
        <v>0</v>
      </c>
    </row>
    <row r="6510" spans="8:8" x14ac:dyDescent="0.2">
      <c r="H6510">
        <v>0</v>
      </c>
    </row>
    <row r="6511" spans="8:8" x14ac:dyDescent="0.2">
      <c r="H6511">
        <v>0</v>
      </c>
    </row>
    <row r="6512" spans="8:8" x14ac:dyDescent="0.2">
      <c r="H6512">
        <v>0</v>
      </c>
    </row>
    <row r="6513" spans="8:8" x14ac:dyDescent="0.2">
      <c r="H6513">
        <v>0</v>
      </c>
    </row>
    <row r="6514" spans="8:8" x14ac:dyDescent="0.2">
      <c r="H6514">
        <v>0</v>
      </c>
    </row>
    <row r="6515" spans="8:8" x14ac:dyDescent="0.2">
      <c r="H6515">
        <v>0</v>
      </c>
    </row>
    <row r="6516" spans="8:8" x14ac:dyDescent="0.2">
      <c r="H6516">
        <v>0</v>
      </c>
    </row>
    <row r="6517" spans="8:8" x14ac:dyDescent="0.2">
      <c r="H6517">
        <v>0</v>
      </c>
    </row>
    <row r="6518" spans="8:8" x14ac:dyDescent="0.2">
      <c r="H6518">
        <v>0</v>
      </c>
    </row>
    <row r="6519" spans="8:8" x14ac:dyDescent="0.2">
      <c r="H6519">
        <v>0</v>
      </c>
    </row>
    <row r="6520" spans="8:8" x14ac:dyDescent="0.2">
      <c r="H6520">
        <v>0</v>
      </c>
    </row>
    <row r="6521" spans="8:8" x14ac:dyDescent="0.2">
      <c r="H6521">
        <v>0</v>
      </c>
    </row>
    <row r="6522" spans="8:8" x14ac:dyDescent="0.2">
      <c r="H6522">
        <v>0</v>
      </c>
    </row>
    <row r="6523" spans="8:8" x14ac:dyDescent="0.2">
      <c r="H6523">
        <v>0</v>
      </c>
    </row>
    <row r="6524" spans="8:8" x14ac:dyDescent="0.2">
      <c r="H6524">
        <v>0</v>
      </c>
    </row>
    <row r="6525" spans="8:8" x14ac:dyDescent="0.2">
      <c r="H6525">
        <v>0</v>
      </c>
    </row>
    <row r="6526" spans="8:8" x14ac:dyDescent="0.2">
      <c r="H6526">
        <v>0</v>
      </c>
    </row>
    <row r="6527" spans="8:8" x14ac:dyDescent="0.2">
      <c r="H6527">
        <v>0</v>
      </c>
    </row>
    <row r="6528" spans="8:8" x14ac:dyDescent="0.2">
      <c r="H6528">
        <v>0</v>
      </c>
    </row>
    <row r="6529" spans="8:8" x14ac:dyDescent="0.2">
      <c r="H6529">
        <v>0</v>
      </c>
    </row>
    <row r="6530" spans="8:8" x14ac:dyDescent="0.2">
      <c r="H6530">
        <v>0</v>
      </c>
    </row>
    <row r="6531" spans="8:8" x14ac:dyDescent="0.2">
      <c r="H6531">
        <v>0</v>
      </c>
    </row>
    <row r="6532" spans="8:8" x14ac:dyDescent="0.2">
      <c r="H6532">
        <v>0</v>
      </c>
    </row>
    <row r="6533" spans="8:8" x14ac:dyDescent="0.2">
      <c r="H6533">
        <v>0</v>
      </c>
    </row>
    <row r="6534" spans="8:8" x14ac:dyDescent="0.2">
      <c r="H6534">
        <v>0</v>
      </c>
    </row>
    <row r="6535" spans="8:8" x14ac:dyDescent="0.2">
      <c r="H6535">
        <v>0</v>
      </c>
    </row>
    <row r="6536" spans="8:8" x14ac:dyDescent="0.2">
      <c r="H6536">
        <v>0</v>
      </c>
    </row>
    <row r="6537" spans="8:8" x14ac:dyDescent="0.2">
      <c r="H6537">
        <v>0</v>
      </c>
    </row>
    <row r="6538" spans="8:8" x14ac:dyDescent="0.2">
      <c r="H6538">
        <v>0</v>
      </c>
    </row>
    <row r="6539" spans="8:8" x14ac:dyDescent="0.2">
      <c r="H6539">
        <v>0</v>
      </c>
    </row>
    <row r="6540" spans="8:8" x14ac:dyDescent="0.2">
      <c r="H6540">
        <v>0</v>
      </c>
    </row>
    <row r="6541" spans="8:8" x14ac:dyDescent="0.2">
      <c r="H6541">
        <v>0</v>
      </c>
    </row>
    <row r="6542" spans="8:8" x14ac:dyDescent="0.2">
      <c r="H6542">
        <v>0</v>
      </c>
    </row>
    <row r="6543" spans="8:8" x14ac:dyDescent="0.2">
      <c r="H6543">
        <v>0</v>
      </c>
    </row>
    <row r="6544" spans="8:8" x14ac:dyDescent="0.2">
      <c r="H6544">
        <v>0</v>
      </c>
    </row>
    <row r="6545" spans="8:8" x14ac:dyDescent="0.2">
      <c r="H6545">
        <v>0</v>
      </c>
    </row>
    <row r="6546" spans="8:8" x14ac:dyDescent="0.2">
      <c r="H6546">
        <v>0</v>
      </c>
    </row>
    <row r="6547" spans="8:8" x14ac:dyDescent="0.2">
      <c r="H6547">
        <v>0</v>
      </c>
    </row>
    <row r="6548" spans="8:8" x14ac:dyDescent="0.2">
      <c r="H6548">
        <v>0</v>
      </c>
    </row>
    <row r="6549" spans="8:8" x14ac:dyDescent="0.2">
      <c r="H6549">
        <v>0</v>
      </c>
    </row>
    <row r="6550" spans="8:8" x14ac:dyDescent="0.2">
      <c r="H6550">
        <v>0</v>
      </c>
    </row>
    <row r="6551" spans="8:8" x14ac:dyDescent="0.2">
      <c r="H6551">
        <v>0</v>
      </c>
    </row>
    <row r="6552" spans="8:8" x14ac:dyDescent="0.2">
      <c r="H6552">
        <v>0</v>
      </c>
    </row>
    <row r="6553" spans="8:8" x14ac:dyDescent="0.2">
      <c r="H6553">
        <v>0</v>
      </c>
    </row>
    <row r="6554" spans="8:8" x14ac:dyDescent="0.2">
      <c r="H6554">
        <v>0</v>
      </c>
    </row>
    <row r="6555" spans="8:8" x14ac:dyDescent="0.2">
      <c r="H6555">
        <v>0</v>
      </c>
    </row>
    <row r="6556" spans="8:8" x14ac:dyDescent="0.2">
      <c r="H6556">
        <v>0</v>
      </c>
    </row>
    <row r="6557" spans="8:8" x14ac:dyDescent="0.2">
      <c r="H6557">
        <v>0</v>
      </c>
    </row>
    <row r="6558" spans="8:8" x14ac:dyDescent="0.2">
      <c r="H6558">
        <v>0</v>
      </c>
    </row>
    <row r="6559" spans="8:8" x14ac:dyDescent="0.2">
      <c r="H6559">
        <v>0</v>
      </c>
    </row>
    <row r="6560" spans="8:8" x14ac:dyDescent="0.2">
      <c r="H6560">
        <v>0</v>
      </c>
    </row>
    <row r="6561" spans="8:8" x14ac:dyDescent="0.2">
      <c r="H6561">
        <v>0</v>
      </c>
    </row>
    <row r="6562" spans="8:8" x14ac:dyDescent="0.2">
      <c r="H6562">
        <v>0</v>
      </c>
    </row>
    <row r="6563" spans="8:8" x14ac:dyDescent="0.2">
      <c r="H6563">
        <v>0</v>
      </c>
    </row>
    <row r="6564" spans="8:8" x14ac:dyDescent="0.2">
      <c r="H6564">
        <v>0</v>
      </c>
    </row>
    <row r="6565" spans="8:8" x14ac:dyDescent="0.2">
      <c r="H6565">
        <v>0</v>
      </c>
    </row>
    <row r="6566" spans="8:8" x14ac:dyDescent="0.2">
      <c r="H6566">
        <v>0</v>
      </c>
    </row>
    <row r="6567" spans="8:8" x14ac:dyDescent="0.2">
      <c r="H6567">
        <v>0</v>
      </c>
    </row>
    <row r="6568" spans="8:8" x14ac:dyDescent="0.2">
      <c r="H6568">
        <v>0</v>
      </c>
    </row>
    <row r="6569" spans="8:8" x14ac:dyDescent="0.2">
      <c r="H6569">
        <v>0</v>
      </c>
    </row>
    <row r="6570" spans="8:8" x14ac:dyDescent="0.2">
      <c r="H6570">
        <v>0</v>
      </c>
    </row>
    <row r="6571" spans="8:8" x14ac:dyDescent="0.2">
      <c r="H6571">
        <v>0</v>
      </c>
    </row>
    <row r="6572" spans="8:8" x14ac:dyDescent="0.2">
      <c r="H6572">
        <v>0</v>
      </c>
    </row>
    <row r="6573" spans="8:8" x14ac:dyDescent="0.2">
      <c r="H6573">
        <v>0</v>
      </c>
    </row>
    <row r="6574" spans="8:8" x14ac:dyDescent="0.2">
      <c r="H6574">
        <v>0</v>
      </c>
    </row>
    <row r="6575" spans="8:8" x14ac:dyDescent="0.2">
      <c r="H6575">
        <v>0</v>
      </c>
    </row>
    <row r="6576" spans="8:8" x14ac:dyDescent="0.2">
      <c r="H6576">
        <v>0</v>
      </c>
    </row>
    <row r="6577" spans="8:8" x14ac:dyDescent="0.2">
      <c r="H6577">
        <v>0</v>
      </c>
    </row>
    <row r="6578" spans="8:8" x14ac:dyDescent="0.2">
      <c r="H6578">
        <v>0</v>
      </c>
    </row>
    <row r="6579" spans="8:8" x14ac:dyDescent="0.2">
      <c r="H6579">
        <v>0</v>
      </c>
    </row>
    <row r="6580" spans="8:8" x14ac:dyDescent="0.2">
      <c r="H6580">
        <v>0</v>
      </c>
    </row>
    <row r="6581" spans="8:8" x14ac:dyDescent="0.2">
      <c r="H6581">
        <v>0</v>
      </c>
    </row>
    <row r="6582" spans="8:8" x14ac:dyDescent="0.2">
      <c r="H6582">
        <v>0</v>
      </c>
    </row>
    <row r="6583" spans="8:8" x14ac:dyDescent="0.2">
      <c r="H6583">
        <v>0</v>
      </c>
    </row>
    <row r="6584" spans="8:8" x14ac:dyDescent="0.2">
      <c r="H6584">
        <v>0</v>
      </c>
    </row>
    <row r="6585" spans="8:8" x14ac:dyDescent="0.2">
      <c r="H6585">
        <v>0</v>
      </c>
    </row>
    <row r="6586" spans="8:8" x14ac:dyDescent="0.2">
      <c r="H6586">
        <v>0</v>
      </c>
    </row>
    <row r="6587" spans="8:8" x14ac:dyDescent="0.2">
      <c r="H6587">
        <v>0</v>
      </c>
    </row>
    <row r="6588" spans="8:8" x14ac:dyDescent="0.2">
      <c r="H6588">
        <v>0</v>
      </c>
    </row>
    <row r="6589" spans="8:8" x14ac:dyDescent="0.2">
      <c r="H6589">
        <v>0</v>
      </c>
    </row>
    <row r="6590" spans="8:8" x14ac:dyDescent="0.2">
      <c r="H6590">
        <v>0</v>
      </c>
    </row>
    <row r="6591" spans="8:8" x14ac:dyDescent="0.2">
      <c r="H6591">
        <v>0</v>
      </c>
    </row>
    <row r="6592" spans="8:8" x14ac:dyDescent="0.2">
      <c r="H6592">
        <v>0</v>
      </c>
    </row>
    <row r="6593" spans="8:8" x14ac:dyDescent="0.2">
      <c r="H6593">
        <v>0</v>
      </c>
    </row>
    <row r="6594" spans="8:8" x14ac:dyDescent="0.2">
      <c r="H6594">
        <v>0</v>
      </c>
    </row>
    <row r="6595" spans="8:8" x14ac:dyDescent="0.2">
      <c r="H6595">
        <v>0</v>
      </c>
    </row>
    <row r="6596" spans="8:8" x14ac:dyDescent="0.2">
      <c r="H6596">
        <v>0</v>
      </c>
    </row>
    <row r="6597" spans="8:8" x14ac:dyDescent="0.2">
      <c r="H6597">
        <v>0</v>
      </c>
    </row>
    <row r="6598" spans="8:8" x14ac:dyDescent="0.2">
      <c r="H6598">
        <v>0</v>
      </c>
    </row>
    <row r="6599" spans="8:8" x14ac:dyDescent="0.2">
      <c r="H6599">
        <v>0</v>
      </c>
    </row>
    <row r="6600" spans="8:8" x14ac:dyDescent="0.2">
      <c r="H6600">
        <v>0</v>
      </c>
    </row>
    <row r="6601" spans="8:8" x14ac:dyDescent="0.2">
      <c r="H6601">
        <v>0</v>
      </c>
    </row>
    <row r="6602" spans="8:8" x14ac:dyDescent="0.2">
      <c r="H6602">
        <v>0</v>
      </c>
    </row>
    <row r="6603" spans="8:8" x14ac:dyDescent="0.2">
      <c r="H6603">
        <v>0</v>
      </c>
    </row>
    <row r="6604" spans="8:8" x14ac:dyDescent="0.2">
      <c r="H6604">
        <v>0</v>
      </c>
    </row>
    <row r="6605" spans="8:8" x14ac:dyDescent="0.2">
      <c r="H6605">
        <v>0</v>
      </c>
    </row>
    <row r="6606" spans="8:8" x14ac:dyDescent="0.2">
      <c r="H6606">
        <v>0</v>
      </c>
    </row>
    <row r="6607" spans="8:8" x14ac:dyDescent="0.2">
      <c r="H6607">
        <v>0</v>
      </c>
    </row>
    <row r="6608" spans="8:8" x14ac:dyDescent="0.2">
      <c r="H6608">
        <v>0</v>
      </c>
    </row>
    <row r="6609" spans="8:8" x14ac:dyDescent="0.2">
      <c r="H6609">
        <v>0</v>
      </c>
    </row>
    <row r="6610" spans="8:8" x14ac:dyDescent="0.2">
      <c r="H6610">
        <v>0</v>
      </c>
    </row>
    <row r="6611" spans="8:8" x14ac:dyDescent="0.2">
      <c r="H6611">
        <v>0</v>
      </c>
    </row>
    <row r="6612" spans="8:8" x14ac:dyDescent="0.2">
      <c r="H6612">
        <v>0</v>
      </c>
    </row>
    <row r="6613" spans="8:8" x14ac:dyDescent="0.2">
      <c r="H6613">
        <v>0</v>
      </c>
    </row>
    <row r="6614" spans="8:8" x14ac:dyDescent="0.2">
      <c r="H6614">
        <v>0</v>
      </c>
    </row>
    <row r="6615" spans="8:8" x14ac:dyDescent="0.2">
      <c r="H6615">
        <v>0</v>
      </c>
    </row>
    <row r="6616" spans="8:8" x14ac:dyDescent="0.2">
      <c r="H6616">
        <v>0</v>
      </c>
    </row>
    <row r="6617" spans="8:8" x14ac:dyDescent="0.2">
      <c r="H6617">
        <v>0</v>
      </c>
    </row>
    <row r="6618" spans="8:8" x14ac:dyDescent="0.2">
      <c r="H6618">
        <v>0</v>
      </c>
    </row>
    <row r="6619" spans="8:8" x14ac:dyDescent="0.2">
      <c r="H6619">
        <v>0</v>
      </c>
    </row>
    <row r="6620" spans="8:8" x14ac:dyDescent="0.2">
      <c r="H6620">
        <v>0</v>
      </c>
    </row>
    <row r="6621" spans="8:8" x14ac:dyDescent="0.2">
      <c r="H6621">
        <v>0</v>
      </c>
    </row>
    <row r="6622" spans="8:8" x14ac:dyDescent="0.2">
      <c r="H6622">
        <v>0</v>
      </c>
    </row>
    <row r="6623" spans="8:8" x14ac:dyDescent="0.2">
      <c r="H6623">
        <v>0</v>
      </c>
    </row>
    <row r="6624" spans="8:8" x14ac:dyDescent="0.2">
      <c r="H6624">
        <v>0</v>
      </c>
    </row>
    <row r="6625" spans="8:8" x14ac:dyDescent="0.2">
      <c r="H6625">
        <v>0</v>
      </c>
    </row>
    <row r="6626" spans="8:8" x14ac:dyDescent="0.2">
      <c r="H6626">
        <v>0</v>
      </c>
    </row>
    <row r="6627" spans="8:8" x14ac:dyDescent="0.2">
      <c r="H6627">
        <v>0</v>
      </c>
    </row>
    <row r="6628" spans="8:8" x14ac:dyDescent="0.2">
      <c r="H6628">
        <v>0</v>
      </c>
    </row>
    <row r="6629" spans="8:8" x14ac:dyDescent="0.2">
      <c r="H6629">
        <v>0</v>
      </c>
    </row>
    <row r="6630" spans="8:8" x14ac:dyDescent="0.2">
      <c r="H6630">
        <v>0</v>
      </c>
    </row>
    <row r="6631" spans="8:8" x14ac:dyDescent="0.2">
      <c r="H6631">
        <v>0</v>
      </c>
    </row>
    <row r="6632" spans="8:8" x14ac:dyDescent="0.2">
      <c r="H6632">
        <v>0</v>
      </c>
    </row>
    <row r="6633" spans="8:8" x14ac:dyDescent="0.2">
      <c r="H6633">
        <v>0</v>
      </c>
    </row>
    <row r="6634" spans="8:8" x14ac:dyDescent="0.2">
      <c r="H6634">
        <v>0</v>
      </c>
    </row>
    <row r="6635" spans="8:8" x14ac:dyDescent="0.2">
      <c r="H6635">
        <v>0</v>
      </c>
    </row>
    <row r="6636" spans="8:8" x14ac:dyDescent="0.2">
      <c r="H6636">
        <v>0</v>
      </c>
    </row>
    <row r="6637" spans="8:8" x14ac:dyDescent="0.2">
      <c r="H6637">
        <v>0</v>
      </c>
    </row>
    <row r="6638" spans="8:8" x14ac:dyDescent="0.2">
      <c r="H6638">
        <v>0</v>
      </c>
    </row>
    <row r="6639" spans="8:8" x14ac:dyDescent="0.2">
      <c r="H6639">
        <v>0</v>
      </c>
    </row>
    <row r="6640" spans="8:8" x14ac:dyDescent="0.2">
      <c r="H6640">
        <v>0</v>
      </c>
    </row>
    <row r="6641" spans="8:8" x14ac:dyDescent="0.2">
      <c r="H6641">
        <v>0</v>
      </c>
    </row>
    <row r="6642" spans="8:8" x14ac:dyDescent="0.2">
      <c r="H6642">
        <v>0</v>
      </c>
    </row>
    <row r="6643" spans="8:8" x14ac:dyDescent="0.2">
      <c r="H6643">
        <v>0</v>
      </c>
    </row>
    <row r="6644" spans="8:8" x14ac:dyDescent="0.2">
      <c r="H6644">
        <v>0</v>
      </c>
    </row>
    <row r="6645" spans="8:8" x14ac:dyDescent="0.2">
      <c r="H6645">
        <v>0</v>
      </c>
    </row>
    <row r="6646" spans="8:8" x14ac:dyDescent="0.2">
      <c r="H6646">
        <v>0</v>
      </c>
    </row>
    <row r="6647" spans="8:8" x14ac:dyDescent="0.2">
      <c r="H6647">
        <v>0</v>
      </c>
    </row>
    <row r="6648" spans="8:8" x14ac:dyDescent="0.2">
      <c r="H6648">
        <v>0</v>
      </c>
    </row>
    <row r="6649" spans="8:8" x14ac:dyDescent="0.2">
      <c r="H6649">
        <v>0</v>
      </c>
    </row>
    <row r="6650" spans="8:8" x14ac:dyDescent="0.2">
      <c r="H6650">
        <v>0</v>
      </c>
    </row>
    <row r="6651" spans="8:8" x14ac:dyDescent="0.2">
      <c r="H6651">
        <v>0</v>
      </c>
    </row>
    <row r="6652" spans="8:8" x14ac:dyDescent="0.2">
      <c r="H6652">
        <v>0</v>
      </c>
    </row>
    <row r="6653" spans="8:8" x14ac:dyDescent="0.2">
      <c r="H6653">
        <v>0</v>
      </c>
    </row>
    <row r="6654" spans="8:8" x14ac:dyDescent="0.2">
      <c r="H6654">
        <v>0</v>
      </c>
    </row>
    <row r="6655" spans="8:8" x14ac:dyDescent="0.2">
      <c r="H6655">
        <v>0</v>
      </c>
    </row>
    <row r="6656" spans="8:8" x14ac:dyDescent="0.2">
      <c r="H6656">
        <v>0</v>
      </c>
    </row>
    <row r="6657" spans="8:8" x14ac:dyDescent="0.2">
      <c r="H6657">
        <v>0</v>
      </c>
    </row>
    <row r="6658" spans="8:8" x14ac:dyDescent="0.2">
      <c r="H6658">
        <v>0</v>
      </c>
    </row>
    <row r="6659" spans="8:8" x14ac:dyDescent="0.2">
      <c r="H6659">
        <v>0</v>
      </c>
    </row>
    <row r="6660" spans="8:8" x14ac:dyDescent="0.2">
      <c r="H6660">
        <v>0</v>
      </c>
    </row>
    <row r="6661" spans="8:8" x14ac:dyDescent="0.2">
      <c r="H6661">
        <v>0</v>
      </c>
    </row>
    <row r="6662" spans="8:8" x14ac:dyDescent="0.2">
      <c r="H6662">
        <v>0</v>
      </c>
    </row>
    <row r="6663" spans="8:8" x14ac:dyDescent="0.2">
      <c r="H6663">
        <v>0</v>
      </c>
    </row>
    <row r="6664" spans="8:8" x14ac:dyDescent="0.2">
      <c r="H6664">
        <v>0</v>
      </c>
    </row>
    <row r="6665" spans="8:8" x14ac:dyDescent="0.2">
      <c r="H6665">
        <v>0</v>
      </c>
    </row>
    <row r="6666" spans="8:8" x14ac:dyDescent="0.2">
      <c r="H6666">
        <v>0</v>
      </c>
    </row>
    <row r="6667" spans="8:8" x14ac:dyDescent="0.2">
      <c r="H6667">
        <v>0</v>
      </c>
    </row>
    <row r="6668" spans="8:8" x14ac:dyDescent="0.2">
      <c r="H6668">
        <v>0</v>
      </c>
    </row>
    <row r="6669" spans="8:8" x14ac:dyDescent="0.2">
      <c r="H6669">
        <v>0</v>
      </c>
    </row>
    <row r="6670" spans="8:8" x14ac:dyDescent="0.2">
      <c r="H6670">
        <v>0</v>
      </c>
    </row>
    <row r="6671" spans="8:8" x14ac:dyDescent="0.2">
      <c r="H6671">
        <v>0</v>
      </c>
    </row>
    <row r="6672" spans="8:8" x14ac:dyDescent="0.2">
      <c r="H6672">
        <v>0</v>
      </c>
    </row>
    <row r="6673" spans="8:8" x14ac:dyDescent="0.2">
      <c r="H6673">
        <v>0</v>
      </c>
    </row>
    <row r="6674" spans="8:8" x14ac:dyDescent="0.2">
      <c r="H6674">
        <v>0</v>
      </c>
    </row>
    <row r="6675" spans="8:8" x14ac:dyDescent="0.2">
      <c r="H6675">
        <v>0</v>
      </c>
    </row>
    <row r="6676" spans="8:8" x14ac:dyDescent="0.2">
      <c r="H6676">
        <v>0</v>
      </c>
    </row>
    <row r="6677" spans="8:8" x14ac:dyDescent="0.2">
      <c r="H6677">
        <v>0</v>
      </c>
    </row>
    <row r="6678" spans="8:8" x14ac:dyDescent="0.2">
      <c r="H6678">
        <v>0</v>
      </c>
    </row>
    <row r="6679" spans="8:8" x14ac:dyDescent="0.2">
      <c r="H6679">
        <v>0</v>
      </c>
    </row>
    <row r="6680" spans="8:8" x14ac:dyDescent="0.2">
      <c r="H6680">
        <v>0</v>
      </c>
    </row>
    <row r="6681" spans="8:8" x14ac:dyDescent="0.2">
      <c r="H6681">
        <v>0</v>
      </c>
    </row>
    <row r="6682" spans="8:8" x14ac:dyDescent="0.2">
      <c r="H6682">
        <v>0</v>
      </c>
    </row>
    <row r="6683" spans="8:8" x14ac:dyDescent="0.2">
      <c r="H6683">
        <v>0</v>
      </c>
    </row>
    <row r="6684" spans="8:8" x14ac:dyDescent="0.2">
      <c r="H6684">
        <v>0</v>
      </c>
    </row>
    <row r="6685" spans="8:8" x14ac:dyDescent="0.2">
      <c r="H6685">
        <v>0</v>
      </c>
    </row>
    <row r="6686" spans="8:8" x14ac:dyDescent="0.2">
      <c r="H6686">
        <v>0</v>
      </c>
    </row>
    <row r="6687" spans="8:8" x14ac:dyDescent="0.2">
      <c r="H6687">
        <v>0</v>
      </c>
    </row>
    <row r="6688" spans="8:8" x14ac:dyDescent="0.2">
      <c r="H6688">
        <v>0</v>
      </c>
    </row>
    <row r="6689" spans="8:8" x14ac:dyDescent="0.2">
      <c r="H6689">
        <v>0</v>
      </c>
    </row>
    <row r="6690" spans="8:8" x14ac:dyDescent="0.2">
      <c r="H6690">
        <v>0</v>
      </c>
    </row>
    <row r="6691" spans="8:8" x14ac:dyDescent="0.2">
      <c r="H6691">
        <v>0</v>
      </c>
    </row>
    <row r="6692" spans="8:8" x14ac:dyDescent="0.2">
      <c r="H6692">
        <v>0</v>
      </c>
    </row>
    <row r="6693" spans="8:8" x14ac:dyDescent="0.2">
      <c r="H6693">
        <v>0</v>
      </c>
    </row>
    <row r="6694" spans="8:8" x14ac:dyDescent="0.2">
      <c r="H6694">
        <v>0</v>
      </c>
    </row>
    <row r="6695" spans="8:8" x14ac:dyDescent="0.2">
      <c r="H6695">
        <v>0</v>
      </c>
    </row>
    <row r="6696" spans="8:8" x14ac:dyDescent="0.2">
      <c r="H6696">
        <v>0</v>
      </c>
    </row>
    <row r="6697" spans="8:8" x14ac:dyDescent="0.2">
      <c r="H6697">
        <v>0</v>
      </c>
    </row>
    <row r="6698" spans="8:8" x14ac:dyDescent="0.2">
      <c r="H6698">
        <v>0</v>
      </c>
    </row>
    <row r="6699" spans="8:8" x14ac:dyDescent="0.2">
      <c r="H6699">
        <v>0</v>
      </c>
    </row>
    <row r="6700" spans="8:8" x14ac:dyDescent="0.2">
      <c r="H6700">
        <v>0</v>
      </c>
    </row>
    <row r="6701" spans="8:8" x14ac:dyDescent="0.2">
      <c r="H6701">
        <v>0</v>
      </c>
    </row>
    <row r="6702" spans="8:8" x14ac:dyDescent="0.2">
      <c r="H6702">
        <v>0</v>
      </c>
    </row>
    <row r="6703" spans="8:8" x14ac:dyDescent="0.2">
      <c r="H6703">
        <v>0</v>
      </c>
    </row>
    <row r="6704" spans="8:8" x14ac:dyDescent="0.2">
      <c r="H6704">
        <v>0</v>
      </c>
    </row>
    <row r="6705" spans="8:8" x14ac:dyDescent="0.2">
      <c r="H6705">
        <v>0</v>
      </c>
    </row>
    <row r="6706" spans="8:8" x14ac:dyDescent="0.2">
      <c r="H6706">
        <v>0</v>
      </c>
    </row>
    <row r="6707" spans="8:8" x14ac:dyDescent="0.2">
      <c r="H6707">
        <v>0</v>
      </c>
    </row>
    <row r="6708" spans="8:8" x14ac:dyDescent="0.2">
      <c r="H6708">
        <v>0</v>
      </c>
    </row>
    <row r="6709" spans="8:8" x14ac:dyDescent="0.2">
      <c r="H6709">
        <v>0</v>
      </c>
    </row>
    <row r="6710" spans="8:8" x14ac:dyDescent="0.2">
      <c r="H6710">
        <v>0</v>
      </c>
    </row>
    <row r="6711" spans="8:8" x14ac:dyDescent="0.2">
      <c r="H6711">
        <v>0</v>
      </c>
    </row>
    <row r="6712" spans="8:8" x14ac:dyDescent="0.2">
      <c r="H6712">
        <v>0</v>
      </c>
    </row>
    <row r="6713" spans="8:8" x14ac:dyDescent="0.2">
      <c r="H6713">
        <v>0</v>
      </c>
    </row>
    <row r="6714" spans="8:8" x14ac:dyDescent="0.2">
      <c r="H6714">
        <v>0</v>
      </c>
    </row>
    <row r="6715" spans="8:8" x14ac:dyDescent="0.2">
      <c r="H6715">
        <v>0</v>
      </c>
    </row>
    <row r="6716" spans="8:8" x14ac:dyDescent="0.2">
      <c r="H6716">
        <v>0</v>
      </c>
    </row>
    <row r="6717" spans="8:8" x14ac:dyDescent="0.2">
      <c r="H6717">
        <v>0</v>
      </c>
    </row>
    <row r="6718" spans="8:8" x14ac:dyDescent="0.2">
      <c r="H6718">
        <v>0</v>
      </c>
    </row>
    <row r="6719" spans="8:8" x14ac:dyDescent="0.2">
      <c r="H6719">
        <v>0</v>
      </c>
    </row>
    <row r="6720" spans="8:8" x14ac:dyDescent="0.2">
      <c r="H6720">
        <v>0</v>
      </c>
    </row>
    <row r="6721" spans="8:8" x14ac:dyDescent="0.2">
      <c r="H6721">
        <v>0</v>
      </c>
    </row>
    <row r="6722" spans="8:8" x14ac:dyDescent="0.2">
      <c r="H6722">
        <v>0</v>
      </c>
    </row>
    <row r="6723" spans="8:8" x14ac:dyDescent="0.2">
      <c r="H6723">
        <v>0</v>
      </c>
    </row>
    <row r="6724" spans="8:8" x14ac:dyDescent="0.2">
      <c r="H6724">
        <v>0</v>
      </c>
    </row>
    <row r="6725" spans="8:8" x14ac:dyDescent="0.2">
      <c r="H6725">
        <v>0</v>
      </c>
    </row>
    <row r="6726" spans="8:8" x14ac:dyDescent="0.2">
      <c r="H6726">
        <v>0</v>
      </c>
    </row>
    <row r="6727" spans="8:8" x14ac:dyDescent="0.2">
      <c r="H6727">
        <v>0</v>
      </c>
    </row>
    <row r="6728" spans="8:8" x14ac:dyDescent="0.2">
      <c r="H6728">
        <v>0</v>
      </c>
    </row>
    <row r="6729" spans="8:8" x14ac:dyDescent="0.2">
      <c r="H6729">
        <v>0</v>
      </c>
    </row>
    <row r="6730" spans="8:8" x14ac:dyDescent="0.2">
      <c r="H6730">
        <v>0</v>
      </c>
    </row>
    <row r="6731" spans="8:8" x14ac:dyDescent="0.2">
      <c r="H6731">
        <v>0</v>
      </c>
    </row>
    <row r="6732" spans="8:8" x14ac:dyDescent="0.2">
      <c r="H6732">
        <v>0</v>
      </c>
    </row>
    <row r="6733" spans="8:8" x14ac:dyDescent="0.2">
      <c r="H6733">
        <v>0</v>
      </c>
    </row>
    <row r="6734" spans="8:8" x14ac:dyDescent="0.2">
      <c r="H6734">
        <v>0</v>
      </c>
    </row>
    <row r="6735" spans="8:8" x14ac:dyDescent="0.2">
      <c r="H6735">
        <v>0</v>
      </c>
    </row>
    <row r="6736" spans="8:8" x14ac:dyDescent="0.2">
      <c r="H6736">
        <v>0</v>
      </c>
    </row>
    <row r="6737" spans="8:8" x14ac:dyDescent="0.2">
      <c r="H6737">
        <v>0</v>
      </c>
    </row>
    <row r="6738" spans="8:8" x14ac:dyDescent="0.2">
      <c r="H6738">
        <v>0</v>
      </c>
    </row>
    <row r="6739" spans="8:8" x14ac:dyDescent="0.2">
      <c r="H6739">
        <v>0</v>
      </c>
    </row>
    <row r="6740" spans="8:8" x14ac:dyDescent="0.2">
      <c r="H6740">
        <v>0</v>
      </c>
    </row>
    <row r="6741" spans="8:8" x14ac:dyDescent="0.2">
      <c r="H6741">
        <v>0</v>
      </c>
    </row>
    <row r="6742" spans="8:8" x14ac:dyDescent="0.2">
      <c r="H6742">
        <v>0</v>
      </c>
    </row>
    <row r="6743" spans="8:8" x14ac:dyDescent="0.2">
      <c r="H6743">
        <v>0</v>
      </c>
    </row>
    <row r="6744" spans="8:8" x14ac:dyDescent="0.2">
      <c r="H6744">
        <v>0</v>
      </c>
    </row>
    <row r="6745" spans="8:8" x14ac:dyDescent="0.2">
      <c r="H6745">
        <v>0</v>
      </c>
    </row>
    <row r="6746" spans="8:8" x14ac:dyDescent="0.2">
      <c r="H6746">
        <v>0</v>
      </c>
    </row>
    <row r="6747" spans="8:8" x14ac:dyDescent="0.2">
      <c r="H6747">
        <v>0</v>
      </c>
    </row>
    <row r="6748" spans="8:8" x14ac:dyDescent="0.2">
      <c r="H6748">
        <v>0</v>
      </c>
    </row>
    <row r="6749" spans="8:8" x14ac:dyDescent="0.2">
      <c r="H6749">
        <v>0</v>
      </c>
    </row>
    <row r="6750" spans="8:8" x14ac:dyDescent="0.2">
      <c r="H6750">
        <v>0</v>
      </c>
    </row>
    <row r="6751" spans="8:8" x14ac:dyDescent="0.2">
      <c r="H6751">
        <v>0</v>
      </c>
    </row>
    <row r="6752" spans="8:8" x14ac:dyDescent="0.2">
      <c r="H6752">
        <v>0</v>
      </c>
    </row>
    <row r="6753" spans="8:8" x14ac:dyDescent="0.2">
      <c r="H6753">
        <v>0</v>
      </c>
    </row>
    <row r="6754" spans="8:8" x14ac:dyDescent="0.2">
      <c r="H6754">
        <v>0</v>
      </c>
    </row>
    <row r="6755" spans="8:8" x14ac:dyDescent="0.2">
      <c r="H6755">
        <v>0</v>
      </c>
    </row>
    <row r="6756" spans="8:8" x14ac:dyDescent="0.2">
      <c r="H6756">
        <v>0</v>
      </c>
    </row>
    <row r="6757" spans="8:8" x14ac:dyDescent="0.2">
      <c r="H6757">
        <v>0</v>
      </c>
    </row>
    <row r="6758" spans="8:8" x14ac:dyDescent="0.2">
      <c r="H6758">
        <v>0</v>
      </c>
    </row>
    <row r="6759" spans="8:8" x14ac:dyDescent="0.2">
      <c r="H6759">
        <v>0</v>
      </c>
    </row>
    <row r="6760" spans="8:8" x14ac:dyDescent="0.2">
      <c r="H6760">
        <v>0</v>
      </c>
    </row>
    <row r="6761" spans="8:8" x14ac:dyDescent="0.2">
      <c r="H6761">
        <v>0</v>
      </c>
    </row>
    <row r="6762" spans="8:8" x14ac:dyDescent="0.2">
      <c r="H6762">
        <v>0</v>
      </c>
    </row>
    <row r="6763" spans="8:8" x14ac:dyDescent="0.2">
      <c r="H6763">
        <v>0</v>
      </c>
    </row>
    <row r="6764" spans="8:8" x14ac:dyDescent="0.2">
      <c r="H6764">
        <v>0</v>
      </c>
    </row>
    <row r="6765" spans="8:8" x14ac:dyDescent="0.2">
      <c r="H6765">
        <v>0</v>
      </c>
    </row>
    <row r="6766" spans="8:8" x14ac:dyDescent="0.2">
      <c r="H6766">
        <v>0</v>
      </c>
    </row>
    <row r="6767" spans="8:8" x14ac:dyDescent="0.2">
      <c r="H6767">
        <v>0</v>
      </c>
    </row>
    <row r="6768" spans="8:8" x14ac:dyDescent="0.2">
      <c r="H6768">
        <v>0</v>
      </c>
    </row>
    <row r="6769" spans="8:8" x14ac:dyDescent="0.2">
      <c r="H6769">
        <v>0</v>
      </c>
    </row>
    <row r="6770" spans="8:8" x14ac:dyDescent="0.2">
      <c r="H6770">
        <v>0</v>
      </c>
    </row>
    <row r="6771" spans="8:8" x14ac:dyDescent="0.2">
      <c r="H6771">
        <v>0</v>
      </c>
    </row>
    <row r="6772" spans="8:8" x14ac:dyDescent="0.2">
      <c r="H6772">
        <v>0</v>
      </c>
    </row>
    <row r="6773" spans="8:8" x14ac:dyDescent="0.2">
      <c r="H6773">
        <v>0</v>
      </c>
    </row>
    <row r="6774" spans="8:8" x14ac:dyDescent="0.2">
      <c r="H6774">
        <v>0</v>
      </c>
    </row>
    <row r="6775" spans="8:8" x14ac:dyDescent="0.2">
      <c r="H6775">
        <v>0</v>
      </c>
    </row>
    <row r="6776" spans="8:8" x14ac:dyDescent="0.2">
      <c r="H6776">
        <v>0</v>
      </c>
    </row>
    <row r="6777" spans="8:8" x14ac:dyDescent="0.2">
      <c r="H6777">
        <v>0</v>
      </c>
    </row>
    <row r="6778" spans="8:8" x14ac:dyDescent="0.2">
      <c r="H6778">
        <v>0</v>
      </c>
    </row>
    <row r="6779" spans="8:8" x14ac:dyDescent="0.2">
      <c r="H6779">
        <v>0</v>
      </c>
    </row>
    <row r="6780" spans="8:8" x14ac:dyDescent="0.2">
      <c r="H6780">
        <v>0</v>
      </c>
    </row>
    <row r="6781" spans="8:8" x14ac:dyDescent="0.2">
      <c r="H6781">
        <v>0</v>
      </c>
    </row>
    <row r="6782" spans="8:8" x14ac:dyDescent="0.2">
      <c r="H6782">
        <v>0</v>
      </c>
    </row>
    <row r="6783" spans="8:8" x14ac:dyDescent="0.2">
      <c r="H6783">
        <v>0</v>
      </c>
    </row>
    <row r="6784" spans="8:8" x14ac:dyDescent="0.2">
      <c r="H6784">
        <v>0</v>
      </c>
    </row>
    <row r="6785" spans="8:8" x14ac:dyDescent="0.2">
      <c r="H6785">
        <v>0</v>
      </c>
    </row>
    <row r="6786" spans="8:8" x14ac:dyDescent="0.2">
      <c r="H6786">
        <v>0</v>
      </c>
    </row>
    <row r="6787" spans="8:8" x14ac:dyDescent="0.2">
      <c r="H6787">
        <v>0</v>
      </c>
    </row>
    <row r="6788" spans="8:8" x14ac:dyDescent="0.2">
      <c r="H6788">
        <v>0</v>
      </c>
    </row>
    <row r="6789" spans="8:8" x14ac:dyDescent="0.2">
      <c r="H6789">
        <v>0</v>
      </c>
    </row>
    <row r="6790" spans="8:8" x14ac:dyDescent="0.2">
      <c r="H6790">
        <v>0</v>
      </c>
    </row>
    <row r="6791" spans="8:8" x14ac:dyDescent="0.2">
      <c r="H6791">
        <v>0</v>
      </c>
    </row>
    <row r="6792" spans="8:8" x14ac:dyDescent="0.2">
      <c r="H6792">
        <v>0</v>
      </c>
    </row>
    <row r="6793" spans="8:8" x14ac:dyDescent="0.2">
      <c r="H6793">
        <v>0</v>
      </c>
    </row>
    <row r="6794" spans="8:8" x14ac:dyDescent="0.2">
      <c r="H6794">
        <v>0</v>
      </c>
    </row>
    <row r="6795" spans="8:8" x14ac:dyDescent="0.2">
      <c r="H6795">
        <v>0</v>
      </c>
    </row>
    <row r="6796" spans="8:8" x14ac:dyDescent="0.2">
      <c r="H6796">
        <v>0</v>
      </c>
    </row>
    <row r="6797" spans="8:8" x14ac:dyDescent="0.2">
      <c r="H6797">
        <v>0</v>
      </c>
    </row>
    <row r="6798" spans="8:8" x14ac:dyDescent="0.2">
      <c r="H6798">
        <v>0</v>
      </c>
    </row>
    <row r="6799" spans="8:8" x14ac:dyDescent="0.2">
      <c r="H6799">
        <v>0</v>
      </c>
    </row>
    <row r="6800" spans="8:8" x14ac:dyDescent="0.2">
      <c r="H6800">
        <v>0</v>
      </c>
    </row>
    <row r="6801" spans="8:8" x14ac:dyDescent="0.2">
      <c r="H6801">
        <v>0</v>
      </c>
    </row>
    <row r="6802" spans="8:8" x14ac:dyDescent="0.2">
      <c r="H6802">
        <v>0</v>
      </c>
    </row>
    <row r="6803" spans="8:8" x14ac:dyDescent="0.2">
      <c r="H6803">
        <v>0</v>
      </c>
    </row>
    <row r="6804" spans="8:8" x14ac:dyDescent="0.2">
      <c r="H6804">
        <v>0</v>
      </c>
    </row>
    <row r="6805" spans="8:8" x14ac:dyDescent="0.2">
      <c r="H6805">
        <v>0</v>
      </c>
    </row>
    <row r="6806" spans="8:8" x14ac:dyDescent="0.2">
      <c r="H6806">
        <v>0</v>
      </c>
    </row>
    <row r="6807" spans="8:8" x14ac:dyDescent="0.2">
      <c r="H6807">
        <v>0</v>
      </c>
    </row>
    <row r="6808" spans="8:8" x14ac:dyDescent="0.2">
      <c r="H6808">
        <v>0</v>
      </c>
    </row>
    <row r="6809" spans="8:8" x14ac:dyDescent="0.2">
      <c r="H6809">
        <v>0</v>
      </c>
    </row>
    <row r="6810" spans="8:8" x14ac:dyDescent="0.2">
      <c r="H6810">
        <v>0</v>
      </c>
    </row>
    <row r="6811" spans="8:8" x14ac:dyDescent="0.2">
      <c r="H6811">
        <v>0</v>
      </c>
    </row>
    <row r="6812" spans="8:8" x14ac:dyDescent="0.2">
      <c r="H6812">
        <v>0</v>
      </c>
    </row>
    <row r="6813" spans="8:8" x14ac:dyDescent="0.2">
      <c r="H6813">
        <v>0</v>
      </c>
    </row>
    <row r="6814" spans="8:8" x14ac:dyDescent="0.2">
      <c r="H6814">
        <v>0</v>
      </c>
    </row>
    <row r="6815" spans="8:8" x14ac:dyDescent="0.2">
      <c r="H6815">
        <v>0</v>
      </c>
    </row>
    <row r="6816" spans="8:8" x14ac:dyDescent="0.2">
      <c r="H6816">
        <v>0</v>
      </c>
    </row>
    <row r="6817" spans="8:8" x14ac:dyDescent="0.2">
      <c r="H6817">
        <v>0</v>
      </c>
    </row>
    <row r="6818" spans="8:8" x14ac:dyDescent="0.2">
      <c r="H6818">
        <v>0</v>
      </c>
    </row>
    <row r="6819" spans="8:8" x14ac:dyDescent="0.2">
      <c r="H6819">
        <v>0</v>
      </c>
    </row>
    <row r="6820" spans="8:8" x14ac:dyDescent="0.2">
      <c r="H6820">
        <v>0</v>
      </c>
    </row>
    <row r="6821" spans="8:8" x14ac:dyDescent="0.2">
      <c r="H6821">
        <v>0</v>
      </c>
    </row>
    <row r="6822" spans="8:8" x14ac:dyDescent="0.2">
      <c r="H6822">
        <v>0</v>
      </c>
    </row>
    <row r="6823" spans="8:8" x14ac:dyDescent="0.2">
      <c r="H6823">
        <v>0</v>
      </c>
    </row>
    <row r="6824" spans="8:8" x14ac:dyDescent="0.2">
      <c r="H6824">
        <v>0</v>
      </c>
    </row>
    <row r="6825" spans="8:8" x14ac:dyDescent="0.2">
      <c r="H6825">
        <v>0</v>
      </c>
    </row>
    <row r="6826" spans="8:8" x14ac:dyDescent="0.2">
      <c r="H6826">
        <v>0</v>
      </c>
    </row>
    <row r="6827" spans="8:8" x14ac:dyDescent="0.2">
      <c r="H6827">
        <v>0</v>
      </c>
    </row>
    <row r="6828" spans="8:8" x14ac:dyDescent="0.2">
      <c r="H6828">
        <v>0</v>
      </c>
    </row>
    <row r="6829" spans="8:8" x14ac:dyDescent="0.2">
      <c r="H6829">
        <v>0</v>
      </c>
    </row>
    <row r="6830" spans="8:8" x14ac:dyDescent="0.2">
      <c r="H6830">
        <v>0</v>
      </c>
    </row>
    <row r="6831" spans="8:8" x14ac:dyDescent="0.2">
      <c r="H6831">
        <v>0</v>
      </c>
    </row>
    <row r="6832" spans="8:8" x14ac:dyDescent="0.2">
      <c r="H6832">
        <v>0</v>
      </c>
    </row>
    <row r="6833" spans="8:8" x14ac:dyDescent="0.2">
      <c r="H6833">
        <v>0</v>
      </c>
    </row>
    <row r="6834" spans="8:8" x14ac:dyDescent="0.2">
      <c r="H6834">
        <v>0</v>
      </c>
    </row>
    <row r="6835" spans="8:8" x14ac:dyDescent="0.2">
      <c r="H6835">
        <v>0</v>
      </c>
    </row>
    <row r="6836" spans="8:8" x14ac:dyDescent="0.2">
      <c r="H6836">
        <v>0</v>
      </c>
    </row>
    <row r="6837" spans="8:8" x14ac:dyDescent="0.2">
      <c r="H6837">
        <v>0</v>
      </c>
    </row>
    <row r="6838" spans="8:8" x14ac:dyDescent="0.2">
      <c r="H6838">
        <v>0</v>
      </c>
    </row>
    <row r="6839" spans="8:8" x14ac:dyDescent="0.2">
      <c r="H6839">
        <v>0</v>
      </c>
    </row>
    <row r="6840" spans="8:8" x14ac:dyDescent="0.2">
      <c r="H6840">
        <v>0</v>
      </c>
    </row>
    <row r="6841" spans="8:8" x14ac:dyDescent="0.2">
      <c r="H6841">
        <v>0</v>
      </c>
    </row>
    <row r="6842" spans="8:8" x14ac:dyDescent="0.2">
      <c r="H6842">
        <v>0</v>
      </c>
    </row>
    <row r="6843" spans="8:8" x14ac:dyDescent="0.2">
      <c r="H6843">
        <v>0</v>
      </c>
    </row>
    <row r="6844" spans="8:8" x14ac:dyDescent="0.2">
      <c r="H6844">
        <v>0</v>
      </c>
    </row>
    <row r="6845" spans="8:8" x14ac:dyDescent="0.2">
      <c r="H6845">
        <v>0</v>
      </c>
    </row>
    <row r="6846" spans="8:8" x14ac:dyDescent="0.2">
      <c r="H6846">
        <v>0</v>
      </c>
    </row>
    <row r="6847" spans="8:8" x14ac:dyDescent="0.2">
      <c r="H6847">
        <v>0</v>
      </c>
    </row>
    <row r="6848" spans="8:8" x14ac:dyDescent="0.2">
      <c r="H6848">
        <v>0</v>
      </c>
    </row>
    <row r="6849" spans="8:8" x14ac:dyDescent="0.2">
      <c r="H6849">
        <v>0</v>
      </c>
    </row>
    <row r="6850" spans="8:8" x14ac:dyDescent="0.2">
      <c r="H6850">
        <v>0</v>
      </c>
    </row>
    <row r="6851" spans="8:8" x14ac:dyDescent="0.2">
      <c r="H6851">
        <v>0</v>
      </c>
    </row>
    <row r="6852" spans="8:8" x14ac:dyDescent="0.2">
      <c r="H6852">
        <v>0</v>
      </c>
    </row>
    <row r="6853" spans="8:8" x14ac:dyDescent="0.2">
      <c r="H6853">
        <v>0</v>
      </c>
    </row>
    <row r="6854" spans="8:8" x14ac:dyDescent="0.2">
      <c r="H6854">
        <v>0</v>
      </c>
    </row>
    <row r="6855" spans="8:8" x14ac:dyDescent="0.2">
      <c r="H6855">
        <v>0</v>
      </c>
    </row>
    <row r="6856" spans="8:8" x14ac:dyDescent="0.2">
      <c r="H6856">
        <v>0</v>
      </c>
    </row>
    <row r="6857" spans="8:8" x14ac:dyDescent="0.2">
      <c r="H6857">
        <v>0</v>
      </c>
    </row>
    <row r="6858" spans="8:8" x14ac:dyDescent="0.2">
      <c r="H6858">
        <v>0</v>
      </c>
    </row>
    <row r="6859" spans="8:8" x14ac:dyDescent="0.2">
      <c r="H6859">
        <v>0</v>
      </c>
    </row>
    <row r="6860" spans="8:8" x14ac:dyDescent="0.2">
      <c r="H6860">
        <v>0</v>
      </c>
    </row>
    <row r="6861" spans="8:8" x14ac:dyDescent="0.2">
      <c r="H6861">
        <v>0</v>
      </c>
    </row>
    <row r="6862" spans="8:8" x14ac:dyDescent="0.2">
      <c r="H6862">
        <v>0</v>
      </c>
    </row>
    <row r="6863" spans="8:8" x14ac:dyDescent="0.2">
      <c r="H6863">
        <v>0</v>
      </c>
    </row>
    <row r="6864" spans="8:8" x14ac:dyDescent="0.2">
      <c r="H6864">
        <v>0</v>
      </c>
    </row>
    <row r="6865" spans="8:8" x14ac:dyDescent="0.2">
      <c r="H6865">
        <v>0</v>
      </c>
    </row>
    <row r="6866" spans="8:8" x14ac:dyDescent="0.2">
      <c r="H6866">
        <v>0</v>
      </c>
    </row>
    <row r="6867" spans="8:8" x14ac:dyDescent="0.2">
      <c r="H6867">
        <v>0</v>
      </c>
    </row>
    <row r="6868" spans="8:8" x14ac:dyDescent="0.2">
      <c r="H6868">
        <v>0</v>
      </c>
    </row>
    <row r="6869" spans="8:8" x14ac:dyDescent="0.2">
      <c r="H6869">
        <v>0</v>
      </c>
    </row>
    <row r="6870" spans="8:8" x14ac:dyDescent="0.2">
      <c r="H6870">
        <v>0</v>
      </c>
    </row>
    <row r="6871" spans="8:8" x14ac:dyDescent="0.2">
      <c r="H6871">
        <v>0</v>
      </c>
    </row>
    <row r="6872" spans="8:8" x14ac:dyDescent="0.2">
      <c r="H6872">
        <v>0</v>
      </c>
    </row>
    <row r="6873" spans="8:8" x14ac:dyDescent="0.2">
      <c r="H6873">
        <v>0</v>
      </c>
    </row>
    <row r="6874" spans="8:8" x14ac:dyDescent="0.2">
      <c r="H6874">
        <v>0</v>
      </c>
    </row>
    <row r="6875" spans="8:8" x14ac:dyDescent="0.2">
      <c r="H6875">
        <v>0</v>
      </c>
    </row>
    <row r="6876" spans="8:8" x14ac:dyDescent="0.2">
      <c r="H6876">
        <v>0</v>
      </c>
    </row>
    <row r="6877" spans="8:8" x14ac:dyDescent="0.2">
      <c r="H6877">
        <v>0</v>
      </c>
    </row>
    <row r="6878" spans="8:8" x14ac:dyDescent="0.2">
      <c r="H6878">
        <v>0</v>
      </c>
    </row>
    <row r="6879" spans="8:8" x14ac:dyDescent="0.2">
      <c r="H6879">
        <v>0</v>
      </c>
    </row>
    <row r="6880" spans="8:8" x14ac:dyDescent="0.2">
      <c r="H6880">
        <v>0</v>
      </c>
    </row>
    <row r="6881" spans="8:8" x14ac:dyDescent="0.2">
      <c r="H6881">
        <v>0</v>
      </c>
    </row>
    <row r="6882" spans="8:8" x14ac:dyDescent="0.2">
      <c r="H6882">
        <v>0</v>
      </c>
    </row>
    <row r="6883" spans="8:8" x14ac:dyDescent="0.2">
      <c r="H6883">
        <v>0</v>
      </c>
    </row>
    <row r="6884" spans="8:8" x14ac:dyDescent="0.2">
      <c r="H6884">
        <v>0</v>
      </c>
    </row>
    <row r="6885" spans="8:8" x14ac:dyDescent="0.2">
      <c r="H6885">
        <v>0</v>
      </c>
    </row>
    <row r="6886" spans="8:8" x14ac:dyDescent="0.2">
      <c r="H6886">
        <v>0</v>
      </c>
    </row>
    <row r="6887" spans="8:8" x14ac:dyDescent="0.2">
      <c r="H6887">
        <v>0</v>
      </c>
    </row>
    <row r="6888" spans="8:8" x14ac:dyDescent="0.2">
      <c r="H6888">
        <v>0</v>
      </c>
    </row>
    <row r="6889" spans="8:8" x14ac:dyDescent="0.2">
      <c r="H6889">
        <v>0</v>
      </c>
    </row>
    <row r="6890" spans="8:8" x14ac:dyDescent="0.2">
      <c r="H6890">
        <v>0</v>
      </c>
    </row>
    <row r="6891" spans="8:8" x14ac:dyDescent="0.2">
      <c r="H6891">
        <v>0</v>
      </c>
    </row>
    <row r="6892" spans="8:8" x14ac:dyDescent="0.2">
      <c r="H6892">
        <v>0</v>
      </c>
    </row>
    <row r="6893" spans="8:8" x14ac:dyDescent="0.2">
      <c r="H6893">
        <v>0</v>
      </c>
    </row>
    <row r="6894" spans="8:8" x14ac:dyDescent="0.2">
      <c r="H6894">
        <v>0</v>
      </c>
    </row>
    <row r="6895" spans="8:8" x14ac:dyDescent="0.2">
      <c r="H6895">
        <v>0</v>
      </c>
    </row>
    <row r="6896" spans="8:8" x14ac:dyDescent="0.2">
      <c r="H6896">
        <v>0</v>
      </c>
    </row>
    <row r="6897" spans="8:8" x14ac:dyDescent="0.2">
      <c r="H6897">
        <v>0</v>
      </c>
    </row>
    <row r="6898" spans="8:8" x14ac:dyDescent="0.2">
      <c r="H6898">
        <v>0</v>
      </c>
    </row>
    <row r="6899" spans="8:8" x14ac:dyDescent="0.2">
      <c r="H6899">
        <v>0</v>
      </c>
    </row>
    <row r="6900" spans="8:8" x14ac:dyDescent="0.2">
      <c r="H6900">
        <v>0</v>
      </c>
    </row>
    <row r="6901" spans="8:8" x14ac:dyDescent="0.2">
      <c r="H6901">
        <v>0</v>
      </c>
    </row>
    <row r="6902" spans="8:8" x14ac:dyDescent="0.2">
      <c r="H6902">
        <v>0</v>
      </c>
    </row>
    <row r="6903" spans="8:8" x14ac:dyDescent="0.2">
      <c r="H6903">
        <v>0</v>
      </c>
    </row>
    <row r="6904" spans="8:8" x14ac:dyDescent="0.2">
      <c r="H6904">
        <v>0</v>
      </c>
    </row>
    <row r="6905" spans="8:8" x14ac:dyDescent="0.2">
      <c r="H6905">
        <v>0</v>
      </c>
    </row>
    <row r="6906" spans="8:8" x14ac:dyDescent="0.2">
      <c r="H6906">
        <v>0</v>
      </c>
    </row>
    <row r="6907" spans="8:8" x14ac:dyDescent="0.2">
      <c r="H6907">
        <v>0</v>
      </c>
    </row>
    <row r="6908" spans="8:8" x14ac:dyDescent="0.2">
      <c r="H6908">
        <v>0</v>
      </c>
    </row>
    <row r="6909" spans="8:8" x14ac:dyDescent="0.2">
      <c r="H6909">
        <v>0</v>
      </c>
    </row>
    <row r="6910" spans="8:8" x14ac:dyDescent="0.2">
      <c r="H6910">
        <v>0</v>
      </c>
    </row>
    <row r="6911" spans="8:8" x14ac:dyDescent="0.2">
      <c r="H6911">
        <v>0</v>
      </c>
    </row>
    <row r="6912" spans="8:8" x14ac:dyDescent="0.2">
      <c r="H6912">
        <v>0</v>
      </c>
    </row>
    <row r="6913" spans="8:8" x14ac:dyDescent="0.2">
      <c r="H6913">
        <v>0</v>
      </c>
    </row>
    <row r="6914" spans="8:8" x14ac:dyDescent="0.2">
      <c r="H6914">
        <v>0</v>
      </c>
    </row>
    <row r="6915" spans="8:8" x14ac:dyDescent="0.2">
      <c r="H6915">
        <v>0</v>
      </c>
    </row>
    <row r="6916" spans="8:8" x14ac:dyDescent="0.2">
      <c r="H6916">
        <v>0</v>
      </c>
    </row>
    <row r="6917" spans="8:8" x14ac:dyDescent="0.2">
      <c r="H6917">
        <v>0</v>
      </c>
    </row>
    <row r="6918" spans="8:8" x14ac:dyDescent="0.2">
      <c r="H6918">
        <v>0</v>
      </c>
    </row>
    <row r="6919" spans="8:8" x14ac:dyDescent="0.2">
      <c r="H6919">
        <v>0</v>
      </c>
    </row>
    <row r="6920" spans="8:8" x14ac:dyDescent="0.2">
      <c r="H6920">
        <v>0</v>
      </c>
    </row>
    <row r="6921" spans="8:8" x14ac:dyDescent="0.2">
      <c r="H6921">
        <v>0</v>
      </c>
    </row>
    <row r="6922" spans="8:8" x14ac:dyDescent="0.2">
      <c r="H6922">
        <v>0</v>
      </c>
    </row>
    <row r="6923" spans="8:8" x14ac:dyDescent="0.2">
      <c r="H6923">
        <v>0</v>
      </c>
    </row>
    <row r="6924" spans="8:8" x14ac:dyDescent="0.2">
      <c r="H6924">
        <v>0</v>
      </c>
    </row>
    <row r="6925" spans="8:8" x14ac:dyDescent="0.2">
      <c r="H6925">
        <v>0</v>
      </c>
    </row>
    <row r="6926" spans="8:8" x14ac:dyDescent="0.2">
      <c r="H6926">
        <v>0</v>
      </c>
    </row>
    <row r="6927" spans="8:8" x14ac:dyDescent="0.2">
      <c r="H6927">
        <v>0</v>
      </c>
    </row>
    <row r="6928" spans="8:8" x14ac:dyDescent="0.2">
      <c r="H6928">
        <v>0</v>
      </c>
    </row>
    <row r="6929" spans="8:8" x14ac:dyDescent="0.2">
      <c r="H6929">
        <v>0</v>
      </c>
    </row>
    <row r="6930" spans="8:8" x14ac:dyDescent="0.2">
      <c r="H6930">
        <v>0</v>
      </c>
    </row>
    <row r="6931" spans="8:8" x14ac:dyDescent="0.2">
      <c r="H6931">
        <v>0</v>
      </c>
    </row>
    <row r="6932" spans="8:8" x14ac:dyDescent="0.2">
      <c r="H6932">
        <v>0</v>
      </c>
    </row>
    <row r="6933" spans="8:8" x14ac:dyDescent="0.2">
      <c r="H6933">
        <v>0</v>
      </c>
    </row>
    <row r="6934" spans="8:8" x14ac:dyDescent="0.2">
      <c r="H6934">
        <v>0</v>
      </c>
    </row>
    <row r="6935" spans="8:8" x14ac:dyDescent="0.2">
      <c r="H6935">
        <v>0</v>
      </c>
    </row>
    <row r="6936" spans="8:8" x14ac:dyDescent="0.2">
      <c r="H6936">
        <v>0</v>
      </c>
    </row>
    <row r="6937" spans="8:8" x14ac:dyDescent="0.2">
      <c r="H6937">
        <v>0</v>
      </c>
    </row>
    <row r="6938" spans="8:8" x14ac:dyDescent="0.2">
      <c r="H6938">
        <v>0</v>
      </c>
    </row>
    <row r="6939" spans="8:8" x14ac:dyDescent="0.2">
      <c r="H6939">
        <v>0</v>
      </c>
    </row>
    <row r="6940" spans="8:8" x14ac:dyDescent="0.2">
      <c r="H6940">
        <v>0</v>
      </c>
    </row>
    <row r="6941" spans="8:8" x14ac:dyDescent="0.2">
      <c r="H6941">
        <v>0</v>
      </c>
    </row>
    <row r="6942" spans="8:8" x14ac:dyDescent="0.2">
      <c r="H6942">
        <v>0</v>
      </c>
    </row>
    <row r="6943" spans="8:8" x14ac:dyDescent="0.2">
      <c r="H6943">
        <v>0</v>
      </c>
    </row>
    <row r="6944" spans="8:8" x14ac:dyDescent="0.2">
      <c r="H6944">
        <v>0</v>
      </c>
    </row>
    <row r="6945" spans="8:8" x14ac:dyDescent="0.2">
      <c r="H6945">
        <v>0</v>
      </c>
    </row>
    <row r="6946" spans="8:8" x14ac:dyDescent="0.2">
      <c r="H6946">
        <v>0</v>
      </c>
    </row>
    <row r="6947" spans="8:8" x14ac:dyDescent="0.2">
      <c r="H6947">
        <v>0</v>
      </c>
    </row>
    <row r="6948" spans="8:8" x14ac:dyDescent="0.2">
      <c r="H6948">
        <v>0</v>
      </c>
    </row>
    <row r="6949" spans="8:8" x14ac:dyDescent="0.2">
      <c r="H6949">
        <v>0</v>
      </c>
    </row>
    <row r="6950" spans="8:8" x14ac:dyDescent="0.2">
      <c r="H6950">
        <v>0</v>
      </c>
    </row>
    <row r="6951" spans="8:8" x14ac:dyDescent="0.2">
      <c r="H6951">
        <v>0</v>
      </c>
    </row>
    <row r="6952" spans="8:8" x14ac:dyDescent="0.2">
      <c r="H6952">
        <v>0</v>
      </c>
    </row>
    <row r="6953" spans="8:8" x14ac:dyDescent="0.2">
      <c r="H6953">
        <v>0</v>
      </c>
    </row>
    <row r="6954" spans="8:8" x14ac:dyDescent="0.2">
      <c r="H6954">
        <v>0</v>
      </c>
    </row>
    <row r="6955" spans="8:8" x14ac:dyDescent="0.2">
      <c r="H6955">
        <v>0</v>
      </c>
    </row>
    <row r="6956" spans="8:8" x14ac:dyDescent="0.2">
      <c r="H6956">
        <v>0</v>
      </c>
    </row>
    <row r="6957" spans="8:8" x14ac:dyDescent="0.2">
      <c r="H6957">
        <v>0</v>
      </c>
    </row>
    <row r="6958" spans="8:8" x14ac:dyDescent="0.2">
      <c r="H6958">
        <v>0</v>
      </c>
    </row>
    <row r="6959" spans="8:8" x14ac:dyDescent="0.2">
      <c r="H6959">
        <v>0</v>
      </c>
    </row>
    <row r="6960" spans="8:8" x14ac:dyDescent="0.2">
      <c r="H6960">
        <v>0</v>
      </c>
    </row>
    <row r="6961" spans="8:8" x14ac:dyDescent="0.2">
      <c r="H6961">
        <v>0</v>
      </c>
    </row>
    <row r="6962" spans="8:8" x14ac:dyDescent="0.2">
      <c r="H6962">
        <v>0</v>
      </c>
    </row>
    <row r="6963" spans="8:8" x14ac:dyDescent="0.2">
      <c r="H6963">
        <v>0</v>
      </c>
    </row>
    <row r="6964" spans="8:8" x14ac:dyDescent="0.2">
      <c r="H6964">
        <v>0</v>
      </c>
    </row>
    <row r="6965" spans="8:8" x14ac:dyDescent="0.2">
      <c r="H6965">
        <v>0</v>
      </c>
    </row>
    <row r="6966" spans="8:8" x14ac:dyDescent="0.2">
      <c r="H6966">
        <v>0</v>
      </c>
    </row>
    <row r="6967" spans="8:8" x14ac:dyDescent="0.2">
      <c r="H6967">
        <v>0</v>
      </c>
    </row>
    <row r="6968" spans="8:8" x14ac:dyDescent="0.2">
      <c r="H6968">
        <v>0</v>
      </c>
    </row>
    <row r="6969" spans="8:8" x14ac:dyDescent="0.2">
      <c r="H6969">
        <v>0</v>
      </c>
    </row>
    <row r="6970" spans="8:8" x14ac:dyDescent="0.2">
      <c r="H6970">
        <v>0</v>
      </c>
    </row>
    <row r="6971" spans="8:8" x14ac:dyDescent="0.2">
      <c r="H6971">
        <v>0</v>
      </c>
    </row>
    <row r="6972" spans="8:8" x14ac:dyDescent="0.2">
      <c r="H6972">
        <v>0</v>
      </c>
    </row>
    <row r="6973" spans="8:8" x14ac:dyDescent="0.2">
      <c r="H6973">
        <v>0</v>
      </c>
    </row>
    <row r="6974" spans="8:8" x14ac:dyDescent="0.2">
      <c r="H6974">
        <v>0</v>
      </c>
    </row>
    <row r="6975" spans="8:8" x14ac:dyDescent="0.2">
      <c r="H6975">
        <v>0</v>
      </c>
    </row>
    <row r="6976" spans="8:8" x14ac:dyDescent="0.2">
      <c r="H6976">
        <v>0</v>
      </c>
    </row>
    <row r="6977" spans="8:8" x14ac:dyDescent="0.2">
      <c r="H6977">
        <v>0</v>
      </c>
    </row>
    <row r="6978" spans="8:8" x14ac:dyDescent="0.2">
      <c r="H6978">
        <v>0</v>
      </c>
    </row>
    <row r="6979" spans="8:8" x14ac:dyDescent="0.2">
      <c r="H6979">
        <v>0</v>
      </c>
    </row>
    <row r="6980" spans="8:8" x14ac:dyDescent="0.2">
      <c r="H6980">
        <v>0</v>
      </c>
    </row>
    <row r="6981" spans="8:8" x14ac:dyDescent="0.2">
      <c r="H6981">
        <v>0</v>
      </c>
    </row>
    <row r="6982" spans="8:8" x14ac:dyDescent="0.2">
      <c r="H6982">
        <v>0</v>
      </c>
    </row>
    <row r="6983" spans="8:8" x14ac:dyDescent="0.2">
      <c r="H6983">
        <v>0</v>
      </c>
    </row>
    <row r="6984" spans="8:8" x14ac:dyDescent="0.2">
      <c r="H6984">
        <v>0</v>
      </c>
    </row>
    <row r="6985" spans="8:8" x14ac:dyDescent="0.2">
      <c r="H6985">
        <v>0</v>
      </c>
    </row>
    <row r="6986" spans="8:8" x14ac:dyDescent="0.2">
      <c r="H6986">
        <v>0</v>
      </c>
    </row>
    <row r="6987" spans="8:8" x14ac:dyDescent="0.2">
      <c r="H6987">
        <v>0</v>
      </c>
    </row>
    <row r="6988" spans="8:8" x14ac:dyDescent="0.2">
      <c r="H6988">
        <v>0</v>
      </c>
    </row>
    <row r="6989" spans="8:8" x14ac:dyDescent="0.2">
      <c r="H6989">
        <v>0</v>
      </c>
    </row>
    <row r="6990" spans="8:8" x14ac:dyDescent="0.2">
      <c r="H6990">
        <v>0</v>
      </c>
    </row>
    <row r="6991" spans="8:8" x14ac:dyDescent="0.2">
      <c r="H6991">
        <v>0</v>
      </c>
    </row>
    <row r="6992" spans="8:8" x14ac:dyDescent="0.2">
      <c r="H6992">
        <v>0</v>
      </c>
    </row>
    <row r="6993" spans="8:8" x14ac:dyDescent="0.2">
      <c r="H6993">
        <v>0</v>
      </c>
    </row>
    <row r="6994" spans="8:8" x14ac:dyDescent="0.2">
      <c r="H6994">
        <v>0</v>
      </c>
    </row>
    <row r="6995" spans="8:8" x14ac:dyDescent="0.2">
      <c r="H6995">
        <v>0</v>
      </c>
    </row>
    <row r="6996" spans="8:8" x14ac:dyDescent="0.2">
      <c r="H6996">
        <v>0</v>
      </c>
    </row>
    <row r="6997" spans="8:8" x14ac:dyDescent="0.2">
      <c r="H6997">
        <v>0</v>
      </c>
    </row>
    <row r="6998" spans="8:8" x14ac:dyDescent="0.2">
      <c r="H6998">
        <v>0</v>
      </c>
    </row>
    <row r="6999" spans="8:8" x14ac:dyDescent="0.2">
      <c r="H6999">
        <v>0</v>
      </c>
    </row>
    <row r="7000" spans="8:8" x14ac:dyDescent="0.2">
      <c r="H7000">
        <v>0</v>
      </c>
    </row>
    <row r="7001" spans="8:8" x14ac:dyDescent="0.2">
      <c r="H7001">
        <v>0</v>
      </c>
    </row>
    <row r="7002" spans="8:8" x14ac:dyDescent="0.2">
      <c r="H7002">
        <v>0</v>
      </c>
    </row>
    <row r="7003" spans="8:8" x14ac:dyDescent="0.2">
      <c r="H7003">
        <v>0</v>
      </c>
    </row>
    <row r="7004" spans="8:8" x14ac:dyDescent="0.2">
      <c r="H7004">
        <v>0</v>
      </c>
    </row>
    <row r="7005" spans="8:8" x14ac:dyDescent="0.2">
      <c r="H7005">
        <v>0</v>
      </c>
    </row>
    <row r="7006" spans="8:8" x14ac:dyDescent="0.2">
      <c r="H7006">
        <v>0</v>
      </c>
    </row>
    <row r="7007" spans="8:8" x14ac:dyDescent="0.2">
      <c r="H7007">
        <v>0</v>
      </c>
    </row>
    <row r="7008" spans="8:8" x14ac:dyDescent="0.2">
      <c r="H7008">
        <v>0</v>
      </c>
    </row>
    <row r="7009" spans="8:8" x14ac:dyDescent="0.2">
      <c r="H7009">
        <v>0</v>
      </c>
    </row>
    <row r="7010" spans="8:8" x14ac:dyDescent="0.2">
      <c r="H7010">
        <v>0</v>
      </c>
    </row>
    <row r="7011" spans="8:8" x14ac:dyDescent="0.2">
      <c r="H7011">
        <v>0</v>
      </c>
    </row>
    <row r="7012" spans="8:8" x14ac:dyDescent="0.2">
      <c r="H7012">
        <v>0</v>
      </c>
    </row>
    <row r="7013" spans="8:8" x14ac:dyDescent="0.2">
      <c r="H7013">
        <v>0</v>
      </c>
    </row>
    <row r="7014" spans="8:8" x14ac:dyDescent="0.2">
      <c r="H7014">
        <v>0</v>
      </c>
    </row>
    <row r="7015" spans="8:8" x14ac:dyDescent="0.2">
      <c r="H7015">
        <v>0</v>
      </c>
    </row>
    <row r="7016" spans="8:8" x14ac:dyDescent="0.2">
      <c r="H7016">
        <v>0</v>
      </c>
    </row>
    <row r="7017" spans="8:8" x14ac:dyDescent="0.2">
      <c r="H7017">
        <v>0</v>
      </c>
    </row>
    <row r="7018" spans="8:8" x14ac:dyDescent="0.2">
      <c r="H7018">
        <v>0</v>
      </c>
    </row>
    <row r="7019" spans="8:8" x14ac:dyDescent="0.2">
      <c r="H7019">
        <v>0</v>
      </c>
    </row>
    <row r="7020" spans="8:8" x14ac:dyDescent="0.2">
      <c r="H7020">
        <v>0</v>
      </c>
    </row>
    <row r="7021" spans="8:8" x14ac:dyDescent="0.2">
      <c r="H7021">
        <v>0</v>
      </c>
    </row>
    <row r="7022" spans="8:8" x14ac:dyDescent="0.2">
      <c r="H7022">
        <v>0</v>
      </c>
    </row>
    <row r="7023" spans="8:8" x14ac:dyDescent="0.2">
      <c r="H7023">
        <v>0</v>
      </c>
    </row>
    <row r="7024" spans="8:8" x14ac:dyDescent="0.2">
      <c r="H7024">
        <v>0</v>
      </c>
    </row>
    <row r="7025" spans="8:8" x14ac:dyDescent="0.2">
      <c r="H7025">
        <v>0</v>
      </c>
    </row>
    <row r="7026" spans="8:8" x14ac:dyDescent="0.2">
      <c r="H7026">
        <v>0</v>
      </c>
    </row>
    <row r="7027" spans="8:8" x14ac:dyDescent="0.2">
      <c r="H7027">
        <v>0</v>
      </c>
    </row>
    <row r="7028" spans="8:8" x14ac:dyDescent="0.2">
      <c r="H7028">
        <v>0</v>
      </c>
    </row>
    <row r="7029" spans="8:8" x14ac:dyDescent="0.2">
      <c r="H7029">
        <v>0</v>
      </c>
    </row>
    <row r="7030" spans="8:8" x14ac:dyDescent="0.2">
      <c r="H7030">
        <v>0</v>
      </c>
    </row>
    <row r="7031" spans="8:8" x14ac:dyDescent="0.2">
      <c r="H7031">
        <v>0</v>
      </c>
    </row>
    <row r="7032" spans="8:8" x14ac:dyDescent="0.2">
      <c r="H7032">
        <v>0</v>
      </c>
    </row>
    <row r="7033" spans="8:8" x14ac:dyDescent="0.2">
      <c r="H7033">
        <v>0</v>
      </c>
    </row>
    <row r="7034" spans="8:8" x14ac:dyDescent="0.2">
      <c r="H7034">
        <v>0</v>
      </c>
    </row>
    <row r="7035" spans="8:8" x14ac:dyDescent="0.2">
      <c r="H7035">
        <v>0</v>
      </c>
    </row>
    <row r="7036" spans="8:8" x14ac:dyDescent="0.2">
      <c r="H7036">
        <v>0</v>
      </c>
    </row>
    <row r="7037" spans="8:8" x14ac:dyDescent="0.2">
      <c r="H7037">
        <v>0</v>
      </c>
    </row>
    <row r="7038" spans="8:8" x14ac:dyDescent="0.2">
      <c r="H7038">
        <v>0</v>
      </c>
    </row>
    <row r="7039" spans="8:8" x14ac:dyDescent="0.2">
      <c r="H7039">
        <v>0</v>
      </c>
    </row>
    <row r="7040" spans="8:8" x14ac:dyDescent="0.2">
      <c r="H7040">
        <v>0</v>
      </c>
    </row>
    <row r="7041" spans="8:8" x14ac:dyDescent="0.2">
      <c r="H7041">
        <v>0</v>
      </c>
    </row>
    <row r="7042" spans="8:8" x14ac:dyDescent="0.2">
      <c r="H7042">
        <v>0</v>
      </c>
    </row>
    <row r="7043" spans="8:8" x14ac:dyDescent="0.2">
      <c r="H7043">
        <v>0</v>
      </c>
    </row>
    <row r="7044" spans="8:8" x14ac:dyDescent="0.2">
      <c r="H7044">
        <v>0</v>
      </c>
    </row>
    <row r="7045" spans="8:8" x14ac:dyDescent="0.2">
      <c r="H7045">
        <v>0</v>
      </c>
    </row>
    <row r="7046" spans="8:8" x14ac:dyDescent="0.2">
      <c r="H7046">
        <v>0</v>
      </c>
    </row>
    <row r="7047" spans="8:8" x14ac:dyDescent="0.2">
      <c r="H7047">
        <v>0</v>
      </c>
    </row>
    <row r="7048" spans="8:8" x14ac:dyDescent="0.2">
      <c r="H7048">
        <v>0</v>
      </c>
    </row>
    <row r="7049" spans="8:8" x14ac:dyDescent="0.2">
      <c r="H7049">
        <v>0</v>
      </c>
    </row>
    <row r="7050" spans="8:8" x14ac:dyDescent="0.2">
      <c r="H7050">
        <v>0</v>
      </c>
    </row>
    <row r="7051" spans="8:8" x14ac:dyDescent="0.2">
      <c r="H7051">
        <v>0</v>
      </c>
    </row>
    <row r="7052" spans="8:8" x14ac:dyDescent="0.2">
      <c r="H7052">
        <v>0</v>
      </c>
    </row>
    <row r="7053" spans="8:8" x14ac:dyDescent="0.2">
      <c r="H7053">
        <v>0</v>
      </c>
    </row>
    <row r="7054" spans="8:8" x14ac:dyDescent="0.2">
      <c r="H7054">
        <v>0</v>
      </c>
    </row>
    <row r="7055" spans="8:8" x14ac:dyDescent="0.2">
      <c r="H7055">
        <v>0</v>
      </c>
    </row>
    <row r="7056" spans="8:8" x14ac:dyDescent="0.2">
      <c r="H7056">
        <v>0</v>
      </c>
    </row>
    <row r="7057" spans="8:8" x14ac:dyDescent="0.2">
      <c r="H7057">
        <v>0</v>
      </c>
    </row>
    <row r="7058" spans="8:8" x14ac:dyDescent="0.2">
      <c r="H7058">
        <v>0</v>
      </c>
    </row>
    <row r="7059" spans="8:8" x14ac:dyDescent="0.2">
      <c r="H7059">
        <v>0</v>
      </c>
    </row>
    <row r="7060" spans="8:8" x14ac:dyDescent="0.2">
      <c r="H7060">
        <v>0</v>
      </c>
    </row>
    <row r="7061" spans="8:8" x14ac:dyDescent="0.2">
      <c r="H7061">
        <v>0</v>
      </c>
    </row>
    <row r="7062" spans="8:8" x14ac:dyDescent="0.2">
      <c r="H7062">
        <v>0</v>
      </c>
    </row>
    <row r="7063" spans="8:8" x14ac:dyDescent="0.2">
      <c r="H7063">
        <v>0</v>
      </c>
    </row>
    <row r="7064" spans="8:8" x14ac:dyDescent="0.2">
      <c r="H7064">
        <v>0</v>
      </c>
    </row>
    <row r="7065" spans="8:8" x14ac:dyDescent="0.2">
      <c r="H7065">
        <v>0</v>
      </c>
    </row>
    <row r="7066" spans="8:8" x14ac:dyDescent="0.2">
      <c r="H7066">
        <v>0</v>
      </c>
    </row>
    <row r="7067" spans="8:8" x14ac:dyDescent="0.2">
      <c r="H7067">
        <v>0</v>
      </c>
    </row>
    <row r="7068" spans="8:8" x14ac:dyDescent="0.2">
      <c r="H7068">
        <v>0</v>
      </c>
    </row>
    <row r="7069" spans="8:8" x14ac:dyDescent="0.2">
      <c r="H7069">
        <v>0</v>
      </c>
    </row>
    <row r="7070" spans="8:8" x14ac:dyDescent="0.2">
      <c r="H7070">
        <v>0</v>
      </c>
    </row>
    <row r="7071" spans="8:8" x14ac:dyDescent="0.2">
      <c r="H7071">
        <v>0</v>
      </c>
    </row>
    <row r="7072" spans="8:8" x14ac:dyDescent="0.2">
      <c r="H7072">
        <v>0</v>
      </c>
    </row>
    <row r="7073" spans="8:8" x14ac:dyDescent="0.2">
      <c r="H7073">
        <v>0</v>
      </c>
    </row>
    <row r="7074" spans="8:8" x14ac:dyDescent="0.2">
      <c r="H7074">
        <v>0</v>
      </c>
    </row>
    <row r="7075" spans="8:8" x14ac:dyDescent="0.2">
      <c r="H7075">
        <v>0</v>
      </c>
    </row>
    <row r="7076" spans="8:8" x14ac:dyDescent="0.2">
      <c r="H7076">
        <v>0</v>
      </c>
    </row>
    <row r="7077" spans="8:8" x14ac:dyDescent="0.2">
      <c r="H7077">
        <v>0</v>
      </c>
    </row>
    <row r="7078" spans="8:8" x14ac:dyDescent="0.2">
      <c r="H7078">
        <v>0</v>
      </c>
    </row>
    <row r="7079" spans="8:8" x14ac:dyDescent="0.2">
      <c r="H7079">
        <v>0</v>
      </c>
    </row>
    <row r="7080" spans="8:8" x14ac:dyDescent="0.2">
      <c r="H7080">
        <v>0</v>
      </c>
    </row>
    <row r="7081" spans="8:8" x14ac:dyDescent="0.2">
      <c r="H7081">
        <v>0</v>
      </c>
    </row>
    <row r="7082" spans="8:8" x14ac:dyDescent="0.2">
      <c r="H7082">
        <v>0</v>
      </c>
    </row>
    <row r="7083" spans="8:8" x14ac:dyDescent="0.2">
      <c r="H7083">
        <v>0</v>
      </c>
    </row>
    <row r="7084" spans="8:8" x14ac:dyDescent="0.2">
      <c r="H7084">
        <v>0</v>
      </c>
    </row>
    <row r="7085" spans="8:8" x14ac:dyDescent="0.2">
      <c r="H7085">
        <v>0</v>
      </c>
    </row>
    <row r="7086" spans="8:8" x14ac:dyDescent="0.2">
      <c r="H7086">
        <v>0</v>
      </c>
    </row>
    <row r="7087" spans="8:8" x14ac:dyDescent="0.2">
      <c r="H7087">
        <v>0</v>
      </c>
    </row>
    <row r="7088" spans="8:8" x14ac:dyDescent="0.2">
      <c r="H7088">
        <v>0</v>
      </c>
    </row>
    <row r="7089" spans="8:8" x14ac:dyDescent="0.2">
      <c r="H7089">
        <v>0</v>
      </c>
    </row>
    <row r="7090" spans="8:8" x14ac:dyDescent="0.2">
      <c r="H7090">
        <v>0</v>
      </c>
    </row>
    <row r="7091" spans="8:8" x14ac:dyDescent="0.2">
      <c r="H7091">
        <v>0</v>
      </c>
    </row>
    <row r="7092" spans="8:8" x14ac:dyDescent="0.2">
      <c r="H7092">
        <v>0</v>
      </c>
    </row>
    <row r="7093" spans="8:8" x14ac:dyDescent="0.2">
      <c r="H7093">
        <v>0</v>
      </c>
    </row>
    <row r="7094" spans="8:8" x14ac:dyDescent="0.2">
      <c r="H7094">
        <v>0</v>
      </c>
    </row>
    <row r="7095" spans="8:8" x14ac:dyDescent="0.2">
      <c r="H7095">
        <v>0</v>
      </c>
    </row>
    <row r="7096" spans="8:8" x14ac:dyDescent="0.2">
      <c r="H7096">
        <v>0</v>
      </c>
    </row>
    <row r="7097" spans="8:8" x14ac:dyDescent="0.2">
      <c r="H7097">
        <v>0</v>
      </c>
    </row>
    <row r="7098" spans="8:8" x14ac:dyDescent="0.2">
      <c r="H7098">
        <v>0</v>
      </c>
    </row>
    <row r="7099" spans="8:8" x14ac:dyDescent="0.2">
      <c r="H7099">
        <v>0</v>
      </c>
    </row>
    <row r="7100" spans="8:8" x14ac:dyDescent="0.2">
      <c r="H7100">
        <v>0</v>
      </c>
    </row>
    <row r="7101" spans="8:8" x14ac:dyDescent="0.2">
      <c r="H7101">
        <v>0</v>
      </c>
    </row>
    <row r="7102" spans="8:8" x14ac:dyDescent="0.2">
      <c r="H7102">
        <v>0</v>
      </c>
    </row>
    <row r="7103" spans="8:8" x14ac:dyDescent="0.2">
      <c r="H7103">
        <v>0</v>
      </c>
    </row>
    <row r="7104" spans="8:8" x14ac:dyDescent="0.2">
      <c r="H7104">
        <v>0</v>
      </c>
    </row>
    <row r="7105" spans="8:8" x14ac:dyDescent="0.2">
      <c r="H7105">
        <v>0</v>
      </c>
    </row>
    <row r="7106" spans="8:8" x14ac:dyDescent="0.2">
      <c r="H7106">
        <v>0</v>
      </c>
    </row>
    <row r="7107" spans="8:8" x14ac:dyDescent="0.2">
      <c r="H7107">
        <v>0</v>
      </c>
    </row>
    <row r="7108" spans="8:8" x14ac:dyDescent="0.2">
      <c r="H7108">
        <v>0</v>
      </c>
    </row>
    <row r="7109" spans="8:8" x14ac:dyDescent="0.2">
      <c r="H7109">
        <v>0</v>
      </c>
    </row>
    <row r="7110" spans="8:8" x14ac:dyDescent="0.2">
      <c r="H7110">
        <v>0</v>
      </c>
    </row>
    <row r="7111" spans="8:8" x14ac:dyDescent="0.2">
      <c r="H7111">
        <v>0</v>
      </c>
    </row>
    <row r="7112" spans="8:8" x14ac:dyDescent="0.2">
      <c r="H7112">
        <v>0</v>
      </c>
    </row>
    <row r="7113" spans="8:8" x14ac:dyDescent="0.2">
      <c r="H7113">
        <v>0</v>
      </c>
    </row>
    <row r="7114" spans="8:8" x14ac:dyDescent="0.2">
      <c r="H7114">
        <v>0</v>
      </c>
    </row>
    <row r="7115" spans="8:8" x14ac:dyDescent="0.2">
      <c r="H7115">
        <v>0</v>
      </c>
    </row>
    <row r="7116" spans="8:8" x14ac:dyDescent="0.2">
      <c r="H7116">
        <v>0</v>
      </c>
    </row>
    <row r="7117" spans="8:8" x14ac:dyDescent="0.2">
      <c r="H7117">
        <v>0</v>
      </c>
    </row>
    <row r="7118" spans="8:8" x14ac:dyDescent="0.2">
      <c r="H7118">
        <v>0</v>
      </c>
    </row>
    <row r="7119" spans="8:8" x14ac:dyDescent="0.2">
      <c r="H7119">
        <v>0</v>
      </c>
    </row>
    <row r="7120" spans="8:8" x14ac:dyDescent="0.2">
      <c r="H7120">
        <v>0</v>
      </c>
    </row>
    <row r="7121" spans="8:8" x14ac:dyDescent="0.2">
      <c r="H7121">
        <v>0</v>
      </c>
    </row>
    <row r="7122" spans="8:8" x14ac:dyDescent="0.2">
      <c r="H7122">
        <v>0</v>
      </c>
    </row>
    <row r="7123" spans="8:8" x14ac:dyDescent="0.2">
      <c r="H7123">
        <v>0</v>
      </c>
    </row>
    <row r="7124" spans="8:8" x14ac:dyDescent="0.2">
      <c r="H7124">
        <v>0</v>
      </c>
    </row>
    <row r="7125" spans="8:8" x14ac:dyDescent="0.2">
      <c r="H7125">
        <v>0</v>
      </c>
    </row>
    <row r="7126" spans="8:8" x14ac:dyDescent="0.2">
      <c r="H7126">
        <v>0</v>
      </c>
    </row>
    <row r="7127" spans="8:8" x14ac:dyDescent="0.2">
      <c r="H7127">
        <v>0</v>
      </c>
    </row>
    <row r="7128" spans="8:8" x14ac:dyDescent="0.2">
      <c r="H7128">
        <v>0</v>
      </c>
    </row>
    <row r="7129" spans="8:8" x14ac:dyDescent="0.2">
      <c r="H7129">
        <v>0</v>
      </c>
    </row>
    <row r="7130" spans="8:8" x14ac:dyDescent="0.2">
      <c r="H7130">
        <v>0</v>
      </c>
    </row>
    <row r="7131" spans="8:8" x14ac:dyDescent="0.2">
      <c r="H7131">
        <v>0</v>
      </c>
    </row>
    <row r="7132" spans="8:8" x14ac:dyDescent="0.2">
      <c r="H7132">
        <v>0</v>
      </c>
    </row>
    <row r="7133" spans="8:8" x14ac:dyDescent="0.2">
      <c r="H7133">
        <v>0</v>
      </c>
    </row>
    <row r="7134" spans="8:8" x14ac:dyDescent="0.2">
      <c r="H7134">
        <v>0</v>
      </c>
    </row>
    <row r="7135" spans="8:8" x14ac:dyDescent="0.2">
      <c r="H7135">
        <v>0</v>
      </c>
    </row>
    <row r="7136" spans="8:8" x14ac:dyDescent="0.2">
      <c r="H7136">
        <v>0</v>
      </c>
    </row>
    <row r="7137" spans="8:8" x14ac:dyDescent="0.2">
      <c r="H7137">
        <v>0</v>
      </c>
    </row>
    <row r="7138" spans="8:8" x14ac:dyDescent="0.2">
      <c r="H7138">
        <v>0</v>
      </c>
    </row>
    <row r="7139" spans="8:8" x14ac:dyDescent="0.2">
      <c r="H7139">
        <v>0</v>
      </c>
    </row>
    <row r="7140" spans="8:8" x14ac:dyDescent="0.2">
      <c r="H7140">
        <v>0</v>
      </c>
    </row>
    <row r="7141" spans="8:8" x14ac:dyDescent="0.2">
      <c r="H7141">
        <v>0</v>
      </c>
    </row>
    <row r="7142" spans="8:8" x14ac:dyDescent="0.2">
      <c r="H7142">
        <v>0</v>
      </c>
    </row>
    <row r="7143" spans="8:8" x14ac:dyDescent="0.2">
      <c r="H7143">
        <v>0</v>
      </c>
    </row>
    <row r="7144" spans="8:8" x14ac:dyDescent="0.2">
      <c r="H7144">
        <v>0</v>
      </c>
    </row>
    <row r="7145" spans="8:8" x14ac:dyDescent="0.2">
      <c r="H7145">
        <v>0</v>
      </c>
    </row>
    <row r="7146" spans="8:8" x14ac:dyDescent="0.2">
      <c r="H7146">
        <v>0</v>
      </c>
    </row>
    <row r="7147" spans="8:8" x14ac:dyDescent="0.2">
      <c r="H7147">
        <v>0</v>
      </c>
    </row>
    <row r="7148" spans="8:8" x14ac:dyDescent="0.2">
      <c r="H7148">
        <v>0</v>
      </c>
    </row>
    <row r="7149" spans="8:8" x14ac:dyDescent="0.2">
      <c r="H7149">
        <v>0</v>
      </c>
    </row>
    <row r="7150" spans="8:8" x14ac:dyDescent="0.2">
      <c r="H7150">
        <v>0</v>
      </c>
    </row>
    <row r="7151" spans="8:8" x14ac:dyDescent="0.2">
      <c r="H7151">
        <v>0</v>
      </c>
    </row>
    <row r="7152" spans="8:8" x14ac:dyDescent="0.2">
      <c r="H7152">
        <v>0</v>
      </c>
    </row>
    <row r="7153" spans="8:8" x14ac:dyDescent="0.2">
      <c r="H7153">
        <v>0</v>
      </c>
    </row>
    <row r="7154" spans="8:8" x14ac:dyDescent="0.2">
      <c r="H7154">
        <v>0</v>
      </c>
    </row>
    <row r="7155" spans="8:8" x14ac:dyDescent="0.2">
      <c r="H7155">
        <v>0</v>
      </c>
    </row>
    <row r="7156" spans="8:8" x14ac:dyDescent="0.2">
      <c r="H7156">
        <v>0</v>
      </c>
    </row>
    <row r="7157" spans="8:8" x14ac:dyDescent="0.2">
      <c r="H7157">
        <v>0</v>
      </c>
    </row>
    <row r="7158" spans="8:8" x14ac:dyDescent="0.2">
      <c r="H7158">
        <v>0</v>
      </c>
    </row>
    <row r="7159" spans="8:8" x14ac:dyDescent="0.2">
      <c r="H7159">
        <v>0</v>
      </c>
    </row>
    <row r="7160" spans="8:8" x14ac:dyDescent="0.2">
      <c r="H7160">
        <v>0</v>
      </c>
    </row>
    <row r="7161" spans="8:8" x14ac:dyDescent="0.2">
      <c r="H7161">
        <v>0</v>
      </c>
    </row>
    <row r="7162" spans="8:8" x14ac:dyDescent="0.2">
      <c r="H7162">
        <v>0</v>
      </c>
    </row>
    <row r="7163" spans="8:8" x14ac:dyDescent="0.2">
      <c r="H7163">
        <v>0</v>
      </c>
    </row>
    <row r="7164" spans="8:8" x14ac:dyDescent="0.2">
      <c r="H7164">
        <v>0</v>
      </c>
    </row>
    <row r="7165" spans="8:8" x14ac:dyDescent="0.2">
      <c r="H7165">
        <v>0</v>
      </c>
    </row>
    <row r="7166" spans="8:8" x14ac:dyDescent="0.2">
      <c r="H7166">
        <v>0</v>
      </c>
    </row>
    <row r="7167" spans="8:8" x14ac:dyDescent="0.2">
      <c r="H7167">
        <v>0</v>
      </c>
    </row>
    <row r="7168" spans="8:8" x14ac:dyDescent="0.2">
      <c r="H7168">
        <v>0</v>
      </c>
    </row>
    <row r="7169" spans="8:8" x14ac:dyDescent="0.2">
      <c r="H7169">
        <v>0</v>
      </c>
    </row>
    <row r="7170" spans="8:8" x14ac:dyDescent="0.2">
      <c r="H7170">
        <v>0</v>
      </c>
    </row>
    <row r="7171" spans="8:8" x14ac:dyDescent="0.2">
      <c r="H7171">
        <v>0</v>
      </c>
    </row>
    <row r="7172" spans="8:8" x14ac:dyDescent="0.2">
      <c r="H7172">
        <v>0</v>
      </c>
    </row>
    <row r="7173" spans="8:8" x14ac:dyDescent="0.2">
      <c r="H7173">
        <v>0</v>
      </c>
    </row>
    <row r="7174" spans="8:8" x14ac:dyDescent="0.2">
      <c r="H7174">
        <v>0</v>
      </c>
    </row>
    <row r="7175" spans="8:8" x14ac:dyDescent="0.2">
      <c r="H7175">
        <v>0</v>
      </c>
    </row>
    <row r="7176" spans="8:8" x14ac:dyDescent="0.2">
      <c r="H7176">
        <v>0</v>
      </c>
    </row>
    <row r="7177" spans="8:8" x14ac:dyDescent="0.2">
      <c r="H7177">
        <v>0</v>
      </c>
    </row>
    <row r="7178" spans="8:8" x14ac:dyDescent="0.2">
      <c r="H7178">
        <v>0</v>
      </c>
    </row>
    <row r="7179" spans="8:8" x14ac:dyDescent="0.2">
      <c r="H7179">
        <v>0</v>
      </c>
    </row>
    <row r="7180" spans="8:8" x14ac:dyDescent="0.2">
      <c r="H7180">
        <v>0</v>
      </c>
    </row>
    <row r="7181" spans="8:8" x14ac:dyDescent="0.2">
      <c r="H7181">
        <v>0</v>
      </c>
    </row>
    <row r="7182" spans="8:8" x14ac:dyDescent="0.2">
      <c r="H7182">
        <v>0</v>
      </c>
    </row>
    <row r="7183" spans="8:8" x14ac:dyDescent="0.2">
      <c r="H7183">
        <v>0</v>
      </c>
    </row>
    <row r="7184" spans="8:8" x14ac:dyDescent="0.2">
      <c r="H7184">
        <v>0</v>
      </c>
    </row>
    <row r="7185" spans="8:8" x14ac:dyDescent="0.2">
      <c r="H7185">
        <v>0</v>
      </c>
    </row>
    <row r="7186" spans="8:8" x14ac:dyDescent="0.2">
      <c r="H7186">
        <v>0</v>
      </c>
    </row>
    <row r="7187" spans="8:8" x14ac:dyDescent="0.2">
      <c r="H7187">
        <v>0</v>
      </c>
    </row>
    <row r="7188" spans="8:8" x14ac:dyDescent="0.2">
      <c r="H7188">
        <v>0</v>
      </c>
    </row>
    <row r="7189" spans="8:8" x14ac:dyDescent="0.2">
      <c r="H7189">
        <v>0</v>
      </c>
    </row>
    <row r="7190" spans="8:8" x14ac:dyDescent="0.2">
      <c r="H7190">
        <v>0</v>
      </c>
    </row>
    <row r="7191" spans="8:8" x14ac:dyDescent="0.2">
      <c r="H7191">
        <v>0</v>
      </c>
    </row>
    <row r="7192" spans="8:8" x14ac:dyDescent="0.2">
      <c r="H7192">
        <v>0</v>
      </c>
    </row>
    <row r="7193" spans="8:8" x14ac:dyDescent="0.2">
      <c r="H7193">
        <v>0</v>
      </c>
    </row>
    <row r="7194" spans="8:8" x14ac:dyDescent="0.2">
      <c r="H7194">
        <v>0</v>
      </c>
    </row>
    <row r="7195" spans="8:8" x14ac:dyDescent="0.2">
      <c r="H7195">
        <v>0</v>
      </c>
    </row>
    <row r="7196" spans="8:8" x14ac:dyDescent="0.2">
      <c r="H7196">
        <v>0</v>
      </c>
    </row>
    <row r="7197" spans="8:8" x14ac:dyDescent="0.2">
      <c r="H7197">
        <v>0</v>
      </c>
    </row>
    <row r="7198" spans="8:8" x14ac:dyDescent="0.2">
      <c r="H7198">
        <v>0</v>
      </c>
    </row>
    <row r="7199" spans="8:8" x14ac:dyDescent="0.2">
      <c r="H7199">
        <v>0</v>
      </c>
    </row>
    <row r="7200" spans="8:8" x14ac:dyDescent="0.2">
      <c r="H7200">
        <v>0</v>
      </c>
    </row>
    <row r="7201" spans="8:8" x14ac:dyDescent="0.2">
      <c r="H7201">
        <v>0</v>
      </c>
    </row>
    <row r="7202" spans="8:8" x14ac:dyDescent="0.2">
      <c r="H7202">
        <v>0</v>
      </c>
    </row>
    <row r="7203" spans="8:8" x14ac:dyDescent="0.2">
      <c r="H7203">
        <v>0</v>
      </c>
    </row>
    <row r="7204" spans="8:8" x14ac:dyDescent="0.2">
      <c r="H7204">
        <v>0</v>
      </c>
    </row>
    <row r="7205" spans="8:8" x14ac:dyDescent="0.2">
      <c r="H7205">
        <v>0</v>
      </c>
    </row>
    <row r="7206" spans="8:8" x14ac:dyDescent="0.2">
      <c r="H7206">
        <v>0</v>
      </c>
    </row>
    <row r="7207" spans="8:8" x14ac:dyDescent="0.2">
      <c r="H7207">
        <v>0</v>
      </c>
    </row>
    <row r="7208" spans="8:8" x14ac:dyDescent="0.2">
      <c r="H7208">
        <v>0</v>
      </c>
    </row>
    <row r="7209" spans="8:8" x14ac:dyDescent="0.2">
      <c r="H7209">
        <v>0</v>
      </c>
    </row>
    <row r="7210" spans="8:8" x14ac:dyDescent="0.2">
      <c r="H7210">
        <v>0</v>
      </c>
    </row>
    <row r="7211" spans="8:8" x14ac:dyDescent="0.2">
      <c r="H7211">
        <v>0</v>
      </c>
    </row>
    <row r="7212" spans="8:8" x14ac:dyDescent="0.2">
      <c r="H7212">
        <v>0</v>
      </c>
    </row>
    <row r="7213" spans="8:8" x14ac:dyDescent="0.2">
      <c r="H7213">
        <v>0</v>
      </c>
    </row>
    <row r="7214" spans="8:8" x14ac:dyDescent="0.2">
      <c r="H7214">
        <v>0</v>
      </c>
    </row>
    <row r="7215" spans="8:8" x14ac:dyDescent="0.2">
      <c r="H7215">
        <v>0</v>
      </c>
    </row>
    <row r="7216" spans="8:8" x14ac:dyDescent="0.2">
      <c r="H7216">
        <v>0</v>
      </c>
    </row>
    <row r="7217" spans="8:8" x14ac:dyDescent="0.2">
      <c r="H7217">
        <v>0</v>
      </c>
    </row>
    <row r="7218" spans="8:8" x14ac:dyDescent="0.2">
      <c r="H7218">
        <v>0</v>
      </c>
    </row>
    <row r="7219" spans="8:8" x14ac:dyDescent="0.2">
      <c r="H7219">
        <v>0</v>
      </c>
    </row>
    <row r="7220" spans="8:8" x14ac:dyDescent="0.2">
      <c r="H7220">
        <v>0</v>
      </c>
    </row>
    <row r="7221" spans="8:8" x14ac:dyDescent="0.2">
      <c r="H7221">
        <v>0</v>
      </c>
    </row>
    <row r="7222" spans="8:8" x14ac:dyDescent="0.2">
      <c r="H7222">
        <v>0</v>
      </c>
    </row>
    <row r="7223" spans="8:8" x14ac:dyDescent="0.2">
      <c r="H7223">
        <v>0</v>
      </c>
    </row>
    <row r="7224" spans="8:8" x14ac:dyDescent="0.2">
      <c r="H7224">
        <v>0</v>
      </c>
    </row>
    <row r="7225" spans="8:8" x14ac:dyDescent="0.2">
      <c r="H7225">
        <v>0</v>
      </c>
    </row>
    <row r="7226" spans="8:8" x14ac:dyDescent="0.2">
      <c r="H7226">
        <v>0</v>
      </c>
    </row>
    <row r="7227" spans="8:8" x14ac:dyDescent="0.2">
      <c r="H7227">
        <v>0</v>
      </c>
    </row>
    <row r="7228" spans="8:8" x14ac:dyDescent="0.2">
      <c r="H7228">
        <v>0</v>
      </c>
    </row>
    <row r="7229" spans="8:8" x14ac:dyDescent="0.2">
      <c r="H7229">
        <v>0</v>
      </c>
    </row>
    <row r="7230" spans="8:8" x14ac:dyDescent="0.2">
      <c r="H7230">
        <v>0</v>
      </c>
    </row>
    <row r="7231" spans="8:8" x14ac:dyDescent="0.2">
      <c r="H7231">
        <v>0</v>
      </c>
    </row>
    <row r="7232" spans="8:8" x14ac:dyDescent="0.2">
      <c r="H7232">
        <v>0</v>
      </c>
    </row>
    <row r="7233" spans="8:8" x14ac:dyDescent="0.2">
      <c r="H7233">
        <v>0</v>
      </c>
    </row>
    <row r="7234" spans="8:8" x14ac:dyDescent="0.2">
      <c r="H7234">
        <v>0</v>
      </c>
    </row>
    <row r="7235" spans="8:8" x14ac:dyDescent="0.2">
      <c r="H7235">
        <v>0</v>
      </c>
    </row>
    <row r="7236" spans="8:8" x14ac:dyDescent="0.2">
      <c r="H7236">
        <v>0</v>
      </c>
    </row>
    <row r="7237" spans="8:8" x14ac:dyDescent="0.2">
      <c r="H7237">
        <v>0</v>
      </c>
    </row>
    <row r="7238" spans="8:8" x14ac:dyDescent="0.2">
      <c r="H7238">
        <v>0</v>
      </c>
    </row>
    <row r="7239" spans="8:8" x14ac:dyDescent="0.2">
      <c r="H7239">
        <v>0</v>
      </c>
    </row>
    <row r="7240" spans="8:8" x14ac:dyDescent="0.2">
      <c r="H7240">
        <v>0</v>
      </c>
    </row>
    <row r="7241" spans="8:8" x14ac:dyDescent="0.2">
      <c r="H7241">
        <v>0</v>
      </c>
    </row>
    <row r="7242" spans="8:8" x14ac:dyDescent="0.2">
      <c r="H7242">
        <v>0</v>
      </c>
    </row>
    <row r="7243" spans="8:8" x14ac:dyDescent="0.2">
      <c r="H7243">
        <v>0</v>
      </c>
    </row>
    <row r="7244" spans="8:8" x14ac:dyDescent="0.2">
      <c r="H7244">
        <v>0</v>
      </c>
    </row>
    <row r="7245" spans="8:8" x14ac:dyDescent="0.2">
      <c r="H7245">
        <v>0</v>
      </c>
    </row>
    <row r="7246" spans="8:8" x14ac:dyDescent="0.2">
      <c r="H7246">
        <v>0</v>
      </c>
    </row>
    <row r="7247" spans="8:8" x14ac:dyDescent="0.2">
      <c r="H7247">
        <v>0</v>
      </c>
    </row>
    <row r="7248" spans="8:8" x14ac:dyDescent="0.2">
      <c r="H7248">
        <v>0</v>
      </c>
    </row>
    <row r="7249" spans="8:8" x14ac:dyDescent="0.2">
      <c r="H7249">
        <v>0</v>
      </c>
    </row>
    <row r="7250" spans="8:8" x14ac:dyDescent="0.2">
      <c r="H7250">
        <v>0</v>
      </c>
    </row>
    <row r="7251" spans="8:8" x14ac:dyDescent="0.2">
      <c r="H7251">
        <v>0</v>
      </c>
    </row>
    <row r="7252" spans="8:8" x14ac:dyDescent="0.2">
      <c r="H7252">
        <v>0</v>
      </c>
    </row>
    <row r="7253" spans="8:8" x14ac:dyDescent="0.2">
      <c r="H7253">
        <v>0</v>
      </c>
    </row>
    <row r="7254" spans="8:8" x14ac:dyDescent="0.2">
      <c r="H7254">
        <v>0</v>
      </c>
    </row>
    <row r="7255" spans="8:8" x14ac:dyDescent="0.2">
      <c r="H7255">
        <v>0</v>
      </c>
    </row>
    <row r="7256" spans="8:8" x14ac:dyDescent="0.2">
      <c r="H7256">
        <v>0</v>
      </c>
    </row>
    <row r="7257" spans="8:8" x14ac:dyDescent="0.2">
      <c r="H7257">
        <v>0</v>
      </c>
    </row>
    <row r="7258" spans="8:8" x14ac:dyDescent="0.2">
      <c r="H7258">
        <v>0</v>
      </c>
    </row>
    <row r="7259" spans="8:8" x14ac:dyDescent="0.2">
      <c r="H7259">
        <v>0</v>
      </c>
    </row>
    <row r="7260" spans="8:8" x14ac:dyDescent="0.2">
      <c r="H7260">
        <v>0</v>
      </c>
    </row>
    <row r="7261" spans="8:8" x14ac:dyDescent="0.2">
      <c r="H7261">
        <v>0</v>
      </c>
    </row>
    <row r="7262" spans="8:8" x14ac:dyDescent="0.2">
      <c r="H7262">
        <v>0</v>
      </c>
    </row>
    <row r="7263" spans="8:8" x14ac:dyDescent="0.2">
      <c r="H7263">
        <v>0</v>
      </c>
    </row>
    <row r="7264" spans="8:8" x14ac:dyDescent="0.2">
      <c r="H7264">
        <v>0</v>
      </c>
    </row>
    <row r="7265" spans="8:8" x14ac:dyDescent="0.2">
      <c r="H7265">
        <v>0</v>
      </c>
    </row>
    <row r="7266" spans="8:8" x14ac:dyDescent="0.2">
      <c r="H7266">
        <v>0</v>
      </c>
    </row>
    <row r="7267" spans="8:8" x14ac:dyDescent="0.2">
      <c r="H7267">
        <v>0</v>
      </c>
    </row>
    <row r="7268" spans="8:8" x14ac:dyDescent="0.2">
      <c r="H7268">
        <v>0</v>
      </c>
    </row>
    <row r="7269" spans="8:8" x14ac:dyDescent="0.2">
      <c r="H7269">
        <v>0</v>
      </c>
    </row>
    <row r="7270" spans="8:8" x14ac:dyDescent="0.2">
      <c r="H7270">
        <v>0</v>
      </c>
    </row>
    <row r="7271" spans="8:8" x14ac:dyDescent="0.2">
      <c r="H7271">
        <v>0</v>
      </c>
    </row>
    <row r="7272" spans="8:8" x14ac:dyDescent="0.2">
      <c r="H7272">
        <v>0</v>
      </c>
    </row>
    <row r="7273" spans="8:8" x14ac:dyDescent="0.2">
      <c r="H7273">
        <v>0</v>
      </c>
    </row>
    <row r="7274" spans="8:8" x14ac:dyDescent="0.2">
      <c r="H7274">
        <v>0</v>
      </c>
    </row>
    <row r="7275" spans="8:8" x14ac:dyDescent="0.2">
      <c r="H7275">
        <v>0</v>
      </c>
    </row>
    <row r="7276" spans="8:8" x14ac:dyDescent="0.2">
      <c r="H7276">
        <v>0</v>
      </c>
    </row>
    <row r="7277" spans="8:8" x14ac:dyDescent="0.2">
      <c r="H7277">
        <v>0</v>
      </c>
    </row>
    <row r="7278" spans="8:8" x14ac:dyDescent="0.2">
      <c r="H7278">
        <v>0</v>
      </c>
    </row>
    <row r="7279" spans="8:8" x14ac:dyDescent="0.2">
      <c r="H7279">
        <v>0</v>
      </c>
    </row>
    <row r="7280" spans="8:8" x14ac:dyDescent="0.2">
      <c r="H7280">
        <v>0</v>
      </c>
    </row>
    <row r="7281" spans="8:8" x14ac:dyDescent="0.2">
      <c r="H7281">
        <v>0</v>
      </c>
    </row>
    <row r="7282" spans="8:8" x14ac:dyDescent="0.2">
      <c r="H7282">
        <v>0</v>
      </c>
    </row>
    <row r="7283" spans="8:8" x14ac:dyDescent="0.2">
      <c r="H7283">
        <v>0</v>
      </c>
    </row>
    <row r="7284" spans="8:8" x14ac:dyDescent="0.2">
      <c r="H7284">
        <v>0</v>
      </c>
    </row>
    <row r="7285" spans="8:8" x14ac:dyDescent="0.2">
      <c r="H7285">
        <v>0</v>
      </c>
    </row>
    <row r="7286" spans="8:8" x14ac:dyDescent="0.2">
      <c r="H7286">
        <v>0</v>
      </c>
    </row>
    <row r="7287" spans="8:8" x14ac:dyDescent="0.2">
      <c r="H7287">
        <v>0</v>
      </c>
    </row>
    <row r="7288" spans="8:8" x14ac:dyDescent="0.2">
      <c r="H7288">
        <v>0</v>
      </c>
    </row>
    <row r="7289" spans="8:8" x14ac:dyDescent="0.2">
      <c r="H7289">
        <v>0</v>
      </c>
    </row>
    <row r="7290" spans="8:8" x14ac:dyDescent="0.2">
      <c r="H7290">
        <v>0</v>
      </c>
    </row>
    <row r="7291" spans="8:8" x14ac:dyDescent="0.2">
      <c r="H7291">
        <v>0</v>
      </c>
    </row>
    <row r="7292" spans="8:8" x14ac:dyDescent="0.2">
      <c r="H7292">
        <v>0</v>
      </c>
    </row>
    <row r="7293" spans="8:8" x14ac:dyDescent="0.2">
      <c r="H7293">
        <v>0</v>
      </c>
    </row>
    <row r="7294" spans="8:8" x14ac:dyDescent="0.2">
      <c r="H7294">
        <v>0</v>
      </c>
    </row>
    <row r="7295" spans="8:8" x14ac:dyDescent="0.2">
      <c r="H7295">
        <v>0</v>
      </c>
    </row>
    <row r="7296" spans="8:8" x14ac:dyDescent="0.2">
      <c r="H7296">
        <v>0</v>
      </c>
    </row>
    <row r="7297" spans="8:8" x14ac:dyDescent="0.2">
      <c r="H7297">
        <v>0</v>
      </c>
    </row>
    <row r="7298" spans="8:8" x14ac:dyDescent="0.2">
      <c r="H7298">
        <v>0</v>
      </c>
    </row>
    <row r="7299" spans="8:8" x14ac:dyDescent="0.2">
      <c r="H7299">
        <v>0</v>
      </c>
    </row>
    <row r="7300" spans="8:8" x14ac:dyDescent="0.2">
      <c r="H7300">
        <v>0</v>
      </c>
    </row>
    <row r="7301" spans="8:8" x14ac:dyDescent="0.2">
      <c r="H7301">
        <v>0</v>
      </c>
    </row>
    <row r="7302" spans="8:8" x14ac:dyDescent="0.2">
      <c r="H7302">
        <v>0</v>
      </c>
    </row>
    <row r="7303" spans="8:8" x14ac:dyDescent="0.2">
      <c r="H7303">
        <v>0</v>
      </c>
    </row>
    <row r="7304" spans="8:8" x14ac:dyDescent="0.2">
      <c r="H7304">
        <v>0</v>
      </c>
    </row>
    <row r="7305" spans="8:8" x14ac:dyDescent="0.2">
      <c r="H7305">
        <v>0</v>
      </c>
    </row>
    <row r="7306" spans="8:8" x14ac:dyDescent="0.2">
      <c r="H7306">
        <v>0</v>
      </c>
    </row>
    <row r="7307" spans="8:8" x14ac:dyDescent="0.2">
      <c r="H7307">
        <v>0</v>
      </c>
    </row>
    <row r="7308" spans="8:8" x14ac:dyDescent="0.2">
      <c r="H7308">
        <v>0</v>
      </c>
    </row>
    <row r="7309" spans="8:8" x14ac:dyDescent="0.2">
      <c r="H7309">
        <v>0</v>
      </c>
    </row>
    <row r="7310" spans="8:8" x14ac:dyDescent="0.2">
      <c r="H7310">
        <v>0</v>
      </c>
    </row>
    <row r="7311" spans="8:8" x14ac:dyDescent="0.2">
      <c r="H7311">
        <v>0</v>
      </c>
    </row>
    <row r="7312" spans="8:8" x14ac:dyDescent="0.2">
      <c r="H7312">
        <v>0</v>
      </c>
    </row>
    <row r="7313" spans="8:8" x14ac:dyDescent="0.2">
      <c r="H7313">
        <v>0</v>
      </c>
    </row>
    <row r="7314" spans="8:8" x14ac:dyDescent="0.2">
      <c r="H7314">
        <v>0</v>
      </c>
    </row>
    <row r="7315" spans="8:8" x14ac:dyDescent="0.2">
      <c r="H7315">
        <v>0</v>
      </c>
    </row>
    <row r="7316" spans="8:8" x14ac:dyDescent="0.2">
      <c r="H7316">
        <v>0</v>
      </c>
    </row>
    <row r="7317" spans="8:8" x14ac:dyDescent="0.2">
      <c r="H7317">
        <v>0</v>
      </c>
    </row>
    <row r="7318" spans="8:8" x14ac:dyDescent="0.2">
      <c r="H7318">
        <v>0</v>
      </c>
    </row>
    <row r="7319" spans="8:8" x14ac:dyDescent="0.2">
      <c r="H7319">
        <v>0</v>
      </c>
    </row>
    <row r="7320" spans="8:8" x14ac:dyDescent="0.2">
      <c r="H7320">
        <v>0</v>
      </c>
    </row>
    <row r="7321" spans="8:8" x14ac:dyDescent="0.2">
      <c r="H7321">
        <v>0</v>
      </c>
    </row>
    <row r="7322" spans="8:8" x14ac:dyDescent="0.2">
      <c r="H7322">
        <v>0</v>
      </c>
    </row>
    <row r="7323" spans="8:8" x14ac:dyDescent="0.2">
      <c r="H7323">
        <v>0</v>
      </c>
    </row>
    <row r="7324" spans="8:8" x14ac:dyDescent="0.2">
      <c r="H7324">
        <v>0</v>
      </c>
    </row>
    <row r="7325" spans="8:8" x14ac:dyDescent="0.2">
      <c r="H7325">
        <v>0</v>
      </c>
    </row>
    <row r="7326" spans="8:8" x14ac:dyDescent="0.2">
      <c r="H7326">
        <v>0</v>
      </c>
    </row>
    <row r="7327" spans="8:8" x14ac:dyDescent="0.2">
      <c r="H7327">
        <v>0</v>
      </c>
    </row>
    <row r="7328" spans="8:8" x14ac:dyDescent="0.2">
      <c r="H7328">
        <v>0</v>
      </c>
    </row>
    <row r="7329" spans="8:8" x14ac:dyDescent="0.2">
      <c r="H7329">
        <v>0</v>
      </c>
    </row>
    <row r="7330" spans="8:8" x14ac:dyDescent="0.2">
      <c r="H7330">
        <v>0</v>
      </c>
    </row>
    <row r="7331" spans="8:8" x14ac:dyDescent="0.2">
      <c r="H7331">
        <v>0</v>
      </c>
    </row>
    <row r="7332" spans="8:8" x14ac:dyDescent="0.2">
      <c r="H7332">
        <v>0</v>
      </c>
    </row>
    <row r="7333" spans="8:8" x14ac:dyDescent="0.2">
      <c r="H7333">
        <v>0</v>
      </c>
    </row>
    <row r="7334" spans="8:8" x14ac:dyDescent="0.2">
      <c r="H7334">
        <v>0</v>
      </c>
    </row>
    <row r="7335" spans="8:8" x14ac:dyDescent="0.2">
      <c r="H7335">
        <v>0</v>
      </c>
    </row>
    <row r="7336" spans="8:8" x14ac:dyDescent="0.2">
      <c r="H7336">
        <v>0</v>
      </c>
    </row>
    <row r="7337" spans="8:8" x14ac:dyDescent="0.2">
      <c r="H7337">
        <v>0</v>
      </c>
    </row>
    <row r="7338" spans="8:8" x14ac:dyDescent="0.2">
      <c r="H7338">
        <v>0</v>
      </c>
    </row>
    <row r="7339" spans="8:8" x14ac:dyDescent="0.2">
      <c r="H7339">
        <v>0</v>
      </c>
    </row>
    <row r="7340" spans="8:8" x14ac:dyDescent="0.2">
      <c r="H7340">
        <v>0</v>
      </c>
    </row>
    <row r="7341" spans="8:8" x14ac:dyDescent="0.2">
      <c r="H7341">
        <v>0</v>
      </c>
    </row>
    <row r="7342" spans="8:8" x14ac:dyDescent="0.2">
      <c r="H7342">
        <v>0</v>
      </c>
    </row>
    <row r="7343" spans="8:8" x14ac:dyDescent="0.2">
      <c r="H7343">
        <v>0</v>
      </c>
    </row>
    <row r="7344" spans="8:8" x14ac:dyDescent="0.2">
      <c r="H7344">
        <v>0</v>
      </c>
    </row>
    <row r="7345" spans="8:8" x14ac:dyDescent="0.2">
      <c r="H7345">
        <v>0</v>
      </c>
    </row>
    <row r="7346" spans="8:8" x14ac:dyDescent="0.2">
      <c r="H7346">
        <v>0</v>
      </c>
    </row>
    <row r="7347" spans="8:8" x14ac:dyDescent="0.2">
      <c r="H7347">
        <v>0</v>
      </c>
    </row>
    <row r="7348" spans="8:8" x14ac:dyDescent="0.2">
      <c r="H7348">
        <v>0</v>
      </c>
    </row>
    <row r="7349" spans="8:8" x14ac:dyDescent="0.2">
      <c r="H7349">
        <v>0</v>
      </c>
    </row>
    <row r="7350" spans="8:8" x14ac:dyDescent="0.2">
      <c r="H7350">
        <v>0</v>
      </c>
    </row>
    <row r="7351" spans="8:8" x14ac:dyDescent="0.2">
      <c r="H7351">
        <v>0</v>
      </c>
    </row>
    <row r="7352" spans="8:8" x14ac:dyDescent="0.2">
      <c r="H7352">
        <v>0</v>
      </c>
    </row>
    <row r="7353" spans="8:8" x14ac:dyDescent="0.2">
      <c r="H7353">
        <v>0</v>
      </c>
    </row>
    <row r="7354" spans="8:8" x14ac:dyDescent="0.2">
      <c r="H7354">
        <v>0</v>
      </c>
    </row>
    <row r="7355" spans="8:8" x14ac:dyDescent="0.2">
      <c r="H7355">
        <v>0</v>
      </c>
    </row>
    <row r="7356" spans="8:8" x14ac:dyDescent="0.2">
      <c r="H7356">
        <v>0</v>
      </c>
    </row>
    <row r="7357" spans="8:8" x14ac:dyDescent="0.2">
      <c r="H7357">
        <v>0</v>
      </c>
    </row>
    <row r="7358" spans="8:8" x14ac:dyDescent="0.2">
      <c r="H7358">
        <v>0</v>
      </c>
    </row>
    <row r="7359" spans="8:8" x14ac:dyDescent="0.2">
      <c r="H7359">
        <v>0</v>
      </c>
    </row>
    <row r="7360" spans="8:8" x14ac:dyDescent="0.2">
      <c r="H7360">
        <v>0</v>
      </c>
    </row>
    <row r="7361" spans="8:8" x14ac:dyDescent="0.2">
      <c r="H7361">
        <v>0</v>
      </c>
    </row>
    <row r="7362" spans="8:8" x14ac:dyDescent="0.2">
      <c r="H7362">
        <v>0</v>
      </c>
    </row>
    <row r="7363" spans="8:8" x14ac:dyDescent="0.2">
      <c r="H7363">
        <v>0</v>
      </c>
    </row>
    <row r="7364" spans="8:8" x14ac:dyDescent="0.2">
      <c r="H7364">
        <v>0</v>
      </c>
    </row>
    <row r="7365" spans="8:8" x14ac:dyDescent="0.2">
      <c r="H7365">
        <v>0</v>
      </c>
    </row>
    <row r="7366" spans="8:8" x14ac:dyDescent="0.2">
      <c r="H7366">
        <v>0</v>
      </c>
    </row>
    <row r="7367" spans="8:8" x14ac:dyDescent="0.2">
      <c r="H7367">
        <v>0</v>
      </c>
    </row>
    <row r="7368" spans="8:8" x14ac:dyDescent="0.2">
      <c r="H7368">
        <v>0</v>
      </c>
    </row>
    <row r="7369" spans="8:8" x14ac:dyDescent="0.2">
      <c r="H7369">
        <v>0</v>
      </c>
    </row>
    <row r="7370" spans="8:8" x14ac:dyDescent="0.2">
      <c r="H7370">
        <v>0</v>
      </c>
    </row>
    <row r="7371" spans="8:8" x14ac:dyDescent="0.2">
      <c r="H7371">
        <v>0</v>
      </c>
    </row>
    <row r="7372" spans="8:8" x14ac:dyDescent="0.2">
      <c r="H7372">
        <v>0</v>
      </c>
    </row>
    <row r="7373" spans="8:8" x14ac:dyDescent="0.2">
      <c r="H7373">
        <v>0</v>
      </c>
    </row>
    <row r="7374" spans="8:8" x14ac:dyDescent="0.2">
      <c r="H7374">
        <v>0</v>
      </c>
    </row>
    <row r="7375" spans="8:8" x14ac:dyDescent="0.2">
      <c r="H7375">
        <v>0</v>
      </c>
    </row>
    <row r="7376" spans="8:8" x14ac:dyDescent="0.2">
      <c r="H7376">
        <v>0</v>
      </c>
    </row>
    <row r="7377" spans="8:8" x14ac:dyDescent="0.2">
      <c r="H7377">
        <v>0</v>
      </c>
    </row>
    <row r="7378" spans="8:8" x14ac:dyDescent="0.2">
      <c r="H7378">
        <v>0</v>
      </c>
    </row>
    <row r="7379" spans="8:8" x14ac:dyDescent="0.2">
      <c r="H7379">
        <v>0</v>
      </c>
    </row>
    <row r="7380" spans="8:8" x14ac:dyDescent="0.2">
      <c r="H7380">
        <v>0</v>
      </c>
    </row>
    <row r="7381" spans="8:8" x14ac:dyDescent="0.2">
      <c r="H7381">
        <v>0</v>
      </c>
    </row>
    <row r="7382" spans="8:8" x14ac:dyDescent="0.2">
      <c r="H7382">
        <v>0</v>
      </c>
    </row>
    <row r="7383" spans="8:8" x14ac:dyDescent="0.2">
      <c r="H7383">
        <v>0</v>
      </c>
    </row>
    <row r="7384" spans="8:8" x14ac:dyDescent="0.2">
      <c r="H7384">
        <v>0</v>
      </c>
    </row>
    <row r="7385" spans="8:8" x14ac:dyDescent="0.2">
      <c r="H7385">
        <v>0</v>
      </c>
    </row>
    <row r="7386" spans="8:8" x14ac:dyDescent="0.2">
      <c r="H7386">
        <v>0</v>
      </c>
    </row>
    <row r="7387" spans="8:8" x14ac:dyDescent="0.2">
      <c r="H7387">
        <v>0</v>
      </c>
    </row>
    <row r="7388" spans="8:8" x14ac:dyDescent="0.2">
      <c r="H7388">
        <v>0</v>
      </c>
    </row>
    <row r="7389" spans="8:8" x14ac:dyDescent="0.2">
      <c r="H7389">
        <v>0</v>
      </c>
    </row>
    <row r="7390" spans="8:8" x14ac:dyDescent="0.2">
      <c r="H7390">
        <v>0</v>
      </c>
    </row>
    <row r="7391" spans="8:8" x14ac:dyDescent="0.2">
      <c r="H7391">
        <v>0</v>
      </c>
    </row>
    <row r="7392" spans="8:8" x14ac:dyDescent="0.2">
      <c r="H7392">
        <v>0</v>
      </c>
    </row>
    <row r="7393" spans="8:8" x14ac:dyDescent="0.2">
      <c r="H7393">
        <v>0</v>
      </c>
    </row>
    <row r="7394" spans="8:8" x14ac:dyDescent="0.2">
      <c r="H7394">
        <v>0</v>
      </c>
    </row>
    <row r="7395" spans="8:8" x14ac:dyDescent="0.2">
      <c r="H7395">
        <v>0</v>
      </c>
    </row>
    <row r="7396" spans="8:8" x14ac:dyDescent="0.2">
      <c r="H7396">
        <v>0</v>
      </c>
    </row>
    <row r="7397" spans="8:8" x14ac:dyDescent="0.2">
      <c r="H7397">
        <v>0</v>
      </c>
    </row>
    <row r="7398" spans="8:8" x14ac:dyDescent="0.2">
      <c r="H7398">
        <v>0</v>
      </c>
    </row>
    <row r="7399" spans="8:8" x14ac:dyDescent="0.2">
      <c r="H7399">
        <v>0</v>
      </c>
    </row>
    <row r="7400" spans="8:8" x14ac:dyDescent="0.2">
      <c r="H7400">
        <v>0</v>
      </c>
    </row>
    <row r="7401" spans="8:8" x14ac:dyDescent="0.2">
      <c r="H7401">
        <v>0</v>
      </c>
    </row>
    <row r="7402" spans="8:8" x14ac:dyDescent="0.2">
      <c r="H7402">
        <v>0</v>
      </c>
    </row>
    <row r="7403" spans="8:8" x14ac:dyDescent="0.2">
      <c r="H7403">
        <v>0</v>
      </c>
    </row>
    <row r="7404" spans="8:8" x14ac:dyDescent="0.2">
      <c r="H7404">
        <v>0</v>
      </c>
    </row>
    <row r="7405" spans="8:8" x14ac:dyDescent="0.2">
      <c r="H7405">
        <v>0</v>
      </c>
    </row>
    <row r="7406" spans="8:8" x14ac:dyDescent="0.2">
      <c r="H7406">
        <v>0</v>
      </c>
    </row>
    <row r="7407" spans="8:8" x14ac:dyDescent="0.2">
      <c r="H7407">
        <v>0</v>
      </c>
    </row>
    <row r="7408" spans="8:8" x14ac:dyDescent="0.2">
      <c r="H7408">
        <v>0</v>
      </c>
    </row>
    <row r="7409" spans="8:8" x14ac:dyDescent="0.2">
      <c r="H7409">
        <v>0</v>
      </c>
    </row>
    <row r="7410" spans="8:8" x14ac:dyDescent="0.2">
      <c r="H7410">
        <v>0</v>
      </c>
    </row>
    <row r="7411" spans="8:8" x14ac:dyDescent="0.2">
      <c r="H7411">
        <v>0</v>
      </c>
    </row>
    <row r="7412" spans="8:8" x14ac:dyDescent="0.2">
      <c r="H7412">
        <v>0</v>
      </c>
    </row>
    <row r="7413" spans="8:8" x14ac:dyDescent="0.2">
      <c r="H7413">
        <v>0</v>
      </c>
    </row>
    <row r="7414" spans="8:8" x14ac:dyDescent="0.2">
      <c r="H7414">
        <v>0</v>
      </c>
    </row>
    <row r="7415" spans="8:8" x14ac:dyDescent="0.2">
      <c r="H7415">
        <v>0</v>
      </c>
    </row>
    <row r="7416" spans="8:8" x14ac:dyDescent="0.2">
      <c r="H7416">
        <v>0</v>
      </c>
    </row>
    <row r="7417" spans="8:8" x14ac:dyDescent="0.2">
      <c r="H7417">
        <v>0</v>
      </c>
    </row>
    <row r="7418" spans="8:8" x14ac:dyDescent="0.2">
      <c r="H7418">
        <v>0</v>
      </c>
    </row>
    <row r="7419" spans="8:8" x14ac:dyDescent="0.2">
      <c r="H7419">
        <v>0</v>
      </c>
    </row>
    <row r="7420" spans="8:8" x14ac:dyDescent="0.2">
      <c r="H7420">
        <v>0</v>
      </c>
    </row>
    <row r="7421" spans="8:8" x14ac:dyDescent="0.2">
      <c r="H7421">
        <v>0</v>
      </c>
    </row>
    <row r="7422" spans="8:8" x14ac:dyDescent="0.2">
      <c r="H7422">
        <v>0</v>
      </c>
    </row>
    <row r="7423" spans="8:8" x14ac:dyDescent="0.2">
      <c r="H7423">
        <v>0</v>
      </c>
    </row>
    <row r="7424" spans="8:8" x14ac:dyDescent="0.2">
      <c r="H7424">
        <v>0</v>
      </c>
    </row>
    <row r="7425" spans="8:8" x14ac:dyDescent="0.2">
      <c r="H7425">
        <v>0</v>
      </c>
    </row>
    <row r="7426" spans="8:8" x14ac:dyDescent="0.2">
      <c r="H7426">
        <v>0</v>
      </c>
    </row>
    <row r="7427" spans="8:8" x14ac:dyDescent="0.2">
      <c r="H7427">
        <v>0</v>
      </c>
    </row>
    <row r="7428" spans="8:8" x14ac:dyDescent="0.2">
      <c r="H7428">
        <v>0</v>
      </c>
    </row>
    <row r="7429" spans="8:8" x14ac:dyDescent="0.2">
      <c r="H7429">
        <v>0</v>
      </c>
    </row>
    <row r="7430" spans="8:8" x14ac:dyDescent="0.2">
      <c r="H7430">
        <v>0</v>
      </c>
    </row>
    <row r="7431" spans="8:8" x14ac:dyDescent="0.2">
      <c r="H7431">
        <v>0</v>
      </c>
    </row>
    <row r="7432" spans="8:8" x14ac:dyDescent="0.2">
      <c r="H7432">
        <v>0</v>
      </c>
    </row>
    <row r="7433" spans="8:8" x14ac:dyDescent="0.2">
      <c r="H7433">
        <v>0</v>
      </c>
    </row>
    <row r="7434" spans="8:8" x14ac:dyDescent="0.2">
      <c r="H7434">
        <v>0</v>
      </c>
    </row>
    <row r="7435" spans="8:8" x14ac:dyDescent="0.2">
      <c r="H7435">
        <v>0</v>
      </c>
    </row>
    <row r="7436" spans="8:8" x14ac:dyDescent="0.2">
      <c r="H7436">
        <v>0</v>
      </c>
    </row>
    <row r="7437" spans="8:8" x14ac:dyDescent="0.2">
      <c r="H7437">
        <v>0</v>
      </c>
    </row>
    <row r="7438" spans="8:8" x14ac:dyDescent="0.2">
      <c r="H7438">
        <v>0</v>
      </c>
    </row>
    <row r="7439" spans="8:8" x14ac:dyDescent="0.2">
      <c r="H7439">
        <v>0</v>
      </c>
    </row>
    <row r="7440" spans="8:8" x14ac:dyDescent="0.2">
      <c r="H7440">
        <v>0</v>
      </c>
    </row>
    <row r="7441" spans="8:8" x14ac:dyDescent="0.2">
      <c r="H7441">
        <v>0</v>
      </c>
    </row>
    <row r="7442" spans="8:8" x14ac:dyDescent="0.2">
      <c r="H7442">
        <v>0</v>
      </c>
    </row>
    <row r="7443" spans="8:8" x14ac:dyDescent="0.2">
      <c r="H7443">
        <v>0</v>
      </c>
    </row>
    <row r="7444" spans="8:8" x14ac:dyDescent="0.2">
      <c r="H7444">
        <v>0</v>
      </c>
    </row>
    <row r="7445" spans="8:8" x14ac:dyDescent="0.2">
      <c r="H7445">
        <v>0</v>
      </c>
    </row>
    <row r="7446" spans="8:8" x14ac:dyDescent="0.2">
      <c r="H7446">
        <v>0</v>
      </c>
    </row>
    <row r="7447" spans="8:8" x14ac:dyDescent="0.2">
      <c r="H7447">
        <v>0</v>
      </c>
    </row>
    <row r="7448" spans="8:8" x14ac:dyDescent="0.2">
      <c r="H7448">
        <v>0</v>
      </c>
    </row>
    <row r="7449" spans="8:8" x14ac:dyDescent="0.2">
      <c r="H7449">
        <v>0</v>
      </c>
    </row>
    <row r="7450" spans="8:8" x14ac:dyDescent="0.2">
      <c r="H7450">
        <v>0</v>
      </c>
    </row>
    <row r="7451" spans="8:8" x14ac:dyDescent="0.2">
      <c r="H7451">
        <v>0</v>
      </c>
    </row>
    <row r="7452" spans="8:8" x14ac:dyDescent="0.2">
      <c r="H7452">
        <v>0</v>
      </c>
    </row>
    <row r="7453" spans="8:8" x14ac:dyDescent="0.2">
      <c r="H7453">
        <v>0</v>
      </c>
    </row>
    <row r="7454" spans="8:8" x14ac:dyDescent="0.2">
      <c r="H7454">
        <v>0</v>
      </c>
    </row>
    <row r="7455" spans="8:8" x14ac:dyDescent="0.2">
      <c r="H7455">
        <v>0</v>
      </c>
    </row>
    <row r="7456" spans="8:8" x14ac:dyDescent="0.2">
      <c r="H7456">
        <v>0</v>
      </c>
    </row>
    <row r="7457" spans="8:8" x14ac:dyDescent="0.2">
      <c r="H7457">
        <v>0</v>
      </c>
    </row>
    <row r="7458" spans="8:8" x14ac:dyDescent="0.2">
      <c r="H7458">
        <v>0</v>
      </c>
    </row>
    <row r="7459" spans="8:8" x14ac:dyDescent="0.2">
      <c r="H7459">
        <v>0</v>
      </c>
    </row>
    <row r="7460" spans="8:8" x14ac:dyDescent="0.2">
      <c r="H7460">
        <v>0</v>
      </c>
    </row>
    <row r="7461" spans="8:8" x14ac:dyDescent="0.2">
      <c r="H7461">
        <v>0</v>
      </c>
    </row>
    <row r="7462" spans="8:8" x14ac:dyDescent="0.2">
      <c r="H7462">
        <v>0</v>
      </c>
    </row>
    <row r="7463" spans="8:8" x14ac:dyDescent="0.2">
      <c r="H7463">
        <v>0</v>
      </c>
    </row>
    <row r="7464" spans="8:8" x14ac:dyDescent="0.2">
      <c r="H7464">
        <v>0</v>
      </c>
    </row>
    <row r="7465" spans="8:8" x14ac:dyDescent="0.2">
      <c r="H7465">
        <v>0</v>
      </c>
    </row>
    <row r="7466" spans="8:8" x14ac:dyDescent="0.2">
      <c r="H7466">
        <v>0</v>
      </c>
    </row>
    <row r="7467" spans="8:8" x14ac:dyDescent="0.2">
      <c r="H7467">
        <v>0</v>
      </c>
    </row>
    <row r="7468" spans="8:8" x14ac:dyDescent="0.2">
      <c r="H7468">
        <v>0</v>
      </c>
    </row>
    <row r="7469" spans="8:8" x14ac:dyDescent="0.2">
      <c r="H7469">
        <v>0</v>
      </c>
    </row>
    <row r="7470" spans="8:8" x14ac:dyDescent="0.2">
      <c r="H7470">
        <v>0</v>
      </c>
    </row>
    <row r="7471" spans="8:8" x14ac:dyDescent="0.2">
      <c r="H7471">
        <v>0</v>
      </c>
    </row>
    <row r="7472" spans="8:8" x14ac:dyDescent="0.2">
      <c r="H7472">
        <v>0</v>
      </c>
    </row>
    <row r="7473" spans="8:8" x14ac:dyDescent="0.2">
      <c r="H7473">
        <v>0</v>
      </c>
    </row>
    <row r="7474" spans="8:8" x14ac:dyDescent="0.2">
      <c r="H7474">
        <v>0</v>
      </c>
    </row>
    <row r="7475" spans="8:8" x14ac:dyDescent="0.2">
      <c r="H7475">
        <v>0</v>
      </c>
    </row>
    <row r="7476" spans="8:8" x14ac:dyDescent="0.2">
      <c r="H7476">
        <v>0</v>
      </c>
    </row>
    <row r="7477" spans="8:8" x14ac:dyDescent="0.2">
      <c r="H7477">
        <v>0</v>
      </c>
    </row>
    <row r="7478" spans="8:8" x14ac:dyDescent="0.2">
      <c r="H7478">
        <v>0</v>
      </c>
    </row>
    <row r="7479" spans="8:8" x14ac:dyDescent="0.2">
      <c r="H7479">
        <v>0</v>
      </c>
    </row>
    <row r="7480" spans="8:8" x14ac:dyDescent="0.2">
      <c r="H7480">
        <v>0</v>
      </c>
    </row>
    <row r="7481" spans="8:8" x14ac:dyDescent="0.2">
      <c r="H7481">
        <v>0</v>
      </c>
    </row>
    <row r="7482" spans="8:8" x14ac:dyDescent="0.2">
      <c r="H7482">
        <v>0</v>
      </c>
    </row>
    <row r="7483" spans="8:8" x14ac:dyDescent="0.2">
      <c r="H7483">
        <v>0</v>
      </c>
    </row>
    <row r="7484" spans="8:8" x14ac:dyDescent="0.2">
      <c r="H7484">
        <v>0</v>
      </c>
    </row>
    <row r="7485" spans="8:8" x14ac:dyDescent="0.2">
      <c r="H7485">
        <v>0</v>
      </c>
    </row>
    <row r="7486" spans="8:8" x14ac:dyDescent="0.2">
      <c r="H7486">
        <v>0</v>
      </c>
    </row>
    <row r="7487" spans="8:8" x14ac:dyDescent="0.2">
      <c r="H7487">
        <v>0</v>
      </c>
    </row>
    <row r="7488" spans="8:8" x14ac:dyDescent="0.2">
      <c r="H7488">
        <v>0</v>
      </c>
    </row>
    <row r="7489" spans="8:8" x14ac:dyDescent="0.2">
      <c r="H7489">
        <v>0</v>
      </c>
    </row>
    <row r="7490" spans="8:8" x14ac:dyDescent="0.2">
      <c r="H7490">
        <v>0</v>
      </c>
    </row>
    <row r="7491" spans="8:8" x14ac:dyDescent="0.2">
      <c r="H7491">
        <v>0</v>
      </c>
    </row>
    <row r="7492" spans="8:8" x14ac:dyDescent="0.2">
      <c r="H7492">
        <v>0</v>
      </c>
    </row>
    <row r="7493" spans="8:8" x14ac:dyDescent="0.2">
      <c r="H7493">
        <v>0</v>
      </c>
    </row>
    <row r="7494" spans="8:8" x14ac:dyDescent="0.2">
      <c r="H7494">
        <v>0</v>
      </c>
    </row>
    <row r="7495" spans="8:8" x14ac:dyDescent="0.2">
      <c r="H7495">
        <v>0</v>
      </c>
    </row>
    <row r="7496" spans="8:8" x14ac:dyDescent="0.2">
      <c r="H7496">
        <v>0</v>
      </c>
    </row>
    <row r="7497" spans="8:8" x14ac:dyDescent="0.2">
      <c r="H7497">
        <v>0</v>
      </c>
    </row>
    <row r="7498" spans="8:8" x14ac:dyDescent="0.2">
      <c r="H7498">
        <v>0</v>
      </c>
    </row>
    <row r="7499" spans="8:8" x14ac:dyDescent="0.2">
      <c r="H7499">
        <v>0</v>
      </c>
    </row>
    <row r="7500" spans="8:8" x14ac:dyDescent="0.2">
      <c r="H7500">
        <v>0</v>
      </c>
    </row>
    <row r="7501" spans="8:8" x14ac:dyDescent="0.2">
      <c r="H7501">
        <v>0</v>
      </c>
    </row>
    <row r="7502" spans="8:8" x14ac:dyDescent="0.2">
      <c r="H7502">
        <v>0</v>
      </c>
    </row>
    <row r="7503" spans="8:8" x14ac:dyDescent="0.2">
      <c r="H7503">
        <v>0</v>
      </c>
    </row>
    <row r="7504" spans="8:8" x14ac:dyDescent="0.2">
      <c r="H7504">
        <v>0</v>
      </c>
    </row>
    <row r="7505" spans="8:8" x14ac:dyDescent="0.2">
      <c r="H7505">
        <v>0</v>
      </c>
    </row>
    <row r="7506" spans="8:8" x14ac:dyDescent="0.2">
      <c r="H7506">
        <v>0</v>
      </c>
    </row>
    <row r="7507" spans="8:8" x14ac:dyDescent="0.2">
      <c r="H7507">
        <v>0</v>
      </c>
    </row>
    <row r="7508" spans="8:8" x14ac:dyDescent="0.2">
      <c r="H7508">
        <v>0</v>
      </c>
    </row>
    <row r="7509" spans="8:8" x14ac:dyDescent="0.2">
      <c r="H7509">
        <v>0</v>
      </c>
    </row>
    <row r="7510" spans="8:8" x14ac:dyDescent="0.2">
      <c r="H7510">
        <v>0</v>
      </c>
    </row>
    <row r="7511" spans="8:8" x14ac:dyDescent="0.2">
      <c r="H7511">
        <v>0</v>
      </c>
    </row>
    <row r="7512" spans="8:8" x14ac:dyDescent="0.2">
      <c r="H7512">
        <v>0</v>
      </c>
    </row>
    <row r="7513" spans="8:8" x14ac:dyDescent="0.2">
      <c r="H7513">
        <v>0</v>
      </c>
    </row>
    <row r="7514" spans="8:8" x14ac:dyDescent="0.2">
      <c r="H7514">
        <v>0</v>
      </c>
    </row>
    <row r="7515" spans="8:8" x14ac:dyDescent="0.2">
      <c r="H7515">
        <v>0</v>
      </c>
    </row>
    <row r="7516" spans="8:8" x14ac:dyDescent="0.2">
      <c r="H7516">
        <v>0</v>
      </c>
    </row>
    <row r="7517" spans="8:8" x14ac:dyDescent="0.2">
      <c r="H7517">
        <v>0</v>
      </c>
    </row>
    <row r="7518" spans="8:8" x14ac:dyDescent="0.2">
      <c r="H7518">
        <v>0</v>
      </c>
    </row>
    <row r="7519" spans="8:8" x14ac:dyDescent="0.2">
      <c r="H7519">
        <v>0</v>
      </c>
    </row>
    <row r="7520" spans="8:8" x14ac:dyDescent="0.2">
      <c r="H7520">
        <v>0</v>
      </c>
    </row>
    <row r="7521" spans="8:8" x14ac:dyDescent="0.2">
      <c r="H7521">
        <v>0</v>
      </c>
    </row>
    <row r="7522" spans="8:8" x14ac:dyDescent="0.2">
      <c r="H7522">
        <v>0</v>
      </c>
    </row>
    <row r="7523" spans="8:8" x14ac:dyDescent="0.2">
      <c r="H7523">
        <v>0</v>
      </c>
    </row>
    <row r="7524" spans="8:8" x14ac:dyDescent="0.2">
      <c r="H7524">
        <v>0</v>
      </c>
    </row>
    <row r="7525" spans="8:8" x14ac:dyDescent="0.2">
      <c r="H7525">
        <v>0</v>
      </c>
    </row>
    <row r="7526" spans="8:8" x14ac:dyDescent="0.2">
      <c r="H7526">
        <v>0</v>
      </c>
    </row>
    <row r="7527" spans="8:8" x14ac:dyDescent="0.2">
      <c r="H7527">
        <v>0</v>
      </c>
    </row>
    <row r="7528" spans="8:8" x14ac:dyDescent="0.2">
      <c r="H7528">
        <v>0</v>
      </c>
    </row>
    <row r="7529" spans="8:8" x14ac:dyDescent="0.2">
      <c r="H7529">
        <v>0</v>
      </c>
    </row>
    <row r="7530" spans="8:8" x14ac:dyDescent="0.2">
      <c r="H7530">
        <v>0</v>
      </c>
    </row>
    <row r="7531" spans="8:8" x14ac:dyDescent="0.2">
      <c r="H7531">
        <v>0</v>
      </c>
    </row>
    <row r="7532" spans="8:8" x14ac:dyDescent="0.2">
      <c r="H7532">
        <v>0</v>
      </c>
    </row>
    <row r="7533" spans="8:8" x14ac:dyDescent="0.2">
      <c r="H7533">
        <v>0</v>
      </c>
    </row>
    <row r="7534" spans="8:8" x14ac:dyDescent="0.2">
      <c r="H7534">
        <v>0</v>
      </c>
    </row>
    <row r="7535" spans="8:8" x14ac:dyDescent="0.2">
      <c r="H7535">
        <v>0</v>
      </c>
    </row>
    <row r="7536" spans="8:8" x14ac:dyDescent="0.2">
      <c r="H7536">
        <v>0</v>
      </c>
    </row>
    <row r="7537" spans="8:8" x14ac:dyDescent="0.2">
      <c r="H7537">
        <v>0</v>
      </c>
    </row>
    <row r="7538" spans="8:8" x14ac:dyDescent="0.2">
      <c r="H7538">
        <v>0</v>
      </c>
    </row>
    <row r="7539" spans="8:8" x14ac:dyDescent="0.2">
      <c r="H7539">
        <v>0</v>
      </c>
    </row>
    <row r="7540" spans="8:8" x14ac:dyDescent="0.2">
      <c r="H7540">
        <v>0</v>
      </c>
    </row>
    <row r="7541" spans="8:8" x14ac:dyDescent="0.2">
      <c r="H7541">
        <v>0</v>
      </c>
    </row>
    <row r="7542" spans="8:8" x14ac:dyDescent="0.2">
      <c r="H7542">
        <v>0</v>
      </c>
    </row>
    <row r="7543" spans="8:8" x14ac:dyDescent="0.2">
      <c r="H7543">
        <v>0</v>
      </c>
    </row>
    <row r="7544" spans="8:8" x14ac:dyDescent="0.2">
      <c r="H7544">
        <v>0</v>
      </c>
    </row>
    <row r="7545" spans="8:8" x14ac:dyDescent="0.2">
      <c r="H7545">
        <v>0</v>
      </c>
    </row>
    <row r="7546" spans="8:8" x14ac:dyDescent="0.2">
      <c r="H7546">
        <v>0</v>
      </c>
    </row>
    <row r="7547" spans="8:8" x14ac:dyDescent="0.2">
      <c r="H7547">
        <v>0</v>
      </c>
    </row>
    <row r="7548" spans="8:8" x14ac:dyDescent="0.2">
      <c r="H7548">
        <v>0</v>
      </c>
    </row>
    <row r="7549" spans="8:8" x14ac:dyDescent="0.2">
      <c r="H7549">
        <v>0</v>
      </c>
    </row>
    <row r="7550" spans="8:8" x14ac:dyDescent="0.2">
      <c r="H7550">
        <v>0</v>
      </c>
    </row>
    <row r="7551" spans="8:8" x14ac:dyDescent="0.2">
      <c r="H7551">
        <v>0</v>
      </c>
    </row>
    <row r="7552" spans="8:8" x14ac:dyDescent="0.2">
      <c r="H7552">
        <v>0</v>
      </c>
    </row>
    <row r="7553" spans="8:8" x14ac:dyDescent="0.2">
      <c r="H7553">
        <v>0</v>
      </c>
    </row>
    <row r="7554" spans="8:8" x14ac:dyDescent="0.2">
      <c r="H7554">
        <v>0</v>
      </c>
    </row>
    <row r="7555" spans="8:8" x14ac:dyDescent="0.2">
      <c r="H7555">
        <v>0</v>
      </c>
    </row>
    <row r="7556" spans="8:8" x14ac:dyDescent="0.2">
      <c r="H7556">
        <v>0</v>
      </c>
    </row>
    <row r="7557" spans="8:8" x14ac:dyDescent="0.2">
      <c r="H7557">
        <v>0</v>
      </c>
    </row>
    <row r="7558" spans="8:8" x14ac:dyDescent="0.2">
      <c r="H7558">
        <v>0</v>
      </c>
    </row>
    <row r="7559" spans="8:8" x14ac:dyDescent="0.2">
      <c r="H7559">
        <v>0</v>
      </c>
    </row>
    <row r="7560" spans="8:8" x14ac:dyDescent="0.2">
      <c r="H7560">
        <v>0</v>
      </c>
    </row>
    <row r="7561" spans="8:8" x14ac:dyDescent="0.2">
      <c r="H7561">
        <v>0</v>
      </c>
    </row>
    <row r="7562" spans="8:8" x14ac:dyDescent="0.2">
      <c r="H7562">
        <v>0</v>
      </c>
    </row>
    <row r="7563" spans="8:8" x14ac:dyDescent="0.2">
      <c r="H7563">
        <v>0</v>
      </c>
    </row>
    <row r="7564" spans="8:8" x14ac:dyDescent="0.2">
      <c r="H7564">
        <v>0</v>
      </c>
    </row>
    <row r="7565" spans="8:8" x14ac:dyDescent="0.2">
      <c r="H7565">
        <v>0</v>
      </c>
    </row>
    <row r="7566" spans="8:8" x14ac:dyDescent="0.2">
      <c r="H7566">
        <v>0</v>
      </c>
    </row>
    <row r="7567" spans="8:8" x14ac:dyDescent="0.2">
      <c r="H7567">
        <v>0</v>
      </c>
    </row>
    <row r="7568" spans="8:8" x14ac:dyDescent="0.2">
      <c r="H7568">
        <v>0</v>
      </c>
    </row>
    <row r="7569" spans="8:8" x14ac:dyDescent="0.2">
      <c r="H7569">
        <v>0</v>
      </c>
    </row>
    <row r="7570" spans="8:8" x14ac:dyDescent="0.2">
      <c r="H7570">
        <v>0</v>
      </c>
    </row>
    <row r="7571" spans="8:8" x14ac:dyDescent="0.2">
      <c r="H7571">
        <v>0</v>
      </c>
    </row>
    <row r="7572" spans="8:8" x14ac:dyDescent="0.2">
      <c r="H7572">
        <v>0</v>
      </c>
    </row>
    <row r="7573" spans="8:8" x14ac:dyDescent="0.2">
      <c r="H7573">
        <v>0</v>
      </c>
    </row>
    <row r="7574" spans="8:8" x14ac:dyDescent="0.2">
      <c r="H7574">
        <v>0</v>
      </c>
    </row>
    <row r="7575" spans="8:8" x14ac:dyDescent="0.2">
      <c r="H7575">
        <v>0</v>
      </c>
    </row>
    <row r="7576" spans="8:8" x14ac:dyDescent="0.2">
      <c r="H7576">
        <v>0</v>
      </c>
    </row>
    <row r="7577" spans="8:8" x14ac:dyDescent="0.2">
      <c r="H7577">
        <v>0</v>
      </c>
    </row>
    <row r="7578" spans="8:8" x14ac:dyDescent="0.2">
      <c r="H7578">
        <v>0</v>
      </c>
    </row>
    <row r="7579" spans="8:8" x14ac:dyDescent="0.2">
      <c r="H7579">
        <v>0</v>
      </c>
    </row>
    <row r="7580" spans="8:8" x14ac:dyDescent="0.2">
      <c r="H7580">
        <v>0</v>
      </c>
    </row>
    <row r="7581" spans="8:8" x14ac:dyDescent="0.2">
      <c r="H7581">
        <v>0</v>
      </c>
    </row>
    <row r="7582" spans="8:8" x14ac:dyDescent="0.2">
      <c r="H7582">
        <v>0</v>
      </c>
    </row>
    <row r="7583" spans="8:8" x14ac:dyDescent="0.2">
      <c r="H7583">
        <v>0</v>
      </c>
    </row>
    <row r="7584" spans="8:8" x14ac:dyDescent="0.2">
      <c r="H7584">
        <v>0</v>
      </c>
    </row>
    <row r="7585" spans="8:8" x14ac:dyDescent="0.2">
      <c r="H7585">
        <v>0</v>
      </c>
    </row>
    <row r="7586" spans="8:8" x14ac:dyDescent="0.2">
      <c r="H7586">
        <v>0</v>
      </c>
    </row>
    <row r="7587" spans="8:8" x14ac:dyDescent="0.2">
      <c r="H7587">
        <v>0</v>
      </c>
    </row>
    <row r="7588" spans="8:8" x14ac:dyDescent="0.2">
      <c r="H7588">
        <v>0</v>
      </c>
    </row>
    <row r="7589" spans="8:8" x14ac:dyDescent="0.2">
      <c r="H7589">
        <v>0</v>
      </c>
    </row>
    <row r="7590" spans="8:8" x14ac:dyDescent="0.2">
      <c r="H7590">
        <v>0</v>
      </c>
    </row>
    <row r="7591" spans="8:8" x14ac:dyDescent="0.2">
      <c r="H7591">
        <v>0</v>
      </c>
    </row>
    <row r="7592" spans="8:8" x14ac:dyDescent="0.2">
      <c r="H7592">
        <v>0</v>
      </c>
    </row>
    <row r="7593" spans="8:8" x14ac:dyDescent="0.2">
      <c r="H7593">
        <v>0</v>
      </c>
    </row>
    <row r="7594" spans="8:8" x14ac:dyDescent="0.2">
      <c r="H7594">
        <v>0</v>
      </c>
    </row>
    <row r="7595" spans="8:8" x14ac:dyDescent="0.2">
      <c r="H7595">
        <v>0</v>
      </c>
    </row>
    <row r="7596" spans="8:8" x14ac:dyDescent="0.2">
      <c r="H7596">
        <v>0</v>
      </c>
    </row>
    <row r="7597" spans="8:8" x14ac:dyDescent="0.2">
      <c r="H7597">
        <v>0</v>
      </c>
    </row>
    <row r="7598" spans="8:8" x14ac:dyDescent="0.2">
      <c r="H7598">
        <v>0</v>
      </c>
    </row>
    <row r="7599" spans="8:8" x14ac:dyDescent="0.2">
      <c r="H7599">
        <v>0</v>
      </c>
    </row>
    <row r="7600" spans="8:8" x14ac:dyDescent="0.2">
      <c r="H7600">
        <v>0</v>
      </c>
    </row>
    <row r="7601" spans="8:8" x14ac:dyDescent="0.2">
      <c r="H7601">
        <v>0</v>
      </c>
    </row>
    <row r="7602" spans="8:8" x14ac:dyDescent="0.2">
      <c r="H7602">
        <v>0</v>
      </c>
    </row>
    <row r="7603" spans="8:8" x14ac:dyDescent="0.2">
      <c r="H7603">
        <v>0</v>
      </c>
    </row>
    <row r="7604" spans="8:8" x14ac:dyDescent="0.2">
      <c r="H7604">
        <v>0</v>
      </c>
    </row>
    <row r="7605" spans="8:8" x14ac:dyDescent="0.2">
      <c r="H7605">
        <v>0</v>
      </c>
    </row>
    <row r="7606" spans="8:8" x14ac:dyDescent="0.2">
      <c r="H7606">
        <v>0</v>
      </c>
    </row>
    <row r="7607" spans="8:8" x14ac:dyDescent="0.2">
      <c r="H7607">
        <v>0</v>
      </c>
    </row>
    <row r="7608" spans="8:8" x14ac:dyDescent="0.2">
      <c r="H7608">
        <v>0</v>
      </c>
    </row>
    <row r="7609" spans="8:8" x14ac:dyDescent="0.2">
      <c r="H7609">
        <v>0</v>
      </c>
    </row>
    <row r="7610" spans="8:8" x14ac:dyDescent="0.2">
      <c r="H7610">
        <v>0</v>
      </c>
    </row>
    <row r="7611" spans="8:8" x14ac:dyDescent="0.2">
      <c r="H7611">
        <v>0</v>
      </c>
    </row>
    <row r="7612" spans="8:8" x14ac:dyDescent="0.2">
      <c r="H7612">
        <v>0</v>
      </c>
    </row>
    <row r="7613" spans="8:8" x14ac:dyDescent="0.2">
      <c r="H7613">
        <v>0</v>
      </c>
    </row>
    <row r="7614" spans="8:8" x14ac:dyDescent="0.2">
      <c r="H7614">
        <v>0</v>
      </c>
    </row>
    <row r="7615" spans="8:8" x14ac:dyDescent="0.2">
      <c r="H7615">
        <v>0</v>
      </c>
    </row>
    <row r="7616" spans="8:8" x14ac:dyDescent="0.2">
      <c r="H7616">
        <v>0</v>
      </c>
    </row>
    <row r="7617" spans="8:8" x14ac:dyDescent="0.2">
      <c r="H7617">
        <v>0</v>
      </c>
    </row>
    <row r="7618" spans="8:8" x14ac:dyDescent="0.2">
      <c r="H7618">
        <v>0</v>
      </c>
    </row>
    <row r="7619" spans="8:8" x14ac:dyDescent="0.2">
      <c r="H7619">
        <v>0</v>
      </c>
    </row>
    <row r="7620" spans="8:8" x14ac:dyDescent="0.2">
      <c r="H7620">
        <v>0</v>
      </c>
    </row>
    <row r="7621" spans="8:8" x14ac:dyDescent="0.2">
      <c r="H7621">
        <v>0</v>
      </c>
    </row>
    <row r="7622" spans="8:8" x14ac:dyDescent="0.2">
      <c r="H7622">
        <v>0</v>
      </c>
    </row>
    <row r="7623" spans="8:8" x14ac:dyDescent="0.2">
      <c r="H7623">
        <v>0</v>
      </c>
    </row>
    <row r="7624" spans="8:8" x14ac:dyDescent="0.2">
      <c r="H7624">
        <v>0</v>
      </c>
    </row>
    <row r="7625" spans="8:8" x14ac:dyDescent="0.2">
      <c r="H7625">
        <v>0</v>
      </c>
    </row>
    <row r="7626" spans="8:8" x14ac:dyDescent="0.2">
      <c r="H7626">
        <v>0</v>
      </c>
    </row>
    <row r="7627" spans="8:8" x14ac:dyDescent="0.2">
      <c r="H7627">
        <v>0</v>
      </c>
    </row>
    <row r="7628" spans="8:8" x14ac:dyDescent="0.2">
      <c r="H7628">
        <v>0</v>
      </c>
    </row>
    <row r="7629" spans="8:8" x14ac:dyDescent="0.2">
      <c r="H7629">
        <v>0</v>
      </c>
    </row>
    <row r="7630" spans="8:8" x14ac:dyDescent="0.2">
      <c r="H7630">
        <v>0</v>
      </c>
    </row>
    <row r="7631" spans="8:8" x14ac:dyDescent="0.2">
      <c r="H7631">
        <v>0</v>
      </c>
    </row>
    <row r="7632" spans="8:8" x14ac:dyDescent="0.2">
      <c r="H7632">
        <v>0</v>
      </c>
    </row>
    <row r="7633" spans="8:8" x14ac:dyDescent="0.2">
      <c r="H7633">
        <v>0</v>
      </c>
    </row>
    <row r="7634" spans="8:8" x14ac:dyDescent="0.2">
      <c r="H7634">
        <v>0</v>
      </c>
    </row>
    <row r="7635" spans="8:8" x14ac:dyDescent="0.2">
      <c r="H7635">
        <v>0</v>
      </c>
    </row>
    <row r="7636" spans="8:8" x14ac:dyDescent="0.2">
      <c r="H7636">
        <v>0</v>
      </c>
    </row>
    <row r="7637" spans="8:8" x14ac:dyDescent="0.2">
      <c r="H7637">
        <v>0</v>
      </c>
    </row>
    <row r="7638" spans="8:8" x14ac:dyDescent="0.2">
      <c r="H7638">
        <v>0</v>
      </c>
    </row>
    <row r="7639" spans="8:8" x14ac:dyDescent="0.2">
      <c r="H7639">
        <v>0</v>
      </c>
    </row>
    <row r="7640" spans="8:8" x14ac:dyDescent="0.2">
      <c r="H7640">
        <v>0</v>
      </c>
    </row>
    <row r="7641" spans="8:8" x14ac:dyDescent="0.2">
      <c r="H7641">
        <v>0</v>
      </c>
    </row>
    <row r="7642" spans="8:8" x14ac:dyDescent="0.2">
      <c r="H7642">
        <v>0</v>
      </c>
    </row>
    <row r="7643" spans="8:8" x14ac:dyDescent="0.2">
      <c r="H7643">
        <v>0</v>
      </c>
    </row>
    <row r="7644" spans="8:8" x14ac:dyDescent="0.2">
      <c r="H7644">
        <v>0</v>
      </c>
    </row>
    <row r="7645" spans="8:8" x14ac:dyDescent="0.2">
      <c r="H7645">
        <v>0</v>
      </c>
    </row>
    <row r="7646" spans="8:8" x14ac:dyDescent="0.2">
      <c r="H7646">
        <v>0</v>
      </c>
    </row>
    <row r="7647" spans="8:8" x14ac:dyDescent="0.2">
      <c r="H7647">
        <v>0</v>
      </c>
    </row>
    <row r="7648" spans="8:8" x14ac:dyDescent="0.2">
      <c r="H7648">
        <v>0</v>
      </c>
    </row>
    <row r="7649" spans="8:8" x14ac:dyDescent="0.2">
      <c r="H7649">
        <v>0</v>
      </c>
    </row>
    <row r="7650" spans="8:8" x14ac:dyDescent="0.2">
      <c r="H7650">
        <v>0</v>
      </c>
    </row>
    <row r="7651" spans="8:8" x14ac:dyDescent="0.2">
      <c r="H7651">
        <v>0</v>
      </c>
    </row>
    <row r="7652" spans="8:8" x14ac:dyDescent="0.2">
      <c r="H7652">
        <v>0</v>
      </c>
    </row>
    <row r="7653" spans="8:8" x14ac:dyDescent="0.2">
      <c r="H7653">
        <v>0</v>
      </c>
    </row>
    <row r="7654" spans="8:8" x14ac:dyDescent="0.2">
      <c r="H7654">
        <v>0</v>
      </c>
    </row>
    <row r="7655" spans="8:8" x14ac:dyDescent="0.2">
      <c r="H7655">
        <v>0</v>
      </c>
    </row>
    <row r="7656" spans="8:8" x14ac:dyDescent="0.2">
      <c r="H7656">
        <v>0</v>
      </c>
    </row>
    <row r="7657" spans="8:8" x14ac:dyDescent="0.2">
      <c r="H7657">
        <v>0</v>
      </c>
    </row>
    <row r="7658" spans="8:8" x14ac:dyDescent="0.2">
      <c r="H7658">
        <v>0</v>
      </c>
    </row>
    <row r="7659" spans="8:8" x14ac:dyDescent="0.2">
      <c r="H7659">
        <v>0</v>
      </c>
    </row>
    <row r="7660" spans="8:8" x14ac:dyDescent="0.2">
      <c r="H7660">
        <v>0</v>
      </c>
    </row>
    <row r="7661" spans="8:8" x14ac:dyDescent="0.2">
      <c r="H7661">
        <v>0</v>
      </c>
    </row>
    <row r="7662" spans="8:8" x14ac:dyDescent="0.2">
      <c r="H7662">
        <v>0</v>
      </c>
    </row>
    <row r="7663" spans="8:8" x14ac:dyDescent="0.2">
      <c r="H7663">
        <v>0</v>
      </c>
    </row>
    <row r="7664" spans="8:8" x14ac:dyDescent="0.2">
      <c r="H7664">
        <v>0</v>
      </c>
    </row>
    <row r="7665" spans="8:8" x14ac:dyDescent="0.2">
      <c r="H7665">
        <v>0</v>
      </c>
    </row>
    <row r="7666" spans="8:8" x14ac:dyDescent="0.2">
      <c r="H7666">
        <v>0</v>
      </c>
    </row>
    <row r="7667" spans="8:8" x14ac:dyDescent="0.2">
      <c r="H7667">
        <v>0</v>
      </c>
    </row>
    <row r="7668" spans="8:8" x14ac:dyDescent="0.2">
      <c r="H7668">
        <v>0</v>
      </c>
    </row>
    <row r="7669" spans="8:8" x14ac:dyDescent="0.2">
      <c r="H7669">
        <v>0</v>
      </c>
    </row>
    <row r="7670" spans="8:8" x14ac:dyDescent="0.2">
      <c r="H7670">
        <v>0</v>
      </c>
    </row>
    <row r="7671" spans="8:8" x14ac:dyDescent="0.2">
      <c r="H7671">
        <v>0</v>
      </c>
    </row>
    <row r="7672" spans="8:8" x14ac:dyDescent="0.2">
      <c r="H7672">
        <v>0</v>
      </c>
    </row>
    <row r="7673" spans="8:8" x14ac:dyDescent="0.2">
      <c r="H7673">
        <v>0</v>
      </c>
    </row>
    <row r="7674" spans="8:8" x14ac:dyDescent="0.2">
      <c r="H7674">
        <v>0</v>
      </c>
    </row>
    <row r="7675" spans="8:8" x14ac:dyDescent="0.2">
      <c r="H7675">
        <v>0</v>
      </c>
    </row>
    <row r="7676" spans="8:8" x14ac:dyDescent="0.2">
      <c r="H7676">
        <v>0</v>
      </c>
    </row>
    <row r="7677" spans="8:8" x14ac:dyDescent="0.2">
      <c r="H7677">
        <v>0</v>
      </c>
    </row>
    <row r="7678" spans="8:8" x14ac:dyDescent="0.2">
      <c r="H7678">
        <v>0</v>
      </c>
    </row>
    <row r="7679" spans="8:8" x14ac:dyDescent="0.2">
      <c r="H7679">
        <v>0</v>
      </c>
    </row>
    <row r="7680" spans="8:8" x14ac:dyDescent="0.2">
      <c r="H7680">
        <v>0</v>
      </c>
    </row>
    <row r="7681" spans="8:8" x14ac:dyDescent="0.2">
      <c r="H7681">
        <v>0</v>
      </c>
    </row>
    <row r="7682" spans="8:8" x14ac:dyDescent="0.2">
      <c r="H7682">
        <v>0</v>
      </c>
    </row>
    <row r="7683" spans="8:8" x14ac:dyDescent="0.2">
      <c r="H7683">
        <v>0</v>
      </c>
    </row>
    <row r="7684" spans="8:8" x14ac:dyDescent="0.2">
      <c r="H7684">
        <v>0</v>
      </c>
    </row>
    <row r="7685" spans="8:8" x14ac:dyDescent="0.2">
      <c r="H7685">
        <v>0</v>
      </c>
    </row>
    <row r="7686" spans="8:8" x14ac:dyDescent="0.2">
      <c r="H7686">
        <v>0</v>
      </c>
    </row>
    <row r="7687" spans="8:8" x14ac:dyDescent="0.2">
      <c r="H7687">
        <v>0</v>
      </c>
    </row>
    <row r="7688" spans="8:8" x14ac:dyDescent="0.2">
      <c r="H7688">
        <v>0</v>
      </c>
    </row>
    <row r="7689" spans="8:8" x14ac:dyDescent="0.2">
      <c r="H7689">
        <v>0</v>
      </c>
    </row>
    <row r="7690" spans="8:8" x14ac:dyDescent="0.2">
      <c r="H7690">
        <v>0</v>
      </c>
    </row>
    <row r="7691" spans="8:8" x14ac:dyDescent="0.2">
      <c r="H7691">
        <v>0</v>
      </c>
    </row>
    <row r="7692" spans="8:8" x14ac:dyDescent="0.2">
      <c r="H7692">
        <v>0</v>
      </c>
    </row>
    <row r="7693" spans="8:8" x14ac:dyDescent="0.2">
      <c r="H7693">
        <v>0</v>
      </c>
    </row>
    <row r="7694" spans="8:8" x14ac:dyDescent="0.2">
      <c r="H7694">
        <v>0</v>
      </c>
    </row>
    <row r="7695" spans="8:8" x14ac:dyDescent="0.2">
      <c r="H7695">
        <v>0</v>
      </c>
    </row>
    <row r="7696" spans="8:8" x14ac:dyDescent="0.2">
      <c r="H7696">
        <v>0</v>
      </c>
    </row>
    <row r="7697" spans="8:8" x14ac:dyDescent="0.2">
      <c r="H7697">
        <v>0</v>
      </c>
    </row>
    <row r="7698" spans="8:8" x14ac:dyDescent="0.2">
      <c r="H7698">
        <v>0</v>
      </c>
    </row>
    <row r="7699" spans="8:8" x14ac:dyDescent="0.2">
      <c r="H7699">
        <v>0</v>
      </c>
    </row>
    <row r="7700" spans="8:8" x14ac:dyDescent="0.2">
      <c r="H7700">
        <v>0</v>
      </c>
    </row>
    <row r="7701" spans="8:8" x14ac:dyDescent="0.2">
      <c r="H7701">
        <v>0</v>
      </c>
    </row>
    <row r="7702" spans="8:8" x14ac:dyDescent="0.2">
      <c r="H7702">
        <v>0</v>
      </c>
    </row>
    <row r="7703" spans="8:8" x14ac:dyDescent="0.2">
      <c r="H7703">
        <v>0</v>
      </c>
    </row>
    <row r="7704" spans="8:8" x14ac:dyDescent="0.2">
      <c r="H7704">
        <v>0</v>
      </c>
    </row>
    <row r="7705" spans="8:8" x14ac:dyDescent="0.2">
      <c r="H7705">
        <v>0</v>
      </c>
    </row>
    <row r="7706" spans="8:8" x14ac:dyDescent="0.2">
      <c r="H7706">
        <v>0</v>
      </c>
    </row>
    <row r="7707" spans="8:8" x14ac:dyDescent="0.2">
      <c r="H7707">
        <v>0</v>
      </c>
    </row>
    <row r="7708" spans="8:8" x14ac:dyDescent="0.2">
      <c r="H7708">
        <v>0</v>
      </c>
    </row>
    <row r="7709" spans="8:8" x14ac:dyDescent="0.2">
      <c r="H7709">
        <v>0</v>
      </c>
    </row>
    <row r="7710" spans="8:8" x14ac:dyDescent="0.2">
      <c r="H7710">
        <v>0</v>
      </c>
    </row>
    <row r="7711" spans="8:8" x14ac:dyDescent="0.2">
      <c r="H7711">
        <v>0</v>
      </c>
    </row>
    <row r="7712" spans="8:8" x14ac:dyDescent="0.2">
      <c r="H7712">
        <v>0</v>
      </c>
    </row>
    <row r="7713" spans="8:8" x14ac:dyDescent="0.2">
      <c r="H7713">
        <v>0</v>
      </c>
    </row>
    <row r="7714" spans="8:8" x14ac:dyDescent="0.2">
      <c r="H7714">
        <v>0</v>
      </c>
    </row>
    <row r="7715" spans="8:8" x14ac:dyDescent="0.2">
      <c r="H7715">
        <v>0</v>
      </c>
    </row>
    <row r="7716" spans="8:8" x14ac:dyDescent="0.2">
      <c r="H7716">
        <v>0</v>
      </c>
    </row>
    <row r="7717" spans="8:8" x14ac:dyDescent="0.2">
      <c r="H7717">
        <v>0</v>
      </c>
    </row>
    <row r="7718" spans="8:8" x14ac:dyDescent="0.2">
      <c r="H7718">
        <v>0</v>
      </c>
    </row>
    <row r="7719" spans="8:8" x14ac:dyDescent="0.2">
      <c r="H7719">
        <v>0</v>
      </c>
    </row>
    <row r="7720" spans="8:8" x14ac:dyDescent="0.2">
      <c r="H7720">
        <v>0</v>
      </c>
    </row>
    <row r="7721" spans="8:8" x14ac:dyDescent="0.2">
      <c r="H7721">
        <v>0</v>
      </c>
    </row>
    <row r="7722" spans="8:8" x14ac:dyDescent="0.2">
      <c r="H7722">
        <v>0</v>
      </c>
    </row>
    <row r="7723" spans="8:8" x14ac:dyDescent="0.2">
      <c r="H7723">
        <v>0</v>
      </c>
    </row>
    <row r="7724" spans="8:8" x14ac:dyDescent="0.2">
      <c r="H7724">
        <v>0</v>
      </c>
    </row>
    <row r="7725" spans="8:8" x14ac:dyDescent="0.2">
      <c r="H7725">
        <v>0</v>
      </c>
    </row>
    <row r="7726" spans="8:8" x14ac:dyDescent="0.2">
      <c r="H7726">
        <v>0</v>
      </c>
    </row>
    <row r="7727" spans="8:8" x14ac:dyDescent="0.2">
      <c r="H7727">
        <v>0</v>
      </c>
    </row>
    <row r="7728" spans="8:8" x14ac:dyDescent="0.2">
      <c r="H7728">
        <v>0</v>
      </c>
    </row>
    <row r="7729" spans="8:8" x14ac:dyDescent="0.2">
      <c r="H7729">
        <v>0</v>
      </c>
    </row>
    <row r="7730" spans="8:8" x14ac:dyDescent="0.2">
      <c r="H7730">
        <v>0</v>
      </c>
    </row>
    <row r="7731" spans="8:8" x14ac:dyDescent="0.2">
      <c r="H7731">
        <v>0</v>
      </c>
    </row>
    <row r="7732" spans="8:8" x14ac:dyDescent="0.2">
      <c r="H7732">
        <v>0</v>
      </c>
    </row>
    <row r="7733" spans="8:8" x14ac:dyDescent="0.2">
      <c r="H7733">
        <v>0</v>
      </c>
    </row>
    <row r="7734" spans="8:8" x14ac:dyDescent="0.2">
      <c r="H7734">
        <v>0</v>
      </c>
    </row>
    <row r="7735" spans="8:8" x14ac:dyDescent="0.2">
      <c r="H7735">
        <v>0</v>
      </c>
    </row>
    <row r="7736" spans="8:8" x14ac:dyDescent="0.2">
      <c r="H7736">
        <v>0</v>
      </c>
    </row>
    <row r="7737" spans="8:8" x14ac:dyDescent="0.2">
      <c r="H7737">
        <v>0</v>
      </c>
    </row>
    <row r="7738" spans="8:8" x14ac:dyDescent="0.2">
      <c r="H7738">
        <v>0</v>
      </c>
    </row>
    <row r="7739" spans="8:8" x14ac:dyDescent="0.2">
      <c r="H7739">
        <v>0</v>
      </c>
    </row>
    <row r="7740" spans="8:8" x14ac:dyDescent="0.2">
      <c r="H7740">
        <v>0</v>
      </c>
    </row>
    <row r="7741" spans="8:8" x14ac:dyDescent="0.2">
      <c r="H7741">
        <v>0</v>
      </c>
    </row>
    <row r="7742" spans="8:8" x14ac:dyDescent="0.2">
      <c r="H7742">
        <v>0</v>
      </c>
    </row>
    <row r="7743" spans="8:8" x14ac:dyDescent="0.2">
      <c r="H7743">
        <v>0</v>
      </c>
    </row>
    <row r="7744" spans="8:8" x14ac:dyDescent="0.2">
      <c r="H7744">
        <v>0</v>
      </c>
    </row>
    <row r="7745" spans="8:8" x14ac:dyDescent="0.2">
      <c r="H7745">
        <v>0</v>
      </c>
    </row>
    <row r="7746" spans="8:8" x14ac:dyDescent="0.2">
      <c r="H7746">
        <v>0</v>
      </c>
    </row>
    <row r="7747" spans="8:8" x14ac:dyDescent="0.2">
      <c r="H7747">
        <v>0</v>
      </c>
    </row>
    <row r="7748" spans="8:8" x14ac:dyDescent="0.2">
      <c r="H7748">
        <v>0</v>
      </c>
    </row>
    <row r="7749" spans="8:8" x14ac:dyDescent="0.2">
      <c r="H7749">
        <v>0</v>
      </c>
    </row>
    <row r="7750" spans="8:8" x14ac:dyDescent="0.2">
      <c r="H7750">
        <v>0</v>
      </c>
    </row>
    <row r="7751" spans="8:8" x14ac:dyDescent="0.2">
      <c r="H7751">
        <v>0</v>
      </c>
    </row>
    <row r="7752" spans="8:8" x14ac:dyDescent="0.2">
      <c r="H7752">
        <v>0</v>
      </c>
    </row>
    <row r="7753" spans="8:8" x14ac:dyDescent="0.2">
      <c r="H7753">
        <v>0</v>
      </c>
    </row>
    <row r="7754" spans="8:8" x14ac:dyDescent="0.2">
      <c r="H7754">
        <v>0</v>
      </c>
    </row>
    <row r="7755" spans="8:8" x14ac:dyDescent="0.2">
      <c r="H7755">
        <v>0</v>
      </c>
    </row>
    <row r="7756" spans="8:8" x14ac:dyDescent="0.2">
      <c r="H7756">
        <v>0</v>
      </c>
    </row>
    <row r="7757" spans="8:8" x14ac:dyDescent="0.2">
      <c r="H7757">
        <v>0</v>
      </c>
    </row>
    <row r="7758" spans="8:8" x14ac:dyDescent="0.2">
      <c r="H7758">
        <v>0</v>
      </c>
    </row>
    <row r="7759" spans="8:8" x14ac:dyDescent="0.2">
      <c r="H7759">
        <v>0</v>
      </c>
    </row>
    <row r="7760" spans="8:8" x14ac:dyDescent="0.2">
      <c r="H7760">
        <v>0</v>
      </c>
    </row>
    <row r="7761" spans="8:8" x14ac:dyDescent="0.2">
      <c r="H7761">
        <v>0</v>
      </c>
    </row>
    <row r="7762" spans="8:8" x14ac:dyDescent="0.2">
      <c r="H7762">
        <v>0</v>
      </c>
    </row>
    <row r="7763" spans="8:8" x14ac:dyDescent="0.2">
      <c r="H7763">
        <v>0</v>
      </c>
    </row>
    <row r="7764" spans="8:8" x14ac:dyDescent="0.2">
      <c r="H7764">
        <v>0</v>
      </c>
    </row>
    <row r="7765" spans="8:8" x14ac:dyDescent="0.2">
      <c r="H7765">
        <v>0</v>
      </c>
    </row>
    <row r="7766" spans="8:8" x14ac:dyDescent="0.2">
      <c r="H7766">
        <v>0</v>
      </c>
    </row>
    <row r="7767" spans="8:8" x14ac:dyDescent="0.2">
      <c r="H7767">
        <v>0</v>
      </c>
    </row>
    <row r="7768" spans="8:8" x14ac:dyDescent="0.2">
      <c r="H7768">
        <v>0</v>
      </c>
    </row>
    <row r="7769" spans="8:8" x14ac:dyDescent="0.2">
      <c r="H7769">
        <v>0</v>
      </c>
    </row>
    <row r="7770" spans="8:8" x14ac:dyDescent="0.2">
      <c r="H7770">
        <v>0</v>
      </c>
    </row>
    <row r="7771" spans="8:8" x14ac:dyDescent="0.2">
      <c r="H7771">
        <v>0</v>
      </c>
    </row>
    <row r="7772" spans="8:8" x14ac:dyDescent="0.2">
      <c r="H7772">
        <v>0</v>
      </c>
    </row>
    <row r="7773" spans="8:8" x14ac:dyDescent="0.2">
      <c r="H7773">
        <v>0</v>
      </c>
    </row>
    <row r="7774" spans="8:8" x14ac:dyDescent="0.2">
      <c r="H7774">
        <v>0</v>
      </c>
    </row>
    <row r="7775" spans="8:8" x14ac:dyDescent="0.2">
      <c r="H7775">
        <v>0</v>
      </c>
    </row>
    <row r="7776" spans="8:8" x14ac:dyDescent="0.2">
      <c r="H7776">
        <v>0</v>
      </c>
    </row>
    <row r="7777" spans="8:8" x14ac:dyDescent="0.2">
      <c r="H7777">
        <v>0</v>
      </c>
    </row>
    <row r="7778" spans="8:8" x14ac:dyDescent="0.2">
      <c r="H7778">
        <v>0</v>
      </c>
    </row>
    <row r="7779" spans="8:8" x14ac:dyDescent="0.2">
      <c r="H7779">
        <v>0</v>
      </c>
    </row>
    <row r="7780" spans="8:8" x14ac:dyDescent="0.2">
      <c r="H7780">
        <v>0</v>
      </c>
    </row>
    <row r="7781" spans="8:8" x14ac:dyDescent="0.2">
      <c r="H7781">
        <v>0</v>
      </c>
    </row>
    <row r="7782" spans="8:8" x14ac:dyDescent="0.2">
      <c r="H7782">
        <v>0</v>
      </c>
    </row>
    <row r="7783" spans="8:8" x14ac:dyDescent="0.2">
      <c r="H7783">
        <v>0</v>
      </c>
    </row>
    <row r="7784" spans="8:8" x14ac:dyDescent="0.2">
      <c r="H7784">
        <v>0</v>
      </c>
    </row>
    <row r="7785" spans="8:8" x14ac:dyDescent="0.2">
      <c r="H7785">
        <v>0</v>
      </c>
    </row>
    <row r="7786" spans="8:8" x14ac:dyDescent="0.2">
      <c r="H7786">
        <v>0</v>
      </c>
    </row>
    <row r="7787" spans="8:8" x14ac:dyDescent="0.2">
      <c r="H7787">
        <v>0</v>
      </c>
    </row>
    <row r="7788" spans="8:8" x14ac:dyDescent="0.2">
      <c r="H7788">
        <v>0</v>
      </c>
    </row>
    <row r="7789" spans="8:8" x14ac:dyDescent="0.2">
      <c r="H7789">
        <v>0</v>
      </c>
    </row>
    <row r="7790" spans="8:8" x14ac:dyDescent="0.2">
      <c r="H7790">
        <v>0</v>
      </c>
    </row>
    <row r="7791" spans="8:8" x14ac:dyDescent="0.2">
      <c r="H7791">
        <v>0</v>
      </c>
    </row>
    <row r="7792" spans="8:8" x14ac:dyDescent="0.2">
      <c r="H7792">
        <v>0</v>
      </c>
    </row>
    <row r="7793" spans="8:8" x14ac:dyDescent="0.2">
      <c r="H7793">
        <v>0</v>
      </c>
    </row>
    <row r="7794" spans="8:8" x14ac:dyDescent="0.2">
      <c r="H7794">
        <v>0</v>
      </c>
    </row>
    <row r="7795" spans="8:8" x14ac:dyDescent="0.2">
      <c r="H7795">
        <v>0</v>
      </c>
    </row>
    <row r="7796" spans="8:8" x14ac:dyDescent="0.2">
      <c r="H7796">
        <v>0</v>
      </c>
    </row>
    <row r="7797" spans="8:8" x14ac:dyDescent="0.2">
      <c r="H7797">
        <v>0</v>
      </c>
    </row>
    <row r="7798" spans="8:8" x14ac:dyDescent="0.2">
      <c r="H7798">
        <v>0</v>
      </c>
    </row>
    <row r="7799" spans="8:8" x14ac:dyDescent="0.2">
      <c r="H7799">
        <v>0</v>
      </c>
    </row>
    <row r="7800" spans="8:8" x14ac:dyDescent="0.2">
      <c r="H7800">
        <v>0</v>
      </c>
    </row>
    <row r="7801" spans="8:8" x14ac:dyDescent="0.2">
      <c r="H7801">
        <v>0</v>
      </c>
    </row>
    <row r="7802" spans="8:8" x14ac:dyDescent="0.2">
      <c r="H7802">
        <v>0</v>
      </c>
    </row>
    <row r="7803" spans="8:8" x14ac:dyDescent="0.2">
      <c r="H7803">
        <v>0</v>
      </c>
    </row>
    <row r="7804" spans="8:8" x14ac:dyDescent="0.2">
      <c r="H7804">
        <v>0</v>
      </c>
    </row>
    <row r="7805" spans="8:8" x14ac:dyDescent="0.2">
      <c r="H7805">
        <v>0</v>
      </c>
    </row>
    <row r="7806" spans="8:8" x14ac:dyDescent="0.2">
      <c r="H7806">
        <v>0</v>
      </c>
    </row>
    <row r="7807" spans="8:8" x14ac:dyDescent="0.2">
      <c r="H7807">
        <v>0</v>
      </c>
    </row>
    <row r="7808" spans="8:8" x14ac:dyDescent="0.2">
      <c r="H7808">
        <v>0</v>
      </c>
    </row>
    <row r="7809" spans="8:8" x14ac:dyDescent="0.2">
      <c r="H7809">
        <v>0</v>
      </c>
    </row>
    <row r="7810" spans="8:8" x14ac:dyDescent="0.2">
      <c r="H7810">
        <v>0</v>
      </c>
    </row>
    <row r="7811" spans="8:8" x14ac:dyDescent="0.2">
      <c r="H7811">
        <v>0</v>
      </c>
    </row>
    <row r="7812" spans="8:8" x14ac:dyDescent="0.2">
      <c r="H7812">
        <v>0</v>
      </c>
    </row>
    <row r="7813" spans="8:8" x14ac:dyDescent="0.2">
      <c r="H7813">
        <v>0</v>
      </c>
    </row>
    <row r="7814" spans="8:8" x14ac:dyDescent="0.2">
      <c r="H7814">
        <v>0</v>
      </c>
    </row>
    <row r="7815" spans="8:8" x14ac:dyDescent="0.2">
      <c r="H7815">
        <v>0</v>
      </c>
    </row>
    <row r="7816" spans="8:8" x14ac:dyDescent="0.2">
      <c r="H7816">
        <v>0</v>
      </c>
    </row>
    <row r="7817" spans="8:8" x14ac:dyDescent="0.2">
      <c r="H7817">
        <v>0</v>
      </c>
    </row>
    <row r="7818" spans="8:8" x14ac:dyDescent="0.2">
      <c r="H7818">
        <v>0</v>
      </c>
    </row>
    <row r="7819" spans="8:8" x14ac:dyDescent="0.2">
      <c r="H7819">
        <v>0</v>
      </c>
    </row>
    <row r="7820" spans="8:8" x14ac:dyDescent="0.2">
      <c r="H7820">
        <v>0</v>
      </c>
    </row>
    <row r="7821" spans="8:8" x14ac:dyDescent="0.2">
      <c r="H7821">
        <v>0</v>
      </c>
    </row>
    <row r="7822" spans="8:8" x14ac:dyDescent="0.2">
      <c r="H7822">
        <v>0</v>
      </c>
    </row>
    <row r="7823" spans="8:8" x14ac:dyDescent="0.2">
      <c r="H7823">
        <v>0</v>
      </c>
    </row>
    <row r="7824" spans="8:8" x14ac:dyDescent="0.2">
      <c r="H7824">
        <v>0</v>
      </c>
    </row>
    <row r="7825" spans="8:8" x14ac:dyDescent="0.2">
      <c r="H7825">
        <v>0</v>
      </c>
    </row>
    <row r="7826" spans="8:8" x14ac:dyDescent="0.2">
      <c r="H7826">
        <v>0</v>
      </c>
    </row>
    <row r="7827" spans="8:8" x14ac:dyDescent="0.2">
      <c r="H7827">
        <v>0</v>
      </c>
    </row>
    <row r="7828" spans="8:8" x14ac:dyDescent="0.2">
      <c r="H7828">
        <v>0</v>
      </c>
    </row>
    <row r="7829" spans="8:8" x14ac:dyDescent="0.2">
      <c r="H7829">
        <v>0</v>
      </c>
    </row>
    <row r="7830" spans="8:8" x14ac:dyDescent="0.2">
      <c r="H7830">
        <v>0</v>
      </c>
    </row>
    <row r="7831" spans="8:8" x14ac:dyDescent="0.2">
      <c r="H7831">
        <v>0</v>
      </c>
    </row>
    <row r="7832" spans="8:8" x14ac:dyDescent="0.2">
      <c r="H7832">
        <v>0</v>
      </c>
    </row>
    <row r="7833" spans="8:8" x14ac:dyDescent="0.2">
      <c r="H7833">
        <v>0</v>
      </c>
    </row>
    <row r="7834" spans="8:8" x14ac:dyDescent="0.2">
      <c r="H7834">
        <v>0</v>
      </c>
    </row>
    <row r="7835" spans="8:8" x14ac:dyDescent="0.2">
      <c r="H7835">
        <v>0</v>
      </c>
    </row>
    <row r="7836" spans="8:8" x14ac:dyDescent="0.2">
      <c r="H7836">
        <v>0</v>
      </c>
    </row>
    <row r="7837" spans="8:8" x14ac:dyDescent="0.2">
      <c r="H7837">
        <v>0</v>
      </c>
    </row>
    <row r="7838" spans="8:8" x14ac:dyDescent="0.2">
      <c r="H7838">
        <v>0</v>
      </c>
    </row>
    <row r="7839" spans="8:8" x14ac:dyDescent="0.2">
      <c r="H7839">
        <v>0</v>
      </c>
    </row>
    <row r="7840" spans="8:8" x14ac:dyDescent="0.2">
      <c r="H7840">
        <v>0</v>
      </c>
    </row>
    <row r="7841" spans="8:8" x14ac:dyDescent="0.2">
      <c r="H7841">
        <v>0</v>
      </c>
    </row>
    <row r="7842" spans="8:8" x14ac:dyDescent="0.2">
      <c r="H7842">
        <v>0</v>
      </c>
    </row>
    <row r="7843" spans="8:8" x14ac:dyDescent="0.2">
      <c r="H7843">
        <v>0</v>
      </c>
    </row>
    <row r="7844" spans="8:8" x14ac:dyDescent="0.2">
      <c r="H7844">
        <v>0</v>
      </c>
    </row>
    <row r="7845" spans="8:8" x14ac:dyDescent="0.2">
      <c r="H7845">
        <v>0</v>
      </c>
    </row>
    <row r="7846" spans="8:8" x14ac:dyDescent="0.2">
      <c r="H7846">
        <v>0</v>
      </c>
    </row>
    <row r="7847" spans="8:8" x14ac:dyDescent="0.2">
      <c r="H7847">
        <v>0</v>
      </c>
    </row>
    <row r="7848" spans="8:8" x14ac:dyDescent="0.2">
      <c r="H7848">
        <v>0</v>
      </c>
    </row>
    <row r="7849" spans="8:8" x14ac:dyDescent="0.2">
      <c r="H7849">
        <v>0</v>
      </c>
    </row>
    <row r="7850" spans="8:8" x14ac:dyDescent="0.2">
      <c r="H7850">
        <v>0</v>
      </c>
    </row>
    <row r="7851" spans="8:8" x14ac:dyDescent="0.2">
      <c r="H7851">
        <v>0</v>
      </c>
    </row>
    <row r="7852" spans="8:8" x14ac:dyDescent="0.2">
      <c r="H7852">
        <v>0</v>
      </c>
    </row>
    <row r="7853" spans="8:8" x14ac:dyDescent="0.2">
      <c r="H7853">
        <v>0</v>
      </c>
    </row>
    <row r="7854" spans="8:8" x14ac:dyDescent="0.2">
      <c r="H7854">
        <v>0</v>
      </c>
    </row>
    <row r="7855" spans="8:8" x14ac:dyDescent="0.2">
      <c r="H7855">
        <v>0</v>
      </c>
    </row>
    <row r="7856" spans="8:8" x14ac:dyDescent="0.2">
      <c r="H7856">
        <v>0</v>
      </c>
    </row>
    <row r="7857" spans="8:8" x14ac:dyDescent="0.2">
      <c r="H7857">
        <v>0</v>
      </c>
    </row>
    <row r="7858" spans="8:8" x14ac:dyDescent="0.2">
      <c r="H7858">
        <v>0</v>
      </c>
    </row>
    <row r="7859" spans="8:8" x14ac:dyDescent="0.2">
      <c r="H7859">
        <v>0</v>
      </c>
    </row>
    <row r="7860" spans="8:8" x14ac:dyDescent="0.2">
      <c r="H7860">
        <v>0</v>
      </c>
    </row>
    <row r="7861" spans="8:8" x14ac:dyDescent="0.2">
      <c r="H7861">
        <v>0</v>
      </c>
    </row>
    <row r="7862" spans="8:8" x14ac:dyDescent="0.2">
      <c r="H7862">
        <v>0</v>
      </c>
    </row>
    <row r="7863" spans="8:8" x14ac:dyDescent="0.2">
      <c r="H7863">
        <v>0</v>
      </c>
    </row>
    <row r="7864" spans="8:8" x14ac:dyDescent="0.2">
      <c r="H7864">
        <v>0</v>
      </c>
    </row>
    <row r="7865" spans="8:8" x14ac:dyDescent="0.2">
      <c r="H7865">
        <v>0</v>
      </c>
    </row>
    <row r="7866" spans="8:8" x14ac:dyDescent="0.2">
      <c r="H7866">
        <v>0</v>
      </c>
    </row>
    <row r="7867" spans="8:8" x14ac:dyDescent="0.2">
      <c r="H7867">
        <v>0</v>
      </c>
    </row>
    <row r="7868" spans="8:8" x14ac:dyDescent="0.2">
      <c r="H7868">
        <v>0</v>
      </c>
    </row>
    <row r="7869" spans="8:8" x14ac:dyDescent="0.2">
      <c r="H7869">
        <v>0</v>
      </c>
    </row>
    <row r="7870" spans="8:8" x14ac:dyDescent="0.2">
      <c r="H7870">
        <v>0</v>
      </c>
    </row>
    <row r="7871" spans="8:8" x14ac:dyDescent="0.2">
      <c r="H7871">
        <v>0</v>
      </c>
    </row>
    <row r="7872" spans="8:8" x14ac:dyDescent="0.2">
      <c r="H7872">
        <v>0</v>
      </c>
    </row>
    <row r="7873" spans="8:8" x14ac:dyDescent="0.2">
      <c r="H7873">
        <v>0</v>
      </c>
    </row>
    <row r="7874" spans="8:8" x14ac:dyDescent="0.2">
      <c r="H7874">
        <v>0</v>
      </c>
    </row>
    <row r="7875" spans="8:8" x14ac:dyDescent="0.2">
      <c r="H7875">
        <v>0</v>
      </c>
    </row>
    <row r="7876" spans="8:8" x14ac:dyDescent="0.2">
      <c r="H7876">
        <v>0</v>
      </c>
    </row>
    <row r="7877" spans="8:8" x14ac:dyDescent="0.2">
      <c r="H7877">
        <v>0</v>
      </c>
    </row>
    <row r="7878" spans="8:8" x14ac:dyDescent="0.2">
      <c r="H7878">
        <v>0</v>
      </c>
    </row>
    <row r="7879" spans="8:8" x14ac:dyDescent="0.2">
      <c r="H7879">
        <v>0</v>
      </c>
    </row>
    <row r="7880" spans="8:8" x14ac:dyDescent="0.2">
      <c r="H7880">
        <v>0</v>
      </c>
    </row>
    <row r="7881" spans="8:8" x14ac:dyDescent="0.2">
      <c r="H7881">
        <v>0</v>
      </c>
    </row>
    <row r="7882" spans="8:8" x14ac:dyDescent="0.2">
      <c r="H7882">
        <v>0</v>
      </c>
    </row>
    <row r="7883" spans="8:8" x14ac:dyDescent="0.2">
      <c r="H7883">
        <v>0</v>
      </c>
    </row>
    <row r="7884" spans="8:8" x14ac:dyDescent="0.2">
      <c r="H7884">
        <v>0</v>
      </c>
    </row>
    <row r="7885" spans="8:8" x14ac:dyDescent="0.2">
      <c r="H7885">
        <v>0</v>
      </c>
    </row>
    <row r="7886" spans="8:8" x14ac:dyDescent="0.2">
      <c r="H7886">
        <v>0</v>
      </c>
    </row>
    <row r="7887" spans="8:8" x14ac:dyDescent="0.2">
      <c r="H7887">
        <v>0</v>
      </c>
    </row>
    <row r="7888" spans="8:8" x14ac:dyDescent="0.2">
      <c r="H7888">
        <v>0</v>
      </c>
    </row>
    <row r="7889" spans="8:8" x14ac:dyDescent="0.2">
      <c r="H7889">
        <v>0</v>
      </c>
    </row>
    <row r="7890" spans="8:8" x14ac:dyDescent="0.2">
      <c r="H7890">
        <v>0</v>
      </c>
    </row>
    <row r="7891" spans="8:8" x14ac:dyDescent="0.2">
      <c r="H7891">
        <v>0</v>
      </c>
    </row>
    <row r="7892" spans="8:8" x14ac:dyDescent="0.2">
      <c r="H7892">
        <v>0</v>
      </c>
    </row>
    <row r="7893" spans="8:8" x14ac:dyDescent="0.2">
      <c r="H7893">
        <v>0</v>
      </c>
    </row>
    <row r="7894" spans="8:8" x14ac:dyDescent="0.2">
      <c r="H7894">
        <v>0</v>
      </c>
    </row>
    <row r="7895" spans="8:8" x14ac:dyDescent="0.2">
      <c r="H7895">
        <v>0</v>
      </c>
    </row>
    <row r="7896" spans="8:8" x14ac:dyDescent="0.2">
      <c r="H7896">
        <v>0</v>
      </c>
    </row>
    <row r="7897" spans="8:8" x14ac:dyDescent="0.2">
      <c r="H7897">
        <v>0</v>
      </c>
    </row>
    <row r="7898" spans="8:8" x14ac:dyDescent="0.2">
      <c r="H7898">
        <v>0</v>
      </c>
    </row>
    <row r="7899" spans="8:8" x14ac:dyDescent="0.2">
      <c r="H7899">
        <v>0</v>
      </c>
    </row>
    <row r="7900" spans="8:8" x14ac:dyDescent="0.2">
      <c r="H7900">
        <v>0</v>
      </c>
    </row>
    <row r="7901" spans="8:8" x14ac:dyDescent="0.2">
      <c r="H7901">
        <v>0</v>
      </c>
    </row>
    <row r="7902" spans="8:8" x14ac:dyDescent="0.2">
      <c r="H7902">
        <v>0</v>
      </c>
    </row>
    <row r="7903" spans="8:8" x14ac:dyDescent="0.2">
      <c r="H7903">
        <v>0</v>
      </c>
    </row>
    <row r="7904" spans="8:8" x14ac:dyDescent="0.2">
      <c r="H7904">
        <v>0</v>
      </c>
    </row>
    <row r="7905" spans="8:8" x14ac:dyDescent="0.2">
      <c r="H7905">
        <v>0</v>
      </c>
    </row>
    <row r="7906" spans="8:8" x14ac:dyDescent="0.2">
      <c r="H7906">
        <v>0</v>
      </c>
    </row>
    <row r="7907" spans="8:8" x14ac:dyDescent="0.2">
      <c r="H7907">
        <v>0</v>
      </c>
    </row>
    <row r="7908" spans="8:8" x14ac:dyDescent="0.2">
      <c r="H7908">
        <v>0</v>
      </c>
    </row>
    <row r="7909" spans="8:8" x14ac:dyDescent="0.2">
      <c r="H7909">
        <v>0</v>
      </c>
    </row>
    <row r="7910" spans="8:8" x14ac:dyDescent="0.2">
      <c r="H7910">
        <v>0</v>
      </c>
    </row>
    <row r="7911" spans="8:8" x14ac:dyDescent="0.2">
      <c r="H7911">
        <v>0</v>
      </c>
    </row>
    <row r="7912" spans="8:8" x14ac:dyDescent="0.2">
      <c r="H7912">
        <v>0</v>
      </c>
    </row>
    <row r="7913" spans="8:8" x14ac:dyDescent="0.2">
      <c r="H7913">
        <v>0</v>
      </c>
    </row>
    <row r="7914" spans="8:8" x14ac:dyDescent="0.2">
      <c r="H7914">
        <v>0</v>
      </c>
    </row>
    <row r="7915" spans="8:8" x14ac:dyDescent="0.2">
      <c r="H7915">
        <v>0</v>
      </c>
    </row>
    <row r="7916" spans="8:8" x14ac:dyDescent="0.2">
      <c r="H7916">
        <v>0</v>
      </c>
    </row>
    <row r="7917" spans="8:8" x14ac:dyDescent="0.2">
      <c r="H7917">
        <v>0</v>
      </c>
    </row>
    <row r="7918" spans="8:8" x14ac:dyDescent="0.2">
      <c r="H7918">
        <v>0</v>
      </c>
    </row>
    <row r="7919" spans="8:8" x14ac:dyDescent="0.2">
      <c r="H7919">
        <v>0</v>
      </c>
    </row>
    <row r="7920" spans="8:8" x14ac:dyDescent="0.2">
      <c r="H7920">
        <v>0</v>
      </c>
    </row>
    <row r="7921" spans="8:8" x14ac:dyDescent="0.2">
      <c r="H7921">
        <v>0</v>
      </c>
    </row>
    <row r="7922" spans="8:8" x14ac:dyDescent="0.2">
      <c r="H7922">
        <v>0</v>
      </c>
    </row>
    <row r="7923" spans="8:8" x14ac:dyDescent="0.2">
      <c r="H7923">
        <v>0</v>
      </c>
    </row>
    <row r="7924" spans="8:8" x14ac:dyDescent="0.2">
      <c r="H7924">
        <v>0</v>
      </c>
    </row>
    <row r="7925" spans="8:8" x14ac:dyDescent="0.2">
      <c r="H7925">
        <v>0</v>
      </c>
    </row>
    <row r="7926" spans="8:8" x14ac:dyDescent="0.2">
      <c r="H7926">
        <v>0</v>
      </c>
    </row>
    <row r="7927" spans="8:8" x14ac:dyDescent="0.2">
      <c r="H7927">
        <v>0</v>
      </c>
    </row>
    <row r="7928" spans="8:8" x14ac:dyDescent="0.2">
      <c r="H7928">
        <v>0</v>
      </c>
    </row>
    <row r="7929" spans="8:8" x14ac:dyDescent="0.2">
      <c r="H7929">
        <v>0</v>
      </c>
    </row>
    <row r="7930" spans="8:8" x14ac:dyDescent="0.2">
      <c r="H7930">
        <v>0</v>
      </c>
    </row>
    <row r="7931" spans="8:8" x14ac:dyDescent="0.2">
      <c r="H7931">
        <v>0</v>
      </c>
    </row>
    <row r="7932" spans="8:8" x14ac:dyDescent="0.2">
      <c r="H7932">
        <v>0</v>
      </c>
    </row>
    <row r="7933" spans="8:8" x14ac:dyDescent="0.2">
      <c r="H7933">
        <v>0</v>
      </c>
    </row>
    <row r="7934" spans="8:8" x14ac:dyDescent="0.2">
      <c r="H7934">
        <v>0</v>
      </c>
    </row>
    <row r="7935" spans="8:8" x14ac:dyDescent="0.2">
      <c r="H7935">
        <v>0</v>
      </c>
    </row>
    <row r="7936" spans="8:8" x14ac:dyDescent="0.2">
      <c r="H7936">
        <v>0</v>
      </c>
    </row>
    <row r="7937" spans="8:8" x14ac:dyDescent="0.2">
      <c r="H7937">
        <v>0</v>
      </c>
    </row>
    <row r="7938" spans="8:8" x14ac:dyDescent="0.2">
      <c r="H7938">
        <v>0</v>
      </c>
    </row>
    <row r="7939" spans="8:8" x14ac:dyDescent="0.2">
      <c r="H7939">
        <v>0</v>
      </c>
    </row>
    <row r="7940" spans="8:8" x14ac:dyDescent="0.2">
      <c r="H7940">
        <v>0</v>
      </c>
    </row>
    <row r="7941" spans="8:8" x14ac:dyDescent="0.2">
      <c r="H7941">
        <v>0</v>
      </c>
    </row>
    <row r="7942" spans="8:8" x14ac:dyDescent="0.2">
      <c r="H7942">
        <v>0</v>
      </c>
    </row>
    <row r="7943" spans="8:8" x14ac:dyDescent="0.2">
      <c r="H7943">
        <v>0</v>
      </c>
    </row>
    <row r="7944" spans="8:8" x14ac:dyDescent="0.2">
      <c r="H7944">
        <v>0</v>
      </c>
    </row>
    <row r="7945" spans="8:8" x14ac:dyDescent="0.2">
      <c r="H7945">
        <v>0</v>
      </c>
    </row>
    <row r="7946" spans="8:8" x14ac:dyDescent="0.2">
      <c r="H7946">
        <v>0</v>
      </c>
    </row>
    <row r="7947" spans="8:8" x14ac:dyDescent="0.2">
      <c r="H7947">
        <v>0</v>
      </c>
    </row>
    <row r="7948" spans="8:8" x14ac:dyDescent="0.2">
      <c r="H7948">
        <v>0</v>
      </c>
    </row>
    <row r="7949" spans="8:8" x14ac:dyDescent="0.2">
      <c r="H7949">
        <v>0</v>
      </c>
    </row>
    <row r="7950" spans="8:8" x14ac:dyDescent="0.2">
      <c r="H7950">
        <v>0</v>
      </c>
    </row>
    <row r="7951" spans="8:8" x14ac:dyDescent="0.2">
      <c r="H7951">
        <v>0</v>
      </c>
    </row>
    <row r="7952" spans="8:8" x14ac:dyDescent="0.2">
      <c r="H7952">
        <v>0</v>
      </c>
    </row>
    <row r="7953" spans="8:8" x14ac:dyDescent="0.2">
      <c r="H7953">
        <v>0</v>
      </c>
    </row>
    <row r="7954" spans="8:8" x14ac:dyDescent="0.2">
      <c r="H7954">
        <v>0</v>
      </c>
    </row>
    <row r="7955" spans="8:8" x14ac:dyDescent="0.2">
      <c r="H7955">
        <v>0</v>
      </c>
    </row>
    <row r="7956" spans="8:8" x14ac:dyDescent="0.2">
      <c r="H7956">
        <v>0</v>
      </c>
    </row>
    <row r="7957" spans="8:8" x14ac:dyDescent="0.2">
      <c r="H7957">
        <v>0</v>
      </c>
    </row>
    <row r="7958" spans="8:8" x14ac:dyDescent="0.2">
      <c r="H7958">
        <v>0</v>
      </c>
    </row>
    <row r="7959" spans="8:8" x14ac:dyDescent="0.2">
      <c r="H7959">
        <v>0</v>
      </c>
    </row>
    <row r="7960" spans="8:8" x14ac:dyDescent="0.2">
      <c r="H7960">
        <v>0</v>
      </c>
    </row>
    <row r="7961" spans="8:8" x14ac:dyDescent="0.2">
      <c r="H7961">
        <v>0</v>
      </c>
    </row>
    <row r="7962" spans="8:8" x14ac:dyDescent="0.2">
      <c r="H7962">
        <v>0</v>
      </c>
    </row>
    <row r="7963" spans="8:8" x14ac:dyDescent="0.2">
      <c r="H7963">
        <v>0</v>
      </c>
    </row>
    <row r="7964" spans="8:8" x14ac:dyDescent="0.2">
      <c r="H7964">
        <v>0</v>
      </c>
    </row>
    <row r="7965" spans="8:8" x14ac:dyDescent="0.2">
      <c r="H7965">
        <v>0</v>
      </c>
    </row>
    <row r="7966" spans="8:8" x14ac:dyDescent="0.2">
      <c r="H7966">
        <v>0</v>
      </c>
    </row>
    <row r="7967" spans="8:8" x14ac:dyDescent="0.2">
      <c r="H7967">
        <v>0</v>
      </c>
    </row>
    <row r="7968" spans="8:8" x14ac:dyDescent="0.2">
      <c r="H7968">
        <v>0</v>
      </c>
    </row>
    <row r="7969" spans="8:8" x14ac:dyDescent="0.2">
      <c r="H7969">
        <v>0</v>
      </c>
    </row>
    <row r="7970" spans="8:8" x14ac:dyDescent="0.2">
      <c r="H7970">
        <v>0</v>
      </c>
    </row>
    <row r="7971" spans="8:8" x14ac:dyDescent="0.2">
      <c r="H7971">
        <v>0</v>
      </c>
    </row>
    <row r="7972" spans="8:8" x14ac:dyDescent="0.2">
      <c r="H7972">
        <v>0</v>
      </c>
    </row>
    <row r="7973" spans="8:8" x14ac:dyDescent="0.2">
      <c r="H7973">
        <v>0</v>
      </c>
    </row>
    <row r="7974" spans="8:8" x14ac:dyDescent="0.2">
      <c r="H7974">
        <v>0</v>
      </c>
    </row>
    <row r="7975" spans="8:8" x14ac:dyDescent="0.2">
      <c r="H7975">
        <v>0</v>
      </c>
    </row>
    <row r="7976" spans="8:8" x14ac:dyDescent="0.2">
      <c r="H7976">
        <v>0</v>
      </c>
    </row>
    <row r="7977" spans="8:8" x14ac:dyDescent="0.2">
      <c r="H7977">
        <v>0</v>
      </c>
    </row>
    <row r="7978" spans="8:8" x14ac:dyDescent="0.2">
      <c r="H7978">
        <v>0</v>
      </c>
    </row>
    <row r="7979" spans="8:8" x14ac:dyDescent="0.2">
      <c r="H7979">
        <v>0</v>
      </c>
    </row>
    <row r="7980" spans="8:8" x14ac:dyDescent="0.2">
      <c r="H7980">
        <v>0</v>
      </c>
    </row>
    <row r="7981" spans="8:8" x14ac:dyDescent="0.2">
      <c r="H7981">
        <v>0</v>
      </c>
    </row>
    <row r="7982" spans="8:8" x14ac:dyDescent="0.2">
      <c r="H7982">
        <v>0</v>
      </c>
    </row>
    <row r="7983" spans="8:8" x14ac:dyDescent="0.2">
      <c r="H7983">
        <v>0</v>
      </c>
    </row>
    <row r="7984" spans="8:8" x14ac:dyDescent="0.2">
      <c r="H7984">
        <v>0</v>
      </c>
    </row>
    <row r="7985" spans="8:8" x14ac:dyDescent="0.2">
      <c r="H7985">
        <v>0</v>
      </c>
    </row>
    <row r="7986" spans="8:8" x14ac:dyDescent="0.2">
      <c r="H7986">
        <v>0</v>
      </c>
    </row>
    <row r="7987" spans="8:8" x14ac:dyDescent="0.2">
      <c r="H7987">
        <v>0</v>
      </c>
    </row>
    <row r="7988" spans="8:8" x14ac:dyDescent="0.2">
      <c r="H7988">
        <v>0</v>
      </c>
    </row>
    <row r="7989" spans="8:8" x14ac:dyDescent="0.2">
      <c r="H7989">
        <v>0</v>
      </c>
    </row>
    <row r="7990" spans="8:8" x14ac:dyDescent="0.2">
      <c r="H7990">
        <v>0</v>
      </c>
    </row>
    <row r="7991" spans="8:8" x14ac:dyDescent="0.2">
      <c r="H7991">
        <v>0</v>
      </c>
    </row>
    <row r="7992" spans="8:8" x14ac:dyDescent="0.2">
      <c r="H7992">
        <v>0</v>
      </c>
    </row>
    <row r="7993" spans="8:8" x14ac:dyDescent="0.2">
      <c r="H7993">
        <v>0</v>
      </c>
    </row>
    <row r="7994" spans="8:8" x14ac:dyDescent="0.2">
      <c r="H7994">
        <v>0</v>
      </c>
    </row>
    <row r="7995" spans="8:8" x14ac:dyDescent="0.2">
      <c r="H7995">
        <v>0</v>
      </c>
    </row>
    <row r="7996" spans="8:8" x14ac:dyDescent="0.2">
      <c r="H7996">
        <v>0</v>
      </c>
    </row>
    <row r="7997" spans="8:8" x14ac:dyDescent="0.2">
      <c r="H7997">
        <v>0</v>
      </c>
    </row>
    <row r="7998" spans="8:8" x14ac:dyDescent="0.2">
      <c r="H7998">
        <v>0</v>
      </c>
    </row>
    <row r="7999" spans="8:8" x14ac:dyDescent="0.2">
      <c r="H7999">
        <v>0</v>
      </c>
    </row>
    <row r="8000" spans="8:8" x14ac:dyDescent="0.2">
      <c r="H8000">
        <v>0</v>
      </c>
    </row>
    <row r="8001" spans="8:8" x14ac:dyDescent="0.2">
      <c r="H8001">
        <v>0</v>
      </c>
    </row>
    <row r="8002" spans="8:8" x14ac:dyDescent="0.2">
      <c r="H8002">
        <v>0</v>
      </c>
    </row>
    <row r="8003" spans="8:8" x14ac:dyDescent="0.2">
      <c r="H8003">
        <v>0</v>
      </c>
    </row>
    <row r="8004" spans="8:8" x14ac:dyDescent="0.2">
      <c r="H8004">
        <v>0</v>
      </c>
    </row>
    <row r="8005" spans="8:8" x14ac:dyDescent="0.2">
      <c r="H8005">
        <v>0</v>
      </c>
    </row>
    <row r="8006" spans="8:8" x14ac:dyDescent="0.2">
      <c r="H8006">
        <v>0</v>
      </c>
    </row>
    <row r="8007" spans="8:8" x14ac:dyDescent="0.2">
      <c r="H8007">
        <v>0</v>
      </c>
    </row>
    <row r="8008" spans="8:8" x14ac:dyDescent="0.2">
      <c r="H8008">
        <v>0</v>
      </c>
    </row>
    <row r="8009" spans="8:8" x14ac:dyDescent="0.2">
      <c r="H8009">
        <v>0</v>
      </c>
    </row>
    <row r="8010" spans="8:8" x14ac:dyDescent="0.2">
      <c r="H8010">
        <v>0</v>
      </c>
    </row>
    <row r="8011" spans="8:8" x14ac:dyDescent="0.2">
      <c r="H8011">
        <v>0</v>
      </c>
    </row>
    <row r="8012" spans="8:8" x14ac:dyDescent="0.2">
      <c r="H8012">
        <v>0</v>
      </c>
    </row>
    <row r="8013" spans="8:8" x14ac:dyDescent="0.2">
      <c r="H8013">
        <v>0</v>
      </c>
    </row>
    <row r="8014" spans="8:8" x14ac:dyDescent="0.2">
      <c r="H8014">
        <v>0</v>
      </c>
    </row>
    <row r="8015" spans="8:8" x14ac:dyDescent="0.2">
      <c r="H8015">
        <v>0</v>
      </c>
    </row>
    <row r="8016" spans="8:8" x14ac:dyDescent="0.2">
      <c r="H8016">
        <v>0</v>
      </c>
    </row>
    <row r="8017" spans="8:8" x14ac:dyDescent="0.2">
      <c r="H8017">
        <v>0</v>
      </c>
    </row>
    <row r="8018" spans="8:8" x14ac:dyDescent="0.2">
      <c r="H8018">
        <v>0</v>
      </c>
    </row>
    <row r="8019" spans="8:8" x14ac:dyDescent="0.2">
      <c r="H8019">
        <v>0</v>
      </c>
    </row>
    <row r="8020" spans="8:8" x14ac:dyDescent="0.2">
      <c r="H8020">
        <v>0</v>
      </c>
    </row>
    <row r="8021" spans="8:8" x14ac:dyDescent="0.2">
      <c r="H8021">
        <v>0</v>
      </c>
    </row>
    <row r="8022" spans="8:8" x14ac:dyDescent="0.2">
      <c r="H8022">
        <v>0</v>
      </c>
    </row>
    <row r="8023" spans="8:8" x14ac:dyDescent="0.2">
      <c r="H8023">
        <v>0</v>
      </c>
    </row>
    <row r="8024" spans="8:8" x14ac:dyDescent="0.2">
      <c r="H8024">
        <v>0</v>
      </c>
    </row>
    <row r="8025" spans="8:8" x14ac:dyDescent="0.2">
      <c r="H8025">
        <v>0</v>
      </c>
    </row>
    <row r="8026" spans="8:8" x14ac:dyDescent="0.2">
      <c r="H8026">
        <v>0</v>
      </c>
    </row>
    <row r="8027" spans="8:8" x14ac:dyDescent="0.2">
      <c r="H8027">
        <v>0</v>
      </c>
    </row>
    <row r="8028" spans="8:8" x14ac:dyDescent="0.2">
      <c r="H8028">
        <v>0</v>
      </c>
    </row>
    <row r="8029" spans="8:8" x14ac:dyDescent="0.2">
      <c r="H8029">
        <v>0</v>
      </c>
    </row>
    <row r="8030" spans="8:8" x14ac:dyDescent="0.2">
      <c r="H8030">
        <v>0</v>
      </c>
    </row>
    <row r="8031" spans="8:8" x14ac:dyDescent="0.2">
      <c r="H8031">
        <v>0</v>
      </c>
    </row>
    <row r="8032" spans="8:8" x14ac:dyDescent="0.2">
      <c r="H8032">
        <v>0</v>
      </c>
    </row>
    <row r="8033" spans="8:8" x14ac:dyDescent="0.2">
      <c r="H8033">
        <v>0</v>
      </c>
    </row>
    <row r="8034" spans="8:8" x14ac:dyDescent="0.2">
      <c r="H8034">
        <v>0</v>
      </c>
    </row>
    <row r="8035" spans="8:8" x14ac:dyDescent="0.2">
      <c r="H8035">
        <v>0</v>
      </c>
    </row>
    <row r="8036" spans="8:8" x14ac:dyDescent="0.2">
      <c r="H8036">
        <v>0</v>
      </c>
    </row>
    <row r="8037" spans="8:8" x14ac:dyDescent="0.2">
      <c r="H8037">
        <v>0</v>
      </c>
    </row>
    <row r="8038" spans="8:8" x14ac:dyDescent="0.2">
      <c r="H8038">
        <v>0</v>
      </c>
    </row>
    <row r="8039" spans="8:8" x14ac:dyDescent="0.2">
      <c r="H8039">
        <v>0</v>
      </c>
    </row>
    <row r="8040" spans="8:8" x14ac:dyDescent="0.2">
      <c r="H8040">
        <v>0</v>
      </c>
    </row>
    <row r="8041" spans="8:8" x14ac:dyDescent="0.2">
      <c r="H8041">
        <v>0</v>
      </c>
    </row>
    <row r="8042" spans="8:8" x14ac:dyDescent="0.2">
      <c r="H8042">
        <v>0</v>
      </c>
    </row>
    <row r="8043" spans="8:8" x14ac:dyDescent="0.2">
      <c r="H8043">
        <v>0</v>
      </c>
    </row>
    <row r="8044" spans="8:8" x14ac:dyDescent="0.2">
      <c r="H8044">
        <v>0</v>
      </c>
    </row>
    <row r="8045" spans="8:8" x14ac:dyDescent="0.2">
      <c r="H8045">
        <v>0</v>
      </c>
    </row>
    <row r="8046" spans="8:8" x14ac:dyDescent="0.2">
      <c r="H8046">
        <v>0</v>
      </c>
    </row>
    <row r="8047" spans="8:8" x14ac:dyDescent="0.2">
      <c r="H8047">
        <v>0</v>
      </c>
    </row>
    <row r="8048" spans="8:8" x14ac:dyDescent="0.2">
      <c r="H8048">
        <v>0</v>
      </c>
    </row>
    <row r="8049" spans="8:8" x14ac:dyDescent="0.2">
      <c r="H8049">
        <v>0</v>
      </c>
    </row>
    <row r="8050" spans="8:8" x14ac:dyDescent="0.2">
      <c r="H8050">
        <v>0</v>
      </c>
    </row>
    <row r="8051" spans="8:8" x14ac:dyDescent="0.2">
      <c r="H8051">
        <v>0</v>
      </c>
    </row>
    <row r="8052" spans="8:8" x14ac:dyDescent="0.2">
      <c r="H8052">
        <v>0</v>
      </c>
    </row>
    <row r="8053" spans="8:8" x14ac:dyDescent="0.2">
      <c r="H8053">
        <v>0</v>
      </c>
    </row>
    <row r="8054" spans="8:8" x14ac:dyDescent="0.2">
      <c r="H8054">
        <v>0</v>
      </c>
    </row>
    <row r="8055" spans="8:8" x14ac:dyDescent="0.2">
      <c r="H8055">
        <v>0</v>
      </c>
    </row>
    <row r="8056" spans="8:8" x14ac:dyDescent="0.2">
      <c r="H8056">
        <v>0</v>
      </c>
    </row>
    <row r="8057" spans="8:8" x14ac:dyDescent="0.2">
      <c r="H8057">
        <v>0</v>
      </c>
    </row>
    <row r="8058" spans="8:8" x14ac:dyDescent="0.2">
      <c r="H8058">
        <v>0</v>
      </c>
    </row>
    <row r="8059" spans="8:8" x14ac:dyDescent="0.2">
      <c r="H8059">
        <v>0</v>
      </c>
    </row>
    <row r="8060" spans="8:8" x14ac:dyDescent="0.2">
      <c r="H8060">
        <v>0</v>
      </c>
    </row>
    <row r="8061" spans="8:8" x14ac:dyDescent="0.2">
      <c r="H8061">
        <v>0</v>
      </c>
    </row>
    <row r="8062" spans="8:8" x14ac:dyDescent="0.2">
      <c r="H8062">
        <v>0</v>
      </c>
    </row>
    <row r="8063" spans="8:8" x14ac:dyDescent="0.2">
      <c r="H8063">
        <v>0</v>
      </c>
    </row>
    <row r="8064" spans="8:8" x14ac:dyDescent="0.2">
      <c r="H8064">
        <v>0</v>
      </c>
    </row>
    <row r="8065" spans="8:8" x14ac:dyDescent="0.2">
      <c r="H8065">
        <v>0</v>
      </c>
    </row>
    <row r="8066" spans="8:8" x14ac:dyDescent="0.2">
      <c r="H8066">
        <v>0</v>
      </c>
    </row>
    <row r="8067" spans="8:8" x14ac:dyDescent="0.2">
      <c r="H8067">
        <v>0</v>
      </c>
    </row>
    <row r="8068" spans="8:8" x14ac:dyDescent="0.2">
      <c r="H8068">
        <v>0</v>
      </c>
    </row>
    <row r="8069" spans="8:8" x14ac:dyDescent="0.2">
      <c r="H8069">
        <v>0</v>
      </c>
    </row>
    <row r="8070" spans="8:8" x14ac:dyDescent="0.2">
      <c r="H8070">
        <v>0</v>
      </c>
    </row>
    <row r="8071" spans="8:8" x14ac:dyDescent="0.2">
      <c r="H8071">
        <v>0</v>
      </c>
    </row>
    <row r="8072" spans="8:8" x14ac:dyDescent="0.2">
      <c r="H8072">
        <v>0</v>
      </c>
    </row>
    <row r="8073" spans="8:8" x14ac:dyDescent="0.2">
      <c r="H8073">
        <v>0</v>
      </c>
    </row>
    <row r="8074" spans="8:8" x14ac:dyDescent="0.2">
      <c r="H8074">
        <v>0</v>
      </c>
    </row>
    <row r="8075" spans="8:8" x14ac:dyDescent="0.2">
      <c r="H8075">
        <v>0</v>
      </c>
    </row>
    <row r="8076" spans="8:8" x14ac:dyDescent="0.2">
      <c r="H8076">
        <v>0</v>
      </c>
    </row>
    <row r="8077" spans="8:8" x14ac:dyDescent="0.2">
      <c r="H8077">
        <v>0</v>
      </c>
    </row>
    <row r="8078" spans="8:8" x14ac:dyDescent="0.2">
      <c r="H8078">
        <v>0</v>
      </c>
    </row>
    <row r="8079" spans="8:8" x14ac:dyDescent="0.2">
      <c r="H8079">
        <v>0</v>
      </c>
    </row>
    <row r="8080" spans="8:8" x14ac:dyDescent="0.2">
      <c r="H8080">
        <v>0</v>
      </c>
    </row>
    <row r="8081" spans="8:8" x14ac:dyDescent="0.2">
      <c r="H8081">
        <v>0</v>
      </c>
    </row>
    <row r="8082" spans="8:8" x14ac:dyDescent="0.2">
      <c r="H8082">
        <v>0</v>
      </c>
    </row>
    <row r="8083" spans="8:8" x14ac:dyDescent="0.2">
      <c r="H8083">
        <v>0</v>
      </c>
    </row>
    <row r="8084" spans="8:8" x14ac:dyDescent="0.2">
      <c r="H8084">
        <v>0</v>
      </c>
    </row>
    <row r="8085" spans="8:8" x14ac:dyDescent="0.2">
      <c r="H8085">
        <v>0</v>
      </c>
    </row>
    <row r="8086" spans="8:8" x14ac:dyDescent="0.2">
      <c r="H8086">
        <v>0</v>
      </c>
    </row>
    <row r="8087" spans="8:8" x14ac:dyDescent="0.2">
      <c r="H8087">
        <v>0</v>
      </c>
    </row>
    <row r="8088" spans="8:8" x14ac:dyDescent="0.2">
      <c r="H8088">
        <v>0</v>
      </c>
    </row>
    <row r="8089" spans="8:8" x14ac:dyDescent="0.2">
      <c r="H8089">
        <v>0</v>
      </c>
    </row>
    <row r="8090" spans="8:8" x14ac:dyDescent="0.2">
      <c r="H8090">
        <v>0</v>
      </c>
    </row>
    <row r="8091" spans="8:8" x14ac:dyDescent="0.2">
      <c r="H8091">
        <v>0</v>
      </c>
    </row>
    <row r="8092" spans="8:8" x14ac:dyDescent="0.2">
      <c r="H8092">
        <v>0</v>
      </c>
    </row>
    <row r="8093" spans="8:8" x14ac:dyDescent="0.2">
      <c r="H8093">
        <v>0</v>
      </c>
    </row>
    <row r="8094" spans="8:8" x14ac:dyDescent="0.2">
      <c r="H8094">
        <v>0</v>
      </c>
    </row>
    <row r="8095" spans="8:8" x14ac:dyDescent="0.2">
      <c r="H8095">
        <v>0</v>
      </c>
    </row>
    <row r="8096" spans="8:8" x14ac:dyDescent="0.2">
      <c r="H8096">
        <v>0</v>
      </c>
    </row>
    <row r="8097" spans="8:8" x14ac:dyDescent="0.2">
      <c r="H8097">
        <v>0</v>
      </c>
    </row>
    <row r="8098" spans="8:8" x14ac:dyDescent="0.2">
      <c r="H8098">
        <v>0</v>
      </c>
    </row>
    <row r="8099" spans="8:8" x14ac:dyDescent="0.2">
      <c r="H8099">
        <v>0</v>
      </c>
    </row>
    <row r="8100" spans="8:8" x14ac:dyDescent="0.2">
      <c r="H8100">
        <v>0</v>
      </c>
    </row>
    <row r="8101" spans="8:8" x14ac:dyDescent="0.2">
      <c r="H8101">
        <v>0</v>
      </c>
    </row>
    <row r="8102" spans="8:8" x14ac:dyDescent="0.2">
      <c r="H8102">
        <v>0</v>
      </c>
    </row>
    <row r="8103" spans="8:8" x14ac:dyDescent="0.2">
      <c r="H8103">
        <v>0</v>
      </c>
    </row>
    <row r="8104" spans="8:8" x14ac:dyDescent="0.2">
      <c r="H8104">
        <v>0</v>
      </c>
    </row>
    <row r="8105" spans="8:8" x14ac:dyDescent="0.2">
      <c r="H8105">
        <v>0</v>
      </c>
    </row>
    <row r="8106" spans="8:8" x14ac:dyDescent="0.2">
      <c r="H8106">
        <v>0</v>
      </c>
    </row>
    <row r="8107" spans="8:8" x14ac:dyDescent="0.2">
      <c r="H8107">
        <v>0</v>
      </c>
    </row>
    <row r="8108" spans="8:8" x14ac:dyDescent="0.2">
      <c r="H8108">
        <v>0</v>
      </c>
    </row>
    <row r="8109" spans="8:8" x14ac:dyDescent="0.2">
      <c r="H8109">
        <v>0</v>
      </c>
    </row>
    <row r="8110" spans="8:8" x14ac:dyDescent="0.2">
      <c r="H8110">
        <v>0</v>
      </c>
    </row>
    <row r="8111" spans="8:8" x14ac:dyDescent="0.2">
      <c r="H8111">
        <v>0</v>
      </c>
    </row>
    <row r="8112" spans="8:8" x14ac:dyDescent="0.2">
      <c r="H8112">
        <v>0</v>
      </c>
    </row>
    <row r="8113" spans="8:8" x14ac:dyDescent="0.2">
      <c r="H8113">
        <v>0</v>
      </c>
    </row>
    <row r="8114" spans="8:8" x14ac:dyDescent="0.2">
      <c r="H8114">
        <v>0</v>
      </c>
    </row>
    <row r="8115" spans="8:8" x14ac:dyDescent="0.2">
      <c r="H8115">
        <v>0</v>
      </c>
    </row>
    <row r="8116" spans="8:8" x14ac:dyDescent="0.2">
      <c r="H8116">
        <v>0</v>
      </c>
    </row>
    <row r="8117" spans="8:8" x14ac:dyDescent="0.2">
      <c r="H8117">
        <v>0</v>
      </c>
    </row>
    <row r="8118" spans="8:8" x14ac:dyDescent="0.2">
      <c r="H8118">
        <v>0</v>
      </c>
    </row>
    <row r="8119" spans="8:8" x14ac:dyDescent="0.2">
      <c r="H8119">
        <v>0</v>
      </c>
    </row>
    <row r="8120" spans="8:8" x14ac:dyDescent="0.2">
      <c r="H8120">
        <v>0</v>
      </c>
    </row>
    <row r="8121" spans="8:8" x14ac:dyDescent="0.2">
      <c r="H8121">
        <v>0</v>
      </c>
    </row>
    <row r="8122" spans="8:8" x14ac:dyDescent="0.2">
      <c r="H8122">
        <v>0</v>
      </c>
    </row>
    <row r="8123" spans="8:8" x14ac:dyDescent="0.2">
      <c r="H8123">
        <v>0</v>
      </c>
    </row>
    <row r="8124" spans="8:8" x14ac:dyDescent="0.2">
      <c r="H8124">
        <v>0</v>
      </c>
    </row>
    <row r="8125" spans="8:8" x14ac:dyDescent="0.2">
      <c r="H8125">
        <v>0</v>
      </c>
    </row>
    <row r="8126" spans="8:8" x14ac:dyDescent="0.2">
      <c r="H8126">
        <v>0</v>
      </c>
    </row>
    <row r="8127" spans="8:8" x14ac:dyDescent="0.2">
      <c r="H8127">
        <v>0</v>
      </c>
    </row>
    <row r="8128" spans="8:8" x14ac:dyDescent="0.2">
      <c r="H8128">
        <v>0</v>
      </c>
    </row>
    <row r="8129" spans="8:8" x14ac:dyDescent="0.2">
      <c r="H8129">
        <v>0</v>
      </c>
    </row>
    <row r="8130" spans="8:8" x14ac:dyDescent="0.2">
      <c r="H8130">
        <v>0</v>
      </c>
    </row>
    <row r="8131" spans="8:8" x14ac:dyDescent="0.2">
      <c r="H8131">
        <v>0</v>
      </c>
    </row>
    <row r="8132" spans="8:8" x14ac:dyDescent="0.2">
      <c r="H8132">
        <v>0</v>
      </c>
    </row>
    <row r="8133" spans="8:8" x14ac:dyDescent="0.2">
      <c r="H8133">
        <v>0</v>
      </c>
    </row>
    <row r="8134" spans="8:8" x14ac:dyDescent="0.2">
      <c r="H8134">
        <v>0</v>
      </c>
    </row>
    <row r="8135" spans="8:8" x14ac:dyDescent="0.2">
      <c r="H8135">
        <v>0</v>
      </c>
    </row>
    <row r="8136" spans="8:8" x14ac:dyDescent="0.2">
      <c r="H8136">
        <v>0</v>
      </c>
    </row>
    <row r="8137" spans="8:8" x14ac:dyDescent="0.2">
      <c r="H8137">
        <v>0</v>
      </c>
    </row>
    <row r="8138" spans="8:8" x14ac:dyDescent="0.2">
      <c r="H8138">
        <v>0</v>
      </c>
    </row>
    <row r="8139" spans="8:8" x14ac:dyDescent="0.2">
      <c r="H8139">
        <v>0</v>
      </c>
    </row>
    <row r="8140" spans="8:8" x14ac:dyDescent="0.2">
      <c r="H8140">
        <v>0</v>
      </c>
    </row>
    <row r="8141" spans="8:8" x14ac:dyDescent="0.2">
      <c r="H8141">
        <v>0</v>
      </c>
    </row>
    <row r="8142" spans="8:8" x14ac:dyDescent="0.2">
      <c r="H8142">
        <v>0</v>
      </c>
    </row>
    <row r="8143" spans="8:8" x14ac:dyDescent="0.2">
      <c r="H8143">
        <v>0</v>
      </c>
    </row>
    <row r="8144" spans="8:8" x14ac:dyDescent="0.2">
      <c r="H8144">
        <v>0</v>
      </c>
    </row>
    <row r="8145" spans="8:8" x14ac:dyDescent="0.2">
      <c r="H8145">
        <v>0</v>
      </c>
    </row>
    <row r="8146" spans="8:8" x14ac:dyDescent="0.2">
      <c r="H8146">
        <v>0</v>
      </c>
    </row>
    <row r="8147" spans="8:8" x14ac:dyDescent="0.2">
      <c r="H8147">
        <v>0</v>
      </c>
    </row>
    <row r="8148" spans="8:8" x14ac:dyDescent="0.2">
      <c r="H8148">
        <v>0</v>
      </c>
    </row>
    <row r="8149" spans="8:8" x14ac:dyDescent="0.2">
      <c r="H8149">
        <v>0</v>
      </c>
    </row>
    <row r="8150" spans="8:8" x14ac:dyDescent="0.2">
      <c r="H8150">
        <v>0</v>
      </c>
    </row>
    <row r="8151" spans="8:8" x14ac:dyDescent="0.2">
      <c r="H8151">
        <v>0</v>
      </c>
    </row>
    <row r="8152" spans="8:8" x14ac:dyDescent="0.2">
      <c r="H8152">
        <v>0</v>
      </c>
    </row>
    <row r="8153" spans="8:8" x14ac:dyDescent="0.2">
      <c r="H8153">
        <v>0</v>
      </c>
    </row>
    <row r="8154" spans="8:8" x14ac:dyDescent="0.2">
      <c r="H8154">
        <v>0</v>
      </c>
    </row>
    <row r="8155" spans="8:8" x14ac:dyDescent="0.2">
      <c r="H8155">
        <v>0</v>
      </c>
    </row>
    <row r="8156" spans="8:8" x14ac:dyDescent="0.2">
      <c r="H8156">
        <v>0</v>
      </c>
    </row>
    <row r="8157" spans="8:8" x14ac:dyDescent="0.2">
      <c r="H8157">
        <v>0</v>
      </c>
    </row>
    <row r="8158" spans="8:8" x14ac:dyDescent="0.2">
      <c r="H8158">
        <v>0</v>
      </c>
    </row>
    <row r="8159" spans="8:8" x14ac:dyDescent="0.2">
      <c r="H8159">
        <v>0</v>
      </c>
    </row>
    <row r="8160" spans="8:8" x14ac:dyDescent="0.2">
      <c r="H8160">
        <v>0</v>
      </c>
    </row>
    <row r="8161" spans="8:8" x14ac:dyDescent="0.2">
      <c r="H8161">
        <v>0</v>
      </c>
    </row>
    <row r="8162" spans="8:8" x14ac:dyDescent="0.2">
      <c r="H8162">
        <v>0</v>
      </c>
    </row>
    <row r="8163" spans="8:8" x14ac:dyDescent="0.2">
      <c r="H8163">
        <v>0</v>
      </c>
    </row>
    <row r="8164" spans="8:8" x14ac:dyDescent="0.2">
      <c r="H8164">
        <v>0</v>
      </c>
    </row>
    <row r="8165" spans="8:8" x14ac:dyDescent="0.2">
      <c r="H8165">
        <v>0</v>
      </c>
    </row>
    <row r="8166" spans="8:8" x14ac:dyDescent="0.2">
      <c r="H8166">
        <v>0</v>
      </c>
    </row>
    <row r="8167" spans="8:8" x14ac:dyDescent="0.2">
      <c r="H8167">
        <v>0</v>
      </c>
    </row>
    <row r="8168" spans="8:8" x14ac:dyDescent="0.2">
      <c r="H8168">
        <v>0</v>
      </c>
    </row>
    <row r="8169" spans="8:8" x14ac:dyDescent="0.2">
      <c r="H8169">
        <v>0</v>
      </c>
    </row>
    <row r="8170" spans="8:8" x14ac:dyDescent="0.2">
      <c r="H8170">
        <v>0</v>
      </c>
    </row>
    <row r="8171" spans="8:8" x14ac:dyDescent="0.2">
      <c r="H8171">
        <v>0</v>
      </c>
    </row>
    <row r="8172" spans="8:8" x14ac:dyDescent="0.2">
      <c r="H8172">
        <v>0</v>
      </c>
    </row>
    <row r="8173" spans="8:8" x14ac:dyDescent="0.2">
      <c r="H8173">
        <v>0</v>
      </c>
    </row>
    <row r="8174" spans="8:8" x14ac:dyDescent="0.2">
      <c r="H8174">
        <v>0</v>
      </c>
    </row>
    <row r="8175" spans="8:8" x14ac:dyDescent="0.2">
      <c r="H8175">
        <v>0</v>
      </c>
    </row>
    <row r="8176" spans="8:8" x14ac:dyDescent="0.2">
      <c r="H8176">
        <v>0</v>
      </c>
    </row>
    <row r="8177" spans="8:8" x14ac:dyDescent="0.2">
      <c r="H8177">
        <v>0</v>
      </c>
    </row>
    <row r="8178" spans="8:8" x14ac:dyDescent="0.2">
      <c r="H8178">
        <v>0</v>
      </c>
    </row>
    <row r="8179" spans="8:8" x14ac:dyDescent="0.2">
      <c r="H8179">
        <v>0</v>
      </c>
    </row>
    <row r="8180" spans="8:8" x14ac:dyDescent="0.2">
      <c r="H8180">
        <v>0</v>
      </c>
    </row>
    <row r="8181" spans="8:8" x14ac:dyDescent="0.2">
      <c r="H8181">
        <v>0</v>
      </c>
    </row>
    <row r="8182" spans="8:8" x14ac:dyDescent="0.2">
      <c r="H8182">
        <v>0</v>
      </c>
    </row>
    <row r="8183" spans="8:8" x14ac:dyDescent="0.2">
      <c r="H8183">
        <v>0</v>
      </c>
    </row>
    <row r="8184" spans="8:8" x14ac:dyDescent="0.2">
      <c r="H8184">
        <v>0</v>
      </c>
    </row>
    <row r="8185" spans="8:8" x14ac:dyDescent="0.2">
      <c r="H8185">
        <v>0</v>
      </c>
    </row>
    <row r="8186" spans="8:8" x14ac:dyDescent="0.2">
      <c r="H8186">
        <v>0</v>
      </c>
    </row>
    <row r="8187" spans="8:8" x14ac:dyDescent="0.2">
      <c r="H8187">
        <v>0</v>
      </c>
    </row>
    <row r="8188" spans="8:8" x14ac:dyDescent="0.2">
      <c r="H8188">
        <v>0</v>
      </c>
    </row>
    <row r="8189" spans="8:8" x14ac:dyDescent="0.2">
      <c r="H8189">
        <v>0</v>
      </c>
    </row>
    <row r="8190" spans="8:8" x14ac:dyDescent="0.2">
      <c r="H8190">
        <v>0</v>
      </c>
    </row>
    <row r="8191" spans="8:8" x14ac:dyDescent="0.2">
      <c r="H8191">
        <v>0</v>
      </c>
    </row>
    <row r="8192" spans="8:8" x14ac:dyDescent="0.2">
      <c r="H8192">
        <v>0</v>
      </c>
    </row>
    <row r="8193" spans="8:8" x14ac:dyDescent="0.2">
      <c r="H8193">
        <v>0</v>
      </c>
    </row>
    <row r="8194" spans="8:8" x14ac:dyDescent="0.2">
      <c r="H8194">
        <v>0</v>
      </c>
    </row>
    <row r="8195" spans="8:8" x14ac:dyDescent="0.2">
      <c r="H8195">
        <v>0</v>
      </c>
    </row>
    <row r="8196" spans="8:8" x14ac:dyDescent="0.2">
      <c r="H8196">
        <v>0</v>
      </c>
    </row>
    <row r="8197" spans="8:8" x14ac:dyDescent="0.2">
      <c r="H8197">
        <v>0</v>
      </c>
    </row>
    <row r="8198" spans="8:8" x14ac:dyDescent="0.2">
      <c r="H8198">
        <v>0</v>
      </c>
    </row>
    <row r="8199" spans="8:8" x14ac:dyDescent="0.2">
      <c r="H8199">
        <v>0</v>
      </c>
    </row>
    <row r="8200" spans="8:8" x14ac:dyDescent="0.2">
      <c r="H8200">
        <v>0</v>
      </c>
    </row>
    <row r="8201" spans="8:8" x14ac:dyDescent="0.2">
      <c r="H8201">
        <v>0</v>
      </c>
    </row>
    <row r="8202" spans="8:8" x14ac:dyDescent="0.2">
      <c r="H8202">
        <v>0</v>
      </c>
    </row>
    <row r="8203" spans="8:8" x14ac:dyDescent="0.2">
      <c r="H8203">
        <v>0</v>
      </c>
    </row>
    <row r="8204" spans="8:8" x14ac:dyDescent="0.2">
      <c r="H8204">
        <v>0</v>
      </c>
    </row>
    <row r="8205" spans="8:8" x14ac:dyDescent="0.2">
      <c r="H8205">
        <v>0</v>
      </c>
    </row>
    <row r="8206" spans="8:8" x14ac:dyDescent="0.2">
      <c r="H8206">
        <v>0</v>
      </c>
    </row>
    <row r="8207" spans="8:8" x14ac:dyDescent="0.2">
      <c r="H8207">
        <v>0</v>
      </c>
    </row>
    <row r="8208" spans="8:8" x14ac:dyDescent="0.2">
      <c r="H8208">
        <v>0</v>
      </c>
    </row>
    <row r="8209" spans="8:8" x14ac:dyDescent="0.2">
      <c r="H8209">
        <v>0</v>
      </c>
    </row>
    <row r="8210" spans="8:8" x14ac:dyDescent="0.2">
      <c r="H8210">
        <v>0</v>
      </c>
    </row>
    <row r="8211" spans="8:8" x14ac:dyDescent="0.2">
      <c r="H8211">
        <v>0</v>
      </c>
    </row>
    <row r="8212" spans="8:8" x14ac:dyDescent="0.2">
      <c r="H8212">
        <v>0</v>
      </c>
    </row>
    <row r="8213" spans="8:8" x14ac:dyDescent="0.2">
      <c r="H8213">
        <v>0</v>
      </c>
    </row>
    <row r="8214" spans="8:8" x14ac:dyDescent="0.2">
      <c r="H8214">
        <v>0</v>
      </c>
    </row>
    <row r="8215" spans="8:8" x14ac:dyDescent="0.2">
      <c r="H8215">
        <v>0</v>
      </c>
    </row>
    <row r="8216" spans="8:8" x14ac:dyDescent="0.2">
      <c r="H8216">
        <v>0</v>
      </c>
    </row>
    <row r="8217" spans="8:8" x14ac:dyDescent="0.2">
      <c r="H8217">
        <v>0</v>
      </c>
    </row>
    <row r="8218" spans="8:8" x14ac:dyDescent="0.2">
      <c r="H8218">
        <v>0</v>
      </c>
    </row>
    <row r="8219" spans="8:8" x14ac:dyDescent="0.2">
      <c r="H8219">
        <v>0</v>
      </c>
    </row>
    <row r="8220" spans="8:8" x14ac:dyDescent="0.2">
      <c r="H8220">
        <v>0</v>
      </c>
    </row>
    <row r="8221" spans="8:8" x14ac:dyDescent="0.2">
      <c r="H8221">
        <v>0</v>
      </c>
    </row>
    <row r="8222" spans="8:8" x14ac:dyDescent="0.2">
      <c r="H8222">
        <v>0</v>
      </c>
    </row>
    <row r="8223" spans="8:8" x14ac:dyDescent="0.2">
      <c r="H8223">
        <v>0</v>
      </c>
    </row>
    <row r="8224" spans="8:8" x14ac:dyDescent="0.2">
      <c r="H8224">
        <v>0</v>
      </c>
    </row>
    <row r="8225" spans="8:8" x14ac:dyDescent="0.2">
      <c r="H8225">
        <v>0</v>
      </c>
    </row>
    <row r="8226" spans="8:8" x14ac:dyDescent="0.2">
      <c r="H8226">
        <v>0</v>
      </c>
    </row>
    <row r="8227" spans="8:8" x14ac:dyDescent="0.2">
      <c r="H8227">
        <v>0</v>
      </c>
    </row>
    <row r="8228" spans="8:8" x14ac:dyDescent="0.2">
      <c r="H8228">
        <v>0</v>
      </c>
    </row>
    <row r="8229" spans="8:8" x14ac:dyDescent="0.2">
      <c r="H8229">
        <v>0</v>
      </c>
    </row>
    <row r="8230" spans="8:8" x14ac:dyDescent="0.2">
      <c r="H8230">
        <v>0</v>
      </c>
    </row>
    <row r="8231" spans="8:8" x14ac:dyDescent="0.2">
      <c r="H8231">
        <v>0</v>
      </c>
    </row>
    <row r="8232" spans="8:8" x14ac:dyDescent="0.2">
      <c r="H8232">
        <v>0</v>
      </c>
    </row>
    <row r="8233" spans="8:8" x14ac:dyDescent="0.2">
      <c r="H8233">
        <v>0</v>
      </c>
    </row>
    <row r="8234" spans="8:8" x14ac:dyDescent="0.2">
      <c r="H8234">
        <v>0</v>
      </c>
    </row>
    <row r="8235" spans="8:8" x14ac:dyDescent="0.2">
      <c r="H8235">
        <v>0</v>
      </c>
    </row>
    <row r="8236" spans="8:8" x14ac:dyDescent="0.2">
      <c r="H8236">
        <v>0</v>
      </c>
    </row>
    <row r="8237" spans="8:8" x14ac:dyDescent="0.2">
      <c r="H8237">
        <v>0</v>
      </c>
    </row>
    <row r="8238" spans="8:8" x14ac:dyDescent="0.2">
      <c r="H8238">
        <v>0</v>
      </c>
    </row>
    <row r="8239" spans="8:8" x14ac:dyDescent="0.2">
      <c r="H8239">
        <v>0</v>
      </c>
    </row>
    <row r="8240" spans="8:8" x14ac:dyDescent="0.2">
      <c r="H8240">
        <v>0</v>
      </c>
    </row>
    <row r="8241" spans="8:8" x14ac:dyDescent="0.2">
      <c r="H8241">
        <v>0</v>
      </c>
    </row>
    <row r="8242" spans="8:8" x14ac:dyDescent="0.2">
      <c r="H8242">
        <v>0</v>
      </c>
    </row>
    <row r="8243" spans="8:8" x14ac:dyDescent="0.2">
      <c r="H8243">
        <v>0</v>
      </c>
    </row>
    <row r="8244" spans="8:8" x14ac:dyDescent="0.2">
      <c r="H8244">
        <v>0</v>
      </c>
    </row>
    <row r="8245" spans="8:8" x14ac:dyDescent="0.2">
      <c r="H8245">
        <v>0</v>
      </c>
    </row>
    <row r="8246" spans="8:8" x14ac:dyDescent="0.2">
      <c r="H8246">
        <v>0</v>
      </c>
    </row>
    <row r="8247" spans="8:8" x14ac:dyDescent="0.2">
      <c r="H8247">
        <v>0</v>
      </c>
    </row>
    <row r="8248" spans="8:8" x14ac:dyDescent="0.2">
      <c r="H8248">
        <v>0</v>
      </c>
    </row>
    <row r="8249" spans="8:8" x14ac:dyDescent="0.2">
      <c r="H8249">
        <v>0</v>
      </c>
    </row>
    <row r="8250" spans="8:8" x14ac:dyDescent="0.2">
      <c r="H8250">
        <v>0</v>
      </c>
    </row>
    <row r="8251" spans="8:8" x14ac:dyDescent="0.2">
      <c r="H8251">
        <v>0</v>
      </c>
    </row>
    <row r="8252" spans="8:8" x14ac:dyDescent="0.2">
      <c r="H8252">
        <v>0</v>
      </c>
    </row>
    <row r="8253" spans="8:8" x14ac:dyDescent="0.2">
      <c r="H8253">
        <v>0</v>
      </c>
    </row>
    <row r="8254" spans="8:8" x14ac:dyDescent="0.2">
      <c r="H8254">
        <v>0</v>
      </c>
    </row>
    <row r="8255" spans="8:8" x14ac:dyDescent="0.2">
      <c r="H8255">
        <v>0</v>
      </c>
    </row>
    <row r="8256" spans="8:8" x14ac:dyDescent="0.2">
      <c r="H8256">
        <v>0</v>
      </c>
    </row>
    <row r="8257" spans="8:8" x14ac:dyDescent="0.2">
      <c r="H8257">
        <v>0</v>
      </c>
    </row>
    <row r="8258" spans="8:8" x14ac:dyDescent="0.2">
      <c r="H8258">
        <v>0</v>
      </c>
    </row>
    <row r="8259" spans="8:8" x14ac:dyDescent="0.2">
      <c r="H8259">
        <v>0</v>
      </c>
    </row>
    <row r="8260" spans="8:8" x14ac:dyDescent="0.2">
      <c r="H8260">
        <v>0</v>
      </c>
    </row>
    <row r="8261" spans="8:8" x14ac:dyDescent="0.2">
      <c r="H8261">
        <v>0</v>
      </c>
    </row>
    <row r="8262" spans="8:8" x14ac:dyDescent="0.2">
      <c r="H8262">
        <v>0</v>
      </c>
    </row>
    <row r="8263" spans="8:8" x14ac:dyDescent="0.2">
      <c r="H8263">
        <v>0</v>
      </c>
    </row>
    <row r="8264" spans="8:8" x14ac:dyDescent="0.2">
      <c r="H8264">
        <v>0</v>
      </c>
    </row>
    <row r="8265" spans="8:8" x14ac:dyDescent="0.2">
      <c r="H8265">
        <v>0</v>
      </c>
    </row>
    <row r="8266" spans="8:8" x14ac:dyDescent="0.2">
      <c r="H8266">
        <v>0</v>
      </c>
    </row>
    <row r="8267" spans="8:8" x14ac:dyDescent="0.2">
      <c r="H8267">
        <v>0</v>
      </c>
    </row>
    <row r="8268" spans="8:8" x14ac:dyDescent="0.2">
      <c r="H8268">
        <v>0</v>
      </c>
    </row>
    <row r="8269" spans="8:8" x14ac:dyDescent="0.2">
      <c r="H8269">
        <v>0</v>
      </c>
    </row>
    <row r="8270" spans="8:8" x14ac:dyDescent="0.2">
      <c r="H8270">
        <v>0</v>
      </c>
    </row>
    <row r="8271" spans="8:8" x14ac:dyDescent="0.2">
      <c r="H8271">
        <v>0</v>
      </c>
    </row>
    <row r="8272" spans="8:8" x14ac:dyDescent="0.2">
      <c r="H8272">
        <v>0</v>
      </c>
    </row>
    <row r="8273" spans="8:8" x14ac:dyDescent="0.2">
      <c r="H8273">
        <v>0</v>
      </c>
    </row>
    <row r="8274" spans="8:8" x14ac:dyDescent="0.2">
      <c r="H8274">
        <v>0</v>
      </c>
    </row>
    <row r="8275" spans="8:8" x14ac:dyDescent="0.2">
      <c r="H8275">
        <v>0</v>
      </c>
    </row>
    <row r="8276" spans="8:8" x14ac:dyDescent="0.2">
      <c r="H8276">
        <v>0</v>
      </c>
    </row>
    <row r="8277" spans="8:8" x14ac:dyDescent="0.2">
      <c r="H8277">
        <v>0</v>
      </c>
    </row>
    <row r="8278" spans="8:8" x14ac:dyDescent="0.2">
      <c r="H8278">
        <v>0</v>
      </c>
    </row>
    <row r="8279" spans="8:8" x14ac:dyDescent="0.2">
      <c r="H8279">
        <v>0</v>
      </c>
    </row>
    <row r="8280" spans="8:8" x14ac:dyDescent="0.2">
      <c r="H8280">
        <v>0</v>
      </c>
    </row>
    <row r="8281" spans="8:8" x14ac:dyDescent="0.2">
      <c r="H8281">
        <v>0</v>
      </c>
    </row>
    <row r="8282" spans="8:8" x14ac:dyDescent="0.2">
      <c r="H8282">
        <v>0</v>
      </c>
    </row>
    <row r="8283" spans="8:8" x14ac:dyDescent="0.2">
      <c r="H8283">
        <v>0</v>
      </c>
    </row>
    <row r="8284" spans="8:8" x14ac:dyDescent="0.2">
      <c r="H8284">
        <v>0</v>
      </c>
    </row>
    <row r="8285" spans="8:8" x14ac:dyDescent="0.2">
      <c r="H8285">
        <v>0</v>
      </c>
    </row>
    <row r="8286" spans="8:8" x14ac:dyDescent="0.2">
      <c r="H8286">
        <v>0</v>
      </c>
    </row>
    <row r="8287" spans="8:8" x14ac:dyDescent="0.2">
      <c r="H8287">
        <v>0</v>
      </c>
    </row>
    <row r="8288" spans="8:8" x14ac:dyDescent="0.2">
      <c r="H8288">
        <v>0</v>
      </c>
    </row>
    <row r="8289" spans="8:8" x14ac:dyDescent="0.2">
      <c r="H8289">
        <v>0</v>
      </c>
    </row>
    <row r="8290" spans="8:8" x14ac:dyDescent="0.2">
      <c r="H8290">
        <v>0</v>
      </c>
    </row>
    <row r="8291" spans="8:8" x14ac:dyDescent="0.2">
      <c r="H8291">
        <v>0</v>
      </c>
    </row>
    <row r="8292" spans="8:8" x14ac:dyDescent="0.2">
      <c r="H8292">
        <v>0</v>
      </c>
    </row>
    <row r="8293" spans="8:8" x14ac:dyDescent="0.2">
      <c r="H8293">
        <v>0</v>
      </c>
    </row>
    <row r="8294" spans="8:8" x14ac:dyDescent="0.2">
      <c r="H8294">
        <v>0</v>
      </c>
    </row>
    <row r="8295" spans="8:8" x14ac:dyDescent="0.2">
      <c r="H8295">
        <v>0</v>
      </c>
    </row>
    <row r="8296" spans="8:8" x14ac:dyDescent="0.2">
      <c r="H8296">
        <v>0</v>
      </c>
    </row>
    <row r="8297" spans="8:8" x14ac:dyDescent="0.2">
      <c r="H8297">
        <v>0</v>
      </c>
    </row>
    <row r="8298" spans="8:8" x14ac:dyDescent="0.2">
      <c r="H8298">
        <v>0</v>
      </c>
    </row>
    <row r="8299" spans="8:8" x14ac:dyDescent="0.2">
      <c r="H8299">
        <v>0</v>
      </c>
    </row>
    <row r="8300" spans="8:8" x14ac:dyDescent="0.2">
      <c r="H8300">
        <v>0</v>
      </c>
    </row>
    <row r="8301" spans="8:8" x14ac:dyDescent="0.2">
      <c r="H8301">
        <v>0</v>
      </c>
    </row>
    <row r="8302" spans="8:8" x14ac:dyDescent="0.2">
      <c r="H8302">
        <v>0</v>
      </c>
    </row>
    <row r="8303" spans="8:8" x14ac:dyDescent="0.2">
      <c r="H8303">
        <v>0</v>
      </c>
    </row>
    <row r="8304" spans="8:8" x14ac:dyDescent="0.2">
      <c r="H8304">
        <v>0</v>
      </c>
    </row>
    <row r="8305" spans="8:8" x14ac:dyDescent="0.2">
      <c r="H8305">
        <v>0</v>
      </c>
    </row>
    <row r="8306" spans="8:8" x14ac:dyDescent="0.2">
      <c r="H8306">
        <v>0</v>
      </c>
    </row>
    <row r="8307" spans="8:8" x14ac:dyDescent="0.2">
      <c r="H8307">
        <v>0</v>
      </c>
    </row>
    <row r="8308" spans="8:8" x14ac:dyDescent="0.2">
      <c r="H8308">
        <v>0</v>
      </c>
    </row>
    <row r="8309" spans="8:8" x14ac:dyDescent="0.2">
      <c r="H8309">
        <v>0</v>
      </c>
    </row>
    <row r="8310" spans="8:8" x14ac:dyDescent="0.2">
      <c r="H8310">
        <v>0</v>
      </c>
    </row>
    <row r="8311" spans="8:8" x14ac:dyDescent="0.2">
      <c r="H8311">
        <v>0</v>
      </c>
    </row>
    <row r="8312" spans="8:8" x14ac:dyDescent="0.2">
      <c r="H8312">
        <v>0</v>
      </c>
    </row>
    <row r="8313" spans="8:8" x14ac:dyDescent="0.2">
      <c r="H8313">
        <v>0</v>
      </c>
    </row>
    <row r="8314" spans="8:8" x14ac:dyDescent="0.2">
      <c r="H8314">
        <v>0</v>
      </c>
    </row>
    <row r="8315" spans="8:8" x14ac:dyDescent="0.2">
      <c r="H8315">
        <v>0</v>
      </c>
    </row>
    <row r="8316" spans="8:8" x14ac:dyDescent="0.2">
      <c r="H8316">
        <v>0</v>
      </c>
    </row>
    <row r="8317" spans="8:8" x14ac:dyDescent="0.2">
      <c r="H8317">
        <v>0</v>
      </c>
    </row>
    <row r="8318" spans="8:8" x14ac:dyDescent="0.2">
      <c r="H8318">
        <v>0</v>
      </c>
    </row>
    <row r="8319" spans="8:8" x14ac:dyDescent="0.2">
      <c r="H8319">
        <v>0</v>
      </c>
    </row>
    <row r="8320" spans="8:8" x14ac:dyDescent="0.2">
      <c r="H8320">
        <v>0</v>
      </c>
    </row>
    <row r="8321" spans="8:8" x14ac:dyDescent="0.2">
      <c r="H8321">
        <v>0</v>
      </c>
    </row>
    <row r="8322" spans="8:8" x14ac:dyDescent="0.2">
      <c r="H8322">
        <v>0</v>
      </c>
    </row>
    <row r="8323" spans="8:8" x14ac:dyDescent="0.2">
      <c r="H8323">
        <v>0</v>
      </c>
    </row>
    <row r="8324" spans="8:8" x14ac:dyDescent="0.2">
      <c r="H8324">
        <v>0</v>
      </c>
    </row>
    <row r="8325" spans="8:8" x14ac:dyDescent="0.2">
      <c r="H8325">
        <v>0</v>
      </c>
    </row>
    <row r="8326" spans="8:8" x14ac:dyDescent="0.2">
      <c r="H8326">
        <v>0</v>
      </c>
    </row>
    <row r="8327" spans="8:8" x14ac:dyDescent="0.2">
      <c r="H8327">
        <v>0</v>
      </c>
    </row>
    <row r="8328" spans="8:8" x14ac:dyDescent="0.2">
      <c r="H8328">
        <v>0</v>
      </c>
    </row>
    <row r="8329" spans="8:8" x14ac:dyDescent="0.2">
      <c r="H8329">
        <v>0</v>
      </c>
    </row>
    <row r="8330" spans="8:8" x14ac:dyDescent="0.2">
      <c r="H8330">
        <v>0</v>
      </c>
    </row>
    <row r="8331" spans="8:8" x14ac:dyDescent="0.2">
      <c r="H8331">
        <v>0</v>
      </c>
    </row>
    <row r="8332" spans="8:8" x14ac:dyDescent="0.2">
      <c r="H8332">
        <v>0</v>
      </c>
    </row>
    <row r="8333" spans="8:8" x14ac:dyDescent="0.2">
      <c r="H8333">
        <v>0</v>
      </c>
    </row>
    <row r="8334" spans="8:8" x14ac:dyDescent="0.2">
      <c r="H8334">
        <v>0</v>
      </c>
    </row>
    <row r="8335" spans="8:8" x14ac:dyDescent="0.2">
      <c r="H8335">
        <v>0</v>
      </c>
    </row>
    <row r="8336" spans="8:8" x14ac:dyDescent="0.2">
      <c r="H8336">
        <v>0</v>
      </c>
    </row>
    <row r="8337" spans="8:8" x14ac:dyDescent="0.2">
      <c r="H8337">
        <v>0</v>
      </c>
    </row>
    <row r="8338" spans="8:8" x14ac:dyDescent="0.2">
      <c r="H8338">
        <v>0</v>
      </c>
    </row>
    <row r="8339" spans="8:8" x14ac:dyDescent="0.2">
      <c r="H8339">
        <v>0</v>
      </c>
    </row>
    <row r="8340" spans="8:8" x14ac:dyDescent="0.2">
      <c r="H8340">
        <v>0</v>
      </c>
    </row>
    <row r="8341" spans="8:8" x14ac:dyDescent="0.2">
      <c r="H8341">
        <v>0</v>
      </c>
    </row>
    <row r="8342" spans="8:8" x14ac:dyDescent="0.2">
      <c r="H8342">
        <v>0</v>
      </c>
    </row>
    <row r="8343" spans="8:8" x14ac:dyDescent="0.2">
      <c r="H8343">
        <v>0</v>
      </c>
    </row>
    <row r="8344" spans="8:8" x14ac:dyDescent="0.2">
      <c r="H8344">
        <v>0</v>
      </c>
    </row>
    <row r="8345" spans="8:8" x14ac:dyDescent="0.2">
      <c r="H8345">
        <v>0</v>
      </c>
    </row>
    <row r="8346" spans="8:8" x14ac:dyDescent="0.2">
      <c r="H8346">
        <v>0</v>
      </c>
    </row>
    <row r="8347" spans="8:8" x14ac:dyDescent="0.2">
      <c r="H8347">
        <v>0</v>
      </c>
    </row>
    <row r="8348" spans="8:8" x14ac:dyDescent="0.2">
      <c r="H8348">
        <v>0</v>
      </c>
    </row>
    <row r="8349" spans="8:8" x14ac:dyDescent="0.2">
      <c r="H8349">
        <v>0</v>
      </c>
    </row>
    <row r="8350" spans="8:8" x14ac:dyDescent="0.2">
      <c r="H8350">
        <v>0</v>
      </c>
    </row>
    <row r="8351" spans="8:8" x14ac:dyDescent="0.2">
      <c r="H8351">
        <v>0</v>
      </c>
    </row>
    <row r="8352" spans="8:8" x14ac:dyDescent="0.2">
      <c r="H8352">
        <v>0</v>
      </c>
    </row>
    <row r="8353" spans="8:8" x14ac:dyDescent="0.2">
      <c r="H8353">
        <v>0</v>
      </c>
    </row>
    <row r="8354" spans="8:8" x14ac:dyDescent="0.2">
      <c r="H8354">
        <v>0</v>
      </c>
    </row>
    <row r="8355" spans="8:8" x14ac:dyDescent="0.2">
      <c r="H8355">
        <v>0</v>
      </c>
    </row>
    <row r="8356" spans="8:8" x14ac:dyDescent="0.2">
      <c r="H8356">
        <v>0</v>
      </c>
    </row>
    <row r="8357" spans="8:8" x14ac:dyDescent="0.2">
      <c r="H8357">
        <v>0</v>
      </c>
    </row>
    <row r="8358" spans="8:8" x14ac:dyDescent="0.2">
      <c r="H8358">
        <v>0</v>
      </c>
    </row>
    <row r="8359" spans="8:8" x14ac:dyDescent="0.2">
      <c r="H8359">
        <v>0</v>
      </c>
    </row>
    <row r="8360" spans="8:8" x14ac:dyDescent="0.2">
      <c r="H8360">
        <v>0</v>
      </c>
    </row>
    <row r="8361" spans="8:8" x14ac:dyDescent="0.2">
      <c r="H8361">
        <v>0</v>
      </c>
    </row>
    <row r="8362" spans="8:8" x14ac:dyDescent="0.2">
      <c r="H8362">
        <v>0</v>
      </c>
    </row>
    <row r="8363" spans="8:8" x14ac:dyDescent="0.2">
      <c r="H8363">
        <v>0</v>
      </c>
    </row>
    <row r="8364" spans="8:8" x14ac:dyDescent="0.2">
      <c r="H8364">
        <v>0</v>
      </c>
    </row>
    <row r="8365" spans="8:8" x14ac:dyDescent="0.2">
      <c r="H8365">
        <v>0</v>
      </c>
    </row>
    <row r="8366" spans="8:8" x14ac:dyDescent="0.2">
      <c r="H8366">
        <v>0</v>
      </c>
    </row>
    <row r="8367" spans="8:8" x14ac:dyDescent="0.2">
      <c r="H8367">
        <v>0</v>
      </c>
    </row>
    <row r="8368" spans="8:8" x14ac:dyDescent="0.2">
      <c r="H8368">
        <v>0</v>
      </c>
    </row>
    <row r="8369" spans="8:8" x14ac:dyDescent="0.2">
      <c r="H8369">
        <v>0</v>
      </c>
    </row>
    <row r="8370" spans="8:8" x14ac:dyDescent="0.2">
      <c r="H8370">
        <v>0</v>
      </c>
    </row>
    <row r="8371" spans="8:8" x14ac:dyDescent="0.2">
      <c r="H8371">
        <v>0</v>
      </c>
    </row>
    <row r="8372" spans="8:8" x14ac:dyDescent="0.2">
      <c r="H8372">
        <v>0</v>
      </c>
    </row>
    <row r="8373" spans="8:8" x14ac:dyDescent="0.2">
      <c r="H8373">
        <v>0</v>
      </c>
    </row>
    <row r="8374" spans="8:8" x14ac:dyDescent="0.2">
      <c r="H8374">
        <v>0</v>
      </c>
    </row>
    <row r="8375" spans="8:8" x14ac:dyDescent="0.2">
      <c r="H8375">
        <v>0</v>
      </c>
    </row>
    <row r="8376" spans="8:8" x14ac:dyDescent="0.2">
      <c r="H8376">
        <v>0</v>
      </c>
    </row>
    <row r="8377" spans="8:8" x14ac:dyDescent="0.2">
      <c r="H8377">
        <v>0</v>
      </c>
    </row>
    <row r="8378" spans="8:8" x14ac:dyDescent="0.2">
      <c r="H8378">
        <v>0</v>
      </c>
    </row>
    <row r="8379" spans="8:8" x14ac:dyDescent="0.2">
      <c r="H8379">
        <v>0</v>
      </c>
    </row>
    <row r="8380" spans="8:8" x14ac:dyDescent="0.2">
      <c r="H8380">
        <v>0</v>
      </c>
    </row>
    <row r="8381" spans="8:8" x14ac:dyDescent="0.2">
      <c r="H8381">
        <v>0</v>
      </c>
    </row>
    <row r="8382" spans="8:8" x14ac:dyDescent="0.2">
      <c r="H8382">
        <v>0</v>
      </c>
    </row>
    <row r="8383" spans="8:8" x14ac:dyDescent="0.2">
      <c r="H8383">
        <v>0</v>
      </c>
    </row>
    <row r="8384" spans="8:8" x14ac:dyDescent="0.2">
      <c r="H8384">
        <v>0</v>
      </c>
    </row>
    <row r="8385" spans="8:8" x14ac:dyDescent="0.2">
      <c r="H8385">
        <v>0</v>
      </c>
    </row>
    <row r="8386" spans="8:8" x14ac:dyDescent="0.2">
      <c r="H8386">
        <v>0</v>
      </c>
    </row>
    <row r="8387" spans="8:8" x14ac:dyDescent="0.2">
      <c r="H8387">
        <v>0</v>
      </c>
    </row>
    <row r="8388" spans="8:8" x14ac:dyDescent="0.2">
      <c r="H8388">
        <v>0</v>
      </c>
    </row>
    <row r="8389" spans="8:8" x14ac:dyDescent="0.2">
      <c r="H8389">
        <v>0</v>
      </c>
    </row>
    <row r="8390" spans="8:8" x14ac:dyDescent="0.2">
      <c r="H8390">
        <v>0</v>
      </c>
    </row>
    <row r="8391" spans="8:8" x14ac:dyDescent="0.2">
      <c r="H8391">
        <v>0</v>
      </c>
    </row>
    <row r="8392" spans="8:8" x14ac:dyDescent="0.2">
      <c r="H8392">
        <v>0</v>
      </c>
    </row>
    <row r="8393" spans="8:8" x14ac:dyDescent="0.2">
      <c r="H8393">
        <v>0</v>
      </c>
    </row>
    <row r="8394" spans="8:8" x14ac:dyDescent="0.2">
      <c r="H8394">
        <v>0</v>
      </c>
    </row>
    <row r="8395" spans="8:8" x14ac:dyDescent="0.2">
      <c r="H8395">
        <v>0</v>
      </c>
    </row>
    <row r="8396" spans="8:8" x14ac:dyDescent="0.2">
      <c r="H8396">
        <v>0</v>
      </c>
    </row>
    <row r="8397" spans="8:8" x14ac:dyDescent="0.2">
      <c r="H8397">
        <v>0</v>
      </c>
    </row>
    <row r="8398" spans="8:8" x14ac:dyDescent="0.2">
      <c r="H8398">
        <v>0</v>
      </c>
    </row>
    <row r="8399" spans="8:8" x14ac:dyDescent="0.2">
      <c r="H8399">
        <v>0</v>
      </c>
    </row>
    <row r="8400" spans="8:8" x14ac:dyDescent="0.2">
      <c r="H8400">
        <v>0</v>
      </c>
    </row>
    <row r="8401" spans="8:8" x14ac:dyDescent="0.2">
      <c r="H8401">
        <v>0</v>
      </c>
    </row>
    <row r="8402" spans="8:8" x14ac:dyDescent="0.2">
      <c r="H8402">
        <v>0</v>
      </c>
    </row>
    <row r="8403" spans="8:8" x14ac:dyDescent="0.2">
      <c r="H8403">
        <v>0</v>
      </c>
    </row>
    <row r="8404" spans="8:8" x14ac:dyDescent="0.2">
      <c r="H8404">
        <v>0</v>
      </c>
    </row>
    <row r="8405" spans="8:8" x14ac:dyDescent="0.2">
      <c r="H8405">
        <v>0</v>
      </c>
    </row>
    <row r="8406" spans="8:8" x14ac:dyDescent="0.2">
      <c r="H8406">
        <v>0</v>
      </c>
    </row>
    <row r="8407" spans="8:8" x14ac:dyDescent="0.2">
      <c r="H8407">
        <v>0</v>
      </c>
    </row>
    <row r="8408" spans="8:8" x14ac:dyDescent="0.2">
      <c r="H8408">
        <v>0</v>
      </c>
    </row>
    <row r="8409" spans="8:8" x14ac:dyDescent="0.2">
      <c r="H8409">
        <v>0</v>
      </c>
    </row>
    <row r="8410" spans="8:8" x14ac:dyDescent="0.2">
      <c r="H8410">
        <v>0</v>
      </c>
    </row>
    <row r="8411" spans="8:8" x14ac:dyDescent="0.2">
      <c r="H8411">
        <v>0</v>
      </c>
    </row>
    <row r="8412" spans="8:8" x14ac:dyDescent="0.2">
      <c r="H8412">
        <v>0</v>
      </c>
    </row>
    <row r="8413" spans="8:8" x14ac:dyDescent="0.2">
      <c r="H8413">
        <v>0</v>
      </c>
    </row>
    <row r="8414" spans="8:8" x14ac:dyDescent="0.2">
      <c r="H8414">
        <v>0</v>
      </c>
    </row>
    <row r="8415" spans="8:8" x14ac:dyDescent="0.2">
      <c r="H8415">
        <v>0</v>
      </c>
    </row>
    <row r="8416" spans="8:8" x14ac:dyDescent="0.2">
      <c r="H8416">
        <v>0</v>
      </c>
    </row>
    <row r="8417" spans="8:8" x14ac:dyDescent="0.2">
      <c r="H8417">
        <v>0</v>
      </c>
    </row>
    <row r="8418" spans="8:8" x14ac:dyDescent="0.2">
      <c r="H8418">
        <v>0</v>
      </c>
    </row>
    <row r="8419" spans="8:8" x14ac:dyDescent="0.2">
      <c r="H8419">
        <v>0</v>
      </c>
    </row>
    <row r="8420" spans="8:8" x14ac:dyDescent="0.2">
      <c r="H8420">
        <v>0</v>
      </c>
    </row>
    <row r="8421" spans="8:8" x14ac:dyDescent="0.2">
      <c r="H8421">
        <v>0</v>
      </c>
    </row>
    <row r="8422" spans="8:8" x14ac:dyDescent="0.2">
      <c r="H8422">
        <v>0</v>
      </c>
    </row>
    <row r="8423" spans="8:8" x14ac:dyDescent="0.2">
      <c r="H8423">
        <v>0</v>
      </c>
    </row>
    <row r="8424" spans="8:8" x14ac:dyDescent="0.2">
      <c r="H8424">
        <v>0</v>
      </c>
    </row>
    <row r="8425" spans="8:8" x14ac:dyDescent="0.2">
      <c r="H8425">
        <v>0</v>
      </c>
    </row>
    <row r="8426" spans="8:8" x14ac:dyDescent="0.2">
      <c r="H8426">
        <v>0</v>
      </c>
    </row>
    <row r="8427" spans="8:8" x14ac:dyDescent="0.2">
      <c r="H8427">
        <v>0</v>
      </c>
    </row>
    <row r="8428" spans="8:8" x14ac:dyDescent="0.2">
      <c r="H8428">
        <v>0</v>
      </c>
    </row>
    <row r="8429" spans="8:8" x14ac:dyDescent="0.2">
      <c r="H8429">
        <v>0</v>
      </c>
    </row>
    <row r="8430" spans="8:8" x14ac:dyDescent="0.2">
      <c r="H8430">
        <v>0</v>
      </c>
    </row>
    <row r="8431" spans="8:8" x14ac:dyDescent="0.2">
      <c r="H8431">
        <v>0</v>
      </c>
    </row>
    <row r="8432" spans="8:8" x14ac:dyDescent="0.2">
      <c r="H8432">
        <v>0</v>
      </c>
    </row>
    <row r="8433" spans="8:8" x14ac:dyDescent="0.2">
      <c r="H8433">
        <v>0</v>
      </c>
    </row>
    <row r="8434" spans="8:8" x14ac:dyDescent="0.2">
      <c r="H8434">
        <v>0</v>
      </c>
    </row>
    <row r="8435" spans="8:8" x14ac:dyDescent="0.2">
      <c r="H8435">
        <v>0</v>
      </c>
    </row>
    <row r="8436" spans="8:8" x14ac:dyDescent="0.2">
      <c r="H8436">
        <v>0</v>
      </c>
    </row>
    <row r="8437" spans="8:8" x14ac:dyDescent="0.2">
      <c r="H8437">
        <v>0</v>
      </c>
    </row>
    <row r="8438" spans="8:8" x14ac:dyDescent="0.2">
      <c r="H8438">
        <v>0</v>
      </c>
    </row>
    <row r="8439" spans="8:8" x14ac:dyDescent="0.2">
      <c r="H8439">
        <v>0</v>
      </c>
    </row>
    <row r="8440" spans="8:8" x14ac:dyDescent="0.2">
      <c r="H8440">
        <v>0</v>
      </c>
    </row>
    <row r="8441" spans="8:8" x14ac:dyDescent="0.2">
      <c r="H8441">
        <v>0</v>
      </c>
    </row>
    <row r="8442" spans="8:8" x14ac:dyDescent="0.2">
      <c r="H8442">
        <v>0</v>
      </c>
    </row>
    <row r="8443" spans="8:8" x14ac:dyDescent="0.2">
      <c r="H8443">
        <v>0</v>
      </c>
    </row>
    <row r="8444" spans="8:8" x14ac:dyDescent="0.2">
      <c r="H8444">
        <v>0</v>
      </c>
    </row>
    <row r="8445" spans="8:8" x14ac:dyDescent="0.2">
      <c r="H8445">
        <v>0</v>
      </c>
    </row>
    <row r="8446" spans="8:8" x14ac:dyDescent="0.2">
      <c r="H8446">
        <v>0</v>
      </c>
    </row>
    <row r="8447" spans="8:8" x14ac:dyDescent="0.2">
      <c r="H8447">
        <v>0</v>
      </c>
    </row>
    <row r="8448" spans="8:8" x14ac:dyDescent="0.2">
      <c r="H8448">
        <v>0</v>
      </c>
    </row>
    <row r="8449" spans="8:8" x14ac:dyDescent="0.2">
      <c r="H8449">
        <v>0</v>
      </c>
    </row>
    <row r="8450" spans="8:8" x14ac:dyDescent="0.2">
      <c r="H8450">
        <v>0</v>
      </c>
    </row>
    <row r="8451" spans="8:8" x14ac:dyDescent="0.2">
      <c r="H8451">
        <v>0</v>
      </c>
    </row>
    <row r="8452" spans="8:8" x14ac:dyDescent="0.2">
      <c r="H8452">
        <v>0</v>
      </c>
    </row>
    <row r="8453" spans="8:8" x14ac:dyDescent="0.2">
      <c r="H8453">
        <v>0</v>
      </c>
    </row>
    <row r="8454" spans="8:8" x14ac:dyDescent="0.2">
      <c r="H8454">
        <v>0</v>
      </c>
    </row>
    <row r="8455" spans="8:8" x14ac:dyDescent="0.2">
      <c r="H8455">
        <v>0</v>
      </c>
    </row>
    <row r="8456" spans="8:8" x14ac:dyDescent="0.2">
      <c r="H8456">
        <v>0</v>
      </c>
    </row>
    <row r="8457" spans="8:8" x14ac:dyDescent="0.2">
      <c r="H8457">
        <v>0</v>
      </c>
    </row>
    <row r="8458" spans="8:8" x14ac:dyDescent="0.2">
      <c r="H8458">
        <v>0</v>
      </c>
    </row>
    <row r="8459" spans="8:8" x14ac:dyDescent="0.2">
      <c r="H8459">
        <v>0</v>
      </c>
    </row>
    <row r="8460" spans="8:8" x14ac:dyDescent="0.2">
      <c r="H8460">
        <v>0</v>
      </c>
    </row>
    <row r="8461" spans="8:8" x14ac:dyDescent="0.2">
      <c r="H8461">
        <v>0</v>
      </c>
    </row>
    <row r="8462" spans="8:8" x14ac:dyDescent="0.2">
      <c r="H8462">
        <v>0</v>
      </c>
    </row>
    <row r="8463" spans="8:8" x14ac:dyDescent="0.2">
      <c r="H8463">
        <v>0</v>
      </c>
    </row>
    <row r="8464" spans="8:8" x14ac:dyDescent="0.2">
      <c r="H8464">
        <v>0</v>
      </c>
    </row>
    <row r="8465" spans="8:8" x14ac:dyDescent="0.2">
      <c r="H8465">
        <v>0</v>
      </c>
    </row>
    <row r="8466" spans="8:8" x14ac:dyDescent="0.2">
      <c r="H8466">
        <v>0</v>
      </c>
    </row>
    <row r="8467" spans="8:8" x14ac:dyDescent="0.2">
      <c r="H8467">
        <v>0</v>
      </c>
    </row>
    <row r="8468" spans="8:8" x14ac:dyDescent="0.2">
      <c r="H8468">
        <v>0</v>
      </c>
    </row>
    <row r="8469" spans="8:8" x14ac:dyDescent="0.2">
      <c r="H8469">
        <v>0</v>
      </c>
    </row>
    <row r="8470" spans="8:8" x14ac:dyDescent="0.2">
      <c r="H8470">
        <v>0</v>
      </c>
    </row>
    <row r="8471" spans="8:8" x14ac:dyDescent="0.2">
      <c r="H8471">
        <v>0</v>
      </c>
    </row>
    <row r="8472" spans="8:8" x14ac:dyDescent="0.2">
      <c r="H8472">
        <v>0</v>
      </c>
    </row>
    <row r="8473" spans="8:8" x14ac:dyDescent="0.2">
      <c r="H8473">
        <v>0</v>
      </c>
    </row>
    <row r="8474" spans="8:8" x14ac:dyDescent="0.2">
      <c r="H8474">
        <v>0</v>
      </c>
    </row>
    <row r="8475" spans="8:8" x14ac:dyDescent="0.2">
      <c r="H8475">
        <v>0</v>
      </c>
    </row>
    <row r="8476" spans="8:8" x14ac:dyDescent="0.2">
      <c r="H8476">
        <v>0</v>
      </c>
    </row>
    <row r="8477" spans="8:8" x14ac:dyDescent="0.2">
      <c r="H8477">
        <v>0</v>
      </c>
    </row>
    <row r="8478" spans="8:8" x14ac:dyDescent="0.2">
      <c r="H8478">
        <v>0</v>
      </c>
    </row>
    <row r="8479" spans="8:8" x14ac:dyDescent="0.2">
      <c r="H8479">
        <v>0</v>
      </c>
    </row>
    <row r="8480" spans="8:8" x14ac:dyDescent="0.2">
      <c r="H8480">
        <v>0</v>
      </c>
    </row>
    <row r="8481" spans="8:8" x14ac:dyDescent="0.2">
      <c r="H8481">
        <v>0</v>
      </c>
    </row>
    <row r="8482" spans="8:8" x14ac:dyDescent="0.2">
      <c r="H8482">
        <v>0</v>
      </c>
    </row>
    <row r="8483" spans="8:8" x14ac:dyDescent="0.2">
      <c r="H8483">
        <v>0</v>
      </c>
    </row>
    <row r="8484" spans="8:8" x14ac:dyDescent="0.2">
      <c r="H8484">
        <v>0</v>
      </c>
    </row>
    <row r="8485" spans="8:8" x14ac:dyDescent="0.2">
      <c r="H8485">
        <v>0</v>
      </c>
    </row>
    <row r="8486" spans="8:8" x14ac:dyDescent="0.2">
      <c r="H8486">
        <v>0</v>
      </c>
    </row>
    <row r="8487" spans="8:8" x14ac:dyDescent="0.2">
      <c r="H8487">
        <v>0</v>
      </c>
    </row>
    <row r="8488" spans="8:8" x14ac:dyDescent="0.2">
      <c r="H8488">
        <v>0</v>
      </c>
    </row>
    <row r="8489" spans="8:8" x14ac:dyDescent="0.2">
      <c r="H8489">
        <v>0</v>
      </c>
    </row>
    <row r="8490" spans="8:8" x14ac:dyDescent="0.2">
      <c r="H8490">
        <v>0</v>
      </c>
    </row>
    <row r="8491" spans="8:8" x14ac:dyDescent="0.2">
      <c r="H8491">
        <v>0</v>
      </c>
    </row>
    <row r="8492" spans="8:8" x14ac:dyDescent="0.2">
      <c r="H8492">
        <v>0</v>
      </c>
    </row>
    <row r="8493" spans="8:8" x14ac:dyDescent="0.2">
      <c r="H8493">
        <v>0</v>
      </c>
    </row>
    <row r="8494" spans="8:8" x14ac:dyDescent="0.2">
      <c r="H8494">
        <v>0</v>
      </c>
    </row>
    <row r="8495" spans="8:8" x14ac:dyDescent="0.2">
      <c r="H8495">
        <v>0</v>
      </c>
    </row>
    <row r="8496" spans="8:8" x14ac:dyDescent="0.2">
      <c r="H8496">
        <v>0</v>
      </c>
    </row>
    <row r="8497" spans="8:8" x14ac:dyDescent="0.2">
      <c r="H8497">
        <v>0</v>
      </c>
    </row>
    <row r="8498" spans="8:8" x14ac:dyDescent="0.2">
      <c r="H8498">
        <v>0</v>
      </c>
    </row>
    <row r="8499" spans="8:8" x14ac:dyDescent="0.2">
      <c r="H8499">
        <v>0</v>
      </c>
    </row>
    <row r="8500" spans="8:8" x14ac:dyDescent="0.2">
      <c r="H8500">
        <v>0</v>
      </c>
    </row>
    <row r="8501" spans="8:8" x14ac:dyDescent="0.2">
      <c r="H8501">
        <v>0</v>
      </c>
    </row>
    <row r="8502" spans="8:8" x14ac:dyDescent="0.2">
      <c r="H8502">
        <v>0</v>
      </c>
    </row>
    <row r="8503" spans="8:8" x14ac:dyDescent="0.2">
      <c r="H8503">
        <v>0</v>
      </c>
    </row>
    <row r="8504" spans="8:8" x14ac:dyDescent="0.2">
      <c r="H8504">
        <v>0</v>
      </c>
    </row>
    <row r="8505" spans="8:8" x14ac:dyDescent="0.2">
      <c r="H8505">
        <v>0</v>
      </c>
    </row>
    <row r="8506" spans="8:8" x14ac:dyDescent="0.2">
      <c r="H8506">
        <v>0</v>
      </c>
    </row>
    <row r="8507" spans="8:8" x14ac:dyDescent="0.2">
      <c r="H8507">
        <v>0</v>
      </c>
    </row>
    <row r="8508" spans="8:8" x14ac:dyDescent="0.2">
      <c r="H8508">
        <v>0</v>
      </c>
    </row>
    <row r="8509" spans="8:8" x14ac:dyDescent="0.2">
      <c r="H8509">
        <v>0</v>
      </c>
    </row>
    <row r="8510" spans="8:8" x14ac:dyDescent="0.2">
      <c r="H8510">
        <v>0</v>
      </c>
    </row>
    <row r="8511" spans="8:8" x14ac:dyDescent="0.2">
      <c r="H8511">
        <v>0</v>
      </c>
    </row>
    <row r="8512" spans="8:8" x14ac:dyDescent="0.2">
      <c r="H8512">
        <v>0</v>
      </c>
    </row>
    <row r="8513" spans="8:8" x14ac:dyDescent="0.2">
      <c r="H8513">
        <v>0</v>
      </c>
    </row>
    <row r="8514" spans="8:8" x14ac:dyDescent="0.2">
      <c r="H8514">
        <v>0</v>
      </c>
    </row>
    <row r="8515" spans="8:8" x14ac:dyDescent="0.2">
      <c r="H8515">
        <v>0</v>
      </c>
    </row>
    <row r="8516" spans="8:8" x14ac:dyDescent="0.2">
      <c r="H8516">
        <v>0</v>
      </c>
    </row>
    <row r="8517" spans="8:8" x14ac:dyDescent="0.2">
      <c r="H8517">
        <v>0</v>
      </c>
    </row>
    <row r="8518" spans="8:8" x14ac:dyDescent="0.2">
      <c r="H8518">
        <v>0</v>
      </c>
    </row>
    <row r="8519" spans="8:8" x14ac:dyDescent="0.2">
      <c r="H8519">
        <v>0</v>
      </c>
    </row>
    <row r="8520" spans="8:8" x14ac:dyDescent="0.2">
      <c r="H8520">
        <v>0</v>
      </c>
    </row>
    <row r="8521" spans="8:8" x14ac:dyDescent="0.2">
      <c r="H8521">
        <v>0</v>
      </c>
    </row>
    <row r="8522" spans="8:8" x14ac:dyDescent="0.2">
      <c r="H8522">
        <v>0</v>
      </c>
    </row>
    <row r="8523" spans="8:8" x14ac:dyDescent="0.2">
      <c r="H8523">
        <v>0</v>
      </c>
    </row>
    <row r="8524" spans="8:8" x14ac:dyDescent="0.2">
      <c r="H8524">
        <v>0</v>
      </c>
    </row>
    <row r="8525" spans="8:8" x14ac:dyDescent="0.2">
      <c r="H8525">
        <v>0</v>
      </c>
    </row>
    <row r="8526" spans="8:8" x14ac:dyDescent="0.2">
      <c r="H8526">
        <v>0</v>
      </c>
    </row>
    <row r="8527" spans="8:8" x14ac:dyDescent="0.2">
      <c r="H8527">
        <v>0</v>
      </c>
    </row>
    <row r="8528" spans="8:8" x14ac:dyDescent="0.2">
      <c r="H8528">
        <v>0</v>
      </c>
    </row>
    <row r="8529" spans="8:8" x14ac:dyDescent="0.2">
      <c r="H8529">
        <v>0</v>
      </c>
    </row>
    <row r="8530" spans="8:8" x14ac:dyDescent="0.2">
      <c r="H8530">
        <v>0</v>
      </c>
    </row>
    <row r="8531" spans="8:8" x14ac:dyDescent="0.2">
      <c r="H8531">
        <v>0</v>
      </c>
    </row>
    <row r="8532" spans="8:8" x14ac:dyDescent="0.2">
      <c r="H8532">
        <v>0</v>
      </c>
    </row>
    <row r="8533" spans="8:8" x14ac:dyDescent="0.2">
      <c r="H8533">
        <v>0</v>
      </c>
    </row>
    <row r="8534" spans="8:8" x14ac:dyDescent="0.2">
      <c r="H8534">
        <v>0</v>
      </c>
    </row>
    <row r="8535" spans="8:8" x14ac:dyDescent="0.2">
      <c r="H8535">
        <v>0</v>
      </c>
    </row>
    <row r="8536" spans="8:8" x14ac:dyDescent="0.2">
      <c r="H8536">
        <v>0</v>
      </c>
    </row>
    <row r="8537" spans="8:8" x14ac:dyDescent="0.2">
      <c r="H8537">
        <v>0</v>
      </c>
    </row>
    <row r="8538" spans="8:8" x14ac:dyDescent="0.2">
      <c r="H8538">
        <v>0</v>
      </c>
    </row>
    <row r="8539" spans="8:8" x14ac:dyDescent="0.2">
      <c r="H8539">
        <v>0</v>
      </c>
    </row>
    <row r="8540" spans="8:8" x14ac:dyDescent="0.2">
      <c r="H8540">
        <v>0</v>
      </c>
    </row>
    <row r="8541" spans="8:8" x14ac:dyDescent="0.2">
      <c r="H8541">
        <v>0</v>
      </c>
    </row>
    <row r="8542" spans="8:8" x14ac:dyDescent="0.2">
      <c r="H8542">
        <v>0</v>
      </c>
    </row>
    <row r="8543" spans="8:8" x14ac:dyDescent="0.2">
      <c r="H8543">
        <v>0</v>
      </c>
    </row>
    <row r="8544" spans="8:8" x14ac:dyDescent="0.2">
      <c r="H8544">
        <v>0</v>
      </c>
    </row>
    <row r="8545" spans="8:8" x14ac:dyDescent="0.2">
      <c r="H8545">
        <v>0</v>
      </c>
    </row>
    <row r="8546" spans="8:8" x14ac:dyDescent="0.2">
      <c r="H8546">
        <v>0</v>
      </c>
    </row>
    <row r="8547" spans="8:8" x14ac:dyDescent="0.2">
      <c r="H8547">
        <v>0</v>
      </c>
    </row>
    <row r="8548" spans="8:8" x14ac:dyDescent="0.2">
      <c r="H8548">
        <v>0</v>
      </c>
    </row>
    <row r="8549" spans="8:8" x14ac:dyDescent="0.2">
      <c r="H8549">
        <v>0</v>
      </c>
    </row>
    <row r="8550" spans="8:8" x14ac:dyDescent="0.2">
      <c r="H8550">
        <v>0</v>
      </c>
    </row>
    <row r="8551" spans="8:8" x14ac:dyDescent="0.2">
      <c r="H8551">
        <v>0</v>
      </c>
    </row>
    <row r="8552" spans="8:8" x14ac:dyDescent="0.2">
      <c r="H8552">
        <v>0</v>
      </c>
    </row>
    <row r="8553" spans="8:8" x14ac:dyDescent="0.2">
      <c r="H8553">
        <v>0</v>
      </c>
    </row>
    <row r="8554" spans="8:8" x14ac:dyDescent="0.2">
      <c r="H8554">
        <v>0</v>
      </c>
    </row>
    <row r="8555" spans="8:8" x14ac:dyDescent="0.2">
      <c r="H8555">
        <v>0</v>
      </c>
    </row>
    <row r="8556" spans="8:8" x14ac:dyDescent="0.2">
      <c r="H8556">
        <v>0</v>
      </c>
    </row>
    <row r="8557" spans="8:8" x14ac:dyDescent="0.2">
      <c r="H8557">
        <v>0</v>
      </c>
    </row>
    <row r="8558" spans="8:8" x14ac:dyDescent="0.2">
      <c r="H8558">
        <v>0</v>
      </c>
    </row>
    <row r="8559" spans="8:8" x14ac:dyDescent="0.2">
      <c r="H8559">
        <v>0</v>
      </c>
    </row>
    <row r="8560" spans="8:8" x14ac:dyDescent="0.2">
      <c r="H8560">
        <v>0</v>
      </c>
    </row>
    <row r="8561" spans="8:8" x14ac:dyDescent="0.2">
      <c r="H8561">
        <v>0</v>
      </c>
    </row>
    <row r="8562" spans="8:8" x14ac:dyDescent="0.2">
      <c r="H8562">
        <v>0</v>
      </c>
    </row>
    <row r="8563" spans="8:8" x14ac:dyDescent="0.2">
      <c r="H8563">
        <v>0</v>
      </c>
    </row>
    <row r="8564" spans="8:8" x14ac:dyDescent="0.2">
      <c r="H8564">
        <v>0</v>
      </c>
    </row>
    <row r="8565" spans="8:8" x14ac:dyDescent="0.2">
      <c r="H8565">
        <v>0</v>
      </c>
    </row>
    <row r="8566" spans="8:8" x14ac:dyDescent="0.2">
      <c r="H8566">
        <v>0</v>
      </c>
    </row>
    <row r="8567" spans="8:8" x14ac:dyDescent="0.2">
      <c r="H8567">
        <v>0</v>
      </c>
    </row>
    <row r="8568" spans="8:8" x14ac:dyDescent="0.2">
      <c r="H8568">
        <v>0</v>
      </c>
    </row>
    <row r="8569" spans="8:8" x14ac:dyDescent="0.2">
      <c r="H8569">
        <v>0</v>
      </c>
    </row>
    <row r="8570" spans="8:8" x14ac:dyDescent="0.2">
      <c r="H8570">
        <v>0</v>
      </c>
    </row>
    <row r="8571" spans="8:8" x14ac:dyDescent="0.2">
      <c r="H8571">
        <v>0</v>
      </c>
    </row>
    <row r="8572" spans="8:8" x14ac:dyDescent="0.2">
      <c r="H8572">
        <v>0</v>
      </c>
    </row>
    <row r="8573" spans="8:8" x14ac:dyDescent="0.2">
      <c r="H8573">
        <v>0</v>
      </c>
    </row>
    <row r="8574" spans="8:8" x14ac:dyDescent="0.2">
      <c r="H8574">
        <v>0</v>
      </c>
    </row>
    <row r="8575" spans="8:8" x14ac:dyDescent="0.2">
      <c r="H8575">
        <v>0</v>
      </c>
    </row>
    <row r="8576" spans="8:8" x14ac:dyDescent="0.2">
      <c r="H8576">
        <v>0</v>
      </c>
    </row>
    <row r="8577" spans="8:8" x14ac:dyDescent="0.2">
      <c r="H8577">
        <v>0</v>
      </c>
    </row>
    <row r="8578" spans="8:8" x14ac:dyDescent="0.2">
      <c r="H8578">
        <v>0</v>
      </c>
    </row>
    <row r="8579" spans="8:8" x14ac:dyDescent="0.2">
      <c r="H8579">
        <v>0</v>
      </c>
    </row>
    <row r="8580" spans="8:8" x14ac:dyDescent="0.2">
      <c r="H8580">
        <v>0</v>
      </c>
    </row>
    <row r="8581" spans="8:8" x14ac:dyDescent="0.2">
      <c r="H8581">
        <v>0</v>
      </c>
    </row>
    <row r="8582" spans="8:8" x14ac:dyDescent="0.2">
      <c r="H8582">
        <v>0</v>
      </c>
    </row>
    <row r="8583" spans="8:8" x14ac:dyDescent="0.2">
      <c r="H8583">
        <v>0</v>
      </c>
    </row>
    <row r="8584" spans="8:8" x14ac:dyDescent="0.2">
      <c r="H8584">
        <v>0</v>
      </c>
    </row>
    <row r="8585" spans="8:8" x14ac:dyDescent="0.2">
      <c r="H8585">
        <v>0</v>
      </c>
    </row>
    <row r="8586" spans="8:8" x14ac:dyDescent="0.2">
      <c r="H8586">
        <v>0</v>
      </c>
    </row>
    <row r="8587" spans="8:8" x14ac:dyDescent="0.2">
      <c r="H8587">
        <v>0</v>
      </c>
    </row>
    <row r="8588" spans="8:8" x14ac:dyDescent="0.2">
      <c r="H8588">
        <v>0</v>
      </c>
    </row>
    <row r="8589" spans="8:8" x14ac:dyDescent="0.2">
      <c r="H8589">
        <v>0</v>
      </c>
    </row>
    <row r="8590" spans="8:8" x14ac:dyDescent="0.2">
      <c r="H8590">
        <v>0</v>
      </c>
    </row>
    <row r="8591" spans="8:8" x14ac:dyDescent="0.2">
      <c r="H8591">
        <v>0</v>
      </c>
    </row>
    <row r="8592" spans="8:8" x14ac:dyDescent="0.2">
      <c r="H8592">
        <v>0</v>
      </c>
    </row>
    <row r="8593" spans="8:8" x14ac:dyDescent="0.2">
      <c r="H8593">
        <v>0</v>
      </c>
    </row>
    <row r="8594" spans="8:8" x14ac:dyDescent="0.2">
      <c r="H8594">
        <v>0</v>
      </c>
    </row>
    <row r="8595" spans="8:8" x14ac:dyDescent="0.2">
      <c r="H8595">
        <v>0</v>
      </c>
    </row>
    <row r="8596" spans="8:8" x14ac:dyDescent="0.2">
      <c r="H8596">
        <v>0</v>
      </c>
    </row>
    <row r="8597" spans="8:8" x14ac:dyDescent="0.2">
      <c r="H8597">
        <v>0</v>
      </c>
    </row>
    <row r="8598" spans="8:8" x14ac:dyDescent="0.2">
      <c r="H8598">
        <v>0</v>
      </c>
    </row>
    <row r="8599" spans="8:8" x14ac:dyDescent="0.2">
      <c r="H8599">
        <v>0</v>
      </c>
    </row>
    <row r="8600" spans="8:8" x14ac:dyDescent="0.2">
      <c r="H8600">
        <v>0</v>
      </c>
    </row>
    <row r="8601" spans="8:8" x14ac:dyDescent="0.2">
      <c r="H8601">
        <v>0</v>
      </c>
    </row>
    <row r="8602" spans="8:8" x14ac:dyDescent="0.2">
      <c r="H8602">
        <v>0</v>
      </c>
    </row>
    <row r="8603" spans="8:8" x14ac:dyDescent="0.2">
      <c r="H8603">
        <v>0</v>
      </c>
    </row>
    <row r="8604" spans="8:8" x14ac:dyDescent="0.2">
      <c r="H8604">
        <v>0</v>
      </c>
    </row>
    <row r="8605" spans="8:8" x14ac:dyDescent="0.2">
      <c r="H8605">
        <v>0</v>
      </c>
    </row>
    <row r="8606" spans="8:8" x14ac:dyDescent="0.2">
      <c r="H8606">
        <v>0</v>
      </c>
    </row>
    <row r="8607" spans="8:8" x14ac:dyDescent="0.2">
      <c r="H8607">
        <v>0</v>
      </c>
    </row>
    <row r="8608" spans="8:8" x14ac:dyDescent="0.2">
      <c r="H8608">
        <v>0</v>
      </c>
    </row>
    <row r="8609" spans="8:8" x14ac:dyDescent="0.2">
      <c r="H8609">
        <v>0</v>
      </c>
    </row>
    <row r="8610" spans="8:8" x14ac:dyDescent="0.2">
      <c r="H8610">
        <v>0</v>
      </c>
    </row>
    <row r="8611" spans="8:8" x14ac:dyDescent="0.2">
      <c r="H8611">
        <v>0</v>
      </c>
    </row>
    <row r="8612" spans="8:8" x14ac:dyDescent="0.2">
      <c r="H8612">
        <v>0</v>
      </c>
    </row>
    <row r="8613" spans="8:8" x14ac:dyDescent="0.2">
      <c r="H8613">
        <v>0</v>
      </c>
    </row>
    <row r="8614" spans="8:8" x14ac:dyDescent="0.2">
      <c r="H8614">
        <v>0</v>
      </c>
    </row>
    <row r="8615" spans="8:8" x14ac:dyDescent="0.2">
      <c r="H8615">
        <v>0</v>
      </c>
    </row>
    <row r="8616" spans="8:8" x14ac:dyDescent="0.2">
      <c r="H8616">
        <v>0</v>
      </c>
    </row>
    <row r="8617" spans="8:8" x14ac:dyDescent="0.2">
      <c r="H8617">
        <v>0</v>
      </c>
    </row>
    <row r="8618" spans="8:8" x14ac:dyDescent="0.2">
      <c r="H8618">
        <v>0</v>
      </c>
    </row>
    <row r="8619" spans="8:8" x14ac:dyDescent="0.2">
      <c r="H8619">
        <v>0</v>
      </c>
    </row>
    <row r="8620" spans="8:8" x14ac:dyDescent="0.2">
      <c r="H8620">
        <v>0</v>
      </c>
    </row>
    <row r="8621" spans="8:8" x14ac:dyDescent="0.2">
      <c r="H8621">
        <v>0</v>
      </c>
    </row>
    <row r="8622" spans="8:8" x14ac:dyDescent="0.2">
      <c r="H8622">
        <v>0</v>
      </c>
    </row>
    <row r="8623" spans="8:8" x14ac:dyDescent="0.2">
      <c r="H8623">
        <v>0</v>
      </c>
    </row>
    <row r="8624" spans="8:8" x14ac:dyDescent="0.2">
      <c r="H8624">
        <v>0</v>
      </c>
    </row>
    <row r="8625" spans="8:8" x14ac:dyDescent="0.2">
      <c r="H8625">
        <v>0</v>
      </c>
    </row>
    <row r="8626" spans="8:8" x14ac:dyDescent="0.2">
      <c r="H8626">
        <v>0</v>
      </c>
    </row>
    <row r="8627" spans="8:8" x14ac:dyDescent="0.2">
      <c r="H8627">
        <v>0</v>
      </c>
    </row>
    <row r="8628" spans="8:8" x14ac:dyDescent="0.2">
      <c r="H8628">
        <v>0</v>
      </c>
    </row>
    <row r="8629" spans="8:8" x14ac:dyDescent="0.2">
      <c r="H8629">
        <v>0</v>
      </c>
    </row>
    <row r="8630" spans="8:8" x14ac:dyDescent="0.2">
      <c r="H8630">
        <v>0</v>
      </c>
    </row>
    <row r="8631" spans="8:8" x14ac:dyDescent="0.2">
      <c r="H8631">
        <v>0</v>
      </c>
    </row>
    <row r="8632" spans="8:8" x14ac:dyDescent="0.2">
      <c r="H8632">
        <v>0</v>
      </c>
    </row>
    <row r="8633" spans="8:8" x14ac:dyDescent="0.2">
      <c r="H8633">
        <v>0</v>
      </c>
    </row>
    <row r="8634" spans="8:8" x14ac:dyDescent="0.2">
      <c r="H8634">
        <v>0</v>
      </c>
    </row>
    <row r="8635" spans="8:8" x14ac:dyDescent="0.2">
      <c r="H8635">
        <v>0</v>
      </c>
    </row>
    <row r="8636" spans="8:8" x14ac:dyDescent="0.2">
      <c r="H8636">
        <v>0</v>
      </c>
    </row>
    <row r="8637" spans="8:8" x14ac:dyDescent="0.2">
      <c r="H8637">
        <v>0</v>
      </c>
    </row>
    <row r="8638" spans="8:8" x14ac:dyDescent="0.2">
      <c r="H8638">
        <v>0</v>
      </c>
    </row>
    <row r="8639" spans="8:8" x14ac:dyDescent="0.2">
      <c r="H8639">
        <v>0</v>
      </c>
    </row>
    <row r="8640" spans="8:8" x14ac:dyDescent="0.2">
      <c r="H8640">
        <v>0</v>
      </c>
    </row>
    <row r="8641" spans="8:8" x14ac:dyDescent="0.2">
      <c r="H8641">
        <v>0</v>
      </c>
    </row>
    <row r="8642" spans="8:8" x14ac:dyDescent="0.2">
      <c r="H8642">
        <v>0</v>
      </c>
    </row>
    <row r="8643" spans="8:8" x14ac:dyDescent="0.2">
      <c r="H8643">
        <v>0</v>
      </c>
    </row>
    <row r="8644" spans="8:8" x14ac:dyDescent="0.2">
      <c r="H8644">
        <v>0</v>
      </c>
    </row>
    <row r="8645" spans="8:8" x14ac:dyDescent="0.2">
      <c r="H8645">
        <v>0</v>
      </c>
    </row>
    <row r="8646" spans="8:8" x14ac:dyDescent="0.2">
      <c r="H8646">
        <v>0</v>
      </c>
    </row>
    <row r="8647" spans="8:8" x14ac:dyDescent="0.2">
      <c r="H8647">
        <v>0</v>
      </c>
    </row>
    <row r="8648" spans="8:8" x14ac:dyDescent="0.2">
      <c r="H8648">
        <v>0</v>
      </c>
    </row>
    <row r="8649" spans="8:8" x14ac:dyDescent="0.2">
      <c r="H8649">
        <v>0</v>
      </c>
    </row>
    <row r="8650" spans="8:8" x14ac:dyDescent="0.2">
      <c r="H8650">
        <v>0</v>
      </c>
    </row>
    <row r="8651" spans="8:8" x14ac:dyDescent="0.2">
      <c r="H8651">
        <v>0</v>
      </c>
    </row>
    <row r="8652" spans="8:8" x14ac:dyDescent="0.2">
      <c r="H8652">
        <v>0</v>
      </c>
    </row>
    <row r="8653" spans="8:8" x14ac:dyDescent="0.2">
      <c r="H8653">
        <v>0</v>
      </c>
    </row>
    <row r="8654" spans="8:8" x14ac:dyDescent="0.2">
      <c r="H8654">
        <v>0</v>
      </c>
    </row>
    <row r="8655" spans="8:8" x14ac:dyDescent="0.2">
      <c r="H8655">
        <v>0</v>
      </c>
    </row>
    <row r="8656" spans="8:8" x14ac:dyDescent="0.2">
      <c r="H8656">
        <v>0</v>
      </c>
    </row>
    <row r="8657" spans="8:8" x14ac:dyDescent="0.2">
      <c r="H8657">
        <v>0</v>
      </c>
    </row>
    <row r="8658" spans="8:8" x14ac:dyDescent="0.2">
      <c r="H8658">
        <v>0</v>
      </c>
    </row>
    <row r="8659" spans="8:8" x14ac:dyDescent="0.2">
      <c r="H8659">
        <v>0</v>
      </c>
    </row>
    <row r="8660" spans="8:8" x14ac:dyDescent="0.2">
      <c r="H8660">
        <v>0</v>
      </c>
    </row>
    <row r="8661" spans="8:8" x14ac:dyDescent="0.2">
      <c r="H8661">
        <v>0</v>
      </c>
    </row>
    <row r="8662" spans="8:8" x14ac:dyDescent="0.2">
      <c r="H8662">
        <v>0</v>
      </c>
    </row>
    <row r="8663" spans="8:8" x14ac:dyDescent="0.2">
      <c r="H8663">
        <v>0</v>
      </c>
    </row>
    <row r="8664" spans="8:8" x14ac:dyDescent="0.2">
      <c r="H8664">
        <v>0</v>
      </c>
    </row>
    <row r="8665" spans="8:8" x14ac:dyDescent="0.2">
      <c r="H8665">
        <v>0</v>
      </c>
    </row>
    <row r="8666" spans="8:8" x14ac:dyDescent="0.2">
      <c r="H8666">
        <v>0</v>
      </c>
    </row>
    <row r="8667" spans="8:8" x14ac:dyDescent="0.2">
      <c r="H8667">
        <v>0</v>
      </c>
    </row>
    <row r="8668" spans="8:8" x14ac:dyDescent="0.2">
      <c r="H8668">
        <v>0</v>
      </c>
    </row>
    <row r="8669" spans="8:8" x14ac:dyDescent="0.2">
      <c r="H8669">
        <v>0</v>
      </c>
    </row>
    <row r="8670" spans="8:8" x14ac:dyDescent="0.2">
      <c r="H8670">
        <v>0</v>
      </c>
    </row>
    <row r="8671" spans="8:8" x14ac:dyDescent="0.2">
      <c r="H8671">
        <v>0</v>
      </c>
    </row>
    <row r="8672" spans="8:8" x14ac:dyDescent="0.2">
      <c r="H8672">
        <v>0</v>
      </c>
    </row>
    <row r="8673" spans="8:8" x14ac:dyDescent="0.2">
      <c r="H8673">
        <v>0</v>
      </c>
    </row>
    <row r="8674" spans="8:8" x14ac:dyDescent="0.2">
      <c r="H8674">
        <v>0</v>
      </c>
    </row>
    <row r="8675" spans="8:8" x14ac:dyDescent="0.2">
      <c r="H8675">
        <v>0</v>
      </c>
    </row>
    <row r="8676" spans="8:8" x14ac:dyDescent="0.2">
      <c r="H8676">
        <v>0</v>
      </c>
    </row>
    <row r="8677" spans="8:8" x14ac:dyDescent="0.2">
      <c r="H8677">
        <v>0</v>
      </c>
    </row>
    <row r="8678" spans="8:8" x14ac:dyDescent="0.2">
      <c r="H8678">
        <v>0</v>
      </c>
    </row>
    <row r="8679" spans="8:8" x14ac:dyDescent="0.2">
      <c r="H8679">
        <v>0</v>
      </c>
    </row>
    <row r="8680" spans="8:8" x14ac:dyDescent="0.2">
      <c r="H8680">
        <v>0</v>
      </c>
    </row>
    <row r="8681" spans="8:8" x14ac:dyDescent="0.2">
      <c r="H8681">
        <v>0</v>
      </c>
    </row>
    <row r="8682" spans="8:8" x14ac:dyDescent="0.2">
      <c r="H8682">
        <v>0</v>
      </c>
    </row>
    <row r="8683" spans="8:8" x14ac:dyDescent="0.2">
      <c r="H8683">
        <v>0</v>
      </c>
    </row>
    <row r="8684" spans="8:8" x14ac:dyDescent="0.2">
      <c r="H8684">
        <v>0</v>
      </c>
    </row>
    <row r="8685" spans="8:8" x14ac:dyDescent="0.2">
      <c r="H8685">
        <v>0</v>
      </c>
    </row>
    <row r="8686" spans="8:8" x14ac:dyDescent="0.2">
      <c r="H8686">
        <v>0</v>
      </c>
    </row>
    <row r="8687" spans="8:8" x14ac:dyDescent="0.2">
      <c r="H8687">
        <v>0</v>
      </c>
    </row>
    <row r="8688" spans="8:8" x14ac:dyDescent="0.2">
      <c r="H8688">
        <v>0</v>
      </c>
    </row>
    <row r="8689" spans="8:8" x14ac:dyDescent="0.2">
      <c r="H8689">
        <v>0</v>
      </c>
    </row>
    <row r="8690" spans="8:8" x14ac:dyDescent="0.2">
      <c r="H8690">
        <v>0</v>
      </c>
    </row>
    <row r="8691" spans="8:8" x14ac:dyDescent="0.2">
      <c r="H8691">
        <v>0</v>
      </c>
    </row>
    <row r="8692" spans="8:8" x14ac:dyDescent="0.2">
      <c r="H8692">
        <v>0</v>
      </c>
    </row>
    <row r="8693" spans="8:8" x14ac:dyDescent="0.2">
      <c r="H8693">
        <v>0</v>
      </c>
    </row>
    <row r="8694" spans="8:8" x14ac:dyDescent="0.2">
      <c r="H8694">
        <v>0</v>
      </c>
    </row>
    <row r="8695" spans="8:8" x14ac:dyDescent="0.2">
      <c r="H8695">
        <v>0</v>
      </c>
    </row>
    <row r="8696" spans="8:8" x14ac:dyDescent="0.2">
      <c r="H8696">
        <v>0</v>
      </c>
    </row>
    <row r="8697" spans="8:8" x14ac:dyDescent="0.2">
      <c r="H8697">
        <v>0</v>
      </c>
    </row>
    <row r="8698" spans="8:8" x14ac:dyDescent="0.2">
      <c r="H8698">
        <v>0</v>
      </c>
    </row>
    <row r="8699" spans="8:8" x14ac:dyDescent="0.2">
      <c r="H8699">
        <v>0</v>
      </c>
    </row>
    <row r="8700" spans="8:8" x14ac:dyDescent="0.2">
      <c r="H8700">
        <v>0</v>
      </c>
    </row>
    <row r="8701" spans="8:8" x14ac:dyDescent="0.2">
      <c r="H8701">
        <v>0</v>
      </c>
    </row>
    <row r="8702" spans="8:8" x14ac:dyDescent="0.2">
      <c r="H8702">
        <v>0</v>
      </c>
    </row>
    <row r="8703" spans="8:8" x14ac:dyDescent="0.2">
      <c r="H8703">
        <v>0</v>
      </c>
    </row>
    <row r="8704" spans="8:8" x14ac:dyDescent="0.2">
      <c r="H8704">
        <v>0</v>
      </c>
    </row>
    <row r="8705" spans="8:8" x14ac:dyDescent="0.2">
      <c r="H8705">
        <v>0</v>
      </c>
    </row>
    <row r="8706" spans="8:8" x14ac:dyDescent="0.2">
      <c r="H8706">
        <v>0</v>
      </c>
    </row>
    <row r="8707" spans="8:8" x14ac:dyDescent="0.2">
      <c r="H8707">
        <v>0</v>
      </c>
    </row>
    <row r="8708" spans="8:8" x14ac:dyDescent="0.2">
      <c r="H8708">
        <v>0</v>
      </c>
    </row>
    <row r="8709" spans="8:8" x14ac:dyDescent="0.2">
      <c r="H8709">
        <v>0</v>
      </c>
    </row>
    <row r="8710" spans="8:8" x14ac:dyDescent="0.2">
      <c r="H8710">
        <v>0</v>
      </c>
    </row>
    <row r="8711" spans="8:8" x14ac:dyDescent="0.2">
      <c r="H8711">
        <v>0</v>
      </c>
    </row>
    <row r="8712" spans="8:8" x14ac:dyDescent="0.2">
      <c r="H8712">
        <v>0</v>
      </c>
    </row>
    <row r="8713" spans="8:8" x14ac:dyDescent="0.2">
      <c r="H8713">
        <v>0</v>
      </c>
    </row>
    <row r="8714" spans="8:8" x14ac:dyDescent="0.2">
      <c r="H8714">
        <v>0</v>
      </c>
    </row>
    <row r="8715" spans="8:8" x14ac:dyDescent="0.2">
      <c r="H8715">
        <v>0</v>
      </c>
    </row>
    <row r="8716" spans="8:8" x14ac:dyDescent="0.2">
      <c r="H8716">
        <v>0</v>
      </c>
    </row>
    <row r="8717" spans="8:8" x14ac:dyDescent="0.2">
      <c r="H8717">
        <v>0</v>
      </c>
    </row>
    <row r="8718" spans="8:8" x14ac:dyDescent="0.2">
      <c r="H8718">
        <v>0</v>
      </c>
    </row>
    <row r="8719" spans="8:8" x14ac:dyDescent="0.2">
      <c r="H8719">
        <v>0</v>
      </c>
    </row>
    <row r="8720" spans="8:8" x14ac:dyDescent="0.2">
      <c r="H8720">
        <v>0</v>
      </c>
    </row>
    <row r="8721" spans="8:8" x14ac:dyDescent="0.2">
      <c r="H8721">
        <v>0</v>
      </c>
    </row>
    <row r="8722" spans="8:8" x14ac:dyDescent="0.2">
      <c r="H8722">
        <v>0</v>
      </c>
    </row>
    <row r="8723" spans="8:8" x14ac:dyDescent="0.2">
      <c r="H8723">
        <v>0</v>
      </c>
    </row>
    <row r="8724" spans="8:8" x14ac:dyDescent="0.2">
      <c r="H8724">
        <v>0</v>
      </c>
    </row>
    <row r="8725" spans="8:8" x14ac:dyDescent="0.2">
      <c r="H8725">
        <v>0</v>
      </c>
    </row>
    <row r="8726" spans="8:8" x14ac:dyDescent="0.2">
      <c r="H8726">
        <v>0</v>
      </c>
    </row>
    <row r="8727" spans="8:8" x14ac:dyDescent="0.2">
      <c r="H8727">
        <v>0</v>
      </c>
    </row>
    <row r="8728" spans="8:8" x14ac:dyDescent="0.2">
      <c r="H8728">
        <v>0</v>
      </c>
    </row>
    <row r="8729" spans="8:8" x14ac:dyDescent="0.2">
      <c r="H8729">
        <v>0</v>
      </c>
    </row>
    <row r="8730" spans="8:8" x14ac:dyDescent="0.2">
      <c r="H8730">
        <v>0</v>
      </c>
    </row>
    <row r="8731" spans="8:8" x14ac:dyDescent="0.2">
      <c r="H8731">
        <v>0</v>
      </c>
    </row>
    <row r="8732" spans="8:8" x14ac:dyDescent="0.2">
      <c r="H8732">
        <v>0</v>
      </c>
    </row>
    <row r="8733" spans="8:8" x14ac:dyDescent="0.2">
      <c r="H8733">
        <v>0</v>
      </c>
    </row>
    <row r="8734" spans="8:8" x14ac:dyDescent="0.2">
      <c r="H8734">
        <v>0</v>
      </c>
    </row>
    <row r="8735" spans="8:8" x14ac:dyDescent="0.2">
      <c r="H8735">
        <v>0</v>
      </c>
    </row>
    <row r="8736" spans="8:8" x14ac:dyDescent="0.2">
      <c r="H8736">
        <v>0</v>
      </c>
    </row>
    <row r="8737" spans="8:8" x14ac:dyDescent="0.2">
      <c r="H8737">
        <v>0</v>
      </c>
    </row>
    <row r="8738" spans="8:8" x14ac:dyDescent="0.2">
      <c r="H8738">
        <v>0</v>
      </c>
    </row>
    <row r="8739" spans="8:8" x14ac:dyDescent="0.2">
      <c r="H8739">
        <v>0</v>
      </c>
    </row>
    <row r="8740" spans="8:8" x14ac:dyDescent="0.2">
      <c r="H8740">
        <v>0</v>
      </c>
    </row>
    <row r="8741" spans="8:8" x14ac:dyDescent="0.2">
      <c r="H8741">
        <v>0</v>
      </c>
    </row>
    <row r="8742" spans="8:8" x14ac:dyDescent="0.2">
      <c r="H8742">
        <v>0</v>
      </c>
    </row>
    <row r="8743" spans="8:8" x14ac:dyDescent="0.2">
      <c r="H8743">
        <v>0</v>
      </c>
    </row>
    <row r="8744" spans="8:8" x14ac:dyDescent="0.2">
      <c r="H8744">
        <v>0</v>
      </c>
    </row>
    <row r="8745" spans="8:8" x14ac:dyDescent="0.2">
      <c r="H8745">
        <v>0</v>
      </c>
    </row>
    <row r="8746" spans="8:8" x14ac:dyDescent="0.2">
      <c r="H8746">
        <v>0</v>
      </c>
    </row>
    <row r="8747" spans="8:8" x14ac:dyDescent="0.2">
      <c r="H8747">
        <v>0</v>
      </c>
    </row>
    <row r="8748" spans="8:8" x14ac:dyDescent="0.2">
      <c r="H8748">
        <v>0</v>
      </c>
    </row>
    <row r="8749" spans="8:8" x14ac:dyDescent="0.2">
      <c r="H8749">
        <v>0</v>
      </c>
    </row>
    <row r="8750" spans="8:8" x14ac:dyDescent="0.2">
      <c r="H8750">
        <v>0</v>
      </c>
    </row>
    <row r="8751" spans="8:8" x14ac:dyDescent="0.2">
      <c r="H8751">
        <v>0</v>
      </c>
    </row>
    <row r="8752" spans="8:8" x14ac:dyDescent="0.2">
      <c r="H8752">
        <v>0</v>
      </c>
    </row>
    <row r="8753" spans="8:8" x14ac:dyDescent="0.2">
      <c r="H8753">
        <v>0</v>
      </c>
    </row>
    <row r="8754" spans="8:8" x14ac:dyDescent="0.2">
      <c r="H8754">
        <v>0</v>
      </c>
    </row>
    <row r="8755" spans="8:8" x14ac:dyDescent="0.2">
      <c r="H8755">
        <v>0</v>
      </c>
    </row>
    <row r="8756" spans="8:8" x14ac:dyDescent="0.2">
      <c r="H8756">
        <v>0</v>
      </c>
    </row>
    <row r="8757" spans="8:8" x14ac:dyDescent="0.2">
      <c r="H8757">
        <v>0</v>
      </c>
    </row>
    <row r="8758" spans="8:8" x14ac:dyDescent="0.2">
      <c r="H8758">
        <v>0</v>
      </c>
    </row>
    <row r="8759" spans="8:8" x14ac:dyDescent="0.2">
      <c r="H8759">
        <v>0</v>
      </c>
    </row>
    <row r="8760" spans="8:8" x14ac:dyDescent="0.2">
      <c r="H8760">
        <v>0</v>
      </c>
    </row>
    <row r="8761" spans="8:8" x14ac:dyDescent="0.2">
      <c r="H8761">
        <v>0</v>
      </c>
    </row>
    <row r="8762" spans="8:8" x14ac:dyDescent="0.2">
      <c r="H8762">
        <v>0</v>
      </c>
    </row>
    <row r="8763" spans="8:8" x14ac:dyDescent="0.2">
      <c r="H8763">
        <v>0</v>
      </c>
    </row>
    <row r="8764" spans="8:8" x14ac:dyDescent="0.2">
      <c r="H8764">
        <v>0</v>
      </c>
    </row>
    <row r="8765" spans="8:8" x14ac:dyDescent="0.2">
      <c r="H8765">
        <v>0</v>
      </c>
    </row>
    <row r="8766" spans="8:8" x14ac:dyDescent="0.2">
      <c r="H8766">
        <v>0</v>
      </c>
    </row>
    <row r="8767" spans="8:8" x14ac:dyDescent="0.2">
      <c r="H8767">
        <v>0</v>
      </c>
    </row>
    <row r="8768" spans="8:8" x14ac:dyDescent="0.2">
      <c r="H8768">
        <v>0</v>
      </c>
    </row>
    <row r="8769" spans="8:8" x14ac:dyDescent="0.2">
      <c r="H8769">
        <v>0</v>
      </c>
    </row>
    <row r="8770" spans="8:8" x14ac:dyDescent="0.2">
      <c r="H8770">
        <v>0</v>
      </c>
    </row>
    <row r="8771" spans="8:8" x14ac:dyDescent="0.2">
      <c r="H8771">
        <v>0</v>
      </c>
    </row>
    <row r="8772" spans="8:8" x14ac:dyDescent="0.2">
      <c r="H8772">
        <v>0</v>
      </c>
    </row>
    <row r="8773" spans="8:8" x14ac:dyDescent="0.2">
      <c r="H8773">
        <v>0</v>
      </c>
    </row>
    <row r="8774" spans="8:8" x14ac:dyDescent="0.2">
      <c r="H8774">
        <v>0</v>
      </c>
    </row>
    <row r="8775" spans="8:8" x14ac:dyDescent="0.2">
      <c r="H8775">
        <v>0</v>
      </c>
    </row>
    <row r="8776" spans="8:8" x14ac:dyDescent="0.2">
      <c r="H8776">
        <v>0</v>
      </c>
    </row>
    <row r="8777" spans="8:8" x14ac:dyDescent="0.2">
      <c r="H8777">
        <v>0</v>
      </c>
    </row>
    <row r="8778" spans="8:8" x14ac:dyDescent="0.2">
      <c r="H8778">
        <v>0</v>
      </c>
    </row>
    <row r="8779" spans="8:8" x14ac:dyDescent="0.2">
      <c r="H8779">
        <v>0</v>
      </c>
    </row>
    <row r="8780" spans="8:8" x14ac:dyDescent="0.2">
      <c r="H8780">
        <v>0</v>
      </c>
    </row>
    <row r="8781" spans="8:8" x14ac:dyDescent="0.2">
      <c r="H8781">
        <v>0</v>
      </c>
    </row>
    <row r="8782" spans="8:8" x14ac:dyDescent="0.2">
      <c r="H8782">
        <v>0</v>
      </c>
    </row>
    <row r="8783" spans="8:8" x14ac:dyDescent="0.2">
      <c r="H8783">
        <v>0</v>
      </c>
    </row>
    <row r="8784" spans="8:8" x14ac:dyDescent="0.2">
      <c r="H8784">
        <v>0</v>
      </c>
    </row>
    <row r="8785" spans="8:8" x14ac:dyDescent="0.2">
      <c r="H8785">
        <v>0</v>
      </c>
    </row>
    <row r="8786" spans="8:8" x14ac:dyDescent="0.2">
      <c r="H8786">
        <v>0</v>
      </c>
    </row>
    <row r="8787" spans="8:8" x14ac:dyDescent="0.2">
      <c r="H8787">
        <v>0</v>
      </c>
    </row>
    <row r="8788" spans="8:8" x14ac:dyDescent="0.2">
      <c r="H8788">
        <v>0</v>
      </c>
    </row>
    <row r="8789" spans="8:8" x14ac:dyDescent="0.2">
      <c r="H8789">
        <v>0</v>
      </c>
    </row>
    <row r="8790" spans="8:8" x14ac:dyDescent="0.2">
      <c r="H8790">
        <v>0</v>
      </c>
    </row>
    <row r="8791" spans="8:8" x14ac:dyDescent="0.2">
      <c r="H8791">
        <v>0</v>
      </c>
    </row>
    <row r="8792" spans="8:8" x14ac:dyDescent="0.2">
      <c r="H8792">
        <v>0</v>
      </c>
    </row>
    <row r="8793" spans="8:8" x14ac:dyDescent="0.2">
      <c r="H8793">
        <v>0</v>
      </c>
    </row>
    <row r="8794" spans="8:8" x14ac:dyDescent="0.2">
      <c r="H8794">
        <v>0</v>
      </c>
    </row>
    <row r="8795" spans="8:8" x14ac:dyDescent="0.2">
      <c r="H8795">
        <v>0</v>
      </c>
    </row>
    <row r="8796" spans="8:8" x14ac:dyDescent="0.2">
      <c r="H8796">
        <v>0</v>
      </c>
    </row>
    <row r="8797" spans="8:8" x14ac:dyDescent="0.2">
      <c r="H8797">
        <v>0</v>
      </c>
    </row>
    <row r="8798" spans="8:8" x14ac:dyDescent="0.2">
      <c r="H8798">
        <v>0</v>
      </c>
    </row>
    <row r="8799" spans="8:8" x14ac:dyDescent="0.2">
      <c r="H8799">
        <v>0</v>
      </c>
    </row>
    <row r="8800" spans="8:8" x14ac:dyDescent="0.2">
      <c r="H8800">
        <v>0</v>
      </c>
    </row>
    <row r="8801" spans="8:8" x14ac:dyDescent="0.2">
      <c r="H8801">
        <v>0</v>
      </c>
    </row>
    <row r="8802" spans="8:8" x14ac:dyDescent="0.2">
      <c r="H8802">
        <v>0</v>
      </c>
    </row>
    <row r="8803" spans="8:8" x14ac:dyDescent="0.2">
      <c r="H8803">
        <v>0</v>
      </c>
    </row>
    <row r="8804" spans="8:8" x14ac:dyDescent="0.2">
      <c r="H8804">
        <v>0</v>
      </c>
    </row>
    <row r="8805" spans="8:8" x14ac:dyDescent="0.2">
      <c r="H8805">
        <v>0</v>
      </c>
    </row>
    <row r="8806" spans="8:8" x14ac:dyDescent="0.2">
      <c r="H8806">
        <v>0</v>
      </c>
    </row>
    <row r="8807" spans="8:8" x14ac:dyDescent="0.2">
      <c r="H8807">
        <v>0</v>
      </c>
    </row>
    <row r="8808" spans="8:8" x14ac:dyDescent="0.2">
      <c r="H8808">
        <v>0</v>
      </c>
    </row>
    <row r="8809" spans="8:8" x14ac:dyDescent="0.2">
      <c r="H8809">
        <v>0</v>
      </c>
    </row>
    <row r="8810" spans="8:8" x14ac:dyDescent="0.2">
      <c r="H8810">
        <v>0</v>
      </c>
    </row>
    <row r="8811" spans="8:8" x14ac:dyDescent="0.2">
      <c r="H8811">
        <v>0</v>
      </c>
    </row>
    <row r="8812" spans="8:8" x14ac:dyDescent="0.2">
      <c r="H8812">
        <v>0</v>
      </c>
    </row>
    <row r="8813" spans="8:8" x14ac:dyDescent="0.2">
      <c r="H8813">
        <v>0</v>
      </c>
    </row>
    <row r="8814" spans="8:8" x14ac:dyDescent="0.2">
      <c r="H8814">
        <v>0</v>
      </c>
    </row>
    <row r="8815" spans="8:8" x14ac:dyDescent="0.2">
      <c r="H8815">
        <v>0</v>
      </c>
    </row>
    <row r="8816" spans="8:8" x14ac:dyDescent="0.2">
      <c r="H8816">
        <v>0</v>
      </c>
    </row>
    <row r="8817" spans="8:8" x14ac:dyDescent="0.2">
      <c r="H8817">
        <v>0</v>
      </c>
    </row>
    <row r="8818" spans="8:8" x14ac:dyDescent="0.2">
      <c r="H8818">
        <v>0</v>
      </c>
    </row>
    <row r="8819" spans="8:8" x14ac:dyDescent="0.2">
      <c r="H8819">
        <v>0</v>
      </c>
    </row>
    <row r="8820" spans="8:8" x14ac:dyDescent="0.2">
      <c r="H8820">
        <v>0</v>
      </c>
    </row>
    <row r="8821" spans="8:8" x14ac:dyDescent="0.2">
      <c r="H8821">
        <v>0</v>
      </c>
    </row>
    <row r="8822" spans="8:8" x14ac:dyDescent="0.2">
      <c r="H8822">
        <v>0</v>
      </c>
    </row>
    <row r="8823" spans="8:8" x14ac:dyDescent="0.2">
      <c r="H8823">
        <v>0</v>
      </c>
    </row>
    <row r="8824" spans="8:8" x14ac:dyDescent="0.2">
      <c r="H8824">
        <v>0</v>
      </c>
    </row>
    <row r="8825" spans="8:8" x14ac:dyDescent="0.2">
      <c r="H8825">
        <v>0</v>
      </c>
    </row>
    <row r="8826" spans="8:8" x14ac:dyDescent="0.2">
      <c r="H8826">
        <v>0</v>
      </c>
    </row>
    <row r="8827" spans="8:8" x14ac:dyDescent="0.2">
      <c r="H8827">
        <v>0</v>
      </c>
    </row>
    <row r="8828" spans="8:8" x14ac:dyDescent="0.2">
      <c r="H8828">
        <v>0</v>
      </c>
    </row>
    <row r="8829" spans="8:8" x14ac:dyDescent="0.2">
      <c r="H8829">
        <v>0</v>
      </c>
    </row>
    <row r="8830" spans="8:8" x14ac:dyDescent="0.2">
      <c r="H8830">
        <v>0</v>
      </c>
    </row>
    <row r="8831" spans="8:8" x14ac:dyDescent="0.2">
      <c r="H8831">
        <v>0</v>
      </c>
    </row>
    <row r="8832" spans="8:8" x14ac:dyDescent="0.2">
      <c r="H8832">
        <v>0</v>
      </c>
    </row>
    <row r="8833" spans="8:8" x14ac:dyDescent="0.2">
      <c r="H8833">
        <v>0</v>
      </c>
    </row>
    <row r="8834" spans="8:8" x14ac:dyDescent="0.2">
      <c r="H8834">
        <v>0</v>
      </c>
    </row>
    <row r="8835" spans="8:8" x14ac:dyDescent="0.2">
      <c r="H8835">
        <v>0</v>
      </c>
    </row>
    <row r="8836" spans="8:8" x14ac:dyDescent="0.2">
      <c r="H8836">
        <v>0</v>
      </c>
    </row>
    <row r="8837" spans="8:8" x14ac:dyDescent="0.2">
      <c r="H8837">
        <v>0</v>
      </c>
    </row>
    <row r="8838" spans="8:8" x14ac:dyDescent="0.2">
      <c r="H8838">
        <v>0</v>
      </c>
    </row>
    <row r="8839" spans="8:8" x14ac:dyDescent="0.2">
      <c r="H8839">
        <v>0</v>
      </c>
    </row>
    <row r="8840" spans="8:8" x14ac:dyDescent="0.2">
      <c r="H8840">
        <v>0</v>
      </c>
    </row>
    <row r="8841" spans="8:8" x14ac:dyDescent="0.2">
      <c r="H8841">
        <v>0</v>
      </c>
    </row>
    <row r="8842" spans="8:8" x14ac:dyDescent="0.2">
      <c r="H8842">
        <v>0</v>
      </c>
    </row>
    <row r="8843" spans="8:8" x14ac:dyDescent="0.2">
      <c r="H8843">
        <v>0</v>
      </c>
    </row>
    <row r="8844" spans="8:8" x14ac:dyDescent="0.2">
      <c r="H8844">
        <v>0</v>
      </c>
    </row>
    <row r="8845" spans="8:8" x14ac:dyDescent="0.2">
      <c r="H8845">
        <v>0</v>
      </c>
    </row>
    <row r="8846" spans="8:8" x14ac:dyDescent="0.2">
      <c r="H8846">
        <v>0</v>
      </c>
    </row>
    <row r="8847" spans="8:8" x14ac:dyDescent="0.2">
      <c r="H8847">
        <v>0</v>
      </c>
    </row>
    <row r="8848" spans="8:8" x14ac:dyDescent="0.2">
      <c r="H8848">
        <v>0</v>
      </c>
    </row>
    <row r="8849" spans="8:8" x14ac:dyDescent="0.2">
      <c r="H8849">
        <v>0</v>
      </c>
    </row>
    <row r="8850" spans="8:8" x14ac:dyDescent="0.2">
      <c r="H8850">
        <v>0</v>
      </c>
    </row>
    <row r="8851" spans="8:8" x14ac:dyDescent="0.2">
      <c r="H8851">
        <v>0</v>
      </c>
    </row>
    <row r="8852" spans="8:8" x14ac:dyDescent="0.2">
      <c r="H8852">
        <v>0</v>
      </c>
    </row>
    <row r="8853" spans="8:8" x14ac:dyDescent="0.2">
      <c r="H8853">
        <v>0</v>
      </c>
    </row>
    <row r="8854" spans="8:8" x14ac:dyDescent="0.2">
      <c r="H8854">
        <v>0</v>
      </c>
    </row>
    <row r="8855" spans="8:8" x14ac:dyDescent="0.2">
      <c r="H8855">
        <v>0</v>
      </c>
    </row>
    <row r="8856" spans="8:8" x14ac:dyDescent="0.2">
      <c r="H8856">
        <v>0</v>
      </c>
    </row>
    <row r="8857" spans="8:8" x14ac:dyDescent="0.2">
      <c r="H8857">
        <v>0</v>
      </c>
    </row>
    <row r="8858" spans="8:8" x14ac:dyDescent="0.2">
      <c r="H8858">
        <v>0</v>
      </c>
    </row>
    <row r="8859" spans="8:8" x14ac:dyDescent="0.2">
      <c r="H8859">
        <v>0</v>
      </c>
    </row>
    <row r="8860" spans="8:8" x14ac:dyDescent="0.2">
      <c r="H8860">
        <v>0</v>
      </c>
    </row>
    <row r="8861" spans="8:8" x14ac:dyDescent="0.2">
      <c r="H8861">
        <v>0</v>
      </c>
    </row>
    <row r="8862" spans="8:8" x14ac:dyDescent="0.2">
      <c r="H8862">
        <v>0</v>
      </c>
    </row>
    <row r="8863" spans="8:8" x14ac:dyDescent="0.2">
      <c r="H8863">
        <v>0</v>
      </c>
    </row>
    <row r="8864" spans="8:8" x14ac:dyDescent="0.2">
      <c r="H8864">
        <v>0</v>
      </c>
    </row>
    <row r="8865" spans="8:8" x14ac:dyDescent="0.2">
      <c r="H8865">
        <v>0</v>
      </c>
    </row>
    <row r="8866" spans="8:8" x14ac:dyDescent="0.2">
      <c r="H8866">
        <v>0</v>
      </c>
    </row>
    <row r="8867" spans="8:8" x14ac:dyDescent="0.2">
      <c r="H8867">
        <v>0</v>
      </c>
    </row>
    <row r="8868" spans="8:8" x14ac:dyDescent="0.2">
      <c r="H8868">
        <v>0</v>
      </c>
    </row>
    <row r="8869" spans="8:8" x14ac:dyDescent="0.2">
      <c r="H8869">
        <v>0</v>
      </c>
    </row>
    <row r="8870" spans="8:8" x14ac:dyDescent="0.2">
      <c r="H8870">
        <v>0</v>
      </c>
    </row>
    <row r="8871" spans="8:8" x14ac:dyDescent="0.2">
      <c r="H8871">
        <v>0</v>
      </c>
    </row>
    <row r="8872" spans="8:8" x14ac:dyDescent="0.2">
      <c r="H8872">
        <v>0</v>
      </c>
    </row>
    <row r="8873" spans="8:8" x14ac:dyDescent="0.2">
      <c r="H8873">
        <v>0</v>
      </c>
    </row>
    <row r="8874" spans="8:8" x14ac:dyDescent="0.2">
      <c r="H8874">
        <v>0</v>
      </c>
    </row>
    <row r="8875" spans="8:8" x14ac:dyDescent="0.2">
      <c r="H8875">
        <v>0</v>
      </c>
    </row>
    <row r="8876" spans="8:8" x14ac:dyDescent="0.2">
      <c r="H8876">
        <v>0</v>
      </c>
    </row>
    <row r="8877" spans="8:8" x14ac:dyDescent="0.2">
      <c r="H8877">
        <v>0</v>
      </c>
    </row>
    <row r="8878" spans="8:8" x14ac:dyDescent="0.2">
      <c r="H8878">
        <v>0</v>
      </c>
    </row>
    <row r="8879" spans="8:8" x14ac:dyDescent="0.2">
      <c r="H8879">
        <v>0</v>
      </c>
    </row>
    <row r="8880" spans="8:8" x14ac:dyDescent="0.2">
      <c r="H8880">
        <v>0</v>
      </c>
    </row>
    <row r="8881" spans="8:8" x14ac:dyDescent="0.2">
      <c r="H8881">
        <v>0</v>
      </c>
    </row>
    <row r="8882" spans="8:8" x14ac:dyDescent="0.2">
      <c r="H8882">
        <v>0</v>
      </c>
    </row>
    <row r="8883" spans="8:8" x14ac:dyDescent="0.2">
      <c r="H8883">
        <v>0</v>
      </c>
    </row>
    <row r="8884" spans="8:8" x14ac:dyDescent="0.2">
      <c r="H8884">
        <v>0</v>
      </c>
    </row>
    <row r="8885" spans="8:8" x14ac:dyDescent="0.2">
      <c r="H8885">
        <v>0</v>
      </c>
    </row>
    <row r="8886" spans="8:8" x14ac:dyDescent="0.2">
      <c r="H8886">
        <v>0</v>
      </c>
    </row>
    <row r="8887" spans="8:8" x14ac:dyDescent="0.2">
      <c r="H8887">
        <v>0</v>
      </c>
    </row>
    <row r="8888" spans="8:8" x14ac:dyDescent="0.2">
      <c r="H8888">
        <v>0</v>
      </c>
    </row>
    <row r="8889" spans="8:8" x14ac:dyDescent="0.2">
      <c r="H8889">
        <v>0</v>
      </c>
    </row>
    <row r="8890" spans="8:8" x14ac:dyDescent="0.2">
      <c r="H8890">
        <v>0</v>
      </c>
    </row>
    <row r="8891" spans="8:8" x14ac:dyDescent="0.2">
      <c r="H8891">
        <v>0</v>
      </c>
    </row>
    <row r="8892" spans="8:8" x14ac:dyDescent="0.2">
      <c r="H8892">
        <v>0</v>
      </c>
    </row>
    <row r="8893" spans="8:8" x14ac:dyDescent="0.2">
      <c r="H8893">
        <v>0</v>
      </c>
    </row>
    <row r="8894" spans="8:8" x14ac:dyDescent="0.2">
      <c r="H8894">
        <v>0</v>
      </c>
    </row>
    <row r="8895" spans="8:8" x14ac:dyDescent="0.2">
      <c r="H8895">
        <v>0</v>
      </c>
    </row>
    <row r="8896" spans="8:8" x14ac:dyDescent="0.2">
      <c r="H8896">
        <v>0</v>
      </c>
    </row>
    <row r="8897" spans="8:8" x14ac:dyDescent="0.2">
      <c r="H8897">
        <v>0</v>
      </c>
    </row>
    <row r="8898" spans="8:8" x14ac:dyDescent="0.2">
      <c r="H8898">
        <v>0</v>
      </c>
    </row>
    <row r="8899" spans="8:8" x14ac:dyDescent="0.2">
      <c r="H8899">
        <v>0</v>
      </c>
    </row>
    <row r="8900" spans="8:8" x14ac:dyDescent="0.2">
      <c r="H8900">
        <v>0</v>
      </c>
    </row>
    <row r="8901" spans="8:8" x14ac:dyDescent="0.2">
      <c r="H8901">
        <v>0</v>
      </c>
    </row>
    <row r="8902" spans="8:8" x14ac:dyDescent="0.2">
      <c r="H8902">
        <v>0</v>
      </c>
    </row>
    <row r="8903" spans="8:8" x14ac:dyDescent="0.2">
      <c r="H8903">
        <v>0</v>
      </c>
    </row>
    <row r="8904" spans="8:8" x14ac:dyDescent="0.2">
      <c r="H8904">
        <v>0</v>
      </c>
    </row>
    <row r="8905" spans="8:8" x14ac:dyDescent="0.2">
      <c r="H8905">
        <v>0</v>
      </c>
    </row>
    <row r="8906" spans="8:8" x14ac:dyDescent="0.2">
      <c r="H8906">
        <v>0</v>
      </c>
    </row>
    <row r="8907" spans="8:8" x14ac:dyDescent="0.2">
      <c r="H8907">
        <v>0</v>
      </c>
    </row>
    <row r="8908" spans="8:8" x14ac:dyDescent="0.2">
      <c r="H8908">
        <v>0</v>
      </c>
    </row>
    <row r="8909" spans="8:8" x14ac:dyDescent="0.2">
      <c r="H8909">
        <v>0</v>
      </c>
    </row>
    <row r="8910" spans="8:8" x14ac:dyDescent="0.2">
      <c r="H8910">
        <v>0</v>
      </c>
    </row>
    <row r="8911" spans="8:8" x14ac:dyDescent="0.2">
      <c r="H8911">
        <v>0</v>
      </c>
    </row>
    <row r="8912" spans="8:8" x14ac:dyDescent="0.2">
      <c r="H8912">
        <v>0</v>
      </c>
    </row>
    <row r="8913" spans="8:8" x14ac:dyDescent="0.2">
      <c r="H8913">
        <v>0</v>
      </c>
    </row>
    <row r="8914" spans="8:8" x14ac:dyDescent="0.2">
      <c r="H8914">
        <v>0</v>
      </c>
    </row>
    <row r="8915" spans="8:8" x14ac:dyDescent="0.2">
      <c r="H8915">
        <v>0</v>
      </c>
    </row>
    <row r="8916" spans="8:8" x14ac:dyDescent="0.2">
      <c r="H8916">
        <v>0</v>
      </c>
    </row>
    <row r="8917" spans="8:8" x14ac:dyDescent="0.2">
      <c r="H8917">
        <v>0</v>
      </c>
    </row>
    <row r="8918" spans="8:8" x14ac:dyDescent="0.2">
      <c r="H8918">
        <v>0</v>
      </c>
    </row>
    <row r="8919" spans="8:8" x14ac:dyDescent="0.2">
      <c r="H8919">
        <v>0</v>
      </c>
    </row>
    <row r="8920" spans="8:8" x14ac:dyDescent="0.2">
      <c r="H8920">
        <v>0</v>
      </c>
    </row>
    <row r="8921" spans="8:8" x14ac:dyDescent="0.2">
      <c r="H8921">
        <v>0</v>
      </c>
    </row>
    <row r="8922" spans="8:8" x14ac:dyDescent="0.2">
      <c r="H8922">
        <v>0</v>
      </c>
    </row>
    <row r="8923" spans="8:8" x14ac:dyDescent="0.2">
      <c r="H8923">
        <v>0</v>
      </c>
    </row>
    <row r="8924" spans="8:8" x14ac:dyDescent="0.2">
      <c r="H8924">
        <v>0</v>
      </c>
    </row>
    <row r="8925" spans="8:8" x14ac:dyDescent="0.2">
      <c r="H8925">
        <v>0</v>
      </c>
    </row>
    <row r="8926" spans="8:8" x14ac:dyDescent="0.2">
      <c r="H8926">
        <v>0</v>
      </c>
    </row>
    <row r="8927" spans="8:8" x14ac:dyDescent="0.2">
      <c r="H8927">
        <v>0</v>
      </c>
    </row>
    <row r="8928" spans="8:8" x14ac:dyDescent="0.2">
      <c r="H8928">
        <v>0</v>
      </c>
    </row>
    <row r="8929" spans="8:8" x14ac:dyDescent="0.2">
      <c r="H8929">
        <v>0</v>
      </c>
    </row>
    <row r="8930" spans="8:8" x14ac:dyDescent="0.2">
      <c r="H8930">
        <v>0</v>
      </c>
    </row>
    <row r="8931" spans="8:8" x14ac:dyDescent="0.2">
      <c r="H8931">
        <v>0</v>
      </c>
    </row>
    <row r="8932" spans="8:8" x14ac:dyDescent="0.2">
      <c r="H8932">
        <v>0</v>
      </c>
    </row>
    <row r="8933" spans="8:8" x14ac:dyDescent="0.2">
      <c r="H8933">
        <v>0</v>
      </c>
    </row>
    <row r="8934" spans="8:8" x14ac:dyDescent="0.2">
      <c r="H8934">
        <v>0</v>
      </c>
    </row>
    <row r="8935" spans="8:8" x14ac:dyDescent="0.2">
      <c r="H8935">
        <v>0</v>
      </c>
    </row>
    <row r="8936" spans="8:8" x14ac:dyDescent="0.2">
      <c r="H8936">
        <v>0</v>
      </c>
    </row>
    <row r="8937" spans="8:8" x14ac:dyDescent="0.2">
      <c r="H8937">
        <v>0</v>
      </c>
    </row>
    <row r="8938" spans="8:8" x14ac:dyDescent="0.2">
      <c r="H8938">
        <v>0</v>
      </c>
    </row>
    <row r="8939" spans="8:8" x14ac:dyDescent="0.2">
      <c r="H8939">
        <v>0</v>
      </c>
    </row>
    <row r="8940" spans="8:8" x14ac:dyDescent="0.2">
      <c r="H8940">
        <v>0</v>
      </c>
    </row>
    <row r="8941" spans="8:8" x14ac:dyDescent="0.2">
      <c r="H8941">
        <v>0</v>
      </c>
    </row>
    <row r="8942" spans="8:8" x14ac:dyDescent="0.2">
      <c r="H8942">
        <v>0</v>
      </c>
    </row>
    <row r="8943" spans="8:8" x14ac:dyDescent="0.2">
      <c r="H8943">
        <v>0</v>
      </c>
    </row>
    <row r="8944" spans="8:8" x14ac:dyDescent="0.2">
      <c r="H8944">
        <v>0</v>
      </c>
    </row>
    <row r="8945" spans="8:8" x14ac:dyDescent="0.2">
      <c r="H8945">
        <v>0</v>
      </c>
    </row>
    <row r="8946" spans="8:8" x14ac:dyDescent="0.2">
      <c r="H8946">
        <v>0</v>
      </c>
    </row>
    <row r="8947" spans="8:8" x14ac:dyDescent="0.2">
      <c r="H8947">
        <v>0</v>
      </c>
    </row>
    <row r="8948" spans="8:8" x14ac:dyDescent="0.2">
      <c r="H8948">
        <v>0</v>
      </c>
    </row>
    <row r="8949" spans="8:8" x14ac:dyDescent="0.2">
      <c r="H8949">
        <v>0</v>
      </c>
    </row>
    <row r="8950" spans="8:8" x14ac:dyDescent="0.2">
      <c r="H8950">
        <v>0</v>
      </c>
    </row>
    <row r="8951" spans="8:8" x14ac:dyDescent="0.2">
      <c r="H8951">
        <v>0</v>
      </c>
    </row>
    <row r="8952" spans="8:8" x14ac:dyDescent="0.2">
      <c r="H8952">
        <v>0</v>
      </c>
    </row>
    <row r="8953" spans="8:8" x14ac:dyDescent="0.2">
      <c r="H8953">
        <v>0</v>
      </c>
    </row>
    <row r="8954" spans="8:8" x14ac:dyDescent="0.2">
      <c r="H8954">
        <v>0</v>
      </c>
    </row>
    <row r="8955" spans="8:8" x14ac:dyDescent="0.2">
      <c r="H8955">
        <v>0</v>
      </c>
    </row>
    <row r="8956" spans="8:8" x14ac:dyDescent="0.2">
      <c r="H8956">
        <v>0</v>
      </c>
    </row>
    <row r="8957" spans="8:8" x14ac:dyDescent="0.2">
      <c r="H8957">
        <v>0</v>
      </c>
    </row>
    <row r="8958" spans="8:8" x14ac:dyDescent="0.2">
      <c r="H8958">
        <v>0</v>
      </c>
    </row>
    <row r="8959" spans="8:8" x14ac:dyDescent="0.2">
      <c r="H8959">
        <v>0</v>
      </c>
    </row>
    <row r="8960" spans="8:8" x14ac:dyDescent="0.2">
      <c r="H8960">
        <v>0</v>
      </c>
    </row>
    <row r="8961" spans="8:8" x14ac:dyDescent="0.2">
      <c r="H8961">
        <v>0</v>
      </c>
    </row>
    <row r="8962" spans="8:8" x14ac:dyDescent="0.2">
      <c r="H8962">
        <v>0</v>
      </c>
    </row>
    <row r="8963" spans="8:8" x14ac:dyDescent="0.2">
      <c r="H8963">
        <v>0</v>
      </c>
    </row>
    <row r="8964" spans="8:8" x14ac:dyDescent="0.2">
      <c r="H8964">
        <v>0</v>
      </c>
    </row>
    <row r="8965" spans="8:8" x14ac:dyDescent="0.2">
      <c r="H8965">
        <v>0</v>
      </c>
    </row>
    <row r="8966" spans="8:8" x14ac:dyDescent="0.2">
      <c r="H8966">
        <v>0</v>
      </c>
    </row>
    <row r="8967" spans="8:8" x14ac:dyDescent="0.2">
      <c r="H8967">
        <v>0</v>
      </c>
    </row>
    <row r="8968" spans="8:8" x14ac:dyDescent="0.2">
      <c r="H8968">
        <v>0</v>
      </c>
    </row>
    <row r="8969" spans="8:8" x14ac:dyDescent="0.2">
      <c r="H8969">
        <v>0</v>
      </c>
    </row>
    <row r="8970" spans="8:8" x14ac:dyDescent="0.2">
      <c r="H8970">
        <v>0</v>
      </c>
    </row>
    <row r="8971" spans="8:8" x14ac:dyDescent="0.2">
      <c r="H8971">
        <v>0</v>
      </c>
    </row>
    <row r="8972" spans="8:8" x14ac:dyDescent="0.2">
      <c r="H8972">
        <v>0</v>
      </c>
    </row>
    <row r="8973" spans="8:8" x14ac:dyDescent="0.2">
      <c r="H8973">
        <v>0</v>
      </c>
    </row>
    <row r="8974" spans="8:8" x14ac:dyDescent="0.2">
      <c r="H8974">
        <v>0</v>
      </c>
    </row>
    <row r="8975" spans="8:8" x14ac:dyDescent="0.2">
      <c r="H8975">
        <v>0</v>
      </c>
    </row>
    <row r="8976" spans="8:8" x14ac:dyDescent="0.2">
      <c r="H8976">
        <v>0</v>
      </c>
    </row>
    <row r="8977" spans="8:8" x14ac:dyDescent="0.2">
      <c r="H8977">
        <v>0</v>
      </c>
    </row>
    <row r="8978" spans="8:8" x14ac:dyDescent="0.2">
      <c r="H8978">
        <v>0</v>
      </c>
    </row>
    <row r="8979" spans="8:8" x14ac:dyDescent="0.2">
      <c r="H8979">
        <v>0</v>
      </c>
    </row>
    <row r="8980" spans="8:8" x14ac:dyDescent="0.2">
      <c r="H8980">
        <v>0</v>
      </c>
    </row>
    <row r="8981" spans="8:8" x14ac:dyDescent="0.2">
      <c r="H8981">
        <v>0</v>
      </c>
    </row>
    <row r="8982" spans="8:8" x14ac:dyDescent="0.2">
      <c r="H8982">
        <v>0</v>
      </c>
    </row>
    <row r="8983" spans="8:8" x14ac:dyDescent="0.2">
      <c r="H8983">
        <v>0</v>
      </c>
    </row>
    <row r="8984" spans="8:8" x14ac:dyDescent="0.2">
      <c r="H8984">
        <v>0</v>
      </c>
    </row>
    <row r="8985" spans="8:8" x14ac:dyDescent="0.2">
      <c r="H8985">
        <v>0</v>
      </c>
    </row>
    <row r="8986" spans="8:8" x14ac:dyDescent="0.2">
      <c r="H8986">
        <v>0</v>
      </c>
    </row>
    <row r="8987" spans="8:8" x14ac:dyDescent="0.2">
      <c r="H8987">
        <v>0</v>
      </c>
    </row>
    <row r="8988" spans="8:8" x14ac:dyDescent="0.2">
      <c r="H8988">
        <v>0</v>
      </c>
    </row>
    <row r="8989" spans="8:8" x14ac:dyDescent="0.2">
      <c r="H8989">
        <v>0</v>
      </c>
    </row>
    <row r="8990" spans="8:8" x14ac:dyDescent="0.2">
      <c r="H8990">
        <v>0</v>
      </c>
    </row>
    <row r="8991" spans="8:8" x14ac:dyDescent="0.2">
      <c r="H8991">
        <v>0</v>
      </c>
    </row>
    <row r="8992" spans="8:8" x14ac:dyDescent="0.2">
      <c r="H8992">
        <v>0</v>
      </c>
    </row>
    <row r="8993" spans="8:8" x14ac:dyDescent="0.2">
      <c r="H8993">
        <v>0</v>
      </c>
    </row>
    <row r="8994" spans="8:8" x14ac:dyDescent="0.2">
      <c r="H8994">
        <v>0</v>
      </c>
    </row>
    <row r="8995" spans="8:8" x14ac:dyDescent="0.2">
      <c r="H8995">
        <v>0</v>
      </c>
    </row>
    <row r="8996" spans="8:8" x14ac:dyDescent="0.2">
      <c r="H8996">
        <v>0</v>
      </c>
    </row>
    <row r="8997" spans="8:8" x14ac:dyDescent="0.2">
      <c r="H8997">
        <v>0</v>
      </c>
    </row>
    <row r="8998" spans="8:8" x14ac:dyDescent="0.2">
      <c r="H8998">
        <v>0</v>
      </c>
    </row>
    <row r="8999" spans="8:8" x14ac:dyDescent="0.2">
      <c r="H8999">
        <v>0</v>
      </c>
    </row>
    <row r="9000" spans="8:8" x14ac:dyDescent="0.2">
      <c r="H9000">
        <v>0</v>
      </c>
    </row>
    <row r="9001" spans="8:8" x14ac:dyDescent="0.2">
      <c r="H9001">
        <v>0</v>
      </c>
    </row>
    <row r="9002" spans="8:8" x14ac:dyDescent="0.2">
      <c r="H9002">
        <v>0</v>
      </c>
    </row>
    <row r="9003" spans="8:8" x14ac:dyDescent="0.2">
      <c r="H9003">
        <v>0</v>
      </c>
    </row>
    <row r="9004" spans="8:8" x14ac:dyDescent="0.2">
      <c r="H9004">
        <v>0</v>
      </c>
    </row>
    <row r="9005" spans="8:8" x14ac:dyDescent="0.2">
      <c r="H9005">
        <v>0</v>
      </c>
    </row>
    <row r="9006" spans="8:8" x14ac:dyDescent="0.2">
      <c r="H9006">
        <v>0</v>
      </c>
    </row>
    <row r="9007" spans="8:8" x14ac:dyDescent="0.2">
      <c r="H9007">
        <v>0</v>
      </c>
    </row>
    <row r="9008" spans="8:8" x14ac:dyDescent="0.2">
      <c r="H9008">
        <v>0</v>
      </c>
    </row>
    <row r="9009" spans="8:8" x14ac:dyDescent="0.2">
      <c r="H9009">
        <v>0</v>
      </c>
    </row>
    <row r="9010" spans="8:8" x14ac:dyDescent="0.2">
      <c r="H9010">
        <v>0</v>
      </c>
    </row>
    <row r="9011" spans="8:8" x14ac:dyDescent="0.2">
      <c r="H9011">
        <v>0</v>
      </c>
    </row>
    <row r="9012" spans="8:8" x14ac:dyDescent="0.2">
      <c r="H9012">
        <v>0</v>
      </c>
    </row>
    <row r="9013" spans="8:8" x14ac:dyDescent="0.2">
      <c r="H9013">
        <v>0</v>
      </c>
    </row>
    <row r="9014" spans="8:8" x14ac:dyDescent="0.2">
      <c r="H9014">
        <v>0</v>
      </c>
    </row>
    <row r="9015" spans="8:8" x14ac:dyDescent="0.2">
      <c r="H9015">
        <v>0</v>
      </c>
    </row>
    <row r="9016" spans="8:8" x14ac:dyDescent="0.2">
      <c r="H9016">
        <v>0</v>
      </c>
    </row>
    <row r="9017" spans="8:8" x14ac:dyDescent="0.2">
      <c r="H9017">
        <v>0</v>
      </c>
    </row>
    <row r="9018" spans="8:8" x14ac:dyDescent="0.2">
      <c r="H9018">
        <v>0</v>
      </c>
    </row>
    <row r="9019" spans="8:8" x14ac:dyDescent="0.2">
      <c r="H9019">
        <v>0</v>
      </c>
    </row>
    <row r="9020" spans="8:8" x14ac:dyDescent="0.2">
      <c r="H9020">
        <v>0</v>
      </c>
    </row>
    <row r="9021" spans="8:8" x14ac:dyDescent="0.2">
      <c r="H9021">
        <v>0</v>
      </c>
    </row>
    <row r="9022" spans="8:8" x14ac:dyDescent="0.2">
      <c r="H9022">
        <v>0</v>
      </c>
    </row>
    <row r="9023" spans="8:8" x14ac:dyDescent="0.2">
      <c r="H9023">
        <v>0</v>
      </c>
    </row>
    <row r="9024" spans="8:8" x14ac:dyDescent="0.2">
      <c r="H9024">
        <v>0</v>
      </c>
    </row>
    <row r="9025" spans="8:8" x14ac:dyDescent="0.2">
      <c r="H9025">
        <v>0</v>
      </c>
    </row>
    <row r="9026" spans="8:8" x14ac:dyDescent="0.2">
      <c r="H9026">
        <v>0</v>
      </c>
    </row>
    <row r="9027" spans="8:8" x14ac:dyDescent="0.2">
      <c r="H9027">
        <v>0</v>
      </c>
    </row>
    <row r="9028" spans="8:8" x14ac:dyDescent="0.2">
      <c r="H9028">
        <v>0</v>
      </c>
    </row>
    <row r="9029" spans="8:8" x14ac:dyDescent="0.2">
      <c r="H9029">
        <v>0</v>
      </c>
    </row>
    <row r="9030" spans="8:8" x14ac:dyDescent="0.2">
      <c r="H9030">
        <v>0</v>
      </c>
    </row>
    <row r="9031" spans="8:8" x14ac:dyDescent="0.2">
      <c r="H9031">
        <v>0</v>
      </c>
    </row>
    <row r="9032" spans="8:8" x14ac:dyDescent="0.2">
      <c r="H9032">
        <v>0</v>
      </c>
    </row>
    <row r="9033" spans="8:8" x14ac:dyDescent="0.2">
      <c r="H9033">
        <v>0</v>
      </c>
    </row>
    <row r="9034" spans="8:8" x14ac:dyDescent="0.2">
      <c r="H9034">
        <v>0</v>
      </c>
    </row>
    <row r="9035" spans="8:8" x14ac:dyDescent="0.2">
      <c r="H9035">
        <v>0</v>
      </c>
    </row>
    <row r="9036" spans="8:8" x14ac:dyDescent="0.2">
      <c r="H9036">
        <v>0</v>
      </c>
    </row>
    <row r="9037" spans="8:8" x14ac:dyDescent="0.2">
      <c r="H9037">
        <v>0</v>
      </c>
    </row>
    <row r="9038" spans="8:8" x14ac:dyDescent="0.2">
      <c r="H9038">
        <v>0</v>
      </c>
    </row>
    <row r="9039" spans="8:8" x14ac:dyDescent="0.2">
      <c r="H9039">
        <v>0</v>
      </c>
    </row>
    <row r="9040" spans="8:8" x14ac:dyDescent="0.2">
      <c r="H9040">
        <v>0</v>
      </c>
    </row>
    <row r="9041" spans="8:8" x14ac:dyDescent="0.2">
      <c r="H9041">
        <v>0</v>
      </c>
    </row>
    <row r="9042" spans="8:8" x14ac:dyDescent="0.2">
      <c r="H9042">
        <v>0</v>
      </c>
    </row>
    <row r="9043" spans="8:8" x14ac:dyDescent="0.2">
      <c r="H9043">
        <v>0</v>
      </c>
    </row>
    <row r="9044" spans="8:8" x14ac:dyDescent="0.2">
      <c r="H9044">
        <v>0</v>
      </c>
    </row>
    <row r="9045" spans="8:8" x14ac:dyDescent="0.2">
      <c r="H9045">
        <v>0</v>
      </c>
    </row>
    <row r="9046" spans="8:8" x14ac:dyDescent="0.2">
      <c r="H9046">
        <v>0</v>
      </c>
    </row>
    <row r="9047" spans="8:8" x14ac:dyDescent="0.2">
      <c r="H9047">
        <v>0</v>
      </c>
    </row>
    <row r="9048" spans="8:8" x14ac:dyDescent="0.2">
      <c r="H9048">
        <v>0</v>
      </c>
    </row>
    <row r="9049" spans="8:8" x14ac:dyDescent="0.2">
      <c r="H9049">
        <v>0</v>
      </c>
    </row>
    <row r="9050" spans="8:8" x14ac:dyDescent="0.2">
      <c r="H9050">
        <v>0</v>
      </c>
    </row>
    <row r="9051" spans="8:8" x14ac:dyDescent="0.2">
      <c r="H9051">
        <v>0</v>
      </c>
    </row>
    <row r="9052" spans="8:8" x14ac:dyDescent="0.2">
      <c r="H9052">
        <v>0</v>
      </c>
    </row>
    <row r="9053" spans="8:8" x14ac:dyDescent="0.2">
      <c r="H9053">
        <v>0</v>
      </c>
    </row>
    <row r="9054" spans="8:8" x14ac:dyDescent="0.2">
      <c r="H9054">
        <v>0</v>
      </c>
    </row>
    <row r="9055" spans="8:8" x14ac:dyDescent="0.2">
      <c r="H9055">
        <v>0</v>
      </c>
    </row>
    <row r="9056" spans="8:8" x14ac:dyDescent="0.2">
      <c r="H9056">
        <v>0</v>
      </c>
    </row>
    <row r="9057" spans="8:8" x14ac:dyDescent="0.2">
      <c r="H9057">
        <v>0</v>
      </c>
    </row>
    <row r="9058" spans="8:8" x14ac:dyDescent="0.2">
      <c r="H9058">
        <v>0</v>
      </c>
    </row>
    <row r="9059" spans="8:8" x14ac:dyDescent="0.2">
      <c r="H9059">
        <v>0</v>
      </c>
    </row>
    <row r="9060" spans="8:8" x14ac:dyDescent="0.2">
      <c r="H9060">
        <v>0</v>
      </c>
    </row>
    <row r="9061" spans="8:8" x14ac:dyDescent="0.2">
      <c r="H9061">
        <v>0</v>
      </c>
    </row>
    <row r="9062" spans="8:8" x14ac:dyDescent="0.2">
      <c r="H9062">
        <v>0</v>
      </c>
    </row>
    <row r="9063" spans="8:8" x14ac:dyDescent="0.2">
      <c r="H9063">
        <v>0</v>
      </c>
    </row>
    <row r="9064" spans="8:8" x14ac:dyDescent="0.2">
      <c r="H9064">
        <v>0</v>
      </c>
    </row>
    <row r="9065" spans="8:8" x14ac:dyDescent="0.2">
      <c r="H9065">
        <v>0</v>
      </c>
    </row>
    <row r="9066" spans="8:8" x14ac:dyDescent="0.2">
      <c r="H9066">
        <v>0</v>
      </c>
    </row>
    <row r="9067" spans="8:8" x14ac:dyDescent="0.2">
      <c r="H9067">
        <v>0</v>
      </c>
    </row>
    <row r="9068" spans="8:8" x14ac:dyDescent="0.2">
      <c r="H9068">
        <v>0</v>
      </c>
    </row>
    <row r="9069" spans="8:8" x14ac:dyDescent="0.2">
      <c r="H9069">
        <v>0</v>
      </c>
    </row>
    <row r="9070" spans="8:8" x14ac:dyDescent="0.2">
      <c r="H9070">
        <v>0</v>
      </c>
    </row>
    <row r="9071" spans="8:8" x14ac:dyDescent="0.2">
      <c r="H9071">
        <v>0</v>
      </c>
    </row>
    <row r="9072" spans="8:8" x14ac:dyDescent="0.2">
      <c r="H9072">
        <v>0</v>
      </c>
    </row>
    <row r="9073" spans="8:8" x14ac:dyDescent="0.2">
      <c r="H9073">
        <v>0</v>
      </c>
    </row>
    <row r="9074" spans="8:8" x14ac:dyDescent="0.2">
      <c r="H9074">
        <v>0</v>
      </c>
    </row>
    <row r="9075" spans="8:8" x14ac:dyDescent="0.2">
      <c r="H9075">
        <v>0</v>
      </c>
    </row>
    <row r="9076" spans="8:8" x14ac:dyDescent="0.2">
      <c r="H9076">
        <v>0</v>
      </c>
    </row>
    <row r="9077" spans="8:8" x14ac:dyDescent="0.2">
      <c r="H9077">
        <v>0</v>
      </c>
    </row>
    <row r="9078" spans="8:8" x14ac:dyDescent="0.2">
      <c r="H9078">
        <v>0</v>
      </c>
    </row>
    <row r="9079" spans="8:8" x14ac:dyDescent="0.2">
      <c r="H9079">
        <v>0</v>
      </c>
    </row>
    <row r="9080" spans="8:8" x14ac:dyDescent="0.2">
      <c r="H9080">
        <v>0</v>
      </c>
    </row>
    <row r="9081" spans="8:8" x14ac:dyDescent="0.2">
      <c r="H9081">
        <v>0</v>
      </c>
    </row>
    <row r="9082" spans="8:8" x14ac:dyDescent="0.2">
      <c r="H9082">
        <v>0</v>
      </c>
    </row>
    <row r="9083" spans="8:8" x14ac:dyDescent="0.2">
      <c r="H9083">
        <v>0</v>
      </c>
    </row>
    <row r="9084" spans="8:8" x14ac:dyDescent="0.2">
      <c r="H9084">
        <v>0</v>
      </c>
    </row>
    <row r="9085" spans="8:8" x14ac:dyDescent="0.2">
      <c r="H9085">
        <v>0</v>
      </c>
    </row>
    <row r="9086" spans="8:8" x14ac:dyDescent="0.2">
      <c r="H9086">
        <v>0</v>
      </c>
    </row>
    <row r="9087" spans="8:8" x14ac:dyDescent="0.2">
      <c r="H9087">
        <v>0</v>
      </c>
    </row>
    <row r="9088" spans="8:8" x14ac:dyDescent="0.2">
      <c r="H9088">
        <v>0</v>
      </c>
    </row>
    <row r="9089" spans="8:8" x14ac:dyDescent="0.2">
      <c r="H9089">
        <v>0</v>
      </c>
    </row>
    <row r="9090" spans="8:8" x14ac:dyDescent="0.2">
      <c r="H9090">
        <v>0</v>
      </c>
    </row>
    <row r="9091" spans="8:8" x14ac:dyDescent="0.2">
      <c r="H9091">
        <v>0</v>
      </c>
    </row>
    <row r="9092" spans="8:8" x14ac:dyDescent="0.2">
      <c r="H9092">
        <v>0</v>
      </c>
    </row>
    <row r="9093" spans="8:8" x14ac:dyDescent="0.2">
      <c r="H9093">
        <v>0</v>
      </c>
    </row>
    <row r="9094" spans="8:8" x14ac:dyDescent="0.2">
      <c r="H9094">
        <v>0</v>
      </c>
    </row>
    <row r="9095" spans="8:8" x14ac:dyDescent="0.2">
      <c r="H9095">
        <v>0</v>
      </c>
    </row>
    <row r="9096" spans="8:8" x14ac:dyDescent="0.2">
      <c r="H9096">
        <v>0</v>
      </c>
    </row>
    <row r="9097" spans="8:8" x14ac:dyDescent="0.2">
      <c r="H9097">
        <v>0</v>
      </c>
    </row>
    <row r="9098" spans="8:8" x14ac:dyDescent="0.2">
      <c r="H9098">
        <v>0</v>
      </c>
    </row>
    <row r="9099" spans="8:8" x14ac:dyDescent="0.2">
      <c r="H9099">
        <v>0</v>
      </c>
    </row>
    <row r="9100" spans="8:8" x14ac:dyDescent="0.2">
      <c r="H9100">
        <v>0</v>
      </c>
    </row>
    <row r="9101" spans="8:8" x14ac:dyDescent="0.2">
      <c r="H9101">
        <v>0</v>
      </c>
    </row>
    <row r="9102" spans="8:8" x14ac:dyDescent="0.2">
      <c r="H9102">
        <v>0</v>
      </c>
    </row>
    <row r="9103" spans="8:8" x14ac:dyDescent="0.2">
      <c r="H9103">
        <v>0</v>
      </c>
    </row>
    <row r="9104" spans="8:8" x14ac:dyDescent="0.2">
      <c r="H9104">
        <v>0</v>
      </c>
    </row>
    <row r="9105" spans="8:8" x14ac:dyDescent="0.2">
      <c r="H9105">
        <v>0</v>
      </c>
    </row>
    <row r="9106" spans="8:8" x14ac:dyDescent="0.2">
      <c r="H9106">
        <v>0</v>
      </c>
    </row>
    <row r="9107" spans="8:8" x14ac:dyDescent="0.2">
      <c r="H9107">
        <v>0</v>
      </c>
    </row>
    <row r="9108" spans="8:8" x14ac:dyDescent="0.2">
      <c r="H9108">
        <v>0</v>
      </c>
    </row>
    <row r="9109" spans="8:8" x14ac:dyDescent="0.2">
      <c r="H9109">
        <v>0</v>
      </c>
    </row>
    <row r="9110" spans="8:8" x14ac:dyDescent="0.2">
      <c r="H9110">
        <v>0</v>
      </c>
    </row>
    <row r="9111" spans="8:8" x14ac:dyDescent="0.2">
      <c r="H9111">
        <v>0</v>
      </c>
    </row>
    <row r="9112" spans="8:8" x14ac:dyDescent="0.2">
      <c r="H9112">
        <v>0</v>
      </c>
    </row>
    <row r="9113" spans="8:8" x14ac:dyDescent="0.2">
      <c r="H9113">
        <v>0</v>
      </c>
    </row>
    <row r="9114" spans="8:8" x14ac:dyDescent="0.2">
      <c r="H9114">
        <v>0</v>
      </c>
    </row>
    <row r="9115" spans="8:8" x14ac:dyDescent="0.2">
      <c r="H9115">
        <v>0</v>
      </c>
    </row>
    <row r="9116" spans="8:8" x14ac:dyDescent="0.2">
      <c r="H9116">
        <v>0</v>
      </c>
    </row>
    <row r="9117" spans="8:8" x14ac:dyDescent="0.2">
      <c r="H9117">
        <v>0</v>
      </c>
    </row>
    <row r="9118" spans="8:8" x14ac:dyDescent="0.2">
      <c r="H9118">
        <v>0</v>
      </c>
    </row>
    <row r="9119" spans="8:8" x14ac:dyDescent="0.2">
      <c r="H9119">
        <v>0</v>
      </c>
    </row>
    <row r="9120" spans="8:8" x14ac:dyDescent="0.2">
      <c r="H9120">
        <v>0</v>
      </c>
    </row>
    <row r="9121" spans="8:8" x14ac:dyDescent="0.2">
      <c r="H9121">
        <v>0</v>
      </c>
    </row>
    <row r="9122" spans="8:8" x14ac:dyDescent="0.2">
      <c r="H9122">
        <v>0</v>
      </c>
    </row>
    <row r="9123" spans="8:8" x14ac:dyDescent="0.2">
      <c r="H9123">
        <v>0</v>
      </c>
    </row>
    <row r="9124" spans="8:8" x14ac:dyDescent="0.2">
      <c r="H9124">
        <v>0</v>
      </c>
    </row>
    <row r="9125" spans="8:8" x14ac:dyDescent="0.2">
      <c r="H9125">
        <v>0</v>
      </c>
    </row>
    <row r="9126" spans="8:8" x14ac:dyDescent="0.2">
      <c r="H9126">
        <v>0</v>
      </c>
    </row>
    <row r="9127" spans="8:8" x14ac:dyDescent="0.2">
      <c r="H9127">
        <v>0</v>
      </c>
    </row>
    <row r="9128" spans="8:8" x14ac:dyDescent="0.2">
      <c r="H9128">
        <v>0</v>
      </c>
    </row>
    <row r="9129" spans="8:8" x14ac:dyDescent="0.2">
      <c r="H9129">
        <v>0</v>
      </c>
    </row>
    <row r="9130" spans="8:8" x14ac:dyDescent="0.2">
      <c r="H9130">
        <v>0</v>
      </c>
    </row>
    <row r="9131" spans="8:8" x14ac:dyDescent="0.2">
      <c r="H9131">
        <v>0</v>
      </c>
    </row>
    <row r="9132" spans="8:8" x14ac:dyDescent="0.2">
      <c r="H9132">
        <v>0</v>
      </c>
    </row>
    <row r="9133" spans="8:8" x14ac:dyDescent="0.2">
      <c r="H9133">
        <v>0</v>
      </c>
    </row>
    <row r="9134" spans="8:8" x14ac:dyDescent="0.2">
      <c r="H9134">
        <v>0</v>
      </c>
    </row>
    <row r="9135" spans="8:8" x14ac:dyDescent="0.2">
      <c r="H9135">
        <v>0</v>
      </c>
    </row>
    <row r="9136" spans="8:8" x14ac:dyDescent="0.2">
      <c r="H9136">
        <v>0</v>
      </c>
    </row>
    <row r="9137" spans="8:8" x14ac:dyDescent="0.2">
      <c r="H9137">
        <v>0</v>
      </c>
    </row>
    <row r="9138" spans="8:8" x14ac:dyDescent="0.2">
      <c r="H9138">
        <v>0</v>
      </c>
    </row>
    <row r="9139" spans="8:8" x14ac:dyDescent="0.2">
      <c r="H9139">
        <v>0</v>
      </c>
    </row>
    <row r="9140" spans="8:8" x14ac:dyDescent="0.2">
      <c r="H9140">
        <v>0</v>
      </c>
    </row>
    <row r="9141" spans="8:8" x14ac:dyDescent="0.2">
      <c r="H9141">
        <v>0</v>
      </c>
    </row>
    <row r="9142" spans="8:8" x14ac:dyDescent="0.2">
      <c r="H9142">
        <v>0</v>
      </c>
    </row>
    <row r="9143" spans="8:8" x14ac:dyDescent="0.2">
      <c r="H9143">
        <v>0</v>
      </c>
    </row>
    <row r="9144" spans="8:8" x14ac:dyDescent="0.2">
      <c r="H9144">
        <v>0</v>
      </c>
    </row>
    <row r="9145" spans="8:8" x14ac:dyDescent="0.2">
      <c r="H9145">
        <v>0</v>
      </c>
    </row>
    <row r="9146" spans="8:8" x14ac:dyDescent="0.2">
      <c r="H9146">
        <v>0</v>
      </c>
    </row>
    <row r="9147" spans="8:8" x14ac:dyDescent="0.2">
      <c r="H9147">
        <v>0</v>
      </c>
    </row>
    <row r="9148" spans="8:8" x14ac:dyDescent="0.2">
      <c r="H9148">
        <v>0</v>
      </c>
    </row>
    <row r="9149" spans="8:8" x14ac:dyDescent="0.2">
      <c r="H9149">
        <v>0</v>
      </c>
    </row>
  </sheetData>
  <autoFilter ref="A3:F3" xr:uid="{1B4089B5-17B4-4873-8FA9-816046CA5156}"/>
  <sortState xmlns:xlrd2="http://schemas.microsoft.com/office/spreadsheetml/2017/richdata2" ref="A4:F42">
    <sortCondition ref="D3:D42"/>
  </sortState>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814F-4FA7-4FFF-A9E0-68C44DE08E21}">
  <sheetPr codeName="Sheet23"/>
  <dimension ref="A1"/>
  <sheetViews>
    <sheetView workbookViewId="0"/>
  </sheetViews>
  <sheetFormatPr defaultRowHeight="12.75" x14ac:dyDescent="0.2"/>
  <cols>
    <col min="1" max="16384" width="9.140625" style="25"/>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1967-AA51-40D6-89A0-C108D6A64ACA}">
  <sheetPr codeName="Sheet31"/>
  <dimension ref="A1"/>
  <sheetViews>
    <sheetView workbookViewId="0"/>
  </sheetViews>
  <sheetFormatPr defaultRowHeight="12.75" x14ac:dyDescent="0.2"/>
  <cols>
    <col min="1" max="16384" width="9.140625" style="25"/>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80CBD-899A-44D3-99BD-628F4595449B}">
  <sheetPr codeName="Sheet4">
    <tabColor rgb="FFC00000"/>
  </sheetPr>
  <dimension ref="B2:C15"/>
  <sheetViews>
    <sheetView workbookViewId="0">
      <selection activeCell="F29" sqref="F29"/>
    </sheetView>
  </sheetViews>
  <sheetFormatPr defaultRowHeight="12.75" x14ac:dyDescent="0.2"/>
  <cols>
    <col min="1" max="1" width="1.85546875" customWidth="1"/>
    <col min="2" max="2" width="2" bestFit="1" customWidth="1"/>
  </cols>
  <sheetData>
    <row r="2" spans="2:3" x14ac:dyDescent="0.2">
      <c r="B2" s="170" t="s">
        <v>227</v>
      </c>
    </row>
    <row r="3" spans="2:3" x14ac:dyDescent="0.2">
      <c r="B3" s="26" t="s">
        <v>170</v>
      </c>
      <c r="C3" s="26" t="s">
        <v>350</v>
      </c>
    </row>
    <row r="4" spans="2:3" x14ac:dyDescent="0.2">
      <c r="B4" s="26" t="s">
        <v>170</v>
      </c>
      <c r="C4" s="26" t="s">
        <v>351</v>
      </c>
    </row>
    <row r="5" spans="2:3" x14ac:dyDescent="0.2">
      <c r="B5" s="26"/>
      <c r="C5" s="187" t="s">
        <v>354</v>
      </c>
    </row>
    <row r="7" spans="2:3" x14ac:dyDescent="0.2">
      <c r="B7" s="170" t="s">
        <v>226</v>
      </c>
    </row>
    <row r="8" spans="2:3" x14ac:dyDescent="0.2">
      <c r="B8" s="26" t="s">
        <v>170</v>
      </c>
      <c r="C8" s="26" t="s">
        <v>171</v>
      </c>
    </row>
    <row r="9" spans="2:3" x14ac:dyDescent="0.2">
      <c r="B9" s="26" t="s">
        <v>170</v>
      </c>
      <c r="C9" s="26" t="s">
        <v>178</v>
      </c>
    </row>
    <row r="10" spans="2:3" x14ac:dyDescent="0.2">
      <c r="B10" s="26" t="s">
        <v>170</v>
      </c>
      <c r="C10" s="26" t="s">
        <v>172</v>
      </c>
    </row>
    <row r="11" spans="2:3" x14ac:dyDescent="0.2">
      <c r="B11" s="26" t="s">
        <v>170</v>
      </c>
      <c r="C11" s="26" t="s">
        <v>180</v>
      </c>
    </row>
    <row r="12" spans="2:3" x14ac:dyDescent="0.2">
      <c r="B12" s="26" t="s">
        <v>170</v>
      </c>
      <c r="C12" s="26" t="s">
        <v>175</v>
      </c>
    </row>
    <row r="13" spans="2:3" x14ac:dyDescent="0.2">
      <c r="B13" s="26" t="s">
        <v>170</v>
      </c>
      <c r="C13" s="26" t="s">
        <v>176</v>
      </c>
    </row>
    <row r="14" spans="2:3" x14ac:dyDescent="0.2">
      <c r="B14" s="26" t="s">
        <v>170</v>
      </c>
      <c r="C14" s="26" t="s">
        <v>177</v>
      </c>
    </row>
    <row r="15" spans="2:3" x14ac:dyDescent="0.2">
      <c r="B15" s="26" t="s">
        <v>170</v>
      </c>
      <c r="C15" s="26" t="s">
        <v>179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C5CA-0AF3-461D-AB50-28AABC488268}">
  <sheetPr codeName="Sheet1">
    <tabColor rgb="FFFF0000"/>
  </sheetPr>
  <dimension ref="B2:C19"/>
  <sheetViews>
    <sheetView workbookViewId="0"/>
  </sheetViews>
  <sheetFormatPr defaultRowHeight="12.75" x14ac:dyDescent="0.2"/>
  <cols>
    <col min="1" max="1" width="2.7109375" customWidth="1"/>
    <col min="2" max="2" width="20" bestFit="1" customWidth="1"/>
    <col min="3" max="3" width="9.140625" style="175"/>
  </cols>
  <sheetData>
    <row r="2" spans="2:3" x14ac:dyDescent="0.2">
      <c r="B2" s="26" t="s">
        <v>158</v>
      </c>
    </row>
    <row r="3" spans="2:3" x14ac:dyDescent="0.2">
      <c r="B3" s="26" t="s">
        <v>142</v>
      </c>
    </row>
    <row r="4" spans="2:3" x14ac:dyDescent="0.2">
      <c r="B4" s="26" t="s">
        <v>159</v>
      </c>
    </row>
    <row r="5" spans="2:3" x14ac:dyDescent="0.2">
      <c r="B5" s="26" t="s">
        <v>224</v>
      </c>
    </row>
    <row r="6" spans="2:3" x14ac:dyDescent="0.2">
      <c r="B6" s="26" t="s">
        <v>141</v>
      </c>
    </row>
    <row r="7" spans="2:3" x14ac:dyDescent="0.2">
      <c r="B7" s="26" t="s">
        <v>169</v>
      </c>
    </row>
    <row r="8" spans="2:3" x14ac:dyDescent="0.2">
      <c r="B8" s="26" t="s">
        <v>223</v>
      </c>
    </row>
    <row r="11" spans="2:3" x14ac:dyDescent="0.2">
      <c r="B11" s="117" t="s">
        <v>191</v>
      </c>
    </row>
    <row r="12" spans="2:3" x14ac:dyDescent="0.2">
      <c r="B12" s="26" t="s">
        <v>164</v>
      </c>
      <c r="C12" s="176" t="s">
        <v>192</v>
      </c>
    </row>
    <row r="13" spans="2:3" x14ac:dyDescent="0.2">
      <c r="B13" s="26" t="s">
        <v>14</v>
      </c>
      <c r="C13" s="175">
        <v>20</v>
      </c>
    </row>
    <row r="14" spans="2:3" x14ac:dyDescent="0.2">
      <c r="B14" s="26" t="s">
        <v>4</v>
      </c>
      <c r="C14" s="176" t="s">
        <v>192</v>
      </c>
    </row>
    <row r="15" spans="2:3" x14ac:dyDescent="0.2">
      <c r="B15" s="26" t="s">
        <v>193</v>
      </c>
      <c r="C15" s="175">
        <v>50</v>
      </c>
    </row>
    <row r="16" spans="2:3" x14ac:dyDescent="0.2">
      <c r="B16" s="26" t="s">
        <v>84</v>
      </c>
      <c r="C16" s="175">
        <v>50</v>
      </c>
    </row>
    <row r="17" spans="2:3" x14ac:dyDescent="0.2">
      <c r="B17" s="26" t="s">
        <v>194</v>
      </c>
      <c r="C17" s="176" t="s">
        <v>192</v>
      </c>
    </row>
    <row r="18" spans="2:3" x14ac:dyDescent="0.2">
      <c r="B18" s="26" t="s">
        <v>195</v>
      </c>
      <c r="C18" s="175">
        <v>20</v>
      </c>
    </row>
    <row r="19" spans="2:3" x14ac:dyDescent="0.2">
      <c r="B19" s="26" t="s">
        <v>85</v>
      </c>
      <c r="C19" s="175">
        <v>50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E363-6E06-445A-A33D-5E17F3BDB645}">
  <sheetPr codeName="Sheet28"/>
  <dimension ref="A1"/>
  <sheetViews>
    <sheetView workbookViewId="0"/>
  </sheetViews>
  <sheetFormatPr defaultRowHeight="12.75" x14ac:dyDescent="0.2"/>
  <cols>
    <col min="1" max="16384" width="9.140625" style="25"/>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00-08A8-4C29-AC9B-000C205672BD}">
  <sheetPr codeName="Sheet18">
    <tabColor theme="9"/>
  </sheetPr>
  <dimension ref="A1:AY573"/>
  <sheetViews>
    <sheetView workbookViewId="0"/>
  </sheetViews>
  <sheetFormatPr defaultColWidth="8" defaultRowHeight="11.25" x14ac:dyDescent="0.2"/>
  <cols>
    <col min="1" max="1" width="17.28515625" style="142" bestFit="1" customWidth="1"/>
    <col min="2" max="51" width="15.7109375" style="142" customWidth="1"/>
    <col min="52" max="16384" width="8" style="142"/>
  </cols>
  <sheetData>
    <row r="1" spans="1:51" x14ac:dyDescent="0.2">
      <c r="B1" s="142">
        <v>1</v>
      </c>
      <c r="C1" s="142">
        <f>B1+1</f>
        <v>2</v>
      </c>
      <c r="D1" s="142">
        <f t="shared" ref="D1:AY1" si="0">C1+1</f>
        <v>3</v>
      </c>
      <c r="E1" s="142">
        <f t="shared" si="0"/>
        <v>4</v>
      </c>
      <c r="F1" s="142">
        <f t="shared" si="0"/>
        <v>5</v>
      </c>
      <c r="G1" s="142">
        <f t="shared" si="0"/>
        <v>6</v>
      </c>
      <c r="H1" s="142">
        <f t="shared" si="0"/>
        <v>7</v>
      </c>
      <c r="I1" s="142">
        <f t="shared" si="0"/>
        <v>8</v>
      </c>
      <c r="J1" s="142">
        <f t="shared" si="0"/>
        <v>9</v>
      </c>
      <c r="K1" s="142">
        <f t="shared" si="0"/>
        <v>10</v>
      </c>
      <c r="L1" s="142">
        <f t="shared" si="0"/>
        <v>11</v>
      </c>
      <c r="M1" s="142">
        <f t="shared" si="0"/>
        <v>12</v>
      </c>
      <c r="N1" s="142">
        <f t="shared" si="0"/>
        <v>13</v>
      </c>
      <c r="O1" s="142">
        <f t="shared" si="0"/>
        <v>14</v>
      </c>
      <c r="P1" s="142">
        <f t="shared" si="0"/>
        <v>15</v>
      </c>
      <c r="Q1" s="142">
        <f t="shared" si="0"/>
        <v>16</v>
      </c>
      <c r="R1" s="142">
        <f t="shared" si="0"/>
        <v>17</v>
      </c>
      <c r="S1" s="142">
        <f t="shared" si="0"/>
        <v>18</v>
      </c>
      <c r="T1" s="142">
        <f t="shared" si="0"/>
        <v>19</v>
      </c>
      <c r="U1" s="142">
        <f t="shared" si="0"/>
        <v>20</v>
      </c>
      <c r="V1" s="142">
        <f t="shared" si="0"/>
        <v>21</v>
      </c>
      <c r="W1" s="142">
        <f t="shared" si="0"/>
        <v>22</v>
      </c>
      <c r="X1" s="142">
        <f t="shared" si="0"/>
        <v>23</v>
      </c>
      <c r="Y1" s="142">
        <f t="shared" si="0"/>
        <v>24</v>
      </c>
      <c r="Z1" s="142">
        <f t="shared" si="0"/>
        <v>25</v>
      </c>
      <c r="AA1" s="142">
        <f t="shared" si="0"/>
        <v>26</v>
      </c>
      <c r="AB1" s="142">
        <f t="shared" si="0"/>
        <v>27</v>
      </c>
      <c r="AC1" s="142">
        <f t="shared" si="0"/>
        <v>28</v>
      </c>
      <c r="AD1" s="142">
        <f t="shared" si="0"/>
        <v>29</v>
      </c>
      <c r="AE1" s="142">
        <f t="shared" si="0"/>
        <v>30</v>
      </c>
      <c r="AF1" s="142">
        <f t="shared" si="0"/>
        <v>31</v>
      </c>
      <c r="AG1" s="142">
        <f t="shared" si="0"/>
        <v>32</v>
      </c>
      <c r="AH1" s="142">
        <f t="shared" si="0"/>
        <v>33</v>
      </c>
      <c r="AI1" s="142">
        <f t="shared" si="0"/>
        <v>34</v>
      </c>
      <c r="AJ1" s="142">
        <f t="shared" si="0"/>
        <v>35</v>
      </c>
      <c r="AK1" s="142">
        <f t="shared" si="0"/>
        <v>36</v>
      </c>
      <c r="AL1" s="142">
        <f t="shared" si="0"/>
        <v>37</v>
      </c>
      <c r="AM1" s="142">
        <f t="shared" si="0"/>
        <v>38</v>
      </c>
      <c r="AN1" s="142">
        <f t="shared" si="0"/>
        <v>39</v>
      </c>
      <c r="AO1" s="142">
        <f t="shared" si="0"/>
        <v>40</v>
      </c>
      <c r="AP1" s="142">
        <f t="shared" si="0"/>
        <v>41</v>
      </c>
      <c r="AQ1" s="142">
        <f t="shared" si="0"/>
        <v>42</v>
      </c>
      <c r="AR1" s="142">
        <f t="shared" si="0"/>
        <v>43</v>
      </c>
      <c r="AS1" s="142">
        <f t="shared" si="0"/>
        <v>44</v>
      </c>
      <c r="AT1" s="142">
        <f t="shared" si="0"/>
        <v>45</v>
      </c>
      <c r="AU1" s="142">
        <f t="shared" si="0"/>
        <v>46</v>
      </c>
      <c r="AV1" s="142">
        <f t="shared" si="0"/>
        <v>47</v>
      </c>
      <c r="AW1" s="142">
        <f t="shared" si="0"/>
        <v>48</v>
      </c>
      <c r="AX1" s="142">
        <f t="shared" si="0"/>
        <v>49</v>
      </c>
      <c r="AY1" s="142">
        <f t="shared" si="0"/>
        <v>50</v>
      </c>
    </row>
    <row r="2" spans="1:51" x14ac:dyDescent="0.2">
      <c r="A2" s="142" t="s">
        <v>148</v>
      </c>
      <c r="B2" s="158" t="str" cm="1">
        <f t="array" ref="B2:AB2">TRANSPOSE(_xlfn._xlws.FILTER(Recurring!$B$4:$B$53,ISNUMBER(Recurring!$G$4:$G$53)))</f>
        <v>Salary &amp; Paychecks</v>
      </c>
      <c r="C2" s="142" t="str">
        <v>Retirement Contributions</v>
      </c>
      <c r="D2" s="142" t="str">
        <v>Other Deductions</v>
      </c>
      <c r="E2" s="142" t="str">
        <v>Other Deductions</v>
      </c>
      <c r="F2" s="142" t="str">
        <v>Other Deductions</v>
      </c>
      <c r="G2" s="142" t="str">
        <v>Other Deductions</v>
      </c>
      <c r="H2" s="142" t="str">
        <v>Housing</v>
      </c>
      <c r="I2" s="142" t="str">
        <v>Housing</v>
      </c>
      <c r="J2" s="142" t="str">
        <v>Transportation</v>
      </c>
      <c r="K2" s="142" t="str">
        <v>Transportation</v>
      </c>
      <c r="L2" s="142" t="str">
        <v>Dues &amp; Subscriptions</v>
      </c>
      <c r="M2" s="142" t="str">
        <v>Dues &amp; Subscriptions</v>
      </c>
      <c r="N2" s="142" t="str">
        <v>Dues &amp; Subscriptions</v>
      </c>
      <c r="O2" s="142" t="str">
        <v>Dues &amp; Subscriptions</v>
      </c>
      <c r="P2" s="142" t="str">
        <v>Dues &amp; Subscriptions</v>
      </c>
      <c r="Q2" s="142" t="str">
        <v>Groceries</v>
      </c>
      <c r="R2" s="142" t="str">
        <v>Food &amp; Drinks</v>
      </c>
      <c r="S2" s="142" t="str">
        <v>Food &amp; Drinks</v>
      </c>
      <c r="T2" s="142" t="str">
        <v>Health &amp; Personal Care</v>
      </c>
      <c r="U2" s="142" t="str">
        <v>Medication &amp; Supplements</v>
      </c>
      <c r="V2" s="142" t="str">
        <v>Loans</v>
      </c>
      <c r="W2" s="142" t="str">
        <v>Loans</v>
      </c>
      <c r="X2" s="142" t="str">
        <v>Brokerage Contributions</v>
      </c>
      <c r="Y2" s="142" t="str">
        <v>Other Required Outflows</v>
      </c>
      <c r="Z2" s="142" t="str">
        <v>Shopping</v>
      </c>
      <c r="AA2" s="142" t="str">
        <v>Dues &amp; Subscriptions</v>
      </c>
      <c r="AB2" s="142" t="str">
        <v>Food &amp; Drinks</v>
      </c>
    </row>
    <row r="3" spans="1:51" x14ac:dyDescent="0.2">
      <c r="A3" s="142" t="s">
        <v>208</v>
      </c>
      <c r="B3" s="143" t="str" cm="1">
        <f t="array" ref="B3:AB3">TRANSPOSE(_xlfn._xlws.FILTER(Recurring!$E$4:$E$53,ISNUMBER(Recurring!$G$4:$G$53)))</f>
        <v>Week</v>
      </c>
      <c r="C3" s="142" t="str">
        <v>Week</v>
      </c>
      <c r="D3" s="142" t="str">
        <v>Week</v>
      </c>
      <c r="E3" s="142" t="str">
        <v>Week</v>
      </c>
      <c r="F3" s="142" t="str">
        <v>Week</v>
      </c>
      <c r="G3" s="142" t="str">
        <v>Week</v>
      </c>
      <c r="H3" s="142" t="str">
        <v>Month</v>
      </c>
      <c r="I3" s="142" t="str">
        <v>Month</v>
      </c>
      <c r="J3" s="142" t="str">
        <v>Month</v>
      </c>
      <c r="K3" s="142" t="str">
        <v>Week</v>
      </c>
      <c r="L3" s="142" t="str">
        <v>Year</v>
      </c>
      <c r="M3" s="142" t="str">
        <v>Month</v>
      </c>
      <c r="N3" s="142" t="str">
        <v>Month</v>
      </c>
      <c r="O3" s="142" t="str">
        <v>Month</v>
      </c>
      <c r="P3" s="142" t="str">
        <v>Month</v>
      </c>
      <c r="Q3" s="142" t="str">
        <v>Week</v>
      </c>
      <c r="R3" s="142" t="str">
        <v>Week</v>
      </c>
      <c r="S3" s="142" t="str">
        <v>Week</v>
      </c>
      <c r="T3" s="142" t="str">
        <v>Week</v>
      </c>
      <c r="U3" s="142" t="str">
        <v>Day</v>
      </c>
      <c r="V3" s="142" t="str">
        <v>Month</v>
      </c>
      <c r="W3" s="142" t="str">
        <v>Month</v>
      </c>
      <c r="X3" s="142" t="str">
        <v>Week</v>
      </c>
      <c r="Y3" s="142" t="str">
        <v>Week</v>
      </c>
      <c r="Z3" s="142" t="str">
        <v>Month</v>
      </c>
      <c r="AA3" s="142" t="str">
        <v>Month</v>
      </c>
      <c r="AB3" s="142" t="str">
        <v>Day</v>
      </c>
    </row>
    <row r="4" spans="1:51" s="144" customFormat="1" x14ac:dyDescent="0.2">
      <c r="A4" s="144" t="s">
        <v>209</v>
      </c>
      <c r="B4" s="145" cm="1">
        <f t="array" ref="B4:AB4">TRANSPOSE(_xlfn._xlws.FILTER(Recurring!$G$4:$G$53,ISNUMBER(Recurring!$G$4:$G$53)))</f>
        <v>2</v>
      </c>
      <c r="C4" s="144">
        <v>2</v>
      </c>
      <c r="D4" s="144">
        <v>2</v>
      </c>
      <c r="E4" s="144">
        <v>2</v>
      </c>
      <c r="F4" s="144">
        <v>2</v>
      </c>
      <c r="G4" s="144">
        <v>2</v>
      </c>
      <c r="H4" s="144">
        <v>1</v>
      </c>
      <c r="I4" s="144">
        <v>1</v>
      </c>
      <c r="J4" s="144">
        <v>6</v>
      </c>
      <c r="K4" s="144">
        <v>1</v>
      </c>
      <c r="L4" s="144">
        <v>1</v>
      </c>
      <c r="M4" s="144">
        <v>1</v>
      </c>
      <c r="N4" s="144">
        <v>1</v>
      </c>
      <c r="O4" s="144">
        <v>1</v>
      </c>
      <c r="P4" s="144">
        <v>1</v>
      </c>
      <c r="Q4" s="144">
        <v>1</v>
      </c>
      <c r="R4" s="144">
        <v>1</v>
      </c>
      <c r="S4" s="144">
        <v>1</v>
      </c>
      <c r="T4" s="144">
        <v>3</v>
      </c>
      <c r="U4" s="144">
        <v>90</v>
      </c>
      <c r="V4" s="144">
        <v>1</v>
      </c>
      <c r="W4" s="144">
        <v>1</v>
      </c>
      <c r="X4" s="144">
        <v>2</v>
      </c>
      <c r="Y4" s="144">
        <v>2</v>
      </c>
      <c r="Z4" s="144">
        <v>6</v>
      </c>
      <c r="AA4" s="144">
        <v>1</v>
      </c>
      <c r="AB4" s="144">
        <v>1</v>
      </c>
    </row>
    <row r="5" spans="1:51" s="146" customFormat="1" x14ac:dyDescent="0.2">
      <c r="A5" s="146" t="s">
        <v>149</v>
      </c>
      <c r="B5" s="147" cm="1">
        <f t="array" aca="1" ref="B5:AB5" ca="1">TRANSPOSE(_xlfn._xlws.FILTER(Recurring!$I$4:$I$53,ISNUMBER(Recurring!$G$4:$G$53)))</f>
        <v>45751</v>
      </c>
      <c r="C5" s="146">
        <f ca="1"/>
        <v>45751</v>
      </c>
      <c r="D5" s="146">
        <f ca="1"/>
        <v>45751</v>
      </c>
      <c r="E5" s="146">
        <f ca="1"/>
        <v>45751</v>
      </c>
      <c r="F5" s="146">
        <f ca="1"/>
        <v>45751</v>
      </c>
      <c r="G5" s="146">
        <f ca="1"/>
        <v>45751</v>
      </c>
      <c r="H5" s="146">
        <f ca="1"/>
        <v>45747</v>
      </c>
      <c r="I5" s="146">
        <f ca="1"/>
        <v>45717</v>
      </c>
      <c r="J5" s="146">
        <f ca="1"/>
        <v>45819</v>
      </c>
      <c r="K5" s="146">
        <f ca="1"/>
        <v>45746</v>
      </c>
      <c r="L5" s="146">
        <f ca="1"/>
        <v>45727</v>
      </c>
      <c r="M5" s="146">
        <f ca="1"/>
        <v>45720</v>
      </c>
      <c r="N5" s="146">
        <f ca="1"/>
        <v>45733</v>
      </c>
      <c r="O5" s="146">
        <f ca="1"/>
        <v>45734</v>
      </c>
      <c r="P5" s="146">
        <f ca="1"/>
        <v>45743</v>
      </c>
      <c r="Q5" s="146">
        <f ca="1"/>
        <v>45745</v>
      </c>
      <c r="R5" s="146">
        <f ca="1"/>
        <v>45745</v>
      </c>
      <c r="S5" s="146">
        <f ca="1"/>
        <v>45746</v>
      </c>
      <c r="T5" s="146">
        <f ca="1"/>
        <v>45754</v>
      </c>
      <c r="U5" s="146">
        <f ca="1"/>
        <v>45745</v>
      </c>
      <c r="V5" s="146">
        <f ca="1"/>
        <v>45733</v>
      </c>
      <c r="W5" s="146">
        <f ca="1"/>
        <v>45747</v>
      </c>
      <c r="X5" s="146">
        <f ca="1"/>
        <v>45751</v>
      </c>
      <c r="Y5" s="146">
        <f ca="1"/>
        <v>45751</v>
      </c>
      <c r="Z5" s="146">
        <f ca="1"/>
        <v>45889</v>
      </c>
      <c r="AA5" s="146">
        <f ca="1"/>
        <v>45736</v>
      </c>
      <c r="AB5" s="146">
        <f ca="1"/>
        <v>45743</v>
      </c>
    </row>
    <row r="6" spans="1:51" s="146" customFormat="1" x14ac:dyDescent="0.2"/>
    <row r="7" spans="1:51" s="146" customFormat="1" x14ac:dyDescent="0.2">
      <c r="A7" s="146" t="s">
        <v>150</v>
      </c>
      <c r="B7" s="148" cm="1">
        <f t="array" aca="1" ref="B7:B32" ca="1">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C7" s="148" cm="1">
        <f t="array" aca="1" ref="C7:C32" ca="1">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D7" s="148" cm="1">
        <f t="array" aca="1" ref="D7:D32" ca="1">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E7" s="148" cm="1">
        <f t="array" aca="1" ref="E7:E32" ca="1">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F7" s="148" cm="1">
        <f t="array" aca="1" ref="F7:F32" ca="1">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G7" s="148" cm="1">
        <f t="array" aca="1" ref="G7:G32" ca="1">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H7" s="148" cm="1">
        <f t="array" aca="1" ref="H7:H18" ca="1">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45747</v>
      </c>
      <c r="I7" s="148" cm="1">
        <f t="array" aca="1" ref="I7:I18" ca="1">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45717</v>
      </c>
      <c r="J7" s="148" cm="1">
        <f t="array" aca="1" ref="J7:J8" ca="1">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45819</v>
      </c>
      <c r="K7" s="148" cm="1">
        <f t="array" aca="1" ref="K7:K58" ca="1">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45746</v>
      </c>
      <c r="L7" s="148" cm="1">
        <f t="array" aca="1" ref="L7:L8" ca="1">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45727</v>
      </c>
      <c r="M7" s="148" cm="1">
        <f t="array" aca="1" ref="M7:M18" ca="1">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45720</v>
      </c>
      <c r="N7" s="148" cm="1">
        <f t="array" aca="1" ref="N7:N18" ca="1">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45733</v>
      </c>
      <c r="O7" s="148" cm="1">
        <f t="array" aca="1" ref="O7:O18" ca="1">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45734</v>
      </c>
      <c r="P7" s="148" cm="1">
        <f t="array" aca="1" ref="P7:P18" ca="1">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45743</v>
      </c>
      <c r="Q7" s="148" cm="1">
        <f t="array" aca="1" ref="Q7:Q58" ca="1">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45745</v>
      </c>
      <c r="R7" s="148" cm="1">
        <f t="array" aca="1" ref="R7:R58" ca="1">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45745</v>
      </c>
      <c r="S7" s="148" cm="1">
        <f t="array" aca="1" ref="S7:S58" ca="1">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45746</v>
      </c>
      <c r="T7" s="148" cm="1">
        <f t="array" aca="1" ref="T7:T24" ca="1">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45754</v>
      </c>
      <c r="U7" s="148" cm="1">
        <f t="array" aca="1" ref="U7:U11" ca="1">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45745</v>
      </c>
      <c r="V7" s="148" cm="1">
        <f t="array" aca="1" ref="V7:V18" ca="1">_xlfn.LET(
    _xlpm.frequency_type, V$3,
    _xlpm.frequency_value, V$4,
    _xlpm.start_date, 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45733</v>
      </c>
      <c r="W7" s="148" cm="1">
        <f t="array" aca="1" ref="W7:W18" ca="1">_xlfn.LET(
    _xlpm.frequency_type, W$3,
    _xlpm.frequency_value, W$4,
    _xlpm.start_date, 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45747</v>
      </c>
      <c r="X7" s="148" cm="1">
        <f t="array" aca="1" ref="X7:X32" ca="1">_xlfn.LET(
    _xlpm.frequency_type, X$3,
    _xlpm.frequency_value, X$4,
    _xlpm.start_date, 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Y7" s="148" cm="1">
        <f t="array" aca="1" ref="Y7:Y32" ca="1">_xlfn.LET(
    _xlpm.frequency_type, Y$3,
    _xlpm.frequency_value, Y$4,
    _xlpm.start_date, 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45751</v>
      </c>
      <c r="Z7" s="148" cm="1">
        <f t="array" aca="1" ref="Z7:Z8" ca="1">_xlfn.LET(
    _xlpm.frequency_type, Z$3,
    _xlpm.frequency_value, Z$4,
    _xlpm.start_date, Z$5,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45889</v>
      </c>
      <c r="AA7" s="148" cm="1">
        <f t="array" aca="1" ref="AA7:AA18" ca="1">_xlfn.LET(
    _xlpm.frequency_type, AA$3,
    _xlpm.frequency_value, AA$4,
    _xlpm.start_date, AA$5,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45736</v>
      </c>
      <c r="AB7" s="148" cm="1">
        <f t="array" aca="1" ref="AB7:AB372" ca="1">_xlfn.LET(
    _xlpm.frequency_type, AB$3,
    _xlpm.frequency_value, AB$4,
    _xlpm.start_date, AB$5,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45743</v>
      </c>
      <c r="AC7" s="148" t="str" cm="1">
        <f t="array" ref="AC7">_xlfn.LET(
    _xlpm.frequency_type, AC$3,
    _xlpm.frequency_value, AC$4,
    _xlpm.start_date, AC$5,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D7" s="148" t="str" cm="1">
        <f t="array" ref="AD7">_xlfn.LET(
    _xlpm.frequency_type, AD$3,
    _xlpm.frequency_value, AD$4,
    _xlpm.start_date, AD$5,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E7" s="148" t="str" cm="1">
        <f t="array" ref="AE7">_xlfn.LET(
    _xlpm.frequency_type, AE$3,
    _xlpm.frequency_value, AE$4,
    _xlpm.start_date, AE$5,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F7" s="148" t="str" cm="1">
        <f t="array" ref="AF7">_xlfn.LET(
    _xlpm.frequency_type, AF$3,
    _xlpm.frequency_value, AF$4,
    _xlpm.start_date, AF$5,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G7" s="148" t="str" cm="1">
        <f t="array" ref="AG7">_xlfn.LET(
    _xlpm.frequency_type, AG$3,
    _xlpm.frequency_value, AG$4,
    _xlpm.start_date, AG$5,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H7" s="148" t="str" cm="1">
        <f t="array" ref="AH7">_xlfn.LET(
    _xlpm.frequency_type, AH$3,
    _xlpm.frequency_value, AH$4,
    _xlpm.start_date, AH$5,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I7" s="148" t="str" cm="1">
        <f t="array" ref="AI7">_xlfn.LET(
    _xlpm.frequency_type, AI$3,
    _xlpm.frequency_value, AI$4,
    _xlpm.start_date, AI$5,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J7" s="148" t="str" cm="1">
        <f t="array" ref="AJ7">_xlfn.LET(
    _xlpm.frequency_type, AJ$3,
    _xlpm.frequency_value, AJ$4,
    _xlpm.start_date, AJ$5,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K7" s="148" t="str" cm="1">
        <f t="array" ref="AK7">_xlfn.LET(
    _xlpm.frequency_type, AK$3,
    _xlpm.frequency_value, AK$4,
    _xlpm.start_date, AK$5,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L7" s="148" t="str" cm="1">
        <f t="array" ref="AL7">_xlfn.LET(
    _xlpm.frequency_type, AL$3,
    _xlpm.frequency_value, AL$4,
    _xlpm.start_date, AL$5,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M7" s="148" t="str" cm="1">
        <f t="array" ref="AM7">_xlfn.LET(
    _xlpm.frequency_type, AM$3,
    _xlpm.frequency_value, AM$4,
    _xlpm.start_date, AM$5,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N7" s="148" t="str" cm="1">
        <f t="array" ref="AN7">_xlfn.LET(
    _xlpm.frequency_type, AN$3,
    _xlpm.frequency_value, AN$4,
    _xlpm.start_date, AN$5,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O7" s="148" t="str" cm="1">
        <f t="array" ref="AO7">_xlfn.LET(
    _xlpm.frequency_type, AO$3,
    _xlpm.frequency_value, AO$4,
    _xlpm.start_date, AO$5,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P7" s="148" t="str" cm="1">
        <f t="array" ref="AP7">_xlfn.LET(
    _xlpm.frequency_type, AP$3,
    _xlpm.frequency_value, AP$4,
    _xlpm.start_date, AP$5,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Q7" s="148" t="str" cm="1">
        <f t="array" ref="AQ7">_xlfn.LET(
    _xlpm.frequency_type, AQ$3,
    _xlpm.frequency_value, AQ$4,
    _xlpm.start_date, AQ$5,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R7" s="148" t="str" cm="1">
        <f t="array" ref="AR7">_xlfn.LET(
    _xlpm.frequency_type, AR$3,
    _xlpm.frequency_value, AR$4,
    _xlpm.start_date, AR$5,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S7" s="148" t="str" cm="1">
        <f t="array" ref="AS7">_xlfn.LET(
    _xlpm.frequency_type, AS$3,
    _xlpm.frequency_value, AS$4,
    _xlpm.start_date, AS$5,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T7" s="148" t="str" cm="1">
        <f t="array" ref="AT7">_xlfn.LET(
    _xlpm.frequency_type, AT$3,
    _xlpm.frequency_value, AT$4,
    _xlpm.start_date, AT$5,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U7" s="148" t="str" cm="1">
        <f t="array" ref="AU7">_xlfn.LET(
    _xlpm.frequency_type, AU$3,
    _xlpm.frequency_value, AU$4,
    _xlpm.start_date, AU$5,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V7" s="148" t="str" cm="1">
        <f t="array" ref="AV7">_xlfn.LET(
    _xlpm.frequency_type, AV$3,
    _xlpm.frequency_value, AV$4,
    _xlpm.start_date, AV$5,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W7" s="148" t="str" cm="1">
        <f t="array" ref="AW7">_xlfn.LET(
    _xlpm.frequency_type, AW$3,
    _xlpm.frequency_value, AW$4,
    _xlpm.start_date, AW$5,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X7" s="148" t="str" cm="1">
        <f t="array" ref="AX7">_xlfn.LET(
    _xlpm.frequency_type, AX$3,
    _xlpm.frequency_value, AX$4,
    _xlpm.start_date, AX$5,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Y7" s="148" t="str" cm="1">
        <f t="array" ref="AY7">_xlfn.LET(
    _xlpm.frequency_type, AY$3,
    _xlpm.frequency_value, AY$4,
    _xlpm.start_date, AY$5,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51" s="146" customFormat="1" x14ac:dyDescent="0.2">
      <c r="B8" s="149">
        <f ca="1"/>
        <v>45765</v>
      </c>
      <c r="C8" s="149">
        <f ca="1"/>
        <v>45765</v>
      </c>
      <c r="D8" s="149">
        <f ca="1"/>
        <v>45765</v>
      </c>
      <c r="E8" s="149">
        <f ca="1"/>
        <v>45765</v>
      </c>
      <c r="F8" s="149">
        <f ca="1"/>
        <v>45765</v>
      </c>
      <c r="G8" s="149">
        <f ca="1"/>
        <v>45765</v>
      </c>
      <c r="H8" s="146">
        <f ca="1"/>
        <v>45777</v>
      </c>
      <c r="I8" s="146">
        <f ca="1"/>
        <v>45748</v>
      </c>
      <c r="J8" s="146">
        <f ca="1"/>
        <v>46002</v>
      </c>
      <c r="K8" s="146">
        <f ca="1"/>
        <v>45753</v>
      </c>
      <c r="L8" s="146">
        <f ca="1"/>
        <v>46092</v>
      </c>
      <c r="M8" s="146">
        <f ca="1"/>
        <v>45751</v>
      </c>
      <c r="N8" s="146">
        <f ca="1"/>
        <v>45764</v>
      </c>
      <c r="O8" s="146">
        <f ca="1"/>
        <v>45765</v>
      </c>
      <c r="P8" s="146">
        <f ca="1"/>
        <v>45774</v>
      </c>
      <c r="Q8" s="146">
        <f ca="1"/>
        <v>45752</v>
      </c>
      <c r="R8" s="146">
        <f ca="1"/>
        <v>45752</v>
      </c>
      <c r="S8" s="146">
        <f ca="1"/>
        <v>45753</v>
      </c>
      <c r="T8" s="146">
        <f ca="1"/>
        <v>45775</v>
      </c>
      <c r="U8" s="146">
        <f ca="1"/>
        <v>45835</v>
      </c>
      <c r="V8" s="146">
        <f ca="1"/>
        <v>45764</v>
      </c>
      <c r="W8" s="146">
        <f ca="1"/>
        <v>45777</v>
      </c>
      <c r="X8" s="146">
        <f ca="1"/>
        <v>45765</v>
      </c>
      <c r="Y8" s="146">
        <f ca="1"/>
        <v>45765</v>
      </c>
      <c r="Z8" s="146">
        <f ca="1"/>
        <v>46073</v>
      </c>
      <c r="AA8" s="146">
        <f ca="1"/>
        <v>45767</v>
      </c>
      <c r="AB8" s="146">
        <f ca="1"/>
        <v>45744</v>
      </c>
    </row>
    <row r="9" spans="1:51" s="146" customFormat="1" x14ac:dyDescent="0.2">
      <c r="B9" s="146">
        <f ca="1"/>
        <v>45779</v>
      </c>
      <c r="C9" s="146">
        <f ca="1"/>
        <v>45779</v>
      </c>
      <c r="D9" s="146">
        <f ca="1"/>
        <v>45779</v>
      </c>
      <c r="E9" s="146">
        <f ca="1"/>
        <v>45779</v>
      </c>
      <c r="F9" s="146">
        <f ca="1"/>
        <v>45779</v>
      </c>
      <c r="G9" s="146">
        <f ca="1"/>
        <v>45779</v>
      </c>
      <c r="H9" s="146">
        <f ca="1"/>
        <v>45808</v>
      </c>
      <c r="I9" s="146">
        <f ca="1"/>
        <v>45778</v>
      </c>
      <c r="K9" s="146">
        <f ca="1"/>
        <v>45760</v>
      </c>
      <c r="M9" s="146">
        <f ca="1"/>
        <v>45781</v>
      </c>
      <c r="N9" s="146">
        <f ca="1"/>
        <v>45794</v>
      </c>
      <c r="O9" s="146">
        <f ca="1"/>
        <v>45795</v>
      </c>
      <c r="P9" s="146">
        <f ca="1"/>
        <v>45804</v>
      </c>
      <c r="Q9" s="146">
        <f ca="1"/>
        <v>45759</v>
      </c>
      <c r="R9" s="146">
        <f ca="1"/>
        <v>45759</v>
      </c>
      <c r="S9" s="146">
        <f ca="1"/>
        <v>45760</v>
      </c>
      <c r="T9" s="146">
        <f ca="1"/>
        <v>45796</v>
      </c>
      <c r="U9" s="146">
        <f ca="1"/>
        <v>45925</v>
      </c>
      <c r="V9" s="146">
        <f ca="1"/>
        <v>45794</v>
      </c>
      <c r="W9" s="146">
        <f ca="1"/>
        <v>45808</v>
      </c>
      <c r="X9" s="146">
        <f ca="1"/>
        <v>45779</v>
      </c>
      <c r="Y9" s="146">
        <f ca="1"/>
        <v>45779</v>
      </c>
      <c r="AA9" s="146">
        <f ca="1"/>
        <v>45797</v>
      </c>
      <c r="AB9" s="146">
        <f ca="1"/>
        <v>45745</v>
      </c>
    </row>
    <row r="10" spans="1:51" s="146" customFormat="1" x14ac:dyDescent="0.2">
      <c r="B10" s="146">
        <f ca="1"/>
        <v>45793</v>
      </c>
      <c r="C10" s="146">
        <f ca="1"/>
        <v>45793</v>
      </c>
      <c r="D10" s="146">
        <f ca="1"/>
        <v>45793</v>
      </c>
      <c r="E10" s="146">
        <f ca="1"/>
        <v>45793</v>
      </c>
      <c r="F10" s="146">
        <f ca="1"/>
        <v>45793</v>
      </c>
      <c r="G10" s="146">
        <f ca="1"/>
        <v>45793</v>
      </c>
      <c r="H10" s="146">
        <f ca="1"/>
        <v>45838</v>
      </c>
      <c r="I10" s="146">
        <f ca="1"/>
        <v>45809</v>
      </c>
      <c r="K10" s="146">
        <f ca="1"/>
        <v>45767</v>
      </c>
      <c r="M10" s="146">
        <f ca="1"/>
        <v>45812</v>
      </c>
      <c r="N10" s="146">
        <f ca="1"/>
        <v>45825</v>
      </c>
      <c r="O10" s="146">
        <f ca="1"/>
        <v>45826</v>
      </c>
      <c r="P10" s="146">
        <f ca="1"/>
        <v>45835</v>
      </c>
      <c r="Q10" s="146">
        <f ca="1"/>
        <v>45766</v>
      </c>
      <c r="R10" s="146">
        <f ca="1"/>
        <v>45766</v>
      </c>
      <c r="S10" s="146">
        <f ca="1"/>
        <v>45767</v>
      </c>
      <c r="T10" s="146">
        <f ca="1"/>
        <v>45817</v>
      </c>
      <c r="U10" s="146">
        <f ca="1"/>
        <v>46015</v>
      </c>
      <c r="V10" s="146">
        <f ca="1"/>
        <v>45825</v>
      </c>
      <c r="W10" s="146">
        <f ca="1"/>
        <v>45838</v>
      </c>
      <c r="X10" s="146">
        <f ca="1"/>
        <v>45793</v>
      </c>
      <c r="Y10" s="146">
        <f ca="1"/>
        <v>45793</v>
      </c>
      <c r="AA10" s="146">
        <f ca="1"/>
        <v>45828</v>
      </c>
      <c r="AB10" s="146">
        <f ca="1"/>
        <v>45746</v>
      </c>
    </row>
    <row r="11" spans="1:51" s="146" customFormat="1" x14ac:dyDescent="0.2">
      <c r="B11" s="146">
        <f ca="1"/>
        <v>45807</v>
      </c>
      <c r="C11" s="146">
        <f ca="1"/>
        <v>45807</v>
      </c>
      <c r="D11" s="146">
        <f ca="1"/>
        <v>45807</v>
      </c>
      <c r="E11" s="146">
        <f ca="1"/>
        <v>45807</v>
      </c>
      <c r="F11" s="146">
        <f ca="1"/>
        <v>45807</v>
      </c>
      <c r="G11" s="146">
        <f ca="1"/>
        <v>45807</v>
      </c>
      <c r="H11" s="146">
        <f ca="1"/>
        <v>45869</v>
      </c>
      <c r="I11" s="146">
        <f ca="1"/>
        <v>45839</v>
      </c>
      <c r="K11" s="146">
        <f ca="1"/>
        <v>45774</v>
      </c>
      <c r="M11" s="146">
        <f ca="1"/>
        <v>45842</v>
      </c>
      <c r="N11" s="146">
        <f ca="1"/>
        <v>45855</v>
      </c>
      <c r="O11" s="146">
        <f ca="1"/>
        <v>45856</v>
      </c>
      <c r="P11" s="146">
        <f ca="1"/>
        <v>45865</v>
      </c>
      <c r="Q11" s="146">
        <f ca="1"/>
        <v>45773</v>
      </c>
      <c r="R11" s="146">
        <f ca="1"/>
        <v>45773</v>
      </c>
      <c r="S11" s="146">
        <f ca="1"/>
        <v>45774</v>
      </c>
      <c r="T11" s="146">
        <f ca="1"/>
        <v>45838</v>
      </c>
      <c r="U11" s="146">
        <f ca="1"/>
        <v>46105</v>
      </c>
      <c r="V11" s="146">
        <f ca="1"/>
        <v>45855</v>
      </c>
      <c r="W11" s="146">
        <f ca="1"/>
        <v>45869</v>
      </c>
      <c r="X11" s="146">
        <f ca="1"/>
        <v>45807</v>
      </c>
      <c r="Y11" s="146">
        <f ca="1"/>
        <v>45807</v>
      </c>
      <c r="AA11" s="146">
        <f ca="1"/>
        <v>45858</v>
      </c>
      <c r="AB11" s="146">
        <f ca="1"/>
        <v>45747</v>
      </c>
    </row>
    <row r="12" spans="1:51" s="146" customFormat="1" x14ac:dyDescent="0.2">
      <c r="B12" s="146">
        <f ca="1"/>
        <v>45821</v>
      </c>
      <c r="C12" s="146">
        <f ca="1"/>
        <v>45821</v>
      </c>
      <c r="D12" s="146">
        <f ca="1"/>
        <v>45821</v>
      </c>
      <c r="E12" s="146">
        <f ca="1"/>
        <v>45821</v>
      </c>
      <c r="F12" s="146">
        <f ca="1"/>
        <v>45821</v>
      </c>
      <c r="G12" s="150">
        <f ca="1"/>
        <v>45821</v>
      </c>
      <c r="H12" s="146">
        <f ca="1"/>
        <v>45900</v>
      </c>
      <c r="I12" s="146">
        <f ca="1"/>
        <v>45870</v>
      </c>
      <c r="K12" s="146">
        <f ca="1"/>
        <v>45781</v>
      </c>
      <c r="M12" s="146">
        <f ca="1"/>
        <v>45873</v>
      </c>
      <c r="N12" s="146">
        <f ca="1"/>
        <v>45886</v>
      </c>
      <c r="O12" s="146">
        <f ca="1"/>
        <v>45887</v>
      </c>
      <c r="P12" s="146">
        <f ca="1"/>
        <v>45896</v>
      </c>
      <c r="Q12" s="146">
        <f ca="1"/>
        <v>45780</v>
      </c>
      <c r="R12" s="146">
        <f ca="1"/>
        <v>45780</v>
      </c>
      <c r="S12" s="146">
        <f ca="1"/>
        <v>45781</v>
      </c>
      <c r="T12" s="146">
        <f ca="1"/>
        <v>45859</v>
      </c>
      <c r="V12" s="146">
        <f ca="1"/>
        <v>45886</v>
      </c>
      <c r="W12" s="146">
        <f ca="1"/>
        <v>45900</v>
      </c>
      <c r="X12" s="146">
        <f ca="1"/>
        <v>45821</v>
      </c>
      <c r="Y12" s="146">
        <f ca="1"/>
        <v>45821</v>
      </c>
      <c r="AA12" s="146">
        <f ca="1"/>
        <v>45889</v>
      </c>
      <c r="AB12" s="146">
        <f ca="1"/>
        <v>45748</v>
      </c>
    </row>
    <row r="13" spans="1:51" s="146" customFormat="1" x14ac:dyDescent="0.2">
      <c r="B13" s="146">
        <f ca="1"/>
        <v>45835</v>
      </c>
      <c r="C13" s="146">
        <f ca="1"/>
        <v>45835</v>
      </c>
      <c r="D13" s="146">
        <f ca="1"/>
        <v>45835</v>
      </c>
      <c r="E13" s="146">
        <f ca="1"/>
        <v>45835</v>
      </c>
      <c r="F13" s="146">
        <f ca="1"/>
        <v>45835</v>
      </c>
      <c r="G13" s="146">
        <f ca="1"/>
        <v>45835</v>
      </c>
      <c r="H13" s="146">
        <f ca="1"/>
        <v>45930</v>
      </c>
      <c r="I13" s="146">
        <f ca="1"/>
        <v>45901</v>
      </c>
      <c r="K13" s="146">
        <f ca="1"/>
        <v>45788</v>
      </c>
      <c r="M13" s="146">
        <f ca="1"/>
        <v>45904</v>
      </c>
      <c r="N13" s="146">
        <f ca="1"/>
        <v>45917</v>
      </c>
      <c r="O13" s="146">
        <f ca="1"/>
        <v>45918</v>
      </c>
      <c r="P13" s="146">
        <f ca="1"/>
        <v>45927</v>
      </c>
      <c r="Q13" s="146">
        <f ca="1"/>
        <v>45787</v>
      </c>
      <c r="R13" s="146">
        <f ca="1"/>
        <v>45787</v>
      </c>
      <c r="S13" s="146">
        <f ca="1"/>
        <v>45788</v>
      </c>
      <c r="T13" s="146">
        <f ca="1"/>
        <v>45880</v>
      </c>
      <c r="V13" s="146">
        <f ca="1"/>
        <v>45917</v>
      </c>
      <c r="W13" s="146">
        <f ca="1"/>
        <v>45930</v>
      </c>
      <c r="X13" s="146">
        <f ca="1"/>
        <v>45835</v>
      </c>
      <c r="Y13" s="146">
        <f ca="1"/>
        <v>45835</v>
      </c>
      <c r="AA13" s="146">
        <f ca="1"/>
        <v>45920</v>
      </c>
      <c r="AB13" s="146">
        <f ca="1"/>
        <v>45749</v>
      </c>
    </row>
    <row r="14" spans="1:51" s="146" customFormat="1" x14ac:dyDescent="0.2">
      <c r="B14" s="146">
        <f ca="1"/>
        <v>45849</v>
      </c>
      <c r="C14" s="146">
        <f ca="1"/>
        <v>45849</v>
      </c>
      <c r="D14" s="146">
        <f ca="1"/>
        <v>45849</v>
      </c>
      <c r="E14" s="146">
        <f ca="1"/>
        <v>45849</v>
      </c>
      <c r="F14" s="146">
        <f ca="1"/>
        <v>45849</v>
      </c>
      <c r="G14" s="146">
        <f ca="1"/>
        <v>45849</v>
      </c>
      <c r="H14" s="146">
        <f ca="1"/>
        <v>45961</v>
      </c>
      <c r="I14" s="146">
        <f ca="1"/>
        <v>45931</v>
      </c>
      <c r="K14" s="146">
        <f ca="1"/>
        <v>45795</v>
      </c>
      <c r="M14" s="146">
        <f ca="1"/>
        <v>45934</v>
      </c>
      <c r="N14" s="146">
        <f ca="1"/>
        <v>45947</v>
      </c>
      <c r="O14" s="146">
        <f ca="1"/>
        <v>45948</v>
      </c>
      <c r="P14" s="146">
        <f ca="1"/>
        <v>45957</v>
      </c>
      <c r="Q14" s="146">
        <f ca="1"/>
        <v>45794</v>
      </c>
      <c r="R14" s="146">
        <f ca="1"/>
        <v>45794</v>
      </c>
      <c r="S14" s="146">
        <f ca="1"/>
        <v>45795</v>
      </c>
      <c r="T14" s="146">
        <f ca="1"/>
        <v>45901</v>
      </c>
      <c r="V14" s="146">
        <f ca="1"/>
        <v>45947</v>
      </c>
      <c r="W14" s="146">
        <f ca="1"/>
        <v>45961</v>
      </c>
      <c r="X14" s="146">
        <f ca="1"/>
        <v>45849</v>
      </c>
      <c r="Y14" s="146">
        <f ca="1"/>
        <v>45849</v>
      </c>
      <c r="AA14" s="146">
        <f ca="1"/>
        <v>45950</v>
      </c>
      <c r="AB14" s="146">
        <f ca="1"/>
        <v>45750</v>
      </c>
    </row>
    <row r="15" spans="1:51" s="146" customFormat="1" x14ac:dyDescent="0.2">
      <c r="B15" s="146">
        <f ca="1"/>
        <v>45863</v>
      </c>
      <c r="C15" s="146">
        <f ca="1"/>
        <v>45863</v>
      </c>
      <c r="D15" s="146">
        <f ca="1"/>
        <v>45863</v>
      </c>
      <c r="E15" s="146">
        <f ca="1"/>
        <v>45863</v>
      </c>
      <c r="F15" s="146">
        <f ca="1"/>
        <v>45863</v>
      </c>
      <c r="G15" s="146">
        <f ca="1"/>
        <v>45863</v>
      </c>
      <c r="H15" s="146">
        <f ca="1"/>
        <v>45991</v>
      </c>
      <c r="I15" s="146">
        <f ca="1"/>
        <v>45962</v>
      </c>
      <c r="K15" s="146">
        <f ca="1"/>
        <v>45802</v>
      </c>
      <c r="M15" s="146">
        <f ca="1"/>
        <v>45965</v>
      </c>
      <c r="N15" s="146">
        <f ca="1"/>
        <v>45978</v>
      </c>
      <c r="O15" s="146">
        <f ca="1"/>
        <v>45979</v>
      </c>
      <c r="P15" s="146">
        <f ca="1"/>
        <v>45988</v>
      </c>
      <c r="Q15" s="146">
        <f ca="1"/>
        <v>45801</v>
      </c>
      <c r="R15" s="146">
        <f ca="1"/>
        <v>45801</v>
      </c>
      <c r="S15" s="146">
        <f ca="1"/>
        <v>45802</v>
      </c>
      <c r="T15" s="146">
        <f ca="1"/>
        <v>45922</v>
      </c>
      <c r="V15" s="146">
        <f ca="1"/>
        <v>45978</v>
      </c>
      <c r="W15" s="146">
        <f ca="1"/>
        <v>45991</v>
      </c>
      <c r="X15" s="146">
        <f ca="1"/>
        <v>45863</v>
      </c>
      <c r="Y15" s="146">
        <f ca="1"/>
        <v>45863</v>
      </c>
      <c r="AA15" s="146">
        <f ca="1"/>
        <v>45981</v>
      </c>
      <c r="AB15" s="146">
        <f ca="1"/>
        <v>45751</v>
      </c>
    </row>
    <row r="16" spans="1:51" s="146" customFormat="1" x14ac:dyDescent="0.2">
      <c r="B16" s="146">
        <f ca="1"/>
        <v>45877</v>
      </c>
      <c r="C16" s="146">
        <f ca="1"/>
        <v>45877</v>
      </c>
      <c r="D16" s="146">
        <f ca="1"/>
        <v>45877</v>
      </c>
      <c r="E16" s="146">
        <f ca="1"/>
        <v>45877</v>
      </c>
      <c r="F16" s="146">
        <f ca="1"/>
        <v>45877</v>
      </c>
      <c r="G16" s="146">
        <f ca="1"/>
        <v>45877</v>
      </c>
      <c r="H16" s="146">
        <f ca="1"/>
        <v>46022</v>
      </c>
      <c r="I16" s="146">
        <f ca="1"/>
        <v>45992</v>
      </c>
      <c r="K16" s="146">
        <f ca="1"/>
        <v>45809</v>
      </c>
      <c r="M16" s="146">
        <f ca="1"/>
        <v>45995</v>
      </c>
      <c r="N16" s="146">
        <f ca="1"/>
        <v>46008</v>
      </c>
      <c r="O16" s="146">
        <f ca="1"/>
        <v>46009</v>
      </c>
      <c r="P16" s="146">
        <f ca="1"/>
        <v>46018</v>
      </c>
      <c r="Q16" s="146">
        <f ca="1"/>
        <v>45808</v>
      </c>
      <c r="R16" s="146">
        <f ca="1"/>
        <v>45808</v>
      </c>
      <c r="S16" s="146">
        <f ca="1"/>
        <v>45809</v>
      </c>
      <c r="T16" s="146">
        <f ca="1"/>
        <v>45943</v>
      </c>
      <c r="V16" s="146">
        <f ca="1"/>
        <v>46008</v>
      </c>
      <c r="W16" s="146">
        <f ca="1"/>
        <v>46022</v>
      </c>
      <c r="X16" s="146">
        <f ca="1"/>
        <v>45877</v>
      </c>
      <c r="Y16" s="146">
        <f ca="1"/>
        <v>45877</v>
      </c>
      <c r="AA16" s="146">
        <f ca="1"/>
        <v>46011</v>
      </c>
      <c r="AB16" s="146">
        <f ca="1"/>
        <v>45752</v>
      </c>
    </row>
    <row r="17" spans="2:28" s="146" customFormat="1" x14ac:dyDescent="0.2">
      <c r="B17" s="146">
        <f ca="1"/>
        <v>45891</v>
      </c>
      <c r="C17" s="146">
        <f ca="1"/>
        <v>45891</v>
      </c>
      <c r="D17" s="146">
        <f ca="1"/>
        <v>45891</v>
      </c>
      <c r="E17" s="146">
        <f ca="1"/>
        <v>45891</v>
      </c>
      <c r="F17" s="146">
        <f ca="1"/>
        <v>45891</v>
      </c>
      <c r="G17" s="146">
        <f ca="1"/>
        <v>45891</v>
      </c>
      <c r="H17" s="146">
        <f ca="1"/>
        <v>46053</v>
      </c>
      <c r="I17" s="146">
        <f ca="1"/>
        <v>46023</v>
      </c>
      <c r="K17" s="146">
        <f ca="1"/>
        <v>45816</v>
      </c>
      <c r="M17" s="146">
        <f ca="1"/>
        <v>46026</v>
      </c>
      <c r="N17" s="146">
        <f ca="1"/>
        <v>46039</v>
      </c>
      <c r="O17" s="146">
        <f ca="1"/>
        <v>46040</v>
      </c>
      <c r="P17" s="146">
        <f ca="1"/>
        <v>46049</v>
      </c>
      <c r="Q17" s="146">
        <f ca="1"/>
        <v>45815</v>
      </c>
      <c r="R17" s="146">
        <f ca="1"/>
        <v>45815</v>
      </c>
      <c r="S17" s="146">
        <f ca="1"/>
        <v>45816</v>
      </c>
      <c r="T17" s="146">
        <f ca="1"/>
        <v>45964</v>
      </c>
      <c r="V17" s="146">
        <f ca="1"/>
        <v>46039</v>
      </c>
      <c r="W17" s="146">
        <f ca="1"/>
        <v>46053</v>
      </c>
      <c r="X17" s="146">
        <f ca="1"/>
        <v>45891</v>
      </c>
      <c r="Y17" s="146">
        <f ca="1"/>
        <v>45891</v>
      </c>
      <c r="AA17" s="146">
        <f ca="1"/>
        <v>46042</v>
      </c>
      <c r="AB17" s="146">
        <f ca="1"/>
        <v>45753</v>
      </c>
    </row>
    <row r="18" spans="2:28" s="146" customFormat="1" x14ac:dyDescent="0.2">
      <c r="B18" s="146">
        <f ca="1"/>
        <v>45905</v>
      </c>
      <c r="C18" s="146">
        <f ca="1"/>
        <v>45905</v>
      </c>
      <c r="D18" s="146">
        <f ca="1"/>
        <v>45905</v>
      </c>
      <c r="E18" s="146">
        <f ca="1"/>
        <v>45905</v>
      </c>
      <c r="F18" s="146">
        <f ca="1"/>
        <v>45905</v>
      </c>
      <c r="G18" s="146">
        <f ca="1"/>
        <v>45905</v>
      </c>
      <c r="H18" s="146">
        <f ca="1"/>
        <v>46081</v>
      </c>
      <c r="I18" s="146">
        <f ca="1"/>
        <v>46054</v>
      </c>
      <c r="K18" s="146">
        <f ca="1"/>
        <v>45823</v>
      </c>
      <c r="M18" s="146">
        <f ca="1"/>
        <v>46057</v>
      </c>
      <c r="N18" s="146">
        <f ca="1"/>
        <v>46070</v>
      </c>
      <c r="O18" s="146">
        <f ca="1"/>
        <v>46071</v>
      </c>
      <c r="P18" s="146">
        <f ca="1"/>
        <v>46080</v>
      </c>
      <c r="Q18" s="146">
        <f ca="1"/>
        <v>45822</v>
      </c>
      <c r="R18" s="146">
        <f ca="1"/>
        <v>45822</v>
      </c>
      <c r="S18" s="146">
        <f ca="1"/>
        <v>45823</v>
      </c>
      <c r="T18" s="146">
        <f ca="1"/>
        <v>45985</v>
      </c>
      <c r="V18" s="146">
        <f ca="1"/>
        <v>46070</v>
      </c>
      <c r="W18" s="146">
        <f ca="1"/>
        <v>46081</v>
      </c>
      <c r="X18" s="146">
        <f ca="1"/>
        <v>45905</v>
      </c>
      <c r="Y18" s="146">
        <f ca="1"/>
        <v>45905</v>
      </c>
      <c r="AA18" s="146">
        <f ca="1"/>
        <v>46073</v>
      </c>
      <c r="AB18" s="146">
        <f ca="1"/>
        <v>45754</v>
      </c>
    </row>
    <row r="19" spans="2:28" s="146" customFormat="1" x14ac:dyDescent="0.2">
      <c r="B19" s="146">
        <f ca="1"/>
        <v>45919</v>
      </c>
      <c r="C19" s="146">
        <f ca="1"/>
        <v>45919</v>
      </c>
      <c r="D19" s="146">
        <f ca="1"/>
        <v>45919</v>
      </c>
      <c r="E19" s="146">
        <f ca="1"/>
        <v>45919</v>
      </c>
      <c r="F19" s="146">
        <f ca="1"/>
        <v>45919</v>
      </c>
      <c r="G19" s="146">
        <f ca="1"/>
        <v>45919</v>
      </c>
      <c r="K19" s="146">
        <f ca="1"/>
        <v>45830</v>
      </c>
      <c r="Q19" s="146">
        <f ca="1"/>
        <v>45829</v>
      </c>
      <c r="R19" s="146">
        <f ca="1"/>
        <v>45829</v>
      </c>
      <c r="S19" s="146">
        <f ca="1"/>
        <v>45830</v>
      </c>
      <c r="T19" s="146">
        <f ca="1"/>
        <v>46006</v>
      </c>
      <c r="X19" s="146">
        <f ca="1"/>
        <v>45919</v>
      </c>
      <c r="Y19" s="146">
        <f ca="1"/>
        <v>45919</v>
      </c>
      <c r="AB19" s="146">
        <f ca="1"/>
        <v>45755</v>
      </c>
    </row>
    <row r="20" spans="2:28" s="146" customFormat="1" x14ac:dyDescent="0.2">
      <c r="B20" s="146">
        <f ca="1"/>
        <v>45933</v>
      </c>
      <c r="C20" s="146">
        <f ca="1"/>
        <v>45933</v>
      </c>
      <c r="D20" s="146">
        <f ca="1"/>
        <v>45933</v>
      </c>
      <c r="E20" s="146">
        <f ca="1"/>
        <v>45933</v>
      </c>
      <c r="F20" s="146">
        <f ca="1"/>
        <v>45933</v>
      </c>
      <c r="G20" s="146">
        <f ca="1"/>
        <v>45933</v>
      </c>
      <c r="K20" s="146">
        <f ca="1"/>
        <v>45837</v>
      </c>
      <c r="Q20" s="146">
        <f ca="1"/>
        <v>45836</v>
      </c>
      <c r="R20" s="146">
        <f ca="1"/>
        <v>45836</v>
      </c>
      <c r="S20" s="146">
        <f ca="1"/>
        <v>45837</v>
      </c>
      <c r="T20" s="146">
        <f ca="1"/>
        <v>46027</v>
      </c>
      <c r="X20" s="146">
        <f ca="1"/>
        <v>45933</v>
      </c>
      <c r="Y20" s="146">
        <f ca="1"/>
        <v>45933</v>
      </c>
      <c r="AB20" s="146">
        <f ca="1"/>
        <v>45756</v>
      </c>
    </row>
    <row r="21" spans="2:28" s="146" customFormat="1" x14ac:dyDescent="0.2">
      <c r="B21" s="146">
        <f ca="1"/>
        <v>45947</v>
      </c>
      <c r="C21" s="146">
        <f ca="1"/>
        <v>45947</v>
      </c>
      <c r="D21" s="146">
        <f ca="1"/>
        <v>45947</v>
      </c>
      <c r="E21" s="146">
        <f ca="1"/>
        <v>45947</v>
      </c>
      <c r="F21" s="146">
        <f ca="1"/>
        <v>45947</v>
      </c>
      <c r="G21" s="146">
        <f ca="1"/>
        <v>45947</v>
      </c>
      <c r="K21" s="146">
        <f ca="1"/>
        <v>45844</v>
      </c>
      <c r="Q21" s="146">
        <f ca="1"/>
        <v>45843</v>
      </c>
      <c r="R21" s="146">
        <f ca="1"/>
        <v>45843</v>
      </c>
      <c r="S21" s="146">
        <f ca="1"/>
        <v>45844</v>
      </c>
      <c r="T21" s="146">
        <f ca="1"/>
        <v>46048</v>
      </c>
      <c r="X21" s="146">
        <f ca="1"/>
        <v>45947</v>
      </c>
      <c r="Y21" s="146">
        <f ca="1"/>
        <v>45947</v>
      </c>
      <c r="AB21" s="146">
        <f ca="1"/>
        <v>45757</v>
      </c>
    </row>
    <row r="22" spans="2:28" s="146" customFormat="1" x14ac:dyDescent="0.2">
      <c r="B22" s="146">
        <f ca="1"/>
        <v>45961</v>
      </c>
      <c r="C22" s="146">
        <f ca="1"/>
        <v>45961</v>
      </c>
      <c r="D22" s="146">
        <f ca="1"/>
        <v>45961</v>
      </c>
      <c r="E22" s="146">
        <f ca="1"/>
        <v>45961</v>
      </c>
      <c r="F22" s="146">
        <f ca="1"/>
        <v>45961</v>
      </c>
      <c r="G22" s="146">
        <f ca="1"/>
        <v>45961</v>
      </c>
      <c r="K22" s="146">
        <f ca="1"/>
        <v>45851</v>
      </c>
      <c r="Q22" s="146">
        <f ca="1"/>
        <v>45850</v>
      </c>
      <c r="R22" s="146">
        <f ca="1"/>
        <v>45850</v>
      </c>
      <c r="S22" s="146">
        <f ca="1"/>
        <v>45851</v>
      </c>
      <c r="T22" s="146">
        <f ca="1"/>
        <v>46069</v>
      </c>
      <c r="X22" s="146">
        <f ca="1"/>
        <v>45961</v>
      </c>
      <c r="Y22" s="146">
        <f ca="1"/>
        <v>45961</v>
      </c>
      <c r="AB22" s="146">
        <f ca="1"/>
        <v>45758</v>
      </c>
    </row>
    <row r="23" spans="2:28" s="146" customFormat="1" x14ac:dyDescent="0.2">
      <c r="B23" s="146">
        <f ca="1"/>
        <v>45975</v>
      </c>
      <c r="C23" s="146">
        <f ca="1"/>
        <v>45975</v>
      </c>
      <c r="D23" s="146">
        <f ca="1"/>
        <v>45975</v>
      </c>
      <c r="E23" s="146">
        <f ca="1"/>
        <v>45975</v>
      </c>
      <c r="F23" s="146">
        <f ca="1"/>
        <v>45975</v>
      </c>
      <c r="G23" s="146">
        <f ca="1"/>
        <v>45975</v>
      </c>
      <c r="K23" s="146">
        <f ca="1"/>
        <v>45858</v>
      </c>
      <c r="Q23" s="146">
        <f ca="1"/>
        <v>45857</v>
      </c>
      <c r="R23" s="146">
        <f ca="1"/>
        <v>45857</v>
      </c>
      <c r="S23" s="146">
        <f ca="1"/>
        <v>45858</v>
      </c>
      <c r="T23" s="146">
        <f ca="1"/>
        <v>46090</v>
      </c>
      <c r="X23" s="146">
        <f ca="1"/>
        <v>45975</v>
      </c>
      <c r="Y23" s="146">
        <f ca="1"/>
        <v>45975</v>
      </c>
      <c r="AB23" s="146">
        <f ca="1"/>
        <v>45759</v>
      </c>
    </row>
    <row r="24" spans="2:28" s="146" customFormat="1" x14ac:dyDescent="0.2">
      <c r="B24" s="146">
        <f ca="1"/>
        <v>45989</v>
      </c>
      <c r="C24" s="146">
        <f ca="1"/>
        <v>45989</v>
      </c>
      <c r="D24" s="146">
        <f ca="1"/>
        <v>45989</v>
      </c>
      <c r="E24" s="146">
        <f ca="1"/>
        <v>45989</v>
      </c>
      <c r="F24" s="146">
        <f ca="1"/>
        <v>45989</v>
      </c>
      <c r="G24" s="146">
        <f ca="1"/>
        <v>45989</v>
      </c>
      <c r="K24" s="146">
        <f ca="1"/>
        <v>45865</v>
      </c>
      <c r="Q24" s="146">
        <f ca="1"/>
        <v>45864</v>
      </c>
      <c r="R24" s="146">
        <f ca="1"/>
        <v>45864</v>
      </c>
      <c r="S24" s="146">
        <f ca="1"/>
        <v>45865</v>
      </c>
      <c r="T24" s="146">
        <f ca="1"/>
        <v>46111</v>
      </c>
      <c r="X24" s="146">
        <f ca="1"/>
        <v>45989</v>
      </c>
      <c r="Y24" s="146">
        <f ca="1"/>
        <v>45989</v>
      </c>
      <c r="AB24" s="146">
        <f ca="1"/>
        <v>45760</v>
      </c>
    </row>
    <row r="25" spans="2:28" s="146" customFormat="1" x14ac:dyDescent="0.2">
      <c r="B25" s="146">
        <f ca="1"/>
        <v>46003</v>
      </c>
      <c r="C25" s="146">
        <f ca="1"/>
        <v>46003</v>
      </c>
      <c r="D25" s="146">
        <f ca="1"/>
        <v>46003</v>
      </c>
      <c r="E25" s="146">
        <f ca="1"/>
        <v>46003</v>
      </c>
      <c r="F25" s="146">
        <f ca="1"/>
        <v>46003</v>
      </c>
      <c r="G25" s="146">
        <f ca="1"/>
        <v>46003</v>
      </c>
      <c r="K25" s="146">
        <f ca="1"/>
        <v>45872</v>
      </c>
      <c r="Q25" s="146">
        <f ca="1"/>
        <v>45871</v>
      </c>
      <c r="R25" s="146">
        <f ca="1"/>
        <v>45871</v>
      </c>
      <c r="S25" s="146">
        <f ca="1"/>
        <v>45872</v>
      </c>
      <c r="X25" s="146">
        <f ca="1"/>
        <v>46003</v>
      </c>
      <c r="Y25" s="146">
        <f ca="1"/>
        <v>46003</v>
      </c>
      <c r="AB25" s="146">
        <f ca="1"/>
        <v>45761</v>
      </c>
    </row>
    <row r="26" spans="2:28" s="146" customFormat="1" x14ac:dyDescent="0.2">
      <c r="B26" s="146">
        <f ca="1"/>
        <v>46017</v>
      </c>
      <c r="C26" s="146">
        <f ca="1"/>
        <v>46017</v>
      </c>
      <c r="D26" s="146">
        <f ca="1"/>
        <v>46017</v>
      </c>
      <c r="E26" s="146">
        <f ca="1"/>
        <v>46017</v>
      </c>
      <c r="F26" s="146">
        <f ca="1"/>
        <v>46017</v>
      </c>
      <c r="G26" s="146">
        <f ca="1"/>
        <v>46017</v>
      </c>
      <c r="K26" s="146">
        <f ca="1"/>
        <v>45879</v>
      </c>
      <c r="Q26" s="146">
        <f ca="1"/>
        <v>45878</v>
      </c>
      <c r="R26" s="146">
        <f ca="1"/>
        <v>45878</v>
      </c>
      <c r="S26" s="146">
        <f ca="1"/>
        <v>45879</v>
      </c>
      <c r="X26" s="146">
        <f ca="1"/>
        <v>46017</v>
      </c>
      <c r="Y26" s="146">
        <f ca="1"/>
        <v>46017</v>
      </c>
      <c r="AB26" s="146">
        <f ca="1"/>
        <v>45762</v>
      </c>
    </row>
    <row r="27" spans="2:28" s="146" customFormat="1" x14ac:dyDescent="0.2">
      <c r="B27" s="146">
        <f ca="1"/>
        <v>46031</v>
      </c>
      <c r="C27" s="146">
        <f ca="1"/>
        <v>46031</v>
      </c>
      <c r="D27" s="146">
        <f ca="1"/>
        <v>46031</v>
      </c>
      <c r="E27" s="146">
        <f ca="1"/>
        <v>46031</v>
      </c>
      <c r="F27" s="146">
        <f ca="1"/>
        <v>46031</v>
      </c>
      <c r="G27" s="146">
        <f ca="1"/>
        <v>46031</v>
      </c>
      <c r="K27" s="146">
        <f ca="1"/>
        <v>45886</v>
      </c>
      <c r="Q27" s="146">
        <f ca="1"/>
        <v>45885</v>
      </c>
      <c r="R27" s="146">
        <f ca="1"/>
        <v>45885</v>
      </c>
      <c r="S27" s="146">
        <f ca="1"/>
        <v>45886</v>
      </c>
      <c r="X27" s="146">
        <f ca="1"/>
        <v>46031</v>
      </c>
      <c r="Y27" s="146">
        <f ca="1"/>
        <v>46031</v>
      </c>
      <c r="AB27" s="146">
        <f ca="1"/>
        <v>45763</v>
      </c>
    </row>
    <row r="28" spans="2:28" s="146" customFormat="1" x14ac:dyDescent="0.2">
      <c r="B28" s="146">
        <f ca="1"/>
        <v>46045</v>
      </c>
      <c r="C28" s="146">
        <f ca="1"/>
        <v>46045</v>
      </c>
      <c r="D28" s="146">
        <f ca="1"/>
        <v>46045</v>
      </c>
      <c r="E28" s="146">
        <f ca="1"/>
        <v>46045</v>
      </c>
      <c r="F28" s="146">
        <f ca="1"/>
        <v>46045</v>
      </c>
      <c r="G28" s="146">
        <f ca="1"/>
        <v>46045</v>
      </c>
      <c r="K28" s="146">
        <f ca="1"/>
        <v>45893</v>
      </c>
      <c r="Q28" s="146">
        <f ca="1"/>
        <v>45892</v>
      </c>
      <c r="R28" s="146">
        <f ca="1"/>
        <v>45892</v>
      </c>
      <c r="S28" s="146">
        <f ca="1"/>
        <v>45893</v>
      </c>
      <c r="X28" s="146">
        <f ca="1"/>
        <v>46045</v>
      </c>
      <c r="Y28" s="146">
        <f ca="1"/>
        <v>46045</v>
      </c>
      <c r="AB28" s="146">
        <f ca="1"/>
        <v>45764</v>
      </c>
    </row>
    <row r="29" spans="2:28" s="146" customFormat="1" x14ac:dyDescent="0.2">
      <c r="B29" s="146">
        <f ca="1"/>
        <v>46059</v>
      </c>
      <c r="C29" s="146">
        <f ca="1"/>
        <v>46059</v>
      </c>
      <c r="D29" s="146">
        <f ca="1"/>
        <v>46059</v>
      </c>
      <c r="E29" s="146">
        <f ca="1"/>
        <v>46059</v>
      </c>
      <c r="F29" s="146">
        <f ca="1"/>
        <v>46059</v>
      </c>
      <c r="G29" s="146">
        <f ca="1"/>
        <v>46059</v>
      </c>
      <c r="K29" s="146">
        <f ca="1"/>
        <v>45900</v>
      </c>
      <c r="Q29" s="146">
        <f ca="1"/>
        <v>45899</v>
      </c>
      <c r="R29" s="146">
        <f ca="1"/>
        <v>45899</v>
      </c>
      <c r="S29" s="146">
        <f ca="1"/>
        <v>45900</v>
      </c>
      <c r="X29" s="146">
        <f ca="1"/>
        <v>46059</v>
      </c>
      <c r="Y29" s="146">
        <f ca="1"/>
        <v>46059</v>
      </c>
      <c r="AB29" s="146">
        <f ca="1"/>
        <v>45765</v>
      </c>
    </row>
    <row r="30" spans="2:28" s="146" customFormat="1" x14ac:dyDescent="0.2">
      <c r="B30" s="146">
        <f ca="1"/>
        <v>46073</v>
      </c>
      <c r="C30" s="146">
        <f ca="1"/>
        <v>46073</v>
      </c>
      <c r="D30" s="146">
        <f ca="1"/>
        <v>46073</v>
      </c>
      <c r="E30" s="146">
        <f ca="1"/>
        <v>46073</v>
      </c>
      <c r="F30" s="146">
        <f ca="1"/>
        <v>46073</v>
      </c>
      <c r="G30" s="146">
        <f ca="1"/>
        <v>46073</v>
      </c>
      <c r="K30" s="146">
        <f ca="1"/>
        <v>45907</v>
      </c>
      <c r="Q30" s="146">
        <f ca="1"/>
        <v>45906</v>
      </c>
      <c r="R30" s="146">
        <f ca="1"/>
        <v>45906</v>
      </c>
      <c r="S30" s="146">
        <f ca="1"/>
        <v>45907</v>
      </c>
      <c r="X30" s="146">
        <f ca="1"/>
        <v>46073</v>
      </c>
      <c r="Y30" s="146">
        <f ca="1"/>
        <v>46073</v>
      </c>
      <c r="AB30" s="146">
        <f ca="1"/>
        <v>45766</v>
      </c>
    </row>
    <row r="31" spans="2:28" s="146" customFormat="1" x14ac:dyDescent="0.2">
      <c r="B31" s="146">
        <f ca="1"/>
        <v>46087</v>
      </c>
      <c r="C31" s="146">
        <f ca="1"/>
        <v>46087</v>
      </c>
      <c r="D31" s="146">
        <f ca="1"/>
        <v>46087</v>
      </c>
      <c r="E31" s="146">
        <f ca="1"/>
        <v>46087</v>
      </c>
      <c r="F31" s="146">
        <f ca="1"/>
        <v>46087</v>
      </c>
      <c r="G31" s="146">
        <f ca="1"/>
        <v>46087</v>
      </c>
      <c r="K31" s="146">
        <f ca="1"/>
        <v>45914</v>
      </c>
      <c r="Q31" s="146">
        <f ca="1"/>
        <v>45913</v>
      </c>
      <c r="R31" s="146">
        <f ca="1"/>
        <v>45913</v>
      </c>
      <c r="S31" s="146">
        <f ca="1"/>
        <v>45914</v>
      </c>
      <c r="X31" s="146">
        <f ca="1"/>
        <v>46087</v>
      </c>
      <c r="Y31" s="146">
        <f ca="1"/>
        <v>46087</v>
      </c>
      <c r="AB31" s="146">
        <f ca="1"/>
        <v>45767</v>
      </c>
    </row>
    <row r="32" spans="2:28" s="146" customFormat="1" x14ac:dyDescent="0.2">
      <c r="B32" s="146">
        <f ca="1"/>
        <v>46101</v>
      </c>
      <c r="C32" s="146">
        <f ca="1"/>
        <v>46101</v>
      </c>
      <c r="D32" s="146">
        <f ca="1"/>
        <v>46101</v>
      </c>
      <c r="E32" s="146">
        <f ca="1"/>
        <v>46101</v>
      </c>
      <c r="F32" s="146">
        <f ca="1"/>
        <v>46101</v>
      </c>
      <c r="G32" s="146">
        <f ca="1"/>
        <v>46101</v>
      </c>
      <c r="K32" s="146">
        <f ca="1"/>
        <v>45921</v>
      </c>
      <c r="Q32" s="146">
        <f ca="1"/>
        <v>45920</v>
      </c>
      <c r="R32" s="146">
        <f ca="1"/>
        <v>45920</v>
      </c>
      <c r="S32" s="146">
        <f ca="1"/>
        <v>45921</v>
      </c>
      <c r="X32" s="146">
        <f ca="1"/>
        <v>46101</v>
      </c>
      <c r="Y32" s="146">
        <f ca="1"/>
        <v>46101</v>
      </c>
      <c r="AB32" s="146">
        <f ca="1"/>
        <v>45768</v>
      </c>
    </row>
    <row r="33" spans="11:28" s="146" customFormat="1" x14ac:dyDescent="0.2">
      <c r="K33" s="146">
        <f ca="1"/>
        <v>45928</v>
      </c>
      <c r="Q33" s="146">
        <f ca="1"/>
        <v>45927</v>
      </c>
      <c r="R33" s="146">
        <f ca="1"/>
        <v>45927</v>
      </c>
      <c r="S33" s="146">
        <f ca="1"/>
        <v>45928</v>
      </c>
      <c r="AB33" s="146">
        <f ca="1"/>
        <v>45769</v>
      </c>
    </row>
    <row r="34" spans="11:28" s="146" customFormat="1" x14ac:dyDescent="0.2">
      <c r="K34" s="146">
        <f ca="1"/>
        <v>45935</v>
      </c>
      <c r="Q34" s="146">
        <f ca="1"/>
        <v>45934</v>
      </c>
      <c r="R34" s="146">
        <f ca="1"/>
        <v>45934</v>
      </c>
      <c r="S34" s="146">
        <f ca="1"/>
        <v>45935</v>
      </c>
      <c r="AB34" s="146">
        <f ca="1"/>
        <v>45770</v>
      </c>
    </row>
    <row r="35" spans="11:28" s="146" customFormat="1" x14ac:dyDescent="0.2">
      <c r="K35" s="146">
        <f ca="1"/>
        <v>45942</v>
      </c>
      <c r="Q35" s="146">
        <f ca="1"/>
        <v>45941</v>
      </c>
      <c r="R35" s="146">
        <f ca="1"/>
        <v>45941</v>
      </c>
      <c r="S35" s="146">
        <f ca="1"/>
        <v>45942</v>
      </c>
      <c r="AB35" s="146">
        <f ca="1"/>
        <v>45771</v>
      </c>
    </row>
    <row r="36" spans="11:28" s="146" customFormat="1" x14ac:dyDescent="0.2">
      <c r="K36" s="146">
        <f ca="1"/>
        <v>45949</v>
      </c>
      <c r="Q36" s="146">
        <f ca="1"/>
        <v>45948</v>
      </c>
      <c r="R36" s="146">
        <f ca="1"/>
        <v>45948</v>
      </c>
      <c r="S36" s="146">
        <f ca="1"/>
        <v>45949</v>
      </c>
      <c r="AB36" s="146">
        <f ca="1"/>
        <v>45772</v>
      </c>
    </row>
    <row r="37" spans="11:28" s="146" customFormat="1" x14ac:dyDescent="0.2">
      <c r="K37" s="146">
        <f ca="1"/>
        <v>45956</v>
      </c>
      <c r="Q37" s="146">
        <f ca="1"/>
        <v>45955</v>
      </c>
      <c r="R37" s="146">
        <f ca="1"/>
        <v>45955</v>
      </c>
      <c r="S37" s="146">
        <f ca="1"/>
        <v>45956</v>
      </c>
      <c r="AB37" s="146">
        <f ca="1"/>
        <v>45773</v>
      </c>
    </row>
    <row r="38" spans="11:28" s="146" customFormat="1" x14ac:dyDescent="0.2">
      <c r="K38" s="146">
        <f ca="1"/>
        <v>45963</v>
      </c>
      <c r="Q38" s="146">
        <f ca="1"/>
        <v>45962</v>
      </c>
      <c r="R38" s="146">
        <f ca="1"/>
        <v>45962</v>
      </c>
      <c r="S38" s="146">
        <f ca="1"/>
        <v>45963</v>
      </c>
      <c r="AB38" s="146">
        <f ca="1"/>
        <v>45774</v>
      </c>
    </row>
    <row r="39" spans="11:28" s="146" customFormat="1" x14ac:dyDescent="0.2">
      <c r="K39" s="146">
        <f ca="1"/>
        <v>45970</v>
      </c>
      <c r="Q39" s="146">
        <f ca="1"/>
        <v>45969</v>
      </c>
      <c r="R39" s="146">
        <f ca="1"/>
        <v>45969</v>
      </c>
      <c r="S39" s="146">
        <f ca="1"/>
        <v>45970</v>
      </c>
      <c r="AB39" s="146">
        <f ca="1"/>
        <v>45775</v>
      </c>
    </row>
    <row r="40" spans="11:28" s="146" customFormat="1" x14ac:dyDescent="0.2">
      <c r="K40" s="146">
        <f ca="1"/>
        <v>45977</v>
      </c>
      <c r="Q40" s="146">
        <f ca="1"/>
        <v>45976</v>
      </c>
      <c r="R40" s="146">
        <f ca="1"/>
        <v>45976</v>
      </c>
      <c r="S40" s="146">
        <f ca="1"/>
        <v>45977</v>
      </c>
      <c r="AB40" s="146">
        <f ca="1"/>
        <v>45776</v>
      </c>
    </row>
    <row r="41" spans="11:28" s="146" customFormat="1" x14ac:dyDescent="0.2">
      <c r="K41" s="146">
        <f ca="1"/>
        <v>45984</v>
      </c>
      <c r="Q41" s="146">
        <f ca="1"/>
        <v>45983</v>
      </c>
      <c r="R41" s="146">
        <f ca="1"/>
        <v>45983</v>
      </c>
      <c r="S41" s="146">
        <f ca="1"/>
        <v>45984</v>
      </c>
      <c r="AB41" s="146">
        <f ca="1"/>
        <v>45777</v>
      </c>
    </row>
    <row r="42" spans="11:28" s="146" customFormat="1" x14ac:dyDescent="0.2">
      <c r="K42" s="146">
        <f ca="1"/>
        <v>45991</v>
      </c>
      <c r="Q42" s="146">
        <f ca="1"/>
        <v>45990</v>
      </c>
      <c r="R42" s="146">
        <f ca="1"/>
        <v>45990</v>
      </c>
      <c r="S42" s="146">
        <f ca="1"/>
        <v>45991</v>
      </c>
      <c r="AB42" s="146">
        <f ca="1"/>
        <v>45778</v>
      </c>
    </row>
    <row r="43" spans="11:28" s="146" customFormat="1" x14ac:dyDescent="0.2">
      <c r="K43" s="146">
        <f ca="1"/>
        <v>45998</v>
      </c>
      <c r="Q43" s="146">
        <f ca="1"/>
        <v>45997</v>
      </c>
      <c r="R43" s="146">
        <f ca="1"/>
        <v>45997</v>
      </c>
      <c r="S43" s="146">
        <f ca="1"/>
        <v>45998</v>
      </c>
      <c r="AB43" s="146">
        <f ca="1"/>
        <v>45779</v>
      </c>
    </row>
    <row r="44" spans="11:28" s="146" customFormat="1" x14ac:dyDescent="0.2">
      <c r="K44" s="146">
        <f ca="1"/>
        <v>46005</v>
      </c>
      <c r="Q44" s="146">
        <f ca="1"/>
        <v>46004</v>
      </c>
      <c r="R44" s="146">
        <f ca="1"/>
        <v>46004</v>
      </c>
      <c r="S44" s="146">
        <f ca="1"/>
        <v>46005</v>
      </c>
      <c r="AB44" s="146">
        <f ca="1"/>
        <v>45780</v>
      </c>
    </row>
    <row r="45" spans="11:28" s="146" customFormat="1" x14ac:dyDescent="0.2">
      <c r="K45" s="146">
        <f ca="1"/>
        <v>46012</v>
      </c>
      <c r="Q45" s="146">
        <f ca="1"/>
        <v>46011</v>
      </c>
      <c r="R45" s="146">
        <f ca="1"/>
        <v>46011</v>
      </c>
      <c r="S45" s="146">
        <f ca="1"/>
        <v>46012</v>
      </c>
      <c r="AB45" s="146">
        <f ca="1"/>
        <v>45781</v>
      </c>
    </row>
    <row r="46" spans="11:28" s="146" customFormat="1" x14ac:dyDescent="0.2">
      <c r="K46" s="146">
        <f ca="1"/>
        <v>46019</v>
      </c>
      <c r="Q46" s="146">
        <f ca="1"/>
        <v>46018</v>
      </c>
      <c r="R46" s="146">
        <f ca="1"/>
        <v>46018</v>
      </c>
      <c r="S46" s="146">
        <f ca="1"/>
        <v>46019</v>
      </c>
      <c r="AB46" s="146">
        <f ca="1"/>
        <v>45782</v>
      </c>
    </row>
    <row r="47" spans="11:28" s="146" customFormat="1" x14ac:dyDescent="0.2">
      <c r="K47" s="146">
        <f ca="1"/>
        <v>46026</v>
      </c>
      <c r="Q47" s="146">
        <f ca="1"/>
        <v>46025</v>
      </c>
      <c r="R47" s="146">
        <f ca="1"/>
        <v>46025</v>
      </c>
      <c r="S47" s="146">
        <f ca="1"/>
        <v>46026</v>
      </c>
      <c r="AB47" s="146">
        <f ca="1"/>
        <v>45783</v>
      </c>
    </row>
    <row r="48" spans="11:28" s="146" customFormat="1" x14ac:dyDescent="0.2">
      <c r="K48" s="146">
        <f ca="1"/>
        <v>46033</v>
      </c>
      <c r="Q48" s="146">
        <f ca="1"/>
        <v>46032</v>
      </c>
      <c r="R48" s="146">
        <f ca="1"/>
        <v>46032</v>
      </c>
      <c r="S48" s="146">
        <f ca="1"/>
        <v>46033</v>
      </c>
      <c r="AB48" s="146">
        <f ca="1"/>
        <v>45784</v>
      </c>
    </row>
    <row r="49" spans="11:28" s="146" customFormat="1" x14ac:dyDescent="0.2">
      <c r="K49" s="146">
        <f ca="1"/>
        <v>46040</v>
      </c>
      <c r="Q49" s="146">
        <f ca="1"/>
        <v>46039</v>
      </c>
      <c r="R49" s="146">
        <f ca="1"/>
        <v>46039</v>
      </c>
      <c r="S49" s="146">
        <f ca="1"/>
        <v>46040</v>
      </c>
      <c r="AB49" s="146">
        <f ca="1"/>
        <v>45785</v>
      </c>
    </row>
    <row r="50" spans="11:28" s="146" customFormat="1" x14ac:dyDescent="0.2">
      <c r="K50" s="146">
        <f ca="1"/>
        <v>46047</v>
      </c>
      <c r="Q50" s="146">
        <f ca="1"/>
        <v>46046</v>
      </c>
      <c r="R50" s="146">
        <f ca="1"/>
        <v>46046</v>
      </c>
      <c r="S50" s="146">
        <f ca="1"/>
        <v>46047</v>
      </c>
      <c r="AB50" s="146">
        <f ca="1"/>
        <v>45786</v>
      </c>
    </row>
    <row r="51" spans="11:28" s="146" customFormat="1" x14ac:dyDescent="0.2">
      <c r="K51" s="146">
        <f ca="1"/>
        <v>46054</v>
      </c>
      <c r="Q51" s="146">
        <f ca="1"/>
        <v>46053</v>
      </c>
      <c r="R51" s="146">
        <f ca="1"/>
        <v>46053</v>
      </c>
      <c r="S51" s="146">
        <f ca="1"/>
        <v>46054</v>
      </c>
      <c r="AB51" s="146">
        <f ca="1"/>
        <v>45787</v>
      </c>
    </row>
    <row r="52" spans="11:28" s="146" customFormat="1" x14ac:dyDescent="0.2">
      <c r="K52" s="146">
        <f ca="1"/>
        <v>46061</v>
      </c>
      <c r="Q52" s="146">
        <f ca="1"/>
        <v>46060</v>
      </c>
      <c r="R52" s="146">
        <f ca="1"/>
        <v>46060</v>
      </c>
      <c r="S52" s="146">
        <f ca="1"/>
        <v>46061</v>
      </c>
      <c r="AB52" s="146">
        <f ca="1"/>
        <v>45788</v>
      </c>
    </row>
    <row r="53" spans="11:28" s="146" customFormat="1" x14ac:dyDescent="0.2">
      <c r="K53" s="146">
        <f ca="1"/>
        <v>46068</v>
      </c>
      <c r="Q53" s="146">
        <f ca="1"/>
        <v>46067</v>
      </c>
      <c r="R53" s="146">
        <f ca="1"/>
        <v>46067</v>
      </c>
      <c r="S53" s="146">
        <f ca="1"/>
        <v>46068</v>
      </c>
      <c r="AB53" s="146">
        <f ca="1"/>
        <v>45789</v>
      </c>
    </row>
    <row r="54" spans="11:28" s="146" customFormat="1" x14ac:dyDescent="0.2">
      <c r="K54" s="146">
        <f ca="1"/>
        <v>46075</v>
      </c>
      <c r="Q54" s="146">
        <f ca="1"/>
        <v>46074</v>
      </c>
      <c r="R54" s="146">
        <f ca="1"/>
        <v>46074</v>
      </c>
      <c r="S54" s="146">
        <f ca="1"/>
        <v>46075</v>
      </c>
      <c r="AB54" s="146">
        <f ca="1"/>
        <v>45790</v>
      </c>
    </row>
    <row r="55" spans="11:28" s="146" customFormat="1" x14ac:dyDescent="0.2">
      <c r="K55" s="146">
        <f ca="1"/>
        <v>46082</v>
      </c>
      <c r="Q55" s="146">
        <f ca="1"/>
        <v>46081</v>
      </c>
      <c r="R55" s="146">
        <f ca="1"/>
        <v>46081</v>
      </c>
      <c r="S55" s="146">
        <f ca="1"/>
        <v>46082</v>
      </c>
      <c r="AB55" s="146">
        <f ca="1"/>
        <v>45791</v>
      </c>
    </row>
    <row r="56" spans="11:28" s="146" customFormat="1" x14ac:dyDescent="0.2">
      <c r="K56" s="146">
        <f ca="1"/>
        <v>46089</v>
      </c>
      <c r="Q56" s="146">
        <f ca="1"/>
        <v>46088</v>
      </c>
      <c r="R56" s="146">
        <f ca="1"/>
        <v>46088</v>
      </c>
      <c r="S56" s="146">
        <f ca="1"/>
        <v>46089</v>
      </c>
      <c r="AB56" s="146">
        <f ca="1"/>
        <v>45792</v>
      </c>
    </row>
    <row r="57" spans="11:28" s="146" customFormat="1" x14ac:dyDescent="0.2">
      <c r="K57" s="146">
        <f ca="1"/>
        <v>46096</v>
      </c>
      <c r="Q57" s="146">
        <f ca="1"/>
        <v>46095</v>
      </c>
      <c r="R57" s="146">
        <f ca="1"/>
        <v>46095</v>
      </c>
      <c r="S57" s="146">
        <f ca="1"/>
        <v>46096</v>
      </c>
      <c r="AB57" s="146">
        <f ca="1"/>
        <v>45793</v>
      </c>
    </row>
    <row r="58" spans="11:28" s="146" customFormat="1" x14ac:dyDescent="0.2">
      <c r="K58" s="146">
        <f ca="1"/>
        <v>46103</v>
      </c>
      <c r="Q58" s="146">
        <f ca="1"/>
        <v>46102</v>
      </c>
      <c r="R58" s="146">
        <f ca="1"/>
        <v>46102</v>
      </c>
      <c r="S58" s="146">
        <f ca="1"/>
        <v>46103</v>
      </c>
      <c r="AB58" s="146">
        <f ca="1"/>
        <v>45794</v>
      </c>
    </row>
    <row r="59" spans="11:28" s="146" customFormat="1" x14ac:dyDescent="0.2">
      <c r="AB59" s="146">
        <f ca="1"/>
        <v>45795</v>
      </c>
    </row>
    <row r="60" spans="11:28" s="146" customFormat="1" x14ac:dyDescent="0.2">
      <c r="AB60" s="146">
        <f ca="1"/>
        <v>45796</v>
      </c>
    </row>
    <row r="61" spans="11:28" s="146" customFormat="1" x14ac:dyDescent="0.2">
      <c r="AB61" s="146">
        <f ca="1"/>
        <v>45797</v>
      </c>
    </row>
    <row r="62" spans="11:28" s="146" customFormat="1" x14ac:dyDescent="0.2">
      <c r="AB62" s="146">
        <f ca="1"/>
        <v>45798</v>
      </c>
    </row>
    <row r="63" spans="11:28" s="146" customFormat="1" x14ac:dyDescent="0.2">
      <c r="AB63" s="146">
        <f ca="1"/>
        <v>45799</v>
      </c>
    </row>
    <row r="64" spans="11:28" s="146" customFormat="1" x14ac:dyDescent="0.2">
      <c r="AB64" s="146">
        <f ca="1"/>
        <v>45800</v>
      </c>
    </row>
    <row r="65" spans="28:28" s="146" customFormat="1" x14ac:dyDescent="0.2">
      <c r="AB65" s="146">
        <f ca="1"/>
        <v>45801</v>
      </c>
    </row>
    <row r="66" spans="28:28" s="146" customFormat="1" x14ac:dyDescent="0.2">
      <c r="AB66" s="146">
        <f ca="1"/>
        <v>45802</v>
      </c>
    </row>
    <row r="67" spans="28:28" s="146" customFormat="1" x14ac:dyDescent="0.2">
      <c r="AB67" s="146">
        <f ca="1"/>
        <v>45803</v>
      </c>
    </row>
    <row r="68" spans="28:28" s="146" customFormat="1" x14ac:dyDescent="0.2">
      <c r="AB68" s="146">
        <f ca="1"/>
        <v>45804</v>
      </c>
    </row>
    <row r="69" spans="28:28" s="146" customFormat="1" x14ac:dyDescent="0.2">
      <c r="AB69" s="146">
        <f ca="1"/>
        <v>45805</v>
      </c>
    </row>
    <row r="70" spans="28:28" s="146" customFormat="1" x14ac:dyDescent="0.2">
      <c r="AB70" s="146">
        <f ca="1"/>
        <v>45806</v>
      </c>
    </row>
    <row r="71" spans="28:28" s="146" customFormat="1" x14ac:dyDescent="0.2">
      <c r="AB71" s="146">
        <f ca="1"/>
        <v>45807</v>
      </c>
    </row>
    <row r="72" spans="28:28" s="146" customFormat="1" x14ac:dyDescent="0.2">
      <c r="AB72" s="146">
        <f ca="1"/>
        <v>45808</v>
      </c>
    </row>
    <row r="73" spans="28:28" s="146" customFormat="1" x14ac:dyDescent="0.2">
      <c r="AB73" s="146">
        <f ca="1"/>
        <v>45809</v>
      </c>
    </row>
    <row r="74" spans="28:28" s="146" customFormat="1" x14ac:dyDescent="0.2">
      <c r="AB74" s="146">
        <f ca="1"/>
        <v>45810</v>
      </c>
    </row>
    <row r="75" spans="28:28" s="146" customFormat="1" x14ac:dyDescent="0.2">
      <c r="AB75" s="146">
        <f ca="1"/>
        <v>45811</v>
      </c>
    </row>
    <row r="76" spans="28:28" s="146" customFormat="1" x14ac:dyDescent="0.2">
      <c r="AB76" s="146">
        <f ca="1"/>
        <v>45812</v>
      </c>
    </row>
    <row r="77" spans="28:28" s="146" customFormat="1" x14ac:dyDescent="0.2">
      <c r="AB77" s="146">
        <f ca="1"/>
        <v>45813</v>
      </c>
    </row>
    <row r="78" spans="28:28" s="146" customFormat="1" x14ac:dyDescent="0.2">
      <c r="AB78" s="146">
        <f ca="1"/>
        <v>45814</v>
      </c>
    </row>
    <row r="79" spans="28:28" s="146" customFormat="1" x14ac:dyDescent="0.2">
      <c r="AB79" s="146">
        <f ca="1"/>
        <v>45815</v>
      </c>
    </row>
    <row r="80" spans="28:28" s="146" customFormat="1" x14ac:dyDescent="0.2">
      <c r="AB80" s="146">
        <f ca="1"/>
        <v>45816</v>
      </c>
    </row>
    <row r="81" spans="28:28" s="146" customFormat="1" x14ac:dyDescent="0.2">
      <c r="AB81" s="146">
        <f ca="1"/>
        <v>45817</v>
      </c>
    </row>
    <row r="82" spans="28:28" s="146" customFormat="1" x14ac:dyDescent="0.2">
      <c r="AB82" s="146">
        <f ca="1"/>
        <v>45818</v>
      </c>
    </row>
    <row r="83" spans="28:28" s="146" customFormat="1" x14ac:dyDescent="0.2">
      <c r="AB83" s="146">
        <f ca="1"/>
        <v>45819</v>
      </c>
    </row>
    <row r="84" spans="28:28" s="146" customFormat="1" x14ac:dyDescent="0.2">
      <c r="AB84" s="146">
        <f ca="1"/>
        <v>45820</v>
      </c>
    </row>
    <row r="85" spans="28:28" s="146" customFormat="1" x14ac:dyDescent="0.2">
      <c r="AB85" s="146">
        <f ca="1"/>
        <v>45821</v>
      </c>
    </row>
    <row r="86" spans="28:28" s="146" customFormat="1" x14ac:dyDescent="0.2">
      <c r="AB86" s="146">
        <f ca="1"/>
        <v>45822</v>
      </c>
    </row>
    <row r="87" spans="28:28" s="146" customFormat="1" x14ac:dyDescent="0.2">
      <c r="AB87" s="146">
        <f ca="1"/>
        <v>45823</v>
      </c>
    </row>
    <row r="88" spans="28:28" s="146" customFormat="1" x14ac:dyDescent="0.2">
      <c r="AB88" s="146">
        <f ca="1"/>
        <v>45824</v>
      </c>
    </row>
    <row r="89" spans="28:28" s="146" customFormat="1" x14ac:dyDescent="0.2">
      <c r="AB89" s="146">
        <f ca="1"/>
        <v>45825</v>
      </c>
    </row>
    <row r="90" spans="28:28" s="146" customFormat="1" x14ac:dyDescent="0.2">
      <c r="AB90" s="146">
        <f ca="1"/>
        <v>45826</v>
      </c>
    </row>
    <row r="91" spans="28:28" s="146" customFormat="1" x14ac:dyDescent="0.2">
      <c r="AB91" s="146">
        <f ca="1"/>
        <v>45827</v>
      </c>
    </row>
    <row r="92" spans="28:28" s="146" customFormat="1" x14ac:dyDescent="0.2">
      <c r="AB92" s="146">
        <f ca="1"/>
        <v>45828</v>
      </c>
    </row>
    <row r="93" spans="28:28" s="146" customFormat="1" x14ac:dyDescent="0.2">
      <c r="AB93" s="146">
        <f ca="1"/>
        <v>45829</v>
      </c>
    </row>
    <row r="94" spans="28:28" s="146" customFormat="1" x14ac:dyDescent="0.2">
      <c r="AB94" s="146">
        <f ca="1"/>
        <v>45830</v>
      </c>
    </row>
    <row r="95" spans="28:28" s="146" customFormat="1" x14ac:dyDescent="0.2">
      <c r="AB95" s="146">
        <f ca="1"/>
        <v>45831</v>
      </c>
    </row>
    <row r="96" spans="28:28" s="146" customFormat="1" x14ac:dyDescent="0.2">
      <c r="AB96" s="146">
        <f ca="1"/>
        <v>45832</v>
      </c>
    </row>
    <row r="97" spans="28:28" s="146" customFormat="1" x14ac:dyDescent="0.2">
      <c r="AB97" s="146">
        <f ca="1"/>
        <v>45833</v>
      </c>
    </row>
    <row r="98" spans="28:28" s="146" customFormat="1" x14ac:dyDescent="0.2">
      <c r="AB98" s="146">
        <f ca="1"/>
        <v>45834</v>
      </c>
    </row>
    <row r="99" spans="28:28" s="146" customFormat="1" x14ac:dyDescent="0.2">
      <c r="AB99" s="146">
        <f ca="1"/>
        <v>45835</v>
      </c>
    </row>
    <row r="100" spans="28:28" s="146" customFormat="1" x14ac:dyDescent="0.2">
      <c r="AB100" s="146">
        <f ca="1"/>
        <v>45836</v>
      </c>
    </row>
    <row r="101" spans="28:28" s="146" customFormat="1" x14ac:dyDescent="0.2">
      <c r="AB101" s="146">
        <f ca="1"/>
        <v>45837</v>
      </c>
    </row>
    <row r="102" spans="28:28" s="146" customFormat="1" x14ac:dyDescent="0.2">
      <c r="AB102" s="146">
        <f ca="1"/>
        <v>45838</v>
      </c>
    </row>
    <row r="103" spans="28:28" s="146" customFormat="1" x14ac:dyDescent="0.2">
      <c r="AB103" s="146">
        <f ca="1"/>
        <v>45839</v>
      </c>
    </row>
    <row r="104" spans="28:28" s="146" customFormat="1" x14ac:dyDescent="0.2">
      <c r="AB104" s="146">
        <f ca="1"/>
        <v>45840</v>
      </c>
    </row>
    <row r="105" spans="28:28" s="146" customFormat="1" x14ac:dyDescent="0.2">
      <c r="AB105" s="146">
        <f ca="1"/>
        <v>45841</v>
      </c>
    </row>
    <row r="106" spans="28:28" s="146" customFormat="1" x14ac:dyDescent="0.2">
      <c r="AB106" s="146">
        <f ca="1"/>
        <v>45842</v>
      </c>
    </row>
    <row r="107" spans="28:28" s="146" customFormat="1" x14ac:dyDescent="0.2">
      <c r="AB107" s="146">
        <f ca="1"/>
        <v>45843</v>
      </c>
    </row>
    <row r="108" spans="28:28" s="146" customFormat="1" x14ac:dyDescent="0.2">
      <c r="AB108" s="146">
        <f ca="1"/>
        <v>45844</v>
      </c>
    </row>
    <row r="109" spans="28:28" s="146" customFormat="1" x14ac:dyDescent="0.2">
      <c r="AB109" s="146">
        <f ca="1"/>
        <v>45845</v>
      </c>
    </row>
    <row r="110" spans="28:28" s="146" customFormat="1" x14ac:dyDescent="0.2">
      <c r="AB110" s="146">
        <f ca="1"/>
        <v>45846</v>
      </c>
    </row>
    <row r="111" spans="28:28" s="146" customFormat="1" x14ac:dyDescent="0.2">
      <c r="AB111" s="146">
        <f ca="1"/>
        <v>45847</v>
      </c>
    </row>
    <row r="112" spans="28:28" s="146" customFormat="1" x14ac:dyDescent="0.2">
      <c r="AB112" s="146">
        <f ca="1"/>
        <v>45848</v>
      </c>
    </row>
    <row r="113" spans="28:28" s="146" customFormat="1" x14ac:dyDescent="0.2">
      <c r="AB113" s="146">
        <f ca="1"/>
        <v>45849</v>
      </c>
    </row>
    <row r="114" spans="28:28" s="146" customFormat="1" x14ac:dyDescent="0.2">
      <c r="AB114" s="146">
        <f ca="1"/>
        <v>45850</v>
      </c>
    </row>
    <row r="115" spans="28:28" s="146" customFormat="1" x14ac:dyDescent="0.2">
      <c r="AB115" s="146">
        <f ca="1"/>
        <v>45851</v>
      </c>
    </row>
    <row r="116" spans="28:28" s="146" customFormat="1" x14ac:dyDescent="0.2">
      <c r="AB116" s="146">
        <f ca="1"/>
        <v>45852</v>
      </c>
    </row>
    <row r="117" spans="28:28" s="146" customFormat="1" x14ac:dyDescent="0.2">
      <c r="AB117" s="146">
        <f ca="1"/>
        <v>45853</v>
      </c>
    </row>
    <row r="118" spans="28:28" s="146" customFormat="1" x14ac:dyDescent="0.2">
      <c r="AB118" s="146">
        <f ca="1"/>
        <v>45854</v>
      </c>
    </row>
    <row r="119" spans="28:28" s="146" customFormat="1" x14ac:dyDescent="0.2">
      <c r="AB119" s="146">
        <f ca="1"/>
        <v>45855</v>
      </c>
    </row>
    <row r="120" spans="28:28" s="146" customFormat="1" x14ac:dyDescent="0.2">
      <c r="AB120" s="146">
        <f ca="1"/>
        <v>45856</v>
      </c>
    </row>
    <row r="121" spans="28:28" s="146" customFormat="1" x14ac:dyDescent="0.2">
      <c r="AB121" s="146">
        <f ca="1"/>
        <v>45857</v>
      </c>
    </row>
    <row r="122" spans="28:28" s="146" customFormat="1" x14ac:dyDescent="0.2">
      <c r="AB122" s="146">
        <f ca="1"/>
        <v>45858</v>
      </c>
    </row>
    <row r="123" spans="28:28" s="146" customFormat="1" x14ac:dyDescent="0.2">
      <c r="AB123" s="146">
        <f ca="1"/>
        <v>45859</v>
      </c>
    </row>
    <row r="124" spans="28:28" s="146" customFormat="1" x14ac:dyDescent="0.2">
      <c r="AB124" s="146">
        <f ca="1"/>
        <v>45860</v>
      </c>
    </row>
    <row r="125" spans="28:28" s="146" customFormat="1" x14ac:dyDescent="0.2">
      <c r="AB125" s="146">
        <f ca="1"/>
        <v>45861</v>
      </c>
    </row>
    <row r="126" spans="28:28" s="146" customFormat="1" x14ac:dyDescent="0.2">
      <c r="AB126" s="146">
        <f ca="1"/>
        <v>45862</v>
      </c>
    </row>
    <row r="127" spans="28:28" s="146" customFormat="1" x14ac:dyDescent="0.2">
      <c r="AB127" s="146">
        <f ca="1"/>
        <v>45863</v>
      </c>
    </row>
    <row r="128" spans="28:28" s="146" customFormat="1" x14ac:dyDescent="0.2">
      <c r="AB128" s="146">
        <f ca="1"/>
        <v>45864</v>
      </c>
    </row>
    <row r="129" spans="28:28" s="146" customFormat="1" x14ac:dyDescent="0.2">
      <c r="AB129" s="146">
        <f ca="1"/>
        <v>45865</v>
      </c>
    </row>
    <row r="130" spans="28:28" s="146" customFormat="1" x14ac:dyDescent="0.2">
      <c r="AB130" s="146">
        <f ca="1"/>
        <v>45866</v>
      </c>
    </row>
    <row r="131" spans="28:28" s="146" customFormat="1" x14ac:dyDescent="0.2">
      <c r="AB131" s="146">
        <f ca="1"/>
        <v>45867</v>
      </c>
    </row>
    <row r="132" spans="28:28" s="146" customFormat="1" x14ac:dyDescent="0.2">
      <c r="AB132" s="146">
        <f ca="1"/>
        <v>45868</v>
      </c>
    </row>
    <row r="133" spans="28:28" s="146" customFormat="1" x14ac:dyDescent="0.2">
      <c r="AB133" s="146">
        <f ca="1"/>
        <v>45869</v>
      </c>
    </row>
    <row r="134" spans="28:28" s="146" customFormat="1" x14ac:dyDescent="0.2">
      <c r="AB134" s="146">
        <f ca="1"/>
        <v>45870</v>
      </c>
    </row>
    <row r="135" spans="28:28" s="146" customFormat="1" x14ac:dyDescent="0.2">
      <c r="AB135" s="146">
        <f ca="1"/>
        <v>45871</v>
      </c>
    </row>
    <row r="136" spans="28:28" s="146" customFormat="1" x14ac:dyDescent="0.2">
      <c r="AB136" s="146">
        <f ca="1"/>
        <v>45872</v>
      </c>
    </row>
    <row r="137" spans="28:28" s="146" customFormat="1" x14ac:dyDescent="0.2">
      <c r="AB137" s="146">
        <f ca="1"/>
        <v>45873</v>
      </c>
    </row>
    <row r="138" spans="28:28" s="146" customFormat="1" x14ac:dyDescent="0.2">
      <c r="AB138" s="146">
        <f ca="1"/>
        <v>45874</v>
      </c>
    </row>
    <row r="139" spans="28:28" s="146" customFormat="1" x14ac:dyDescent="0.2">
      <c r="AB139" s="146">
        <f ca="1"/>
        <v>45875</v>
      </c>
    </row>
    <row r="140" spans="28:28" s="146" customFormat="1" x14ac:dyDescent="0.2">
      <c r="AB140" s="146">
        <f ca="1"/>
        <v>45876</v>
      </c>
    </row>
    <row r="141" spans="28:28" s="146" customFormat="1" x14ac:dyDescent="0.2">
      <c r="AB141" s="146">
        <f ca="1"/>
        <v>45877</v>
      </c>
    </row>
    <row r="142" spans="28:28" s="146" customFormat="1" x14ac:dyDescent="0.2">
      <c r="AB142" s="146">
        <f ca="1"/>
        <v>45878</v>
      </c>
    </row>
    <row r="143" spans="28:28" s="146" customFormat="1" x14ac:dyDescent="0.2">
      <c r="AB143" s="146">
        <f ca="1"/>
        <v>45879</v>
      </c>
    </row>
    <row r="144" spans="28:28" s="146" customFormat="1" x14ac:dyDescent="0.2">
      <c r="AB144" s="146">
        <f ca="1"/>
        <v>45880</v>
      </c>
    </row>
    <row r="145" spans="28:28" s="146" customFormat="1" x14ac:dyDescent="0.2">
      <c r="AB145" s="146">
        <f ca="1"/>
        <v>45881</v>
      </c>
    </row>
    <row r="146" spans="28:28" s="146" customFormat="1" x14ac:dyDescent="0.2">
      <c r="AB146" s="146">
        <f ca="1"/>
        <v>45882</v>
      </c>
    </row>
    <row r="147" spans="28:28" s="146" customFormat="1" x14ac:dyDescent="0.2">
      <c r="AB147" s="146">
        <f ca="1"/>
        <v>45883</v>
      </c>
    </row>
    <row r="148" spans="28:28" s="146" customFormat="1" x14ac:dyDescent="0.2">
      <c r="AB148" s="146">
        <f ca="1"/>
        <v>45884</v>
      </c>
    </row>
    <row r="149" spans="28:28" s="146" customFormat="1" x14ac:dyDescent="0.2">
      <c r="AB149" s="146">
        <f ca="1"/>
        <v>45885</v>
      </c>
    </row>
    <row r="150" spans="28:28" s="146" customFormat="1" x14ac:dyDescent="0.2">
      <c r="AB150" s="146">
        <f ca="1"/>
        <v>45886</v>
      </c>
    </row>
    <row r="151" spans="28:28" s="146" customFormat="1" x14ac:dyDescent="0.2">
      <c r="AB151" s="146">
        <f ca="1"/>
        <v>45887</v>
      </c>
    </row>
    <row r="152" spans="28:28" s="146" customFormat="1" x14ac:dyDescent="0.2">
      <c r="AB152" s="146">
        <f ca="1"/>
        <v>45888</v>
      </c>
    </row>
    <row r="153" spans="28:28" s="146" customFormat="1" x14ac:dyDescent="0.2">
      <c r="AB153" s="146">
        <f ca="1"/>
        <v>45889</v>
      </c>
    </row>
    <row r="154" spans="28:28" s="146" customFormat="1" x14ac:dyDescent="0.2">
      <c r="AB154" s="146">
        <f ca="1"/>
        <v>45890</v>
      </c>
    </row>
    <row r="155" spans="28:28" s="146" customFormat="1" x14ac:dyDescent="0.2">
      <c r="AB155" s="146">
        <f ca="1"/>
        <v>45891</v>
      </c>
    </row>
    <row r="156" spans="28:28" s="146" customFormat="1" x14ac:dyDescent="0.2">
      <c r="AB156" s="146">
        <f ca="1"/>
        <v>45892</v>
      </c>
    </row>
    <row r="157" spans="28:28" s="146" customFormat="1" x14ac:dyDescent="0.2">
      <c r="AB157" s="146">
        <f ca="1"/>
        <v>45893</v>
      </c>
    </row>
    <row r="158" spans="28:28" s="146" customFormat="1" x14ac:dyDescent="0.2">
      <c r="AB158" s="146">
        <f ca="1"/>
        <v>45894</v>
      </c>
    </row>
    <row r="159" spans="28:28" s="146" customFormat="1" x14ac:dyDescent="0.2">
      <c r="AB159" s="146">
        <f ca="1"/>
        <v>45895</v>
      </c>
    </row>
    <row r="160" spans="28:28" s="146" customFormat="1" x14ac:dyDescent="0.2">
      <c r="AB160" s="146">
        <f ca="1"/>
        <v>45896</v>
      </c>
    </row>
    <row r="161" spans="28:28" s="146" customFormat="1" x14ac:dyDescent="0.2">
      <c r="AB161" s="146">
        <f ca="1"/>
        <v>45897</v>
      </c>
    </row>
    <row r="162" spans="28:28" s="146" customFormat="1" x14ac:dyDescent="0.2">
      <c r="AB162" s="146">
        <f ca="1"/>
        <v>45898</v>
      </c>
    </row>
    <row r="163" spans="28:28" s="146" customFormat="1" x14ac:dyDescent="0.2">
      <c r="AB163" s="146">
        <f ca="1"/>
        <v>45899</v>
      </c>
    </row>
    <row r="164" spans="28:28" s="146" customFormat="1" x14ac:dyDescent="0.2">
      <c r="AB164" s="146">
        <f ca="1"/>
        <v>45900</v>
      </c>
    </row>
    <row r="165" spans="28:28" s="146" customFormat="1" x14ac:dyDescent="0.2">
      <c r="AB165" s="146">
        <f ca="1"/>
        <v>45901</v>
      </c>
    </row>
    <row r="166" spans="28:28" s="146" customFormat="1" x14ac:dyDescent="0.2">
      <c r="AB166" s="146">
        <f ca="1"/>
        <v>45902</v>
      </c>
    </row>
    <row r="167" spans="28:28" s="146" customFormat="1" x14ac:dyDescent="0.2">
      <c r="AB167" s="146">
        <f ca="1"/>
        <v>45903</v>
      </c>
    </row>
    <row r="168" spans="28:28" s="146" customFormat="1" x14ac:dyDescent="0.2">
      <c r="AB168" s="146">
        <f ca="1"/>
        <v>45904</v>
      </c>
    </row>
    <row r="169" spans="28:28" s="146" customFormat="1" x14ac:dyDescent="0.2">
      <c r="AB169" s="146">
        <f ca="1"/>
        <v>45905</v>
      </c>
    </row>
    <row r="170" spans="28:28" s="146" customFormat="1" x14ac:dyDescent="0.2">
      <c r="AB170" s="146">
        <f ca="1"/>
        <v>45906</v>
      </c>
    </row>
    <row r="171" spans="28:28" s="146" customFormat="1" x14ac:dyDescent="0.2">
      <c r="AB171" s="146">
        <f ca="1"/>
        <v>45907</v>
      </c>
    </row>
    <row r="172" spans="28:28" s="146" customFormat="1" x14ac:dyDescent="0.2">
      <c r="AB172" s="146">
        <f ca="1"/>
        <v>45908</v>
      </c>
    </row>
    <row r="173" spans="28:28" s="146" customFormat="1" x14ac:dyDescent="0.2">
      <c r="AB173" s="146">
        <f ca="1"/>
        <v>45909</v>
      </c>
    </row>
    <row r="174" spans="28:28" s="146" customFormat="1" x14ac:dyDescent="0.2">
      <c r="AB174" s="146">
        <f ca="1"/>
        <v>45910</v>
      </c>
    </row>
    <row r="175" spans="28:28" s="146" customFormat="1" x14ac:dyDescent="0.2">
      <c r="AB175" s="146">
        <f ca="1"/>
        <v>45911</v>
      </c>
    </row>
    <row r="176" spans="28:28" s="146" customFormat="1" x14ac:dyDescent="0.2">
      <c r="AB176" s="146">
        <f ca="1"/>
        <v>45912</v>
      </c>
    </row>
    <row r="177" spans="28:28" s="146" customFormat="1" x14ac:dyDescent="0.2">
      <c r="AB177" s="146">
        <f ca="1"/>
        <v>45913</v>
      </c>
    </row>
    <row r="178" spans="28:28" s="146" customFormat="1" x14ac:dyDescent="0.2">
      <c r="AB178" s="146">
        <f ca="1"/>
        <v>45914</v>
      </c>
    </row>
    <row r="179" spans="28:28" s="146" customFormat="1" x14ac:dyDescent="0.2">
      <c r="AB179" s="146">
        <f ca="1"/>
        <v>45915</v>
      </c>
    </row>
    <row r="180" spans="28:28" s="146" customFormat="1" x14ac:dyDescent="0.2">
      <c r="AB180" s="146">
        <f ca="1"/>
        <v>45916</v>
      </c>
    </row>
    <row r="181" spans="28:28" s="146" customFormat="1" x14ac:dyDescent="0.2">
      <c r="AB181" s="146">
        <f ca="1"/>
        <v>45917</v>
      </c>
    </row>
    <row r="182" spans="28:28" s="146" customFormat="1" x14ac:dyDescent="0.2">
      <c r="AB182" s="146">
        <f ca="1"/>
        <v>45918</v>
      </c>
    </row>
    <row r="183" spans="28:28" s="146" customFormat="1" x14ac:dyDescent="0.2">
      <c r="AB183" s="146">
        <f ca="1"/>
        <v>45919</v>
      </c>
    </row>
    <row r="184" spans="28:28" s="146" customFormat="1" x14ac:dyDescent="0.2">
      <c r="AB184" s="146">
        <f ca="1"/>
        <v>45920</v>
      </c>
    </row>
    <row r="185" spans="28:28" s="146" customFormat="1" x14ac:dyDescent="0.2">
      <c r="AB185" s="146">
        <f ca="1"/>
        <v>45921</v>
      </c>
    </row>
    <row r="186" spans="28:28" s="146" customFormat="1" x14ac:dyDescent="0.2">
      <c r="AB186" s="146">
        <f ca="1"/>
        <v>45922</v>
      </c>
    </row>
    <row r="187" spans="28:28" s="146" customFormat="1" x14ac:dyDescent="0.2">
      <c r="AB187" s="146">
        <f ca="1"/>
        <v>45923</v>
      </c>
    </row>
    <row r="188" spans="28:28" s="146" customFormat="1" x14ac:dyDescent="0.2">
      <c r="AB188" s="146">
        <f ca="1"/>
        <v>45924</v>
      </c>
    </row>
    <row r="189" spans="28:28" s="146" customFormat="1" x14ac:dyDescent="0.2">
      <c r="AB189" s="146">
        <f ca="1"/>
        <v>45925</v>
      </c>
    </row>
    <row r="190" spans="28:28" s="146" customFormat="1" x14ac:dyDescent="0.2">
      <c r="AB190" s="146">
        <f ca="1"/>
        <v>45926</v>
      </c>
    </row>
    <row r="191" spans="28:28" s="146" customFormat="1" x14ac:dyDescent="0.2">
      <c r="AB191" s="146">
        <f ca="1"/>
        <v>45927</v>
      </c>
    </row>
    <row r="192" spans="28:28" s="146" customFormat="1" x14ac:dyDescent="0.2">
      <c r="AB192" s="146">
        <f ca="1"/>
        <v>45928</v>
      </c>
    </row>
    <row r="193" spans="28:28" s="146" customFormat="1" x14ac:dyDescent="0.2">
      <c r="AB193" s="146">
        <f ca="1"/>
        <v>45929</v>
      </c>
    </row>
    <row r="194" spans="28:28" s="146" customFormat="1" x14ac:dyDescent="0.2">
      <c r="AB194" s="146">
        <f ca="1"/>
        <v>45930</v>
      </c>
    </row>
    <row r="195" spans="28:28" s="146" customFormat="1" x14ac:dyDescent="0.2">
      <c r="AB195" s="146">
        <f ca="1"/>
        <v>45931</v>
      </c>
    </row>
    <row r="196" spans="28:28" s="146" customFormat="1" x14ac:dyDescent="0.2">
      <c r="AB196" s="146">
        <f ca="1"/>
        <v>45932</v>
      </c>
    </row>
    <row r="197" spans="28:28" s="146" customFormat="1" x14ac:dyDescent="0.2">
      <c r="AB197" s="146">
        <f ca="1"/>
        <v>45933</v>
      </c>
    </row>
    <row r="198" spans="28:28" s="146" customFormat="1" x14ac:dyDescent="0.2">
      <c r="AB198" s="146">
        <f ca="1"/>
        <v>45934</v>
      </c>
    </row>
    <row r="199" spans="28:28" s="146" customFormat="1" x14ac:dyDescent="0.2">
      <c r="AB199" s="146">
        <f ca="1"/>
        <v>45935</v>
      </c>
    </row>
    <row r="200" spans="28:28" s="146" customFormat="1" x14ac:dyDescent="0.2">
      <c r="AB200" s="146">
        <f ca="1"/>
        <v>45936</v>
      </c>
    </row>
    <row r="201" spans="28:28" s="146" customFormat="1" x14ac:dyDescent="0.2">
      <c r="AB201" s="146">
        <f ca="1"/>
        <v>45937</v>
      </c>
    </row>
    <row r="202" spans="28:28" s="146" customFormat="1" x14ac:dyDescent="0.2">
      <c r="AB202" s="146">
        <f ca="1"/>
        <v>45938</v>
      </c>
    </row>
    <row r="203" spans="28:28" s="146" customFormat="1" x14ac:dyDescent="0.2">
      <c r="AB203" s="146">
        <f ca="1"/>
        <v>45939</v>
      </c>
    </row>
    <row r="204" spans="28:28" s="146" customFormat="1" x14ac:dyDescent="0.2">
      <c r="AB204" s="146">
        <f ca="1"/>
        <v>45940</v>
      </c>
    </row>
    <row r="205" spans="28:28" s="146" customFormat="1" x14ac:dyDescent="0.2">
      <c r="AB205" s="146">
        <f ca="1"/>
        <v>45941</v>
      </c>
    </row>
    <row r="206" spans="28:28" s="146" customFormat="1" x14ac:dyDescent="0.2">
      <c r="AB206" s="146">
        <f ca="1"/>
        <v>45942</v>
      </c>
    </row>
    <row r="207" spans="28:28" s="146" customFormat="1" x14ac:dyDescent="0.2">
      <c r="AB207" s="146">
        <f ca="1"/>
        <v>45943</v>
      </c>
    </row>
    <row r="208" spans="28:28" s="146" customFormat="1" x14ac:dyDescent="0.2">
      <c r="AB208" s="146">
        <f ca="1"/>
        <v>45944</v>
      </c>
    </row>
    <row r="209" spans="28:28" s="146" customFormat="1" x14ac:dyDescent="0.2">
      <c r="AB209" s="146">
        <f ca="1"/>
        <v>45945</v>
      </c>
    </row>
    <row r="210" spans="28:28" s="146" customFormat="1" x14ac:dyDescent="0.2">
      <c r="AB210" s="146">
        <f ca="1"/>
        <v>45946</v>
      </c>
    </row>
    <row r="211" spans="28:28" s="146" customFormat="1" x14ac:dyDescent="0.2">
      <c r="AB211" s="146">
        <f ca="1"/>
        <v>45947</v>
      </c>
    </row>
    <row r="212" spans="28:28" s="146" customFormat="1" x14ac:dyDescent="0.2">
      <c r="AB212" s="146">
        <f ca="1"/>
        <v>45948</v>
      </c>
    </row>
    <row r="213" spans="28:28" s="146" customFormat="1" x14ac:dyDescent="0.2">
      <c r="AB213" s="146">
        <f ca="1"/>
        <v>45949</v>
      </c>
    </row>
    <row r="214" spans="28:28" s="146" customFormat="1" x14ac:dyDescent="0.2">
      <c r="AB214" s="146">
        <f ca="1"/>
        <v>45950</v>
      </c>
    </row>
    <row r="215" spans="28:28" s="146" customFormat="1" x14ac:dyDescent="0.2">
      <c r="AB215" s="146">
        <f ca="1"/>
        <v>45951</v>
      </c>
    </row>
    <row r="216" spans="28:28" s="146" customFormat="1" x14ac:dyDescent="0.2">
      <c r="AB216" s="146">
        <f ca="1"/>
        <v>45952</v>
      </c>
    </row>
    <row r="217" spans="28:28" s="146" customFormat="1" x14ac:dyDescent="0.2">
      <c r="AB217" s="146">
        <f ca="1"/>
        <v>45953</v>
      </c>
    </row>
    <row r="218" spans="28:28" s="146" customFormat="1" x14ac:dyDescent="0.2">
      <c r="AB218" s="146">
        <f ca="1"/>
        <v>45954</v>
      </c>
    </row>
    <row r="219" spans="28:28" s="146" customFormat="1" x14ac:dyDescent="0.2">
      <c r="AB219" s="146">
        <f ca="1"/>
        <v>45955</v>
      </c>
    </row>
    <row r="220" spans="28:28" s="146" customFormat="1" x14ac:dyDescent="0.2">
      <c r="AB220" s="146">
        <f ca="1"/>
        <v>45956</v>
      </c>
    </row>
    <row r="221" spans="28:28" s="146" customFormat="1" x14ac:dyDescent="0.2">
      <c r="AB221" s="146">
        <f ca="1"/>
        <v>45957</v>
      </c>
    </row>
    <row r="222" spans="28:28" s="146" customFormat="1" x14ac:dyDescent="0.2">
      <c r="AB222" s="146">
        <f ca="1"/>
        <v>45958</v>
      </c>
    </row>
    <row r="223" spans="28:28" s="146" customFormat="1" x14ac:dyDescent="0.2">
      <c r="AB223" s="146">
        <f ca="1"/>
        <v>45959</v>
      </c>
    </row>
    <row r="224" spans="28:28" s="146" customFormat="1" x14ac:dyDescent="0.2">
      <c r="AB224" s="146">
        <f ca="1"/>
        <v>45960</v>
      </c>
    </row>
    <row r="225" spans="28:28" s="146" customFormat="1" x14ac:dyDescent="0.2">
      <c r="AB225" s="146">
        <f ca="1"/>
        <v>45961</v>
      </c>
    </row>
    <row r="226" spans="28:28" s="146" customFormat="1" x14ac:dyDescent="0.2">
      <c r="AB226" s="146">
        <f ca="1"/>
        <v>45962</v>
      </c>
    </row>
    <row r="227" spans="28:28" s="146" customFormat="1" x14ac:dyDescent="0.2">
      <c r="AB227" s="146">
        <f ca="1"/>
        <v>45963</v>
      </c>
    </row>
    <row r="228" spans="28:28" s="146" customFormat="1" x14ac:dyDescent="0.2">
      <c r="AB228" s="146">
        <f ca="1"/>
        <v>45964</v>
      </c>
    </row>
    <row r="229" spans="28:28" s="146" customFormat="1" x14ac:dyDescent="0.2">
      <c r="AB229" s="146">
        <f ca="1"/>
        <v>45965</v>
      </c>
    </row>
    <row r="230" spans="28:28" s="146" customFormat="1" x14ac:dyDescent="0.2">
      <c r="AB230" s="146">
        <f ca="1"/>
        <v>45966</v>
      </c>
    </row>
    <row r="231" spans="28:28" s="146" customFormat="1" x14ac:dyDescent="0.2">
      <c r="AB231" s="146">
        <f ca="1"/>
        <v>45967</v>
      </c>
    </row>
    <row r="232" spans="28:28" s="146" customFormat="1" x14ac:dyDescent="0.2">
      <c r="AB232" s="146">
        <f ca="1"/>
        <v>45968</v>
      </c>
    </row>
    <row r="233" spans="28:28" s="146" customFormat="1" x14ac:dyDescent="0.2">
      <c r="AB233" s="146">
        <f ca="1"/>
        <v>45969</v>
      </c>
    </row>
    <row r="234" spans="28:28" s="146" customFormat="1" x14ac:dyDescent="0.2">
      <c r="AB234" s="146">
        <f ca="1"/>
        <v>45970</v>
      </c>
    </row>
    <row r="235" spans="28:28" s="146" customFormat="1" x14ac:dyDescent="0.2">
      <c r="AB235" s="146">
        <f ca="1"/>
        <v>45971</v>
      </c>
    </row>
    <row r="236" spans="28:28" s="146" customFormat="1" x14ac:dyDescent="0.2">
      <c r="AB236" s="146">
        <f ca="1"/>
        <v>45972</v>
      </c>
    </row>
    <row r="237" spans="28:28" s="146" customFormat="1" x14ac:dyDescent="0.2">
      <c r="AB237" s="146">
        <f ca="1"/>
        <v>45973</v>
      </c>
    </row>
    <row r="238" spans="28:28" s="146" customFormat="1" x14ac:dyDescent="0.2">
      <c r="AB238" s="146">
        <f ca="1"/>
        <v>45974</v>
      </c>
    </row>
    <row r="239" spans="28:28" s="146" customFormat="1" x14ac:dyDescent="0.2">
      <c r="AB239" s="146">
        <f ca="1"/>
        <v>45975</v>
      </c>
    </row>
    <row r="240" spans="28:28" s="146" customFormat="1" x14ac:dyDescent="0.2">
      <c r="AB240" s="146">
        <f ca="1"/>
        <v>45976</v>
      </c>
    </row>
    <row r="241" spans="28:28" s="146" customFormat="1" x14ac:dyDescent="0.2">
      <c r="AB241" s="146">
        <f ca="1"/>
        <v>45977</v>
      </c>
    </row>
    <row r="242" spans="28:28" s="146" customFormat="1" x14ac:dyDescent="0.2">
      <c r="AB242" s="146">
        <f ca="1"/>
        <v>45978</v>
      </c>
    </row>
    <row r="243" spans="28:28" s="146" customFormat="1" x14ac:dyDescent="0.2">
      <c r="AB243" s="146">
        <f ca="1"/>
        <v>45979</v>
      </c>
    </row>
    <row r="244" spans="28:28" s="146" customFormat="1" x14ac:dyDescent="0.2">
      <c r="AB244" s="146">
        <f ca="1"/>
        <v>45980</v>
      </c>
    </row>
    <row r="245" spans="28:28" s="146" customFormat="1" x14ac:dyDescent="0.2">
      <c r="AB245" s="146">
        <f ca="1"/>
        <v>45981</v>
      </c>
    </row>
    <row r="246" spans="28:28" s="146" customFormat="1" x14ac:dyDescent="0.2">
      <c r="AB246" s="146">
        <f ca="1"/>
        <v>45982</v>
      </c>
    </row>
    <row r="247" spans="28:28" s="146" customFormat="1" x14ac:dyDescent="0.2">
      <c r="AB247" s="146">
        <f ca="1"/>
        <v>45983</v>
      </c>
    </row>
    <row r="248" spans="28:28" s="146" customFormat="1" x14ac:dyDescent="0.2">
      <c r="AB248" s="146">
        <f ca="1"/>
        <v>45984</v>
      </c>
    </row>
    <row r="249" spans="28:28" s="146" customFormat="1" x14ac:dyDescent="0.2">
      <c r="AB249" s="146">
        <f ca="1"/>
        <v>45985</v>
      </c>
    </row>
    <row r="250" spans="28:28" s="146" customFormat="1" x14ac:dyDescent="0.2">
      <c r="AB250" s="146">
        <f ca="1"/>
        <v>45986</v>
      </c>
    </row>
    <row r="251" spans="28:28" s="146" customFormat="1" x14ac:dyDescent="0.2">
      <c r="AB251" s="146">
        <f ca="1"/>
        <v>45987</v>
      </c>
    </row>
    <row r="252" spans="28:28" s="146" customFormat="1" x14ac:dyDescent="0.2">
      <c r="AB252" s="146">
        <f ca="1"/>
        <v>45988</v>
      </c>
    </row>
    <row r="253" spans="28:28" s="146" customFormat="1" x14ac:dyDescent="0.2">
      <c r="AB253" s="146">
        <f ca="1"/>
        <v>45989</v>
      </c>
    </row>
    <row r="254" spans="28:28" s="146" customFormat="1" x14ac:dyDescent="0.2">
      <c r="AB254" s="146">
        <f ca="1"/>
        <v>45990</v>
      </c>
    </row>
    <row r="255" spans="28:28" s="146" customFormat="1" x14ac:dyDescent="0.2">
      <c r="AB255" s="146">
        <f ca="1"/>
        <v>45991</v>
      </c>
    </row>
    <row r="256" spans="28:28" s="146" customFormat="1" x14ac:dyDescent="0.2">
      <c r="AB256" s="146">
        <f ca="1"/>
        <v>45992</v>
      </c>
    </row>
    <row r="257" spans="28:28" s="146" customFormat="1" x14ac:dyDescent="0.2">
      <c r="AB257" s="146">
        <f ca="1"/>
        <v>45993</v>
      </c>
    </row>
    <row r="258" spans="28:28" s="146" customFormat="1" x14ac:dyDescent="0.2">
      <c r="AB258" s="146">
        <f ca="1"/>
        <v>45994</v>
      </c>
    </row>
    <row r="259" spans="28:28" s="146" customFormat="1" x14ac:dyDescent="0.2">
      <c r="AB259" s="146">
        <f ca="1"/>
        <v>45995</v>
      </c>
    </row>
    <row r="260" spans="28:28" s="146" customFormat="1" x14ac:dyDescent="0.2">
      <c r="AB260" s="146">
        <f ca="1"/>
        <v>45996</v>
      </c>
    </row>
    <row r="261" spans="28:28" s="146" customFormat="1" x14ac:dyDescent="0.2">
      <c r="AB261" s="146">
        <f ca="1"/>
        <v>45997</v>
      </c>
    </row>
    <row r="262" spans="28:28" s="146" customFormat="1" x14ac:dyDescent="0.2">
      <c r="AB262" s="146">
        <f ca="1"/>
        <v>45998</v>
      </c>
    </row>
    <row r="263" spans="28:28" s="146" customFormat="1" x14ac:dyDescent="0.2">
      <c r="AB263" s="146">
        <f ca="1"/>
        <v>45999</v>
      </c>
    </row>
    <row r="264" spans="28:28" s="146" customFormat="1" x14ac:dyDescent="0.2">
      <c r="AB264" s="146">
        <f ca="1"/>
        <v>46000</v>
      </c>
    </row>
    <row r="265" spans="28:28" s="146" customFormat="1" x14ac:dyDescent="0.2">
      <c r="AB265" s="146">
        <f ca="1"/>
        <v>46001</v>
      </c>
    </row>
    <row r="266" spans="28:28" s="146" customFormat="1" x14ac:dyDescent="0.2">
      <c r="AB266" s="146">
        <f ca="1"/>
        <v>46002</v>
      </c>
    </row>
    <row r="267" spans="28:28" s="146" customFormat="1" x14ac:dyDescent="0.2">
      <c r="AB267" s="146">
        <f ca="1"/>
        <v>46003</v>
      </c>
    </row>
    <row r="268" spans="28:28" s="146" customFormat="1" x14ac:dyDescent="0.2">
      <c r="AB268" s="146">
        <f ca="1"/>
        <v>46004</v>
      </c>
    </row>
    <row r="269" spans="28:28" s="146" customFormat="1" x14ac:dyDescent="0.2">
      <c r="AB269" s="146">
        <f ca="1"/>
        <v>46005</v>
      </c>
    </row>
    <row r="270" spans="28:28" s="146" customFormat="1" x14ac:dyDescent="0.2">
      <c r="AB270" s="146">
        <f ca="1"/>
        <v>46006</v>
      </c>
    </row>
    <row r="271" spans="28:28" s="146" customFormat="1" x14ac:dyDescent="0.2">
      <c r="AB271" s="146">
        <f ca="1"/>
        <v>46007</v>
      </c>
    </row>
    <row r="272" spans="28:28" s="146" customFormat="1" x14ac:dyDescent="0.2">
      <c r="AB272" s="146">
        <f ca="1"/>
        <v>46008</v>
      </c>
    </row>
    <row r="273" spans="28:28" s="146" customFormat="1" x14ac:dyDescent="0.2">
      <c r="AB273" s="146">
        <f ca="1"/>
        <v>46009</v>
      </c>
    </row>
    <row r="274" spans="28:28" s="146" customFormat="1" x14ac:dyDescent="0.2">
      <c r="AB274" s="146">
        <f ca="1"/>
        <v>46010</v>
      </c>
    </row>
    <row r="275" spans="28:28" s="146" customFormat="1" x14ac:dyDescent="0.2">
      <c r="AB275" s="146">
        <f ca="1"/>
        <v>46011</v>
      </c>
    </row>
    <row r="276" spans="28:28" s="146" customFormat="1" x14ac:dyDescent="0.2">
      <c r="AB276" s="146">
        <f ca="1"/>
        <v>46012</v>
      </c>
    </row>
    <row r="277" spans="28:28" s="146" customFormat="1" x14ac:dyDescent="0.2">
      <c r="AB277" s="146">
        <f ca="1"/>
        <v>46013</v>
      </c>
    </row>
    <row r="278" spans="28:28" s="146" customFormat="1" x14ac:dyDescent="0.2">
      <c r="AB278" s="146">
        <f ca="1"/>
        <v>46014</v>
      </c>
    </row>
    <row r="279" spans="28:28" s="146" customFormat="1" x14ac:dyDescent="0.2">
      <c r="AB279" s="146">
        <f ca="1"/>
        <v>46015</v>
      </c>
    </row>
    <row r="280" spans="28:28" s="146" customFormat="1" x14ac:dyDescent="0.2">
      <c r="AB280" s="146">
        <f ca="1"/>
        <v>46016</v>
      </c>
    </row>
    <row r="281" spans="28:28" s="146" customFormat="1" x14ac:dyDescent="0.2">
      <c r="AB281" s="146">
        <f ca="1"/>
        <v>46017</v>
      </c>
    </row>
    <row r="282" spans="28:28" s="146" customFormat="1" x14ac:dyDescent="0.2">
      <c r="AB282" s="146">
        <f ca="1"/>
        <v>46018</v>
      </c>
    </row>
    <row r="283" spans="28:28" s="146" customFormat="1" x14ac:dyDescent="0.2">
      <c r="AB283" s="146">
        <f ca="1"/>
        <v>46019</v>
      </c>
    </row>
    <row r="284" spans="28:28" s="146" customFormat="1" x14ac:dyDescent="0.2">
      <c r="AB284" s="146">
        <f ca="1"/>
        <v>46020</v>
      </c>
    </row>
    <row r="285" spans="28:28" s="146" customFormat="1" x14ac:dyDescent="0.2">
      <c r="AB285" s="146">
        <f ca="1"/>
        <v>46021</v>
      </c>
    </row>
    <row r="286" spans="28:28" s="146" customFormat="1" x14ac:dyDescent="0.2">
      <c r="AB286" s="146">
        <f ca="1"/>
        <v>46022</v>
      </c>
    </row>
    <row r="287" spans="28:28" s="146" customFormat="1" x14ac:dyDescent="0.2">
      <c r="AB287" s="146">
        <f ca="1"/>
        <v>46023</v>
      </c>
    </row>
    <row r="288" spans="28:28" s="146" customFormat="1" x14ac:dyDescent="0.2">
      <c r="AB288" s="146">
        <f ca="1"/>
        <v>46024</v>
      </c>
    </row>
    <row r="289" spans="28:28" s="146" customFormat="1" x14ac:dyDescent="0.2">
      <c r="AB289" s="146">
        <f ca="1"/>
        <v>46025</v>
      </c>
    </row>
    <row r="290" spans="28:28" s="146" customFormat="1" x14ac:dyDescent="0.2">
      <c r="AB290" s="146">
        <f ca="1"/>
        <v>46026</v>
      </c>
    </row>
    <row r="291" spans="28:28" s="146" customFormat="1" x14ac:dyDescent="0.2">
      <c r="AB291" s="146">
        <f ca="1"/>
        <v>46027</v>
      </c>
    </row>
    <row r="292" spans="28:28" s="146" customFormat="1" x14ac:dyDescent="0.2">
      <c r="AB292" s="146">
        <f ca="1"/>
        <v>46028</v>
      </c>
    </row>
    <row r="293" spans="28:28" s="146" customFormat="1" x14ac:dyDescent="0.2">
      <c r="AB293" s="146">
        <f ca="1"/>
        <v>46029</v>
      </c>
    </row>
    <row r="294" spans="28:28" s="146" customFormat="1" x14ac:dyDescent="0.2">
      <c r="AB294" s="146">
        <f ca="1"/>
        <v>46030</v>
      </c>
    </row>
    <row r="295" spans="28:28" s="146" customFormat="1" x14ac:dyDescent="0.2">
      <c r="AB295" s="146">
        <f ca="1"/>
        <v>46031</v>
      </c>
    </row>
    <row r="296" spans="28:28" s="146" customFormat="1" x14ac:dyDescent="0.2">
      <c r="AB296" s="146">
        <f ca="1"/>
        <v>46032</v>
      </c>
    </row>
    <row r="297" spans="28:28" s="146" customFormat="1" x14ac:dyDescent="0.2">
      <c r="AB297" s="146">
        <f ca="1"/>
        <v>46033</v>
      </c>
    </row>
    <row r="298" spans="28:28" s="146" customFormat="1" x14ac:dyDescent="0.2">
      <c r="AB298" s="146">
        <f ca="1"/>
        <v>46034</v>
      </c>
    </row>
    <row r="299" spans="28:28" s="146" customFormat="1" x14ac:dyDescent="0.2">
      <c r="AB299" s="146">
        <f ca="1"/>
        <v>46035</v>
      </c>
    </row>
    <row r="300" spans="28:28" s="146" customFormat="1" x14ac:dyDescent="0.2">
      <c r="AB300" s="146">
        <f ca="1"/>
        <v>46036</v>
      </c>
    </row>
    <row r="301" spans="28:28" s="146" customFormat="1" x14ac:dyDescent="0.2">
      <c r="AB301" s="146">
        <f ca="1"/>
        <v>46037</v>
      </c>
    </row>
    <row r="302" spans="28:28" s="146" customFormat="1" x14ac:dyDescent="0.2">
      <c r="AB302" s="146">
        <f ca="1"/>
        <v>46038</v>
      </c>
    </row>
    <row r="303" spans="28:28" s="146" customFormat="1" x14ac:dyDescent="0.2">
      <c r="AB303" s="146">
        <f ca="1"/>
        <v>46039</v>
      </c>
    </row>
    <row r="304" spans="28:28" s="146" customFormat="1" x14ac:dyDescent="0.2">
      <c r="AB304" s="146">
        <f ca="1"/>
        <v>46040</v>
      </c>
    </row>
    <row r="305" spans="28:28" s="146" customFormat="1" x14ac:dyDescent="0.2">
      <c r="AB305" s="146">
        <f ca="1"/>
        <v>46041</v>
      </c>
    </row>
    <row r="306" spans="28:28" s="146" customFormat="1" x14ac:dyDescent="0.2">
      <c r="AB306" s="146">
        <f ca="1"/>
        <v>46042</v>
      </c>
    </row>
    <row r="307" spans="28:28" s="146" customFormat="1" x14ac:dyDescent="0.2">
      <c r="AB307" s="146">
        <f ca="1"/>
        <v>46043</v>
      </c>
    </row>
    <row r="308" spans="28:28" s="146" customFormat="1" x14ac:dyDescent="0.2">
      <c r="AB308" s="146">
        <f ca="1"/>
        <v>46044</v>
      </c>
    </row>
    <row r="309" spans="28:28" s="146" customFormat="1" x14ac:dyDescent="0.2">
      <c r="AB309" s="146">
        <f ca="1"/>
        <v>46045</v>
      </c>
    </row>
    <row r="310" spans="28:28" s="146" customFormat="1" x14ac:dyDescent="0.2">
      <c r="AB310" s="146">
        <f ca="1"/>
        <v>46046</v>
      </c>
    </row>
    <row r="311" spans="28:28" s="146" customFormat="1" x14ac:dyDescent="0.2">
      <c r="AB311" s="146">
        <f ca="1"/>
        <v>46047</v>
      </c>
    </row>
    <row r="312" spans="28:28" s="146" customFormat="1" x14ac:dyDescent="0.2">
      <c r="AB312" s="146">
        <f ca="1"/>
        <v>46048</v>
      </c>
    </row>
    <row r="313" spans="28:28" s="146" customFormat="1" x14ac:dyDescent="0.2">
      <c r="AB313" s="146">
        <f ca="1"/>
        <v>46049</v>
      </c>
    </row>
    <row r="314" spans="28:28" s="146" customFormat="1" x14ac:dyDescent="0.2">
      <c r="AB314" s="146">
        <f ca="1"/>
        <v>46050</v>
      </c>
    </row>
    <row r="315" spans="28:28" s="146" customFormat="1" x14ac:dyDescent="0.2">
      <c r="AB315" s="146">
        <f ca="1"/>
        <v>46051</v>
      </c>
    </row>
    <row r="316" spans="28:28" s="146" customFormat="1" x14ac:dyDescent="0.2">
      <c r="AB316" s="146">
        <f ca="1"/>
        <v>46052</v>
      </c>
    </row>
    <row r="317" spans="28:28" s="146" customFormat="1" x14ac:dyDescent="0.2">
      <c r="AB317" s="146">
        <f ca="1"/>
        <v>46053</v>
      </c>
    </row>
    <row r="318" spans="28:28" s="146" customFormat="1" x14ac:dyDescent="0.2">
      <c r="AB318" s="146">
        <f ca="1"/>
        <v>46054</v>
      </c>
    </row>
    <row r="319" spans="28:28" s="146" customFormat="1" x14ac:dyDescent="0.2">
      <c r="AB319" s="146">
        <f ca="1"/>
        <v>46055</v>
      </c>
    </row>
    <row r="320" spans="28:28" s="146" customFormat="1" x14ac:dyDescent="0.2">
      <c r="AB320" s="146">
        <f ca="1"/>
        <v>46056</v>
      </c>
    </row>
    <row r="321" spans="28:28" s="146" customFormat="1" x14ac:dyDescent="0.2">
      <c r="AB321" s="146">
        <f ca="1"/>
        <v>46057</v>
      </c>
    </row>
    <row r="322" spans="28:28" s="146" customFormat="1" x14ac:dyDescent="0.2">
      <c r="AB322" s="146">
        <f ca="1"/>
        <v>46058</v>
      </c>
    </row>
    <row r="323" spans="28:28" s="146" customFormat="1" x14ac:dyDescent="0.2">
      <c r="AB323" s="146">
        <f ca="1"/>
        <v>46059</v>
      </c>
    </row>
    <row r="324" spans="28:28" s="146" customFormat="1" x14ac:dyDescent="0.2">
      <c r="AB324" s="146">
        <f ca="1"/>
        <v>46060</v>
      </c>
    </row>
    <row r="325" spans="28:28" s="146" customFormat="1" x14ac:dyDescent="0.2">
      <c r="AB325" s="146">
        <f ca="1"/>
        <v>46061</v>
      </c>
    </row>
    <row r="326" spans="28:28" s="146" customFormat="1" x14ac:dyDescent="0.2">
      <c r="AB326" s="146">
        <f ca="1"/>
        <v>46062</v>
      </c>
    </row>
    <row r="327" spans="28:28" s="146" customFormat="1" x14ac:dyDescent="0.2">
      <c r="AB327" s="146">
        <f ca="1"/>
        <v>46063</v>
      </c>
    </row>
    <row r="328" spans="28:28" s="146" customFormat="1" x14ac:dyDescent="0.2">
      <c r="AB328" s="146">
        <f ca="1"/>
        <v>46064</v>
      </c>
    </row>
    <row r="329" spans="28:28" s="146" customFormat="1" x14ac:dyDescent="0.2">
      <c r="AB329" s="146">
        <f ca="1"/>
        <v>46065</v>
      </c>
    </row>
    <row r="330" spans="28:28" s="146" customFormat="1" x14ac:dyDescent="0.2">
      <c r="AB330" s="146">
        <f ca="1"/>
        <v>46066</v>
      </c>
    </row>
    <row r="331" spans="28:28" s="146" customFormat="1" x14ac:dyDescent="0.2">
      <c r="AB331" s="146">
        <f ca="1"/>
        <v>46067</v>
      </c>
    </row>
    <row r="332" spans="28:28" s="146" customFormat="1" x14ac:dyDescent="0.2">
      <c r="AB332" s="146">
        <f ca="1"/>
        <v>46068</v>
      </c>
    </row>
    <row r="333" spans="28:28" s="146" customFormat="1" x14ac:dyDescent="0.2">
      <c r="AB333" s="146">
        <f ca="1"/>
        <v>46069</v>
      </c>
    </row>
    <row r="334" spans="28:28" s="146" customFormat="1" x14ac:dyDescent="0.2">
      <c r="AB334" s="146">
        <f ca="1"/>
        <v>46070</v>
      </c>
    </row>
    <row r="335" spans="28:28" s="146" customFormat="1" x14ac:dyDescent="0.2">
      <c r="AB335" s="146">
        <f ca="1"/>
        <v>46071</v>
      </c>
    </row>
    <row r="336" spans="28:28" s="146" customFormat="1" x14ac:dyDescent="0.2">
      <c r="AB336" s="146">
        <f ca="1"/>
        <v>46072</v>
      </c>
    </row>
    <row r="337" spans="28:28" s="146" customFormat="1" x14ac:dyDescent="0.2">
      <c r="AB337" s="146">
        <f ca="1"/>
        <v>46073</v>
      </c>
    </row>
    <row r="338" spans="28:28" s="146" customFormat="1" x14ac:dyDescent="0.2">
      <c r="AB338" s="146">
        <f ca="1"/>
        <v>46074</v>
      </c>
    </row>
    <row r="339" spans="28:28" s="146" customFormat="1" x14ac:dyDescent="0.2">
      <c r="AB339" s="146">
        <f ca="1"/>
        <v>46075</v>
      </c>
    </row>
    <row r="340" spans="28:28" s="146" customFormat="1" x14ac:dyDescent="0.2">
      <c r="AB340" s="146">
        <f ca="1"/>
        <v>46076</v>
      </c>
    </row>
    <row r="341" spans="28:28" s="146" customFormat="1" x14ac:dyDescent="0.2">
      <c r="AB341" s="146">
        <f ca="1"/>
        <v>46077</v>
      </c>
    </row>
    <row r="342" spans="28:28" s="146" customFormat="1" x14ac:dyDescent="0.2">
      <c r="AB342" s="146">
        <f ca="1"/>
        <v>46078</v>
      </c>
    </row>
    <row r="343" spans="28:28" s="146" customFormat="1" x14ac:dyDescent="0.2">
      <c r="AB343" s="146">
        <f ca="1"/>
        <v>46079</v>
      </c>
    </row>
    <row r="344" spans="28:28" s="146" customFormat="1" x14ac:dyDescent="0.2">
      <c r="AB344" s="146">
        <f ca="1"/>
        <v>46080</v>
      </c>
    </row>
    <row r="345" spans="28:28" s="146" customFormat="1" x14ac:dyDescent="0.2">
      <c r="AB345" s="146">
        <f ca="1"/>
        <v>46081</v>
      </c>
    </row>
    <row r="346" spans="28:28" s="146" customFormat="1" x14ac:dyDescent="0.2">
      <c r="AB346" s="146">
        <f ca="1"/>
        <v>46082</v>
      </c>
    </row>
    <row r="347" spans="28:28" s="146" customFormat="1" x14ac:dyDescent="0.2">
      <c r="AB347" s="146">
        <f ca="1"/>
        <v>46083</v>
      </c>
    </row>
    <row r="348" spans="28:28" s="146" customFormat="1" x14ac:dyDescent="0.2">
      <c r="AB348" s="146">
        <f ca="1"/>
        <v>46084</v>
      </c>
    </row>
    <row r="349" spans="28:28" s="146" customFormat="1" x14ac:dyDescent="0.2">
      <c r="AB349" s="146">
        <f ca="1"/>
        <v>46085</v>
      </c>
    </row>
    <row r="350" spans="28:28" s="146" customFormat="1" x14ac:dyDescent="0.2">
      <c r="AB350" s="146">
        <f ca="1"/>
        <v>46086</v>
      </c>
    </row>
    <row r="351" spans="28:28" s="146" customFormat="1" x14ac:dyDescent="0.2">
      <c r="AB351" s="146">
        <f ca="1"/>
        <v>46087</v>
      </c>
    </row>
    <row r="352" spans="28:28" s="146" customFormat="1" x14ac:dyDescent="0.2">
      <c r="AB352" s="146">
        <f ca="1"/>
        <v>46088</v>
      </c>
    </row>
    <row r="353" spans="28:28" s="146" customFormat="1" x14ac:dyDescent="0.2">
      <c r="AB353" s="146">
        <f ca="1"/>
        <v>46089</v>
      </c>
    </row>
    <row r="354" spans="28:28" s="146" customFormat="1" x14ac:dyDescent="0.2">
      <c r="AB354" s="146">
        <f ca="1"/>
        <v>46090</v>
      </c>
    </row>
    <row r="355" spans="28:28" s="146" customFormat="1" x14ac:dyDescent="0.2">
      <c r="AB355" s="146">
        <f ca="1"/>
        <v>46091</v>
      </c>
    </row>
    <row r="356" spans="28:28" s="146" customFormat="1" x14ac:dyDescent="0.2">
      <c r="AB356" s="146">
        <f ca="1"/>
        <v>46092</v>
      </c>
    </row>
    <row r="357" spans="28:28" s="146" customFormat="1" x14ac:dyDescent="0.2">
      <c r="AB357" s="146">
        <f ca="1"/>
        <v>46093</v>
      </c>
    </row>
    <row r="358" spans="28:28" s="146" customFormat="1" x14ac:dyDescent="0.2">
      <c r="AB358" s="146">
        <f ca="1"/>
        <v>46094</v>
      </c>
    </row>
    <row r="359" spans="28:28" s="146" customFormat="1" x14ac:dyDescent="0.2">
      <c r="AB359" s="146">
        <f ca="1"/>
        <v>46095</v>
      </c>
    </row>
    <row r="360" spans="28:28" s="146" customFormat="1" x14ac:dyDescent="0.2">
      <c r="AB360" s="146">
        <f ca="1"/>
        <v>46096</v>
      </c>
    </row>
    <row r="361" spans="28:28" s="146" customFormat="1" x14ac:dyDescent="0.2">
      <c r="AB361" s="146">
        <f ca="1"/>
        <v>46097</v>
      </c>
    </row>
    <row r="362" spans="28:28" s="146" customFormat="1" x14ac:dyDescent="0.2">
      <c r="AB362" s="146">
        <f ca="1"/>
        <v>46098</v>
      </c>
    </row>
    <row r="363" spans="28:28" s="146" customFormat="1" x14ac:dyDescent="0.2">
      <c r="AB363" s="146">
        <f ca="1"/>
        <v>46099</v>
      </c>
    </row>
    <row r="364" spans="28:28" s="146" customFormat="1" x14ac:dyDescent="0.2">
      <c r="AB364" s="146">
        <f ca="1"/>
        <v>46100</v>
      </c>
    </row>
    <row r="365" spans="28:28" s="146" customFormat="1" x14ac:dyDescent="0.2">
      <c r="AB365" s="146">
        <f ca="1"/>
        <v>46101</v>
      </c>
    </row>
    <row r="366" spans="28:28" s="146" customFormat="1" x14ac:dyDescent="0.2">
      <c r="AB366" s="146">
        <f ca="1"/>
        <v>46102</v>
      </c>
    </row>
    <row r="367" spans="28:28" s="146" customFormat="1" x14ac:dyDescent="0.2">
      <c r="AB367" s="146">
        <f ca="1"/>
        <v>46103</v>
      </c>
    </row>
    <row r="368" spans="28:28" s="146" customFormat="1" x14ac:dyDescent="0.2">
      <c r="AB368" s="146">
        <f ca="1"/>
        <v>46104</v>
      </c>
    </row>
    <row r="369" spans="2:28" s="146" customFormat="1" x14ac:dyDescent="0.2">
      <c r="AB369" s="146">
        <f ca="1"/>
        <v>46105</v>
      </c>
    </row>
    <row r="370" spans="2:28" s="146" customFormat="1" x14ac:dyDescent="0.2">
      <c r="AB370" s="146">
        <f ca="1"/>
        <v>46106</v>
      </c>
    </row>
    <row r="371" spans="2:28" s="146" customFormat="1" x14ac:dyDescent="0.2">
      <c r="AB371" s="146">
        <f ca="1"/>
        <v>46107</v>
      </c>
    </row>
    <row r="372" spans="2:28" s="146" customFormat="1" x14ac:dyDescent="0.2">
      <c r="AB372" s="146">
        <f ca="1"/>
        <v>46108</v>
      </c>
    </row>
    <row r="373" spans="2:28" x14ac:dyDescent="0.2">
      <c r="B373" s="146"/>
      <c r="C373" s="146"/>
      <c r="D373" s="146"/>
      <c r="E373" s="146"/>
      <c r="F373" s="146"/>
      <c r="G373" s="146"/>
      <c r="H373" s="146"/>
      <c r="I373" s="146"/>
      <c r="J373" s="146"/>
      <c r="K373" s="146"/>
      <c r="L373" s="146"/>
      <c r="M373" s="146"/>
      <c r="N373" s="146"/>
      <c r="O373" s="146"/>
      <c r="P373" s="146"/>
    </row>
    <row r="374" spans="2:28" x14ac:dyDescent="0.2">
      <c r="B374" s="146"/>
      <c r="C374" s="146"/>
      <c r="D374" s="146"/>
      <c r="E374" s="146"/>
      <c r="F374" s="146"/>
      <c r="G374" s="146"/>
      <c r="H374" s="146"/>
      <c r="I374" s="146"/>
      <c r="J374" s="146"/>
      <c r="K374" s="146"/>
      <c r="L374" s="146"/>
      <c r="M374" s="146"/>
      <c r="N374" s="146"/>
      <c r="O374" s="146"/>
      <c r="P374" s="146"/>
    </row>
    <row r="375" spans="2:28" x14ac:dyDescent="0.2">
      <c r="B375" s="146"/>
      <c r="C375" s="146"/>
      <c r="D375" s="146"/>
      <c r="E375" s="146"/>
      <c r="F375" s="146"/>
      <c r="G375" s="146"/>
      <c r="H375" s="146"/>
      <c r="I375" s="146"/>
      <c r="J375" s="146"/>
      <c r="K375" s="146"/>
      <c r="L375" s="146"/>
      <c r="M375" s="146"/>
      <c r="N375" s="146"/>
      <c r="O375" s="146"/>
      <c r="P375" s="146"/>
    </row>
    <row r="376" spans="2:28" x14ac:dyDescent="0.2">
      <c r="B376" s="146"/>
      <c r="C376" s="146"/>
      <c r="D376" s="146"/>
      <c r="E376" s="146"/>
      <c r="F376" s="146"/>
      <c r="G376" s="146"/>
      <c r="H376" s="146"/>
      <c r="I376" s="146"/>
      <c r="J376" s="146"/>
      <c r="K376" s="146"/>
      <c r="L376" s="146"/>
      <c r="M376" s="146"/>
      <c r="N376" s="146"/>
      <c r="O376" s="146"/>
      <c r="P376" s="146"/>
    </row>
    <row r="377" spans="2:28" x14ac:dyDescent="0.2">
      <c r="B377" s="146"/>
      <c r="C377" s="146"/>
      <c r="D377" s="146"/>
      <c r="E377" s="146"/>
      <c r="F377" s="146"/>
      <c r="G377" s="146"/>
      <c r="H377" s="146"/>
      <c r="I377" s="146"/>
      <c r="J377" s="146"/>
      <c r="K377" s="146"/>
      <c r="L377" s="146"/>
      <c r="M377" s="146"/>
      <c r="N377" s="146"/>
      <c r="O377" s="146"/>
      <c r="P377" s="146"/>
    </row>
    <row r="378" spans="2:28" x14ac:dyDescent="0.2">
      <c r="B378" s="146"/>
      <c r="C378" s="146"/>
      <c r="D378" s="146"/>
      <c r="E378" s="146"/>
      <c r="F378" s="146"/>
      <c r="G378" s="146"/>
      <c r="H378" s="146"/>
      <c r="I378" s="146"/>
      <c r="J378" s="146"/>
      <c r="K378" s="146"/>
      <c r="L378" s="146"/>
      <c r="M378" s="146"/>
      <c r="N378" s="146"/>
      <c r="O378" s="146"/>
      <c r="P378" s="146"/>
    </row>
    <row r="379" spans="2:28" x14ac:dyDescent="0.2">
      <c r="B379" s="146"/>
      <c r="C379" s="146"/>
      <c r="D379" s="146"/>
      <c r="E379" s="146"/>
      <c r="F379" s="146"/>
      <c r="G379" s="146"/>
      <c r="H379" s="146"/>
      <c r="I379" s="146"/>
      <c r="J379" s="146"/>
      <c r="K379" s="146"/>
      <c r="L379" s="146"/>
      <c r="M379" s="146"/>
      <c r="N379" s="146"/>
      <c r="O379" s="146"/>
      <c r="P379" s="146"/>
    </row>
    <row r="380" spans="2:28" x14ac:dyDescent="0.2">
      <c r="B380" s="146"/>
      <c r="C380" s="146"/>
      <c r="D380" s="146"/>
      <c r="E380" s="146"/>
      <c r="F380" s="146"/>
      <c r="G380" s="146"/>
      <c r="H380" s="146"/>
      <c r="I380" s="146"/>
      <c r="J380" s="146"/>
      <c r="K380" s="146"/>
      <c r="L380" s="146"/>
      <c r="M380" s="146"/>
      <c r="N380" s="146"/>
      <c r="O380" s="146"/>
      <c r="P380" s="146"/>
    </row>
    <row r="381" spans="2:28" x14ac:dyDescent="0.2">
      <c r="B381" s="146"/>
      <c r="C381" s="146"/>
      <c r="D381" s="146"/>
      <c r="E381" s="146"/>
      <c r="F381" s="146"/>
      <c r="G381" s="146"/>
      <c r="H381" s="146"/>
      <c r="I381" s="146"/>
      <c r="J381" s="146"/>
      <c r="K381" s="146"/>
      <c r="L381" s="146"/>
      <c r="M381" s="146"/>
      <c r="N381" s="146"/>
      <c r="O381" s="146"/>
      <c r="P381" s="146"/>
    </row>
    <row r="382" spans="2:28" x14ac:dyDescent="0.2">
      <c r="B382" s="146"/>
      <c r="C382" s="146"/>
      <c r="D382" s="146"/>
      <c r="E382" s="146"/>
      <c r="F382" s="146"/>
      <c r="G382" s="146"/>
      <c r="H382" s="146"/>
      <c r="I382" s="146"/>
      <c r="J382" s="146"/>
      <c r="K382" s="146"/>
      <c r="L382" s="146"/>
      <c r="M382" s="146"/>
      <c r="N382" s="146"/>
      <c r="O382" s="146"/>
      <c r="P382" s="146"/>
    </row>
    <row r="383" spans="2:28" x14ac:dyDescent="0.2">
      <c r="B383" s="146"/>
      <c r="C383" s="146"/>
      <c r="D383" s="146"/>
      <c r="E383" s="146"/>
      <c r="F383" s="146"/>
      <c r="G383" s="146"/>
      <c r="H383" s="146"/>
      <c r="I383" s="146"/>
      <c r="J383" s="146"/>
      <c r="K383" s="146"/>
      <c r="L383" s="146"/>
      <c r="M383" s="146"/>
      <c r="N383" s="146"/>
      <c r="O383" s="146"/>
      <c r="P383" s="146"/>
    </row>
    <row r="384" spans="2:28" x14ac:dyDescent="0.2">
      <c r="B384" s="146"/>
      <c r="C384" s="146"/>
      <c r="D384" s="146"/>
      <c r="E384" s="146"/>
      <c r="F384" s="146"/>
      <c r="G384" s="146"/>
      <c r="H384" s="146"/>
      <c r="I384" s="146"/>
      <c r="J384" s="146"/>
      <c r="K384" s="146"/>
      <c r="L384" s="146"/>
      <c r="M384" s="146"/>
      <c r="N384" s="146"/>
      <c r="O384" s="146"/>
      <c r="P384" s="146"/>
    </row>
    <row r="385" spans="2:16" x14ac:dyDescent="0.2">
      <c r="B385" s="146"/>
      <c r="C385" s="146"/>
      <c r="D385" s="146"/>
      <c r="E385" s="146"/>
      <c r="F385" s="146"/>
      <c r="G385" s="146"/>
      <c r="H385" s="146"/>
      <c r="I385" s="146"/>
      <c r="J385" s="146"/>
      <c r="K385" s="146"/>
      <c r="L385" s="146"/>
      <c r="M385" s="146"/>
      <c r="N385" s="146"/>
      <c r="O385" s="146"/>
      <c r="P385" s="146"/>
    </row>
    <row r="386" spans="2:16" x14ac:dyDescent="0.2">
      <c r="B386" s="146"/>
      <c r="C386" s="146"/>
      <c r="D386" s="146"/>
      <c r="E386" s="146"/>
      <c r="F386" s="146"/>
      <c r="G386" s="146"/>
      <c r="H386" s="146"/>
      <c r="I386" s="146"/>
      <c r="J386" s="146"/>
      <c r="K386" s="146"/>
      <c r="L386" s="146"/>
      <c r="M386" s="146"/>
      <c r="N386" s="146"/>
      <c r="O386" s="146"/>
      <c r="P386" s="146"/>
    </row>
    <row r="387" spans="2:16" x14ac:dyDescent="0.2">
      <c r="B387" s="146"/>
      <c r="C387" s="146"/>
      <c r="D387" s="146"/>
      <c r="E387" s="146"/>
      <c r="F387" s="146"/>
      <c r="G387" s="146"/>
      <c r="H387" s="146"/>
      <c r="I387" s="146"/>
      <c r="J387" s="146"/>
      <c r="K387" s="146"/>
      <c r="L387" s="146"/>
      <c r="M387" s="146"/>
      <c r="N387" s="146"/>
      <c r="O387" s="146"/>
      <c r="P387" s="146"/>
    </row>
    <row r="388" spans="2:16" x14ac:dyDescent="0.2">
      <c r="B388" s="146"/>
      <c r="C388" s="146"/>
      <c r="D388" s="146"/>
      <c r="E388" s="146"/>
      <c r="F388" s="146"/>
      <c r="G388" s="146"/>
      <c r="H388" s="146"/>
      <c r="I388" s="146"/>
      <c r="J388" s="146"/>
      <c r="K388" s="146"/>
      <c r="L388" s="146"/>
      <c r="M388" s="146"/>
      <c r="N388" s="146"/>
      <c r="O388" s="146"/>
      <c r="P388" s="146"/>
    </row>
    <row r="389" spans="2:16" x14ac:dyDescent="0.2">
      <c r="B389" s="146"/>
      <c r="C389" s="146"/>
      <c r="D389" s="146"/>
      <c r="E389" s="146"/>
      <c r="F389" s="146"/>
      <c r="G389" s="146"/>
      <c r="H389" s="146"/>
      <c r="I389" s="146"/>
      <c r="J389" s="146"/>
      <c r="K389" s="146"/>
      <c r="L389" s="146"/>
      <c r="M389" s="146"/>
      <c r="N389" s="146"/>
      <c r="O389" s="146"/>
      <c r="P389" s="146"/>
    </row>
    <row r="390" spans="2:16" x14ac:dyDescent="0.2">
      <c r="B390" s="146"/>
      <c r="C390" s="146"/>
      <c r="D390" s="146"/>
      <c r="E390" s="146"/>
      <c r="F390" s="146"/>
      <c r="G390" s="146"/>
      <c r="H390" s="146"/>
      <c r="I390" s="146"/>
      <c r="J390" s="146"/>
      <c r="K390" s="146"/>
      <c r="L390" s="146"/>
      <c r="M390" s="146"/>
      <c r="N390" s="146"/>
      <c r="O390" s="146"/>
      <c r="P390" s="146"/>
    </row>
    <row r="391" spans="2:16" x14ac:dyDescent="0.2">
      <c r="B391" s="146"/>
      <c r="C391" s="146"/>
      <c r="D391" s="146"/>
      <c r="E391" s="146"/>
      <c r="F391" s="146"/>
      <c r="G391" s="146"/>
      <c r="H391" s="146"/>
      <c r="I391" s="146"/>
      <c r="J391" s="146"/>
      <c r="K391" s="146"/>
      <c r="L391" s="146"/>
      <c r="M391" s="146"/>
      <c r="N391" s="146"/>
      <c r="O391" s="146"/>
      <c r="P391" s="146"/>
    </row>
    <row r="392" spans="2:16" x14ac:dyDescent="0.2">
      <c r="B392" s="146"/>
      <c r="C392" s="146"/>
      <c r="D392" s="146"/>
      <c r="E392" s="146"/>
      <c r="F392" s="146"/>
      <c r="G392" s="146"/>
      <c r="H392" s="146"/>
      <c r="I392" s="146"/>
      <c r="J392" s="146"/>
      <c r="K392" s="146"/>
      <c r="L392" s="146"/>
      <c r="M392" s="146"/>
      <c r="N392" s="146"/>
      <c r="O392" s="146"/>
      <c r="P392" s="146"/>
    </row>
    <row r="393" spans="2:16" x14ac:dyDescent="0.2">
      <c r="B393" s="146"/>
      <c r="C393" s="146"/>
      <c r="D393" s="146"/>
      <c r="E393" s="146"/>
      <c r="F393" s="146"/>
      <c r="G393" s="146"/>
      <c r="H393" s="146"/>
      <c r="I393" s="146"/>
      <c r="J393" s="146"/>
      <c r="K393" s="146"/>
      <c r="L393" s="146"/>
      <c r="M393" s="146"/>
      <c r="N393" s="146"/>
      <c r="O393" s="146"/>
      <c r="P393" s="146"/>
    </row>
    <row r="394" spans="2:16" x14ac:dyDescent="0.2">
      <c r="B394" s="146"/>
      <c r="C394" s="146"/>
      <c r="D394" s="146"/>
      <c r="E394" s="146"/>
      <c r="F394" s="146"/>
      <c r="G394" s="146"/>
      <c r="H394" s="146"/>
      <c r="I394" s="146"/>
      <c r="J394" s="146"/>
      <c r="K394" s="146"/>
      <c r="L394" s="146"/>
      <c r="M394" s="146"/>
      <c r="N394" s="146"/>
      <c r="O394" s="146"/>
      <c r="P394" s="146"/>
    </row>
    <row r="395" spans="2:16" x14ac:dyDescent="0.2">
      <c r="B395" s="146"/>
      <c r="C395" s="146"/>
      <c r="D395" s="146"/>
      <c r="E395" s="146"/>
      <c r="F395" s="146"/>
      <c r="G395" s="146"/>
      <c r="H395" s="146"/>
      <c r="I395" s="146"/>
      <c r="J395" s="146"/>
      <c r="K395" s="146"/>
      <c r="L395" s="146"/>
      <c r="M395" s="146"/>
      <c r="N395" s="146"/>
      <c r="O395" s="146"/>
      <c r="P395" s="146"/>
    </row>
    <row r="396" spans="2:16" x14ac:dyDescent="0.2">
      <c r="B396" s="146"/>
      <c r="C396" s="146"/>
      <c r="D396" s="146"/>
      <c r="E396" s="146"/>
      <c r="F396" s="146"/>
      <c r="G396" s="146"/>
      <c r="H396" s="146"/>
      <c r="I396" s="146"/>
      <c r="J396" s="146"/>
      <c r="K396" s="146"/>
      <c r="L396" s="146"/>
      <c r="M396" s="146"/>
      <c r="N396" s="146"/>
      <c r="O396" s="146"/>
      <c r="P396" s="146"/>
    </row>
    <row r="397" spans="2:16" x14ac:dyDescent="0.2">
      <c r="B397" s="146"/>
      <c r="C397" s="146"/>
      <c r="D397" s="146"/>
      <c r="E397" s="146"/>
      <c r="F397" s="146"/>
      <c r="G397" s="146"/>
      <c r="H397" s="146"/>
      <c r="I397" s="146"/>
      <c r="J397" s="146"/>
      <c r="K397" s="146"/>
      <c r="L397" s="146"/>
      <c r="M397" s="146"/>
      <c r="N397" s="146"/>
      <c r="O397" s="146"/>
      <c r="P397" s="146"/>
    </row>
    <row r="398" spans="2:16" x14ac:dyDescent="0.2">
      <c r="B398" s="146"/>
      <c r="C398" s="146"/>
      <c r="D398" s="146"/>
      <c r="E398" s="146"/>
      <c r="F398" s="146"/>
      <c r="G398" s="146"/>
      <c r="H398" s="146"/>
      <c r="I398" s="146"/>
      <c r="J398" s="146"/>
      <c r="K398" s="146"/>
      <c r="L398" s="146"/>
      <c r="M398" s="146"/>
      <c r="N398" s="146"/>
      <c r="O398" s="146"/>
      <c r="P398" s="146"/>
    </row>
    <row r="399" spans="2:16" x14ac:dyDescent="0.2">
      <c r="B399" s="146"/>
      <c r="C399" s="146"/>
      <c r="D399" s="146"/>
      <c r="E399" s="146"/>
      <c r="F399" s="146"/>
      <c r="G399" s="146"/>
      <c r="H399" s="146"/>
      <c r="I399" s="146"/>
      <c r="J399" s="146"/>
      <c r="K399" s="146"/>
      <c r="L399" s="146"/>
      <c r="M399" s="146"/>
      <c r="N399" s="146"/>
      <c r="O399" s="146"/>
      <c r="P399" s="146"/>
    </row>
    <row r="400" spans="2:16" x14ac:dyDescent="0.2">
      <c r="B400" s="146"/>
      <c r="C400" s="146"/>
      <c r="D400" s="146"/>
      <c r="E400" s="146"/>
      <c r="F400" s="146"/>
      <c r="G400" s="146"/>
      <c r="H400" s="146"/>
      <c r="I400" s="146"/>
      <c r="J400" s="146"/>
      <c r="K400" s="146"/>
      <c r="L400" s="146"/>
      <c r="M400" s="146"/>
      <c r="N400" s="146"/>
      <c r="O400" s="146"/>
      <c r="P400" s="146"/>
    </row>
    <row r="401" spans="2:16" x14ac:dyDescent="0.2">
      <c r="B401" s="146"/>
      <c r="C401" s="146"/>
      <c r="D401" s="146"/>
      <c r="E401" s="146"/>
      <c r="F401" s="146"/>
      <c r="G401" s="146"/>
      <c r="H401" s="146"/>
      <c r="I401" s="146"/>
      <c r="J401" s="146"/>
      <c r="K401" s="146"/>
      <c r="L401" s="146"/>
      <c r="M401" s="146"/>
      <c r="N401" s="146"/>
      <c r="O401" s="146"/>
      <c r="P401" s="146"/>
    </row>
    <row r="402" spans="2:16" x14ac:dyDescent="0.2">
      <c r="B402" s="146"/>
      <c r="C402" s="146"/>
      <c r="D402" s="146"/>
      <c r="E402" s="146"/>
      <c r="F402" s="146"/>
      <c r="G402" s="146"/>
      <c r="H402" s="146"/>
      <c r="I402" s="146"/>
      <c r="J402" s="146"/>
      <c r="K402" s="146"/>
      <c r="L402" s="146"/>
      <c r="M402" s="146"/>
      <c r="N402" s="146"/>
      <c r="O402" s="146"/>
      <c r="P402" s="146"/>
    </row>
    <row r="403" spans="2:16" x14ac:dyDescent="0.2">
      <c r="B403" s="146"/>
      <c r="C403" s="146"/>
      <c r="D403" s="146"/>
      <c r="E403" s="146"/>
      <c r="F403" s="146"/>
      <c r="G403" s="146"/>
      <c r="H403" s="146"/>
      <c r="I403" s="146"/>
      <c r="J403" s="146"/>
      <c r="K403" s="146"/>
      <c r="L403" s="146"/>
      <c r="M403" s="146"/>
      <c r="N403" s="146"/>
      <c r="O403" s="146"/>
      <c r="P403" s="146"/>
    </row>
    <row r="404" spans="2:16" x14ac:dyDescent="0.2">
      <c r="B404" s="146"/>
      <c r="C404" s="146"/>
      <c r="D404" s="146"/>
      <c r="E404" s="146"/>
      <c r="F404" s="146"/>
      <c r="G404" s="146"/>
      <c r="H404" s="146"/>
      <c r="I404" s="146"/>
      <c r="J404" s="146"/>
      <c r="K404" s="146"/>
      <c r="L404" s="146"/>
      <c r="M404" s="146"/>
      <c r="N404" s="146"/>
      <c r="O404" s="146"/>
      <c r="P404" s="146"/>
    </row>
    <row r="405" spans="2:16" x14ac:dyDescent="0.2">
      <c r="B405" s="146"/>
      <c r="C405" s="146"/>
      <c r="D405" s="146"/>
      <c r="E405" s="146"/>
      <c r="F405" s="146"/>
      <c r="G405" s="146"/>
      <c r="H405" s="146"/>
      <c r="I405" s="146"/>
      <c r="J405" s="146"/>
      <c r="K405" s="146"/>
      <c r="L405" s="146"/>
      <c r="M405" s="146"/>
      <c r="N405" s="146"/>
      <c r="O405" s="146"/>
      <c r="P405" s="146"/>
    </row>
    <row r="406" spans="2:16" x14ac:dyDescent="0.2">
      <c r="B406" s="146"/>
      <c r="C406" s="146"/>
      <c r="D406" s="146"/>
      <c r="E406" s="146"/>
      <c r="F406" s="146"/>
      <c r="G406" s="146"/>
      <c r="H406" s="146"/>
      <c r="I406" s="146"/>
      <c r="J406" s="146"/>
      <c r="K406" s="146"/>
      <c r="L406" s="146"/>
      <c r="M406" s="146"/>
      <c r="N406" s="146"/>
      <c r="O406" s="146"/>
      <c r="P406" s="146"/>
    </row>
    <row r="407" spans="2:16" x14ac:dyDescent="0.2">
      <c r="B407" s="146"/>
      <c r="C407" s="146"/>
      <c r="D407" s="146"/>
      <c r="E407" s="146"/>
      <c r="F407" s="146"/>
      <c r="G407" s="146"/>
      <c r="H407" s="146"/>
      <c r="I407" s="146"/>
      <c r="J407" s="146"/>
      <c r="K407" s="146"/>
      <c r="L407" s="146"/>
      <c r="M407" s="146"/>
      <c r="N407" s="146"/>
      <c r="O407" s="146"/>
      <c r="P407" s="146"/>
    </row>
    <row r="408" spans="2:16" x14ac:dyDescent="0.2">
      <c r="B408" s="146"/>
      <c r="C408" s="146"/>
      <c r="D408" s="146"/>
      <c r="E408" s="146"/>
      <c r="F408" s="146"/>
      <c r="G408" s="146"/>
      <c r="H408" s="146"/>
      <c r="I408" s="146"/>
      <c r="J408" s="146"/>
      <c r="K408" s="146"/>
      <c r="L408" s="146"/>
      <c r="M408" s="146"/>
      <c r="N408" s="146"/>
      <c r="O408" s="146"/>
      <c r="P408" s="146"/>
    </row>
    <row r="409" spans="2:16" x14ac:dyDescent="0.2">
      <c r="B409" s="146"/>
      <c r="C409" s="146"/>
      <c r="D409" s="146"/>
      <c r="E409" s="146"/>
      <c r="F409" s="146"/>
      <c r="G409" s="146"/>
      <c r="H409" s="146"/>
      <c r="I409" s="146"/>
      <c r="J409" s="146"/>
      <c r="K409" s="146"/>
      <c r="L409" s="146"/>
      <c r="M409" s="146"/>
      <c r="N409" s="146"/>
      <c r="O409" s="146"/>
      <c r="P409" s="146"/>
    </row>
    <row r="410" spans="2:16" x14ac:dyDescent="0.2">
      <c r="B410" s="146"/>
      <c r="C410" s="146"/>
      <c r="D410" s="146"/>
      <c r="E410" s="146"/>
      <c r="F410" s="146"/>
      <c r="G410" s="146"/>
      <c r="H410" s="146"/>
      <c r="I410" s="146"/>
      <c r="J410" s="146"/>
      <c r="K410" s="146"/>
      <c r="L410" s="146"/>
      <c r="M410" s="146"/>
      <c r="N410" s="146"/>
      <c r="O410" s="146"/>
      <c r="P410" s="146"/>
    </row>
    <row r="411" spans="2:16" x14ac:dyDescent="0.2">
      <c r="B411" s="146"/>
      <c r="C411" s="146"/>
      <c r="D411" s="146"/>
      <c r="E411" s="146"/>
      <c r="F411" s="146"/>
      <c r="G411" s="146"/>
      <c r="H411" s="146"/>
      <c r="I411" s="146"/>
      <c r="J411" s="146"/>
      <c r="K411" s="146"/>
      <c r="L411" s="146"/>
      <c r="M411" s="146"/>
      <c r="N411" s="146"/>
      <c r="O411" s="146"/>
      <c r="P411" s="146"/>
    </row>
    <row r="412" spans="2:16" x14ac:dyDescent="0.2">
      <c r="B412" s="146"/>
      <c r="C412" s="146"/>
      <c r="D412" s="146"/>
      <c r="E412" s="146"/>
      <c r="F412" s="146"/>
      <c r="G412" s="146"/>
      <c r="H412" s="146"/>
      <c r="I412" s="146"/>
      <c r="J412" s="146"/>
      <c r="K412" s="146"/>
      <c r="L412" s="146"/>
      <c r="M412" s="146"/>
      <c r="N412" s="146"/>
      <c r="O412" s="146"/>
      <c r="P412" s="146"/>
    </row>
    <row r="413" spans="2:16" x14ac:dyDescent="0.2">
      <c r="B413" s="146"/>
      <c r="C413" s="146"/>
      <c r="D413" s="146"/>
      <c r="E413" s="146"/>
      <c r="F413" s="146"/>
      <c r="G413" s="146"/>
      <c r="H413" s="146"/>
      <c r="I413" s="146"/>
      <c r="J413" s="146"/>
      <c r="K413" s="146"/>
      <c r="L413" s="146"/>
      <c r="M413" s="146"/>
      <c r="N413" s="146"/>
      <c r="O413" s="146"/>
      <c r="P413" s="146"/>
    </row>
    <row r="414" spans="2:16" x14ac:dyDescent="0.2">
      <c r="B414" s="146"/>
      <c r="C414" s="146"/>
      <c r="D414" s="146"/>
      <c r="E414" s="146"/>
      <c r="F414" s="146"/>
      <c r="G414" s="146"/>
      <c r="H414" s="146"/>
      <c r="I414" s="146"/>
      <c r="J414" s="146"/>
      <c r="K414" s="146"/>
      <c r="L414" s="146"/>
      <c r="M414" s="146"/>
      <c r="N414" s="146"/>
      <c r="O414" s="146"/>
      <c r="P414" s="146"/>
    </row>
    <row r="415" spans="2:16" x14ac:dyDescent="0.2">
      <c r="B415" s="146"/>
      <c r="C415" s="146"/>
      <c r="D415" s="146"/>
      <c r="E415" s="146"/>
      <c r="F415" s="146"/>
      <c r="G415" s="146"/>
      <c r="H415" s="146"/>
      <c r="I415" s="146"/>
      <c r="J415" s="146"/>
      <c r="K415" s="146"/>
      <c r="L415" s="146"/>
      <c r="M415" s="146"/>
      <c r="N415" s="146"/>
      <c r="O415" s="146"/>
      <c r="P415" s="146"/>
    </row>
    <row r="416" spans="2:16" x14ac:dyDescent="0.2">
      <c r="B416" s="146"/>
      <c r="C416" s="146"/>
      <c r="D416" s="146"/>
      <c r="E416" s="146"/>
      <c r="F416" s="146"/>
      <c r="G416" s="146"/>
      <c r="H416" s="146"/>
      <c r="I416" s="146"/>
      <c r="J416" s="146"/>
      <c r="K416" s="146"/>
      <c r="L416" s="146"/>
      <c r="M416" s="146"/>
      <c r="N416" s="146"/>
      <c r="O416" s="146"/>
      <c r="P416" s="146"/>
    </row>
    <row r="417" spans="2:16" x14ac:dyDescent="0.2">
      <c r="B417" s="146"/>
      <c r="C417" s="146"/>
      <c r="D417" s="146"/>
      <c r="E417" s="146"/>
      <c r="F417" s="146"/>
      <c r="G417" s="146"/>
      <c r="H417" s="146"/>
      <c r="I417" s="146"/>
      <c r="J417" s="146"/>
      <c r="K417" s="146"/>
      <c r="L417" s="146"/>
      <c r="M417" s="146"/>
      <c r="N417" s="146"/>
      <c r="O417" s="146"/>
      <c r="P417" s="146"/>
    </row>
    <row r="418" spans="2:16" x14ac:dyDescent="0.2">
      <c r="B418" s="146"/>
      <c r="C418" s="146"/>
      <c r="D418" s="146"/>
      <c r="E418" s="146"/>
      <c r="F418" s="146"/>
      <c r="G418" s="146"/>
      <c r="H418" s="146"/>
      <c r="I418" s="146"/>
      <c r="J418" s="146"/>
      <c r="K418" s="146"/>
      <c r="L418" s="146"/>
      <c r="M418" s="146"/>
      <c r="N418" s="146"/>
      <c r="O418" s="146"/>
      <c r="P418" s="146"/>
    </row>
    <row r="419" spans="2:16" x14ac:dyDescent="0.2">
      <c r="B419" s="146"/>
      <c r="C419" s="146"/>
      <c r="D419" s="146"/>
      <c r="E419" s="146"/>
      <c r="F419" s="146"/>
      <c r="G419" s="146"/>
      <c r="H419" s="146"/>
      <c r="I419" s="146"/>
      <c r="J419" s="146"/>
      <c r="K419" s="146"/>
      <c r="L419" s="146"/>
      <c r="M419" s="146"/>
      <c r="N419" s="146"/>
      <c r="O419" s="146"/>
      <c r="P419" s="146"/>
    </row>
    <row r="420" spans="2:16" x14ac:dyDescent="0.2">
      <c r="B420" s="146"/>
      <c r="C420" s="146"/>
      <c r="D420" s="146"/>
      <c r="E420" s="146"/>
      <c r="F420" s="146"/>
      <c r="G420" s="146"/>
      <c r="H420" s="146"/>
      <c r="I420" s="146"/>
      <c r="J420" s="146"/>
      <c r="K420" s="146"/>
      <c r="L420" s="146"/>
      <c r="M420" s="146"/>
      <c r="N420" s="146"/>
      <c r="O420" s="146"/>
      <c r="P420" s="146"/>
    </row>
    <row r="421" spans="2:16" x14ac:dyDescent="0.2">
      <c r="B421" s="146"/>
      <c r="C421" s="146"/>
      <c r="D421" s="146"/>
      <c r="E421" s="146"/>
      <c r="F421" s="146"/>
      <c r="G421" s="146"/>
      <c r="H421" s="146"/>
      <c r="I421" s="146"/>
      <c r="J421" s="146"/>
      <c r="K421" s="146"/>
      <c r="L421" s="146"/>
      <c r="M421" s="146"/>
      <c r="N421" s="146"/>
      <c r="O421" s="146"/>
      <c r="P421" s="146"/>
    </row>
    <row r="422" spans="2:16" x14ac:dyDescent="0.2">
      <c r="B422" s="146"/>
      <c r="C422" s="146"/>
      <c r="D422" s="146"/>
      <c r="E422" s="146"/>
      <c r="F422" s="146"/>
      <c r="G422" s="146"/>
      <c r="H422" s="146"/>
      <c r="I422" s="146"/>
      <c r="J422" s="146"/>
      <c r="K422" s="146"/>
      <c r="L422" s="146"/>
      <c r="M422" s="146"/>
      <c r="N422" s="146"/>
      <c r="O422" s="146"/>
      <c r="P422" s="146"/>
    </row>
    <row r="423" spans="2:16" x14ac:dyDescent="0.2">
      <c r="B423" s="146"/>
      <c r="C423" s="146"/>
      <c r="D423" s="146"/>
      <c r="E423" s="146"/>
      <c r="F423" s="146"/>
      <c r="G423" s="146"/>
      <c r="H423" s="146"/>
      <c r="I423" s="146"/>
      <c r="J423" s="146"/>
      <c r="K423" s="146"/>
      <c r="L423" s="146"/>
      <c r="M423" s="146"/>
      <c r="N423" s="146"/>
      <c r="O423" s="146"/>
      <c r="P423" s="146"/>
    </row>
    <row r="424" spans="2:16" x14ac:dyDescent="0.2">
      <c r="B424" s="146"/>
      <c r="C424" s="146"/>
      <c r="D424" s="146"/>
      <c r="E424" s="146"/>
      <c r="F424" s="146"/>
      <c r="G424" s="146"/>
      <c r="H424" s="146"/>
      <c r="I424" s="146"/>
      <c r="J424" s="146"/>
      <c r="K424" s="146"/>
      <c r="L424" s="146"/>
      <c r="M424" s="146"/>
      <c r="N424" s="146"/>
      <c r="O424" s="146"/>
      <c r="P424" s="146"/>
    </row>
    <row r="425" spans="2:16" x14ac:dyDescent="0.2">
      <c r="B425" s="146"/>
      <c r="C425" s="146"/>
      <c r="D425" s="146"/>
      <c r="E425" s="146"/>
      <c r="F425" s="146"/>
      <c r="G425" s="146"/>
      <c r="H425" s="146"/>
      <c r="I425" s="146"/>
      <c r="J425" s="146"/>
      <c r="K425" s="146"/>
      <c r="L425" s="146"/>
      <c r="M425" s="146"/>
      <c r="N425" s="146"/>
      <c r="O425" s="146"/>
      <c r="P425" s="146"/>
    </row>
    <row r="426" spans="2:16" x14ac:dyDescent="0.2">
      <c r="B426" s="146"/>
      <c r="C426" s="146"/>
      <c r="D426" s="146"/>
      <c r="E426" s="146"/>
      <c r="F426" s="146"/>
      <c r="G426" s="146"/>
      <c r="H426" s="146"/>
      <c r="I426" s="146"/>
      <c r="J426" s="146"/>
      <c r="K426" s="146"/>
      <c r="L426" s="146"/>
      <c r="M426" s="146"/>
      <c r="N426" s="146"/>
      <c r="O426" s="146"/>
      <c r="P426" s="146"/>
    </row>
    <row r="427" spans="2:16" x14ac:dyDescent="0.2">
      <c r="B427" s="146"/>
      <c r="C427" s="146"/>
      <c r="D427" s="146"/>
      <c r="E427" s="146"/>
      <c r="F427" s="146"/>
      <c r="G427" s="146"/>
      <c r="H427" s="146"/>
      <c r="I427" s="146"/>
      <c r="J427" s="146"/>
      <c r="K427" s="146"/>
      <c r="L427" s="146"/>
      <c r="M427" s="146"/>
      <c r="N427" s="146"/>
      <c r="O427" s="146"/>
      <c r="P427" s="146"/>
    </row>
    <row r="428" spans="2:16" x14ac:dyDescent="0.2">
      <c r="B428" s="146"/>
      <c r="C428" s="146"/>
      <c r="D428" s="146"/>
      <c r="E428" s="146"/>
      <c r="F428" s="146"/>
      <c r="G428" s="146"/>
      <c r="H428" s="146"/>
      <c r="I428" s="146"/>
      <c r="J428" s="146"/>
      <c r="K428" s="146"/>
      <c r="L428" s="146"/>
      <c r="M428" s="146"/>
      <c r="N428" s="146"/>
      <c r="O428" s="146"/>
      <c r="P428" s="146"/>
    </row>
    <row r="429" spans="2:16" x14ac:dyDescent="0.2">
      <c r="B429" s="146"/>
      <c r="C429" s="146"/>
      <c r="D429" s="146"/>
      <c r="E429" s="146"/>
      <c r="F429" s="146"/>
      <c r="G429" s="146"/>
      <c r="H429" s="146"/>
      <c r="I429" s="146"/>
      <c r="J429" s="146"/>
      <c r="K429" s="146"/>
      <c r="L429" s="146"/>
      <c r="M429" s="146"/>
      <c r="N429" s="146"/>
      <c r="O429" s="146"/>
      <c r="P429" s="146"/>
    </row>
    <row r="430" spans="2:16" x14ac:dyDescent="0.2">
      <c r="B430" s="146"/>
      <c r="C430" s="146"/>
      <c r="D430" s="146"/>
      <c r="E430" s="146"/>
      <c r="F430" s="146"/>
      <c r="G430" s="146"/>
      <c r="H430" s="146"/>
      <c r="I430" s="146"/>
      <c r="J430" s="146"/>
      <c r="K430" s="146"/>
      <c r="L430" s="146"/>
      <c r="M430" s="146"/>
      <c r="N430" s="146"/>
      <c r="O430" s="146"/>
      <c r="P430" s="146"/>
    </row>
    <row r="431" spans="2:16" x14ac:dyDescent="0.2">
      <c r="B431" s="146"/>
      <c r="C431" s="146"/>
      <c r="D431" s="146"/>
      <c r="E431" s="146"/>
      <c r="F431" s="146"/>
      <c r="G431" s="146"/>
      <c r="H431" s="146"/>
      <c r="I431" s="146"/>
      <c r="J431" s="146"/>
      <c r="K431" s="146"/>
      <c r="L431" s="146"/>
      <c r="M431" s="146"/>
      <c r="N431" s="146"/>
      <c r="O431" s="146"/>
      <c r="P431" s="146"/>
    </row>
    <row r="432" spans="2:16" x14ac:dyDescent="0.2">
      <c r="B432" s="146"/>
      <c r="C432" s="146"/>
      <c r="D432" s="146"/>
      <c r="E432" s="146"/>
      <c r="F432" s="146"/>
      <c r="G432" s="146"/>
      <c r="H432" s="146"/>
      <c r="I432" s="146"/>
      <c r="J432" s="146"/>
      <c r="K432" s="146"/>
      <c r="L432" s="146"/>
      <c r="M432" s="146"/>
      <c r="N432" s="146"/>
      <c r="O432" s="146"/>
      <c r="P432" s="146"/>
    </row>
    <row r="433" spans="2:16" x14ac:dyDescent="0.2">
      <c r="B433" s="146"/>
      <c r="C433" s="146"/>
      <c r="D433" s="146"/>
      <c r="E433" s="146"/>
      <c r="F433" s="146"/>
      <c r="G433" s="146"/>
      <c r="H433" s="146"/>
      <c r="I433" s="146"/>
      <c r="J433" s="146"/>
      <c r="K433" s="146"/>
      <c r="L433" s="146"/>
      <c r="M433" s="146"/>
      <c r="N433" s="146"/>
      <c r="O433" s="146"/>
      <c r="P433" s="146"/>
    </row>
    <row r="434" spans="2:16" x14ac:dyDescent="0.2">
      <c r="B434" s="146"/>
      <c r="C434" s="146"/>
      <c r="D434" s="146"/>
      <c r="E434" s="146"/>
      <c r="F434" s="146"/>
      <c r="G434" s="146"/>
      <c r="H434" s="146"/>
      <c r="I434" s="146"/>
      <c r="J434" s="146"/>
      <c r="K434" s="146"/>
      <c r="L434" s="146"/>
      <c r="M434" s="146"/>
      <c r="N434" s="146"/>
      <c r="O434" s="146"/>
      <c r="P434" s="146"/>
    </row>
    <row r="435" spans="2:16" x14ac:dyDescent="0.2">
      <c r="B435" s="146"/>
      <c r="C435" s="146"/>
      <c r="D435" s="146"/>
      <c r="E435" s="146"/>
      <c r="F435" s="146"/>
      <c r="G435" s="146"/>
      <c r="H435" s="146"/>
      <c r="I435" s="146"/>
      <c r="J435" s="146"/>
      <c r="K435" s="146"/>
      <c r="L435" s="146"/>
      <c r="M435" s="146"/>
      <c r="N435" s="146"/>
      <c r="O435" s="146"/>
      <c r="P435" s="146"/>
    </row>
    <row r="436" spans="2:16" x14ac:dyDescent="0.2">
      <c r="B436" s="146"/>
      <c r="C436" s="146"/>
      <c r="D436" s="146"/>
      <c r="E436" s="146"/>
      <c r="F436" s="146"/>
      <c r="G436" s="146"/>
      <c r="H436" s="146"/>
      <c r="I436" s="146"/>
      <c r="J436" s="146"/>
      <c r="K436" s="146"/>
      <c r="L436" s="146"/>
      <c r="M436" s="146"/>
      <c r="N436" s="146"/>
      <c r="O436" s="146"/>
      <c r="P436" s="146"/>
    </row>
    <row r="437" spans="2:16" x14ac:dyDescent="0.2">
      <c r="B437" s="146"/>
      <c r="C437" s="146"/>
      <c r="D437" s="146"/>
      <c r="E437" s="146"/>
      <c r="F437" s="146"/>
      <c r="G437" s="146"/>
      <c r="H437" s="146"/>
      <c r="I437" s="146"/>
      <c r="J437" s="146"/>
      <c r="K437" s="146"/>
      <c r="L437" s="146"/>
      <c r="M437" s="146"/>
      <c r="N437" s="146"/>
      <c r="O437" s="146"/>
      <c r="P437" s="146"/>
    </row>
    <row r="438" spans="2:16" x14ac:dyDescent="0.2">
      <c r="B438" s="146"/>
      <c r="C438" s="146"/>
      <c r="D438" s="146"/>
      <c r="E438" s="146"/>
      <c r="F438" s="146"/>
      <c r="G438" s="146"/>
      <c r="H438" s="146"/>
      <c r="I438" s="146"/>
      <c r="J438" s="146"/>
      <c r="K438" s="146"/>
      <c r="L438" s="146"/>
      <c r="M438" s="146"/>
      <c r="N438" s="146"/>
      <c r="O438" s="146"/>
      <c r="P438" s="146"/>
    </row>
    <row r="439" spans="2:16" x14ac:dyDescent="0.2">
      <c r="B439" s="146"/>
      <c r="C439" s="146"/>
      <c r="D439" s="146"/>
      <c r="E439" s="146"/>
      <c r="F439" s="146"/>
      <c r="G439" s="146"/>
      <c r="H439" s="146"/>
      <c r="I439" s="146"/>
      <c r="J439" s="146"/>
      <c r="K439" s="146"/>
      <c r="L439" s="146"/>
      <c r="M439" s="146"/>
      <c r="N439" s="146"/>
      <c r="O439" s="146"/>
      <c r="P439" s="146"/>
    </row>
    <row r="440" spans="2:16" x14ac:dyDescent="0.2">
      <c r="B440" s="146"/>
      <c r="C440" s="146"/>
      <c r="D440" s="146"/>
      <c r="E440" s="146"/>
      <c r="F440" s="146"/>
      <c r="G440" s="146"/>
      <c r="H440" s="146"/>
      <c r="I440" s="146"/>
      <c r="J440" s="146"/>
      <c r="K440" s="146"/>
      <c r="L440" s="146"/>
      <c r="M440" s="146"/>
      <c r="N440" s="146"/>
      <c r="O440" s="146"/>
      <c r="P440" s="146"/>
    </row>
    <row r="441" spans="2:16" x14ac:dyDescent="0.2">
      <c r="B441" s="146"/>
      <c r="C441" s="146"/>
      <c r="D441" s="146"/>
      <c r="E441" s="146"/>
      <c r="F441" s="146"/>
      <c r="G441" s="146"/>
      <c r="H441" s="146"/>
      <c r="I441" s="146"/>
      <c r="J441" s="146"/>
      <c r="K441" s="146"/>
      <c r="L441" s="146"/>
      <c r="M441" s="146"/>
      <c r="N441" s="146"/>
      <c r="O441" s="146"/>
      <c r="P441" s="146"/>
    </row>
    <row r="442" spans="2:16" x14ac:dyDescent="0.2">
      <c r="B442" s="146"/>
      <c r="C442" s="146"/>
      <c r="D442" s="146"/>
      <c r="E442" s="146"/>
      <c r="F442" s="146"/>
      <c r="G442" s="146"/>
      <c r="H442" s="146"/>
      <c r="I442" s="146"/>
      <c r="J442" s="146"/>
      <c r="K442" s="146"/>
      <c r="L442" s="146"/>
      <c r="M442" s="146"/>
      <c r="N442" s="146"/>
      <c r="O442" s="146"/>
      <c r="P442" s="146"/>
    </row>
    <row r="443" spans="2:16" x14ac:dyDescent="0.2">
      <c r="B443" s="146"/>
      <c r="C443" s="146"/>
      <c r="D443" s="146"/>
      <c r="E443" s="146"/>
      <c r="F443" s="146"/>
      <c r="G443" s="146"/>
      <c r="H443" s="146"/>
      <c r="I443" s="146"/>
      <c r="J443" s="146"/>
      <c r="K443" s="146"/>
      <c r="L443" s="146"/>
      <c r="M443" s="146"/>
      <c r="N443" s="146"/>
      <c r="O443" s="146"/>
      <c r="P443" s="146"/>
    </row>
    <row r="444" spans="2:16" x14ac:dyDescent="0.2">
      <c r="B444" s="146"/>
      <c r="C444" s="146"/>
      <c r="D444" s="146"/>
      <c r="E444" s="146"/>
      <c r="F444" s="146"/>
      <c r="G444" s="146"/>
      <c r="H444" s="146"/>
      <c r="I444" s="146"/>
      <c r="J444" s="146"/>
      <c r="K444" s="146"/>
      <c r="L444" s="146"/>
      <c r="M444" s="146"/>
      <c r="N444" s="146"/>
      <c r="O444" s="146"/>
      <c r="P444" s="146"/>
    </row>
    <row r="445" spans="2:16" x14ac:dyDescent="0.2">
      <c r="B445" s="146"/>
      <c r="C445" s="146"/>
      <c r="D445" s="146"/>
      <c r="E445" s="146"/>
      <c r="F445" s="146"/>
      <c r="G445" s="146"/>
      <c r="H445" s="146"/>
      <c r="I445" s="146"/>
      <c r="J445" s="146"/>
      <c r="K445" s="146"/>
      <c r="L445" s="146"/>
      <c r="M445" s="146"/>
      <c r="N445" s="146"/>
      <c r="O445" s="146"/>
      <c r="P445" s="146"/>
    </row>
    <row r="446" spans="2:16" x14ac:dyDescent="0.2">
      <c r="B446" s="146"/>
      <c r="C446" s="146"/>
      <c r="D446" s="146"/>
      <c r="E446" s="146"/>
      <c r="F446" s="146"/>
      <c r="G446" s="146"/>
      <c r="H446" s="146"/>
      <c r="I446" s="146"/>
      <c r="J446" s="146"/>
      <c r="K446" s="146"/>
      <c r="L446" s="146"/>
      <c r="M446" s="146"/>
      <c r="N446" s="146"/>
      <c r="O446" s="146"/>
      <c r="P446" s="146"/>
    </row>
    <row r="447" spans="2:16" x14ac:dyDescent="0.2">
      <c r="B447" s="146"/>
      <c r="C447" s="146"/>
      <c r="D447" s="146"/>
      <c r="E447" s="146"/>
      <c r="F447" s="146"/>
      <c r="G447" s="146"/>
      <c r="H447" s="146"/>
      <c r="I447" s="146"/>
      <c r="J447" s="146"/>
      <c r="K447" s="146"/>
      <c r="L447" s="146"/>
      <c r="M447" s="146"/>
      <c r="N447" s="146"/>
      <c r="O447" s="146"/>
      <c r="P447" s="146"/>
    </row>
    <row r="448" spans="2:16" x14ac:dyDescent="0.2">
      <c r="B448" s="146"/>
      <c r="C448" s="146"/>
      <c r="D448" s="146"/>
      <c r="E448" s="146"/>
      <c r="F448" s="146"/>
      <c r="G448" s="146"/>
      <c r="H448" s="146"/>
      <c r="I448" s="146"/>
      <c r="J448" s="146"/>
      <c r="K448" s="146"/>
      <c r="L448" s="146"/>
      <c r="M448" s="146"/>
      <c r="N448" s="146"/>
      <c r="O448" s="146"/>
      <c r="P448" s="146"/>
    </row>
    <row r="449" spans="2:16" x14ac:dyDescent="0.2">
      <c r="B449" s="146"/>
      <c r="C449" s="146"/>
      <c r="D449" s="146"/>
      <c r="E449" s="146"/>
      <c r="F449" s="146"/>
      <c r="G449" s="146"/>
      <c r="H449" s="146"/>
      <c r="I449" s="146"/>
      <c r="J449" s="146"/>
      <c r="K449" s="146"/>
      <c r="L449" s="146"/>
      <c r="M449" s="146"/>
      <c r="N449" s="146"/>
      <c r="O449" s="146"/>
      <c r="P449" s="146"/>
    </row>
    <row r="450" spans="2:16" x14ac:dyDescent="0.2">
      <c r="B450" s="146"/>
      <c r="C450" s="146"/>
      <c r="D450" s="146"/>
      <c r="E450" s="146"/>
      <c r="F450" s="146"/>
      <c r="G450" s="146"/>
      <c r="H450" s="146"/>
      <c r="I450" s="146"/>
      <c r="J450" s="146"/>
      <c r="K450" s="146"/>
      <c r="L450" s="146"/>
      <c r="M450" s="146"/>
      <c r="N450" s="146"/>
      <c r="O450" s="146"/>
      <c r="P450" s="146"/>
    </row>
    <row r="451" spans="2:16" x14ac:dyDescent="0.2">
      <c r="B451" s="146"/>
      <c r="C451" s="146"/>
      <c r="D451" s="146"/>
      <c r="E451" s="146"/>
      <c r="F451" s="146"/>
      <c r="G451" s="146"/>
      <c r="H451" s="146"/>
      <c r="I451" s="146"/>
      <c r="J451" s="146"/>
      <c r="K451" s="146"/>
      <c r="L451" s="146"/>
      <c r="M451" s="146"/>
      <c r="N451" s="146"/>
      <c r="O451" s="146"/>
      <c r="P451" s="146"/>
    </row>
    <row r="452" spans="2:16" x14ac:dyDescent="0.2">
      <c r="B452" s="146"/>
      <c r="C452" s="146"/>
      <c r="D452" s="146"/>
      <c r="E452" s="146"/>
      <c r="F452" s="146"/>
      <c r="G452" s="146"/>
      <c r="H452" s="146"/>
      <c r="I452" s="146"/>
      <c r="J452" s="146"/>
      <c r="K452" s="146"/>
      <c r="L452" s="146"/>
      <c r="M452" s="146"/>
      <c r="N452" s="146"/>
      <c r="O452" s="146"/>
      <c r="P452" s="146"/>
    </row>
    <row r="453" spans="2:16" x14ac:dyDescent="0.2">
      <c r="B453" s="146"/>
      <c r="C453" s="146"/>
      <c r="D453" s="146"/>
      <c r="E453" s="146"/>
      <c r="F453" s="146"/>
      <c r="G453" s="146"/>
      <c r="H453" s="146"/>
      <c r="I453" s="146"/>
      <c r="J453" s="146"/>
      <c r="K453" s="146"/>
      <c r="L453" s="146"/>
      <c r="M453" s="146"/>
      <c r="N453" s="146"/>
      <c r="O453" s="146"/>
      <c r="P453" s="146"/>
    </row>
    <row r="454" spans="2:16" x14ac:dyDescent="0.2">
      <c r="B454" s="146"/>
      <c r="C454" s="146"/>
      <c r="D454" s="146"/>
      <c r="E454" s="146"/>
      <c r="F454" s="146"/>
      <c r="G454" s="146"/>
      <c r="H454" s="146"/>
      <c r="I454" s="146"/>
      <c r="J454" s="146"/>
      <c r="K454" s="146"/>
      <c r="L454" s="146"/>
      <c r="M454" s="146"/>
      <c r="N454" s="146"/>
      <c r="O454" s="146"/>
      <c r="P454" s="146"/>
    </row>
    <row r="455" spans="2:16" x14ac:dyDescent="0.2">
      <c r="B455" s="146"/>
      <c r="C455" s="146"/>
      <c r="D455" s="146"/>
      <c r="E455" s="146"/>
      <c r="F455" s="146"/>
      <c r="G455" s="146"/>
      <c r="H455" s="146"/>
      <c r="I455" s="146"/>
      <c r="J455" s="146"/>
      <c r="K455" s="146"/>
      <c r="L455" s="146"/>
      <c r="M455" s="146"/>
      <c r="N455" s="146"/>
      <c r="O455" s="146"/>
      <c r="P455" s="146"/>
    </row>
    <row r="456" spans="2:16" x14ac:dyDescent="0.2">
      <c r="B456" s="146"/>
      <c r="C456" s="146"/>
      <c r="D456" s="146"/>
      <c r="E456" s="146"/>
      <c r="F456" s="146"/>
      <c r="G456" s="146"/>
      <c r="H456" s="146"/>
      <c r="I456" s="146"/>
      <c r="J456" s="146"/>
      <c r="K456" s="146"/>
      <c r="L456" s="146"/>
      <c r="M456" s="146"/>
      <c r="N456" s="146"/>
      <c r="O456" s="146"/>
      <c r="P456" s="146"/>
    </row>
    <row r="457" spans="2:16" x14ac:dyDescent="0.2">
      <c r="B457" s="146"/>
      <c r="C457" s="146"/>
      <c r="D457" s="146"/>
      <c r="E457" s="146"/>
      <c r="F457" s="146"/>
      <c r="G457" s="146"/>
      <c r="H457" s="146"/>
      <c r="I457" s="146"/>
      <c r="J457" s="146"/>
      <c r="K457" s="146"/>
      <c r="L457" s="146"/>
      <c r="M457" s="146"/>
      <c r="N457" s="146"/>
      <c r="O457" s="146"/>
      <c r="P457" s="146"/>
    </row>
    <row r="458" spans="2:16" x14ac:dyDescent="0.2">
      <c r="B458" s="146"/>
      <c r="C458" s="146"/>
      <c r="D458" s="146"/>
      <c r="E458" s="146"/>
      <c r="F458" s="146"/>
      <c r="G458" s="146"/>
      <c r="H458" s="146"/>
      <c r="I458" s="146"/>
      <c r="J458" s="146"/>
      <c r="K458" s="146"/>
      <c r="L458" s="146"/>
      <c r="M458" s="146"/>
      <c r="N458" s="146"/>
      <c r="O458" s="146"/>
      <c r="P458" s="146"/>
    </row>
    <row r="459" spans="2:16" x14ac:dyDescent="0.2">
      <c r="B459" s="146"/>
      <c r="C459" s="146"/>
      <c r="D459" s="146"/>
      <c r="E459" s="146"/>
      <c r="F459" s="146"/>
      <c r="G459" s="146"/>
      <c r="H459" s="146"/>
      <c r="I459" s="146"/>
      <c r="J459" s="146"/>
      <c r="K459" s="146"/>
      <c r="L459" s="146"/>
      <c r="M459" s="146"/>
      <c r="N459" s="146"/>
      <c r="O459" s="146"/>
      <c r="P459" s="146"/>
    </row>
    <row r="460" spans="2:16" x14ac:dyDescent="0.2">
      <c r="B460" s="146"/>
      <c r="C460" s="146"/>
      <c r="D460" s="146"/>
      <c r="E460" s="146"/>
      <c r="F460" s="146"/>
      <c r="G460" s="146"/>
      <c r="H460" s="146"/>
      <c r="I460" s="146"/>
      <c r="J460" s="146"/>
      <c r="K460" s="146"/>
      <c r="L460" s="146"/>
      <c r="M460" s="146"/>
      <c r="N460" s="146"/>
      <c r="O460" s="146"/>
      <c r="P460" s="146"/>
    </row>
    <row r="461" spans="2:16" x14ac:dyDescent="0.2">
      <c r="B461" s="146"/>
      <c r="C461" s="146"/>
      <c r="D461" s="146"/>
      <c r="E461" s="146"/>
      <c r="F461" s="146"/>
      <c r="G461" s="146"/>
      <c r="H461" s="146"/>
      <c r="I461" s="146"/>
      <c r="J461" s="146"/>
      <c r="K461" s="146"/>
      <c r="L461" s="146"/>
      <c r="M461" s="146"/>
      <c r="N461" s="146"/>
      <c r="O461" s="146"/>
      <c r="P461" s="146"/>
    </row>
    <row r="462" spans="2:16" x14ac:dyDescent="0.2">
      <c r="B462" s="146"/>
      <c r="C462" s="146"/>
      <c r="D462" s="146"/>
      <c r="E462" s="146"/>
      <c r="F462" s="146"/>
      <c r="G462" s="146"/>
      <c r="H462" s="146"/>
      <c r="I462" s="146"/>
      <c r="J462" s="146"/>
      <c r="K462" s="146"/>
      <c r="L462" s="146"/>
      <c r="M462" s="146"/>
      <c r="N462" s="146"/>
      <c r="O462" s="146"/>
      <c r="P462" s="146"/>
    </row>
    <row r="463" spans="2:16" x14ac:dyDescent="0.2">
      <c r="B463" s="146"/>
      <c r="C463" s="146"/>
      <c r="D463" s="146"/>
      <c r="E463" s="146"/>
      <c r="F463" s="146"/>
      <c r="G463" s="146"/>
      <c r="H463" s="146"/>
      <c r="I463" s="146"/>
      <c r="J463" s="146"/>
      <c r="K463" s="146"/>
      <c r="L463" s="146"/>
      <c r="M463" s="146"/>
      <c r="N463" s="146"/>
      <c r="O463" s="146"/>
      <c r="P463" s="146"/>
    </row>
    <row r="464" spans="2:16" x14ac:dyDescent="0.2">
      <c r="B464" s="146"/>
      <c r="C464" s="146"/>
      <c r="D464" s="146"/>
      <c r="E464" s="146"/>
      <c r="F464" s="146"/>
      <c r="G464" s="146"/>
      <c r="H464" s="146"/>
      <c r="I464" s="146"/>
      <c r="J464" s="146"/>
      <c r="K464" s="146"/>
      <c r="L464" s="146"/>
      <c r="M464" s="146"/>
      <c r="N464" s="146"/>
      <c r="O464" s="146"/>
      <c r="P464" s="146"/>
    </row>
    <row r="465" spans="2:16" x14ac:dyDescent="0.2">
      <c r="B465" s="146"/>
      <c r="C465" s="146"/>
      <c r="D465" s="146"/>
      <c r="E465" s="146"/>
      <c r="F465" s="146"/>
      <c r="G465" s="146"/>
      <c r="H465" s="146"/>
      <c r="I465" s="146"/>
      <c r="J465" s="146"/>
      <c r="K465" s="146"/>
      <c r="L465" s="146"/>
      <c r="M465" s="146"/>
      <c r="N465" s="146"/>
      <c r="O465" s="146"/>
      <c r="P465" s="146"/>
    </row>
    <row r="466" spans="2:16" x14ac:dyDescent="0.2">
      <c r="B466" s="146"/>
      <c r="C466" s="146"/>
      <c r="D466" s="146"/>
      <c r="E466" s="146"/>
      <c r="F466" s="146"/>
      <c r="G466" s="146"/>
      <c r="H466" s="146"/>
      <c r="I466" s="146"/>
      <c r="J466" s="146"/>
      <c r="K466" s="146"/>
      <c r="L466" s="146"/>
      <c r="M466" s="146"/>
      <c r="N466" s="146"/>
      <c r="O466" s="146"/>
      <c r="P466" s="146"/>
    </row>
    <row r="467" spans="2:16" x14ac:dyDescent="0.2">
      <c r="B467" s="146"/>
      <c r="C467" s="146"/>
      <c r="D467" s="146"/>
      <c r="E467" s="146"/>
      <c r="F467" s="146"/>
      <c r="G467" s="146"/>
      <c r="H467" s="146"/>
      <c r="I467" s="146"/>
      <c r="J467" s="146"/>
      <c r="K467" s="146"/>
      <c r="L467" s="146"/>
      <c r="M467" s="146"/>
      <c r="N467" s="146"/>
      <c r="O467" s="146"/>
      <c r="P467" s="146"/>
    </row>
    <row r="468" spans="2:16" x14ac:dyDescent="0.2">
      <c r="B468" s="146"/>
      <c r="C468" s="146"/>
      <c r="D468" s="146"/>
      <c r="E468" s="146"/>
      <c r="F468" s="146"/>
      <c r="G468" s="146"/>
      <c r="H468" s="146"/>
      <c r="I468" s="146"/>
      <c r="J468" s="146"/>
      <c r="K468" s="146"/>
      <c r="L468" s="146"/>
      <c r="M468" s="146"/>
      <c r="N468" s="146"/>
      <c r="O468" s="146"/>
      <c r="P468" s="146"/>
    </row>
    <row r="469" spans="2:16" x14ac:dyDescent="0.2">
      <c r="B469" s="146"/>
      <c r="C469" s="146"/>
      <c r="D469" s="146"/>
      <c r="E469" s="146"/>
      <c r="F469" s="146"/>
      <c r="G469" s="146"/>
      <c r="H469" s="146"/>
      <c r="I469" s="146"/>
      <c r="J469" s="146"/>
      <c r="K469" s="146"/>
      <c r="L469" s="146"/>
      <c r="M469" s="146"/>
      <c r="N469" s="146"/>
      <c r="O469" s="146"/>
      <c r="P469" s="146"/>
    </row>
    <row r="470" spans="2:16" x14ac:dyDescent="0.2">
      <c r="B470" s="146"/>
      <c r="C470" s="146"/>
      <c r="D470" s="146"/>
      <c r="E470" s="146"/>
      <c r="F470" s="146"/>
      <c r="G470" s="146"/>
      <c r="H470" s="146"/>
      <c r="I470" s="146"/>
      <c r="J470" s="146"/>
      <c r="K470" s="146"/>
      <c r="L470" s="146"/>
      <c r="M470" s="146"/>
      <c r="N470" s="146"/>
      <c r="O470" s="146"/>
      <c r="P470" s="146"/>
    </row>
    <row r="471" spans="2:16" x14ac:dyDescent="0.2">
      <c r="B471" s="146"/>
      <c r="C471" s="146"/>
      <c r="D471" s="146"/>
      <c r="E471" s="146"/>
      <c r="F471" s="146"/>
      <c r="G471" s="146"/>
      <c r="H471" s="146"/>
      <c r="I471" s="146"/>
      <c r="J471" s="146"/>
      <c r="K471" s="146"/>
      <c r="L471" s="146"/>
      <c r="M471" s="146"/>
      <c r="N471" s="146"/>
      <c r="O471" s="146"/>
      <c r="P471" s="146"/>
    </row>
    <row r="472" spans="2:16" x14ac:dyDescent="0.2">
      <c r="B472" s="146"/>
      <c r="C472" s="146"/>
      <c r="D472" s="146"/>
      <c r="E472" s="146"/>
      <c r="F472" s="146"/>
      <c r="G472" s="146"/>
      <c r="H472" s="146"/>
      <c r="I472" s="146"/>
      <c r="J472" s="146"/>
      <c r="K472" s="146"/>
      <c r="L472" s="146"/>
      <c r="M472" s="146"/>
      <c r="N472" s="146"/>
      <c r="O472" s="146"/>
      <c r="P472" s="146"/>
    </row>
    <row r="473" spans="2:16" x14ac:dyDescent="0.2">
      <c r="B473" s="146"/>
      <c r="C473" s="146"/>
      <c r="D473" s="146"/>
      <c r="E473" s="146"/>
      <c r="F473" s="146"/>
      <c r="G473" s="146"/>
      <c r="H473" s="146"/>
      <c r="I473" s="146"/>
      <c r="J473" s="146"/>
      <c r="K473" s="146"/>
      <c r="L473" s="146"/>
      <c r="M473" s="146"/>
      <c r="N473" s="146"/>
      <c r="O473" s="146"/>
      <c r="P473" s="146"/>
    </row>
    <row r="474" spans="2:16" x14ac:dyDescent="0.2">
      <c r="B474" s="146"/>
      <c r="C474" s="146"/>
      <c r="D474" s="146"/>
      <c r="E474" s="146"/>
      <c r="F474" s="146"/>
      <c r="G474" s="146"/>
      <c r="H474" s="146"/>
      <c r="I474" s="146"/>
      <c r="J474" s="146"/>
      <c r="K474" s="146"/>
      <c r="L474" s="146"/>
      <c r="M474" s="146"/>
      <c r="N474" s="146"/>
      <c r="O474" s="146"/>
      <c r="P474" s="146"/>
    </row>
    <row r="475" spans="2:16" x14ac:dyDescent="0.2">
      <c r="B475" s="146"/>
      <c r="C475" s="146"/>
      <c r="D475" s="146"/>
      <c r="E475" s="146"/>
      <c r="F475" s="146"/>
      <c r="G475" s="146"/>
      <c r="H475" s="146"/>
      <c r="I475" s="146"/>
      <c r="J475" s="146"/>
      <c r="K475" s="146"/>
      <c r="L475" s="146"/>
      <c r="M475" s="146"/>
      <c r="N475" s="146"/>
      <c r="O475" s="146"/>
      <c r="P475" s="146"/>
    </row>
    <row r="476" spans="2:16" x14ac:dyDescent="0.2">
      <c r="B476" s="146"/>
      <c r="C476" s="146"/>
      <c r="D476" s="146"/>
      <c r="E476" s="146"/>
      <c r="F476" s="146"/>
      <c r="G476" s="146"/>
      <c r="H476" s="146"/>
      <c r="I476" s="146"/>
      <c r="J476" s="146"/>
      <c r="K476" s="146"/>
      <c r="L476" s="146"/>
      <c r="M476" s="146"/>
      <c r="N476" s="146"/>
      <c r="O476" s="146"/>
      <c r="P476" s="146"/>
    </row>
    <row r="477" spans="2:16" x14ac:dyDescent="0.2">
      <c r="B477" s="146"/>
      <c r="C477" s="146"/>
      <c r="D477" s="146"/>
      <c r="E477" s="146"/>
      <c r="F477" s="146"/>
      <c r="G477" s="146"/>
      <c r="H477" s="146"/>
      <c r="I477" s="146"/>
      <c r="J477" s="146"/>
      <c r="K477" s="146"/>
      <c r="L477" s="146"/>
      <c r="M477" s="146"/>
      <c r="N477" s="146"/>
      <c r="O477" s="146"/>
      <c r="P477" s="146"/>
    </row>
    <row r="478" spans="2:16" x14ac:dyDescent="0.2">
      <c r="B478" s="146"/>
      <c r="C478" s="146"/>
      <c r="D478" s="146"/>
      <c r="E478" s="146"/>
      <c r="F478" s="146"/>
      <c r="G478" s="146"/>
      <c r="H478" s="146"/>
      <c r="I478" s="146"/>
      <c r="J478" s="146"/>
      <c r="K478" s="146"/>
      <c r="L478" s="146"/>
      <c r="M478" s="146"/>
      <c r="N478" s="146"/>
      <c r="O478" s="146"/>
      <c r="P478" s="146"/>
    </row>
    <row r="479" spans="2:16" x14ac:dyDescent="0.2">
      <c r="B479" s="146"/>
      <c r="C479" s="146"/>
      <c r="D479" s="146"/>
      <c r="E479" s="146"/>
      <c r="F479" s="146"/>
      <c r="G479" s="146"/>
      <c r="H479" s="146"/>
      <c r="I479" s="146"/>
      <c r="J479" s="146"/>
      <c r="K479" s="146"/>
      <c r="L479" s="146"/>
      <c r="M479" s="146"/>
      <c r="N479" s="146"/>
      <c r="O479" s="146"/>
      <c r="P479" s="146"/>
    </row>
    <row r="480" spans="2:16" x14ac:dyDescent="0.2">
      <c r="B480" s="146"/>
      <c r="C480" s="146"/>
      <c r="D480" s="146"/>
      <c r="E480" s="146"/>
      <c r="F480" s="146"/>
      <c r="G480" s="146"/>
      <c r="H480" s="146"/>
      <c r="I480" s="146"/>
      <c r="J480" s="146"/>
      <c r="K480" s="146"/>
      <c r="L480" s="146"/>
      <c r="M480" s="146"/>
      <c r="N480" s="146"/>
      <c r="O480" s="146"/>
      <c r="P480" s="146"/>
    </row>
    <row r="481" spans="2:16" x14ac:dyDescent="0.2">
      <c r="B481" s="146"/>
      <c r="C481" s="146"/>
      <c r="D481" s="146"/>
      <c r="E481" s="146"/>
      <c r="F481" s="146"/>
      <c r="G481" s="146"/>
      <c r="H481" s="146"/>
      <c r="I481" s="146"/>
      <c r="J481" s="146"/>
      <c r="K481" s="146"/>
      <c r="L481" s="146"/>
      <c r="M481" s="146"/>
      <c r="N481" s="146"/>
      <c r="O481" s="146"/>
      <c r="P481" s="146"/>
    </row>
    <row r="482" spans="2:16" x14ac:dyDescent="0.2">
      <c r="B482" s="146"/>
      <c r="C482" s="146"/>
      <c r="D482" s="146"/>
      <c r="E482" s="146"/>
      <c r="F482" s="146"/>
      <c r="G482" s="146"/>
      <c r="H482" s="146"/>
      <c r="I482" s="146"/>
      <c r="J482" s="146"/>
      <c r="K482" s="146"/>
      <c r="L482" s="146"/>
      <c r="M482" s="146"/>
      <c r="N482" s="146"/>
      <c r="O482" s="146"/>
      <c r="P482" s="146"/>
    </row>
    <row r="483" spans="2:16" x14ac:dyDescent="0.2">
      <c r="B483" s="146"/>
      <c r="C483" s="146"/>
      <c r="D483" s="146"/>
      <c r="E483" s="146"/>
      <c r="F483" s="146"/>
      <c r="G483" s="146"/>
      <c r="H483" s="146"/>
      <c r="I483" s="146"/>
      <c r="J483" s="146"/>
      <c r="K483" s="146"/>
      <c r="L483" s="146"/>
      <c r="M483" s="146"/>
      <c r="N483" s="146"/>
      <c r="O483" s="146"/>
      <c r="P483" s="146"/>
    </row>
    <row r="484" spans="2:16" x14ac:dyDescent="0.2">
      <c r="B484" s="146"/>
      <c r="C484" s="146"/>
      <c r="D484" s="146"/>
      <c r="E484" s="146"/>
      <c r="F484" s="146"/>
      <c r="G484" s="146"/>
      <c r="H484" s="146"/>
      <c r="I484" s="146"/>
      <c r="J484" s="146"/>
      <c r="K484" s="146"/>
      <c r="L484" s="146"/>
      <c r="M484" s="146"/>
      <c r="N484" s="146"/>
      <c r="O484" s="146"/>
      <c r="P484" s="146"/>
    </row>
    <row r="485" spans="2:16" x14ac:dyDescent="0.2">
      <c r="B485" s="146"/>
      <c r="C485" s="146"/>
      <c r="D485" s="146"/>
      <c r="E485" s="146"/>
      <c r="F485" s="146"/>
      <c r="G485" s="146"/>
      <c r="H485" s="146"/>
      <c r="I485" s="146"/>
      <c r="J485" s="146"/>
      <c r="K485" s="146"/>
      <c r="L485" s="146"/>
      <c r="M485" s="146"/>
      <c r="N485" s="146"/>
      <c r="O485" s="146"/>
      <c r="P485" s="146"/>
    </row>
    <row r="486" spans="2:16" x14ac:dyDescent="0.2">
      <c r="B486" s="146"/>
      <c r="C486" s="146"/>
      <c r="D486" s="146"/>
      <c r="E486" s="146"/>
      <c r="F486" s="146"/>
      <c r="G486" s="146"/>
      <c r="H486" s="146"/>
      <c r="I486" s="146"/>
      <c r="J486" s="146"/>
      <c r="K486" s="146"/>
      <c r="L486" s="146"/>
      <c r="M486" s="146"/>
      <c r="N486" s="146"/>
      <c r="O486" s="146"/>
      <c r="P486" s="146"/>
    </row>
    <row r="487" spans="2:16" x14ac:dyDescent="0.2">
      <c r="B487" s="146"/>
      <c r="C487" s="146"/>
      <c r="D487" s="146"/>
      <c r="E487" s="146"/>
      <c r="F487" s="146"/>
      <c r="G487" s="146"/>
      <c r="H487" s="146"/>
      <c r="I487" s="146"/>
      <c r="J487" s="146"/>
      <c r="K487" s="146"/>
      <c r="L487" s="146"/>
      <c r="M487" s="146"/>
      <c r="N487" s="146"/>
      <c r="O487" s="146"/>
      <c r="P487" s="146"/>
    </row>
    <row r="488" spans="2:16" x14ac:dyDescent="0.2">
      <c r="B488" s="146"/>
      <c r="C488" s="146"/>
      <c r="D488" s="146"/>
      <c r="E488" s="146"/>
      <c r="F488" s="146"/>
      <c r="G488" s="146"/>
      <c r="H488" s="146"/>
      <c r="I488" s="146"/>
      <c r="J488" s="146"/>
      <c r="K488" s="146"/>
      <c r="L488" s="146"/>
      <c r="M488" s="146"/>
      <c r="N488" s="146"/>
      <c r="O488" s="146"/>
      <c r="P488" s="146"/>
    </row>
    <row r="489" spans="2:16" x14ac:dyDescent="0.2">
      <c r="B489" s="146"/>
      <c r="C489" s="146"/>
      <c r="D489" s="146"/>
      <c r="E489" s="146"/>
      <c r="F489" s="146"/>
      <c r="G489" s="146"/>
      <c r="H489" s="146"/>
      <c r="I489" s="146"/>
      <c r="J489" s="146"/>
      <c r="K489" s="146"/>
      <c r="L489" s="146"/>
      <c r="M489" s="146"/>
      <c r="N489" s="146"/>
      <c r="O489" s="146"/>
      <c r="P489" s="146"/>
    </row>
    <row r="490" spans="2:16" x14ac:dyDescent="0.2">
      <c r="B490" s="146"/>
      <c r="C490" s="146"/>
      <c r="D490" s="146"/>
      <c r="E490" s="146"/>
      <c r="F490" s="146"/>
      <c r="G490" s="146"/>
      <c r="H490" s="146"/>
      <c r="I490" s="146"/>
      <c r="J490" s="146"/>
      <c r="K490" s="146"/>
      <c r="L490" s="146"/>
      <c r="M490" s="146"/>
      <c r="N490" s="146"/>
      <c r="O490" s="146"/>
      <c r="P490" s="146"/>
    </row>
    <row r="491" spans="2:16" x14ac:dyDescent="0.2">
      <c r="B491" s="146"/>
      <c r="C491" s="146"/>
      <c r="D491" s="146"/>
      <c r="E491" s="146"/>
      <c r="F491" s="146"/>
      <c r="G491" s="146"/>
      <c r="H491" s="146"/>
      <c r="I491" s="146"/>
      <c r="J491" s="146"/>
      <c r="K491" s="146"/>
      <c r="L491" s="146"/>
      <c r="M491" s="146"/>
      <c r="N491" s="146"/>
      <c r="O491" s="146"/>
      <c r="P491" s="146"/>
    </row>
    <row r="492" spans="2:16" x14ac:dyDescent="0.2">
      <c r="B492" s="146"/>
      <c r="C492" s="146"/>
      <c r="D492" s="146"/>
      <c r="E492" s="146"/>
      <c r="F492" s="146"/>
      <c r="G492" s="146"/>
      <c r="H492" s="146"/>
      <c r="I492" s="146"/>
      <c r="J492" s="146"/>
      <c r="K492" s="146"/>
      <c r="L492" s="146"/>
      <c r="M492" s="146"/>
      <c r="N492" s="146"/>
      <c r="O492" s="146"/>
      <c r="P492" s="146"/>
    </row>
    <row r="493" spans="2:16" x14ac:dyDescent="0.2">
      <c r="B493" s="146"/>
      <c r="C493" s="146"/>
      <c r="D493" s="146"/>
      <c r="E493" s="146"/>
      <c r="F493" s="146"/>
      <c r="G493" s="146"/>
      <c r="H493" s="146"/>
      <c r="I493" s="146"/>
      <c r="J493" s="146"/>
      <c r="K493" s="146"/>
      <c r="L493" s="146"/>
      <c r="M493" s="146"/>
      <c r="N493" s="146"/>
      <c r="O493" s="146"/>
      <c r="P493" s="146"/>
    </row>
    <row r="494" spans="2:16" x14ac:dyDescent="0.2">
      <c r="B494" s="146"/>
      <c r="C494" s="146"/>
      <c r="D494" s="146"/>
      <c r="E494" s="146"/>
      <c r="F494" s="146"/>
      <c r="G494" s="146"/>
      <c r="H494" s="146"/>
      <c r="I494" s="146"/>
      <c r="J494" s="146"/>
      <c r="K494" s="146"/>
      <c r="L494" s="146"/>
      <c r="M494" s="146"/>
      <c r="N494" s="146"/>
      <c r="O494" s="146"/>
      <c r="P494" s="146"/>
    </row>
    <row r="495" spans="2:16" x14ac:dyDescent="0.2">
      <c r="B495" s="146"/>
      <c r="C495" s="146"/>
      <c r="D495" s="146"/>
      <c r="E495" s="146"/>
      <c r="F495" s="146"/>
      <c r="G495" s="146"/>
      <c r="H495" s="146"/>
      <c r="I495" s="146"/>
      <c r="J495" s="146"/>
      <c r="K495" s="146"/>
      <c r="L495" s="146"/>
      <c r="M495" s="146"/>
      <c r="N495" s="146"/>
      <c r="O495" s="146"/>
      <c r="P495" s="146"/>
    </row>
    <row r="496" spans="2:16" x14ac:dyDescent="0.2">
      <c r="B496" s="146"/>
      <c r="C496" s="146"/>
      <c r="D496" s="146"/>
      <c r="E496" s="146"/>
      <c r="F496" s="146"/>
      <c r="G496" s="146"/>
      <c r="H496" s="146"/>
      <c r="I496" s="146"/>
      <c r="J496" s="146"/>
      <c r="K496" s="146"/>
      <c r="L496" s="146"/>
      <c r="M496" s="146"/>
      <c r="N496" s="146"/>
      <c r="O496" s="146"/>
      <c r="P496" s="146"/>
    </row>
    <row r="497" spans="2:16" x14ac:dyDescent="0.2">
      <c r="B497" s="146"/>
      <c r="C497" s="146"/>
      <c r="D497" s="146"/>
      <c r="E497" s="146"/>
      <c r="F497" s="146"/>
      <c r="G497" s="146"/>
      <c r="H497" s="146"/>
      <c r="I497" s="146"/>
      <c r="J497" s="146"/>
      <c r="K497" s="146"/>
      <c r="L497" s="146"/>
      <c r="M497" s="146"/>
      <c r="N497" s="146"/>
      <c r="O497" s="146"/>
      <c r="P497" s="146"/>
    </row>
    <row r="498" spans="2:16" x14ac:dyDescent="0.2">
      <c r="B498" s="146"/>
      <c r="C498" s="146"/>
      <c r="D498" s="146"/>
      <c r="E498" s="146"/>
      <c r="F498" s="146"/>
      <c r="G498" s="146"/>
      <c r="H498" s="146"/>
      <c r="I498" s="146"/>
      <c r="J498" s="146"/>
      <c r="K498" s="146"/>
      <c r="L498" s="146"/>
      <c r="M498" s="146"/>
      <c r="N498" s="146"/>
      <c r="O498" s="146"/>
      <c r="P498" s="146"/>
    </row>
    <row r="499" spans="2:16" x14ac:dyDescent="0.2">
      <c r="B499" s="146"/>
      <c r="C499" s="146"/>
      <c r="D499" s="146"/>
      <c r="E499" s="146"/>
      <c r="F499" s="146"/>
      <c r="G499" s="146"/>
      <c r="H499" s="146"/>
      <c r="I499" s="146"/>
      <c r="J499" s="146"/>
      <c r="K499" s="146"/>
      <c r="L499" s="146"/>
      <c r="M499" s="146"/>
      <c r="N499" s="146"/>
      <c r="O499" s="146"/>
      <c r="P499" s="146"/>
    </row>
    <row r="500" spans="2:16" x14ac:dyDescent="0.2">
      <c r="B500" s="146"/>
      <c r="C500" s="146"/>
      <c r="D500" s="146"/>
      <c r="E500" s="146"/>
      <c r="F500" s="146"/>
      <c r="G500" s="146"/>
      <c r="H500" s="146"/>
      <c r="I500" s="146"/>
      <c r="J500" s="146"/>
      <c r="K500" s="146"/>
      <c r="L500" s="146"/>
      <c r="M500" s="146"/>
      <c r="N500" s="146"/>
      <c r="O500" s="146"/>
      <c r="P500" s="146"/>
    </row>
    <row r="501" spans="2:16" x14ac:dyDescent="0.2">
      <c r="B501" s="146"/>
      <c r="C501" s="146"/>
      <c r="D501" s="146"/>
      <c r="E501" s="146"/>
      <c r="F501" s="146"/>
      <c r="G501" s="146"/>
      <c r="H501" s="146"/>
      <c r="I501" s="146"/>
      <c r="J501" s="146"/>
      <c r="K501" s="146"/>
      <c r="L501" s="146"/>
      <c r="M501" s="146"/>
      <c r="N501" s="146"/>
      <c r="O501" s="146"/>
      <c r="P501" s="146"/>
    </row>
    <row r="502" spans="2:16" x14ac:dyDescent="0.2">
      <c r="B502" s="146"/>
      <c r="C502" s="146"/>
      <c r="D502" s="146"/>
      <c r="E502" s="146"/>
      <c r="F502" s="146"/>
      <c r="G502" s="146"/>
      <c r="H502" s="146"/>
      <c r="I502" s="146"/>
      <c r="J502" s="146"/>
      <c r="K502" s="146"/>
      <c r="L502" s="146"/>
      <c r="M502" s="146"/>
      <c r="N502" s="146"/>
      <c r="O502" s="146"/>
      <c r="P502" s="146"/>
    </row>
    <row r="503" spans="2:16" x14ac:dyDescent="0.2">
      <c r="B503" s="146"/>
      <c r="C503" s="146"/>
      <c r="D503" s="146"/>
      <c r="E503" s="146"/>
      <c r="F503" s="146"/>
      <c r="G503" s="146"/>
      <c r="H503" s="146"/>
      <c r="I503" s="146"/>
      <c r="J503" s="146"/>
      <c r="K503" s="146"/>
      <c r="L503" s="146"/>
      <c r="M503" s="146"/>
      <c r="N503" s="146"/>
      <c r="O503" s="146"/>
      <c r="P503" s="146"/>
    </row>
    <row r="504" spans="2:16" x14ac:dyDescent="0.2">
      <c r="B504" s="146"/>
      <c r="C504" s="146"/>
      <c r="D504" s="146"/>
      <c r="E504" s="146"/>
      <c r="F504" s="146"/>
      <c r="G504" s="146"/>
      <c r="H504" s="146"/>
      <c r="I504" s="146"/>
      <c r="J504" s="146"/>
      <c r="K504" s="146"/>
      <c r="L504" s="146"/>
      <c r="M504" s="146"/>
      <c r="N504" s="146"/>
      <c r="O504" s="146"/>
      <c r="P504" s="146"/>
    </row>
    <row r="505" spans="2:16" x14ac:dyDescent="0.2">
      <c r="B505" s="146"/>
      <c r="C505" s="146"/>
      <c r="D505" s="146"/>
      <c r="E505" s="146"/>
      <c r="F505" s="146"/>
      <c r="G505" s="146"/>
      <c r="H505" s="146"/>
      <c r="I505" s="146"/>
      <c r="J505" s="146"/>
      <c r="K505" s="146"/>
      <c r="L505" s="146"/>
      <c r="M505" s="146"/>
      <c r="N505" s="146"/>
      <c r="O505" s="146"/>
      <c r="P505" s="146"/>
    </row>
    <row r="506" spans="2:16" x14ac:dyDescent="0.2">
      <c r="B506" s="146"/>
      <c r="C506" s="146"/>
      <c r="D506" s="146"/>
      <c r="E506" s="146"/>
      <c r="F506" s="146"/>
      <c r="G506" s="146"/>
      <c r="H506" s="146"/>
      <c r="I506" s="146"/>
      <c r="J506" s="146"/>
      <c r="K506" s="146"/>
      <c r="L506" s="146"/>
      <c r="M506" s="146"/>
      <c r="N506" s="146"/>
      <c r="O506" s="146"/>
      <c r="P506" s="146"/>
    </row>
    <row r="507" spans="2:16" x14ac:dyDescent="0.2">
      <c r="B507" s="146"/>
      <c r="C507" s="146"/>
      <c r="D507" s="146"/>
      <c r="E507" s="146"/>
      <c r="F507" s="146"/>
      <c r="G507" s="146"/>
      <c r="H507" s="146"/>
      <c r="I507" s="146"/>
      <c r="J507" s="146"/>
      <c r="K507" s="146"/>
      <c r="L507" s="146"/>
      <c r="M507" s="146"/>
      <c r="N507" s="146"/>
      <c r="O507" s="146"/>
      <c r="P507" s="146"/>
    </row>
    <row r="508" spans="2:16" x14ac:dyDescent="0.2">
      <c r="B508" s="146"/>
      <c r="C508" s="146"/>
      <c r="D508" s="146"/>
      <c r="E508" s="146"/>
      <c r="F508" s="146"/>
      <c r="G508" s="146"/>
      <c r="H508" s="146"/>
      <c r="I508" s="146"/>
      <c r="J508" s="146"/>
      <c r="K508" s="146"/>
      <c r="L508" s="146"/>
      <c r="M508" s="146"/>
      <c r="N508" s="146"/>
      <c r="O508" s="146"/>
      <c r="P508" s="146"/>
    </row>
    <row r="509" spans="2:16" x14ac:dyDescent="0.2">
      <c r="B509" s="146"/>
      <c r="C509" s="146"/>
      <c r="D509" s="146"/>
      <c r="E509" s="146"/>
      <c r="F509" s="146"/>
      <c r="G509" s="146"/>
      <c r="H509" s="146"/>
      <c r="I509" s="146"/>
      <c r="J509" s="146"/>
      <c r="K509" s="146"/>
      <c r="L509" s="146"/>
      <c r="M509" s="146"/>
      <c r="N509" s="146"/>
      <c r="O509" s="146"/>
      <c r="P509" s="146"/>
    </row>
    <row r="510" spans="2:16" x14ac:dyDescent="0.2">
      <c r="B510" s="146"/>
      <c r="C510" s="146"/>
      <c r="D510" s="146"/>
      <c r="E510" s="146"/>
      <c r="F510" s="146"/>
      <c r="G510" s="146"/>
      <c r="H510" s="146"/>
      <c r="I510" s="146"/>
      <c r="J510" s="146"/>
      <c r="K510" s="146"/>
      <c r="L510" s="146"/>
      <c r="M510" s="146"/>
      <c r="N510" s="146"/>
      <c r="O510" s="146"/>
      <c r="P510" s="146"/>
    </row>
    <row r="511" spans="2:16" x14ac:dyDescent="0.2">
      <c r="B511" s="146"/>
      <c r="C511" s="146"/>
      <c r="D511" s="146"/>
      <c r="E511" s="146"/>
      <c r="F511" s="146"/>
      <c r="G511" s="146"/>
      <c r="H511" s="146"/>
      <c r="I511" s="146"/>
      <c r="J511" s="146"/>
      <c r="K511" s="146"/>
      <c r="L511" s="146"/>
      <c r="M511" s="146"/>
      <c r="N511" s="146"/>
      <c r="O511" s="146"/>
      <c r="P511" s="146"/>
    </row>
    <row r="512" spans="2:16" x14ac:dyDescent="0.2">
      <c r="B512" s="146"/>
      <c r="C512" s="146"/>
      <c r="D512" s="146"/>
      <c r="E512" s="146"/>
      <c r="F512" s="146"/>
      <c r="G512" s="146"/>
      <c r="H512" s="146"/>
      <c r="I512" s="146"/>
      <c r="J512" s="146"/>
      <c r="K512" s="146"/>
      <c r="L512" s="146"/>
      <c r="M512" s="146"/>
      <c r="N512" s="146"/>
      <c r="O512" s="146"/>
      <c r="P512" s="146"/>
    </row>
    <row r="513" spans="2:16" x14ac:dyDescent="0.2">
      <c r="B513" s="146"/>
      <c r="C513" s="146"/>
      <c r="D513" s="146"/>
      <c r="E513" s="146"/>
      <c r="F513" s="146"/>
      <c r="G513" s="146"/>
      <c r="H513" s="146"/>
      <c r="I513" s="146"/>
      <c r="J513" s="146"/>
      <c r="K513" s="146"/>
      <c r="L513" s="146"/>
      <c r="M513" s="146"/>
      <c r="N513" s="146"/>
      <c r="O513" s="146"/>
      <c r="P513" s="146"/>
    </row>
    <row r="514" spans="2:16" x14ac:dyDescent="0.2">
      <c r="B514" s="146"/>
      <c r="C514" s="146"/>
      <c r="D514" s="146"/>
      <c r="E514" s="146"/>
      <c r="F514" s="146"/>
      <c r="G514" s="146"/>
      <c r="H514" s="146"/>
      <c r="I514" s="146"/>
      <c r="J514" s="146"/>
      <c r="K514" s="146"/>
      <c r="L514" s="146"/>
      <c r="M514" s="146"/>
      <c r="N514" s="146"/>
      <c r="O514" s="146"/>
      <c r="P514" s="146"/>
    </row>
    <row r="515" spans="2:16" x14ac:dyDescent="0.2">
      <c r="B515" s="146"/>
      <c r="C515" s="146"/>
      <c r="D515" s="146"/>
      <c r="E515" s="146"/>
      <c r="F515" s="146"/>
      <c r="G515" s="146"/>
      <c r="H515" s="146"/>
      <c r="I515" s="146"/>
      <c r="J515" s="146"/>
      <c r="K515" s="146"/>
      <c r="L515" s="146"/>
      <c r="M515" s="146"/>
      <c r="N515" s="146"/>
      <c r="O515" s="146"/>
      <c r="P515" s="146"/>
    </row>
    <row r="516" spans="2:16" x14ac:dyDescent="0.2">
      <c r="B516" s="146"/>
      <c r="C516" s="146"/>
      <c r="D516" s="146"/>
      <c r="E516" s="146"/>
      <c r="F516" s="146"/>
      <c r="G516" s="146"/>
      <c r="H516" s="146"/>
      <c r="I516" s="146"/>
      <c r="J516" s="146"/>
      <c r="K516" s="146"/>
      <c r="L516" s="146"/>
      <c r="M516" s="146"/>
      <c r="N516" s="146"/>
      <c r="O516" s="146"/>
      <c r="P516" s="146"/>
    </row>
    <row r="517" spans="2:16" x14ac:dyDescent="0.2">
      <c r="B517" s="146"/>
      <c r="C517" s="146"/>
      <c r="D517" s="146"/>
      <c r="E517" s="146"/>
      <c r="F517" s="146"/>
      <c r="G517" s="146"/>
      <c r="H517" s="146"/>
      <c r="I517" s="146"/>
      <c r="J517" s="146"/>
      <c r="K517" s="146"/>
      <c r="L517" s="146"/>
      <c r="M517" s="146"/>
      <c r="N517" s="146"/>
      <c r="O517" s="146"/>
      <c r="P517" s="146"/>
    </row>
    <row r="518" spans="2:16" x14ac:dyDescent="0.2">
      <c r="B518" s="146"/>
      <c r="C518" s="146"/>
      <c r="D518" s="146"/>
      <c r="E518" s="146"/>
      <c r="F518" s="146"/>
      <c r="G518" s="146"/>
      <c r="H518" s="146"/>
      <c r="I518" s="146"/>
      <c r="J518" s="146"/>
      <c r="K518" s="146"/>
      <c r="L518" s="146"/>
      <c r="M518" s="146"/>
      <c r="N518" s="146"/>
      <c r="O518" s="146"/>
      <c r="P518" s="146"/>
    </row>
    <row r="519" spans="2:16" x14ac:dyDescent="0.2">
      <c r="B519" s="146"/>
      <c r="C519" s="146"/>
      <c r="D519" s="146"/>
      <c r="E519" s="146"/>
      <c r="F519" s="146"/>
      <c r="G519" s="146"/>
      <c r="H519" s="146"/>
      <c r="I519" s="146"/>
      <c r="J519" s="146"/>
      <c r="K519" s="146"/>
      <c r="L519" s="146"/>
      <c r="M519" s="146"/>
      <c r="N519" s="146"/>
      <c r="O519" s="146"/>
      <c r="P519" s="146"/>
    </row>
    <row r="520" spans="2:16" x14ac:dyDescent="0.2">
      <c r="B520" s="146"/>
      <c r="C520" s="146"/>
      <c r="D520" s="146"/>
      <c r="E520" s="146"/>
      <c r="F520" s="146"/>
      <c r="G520" s="146"/>
      <c r="H520" s="146"/>
      <c r="I520" s="146"/>
      <c r="J520" s="146"/>
      <c r="K520" s="146"/>
      <c r="L520" s="146"/>
      <c r="M520" s="146"/>
      <c r="N520" s="146"/>
      <c r="O520" s="146"/>
      <c r="P520" s="146"/>
    </row>
    <row r="521" spans="2:16" x14ac:dyDescent="0.2">
      <c r="B521" s="146"/>
      <c r="C521" s="146"/>
      <c r="D521" s="146"/>
      <c r="E521" s="146"/>
      <c r="F521" s="146"/>
      <c r="G521" s="146"/>
      <c r="H521" s="146"/>
      <c r="I521" s="146"/>
      <c r="J521" s="146"/>
      <c r="K521" s="146"/>
      <c r="L521" s="146"/>
      <c r="M521" s="146"/>
      <c r="N521" s="146"/>
      <c r="O521" s="146"/>
      <c r="P521" s="146"/>
    </row>
    <row r="522" spans="2:16" x14ac:dyDescent="0.2">
      <c r="B522" s="146"/>
      <c r="C522" s="146"/>
      <c r="D522" s="146"/>
      <c r="E522" s="146"/>
      <c r="F522" s="146"/>
      <c r="G522" s="146"/>
      <c r="H522" s="146"/>
      <c r="I522" s="146"/>
      <c r="J522" s="146"/>
      <c r="K522" s="146"/>
      <c r="L522" s="146"/>
      <c r="M522" s="146"/>
      <c r="N522" s="146"/>
      <c r="O522" s="146"/>
      <c r="P522" s="146"/>
    </row>
    <row r="523" spans="2:16" x14ac:dyDescent="0.2">
      <c r="B523" s="146"/>
      <c r="C523" s="146"/>
      <c r="D523" s="146"/>
      <c r="E523" s="146"/>
      <c r="F523" s="146"/>
      <c r="G523" s="146"/>
      <c r="H523" s="146"/>
      <c r="I523" s="146"/>
      <c r="J523" s="146"/>
      <c r="K523" s="146"/>
      <c r="L523" s="146"/>
      <c r="M523" s="146"/>
      <c r="N523" s="146"/>
      <c r="O523" s="146"/>
      <c r="P523" s="146"/>
    </row>
    <row r="524" spans="2:16" x14ac:dyDescent="0.2">
      <c r="B524" s="146"/>
      <c r="C524" s="146"/>
      <c r="D524" s="146"/>
      <c r="E524" s="146"/>
      <c r="F524" s="146"/>
      <c r="G524" s="146"/>
      <c r="H524" s="146"/>
      <c r="I524" s="146"/>
      <c r="J524" s="146"/>
      <c r="K524" s="146"/>
      <c r="L524" s="146"/>
      <c r="M524" s="146"/>
      <c r="N524" s="146"/>
      <c r="O524" s="146"/>
      <c r="P524" s="146"/>
    </row>
    <row r="525" spans="2:16" x14ac:dyDescent="0.2">
      <c r="B525" s="146"/>
      <c r="C525" s="146"/>
      <c r="D525" s="146"/>
      <c r="E525" s="146"/>
      <c r="F525" s="146"/>
      <c r="G525" s="146"/>
      <c r="H525" s="146"/>
      <c r="I525" s="146"/>
      <c r="J525" s="146"/>
      <c r="K525" s="146"/>
      <c r="L525" s="146"/>
      <c r="M525" s="146"/>
      <c r="N525" s="146"/>
      <c r="O525" s="146"/>
      <c r="P525" s="146"/>
    </row>
    <row r="526" spans="2:16" x14ac:dyDescent="0.2">
      <c r="B526" s="146"/>
      <c r="C526" s="146"/>
      <c r="D526" s="146"/>
      <c r="E526" s="146"/>
      <c r="F526" s="146"/>
      <c r="G526" s="146"/>
      <c r="H526" s="146"/>
      <c r="I526" s="146"/>
      <c r="J526" s="146"/>
      <c r="K526" s="146"/>
      <c r="L526" s="146"/>
      <c r="M526" s="146"/>
      <c r="N526" s="146"/>
      <c r="O526" s="146"/>
      <c r="P526" s="146"/>
    </row>
    <row r="527" spans="2:16" x14ac:dyDescent="0.2">
      <c r="B527" s="146"/>
      <c r="C527" s="146"/>
      <c r="D527" s="146"/>
      <c r="E527" s="146"/>
      <c r="F527" s="146"/>
      <c r="G527" s="146"/>
      <c r="H527" s="146"/>
      <c r="I527" s="146"/>
      <c r="J527" s="146"/>
      <c r="K527" s="146"/>
      <c r="L527" s="146"/>
      <c r="M527" s="146"/>
      <c r="N527" s="146"/>
      <c r="O527" s="146"/>
      <c r="P527" s="146"/>
    </row>
    <row r="528" spans="2:16" x14ac:dyDescent="0.2">
      <c r="B528" s="146"/>
      <c r="C528" s="146"/>
      <c r="D528" s="146"/>
      <c r="E528" s="146"/>
      <c r="F528" s="146"/>
      <c r="G528" s="146"/>
      <c r="H528" s="146"/>
      <c r="I528" s="146"/>
      <c r="J528" s="146"/>
      <c r="K528" s="146"/>
      <c r="L528" s="146"/>
      <c r="M528" s="146"/>
      <c r="N528" s="146"/>
      <c r="O528" s="146"/>
      <c r="P528" s="146"/>
    </row>
    <row r="529" spans="2:16" x14ac:dyDescent="0.2">
      <c r="B529" s="146"/>
      <c r="C529" s="146"/>
      <c r="D529" s="146"/>
      <c r="E529" s="146"/>
      <c r="F529" s="146"/>
      <c r="G529" s="146"/>
      <c r="H529" s="146"/>
      <c r="I529" s="146"/>
      <c r="J529" s="146"/>
      <c r="K529" s="146"/>
      <c r="L529" s="146"/>
      <c r="M529" s="146"/>
      <c r="N529" s="146"/>
      <c r="O529" s="146"/>
      <c r="P529" s="146"/>
    </row>
    <row r="530" spans="2:16" x14ac:dyDescent="0.2">
      <c r="B530" s="146"/>
      <c r="C530" s="146"/>
      <c r="D530" s="146"/>
      <c r="E530" s="146"/>
      <c r="F530" s="146"/>
      <c r="G530" s="146"/>
      <c r="H530" s="146"/>
      <c r="I530" s="146"/>
      <c r="J530" s="146"/>
      <c r="K530" s="146"/>
      <c r="L530" s="146"/>
      <c r="M530" s="146"/>
      <c r="N530" s="146"/>
      <c r="O530" s="146"/>
      <c r="P530" s="146"/>
    </row>
    <row r="531" spans="2:16" x14ac:dyDescent="0.2">
      <c r="B531" s="146"/>
      <c r="C531" s="146"/>
      <c r="D531" s="146"/>
      <c r="E531" s="146"/>
      <c r="F531" s="146"/>
      <c r="G531" s="146"/>
      <c r="H531" s="146"/>
      <c r="I531" s="146"/>
      <c r="J531" s="146"/>
      <c r="K531" s="146"/>
      <c r="L531" s="146"/>
      <c r="M531" s="146"/>
      <c r="N531" s="146"/>
      <c r="O531" s="146"/>
      <c r="P531" s="146"/>
    </row>
    <row r="532" spans="2:16" x14ac:dyDescent="0.2">
      <c r="B532" s="146"/>
      <c r="C532" s="146"/>
      <c r="D532" s="146"/>
      <c r="E532" s="146"/>
      <c r="F532" s="146"/>
      <c r="G532" s="146"/>
      <c r="H532" s="146"/>
      <c r="I532" s="146"/>
      <c r="J532" s="146"/>
      <c r="K532" s="146"/>
      <c r="L532" s="146"/>
      <c r="M532" s="146"/>
      <c r="N532" s="146"/>
      <c r="O532" s="146"/>
      <c r="P532" s="146"/>
    </row>
    <row r="533" spans="2:16" x14ac:dyDescent="0.2">
      <c r="B533" s="146"/>
      <c r="C533" s="146"/>
      <c r="D533" s="146"/>
      <c r="E533" s="146"/>
      <c r="F533" s="146"/>
      <c r="G533" s="146"/>
      <c r="H533" s="146"/>
      <c r="I533" s="146"/>
      <c r="J533" s="146"/>
      <c r="K533" s="146"/>
      <c r="L533" s="146"/>
      <c r="M533" s="146"/>
      <c r="N533" s="146"/>
      <c r="O533" s="146"/>
      <c r="P533" s="146"/>
    </row>
    <row r="534" spans="2:16" x14ac:dyDescent="0.2">
      <c r="B534" s="146"/>
      <c r="C534" s="146"/>
      <c r="D534" s="146"/>
      <c r="E534" s="146"/>
      <c r="F534" s="146"/>
      <c r="G534" s="146"/>
      <c r="H534" s="146"/>
      <c r="I534" s="146"/>
      <c r="J534" s="146"/>
      <c r="K534" s="146"/>
      <c r="L534" s="146"/>
      <c r="M534" s="146"/>
      <c r="N534" s="146"/>
      <c r="O534" s="146"/>
      <c r="P534" s="146"/>
    </row>
    <row r="535" spans="2:16" x14ac:dyDescent="0.2">
      <c r="B535" s="146"/>
      <c r="C535" s="146"/>
      <c r="D535" s="146"/>
      <c r="E535" s="146"/>
      <c r="F535" s="146"/>
      <c r="G535" s="146"/>
      <c r="H535" s="146"/>
      <c r="I535" s="146"/>
      <c r="J535" s="146"/>
      <c r="K535" s="146"/>
      <c r="L535" s="146"/>
      <c r="M535" s="146"/>
      <c r="N535" s="146"/>
      <c r="O535" s="146"/>
      <c r="P535" s="146"/>
    </row>
    <row r="536" spans="2:16" x14ac:dyDescent="0.2">
      <c r="B536" s="146"/>
      <c r="C536" s="146"/>
      <c r="D536" s="146"/>
      <c r="E536" s="146"/>
      <c r="F536" s="146"/>
      <c r="G536" s="146"/>
      <c r="H536" s="146"/>
      <c r="I536" s="146"/>
      <c r="J536" s="146"/>
      <c r="K536" s="146"/>
      <c r="L536" s="146"/>
      <c r="M536" s="146"/>
      <c r="N536" s="146"/>
      <c r="O536" s="146"/>
      <c r="P536" s="146"/>
    </row>
    <row r="537" spans="2:16" x14ac:dyDescent="0.2">
      <c r="B537" s="146"/>
      <c r="C537" s="146"/>
      <c r="D537" s="146"/>
      <c r="E537" s="146"/>
      <c r="F537" s="146"/>
      <c r="G537" s="146"/>
      <c r="H537" s="146"/>
      <c r="I537" s="146"/>
      <c r="J537" s="146"/>
      <c r="K537" s="146"/>
      <c r="L537" s="146"/>
      <c r="M537" s="146"/>
      <c r="N537" s="146"/>
      <c r="O537" s="146"/>
      <c r="P537" s="146"/>
    </row>
    <row r="538" spans="2:16" x14ac:dyDescent="0.2">
      <c r="B538" s="146"/>
      <c r="C538" s="146"/>
      <c r="D538" s="146"/>
      <c r="E538" s="146"/>
      <c r="F538" s="146"/>
      <c r="G538" s="146"/>
      <c r="H538" s="146"/>
      <c r="I538" s="146"/>
      <c r="J538" s="146"/>
      <c r="K538" s="146"/>
      <c r="L538" s="146"/>
      <c r="M538" s="146"/>
      <c r="N538" s="146"/>
      <c r="O538" s="146"/>
      <c r="P538" s="146"/>
    </row>
    <row r="539" spans="2:16" x14ac:dyDescent="0.2">
      <c r="B539" s="146"/>
      <c r="C539" s="146"/>
      <c r="D539" s="146"/>
      <c r="E539" s="146"/>
      <c r="F539" s="146"/>
      <c r="G539" s="146"/>
      <c r="H539" s="146"/>
      <c r="I539" s="146"/>
      <c r="J539" s="146"/>
      <c r="K539" s="146"/>
      <c r="L539" s="146"/>
      <c r="M539" s="146"/>
      <c r="N539" s="146"/>
      <c r="O539" s="146"/>
      <c r="P539" s="146"/>
    </row>
    <row r="540" spans="2:16" x14ac:dyDescent="0.2">
      <c r="B540" s="146"/>
      <c r="C540" s="146"/>
      <c r="D540" s="146"/>
      <c r="E540" s="146"/>
      <c r="F540" s="146"/>
      <c r="G540" s="146"/>
      <c r="H540" s="146"/>
      <c r="I540" s="146"/>
      <c r="J540" s="146"/>
      <c r="K540" s="146"/>
      <c r="L540" s="146"/>
      <c r="M540" s="146"/>
      <c r="N540" s="146"/>
      <c r="O540" s="146"/>
      <c r="P540" s="146"/>
    </row>
    <row r="541" spans="2:16" x14ac:dyDescent="0.2">
      <c r="B541" s="146"/>
      <c r="C541" s="146"/>
      <c r="D541" s="146"/>
      <c r="E541" s="146"/>
      <c r="F541" s="146"/>
      <c r="G541" s="146"/>
      <c r="H541" s="146"/>
      <c r="I541" s="146"/>
      <c r="J541" s="146"/>
      <c r="K541" s="146"/>
      <c r="L541" s="146"/>
      <c r="M541" s="146"/>
      <c r="N541" s="146"/>
      <c r="O541" s="146"/>
      <c r="P541" s="146"/>
    </row>
    <row r="542" spans="2:16" x14ac:dyDescent="0.2">
      <c r="B542" s="146"/>
      <c r="C542" s="146"/>
      <c r="D542" s="146"/>
      <c r="E542" s="146"/>
      <c r="F542" s="146"/>
      <c r="G542" s="146"/>
      <c r="H542" s="146"/>
      <c r="I542" s="146"/>
      <c r="J542" s="146"/>
      <c r="K542" s="146"/>
      <c r="L542" s="146"/>
      <c r="M542" s="146"/>
      <c r="N542" s="146"/>
      <c r="O542" s="146"/>
      <c r="P542" s="146"/>
    </row>
    <row r="543" spans="2:16" x14ac:dyDescent="0.2">
      <c r="B543" s="146"/>
      <c r="C543" s="146"/>
      <c r="D543" s="146"/>
      <c r="E543" s="146"/>
      <c r="F543" s="146"/>
      <c r="G543" s="146"/>
      <c r="H543" s="146"/>
      <c r="I543" s="146"/>
      <c r="J543" s="146"/>
      <c r="K543" s="146"/>
      <c r="L543" s="146"/>
      <c r="M543" s="146"/>
      <c r="N543" s="146"/>
      <c r="O543" s="146"/>
      <c r="P543" s="146"/>
    </row>
    <row r="544" spans="2:16" x14ac:dyDescent="0.2">
      <c r="B544" s="146"/>
      <c r="C544" s="146"/>
      <c r="D544" s="146"/>
      <c r="E544" s="146"/>
      <c r="F544" s="146"/>
      <c r="G544" s="146"/>
      <c r="H544" s="146"/>
      <c r="I544" s="146"/>
      <c r="J544" s="146"/>
      <c r="K544" s="146"/>
      <c r="L544" s="146"/>
      <c r="M544" s="146"/>
      <c r="N544" s="146"/>
      <c r="O544" s="146"/>
      <c r="P544" s="146"/>
    </row>
    <row r="545" spans="2:16" x14ac:dyDescent="0.2">
      <c r="B545" s="146"/>
      <c r="C545" s="146"/>
      <c r="D545" s="146"/>
      <c r="E545" s="146"/>
      <c r="F545" s="146"/>
      <c r="G545" s="146"/>
      <c r="H545" s="146"/>
      <c r="I545" s="146"/>
      <c r="J545" s="146"/>
      <c r="K545" s="146"/>
      <c r="L545" s="146"/>
      <c r="M545" s="146"/>
      <c r="N545" s="146"/>
      <c r="O545" s="146"/>
      <c r="P545" s="146"/>
    </row>
    <row r="546" spans="2:16" x14ac:dyDescent="0.2">
      <c r="B546" s="146"/>
      <c r="C546" s="146"/>
      <c r="D546" s="146"/>
      <c r="E546" s="146"/>
      <c r="F546" s="146"/>
      <c r="G546" s="146"/>
      <c r="H546" s="146"/>
      <c r="I546" s="146"/>
      <c r="J546" s="146"/>
      <c r="K546" s="146"/>
      <c r="L546" s="146"/>
      <c r="M546" s="146"/>
      <c r="N546" s="146"/>
      <c r="O546" s="146"/>
      <c r="P546" s="146"/>
    </row>
    <row r="547" spans="2:16" x14ac:dyDescent="0.2">
      <c r="B547" s="146"/>
      <c r="C547" s="146"/>
      <c r="D547" s="146"/>
      <c r="E547" s="146"/>
      <c r="F547" s="146"/>
      <c r="G547" s="146"/>
      <c r="H547" s="146"/>
      <c r="I547" s="146"/>
      <c r="J547" s="146"/>
      <c r="K547" s="146"/>
      <c r="L547" s="146"/>
      <c r="M547" s="146"/>
      <c r="N547" s="146"/>
      <c r="O547" s="146"/>
      <c r="P547" s="146"/>
    </row>
    <row r="548" spans="2:16" x14ac:dyDescent="0.2">
      <c r="B548" s="146"/>
      <c r="C548" s="146"/>
      <c r="D548" s="146"/>
      <c r="E548" s="146"/>
      <c r="F548" s="146"/>
      <c r="G548" s="146"/>
      <c r="H548" s="146"/>
      <c r="I548" s="146"/>
      <c r="J548" s="146"/>
      <c r="K548" s="146"/>
      <c r="L548" s="146"/>
      <c r="M548" s="146"/>
      <c r="N548" s="146"/>
      <c r="O548" s="146"/>
      <c r="P548" s="146"/>
    </row>
    <row r="549" spans="2:16" x14ac:dyDescent="0.2">
      <c r="B549" s="146"/>
      <c r="C549" s="146"/>
      <c r="D549" s="146"/>
      <c r="E549" s="146"/>
      <c r="F549" s="146"/>
      <c r="G549" s="146"/>
      <c r="H549" s="146"/>
      <c r="I549" s="146"/>
      <c r="J549" s="146"/>
      <c r="K549" s="146"/>
      <c r="L549" s="146"/>
      <c r="M549" s="146"/>
      <c r="N549" s="146"/>
      <c r="O549" s="146"/>
      <c r="P549" s="146"/>
    </row>
    <row r="550" spans="2:16" x14ac:dyDescent="0.2">
      <c r="B550" s="146"/>
      <c r="C550" s="146"/>
      <c r="D550" s="146"/>
      <c r="E550" s="146"/>
      <c r="F550" s="146"/>
      <c r="G550" s="146"/>
      <c r="H550" s="146"/>
      <c r="I550" s="146"/>
      <c r="J550" s="146"/>
      <c r="K550" s="146"/>
      <c r="L550" s="146"/>
      <c r="M550" s="146"/>
      <c r="N550" s="146"/>
      <c r="O550" s="146"/>
      <c r="P550" s="146"/>
    </row>
    <row r="551" spans="2:16" x14ac:dyDescent="0.2">
      <c r="B551" s="146"/>
      <c r="C551" s="146"/>
      <c r="D551" s="146"/>
      <c r="E551" s="146"/>
      <c r="F551" s="146"/>
      <c r="G551" s="146"/>
      <c r="H551" s="146"/>
      <c r="I551" s="146"/>
      <c r="J551" s="146"/>
      <c r="K551" s="146"/>
      <c r="L551" s="146"/>
      <c r="M551" s="146"/>
      <c r="N551" s="146"/>
      <c r="O551" s="146"/>
      <c r="P551" s="146"/>
    </row>
    <row r="552" spans="2:16" x14ac:dyDescent="0.2">
      <c r="B552" s="146"/>
      <c r="C552" s="146"/>
      <c r="D552" s="146"/>
      <c r="E552" s="146"/>
      <c r="F552" s="146"/>
      <c r="G552" s="146"/>
      <c r="H552" s="146"/>
      <c r="I552" s="146"/>
      <c r="J552" s="146"/>
      <c r="K552" s="146"/>
      <c r="L552" s="146"/>
      <c r="M552" s="146"/>
      <c r="N552" s="146"/>
      <c r="O552" s="146"/>
      <c r="P552" s="146"/>
    </row>
    <row r="553" spans="2:16" x14ac:dyDescent="0.2">
      <c r="B553" s="146"/>
      <c r="C553" s="146"/>
      <c r="D553" s="146"/>
      <c r="E553" s="146"/>
      <c r="F553" s="146"/>
      <c r="G553" s="146"/>
      <c r="H553" s="146"/>
      <c r="I553" s="146"/>
      <c r="J553" s="146"/>
      <c r="K553" s="146"/>
      <c r="L553" s="146"/>
      <c r="M553" s="146"/>
      <c r="N553" s="146"/>
      <c r="O553" s="146"/>
      <c r="P553" s="146"/>
    </row>
    <row r="554" spans="2:16" x14ac:dyDescent="0.2">
      <c r="B554" s="146"/>
      <c r="C554" s="146"/>
      <c r="D554" s="146"/>
      <c r="E554" s="146"/>
      <c r="F554" s="146"/>
      <c r="G554" s="146"/>
      <c r="H554" s="146"/>
      <c r="I554" s="146"/>
      <c r="J554" s="146"/>
      <c r="K554" s="146"/>
      <c r="L554" s="146"/>
      <c r="M554" s="146"/>
      <c r="N554" s="146"/>
      <c r="O554" s="146"/>
      <c r="P554" s="146"/>
    </row>
    <row r="555" spans="2:16" x14ac:dyDescent="0.2">
      <c r="B555" s="146"/>
      <c r="C555" s="146"/>
      <c r="D555" s="146"/>
      <c r="E555" s="146"/>
      <c r="F555" s="146"/>
      <c r="G555" s="146"/>
      <c r="H555" s="146"/>
      <c r="I555" s="146"/>
      <c r="J555" s="146"/>
      <c r="K555" s="146"/>
      <c r="L555" s="146"/>
      <c r="M555" s="146"/>
      <c r="N555" s="146"/>
      <c r="O555" s="146"/>
      <c r="P555" s="146"/>
    </row>
    <row r="556" spans="2:16" x14ac:dyDescent="0.2">
      <c r="B556" s="146"/>
      <c r="C556" s="146"/>
      <c r="D556" s="146"/>
      <c r="E556" s="146"/>
      <c r="F556" s="146"/>
      <c r="G556" s="146"/>
      <c r="H556" s="146"/>
      <c r="I556" s="146"/>
      <c r="J556" s="146"/>
      <c r="K556" s="146"/>
      <c r="L556" s="146"/>
      <c r="M556" s="146"/>
      <c r="N556" s="146"/>
      <c r="O556" s="146"/>
      <c r="P556" s="146"/>
    </row>
    <row r="557" spans="2:16" x14ac:dyDescent="0.2">
      <c r="B557" s="146"/>
      <c r="C557" s="146"/>
      <c r="D557" s="146"/>
      <c r="E557" s="146"/>
      <c r="F557" s="146"/>
      <c r="G557" s="146"/>
      <c r="H557" s="146"/>
      <c r="I557" s="146"/>
      <c r="J557" s="146"/>
      <c r="K557" s="146"/>
      <c r="L557" s="146"/>
      <c r="M557" s="146"/>
      <c r="N557" s="146"/>
      <c r="O557" s="146"/>
      <c r="P557" s="146"/>
    </row>
    <row r="558" spans="2:16" x14ac:dyDescent="0.2">
      <c r="B558" s="146"/>
      <c r="C558" s="146"/>
      <c r="D558" s="146"/>
      <c r="E558" s="146"/>
      <c r="F558" s="146"/>
      <c r="G558" s="146"/>
      <c r="H558" s="146"/>
      <c r="I558" s="146"/>
      <c r="J558" s="146"/>
      <c r="K558" s="146"/>
      <c r="L558" s="146"/>
      <c r="M558" s="146"/>
      <c r="N558" s="146"/>
      <c r="O558" s="146"/>
      <c r="P558" s="146"/>
    </row>
    <row r="559" spans="2:16" x14ac:dyDescent="0.2">
      <c r="B559" s="146"/>
      <c r="C559" s="146"/>
      <c r="D559" s="146"/>
      <c r="E559" s="146"/>
      <c r="F559" s="146"/>
      <c r="G559" s="146"/>
      <c r="H559" s="146"/>
      <c r="I559" s="146"/>
      <c r="J559" s="146"/>
      <c r="K559" s="146"/>
      <c r="L559" s="146"/>
      <c r="M559" s="146"/>
      <c r="N559" s="146"/>
      <c r="O559" s="146"/>
      <c r="P559" s="146"/>
    </row>
    <row r="560" spans="2:16" x14ac:dyDescent="0.2">
      <c r="B560" s="146"/>
      <c r="C560" s="146"/>
      <c r="D560" s="146"/>
      <c r="E560" s="146"/>
      <c r="F560" s="146"/>
      <c r="G560" s="146"/>
      <c r="H560" s="146"/>
      <c r="I560" s="146"/>
      <c r="J560" s="146"/>
      <c r="K560" s="146"/>
      <c r="L560" s="146"/>
      <c r="M560" s="146"/>
      <c r="N560" s="146"/>
      <c r="O560" s="146"/>
      <c r="P560" s="146"/>
    </row>
    <row r="561" spans="2:16" x14ac:dyDescent="0.2">
      <c r="B561" s="146"/>
      <c r="C561" s="146"/>
      <c r="D561" s="146"/>
      <c r="E561" s="146"/>
      <c r="F561" s="146"/>
      <c r="G561" s="146"/>
      <c r="H561" s="146"/>
      <c r="I561" s="146"/>
      <c r="J561" s="146"/>
      <c r="K561" s="146"/>
      <c r="L561" s="146"/>
      <c r="M561" s="146"/>
      <c r="N561" s="146"/>
      <c r="O561" s="146"/>
      <c r="P561" s="146"/>
    </row>
    <row r="562" spans="2:16" x14ac:dyDescent="0.2">
      <c r="B562" s="146"/>
      <c r="C562" s="146"/>
      <c r="D562" s="146"/>
      <c r="E562" s="146"/>
      <c r="F562" s="146"/>
      <c r="G562" s="146"/>
      <c r="H562" s="146"/>
      <c r="I562" s="146"/>
      <c r="J562" s="146"/>
      <c r="K562" s="146"/>
      <c r="L562" s="146"/>
      <c r="M562" s="146"/>
      <c r="N562" s="146"/>
      <c r="O562" s="146"/>
      <c r="P562" s="146"/>
    </row>
    <row r="563" spans="2:16" x14ac:dyDescent="0.2">
      <c r="B563" s="146"/>
      <c r="C563" s="146"/>
      <c r="D563" s="146"/>
      <c r="E563" s="146"/>
      <c r="F563" s="146"/>
      <c r="G563" s="146"/>
      <c r="H563" s="146"/>
      <c r="I563" s="146"/>
      <c r="J563" s="146"/>
      <c r="K563" s="146"/>
      <c r="L563" s="146"/>
      <c r="M563" s="146"/>
      <c r="N563" s="146"/>
      <c r="O563" s="146"/>
      <c r="P563" s="146"/>
    </row>
    <row r="564" spans="2:16" x14ac:dyDescent="0.2">
      <c r="B564" s="146"/>
      <c r="C564" s="146"/>
      <c r="D564" s="146"/>
      <c r="E564" s="146"/>
      <c r="F564" s="146"/>
      <c r="G564" s="146"/>
      <c r="H564" s="146"/>
      <c r="I564" s="146"/>
      <c r="J564" s="146"/>
      <c r="K564" s="146"/>
      <c r="L564" s="146"/>
      <c r="M564" s="146"/>
      <c r="N564" s="146"/>
      <c r="O564" s="146"/>
      <c r="P564" s="146"/>
    </row>
    <row r="565" spans="2:16" x14ac:dyDescent="0.2">
      <c r="B565" s="146"/>
      <c r="C565" s="146"/>
      <c r="D565" s="146"/>
      <c r="E565" s="146"/>
      <c r="F565" s="146"/>
      <c r="G565" s="146"/>
      <c r="H565" s="146"/>
      <c r="I565" s="146"/>
      <c r="J565" s="146"/>
      <c r="K565" s="146"/>
      <c r="L565" s="146"/>
      <c r="M565" s="146"/>
      <c r="N565" s="146"/>
      <c r="O565" s="146"/>
      <c r="P565" s="146"/>
    </row>
    <row r="566" spans="2:16" x14ac:dyDescent="0.2">
      <c r="B566" s="146"/>
      <c r="C566" s="146"/>
      <c r="D566" s="146"/>
      <c r="E566" s="146"/>
      <c r="F566" s="146"/>
      <c r="G566" s="146"/>
      <c r="H566" s="146"/>
      <c r="I566" s="146"/>
      <c r="J566" s="146"/>
      <c r="K566" s="146"/>
      <c r="L566" s="146"/>
      <c r="M566" s="146"/>
      <c r="N566" s="146"/>
      <c r="O566" s="146"/>
      <c r="P566" s="146"/>
    </row>
    <row r="567" spans="2:16" x14ac:dyDescent="0.2">
      <c r="B567" s="146"/>
      <c r="C567" s="146"/>
      <c r="D567" s="146"/>
      <c r="E567" s="146"/>
      <c r="F567" s="146"/>
      <c r="G567" s="146"/>
      <c r="H567" s="146"/>
      <c r="I567" s="146"/>
      <c r="J567" s="146"/>
      <c r="K567" s="146"/>
      <c r="L567" s="146"/>
      <c r="M567" s="146"/>
      <c r="N567" s="146"/>
      <c r="O567" s="146"/>
      <c r="P567" s="146"/>
    </row>
    <row r="568" spans="2:16" x14ac:dyDescent="0.2">
      <c r="B568" s="146"/>
      <c r="C568" s="146"/>
      <c r="D568" s="146"/>
      <c r="E568" s="146"/>
      <c r="F568" s="146"/>
      <c r="G568" s="146"/>
      <c r="H568" s="146"/>
      <c r="I568" s="146"/>
      <c r="J568" s="146"/>
      <c r="K568" s="146"/>
      <c r="L568" s="146"/>
      <c r="M568" s="146"/>
      <c r="N568" s="146"/>
      <c r="O568" s="146"/>
      <c r="P568" s="146"/>
    </row>
    <row r="569" spans="2:16" x14ac:dyDescent="0.2">
      <c r="B569" s="146"/>
      <c r="C569" s="146"/>
      <c r="D569" s="146"/>
      <c r="E569" s="146"/>
      <c r="F569" s="146"/>
      <c r="G569" s="146"/>
      <c r="H569" s="146"/>
      <c r="I569" s="146"/>
      <c r="J569" s="146"/>
      <c r="K569" s="146"/>
      <c r="L569" s="146"/>
      <c r="M569" s="146"/>
      <c r="N569" s="146"/>
      <c r="O569" s="146"/>
      <c r="P569" s="146"/>
    </row>
    <row r="570" spans="2:16" x14ac:dyDescent="0.2">
      <c r="B570" s="146"/>
      <c r="C570" s="146"/>
      <c r="D570" s="146"/>
      <c r="E570" s="146"/>
      <c r="F570" s="146"/>
      <c r="G570" s="146"/>
      <c r="H570" s="146"/>
      <c r="I570" s="146"/>
      <c r="J570" s="146"/>
      <c r="K570" s="146"/>
      <c r="L570" s="146"/>
      <c r="M570" s="146"/>
      <c r="N570" s="146"/>
      <c r="O570" s="146"/>
      <c r="P570" s="146"/>
    </row>
    <row r="571" spans="2:16" x14ac:dyDescent="0.2">
      <c r="B571" s="146"/>
      <c r="C571" s="146"/>
      <c r="D571" s="146"/>
      <c r="E571" s="146"/>
      <c r="F571" s="146"/>
      <c r="G571" s="146"/>
      <c r="H571" s="146"/>
      <c r="I571" s="146"/>
      <c r="J571" s="146"/>
      <c r="K571" s="146"/>
      <c r="L571" s="146"/>
      <c r="M571" s="146"/>
      <c r="N571" s="146"/>
      <c r="O571" s="146"/>
      <c r="P571" s="146"/>
    </row>
    <row r="572" spans="2:16" x14ac:dyDescent="0.2">
      <c r="B572" s="146"/>
      <c r="C572" s="146"/>
      <c r="D572" s="146"/>
      <c r="E572" s="146"/>
      <c r="F572" s="146"/>
      <c r="G572" s="146"/>
      <c r="H572" s="146"/>
      <c r="I572" s="146"/>
      <c r="J572" s="146"/>
      <c r="K572" s="146"/>
      <c r="L572" s="146"/>
      <c r="M572" s="146"/>
      <c r="N572" s="146"/>
      <c r="O572" s="146"/>
      <c r="P572" s="146"/>
    </row>
    <row r="573" spans="2:16" x14ac:dyDescent="0.2">
      <c r="B573" s="146"/>
      <c r="C573" s="146"/>
      <c r="D573" s="146"/>
      <c r="E573" s="146"/>
      <c r="F573" s="146"/>
      <c r="G573" s="146"/>
      <c r="H573" s="146"/>
      <c r="I573" s="146"/>
      <c r="J573" s="146"/>
      <c r="K573" s="146"/>
      <c r="L573" s="146"/>
      <c r="M573" s="146"/>
      <c r="N573" s="146"/>
      <c r="O573" s="146"/>
      <c r="P573" s="14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BCFA-B061-48F7-80DD-A569B911F15F}">
  <sheetPr codeName="Sheet19">
    <tabColor theme="9"/>
  </sheetPr>
  <dimension ref="A1:AY567"/>
  <sheetViews>
    <sheetView workbookViewId="0"/>
  </sheetViews>
  <sheetFormatPr defaultColWidth="8" defaultRowHeight="12.75" x14ac:dyDescent="0.2"/>
  <cols>
    <col min="1" max="26" width="10.140625" style="30" bestFit="1" customWidth="1"/>
    <col min="27" max="16384" width="8" style="30"/>
  </cols>
  <sheetData>
    <row r="1" spans="1:51" x14ac:dyDescent="0.2">
      <c r="B1" s="30" t="str" cm="1">
        <f t="array" ref="B1:AB1">TRANSPOSE(_xlfn._xlws.FILTER(Recurring!$B$4:$B$53,ISNUMBER(Recurring!$G$4:$G$53)))</f>
        <v>Salary &amp; Paychecks</v>
      </c>
      <c r="C1" s="30" t="str">
        <v>Retirement Contributions</v>
      </c>
      <c r="D1" s="30" t="str">
        <v>Other Deductions</v>
      </c>
      <c r="E1" s="30" t="str">
        <v>Other Deductions</v>
      </c>
      <c r="F1" s="30" t="str">
        <v>Other Deductions</v>
      </c>
      <c r="G1" s="30" t="str">
        <v>Other Deductions</v>
      </c>
      <c r="H1" s="30" t="str">
        <v>Housing</v>
      </c>
      <c r="I1" s="30" t="str">
        <v>Housing</v>
      </c>
      <c r="J1" s="30" t="str">
        <v>Transportation</v>
      </c>
      <c r="K1" s="30" t="str">
        <v>Transportation</v>
      </c>
      <c r="L1" s="30" t="str">
        <v>Dues &amp; Subscriptions</v>
      </c>
      <c r="M1" s="30" t="str">
        <v>Dues &amp; Subscriptions</v>
      </c>
      <c r="N1" s="30" t="str">
        <v>Dues &amp; Subscriptions</v>
      </c>
      <c r="O1" s="30" t="str">
        <v>Dues &amp; Subscriptions</v>
      </c>
      <c r="P1" s="30" t="str">
        <v>Dues &amp; Subscriptions</v>
      </c>
      <c r="Q1" s="30" t="str">
        <v>Groceries</v>
      </c>
      <c r="R1" s="30" t="str">
        <v>Food &amp; Drinks</v>
      </c>
      <c r="S1" s="30" t="str">
        <v>Food &amp; Drinks</v>
      </c>
      <c r="T1" s="30" t="str">
        <v>Health &amp; Personal Care</v>
      </c>
      <c r="U1" s="30" t="str">
        <v>Medication &amp; Supplements</v>
      </c>
      <c r="V1" s="30" t="str">
        <v>Loans</v>
      </c>
      <c r="W1" s="30" t="str">
        <v>Loans</v>
      </c>
      <c r="X1" s="30" t="str">
        <v>Brokerage Contributions</v>
      </c>
      <c r="Y1" s="30" t="str">
        <v>Other Required Outflows</v>
      </c>
      <c r="Z1" s="30" t="str">
        <v>Shopping</v>
      </c>
      <c r="AA1" s="30" t="str">
        <v>Dues &amp; Subscriptions</v>
      </c>
      <c r="AB1" s="30" t="str">
        <v>Food &amp; Drinks</v>
      </c>
    </row>
    <row r="2" spans="1:51" s="140" customFormat="1" x14ac:dyDescent="0.2">
      <c r="B2" s="140" cm="1">
        <f t="array" ref="B2:AB2">TRANSPOSE(_xlfn._xlws.FILTER(Recurring!$D$4:$D$53,ISNUMBER(Recurring!$G$4:$G$53)))</f>
        <v>4000</v>
      </c>
      <c r="C2" s="140">
        <v>200</v>
      </c>
      <c r="D2" s="140">
        <v>2</v>
      </c>
      <c r="E2" s="140">
        <v>40</v>
      </c>
      <c r="F2" s="140">
        <v>50</v>
      </c>
      <c r="G2" s="140">
        <v>4</v>
      </c>
      <c r="H2" s="140">
        <v>40</v>
      </c>
      <c r="I2" s="140">
        <v>2000</v>
      </c>
      <c r="J2" s="140">
        <v>500</v>
      </c>
      <c r="K2" s="140">
        <v>50</v>
      </c>
      <c r="L2" s="140">
        <v>69</v>
      </c>
      <c r="M2" s="140">
        <v>15</v>
      </c>
      <c r="N2" s="140">
        <v>15.49</v>
      </c>
      <c r="O2" s="140">
        <v>10.99</v>
      </c>
      <c r="P2" s="140">
        <v>2.99</v>
      </c>
      <c r="Q2" s="140">
        <v>100</v>
      </c>
      <c r="R2" s="140">
        <v>100</v>
      </c>
      <c r="S2" s="140">
        <v>100</v>
      </c>
      <c r="T2" s="140">
        <v>50</v>
      </c>
      <c r="U2" s="140">
        <v>50</v>
      </c>
      <c r="V2" s="140">
        <v>200</v>
      </c>
      <c r="W2" s="140">
        <v>100</v>
      </c>
      <c r="X2" s="140">
        <v>50</v>
      </c>
      <c r="Y2" s="140">
        <v>50</v>
      </c>
      <c r="Z2" s="140">
        <v>20</v>
      </c>
      <c r="AA2" s="140">
        <v>5.8171745152354575</v>
      </c>
      <c r="AB2" s="140">
        <v>5.5401662049861494E-2</v>
      </c>
    </row>
    <row r="3" spans="1:51" x14ac:dyDescent="0.2">
      <c r="A3" s="29" t="str">
        <f ca="1">TEXT(TODAY(),"yyyy-mm-dd")</f>
        <v>2025-03-27</v>
      </c>
      <c r="B3" s="140">
        <f ca="1">IF(ISNUMBER(MATCH(DATEVALUE($A3),'recurring1_based on steps'!B$1:B$400,0)),B$2,)</f>
        <v>0</v>
      </c>
      <c r="C3" s="140">
        <f ca="1">IF(ISNUMBER(MATCH(DATEVALUE($A3),'recurring1_based on steps'!C$1:C$400,0)),C$2,)</f>
        <v>0</v>
      </c>
      <c r="D3" s="140">
        <f ca="1">IF(ISNUMBER(MATCH(DATEVALUE($A3),'recurring1_based on steps'!D$1:D$400,0)),D$2,)</f>
        <v>0</v>
      </c>
      <c r="E3" s="140">
        <f ca="1">IF(ISNUMBER(MATCH(DATEVALUE($A3),'recurring1_based on steps'!E$1:E$400,0)),E$2,)</f>
        <v>0</v>
      </c>
      <c r="F3" s="140">
        <f ca="1">IF(ISNUMBER(MATCH(DATEVALUE($A3),'recurring1_based on steps'!F$1:F$400,0)),F$2,)</f>
        <v>0</v>
      </c>
      <c r="G3" s="140">
        <f ca="1">IF(ISNUMBER(MATCH(DATEVALUE($A3),'recurring1_based on steps'!G$1:G$400,0)),G$2,)</f>
        <v>0</v>
      </c>
      <c r="H3" s="140">
        <f ca="1">IF(ISNUMBER(MATCH(DATEVALUE($A3),'recurring1_based on steps'!H$1:H$400,0)),H$2,)</f>
        <v>0</v>
      </c>
      <c r="I3" s="140">
        <f ca="1">IF(ISNUMBER(MATCH(DATEVALUE($A3),'recurring1_based on steps'!I$1:I$400,0)),I$2,)</f>
        <v>0</v>
      </c>
      <c r="J3" s="140">
        <f ca="1">IF(ISNUMBER(MATCH(DATEVALUE($A3),'recurring1_based on steps'!J$1:J$400,0)),J$2,)</f>
        <v>0</v>
      </c>
      <c r="K3" s="140">
        <f ca="1">IF(ISNUMBER(MATCH(DATEVALUE($A3),'recurring1_based on steps'!K$1:K$400,0)),K$2,)</f>
        <v>0</v>
      </c>
      <c r="L3" s="140">
        <f ca="1">IF(ISNUMBER(MATCH(DATEVALUE($A3),'recurring1_based on steps'!L$1:L$400,0)),L$2,)</f>
        <v>0</v>
      </c>
      <c r="M3" s="140">
        <f ca="1">IF(ISNUMBER(MATCH(DATEVALUE($A3),'recurring1_based on steps'!M$1:M$400,0)),M$2,)</f>
        <v>0</v>
      </c>
      <c r="N3" s="140">
        <f ca="1">IF(ISNUMBER(MATCH(DATEVALUE($A3),'recurring1_based on steps'!N$1:N$400,0)),N$2,)</f>
        <v>0</v>
      </c>
      <c r="O3" s="140">
        <f ca="1">IF(ISNUMBER(MATCH(DATEVALUE($A3),'recurring1_based on steps'!O$1:O$400,0)),O$2,)</f>
        <v>0</v>
      </c>
      <c r="P3" s="140">
        <f ca="1">IF(ISNUMBER(MATCH(DATEVALUE($A3),'recurring1_based on steps'!P$1:P$400,0)),P$2,)</f>
        <v>2.99</v>
      </c>
      <c r="Q3" s="140">
        <f ca="1">IF(ISNUMBER(MATCH(DATEVALUE($A3),'recurring1_based on steps'!Q$1:Q$400,0)),Q$2,)</f>
        <v>0</v>
      </c>
      <c r="R3" s="140">
        <f ca="1">IF(ISNUMBER(MATCH(DATEVALUE($A3),'recurring1_based on steps'!R$1:R$400,0)),R$2,)</f>
        <v>0</v>
      </c>
      <c r="S3" s="140">
        <f ca="1">IF(ISNUMBER(MATCH(DATEVALUE($A3),'recurring1_based on steps'!S$1:S$400,0)),S$2,)</f>
        <v>0</v>
      </c>
      <c r="T3" s="140">
        <f ca="1">IF(ISNUMBER(MATCH(DATEVALUE($A3),'recurring1_based on steps'!T$1:T$400,0)),T$2,)</f>
        <v>0</v>
      </c>
      <c r="U3" s="140">
        <f ca="1">IF(ISNUMBER(MATCH(DATEVALUE($A3),'recurring1_based on steps'!U$1:U$400,0)),U$2,)</f>
        <v>0</v>
      </c>
      <c r="V3" s="140">
        <f ca="1">IF(ISNUMBER(MATCH(DATEVALUE($A3),'recurring1_based on steps'!V$1:V$400,0)),V$2,)</f>
        <v>0</v>
      </c>
      <c r="W3" s="140">
        <f ca="1">IF(ISNUMBER(MATCH(DATEVALUE($A3),'recurring1_based on steps'!W$1:W$400,0)),W$2,)</f>
        <v>0</v>
      </c>
      <c r="X3" s="140">
        <f ca="1">IF(ISNUMBER(MATCH(DATEVALUE($A3),'recurring1_based on steps'!X$1:X$400,0)),X$2,)</f>
        <v>0</v>
      </c>
      <c r="Y3" s="140">
        <f ca="1">IF(ISNUMBER(MATCH(DATEVALUE($A3),'recurring1_based on steps'!Y$1:Y$400,0)),Y$2,)</f>
        <v>0</v>
      </c>
      <c r="Z3" s="140">
        <f ca="1">IF(ISNUMBER(MATCH(DATEVALUE($A3),'recurring1_based on steps'!Z$1:Z$400,0)),Z$2,)</f>
        <v>0</v>
      </c>
      <c r="AA3" s="140">
        <f ca="1">IF(ISNUMBER(MATCH(DATEVALUE($A3),'recurring1_based on steps'!AA$1:AA$400,0)),AA$2,)</f>
        <v>0</v>
      </c>
      <c r="AB3" s="140">
        <f ca="1">IF(ISNUMBER(MATCH(DATEVALUE($A3),'recurring1_based on steps'!AB$1:AB$400,0)),AB$2,)</f>
        <v>5.5401662049861494E-2</v>
      </c>
      <c r="AC3" s="140">
        <f ca="1">IF(ISNUMBER(MATCH(DATEVALUE($A3),'recurring1_based on steps'!AC$1:AC$400,0)),AC$2,)</f>
        <v>0</v>
      </c>
      <c r="AD3" s="140">
        <f ca="1">IF(ISNUMBER(MATCH(DATEVALUE($A3),'recurring1_based on steps'!AD$1:AD$400,0)),AD$2,)</f>
        <v>0</v>
      </c>
      <c r="AE3" s="140">
        <f ca="1">IF(ISNUMBER(MATCH(DATEVALUE($A3),'recurring1_based on steps'!AE$1:AE$400,0)),AE$2,)</f>
        <v>0</v>
      </c>
      <c r="AF3" s="140">
        <f ca="1">IF(ISNUMBER(MATCH(DATEVALUE($A3),'recurring1_based on steps'!AF$1:AF$400,0)),AF$2,)</f>
        <v>0</v>
      </c>
      <c r="AG3" s="140">
        <f ca="1">IF(ISNUMBER(MATCH(DATEVALUE($A3),'recurring1_based on steps'!AG$1:AG$400,0)),AG$2,)</f>
        <v>0</v>
      </c>
      <c r="AH3" s="140">
        <f ca="1">IF(ISNUMBER(MATCH(DATEVALUE($A3),'recurring1_based on steps'!AH$1:AH$400,0)),AH$2,)</f>
        <v>0</v>
      </c>
      <c r="AI3" s="140">
        <f ca="1">IF(ISNUMBER(MATCH(DATEVALUE($A3),'recurring1_based on steps'!AI$1:AI$400,0)),AI$2,)</f>
        <v>0</v>
      </c>
      <c r="AJ3" s="140">
        <f ca="1">IF(ISNUMBER(MATCH(DATEVALUE($A3),'recurring1_based on steps'!AJ$1:AJ$400,0)),AJ$2,)</f>
        <v>0</v>
      </c>
      <c r="AK3" s="140">
        <f ca="1">IF(ISNUMBER(MATCH(DATEVALUE($A3),'recurring1_based on steps'!AK$1:AK$400,0)),AK$2,)</f>
        <v>0</v>
      </c>
      <c r="AL3" s="140">
        <f ca="1">IF(ISNUMBER(MATCH(DATEVALUE($A3),'recurring1_based on steps'!AL$1:AL$400,0)),AL$2,)</f>
        <v>0</v>
      </c>
      <c r="AM3" s="140">
        <f ca="1">IF(ISNUMBER(MATCH(DATEVALUE($A3),'recurring1_based on steps'!AM$1:AM$400,0)),AM$2,)</f>
        <v>0</v>
      </c>
      <c r="AN3" s="140">
        <f ca="1">IF(ISNUMBER(MATCH(DATEVALUE($A3),'recurring1_based on steps'!AN$1:AN$400,0)),AN$2,)</f>
        <v>0</v>
      </c>
      <c r="AO3" s="140">
        <f ca="1">IF(ISNUMBER(MATCH(DATEVALUE($A3),'recurring1_based on steps'!AO$1:AO$400,0)),AO$2,)</f>
        <v>0</v>
      </c>
      <c r="AP3" s="140">
        <f ca="1">IF(ISNUMBER(MATCH(DATEVALUE($A3),'recurring1_based on steps'!AP$1:AP$400,0)),AP$2,)</f>
        <v>0</v>
      </c>
      <c r="AQ3" s="140">
        <f ca="1">IF(ISNUMBER(MATCH(DATEVALUE($A3),'recurring1_based on steps'!AQ$1:AQ$400,0)),AQ$2,)</f>
        <v>0</v>
      </c>
      <c r="AR3" s="140">
        <f ca="1">IF(ISNUMBER(MATCH(DATEVALUE($A3),'recurring1_based on steps'!AR$1:AR$400,0)),AR$2,)</f>
        <v>0</v>
      </c>
      <c r="AS3" s="140">
        <f ca="1">IF(ISNUMBER(MATCH(DATEVALUE($A3),'recurring1_based on steps'!AS$1:AS$400,0)),AS$2,)</f>
        <v>0</v>
      </c>
      <c r="AT3" s="140">
        <f ca="1">IF(ISNUMBER(MATCH(DATEVALUE($A3),'recurring1_based on steps'!AT$1:AT$400,0)),AT$2,)</f>
        <v>0</v>
      </c>
      <c r="AU3" s="140">
        <f ca="1">IF(ISNUMBER(MATCH(DATEVALUE($A3),'recurring1_based on steps'!AU$1:AU$400,0)),AU$2,)</f>
        <v>0</v>
      </c>
      <c r="AV3" s="140">
        <f ca="1">IF(ISNUMBER(MATCH(DATEVALUE($A3),'recurring1_based on steps'!AV$1:AV$400,0)),AV$2,)</f>
        <v>0</v>
      </c>
      <c r="AW3" s="140">
        <f ca="1">IF(ISNUMBER(MATCH(DATEVALUE($A3),'recurring1_based on steps'!AW$1:AW$400,0)),AW$2,)</f>
        <v>0</v>
      </c>
      <c r="AX3" s="140">
        <f ca="1">IF(ISNUMBER(MATCH(DATEVALUE($A3),'recurring1_based on steps'!AX$1:AX$400,0)),AX$2,)</f>
        <v>0</v>
      </c>
      <c r="AY3" s="140">
        <f ca="1">IF(ISNUMBER(MATCH(DATEVALUE($A3),'recurring1_based on steps'!AY$1:AY$400,0)),AY$2,)</f>
        <v>0</v>
      </c>
    </row>
    <row r="4" spans="1:51" x14ac:dyDescent="0.2">
      <c r="A4" s="29" t="str">
        <f ca="1">TEXT(DATEVALUE(A3)+1,"yyyy-mm-dd")</f>
        <v>2025-03-28</v>
      </c>
      <c r="B4" s="140">
        <f ca="1">IF(ISNUMBER(MATCH(DATEVALUE($A4),'recurring1_based on steps'!B$1:B$400,0)),B$2,)</f>
        <v>0</v>
      </c>
      <c r="C4" s="140">
        <f ca="1">IF(ISNUMBER(MATCH(DATEVALUE($A4),'recurring1_based on steps'!C$1:C$400,0)),C$2,)</f>
        <v>0</v>
      </c>
      <c r="D4" s="140">
        <f ca="1">IF(ISNUMBER(MATCH(DATEVALUE($A4),'recurring1_based on steps'!D$1:D$400,0)),D$2,)</f>
        <v>0</v>
      </c>
      <c r="E4" s="140">
        <f ca="1">IF(ISNUMBER(MATCH(DATEVALUE($A4),'recurring1_based on steps'!E$1:E$400,0)),E$2,)</f>
        <v>0</v>
      </c>
      <c r="F4" s="140">
        <f ca="1">IF(ISNUMBER(MATCH(DATEVALUE($A4),'recurring1_based on steps'!F$1:F$400,0)),F$2,)</f>
        <v>0</v>
      </c>
      <c r="G4" s="140">
        <f ca="1">IF(ISNUMBER(MATCH(DATEVALUE($A4),'recurring1_based on steps'!G$1:G$400,0)),G$2,)</f>
        <v>0</v>
      </c>
      <c r="H4" s="140">
        <f ca="1">IF(ISNUMBER(MATCH(DATEVALUE($A4),'recurring1_based on steps'!H$1:H$400,0)),H$2,)</f>
        <v>0</v>
      </c>
      <c r="I4" s="140">
        <f ca="1">IF(ISNUMBER(MATCH(DATEVALUE($A4),'recurring1_based on steps'!I$1:I$400,0)),I$2,)</f>
        <v>0</v>
      </c>
      <c r="J4" s="140">
        <f ca="1">IF(ISNUMBER(MATCH(DATEVALUE($A4),'recurring1_based on steps'!J$1:J$400,0)),J$2,)</f>
        <v>0</v>
      </c>
      <c r="K4" s="140">
        <f ca="1">IF(ISNUMBER(MATCH(DATEVALUE($A4),'recurring1_based on steps'!K$1:K$400,0)),K$2,)</f>
        <v>0</v>
      </c>
      <c r="L4" s="140">
        <f ca="1">IF(ISNUMBER(MATCH(DATEVALUE($A4),'recurring1_based on steps'!L$1:L$400,0)),L$2,)</f>
        <v>0</v>
      </c>
      <c r="M4" s="140">
        <f ca="1">IF(ISNUMBER(MATCH(DATEVALUE($A4),'recurring1_based on steps'!M$1:M$400,0)),M$2,)</f>
        <v>0</v>
      </c>
      <c r="N4" s="140">
        <f ca="1">IF(ISNUMBER(MATCH(DATEVALUE($A4),'recurring1_based on steps'!N$1:N$400,0)),N$2,)</f>
        <v>0</v>
      </c>
      <c r="O4" s="140">
        <f ca="1">IF(ISNUMBER(MATCH(DATEVALUE($A4),'recurring1_based on steps'!O$1:O$400,0)),O$2,)</f>
        <v>0</v>
      </c>
      <c r="P4" s="140">
        <f ca="1">IF(ISNUMBER(MATCH(DATEVALUE($A4),'recurring1_based on steps'!P$1:P$400,0)),P$2,)</f>
        <v>0</v>
      </c>
      <c r="Q4" s="140">
        <f ca="1">IF(ISNUMBER(MATCH(DATEVALUE($A4),'recurring1_based on steps'!Q$1:Q$400,0)),Q$2,)</f>
        <v>0</v>
      </c>
      <c r="R4" s="140">
        <f ca="1">IF(ISNUMBER(MATCH(DATEVALUE($A4),'recurring1_based on steps'!R$1:R$400,0)),R$2,)</f>
        <v>0</v>
      </c>
      <c r="S4" s="140">
        <f ca="1">IF(ISNUMBER(MATCH(DATEVALUE($A4),'recurring1_based on steps'!S$1:S$400,0)),S$2,)</f>
        <v>0</v>
      </c>
      <c r="T4" s="140">
        <f ca="1">IF(ISNUMBER(MATCH(DATEVALUE($A4),'recurring1_based on steps'!T$1:T$400,0)),T$2,)</f>
        <v>0</v>
      </c>
      <c r="U4" s="140">
        <f ca="1">IF(ISNUMBER(MATCH(DATEVALUE($A4),'recurring1_based on steps'!U$1:U$400,0)),U$2,)</f>
        <v>0</v>
      </c>
      <c r="V4" s="140">
        <f ca="1">IF(ISNUMBER(MATCH(DATEVALUE($A4),'recurring1_based on steps'!V$1:V$400,0)),V$2,)</f>
        <v>0</v>
      </c>
      <c r="W4" s="140">
        <f ca="1">IF(ISNUMBER(MATCH(DATEVALUE($A4),'recurring1_based on steps'!W$1:W$400,0)),W$2,)</f>
        <v>0</v>
      </c>
      <c r="X4" s="140">
        <f ca="1">IF(ISNUMBER(MATCH(DATEVALUE($A4),'recurring1_based on steps'!X$1:X$400,0)),X$2,)</f>
        <v>0</v>
      </c>
      <c r="Y4" s="140">
        <f ca="1">IF(ISNUMBER(MATCH(DATEVALUE($A4),'recurring1_based on steps'!Y$1:Y$400,0)),Y$2,)</f>
        <v>0</v>
      </c>
      <c r="Z4" s="140">
        <f ca="1">IF(ISNUMBER(MATCH(DATEVALUE($A4),'recurring1_based on steps'!Z$1:Z$400,0)),Z$2,)</f>
        <v>0</v>
      </c>
      <c r="AA4" s="140">
        <f ca="1">IF(ISNUMBER(MATCH(DATEVALUE($A4),'recurring1_based on steps'!AA$1:AA$400,0)),AA$2,)</f>
        <v>0</v>
      </c>
      <c r="AB4" s="140">
        <f ca="1">IF(ISNUMBER(MATCH(DATEVALUE($A4),'recurring1_based on steps'!AB$1:AB$400,0)),AB$2,)</f>
        <v>5.5401662049861494E-2</v>
      </c>
      <c r="AC4" s="140">
        <f ca="1">IF(ISNUMBER(MATCH(DATEVALUE($A4),'recurring1_based on steps'!AC$1:AC$400,0)),AC$2,)</f>
        <v>0</v>
      </c>
      <c r="AD4" s="140">
        <f ca="1">IF(ISNUMBER(MATCH(DATEVALUE($A4),'recurring1_based on steps'!AD$1:AD$400,0)),AD$2,)</f>
        <v>0</v>
      </c>
      <c r="AE4" s="140">
        <f ca="1">IF(ISNUMBER(MATCH(DATEVALUE($A4),'recurring1_based on steps'!AE$1:AE$400,0)),AE$2,)</f>
        <v>0</v>
      </c>
      <c r="AF4" s="140">
        <f ca="1">IF(ISNUMBER(MATCH(DATEVALUE($A4),'recurring1_based on steps'!AF$1:AF$400,0)),AF$2,)</f>
        <v>0</v>
      </c>
      <c r="AG4" s="140">
        <f ca="1">IF(ISNUMBER(MATCH(DATEVALUE($A4),'recurring1_based on steps'!AG$1:AG$400,0)),AG$2,)</f>
        <v>0</v>
      </c>
      <c r="AH4" s="140">
        <f ca="1">IF(ISNUMBER(MATCH(DATEVALUE($A4),'recurring1_based on steps'!AH$1:AH$400,0)),AH$2,)</f>
        <v>0</v>
      </c>
      <c r="AI4" s="140">
        <f ca="1">IF(ISNUMBER(MATCH(DATEVALUE($A4),'recurring1_based on steps'!AI$1:AI$400,0)),AI$2,)</f>
        <v>0</v>
      </c>
      <c r="AJ4" s="140">
        <f ca="1">IF(ISNUMBER(MATCH(DATEVALUE($A4),'recurring1_based on steps'!AJ$1:AJ$400,0)),AJ$2,)</f>
        <v>0</v>
      </c>
      <c r="AK4" s="140">
        <f ca="1">IF(ISNUMBER(MATCH(DATEVALUE($A4),'recurring1_based on steps'!AK$1:AK$400,0)),AK$2,)</f>
        <v>0</v>
      </c>
      <c r="AL4" s="140">
        <f ca="1">IF(ISNUMBER(MATCH(DATEVALUE($A4),'recurring1_based on steps'!AL$1:AL$400,0)),AL$2,)</f>
        <v>0</v>
      </c>
      <c r="AM4" s="140">
        <f ca="1">IF(ISNUMBER(MATCH(DATEVALUE($A4),'recurring1_based on steps'!AM$1:AM$400,0)),AM$2,)</f>
        <v>0</v>
      </c>
      <c r="AN4" s="140">
        <f ca="1">IF(ISNUMBER(MATCH(DATEVALUE($A4),'recurring1_based on steps'!AN$1:AN$400,0)),AN$2,)</f>
        <v>0</v>
      </c>
      <c r="AO4" s="140">
        <f ca="1">IF(ISNUMBER(MATCH(DATEVALUE($A4),'recurring1_based on steps'!AO$1:AO$400,0)),AO$2,)</f>
        <v>0</v>
      </c>
      <c r="AP4" s="140">
        <f ca="1">IF(ISNUMBER(MATCH(DATEVALUE($A4),'recurring1_based on steps'!AP$1:AP$400,0)),AP$2,)</f>
        <v>0</v>
      </c>
      <c r="AQ4" s="140">
        <f ca="1">IF(ISNUMBER(MATCH(DATEVALUE($A4),'recurring1_based on steps'!AQ$1:AQ$400,0)),AQ$2,)</f>
        <v>0</v>
      </c>
      <c r="AR4" s="140">
        <f ca="1">IF(ISNUMBER(MATCH(DATEVALUE($A4),'recurring1_based on steps'!AR$1:AR$400,0)),AR$2,)</f>
        <v>0</v>
      </c>
      <c r="AS4" s="140">
        <f ca="1">IF(ISNUMBER(MATCH(DATEVALUE($A4),'recurring1_based on steps'!AS$1:AS$400,0)),AS$2,)</f>
        <v>0</v>
      </c>
      <c r="AT4" s="140">
        <f ca="1">IF(ISNUMBER(MATCH(DATEVALUE($A4),'recurring1_based on steps'!AT$1:AT$400,0)),AT$2,)</f>
        <v>0</v>
      </c>
      <c r="AU4" s="140">
        <f ca="1">IF(ISNUMBER(MATCH(DATEVALUE($A4),'recurring1_based on steps'!AU$1:AU$400,0)),AU$2,)</f>
        <v>0</v>
      </c>
      <c r="AV4" s="140">
        <f ca="1">IF(ISNUMBER(MATCH(DATEVALUE($A4),'recurring1_based on steps'!AV$1:AV$400,0)),AV$2,)</f>
        <v>0</v>
      </c>
      <c r="AW4" s="140">
        <f ca="1">IF(ISNUMBER(MATCH(DATEVALUE($A4),'recurring1_based on steps'!AW$1:AW$400,0)),AW$2,)</f>
        <v>0</v>
      </c>
      <c r="AX4" s="140">
        <f ca="1">IF(ISNUMBER(MATCH(DATEVALUE($A4),'recurring1_based on steps'!AX$1:AX$400,0)),AX$2,)</f>
        <v>0</v>
      </c>
      <c r="AY4" s="140">
        <f ca="1">IF(ISNUMBER(MATCH(DATEVALUE($A4),'recurring1_based on steps'!AY$1:AY$400,0)),AY$2,)</f>
        <v>0</v>
      </c>
    </row>
    <row r="5" spans="1:51" x14ac:dyDescent="0.2">
      <c r="A5" s="29" t="str">
        <f t="shared" ref="A5:A68" ca="1" si="0">TEXT(DATEVALUE(A4)+1,"yyyy-mm-dd")</f>
        <v>2025-03-29</v>
      </c>
      <c r="B5" s="140">
        <f ca="1">IF(ISNUMBER(MATCH(DATEVALUE($A5),'recurring1_based on steps'!B$1:B$400,0)),B$2,)</f>
        <v>0</v>
      </c>
      <c r="C5" s="140">
        <f ca="1">IF(ISNUMBER(MATCH(DATEVALUE($A5),'recurring1_based on steps'!C$1:C$400,0)),C$2,)</f>
        <v>0</v>
      </c>
      <c r="D5" s="140">
        <f ca="1">IF(ISNUMBER(MATCH(DATEVALUE($A5),'recurring1_based on steps'!D$1:D$400,0)),D$2,)</f>
        <v>0</v>
      </c>
      <c r="E5" s="140">
        <f ca="1">IF(ISNUMBER(MATCH(DATEVALUE($A5),'recurring1_based on steps'!E$1:E$400,0)),E$2,)</f>
        <v>0</v>
      </c>
      <c r="F5" s="140">
        <f ca="1">IF(ISNUMBER(MATCH(DATEVALUE($A5),'recurring1_based on steps'!F$1:F$400,0)),F$2,)</f>
        <v>0</v>
      </c>
      <c r="G5" s="140">
        <f ca="1">IF(ISNUMBER(MATCH(DATEVALUE($A5),'recurring1_based on steps'!G$1:G$400,0)),G$2,)</f>
        <v>0</v>
      </c>
      <c r="H5" s="140">
        <f ca="1">IF(ISNUMBER(MATCH(DATEVALUE($A5),'recurring1_based on steps'!H$1:H$400,0)),H$2,)</f>
        <v>0</v>
      </c>
      <c r="I5" s="140">
        <f ca="1">IF(ISNUMBER(MATCH(DATEVALUE($A5),'recurring1_based on steps'!I$1:I$400,0)),I$2,)</f>
        <v>0</v>
      </c>
      <c r="J5" s="140">
        <f ca="1">IF(ISNUMBER(MATCH(DATEVALUE($A5),'recurring1_based on steps'!J$1:J$400,0)),J$2,)</f>
        <v>0</v>
      </c>
      <c r="K5" s="140">
        <f ca="1">IF(ISNUMBER(MATCH(DATEVALUE($A5),'recurring1_based on steps'!K$1:K$400,0)),K$2,)</f>
        <v>0</v>
      </c>
      <c r="L5" s="140">
        <f ca="1">IF(ISNUMBER(MATCH(DATEVALUE($A5),'recurring1_based on steps'!L$1:L$400,0)),L$2,)</f>
        <v>0</v>
      </c>
      <c r="M5" s="140">
        <f ca="1">IF(ISNUMBER(MATCH(DATEVALUE($A5),'recurring1_based on steps'!M$1:M$400,0)),M$2,)</f>
        <v>0</v>
      </c>
      <c r="N5" s="140">
        <f ca="1">IF(ISNUMBER(MATCH(DATEVALUE($A5),'recurring1_based on steps'!N$1:N$400,0)),N$2,)</f>
        <v>0</v>
      </c>
      <c r="O5" s="140">
        <f ca="1">IF(ISNUMBER(MATCH(DATEVALUE($A5),'recurring1_based on steps'!O$1:O$400,0)),O$2,)</f>
        <v>0</v>
      </c>
      <c r="P5" s="140">
        <f ca="1">IF(ISNUMBER(MATCH(DATEVALUE($A5),'recurring1_based on steps'!P$1:P$400,0)),P$2,)</f>
        <v>0</v>
      </c>
      <c r="Q5" s="140">
        <f ca="1">IF(ISNUMBER(MATCH(DATEVALUE($A5),'recurring1_based on steps'!Q$1:Q$400,0)),Q$2,)</f>
        <v>100</v>
      </c>
      <c r="R5" s="140">
        <f ca="1">IF(ISNUMBER(MATCH(DATEVALUE($A5),'recurring1_based on steps'!R$1:R$400,0)),R$2,)</f>
        <v>100</v>
      </c>
      <c r="S5" s="140">
        <f ca="1">IF(ISNUMBER(MATCH(DATEVALUE($A5),'recurring1_based on steps'!S$1:S$400,0)),S$2,)</f>
        <v>0</v>
      </c>
      <c r="T5" s="140">
        <f ca="1">IF(ISNUMBER(MATCH(DATEVALUE($A5),'recurring1_based on steps'!T$1:T$400,0)),T$2,)</f>
        <v>0</v>
      </c>
      <c r="U5" s="140">
        <f ca="1">IF(ISNUMBER(MATCH(DATEVALUE($A5),'recurring1_based on steps'!U$1:U$400,0)),U$2,)</f>
        <v>50</v>
      </c>
      <c r="V5" s="140">
        <f ca="1">IF(ISNUMBER(MATCH(DATEVALUE($A5),'recurring1_based on steps'!V$1:V$400,0)),V$2,)</f>
        <v>0</v>
      </c>
      <c r="W5" s="140">
        <f ca="1">IF(ISNUMBER(MATCH(DATEVALUE($A5),'recurring1_based on steps'!W$1:W$400,0)),W$2,)</f>
        <v>0</v>
      </c>
      <c r="X5" s="140">
        <f ca="1">IF(ISNUMBER(MATCH(DATEVALUE($A5),'recurring1_based on steps'!X$1:X$400,0)),X$2,)</f>
        <v>0</v>
      </c>
      <c r="Y5" s="140">
        <f ca="1">IF(ISNUMBER(MATCH(DATEVALUE($A5),'recurring1_based on steps'!Y$1:Y$400,0)),Y$2,)</f>
        <v>0</v>
      </c>
      <c r="Z5" s="140">
        <f ca="1">IF(ISNUMBER(MATCH(DATEVALUE($A5),'recurring1_based on steps'!Z$1:Z$400,0)),Z$2,)</f>
        <v>0</v>
      </c>
      <c r="AA5" s="140">
        <f ca="1">IF(ISNUMBER(MATCH(DATEVALUE($A5),'recurring1_based on steps'!AA$1:AA$400,0)),AA$2,)</f>
        <v>0</v>
      </c>
      <c r="AB5" s="140">
        <f ca="1">IF(ISNUMBER(MATCH(DATEVALUE($A5),'recurring1_based on steps'!AB$1:AB$400,0)),AB$2,)</f>
        <v>5.5401662049861494E-2</v>
      </c>
      <c r="AC5" s="140">
        <f ca="1">IF(ISNUMBER(MATCH(DATEVALUE($A5),'recurring1_based on steps'!AC$1:AC$400,0)),AC$2,)</f>
        <v>0</v>
      </c>
      <c r="AD5" s="140">
        <f ca="1">IF(ISNUMBER(MATCH(DATEVALUE($A5),'recurring1_based on steps'!AD$1:AD$400,0)),AD$2,)</f>
        <v>0</v>
      </c>
      <c r="AE5" s="140">
        <f ca="1">IF(ISNUMBER(MATCH(DATEVALUE($A5),'recurring1_based on steps'!AE$1:AE$400,0)),AE$2,)</f>
        <v>0</v>
      </c>
      <c r="AF5" s="140">
        <f ca="1">IF(ISNUMBER(MATCH(DATEVALUE($A5),'recurring1_based on steps'!AF$1:AF$400,0)),AF$2,)</f>
        <v>0</v>
      </c>
      <c r="AG5" s="140">
        <f ca="1">IF(ISNUMBER(MATCH(DATEVALUE($A5),'recurring1_based on steps'!AG$1:AG$400,0)),AG$2,)</f>
        <v>0</v>
      </c>
      <c r="AH5" s="140">
        <f ca="1">IF(ISNUMBER(MATCH(DATEVALUE($A5),'recurring1_based on steps'!AH$1:AH$400,0)),AH$2,)</f>
        <v>0</v>
      </c>
      <c r="AI5" s="140">
        <f ca="1">IF(ISNUMBER(MATCH(DATEVALUE($A5),'recurring1_based on steps'!AI$1:AI$400,0)),AI$2,)</f>
        <v>0</v>
      </c>
      <c r="AJ5" s="140">
        <f ca="1">IF(ISNUMBER(MATCH(DATEVALUE($A5),'recurring1_based on steps'!AJ$1:AJ$400,0)),AJ$2,)</f>
        <v>0</v>
      </c>
      <c r="AK5" s="140">
        <f ca="1">IF(ISNUMBER(MATCH(DATEVALUE($A5),'recurring1_based on steps'!AK$1:AK$400,0)),AK$2,)</f>
        <v>0</v>
      </c>
      <c r="AL5" s="140">
        <f ca="1">IF(ISNUMBER(MATCH(DATEVALUE($A5),'recurring1_based on steps'!AL$1:AL$400,0)),AL$2,)</f>
        <v>0</v>
      </c>
      <c r="AM5" s="140">
        <f ca="1">IF(ISNUMBER(MATCH(DATEVALUE($A5),'recurring1_based on steps'!AM$1:AM$400,0)),AM$2,)</f>
        <v>0</v>
      </c>
      <c r="AN5" s="140">
        <f ca="1">IF(ISNUMBER(MATCH(DATEVALUE($A5),'recurring1_based on steps'!AN$1:AN$400,0)),AN$2,)</f>
        <v>0</v>
      </c>
      <c r="AO5" s="140">
        <f ca="1">IF(ISNUMBER(MATCH(DATEVALUE($A5),'recurring1_based on steps'!AO$1:AO$400,0)),AO$2,)</f>
        <v>0</v>
      </c>
      <c r="AP5" s="140">
        <f ca="1">IF(ISNUMBER(MATCH(DATEVALUE($A5),'recurring1_based on steps'!AP$1:AP$400,0)),AP$2,)</f>
        <v>0</v>
      </c>
      <c r="AQ5" s="140">
        <f ca="1">IF(ISNUMBER(MATCH(DATEVALUE($A5),'recurring1_based on steps'!AQ$1:AQ$400,0)),AQ$2,)</f>
        <v>0</v>
      </c>
      <c r="AR5" s="140">
        <f ca="1">IF(ISNUMBER(MATCH(DATEVALUE($A5),'recurring1_based on steps'!AR$1:AR$400,0)),AR$2,)</f>
        <v>0</v>
      </c>
      <c r="AS5" s="140">
        <f ca="1">IF(ISNUMBER(MATCH(DATEVALUE($A5),'recurring1_based on steps'!AS$1:AS$400,0)),AS$2,)</f>
        <v>0</v>
      </c>
      <c r="AT5" s="140">
        <f ca="1">IF(ISNUMBER(MATCH(DATEVALUE($A5),'recurring1_based on steps'!AT$1:AT$400,0)),AT$2,)</f>
        <v>0</v>
      </c>
      <c r="AU5" s="140">
        <f ca="1">IF(ISNUMBER(MATCH(DATEVALUE($A5),'recurring1_based on steps'!AU$1:AU$400,0)),AU$2,)</f>
        <v>0</v>
      </c>
      <c r="AV5" s="140">
        <f ca="1">IF(ISNUMBER(MATCH(DATEVALUE($A5),'recurring1_based on steps'!AV$1:AV$400,0)),AV$2,)</f>
        <v>0</v>
      </c>
      <c r="AW5" s="140">
        <f ca="1">IF(ISNUMBER(MATCH(DATEVALUE($A5),'recurring1_based on steps'!AW$1:AW$400,0)),AW$2,)</f>
        <v>0</v>
      </c>
      <c r="AX5" s="140">
        <f ca="1">IF(ISNUMBER(MATCH(DATEVALUE($A5),'recurring1_based on steps'!AX$1:AX$400,0)),AX$2,)</f>
        <v>0</v>
      </c>
      <c r="AY5" s="140">
        <f ca="1">IF(ISNUMBER(MATCH(DATEVALUE($A5),'recurring1_based on steps'!AY$1:AY$400,0)),AY$2,)</f>
        <v>0</v>
      </c>
    </row>
    <row r="6" spans="1:51" x14ac:dyDescent="0.2">
      <c r="A6" s="29" t="str">
        <f t="shared" ca="1" si="0"/>
        <v>2025-03-30</v>
      </c>
      <c r="B6" s="140">
        <f ca="1">IF(ISNUMBER(MATCH(DATEVALUE($A6),'recurring1_based on steps'!B$1:B$400,0)),B$2,)</f>
        <v>0</v>
      </c>
      <c r="C6" s="140">
        <f ca="1">IF(ISNUMBER(MATCH(DATEVALUE($A6),'recurring1_based on steps'!C$1:C$400,0)),C$2,)</f>
        <v>0</v>
      </c>
      <c r="D6" s="140">
        <f ca="1">IF(ISNUMBER(MATCH(DATEVALUE($A6),'recurring1_based on steps'!D$1:D$400,0)),D$2,)</f>
        <v>0</v>
      </c>
      <c r="E6" s="140">
        <f ca="1">IF(ISNUMBER(MATCH(DATEVALUE($A6),'recurring1_based on steps'!E$1:E$400,0)),E$2,)</f>
        <v>0</v>
      </c>
      <c r="F6" s="140">
        <f ca="1">IF(ISNUMBER(MATCH(DATEVALUE($A6),'recurring1_based on steps'!F$1:F$400,0)),F$2,)</f>
        <v>0</v>
      </c>
      <c r="G6" s="140">
        <f ca="1">IF(ISNUMBER(MATCH(DATEVALUE($A6),'recurring1_based on steps'!G$1:G$400,0)),G$2,)</f>
        <v>0</v>
      </c>
      <c r="H6" s="140">
        <f ca="1">IF(ISNUMBER(MATCH(DATEVALUE($A6),'recurring1_based on steps'!H$1:H$400,0)),H$2,)</f>
        <v>0</v>
      </c>
      <c r="I6" s="140">
        <f ca="1">IF(ISNUMBER(MATCH(DATEVALUE($A6),'recurring1_based on steps'!I$1:I$400,0)),I$2,)</f>
        <v>0</v>
      </c>
      <c r="J6" s="140">
        <f ca="1">IF(ISNUMBER(MATCH(DATEVALUE($A6),'recurring1_based on steps'!J$1:J$400,0)),J$2,)</f>
        <v>0</v>
      </c>
      <c r="K6" s="140">
        <f ca="1">IF(ISNUMBER(MATCH(DATEVALUE($A6),'recurring1_based on steps'!K$1:K$400,0)),K$2,)</f>
        <v>50</v>
      </c>
      <c r="L6" s="140">
        <f ca="1">IF(ISNUMBER(MATCH(DATEVALUE($A6),'recurring1_based on steps'!L$1:L$400,0)),L$2,)</f>
        <v>0</v>
      </c>
      <c r="M6" s="140">
        <f ca="1">IF(ISNUMBER(MATCH(DATEVALUE($A6),'recurring1_based on steps'!M$1:M$400,0)),M$2,)</f>
        <v>0</v>
      </c>
      <c r="N6" s="140">
        <f ca="1">IF(ISNUMBER(MATCH(DATEVALUE($A6),'recurring1_based on steps'!N$1:N$400,0)),N$2,)</f>
        <v>0</v>
      </c>
      <c r="O6" s="140">
        <f ca="1">IF(ISNUMBER(MATCH(DATEVALUE($A6),'recurring1_based on steps'!O$1:O$400,0)),O$2,)</f>
        <v>0</v>
      </c>
      <c r="P6" s="140">
        <f ca="1">IF(ISNUMBER(MATCH(DATEVALUE($A6),'recurring1_based on steps'!P$1:P$400,0)),P$2,)</f>
        <v>0</v>
      </c>
      <c r="Q6" s="140">
        <f ca="1">IF(ISNUMBER(MATCH(DATEVALUE($A6),'recurring1_based on steps'!Q$1:Q$400,0)),Q$2,)</f>
        <v>0</v>
      </c>
      <c r="R6" s="140">
        <f ca="1">IF(ISNUMBER(MATCH(DATEVALUE($A6),'recurring1_based on steps'!R$1:R$400,0)),R$2,)</f>
        <v>0</v>
      </c>
      <c r="S6" s="140">
        <f ca="1">IF(ISNUMBER(MATCH(DATEVALUE($A6),'recurring1_based on steps'!S$1:S$400,0)),S$2,)</f>
        <v>100</v>
      </c>
      <c r="T6" s="140">
        <f ca="1">IF(ISNUMBER(MATCH(DATEVALUE($A6),'recurring1_based on steps'!T$1:T$400,0)),T$2,)</f>
        <v>0</v>
      </c>
      <c r="U6" s="140">
        <f ca="1">IF(ISNUMBER(MATCH(DATEVALUE($A6),'recurring1_based on steps'!U$1:U$400,0)),U$2,)</f>
        <v>0</v>
      </c>
      <c r="V6" s="140">
        <f ca="1">IF(ISNUMBER(MATCH(DATEVALUE($A6),'recurring1_based on steps'!V$1:V$400,0)),V$2,)</f>
        <v>0</v>
      </c>
      <c r="W6" s="140">
        <f ca="1">IF(ISNUMBER(MATCH(DATEVALUE($A6),'recurring1_based on steps'!W$1:W$400,0)),W$2,)</f>
        <v>0</v>
      </c>
      <c r="X6" s="140">
        <f ca="1">IF(ISNUMBER(MATCH(DATEVALUE($A6),'recurring1_based on steps'!X$1:X$400,0)),X$2,)</f>
        <v>0</v>
      </c>
      <c r="Y6" s="140">
        <f ca="1">IF(ISNUMBER(MATCH(DATEVALUE($A6),'recurring1_based on steps'!Y$1:Y$400,0)),Y$2,)</f>
        <v>0</v>
      </c>
      <c r="Z6" s="140">
        <f ca="1">IF(ISNUMBER(MATCH(DATEVALUE($A6),'recurring1_based on steps'!Z$1:Z$400,0)),Z$2,)</f>
        <v>0</v>
      </c>
      <c r="AA6" s="140">
        <f ca="1">IF(ISNUMBER(MATCH(DATEVALUE($A6),'recurring1_based on steps'!AA$1:AA$400,0)),AA$2,)</f>
        <v>0</v>
      </c>
      <c r="AB6" s="140">
        <f ca="1">IF(ISNUMBER(MATCH(DATEVALUE($A6),'recurring1_based on steps'!AB$1:AB$400,0)),AB$2,)</f>
        <v>5.5401662049861494E-2</v>
      </c>
      <c r="AC6" s="140">
        <f ca="1">IF(ISNUMBER(MATCH(DATEVALUE($A6),'recurring1_based on steps'!AC$1:AC$400,0)),AC$2,)</f>
        <v>0</v>
      </c>
      <c r="AD6" s="140">
        <f ca="1">IF(ISNUMBER(MATCH(DATEVALUE($A6),'recurring1_based on steps'!AD$1:AD$400,0)),AD$2,)</f>
        <v>0</v>
      </c>
      <c r="AE6" s="140">
        <f ca="1">IF(ISNUMBER(MATCH(DATEVALUE($A6),'recurring1_based on steps'!AE$1:AE$400,0)),AE$2,)</f>
        <v>0</v>
      </c>
      <c r="AF6" s="140">
        <f ca="1">IF(ISNUMBER(MATCH(DATEVALUE($A6),'recurring1_based on steps'!AF$1:AF$400,0)),AF$2,)</f>
        <v>0</v>
      </c>
      <c r="AG6" s="140">
        <f ca="1">IF(ISNUMBER(MATCH(DATEVALUE($A6),'recurring1_based on steps'!AG$1:AG$400,0)),AG$2,)</f>
        <v>0</v>
      </c>
      <c r="AH6" s="140">
        <f ca="1">IF(ISNUMBER(MATCH(DATEVALUE($A6),'recurring1_based on steps'!AH$1:AH$400,0)),AH$2,)</f>
        <v>0</v>
      </c>
      <c r="AI6" s="140">
        <f ca="1">IF(ISNUMBER(MATCH(DATEVALUE($A6),'recurring1_based on steps'!AI$1:AI$400,0)),AI$2,)</f>
        <v>0</v>
      </c>
      <c r="AJ6" s="140">
        <f ca="1">IF(ISNUMBER(MATCH(DATEVALUE($A6),'recurring1_based on steps'!AJ$1:AJ$400,0)),AJ$2,)</f>
        <v>0</v>
      </c>
      <c r="AK6" s="140">
        <f ca="1">IF(ISNUMBER(MATCH(DATEVALUE($A6),'recurring1_based on steps'!AK$1:AK$400,0)),AK$2,)</f>
        <v>0</v>
      </c>
      <c r="AL6" s="140">
        <f ca="1">IF(ISNUMBER(MATCH(DATEVALUE($A6),'recurring1_based on steps'!AL$1:AL$400,0)),AL$2,)</f>
        <v>0</v>
      </c>
      <c r="AM6" s="140">
        <f ca="1">IF(ISNUMBER(MATCH(DATEVALUE($A6),'recurring1_based on steps'!AM$1:AM$400,0)),AM$2,)</f>
        <v>0</v>
      </c>
      <c r="AN6" s="140">
        <f ca="1">IF(ISNUMBER(MATCH(DATEVALUE($A6),'recurring1_based on steps'!AN$1:AN$400,0)),AN$2,)</f>
        <v>0</v>
      </c>
      <c r="AO6" s="140">
        <f ca="1">IF(ISNUMBER(MATCH(DATEVALUE($A6),'recurring1_based on steps'!AO$1:AO$400,0)),AO$2,)</f>
        <v>0</v>
      </c>
      <c r="AP6" s="140">
        <f ca="1">IF(ISNUMBER(MATCH(DATEVALUE($A6),'recurring1_based on steps'!AP$1:AP$400,0)),AP$2,)</f>
        <v>0</v>
      </c>
      <c r="AQ6" s="140">
        <f ca="1">IF(ISNUMBER(MATCH(DATEVALUE($A6),'recurring1_based on steps'!AQ$1:AQ$400,0)),AQ$2,)</f>
        <v>0</v>
      </c>
      <c r="AR6" s="140">
        <f ca="1">IF(ISNUMBER(MATCH(DATEVALUE($A6),'recurring1_based on steps'!AR$1:AR$400,0)),AR$2,)</f>
        <v>0</v>
      </c>
      <c r="AS6" s="140">
        <f ca="1">IF(ISNUMBER(MATCH(DATEVALUE($A6),'recurring1_based on steps'!AS$1:AS$400,0)),AS$2,)</f>
        <v>0</v>
      </c>
      <c r="AT6" s="140">
        <f ca="1">IF(ISNUMBER(MATCH(DATEVALUE($A6),'recurring1_based on steps'!AT$1:AT$400,0)),AT$2,)</f>
        <v>0</v>
      </c>
      <c r="AU6" s="140">
        <f ca="1">IF(ISNUMBER(MATCH(DATEVALUE($A6),'recurring1_based on steps'!AU$1:AU$400,0)),AU$2,)</f>
        <v>0</v>
      </c>
      <c r="AV6" s="140">
        <f ca="1">IF(ISNUMBER(MATCH(DATEVALUE($A6),'recurring1_based on steps'!AV$1:AV$400,0)),AV$2,)</f>
        <v>0</v>
      </c>
      <c r="AW6" s="140">
        <f ca="1">IF(ISNUMBER(MATCH(DATEVALUE($A6),'recurring1_based on steps'!AW$1:AW$400,0)),AW$2,)</f>
        <v>0</v>
      </c>
      <c r="AX6" s="140">
        <f ca="1">IF(ISNUMBER(MATCH(DATEVALUE($A6),'recurring1_based on steps'!AX$1:AX$400,0)),AX$2,)</f>
        <v>0</v>
      </c>
      <c r="AY6" s="140">
        <f ca="1">IF(ISNUMBER(MATCH(DATEVALUE($A6),'recurring1_based on steps'!AY$1:AY$400,0)),AY$2,)</f>
        <v>0</v>
      </c>
    </row>
    <row r="7" spans="1:51" x14ac:dyDescent="0.2">
      <c r="A7" s="29" t="str">
        <f t="shared" ca="1" si="0"/>
        <v>2025-03-31</v>
      </c>
      <c r="B7" s="140">
        <f ca="1">IF(ISNUMBER(MATCH(DATEVALUE($A7),'recurring1_based on steps'!B$1:B$400,0)),B$2,)</f>
        <v>0</v>
      </c>
      <c r="C7" s="140">
        <f ca="1">IF(ISNUMBER(MATCH(DATEVALUE($A7),'recurring1_based on steps'!C$1:C$400,0)),C$2,)</f>
        <v>0</v>
      </c>
      <c r="D7" s="140">
        <f ca="1">IF(ISNUMBER(MATCH(DATEVALUE($A7),'recurring1_based on steps'!D$1:D$400,0)),D$2,)</f>
        <v>0</v>
      </c>
      <c r="E7" s="140">
        <f ca="1">IF(ISNUMBER(MATCH(DATEVALUE($A7),'recurring1_based on steps'!E$1:E$400,0)),E$2,)</f>
        <v>0</v>
      </c>
      <c r="F7" s="140">
        <f ca="1">IF(ISNUMBER(MATCH(DATEVALUE($A7),'recurring1_based on steps'!F$1:F$400,0)),F$2,)</f>
        <v>0</v>
      </c>
      <c r="G7" s="140">
        <f ca="1">IF(ISNUMBER(MATCH(DATEVALUE($A7),'recurring1_based on steps'!G$1:G$400,0)),G$2,)</f>
        <v>0</v>
      </c>
      <c r="H7" s="140">
        <f ca="1">IF(ISNUMBER(MATCH(DATEVALUE($A7),'recurring1_based on steps'!H$1:H$400,0)),H$2,)</f>
        <v>40</v>
      </c>
      <c r="I7" s="140">
        <f ca="1">IF(ISNUMBER(MATCH(DATEVALUE($A7),'recurring1_based on steps'!I$1:I$400,0)),I$2,)</f>
        <v>0</v>
      </c>
      <c r="J7" s="140">
        <f ca="1">IF(ISNUMBER(MATCH(DATEVALUE($A7),'recurring1_based on steps'!J$1:J$400,0)),J$2,)</f>
        <v>0</v>
      </c>
      <c r="K7" s="140">
        <f ca="1">IF(ISNUMBER(MATCH(DATEVALUE($A7),'recurring1_based on steps'!K$1:K$400,0)),K$2,)</f>
        <v>0</v>
      </c>
      <c r="L7" s="140">
        <f ca="1">IF(ISNUMBER(MATCH(DATEVALUE($A7),'recurring1_based on steps'!L$1:L$400,0)),L$2,)</f>
        <v>0</v>
      </c>
      <c r="M7" s="140">
        <f ca="1">IF(ISNUMBER(MATCH(DATEVALUE($A7),'recurring1_based on steps'!M$1:M$400,0)),M$2,)</f>
        <v>0</v>
      </c>
      <c r="N7" s="140">
        <f ca="1">IF(ISNUMBER(MATCH(DATEVALUE($A7),'recurring1_based on steps'!N$1:N$400,0)),N$2,)</f>
        <v>0</v>
      </c>
      <c r="O7" s="140">
        <f ca="1">IF(ISNUMBER(MATCH(DATEVALUE($A7),'recurring1_based on steps'!O$1:O$400,0)),O$2,)</f>
        <v>0</v>
      </c>
      <c r="P7" s="140">
        <f ca="1">IF(ISNUMBER(MATCH(DATEVALUE($A7),'recurring1_based on steps'!P$1:P$400,0)),P$2,)</f>
        <v>0</v>
      </c>
      <c r="Q7" s="140">
        <f ca="1">IF(ISNUMBER(MATCH(DATEVALUE($A7),'recurring1_based on steps'!Q$1:Q$400,0)),Q$2,)</f>
        <v>0</v>
      </c>
      <c r="R7" s="140">
        <f ca="1">IF(ISNUMBER(MATCH(DATEVALUE($A7),'recurring1_based on steps'!R$1:R$400,0)),R$2,)</f>
        <v>0</v>
      </c>
      <c r="S7" s="140">
        <f ca="1">IF(ISNUMBER(MATCH(DATEVALUE($A7),'recurring1_based on steps'!S$1:S$400,0)),S$2,)</f>
        <v>0</v>
      </c>
      <c r="T7" s="140">
        <f ca="1">IF(ISNUMBER(MATCH(DATEVALUE($A7),'recurring1_based on steps'!T$1:T$400,0)),T$2,)</f>
        <v>0</v>
      </c>
      <c r="U7" s="140">
        <f ca="1">IF(ISNUMBER(MATCH(DATEVALUE($A7),'recurring1_based on steps'!U$1:U$400,0)),U$2,)</f>
        <v>0</v>
      </c>
      <c r="V7" s="140">
        <f ca="1">IF(ISNUMBER(MATCH(DATEVALUE($A7),'recurring1_based on steps'!V$1:V$400,0)),V$2,)</f>
        <v>0</v>
      </c>
      <c r="W7" s="140">
        <f ca="1">IF(ISNUMBER(MATCH(DATEVALUE($A7),'recurring1_based on steps'!W$1:W$400,0)),W$2,)</f>
        <v>100</v>
      </c>
      <c r="X7" s="140">
        <f ca="1">IF(ISNUMBER(MATCH(DATEVALUE($A7),'recurring1_based on steps'!X$1:X$400,0)),X$2,)</f>
        <v>0</v>
      </c>
      <c r="Y7" s="140">
        <f ca="1">IF(ISNUMBER(MATCH(DATEVALUE($A7),'recurring1_based on steps'!Y$1:Y$400,0)),Y$2,)</f>
        <v>0</v>
      </c>
      <c r="Z7" s="140">
        <f ca="1">IF(ISNUMBER(MATCH(DATEVALUE($A7),'recurring1_based on steps'!Z$1:Z$400,0)),Z$2,)</f>
        <v>0</v>
      </c>
      <c r="AA7" s="140">
        <f ca="1">IF(ISNUMBER(MATCH(DATEVALUE($A7),'recurring1_based on steps'!AA$1:AA$400,0)),AA$2,)</f>
        <v>0</v>
      </c>
      <c r="AB7" s="140">
        <f ca="1">IF(ISNUMBER(MATCH(DATEVALUE($A7),'recurring1_based on steps'!AB$1:AB$400,0)),AB$2,)</f>
        <v>5.5401662049861494E-2</v>
      </c>
      <c r="AC7" s="140">
        <f ca="1">IF(ISNUMBER(MATCH(DATEVALUE($A7),'recurring1_based on steps'!AC$1:AC$400,0)),AC$2,)</f>
        <v>0</v>
      </c>
      <c r="AD7" s="140">
        <f ca="1">IF(ISNUMBER(MATCH(DATEVALUE($A7),'recurring1_based on steps'!AD$1:AD$400,0)),AD$2,)</f>
        <v>0</v>
      </c>
      <c r="AE7" s="140">
        <f ca="1">IF(ISNUMBER(MATCH(DATEVALUE($A7),'recurring1_based on steps'!AE$1:AE$400,0)),AE$2,)</f>
        <v>0</v>
      </c>
      <c r="AF7" s="140">
        <f ca="1">IF(ISNUMBER(MATCH(DATEVALUE($A7),'recurring1_based on steps'!AF$1:AF$400,0)),AF$2,)</f>
        <v>0</v>
      </c>
      <c r="AG7" s="140">
        <f ca="1">IF(ISNUMBER(MATCH(DATEVALUE($A7),'recurring1_based on steps'!AG$1:AG$400,0)),AG$2,)</f>
        <v>0</v>
      </c>
      <c r="AH7" s="140">
        <f ca="1">IF(ISNUMBER(MATCH(DATEVALUE($A7),'recurring1_based on steps'!AH$1:AH$400,0)),AH$2,)</f>
        <v>0</v>
      </c>
      <c r="AI7" s="140">
        <f ca="1">IF(ISNUMBER(MATCH(DATEVALUE($A7),'recurring1_based on steps'!AI$1:AI$400,0)),AI$2,)</f>
        <v>0</v>
      </c>
      <c r="AJ7" s="140">
        <f ca="1">IF(ISNUMBER(MATCH(DATEVALUE($A7),'recurring1_based on steps'!AJ$1:AJ$400,0)),AJ$2,)</f>
        <v>0</v>
      </c>
      <c r="AK7" s="140">
        <f ca="1">IF(ISNUMBER(MATCH(DATEVALUE($A7),'recurring1_based on steps'!AK$1:AK$400,0)),AK$2,)</f>
        <v>0</v>
      </c>
      <c r="AL7" s="140">
        <f ca="1">IF(ISNUMBER(MATCH(DATEVALUE($A7),'recurring1_based on steps'!AL$1:AL$400,0)),AL$2,)</f>
        <v>0</v>
      </c>
      <c r="AM7" s="140">
        <f ca="1">IF(ISNUMBER(MATCH(DATEVALUE($A7),'recurring1_based on steps'!AM$1:AM$400,0)),AM$2,)</f>
        <v>0</v>
      </c>
      <c r="AN7" s="140">
        <f ca="1">IF(ISNUMBER(MATCH(DATEVALUE($A7),'recurring1_based on steps'!AN$1:AN$400,0)),AN$2,)</f>
        <v>0</v>
      </c>
      <c r="AO7" s="140">
        <f ca="1">IF(ISNUMBER(MATCH(DATEVALUE($A7),'recurring1_based on steps'!AO$1:AO$400,0)),AO$2,)</f>
        <v>0</v>
      </c>
      <c r="AP7" s="140">
        <f ca="1">IF(ISNUMBER(MATCH(DATEVALUE($A7),'recurring1_based on steps'!AP$1:AP$400,0)),AP$2,)</f>
        <v>0</v>
      </c>
      <c r="AQ7" s="140">
        <f ca="1">IF(ISNUMBER(MATCH(DATEVALUE($A7),'recurring1_based on steps'!AQ$1:AQ$400,0)),AQ$2,)</f>
        <v>0</v>
      </c>
      <c r="AR7" s="140">
        <f ca="1">IF(ISNUMBER(MATCH(DATEVALUE($A7),'recurring1_based on steps'!AR$1:AR$400,0)),AR$2,)</f>
        <v>0</v>
      </c>
      <c r="AS7" s="140">
        <f ca="1">IF(ISNUMBER(MATCH(DATEVALUE($A7),'recurring1_based on steps'!AS$1:AS$400,0)),AS$2,)</f>
        <v>0</v>
      </c>
      <c r="AT7" s="140">
        <f ca="1">IF(ISNUMBER(MATCH(DATEVALUE($A7),'recurring1_based on steps'!AT$1:AT$400,0)),AT$2,)</f>
        <v>0</v>
      </c>
      <c r="AU7" s="140">
        <f ca="1">IF(ISNUMBER(MATCH(DATEVALUE($A7),'recurring1_based on steps'!AU$1:AU$400,0)),AU$2,)</f>
        <v>0</v>
      </c>
      <c r="AV7" s="140">
        <f ca="1">IF(ISNUMBER(MATCH(DATEVALUE($A7),'recurring1_based on steps'!AV$1:AV$400,0)),AV$2,)</f>
        <v>0</v>
      </c>
      <c r="AW7" s="140">
        <f ca="1">IF(ISNUMBER(MATCH(DATEVALUE($A7),'recurring1_based on steps'!AW$1:AW$400,0)),AW$2,)</f>
        <v>0</v>
      </c>
      <c r="AX7" s="140">
        <f ca="1">IF(ISNUMBER(MATCH(DATEVALUE($A7),'recurring1_based on steps'!AX$1:AX$400,0)),AX$2,)</f>
        <v>0</v>
      </c>
      <c r="AY7" s="140">
        <f ca="1">IF(ISNUMBER(MATCH(DATEVALUE($A7),'recurring1_based on steps'!AY$1:AY$400,0)),AY$2,)</f>
        <v>0</v>
      </c>
    </row>
    <row r="8" spans="1:51" x14ac:dyDescent="0.2">
      <c r="A8" s="29" t="str">
        <f t="shared" ca="1" si="0"/>
        <v>2025-04-01</v>
      </c>
      <c r="B8" s="140">
        <f ca="1">IF(ISNUMBER(MATCH(DATEVALUE($A8),'recurring1_based on steps'!B$1:B$400,0)),B$2,)</f>
        <v>0</v>
      </c>
      <c r="C8" s="140">
        <f ca="1">IF(ISNUMBER(MATCH(DATEVALUE($A8),'recurring1_based on steps'!C$1:C$400,0)),C$2,)</f>
        <v>0</v>
      </c>
      <c r="D8" s="140">
        <f ca="1">IF(ISNUMBER(MATCH(DATEVALUE($A8),'recurring1_based on steps'!D$1:D$400,0)),D$2,)</f>
        <v>0</v>
      </c>
      <c r="E8" s="140">
        <f ca="1">IF(ISNUMBER(MATCH(DATEVALUE($A8),'recurring1_based on steps'!E$1:E$400,0)),E$2,)</f>
        <v>0</v>
      </c>
      <c r="F8" s="140">
        <f ca="1">IF(ISNUMBER(MATCH(DATEVALUE($A8),'recurring1_based on steps'!F$1:F$400,0)),F$2,)</f>
        <v>0</v>
      </c>
      <c r="G8" s="140">
        <f ca="1">IF(ISNUMBER(MATCH(DATEVALUE($A8),'recurring1_based on steps'!G$1:G$400,0)),G$2,)</f>
        <v>0</v>
      </c>
      <c r="H8" s="140">
        <f ca="1">IF(ISNUMBER(MATCH(DATEVALUE($A8),'recurring1_based on steps'!H$1:H$400,0)),H$2,)</f>
        <v>0</v>
      </c>
      <c r="I8" s="140">
        <f ca="1">IF(ISNUMBER(MATCH(DATEVALUE($A8),'recurring1_based on steps'!I$1:I$400,0)),I$2,)</f>
        <v>2000</v>
      </c>
      <c r="J8" s="140">
        <f ca="1">IF(ISNUMBER(MATCH(DATEVALUE($A8),'recurring1_based on steps'!J$1:J$400,0)),J$2,)</f>
        <v>0</v>
      </c>
      <c r="K8" s="140">
        <f ca="1">IF(ISNUMBER(MATCH(DATEVALUE($A8),'recurring1_based on steps'!K$1:K$400,0)),K$2,)</f>
        <v>0</v>
      </c>
      <c r="L8" s="140">
        <f ca="1">IF(ISNUMBER(MATCH(DATEVALUE($A8),'recurring1_based on steps'!L$1:L$400,0)),L$2,)</f>
        <v>0</v>
      </c>
      <c r="M8" s="140">
        <f ca="1">IF(ISNUMBER(MATCH(DATEVALUE($A8),'recurring1_based on steps'!M$1:M$400,0)),M$2,)</f>
        <v>0</v>
      </c>
      <c r="N8" s="140">
        <f ca="1">IF(ISNUMBER(MATCH(DATEVALUE($A8),'recurring1_based on steps'!N$1:N$400,0)),N$2,)</f>
        <v>0</v>
      </c>
      <c r="O8" s="140">
        <f ca="1">IF(ISNUMBER(MATCH(DATEVALUE($A8),'recurring1_based on steps'!O$1:O$400,0)),O$2,)</f>
        <v>0</v>
      </c>
      <c r="P8" s="140">
        <f ca="1">IF(ISNUMBER(MATCH(DATEVALUE($A8),'recurring1_based on steps'!P$1:P$400,0)),P$2,)</f>
        <v>0</v>
      </c>
      <c r="Q8" s="140">
        <f ca="1">IF(ISNUMBER(MATCH(DATEVALUE($A8),'recurring1_based on steps'!Q$1:Q$400,0)),Q$2,)</f>
        <v>0</v>
      </c>
      <c r="R8" s="140">
        <f ca="1">IF(ISNUMBER(MATCH(DATEVALUE($A8),'recurring1_based on steps'!R$1:R$400,0)),R$2,)</f>
        <v>0</v>
      </c>
      <c r="S8" s="140">
        <f ca="1">IF(ISNUMBER(MATCH(DATEVALUE($A8),'recurring1_based on steps'!S$1:S$400,0)),S$2,)</f>
        <v>0</v>
      </c>
      <c r="T8" s="140">
        <f ca="1">IF(ISNUMBER(MATCH(DATEVALUE($A8),'recurring1_based on steps'!T$1:T$400,0)),T$2,)</f>
        <v>0</v>
      </c>
      <c r="U8" s="140">
        <f ca="1">IF(ISNUMBER(MATCH(DATEVALUE($A8),'recurring1_based on steps'!U$1:U$400,0)),U$2,)</f>
        <v>0</v>
      </c>
      <c r="V8" s="140">
        <f ca="1">IF(ISNUMBER(MATCH(DATEVALUE($A8),'recurring1_based on steps'!V$1:V$400,0)),V$2,)</f>
        <v>0</v>
      </c>
      <c r="W8" s="140">
        <f ca="1">IF(ISNUMBER(MATCH(DATEVALUE($A8),'recurring1_based on steps'!W$1:W$400,0)),W$2,)</f>
        <v>0</v>
      </c>
      <c r="X8" s="140">
        <f ca="1">IF(ISNUMBER(MATCH(DATEVALUE($A8),'recurring1_based on steps'!X$1:X$400,0)),X$2,)</f>
        <v>0</v>
      </c>
      <c r="Y8" s="140">
        <f ca="1">IF(ISNUMBER(MATCH(DATEVALUE($A8),'recurring1_based on steps'!Y$1:Y$400,0)),Y$2,)</f>
        <v>0</v>
      </c>
      <c r="Z8" s="140">
        <f ca="1">IF(ISNUMBER(MATCH(DATEVALUE($A8),'recurring1_based on steps'!Z$1:Z$400,0)),Z$2,)</f>
        <v>0</v>
      </c>
      <c r="AA8" s="140">
        <f ca="1">IF(ISNUMBER(MATCH(DATEVALUE($A8),'recurring1_based on steps'!AA$1:AA$400,0)),AA$2,)</f>
        <v>0</v>
      </c>
      <c r="AB8" s="140">
        <f ca="1">IF(ISNUMBER(MATCH(DATEVALUE($A8),'recurring1_based on steps'!AB$1:AB$400,0)),AB$2,)</f>
        <v>5.5401662049861494E-2</v>
      </c>
      <c r="AC8" s="140">
        <f ca="1">IF(ISNUMBER(MATCH(DATEVALUE($A8),'recurring1_based on steps'!AC$1:AC$400,0)),AC$2,)</f>
        <v>0</v>
      </c>
      <c r="AD8" s="140">
        <f ca="1">IF(ISNUMBER(MATCH(DATEVALUE($A8),'recurring1_based on steps'!AD$1:AD$400,0)),AD$2,)</f>
        <v>0</v>
      </c>
      <c r="AE8" s="140">
        <f ca="1">IF(ISNUMBER(MATCH(DATEVALUE($A8),'recurring1_based on steps'!AE$1:AE$400,0)),AE$2,)</f>
        <v>0</v>
      </c>
      <c r="AF8" s="140">
        <f ca="1">IF(ISNUMBER(MATCH(DATEVALUE($A8),'recurring1_based on steps'!AF$1:AF$400,0)),AF$2,)</f>
        <v>0</v>
      </c>
      <c r="AG8" s="140">
        <f ca="1">IF(ISNUMBER(MATCH(DATEVALUE($A8),'recurring1_based on steps'!AG$1:AG$400,0)),AG$2,)</f>
        <v>0</v>
      </c>
      <c r="AH8" s="140">
        <f ca="1">IF(ISNUMBER(MATCH(DATEVALUE($A8),'recurring1_based on steps'!AH$1:AH$400,0)),AH$2,)</f>
        <v>0</v>
      </c>
      <c r="AI8" s="140">
        <f ca="1">IF(ISNUMBER(MATCH(DATEVALUE($A8),'recurring1_based on steps'!AI$1:AI$400,0)),AI$2,)</f>
        <v>0</v>
      </c>
      <c r="AJ8" s="140">
        <f ca="1">IF(ISNUMBER(MATCH(DATEVALUE($A8),'recurring1_based on steps'!AJ$1:AJ$400,0)),AJ$2,)</f>
        <v>0</v>
      </c>
      <c r="AK8" s="140">
        <f ca="1">IF(ISNUMBER(MATCH(DATEVALUE($A8),'recurring1_based on steps'!AK$1:AK$400,0)),AK$2,)</f>
        <v>0</v>
      </c>
      <c r="AL8" s="140">
        <f ca="1">IF(ISNUMBER(MATCH(DATEVALUE($A8),'recurring1_based on steps'!AL$1:AL$400,0)),AL$2,)</f>
        <v>0</v>
      </c>
      <c r="AM8" s="140">
        <f ca="1">IF(ISNUMBER(MATCH(DATEVALUE($A8),'recurring1_based on steps'!AM$1:AM$400,0)),AM$2,)</f>
        <v>0</v>
      </c>
      <c r="AN8" s="140">
        <f ca="1">IF(ISNUMBER(MATCH(DATEVALUE($A8),'recurring1_based on steps'!AN$1:AN$400,0)),AN$2,)</f>
        <v>0</v>
      </c>
      <c r="AO8" s="140">
        <f ca="1">IF(ISNUMBER(MATCH(DATEVALUE($A8),'recurring1_based on steps'!AO$1:AO$400,0)),AO$2,)</f>
        <v>0</v>
      </c>
      <c r="AP8" s="140">
        <f ca="1">IF(ISNUMBER(MATCH(DATEVALUE($A8),'recurring1_based on steps'!AP$1:AP$400,0)),AP$2,)</f>
        <v>0</v>
      </c>
      <c r="AQ8" s="140">
        <f ca="1">IF(ISNUMBER(MATCH(DATEVALUE($A8),'recurring1_based on steps'!AQ$1:AQ$400,0)),AQ$2,)</f>
        <v>0</v>
      </c>
      <c r="AR8" s="140">
        <f ca="1">IF(ISNUMBER(MATCH(DATEVALUE($A8),'recurring1_based on steps'!AR$1:AR$400,0)),AR$2,)</f>
        <v>0</v>
      </c>
      <c r="AS8" s="140">
        <f ca="1">IF(ISNUMBER(MATCH(DATEVALUE($A8),'recurring1_based on steps'!AS$1:AS$400,0)),AS$2,)</f>
        <v>0</v>
      </c>
      <c r="AT8" s="140">
        <f ca="1">IF(ISNUMBER(MATCH(DATEVALUE($A8),'recurring1_based on steps'!AT$1:AT$400,0)),AT$2,)</f>
        <v>0</v>
      </c>
      <c r="AU8" s="140">
        <f ca="1">IF(ISNUMBER(MATCH(DATEVALUE($A8),'recurring1_based on steps'!AU$1:AU$400,0)),AU$2,)</f>
        <v>0</v>
      </c>
      <c r="AV8" s="140">
        <f ca="1">IF(ISNUMBER(MATCH(DATEVALUE($A8),'recurring1_based on steps'!AV$1:AV$400,0)),AV$2,)</f>
        <v>0</v>
      </c>
      <c r="AW8" s="140">
        <f ca="1">IF(ISNUMBER(MATCH(DATEVALUE($A8),'recurring1_based on steps'!AW$1:AW$400,0)),AW$2,)</f>
        <v>0</v>
      </c>
      <c r="AX8" s="140">
        <f ca="1">IF(ISNUMBER(MATCH(DATEVALUE($A8),'recurring1_based on steps'!AX$1:AX$400,0)),AX$2,)</f>
        <v>0</v>
      </c>
      <c r="AY8" s="140">
        <f ca="1">IF(ISNUMBER(MATCH(DATEVALUE($A8),'recurring1_based on steps'!AY$1:AY$400,0)),AY$2,)</f>
        <v>0</v>
      </c>
    </row>
    <row r="9" spans="1:51" x14ac:dyDescent="0.2">
      <c r="A9" s="29" t="str">
        <f t="shared" ca="1" si="0"/>
        <v>2025-04-02</v>
      </c>
      <c r="B9" s="140">
        <f ca="1">IF(ISNUMBER(MATCH(DATEVALUE($A9),'recurring1_based on steps'!B$1:B$400,0)),B$2,)</f>
        <v>0</v>
      </c>
      <c r="C9" s="140">
        <f ca="1">IF(ISNUMBER(MATCH(DATEVALUE($A9),'recurring1_based on steps'!C$1:C$400,0)),C$2,)</f>
        <v>0</v>
      </c>
      <c r="D9" s="140">
        <f ca="1">IF(ISNUMBER(MATCH(DATEVALUE($A9),'recurring1_based on steps'!D$1:D$400,0)),D$2,)</f>
        <v>0</v>
      </c>
      <c r="E9" s="140">
        <f ca="1">IF(ISNUMBER(MATCH(DATEVALUE($A9),'recurring1_based on steps'!E$1:E$400,0)),E$2,)</f>
        <v>0</v>
      </c>
      <c r="F9" s="140">
        <f ca="1">IF(ISNUMBER(MATCH(DATEVALUE($A9),'recurring1_based on steps'!F$1:F$400,0)),F$2,)</f>
        <v>0</v>
      </c>
      <c r="G9" s="140">
        <f ca="1">IF(ISNUMBER(MATCH(DATEVALUE($A9),'recurring1_based on steps'!G$1:G$400,0)),G$2,)</f>
        <v>0</v>
      </c>
      <c r="H9" s="140">
        <f ca="1">IF(ISNUMBER(MATCH(DATEVALUE($A9),'recurring1_based on steps'!H$1:H$400,0)),H$2,)</f>
        <v>0</v>
      </c>
      <c r="I9" s="140">
        <f ca="1">IF(ISNUMBER(MATCH(DATEVALUE($A9),'recurring1_based on steps'!I$1:I$400,0)),I$2,)</f>
        <v>0</v>
      </c>
      <c r="J9" s="140">
        <f ca="1">IF(ISNUMBER(MATCH(DATEVALUE($A9),'recurring1_based on steps'!J$1:J$400,0)),J$2,)</f>
        <v>0</v>
      </c>
      <c r="K9" s="140">
        <f ca="1">IF(ISNUMBER(MATCH(DATEVALUE($A9),'recurring1_based on steps'!K$1:K$400,0)),K$2,)</f>
        <v>0</v>
      </c>
      <c r="L9" s="140">
        <f ca="1">IF(ISNUMBER(MATCH(DATEVALUE($A9),'recurring1_based on steps'!L$1:L$400,0)),L$2,)</f>
        <v>0</v>
      </c>
      <c r="M9" s="140">
        <f ca="1">IF(ISNUMBER(MATCH(DATEVALUE($A9),'recurring1_based on steps'!M$1:M$400,0)),M$2,)</f>
        <v>0</v>
      </c>
      <c r="N9" s="140">
        <f ca="1">IF(ISNUMBER(MATCH(DATEVALUE($A9),'recurring1_based on steps'!N$1:N$400,0)),N$2,)</f>
        <v>0</v>
      </c>
      <c r="O9" s="140">
        <f ca="1">IF(ISNUMBER(MATCH(DATEVALUE($A9),'recurring1_based on steps'!O$1:O$400,0)),O$2,)</f>
        <v>0</v>
      </c>
      <c r="P9" s="140">
        <f ca="1">IF(ISNUMBER(MATCH(DATEVALUE($A9),'recurring1_based on steps'!P$1:P$400,0)),P$2,)</f>
        <v>0</v>
      </c>
      <c r="Q9" s="140">
        <f ca="1">IF(ISNUMBER(MATCH(DATEVALUE($A9),'recurring1_based on steps'!Q$1:Q$400,0)),Q$2,)</f>
        <v>0</v>
      </c>
      <c r="R9" s="140">
        <f ca="1">IF(ISNUMBER(MATCH(DATEVALUE($A9),'recurring1_based on steps'!R$1:R$400,0)),R$2,)</f>
        <v>0</v>
      </c>
      <c r="S9" s="140">
        <f ca="1">IF(ISNUMBER(MATCH(DATEVALUE($A9),'recurring1_based on steps'!S$1:S$400,0)),S$2,)</f>
        <v>0</v>
      </c>
      <c r="T9" s="140">
        <f ca="1">IF(ISNUMBER(MATCH(DATEVALUE($A9),'recurring1_based on steps'!T$1:T$400,0)),T$2,)</f>
        <v>0</v>
      </c>
      <c r="U9" s="140">
        <f ca="1">IF(ISNUMBER(MATCH(DATEVALUE($A9),'recurring1_based on steps'!U$1:U$400,0)),U$2,)</f>
        <v>0</v>
      </c>
      <c r="V9" s="140">
        <f ca="1">IF(ISNUMBER(MATCH(DATEVALUE($A9),'recurring1_based on steps'!V$1:V$400,0)),V$2,)</f>
        <v>0</v>
      </c>
      <c r="W9" s="140">
        <f ca="1">IF(ISNUMBER(MATCH(DATEVALUE($A9),'recurring1_based on steps'!W$1:W$400,0)),W$2,)</f>
        <v>0</v>
      </c>
      <c r="X9" s="140">
        <f ca="1">IF(ISNUMBER(MATCH(DATEVALUE($A9),'recurring1_based on steps'!X$1:X$400,0)),X$2,)</f>
        <v>0</v>
      </c>
      <c r="Y9" s="140">
        <f ca="1">IF(ISNUMBER(MATCH(DATEVALUE($A9),'recurring1_based on steps'!Y$1:Y$400,0)),Y$2,)</f>
        <v>0</v>
      </c>
      <c r="Z9" s="140">
        <f ca="1">IF(ISNUMBER(MATCH(DATEVALUE($A9),'recurring1_based on steps'!Z$1:Z$400,0)),Z$2,)</f>
        <v>0</v>
      </c>
      <c r="AA9" s="140">
        <f ca="1">IF(ISNUMBER(MATCH(DATEVALUE($A9),'recurring1_based on steps'!AA$1:AA$400,0)),AA$2,)</f>
        <v>0</v>
      </c>
      <c r="AB9" s="140">
        <f ca="1">IF(ISNUMBER(MATCH(DATEVALUE($A9),'recurring1_based on steps'!AB$1:AB$400,0)),AB$2,)</f>
        <v>5.5401662049861494E-2</v>
      </c>
      <c r="AC9" s="140">
        <f ca="1">IF(ISNUMBER(MATCH(DATEVALUE($A9),'recurring1_based on steps'!AC$1:AC$400,0)),AC$2,)</f>
        <v>0</v>
      </c>
      <c r="AD9" s="140">
        <f ca="1">IF(ISNUMBER(MATCH(DATEVALUE($A9),'recurring1_based on steps'!AD$1:AD$400,0)),AD$2,)</f>
        <v>0</v>
      </c>
      <c r="AE9" s="140">
        <f ca="1">IF(ISNUMBER(MATCH(DATEVALUE($A9),'recurring1_based on steps'!AE$1:AE$400,0)),AE$2,)</f>
        <v>0</v>
      </c>
      <c r="AF9" s="140">
        <f ca="1">IF(ISNUMBER(MATCH(DATEVALUE($A9),'recurring1_based on steps'!AF$1:AF$400,0)),AF$2,)</f>
        <v>0</v>
      </c>
      <c r="AG9" s="140">
        <f ca="1">IF(ISNUMBER(MATCH(DATEVALUE($A9),'recurring1_based on steps'!AG$1:AG$400,0)),AG$2,)</f>
        <v>0</v>
      </c>
      <c r="AH9" s="140">
        <f ca="1">IF(ISNUMBER(MATCH(DATEVALUE($A9),'recurring1_based on steps'!AH$1:AH$400,0)),AH$2,)</f>
        <v>0</v>
      </c>
      <c r="AI9" s="140">
        <f ca="1">IF(ISNUMBER(MATCH(DATEVALUE($A9),'recurring1_based on steps'!AI$1:AI$400,0)),AI$2,)</f>
        <v>0</v>
      </c>
      <c r="AJ9" s="140">
        <f ca="1">IF(ISNUMBER(MATCH(DATEVALUE($A9),'recurring1_based on steps'!AJ$1:AJ$400,0)),AJ$2,)</f>
        <v>0</v>
      </c>
      <c r="AK9" s="140">
        <f ca="1">IF(ISNUMBER(MATCH(DATEVALUE($A9),'recurring1_based on steps'!AK$1:AK$400,0)),AK$2,)</f>
        <v>0</v>
      </c>
      <c r="AL9" s="140">
        <f ca="1">IF(ISNUMBER(MATCH(DATEVALUE($A9),'recurring1_based on steps'!AL$1:AL$400,0)),AL$2,)</f>
        <v>0</v>
      </c>
      <c r="AM9" s="140">
        <f ca="1">IF(ISNUMBER(MATCH(DATEVALUE($A9),'recurring1_based on steps'!AM$1:AM$400,0)),AM$2,)</f>
        <v>0</v>
      </c>
      <c r="AN9" s="140">
        <f ca="1">IF(ISNUMBER(MATCH(DATEVALUE($A9),'recurring1_based on steps'!AN$1:AN$400,0)),AN$2,)</f>
        <v>0</v>
      </c>
      <c r="AO9" s="140">
        <f ca="1">IF(ISNUMBER(MATCH(DATEVALUE($A9),'recurring1_based on steps'!AO$1:AO$400,0)),AO$2,)</f>
        <v>0</v>
      </c>
      <c r="AP9" s="140">
        <f ca="1">IF(ISNUMBER(MATCH(DATEVALUE($A9),'recurring1_based on steps'!AP$1:AP$400,0)),AP$2,)</f>
        <v>0</v>
      </c>
      <c r="AQ9" s="140">
        <f ca="1">IF(ISNUMBER(MATCH(DATEVALUE($A9),'recurring1_based on steps'!AQ$1:AQ$400,0)),AQ$2,)</f>
        <v>0</v>
      </c>
      <c r="AR9" s="140">
        <f ca="1">IF(ISNUMBER(MATCH(DATEVALUE($A9),'recurring1_based on steps'!AR$1:AR$400,0)),AR$2,)</f>
        <v>0</v>
      </c>
      <c r="AS9" s="140">
        <f ca="1">IF(ISNUMBER(MATCH(DATEVALUE($A9),'recurring1_based on steps'!AS$1:AS$400,0)),AS$2,)</f>
        <v>0</v>
      </c>
      <c r="AT9" s="140">
        <f ca="1">IF(ISNUMBER(MATCH(DATEVALUE($A9),'recurring1_based on steps'!AT$1:AT$400,0)),AT$2,)</f>
        <v>0</v>
      </c>
      <c r="AU9" s="140">
        <f ca="1">IF(ISNUMBER(MATCH(DATEVALUE($A9),'recurring1_based on steps'!AU$1:AU$400,0)),AU$2,)</f>
        <v>0</v>
      </c>
      <c r="AV9" s="140">
        <f ca="1">IF(ISNUMBER(MATCH(DATEVALUE($A9),'recurring1_based on steps'!AV$1:AV$400,0)),AV$2,)</f>
        <v>0</v>
      </c>
      <c r="AW9" s="140">
        <f ca="1">IF(ISNUMBER(MATCH(DATEVALUE($A9),'recurring1_based on steps'!AW$1:AW$400,0)),AW$2,)</f>
        <v>0</v>
      </c>
      <c r="AX9" s="140">
        <f ca="1">IF(ISNUMBER(MATCH(DATEVALUE($A9),'recurring1_based on steps'!AX$1:AX$400,0)),AX$2,)</f>
        <v>0</v>
      </c>
      <c r="AY9" s="140">
        <f ca="1">IF(ISNUMBER(MATCH(DATEVALUE($A9),'recurring1_based on steps'!AY$1:AY$400,0)),AY$2,)</f>
        <v>0</v>
      </c>
    </row>
    <row r="10" spans="1:51" x14ac:dyDescent="0.2">
      <c r="A10" s="29" t="str">
        <f t="shared" ca="1" si="0"/>
        <v>2025-04-03</v>
      </c>
      <c r="B10" s="140">
        <f ca="1">IF(ISNUMBER(MATCH(DATEVALUE($A10),'recurring1_based on steps'!B$1:B$400,0)),B$2,)</f>
        <v>0</v>
      </c>
      <c r="C10" s="140">
        <f ca="1">IF(ISNUMBER(MATCH(DATEVALUE($A10),'recurring1_based on steps'!C$1:C$400,0)),C$2,)</f>
        <v>0</v>
      </c>
      <c r="D10" s="140">
        <f ca="1">IF(ISNUMBER(MATCH(DATEVALUE($A10),'recurring1_based on steps'!D$1:D$400,0)),D$2,)</f>
        <v>0</v>
      </c>
      <c r="E10" s="140">
        <f ca="1">IF(ISNUMBER(MATCH(DATEVALUE($A10),'recurring1_based on steps'!E$1:E$400,0)),E$2,)</f>
        <v>0</v>
      </c>
      <c r="F10" s="140">
        <f ca="1">IF(ISNUMBER(MATCH(DATEVALUE($A10),'recurring1_based on steps'!F$1:F$400,0)),F$2,)</f>
        <v>0</v>
      </c>
      <c r="G10" s="140">
        <f ca="1">IF(ISNUMBER(MATCH(DATEVALUE($A10),'recurring1_based on steps'!G$1:G$400,0)),G$2,)</f>
        <v>0</v>
      </c>
      <c r="H10" s="140">
        <f ca="1">IF(ISNUMBER(MATCH(DATEVALUE($A10),'recurring1_based on steps'!H$1:H$400,0)),H$2,)</f>
        <v>0</v>
      </c>
      <c r="I10" s="140">
        <f ca="1">IF(ISNUMBER(MATCH(DATEVALUE($A10),'recurring1_based on steps'!I$1:I$400,0)),I$2,)</f>
        <v>0</v>
      </c>
      <c r="J10" s="140">
        <f ca="1">IF(ISNUMBER(MATCH(DATEVALUE($A10),'recurring1_based on steps'!J$1:J$400,0)),J$2,)</f>
        <v>0</v>
      </c>
      <c r="K10" s="140">
        <f ca="1">IF(ISNUMBER(MATCH(DATEVALUE($A10),'recurring1_based on steps'!K$1:K$400,0)),K$2,)</f>
        <v>0</v>
      </c>
      <c r="L10" s="140">
        <f ca="1">IF(ISNUMBER(MATCH(DATEVALUE($A10),'recurring1_based on steps'!L$1:L$400,0)),L$2,)</f>
        <v>0</v>
      </c>
      <c r="M10" s="140">
        <f ca="1">IF(ISNUMBER(MATCH(DATEVALUE($A10),'recurring1_based on steps'!M$1:M$400,0)),M$2,)</f>
        <v>0</v>
      </c>
      <c r="N10" s="140">
        <f ca="1">IF(ISNUMBER(MATCH(DATEVALUE($A10),'recurring1_based on steps'!N$1:N$400,0)),N$2,)</f>
        <v>0</v>
      </c>
      <c r="O10" s="140">
        <f ca="1">IF(ISNUMBER(MATCH(DATEVALUE($A10),'recurring1_based on steps'!O$1:O$400,0)),O$2,)</f>
        <v>0</v>
      </c>
      <c r="P10" s="140">
        <f ca="1">IF(ISNUMBER(MATCH(DATEVALUE($A10),'recurring1_based on steps'!P$1:P$400,0)),P$2,)</f>
        <v>0</v>
      </c>
      <c r="Q10" s="140">
        <f ca="1">IF(ISNUMBER(MATCH(DATEVALUE($A10),'recurring1_based on steps'!Q$1:Q$400,0)),Q$2,)</f>
        <v>0</v>
      </c>
      <c r="R10" s="140">
        <f ca="1">IF(ISNUMBER(MATCH(DATEVALUE($A10),'recurring1_based on steps'!R$1:R$400,0)),R$2,)</f>
        <v>0</v>
      </c>
      <c r="S10" s="140">
        <f ca="1">IF(ISNUMBER(MATCH(DATEVALUE($A10),'recurring1_based on steps'!S$1:S$400,0)),S$2,)</f>
        <v>0</v>
      </c>
      <c r="T10" s="140">
        <f ca="1">IF(ISNUMBER(MATCH(DATEVALUE($A10),'recurring1_based on steps'!T$1:T$400,0)),T$2,)</f>
        <v>0</v>
      </c>
      <c r="U10" s="140">
        <f ca="1">IF(ISNUMBER(MATCH(DATEVALUE($A10),'recurring1_based on steps'!U$1:U$400,0)),U$2,)</f>
        <v>0</v>
      </c>
      <c r="V10" s="140">
        <f ca="1">IF(ISNUMBER(MATCH(DATEVALUE($A10),'recurring1_based on steps'!V$1:V$400,0)),V$2,)</f>
        <v>0</v>
      </c>
      <c r="W10" s="140">
        <f ca="1">IF(ISNUMBER(MATCH(DATEVALUE($A10),'recurring1_based on steps'!W$1:W$400,0)),W$2,)</f>
        <v>0</v>
      </c>
      <c r="X10" s="140">
        <f ca="1">IF(ISNUMBER(MATCH(DATEVALUE($A10),'recurring1_based on steps'!X$1:X$400,0)),X$2,)</f>
        <v>0</v>
      </c>
      <c r="Y10" s="140">
        <f ca="1">IF(ISNUMBER(MATCH(DATEVALUE($A10),'recurring1_based on steps'!Y$1:Y$400,0)),Y$2,)</f>
        <v>0</v>
      </c>
      <c r="Z10" s="140">
        <f ca="1">IF(ISNUMBER(MATCH(DATEVALUE($A10),'recurring1_based on steps'!Z$1:Z$400,0)),Z$2,)</f>
        <v>0</v>
      </c>
      <c r="AA10" s="140">
        <f ca="1">IF(ISNUMBER(MATCH(DATEVALUE($A10),'recurring1_based on steps'!AA$1:AA$400,0)),AA$2,)</f>
        <v>0</v>
      </c>
      <c r="AB10" s="140">
        <f ca="1">IF(ISNUMBER(MATCH(DATEVALUE($A10),'recurring1_based on steps'!AB$1:AB$400,0)),AB$2,)</f>
        <v>5.5401662049861494E-2</v>
      </c>
      <c r="AC10" s="140">
        <f ca="1">IF(ISNUMBER(MATCH(DATEVALUE($A10),'recurring1_based on steps'!AC$1:AC$400,0)),AC$2,)</f>
        <v>0</v>
      </c>
      <c r="AD10" s="140">
        <f ca="1">IF(ISNUMBER(MATCH(DATEVALUE($A10),'recurring1_based on steps'!AD$1:AD$400,0)),AD$2,)</f>
        <v>0</v>
      </c>
      <c r="AE10" s="140">
        <f ca="1">IF(ISNUMBER(MATCH(DATEVALUE($A10),'recurring1_based on steps'!AE$1:AE$400,0)),AE$2,)</f>
        <v>0</v>
      </c>
      <c r="AF10" s="140">
        <f ca="1">IF(ISNUMBER(MATCH(DATEVALUE($A10),'recurring1_based on steps'!AF$1:AF$400,0)),AF$2,)</f>
        <v>0</v>
      </c>
      <c r="AG10" s="140">
        <f ca="1">IF(ISNUMBER(MATCH(DATEVALUE($A10),'recurring1_based on steps'!AG$1:AG$400,0)),AG$2,)</f>
        <v>0</v>
      </c>
      <c r="AH10" s="140">
        <f ca="1">IF(ISNUMBER(MATCH(DATEVALUE($A10),'recurring1_based on steps'!AH$1:AH$400,0)),AH$2,)</f>
        <v>0</v>
      </c>
      <c r="AI10" s="140">
        <f ca="1">IF(ISNUMBER(MATCH(DATEVALUE($A10),'recurring1_based on steps'!AI$1:AI$400,0)),AI$2,)</f>
        <v>0</v>
      </c>
      <c r="AJ10" s="140">
        <f ca="1">IF(ISNUMBER(MATCH(DATEVALUE($A10),'recurring1_based on steps'!AJ$1:AJ$400,0)),AJ$2,)</f>
        <v>0</v>
      </c>
      <c r="AK10" s="140">
        <f ca="1">IF(ISNUMBER(MATCH(DATEVALUE($A10),'recurring1_based on steps'!AK$1:AK$400,0)),AK$2,)</f>
        <v>0</v>
      </c>
      <c r="AL10" s="140">
        <f ca="1">IF(ISNUMBER(MATCH(DATEVALUE($A10),'recurring1_based on steps'!AL$1:AL$400,0)),AL$2,)</f>
        <v>0</v>
      </c>
      <c r="AM10" s="140">
        <f ca="1">IF(ISNUMBER(MATCH(DATEVALUE($A10),'recurring1_based on steps'!AM$1:AM$400,0)),AM$2,)</f>
        <v>0</v>
      </c>
      <c r="AN10" s="140">
        <f ca="1">IF(ISNUMBER(MATCH(DATEVALUE($A10),'recurring1_based on steps'!AN$1:AN$400,0)),AN$2,)</f>
        <v>0</v>
      </c>
      <c r="AO10" s="140">
        <f ca="1">IF(ISNUMBER(MATCH(DATEVALUE($A10),'recurring1_based on steps'!AO$1:AO$400,0)),AO$2,)</f>
        <v>0</v>
      </c>
      <c r="AP10" s="140">
        <f ca="1">IF(ISNUMBER(MATCH(DATEVALUE($A10),'recurring1_based on steps'!AP$1:AP$400,0)),AP$2,)</f>
        <v>0</v>
      </c>
      <c r="AQ10" s="140">
        <f ca="1">IF(ISNUMBER(MATCH(DATEVALUE($A10),'recurring1_based on steps'!AQ$1:AQ$400,0)),AQ$2,)</f>
        <v>0</v>
      </c>
      <c r="AR10" s="140">
        <f ca="1">IF(ISNUMBER(MATCH(DATEVALUE($A10),'recurring1_based on steps'!AR$1:AR$400,0)),AR$2,)</f>
        <v>0</v>
      </c>
      <c r="AS10" s="140">
        <f ca="1">IF(ISNUMBER(MATCH(DATEVALUE($A10),'recurring1_based on steps'!AS$1:AS$400,0)),AS$2,)</f>
        <v>0</v>
      </c>
      <c r="AT10" s="140">
        <f ca="1">IF(ISNUMBER(MATCH(DATEVALUE($A10),'recurring1_based on steps'!AT$1:AT$400,0)),AT$2,)</f>
        <v>0</v>
      </c>
      <c r="AU10" s="140">
        <f ca="1">IF(ISNUMBER(MATCH(DATEVALUE($A10),'recurring1_based on steps'!AU$1:AU$400,0)),AU$2,)</f>
        <v>0</v>
      </c>
      <c r="AV10" s="140">
        <f ca="1">IF(ISNUMBER(MATCH(DATEVALUE($A10),'recurring1_based on steps'!AV$1:AV$400,0)),AV$2,)</f>
        <v>0</v>
      </c>
      <c r="AW10" s="140">
        <f ca="1">IF(ISNUMBER(MATCH(DATEVALUE($A10),'recurring1_based on steps'!AW$1:AW$400,0)),AW$2,)</f>
        <v>0</v>
      </c>
      <c r="AX10" s="140">
        <f ca="1">IF(ISNUMBER(MATCH(DATEVALUE($A10),'recurring1_based on steps'!AX$1:AX$400,0)),AX$2,)</f>
        <v>0</v>
      </c>
      <c r="AY10" s="140">
        <f ca="1">IF(ISNUMBER(MATCH(DATEVALUE($A10),'recurring1_based on steps'!AY$1:AY$400,0)),AY$2,)</f>
        <v>0</v>
      </c>
    </row>
    <row r="11" spans="1:51" x14ac:dyDescent="0.2">
      <c r="A11" s="29" t="str">
        <f t="shared" ca="1" si="0"/>
        <v>2025-04-04</v>
      </c>
      <c r="B11" s="140">
        <f ca="1">IF(ISNUMBER(MATCH(DATEVALUE($A11),'recurring1_based on steps'!B$1:B$400,0)),B$2,)</f>
        <v>4000</v>
      </c>
      <c r="C11" s="140">
        <f ca="1">IF(ISNUMBER(MATCH(DATEVALUE($A11),'recurring1_based on steps'!C$1:C$400,0)),C$2,)</f>
        <v>200</v>
      </c>
      <c r="D11" s="140">
        <f ca="1">IF(ISNUMBER(MATCH(DATEVALUE($A11),'recurring1_based on steps'!D$1:D$400,0)),D$2,)</f>
        <v>2</v>
      </c>
      <c r="E11" s="140">
        <f ca="1">IF(ISNUMBER(MATCH(DATEVALUE($A11),'recurring1_based on steps'!E$1:E$400,0)),E$2,)</f>
        <v>40</v>
      </c>
      <c r="F11" s="140">
        <f ca="1">IF(ISNUMBER(MATCH(DATEVALUE($A11),'recurring1_based on steps'!F$1:F$400,0)),F$2,)</f>
        <v>50</v>
      </c>
      <c r="G11" s="140">
        <f ca="1">IF(ISNUMBER(MATCH(DATEVALUE($A11),'recurring1_based on steps'!G$1:G$400,0)),G$2,)</f>
        <v>4</v>
      </c>
      <c r="H11" s="140">
        <f ca="1">IF(ISNUMBER(MATCH(DATEVALUE($A11),'recurring1_based on steps'!H$1:H$400,0)),H$2,)</f>
        <v>0</v>
      </c>
      <c r="I11" s="140">
        <f ca="1">IF(ISNUMBER(MATCH(DATEVALUE($A11),'recurring1_based on steps'!I$1:I$400,0)),I$2,)</f>
        <v>0</v>
      </c>
      <c r="J11" s="140">
        <f ca="1">IF(ISNUMBER(MATCH(DATEVALUE($A11),'recurring1_based on steps'!J$1:J$400,0)),J$2,)</f>
        <v>0</v>
      </c>
      <c r="K11" s="140">
        <f ca="1">IF(ISNUMBER(MATCH(DATEVALUE($A11),'recurring1_based on steps'!K$1:K$400,0)),K$2,)</f>
        <v>0</v>
      </c>
      <c r="L11" s="140">
        <f ca="1">IF(ISNUMBER(MATCH(DATEVALUE($A11),'recurring1_based on steps'!L$1:L$400,0)),L$2,)</f>
        <v>0</v>
      </c>
      <c r="M11" s="140">
        <f ca="1">IF(ISNUMBER(MATCH(DATEVALUE($A11),'recurring1_based on steps'!M$1:M$400,0)),M$2,)</f>
        <v>15</v>
      </c>
      <c r="N11" s="140">
        <f ca="1">IF(ISNUMBER(MATCH(DATEVALUE($A11),'recurring1_based on steps'!N$1:N$400,0)),N$2,)</f>
        <v>0</v>
      </c>
      <c r="O11" s="140">
        <f ca="1">IF(ISNUMBER(MATCH(DATEVALUE($A11),'recurring1_based on steps'!O$1:O$400,0)),O$2,)</f>
        <v>0</v>
      </c>
      <c r="P11" s="140">
        <f ca="1">IF(ISNUMBER(MATCH(DATEVALUE($A11),'recurring1_based on steps'!P$1:P$400,0)),P$2,)</f>
        <v>0</v>
      </c>
      <c r="Q11" s="140">
        <f ca="1">IF(ISNUMBER(MATCH(DATEVALUE($A11),'recurring1_based on steps'!Q$1:Q$400,0)),Q$2,)</f>
        <v>0</v>
      </c>
      <c r="R11" s="140">
        <f ca="1">IF(ISNUMBER(MATCH(DATEVALUE($A11),'recurring1_based on steps'!R$1:R$400,0)),R$2,)</f>
        <v>0</v>
      </c>
      <c r="S11" s="140">
        <f ca="1">IF(ISNUMBER(MATCH(DATEVALUE($A11),'recurring1_based on steps'!S$1:S$400,0)),S$2,)</f>
        <v>0</v>
      </c>
      <c r="T11" s="140">
        <f ca="1">IF(ISNUMBER(MATCH(DATEVALUE($A11),'recurring1_based on steps'!T$1:T$400,0)),T$2,)</f>
        <v>0</v>
      </c>
      <c r="U11" s="140">
        <f ca="1">IF(ISNUMBER(MATCH(DATEVALUE($A11),'recurring1_based on steps'!U$1:U$400,0)),U$2,)</f>
        <v>0</v>
      </c>
      <c r="V11" s="140">
        <f ca="1">IF(ISNUMBER(MATCH(DATEVALUE($A11),'recurring1_based on steps'!V$1:V$400,0)),V$2,)</f>
        <v>0</v>
      </c>
      <c r="W11" s="140">
        <f ca="1">IF(ISNUMBER(MATCH(DATEVALUE($A11),'recurring1_based on steps'!W$1:W$400,0)),W$2,)</f>
        <v>0</v>
      </c>
      <c r="X11" s="140">
        <f ca="1">IF(ISNUMBER(MATCH(DATEVALUE($A11),'recurring1_based on steps'!X$1:X$400,0)),X$2,)</f>
        <v>50</v>
      </c>
      <c r="Y11" s="140">
        <f ca="1">IF(ISNUMBER(MATCH(DATEVALUE($A11),'recurring1_based on steps'!Y$1:Y$400,0)),Y$2,)</f>
        <v>50</v>
      </c>
      <c r="Z11" s="140">
        <f ca="1">IF(ISNUMBER(MATCH(DATEVALUE($A11),'recurring1_based on steps'!Z$1:Z$400,0)),Z$2,)</f>
        <v>0</v>
      </c>
      <c r="AA11" s="140">
        <f ca="1">IF(ISNUMBER(MATCH(DATEVALUE($A11),'recurring1_based on steps'!AA$1:AA$400,0)),AA$2,)</f>
        <v>0</v>
      </c>
      <c r="AB11" s="140">
        <f ca="1">IF(ISNUMBER(MATCH(DATEVALUE($A11),'recurring1_based on steps'!AB$1:AB$400,0)),AB$2,)</f>
        <v>5.5401662049861494E-2</v>
      </c>
      <c r="AC11" s="140">
        <f ca="1">IF(ISNUMBER(MATCH(DATEVALUE($A11),'recurring1_based on steps'!AC$1:AC$400,0)),AC$2,)</f>
        <v>0</v>
      </c>
      <c r="AD11" s="140">
        <f ca="1">IF(ISNUMBER(MATCH(DATEVALUE($A11),'recurring1_based on steps'!AD$1:AD$400,0)),AD$2,)</f>
        <v>0</v>
      </c>
      <c r="AE11" s="140">
        <f ca="1">IF(ISNUMBER(MATCH(DATEVALUE($A11),'recurring1_based on steps'!AE$1:AE$400,0)),AE$2,)</f>
        <v>0</v>
      </c>
      <c r="AF11" s="140">
        <f ca="1">IF(ISNUMBER(MATCH(DATEVALUE($A11),'recurring1_based on steps'!AF$1:AF$400,0)),AF$2,)</f>
        <v>0</v>
      </c>
      <c r="AG11" s="140">
        <f ca="1">IF(ISNUMBER(MATCH(DATEVALUE($A11),'recurring1_based on steps'!AG$1:AG$400,0)),AG$2,)</f>
        <v>0</v>
      </c>
      <c r="AH11" s="140">
        <f ca="1">IF(ISNUMBER(MATCH(DATEVALUE($A11),'recurring1_based on steps'!AH$1:AH$400,0)),AH$2,)</f>
        <v>0</v>
      </c>
      <c r="AI11" s="140">
        <f ca="1">IF(ISNUMBER(MATCH(DATEVALUE($A11),'recurring1_based on steps'!AI$1:AI$400,0)),AI$2,)</f>
        <v>0</v>
      </c>
      <c r="AJ11" s="140">
        <f ca="1">IF(ISNUMBER(MATCH(DATEVALUE($A11),'recurring1_based on steps'!AJ$1:AJ$400,0)),AJ$2,)</f>
        <v>0</v>
      </c>
      <c r="AK11" s="140">
        <f ca="1">IF(ISNUMBER(MATCH(DATEVALUE($A11),'recurring1_based on steps'!AK$1:AK$400,0)),AK$2,)</f>
        <v>0</v>
      </c>
      <c r="AL11" s="140">
        <f ca="1">IF(ISNUMBER(MATCH(DATEVALUE($A11),'recurring1_based on steps'!AL$1:AL$400,0)),AL$2,)</f>
        <v>0</v>
      </c>
      <c r="AM11" s="140">
        <f ca="1">IF(ISNUMBER(MATCH(DATEVALUE($A11),'recurring1_based on steps'!AM$1:AM$400,0)),AM$2,)</f>
        <v>0</v>
      </c>
      <c r="AN11" s="140">
        <f ca="1">IF(ISNUMBER(MATCH(DATEVALUE($A11),'recurring1_based on steps'!AN$1:AN$400,0)),AN$2,)</f>
        <v>0</v>
      </c>
      <c r="AO11" s="140">
        <f ca="1">IF(ISNUMBER(MATCH(DATEVALUE($A11),'recurring1_based on steps'!AO$1:AO$400,0)),AO$2,)</f>
        <v>0</v>
      </c>
      <c r="AP11" s="140">
        <f ca="1">IF(ISNUMBER(MATCH(DATEVALUE($A11),'recurring1_based on steps'!AP$1:AP$400,0)),AP$2,)</f>
        <v>0</v>
      </c>
      <c r="AQ11" s="140">
        <f ca="1">IF(ISNUMBER(MATCH(DATEVALUE($A11),'recurring1_based on steps'!AQ$1:AQ$400,0)),AQ$2,)</f>
        <v>0</v>
      </c>
      <c r="AR11" s="140">
        <f ca="1">IF(ISNUMBER(MATCH(DATEVALUE($A11),'recurring1_based on steps'!AR$1:AR$400,0)),AR$2,)</f>
        <v>0</v>
      </c>
      <c r="AS11" s="140">
        <f ca="1">IF(ISNUMBER(MATCH(DATEVALUE($A11),'recurring1_based on steps'!AS$1:AS$400,0)),AS$2,)</f>
        <v>0</v>
      </c>
      <c r="AT11" s="140">
        <f ca="1">IF(ISNUMBER(MATCH(DATEVALUE($A11),'recurring1_based on steps'!AT$1:AT$400,0)),AT$2,)</f>
        <v>0</v>
      </c>
      <c r="AU11" s="140">
        <f ca="1">IF(ISNUMBER(MATCH(DATEVALUE($A11),'recurring1_based on steps'!AU$1:AU$400,0)),AU$2,)</f>
        <v>0</v>
      </c>
      <c r="AV11" s="140">
        <f ca="1">IF(ISNUMBER(MATCH(DATEVALUE($A11),'recurring1_based on steps'!AV$1:AV$400,0)),AV$2,)</f>
        <v>0</v>
      </c>
      <c r="AW11" s="140">
        <f ca="1">IF(ISNUMBER(MATCH(DATEVALUE($A11),'recurring1_based on steps'!AW$1:AW$400,0)),AW$2,)</f>
        <v>0</v>
      </c>
      <c r="AX11" s="140">
        <f ca="1">IF(ISNUMBER(MATCH(DATEVALUE($A11),'recurring1_based on steps'!AX$1:AX$400,0)),AX$2,)</f>
        <v>0</v>
      </c>
      <c r="AY11" s="140">
        <f ca="1">IF(ISNUMBER(MATCH(DATEVALUE($A11),'recurring1_based on steps'!AY$1:AY$400,0)),AY$2,)</f>
        <v>0</v>
      </c>
    </row>
    <row r="12" spans="1:51" x14ac:dyDescent="0.2">
      <c r="A12" s="29" t="str">
        <f t="shared" ca="1" si="0"/>
        <v>2025-04-05</v>
      </c>
      <c r="B12" s="140">
        <f ca="1">IF(ISNUMBER(MATCH(DATEVALUE($A12),'recurring1_based on steps'!B$1:B$400,0)),B$2,)</f>
        <v>0</v>
      </c>
      <c r="C12" s="140">
        <f ca="1">IF(ISNUMBER(MATCH(DATEVALUE($A12),'recurring1_based on steps'!C$1:C$400,0)),C$2,)</f>
        <v>0</v>
      </c>
      <c r="D12" s="140">
        <f ca="1">IF(ISNUMBER(MATCH(DATEVALUE($A12),'recurring1_based on steps'!D$1:D$400,0)),D$2,)</f>
        <v>0</v>
      </c>
      <c r="E12" s="140">
        <f ca="1">IF(ISNUMBER(MATCH(DATEVALUE($A12),'recurring1_based on steps'!E$1:E$400,0)),E$2,)</f>
        <v>0</v>
      </c>
      <c r="F12" s="140">
        <f ca="1">IF(ISNUMBER(MATCH(DATEVALUE($A12),'recurring1_based on steps'!F$1:F$400,0)),F$2,)</f>
        <v>0</v>
      </c>
      <c r="G12" s="140">
        <f ca="1">IF(ISNUMBER(MATCH(DATEVALUE($A12),'recurring1_based on steps'!G$1:G$400,0)),G$2,)</f>
        <v>0</v>
      </c>
      <c r="H12" s="140">
        <f ca="1">IF(ISNUMBER(MATCH(DATEVALUE($A12),'recurring1_based on steps'!H$1:H$400,0)),H$2,)</f>
        <v>0</v>
      </c>
      <c r="I12" s="140">
        <f ca="1">IF(ISNUMBER(MATCH(DATEVALUE($A12),'recurring1_based on steps'!I$1:I$400,0)),I$2,)</f>
        <v>0</v>
      </c>
      <c r="J12" s="140">
        <f ca="1">IF(ISNUMBER(MATCH(DATEVALUE($A12),'recurring1_based on steps'!J$1:J$400,0)),J$2,)</f>
        <v>0</v>
      </c>
      <c r="K12" s="140">
        <f ca="1">IF(ISNUMBER(MATCH(DATEVALUE($A12),'recurring1_based on steps'!K$1:K$400,0)),K$2,)</f>
        <v>0</v>
      </c>
      <c r="L12" s="140">
        <f ca="1">IF(ISNUMBER(MATCH(DATEVALUE($A12),'recurring1_based on steps'!L$1:L$400,0)),L$2,)</f>
        <v>0</v>
      </c>
      <c r="M12" s="140">
        <f ca="1">IF(ISNUMBER(MATCH(DATEVALUE($A12),'recurring1_based on steps'!M$1:M$400,0)),M$2,)</f>
        <v>0</v>
      </c>
      <c r="N12" s="140">
        <f ca="1">IF(ISNUMBER(MATCH(DATEVALUE($A12),'recurring1_based on steps'!N$1:N$400,0)),N$2,)</f>
        <v>0</v>
      </c>
      <c r="O12" s="140">
        <f ca="1">IF(ISNUMBER(MATCH(DATEVALUE($A12),'recurring1_based on steps'!O$1:O$400,0)),O$2,)</f>
        <v>0</v>
      </c>
      <c r="P12" s="140">
        <f ca="1">IF(ISNUMBER(MATCH(DATEVALUE($A12),'recurring1_based on steps'!P$1:P$400,0)),P$2,)</f>
        <v>0</v>
      </c>
      <c r="Q12" s="140">
        <f ca="1">IF(ISNUMBER(MATCH(DATEVALUE($A12),'recurring1_based on steps'!Q$1:Q$400,0)),Q$2,)</f>
        <v>100</v>
      </c>
      <c r="R12" s="140">
        <f ca="1">IF(ISNUMBER(MATCH(DATEVALUE($A12),'recurring1_based on steps'!R$1:R$400,0)),R$2,)</f>
        <v>100</v>
      </c>
      <c r="S12" s="140">
        <f ca="1">IF(ISNUMBER(MATCH(DATEVALUE($A12),'recurring1_based on steps'!S$1:S$400,0)),S$2,)</f>
        <v>0</v>
      </c>
      <c r="T12" s="140">
        <f ca="1">IF(ISNUMBER(MATCH(DATEVALUE($A12),'recurring1_based on steps'!T$1:T$400,0)),T$2,)</f>
        <v>0</v>
      </c>
      <c r="U12" s="140">
        <f ca="1">IF(ISNUMBER(MATCH(DATEVALUE($A12),'recurring1_based on steps'!U$1:U$400,0)),U$2,)</f>
        <v>0</v>
      </c>
      <c r="V12" s="140">
        <f ca="1">IF(ISNUMBER(MATCH(DATEVALUE($A12),'recurring1_based on steps'!V$1:V$400,0)),V$2,)</f>
        <v>0</v>
      </c>
      <c r="W12" s="140">
        <f ca="1">IF(ISNUMBER(MATCH(DATEVALUE($A12),'recurring1_based on steps'!W$1:W$400,0)),W$2,)</f>
        <v>0</v>
      </c>
      <c r="X12" s="140">
        <f ca="1">IF(ISNUMBER(MATCH(DATEVALUE($A12),'recurring1_based on steps'!X$1:X$400,0)),X$2,)</f>
        <v>0</v>
      </c>
      <c r="Y12" s="140">
        <f ca="1">IF(ISNUMBER(MATCH(DATEVALUE($A12),'recurring1_based on steps'!Y$1:Y$400,0)),Y$2,)</f>
        <v>0</v>
      </c>
      <c r="Z12" s="140">
        <f ca="1">IF(ISNUMBER(MATCH(DATEVALUE($A12),'recurring1_based on steps'!Z$1:Z$400,0)),Z$2,)</f>
        <v>0</v>
      </c>
      <c r="AA12" s="140">
        <f ca="1">IF(ISNUMBER(MATCH(DATEVALUE($A12),'recurring1_based on steps'!AA$1:AA$400,0)),AA$2,)</f>
        <v>0</v>
      </c>
      <c r="AB12" s="140">
        <f ca="1">IF(ISNUMBER(MATCH(DATEVALUE($A12),'recurring1_based on steps'!AB$1:AB$400,0)),AB$2,)</f>
        <v>5.5401662049861494E-2</v>
      </c>
      <c r="AC12" s="140">
        <f ca="1">IF(ISNUMBER(MATCH(DATEVALUE($A12),'recurring1_based on steps'!AC$1:AC$400,0)),AC$2,)</f>
        <v>0</v>
      </c>
      <c r="AD12" s="140">
        <f ca="1">IF(ISNUMBER(MATCH(DATEVALUE($A12),'recurring1_based on steps'!AD$1:AD$400,0)),AD$2,)</f>
        <v>0</v>
      </c>
      <c r="AE12" s="140">
        <f ca="1">IF(ISNUMBER(MATCH(DATEVALUE($A12),'recurring1_based on steps'!AE$1:AE$400,0)),AE$2,)</f>
        <v>0</v>
      </c>
      <c r="AF12" s="140">
        <f ca="1">IF(ISNUMBER(MATCH(DATEVALUE($A12),'recurring1_based on steps'!AF$1:AF$400,0)),AF$2,)</f>
        <v>0</v>
      </c>
      <c r="AG12" s="140">
        <f ca="1">IF(ISNUMBER(MATCH(DATEVALUE($A12),'recurring1_based on steps'!AG$1:AG$400,0)),AG$2,)</f>
        <v>0</v>
      </c>
      <c r="AH12" s="140">
        <f ca="1">IF(ISNUMBER(MATCH(DATEVALUE($A12),'recurring1_based on steps'!AH$1:AH$400,0)),AH$2,)</f>
        <v>0</v>
      </c>
      <c r="AI12" s="140">
        <f ca="1">IF(ISNUMBER(MATCH(DATEVALUE($A12),'recurring1_based on steps'!AI$1:AI$400,0)),AI$2,)</f>
        <v>0</v>
      </c>
      <c r="AJ12" s="140">
        <f ca="1">IF(ISNUMBER(MATCH(DATEVALUE($A12),'recurring1_based on steps'!AJ$1:AJ$400,0)),AJ$2,)</f>
        <v>0</v>
      </c>
      <c r="AK12" s="140">
        <f ca="1">IF(ISNUMBER(MATCH(DATEVALUE($A12),'recurring1_based on steps'!AK$1:AK$400,0)),AK$2,)</f>
        <v>0</v>
      </c>
      <c r="AL12" s="140">
        <f ca="1">IF(ISNUMBER(MATCH(DATEVALUE($A12),'recurring1_based on steps'!AL$1:AL$400,0)),AL$2,)</f>
        <v>0</v>
      </c>
      <c r="AM12" s="140">
        <f ca="1">IF(ISNUMBER(MATCH(DATEVALUE($A12),'recurring1_based on steps'!AM$1:AM$400,0)),AM$2,)</f>
        <v>0</v>
      </c>
      <c r="AN12" s="140">
        <f ca="1">IF(ISNUMBER(MATCH(DATEVALUE($A12),'recurring1_based on steps'!AN$1:AN$400,0)),AN$2,)</f>
        <v>0</v>
      </c>
      <c r="AO12" s="140">
        <f ca="1">IF(ISNUMBER(MATCH(DATEVALUE($A12),'recurring1_based on steps'!AO$1:AO$400,0)),AO$2,)</f>
        <v>0</v>
      </c>
      <c r="AP12" s="140">
        <f ca="1">IF(ISNUMBER(MATCH(DATEVALUE($A12),'recurring1_based on steps'!AP$1:AP$400,0)),AP$2,)</f>
        <v>0</v>
      </c>
      <c r="AQ12" s="140">
        <f ca="1">IF(ISNUMBER(MATCH(DATEVALUE($A12),'recurring1_based on steps'!AQ$1:AQ$400,0)),AQ$2,)</f>
        <v>0</v>
      </c>
      <c r="AR12" s="140">
        <f ca="1">IF(ISNUMBER(MATCH(DATEVALUE($A12),'recurring1_based on steps'!AR$1:AR$400,0)),AR$2,)</f>
        <v>0</v>
      </c>
      <c r="AS12" s="140">
        <f ca="1">IF(ISNUMBER(MATCH(DATEVALUE($A12),'recurring1_based on steps'!AS$1:AS$400,0)),AS$2,)</f>
        <v>0</v>
      </c>
      <c r="AT12" s="140">
        <f ca="1">IF(ISNUMBER(MATCH(DATEVALUE($A12),'recurring1_based on steps'!AT$1:AT$400,0)),AT$2,)</f>
        <v>0</v>
      </c>
      <c r="AU12" s="140">
        <f ca="1">IF(ISNUMBER(MATCH(DATEVALUE($A12),'recurring1_based on steps'!AU$1:AU$400,0)),AU$2,)</f>
        <v>0</v>
      </c>
      <c r="AV12" s="140">
        <f ca="1">IF(ISNUMBER(MATCH(DATEVALUE($A12),'recurring1_based on steps'!AV$1:AV$400,0)),AV$2,)</f>
        <v>0</v>
      </c>
      <c r="AW12" s="140">
        <f ca="1">IF(ISNUMBER(MATCH(DATEVALUE($A12),'recurring1_based on steps'!AW$1:AW$400,0)),AW$2,)</f>
        <v>0</v>
      </c>
      <c r="AX12" s="140">
        <f ca="1">IF(ISNUMBER(MATCH(DATEVALUE($A12),'recurring1_based on steps'!AX$1:AX$400,0)),AX$2,)</f>
        <v>0</v>
      </c>
      <c r="AY12" s="140">
        <f ca="1">IF(ISNUMBER(MATCH(DATEVALUE($A12),'recurring1_based on steps'!AY$1:AY$400,0)),AY$2,)</f>
        <v>0</v>
      </c>
    </row>
    <row r="13" spans="1:51" x14ac:dyDescent="0.2">
      <c r="A13" s="29" t="str">
        <f t="shared" ca="1" si="0"/>
        <v>2025-04-06</v>
      </c>
      <c r="B13" s="140">
        <f ca="1">IF(ISNUMBER(MATCH(DATEVALUE($A13),'recurring1_based on steps'!B$1:B$400,0)),B$2,)</f>
        <v>0</v>
      </c>
      <c r="C13" s="140">
        <f ca="1">IF(ISNUMBER(MATCH(DATEVALUE($A13),'recurring1_based on steps'!C$1:C$400,0)),C$2,)</f>
        <v>0</v>
      </c>
      <c r="D13" s="140">
        <f ca="1">IF(ISNUMBER(MATCH(DATEVALUE($A13),'recurring1_based on steps'!D$1:D$400,0)),D$2,)</f>
        <v>0</v>
      </c>
      <c r="E13" s="140">
        <f ca="1">IF(ISNUMBER(MATCH(DATEVALUE($A13),'recurring1_based on steps'!E$1:E$400,0)),E$2,)</f>
        <v>0</v>
      </c>
      <c r="F13" s="140">
        <f ca="1">IF(ISNUMBER(MATCH(DATEVALUE($A13),'recurring1_based on steps'!F$1:F$400,0)),F$2,)</f>
        <v>0</v>
      </c>
      <c r="G13" s="140">
        <f ca="1">IF(ISNUMBER(MATCH(DATEVALUE($A13),'recurring1_based on steps'!G$1:G$400,0)),G$2,)</f>
        <v>0</v>
      </c>
      <c r="H13" s="140">
        <f ca="1">IF(ISNUMBER(MATCH(DATEVALUE($A13),'recurring1_based on steps'!H$1:H$400,0)),H$2,)</f>
        <v>0</v>
      </c>
      <c r="I13" s="140">
        <f ca="1">IF(ISNUMBER(MATCH(DATEVALUE($A13),'recurring1_based on steps'!I$1:I$400,0)),I$2,)</f>
        <v>0</v>
      </c>
      <c r="J13" s="140">
        <f ca="1">IF(ISNUMBER(MATCH(DATEVALUE($A13),'recurring1_based on steps'!J$1:J$400,0)),J$2,)</f>
        <v>0</v>
      </c>
      <c r="K13" s="140">
        <f ca="1">IF(ISNUMBER(MATCH(DATEVALUE($A13),'recurring1_based on steps'!K$1:K$400,0)),K$2,)</f>
        <v>50</v>
      </c>
      <c r="L13" s="140">
        <f ca="1">IF(ISNUMBER(MATCH(DATEVALUE($A13),'recurring1_based on steps'!L$1:L$400,0)),L$2,)</f>
        <v>0</v>
      </c>
      <c r="M13" s="140">
        <f ca="1">IF(ISNUMBER(MATCH(DATEVALUE($A13),'recurring1_based on steps'!M$1:M$400,0)),M$2,)</f>
        <v>0</v>
      </c>
      <c r="N13" s="140">
        <f ca="1">IF(ISNUMBER(MATCH(DATEVALUE($A13),'recurring1_based on steps'!N$1:N$400,0)),N$2,)</f>
        <v>0</v>
      </c>
      <c r="O13" s="140">
        <f ca="1">IF(ISNUMBER(MATCH(DATEVALUE($A13),'recurring1_based on steps'!O$1:O$400,0)),O$2,)</f>
        <v>0</v>
      </c>
      <c r="P13" s="140">
        <f ca="1">IF(ISNUMBER(MATCH(DATEVALUE($A13),'recurring1_based on steps'!P$1:P$400,0)),P$2,)</f>
        <v>0</v>
      </c>
      <c r="Q13" s="140">
        <f ca="1">IF(ISNUMBER(MATCH(DATEVALUE($A13),'recurring1_based on steps'!Q$1:Q$400,0)),Q$2,)</f>
        <v>0</v>
      </c>
      <c r="R13" s="140">
        <f ca="1">IF(ISNUMBER(MATCH(DATEVALUE($A13),'recurring1_based on steps'!R$1:R$400,0)),R$2,)</f>
        <v>0</v>
      </c>
      <c r="S13" s="140">
        <f ca="1">IF(ISNUMBER(MATCH(DATEVALUE($A13),'recurring1_based on steps'!S$1:S$400,0)),S$2,)</f>
        <v>100</v>
      </c>
      <c r="T13" s="140">
        <f ca="1">IF(ISNUMBER(MATCH(DATEVALUE($A13),'recurring1_based on steps'!T$1:T$400,0)),T$2,)</f>
        <v>0</v>
      </c>
      <c r="U13" s="140">
        <f ca="1">IF(ISNUMBER(MATCH(DATEVALUE($A13),'recurring1_based on steps'!U$1:U$400,0)),U$2,)</f>
        <v>0</v>
      </c>
      <c r="V13" s="140">
        <f ca="1">IF(ISNUMBER(MATCH(DATEVALUE($A13),'recurring1_based on steps'!V$1:V$400,0)),V$2,)</f>
        <v>0</v>
      </c>
      <c r="W13" s="140">
        <f ca="1">IF(ISNUMBER(MATCH(DATEVALUE($A13),'recurring1_based on steps'!W$1:W$400,0)),W$2,)</f>
        <v>0</v>
      </c>
      <c r="X13" s="140">
        <f ca="1">IF(ISNUMBER(MATCH(DATEVALUE($A13),'recurring1_based on steps'!X$1:X$400,0)),X$2,)</f>
        <v>0</v>
      </c>
      <c r="Y13" s="140">
        <f ca="1">IF(ISNUMBER(MATCH(DATEVALUE($A13),'recurring1_based on steps'!Y$1:Y$400,0)),Y$2,)</f>
        <v>0</v>
      </c>
      <c r="Z13" s="140">
        <f ca="1">IF(ISNUMBER(MATCH(DATEVALUE($A13),'recurring1_based on steps'!Z$1:Z$400,0)),Z$2,)</f>
        <v>0</v>
      </c>
      <c r="AA13" s="140">
        <f ca="1">IF(ISNUMBER(MATCH(DATEVALUE($A13),'recurring1_based on steps'!AA$1:AA$400,0)),AA$2,)</f>
        <v>0</v>
      </c>
      <c r="AB13" s="140">
        <f ca="1">IF(ISNUMBER(MATCH(DATEVALUE($A13),'recurring1_based on steps'!AB$1:AB$400,0)),AB$2,)</f>
        <v>5.5401662049861494E-2</v>
      </c>
      <c r="AC13" s="140">
        <f ca="1">IF(ISNUMBER(MATCH(DATEVALUE($A13),'recurring1_based on steps'!AC$1:AC$400,0)),AC$2,)</f>
        <v>0</v>
      </c>
      <c r="AD13" s="140">
        <f ca="1">IF(ISNUMBER(MATCH(DATEVALUE($A13),'recurring1_based on steps'!AD$1:AD$400,0)),AD$2,)</f>
        <v>0</v>
      </c>
      <c r="AE13" s="140">
        <f ca="1">IF(ISNUMBER(MATCH(DATEVALUE($A13),'recurring1_based on steps'!AE$1:AE$400,0)),AE$2,)</f>
        <v>0</v>
      </c>
      <c r="AF13" s="140">
        <f ca="1">IF(ISNUMBER(MATCH(DATEVALUE($A13),'recurring1_based on steps'!AF$1:AF$400,0)),AF$2,)</f>
        <v>0</v>
      </c>
      <c r="AG13" s="140">
        <f ca="1">IF(ISNUMBER(MATCH(DATEVALUE($A13),'recurring1_based on steps'!AG$1:AG$400,0)),AG$2,)</f>
        <v>0</v>
      </c>
      <c r="AH13" s="140">
        <f ca="1">IF(ISNUMBER(MATCH(DATEVALUE($A13),'recurring1_based on steps'!AH$1:AH$400,0)),AH$2,)</f>
        <v>0</v>
      </c>
      <c r="AI13" s="140">
        <f ca="1">IF(ISNUMBER(MATCH(DATEVALUE($A13),'recurring1_based on steps'!AI$1:AI$400,0)),AI$2,)</f>
        <v>0</v>
      </c>
      <c r="AJ13" s="140">
        <f ca="1">IF(ISNUMBER(MATCH(DATEVALUE($A13),'recurring1_based on steps'!AJ$1:AJ$400,0)),AJ$2,)</f>
        <v>0</v>
      </c>
      <c r="AK13" s="140">
        <f ca="1">IF(ISNUMBER(MATCH(DATEVALUE($A13),'recurring1_based on steps'!AK$1:AK$400,0)),AK$2,)</f>
        <v>0</v>
      </c>
      <c r="AL13" s="140">
        <f ca="1">IF(ISNUMBER(MATCH(DATEVALUE($A13),'recurring1_based on steps'!AL$1:AL$400,0)),AL$2,)</f>
        <v>0</v>
      </c>
      <c r="AM13" s="140">
        <f ca="1">IF(ISNUMBER(MATCH(DATEVALUE($A13),'recurring1_based on steps'!AM$1:AM$400,0)),AM$2,)</f>
        <v>0</v>
      </c>
      <c r="AN13" s="140">
        <f ca="1">IF(ISNUMBER(MATCH(DATEVALUE($A13),'recurring1_based on steps'!AN$1:AN$400,0)),AN$2,)</f>
        <v>0</v>
      </c>
      <c r="AO13" s="140">
        <f ca="1">IF(ISNUMBER(MATCH(DATEVALUE($A13),'recurring1_based on steps'!AO$1:AO$400,0)),AO$2,)</f>
        <v>0</v>
      </c>
      <c r="AP13" s="140">
        <f ca="1">IF(ISNUMBER(MATCH(DATEVALUE($A13),'recurring1_based on steps'!AP$1:AP$400,0)),AP$2,)</f>
        <v>0</v>
      </c>
      <c r="AQ13" s="140">
        <f ca="1">IF(ISNUMBER(MATCH(DATEVALUE($A13),'recurring1_based on steps'!AQ$1:AQ$400,0)),AQ$2,)</f>
        <v>0</v>
      </c>
      <c r="AR13" s="140">
        <f ca="1">IF(ISNUMBER(MATCH(DATEVALUE($A13),'recurring1_based on steps'!AR$1:AR$400,0)),AR$2,)</f>
        <v>0</v>
      </c>
      <c r="AS13" s="140">
        <f ca="1">IF(ISNUMBER(MATCH(DATEVALUE($A13),'recurring1_based on steps'!AS$1:AS$400,0)),AS$2,)</f>
        <v>0</v>
      </c>
      <c r="AT13" s="140">
        <f ca="1">IF(ISNUMBER(MATCH(DATEVALUE($A13),'recurring1_based on steps'!AT$1:AT$400,0)),AT$2,)</f>
        <v>0</v>
      </c>
      <c r="AU13" s="140">
        <f ca="1">IF(ISNUMBER(MATCH(DATEVALUE($A13),'recurring1_based on steps'!AU$1:AU$400,0)),AU$2,)</f>
        <v>0</v>
      </c>
      <c r="AV13" s="140">
        <f ca="1">IF(ISNUMBER(MATCH(DATEVALUE($A13),'recurring1_based on steps'!AV$1:AV$400,0)),AV$2,)</f>
        <v>0</v>
      </c>
      <c r="AW13" s="140">
        <f ca="1">IF(ISNUMBER(MATCH(DATEVALUE($A13),'recurring1_based on steps'!AW$1:AW$400,0)),AW$2,)</f>
        <v>0</v>
      </c>
      <c r="AX13" s="140">
        <f ca="1">IF(ISNUMBER(MATCH(DATEVALUE($A13),'recurring1_based on steps'!AX$1:AX$400,0)),AX$2,)</f>
        <v>0</v>
      </c>
      <c r="AY13" s="140">
        <f ca="1">IF(ISNUMBER(MATCH(DATEVALUE($A13),'recurring1_based on steps'!AY$1:AY$400,0)),AY$2,)</f>
        <v>0</v>
      </c>
    </row>
    <row r="14" spans="1:51" x14ac:dyDescent="0.2">
      <c r="A14" s="29" t="str">
        <f t="shared" ca="1" si="0"/>
        <v>2025-04-07</v>
      </c>
      <c r="B14" s="140">
        <f ca="1">IF(ISNUMBER(MATCH(DATEVALUE($A14),'recurring1_based on steps'!B$1:B$400,0)),B$2,)</f>
        <v>0</v>
      </c>
      <c r="C14" s="140">
        <f ca="1">IF(ISNUMBER(MATCH(DATEVALUE($A14),'recurring1_based on steps'!C$1:C$400,0)),C$2,)</f>
        <v>0</v>
      </c>
      <c r="D14" s="140">
        <f ca="1">IF(ISNUMBER(MATCH(DATEVALUE($A14),'recurring1_based on steps'!D$1:D$400,0)),D$2,)</f>
        <v>0</v>
      </c>
      <c r="E14" s="140">
        <f ca="1">IF(ISNUMBER(MATCH(DATEVALUE($A14),'recurring1_based on steps'!E$1:E$400,0)),E$2,)</f>
        <v>0</v>
      </c>
      <c r="F14" s="140">
        <f ca="1">IF(ISNUMBER(MATCH(DATEVALUE($A14),'recurring1_based on steps'!F$1:F$400,0)),F$2,)</f>
        <v>0</v>
      </c>
      <c r="G14" s="140">
        <f ca="1">IF(ISNUMBER(MATCH(DATEVALUE($A14),'recurring1_based on steps'!G$1:G$400,0)),G$2,)</f>
        <v>0</v>
      </c>
      <c r="H14" s="140">
        <f ca="1">IF(ISNUMBER(MATCH(DATEVALUE($A14),'recurring1_based on steps'!H$1:H$400,0)),H$2,)</f>
        <v>0</v>
      </c>
      <c r="I14" s="140">
        <f ca="1">IF(ISNUMBER(MATCH(DATEVALUE($A14),'recurring1_based on steps'!I$1:I$400,0)),I$2,)</f>
        <v>0</v>
      </c>
      <c r="J14" s="140">
        <f ca="1">IF(ISNUMBER(MATCH(DATEVALUE($A14),'recurring1_based on steps'!J$1:J$400,0)),J$2,)</f>
        <v>0</v>
      </c>
      <c r="K14" s="140">
        <f ca="1">IF(ISNUMBER(MATCH(DATEVALUE($A14),'recurring1_based on steps'!K$1:K$400,0)),K$2,)</f>
        <v>0</v>
      </c>
      <c r="L14" s="140">
        <f ca="1">IF(ISNUMBER(MATCH(DATEVALUE($A14),'recurring1_based on steps'!L$1:L$400,0)),L$2,)</f>
        <v>0</v>
      </c>
      <c r="M14" s="140">
        <f ca="1">IF(ISNUMBER(MATCH(DATEVALUE($A14),'recurring1_based on steps'!M$1:M$400,0)),M$2,)</f>
        <v>0</v>
      </c>
      <c r="N14" s="140">
        <f ca="1">IF(ISNUMBER(MATCH(DATEVALUE($A14),'recurring1_based on steps'!N$1:N$400,0)),N$2,)</f>
        <v>0</v>
      </c>
      <c r="O14" s="140">
        <f ca="1">IF(ISNUMBER(MATCH(DATEVALUE($A14),'recurring1_based on steps'!O$1:O$400,0)),O$2,)</f>
        <v>0</v>
      </c>
      <c r="P14" s="140">
        <f ca="1">IF(ISNUMBER(MATCH(DATEVALUE($A14),'recurring1_based on steps'!P$1:P$400,0)),P$2,)</f>
        <v>0</v>
      </c>
      <c r="Q14" s="140">
        <f ca="1">IF(ISNUMBER(MATCH(DATEVALUE($A14),'recurring1_based on steps'!Q$1:Q$400,0)),Q$2,)</f>
        <v>0</v>
      </c>
      <c r="R14" s="140">
        <f ca="1">IF(ISNUMBER(MATCH(DATEVALUE($A14),'recurring1_based on steps'!R$1:R$400,0)),R$2,)</f>
        <v>0</v>
      </c>
      <c r="S14" s="140">
        <f ca="1">IF(ISNUMBER(MATCH(DATEVALUE($A14),'recurring1_based on steps'!S$1:S$400,0)),S$2,)</f>
        <v>0</v>
      </c>
      <c r="T14" s="140">
        <f ca="1">IF(ISNUMBER(MATCH(DATEVALUE($A14),'recurring1_based on steps'!T$1:T$400,0)),T$2,)</f>
        <v>50</v>
      </c>
      <c r="U14" s="140">
        <f ca="1">IF(ISNUMBER(MATCH(DATEVALUE($A14),'recurring1_based on steps'!U$1:U$400,0)),U$2,)</f>
        <v>0</v>
      </c>
      <c r="V14" s="140">
        <f ca="1">IF(ISNUMBER(MATCH(DATEVALUE($A14),'recurring1_based on steps'!V$1:V$400,0)),V$2,)</f>
        <v>0</v>
      </c>
      <c r="W14" s="140">
        <f ca="1">IF(ISNUMBER(MATCH(DATEVALUE($A14),'recurring1_based on steps'!W$1:W$400,0)),W$2,)</f>
        <v>0</v>
      </c>
      <c r="X14" s="140">
        <f ca="1">IF(ISNUMBER(MATCH(DATEVALUE($A14),'recurring1_based on steps'!X$1:X$400,0)),X$2,)</f>
        <v>0</v>
      </c>
      <c r="Y14" s="140">
        <f ca="1">IF(ISNUMBER(MATCH(DATEVALUE($A14),'recurring1_based on steps'!Y$1:Y$400,0)),Y$2,)</f>
        <v>0</v>
      </c>
      <c r="Z14" s="140">
        <f ca="1">IF(ISNUMBER(MATCH(DATEVALUE($A14),'recurring1_based on steps'!Z$1:Z$400,0)),Z$2,)</f>
        <v>0</v>
      </c>
      <c r="AA14" s="140">
        <f ca="1">IF(ISNUMBER(MATCH(DATEVALUE($A14),'recurring1_based on steps'!AA$1:AA$400,0)),AA$2,)</f>
        <v>0</v>
      </c>
      <c r="AB14" s="140">
        <f ca="1">IF(ISNUMBER(MATCH(DATEVALUE($A14),'recurring1_based on steps'!AB$1:AB$400,0)),AB$2,)</f>
        <v>5.5401662049861494E-2</v>
      </c>
      <c r="AC14" s="140">
        <f ca="1">IF(ISNUMBER(MATCH(DATEVALUE($A14),'recurring1_based on steps'!AC$1:AC$400,0)),AC$2,)</f>
        <v>0</v>
      </c>
      <c r="AD14" s="140">
        <f ca="1">IF(ISNUMBER(MATCH(DATEVALUE($A14),'recurring1_based on steps'!AD$1:AD$400,0)),AD$2,)</f>
        <v>0</v>
      </c>
      <c r="AE14" s="140">
        <f ca="1">IF(ISNUMBER(MATCH(DATEVALUE($A14),'recurring1_based on steps'!AE$1:AE$400,0)),AE$2,)</f>
        <v>0</v>
      </c>
      <c r="AF14" s="140">
        <f ca="1">IF(ISNUMBER(MATCH(DATEVALUE($A14),'recurring1_based on steps'!AF$1:AF$400,0)),AF$2,)</f>
        <v>0</v>
      </c>
      <c r="AG14" s="140">
        <f ca="1">IF(ISNUMBER(MATCH(DATEVALUE($A14),'recurring1_based on steps'!AG$1:AG$400,0)),AG$2,)</f>
        <v>0</v>
      </c>
      <c r="AH14" s="140">
        <f ca="1">IF(ISNUMBER(MATCH(DATEVALUE($A14),'recurring1_based on steps'!AH$1:AH$400,0)),AH$2,)</f>
        <v>0</v>
      </c>
      <c r="AI14" s="140">
        <f ca="1">IF(ISNUMBER(MATCH(DATEVALUE($A14),'recurring1_based on steps'!AI$1:AI$400,0)),AI$2,)</f>
        <v>0</v>
      </c>
      <c r="AJ14" s="140">
        <f ca="1">IF(ISNUMBER(MATCH(DATEVALUE($A14),'recurring1_based on steps'!AJ$1:AJ$400,0)),AJ$2,)</f>
        <v>0</v>
      </c>
      <c r="AK14" s="140">
        <f ca="1">IF(ISNUMBER(MATCH(DATEVALUE($A14),'recurring1_based on steps'!AK$1:AK$400,0)),AK$2,)</f>
        <v>0</v>
      </c>
      <c r="AL14" s="140">
        <f ca="1">IF(ISNUMBER(MATCH(DATEVALUE($A14),'recurring1_based on steps'!AL$1:AL$400,0)),AL$2,)</f>
        <v>0</v>
      </c>
      <c r="AM14" s="140">
        <f ca="1">IF(ISNUMBER(MATCH(DATEVALUE($A14),'recurring1_based on steps'!AM$1:AM$400,0)),AM$2,)</f>
        <v>0</v>
      </c>
      <c r="AN14" s="140">
        <f ca="1">IF(ISNUMBER(MATCH(DATEVALUE($A14),'recurring1_based on steps'!AN$1:AN$400,0)),AN$2,)</f>
        <v>0</v>
      </c>
      <c r="AO14" s="140">
        <f ca="1">IF(ISNUMBER(MATCH(DATEVALUE($A14),'recurring1_based on steps'!AO$1:AO$400,0)),AO$2,)</f>
        <v>0</v>
      </c>
      <c r="AP14" s="140">
        <f ca="1">IF(ISNUMBER(MATCH(DATEVALUE($A14),'recurring1_based on steps'!AP$1:AP$400,0)),AP$2,)</f>
        <v>0</v>
      </c>
      <c r="AQ14" s="140">
        <f ca="1">IF(ISNUMBER(MATCH(DATEVALUE($A14),'recurring1_based on steps'!AQ$1:AQ$400,0)),AQ$2,)</f>
        <v>0</v>
      </c>
      <c r="AR14" s="140">
        <f ca="1">IF(ISNUMBER(MATCH(DATEVALUE($A14),'recurring1_based on steps'!AR$1:AR$400,0)),AR$2,)</f>
        <v>0</v>
      </c>
      <c r="AS14" s="140">
        <f ca="1">IF(ISNUMBER(MATCH(DATEVALUE($A14),'recurring1_based on steps'!AS$1:AS$400,0)),AS$2,)</f>
        <v>0</v>
      </c>
      <c r="AT14" s="140">
        <f ca="1">IF(ISNUMBER(MATCH(DATEVALUE($A14),'recurring1_based on steps'!AT$1:AT$400,0)),AT$2,)</f>
        <v>0</v>
      </c>
      <c r="AU14" s="140">
        <f ca="1">IF(ISNUMBER(MATCH(DATEVALUE($A14),'recurring1_based on steps'!AU$1:AU$400,0)),AU$2,)</f>
        <v>0</v>
      </c>
      <c r="AV14" s="140">
        <f ca="1">IF(ISNUMBER(MATCH(DATEVALUE($A14),'recurring1_based on steps'!AV$1:AV$400,0)),AV$2,)</f>
        <v>0</v>
      </c>
      <c r="AW14" s="140">
        <f ca="1">IF(ISNUMBER(MATCH(DATEVALUE($A14),'recurring1_based on steps'!AW$1:AW$400,0)),AW$2,)</f>
        <v>0</v>
      </c>
      <c r="AX14" s="140">
        <f ca="1">IF(ISNUMBER(MATCH(DATEVALUE($A14),'recurring1_based on steps'!AX$1:AX$400,0)),AX$2,)</f>
        <v>0</v>
      </c>
      <c r="AY14" s="140">
        <f ca="1">IF(ISNUMBER(MATCH(DATEVALUE($A14),'recurring1_based on steps'!AY$1:AY$400,0)),AY$2,)</f>
        <v>0</v>
      </c>
    </row>
    <row r="15" spans="1:51" x14ac:dyDescent="0.2">
      <c r="A15" s="29" t="str">
        <f t="shared" ca="1" si="0"/>
        <v>2025-04-08</v>
      </c>
      <c r="B15" s="140">
        <f ca="1">IF(ISNUMBER(MATCH(DATEVALUE($A15),'recurring1_based on steps'!B$1:B$400,0)),B$2,)</f>
        <v>0</v>
      </c>
      <c r="C15" s="140">
        <f ca="1">IF(ISNUMBER(MATCH(DATEVALUE($A15),'recurring1_based on steps'!C$1:C$400,0)),C$2,)</f>
        <v>0</v>
      </c>
      <c r="D15" s="140">
        <f ca="1">IF(ISNUMBER(MATCH(DATEVALUE($A15),'recurring1_based on steps'!D$1:D$400,0)),D$2,)</f>
        <v>0</v>
      </c>
      <c r="E15" s="140">
        <f ca="1">IF(ISNUMBER(MATCH(DATEVALUE($A15),'recurring1_based on steps'!E$1:E$400,0)),E$2,)</f>
        <v>0</v>
      </c>
      <c r="F15" s="140">
        <f ca="1">IF(ISNUMBER(MATCH(DATEVALUE($A15),'recurring1_based on steps'!F$1:F$400,0)),F$2,)</f>
        <v>0</v>
      </c>
      <c r="G15" s="140">
        <f ca="1">IF(ISNUMBER(MATCH(DATEVALUE($A15),'recurring1_based on steps'!G$1:G$400,0)),G$2,)</f>
        <v>0</v>
      </c>
      <c r="H15" s="140">
        <f ca="1">IF(ISNUMBER(MATCH(DATEVALUE($A15),'recurring1_based on steps'!H$1:H$400,0)),H$2,)</f>
        <v>0</v>
      </c>
      <c r="I15" s="140">
        <f ca="1">IF(ISNUMBER(MATCH(DATEVALUE($A15),'recurring1_based on steps'!I$1:I$400,0)),I$2,)</f>
        <v>0</v>
      </c>
      <c r="J15" s="140">
        <f ca="1">IF(ISNUMBER(MATCH(DATEVALUE($A15),'recurring1_based on steps'!J$1:J$400,0)),J$2,)</f>
        <v>0</v>
      </c>
      <c r="K15" s="140">
        <f ca="1">IF(ISNUMBER(MATCH(DATEVALUE($A15),'recurring1_based on steps'!K$1:K$400,0)),K$2,)</f>
        <v>0</v>
      </c>
      <c r="L15" s="140">
        <f ca="1">IF(ISNUMBER(MATCH(DATEVALUE($A15),'recurring1_based on steps'!L$1:L$400,0)),L$2,)</f>
        <v>0</v>
      </c>
      <c r="M15" s="140">
        <f ca="1">IF(ISNUMBER(MATCH(DATEVALUE($A15),'recurring1_based on steps'!M$1:M$400,0)),M$2,)</f>
        <v>0</v>
      </c>
      <c r="N15" s="140">
        <f ca="1">IF(ISNUMBER(MATCH(DATEVALUE($A15),'recurring1_based on steps'!N$1:N$400,0)),N$2,)</f>
        <v>0</v>
      </c>
      <c r="O15" s="140">
        <f ca="1">IF(ISNUMBER(MATCH(DATEVALUE($A15),'recurring1_based on steps'!O$1:O$400,0)),O$2,)</f>
        <v>0</v>
      </c>
      <c r="P15" s="140">
        <f ca="1">IF(ISNUMBER(MATCH(DATEVALUE($A15),'recurring1_based on steps'!P$1:P$400,0)),P$2,)</f>
        <v>0</v>
      </c>
      <c r="Q15" s="140">
        <f ca="1">IF(ISNUMBER(MATCH(DATEVALUE($A15),'recurring1_based on steps'!Q$1:Q$400,0)),Q$2,)</f>
        <v>0</v>
      </c>
      <c r="R15" s="140">
        <f ca="1">IF(ISNUMBER(MATCH(DATEVALUE($A15),'recurring1_based on steps'!R$1:R$400,0)),R$2,)</f>
        <v>0</v>
      </c>
      <c r="S15" s="140">
        <f ca="1">IF(ISNUMBER(MATCH(DATEVALUE($A15),'recurring1_based on steps'!S$1:S$400,0)),S$2,)</f>
        <v>0</v>
      </c>
      <c r="T15" s="140">
        <f ca="1">IF(ISNUMBER(MATCH(DATEVALUE($A15),'recurring1_based on steps'!T$1:T$400,0)),T$2,)</f>
        <v>0</v>
      </c>
      <c r="U15" s="140">
        <f ca="1">IF(ISNUMBER(MATCH(DATEVALUE($A15),'recurring1_based on steps'!U$1:U$400,0)),U$2,)</f>
        <v>0</v>
      </c>
      <c r="V15" s="140">
        <f ca="1">IF(ISNUMBER(MATCH(DATEVALUE($A15),'recurring1_based on steps'!V$1:V$400,0)),V$2,)</f>
        <v>0</v>
      </c>
      <c r="W15" s="140">
        <f ca="1">IF(ISNUMBER(MATCH(DATEVALUE($A15),'recurring1_based on steps'!W$1:W$400,0)),W$2,)</f>
        <v>0</v>
      </c>
      <c r="X15" s="140">
        <f ca="1">IF(ISNUMBER(MATCH(DATEVALUE($A15),'recurring1_based on steps'!X$1:X$400,0)),X$2,)</f>
        <v>0</v>
      </c>
      <c r="Y15" s="140">
        <f ca="1">IF(ISNUMBER(MATCH(DATEVALUE($A15),'recurring1_based on steps'!Y$1:Y$400,0)),Y$2,)</f>
        <v>0</v>
      </c>
      <c r="Z15" s="140">
        <f ca="1">IF(ISNUMBER(MATCH(DATEVALUE($A15),'recurring1_based on steps'!Z$1:Z$400,0)),Z$2,)</f>
        <v>0</v>
      </c>
      <c r="AA15" s="140">
        <f ca="1">IF(ISNUMBER(MATCH(DATEVALUE($A15),'recurring1_based on steps'!AA$1:AA$400,0)),AA$2,)</f>
        <v>0</v>
      </c>
      <c r="AB15" s="140">
        <f ca="1">IF(ISNUMBER(MATCH(DATEVALUE($A15),'recurring1_based on steps'!AB$1:AB$400,0)),AB$2,)</f>
        <v>5.5401662049861494E-2</v>
      </c>
      <c r="AC15" s="140">
        <f ca="1">IF(ISNUMBER(MATCH(DATEVALUE($A15),'recurring1_based on steps'!AC$1:AC$400,0)),AC$2,)</f>
        <v>0</v>
      </c>
      <c r="AD15" s="140">
        <f ca="1">IF(ISNUMBER(MATCH(DATEVALUE($A15),'recurring1_based on steps'!AD$1:AD$400,0)),AD$2,)</f>
        <v>0</v>
      </c>
      <c r="AE15" s="140">
        <f ca="1">IF(ISNUMBER(MATCH(DATEVALUE($A15),'recurring1_based on steps'!AE$1:AE$400,0)),AE$2,)</f>
        <v>0</v>
      </c>
      <c r="AF15" s="140">
        <f ca="1">IF(ISNUMBER(MATCH(DATEVALUE($A15),'recurring1_based on steps'!AF$1:AF$400,0)),AF$2,)</f>
        <v>0</v>
      </c>
      <c r="AG15" s="140">
        <f ca="1">IF(ISNUMBER(MATCH(DATEVALUE($A15),'recurring1_based on steps'!AG$1:AG$400,0)),AG$2,)</f>
        <v>0</v>
      </c>
      <c r="AH15" s="140">
        <f ca="1">IF(ISNUMBER(MATCH(DATEVALUE($A15),'recurring1_based on steps'!AH$1:AH$400,0)),AH$2,)</f>
        <v>0</v>
      </c>
      <c r="AI15" s="140">
        <f ca="1">IF(ISNUMBER(MATCH(DATEVALUE($A15),'recurring1_based on steps'!AI$1:AI$400,0)),AI$2,)</f>
        <v>0</v>
      </c>
      <c r="AJ15" s="140">
        <f ca="1">IF(ISNUMBER(MATCH(DATEVALUE($A15),'recurring1_based on steps'!AJ$1:AJ$400,0)),AJ$2,)</f>
        <v>0</v>
      </c>
      <c r="AK15" s="140">
        <f ca="1">IF(ISNUMBER(MATCH(DATEVALUE($A15),'recurring1_based on steps'!AK$1:AK$400,0)),AK$2,)</f>
        <v>0</v>
      </c>
      <c r="AL15" s="140">
        <f ca="1">IF(ISNUMBER(MATCH(DATEVALUE($A15),'recurring1_based on steps'!AL$1:AL$400,0)),AL$2,)</f>
        <v>0</v>
      </c>
      <c r="AM15" s="140">
        <f ca="1">IF(ISNUMBER(MATCH(DATEVALUE($A15),'recurring1_based on steps'!AM$1:AM$400,0)),AM$2,)</f>
        <v>0</v>
      </c>
      <c r="AN15" s="140">
        <f ca="1">IF(ISNUMBER(MATCH(DATEVALUE($A15),'recurring1_based on steps'!AN$1:AN$400,0)),AN$2,)</f>
        <v>0</v>
      </c>
      <c r="AO15" s="140">
        <f ca="1">IF(ISNUMBER(MATCH(DATEVALUE($A15),'recurring1_based on steps'!AO$1:AO$400,0)),AO$2,)</f>
        <v>0</v>
      </c>
      <c r="AP15" s="140">
        <f ca="1">IF(ISNUMBER(MATCH(DATEVALUE($A15),'recurring1_based on steps'!AP$1:AP$400,0)),AP$2,)</f>
        <v>0</v>
      </c>
      <c r="AQ15" s="140">
        <f ca="1">IF(ISNUMBER(MATCH(DATEVALUE($A15),'recurring1_based on steps'!AQ$1:AQ$400,0)),AQ$2,)</f>
        <v>0</v>
      </c>
      <c r="AR15" s="140">
        <f ca="1">IF(ISNUMBER(MATCH(DATEVALUE($A15),'recurring1_based on steps'!AR$1:AR$400,0)),AR$2,)</f>
        <v>0</v>
      </c>
      <c r="AS15" s="140">
        <f ca="1">IF(ISNUMBER(MATCH(DATEVALUE($A15),'recurring1_based on steps'!AS$1:AS$400,0)),AS$2,)</f>
        <v>0</v>
      </c>
      <c r="AT15" s="140">
        <f ca="1">IF(ISNUMBER(MATCH(DATEVALUE($A15),'recurring1_based on steps'!AT$1:AT$400,0)),AT$2,)</f>
        <v>0</v>
      </c>
      <c r="AU15" s="140">
        <f ca="1">IF(ISNUMBER(MATCH(DATEVALUE($A15),'recurring1_based on steps'!AU$1:AU$400,0)),AU$2,)</f>
        <v>0</v>
      </c>
      <c r="AV15" s="140">
        <f ca="1">IF(ISNUMBER(MATCH(DATEVALUE($A15),'recurring1_based on steps'!AV$1:AV$400,0)),AV$2,)</f>
        <v>0</v>
      </c>
      <c r="AW15" s="140">
        <f ca="1">IF(ISNUMBER(MATCH(DATEVALUE($A15),'recurring1_based on steps'!AW$1:AW$400,0)),AW$2,)</f>
        <v>0</v>
      </c>
      <c r="AX15" s="140">
        <f ca="1">IF(ISNUMBER(MATCH(DATEVALUE($A15),'recurring1_based on steps'!AX$1:AX$400,0)),AX$2,)</f>
        <v>0</v>
      </c>
      <c r="AY15" s="140">
        <f ca="1">IF(ISNUMBER(MATCH(DATEVALUE($A15),'recurring1_based on steps'!AY$1:AY$400,0)),AY$2,)</f>
        <v>0</v>
      </c>
    </row>
    <row r="16" spans="1:51" x14ac:dyDescent="0.2">
      <c r="A16" s="29" t="str">
        <f t="shared" ca="1" si="0"/>
        <v>2025-04-09</v>
      </c>
      <c r="B16" s="140">
        <f ca="1">IF(ISNUMBER(MATCH(DATEVALUE($A16),'recurring1_based on steps'!B$1:B$400,0)),B$2,)</f>
        <v>0</v>
      </c>
      <c r="C16" s="140">
        <f ca="1">IF(ISNUMBER(MATCH(DATEVALUE($A16),'recurring1_based on steps'!C$1:C$400,0)),C$2,)</f>
        <v>0</v>
      </c>
      <c r="D16" s="140">
        <f ca="1">IF(ISNUMBER(MATCH(DATEVALUE($A16),'recurring1_based on steps'!D$1:D$400,0)),D$2,)</f>
        <v>0</v>
      </c>
      <c r="E16" s="140">
        <f ca="1">IF(ISNUMBER(MATCH(DATEVALUE($A16),'recurring1_based on steps'!E$1:E$400,0)),E$2,)</f>
        <v>0</v>
      </c>
      <c r="F16" s="140">
        <f ca="1">IF(ISNUMBER(MATCH(DATEVALUE($A16),'recurring1_based on steps'!F$1:F$400,0)),F$2,)</f>
        <v>0</v>
      </c>
      <c r="G16" s="140">
        <f ca="1">IF(ISNUMBER(MATCH(DATEVALUE($A16),'recurring1_based on steps'!G$1:G$400,0)),G$2,)</f>
        <v>0</v>
      </c>
      <c r="H16" s="140">
        <f ca="1">IF(ISNUMBER(MATCH(DATEVALUE($A16),'recurring1_based on steps'!H$1:H$400,0)),H$2,)</f>
        <v>0</v>
      </c>
      <c r="I16" s="140">
        <f ca="1">IF(ISNUMBER(MATCH(DATEVALUE($A16),'recurring1_based on steps'!I$1:I$400,0)),I$2,)</f>
        <v>0</v>
      </c>
      <c r="J16" s="140">
        <f ca="1">IF(ISNUMBER(MATCH(DATEVALUE($A16),'recurring1_based on steps'!J$1:J$400,0)),J$2,)</f>
        <v>0</v>
      </c>
      <c r="K16" s="140">
        <f ca="1">IF(ISNUMBER(MATCH(DATEVALUE($A16),'recurring1_based on steps'!K$1:K$400,0)),K$2,)</f>
        <v>0</v>
      </c>
      <c r="L16" s="140">
        <f ca="1">IF(ISNUMBER(MATCH(DATEVALUE($A16),'recurring1_based on steps'!L$1:L$400,0)),L$2,)</f>
        <v>0</v>
      </c>
      <c r="M16" s="140">
        <f ca="1">IF(ISNUMBER(MATCH(DATEVALUE($A16),'recurring1_based on steps'!M$1:M$400,0)),M$2,)</f>
        <v>0</v>
      </c>
      <c r="N16" s="140">
        <f ca="1">IF(ISNUMBER(MATCH(DATEVALUE($A16),'recurring1_based on steps'!N$1:N$400,0)),N$2,)</f>
        <v>0</v>
      </c>
      <c r="O16" s="140">
        <f ca="1">IF(ISNUMBER(MATCH(DATEVALUE($A16),'recurring1_based on steps'!O$1:O$400,0)),O$2,)</f>
        <v>0</v>
      </c>
      <c r="P16" s="140">
        <f ca="1">IF(ISNUMBER(MATCH(DATEVALUE($A16),'recurring1_based on steps'!P$1:P$400,0)),P$2,)</f>
        <v>0</v>
      </c>
      <c r="Q16" s="140">
        <f ca="1">IF(ISNUMBER(MATCH(DATEVALUE($A16),'recurring1_based on steps'!Q$1:Q$400,0)),Q$2,)</f>
        <v>0</v>
      </c>
      <c r="R16" s="140">
        <f ca="1">IF(ISNUMBER(MATCH(DATEVALUE($A16),'recurring1_based on steps'!R$1:R$400,0)),R$2,)</f>
        <v>0</v>
      </c>
      <c r="S16" s="140">
        <f ca="1">IF(ISNUMBER(MATCH(DATEVALUE($A16),'recurring1_based on steps'!S$1:S$400,0)),S$2,)</f>
        <v>0</v>
      </c>
      <c r="T16" s="140">
        <f ca="1">IF(ISNUMBER(MATCH(DATEVALUE($A16),'recurring1_based on steps'!T$1:T$400,0)),T$2,)</f>
        <v>0</v>
      </c>
      <c r="U16" s="140">
        <f ca="1">IF(ISNUMBER(MATCH(DATEVALUE($A16),'recurring1_based on steps'!U$1:U$400,0)),U$2,)</f>
        <v>0</v>
      </c>
      <c r="V16" s="140">
        <f ca="1">IF(ISNUMBER(MATCH(DATEVALUE($A16),'recurring1_based on steps'!V$1:V$400,0)),V$2,)</f>
        <v>0</v>
      </c>
      <c r="W16" s="140">
        <f ca="1">IF(ISNUMBER(MATCH(DATEVALUE($A16),'recurring1_based on steps'!W$1:W$400,0)),W$2,)</f>
        <v>0</v>
      </c>
      <c r="X16" s="140">
        <f ca="1">IF(ISNUMBER(MATCH(DATEVALUE($A16),'recurring1_based on steps'!X$1:X$400,0)),X$2,)</f>
        <v>0</v>
      </c>
      <c r="Y16" s="140">
        <f ca="1">IF(ISNUMBER(MATCH(DATEVALUE($A16),'recurring1_based on steps'!Y$1:Y$400,0)),Y$2,)</f>
        <v>0</v>
      </c>
      <c r="Z16" s="140">
        <f ca="1">IF(ISNUMBER(MATCH(DATEVALUE($A16),'recurring1_based on steps'!Z$1:Z$400,0)),Z$2,)</f>
        <v>0</v>
      </c>
      <c r="AA16" s="140">
        <f ca="1">IF(ISNUMBER(MATCH(DATEVALUE($A16),'recurring1_based on steps'!AA$1:AA$400,0)),AA$2,)</f>
        <v>0</v>
      </c>
      <c r="AB16" s="140">
        <f ca="1">IF(ISNUMBER(MATCH(DATEVALUE($A16),'recurring1_based on steps'!AB$1:AB$400,0)),AB$2,)</f>
        <v>5.5401662049861494E-2</v>
      </c>
      <c r="AC16" s="140">
        <f ca="1">IF(ISNUMBER(MATCH(DATEVALUE($A16),'recurring1_based on steps'!AC$1:AC$400,0)),AC$2,)</f>
        <v>0</v>
      </c>
      <c r="AD16" s="140">
        <f ca="1">IF(ISNUMBER(MATCH(DATEVALUE($A16),'recurring1_based on steps'!AD$1:AD$400,0)),AD$2,)</f>
        <v>0</v>
      </c>
      <c r="AE16" s="140">
        <f ca="1">IF(ISNUMBER(MATCH(DATEVALUE($A16),'recurring1_based on steps'!AE$1:AE$400,0)),AE$2,)</f>
        <v>0</v>
      </c>
      <c r="AF16" s="140">
        <f ca="1">IF(ISNUMBER(MATCH(DATEVALUE($A16),'recurring1_based on steps'!AF$1:AF$400,0)),AF$2,)</f>
        <v>0</v>
      </c>
      <c r="AG16" s="140">
        <f ca="1">IF(ISNUMBER(MATCH(DATEVALUE($A16),'recurring1_based on steps'!AG$1:AG$400,0)),AG$2,)</f>
        <v>0</v>
      </c>
      <c r="AH16" s="140">
        <f ca="1">IF(ISNUMBER(MATCH(DATEVALUE($A16),'recurring1_based on steps'!AH$1:AH$400,0)),AH$2,)</f>
        <v>0</v>
      </c>
      <c r="AI16" s="140">
        <f ca="1">IF(ISNUMBER(MATCH(DATEVALUE($A16),'recurring1_based on steps'!AI$1:AI$400,0)),AI$2,)</f>
        <v>0</v>
      </c>
      <c r="AJ16" s="140">
        <f ca="1">IF(ISNUMBER(MATCH(DATEVALUE($A16),'recurring1_based on steps'!AJ$1:AJ$400,0)),AJ$2,)</f>
        <v>0</v>
      </c>
      <c r="AK16" s="140">
        <f ca="1">IF(ISNUMBER(MATCH(DATEVALUE($A16),'recurring1_based on steps'!AK$1:AK$400,0)),AK$2,)</f>
        <v>0</v>
      </c>
      <c r="AL16" s="140">
        <f ca="1">IF(ISNUMBER(MATCH(DATEVALUE($A16),'recurring1_based on steps'!AL$1:AL$400,0)),AL$2,)</f>
        <v>0</v>
      </c>
      <c r="AM16" s="140">
        <f ca="1">IF(ISNUMBER(MATCH(DATEVALUE($A16),'recurring1_based on steps'!AM$1:AM$400,0)),AM$2,)</f>
        <v>0</v>
      </c>
      <c r="AN16" s="140">
        <f ca="1">IF(ISNUMBER(MATCH(DATEVALUE($A16),'recurring1_based on steps'!AN$1:AN$400,0)),AN$2,)</f>
        <v>0</v>
      </c>
      <c r="AO16" s="140">
        <f ca="1">IF(ISNUMBER(MATCH(DATEVALUE($A16),'recurring1_based on steps'!AO$1:AO$400,0)),AO$2,)</f>
        <v>0</v>
      </c>
      <c r="AP16" s="140">
        <f ca="1">IF(ISNUMBER(MATCH(DATEVALUE($A16),'recurring1_based on steps'!AP$1:AP$400,0)),AP$2,)</f>
        <v>0</v>
      </c>
      <c r="AQ16" s="140">
        <f ca="1">IF(ISNUMBER(MATCH(DATEVALUE($A16),'recurring1_based on steps'!AQ$1:AQ$400,0)),AQ$2,)</f>
        <v>0</v>
      </c>
      <c r="AR16" s="140">
        <f ca="1">IF(ISNUMBER(MATCH(DATEVALUE($A16),'recurring1_based on steps'!AR$1:AR$400,0)),AR$2,)</f>
        <v>0</v>
      </c>
      <c r="AS16" s="140">
        <f ca="1">IF(ISNUMBER(MATCH(DATEVALUE($A16),'recurring1_based on steps'!AS$1:AS$400,0)),AS$2,)</f>
        <v>0</v>
      </c>
      <c r="AT16" s="140">
        <f ca="1">IF(ISNUMBER(MATCH(DATEVALUE($A16),'recurring1_based on steps'!AT$1:AT$400,0)),AT$2,)</f>
        <v>0</v>
      </c>
      <c r="AU16" s="140">
        <f ca="1">IF(ISNUMBER(MATCH(DATEVALUE($A16),'recurring1_based on steps'!AU$1:AU$400,0)),AU$2,)</f>
        <v>0</v>
      </c>
      <c r="AV16" s="140">
        <f ca="1">IF(ISNUMBER(MATCH(DATEVALUE($A16),'recurring1_based on steps'!AV$1:AV$400,0)),AV$2,)</f>
        <v>0</v>
      </c>
      <c r="AW16" s="140">
        <f ca="1">IF(ISNUMBER(MATCH(DATEVALUE($A16),'recurring1_based on steps'!AW$1:AW$400,0)),AW$2,)</f>
        <v>0</v>
      </c>
      <c r="AX16" s="140">
        <f ca="1">IF(ISNUMBER(MATCH(DATEVALUE($A16),'recurring1_based on steps'!AX$1:AX$400,0)),AX$2,)</f>
        <v>0</v>
      </c>
      <c r="AY16" s="140">
        <f ca="1">IF(ISNUMBER(MATCH(DATEVALUE($A16),'recurring1_based on steps'!AY$1:AY$400,0)),AY$2,)</f>
        <v>0</v>
      </c>
    </row>
    <row r="17" spans="1:51" x14ac:dyDescent="0.2">
      <c r="A17" s="29" t="str">
        <f t="shared" ca="1" si="0"/>
        <v>2025-04-10</v>
      </c>
      <c r="B17" s="140">
        <f ca="1">IF(ISNUMBER(MATCH(DATEVALUE($A17),'recurring1_based on steps'!B$1:B$400,0)),B$2,)</f>
        <v>0</v>
      </c>
      <c r="C17" s="140">
        <f ca="1">IF(ISNUMBER(MATCH(DATEVALUE($A17),'recurring1_based on steps'!C$1:C$400,0)),C$2,)</f>
        <v>0</v>
      </c>
      <c r="D17" s="140">
        <f ca="1">IF(ISNUMBER(MATCH(DATEVALUE($A17),'recurring1_based on steps'!D$1:D$400,0)),D$2,)</f>
        <v>0</v>
      </c>
      <c r="E17" s="140">
        <f ca="1">IF(ISNUMBER(MATCH(DATEVALUE($A17),'recurring1_based on steps'!E$1:E$400,0)),E$2,)</f>
        <v>0</v>
      </c>
      <c r="F17" s="140">
        <f ca="1">IF(ISNUMBER(MATCH(DATEVALUE($A17),'recurring1_based on steps'!F$1:F$400,0)),F$2,)</f>
        <v>0</v>
      </c>
      <c r="G17" s="140">
        <f ca="1">IF(ISNUMBER(MATCH(DATEVALUE($A17),'recurring1_based on steps'!G$1:G$400,0)),G$2,)</f>
        <v>0</v>
      </c>
      <c r="H17" s="140">
        <f ca="1">IF(ISNUMBER(MATCH(DATEVALUE($A17),'recurring1_based on steps'!H$1:H$400,0)),H$2,)</f>
        <v>0</v>
      </c>
      <c r="I17" s="140">
        <f ca="1">IF(ISNUMBER(MATCH(DATEVALUE($A17),'recurring1_based on steps'!I$1:I$400,0)),I$2,)</f>
        <v>0</v>
      </c>
      <c r="J17" s="140">
        <f ca="1">IF(ISNUMBER(MATCH(DATEVALUE($A17),'recurring1_based on steps'!J$1:J$400,0)),J$2,)</f>
        <v>0</v>
      </c>
      <c r="K17" s="140">
        <f ca="1">IF(ISNUMBER(MATCH(DATEVALUE($A17),'recurring1_based on steps'!K$1:K$400,0)),K$2,)</f>
        <v>0</v>
      </c>
      <c r="L17" s="140">
        <f ca="1">IF(ISNUMBER(MATCH(DATEVALUE($A17),'recurring1_based on steps'!L$1:L$400,0)),L$2,)</f>
        <v>0</v>
      </c>
      <c r="M17" s="140">
        <f ca="1">IF(ISNUMBER(MATCH(DATEVALUE($A17),'recurring1_based on steps'!M$1:M$400,0)),M$2,)</f>
        <v>0</v>
      </c>
      <c r="N17" s="140">
        <f ca="1">IF(ISNUMBER(MATCH(DATEVALUE($A17),'recurring1_based on steps'!N$1:N$400,0)),N$2,)</f>
        <v>0</v>
      </c>
      <c r="O17" s="140">
        <f ca="1">IF(ISNUMBER(MATCH(DATEVALUE($A17),'recurring1_based on steps'!O$1:O$400,0)),O$2,)</f>
        <v>0</v>
      </c>
      <c r="P17" s="140">
        <f ca="1">IF(ISNUMBER(MATCH(DATEVALUE($A17),'recurring1_based on steps'!P$1:P$400,0)),P$2,)</f>
        <v>0</v>
      </c>
      <c r="Q17" s="140">
        <f ca="1">IF(ISNUMBER(MATCH(DATEVALUE($A17),'recurring1_based on steps'!Q$1:Q$400,0)),Q$2,)</f>
        <v>0</v>
      </c>
      <c r="R17" s="140">
        <f ca="1">IF(ISNUMBER(MATCH(DATEVALUE($A17),'recurring1_based on steps'!R$1:R$400,0)),R$2,)</f>
        <v>0</v>
      </c>
      <c r="S17" s="140">
        <f ca="1">IF(ISNUMBER(MATCH(DATEVALUE($A17),'recurring1_based on steps'!S$1:S$400,0)),S$2,)</f>
        <v>0</v>
      </c>
      <c r="T17" s="140">
        <f ca="1">IF(ISNUMBER(MATCH(DATEVALUE($A17),'recurring1_based on steps'!T$1:T$400,0)),T$2,)</f>
        <v>0</v>
      </c>
      <c r="U17" s="140">
        <f ca="1">IF(ISNUMBER(MATCH(DATEVALUE($A17),'recurring1_based on steps'!U$1:U$400,0)),U$2,)</f>
        <v>0</v>
      </c>
      <c r="V17" s="140">
        <f ca="1">IF(ISNUMBER(MATCH(DATEVALUE($A17),'recurring1_based on steps'!V$1:V$400,0)),V$2,)</f>
        <v>0</v>
      </c>
      <c r="W17" s="140">
        <f ca="1">IF(ISNUMBER(MATCH(DATEVALUE($A17),'recurring1_based on steps'!W$1:W$400,0)),W$2,)</f>
        <v>0</v>
      </c>
      <c r="X17" s="140">
        <f ca="1">IF(ISNUMBER(MATCH(DATEVALUE($A17),'recurring1_based on steps'!X$1:X$400,0)),X$2,)</f>
        <v>0</v>
      </c>
      <c r="Y17" s="140">
        <f ca="1">IF(ISNUMBER(MATCH(DATEVALUE($A17),'recurring1_based on steps'!Y$1:Y$400,0)),Y$2,)</f>
        <v>0</v>
      </c>
      <c r="Z17" s="140">
        <f ca="1">IF(ISNUMBER(MATCH(DATEVALUE($A17),'recurring1_based on steps'!Z$1:Z$400,0)),Z$2,)</f>
        <v>0</v>
      </c>
      <c r="AA17" s="140">
        <f ca="1">IF(ISNUMBER(MATCH(DATEVALUE($A17),'recurring1_based on steps'!AA$1:AA$400,0)),AA$2,)</f>
        <v>0</v>
      </c>
      <c r="AB17" s="140">
        <f ca="1">IF(ISNUMBER(MATCH(DATEVALUE($A17),'recurring1_based on steps'!AB$1:AB$400,0)),AB$2,)</f>
        <v>5.5401662049861494E-2</v>
      </c>
      <c r="AC17" s="140">
        <f ca="1">IF(ISNUMBER(MATCH(DATEVALUE($A17),'recurring1_based on steps'!AC$1:AC$400,0)),AC$2,)</f>
        <v>0</v>
      </c>
      <c r="AD17" s="140">
        <f ca="1">IF(ISNUMBER(MATCH(DATEVALUE($A17),'recurring1_based on steps'!AD$1:AD$400,0)),AD$2,)</f>
        <v>0</v>
      </c>
      <c r="AE17" s="140">
        <f ca="1">IF(ISNUMBER(MATCH(DATEVALUE($A17),'recurring1_based on steps'!AE$1:AE$400,0)),AE$2,)</f>
        <v>0</v>
      </c>
      <c r="AF17" s="140">
        <f ca="1">IF(ISNUMBER(MATCH(DATEVALUE($A17),'recurring1_based on steps'!AF$1:AF$400,0)),AF$2,)</f>
        <v>0</v>
      </c>
      <c r="AG17" s="140">
        <f ca="1">IF(ISNUMBER(MATCH(DATEVALUE($A17),'recurring1_based on steps'!AG$1:AG$400,0)),AG$2,)</f>
        <v>0</v>
      </c>
      <c r="AH17" s="140">
        <f ca="1">IF(ISNUMBER(MATCH(DATEVALUE($A17),'recurring1_based on steps'!AH$1:AH$400,0)),AH$2,)</f>
        <v>0</v>
      </c>
      <c r="AI17" s="140">
        <f ca="1">IF(ISNUMBER(MATCH(DATEVALUE($A17),'recurring1_based on steps'!AI$1:AI$400,0)),AI$2,)</f>
        <v>0</v>
      </c>
      <c r="AJ17" s="140">
        <f ca="1">IF(ISNUMBER(MATCH(DATEVALUE($A17),'recurring1_based on steps'!AJ$1:AJ$400,0)),AJ$2,)</f>
        <v>0</v>
      </c>
      <c r="AK17" s="140">
        <f ca="1">IF(ISNUMBER(MATCH(DATEVALUE($A17),'recurring1_based on steps'!AK$1:AK$400,0)),AK$2,)</f>
        <v>0</v>
      </c>
      <c r="AL17" s="140">
        <f ca="1">IF(ISNUMBER(MATCH(DATEVALUE($A17),'recurring1_based on steps'!AL$1:AL$400,0)),AL$2,)</f>
        <v>0</v>
      </c>
      <c r="AM17" s="140">
        <f ca="1">IF(ISNUMBER(MATCH(DATEVALUE($A17),'recurring1_based on steps'!AM$1:AM$400,0)),AM$2,)</f>
        <v>0</v>
      </c>
      <c r="AN17" s="140">
        <f ca="1">IF(ISNUMBER(MATCH(DATEVALUE($A17),'recurring1_based on steps'!AN$1:AN$400,0)),AN$2,)</f>
        <v>0</v>
      </c>
      <c r="AO17" s="140">
        <f ca="1">IF(ISNUMBER(MATCH(DATEVALUE($A17),'recurring1_based on steps'!AO$1:AO$400,0)),AO$2,)</f>
        <v>0</v>
      </c>
      <c r="AP17" s="140">
        <f ca="1">IF(ISNUMBER(MATCH(DATEVALUE($A17),'recurring1_based on steps'!AP$1:AP$400,0)),AP$2,)</f>
        <v>0</v>
      </c>
      <c r="AQ17" s="140">
        <f ca="1">IF(ISNUMBER(MATCH(DATEVALUE($A17),'recurring1_based on steps'!AQ$1:AQ$400,0)),AQ$2,)</f>
        <v>0</v>
      </c>
      <c r="AR17" s="140">
        <f ca="1">IF(ISNUMBER(MATCH(DATEVALUE($A17),'recurring1_based on steps'!AR$1:AR$400,0)),AR$2,)</f>
        <v>0</v>
      </c>
      <c r="AS17" s="140">
        <f ca="1">IF(ISNUMBER(MATCH(DATEVALUE($A17),'recurring1_based on steps'!AS$1:AS$400,0)),AS$2,)</f>
        <v>0</v>
      </c>
      <c r="AT17" s="140">
        <f ca="1">IF(ISNUMBER(MATCH(DATEVALUE($A17),'recurring1_based on steps'!AT$1:AT$400,0)),AT$2,)</f>
        <v>0</v>
      </c>
      <c r="AU17" s="140">
        <f ca="1">IF(ISNUMBER(MATCH(DATEVALUE($A17),'recurring1_based on steps'!AU$1:AU$400,0)),AU$2,)</f>
        <v>0</v>
      </c>
      <c r="AV17" s="140">
        <f ca="1">IF(ISNUMBER(MATCH(DATEVALUE($A17),'recurring1_based on steps'!AV$1:AV$400,0)),AV$2,)</f>
        <v>0</v>
      </c>
      <c r="AW17" s="140">
        <f ca="1">IF(ISNUMBER(MATCH(DATEVALUE($A17),'recurring1_based on steps'!AW$1:AW$400,0)),AW$2,)</f>
        <v>0</v>
      </c>
      <c r="AX17" s="140">
        <f ca="1">IF(ISNUMBER(MATCH(DATEVALUE($A17),'recurring1_based on steps'!AX$1:AX$400,0)),AX$2,)</f>
        <v>0</v>
      </c>
      <c r="AY17" s="140">
        <f ca="1">IF(ISNUMBER(MATCH(DATEVALUE($A17),'recurring1_based on steps'!AY$1:AY$400,0)),AY$2,)</f>
        <v>0</v>
      </c>
    </row>
    <row r="18" spans="1:51" x14ac:dyDescent="0.2">
      <c r="A18" s="29" t="str">
        <f t="shared" ca="1" si="0"/>
        <v>2025-04-11</v>
      </c>
      <c r="B18" s="140">
        <f ca="1">IF(ISNUMBER(MATCH(DATEVALUE($A18),'recurring1_based on steps'!B$1:B$400,0)),B$2,)</f>
        <v>0</v>
      </c>
      <c r="C18" s="140">
        <f ca="1">IF(ISNUMBER(MATCH(DATEVALUE($A18),'recurring1_based on steps'!C$1:C$400,0)),C$2,)</f>
        <v>0</v>
      </c>
      <c r="D18" s="140">
        <f ca="1">IF(ISNUMBER(MATCH(DATEVALUE($A18),'recurring1_based on steps'!D$1:D$400,0)),D$2,)</f>
        <v>0</v>
      </c>
      <c r="E18" s="140">
        <f ca="1">IF(ISNUMBER(MATCH(DATEVALUE($A18),'recurring1_based on steps'!E$1:E$400,0)),E$2,)</f>
        <v>0</v>
      </c>
      <c r="F18" s="140">
        <f ca="1">IF(ISNUMBER(MATCH(DATEVALUE($A18),'recurring1_based on steps'!F$1:F$400,0)),F$2,)</f>
        <v>0</v>
      </c>
      <c r="G18" s="140">
        <f ca="1">IF(ISNUMBER(MATCH(DATEVALUE($A18),'recurring1_based on steps'!G$1:G$400,0)),G$2,)</f>
        <v>0</v>
      </c>
      <c r="H18" s="140">
        <f ca="1">IF(ISNUMBER(MATCH(DATEVALUE($A18),'recurring1_based on steps'!H$1:H$400,0)),H$2,)</f>
        <v>0</v>
      </c>
      <c r="I18" s="140">
        <f ca="1">IF(ISNUMBER(MATCH(DATEVALUE($A18),'recurring1_based on steps'!I$1:I$400,0)),I$2,)</f>
        <v>0</v>
      </c>
      <c r="J18" s="140">
        <f ca="1">IF(ISNUMBER(MATCH(DATEVALUE($A18),'recurring1_based on steps'!J$1:J$400,0)),J$2,)</f>
        <v>0</v>
      </c>
      <c r="K18" s="140">
        <f ca="1">IF(ISNUMBER(MATCH(DATEVALUE($A18),'recurring1_based on steps'!K$1:K$400,0)),K$2,)</f>
        <v>0</v>
      </c>
      <c r="L18" s="140">
        <f ca="1">IF(ISNUMBER(MATCH(DATEVALUE($A18),'recurring1_based on steps'!L$1:L$400,0)),L$2,)</f>
        <v>0</v>
      </c>
      <c r="M18" s="140">
        <f ca="1">IF(ISNUMBER(MATCH(DATEVALUE($A18),'recurring1_based on steps'!M$1:M$400,0)),M$2,)</f>
        <v>0</v>
      </c>
      <c r="N18" s="140">
        <f ca="1">IF(ISNUMBER(MATCH(DATEVALUE($A18),'recurring1_based on steps'!N$1:N$400,0)),N$2,)</f>
        <v>0</v>
      </c>
      <c r="O18" s="140">
        <f ca="1">IF(ISNUMBER(MATCH(DATEVALUE($A18),'recurring1_based on steps'!O$1:O$400,0)),O$2,)</f>
        <v>0</v>
      </c>
      <c r="P18" s="140">
        <f ca="1">IF(ISNUMBER(MATCH(DATEVALUE($A18),'recurring1_based on steps'!P$1:P$400,0)),P$2,)</f>
        <v>0</v>
      </c>
      <c r="Q18" s="140">
        <f ca="1">IF(ISNUMBER(MATCH(DATEVALUE($A18),'recurring1_based on steps'!Q$1:Q$400,0)),Q$2,)</f>
        <v>0</v>
      </c>
      <c r="R18" s="140">
        <f ca="1">IF(ISNUMBER(MATCH(DATEVALUE($A18),'recurring1_based on steps'!R$1:R$400,0)),R$2,)</f>
        <v>0</v>
      </c>
      <c r="S18" s="140">
        <f ca="1">IF(ISNUMBER(MATCH(DATEVALUE($A18),'recurring1_based on steps'!S$1:S$400,0)),S$2,)</f>
        <v>0</v>
      </c>
      <c r="T18" s="140">
        <f ca="1">IF(ISNUMBER(MATCH(DATEVALUE($A18),'recurring1_based on steps'!T$1:T$400,0)),T$2,)</f>
        <v>0</v>
      </c>
      <c r="U18" s="140">
        <f ca="1">IF(ISNUMBER(MATCH(DATEVALUE($A18),'recurring1_based on steps'!U$1:U$400,0)),U$2,)</f>
        <v>0</v>
      </c>
      <c r="V18" s="140">
        <f ca="1">IF(ISNUMBER(MATCH(DATEVALUE($A18),'recurring1_based on steps'!V$1:V$400,0)),V$2,)</f>
        <v>0</v>
      </c>
      <c r="W18" s="140">
        <f ca="1">IF(ISNUMBER(MATCH(DATEVALUE($A18),'recurring1_based on steps'!W$1:W$400,0)),W$2,)</f>
        <v>0</v>
      </c>
      <c r="X18" s="140">
        <f ca="1">IF(ISNUMBER(MATCH(DATEVALUE($A18),'recurring1_based on steps'!X$1:X$400,0)),X$2,)</f>
        <v>0</v>
      </c>
      <c r="Y18" s="140">
        <f ca="1">IF(ISNUMBER(MATCH(DATEVALUE($A18),'recurring1_based on steps'!Y$1:Y$400,0)),Y$2,)</f>
        <v>0</v>
      </c>
      <c r="Z18" s="140">
        <f ca="1">IF(ISNUMBER(MATCH(DATEVALUE($A18),'recurring1_based on steps'!Z$1:Z$400,0)),Z$2,)</f>
        <v>0</v>
      </c>
      <c r="AA18" s="140">
        <f ca="1">IF(ISNUMBER(MATCH(DATEVALUE($A18),'recurring1_based on steps'!AA$1:AA$400,0)),AA$2,)</f>
        <v>0</v>
      </c>
      <c r="AB18" s="140">
        <f ca="1">IF(ISNUMBER(MATCH(DATEVALUE($A18),'recurring1_based on steps'!AB$1:AB$400,0)),AB$2,)</f>
        <v>5.5401662049861494E-2</v>
      </c>
      <c r="AC18" s="140">
        <f ca="1">IF(ISNUMBER(MATCH(DATEVALUE($A18),'recurring1_based on steps'!AC$1:AC$400,0)),AC$2,)</f>
        <v>0</v>
      </c>
      <c r="AD18" s="140">
        <f ca="1">IF(ISNUMBER(MATCH(DATEVALUE($A18),'recurring1_based on steps'!AD$1:AD$400,0)),AD$2,)</f>
        <v>0</v>
      </c>
      <c r="AE18" s="140">
        <f ca="1">IF(ISNUMBER(MATCH(DATEVALUE($A18),'recurring1_based on steps'!AE$1:AE$400,0)),AE$2,)</f>
        <v>0</v>
      </c>
      <c r="AF18" s="140">
        <f ca="1">IF(ISNUMBER(MATCH(DATEVALUE($A18),'recurring1_based on steps'!AF$1:AF$400,0)),AF$2,)</f>
        <v>0</v>
      </c>
      <c r="AG18" s="140">
        <f ca="1">IF(ISNUMBER(MATCH(DATEVALUE($A18),'recurring1_based on steps'!AG$1:AG$400,0)),AG$2,)</f>
        <v>0</v>
      </c>
      <c r="AH18" s="140">
        <f ca="1">IF(ISNUMBER(MATCH(DATEVALUE($A18),'recurring1_based on steps'!AH$1:AH$400,0)),AH$2,)</f>
        <v>0</v>
      </c>
      <c r="AI18" s="140">
        <f ca="1">IF(ISNUMBER(MATCH(DATEVALUE($A18),'recurring1_based on steps'!AI$1:AI$400,0)),AI$2,)</f>
        <v>0</v>
      </c>
      <c r="AJ18" s="140">
        <f ca="1">IF(ISNUMBER(MATCH(DATEVALUE($A18),'recurring1_based on steps'!AJ$1:AJ$400,0)),AJ$2,)</f>
        <v>0</v>
      </c>
      <c r="AK18" s="140">
        <f ca="1">IF(ISNUMBER(MATCH(DATEVALUE($A18),'recurring1_based on steps'!AK$1:AK$400,0)),AK$2,)</f>
        <v>0</v>
      </c>
      <c r="AL18" s="140">
        <f ca="1">IF(ISNUMBER(MATCH(DATEVALUE($A18),'recurring1_based on steps'!AL$1:AL$400,0)),AL$2,)</f>
        <v>0</v>
      </c>
      <c r="AM18" s="140">
        <f ca="1">IF(ISNUMBER(MATCH(DATEVALUE($A18),'recurring1_based on steps'!AM$1:AM$400,0)),AM$2,)</f>
        <v>0</v>
      </c>
      <c r="AN18" s="140">
        <f ca="1">IF(ISNUMBER(MATCH(DATEVALUE($A18),'recurring1_based on steps'!AN$1:AN$400,0)),AN$2,)</f>
        <v>0</v>
      </c>
      <c r="AO18" s="140">
        <f ca="1">IF(ISNUMBER(MATCH(DATEVALUE($A18),'recurring1_based on steps'!AO$1:AO$400,0)),AO$2,)</f>
        <v>0</v>
      </c>
      <c r="AP18" s="140">
        <f ca="1">IF(ISNUMBER(MATCH(DATEVALUE($A18),'recurring1_based on steps'!AP$1:AP$400,0)),AP$2,)</f>
        <v>0</v>
      </c>
      <c r="AQ18" s="140">
        <f ca="1">IF(ISNUMBER(MATCH(DATEVALUE($A18),'recurring1_based on steps'!AQ$1:AQ$400,0)),AQ$2,)</f>
        <v>0</v>
      </c>
      <c r="AR18" s="140">
        <f ca="1">IF(ISNUMBER(MATCH(DATEVALUE($A18),'recurring1_based on steps'!AR$1:AR$400,0)),AR$2,)</f>
        <v>0</v>
      </c>
      <c r="AS18" s="140">
        <f ca="1">IF(ISNUMBER(MATCH(DATEVALUE($A18),'recurring1_based on steps'!AS$1:AS$400,0)),AS$2,)</f>
        <v>0</v>
      </c>
      <c r="AT18" s="140">
        <f ca="1">IF(ISNUMBER(MATCH(DATEVALUE($A18),'recurring1_based on steps'!AT$1:AT$400,0)),AT$2,)</f>
        <v>0</v>
      </c>
      <c r="AU18" s="140">
        <f ca="1">IF(ISNUMBER(MATCH(DATEVALUE($A18),'recurring1_based on steps'!AU$1:AU$400,0)),AU$2,)</f>
        <v>0</v>
      </c>
      <c r="AV18" s="140">
        <f ca="1">IF(ISNUMBER(MATCH(DATEVALUE($A18),'recurring1_based on steps'!AV$1:AV$400,0)),AV$2,)</f>
        <v>0</v>
      </c>
      <c r="AW18" s="140">
        <f ca="1">IF(ISNUMBER(MATCH(DATEVALUE($A18),'recurring1_based on steps'!AW$1:AW$400,0)),AW$2,)</f>
        <v>0</v>
      </c>
      <c r="AX18" s="140">
        <f ca="1">IF(ISNUMBER(MATCH(DATEVALUE($A18),'recurring1_based on steps'!AX$1:AX$400,0)),AX$2,)</f>
        <v>0</v>
      </c>
      <c r="AY18" s="140">
        <f ca="1">IF(ISNUMBER(MATCH(DATEVALUE($A18),'recurring1_based on steps'!AY$1:AY$400,0)),AY$2,)</f>
        <v>0</v>
      </c>
    </row>
    <row r="19" spans="1:51" x14ac:dyDescent="0.2">
      <c r="A19" s="29" t="str">
        <f t="shared" ca="1" si="0"/>
        <v>2025-04-12</v>
      </c>
      <c r="B19" s="140">
        <f ca="1">IF(ISNUMBER(MATCH(DATEVALUE($A19),'recurring1_based on steps'!B$1:B$400,0)),B$2,)</f>
        <v>0</v>
      </c>
      <c r="C19" s="140">
        <f ca="1">IF(ISNUMBER(MATCH(DATEVALUE($A19),'recurring1_based on steps'!C$1:C$400,0)),C$2,)</f>
        <v>0</v>
      </c>
      <c r="D19" s="140">
        <f ca="1">IF(ISNUMBER(MATCH(DATEVALUE($A19),'recurring1_based on steps'!D$1:D$400,0)),D$2,)</f>
        <v>0</v>
      </c>
      <c r="E19" s="140">
        <f ca="1">IF(ISNUMBER(MATCH(DATEVALUE($A19),'recurring1_based on steps'!E$1:E$400,0)),E$2,)</f>
        <v>0</v>
      </c>
      <c r="F19" s="140">
        <f ca="1">IF(ISNUMBER(MATCH(DATEVALUE($A19),'recurring1_based on steps'!F$1:F$400,0)),F$2,)</f>
        <v>0</v>
      </c>
      <c r="G19" s="140">
        <f ca="1">IF(ISNUMBER(MATCH(DATEVALUE($A19),'recurring1_based on steps'!G$1:G$400,0)),G$2,)</f>
        <v>0</v>
      </c>
      <c r="H19" s="140">
        <f ca="1">IF(ISNUMBER(MATCH(DATEVALUE($A19),'recurring1_based on steps'!H$1:H$400,0)),H$2,)</f>
        <v>0</v>
      </c>
      <c r="I19" s="140">
        <f ca="1">IF(ISNUMBER(MATCH(DATEVALUE($A19),'recurring1_based on steps'!I$1:I$400,0)),I$2,)</f>
        <v>0</v>
      </c>
      <c r="J19" s="140">
        <f ca="1">IF(ISNUMBER(MATCH(DATEVALUE($A19),'recurring1_based on steps'!J$1:J$400,0)),J$2,)</f>
        <v>0</v>
      </c>
      <c r="K19" s="140">
        <f ca="1">IF(ISNUMBER(MATCH(DATEVALUE($A19),'recurring1_based on steps'!K$1:K$400,0)),K$2,)</f>
        <v>0</v>
      </c>
      <c r="L19" s="140">
        <f ca="1">IF(ISNUMBER(MATCH(DATEVALUE($A19),'recurring1_based on steps'!L$1:L$400,0)),L$2,)</f>
        <v>0</v>
      </c>
      <c r="M19" s="140">
        <f ca="1">IF(ISNUMBER(MATCH(DATEVALUE($A19),'recurring1_based on steps'!M$1:M$400,0)),M$2,)</f>
        <v>0</v>
      </c>
      <c r="N19" s="140">
        <f ca="1">IF(ISNUMBER(MATCH(DATEVALUE($A19),'recurring1_based on steps'!N$1:N$400,0)),N$2,)</f>
        <v>0</v>
      </c>
      <c r="O19" s="140">
        <f ca="1">IF(ISNUMBER(MATCH(DATEVALUE($A19),'recurring1_based on steps'!O$1:O$400,0)),O$2,)</f>
        <v>0</v>
      </c>
      <c r="P19" s="140">
        <f ca="1">IF(ISNUMBER(MATCH(DATEVALUE($A19),'recurring1_based on steps'!P$1:P$400,0)),P$2,)</f>
        <v>0</v>
      </c>
      <c r="Q19" s="140">
        <f ca="1">IF(ISNUMBER(MATCH(DATEVALUE($A19),'recurring1_based on steps'!Q$1:Q$400,0)),Q$2,)</f>
        <v>100</v>
      </c>
      <c r="R19" s="140">
        <f ca="1">IF(ISNUMBER(MATCH(DATEVALUE($A19),'recurring1_based on steps'!R$1:R$400,0)),R$2,)</f>
        <v>100</v>
      </c>
      <c r="S19" s="140">
        <f ca="1">IF(ISNUMBER(MATCH(DATEVALUE($A19),'recurring1_based on steps'!S$1:S$400,0)),S$2,)</f>
        <v>0</v>
      </c>
      <c r="T19" s="140">
        <f ca="1">IF(ISNUMBER(MATCH(DATEVALUE($A19),'recurring1_based on steps'!T$1:T$400,0)),T$2,)</f>
        <v>0</v>
      </c>
      <c r="U19" s="140">
        <f ca="1">IF(ISNUMBER(MATCH(DATEVALUE($A19),'recurring1_based on steps'!U$1:U$400,0)),U$2,)</f>
        <v>0</v>
      </c>
      <c r="V19" s="140">
        <f ca="1">IF(ISNUMBER(MATCH(DATEVALUE($A19),'recurring1_based on steps'!V$1:V$400,0)),V$2,)</f>
        <v>0</v>
      </c>
      <c r="W19" s="140">
        <f ca="1">IF(ISNUMBER(MATCH(DATEVALUE($A19),'recurring1_based on steps'!W$1:W$400,0)),W$2,)</f>
        <v>0</v>
      </c>
      <c r="X19" s="140">
        <f ca="1">IF(ISNUMBER(MATCH(DATEVALUE($A19),'recurring1_based on steps'!X$1:X$400,0)),X$2,)</f>
        <v>0</v>
      </c>
      <c r="Y19" s="140">
        <f ca="1">IF(ISNUMBER(MATCH(DATEVALUE($A19),'recurring1_based on steps'!Y$1:Y$400,0)),Y$2,)</f>
        <v>0</v>
      </c>
      <c r="Z19" s="140">
        <f ca="1">IF(ISNUMBER(MATCH(DATEVALUE($A19),'recurring1_based on steps'!Z$1:Z$400,0)),Z$2,)</f>
        <v>0</v>
      </c>
      <c r="AA19" s="140">
        <f ca="1">IF(ISNUMBER(MATCH(DATEVALUE($A19),'recurring1_based on steps'!AA$1:AA$400,0)),AA$2,)</f>
        <v>0</v>
      </c>
      <c r="AB19" s="140">
        <f ca="1">IF(ISNUMBER(MATCH(DATEVALUE($A19),'recurring1_based on steps'!AB$1:AB$400,0)),AB$2,)</f>
        <v>5.5401662049861494E-2</v>
      </c>
      <c r="AC19" s="140">
        <f ca="1">IF(ISNUMBER(MATCH(DATEVALUE($A19),'recurring1_based on steps'!AC$1:AC$400,0)),AC$2,)</f>
        <v>0</v>
      </c>
      <c r="AD19" s="140">
        <f ca="1">IF(ISNUMBER(MATCH(DATEVALUE($A19),'recurring1_based on steps'!AD$1:AD$400,0)),AD$2,)</f>
        <v>0</v>
      </c>
      <c r="AE19" s="140">
        <f ca="1">IF(ISNUMBER(MATCH(DATEVALUE($A19),'recurring1_based on steps'!AE$1:AE$400,0)),AE$2,)</f>
        <v>0</v>
      </c>
      <c r="AF19" s="140">
        <f ca="1">IF(ISNUMBER(MATCH(DATEVALUE($A19),'recurring1_based on steps'!AF$1:AF$400,0)),AF$2,)</f>
        <v>0</v>
      </c>
      <c r="AG19" s="140">
        <f ca="1">IF(ISNUMBER(MATCH(DATEVALUE($A19),'recurring1_based on steps'!AG$1:AG$400,0)),AG$2,)</f>
        <v>0</v>
      </c>
      <c r="AH19" s="140">
        <f ca="1">IF(ISNUMBER(MATCH(DATEVALUE($A19),'recurring1_based on steps'!AH$1:AH$400,0)),AH$2,)</f>
        <v>0</v>
      </c>
      <c r="AI19" s="140">
        <f ca="1">IF(ISNUMBER(MATCH(DATEVALUE($A19),'recurring1_based on steps'!AI$1:AI$400,0)),AI$2,)</f>
        <v>0</v>
      </c>
      <c r="AJ19" s="140">
        <f ca="1">IF(ISNUMBER(MATCH(DATEVALUE($A19),'recurring1_based on steps'!AJ$1:AJ$400,0)),AJ$2,)</f>
        <v>0</v>
      </c>
      <c r="AK19" s="140">
        <f ca="1">IF(ISNUMBER(MATCH(DATEVALUE($A19),'recurring1_based on steps'!AK$1:AK$400,0)),AK$2,)</f>
        <v>0</v>
      </c>
      <c r="AL19" s="140">
        <f ca="1">IF(ISNUMBER(MATCH(DATEVALUE($A19),'recurring1_based on steps'!AL$1:AL$400,0)),AL$2,)</f>
        <v>0</v>
      </c>
      <c r="AM19" s="140">
        <f ca="1">IF(ISNUMBER(MATCH(DATEVALUE($A19),'recurring1_based on steps'!AM$1:AM$400,0)),AM$2,)</f>
        <v>0</v>
      </c>
      <c r="AN19" s="140">
        <f ca="1">IF(ISNUMBER(MATCH(DATEVALUE($A19),'recurring1_based on steps'!AN$1:AN$400,0)),AN$2,)</f>
        <v>0</v>
      </c>
      <c r="AO19" s="140">
        <f ca="1">IF(ISNUMBER(MATCH(DATEVALUE($A19),'recurring1_based on steps'!AO$1:AO$400,0)),AO$2,)</f>
        <v>0</v>
      </c>
      <c r="AP19" s="140">
        <f ca="1">IF(ISNUMBER(MATCH(DATEVALUE($A19),'recurring1_based on steps'!AP$1:AP$400,0)),AP$2,)</f>
        <v>0</v>
      </c>
      <c r="AQ19" s="140">
        <f ca="1">IF(ISNUMBER(MATCH(DATEVALUE($A19),'recurring1_based on steps'!AQ$1:AQ$400,0)),AQ$2,)</f>
        <v>0</v>
      </c>
      <c r="AR19" s="140">
        <f ca="1">IF(ISNUMBER(MATCH(DATEVALUE($A19),'recurring1_based on steps'!AR$1:AR$400,0)),AR$2,)</f>
        <v>0</v>
      </c>
      <c r="AS19" s="140">
        <f ca="1">IF(ISNUMBER(MATCH(DATEVALUE($A19),'recurring1_based on steps'!AS$1:AS$400,0)),AS$2,)</f>
        <v>0</v>
      </c>
      <c r="AT19" s="140">
        <f ca="1">IF(ISNUMBER(MATCH(DATEVALUE($A19),'recurring1_based on steps'!AT$1:AT$400,0)),AT$2,)</f>
        <v>0</v>
      </c>
      <c r="AU19" s="140">
        <f ca="1">IF(ISNUMBER(MATCH(DATEVALUE($A19),'recurring1_based on steps'!AU$1:AU$400,0)),AU$2,)</f>
        <v>0</v>
      </c>
      <c r="AV19" s="140">
        <f ca="1">IF(ISNUMBER(MATCH(DATEVALUE($A19),'recurring1_based on steps'!AV$1:AV$400,0)),AV$2,)</f>
        <v>0</v>
      </c>
      <c r="AW19" s="140">
        <f ca="1">IF(ISNUMBER(MATCH(DATEVALUE($A19),'recurring1_based on steps'!AW$1:AW$400,0)),AW$2,)</f>
        <v>0</v>
      </c>
      <c r="AX19" s="140">
        <f ca="1">IF(ISNUMBER(MATCH(DATEVALUE($A19),'recurring1_based on steps'!AX$1:AX$400,0)),AX$2,)</f>
        <v>0</v>
      </c>
      <c r="AY19" s="140">
        <f ca="1">IF(ISNUMBER(MATCH(DATEVALUE($A19),'recurring1_based on steps'!AY$1:AY$400,0)),AY$2,)</f>
        <v>0</v>
      </c>
    </row>
    <row r="20" spans="1:51" x14ac:dyDescent="0.2">
      <c r="A20" s="29" t="str">
        <f t="shared" ca="1" si="0"/>
        <v>2025-04-13</v>
      </c>
      <c r="B20" s="140">
        <f ca="1">IF(ISNUMBER(MATCH(DATEVALUE($A20),'recurring1_based on steps'!B$1:B$400,0)),B$2,)</f>
        <v>0</v>
      </c>
      <c r="C20" s="140">
        <f ca="1">IF(ISNUMBER(MATCH(DATEVALUE($A20),'recurring1_based on steps'!C$1:C$400,0)),C$2,)</f>
        <v>0</v>
      </c>
      <c r="D20" s="140">
        <f ca="1">IF(ISNUMBER(MATCH(DATEVALUE($A20),'recurring1_based on steps'!D$1:D$400,0)),D$2,)</f>
        <v>0</v>
      </c>
      <c r="E20" s="140">
        <f ca="1">IF(ISNUMBER(MATCH(DATEVALUE($A20),'recurring1_based on steps'!E$1:E$400,0)),E$2,)</f>
        <v>0</v>
      </c>
      <c r="F20" s="140">
        <f ca="1">IF(ISNUMBER(MATCH(DATEVALUE($A20),'recurring1_based on steps'!F$1:F$400,0)),F$2,)</f>
        <v>0</v>
      </c>
      <c r="G20" s="140">
        <f ca="1">IF(ISNUMBER(MATCH(DATEVALUE($A20),'recurring1_based on steps'!G$1:G$400,0)),G$2,)</f>
        <v>0</v>
      </c>
      <c r="H20" s="140">
        <f ca="1">IF(ISNUMBER(MATCH(DATEVALUE($A20),'recurring1_based on steps'!H$1:H$400,0)),H$2,)</f>
        <v>0</v>
      </c>
      <c r="I20" s="140">
        <f ca="1">IF(ISNUMBER(MATCH(DATEVALUE($A20),'recurring1_based on steps'!I$1:I$400,0)),I$2,)</f>
        <v>0</v>
      </c>
      <c r="J20" s="140">
        <f ca="1">IF(ISNUMBER(MATCH(DATEVALUE($A20),'recurring1_based on steps'!J$1:J$400,0)),J$2,)</f>
        <v>0</v>
      </c>
      <c r="K20" s="140">
        <f ca="1">IF(ISNUMBER(MATCH(DATEVALUE($A20),'recurring1_based on steps'!K$1:K$400,0)),K$2,)</f>
        <v>50</v>
      </c>
      <c r="L20" s="140">
        <f ca="1">IF(ISNUMBER(MATCH(DATEVALUE($A20),'recurring1_based on steps'!L$1:L$400,0)),L$2,)</f>
        <v>0</v>
      </c>
      <c r="M20" s="140">
        <f ca="1">IF(ISNUMBER(MATCH(DATEVALUE($A20),'recurring1_based on steps'!M$1:M$400,0)),M$2,)</f>
        <v>0</v>
      </c>
      <c r="N20" s="140">
        <f ca="1">IF(ISNUMBER(MATCH(DATEVALUE($A20),'recurring1_based on steps'!N$1:N$400,0)),N$2,)</f>
        <v>0</v>
      </c>
      <c r="O20" s="140">
        <f ca="1">IF(ISNUMBER(MATCH(DATEVALUE($A20),'recurring1_based on steps'!O$1:O$400,0)),O$2,)</f>
        <v>0</v>
      </c>
      <c r="P20" s="140">
        <f ca="1">IF(ISNUMBER(MATCH(DATEVALUE($A20),'recurring1_based on steps'!P$1:P$400,0)),P$2,)</f>
        <v>0</v>
      </c>
      <c r="Q20" s="140">
        <f ca="1">IF(ISNUMBER(MATCH(DATEVALUE($A20),'recurring1_based on steps'!Q$1:Q$400,0)),Q$2,)</f>
        <v>0</v>
      </c>
      <c r="R20" s="140">
        <f ca="1">IF(ISNUMBER(MATCH(DATEVALUE($A20),'recurring1_based on steps'!R$1:R$400,0)),R$2,)</f>
        <v>0</v>
      </c>
      <c r="S20" s="140">
        <f ca="1">IF(ISNUMBER(MATCH(DATEVALUE($A20),'recurring1_based on steps'!S$1:S$400,0)),S$2,)</f>
        <v>100</v>
      </c>
      <c r="T20" s="140">
        <f ca="1">IF(ISNUMBER(MATCH(DATEVALUE($A20),'recurring1_based on steps'!T$1:T$400,0)),T$2,)</f>
        <v>0</v>
      </c>
      <c r="U20" s="140">
        <f ca="1">IF(ISNUMBER(MATCH(DATEVALUE($A20),'recurring1_based on steps'!U$1:U$400,0)),U$2,)</f>
        <v>0</v>
      </c>
      <c r="V20" s="140">
        <f ca="1">IF(ISNUMBER(MATCH(DATEVALUE($A20),'recurring1_based on steps'!V$1:V$400,0)),V$2,)</f>
        <v>0</v>
      </c>
      <c r="W20" s="140">
        <f ca="1">IF(ISNUMBER(MATCH(DATEVALUE($A20),'recurring1_based on steps'!W$1:W$400,0)),W$2,)</f>
        <v>0</v>
      </c>
      <c r="X20" s="140">
        <f ca="1">IF(ISNUMBER(MATCH(DATEVALUE($A20),'recurring1_based on steps'!X$1:X$400,0)),X$2,)</f>
        <v>0</v>
      </c>
      <c r="Y20" s="140">
        <f ca="1">IF(ISNUMBER(MATCH(DATEVALUE($A20),'recurring1_based on steps'!Y$1:Y$400,0)),Y$2,)</f>
        <v>0</v>
      </c>
      <c r="Z20" s="140">
        <f ca="1">IF(ISNUMBER(MATCH(DATEVALUE($A20),'recurring1_based on steps'!Z$1:Z$400,0)),Z$2,)</f>
        <v>0</v>
      </c>
      <c r="AA20" s="140">
        <f ca="1">IF(ISNUMBER(MATCH(DATEVALUE($A20),'recurring1_based on steps'!AA$1:AA$400,0)),AA$2,)</f>
        <v>0</v>
      </c>
      <c r="AB20" s="140">
        <f ca="1">IF(ISNUMBER(MATCH(DATEVALUE($A20),'recurring1_based on steps'!AB$1:AB$400,0)),AB$2,)</f>
        <v>5.5401662049861494E-2</v>
      </c>
      <c r="AC20" s="140">
        <f ca="1">IF(ISNUMBER(MATCH(DATEVALUE($A20),'recurring1_based on steps'!AC$1:AC$400,0)),AC$2,)</f>
        <v>0</v>
      </c>
      <c r="AD20" s="140">
        <f ca="1">IF(ISNUMBER(MATCH(DATEVALUE($A20),'recurring1_based on steps'!AD$1:AD$400,0)),AD$2,)</f>
        <v>0</v>
      </c>
      <c r="AE20" s="140">
        <f ca="1">IF(ISNUMBER(MATCH(DATEVALUE($A20),'recurring1_based on steps'!AE$1:AE$400,0)),AE$2,)</f>
        <v>0</v>
      </c>
      <c r="AF20" s="140">
        <f ca="1">IF(ISNUMBER(MATCH(DATEVALUE($A20),'recurring1_based on steps'!AF$1:AF$400,0)),AF$2,)</f>
        <v>0</v>
      </c>
      <c r="AG20" s="140">
        <f ca="1">IF(ISNUMBER(MATCH(DATEVALUE($A20),'recurring1_based on steps'!AG$1:AG$400,0)),AG$2,)</f>
        <v>0</v>
      </c>
      <c r="AH20" s="140">
        <f ca="1">IF(ISNUMBER(MATCH(DATEVALUE($A20),'recurring1_based on steps'!AH$1:AH$400,0)),AH$2,)</f>
        <v>0</v>
      </c>
      <c r="AI20" s="140">
        <f ca="1">IF(ISNUMBER(MATCH(DATEVALUE($A20),'recurring1_based on steps'!AI$1:AI$400,0)),AI$2,)</f>
        <v>0</v>
      </c>
      <c r="AJ20" s="140">
        <f ca="1">IF(ISNUMBER(MATCH(DATEVALUE($A20),'recurring1_based on steps'!AJ$1:AJ$400,0)),AJ$2,)</f>
        <v>0</v>
      </c>
      <c r="AK20" s="140">
        <f ca="1">IF(ISNUMBER(MATCH(DATEVALUE($A20),'recurring1_based on steps'!AK$1:AK$400,0)),AK$2,)</f>
        <v>0</v>
      </c>
      <c r="AL20" s="140">
        <f ca="1">IF(ISNUMBER(MATCH(DATEVALUE($A20),'recurring1_based on steps'!AL$1:AL$400,0)),AL$2,)</f>
        <v>0</v>
      </c>
      <c r="AM20" s="140">
        <f ca="1">IF(ISNUMBER(MATCH(DATEVALUE($A20),'recurring1_based on steps'!AM$1:AM$400,0)),AM$2,)</f>
        <v>0</v>
      </c>
      <c r="AN20" s="140">
        <f ca="1">IF(ISNUMBER(MATCH(DATEVALUE($A20),'recurring1_based on steps'!AN$1:AN$400,0)),AN$2,)</f>
        <v>0</v>
      </c>
      <c r="AO20" s="140">
        <f ca="1">IF(ISNUMBER(MATCH(DATEVALUE($A20),'recurring1_based on steps'!AO$1:AO$400,0)),AO$2,)</f>
        <v>0</v>
      </c>
      <c r="AP20" s="140">
        <f ca="1">IF(ISNUMBER(MATCH(DATEVALUE($A20),'recurring1_based on steps'!AP$1:AP$400,0)),AP$2,)</f>
        <v>0</v>
      </c>
      <c r="AQ20" s="140">
        <f ca="1">IF(ISNUMBER(MATCH(DATEVALUE($A20),'recurring1_based on steps'!AQ$1:AQ$400,0)),AQ$2,)</f>
        <v>0</v>
      </c>
      <c r="AR20" s="140">
        <f ca="1">IF(ISNUMBER(MATCH(DATEVALUE($A20),'recurring1_based on steps'!AR$1:AR$400,0)),AR$2,)</f>
        <v>0</v>
      </c>
      <c r="AS20" s="140">
        <f ca="1">IF(ISNUMBER(MATCH(DATEVALUE($A20),'recurring1_based on steps'!AS$1:AS$400,0)),AS$2,)</f>
        <v>0</v>
      </c>
      <c r="AT20" s="140">
        <f ca="1">IF(ISNUMBER(MATCH(DATEVALUE($A20),'recurring1_based on steps'!AT$1:AT$400,0)),AT$2,)</f>
        <v>0</v>
      </c>
      <c r="AU20" s="140">
        <f ca="1">IF(ISNUMBER(MATCH(DATEVALUE($A20),'recurring1_based on steps'!AU$1:AU$400,0)),AU$2,)</f>
        <v>0</v>
      </c>
      <c r="AV20" s="140">
        <f ca="1">IF(ISNUMBER(MATCH(DATEVALUE($A20),'recurring1_based on steps'!AV$1:AV$400,0)),AV$2,)</f>
        <v>0</v>
      </c>
      <c r="AW20" s="140">
        <f ca="1">IF(ISNUMBER(MATCH(DATEVALUE($A20),'recurring1_based on steps'!AW$1:AW$400,0)),AW$2,)</f>
        <v>0</v>
      </c>
      <c r="AX20" s="140">
        <f ca="1">IF(ISNUMBER(MATCH(DATEVALUE($A20),'recurring1_based on steps'!AX$1:AX$400,0)),AX$2,)</f>
        <v>0</v>
      </c>
      <c r="AY20" s="140">
        <f ca="1">IF(ISNUMBER(MATCH(DATEVALUE($A20),'recurring1_based on steps'!AY$1:AY$400,0)),AY$2,)</f>
        <v>0</v>
      </c>
    </row>
    <row r="21" spans="1:51" x14ac:dyDescent="0.2">
      <c r="A21" s="29" t="str">
        <f t="shared" ca="1" si="0"/>
        <v>2025-04-14</v>
      </c>
      <c r="B21" s="140">
        <f ca="1">IF(ISNUMBER(MATCH(DATEVALUE($A21),'recurring1_based on steps'!B$1:B$400,0)),B$2,)</f>
        <v>0</v>
      </c>
      <c r="C21" s="140">
        <f ca="1">IF(ISNUMBER(MATCH(DATEVALUE($A21),'recurring1_based on steps'!C$1:C$400,0)),C$2,)</f>
        <v>0</v>
      </c>
      <c r="D21" s="140">
        <f ca="1">IF(ISNUMBER(MATCH(DATEVALUE($A21),'recurring1_based on steps'!D$1:D$400,0)),D$2,)</f>
        <v>0</v>
      </c>
      <c r="E21" s="140">
        <f ca="1">IF(ISNUMBER(MATCH(DATEVALUE($A21),'recurring1_based on steps'!E$1:E$400,0)),E$2,)</f>
        <v>0</v>
      </c>
      <c r="F21" s="140">
        <f ca="1">IF(ISNUMBER(MATCH(DATEVALUE($A21),'recurring1_based on steps'!F$1:F$400,0)),F$2,)</f>
        <v>0</v>
      </c>
      <c r="G21" s="140">
        <f ca="1">IF(ISNUMBER(MATCH(DATEVALUE($A21),'recurring1_based on steps'!G$1:G$400,0)),G$2,)</f>
        <v>0</v>
      </c>
      <c r="H21" s="140">
        <f ca="1">IF(ISNUMBER(MATCH(DATEVALUE($A21),'recurring1_based on steps'!H$1:H$400,0)),H$2,)</f>
        <v>0</v>
      </c>
      <c r="I21" s="140">
        <f ca="1">IF(ISNUMBER(MATCH(DATEVALUE($A21),'recurring1_based on steps'!I$1:I$400,0)),I$2,)</f>
        <v>0</v>
      </c>
      <c r="J21" s="140">
        <f ca="1">IF(ISNUMBER(MATCH(DATEVALUE($A21),'recurring1_based on steps'!J$1:J$400,0)),J$2,)</f>
        <v>0</v>
      </c>
      <c r="K21" s="140">
        <f ca="1">IF(ISNUMBER(MATCH(DATEVALUE($A21),'recurring1_based on steps'!K$1:K$400,0)),K$2,)</f>
        <v>0</v>
      </c>
      <c r="L21" s="140">
        <f ca="1">IF(ISNUMBER(MATCH(DATEVALUE($A21),'recurring1_based on steps'!L$1:L$400,0)),L$2,)</f>
        <v>0</v>
      </c>
      <c r="M21" s="140">
        <f ca="1">IF(ISNUMBER(MATCH(DATEVALUE($A21),'recurring1_based on steps'!M$1:M$400,0)),M$2,)</f>
        <v>0</v>
      </c>
      <c r="N21" s="140">
        <f ca="1">IF(ISNUMBER(MATCH(DATEVALUE($A21),'recurring1_based on steps'!N$1:N$400,0)),N$2,)</f>
        <v>0</v>
      </c>
      <c r="O21" s="140">
        <f ca="1">IF(ISNUMBER(MATCH(DATEVALUE($A21),'recurring1_based on steps'!O$1:O$400,0)),O$2,)</f>
        <v>0</v>
      </c>
      <c r="P21" s="140">
        <f ca="1">IF(ISNUMBER(MATCH(DATEVALUE($A21),'recurring1_based on steps'!P$1:P$400,0)),P$2,)</f>
        <v>0</v>
      </c>
      <c r="Q21" s="140">
        <f ca="1">IF(ISNUMBER(MATCH(DATEVALUE($A21),'recurring1_based on steps'!Q$1:Q$400,0)),Q$2,)</f>
        <v>0</v>
      </c>
      <c r="R21" s="140">
        <f ca="1">IF(ISNUMBER(MATCH(DATEVALUE($A21),'recurring1_based on steps'!R$1:R$400,0)),R$2,)</f>
        <v>0</v>
      </c>
      <c r="S21" s="140">
        <f ca="1">IF(ISNUMBER(MATCH(DATEVALUE($A21),'recurring1_based on steps'!S$1:S$400,0)),S$2,)</f>
        <v>0</v>
      </c>
      <c r="T21" s="140">
        <f ca="1">IF(ISNUMBER(MATCH(DATEVALUE($A21),'recurring1_based on steps'!T$1:T$400,0)),T$2,)</f>
        <v>0</v>
      </c>
      <c r="U21" s="140">
        <f ca="1">IF(ISNUMBER(MATCH(DATEVALUE($A21),'recurring1_based on steps'!U$1:U$400,0)),U$2,)</f>
        <v>0</v>
      </c>
      <c r="V21" s="140">
        <f ca="1">IF(ISNUMBER(MATCH(DATEVALUE($A21),'recurring1_based on steps'!V$1:V$400,0)),V$2,)</f>
        <v>0</v>
      </c>
      <c r="W21" s="140">
        <f ca="1">IF(ISNUMBER(MATCH(DATEVALUE($A21),'recurring1_based on steps'!W$1:W$400,0)),W$2,)</f>
        <v>0</v>
      </c>
      <c r="X21" s="140">
        <f ca="1">IF(ISNUMBER(MATCH(DATEVALUE($A21),'recurring1_based on steps'!X$1:X$400,0)),X$2,)</f>
        <v>0</v>
      </c>
      <c r="Y21" s="140">
        <f ca="1">IF(ISNUMBER(MATCH(DATEVALUE($A21),'recurring1_based on steps'!Y$1:Y$400,0)),Y$2,)</f>
        <v>0</v>
      </c>
      <c r="Z21" s="140">
        <f ca="1">IF(ISNUMBER(MATCH(DATEVALUE($A21),'recurring1_based on steps'!Z$1:Z$400,0)),Z$2,)</f>
        <v>0</v>
      </c>
      <c r="AA21" s="140">
        <f ca="1">IF(ISNUMBER(MATCH(DATEVALUE($A21),'recurring1_based on steps'!AA$1:AA$400,0)),AA$2,)</f>
        <v>0</v>
      </c>
      <c r="AB21" s="140">
        <f ca="1">IF(ISNUMBER(MATCH(DATEVALUE($A21),'recurring1_based on steps'!AB$1:AB$400,0)),AB$2,)</f>
        <v>5.5401662049861494E-2</v>
      </c>
      <c r="AC21" s="140">
        <f ca="1">IF(ISNUMBER(MATCH(DATEVALUE($A21),'recurring1_based on steps'!AC$1:AC$400,0)),AC$2,)</f>
        <v>0</v>
      </c>
      <c r="AD21" s="140">
        <f ca="1">IF(ISNUMBER(MATCH(DATEVALUE($A21),'recurring1_based on steps'!AD$1:AD$400,0)),AD$2,)</f>
        <v>0</v>
      </c>
      <c r="AE21" s="140">
        <f ca="1">IF(ISNUMBER(MATCH(DATEVALUE($A21),'recurring1_based on steps'!AE$1:AE$400,0)),AE$2,)</f>
        <v>0</v>
      </c>
      <c r="AF21" s="140">
        <f ca="1">IF(ISNUMBER(MATCH(DATEVALUE($A21),'recurring1_based on steps'!AF$1:AF$400,0)),AF$2,)</f>
        <v>0</v>
      </c>
      <c r="AG21" s="140">
        <f ca="1">IF(ISNUMBER(MATCH(DATEVALUE($A21),'recurring1_based on steps'!AG$1:AG$400,0)),AG$2,)</f>
        <v>0</v>
      </c>
      <c r="AH21" s="140">
        <f ca="1">IF(ISNUMBER(MATCH(DATEVALUE($A21),'recurring1_based on steps'!AH$1:AH$400,0)),AH$2,)</f>
        <v>0</v>
      </c>
      <c r="AI21" s="140">
        <f ca="1">IF(ISNUMBER(MATCH(DATEVALUE($A21),'recurring1_based on steps'!AI$1:AI$400,0)),AI$2,)</f>
        <v>0</v>
      </c>
      <c r="AJ21" s="140">
        <f ca="1">IF(ISNUMBER(MATCH(DATEVALUE($A21),'recurring1_based on steps'!AJ$1:AJ$400,0)),AJ$2,)</f>
        <v>0</v>
      </c>
      <c r="AK21" s="140">
        <f ca="1">IF(ISNUMBER(MATCH(DATEVALUE($A21),'recurring1_based on steps'!AK$1:AK$400,0)),AK$2,)</f>
        <v>0</v>
      </c>
      <c r="AL21" s="140">
        <f ca="1">IF(ISNUMBER(MATCH(DATEVALUE($A21),'recurring1_based on steps'!AL$1:AL$400,0)),AL$2,)</f>
        <v>0</v>
      </c>
      <c r="AM21" s="140">
        <f ca="1">IF(ISNUMBER(MATCH(DATEVALUE($A21),'recurring1_based on steps'!AM$1:AM$400,0)),AM$2,)</f>
        <v>0</v>
      </c>
      <c r="AN21" s="140">
        <f ca="1">IF(ISNUMBER(MATCH(DATEVALUE($A21),'recurring1_based on steps'!AN$1:AN$400,0)),AN$2,)</f>
        <v>0</v>
      </c>
      <c r="AO21" s="140">
        <f ca="1">IF(ISNUMBER(MATCH(DATEVALUE($A21),'recurring1_based on steps'!AO$1:AO$400,0)),AO$2,)</f>
        <v>0</v>
      </c>
      <c r="AP21" s="140">
        <f ca="1">IF(ISNUMBER(MATCH(DATEVALUE($A21),'recurring1_based on steps'!AP$1:AP$400,0)),AP$2,)</f>
        <v>0</v>
      </c>
      <c r="AQ21" s="140">
        <f ca="1">IF(ISNUMBER(MATCH(DATEVALUE($A21),'recurring1_based on steps'!AQ$1:AQ$400,0)),AQ$2,)</f>
        <v>0</v>
      </c>
      <c r="AR21" s="140">
        <f ca="1">IF(ISNUMBER(MATCH(DATEVALUE($A21),'recurring1_based on steps'!AR$1:AR$400,0)),AR$2,)</f>
        <v>0</v>
      </c>
      <c r="AS21" s="140">
        <f ca="1">IF(ISNUMBER(MATCH(DATEVALUE($A21),'recurring1_based on steps'!AS$1:AS$400,0)),AS$2,)</f>
        <v>0</v>
      </c>
      <c r="AT21" s="140">
        <f ca="1">IF(ISNUMBER(MATCH(DATEVALUE($A21),'recurring1_based on steps'!AT$1:AT$400,0)),AT$2,)</f>
        <v>0</v>
      </c>
      <c r="AU21" s="140">
        <f ca="1">IF(ISNUMBER(MATCH(DATEVALUE($A21),'recurring1_based on steps'!AU$1:AU$400,0)),AU$2,)</f>
        <v>0</v>
      </c>
      <c r="AV21" s="140">
        <f ca="1">IF(ISNUMBER(MATCH(DATEVALUE($A21),'recurring1_based on steps'!AV$1:AV$400,0)),AV$2,)</f>
        <v>0</v>
      </c>
      <c r="AW21" s="140">
        <f ca="1">IF(ISNUMBER(MATCH(DATEVALUE($A21),'recurring1_based on steps'!AW$1:AW$400,0)),AW$2,)</f>
        <v>0</v>
      </c>
      <c r="AX21" s="140">
        <f ca="1">IF(ISNUMBER(MATCH(DATEVALUE($A21),'recurring1_based on steps'!AX$1:AX$400,0)),AX$2,)</f>
        <v>0</v>
      </c>
      <c r="AY21" s="140">
        <f ca="1">IF(ISNUMBER(MATCH(DATEVALUE($A21),'recurring1_based on steps'!AY$1:AY$400,0)),AY$2,)</f>
        <v>0</v>
      </c>
    </row>
    <row r="22" spans="1:51" x14ac:dyDescent="0.2">
      <c r="A22" s="29" t="str">
        <f t="shared" ca="1" si="0"/>
        <v>2025-04-15</v>
      </c>
      <c r="B22" s="140">
        <f ca="1">IF(ISNUMBER(MATCH(DATEVALUE($A22),'recurring1_based on steps'!B$1:B$400,0)),B$2,)</f>
        <v>0</v>
      </c>
      <c r="C22" s="140">
        <f ca="1">IF(ISNUMBER(MATCH(DATEVALUE($A22),'recurring1_based on steps'!C$1:C$400,0)),C$2,)</f>
        <v>0</v>
      </c>
      <c r="D22" s="140">
        <f ca="1">IF(ISNUMBER(MATCH(DATEVALUE($A22),'recurring1_based on steps'!D$1:D$400,0)),D$2,)</f>
        <v>0</v>
      </c>
      <c r="E22" s="140">
        <f ca="1">IF(ISNUMBER(MATCH(DATEVALUE($A22),'recurring1_based on steps'!E$1:E$400,0)),E$2,)</f>
        <v>0</v>
      </c>
      <c r="F22" s="140">
        <f ca="1">IF(ISNUMBER(MATCH(DATEVALUE($A22),'recurring1_based on steps'!F$1:F$400,0)),F$2,)</f>
        <v>0</v>
      </c>
      <c r="G22" s="140">
        <f ca="1">IF(ISNUMBER(MATCH(DATEVALUE($A22),'recurring1_based on steps'!G$1:G$400,0)),G$2,)</f>
        <v>0</v>
      </c>
      <c r="H22" s="140">
        <f ca="1">IF(ISNUMBER(MATCH(DATEVALUE($A22),'recurring1_based on steps'!H$1:H$400,0)),H$2,)</f>
        <v>0</v>
      </c>
      <c r="I22" s="140">
        <f ca="1">IF(ISNUMBER(MATCH(DATEVALUE($A22),'recurring1_based on steps'!I$1:I$400,0)),I$2,)</f>
        <v>0</v>
      </c>
      <c r="J22" s="140">
        <f ca="1">IF(ISNUMBER(MATCH(DATEVALUE($A22),'recurring1_based on steps'!J$1:J$400,0)),J$2,)</f>
        <v>0</v>
      </c>
      <c r="K22" s="140">
        <f ca="1">IF(ISNUMBER(MATCH(DATEVALUE($A22),'recurring1_based on steps'!K$1:K$400,0)),K$2,)</f>
        <v>0</v>
      </c>
      <c r="L22" s="140">
        <f ca="1">IF(ISNUMBER(MATCH(DATEVALUE($A22),'recurring1_based on steps'!L$1:L$400,0)),L$2,)</f>
        <v>0</v>
      </c>
      <c r="M22" s="140">
        <f ca="1">IF(ISNUMBER(MATCH(DATEVALUE($A22),'recurring1_based on steps'!M$1:M$400,0)),M$2,)</f>
        <v>0</v>
      </c>
      <c r="N22" s="140">
        <f ca="1">IF(ISNUMBER(MATCH(DATEVALUE($A22),'recurring1_based on steps'!N$1:N$400,0)),N$2,)</f>
        <v>0</v>
      </c>
      <c r="O22" s="140">
        <f ca="1">IF(ISNUMBER(MATCH(DATEVALUE($A22),'recurring1_based on steps'!O$1:O$400,0)),O$2,)</f>
        <v>0</v>
      </c>
      <c r="P22" s="140">
        <f ca="1">IF(ISNUMBER(MATCH(DATEVALUE($A22),'recurring1_based on steps'!P$1:P$400,0)),P$2,)</f>
        <v>0</v>
      </c>
      <c r="Q22" s="140">
        <f ca="1">IF(ISNUMBER(MATCH(DATEVALUE($A22),'recurring1_based on steps'!Q$1:Q$400,0)),Q$2,)</f>
        <v>0</v>
      </c>
      <c r="R22" s="140">
        <f ca="1">IF(ISNUMBER(MATCH(DATEVALUE($A22),'recurring1_based on steps'!R$1:R$400,0)),R$2,)</f>
        <v>0</v>
      </c>
      <c r="S22" s="140">
        <f ca="1">IF(ISNUMBER(MATCH(DATEVALUE($A22),'recurring1_based on steps'!S$1:S$400,0)),S$2,)</f>
        <v>0</v>
      </c>
      <c r="T22" s="140">
        <f ca="1">IF(ISNUMBER(MATCH(DATEVALUE($A22),'recurring1_based on steps'!T$1:T$400,0)),T$2,)</f>
        <v>0</v>
      </c>
      <c r="U22" s="140">
        <f ca="1">IF(ISNUMBER(MATCH(DATEVALUE($A22),'recurring1_based on steps'!U$1:U$400,0)),U$2,)</f>
        <v>0</v>
      </c>
      <c r="V22" s="140">
        <f ca="1">IF(ISNUMBER(MATCH(DATEVALUE($A22),'recurring1_based on steps'!V$1:V$400,0)),V$2,)</f>
        <v>0</v>
      </c>
      <c r="W22" s="140">
        <f ca="1">IF(ISNUMBER(MATCH(DATEVALUE($A22),'recurring1_based on steps'!W$1:W$400,0)),W$2,)</f>
        <v>0</v>
      </c>
      <c r="X22" s="140">
        <f ca="1">IF(ISNUMBER(MATCH(DATEVALUE($A22),'recurring1_based on steps'!X$1:X$400,0)),X$2,)</f>
        <v>0</v>
      </c>
      <c r="Y22" s="140">
        <f ca="1">IF(ISNUMBER(MATCH(DATEVALUE($A22),'recurring1_based on steps'!Y$1:Y$400,0)),Y$2,)</f>
        <v>0</v>
      </c>
      <c r="Z22" s="140">
        <f ca="1">IF(ISNUMBER(MATCH(DATEVALUE($A22),'recurring1_based on steps'!Z$1:Z$400,0)),Z$2,)</f>
        <v>0</v>
      </c>
      <c r="AA22" s="140">
        <f ca="1">IF(ISNUMBER(MATCH(DATEVALUE($A22),'recurring1_based on steps'!AA$1:AA$400,0)),AA$2,)</f>
        <v>0</v>
      </c>
      <c r="AB22" s="140">
        <f ca="1">IF(ISNUMBER(MATCH(DATEVALUE($A22),'recurring1_based on steps'!AB$1:AB$400,0)),AB$2,)</f>
        <v>5.5401662049861494E-2</v>
      </c>
      <c r="AC22" s="140">
        <f ca="1">IF(ISNUMBER(MATCH(DATEVALUE($A22),'recurring1_based on steps'!AC$1:AC$400,0)),AC$2,)</f>
        <v>0</v>
      </c>
      <c r="AD22" s="140">
        <f ca="1">IF(ISNUMBER(MATCH(DATEVALUE($A22),'recurring1_based on steps'!AD$1:AD$400,0)),AD$2,)</f>
        <v>0</v>
      </c>
      <c r="AE22" s="140">
        <f ca="1">IF(ISNUMBER(MATCH(DATEVALUE($A22),'recurring1_based on steps'!AE$1:AE$400,0)),AE$2,)</f>
        <v>0</v>
      </c>
      <c r="AF22" s="140">
        <f ca="1">IF(ISNUMBER(MATCH(DATEVALUE($A22),'recurring1_based on steps'!AF$1:AF$400,0)),AF$2,)</f>
        <v>0</v>
      </c>
      <c r="AG22" s="140">
        <f ca="1">IF(ISNUMBER(MATCH(DATEVALUE($A22),'recurring1_based on steps'!AG$1:AG$400,0)),AG$2,)</f>
        <v>0</v>
      </c>
      <c r="AH22" s="140">
        <f ca="1">IF(ISNUMBER(MATCH(DATEVALUE($A22),'recurring1_based on steps'!AH$1:AH$400,0)),AH$2,)</f>
        <v>0</v>
      </c>
      <c r="AI22" s="140">
        <f ca="1">IF(ISNUMBER(MATCH(DATEVALUE($A22),'recurring1_based on steps'!AI$1:AI$400,0)),AI$2,)</f>
        <v>0</v>
      </c>
      <c r="AJ22" s="140">
        <f ca="1">IF(ISNUMBER(MATCH(DATEVALUE($A22),'recurring1_based on steps'!AJ$1:AJ$400,0)),AJ$2,)</f>
        <v>0</v>
      </c>
      <c r="AK22" s="140">
        <f ca="1">IF(ISNUMBER(MATCH(DATEVALUE($A22),'recurring1_based on steps'!AK$1:AK$400,0)),AK$2,)</f>
        <v>0</v>
      </c>
      <c r="AL22" s="140">
        <f ca="1">IF(ISNUMBER(MATCH(DATEVALUE($A22),'recurring1_based on steps'!AL$1:AL$400,0)),AL$2,)</f>
        <v>0</v>
      </c>
      <c r="AM22" s="140">
        <f ca="1">IF(ISNUMBER(MATCH(DATEVALUE($A22),'recurring1_based on steps'!AM$1:AM$400,0)),AM$2,)</f>
        <v>0</v>
      </c>
      <c r="AN22" s="140">
        <f ca="1">IF(ISNUMBER(MATCH(DATEVALUE($A22),'recurring1_based on steps'!AN$1:AN$400,0)),AN$2,)</f>
        <v>0</v>
      </c>
      <c r="AO22" s="140">
        <f ca="1">IF(ISNUMBER(MATCH(DATEVALUE($A22),'recurring1_based on steps'!AO$1:AO$400,0)),AO$2,)</f>
        <v>0</v>
      </c>
      <c r="AP22" s="140">
        <f ca="1">IF(ISNUMBER(MATCH(DATEVALUE($A22),'recurring1_based on steps'!AP$1:AP$400,0)),AP$2,)</f>
        <v>0</v>
      </c>
      <c r="AQ22" s="140">
        <f ca="1">IF(ISNUMBER(MATCH(DATEVALUE($A22),'recurring1_based on steps'!AQ$1:AQ$400,0)),AQ$2,)</f>
        <v>0</v>
      </c>
      <c r="AR22" s="140">
        <f ca="1">IF(ISNUMBER(MATCH(DATEVALUE($A22),'recurring1_based on steps'!AR$1:AR$400,0)),AR$2,)</f>
        <v>0</v>
      </c>
      <c r="AS22" s="140">
        <f ca="1">IF(ISNUMBER(MATCH(DATEVALUE($A22),'recurring1_based on steps'!AS$1:AS$400,0)),AS$2,)</f>
        <v>0</v>
      </c>
      <c r="AT22" s="140">
        <f ca="1">IF(ISNUMBER(MATCH(DATEVALUE($A22),'recurring1_based on steps'!AT$1:AT$400,0)),AT$2,)</f>
        <v>0</v>
      </c>
      <c r="AU22" s="140">
        <f ca="1">IF(ISNUMBER(MATCH(DATEVALUE($A22),'recurring1_based on steps'!AU$1:AU$400,0)),AU$2,)</f>
        <v>0</v>
      </c>
      <c r="AV22" s="140">
        <f ca="1">IF(ISNUMBER(MATCH(DATEVALUE($A22),'recurring1_based on steps'!AV$1:AV$400,0)),AV$2,)</f>
        <v>0</v>
      </c>
      <c r="AW22" s="140">
        <f ca="1">IF(ISNUMBER(MATCH(DATEVALUE($A22),'recurring1_based on steps'!AW$1:AW$400,0)),AW$2,)</f>
        <v>0</v>
      </c>
      <c r="AX22" s="140">
        <f ca="1">IF(ISNUMBER(MATCH(DATEVALUE($A22),'recurring1_based on steps'!AX$1:AX$400,0)),AX$2,)</f>
        <v>0</v>
      </c>
      <c r="AY22" s="140">
        <f ca="1">IF(ISNUMBER(MATCH(DATEVALUE($A22),'recurring1_based on steps'!AY$1:AY$400,0)),AY$2,)</f>
        <v>0</v>
      </c>
    </row>
    <row r="23" spans="1:51" x14ac:dyDescent="0.2">
      <c r="A23" s="29" t="str">
        <f t="shared" ca="1" si="0"/>
        <v>2025-04-16</v>
      </c>
      <c r="B23" s="140">
        <f ca="1">IF(ISNUMBER(MATCH(DATEVALUE($A23),'recurring1_based on steps'!B$1:B$400,0)),B$2,)</f>
        <v>0</v>
      </c>
      <c r="C23" s="140">
        <f ca="1">IF(ISNUMBER(MATCH(DATEVALUE($A23),'recurring1_based on steps'!C$1:C$400,0)),C$2,)</f>
        <v>0</v>
      </c>
      <c r="D23" s="140">
        <f ca="1">IF(ISNUMBER(MATCH(DATEVALUE($A23),'recurring1_based on steps'!D$1:D$400,0)),D$2,)</f>
        <v>0</v>
      </c>
      <c r="E23" s="140">
        <f ca="1">IF(ISNUMBER(MATCH(DATEVALUE($A23),'recurring1_based on steps'!E$1:E$400,0)),E$2,)</f>
        <v>0</v>
      </c>
      <c r="F23" s="140">
        <f ca="1">IF(ISNUMBER(MATCH(DATEVALUE($A23),'recurring1_based on steps'!F$1:F$400,0)),F$2,)</f>
        <v>0</v>
      </c>
      <c r="G23" s="140">
        <f ca="1">IF(ISNUMBER(MATCH(DATEVALUE($A23),'recurring1_based on steps'!G$1:G$400,0)),G$2,)</f>
        <v>0</v>
      </c>
      <c r="H23" s="140">
        <f ca="1">IF(ISNUMBER(MATCH(DATEVALUE($A23),'recurring1_based on steps'!H$1:H$400,0)),H$2,)</f>
        <v>0</v>
      </c>
      <c r="I23" s="140">
        <f ca="1">IF(ISNUMBER(MATCH(DATEVALUE($A23),'recurring1_based on steps'!I$1:I$400,0)),I$2,)</f>
        <v>0</v>
      </c>
      <c r="J23" s="140">
        <f ca="1">IF(ISNUMBER(MATCH(DATEVALUE($A23),'recurring1_based on steps'!J$1:J$400,0)),J$2,)</f>
        <v>0</v>
      </c>
      <c r="K23" s="140">
        <f ca="1">IF(ISNUMBER(MATCH(DATEVALUE($A23),'recurring1_based on steps'!K$1:K$400,0)),K$2,)</f>
        <v>0</v>
      </c>
      <c r="L23" s="140">
        <f ca="1">IF(ISNUMBER(MATCH(DATEVALUE($A23),'recurring1_based on steps'!L$1:L$400,0)),L$2,)</f>
        <v>0</v>
      </c>
      <c r="M23" s="140">
        <f ca="1">IF(ISNUMBER(MATCH(DATEVALUE($A23),'recurring1_based on steps'!M$1:M$400,0)),M$2,)</f>
        <v>0</v>
      </c>
      <c r="N23" s="140">
        <f ca="1">IF(ISNUMBER(MATCH(DATEVALUE($A23),'recurring1_based on steps'!N$1:N$400,0)),N$2,)</f>
        <v>0</v>
      </c>
      <c r="O23" s="140">
        <f ca="1">IF(ISNUMBER(MATCH(DATEVALUE($A23),'recurring1_based on steps'!O$1:O$400,0)),O$2,)</f>
        <v>0</v>
      </c>
      <c r="P23" s="140">
        <f ca="1">IF(ISNUMBER(MATCH(DATEVALUE($A23),'recurring1_based on steps'!P$1:P$400,0)),P$2,)</f>
        <v>0</v>
      </c>
      <c r="Q23" s="140">
        <f ca="1">IF(ISNUMBER(MATCH(DATEVALUE($A23),'recurring1_based on steps'!Q$1:Q$400,0)),Q$2,)</f>
        <v>0</v>
      </c>
      <c r="R23" s="140">
        <f ca="1">IF(ISNUMBER(MATCH(DATEVALUE($A23),'recurring1_based on steps'!R$1:R$400,0)),R$2,)</f>
        <v>0</v>
      </c>
      <c r="S23" s="140">
        <f ca="1">IF(ISNUMBER(MATCH(DATEVALUE($A23),'recurring1_based on steps'!S$1:S$400,0)),S$2,)</f>
        <v>0</v>
      </c>
      <c r="T23" s="140">
        <f ca="1">IF(ISNUMBER(MATCH(DATEVALUE($A23),'recurring1_based on steps'!T$1:T$400,0)),T$2,)</f>
        <v>0</v>
      </c>
      <c r="U23" s="140">
        <f ca="1">IF(ISNUMBER(MATCH(DATEVALUE($A23),'recurring1_based on steps'!U$1:U$400,0)),U$2,)</f>
        <v>0</v>
      </c>
      <c r="V23" s="140">
        <f ca="1">IF(ISNUMBER(MATCH(DATEVALUE($A23),'recurring1_based on steps'!V$1:V$400,0)),V$2,)</f>
        <v>0</v>
      </c>
      <c r="W23" s="140">
        <f ca="1">IF(ISNUMBER(MATCH(DATEVALUE($A23),'recurring1_based on steps'!W$1:W$400,0)),W$2,)</f>
        <v>0</v>
      </c>
      <c r="X23" s="140">
        <f ca="1">IF(ISNUMBER(MATCH(DATEVALUE($A23),'recurring1_based on steps'!X$1:X$400,0)),X$2,)</f>
        <v>0</v>
      </c>
      <c r="Y23" s="140">
        <f ca="1">IF(ISNUMBER(MATCH(DATEVALUE($A23),'recurring1_based on steps'!Y$1:Y$400,0)),Y$2,)</f>
        <v>0</v>
      </c>
      <c r="Z23" s="140">
        <f ca="1">IF(ISNUMBER(MATCH(DATEVALUE($A23),'recurring1_based on steps'!Z$1:Z$400,0)),Z$2,)</f>
        <v>0</v>
      </c>
      <c r="AA23" s="140">
        <f ca="1">IF(ISNUMBER(MATCH(DATEVALUE($A23),'recurring1_based on steps'!AA$1:AA$400,0)),AA$2,)</f>
        <v>0</v>
      </c>
      <c r="AB23" s="140">
        <f ca="1">IF(ISNUMBER(MATCH(DATEVALUE($A23),'recurring1_based on steps'!AB$1:AB$400,0)),AB$2,)</f>
        <v>5.5401662049861494E-2</v>
      </c>
      <c r="AC23" s="140">
        <f ca="1">IF(ISNUMBER(MATCH(DATEVALUE($A23),'recurring1_based on steps'!AC$1:AC$400,0)),AC$2,)</f>
        <v>0</v>
      </c>
      <c r="AD23" s="140">
        <f ca="1">IF(ISNUMBER(MATCH(DATEVALUE($A23),'recurring1_based on steps'!AD$1:AD$400,0)),AD$2,)</f>
        <v>0</v>
      </c>
      <c r="AE23" s="140">
        <f ca="1">IF(ISNUMBER(MATCH(DATEVALUE($A23),'recurring1_based on steps'!AE$1:AE$400,0)),AE$2,)</f>
        <v>0</v>
      </c>
      <c r="AF23" s="140">
        <f ca="1">IF(ISNUMBER(MATCH(DATEVALUE($A23),'recurring1_based on steps'!AF$1:AF$400,0)),AF$2,)</f>
        <v>0</v>
      </c>
      <c r="AG23" s="140">
        <f ca="1">IF(ISNUMBER(MATCH(DATEVALUE($A23),'recurring1_based on steps'!AG$1:AG$400,0)),AG$2,)</f>
        <v>0</v>
      </c>
      <c r="AH23" s="140">
        <f ca="1">IF(ISNUMBER(MATCH(DATEVALUE($A23),'recurring1_based on steps'!AH$1:AH$400,0)),AH$2,)</f>
        <v>0</v>
      </c>
      <c r="AI23" s="140">
        <f ca="1">IF(ISNUMBER(MATCH(DATEVALUE($A23),'recurring1_based on steps'!AI$1:AI$400,0)),AI$2,)</f>
        <v>0</v>
      </c>
      <c r="AJ23" s="140">
        <f ca="1">IF(ISNUMBER(MATCH(DATEVALUE($A23),'recurring1_based on steps'!AJ$1:AJ$400,0)),AJ$2,)</f>
        <v>0</v>
      </c>
      <c r="AK23" s="140">
        <f ca="1">IF(ISNUMBER(MATCH(DATEVALUE($A23),'recurring1_based on steps'!AK$1:AK$400,0)),AK$2,)</f>
        <v>0</v>
      </c>
      <c r="AL23" s="140">
        <f ca="1">IF(ISNUMBER(MATCH(DATEVALUE($A23),'recurring1_based on steps'!AL$1:AL$400,0)),AL$2,)</f>
        <v>0</v>
      </c>
      <c r="AM23" s="140">
        <f ca="1">IF(ISNUMBER(MATCH(DATEVALUE($A23),'recurring1_based on steps'!AM$1:AM$400,0)),AM$2,)</f>
        <v>0</v>
      </c>
      <c r="AN23" s="140">
        <f ca="1">IF(ISNUMBER(MATCH(DATEVALUE($A23),'recurring1_based on steps'!AN$1:AN$400,0)),AN$2,)</f>
        <v>0</v>
      </c>
      <c r="AO23" s="140">
        <f ca="1">IF(ISNUMBER(MATCH(DATEVALUE($A23),'recurring1_based on steps'!AO$1:AO$400,0)),AO$2,)</f>
        <v>0</v>
      </c>
      <c r="AP23" s="140">
        <f ca="1">IF(ISNUMBER(MATCH(DATEVALUE($A23),'recurring1_based on steps'!AP$1:AP$400,0)),AP$2,)</f>
        <v>0</v>
      </c>
      <c r="AQ23" s="140">
        <f ca="1">IF(ISNUMBER(MATCH(DATEVALUE($A23),'recurring1_based on steps'!AQ$1:AQ$400,0)),AQ$2,)</f>
        <v>0</v>
      </c>
      <c r="AR23" s="140">
        <f ca="1">IF(ISNUMBER(MATCH(DATEVALUE($A23),'recurring1_based on steps'!AR$1:AR$400,0)),AR$2,)</f>
        <v>0</v>
      </c>
      <c r="AS23" s="140">
        <f ca="1">IF(ISNUMBER(MATCH(DATEVALUE($A23),'recurring1_based on steps'!AS$1:AS$400,0)),AS$2,)</f>
        <v>0</v>
      </c>
      <c r="AT23" s="140">
        <f ca="1">IF(ISNUMBER(MATCH(DATEVALUE($A23),'recurring1_based on steps'!AT$1:AT$400,0)),AT$2,)</f>
        <v>0</v>
      </c>
      <c r="AU23" s="140">
        <f ca="1">IF(ISNUMBER(MATCH(DATEVALUE($A23),'recurring1_based on steps'!AU$1:AU$400,0)),AU$2,)</f>
        <v>0</v>
      </c>
      <c r="AV23" s="140">
        <f ca="1">IF(ISNUMBER(MATCH(DATEVALUE($A23),'recurring1_based on steps'!AV$1:AV$400,0)),AV$2,)</f>
        <v>0</v>
      </c>
      <c r="AW23" s="140">
        <f ca="1">IF(ISNUMBER(MATCH(DATEVALUE($A23),'recurring1_based on steps'!AW$1:AW$400,0)),AW$2,)</f>
        <v>0</v>
      </c>
      <c r="AX23" s="140">
        <f ca="1">IF(ISNUMBER(MATCH(DATEVALUE($A23),'recurring1_based on steps'!AX$1:AX$400,0)),AX$2,)</f>
        <v>0</v>
      </c>
      <c r="AY23" s="140">
        <f ca="1">IF(ISNUMBER(MATCH(DATEVALUE($A23),'recurring1_based on steps'!AY$1:AY$400,0)),AY$2,)</f>
        <v>0</v>
      </c>
    </row>
    <row r="24" spans="1:51" x14ac:dyDescent="0.2">
      <c r="A24" s="29" t="str">
        <f t="shared" ca="1" si="0"/>
        <v>2025-04-17</v>
      </c>
      <c r="B24" s="140">
        <f ca="1">IF(ISNUMBER(MATCH(DATEVALUE($A24),'recurring1_based on steps'!B$1:B$400,0)),B$2,)</f>
        <v>0</v>
      </c>
      <c r="C24" s="140">
        <f ca="1">IF(ISNUMBER(MATCH(DATEVALUE($A24),'recurring1_based on steps'!C$1:C$400,0)),C$2,)</f>
        <v>0</v>
      </c>
      <c r="D24" s="140">
        <f ca="1">IF(ISNUMBER(MATCH(DATEVALUE($A24),'recurring1_based on steps'!D$1:D$400,0)),D$2,)</f>
        <v>0</v>
      </c>
      <c r="E24" s="140">
        <f ca="1">IF(ISNUMBER(MATCH(DATEVALUE($A24),'recurring1_based on steps'!E$1:E$400,0)),E$2,)</f>
        <v>0</v>
      </c>
      <c r="F24" s="140">
        <f ca="1">IF(ISNUMBER(MATCH(DATEVALUE($A24),'recurring1_based on steps'!F$1:F$400,0)),F$2,)</f>
        <v>0</v>
      </c>
      <c r="G24" s="140">
        <f ca="1">IF(ISNUMBER(MATCH(DATEVALUE($A24),'recurring1_based on steps'!G$1:G$400,0)),G$2,)</f>
        <v>0</v>
      </c>
      <c r="H24" s="140">
        <f ca="1">IF(ISNUMBER(MATCH(DATEVALUE($A24),'recurring1_based on steps'!H$1:H$400,0)),H$2,)</f>
        <v>0</v>
      </c>
      <c r="I24" s="140">
        <f ca="1">IF(ISNUMBER(MATCH(DATEVALUE($A24),'recurring1_based on steps'!I$1:I$400,0)),I$2,)</f>
        <v>0</v>
      </c>
      <c r="J24" s="140">
        <f ca="1">IF(ISNUMBER(MATCH(DATEVALUE($A24),'recurring1_based on steps'!J$1:J$400,0)),J$2,)</f>
        <v>0</v>
      </c>
      <c r="K24" s="140">
        <f ca="1">IF(ISNUMBER(MATCH(DATEVALUE($A24),'recurring1_based on steps'!K$1:K$400,0)),K$2,)</f>
        <v>0</v>
      </c>
      <c r="L24" s="140">
        <f ca="1">IF(ISNUMBER(MATCH(DATEVALUE($A24),'recurring1_based on steps'!L$1:L$400,0)),L$2,)</f>
        <v>0</v>
      </c>
      <c r="M24" s="140">
        <f ca="1">IF(ISNUMBER(MATCH(DATEVALUE($A24),'recurring1_based on steps'!M$1:M$400,0)),M$2,)</f>
        <v>0</v>
      </c>
      <c r="N24" s="140">
        <f ca="1">IF(ISNUMBER(MATCH(DATEVALUE($A24),'recurring1_based on steps'!N$1:N$400,0)),N$2,)</f>
        <v>15.49</v>
      </c>
      <c r="O24" s="140">
        <f ca="1">IF(ISNUMBER(MATCH(DATEVALUE($A24),'recurring1_based on steps'!O$1:O$400,0)),O$2,)</f>
        <v>0</v>
      </c>
      <c r="P24" s="140">
        <f ca="1">IF(ISNUMBER(MATCH(DATEVALUE($A24),'recurring1_based on steps'!P$1:P$400,0)),P$2,)</f>
        <v>0</v>
      </c>
      <c r="Q24" s="140">
        <f ca="1">IF(ISNUMBER(MATCH(DATEVALUE($A24),'recurring1_based on steps'!Q$1:Q$400,0)),Q$2,)</f>
        <v>0</v>
      </c>
      <c r="R24" s="140">
        <f ca="1">IF(ISNUMBER(MATCH(DATEVALUE($A24),'recurring1_based on steps'!R$1:R$400,0)),R$2,)</f>
        <v>0</v>
      </c>
      <c r="S24" s="140">
        <f ca="1">IF(ISNUMBER(MATCH(DATEVALUE($A24),'recurring1_based on steps'!S$1:S$400,0)),S$2,)</f>
        <v>0</v>
      </c>
      <c r="T24" s="140">
        <f ca="1">IF(ISNUMBER(MATCH(DATEVALUE($A24),'recurring1_based on steps'!T$1:T$400,0)),T$2,)</f>
        <v>0</v>
      </c>
      <c r="U24" s="140">
        <f ca="1">IF(ISNUMBER(MATCH(DATEVALUE($A24),'recurring1_based on steps'!U$1:U$400,0)),U$2,)</f>
        <v>0</v>
      </c>
      <c r="V24" s="140">
        <f ca="1">IF(ISNUMBER(MATCH(DATEVALUE($A24),'recurring1_based on steps'!V$1:V$400,0)),V$2,)</f>
        <v>200</v>
      </c>
      <c r="W24" s="140">
        <f ca="1">IF(ISNUMBER(MATCH(DATEVALUE($A24),'recurring1_based on steps'!W$1:W$400,0)),W$2,)</f>
        <v>0</v>
      </c>
      <c r="X24" s="140">
        <f ca="1">IF(ISNUMBER(MATCH(DATEVALUE($A24),'recurring1_based on steps'!X$1:X$400,0)),X$2,)</f>
        <v>0</v>
      </c>
      <c r="Y24" s="140">
        <f ca="1">IF(ISNUMBER(MATCH(DATEVALUE($A24),'recurring1_based on steps'!Y$1:Y$400,0)),Y$2,)</f>
        <v>0</v>
      </c>
      <c r="Z24" s="140">
        <f ca="1">IF(ISNUMBER(MATCH(DATEVALUE($A24),'recurring1_based on steps'!Z$1:Z$400,0)),Z$2,)</f>
        <v>0</v>
      </c>
      <c r="AA24" s="140">
        <f ca="1">IF(ISNUMBER(MATCH(DATEVALUE($A24),'recurring1_based on steps'!AA$1:AA$400,0)),AA$2,)</f>
        <v>0</v>
      </c>
      <c r="AB24" s="140">
        <f ca="1">IF(ISNUMBER(MATCH(DATEVALUE($A24),'recurring1_based on steps'!AB$1:AB$400,0)),AB$2,)</f>
        <v>5.5401662049861494E-2</v>
      </c>
      <c r="AC24" s="140">
        <f ca="1">IF(ISNUMBER(MATCH(DATEVALUE($A24),'recurring1_based on steps'!AC$1:AC$400,0)),AC$2,)</f>
        <v>0</v>
      </c>
      <c r="AD24" s="140">
        <f ca="1">IF(ISNUMBER(MATCH(DATEVALUE($A24),'recurring1_based on steps'!AD$1:AD$400,0)),AD$2,)</f>
        <v>0</v>
      </c>
      <c r="AE24" s="140">
        <f ca="1">IF(ISNUMBER(MATCH(DATEVALUE($A24),'recurring1_based on steps'!AE$1:AE$400,0)),AE$2,)</f>
        <v>0</v>
      </c>
      <c r="AF24" s="140">
        <f ca="1">IF(ISNUMBER(MATCH(DATEVALUE($A24),'recurring1_based on steps'!AF$1:AF$400,0)),AF$2,)</f>
        <v>0</v>
      </c>
      <c r="AG24" s="140">
        <f ca="1">IF(ISNUMBER(MATCH(DATEVALUE($A24),'recurring1_based on steps'!AG$1:AG$400,0)),AG$2,)</f>
        <v>0</v>
      </c>
      <c r="AH24" s="140">
        <f ca="1">IF(ISNUMBER(MATCH(DATEVALUE($A24),'recurring1_based on steps'!AH$1:AH$400,0)),AH$2,)</f>
        <v>0</v>
      </c>
      <c r="AI24" s="140">
        <f ca="1">IF(ISNUMBER(MATCH(DATEVALUE($A24),'recurring1_based on steps'!AI$1:AI$400,0)),AI$2,)</f>
        <v>0</v>
      </c>
      <c r="AJ24" s="140">
        <f ca="1">IF(ISNUMBER(MATCH(DATEVALUE($A24),'recurring1_based on steps'!AJ$1:AJ$400,0)),AJ$2,)</f>
        <v>0</v>
      </c>
      <c r="AK24" s="140">
        <f ca="1">IF(ISNUMBER(MATCH(DATEVALUE($A24),'recurring1_based on steps'!AK$1:AK$400,0)),AK$2,)</f>
        <v>0</v>
      </c>
      <c r="AL24" s="140">
        <f ca="1">IF(ISNUMBER(MATCH(DATEVALUE($A24),'recurring1_based on steps'!AL$1:AL$400,0)),AL$2,)</f>
        <v>0</v>
      </c>
      <c r="AM24" s="140">
        <f ca="1">IF(ISNUMBER(MATCH(DATEVALUE($A24),'recurring1_based on steps'!AM$1:AM$400,0)),AM$2,)</f>
        <v>0</v>
      </c>
      <c r="AN24" s="140">
        <f ca="1">IF(ISNUMBER(MATCH(DATEVALUE($A24),'recurring1_based on steps'!AN$1:AN$400,0)),AN$2,)</f>
        <v>0</v>
      </c>
      <c r="AO24" s="140">
        <f ca="1">IF(ISNUMBER(MATCH(DATEVALUE($A24),'recurring1_based on steps'!AO$1:AO$400,0)),AO$2,)</f>
        <v>0</v>
      </c>
      <c r="AP24" s="140">
        <f ca="1">IF(ISNUMBER(MATCH(DATEVALUE($A24),'recurring1_based on steps'!AP$1:AP$400,0)),AP$2,)</f>
        <v>0</v>
      </c>
      <c r="AQ24" s="140">
        <f ca="1">IF(ISNUMBER(MATCH(DATEVALUE($A24),'recurring1_based on steps'!AQ$1:AQ$400,0)),AQ$2,)</f>
        <v>0</v>
      </c>
      <c r="AR24" s="140">
        <f ca="1">IF(ISNUMBER(MATCH(DATEVALUE($A24),'recurring1_based on steps'!AR$1:AR$400,0)),AR$2,)</f>
        <v>0</v>
      </c>
      <c r="AS24" s="140">
        <f ca="1">IF(ISNUMBER(MATCH(DATEVALUE($A24),'recurring1_based on steps'!AS$1:AS$400,0)),AS$2,)</f>
        <v>0</v>
      </c>
      <c r="AT24" s="140">
        <f ca="1">IF(ISNUMBER(MATCH(DATEVALUE($A24),'recurring1_based on steps'!AT$1:AT$400,0)),AT$2,)</f>
        <v>0</v>
      </c>
      <c r="AU24" s="140">
        <f ca="1">IF(ISNUMBER(MATCH(DATEVALUE($A24),'recurring1_based on steps'!AU$1:AU$400,0)),AU$2,)</f>
        <v>0</v>
      </c>
      <c r="AV24" s="140">
        <f ca="1">IF(ISNUMBER(MATCH(DATEVALUE($A24),'recurring1_based on steps'!AV$1:AV$400,0)),AV$2,)</f>
        <v>0</v>
      </c>
      <c r="AW24" s="140">
        <f ca="1">IF(ISNUMBER(MATCH(DATEVALUE($A24),'recurring1_based on steps'!AW$1:AW$400,0)),AW$2,)</f>
        <v>0</v>
      </c>
      <c r="AX24" s="140">
        <f ca="1">IF(ISNUMBER(MATCH(DATEVALUE($A24),'recurring1_based on steps'!AX$1:AX$400,0)),AX$2,)</f>
        <v>0</v>
      </c>
      <c r="AY24" s="140">
        <f ca="1">IF(ISNUMBER(MATCH(DATEVALUE($A24),'recurring1_based on steps'!AY$1:AY$400,0)),AY$2,)</f>
        <v>0</v>
      </c>
    </row>
    <row r="25" spans="1:51" x14ac:dyDescent="0.2">
      <c r="A25" s="29" t="str">
        <f t="shared" ca="1" si="0"/>
        <v>2025-04-18</v>
      </c>
      <c r="B25" s="140">
        <f ca="1">IF(ISNUMBER(MATCH(DATEVALUE($A25),'recurring1_based on steps'!B$1:B$400,0)),B$2,)</f>
        <v>4000</v>
      </c>
      <c r="C25" s="140">
        <f ca="1">IF(ISNUMBER(MATCH(DATEVALUE($A25),'recurring1_based on steps'!C$1:C$400,0)),C$2,)</f>
        <v>200</v>
      </c>
      <c r="D25" s="140">
        <f ca="1">IF(ISNUMBER(MATCH(DATEVALUE($A25),'recurring1_based on steps'!D$1:D$400,0)),D$2,)</f>
        <v>2</v>
      </c>
      <c r="E25" s="140">
        <f ca="1">IF(ISNUMBER(MATCH(DATEVALUE($A25),'recurring1_based on steps'!E$1:E$400,0)),E$2,)</f>
        <v>40</v>
      </c>
      <c r="F25" s="140">
        <f ca="1">IF(ISNUMBER(MATCH(DATEVALUE($A25),'recurring1_based on steps'!F$1:F$400,0)),F$2,)</f>
        <v>50</v>
      </c>
      <c r="G25" s="140">
        <f ca="1">IF(ISNUMBER(MATCH(DATEVALUE($A25),'recurring1_based on steps'!G$1:G$400,0)),G$2,)</f>
        <v>4</v>
      </c>
      <c r="H25" s="140">
        <f ca="1">IF(ISNUMBER(MATCH(DATEVALUE($A25),'recurring1_based on steps'!H$1:H$400,0)),H$2,)</f>
        <v>0</v>
      </c>
      <c r="I25" s="140">
        <f ca="1">IF(ISNUMBER(MATCH(DATEVALUE($A25),'recurring1_based on steps'!I$1:I$400,0)),I$2,)</f>
        <v>0</v>
      </c>
      <c r="J25" s="140">
        <f ca="1">IF(ISNUMBER(MATCH(DATEVALUE($A25),'recurring1_based on steps'!J$1:J$400,0)),J$2,)</f>
        <v>0</v>
      </c>
      <c r="K25" s="140">
        <f ca="1">IF(ISNUMBER(MATCH(DATEVALUE($A25),'recurring1_based on steps'!K$1:K$400,0)),K$2,)</f>
        <v>0</v>
      </c>
      <c r="L25" s="140">
        <f ca="1">IF(ISNUMBER(MATCH(DATEVALUE($A25),'recurring1_based on steps'!L$1:L$400,0)),L$2,)</f>
        <v>0</v>
      </c>
      <c r="M25" s="140">
        <f ca="1">IF(ISNUMBER(MATCH(DATEVALUE($A25),'recurring1_based on steps'!M$1:M$400,0)),M$2,)</f>
        <v>0</v>
      </c>
      <c r="N25" s="140">
        <f ca="1">IF(ISNUMBER(MATCH(DATEVALUE($A25),'recurring1_based on steps'!N$1:N$400,0)),N$2,)</f>
        <v>0</v>
      </c>
      <c r="O25" s="140">
        <f ca="1">IF(ISNUMBER(MATCH(DATEVALUE($A25),'recurring1_based on steps'!O$1:O$400,0)),O$2,)</f>
        <v>10.99</v>
      </c>
      <c r="P25" s="140">
        <f ca="1">IF(ISNUMBER(MATCH(DATEVALUE($A25),'recurring1_based on steps'!P$1:P$400,0)),P$2,)</f>
        <v>0</v>
      </c>
      <c r="Q25" s="140">
        <f ca="1">IF(ISNUMBER(MATCH(DATEVALUE($A25),'recurring1_based on steps'!Q$1:Q$400,0)),Q$2,)</f>
        <v>0</v>
      </c>
      <c r="R25" s="140">
        <f ca="1">IF(ISNUMBER(MATCH(DATEVALUE($A25),'recurring1_based on steps'!R$1:R$400,0)),R$2,)</f>
        <v>0</v>
      </c>
      <c r="S25" s="140">
        <f ca="1">IF(ISNUMBER(MATCH(DATEVALUE($A25),'recurring1_based on steps'!S$1:S$400,0)),S$2,)</f>
        <v>0</v>
      </c>
      <c r="T25" s="140">
        <f ca="1">IF(ISNUMBER(MATCH(DATEVALUE($A25),'recurring1_based on steps'!T$1:T$400,0)),T$2,)</f>
        <v>0</v>
      </c>
      <c r="U25" s="140">
        <f ca="1">IF(ISNUMBER(MATCH(DATEVALUE($A25),'recurring1_based on steps'!U$1:U$400,0)),U$2,)</f>
        <v>0</v>
      </c>
      <c r="V25" s="140">
        <f ca="1">IF(ISNUMBER(MATCH(DATEVALUE($A25),'recurring1_based on steps'!V$1:V$400,0)),V$2,)</f>
        <v>0</v>
      </c>
      <c r="W25" s="140">
        <f ca="1">IF(ISNUMBER(MATCH(DATEVALUE($A25),'recurring1_based on steps'!W$1:W$400,0)),W$2,)</f>
        <v>0</v>
      </c>
      <c r="X25" s="140">
        <f ca="1">IF(ISNUMBER(MATCH(DATEVALUE($A25),'recurring1_based on steps'!X$1:X$400,0)),X$2,)</f>
        <v>50</v>
      </c>
      <c r="Y25" s="140">
        <f ca="1">IF(ISNUMBER(MATCH(DATEVALUE($A25),'recurring1_based on steps'!Y$1:Y$400,0)),Y$2,)</f>
        <v>50</v>
      </c>
      <c r="Z25" s="140">
        <f ca="1">IF(ISNUMBER(MATCH(DATEVALUE($A25),'recurring1_based on steps'!Z$1:Z$400,0)),Z$2,)</f>
        <v>0</v>
      </c>
      <c r="AA25" s="140">
        <f ca="1">IF(ISNUMBER(MATCH(DATEVALUE($A25),'recurring1_based on steps'!AA$1:AA$400,0)),AA$2,)</f>
        <v>0</v>
      </c>
      <c r="AB25" s="140">
        <f ca="1">IF(ISNUMBER(MATCH(DATEVALUE($A25),'recurring1_based on steps'!AB$1:AB$400,0)),AB$2,)</f>
        <v>5.5401662049861494E-2</v>
      </c>
      <c r="AC25" s="140">
        <f ca="1">IF(ISNUMBER(MATCH(DATEVALUE($A25),'recurring1_based on steps'!AC$1:AC$400,0)),AC$2,)</f>
        <v>0</v>
      </c>
      <c r="AD25" s="140">
        <f ca="1">IF(ISNUMBER(MATCH(DATEVALUE($A25),'recurring1_based on steps'!AD$1:AD$400,0)),AD$2,)</f>
        <v>0</v>
      </c>
      <c r="AE25" s="140">
        <f ca="1">IF(ISNUMBER(MATCH(DATEVALUE($A25),'recurring1_based on steps'!AE$1:AE$400,0)),AE$2,)</f>
        <v>0</v>
      </c>
      <c r="AF25" s="140">
        <f ca="1">IF(ISNUMBER(MATCH(DATEVALUE($A25),'recurring1_based on steps'!AF$1:AF$400,0)),AF$2,)</f>
        <v>0</v>
      </c>
      <c r="AG25" s="140">
        <f ca="1">IF(ISNUMBER(MATCH(DATEVALUE($A25),'recurring1_based on steps'!AG$1:AG$400,0)),AG$2,)</f>
        <v>0</v>
      </c>
      <c r="AH25" s="140">
        <f ca="1">IF(ISNUMBER(MATCH(DATEVALUE($A25),'recurring1_based on steps'!AH$1:AH$400,0)),AH$2,)</f>
        <v>0</v>
      </c>
      <c r="AI25" s="140">
        <f ca="1">IF(ISNUMBER(MATCH(DATEVALUE($A25),'recurring1_based on steps'!AI$1:AI$400,0)),AI$2,)</f>
        <v>0</v>
      </c>
      <c r="AJ25" s="140">
        <f ca="1">IF(ISNUMBER(MATCH(DATEVALUE($A25),'recurring1_based on steps'!AJ$1:AJ$400,0)),AJ$2,)</f>
        <v>0</v>
      </c>
      <c r="AK25" s="140">
        <f ca="1">IF(ISNUMBER(MATCH(DATEVALUE($A25),'recurring1_based on steps'!AK$1:AK$400,0)),AK$2,)</f>
        <v>0</v>
      </c>
      <c r="AL25" s="140">
        <f ca="1">IF(ISNUMBER(MATCH(DATEVALUE($A25),'recurring1_based on steps'!AL$1:AL$400,0)),AL$2,)</f>
        <v>0</v>
      </c>
      <c r="AM25" s="140">
        <f ca="1">IF(ISNUMBER(MATCH(DATEVALUE($A25),'recurring1_based on steps'!AM$1:AM$400,0)),AM$2,)</f>
        <v>0</v>
      </c>
      <c r="AN25" s="140">
        <f ca="1">IF(ISNUMBER(MATCH(DATEVALUE($A25),'recurring1_based on steps'!AN$1:AN$400,0)),AN$2,)</f>
        <v>0</v>
      </c>
      <c r="AO25" s="140">
        <f ca="1">IF(ISNUMBER(MATCH(DATEVALUE($A25),'recurring1_based on steps'!AO$1:AO$400,0)),AO$2,)</f>
        <v>0</v>
      </c>
      <c r="AP25" s="140">
        <f ca="1">IF(ISNUMBER(MATCH(DATEVALUE($A25),'recurring1_based on steps'!AP$1:AP$400,0)),AP$2,)</f>
        <v>0</v>
      </c>
      <c r="AQ25" s="140">
        <f ca="1">IF(ISNUMBER(MATCH(DATEVALUE($A25),'recurring1_based on steps'!AQ$1:AQ$400,0)),AQ$2,)</f>
        <v>0</v>
      </c>
      <c r="AR25" s="140">
        <f ca="1">IF(ISNUMBER(MATCH(DATEVALUE($A25),'recurring1_based on steps'!AR$1:AR$400,0)),AR$2,)</f>
        <v>0</v>
      </c>
      <c r="AS25" s="140">
        <f ca="1">IF(ISNUMBER(MATCH(DATEVALUE($A25),'recurring1_based on steps'!AS$1:AS$400,0)),AS$2,)</f>
        <v>0</v>
      </c>
      <c r="AT25" s="140">
        <f ca="1">IF(ISNUMBER(MATCH(DATEVALUE($A25),'recurring1_based on steps'!AT$1:AT$400,0)),AT$2,)</f>
        <v>0</v>
      </c>
      <c r="AU25" s="140">
        <f ca="1">IF(ISNUMBER(MATCH(DATEVALUE($A25),'recurring1_based on steps'!AU$1:AU$400,0)),AU$2,)</f>
        <v>0</v>
      </c>
      <c r="AV25" s="140">
        <f ca="1">IF(ISNUMBER(MATCH(DATEVALUE($A25),'recurring1_based on steps'!AV$1:AV$400,0)),AV$2,)</f>
        <v>0</v>
      </c>
      <c r="AW25" s="140">
        <f ca="1">IF(ISNUMBER(MATCH(DATEVALUE($A25),'recurring1_based on steps'!AW$1:AW$400,0)),AW$2,)</f>
        <v>0</v>
      </c>
      <c r="AX25" s="140">
        <f ca="1">IF(ISNUMBER(MATCH(DATEVALUE($A25),'recurring1_based on steps'!AX$1:AX$400,0)),AX$2,)</f>
        <v>0</v>
      </c>
      <c r="AY25" s="140">
        <f ca="1">IF(ISNUMBER(MATCH(DATEVALUE($A25),'recurring1_based on steps'!AY$1:AY$400,0)),AY$2,)</f>
        <v>0</v>
      </c>
    </row>
    <row r="26" spans="1:51" x14ac:dyDescent="0.2">
      <c r="A26" s="29" t="str">
        <f t="shared" ca="1" si="0"/>
        <v>2025-04-19</v>
      </c>
      <c r="B26" s="140">
        <f ca="1">IF(ISNUMBER(MATCH(DATEVALUE($A26),'recurring1_based on steps'!B$1:B$400,0)),B$2,)</f>
        <v>0</v>
      </c>
      <c r="C26" s="140">
        <f ca="1">IF(ISNUMBER(MATCH(DATEVALUE($A26),'recurring1_based on steps'!C$1:C$400,0)),C$2,)</f>
        <v>0</v>
      </c>
      <c r="D26" s="140">
        <f ca="1">IF(ISNUMBER(MATCH(DATEVALUE($A26),'recurring1_based on steps'!D$1:D$400,0)),D$2,)</f>
        <v>0</v>
      </c>
      <c r="E26" s="140">
        <f ca="1">IF(ISNUMBER(MATCH(DATEVALUE($A26),'recurring1_based on steps'!E$1:E$400,0)),E$2,)</f>
        <v>0</v>
      </c>
      <c r="F26" s="140">
        <f ca="1">IF(ISNUMBER(MATCH(DATEVALUE($A26),'recurring1_based on steps'!F$1:F$400,0)),F$2,)</f>
        <v>0</v>
      </c>
      <c r="G26" s="140">
        <f ca="1">IF(ISNUMBER(MATCH(DATEVALUE($A26),'recurring1_based on steps'!G$1:G$400,0)),G$2,)</f>
        <v>0</v>
      </c>
      <c r="H26" s="140">
        <f ca="1">IF(ISNUMBER(MATCH(DATEVALUE($A26),'recurring1_based on steps'!H$1:H$400,0)),H$2,)</f>
        <v>0</v>
      </c>
      <c r="I26" s="140">
        <f ca="1">IF(ISNUMBER(MATCH(DATEVALUE($A26),'recurring1_based on steps'!I$1:I$400,0)),I$2,)</f>
        <v>0</v>
      </c>
      <c r="J26" s="140">
        <f ca="1">IF(ISNUMBER(MATCH(DATEVALUE($A26),'recurring1_based on steps'!J$1:J$400,0)),J$2,)</f>
        <v>0</v>
      </c>
      <c r="K26" s="140">
        <f ca="1">IF(ISNUMBER(MATCH(DATEVALUE($A26),'recurring1_based on steps'!K$1:K$400,0)),K$2,)</f>
        <v>0</v>
      </c>
      <c r="L26" s="140">
        <f ca="1">IF(ISNUMBER(MATCH(DATEVALUE($A26),'recurring1_based on steps'!L$1:L$400,0)),L$2,)</f>
        <v>0</v>
      </c>
      <c r="M26" s="140">
        <f ca="1">IF(ISNUMBER(MATCH(DATEVALUE($A26),'recurring1_based on steps'!M$1:M$400,0)),M$2,)</f>
        <v>0</v>
      </c>
      <c r="N26" s="140">
        <f ca="1">IF(ISNUMBER(MATCH(DATEVALUE($A26),'recurring1_based on steps'!N$1:N$400,0)),N$2,)</f>
        <v>0</v>
      </c>
      <c r="O26" s="140">
        <f ca="1">IF(ISNUMBER(MATCH(DATEVALUE($A26),'recurring1_based on steps'!O$1:O$400,0)),O$2,)</f>
        <v>0</v>
      </c>
      <c r="P26" s="140">
        <f ca="1">IF(ISNUMBER(MATCH(DATEVALUE($A26),'recurring1_based on steps'!P$1:P$400,0)),P$2,)</f>
        <v>0</v>
      </c>
      <c r="Q26" s="140">
        <f ca="1">IF(ISNUMBER(MATCH(DATEVALUE($A26),'recurring1_based on steps'!Q$1:Q$400,0)),Q$2,)</f>
        <v>100</v>
      </c>
      <c r="R26" s="140">
        <f ca="1">IF(ISNUMBER(MATCH(DATEVALUE($A26),'recurring1_based on steps'!R$1:R$400,0)),R$2,)</f>
        <v>100</v>
      </c>
      <c r="S26" s="140">
        <f ca="1">IF(ISNUMBER(MATCH(DATEVALUE($A26),'recurring1_based on steps'!S$1:S$400,0)),S$2,)</f>
        <v>0</v>
      </c>
      <c r="T26" s="140">
        <f ca="1">IF(ISNUMBER(MATCH(DATEVALUE($A26),'recurring1_based on steps'!T$1:T$400,0)),T$2,)</f>
        <v>0</v>
      </c>
      <c r="U26" s="140">
        <f ca="1">IF(ISNUMBER(MATCH(DATEVALUE($A26),'recurring1_based on steps'!U$1:U$400,0)),U$2,)</f>
        <v>0</v>
      </c>
      <c r="V26" s="140">
        <f ca="1">IF(ISNUMBER(MATCH(DATEVALUE($A26),'recurring1_based on steps'!V$1:V$400,0)),V$2,)</f>
        <v>0</v>
      </c>
      <c r="W26" s="140">
        <f ca="1">IF(ISNUMBER(MATCH(DATEVALUE($A26),'recurring1_based on steps'!W$1:W$400,0)),W$2,)</f>
        <v>0</v>
      </c>
      <c r="X26" s="140">
        <f ca="1">IF(ISNUMBER(MATCH(DATEVALUE($A26),'recurring1_based on steps'!X$1:X$400,0)),X$2,)</f>
        <v>0</v>
      </c>
      <c r="Y26" s="140">
        <f ca="1">IF(ISNUMBER(MATCH(DATEVALUE($A26),'recurring1_based on steps'!Y$1:Y$400,0)),Y$2,)</f>
        <v>0</v>
      </c>
      <c r="Z26" s="140">
        <f ca="1">IF(ISNUMBER(MATCH(DATEVALUE($A26),'recurring1_based on steps'!Z$1:Z$400,0)),Z$2,)</f>
        <v>0</v>
      </c>
      <c r="AA26" s="140">
        <f ca="1">IF(ISNUMBER(MATCH(DATEVALUE($A26),'recurring1_based on steps'!AA$1:AA$400,0)),AA$2,)</f>
        <v>0</v>
      </c>
      <c r="AB26" s="140">
        <f ca="1">IF(ISNUMBER(MATCH(DATEVALUE($A26),'recurring1_based on steps'!AB$1:AB$400,0)),AB$2,)</f>
        <v>5.5401662049861494E-2</v>
      </c>
      <c r="AC26" s="140">
        <f ca="1">IF(ISNUMBER(MATCH(DATEVALUE($A26),'recurring1_based on steps'!AC$1:AC$400,0)),AC$2,)</f>
        <v>0</v>
      </c>
      <c r="AD26" s="140">
        <f ca="1">IF(ISNUMBER(MATCH(DATEVALUE($A26),'recurring1_based on steps'!AD$1:AD$400,0)),AD$2,)</f>
        <v>0</v>
      </c>
      <c r="AE26" s="140">
        <f ca="1">IF(ISNUMBER(MATCH(DATEVALUE($A26),'recurring1_based on steps'!AE$1:AE$400,0)),AE$2,)</f>
        <v>0</v>
      </c>
      <c r="AF26" s="140">
        <f ca="1">IF(ISNUMBER(MATCH(DATEVALUE($A26),'recurring1_based on steps'!AF$1:AF$400,0)),AF$2,)</f>
        <v>0</v>
      </c>
      <c r="AG26" s="140">
        <f ca="1">IF(ISNUMBER(MATCH(DATEVALUE($A26),'recurring1_based on steps'!AG$1:AG$400,0)),AG$2,)</f>
        <v>0</v>
      </c>
      <c r="AH26" s="140">
        <f ca="1">IF(ISNUMBER(MATCH(DATEVALUE($A26),'recurring1_based on steps'!AH$1:AH$400,0)),AH$2,)</f>
        <v>0</v>
      </c>
      <c r="AI26" s="140">
        <f ca="1">IF(ISNUMBER(MATCH(DATEVALUE($A26),'recurring1_based on steps'!AI$1:AI$400,0)),AI$2,)</f>
        <v>0</v>
      </c>
      <c r="AJ26" s="140">
        <f ca="1">IF(ISNUMBER(MATCH(DATEVALUE($A26),'recurring1_based on steps'!AJ$1:AJ$400,0)),AJ$2,)</f>
        <v>0</v>
      </c>
      <c r="AK26" s="140">
        <f ca="1">IF(ISNUMBER(MATCH(DATEVALUE($A26),'recurring1_based on steps'!AK$1:AK$400,0)),AK$2,)</f>
        <v>0</v>
      </c>
      <c r="AL26" s="140">
        <f ca="1">IF(ISNUMBER(MATCH(DATEVALUE($A26),'recurring1_based on steps'!AL$1:AL$400,0)),AL$2,)</f>
        <v>0</v>
      </c>
      <c r="AM26" s="140">
        <f ca="1">IF(ISNUMBER(MATCH(DATEVALUE($A26),'recurring1_based on steps'!AM$1:AM$400,0)),AM$2,)</f>
        <v>0</v>
      </c>
      <c r="AN26" s="140">
        <f ca="1">IF(ISNUMBER(MATCH(DATEVALUE($A26),'recurring1_based on steps'!AN$1:AN$400,0)),AN$2,)</f>
        <v>0</v>
      </c>
      <c r="AO26" s="140">
        <f ca="1">IF(ISNUMBER(MATCH(DATEVALUE($A26),'recurring1_based on steps'!AO$1:AO$400,0)),AO$2,)</f>
        <v>0</v>
      </c>
      <c r="AP26" s="140">
        <f ca="1">IF(ISNUMBER(MATCH(DATEVALUE($A26),'recurring1_based on steps'!AP$1:AP$400,0)),AP$2,)</f>
        <v>0</v>
      </c>
      <c r="AQ26" s="140">
        <f ca="1">IF(ISNUMBER(MATCH(DATEVALUE($A26),'recurring1_based on steps'!AQ$1:AQ$400,0)),AQ$2,)</f>
        <v>0</v>
      </c>
      <c r="AR26" s="140">
        <f ca="1">IF(ISNUMBER(MATCH(DATEVALUE($A26),'recurring1_based on steps'!AR$1:AR$400,0)),AR$2,)</f>
        <v>0</v>
      </c>
      <c r="AS26" s="140">
        <f ca="1">IF(ISNUMBER(MATCH(DATEVALUE($A26),'recurring1_based on steps'!AS$1:AS$400,0)),AS$2,)</f>
        <v>0</v>
      </c>
      <c r="AT26" s="140">
        <f ca="1">IF(ISNUMBER(MATCH(DATEVALUE($A26),'recurring1_based on steps'!AT$1:AT$400,0)),AT$2,)</f>
        <v>0</v>
      </c>
      <c r="AU26" s="140">
        <f ca="1">IF(ISNUMBER(MATCH(DATEVALUE($A26),'recurring1_based on steps'!AU$1:AU$400,0)),AU$2,)</f>
        <v>0</v>
      </c>
      <c r="AV26" s="140">
        <f ca="1">IF(ISNUMBER(MATCH(DATEVALUE($A26),'recurring1_based on steps'!AV$1:AV$400,0)),AV$2,)</f>
        <v>0</v>
      </c>
      <c r="AW26" s="140">
        <f ca="1">IF(ISNUMBER(MATCH(DATEVALUE($A26),'recurring1_based on steps'!AW$1:AW$400,0)),AW$2,)</f>
        <v>0</v>
      </c>
      <c r="AX26" s="140">
        <f ca="1">IF(ISNUMBER(MATCH(DATEVALUE($A26),'recurring1_based on steps'!AX$1:AX$400,0)),AX$2,)</f>
        <v>0</v>
      </c>
      <c r="AY26" s="140">
        <f ca="1">IF(ISNUMBER(MATCH(DATEVALUE($A26),'recurring1_based on steps'!AY$1:AY$400,0)),AY$2,)</f>
        <v>0</v>
      </c>
    </row>
    <row r="27" spans="1:51" x14ac:dyDescent="0.2">
      <c r="A27" s="29" t="str">
        <f t="shared" ca="1" si="0"/>
        <v>2025-04-20</v>
      </c>
      <c r="B27" s="140">
        <f ca="1">IF(ISNUMBER(MATCH(DATEVALUE($A27),'recurring1_based on steps'!B$1:B$400,0)),B$2,)</f>
        <v>0</v>
      </c>
      <c r="C27" s="140">
        <f ca="1">IF(ISNUMBER(MATCH(DATEVALUE($A27),'recurring1_based on steps'!C$1:C$400,0)),C$2,)</f>
        <v>0</v>
      </c>
      <c r="D27" s="140">
        <f ca="1">IF(ISNUMBER(MATCH(DATEVALUE($A27),'recurring1_based on steps'!D$1:D$400,0)),D$2,)</f>
        <v>0</v>
      </c>
      <c r="E27" s="140">
        <f ca="1">IF(ISNUMBER(MATCH(DATEVALUE($A27),'recurring1_based on steps'!E$1:E$400,0)),E$2,)</f>
        <v>0</v>
      </c>
      <c r="F27" s="140">
        <f ca="1">IF(ISNUMBER(MATCH(DATEVALUE($A27),'recurring1_based on steps'!F$1:F$400,0)),F$2,)</f>
        <v>0</v>
      </c>
      <c r="G27" s="140">
        <f ca="1">IF(ISNUMBER(MATCH(DATEVALUE($A27),'recurring1_based on steps'!G$1:G$400,0)),G$2,)</f>
        <v>0</v>
      </c>
      <c r="H27" s="140">
        <f ca="1">IF(ISNUMBER(MATCH(DATEVALUE($A27),'recurring1_based on steps'!H$1:H$400,0)),H$2,)</f>
        <v>0</v>
      </c>
      <c r="I27" s="140">
        <f ca="1">IF(ISNUMBER(MATCH(DATEVALUE($A27),'recurring1_based on steps'!I$1:I$400,0)),I$2,)</f>
        <v>0</v>
      </c>
      <c r="J27" s="140">
        <f ca="1">IF(ISNUMBER(MATCH(DATEVALUE($A27),'recurring1_based on steps'!J$1:J$400,0)),J$2,)</f>
        <v>0</v>
      </c>
      <c r="K27" s="140">
        <f ca="1">IF(ISNUMBER(MATCH(DATEVALUE($A27),'recurring1_based on steps'!K$1:K$400,0)),K$2,)</f>
        <v>50</v>
      </c>
      <c r="L27" s="140">
        <f ca="1">IF(ISNUMBER(MATCH(DATEVALUE($A27),'recurring1_based on steps'!L$1:L$400,0)),L$2,)</f>
        <v>0</v>
      </c>
      <c r="M27" s="140">
        <f ca="1">IF(ISNUMBER(MATCH(DATEVALUE($A27),'recurring1_based on steps'!M$1:M$400,0)),M$2,)</f>
        <v>0</v>
      </c>
      <c r="N27" s="140">
        <f ca="1">IF(ISNUMBER(MATCH(DATEVALUE($A27),'recurring1_based on steps'!N$1:N$400,0)),N$2,)</f>
        <v>0</v>
      </c>
      <c r="O27" s="140">
        <f ca="1">IF(ISNUMBER(MATCH(DATEVALUE($A27),'recurring1_based on steps'!O$1:O$400,0)),O$2,)</f>
        <v>0</v>
      </c>
      <c r="P27" s="140">
        <f ca="1">IF(ISNUMBER(MATCH(DATEVALUE($A27),'recurring1_based on steps'!P$1:P$400,0)),P$2,)</f>
        <v>0</v>
      </c>
      <c r="Q27" s="140">
        <f ca="1">IF(ISNUMBER(MATCH(DATEVALUE($A27),'recurring1_based on steps'!Q$1:Q$400,0)),Q$2,)</f>
        <v>0</v>
      </c>
      <c r="R27" s="140">
        <f ca="1">IF(ISNUMBER(MATCH(DATEVALUE($A27),'recurring1_based on steps'!R$1:R$400,0)),R$2,)</f>
        <v>0</v>
      </c>
      <c r="S27" s="140">
        <f ca="1">IF(ISNUMBER(MATCH(DATEVALUE($A27),'recurring1_based on steps'!S$1:S$400,0)),S$2,)</f>
        <v>100</v>
      </c>
      <c r="T27" s="140">
        <f ca="1">IF(ISNUMBER(MATCH(DATEVALUE($A27),'recurring1_based on steps'!T$1:T$400,0)),T$2,)</f>
        <v>0</v>
      </c>
      <c r="U27" s="140">
        <f ca="1">IF(ISNUMBER(MATCH(DATEVALUE($A27),'recurring1_based on steps'!U$1:U$400,0)),U$2,)</f>
        <v>0</v>
      </c>
      <c r="V27" s="140">
        <f ca="1">IF(ISNUMBER(MATCH(DATEVALUE($A27),'recurring1_based on steps'!V$1:V$400,0)),V$2,)</f>
        <v>0</v>
      </c>
      <c r="W27" s="140">
        <f ca="1">IF(ISNUMBER(MATCH(DATEVALUE($A27),'recurring1_based on steps'!W$1:W$400,0)),W$2,)</f>
        <v>0</v>
      </c>
      <c r="X27" s="140">
        <f ca="1">IF(ISNUMBER(MATCH(DATEVALUE($A27),'recurring1_based on steps'!X$1:X$400,0)),X$2,)</f>
        <v>0</v>
      </c>
      <c r="Y27" s="140">
        <f ca="1">IF(ISNUMBER(MATCH(DATEVALUE($A27),'recurring1_based on steps'!Y$1:Y$400,0)),Y$2,)</f>
        <v>0</v>
      </c>
      <c r="Z27" s="140">
        <f ca="1">IF(ISNUMBER(MATCH(DATEVALUE($A27),'recurring1_based on steps'!Z$1:Z$400,0)),Z$2,)</f>
        <v>0</v>
      </c>
      <c r="AA27" s="140">
        <f ca="1">IF(ISNUMBER(MATCH(DATEVALUE($A27),'recurring1_based on steps'!AA$1:AA$400,0)),AA$2,)</f>
        <v>5.8171745152354575</v>
      </c>
      <c r="AB27" s="140">
        <f ca="1">IF(ISNUMBER(MATCH(DATEVALUE($A27),'recurring1_based on steps'!AB$1:AB$400,0)),AB$2,)</f>
        <v>5.5401662049861494E-2</v>
      </c>
      <c r="AC27" s="140">
        <f ca="1">IF(ISNUMBER(MATCH(DATEVALUE($A27),'recurring1_based on steps'!AC$1:AC$400,0)),AC$2,)</f>
        <v>0</v>
      </c>
      <c r="AD27" s="140">
        <f ca="1">IF(ISNUMBER(MATCH(DATEVALUE($A27),'recurring1_based on steps'!AD$1:AD$400,0)),AD$2,)</f>
        <v>0</v>
      </c>
      <c r="AE27" s="140">
        <f ca="1">IF(ISNUMBER(MATCH(DATEVALUE($A27),'recurring1_based on steps'!AE$1:AE$400,0)),AE$2,)</f>
        <v>0</v>
      </c>
      <c r="AF27" s="140">
        <f ca="1">IF(ISNUMBER(MATCH(DATEVALUE($A27),'recurring1_based on steps'!AF$1:AF$400,0)),AF$2,)</f>
        <v>0</v>
      </c>
      <c r="AG27" s="140">
        <f ca="1">IF(ISNUMBER(MATCH(DATEVALUE($A27),'recurring1_based on steps'!AG$1:AG$400,0)),AG$2,)</f>
        <v>0</v>
      </c>
      <c r="AH27" s="140">
        <f ca="1">IF(ISNUMBER(MATCH(DATEVALUE($A27),'recurring1_based on steps'!AH$1:AH$400,0)),AH$2,)</f>
        <v>0</v>
      </c>
      <c r="AI27" s="140">
        <f ca="1">IF(ISNUMBER(MATCH(DATEVALUE($A27),'recurring1_based on steps'!AI$1:AI$400,0)),AI$2,)</f>
        <v>0</v>
      </c>
      <c r="AJ27" s="140">
        <f ca="1">IF(ISNUMBER(MATCH(DATEVALUE($A27),'recurring1_based on steps'!AJ$1:AJ$400,0)),AJ$2,)</f>
        <v>0</v>
      </c>
      <c r="AK27" s="140">
        <f ca="1">IF(ISNUMBER(MATCH(DATEVALUE($A27),'recurring1_based on steps'!AK$1:AK$400,0)),AK$2,)</f>
        <v>0</v>
      </c>
      <c r="AL27" s="140">
        <f ca="1">IF(ISNUMBER(MATCH(DATEVALUE($A27),'recurring1_based on steps'!AL$1:AL$400,0)),AL$2,)</f>
        <v>0</v>
      </c>
      <c r="AM27" s="140">
        <f ca="1">IF(ISNUMBER(MATCH(DATEVALUE($A27),'recurring1_based on steps'!AM$1:AM$400,0)),AM$2,)</f>
        <v>0</v>
      </c>
      <c r="AN27" s="140">
        <f ca="1">IF(ISNUMBER(MATCH(DATEVALUE($A27),'recurring1_based on steps'!AN$1:AN$400,0)),AN$2,)</f>
        <v>0</v>
      </c>
      <c r="AO27" s="140">
        <f ca="1">IF(ISNUMBER(MATCH(DATEVALUE($A27),'recurring1_based on steps'!AO$1:AO$400,0)),AO$2,)</f>
        <v>0</v>
      </c>
      <c r="AP27" s="140">
        <f ca="1">IF(ISNUMBER(MATCH(DATEVALUE($A27),'recurring1_based on steps'!AP$1:AP$400,0)),AP$2,)</f>
        <v>0</v>
      </c>
      <c r="AQ27" s="140">
        <f ca="1">IF(ISNUMBER(MATCH(DATEVALUE($A27),'recurring1_based on steps'!AQ$1:AQ$400,0)),AQ$2,)</f>
        <v>0</v>
      </c>
      <c r="AR27" s="140">
        <f ca="1">IF(ISNUMBER(MATCH(DATEVALUE($A27),'recurring1_based on steps'!AR$1:AR$400,0)),AR$2,)</f>
        <v>0</v>
      </c>
      <c r="AS27" s="140">
        <f ca="1">IF(ISNUMBER(MATCH(DATEVALUE($A27),'recurring1_based on steps'!AS$1:AS$400,0)),AS$2,)</f>
        <v>0</v>
      </c>
      <c r="AT27" s="140">
        <f ca="1">IF(ISNUMBER(MATCH(DATEVALUE($A27),'recurring1_based on steps'!AT$1:AT$400,0)),AT$2,)</f>
        <v>0</v>
      </c>
      <c r="AU27" s="140">
        <f ca="1">IF(ISNUMBER(MATCH(DATEVALUE($A27),'recurring1_based on steps'!AU$1:AU$400,0)),AU$2,)</f>
        <v>0</v>
      </c>
      <c r="AV27" s="140">
        <f ca="1">IF(ISNUMBER(MATCH(DATEVALUE($A27),'recurring1_based on steps'!AV$1:AV$400,0)),AV$2,)</f>
        <v>0</v>
      </c>
      <c r="AW27" s="140">
        <f ca="1">IF(ISNUMBER(MATCH(DATEVALUE($A27),'recurring1_based on steps'!AW$1:AW$400,0)),AW$2,)</f>
        <v>0</v>
      </c>
      <c r="AX27" s="140">
        <f ca="1">IF(ISNUMBER(MATCH(DATEVALUE($A27),'recurring1_based on steps'!AX$1:AX$400,0)),AX$2,)</f>
        <v>0</v>
      </c>
      <c r="AY27" s="140">
        <f ca="1">IF(ISNUMBER(MATCH(DATEVALUE($A27),'recurring1_based on steps'!AY$1:AY$400,0)),AY$2,)</f>
        <v>0</v>
      </c>
    </row>
    <row r="28" spans="1:51" x14ac:dyDescent="0.2">
      <c r="A28" s="29" t="str">
        <f t="shared" ca="1" si="0"/>
        <v>2025-04-21</v>
      </c>
      <c r="B28" s="140">
        <f ca="1">IF(ISNUMBER(MATCH(DATEVALUE($A28),'recurring1_based on steps'!B$1:B$400,0)),B$2,)</f>
        <v>0</v>
      </c>
      <c r="C28" s="140">
        <f ca="1">IF(ISNUMBER(MATCH(DATEVALUE($A28),'recurring1_based on steps'!C$1:C$400,0)),C$2,)</f>
        <v>0</v>
      </c>
      <c r="D28" s="140">
        <f ca="1">IF(ISNUMBER(MATCH(DATEVALUE($A28),'recurring1_based on steps'!D$1:D$400,0)),D$2,)</f>
        <v>0</v>
      </c>
      <c r="E28" s="140">
        <f ca="1">IF(ISNUMBER(MATCH(DATEVALUE($A28),'recurring1_based on steps'!E$1:E$400,0)),E$2,)</f>
        <v>0</v>
      </c>
      <c r="F28" s="140">
        <f ca="1">IF(ISNUMBER(MATCH(DATEVALUE($A28),'recurring1_based on steps'!F$1:F$400,0)),F$2,)</f>
        <v>0</v>
      </c>
      <c r="G28" s="140">
        <f ca="1">IF(ISNUMBER(MATCH(DATEVALUE($A28),'recurring1_based on steps'!G$1:G$400,0)),G$2,)</f>
        <v>0</v>
      </c>
      <c r="H28" s="140">
        <f ca="1">IF(ISNUMBER(MATCH(DATEVALUE($A28),'recurring1_based on steps'!H$1:H$400,0)),H$2,)</f>
        <v>0</v>
      </c>
      <c r="I28" s="140">
        <f ca="1">IF(ISNUMBER(MATCH(DATEVALUE($A28),'recurring1_based on steps'!I$1:I$400,0)),I$2,)</f>
        <v>0</v>
      </c>
      <c r="J28" s="140">
        <f ca="1">IF(ISNUMBER(MATCH(DATEVALUE($A28),'recurring1_based on steps'!J$1:J$400,0)),J$2,)</f>
        <v>0</v>
      </c>
      <c r="K28" s="140">
        <f ca="1">IF(ISNUMBER(MATCH(DATEVALUE($A28),'recurring1_based on steps'!K$1:K$400,0)),K$2,)</f>
        <v>0</v>
      </c>
      <c r="L28" s="140">
        <f ca="1">IF(ISNUMBER(MATCH(DATEVALUE($A28),'recurring1_based on steps'!L$1:L$400,0)),L$2,)</f>
        <v>0</v>
      </c>
      <c r="M28" s="140">
        <f ca="1">IF(ISNUMBER(MATCH(DATEVALUE($A28),'recurring1_based on steps'!M$1:M$400,0)),M$2,)</f>
        <v>0</v>
      </c>
      <c r="N28" s="140">
        <f ca="1">IF(ISNUMBER(MATCH(DATEVALUE($A28),'recurring1_based on steps'!N$1:N$400,0)),N$2,)</f>
        <v>0</v>
      </c>
      <c r="O28" s="140">
        <f ca="1">IF(ISNUMBER(MATCH(DATEVALUE($A28),'recurring1_based on steps'!O$1:O$400,0)),O$2,)</f>
        <v>0</v>
      </c>
      <c r="P28" s="140">
        <f ca="1">IF(ISNUMBER(MATCH(DATEVALUE($A28),'recurring1_based on steps'!P$1:P$400,0)),P$2,)</f>
        <v>0</v>
      </c>
      <c r="Q28" s="140">
        <f ca="1">IF(ISNUMBER(MATCH(DATEVALUE($A28),'recurring1_based on steps'!Q$1:Q$400,0)),Q$2,)</f>
        <v>0</v>
      </c>
      <c r="R28" s="140">
        <f ca="1">IF(ISNUMBER(MATCH(DATEVALUE($A28),'recurring1_based on steps'!R$1:R$400,0)),R$2,)</f>
        <v>0</v>
      </c>
      <c r="S28" s="140">
        <f ca="1">IF(ISNUMBER(MATCH(DATEVALUE($A28),'recurring1_based on steps'!S$1:S$400,0)),S$2,)</f>
        <v>0</v>
      </c>
      <c r="T28" s="140">
        <f ca="1">IF(ISNUMBER(MATCH(DATEVALUE($A28),'recurring1_based on steps'!T$1:T$400,0)),T$2,)</f>
        <v>0</v>
      </c>
      <c r="U28" s="140">
        <f ca="1">IF(ISNUMBER(MATCH(DATEVALUE($A28),'recurring1_based on steps'!U$1:U$400,0)),U$2,)</f>
        <v>0</v>
      </c>
      <c r="V28" s="140">
        <f ca="1">IF(ISNUMBER(MATCH(DATEVALUE($A28),'recurring1_based on steps'!V$1:V$400,0)),V$2,)</f>
        <v>0</v>
      </c>
      <c r="W28" s="140">
        <f ca="1">IF(ISNUMBER(MATCH(DATEVALUE($A28),'recurring1_based on steps'!W$1:W$400,0)),W$2,)</f>
        <v>0</v>
      </c>
      <c r="X28" s="140">
        <f ca="1">IF(ISNUMBER(MATCH(DATEVALUE($A28),'recurring1_based on steps'!X$1:X$400,0)),X$2,)</f>
        <v>0</v>
      </c>
      <c r="Y28" s="140">
        <f ca="1">IF(ISNUMBER(MATCH(DATEVALUE($A28),'recurring1_based on steps'!Y$1:Y$400,0)),Y$2,)</f>
        <v>0</v>
      </c>
      <c r="Z28" s="140">
        <f ca="1">IF(ISNUMBER(MATCH(DATEVALUE($A28),'recurring1_based on steps'!Z$1:Z$400,0)),Z$2,)</f>
        <v>0</v>
      </c>
      <c r="AA28" s="140">
        <f ca="1">IF(ISNUMBER(MATCH(DATEVALUE($A28),'recurring1_based on steps'!AA$1:AA$400,0)),AA$2,)</f>
        <v>0</v>
      </c>
      <c r="AB28" s="140">
        <f ca="1">IF(ISNUMBER(MATCH(DATEVALUE($A28),'recurring1_based on steps'!AB$1:AB$400,0)),AB$2,)</f>
        <v>5.5401662049861494E-2</v>
      </c>
      <c r="AC28" s="140">
        <f ca="1">IF(ISNUMBER(MATCH(DATEVALUE($A28),'recurring1_based on steps'!AC$1:AC$400,0)),AC$2,)</f>
        <v>0</v>
      </c>
      <c r="AD28" s="140">
        <f ca="1">IF(ISNUMBER(MATCH(DATEVALUE($A28),'recurring1_based on steps'!AD$1:AD$400,0)),AD$2,)</f>
        <v>0</v>
      </c>
      <c r="AE28" s="140">
        <f ca="1">IF(ISNUMBER(MATCH(DATEVALUE($A28),'recurring1_based on steps'!AE$1:AE$400,0)),AE$2,)</f>
        <v>0</v>
      </c>
      <c r="AF28" s="140">
        <f ca="1">IF(ISNUMBER(MATCH(DATEVALUE($A28),'recurring1_based on steps'!AF$1:AF$400,0)),AF$2,)</f>
        <v>0</v>
      </c>
      <c r="AG28" s="140">
        <f ca="1">IF(ISNUMBER(MATCH(DATEVALUE($A28),'recurring1_based on steps'!AG$1:AG$400,0)),AG$2,)</f>
        <v>0</v>
      </c>
      <c r="AH28" s="140">
        <f ca="1">IF(ISNUMBER(MATCH(DATEVALUE($A28),'recurring1_based on steps'!AH$1:AH$400,0)),AH$2,)</f>
        <v>0</v>
      </c>
      <c r="AI28" s="140">
        <f ca="1">IF(ISNUMBER(MATCH(DATEVALUE($A28),'recurring1_based on steps'!AI$1:AI$400,0)),AI$2,)</f>
        <v>0</v>
      </c>
      <c r="AJ28" s="140">
        <f ca="1">IF(ISNUMBER(MATCH(DATEVALUE($A28),'recurring1_based on steps'!AJ$1:AJ$400,0)),AJ$2,)</f>
        <v>0</v>
      </c>
      <c r="AK28" s="140">
        <f ca="1">IF(ISNUMBER(MATCH(DATEVALUE($A28),'recurring1_based on steps'!AK$1:AK$400,0)),AK$2,)</f>
        <v>0</v>
      </c>
      <c r="AL28" s="140">
        <f ca="1">IF(ISNUMBER(MATCH(DATEVALUE($A28),'recurring1_based on steps'!AL$1:AL$400,0)),AL$2,)</f>
        <v>0</v>
      </c>
      <c r="AM28" s="140">
        <f ca="1">IF(ISNUMBER(MATCH(DATEVALUE($A28),'recurring1_based on steps'!AM$1:AM$400,0)),AM$2,)</f>
        <v>0</v>
      </c>
      <c r="AN28" s="140">
        <f ca="1">IF(ISNUMBER(MATCH(DATEVALUE($A28),'recurring1_based on steps'!AN$1:AN$400,0)),AN$2,)</f>
        <v>0</v>
      </c>
      <c r="AO28" s="140">
        <f ca="1">IF(ISNUMBER(MATCH(DATEVALUE($A28),'recurring1_based on steps'!AO$1:AO$400,0)),AO$2,)</f>
        <v>0</v>
      </c>
      <c r="AP28" s="140">
        <f ca="1">IF(ISNUMBER(MATCH(DATEVALUE($A28),'recurring1_based on steps'!AP$1:AP$400,0)),AP$2,)</f>
        <v>0</v>
      </c>
      <c r="AQ28" s="140">
        <f ca="1">IF(ISNUMBER(MATCH(DATEVALUE($A28),'recurring1_based on steps'!AQ$1:AQ$400,0)),AQ$2,)</f>
        <v>0</v>
      </c>
      <c r="AR28" s="140">
        <f ca="1">IF(ISNUMBER(MATCH(DATEVALUE($A28),'recurring1_based on steps'!AR$1:AR$400,0)),AR$2,)</f>
        <v>0</v>
      </c>
      <c r="AS28" s="140">
        <f ca="1">IF(ISNUMBER(MATCH(DATEVALUE($A28),'recurring1_based on steps'!AS$1:AS$400,0)),AS$2,)</f>
        <v>0</v>
      </c>
      <c r="AT28" s="140">
        <f ca="1">IF(ISNUMBER(MATCH(DATEVALUE($A28),'recurring1_based on steps'!AT$1:AT$400,0)),AT$2,)</f>
        <v>0</v>
      </c>
      <c r="AU28" s="140">
        <f ca="1">IF(ISNUMBER(MATCH(DATEVALUE($A28),'recurring1_based on steps'!AU$1:AU$400,0)),AU$2,)</f>
        <v>0</v>
      </c>
      <c r="AV28" s="140">
        <f ca="1">IF(ISNUMBER(MATCH(DATEVALUE($A28),'recurring1_based on steps'!AV$1:AV$400,0)),AV$2,)</f>
        <v>0</v>
      </c>
      <c r="AW28" s="140">
        <f ca="1">IF(ISNUMBER(MATCH(DATEVALUE($A28),'recurring1_based on steps'!AW$1:AW$400,0)),AW$2,)</f>
        <v>0</v>
      </c>
      <c r="AX28" s="140">
        <f ca="1">IF(ISNUMBER(MATCH(DATEVALUE($A28),'recurring1_based on steps'!AX$1:AX$400,0)),AX$2,)</f>
        <v>0</v>
      </c>
      <c r="AY28" s="140">
        <f ca="1">IF(ISNUMBER(MATCH(DATEVALUE($A28),'recurring1_based on steps'!AY$1:AY$400,0)),AY$2,)</f>
        <v>0</v>
      </c>
    </row>
    <row r="29" spans="1:51" x14ac:dyDescent="0.2">
      <c r="A29" s="29" t="str">
        <f t="shared" ca="1" si="0"/>
        <v>2025-04-22</v>
      </c>
      <c r="B29" s="140">
        <f ca="1">IF(ISNUMBER(MATCH(DATEVALUE($A29),'recurring1_based on steps'!B$1:B$400,0)),B$2,)</f>
        <v>0</v>
      </c>
      <c r="C29" s="140">
        <f ca="1">IF(ISNUMBER(MATCH(DATEVALUE($A29),'recurring1_based on steps'!C$1:C$400,0)),C$2,)</f>
        <v>0</v>
      </c>
      <c r="D29" s="140">
        <f ca="1">IF(ISNUMBER(MATCH(DATEVALUE($A29),'recurring1_based on steps'!D$1:D$400,0)),D$2,)</f>
        <v>0</v>
      </c>
      <c r="E29" s="140">
        <f ca="1">IF(ISNUMBER(MATCH(DATEVALUE($A29),'recurring1_based on steps'!E$1:E$400,0)),E$2,)</f>
        <v>0</v>
      </c>
      <c r="F29" s="140">
        <f ca="1">IF(ISNUMBER(MATCH(DATEVALUE($A29),'recurring1_based on steps'!F$1:F$400,0)),F$2,)</f>
        <v>0</v>
      </c>
      <c r="G29" s="140">
        <f ca="1">IF(ISNUMBER(MATCH(DATEVALUE($A29),'recurring1_based on steps'!G$1:G$400,0)),G$2,)</f>
        <v>0</v>
      </c>
      <c r="H29" s="140">
        <f ca="1">IF(ISNUMBER(MATCH(DATEVALUE($A29),'recurring1_based on steps'!H$1:H$400,0)),H$2,)</f>
        <v>0</v>
      </c>
      <c r="I29" s="140">
        <f ca="1">IF(ISNUMBER(MATCH(DATEVALUE($A29),'recurring1_based on steps'!I$1:I$400,0)),I$2,)</f>
        <v>0</v>
      </c>
      <c r="J29" s="140">
        <f ca="1">IF(ISNUMBER(MATCH(DATEVALUE($A29),'recurring1_based on steps'!J$1:J$400,0)),J$2,)</f>
        <v>0</v>
      </c>
      <c r="K29" s="140">
        <f ca="1">IF(ISNUMBER(MATCH(DATEVALUE($A29),'recurring1_based on steps'!K$1:K$400,0)),K$2,)</f>
        <v>0</v>
      </c>
      <c r="L29" s="140">
        <f ca="1">IF(ISNUMBER(MATCH(DATEVALUE($A29),'recurring1_based on steps'!L$1:L$400,0)),L$2,)</f>
        <v>0</v>
      </c>
      <c r="M29" s="140">
        <f ca="1">IF(ISNUMBER(MATCH(DATEVALUE($A29),'recurring1_based on steps'!M$1:M$400,0)),M$2,)</f>
        <v>0</v>
      </c>
      <c r="N29" s="140">
        <f ca="1">IF(ISNUMBER(MATCH(DATEVALUE($A29),'recurring1_based on steps'!N$1:N$400,0)),N$2,)</f>
        <v>0</v>
      </c>
      <c r="O29" s="140">
        <f ca="1">IF(ISNUMBER(MATCH(DATEVALUE($A29),'recurring1_based on steps'!O$1:O$400,0)),O$2,)</f>
        <v>0</v>
      </c>
      <c r="P29" s="140">
        <f ca="1">IF(ISNUMBER(MATCH(DATEVALUE($A29),'recurring1_based on steps'!P$1:P$400,0)),P$2,)</f>
        <v>0</v>
      </c>
      <c r="Q29" s="140">
        <f ca="1">IF(ISNUMBER(MATCH(DATEVALUE($A29),'recurring1_based on steps'!Q$1:Q$400,0)),Q$2,)</f>
        <v>0</v>
      </c>
      <c r="R29" s="140">
        <f ca="1">IF(ISNUMBER(MATCH(DATEVALUE($A29),'recurring1_based on steps'!R$1:R$400,0)),R$2,)</f>
        <v>0</v>
      </c>
      <c r="S29" s="140">
        <f ca="1">IF(ISNUMBER(MATCH(DATEVALUE($A29),'recurring1_based on steps'!S$1:S$400,0)),S$2,)</f>
        <v>0</v>
      </c>
      <c r="T29" s="140">
        <f ca="1">IF(ISNUMBER(MATCH(DATEVALUE($A29),'recurring1_based on steps'!T$1:T$400,0)),T$2,)</f>
        <v>0</v>
      </c>
      <c r="U29" s="140">
        <f ca="1">IF(ISNUMBER(MATCH(DATEVALUE($A29),'recurring1_based on steps'!U$1:U$400,0)),U$2,)</f>
        <v>0</v>
      </c>
      <c r="V29" s="140">
        <f ca="1">IF(ISNUMBER(MATCH(DATEVALUE($A29),'recurring1_based on steps'!V$1:V$400,0)),V$2,)</f>
        <v>0</v>
      </c>
      <c r="W29" s="140">
        <f ca="1">IF(ISNUMBER(MATCH(DATEVALUE($A29),'recurring1_based on steps'!W$1:W$400,0)),W$2,)</f>
        <v>0</v>
      </c>
      <c r="X29" s="140">
        <f ca="1">IF(ISNUMBER(MATCH(DATEVALUE($A29),'recurring1_based on steps'!X$1:X$400,0)),X$2,)</f>
        <v>0</v>
      </c>
      <c r="Y29" s="140">
        <f ca="1">IF(ISNUMBER(MATCH(DATEVALUE($A29),'recurring1_based on steps'!Y$1:Y$400,0)),Y$2,)</f>
        <v>0</v>
      </c>
      <c r="Z29" s="140">
        <f ca="1">IF(ISNUMBER(MATCH(DATEVALUE($A29),'recurring1_based on steps'!Z$1:Z$400,0)),Z$2,)</f>
        <v>0</v>
      </c>
      <c r="AA29" s="140">
        <f ca="1">IF(ISNUMBER(MATCH(DATEVALUE($A29),'recurring1_based on steps'!AA$1:AA$400,0)),AA$2,)</f>
        <v>0</v>
      </c>
      <c r="AB29" s="140">
        <f ca="1">IF(ISNUMBER(MATCH(DATEVALUE($A29),'recurring1_based on steps'!AB$1:AB$400,0)),AB$2,)</f>
        <v>5.5401662049861494E-2</v>
      </c>
      <c r="AC29" s="140">
        <f ca="1">IF(ISNUMBER(MATCH(DATEVALUE($A29),'recurring1_based on steps'!AC$1:AC$400,0)),AC$2,)</f>
        <v>0</v>
      </c>
      <c r="AD29" s="140">
        <f ca="1">IF(ISNUMBER(MATCH(DATEVALUE($A29),'recurring1_based on steps'!AD$1:AD$400,0)),AD$2,)</f>
        <v>0</v>
      </c>
      <c r="AE29" s="140">
        <f ca="1">IF(ISNUMBER(MATCH(DATEVALUE($A29),'recurring1_based on steps'!AE$1:AE$400,0)),AE$2,)</f>
        <v>0</v>
      </c>
      <c r="AF29" s="140">
        <f ca="1">IF(ISNUMBER(MATCH(DATEVALUE($A29),'recurring1_based on steps'!AF$1:AF$400,0)),AF$2,)</f>
        <v>0</v>
      </c>
      <c r="AG29" s="140">
        <f ca="1">IF(ISNUMBER(MATCH(DATEVALUE($A29),'recurring1_based on steps'!AG$1:AG$400,0)),AG$2,)</f>
        <v>0</v>
      </c>
      <c r="AH29" s="140">
        <f ca="1">IF(ISNUMBER(MATCH(DATEVALUE($A29),'recurring1_based on steps'!AH$1:AH$400,0)),AH$2,)</f>
        <v>0</v>
      </c>
      <c r="AI29" s="140">
        <f ca="1">IF(ISNUMBER(MATCH(DATEVALUE($A29),'recurring1_based on steps'!AI$1:AI$400,0)),AI$2,)</f>
        <v>0</v>
      </c>
      <c r="AJ29" s="140">
        <f ca="1">IF(ISNUMBER(MATCH(DATEVALUE($A29),'recurring1_based on steps'!AJ$1:AJ$400,0)),AJ$2,)</f>
        <v>0</v>
      </c>
      <c r="AK29" s="140">
        <f ca="1">IF(ISNUMBER(MATCH(DATEVALUE($A29),'recurring1_based on steps'!AK$1:AK$400,0)),AK$2,)</f>
        <v>0</v>
      </c>
      <c r="AL29" s="140">
        <f ca="1">IF(ISNUMBER(MATCH(DATEVALUE($A29),'recurring1_based on steps'!AL$1:AL$400,0)),AL$2,)</f>
        <v>0</v>
      </c>
      <c r="AM29" s="140">
        <f ca="1">IF(ISNUMBER(MATCH(DATEVALUE($A29),'recurring1_based on steps'!AM$1:AM$400,0)),AM$2,)</f>
        <v>0</v>
      </c>
      <c r="AN29" s="140">
        <f ca="1">IF(ISNUMBER(MATCH(DATEVALUE($A29),'recurring1_based on steps'!AN$1:AN$400,0)),AN$2,)</f>
        <v>0</v>
      </c>
      <c r="AO29" s="140">
        <f ca="1">IF(ISNUMBER(MATCH(DATEVALUE($A29),'recurring1_based on steps'!AO$1:AO$400,0)),AO$2,)</f>
        <v>0</v>
      </c>
      <c r="AP29" s="140">
        <f ca="1">IF(ISNUMBER(MATCH(DATEVALUE($A29),'recurring1_based on steps'!AP$1:AP$400,0)),AP$2,)</f>
        <v>0</v>
      </c>
      <c r="AQ29" s="140">
        <f ca="1">IF(ISNUMBER(MATCH(DATEVALUE($A29),'recurring1_based on steps'!AQ$1:AQ$400,0)),AQ$2,)</f>
        <v>0</v>
      </c>
      <c r="AR29" s="140">
        <f ca="1">IF(ISNUMBER(MATCH(DATEVALUE($A29),'recurring1_based on steps'!AR$1:AR$400,0)),AR$2,)</f>
        <v>0</v>
      </c>
      <c r="AS29" s="140">
        <f ca="1">IF(ISNUMBER(MATCH(DATEVALUE($A29),'recurring1_based on steps'!AS$1:AS$400,0)),AS$2,)</f>
        <v>0</v>
      </c>
      <c r="AT29" s="140">
        <f ca="1">IF(ISNUMBER(MATCH(DATEVALUE($A29),'recurring1_based on steps'!AT$1:AT$400,0)),AT$2,)</f>
        <v>0</v>
      </c>
      <c r="AU29" s="140">
        <f ca="1">IF(ISNUMBER(MATCH(DATEVALUE($A29),'recurring1_based on steps'!AU$1:AU$400,0)),AU$2,)</f>
        <v>0</v>
      </c>
      <c r="AV29" s="140">
        <f ca="1">IF(ISNUMBER(MATCH(DATEVALUE($A29),'recurring1_based on steps'!AV$1:AV$400,0)),AV$2,)</f>
        <v>0</v>
      </c>
      <c r="AW29" s="140">
        <f ca="1">IF(ISNUMBER(MATCH(DATEVALUE($A29),'recurring1_based on steps'!AW$1:AW$400,0)),AW$2,)</f>
        <v>0</v>
      </c>
      <c r="AX29" s="140">
        <f ca="1">IF(ISNUMBER(MATCH(DATEVALUE($A29),'recurring1_based on steps'!AX$1:AX$400,0)),AX$2,)</f>
        <v>0</v>
      </c>
      <c r="AY29" s="140">
        <f ca="1">IF(ISNUMBER(MATCH(DATEVALUE($A29),'recurring1_based on steps'!AY$1:AY$400,0)),AY$2,)</f>
        <v>0</v>
      </c>
    </row>
    <row r="30" spans="1:51" x14ac:dyDescent="0.2">
      <c r="A30" s="29" t="str">
        <f t="shared" ca="1" si="0"/>
        <v>2025-04-23</v>
      </c>
      <c r="B30" s="140">
        <f ca="1">IF(ISNUMBER(MATCH(DATEVALUE($A30),'recurring1_based on steps'!B$1:B$400,0)),B$2,)</f>
        <v>0</v>
      </c>
      <c r="C30" s="140">
        <f ca="1">IF(ISNUMBER(MATCH(DATEVALUE($A30),'recurring1_based on steps'!C$1:C$400,0)),C$2,)</f>
        <v>0</v>
      </c>
      <c r="D30" s="140">
        <f ca="1">IF(ISNUMBER(MATCH(DATEVALUE($A30),'recurring1_based on steps'!D$1:D$400,0)),D$2,)</f>
        <v>0</v>
      </c>
      <c r="E30" s="140">
        <f ca="1">IF(ISNUMBER(MATCH(DATEVALUE($A30),'recurring1_based on steps'!E$1:E$400,0)),E$2,)</f>
        <v>0</v>
      </c>
      <c r="F30" s="140">
        <f ca="1">IF(ISNUMBER(MATCH(DATEVALUE($A30),'recurring1_based on steps'!F$1:F$400,0)),F$2,)</f>
        <v>0</v>
      </c>
      <c r="G30" s="140">
        <f ca="1">IF(ISNUMBER(MATCH(DATEVALUE($A30),'recurring1_based on steps'!G$1:G$400,0)),G$2,)</f>
        <v>0</v>
      </c>
      <c r="H30" s="140">
        <f ca="1">IF(ISNUMBER(MATCH(DATEVALUE($A30),'recurring1_based on steps'!H$1:H$400,0)),H$2,)</f>
        <v>0</v>
      </c>
      <c r="I30" s="140">
        <f ca="1">IF(ISNUMBER(MATCH(DATEVALUE($A30),'recurring1_based on steps'!I$1:I$400,0)),I$2,)</f>
        <v>0</v>
      </c>
      <c r="J30" s="140">
        <f ca="1">IF(ISNUMBER(MATCH(DATEVALUE($A30),'recurring1_based on steps'!J$1:J$400,0)),J$2,)</f>
        <v>0</v>
      </c>
      <c r="K30" s="140">
        <f ca="1">IF(ISNUMBER(MATCH(DATEVALUE($A30),'recurring1_based on steps'!K$1:K$400,0)),K$2,)</f>
        <v>0</v>
      </c>
      <c r="L30" s="140">
        <f ca="1">IF(ISNUMBER(MATCH(DATEVALUE($A30),'recurring1_based on steps'!L$1:L$400,0)),L$2,)</f>
        <v>0</v>
      </c>
      <c r="M30" s="140">
        <f ca="1">IF(ISNUMBER(MATCH(DATEVALUE($A30),'recurring1_based on steps'!M$1:M$400,0)),M$2,)</f>
        <v>0</v>
      </c>
      <c r="N30" s="140">
        <f ca="1">IF(ISNUMBER(MATCH(DATEVALUE($A30),'recurring1_based on steps'!N$1:N$400,0)),N$2,)</f>
        <v>0</v>
      </c>
      <c r="O30" s="140">
        <f ca="1">IF(ISNUMBER(MATCH(DATEVALUE($A30),'recurring1_based on steps'!O$1:O$400,0)),O$2,)</f>
        <v>0</v>
      </c>
      <c r="P30" s="140">
        <f ca="1">IF(ISNUMBER(MATCH(DATEVALUE($A30),'recurring1_based on steps'!P$1:P$400,0)),P$2,)</f>
        <v>0</v>
      </c>
      <c r="Q30" s="140">
        <f ca="1">IF(ISNUMBER(MATCH(DATEVALUE($A30),'recurring1_based on steps'!Q$1:Q$400,0)),Q$2,)</f>
        <v>0</v>
      </c>
      <c r="R30" s="140">
        <f ca="1">IF(ISNUMBER(MATCH(DATEVALUE($A30),'recurring1_based on steps'!R$1:R$400,0)),R$2,)</f>
        <v>0</v>
      </c>
      <c r="S30" s="140">
        <f ca="1">IF(ISNUMBER(MATCH(DATEVALUE($A30),'recurring1_based on steps'!S$1:S$400,0)),S$2,)</f>
        <v>0</v>
      </c>
      <c r="T30" s="140">
        <f ca="1">IF(ISNUMBER(MATCH(DATEVALUE($A30),'recurring1_based on steps'!T$1:T$400,0)),T$2,)</f>
        <v>0</v>
      </c>
      <c r="U30" s="140">
        <f ca="1">IF(ISNUMBER(MATCH(DATEVALUE($A30),'recurring1_based on steps'!U$1:U$400,0)),U$2,)</f>
        <v>0</v>
      </c>
      <c r="V30" s="140">
        <f ca="1">IF(ISNUMBER(MATCH(DATEVALUE($A30),'recurring1_based on steps'!V$1:V$400,0)),V$2,)</f>
        <v>0</v>
      </c>
      <c r="W30" s="140">
        <f ca="1">IF(ISNUMBER(MATCH(DATEVALUE($A30),'recurring1_based on steps'!W$1:W$400,0)),W$2,)</f>
        <v>0</v>
      </c>
      <c r="X30" s="140">
        <f ca="1">IF(ISNUMBER(MATCH(DATEVALUE($A30),'recurring1_based on steps'!X$1:X$400,0)),X$2,)</f>
        <v>0</v>
      </c>
      <c r="Y30" s="140">
        <f ca="1">IF(ISNUMBER(MATCH(DATEVALUE($A30),'recurring1_based on steps'!Y$1:Y$400,0)),Y$2,)</f>
        <v>0</v>
      </c>
      <c r="Z30" s="140">
        <f ca="1">IF(ISNUMBER(MATCH(DATEVALUE($A30),'recurring1_based on steps'!Z$1:Z$400,0)),Z$2,)</f>
        <v>0</v>
      </c>
      <c r="AA30" s="140">
        <f ca="1">IF(ISNUMBER(MATCH(DATEVALUE($A30),'recurring1_based on steps'!AA$1:AA$400,0)),AA$2,)</f>
        <v>0</v>
      </c>
      <c r="AB30" s="140">
        <f ca="1">IF(ISNUMBER(MATCH(DATEVALUE($A30),'recurring1_based on steps'!AB$1:AB$400,0)),AB$2,)</f>
        <v>5.5401662049861494E-2</v>
      </c>
      <c r="AC30" s="140">
        <f ca="1">IF(ISNUMBER(MATCH(DATEVALUE($A30),'recurring1_based on steps'!AC$1:AC$400,0)),AC$2,)</f>
        <v>0</v>
      </c>
      <c r="AD30" s="140">
        <f ca="1">IF(ISNUMBER(MATCH(DATEVALUE($A30),'recurring1_based on steps'!AD$1:AD$400,0)),AD$2,)</f>
        <v>0</v>
      </c>
      <c r="AE30" s="140">
        <f ca="1">IF(ISNUMBER(MATCH(DATEVALUE($A30),'recurring1_based on steps'!AE$1:AE$400,0)),AE$2,)</f>
        <v>0</v>
      </c>
      <c r="AF30" s="140">
        <f ca="1">IF(ISNUMBER(MATCH(DATEVALUE($A30),'recurring1_based on steps'!AF$1:AF$400,0)),AF$2,)</f>
        <v>0</v>
      </c>
      <c r="AG30" s="140">
        <f ca="1">IF(ISNUMBER(MATCH(DATEVALUE($A30),'recurring1_based on steps'!AG$1:AG$400,0)),AG$2,)</f>
        <v>0</v>
      </c>
      <c r="AH30" s="140">
        <f ca="1">IF(ISNUMBER(MATCH(DATEVALUE($A30),'recurring1_based on steps'!AH$1:AH$400,0)),AH$2,)</f>
        <v>0</v>
      </c>
      <c r="AI30" s="140">
        <f ca="1">IF(ISNUMBER(MATCH(DATEVALUE($A30),'recurring1_based on steps'!AI$1:AI$400,0)),AI$2,)</f>
        <v>0</v>
      </c>
      <c r="AJ30" s="140">
        <f ca="1">IF(ISNUMBER(MATCH(DATEVALUE($A30),'recurring1_based on steps'!AJ$1:AJ$400,0)),AJ$2,)</f>
        <v>0</v>
      </c>
      <c r="AK30" s="140">
        <f ca="1">IF(ISNUMBER(MATCH(DATEVALUE($A30),'recurring1_based on steps'!AK$1:AK$400,0)),AK$2,)</f>
        <v>0</v>
      </c>
      <c r="AL30" s="140">
        <f ca="1">IF(ISNUMBER(MATCH(DATEVALUE($A30),'recurring1_based on steps'!AL$1:AL$400,0)),AL$2,)</f>
        <v>0</v>
      </c>
      <c r="AM30" s="140">
        <f ca="1">IF(ISNUMBER(MATCH(DATEVALUE($A30),'recurring1_based on steps'!AM$1:AM$400,0)),AM$2,)</f>
        <v>0</v>
      </c>
      <c r="AN30" s="140">
        <f ca="1">IF(ISNUMBER(MATCH(DATEVALUE($A30),'recurring1_based on steps'!AN$1:AN$400,0)),AN$2,)</f>
        <v>0</v>
      </c>
      <c r="AO30" s="140">
        <f ca="1">IF(ISNUMBER(MATCH(DATEVALUE($A30),'recurring1_based on steps'!AO$1:AO$400,0)),AO$2,)</f>
        <v>0</v>
      </c>
      <c r="AP30" s="140">
        <f ca="1">IF(ISNUMBER(MATCH(DATEVALUE($A30),'recurring1_based on steps'!AP$1:AP$400,0)),AP$2,)</f>
        <v>0</v>
      </c>
      <c r="AQ30" s="140">
        <f ca="1">IF(ISNUMBER(MATCH(DATEVALUE($A30),'recurring1_based on steps'!AQ$1:AQ$400,0)),AQ$2,)</f>
        <v>0</v>
      </c>
      <c r="AR30" s="140">
        <f ca="1">IF(ISNUMBER(MATCH(DATEVALUE($A30),'recurring1_based on steps'!AR$1:AR$400,0)),AR$2,)</f>
        <v>0</v>
      </c>
      <c r="AS30" s="140">
        <f ca="1">IF(ISNUMBER(MATCH(DATEVALUE($A30),'recurring1_based on steps'!AS$1:AS$400,0)),AS$2,)</f>
        <v>0</v>
      </c>
      <c r="AT30" s="140">
        <f ca="1">IF(ISNUMBER(MATCH(DATEVALUE($A30),'recurring1_based on steps'!AT$1:AT$400,0)),AT$2,)</f>
        <v>0</v>
      </c>
      <c r="AU30" s="140">
        <f ca="1">IF(ISNUMBER(MATCH(DATEVALUE($A30),'recurring1_based on steps'!AU$1:AU$400,0)),AU$2,)</f>
        <v>0</v>
      </c>
      <c r="AV30" s="140">
        <f ca="1">IF(ISNUMBER(MATCH(DATEVALUE($A30),'recurring1_based on steps'!AV$1:AV$400,0)),AV$2,)</f>
        <v>0</v>
      </c>
      <c r="AW30" s="140">
        <f ca="1">IF(ISNUMBER(MATCH(DATEVALUE($A30),'recurring1_based on steps'!AW$1:AW$400,0)),AW$2,)</f>
        <v>0</v>
      </c>
      <c r="AX30" s="140">
        <f ca="1">IF(ISNUMBER(MATCH(DATEVALUE($A30),'recurring1_based on steps'!AX$1:AX$400,0)),AX$2,)</f>
        <v>0</v>
      </c>
      <c r="AY30" s="140">
        <f ca="1">IF(ISNUMBER(MATCH(DATEVALUE($A30),'recurring1_based on steps'!AY$1:AY$400,0)),AY$2,)</f>
        <v>0</v>
      </c>
    </row>
    <row r="31" spans="1:51" x14ac:dyDescent="0.2">
      <c r="A31" s="29" t="str">
        <f t="shared" ca="1" si="0"/>
        <v>2025-04-24</v>
      </c>
      <c r="B31" s="140">
        <f ca="1">IF(ISNUMBER(MATCH(DATEVALUE($A31),'recurring1_based on steps'!B$1:B$400,0)),B$2,)</f>
        <v>0</v>
      </c>
      <c r="C31" s="140">
        <f ca="1">IF(ISNUMBER(MATCH(DATEVALUE($A31),'recurring1_based on steps'!C$1:C$400,0)),C$2,)</f>
        <v>0</v>
      </c>
      <c r="D31" s="140">
        <f ca="1">IF(ISNUMBER(MATCH(DATEVALUE($A31),'recurring1_based on steps'!D$1:D$400,0)),D$2,)</f>
        <v>0</v>
      </c>
      <c r="E31" s="140">
        <f ca="1">IF(ISNUMBER(MATCH(DATEVALUE($A31),'recurring1_based on steps'!E$1:E$400,0)),E$2,)</f>
        <v>0</v>
      </c>
      <c r="F31" s="140">
        <f ca="1">IF(ISNUMBER(MATCH(DATEVALUE($A31),'recurring1_based on steps'!F$1:F$400,0)),F$2,)</f>
        <v>0</v>
      </c>
      <c r="G31" s="140">
        <f ca="1">IF(ISNUMBER(MATCH(DATEVALUE($A31),'recurring1_based on steps'!G$1:G$400,0)),G$2,)</f>
        <v>0</v>
      </c>
      <c r="H31" s="140">
        <f ca="1">IF(ISNUMBER(MATCH(DATEVALUE($A31),'recurring1_based on steps'!H$1:H$400,0)),H$2,)</f>
        <v>0</v>
      </c>
      <c r="I31" s="140">
        <f ca="1">IF(ISNUMBER(MATCH(DATEVALUE($A31),'recurring1_based on steps'!I$1:I$400,0)),I$2,)</f>
        <v>0</v>
      </c>
      <c r="J31" s="140">
        <f ca="1">IF(ISNUMBER(MATCH(DATEVALUE($A31),'recurring1_based on steps'!J$1:J$400,0)),J$2,)</f>
        <v>0</v>
      </c>
      <c r="K31" s="140">
        <f ca="1">IF(ISNUMBER(MATCH(DATEVALUE($A31),'recurring1_based on steps'!K$1:K$400,0)),K$2,)</f>
        <v>0</v>
      </c>
      <c r="L31" s="140">
        <f ca="1">IF(ISNUMBER(MATCH(DATEVALUE($A31),'recurring1_based on steps'!L$1:L$400,0)),L$2,)</f>
        <v>0</v>
      </c>
      <c r="M31" s="140">
        <f ca="1">IF(ISNUMBER(MATCH(DATEVALUE($A31),'recurring1_based on steps'!M$1:M$400,0)),M$2,)</f>
        <v>0</v>
      </c>
      <c r="N31" s="140">
        <f ca="1">IF(ISNUMBER(MATCH(DATEVALUE($A31),'recurring1_based on steps'!N$1:N$400,0)),N$2,)</f>
        <v>0</v>
      </c>
      <c r="O31" s="140">
        <f ca="1">IF(ISNUMBER(MATCH(DATEVALUE($A31),'recurring1_based on steps'!O$1:O$400,0)),O$2,)</f>
        <v>0</v>
      </c>
      <c r="P31" s="140">
        <f ca="1">IF(ISNUMBER(MATCH(DATEVALUE($A31),'recurring1_based on steps'!P$1:P$400,0)),P$2,)</f>
        <v>0</v>
      </c>
      <c r="Q31" s="140">
        <f ca="1">IF(ISNUMBER(MATCH(DATEVALUE($A31),'recurring1_based on steps'!Q$1:Q$400,0)),Q$2,)</f>
        <v>0</v>
      </c>
      <c r="R31" s="140">
        <f ca="1">IF(ISNUMBER(MATCH(DATEVALUE($A31),'recurring1_based on steps'!R$1:R$400,0)),R$2,)</f>
        <v>0</v>
      </c>
      <c r="S31" s="140">
        <f ca="1">IF(ISNUMBER(MATCH(DATEVALUE($A31),'recurring1_based on steps'!S$1:S$400,0)),S$2,)</f>
        <v>0</v>
      </c>
      <c r="T31" s="140">
        <f ca="1">IF(ISNUMBER(MATCH(DATEVALUE($A31),'recurring1_based on steps'!T$1:T$400,0)),T$2,)</f>
        <v>0</v>
      </c>
      <c r="U31" s="140">
        <f ca="1">IF(ISNUMBER(MATCH(DATEVALUE($A31),'recurring1_based on steps'!U$1:U$400,0)),U$2,)</f>
        <v>0</v>
      </c>
      <c r="V31" s="140">
        <f ca="1">IF(ISNUMBER(MATCH(DATEVALUE($A31),'recurring1_based on steps'!V$1:V$400,0)),V$2,)</f>
        <v>0</v>
      </c>
      <c r="W31" s="140">
        <f ca="1">IF(ISNUMBER(MATCH(DATEVALUE($A31),'recurring1_based on steps'!W$1:W$400,0)),W$2,)</f>
        <v>0</v>
      </c>
      <c r="X31" s="140">
        <f ca="1">IF(ISNUMBER(MATCH(DATEVALUE($A31),'recurring1_based on steps'!X$1:X$400,0)),X$2,)</f>
        <v>0</v>
      </c>
      <c r="Y31" s="140">
        <f ca="1">IF(ISNUMBER(MATCH(DATEVALUE($A31),'recurring1_based on steps'!Y$1:Y$400,0)),Y$2,)</f>
        <v>0</v>
      </c>
      <c r="Z31" s="140">
        <f ca="1">IF(ISNUMBER(MATCH(DATEVALUE($A31),'recurring1_based on steps'!Z$1:Z$400,0)),Z$2,)</f>
        <v>0</v>
      </c>
      <c r="AA31" s="140">
        <f ca="1">IF(ISNUMBER(MATCH(DATEVALUE($A31),'recurring1_based on steps'!AA$1:AA$400,0)),AA$2,)</f>
        <v>0</v>
      </c>
      <c r="AB31" s="140">
        <f ca="1">IF(ISNUMBER(MATCH(DATEVALUE($A31),'recurring1_based on steps'!AB$1:AB$400,0)),AB$2,)</f>
        <v>5.5401662049861494E-2</v>
      </c>
      <c r="AC31" s="140">
        <f ca="1">IF(ISNUMBER(MATCH(DATEVALUE($A31),'recurring1_based on steps'!AC$1:AC$400,0)),AC$2,)</f>
        <v>0</v>
      </c>
      <c r="AD31" s="140">
        <f ca="1">IF(ISNUMBER(MATCH(DATEVALUE($A31),'recurring1_based on steps'!AD$1:AD$400,0)),AD$2,)</f>
        <v>0</v>
      </c>
      <c r="AE31" s="140">
        <f ca="1">IF(ISNUMBER(MATCH(DATEVALUE($A31),'recurring1_based on steps'!AE$1:AE$400,0)),AE$2,)</f>
        <v>0</v>
      </c>
      <c r="AF31" s="140">
        <f ca="1">IF(ISNUMBER(MATCH(DATEVALUE($A31),'recurring1_based on steps'!AF$1:AF$400,0)),AF$2,)</f>
        <v>0</v>
      </c>
      <c r="AG31" s="140">
        <f ca="1">IF(ISNUMBER(MATCH(DATEVALUE($A31),'recurring1_based on steps'!AG$1:AG$400,0)),AG$2,)</f>
        <v>0</v>
      </c>
      <c r="AH31" s="140">
        <f ca="1">IF(ISNUMBER(MATCH(DATEVALUE($A31),'recurring1_based on steps'!AH$1:AH$400,0)),AH$2,)</f>
        <v>0</v>
      </c>
      <c r="AI31" s="140">
        <f ca="1">IF(ISNUMBER(MATCH(DATEVALUE($A31),'recurring1_based on steps'!AI$1:AI$400,0)),AI$2,)</f>
        <v>0</v>
      </c>
      <c r="AJ31" s="140">
        <f ca="1">IF(ISNUMBER(MATCH(DATEVALUE($A31),'recurring1_based on steps'!AJ$1:AJ$400,0)),AJ$2,)</f>
        <v>0</v>
      </c>
      <c r="AK31" s="140">
        <f ca="1">IF(ISNUMBER(MATCH(DATEVALUE($A31),'recurring1_based on steps'!AK$1:AK$400,0)),AK$2,)</f>
        <v>0</v>
      </c>
      <c r="AL31" s="140">
        <f ca="1">IF(ISNUMBER(MATCH(DATEVALUE($A31),'recurring1_based on steps'!AL$1:AL$400,0)),AL$2,)</f>
        <v>0</v>
      </c>
      <c r="AM31" s="140">
        <f ca="1">IF(ISNUMBER(MATCH(DATEVALUE($A31),'recurring1_based on steps'!AM$1:AM$400,0)),AM$2,)</f>
        <v>0</v>
      </c>
      <c r="AN31" s="140">
        <f ca="1">IF(ISNUMBER(MATCH(DATEVALUE($A31),'recurring1_based on steps'!AN$1:AN$400,0)),AN$2,)</f>
        <v>0</v>
      </c>
      <c r="AO31" s="140">
        <f ca="1">IF(ISNUMBER(MATCH(DATEVALUE($A31),'recurring1_based on steps'!AO$1:AO$400,0)),AO$2,)</f>
        <v>0</v>
      </c>
      <c r="AP31" s="140">
        <f ca="1">IF(ISNUMBER(MATCH(DATEVALUE($A31),'recurring1_based on steps'!AP$1:AP$400,0)),AP$2,)</f>
        <v>0</v>
      </c>
      <c r="AQ31" s="140">
        <f ca="1">IF(ISNUMBER(MATCH(DATEVALUE($A31),'recurring1_based on steps'!AQ$1:AQ$400,0)),AQ$2,)</f>
        <v>0</v>
      </c>
      <c r="AR31" s="140">
        <f ca="1">IF(ISNUMBER(MATCH(DATEVALUE($A31),'recurring1_based on steps'!AR$1:AR$400,0)),AR$2,)</f>
        <v>0</v>
      </c>
      <c r="AS31" s="140">
        <f ca="1">IF(ISNUMBER(MATCH(DATEVALUE($A31),'recurring1_based on steps'!AS$1:AS$400,0)),AS$2,)</f>
        <v>0</v>
      </c>
      <c r="AT31" s="140">
        <f ca="1">IF(ISNUMBER(MATCH(DATEVALUE($A31),'recurring1_based on steps'!AT$1:AT$400,0)),AT$2,)</f>
        <v>0</v>
      </c>
      <c r="AU31" s="140">
        <f ca="1">IF(ISNUMBER(MATCH(DATEVALUE($A31),'recurring1_based on steps'!AU$1:AU$400,0)),AU$2,)</f>
        <v>0</v>
      </c>
      <c r="AV31" s="140">
        <f ca="1">IF(ISNUMBER(MATCH(DATEVALUE($A31),'recurring1_based on steps'!AV$1:AV$400,0)),AV$2,)</f>
        <v>0</v>
      </c>
      <c r="AW31" s="140">
        <f ca="1">IF(ISNUMBER(MATCH(DATEVALUE($A31),'recurring1_based on steps'!AW$1:AW$400,0)),AW$2,)</f>
        <v>0</v>
      </c>
      <c r="AX31" s="140">
        <f ca="1">IF(ISNUMBER(MATCH(DATEVALUE($A31),'recurring1_based on steps'!AX$1:AX$400,0)),AX$2,)</f>
        <v>0</v>
      </c>
      <c r="AY31" s="140">
        <f ca="1">IF(ISNUMBER(MATCH(DATEVALUE($A31),'recurring1_based on steps'!AY$1:AY$400,0)),AY$2,)</f>
        <v>0</v>
      </c>
    </row>
    <row r="32" spans="1:51" x14ac:dyDescent="0.2">
      <c r="A32" s="29" t="str">
        <f t="shared" ca="1" si="0"/>
        <v>2025-04-25</v>
      </c>
      <c r="B32" s="140">
        <f ca="1">IF(ISNUMBER(MATCH(DATEVALUE($A32),'recurring1_based on steps'!B$1:B$400,0)),B$2,)</f>
        <v>0</v>
      </c>
      <c r="C32" s="140">
        <f ca="1">IF(ISNUMBER(MATCH(DATEVALUE($A32),'recurring1_based on steps'!C$1:C$400,0)),C$2,)</f>
        <v>0</v>
      </c>
      <c r="D32" s="140">
        <f ca="1">IF(ISNUMBER(MATCH(DATEVALUE($A32),'recurring1_based on steps'!D$1:D$400,0)),D$2,)</f>
        <v>0</v>
      </c>
      <c r="E32" s="140">
        <f ca="1">IF(ISNUMBER(MATCH(DATEVALUE($A32),'recurring1_based on steps'!E$1:E$400,0)),E$2,)</f>
        <v>0</v>
      </c>
      <c r="F32" s="140">
        <f ca="1">IF(ISNUMBER(MATCH(DATEVALUE($A32),'recurring1_based on steps'!F$1:F$400,0)),F$2,)</f>
        <v>0</v>
      </c>
      <c r="G32" s="140">
        <f ca="1">IF(ISNUMBER(MATCH(DATEVALUE($A32),'recurring1_based on steps'!G$1:G$400,0)),G$2,)</f>
        <v>0</v>
      </c>
      <c r="H32" s="140">
        <f ca="1">IF(ISNUMBER(MATCH(DATEVALUE($A32),'recurring1_based on steps'!H$1:H$400,0)),H$2,)</f>
        <v>0</v>
      </c>
      <c r="I32" s="140">
        <f ca="1">IF(ISNUMBER(MATCH(DATEVALUE($A32),'recurring1_based on steps'!I$1:I$400,0)),I$2,)</f>
        <v>0</v>
      </c>
      <c r="J32" s="140">
        <f ca="1">IF(ISNUMBER(MATCH(DATEVALUE($A32),'recurring1_based on steps'!J$1:J$400,0)),J$2,)</f>
        <v>0</v>
      </c>
      <c r="K32" s="140">
        <f ca="1">IF(ISNUMBER(MATCH(DATEVALUE($A32),'recurring1_based on steps'!K$1:K$400,0)),K$2,)</f>
        <v>0</v>
      </c>
      <c r="L32" s="140">
        <f ca="1">IF(ISNUMBER(MATCH(DATEVALUE($A32),'recurring1_based on steps'!L$1:L$400,0)),L$2,)</f>
        <v>0</v>
      </c>
      <c r="M32" s="140">
        <f ca="1">IF(ISNUMBER(MATCH(DATEVALUE($A32),'recurring1_based on steps'!M$1:M$400,0)),M$2,)</f>
        <v>0</v>
      </c>
      <c r="N32" s="140">
        <f ca="1">IF(ISNUMBER(MATCH(DATEVALUE($A32),'recurring1_based on steps'!N$1:N$400,0)),N$2,)</f>
        <v>0</v>
      </c>
      <c r="O32" s="140">
        <f ca="1">IF(ISNUMBER(MATCH(DATEVALUE($A32),'recurring1_based on steps'!O$1:O$400,0)),O$2,)</f>
        <v>0</v>
      </c>
      <c r="P32" s="140">
        <f ca="1">IF(ISNUMBER(MATCH(DATEVALUE($A32),'recurring1_based on steps'!P$1:P$400,0)),P$2,)</f>
        <v>0</v>
      </c>
      <c r="Q32" s="140">
        <f ca="1">IF(ISNUMBER(MATCH(DATEVALUE($A32),'recurring1_based on steps'!Q$1:Q$400,0)),Q$2,)</f>
        <v>0</v>
      </c>
      <c r="R32" s="140">
        <f ca="1">IF(ISNUMBER(MATCH(DATEVALUE($A32),'recurring1_based on steps'!R$1:R$400,0)),R$2,)</f>
        <v>0</v>
      </c>
      <c r="S32" s="140">
        <f ca="1">IF(ISNUMBER(MATCH(DATEVALUE($A32),'recurring1_based on steps'!S$1:S$400,0)),S$2,)</f>
        <v>0</v>
      </c>
      <c r="T32" s="140">
        <f ca="1">IF(ISNUMBER(MATCH(DATEVALUE($A32),'recurring1_based on steps'!T$1:T$400,0)),T$2,)</f>
        <v>0</v>
      </c>
      <c r="U32" s="140">
        <f ca="1">IF(ISNUMBER(MATCH(DATEVALUE($A32),'recurring1_based on steps'!U$1:U$400,0)),U$2,)</f>
        <v>0</v>
      </c>
      <c r="V32" s="140">
        <f ca="1">IF(ISNUMBER(MATCH(DATEVALUE($A32),'recurring1_based on steps'!V$1:V$400,0)),V$2,)</f>
        <v>0</v>
      </c>
      <c r="W32" s="140">
        <f ca="1">IF(ISNUMBER(MATCH(DATEVALUE($A32),'recurring1_based on steps'!W$1:W$400,0)),W$2,)</f>
        <v>0</v>
      </c>
      <c r="X32" s="140">
        <f ca="1">IF(ISNUMBER(MATCH(DATEVALUE($A32),'recurring1_based on steps'!X$1:X$400,0)),X$2,)</f>
        <v>0</v>
      </c>
      <c r="Y32" s="140">
        <f ca="1">IF(ISNUMBER(MATCH(DATEVALUE($A32),'recurring1_based on steps'!Y$1:Y$400,0)),Y$2,)</f>
        <v>0</v>
      </c>
      <c r="Z32" s="140">
        <f ca="1">IF(ISNUMBER(MATCH(DATEVALUE($A32),'recurring1_based on steps'!Z$1:Z$400,0)),Z$2,)</f>
        <v>0</v>
      </c>
      <c r="AA32" s="140">
        <f ca="1">IF(ISNUMBER(MATCH(DATEVALUE($A32),'recurring1_based on steps'!AA$1:AA$400,0)),AA$2,)</f>
        <v>0</v>
      </c>
      <c r="AB32" s="140">
        <f ca="1">IF(ISNUMBER(MATCH(DATEVALUE($A32),'recurring1_based on steps'!AB$1:AB$400,0)),AB$2,)</f>
        <v>5.5401662049861494E-2</v>
      </c>
      <c r="AC32" s="140">
        <f ca="1">IF(ISNUMBER(MATCH(DATEVALUE($A32),'recurring1_based on steps'!AC$1:AC$400,0)),AC$2,)</f>
        <v>0</v>
      </c>
      <c r="AD32" s="140">
        <f ca="1">IF(ISNUMBER(MATCH(DATEVALUE($A32),'recurring1_based on steps'!AD$1:AD$400,0)),AD$2,)</f>
        <v>0</v>
      </c>
      <c r="AE32" s="140">
        <f ca="1">IF(ISNUMBER(MATCH(DATEVALUE($A32),'recurring1_based on steps'!AE$1:AE$400,0)),AE$2,)</f>
        <v>0</v>
      </c>
      <c r="AF32" s="140">
        <f ca="1">IF(ISNUMBER(MATCH(DATEVALUE($A32),'recurring1_based on steps'!AF$1:AF$400,0)),AF$2,)</f>
        <v>0</v>
      </c>
      <c r="AG32" s="140">
        <f ca="1">IF(ISNUMBER(MATCH(DATEVALUE($A32),'recurring1_based on steps'!AG$1:AG$400,0)),AG$2,)</f>
        <v>0</v>
      </c>
      <c r="AH32" s="140">
        <f ca="1">IF(ISNUMBER(MATCH(DATEVALUE($A32),'recurring1_based on steps'!AH$1:AH$400,0)),AH$2,)</f>
        <v>0</v>
      </c>
      <c r="AI32" s="140">
        <f ca="1">IF(ISNUMBER(MATCH(DATEVALUE($A32),'recurring1_based on steps'!AI$1:AI$400,0)),AI$2,)</f>
        <v>0</v>
      </c>
      <c r="AJ32" s="140">
        <f ca="1">IF(ISNUMBER(MATCH(DATEVALUE($A32),'recurring1_based on steps'!AJ$1:AJ$400,0)),AJ$2,)</f>
        <v>0</v>
      </c>
      <c r="AK32" s="140">
        <f ca="1">IF(ISNUMBER(MATCH(DATEVALUE($A32),'recurring1_based on steps'!AK$1:AK$400,0)),AK$2,)</f>
        <v>0</v>
      </c>
      <c r="AL32" s="140">
        <f ca="1">IF(ISNUMBER(MATCH(DATEVALUE($A32),'recurring1_based on steps'!AL$1:AL$400,0)),AL$2,)</f>
        <v>0</v>
      </c>
      <c r="AM32" s="140">
        <f ca="1">IF(ISNUMBER(MATCH(DATEVALUE($A32),'recurring1_based on steps'!AM$1:AM$400,0)),AM$2,)</f>
        <v>0</v>
      </c>
      <c r="AN32" s="140">
        <f ca="1">IF(ISNUMBER(MATCH(DATEVALUE($A32),'recurring1_based on steps'!AN$1:AN$400,0)),AN$2,)</f>
        <v>0</v>
      </c>
      <c r="AO32" s="140">
        <f ca="1">IF(ISNUMBER(MATCH(DATEVALUE($A32),'recurring1_based on steps'!AO$1:AO$400,0)),AO$2,)</f>
        <v>0</v>
      </c>
      <c r="AP32" s="140">
        <f ca="1">IF(ISNUMBER(MATCH(DATEVALUE($A32),'recurring1_based on steps'!AP$1:AP$400,0)),AP$2,)</f>
        <v>0</v>
      </c>
      <c r="AQ32" s="140">
        <f ca="1">IF(ISNUMBER(MATCH(DATEVALUE($A32),'recurring1_based on steps'!AQ$1:AQ$400,0)),AQ$2,)</f>
        <v>0</v>
      </c>
      <c r="AR32" s="140">
        <f ca="1">IF(ISNUMBER(MATCH(DATEVALUE($A32),'recurring1_based on steps'!AR$1:AR$400,0)),AR$2,)</f>
        <v>0</v>
      </c>
      <c r="AS32" s="140">
        <f ca="1">IF(ISNUMBER(MATCH(DATEVALUE($A32),'recurring1_based on steps'!AS$1:AS$400,0)),AS$2,)</f>
        <v>0</v>
      </c>
      <c r="AT32" s="140">
        <f ca="1">IF(ISNUMBER(MATCH(DATEVALUE($A32),'recurring1_based on steps'!AT$1:AT$400,0)),AT$2,)</f>
        <v>0</v>
      </c>
      <c r="AU32" s="140">
        <f ca="1">IF(ISNUMBER(MATCH(DATEVALUE($A32),'recurring1_based on steps'!AU$1:AU$400,0)),AU$2,)</f>
        <v>0</v>
      </c>
      <c r="AV32" s="140">
        <f ca="1">IF(ISNUMBER(MATCH(DATEVALUE($A32),'recurring1_based on steps'!AV$1:AV$400,0)),AV$2,)</f>
        <v>0</v>
      </c>
      <c r="AW32" s="140">
        <f ca="1">IF(ISNUMBER(MATCH(DATEVALUE($A32),'recurring1_based on steps'!AW$1:AW$400,0)),AW$2,)</f>
        <v>0</v>
      </c>
      <c r="AX32" s="140">
        <f ca="1">IF(ISNUMBER(MATCH(DATEVALUE($A32),'recurring1_based on steps'!AX$1:AX$400,0)),AX$2,)</f>
        <v>0</v>
      </c>
      <c r="AY32" s="140">
        <f ca="1">IF(ISNUMBER(MATCH(DATEVALUE($A32),'recurring1_based on steps'!AY$1:AY$400,0)),AY$2,)</f>
        <v>0</v>
      </c>
    </row>
    <row r="33" spans="1:51" x14ac:dyDescent="0.2">
      <c r="A33" s="29" t="str">
        <f t="shared" ca="1" si="0"/>
        <v>2025-04-26</v>
      </c>
      <c r="B33" s="140">
        <f ca="1">IF(ISNUMBER(MATCH(DATEVALUE($A33),'recurring1_based on steps'!B$1:B$400,0)),B$2,)</f>
        <v>0</v>
      </c>
      <c r="C33" s="140">
        <f ca="1">IF(ISNUMBER(MATCH(DATEVALUE($A33),'recurring1_based on steps'!C$1:C$400,0)),C$2,)</f>
        <v>0</v>
      </c>
      <c r="D33" s="140">
        <f ca="1">IF(ISNUMBER(MATCH(DATEVALUE($A33),'recurring1_based on steps'!D$1:D$400,0)),D$2,)</f>
        <v>0</v>
      </c>
      <c r="E33" s="140">
        <f ca="1">IF(ISNUMBER(MATCH(DATEVALUE($A33),'recurring1_based on steps'!E$1:E$400,0)),E$2,)</f>
        <v>0</v>
      </c>
      <c r="F33" s="140">
        <f ca="1">IF(ISNUMBER(MATCH(DATEVALUE($A33),'recurring1_based on steps'!F$1:F$400,0)),F$2,)</f>
        <v>0</v>
      </c>
      <c r="G33" s="140">
        <f ca="1">IF(ISNUMBER(MATCH(DATEVALUE($A33),'recurring1_based on steps'!G$1:G$400,0)),G$2,)</f>
        <v>0</v>
      </c>
      <c r="H33" s="140">
        <f ca="1">IF(ISNUMBER(MATCH(DATEVALUE($A33),'recurring1_based on steps'!H$1:H$400,0)),H$2,)</f>
        <v>0</v>
      </c>
      <c r="I33" s="140">
        <f ca="1">IF(ISNUMBER(MATCH(DATEVALUE($A33),'recurring1_based on steps'!I$1:I$400,0)),I$2,)</f>
        <v>0</v>
      </c>
      <c r="J33" s="140">
        <f ca="1">IF(ISNUMBER(MATCH(DATEVALUE($A33),'recurring1_based on steps'!J$1:J$400,0)),J$2,)</f>
        <v>0</v>
      </c>
      <c r="K33" s="140">
        <f ca="1">IF(ISNUMBER(MATCH(DATEVALUE($A33),'recurring1_based on steps'!K$1:K$400,0)),K$2,)</f>
        <v>0</v>
      </c>
      <c r="L33" s="140">
        <f ca="1">IF(ISNUMBER(MATCH(DATEVALUE($A33),'recurring1_based on steps'!L$1:L$400,0)),L$2,)</f>
        <v>0</v>
      </c>
      <c r="M33" s="140">
        <f ca="1">IF(ISNUMBER(MATCH(DATEVALUE($A33),'recurring1_based on steps'!M$1:M$400,0)),M$2,)</f>
        <v>0</v>
      </c>
      <c r="N33" s="140">
        <f ca="1">IF(ISNUMBER(MATCH(DATEVALUE($A33),'recurring1_based on steps'!N$1:N$400,0)),N$2,)</f>
        <v>0</v>
      </c>
      <c r="O33" s="140">
        <f ca="1">IF(ISNUMBER(MATCH(DATEVALUE($A33),'recurring1_based on steps'!O$1:O$400,0)),O$2,)</f>
        <v>0</v>
      </c>
      <c r="P33" s="140">
        <f ca="1">IF(ISNUMBER(MATCH(DATEVALUE($A33),'recurring1_based on steps'!P$1:P$400,0)),P$2,)</f>
        <v>0</v>
      </c>
      <c r="Q33" s="140">
        <f ca="1">IF(ISNUMBER(MATCH(DATEVALUE($A33),'recurring1_based on steps'!Q$1:Q$400,0)),Q$2,)</f>
        <v>100</v>
      </c>
      <c r="R33" s="140">
        <f ca="1">IF(ISNUMBER(MATCH(DATEVALUE($A33),'recurring1_based on steps'!R$1:R$400,0)),R$2,)</f>
        <v>100</v>
      </c>
      <c r="S33" s="140">
        <f ca="1">IF(ISNUMBER(MATCH(DATEVALUE($A33),'recurring1_based on steps'!S$1:S$400,0)),S$2,)</f>
        <v>0</v>
      </c>
      <c r="T33" s="140">
        <f ca="1">IF(ISNUMBER(MATCH(DATEVALUE($A33),'recurring1_based on steps'!T$1:T$400,0)),T$2,)</f>
        <v>0</v>
      </c>
      <c r="U33" s="140">
        <f ca="1">IF(ISNUMBER(MATCH(DATEVALUE($A33),'recurring1_based on steps'!U$1:U$400,0)),U$2,)</f>
        <v>0</v>
      </c>
      <c r="V33" s="140">
        <f ca="1">IF(ISNUMBER(MATCH(DATEVALUE($A33),'recurring1_based on steps'!V$1:V$400,0)),V$2,)</f>
        <v>0</v>
      </c>
      <c r="W33" s="140">
        <f ca="1">IF(ISNUMBER(MATCH(DATEVALUE($A33),'recurring1_based on steps'!W$1:W$400,0)),W$2,)</f>
        <v>0</v>
      </c>
      <c r="X33" s="140">
        <f ca="1">IF(ISNUMBER(MATCH(DATEVALUE($A33),'recurring1_based on steps'!X$1:X$400,0)),X$2,)</f>
        <v>0</v>
      </c>
      <c r="Y33" s="140">
        <f ca="1">IF(ISNUMBER(MATCH(DATEVALUE($A33),'recurring1_based on steps'!Y$1:Y$400,0)),Y$2,)</f>
        <v>0</v>
      </c>
      <c r="Z33" s="140">
        <f ca="1">IF(ISNUMBER(MATCH(DATEVALUE($A33),'recurring1_based on steps'!Z$1:Z$400,0)),Z$2,)</f>
        <v>0</v>
      </c>
      <c r="AA33" s="140">
        <f ca="1">IF(ISNUMBER(MATCH(DATEVALUE($A33),'recurring1_based on steps'!AA$1:AA$400,0)),AA$2,)</f>
        <v>0</v>
      </c>
      <c r="AB33" s="140">
        <f ca="1">IF(ISNUMBER(MATCH(DATEVALUE($A33),'recurring1_based on steps'!AB$1:AB$400,0)),AB$2,)</f>
        <v>5.5401662049861494E-2</v>
      </c>
      <c r="AC33" s="140">
        <f ca="1">IF(ISNUMBER(MATCH(DATEVALUE($A33),'recurring1_based on steps'!AC$1:AC$400,0)),AC$2,)</f>
        <v>0</v>
      </c>
      <c r="AD33" s="140">
        <f ca="1">IF(ISNUMBER(MATCH(DATEVALUE($A33),'recurring1_based on steps'!AD$1:AD$400,0)),AD$2,)</f>
        <v>0</v>
      </c>
      <c r="AE33" s="140">
        <f ca="1">IF(ISNUMBER(MATCH(DATEVALUE($A33),'recurring1_based on steps'!AE$1:AE$400,0)),AE$2,)</f>
        <v>0</v>
      </c>
      <c r="AF33" s="140">
        <f ca="1">IF(ISNUMBER(MATCH(DATEVALUE($A33),'recurring1_based on steps'!AF$1:AF$400,0)),AF$2,)</f>
        <v>0</v>
      </c>
      <c r="AG33" s="140">
        <f ca="1">IF(ISNUMBER(MATCH(DATEVALUE($A33),'recurring1_based on steps'!AG$1:AG$400,0)),AG$2,)</f>
        <v>0</v>
      </c>
      <c r="AH33" s="140">
        <f ca="1">IF(ISNUMBER(MATCH(DATEVALUE($A33),'recurring1_based on steps'!AH$1:AH$400,0)),AH$2,)</f>
        <v>0</v>
      </c>
      <c r="AI33" s="140">
        <f ca="1">IF(ISNUMBER(MATCH(DATEVALUE($A33),'recurring1_based on steps'!AI$1:AI$400,0)),AI$2,)</f>
        <v>0</v>
      </c>
      <c r="AJ33" s="140">
        <f ca="1">IF(ISNUMBER(MATCH(DATEVALUE($A33),'recurring1_based on steps'!AJ$1:AJ$400,0)),AJ$2,)</f>
        <v>0</v>
      </c>
      <c r="AK33" s="140">
        <f ca="1">IF(ISNUMBER(MATCH(DATEVALUE($A33),'recurring1_based on steps'!AK$1:AK$400,0)),AK$2,)</f>
        <v>0</v>
      </c>
      <c r="AL33" s="140">
        <f ca="1">IF(ISNUMBER(MATCH(DATEVALUE($A33),'recurring1_based on steps'!AL$1:AL$400,0)),AL$2,)</f>
        <v>0</v>
      </c>
      <c r="AM33" s="140">
        <f ca="1">IF(ISNUMBER(MATCH(DATEVALUE($A33),'recurring1_based on steps'!AM$1:AM$400,0)),AM$2,)</f>
        <v>0</v>
      </c>
      <c r="AN33" s="140">
        <f ca="1">IF(ISNUMBER(MATCH(DATEVALUE($A33),'recurring1_based on steps'!AN$1:AN$400,0)),AN$2,)</f>
        <v>0</v>
      </c>
      <c r="AO33" s="140">
        <f ca="1">IF(ISNUMBER(MATCH(DATEVALUE($A33),'recurring1_based on steps'!AO$1:AO$400,0)),AO$2,)</f>
        <v>0</v>
      </c>
      <c r="AP33" s="140">
        <f ca="1">IF(ISNUMBER(MATCH(DATEVALUE($A33),'recurring1_based on steps'!AP$1:AP$400,0)),AP$2,)</f>
        <v>0</v>
      </c>
      <c r="AQ33" s="140">
        <f ca="1">IF(ISNUMBER(MATCH(DATEVALUE($A33),'recurring1_based on steps'!AQ$1:AQ$400,0)),AQ$2,)</f>
        <v>0</v>
      </c>
      <c r="AR33" s="140">
        <f ca="1">IF(ISNUMBER(MATCH(DATEVALUE($A33),'recurring1_based on steps'!AR$1:AR$400,0)),AR$2,)</f>
        <v>0</v>
      </c>
      <c r="AS33" s="140">
        <f ca="1">IF(ISNUMBER(MATCH(DATEVALUE($A33),'recurring1_based on steps'!AS$1:AS$400,0)),AS$2,)</f>
        <v>0</v>
      </c>
      <c r="AT33" s="140">
        <f ca="1">IF(ISNUMBER(MATCH(DATEVALUE($A33),'recurring1_based on steps'!AT$1:AT$400,0)),AT$2,)</f>
        <v>0</v>
      </c>
      <c r="AU33" s="140">
        <f ca="1">IF(ISNUMBER(MATCH(DATEVALUE($A33),'recurring1_based on steps'!AU$1:AU$400,0)),AU$2,)</f>
        <v>0</v>
      </c>
      <c r="AV33" s="140">
        <f ca="1">IF(ISNUMBER(MATCH(DATEVALUE($A33),'recurring1_based on steps'!AV$1:AV$400,0)),AV$2,)</f>
        <v>0</v>
      </c>
      <c r="AW33" s="140">
        <f ca="1">IF(ISNUMBER(MATCH(DATEVALUE($A33),'recurring1_based on steps'!AW$1:AW$400,0)),AW$2,)</f>
        <v>0</v>
      </c>
      <c r="AX33" s="140">
        <f ca="1">IF(ISNUMBER(MATCH(DATEVALUE($A33),'recurring1_based on steps'!AX$1:AX$400,0)),AX$2,)</f>
        <v>0</v>
      </c>
      <c r="AY33" s="140">
        <f ca="1">IF(ISNUMBER(MATCH(DATEVALUE($A33),'recurring1_based on steps'!AY$1:AY$400,0)),AY$2,)</f>
        <v>0</v>
      </c>
    </row>
    <row r="34" spans="1:51" x14ac:dyDescent="0.2">
      <c r="A34" s="29" t="str">
        <f t="shared" ca="1" si="0"/>
        <v>2025-04-27</v>
      </c>
      <c r="B34" s="140">
        <f ca="1">IF(ISNUMBER(MATCH(DATEVALUE($A34),'recurring1_based on steps'!B$1:B$400,0)),B$2,)</f>
        <v>0</v>
      </c>
      <c r="C34" s="140">
        <f ca="1">IF(ISNUMBER(MATCH(DATEVALUE($A34),'recurring1_based on steps'!C$1:C$400,0)),C$2,)</f>
        <v>0</v>
      </c>
      <c r="D34" s="140">
        <f ca="1">IF(ISNUMBER(MATCH(DATEVALUE($A34),'recurring1_based on steps'!D$1:D$400,0)),D$2,)</f>
        <v>0</v>
      </c>
      <c r="E34" s="140">
        <f ca="1">IF(ISNUMBER(MATCH(DATEVALUE($A34),'recurring1_based on steps'!E$1:E$400,0)),E$2,)</f>
        <v>0</v>
      </c>
      <c r="F34" s="140">
        <f ca="1">IF(ISNUMBER(MATCH(DATEVALUE($A34),'recurring1_based on steps'!F$1:F$400,0)),F$2,)</f>
        <v>0</v>
      </c>
      <c r="G34" s="140">
        <f ca="1">IF(ISNUMBER(MATCH(DATEVALUE($A34),'recurring1_based on steps'!G$1:G$400,0)),G$2,)</f>
        <v>0</v>
      </c>
      <c r="H34" s="140">
        <f ca="1">IF(ISNUMBER(MATCH(DATEVALUE($A34),'recurring1_based on steps'!H$1:H$400,0)),H$2,)</f>
        <v>0</v>
      </c>
      <c r="I34" s="140">
        <f ca="1">IF(ISNUMBER(MATCH(DATEVALUE($A34),'recurring1_based on steps'!I$1:I$400,0)),I$2,)</f>
        <v>0</v>
      </c>
      <c r="J34" s="140">
        <f ca="1">IF(ISNUMBER(MATCH(DATEVALUE($A34),'recurring1_based on steps'!J$1:J$400,0)),J$2,)</f>
        <v>0</v>
      </c>
      <c r="K34" s="140">
        <f ca="1">IF(ISNUMBER(MATCH(DATEVALUE($A34),'recurring1_based on steps'!K$1:K$400,0)),K$2,)</f>
        <v>50</v>
      </c>
      <c r="L34" s="140">
        <f ca="1">IF(ISNUMBER(MATCH(DATEVALUE($A34),'recurring1_based on steps'!L$1:L$400,0)),L$2,)</f>
        <v>0</v>
      </c>
      <c r="M34" s="140">
        <f ca="1">IF(ISNUMBER(MATCH(DATEVALUE($A34),'recurring1_based on steps'!M$1:M$400,0)),M$2,)</f>
        <v>0</v>
      </c>
      <c r="N34" s="140">
        <f ca="1">IF(ISNUMBER(MATCH(DATEVALUE($A34),'recurring1_based on steps'!N$1:N$400,0)),N$2,)</f>
        <v>0</v>
      </c>
      <c r="O34" s="140">
        <f ca="1">IF(ISNUMBER(MATCH(DATEVALUE($A34),'recurring1_based on steps'!O$1:O$400,0)),O$2,)</f>
        <v>0</v>
      </c>
      <c r="P34" s="140">
        <f ca="1">IF(ISNUMBER(MATCH(DATEVALUE($A34),'recurring1_based on steps'!P$1:P$400,0)),P$2,)</f>
        <v>2.99</v>
      </c>
      <c r="Q34" s="140">
        <f ca="1">IF(ISNUMBER(MATCH(DATEVALUE($A34),'recurring1_based on steps'!Q$1:Q$400,0)),Q$2,)</f>
        <v>0</v>
      </c>
      <c r="R34" s="140">
        <f ca="1">IF(ISNUMBER(MATCH(DATEVALUE($A34),'recurring1_based on steps'!R$1:R$400,0)),R$2,)</f>
        <v>0</v>
      </c>
      <c r="S34" s="140">
        <f ca="1">IF(ISNUMBER(MATCH(DATEVALUE($A34),'recurring1_based on steps'!S$1:S$400,0)),S$2,)</f>
        <v>100</v>
      </c>
      <c r="T34" s="140">
        <f ca="1">IF(ISNUMBER(MATCH(DATEVALUE($A34),'recurring1_based on steps'!T$1:T$400,0)),T$2,)</f>
        <v>0</v>
      </c>
      <c r="U34" s="140">
        <f ca="1">IF(ISNUMBER(MATCH(DATEVALUE($A34),'recurring1_based on steps'!U$1:U$400,0)),U$2,)</f>
        <v>0</v>
      </c>
      <c r="V34" s="140">
        <f ca="1">IF(ISNUMBER(MATCH(DATEVALUE($A34),'recurring1_based on steps'!V$1:V$400,0)),V$2,)</f>
        <v>0</v>
      </c>
      <c r="W34" s="140">
        <f ca="1">IF(ISNUMBER(MATCH(DATEVALUE($A34),'recurring1_based on steps'!W$1:W$400,0)),W$2,)</f>
        <v>0</v>
      </c>
      <c r="X34" s="140">
        <f ca="1">IF(ISNUMBER(MATCH(DATEVALUE($A34),'recurring1_based on steps'!X$1:X$400,0)),X$2,)</f>
        <v>0</v>
      </c>
      <c r="Y34" s="140">
        <f ca="1">IF(ISNUMBER(MATCH(DATEVALUE($A34),'recurring1_based on steps'!Y$1:Y$400,0)),Y$2,)</f>
        <v>0</v>
      </c>
      <c r="Z34" s="140">
        <f ca="1">IF(ISNUMBER(MATCH(DATEVALUE($A34),'recurring1_based on steps'!Z$1:Z$400,0)),Z$2,)</f>
        <v>0</v>
      </c>
      <c r="AA34" s="140">
        <f ca="1">IF(ISNUMBER(MATCH(DATEVALUE($A34),'recurring1_based on steps'!AA$1:AA$400,0)),AA$2,)</f>
        <v>0</v>
      </c>
      <c r="AB34" s="140">
        <f ca="1">IF(ISNUMBER(MATCH(DATEVALUE($A34),'recurring1_based on steps'!AB$1:AB$400,0)),AB$2,)</f>
        <v>5.5401662049861494E-2</v>
      </c>
      <c r="AC34" s="140">
        <f ca="1">IF(ISNUMBER(MATCH(DATEVALUE($A34),'recurring1_based on steps'!AC$1:AC$400,0)),AC$2,)</f>
        <v>0</v>
      </c>
      <c r="AD34" s="140">
        <f ca="1">IF(ISNUMBER(MATCH(DATEVALUE($A34),'recurring1_based on steps'!AD$1:AD$400,0)),AD$2,)</f>
        <v>0</v>
      </c>
      <c r="AE34" s="140">
        <f ca="1">IF(ISNUMBER(MATCH(DATEVALUE($A34),'recurring1_based on steps'!AE$1:AE$400,0)),AE$2,)</f>
        <v>0</v>
      </c>
      <c r="AF34" s="140">
        <f ca="1">IF(ISNUMBER(MATCH(DATEVALUE($A34),'recurring1_based on steps'!AF$1:AF$400,0)),AF$2,)</f>
        <v>0</v>
      </c>
      <c r="AG34" s="140">
        <f ca="1">IF(ISNUMBER(MATCH(DATEVALUE($A34),'recurring1_based on steps'!AG$1:AG$400,0)),AG$2,)</f>
        <v>0</v>
      </c>
      <c r="AH34" s="140">
        <f ca="1">IF(ISNUMBER(MATCH(DATEVALUE($A34),'recurring1_based on steps'!AH$1:AH$400,0)),AH$2,)</f>
        <v>0</v>
      </c>
      <c r="AI34" s="140">
        <f ca="1">IF(ISNUMBER(MATCH(DATEVALUE($A34),'recurring1_based on steps'!AI$1:AI$400,0)),AI$2,)</f>
        <v>0</v>
      </c>
      <c r="AJ34" s="140">
        <f ca="1">IF(ISNUMBER(MATCH(DATEVALUE($A34),'recurring1_based on steps'!AJ$1:AJ$400,0)),AJ$2,)</f>
        <v>0</v>
      </c>
      <c r="AK34" s="140">
        <f ca="1">IF(ISNUMBER(MATCH(DATEVALUE($A34),'recurring1_based on steps'!AK$1:AK$400,0)),AK$2,)</f>
        <v>0</v>
      </c>
      <c r="AL34" s="140">
        <f ca="1">IF(ISNUMBER(MATCH(DATEVALUE($A34),'recurring1_based on steps'!AL$1:AL$400,0)),AL$2,)</f>
        <v>0</v>
      </c>
      <c r="AM34" s="140">
        <f ca="1">IF(ISNUMBER(MATCH(DATEVALUE($A34),'recurring1_based on steps'!AM$1:AM$400,0)),AM$2,)</f>
        <v>0</v>
      </c>
      <c r="AN34" s="140">
        <f ca="1">IF(ISNUMBER(MATCH(DATEVALUE($A34),'recurring1_based on steps'!AN$1:AN$400,0)),AN$2,)</f>
        <v>0</v>
      </c>
      <c r="AO34" s="140">
        <f ca="1">IF(ISNUMBER(MATCH(DATEVALUE($A34),'recurring1_based on steps'!AO$1:AO$400,0)),AO$2,)</f>
        <v>0</v>
      </c>
      <c r="AP34" s="140">
        <f ca="1">IF(ISNUMBER(MATCH(DATEVALUE($A34),'recurring1_based on steps'!AP$1:AP$400,0)),AP$2,)</f>
        <v>0</v>
      </c>
      <c r="AQ34" s="140">
        <f ca="1">IF(ISNUMBER(MATCH(DATEVALUE($A34),'recurring1_based on steps'!AQ$1:AQ$400,0)),AQ$2,)</f>
        <v>0</v>
      </c>
      <c r="AR34" s="140">
        <f ca="1">IF(ISNUMBER(MATCH(DATEVALUE($A34),'recurring1_based on steps'!AR$1:AR$400,0)),AR$2,)</f>
        <v>0</v>
      </c>
      <c r="AS34" s="140">
        <f ca="1">IF(ISNUMBER(MATCH(DATEVALUE($A34),'recurring1_based on steps'!AS$1:AS$400,0)),AS$2,)</f>
        <v>0</v>
      </c>
      <c r="AT34" s="140">
        <f ca="1">IF(ISNUMBER(MATCH(DATEVALUE($A34),'recurring1_based on steps'!AT$1:AT$400,0)),AT$2,)</f>
        <v>0</v>
      </c>
      <c r="AU34" s="140">
        <f ca="1">IF(ISNUMBER(MATCH(DATEVALUE($A34),'recurring1_based on steps'!AU$1:AU$400,0)),AU$2,)</f>
        <v>0</v>
      </c>
      <c r="AV34" s="140">
        <f ca="1">IF(ISNUMBER(MATCH(DATEVALUE($A34),'recurring1_based on steps'!AV$1:AV$400,0)),AV$2,)</f>
        <v>0</v>
      </c>
      <c r="AW34" s="140">
        <f ca="1">IF(ISNUMBER(MATCH(DATEVALUE($A34),'recurring1_based on steps'!AW$1:AW$400,0)),AW$2,)</f>
        <v>0</v>
      </c>
      <c r="AX34" s="140">
        <f ca="1">IF(ISNUMBER(MATCH(DATEVALUE($A34),'recurring1_based on steps'!AX$1:AX$400,0)),AX$2,)</f>
        <v>0</v>
      </c>
      <c r="AY34" s="140">
        <f ca="1">IF(ISNUMBER(MATCH(DATEVALUE($A34),'recurring1_based on steps'!AY$1:AY$400,0)),AY$2,)</f>
        <v>0</v>
      </c>
    </row>
    <row r="35" spans="1:51" x14ac:dyDescent="0.2">
      <c r="A35" s="29" t="str">
        <f t="shared" ca="1" si="0"/>
        <v>2025-04-28</v>
      </c>
      <c r="B35" s="140">
        <f ca="1">IF(ISNUMBER(MATCH(DATEVALUE($A35),'recurring1_based on steps'!B$1:B$400,0)),B$2,)</f>
        <v>0</v>
      </c>
      <c r="C35" s="140">
        <f ca="1">IF(ISNUMBER(MATCH(DATEVALUE($A35),'recurring1_based on steps'!C$1:C$400,0)),C$2,)</f>
        <v>0</v>
      </c>
      <c r="D35" s="140">
        <f ca="1">IF(ISNUMBER(MATCH(DATEVALUE($A35),'recurring1_based on steps'!D$1:D$400,0)),D$2,)</f>
        <v>0</v>
      </c>
      <c r="E35" s="140">
        <f ca="1">IF(ISNUMBER(MATCH(DATEVALUE($A35),'recurring1_based on steps'!E$1:E$400,0)),E$2,)</f>
        <v>0</v>
      </c>
      <c r="F35" s="140">
        <f ca="1">IF(ISNUMBER(MATCH(DATEVALUE($A35),'recurring1_based on steps'!F$1:F$400,0)),F$2,)</f>
        <v>0</v>
      </c>
      <c r="G35" s="140">
        <f ca="1">IF(ISNUMBER(MATCH(DATEVALUE($A35),'recurring1_based on steps'!G$1:G$400,0)),G$2,)</f>
        <v>0</v>
      </c>
      <c r="H35" s="140">
        <f ca="1">IF(ISNUMBER(MATCH(DATEVALUE($A35),'recurring1_based on steps'!H$1:H$400,0)),H$2,)</f>
        <v>0</v>
      </c>
      <c r="I35" s="140">
        <f ca="1">IF(ISNUMBER(MATCH(DATEVALUE($A35),'recurring1_based on steps'!I$1:I$400,0)),I$2,)</f>
        <v>0</v>
      </c>
      <c r="J35" s="140">
        <f ca="1">IF(ISNUMBER(MATCH(DATEVALUE($A35),'recurring1_based on steps'!J$1:J$400,0)),J$2,)</f>
        <v>0</v>
      </c>
      <c r="K35" s="140">
        <f ca="1">IF(ISNUMBER(MATCH(DATEVALUE($A35),'recurring1_based on steps'!K$1:K$400,0)),K$2,)</f>
        <v>0</v>
      </c>
      <c r="L35" s="140">
        <f ca="1">IF(ISNUMBER(MATCH(DATEVALUE($A35),'recurring1_based on steps'!L$1:L$400,0)),L$2,)</f>
        <v>0</v>
      </c>
      <c r="M35" s="140">
        <f ca="1">IF(ISNUMBER(MATCH(DATEVALUE($A35),'recurring1_based on steps'!M$1:M$400,0)),M$2,)</f>
        <v>0</v>
      </c>
      <c r="N35" s="140">
        <f ca="1">IF(ISNUMBER(MATCH(DATEVALUE($A35),'recurring1_based on steps'!N$1:N$400,0)),N$2,)</f>
        <v>0</v>
      </c>
      <c r="O35" s="140">
        <f ca="1">IF(ISNUMBER(MATCH(DATEVALUE($A35),'recurring1_based on steps'!O$1:O$400,0)),O$2,)</f>
        <v>0</v>
      </c>
      <c r="P35" s="140">
        <f ca="1">IF(ISNUMBER(MATCH(DATEVALUE($A35),'recurring1_based on steps'!P$1:P$400,0)),P$2,)</f>
        <v>0</v>
      </c>
      <c r="Q35" s="140">
        <f ca="1">IF(ISNUMBER(MATCH(DATEVALUE($A35),'recurring1_based on steps'!Q$1:Q$400,0)),Q$2,)</f>
        <v>0</v>
      </c>
      <c r="R35" s="140">
        <f ca="1">IF(ISNUMBER(MATCH(DATEVALUE($A35),'recurring1_based on steps'!R$1:R$400,0)),R$2,)</f>
        <v>0</v>
      </c>
      <c r="S35" s="140">
        <f ca="1">IF(ISNUMBER(MATCH(DATEVALUE($A35),'recurring1_based on steps'!S$1:S$400,0)),S$2,)</f>
        <v>0</v>
      </c>
      <c r="T35" s="140">
        <f ca="1">IF(ISNUMBER(MATCH(DATEVALUE($A35),'recurring1_based on steps'!T$1:T$400,0)),T$2,)</f>
        <v>50</v>
      </c>
      <c r="U35" s="140">
        <f ca="1">IF(ISNUMBER(MATCH(DATEVALUE($A35),'recurring1_based on steps'!U$1:U$400,0)),U$2,)</f>
        <v>0</v>
      </c>
      <c r="V35" s="140">
        <f ca="1">IF(ISNUMBER(MATCH(DATEVALUE($A35),'recurring1_based on steps'!V$1:V$400,0)),V$2,)</f>
        <v>0</v>
      </c>
      <c r="W35" s="140">
        <f ca="1">IF(ISNUMBER(MATCH(DATEVALUE($A35),'recurring1_based on steps'!W$1:W$400,0)),W$2,)</f>
        <v>0</v>
      </c>
      <c r="X35" s="140">
        <f ca="1">IF(ISNUMBER(MATCH(DATEVALUE($A35),'recurring1_based on steps'!X$1:X$400,0)),X$2,)</f>
        <v>0</v>
      </c>
      <c r="Y35" s="140">
        <f ca="1">IF(ISNUMBER(MATCH(DATEVALUE($A35),'recurring1_based on steps'!Y$1:Y$400,0)),Y$2,)</f>
        <v>0</v>
      </c>
      <c r="Z35" s="140">
        <f ca="1">IF(ISNUMBER(MATCH(DATEVALUE($A35),'recurring1_based on steps'!Z$1:Z$400,0)),Z$2,)</f>
        <v>0</v>
      </c>
      <c r="AA35" s="140">
        <f ca="1">IF(ISNUMBER(MATCH(DATEVALUE($A35),'recurring1_based on steps'!AA$1:AA$400,0)),AA$2,)</f>
        <v>0</v>
      </c>
      <c r="AB35" s="140">
        <f ca="1">IF(ISNUMBER(MATCH(DATEVALUE($A35),'recurring1_based on steps'!AB$1:AB$400,0)),AB$2,)</f>
        <v>5.5401662049861494E-2</v>
      </c>
      <c r="AC35" s="140">
        <f ca="1">IF(ISNUMBER(MATCH(DATEVALUE($A35),'recurring1_based on steps'!AC$1:AC$400,0)),AC$2,)</f>
        <v>0</v>
      </c>
      <c r="AD35" s="140">
        <f ca="1">IF(ISNUMBER(MATCH(DATEVALUE($A35),'recurring1_based on steps'!AD$1:AD$400,0)),AD$2,)</f>
        <v>0</v>
      </c>
      <c r="AE35" s="140">
        <f ca="1">IF(ISNUMBER(MATCH(DATEVALUE($A35),'recurring1_based on steps'!AE$1:AE$400,0)),AE$2,)</f>
        <v>0</v>
      </c>
      <c r="AF35" s="140">
        <f ca="1">IF(ISNUMBER(MATCH(DATEVALUE($A35),'recurring1_based on steps'!AF$1:AF$400,0)),AF$2,)</f>
        <v>0</v>
      </c>
      <c r="AG35" s="140">
        <f ca="1">IF(ISNUMBER(MATCH(DATEVALUE($A35),'recurring1_based on steps'!AG$1:AG$400,0)),AG$2,)</f>
        <v>0</v>
      </c>
      <c r="AH35" s="140">
        <f ca="1">IF(ISNUMBER(MATCH(DATEVALUE($A35),'recurring1_based on steps'!AH$1:AH$400,0)),AH$2,)</f>
        <v>0</v>
      </c>
      <c r="AI35" s="140">
        <f ca="1">IF(ISNUMBER(MATCH(DATEVALUE($A35),'recurring1_based on steps'!AI$1:AI$400,0)),AI$2,)</f>
        <v>0</v>
      </c>
      <c r="AJ35" s="140">
        <f ca="1">IF(ISNUMBER(MATCH(DATEVALUE($A35),'recurring1_based on steps'!AJ$1:AJ$400,0)),AJ$2,)</f>
        <v>0</v>
      </c>
      <c r="AK35" s="140">
        <f ca="1">IF(ISNUMBER(MATCH(DATEVALUE($A35),'recurring1_based on steps'!AK$1:AK$400,0)),AK$2,)</f>
        <v>0</v>
      </c>
      <c r="AL35" s="140">
        <f ca="1">IF(ISNUMBER(MATCH(DATEVALUE($A35),'recurring1_based on steps'!AL$1:AL$400,0)),AL$2,)</f>
        <v>0</v>
      </c>
      <c r="AM35" s="140">
        <f ca="1">IF(ISNUMBER(MATCH(DATEVALUE($A35),'recurring1_based on steps'!AM$1:AM$400,0)),AM$2,)</f>
        <v>0</v>
      </c>
      <c r="AN35" s="140">
        <f ca="1">IF(ISNUMBER(MATCH(DATEVALUE($A35),'recurring1_based on steps'!AN$1:AN$400,0)),AN$2,)</f>
        <v>0</v>
      </c>
      <c r="AO35" s="140">
        <f ca="1">IF(ISNUMBER(MATCH(DATEVALUE($A35),'recurring1_based on steps'!AO$1:AO$400,0)),AO$2,)</f>
        <v>0</v>
      </c>
      <c r="AP35" s="140">
        <f ca="1">IF(ISNUMBER(MATCH(DATEVALUE($A35),'recurring1_based on steps'!AP$1:AP$400,0)),AP$2,)</f>
        <v>0</v>
      </c>
      <c r="AQ35" s="140">
        <f ca="1">IF(ISNUMBER(MATCH(DATEVALUE($A35),'recurring1_based on steps'!AQ$1:AQ$400,0)),AQ$2,)</f>
        <v>0</v>
      </c>
      <c r="AR35" s="140">
        <f ca="1">IF(ISNUMBER(MATCH(DATEVALUE($A35),'recurring1_based on steps'!AR$1:AR$400,0)),AR$2,)</f>
        <v>0</v>
      </c>
      <c r="AS35" s="140">
        <f ca="1">IF(ISNUMBER(MATCH(DATEVALUE($A35),'recurring1_based on steps'!AS$1:AS$400,0)),AS$2,)</f>
        <v>0</v>
      </c>
      <c r="AT35" s="140">
        <f ca="1">IF(ISNUMBER(MATCH(DATEVALUE($A35),'recurring1_based on steps'!AT$1:AT$400,0)),AT$2,)</f>
        <v>0</v>
      </c>
      <c r="AU35" s="140">
        <f ca="1">IF(ISNUMBER(MATCH(DATEVALUE($A35),'recurring1_based on steps'!AU$1:AU$400,0)),AU$2,)</f>
        <v>0</v>
      </c>
      <c r="AV35" s="140">
        <f ca="1">IF(ISNUMBER(MATCH(DATEVALUE($A35),'recurring1_based on steps'!AV$1:AV$400,0)),AV$2,)</f>
        <v>0</v>
      </c>
      <c r="AW35" s="140">
        <f ca="1">IF(ISNUMBER(MATCH(DATEVALUE($A35),'recurring1_based on steps'!AW$1:AW$400,0)),AW$2,)</f>
        <v>0</v>
      </c>
      <c r="AX35" s="140">
        <f ca="1">IF(ISNUMBER(MATCH(DATEVALUE($A35),'recurring1_based on steps'!AX$1:AX$400,0)),AX$2,)</f>
        <v>0</v>
      </c>
      <c r="AY35" s="140">
        <f ca="1">IF(ISNUMBER(MATCH(DATEVALUE($A35),'recurring1_based on steps'!AY$1:AY$400,0)),AY$2,)</f>
        <v>0</v>
      </c>
    </row>
    <row r="36" spans="1:51" x14ac:dyDescent="0.2">
      <c r="A36" s="29" t="str">
        <f t="shared" ca="1" si="0"/>
        <v>2025-04-29</v>
      </c>
      <c r="B36" s="140">
        <f ca="1">IF(ISNUMBER(MATCH(DATEVALUE($A36),'recurring1_based on steps'!B$1:B$400,0)),B$2,)</f>
        <v>0</v>
      </c>
      <c r="C36" s="140">
        <f ca="1">IF(ISNUMBER(MATCH(DATEVALUE($A36),'recurring1_based on steps'!C$1:C$400,0)),C$2,)</f>
        <v>0</v>
      </c>
      <c r="D36" s="140">
        <f ca="1">IF(ISNUMBER(MATCH(DATEVALUE($A36),'recurring1_based on steps'!D$1:D$400,0)),D$2,)</f>
        <v>0</v>
      </c>
      <c r="E36" s="140">
        <f ca="1">IF(ISNUMBER(MATCH(DATEVALUE($A36),'recurring1_based on steps'!E$1:E$400,0)),E$2,)</f>
        <v>0</v>
      </c>
      <c r="F36" s="140">
        <f ca="1">IF(ISNUMBER(MATCH(DATEVALUE($A36),'recurring1_based on steps'!F$1:F$400,0)),F$2,)</f>
        <v>0</v>
      </c>
      <c r="G36" s="140">
        <f ca="1">IF(ISNUMBER(MATCH(DATEVALUE($A36),'recurring1_based on steps'!G$1:G$400,0)),G$2,)</f>
        <v>0</v>
      </c>
      <c r="H36" s="140">
        <f ca="1">IF(ISNUMBER(MATCH(DATEVALUE($A36),'recurring1_based on steps'!H$1:H$400,0)),H$2,)</f>
        <v>0</v>
      </c>
      <c r="I36" s="140">
        <f ca="1">IF(ISNUMBER(MATCH(DATEVALUE($A36),'recurring1_based on steps'!I$1:I$400,0)),I$2,)</f>
        <v>0</v>
      </c>
      <c r="J36" s="140">
        <f ca="1">IF(ISNUMBER(MATCH(DATEVALUE($A36),'recurring1_based on steps'!J$1:J$400,0)),J$2,)</f>
        <v>0</v>
      </c>
      <c r="K36" s="140">
        <f ca="1">IF(ISNUMBER(MATCH(DATEVALUE($A36),'recurring1_based on steps'!K$1:K$400,0)),K$2,)</f>
        <v>0</v>
      </c>
      <c r="L36" s="140">
        <f ca="1">IF(ISNUMBER(MATCH(DATEVALUE($A36),'recurring1_based on steps'!L$1:L$400,0)),L$2,)</f>
        <v>0</v>
      </c>
      <c r="M36" s="140">
        <f ca="1">IF(ISNUMBER(MATCH(DATEVALUE($A36),'recurring1_based on steps'!M$1:M$400,0)),M$2,)</f>
        <v>0</v>
      </c>
      <c r="N36" s="140">
        <f ca="1">IF(ISNUMBER(MATCH(DATEVALUE($A36),'recurring1_based on steps'!N$1:N$400,0)),N$2,)</f>
        <v>0</v>
      </c>
      <c r="O36" s="140">
        <f ca="1">IF(ISNUMBER(MATCH(DATEVALUE($A36),'recurring1_based on steps'!O$1:O$400,0)),O$2,)</f>
        <v>0</v>
      </c>
      <c r="P36" s="140">
        <f ca="1">IF(ISNUMBER(MATCH(DATEVALUE($A36),'recurring1_based on steps'!P$1:P$400,0)),P$2,)</f>
        <v>0</v>
      </c>
      <c r="Q36" s="140">
        <f ca="1">IF(ISNUMBER(MATCH(DATEVALUE($A36),'recurring1_based on steps'!Q$1:Q$400,0)),Q$2,)</f>
        <v>0</v>
      </c>
      <c r="R36" s="140">
        <f ca="1">IF(ISNUMBER(MATCH(DATEVALUE($A36),'recurring1_based on steps'!R$1:R$400,0)),R$2,)</f>
        <v>0</v>
      </c>
      <c r="S36" s="140">
        <f ca="1">IF(ISNUMBER(MATCH(DATEVALUE($A36),'recurring1_based on steps'!S$1:S$400,0)),S$2,)</f>
        <v>0</v>
      </c>
      <c r="T36" s="140">
        <f ca="1">IF(ISNUMBER(MATCH(DATEVALUE($A36),'recurring1_based on steps'!T$1:T$400,0)),T$2,)</f>
        <v>0</v>
      </c>
      <c r="U36" s="140">
        <f ca="1">IF(ISNUMBER(MATCH(DATEVALUE($A36),'recurring1_based on steps'!U$1:U$400,0)),U$2,)</f>
        <v>0</v>
      </c>
      <c r="V36" s="140">
        <f ca="1">IF(ISNUMBER(MATCH(DATEVALUE($A36),'recurring1_based on steps'!V$1:V$400,0)),V$2,)</f>
        <v>0</v>
      </c>
      <c r="W36" s="140">
        <f ca="1">IF(ISNUMBER(MATCH(DATEVALUE($A36),'recurring1_based on steps'!W$1:W$400,0)),W$2,)</f>
        <v>0</v>
      </c>
      <c r="X36" s="140">
        <f ca="1">IF(ISNUMBER(MATCH(DATEVALUE($A36),'recurring1_based on steps'!X$1:X$400,0)),X$2,)</f>
        <v>0</v>
      </c>
      <c r="Y36" s="140">
        <f ca="1">IF(ISNUMBER(MATCH(DATEVALUE($A36),'recurring1_based on steps'!Y$1:Y$400,0)),Y$2,)</f>
        <v>0</v>
      </c>
      <c r="Z36" s="140">
        <f ca="1">IF(ISNUMBER(MATCH(DATEVALUE($A36),'recurring1_based on steps'!Z$1:Z$400,0)),Z$2,)</f>
        <v>0</v>
      </c>
      <c r="AA36" s="140">
        <f ca="1">IF(ISNUMBER(MATCH(DATEVALUE($A36),'recurring1_based on steps'!AA$1:AA$400,0)),AA$2,)</f>
        <v>0</v>
      </c>
      <c r="AB36" s="140">
        <f ca="1">IF(ISNUMBER(MATCH(DATEVALUE($A36),'recurring1_based on steps'!AB$1:AB$400,0)),AB$2,)</f>
        <v>5.5401662049861494E-2</v>
      </c>
      <c r="AC36" s="140">
        <f ca="1">IF(ISNUMBER(MATCH(DATEVALUE($A36),'recurring1_based on steps'!AC$1:AC$400,0)),AC$2,)</f>
        <v>0</v>
      </c>
      <c r="AD36" s="140">
        <f ca="1">IF(ISNUMBER(MATCH(DATEVALUE($A36),'recurring1_based on steps'!AD$1:AD$400,0)),AD$2,)</f>
        <v>0</v>
      </c>
      <c r="AE36" s="140">
        <f ca="1">IF(ISNUMBER(MATCH(DATEVALUE($A36),'recurring1_based on steps'!AE$1:AE$400,0)),AE$2,)</f>
        <v>0</v>
      </c>
      <c r="AF36" s="140">
        <f ca="1">IF(ISNUMBER(MATCH(DATEVALUE($A36),'recurring1_based on steps'!AF$1:AF$400,0)),AF$2,)</f>
        <v>0</v>
      </c>
      <c r="AG36" s="140">
        <f ca="1">IF(ISNUMBER(MATCH(DATEVALUE($A36),'recurring1_based on steps'!AG$1:AG$400,0)),AG$2,)</f>
        <v>0</v>
      </c>
      <c r="AH36" s="140">
        <f ca="1">IF(ISNUMBER(MATCH(DATEVALUE($A36),'recurring1_based on steps'!AH$1:AH$400,0)),AH$2,)</f>
        <v>0</v>
      </c>
      <c r="AI36" s="140">
        <f ca="1">IF(ISNUMBER(MATCH(DATEVALUE($A36),'recurring1_based on steps'!AI$1:AI$400,0)),AI$2,)</f>
        <v>0</v>
      </c>
      <c r="AJ36" s="140">
        <f ca="1">IF(ISNUMBER(MATCH(DATEVALUE($A36),'recurring1_based on steps'!AJ$1:AJ$400,0)),AJ$2,)</f>
        <v>0</v>
      </c>
      <c r="AK36" s="140">
        <f ca="1">IF(ISNUMBER(MATCH(DATEVALUE($A36),'recurring1_based on steps'!AK$1:AK$400,0)),AK$2,)</f>
        <v>0</v>
      </c>
      <c r="AL36" s="140">
        <f ca="1">IF(ISNUMBER(MATCH(DATEVALUE($A36),'recurring1_based on steps'!AL$1:AL$400,0)),AL$2,)</f>
        <v>0</v>
      </c>
      <c r="AM36" s="140">
        <f ca="1">IF(ISNUMBER(MATCH(DATEVALUE($A36),'recurring1_based on steps'!AM$1:AM$400,0)),AM$2,)</f>
        <v>0</v>
      </c>
      <c r="AN36" s="140">
        <f ca="1">IF(ISNUMBER(MATCH(DATEVALUE($A36),'recurring1_based on steps'!AN$1:AN$400,0)),AN$2,)</f>
        <v>0</v>
      </c>
      <c r="AO36" s="140">
        <f ca="1">IF(ISNUMBER(MATCH(DATEVALUE($A36),'recurring1_based on steps'!AO$1:AO$400,0)),AO$2,)</f>
        <v>0</v>
      </c>
      <c r="AP36" s="140">
        <f ca="1">IF(ISNUMBER(MATCH(DATEVALUE($A36),'recurring1_based on steps'!AP$1:AP$400,0)),AP$2,)</f>
        <v>0</v>
      </c>
      <c r="AQ36" s="140">
        <f ca="1">IF(ISNUMBER(MATCH(DATEVALUE($A36),'recurring1_based on steps'!AQ$1:AQ$400,0)),AQ$2,)</f>
        <v>0</v>
      </c>
      <c r="AR36" s="140">
        <f ca="1">IF(ISNUMBER(MATCH(DATEVALUE($A36),'recurring1_based on steps'!AR$1:AR$400,0)),AR$2,)</f>
        <v>0</v>
      </c>
      <c r="AS36" s="140">
        <f ca="1">IF(ISNUMBER(MATCH(DATEVALUE($A36),'recurring1_based on steps'!AS$1:AS$400,0)),AS$2,)</f>
        <v>0</v>
      </c>
      <c r="AT36" s="140">
        <f ca="1">IF(ISNUMBER(MATCH(DATEVALUE($A36),'recurring1_based on steps'!AT$1:AT$400,0)),AT$2,)</f>
        <v>0</v>
      </c>
      <c r="AU36" s="140">
        <f ca="1">IF(ISNUMBER(MATCH(DATEVALUE($A36),'recurring1_based on steps'!AU$1:AU$400,0)),AU$2,)</f>
        <v>0</v>
      </c>
      <c r="AV36" s="140">
        <f ca="1">IF(ISNUMBER(MATCH(DATEVALUE($A36),'recurring1_based on steps'!AV$1:AV$400,0)),AV$2,)</f>
        <v>0</v>
      </c>
      <c r="AW36" s="140">
        <f ca="1">IF(ISNUMBER(MATCH(DATEVALUE($A36),'recurring1_based on steps'!AW$1:AW$400,0)),AW$2,)</f>
        <v>0</v>
      </c>
      <c r="AX36" s="140">
        <f ca="1">IF(ISNUMBER(MATCH(DATEVALUE($A36),'recurring1_based on steps'!AX$1:AX$400,0)),AX$2,)</f>
        <v>0</v>
      </c>
      <c r="AY36" s="140">
        <f ca="1">IF(ISNUMBER(MATCH(DATEVALUE($A36),'recurring1_based on steps'!AY$1:AY$400,0)),AY$2,)</f>
        <v>0</v>
      </c>
    </row>
    <row r="37" spans="1:51" x14ac:dyDescent="0.2">
      <c r="A37" s="29" t="str">
        <f t="shared" ca="1" si="0"/>
        <v>2025-04-30</v>
      </c>
      <c r="B37" s="140">
        <f ca="1">IF(ISNUMBER(MATCH(DATEVALUE($A37),'recurring1_based on steps'!B$1:B$400,0)),B$2,)</f>
        <v>0</v>
      </c>
      <c r="C37" s="140">
        <f ca="1">IF(ISNUMBER(MATCH(DATEVALUE($A37),'recurring1_based on steps'!C$1:C$400,0)),C$2,)</f>
        <v>0</v>
      </c>
      <c r="D37" s="140">
        <f ca="1">IF(ISNUMBER(MATCH(DATEVALUE($A37),'recurring1_based on steps'!D$1:D$400,0)),D$2,)</f>
        <v>0</v>
      </c>
      <c r="E37" s="140">
        <f ca="1">IF(ISNUMBER(MATCH(DATEVALUE($A37),'recurring1_based on steps'!E$1:E$400,0)),E$2,)</f>
        <v>0</v>
      </c>
      <c r="F37" s="140">
        <f ca="1">IF(ISNUMBER(MATCH(DATEVALUE($A37),'recurring1_based on steps'!F$1:F$400,0)),F$2,)</f>
        <v>0</v>
      </c>
      <c r="G37" s="140">
        <f ca="1">IF(ISNUMBER(MATCH(DATEVALUE($A37),'recurring1_based on steps'!G$1:G$400,0)),G$2,)</f>
        <v>0</v>
      </c>
      <c r="H37" s="140">
        <f ca="1">IF(ISNUMBER(MATCH(DATEVALUE($A37),'recurring1_based on steps'!H$1:H$400,0)),H$2,)</f>
        <v>40</v>
      </c>
      <c r="I37" s="140">
        <f ca="1">IF(ISNUMBER(MATCH(DATEVALUE($A37),'recurring1_based on steps'!I$1:I$400,0)),I$2,)</f>
        <v>0</v>
      </c>
      <c r="J37" s="140">
        <f ca="1">IF(ISNUMBER(MATCH(DATEVALUE($A37),'recurring1_based on steps'!J$1:J$400,0)),J$2,)</f>
        <v>0</v>
      </c>
      <c r="K37" s="140">
        <f ca="1">IF(ISNUMBER(MATCH(DATEVALUE($A37),'recurring1_based on steps'!K$1:K$400,0)),K$2,)</f>
        <v>0</v>
      </c>
      <c r="L37" s="140">
        <f ca="1">IF(ISNUMBER(MATCH(DATEVALUE($A37),'recurring1_based on steps'!L$1:L$400,0)),L$2,)</f>
        <v>0</v>
      </c>
      <c r="M37" s="140">
        <f ca="1">IF(ISNUMBER(MATCH(DATEVALUE($A37),'recurring1_based on steps'!M$1:M$400,0)),M$2,)</f>
        <v>0</v>
      </c>
      <c r="N37" s="140">
        <f ca="1">IF(ISNUMBER(MATCH(DATEVALUE($A37),'recurring1_based on steps'!N$1:N$400,0)),N$2,)</f>
        <v>0</v>
      </c>
      <c r="O37" s="140">
        <f ca="1">IF(ISNUMBER(MATCH(DATEVALUE($A37),'recurring1_based on steps'!O$1:O$400,0)),O$2,)</f>
        <v>0</v>
      </c>
      <c r="P37" s="140">
        <f ca="1">IF(ISNUMBER(MATCH(DATEVALUE($A37),'recurring1_based on steps'!P$1:P$400,0)),P$2,)</f>
        <v>0</v>
      </c>
      <c r="Q37" s="140">
        <f ca="1">IF(ISNUMBER(MATCH(DATEVALUE($A37),'recurring1_based on steps'!Q$1:Q$400,0)),Q$2,)</f>
        <v>0</v>
      </c>
      <c r="R37" s="140">
        <f ca="1">IF(ISNUMBER(MATCH(DATEVALUE($A37),'recurring1_based on steps'!R$1:R$400,0)),R$2,)</f>
        <v>0</v>
      </c>
      <c r="S37" s="140">
        <f ca="1">IF(ISNUMBER(MATCH(DATEVALUE($A37),'recurring1_based on steps'!S$1:S$400,0)),S$2,)</f>
        <v>0</v>
      </c>
      <c r="T37" s="140">
        <f ca="1">IF(ISNUMBER(MATCH(DATEVALUE($A37),'recurring1_based on steps'!T$1:T$400,0)),T$2,)</f>
        <v>0</v>
      </c>
      <c r="U37" s="140">
        <f ca="1">IF(ISNUMBER(MATCH(DATEVALUE($A37),'recurring1_based on steps'!U$1:U$400,0)),U$2,)</f>
        <v>0</v>
      </c>
      <c r="V37" s="140">
        <f ca="1">IF(ISNUMBER(MATCH(DATEVALUE($A37),'recurring1_based on steps'!V$1:V$400,0)),V$2,)</f>
        <v>0</v>
      </c>
      <c r="W37" s="140">
        <f ca="1">IF(ISNUMBER(MATCH(DATEVALUE($A37),'recurring1_based on steps'!W$1:W$400,0)),W$2,)</f>
        <v>100</v>
      </c>
      <c r="X37" s="140">
        <f ca="1">IF(ISNUMBER(MATCH(DATEVALUE($A37),'recurring1_based on steps'!X$1:X$400,0)),X$2,)</f>
        <v>0</v>
      </c>
      <c r="Y37" s="140">
        <f ca="1">IF(ISNUMBER(MATCH(DATEVALUE($A37),'recurring1_based on steps'!Y$1:Y$400,0)),Y$2,)</f>
        <v>0</v>
      </c>
      <c r="Z37" s="140">
        <f ca="1">IF(ISNUMBER(MATCH(DATEVALUE($A37),'recurring1_based on steps'!Z$1:Z$400,0)),Z$2,)</f>
        <v>0</v>
      </c>
      <c r="AA37" s="140">
        <f ca="1">IF(ISNUMBER(MATCH(DATEVALUE($A37),'recurring1_based on steps'!AA$1:AA$400,0)),AA$2,)</f>
        <v>0</v>
      </c>
      <c r="AB37" s="140">
        <f ca="1">IF(ISNUMBER(MATCH(DATEVALUE($A37),'recurring1_based on steps'!AB$1:AB$400,0)),AB$2,)</f>
        <v>5.5401662049861494E-2</v>
      </c>
      <c r="AC37" s="140">
        <f ca="1">IF(ISNUMBER(MATCH(DATEVALUE($A37),'recurring1_based on steps'!AC$1:AC$400,0)),AC$2,)</f>
        <v>0</v>
      </c>
      <c r="AD37" s="140">
        <f ca="1">IF(ISNUMBER(MATCH(DATEVALUE($A37),'recurring1_based on steps'!AD$1:AD$400,0)),AD$2,)</f>
        <v>0</v>
      </c>
      <c r="AE37" s="140">
        <f ca="1">IF(ISNUMBER(MATCH(DATEVALUE($A37),'recurring1_based on steps'!AE$1:AE$400,0)),AE$2,)</f>
        <v>0</v>
      </c>
      <c r="AF37" s="140">
        <f ca="1">IF(ISNUMBER(MATCH(DATEVALUE($A37),'recurring1_based on steps'!AF$1:AF$400,0)),AF$2,)</f>
        <v>0</v>
      </c>
      <c r="AG37" s="140">
        <f ca="1">IF(ISNUMBER(MATCH(DATEVALUE($A37),'recurring1_based on steps'!AG$1:AG$400,0)),AG$2,)</f>
        <v>0</v>
      </c>
      <c r="AH37" s="140">
        <f ca="1">IF(ISNUMBER(MATCH(DATEVALUE($A37),'recurring1_based on steps'!AH$1:AH$400,0)),AH$2,)</f>
        <v>0</v>
      </c>
      <c r="AI37" s="140">
        <f ca="1">IF(ISNUMBER(MATCH(DATEVALUE($A37),'recurring1_based on steps'!AI$1:AI$400,0)),AI$2,)</f>
        <v>0</v>
      </c>
      <c r="AJ37" s="140">
        <f ca="1">IF(ISNUMBER(MATCH(DATEVALUE($A37),'recurring1_based on steps'!AJ$1:AJ$400,0)),AJ$2,)</f>
        <v>0</v>
      </c>
      <c r="AK37" s="140">
        <f ca="1">IF(ISNUMBER(MATCH(DATEVALUE($A37),'recurring1_based on steps'!AK$1:AK$400,0)),AK$2,)</f>
        <v>0</v>
      </c>
      <c r="AL37" s="140">
        <f ca="1">IF(ISNUMBER(MATCH(DATEVALUE($A37),'recurring1_based on steps'!AL$1:AL$400,0)),AL$2,)</f>
        <v>0</v>
      </c>
      <c r="AM37" s="140">
        <f ca="1">IF(ISNUMBER(MATCH(DATEVALUE($A37),'recurring1_based on steps'!AM$1:AM$400,0)),AM$2,)</f>
        <v>0</v>
      </c>
      <c r="AN37" s="140">
        <f ca="1">IF(ISNUMBER(MATCH(DATEVALUE($A37),'recurring1_based on steps'!AN$1:AN$400,0)),AN$2,)</f>
        <v>0</v>
      </c>
      <c r="AO37" s="140">
        <f ca="1">IF(ISNUMBER(MATCH(DATEVALUE($A37),'recurring1_based on steps'!AO$1:AO$400,0)),AO$2,)</f>
        <v>0</v>
      </c>
      <c r="AP37" s="140">
        <f ca="1">IF(ISNUMBER(MATCH(DATEVALUE($A37),'recurring1_based on steps'!AP$1:AP$400,0)),AP$2,)</f>
        <v>0</v>
      </c>
      <c r="AQ37" s="140">
        <f ca="1">IF(ISNUMBER(MATCH(DATEVALUE($A37),'recurring1_based on steps'!AQ$1:AQ$400,0)),AQ$2,)</f>
        <v>0</v>
      </c>
      <c r="AR37" s="140">
        <f ca="1">IF(ISNUMBER(MATCH(DATEVALUE($A37),'recurring1_based on steps'!AR$1:AR$400,0)),AR$2,)</f>
        <v>0</v>
      </c>
      <c r="AS37" s="140">
        <f ca="1">IF(ISNUMBER(MATCH(DATEVALUE($A37),'recurring1_based on steps'!AS$1:AS$400,0)),AS$2,)</f>
        <v>0</v>
      </c>
      <c r="AT37" s="140">
        <f ca="1">IF(ISNUMBER(MATCH(DATEVALUE($A37),'recurring1_based on steps'!AT$1:AT$400,0)),AT$2,)</f>
        <v>0</v>
      </c>
      <c r="AU37" s="140">
        <f ca="1">IF(ISNUMBER(MATCH(DATEVALUE($A37),'recurring1_based on steps'!AU$1:AU$400,0)),AU$2,)</f>
        <v>0</v>
      </c>
      <c r="AV37" s="140">
        <f ca="1">IF(ISNUMBER(MATCH(DATEVALUE($A37),'recurring1_based on steps'!AV$1:AV$400,0)),AV$2,)</f>
        <v>0</v>
      </c>
      <c r="AW37" s="140">
        <f ca="1">IF(ISNUMBER(MATCH(DATEVALUE($A37),'recurring1_based on steps'!AW$1:AW$400,0)),AW$2,)</f>
        <v>0</v>
      </c>
      <c r="AX37" s="140">
        <f ca="1">IF(ISNUMBER(MATCH(DATEVALUE($A37),'recurring1_based on steps'!AX$1:AX$400,0)),AX$2,)</f>
        <v>0</v>
      </c>
      <c r="AY37" s="140">
        <f ca="1">IF(ISNUMBER(MATCH(DATEVALUE($A37),'recurring1_based on steps'!AY$1:AY$400,0)),AY$2,)</f>
        <v>0</v>
      </c>
    </row>
    <row r="38" spans="1:51" x14ac:dyDescent="0.2">
      <c r="A38" s="29" t="str">
        <f t="shared" ca="1" si="0"/>
        <v>2025-05-01</v>
      </c>
      <c r="B38" s="140">
        <f ca="1">IF(ISNUMBER(MATCH(DATEVALUE($A38),'recurring1_based on steps'!B$1:B$400,0)),B$2,)</f>
        <v>0</v>
      </c>
      <c r="C38" s="140">
        <f ca="1">IF(ISNUMBER(MATCH(DATEVALUE($A38),'recurring1_based on steps'!C$1:C$400,0)),C$2,)</f>
        <v>0</v>
      </c>
      <c r="D38" s="140">
        <f ca="1">IF(ISNUMBER(MATCH(DATEVALUE($A38),'recurring1_based on steps'!D$1:D$400,0)),D$2,)</f>
        <v>0</v>
      </c>
      <c r="E38" s="140">
        <f ca="1">IF(ISNUMBER(MATCH(DATEVALUE($A38),'recurring1_based on steps'!E$1:E$400,0)),E$2,)</f>
        <v>0</v>
      </c>
      <c r="F38" s="140">
        <f ca="1">IF(ISNUMBER(MATCH(DATEVALUE($A38),'recurring1_based on steps'!F$1:F$400,0)),F$2,)</f>
        <v>0</v>
      </c>
      <c r="G38" s="140">
        <f ca="1">IF(ISNUMBER(MATCH(DATEVALUE($A38),'recurring1_based on steps'!G$1:G$400,0)),G$2,)</f>
        <v>0</v>
      </c>
      <c r="H38" s="140">
        <f ca="1">IF(ISNUMBER(MATCH(DATEVALUE($A38),'recurring1_based on steps'!H$1:H$400,0)),H$2,)</f>
        <v>0</v>
      </c>
      <c r="I38" s="140">
        <f ca="1">IF(ISNUMBER(MATCH(DATEVALUE($A38),'recurring1_based on steps'!I$1:I$400,0)),I$2,)</f>
        <v>2000</v>
      </c>
      <c r="J38" s="140">
        <f ca="1">IF(ISNUMBER(MATCH(DATEVALUE($A38),'recurring1_based on steps'!J$1:J$400,0)),J$2,)</f>
        <v>0</v>
      </c>
      <c r="K38" s="140">
        <f ca="1">IF(ISNUMBER(MATCH(DATEVALUE($A38),'recurring1_based on steps'!K$1:K$400,0)),K$2,)</f>
        <v>0</v>
      </c>
      <c r="L38" s="140">
        <f ca="1">IF(ISNUMBER(MATCH(DATEVALUE($A38),'recurring1_based on steps'!L$1:L$400,0)),L$2,)</f>
        <v>0</v>
      </c>
      <c r="M38" s="140">
        <f ca="1">IF(ISNUMBER(MATCH(DATEVALUE($A38),'recurring1_based on steps'!M$1:M$400,0)),M$2,)</f>
        <v>0</v>
      </c>
      <c r="N38" s="140">
        <f ca="1">IF(ISNUMBER(MATCH(DATEVALUE($A38),'recurring1_based on steps'!N$1:N$400,0)),N$2,)</f>
        <v>0</v>
      </c>
      <c r="O38" s="140">
        <f ca="1">IF(ISNUMBER(MATCH(DATEVALUE($A38),'recurring1_based on steps'!O$1:O$400,0)),O$2,)</f>
        <v>0</v>
      </c>
      <c r="P38" s="140">
        <f ca="1">IF(ISNUMBER(MATCH(DATEVALUE($A38),'recurring1_based on steps'!P$1:P$400,0)),P$2,)</f>
        <v>0</v>
      </c>
      <c r="Q38" s="140">
        <f ca="1">IF(ISNUMBER(MATCH(DATEVALUE($A38),'recurring1_based on steps'!Q$1:Q$400,0)),Q$2,)</f>
        <v>0</v>
      </c>
      <c r="R38" s="140">
        <f ca="1">IF(ISNUMBER(MATCH(DATEVALUE($A38),'recurring1_based on steps'!R$1:R$400,0)),R$2,)</f>
        <v>0</v>
      </c>
      <c r="S38" s="140">
        <f ca="1">IF(ISNUMBER(MATCH(DATEVALUE($A38),'recurring1_based on steps'!S$1:S$400,0)),S$2,)</f>
        <v>0</v>
      </c>
      <c r="T38" s="140">
        <f ca="1">IF(ISNUMBER(MATCH(DATEVALUE($A38),'recurring1_based on steps'!T$1:T$400,0)),T$2,)</f>
        <v>0</v>
      </c>
      <c r="U38" s="140">
        <f ca="1">IF(ISNUMBER(MATCH(DATEVALUE($A38),'recurring1_based on steps'!U$1:U$400,0)),U$2,)</f>
        <v>0</v>
      </c>
      <c r="V38" s="140">
        <f ca="1">IF(ISNUMBER(MATCH(DATEVALUE($A38),'recurring1_based on steps'!V$1:V$400,0)),V$2,)</f>
        <v>0</v>
      </c>
      <c r="W38" s="140">
        <f ca="1">IF(ISNUMBER(MATCH(DATEVALUE($A38),'recurring1_based on steps'!W$1:W$400,0)),W$2,)</f>
        <v>0</v>
      </c>
      <c r="X38" s="140">
        <f ca="1">IF(ISNUMBER(MATCH(DATEVALUE($A38),'recurring1_based on steps'!X$1:X$400,0)),X$2,)</f>
        <v>0</v>
      </c>
      <c r="Y38" s="140">
        <f ca="1">IF(ISNUMBER(MATCH(DATEVALUE($A38),'recurring1_based on steps'!Y$1:Y$400,0)),Y$2,)</f>
        <v>0</v>
      </c>
      <c r="Z38" s="140">
        <f ca="1">IF(ISNUMBER(MATCH(DATEVALUE($A38),'recurring1_based on steps'!Z$1:Z$400,0)),Z$2,)</f>
        <v>0</v>
      </c>
      <c r="AA38" s="140">
        <f ca="1">IF(ISNUMBER(MATCH(DATEVALUE($A38),'recurring1_based on steps'!AA$1:AA$400,0)),AA$2,)</f>
        <v>0</v>
      </c>
      <c r="AB38" s="140">
        <f ca="1">IF(ISNUMBER(MATCH(DATEVALUE($A38),'recurring1_based on steps'!AB$1:AB$400,0)),AB$2,)</f>
        <v>5.5401662049861494E-2</v>
      </c>
      <c r="AC38" s="140">
        <f ca="1">IF(ISNUMBER(MATCH(DATEVALUE($A38),'recurring1_based on steps'!AC$1:AC$400,0)),AC$2,)</f>
        <v>0</v>
      </c>
      <c r="AD38" s="140">
        <f ca="1">IF(ISNUMBER(MATCH(DATEVALUE($A38),'recurring1_based on steps'!AD$1:AD$400,0)),AD$2,)</f>
        <v>0</v>
      </c>
      <c r="AE38" s="140">
        <f ca="1">IF(ISNUMBER(MATCH(DATEVALUE($A38),'recurring1_based on steps'!AE$1:AE$400,0)),AE$2,)</f>
        <v>0</v>
      </c>
      <c r="AF38" s="140">
        <f ca="1">IF(ISNUMBER(MATCH(DATEVALUE($A38),'recurring1_based on steps'!AF$1:AF$400,0)),AF$2,)</f>
        <v>0</v>
      </c>
      <c r="AG38" s="140">
        <f ca="1">IF(ISNUMBER(MATCH(DATEVALUE($A38),'recurring1_based on steps'!AG$1:AG$400,0)),AG$2,)</f>
        <v>0</v>
      </c>
      <c r="AH38" s="140">
        <f ca="1">IF(ISNUMBER(MATCH(DATEVALUE($A38),'recurring1_based on steps'!AH$1:AH$400,0)),AH$2,)</f>
        <v>0</v>
      </c>
      <c r="AI38" s="140">
        <f ca="1">IF(ISNUMBER(MATCH(DATEVALUE($A38),'recurring1_based on steps'!AI$1:AI$400,0)),AI$2,)</f>
        <v>0</v>
      </c>
      <c r="AJ38" s="140">
        <f ca="1">IF(ISNUMBER(MATCH(DATEVALUE($A38),'recurring1_based on steps'!AJ$1:AJ$400,0)),AJ$2,)</f>
        <v>0</v>
      </c>
      <c r="AK38" s="140">
        <f ca="1">IF(ISNUMBER(MATCH(DATEVALUE($A38),'recurring1_based on steps'!AK$1:AK$400,0)),AK$2,)</f>
        <v>0</v>
      </c>
      <c r="AL38" s="140">
        <f ca="1">IF(ISNUMBER(MATCH(DATEVALUE($A38),'recurring1_based on steps'!AL$1:AL$400,0)),AL$2,)</f>
        <v>0</v>
      </c>
      <c r="AM38" s="140">
        <f ca="1">IF(ISNUMBER(MATCH(DATEVALUE($A38),'recurring1_based on steps'!AM$1:AM$400,0)),AM$2,)</f>
        <v>0</v>
      </c>
      <c r="AN38" s="140">
        <f ca="1">IF(ISNUMBER(MATCH(DATEVALUE($A38),'recurring1_based on steps'!AN$1:AN$400,0)),AN$2,)</f>
        <v>0</v>
      </c>
      <c r="AO38" s="140">
        <f ca="1">IF(ISNUMBER(MATCH(DATEVALUE($A38),'recurring1_based on steps'!AO$1:AO$400,0)),AO$2,)</f>
        <v>0</v>
      </c>
      <c r="AP38" s="140">
        <f ca="1">IF(ISNUMBER(MATCH(DATEVALUE($A38),'recurring1_based on steps'!AP$1:AP$400,0)),AP$2,)</f>
        <v>0</v>
      </c>
      <c r="AQ38" s="140">
        <f ca="1">IF(ISNUMBER(MATCH(DATEVALUE($A38),'recurring1_based on steps'!AQ$1:AQ$400,0)),AQ$2,)</f>
        <v>0</v>
      </c>
      <c r="AR38" s="140">
        <f ca="1">IF(ISNUMBER(MATCH(DATEVALUE($A38),'recurring1_based on steps'!AR$1:AR$400,0)),AR$2,)</f>
        <v>0</v>
      </c>
      <c r="AS38" s="140">
        <f ca="1">IF(ISNUMBER(MATCH(DATEVALUE($A38),'recurring1_based on steps'!AS$1:AS$400,0)),AS$2,)</f>
        <v>0</v>
      </c>
      <c r="AT38" s="140">
        <f ca="1">IF(ISNUMBER(MATCH(DATEVALUE($A38),'recurring1_based on steps'!AT$1:AT$400,0)),AT$2,)</f>
        <v>0</v>
      </c>
      <c r="AU38" s="140">
        <f ca="1">IF(ISNUMBER(MATCH(DATEVALUE($A38),'recurring1_based on steps'!AU$1:AU$400,0)),AU$2,)</f>
        <v>0</v>
      </c>
      <c r="AV38" s="140">
        <f ca="1">IF(ISNUMBER(MATCH(DATEVALUE($A38),'recurring1_based on steps'!AV$1:AV$400,0)),AV$2,)</f>
        <v>0</v>
      </c>
      <c r="AW38" s="140">
        <f ca="1">IF(ISNUMBER(MATCH(DATEVALUE($A38),'recurring1_based on steps'!AW$1:AW$400,0)),AW$2,)</f>
        <v>0</v>
      </c>
      <c r="AX38" s="140">
        <f ca="1">IF(ISNUMBER(MATCH(DATEVALUE($A38),'recurring1_based on steps'!AX$1:AX$400,0)),AX$2,)</f>
        <v>0</v>
      </c>
      <c r="AY38" s="140">
        <f ca="1">IF(ISNUMBER(MATCH(DATEVALUE($A38),'recurring1_based on steps'!AY$1:AY$400,0)),AY$2,)</f>
        <v>0</v>
      </c>
    </row>
    <row r="39" spans="1:51" x14ac:dyDescent="0.2">
      <c r="A39" s="29" t="str">
        <f t="shared" ca="1" si="0"/>
        <v>2025-05-02</v>
      </c>
      <c r="B39" s="140">
        <f ca="1">IF(ISNUMBER(MATCH(DATEVALUE($A39),'recurring1_based on steps'!B$1:B$400,0)),B$2,)</f>
        <v>4000</v>
      </c>
      <c r="C39" s="140">
        <f ca="1">IF(ISNUMBER(MATCH(DATEVALUE($A39),'recurring1_based on steps'!C$1:C$400,0)),C$2,)</f>
        <v>200</v>
      </c>
      <c r="D39" s="140">
        <f ca="1">IF(ISNUMBER(MATCH(DATEVALUE($A39),'recurring1_based on steps'!D$1:D$400,0)),D$2,)</f>
        <v>2</v>
      </c>
      <c r="E39" s="140">
        <f ca="1">IF(ISNUMBER(MATCH(DATEVALUE($A39),'recurring1_based on steps'!E$1:E$400,0)),E$2,)</f>
        <v>40</v>
      </c>
      <c r="F39" s="140">
        <f ca="1">IF(ISNUMBER(MATCH(DATEVALUE($A39),'recurring1_based on steps'!F$1:F$400,0)),F$2,)</f>
        <v>50</v>
      </c>
      <c r="G39" s="140">
        <f ca="1">IF(ISNUMBER(MATCH(DATEVALUE($A39),'recurring1_based on steps'!G$1:G$400,0)),G$2,)</f>
        <v>4</v>
      </c>
      <c r="H39" s="140">
        <f ca="1">IF(ISNUMBER(MATCH(DATEVALUE($A39),'recurring1_based on steps'!H$1:H$400,0)),H$2,)</f>
        <v>0</v>
      </c>
      <c r="I39" s="140">
        <f ca="1">IF(ISNUMBER(MATCH(DATEVALUE($A39),'recurring1_based on steps'!I$1:I$400,0)),I$2,)</f>
        <v>0</v>
      </c>
      <c r="J39" s="140">
        <f ca="1">IF(ISNUMBER(MATCH(DATEVALUE($A39),'recurring1_based on steps'!J$1:J$400,0)),J$2,)</f>
        <v>0</v>
      </c>
      <c r="K39" s="140">
        <f ca="1">IF(ISNUMBER(MATCH(DATEVALUE($A39),'recurring1_based on steps'!K$1:K$400,0)),K$2,)</f>
        <v>0</v>
      </c>
      <c r="L39" s="140">
        <f ca="1">IF(ISNUMBER(MATCH(DATEVALUE($A39),'recurring1_based on steps'!L$1:L$400,0)),L$2,)</f>
        <v>0</v>
      </c>
      <c r="M39" s="140">
        <f ca="1">IF(ISNUMBER(MATCH(DATEVALUE($A39),'recurring1_based on steps'!M$1:M$400,0)),M$2,)</f>
        <v>0</v>
      </c>
      <c r="N39" s="140">
        <f ca="1">IF(ISNUMBER(MATCH(DATEVALUE($A39),'recurring1_based on steps'!N$1:N$400,0)),N$2,)</f>
        <v>0</v>
      </c>
      <c r="O39" s="140">
        <f ca="1">IF(ISNUMBER(MATCH(DATEVALUE($A39),'recurring1_based on steps'!O$1:O$400,0)),O$2,)</f>
        <v>0</v>
      </c>
      <c r="P39" s="140">
        <f ca="1">IF(ISNUMBER(MATCH(DATEVALUE($A39),'recurring1_based on steps'!P$1:P$400,0)),P$2,)</f>
        <v>0</v>
      </c>
      <c r="Q39" s="140">
        <f ca="1">IF(ISNUMBER(MATCH(DATEVALUE($A39),'recurring1_based on steps'!Q$1:Q$400,0)),Q$2,)</f>
        <v>0</v>
      </c>
      <c r="R39" s="140">
        <f ca="1">IF(ISNUMBER(MATCH(DATEVALUE($A39),'recurring1_based on steps'!R$1:R$400,0)),R$2,)</f>
        <v>0</v>
      </c>
      <c r="S39" s="140">
        <f ca="1">IF(ISNUMBER(MATCH(DATEVALUE($A39),'recurring1_based on steps'!S$1:S$400,0)),S$2,)</f>
        <v>0</v>
      </c>
      <c r="T39" s="140">
        <f ca="1">IF(ISNUMBER(MATCH(DATEVALUE($A39),'recurring1_based on steps'!T$1:T$400,0)),T$2,)</f>
        <v>0</v>
      </c>
      <c r="U39" s="140">
        <f ca="1">IF(ISNUMBER(MATCH(DATEVALUE($A39),'recurring1_based on steps'!U$1:U$400,0)),U$2,)</f>
        <v>0</v>
      </c>
      <c r="V39" s="140">
        <f ca="1">IF(ISNUMBER(MATCH(DATEVALUE($A39),'recurring1_based on steps'!V$1:V$400,0)),V$2,)</f>
        <v>0</v>
      </c>
      <c r="W39" s="140">
        <f ca="1">IF(ISNUMBER(MATCH(DATEVALUE($A39),'recurring1_based on steps'!W$1:W$400,0)),W$2,)</f>
        <v>0</v>
      </c>
      <c r="X39" s="140">
        <f ca="1">IF(ISNUMBER(MATCH(DATEVALUE($A39),'recurring1_based on steps'!X$1:X$400,0)),X$2,)</f>
        <v>50</v>
      </c>
      <c r="Y39" s="140">
        <f ca="1">IF(ISNUMBER(MATCH(DATEVALUE($A39),'recurring1_based on steps'!Y$1:Y$400,0)),Y$2,)</f>
        <v>50</v>
      </c>
      <c r="Z39" s="140">
        <f ca="1">IF(ISNUMBER(MATCH(DATEVALUE($A39),'recurring1_based on steps'!Z$1:Z$400,0)),Z$2,)</f>
        <v>0</v>
      </c>
      <c r="AA39" s="140">
        <f ca="1">IF(ISNUMBER(MATCH(DATEVALUE($A39),'recurring1_based on steps'!AA$1:AA$400,0)),AA$2,)</f>
        <v>0</v>
      </c>
      <c r="AB39" s="140">
        <f ca="1">IF(ISNUMBER(MATCH(DATEVALUE($A39),'recurring1_based on steps'!AB$1:AB$400,0)),AB$2,)</f>
        <v>5.5401662049861494E-2</v>
      </c>
      <c r="AC39" s="140">
        <f ca="1">IF(ISNUMBER(MATCH(DATEVALUE($A39),'recurring1_based on steps'!AC$1:AC$400,0)),AC$2,)</f>
        <v>0</v>
      </c>
      <c r="AD39" s="140">
        <f ca="1">IF(ISNUMBER(MATCH(DATEVALUE($A39),'recurring1_based on steps'!AD$1:AD$400,0)),AD$2,)</f>
        <v>0</v>
      </c>
      <c r="AE39" s="140">
        <f ca="1">IF(ISNUMBER(MATCH(DATEVALUE($A39),'recurring1_based on steps'!AE$1:AE$400,0)),AE$2,)</f>
        <v>0</v>
      </c>
      <c r="AF39" s="140">
        <f ca="1">IF(ISNUMBER(MATCH(DATEVALUE($A39),'recurring1_based on steps'!AF$1:AF$400,0)),AF$2,)</f>
        <v>0</v>
      </c>
      <c r="AG39" s="140">
        <f ca="1">IF(ISNUMBER(MATCH(DATEVALUE($A39),'recurring1_based on steps'!AG$1:AG$400,0)),AG$2,)</f>
        <v>0</v>
      </c>
      <c r="AH39" s="140">
        <f ca="1">IF(ISNUMBER(MATCH(DATEVALUE($A39),'recurring1_based on steps'!AH$1:AH$400,0)),AH$2,)</f>
        <v>0</v>
      </c>
      <c r="AI39" s="140">
        <f ca="1">IF(ISNUMBER(MATCH(DATEVALUE($A39),'recurring1_based on steps'!AI$1:AI$400,0)),AI$2,)</f>
        <v>0</v>
      </c>
      <c r="AJ39" s="140">
        <f ca="1">IF(ISNUMBER(MATCH(DATEVALUE($A39),'recurring1_based on steps'!AJ$1:AJ$400,0)),AJ$2,)</f>
        <v>0</v>
      </c>
      <c r="AK39" s="140">
        <f ca="1">IF(ISNUMBER(MATCH(DATEVALUE($A39),'recurring1_based on steps'!AK$1:AK$400,0)),AK$2,)</f>
        <v>0</v>
      </c>
      <c r="AL39" s="140">
        <f ca="1">IF(ISNUMBER(MATCH(DATEVALUE($A39),'recurring1_based on steps'!AL$1:AL$400,0)),AL$2,)</f>
        <v>0</v>
      </c>
      <c r="AM39" s="140">
        <f ca="1">IF(ISNUMBER(MATCH(DATEVALUE($A39),'recurring1_based on steps'!AM$1:AM$400,0)),AM$2,)</f>
        <v>0</v>
      </c>
      <c r="AN39" s="140">
        <f ca="1">IF(ISNUMBER(MATCH(DATEVALUE($A39),'recurring1_based on steps'!AN$1:AN$400,0)),AN$2,)</f>
        <v>0</v>
      </c>
      <c r="AO39" s="140">
        <f ca="1">IF(ISNUMBER(MATCH(DATEVALUE($A39),'recurring1_based on steps'!AO$1:AO$400,0)),AO$2,)</f>
        <v>0</v>
      </c>
      <c r="AP39" s="140">
        <f ca="1">IF(ISNUMBER(MATCH(DATEVALUE($A39),'recurring1_based on steps'!AP$1:AP$400,0)),AP$2,)</f>
        <v>0</v>
      </c>
      <c r="AQ39" s="140">
        <f ca="1">IF(ISNUMBER(MATCH(DATEVALUE($A39),'recurring1_based on steps'!AQ$1:AQ$400,0)),AQ$2,)</f>
        <v>0</v>
      </c>
      <c r="AR39" s="140">
        <f ca="1">IF(ISNUMBER(MATCH(DATEVALUE($A39),'recurring1_based on steps'!AR$1:AR$400,0)),AR$2,)</f>
        <v>0</v>
      </c>
      <c r="AS39" s="140">
        <f ca="1">IF(ISNUMBER(MATCH(DATEVALUE($A39),'recurring1_based on steps'!AS$1:AS$400,0)),AS$2,)</f>
        <v>0</v>
      </c>
      <c r="AT39" s="140">
        <f ca="1">IF(ISNUMBER(MATCH(DATEVALUE($A39),'recurring1_based on steps'!AT$1:AT$400,0)),AT$2,)</f>
        <v>0</v>
      </c>
      <c r="AU39" s="140">
        <f ca="1">IF(ISNUMBER(MATCH(DATEVALUE($A39),'recurring1_based on steps'!AU$1:AU$400,0)),AU$2,)</f>
        <v>0</v>
      </c>
      <c r="AV39" s="140">
        <f ca="1">IF(ISNUMBER(MATCH(DATEVALUE($A39),'recurring1_based on steps'!AV$1:AV$400,0)),AV$2,)</f>
        <v>0</v>
      </c>
      <c r="AW39" s="140">
        <f ca="1">IF(ISNUMBER(MATCH(DATEVALUE($A39),'recurring1_based on steps'!AW$1:AW$400,0)),AW$2,)</f>
        <v>0</v>
      </c>
      <c r="AX39" s="140">
        <f ca="1">IF(ISNUMBER(MATCH(DATEVALUE($A39),'recurring1_based on steps'!AX$1:AX$400,0)),AX$2,)</f>
        <v>0</v>
      </c>
      <c r="AY39" s="140">
        <f ca="1">IF(ISNUMBER(MATCH(DATEVALUE($A39),'recurring1_based on steps'!AY$1:AY$400,0)),AY$2,)</f>
        <v>0</v>
      </c>
    </row>
    <row r="40" spans="1:51" x14ac:dyDescent="0.2">
      <c r="A40" s="29" t="str">
        <f t="shared" ca="1" si="0"/>
        <v>2025-05-03</v>
      </c>
      <c r="B40" s="140">
        <f ca="1">IF(ISNUMBER(MATCH(DATEVALUE($A40),'recurring1_based on steps'!B$1:B$400,0)),B$2,)</f>
        <v>0</v>
      </c>
      <c r="C40" s="140">
        <f ca="1">IF(ISNUMBER(MATCH(DATEVALUE($A40),'recurring1_based on steps'!C$1:C$400,0)),C$2,)</f>
        <v>0</v>
      </c>
      <c r="D40" s="140">
        <f ca="1">IF(ISNUMBER(MATCH(DATEVALUE($A40),'recurring1_based on steps'!D$1:D$400,0)),D$2,)</f>
        <v>0</v>
      </c>
      <c r="E40" s="140">
        <f ca="1">IF(ISNUMBER(MATCH(DATEVALUE($A40),'recurring1_based on steps'!E$1:E$400,0)),E$2,)</f>
        <v>0</v>
      </c>
      <c r="F40" s="140">
        <f ca="1">IF(ISNUMBER(MATCH(DATEVALUE($A40),'recurring1_based on steps'!F$1:F$400,0)),F$2,)</f>
        <v>0</v>
      </c>
      <c r="G40" s="140">
        <f ca="1">IF(ISNUMBER(MATCH(DATEVALUE($A40),'recurring1_based on steps'!G$1:G$400,0)),G$2,)</f>
        <v>0</v>
      </c>
      <c r="H40" s="140">
        <f ca="1">IF(ISNUMBER(MATCH(DATEVALUE($A40),'recurring1_based on steps'!H$1:H$400,0)),H$2,)</f>
        <v>0</v>
      </c>
      <c r="I40" s="140">
        <f ca="1">IF(ISNUMBER(MATCH(DATEVALUE($A40),'recurring1_based on steps'!I$1:I$400,0)),I$2,)</f>
        <v>0</v>
      </c>
      <c r="J40" s="140">
        <f ca="1">IF(ISNUMBER(MATCH(DATEVALUE($A40),'recurring1_based on steps'!J$1:J$400,0)),J$2,)</f>
        <v>0</v>
      </c>
      <c r="K40" s="140">
        <f ca="1">IF(ISNUMBER(MATCH(DATEVALUE($A40),'recurring1_based on steps'!K$1:K$400,0)),K$2,)</f>
        <v>0</v>
      </c>
      <c r="L40" s="140">
        <f ca="1">IF(ISNUMBER(MATCH(DATEVALUE($A40),'recurring1_based on steps'!L$1:L$400,0)),L$2,)</f>
        <v>0</v>
      </c>
      <c r="M40" s="140">
        <f ca="1">IF(ISNUMBER(MATCH(DATEVALUE($A40),'recurring1_based on steps'!M$1:M$400,0)),M$2,)</f>
        <v>0</v>
      </c>
      <c r="N40" s="140">
        <f ca="1">IF(ISNUMBER(MATCH(DATEVALUE($A40),'recurring1_based on steps'!N$1:N$400,0)),N$2,)</f>
        <v>0</v>
      </c>
      <c r="O40" s="140">
        <f ca="1">IF(ISNUMBER(MATCH(DATEVALUE($A40),'recurring1_based on steps'!O$1:O$400,0)),O$2,)</f>
        <v>0</v>
      </c>
      <c r="P40" s="140">
        <f ca="1">IF(ISNUMBER(MATCH(DATEVALUE($A40),'recurring1_based on steps'!P$1:P$400,0)),P$2,)</f>
        <v>0</v>
      </c>
      <c r="Q40" s="140">
        <f ca="1">IF(ISNUMBER(MATCH(DATEVALUE($A40),'recurring1_based on steps'!Q$1:Q$400,0)),Q$2,)</f>
        <v>100</v>
      </c>
      <c r="R40" s="140">
        <f ca="1">IF(ISNUMBER(MATCH(DATEVALUE($A40),'recurring1_based on steps'!R$1:R$400,0)),R$2,)</f>
        <v>100</v>
      </c>
      <c r="S40" s="140">
        <f ca="1">IF(ISNUMBER(MATCH(DATEVALUE($A40),'recurring1_based on steps'!S$1:S$400,0)),S$2,)</f>
        <v>0</v>
      </c>
      <c r="T40" s="140">
        <f ca="1">IF(ISNUMBER(MATCH(DATEVALUE($A40),'recurring1_based on steps'!T$1:T$400,0)),T$2,)</f>
        <v>0</v>
      </c>
      <c r="U40" s="140">
        <f ca="1">IF(ISNUMBER(MATCH(DATEVALUE($A40),'recurring1_based on steps'!U$1:U$400,0)),U$2,)</f>
        <v>0</v>
      </c>
      <c r="V40" s="140">
        <f ca="1">IF(ISNUMBER(MATCH(DATEVALUE($A40),'recurring1_based on steps'!V$1:V$400,0)),V$2,)</f>
        <v>0</v>
      </c>
      <c r="W40" s="140">
        <f ca="1">IF(ISNUMBER(MATCH(DATEVALUE($A40),'recurring1_based on steps'!W$1:W$400,0)),W$2,)</f>
        <v>0</v>
      </c>
      <c r="X40" s="140">
        <f ca="1">IF(ISNUMBER(MATCH(DATEVALUE($A40),'recurring1_based on steps'!X$1:X$400,0)),X$2,)</f>
        <v>0</v>
      </c>
      <c r="Y40" s="140">
        <f ca="1">IF(ISNUMBER(MATCH(DATEVALUE($A40),'recurring1_based on steps'!Y$1:Y$400,0)),Y$2,)</f>
        <v>0</v>
      </c>
      <c r="Z40" s="140">
        <f ca="1">IF(ISNUMBER(MATCH(DATEVALUE($A40),'recurring1_based on steps'!Z$1:Z$400,0)),Z$2,)</f>
        <v>0</v>
      </c>
      <c r="AA40" s="140">
        <f ca="1">IF(ISNUMBER(MATCH(DATEVALUE($A40),'recurring1_based on steps'!AA$1:AA$400,0)),AA$2,)</f>
        <v>0</v>
      </c>
      <c r="AB40" s="140">
        <f ca="1">IF(ISNUMBER(MATCH(DATEVALUE($A40),'recurring1_based on steps'!AB$1:AB$400,0)),AB$2,)</f>
        <v>5.5401662049861494E-2</v>
      </c>
      <c r="AC40" s="140">
        <f ca="1">IF(ISNUMBER(MATCH(DATEVALUE($A40),'recurring1_based on steps'!AC$1:AC$400,0)),AC$2,)</f>
        <v>0</v>
      </c>
      <c r="AD40" s="140">
        <f ca="1">IF(ISNUMBER(MATCH(DATEVALUE($A40),'recurring1_based on steps'!AD$1:AD$400,0)),AD$2,)</f>
        <v>0</v>
      </c>
      <c r="AE40" s="140">
        <f ca="1">IF(ISNUMBER(MATCH(DATEVALUE($A40),'recurring1_based on steps'!AE$1:AE$400,0)),AE$2,)</f>
        <v>0</v>
      </c>
      <c r="AF40" s="140">
        <f ca="1">IF(ISNUMBER(MATCH(DATEVALUE($A40),'recurring1_based on steps'!AF$1:AF$400,0)),AF$2,)</f>
        <v>0</v>
      </c>
      <c r="AG40" s="140">
        <f ca="1">IF(ISNUMBER(MATCH(DATEVALUE($A40),'recurring1_based on steps'!AG$1:AG$400,0)),AG$2,)</f>
        <v>0</v>
      </c>
      <c r="AH40" s="140">
        <f ca="1">IF(ISNUMBER(MATCH(DATEVALUE($A40),'recurring1_based on steps'!AH$1:AH$400,0)),AH$2,)</f>
        <v>0</v>
      </c>
      <c r="AI40" s="140">
        <f ca="1">IF(ISNUMBER(MATCH(DATEVALUE($A40),'recurring1_based on steps'!AI$1:AI$400,0)),AI$2,)</f>
        <v>0</v>
      </c>
      <c r="AJ40" s="140">
        <f ca="1">IF(ISNUMBER(MATCH(DATEVALUE($A40),'recurring1_based on steps'!AJ$1:AJ$400,0)),AJ$2,)</f>
        <v>0</v>
      </c>
      <c r="AK40" s="140">
        <f ca="1">IF(ISNUMBER(MATCH(DATEVALUE($A40),'recurring1_based on steps'!AK$1:AK$400,0)),AK$2,)</f>
        <v>0</v>
      </c>
      <c r="AL40" s="140">
        <f ca="1">IF(ISNUMBER(MATCH(DATEVALUE($A40),'recurring1_based on steps'!AL$1:AL$400,0)),AL$2,)</f>
        <v>0</v>
      </c>
      <c r="AM40" s="140">
        <f ca="1">IF(ISNUMBER(MATCH(DATEVALUE($A40),'recurring1_based on steps'!AM$1:AM$400,0)),AM$2,)</f>
        <v>0</v>
      </c>
      <c r="AN40" s="140">
        <f ca="1">IF(ISNUMBER(MATCH(DATEVALUE($A40),'recurring1_based on steps'!AN$1:AN$400,0)),AN$2,)</f>
        <v>0</v>
      </c>
      <c r="AO40" s="140">
        <f ca="1">IF(ISNUMBER(MATCH(DATEVALUE($A40),'recurring1_based on steps'!AO$1:AO$400,0)),AO$2,)</f>
        <v>0</v>
      </c>
      <c r="AP40" s="140">
        <f ca="1">IF(ISNUMBER(MATCH(DATEVALUE($A40),'recurring1_based on steps'!AP$1:AP$400,0)),AP$2,)</f>
        <v>0</v>
      </c>
      <c r="AQ40" s="140">
        <f ca="1">IF(ISNUMBER(MATCH(DATEVALUE($A40),'recurring1_based on steps'!AQ$1:AQ$400,0)),AQ$2,)</f>
        <v>0</v>
      </c>
      <c r="AR40" s="140">
        <f ca="1">IF(ISNUMBER(MATCH(DATEVALUE($A40),'recurring1_based on steps'!AR$1:AR$400,0)),AR$2,)</f>
        <v>0</v>
      </c>
      <c r="AS40" s="140">
        <f ca="1">IF(ISNUMBER(MATCH(DATEVALUE($A40),'recurring1_based on steps'!AS$1:AS$400,0)),AS$2,)</f>
        <v>0</v>
      </c>
      <c r="AT40" s="140">
        <f ca="1">IF(ISNUMBER(MATCH(DATEVALUE($A40),'recurring1_based on steps'!AT$1:AT$400,0)),AT$2,)</f>
        <v>0</v>
      </c>
      <c r="AU40" s="140">
        <f ca="1">IF(ISNUMBER(MATCH(DATEVALUE($A40),'recurring1_based on steps'!AU$1:AU$400,0)),AU$2,)</f>
        <v>0</v>
      </c>
      <c r="AV40" s="140">
        <f ca="1">IF(ISNUMBER(MATCH(DATEVALUE($A40),'recurring1_based on steps'!AV$1:AV$400,0)),AV$2,)</f>
        <v>0</v>
      </c>
      <c r="AW40" s="140">
        <f ca="1">IF(ISNUMBER(MATCH(DATEVALUE($A40),'recurring1_based on steps'!AW$1:AW$400,0)),AW$2,)</f>
        <v>0</v>
      </c>
      <c r="AX40" s="140">
        <f ca="1">IF(ISNUMBER(MATCH(DATEVALUE($A40),'recurring1_based on steps'!AX$1:AX$400,0)),AX$2,)</f>
        <v>0</v>
      </c>
      <c r="AY40" s="140">
        <f ca="1">IF(ISNUMBER(MATCH(DATEVALUE($A40),'recurring1_based on steps'!AY$1:AY$400,0)),AY$2,)</f>
        <v>0</v>
      </c>
    </row>
    <row r="41" spans="1:51" x14ac:dyDescent="0.2">
      <c r="A41" s="29" t="str">
        <f t="shared" ca="1" si="0"/>
        <v>2025-05-04</v>
      </c>
      <c r="B41" s="140">
        <f ca="1">IF(ISNUMBER(MATCH(DATEVALUE($A41),'recurring1_based on steps'!B$1:B$400,0)),B$2,)</f>
        <v>0</v>
      </c>
      <c r="C41" s="140">
        <f ca="1">IF(ISNUMBER(MATCH(DATEVALUE($A41),'recurring1_based on steps'!C$1:C$400,0)),C$2,)</f>
        <v>0</v>
      </c>
      <c r="D41" s="140">
        <f ca="1">IF(ISNUMBER(MATCH(DATEVALUE($A41),'recurring1_based on steps'!D$1:D$400,0)),D$2,)</f>
        <v>0</v>
      </c>
      <c r="E41" s="140">
        <f ca="1">IF(ISNUMBER(MATCH(DATEVALUE($A41),'recurring1_based on steps'!E$1:E$400,0)),E$2,)</f>
        <v>0</v>
      </c>
      <c r="F41" s="140">
        <f ca="1">IF(ISNUMBER(MATCH(DATEVALUE($A41),'recurring1_based on steps'!F$1:F$400,0)),F$2,)</f>
        <v>0</v>
      </c>
      <c r="G41" s="140">
        <f ca="1">IF(ISNUMBER(MATCH(DATEVALUE($A41),'recurring1_based on steps'!G$1:G$400,0)),G$2,)</f>
        <v>0</v>
      </c>
      <c r="H41" s="140">
        <f ca="1">IF(ISNUMBER(MATCH(DATEVALUE($A41),'recurring1_based on steps'!H$1:H$400,0)),H$2,)</f>
        <v>0</v>
      </c>
      <c r="I41" s="140">
        <f ca="1">IF(ISNUMBER(MATCH(DATEVALUE($A41),'recurring1_based on steps'!I$1:I$400,0)),I$2,)</f>
        <v>0</v>
      </c>
      <c r="J41" s="140">
        <f ca="1">IF(ISNUMBER(MATCH(DATEVALUE($A41),'recurring1_based on steps'!J$1:J$400,0)),J$2,)</f>
        <v>0</v>
      </c>
      <c r="K41" s="140">
        <f ca="1">IF(ISNUMBER(MATCH(DATEVALUE($A41),'recurring1_based on steps'!K$1:K$400,0)),K$2,)</f>
        <v>50</v>
      </c>
      <c r="L41" s="140">
        <f ca="1">IF(ISNUMBER(MATCH(DATEVALUE($A41),'recurring1_based on steps'!L$1:L$400,0)),L$2,)</f>
        <v>0</v>
      </c>
      <c r="M41" s="140">
        <f ca="1">IF(ISNUMBER(MATCH(DATEVALUE($A41),'recurring1_based on steps'!M$1:M$400,0)),M$2,)</f>
        <v>15</v>
      </c>
      <c r="N41" s="140">
        <f ca="1">IF(ISNUMBER(MATCH(DATEVALUE($A41),'recurring1_based on steps'!N$1:N$400,0)),N$2,)</f>
        <v>0</v>
      </c>
      <c r="O41" s="140">
        <f ca="1">IF(ISNUMBER(MATCH(DATEVALUE($A41),'recurring1_based on steps'!O$1:O$400,0)),O$2,)</f>
        <v>0</v>
      </c>
      <c r="P41" s="140">
        <f ca="1">IF(ISNUMBER(MATCH(DATEVALUE($A41),'recurring1_based on steps'!P$1:P$400,0)),P$2,)</f>
        <v>0</v>
      </c>
      <c r="Q41" s="140">
        <f ca="1">IF(ISNUMBER(MATCH(DATEVALUE($A41),'recurring1_based on steps'!Q$1:Q$400,0)),Q$2,)</f>
        <v>0</v>
      </c>
      <c r="R41" s="140">
        <f ca="1">IF(ISNUMBER(MATCH(DATEVALUE($A41),'recurring1_based on steps'!R$1:R$400,0)),R$2,)</f>
        <v>0</v>
      </c>
      <c r="S41" s="140">
        <f ca="1">IF(ISNUMBER(MATCH(DATEVALUE($A41),'recurring1_based on steps'!S$1:S$400,0)),S$2,)</f>
        <v>100</v>
      </c>
      <c r="T41" s="140">
        <f ca="1">IF(ISNUMBER(MATCH(DATEVALUE($A41),'recurring1_based on steps'!T$1:T$400,0)),T$2,)</f>
        <v>0</v>
      </c>
      <c r="U41" s="140">
        <f ca="1">IF(ISNUMBER(MATCH(DATEVALUE($A41),'recurring1_based on steps'!U$1:U$400,0)),U$2,)</f>
        <v>0</v>
      </c>
      <c r="V41" s="140">
        <f ca="1">IF(ISNUMBER(MATCH(DATEVALUE($A41),'recurring1_based on steps'!V$1:V$400,0)),V$2,)</f>
        <v>0</v>
      </c>
      <c r="W41" s="140">
        <f ca="1">IF(ISNUMBER(MATCH(DATEVALUE($A41),'recurring1_based on steps'!W$1:W$400,0)),W$2,)</f>
        <v>0</v>
      </c>
      <c r="X41" s="140">
        <f ca="1">IF(ISNUMBER(MATCH(DATEVALUE($A41),'recurring1_based on steps'!X$1:X$400,0)),X$2,)</f>
        <v>0</v>
      </c>
      <c r="Y41" s="140">
        <f ca="1">IF(ISNUMBER(MATCH(DATEVALUE($A41),'recurring1_based on steps'!Y$1:Y$400,0)),Y$2,)</f>
        <v>0</v>
      </c>
      <c r="Z41" s="140">
        <f ca="1">IF(ISNUMBER(MATCH(DATEVALUE($A41),'recurring1_based on steps'!Z$1:Z$400,0)),Z$2,)</f>
        <v>0</v>
      </c>
      <c r="AA41" s="140">
        <f ca="1">IF(ISNUMBER(MATCH(DATEVALUE($A41),'recurring1_based on steps'!AA$1:AA$400,0)),AA$2,)</f>
        <v>0</v>
      </c>
      <c r="AB41" s="140">
        <f ca="1">IF(ISNUMBER(MATCH(DATEVALUE($A41),'recurring1_based on steps'!AB$1:AB$400,0)),AB$2,)</f>
        <v>5.5401662049861494E-2</v>
      </c>
      <c r="AC41" s="140">
        <f ca="1">IF(ISNUMBER(MATCH(DATEVALUE($A41),'recurring1_based on steps'!AC$1:AC$400,0)),AC$2,)</f>
        <v>0</v>
      </c>
      <c r="AD41" s="140">
        <f ca="1">IF(ISNUMBER(MATCH(DATEVALUE($A41),'recurring1_based on steps'!AD$1:AD$400,0)),AD$2,)</f>
        <v>0</v>
      </c>
      <c r="AE41" s="140">
        <f ca="1">IF(ISNUMBER(MATCH(DATEVALUE($A41),'recurring1_based on steps'!AE$1:AE$400,0)),AE$2,)</f>
        <v>0</v>
      </c>
      <c r="AF41" s="140">
        <f ca="1">IF(ISNUMBER(MATCH(DATEVALUE($A41),'recurring1_based on steps'!AF$1:AF$400,0)),AF$2,)</f>
        <v>0</v>
      </c>
      <c r="AG41" s="140">
        <f ca="1">IF(ISNUMBER(MATCH(DATEVALUE($A41),'recurring1_based on steps'!AG$1:AG$400,0)),AG$2,)</f>
        <v>0</v>
      </c>
      <c r="AH41" s="140">
        <f ca="1">IF(ISNUMBER(MATCH(DATEVALUE($A41),'recurring1_based on steps'!AH$1:AH$400,0)),AH$2,)</f>
        <v>0</v>
      </c>
      <c r="AI41" s="140">
        <f ca="1">IF(ISNUMBER(MATCH(DATEVALUE($A41),'recurring1_based on steps'!AI$1:AI$400,0)),AI$2,)</f>
        <v>0</v>
      </c>
      <c r="AJ41" s="140">
        <f ca="1">IF(ISNUMBER(MATCH(DATEVALUE($A41),'recurring1_based on steps'!AJ$1:AJ$400,0)),AJ$2,)</f>
        <v>0</v>
      </c>
      <c r="AK41" s="140">
        <f ca="1">IF(ISNUMBER(MATCH(DATEVALUE($A41),'recurring1_based on steps'!AK$1:AK$400,0)),AK$2,)</f>
        <v>0</v>
      </c>
      <c r="AL41" s="140">
        <f ca="1">IF(ISNUMBER(MATCH(DATEVALUE($A41),'recurring1_based on steps'!AL$1:AL$400,0)),AL$2,)</f>
        <v>0</v>
      </c>
      <c r="AM41" s="140">
        <f ca="1">IF(ISNUMBER(MATCH(DATEVALUE($A41),'recurring1_based on steps'!AM$1:AM$400,0)),AM$2,)</f>
        <v>0</v>
      </c>
      <c r="AN41" s="140">
        <f ca="1">IF(ISNUMBER(MATCH(DATEVALUE($A41),'recurring1_based on steps'!AN$1:AN$400,0)),AN$2,)</f>
        <v>0</v>
      </c>
      <c r="AO41" s="140">
        <f ca="1">IF(ISNUMBER(MATCH(DATEVALUE($A41),'recurring1_based on steps'!AO$1:AO$400,0)),AO$2,)</f>
        <v>0</v>
      </c>
      <c r="AP41" s="140">
        <f ca="1">IF(ISNUMBER(MATCH(DATEVALUE($A41),'recurring1_based on steps'!AP$1:AP$400,0)),AP$2,)</f>
        <v>0</v>
      </c>
      <c r="AQ41" s="140">
        <f ca="1">IF(ISNUMBER(MATCH(DATEVALUE($A41),'recurring1_based on steps'!AQ$1:AQ$400,0)),AQ$2,)</f>
        <v>0</v>
      </c>
      <c r="AR41" s="140">
        <f ca="1">IF(ISNUMBER(MATCH(DATEVALUE($A41),'recurring1_based on steps'!AR$1:AR$400,0)),AR$2,)</f>
        <v>0</v>
      </c>
      <c r="AS41" s="140">
        <f ca="1">IF(ISNUMBER(MATCH(DATEVALUE($A41),'recurring1_based on steps'!AS$1:AS$400,0)),AS$2,)</f>
        <v>0</v>
      </c>
      <c r="AT41" s="140">
        <f ca="1">IF(ISNUMBER(MATCH(DATEVALUE($A41),'recurring1_based on steps'!AT$1:AT$400,0)),AT$2,)</f>
        <v>0</v>
      </c>
      <c r="AU41" s="140">
        <f ca="1">IF(ISNUMBER(MATCH(DATEVALUE($A41),'recurring1_based on steps'!AU$1:AU$400,0)),AU$2,)</f>
        <v>0</v>
      </c>
      <c r="AV41" s="140">
        <f ca="1">IF(ISNUMBER(MATCH(DATEVALUE($A41),'recurring1_based on steps'!AV$1:AV$400,0)),AV$2,)</f>
        <v>0</v>
      </c>
      <c r="AW41" s="140">
        <f ca="1">IF(ISNUMBER(MATCH(DATEVALUE($A41),'recurring1_based on steps'!AW$1:AW$400,0)),AW$2,)</f>
        <v>0</v>
      </c>
      <c r="AX41" s="140">
        <f ca="1">IF(ISNUMBER(MATCH(DATEVALUE($A41),'recurring1_based on steps'!AX$1:AX$400,0)),AX$2,)</f>
        <v>0</v>
      </c>
      <c r="AY41" s="140">
        <f ca="1">IF(ISNUMBER(MATCH(DATEVALUE($A41),'recurring1_based on steps'!AY$1:AY$400,0)),AY$2,)</f>
        <v>0</v>
      </c>
    </row>
    <row r="42" spans="1:51" x14ac:dyDescent="0.2">
      <c r="A42" s="29" t="str">
        <f t="shared" ca="1" si="0"/>
        <v>2025-05-05</v>
      </c>
      <c r="B42" s="140">
        <f ca="1">IF(ISNUMBER(MATCH(DATEVALUE($A42),'recurring1_based on steps'!B$1:B$400,0)),B$2,)</f>
        <v>0</v>
      </c>
      <c r="C42" s="140">
        <f ca="1">IF(ISNUMBER(MATCH(DATEVALUE($A42),'recurring1_based on steps'!C$1:C$400,0)),C$2,)</f>
        <v>0</v>
      </c>
      <c r="D42" s="140">
        <f ca="1">IF(ISNUMBER(MATCH(DATEVALUE($A42),'recurring1_based on steps'!D$1:D$400,0)),D$2,)</f>
        <v>0</v>
      </c>
      <c r="E42" s="140">
        <f ca="1">IF(ISNUMBER(MATCH(DATEVALUE($A42),'recurring1_based on steps'!E$1:E$400,0)),E$2,)</f>
        <v>0</v>
      </c>
      <c r="F42" s="140">
        <f ca="1">IF(ISNUMBER(MATCH(DATEVALUE($A42),'recurring1_based on steps'!F$1:F$400,0)),F$2,)</f>
        <v>0</v>
      </c>
      <c r="G42" s="140">
        <f ca="1">IF(ISNUMBER(MATCH(DATEVALUE($A42),'recurring1_based on steps'!G$1:G$400,0)),G$2,)</f>
        <v>0</v>
      </c>
      <c r="H42" s="140">
        <f ca="1">IF(ISNUMBER(MATCH(DATEVALUE($A42),'recurring1_based on steps'!H$1:H$400,0)),H$2,)</f>
        <v>0</v>
      </c>
      <c r="I42" s="140">
        <f ca="1">IF(ISNUMBER(MATCH(DATEVALUE($A42),'recurring1_based on steps'!I$1:I$400,0)),I$2,)</f>
        <v>0</v>
      </c>
      <c r="J42" s="140">
        <f ca="1">IF(ISNUMBER(MATCH(DATEVALUE($A42),'recurring1_based on steps'!J$1:J$400,0)),J$2,)</f>
        <v>0</v>
      </c>
      <c r="K42" s="140">
        <f ca="1">IF(ISNUMBER(MATCH(DATEVALUE($A42),'recurring1_based on steps'!K$1:K$400,0)),K$2,)</f>
        <v>0</v>
      </c>
      <c r="L42" s="140">
        <f ca="1">IF(ISNUMBER(MATCH(DATEVALUE($A42),'recurring1_based on steps'!L$1:L$400,0)),L$2,)</f>
        <v>0</v>
      </c>
      <c r="M42" s="140">
        <f ca="1">IF(ISNUMBER(MATCH(DATEVALUE($A42),'recurring1_based on steps'!M$1:M$400,0)),M$2,)</f>
        <v>0</v>
      </c>
      <c r="N42" s="140">
        <f ca="1">IF(ISNUMBER(MATCH(DATEVALUE($A42),'recurring1_based on steps'!N$1:N$400,0)),N$2,)</f>
        <v>0</v>
      </c>
      <c r="O42" s="140">
        <f ca="1">IF(ISNUMBER(MATCH(DATEVALUE($A42),'recurring1_based on steps'!O$1:O$400,0)),O$2,)</f>
        <v>0</v>
      </c>
      <c r="P42" s="140">
        <f ca="1">IF(ISNUMBER(MATCH(DATEVALUE($A42),'recurring1_based on steps'!P$1:P$400,0)),P$2,)</f>
        <v>0</v>
      </c>
      <c r="Q42" s="140">
        <f ca="1">IF(ISNUMBER(MATCH(DATEVALUE($A42),'recurring1_based on steps'!Q$1:Q$400,0)),Q$2,)</f>
        <v>0</v>
      </c>
      <c r="R42" s="140">
        <f ca="1">IF(ISNUMBER(MATCH(DATEVALUE($A42),'recurring1_based on steps'!R$1:R$400,0)),R$2,)</f>
        <v>0</v>
      </c>
      <c r="S42" s="140">
        <f ca="1">IF(ISNUMBER(MATCH(DATEVALUE($A42),'recurring1_based on steps'!S$1:S$400,0)),S$2,)</f>
        <v>0</v>
      </c>
      <c r="T42" s="140">
        <f ca="1">IF(ISNUMBER(MATCH(DATEVALUE($A42),'recurring1_based on steps'!T$1:T$400,0)),T$2,)</f>
        <v>0</v>
      </c>
      <c r="U42" s="140">
        <f ca="1">IF(ISNUMBER(MATCH(DATEVALUE($A42),'recurring1_based on steps'!U$1:U$400,0)),U$2,)</f>
        <v>0</v>
      </c>
      <c r="V42" s="140">
        <f ca="1">IF(ISNUMBER(MATCH(DATEVALUE($A42),'recurring1_based on steps'!V$1:V$400,0)),V$2,)</f>
        <v>0</v>
      </c>
      <c r="W42" s="140">
        <f ca="1">IF(ISNUMBER(MATCH(DATEVALUE($A42),'recurring1_based on steps'!W$1:W$400,0)),W$2,)</f>
        <v>0</v>
      </c>
      <c r="X42" s="140">
        <f ca="1">IF(ISNUMBER(MATCH(DATEVALUE($A42),'recurring1_based on steps'!X$1:X$400,0)),X$2,)</f>
        <v>0</v>
      </c>
      <c r="Y42" s="140">
        <f ca="1">IF(ISNUMBER(MATCH(DATEVALUE($A42),'recurring1_based on steps'!Y$1:Y$400,0)),Y$2,)</f>
        <v>0</v>
      </c>
      <c r="Z42" s="140">
        <f ca="1">IF(ISNUMBER(MATCH(DATEVALUE($A42),'recurring1_based on steps'!Z$1:Z$400,0)),Z$2,)</f>
        <v>0</v>
      </c>
      <c r="AA42" s="140">
        <f ca="1">IF(ISNUMBER(MATCH(DATEVALUE($A42),'recurring1_based on steps'!AA$1:AA$400,0)),AA$2,)</f>
        <v>0</v>
      </c>
      <c r="AB42" s="140">
        <f ca="1">IF(ISNUMBER(MATCH(DATEVALUE($A42),'recurring1_based on steps'!AB$1:AB$400,0)),AB$2,)</f>
        <v>5.5401662049861494E-2</v>
      </c>
      <c r="AC42" s="140">
        <f ca="1">IF(ISNUMBER(MATCH(DATEVALUE($A42),'recurring1_based on steps'!AC$1:AC$400,0)),AC$2,)</f>
        <v>0</v>
      </c>
      <c r="AD42" s="140">
        <f ca="1">IF(ISNUMBER(MATCH(DATEVALUE($A42),'recurring1_based on steps'!AD$1:AD$400,0)),AD$2,)</f>
        <v>0</v>
      </c>
      <c r="AE42" s="140">
        <f ca="1">IF(ISNUMBER(MATCH(DATEVALUE($A42),'recurring1_based on steps'!AE$1:AE$400,0)),AE$2,)</f>
        <v>0</v>
      </c>
      <c r="AF42" s="140">
        <f ca="1">IF(ISNUMBER(MATCH(DATEVALUE($A42),'recurring1_based on steps'!AF$1:AF$400,0)),AF$2,)</f>
        <v>0</v>
      </c>
      <c r="AG42" s="140">
        <f ca="1">IF(ISNUMBER(MATCH(DATEVALUE($A42),'recurring1_based on steps'!AG$1:AG$400,0)),AG$2,)</f>
        <v>0</v>
      </c>
      <c r="AH42" s="140">
        <f ca="1">IF(ISNUMBER(MATCH(DATEVALUE($A42),'recurring1_based on steps'!AH$1:AH$400,0)),AH$2,)</f>
        <v>0</v>
      </c>
      <c r="AI42" s="140">
        <f ca="1">IF(ISNUMBER(MATCH(DATEVALUE($A42),'recurring1_based on steps'!AI$1:AI$400,0)),AI$2,)</f>
        <v>0</v>
      </c>
      <c r="AJ42" s="140">
        <f ca="1">IF(ISNUMBER(MATCH(DATEVALUE($A42),'recurring1_based on steps'!AJ$1:AJ$400,0)),AJ$2,)</f>
        <v>0</v>
      </c>
      <c r="AK42" s="140">
        <f ca="1">IF(ISNUMBER(MATCH(DATEVALUE($A42),'recurring1_based on steps'!AK$1:AK$400,0)),AK$2,)</f>
        <v>0</v>
      </c>
      <c r="AL42" s="140">
        <f ca="1">IF(ISNUMBER(MATCH(DATEVALUE($A42),'recurring1_based on steps'!AL$1:AL$400,0)),AL$2,)</f>
        <v>0</v>
      </c>
      <c r="AM42" s="140">
        <f ca="1">IF(ISNUMBER(MATCH(DATEVALUE($A42),'recurring1_based on steps'!AM$1:AM$400,0)),AM$2,)</f>
        <v>0</v>
      </c>
      <c r="AN42" s="140">
        <f ca="1">IF(ISNUMBER(MATCH(DATEVALUE($A42),'recurring1_based on steps'!AN$1:AN$400,0)),AN$2,)</f>
        <v>0</v>
      </c>
      <c r="AO42" s="140">
        <f ca="1">IF(ISNUMBER(MATCH(DATEVALUE($A42),'recurring1_based on steps'!AO$1:AO$400,0)),AO$2,)</f>
        <v>0</v>
      </c>
      <c r="AP42" s="140">
        <f ca="1">IF(ISNUMBER(MATCH(DATEVALUE($A42),'recurring1_based on steps'!AP$1:AP$400,0)),AP$2,)</f>
        <v>0</v>
      </c>
      <c r="AQ42" s="140">
        <f ca="1">IF(ISNUMBER(MATCH(DATEVALUE($A42),'recurring1_based on steps'!AQ$1:AQ$400,0)),AQ$2,)</f>
        <v>0</v>
      </c>
      <c r="AR42" s="140">
        <f ca="1">IF(ISNUMBER(MATCH(DATEVALUE($A42),'recurring1_based on steps'!AR$1:AR$400,0)),AR$2,)</f>
        <v>0</v>
      </c>
      <c r="AS42" s="140">
        <f ca="1">IF(ISNUMBER(MATCH(DATEVALUE($A42),'recurring1_based on steps'!AS$1:AS$400,0)),AS$2,)</f>
        <v>0</v>
      </c>
      <c r="AT42" s="140">
        <f ca="1">IF(ISNUMBER(MATCH(DATEVALUE($A42),'recurring1_based on steps'!AT$1:AT$400,0)),AT$2,)</f>
        <v>0</v>
      </c>
      <c r="AU42" s="140">
        <f ca="1">IF(ISNUMBER(MATCH(DATEVALUE($A42),'recurring1_based on steps'!AU$1:AU$400,0)),AU$2,)</f>
        <v>0</v>
      </c>
      <c r="AV42" s="140">
        <f ca="1">IF(ISNUMBER(MATCH(DATEVALUE($A42),'recurring1_based on steps'!AV$1:AV$400,0)),AV$2,)</f>
        <v>0</v>
      </c>
      <c r="AW42" s="140">
        <f ca="1">IF(ISNUMBER(MATCH(DATEVALUE($A42),'recurring1_based on steps'!AW$1:AW$400,0)),AW$2,)</f>
        <v>0</v>
      </c>
      <c r="AX42" s="140">
        <f ca="1">IF(ISNUMBER(MATCH(DATEVALUE($A42),'recurring1_based on steps'!AX$1:AX$400,0)),AX$2,)</f>
        <v>0</v>
      </c>
      <c r="AY42" s="140">
        <f ca="1">IF(ISNUMBER(MATCH(DATEVALUE($A42),'recurring1_based on steps'!AY$1:AY$400,0)),AY$2,)</f>
        <v>0</v>
      </c>
    </row>
    <row r="43" spans="1:51" x14ac:dyDescent="0.2">
      <c r="A43" s="29" t="str">
        <f t="shared" ca="1" si="0"/>
        <v>2025-05-06</v>
      </c>
      <c r="B43" s="140">
        <f ca="1">IF(ISNUMBER(MATCH(DATEVALUE($A43),'recurring1_based on steps'!B$1:B$400,0)),B$2,)</f>
        <v>0</v>
      </c>
      <c r="C43" s="140">
        <f ca="1">IF(ISNUMBER(MATCH(DATEVALUE($A43),'recurring1_based on steps'!C$1:C$400,0)),C$2,)</f>
        <v>0</v>
      </c>
      <c r="D43" s="140">
        <f ca="1">IF(ISNUMBER(MATCH(DATEVALUE($A43),'recurring1_based on steps'!D$1:D$400,0)),D$2,)</f>
        <v>0</v>
      </c>
      <c r="E43" s="140">
        <f ca="1">IF(ISNUMBER(MATCH(DATEVALUE($A43),'recurring1_based on steps'!E$1:E$400,0)),E$2,)</f>
        <v>0</v>
      </c>
      <c r="F43" s="140">
        <f ca="1">IF(ISNUMBER(MATCH(DATEVALUE($A43),'recurring1_based on steps'!F$1:F$400,0)),F$2,)</f>
        <v>0</v>
      </c>
      <c r="G43" s="140">
        <f ca="1">IF(ISNUMBER(MATCH(DATEVALUE($A43),'recurring1_based on steps'!G$1:G$400,0)),G$2,)</f>
        <v>0</v>
      </c>
      <c r="H43" s="140">
        <f ca="1">IF(ISNUMBER(MATCH(DATEVALUE($A43),'recurring1_based on steps'!H$1:H$400,0)),H$2,)</f>
        <v>0</v>
      </c>
      <c r="I43" s="140">
        <f ca="1">IF(ISNUMBER(MATCH(DATEVALUE($A43),'recurring1_based on steps'!I$1:I$400,0)),I$2,)</f>
        <v>0</v>
      </c>
      <c r="J43" s="140">
        <f ca="1">IF(ISNUMBER(MATCH(DATEVALUE($A43),'recurring1_based on steps'!J$1:J$400,0)),J$2,)</f>
        <v>0</v>
      </c>
      <c r="K43" s="140">
        <f ca="1">IF(ISNUMBER(MATCH(DATEVALUE($A43),'recurring1_based on steps'!K$1:K$400,0)),K$2,)</f>
        <v>0</v>
      </c>
      <c r="L43" s="140">
        <f ca="1">IF(ISNUMBER(MATCH(DATEVALUE($A43),'recurring1_based on steps'!L$1:L$400,0)),L$2,)</f>
        <v>0</v>
      </c>
      <c r="M43" s="140">
        <f ca="1">IF(ISNUMBER(MATCH(DATEVALUE($A43),'recurring1_based on steps'!M$1:M$400,0)),M$2,)</f>
        <v>0</v>
      </c>
      <c r="N43" s="140">
        <f ca="1">IF(ISNUMBER(MATCH(DATEVALUE($A43),'recurring1_based on steps'!N$1:N$400,0)),N$2,)</f>
        <v>0</v>
      </c>
      <c r="O43" s="140">
        <f ca="1">IF(ISNUMBER(MATCH(DATEVALUE($A43),'recurring1_based on steps'!O$1:O$400,0)),O$2,)</f>
        <v>0</v>
      </c>
      <c r="P43" s="140">
        <f ca="1">IF(ISNUMBER(MATCH(DATEVALUE($A43),'recurring1_based on steps'!P$1:P$400,0)),P$2,)</f>
        <v>0</v>
      </c>
      <c r="Q43" s="140">
        <f ca="1">IF(ISNUMBER(MATCH(DATEVALUE($A43),'recurring1_based on steps'!Q$1:Q$400,0)),Q$2,)</f>
        <v>0</v>
      </c>
      <c r="R43" s="140">
        <f ca="1">IF(ISNUMBER(MATCH(DATEVALUE($A43),'recurring1_based on steps'!R$1:R$400,0)),R$2,)</f>
        <v>0</v>
      </c>
      <c r="S43" s="140">
        <f ca="1">IF(ISNUMBER(MATCH(DATEVALUE($A43),'recurring1_based on steps'!S$1:S$400,0)),S$2,)</f>
        <v>0</v>
      </c>
      <c r="T43" s="140">
        <f ca="1">IF(ISNUMBER(MATCH(DATEVALUE($A43),'recurring1_based on steps'!T$1:T$400,0)),T$2,)</f>
        <v>0</v>
      </c>
      <c r="U43" s="140">
        <f ca="1">IF(ISNUMBER(MATCH(DATEVALUE($A43),'recurring1_based on steps'!U$1:U$400,0)),U$2,)</f>
        <v>0</v>
      </c>
      <c r="V43" s="140">
        <f ca="1">IF(ISNUMBER(MATCH(DATEVALUE($A43),'recurring1_based on steps'!V$1:V$400,0)),V$2,)</f>
        <v>0</v>
      </c>
      <c r="W43" s="140">
        <f ca="1">IF(ISNUMBER(MATCH(DATEVALUE($A43),'recurring1_based on steps'!W$1:W$400,0)),W$2,)</f>
        <v>0</v>
      </c>
      <c r="X43" s="140">
        <f ca="1">IF(ISNUMBER(MATCH(DATEVALUE($A43),'recurring1_based on steps'!X$1:X$400,0)),X$2,)</f>
        <v>0</v>
      </c>
      <c r="Y43" s="140">
        <f ca="1">IF(ISNUMBER(MATCH(DATEVALUE($A43),'recurring1_based on steps'!Y$1:Y$400,0)),Y$2,)</f>
        <v>0</v>
      </c>
      <c r="Z43" s="140">
        <f ca="1">IF(ISNUMBER(MATCH(DATEVALUE($A43),'recurring1_based on steps'!Z$1:Z$400,0)),Z$2,)</f>
        <v>0</v>
      </c>
      <c r="AA43" s="140">
        <f ca="1">IF(ISNUMBER(MATCH(DATEVALUE($A43),'recurring1_based on steps'!AA$1:AA$400,0)),AA$2,)</f>
        <v>0</v>
      </c>
      <c r="AB43" s="140">
        <f ca="1">IF(ISNUMBER(MATCH(DATEVALUE($A43),'recurring1_based on steps'!AB$1:AB$400,0)),AB$2,)</f>
        <v>5.5401662049861494E-2</v>
      </c>
      <c r="AC43" s="140">
        <f ca="1">IF(ISNUMBER(MATCH(DATEVALUE($A43),'recurring1_based on steps'!AC$1:AC$400,0)),AC$2,)</f>
        <v>0</v>
      </c>
      <c r="AD43" s="140">
        <f ca="1">IF(ISNUMBER(MATCH(DATEVALUE($A43),'recurring1_based on steps'!AD$1:AD$400,0)),AD$2,)</f>
        <v>0</v>
      </c>
      <c r="AE43" s="140">
        <f ca="1">IF(ISNUMBER(MATCH(DATEVALUE($A43),'recurring1_based on steps'!AE$1:AE$400,0)),AE$2,)</f>
        <v>0</v>
      </c>
      <c r="AF43" s="140">
        <f ca="1">IF(ISNUMBER(MATCH(DATEVALUE($A43),'recurring1_based on steps'!AF$1:AF$400,0)),AF$2,)</f>
        <v>0</v>
      </c>
      <c r="AG43" s="140">
        <f ca="1">IF(ISNUMBER(MATCH(DATEVALUE($A43),'recurring1_based on steps'!AG$1:AG$400,0)),AG$2,)</f>
        <v>0</v>
      </c>
      <c r="AH43" s="140">
        <f ca="1">IF(ISNUMBER(MATCH(DATEVALUE($A43),'recurring1_based on steps'!AH$1:AH$400,0)),AH$2,)</f>
        <v>0</v>
      </c>
      <c r="AI43" s="140">
        <f ca="1">IF(ISNUMBER(MATCH(DATEVALUE($A43),'recurring1_based on steps'!AI$1:AI$400,0)),AI$2,)</f>
        <v>0</v>
      </c>
      <c r="AJ43" s="140">
        <f ca="1">IF(ISNUMBER(MATCH(DATEVALUE($A43),'recurring1_based on steps'!AJ$1:AJ$400,0)),AJ$2,)</f>
        <v>0</v>
      </c>
      <c r="AK43" s="140">
        <f ca="1">IF(ISNUMBER(MATCH(DATEVALUE($A43),'recurring1_based on steps'!AK$1:AK$400,0)),AK$2,)</f>
        <v>0</v>
      </c>
      <c r="AL43" s="140">
        <f ca="1">IF(ISNUMBER(MATCH(DATEVALUE($A43),'recurring1_based on steps'!AL$1:AL$400,0)),AL$2,)</f>
        <v>0</v>
      </c>
      <c r="AM43" s="140">
        <f ca="1">IF(ISNUMBER(MATCH(DATEVALUE($A43),'recurring1_based on steps'!AM$1:AM$400,0)),AM$2,)</f>
        <v>0</v>
      </c>
      <c r="AN43" s="140">
        <f ca="1">IF(ISNUMBER(MATCH(DATEVALUE($A43),'recurring1_based on steps'!AN$1:AN$400,0)),AN$2,)</f>
        <v>0</v>
      </c>
      <c r="AO43" s="140">
        <f ca="1">IF(ISNUMBER(MATCH(DATEVALUE($A43),'recurring1_based on steps'!AO$1:AO$400,0)),AO$2,)</f>
        <v>0</v>
      </c>
      <c r="AP43" s="140">
        <f ca="1">IF(ISNUMBER(MATCH(DATEVALUE($A43),'recurring1_based on steps'!AP$1:AP$400,0)),AP$2,)</f>
        <v>0</v>
      </c>
      <c r="AQ43" s="140">
        <f ca="1">IF(ISNUMBER(MATCH(DATEVALUE($A43),'recurring1_based on steps'!AQ$1:AQ$400,0)),AQ$2,)</f>
        <v>0</v>
      </c>
      <c r="AR43" s="140">
        <f ca="1">IF(ISNUMBER(MATCH(DATEVALUE($A43),'recurring1_based on steps'!AR$1:AR$400,0)),AR$2,)</f>
        <v>0</v>
      </c>
      <c r="AS43" s="140">
        <f ca="1">IF(ISNUMBER(MATCH(DATEVALUE($A43),'recurring1_based on steps'!AS$1:AS$400,0)),AS$2,)</f>
        <v>0</v>
      </c>
      <c r="AT43" s="140">
        <f ca="1">IF(ISNUMBER(MATCH(DATEVALUE($A43),'recurring1_based on steps'!AT$1:AT$400,0)),AT$2,)</f>
        <v>0</v>
      </c>
      <c r="AU43" s="140">
        <f ca="1">IF(ISNUMBER(MATCH(DATEVALUE($A43),'recurring1_based on steps'!AU$1:AU$400,0)),AU$2,)</f>
        <v>0</v>
      </c>
      <c r="AV43" s="140">
        <f ca="1">IF(ISNUMBER(MATCH(DATEVALUE($A43),'recurring1_based on steps'!AV$1:AV$400,0)),AV$2,)</f>
        <v>0</v>
      </c>
      <c r="AW43" s="140">
        <f ca="1">IF(ISNUMBER(MATCH(DATEVALUE($A43),'recurring1_based on steps'!AW$1:AW$400,0)),AW$2,)</f>
        <v>0</v>
      </c>
      <c r="AX43" s="140">
        <f ca="1">IF(ISNUMBER(MATCH(DATEVALUE($A43),'recurring1_based on steps'!AX$1:AX$400,0)),AX$2,)</f>
        <v>0</v>
      </c>
      <c r="AY43" s="140">
        <f ca="1">IF(ISNUMBER(MATCH(DATEVALUE($A43),'recurring1_based on steps'!AY$1:AY$400,0)),AY$2,)</f>
        <v>0</v>
      </c>
    </row>
    <row r="44" spans="1:51" x14ac:dyDescent="0.2">
      <c r="A44" s="29" t="str">
        <f t="shared" ca="1" si="0"/>
        <v>2025-05-07</v>
      </c>
      <c r="B44" s="140">
        <f ca="1">IF(ISNUMBER(MATCH(DATEVALUE($A44),'recurring1_based on steps'!B$1:B$400,0)),B$2,)</f>
        <v>0</v>
      </c>
      <c r="C44" s="140">
        <f ca="1">IF(ISNUMBER(MATCH(DATEVALUE($A44),'recurring1_based on steps'!C$1:C$400,0)),C$2,)</f>
        <v>0</v>
      </c>
      <c r="D44" s="140">
        <f ca="1">IF(ISNUMBER(MATCH(DATEVALUE($A44),'recurring1_based on steps'!D$1:D$400,0)),D$2,)</f>
        <v>0</v>
      </c>
      <c r="E44" s="140">
        <f ca="1">IF(ISNUMBER(MATCH(DATEVALUE($A44),'recurring1_based on steps'!E$1:E$400,0)),E$2,)</f>
        <v>0</v>
      </c>
      <c r="F44" s="140">
        <f ca="1">IF(ISNUMBER(MATCH(DATEVALUE($A44),'recurring1_based on steps'!F$1:F$400,0)),F$2,)</f>
        <v>0</v>
      </c>
      <c r="G44" s="140">
        <f ca="1">IF(ISNUMBER(MATCH(DATEVALUE($A44),'recurring1_based on steps'!G$1:G$400,0)),G$2,)</f>
        <v>0</v>
      </c>
      <c r="H44" s="140">
        <f ca="1">IF(ISNUMBER(MATCH(DATEVALUE($A44),'recurring1_based on steps'!H$1:H$400,0)),H$2,)</f>
        <v>0</v>
      </c>
      <c r="I44" s="140">
        <f ca="1">IF(ISNUMBER(MATCH(DATEVALUE($A44),'recurring1_based on steps'!I$1:I$400,0)),I$2,)</f>
        <v>0</v>
      </c>
      <c r="J44" s="140">
        <f ca="1">IF(ISNUMBER(MATCH(DATEVALUE($A44),'recurring1_based on steps'!J$1:J$400,0)),J$2,)</f>
        <v>0</v>
      </c>
      <c r="K44" s="140">
        <f ca="1">IF(ISNUMBER(MATCH(DATEVALUE($A44),'recurring1_based on steps'!K$1:K$400,0)),K$2,)</f>
        <v>0</v>
      </c>
      <c r="L44" s="140">
        <f ca="1">IF(ISNUMBER(MATCH(DATEVALUE($A44),'recurring1_based on steps'!L$1:L$400,0)),L$2,)</f>
        <v>0</v>
      </c>
      <c r="M44" s="140">
        <f ca="1">IF(ISNUMBER(MATCH(DATEVALUE($A44),'recurring1_based on steps'!M$1:M$400,0)),M$2,)</f>
        <v>0</v>
      </c>
      <c r="N44" s="140">
        <f ca="1">IF(ISNUMBER(MATCH(DATEVALUE($A44),'recurring1_based on steps'!N$1:N$400,0)),N$2,)</f>
        <v>0</v>
      </c>
      <c r="O44" s="140">
        <f ca="1">IF(ISNUMBER(MATCH(DATEVALUE($A44),'recurring1_based on steps'!O$1:O$400,0)),O$2,)</f>
        <v>0</v>
      </c>
      <c r="P44" s="140">
        <f ca="1">IF(ISNUMBER(MATCH(DATEVALUE($A44),'recurring1_based on steps'!P$1:P$400,0)),P$2,)</f>
        <v>0</v>
      </c>
      <c r="Q44" s="140">
        <f ca="1">IF(ISNUMBER(MATCH(DATEVALUE($A44),'recurring1_based on steps'!Q$1:Q$400,0)),Q$2,)</f>
        <v>0</v>
      </c>
      <c r="R44" s="140">
        <f ca="1">IF(ISNUMBER(MATCH(DATEVALUE($A44),'recurring1_based on steps'!R$1:R$400,0)),R$2,)</f>
        <v>0</v>
      </c>
      <c r="S44" s="140">
        <f ca="1">IF(ISNUMBER(MATCH(DATEVALUE($A44),'recurring1_based on steps'!S$1:S$400,0)),S$2,)</f>
        <v>0</v>
      </c>
      <c r="T44" s="140">
        <f ca="1">IF(ISNUMBER(MATCH(DATEVALUE($A44),'recurring1_based on steps'!T$1:T$400,0)),T$2,)</f>
        <v>0</v>
      </c>
      <c r="U44" s="140">
        <f ca="1">IF(ISNUMBER(MATCH(DATEVALUE($A44),'recurring1_based on steps'!U$1:U$400,0)),U$2,)</f>
        <v>0</v>
      </c>
      <c r="V44" s="140">
        <f ca="1">IF(ISNUMBER(MATCH(DATEVALUE($A44),'recurring1_based on steps'!V$1:V$400,0)),V$2,)</f>
        <v>0</v>
      </c>
      <c r="W44" s="140">
        <f ca="1">IF(ISNUMBER(MATCH(DATEVALUE($A44),'recurring1_based on steps'!W$1:W$400,0)),W$2,)</f>
        <v>0</v>
      </c>
      <c r="X44" s="140">
        <f ca="1">IF(ISNUMBER(MATCH(DATEVALUE($A44),'recurring1_based on steps'!X$1:X$400,0)),X$2,)</f>
        <v>0</v>
      </c>
      <c r="Y44" s="140">
        <f ca="1">IF(ISNUMBER(MATCH(DATEVALUE($A44),'recurring1_based on steps'!Y$1:Y$400,0)),Y$2,)</f>
        <v>0</v>
      </c>
      <c r="Z44" s="140">
        <f ca="1">IF(ISNUMBER(MATCH(DATEVALUE($A44),'recurring1_based on steps'!Z$1:Z$400,0)),Z$2,)</f>
        <v>0</v>
      </c>
      <c r="AA44" s="140">
        <f ca="1">IF(ISNUMBER(MATCH(DATEVALUE($A44),'recurring1_based on steps'!AA$1:AA$400,0)),AA$2,)</f>
        <v>0</v>
      </c>
      <c r="AB44" s="140">
        <f ca="1">IF(ISNUMBER(MATCH(DATEVALUE($A44),'recurring1_based on steps'!AB$1:AB$400,0)),AB$2,)</f>
        <v>5.5401662049861494E-2</v>
      </c>
      <c r="AC44" s="140">
        <f ca="1">IF(ISNUMBER(MATCH(DATEVALUE($A44),'recurring1_based on steps'!AC$1:AC$400,0)),AC$2,)</f>
        <v>0</v>
      </c>
      <c r="AD44" s="140">
        <f ca="1">IF(ISNUMBER(MATCH(DATEVALUE($A44),'recurring1_based on steps'!AD$1:AD$400,0)),AD$2,)</f>
        <v>0</v>
      </c>
      <c r="AE44" s="140">
        <f ca="1">IF(ISNUMBER(MATCH(DATEVALUE($A44),'recurring1_based on steps'!AE$1:AE$400,0)),AE$2,)</f>
        <v>0</v>
      </c>
      <c r="AF44" s="140">
        <f ca="1">IF(ISNUMBER(MATCH(DATEVALUE($A44),'recurring1_based on steps'!AF$1:AF$400,0)),AF$2,)</f>
        <v>0</v>
      </c>
      <c r="AG44" s="140">
        <f ca="1">IF(ISNUMBER(MATCH(DATEVALUE($A44),'recurring1_based on steps'!AG$1:AG$400,0)),AG$2,)</f>
        <v>0</v>
      </c>
      <c r="AH44" s="140">
        <f ca="1">IF(ISNUMBER(MATCH(DATEVALUE($A44),'recurring1_based on steps'!AH$1:AH$400,0)),AH$2,)</f>
        <v>0</v>
      </c>
      <c r="AI44" s="140">
        <f ca="1">IF(ISNUMBER(MATCH(DATEVALUE($A44),'recurring1_based on steps'!AI$1:AI$400,0)),AI$2,)</f>
        <v>0</v>
      </c>
      <c r="AJ44" s="140">
        <f ca="1">IF(ISNUMBER(MATCH(DATEVALUE($A44),'recurring1_based on steps'!AJ$1:AJ$400,0)),AJ$2,)</f>
        <v>0</v>
      </c>
      <c r="AK44" s="140">
        <f ca="1">IF(ISNUMBER(MATCH(DATEVALUE($A44),'recurring1_based on steps'!AK$1:AK$400,0)),AK$2,)</f>
        <v>0</v>
      </c>
      <c r="AL44" s="140">
        <f ca="1">IF(ISNUMBER(MATCH(DATEVALUE($A44),'recurring1_based on steps'!AL$1:AL$400,0)),AL$2,)</f>
        <v>0</v>
      </c>
      <c r="AM44" s="140">
        <f ca="1">IF(ISNUMBER(MATCH(DATEVALUE($A44),'recurring1_based on steps'!AM$1:AM$400,0)),AM$2,)</f>
        <v>0</v>
      </c>
      <c r="AN44" s="140">
        <f ca="1">IF(ISNUMBER(MATCH(DATEVALUE($A44),'recurring1_based on steps'!AN$1:AN$400,0)),AN$2,)</f>
        <v>0</v>
      </c>
      <c r="AO44" s="140">
        <f ca="1">IF(ISNUMBER(MATCH(DATEVALUE($A44),'recurring1_based on steps'!AO$1:AO$400,0)),AO$2,)</f>
        <v>0</v>
      </c>
      <c r="AP44" s="140">
        <f ca="1">IF(ISNUMBER(MATCH(DATEVALUE($A44),'recurring1_based on steps'!AP$1:AP$400,0)),AP$2,)</f>
        <v>0</v>
      </c>
      <c r="AQ44" s="140">
        <f ca="1">IF(ISNUMBER(MATCH(DATEVALUE($A44),'recurring1_based on steps'!AQ$1:AQ$400,0)),AQ$2,)</f>
        <v>0</v>
      </c>
      <c r="AR44" s="140">
        <f ca="1">IF(ISNUMBER(MATCH(DATEVALUE($A44),'recurring1_based on steps'!AR$1:AR$400,0)),AR$2,)</f>
        <v>0</v>
      </c>
      <c r="AS44" s="140">
        <f ca="1">IF(ISNUMBER(MATCH(DATEVALUE($A44),'recurring1_based on steps'!AS$1:AS$400,0)),AS$2,)</f>
        <v>0</v>
      </c>
      <c r="AT44" s="140">
        <f ca="1">IF(ISNUMBER(MATCH(DATEVALUE($A44),'recurring1_based on steps'!AT$1:AT$400,0)),AT$2,)</f>
        <v>0</v>
      </c>
      <c r="AU44" s="140">
        <f ca="1">IF(ISNUMBER(MATCH(DATEVALUE($A44),'recurring1_based on steps'!AU$1:AU$400,0)),AU$2,)</f>
        <v>0</v>
      </c>
      <c r="AV44" s="140">
        <f ca="1">IF(ISNUMBER(MATCH(DATEVALUE($A44),'recurring1_based on steps'!AV$1:AV$400,0)),AV$2,)</f>
        <v>0</v>
      </c>
      <c r="AW44" s="140">
        <f ca="1">IF(ISNUMBER(MATCH(DATEVALUE($A44),'recurring1_based on steps'!AW$1:AW$400,0)),AW$2,)</f>
        <v>0</v>
      </c>
      <c r="AX44" s="140">
        <f ca="1">IF(ISNUMBER(MATCH(DATEVALUE($A44),'recurring1_based on steps'!AX$1:AX$400,0)),AX$2,)</f>
        <v>0</v>
      </c>
      <c r="AY44" s="140">
        <f ca="1">IF(ISNUMBER(MATCH(DATEVALUE($A44),'recurring1_based on steps'!AY$1:AY$400,0)),AY$2,)</f>
        <v>0</v>
      </c>
    </row>
    <row r="45" spans="1:51" x14ac:dyDescent="0.2">
      <c r="A45" s="29" t="str">
        <f t="shared" ca="1" si="0"/>
        <v>2025-05-08</v>
      </c>
      <c r="B45" s="140">
        <f ca="1">IF(ISNUMBER(MATCH(DATEVALUE($A45),'recurring1_based on steps'!B$1:B$400,0)),B$2,)</f>
        <v>0</v>
      </c>
      <c r="C45" s="140">
        <f ca="1">IF(ISNUMBER(MATCH(DATEVALUE($A45),'recurring1_based on steps'!C$1:C$400,0)),C$2,)</f>
        <v>0</v>
      </c>
      <c r="D45" s="140">
        <f ca="1">IF(ISNUMBER(MATCH(DATEVALUE($A45),'recurring1_based on steps'!D$1:D$400,0)),D$2,)</f>
        <v>0</v>
      </c>
      <c r="E45" s="140">
        <f ca="1">IF(ISNUMBER(MATCH(DATEVALUE($A45),'recurring1_based on steps'!E$1:E$400,0)),E$2,)</f>
        <v>0</v>
      </c>
      <c r="F45" s="140">
        <f ca="1">IF(ISNUMBER(MATCH(DATEVALUE($A45),'recurring1_based on steps'!F$1:F$400,0)),F$2,)</f>
        <v>0</v>
      </c>
      <c r="G45" s="140">
        <f ca="1">IF(ISNUMBER(MATCH(DATEVALUE($A45),'recurring1_based on steps'!G$1:G$400,0)),G$2,)</f>
        <v>0</v>
      </c>
      <c r="H45" s="140">
        <f ca="1">IF(ISNUMBER(MATCH(DATEVALUE($A45),'recurring1_based on steps'!H$1:H$400,0)),H$2,)</f>
        <v>0</v>
      </c>
      <c r="I45" s="140">
        <f ca="1">IF(ISNUMBER(MATCH(DATEVALUE($A45),'recurring1_based on steps'!I$1:I$400,0)),I$2,)</f>
        <v>0</v>
      </c>
      <c r="J45" s="140">
        <f ca="1">IF(ISNUMBER(MATCH(DATEVALUE($A45),'recurring1_based on steps'!J$1:J$400,0)),J$2,)</f>
        <v>0</v>
      </c>
      <c r="K45" s="140">
        <f ca="1">IF(ISNUMBER(MATCH(DATEVALUE($A45),'recurring1_based on steps'!K$1:K$400,0)),K$2,)</f>
        <v>0</v>
      </c>
      <c r="L45" s="140">
        <f ca="1">IF(ISNUMBER(MATCH(DATEVALUE($A45),'recurring1_based on steps'!L$1:L$400,0)),L$2,)</f>
        <v>0</v>
      </c>
      <c r="M45" s="140">
        <f ca="1">IF(ISNUMBER(MATCH(DATEVALUE($A45),'recurring1_based on steps'!M$1:M$400,0)),M$2,)</f>
        <v>0</v>
      </c>
      <c r="N45" s="140">
        <f ca="1">IF(ISNUMBER(MATCH(DATEVALUE($A45),'recurring1_based on steps'!N$1:N$400,0)),N$2,)</f>
        <v>0</v>
      </c>
      <c r="O45" s="140">
        <f ca="1">IF(ISNUMBER(MATCH(DATEVALUE($A45),'recurring1_based on steps'!O$1:O$400,0)),O$2,)</f>
        <v>0</v>
      </c>
      <c r="P45" s="140">
        <f ca="1">IF(ISNUMBER(MATCH(DATEVALUE($A45),'recurring1_based on steps'!P$1:P$400,0)),P$2,)</f>
        <v>0</v>
      </c>
      <c r="Q45" s="140">
        <f ca="1">IF(ISNUMBER(MATCH(DATEVALUE($A45),'recurring1_based on steps'!Q$1:Q$400,0)),Q$2,)</f>
        <v>0</v>
      </c>
      <c r="R45" s="140">
        <f ca="1">IF(ISNUMBER(MATCH(DATEVALUE($A45),'recurring1_based on steps'!R$1:R$400,0)),R$2,)</f>
        <v>0</v>
      </c>
      <c r="S45" s="140">
        <f ca="1">IF(ISNUMBER(MATCH(DATEVALUE($A45),'recurring1_based on steps'!S$1:S$400,0)),S$2,)</f>
        <v>0</v>
      </c>
      <c r="T45" s="140">
        <f ca="1">IF(ISNUMBER(MATCH(DATEVALUE($A45),'recurring1_based on steps'!T$1:T$400,0)),T$2,)</f>
        <v>0</v>
      </c>
      <c r="U45" s="140">
        <f ca="1">IF(ISNUMBER(MATCH(DATEVALUE($A45),'recurring1_based on steps'!U$1:U$400,0)),U$2,)</f>
        <v>0</v>
      </c>
      <c r="V45" s="140">
        <f ca="1">IF(ISNUMBER(MATCH(DATEVALUE($A45),'recurring1_based on steps'!V$1:V$400,0)),V$2,)</f>
        <v>0</v>
      </c>
      <c r="W45" s="140">
        <f ca="1">IF(ISNUMBER(MATCH(DATEVALUE($A45),'recurring1_based on steps'!W$1:W$400,0)),W$2,)</f>
        <v>0</v>
      </c>
      <c r="X45" s="140">
        <f ca="1">IF(ISNUMBER(MATCH(DATEVALUE($A45),'recurring1_based on steps'!X$1:X$400,0)),X$2,)</f>
        <v>0</v>
      </c>
      <c r="Y45" s="140">
        <f ca="1">IF(ISNUMBER(MATCH(DATEVALUE($A45),'recurring1_based on steps'!Y$1:Y$400,0)),Y$2,)</f>
        <v>0</v>
      </c>
      <c r="Z45" s="140">
        <f ca="1">IF(ISNUMBER(MATCH(DATEVALUE($A45),'recurring1_based on steps'!Z$1:Z$400,0)),Z$2,)</f>
        <v>0</v>
      </c>
      <c r="AA45" s="140">
        <f ca="1">IF(ISNUMBER(MATCH(DATEVALUE($A45),'recurring1_based on steps'!AA$1:AA$400,0)),AA$2,)</f>
        <v>0</v>
      </c>
      <c r="AB45" s="140">
        <f ca="1">IF(ISNUMBER(MATCH(DATEVALUE($A45),'recurring1_based on steps'!AB$1:AB$400,0)),AB$2,)</f>
        <v>5.5401662049861494E-2</v>
      </c>
      <c r="AC45" s="140">
        <f ca="1">IF(ISNUMBER(MATCH(DATEVALUE($A45),'recurring1_based on steps'!AC$1:AC$400,0)),AC$2,)</f>
        <v>0</v>
      </c>
      <c r="AD45" s="140">
        <f ca="1">IF(ISNUMBER(MATCH(DATEVALUE($A45),'recurring1_based on steps'!AD$1:AD$400,0)),AD$2,)</f>
        <v>0</v>
      </c>
      <c r="AE45" s="140">
        <f ca="1">IF(ISNUMBER(MATCH(DATEVALUE($A45),'recurring1_based on steps'!AE$1:AE$400,0)),AE$2,)</f>
        <v>0</v>
      </c>
      <c r="AF45" s="140">
        <f ca="1">IF(ISNUMBER(MATCH(DATEVALUE($A45),'recurring1_based on steps'!AF$1:AF$400,0)),AF$2,)</f>
        <v>0</v>
      </c>
      <c r="AG45" s="140">
        <f ca="1">IF(ISNUMBER(MATCH(DATEVALUE($A45),'recurring1_based on steps'!AG$1:AG$400,0)),AG$2,)</f>
        <v>0</v>
      </c>
      <c r="AH45" s="140">
        <f ca="1">IF(ISNUMBER(MATCH(DATEVALUE($A45),'recurring1_based on steps'!AH$1:AH$400,0)),AH$2,)</f>
        <v>0</v>
      </c>
      <c r="AI45" s="140">
        <f ca="1">IF(ISNUMBER(MATCH(DATEVALUE($A45),'recurring1_based on steps'!AI$1:AI$400,0)),AI$2,)</f>
        <v>0</v>
      </c>
      <c r="AJ45" s="140">
        <f ca="1">IF(ISNUMBER(MATCH(DATEVALUE($A45),'recurring1_based on steps'!AJ$1:AJ$400,0)),AJ$2,)</f>
        <v>0</v>
      </c>
      <c r="AK45" s="140">
        <f ca="1">IF(ISNUMBER(MATCH(DATEVALUE($A45),'recurring1_based on steps'!AK$1:AK$400,0)),AK$2,)</f>
        <v>0</v>
      </c>
      <c r="AL45" s="140">
        <f ca="1">IF(ISNUMBER(MATCH(DATEVALUE($A45),'recurring1_based on steps'!AL$1:AL$400,0)),AL$2,)</f>
        <v>0</v>
      </c>
      <c r="AM45" s="140">
        <f ca="1">IF(ISNUMBER(MATCH(DATEVALUE($A45),'recurring1_based on steps'!AM$1:AM$400,0)),AM$2,)</f>
        <v>0</v>
      </c>
      <c r="AN45" s="140">
        <f ca="1">IF(ISNUMBER(MATCH(DATEVALUE($A45),'recurring1_based on steps'!AN$1:AN$400,0)),AN$2,)</f>
        <v>0</v>
      </c>
      <c r="AO45" s="140">
        <f ca="1">IF(ISNUMBER(MATCH(DATEVALUE($A45),'recurring1_based on steps'!AO$1:AO$400,0)),AO$2,)</f>
        <v>0</v>
      </c>
      <c r="AP45" s="140">
        <f ca="1">IF(ISNUMBER(MATCH(DATEVALUE($A45),'recurring1_based on steps'!AP$1:AP$400,0)),AP$2,)</f>
        <v>0</v>
      </c>
      <c r="AQ45" s="140">
        <f ca="1">IF(ISNUMBER(MATCH(DATEVALUE($A45),'recurring1_based on steps'!AQ$1:AQ$400,0)),AQ$2,)</f>
        <v>0</v>
      </c>
      <c r="AR45" s="140">
        <f ca="1">IF(ISNUMBER(MATCH(DATEVALUE($A45),'recurring1_based on steps'!AR$1:AR$400,0)),AR$2,)</f>
        <v>0</v>
      </c>
      <c r="AS45" s="140">
        <f ca="1">IF(ISNUMBER(MATCH(DATEVALUE($A45),'recurring1_based on steps'!AS$1:AS$400,0)),AS$2,)</f>
        <v>0</v>
      </c>
      <c r="AT45" s="140">
        <f ca="1">IF(ISNUMBER(MATCH(DATEVALUE($A45),'recurring1_based on steps'!AT$1:AT$400,0)),AT$2,)</f>
        <v>0</v>
      </c>
      <c r="AU45" s="140">
        <f ca="1">IF(ISNUMBER(MATCH(DATEVALUE($A45),'recurring1_based on steps'!AU$1:AU$400,0)),AU$2,)</f>
        <v>0</v>
      </c>
      <c r="AV45" s="140">
        <f ca="1">IF(ISNUMBER(MATCH(DATEVALUE($A45),'recurring1_based on steps'!AV$1:AV$400,0)),AV$2,)</f>
        <v>0</v>
      </c>
      <c r="AW45" s="140">
        <f ca="1">IF(ISNUMBER(MATCH(DATEVALUE($A45),'recurring1_based on steps'!AW$1:AW$400,0)),AW$2,)</f>
        <v>0</v>
      </c>
      <c r="AX45" s="140">
        <f ca="1">IF(ISNUMBER(MATCH(DATEVALUE($A45),'recurring1_based on steps'!AX$1:AX$400,0)),AX$2,)</f>
        <v>0</v>
      </c>
      <c r="AY45" s="140">
        <f ca="1">IF(ISNUMBER(MATCH(DATEVALUE($A45),'recurring1_based on steps'!AY$1:AY$400,0)),AY$2,)</f>
        <v>0</v>
      </c>
    </row>
    <row r="46" spans="1:51" x14ac:dyDescent="0.2">
      <c r="A46" s="29" t="str">
        <f t="shared" ca="1" si="0"/>
        <v>2025-05-09</v>
      </c>
      <c r="B46" s="140">
        <f ca="1">IF(ISNUMBER(MATCH(DATEVALUE($A46),'recurring1_based on steps'!B$1:B$400,0)),B$2,)</f>
        <v>0</v>
      </c>
      <c r="C46" s="140">
        <f ca="1">IF(ISNUMBER(MATCH(DATEVALUE($A46),'recurring1_based on steps'!C$1:C$400,0)),C$2,)</f>
        <v>0</v>
      </c>
      <c r="D46" s="140">
        <f ca="1">IF(ISNUMBER(MATCH(DATEVALUE($A46),'recurring1_based on steps'!D$1:D$400,0)),D$2,)</f>
        <v>0</v>
      </c>
      <c r="E46" s="140">
        <f ca="1">IF(ISNUMBER(MATCH(DATEVALUE($A46),'recurring1_based on steps'!E$1:E$400,0)),E$2,)</f>
        <v>0</v>
      </c>
      <c r="F46" s="140">
        <f ca="1">IF(ISNUMBER(MATCH(DATEVALUE($A46),'recurring1_based on steps'!F$1:F$400,0)),F$2,)</f>
        <v>0</v>
      </c>
      <c r="G46" s="140">
        <f ca="1">IF(ISNUMBER(MATCH(DATEVALUE($A46),'recurring1_based on steps'!G$1:G$400,0)),G$2,)</f>
        <v>0</v>
      </c>
      <c r="H46" s="140">
        <f ca="1">IF(ISNUMBER(MATCH(DATEVALUE($A46),'recurring1_based on steps'!H$1:H$400,0)),H$2,)</f>
        <v>0</v>
      </c>
      <c r="I46" s="140">
        <f ca="1">IF(ISNUMBER(MATCH(DATEVALUE($A46),'recurring1_based on steps'!I$1:I$400,0)),I$2,)</f>
        <v>0</v>
      </c>
      <c r="J46" s="140">
        <f ca="1">IF(ISNUMBER(MATCH(DATEVALUE($A46),'recurring1_based on steps'!J$1:J$400,0)),J$2,)</f>
        <v>0</v>
      </c>
      <c r="K46" s="140">
        <f ca="1">IF(ISNUMBER(MATCH(DATEVALUE($A46),'recurring1_based on steps'!K$1:K$400,0)),K$2,)</f>
        <v>0</v>
      </c>
      <c r="L46" s="140">
        <f ca="1">IF(ISNUMBER(MATCH(DATEVALUE($A46),'recurring1_based on steps'!L$1:L$400,0)),L$2,)</f>
        <v>0</v>
      </c>
      <c r="M46" s="140">
        <f ca="1">IF(ISNUMBER(MATCH(DATEVALUE($A46),'recurring1_based on steps'!M$1:M$400,0)),M$2,)</f>
        <v>0</v>
      </c>
      <c r="N46" s="140">
        <f ca="1">IF(ISNUMBER(MATCH(DATEVALUE($A46),'recurring1_based on steps'!N$1:N$400,0)),N$2,)</f>
        <v>0</v>
      </c>
      <c r="O46" s="140">
        <f ca="1">IF(ISNUMBER(MATCH(DATEVALUE($A46),'recurring1_based on steps'!O$1:O$400,0)),O$2,)</f>
        <v>0</v>
      </c>
      <c r="P46" s="140">
        <f ca="1">IF(ISNUMBER(MATCH(DATEVALUE($A46),'recurring1_based on steps'!P$1:P$400,0)),P$2,)</f>
        <v>0</v>
      </c>
      <c r="Q46" s="140">
        <f ca="1">IF(ISNUMBER(MATCH(DATEVALUE($A46),'recurring1_based on steps'!Q$1:Q$400,0)),Q$2,)</f>
        <v>0</v>
      </c>
      <c r="R46" s="140">
        <f ca="1">IF(ISNUMBER(MATCH(DATEVALUE($A46),'recurring1_based on steps'!R$1:R$400,0)),R$2,)</f>
        <v>0</v>
      </c>
      <c r="S46" s="140">
        <f ca="1">IF(ISNUMBER(MATCH(DATEVALUE($A46),'recurring1_based on steps'!S$1:S$400,0)),S$2,)</f>
        <v>0</v>
      </c>
      <c r="T46" s="140">
        <f ca="1">IF(ISNUMBER(MATCH(DATEVALUE($A46),'recurring1_based on steps'!T$1:T$400,0)),T$2,)</f>
        <v>0</v>
      </c>
      <c r="U46" s="140">
        <f ca="1">IF(ISNUMBER(MATCH(DATEVALUE($A46),'recurring1_based on steps'!U$1:U$400,0)),U$2,)</f>
        <v>0</v>
      </c>
      <c r="V46" s="140">
        <f ca="1">IF(ISNUMBER(MATCH(DATEVALUE($A46),'recurring1_based on steps'!V$1:V$400,0)),V$2,)</f>
        <v>0</v>
      </c>
      <c r="W46" s="140">
        <f ca="1">IF(ISNUMBER(MATCH(DATEVALUE($A46),'recurring1_based on steps'!W$1:W$400,0)),W$2,)</f>
        <v>0</v>
      </c>
      <c r="X46" s="140">
        <f ca="1">IF(ISNUMBER(MATCH(DATEVALUE($A46),'recurring1_based on steps'!X$1:X$400,0)),X$2,)</f>
        <v>0</v>
      </c>
      <c r="Y46" s="140">
        <f ca="1">IF(ISNUMBER(MATCH(DATEVALUE($A46),'recurring1_based on steps'!Y$1:Y$400,0)),Y$2,)</f>
        <v>0</v>
      </c>
      <c r="Z46" s="140">
        <f ca="1">IF(ISNUMBER(MATCH(DATEVALUE($A46),'recurring1_based on steps'!Z$1:Z$400,0)),Z$2,)</f>
        <v>0</v>
      </c>
      <c r="AA46" s="140">
        <f ca="1">IF(ISNUMBER(MATCH(DATEVALUE($A46),'recurring1_based on steps'!AA$1:AA$400,0)),AA$2,)</f>
        <v>0</v>
      </c>
      <c r="AB46" s="140">
        <f ca="1">IF(ISNUMBER(MATCH(DATEVALUE($A46),'recurring1_based on steps'!AB$1:AB$400,0)),AB$2,)</f>
        <v>5.5401662049861494E-2</v>
      </c>
      <c r="AC46" s="140">
        <f ca="1">IF(ISNUMBER(MATCH(DATEVALUE($A46),'recurring1_based on steps'!AC$1:AC$400,0)),AC$2,)</f>
        <v>0</v>
      </c>
      <c r="AD46" s="140">
        <f ca="1">IF(ISNUMBER(MATCH(DATEVALUE($A46),'recurring1_based on steps'!AD$1:AD$400,0)),AD$2,)</f>
        <v>0</v>
      </c>
      <c r="AE46" s="140">
        <f ca="1">IF(ISNUMBER(MATCH(DATEVALUE($A46),'recurring1_based on steps'!AE$1:AE$400,0)),AE$2,)</f>
        <v>0</v>
      </c>
      <c r="AF46" s="140">
        <f ca="1">IF(ISNUMBER(MATCH(DATEVALUE($A46),'recurring1_based on steps'!AF$1:AF$400,0)),AF$2,)</f>
        <v>0</v>
      </c>
      <c r="AG46" s="140">
        <f ca="1">IF(ISNUMBER(MATCH(DATEVALUE($A46),'recurring1_based on steps'!AG$1:AG$400,0)),AG$2,)</f>
        <v>0</v>
      </c>
      <c r="AH46" s="140">
        <f ca="1">IF(ISNUMBER(MATCH(DATEVALUE($A46),'recurring1_based on steps'!AH$1:AH$400,0)),AH$2,)</f>
        <v>0</v>
      </c>
      <c r="AI46" s="140">
        <f ca="1">IF(ISNUMBER(MATCH(DATEVALUE($A46),'recurring1_based on steps'!AI$1:AI$400,0)),AI$2,)</f>
        <v>0</v>
      </c>
      <c r="AJ46" s="140">
        <f ca="1">IF(ISNUMBER(MATCH(DATEVALUE($A46),'recurring1_based on steps'!AJ$1:AJ$400,0)),AJ$2,)</f>
        <v>0</v>
      </c>
      <c r="AK46" s="140">
        <f ca="1">IF(ISNUMBER(MATCH(DATEVALUE($A46),'recurring1_based on steps'!AK$1:AK$400,0)),AK$2,)</f>
        <v>0</v>
      </c>
      <c r="AL46" s="140">
        <f ca="1">IF(ISNUMBER(MATCH(DATEVALUE($A46),'recurring1_based on steps'!AL$1:AL$400,0)),AL$2,)</f>
        <v>0</v>
      </c>
      <c r="AM46" s="140">
        <f ca="1">IF(ISNUMBER(MATCH(DATEVALUE($A46),'recurring1_based on steps'!AM$1:AM$400,0)),AM$2,)</f>
        <v>0</v>
      </c>
      <c r="AN46" s="140">
        <f ca="1">IF(ISNUMBER(MATCH(DATEVALUE($A46),'recurring1_based on steps'!AN$1:AN$400,0)),AN$2,)</f>
        <v>0</v>
      </c>
      <c r="AO46" s="140">
        <f ca="1">IF(ISNUMBER(MATCH(DATEVALUE($A46),'recurring1_based on steps'!AO$1:AO$400,0)),AO$2,)</f>
        <v>0</v>
      </c>
      <c r="AP46" s="140">
        <f ca="1">IF(ISNUMBER(MATCH(DATEVALUE($A46),'recurring1_based on steps'!AP$1:AP$400,0)),AP$2,)</f>
        <v>0</v>
      </c>
      <c r="AQ46" s="140">
        <f ca="1">IF(ISNUMBER(MATCH(DATEVALUE($A46),'recurring1_based on steps'!AQ$1:AQ$400,0)),AQ$2,)</f>
        <v>0</v>
      </c>
      <c r="AR46" s="140">
        <f ca="1">IF(ISNUMBER(MATCH(DATEVALUE($A46),'recurring1_based on steps'!AR$1:AR$400,0)),AR$2,)</f>
        <v>0</v>
      </c>
      <c r="AS46" s="140">
        <f ca="1">IF(ISNUMBER(MATCH(DATEVALUE($A46),'recurring1_based on steps'!AS$1:AS$400,0)),AS$2,)</f>
        <v>0</v>
      </c>
      <c r="AT46" s="140">
        <f ca="1">IF(ISNUMBER(MATCH(DATEVALUE($A46),'recurring1_based on steps'!AT$1:AT$400,0)),AT$2,)</f>
        <v>0</v>
      </c>
      <c r="AU46" s="140">
        <f ca="1">IF(ISNUMBER(MATCH(DATEVALUE($A46),'recurring1_based on steps'!AU$1:AU$400,0)),AU$2,)</f>
        <v>0</v>
      </c>
      <c r="AV46" s="140">
        <f ca="1">IF(ISNUMBER(MATCH(DATEVALUE($A46),'recurring1_based on steps'!AV$1:AV$400,0)),AV$2,)</f>
        <v>0</v>
      </c>
      <c r="AW46" s="140">
        <f ca="1">IF(ISNUMBER(MATCH(DATEVALUE($A46),'recurring1_based on steps'!AW$1:AW$400,0)),AW$2,)</f>
        <v>0</v>
      </c>
      <c r="AX46" s="140">
        <f ca="1">IF(ISNUMBER(MATCH(DATEVALUE($A46),'recurring1_based on steps'!AX$1:AX$400,0)),AX$2,)</f>
        <v>0</v>
      </c>
      <c r="AY46" s="140">
        <f ca="1">IF(ISNUMBER(MATCH(DATEVALUE($A46),'recurring1_based on steps'!AY$1:AY$400,0)),AY$2,)</f>
        <v>0</v>
      </c>
    </row>
    <row r="47" spans="1:51" x14ac:dyDescent="0.2">
      <c r="A47" s="29" t="str">
        <f t="shared" ca="1" si="0"/>
        <v>2025-05-10</v>
      </c>
      <c r="B47" s="140">
        <f ca="1">IF(ISNUMBER(MATCH(DATEVALUE($A47),'recurring1_based on steps'!B$1:B$400,0)),B$2,)</f>
        <v>0</v>
      </c>
      <c r="C47" s="140">
        <f ca="1">IF(ISNUMBER(MATCH(DATEVALUE($A47),'recurring1_based on steps'!C$1:C$400,0)),C$2,)</f>
        <v>0</v>
      </c>
      <c r="D47" s="140">
        <f ca="1">IF(ISNUMBER(MATCH(DATEVALUE($A47),'recurring1_based on steps'!D$1:D$400,0)),D$2,)</f>
        <v>0</v>
      </c>
      <c r="E47" s="140">
        <f ca="1">IF(ISNUMBER(MATCH(DATEVALUE($A47),'recurring1_based on steps'!E$1:E$400,0)),E$2,)</f>
        <v>0</v>
      </c>
      <c r="F47" s="140">
        <f ca="1">IF(ISNUMBER(MATCH(DATEVALUE($A47),'recurring1_based on steps'!F$1:F$400,0)),F$2,)</f>
        <v>0</v>
      </c>
      <c r="G47" s="140">
        <f ca="1">IF(ISNUMBER(MATCH(DATEVALUE($A47),'recurring1_based on steps'!G$1:G$400,0)),G$2,)</f>
        <v>0</v>
      </c>
      <c r="H47" s="140">
        <f ca="1">IF(ISNUMBER(MATCH(DATEVALUE($A47),'recurring1_based on steps'!H$1:H$400,0)),H$2,)</f>
        <v>0</v>
      </c>
      <c r="I47" s="140">
        <f ca="1">IF(ISNUMBER(MATCH(DATEVALUE($A47),'recurring1_based on steps'!I$1:I$400,0)),I$2,)</f>
        <v>0</v>
      </c>
      <c r="J47" s="140">
        <f ca="1">IF(ISNUMBER(MATCH(DATEVALUE($A47),'recurring1_based on steps'!J$1:J$400,0)),J$2,)</f>
        <v>0</v>
      </c>
      <c r="K47" s="140">
        <f ca="1">IF(ISNUMBER(MATCH(DATEVALUE($A47),'recurring1_based on steps'!K$1:K$400,0)),K$2,)</f>
        <v>0</v>
      </c>
      <c r="L47" s="140">
        <f ca="1">IF(ISNUMBER(MATCH(DATEVALUE($A47),'recurring1_based on steps'!L$1:L$400,0)),L$2,)</f>
        <v>0</v>
      </c>
      <c r="M47" s="140">
        <f ca="1">IF(ISNUMBER(MATCH(DATEVALUE($A47),'recurring1_based on steps'!M$1:M$400,0)),M$2,)</f>
        <v>0</v>
      </c>
      <c r="N47" s="140">
        <f ca="1">IF(ISNUMBER(MATCH(DATEVALUE($A47),'recurring1_based on steps'!N$1:N$400,0)),N$2,)</f>
        <v>0</v>
      </c>
      <c r="O47" s="140">
        <f ca="1">IF(ISNUMBER(MATCH(DATEVALUE($A47),'recurring1_based on steps'!O$1:O$400,0)),O$2,)</f>
        <v>0</v>
      </c>
      <c r="P47" s="140">
        <f ca="1">IF(ISNUMBER(MATCH(DATEVALUE($A47),'recurring1_based on steps'!P$1:P$400,0)),P$2,)</f>
        <v>0</v>
      </c>
      <c r="Q47" s="140">
        <f ca="1">IF(ISNUMBER(MATCH(DATEVALUE($A47),'recurring1_based on steps'!Q$1:Q$400,0)),Q$2,)</f>
        <v>100</v>
      </c>
      <c r="R47" s="140">
        <f ca="1">IF(ISNUMBER(MATCH(DATEVALUE($A47),'recurring1_based on steps'!R$1:R$400,0)),R$2,)</f>
        <v>100</v>
      </c>
      <c r="S47" s="140">
        <f ca="1">IF(ISNUMBER(MATCH(DATEVALUE($A47),'recurring1_based on steps'!S$1:S$400,0)),S$2,)</f>
        <v>0</v>
      </c>
      <c r="T47" s="140">
        <f ca="1">IF(ISNUMBER(MATCH(DATEVALUE($A47),'recurring1_based on steps'!T$1:T$400,0)),T$2,)</f>
        <v>0</v>
      </c>
      <c r="U47" s="140">
        <f ca="1">IF(ISNUMBER(MATCH(DATEVALUE($A47),'recurring1_based on steps'!U$1:U$400,0)),U$2,)</f>
        <v>0</v>
      </c>
      <c r="V47" s="140">
        <f ca="1">IF(ISNUMBER(MATCH(DATEVALUE($A47),'recurring1_based on steps'!V$1:V$400,0)),V$2,)</f>
        <v>0</v>
      </c>
      <c r="W47" s="140">
        <f ca="1">IF(ISNUMBER(MATCH(DATEVALUE($A47),'recurring1_based on steps'!W$1:W$400,0)),W$2,)</f>
        <v>0</v>
      </c>
      <c r="X47" s="140">
        <f ca="1">IF(ISNUMBER(MATCH(DATEVALUE($A47),'recurring1_based on steps'!X$1:X$400,0)),X$2,)</f>
        <v>0</v>
      </c>
      <c r="Y47" s="140">
        <f ca="1">IF(ISNUMBER(MATCH(DATEVALUE($A47),'recurring1_based on steps'!Y$1:Y$400,0)),Y$2,)</f>
        <v>0</v>
      </c>
      <c r="Z47" s="140">
        <f ca="1">IF(ISNUMBER(MATCH(DATEVALUE($A47),'recurring1_based on steps'!Z$1:Z$400,0)),Z$2,)</f>
        <v>0</v>
      </c>
      <c r="AA47" s="140">
        <f ca="1">IF(ISNUMBER(MATCH(DATEVALUE($A47),'recurring1_based on steps'!AA$1:AA$400,0)),AA$2,)</f>
        <v>0</v>
      </c>
      <c r="AB47" s="140">
        <f ca="1">IF(ISNUMBER(MATCH(DATEVALUE($A47),'recurring1_based on steps'!AB$1:AB$400,0)),AB$2,)</f>
        <v>5.5401662049861494E-2</v>
      </c>
      <c r="AC47" s="140">
        <f ca="1">IF(ISNUMBER(MATCH(DATEVALUE($A47),'recurring1_based on steps'!AC$1:AC$400,0)),AC$2,)</f>
        <v>0</v>
      </c>
      <c r="AD47" s="140">
        <f ca="1">IF(ISNUMBER(MATCH(DATEVALUE($A47),'recurring1_based on steps'!AD$1:AD$400,0)),AD$2,)</f>
        <v>0</v>
      </c>
      <c r="AE47" s="140">
        <f ca="1">IF(ISNUMBER(MATCH(DATEVALUE($A47),'recurring1_based on steps'!AE$1:AE$400,0)),AE$2,)</f>
        <v>0</v>
      </c>
      <c r="AF47" s="140">
        <f ca="1">IF(ISNUMBER(MATCH(DATEVALUE($A47),'recurring1_based on steps'!AF$1:AF$400,0)),AF$2,)</f>
        <v>0</v>
      </c>
      <c r="AG47" s="140">
        <f ca="1">IF(ISNUMBER(MATCH(DATEVALUE($A47),'recurring1_based on steps'!AG$1:AG$400,0)),AG$2,)</f>
        <v>0</v>
      </c>
      <c r="AH47" s="140">
        <f ca="1">IF(ISNUMBER(MATCH(DATEVALUE($A47),'recurring1_based on steps'!AH$1:AH$400,0)),AH$2,)</f>
        <v>0</v>
      </c>
      <c r="AI47" s="140">
        <f ca="1">IF(ISNUMBER(MATCH(DATEVALUE($A47),'recurring1_based on steps'!AI$1:AI$400,0)),AI$2,)</f>
        <v>0</v>
      </c>
      <c r="AJ47" s="140">
        <f ca="1">IF(ISNUMBER(MATCH(DATEVALUE($A47),'recurring1_based on steps'!AJ$1:AJ$400,0)),AJ$2,)</f>
        <v>0</v>
      </c>
      <c r="AK47" s="140">
        <f ca="1">IF(ISNUMBER(MATCH(DATEVALUE($A47),'recurring1_based on steps'!AK$1:AK$400,0)),AK$2,)</f>
        <v>0</v>
      </c>
      <c r="AL47" s="140">
        <f ca="1">IF(ISNUMBER(MATCH(DATEVALUE($A47),'recurring1_based on steps'!AL$1:AL$400,0)),AL$2,)</f>
        <v>0</v>
      </c>
      <c r="AM47" s="140">
        <f ca="1">IF(ISNUMBER(MATCH(DATEVALUE($A47),'recurring1_based on steps'!AM$1:AM$400,0)),AM$2,)</f>
        <v>0</v>
      </c>
      <c r="AN47" s="140">
        <f ca="1">IF(ISNUMBER(MATCH(DATEVALUE($A47),'recurring1_based on steps'!AN$1:AN$400,0)),AN$2,)</f>
        <v>0</v>
      </c>
      <c r="AO47" s="140">
        <f ca="1">IF(ISNUMBER(MATCH(DATEVALUE($A47),'recurring1_based on steps'!AO$1:AO$400,0)),AO$2,)</f>
        <v>0</v>
      </c>
      <c r="AP47" s="140">
        <f ca="1">IF(ISNUMBER(MATCH(DATEVALUE($A47),'recurring1_based on steps'!AP$1:AP$400,0)),AP$2,)</f>
        <v>0</v>
      </c>
      <c r="AQ47" s="140">
        <f ca="1">IF(ISNUMBER(MATCH(DATEVALUE($A47),'recurring1_based on steps'!AQ$1:AQ$400,0)),AQ$2,)</f>
        <v>0</v>
      </c>
      <c r="AR47" s="140">
        <f ca="1">IF(ISNUMBER(MATCH(DATEVALUE($A47),'recurring1_based on steps'!AR$1:AR$400,0)),AR$2,)</f>
        <v>0</v>
      </c>
      <c r="AS47" s="140">
        <f ca="1">IF(ISNUMBER(MATCH(DATEVALUE($A47),'recurring1_based on steps'!AS$1:AS$400,0)),AS$2,)</f>
        <v>0</v>
      </c>
      <c r="AT47" s="140">
        <f ca="1">IF(ISNUMBER(MATCH(DATEVALUE($A47),'recurring1_based on steps'!AT$1:AT$400,0)),AT$2,)</f>
        <v>0</v>
      </c>
      <c r="AU47" s="140">
        <f ca="1">IF(ISNUMBER(MATCH(DATEVALUE($A47),'recurring1_based on steps'!AU$1:AU$400,0)),AU$2,)</f>
        <v>0</v>
      </c>
      <c r="AV47" s="140">
        <f ca="1">IF(ISNUMBER(MATCH(DATEVALUE($A47),'recurring1_based on steps'!AV$1:AV$400,0)),AV$2,)</f>
        <v>0</v>
      </c>
      <c r="AW47" s="140">
        <f ca="1">IF(ISNUMBER(MATCH(DATEVALUE($A47),'recurring1_based on steps'!AW$1:AW$400,0)),AW$2,)</f>
        <v>0</v>
      </c>
      <c r="AX47" s="140">
        <f ca="1">IF(ISNUMBER(MATCH(DATEVALUE($A47),'recurring1_based on steps'!AX$1:AX$400,0)),AX$2,)</f>
        <v>0</v>
      </c>
      <c r="AY47" s="140">
        <f ca="1">IF(ISNUMBER(MATCH(DATEVALUE($A47),'recurring1_based on steps'!AY$1:AY$400,0)),AY$2,)</f>
        <v>0</v>
      </c>
    </row>
    <row r="48" spans="1:51" x14ac:dyDescent="0.2">
      <c r="A48" s="29" t="str">
        <f t="shared" ca="1" si="0"/>
        <v>2025-05-11</v>
      </c>
      <c r="B48" s="140">
        <f ca="1">IF(ISNUMBER(MATCH(DATEVALUE($A48),'recurring1_based on steps'!B$1:B$400,0)),B$2,)</f>
        <v>0</v>
      </c>
      <c r="C48" s="140">
        <f ca="1">IF(ISNUMBER(MATCH(DATEVALUE($A48),'recurring1_based on steps'!C$1:C$400,0)),C$2,)</f>
        <v>0</v>
      </c>
      <c r="D48" s="140">
        <f ca="1">IF(ISNUMBER(MATCH(DATEVALUE($A48),'recurring1_based on steps'!D$1:D$400,0)),D$2,)</f>
        <v>0</v>
      </c>
      <c r="E48" s="140">
        <f ca="1">IF(ISNUMBER(MATCH(DATEVALUE($A48),'recurring1_based on steps'!E$1:E$400,0)),E$2,)</f>
        <v>0</v>
      </c>
      <c r="F48" s="140">
        <f ca="1">IF(ISNUMBER(MATCH(DATEVALUE($A48),'recurring1_based on steps'!F$1:F$400,0)),F$2,)</f>
        <v>0</v>
      </c>
      <c r="G48" s="140">
        <f ca="1">IF(ISNUMBER(MATCH(DATEVALUE($A48),'recurring1_based on steps'!G$1:G$400,0)),G$2,)</f>
        <v>0</v>
      </c>
      <c r="H48" s="140">
        <f ca="1">IF(ISNUMBER(MATCH(DATEVALUE($A48),'recurring1_based on steps'!H$1:H$400,0)),H$2,)</f>
        <v>0</v>
      </c>
      <c r="I48" s="140">
        <f ca="1">IF(ISNUMBER(MATCH(DATEVALUE($A48),'recurring1_based on steps'!I$1:I$400,0)),I$2,)</f>
        <v>0</v>
      </c>
      <c r="J48" s="140">
        <f ca="1">IF(ISNUMBER(MATCH(DATEVALUE($A48),'recurring1_based on steps'!J$1:J$400,0)),J$2,)</f>
        <v>0</v>
      </c>
      <c r="K48" s="140">
        <f ca="1">IF(ISNUMBER(MATCH(DATEVALUE($A48),'recurring1_based on steps'!K$1:K$400,0)),K$2,)</f>
        <v>50</v>
      </c>
      <c r="L48" s="140">
        <f ca="1">IF(ISNUMBER(MATCH(DATEVALUE($A48),'recurring1_based on steps'!L$1:L$400,0)),L$2,)</f>
        <v>0</v>
      </c>
      <c r="M48" s="140">
        <f ca="1">IF(ISNUMBER(MATCH(DATEVALUE($A48),'recurring1_based on steps'!M$1:M$400,0)),M$2,)</f>
        <v>0</v>
      </c>
      <c r="N48" s="140">
        <f ca="1">IF(ISNUMBER(MATCH(DATEVALUE($A48),'recurring1_based on steps'!N$1:N$400,0)),N$2,)</f>
        <v>0</v>
      </c>
      <c r="O48" s="140">
        <f ca="1">IF(ISNUMBER(MATCH(DATEVALUE($A48),'recurring1_based on steps'!O$1:O$400,0)),O$2,)</f>
        <v>0</v>
      </c>
      <c r="P48" s="140">
        <f ca="1">IF(ISNUMBER(MATCH(DATEVALUE($A48),'recurring1_based on steps'!P$1:P$400,0)),P$2,)</f>
        <v>0</v>
      </c>
      <c r="Q48" s="140">
        <f ca="1">IF(ISNUMBER(MATCH(DATEVALUE($A48),'recurring1_based on steps'!Q$1:Q$400,0)),Q$2,)</f>
        <v>0</v>
      </c>
      <c r="R48" s="140">
        <f ca="1">IF(ISNUMBER(MATCH(DATEVALUE($A48),'recurring1_based on steps'!R$1:R$400,0)),R$2,)</f>
        <v>0</v>
      </c>
      <c r="S48" s="140">
        <f ca="1">IF(ISNUMBER(MATCH(DATEVALUE($A48),'recurring1_based on steps'!S$1:S$400,0)),S$2,)</f>
        <v>100</v>
      </c>
      <c r="T48" s="140">
        <f ca="1">IF(ISNUMBER(MATCH(DATEVALUE($A48),'recurring1_based on steps'!T$1:T$400,0)),T$2,)</f>
        <v>0</v>
      </c>
      <c r="U48" s="140">
        <f ca="1">IF(ISNUMBER(MATCH(DATEVALUE($A48),'recurring1_based on steps'!U$1:U$400,0)),U$2,)</f>
        <v>0</v>
      </c>
      <c r="V48" s="140">
        <f ca="1">IF(ISNUMBER(MATCH(DATEVALUE($A48),'recurring1_based on steps'!V$1:V$400,0)),V$2,)</f>
        <v>0</v>
      </c>
      <c r="W48" s="140">
        <f ca="1">IF(ISNUMBER(MATCH(DATEVALUE($A48),'recurring1_based on steps'!W$1:W$400,0)),W$2,)</f>
        <v>0</v>
      </c>
      <c r="X48" s="140">
        <f ca="1">IF(ISNUMBER(MATCH(DATEVALUE($A48),'recurring1_based on steps'!X$1:X$400,0)),X$2,)</f>
        <v>0</v>
      </c>
      <c r="Y48" s="140">
        <f ca="1">IF(ISNUMBER(MATCH(DATEVALUE($A48),'recurring1_based on steps'!Y$1:Y$400,0)),Y$2,)</f>
        <v>0</v>
      </c>
      <c r="Z48" s="140">
        <f ca="1">IF(ISNUMBER(MATCH(DATEVALUE($A48),'recurring1_based on steps'!Z$1:Z$400,0)),Z$2,)</f>
        <v>0</v>
      </c>
      <c r="AA48" s="140">
        <f ca="1">IF(ISNUMBER(MATCH(DATEVALUE($A48),'recurring1_based on steps'!AA$1:AA$400,0)),AA$2,)</f>
        <v>0</v>
      </c>
      <c r="AB48" s="140">
        <f ca="1">IF(ISNUMBER(MATCH(DATEVALUE($A48),'recurring1_based on steps'!AB$1:AB$400,0)),AB$2,)</f>
        <v>5.5401662049861494E-2</v>
      </c>
      <c r="AC48" s="140">
        <f ca="1">IF(ISNUMBER(MATCH(DATEVALUE($A48),'recurring1_based on steps'!AC$1:AC$400,0)),AC$2,)</f>
        <v>0</v>
      </c>
      <c r="AD48" s="140">
        <f ca="1">IF(ISNUMBER(MATCH(DATEVALUE($A48),'recurring1_based on steps'!AD$1:AD$400,0)),AD$2,)</f>
        <v>0</v>
      </c>
      <c r="AE48" s="140">
        <f ca="1">IF(ISNUMBER(MATCH(DATEVALUE($A48),'recurring1_based on steps'!AE$1:AE$400,0)),AE$2,)</f>
        <v>0</v>
      </c>
      <c r="AF48" s="140">
        <f ca="1">IF(ISNUMBER(MATCH(DATEVALUE($A48),'recurring1_based on steps'!AF$1:AF$400,0)),AF$2,)</f>
        <v>0</v>
      </c>
      <c r="AG48" s="140">
        <f ca="1">IF(ISNUMBER(MATCH(DATEVALUE($A48),'recurring1_based on steps'!AG$1:AG$400,0)),AG$2,)</f>
        <v>0</v>
      </c>
      <c r="AH48" s="140">
        <f ca="1">IF(ISNUMBER(MATCH(DATEVALUE($A48),'recurring1_based on steps'!AH$1:AH$400,0)),AH$2,)</f>
        <v>0</v>
      </c>
      <c r="AI48" s="140">
        <f ca="1">IF(ISNUMBER(MATCH(DATEVALUE($A48),'recurring1_based on steps'!AI$1:AI$400,0)),AI$2,)</f>
        <v>0</v>
      </c>
      <c r="AJ48" s="140">
        <f ca="1">IF(ISNUMBER(MATCH(DATEVALUE($A48),'recurring1_based on steps'!AJ$1:AJ$400,0)),AJ$2,)</f>
        <v>0</v>
      </c>
      <c r="AK48" s="140">
        <f ca="1">IF(ISNUMBER(MATCH(DATEVALUE($A48),'recurring1_based on steps'!AK$1:AK$400,0)),AK$2,)</f>
        <v>0</v>
      </c>
      <c r="AL48" s="140">
        <f ca="1">IF(ISNUMBER(MATCH(DATEVALUE($A48),'recurring1_based on steps'!AL$1:AL$400,0)),AL$2,)</f>
        <v>0</v>
      </c>
      <c r="AM48" s="140">
        <f ca="1">IF(ISNUMBER(MATCH(DATEVALUE($A48),'recurring1_based on steps'!AM$1:AM$400,0)),AM$2,)</f>
        <v>0</v>
      </c>
      <c r="AN48" s="140">
        <f ca="1">IF(ISNUMBER(MATCH(DATEVALUE($A48),'recurring1_based on steps'!AN$1:AN$400,0)),AN$2,)</f>
        <v>0</v>
      </c>
      <c r="AO48" s="140">
        <f ca="1">IF(ISNUMBER(MATCH(DATEVALUE($A48),'recurring1_based on steps'!AO$1:AO$400,0)),AO$2,)</f>
        <v>0</v>
      </c>
      <c r="AP48" s="140">
        <f ca="1">IF(ISNUMBER(MATCH(DATEVALUE($A48),'recurring1_based on steps'!AP$1:AP$400,0)),AP$2,)</f>
        <v>0</v>
      </c>
      <c r="AQ48" s="140">
        <f ca="1">IF(ISNUMBER(MATCH(DATEVALUE($A48),'recurring1_based on steps'!AQ$1:AQ$400,0)),AQ$2,)</f>
        <v>0</v>
      </c>
      <c r="AR48" s="140">
        <f ca="1">IF(ISNUMBER(MATCH(DATEVALUE($A48),'recurring1_based on steps'!AR$1:AR$400,0)),AR$2,)</f>
        <v>0</v>
      </c>
      <c r="AS48" s="140">
        <f ca="1">IF(ISNUMBER(MATCH(DATEVALUE($A48),'recurring1_based on steps'!AS$1:AS$400,0)),AS$2,)</f>
        <v>0</v>
      </c>
      <c r="AT48" s="140">
        <f ca="1">IF(ISNUMBER(MATCH(DATEVALUE($A48),'recurring1_based on steps'!AT$1:AT$400,0)),AT$2,)</f>
        <v>0</v>
      </c>
      <c r="AU48" s="140">
        <f ca="1">IF(ISNUMBER(MATCH(DATEVALUE($A48),'recurring1_based on steps'!AU$1:AU$400,0)),AU$2,)</f>
        <v>0</v>
      </c>
      <c r="AV48" s="140">
        <f ca="1">IF(ISNUMBER(MATCH(DATEVALUE($A48),'recurring1_based on steps'!AV$1:AV$400,0)),AV$2,)</f>
        <v>0</v>
      </c>
      <c r="AW48" s="140">
        <f ca="1">IF(ISNUMBER(MATCH(DATEVALUE($A48),'recurring1_based on steps'!AW$1:AW$400,0)),AW$2,)</f>
        <v>0</v>
      </c>
      <c r="AX48" s="140">
        <f ca="1">IF(ISNUMBER(MATCH(DATEVALUE($A48),'recurring1_based on steps'!AX$1:AX$400,0)),AX$2,)</f>
        <v>0</v>
      </c>
      <c r="AY48" s="140">
        <f ca="1">IF(ISNUMBER(MATCH(DATEVALUE($A48),'recurring1_based on steps'!AY$1:AY$400,0)),AY$2,)</f>
        <v>0</v>
      </c>
    </row>
    <row r="49" spans="1:51" x14ac:dyDescent="0.2">
      <c r="A49" s="29" t="str">
        <f t="shared" ca="1" si="0"/>
        <v>2025-05-12</v>
      </c>
      <c r="B49" s="140">
        <f ca="1">IF(ISNUMBER(MATCH(DATEVALUE($A49),'recurring1_based on steps'!B$1:B$400,0)),B$2,)</f>
        <v>0</v>
      </c>
      <c r="C49" s="140">
        <f ca="1">IF(ISNUMBER(MATCH(DATEVALUE($A49),'recurring1_based on steps'!C$1:C$400,0)),C$2,)</f>
        <v>0</v>
      </c>
      <c r="D49" s="140">
        <f ca="1">IF(ISNUMBER(MATCH(DATEVALUE($A49),'recurring1_based on steps'!D$1:D$400,0)),D$2,)</f>
        <v>0</v>
      </c>
      <c r="E49" s="140">
        <f ca="1">IF(ISNUMBER(MATCH(DATEVALUE($A49),'recurring1_based on steps'!E$1:E$400,0)),E$2,)</f>
        <v>0</v>
      </c>
      <c r="F49" s="140">
        <f ca="1">IF(ISNUMBER(MATCH(DATEVALUE($A49),'recurring1_based on steps'!F$1:F$400,0)),F$2,)</f>
        <v>0</v>
      </c>
      <c r="G49" s="140">
        <f ca="1">IF(ISNUMBER(MATCH(DATEVALUE($A49),'recurring1_based on steps'!G$1:G$400,0)),G$2,)</f>
        <v>0</v>
      </c>
      <c r="H49" s="140">
        <f ca="1">IF(ISNUMBER(MATCH(DATEVALUE($A49),'recurring1_based on steps'!H$1:H$400,0)),H$2,)</f>
        <v>0</v>
      </c>
      <c r="I49" s="140">
        <f ca="1">IF(ISNUMBER(MATCH(DATEVALUE($A49),'recurring1_based on steps'!I$1:I$400,0)),I$2,)</f>
        <v>0</v>
      </c>
      <c r="J49" s="140">
        <f ca="1">IF(ISNUMBER(MATCH(DATEVALUE($A49),'recurring1_based on steps'!J$1:J$400,0)),J$2,)</f>
        <v>0</v>
      </c>
      <c r="K49" s="140">
        <f ca="1">IF(ISNUMBER(MATCH(DATEVALUE($A49),'recurring1_based on steps'!K$1:K$400,0)),K$2,)</f>
        <v>0</v>
      </c>
      <c r="L49" s="140">
        <f ca="1">IF(ISNUMBER(MATCH(DATEVALUE($A49),'recurring1_based on steps'!L$1:L$400,0)),L$2,)</f>
        <v>0</v>
      </c>
      <c r="M49" s="140">
        <f ca="1">IF(ISNUMBER(MATCH(DATEVALUE($A49),'recurring1_based on steps'!M$1:M$400,0)),M$2,)</f>
        <v>0</v>
      </c>
      <c r="N49" s="140">
        <f ca="1">IF(ISNUMBER(MATCH(DATEVALUE($A49),'recurring1_based on steps'!N$1:N$400,0)),N$2,)</f>
        <v>0</v>
      </c>
      <c r="O49" s="140">
        <f ca="1">IF(ISNUMBER(MATCH(DATEVALUE($A49),'recurring1_based on steps'!O$1:O$400,0)),O$2,)</f>
        <v>0</v>
      </c>
      <c r="P49" s="140">
        <f ca="1">IF(ISNUMBER(MATCH(DATEVALUE($A49),'recurring1_based on steps'!P$1:P$400,0)),P$2,)</f>
        <v>0</v>
      </c>
      <c r="Q49" s="140">
        <f ca="1">IF(ISNUMBER(MATCH(DATEVALUE($A49),'recurring1_based on steps'!Q$1:Q$400,0)),Q$2,)</f>
        <v>0</v>
      </c>
      <c r="R49" s="140">
        <f ca="1">IF(ISNUMBER(MATCH(DATEVALUE($A49),'recurring1_based on steps'!R$1:R$400,0)),R$2,)</f>
        <v>0</v>
      </c>
      <c r="S49" s="140">
        <f ca="1">IF(ISNUMBER(MATCH(DATEVALUE($A49),'recurring1_based on steps'!S$1:S$400,0)),S$2,)</f>
        <v>0</v>
      </c>
      <c r="T49" s="140">
        <f ca="1">IF(ISNUMBER(MATCH(DATEVALUE($A49),'recurring1_based on steps'!T$1:T$400,0)),T$2,)</f>
        <v>0</v>
      </c>
      <c r="U49" s="140">
        <f ca="1">IF(ISNUMBER(MATCH(DATEVALUE($A49),'recurring1_based on steps'!U$1:U$400,0)),U$2,)</f>
        <v>0</v>
      </c>
      <c r="V49" s="140">
        <f ca="1">IF(ISNUMBER(MATCH(DATEVALUE($A49),'recurring1_based on steps'!V$1:V$400,0)),V$2,)</f>
        <v>0</v>
      </c>
      <c r="W49" s="140">
        <f ca="1">IF(ISNUMBER(MATCH(DATEVALUE($A49),'recurring1_based on steps'!W$1:W$400,0)),W$2,)</f>
        <v>0</v>
      </c>
      <c r="X49" s="140">
        <f ca="1">IF(ISNUMBER(MATCH(DATEVALUE($A49),'recurring1_based on steps'!X$1:X$400,0)),X$2,)</f>
        <v>0</v>
      </c>
      <c r="Y49" s="140">
        <f ca="1">IF(ISNUMBER(MATCH(DATEVALUE($A49),'recurring1_based on steps'!Y$1:Y$400,0)),Y$2,)</f>
        <v>0</v>
      </c>
      <c r="Z49" s="140">
        <f ca="1">IF(ISNUMBER(MATCH(DATEVALUE($A49),'recurring1_based on steps'!Z$1:Z$400,0)),Z$2,)</f>
        <v>0</v>
      </c>
      <c r="AA49" s="140">
        <f ca="1">IF(ISNUMBER(MATCH(DATEVALUE($A49),'recurring1_based on steps'!AA$1:AA$400,0)),AA$2,)</f>
        <v>0</v>
      </c>
      <c r="AB49" s="140">
        <f ca="1">IF(ISNUMBER(MATCH(DATEVALUE($A49),'recurring1_based on steps'!AB$1:AB$400,0)),AB$2,)</f>
        <v>5.5401662049861494E-2</v>
      </c>
      <c r="AC49" s="140">
        <f ca="1">IF(ISNUMBER(MATCH(DATEVALUE($A49),'recurring1_based on steps'!AC$1:AC$400,0)),AC$2,)</f>
        <v>0</v>
      </c>
      <c r="AD49" s="140">
        <f ca="1">IF(ISNUMBER(MATCH(DATEVALUE($A49),'recurring1_based on steps'!AD$1:AD$400,0)),AD$2,)</f>
        <v>0</v>
      </c>
      <c r="AE49" s="140">
        <f ca="1">IF(ISNUMBER(MATCH(DATEVALUE($A49),'recurring1_based on steps'!AE$1:AE$400,0)),AE$2,)</f>
        <v>0</v>
      </c>
      <c r="AF49" s="140">
        <f ca="1">IF(ISNUMBER(MATCH(DATEVALUE($A49),'recurring1_based on steps'!AF$1:AF$400,0)),AF$2,)</f>
        <v>0</v>
      </c>
      <c r="AG49" s="140">
        <f ca="1">IF(ISNUMBER(MATCH(DATEVALUE($A49),'recurring1_based on steps'!AG$1:AG$400,0)),AG$2,)</f>
        <v>0</v>
      </c>
      <c r="AH49" s="140">
        <f ca="1">IF(ISNUMBER(MATCH(DATEVALUE($A49),'recurring1_based on steps'!AH$1:AH$400,0)),AH$2,)</f>
        <v>0</v>
      </c>
      <c r="AI49" s="140">
        <f ca="1">IF(ISNUMBER(MATCH(DATEVALUE($A49),'recurring1_based on steps'!AI$1:AI$400,0)),AI$2,)</f>
        <v>0</v>
      </c>
      <c r="AJ49" s="140">
        <f ca="1">IF(ISNUMBER(MATCH(DATEVALUE($A49),'recurring1_based on steps'!AJ$1:AJ$400,0)),AJ$2,)</f>
        <v>0</v>
      </c>
      <c r="AK49" s="140">
        <f ca="1">IF(ISNUMBER(MATCH(DATEVALUE($A49),'recurring1_based on steps'!AK$1:AK$400,0)),AK$2,)</f>
        <v>0</v>
      </c>
      <c r="AL49" s="140">
        <f ca="1">IF(ISNUMBER(MATCH(DATEVALUE($A49),'recurring1_based on steps'!AL$1:AL$400,0)),AL$2,)</f>
        <v>0</v>
      </c>
      <c r="AM49" s="140">
        <f ca="1">IF(ISNUMBER(MATCH(DATEVALUE($A49),'recurring1_based on steps'!AM$1:AM$400,0)),AM$2,)</f>
        <v>0</v>
      </c>
      <c r="AN49" s="140">
        <f ca="1">IF(ISNUMBER(MATCH(DATEVALUE($A49),'recurring1_based on steps'!AN$1:AN$400,0)),AN$2,)</f>
        <v>0</v>
      </c>
      <c r="AO49" s="140">
        <f ca="1">IF(ISNUMBER(MATCH(DATEVALUE($A49),'recurring1_based on steps'!AO$1:AO$400,0)),AO$2,)</f>
        <v>0</v>
      </c>
      <c r="AP49" s="140">
        <f ca="1">IF(ISNUMBER(MATCH(DATEVALUE($A49),'recurring1_based on steps'!AP$1:AP$400,0)),AP$2,)</f>
        <v>0</v>
      </c>
      <c r="AQ49" s="140">
        <f ca="1">IF(ISNUMBER(MATCH(DATEVALUE($A49),'recurring1_based on steps'!AQ$1:AQ$400,0)),AQ$2,)</f>
        <v>0</v>
      </c>
      <c r="AR49" s="140">
        <f ca="1">IF(ISNUMBER(MATCH(DATEVALUE($A49),'recurring1_based on steps'!AR$1:AR$400,0)),AR$2,)</f>
        <v>0</v>
      </c>
      <c r="AS49" s="140">
        <f ca="1">IF(ISNUMBER(MATCH(DATEVALUE($A49),'recurring1_based on steps'!AS$1:AS$400,0)),AS$2,)</f>
        <v>0</v>
      </c>
      <c r="AT49" s="140">
        <f ca="1">IF(ISNUMBER(MATCH(DATEVALUE($A49),'recurring1_based on steps'!AT$1:AT$400,0)),AT$2,)</f>
        <v>0</v>
      </c>
      <c r="AU49" s="140">
        <f ca="1">IF(ISNUMBER(MATCH(DATEVALUE($A49),'recurring1_based on steps'!AU$1:AU$400,0)),AU$2,)</f>
        <v>0</v>
      </c>
      <c r="AV49" s="140">
        <f ca="1">IF(ISNUMBER(MATCH(DATEVALUE($A49),'recurring1_based on steps'!AV$1:AV$400,0)),AV$2,)</f>
        <v>0</v>
      </c>
      <c r="AW49" s="140">
        <f ca="1">IF(ISNUMBER(MATCH(DATEVALUE($A49),'recurring1_based on steps'!AW$1:AW$400,0)),AW$2,)</f>
        <v>0</v>
      </c>
      <c r="AX49" s="140">
        <f ca="1">IF(ISNUMBER(MATCH(DATEVALUE($A49),'recurring1_based on steps'!AX$1:AX$400,0)),AX$2,)</f>
        <v>0</v>
      </c>
      <c r="AY49" s="140">
        <f ca="1">IF(ISNUMBER(MATCH(DATEVALUE($A49),'recurring1_based on steps'!AY$1:AY$400,0)),AY$2,)</f>
        <v>0</v>
      </c>
    </row>
    <row r="50" spans="1:51" x14ac:dyDescent="0.2">
      <c r="A50" s="29" t="str">
        <f t="shared" ca="1" si="0"/>
        <v>2025-05-13</v>
      </c>
      <c r="B50" s="140">
        <f ca="1">IF(ISNUMBER(MATCH(DATEVALUE($A50),'recurring1_based on steps'!B$1:B$400,0)),B$2,)</f>
        <v>0</v>
      </c>
      <c r="C50" s="140">
        <f ca="1">IF(ISNUMBER(MATCH(DATEVALUE($A50),'recurring1_based on steps'!C$1:C$400,0)),C$2,)</f>
        <v>0</v>
      </c>
      <c r="D50" s="140">
        <f ca="1">IF(ISNUMBER(MATCH(DATEVALUE($A50),'recurring1_based on steps'!D$1:D$400,0)),D$2,)</f>
        <v>0</v>
      </c>
      <c r="E50" s="140">
        <f ca="1">IF(ISNUMBER(MATCH(DATEVALUE($A50),'recurring1_based on steps'!E$1:E$400,0)),E$2,)</f>
        <v>0</v>
      </c>
      <c r="F50" s="140">
        <f ca="1">IF(ISNUMBER(MATCH(DATEVALUE($A50),'recurring1_based on steps'!F$1:F$400,0)),F$2,)</f>
        <v>0</v>
      </c>
      <c r="G50" s="140">
        <f ca="1">IF(ISNUMBER(MATCH(DATEVALUE($A50),'recurring1_based on steps'!G$1:G$400,0)),G$2,)</f>
        <v>0</v>
      </c>
      <c r="H50" s="140">
        <f ca="1">IF(ISNUMBER(MATCH(DATEVALUE($A50),'recurring1_based on steps'!H$1:H$400,0)),H$2,)</f>
        <v>0</v>
      </c>
      <c r="I50" s="140">
        <f ca="1">IF(ISNUMBER(MATCH(DATEVALUE($A50),'recurring1_based on steps'!I$1:I$400,0)),I$2,)</f>
        <v>0</v>
      </c>
      <c r="J50" s="140">
        <f ca="1">IF(ISNUMBER(MATCH(DATEVALUE($A50),'recurring1_based on steps'!J$1:J$400,0)),J$2,)</f>
        <v>0</v>
      </c>
      <c r="K50" s="140">
        <f ca="1">IF(ISNUMBER(MATCH(DATEVALUE($A50),'recurring1_based on steps'!K$1:K$400,0)),K$2,)</f>
        <v>0</v>
      </c>
      <c r="L50" s="140">
        <f ca="1">IF(ISNUMBER(MATCH(DATEVALUE($A50),'recurring1_based on steps'!L$1:L$400,0)),L$2,)</f>
        <v>0</v>
      </c>
      <c r="M50" s="140">
        <f ca="1">IF(ISNUMBER(MATCH(DATEVALUE($A50),'recurring1_based on steps'!M$1:M$400,0)),M$2,)</f>
        <v>0</v>
      </c>
      <c r="N50" s="140">
        <f ca="1">IF(ISNUMBER(MATCH(DATEVALUE($A50),'recurring1_based on steps'!N$1:N$400,0)),N$2,)</f>
        <v>0</v>
      </c>
      <c r="O50" s="140">
        <f ca="1">IF(ISNUMBER(MATCH(DATEVALUE($A50),'recurring1_based on steps'!O$1:O$400,0)),O$2,)</f>
        <v>0</v>
      </c>
      <c r="P50" s="140">
        <f ca="1">IF(ISNUMBER(MATCH(DATEVALUE($A50),'recurring1_based on steps'!P$1:P$400,0)),P$2,)</f>
        <v>0</v>
      </c>
      <c r="Q50" s="140">
        <f ca="1">IF(ISNUMBER(MATCH(DATEVALUE($A50),'recurring1_based on steps'!Q$1:Q$400,0)),Q$2,)</f>
        <v>0</v>
      </c>
      <c r="R50" s="140">
        <f ca="1">IF(ISNUMBER(MATCH(DATEVALUE($A50),'recurring1_based on steps'!R$1:R$400,0)),R$2,)</f>
        <v>0</v>
      </c>
      <c r="S50" s="140">
        <f ca="1">IF(ISNUMBER(MATCH(DATEVALUE($A50),'recurring1_based on steps'!S$1:S$400,0)),S$2,)</f>
        <v>0</v>
      </c>
      <c r="T50" s="140">
        <f ca="1">IF(ISNUMBER(MATCH(DATEVALUE($A50),'recurring1_based on steps'!T$1:T$400,0)),T$2,)</f>
        <v>0</v>
      </c>
      <c r="U50" s="140">
        <f ca="1">IF(ISNUMBER(MATCH(DATEVALUE($A50),'recurring1_based on steps'!U$1:U$400,0)),U$2,)</f>
        <v>0</v>
      </c>
      <c r="V50" s="140">
        <f ca="1">IF(ISNUMBER(MATCH(DATEVALUE($A50),'recurring1_based on steps'!V$1:V$400,0)),V$2,)</f>
        <v>0</v>
      </c>
      <c r="W50" s="140">
        <f ca="1">IF(ISNUMBER(MATCH(DATEVALUE($A50),'recurring1_based on steps'!W$1:W$400,0)),W$2,)</f>
        <v>0</v>
      </c>
      <c r="X50" s="140">
        <f ca="1">IF(ISNUMBER(MATCH(DATEVALUE($A50),'recurring1_based on steps'!X$1:X$400,0)),X$2,)</f>
        <v>0</v>
      </c>
      <c r="Y50" s="140">
        <f ca="1">IF(ISNUMBER(MATCH(DATEVALUE($A50),'recurring1_based on steps'!Y$1:Y$400,0)),Y$2,)</f>
        <v>0</v>
      </c>
      <c r="Z50" s="140">
        <f ca="1">IF(ISNUMBER(MATCH(DATEVALUE($A50),'recurring1_based on steps'!Z$1:Z$400,0)),Z$2,)</f>
        <v>0</v>
      </c>
      <c r="AA50" s="140">
        <f ca="1">IF(ISNUMBER(MATCH(DATEVALUE($A50),'recurring1_based on steps'!AA$1:AA$400,0)),AA$2,)</f>
        <v>0</v>
      </c>
      <c r="AB50" s="140">
        <f ca="1">IF(ISNUMBER(MATCH(DATEVALUE($A50),'recurring1_based on steps'!AB$1:AB$400,0)),AB$2,)</f>
        <v>5.5401662049861494E-2</v>
      </c>
      <c r="AC50" s="140">
        <f ca="1">IF(ISNUMBER(MATCH(DATEVALUE($A50),'recurring1_based on steps'!AC$1:AC$400,0)),AC$2,)</f>
        <v>0</v>
      </c>
      <c r="AD50" s="140">
        <f ca="1">IF(ISNUMBER(MATCH(DATEVALUE($A50),'recurring1_based on steps'!AD$1:AD$400,0)),AD$2,)</f>
        <v>0</v>
      </c>
      <c r="AE50" s="140">
        <f ca="1">IF(ISNUMBER(MATCH(DATEVALUE($A50),'recurring1_based on steps'!AE$1:AE$400,0)),AE$2,)</f>
        <v>0</v>
      </c>
      <c r="AF50" s="140">
        <f ca="1">IF(ISNUMBER(MATCH(DATEVALUE($A50),'recurring1_based on steps'!AF$1:AF$400,0)),AF$2,)</f>
        <v>0</v>
      </c>
      <c r="AG50" s="140">
        <f ca="1">IF(ISNUMBER(MATCH(DATEVALUE($A50),'recurring1_based on steps'!AG$1:AG$400,0)),AG$2,)</f>
        <v>0</v>
      </c>
      <c r="AH50" s="140">
        <f ca="1">IF(ISNUMBER(MATCH(DATEVALUE($A50),'recurring1_based on steps'!AH$1:AH$400,0)),AH$2,)</f>
        <v>0</v>
      </c>
      <c r="AI50" s="140">
        <f ca="1">IF(ISNUMBER(MATCH(DATEVALUE($A50),'recurring1_based on steps'!AI$1:AI$400,0)),AI$2,)</f>
        <v>0</v>
      </c>
      <c r="AJ50" s="140">
        <f ca="1">IF(ISNUMBER(MATCH(DATEVALUE($A50),'recurring1_based on steps'!AJ$1:AJ$400,0)),AJ$2,)</f>
        <v>0</v>
      </c>
      <c r="AK50" s="140">
        <f ca="1">IF(ISNUMBER(MATCH(DATEVALUE($A50),'recurring1_based on steps'!AK$1:AK$400,0)),AK$2,)</f>
        <v>0</v>
      </c>
      <c r="AL50" s="140">
        <f ca="1">IF(ISNUMBER(MATCH(DATEVALUE($A50),'recurring1_based on steps'!AL$1:AL$400,0)),AL$2,)</f>
        <v>0</v>
      </c>
      <c r="AM50" s="140">
        <f ca="1">IF(ISNUMBER(MATCH(DATEVALUE($A50),'recurring1_based on steps'!AM$1:AM$400,0)),AM$2,)</f>
        <v>0</v>
      </c>
      <c r="AN50" s="140">
        <f ca="1">IF(ISNUMBER(MATCH(DATEVALUE($A50),'recurring1_based on steps'!AN$1:AN$400,0)),AN$2,)</f>
        <v>0</v>
      </c>
      <c r="AO50" s="140">
        <f ca="1">IF(ISNUMBER(MATCH(DATEVALUE($A50),'recurring1_based on steps'!AO$1:AO$400,0)),AO$2,)</f>
        <v>0</v>
      </c>
      <c r="AP50" s="140">
        <f ca="1">IF(ISNUMBER(MATCH(DATEVALUE($A50),'recurring1_based on steps'!AP$1:AP$400,0)),AP$2,)</f>
        <v>0</v>
      </c>
      <c r="AQ50" s="140">
        <f ca="1">IF(ISNUMBER(MATCH(DATEVALUE($A50),'recurring1_based on steps'!AQ$1:AQ$400,0)),AQ$2,)</f>
        <v>0</v>
      </c>
      <c r="AR50" s="140">
        <f ca="1">IF(ISNUMBER(MATCH(DATEVALUE($A50),'recurring1_based on steps'!AR$1:AR$400,0)),AR$2,)</f>
        <v>0</v>
      </c>
      <c r="AS50" s="140">
        <f ca="1">IF(ISNUMBER(MATCH(DATEVALUE($A50),'recurring1_based on steps'!AS$1:AS$400,0)),AS$2,)</f>
        <v>0</v>
      </c>
      <c r="AT50" s="140">
        <f ca="1">IF(ISNUMBER(MATCH(DATEVALUE($A50),'recurring1_based on steps'!AT$1:AT$400,0)),AT$2,)</f>
        <v>0</v>
      </c>
      <c r="AU50" s="140">
        <f ca="1">IF(ISNUMBER(MATCH(DATEVALUE($A50),'recurring1_based on steps'!AU$1:AU$400,0)),AU$2,)</f>
        <v>0</v>
      </c>
      <c r="AV50" s="140">
        <f ca="1">IF(ISNUMBER(MATCH(DATEVALUE($A50),'recurring1_based on steps'!AV$1:AV$400,0)),AV$2,)</f>
        <v>0</v>
      </c>
      <c r="AW50" s="140">
        <f ca="1">IF(ISNUMBER(MATCH(DATEVALUE($A50),'recurring1_based on steps'!AW$1:AW$400,0)),AW$2,)</f>
        <v>0</v>
      </c>
      <c r="AX50" s="140">
        <f ca="1">IF(ISNUMBER(MATCH(DATEVALUE($A50),'recurring1_based on steps'!AX$1:AX$400,0)),AX$2,)</f>
        <v>0</v>
      </c>
      <c r="AY50" s="140">
        <f ca="1">IF(ISNUMBER(MATCH(DATEVALUE($A50),'recurring1_based on steps'!AY$1:AY$400,0)),AY$2,)</f>
        <v>0</v>
      </c>
    </row>
    <row r="51" spans="1:51" x14ac:dyDescent="0.2">
      <c r="A51" s="29" t="str">
        <f t="shared" ca="1" si="0"/>
        <v>2025-05-14</v>
      </c>
      <c r="B51" s="140">
        <f ca="1">IF(ISNUMBER(MATCH(DATEVALUE($A51),'recurring1_based on steps'!B$1:B$400,0)),B$2,)</f>
        <v>0</v>
      </c>
      <c r="C51" s="140">
        <f ca="1">IF(ISNUMBER(MATCH(DATEVALUE($A51),'recurring1_based on steps'!C$1:C$400,0)),C$2,)</f>
        <v>0</v>
      </c>
      <c r="D51" s="140">
        <f ca="1">IF(ISNUMBER(MATCH(DATEVALUE($A51),'recurring1_based on steps'!D$1:D$400,0)),D$2,)</f>
        <v>0</v>
      </c>
      <c r="E51" s="140">
        <f ca="1">IF(ISNUMBER(MATCH(DATEVALUE($A51),'recurring1_based on steps'!E$1:E$400,0)),E$2,)</f>
        <v>0</v>
      </c>
      <c r="F51" s="140">
        <f ca="1">IF(ISNUMBER(MATCH(DATEVALUE($A51),'recurring1_based on steps'!F$1:F$400,0)),F$2,)</f>
        <v>0</v>
      </c>
      <c r="G51" s="140">
        <f ca="1">IF(ISNUMBER(MATCH(DATEVALUE($A51),'recurring1_based on steps'!G$1:G$400,0)),G$2,)</f>
        <v>0</v>
      </c>
      <c r="H51" s="140">
        <f ca="1">IF(ISNUMBER(MATCH(DATEVALUE($A51),'recurring1_based on steps'!H$1:H$400,0)),H$2,)</f>
        <v>0</v>
      </c>
      <c r="I51" s="140">
        <f ca="1">IF(ISNUMBER(MATCH(DATEVALUE($A51),'recurring1_based on steps'!I$1:I$400,0)),I$2,)</f>
        <v>0</v>
      </c>
      <c r="J51" s="140">
        <f ca="1">IF(ISNUMBER(MATCH(DATEVALUE($A51),'recurring1_based on steps'!J$1:J$400,0)),J$2,)</f>
        <v>0</v>
      </c>
      <c r="K51" s="140">
        <f ca="1">IF(ISNUMBER(MATCH(DATEVALUE($A51),'recurring1_based on steps'!K$1:K$400,0)),K$2,)</f>
        <v>0</v>
      </c>
      <c r="L51" s="140">
        <f ca="1">IF(ISNUMBER(MATCH(DATEVALUE($A51),'recurring1_based on steps'!L$1:L$400,0)),L$2,)</f>
        <v>0</v>
      </c>
      <c r="M51" s="140">
        <f ca="1">IF(ISNUMBER(MATCH(DATEVALUE($A51),'recurring1_based on steps'!M$1:M$400,0)),M$2,)</f>
        <v>0</v>
      </c>
      <c r="N51" s="140">
        <f ca="1">IF(ISNUMBER(MATCH(DATEVALUE($A51),'recurring1_based on steps'!N$1:N$400,0)),N$2,)</f>
        <v>0</v>
      </c>
      <c r="O51" s="140">
        <f ca="1">IF(ISNUMBER(MATCH(DATEVALUE($A51),'recurring1_based on steps'!O$1:O$400,0)),O$2,)</f>
        <v>0</v>
      </c>
      <c r="P51" s="140">
        <f ca="1">IF(ISNUMBER(MATCH(DATEVALUE($A51),'recurring1_based on steps'!P$1:P$400,0)),P$2,)</f>
        <v>0</v>
      </c>
      <c r="Q51" s="140">
        <f ca="1">IF(ISNUMBER(MATCH(DATEVALUE($A51),'recurring1_based on steps'!Q$1:Q$400,0)),Q$2,)</f>
        <v>0</v>
      </c>
      <c r="R51" s="140">
        <f ca="1">IF(ISNUMBER(MATCH(DATEVALUE($A51),'recurring1_based on steps'!R$1:R$400,0)),R$2,)</f>
        <v>0</v>
      </c>
      <c r="S51" s="140">
        <f ca="1">IF(ISNUMBER(MATCH(DATEVALUE($A51),'recurring1_based on steps'!S$1:S$400,0)),S$2,)</f>
        <v>0</v>
      </c>
      <c r="T51" s="140">
        <f ca="1">IF(ISNUMBER(MATCH(DATEVALUE($A51),'recurring1_based on steps'!T$1:T$400,0)),T$2,)</f>
        <v>0</v>
      </c>
      <c r="U51" s="140">
        <f ca="1">IF(ISNUMBER(MATCH(DATEVALUE($A51),'recurring1_based on steps'!U$1:U$400,0)),U$2,)</f>
        <v>0</v>
      </c>
      <c r="V51" s="140">
        <f ca="1">IF(ISNUMBER(MATCH(DATEVALUE($A51),'recurring1_based on steps'!V$1:V$400,0)),V$2,)</f>
        <v>0</v>
      </c>
      <c r="W51" s="140">
        <f ca="1">IF(ISNUMBER(MATCH(DATEVALUE($A51),'recurring1_based on steps'!W$1:W$400,0)),W$2,)</f>
        <v>0</v>
      </c>
      <c r="X51" s="140">
        <f ca="1">IF(ISNUMBER(MATCH(DATEVALUE($A51),'recurring1_based on steps'!X$1:X$400,0)),X$2,)</f>
        <v>0</v>
      </c>
      <c r="Y51" s="140">
        <f ca="1">IF(ISNUMBER(MATCH(DATEVALUE($A51),'recurring1_based on steps'!Y$1:Y$400,0)),Y$2,)</f>
        <v>0</v>
      </c>
      <c r="Z51" s="140">
        <f ca="1">IF(ISNUMBER(MATCH(DATEVALUE($A51),'recurring1_based on steps'!Z$1:Z$400,0)),Z$2,)</f>
        <v>0</v>
      </c>
      <c r="AA51" s="140">
        <f ca="1">IF(ISNUMBER(MATCH(DATEVALUE($A51),'recurring1_based on steps'!AA$1:AA$400,0)),AA$2,)</f>
        <v>0</v>
      </c>
      <c r="AB51" s="140">
        <f ca="1">IF(ISNUMBER(MATCH(DATEVALUE($A51),'recurring1_based on steps'!AB$1:AB$400,0)),AB$2,)</f>
        <v>5.5401662049861494E-2</v>
      </c>
      <c r="AC51" s="140">
        <f ca="1">IF(ISNUMBER(MATCH(DATEVALUE($A51),'recurring1_based on steps'!AC$1:AC$400,0)),AC$2,)</f>
        <v>0</v>
      </c>
      <c r="AD51" s="140">
        <f ca="1">IF(ISNUMBER(MATCH(DATEVALUE($A51),'recurring1_based on steps'!AD$1:AD$400,0)),AD$2,)</f>
        <v>0</v>
      </c>
      <c r="AE51" s="140">
        <f ca="1">IF(ISNUMBER(MATCH(DATEVALUE($A51),'recurring1_based on steps'!AE$1:AE$400,0)),AE$2,)</f>
        <v>0</v>
      </c>
      <c r="AF51" s="140">
        <f ca="1">IF(ISNUMBER(MATCH(DATEVALUE($A51),'recurring1_based on steps'!AF$1:AF$400,0)),AF$2,)</f>
        <v>0</v>
      </c>
      <c r="AG51" s="140">
        <f ca="1">IF(ISNUMBER(MATCH(DATEVALUE($A51),'recurring1_based on steps'!AG$1:AG$400,0)),AG$2,)</f>
        <v>0</v>
      </c>
      <c r="AH51" s="140">
        <f ca="1">IF(ISNUMBER(MATCH(DATEVALUE($A51),'recurring1_based on steps'!AH$1:AH$400,0)),AH$2,)</f>
        <v>0</v>
      </c>
      <c r="AI51" s="140">
        <f ca="1">IF(ISNUMBER(MATCH(DATEVALUE($A51),'recurring1_based on steps'!AI$1:AI$400,0)),AI$2,)</f>
        <v>0</v>
      </c>
      <c r="AJ51" s="140">
        <f ca="1">IF(ISNUMBER(MATCH(DATEVALUE($A51),'recurring1_based on steps'!AJ$1:AJ$400,0)),AJ$2,)</f>
        <v>0</v>
      </c>
      <c r="AK51" s="140">
        <f ca="1">IF(ISNUMBER(MATCH(DATEVALUE($A51),'recurring1_based on steps'!AK$1:AK$400,0)),AK$2,)</f>
        <v>0</v>
      </c>
      <c r="AL51" s="140">
        <f ca="1">IF(ISNUMBER(MATCH(DATEVALUE($A51),'recurring1_based on steps'!AL$1:AL$400,0)),AL$2,)</f>
        <v>0</v>
      </c>
      <c r="AM51" s="140">
        <f ca="1">IF(ISNUMBER(MATCH(DATEVALUE($A51),'recurring1_based on steps'!AM$1:AM$400,0)),AM$2,)</f>
        <v>0</v>
      </c>
      <c r="AN51" s="140">
        <f ca="1">IF(ISNUMBER(MATCH(DATEVALUE($A51),'recurring1_based on steps'!AN$1:AN$400,0)),AN$2,)</f>
        <v>0</v>
      </c>
      <c r="AO51" s="140">
        <f ca="1">IF(ISNUMBER(MATCH(DATEVALUE($A51),'recurring1_based on steps'!AO$1:AO$400,0)),AO$2,)</f>
        <v>0</v>
      </c>
      <c r="AP51" s="140">
        <f ca="1">IF(ISNUMBER(MATCH(DATEVALUE($A51),'recurring1_based on steps'!AP$1:AP$400,0)),AP$2,)</f>
        <v>0</v>
      </c>
      <c r="AQ51" s="140">
        <f ca="1">IF(ISNUMBER(MATCH(DATEVALUE($A51),'recurring1_based on steps'!AQ$1:AQ$400,0)),AQ$2,)</f>
        <v>0</v>
      </c>
      <c r="AR51" s="140">
        <f ca="1">IF(ISNUMBER(MATCH(DATEVALUE($A51),'recurring1_based on steps'!AR$1:AR$400,0)),AR$2,)</f>
        <v>0</v>
      </c>
      <c r="AS51" s="140">
        <f ca="1">IF(ISNUMBER(MATCH(DATEVALUE($A51),'recurring1_based on steps'!AS$1:AS$400,0)),AS$2,)</f>
        <v>0</v>
      </c>
      <c r="AT51" s="140">
        <f ca="1">IF(ISNUMBER(MATCH(DATEVALUE($A51),'recurring1_based on steps'!AT$1:AT$400,0)),AT$2,)</f>
        <v>0</v>
      </c>
      <c r="AU51" s="140">
        <f ca="1">IF(ISNUMBER(MATCH(DATEVALUE($A51),'recurring1_based on steps'!AU$1:AU$400,0)),AU$2,)</f>
        <v>0</v>
      </c>
      <c r="AV51" s="140">
        <f ca="1">IF(ISNUMBER(MATCH(DATEVALUE($A51),'recurring1_based on steps'!AV$1:AV$400,0)),AV$2,)</f>
        <v>0</v>
      </c>
      <c r="AW51" s="140">
        <f ca="1">IF(ISNUMBER(MATCH(DATEVALUE($A51),'recurring1_based on steps'!AW$1:AW$400,0)),AW$2,)</f>
        <v>0</v>
      </c>
      <c r="AX51" s="140">
        <f ca="1">IF(ISNUMBER(MATCH(DATEVALUE($A51),'recurring1_based on steps'!AX$1:AX$400,0)),AX$2,)</f>
        <v>0</v>
      </c>
      <c r="AY51" s="140">
        <f ca="1">IF(ISNUMBER(MATCH(DATEVALUE($A51),'recurring1_based on steps'!AY$1:AY$400,0)),AY$2,)</f>
        <v>0</v>
      </c>
    </row>
    <row r="52" spans="1:51" x14ac:dyDescent="0.2">
      <c r="A52" s="29" t="str">
        <f t="shared" ca="1" si="0"/>
        <v>2025-05-15</v>
      </c>
      <c r="B52" s="140">
        <f ca="1">IF(ISNUMBER(MATCH(DATEVALUE($A52),'recurring1_based on steps'!B$1:B$400,0)),B$2,)</f>
        <v>0</v>
      </c>
      <c r="C52" s="140">
        <f ca="1">IF(ISNUMBER(MATCH(DATEVALUE($A52),'recurring1_based on steps'!C$1:C$400,0)),C$2,)</f>
        <v>0</v>
      </c>
      <c r="D52" s="140">
        <f ca="1">IF(ISNUMBER(MATCH(DATEVALUE($A52),'recurring1_based on steps'!D$1:D$400,0)),D$2,)</f>
        <v>0</v>
      </c>
      <c r="E52" s="140">
        <f ca="1">IF(ISNUMBER(MATCH(DATEVALUE($A52),'recurring1_based on steps'!E$1:E$400,0)),E$2,)</f>
        <v>0</v>
      </c>
      <c r="F52" s="140">
        <f ca="1">IF(ISNUMBER(MATCH(DATEVALUE($A52),'recurring1_based on steps'!F$1:F$400,0)),F$2,)</f>
        <v>0</v>
      </c>
      <c r="G52" s="140">
        <f ca="1">IF(ISNUMBER(MATCH(DATEVALUE($A52),'recurring1_based on steps'!G$1:G$400,0)),G$2,)</f>
        <v>0</v>
      </c>
      <c r="H52" s="140">
        <f ca="1">IF(ISNUMBER(MATCH(DATEVALUE($A52),'recurring1_based on steps'!H$1:H$400,0)),H$2,)</f>
        <v>0</v>
      </c>
      <c r="I52" s="140">
        <f ca="1">IF(ISNUMBER(MATCH(DATEVALUE($A52),'recurring1_based on steps'!I$1:I$400,0)),I$2,)</f>
        <v>0</v>
      </c>
      <c r="J52" s="140">
        <f ca="1">IF(ISNUMBER(MATCH(DATEVALUE($A52),'recurring1_based on steps'!J$1:J$400,0)),J$2,)</f>
        <v>0</v>
      </c>
      <c r="K52" s="140">
        <f ca="1">IF(ISNUMBER(MATCH(DATEVALUE($A52),'recurring1_based on steps'!K$1:K$400,0)),K$2,)</f>
        <v>0</v>
      </c>
      <c r="L52" s="140">
        <f ca="1">IF(ISNUMBER(MATCH(DATEVALUE($A52),'recurring1_based on steps'!L$1:L$400,0)),L$2,)</f>
        <v>0</v>
      </c>
      <c r="M52" s="140">
        <f ca="1">IF(ISNUMBER(MATCH(DATEVALUE($A52),'recurring1_based on steps'!M$1:M$400,0)),M$2,)</f>
        <v>0</v>
      </c>
      <c r="N52" s="140">
        <f ca="1">IF(ISNUMBER(MATCH(DATEVALUE($A52),'recurring1_based on steps'!N$1:N$400,0)),N$2,)</f>
        <v>0</v>
      </c>
      <c r="O52" s="140">
        <f ca="1">IF(ISNUMBER(MATCH(DATEVALUE($A52),'recurring1_based on steps'!O$1:O$400,0)),O$2,)</f>
        <v>0</v>
      </c>
      <c r="P52" s="140">
        <f ca="1">IF(ISNUMBER(MATCH(DATEVALUE($A52),'recurring1_based on steps'!P$1:P$400,0)),P$2,)</f>
        <v>0</v>
      </c>
      <c r="Q52" s="140">
        <f ca="1">IF(ISNUMBER(MATCH(DATEVALUE($A52),'recurring1_based on steps'!Q$1:Q$400,0)),Q$2,)</f>
        <v>0</v>
      </c>
      <c r="R52" s="140">
        <f ca="1">IF(ISNUMBER(MATCH(DATEVALUE($A52),'recurring1_based on steps'!R$1:R$400,0)),R$2,)</f>
        <v>0</v>
      </c>
      <c r="S52" s="140">
        <f ca="1">IF(ISNUMBER(MATCH(DATEVALUE($A52),'recurring1_based on steps'!S$1:S$400,0)),S$2,)</f>
        <v>0</v>
      </c>
      <c r="T52" s="140">
        <f ca="1">IF(ISNUMBER(MATCH(DATEVALUE($A52),'recurring1_based on steps'!T$1:T$400,0)),T$2,)</f>
        <v>0</v>
      </c>
      <c r="U52" s="140">
        <f ca="1">IF(ISNUMBER(MATCH(DATEVALUE($A52),'recurring1_based on steps'!U$1:U$400,0)),U$2,)</f>
        <v>0</v>
      </c>
      <c r="V52" s="140">
        <f ca="1">IF(ISNUMBER(MATCH(DATEVALUE($A52),'recurring1_based on steps'!V$1:V$400,0)),V$2,)</f>
        <v>0</v>
      </c>
      <c r="W52" s="140">
        <f ca="1">IF(ISNUMBER(MATCH(DATEVALUE($A52),'recurring1_based on steps'!W$1:W$400,0)),W$2,)</f>
        <v>0</v>
      </c>
      <c r="X52" s="140">
        <f ca="1">IF(ISNUMBER(MATCH(DATEVALUE($A52),'recurring1_based on steps'!X$1:X$400,0)),X$2,)</f>
        <v>0</v>
      </c>
      <c r="Y52" s="140">
        <f ca="1">IF(ISNUMBER(MATCH(DATEVALUE($A52),'recurring1_based on steps'!Y$1:Y$400,0)),Y$2,)</f>
        <v>0</v>
      </c>
      <c r="Z52" s="140">
        <f ca="1">IF(ISNUMBER(MATCH(DATEVALUE($A52),'recurring1_based on steps'!Z$1:Z$400,0)),Z$2,)</f>
        <v>0</v>
      </c>
      <c r="AA52" s="140">
        <f ca="1">IF(ISNUMBER(MATCH(DATEVALUE($A52),'recurring1_based on steps'!AA$1:AA$400,0)),AA$2,)</f>
        <v>0</v>
      </c>
      <c r="AB52" s="140">
        <f ca="1">IF(ISNUMBER(MATCH(DATEVALUE($A52),'recurring1_based on steps'!AB$1:AB$400,0)),AB$2,)</f>
        <v>5.5401662049861494E-2</v>
      </c>
      <c r="AC52" s="140">
        <f ca="1">IF(ISNUMBER(MATCH(DATEVALUE($A52),'recurring1_based on steps'!AC$1:AC$400,0)),AC$2,)</f>
        <v>0</v>
      </c>
      <c r="AD52" s="140">
        <f ca="1">IF(ISNUMBER(MATCH(DATEVALUE($A52),'recurring1_based on steps'!AD$1:AD$400,0)),AD$2,)</f>
        <v>0</v>
      </c>
      <c r="AE52" s="140">
        <f ca="1">IF(ISNUMBER(MATCH(DATEVALUE($A52),'recurring1_based on steps'!AE$1:AE$400,0)),AE$2,)</f>
        <v>0</v>
      </c>
      <c r="AF52" s="140">
        <f ca="1">IF(ISNUMBER(MATCH(DATEVALUE($A52),'recurring1_based on steps'!AF$1:AF$400,0)),AF$2,)</f>
        <v>0</v>
      </c>
      <c r="AG52" s="140">
        <f ca="1">IF(ISNUMBER(MATCH(DATEVALUE($A52),'recurring1_based on steps'!AG$1:AG$400,0)),AG$2,)</f>
        <v>0</v>
      </c>
      <c r="AH52" s="140">
        <f ca="1">IF(ISNUMBER(MATCH(DATEVALUE($A52),'recurring1_based on steps'!AH$1:AH$400,0)),AH$2,)</f>
        <v>0</v>
      </c>
      <c r="AI52" s="140">
        <f ca="1">IF(ISNUMBER(MATCH(DATEVALUE($A52),'recurring1_based on steps'!AI$1:AI$400,0)),AI$2,)</f>
        <v>0</v>
      </c>
      <c r="AJ52" s="140">
        <f ca="1">IF(ISNUMBER(MATCH(DATEVALUE($A52),'recurring1_based on steps'!AJ$1:AJ$400,0)),AJ$2,)</f>
        <v>0</v>
      </c>
      <c r="AK52" s="140">
        <f ca="1">IF(ISNUMBER(MATCH(DATEVALUE($A52),'recurring1_based on steps'!AK$1:AK$400,0)),AK$2,)</f>
        <v>0</v>
      </c>
      <c r="AL52" s="140">
        <f ca="1">IF(ISNUMBER(MATCH(DATEVALUE($A52),'recurring1_based on steps'!AL$1:AL$400,0)),AL$2,)</f>
        <v>0</v>
      </c>
      <c r="AM52" s="140">
        <f ca="1">IF(ISNUMBER(MATCH(DATEVALUE($A52),'recurring1_based on steps'!AM$1:AM$400,0)),AM$2,)</f>
        <v>0</v>
      </c>
      <c r="AN52" s="140">
        <f ca="1">IF(ISNUMBER(MATCH(DATEVALUE($A52),'recurring1_based on steps'!AN$1:AN$400,0)),AN$2,)</f>
        <v>0</v>
      </c>
      <c r="AO52" s="140">
        <f ca="1">IF(ISNUMBER(MATCH(DATEVALUE($A52),'recurring1_based on steps'!AO$1:AO$400,0)),AO$2,)</f>
        <v>0</v>
      </c>
      <c r="AP52" s="140">
        <f ca="1">IF(ISNUMBER(MATCH(DATEVALUE($A52),'recurring1_based on steps'!AP$1:AP$400,0)),AP$2,)</f>
        <v>0</v>
      </c>
      <c r="AQ52" s="140">
        <f ca="1">IF(ISNUMBER(MATCH(DATEVALUE($A52),'recurring1_based on steps'!AQ$1:AQ$400,0)),AQ$2,)</f>
        <v>0</v>
      </c>
      <c r="AR52" s="140">
        <f ca="1">IF(ISNUMBER(MATCH(DATEVALUE($A52),'recurring1_based on steps'!AR$1:AR$400,0)),AR$2,)</f>
        <v>0</v>
      </c>
      <c r="AS52" s="140">
        <f ca="1">IF(ISNUMBER(MATCH(DATEVALUE($A52),'recurring1_based on steps'!AS$1:AS$400,0)),AS$2,)</f>
        <v>0</v>
      </c>
      <c r="AT52" s="140">
        <f ca="1">IF(ISNUMBER(MATCH(DATEVALUE($A52),'recurring1_based on steps'!AT$1:AT$400,0)),AT$2,)</f>
        <v>0</v>
      </c>
      <c r="AU52" s="140">
        <f ca="1">IF(ISNUMBER(MATCH(DATEVALUE($A52),'recurring1_based on steps'!AU$1:AU$400,0)),AU$2,)</f>
        <v>0</v>
      </c>
      <c r="AV52" s="140">
        <f ca="1">IF(ISNUMBER(MATCH(DATEVALUE($A52),'recurring1_based on steps'!AV$1:AV$400,0)),AV$2,)</f>
        <v>0</v>
      </c>
      <c r="AW52" s="140">
        <f ca="1">IF(ISNUMBER(MATCH(DATEVALUE($A52),'recurring1_based on steps'!AW$1:AW$400,0)),AW$2,)</f>
        <v>0</v>
      </c>
      <c r="AX52" s="140">
        <f ca="1">IF(ISNUMBER(MATCH(DATEVALUE($A52),'recurring1_based on steps'!AX$1:AX$400,0)),AX$2,)</f>
        <v>0</v>
      </c>
      <c r="AY52" s="140">
        <f ca="1">IF(ISNUMBER(MATCH(DATEVALUE($A52),'recurring1_based on steps'!AY$1:AY$400,0)),AY$2,)</f>
        <v>0</v>
      </c>
    </row>
    <row r="53" spans="1:51" x14ac:dyDescent="0.2">
      <c r="A53" s="29" t="str">
        <f t="shared" ca="1" si="0"/>
        <v>2025-05-16</v>
      </c>
      <c r="B53" s="140">
        <f ca="1">IF(ISNUMBER(MATCH(DATEVALUE($A53),'recurring1_based on steps'!B$1:B$400,0)),B$2,)</f>
        <v>4000</v>
      </c>
      <c r="C53" s="140">
        <f ca="1">IF(ISNUMBER(MATCH(DATEVALUE($A53),'recurring1_based on steps'!C$1:C$400,0)),C$2,)</f>
        <v>200</v>
      </c>
      <c r="D53" s="140">
        <f ca="1">IF(ISNUMBER(MATCH(DATEVALUE($A53),'recurring1_based on steps'!D$1:D$400,0)),D$2,)</f>
        <v>2</v>
      </c>
      <c r="E53" s="140">
        <f ca="1">IF(ISNUMBER(MATCH(DATEVALUE($A53),'recurring1_based on steps'!E$1:E$400,0)),E$2,)</f>
        <v>40</v>
      </c>
      <c r="F53" s="140">
        <f ca="1">IF(ISNUMBER(MATCH(DATEVALUE($A53),'recurring1_based on steps'!F$1:F$400,0)),F$2,)</f>
        <v>50</v>
      </c>
      <c r="G53" s="140">
        <f ca="1">IF(ISNUMBER(MATCH(DATEVALUE($A53),'recurring1_based on steps'!G$1:G$400,0)),G$2,)</f>
        <v>4</v>
      </c>
      <c r="H53" s="140">
        <f ca="1">IF(ISNUMBER(MATCH(DATEVALUE($A53),'recurring1_based on steps'!H$1:H$400,0)),H$2,)</f>
        <v>0</v>
      </c>
      <c r="I53" s="140">
        <f ca="1">IF(ISNUMBER(MATCH(DATEVALUE($A53),'recurring1_based on steps'!I$1:I$400,0)),I$2,)</f>
        <v>0</v>
      </c>
      <c r="J53" s="140">
        <f ca="1">IF(ISNUMBER(MATCH(DATEVALUE($A53),'recurring1_based on steps'!J$1:J$400,0)),J$2,)</f>
        <v>0</v>
      </c>
      <c r="K53" s="140">
        <f ca="1">IF(ISNUMBER(MATCH(DATEVALUE($A53),'recurring1_based on steps'!K$1:K$400,0)),K$2,)</f>
        <v>0</v>
      </c>
      <c r="L53" s="140">
        <f ca="1">IF(ISNUMBER(MATCH(DATEVALUE($A53),'recurring1_based on steps'!L$1:L$400,0)),L$2,)</f>
        <v>0</v>
      </c>
      <c r="M53" s="140">
        <f ca="1">IF(ISNUMBER(MATCH(DATEVALUE($A53),'recurring1_based on steps'!M$1:M$400,0)),M$2,)</f>
        <v>0</v>
      </c>
      <c r="N53" s="140">
        <f ca="1">IF(ISNUMBER(MATCH(DATEVALUE($A53),'recurring1_based on steps'!N$1:N$400,0)),N$2,)</f>
        <v>0</v>
      </c>
      <c r="O53" s="140">
        <f ca="1">IF(ISNUMBER(MATCH(DATEVALUE($A53),'recurring1_based on steps'!O$1:O$400,0)),O$2,)</f>
        <v>0</v>
      </c>
      <c r="P53" s="140">
        <f ca="1">IF(ISNUMBER(MATCH(DATEVALUE($A53),'recurring1_based on steps'!P$1:P$400,0)),P$2,)</f>
        <v>0</v>
      </c>
      <c r="Q53" s="140">
        <f ca="1">IF(ISNUMBER(MATCH(DATEVALUE($A53),'recurring1_based on steps'!Q$1:Q$400,0)),Q$2,)</f>
        <v>0</v>
      </c>
      <c r="R53" s="140">
        <f ca="1">IF(ISNUMBER(MATCH(DATEVALUE($A53),'recurring1_based on steps'!R$1:R$400,0)),R$2,)</f>
        <v>0</v>
      </c>
      <c r="S53" s="140">
        <f ca="1">IF(ISNUMBER(MATCH(DATEVALUE($A53),'recurring1_based on steps'!S$1:S$400,0)),S$2,)</f>
        <v>0</v>
      </c>
      <c r="T53" s="140">
        <f ca="1">IF(ISNUMBER(MATCH(DATEVALUE($A53),'recurring1_based on steps'!T$1:T$400,0)),T$2,)</f>
        <v>0</v>
      </c>
      <c r="U53" s="140">
        <f ca="1">IF(ISNUMBER(MATCH(DATEVALUE($A53),'recurring1_based on steps'!U$1:U$400,0)),U$2,)</f>
        <v>0</v>
      </c>
      <c r="V53" s="140">
        <f ca="1">IF(ISNUMBER(MATCH(DATEVALUE($A53),'recurring1_based on steps'!V$1:V$400,0)),V$2,)</f>
        <v>0</v>
      </c>
      <c r="W53" s="140">
        <f ca="1">IF(ISNUMBER(MATCH(DATEVALUE($A53),'recurring1_based on steps'!W$1:W$400,0)),W$2,)</f>
        <v>0</v>
      </c>
      <c r="X53" s="140">
        <f ca="1">IF(ISNUMBER(MATCH(DATEVALUE($A53),'recurring1_based on steps'!X$1:X$400,0)),X$2,)</f>
        <v>50</v>
      </c>
      <c r="Y53" s="140">
        <f ca="1">IF(ISNUMBER(MATCH(DATEVALUE($A53),'recurring1_based on steps'!Y$1:Y$400,0)),Y$2,)</f>
        <v>50</v>
      </c>
      <c r="Z53" s="140">
        <f ca="1">IF(ISNUMBER(MATCH(DATEVALUE($A53),'recurring1_based on steps'!Z$1:Z$400,0)),Z$2,)</f>
        <v>0</v>
      </c>
      <c r="AA53" s="140">
        <f ca="1">IF(ISNUMBER(MATCH(DATEVALUE($A53),'recurring1_based on steps'!AA$1:AA$400,0)),AA$2,)</f>
        <v>0</v>
      </c>
      <c r="AB53" s="140">
        <f ca="1">IF(ISNUMBER(MATCH(DATEVALUE($A53),'recurring1_based on steps'!AB$1:AB$400,0)),AB$2,)</f>
        <v>5.5401662049861494E-2</v>
      </c>
      <c r="AC53" s="140">
        <f ca="1">IF(ISNUMBER(MATCH(DATEVALUE($A53),'recurring1_based on steps'!AC$1:AC$400,0)),AC$2,)</f>
        <v>0</v>
      </c>
      <c r="AD53" s="140">
        <f ca="1">IF(ISNUMBER(MATCH(DATEVALUE($A53),'recurring1_based on steps'!AD$1:AD$400,0)),AD$2,)</f>
        <v>0</v>
      </c>
      <c r="AE53" s="140">
        <f ca="1">IF(ISNUMBER(MATCH(DATEVALUE($A53),'recurring1_based on steps'!AE$1:AE$400,0)),AE$2,)</f>
        <v>0</v>
      </c>
      <c r="AF53" s="140">
        <f ca="1">IF(ISNUMBER(MATCH(DATEVALUE($A53),'recurring1_based on steps'!AF$1:AF$400,0)),AF$2,)</f>
        <v>0</v>
      </c>
      <c r="AG53" s="140">
        <f ca="1">IF(ISNUMBER(MATCH(DATEVALUE($A53),'recurring1_based on steps'!AG$1:AG$400,0)),AG$2,)</f>
        <v>0</v>
      </c>
      <c r="AH53" s="140">
        <f ca="1">IF(ISNUMBER(MATCH(DATEVALUE($A53),'recurring1_based on steps'!AH$1:AH$400,0)),AH$2,)</f>
        <v>0</v>
      </c>
      <c r="AI53" s="140">
        <f ca="1">IF(ISNUMBER(MATCH(DATEVALUE($A53),'recurring1_based on steps'!AI$1:AI$400,0)),AI$2,)</f>
        <v>0</v>
      </c>
      <c r="AJ53" s="140">
        <f ca="1">IF(ISNUMBER(MATCH(DATEVALUE($A53),'recurring1_based on steps'!AJ$1:AJ$400,0)),AJ$2,)</f>
        <v>0</v>
      </c>
      <c r="AK53" s="140">
        <f ca="1">IF(ISNUMBER(MATCH(DATEVALUE($A53),'recurring1_based on steps'!AK$1:AK$400,0)),AK$2,)</f>
        <v>0</v>
      </c>
      <c r="AL53" s="140">
        <f ca="1">IF(ISNUMBER(MATCH(DATEVALUE($A53),'recurring1_based on steps'!AL$1:AL$400,0)),AL$2,)</f>
        <v>0</v>
      </c>
      <c r="AM53" s="140">
        <f ca="1">IF(ISNUMBER(MATCH(DATEVALUE($A53),'recurring1_based on steps'!AM$1:AM$400,0)),AM$2,)</f>
        <v>0</v>
      </c>
      <c r="AN53" s="140">
        <f ca="1">IF(ISNUMBER(MATCH(DATEVALUE($A53),'recurring1_based on steps'!AN$1:AN$400,0)),AN$2,)</f>
        <v>0</v>
      </c>
      <c r="AO53" s="140">
        <f ca="1">IF(ISNUMBER(MATCH(DATEVALUE($A53),'recurring1_based on steps'!AO$1:AO$400,0)),AO$2,)</f>
        <v>0</v>
      </c>
      <c r="AP53" s="140">
        <f ca="1">IF(ISNUMBER(MATCH(DATEVALUE($A53),'recurring1_based on steps'!AP$1:AP$400,0)),AP$2,)</f>
        <v>0</v>
      </c>
      <c r="AQ53" s="140">
        <f ca="1">IF(ISNUMBER(MATCH(DATEVALUE($A53),'recurring1_based on steps'!AQ$1:AQ$400,0)),AQ$2,)</f>
        <v>0</v>
      </c>
      <c r="AR53" s="140">
        <f ca="1">IF(ISNUMBER(MATCH(DATEVALUE($A53),'recurring1_based on steps'!AR$1:AR$400,0)),AR$2,)</f>
        <v>0</v>
      </c>
      <c r="AS53" s="140">
        <f ca="1">IF(ISNUMBER(MATCH(DATEVALUE($A53),'recurring1_based on steps'!AS$1:AS$400,0)),AS$2,)</f>
        <v>0</v>
      </c>
      <c r="AT53" s="140">
        <f ca="1">IF(ISNUMBER(MATCH(DATEVALUE($A53),'recurring1_based on steps'!AT$1:AT$400,0)),AT$2,)</f>
        <v>0</v>
      </c>
      <c r="AU53" s="140">
        <f ca="1">IF(ISNUMBER(MATCH(DATEVALUE($A53),'recurring1_based on steps'!AU$1:AU$400,0)),AU$2,)</f>
        <v>0</v>
      </c>
      <c r="AV53" s="140">
        <f ca="1">IF(ISNUMBER(MATCH(DATEVALUE($A53),'recurring1_based on steps'!AV$1:AV$400,0)),AV$2,)</f>
        <v>0</v>
      </c>
      <c r="AW53" s="140">
        <f ca="1">IF(ISNUMBER(MATCH(DATEVALUE($A53),'recurring1_based on steps'!AW$1:AW$400,0)),AW$2,)</f>
        <v>0</v>
      </c>
      <c r="AX53" s="140">
        <f ca="1">IF(ISNUMBER(MATCH(DATEVALUE($A53),'recurring1_based on steps'!AX$1:AX$400,0)),AX$2,)</f>
        <v>0</v>
      </c>
      <c r="AY53" s="140">
        <f ca="1">IF(ISNUMBER(MATCH(DATEVALUE($A53),'recurring1_based on steps'!AY$1:AY$400,0)),AY$2,)</f>
        <v>0</v>
      </c>
    </row>
    <row r="54" spans="1:51" x14ac:dyDescent="0.2">
      <c r="A54" s="29" t="str">
        <f t="shared" ca="1" si="0"/>
        <v>2025-05-17</v>
      </c>
      <c r="B54" s="140">
        <f ca="1">IF(ISNUMBER(MATCH(DATEVALUE($A54),'recurring1_based on steps'!B$1:B$400,0)),B$2,)</f>
        <v>0</v>
      </c>
      <c r="C54" s="140">
        <f ca="1">IF(ISNUMBER(MATCH(DATEVALUE($A54),'recurring1_based on steps'!C$1:C$400,0)),C$2,)</f>
        <v>0</v>
      </c>
      <c r="D54" s="140">
        <f ca="1">IF(ISNUMBER(MATCH(DATEVALUE($A54),'recurring1_based on steps'!D$1:D$400,0)),D$2,)</f>
        <v>0</v>
      </c>
      <c r="E54" s="140">
        <f ca="1">IF(ISNUMBER(MATCH(DATEVALUE($A54),'recurring1_based on steps'!E$1:E$400,0)),E$2,)</f>
        <v>0</v>
      </c>
      <c r="F54" s="140">
        <f ca="1">IF(ISNUMBER(MATCH(DATEVALUE($A54),'recurring1_based on steps'!F$1:F$400,0)),F$2,)</f>
        <v>0</v>
      </c>
      <c r="G54" s="140">
        <f ca="1">IF(ISNUMBER(MATCH(DATEVALUE($A54),'recurring1_based on steps'!G$1:G$400,0)),G$2,)</f>
        <v>0</v>
      </c>
      <c r="H54" s="140">
        <f ca="1">IF(ISNUMBER(MATCH(DATEVALUE($A54),'recurring1_based on steps'!H$1:H$400,0)),H$2,)</f>
        <v>0</v>
      </c>
      <c r="I54" s="140">
        <f ca="1">IF(ISNUMBER(MATCH(DATEVALUE($A54),'recurring1_based on steps'!I$1:I$400,0)),I$2,)</f>
        <v>0</v>
      </c>
      <c r="J54" s="140">
        <f ca="1">IF(ISNUMBER(MATCH(DATEVALUE($A54),'recurring1_based on steps'!J$1:J$400,0)),J$2,)</f>
        <v>0</v>
      </c>
      <c r="K54" s="140">
        <f ca="1">IF(ISNUMBER(MATCH(DATEVALUE($A54),'recurring1_based on steps'!K$1:K$400,0)),K$2,)</f>
        <v>0</v>
      </c>
      <c r="L54" s="140">
        <f ca="1">IF(ISNUMBER(MATCH(DATEVALUE($A54),'recurring1_based on steps'!L$1:L$400,0)),L$2,)</f>
        <v>0</v>
      </c>
      <c r="M54" s="140">
        <f ca="1">IF(ISNUMBER(MATCH(DATEVALUE($A54),'recurring1_based on steps'!M$1:M$400,0)),M$2,)</f>
        <v>0</v>
      </c>
      <c r="N54" s="140">
        <f ca="1">IF(ISNUMBER(MATCH(DATEVALUE($A54),'recurring1_based on steps'!N$1:N$400,0)),N$2,)</f>
        <v>15.49</v>
      </c>
      <c r="O54" s="140">
        <f ca="1">IF(ISNUMBER(MATCH(DATEVALUE($A54),'recurring1_based on steps'!O$1:O$400,0)),O$2,)</f>
        <v>0</v>
      </c>
      <c r="P54" s="140">
        <f ca="1">IF(ISNUMBER(MATCH(DATEVALUE($A54),'recurring1_based on steps'!P$1:P$400,0)),P$2,)</f>
        <v>0</v>
      </c>
      <c r="Q54" s="140">
        <f ca="1">IF(ISNUMBER(MATCH(DATEVALUE($A54),'recurring1_based on steps'!Q$1:Q$400,0)),Q$2,)</f>
        <v>100</v>
      </c>
      <c r="R54" s="140">
        <f ca="1">IF(ISNUMBER(MATCH(DATEVALUE($A54),'recurring1_based on steps'!R$1:R$400,0)),R$2,)</f>
        <v>100</v>
      </c>
      <c r="S54" s="140">
        <f ca="1">IF(ISNUMBER(MATCH(DATEVALUE($A54),'recurring1_based on steps'!S$1:S$400,0)),S$2,)</f>
        <v>0</v>
      </c>
      <c r="T54" s="140">
        <f ca="1">IF(ISNUMBER(MATCH(DATEVALUE($A54),'recurring1_based on steps'!T$1:T$400,0)),T$2,)</f>
        <v>0</v>
      </c>
      <c r="U54" s="140">
        <f ca="1">IF(ISNUMBER(MATCH(DATEVALUE($A54),'recurring1_based on steps'!U$1:U$400,0)),U$2,)</f>
        <v>0</v>
      </c>
      <c r="V54" s="140">
        <f ca="1">IF(ISNUMBER(MATCH(DATEVALUE($A54),'recurring1_based on steps'!V$1:V$400,0)),V$2,)</f>
        <v>200</v>
      </c>
      <c r="W54" s="140">
        <f ca="1">IF(ISNUMBER(MATCH(DATEVALUE($A54),'recurring1_based on steps'!W$1:W$400,0)),W$2,)</f>
        <v>0</v>
      </c>
      <c r="X54" s="140">
        <f ca="1">IF(ISNUMBER(MATCH(DATEVALUE($A54),'recurring1_based on steps'!X$1:X$400,0)),X$2,)</f>
        <v>0</v>
      </c>
      <c r="Y54" s="140">
        <f ca="1">IF(ISNUMBER(MATCH(DATEVALUE($A54),'recurring1_based on steps'!Y$1:Y$400,0)),Y$2,)</f>
        <v>0</v>
      </c>
      <c r="Z54" s="140">
        <f ca="1">IF(ISNUMBER(MATCH(DATEVALUE($A54),'recurring1_based on steps'!Z$1:Z$400,0)),Z$2,)</f>
        <v>0</v>
      </c>
      <c r="AA54" s="140">
        <f ca="1">IF(ISNUMBER(MATCH(DATEVALUE($A54),'recurring1_based on steps'!AA$1:AA$400,0)),AA$2,)</f>
        <v>0</v>
      </c>
      <c r="AB54" s="140">
        <f ca="1">IF(ISNUMBER(MATCH(DATEVALUE($A54),'recurring1_based on steps'!AB$1:AB$400,0)),AB$2,)</f>
        <v>5.5401662049861494E-2</v>
      </c>
      <c r="AC54" s="140">
        <f ca="1">IF(ISNUMBER(MATCH(DATEVALUE($A54),'recurring1_based on steps'!AC$1:AC$400,0)),AC$2,)</f>
        <v>0</v>
      </c>
      <c r="AD54" s="140">
        <f ca="1">IF(ISNUMBER(MATCH(DATEVALUE($A54),'recurring1_based on steps'!AD$1:AD$400,0)),AD$2,)</f>
        <v>0</v>
      </c>
      <c r="AE54" s="140">
        <f ca="1">IF(ISNUMBER(MATCH(DATEVALUE($A54),'recurring1_based on steps'!AE$1:AE$400,0)),AE$2,)</f>
        <v>0</v>
      </c>
      <c r="AF54" s="140">
        <f ca="1">IF(ISNUMBER(MATCH(DATEVALUE($A54),'recurring1_based on steps'!AF$1:AF$400,0)),AF$2,)</f>
        <v>0</v>
      </c>
      <c r="AG54" s="140">
        <f ca="1">IF(ISNUMBER(MATCH(DATEVALUE($A54),'recurring1_based on steps'!AG$1:AG$400,0)),AG$2,)</f>
        <v>0</v>
      </c>
      <c r="AH54" s="140">
        <f ca="1">IF(ISNUMBER(MATCH(DATEVALUE($A54),'recurring1_based on steps'!AH$1:AH$400,0)),AH$2,)</f>
        <v>0</v>
      </c>
      <c r="AI54" s="140">
        <f ca="1">IF(ISNUMBER(MATCH(DATEVALUE($A54),'recurring1_based on steps'!AI$1:AI$400,0)),AI$2,)</f>
        <v>0</v>
      </c>
      <c r="AJ54" s="140">
        <f ca="1">IF(ISNUMBER(MATCH(DATEVALUE($A54),'recurring1_based on steps'!AJ$1:AJ$400,0)),AJ$2,)</f>
        <v>0</v>
      </c>
      <c r="AK54" s="140">
        <f ca="1">IF(ISNUMBER(MATCH(DATEVALUE($A54),'recurring1_based on steps'!AK$1:AK$400,0)),AK$2,)</f>
        <v>0</v>
      </c>
      <c r="AL54" s="140">
        <f ca="1">IF(ISNUMBER(MATCH(DATEVALUE($A54),'recurring1_based on steps'!AL$1:AL$400,0)),AL$2,)</f>
        <v>0</v>
      </c>
      <c r="AM54" s="140">
        <f ca="1">IF(ISNUMBER(MATCH(DATEVALUE($A54),'recurring1_based on steps'!AM$1:AM$400,0)),AM$2,)</f>
        <v>0</v>
      </c>
      <c r="AN54" s="140">
        <f ca="1">IF(ISNUMBER(MATCH(DATEVALUE($A54),'recurring1_based on steps'!AN$1:AN$400,0)),AN$2,)</f>
        <v>0</v>
      </c>
      <c r="AO54" s="140">
        <f ca="1">IF(ISNUMBER(MATCH(DATEVALUE($A54),'recurring1_based on steps'!AO$1:AO$400,0)),AO$2,)</f>
        <v>0</v>
      </c>
      <c r="AP54" s="140">
        <f ca="1">IF(ISNUMBER(MATCH(DATEVALUE($A54),'recurring1_based on steps'!AP$1:AP$400,0)),AP$2,)</f>
        <v>0</v>
      </c>
      <c r="AQ54" s="140">
        <f ca="1">IF(ISNUMBER(MATCH(DATEVALUE($A54),'recurring1_based on steps'!AQ$1:AQ$400,0)),AQ$2,)</f>
        <v>0</v>
      </c>
      <c r="AR54" s="140">
        <f ca="1">IF(ISNUMBER(MATCH(DATEVALUE($A54),'recurring1_based on steps'!AR$1:AR$400,0)),AR$2,)</f>
        <v>0</v>
      </c>
      <c r="AS54" s="140">
        <f ca="1">IF(ISNUMBER(MATCH(DATEVALUE($A54),'recurring1_based on steps'!AS$1:AS$400,0)),AS$2,)</f>
        <v>0</v>
      </c>
      <c r="AT54" s="140">
        <f ca="1">IF(ISNUMBER(MATCH(DATEVALUE($A54),'recurring1_based on steps'!AT$1:AT$400,0)),AT$2,)</f>
        <v>0</v>
      </c>
      <c r="AU54" s="140">
        <f ca="1">IF(ISNUMBER(MATCH(DATEVALUE($A54),'recurring1_based on steps'!AU$1:AU$400,0)),AU$2,)</f>
        <v>0</v>
      </c>
      <c r="AV54" s="140">
        <f ca="1">IF(ISNUMBER(MATCH(DATEVALUE($A54),'recurring1_based on steps'!AV$1:AV$400,0)),AV$2,)</f>
        <v>0</v>
      </c>
      <c r="AW54" s="140">
        <f ca="1">IF(ISNUMBER(MATCH(DATEVALUE($A54),'recurring1_based on steps'!AW$1:AW$400,0)),AW$2,)</f>
        <v>0</v>
      </c>
      <c r="AX54" s="140">
        <f ca="1">IF(ISNUMBER(MATCH(DATEVALUE($A54),'recurring1_based on steps'!AX$1:AX$400,0)),AX$2,)</f>
        <v>0</v>
      </c>
      <c r="AY54" s="140">
        <f ca="1">IF(ISNUMBER(MATCH(DATEVALUE($A54),'recurring1_based on steps'!AY$1:AY$400,0)),AY$2,)</f>
        <v>0</v>
      </c>
    </row>
    <row r="55" spans="1:51" x14ac:dyDescent="0.2">
      <c r="A55" s="29" t="str">
        <f t="shared" ca="1" si="0"/>
        <v>2025-05-18</v>
      </c>
      <c r="B55" s="140">
        <f ca="1">IF(ISNUMBER(MATCH(DATEVALUE($A55),'recurring1_based on steps'!B$1:B$400,0)),B$2,)</f>
        <v>0</v>
      </c>
      <c r="C55" s="140">
        <f ca="1">IF(ISNUMBER(MATCH(DATEVALUE($A55),'recurring1_based on steps'!C$1:C$400,0)),C$2,)</f>
        <v>0</v>
      </c>
      <c r="D55" s="140">
        <f ca="1">IF(ISNUMBER(MATCH(DATEVALUE($A55),'recurring1_based on steps'!D$1:D$400,0)),D$2,)</f>
        <v>0</v>
      </c>
      <c r="E55" s="140">
        <f ca="1">IF(ISNUMBER(MATCH(DATEVALUE($A55),'recurring1_based on steps'!E$1:E$400,0)),E$2,)</f>
        <v>0</v>
      </c>
      <c r="F55" s="140">
        <f ca="1">IF(ISNUMBER(MATCH(DATEVALUE($A55),'recurring1_based on steps'!F$1:F$400,0)),F$2,)</f>
        <v>0</v>
      </c>
      <c r="G55" s="140">
        <f ca="1">IF(ISNUMBER(MATCH(DATEVALUE($A55),'recurring1_based on steps'!G$1:G$400,0)),G$2,)</f>
        <v>0</v>
      </c>
      <c r="H55" s="140">
        <f ca="1">IF(ISNUMBER(MATCH(DATEVALUE($A55),'recurring1_based on steps'!H$1:H$400,0)),H$2,)</f>
        <v>0</v>
      </c>
      <c r="I55" s="140">
        <f ca="1">IF(ISNUMBER(MATCH(DATEVALUE($A55),'recurring1_based on steps'!I$1:I$400,0)),I$2,)</f>
        <v>0</v>
      </c>
      <c r="J55" s="140">
        <f ca="1">IF(ISNUMBER(MATCH(DATEVALUE($A55),'recurring1_based on steps'!J$1:J$400,0)),J$2,)</f>
        <v>0</v>
      </c>
      <c r="K55" s="140">
        <f ca="1">IF(ISNUMBER(MATCH(DATEVALUE($A55),'recurring1_based on steps'!K$1:K$400,0)),K$2,)</f>
        <v>50</v>
      </c>
      <c r="L55" s="140">
        <f ca="1">IF(ISNUMBER(MATCH(DATEVALUE($A55),'recurring1_based on steps'!L$1:L$400,0)),L$2,)</f>
        <v>0</v>
      </c>
      <c r="M55" s="140">
        <f ca="1">IF(ISNUMBER(MATCH(DATEVALUE($A55),'recurring1_based on steps'!M$1:M$400,0)),M$2,)</f>
        <v>0</v>
      </c>
      <c r="N55" s="140">
        <f ca="1">IF(ISNUMBER(MATCH(DATEVALUE($A55),'recurring1_based on steps'!N$1:N$400,0)),N$2,)</f>
        <v>0</v>
      </c>
      <c r="O55" s="140">
        <f ca="1">IF(ISNUMBER(MATCH(DATEVALUE($A55),'recurring1_based on steps'!O$1:O$400,0)),O$2,)</f>
        <v>10.99</v>
      </c>
      <c r="P55" s="140">
        <f ca="1">IF(ISNUMBER(MATCH(DATEVALUE($A55),'recurring1_based on steps'!P$1:P$400,0)),P$2,)</f>
        <v>0</v>
      </c>
      <c r="Q55" s="140">
        <f ca="1">IF(ISNUMBER(MATCH(DATEVALUE($A55),'recurring1_based on steps'!Q$1:Q$400,0)),Q$2,)</f>
        <v>0</v>
      </c>
      <c r="R55" s="140">
        <f ca="1">IF(ISNUMBER(MATCH(DATEVALUE($A55),'recurring1_based on steps'!R$1:R$400,0)),R$2,)</f>
        <v>0</v>
      </c>
      <c r="S55" s="140">
        <f ca="1">IF(ISNUMBER(MATCH(DATEVALUE($A55),'recurring1_based on steps'!S$1:S$400,0)),S$2,)</f>
        <v>100</v>
      </c>
      <c r="T55" s="140">
        <f ca="1">IF(ISNUMBER(MATCH(DATEVALUE($A55),'recurring1_based on steps'!T$1:T$400,0)),T$2,)</f>
        <v>0</v>
      </c>
      <c r="U55" s="140">
        <f ca="1">IF(ISNUMBER(MATCH(DATEVALUE($A55),'recurring1_based on steps'!U$1:U$400,0)),U$2,)</f>
        <v>0</v>
      </c>
      <c r="V55" s="140">
        <f ca="1">IF(ISNUMBER(MATCH(DATEVALUE($A55),'recurring1_based on steps'!V$1:V$400,0)),V$2,)</f>
        <v>0</v>
      </c>
      <c r="W55" s="140">
        <f ca="1">IF(ISNUMBER(MATCH(DATEVALUE($A55),'recurring1_based on steps'!W$1:W$400,0)),W$2,)</f>
        <v>0</v>
      </c>
      <c r="X55" s="140">
        <f ca="1">IF(ISNUMBER(MATCH(DATEVALUE($A55),'recurring1_based on steps'!X$1:X$400,0)),X$2,)</f>
        <v>0</v>
      </c>
      <c r="Y55" s="140">
        <f ca="1">IF(ISNUMBER(MATCH(DATEVALUE($A55),'recurring1_based on steps'!Y$1:Y$400,0)),Y$2,)</f>
        <v>0</v>
      </c>
      <c r="Z55" s="140">
        <f ca="1">IF(ISNUMBER(MATCH(DATEVALUE($A55),'recurring1_based on steps'!Z$1:Z$400,0)),Z$2,)</f>
        <v>0</v>
      </c>
      <c r="AA55" s="140">
        <f ca="1">IF(ISNUMBER(MATCH(DATEVALUE($A55),'recurring1_based on steps'!AA$1:AA$400,0)),AA$2,)</f>
        <v>0</v>
      </c>
      <c r="AB55" s="140">
        <f ca="1">IF(ISNUMBER(MATCH(DATEVALUE($A55),'recurring1_based on steps'!AB$1:AB$400,0)),AB$2,)</f>
        <v>5.5401662049861494E-2</v>
      </c>
      <c r="AC55" s="140">
        <f ca="1">IF(ISNUMBER(MATCH(DATEVALUE($A55),'recurring1_based on steps'!AC$1:AC$400,0)),AC$2,)</f>
        <v>0</v>
      </c>
      <c r="AD55" s="140">
        <f ca="1">IF(ISNUMBER(MATCH(DATEVALUE($A55),'recurring1_based on steps'!AD$1:AD$400,0)),AD$2,)</f>
        <v>0</v>
      </c>
      <c r="AE55" s="140">
        <f ca="1">IF(ISNUMBER(MATCH(DATEVALUE($A55),'recurring1_based on steps'!AE$1:AE$400,0)),AE$2,)</f>
        <v>0</v>
      </c>
      <c r="AF55" s="140">
        <f ca="1">IF(ISNUMBER(MATCH(DATEVALUE($A55),'recurring1_based on steps'!AF$1:AF$400,0)),AF$2,)</f>
        <v>0</v>
      </c>
      <c r="AG55" s="140">
        <f ca="1">IF(ISNUMBER(MATCH(DATEVALUE($A55),'recurring1_based on steps'!AG$1:AG$400,0)),AG$2,)</f>
        <v>0</v>
      </c>
      <c r="AH55" s="140">
        <f ca="1">IF(ISNUMBER(MATCH(DATEVALUE($A55),'recurring1_based on steps'!AH$1:AH$400,0)),AH$2,)</f>
        <v>0</v>
      </c>
      <c r="AI55" s="140">
        <f ca="1">IF(ISNUMBER(MATCH(DATEVALUE($A55),'recurring1_based on steps'!AI$1:AI$400,0)),AI$2,)</f>
        <v>0</v>
      </c>
      <c r="AJ55" s="140">
        <f ca="1">IF(ISNUMBER(MATCH(DATEVALUE($A55),'recurring1_based on steps'!AJ$1:AJ$400,0)),AJ$2,)</f>
        <v>0</v>
      </c>
      <c r="AK55" s="140">
        <f ca="1">IF(ISNUMBER(MATCH(DATEVALUE($A55),'recurring1_based on steps'!AK$1:AK$400,0)),AK$2,)</f>
        <v>0</v>
      </c>
      <c r="AL55" s="140">
        <f ca="1">IF(ISNUMBER(MATCH(DATEVALUE($A55),'recurring1_based on steps'!AL$1:AL$400,0)),AL$2,)</f>
        <v>0</v>
      </c>
      <c r="AM55" s="140">
        <f ca="1">IF(ISNUMBER(MATCH(DATEVALUE($A55),'recurring1_based on steps'!AM$1:AM$400,0)),AM$2,)</f>
        <v>0</v>
      </c>
      <c r="AN55" s="140">
        <f ca="1">IF(ISNUMBER(MATCH(DATEVALUE($A55),'recurring1_based on steps'!AN$1:AN$400,0)),AN$2,)</f>
        <v>0</v>
      </c>
      <c r="AO55" s="140">
        <f ca="1">IF(ISNUMBER(MATCH(DATEVALUE($A55),'recurring1_based on steps'!AO$1:AO$400,0)),AO$2,)</f>
        <v>0</v>
      </c>
      <c r="AP55" s="140">
        <f ca="1">IF(ISNUMBER(MATCH(DATEVALUE($A55),'recurring1_based on steps'!AP$1:AP$400,0)),AP$2,)</f>
        <v>0</v>
      </c>
      <c r="AQ55" s="140">
        <f ca="1">IF(ISNUMBER(MATCH(DATEVALUE($A55),'recurring1_based on steps'!AQ$1:AQ$400,0)),AQ$2,)</f>
        <v>0</v>
      </c>
      <c r="AR55" s="140">
        <f ca="1">IF(ISNUMBER(MATCH(DATEVALUE($A55),'recurring1_based on steps'!AR$1:AR$400,0)),AR$2,)</f>
        <v>0</v>
      </c>
      <c r="AS55" s="140">
        <f ca="1">IF(ISNUMBER(MATCH(DATEVALUE($A55),'recurring1_based on steps'!AS$1:AS$400,0)),AS$2,)</f>
        <v>0</v>
      </c>
      <c r="AT55" s="140">
        <f ca="1">IF(ISNUMBER(MATCH(DATEVALUE($A55),'recurring1_based on steps'!AT$1:AT$400,0)),AT$2,)</f>
        <v>0</v>
      </c>
      <c r="AU55" s="140">
        <f ca="1">IF(ISNUMBER(MATCH(DATEVALUE($A55),'recurring1_based on steps'!AU$1:AU$400,0)),AU$2,)</f>
        <v>0</v>
      </c>
      <c r="AV55" s="140">
        <f ca="1">IF(ISNUMBER(MATCH(DATEVALUE($A55),'recurring1_based on steps'!AV$1:AV$400,0)),AV$2,)</f>
        <v>0</v>
      </c>
      <c r="AW55" s="140">
        <f ca="1">IF(ISNUMBER(MATCH(DATEVALUE($A55),'recurring1_based on steps'!AW$1:AW$400,0)),AW$2,)</f>
        <v>0</v>
      </c>
      <c r="AX55" s="140">
        <f ca="1">IF(ISNUMBER(MATCH(DATEVALUE($A55),'recurring1_based on steps'!AX$1:AX$400,0)),AX$2,)</f>
        <v>0</v>
      </c>
      <c r="AY55" s="140">
        <f ca="1">IF(ISNUMBER(MATCH(DATEVALUE($A55),'recurring1_based on steps'!AY$1:AY$400,0)),AY$2,)</f>
        <v>0</v>
      </c>
    </row>
    <row r="56" spans="1:51" x14ac:dyDescent="0.2">
      <c r="A56" s="29" t="str">
        <f t="shared" ca="1" si="0"/>
        <v>2025-05-19</v>
      </c>
      <c r="B56" s="140">
        <f ca="1">IF(ISNUMBER(MATCH(DATEVALUE($A56),'recurring1_based on steps'!B$1:B$400,0)),B$2,)</f>
        <v>0</v>
      </c>
      <c r="C56" s="140">
        <f ca="1">IF(ISNUMBER(MATCH(DATEVALUE($A56),'recurring1_based on steps'!C$1:C$400,0)),C$2,)</f>
        <v>0</v>
      </c>
      <c r="D56" s="140">
        <f ca="1">IF(ISNUMBER(MATCH(DATEVALUE($A56),'recurring1_based on steps'!D$1:D$400,0)),D$2,)</f>
        <v>0</v>
      </c>
      <c r="E56" s="140">
        <f ca="1">IF(ISNUMBER(MATCH(DATEVALUE($A56),'recurring1_based on steps'!E$1:E$400,0)),E$2,)</f>
        <v>0</v>
      </c>
      <c r="F56" s="140">
        <f ca="1">IF(ISNUMBER(MATCH(DATEVALUE($A56),'recurring1_based on steps'!F$1:F$400,0)),F$2,)</f>
        <v>0</v>
      </c>
      <c r="G56" s="140">
        <f ca="1">IF(ISNUMBER(MATCH(DATEVALUE($A56),'recurring1_based on steps'!G$1:G$400,0)),G$2,)</f>
        <v>0</v>
      </c>
      <c r="H56" s="140">
        <f ca="1">IF(ISNUMBER(MATCH(DATEVALUE($A56),'recurring1_based on steps'!H$1:H$400,0)),H$2,)</f>
        <v>0</v>
      </c>
      <c r="I56" s="140">
        <f ca="1">IF(ISNUMBER(MATCH(DATEVALUE($A56),'recurring1_based on steps'!I$1:I$400,0)),I$2,)</f>
        <v>0</v>
      </c>
      <c r="J56" s="140">
        <f ca="1">IF(ISNUMBER(MATCH(DATEVALUE($A56),'recurring1_based on steps'!J$1:J$400,0)),J$2,)</f>
        <v>0</v>
      </c>
      <c r="K56" s="140">
        <f ca="1">IF(ISNUMBER(MATCH(DATEVALUE($A56),'recurring1_based on steps'!K$1:K$400,0)),K$2,)</f>
        <v>0</v>
      </c>
      <c r="L56" s="140">
        <f ca="1">IF(ISNUMBER(MATCH(DATEVALUE($A56),'recurring1_based on steps'!L$1:L$400,0)),L$2,)</f>
        <v>0</v>
      </c>
      <c r="M56" s="140">
        <f ca="1">IF(ISNUMBER(MATCH(DATEVALUE($A56),'recurring1_based on steps'!M$1:M$400,0)),M$2,)</f>
        <v>0</v>
      </c>
      <c r="N56" s="140">
        <f ca="1">IF(ISNUMBER(MATCH(DATEVALUE($A56),'recurring1_based on steps'!N$1:N$400,0)),N$2,)</f>
        <v>0</v>
      </c>
      <c r="O56" s="140">
        <f ca="1">IF(ISNUMBER(MATCH(DATEVALUE($A56),'recurring1_based on steps'!O$1:O$400,0)),O$2,)</f>
        <v>0</v>
      </c>
      <c r="P56" s="140">
        <f ca="1">IF(ISNUMBER(MATCH(DATEVALUE($A56),'recurring1_based on steps'!P$1:P$400,0)),P$2,)</f>
        <v>0</v>
      </c>
      <c r="Q56" s="140">
        <f ca="1">IF(ISNUMBER(MATCH(DATEVALUE($A56),'recurring1_based on steps'!Q$1:Q$400,0)),Q$2,)</f>
        <v>0</v>
      </c>
      <c r="R56" s="140">
        <f ca="1">IF(ISNUMBER(MATCH(DATEVALUE($A56),'recurring1_based on steps'!R$1:R$400,0)),R$2,)</f>
        <v>0</v>
      </c>
      <c r="S56" s="140">
        <f ca="1">IF(ISNUMBER(MATCH(DATEVALUE($A56),'recurring1_based on steps'!S$1:S$400,0)),S$2,)</f>
        <v>0</v>
      </c>
      <c r="T56" s="140">
        <f ca="1">IF(ISNUMBER(MATCH(DATEVALUE($A56),'recurring1_based on steps'!T$1:T$400,0)),T$2,)</f>
        <v>50</v>
      </c>
      <c r="U56" s="140">
        <f ca="1">IF(ISNUMBER(MATCH(DATEVALUE($A56),'recurring1_based on steps'!U$1:U$400,0)),U$2,)</f>
        <v>0</v>
      </c>
      <c r="V56" s="140">
        <f ca="1">IF(ISNUMBER(MATCH(DATEVALUE($A56),'recurring1_based on steps'!V$1:V$400,0)),V$2,)</f>
        <v>0</v>
      </c>
      <c r="W56" s="140">
        <f ca="1">IF(ISNUMBER(MATCH(DATEVALUE($A56),'recurring1_based on steps'!W$1:W$400,0)),W$2,)</f>
        <v>0</v>
      </c>
      <c r="X56" s="140">
        <f ca="1">IF(ISNUMBER(MATCH(DATEVALUE($A56),'recurring1_based on steps'!X$1:X$400,0)),X$2,)</f>
        <v>0</v>
      </c>
      <c r="Y56" s="140">
        <f ca="1">IF(ISNUMBER(MATCH(DATEVALUE($A56),'recurring1_based on steps'!Y$1:Y$400,0)),Y$2,)</f>
        <v>0</v>
      </c>
      <c r="Z56" s="140">
        <f ca="1">IF(ISNUMBER(MATCH(DATEVALUE($A56),'recurring1_based on steps'!Z$1:Z$400,0)),Z$2,)</f>
        <v>0</v>
      </c>
      <c r="AA56" s="140">
        <f ca="1">IF(ISNUMBER(MATCH(DATEVALUE($A56),'recurring1_based on steps'!AA$1:AA$400,0)),AA$2,)</f>
        <v>0</v>
      </c>
      <c r="AB56" s="140">
        <f ca="1">IF(ISNUMBER(MATCH(DATEVALUE($A56),'recurring1_based on steps'!AB$1:AB$400,0)),AB$2,)</f>
        <v>5.5401662049861494E-2</v>
      </c>
      <c r="AC56" s="140">
        <f ca="1">IF(ISNUMBER(MATCH(DATEVALUE($A56),'recurring1_based on steps'!AC$1:AC$400,0)),AC$2,)</f>
        <v>0</v>
      </c>
      <c r="AD56" s="140">
        <f ca="1">IF(ISNUMBER(MATCH(DATEVALUE($A56),'recurring1_based on steps'!AD$1:AD$400,0)),AD$2,)</f>
        <v>0</v>
      </c>
      <c r="AE56" s="140">
        <f ca="1">IF(ISNUMBER(MATCH(DATEVALUE($A56),'recurring1_based on steps'!AE$1:AE$400,0)),AE$2,)</f>
        <v>0</v>
      </c>
      <c r="AF56" s="140">
        <f ca="1">IF(ISNUMBER(MATCH(DATEVALUE($A56),'recurring1_based on steps'!AF$1:AF$400,0)),AF$2,)</f>
        <v>0</v>
      </c>
      <c r="AG56" s="140">
        <f ca="1">IF(ISNUMBER(MATCH(DATEVALUE($A56),'recurring1_based on steps'!AG$1:AG$400,0)),AG$2,)</f>
        <v>0</v>
      </c>
      <c r="AH56" s="140">
        <f ca="1">IF(ISNUMBER(MATCH(DATEVALUE($A56),'recurring1_based on steps'!AH$1:AH$400,0)),AH$2,)</f>
        <v>0</v>
      </c>
      <c r="AI56" s="140">
        <f ca="1">IF(ISNUMBER(MATCH(DATEVALUE($A56),'recurring1_based on steps'!AI$1:AI$400,0)),AI$2,)</f>
        <v>0</v>
      </c>
      <c r="AJ56" s="140">
        <f ca="1">IF(ISNUMBER(MATCH(DATEVALUE($A56),'recurring1_based on steps'!AJ$1:AJ$400,0)),AJ$2,)</f>
        <v>0</v>
      </c>
      <c r="AK56" s="140">
        <f ca="1">IF(ISNUMBER(MATCH(DATEVALUE($A56),'recurring1_based on steps'!AK$1:AK$400,0)),AK$2,)</f>
        <v>0</v>
      </c>
      <c r="AL56" s="140">
        <f ca="1">IF(ISNUMBER(MATCH(DATEVALUE($A56),'recurring1_based on steps'!AL$1:AL$400,0)),AL$2,)</f>
        <v>0</v>
      </c>
      <c r="AM56" s="140">
        <f ca="1">IF(ISNUMBER(MATCH(DATEVALUE($A56),'recurring1_based on steps'!AM$1:AM$400,0)),AM$2,)</f>
        <v>0</v>
      </c>
      <c r="AN56" s="140">
        <f ca="1">IF(ISNUMBER(MATCH(DATEVALUE($A56),'recurring1_based on steps'!AN$1:AN$400,0)),AN$2,)</f>
        <v>0</v>
      </c>
      <c r="AO56" s="140">
        <f ca="1">IF(ISNUMBER(MATCH(DATEVALUE($A56),'recurring1_based on steps'!AO$1:AO$400,0)),AO$2,)</f>
        <v>0</v>
      </c>
      <c r="AP56" s="140">
        <f ca="1">IF(ISNUMBER(MATCH(DATEVALUE($A56),'recurring1_based on steps'!AP$1:AP$400,0)),AP$2,)</f>
        <v>0</v>
      </c>
      <c r="AQ56" s="140">
        <f ca="1">IF(ISNUMBER(MATCH(DATEVALUE($A56),'recurring1_based on steps'!AQ$1:AQ$400,0)),AQ$2,)</f>
        <v>0</v>
      </c>
      <c r="AR56" s="140">
        <f ca="1">IF(ISNUMBER(MATCH(DATEVALUE($A56),'recurring1_based on steps'!AR$1:AR$400,0)),AR$2,)</f>
        <v>0</v>
      </c>
      <c r="AS56" s="140">
        <f ca="1">IF(ISNUMBER(MATCH(DATEVALUE($A56),'recurring1_based on steps'!AS$1:AS$400,0)),AS$2,)</f>
        <v>0</v>
      </c>
      <c r="AT56" s="140">
        <f ca="1">IF(ISNUMBER(MATCH(DATEVALUE($A56),'recurring1_based on steps'!AT$1:AT$400,0)),AT$2,)</f>
        <v>0</v>
      </c>
      <c r="AU56" s="140">
        <f ca="1">IF(ISNUMBER(MATCH(DATEVALUE($A56),'recurring1_based on steps'!AU$1:AU$400,0)),AU$2,)</f>
        <v>0</v>
      </c>
      <c r="AV56" s="140">
        <f ca="1">IF(ISNUMBER(MATCH(DATEVALUE($A56),'recurring1_based on steps'!AV$1:AV$400,0)),AV$2,)</f>
        <v>0</v>
      </c>
      <c r="AW56" s="140">
        <f ca="1">IF(ISNUMBER(MATCH(DATEVALUE($A56),'recurring1_based on steps'!AW$1:AW$400,0)),AW$2,)</f>
        <v>0</v>
      </c>
      <c r="AX56" s="140">
        <f ca="1">IF(ISNUMBER(MATCH(DATEVALUE($A56),'recurring1_based on steps'!AX$1:AX$400,0)),AX$2,)</f>
        <v>0</v>
      </c>
      <c r="AY56" s="140">
        <f ca="1">IF(ISNUMBER(MATCH(DATEVALUE($A56),'recurring1_based on steps'!AY$1:AY$400,0)),AY$2,)</f>
        <v>0</v>
      </c>
    </row>
    <row r="57" spans="1:51" x14ac:dyDescent="0.2">
      <c r="A57" s="29" t="str">
        <f t="shared" ca="1" si="0"/>
        <v>2025-05-20</v>
      </c>
      <c r="B57" s="140">
        <f ca="1">IF(ISNUMBER(MATCH(DATEVALUE($A57),'recurring1_based on steps'!B$1:B$400,0)),B$2,)</f>
        <v>0</v>
      </c>
      <c r="C57" s="140">
        <f ca="1">IF(ISNUMBER(MATCH(DATEVALUE($A57),'recurring1_based on steps'!C$1:C$400,0)),C$2,)</f>
        <v>0</v>
      </c>
      <c r="D57" s="140">
        <f ca="1">IF(ISNUMBER(MATCH(DATEVALUE($A57),'recurring1_based on steps'!D$1:D$400,0)),D$2,)</f>
        <v>0</v>
      </c>
      <c r="E57" s="140">
        <f ca="1">IF(ISNUMBER(MATCH(DATEVALUE($A57),'recurring1_based on steps'!E$1:E$400,0)),E$2,)</f>
        <v>0</v>
      </c>
      <c r="F57" s="140">
        <f ca="1">IF(ISNUMBER(MATCH(DATEVALUE($A57),'recurring1_based on steps'!F$1:F$400,0)),F$2,)</f>
        <v>0</v>
      </c>
      <c r="G57" s="140">
        <f ca="1">IF(ISNUMBER(MATCH(DATEVALUE($A57),'recurring1_based on steps'!G$1:G$400,0)),G$2,)</f>
        <v>0</v>
      </c>
      <c r="H57" s="140">
        <f ca="1">IF(ISNUMBER(MATCH(DATEVALUE($A57),'recurring1_based on steps'!H$1:H$400,0)),H$2,)</f>
        <v>0</v>
      </c>
      <c r="I57" s="140">
        <f ca="1">IF(ISNUMBER(MATCH(DATEVALUE($A57),'recurring1_based on steps'!I$1:I$400,0)),I$2,)</f>
        <v>0</v>
      </c>
      <c r="J57" s="140">
        <f ca="1">IF(ISNUMBER(MATCH(DATEVALUE($A57),'recurring1_based on steps'!J$1:J$400,0)),J$2,)</f>
        <v>0</v>
      </c>
      <c r="K57" s="140">
        <f ca="1">IF(ISNUMBER(MATCH(DATEVALUE($A57),'recurring1_based on steps'!K$1:K$400,0)),K$2,)</f>
        <v>0</v>
      </c>
      <c r="L57" s="140">
        <f ca="1">IF(ISNUMBER(MATCH(DATEVALUE($A57),'recurring1_based on steps'!L$1:L$400,0)),L$2,)</f>
        <v>0</v>
      </c>
      <c r="M57" s="140">
        <f ca="1">IF(ISNUMBER(MATCH(DATEVALUE($A57),'recurring1_based on steps'!M$1:M$400,0)),M$2,)</f>
        <v>0</v>
      </c>
      <c r="N57" s="140">
        <f ca="1">IF(ISNUMBER(MATCH(DATEVALUE($A57),'recurring1_based on steps'!N$1:N$400,0)),N$2,)</f>
        <v>0</v>
      </c>
      <c r="O57" s="140">
        <f ca="1">IF(ISNUMBER(MATCH(DATEVALUE($A57),'recurring1_based on steps'!O$1:O$400,0)),O$2,)</f>
        <v>0</v>
      </c>
      <c r="P57" s="140">
        <f ca="1">IF(ISNUMBER(MATCH(DATEVALUE($A57),'recurring1_based on steps'!P$1:P$400,0)),P$2,)</f>
        <v>0</v>
      </c>
      <c r="Q57" s="140">
        <f ca="1">IF(ISNUMBER(MATCH(DATEVALUE($A57),'recurring1_based on steps'!Q$1:Q$400,0)),Q$2,)</f>
        <v>0</v>
      </c>
      <c r="R57" s="140">
        <f ca="1">IF(ISNUMBER(MATCH(DATEVALUE($A57),'recurring1_based on steps'!R$1:R$400,0)),R$2,)</f>
        <v>0</v>
      </c>
      <c r="S57" s="140">
        <f ca="1">IF(ISNUMBER(MATCH(DATEVALUE($A57),'recurring1_based on steps'!S$1:S$400,0)),S$2,)</f>
        <v>0</v>
      </c>
      <c r="T57" s="140">
        <f ca="1">IF(ISNUMBER(MATCH(DATEVALUE($A57),'recurring1_based on steps'!T$1:T$400,0)),T$2,)</f>
        <v>0</v>
      </c>
      <c r="U57" s="140">
        <f ca="1">IF(ISNUMBER(MATCH(DATEVALUE($A57),'recurring1_based on steps'!U$1:U$400,0)),U$2,)</f>
        <v>0</v>
      </c>
      <c r="V57" s="140">
        <f ca="1">IF(ISNUMBER(MATCH(DATEVALUE($A57),'recurring1_based on steps'!V$1:V$400,0)),V$2,)</f>
        <v>0</v>
      </c>
      <c r="W57" s="140">
        <f ca="1">IF(ISNUMBER(MATCH(DATEVALUE($A57),'recurring1_based on steps'!W$1:W$400,0)),W$2,)</f>
        <v>0</v>
      </c>
      <c r="X57" s="140">
        <f ca="1">IF(ISNUMBER(MATCH(DATEVALUE($A57),'recurring1_based on steps'!X$1:X$400,0)),X$2,)</f>
        <v>0</v>
      </c>
      <c r="Y57" s="140">
        <f ca="1">IF(ISNUMBER(MATCH(DATEVALUE($A57),'recurring1_based on steps'!Y$1:Y$400,0)),Y$2,)</f>
        <v>0</v>
      </c>
      <c r="Z57" s="140">
        <f ca="1">IF(ISNUMBER(MATCH(DATEVALUE($A57),'recurring1_based on steps'!Z$1:Z$400,0)),Z$2,)</f>
        <v>0</v>
      </c>
      <c r="AA57" s="140">
        <f ca="1">IF(ISNUMBER(MATCH(DATEVALUE($A57),'recurring1_based on steps'!AA$1:AA$400,0)),AA$2,)</f>
        <v>5.8171745152354575</v>
      </c>
      <c r="AB57" s="140">
        <f ca="1">IF(ISNUMBER(MATCH(DATEVALUE($A57),'recurring1_based on steps'!AB$1:AB$400,0)),AB$2,)</f>
        <v>5.5401662049861494E-2</v>
      </c>
      <c r="AC57" s="140">
        <f ca="1">IF(ISNUMBER(MATCH(DATEVALUE($A57),'recurring1_based on steps'!AC$1:AC$400,0)),AC$2,)</f>
        <v>0</v>
      </c>
      <c r="AD57" s="140">
        <f ca="1">IF(ISNUMBER(MATCH(DATEVALUE($A57),'recurring1_based on steps'!AD$1:AD$400,0)),AD$2,)</f>
        <v>0</v>
      </c>
      <c r="AE57" s="140">
        <f ca="1">IF(ISNUMBER(MATCH(DATEVALUE($A57),'recurring1_based on steps'!AE$1:AE$400,0)),AE$2,)</f>
        <v>0</v>
      </c>
      <c r="AF57" s="140">
        <f ca="1">IF(ISNUMBER(MATCH(DATEVALUE($A57),'recurring1_based on steps'!AF$1:AF$400,0)),AF$2,)</f>
        <v>0</v>
      </c>
      <c r="AG57" s="140">
        <f ca="1">IF(ISNUMBER(MATCH(DATEVALUE($A57),'recurring1_based on steps'!AG$1:AG$400,0)),AG$2,)</f>
        <v>0</v>
      </c>
      <c r="AH57" s="140">
        <f ca="1">IF(ISNUMBER(MATCH(DATEVALUE($A57),'recurring1_based on steps'!AH$1:AH$400,0)),AH$2,)</f>
        <v>0</v>
      </c>
      <c r="AI57" s="140">
        <f ca="1">IF(ISNUMBER(MATCH(DATEVALUE($A57),'recurring1_based on steps'!AI$1:AI$400,0)),AI$2,)</f>
        <v>0</v>
      </c>
      <c r="AJ57" s="140">
        <f ca="1">IF(ISNUMBER(MATCH(DATEVALUE($A57),'recurring1_based on steps'!AJ$1:AJ$400,0)),AJ$2,)</f>
        <v>0</v>
      </c>
      <c r="AK57" s="140">
        <f ca="1">IF(ISNUMBER(MATCH(DATEVALUE($A57),'recurring1_based on steps'!AK$1:AK$400,0)),AK$2,)</f>
        <v>0</v>
      </c>
      <c r="AL57" s="140">
        <f ca="1">IF(ISNUMBER(MATCH(DATEVALUE($A57),'recurring1_based on steps'!AL$1:AL$400,0)),AL$2,)</f>
        <v>0</v>
      </c>
      <c r="AM57" s="140">
        <f ca="1">IF(ISNUMBER(MATCH(DATEVALUE($A57),'recurring1_based on steps'!AM$1:AM$400,0)),AM$2,)</f>
        <v>0</v>
      </c>
      <c r="AN57" s="140">
        <f ca="1">IF(ISNUMBER(MATCH(DATEVALUE($A57),'recurring1_based on steps'!AN$1:AN$400,0)),AN$2,)</f>
        <v>0</v>
      </c>
      <c r="AO57" s="140">
        <f ca="1">IF(ISNUMBER(MATCH(DATEVALUE($A57),'recurring1_based on steps'!AO$1:AO$400,0)),AO$2,)</f>
        <v>0</v>
      </c>
      <c r="AP57" s="140">
        <f ca="1">IF(ISNUMBER(MATCH(DATEVALUE($A57),'recurring1_based on steps'!AP$1:AP$400,0)),AP$2,)</f>
        <v>0</v>
      </c>
      <c r="AQ57" s="140">
        <f ca="1">IF(ISNUMBER(MATCH(DATEVALUE($A57),'recurring1_based on steps'!AQ$1:AQ$400,0)),AQ$2,)</f>
        <v>0</v>
      </c>
      <c r="AR57" s="140">
        <f ca="1">IF(ISNUMBER(MATCH(DATEVALUE($A57),'recurring1_based on steps'!AR$1:AR$400,0)),AR$2,)</f>
        <v>0</v>
      </c>
      <c r="AS57" s="140">
        <f ca="1">IF(ISNUMBER(MATCH(DATEVALUE($A57),'recurring1_based on steps'!AS$1:AS$400,0)),AS$2,)</f>
        <v>0</v>
      </c>
      <c r="AT57" s="140">
        <f ca="1">IF(ISNUMBER(MATCH(DATEVALUE($A57),'recurring1_based on steps'!AT$1:AT$400,0)),AT$2,)</f>
        <v>0</v>
      </c>
      <c r="AU57" s="140">
        <f ca="1">IF(ISNUMBER(MATCH(DATEVALUE($A57),'recurring1_based on steps'!AU$1:AU$400,0)),AU$2,)</f>
        <v>0</v>
      </c>
      <c r="AV57" s="140">
        <f ca="1">IF(ISNUMBER(MATCH(DATEVALUE($A57),'recurring1_based on steps'!AV$1:AV$400,0)),AV$2,)</f>
        <v>0</v>
      </c>
      <c r="AW57" s="140">
        <f ca="1">IF(ISNUMBER(MATCH(DATEVALUE($A57),'recurring1_based on steps'!AW$1:AW$400,0)),AW$2,)</f>
        <v>0</v>
      </c>
      <c r="AX57" s="140">
        <f ca="1">IF(ISNUMBER(MATCH(DATEVALUE($A57),'recurring1_based on steps'!AX$1:AX$400,0)),AX$2,)</f>
        <v>0</v>
      </c>
      <c r="AY57" s="140">
        <f ca="1">IF(ISNUMBER(MATCH(DATEVALUE($A57),'recurring1_based on steps'!AY$1:AY$400,0)),AY$2,)</f>
        <v>0</v>
      </c>
    </row>
    <row r="58" spans="1:51" x14ac:dyDescent="0.2">
      <c r="A58" s="29" t="str">
        <f t="shared" ca="1" si="0"/>
        <v>2025-05-21</v>
      </c>
      <c r="B58" s="140">
        <f ca="1">IF(ISNUMBER(MATCH(DATEVALUE($A58),'recurring1_based on steps'!B$1:B$400,0)),B$2,)</f>
        <v>0</v>
      </c>
      <c r="C58" s="140">
        <f ca="1">IF(ISNUMBER(MATCH(DATEVALUE($A58),'recurring1_based on steps'!C$1:C$400,0)),C$2,)</f>
        <v>0</v>
      </c>
      <c r="D58" s="140">
        <f ca="1">IF(ISNUMBER(MATCH(DATEVALUE($A58),'recurring1_based on steps'!D$1:D$400,0)),D$2,)</f>
        <v>0</v>
      </c>
      <c r="E58" s="140">
        <f ca="1">IF(ISNUMBER(MATCH(DATEVALUE($A58),'recurring1_based on steps'!E$1:E$400,0)),E$2,)</f>
        <v>0</v>
      </c>
      <c r="F58" s="140">
        <f ca="1">IF(ISNUMBER(MATCH(DATEVALUE($A58),'recurring1_based on steps'!F$1:F$400,0)),F$2,)</f>
        <v>0</v>
      </c>
      <c r="G58" s="140">
        <f ca="1">IF(ISNUMBER(MATCH(DATEVALUE($A58),'recurring1_based on steps'!G$1:G$400,0)),G$2,)</f>
        <v>0</v>
      </c>
      <c r="H58" s="140">
        <f ca="1">IF(ISNUMBER(MATCH(DATEVALUE($A58),'recurring1_based on steps'!H$1:H$400,0)),H$2,)</f>
        <v>0</v>
      </c>
      <c r="I58" s="140">
        <f ca="1">IF(ISNUMBER(MATCH(DATEVALUE($A58),'recurring1_based on steps'!I$1:I$400,0)),I$2,)</f>
        <v>0</v>
      </c>
      <c r="J58" s="140">
        <f ca="1">IF(ISNUMBER(MATCH(DATEVALUE($A58),'recurring1_based on steps'!J$1:J$400,0)),J$2,)</f>
        <v>0</v>
      </c>
      <c r="K58" s="140">
        <f ca="1">IF(ISNUMBER(MATCH(DATEVALUE($A58),'recurring1_based on steps'!K$1:K$400,0)),K$2,)</f>
        <v>0</v>
      </c>
      <c r="L58" s="140">
        <f ca="1">IF(ISNUMBER(MATCH(DATEVALUE($A58),'recurring1_based on steps'!L$1:L$400,0)),L$2,)</f>
        <v>0</v>
      </c>
      <c r="M58" s="140">
        <f ca="1">IF(ISNUMBER(MATCH(DATEVALUE($A58),'recurring1_based on steps'!M$1:M$400,0)),M$2,)</f>
        <v>0</v>
      </c>
      <c r="N58" s="140">
        <f ca="1">IF(ISNUMBER(MATCH(DATEVALUE($A58),'recurring1_based on steps'!N$1:N$400,0)),N$2,)</f>
        <v>0</v>
      </c>
      <c r="O58" s="140">
        <f ca="1">IF(ISNUMBER(MATCH(DATEVALUE($A58),'recurring1_based on steps'!O$1:O$400,0)),O$2,)</f>
        <v>0</v>
      </c>
      <c r="P58" s="140">
        <f ca="1">IF(ISNUMBER(MATCH(DATEVALUE($A58),'recurring1_based on steps'!P$1:P$400,0)),P$2,)</f>
        <v>0</v>
      </c>
      <c r="Q58" s="140">
        <f ca="1">IF(ISNUMBER(MATCH(DATEVALUE($A58),'recurring1_based on steps'!Q$1:Q$400,0)),Q$2,)</f>
        <v>0</v>
      </c>
      <c r="R58" s="140">
        <f ca="1">IF(ISNUMBER(MATCH(DATEVALUE($A58),'recurring1_based on steps'!R$1:R$400,0)),R$2,)</f>
        <v>0</v>
      </c>
      <c r="S58" s="140">
        <f ca="1">IF(ISNUMBER(MATCH(DATEVALUE($A58),'recurring1_based on steps'!S$1:S$400,0)),S$2,)</f>
        <v>0</v>
      </c>
      <c r="T58" s="140">
        <f ca="1">IF(ISNUMBER(MATCH(DATEVALUE($A58),'recurring1_based on steps'!T$1:T$400,0)),T$2,)</f>
        <v>0</v>
      </c>
      <c r="U58" s="140">
        <f ca="1">IF(ISNUMBER(MATCH(DATEVALUE($A58),'recurring1_based on steps'!U$1:U$400,0)),U$2,)</f>
        <v>0</v>
      </c>
      <c r="V58" s="140">
        <f ca="1">IF(ISNUMBER(MATCH(DATEVALUE($A58),'recurring1_based on steps'!V$1:V$400,0)),V$2,)</f>
        <v>0</v>
      </c>
      <c r="W58" s="140">
        <f ca="1">IF(ISNUMBER(MATCH(DATEVALUE($A58),'recurring1_based on steps'!W$1:W$400,0)),W$2,)</f>
        <v>0</v>
      </c>
      <c r="X58" s="140">
        <f ca="1">IF(ISNUMBER(MATCH(DATEVALUE($A58),'recurring1_based on steps'!X$1:X$400,0)),X$2,)</f>
        <v>0</v>
      </c>
      <c r="Y58" s="140">
        <f ca="1">IF(ISNUMBER(MATCH(DATEVALUE($A58),'recurring1_based on steps'!Y$1:Y$400,0)),Y$2,)</f>
        <v>0</v>
      </c>
      <c r="Z58" s="140">
        <f ca="1">IF(ISNUMBER(MATCH(DATEVALUE($A58),'recurring1_based on steps'!Z$1:Z$400,0)),Z$2,)</f>
        <v>0</v>
      </c>
      <c r="AA58" s="140">
        <f ca="1">IF(ISNUMBER(MATCH(DATEVALUE($A58),'recurring1_based on steps'!AA$1:AA$400,0)),AA$2,)</f>
        <v>0</v>
      </c>
      <c r="AB58" s="140">
        <f ca="1">IF(ISNUMBER(MATCH(DATEVALUE($A58),'recurring1_based on steps'!AB$1:AB$400,0)),AB$2,)</f>
        <v>5.5401662049861494E-2</v>
      </c>
      <c r="AC58" s="140">
        <f ca="1">IF(ISNUMBER(MATCH(DATEVALUE($A58),'recurring1_based on steps'!AC$1:AC$400,0)),AC$2,)</f>
        <v>0</v>
      </c>
      <c r="AD58" s="140">
        <f ca="1">IF(ISNUMBER(MATCH(DATEVALUE($A58),'recurring1_based on steps'!AD$1:AD$400,0)),AD$2,)</f>
        <v>0</v>
      </c>
      <c r="AE58" s="140">
        <f ca="1">IF(ISNUMBER(MATCH(DATEVALUE($A58),'recurring1_based on steps'!AE$1:AE$400,0)),AE$2,)</f>
        <v>0</v>
      </c>
      <c r="AF58" s="140">
        <f ca="1">IF(ISNUMBER(MATCH(DATEVALUE($A58),'recurring1_based on steps'!AF$1:AF$400,0)),AF$2,)</f>
        <v>0</v>
      </c>
      <c r="AG58" s="140">
        <f ca="1">IF(ISNUMBER(MATCH(DATEVALUE($A58),'recurring1_based on steps'!AG$1:AG$400,0)),AG$2,)</f>
        <v>0</v>
      </c>
      <c r="AH58" s="140">
        <f ca="1">IF(ISNUMBER(MATCH(DATEVALUE($A58),'recurring1_based on steps'!AH$1:AH$400,0)),AH$2,)</f>
        <v>0</v>
      </c>
      <c r="AI58" s="140">
        <f ca="1">IF(ISNUMBER(MATCH(DATEVALUE($A58),'recurring1_based on steps'!AI$1:AI$400,0)),AI$2,)</f>
        <v>0</v>
      </c>
      <c r="AJ58" s="140">
        <f ca="1">IF(ISNUMBER(MATCH(DATEVALUE($A58),'recurring1_based on steps'!AJ$1:AJ$400,0)),AJ$2,)</f>
        <v>0</v>
      </c>
      <c r="AK58" s="140">
        <f ca="1">IF(ISNUMBER(MATCH(DATEVALUE($A58),'recurring1_based on steps'!AK$1:AK$400,0)),AK$2,)</f>
        <v>0</v>
      </c>
      <c r="AL58" s="140">
        <f ca="1">IF(ISNUMBER(MATCH(DATEVALUE($A58),'recurring1_based on steps'!AL$1:AL$400,0)),AL$2,)</f>
        <v>0</v>
      </c>
      <c r="AM58" s="140">
        <f ca="1">IF(ISNUMBER(MATCH(DATEVALUE($A58),'recurring1_based on steps'!AM$1:AM$400,0)),AM$2,)</f>
        <v>0</v>
      </c>
      <c r="AN58" s="140">
        <f ca="1">IF(ISNUMBER(MATCH(DATEVALUE($A58),'recurring1_based on steps'!AN$1:AN$400,0)),AN$2,)</f>
        <v>0</v>
      </c>
      <c r="AO58" s="140">
        <f ca="1">IF(ISNUMBER(MATCH(DATEVALUE($A58),'recurring1_based on steps'!AO$1:AO$400,0)),AO$2,)</f>
        <v>0</v>
      </c>
      <c r="AP58" s="140">
        <f ca="1">IF(ISNUMBER(MATCH(DATEVALUE($A58),'recurring1_based on steps'!AP$1:AP$400,0)),AP$2,)</f>
        <v>0</v>
      </c>
      <c r="AQ58" s="140">
        <f ca="1">IF(ISNUMBER(MATCH(DATEVALUE($A58),'recurring1_based on steps'!AQ$1:AQ$400,0)),AQ$2,)</f>
        <v>0</v>
      </c>
      <c r="AR58" s="140">
        <f ca="1">IF(ISNUMBER(MATCH(DATEVALUE($A58),'recurring1_based on steps'!AR$1:AR$400,0)),AR$2,)</f>
        <v>0</v>
      </c>
      <c r="AS58" s="140">
        <f ca="1">IF(ISNUMBER(MATCH(DATEVALUE($A58),'recurring1_based on steps'!AS$1:AS$400,0)),AS$2,)</f>
        <v>0</v>
      </c>
      <c r="AT58" s="140">
        <f ca="1">IF(ISNUMBER(MATCH(DATEVALUE($A58),'recurring1_based on steps'!AT$1:AT$400,0)),AT$2,)</f>
        <v>0</v>
      </c>
      <c r="AU58" s="140">
        <f ca="1">IF(ISNUMBER(MATCH(DATEVALUE($A58),'recurring1_based on steps'!AU$1:AU$400,0)),AU$2,)</f>
        <v>0</v>
      </c>
      <c r="AV58" s="140">
        <f ca="1">IF(ISNUMBER(MATCH(DATEVALUE($A58),'recurring1_based on steps'!AV$1:AV$400,0)),AV$2,)</f>
        <v>0</v>
      </c>
      <c r="AW58" s="140">
        <f ca="1">IF(ISNUMBER(MATCH(DATEVALUE($A58),'recurring1_based on steps'!AW$1:AW$400,0)),AW$2,)</f>
        <v>0</v>
      </c>
      <c r="AX58" s="140">
        <f ca="1">IF(ISNUMBER(MATCH(DATEVALUE($A58),'recurring1_based on steps'!AX$1:AX$400,0)),AX$2,)</f>
        <v>0</v>
      </c>
      <c r="AY58" s="140">
        <f ca="1">IF(ISNUMBER(MATCH(DATEVALUE($A58),'recurring1_based on steps'!AY$1:AY$400,0)),AY$2,)</f>
        <v>0</v>
      </c>
    </row>
    <row r="59" spans="1:51" x14ac:dyDescent="0.2">
      <c r="A59" s="29" t="str">
        <f t="shared" ca="1" si="0"/>
        <v>2025-05-22</v>
      </c>
      <c r="B59" s="140">
        <f ca="1">IF(ISNUMBER(MATCH(DATEVALUE($A59),'recurring1_based on steps'!B$1:B$400,0)),B$2,)</f>
        <v>0</v>
      </c>
      <c r="C59" s="140">
        <f ca="1">IF(ISNUMBER(MATCH(DATEVALUE($A59),'recurring1_based on steps'!C$1:C$400,0)),C$2,)</f>
        <v>0</v>
      </c>
      <c r="D59" s="140">
        <f ca="1">IF(ISNUMBER(MATCH(DATEVALUE($A59),'recurring1_based on steps'!D$1:D$400,0)),D$2,)</f>
        <v>0</v>
      </c>
      <c r="E59" s="140">
        <f ca="1">IF(ISNUMBER(MATCH(DATEVALUE($A59),'recurring1_based on steps'!E$1:E$400,0)),E$2,)</f>
        <v>0</v>
      </c>
      <c r="F59" s="140">
        <f ca="1">IF(ISNUMBER(MATCH(DATEVALUE($A59),'recurring1_based on steps'!F$1:F$400,0)),F$2,)</f>
        <v>0</v>
      </c>
      <c r="G59" s="140">
        <f ca="1">IF(ISNUMBER(MATCH(DATEVALUE($A59),'recurring1_based on steps'!G$1:G$400,0)),G$2,)</f>
        <v>0</v>
      </c>
      <c r="H59" s="140">
        <f ca="1">IF(ISNUMBER(MATCH(DATEVALUE($A59),'recurring1_based on steps'!H$1:H$400,0)),H$2,)</f>
        <v>0</v>
      </c>
      <c r="I59" s="140">
        <f ca="1">IF(ISNUMBER(MATCH(DATEVALUE($A59),'recurring1_based on steps'!I$1:I$400,0)),I$2,)</f>
        <v>0</v>
      </c>
      <c r="J59" s="140">
        <f ca="1">IF(ISNUMBER(MATCH(DATEVALUE($A59),'recurring1_based on steps'!J$1:J$400,0)),J$2,)</f>
        <v>0</v>
      </c>
      <c r="K59" s="140">
        <f ca="1">IF(ISNUMBER(MATCH(DATEVALUE($A59),'recurring1_based on steps'!K$1:K$400,0)),K$2,)</f>
        <v>0</v>
      </c>
      <c r="L59" s="140">
        <f ca="1">IF(ISNUMBER(MATCH(DATEVALUE($A59),'recurring1_based on steps'!L$1:L$400,0)),L$2,)</f>
        <v>0</v>
      </c>
      <c r="M59" s="140">
        <f ca="1">IF(ISNUMBER(MATCH(DATEVALUE($A59),'recurring1_based on steps'!M$1:M$400,0)),M$2,)</f>
        <v>0</v>
      </c>
      <c r="N59" s="140">
        <f ca="1">IF(ISNUMBER(MATCH(DATEVALUE($A59),'recurring1_based on steps'!N$1:N$400,0)),N$2,)</f>
        <v>0</v>
      </c>
      <c r="O59" s="140">
        <f ca="1">IF(ISNUMBER(MATCH(DATEVALUE($A59),'recurring1_based on steps'!O$1:O$400,0)),O$2,)</f>
        <v>0</v>
      </c>
      <c r="P59" s="140">
        <f ca="1">IF(ISNUMBER(MATCH(DATEVALUE($A59),'recurring1_based on steps'!P$1:P$400,0)),P$2,)</f>
        <v>0</v>
      </c>
      <c r="Q59" s="140">
        <f ca="1">IF(ISNUMBER(MATCH(DATEVALUE($A59),'recurring1_based on steps'!Q$1:Q$400,0)),Q$2,)</f>
        <v>0</v>
      </c>
      <c r="R59" s="140">
        <f ca="1">IF(ISNUMBER(MATCH(DATEVALUE($A59),'recurring1_based on steps'!R$1:R$400,0)),R$2,)</f>
        <v>0</v>
      </c>
      <c r="S59" s="140">
        <f ca="1">IF(ISNUMBER(MATCH(DATEVALUE($A59),'recurring1_based on steps'!S$1:S$400,0)),S$2,)</f>
        <v>0</v>
      </c>
      <c r="T59" s="140">
        <f ca="1">IF(ISNUMBER(MATCH(DATEVALUE($A59),'recurring1_based on steps'!T$1:T$400,0)),T$2,)</f>
        <v>0</v>
      </c>
      <c r="U59" s="140">
        <f ca="1">IF(ISNUMBER(MATCH(DATEVALUE($A59),'recurring1_based on steps'!U$1:U$400,0)),U$2,)</f>
        <v>0</v>
      </c>
      <c r="V59" s="140">
        <f ca="1">IF(ISNUMBER(MATCH(DATEVALUE($A59),'recurring1_based on steps'!V$1:V$400,0)),V$2,)</f>
        <v>0</v>
      </c>
      <c r="W59" s="140">
        <f ca="1">IF(ISNUMBER(MATCH(DATEVALUE($A59),'recurring1_based on steps'!W$1:W$400,0)),W$2,)</f>
        <v>0</v>
      </c>
      <c r="X59" s="140">
        <f ca="1">IF(ISNUMBER(MATCH(DATEVALUE($A59),'recurring1_based on steps'!X$1:X$400,0)),X$2,)</f>
        <v>0</v>
      </c>
      <c r="Y59" s="140">
        <f ca="1">IF(ISNUMBER(MATCH(DATEVALUE($A59),'recurring1_based on steps'!Y$1:Y$400,0)),Y$2,)</f>
        <v>0</v>
      </c>
      <c r="Z59" s="140">
        <f ca="1">IF(ISNUMBER(MATCH(DATEVALUE($A59),'recurring1_based on steps'!Z$1:Z$400,0)),Z$2,)</f>
        <v>0</v>
      </c>
      <c r="AA59" s="140">
        <f ca="1">IF(ISNUMBER(MATCH(DATEVALUE($A59),'recurring1_based on steps'!AA$1:AA$400,0)),AA$2,)</f>
        <v>0</v>
      </c>
      <c r="AB59" s="140">
        <f ca="1">IF(ISNUMBER(MATCH(DATEVALUE($A59),'recurring1_based on steps'!AB$1:AB$400,0)),AB$2,)</f>
        <v>5.5401662049861494E-2</v>
      </c>
      <c r="AC59" s="140">
        <f ca="1">IF(ISNUMBER(MATCH(DATEVALUE($A59),'recurring1_based on steps'!AC$1:AC$400,0)),AC$2,)</f>
        <v>0</v>
      </c>
      <c r="AD59" s="140">
        <f ca="1">IF(ISNUMBER(MATCH(DATEVALUE($A59),'recurring1_based on steps'!AD$1:AD$400,0)),AD$2,)</f>
        <v>0</v>
      </c>
      <c r="AE59" s="140">
        <f ca="1">IF(ISNUMBER(MATCH(DATEVALUE($A59),'recurring1_based on steps'!AE$1:AE$400,0)),AE$2,)</f>
        <v>0</v>
      </c>
      <c r="AF59" s="140">
        <f ca="1">IF(ISNUMBER(MATCH(DATEVALUE($A59),'recurring1_based on steps'!AF$1:AF$400,0)),AF$2,)</f>
        <v>0</v>
      </c>
      <c r="AG59" s="140">
        <f ca="1">IF(ISNUMBER(MATCH(DATEVALUE($A59),'recurring1_based on steps'!AG$1:AG$400,0)),AG$2,)</f>
        <v>0</v>
      </c>
      <c r="AH59" s="140">
        <f ca="1">IF(ISNUMBER(MATCH(DATEVALUE($A59),'recurring1_based on steps'!AH$1:AH$400,0)),AH$2,)</f>
        <v>0</v>
      </c>
      <c r="AI59" s="140">
        <f ca="1">IF(ISNUMBER(MATCH(DATEVALUE($A59),'recurring1_based on steps'!AI$1:AI$400,0)),AI$2,)</f>
        <v>0</v>
      </c>
      <c r="AJ59" s="140">
        <f ca="1">IF(ISNUMBER(MATCH(DATEVALUE($A59),'recurring1_based on steps'!AJ$1:AJ$400,0)),AJ$2,)</f>
        <v>0</v>
      </c>
      <c r="AK59" s="140">
        <f ca="1">IF(ISNUMBER(MATCH(DATEVALUE($A59),'recurring1_based on steps'!AK$1:AK$400,0)),AK$2,)</f>
        <v>0</v>
      </c>
      <c r="AL59" s="140">
        <f ca="1">IF(ISNUMBER(MATCH(DATEVALUE($A59),'recurring1_based on steps'!AL$1:AL$400,0)),AL$2,)</f>
        <v>0</v>
      </c>
      <c r="AM59" s="140">
        <f ca="1">IF(ISNUMBER(MATCH(DATEVALUE($A59),'recurring1_based on steps'!AM$1:AM$400,0)),AM$2,)</f>
        <v>0</v>
      </c>
      <c r="AN59" s="140">
        <f ca="1">IF(ISNUMBER(MATCH(DATEVALUE($A59),'recurring1_based on steps'!AN$1:AN$400,0)),AN$2,)</f>
        <v>0</v>
      </c>
      <c r="AO59" s="140">
        <f ca="1">IF(ISNUMBER(MATCH(DATEVALUE($A59),'recurring1_based on steps'!AO$1:AO$400,0)),AO$2,)</f>
        <v>0</v>
      </c>
      <c r="AP59" s="140">
        <f ca="1">IF(ISNUMBER(MATCH(DATEVALUE($A59),'recurring1_based on steps'!AP$1:AP$400,0)),AP$2,)</f>
        <v>0</v>
      </c>
      <c r="AQ59" s="140">
        <f ca="1">IF(ISNUMBER(MATCH(DATEVALUE($A59),'recurring1_based on steps'!AQ$1:AQ$400,0)),AQ$2,)</f>
        <v>0</v>
      </c>
      <c r="AR59" s="140">
        <f ca="1">IF(ISNUMBER(MATCH(DATEVALUE($A59),'recurring1_based on steps'!AR$1:AR$400,0)),AR$2,)</f>
        <v>0</v>
      </c>
      <c r="AS59" s="140">
        <f ca="1">IF(ISNUMBER(MATCH(DATEVALUE($A59),'recurring1_based on steps'!AS$1:AS$400,0)),AS$2,)</f>
        <v>0</v>
      </c>
      <c r="AT59" s="140">
        <f ca="1">IF(ISNUMBER(MATCH(DATEVALUE($A59),'recurring1_based on steps'!AT$1:AT$400,0)),AT$2,)</f>
        <v>0</v>
      </c>
      <c r="AU59" s="140">
        <f ca="1">IF(ISNUMBER(MATCH(DATEVALUE($A59),'recurring1_based on steps'!AU$1:AU$400,0)),AU$2,)</f>
        <v>0</v>
      </c>
      <c r="AV59" s="140">
        <f ca="1">IF(ISNUMBER(MATCH(DATEVALUE($A59),'recurring1_based on steps'!AV$1:AV$400,0)),AV$2,)</f>
        <v>0</v>
      </c>
      <c r="AW59" s="140">
        <f ca="1">IF(ISNUMBER(MATCH(DATEVALUE($A59),'recurring1_based on steps'!AW$1:AW$400,0)),AW$2,)</f>
        <v>0</v>
      </c>
      <c r="AX59" s="140">
        <f ca="1">IF(ISNUMBER(MATCH(DATEVALUE($A59),'recurring1_based on steps'!AX$1:AX$400,0)),AX$2,)</f>
        <v>0</v>
      </c>
      <c r="AY59" s="140">
        <f ca="1">IF(ISNUMBER(MATCH(DATEVALUE($A59),'recurring1_based on steps'!AY$1:AY$400,0)),AY$2,)</f>
        <v>0</v>
      </c>
    </row>
    <row r="60" spans="1:51" x14ac:dyDescent="0.2">
      <c r="A60" s="29" t="str">
        <f t="shared" ca="1" si="0"/>
        <v>2025-05-23</v>
      </c>
      <c r="B60" s="140">
        <f ca="1">IF(ISNUMBER(MATCH(DATEVALUE($A60),'recurring1_based on steps'!B$1:B$400,0)),B$2,)</f>
        <v>0</v>
      </c>
      <c r="C60" s="140">
        <f ca="1">IF(ISNUMBER(MATCH(DATEVALUE($A60),'recurring1_based on steps'!C$1:C$400,0)),C$2,)</f>
        <v>0</v>
      </c>
      <c r="D60" s="140">
        <f ca="1">IF(ISNUMBER(MATCH(DATEVALUE($A60),'recurring1_based on steps'!D$1:D$400,0)),D$2,)</f>
        <v>0</v>
      </c>
      <c r="E60" s="140">
        <f ca="1">IF(ISNUMBER(MATCH(DATEVALUE($A60),'recurring1_based on steps'!E$1:E$400,0)),E$2,)</f>
        <v>0</v>
      </c>
      <c r="F60" s="140">
        <f ca="1">IF(ISNUMBER(MATCH(DATEVALUE($A60),'recurring1_based on steps'!F$1:F$400,0)),F$2,)</f>
        <v>0</v>
      </c>
      <c r="G60" s="140">
        <f ca="1">IF(ISNUMBER(MATCH(DATEVALUE($A60),'recurring1_based on steps'!G$1:G$400,0)),G$2,)</f>
        <v>0</v>
      </c>
      <c r="H60" s="140">
        <f ca="1">IF(ISNUMBER(MATCH(DATEVALUE($A60),'recurring1_based on steps'!H$1:H$400,0)),H$2,)</f>
        <v>0</v>
      </c>
      <c r="I60" s="140">
        <f ca="1">IF(ISNUMBER(MATCH(DATEVALUE($A60),'recurring1_based on steps'!I$1:I$400,0)),I$2,)</f>
        <v>0</v>
      </c>
      <c r="J60" s="140">
        <f ca="1">IF(ISNUMBER(MATCH(DATEVALUE($A60),'recurring1_based on steps'!J$1:J$400,0)),J$2,)</f>
        <v>0</v>
      </c>
      <c r="K60" s="140">
        <f ca="1">IF(ISNUMBER(MATCH(DATEVALUE($A60),'recurring1_based on steps'!K$1:K$400,0)),K$2,)</f>
        <v>0</v>
      </c>
      <c r="L60" s="140">
        <f ca="1">IF(ISNUMBER(MATCH(DATEVALUE($A60),'recurring1_based on steps'!L$1:L$400,0)),L$2,)</f>
        <v>0</v>
      </c>
      <c r="M60" s="140">
        <f ca="1">IF(ISNUMBER(MATCH(DATEVALUE($A60),'recurring1_based on steps'!M$1:M$400,0)),M$2,)</f>
        <v>0</v>
      </c>
      <c r="N60" s="140">
        <f ca="1">IF(ISNUMBER(MATCH(DATEVALUE($A60),'recurring1_based on steps'!N$1:N$400,0)),N$2,)</f>
        <v>0</v>
      </c>
      <c r="O60" s="140">
        <f ca="1">IF(ISNUMBER(MATCH(DATEVALUE($A60),'recurring1_based on steps'!O$1:O$400,0)),O$2,)</f>
        <v>0</v>
      </c>
      <c r="P60" s="140">
        <f ca="1">IF(ISNUMBER(MATCH(DATEVALUE($A60),'recurring1_based on steps'!P$1:P$400,0)),P$2,)</f>
        <v>0</v>
      </c>
      <c r="Q60" s="140">
        <f ca="1">IF(ISNUMBER(MATCH(DATEVALUE($A60),'recurring1_based on steps'!Q$1:Q$400,0)),Q$2,)</f>
        <v>0</v>
      </c>
      <c r="R60" s="140">
        <f ca="1">IF(ISNUMBER(MATCH(DATEVALUE($A60),'recurring1_based on steps'!R$1:R$400,0)),R$2,)</f>
        <v>0</v>
      </c>
      <c r="S60" s="140">
        <f ca="1">IF(ISNUMBER(MATCH(DATEVALUE($A60),'recurring1_based on steps'!S$1:S$400,0)),S$2,)</f>
        <v>0</v>
      </c>
      <c r="T60" s="140">
        <f ca="1">IF(ISNUMBER(MATCH(DATEVALUE($A60),'recurring1_based on steps'!T$1:T$400,0)),T$2,)</f>
        <v>0</v>
      </c>
      <c r="U60" s="140">
        <f ca="1">IF(ISNUMBER(MATCH(DATEVALUE($A60),'recurring1_based on steps'!U$1:U$400,0)),U$2,)</f>
        <v>0</v>
      </c>
      <c r="V60" s="140">
        <f ca="1">IF(ISNUMBER(MATCH(DATEVALUE($A60),'recurring1_based on steps'!V$1:V$400,0)),V$2,)</f>
        <v>0</v>
      </c>
      <c r="W60" s="140">
        <f ca="1">IF(ISNUMBER(MATCH(DATEVALUE($A60),'recurring1_based on steps'!W$1:W$400,0)),W$2,)</f>
        <v>0</v>
      </c>
      <c r="X60" s="140">
        <f ca="1">IF(ISNUMBER(MATCH(DATEVALUE($A60),'recurring1_based on steps'!X$1:X$400,0)),X$2,)</f>
        <v>0</v>
      </c>
      <c r="Y60" s="140">
        <f ca="1">IF(ISNUMBER(MATCH(DATEVALUE($A60),'recurring1_based on steps'!Y$1:Y$400,0)),Y$2,)</f>
        <v>0</v>
      </c>
      <c r="Z60" s="140">
        <f ca="1">IF(ISNUMBER(MATCH(DATEVALUE($A60),'recurring1_based on steps'!Z$1:Z$400,0)),Z$2,)</f>
        <v>0</v>
      </c>
      <c r="AA60" s="140">
        <f ca="1">IF(ISNUMBER(MATCH(DATEVALUE($A60),'recurring1_based on steps'!AA$1:AA$400,0)),AA$2,)</f>
        <v>0</v>
      </c>
      <c r="AB60" s="140">
        <f ca="1">IF(ISNUMBER(MATCH(DATEVALUE($A60),'recurring1_based on steps'!AB$1:AB$400,0)),AB$2,)</f>
        <v>5.5401662049861494E-2</v>
      </c>
      <c r="AC60" s="140">
        <f ca="1">IF(ISNUMBER(MATCH(DATEVALUE($A60),'recurring1_based on steps'!AC$1:AC$400,0)),AC$2,)</f>
        <v>0</v>
      </c>
      <c r="AD60" s="140">
        <f ca="1">IF(ISNUMBER(MATCH(DATEVALUE($A60),'recurring1_based on steps'!AD$1:AD$400,0)),AD$2,)</f>
        <v>0</v>
      </c>
      <c r="AE60" s="140">
        <f ca="1">IF(ISNUMBER(MATCH(DATEVALUE($A60),'recurring1_based on steps'!AE$1:AE$400,0)),AE$2,)</f>
        <v>0</v>
      </c>
      <c r="AF60" s="140">
        <f ca="1">IF(ISNUMBER(MATCH(DATEVALUE($A60),'recurring1_based on steps'!AF$1:AF$400,0)),AF$2,)</f>
        <v>0</v>
      </c>
      <c r="AG60" s="140">
        <f ca="1">IF(ISNUMBER(MATCH(DATEVALUE($A60),'recurring1_based on steps'!AG$1:AG$400,0)),AG$2,)</f>
        <v>0</v>
      </c>
      <c r="AH60" s="140">
        <f ca="1">IF(ISNUMBER(MATCH(DATEVALUE($A60),'recurring1_based on steps'!AH$1:AH$400,0)),AH$2,)</f>
        <v>0</v>
      </c>
      <c r="AI60" s="140">
        <f ca="1">IF(ISNUMBER(MATCH(DATEVALUE($A60),'recurring1_based on steps'!AI$1:AI$400,0)),AI$2,)</f>
        <v>0</v>
      </c>
      <c r="AJ60" s="140">
        <f ca="1">IF(ISNUMBER(MATCH(DATEVALUE($A60),'recurring1_based on steps'!AJ$1:AJ$400,0)),AJ$2,)</f>
        <v>0</v>
      </c>
      <c r="AK60" s="140">
        <f ca="1">IF(ISNUMBER(MATCH(DATEVALUE($A60),'recurring1_based on steps'!AK$1:AK$400,0)),AK$2,)</f>
        <v>0</v>
      </c>
      <c r="AL60" s="140">
        <f ca="1">IF(ISNUMBER(MATCH(DATEVALUE($A60),'recurring1_based on steps'!AL$1:AL$400,0)),AL$2,)</f>
        <v>0</v>
      </c>
      <c r="AM60" s="140">
        <f ca="1">IF(ISNUMBER(MATCH(DATEVALUE($A60),'recurring1_based on steps'!AM$1:AM$400,0)),AM$2,)</f>
        <v>0</v>
      </c>
      <c r="AN60" s="140">
        <f ca="1">IF(ISNUMBER(MATCH(DATEVALUE($A60),'recurring1_based on steps'!AN$1:AN$400,0)),AN$2,)</f>
        <v>0</v>
      </c>
      <c r="AO60" s="140">
        <f ca="1">IF(ISNUMBER(MATCH(DATEVALUE($A60),'recurring1_based on steps'!AO$1:AO$400,0)),AO$2,)</f>
        <v>0</v>
      </c>
      <c r="AP60" s="140">
        <f ca="1">IF(ISNUMBER(MATCH(DATEVALUE($A60),'recurring1_based on steps'!AP$1:AP$400,0)),AP$2,)</f>
        <v>0</v>
      </c>
      <c r="AQ60" s="140">
        <f ca="1">IF(ISNUMBER(MATCH(DATEVALUE($A60),'recurring1_based on steps'!AQ$1:AQ$400,0)),AQ$2,)</f>
        <v>0</v>
      </c>
      <c r="AR60" s="140">
        <f ca="1">IF(ISNUMBER(MATCH(DATEVALUE($A60),'recurring1_based on steps'!AR$1:AR$400,0)),AR$2,)</f>
        <v>0</v>
      </c>
      <c r="AS60" s="140">
        <f ca="1">IF(ISNUMBER(MATCH(DATEVALUE($A60),'recurring1_based on steps'!AS$1:AS$400,0)),AS$2,)</f>
        <v>0</v>
      </c>
      <c r="AT60" s="140">
        <f ca="1">IF(ISNUMBER(MATCH(DATEVALUE($A60),'recurring1_based on steps'!AT$1:AT$400,0)),AT$2,)</f>
        <v>0</v>
      </c>
      <c r="AU60" s="140">
        <f ca="1">IF(ISNUMBER(MATCH(DATEVALUE($A60),'recurring1_based on steps'!AU$1:AU$400,0)),AU$2,)</f>
        <v>0</v>
      </c>
      <c r="AV60" s="140">
        <f ca="1">IF(ISNUMBER(MATCH(DATEVALUE($A60),'recurring1_based on steps'!AV$1:AV$400,0)),AV$2,)</f>
        <v>0</v>
      </c>
      <c r="AW60" s="140">
        <f ca="1">IF(ISNUMBER(MATCH(DATEVALUE($A60),'recurring1_based on steps'!AW$1:AW$400,0)),AW$2,)</f>
        <v>0</v>
      </c>
      <c r="AX60" s="140">
        <f ca="1">IF(ISNUMBER(MATCH(DATEVALUE($A60),'recurring1_based on steps'!AX$1:AX$400,0)),AX$2,)</f>
        <v>0</v>
      </c>
      <c r="AY60" s="140">
        <f ca="1">IF(ISNUMBER(MATCH(DATEVALUE($A60),'recurring1_based on steps'!AY$1:AY$400,0)),AY$2,)</f>
        <v>0</v>
      </c>
    </row>
    <row r="61" spans="1:51" x14ac:dyDescent="0.2">
      <c r="A61" s="29" t="str">
        <f t="shared" ca="1" si="0"/>
        <v>2025-05-24</v>
      </c>
      <c r="B61" s="140">
        <f ca="1">IF(ISNUMBER(MATCH(DATEVALUE($A61),'recurring1_based on steps'!B$1:B$400,0)),B$2,)</f>
        <v>0</v>
      </c>
      <c r="C61" s="140">
        <f ca="1">IF(ISNUMBER(MATCH(DATEVALUE($A61),'recurring1_based on steps'!C$1:C$400,0)),C$2,)</f>
        <v>0</v>
      </c>
      <c r="D61" s="140">
        <f ca="1">IF(ISNUMBER(MATCH(DATEVALUE($A61),'recurring1_based on steps'!D$1:D$400,0)),D$2,)</f>
        <v>0</v>
      </c>
      <c r="E61" s="140">
        <f ca="1">IF(ISNUMBER(MATCH(DATEVALUE($A61),'recurring1_based on steps'!E$1:E$400,0)),E$2,)</f>
        <v>0</v>
      </c>
      <c r="F61" s="140">
        <f ca="1">IF(ISNUMBER(MATCH(DATEVALUE($A61),'recurring1_based on steps'!F$1:F$400,0)),F$2,)</f>
        <v>0</v>
      </c>
      <c r="G61" s="140">
        <f ca="1">IF(ISNUMBER(MATCH(DATEVALUE($A61),'recurring1_based on steps'!G$1:G$400,0)),G$2,)</f>
        <v>0</v>
      </c>
      <c r="H61" s="140">
        <f ca="1">IF(ISNUMBER(MATCH(DATEVALUE($A61),'recurring1_based on steps'!H$1:H$400,0)),H$2,)</f>
        <v>0</v>
      </c>
      <c r="I61" s="140">
        <f ca="1">IF(ISNUMBER(MATCH(DATEVALUE($A61),'recurring1_based on steps'!I$1:I$400,0)),I$2,)</f>
        <v>0</v>
      </c>
      <c r="J61" s="140">
        <f ca="1">IF(ISNUMBER(MATCH(DATEVALUE($A61),'recurring1_based on steps'!J$1:J$400,0)),J$2,)</f>
        <v>0</v>
      </c>
      <c r="K61" s="140">
        <f ca="1">IF(ISNUMBER(MATCH(DATEVALUE($A61),'recurring1_based on steps'!K$1:K$400,0)),K$2,)</f>
        <v>0</v>
      </c>
      <c r="L61" s="140">
        <f ca="1">IF(ISNUMBER(MATCH(DATEVALUE($A61),'recurring1_based on steps'!L$1:L$400,0)),L$2,)</f>
        <v>0</v>
      </c>
      <c r="M61" s="140">
        <f ca="1">IF(ISNUMBER(MATCH(DATEVALUE($A61),'recurring1_based on steps'!M$1:M$400,0)),M$2,)</f>
        <v>0</v>
      </c>
      <c r="N61" s="140">
        <f ca="1">IF(ISNUMBER(MATCH(DATEVALUE($A61),'recurring1_based on steps'!N$1:N$400,0)),N$2,)</f>
        <v>0</v>
      </c>
      <c r="O61" s="140">
        <f ca="1">IF(ISNUMBER(MATCH(DATEVALUE($A61),'recurring1_based on steps'!O$1:O$400,0)),O$2,)</f>
        <v>0</v>
      </c>
      <c r="P61" s="140">
        <f ca="1">IF(ISNUMBER(MATCH(DATEVALUE($A61),'recurring1_based on steps'!P$1:P$400,0)),P$2,)</f>
        <v>0</v>
      </c>
      <c r="Q61" s="140">
        <f ca="1">IF(ISNUMBER(MATCH(DATEVALUE($A61),'recurring1_based on steps'!Q$1:Q$400,0)),Q$2,)</f>
        <v>100</v>
      </c>
      <c r="R61" s="140">
        <f ca="1">IF(ISNUMBER(MATCH(DATEVALUE($A61),'recurring1_based on steps'!R$1:R$400,0)),R$2,)</f>
        <v>100</v>
      </c>
      <c r="S61" s="140">
        <f ca="1">IF(ISNUMBER(MATCH(DATEVALUE($A61),'recurring1_based on steps'!S$1:S$400,0)),S$2,)</f>
        <v>0</v>
      </c>
      <c r="T61" s="140">
        <f ca="1">IF(ISNUMBER(MATCH(DATEVALUE($A61),'recurring1_based on steps'!T$1:T$400,0)),T$2,)</f>
        <v>0</v>
      </c>
      <c r="U61" s="140">
        <f ca="1">IF(ISNUMBER(MATCH(DATEVALUE($A61),'recurring1_based on steps'!U$1:U$400,0)),U$2,)</f>
        <v>0</v>
      </c>
      <c r="V61" s="140">
        <f ca="1">IF(ISNUMBER(MATCH(DATEVALUE($A61),'recurring1_based on steps'!V$1:V$400,0)),V$2,)</f>
        <v>0</v>
      </c>
      <c r="W61" s="140">
        <f ca="1">IF(ISNUMBER(MATCH(DATEVALUE($A61),'recurring1_based on steps'!W$1:W$400,0)),W$2,)</f>
        <v>0</v>
      </c>
      <c r="X61" s="140">
        <f ca="1">IF(ISNUMBER(MATCH(DATEVALUE($A61),'recurring1_based on steps'!X$1:X$400,0)),X$2,)</f>
        <v>0</v>
      </c>
      <c r="Y61" s="140">
        <f ca="1">IF(ISNUMBER(MATCH(DATEVALUE($A61),'recurring1_based on steps'!Y$1:Y$400,0)),Y$2,)</f>
        <v>0</v>
      </c>
      <c r="Z61" s="140">
        <f ca="1">IF(ISNUMBER(MATCH(DATEVALUE($A61),'recurring1_based on steps'!Z$1:Z$400,0)),Z$2,)</f>
        <v>0</v>
      </c>
      <c r="AA61" s="140">
        <f ca="1">IF(ISNUMBER(MATCH(DATEVALUE($A61),'recurring1_based on steps'!AA$1:AA$400,0)),AA$2,)</f>
        <v>0</v>
      </c>
      <c r="AB61" s="140">
        <f ca="1">IF(ISNUMBER(MATCH(DATEVALUE($A61),'recurring1_based on steps'!AB$1:AB$400,0)),AB$2,)</f>
        <v>5.5401662049861494E-2</v>
      </c>
      <c r="AC61" s="140">
        <f ca="1">IF(ISNUMBER(MATCH(DATEVALUE($A61),'recurring1_based on steps'!AC$1:AC$400,0)),AC$2,)</f>
        <v>0</v>
      </c>
      <c r="AD61" s="140">
        <f ca="1">IF(ISNUMBER(MATCH(DATEVALUE($A61),'recurring1_based on steps'!AD$1:AD$400,0)),AD$2,)</f>
        <v>0</v>
      </c>
      <c r="AE61" s="140">
        <f ca="1">IF(ISNUMBER(MATCH(DATEVALUE($A61),'recurring1_based on steps'!AE$1:AE$400,0)),AE$2,)</f>
        <v>0</v>
      </c>
      <c r="AF61" s="140">
        <f ca="1">IF(ISNUMBER(MATCH(DATEVALUE($A61),'recurring1_based on steps'!AF$1:AF$400,0)),AF$2,)</f>
        <v>0</v>
      </c>
      <c r="AG61" s="140">
        <f ca="1">IF(ISNUMBER(MATCH(DATEVALUE($A61),'recurring1_based on steps'!AG$1:AG$400,0)),AG$2,)</f>
        <v>0</v>
      </c>
      <c r="AH61" s="140">
        <f ca="1">IF(ISNUMBER(MATCH(DATEVALUE($A61),'recurring1_based on steps'!AH$1:AH$400,0)),AH$2,)</f>
        <v>0</v>
      </c>
      <c r="AI61" s="140">
        <f ca="1">IF(ISNUMBER(MATCH(DATEVALUE($A61),'recurring1_based on steps'!AI$1:AI$400,0)),AI$2,)</f>
        <v>0</v>
      </c>
      <c r="AJ61" s="140">
        <f ca="1">IF(ISNUMBER(MATCH(DATEVALUE($A61),'recurring1_based on steps'!AJ$1:AJ$400,0)),AJ$2,)</f>
        <v>0</v>
      </c>
      <c r="AK61" s="140">
        <f ca="1">IF(ISNUMBER(MATCH(DATEVALUE($A61),'recurring1_based on steps'!AK$1:AK$400,0)),AK$2,)</f>
        <v>0</v>
      </c>
      <c r="AL61" s="140">
        <f ca="1">IF(ISNUMBER(MATCH(DATEVALUE($A61),'recurring1_based on steps'!AL$1:AL$400,0)),AL$2,)</f>
        <v>0</v>
      </c>
      <c r="AM61" s="140">
        <f ca="1">IF(ISNUMBER(MATCH(DATEVALUE($A61),'recurring1_based on steps'!AM$1:AM$400,0)),AM$2,)</f>
        <v>0</v>
      </c>
      <c r="AN61" s="140">
        <f ca="1">IF(ISNUMBER(MATCH(DATEVALUE($A61),'recurring1_based on steps'!AN$1:AN$400,0)),AN$2,)</f>
        <v>0</v>
      </c>
      <c r="AO61" s="140">
        <f ca="1">IF(ISNUMBER(MATCH(DATEVALUE($A61),'recurring1_based on steps'!AO$1:AO$400,0)),AO$2,)</f>
        <v>0</v>
      </c>
      <c r="AP61" s="140">
        <f ca="1">IF(ISNUMBER(MATCH(DATEVALUE($A61),'recurring1_based on steps'!AP$1:AP$400,0)),AP$2,)</f>
        <v>0</v>
      </c>
      <c r="AQ61" s="140">
        <f ca="1">IF(ISNUMBER(MATCH(DATEVALUE($A61),'recurring1_based on steps'!AQ$1:AQ$400,0)),AQ$2,)</f>
        <v>0</v>
      </c>
      <c r="AR61" s="140">
        <f ca="1">IF(ISNUMBER(MATCH(DATEVALUE($A61),'recurring1_based on steps'!AR$1:AR$400,0)),AR$2,)</f>
        <v>0</v>
      </c>
      <c r="AS61" s="140">
        <f ca="1">IF(ISNUMBER(MATCH(DATEVALUE($A61),'recurring1_based on steps'!AS$1:AS$400,0)),AS$2,)</f>
        <v>0</v>
      </c>
      <c r="AT61" s="140">
        <f ca="1">IF(ISNUMBER(MATCH(DATEVALUE($A61),'recurring1_based on steps'!AT$1:AT$400,0)),AT$2,)</f>
        <v>0</v>
      </c>
      <c r="AU61" s="140">
        <f ca="1">IF(ISNUMBER(MATCH(DATEVALUE($A61),'recurring1_based on steps'!AU$1:AU$400,0)),AU$2,)</f>
        <v>0</v>
      </c>
      <c r="AV61" s="140">
        <f ca="1">IF(ISNUMBER(MATCH(DATEVALUE($A61),'recurring1_based on steps'!AV$1:AV$400,0)),AV$2,)</f>
        <v>0</v>
      </c>
      <c r="AW61" s="140">
        <f ca="1">IF(ISNUMBER(MATCH(DATEVALUE($A61),'recurring1_based on steps'!AW$1:AW$400,0)),AW$2,)</f>
        <v>0</v>
      </c>
      <c r="AX61" s="140">
        <f ca="1">IF(ISNUMBER(MATCH(DATEVALUE($A61),'recurring1_based on steps'!AX$1:AX$400,0)),AX$2,)</f>
        <v>0</v>
      </c>
      <c r="AY61" s="140">
        <f ca="1">IF(ISNUMBER(MATCH(DATEVALUE($A61),'recurring1_based on steps'!AY$1:AY$400,0)),AY$2,)</f>
        <v>0</v>
      </c>
    </row>
    <row r="62" spans="1:51" x14ac:dyDescent="0.2">
      <c r="A62" s="29" t="str">
        <f t="shared" ca="1" si="0"/>
        <v>2025-05-25</v>
      </c>
      <c r="B62" s="140">
        <f ca="1">IF(ISNUMBER(MATCH(DATEVALUE($A62),'recurring1_based on steps'!B$1:B$400,0)),B$2,)</f>
        <v>0</v>
      </c>
      <c r="C62" s="140">
        <f ca="1">IF(ISNUMBER(MATCH(DATEVALUE($A62),'recurring1_based on steps'!C$1:C$400,0)),C$2,)</f>
        <v>0</v>
      </c>
      <c r="D62" s="140">
        <f ca="1">IF(ISNUMBER(MATCH(DATEVALUE($A62),'recurring1_based on steps'!D$1:D$400,0)),D$2,)</f>
        <v>0</v>
      </c>
      <c r="E62" s="140">
        <f ca="1">IF(ISNUMBER(MATCH(DATEVALUE($A62),'recurring1_based on steps'!E$1:E$400,0)),E$2,)</f>
        <v>0</v>
      </c>
      <c r="F62" s="140">
        <f ca="1">IF(ISNUMBER(MATCH(DATEVALUE($A62),'recurring1_based on steps'!F$1:F$400,0)),F$2,)</f>
        <v>0</v>
      </c>
      <c r="G62" s="140">
        <f ca="1">IF(ISNUMBER(MATCH(DATEVALUE($A62),'recurring1_based on steps'!G$1:G$400,0)),G$2,)</f>
        <v>0</v>
      </c>
      <c r="H62" s="140">
        <f ca="1">IF(ISNUMBER(MATCH(DATEVALUE($A62),'recurring1_based on steps'!H$1:H$400,0)),H$2,)</f>
        <v>0</v>
      </c>
      <c r="I62" s="140">
        <f ca="1">IF(ISNUMBER(MATCH(DATEVALUE($A62),'recurring1_based on steps'!I$1:I$400,0)),I$2,)</f>
        <v>0</v>
      </c>
      <c r="J62" s="140">
        <f ca="1">IF(ISNUMBER(MATCH(DATEVALUE($A62),'recurring1_based on steps'!J$1:J$400,0)),J$2,)</f>
        <v>0</v>
      </c>
      <c r="K62" s="140">
        <f ca="1">IF(ISNUMBER(MATCH(DATEVALUE($A62),'recurring1_based on steps'!K$1:K$400,0)),K$2,)</f>
        <v>50</v>
      </c>
      <c r="L62" s="140">
        <f ca="1">IF(ISNUMBER(MATCH(DATEVALUE($A62),'recurring1_based on steps'!L$1:L$400,0)),L$2,)</f>
        <v>0</v>
      </c>
      <c r="M62" s="140">
        <f ca="1">IF(ISNUMBER(MATCH(DATEVALUE($A62),'recurring1_based on steps'!M$1:M$400,0)),M$2,)</f>
        <v>0</v>
      </c>
      <c r="N62" s="140">
        <f ca="1">IF(ISNUMBER(MATCH(DATEVALUE($A62),'recurring1_based on steps'!N$1:N$400,0)),N$2,)</f>
        <v>0</v>
      </c>
      <c r="O62" s="140">
        <f ca="1">IF(ISNUMBER(MATCH(DATEVALUE($A62),'recurring1_based on steps'!O$1:O$400,0)),O$2,)</f>
        <v>0</v>
      </c>
      <c r="P62" s="140">
        <f ca="1">IF(ISNUMBER(MATCH(DATEVALUE($A62),'recurring1_based on steps'!P$1:P$400,0)),P$2,)</f>
        <v>0</v>
      </c>
      <c r="Q62" s="140">
        <f ca="1">IF(ISNUMBER(MATCH(DATEVALUE($A62),'recurring1_based on steps'!Q$1:Q$400,0)),Q$2,)</f>
        <v>0</v>
      </c>
      <c r="R62" s="140">
        <f ca="1">IF(ISNUMBER(MATCH(DATEVALUE($A62),'recurring1_based on steps'!R$1:R$400,0)),R$2,)</f>
        <v>0</v>
      </c>
      <c r="S62" s="140">
        <f ca="1">IF(ISNUMBER(MATCH(DATEVALUE($A62),'recurring1_based on steps'!S$1:S$400,0)),S$2,)</f>
        <v>100</v>
      </c>
      <c r="T62" s="140">
        <f ca="1">IF(ISNUMBER(MATCH(DATEVALUE($A62),'recurring1_based on steps'!T$1:T$400,0)),T$2,)</f>
        <v>0</v>
      </c>
      <c r="U62" s="140">
        <f ca="1">IF(ISNUMBER(MATCH(DATEVALUE($A62),'recurring1_based on steps'!U$1:U$400,0)),U$2,)</f>
        <v>0</v>
      </c>
      <c r="V62" s="140">
        <f ca="1">IF(ISNUMBER(MATCH(DATEVALUE($A62),'recurring1_based on steps'!V$1:V$400,0)),V$2,)</f>
        <v>0</v>
      </c>
      <c r="W62" s="140">
        <f ca="1">IF(ISNUMBER(MATCH(DATEVALUE($A62),'recurring1_based on steps'!W$1:W$400,0)),W$2,)</f>
        <v>0</v>
      </c>
      <c r="X62" s="140">
        <f ca="1">IF(ISNUMBER(MATCH(DATEVALUE($A62),'recurring1_based on steps'!X$1:X$400,0)),X$2,)</f>
        <v>0</v>
      </c>
      <c r="Y62" s="140">
        <f ca="1">IF(ISNUMBER(MATCH(DATEVALUE($A62),'recurring1_based on steps'!Y$1:Y$400,0)),Y$2,)</f>
        <v>0</v>
      </c>
      <c r="Z62" s="140">
        <f ca="1">IF(ISNUMBER(MATCH(DATEVALUE($A62),'recurring1_based on steps'!Z$1:Z$400,0)),Z$2,)</f>
        <v>0</v>
      </c>
      <c r="AA62" s="140">
        <f ca="1">IF(ISNUMBER(MATCH(DATEVALUE($A62),'recurring1_based on steps'!AA$1:AA$400,0)),AA$2,)</f>
        <v>0</v>
      </c>
      <c r="AB62" s="140">
        <f ca="1">IF(ISNUMBER(MATCH(DATEVALUE($A62),'recurring1_based on steps'!AB$1:AB$400,0)),AB$2,)</f>
        <v>5.5401662049861494E-2</v>
      </c>
      <c r="AC62" s="140">
        <f ca="1">IF(ISNUMBER(MATCH(DATEVALUE($A62),'recurring1_based on steps'!AC$1:AC$400,0)),AC$2,)</f>
        <v>0</v>
      </c>
      <c r="AD62" s="140">
        <f ca="1">IF(ISNUMBER(MATCH(DATEVALUE($A62),'recurring1_based on steps'!AD$1:AD$400,0)),AD$2,)</f>
        <v>0</v>
      </c>
      <c r="AE62" s="140">
        <f ca="1">IF(ISNUMBER(MATCH(DATEVALUE($A62),'recurring1_based on steps'!AE$1:AE$400,0)),AE$2,)</f>
        <v>0</v>
      </c>
      <c r="AF62" s="140">
        <f ca="1">IF(ISNUMBER(MATCH(DATEVALUE($A62),'recurring1_based on steps'!AF$1:AF$400,0)),AF$2,)</f>
        <v>0</v>
      </c>
      <c r="AG62" s="140">
        <f ca="1">IF(ISNUMBER(MATCH(DATEVALUE($A62),'recurring1_based on steps'!AG$1:AG$400,0)),AG$2,)</f>
        <v>0</v>
      </c>
      <c r="AH62" s="140">
        <f ca="1">IF(ISNUMBER(MATCH(DATEVALUE($A62),'recurring1_based on steps'!AH$1:AH$400,0)),AH$2,)</f>
        <v>0</v>
      </c>
      <c r="AI62" s="140">
        <f ca="1">IF(ISNUMBER(MATCH(DATEVALUE($A62),'recurring1_based on steps'!AI$1:AI$400,0)),AI$2,)</f>
        <v>0</v>
      </c>
      <c r="AJ62" s="140">
        <f ca="1">IF(ISNUMBER(MATCH(DATEVALUE($A62),'recurring1_based on steps'!AJ$1:AJ$400,0)),AJ$2,)</f>
        <v>0</v>
      </c>
      <c r="AK62" s="140">
        <f ca="1">IF(ISNUMBER(MATCH(DATEVALUE($A62),'recurring1_based on steps'!AK$1:AK$400,0)),AK$2,)</f>
        <v>0</v>
      </c>
      <c r="AL62" s="140">
        <f ca="1">IF(ISNUMBER(MATCH(DATEVALUE($A62),'recurring1_based on steps'!AL$1:AL$400,0)),AL$2,)</f>
        <v>0</v>
      </c>
      <c r="AM62" s="140">
        <f ca="1">IF(ISNUMBER(MATCH(DATEVALUE($A62),'recurring1_based on steps'!AM$1:AM$400,0)),AM$2,)</f>
        <v>0</v>
      </c>
      <c r="AN62" s="140">
        <f ca="1">IF(ISNUMBER(MATCH(DATEVALUE($A62),'recurring1_based on steps'!AN$1:AN$400,0)),AN$2,)</f>
        <v>0</v>
      </c>
      <c r="AO62" s="140">
        <f ca="1">IF(ISNUMBER(MATCH(DATEVALUE($A62),'recurring1_based on steps'!AO$1:AO$400,0)),AO$2,)</f>
        <v>0</v>
      </c>
      <c r="AP62" s="140">
        <f ca="1">IF(ISNUMBER(MATCH(DATEVALUE($A62),'recurring1_based on steps'!AP$1:AP$400,0)),AP$2,)</f>
        <v>0</v>
      </c>
      <c r="AQ62" s="140">
        <f ca="1">IF(ISNUMBER(MATCH(DATEVALUE($A62),'recurring1_based on steps'!AQ$1:AQ$400,0)),AQ$2,)</f>
        <v>0</v>
      </c>
      <c r="AR62" s="140">
        <f ca="1">IF(ISNUMBER(MATCH(DATEVALUE($A62),'recurring1_based on steps'!AR$1:AR$400,0)),AR$2,)</f>
        <v>0</v>
      </c>
      <c r="AS62" s="140">
        <f ca="1">IF(ISNUMBER(MATCH(DATEVALUE($A62),'recurring1_based on steps'!AS$1:AS$400,0)),AS$2,)</f>
        <v>0</v>
      </c>
      <c r="AT62" s="140">
        <f ca="1">IF(ISNUMBER(MATCH(DATEVALUE($A62),'recurring1_based on steps'!AT$1:AT$400,0)),AT$2,)</f>
        <v>0</v>
      </c>
      <c r="AU62" s="140">
        <f ca="1">IF(ISNUMBER(MATCH(DATEVALUE($A62),'recurring1_based on steps'!AU$1:AU$400,0)),AU$2,)</f>
        <v>0</v>
      </c>
      <c r="AV62" s="140">
        <f ca="1">IF(ISNUMBER(MATCH(DATEVALUE($A62),'recurring1_based on steps'!AV$1:AV$400,0)),AV$2,)</f>
        <v>0</v>
      </c>
      <c r="AW62" s="140">
        <f ca="1">IF(ISNUMBER(MATCH(DATEVALUE($A62),'recurring1_based on steps'!AW$1:AW$400,0)),AW$2,)</f>
        <v>0</v>
      </c>
      <c r="AX62" s="140">
        <f ca="1">IF(ISNUMBER(MATCH(DATEVALUE($A62),'recurring1_based on steps'!AX$1:AX$400,0)),AX$2,)</f>
        <v>0</v>
      </c>
      <c r="AY62" s="140">
        <f ca="1">IF(ISNUMBER(MATCH(DATEVALUE($A62),'recurring1_based on steps'!AY$1:AY$400,0)),AY$2,)</f>
        <v>0</v>
      </c>
    </row>
    <row r="63" spans="1:51" x14ac:dyDescent="0.2">
      <c r="A63" s="29" t="str">
        <f t="shared" ca="1" si="0"/>
        <v>2025-05-26</v>
      </c>
      <c r="B63" s="140">
        <f ca="1">IF(ISNUMBER(MATCH(DATEVALUE($A63),'recurring1_based on steps'!B$1:B$400,0)),B$2,)</f>
        <v>0</v>
      </c>
      <c r="C63" s="140">
        <f ca="1">IF(ISNUMBER(MATCH(DATEVALUE($A63),'recurring1_based on steps'!C$1:C$400,0)),C$2,)</f>
        <v>0</v>
      </c>
      <c r="D63" s="140">
        <f ca="1">IF(ISNUMBER(MATCH(DATEVALUE($A63),'recurring1_based on steps'!D$1:D$400,0)),D$2,)</f>
        <v>0</v>
      </c>
      <c r="E63" s="140">
        <f ca="1">IF(ISNUMBER(MATCH(DATEVALUE($A63),'recurring1_based on steps'!E$1:E$400,0)),E$2,)</f>
        <v>0</v>
      </c>
      <c r="F63" s="140">
        <f ca="1">IF(ISNUMBER(MATCH(DATEVALUE($A63),'recurring1_based on steps'!F$1:F$400,0)),F$2,)</f>
        <v>0</v>
      </c>
      <c r="G63" s="140">
        <f ca="1">IF(ISNUMBER(MATCH(DATEVALUE($A63),'recurring1_based on steps'!G$1:G$400,0)),G$2,)</f>
        <v>0</v>
      </c>
      <c r="H63" s="140">
        <f ca="1">IF(ISNUMBER(MATCH(DATEVALUE($A63),'recurring1_based on steps'!H$1:H$400,0)),H$2,)</f>
        <v>0</v>
      </c>
      <c r="I63" s="140">
        <f ca="1">IF(ISNUMBER(MATCH(DATEVALUE($A63),'recurring1_based on steps'!I$1:I$400,0)),I$2,)</f>
        <v>0</v>
      </c>
      <c r="J63" s="140">
        <f ca="1">IF(ISNUMBER(MATCH(DATEVALUE($A63),'recurring1_based on steps'!J$1:J$400,0)),J$2,)</f>
        <v>0</v>
      </c>
      <c r="K63" s="140">
        <f ca="1">IF(ISNUMBER(MATCH(DATEVALUE($A63),'recurring1_based on steps'!K$1:K$400,0)),K$2,)</f>
        <v>0</v>
      </c>
      <c r="L63" s="140">
        <f ca="1">IF(ISNUMBER(MATCH(DATEVALUE($A63),'recurring1_based on steps'!L$1:L$400,0)),L$2,)</f>
        <v>0</v>
      </c>
      <c r="M63" s="140">
        <f ca="1">IF(ISNUMBER(MATCH(DATEVALUE($A63),'recurring1_based on steps'!M$1:M$400,0)),M$2,)</f>
        <v>0</v>
      </c>
      <c r="N63" s="140">
        <f ca="1">IF(ISNUMBER(MATCH(DATEVALUE($A63),'recurring1_based on steps'!N$1:N$400,0)),N$2,)</f>
        <v>0</v>
      </c>
      <c r="O63" s="140">
        <f ca="1">IF(ISNUMBER(MATCH(DATEVALUE($A63),'recurring1_based on steps'!O$1:O$400,0)),O$2,)</f>
        <v>0</v>
      </c>
      <c r="P63" s="140">
        <f ca="1">IF(ISNUMBER(MATCH(DATEVALUE($A63),'recurring1_based on steps'!P$1:P$400,0)),P$2,)</f>
        <v>0</v>
      </c>
      <c r="Q63" s="140">
        <f ca="1">IF(ISNUMBER(MATCH(DATEVALUE($A63),'recurring1_based on steps'!Q$1:Q$400,0)),Q$2,)</f>
        <v>0</v>
      </c>
      <c r="R63" s="140">
        <f ca="1">IF(ISNUMBER(MATCH(DATEVALUE($A63),'recurring1_based on steps'!R$1:R$400,0)),R$2,)</f>
        <v>0</v>
      </c>
      <c r="S63" s="140">
        <f ca="1">IF(ISNUMBER(MATCH(DATEVALUE($A63),'recurring1_based on steps'!S$1:S$400,0)),S$2,)</f>
        <v>0</v>
      </c>
      <c r="T63" s="140">
        <f ca="1">IF(ISNUMBER(MATCH(DATEVALUE($A63),'recurring1_based on steps'!T$1:T$400,0)),T$2,)</f>
        <v>0</v>
      </c>
      <c r="U63" s="140">
        <f ca="1">IF(ISNUMBER(MATCH(DATEVALUE($A63),'recurring1_based on steps'!U$1:U$400,0)),U$2,)</f>
        <v>0</v>
      </c>
      <c r="V63" s="140">
        <f ca="1">IF(ISNUMBER(MATCH(DATEVALUE($A63),'recurring1_based on steps'!V$1:V$400,0)),V$2,)</f>
        <v>0</v>
      </c>
      <c r="W63" s="140">
        <f ca="1">IF(ISNUMBER(MATCH(DATEVALUE($A63),'recurring1_based on steps'!W$1:W$400,0)),W$2,)</f>
        <v>0</v>
      </c>
      <c r="X63" s="140">
        <f ca="1">IF(ISNUMBER(MATCH(DATEVALUE($A63),'recurring1_based on steps'!X$1:X$400,0)),X$2,)</f>
        <v>0</v>
      </c>
      <c r="Y63" s="140">
        <f ca="1">IF(ISNUMBER(MATCH(DATEVALUE($A63),'recurring1_based on steps'!Y$1:Y$400,0)),Y$2,)</f>
        <v>0</v>
      </c>
      <c r="Z63" s="140">
        <f ca="1">IF(ISNUMBER(MATCH(DATEVALUE($A63),'recurring1_based on steps'!Z$1:Z$400,0)),Z$2,)</f>
        <v>0</v>
      </c>
      <c r="AA63" s="140">
        <f ca="1">IF(ISNUMBER(MATCH(DATEVALUE($A63),'recurring1_based on steps'!AA$1:AA$400,0)),AA$2,)</f>
        <v>0</v>
      </c>
      <c r="AB63" s="140">
        <f ca="1">IF(ISNUMBER(MATCH(DATEVALUE($A63),'recurring1_based on steps'!AB$1:AB$400,0)),AB$2,)</f>
        <v>5.5401662049861494E-2</v>
      </c>
      <c r="AC63" s="140">
        <f ca="1">IF(ISNUMBER(MATCH(DATEVALUE($A63),'recurring1_based on steps'!AC$1:AC$400,0)),AC$2,)</f>
        <v>0</v>
      </c>
      <c r="AD63" s="140">
        <f ca="1">IF(ISNUMBER(MATCH(DATEVALUE($A63),'recurring1_based on steps'!AD$1:AD$400,0)),AD$2,)</f>
        <v>0</v>
      </c>
      <c r="AE63" s="140">
        <f ca="1">IF(ISNUMBER(MATCH(DATEVALUE($A63),'recurring1_based on steps'!AE$1:AE$400,0)),AE$2,)</f>
        <v>0</v>
      </c>
      <c r="AF63" s="140">
        <f ca="1">IF(ISNUMBER(MATCH(DATEVALUE($A63),'recurring1_based on steps'!AF$1:AF$400,0)),AF$2,)</f>
        <v>0</v>
      </c>
      <c r="AG63" s="140">
        <f ca="1">IF(ISNUMBER(MATCH(DATEVALUE($A63),'recurring1_based on steps'!AG$1:AG$400,0)),AG$2,)</f>
        <v>0</v>
      </c>
      <c r="AH63" s="140">
        <f ca="1">IF(ISNUMBER(MATCH(DATEVALUE($A63),'recurring1_based on steps'!AH$1:AH$400,0)),AH$2,)</f>
        <v>0</v>
      </c>
      <c r="AI63" s="140">
        <f ca="1">IF(ISNUMBER(MATCH(DATEVALUE($A63),'recurring1_based on steps'!AI$1:AI$400,0)),AI$2,)</f>
        <v>0</v>
      </c>
      <c r="AJ63" s="140">
        <f ca="1">IF(ISNUMBER(MATCH(DATEVALUE($A63),'recurring1_based on steps'!AJ$1:AJ$400,0)),AJ$2,)</f>
        <v>0</v>
      </c>
      <c r="AK63" s="140">
        <f ca="1">IF(ISNUMBER(MATCH(DATEVALUE($A63),'recurring1_based on steps'!AK$1:AK$400,0)),AK$2,)</f>
        <v>0</v>
      </c>
      <c r="AL63" s="140">
        <f ca="1">IF(ISNUMBER(MATCH(DATEVALUE($A63),'recurring1_based on steps'!AL$1:AL$400,0)),AL$2,)</f>
        <v>0</v>
      </c>
      <c r="AM63" s="140">
        <f ca="1">IF(ISNUMBER(MATCH(DATEVALUE($A63),'recurring1_based on steps'!AM$1:AM$400,0)),AM$2,)</f>
        <v>0</v>
      </c>
      <c r="AN63" s="140">
        <f ca="1">IF(ISNUMBER(MATCH(DATEVALUE($A63),'recurring1_based on steps'!AN$1:AN$400,0)),AN$2,)</f>
        <v>0</v>
      </c>
      <c r="AO63" s="140">
        <f ca="1">IF(ISNUMBER(MATCH(DATEVALUE($A63),'recurring1_based on steps'!AO$1:AO$400,0)),AO$2,)</f>
        <v>0</v>
      </c>
      <c r="AP63" s="140">
        <f ca="1">IF(ISNUMBER(MATCH(DATEVALUE($A63),'recurring1_based on steps'!AP$1:AP$400,0)),AP$2,)</f>
        <v>0</v>
      </c>
      <c r="AQ63" s="140">
        <f ca="1">IF(ISNUMBER(MATCH(DATEVALUE($A63),'recurring1_based on steps'!AQ$1:AQ$400,0)),AQ$2,)</f>
        <v>0</v>
      </c>
      <c r="AR63" s="140">
        <f ca="1">IF(ISNUMBER(MATCH(DATEVALUE($A63),'recurring1_based on steps'!AR$1:AR$400,0)),AR$2,)</f>
        <v>0</v>
      </c>
      <c r="AS63" s="140">
        <f ca="1">IF(ISNUMBER(MATCH(DATEVALUE($A63),'recurring1_based on steps'!AS$1:AS$400,0)),AS$2,)</f>
        <v>0</v>
      </c>
      <c r="AT63" s="140">
        <f ca="1">IF(ISNUMBER(MATCH(DATEVALUE($A63),'recurring1_based on steps'!AT$1:AT$400,0)),AT$2,)</f>
        <v>0</v>
      </c>
      <c r="AU63" s="140">
        <f ca="1">IF(ISNUMBER(MATCH(DATEVALUE($A63),'recurring1_based on steps'!AU$1:AU$400,0)),AU$2,)</f>
        <v>0</v>
      </c>
      <c r="AV63" s="140">
        <f ca="1">IF(ISNUMBER(MATCH(DATEVALUE($A63),'recurring1_based on steps'!AV$1:AV$400,0)),AV$2,)</f>
        <v>0</v>
      </c>
      <c r="AW63" s="140">
        <f ca="1">IF(ISNUMBER(MATCH(DATEVALUE($A63),'recurring1_based on steps'!AW$1:AW$400,0)),AW$2,)</f>
        <v>0</v>
      </c>
      <c r="AX63" s="140">
        <f ca="1">IF(ISNUMBER(MATCH(DATEVALUE($A63),'recurring1_based on steps'!AX$1:AX$400,0)),AX$2,)</f>
        <v>0</v>
      </c>
      <c r="AY63" s="140">
        <f ca="1">IF(ISNUMBER(MATCH(DATEVALUE($A63),'recurring1_based on steps'!AY$1:AY$400,0)),AY$2,)</f>
        <v>0</v>
      </c>
    </row>
    <row r="64" spans="1:51" x14ac:dyDescent="0.2">
      <c r="A64" s="29" t="str">
        <f t="shared" ca="1" si="0"/>
        <v>2025-05-27</v>
      </c>
      <c r="B64" s="140">
        <f ca="1">IF(ISNUMBER(MATCH(DATEVALUE($A64),'recurring1_based on steps'!B$1:B$400,0)),B$2,)</f>
        <v>0</v>
      </c>
      <c r="C64" s="140">
        <f ca="1">IF(ISNUMBER(MATCH(DATEVALUE($A64),'recurring1_based on steps'!C$1:C$400,0)),C$2,)</f>
        <v>0</v>
      </c>
      <c r="D64" s="140">
        <f ca="1">IF(ISNUMBER(MATCH(DATEVALUE($A64),'recurring1_based on steps'!D$1:D$400,0)),D$2,)</f>
        <v>0</v>
      </c>
      <c r="E64" s="140">
        <f ca="1">IF(ISNUMBER(MATCH(DATEVALUE($A64),'recurring1_based on steps'!E$1:E$400,0)),E$2,)</f>
        <v>0</v>
      </c>
      <c r="F64" s="140">
        <f ca="1">IF(ISNUMBER(MATCH(DATEVALUE($A64),'recurring1_based on steps'!F$1:F$400,0)),F$2,)</f>
        <v>0</v>
      </c>
      <c r="G64" s="140">
        <f ca="1">IF(ISNUMBER(MATCH(DATEVALUE($A64),'recurring1_based on steps'!G$1:G$400,0)),G$2,)</f>
        <v>0</v>
      </c>
      <c r="H64" s="140">
        <f ca="1">IF(ISNUMBER(MATCH(DATEVALUE($A64),'recurring1_based on steps'!H$1:H$400,0)),H$2,)</f>
        <v>0</v>
      </c>
      <c r="I64" s="140">
        <f ca="1">IF(ISNUMBER(MATCH(DATEVALUE($A64),'recurring1_based on steps'!I$1:I$400,0)),I$2,)</f>
        <v>0</v>
      </c>
      <c r="J64" s="140">
        <f ca="1">IF(ISNUMBER(MATCH(DATEVALUE($A64),'recurring1_based on steps'!J$1:J$400,0)),J$2,)</f>
        <v>0</v>
      </c>
      <c r="K64" s="140">
        <f ca="1">IF(ISNUMBER(MATCH(DATEVALUE($A64),'recurring1_based on steps'!K$1:K$400,0)),K$2,)</f>
        <v>0</v>
      </c>
      <c r="L64" s="140">
        <f ca="1">IF(ISNUMBER(MATCH(DATEVALUE($A64),'recurring1_based on steps'!L$1:L$400,0)),L$2,)</f>
        <v>0</v>
      </c>
      <c r="M64" s="140">
        <f ca="1">IF(ISNUMBER(MATCH(DATEVALUE($A64),'recurring1_based on steps'!M$1:M$400,0)),M$2,)</f>
        <v>0</v>
      </c>
      <c r="N64" s="140">
        <f ca="1">IF(ISNUMBER(MATCH(DATEVALUE($A64),'recurring1_based on steps'!N$1:N$400,0)),N$2,)</f>
        <v>0</v>
      </c>
      <c r="O64" s="140">
        <f ca="1">IF(ISNUMBER(MATCH(DATEVALUE($A64),'recurring1_based on steps'!O$1:O$400,0)),O$2,)</f>
        <v>0</v>
      </c>
      <c r="P64" s="140">
        <f ca="1">IF(ISNUMBER(MATCH(DATEVALUE($A64),'recurring1_based on steps'!P$1:P$400,0)),P$2,)</f>
        <v>2.99</v>
      </c>
      <c r="Q64" s="140">
        <f ca="1">IF(ISNUMBER(MATCH(DATEVALUE($A64),'recurring1_based on steps'!Q$1:Q$400,0)),Q$2,)</f>
        <v>0</v>
      </c>
      <c r="R64" s="140">
        <f ca="1">IF(ISNUMBER(MATCH(DATEVALUE($A64),'recurring1_based on steps'!R$1:R$400,0)),R$2,)</f>
        <v>0</v>
      </c>
      <c r="S64" s="140">
        <f ca="1">IF(ISNUMBER(MATCH(DATEVALUE($A64),'recurring1_based on steps'!S$1:S$400,0)),S$2,)</f>
        <v>0</v>
      </c>
      <c r="T64" s="140">
        <f ca="1">IF(ISNUMBER(MATCH(DATEVALUE($A64),'recurring1_based on steps'!T$1:T$400,0)),T$2,)</f>
        <v>0</v>
      </c>
      <c r="U64" s="140">
        <f ca="1">IF(ISNUMBER(MATCH(DATEVALUE($A64),'recurring1_based on steps'!U$1:U$400,0)),U$2,)</f>
        <v>0</v>
      </c>
      <c r="V64" s="140">
        <f ca="1">IF(ISNUMBER(MATCH(DATEVALUE($A64),'recurring1_based on steps'!V$1:V$400,0)),V$2,)</f>
        <v>0</v>
      </c>
      <c r="W64" s="140">
        <f ca="1">IF(ISNUMBER(MATCH(DATEVALUE($A64),'recurring1_based on steps'!W$1:W$400,0)),W$2,)</f>
        <v>0</v>
      </c>
      <c r="X64" s="140">
        <f ca="1">IF(ISNUMBER(MATCH(DATEVALUE($A64),'recurring1_based on steps'!X$1:X$400,0)),X$2,)</f>
        <v>0</v>
      </c>
      <c r="Y64" s="140">
        <f ca="1">IF(ISNUMBER(MATCH(DATEVALUE($A64),'recurring1_based on steps'!Y$1:Y$400,0)),Y$2,)</f>
        <v>0</v>
      </c>
      <c r="Z64" s="140">
        <f ca="1">IF(ISNUMBER(MATCH(DATEVALUE($A64),'recurring1_based on steps'!Z$1:Z$400,0)),Z$2,)</f>
        <v>0</v>
      </c>
      <c r="AA64" s="140">
        <f ca="1">IF(ISNUMBER(MATCH(DATEVALUE($A64),'recurring1_based on steps'!AA$1:AA$400,0)),AA$2,)</f>
        <v>0</v>
      </c>
      <c r="AB64" s="140">
        <f ca="1">IF(ISNUMBER(MATCH(DATEVALUE($A64),'recurring1_based on steps'!AB$1:AB$400,0)),AB$2,)</f>
        <v>5.5401662049861494E-2</v>
      </c>
      <c r="AC64" s="140">
        <f ca="1">IF(ISNUMBER(MATCH(DATEVALUE($A64),'recurring1_based on steps'!AC$1:AC$400,0)),AC$2,)</f>
        <v>0</v>
      </c>
      <c r="AD64" s="140">
        <f ca="1">IF(ISNUMBER(MATCH(DATEVALUE($A64),'recurring1_based on steps'!AD$1:AD$400,0)),AD$2,)</f>
        <v>0</v>
      </c>
      <c r="AE64" s="140">
        <f ca="1">IF(ISNUMBER(MATCH(DATEVALUE($A64),'recurring1_based on steps'!AE$1:AE$400,0)),AE$2,)</f>
        <v>0</v>
      </c>
      <c r="AF64" s="140">
        <f ca="1">IF(ISNUMBER(MATCH(DATEVALUE($A64),'recurring1_based on steps'!AF$1:AF$400,0)),AF$2,)</f>
        <v>0</v>
      </c>
      <c r="AG64" s="140">
        <f ca="1">IF(ISNUMBER(MATCH(DATEVALUE($A64),'recurring1_based on steps'!AG$1:AG$400,0)),AG$2,)</f>
        <v>0</v>
      </c>
      <c r="AH64" s="140">
        <f ca="1">IF(ISNUMBER(MATCH(DATEVALUE($A64),'recurring1_based on steps'!AH$1:AH$400,0)),AH$2,)</f>
        <v>0</v>
      </c>
      <c r="AI64" s="140">
        <f ca="1">IF(ISNUMBER(MATCH(DATEVALUE($A64),'recurring1_based on steps'!AI$1:AI$400,0)),AI$2,)</f>
        <v>0</v>
      </c>
      <c r="AJ64" s="140">
        <f ca="1">IF(ISNUMBER(MATCH(DATEVALUE($A64),'recurring1_based on steps'!AJ$1:AJ$400,0)),AJ$2,)</f>
        <v>0</v>
      </c>
      <c r="AK64" s="140">
        <f ca="1">IF(ISNUMBER(MATCH(DATEVALUE($A64),'recurring1_based on steps'!AK$1:AK$400,0)),AK$2,)</f>
        <v>0</v>
      </c>
      <c r="AL64" s="140">
        <f ca="1">IF(ISNUMBER(MATCH(DATEVALUE($A64),'recurring1_based on steps'!AL$1:AL$400,0)),AL$2,)</f>
        <v>0</v>
      </c>
      <c r="AM64" s="140">
        <f ca="1">IF(ISNUMBER(MATCH(DATEVALUE($A64),'recurring1_based on steps'!AM$1:AM$400,0)),AM$2,)</f>
        <v>0</v>
      </c>
      <c r="AN64" s="140">
        <f ca="1">IF(ISNUMBER(MATCH(DATEVALUE($A64),'recurring1_based on steps'!AN$1:AN$400,0)),AN$2,)</f>
        <v>0</v>
      </c>
      <c r="AO64" s="140">
        <f ca="1">IF(ISNUMBER(MATCH(DATEVALUE($A64),'recurring1_based on steps'!AO$1:AO$400,0)),AO$2,)</f>
        <v>0</v>
      </c>
      <c r="AP64" s="140">
        <f ca="1">IF(ISNUMBER(MATCH(DATEVALUE($A64),'recurring1_based on steps'!AP$1:AP$400,0)),AP$2,)</f>
        <v>0</v>
      </c>
      <c r="AQ64" s="140">
        <f ca="1">IF(ISNUMBER(MATCH(DATEVALUE($A64),'recurring1_based on steps'!AQ$1:AQ$400,0)),AQ$2,)</f>
        <v>0</v>
      </c>
      <c r="AR64" s="140">
        <f ca="1">IF(ISNUMBER(MATCH(DATEVALUE($A64),'recurring1_based on steps'!AR$1:AR$400,0)),AR$2,)</f>
        <v>0</v>
      </c>
      <c r="AS64" s="140">
        <f ca="1">IF(ISNUMBER(MATCH(DATEVALUE($A64),'recurring1_based on steps'!AS$1:AS$400,0)),AS$2,)</f>
        <v>0</v>
      </c>
      <c r="AT64" s="140">
        <f ca="1">IF(ISNUMBER(MATCH(DATEVALUE($A64),'recurring1_based on steps'!AT$1:AT$400,0)),AT$2,)</f>
        <v>0</v>
      </c>
      <c r="AU64" s="140">
        <f ca="1">IF(ISNUMBER(MATCH(DATEVALUE($A64),'recurring1_based on steps'!AU$1:AU$400,0)),AU$2,)</f>
        <v>0</v>
      </c>
      <c r="AV64" s="140">
        <f ca="1">IF(ISNUMBER(MATCH(DATEVALUE($A64),'recurring1_based on steps'!AV$1:AV$400,0)),AV$2,)</f>
        <v>0</v>
      </c>
      <c r="AW64" s="140">
        <f ca="1">IF(ISNUMBER(MATCH(DATEVALUE($A64),'recurring1_based on steps'!AW$1:AW$400,0)),AW$2,)</f>
        <v>0</v>
      </c>
      <c r="AX64" s="140">
        <f ca="1">IF(ISNUMBER(MATCH(DATEVALUE($A64),'recurring1_based on steps'!AX$1:AX$400,0)),AX$2,)</f>
        <v>0</v>
      </c>
      <c r="AY64" s="140">
        <f ca="1">IF(ISNUMBER(MATCH(DATEVALUE($A64),'recurring1_based on steps'!AY$1:AY$400,0)),AY$2,)</f>
        <v>0</v>
      </c>
    </row>
    <row r="65" spans="1:51" x14ac:dyDescent="0.2">
      <c r="A65" s="29" t="str">
        <f t="shared" ca="1" si="0"/>
        <v>2025-05-28</v>
      </c>
      <c r="B65" s="140">
        <f ca="1">IF(ISNUMBER(MATCH(DATEVALUE($A65),'recurring1_based on steps'!B$1:B$400,0)),B$2,)</f>
        <v>0</v>
      </c>
      <c r="C65" s="140">
        <f ca="1">IF(ISNUMBER(MATCH(DATEVALUE($A65),'recurring1_based on steps'!C$1:C$400,0)),C$2,)</f>
        <v>0</v>
      </c>
      <c r="D65" s="140">
        <f ca="1">IF(ISNUMBER(MATCH(DATEVALUE($A65),'recurring1_based on steps'!D$1:D$400,0)),D$2,)</f>
        <v>0</v>
      </c>
      <c r="E65" s="140">
        <f ca="1">IF(ISNUMBER(MATCH(DATEVALUE($A65),'recurring1_based on steps'!E$1:E$400,0)),E$2,)</f>
        <v>0</v>
      </c>
      <c r="F65" s="140">
        <f ca="1">IF(ISNUMBER(MATCH(DATEVALUE($A65),'recurring1_based on steps'!F$1:F$400,0)),F$2,)</f>
        <v>0</v>
      </c>
      <c r="G65" s="140">
        <f ca="1">IF(ISNUMBER(MATCH(DATEVALUE($A65),'recurring1_based on steps'!G$1:G$400,0)),G$2,)</f>
        <v>0</v>
      </c>
      <c r="H65" s="140">
        <f ca="1">IF(ISNUMBER(MATCH(DATEVALUE($A65),'recurring1_based on steps'!H$1:H$400,0)),H$2,)</f>
        <v>0</v>
      </c>
      <c r="I65" s="140">
        <f ca="1">IF(ISNUMBER(MATCH(DATEVALUE($A65),'recurring1_based on steps'!I$1:I$400,0)),I$2,)</f>
        <v>0</v>
      </c>
      <c r="J65" s="140">
        <f ca="1">IF(ISNUMBER(MATCH(DATEVALUE($A65),'recurring1_based on steps'!J$1:J$400,0)),J$2,)</f>
        <v>0</v>
      </c>
      <c r="K65" s="140">
        <f ca="1">IF(ISNUMBER(MATCH(DATEVALUE($A65),'recurring1_based on steps'!K$1:K$400,0)),K$2,)</f>
        <v>0</v>
      </c>
      <c r="L65" s="140">
        <f ca="1">IF(ISNUMBER(MATCH(DATEVALUE($A65),'recurring1_based on steps'!L$1:L$400,0)),L$2,)</f>
        <v>0</v>
      </c>
      <c r="M65" s="140">
        <f ca="1">IF(ISNUMBER(MATCH(DATEVALUE($A65),'recurring1_based on steps'!M$1:M$400,0)),M$2,)</f>
        <v>0</v>
      </c>
      <c r="N65" s="140">
        <f ca="1">IF(ISNUMBER(MATCH(DATEVALUE($A65),'recurring1_based on steps'!N$1:N$400,0)),N$2,)</f>
        <v>0</v>
      </c>
      <c r="O65" s="140">
        <f ca="1">IF(ISNUMBER(MATCH(DATEVALUE($A65),'recurring1_based on steps'!O$1:O$400,0)),O$2,)</f>
        <v>0</v>
      </c>
      <c r="P65" s="140">
        <f ca="1">IF(ISNUMBER(MATCH(DATEVALUE($A65),'recurring1_based on steps'!P$1:P$400,0)),P$2,)</f>
        <v>0</v>
      </c>
      <c r="Q65" s="140">
        <f ca="1">IF(ISNUMBER(MATCH(DATEVALUE($A65),'recurring1_based on steps'!Q$1:Q$400,0)),Q$2,)</f>
        <v>0</v>
      </c>
      <c r="R65" s="140">
        <f ca="1">IF(ISNUMBER(MATCH(DATEVALUE($A65),'recurring1_based on steps'!R$1:R$400,0)),R$2,)</f>
        <v>0</v>
      </c>
      <c r="S65" s="140">
        <f ca="1">IF(ISNUMBER(MATCH(DATEVALUE($A65),'recurring1_based on steps'!S$1:S$400,0)),S$2,)</f>
        <v>0</v>
      </c>
      <c r="T65" s="140">
        <f ca="1">IF(ISNUMBER(MATCH(DATEVALUE($A65),'recurring1_based on steps'!T$1:T$400,0)),T$2,)</f>
        <v>0</v>
      </c>
      <c r="U65" s="140">
        <f ca="1">IF(ISNUMBER(MATCH(DATEVALUE($A65),'recurring1_based on steps'!U$1:U$400,0)),U$2,)</f>
        <v>0</v>
      </c>
      <c r="V65" s="140">
        <f ca="1">IF(ISNUMBER(MATCH(DATEVALUE($A65),'recurring1_based on steps'!V$1:V$400,0)),V$2,)</f>
        <v>0</v>
      </c>
      <c r="W65" s="140">
        <f ca="1">IF(ISNUMBER(MATCH(DATEVALUE($A65),'recurring1_based on steps'!W$1:W$400,0)),W$2,)</f>
        <v>0</v>
      </c>
      <c r="X65" s="140">
        <f ca="1">IF(ISNUMBER(MATCH(DATEVALUE($A65),'recurring1_based on steps'!X$1:X$400,0)),X$2,)</f>
        <v>0</v>
      </c>
      <c r="Y65" s="140">
        <f ca="1">IF(ISNUMBER(MATCH(DATEVALUE($A65),'recurring1_based on steps'!Y$1:Y$400,0)),Y$2,)</f>
        <v>0</v>
      </c>
      <c r="Z65" s="140">
        <f ca="1">IF(ISNUMBER(MATCH(DATEVALUE($A65),'recurring1_based on steps'!Z$1:Z$400,0)),Z$2,)</f>
        <v>0</v>
      </c>
      <c r="AA65" s="140">
        <f ca="1">IF(ISNUMBER(MATCH(DATEVALUE($A65),'recurring1_based on steps'!AA$1:AA$400,0)),AA$2,)</f>
        <v>0</v>
      </c>
      <c r="AB65" s="140">
        <f ca="1">IF(ISNUMBER(MATCH(DATEVALUE($A65),'recurring1_based on steps'!AB$1:AB$400,0)),AB$2,)</f>
        <v>5.5401662049861494E-2</v>
      </c>
      <c r="AC65" s="140">
        <f ca="1">IF(ISNUMBER(MATCH(DATEVALUE($A65),'recurring1_based on steps'!AC$1:AC$400,0)),AC$2,)</f>
        <v>0</v>
      </c>
      <c r="AD65" s="140">
        <f ca="1">IF(ISNUMBER(MATCH(DATEVALUE($A65),'recurring1_based on steps'!AD$1:AD$400,0)),AD$2,)</f>
        <v>0</v>
      </c>
      <c r="AE65" s="140">
        <f ca="1">IF(ISNUMBER(MATCH(DATEVALUE($A65),'recurring1_based on steps'!AE$1:AE$400,0)),AE$2,)</f>
        <v>0</v>
      </c>
      <c r="AF65" s="140">
        <f ca="1">IF(ISNUMBER(MATCH(DATEVALUE($A65),'recurring1_based on steps'!AF$1:AF$400,0)),AF$2,)</f>
        <v>0</v>
      </c>
      <c r="AG65" s="140">
        <f ca="1">IF(ISNUMBER(MATCH(DATEVALUE($A65),'recurring1_based on steps'!AG$1:AG$400,0)),AG$2,)</f>
        <v>0</v>
      </c>
      <c r="AH65" s="140">
        <f ca="1">IF(ISNUMBER(MATCH(DATEVALUE($A65),'recurring1_based on steps'!AH$1:AH$400,0)),AH$2,)</f>
        <v>0</v>
      </c>
      <c r="AI65" s="140">
        <f ca="1">IF(ISNUMBER(MATCH(DATEVALUE($A65),'recurring1_based on steps'!AI$1:AI$400,0)),AI$2,)</f>
        <v>0</v>
      </c>
      <c r="AJ65" s="140">
        <f ca="1">IF(ISNUMBER(MATCH(DATEVALUE($A65),'recurring1_based on steps'!AJ$1:AJ$400,0)),AJ$2,)</f>
        <v>0</v>
      </c>
      <c r="AK65" s="140">
        <f ca="1">IF(ISNUMBER(MATCH(DATEVALUE($A65),'recurring1_based on steps'!AK$1:AK$400,0)),AK$2,)</f>
        <v>0</v>
      </c>
      <c r="AL65" s="140">
        <f ca="1">IF(ISNUMBER(MATCH(DATEVALUE($A65),'recurring1_based on steps'!AL$1:AL$400,0)),AL$2,)</f>
        <v>0</v>
      </c>
      <c r="AM65" s="140">
        <f ca="1">IF(ISNUMBER(MATCH(DATEVALUE($A65),'recurring1_based on steps'!AM$1:AM$400,0)),AM$2,)</f>
        <v>0</v>
      </c>
      <c r="AN65" s="140">
        <f ca="1">IF(ISNUMBER(MATCH(DATEVALUE($A65),'recurring1_based on steps'!AN$1:AN$400,0)),AN$2,)</f>
        <v>0</v>
      </c>
      <c r="AO65" s="140">
        <f ca="1">IF(ISNUMBER(MATCH(DATEVALUE($A65),'recurring1_based on steps'!AO$1:AO$400,0)),AO$2,)</f>
        <v>0</v>
      </c>
      <c r="AP65" s="140">
        <f ca="1">IF(ISNUMBER(MATCH(DATEVALUE($A65),'recurring1_based on steps'!AP$1:AP$400,0)),AP$2,)</f>
        <v>0</v>
      </c>
      <c r="AQ65" s="140">
        <f ca="1">IF(ISNUMBER(MATCH(DATEVALUE($A65),'recurring1_based on steps'!AQ$1:AQ$400,0)),AQ$2,)</f>
        <v>0</v>
      </c>
      <c r="AR65" s="140">
        <f ca="1">IF(ISNUMBER(MATCH(DATEVALUE($A65),'recurring1_based on steps'!AR$1:AR$400,0)),AR$2,)</f>
        <v>0</v>
      </c>
      <c r="AS65" s="140">
        <f ca="1">IF(ISNUMBER(MATCH(DATEVALUE($A65),'recurring1_based on steps'!AS$1:AS$400,0)),AS$2,)</f>
        <v>0</v>
      </c>
      <c r="AT65" s="140">
        <f ca="1">IF(ISNUMBER(MATCH(DATEVALUE($A65),'recurring1_based on steps'!AT$1:AT$400,0)),AT$2,)</f>
        <v>0</v>
      </c>
      <c r="AU65" s="140">
        <f ca="1">IF(ISNUMBER(MATCH(DATEVALUE($A65),'recurring1_based on steps'!AU$1:AU$400,0)),AU$2,)</f>
        <v>0</v>
      </c>
      <c r="AV65" s="140">
        <f ca="1">IF(ISNUMBER(MATCH(DATEVALUE($A65),'recurring1_based on steps'!AV$1:AV$400,0)),AV$2,)</f>
        <v>0</v>
      </c>
      <c r="AW65" s="140">
        <f ca="1">IF(ISNUMBER(MATCH(DATEVALUE($A65),'recurring1_based on steps'!AW$1:AW$400,0)),AW$2,)</f>
        <v>0</v>
      </c>
      <c r="AX65" s="140">
        <f ca="1">IF(ISNUMBER(MATCH(DATEVALUE($A65),'recurring1_based on steps'!AX$1:AX$400,0)),AX$2,)</f>
        <v>0</v>
      </c>
      <c r="AY65" s="140">
        <f ca="1">IF(ISNUMBER(MATCH(DATEVALUE($A65),'recurring1_based on steps'!AY$1:AY$400,0)),AY$2,)</f>
        <v>0</v>
      </c>
    </row>
    <row r="66" spans="1:51" x14ac:dyDescent="0.2">
      <c r="A66" s="29" t="str">
        <f t="shared" ca="1" si="0"/>
        <v>2025-05-29</v>
      </c>
      <c r="B66" s="140">
        <f ca="1">IF(ISNUMBER(MATCH(DATEVALUE($A66),'recurring1_based on steps'!B$1:B$400,0)),B$2,)</f>
        <v>0</v>
      </c>
      <c r="C66" s="140">
        <f ca="1">IF(ISNUMBER(MATCH(DATEVALUE($A66),'recurring1_based on steps'!C$1:C$400,0)),C$2,)</f>
        <v>0</v>
      </c>
      <c r="D66" s="140">
        <f ca="1">IF(ISNUMBER(MATCH(DATEVALUE($A66),'recurring1_based on steps'!D$1:D$400,0)),D$2,)</f>
        <v>0</v>
      </c>
      <c r="E66" s="140">
        <f ca="1">IF(ISNUMBER(MATCH(DATEVALUE($A66),'recurring1_based on steps'!E$1:E$400,0)),E$2,)</f>
        <v>0</v>
      </c>
      <c r="F66" s="140">
        <f ca="1">IF(ISNUMBER(MATCH(DATEVALUE($A66),'recurring1_based on steps'!F$1:F$400,0)),F$2,)</f>
        <v>0</v>
      </c>
      <c r="G66" s="140">
        <f ca="1">IF(ISNUMBER(MATCH(DATEVALUE($A66),'recurring1_based on steps'!G$1:G$400,0)),G$2,)</f>
        <v>0</v>
      </c>
      <c r="H66" s="140">
        <f ca="1">IF(ISNUMBER(MATCH(DATEVALUE($A66),'recurring1_based on steps'!H$1:H$400,0)),H$2,)</f>
        <v>0</v>
      </c>
      <c r="I66" s="140">
        <f ca="1">IF(ISNUMBER(MATCH(DATEVALUE($A66),'recurring1_based on steps'!I$1:I$400,0)),I$2,)</f>
        <v>0</v>
      </c>
      <c r="J66" s="140">
        <f ca="1">IF(ISNUMBER(MATCH(DATEVALUE($A66),'recurring1_based on steps'!J$1:J$400,0)),J$2,)</f>
        <v>0</v>
      </c>
      <c r="K66" s="140">
        <f ca="1">IF(ISNUMBER(MATCH(DATEVALUE($A66),'recurring1_based on steps'!K$1:K$400,0)),K$2,)</f>
        <v>0</v>
      </c>
      <c r="L66" s="140">
        <f ca="1">IF(ISNUMBER(MATCH(DATEVALUE($A66),'recurring1_based on steps'!L$1:L$400,0)),L$2,)</f>
        <v>0</v>
      </c>
      <c r="M66" s="140">
        <f ca="1">IF(ISNUMBER(MATCH(DATEVALUE($A66),'recurring1_based on steps'!M$1:M$400,0)),M$2,)</f>
        <v>0</v>
      </c>
      <c r="N66" s="140">
        <f ca="1">IF(ISNUMBER(MATCH(DATEVALUE($A66),'recurring1_based on steps'!N$1:N$400,0)),N$2,)</f>
        <v>0</v>
      </c>
      <c r="O66" s="140">
        <f ca="1">IF(ISNUMBER(MATCH(DATEVALUE($A66),'recurring1_based on steps'!O$1:O$400,0)),O$2,)</f>
        <v>0</v>
      </c>
      <c r="P66" s="140">
        <f ca="1">IF(ISNUMBER(MATCH(DATEVALUE($A66),'recurring1_based on steps'!P$1:P$400,0)),P$2,)</f>
        <v>0</v>
      </c>
      <c r="Q66" s="140">
        <f ca="1">IF(ISNUMBER(MATCH(DATEVALUE($A66),'recurring1_based on steps'!Q$1:Q$400,0)),Q$2,)</f>
        <v>0</v>
      </c>
      <c r="R66" s="140">
        <f ca="1">IF(ISNUMBER(MATCH(DATEVALUE($A66),'recurring1_based on steps'!R$1:R$400,0)),R$2,)</f>
        <v>0</v>
      </c>
      <c r="S66" s="140">
        <f ca="1">IF(ISNUMBER(MATCH(DATEVALUE($A66),'recurring1_based on steps'!S$1:S$400,0)),S$2,)</f>
        <v>0</v>
      </c>
      <c r="T66" s="140">
        <f ca="1">IF(ISNUMBER(MATCH(DATEVALUE($A66),'recurring1_based on steps'!T$1:T$400,0)),T$2,)</f>
        <v>0</v>
      </c>
      <c r="U66" s="140">
        <f ca="1">IF(ISNUMBER(MATCH(DATEVALUE($A66),'recurring1_based on steps'!U$1:U$400,0)),U$2,)</f>
        <v>0</v>
      </c>
      <c r="V66" s="140">
        <f ca="1">IF(ISNUMBER(MATCH(DATEVALUE($A66),'recurring1_based on steps'!V$1:V$400,0)),V$2,)</f>
        <v>0</v>
      </c>
      <c r="W66" s="140">
        <f ca="1">IF(ISNUMBER(MATCH(DATEVALUE($A66),'recurring1_based on steps'!W$1:W$400,0)),W$2,)</f>
        <v>0</v>
      </c>
      <c r="X66" s="140">
        <f ca="1">IF(ISNUMBER(MATCH(DATEVALUE($A66),'recurring1_based on steps'!X$1:X$400,0)),X$2,)</f>
        <v>0</v>
      </c>
      <c r="Y66" s="140">
        <f ca="1">IF(ISNUMBER(MATCH(DATEVALUE($A66),'recurring1_based on steps'!Y$1:Y$400,0)),Y$2,)</f>
        <v>0</v>
      </c>
      <c r="Z66" s="140">
        <f ca="1">IF(ISNUMBER(MATCH(DATEVALUE($A66),'recurring1_based on steps'!Z$1:Z$400,0)),Z$2,)</f>
        <v>0</v>
      </c>
      <c r="AA66" s="140">
        <f ca="1">IF(ISNUMBER(MATCH(DATEVALUE($A66),'recurring1_based on steps'!AA$1:AA$400,0)),AA$2,)</f>
        <v>0</v>
      </c>
      <c r="AB66" s="140">
        <f ca="1">IF(ISNUMBER(MATCH(DATEVALUE($A66),'recurring1_based on steps'!AB$1:AB$400,0)),AB$2,)</f>
        <v>5.5401662049861494E-2</v>
      </c>
      <c r="AC66" s="140">
        <f ca="1">IF(ISNUMBER(MATCH(DATEVALUE($A66),'recurring1_based on steps'!AC$1:AC$400,0)),AC$2,)</f>
        <v>0</v>
      </c>
      <c r="AD66" s="140">
        <f ca="1">IF(ISNUMBER(MATCH(DATEVALUE($A66),'recurring1_based on steps'!AD$1:AD$400,0)),AD$2,)</f>
        <v>0</v>
      </c>
      <c r="AE66" s="140">
        <f ca="1">IF(ISNUMBER(MATCH(DATEVALUE($A66),'recurring1_based on steps'!AE$1:AE$400,0)),AE$2,)</f>
        <v>0</v>
      </c>
      <c r="AF66" s="140">
        <f ca="1">IF(ISNUMBER(MATCH(DATEVALUE($A66),'recurring1_based on steps'!AF$1:AF$400,0)),AF$2,)</f>
        <v>0</v>
      </c>
      <c r="AG66" s="140">
        <f ca="1">IF(ISNUMBER(MATCH(DATEVALUE($A66),'recurring1_based on steps'!AG$1:AG$400,0)),AG$2,)</f>
        <v>0</v>
      </c>
      <c r="AH66" s="140">
        <f ca="1">IF(ISNUMBER(MATCH(DATEVALUE($A66),'recurring1_based on steps'!AH$1:AH$400,0)),AH$2,)</f>
        <v>0</v>
      </c>
      <c r="AI66" s="140">
        <f ca="1">IF(ISNUMBER(MATCH(DATEVALUE($A66),'recurring1_based on steps'!AI$1:AI$400,0)),AI$2,)</f>
        <v>0</v>
      </c>
      <c r="AJ66" s="140">
        <f ca="1">IF(ISNUMBER(MATCH(DATEVALUE($A66),'recurring1_based on steps'!AJ$1:AJ$400,0)),AJ$2,)</f>
        <v>0</v>
      </c>
      <c r="AK66" s="140">
        <f ca="1">IF(ISNUMBER(MATCH(DATEVALUE($A66),'recurring1_based on steps'!AK$1:AK$400,0)),AK$2,)</f>
        <v>0</v>
      </c>
      <c r="AL66" s="140">
        <f ca="1">IF(ISNUMBER(MATCH(DATEVALUE($A66),'recurring1_based on steps'!AL$1:AL$400,0)),AL$2,)</f>
        <v>0</v>
      </c>
      <c r="AM66" s="140">
        <f ca="1">IF(ISNUMBER(MATCH(DATEVALUE($A66),'recurring1_based on steps'!AM$1:AM$400,0)),AM$2,)</f>
        <v>0</v>
      </c>
      <c r="AN66" s="140">
        <f ca="1">IF(ISNUMBER(MATCH(DATEVALUE($A66),'recurring1_based on steps'!AN$1:AN$400,0)),AN$2,)</f>
        <v>0</v>
      </c>
      <c r="AO66" s="140">
        <f ca="1">IF(ISNUMBER(MATCH(DATEVALUE($A66),'recurring1_based on steps'!AO$1:AO$400,0)),AO$2,)</f>
        <v>0</v>
      </c>
      <c r="AP66" s="140">
        <f ca="1">IF(ISNUMBER(MATCH(DATEVALUE($A66),'recurring1_based on steps'!AP$1:AP$400,0)),AP$2,)</f>
        <v>0</v>
      </c>
      <c r="AQ66" s="140">
        <f ca="1">IF(ISNUMBER(MATCH(DATEVALUE($A66),'recurring1_based on steps'!AQ$1:AQ$400,0)),AQ$2,)</f>
        <v>0</v>
      </c>
      <c r="AR66" s="140">
        <f ca="1">IF(ISNUMBER(MATCH(DATEVALUE($A66),'recurring1_based on steps'!AR$1:AR$400,0)),AR$2,)</f>
        <v>0</v>
      </c>
      <c r="AS66" s="140">
        <f ca="1">IF(ISNUMBER(MATCH(DATEVALUE($A66),'recurring1_based on steps'!AS$1:AS$400,0)),AS$2,)</f>
        <v>0</v>
      </c>
      <c r="AT66" s="140">
        <f ca="1">IF(ISNUMBER(MATCH(DATEVALUE($A66),'recurring1_based on steps'!AT$1:AT$400,0)),AT$2,)</f>
        <v>0</v>
      </c>
      <c r="AU66" s="140">
        <f ca="1">IF(ISNUMBER(MATCH(DATEVALUE($A66),'recurring1_based on steps'!AU$1:AU$400,0)),AU$2,)</f>
        <v>0</v>
      </c>
      <c r="AV66" s="140">
        <f ca="1">IF(ISNUMBER(MATCH(DATEVALUE($A66),'recurring1_based on steps'!AV$1:AV$400,0)),AV$2,)</f>
        <v>0</v>
      </c>
      <c r="AW66" s="140">
        <f ca="1">IF(ISNUMBER(MATCH(DATEVALUE($A66),'recurring1_based on steps'!AW$1:AW$400,0)),AW$2,)</f>
        <v>0</v>
      </c>
      <c r="AX66" s="140">
        <f ca="1">IF(ISNUMBER(MATCH(DATEVALUE($A66),'recurring1_based on steps'!AX$1:AX$400,0)),AX$2,)</f>
        <v>0</v>
      </c>
      <c r="AY66" s="140">
        <f ca="1">IF(ISNUMBER(MATCH(DATEVALUE($A66),'recurring1_based on steps'!AY$1:AY$400,0)),AY$2,)</f>
        <v>0</v>
      </c>
    </row>
    <row r="67" spans="1:51" x14ac:dyDescent="0.2">
      <c r="A67" s="29" t="str">
        <f t="shared" ca="1" si="0"/>
        <v>2025-05-30</v>
      </c>
      <c r="B67" s="140">
        <f ca="1">IF(ISNUMBER(MATCH(DATEVALUE($A67),'recurring1_based on steps'!B$1:B$400,0)),B$2,)</f>
        <v>4000</v>
      </c>
      <c r="C67" s="140">
        <f ca="1">IF(ISNUMBER(MATCH(DATEVALUE($A67),'recurring1_based on steps'!C$1:C$400,0)),C$2,)</f>
        <v>200</v>
      </c>
      <c r="D67" s="140">
        <f ca="1">IF(ISNUMBER(MATCH(DATEVALUE($A67),'recurring1_based on steps'!D$1:D$400,0)),D$2,)</f>
        <v>2</v>
      </c>
      <c r="E67" s="140">
        <f ca="1">IF(ISNUMBER(MATCH(DATEVALUE($A67),'recurring1_based on steps'!E$1:E$400,0)),E$2,)</f>
        <v>40</v>
      </c>
      <c r="F67" s="140">
        <f ca="1">IF(ISNUMBER(MATCH(DATEVALUE($A67),'recurring1_based on steps'!F$1:F$400,0)),F$2,)</f>
        <v>50</v>
      </c>
      <c r="G67" s="140">
        <f ca="1">IF(ISNUMBER(MATCH(DATEVALUE($A67),'recurring1_based on steps'!G$1:G$400,0)),G$2,)</f>
        <v>4</v>
      </c>
      <c r="H67" s="140">
        <f ca="1">IF(ISNUMBER(MATCH(DATEVALUE($A67),'recurring1_based on steps'!H$1:H$400,0)),H$2,)</f>
        <v>0</v>
      </c>
      <c r="I67" s="140">
        <f ca="1">IF(ISNUMBER(MATCH(DATEVALUE($A67),'recurring1_based on steps'!I$1:I$400,0)),I$2,)</f>
        <v>0</v>
      </c>
      <c r="J67" s="140">
        <f ca="1">IF(ISNUMBER(MATCH(DATEVALUE($A67),'recurring1_based on steps'!J$1:J$400,0)),J$2,)</f>
        <v>0</v>
      </c>
      <c r="K67" s="140">
        <f ca="1">IF(ISNUMBER(MATCH(DATEVALUE($A67),'recurring1_based on steps'!K$1:K$400,0)),K$2,)</f>
        <v>0</v>
      </c>
      <c r="L67" s="140">
        <f ca="1">IF(ISNUMBER(MATCH(DATEVALUE($A67),'recurring1_based on steps'!L$1:L$400,0)),L$2,)</f>
        <v>0</v>
      </c>
      <c r="M67" s="140">
        <f ca="1">IF(ISNUMBER(MATCH(DATEVALUE($A67),'recurring1_based on steps'!M$1:M$400,0)),M$2,)</f>
        <v>0</v>
      </c>
      <c r="N67" s="140">
        <f ca="1">IF(ISNUMBER(MATCH(DATEVALUE($A67),'recurring1_based on steps'!N$1:N$400,0)),N$2,)</f>
        <v>0</v>
      </c>
      <c r="O67" s="140">
        <f ca="1">IF(ISNUMBER(MATCH(DATEVALUE($A67),'recurring1_based on steps'!O$1:O$400,0)),O$2,)</f>
        <v>0</v>
      </c>
      <c r="P67" s="140">
        <f ca="1">IF(ISNUMBER(MATCH(DATEVALUE($A67),'recurring1_based on steps'!P$1:P$400,0)),P$2,)</f>
        <v>0</v>
      </c>
      <c r="Q67" s="140">
        <f ca="1">IF(ISNUMBER(MATCH(DATEVALUE($A67),'recurring1_based on steps'!Q$1:Q$400,0)),Q$2,)</f>
        <v>0</v>
      </c>
      <c r="R67" s="140">
        <f ca="1">IF(ISNUMBER(MATCH(DATEVALUE($A67),'recurring1_based on steps'!R$1:R$400,0)),R$2,)</f>
        <v>0</v>
      </c>
      <c r="S67" s="140">
        <f ca="1">IF(ISNUMBER(MATCH(DATEVALUE($A67),'recurring1_based on steps'!S$1:S$400,0)),S$2,)</f>
        <v>0</v>
      </c>
      <c r="T67" s="140">
        <f ca="1">IF(ISNUMBER(MATCH(DATEVALUE($A67),'recurring1_based on steps'!T$1:T$400,0)),T$2,)</f>
        <v>0</v>
      </c>
      <c r="U67" s="140">
        <f ca="1">IF(ISNUMBER(MATCH(DATEVALUE($A67),'recurring1_based on steps'!U$1:U$400,0)),U$2,)</f>
        <v>0</v>
      </c>
      <c r="V67" s="140">
        <f ca="1">IF(ISNUMBER(MATCH(DATEVALUE($A67),'recurring1_based on steps'!V$1:V$400,0)),V$2,)</f>
        <v>0</v>
      </c>
      <c r="W67" s="140">
        <f ca="1">IF(ISNUMBER(MATCH(DATEVALUE($A67),'recurring1_based on steps'!W$1:W$400,0)),W$2,)</f>
        <v>0</v>
      </c>
      <c r="X67" s="140">
        <f ca="1">IF(ISNUMBER(MATCH(DATEVALUE($A67),'recurring1_based on steps'!X$1:X$400,0)),X$2,)</f>
        <v>50</v>
      </c>
      <c r="Y67" s="140">
        <f ca="1">IF(ISNUMBER(MATCH(DATEVALUE($A67),'recurring1_based on steps'!Y$1:Y$400,0)),Y$2,)</f>
        <v>50</v>
      </c>
      <c r="Z67" s="140">
        <f ca="1">IF(ISNUMBER(MATCH(DATEVALUE($A67),'recurring1_based on steps'!Z$1:Z$400,0)),Z$2,)</f>
        <v>0</v>
      </c>
      <c r="AA67" s="140">
        <f ca="1">IF(ISNUMBER(MATCH(DATEVALUE($A67),'recurring1_based on steps'!AA$1:AA$400,0)),AA$2,)</f>
        <v>0</v>
      </c>
      <c r="AB67" s="140">
        <f ca="1">IF(ISNUMBER(MATCH(DATEVALUE($A67),'recurring1_based on steps'!AB$1:AB$400,0)),AB$2,)</f>
        <v>5.5401662049861494E-2</v>
      </c>
      <c r="AC67" s="140">
        <f ca="1">IF(ISNUMBER(MATCH(DATEVALUE($A67),'recurring1_based on steps'!AC$1:AC$400,0)),AC$2,)</f>
        <v>0</v>
      </c>
      <c r="AD67" s="140">
        <f ca="1">IF(ISNUMBER(MATCH(DATEVALUE($A67),'recurring1_based on steps'!AD$1:AD$400,0)),AD$2,)</f>
        <v>0</v>
      </c>
      <c r="AE67" s="140">
        <f ca="1">IF(ISNUMBER(MATCH(DATEVALUE($A67),'recurring1_based on steps'!AE$1:AE$400,0)),AE$2,)</f>
        <v>0</v>
      </c>
      <c r="AF67" s="140">
        <f ca="1">IF(ISNUMBER(MATCH(DATEVALUE($A67),'recurring1_based on steps'!AF$1:AF$400,0)),AF$2,)</f>
        <v>0</v>
      </c>
      <c r="AG67" s="140">
        <f ca="1">IF(ISNUMBER(MATCH(DATEVALUE($A67),'recurring1_based on steps'!AG$1:AG$400,0)),AG$2,)</f>
        <v>0</v>
      </c>
      <c r="AH67" s="140">
        <f ca="1">IF(ISNUMBER(MATCH(DATEVALUE($A67),'recurring1_based on steps'!AH$1:AH$400,0)),AH$2,)</f>
        <v>0</v>
      </c>
      <c r="AI67" s="140">
        <f ca="1">IF(ISNUMBER(MATCH(DATEVALUE($A67),'recurring1_based on steps'!AI$1:AI$400,0)),AI$2,)</f>
        <v>0</v>
      </c>
      <c r="AJ67" s="140">
        <f ca="1">IF(ISNUMBER(MATCH(DATEVALUE($A67),'recurring1_based on steps'!AJ$1:AJ$400,0)),AJ$2,)</f>
        <v>0</v>
      </c>
      <c r="AK67" s="140">
        <f ca="1">IF(ISNUMBER(MATCH(DATEVALUE($A67),'recurring1_based on steps'!AK$1:AK$400,0)),AK$2,)</f>
        <v>0</v>
      </c>
      <c r="AL67" s="140">
        <f ca="1">IF(ISNUMBER(MATCH(DATEVALUE($A67),'recurring1_based on steps'!AL$1:AL$400,0)),AL$2,)</f>
        <v>0</v>
      </c>
      <c r="AM67" s="140">
        <f ca="1">IF(ISNUMBER(MATCH(DATEVALUE($A67),'recurring1_based on steps'!AM$1:AM$400,0)),AM$2,)</f>
        <v>0</v>
      </c>
      <c r="AN67" s="140">
        <f ca="1">IF(ISNUMBER(MATCH(DATEVALUE($A67),'recurring1_based on steps'!AN$1:AN$400,0)),AN$2,)</f>
        <v>0</v>
      </c>
      <c r="AO67" s="140">
        <f ca="1">IF(ISNUMBER(MATCH(DATEVALUE($A67),'recurring1_based on steps'!AO$1:AO$400,0)),AO$2,)</f>
        <v>0</v>
      </c>
      <c r="AP67" s="140">
        <f ca="1">IF(ISNUMBER(MATCH(DATEVALUE($A67),'recurring1_based on steps'!AP$1:AP$400,0)),AP$2,)</f>
        <v>0</v>
      </c>
      <c r="AQ67" s="140">
        <f ca="1">IF(ISNUMBER(MATCH(DATEVALUE($A67),'recurring1_based on steps'!AQ$1:AQ$400,0)),AQ$2,)</f>
        <v>0</v>
      </c>
      <c r="AR67" s="140">
        <f ca="1">IF(ISNUMBER(MATCH(DATEVALUE($A67),'recurring1_based on steps'!AR$1:AR$400,0)),AR$2,)</f>
        <v>0</v>
      </c>
      <c r="AS67" s="140">
        <f ca="1">IF(ISNUMBER(MATCH(DATEVALUE($A67),'recurring1_based on steps'!AS$1:AS$400,0)),AS$2,)</f>
        <v>0</v>
      </c>
      <c r="AT67" s="140">
        <f ca="1">IF(ISNUMBER(MATCH(DATEVALUE($A67),'recurring1_based on steps'!AT$1:AT$400,0)),AT$2,)</f>
        <v>0</v>
      </c>
      <c r="AU67" s="140">
        <f ca="1">IF(ISNUMBER(MATCH(DATEVALUE($A67),'recurring1_based on steps'!AU$1:AU$400,0)),AU$2,)</f>
        <v>0</v>
      </c>
      <c r="AV67" s="140">
        <f ca="1">IF(ISNUMBER(MATCH(DATEVALUE($A67),'recurring1_based on steps'!AV$1:AV$400,0)),AV$2,)</f>
        <v>0</v>
      </c>
      <c r="AW67" s="140">
        <f ca="1">IF(ISNUMBER(MATCH(DATEVALUE($A67),'recurring1_based on steps'!AW$1:AW$400,0)),AW$2,)</f>
        <v>0</v>
      </c>
      <c r="AX67" s="140">
        <f ca="1">IF(ISNUMBER(MATCH(DATEVALUE($A67),'recurring1_based on steps'!AX$1:AX$400,0)),AX$2,)</f>
        <v>0</v>
      </c>
      <c r="AY67" s="140">
        <f ca="1">IF(ISNUMBER(MATCH(DATEVALUE($A67),'recurring1_based on steps'!AY$1:AY$400,0)),AY$2,)</f>
        <v>0</v>
      </c>
    </row>
    <row r="68" spans="1:51" x14ac:dyDescent="0.2">
      <c r="A68" s="29" t="str">
        <f t="shared" ca="1" si="0"/>
        <v>2025-05-31</v>
      </c>
      <c r="B68" s="140">
        <f ca="1">IF(ISNUMBER(MATCH(DATEVALUE($A68),'recurring1_based on steps'!B$1:B$400,0)),B$2,)</f>
        <v>0</v>
      </c>
      <c r="C68" s="140">
        <f ca="1">IF(ISNUMBER(MATCH(DATEVALUE($A68),'recurring1_based on steps'!C$1:C$400,0)),C$2,)</f>
        <v>0</v>
      </c>
      <c r="D68" s="140">
        <f ca="1">IF(ISNUMBER(MATCH(DATEVALUE($A68),'recurring1_based on steps'!D$1:D$400,0)),D$2,)</f>
        <v>0</v>
      </c>
      <c r="E68" s="140">
        <f ca="1">IF(ISNUMBER(MATCH(DATEVALUE($A68),'recurring1_based on steps'!E$1:E$400,0)),E$2,)</f>
        <v>0</v>
      </c>
      <c r="F68" s="140">
        <f ca="1">IF(ISNUMBER(MATCH(DATEVALUE($A68),'recurring1_based on steps'!F$1:F$400,0)),F$2,)</f>
        <v>0</v>
      </c>
      <c r="G68" s="140">
        <f ca="1">IF(ISNUMBER(MATCH(DATEVALUE($A68),'recurring1_based on steps'!G$1:G$400,0)),G$2,)</f>
        <v>0</v>
      </c>
      <c r="H68" s="140">
        <f ca="1">IF(ISNUMBER(MATCH(DATEVALUE($A68),'recurring1_based on steps'!H$1:H$400,0)),H$2,)</f>
        <v>40</v>
      </c>
      <c r="I68" s="140">
        <f ca="1">IF(ISNUMBER(MATCH(DATEVALUE($A68),'recurring1_based on steps'!I$1:I$400,0)),I$2,)</f>
        <v>0</v>
      </c>
      <c r="J68" s="140">
        <f ca="1">IF(ISNUMBER(MATCH(DATEVALUE($A68),'recurring1_based on steps'!J$1:J$400,0)),J$2,)</f>
        <v>0</v>
      </c>
      <c r="K68" s="140">
        <f ca="1">IF(ISNUMBER(MATCH(DATEVALUE($A68),'recurring1_based on steps'!K$1:K$400,0)),K$2,)</f>
        <v>0</v>
      </c>
      <c r="L68" s="140">
        <f ca="1">IF(ISNUMBER(MATCH(DATEVALUE($A68),'recurring1_based on steps'!L$1:L$400,0)),L$2,)</f>
        <v>0</v>
      </c>
      <c r="M68" s="140">
        <f ca="1">IF(ISNUMBER(MATCH(DATEVALUE($A68),'recurring1_based on steps'!M$1:M$400,0)),M$2,)</f>
        <v>0</v>
      </c>
      <c r="N68" s="140">
        <f ca="1">IF(ISNUMBER(MATCH(DATEVALUE($A68),'recurring1_based on steps'!N$1:N$400,0)),N$2,)</f>
        <v>0</v>
      </c>
      <c r="O68" s="140">
        <f ca="1">IF(ISNUMBER(MATCH(DATEVALUE($A68),'recurring1_based on steps'!O$1:O$400,0)),O$2,)</f>
        <v>0</v>
      </c>
      <c r="P68" s="140">
        <f ca="1">IF(ISNUMBER(MATCH(DATEVALUE($A68),'recurring1_based on steps'!P$1:P$400,0)),P$2,)</f>
        <v>0</v>
      </c>
      <c r="Q68" s="140">
        <f ca="1">IF(ISNUMBER(MATCH(DATEVALUE($A68),'recurring1_based on steps'!Q$1:Q$400,0)),Q$2,)</f>
        <v>100</v>
      </c>
      <c r="R68" s="140">
        <f ca="1">IF(ISNUMBER(MATCH(DATEVALUE($A68),'recurring1_based on steps'!R$1:R$400,0)),R$2,)</f>
        <v>100</v>
      </c>
      <c r="S68" s="140">
        <f ca="1">IF(ISNUMBER(MATCH(DATEVALUE($A68),'recurring1_based on steps'!S$1:S$400,0)),S$2,)</f>
        <v>0</v>
      </c>
      <c r="T68" s="140">
        <f ca="1">IF(ISNUMBER(MATCH(DATEVALUE($A68),'recurring1_based on steps'!T$1:T$400,0)),T$2,)</f>
        <v>0</v>
      </c>
      <c r="U68" s="140">
        <f ca="1">IF(ISNUMBER(MATCH(DATEVALUE($A68),'recurring1_based on steps'!U$1:U$400,0)),U$2,)</f>
        <v>0</v>
      </c>
      <c r="V68" s="140">
        <f ca="1">IF(ISNUMBER(MATCH(DATEVALUE($A68),'recurring1_based on steps'!V$1:V$400,0)),V$2,)</f>
        <v>0</v>
      </c>
      <c r="W68" s="140">
        <f ca="1">IF(ISNUMBER(MATCH(DATEVALUE($A68),'recurring1_based on steps'!W$1:W$400,0)),W$2,)</f>
        <v>100</v>
      </c>
      <c r="X68" s="140">
        <f ca="1">IF(ISNUMBER(MATCH(DATEVALUE($A68),'recurring1_based on steps'!X$1:X$400,0)),X$2,)</f>
        <v>0</v>
      </c>
      <c r="Y68" s="140">
        <f ca="1">IF(ISNUMBER(MATCH(DATEVALUE($A68),'recurring1_based on steps'!Y$1:Y$400,0)),Y$2,)</f>
        <v>0</v>
      </c>
      <c r="Z68" s="140">
        <f ca="1">IF(ISNUMBER(MATCH(DATEVALUE($A68),'recurring1_based on steps'!Z$1:Z$400,0)),Z$2,)</f>
        <v>0</v>
      </c>
      <c r="AA68" s="140">
        <f ca="1">IF(ISNUMBER(MATCH(DATEVALUE($A68),'recurring1_based on steps'!AA$1:AA$400,0)),AA$2,)</f>
        <v>0</v>
      </c>
      <c r="AB68" s="140">
        <f ca="1">IF(ISNUMBER(MATCH(DATEVALUE($A68),'recurring1_based on steps'!AB$1:AB$400,0)),AB$2,)</f>
        <v>5.5401662049861494E-2</v>
      </c>
      <c r="AC68" s="140">
        <f ca="1">IF(ISNUMBER(MATCH(DATEVALUE($A68),'recurring1_based on steps'!AC$1:AC$400,0)),AC$2,)</f>
        <v>0</v>
      </c>
      <c r="AD68" s="140">
        <f ca="1">IF(ISNUMBER(MATCH(DATEVALUE($A68),'recurring1_based on steps'!AD$1:AD$400,0)),AD$2,)</f>
        <v>0</v>
      </c>
      <c r="AE68" s="140">
        <f ca="1">IF(ISNUMBER(MATCH(DATEVALUE($A68),'recurring1_based on steps'!AE$1:AE$400,0)),AE$2,)</f>
        <v>0</v>
      </c>
      <c r="AF68" s="140">
        <f ca="1">IF(ISNUMBER(MATCH(DATEVALUE($A68),'recurring1_based on steps'!AF$1:AF$400,0)),AF$2,)</f>
        <v>0</v>
      </c>
      <c r="AG68" s="140">
        <f ca="1">IF(ISNUMBER(MATCH(DATEVALUE($A68),'recurring1_based on steps'!AG$1:AG$400,0)),AG$2,)</f>
        <v>0</v>
      </c>
      <c r="AH68" s="140">
        <f ca="1">IF(ISNUMBER(MATCH(DATEVALUE($A68),'recurring1_based on steps'!AH$1:AH$400,0)),AH$2,)</f>
        <v>0</v>
      </c>
      <c r="AI68" s="140">
        <f ca="1">IF(ISNUMBER(MATCH(DATEVALUE($A68),'recurring1_based on steps'!AI$1:AI$400,0)),AI$2,)</f>
        <v>0</v>
      </c>
      <c r="AJ68" s="140">
        <f ca="1">IF(ISNUMBER(MATCH(DATEVALUE($A68),'recurring1_based on steps'!AJ$1:AJ$400,0)),AJ$2,)</f>
        <v>0</v>
      </c>
      <c r="AK68" s="140">
        <f ca="1">IF(ISNUMBER(MATCH(DATEVALUE($A68),'recurring1_based on steps'!AK$1:AK$400,0)),AK$2,)</f>
        <v>0</v>
      </c>
      <c r="AL68" s="140">
        <f ca="1">IF(ISNUMBER(MATCH(DATEVALUE($A68),'recurring1_based on steps'!AL$1:AL$400,0)),AL$2,)</f>
        <v>0</v>
      </c>
      <c r="AM68" s="140">
        <f ca="1">IF(ISNUMBER(MATCH(DATEVALUE($A68),'recurring1_based on steps'!AM$1:AM$400,0)),AM$2,)</f>
        <v>0</v>
      </c>
      <c r="AN68" s="140">
        <f ca="1">IF(ISNUMBER(MATCH(DATEVALUE($A68),'recurring1_based on steps'!AN$1:AN$400,0)),AN$2,)</f>
        <v>0</v>
      </c>
      <c r="AO68" s="140">
        <f ca="1">IF(ISNUMBER(MATCH(DATEVALUE($A68),'recurring1_based on steps'!AO$1:AO$400,0)),AO$2,)</f>
        <v>0</v>
      </c>
      <c r="AP68" s="140">
        <f ca="1">IF(ISNUMBER(MATCH(DATEVALUE($A68),'recurring1_based on steps'!AP$1:AP$400,0)),AP$2,)</f>
        <v>0</v>
      </c>
      <c r="AQ68" s="140">
        <f ca="1">IF(ISNUMBER(MATCH(DATEVALUE($A68),'recurring1_based on steps'!AQ$1:AQ$400,0)),AQ$2,)</f>
        <v>0</v>
      </c>
      <c r="AR68" s="140">
        <f ca="1">IF(ISNUMBER(MATCH(DATEVALUE($A68),'recurring1_based on steps'!AR$1:AR$400,0)),AR$2,)</f>
        <v>0</v>
      </c>
      <c r="AS68" s="140">
        <f ca="1">IF(ISNUMBER(MATCH(DATEVALUE($A68),'recurring1_based on steps'!AS$1:AS$400,0)),AS$2,)</f>
        <v>0</v>
      </c>
      <c r="AT68" s="140">
        <f ca="1">IF(ISNUMBER(MATCH(DATEVALUE($A68),'recurring1_based on steps'!AT$1:AT$400,0)),AT$2,)</f>
        <v>0</v>
      </c>
      <c r="AU68" s="140">
        <f ca="1">IF(ISNUMBER(MATCH(DATEVALUE($A68),'recurring1_based on steps'!AU$1:AU$400,0)),AU$2,)</f>
        <v>0</v>
      </c>
      <c r="AV68" s="140">
        <f ca="1">IF(ISNUMBER(MATCH(DATEVALUE($A68),'recurring1_based on steps'!AV$1:AV$400,0)),AV$2,)</f>
        <v>0</v>
      </c>
      <c r="AW68" s="140">
        <f ca="1">IF(ISNUMBER(MATCH(DATEVALUE($A68),'recurring1_based on steps'!AW$1:AW$400,0)),AW$2,)</f>
        <v>0</v>
      </c>
      <c r="AX68" s="140">
        <f ca="1">IF(ISNUMBER(MATCH(DATEVALUE($A68),'recurring1_based on steps'!AX$1:AX$400,0)),AX$2,)</f>
        <v>0</v>
      </c>
      <c r="AY68" s="140">
        <f ca="1">IF(ISNUMBER(MATCH(DATEVALUE($A68),'recurring1_based on steps'!AY$1:AY$400,0)),AY$2,)</f>
        <v>0</v>
      </c>
    </row>
    <row r="69" spans="1:51" x14ac:dyDescent="0.2">
      <c r="A69" s="29" t="str">
        <f t="shared" ref="A69:A132" ca="1" si="1">TEXT(DATEVALUE(A68)+1,"yyyy-mm-dd")</f>
        <v>2025-06-01</v>
      </c>
      <c r="B69" s="140">
        <f ca="1">IF(ISNUMBER(MATCH(DATEVALUE($A69),'recurring1_based on steps'!B$1:B$400,0)),B$2,)</f>
        <v>0</v>
      </c>
      <c r="C69" s="140">
        <f ca="1">IF(ISNUMBER(MATCH(DATEVALUE($A69),'recurring1_based on steps'!C$1:C$400,0)),C$2,)</f>
        <v>0</v>
      </c>
      <c r="D69" s="140">
        <f ca="1">IF(ISNUMBER(MATCH(DATEVALUE($A69),'recurring1_based on steps'!D$1:D$400,0)),D$2,)</f>
        <v>0</v>
      </c>
      <c r="E69" s="140">
        <f ca="1">IF(ISNUMBER(MATCH(DATEVALUE($A69),'recurring1_based on steps'!E$1:E$400,0)),E$2,)</f>
        <v>0</v>
      </c>
      <c r="F69" s="140">
        <f ca="1">IF(ISNUMBER(MATCH(DATEVALUE($A69),'recurring1_based on steps'!F$1:F$400,0)),F$2,)</f>
        <v>0</v>
      </c>
      <c r="G69" s="140">
        <f ca="1">IF(ISNUMBER(MATCH(DATEVALUE($A69),'recurring1_based on steps'!G$1:G$400,0)),G$2,)</f>
        <v>0</v>
      </c>
      <c r="H69" s="140">
        <f ca="1">IF(ISNUMBER(MATCH(DATEVALUE($A69),'recurring1_based on steps'!H$1:H$400,0)),H$2,)</f>
        <v>0</v>
      </c>
      <c r="I69" s="140">
        <f ca="1">IF(ISNUMBER(MATCH(DATEVALUE($A69),'recurring1_based on steps'!I$1:I$400,0)),I$2,)</f>
        <v>2000</v>
      </c>
      <c r="J69" s="140">
        <f ca="1">IF(ISNUMBER(MATCH(DATEVALUE($A69),'recurring1_based on steps'!J$1:J$400,0)),J$2,)</f>
        <v>0</v>
      </c>
      <c r="K69" s="140">
        <f ca="1">IF(ISNUMBER(MATCH(DATEVALUE($A69),'recurring1_based on steps'!K$1:K$400,0)),K$2,)</f>
        <v>50</v>
      </c>
      <c r="L69" s="140">
        <f ca="1">IF(ISNUMBER(MATCH(DATEVALUE($A69),'recurring1_based on steps'!L$1:L$400,0)),L$2,)</f>
        <v>0</v>
      </c>
      <c r="M69" s="140">
        <f ca="1">IF(ISNUMBER(MATCH(DATEVALUE($A69),'recurring1_based on steps'!M$1:M$400,0)),M$2,)</f>
        <v>0</v>
      </c>
      <c r="N69" s="140">
        <f ca="1">IF(ISNUMBER(MATCH(DATEVALUE($A69),'recurring1_based on steps'!N$1:N$400,0)),N$2,)</f>
        <v>0</v>
      </c>
      <c r="O69" s="140">
        <f ca="1">IF(ISNUMBER(MATCH(DATEVALUE($A69),'recurring1_based on steps'!O$1:O$400,0)),O$2,)</f>
        <v>0</v>
      </c>
      <c r="P69" s="140">
        <f ca="1">IF(ISNUMBER(MATCH(DATEVALUE($A69),'recurring1_based on steps'!P$1:P$400,0)),P$2,)</f>
        <v>0</v>
      </c>
      <c r="Q69" s="140">
        <f ca="1">IF(ISNUMBER(MATCH(DATEVALUE($A69),'recurring1_based on steps'!Q$1:Q$400,0)),Q$2,)</f>
        <v>0</v>
      </c>
      <c r="R69" s="140">
        <f ca="1">IF(ISNUMBER(MATCH(DATEVALUE($A69),'recurring1_based on steps'!R$1:R$400,0)),R$2,)</f>
        <v>0</v>
      </c>
      <c r="S69" s="140">
        <f ca="1">IF(ISNUMBER(MATCH(DATEVALUE($A69),'recurring1_based on steps'!S$1:S$400,0)),S$2,)</f>
        <v>100</v>
      </c>
      <c r="T69" s="140">
        <f ca="1">IF(ISNUMBER(MATCH(DATEVALUE($A69),'recurring1_based on steps'!T$1:T$400,0)),T$2,)</f>
        <v>0</v>
      </c>
      <c r="U69" s="140">
        <f ca="1">IF(ISNUMBER(MATCH(DATEVALUE($A69),'recurring1_based on steps'!U$1:U$400,0)),U$2,)</f>
        <v>0</v>
      </c>
      <c r="V69" s="140">
        <f ca="1">IF(ISNUMBER(MATCH(DATEVALUE($A69),'recurring1_based on steps'!V$1:V$400,0)),V$2,)</f>
        <v>0</v>
      </c>
      <c r="W69" s="140">
        <f ca="1">IF(ISNUMBER(MATCH(DATEVALUE($A69),'recurring1_based on steps'!W$1:W$400,0)),W$2,)</f>
        <v>0</v>
      </c>
      <c r="X69" s="140">
        <f ca="1">IF(ISNUMBER(MATCH(DATEVALUE($A69),'recurring1_based on steps'!X$1:X$400,0)),X$2,)</f>
        <v>0</v>
      </c>
      <c r="Y69" s="140">
        <f ca="1">IF(ISNUMBER(MATCH(DATEVALUE($A69),'recurring1_based on steps'!Y$1:Y$400,0)),Y$2,)</f>
        <v>0</v>
      </c>
      <c r="Z69" s="140">
        <f ca="1">IF(ISNUMBER(MATCH(DATEVALUE($A69),'recurring1_based on steps'!Z$1:Z$400,0)),Z$2,)</f>
        <v>0</v>
      </c>
      <c r="AA69" s="140">
        <f ca="1">IF(ISNUMBER(MATCH(DATEVALUE($A69),'recurring1_based on steps'!AA$1:AA$400,0)),AA$2,)</f>
        <v>0</v>
      </c>
      <c r="AB69" s="140">
        <f ca="1">IF(ISNUMBER(MATCH(DATEVALUE($A69),'recurring1_based on steps'!AB$1:AB$400,0)),AB$2,)</f>
        <v>5.5401662049861494E-2</v>
      </c>
      <c r="AC69" s="140">
        <f ca="1">IF(ISNUMBER(MATCH(DATEVALUE($A69),'recurring1_based on steps'!AC$1:AC$400,0)),AC$2,)</f>
        <v>0</v>
      </c>
      <c r="AD69" s="140">
        <f ca="1">IF(ISNUMBER(MATCH(DATEVALUE($A69),'recurring1_based on steps'!AD$1:AD$400,0)),AD$2,)</f>
        <v>0</v>
      </c>
      <c r="AE69" s="140">
        <f ca="1">IF(ISNUMBER(MATCH(DATEVALUE($A69),'recurring1_based on steps'!AE$1:AE$400,0)),AE$2,)</f>
        <v>0</v>
      </c>
      <c r="AF69" s="140">
        <f ca="1">IF(ISNUMBER(MATCH(DATEVALUE($A69),'recurring1_based on steps'!AF$1:AF$400,0)),AF$2,)</f>
        <v>0</v>
      </c>
      <c r="AG69" s="140">
        <f ca="1">IF(ISNUMBER(MATCH(DATEVALUE($A69),'recurring1_based on steps'!AG$1:AG$400,0)),AG$2,)</f>
        <v>0</v>
      </c>
      <c r="AH69" s="140">
        <f ca="1">IF(ISNUMBER(MATCH(DATEVALUE($A69),'recurring1_based on steps'!AH$1:AH$400,0)),AH$2,)</f>
        <v>0</v>
      </c>
      <c r="AI69" s="140">
        <f ca="1">IF(ISNUMBER(MATCH(DATEVALUE($A69),'recurring1_based on steps'!AI$1:AI$400,0)),AI$2,)</f>
        <v>0</v>
      </c>
      <c r="AJ69" s="140">
        <f ca="1">IF(ISNUMBER(MATCH(DATEVALUE($A69),'recurring1_based on steps'!AJ$1:AJ$400,0)),AJ$2,)</f>
        <v>0</v>
      </c>
      <c r="AK69" s="140">
        <f ca="1">IF(ISNUMBER(MATCH(DATEVALUE($A69),'recurring1_based on steps'!AK$1:AK$400,0)),AK$2,)</f>
        <v>0</v>
      </c>
      <c r="AL69" s="140">
        <f ca="1">IF(ISNUMBER(MATCH(DATEVALUE($A69),'recurring1_based on steps'!AL$1:AL$400,0)),AL$2,)</f>
        <v>0</v>
      </c>
      <c r="AM69" s="140">
        <f ca="1">IF(ISNUMBER(MATCH(DATEVALUE($A69),'recurring1_based on steps'!AM$1:AM$400,0)),AM$2,)</f>
        <v>0</v>
      </c>
      <c r="AN69" s="140">
        <f ca="1">IF(ISNUMBER(MATCH(DATEVALUE($A69),'recurring1_based on steps'!AN$1:AN$400,0)),AN$2,)</f>
        <v>0</v>
      </c>
      <c r="AO69" s="140">
        <f ca="1">IF(ISNUMBER(MATCH(DATEVALUE($A69),'recurring1_based on steps'!AO$1:AO$400,0)),AO$2,)</f>
        <v>0</v>
      </c>
      <c r="AP69" s="140">
        <f ca="1">IF(ISNUMBER(MATCH(DATEVALUE($A69),'recurring1_based on steps'!AP$1:AP$400,0)),AP$2,)</f>
        <v>0</v>
      </c>
      <c r="AQ69" s="140">
        <f ca="1">IF(ISNUMBER(MATCH(DATEVALUE($A69),'recurring1_based on steps'!AQ$1:AQ$400,0)),AQ$2,)</f>
        <v>0</v>
      </c>
      <c r="AR69" s="140">
        <f ca="1">IF(ISNUMBER(MATCH(DATEVALUE($A69),'recurring1_based on steps'!AR$1:AR$400,0)),AR$2,)</f>
        <v>0</v>
      </c>
      <c r="AS69" s="140">
        <f ca="1">IF(ISNUMBER(MATCH(DATEVALUE($A69),'recurring1_based on steps'!AS$1:AS$400,0)),AS$2,)</f>
        <v>0</v>
      </c>
      <c r="AT69" s="140">
        <f ca="1">IF(ISNUMBER(MATCH(DATEVALUE($A69),'recurring1_based on steps'!AT$1:AT$400,0)),AT$2,)</f>
        <v>0</v>
      </c>
      <c r="AU69" s="140">
        <f ca="1">IF(ISNUMBER(MATCH(DATEVALUE($A69),'recurring1_based on steps'!AU$1:AU$400,0)),AU$2,)</f>
        <v>0</v>
      </c>
      <c r="AV69" s="140">
        <f ca="1">IF(ISNUMBER(MATCH(DATEVALUE($A69),'recurring1_based on steps'!AV$1:AV$400,0)),AV$2,)</f>
        <v>0</v>
      </c>
      <c r="AW69" s="140">
        <f ca="1">IF(ISNUMBER(MATCH(DATEVALUE($A69),'recurring1_based on steps'!AW$1:AW$400,0)),AW$2,)</f>
        <v>0</v>
      </c>
      <c r="AX69" s="140">
        <f ca="1">IF(ISNUMBER(MATCH(DATEVALUE($A69),'recurring1_based on steps'!AX$1:AX$400,0)),AX$2,)</f>
        <v>0</v>
      </c>
      <c r="AY69" s="140">
        <f ca="1">IF(ISNUMBER(MATCH(DATEVALUE($A69),'recurring1_based on steps'!AY$1:AY$400,0)),AY$2,)</f>
        <v>0</v>
      </c>
    </row>
    <row r="70" spans="1:51" x14ac:dyDescent="0.2">
      <c r="A70" s="29" t="str">
        <f t="shared" ca="1" si="1"/>
        <v>2025-06-02</v>
      </c>
      <c r="B70" s="140">
        <f ca="1">IF(ISNUMBER(MATCH(DATEVALUE($A70),'recurring1_based on steps'!B$1:B$400,0)),B$2,)</f>
        <v>0</v>
      </c>
      <c r="C70" s="140">
        <f ca="1">IF(ISNUMBER(MATCH(DATEVALUE($A70),'recurring1_based on steps'!C$1:C$400,0)),C$2,)</f>
        <v>0</v>
      </c>
      <c r="D70" s="140">
        <f ca="1">IF(ISNUMBER(MATCH(DATEVALUE($A70),'recurring1_based on steps'!D$1:D$400,0)),D$2,)</f>
        <v>0</v>
      </c>
      <c r="E70" s="140">
        <f ca="1">IF(ISNUMBER(MATCH(DATEVALUE($A70),'recurring1_based on steps'!E$1:E$400,0)),E$2,)</f>
        <v>0</v>
      </c>
      <c r="F70" s="140">
        <f ca="1">IF(ISNUMBER(MATCH(DATEVALUE($A70),'recurring1_based on steps'!F$1:F$400,0)),F$2,)</f>
        <v>0</v>
      </c>
      <c r="G70" s="140">
        <f ca="1">IF(ISNUMBER(MATCH(DATEVALUE($A70),'recurring1_based on steps'!G$1:G$400,0)),G$2,)</f>
        <v>0</v>
      </c>
      <c r="H70" s="140">
        <f ca="1">IF(ISNUMBER(MATCH(DATEVALUE($A70),'recurring1_based on steps'!H$1:H$400,0)),H$2,)</f>
        <v>0</v>
      </c>
      <c r="I70" s="140">
        <f ca="1">IF(ISNUMBER(MATCH(DATEVALUE($A70),'recurring1_based on steps'!I$1:I$400,0)),I$2,)</f>
        <v>0</v>
      </c>
      <c r="J70" s="140">
        <f ca="1">IF(ISNUMBER(MATCH(DATEVALUE($A70),'recurring1_based on steps'!J$1:J$400,0)),J$2,)</f>
        <v>0</v>
      </c>
      <c r="K70" s="140">
        <f ca="1">IF(ISNUMBER(MATCH(DATEVALUE($A70),'recurring1_based on steps'!K$1:K$400,0)),K$2,)</f>
        <v>0</v>
      </c>
      <c r="L70" s="140">
        <f ca="1">IF(ISNUMBER(MATCH(DATEVALUE($A70),'recurring1_based on steps'!L$1:L$400,0)),L$2,)</f>
        <v>0</v>
      </c>
      <c r="M70" s="140">
        <f ca="1">IF(ISNUMBER(MATCH(DATEVALUE($A70),'recurring1_based on steps'!M$1:M$400,0)),M$2,)</f>
        <v>0</v>
      </c>
      <c r="N70" s="140">
        <f ca="1">IF(ISNUMBER(MATCH(DATEVALUE($A70),'recurring1_based on steps'!N$1:N$400,0)),N$2,)</f>
        <v>0</v>
      </c>
      <c r="O70" s="140">
        <f ca="1">IF(ISNUMBER(MATCH(DATEVALUE($A70),'recurring1_based on steps'!O$1:O$400,0)),O$2,)</f>
        <v>0</v>
      </c>
      <c r="P70" s="140">
        <f ca="1">IF(ISNUMBER(MATCH(DATEVALUE($A70),'recurring1_based on steps'!P$1:P$400,0)),P$2,)</f>
        <v>0</v>
      </c>
      <c r="Q70" s="140">
        <f ca="1">IF(ISNUMBER(MATCH(DATEVALUE($A70),'recurring1_based on steps'!Q$1:Q$400,0)),Q$2,)</f>
        <v>0</v>
      </c>
      <c r="R70" s="140">
        <f ca="1">IF(ISNUMBER(MATCH(DATEVALUE($A70),'recurring1_based on steps'!R$1:R$400,0)),R$2,)</f>
        <v>0</v>
      </c>
      <c r="S70" s="140">
        <f ca="1">IF(ISNUMBER(MATCH(DATEVALUE($A70),'recurring1_based on steps'!S$1:S$400,0)),S$2,)</f>
        <v>0</v>
      </c>
      <c r="T70" s="140">
        <f ca="1">IF(ISNUMBER(MATCH(DATEVALUE($A70),'recurring1_based on steps'!T$1:T$400,0)),T$2,)</f>
        <v>0</v>
      </c>
      <c r="U70" s="140">
        <f ca="1">IF(ISNUMBER(MATCH(DATEVALUE($A70),'recurring1_based on steps'!U$1:U$400,0)),U$2,)</f>
        <v>0</v>
      </c>
      <c r="V70" s="140">
        <f ca="1">IF(ISNUMBER(MATCH(DATEVALUE($A70),'recurring1_based on steps'!V$1:V$400,0)),V$2,)</f>
        <v>0</v>
      </c>
      <c r="W70" s="140">
        <f ca="1">IF(ISNUMBER(MATCH(DATEVALUE($A70),'recurring1_based on steps'!W$1:W$400,0)),W$2,)</f>
        <v>0</v>
      </c>
      <c r="X70" s="140">
        <f ca="1">IF(ISNUMBER(MATCH(DATEVALUE($A70),'recurring1_based on steps'!X$1:X$400,0)),X$2,)</f>
        <v>0</v>
      </c>
      <c r="Y70" s="140">
        <f ca="1">IF(ISNUMBER(MATCH(DATEVALUE($A70),'recurring1_based on steps'!Y$1:Y$400,0)),Y$2,)</f>
        <v>0</v>
      </c>
      <c r="Z70" s="140">
        <f ca="1">IF(ISNUMBER(MATCH(DATEVALUE($A70),'recurring1_based on steps'!Z$1:Z$400,0)),Z$2,)</f>
        <v>0</v>
      </c>
      <c r="AA70" s="140">
        <f ca="1">IF(ISNUMBER(MATCH(DATEVALUE($A70),'recurring1_based on steps'!AA$1:AA$400,0)),AA$2,)</f>
        <v>0</v>
      </c>
      <c r="AB70" s="140">
        <f ca="1">IF(ISNUMBER(MATCH(DATEVALUE($A70),'recurring1_based on steps'!AB$1:AB$400,0)),AB$2,)</f>
        <v>5.5401662049861494E-2</v>
      </c>
      <c r="AC70" s="140">
        <f ca="1">IF(ISNUMBER(MATCH(DATEVALUE($A70),'recurring1_based on steps'!AC$1:AC$400,0)),AC$2,)</f>
        <v>0</v>
      </c>
      <c r="AD70" s="140">
        <f ca="1">IF(ISNUMBER(MATCH(DATEVALUE($A70),'recurring1_based on steps'!AD$1:AD$400,0)),AD$2,)</f>
        <v>0</v>
      </c>
      <c r="AE70" s="140">
        <f ca="1">IF(ISNUMBER(MATCH(DATEVALUE($A70),'recurring1_based on steps'!AE$1:AE$400,0)),AE$2,)</f>
        <v>0</v>
      </c>
      <c r="AF70" s="140">
        <f ca="1">IF(ISNUMBER(MATCH(DATEVALUE($A70),'recurring1_based on steps'!AF$1:AF$400,0)),AF$2,)</f>
        <v>0</v>
      </c>
      <c r="AG70" s="140">
        <f ca="1">IF(ISNUMBER(MATCH(DATEVALUE($A70),'recurring1_based on steps'!AG$1:AG$400,0)),AG$2,)</f>
        <v>0</v>
      </c>
      <c r="AH70" s="140">
        <f ca="1">IF(ISNUMBER(MATCH(DATEVALUE($A70),'recurring1_based on steps'!AH$1:AH$400,0)),AH$2,)</f>
        <v>0</v>
      </c>
      <c r="AI70" s="140">
        <f ca="1">IF(ISNUMBER(MATCH(DATEVALUE($A70),'recurring1_based on steps'!AI$1:AI$400,0)),AI$2,)</f>
        <v>0</v>
      </c>
      <c r="AJ70" s="140">
        <f ca="1">IF(ISNUMBER(MATCH(DATEVALUE($A70),'recurring1_based on steps'!AJ$1:AJ$400,0)),AJ$2,)</f>
        <v>0</v>
      </c>
      <c r="AK70" s="140">
        <f ca="1">IF(ISNUMBER(MATCH(DATEVALUE($A70),'recurring1_based on steps'!AK$1:AK$400,0)),AK$2,)</f>
        <v>0</v>
      </c>
      <c r="AL70" s="140">
        <f ca="1">IF(ISNUMBER(MATCH(DATEVALUE($A70),'recurring1_based on steps'!AL$1:AL$400,0)),AL$2,)</f>
        <v>0</v>
      </c>
      <c r="AM70" s="140">
        <f ca="1">IF(ISNUMBER(MATCH(DATEVALUE($A70),'recurring1_based on steps'!AM$1:AM$400,0)),AM$2,)</f>
        <v>0</v>
      </c>
      <c r="AN70" s="140">
        <f ca="1">IF(ISNUMBER(MATCH(DATEVALUE($A70),'recurring1_based on steps'!AN$1:AN$400,0)),AN$2,)</f>
        <v>0</v>
      </c>
      <c r="AO70" s="140">
        <f ca="1">IF(ISNUMBER(MATCH(DATEVALUE($A70),'recurring1_based on steps'!AO$1:AO$400,0)),AO$2,)</f>
        <v>0</v>
      </c>
      <c r="AP70" s="140">
        <f ca="1">IF(ISNUMBER(MATCH(DATEVALUE($A70),'recurring1_based on steps'!AP$1:AP$400,0)),AP$2,)</f>
        <v>0</v>
      </c>
      <c r="AQ70" s="140">
        <f ca="1">IF(ISNUMBER(MATCH(DATEVALUE($A70),'recurring1_based on steps'!AQ$1:AQ$400,0)),AQ$2,)</f>
        <v>0</v>
      </c>
      <c r="AR70" s="140">
        <f ca="1">IF(ISNUMBER(MATCH(DATEVALUE($A70),'recurring1_based on steps'!AR$1:AR$400,0)),AR$2,)</f>
        <v>0</v>
      </c>
      <c r="AS70" s="140">
        <f ca="1">IF(ISNUMBER(MATCH(DATEVALUE($A70),'recurring1_based on steps'!AS$1:AS$400,0)),AS$2,)</f>
        <v>0</v>
      </c>
      <c r="AT70" s="140">
        <f ca="1">IF(ISNUMBER(MATCH(DATEVALUE($A70),'recurring1_based on steps'!AT$1:AT$400,0)),AT$2,)</f>
        <v>0</v>
      </c>
      <c r="AU70" s="140">
        <f ca="1">IF(ISNUMBER(MATCH(DATEVALUE($A70),'recurring1_based on steps'!AU$1:AU$400,0)),AU$2,)</f>
        <v>0</v>
      </c>
      <c r="AV70" s="140">
        <f ca="1">IF(ISNUMBER(MATCH(DATEVALUE($A70),'recurring1_based on steps'!AV$1:AV$400,0)),AV$2,)</f>
        <v>0</v>
      </c>
      <c r="AW70" s="140">
        <f ca="1">IF(ISNUMBER(MATCH(DATEVALUE($A70),'recurring1_based on steps'!AW$1:AW$400,0)),AW$2,)</f>
        <v>0</v>
      </c>
      <c r="AX70" s="140">
        <f ca="1">IF(ISNUMBER(MATCH(DATEVALUE($A70),'recurring1_based on steps'!AX$1:AX$400,0)),AX$2,)</f>
        <v>0</v>
      </c>
      <c r="AY70" s="140">
        <f ca="1">IF(ISNUMBER(MATCH(DATEVALUE($A70),'recurring1_based on steps'!AY$1:AY$400,0)),AY$2,)</f>
        <v>0</v>
      </c>
    </row>
    <row r="71" spans="1:51" x14ac:dyDescent="0.2">
      <c r="A71" s="29" t="str">
        <f t="shared" ca="1" si="1"/>
        <v>2025-06-03</v>
      </c>
      <c r="B71" s="140">
        <f ca="1">IF(ISNUMBER(MATCH(DATEVALUE($A71),'recurring1_based on steps'!B$1:B$400,0)),B$2,)</f>
        <v>0</v>
      </c>
      <c r="C71" s="140">
        <f ca="1">IF(ISNUMBER(MATCH(DATEVALUE($A71),'recurring1_based on steps'!C$1:C$400,0)),C$2,)</f>
        <v>0</v>
      </c>
      <c r="D71" s="140">
        <f ca="1">IF(ISNUMBER(MATCH(DATEVALUE($A71),'recurring1_based on steps'!D$1:D$400,0)),D$2,)</f>
        <v>0</v>
      </c>
      <c r="E71" s="140">
        <f ca="1">IF(ISNUMBER(MATCH(DATEVALUE($A71),'recurring1_based on steps'!E$1:E$400,0)),E$2,)</f>
        <v>0</v>
      </c>
      <c r="F71" s="140">
        <f ca="1">IF(ISNUMBER(MATCH(DATEVALUE($A71),'recurring1_based on steps'!F$1:F$400,0)),F$2,)</f>
        <v>0</v>
      </c>
      <c r="G71" s="140">
        <f ca="1">IF(ISNUMBER(MATCH(DATEVALUE($A71),'recurring1_based on steps'!G$1:G$400,0)),G$2,)</f>
        <v>0</v>
      </c>
      <c r="H71" s="140">
        <f ca="1">IF(ISNUMBER(MATCH(DATEVALUE($A71),'recurring1_based on steps'!H$1:H$400,0)),H$2,)</f>
        <v>0</v>
      </c>
      <c r="I71" s="140">
        <f ca="1">IF(ISNUMBER(MATCH(DATEVALUE($A71),'recurring1_based on steps'!I$1:I$400,0)),I$2,)</f>
        <v>0</v>
      </c>
      <c r="J71" s="140">
        <f ca="1">IF(ISNUMBER(MATCH(DATEVALUE($A71),'recurring1_based on steps'!J$1:J$400,0)),J$2,)</f>
        <v>0</v>
      </c>
      <c r="K71" s="140">
        <f ca="1">IF(ISNUMBER(MATCH(DATEVALUE($A71),'recurring1_based on steps'!K$1:K$400,0)),K$2,)</f>
        <v>0</v>
      </c>
      <c r="L71" s="140">
        <f ca="1">IF(ISNUMBER(MATCH(DATEVALUE($A71),'recurring1_based on steps'!L$1:L$400,0)),L$2,)</f>
        <v>0</v>
      </c>
      <c r="M71" s="140">
        <f ca="1">IF(ISNUMBER(MATCH(DATEVALUE($A71),'recurring1_based on steps'!M$1:M$400,0)),M$2,)</f>
        <v>0</v>
      </c>
      <c r="N71" s="140">
        <f ca="1">IF(ISNUMBER(MATCH(DATEVALUE($A71),'recurring1_based on steps'!N$1:N$400,0)),N$2,)</f>
        <v>0</v>
      </c>
      <c r="O71" s="140">
        <f ca="1">IF(ISNUMBER(MATCH(DATEVALUE($A71),'recurring1_based on steps'!O$1:O$400,0)),O$2,)</f>
        <v>0</v>
      </c>
      <c r="P71" s="140">
        <f ca="1">IF(ISNUMBER(MATCH(DATEVALUE($A71),'recurring1_based on steps'!P$1:P$400,0)),P$2,)</f>
        <v>0</v>
      </c>
      <c r="Q71" s="140">
        <f ca="1">IF(ISNUMBER(MATCH(DATEVALUE($A71),'recurring1_based on steps'!Q$1:Q$400,0)),Q$2,)</f>
        <v>0</v>
      </c>
      <c r="R71" s="140">
        <f ca="1">IF(ISNUMBER(MATCH(DATEVALUE($A71),'recurring1_based on steps'!R$1:R$400,0)),R$2,)</f>
        <v>0</v>
      </c>
      <c r="S71" s="140">
        <f ca="1">IF(ISNUMBER(MATCH(DATEVALUE($A71),'recurring1_based on steps'!S$1:S$400,0)),S$2,)</f>
        <v>0</v>
      </c>
      <c r="T71" s="140">
        <f ca="1">IF(ISNUMBER(MATCH(DATEVALUE($A71),'recurring1_based on steps'!T$1:T$400,0)),T$2,)</f>
        <v>0</v>
      </c>
      <c r="U71" s="140">
        <f ca="1">IF(ISNUMBER(MATCH(DATEVALUE($A71),'recurring1_based on steps'!U$1:U$400,0)),U$2,)</f>
        <v>0</v>
      </c>
      <c r="V71" s="140">
        <f ca="1">IF(ISNUMBER(MATCH(DATEVALUE($A71),'recurring1_based on steps'!V$1:V$400,0)),V$2,)</f>
        <v>0</v>
      </c>
      <c r="W71" s="140">
        <f ca="1">IF(ISNUMBER(MATCH(DATEVALUE($A71),'recurring1_based on steps'!W$1:W$400,0)),W$2,)</f>
        <v>0</v>
      </c>
      <c r="X71" s="140">
        <f ca="1">IF(ISNUMBER(MATCH(DATEVALUE($A71),'recurring1_based on steps'!X$1:X$400,0)),X$2,)</f>
        <v>0</v>
      </c>
      <c r="Y71" s="140">
        <f ca="1">IF(ISNUMBER(MATCH(DATEVALUE($A71),'recurring1_based on steps'!Y$1:Y$400,0)),Y$2,)</f>
        <v>0</v>
      </c>
      <c r="Z71" s="140">
        <f ca="1">IF(ISNUMBER(MATCH(DATEVALUE($A71),'recurring1_based on steps'!Z$1:Z$400,0)),Z$2,)</f>
        <v>0</v>
      </c>
      <c r="AA71" s="140">
        <f ca="1">IF(ISNUMBER(MATCH(DATEVALUE($A71),'recurring1_based on steps'!AA$1:AA$400,0)),AA$2,)</f>
        <v>0</v>
      </c>
      <c r="AB71" s="140">
        <f ca="1">IF(ISNUMBER(MATCH(DATEVALUE($A71),'recurring1_based on steps'!AB$1:AB$400,0)),AB$2,)</f>
        <v>5.5401662049861494E-2</v>
      </c>
      <c r="AC71" s="140">
        <f ca="1">IF(ISNUMBER(MATCH(DATEVALUE($A71),'recurring1_based on steps'!AC$1:AC$400,0)),AC$2,)</f>
        <v>0</v>
      </c>
      <c r="AD71" s="140">
        <f ca="1">IF(ISNUMBER(MATCH(DATEVALUE($A71),'recurring1_based on steps'!AD$1:AD$400,0)),AD$2,)</f>
        <v>0</v>
      </c>
      <c r="AE71" s="140">
        <f ca="1">IF(ISNUMBER(MATCH(DATEVALUE($A71),'recurring1_based on steps'!AE$1:AE$400,0)),AE$2,)</f>
        <v>0</v>
      </c>
      <c r="AF71" s="140">
        <f ca="1">IF(ISNUMBER(MATCH(DATEVALUE($A71),'recurring1_based on steps'!AF$1:AF$400,0)),AF$2,)</f>
        <v>0</v>
      </c>
      <c r="AG71" s="140">
        <f ca="1">IF(ISNUMBER(MATCH(DATEVALUE($A71),'recurring1_based on steps'!AG$1:AG$400,0)),AG$2,)</f>
        <v>0</v>
      </c>
      <c r="AH71" s="140">
        <f ca="1">IF(ISNUMBER(MATCH(DATEVALUE($A71),'recurring1_based on steps'!AH$1:AH$400,0)),AH$2,)</f>
        <v>0</v>
      </c>
      <c r="AI71" s="140">
        <f ca="1">IF(ISNUMBER(MATCH(DATEVALUE($A71),'recurring1_based on steps'!AI$1:AI$400,0)),AI$2,)</f>
        <v>0</v>
      </c>
      <c r="AJ71" s="140">
        <f ca="1">IF(ISNUMBER(MATCH(DATEVALUE($A71),'recurring1_based on steps'!AJ$1:AJ$400,0)),AJ$2,)</f>
        <v>0</v>
      </c>
      <c r="AK71" s="140">
        <f ca="1">IF(ISNUMBER(MATCH(DATEVALUE($A71),'recurring1_based on steps'!AK$1:AK$400,0)),AK$2,)</f>
        <v>0</v>
      </c>
      <c r="AL71" s="140">
        <f ca="1">IF(ISNUMBER(MATCH(DATEVALUE($A71),'recurring1_based on steps'!AL$1:AL$400,0)),AL$2,)</f>
        <v>0</v>
      </c>
      <c r="AM71" s="140">
        <f ca="1">IF(ISNUMBER(MATCH(DATEVALUE($A71),'recurring1_based on steps'!AM$1:AM$400,0)),AM$2,)</f>
        <v>0</v>
      </c>
      <c r="AN71" s="140">
        <f ca="1">IF(ISNUMBER(MATCH(DATEVALUE($A71),'recurring1_based on steps'!AN$1:AN$400,0)),AN$2,)</f>
        <v>0</v>
      </c>
      <c r="AO71" s="140">
        <f ca="1">IF(ISNUMBER(MATCH(DATEVALUE($A71),'recurring1_based on steps'!AO$1:AO$400,0)),AO$2,)</f>
        <v>0</v>
      </c>
      <c r="AP71" s="140">
        <f ca="1">IF(ISNUMBER(MATCH(DATEVALUE($A71),'recurring1_based on steps'!AP$1:AP$400,0)),AP$2,)</f>
        <v>0</v>
      </c>
      <c r="AQ71" s="140">
        <f ca="1">IF(ISNUMBER(MATCH(DATEVALUE($A71),'recurring1_based on steps'!AQ$1:AQ$400,0)),AQ$2,)</f>
        <v>0</v>
      </c>
      <c r="AR71" s="140">
        <f ca="1">IF(ISNUMBER(MATCH(DATEVALUE($A71),'recurring1_based on steps'!AR$1:AR$400,0)),AR$2,)</f>
        <v>0</v>
      </c>
      <c r="AS71" s="140">
        <f ca="1">IF(ISNUMBER(MATCH(DATEVALUE($A71),'recurring1_based on steps'!AS$1:AS$400,0)),AS$2,)</f>
        <v>0</v>
      </c>
      <c r="AT71" s="140">
        <f ca="1">IF(ISNUMBER(MATCH(DATEVALUE($A71),'recurring1_based on steps'!AT$1:AT$400,0)),AT$2,)</f>
        <v>0</v>
      </c>
      <c r="AU71" s="140">
        <f ca="1">IF(ISNUMBER(MATCH(DATEVALUE($A71),'recurring1_based on steps'!AU$1:AU$400,0)),AU$2,)</f>
        <v>0</v>
      </c>
      <c r="AV71" s="140">
        <f ca="1">IF(ISNUMBER(MATCH(DATEVALUE($A71),'recurring1_based on steps'!AV$1:AV$400,0)),AV$2,)</f>
        <v>0</v>
      </c>
      <c r="AW71" s="140">
        <f ca="1">IF(ISNUMBER(MATCH(DATEVALUE($A71),'recurring1_based on steps'!AW$1:AW$400,0)),AW$2,)</f>
        <v>0</v>
      </c>
      <c r="AX71" s="140">
        <f ca="1">IF(ISNUMBER(MATCH(DATEVALUE($A71),'recurring1_based on steps'!AX$1:AX$400,0)),AX$2,)</f>
        <v>0</v>
      </c>
      <c r="AY71" s="140">
        <f ca="1">IF(ISNUMBER(MATCH(DATEVALUE($A71),'recurring1_based on steps'!AY$1:AY$400,0)),AY$2,)</f>
        <v>0</v>
      </c>
    </row>
    <row r="72" spans="1:51" x14ac:dyDescent="0.2">
      <c r="A72" s="29" t="str">
        <f t="shared" ca="1" si="1"/>
        <v>2025-06-04</v>
      </c>
      <c r="B72" s="140">
        <f ca="1">IF(ISNUMBER(MATCH(DATEVALUE($A72),'recurring1_based on steps'!B$1:B$400,0)),B$2,)</f>
        <v>0</v>
      </c>
      <c r="C72" s="140">
        <f ca="1">IF(ISNUMBER(MATCH(DATEVALUE($A72),'recurring1_based on steps'!C$1:C$400,0)),C$2,)</f>
        <v>0</v>
      </c>
      <c r="D72" s="140">
        <f ca="1">IF(ISNUMBER(MATCH(DATEVALUE($A72),'recurring1_based on steps'!D$1:D$400,0)),D$2,)</f>
        <v>0</v>
      </c>
      <c r="E72" s="140">
        <f ca="1">IF(ISNUMBER(MATCH(DATEVALUE($A72),'recurring1_based on steps'!E$1:E$400,0)),E$2,)</f>
        <v>0</v>
      </c>
      <c r="F72" s="140">
        <f ca="1">IF(ISNUMBER(MATCH(DATEVALUE($A72),'recurring1_based on steps'!F$1:F$400,0)),F$2,)</f>
        <v>0</v>
      </c>
      <c r="G72" s="140">
        <f ca="1">IF(ISNUMBER(MATCH(DATEVALUE($A72),'recurring1_based on steps'!G$1:G$400,0)),G$2,)</f>
        <v>0</v>
      </c>
      <c r="H72" s="140">
        <f ca="1">IF(ISNUMBER(MATCH(DATEVALUE($A72),'recurring1_based on steps'!H$1:H$400,0)),H$2,)</f>
        <v>0</v>
      </c>
      <c r="I72" s="140">
        <f ca="1">IF(ISNUMBER(MATCH(DATEVALUE($A72),'recurring1_based on steps'!I$1:I$400,0)),I$2,)</f>
        <v>0</v>
      </c>
      <c r="J72" s="140">
        <f ca="1">IF(ISNUMBER(MATCH(DATEVALUE($A72),'recurring1_based on steps'!J$1:J$400,0)),J$2,)</f>
        <v>0</v>
      </c>
      <c r="K72" s="140">
        <f ca="1">IF(ISNUMBER(MATCH(DATEVALUE($A72),'recurring1_based on steps'!K$1:K$400,0)),K$2,)</f>
        <v>0</v>
      </c>
      <c r="L72" s="140">
        <f ca="1">IF(ISNUMBER(MATCH(DATEVALUE($A72),'recurring1_based on steps'!L$1:L$400,0)),L$2,)</f>
        <v>0</v>
      </c>
      <c r="M72" s="140">
        <f ca="1">IF(ISNUMBER(MATCH(DATEVALUE($A72),'recurring1_based on steps'!M$1:M$400,0)),M$2,)</f>
        <v>15</v>
      </c>
      <c r="N72" s="140">
        <f ca="1">IF(ISNUMBER(MATCH(DATEVALUE($A72),'recurring1_based on steps'!N$1:N$400,0)),N$2,)</f>
        <v>0</v>
      </c>
      <c r="O72" s="140">
        <f ca="1">IF(ISNUMBER(MATCH(DATEVALUE($A72),'recurring1_based on steps'!O$1:O$400,0)),O$2,)</f>
        <v>0</v>
      </c>
      <c r="P72" s="140">
        <f ca="1">IF(ISNUMBER(MATCH(DATEVALUE($A72),'recurring1_based on steps'!P$1:P$400,0)),P$2,)</f>
        <v>0</v>
      </c>
      <c r="Q72" s="140">
        <f ca="1">IF(ISNUMBER(MATCH(DATEVALUE($A72),'recurring1_based on steps'!Q$1:Q$400,0)),Q$2,)</f>
        <v>0</v>
      </c>
      <c r="R72" s="140">
        <f ca="1">IF(ISNUMBER(MATCH(DATEVALUE($A72),'recurring1_based on steps'!R$1:R$400,0)),R$2,)</f>
        <v>0</v>
      </c>
      <c r="S72" s="140">
        <f ca="1">IF(ISNUMBER(MATCH(DATEVALUE($A72),'recurring1_based on steps'!S$1:S$400,0)),S$2,)</f>
        <v>0</v>
      </c>
      <c r="T72" s="140">
        <f ca="1">IF(ISNUMBER(MATCH(DATEVALUE($A72),'recurring1_based on steps'!T$1:T$400,0)),T$2,)</f>
        <v>0</v>
      </c>
      <c r="U72" s="140">
        <f ca="1">IF(ISNUMBER(MATCH(DATEVALUE($A72),'recurring1_based on steps'!U$1:U$400,0)),U$2,)</f>
        <v>0</v>
      </c>
      <c r="V72" s="140">
        <f ca="1">IF(ISNUMBER(MATCH(DATEVALUE($A72),'recurring1_based on steps'!V$1:V$400,0)),V$2,)</f>
        <v>0</v>
      </c>
      <c r="W72" s="140">
        <f ca="1">IF(ISNUMBER(MATCH(DATEVALUE($A72),'recurring1_based on steps'!W$1:W$400,0)),W$2,)</f>
        <v>0</v>
      </c>
      <c r="X72" s="140">
        <f ca="1">IF(ISNUMBER(MATCH(DATEVALUE($A72),'recurring1_based on steps'!X$1:X$400,0)),X$2,)</f>
        <v>0</v>
      </c>
      <c r="Y72" s="140">
        <f ca="1">IF(ISNUMBER(MATCH(DATEVALUE($A72),'recurring1_based on steps'!Y$1:Y$400,0)),Y$2,)</f>
        <v>0</v>
      </c>
      <c r="Z72" s="140">
        <f ca="1">IF(ISNUMBER(MATCH(DATEVALUE($A72),'recurring1_based on steps'!Z$1:Z$400,0)),Z$2,)</f>
        <v>0</v>
      </c>
      <c r="AA72" s="140">
        <f ca="1">IF(ISNUMBER(MATCH(DATEVALUE($A72),'recurring1_based on steps'!AA$1:AA$400,0)),AA$2,)</f>
        <v>0</v>
      </c>
      <c r="AB72" s="140">
        <f ca="1">IF(ISNUMBER(MATCH(DATEVALUE($A72),'recurring1_based on steps'!AB$1:AB$400,0)),AB$2,)</f>
        <v>5.5401662049861494E-2</v>
      </c>
      <c r="AC72" s="140">
        <f ca="1">IF(ISNUMBER(MATCH(DATEVALUE($A72),'recurring1_based on steps'!AC$1:AC$400,0)),AC$2,)</f>
        <v>0</v>
      </c>
      <c r="AD72" s="140">
        <f ca="1">IF(ISNUMBER(MATCH(DATEVALUE($A72),'recurring1_based on steps'!AD$1:AD$400,0)),AD$2,)</f>
        <v>0</v>
      </c>
      <c r="AE72" s="140">
        <f ca="1">IF(ISNUMBER(MATCH(DATEVALUE($A72),'recurring1_based on steps'!AE$1:AE$400,0)),AE$2,)</f>
        <v>0</v>
      </c>
      <c r="AF72" s="140">
        <f ca="1">IF(ISNUMBER(MATCH(DATEVALUE($A72),'recurring1_based on steps'!AF$1:AF$400,0)),AF$2,)</f>
        <v>0</v>
      </c>
      <c r="AG72" s="140">
        <f ca="1">IF(ISNUMBER(MATCH(DATEVALUE($A72),'recurring1_based on steps'!AG$1:AG$400,0)),AG$2,)</f>
        <v>0</v>
      </c>
      <c r="AH72" s="140">
        <f ca="1">IF(ISNUMBER(MATCH(DATEVALUE($A72),'recurring1_based on steps'!AH$1:AH$400,0)),AH$2,)</f>
        <v>0</v>
      </c>
      <c r="AI72" s="140">
        <f ca="1">IF(ISNUMBER(MATCH(DATEVALUE($A72),'recurring1_based on steps'!AI$1:AI$400,0)),AI$2,)</f>
        <v>0</v>
      </c>
      <c r="AJ72" s="140">
        <f ca="1">IF(ISNUMBER(MATCH(DATEVALUE($A72),'recurring1_based on steps'!AJ$1:AJ$400,0)),AJ$2,)</f>
        <v>0</v>
      </c>
      <c r="AK72" s="140">
        <f ca="1">IF(ISNUMBER(MATCH(DATEVALUE($A72),'recurring1_based on steps'!AK$1:AK$400,0)),AK$2,)</f>
        <v>0</v>
      </c>
      <c r="AL72" s="140">
        <f ca="1">IF(ISNUMBER(MATCH(DATEVALUE($A72),'recurring1_based on steps'!AL$1:AL$400,0)),AL$2,)</f>
        <v>0</v>
      </c>
      <c r="AM72" s="140">
        <f ca="1">IF(ISNUMBER(MATCH(DATEVALUE($A72),'recurring1_based on steps'!AM$1:AM$400,0)),AM$2,)</f>
        <v>0</v>
      </c>
      <c r="AN72" s="140">
        <f ca="1">IF(ISNUMBER(MATCH(DATEVALUE($A72),'recurring1_based on steps'!AN$1:AN$400,0)),AN$2,)</f>
        <v>0</v>
      </c>
      <c r="AO72" s="140">
        <f ca="1">IF(ISNUMBER(MATCH(DATEVALUE($A72),'recurring1_based on steps'!AO$1:AO$400,0)),AO$2,)</f>
        <v>0</v>
      </c>
      <c r="AP72" s="140">
        <f ca="1">IF(ISNUMBER(MATCH(DATEVALUE($A72),'recurring1_based on steps'!AP$1:AP$400,0)),AP$2,)</f>
        <v>0</v>
      </c>
      <c r="AQ72" s="140">
        <f ca="1">IF(ISNUMBER(MATCH(DATEVALUE($A72),'recurring1_based on steps'!AQ$1:AQ$400,0)),AQ$2,)</f>
        <v>0</v>
      </c>
      <c r="AR72" s="140">
        <f ca="1">IF(ISNUMBER(MATCH(DATEVALUE($A72),'recurring1_based on steps'!AR$1:AR$400,0)),AR$2,)</f>
        <v>0</v>
      </c>
      <c r="AS72" s="140">
        <f ca="1">IF(ISNUMBER(MATCH(DATEVALUE($A72),'recurring1_based on steps'!AS$1:AS$400,0)),AS$2,)</f>
        <v>0</v>
      </c>
      <c r="AT72" s="140">
        <f ca="1">IF(ISNUMBER(MATCH(DATEVALUE($A72),'recurring1_based on steps'!AT$1:AT$400,0)),AT$2,)</f>
        <v>0</v>
      </c>
      <c r="AU72" s="140">
        <f ca="1">IF(ISNUMBER(MATCH(DATEVALUE($A72),'recurring1_based on steps'!AU$1:AU$400,0)),AU$2,)</f>
        <v>0</v>
      </c>
      <c r="AV72" s="140">
        <f ca="1">IF(ISNUMBER(MATCH(DATEVALUE($A72),'recurring1_based on steps'!AV$1:AV$400,0)),AV$2,)</f>
        <v>0</v>
      </c>
      <c r="AW72" s="140">
        <f ca="1">IF(ISNUMBER(MATCH(DATEVALUE($A72),'recurring1_based on steps'!AW$1:AW$400,0)),AW$2,)</f>
        <v>0</v>
      </c>
      <c r="AX72" s="140">
        <f ca="1">IF(ISNUMBER(MATCH(DATEVALUE($A72),'recurring1_based on steps'!AX$1:AX$400,0)),AX$2,)</f>
        <v>0</v>
      </c>
      <c r="AY72" s="140">
        <f ca="1">IF(ISNUMBER(MATCH(DATEVALUE($A72),'recurring1_based on steps'!AY$1:AY$400,0)),AY$2,)</f>
        <v>0</v>
      </c>
    </row>
    <row r="73" spans="1:51" x14ac:dyDescent="0.2">
      <c r="A73" s="29" t="str">
        <f t="shared" ca="1" si="1"/>
        <v>2025-06-05</v>
      </c>
      <c r="B73" s="140">
        <f ca="1">IF(ISNUMBER(MATCH(DATEVALUE($A73),'recurring1_based on steps'!B$1:B$400,0)),B$2,)</f>
        <v>0</v>
      </c>
      <c r="C73" s="140">
        <f ca="1">IF(ISNUMBER(MATCH(DATEVALUE($A73),'recurring1_based on steps'!C$1:C$400,0)),C$2,)</f>
        <v>0</v>
      </c>
      <c r="D73" s="140">
        <f ca="1">IF(ISNUMBER(MATCH(DATEVALUE($A73),'recurring1_based on steps'!D$1:D$400,0)),D$2,)</f>
        <v>0</v>
      </c>
      <c r="E73" s="140">
        <f ca="1">IF(ISNUMBER(MATCH(DATEVALUE($A73),'recurring1_based on steps'!E$1:E$400,0)),E$2,)</f>
        <v>0</v>
      </c>
      <c r="F73" s="140">
        <f ca="1">IF(ISNUMBER(MATCH(DATEVALUE($A73),'recurring1_based on steps'!F$1:F$400,0)),F$2,)</f>
        <v>0</v>
      </c>
      <c r="G73" s="140">
        <f ca="1">IF(ISNUMBER(MATCH(DATEVALUE($A73),'recurring1_based on steps'!G$1:G$400,0)),G$2,)</f>
        <v>0</v>
      </c>
      <c r="H73" s="140">
        <f ca="1">IF(ISNUMBER(MATCH(DATEVALUE($A73),'recurring1_based on steps'!H$1:H$400,0)),H$2,)</f>
        <v>0</v>
      </c>
      <c r="I73" s="140">
        <f ca="1">IF(ISNUMBER(MATCH(DATEVALUE($A73),'recurring1_based on steps'!I$1:I$400,0)),I$2,)</f>
        <v>0</v>
      </c>
      <c r="J73" s="140">
        <f ca="1">IF(ISNUMBER(MATCH(DATEVALUE($A73),'recurring1_based on steps'!J$1:J$400,0)),J$2,)</f>
        <v>0</v>
      </c>
      <c r="K73" s="140">
        <f ca="1">IF(ISNUMBER(MATCH(DATEVALUE($A73),'recurring1_based on steps'!K$1:K$400,0)),K$2,)</f>
        <v>0</v>
      </c>
      <c r="L73" s="140">
        <f ca="1">IF(ISNUMBER(MATCH(DATEVALUE($A73),'recurring1_based on steps'!L$1:L$400,0)),L$2,)</f>
        <v>0</v>
      </c>
      <c r="M73" s="140">
        <f ca="1">IF(ISNUMBER(MATCH(DATEVALUE($A73),'recurring1_based on steps'!M$1:M$400,0)),M$2,)</f>
        <v>0</v>
      </c>
      <c r="N73" s="140">
        <f ca="1">IF(ISNUMBER(MATCH(DATEVALUE($A73),'recurring1_based on steps'!N$1:N$400,0)),N$2,)</f>
        <v>0</v>
      </c>
      <c r="O73" s="140">
        <f ca="1">IF(ISNUMBER(MATCH(DATEVALUE($A73),'recurring1_based on steps'!O$1:O$400,0)),O$2,)</f>
        <v>0</v>
      </c>
      <c r="P73" s="140">
        <f ca="1">IF(ISNUMBER(MATCH(DATEVALUE($A73),'recurring1_based on steps'!P$1:P$400,0)),P$2,)</f>
        <v>0</v>
      </c>
      <c r="Q73" s="140">
        <f ca="1">IF(ISNUMBER(MATCH(DATEVALUE($A73),'recurring1_based on steps'!Q$1:Q$400,0)),Q$2,)</f>
        <v>0</v>
      </c>
      <c r="R73" s="140">
        <f ca="1">IF(ISNUMBER(MATCH(DATEVALUE($A73),'recurring1_based on steps'!R$1:R$400,0)),R$2,)</f>
        <v>0</v>
      </c>
      <c r="S73" s="140">
        <f ca="1">IF(ISNUMBER(MATCH(DATEVALUE($A73),'recurring1_based on steps'!S$1:S$400,0)),S$2,)</f>
        <v>0</v>
      </c>
      <c r="T73" s="140">
        <f ca="1">IF(ISNUMBER(MATCH(DATEVALUE($A73),'recurring1_based on steps'!T$1:T$400,0)),T$2,)</f>
        <v>0</v>
      </c>
      <c r="U73" s="140">
        <f ca="1">IF(ISNUMBER(MATCH(DATEVALUE($A73),'recurring1_based on steps'!U$1:U$400,0)),U$2,)</f>
        <v>0</v>
      </c>
      <c r="V73" s="140">
        <f ca="1">IF(ISNUMBER(MATCH(DATEVALUE($A73),'recurring1_based on steps'!V$1:V$400,0)),V$2,)</f>
        <v>0</v>
      </c>
      <c r="W73" s="140">
        <f ca="1">IF(ISNUMBER(MATCH(DATEVALUE($A73),'recurring1_based on steps'!W$1:W$400,0)),W$2,)</f>
        <v>0</v>
      </c>
      <c r="X73" s="140">
        <f ca="1">IF(ISNUMBER(MATCH(DATEVALUE($A73),'recurring1_based on steps'!X$1:X$400,0)),X$2,)</f>
        <v>0</v>
      </c>
      <c r="Y73" s="140">
        <f ca="1">IF(ISNUMBER(MATCH(DATEVALUE($A73),'recurring1_based on steps'!Y$1:Y$400,0)),Y$2,)</f>
        <v>0</v>
      </c>
      <c r="Z73" s="140">
        <f ca="1">IF(ISNUMBER(MATCH(DATEVALUE($A73),'recurring1_based on steps'!Z$1:Z$400,0)),Z$2,)</f>
        <v>0</v>
      </c>
      <c r="AA73" s="140">
        <f ca="1">IF(ISNUMBER(MATCH(DATEVALUE($A73),'recurring1_based on steps'!AA$1:AA$400,0)),AA$2,)</f>
        <v>0</v>
      </c>
      <c r="AB73" s="140">
        <f ca="1">IF(ISNUMBER(MATCH(DATEVALUE($A73),'recurring1_based on steps'!AB$1:AB$400,0)),AB$2,)</f>
        <v>5.5401662049861494E-2</v>
      </c>
      <c r="AC73" s="140">
        <f ca="1">IF(ISNUMBER(MATCH(DATEVALUE($A73),'recurring1_based on steps'!AC$1:AC$400,0)),AC$2,)</f>
        <v>0</v>
      </c>
      <c r="AD73" s="140">
        <f ca="1">IF(ISNUMBER(MATCH(DATEVALUE($A73),'recurring1_based on steps'!AD$1:AD$400,0)),AD$2,)</f>
        <v>0</v>
      </c>
      <c r="AE73" s="140">
        <f ca="1">IF(ISNUMBER(MATCH(DATEVALUE($A73),'recurring1_based on steps'!AE$1:AE$400,0)),AE$2,)</f>
        <v>0</v>
      </c>
      <c r="AF73" s="140">
        <f ca="1">IF(ISNUMBER(MATCH(DATEVALUE($A73),'recurring1_based on steps'!AF$1:AF$400,0)),AF$2,)</f>
        <v>0</v>
      </c>
      <c r="AG73" s="140">
        <f ca="1">IF(ISNUMBER(MATCH(DATEVALUE($A73),'recurring1_based on steps'!AG$1:AG$400,0)),AG$2,)</f>
        <v>0</v>
      </c>
      <c r="AH73" s="140">
        <f ca="1">IF(ISNUMBER(MATCH(DATEVALUE($A73),'recurring1_based on steps'!AH$1:AH$400,0)),AH$2,)</f>
        <v>0</v>
      </c>
      <c r="AI73" s="140">
        <f ca="1">IF(ISNUMBER(MATCH(DATEVALUE($A73),'recurring1_based on steps'!AI$1:AI$400,0)),AI$2,)</f>
        <v>0</v>
      </c>
      <c r="AJ73" s="140">
        <f ca="1">IF(ISNUMBER(MATCH(DATEVALUE($A73),'recurring1_based on steps'!AJ$1:AJ$400,0)),AJ$2,)</f>
        <v>0</v>
      </c>
      <c r="AK73" s="140">
        <f ca="1">IF(ISNUMBER(MATCH(DATEVALUE($A73),'recurring1_based on steps'!AK$1:AK$400,0)),AK$2,)</f>
        <v>0</v>
      </c>
      <c r="AL73" s="140">
        <f ca="1">IF(ISNUMBER(MATCH(DATEVALUE($A73),'recurring1_based on steps'!AL$1:AL$400,0)),AL$2,)</f>
        <v>0</v>
      </c>
      <c r="AM73" s="140">
        <f ca="1">IF(ISNUMBER(MATCH(DATEVALUE($A73),'recurring1_based on steps'!AM$1:AM$400,0)),AM$2,)</f>
        <v>0</v>
      </c>
      <c r="AN73" s="140">
        <f ca="1">IF(ISNUMBER(MATCH(DATEVALUE($A73),'recurring1_based on steps'!AN$1:AN$400,0)),AN$2,)</f>
        <v>0</v>
      </c>
      <c r="AO73" s="140">
        <f ca="1">IF(ISNUMBER(MATCH(DATEVALUE($A73),'recurring1_based on steps'!AO$1:AO$400,0)),AO$2,)</f>
        <v>0</v>
      </c>
      <c r="AP73" s="140">
        <f ca="1">IF(ISNUMBER(MATCH(DATEVALUE($A73),'recurring1_based on steps'!AP$1:AP$400,0)),AP$2,)</f>
        <v>0</v>
      </c>
      <c r="AQ73" s="140">
        <f ca="1">IF(ISNUMBER(MATCH(DATEVALUE($A73),'recurring1_based on steps'!AQ$1:AQ$400,0)),AQ$2,)</f>
        <v>0</v>
      </c>
      <c r="AR73" s="140">
        <f ca="1">IF(ISNUMBER(MATCH(DATEVALUE($A73),'recurring1_based on steps'!AR$1:AR$400,0)),AR$2,)</f>
        <v>0</v>
      </c>
      <c r="AS73" s="140">
        <f ca="1">IF(ISNUMBER(MATCH(DATEVALUE($A73),'recurring1_based on steps'!AS$1:AS$400,0)),AS$2,)</f>
        <v>0</v>
      </c>
      <c r="AT73" s="140">
        <f ca="1">IF(ISNUMBER(MATCH(DATEVALUE($A73),'recurring1_based on steps'!AT$1:AT$400,0)),AT$2,)</f>
        <v>0</v>
      </c>
      <c r="AU73" s="140">
        <f ca="1">IF(ISNUMBER(MATCH(DATEVALUE($A73),'recurring1_based on steps'!AU$1:AU$400,0)),AU$2,)</f>
        <v>0</v>
      </c>
      <c r="AV73" s="140">
        <f ca="1">IF(ISNUMBER(MATCH(DATEVALUE($A73),'recurring1_based on steps'!AV$1:AV$400,0)),AV$2,)</f>
        <v>0</v>
      </c>
      <c r="AW73" s="140">
        <f ca="1">IF(ISNUMBER(MATCH(DATEVALUE($A73),'recurring1_based on steps'!AW$1:AW$400,0)),AW$2,)</f>
        <v>0</v>
      </c>
      <c r="AX73" s="140">
        <f ca="1">IF(ISNUMBER(MATCH(DATEVALUE($A73),'recurring1_based on steps'!AX$1:AX$400,0)),AX$2,)</f>
        <v>0</v>
      </c>
      <c r="AY73" s="140">
        <f ca="1">IF(ISNUMBER(MATCH(DATEVALUE($A73),'recurring1_based on steps'!AY$1:AY$400,0)),AY$2,)</f>
        <v>0</v>
      </c>
    </row>
    <row r="74" spans="1:51" x14ac:dyDescent="0.2">
      <c r="A74" s="29" t="str">
        <f t="shared" ca="1" si="1"/>
        <v>2025-06-06</v>
      </c>
      <c r="B74" s="140">
        <f ca="1">IF(ISNUMBER(MATCH(DATEVALUE($A74),'recurring1_based on steps'!B$1:B$400,0)),B$2,)</f>
        <v>0</v>
      </c>
      <c r="C74" s="140">
        <f ca="1">IF(ISNUMBER(MATCH(DATEVALUE($A74),'recurring1_based on steps'!C$1:C$400,0)),C$2,)</f>
        <v>0</v>
      </c>
      <c r="D74" s="140">
        <f ca="1">IF(ISNUMBER(MATCH(DATEVALUE($A74),'recurring1_based on steps'!D$1:D$400,0)),D$2,)</f>
        <v>0</v>
      </c>
      <c r="E74" s="140">
        <f ca="1">IF(ISNUMBER(MATCH(DATEVALUE($A74),'recurring1_based on steps'!E$1:E$400,0)),E$2,)</f>
        <v>0</v>
      </c>
      <c r="F74" s="140">
        <f ca="1">IF(ISNUMBER(MATCH(DATEVALUE($A74),'recurring1_based on steps'!F$1:F$400,0)),F$2,)</f>
        <v>0</v>
      </c>
      <c r="G74" s="140">
        <f ca="1">IF(ISNUMBER(MATCH(DATEVALUE($A74),'recurring1_based on steps'!G$1:G$400,0)),G$2,)</f>
        <v>0</v>
      </c>
      <c r="H74" s="140">
        <f ca="1">IF(ISNUMBER(MATCH(DATEVALUE($A74),'recurring1_based on steps'!H$1:H$400,0)),H$2,)</f>
        <v>0</v>
      </c>
      <c r="I74" s="140">
        <f ca="1">IF(ISNUMBER(MATCH(DATEVALUE($A74),'recurring1_based on steps'!I$1:I$400,0)),I$2,)</f>
        <v>0</v>
      </c>
      <c r="J74" s="140">
        <f ca="1">IF(ISNUMBER(MATCH(DATEVALUE($A74),'recurring1_based on steps'!J$1:J$400,0)),J$2,)</f>
        <v>0</v>
      </c>
      <c r="K74" s="140">
        <f ca="1">IF(ISNUMBER(MATCH(DATEVALUE($A74),'recurring1_based on steps'!K$1:K$400,0)),K$2,)</f>
        <v>0</v>
      </c>
      <c r="L74" s="140">
        <f ca="1">IF(ISNUMBER(MATCH(DATEVALUE($A74),'recurring1_based on steps'!L$1:L$400,0)),L$2,)</f>
        <v>0</v>
      </c>
      <c r="M74" s="140">
        <f ca="1">IF(ISNUMBER(MATCH(DATEVALUE($A74),'recurring1_based on steps'!M$1:M$400,0)),M$2,)</f>
        <v>0</v>
      </c>
      <c r="N74" s="140">
        <f ca="1">IF(ISNUMBER(MATCH(DATEVALUE($A74),'recurring1_based on steps'!N$1:N$400,0)),N$2,)</f>
        <v>0</v>
      </c>
      <c r="O74" s="140">
        <f ca="1">IF(ISNUMBER(MATCH(DATEVALUE($A74),'recurring1_based on steps'!O$1:O$400,0)),O$2,)</f>
        <v>0</v>
      </c>
      <c r="P74" s="140">
        <f ca="1">IF(ISNUMBER(MATCH(DATEVALUE($A74),'recurring1_based on steps'!P$1:P$400,0)),P$2,)</f>
        <v>0</v>
      </c>
      <c r="Q74" s="140">
        <f ca="1">IF(ISNUMBER(MATCH(DATEVALUE($A74),'recurring1_based on steps'!Q$1:Q$400,0)),Q$2,)</f>
        <v>0</v>
      </c>
      <c r="R74" s="140">
        <f ca="1">IF(ISNUMBER(MATCH(DATEVALUE($A74),'recurring1_based on steps'!R$1:R$400,0)),R$2,)</f>
        <v>0</v>
      </c>
      <c r="S74" s="140">
        <f ca="1">IF(ISNUMBER(MATCH(DATEVALUE($A74),'recurring1_based on steps'!S$1:S$400,0)),S$2,)</f>
        <v>0</v>
      </c>
      <c r="T74" s="140">
        <f ca="1">IF(ISNUMBER(MATCH(DATEVALUE($A74),'recurring1_based on steps'!T$1:T$400,0)),T$2,)</f>
        <v>0</v>
      </c>
      <c r="U74" s="140">
        <f ca="1">IF(ISNUMBER(MATCH(DATEVALUE($A74),'recurring1_based on steps'!U$1:U$400,0)),U$2,)</f>
        <v>0</v>
      </c>
      <c r="V74" s="140">
        <f ca="1">IF(ISNUMBER(MATCH(DATEVALUE($A74),'recurring1_based on steps'!V$1:V$400,0)),V$2,)</f>
        <v>0</v>
      </c>
      <c r="W74" s="140">
        <f ca="1">IF(ISNUMBER(MATCH(DATEVALUE($A74),'recurring1_based on steps'!W$1:W$400,0)),W$2,)</f>
        <v>0</v>
      </c>
      <c r="X74" s="140">
        <f ca="1">IF(ISNUMBER(MATCH(DATEVALUE($A74),'recurring1_based on steps'!X$1:X$400,0)),X$2,)</f>
        <v>0</v>
      </c>
      <c r="Y74" s="140">
        <f ca="1">IF(ISNUMBER(MATCH(DATEVALUE($A74),'recurring1_based on steps'!Y$1:Y$400,0)),Y$2,)</f>
        <v>0</v>
      </c>
      <c r="Z74" s="140">
        <f ca="1">IF(ISNUMBER(MATCH(DATEVALUE($A74),'recurring1_based on steps'!Z$1:Z$400,0)),Z$2,)</f>
        <v>0</v>
      </c>
      <c r="AA74" s="140">
        <f ca="1">IF(ISNUMBER(MATCH(DATEVALUE($A74),'recurring1_based on steps'!AA$1:AA$400,0)),AA$2,)</f>
        <v>0</v>
      </c>
      <c r="AB74" s="140">
        <f ca="1">IF(ISNUMBER(MATCH(DATEVALUE($A74),'recurring1_based on steps'!AB$1:AB$400,0)),AB$2,)</f>
        <v>5.5401662049861494E-2</v>
      </c>
      <c r="AC74" s="140">
        <f ca="1">IF(ISNUMBER(MATCH(DATEVALUE($A74),'recurring1_based on steps'!AC$1:AC$400,0)),AC$2,)</f>
        <v>0</v>
      </c>
      <c r="AD74" s="140">
        <f ca="1">IF(ISNUMBER(MATCH(DATEVALUE($A74),'recurring1_based on steps'!AD$1:AD$400,0)),AD$2,)</f>
        <v>0</v>
      </c>
      <c r="AE74" s="140">
        <f ca="1">IF(ISNUMBER(MATCH(DATEVALUE($A74),'recurring1_based on steps'!AE$1:AE$400,0)),AE$2,)</f>
        <v>0</v>
      </c>
      <c r="AF74" s="140">
        <f ca="1">IF(ISNUMBER(MATCH(DATEVALUE($A74),'recurring1_based on steps'!AF$1:AF$400,0)),AF$2,)</f>
        <v>0</v>
      </c>
      <c r="AG74" s="140">
        <f ca="1">IF(ISNUMBER(MATCH(DATEVALUE($A74),'recurring1_based on steps'!AG$1:AG$400,0)),AG$2,)</f>
        <v>0</v>
      </c>
      <c r="AH74" s="140">
        <f ca="1">IF(ISNUMBER(MATCH(DATEVALUE($A74),'recurring1_based on steps'!AH$1:AH$400,0)),AH$2,)</f>
        <v>0</v>
      </c>
      <c r="AI74" s="140">
        <f ca="1">IF(ISNUMBER(MATCH(DATEVALUE($A74),'recurring1_based on steps'!AI$1:AI$400,0)),AI$2,)</f>
        <v>0</v>
      </c>
      <c r="AJ74" s="140">
        <f ca="1">IF(ISNUMBER(MATCH(DATEVALUE($A74),'recurring1_based on steps'!AJ$1:AJ$400,0)),AJ$2,)</f>
        <v>0</v>
      </c>
      <c r="AK74" s="140">
        <f ca="1">IF(ISNUMBER(MATCH(DATEVALUE($A74),'recurring1_based on steps'!AK$1:AK$400,0)),AK$2,)</f>
        <v>0</v>
      </c>
      <c r="AL74" s="140">
        <f ca="1">IF(ISNUMBER(MATCH(DATEVALUE($A74),'recurring1_based on steps'!AL$1:AL$400,0)),AL$2,)</f>
        <v>0</v>
      </c>
      <c r="AM74" s="140">
        <f ca="1">IF(ISNUMBER(MATCH(DATEVALUE($A74),'recurring1_based on steps'!AM$1:AM$400,0)),AM$2,)</f>
        <v>0</v>
      </c>
      <c r="AN74" s="140">
        <f ca="1">IF(ISNUMBER(MATCH(DATEVALUE($A74),'recurring1_based on steps'!AN$1:AN$400,0)),AN$2,)</f>
        <v>0</v>
      </c>
      <c r="AO74" s="140">
        <f ca="1">IF(ISNUMBER(MATCH(DATEVALUE($A74),'recurring1_based on steps'!AO$1:AO$400,0)),AO$2,)</f>
        <v>0</v>
      </c>
      <c r="AP74" s="140">
        <f ca="1">IF(ISNUMBER(MATCH(DATEVALUE($A74),'recurring1_based on steps'!AP$1:AP$400,0)),AP$2,)</f>
        <v>0</v>
      </c>
      <c r="AQ74" s="140">
        <f ca="1">IF(ISNUMBER(MATCH(DATEVALUE($A74),'recurring1_based on steps'!AQ$1:AQ$400,0)),AQ$2,)</f>
        <v>0</v>
      </c>
      <c r="AR74" s="140">
        <f ca="1">IF(ISNUMBER(MATCH(DATEVALUE($A74),'recurring1_based on steps'!AR$1:AR$400,0)),AR$2,)</f>
        <v>0</v>
      </c>
      <c r="AS74" s="140">
        <f ca="1">IF(ISNUMBER(MATCH(DATEVALUE($A74),'recurring1_based on steps'!AS$1:AS$400,0)),AS$2,)</f>
        <v>0</v>
      </c>
      <c r="AT74" s="140">
        <f ca="1">IF(ISNUMBER(MATCH(DATEVALUE($A74),'recurring1_based on steps'!AT$1:AT$400,0)),AT$2,)</f>
        <v>0</v>
      </c>
      <c r="AU74" s="140">
        <f ca="1">IF(ISNUMBER(MATCH(DATEVALUE($A74),'recurring1_based on steps'!AU$1:AU$400,0)),AU$2,)</f>
        <v>0</v>
      </c>
      <c r="AV74" s="140">
        <f ca="1">IF(ISNUMBER(MATCH(DATEVALUE($A74),'recurring1_based on steps'!AV$1:AV$400,0)),AV$2,)</f>
        <v>0</v>
      </c>
      <c r="AW74" s="140">
        <f ca="1">IF(ISNUMBER(MATCH(DATEVALUE($A74),'recurring1_based on steps'!AW$1:AW$400,0)),AW$2,)</f>
        <v>0</v>
      </c>
      <c r="AX74" s="140">
        <f ca="1">IF(ISNUMBER(MATCH(DATEVALUE($A74),'recurring1_based on steps'!AX$1:AX$400,0)),AX$2,)</f>
        <v>0</v>
      </c>
      <c r="AY74" s="140">
        <f ca="1">IF(ISNUMBER(MATCH(DATEVALUE($A74),'recurring1_based on steps'!AY$1:AY$400,0)),AY$2,)</f>
        <v>0</v>
      </c>
    </row>
    <row r="75" spans="1:51" x14ac:dyDescent="0.2">
      <c r="A75" s="29" t="str">
        <f t="shared" ca="1" si="1"/>
        <v>2025-06-07</v>
      </c>
      <c r="B75" s="140">
        <f ca="1">IF(ISNUMBER(MATCH(DATEVALUE($A75),'recurring1_based on steps'!B$1:B$400,0)),B$2,)</f>
        <v>0</v>
      </c>
      <c r="C75" s="140">
        <f ca="1">IF(ISNUMBER(MATCH(DATEVALUE($A75),'recurring1_based on steps'!C$1:C$400,0)),C$2,)</f>
        <v>0</v>
      </c>
      <c r="D75" s="140">
        <f ca="1">IF(ISNUMBER(MATCH(DATEVALUE($A75),'recurring1_based on steps'!D$1:D$400,0)),D$2,)</f>
        <v>0</v>
      </c>
      <c r="E75" s="140">
        <f ca="1">IF(ISNUMBER(MATCH(DATEVALUE($A75),'recurring1_based on steps'!E$1:E$400,0)),E$2,)</f>
        <v>0</v>
      </c>
      <c r="F75" s="140">
        <f ca="1">IF(ISNUMBER(MATCH(DATEVALUE($A75),'recurring1_based on steps'!F$1:F$400,0)),F$2,)</f>
        <v>0</v>
      </c>
      <c r="G75" s="140">
        <f ca="1">IF(ISNUMBER(MATCH(DATEVALUE($A75),'recurring1_based on steps'!G$1:G$400,0)),G$2,)</f>
        <v>0</v>
      </c>
      <c r="H75" s="140">
        <f ca="1">IF(ISNUMBER(MATCH(DATEVALUE($A75),'recurring1_based on steps'!H$1:H$400,0)),H$2,)</f>
        <v>0</v>
      </c>
      <c r="I75" s="140">
        <f ca="1">IF(ISNUMBER(MATCH(DATEVALUE($A75),'recurring1_based on steps'!I$1:I$400,0)),I$2,)</f>
        <v>0</v>
      </c>
      <c r="J75" s="140">
        <f ca="1">IF(ISNUMBER(MATCH(DATEVALUE($A75),'recurring1_based on steps'!J$1:J$400,0)),J$2,)</f>
        <v>0</v>
      </c>
      <c r="K75" s="140">
        <f ca="1">IF(ISNUMBER(MATCH(DATEVALUE($A75),'recurring1_based on steps'!K$1:K$400,0)),K$2,)</f>
        <v>0</v>
      </c>
      <c r="L75" s="140">
        <f ca="1">IF(ISNUMBER(MATCH(DATEVALUE($A75),'recurring1_based on steps'!L$1:L$400,0)),L$2,)</f>
        <v>0</v>
      </c>
      <c r="M75" s="140">
        <f ca="1">IF(ISNUMBER(MATCH(DATEVALUE($A75),'recurring1_based on steps'!M$1:M$400,0)),M$2,)</f>
        <v>0</v>
      </c>
      <c r="N75" s="140">
        <f ca="1">IF(ISNUMBER(MATCH(DATEVALUE($A75),'recurring1_based on steps'!N$1:N$400,0)),N$2,)</f>
        <v>0</v>
      </c>
      <c r="O75" s="140">
        <f ca="1">IF(ISNUMBER(MATCH(DATEVALUE($A75),'recurring1_based on steps'!O$1:O$400,0)),O$2,)</f>
        <v>0</v>
      </c>
      <c r="P75" s="140">
        <f ca="1">IF(ISNUMBER(MATCH(DATEVALUE($A75),'recurring1_based on steps'!P$1:P$400,0)),P$2,)</f>
        <v>0</v>
      </c>
      <c r="Q75" s="140">
        <f ca="1">IF(ISNUMBER(MATCH(DATEVALUE($A75),'recurring1_based on steps'!Q$1:Q$400,0)),Q$2,)</f>
        <v>100</v>
      </c>
      <c r="R75" s="140">
        <f ca="1">IF(ISNUMBER(MATCH(DATEVALUE($A75),'recurring1_based on steps'!R$1:R$400,0)),R$2,)</f>
        <v>100</v>
      </c>
      <c r="S75" s="140">
        <f ca="1">IF(ISNUMBER(MATCH(DATEVALUE($A75),'recurring1_based on steps'!S$1:S$400,0)),S$2,)</f>
        <v>0</v>
      </c>
      <c r="T75" s="140">
        <f ca="1">IF(ISNUMBER(MATCH(DATEVALUE($A75),'recurring1_based on steps'!T$1:T$400,0)),T$2,)</f>
        <v>0</v>
      </c>
      <c r="U75" s="140">
        <f ca="1">IF(ISNUMBER(MATCH(DATEVALUE($A75),'recurring1_based on steps'!U$1:U$400,0)),U$2,)</f>
        <v>0</v>
      </c>
      <c r="V75" s="140">
        <f ca="1">IF(ISNUMBER(MATCH(DATEVALUE($A75),'recurring1_based on steps'!V$1:V$400,0)),V$2,)</f>
        <v>0</v>
      </c>
      <c r="W75" s="140">
        <f ca="1">IF(ISNUMBER(MATCH(DATEVALUE($A75),'recurring1_based on steps'!W$1:W$400,0)),W$2,)</f>
        <v>0</v>
      </c>
      <c r="X75" s="140">
        <f ca="1">IF(ISNUMBER(MATCH(DATEVALUE($A75),'recurring1_based on steps'!X$1:X$400,0)),X$2,)</f>
        <v>0</v>
      </c>
      <c r="Y75" s="140">
        <f ca="1">IF(ISNUMBER(MATCH(DATEVALUE($A75),'recurring1_based on steps'!Y$1:Y$400,0)),Y$2,)</f>
        <v>0</v>
      </c>
      <c r="Z75" s="140">
        <f ca="1">IF(ISNUMBER(MATCH(DATEVALUE($A75),'recurring1_based on steps'!Z$1:Z$400,0)),Z$2,)</f>
        <v>0</v>
      </c>
      <c r="AA75" s="140">
        <f ca="1">IF(ISNUMBER(MATCH(DATEVALUE($A75),'recurring1_based on steps'!AA$1:AA$400,0)),AA$2,)</f>
        <v>0</v>
      </c>
      <c r="AB75" s="140">
        <f ca="1">IF(ISNUMBER(MATCH(DATEVALUE($A75),'recurring1_based on steps'!AB$1:AB$400,0)),AB$2,)</f>
        <v>5.5401662049861494E-2</v>
      </c>
      <c r="AC75" s="140">
        <f ca="1">IF(ISNUMBER(MATCH(DATEVALUE($A75),'recurring1_based on steps'!AC$1:AC$400,0)),AC$2,)</f>
        <v>0</v>
      </c>
      <c r="AD75" s="140">
        <f ca="1">IF(ISNUMBER(MATCH(DATEVALUE($A75),'recurring1_based on steps'!AD$1:AD$400,0)),AD$2,)</f>
        <v>0</v>
      </c>
      <c r="AE75" s="140">
        <f ca="1">IF(ISNUMBER(MATCH(DATEVALUE($A75),'recurring1_based on steps'!AE$1:AE$400,0)),AE$2,)</f>
        <v>0</v>
      </c>
      <c r="AF75" s="140">
        <f ca="1">IF(ISNUMBER(MATCH(DATEVALUE($A75),'recurring1_based on steps'!AF$1:AF$400,0)),AF$2,)</f>
        <v>0</v>
      </c>
      <c r="AG75" s="140">
        <f ca="1">IF(ISNUMBER(MATCH(DATEVALUE($A75),'recurring1_based on steps'!AG$1:AG$400,0)),AG$2,)</f>
        <v>0</v>
      </c>
      <c r="AH75" s="140">
        <f ca="1">IF(ISNUMBER(MATCH(DATEVALUE($A75),'recurring1_based on steps'!AH$1:AH$400,0)),AH$2,)</f>
        <v>0</v>
      </c>
      <c r="AI75" s="140">
        <f ca="1">IF(ISNUMBER(MATCH(DATEVALUE($A75),'recurring1_based on steps'!AI$1:AI$400,0)),AI$2,)</f>
        <v>0</v>
      </c>
      <c r="AJ75" s="140">
        <f ca="1">IF(ISNUMBER(MATCH(DATEVALUE($A75),'recurring1_based on steps'!AJ$1:AJ$400,0)),AJ$2,)</f>
        <v>0</v>
      </c>
      <c r="AK75" s="140">
        <f ca="1">IF(ISNUMBER(MATCH(DATEVALUE($A75),'recurring1_based on steps'!AK$1:AK$400,0)),AK$2,)</f>
        <v>0</v>
      </c>
      <c r="AL75" s="140">
        <f ca="1">IF(ISNUMBER(MATCH(DATEVALUE($A75),'recurring1_based on steps'!AL$1:AL$400,0)),AL$2,)</f>
        <v>0</v>
      </c>
      <c r="AM75" s="140">
        <f ca="1">IF(ISNUMBER(MATCH(DATEVALUE($A75),'recurring1_based on steps'!AM$1:AM$400,0)),AM$2,)</f>
        <v>0</v>
      </c>
      <c r="AN75" s="140">
        <f ca="1">IF(ISNUMBER(MATCH(DATEVALUE($A75),'recurring1_based on steps'!AN$1:AN$400,0)),AN$2,)</f>
        <v>0</v>
      </c>
      <c r="AO75" s="140">
        <f ca="1">IF(ISNUMBER(MATCH(DATEVALUE($A75),'recurring1_based on steps'!AO$1:AO$400,0)),AO$2,)</f>
        <v>0</v>
      </c>
      <c r="AP75" s="140">
        <f ca="1">IF(ISNUMBER(MATCH(DATEVALUE($A75),'recurring1_based on steps'!AP$1:AP$400,0)),AP$2,)</f>
        <v>0</v>
      </c>
      <c r="AQ75" s="140">
        <f ca="1">IF(ISNUMBER(MATCH(DATEVALUE($A75),'recurring1_based on steps'!AQ$1:AQ$400,0)),AQ$2,)</f>
        <v>0</v>
      </c>
      <c r="AR75" s="140">
        <f ca="1">IF(ISNUMBER(MATCH(DATEVALUE($A75),'recurring1_based on steps'!AR$1:AR$400,0)),AR$2,)</f>
        <v>0</v>
      </c>
      <c r="AS75" s="140">
        <f ca="1">IF(ISNUMBER(MATCH(DATEVALUE($A75),'recurring1_based on steps'!AS$1:AS$400,0)),AS$2,)</f>
        <v>0</v>
      </c>
      <c r="AT75" s="140">
        <f ca="1">IF(ISNUMBER(MATCH(DATEVALUE($A75),'recurring1_based on steps'!AT$1:AT$400,0)),AT$2,)</f>
        <v>0</v>
      </c>
      <c r="AU75" s="140">
        <f ca="1">IF(ISNUMBER(MATCH(DATEVALUE($A75),'recurring1_based on steps'!AU$1:AU$400,0)),AU$2,)</f>
        <v>0</v>
      </c>
      <c r="AV75" s="140">
        <f ca="1">IF(ISNUMBER(MATCH(DATEVALUE($A75),'recurring1_based on steps'!AV$1:AV$400,0)),AV$2,)</f>
        <v>0</v>
      </c>
      <c r="AW75" s="140">
        <f ca="1">IF(ISNUMBER(MATCH(DATEVALUE($A75),'recurring1_based on steps'!AW$1:AW$400,0)),AW$2,)</f>
        <v>0</v>
      </c>
      <c r="AX75" s="140">
        <f ca="1">IF(ISNUMBER(MATCH(DATEVALUE($A75),'recurring1_based on steps'!AX$1:AX$400,0)),AX$2,)</f>
        <v>0</v>
      </c>
      <c r="AY75" s="140">
        <f ca="1">IF(ISNUMBER(MATCH(DATEVALUE($A75),'recurring1_based on steps'!AY$1:AY$400,0)),AY$2,)</f>
        <v>0</v>
      </c>
    </row>
    <row r="76" spans="1:51" x14ac:dyDescent="0.2">
      <c r="A76" s="29" t="str">
        <f t="shared" ca="1" si="1"/>
        <v>2025-06-08</v>
      </c>
      <c r="B76" s="140">
        <f ca="1">IF(ISNUMBER(MATCH(DATEVALUE($A76),'recurring1_based on steps'!B$1:B$400,0)),B$2,)</f>
        <v>0</v>
      </c>
      <c r="C76" s="140">
        <f ca="1">IF(ISNUMBER(MATCH(DATEVALUE($A76),'recurring1_based on steps'!C$1:C$400,0)),C$2,)</f>
        <v>0</v>
      </c>
      <c r="D76" s="140">
        <f ca="1">IF(ISNUMBER(MATCH(DATEVALUE($A76),'recurring1_based on steps'!D$1:D$400,0)),D$2,)</f>
        <v>0</v>
      </c>
      <c r="E76" s="140">
        <f ca="1">IF(ISNUMBER(MATCH(DATEVALUE($A76),'recurring1_based on steps'!E$1:E$400,0)),E$2,)</f>
        <v>0</v>
      </c>
      <c r="F76" s="140">
        <f ca="1">IF(ISNUMBER(MATCH(DATEVALUE($A76),'recurring1_based on steps'!F$1:F$400,0)),F$2,)</f>
        <v>0</v>
      </c>
      <c r="G76" s="140">
        <f ca="1">IF(ISNUMBER(MATCH(DATEVALUE($A76),'recurring1_based on steps'!G$1:G$400,0)),G$2,)</f>
        <v>0</v>
      </c>
      <c r="H76" s="140">
        <f ca="1">IF(ISNUMBER(MATCH(DATEVALUE($A76),'recurring1_based on steps'!H$1:H$400,0)),H$2,)</f>
        <v>0</v>
      </c>
      <c r="I76" s="140">
        <f ca="1">IF(ISNUMBER(MATCH(DATEVALUE($A76),'recurring1_based on steps'!I$1:I$400,0)),I$2,)</f>
        <v>0</v>
      </c>
      <c r="J76" s="140">
        <f ca="1">IF(ISNUMBER(MATCH(DATEVALUE($A76),'recurring1_based on steps'!J$1:J$400,0)),J$2,)</f>
        <v>0</v>
      </c>
      <c r="K76" s="140">
        <f ca="1">IF(ISNUMBER(MATCH(DATEVALUE($A76),'recurring1_based on steps'!K$1:K$400,0)),K$2,)</f>
        <v>50</v>
      </c>
      <c r="L76" s="140">
        <f ca="1">IF(ISNUMBER(MATCH(DATEVALUE($A76),'recurring1_based on steps'!L$1:L$400,0)),L$2,)</f>
        <v>0</v>
      </c>
      <c r="M76" s="140">
        <f ca="1">IF(ISNUMBER(MATCH(DATEVALUE($A76),'recurring1_based on steps'!M$1:M$400,0)),M$2,)</f>
        <v>0</v>
      </c>
      <c r="N76" s="140">
        <f ca="1">IF(ISNUMBER(MATCH(DATEVALUE($A76),'recurring1_based on steps'!N$1:N$400,0)),N$2,)</f>
        <v>0</v>
      </c>
      <c r="O76" s="140">
        <f ca="1">IF(ISNUMBER(MATCH(DATEVALUE($A76),'recurring1_based on steps'!O$1:O$400,0)),O$2,)</f>
        <v>0</v>
      </c>
      <c r="P76" s="140">
        <f ca="1">IF(ISNUMBER(MATCH(DATEVALUE($A76),'recurring1_based on steps'!P$1:P$400,0)),P$2,)</f>
        <v>0</v>
      </c>
      <c r="Q76" s="140">
        <f ca="1">IF(ISNUMBER(MATCH(DATEVALUE($A76),'recurring1_based on steps'!Q$1:Q$400,0)),Q$2,)</f>
        <v>0</v>
      </c>
      <c r="R76" s="140">
        <f ca="1">IF(ISNUMBER(MATCH(DATEVALUE($A76),'recurring1_based on steps'!R$1:R$400,0)),R$2,)</f>
        <v>0</v>
      </c>
      <c r="S76" s="140">
        <f ca="1">IF(ISNUMBER(MATCH(DATEVALUE($A76),'recurring1_based on steps'!S$1:S$400,0)),S$2,)</f>
        <v>100</v>
      </c>
      <c r="T76" s="140">
        <f ca="1">IF(ISNUMBER(MATCH(DATEVALUE($A76),'recurring1_based on steps'!T$1:T$400,0)),T$2,)</f>
        <v>0</v>
      </c>
      <c r="U76" s="140">
        <f ca="1">IF(ISNUMBER(MATCH(DATEVALUE($A76),'recurring1_based on steps'!U$1:U$400,0)),U$2,)</f>
        <v>0</v>
      </c>
      <c r="V76" s="140">
        <f ca="1">IF(ISNUMBER(MATCH(DATEVALUE($A76),'recurring1_based on steps'!V$1:V$400,0)),V$2,)</f>
        <v>0</v>
      </c>
      <c r="W76" s="140">
        <f ca="1">IF(ISNUMBER(MATCH(DATEVALUE($A76),'recurring1_based on steps'!W$1:W$400,0)),W$2,)</f>
        <v>0</v>
      </c>
      <c r="X76" s="140">
        <f ca="1">IF(ISNUMBER(MATCH(DATEVALUE($A76),'recurring1_based on steps'!X$1:X$400,0)),X$2,)</f>
        <v>0</v>
      </c>
      <c r="Y76" s="140">
        <f ca="1">IF(ISNUMBER(MATCH(DATEVALUE($A76),'recurring1_based on steps'!Y$1:Y$400,0)),Y$2,)</f>
        <v>0</v>
      </c>
      <c r="Z76" s="140">
        <f ca="1">IF(ISNUMBER(MATCH(DATEVALUE($A76),'recurring1_based on steps'!Z$1:Z$400,0)),Z$2,)</f>
        <v>0</v>
      </c>
      <c r="AA76" s="140">
        <f ca="1">IF(ISNUMBER(MATCH(DATEVALUE($A76),'recurring1_based on steps'!AA$1:AA$400,0)),AA$2,)</f>
        <v>0</v>
      </c>
      <c r="AB76" s="140">
        <f ca="1">IF(ISNUMBER(MATCH(DATEVALUE($A76),'recurring1_based on steps'!AB$1:AB$400,0)),AB$2,)</f>
        <v>5.5401662049861494E-2</v>
      </c>
      <c r="AC76" s="140">
        <f ca="1">IF(ISNUMBER(MATCH(DATEVALUE($A76),'recurring1_based on steps'!AC$1:AC$400,0)),AC$2,)</f>
        <v>0</v>
      </c>
      <c r="AD76" s="140">
        <f ca="1">IF(ISNUMBER(MATCH(DATEVALUE($A76),'recurring1_based on steps'!AD$1:AD$400,0)),AD$2,)</f>
        <v>0</v>
      </c>
      <c r="AE76" s="140">
        <f ca="1">IF(ISNUMBER(MATCH(DATEVALUE($A76),'recurring1_based on steps'!AE$1:AE$400,0)),AE$2,)</f>
        <v>0</v>
      </c>
      <c r="AF76" s="140">
        <f ca="1">IF(ISNUMBER(MATCH(DATEVALUE($A76),'recurring1_based on steps'!AF$1:AF$400,0)),AF$2,)</f>
        <v>0</v>
      </c>
      <c r="AG76" s="140">
        <f ca="1">IF(ISNUMBER(MATCH(DATEVALUE($A76),'recurring1_based on steps'!AG$1:AG$400,0)),AG$2,)</f>
        <v>0</v>
      </c>
      <c r="AH76" s="140">
        <f ca="1">IF(ISNUMBER(MATCH(DATEVALUE($A76),'recurring1_based on steps'!AH$1:AH$400,0)),AH$2,)</f>
        <v>0</v>
      </c>
      <c r="AI76" s="140">
        <f ca="1">IF(ISNUMBER(MATCH(DATEVALUE($A76),'recurring1_based on steps'!AI$1:AI$400,0)),AI$2,)</f>
        <v>0</v>
      </c>
      <c r="AJ76" s="140">
        <f ca="1">IF(ISNUMBER(MATCH(DATEVALUE($A76),'recurring1_based on steps'!AJ$1:AJ$400,0)),AJ$2,)</f>
        <v>0</v>
      </c>
      <c r="AK76" s="140">
        <f ca="1">IF(ISNUMBER(MATCH(DATEVALUE($A76),'recurring1_based on steps'!AK$1:AK$400,0)),AK$2,)</f>
        <v>0</v>
      </c>
      <c r="AL76" s="140">
        <f ca="1">IF(ISNUMBER(MATCH(DATEVALUE($A76),'recurring1_based on steps'!AL$1:AL$400,0)),AL$2,)</f>
        <v>0</v>
      </c>
      <c r="AM76" s="140">
        <f ca="1">IF(ISNUMBER(MATCH(DATEVALUE($A76),'recurring1_based on steps'!AM$1:AM$400,0)),AM$2,)</f>
        <v>0</v>
      </c>
      <c r="AN76" s="140">
        <f ca="1">IF(ISNUMBER(MATCH(DATEVALUE($A76),'recurring1_based on steps'!AN$1:AN$400,0)),AN$2,)</f>
        <v>0</v>
      </c>
      <c r="AO76" s="140">
        <f ca="1">IF(ISNUMBER(MATCH(DATEVALUE($A76),'recurring1_based on steps'!AO$1:AO$400,0)),AO$2,)</f>
        <v>0</v>
      </c>
      <c r="AP76" s="140">
        <f ca="1">IF(ISNUMBER(MATCH(DATEVALUE($A76),'recurring1_based on steps'!AP$1:AP$400,0)),AP$2,)</f>
        <v>0</v>
      </c>
      <c r="AQ76" s="140">
        <f ca="1">IF(ISNUMBER(MATCH(DATEVALUE($A76),'recurring1_based on steps'!AQ$1:AQ$400,0)),AQ$2,)</f>
        <v>0</v>
      </c>
      <c r="AR76" s="140">
        <f ca="1">IF(ISNUMBER(MATCH(DATEVALUE($A76),'recurring1_based on steps'!AR$1:AR$400,0)),AR$2,)</f>
        <v>0</v>
      </c>
      <c r="AS76" s="140">
        <f ca="1">IF(ISNUMBER(MATCH(DATEVALUE($A76),'recurring1_based on steps'!AS$1:AS$400,0)),AS$2,)</f>
        <v>0</v>
      </c>
      <c r="AT76" s="140">
        <f ca="1">IF(ISNUMBER(MATCH(DATEVALUE($A76),'recurring1_based on steps'!AT$1:AT$400,0)),AT$2,)</f>
        <v>0</v>
      </c>
      <c r="AU76" s="140">
        <f ca="1">IF(ISNUMBER(MATCH(DATEVALUE($A76),'recurring1_based on steps'!AU$1:AU$400,0)),AU$2,)</f>
        <v>0</v>
      </c>
      <c r="AV76" s="140">
        <f ca="1">IF(ISNUMBER(MATCH(DATEVALUE($A76),'recurring1_based on steps'!AV$1:AV$400,0)),AV$2,)</f>
        <v>0</v>
      </c>
      <c r="AW76" s="140">
        <f ca="1">IF(ISNUMBER(MATCH(DATEVALUE($A76),'recurring1_based on steps'!AW$1:AW$400,0)),AW$2,)</f>
        <v>0</v>
      </c>
      <c r="AX76" s="140">
        <f ca="1">IF(ISNUMBER(MATCH(DATEVALUE($A76),'recurring1_based on steps'!AX$1:AX$400,0)),AX$2,)</f>
        <v>0</v>
      </c>
      <c r="AY76" s="140">
        <f ca="1">IF(ISNUMBER(MATCH(DATEVALUE($A76),'recurring1_based on steps'!AY$1:AY$400,0)),AY$2,)</f>
        <v>0</v>
      </c>
    </row>
    <row r="77" spans="1:51" x14ac:dyDescent="0.2">
      <c r="A77" s="29" t="str">
        <f t="shared" ca="1" si="1"/>
        <v>2025-06-09</v>
      </c>
      <c r="B77" s="140">
        <f ca="1">IF(ISNUMBER(MATCH(DATEVALUE($A77),'recurring1_based on steps'!B$1:B$400,0)),B$2,)</f>
        <v>0</v>
      </c>
      <c r="C77" s="140">
        <f ca="1">IF(ISNUMBER(MATCH(DATEVALUE($A77),'recurring1_based on steps'!C$1:C$400,0)),C$2,)</f>
        <v>0</v>
      </c>
      <c r="D77" s="140">
        <f ca="1">IF(ISNUMBER(MATCH(DATEVALUE($A77),'recurring1_based on steps'!D$1:D$400,0)),D$2,)</f>
        <v>0</v>
      </c>
      <c r="E77" s="140">
        <f ca="1">IF(ISNUMBER(MATCH(DATEVALUE($A77),'recurring1_based on steps'!E$1:E$400,0)),E$2,)</f>
        <v>0</v>
      </c>
      <c r="F77" s="140">
        <f ca="1">IF(ISNUMBER(MATCH(DATEVALUE($A77),'recurring1_based on steps'!F$1:F$400,0)),F$2,)</f>
        <v>0</v>
      </c>
      <c r="G77" s="140">
        <f ca="1">IF(ISNUMBER(MATCH(DATEVALUE($A77),'recurring1_based on steps'!G$1:G$400,0)),G$2,)</f>
        <v>0</v>
      </c>
      <c r="H77" s="140">
        <f ca="1">IF(ISNUMBER(MATCH(DATEVALUE($A77),'recurring1_based on steps'!H$1:H$400,0)),H$2,)</f>
        <v>0</v>
      </c>
      <c r="I77" s="140">
        <f ca="1">IF(ISNUMBER(MATCH(DATEVALUE($A77),'recurring1_based on steps'!I$1:I$400,0)),I$2,)</f>
        <v>0</v>
      </c>
      <c r="J77" s="140">
        <f ca="1">IF(ISNUMBER(MATCH(DATEVALUE($A77),'recurring1_based on steps'!J$1:J$400,0)),J$2,)</f>
        <v>0</v>
      </c>
      <c r="K77" s="140">
        <f ca="1">IF(ISNUMBER(MATCH(DATEVALUE($A77),'recurring1_based on steps'!K$1:K$400,0)),K$2,)</f>
        <v>0</v>
      </c>
      <c r="L77" s="140">
        <f ca="1">IF(ISNUMBER(MATCH(DATEVALUE($A77),'recurring1_based on steps'!L$1:L$400,0)),L$2,)</f>
        <v>0</v>
      </c>
      <c r="M77" s="140">
        <f ca="1">IF(ISNUMBER(MATCH(DATEVALUE($A77),'recurring1_based on steps'!M$1:M$400,0)),M$2,)</f>
        <v>0</v>
      </c>
      <c r="N77" s="140">
        <f ca="1">IF(ISNUMBER(MATCH(DATEVALUE($A77),'recurring1_based on steps'!N$1:N$400,0)),N$2,)</f>
        <v>0</v>
      </c>
      <c r="O77" s="140">
        <f ca="1">IF(ISNUMBER(MATCH(DATEVALUE($A77),'recurring1_based on steps'!O$1:O$400,0)),O$2,)</f>
        <v>0</v>
      </c>
      <c r="P77" s="140">
        <f ca="1">IF(ISNUMBER(MATCH(DATEVALUE($A77),'recurring1_based on steps'!P$1:P$400,0)),P$2,)</f>
        <v>0</v>
      </c>
      <c r="Q77" s="140">
        <f ca="1">IF(ISNUMBER(MATCH(DATEVALUE($A77),'recurring1_based on steps'!Q$1:Q$400,0)),Q$2,)</f>
        <v>0</v>
      </c>
      <c r="R77" s="140">
        <f ca="1">IF(ISNUMBER(MATCH(DATEVALUE($A77),'recurring1_based on steps'!R$1:R$400,0)),R$2,)</f>
        <v>0</v>
      </c>
      <c r="S77" s="140">
        <f ca="1">IF(ISNUMBER(MATCH(DATEVALUE($A77),'recurring1_based on steps'!S$1:S$400,0)),S$2,)</f>
        <v>0</v>
      </c>
      <c r="T77" s="140">
        <f ca="1">IF(ISNUMBER(MATCH(DATEVALUE($A77),'recurring1_based on steps'!T$1:T$400,0)),T$2,)</f>
        <v>50</v>
      </c>
      <c r="U77" s="140">
        <f ca="1">IF(ISNUMBER(MATCH(DATEVALUE($A77),'recurring1_based on steps'!U$1:U$400,0)),U$2,)</f>
        <v>0</v>
      </c>
      <c r="V77" s="140">
        <f ca="1">IF(ISNUMBER(MATCH(DATEVALUE($A77),'recurring1_based on steps'!V$1:V$400,0)),V$2,)</f>
        <v>0</v>
      </c>
      <c r="W77" s="140">
        <f ca="1">IF(ISNUMBER(MATCH(DATEVALUE($A77),'recurring1_based on steps'!W$1:W$400,0)),W$2,)</f>
        <v>0</v>
      </c>
      <c r="X77" s="140">
        <f ca="1">IF(ISNUMBER(MATCH(DATEVALUE($A77),'recurring1_based on steps'!X$1:X$400,0)),X$2,)</f>
        <v>0</v>
      </c>
      <c r="Y77" s="140">
        <f ca="1">IF(ISNUMBER(MATCH(DATEVALUE($A77),'recurring1_based on steps'!Y$1:Y$400,0)),Y$2,)</f>
        <v>0</v>
      </c>
      <c r="Z77" s="140">
        <f ca="1">IF(ISNUMBER(MATCH(DATEVALUE($A77),'recurring1_based on steps'!Z$1:Z$400,0)),Z$2,)</f>
        <v>0</v>
      </c>
      <c r="AA77" s="140">
        <f ca="1">IF(ISNUMBER(MATCH(DATEVALUE($A77),'recurring1_based on steps'!AA$1:AA$400,0)),AA$2,)</f>
        <v>0</v>
      </c>
      <c r="AB77" s="140">
        <f ca="1">IF(ISNUMBER(MATCH(DATEVALUE($A77),'recurring1_based on steps'!AB$1:AB$400,0)),AB$2,)</f>
        <v>5.5401662049861494E-2</v>
      </c>
      <c r="AC77" s="140">
        <f ca="1">IF(ISNUMBER(MATCH(DATEVALUE($A77),'recurring1_based on steps'!AC$1:AC$400,0)),AC$2,)</f>
        <v>0</v>
      </c>
      <c r="AD77" s="140">
        <f ca="1">IF(ISNUMBER(MATCH(DATEVALUE($A77),'recurring1_based on steps'!AD$1:AD$400,0)),AD$2,)</f>
        <v>0</v>
      </c>
      <c r="AE77" s="140">
        <f ca="1">IF(ISNUMBER(MATCH(DATEVALUE($A77),'recurring1_based on steps'!AE$1:AE$400,0)),AE$2,)</f>
        <v>0</v>
      </c>
      <c r="AF77" s="140">
        <f ca="1">IF(ISNUMBER(MATCH(DATEVALUE($A77),'recurring1_based on steps'!AF$1:AF$400,0)),AF$2,)</f>
        <v>0</v>
      </c>
      <c r="AG77" s="140">
        <f ca="1">IF(ISNUMBER(MATCH(DATEVALUE($A77),'recurring1_based on steps'!AG$1:AG$400,0)),AG$2,)</f>
        <v>0</v>
      </c>
      <c r="AH77" s="140">
        <f ca="1">IF(ISNUMBER(MATCH(DATEVALUE($A77),'recurring1_based on steps'!AH$1:AH$400,0)),AH$2,)</f>
        <v>0</v>
      </c>
      <c r="AI77" s="140">
        <f ca="1">IF(ISNUMBER(MATCH(DATEVALUE($A77),'recurring1_based on steps'!AI$1:AI$400,0)),AI$2,)</f>
        <v>0</v>
      </c>
      <c r="AJ77" s="140">
        <f ca="1">IF(ISNUMBER(MATCH(DATEVALUE($A77),'recurring1_based on steps'!AJ$1:AJ$400,0)),AJ$2,)</f>
        <v>0</v>
      </c>
      <c r="AK77" s="140">
        <f ca="1">IF(ISNUMBER(MATCH(DATEVALUE($A77),'recurring1_based on steps'!AK$1:AK$400,0)),AK$2,)</f>
        <v>0</v>
      </c>
      <c r="AL77" s="140">
        <f ca="1">IF(ISNUMBER(MATCH(DATEVALUE($A77),'recurring1_based on steps'!AL$1:AL$400,0)),AL$2,)</f>
        <v>0</v>
      </c>
      <c r="AM77" s="140">
        <f ca="1">IF(ISNUMBER(MATCH(DATEVALUE($A77),'recurring1_based on steps'!AM$1:AM$400,0)),AM$2,)</f>
        <v>0</v>
      </c>
      <c r="AN77" s="140">
        <f ca="1">IF(ISNUMBER(MATCH(DATEVALUE($A77),'recurring1_based on steps'!AN$1:AN$400,0)),AN$2,)</f>
        <v>0</v>
      </c>
      <c r="AO77" s="140">
        <f ca="1">IF(ISNUMBER(MATCH(DATEVALUE($A77),'recurring1_based on steps'!AO$1:AO$400,0)),AO$2,)</f>
        <v>0</v>
      </c>
      <c r="AP77" s="140">
        <f ca="1">IF(ISNUMBER(MATCH(DATEVALUE($A77),'recurring1_based on steps'!AP$1:AP$400,0)),AP$2,)</f>
        <v>0</v>
      </c>
      <c r="AQ77" s="140">
        <f ca="1">IF(ISNUMBER(MATCH(DATEVALUE($A77),'recurring1_based on steps'!AQ$1:AQ$400,0)),AQ$2,)</f>
        <v>0</v>
      </c>
      <c r="AR77" s="140">
        <f ca="1">IF(ISNUMBER(MATCH(DATEVALUE($A77),'recurring1_based on steps'!AR$1:AR$400,0)),AR$2,)</f>
        <v>0</v>
      </c>
      <c r="AS77" s="140">
        <f ca="1">IF(ISNUMBER(MATCH(DATEVALUE($A77),'recurring1_based on steps'!AS$1:AS$400,0)),AS$2,)</f>
        <v>0</v>
      </c>
      <c r="AT77" s="140">
        <f ca="1">IF(ISNUMBER(MATCH(DATEVALUE($A77),'recurring1_based on steps'!AT$1:AT$400,0)),AT$2,)</f>
        <v>0</v>
      </c>
      <c r="AU77" s="140">
        <f ca="1">IF(ISNUMBER(MATCH(DATEVALUE($A77),'recurring1_based on steps'!AU$1:AU$400,0)),AU$2,)</f>
        <v>0</v>
      </c>
      <c r="AV77" s="140">
        <f ca="1">IF(ISNUMBER(MATCH(DATEVALUE($A77),'recurring1_based on steps'!AV$1:AV$400,0)),AV$2,)</f>
        <v>0</v>
      </c>
      <c r="AW77" s="140">
        <f ca="1">IF(ISNUMBER(MATCH(DATEVALUE($A77),'recurring1_based on steps'!AW$1:AW$400,0)),AW$2,)</f>
        <v>0</v>
      </c>
      <c r="AX77" s="140">
        <f ca="1">IF(ISNUMBER(MATCH(DATEVALUE($A77),'recurring1_based on steps'!AX$1:AX$400,0)),AX$2,)</f>
        <v>0</v>
      </c>
      <c r="AY77" s="140">
        <f ca="1">IF(ISNUMBER(MATCH(DATEVALUE($A77),'recurring1_based on steps'!AY$1:AY$400,0)),AY$2,)</f>
        <v>0</v>
      </c>
    </row>
    <row r="78" spans="1:51" x14ac:dyDescent="0.2">
      <c r="A78" s="29" t="str">
        <f t="shared" ca="1" si="1"/>
        <v>2025-06-10</v>
      </c>
      <c r="B78" s="140">
        <f ca="1">IF(ISNUMBER(MATCH(DATEVALUE($A78),'recurring1_based on steps'!B$1:B$400,0)),B$2,)</f>
        <v>0</v>
      </c>
      <c r="C78" s="140">
        <f ca="1">IF(ISNUMBER(MATCH(DATEVALUE($A78),'recurring1_based on steps'!C$1:C$400,0)),C$2,)</f>
        <v>0</v>
      </c>
      <c r="D78" s="140">
        <f ca="1">IF(ISNUMBER(MATCH(DATEVALUE($A78),'recurring1_based on steps'!D$1:D$400,0)),D$2,)</f>
        <v>0</v>
      </c>
      <c r="E78" s="140">
        <f ca="1">IF(ISNUMBER(MATCH(DATEVALUE($A78),'recurring1_based on steps'!E$1:E$400,0)),E$2,)</f>
        <v>0</v>
      </c>
      <c r="F78" s="140">
        <f ca="1">IF(ISNUMBER(MATCH(DATEVALUE($A78),'recurring1_based on steps'!F$1:F$400,0)),F$2,)</f>
        <v>0</v>
      </c>
      <c r="G78" s="140">
        <f ca="1">IF(ISNUMBER(MATCH(DATEVALUE($A78),'recurring1_based on steps'!G$1:G$400,0)),G$2,)</f>
        <v>0</v>
      </c>
      <c r="H78" s="140">
        <f ca="1">IF(ISNUMBER(MATCH(DATEVALUE($A78),'recurring1_based on steps'!H$1:H$400,0)),H$2,)</f>
        <v>0</v>
      </c>
      <c r="I78" s="140">
        <f ca="1">IF(ISNUMBER(MATCH(DATEVALUE($A78),'recurring1_based on steps'!I$1:I$400,0)),I$2,)</f>
        <v>0</v>
      </c>
      <c r="J78" s="140">
        <f ca="1">IF(ISNUMBER(MATCH(DATEVALUE($A78),'recurring1_based on steps'!J$1:J$400,0)),J$2,)</f>
        <v>0</v>
      </c>
      <c r="K78" s="140">
        <f ca="1">IF(ISNUMBER(MATCH(DATEVALUE($A78),'recurring1_based on steps'!K$1:K$400,0)),K$2,)</f>
        <v>0</v>
      </c>
      <c r="L78" s="140">
        <f ca="1">IF(ISNUMBER(MATCH(DATEVALUE($A78),'recurring1_based on steps'!L$1:L$400,0)),L$2,)</f>
        <v>0</v>
      </c>
      <c r="M78" s="140">
        <f ca="1">IF(ISNUMBER(MATCH(DATEVALUE($A78),'recurring1_based on steps'!M$1:M$400,0)),M$2,)</f>
        <v>0</v>
      </c>
      <c r="N78" s="140">
        <f ca="1">IF(ISNUMBER(MATCH(DATEVALUE($A78),'recurring1_based on steps'!N$1:N$400,0)),N$2,)</f>
        <v>0</v>
      </c>
      <c r="O78" s="140">
        <f ca="1">IF(ISNUMBER(MATCH(DATEVALUE($A78),'recurring1_based on steps'!O$1:O$400,0)),O$2,)</f>
        <v>0</v>
      </c>
      <c r="P78" s="140">
        <f ca="1">IF(ISNUMBER(MATCH(DATEVALUE($A78),'recurring1_based on steps'!P$1:P$400,0)),P$2,)</f>
        <v>0</v>
      </c>
      <c r="Q78" s="140">
        <f ca="1">IF(ISNUMBER(MATCH(DATEVALUE($A78),'recurring1_based on steps'!Q$1:Q$400,0)),Q$2,)</f>
        <v>0</v>
      </c>
      <c r="R78" s="140">
        <f ca="1">IF(ISNUMBER(MATCH(DATEVALUE($A78),'recurring1_based on steps'!R$1:R$400,0)),R$2,)</f>
        <v>0</v>
      </c>
      <c r="S78" s="140">
        <f ca="1">IF(ISNUMBER(MATCH(DATEVALUE($A78),'recurring1_based on steps'!S$1:S$400,0)),S$2,)</f>
        <v>0</v>
      </c>
      <c r="T78" s="140">
        <f ca="1">IF(ISNUMBER(MATCH(DATEVALUE($A78),'recurring1_based on steps'!T$1:T$400,0)),T$2,)</f>
        <v>0</v>
      </c>
      <c r="U78" s="140">
        <f ca="1">IF(ISNUMBER(MATCH(DATEVALUE($A78),'recurring1_based on steps'!U$1:U$400,0)),U$2,)</f>
        <v>0</v>
      </c>
      <c r="V78" s="140">
        <f ca="1">IF(ISNUMBER(MATCH(DATEVALUE($A78),'recurring1_based on steps'!V$1:V$400,0)),V$2,)</f>
        <v>0</v>
      </c>
      <c r="W78" s="140">
        <f ca="1">IF(ISNUMBER(MATCH(DATEVALUE($A78),'recurring1_based on steps'!W$1:W$400,0)),W$2,)</f>
        <v>0</v>
      </c>
      <c r="X78" s="140">
        <f ca="1">IF(ISNUMBER(MATCH(DATEVALUE($A78),'recurring1_based on steps'!X$1:X$400,0)),X$2,)</f>
        <v>0</v>
      </c>
      <c r="Y78" s="140">
        <f ca="1">IF(ISNUMBER(MATCH(DATEVALUE($A78),'recurring1_based on steps'!Y$1:Y$400,0)),Y$2,)</f>
        <v>0</v>
      </c>
      <c r="Z78" s="140">
        <f ca="1">IF(ISNUMBER(MATCH(DATEVALUE($A78),'recurring1_based on steps'!Z$1:Z$400,0)),Z$2,)</f>
        <v>0</v>
      </c>
      <c r="AA78" s="140">
        <f ca="1">IF(ISNUMBER(MATCH(DATEVALUE($A78),'recurring1_based on steps'!AA$1:AA$400,0)),AA$2,)</f>
        <v>0</v>
      </c>
      <c r="AB78" s="140">
        <f ca="1">IF(ISNUMBER(MATCH(DATEVALUE($A78),'recurring1_based on steps'!AB$1:AB$400,0)),AB$2,)</f>
        <v>5.5401662049861494E-2</v>
      </c>
      <c r="AC78" s="140">
        <f ca="1">IF(ISNUMBER(MATCH(DATEVALUE($A78),'recurring1_based on steps'!AC$1:AC$400,0)),AC$2,)</f>
        <v>0</v>
      </c>
      <c r="AD78" s="140">
        <f ca="1">IF(ISNUMBER(MATCH(DATEVALUE($A78),'recurring1_based on steps'!AD$1:AD$400,0)),AD$2,)</f>
        <v>0</v>
      </c>
      <c r="AE78" s="140">
        <f ca="1">IF(ISNUMBER(MATCH(DATEVALUE($A78),'recurring1_based on steps'!AE$1:AE$400,0)),AE$2,)</f>
        <v>0</v>
      </c>
      <c r="AF78" s="140">
        <f ca="1">IF(ISNUMBER(MATCH(DATEVALUE($A78),'recurring1_based on steps'!AF$1:AF$400,0)),AF$2,)</f>
        <v>0</v>
      </c>
      <c r="AG78" s="140">
        <f ca="1">IF(ISNUMBER(MATCH(DATEVALUE($A78),'recurring1_based on steps'!AG$1:AG$400,0)),AG$2,)</f>
        <v>0</v>
      </c>
      <c r="AH78" s="140">
        <f ca="1">IF(ISNUMBER(MATCH(DATEVALUE($A78),'recurring1_based on steps'!AH$1:AH$400,0)),AH$2,)</f>
        <v>0</v>
      </c>
      <c r="AI78" s="140">
        <f ca="1">IF(ISNUMBER(MATCH(DATEVALUE($A78),'recurring1_based on steps'!AI$1:AI$400,0)),AI$2,)</f>
        <v>0</v>
      </c>
      <c r="AJ78" s="140">
        <f ca="1">IF(ISNUMBER(MATCH(DATEVALUE($A78),'recurring1_based on steps'!AJ$1:AJ$400,0)),AJ$2,)</f>
        <v>0</v>
      </c>
      <c r="AK78" s="140">
        <f ca="1">IF(ISNUMBER(MATCH(DATEVALUE($A78),'recurring1_based on steps'!AK$1:AK$400,0)),AK$2,)</f>
        <v>0</v>
      </c>
      <c r="AL78" s="140">
        <f ca="1">IF(ISNUMBER(MATCH(DATEVALUE($A78),'recurring1_based on steps'!AL$1:AL$400,0)),AL$2,)</f>
        <v>0</v>
      </c>
      <c r="AM78" s="140">
        <f ca="1">IF(ISNUMBER(MATCH(DATEVALUE($A78),'recurring1_based on steps'!AM$1:AM$400,0)),AM$2,)</f>
        <v>0</v>
      </c>
      <c r="AN78" s="140">
        <f ca="1">IF(ISNUMBER(MATCH(DATEVALUE($A78),'recurring1_based on steps'!AN$1:AN$400,0)),AN$2,)</f>
        <v>0</v>
      </c>
      <c r="AO78" s="140">
        <f ca="1">IF(ISNUMBER(MATCH(DATEVALUE($A78),'recurring1_based on steps'!AO$1:AO$400,0)),AO$2,)</f>
        <v>0</v>
      </c>
      <c r="AP78" s="140">
        <f ca="1">IF(ISNUMBER(MATCH(DATEVALUE($A78),'recurring1_based on steps'!AP$1:AP$400,0)),AP$2,)</f>
        <v>0</v>
      </c>
      <c r="AQ78" s="140">
        <f ca="1">IF(ISNUMBER(MATCH(DATEVALUE($A78),'recurring1_based on steps'!AQ$1:AQ$400,0)),AQ$2,)</f>
        <v>0</v>
      </c>
      <c r="AR78" s="140">
        <f ca="1">IF(ISNUMBER(MATCH(DATEVALUE($A78),'recurring1_based on steps'!AR$1:AR$400,0)),AR$2,)</f>
        <v>0</v>
      </c>
      <c r="AS78" s="140">
        <f ca="1">IF(ISNUMBER(MATCH(DATEVALUE($A78),'recurring1_based on steps'!AS$1:AS$400,0)),AS$2,)</f>
        <v>0</v>
      </c>
      <c r="AT78" s="140">
        <f ca="1">IF(ISNUMBER(MATCH(DATEVALUE($A78),'recurring1_based on steps'!AT$1:AT$400,0)),AT$2,)</f>
        <v>0</v>
      </c>
      <c r="AU78" s="140">
        <f ca="1">IF(ISNUMBER(MATCH(DATEVALUE($A78),'recurring1_based on steps'!AU$1:AU$400,0)),AU$2,)</f>
        <v>0</v>
      </c>
      <c r="AV78" s="140">
        <f ca="1">IF(ISNUMBER(MATCH(DATEVALUE($A78),'recurring1_based on steps'!AV$1:AV$400,0)),AV$2,)</f>
        <v>0</v>
      </c>
      <c r="AW78" s="140">
        <f ca="1">IF(ISNUMBER(MATCH(DATEVALUE($A78),'recurring1_based on steps'!AW$1:AW$400,0)),AW$2,)</f>
        <v>0</v>
      </c>
      <c r="AX78" s="140">
        <f ca="1">IF(ISNUMBER(MATCH(DATEVALUE($A78),'recurring1_based on steps'!AX$1:AX$400,0)),AX$2,)</f>
        <v>0</v>
      </c>
      <c r="AY78" s="140">
        <f ca="1">IF(ISNUMBER(MATCH(DATEVALUE($A78),'recurring1_based on steps'!AY$1:AY$400,0)),AY$2,)</f>
        <v>0</v>
      </c>
    </row>
    <row r="79" spans="1:51" x14ac:dyDescent="0.2">
      <c r="A79" s="29" t="str">
        <f t="shared" ca="1" si="1"/>
        <v>2025-06-11</v>
      </c>
      <c r="B79" s="140">
        <f ca="1">IF(ISNUMBER(MATCH(DATEVALUE($A79),'recurring1_based on steps'!B$1:B$400,0)),B$2,)</f>
        <v>0</v>
      </c>
      <c r="C79" s="140">
        <f ca="1">IF(ISNUMBER(MATCH(DATEVALUE($A79),'recurring1_based on steps'!C$1:C$400,0)),C$2,)</f>
        <v>0</v>
      </c>
      <c r="D79" s="140">
        <f ca="1">IF(ISNUMBER(MATCH(DATEVALUE($A79),'recurring1_based on steps'!D$1:D$400,0)),D$2,)</f>
        <v>0</v>
      </c>
      <c r="E79" s="140">
        <f ca="1">IF(ISNUMBER(MATCH(DATEVALUE($A79),'recurring1_based on steps'!E$1:E$400,0)),E$2,)</f>
        <v>0</v>
      </c>
      <c r="F79" s="140">
        <f ca="1">IF(ISNUMBER(MATCH(DATEVALUE($A79),'recurring1_based on steps'!F$1:F$400,0)),F$2,)</f>
        <v>0</v>
      </c>
      <c r="G79" s="140">
        <f ca="1">IF(ISNUMBER(MATCH(DATEVALUE($A79),'recurring1_based on steps'!G$1:G$400,0)),G$2,)</f>
        <v>0</v>
      </c>
      <c r="H79" s="140">
        <f ca="1">IF(ISNUMBER(MATCH(DATEVALUE($A79),'recurring1_based on steps'!H$1:H$400,0)),H$2,)</f>
        <v>0</v>
      </c>
      <c r="I79" s="140">
        <f ca="1">IF(ISNUMBER(MATCH(DATEVALUE($A79),'recurring1_based on steps'!I$1:I$400,0)),I$2,)</f>
        <v>0</v>
      </c>
      <c r="J79" s="140">
        <f ca="1">IF(ISNUMBER(MATCH(DATEVALUE($A79),'recurring1_based on steps'!J$1:J$400,0)),J$2,)</f>
        <v>500</v>
      </c>
      <c r="K79" s="140">
        <f ca="1">IF(ISNUMBER(MATCH(DATEVALUE($A79),'recurring1_based on steps'!K$1:K$400,0)),K$2,)</f>
        <v>0</v>
      </c>
      <c r="L79" s="140">
        <f ca="1">IF(ISNUMBER(MATCH(DATEVALUE($A79),'recurring1_based on steps'!L$1:L$400,0)),L$2,)</f>
        <v>0</v>
      </c>
      <c r="M79" s="140">
        <f ca="1">IF(ISNUMBER(MATCH(DATEVALUE($A79),'recurring1_based on steps'!M$1:M$400,0)),M$2,)</f>
        <v>0</v>
      </c>
      <c r="N79" s="140">
        <f ca="1">IF(ISNUMBER(MATCH(DATEVALUE($A79),'recurring1_based on steps'!N$1:N$400,0)),N$2,)</f>
        <v>0</v>
      </c>
      <c r="O79" s="140">
        <f ca="1">IF(ISNUMBER(MATCH(DATEVALUE($A79),'recurring1_based on steps'!O$1:O$400,0)),O$2,)</f>
        <v>0</v>
      </c>
      <c r="P79" s="140">
        <f ca="1">IF(ISNUMBER(MATCH(DATEVALUE($A79),'recurring1_based on steps'!P$1:P$400,0)),P$2,)</f>
        <v>0</v>
      </c>
      <c r="Q79" s="140">
        <f ca="1">IF(ISNUMBER(MATCH(DATEVALUE($A79),'recurring1_based on steps'!Q$1:Q$400,0)),Q$2,)</f>
        <v>0</v>
      </c>
      <c r="R79" s="140">
        <f ca="1">IF(ISNUMBER(MATCH(DATEVALUE($A79),'recurring1_based on steps'!R$1:R$400,0)),R$2,)</f>
        <v>0</v>
      </c>
      <c r="S79" s="140">
        <f ca="1">IF(ISNUMBER(MATCH(DATEVALUE($A79),'recurring1_based on steps'!S$1:S$400,0)),S$2,)</f>
        <v>0</v>
      </c>
      <c r="T79" s="140">
        <f ca="1">IF(ISNUMBER(MATCH(DATEVALUE($A79),'recurring1_based on steps'!T$1:T$400,0)),T$2,)</f>
        <v>0</v>
      </c>
      <c r="U79" s="140">
        <f ca="1">IF(ISNUMBER(MATCH(DATEVALUE($A79),'recurring1_based on steps'!U$1:U$400,0)),U$2,)</f>
        <v>0</v>
      </c>
      <c r="V79" s="140">
        <f ca="1">IF(ISNUMBER(MATCH(DATEVALUE($A79),'recurring1_based on steps'!V$1:V$400,0)),V$2,)</f>
        <v>0</v>
      </c>
      <c r="W79" s="140">
        <f ca="1">IF(ISNUMBER(MATCH(DATEVALUE($A79),'recurring1_based on steps'!W$1:W$400,0)),W$2,)</f>
        <v>0</v>
      </c>
      <c r="X79" s="140">
        <f ca="1">IF(ISNUMBER(MATCH(DATEVALUE($A79),'recurring1_based on steps'!X$1:X$400,0)),X$2,)</f>
        <v>0</v>
      </c>
      <c r="Y79" s="140">
        <f ca="1">IF(ISNUMBER(MATCH(DATEVALUE($A79),'recurring1_based on steps'!Y$1:Y$400,0)),Y$2,)</f>
        <v>0</v>
      </c>
      <c r="Z79" s="140">
        <f ca="1">IF(ISNUMBER(MATCH(DATEVALUE($A79),'recurring1_based on steps'!Z$1:Z$400,0)),Z$2,)</f>
        <v>0</v>
      </c>
      <c r="AA79" s="140">
        <f ca="1">IF(ISNUMBER(MATCH(DATEVALUE($A79),'recurring1_based on steps'!AA$1:AA$400,0)),AA$2,)</f>
        <v>0</v>
      </c>
      <c r="AB79" s="140">
        <f ca="1">IF(ISNUMBER(MATCH(DATEVALUE($A79),'recurring1_based on steps'!AB$1:AB$400,0)),AB$2,)</f>
        <v>5.5401662049861494E-2</v>
      </c>
      <c r="AC79" s="140">
        <f ca="1">IF(ISNUMBER(MATCH(DATEVALUE($A79),'recurring1_based on steps'!AC$1:AC$400,0)),AC$2,)</f>
        <v>0</v>
      </c>
      <c r="AD79" s="140">
        <f ca="1">IF(ISNUMBER(MATCH(DATEVALUE($A79),'recurring1_based on steps'!AD$1:AD$400,0)),AD$2,)</f>
        <v>0</v>
      </c>
      <c r="AE79" s="140">
        <f ca="1">IF(ISNUMBER(MATCH(DATEVALUE($A79),'recurring1_based on steps'!AE$1:AE$400,0)),AE$2,)</f>
        <v>0</v>
      </c>
      <c r="AF79" s="140">
        <f ca="1">IF(ISNUMBER(MATCH(DATEVALUE($A79),'recurring1_based on steps'!AF$1:AF$400,0)),AF$2,)</f>
        <v>0</v>
      </c>
      <c r="AG79" s="140">
        <f ca="1">IF(ISNUMBER(MATCH(DATEVALUE($A79),'recurring1_based on steps'!AG$1:AG$400,0)),AG$2,)</f>
        <v>0</v>
      </c>
      <c r="AH79" s="140">
        <f ca="1">IF(ISNUMBER(MATCH(DATEVALUE($A79),'recurring1_based on steps'!AH$1:AH$400,0)),AH$2,)</f>
        <v>0</v>
      </c>
      <c r="AI79" s="140">
        <f ca="1">IF(ISNUMBER(MATCH(DATEVALUE($A79),'recurring1_based on steps'!AI$1:AI$400,0)),AI$2,)</f>
        <v>0</v>
      </c>
      <c r="AJ79" s="140">
        <f ca="1">IF(ISNUMBER(MATCH(DATEVALUE($A79),'recurring1_based on steps'!AJ$1:AJ$400,0)),AJ$2,)</f>
        <v>0</v>
      </c>
      <c r="AK79" s="140">
        <f ca="1">IF(ISNUMBER(MATCH(DATEVALUE($A79),'recurring1_based on steps'!AK$1:AK$400,0)),AK$2,)</f>
        <v>0</v>
      </c>
      <c r="AL79" s="140">
        <f ca="1">IF(ISNUMBER(MATCH(DATEVALUE($A79),'recurring1_based on steps'!AL$1:AL$400,0)),AL$2,)</f>
        <v>0</v>
      </c>
      <c r="AM79" s="140">
        <f ca="1">IF(ISNUMBER(MATCH(DATEVALUE($A79),'recurring1_based on steps'!AM$1:AM$400,0)),AM$2,)</f>
        <v>0</v>
      </c>
      <c r="AN79" s="140">
        <f ca="1">IF(ISNUMBER(MATCH(DATEVALUE($A79),'recurring1_based on steps'!AN$1:AN$400,0)),AN$2,)</f>
        <v>0</v>
      </c>
      <c r="AO79" s="140">
        <f ca="1">IF(ISNUMBER(MATCH(DATEVALUE($A79),'recurring1_based on steps'!AO$1:AO$400,0)),AO$2,)</f>
        <v>0</v>
      </c>
      <c r="AP79" s="140">
        <f ca="1">IF(ISNUMBER(MATCH(DATEVALUE($A79),'recurring1_based on steps'!AP$1:AP$400,0)),AP$2,)</f>
        <v>0</v>
      </c>
      <c r="AQ79" s="140">
        <f ca="1">IF(ISNUMBER(MATCH(DATEVALUE($A79),'recurring1_based on steps'!AQ$1:AQ$400,0)),AQ$2,)</f>
        <v>0</v>
      </c>
      <c r="AR79" s="140">
        <f ca="1">IF(ISNUMBER(MATCH(DATEVALUE($A79),'recurring1_based on steps'!AR$1:AR$400,0)),AR$2,)</f>
        <v>0</v>
      </c>
      <c r="AS79" s="140">
        <f ca="1">IF(ISNUMBER(MATCH(DATEVALUE($A79),'recurring1_based on steps'!AS$1:AS$400,0)),AS$2,)</f>
        <v>0</v>
      </c>
      <c r="AT79" s="140">
        <f ca="1">IF(ISNUMBER(MATCH(DATEVALUE($A79),'recurring1_based on steps'!AT$1:AT$400,0)),AT$2,)</f>
        <v>0</v>
      </c>
      <c r="AU79" s="140">
        <f ca="1">IF(ISNUMBER(MATCH(DATEVALUE($A79),'recurring1_based on steps'!AU$1:AU$400,0)),AU$2,)</f>
        <v>0</v>
      </c>
      <c r="AV79" s="140">
        <f ca="1">IF(ISNUMBER(MATCH(DATEVALUE($A79),'recurring1_based on steps'!AV$1:AV$400,0)),AV$2,)</f>
        <v>0</v>
      </c>
      <c r="AW79" s="140">
        <f ca="1">IF(ISNUMBER(MATCH(DATEVALUE($A79),'recurring1_based on steps'!AW$1:AW$400,0)),AW$2,)</f>
        <v>0</v>
      </c>
      <c r="AX79" s="140">
        <f ca="1">IF(ISNUMBER(MATCH(DATEVALUE($A79),'recurring1_based on steps'!AX$1:AX$400,0)),AX$2,)</f>
        <v>0</v>
      </c>
      <c r="AY79" s="140">
        <f ca="1">IF(ISNUMBER(MATCH(DATEVALUE($A79),'recurring1_based on steps'!AY$1:AY$400,0)),AY$2,)</f>
        <v>0</v>
      </c>
    </row>
    <row r="80" spans="1:51" x14ac:dyDescent="0.2">
      <c r="A80" s="29" t="str">
        <f t="shared" ca="1" si="1"/>
        <v>2025-06-12</v>
      </c>
      <c r="B80" s="140">
        <f ca="1">IF(ISNUMBER(MATCH(DATEVALUE($A80),'recurring1_based on steps'!B$1:B$400,0)),B$2,)</f>
        <v>0</v>
      </c>
      <c r="C80" s="140">
        <f ca="1">IF(ISNUMBER(MATCH(DATEVALUE($A80),'recurring1_based on steps'!C$1:C$400,0)),C$2,)</f>
        <v>0</v>
      </c>
      <c r="D80" s="140">
        <f ca="1">IF(ISNUMBER(MATCH(DATEVALUE($A80),'recurring1_based on steps'!D$1:D$400,0)),D$2,)</f>
        <v>0</v>
      </c>
      <c r="E80" s="140">
        <f ca="1">IF(ISNUMBER(MATCH(DATEVALUE($A80),'recurring1_based on steps'!E$1:E$400,0)),E$2,)</f>
        <v>0</v>
      </c>
      <c r="F80" s="140">
        <f ca="1">IF(ISNUMBER(MATCH(DATEVALUE($A80),'recurring1_based on steps'!F$1:F$400,0)),F$2,)</f>
        <v>0</v>
      </c>
      <c r="G80" s="140">
        <f ca="1">IF(ISNUMBER(MATCH(DATEVALUE($A80),'recurring1_based on steps'!G$1:G$400,0)),G$2,)</f>
        <v>0</v>
      </c>
      <c r="H80" s="140">
        <f ca="1">IF(ISNUMBER(MATCH(DATEVALUE($A80),'recurring1_based on steps'!H$1:H$400,0)),H$2,)</f>
        <v>0</v>
      </c>
      <c r="I80" s="140">
        <f ca="1">IF(ISNUMBER(MATCH(DATEVALUE($A80),'recurring1_based on steps'!I$1:I$400,0)),I$2,)</f>
        <v>0</v>
      </c>
      <c r="J80" s="140">
        <f ca="1">IF(ISNUMBER(MATCH(DATEVALUE($A80),'recurring1_based on steps'!J$1:J$400,0)),J$2,)</f>
        <v>0</v>
      </c>
      <c r="K80" s="140">
        <f ca="1">IF(ISNUMBER(MATCH(DATEVALUE($A80),'recurring1_based on steps'!K$1:K$400,0)),K$2,)</f>
        <v>0</v>
      </c>
      <c r="L80" s="140">
        <f ca="1">IF(ISNUMBER(MATCH(DATEVALUE($A80),'recurring1_based on steps'!L$1:L$400,0)),L$2,)</f>
        <v>0</v>
      </c>
      <c r="M80" s="140">
        <f ca="1">IF(ISNUMBER(MATCH(DATEVALUE($A80),'recurring1_based on steps'!M$1:M$400,0)),M$2,)</f>
        <v>0</v>
      </c>
      <c r="N80" s="140">
        <f ca="1">IF(ISNUMBER(MATCH(DATEVALUE($A80),'recurring1_based on steps'!N$1:N$400,0)),N$2,)</f>
        <v>0</v>
      </c>
      <c r="O80" s="140">
        <f ca="1">IF(ISNUMBER(MATCH(DATEVALUE($A80),'recurring1_based on steps'!O$1:O$400,0)),O$2,)</f>
        <v>0</v>
      </c>
      <c r="P80" s="140">
        <f ca="1">IF(ISNUMBER(MATCH(DATEVALUE($A80),'recurring1_based on steps'!P$1:P$400,0)),P$2,)</f>
        <v>0</v>
      </c>
      <c r="Q80" s="140">
        <f ca="1">IF(ISNUMBER(MATCH(DATEVALUE($A80),'recurring1_based on steps'!Q$1:Q$400,0)),Q$2,)</f>
        <v>0</v>
      </c>
      <c r="R80" s="140">
        <f ca="1">IF(ISNUMBER(MATCH(DATEVALUE($A80),'recurring1_based on steps'!R$1:R$400,0)),R$2,)</f>
        <v>0</v>
      </c>
      <c r="S80" s="140">
        <f ca="1">IF(ISNUMBER(MATCH(DATEVALUE($A80),'recurring1_based on steps'!S$1:S$400,0)),S$2,)</f>
        <v>0</v>
      </c>
      <c r="T80" s="140">
        <f ca="1">IF(ISNUMBER(MATCH(DATEVALUE($A80),'recurring1_based on steps'!T$1:T$400,0)),T$2,)</f>
        <v>0</v>
      </c>
      <c r="U80" s="140">
        <f ca="1">IF(ISNUMBER(MATCH(DATEVALUE($A80),'recurring1_based on steps'!U$1:U$400,0)),U$2,)</f>
        <v>0</v>
      </c>
      <c r="V80" s="140">
        <f ca="1">IF(ISNUMBER(MATCH(DATEVALUE($A80),'recurring1_based on steps'!V$1:V$400,0)),V$2,)</f>
        <v>0</v>
      </c>
      <c r="W80" s="140">
        <f ca="1">IF(ISNUMBER(MATCH(DATEVALUE($A80),'recurring1_based on steps'!W$1:W$400,0)),W$2,)</f>
        <v>0</v>
      </c>
      <c r="X80" s="140">
        <f ca="1">IF(ISNUMBER(MATCH(DATEVALUE($A80),'recurring1_based on steps'!X$1:X$400,0)),X$2,)</f>
        <v>0</v>
      </c>
      <c r="Y80" s="140">
        <f ca="1">IF(ISNUMBER(MATCH(DATEVALUE($A80),'recurring1_based on steps'!Y$1:Y$400,0)),Y$2,)</f>
        <v>0</v>
      </c>
      <c r="Z80" s="140">
        <f ca="1">IF(ISNUMBER(MATCH(DATEVALUE($A80),'recurring1_based on steps'!Z$1:Z$400,0)),Z$2,)</f>
        <v>0</v>
      </c>
      <c r="AA80" s="140">
        <f ca="1">IF(ISNUMBER(MATCH(DATEVALUE($A80),'recurring1_based on steps'!AA$1:AA$400,0)),AA$2,)</f>
        <v>0</v>
      </c>
      <c r="AB80" s="140">
        <f ca="1">IF(ISNUMBER(MATCH(DATEVALUE($A80),'recurring1_based on steps'!AB$1:AB$400,0)),AB$2,)</f>
        <v>5.5401662049861494E-2</v>
      </c>
      <c r="AC80" s="140">
        <f ca="1">IF(ISNUMBER(MATCH(DATEVALUE($A80),'recurring1_based on steps'!AC$1:AC$400,0)),AC$2,)</f>
        <v>0</v>
      </c>
      <c r="AD80" s="140">
        <f ca="1">IF(ISNUMBER(MATCH(DATEVALUE($A80),'recurring1_based on steps'!AD$1:AD$400,0)),AD$2,)</f>
        <v>0</v>
      </c>
      <c r="AE80" s="140">
        <f ca="1">IF(ISNUMBER(MATCH(DATEVALUE($A80),'recurring1_based on steps'!AE$1:AE$400,0)),AE$2,)</f>
        <v>0</v>
      </c>
      <c r="AF80" s="140">
        <f ca="1">IF(ISNUMBER(MATCH(DATEVALUE($A80),'recurring1_based on steps'!AF$1:AF$400,0)),AF$2,)</f>
        <v>0</v>
      </c>
      <c r="AG80" s="140">
        <f ca="1">IF(ISNUMBER(MATCH(DATEVALUE($A80),'recurring1_based on steps'!AG$1:AG$400,0)),AG$2,)</f>
        <v>0</v>
      </c>
      <c r="AH80" s="140">
        <f ca="1">IF(ISNUMBER(MATCH(DATEVALUE($A80),'recurring1_based on steps'!AH$1:AH$400,0)),AH$2,)</f>
        <v>0</v>
      </c>
      <c r="AI80" s="140">
        <f ca="1">IF(ISNUMBER(MATCH(DATEVALUE($A80),'recurring1_based on steps'!AI$1:AI$400,0)),AI$2,)</f>
        <v>0</v>
      </c>
      <c r="AJ80" s="140">
        <f ca="1">IF(ISNUMBER(MATCH(DATEVALUE($A80),'recurring1_based on steps'!AJ$1:AJ$400,0)),AJ$2,)</f>
        <v>0</v>
      </c>
      <c r="AK80" s="140">
        <f ca="1">IF(ISNUMBER(MATCH(DATEVALUE($A80),'recurring1_based on steps'!AK$1:AK$400,0)),AK$2,)</f>
        <v>0</v>
      </c>
      <c r="AL80" s="140">
        <f ca="1">IF(ISNUMBER(MATCH(DATEVALUE($A80),'recurring1_based on steps'!AL$1:AL$400,0)),AL$2,)</f>
        <v>0</v>
      </c>
      <c r="AM80" s="140">
        <f ca="1">IF(ISNUMBER(MATCH(DATEVALUE($A80),'recurring1_based on steps'!AM$1:AM$400,0)),AM$2,)</f>
        <v>0</v>
      </c>
      <c r="AN80" s="140">
        <f ca="1">IF(ISNUMBER(MATCH(DATEVALUE($A80),'recurring1_based on steps'!AN$1:AN$400,0)),AN$2,)</f>
        <v>0</v>
      </c>
      <c r="AO80" s="140">
        <f ca="1">IF(ISNUMBER(MATCH(DATEVALUE($A80),'recurring1_based on steps'!AO$1:AO$400,0)),AO$2,)</f>
        <v>0</v>
      </c>
      <c r="AP80" s="140">
        <f ca="1">IF(ISNUMBER(MATCH(DATEVALUE($A80),'recurring1_based on steps'!AP$1:AP$400,0)),AP$2,)</f>
        <v>0</v>
      </c>
      <c r="AQ80" s="140">
        <f ca="1">IF(ISNUMBER(MATCH(DATEVALUE($A80),'recurring1_based on steps'!AQ$1:AQ$400,0)),AQ$2,)</f>
        <v>0</v>
      </c>
      <c r="AR80" s="140">
        <f ca="1">IF(ISNUMBER(MATCH(DATEVALUE($A80),'recurring1_based on steps'!AR$1:AR$400,0)),AR$2,)</f>
        <v>0</v>
      </c>
      <c r="AS80" s="140">
        <f ca="1">IF(ISNUMBER(MATCH(DATEVALUE($A80),'recurring1_based on steps'!AS$1:AS$400,0)),AS$2,)</f>
        <v>0</v>
      </c>
      <c r="AT80" s="140">
        <f ca="1">IF(ISNUMBER(MATCH(DATEVALUE($A80),'recurring1_based on steps'!AT$1:AT$400,0)),AT$2,)</f>
        <v>0</v>
      </c>
      <c r="AU80" s="140">
        <f ca="1">IF(ISNUMBER(MATCH(DATEVALUE($A80),'recurring1_based on steps'!AU$1:AU$400,0)),AU$2,)</f>
        <v>0</v>
      </c>
      <c r="AV80" s="140">
        <f ca="1">IF(ISNUMBER(MATCH(DATEVALUE($A80),'recurring1_based on steps'!AV$1:AV$400,0)),AV$2,)</f>
        <v>0</v>
      </c>
      <c r="AW80" s="140">
        <f ca="1">IF(ISNUMBER(MATCH(DATEVALUE($A80),'recurring1_based on steps'!AW$1:AW$400,0)),AW$2,)</f>
        <v>0</v>
      </c>
      <c r="AX80" s="140">
        <f ca="1">IF(ISNUMBER(MATCH(DATEVALUE($A80),'recurring1_based on steps'!AX$1:AX$400,0)),AX$2,)</f>
        <v>0</v>
      </c>
      <c r="AY80" s="140">
        <f ca="1">IF(ISNUMBER(MATCH(DATEVALUE($A80),'recurring1_based on steps'!AY$1:AY$400,0)),AY$2,)</f>
        <v>0</v>
      </c>
    </row>
    <row r="81" spans="1:51" x14ac:dyDescent="0.2">
      <c r="A81" s="29" t="str">
        <f t="shared" ca="1" si="1"/>
        <v>2025-06-13</v>
      </c>
      <c r="B81" s="140">
        <f ca="1">IF(ISNUMBER(MATCH(DATEVALUE($A81),'recurring1_based on steps'!B$1:B$400,0)),B$2,)</f>
        <v>4000</v>
      </c>
      <c r="C81" s="140">
        <f ca="1">IF(ISNUMBER(MATCH(DATEVALUE($A81),'recurring1_based on steps'!C$1:C$400,0)),C$2,)</f>
        <v>200</v>
      </c>
      <c r="D81" s="140">
        <f ca="1">IF(ISNUMBER(MATCH(DATEVALUE($A81),'recurring1_based on steps'!D$1:D$400,0)),D$2,)</f>
        <v>2</v>
      </c>
      <c r="E81" s="140">
        <f ca="1">IF(ISNUMBER(MATCH(DATEVALUE($A81),'recurring1_based on steps'!E$1:E$400,0)),E$2,)</f>
        <v>40</v>
      </c>
      <c r="F81" s="140">
        <f ca="1">IF(ISNUMBER(MATCH(DATEVALUE($A81),'recurring1_based on steps'!F$1:F$400,0)),F$2,)</f>
        <v>50</v>
      </c>
      <c r="G81" s="140">
        <f ca="1">IF(ISNUMBER(MATCH(DATEVALUE($A81),'recurring1_based on steps'!G$1:G$400,0)),G$2,)</f>
        <v>4</v>
      </c>
      <c r="H81" s="140">
        <f ca="1">IF(ISNUMBER(MATCH(DATEVALUE($A81),'recurring1_based on steps'!H$1:H$400,0)),H$2,)</f>
        <v>0</v>
      </c>
      <c r="I81" s="140">
        <f ca="1">IF(ISNUMBER(MATCH(DATEVALUE($A81),'recurring1_based on steps'!I$1:I$400,0)),I$2,)</f>
        <v>0</v>
      </c>
      <c r="J81" s="140">
        <f ca="1">IF(ISNUMBER(MATCH(DATEVALUE($A81),'recurring1_based on steps'!J$1:J$400,0)),J$2,)</f>
        <v>0</v>
      </c>
      <c r="K81" s="140">
        <f ca="1">IF(ISNUMBER(MATCH(DATEVALUE($A81),'recurring1_based on steps'!K$1:K$400,0)),K$2,)</f>
        <v>0</v>
      </c>
      <c r="L81" s="140">
        <f ca="1">IF(ISNUMBER(MATCH(DATEVALUE($A81),'recurring1_based on steps'!L$1:L$400,0)),L$2,)</f>
        <v>0</v>
      </c>
      <c r="M81" s="140">
        <f ca="1">IF(ISNUMBER(MATCH(DATEVALUE($A81),'recurring1_based on steps'!M$1:M$400,0)),M$2,)</f>
        <v>0</v>
      </c>
      <c r="N81" s="140">
        <f ca="1">IF(ISNUMBER(MATCH(DATEVALUE($A81),'recurring1_based on steps'!N$1:N$400,0)),N$2,)</f>
        <v>0</v>
      </c>
      <c r="O81" s="140">
        <f ca="1">IF(ISNUMBER(MATCH(DATEVALUE($A81),'recurring1_based on steps'!O$1:O$400,0)),O$2,)</f>
        <v>0</v>
      </c>
      <c r="P81" s="140">
        <f ca="1">IF(ISNUMBER(MATCH(DATEVALUE($A81),'recurring1_based on steps'!P$1:P$400,0)),P$2,)</f>
        <v>0</v>
      </c>
      <c r="Q81" s="140">
        <f ca="1">IF(ISNUMBER(MATCH(DATEVALUE($A81),'recurring1_based on steps'!Q$1:Q$400,0)),Q$2,)</f>
        <v>0</v>
      </c>
      <c r="R81" s="140">
        <f ca="1">IF(ISNUMBER(MATCH(DATEVALUE($A81),'recurring1_based on steps'!R$1:R$400,0)),R$2,)</f>
        <v>0</v>
      </c>
      <c r="S81" s="140">
        <f ca="1">IF(ISNUMBER(MATCH(DATEVALUE($A81),'recurring1_based on steps'!S$1:S$400,0)),S$2,)</f>
        <v>0</v>
      </c>
      <c r="T81" s="140">
        <f ca="1">IF(ISNUMBER(MATCH(DATEVALUE($A81),'recurring1_based on steps'!T$1:T$400,0)),T$2,)</f>
        <v>0</v>
      </c>
      <c r="U81" s="140">
        <f ca="1">IF(ISNUMBER(MATCH(DATEVALUE($A81),'recurring1_based on steps'!U$1:U$400,0)),U$2,)</f>
        <v>0</v>
      </c>
      <c r="V81" s="140">
        <f ca="1">IF(ISNUMBER(MATCH(DATEVALUE($A81),'recurring1_based on steps'!V$1:V$400,0)),V$2,)</f>
        <v>0</v>
      </c>
      <c r="W81" s="140">
        <f ca="1">IF(ISNUMBER(MATCH(DATEVALUE($A81),'recurring1_based on steps'!W$1:W$400,0)),W$2,)</f>
        <v>0</v>
      </c>
      <c r="X81" s="140">
        <f ca="1">IF(ISNUMBER(MATCH(DATEVALUE($A81),'recurring1_based on steps'!X$1:X$400,0)),X$2,)</f>
        <v>50</v>
      </c>
      <c r="Y81" s="140">
        <f ca="1">IF(ISNUMBER(MATCH(DATEVALUE($A81),'recurring1_based on steps'!Y$1:Y$400,0)),Y$2,)</f>
        <v>50</v>
      </c>
      <c r="Z81" s="140">
        <f ca="1">IF(ISNUMBER(MATCH(DATEVALUE($A81),'recurring1_based on steps'!Z$1:Z$400,0)),Z$2,)</f>
        <v>0</v>
      </c>
      <c r="AA81" s="140">
        <f ca="1">IF(ISNUMBER(MATCH(DATEVALUE($A81),'recurring1_based on steps'!AA$1:AA$400,0)),AA$2,)</f>
        <v>0</v>
      </c>
      <c r="AB81" s="140">
        <f ca="1">IF(ISNUMBER(MATCH(DATEVALUE($A81),'recurring1_based on steps'!AB$1:AB$400,0)),AB$2,)</f>
        <v>5.5401662049861494E-2</v>
      </c>
      <c r="AC81" s="140">
        <f ca="1">IF(ISNUMBER(MATCH(DATEVALUE($A81),'recurring1_based on steps'!AC$1:AC$400,0)),AC$2,)</f>
        <v>0</v>
      </c>
      <c r="AD81" s="140">
        <f ca="1">IF(ISNUMBER(MATCH(DATEVALUE($A81),'recurring1_based on steps'!AD$1:AD$400,0)),AD$2,)</f>
        <v>0</v>
      </c>
      <c r="AE81" s="140">
        <f ca="1">IF(ISNUMBER(MATCH(DATEVALUE($A81),'recurring1_based on steps'!AE$1:AE$400,0)),AE$2,)</f>
        <v>0</v>
      </c>
      <c r="AF81" s="140">
        <f ca="1">IF(ISNUMBER(MATCH(DATEVALUE($A81),'recurring1_based on steps'!AF$1:AF$400,0)),AF$2,)</f>
        <v>0</v>
      </c>
      <c r="AG81" s="140">
        <f ca="1">IF(ISNUMBER(MATCH(DATEVALUE($A81),'recurring1_based on steps'!AG$1:AG$400,0)),AG$2,)</f>
        <v>0</v>
      </c>
      <c r="AH81" s="140">
        <f ca="1">IF(ISNUMBER(MATCH(DATEVALUE($A81),'recurring1_based on steps'!AH$1:AH$400,0)),AH$2,)</f>
        <v>0</v>
      </c>
      <c r="AI81" s="140">
        <f ca="1">IF(ISNUMBER(MATCH(DATEVALUE($A81),'recurring1_based on steps'!AI$1:AI$400,0)),AI$2,)</f>
        <v>0</v>
      </c>
      <c r="AJ81" s="140">
        <f ca="1">IF(ISNUMBER(MATCH(DATEVALUE($A81),'recurring1_based on steps'!AJ$1:AJ$400,0)),AJ$2,)</f>
        <v>0</v>
      </c>
      <c r="AK81" s="140">
        <f ca="1">IF(ISNUMBER(MATCH(DATEVALUE($A81),'recurring1_based on steps'!AK$1:AK$400,0)),AK$2,)</f>
        <v>0</v>
      </c>
      <c r="AL81" s="140">
        <f ca="1">IF(ISNUMBER(MATCH(DATEVALUE($A81),'recurring1_based on steps'!AL$1:AL$400,0)),AL$2,)</f>
        <v>0</v>
      </c>
      <c r="AM81" s="140">
        <f ca="1">IF(ISNUMBER(MATCH(DATEVALUE($A81),'recurring1_based on steps'!AM$1:AM$400,0)),AM$2,)</f>
        <v>0</v>
      </c>
      <c r="AN81" s="140">
        <f ca="1">IF(ISNUMBER(MATCH(DATEVALUE($A81),'recurring1_based on steps'!AN$1:AN$400,0)),AN$2,)</f>
        <v>0</v>
      </c>
      <c r="AO81" s="140">
        <f ca="1">IF(ISNUMBER(MATCH(DATEVALUE($A81),'recurring1_based on steps'!AO$1:AO$400,0)),AO$2,)</f>
        <v>0</v>
      </c>
      <c r="AP81" s="140">
        <f ca="1">IF(ISNUMBER(MATCH(DATEVALUE($A81),'recurring1_based on steps'!AP$1:AP$400,0)),AP$2,)</f>
        <v>0</v>
      </c>
      <c r="AQ81" s="140">
        <f ca="1">IF(ISNUMBER(MATCH(DATEVALUE($A81),'recurring1_based on steps'!AQ$1:AQ$400,0)),AQ$2,)</f>
        <v>0</v>
      </c>
      <c r="AR81" s="140">
        <f ca="1">IF(ISNUMBER(MATCH(DATEVALUE($A81),'recurring1_based on steps'!AR$1:AR$400,0)),AR$2,)</f>
        <v>0</v>
      </c>
      <c r="AS81" s="140">
        <f ca="1">IF(ISNUMBER(MATCH(DATEVALUE($A81),'recurring1_based on steps'!AS$1:AS$400,0)),AS$2,)</f>
        <v>0</v>
      </c>
      <c r="AT81" s="140">
        <f ca="1">IF(ISNUMBER(MATCH(DATEVALUE($A81),'recurring1_based on steps'!AT$1:AT$400,0)),AT$2,)</f>
        <v>0</v>
      </c>
      <c r="AU81" s="140">
        <f ca="1">IF(ISNUMBER(MATCH(DATEVALUE($A81),'recurring1_based on steps'!AU$1:AU$400,0)),AU$2,)</f>
        <v>0</v>
      </c>
      <c r="AV81" s="140">
        <f ca="1">IF(ISNUMBER(MATCH(DATEVALUE($A81),'recurring1_based on steps'!AV$1:AV$400,0)),AV$2,)</f>
        <v>0</v>
      </c>
      <c r="AW81" s="140">
        <f ca="1">IF(ISNUMBER(MATCH(DATEVALUE($A81),'recurring1_based on steps'!AW$1:AW$400,0)),AW$2,)</f>
        <v>0</v>
      </c>
      <c r="AX81" s="140">
        <f ca="1">IF(ISNUMBER(MATCH(DATEVALUE($A81),'recurring1_based on steps'!AX$1:AX$400,0)),AX$2,)</f>
        <v>0</v>
      </c>
      <c r="AY81" s="140">
        <f ca="1">IF(ISNUMBER(MATCH(DATEVALUE($A81),'recurring1_based on steps'!AY$1:AY$400,0)),AY$2,)</f>
        <v>0</v>
      </c>
    </row>
    <row r="82" spans="1:51" x14ac:dyDescent="0.2">
      <c r="A82" s="29" t="str">
        <f t="shared" ca="1" si="1"/>
        <v>2025-06-14</v>
      </c>
      <c r="B82" s="140">
        <f ca="1">IF(ISNUMBER(MATCH(DATEVALUE($A82),'recurring1_based on steps'!B$1:B$400,0)),B$2,)</f>
        <v>0</v>
      </c>
      <c r="C82" s="140">
        <f ca="1">IF(ISNUMBER(MATCH(DATEVALUE($A82),'recurring1_based on steps'!C$1:C$400,0)),C$2,)</f>
        <v>0</v>
      </c>
      <c r="D82" s="140">
        <f ca="1">IF(ISNUMBER(MATCH(DATEVALUE($A82),'recurring1_based on steps'!D$1:D$400,0)),D$2,)</f>
        <v>0</v>
      </c>
      <c r="E82" s="140">
        <f ca="1">IF(ISNUMBER(MATCH(DATEVALUE($A82),'recurring1_based on steps'!E$1:E$400,0)),E$2,)</f>
        <v>0</v>
      </c>
      <c r="F82" s="140">
        <f ca="1">IF(ISNUMBER(MATCH(DATEVALUE($A82),'recurring1_based on steps'!F$1:F$400,0)),F$2,)</f>
        <v>0</v>
      </c>
      <c r="G82" s="140">
        <f ca="1">IF(ISNUMBER(MATCH(DATEVALUE($A82),'recurring1_based on steps'!G$1:G$400,0)),G$2,)</f>
        <v>0</v>
      </c>
      <c r="H82" s="140">
        <f ca="1">IF(ISNUMBER(MATCH(DATEVALUE($A82),'recurring1_based on steps'!H$1:H$400,0)),H$2,)</f>
        <v>0</v>
      </c>
      <c r="I82" s="140">
        <f ca="1">IF(ISNUMBER(MATCH(DATEVALUE($A82),'recurring1_based on steps'!I$1:I$400,0)),I$2,)</f>
        <v>0</v>
      </c>
      <c r="J82" s="140">
        <f ca="1">IF(ISNUMBER(MATCH(DATEVALUE($A82),'recurring1_based on steps'!J$1:J$400,0)),J$2,)</f>
        <v>0</v>
      </c>
      <c r="K82" s="140">
        <f ca="1">IF(ISNUMBER(MATCH(DATEVALUE($A82),'recurring1_based on steps'!K$1:K$400,0)),K$2,)</f>
        <v>0</v>
      </c>
      <c r="L82" s="140">
        <f ca="1">IF(ISNUMBER(MATCH(DATEVALUE($A82),'recurring1_based on steps'!L$1:L$400,0)),L$2,)</f>
        <v>0</v>
      </c>
      <c r="M82" s="140">
        <f ca="1">IF(ISNUMBER(MATCH(DATEVALUE($A82),'recurring1_based on steps'!M$1:M$400,0)),M$2,)</f>
        <v>0</v>
      </c>
      <c r="N82" s="140">
        <f ca="1">IF(ISNUMBER(MATCH(DATEVALUE($A82),'recurring1_based on steps'!N$1:N$400,0)),N$2,)</f>
        <v>0</v>
      </c>
      <c r="O82" s="140">
        <f ca="1">IF(ISNUMBER(MATCH(DATEVALUE($A82),'recurring1_based on steps'!O$1:O$400,0)),O$2,)</f>
        <v>0</v>
      </c>
      <c r="P82" s="140">
        <f ca="1">IF(ISNUMBER(MATCH(DATEVALUE($A82),'recurring1_based on steps'!P$1:P$400,0)),P$2,)</f>
        <v>0</v>
      </c>
      <c r="Q82" s="140">
        <f ca="1">IF(ISNUMBER(MATCH(DATEVALUE($A82),'recurring1_based on steps'!Q$1:Q$400,0)),Q$2,)</f>
        <v>100</v>
      </c>
      <c r="R82" s="140">
        <f ca="1">IF(ISNUMBER(MATCH(DATEVALUE($A82),'recurring1_based on steps'!R$1:R$400,0)),R$2,)</f>
        <v>100</v>
      </c>
      <c r="S82" s="140">
        <f ca="1">IF(ISNUMBER(MATCH(DATEVALUE($A82),'recurring1_based on steps'!S$1:S$400,0)),S$2,)</f>
        <v>0</v>
      </c>
      <c r="T82" s="140">
        <f ca="1">IF(ISNUMBER(MATCH(DATEVALUE($A82),'recurring1_based on steps'!T$1:T$400,0)),T$2,)</f>
        <v>0</v>
      </c>
      <c r="U82" s="140">
        <f ca="1">IF(ISNUMBER(MATCH(DATEVALUE($A82),'recurring1_based on steps'!U$1:U$400,0)),U$2,)</f>
        <v>0</v>
      </c>
      <c r="V82" s="140">
        <f ca="1">IF(ISNUMBER(MATCH(DATEVALUE($A82),'recurring1_based on steps'!V$1:V$400,0)),V$2,)</f>
        <v>0</v>
      </c>
      <c r="W82" s="140">
        <f ca="1">IF(ISNUMBER(MATCH(DATEVALUE($A82),'recurring1_based on steps'!W$1:W$400,0)),W$2,)</f>
        <v>0</v>
      </c>
      <c r="X82" s="140">
        <f ca="1">IF(ISNUMBER(MATCH(DATEVALUE($A82),'recurring1_based on steps'!X$1:X$400,0)),X$2,)</f>
        <v>0</v>
      </c>
      <c r="Y82" s="140">
        <f ca="1">IF(ISNUMBER(MATCH(DATEVALUE($A82),'recurring1_based on steps'!Y$1:Y$400,0)),Y$2,)</f>
        <v>0</v>
      </c>
      <c r="Z82" s="140">
        <f ca="1">IF(ISNUMBER(MATCH(DATEVALUE($A82),'recurring1_based on steps'!Z$1:Z$400,0)),Z$2,)</f>
        <v>0</v>
      </c>
      <c r="AA82" s="140">
        <f ca="1">IF(ISNUMBER(MATCH(DATEVALUE($A82),'recurring1_based on steps'!AA$1:AA$400,0)),AA$2,)</f>
        <v>0</v>
      </c>
      <c r="AB82" s="140">
        <f ca="1">IF(ISNUMBER(MATCH(DATEVALUE($A82),'recurring1_based on steps'!AB$1:AB$400,0)),AB$2,)</f>
        <v>5.5401662049861494E-2</v>
      </c>
      <c r="AC82" s="140">
        <f ca="1">IF(ISNUMBER(MATCH(DATEVALUE($A82),'recurring1_based on steps'!AC$1:AC$400,0)),AC$2,)</f>
        <v>0</v>
      </c>
      <c r="AD82" s="140">
        <f ca="1">IF(ISNUMBER(MATCH(DATEVALUE($A82),'recurring1_based on steps'!AD$1:AD$400,0)),AD$2,)</f>
        <v>0</v>
      </c>
      <c r="AE82" s="140">
        <f ca="1">IF(ISNUMBER(MATCH(DATEVALUE($A82),'recurring1_based on steps'!AE$1:AE$400,0)),AE$2,)</f>
        <v>0</v>
      </c>
      <c r="AF82" s="140">
        <f ca="1">IF(ISNUMBER(MATCH(DATEVALUE($A82),'recurring1_based on steps'!AF$1:AF$400,0)),AF$2,)</f>
        <v>0</v>
      </c>
      <c r="AG82" s="140">
        <f ca="1">IF(ISNUMBER(MATCH(DATEVALUE($A82),'recurring1_based on steps'!AG$1:AG$400,0)),AG$2,)</f>
        <v>0</v>
      </c>
      <c r="AH82" s="140">
        <f ca="1">IF(ISNUMBER(MATCH(DATEVALUE($A82),'recurring1_based on steps'!AH$1:AH$400,0)),AH$2,)</f>
        <v>0</v>
      </c>
      <c r="AI82" s="140">
        <f ca="1">IF(ISNUMBER(MATCH(DATEVALUE($A82),'recurring1_based on steps'!AI$1:AI$400,0)),AI$2,)</f>
        <v>0</v>
      </c>
      <c r="AJ82" s="140">
        <f ca="1">IF(ISNUMBER(MATCH(DATEVALUE($A82),'recurring1_based on steps'!AJ$1:AJ$400,0)),AJ$2,)</f>
        <v>0</v>
      </c>
      <c r="AK82" s="140">
        <f ca="1">IF(ISNUMBER(MATCH(DATEVALUE($A82),'recurring1_based on steps'!AK$1:AK$400,0)),AK$2,)</f>
        <v>0</v>
      </c>
      <c r="AL82" s="140">
        <f ca="1">IF(ISNUMBER(MATCH(DATEVALUE($A82),'recurring1_based on steps'!AL$1:AL$400,0)),AL$2,)</f>
        <v>0</v>
      </c>
      <c r="AM82" s="140">
        <f ca="1">IF(ISNUMBER(MATCH(DATEVALUE($A82),'recurring1_based on steps'!AM$1:AM$400,0)),AM$2,)</f>
        <v>0</v>
      </c>
      <c r="AN82" s="140">
        <f ca="1">IF(ISNUMBER(MATCH(DATEVALUE($A82),'recurring1_based on steps'!AN$1:AN$400,0)),AN$2,)</f>
        <v>0</v>
      </c>
      <c r="AO82" s="140">
        <f ca="1">IF(ISNUMBER(MATCH(DATEVALUE($A82),'recurring1_based on steps'!AO$1:AO$400,0)),AO$2,)</f>
        <v>0</v>
      </c>
      <c r="AP82" s="140">
        <f ca="1">IF(ISNUMBER(MATCH(DATEVALUE($A82),'recurring1_based on steps'!AP$1:AP$400,0)),AP$2,)</f>
        <v>0</v>
      </c>
      <c r="AQ82" s="140">
        <f ca="1">IF(ISNUMBER(MATCH(DATEVALUE($A82),'recurring1_based on steps'!AQ$1:AQ$400,0)),AQ$2,)</f>
        <v>0</v>
      </c>
      <c r="AR82" s="140">
        <f ca="1">IF(ISNUMBER(MATCH(DATEVALUE($A82),'recurring1_based on steps'!AR$1:AR$400,0)),AR$2,)</f>
        <v>0</v>
      </c>
      <c r="AS82" s="140">
        <f ca="1">IF(ISNUMBER(MATCH(DATEVALUE($A82),'recurring1_based on steps'!AS$1:AS$400,0)),AS$2,)</f>
        <v>0</v>
      </c>
      <c r="AT82" s="140">
        <f ca="1">IF(ISNUMBER(MATCH(DATEVALUE($A82),'recurring1_based on steps'!AT$1:AT$400,0)),AT$2,)</f>
        <v>0</v>
      </c>
      <c r="AU82" s="140">
        <f ca="1">IF(ISNUMBER(MATCH(DATEVALUE($A82),'recurring1_based on steps'!AU$1:AU$400,0)),AU$2,)</f>
        <v>0</v>
      </c>
      <c r="AV82" s="140">
        <f ca="1">IF(ISNUMBER(MATCH(DATEVALUE($A82),'recurring1_based on steps'!AV$1:AV$400,0)),AV$2,)</f>
        <v>0</v>
      </c>
      <c r="AW82" s="140">
        <f ca="1">IF(ISNUMBER(MATCH(DATEVALUE($A82),'recurring1_based on steps'!AW$1:AW$400,0)),AW$2,)</f>
        <v>0</v>
      </c>
      <c r="AX82" s="140">
        <f ca="1">IF(ISNUMBER(MATCH(DATEVALUE($A82),'recurring1_based on steps'!AX$1:AX$400,0)),AX$2,)</f>
        <v>0</v>
      </c>
      <c r="AY82" s="140">
        <f ca="1">IF(ISNUMBER(MATCH(DATEVALUE($A82),'recurring1_based on steps'!AY$1:AY$400,0)),AY$2,)</f>
        <v>0</v>
      </c>
    </row>
    <row r="83" spans="1:51" x14ac:dyDescent="0.2">
      <c r="A83" s="29" t="str">
        <f t="shared" ca="1" si="1"/>
        <v>2025-06-15</v>
      </c>
      <c r="B83" s="140">
        <f ca="1">IF(ISNUMBER(MATCH(DATEVALUE($A83),'recurring1_based on steps'!B$1:B$400,0)),B$2,)</f>
        <v>0</v>
      </c>
      <c r="C83" s="140">
        <f ca="1">IF(ISNUMBER(MATCH(DATEVALUE($A83),'recurring1_based on steps'!C$1:C$400,0)),C$2,)</f>
        <v>0</v>
      </c>
      <c r="D83" s="140">
        <f ca="1">IF(ISNUMBER(MATCH(DATEVALUE($A83),'recurring1_based on steps'!D$1:D$400,0)),D$2,)</f>
        <v>0</v>
      </c>
      <c r="E83" s="140">
        <f ca="1">IF(ISNUMBER(MATCH(DATEVALUE($A83),'recurring1_based on steps'!E$1:E$400,0)),E$2,)</f>
        <v>0</v>
      </c>
      <c r="F83" s="140">
        <f ca="1">IF(ISNUMBER(MATCH(DATEVALUE($A83),'recurring1_based on steps'!F$1:F$400,0)),F$2,)</f>
        <v>0</v>
      </c>
      <c r="G83" s="140">
        <f ca="1">IF(ISNUMBER(MATCH(DATEVALUE($A83),'recurring1_based on steps'!G$1:G$400,0)),G$2,)</f>
        <v>0</v>
      </c>
      <c r="H83" s="140">
        <f ca="1">IF(ISNUMBER(MATCH(DATEVALUE($A83),'recurring1_based on steps'!H$1:H$400,0)),H$2,)</f>
        <v>0</v>
      </c>
      <c r="I83" s="140">
        <f ca="1">IF(ISNUMBER(MATCH(DATEVALUE($A83),'recurring1_based on steps'!I$1:I$400,0)),I$2,)</f>
        <v>0</v>
      </c>
      <c r="J83" s="140">
        <f ca="1">IF(ISNUMBER(MATCH(DATEVALUE($A83),'recurring1_based on steps'!J$1:J$400,0)),J$2,)</f>
        <v>0</v>
      </c>
      <c r="K83" s="140">
        <f ca="1">IF(ISNUMBER(MATCH(DATEVALUE($A83),'recurring1_based on steps'!K$1:K$400,0)),K$2,)</f>
        <v>50</v>
      </c>
      <c r="L83" s="140">
        <f ca="1">IF(ISNUMBER(MATCH(DATEVALUE($A83),'recurring1_based on steps'!L$1:L$400,0)),L$2,)</f>
        <v>0</v>
      </c>
      <c r="M83" s="140">
        <f ca="1">IF(ISNUMBER(MATCH(DATEVALUE($A83),'recurring1_based on steps'!M$1:M$400,0)),M$2,)</f>
        <v>0</v>
      </c>
      <c r="N83" s="140">
        <f ca="1">IF(ISNUMBER(MATCH(DATEVALUE($A83),'recurring1_based on steps'!N$1:N$400,0)),N$2,)</f>
        <v>0</v>
      </c>
      <c r="O83" s="140">
        <f ca="1">IF(ISNUMBER(MATCH(DATEVALUE($A83),'recurring1_based on steps'!O$1:O$400,0)),O$2,)</f>
        <v>0</v>
      </c>
      <c r="P83" s="140">
        <f ca="1">IF(ISNUMBER(MATCH(DATEVALUE($A83),'recurring1_based on steps'!P$1:P$400,0)),P$2,)</f>
        <v>0</v>
      </c>
      <c r="Q83" s="140">
        <f ca="1">IF(ISNUMBER(MATCH(DATEVALUE($A83),'recurring1_based on steps'!Q$1:Q$400,0)),Q$2,)</f>
        <v>0</v>
      </c>
      <c r="R83" s="140">
        <f ca="1">IF(ISNUMBER(MATCH(DATEVALUE($A83),'recurring1_based on steps'!R$1:R$400,0)),R$2,)</f>
        <v>0</v>
      </c>
      <c r="S83" s="140">
        <f ca="1">IF(ISNUMBER(MATCH(DATEVALUE($A83),'recurring1_based on steps'!S$1:S$400,0)),S$2,)</f>
        <v>100</v>
      </c>
      <c r="T83" s="140">
        <f ca="1">IF(ISNUMBER(MATCH(DATEVALUE($A83),'recurring1_based on steps'!T$1:T$400,0)),T$2,)</f>
        <v>0</v>
      </c>
      <c r="U83" s="140">
        <f ca="1">IF(ISNUMBER(MATCH(DATEVALUE($A83),'recurring1_based on steps'!U$1:U$400,0)),U$2,)</f>
        <v>0</v>
      </c>
      <c r="V83" s="140">
        <f ca="1">IF(ISNUMBER(MATCH(DATEVALUE($A83),'recurring1_based on steps'!V$1:V$400,0)),V$2,)</f>
        <v>0</v>
      </c>
      <c r="W83" s="140">
        <f ca="1">IF(ISNUMBER(MATCH(DATEVALUE($A83),'recurring1_based on steps'!W$1:W$400,0)),W$2,)</f>
        <v>0</v>
      </c>
      <c r="X83" s="140">
        <f ca="1">IF(ISNUMBER(MATCH(DATEVALUE($A83),'recurring1_based on steps'!X$1:X$400,0)),X$2,)</f>
        <v>0</v>
      </c>
      <c r="Y83" s="140">
        <f ca="1">IF(ISNUMBER(MATCH(DATEVALUE($A83),'recurring1_based on steps'!Y$1:Y$400,0)),Y$2,)</f>
        <v>0</v>
      </c>
      <c r="Z83" s="140">
        <f ca="1">IF(ISNUMBER(MATCH(DATEVALUE($A83),'recurring1_based on steps'!Z$1:Z$400,0)),Z$2,)</f>
        <v>0</v>
      </c>
      <c r="AA83" s="140">
        <f ca="1">IF(ISNUMBER(MATCH(DATEVALUE($A83),'recurring1_based on steps'!AA$1:AA$400,0)),AA$2,)</f>
        <v>0</v>
      </c>
      <c r="AB83" s="140">
        <f ca="1">IF(ISNUMBER(MATCH(DATEVALUE($A83),'recurring1_based on steps'!AB$1:AB$400,0)),AB$2,)</f>
        <v>5.5401662049861494E-2</v>
      </c>
      <c r="AC83" s="140">
        <f ca="1">IF(ISNUMBER(MATCH(DATEVALUE($A83),'recurring1_based on steps'!AC$1:AC$400,0)),AC$2,)</f>
        <v>0</v>
      </c>
      <c r="AD83" s="140">
        <f ca="1">IF(ISNUMBER(MATCH(DATEVALUE($A83),'recurring1_based on steps'!AD$1:AD$400,0)),AD$2,)</f>
        <v>0</v>
      </c>
      <c r="AE83" s="140">
        <f ca="1">IF(ISNUMBER(MATCH(DATEVALUE($A83),'recurring1_based on steps'!AE$1:AE$400,0)),AE$2,)</f>
        <v>0</v>
      </c>
      <c r="AF83" s="140">
        <f ca="1">IF(ISNUMBER(MATCH(DATEVALUE($A83),'recurring1_based on steps'!AF$1:AF$400,0)),AF$2,)</f>
        <v>0</v>
      </c>
      <c r="AG83" s="140">
        <f ca="1">IF(ISNUMBER(MATCH(DATEVALUE($A83),'recurring1_based on steps'!AG$1:AG$400,0)),AG$2,)</f>
        <v>0</v>
      </c>
      <c r="AH83" s="140">
        <f ca="1">IF(ISNUMBER(MATCH(DATEVALUE($A83),'recurring1_based on steps'!AH$1:AH$400,0)),AH$2,)</f>
        <v>0</v>
      </c>
      <c r="AI83" s="140">
        <f ca="1">IF(ISNUMBER(MATCH(DATEVALUE($A83),'recurring1_based on steps'!AI$1:AI$400,0)),AI$2,)</f>
        <v>0</v>
      </c>
      <c r="AJ83" s="140">
        <f ca="1">IF(ISNUMBER(MATCH(DATEVALUE($A83),'recurring1_based on steps'!AJ$1:AJ$400,0)),AJ$2,)</f>
        <v>0</v>
      </c>
      <c r="AK83" s="140">
        <f ca="1">IF(ISNUMBER(MATCH(DATEVALUE($A83),'recurring1_based on steps'!AK$1:AK$400,0)),AK$2,)</f>
        <v>0</v>
      </c>
      <c r="AL83" s="140">
        <f ca="1">IF(ISNUMBER(MATCH(DATEVALUE($A83),'recurring1_based on steps'!AL$1:AL$400,0)),AL$2,)</f>
        <v>0</v>
      </c>
      <c r="AM83" s="140">
        <f ca="1">IF(ISNUMBER(MATCH(DATEVALUE($A83),'recurring1_based on steps'!AM$1:AM$400,0)),AM$2,)</f>
        <v>0</v>
      </c>
      <c r="AN83" s="140">
        <f ca="1">IF(ISNUMBER(MATCH(DATEVALUE($A83),'recurring1_based on steps'!AN$1:AN$400,0)),AN$2,)</f>
        <v>0</v>
      </c>
      <c r="AO83" s="140">
        <f ca="1">IF(ISNUMBER(MATCH(DATEVALUE($A83),'recurring1_based on steps'!AO$1:AO$400,0)),AO$2,)</f>
        <v>0</v>
      </c>
      <c r="AP83" s="140">
        <f ca="1">IF(ISNUMBER(MATCH(DATEVALUE($A83),'recurring1_based on steps'!AP$1:AP$400,0)),AP$2,)</f>
        <v>0</v>
      </c>
      <c r="AQ83" s="140">
        <f ca="1">IF(ISNUMBER(MATCH(DATEVALUE($A83),'recurring1_based on steps'!AQ$1:AQ$400,0)),AQ$2,)</f>
        <v>0</v>
      </c>
      <c r="AR83" s="140">
        <f ca="1">IF(ISNUMBER(MATCH(DATEVALUE($A83),'recurring1_based on steps'!AR$1:AR$400,0)),AR$2,)</f>
        <v>0</v>
      </c>
      <c r="AS83" s="140">
        <f ca="1">IF(ISNUMBER(MATCH(DATEVALUE($A83),'recurring1_based on steps'!AS$1:AS$400,0)),AS$2,)</f>
        <v>0</v>
      </c>
      <c r="AT83" s="140">
        <f ca="1">IF(ISNUMBER(MATCH(DATEVALUE($A83),'recurring1_based on steps'!AT$1:AT$400,0)),AT$2,)</f>
        <v>0</v>
      </c>
      <c r="AU83" s="140">
        <f ca="1">IF(ISNUMBER(MATCH(DATEVALUE($A83),'recurring1_based on steps'!AU$1:AU$400,0)),AU$2,)</f>
        <v>0</v>
      </c>
      <c r="AV83" s="140">
        <f ca="1">IF(ISNUMBER(MATCH(DATEVALUE($A83),'recurring1_based on steps'!AV$1:AV$400,0)),AV$2,)</f>
        <v>0</v>
      </c>
      <c r="AW83" s="140">
        <f ca="1">IF(ISNUMBER(MATCH(DATEVALUE($A83),'recurring1_based on steps'!AW$1:AW$400,0)),AW$2,)</f>
        <v>0</v>
      </c>
      <c r="AX83" s="140">
        <f ca="1">IF(ISNUMBER(MATCH(DATEVALUE($A83),'recurring1_based on steps'!AX$1:AX$400,0)),AX$2,)</f>
        <v>0</v>
      </c>
      <c r="AY83" s="140">
        <f ca="1">IF(ISNUMBER(MATCH(DATEVALUE($A83),'recurring1_based on steps'!AY$1:AY$400,0)),AY$2,)</f>
        <v>0</v>
      </c>
    </row>
    <row r="84" spans="1:51" x14ac:dyDescent="0.2">
      <c r="A84" s="29" t="str">
        <f t="shared" ca="1" si="1"/>
        <v>2025-06-16</v>
      </c>
      <c r="B84" s="140">
        <f ca="1">IF(ISNUMBER(MATCH(DATEVALUE($A84),'recurring1_based on steps'!B$1:B$400,0)),B$2,)</f>
        <v>0</v>
      </c>
      <c r="C84" s="140">
        <f ca="1">IF(ISNUMBER(MATCH(DATEVALUE($A84),'recurring1_based on steps'!C$1:C$400,0)),C$2,)</f>
        <v>0</v>
      </c>
      <c r="D84" s="140">
        <f ca="1">IF(ISNUMBER(MATCH(DATEVALUE($A84),'recurring1_based on steps'!D$1:D$400,0)),D$2,)</f>
        <v>0</v>
      </c>
      <c r="E84" s="140">
        <f ca="1">IF(ISNUMBER(MATCH(DATEVALUE($A84),'recurring1_based on steps'!E$1:E$400,0)),E$2,)</f>
        <v>0</v>
      </c>
      <c r="F84" s="140">
        <f ca="1">IF(ISNUMBER(MATCH(DATEVALUE($A84),'recurring1_based on steps'!F$1:F$400,0)),F$2,)</f>
        <v>0</v>
      </c>
      <c r="G84" s="140">
        <f ca="1">IF(ISNUMBER(MATCH(DATEVALUE($A84),'recurring1_based on steps'!G$1:G$400,0)),G$2,)</f>
        <v>0</v>
      </c>
      <c r="H84" s="140">
        <f ca="1">IF(ISNUMBER(MATCH(DATEVALUE($A84),'recurring1_based on steps'!H$1:H$400,0)),H$2,)</f>
        <v>0</v>
      </c>
      <c r="I84" s="140">
        <f ca="1">IF(ISNUMBER(MATCH(DATEVALUE($A84),'recurring1_based on steps'!I$1:I$400,0)),I$2,)</f>
        <v>0</v>
      </c>
      <c r="J84" s="140">
        <f ca="1">IF(ISNUMBER(MATCH(DATEVALUE($A84),'recurring1_based on steps'!J$1:J$400,0)),J$2,)</f>
        <v>0</v>
      </c>
      <c r="K84" s="140">
        <f ca="1">IF(ISNUMBER(MATCH(DATEVALUE($A84),'recurring1_based on steps'!K$1:K$400,0)),K$2,)</f>
        <v>0</v>
      </c>
      <c r="L84" s="140">
        <f ca="1">IF(ISNUMBER(MATCH(DATEVALUE($A84),'recurring1_based on steps'!L$1:L$400,0)),L$2,)</f>
        <v>0</v>
      </c>
      <c r="M84" s="140">
        <f ca="1">IF(ISNUMBER(MATCH(DATEVALUE($A84),'recurring1_based on steps'!M$1:M$400,0)),M$2,)</f>
        <v>0</v>
      </c>
      <c r="N84" s="140">
        <f ca="1">IF(ISNUMBER(MATCH(DATEVALUE($A84),'recurring1_based on steps'!N$1:N$400,0)),N$2,)</f>
        <v>0</v>
      </c>
      <c r="O84" s="140">
        <f ca="1">IF(ISNUMBER(MATCH(DATEVALUE($A84),'recurring1_based on steps'!O$1:O$400,0)),O$2,)</f>
        <v>0</v>
      </c>
      <c r="P84" s="140">
        <f ca="1">IF(ISNUMBER(MATCH(DATEVALUE($A84),'recurring1_based on steps'!P$1:P$400,0)),P$2,)</f>
        <v>0</v>
      </c>
      <c r="Q84" s="140">
        <f ca="1">IF(ISNUMBER(MATCH(DATEVALUE($A84),'recurring1_based on steps'!Q$1:Q$400,0)),Q$2,)</f>
        <v>0</v>
      </c>
      <c r="R84" s="140">
        <f ca="1">IF(ISNUMBER(MATCH(DATEVALUE($A84),'recurring1_based on steps'!R$1:R$400,0)),R$2,)</f>
        <v>0</v>
      </c>
      <c r="S84" s="140">
        <f ca="1">IF(ISNUMBER(MATCH(DATEVALUE($A84),'recurring1_based on steps'!S$1:S$400,0)),S$2,)</f>
        <v>0</v>
      </c>
      <c r="T84" s="140">
        <f ca="1">IF(ISNUMBER(MATCH(DATEVALUE($A84),'recurring1_based on steps'!T$1:T$400,0)),T$2,)</f>
        <v>0</v>
      </c>
      <c r="U84" s="140">
        <f ca="1">IF(ISNUMBER(MATCH(DATEVALUE($A84),'recurring1_based on steps'!U$1:U$400,0)),U$2,)</f>
        <v>0</v>
      </c>
      <c r="V84" s="140">
        <f ca="1">IF(ISNUMBER(MATCH(DATEVALUE($A84),'recurring1_based on steps'!V$1:V$400,0)),V$2,)</f>
        <v>0</v>
      </c>
      <c r="W84" s="140">
        <f ca="1">IF(ISNUMBER(MATCH(DATEVALUE($A84),'recurring1_based on steps'!W$1:W$400,0)),W$2,)</f>
        <v>0</v>
      </c>
      <c r="X84" s="140">
        <f ca="1">IF(ISNUMBER(MATCH(DATEVALUE($A84),'recurring1_based on steps'!X$1:X$400,0)),X$2,)</f>
        <v>0</v>
      </c>
      <c r="Y84" s="140">
        <f ca="1">IF(ISNUMBER(MATCH(DATEVALUE($A84),'recurring1_based on steps'!Y$1:Y$400,0)),Y$2,)</f>
        <v>0</v>
      </c>
      <c r="Z84" s="140">
        <f ca="1">IF(ISNUMBER(MATCH(DATEVALUE($A84),'recurring1_based on steps'!Z$1:Z$400,0)),Z$2,)</f>
        <v>0</v>
      </c>
      <c r="AA84" s="140">
        <f ca="1">IF(ISNUMBER(MATCH(DATEVALUE($A84),'recurring1_based on steps'!AA$1:AA$400,0)),AA$2,)</f>
        <v>0</v>
      </c>
      <c r="AB84" s="140">
        <f ca="1">IF(ISNUMBER(MATCH(DATEVALUE($A84),'recurring1_based on steps'!AB$1:AB$400,0)),AB$2,)</f>
        <v>5.5401662049861494E-2</v>
      </c>
      <c r="AC84" s="140">
        <f ca="1">IF(ISNUMBER(MATCH(DATEVALUE($A84),'recurring1_based on steps'!AC$1:AC$400,0)),AC$2,)</f>
        <v>0</v>
      </c>
      <c r="AD84" s="140">
        <f ca="1">IF(ISNUMBER(MATCH(DATEVALUE($A84),'recurring1_based on steps'!AD$1:AD$400,0)),AD$2,)</f>
        <v>0</v>
      </c>
      <c r="AE84" s="140">
        <f ca="1">IF(ISNUMBER(MATCH(DATEVALUE($A84),'recurring1_based on steps'!AE$1:AE$400,0)),AE$2,)</f>
        <v>0</v>
      </c>
      <c r="AF84" s="140">
        <f ca="1">IF(ISNUMBER(MATCH(DATEVALUE($A84),'recurring1_based on steps'!AF$1:AF$400,0)),AF$2,)</f>
        <v>0</v>
      </c>
      <c r="AG84" s="140">
        <f ca="1">IF(ISNUMBER(MATCH(DATEVALUE($A84),'recurring1_based on steps'!AG$1:AG$400,0)),AG$2,)</f>
        <v>0</v>
      </c>
      <c r="AH84" s="140">
        <f ca="1">IF(ISNUMBER(MATCH(DATEVALUE($A84),'recurring1_based on steps'!AH$1:AH$400,0)),AH$2,)</f>
        <v>0</v>
      </c>
      <c r="AI84" s="140">
        <f ca="1">IF(ISNUMBER(MATCH(DATEVALUE($A84),'recurring1_based on steps'!AI$1:AI$400,0)),AI$2,)</f>
        <v>0</v>
      </c>
      <c r="AJ84" s="140">
        <f ca="1">IF(ISNUMBER(MATCH(DATEVALUE($A84),'recurring1_based on steps'!AJ$1:AJ$400,0)),AJ$2,)</f>
        <v>0</v>
      </c>
      <c r="AK84" s="140">
        <f ca="1">IF(ISNUMBER(MATCH(DATEVALUE($A84),'recurring1_based on steps'!AK$1:AK$400,0)),AK$2,)</f>
        <v>0</v>
      </c>
      <c r="AL84" s="140">
        <f ca="1">IF(ISNUMBER(MATCH(DATEVALUE($A84),'recurring1_based on steps'!AL$1:AL$400,0)),AL$2,)</f>
        <v>0</v>
      </c>
      <c r="AM84" s="140">
        <f ca="1">IF(ISNUMBER(MATCH(DATEVALUE($A84),'recurring1_based on steps'!AM$1:AM$400,0)),AM$2,)</f>
        <v>0</v>
      </c>
      <c r="AN84" s="140">
        <f ca="1">IF(ISNUMBER(MATCH(DATEVALUE($A84),'recurring1_based on steps'!AN$1:AN$400,0)),AN$2,)</f>
        <v>0</v>
      </c>
      <c r="AO84" s="140">
        <f ca="1">IF(ISNUMBER(MATCH(DATEVALUE($A84),'recurring1_based on steps'!AO$1:AO$400,0)),AO$2,)</f>
        <v>0</v>
      </c>
      <c r="AP84" s="140">
        <f ca="1">IF(ISNUMBER(MATCH(DATEVALUE($A84),'recurring1_based on steps'!AP$1:AP$400,0)),AP$2,)</f>
        <v>0</v>
      </c>
      <c r="AQ84" s="140">
        <f ca="1">IF(ISNUMBER(MATCH(DATEVALUE($A84),'recurring1_based on steps'!AQ$1:AQ$400,0)),AQ$2,)</f>
        <v>0</v>
      </c>
      <c r="AR84" s="140">
        <f ca="1">IF(ISNUMBER(MATCH(DATEVALUE($A84),'recurring1_based on steps'!AR$1:AR$400,0)),AR$2,)</f>
        <v>0</v>
      </c>
      <c r="AS84" s="140">
        <f ca="1">IF(ISNUMBER(MATCH(DATEVALUE($A84),'recurring1_based on steps'!AS$1:AS$400,0)),AS$2,)</f>
        <v>0</v>
      </c>
      <c r="AT84" s="140">
        <f ca="1">IF(ISNUMBER(MATCH(DATEVALUE($A84),'recurring1_based on steps'!AT$1:AT$400,0)),AT$2,)</f>
        <v>0</v>
      </c>
      <c r="AU84" s="140">
        <f ca="1">IF(ISNUMBER(MATCH(DATEVALUE($A84),'recurring1_based on steps'!AU$1:AU$400,0)),AU$2,)</f>
        <v>0</v>
      </c>
      <c r="AV84" s="140">
        <f ca="1">IF(ISNUMBER(MATCH(DATEVALUE($A84),'recurring1_based on steps'!AV$1:AV$400,0)),AV$2,)</f>
        <v>0</v>
      </c>
      <c r="AW84" s="140">
        <f ca="1">IF(ISNUMBER(MATCH(DATEVALUE($A84),'recurring1_based on steps'!AW$1:AW$400,0)),AW$2,)</f>
        <v>0</v>
      </c>
      <c r="AX84" s="140">
        <f ca="1">IF(ISNUMBER(MATCH(DATEVALUE($A84),'recurring1_based on steps'!AX$1:AX$400,0)),AX$2,)</f>
        <v>0</v>
      </c>
      <c r="AY84" s="140">
        <f ca="1">IF(ISNUMBER(MATCH(DATEVALUE($A84),'recurring1_based on steps'!AY$1:AY$400,0)),AY$2,)</f>
        <v>0</v>
      </c>
    </row>
    <row r="85" spans="1:51" x14ac:dyDescent="0.2">
      <c r="A85" s="29" t="str">
        <f t="shared" ca="1" si="1"/>
        <v>2025-06-17</v>
      </c>
      <c r="B85" s="140">
        <f ca="1">IF(ISNUMBER(MATCH(DATEVALUE($A85),'recurring1_based on steps'!B$1:B$400,0)),B$2,)</f>
        <v>0</v>
      </c>
      <c r="C85" s="140">
        <f ca="1">IF(ISNUMBER(MATCH(DATEVALUE($A85),'recurring1_based on steps'!C$1:C$400,0)),C$2,)</f>
        <v>0</v>
      </c>
      <c r="D85" s="140">
        <f ca="1">IF(ISNUMBER(MATCH(DATEVALUE($A85),'recurring1_based on steps'!D$1:D$400,0)),D$2,)</f>
        <v>0</v>
      </c>
      <c r="E85" s="140">
        <f ca="1">IF(ISNUMBER(MATCH(DATEVALUE($A85),'recurring1_based on steps'!E$1:E$400,0)),E$2,)</f>
        <v>0</v>
      </c>
      <c r="F85" s="140">
        <f ca="1">IF(ISNUMBER(MATCH(DATEVALUE($A85),'recurring1_based on steps'!F$1:F$400,0)),F$2,)</f>
        <v>0</v>
      </c>
      <c r="G85" s="140">
        <f ca="1">IF(ISNUMBER(MATCH(DATEVALUE($A85),'recurring1_based on steps'!G$1:G$400,0)),G$2,)</f>
        <v>0</v>
      </c>
      <c r="H85" s="140">
        <f ca="1">IF(ISNUMBER(MATCH(DATEVALUE($A85),'recurring1_based on steps'!H$1:H$400,0)),H$2,)</f>
        <v>0</v>
      </c>
      <c r="I85" s="140">
        <f ca="1">IF(ISNUMBER(MATCH(DATEVALUE($A85),'recurring1_based on steps'!I$1:I$400,0)),I$2,)</f>
        <v>0</v>
      </c>
      <c r="J85" s="140">
        <f ca="1">IF(ISNUMBER(MATCH(DATEVALUE($A85),'recurring1_based on steps'!J$1:J$400,0)),J$2,)</f>
        <v>0</v>
      </c>
      <c r="K85" s="140">
        <f ca="1">IF(ISNUMBER(MATCH(DATEVALUE($A85),'recurring1_based on steps'!K$1:K$400,0)),K$2,)</f>
        <v>0</v>
      </c>
      <c r="L85" s="140">
        <f ca="1">IF(ISNUMBER(MATCH(DATEVALUE($A85),'recurring1_based on steps'!L$1:L$400,0)),L$2,)</f>
        <v>0</v>
      </c>
      <c r="M85" s="140">
        <f ca="1">IF(ISNUMBER(MATCH(DATEVALUE($A85),'recurring1_based on steps'!M$1:M$400,0)),M$2,)</f>
        <v>0</v>
      </c>
      <c r="N85" s="140">
        <f ca="1">IF(ISNUMBER(MATCH(DATEVALUE($A85),'recurring1_based on steps'!N$1:N$400,0)),N$2,)</f>
        <v>15.49</v>
      </c>
      <c r="O85" s="140">
        <f ca="1">IF(ISNUMBER(MATCH(DATEVALUE($A85),'recurring1_based on steps'!O$1:O$400,0)),O$2,)</f>
        <v>0</v>
      </c>
      <c r="P85" s="140">
        <f ca="1">IF(ISNUMBER(MATCH(DATEVALUE($A85),'recurring1_based on steps'!P$1:P$400,0)),P$2,)</f>
        <v>0</v>
      </c>
      <c r="Q85" s="140">
        <f ca="1">IF(ISNUMBER(MATCH(DATEVALUE($A85),'recurring1_based on steps'!Q$1:Q$400,0)),Q$2,)</f>
        <v>0</v>
      </c>
      <c r="R85" s="140">
        <f ca="1">IF(ISNUMBER(MATCH(DATEVALUE($A85),'recurring1_based on steps'!R$1:R$400,0)),R$2,)</f>
        <v>0</v>
      </c>
      <c r="S85" s="140">
        <f ca="1">IF(ISNUMBER(MATCH(DATEVALUE($A85),'recurring1_based on steps'!S$1:S$400,0)),S$2,)</f>
        <v>0</v>
      </c>
      <c r="T85" s="140">
        <f ca="1">IF(ISNUMBER(MATCH(DATEVALUE($A85),'recurring1_based on steps'!T$1:T$400,0)),T$2,)</f>
        <v>0</v>
      </c>
      <c r="U85" s="140">
        <f ca="1">IF(ISNUMBER(MATCH(DATEVALUE($A85),'recurring1_based on steps'!U$1:U$400,0)),U$2,)</f>
        <v>0</v>
      </c>
      <c r="V85" s="140">
        <f ca="1">IF(ISNUMBER(MATCH(DATEVALUE($A85),'recurring1_based on steps'!V$1:V$400,0)),V$2,)</f>
        <v>200</v>
      </c>
      <c r="W85" s="140">
        <f ca="1">IF(ISNUMBER(MATCH(DATEVALUE($A85),'recurring1_based on steps'!W$1:W$400,0)),W$2,)</f>
        <v>0</v>
      </c>
      <c r="X85" s="140">
        <f ca="1">IF(ISNUMBER(MATCH(DATEVALUE($A85),'recurring1_based on steps'!X$1:X$400,0)),X$2,)</f>
        <v>0</v>
      </c>
      <c r="Y85" s="140">
        <f ca="1">IF(ISNUMBER(MATCH(DATEVALUE($A85),'recurring1_based on steps'!Y$1:Y$400,0)),Y$2,)</f>
        <v>0</v>
      </c>
      <c r="Z85" s="140">
        <f ca="1">IF(ISNUMBER(MATCH(DATEVALUE($A85),'recurring1_based on steps'!Z$1:Z$400,0)),Z$2,)</f>
        <v>0</v>
      </c>
      <c r="AA85" s="140">
        <f ca="1">IF(ISNUMBER(MATCH(DATEVALUE($A85),'recurring1_based on steps'!AA$1:AA$400,0)),AA$2,)</f>
        <v>0</v>
      </c>
      <c r="AB85" s="140">
        <f ca="1">IF(ISNUMBER(MATCH(DATEVALUE($A85),'recurring1_based on steps'!AB$1:AB$400,0)),AB$2,)</f>
        <v>5.5401662049861494E-2</v>
      </c>
      <c r="AC85" s="140">
        <f ca="1">IF(ISNUMBER(MATCH(DATEVALUE($A85),'recurring1_based on steps'!AC$1:AC$400,0)),AC$2,)</f>
        <v>0</v>
      </c>
      <c r="AD85" s="140">
        <f ca="1">IF(ISNUMBER(MATCH(DATEVALUE($A85),'recurring1_based on steps'!AD$1:AD$400,0)),AD$2,)</f>
        <v>0</v>
      </c>
      <c r="AE85" s="140">
        <f ca="1">IF(ISNUMBER(MATCH(DATEVALUE($A85),'recurring1_based on steps'!AE$1:AE$400,0)),AE$2,)</f>
        <v>0</v>
      </c>
      <c r="AF85" s="140">
        <f ca="1">IF(ISNUMBER(MATCH(DATEVALUE($A85),'recurring1_based on steps'!AF$1:AF$400,0)),AF$2,)</f>
        <v>0</v>
      </c>
      <c r="AG85" s="140">
        <f ca="1">IF(ISNUMBER(MATCH(DATEVALUE($A85),'recurring1_based on steps'!AG$1:AG$400,0)),AG$2,)</f>
        <v>0</v>
      </c>
      <c r="AH85" s="140">
        <f ca="1">IF(ISNUMBER(MATCH(DATEVALUE($A85),'recurring1_based on steps'!AH$1:AH$400,0)),AH$2,)</f>
        <v>0</v>
      </c>
      <c r="AI85" s="140">
        <f ca="1">IF(ISNUMBER(MATCH(DATEVALUE($A85),'recurring1_based on steps'!AI$1:AI$400,0)),AI$2,)</f>
        <v>0</v>
      </c>
      <c r="AJ85" s="140">
        <f ca="1">IF(ISNUMBER(MATCH(DATEVALUE($A85),'recurring1_based on steps'!AJ$1:AJ$400,0)),AJ$2,)</f>
        <v>0</v>
      </c>
      <c r="AK85" s="140">
        <f ca="1">IF(ISNUMBER(MATCH(DATEVALUE($A85),'recurring1_based on steps'!AK$1:AK$400,0)),AK$2,)</f>
        <v>0</v>
      </c>
      <c r="AL85" s="140">
        <f ca="1">IF(ISNUMBER(MATCH(DATEVALUE($A85),'recurring1_based on steps'!AL$1:AL$400,0)),AL$2,)</f>
        <v>0</v>
      </c>
      <c r="AM85" s="140">
        <f ca="1">IF(ISNUMBER(MATCH(DATEVALUE($A85),'recurring1_based on steps'!AM$1:AM$400,0)),AM$2,)</f>
        <v>0</v>
      </c>
      <c r="AN85" s="140">
        <f ca="1">IF(ISNUMBER(MATCH(DATEVALUE($A85),'recurring1_based on steps'!AN$1:AN$400,0)),AN$2,)</f>
        <v>0</v>
      </c>
      <c r="AO85" s="140">
        <f ca="1">IF(ISNUMBER(MATCH(DATEVALUE($A85),'recurring1_based on steps'!AO$1:AO$400,0)),AO$2,)</f>
        <v>0</v>
      </c>
      <c r="AP85" s="140">
        <f ca="1">IF(ISNUMBER(MATCH(DATEVALUE($A85),'recurring1_based on steps'!AP$1:AP$400,0)),AP$2,)</f>
        <v>0</v>
      </c>
      <c r="AQ85" s="140">
        <f ca="1">IF(ISNUMBER(MATCH(DATEVALUE($A85),'recurring1_based on steps'!AQ$1:AQ$400,0)),AQ$2,)</f>
        <v>0</v>
      </c>
      <c r="AR85" s="140">
        <f ca="1">IF(ISNUMBER(MATCH(DATEVALUE($A85),'recurring1_based on steps'!AR$1:AR$400,0)),AR$2,)</f>
        <v>0</v>
      </c>
      <c r="AS85" s="140">
        <f ca="1">IF(ISNUMBER(MATCH(DATEVALUE($A85),'recurring1_based on steps'!AS$1:AS$400,0)),AS$2,)</f>
        <v>0</v>
      </c>
      <c r="AT85" s="140">
        <f ca="1">IF(ISNUMBER(MATCH(DATEVALUE($A85),'recurring1_based on steps'!AT$1:AT$400,0)),AT$2,)</f>
        <v>0</v>
      </c>
      <c r="AU85" s="140">
        <f ca="1">IF(ISNUMBER(MATCH(DATEVALUE($A85),'recurring1_based on steps'!AU$1:AU$400,0)),AU$2,)</f>
        <v>0</v>
      </c>
      <c r="AV85" s="140">
        <f ca="1">IF(ISNUMBER(MATCH(DATEVALUE($A85),'recurring1_based on steps'!AV$1:AV$400,0)),AV$2,)</f>
        <v>0</v>
      </c>
      <c r="AW85" s="140">
        <f ca="1">IF(ISNUMBER(MATCH(DATEVALUE($A85),'recurring1_based on steps'!AW$1:AW$400,0)),AW$2,)</f>
        <v>0</v>
      </c>
      <c r="AX85" s="140">
        <f ca="1">IF(ISNUMBER(MATCH(DATEVALUE($A85),'recurring1_based on steps'!AX$1:AX$400,0)),AX$2,)</f>
        <v>0</v>
      </c>
      <c r="AY85" s="140">
        <f ca="1">IF(ISNUMBER(MATCH(DATEVALUE($A85),'recurring1_based on steps'!AY$1:AY$400,0)),AY$2,)</f>
        <v>0</v>
      </c>
    </row>
    <row r="86" spans="1:51" x14ac:dyDescent="0.2">
      <c r="A86" s="29" t="str">
        <f t="shared" ca="1" si="1"/>
        <v>2025-06-18</v>
      </c>
      <c r="B86" s="140">
        <f ca="1">IF(ISNUMBER(MATCH(DATEVALUE($A86),'recurring1_based on steps'!B$1:B$400,0)),B$2,)</f>
        <v>0</v>
      </c>
      <c r="C86" s="140">
        <f ca="1">IF(ISNUMBER(MATCH(DATEVALUE($A86),'recurring1_based on steps'!C$1:C$400,0)),C$2,)</f>
        <v>0</v>
      </c>
      <c r="D86" s="140">
        <f ca="1">IF(ISNUMBER(MATCH(DATEVALUE($A86),'recurring1_based on steps'!D$1:D$400,0)),D$2,)</f>
        <v>0</v>
      </c>
      <c r="E86" s="140">
        <f ca="1">IF(ISNUMBER(MATCH(DATEVALUE($A86),'recurring1_based on steps'!E$1:E$400,0)),E$2,)</f>
        <v>0</v>
      </c>
      <c r="F86" s="140">
        <f ca="1">IF(ISNUMBER(MATCH(DATEVALUE($A86),'recurring1_based on steps'!F$1:F$400,0)),F$2,)</f>
        <v>0</v>
      </c>
      <c r="G86" s="140">
        <f ca="1">IF(ISNUMBER(MATCH(DATEVALUE($A86),'recurring1_based on steps'!G$1:G$400,0)),G$2,)</f>
        <v>0</v>
      </c>
      <c r="H86" s="140">
        <f ca="1">IF(ISNUMBER(MATCH(DATEVALUE($A86),'recurring1_based on steps'!H$1:H$400,0)),H$2,)</f>
        <v>0</v>
      </c>
      <c r="I86" s="140">
        <f ca="1">IF(ISNUMBER(MATCH(DATEVALUE($A86),'recurring1_based on steps'!I$1:I$400,0)),I$2,)</f>
        <v>0</v>
      </c>
      <c r="J86" s="140">
        <f ca="1">IF(ISNUMBER(MATCH(DATEVALUE($A86),'recurring1_based on steps'!J$1:J$400,0)),J$2,)</f>
        <v>0</v>
      </c>
      <c r="K86" s="140">
        <f ca="1">IF(ISNUMBER(MATCH(DATEVALUE($A86),'recurring1_based on steps'!K$1:K$400,0)),K$2,)</f>
        <v>0</v>
      </c>
      <c r="L86" s="140">
        <f ca="1">IF(ISNUMBER(MATCH(DATEVALUE($A86),'recurring1_based on steps'!L$1:L$400,0)),L$2,)</f>
        <v>0</v>
      </c>
      <c r="M86" s="140">
        <f ca="1">IF(ISNUMBER(MATCH(DATEVALUE($A86),'recurring1_based on steps'!M$1:M$400,0)),M$2,)</f>
        <v>0</v>
      </c>
      <c r="N86" s="140">
        <f ca="1">IF(ISNUMBER(MATCH(DATEVALUE($A86),'recurring1_based on steps'!N$1:N$400,0)),N$2,)</f>
        <v>0</v>
      </c>
      <c r="O86" s="140">
        <f ca="1">IF(ISNUMBER(MATCH(DATEVALUE($A86),'recurring1_based on steps'!O$1:O$400,0)),O$2,)</f>
        <v>10.99</v>
      </c>
      <c r="P86" s="140">
        <f ca="1">IF(ISNUMBER(MATCH(DATEVALUE($A86),'recurring1_based on steps'!P$1:P$400,0)),P$2,)</f>
        <v>0</v>
      </c>
      <c r="Q86" s="140">
        <f ca="1">IF(ISNUMBER(MATCH(DATEVALUE($A86),'recurring1_based on steps'!Q$1:Q$400,0)),Q$2,)</f>
        <v>0</v>
      </c>
      <c r="R86" s="140">
        <f ca="1">IF(ISNUMBER(MATCH(DATEVALUE($A86),'recurring1_based on steps'!R$1:R$400,0)),R$2,)</f>
        <v>0</v>
      </c>
      <c r="S86" s="140">
        <f ca="1">IF(ISNUMBER(MATCH(DATEVALUE($A86),'recurring1_based on steps'!S$1:S$400,0)),S$2,)</f>
        <v>0</v>
      </c>
      <c r="T86" s="140">
        <f ca="1">IF(ISNUMBER(MATCH(DATEVALUE($A86),'recurring1_based on steps'!T$1:T$400,0)),T$2,)</f>
        <v>0</v>
      </c>
      <c r="U86" s="140">
        <f ca="1">IF(ISNUMBER(MATCH(DATEVALUE($A86),'recurring1_based on steps'!U$1:U$400,0)),U$2,)</f>
        <v>0</v>
      </c>
      <c r="V86" s="140">
        <f ca="1">IF(ISNUMBER(MATCH(DATEVALUE($A86),'recurring1_based on steps'!V$1:V$400,0)),V$2,)</f>
        <v>0</v>
      </c>
      <c r="W86" s="140">
        <f ca="1">IF(ISNUMBER(MATCH(DATEVALUE($A86),'recurring1_based on steps'!W$1:W$400,0)),W$2,)</f>
        <v>0</v>
      </c>
      <c r="X86" s="140">
        <f ca="1">IF(ISNUMBER(MATCH(DATEVALUE($A86),'recurring1_based on steps'!X$1:X$400,0)),X$2,)</f>
        <v>0</v>
      </c>
      <c r="Y86" s="140">
        <f ca="1">IF(ISNUMBER(MATCH(DATEVALUE($A86),'recurring1_based on steps'!Y$1:Y$400,0)),Y$2,)</f>
        <v>0</v>
      </c>
      <c r="Z86" s="140">
        <f ca="1">IF(ISNUMBER(MATCH(DATEVALUE($A86),'recurring1_based on steps'!Z$1:Z$400,0)),Z$2,)</f>
        <v>0</v>
      </c>
      <c r="AA86" s="140">
        <f ca="1">IF(ISNUMBER(MATCH(DATEVALUE($A86),'recurring1_based on steps'!AA$1:AA$400,0)),AA$2,)</f>
        <v>0</v>
      </c>
      <c r="AB86" s="140">
        <f ca="1">IF(ISNUMBER(MATCH(DATEVALUE($A86),'recurring1_based on steps'!AB$1:AB$400,0)),AB$2,)</f>
        <v>5.5401662049861494E-2</v>
      </c>
      <c r="AC86" s="140">
        <f ca="1">IF(ISNUMBER(MATCH(DATEVALUE($A86),'recurring1_based on steps'!AC$1:AC$400,0)),AC$2,)</f>
        <v>0</v>
      </c>
      <c r="AD86" s="140">
        <f ca="1">IF(ISNUMBER(MATCH(DATEVALUE($A86),'recurring1_based on steps'!AD$1:AD$400,0)),AD$2,)</f>
        <v>0</v>
      </c>
      <c r="AE86" s="140">
        <f ca="1">IF(ISNUMBER(MATCH(DATEVALUE($A86),'recurring1_based on steps'!AE$1:AE$400,0)),AE$2,)</f>
        <v>0</v>
      </c>
      <c r="AF86" s="140">
        <f ca="1">IF(ISNUMBER(MATCH(DATEVALUE($A86),'recurring1_based on steps'!AF$1:AF$400,0)),AF$2,)</f>
        <v>0</v>
      </c>
      <c r="AG86" s="140">
        <f ca="1">IF(ISNUMBER(MATCH(DATEVALUE($A86),'recurring1_based on steps'!AG$1:AG$400,0)),AG$2,)</f>
        <v>0</v>
      </c>
      <c r="AH86" s="140">
        <f ca="1">IF(ISNUMBER(MATCH(DATEVALUE($A86),'recurring1_based on steps'!AH$1:AH$400,0)),AH$2,)</f>
        <v>0</v>
      </c>
      <c r="AI86" s="140">
        <f ca="1">IF(ISNUMBER(MATCH(DATEVALUE($A86),'recurring1_based on steps'!AI$1:AI$400,0)),AI$2,)</f>
        <v>0</v>
      </c>
      <c r="AJ86" s="140">
        <f ca="1">IF(ISNUMBER(MATCH(DATEVALUE($A86),'recurring1_based on steps'!AJ$1:AJ$400,0)),AJ$2,)</f>
        <v>0</v>
      </c>
      <c r="AK86" s="140">
        <f ca="1">IF(ISNUMBER(MATCH(DATEVALUE($A86),'recurring1_based on steps'!AK$1:AK$400,0)),AK$2,)</f>
        <v>0</v>
      </c>
      <c r="AL86" s="140">
        <f ca="1">IF(ISNUMBER(MATCH(DATEVALUE($A86),'recurring1_based on steps'!AL$1:AL$400,0)),AL$2,)</f>
        <v>0</v>
      </c>
      <c r="AM86" s="140">
        <f ca="1">IF(ISNUMBER(MATCH(DATEVALUE($A86),'recurring1_based on steps'!AM$1:AM$400,0)),AM$2,)</f>
        <v>0</v>
      </c>
      <c r="AN86" s="140">
        <f ca="1">IF(ISNUMBER(MATCH(DATEVALUE($A86),'recurring1_based on steps'!AN$1:AN$400,0)),AN$2,)</f>
        <v>0</v>
      </c>
      <c r="AO86" s="140">
        <f ca="1">IF(ISNUMBER(MATCH(DATEVALUE($A86),'recurring1_based on steps'!AO$1:AO$400,0)),AO$2,)</f>
        <v>0</v>
      </c>
      <c r="AP86" s="140">
        <f ca="1">IF(ISNUMBER(MATCH(DATEVALUE($A86),'recurring1_based on steps'!AP$1:AP$400,0)),AP$2,)</f>
        <v>0</v>
      </c>
      <c r="AQ86" s="140">
        <f ca="1">IF(ISNUMBER(MATCH(DATEVALUE($A86),'recurring1_based on steps'!AQ$1:AQ$400,0)),AQ$2,)</f>
        <v>0</v>
      </c>
      <c r="AR86" s="140">
        <f ca="1">IF(ISNUMBER(MATCH(DATEVALUE($A86),'recurring1_based on steps'!AR$1:AR$400,0)),AR$2,)</f>
        <v>0</v>
      </c>
      <c r="AS86" s="140">
        <f ca="1">IF(ISNUMBER(MATCH(DATEVALUE($A86),'recurring1_based on steps'!AS$1:AS$400,0)),AS$2,)</f>
        <v>0</v>
      </c>
      <c r="AT86" s="140">
        <f ca="1">IF(ISNUMBER(MATCH(DATEVALUE($A86),'recurring1_based on steps'!AT$1:AT$400,0)),AT$2,)</f>
        <v>0</v>
      </c>
      <c r="AU86" s="140">
        <f ca="1">IF(ISNUMBER(MATCH(DATEVALUE($A86),'recurring1_based on steps'!AU$1:AU$400,0)),AU$2,)</f>
        <v>0</v>
      </c>
      <c r="AV86" s="140">
        <f ca="1">IF(ISNUMBER(MATCH(DATEVALUE($A86),'recurring1_based on steps'!AV$1:AV$400,0)),AV$2,)</f>
        <v>0</v>
      </c>
      <c r="AW86" s="140">
        <f ca="1">IF(ISNUMBER(MATCH(DATEVALUE($A86),'recurring1_based on steps'!AW$1:AW$400,0)),AW$2,)</f>
        <v>0</v>
      </c>
      <c r="AX86" s="140">
        <f ca="1">IF(ISNUMBER(MATCH(DATEVALUE($A86),'recurring1_based on steps'!AX$1:AX$400,0)),AX$2,)</f>
        <v>0</v>
      </c>
      <c r="AY86" s="140">
        <f ca="1">IF(ISNUMBER(MATCH(DATEVALUE($A86),'recurring1_based on steps'!AY$1:AY$400,0)),AY$2,)</f>
        <v>0</v>
      </c>
    </row>
    <row r="87" spans="1:51" x14ac:dyDescent="0.2">
      <c r="A87" s="29" t="str">
        <f t="shared" ca="1" si="1"/>
        <v>2025-06-19</v>
      </c>
      <c r="B87" s="140">
        <f ca="1">IF(ISNUMBER(MATCH(DATEVALUE($A87),'recurring1_based on steps'!B$1:B$400,0)),B$2,)</f>
        <v>0</v>
      </c>
      <c r="C87" s="140">
        <f ca="1">IF(ISNUMBER(MATCH(DATEVALUE($A87),'recurring1_based on steps'!C$1:C$400,0)),C$2,)</f>
        <v>0</v>
      </c>
      <c r="D87" s="140">
        <f ca="1">IF(ISNUMBER(MATCH(DATEVALUE($A87),'recurring1_based on steps'!D$1:D$400,0)),D$2,)</f>
        <v>0</v>
      </c>
      <c r="E87" s="140">
        <f ca="1">IF(ISNUMBER(MATCH(DATEVALUE($A87),'recurring1_based on steps'!E$1:E$400,0)),E$2,)</f>
        <v>0</v>
      </c>
      <c r="F87" s="140">
        <f ca="1">IF(ISNUMBER(MATCH(DATEVALUE($A87),'recurring1_based on steps'!F$1:F$400,0)),F$2,)</f>
        <v>0</v>
      </c>
      <c r="G87" s="140">
        <f ca="1">IF(ISNUMBER(MATCH(DATEVALUE($A87),'recurring1_based on steps'!G$1:G$400,0)),G$2,)</f>
        <v>0</v>
      </c>
      <c r="H87" s="140">
        <f ca="1">IF(ISNUMBER(MATCH(DATEVALUE($A87),'recurring1_based on steps'!H$1:H$400,0)),H$2,)</f>
        <v>0</v>
      </c>
      <c r="I87" s="140">
        <f ca="1">IF(ISNUMBER(MATCH(DATEVALUE($A87),'recurring1_based on steps'!I$1:I$400,0)),I$2,)</f>
        <v>0</v>
      </c>
      <c r="J87" s="140">
        <f ca="1">IF(ISNUMBER(MATCH(DATEVALUE($A87),'recurring1_based on steps'!J$1:J$400,0)),J$2,)</f>
        <v>0</v>
      </c>
      <c r="K87" s="140">
        <f ca="1">IF(ISNUMBER(MATCH(DATEVALUE($A87),'recurring1_based on steps'!K$1:K$400,0)),K$2,)</f>
        <v>0</v>
      </c>
      <c r="L87" s="140">
        <f ca="1">IF(ISNUMBER(MATCH(DATEVALUE($A87),'recurring1_based on steps'!L$1:L$400,0)),L$2,)</f>
        <v>0</v>
      </c>
      <c r="M87" s="140">
        <f ca="1">IF(ISNUMBER(MATCH(DATEVALUE($A87),'recurring1_based on steps'!M$1:M$400,0)),M$2,)</f>
        <v>0</v>
      </c>
      <c r="N87" s="140">
        <f ca="1">IF(ISNUMBER(MATCH(DATEVALUE($A87),'recurring1_based on steps'!N$1:N$400,0)),N$2,)</f>
        <v>0</v>
      </c>
      <c r="O87" s="140">
        <f ca="1">IF(ISNUMBER(MATCH(DATEVALUE($A87),'recurring1_based on steps'!O$1:O$400,0)),O$2,)</f>
        <v>0</v>
      </c>
      <c r="P87" s="140">
        <f ca="1">IF(ISNUMBER(MATCH(DATEVALUE($A87),'recurring1_based on steps'!P$1:P$400,0)),P$2,)</f>
        <v>0</v>
      </c>
      <c r="Q87" s="140">
        <f ca="1">IF(ISNUMBER(MATCH(DATEVALUE($A87),'recurring1_based on steps'!Q$1:Q$400,0)),Q$2,)</f>
        <v>0</v>
      </c>
      <c r="R87" s="140">
        <f ca="1">IF(ISNUMBER(MATCH(DATEVALUE($A87),'recurring1_based on steps'!R$1:R$400,0)),R$2,)</f>
        <v>0</v>
      </c>
      <c r="S87" s="140">
        <f ca="1">IF(ISNUMBER(MATCH(DATEVALUE($A87),'recurring1_based on steps'!S$1:S$400,0)),S$2,)</f>
        <v>0</v>
      </c>
      <c r="T87" s="140">
        <f ca="1">IF(ISNUMBER(MATCH(DATEVALUE($A87),'recurring1_based on steps'!T$1:T$400,0)),T$2,)</f>
        <v>0</v>
      </c>
      <c r="U87" s="140">
        <f ca="1">IF(ISNUMBER(MATCH(DATEVALUE($A87),'recurring1_based on steps'!U$1:U$400,0)),U$2,)</f>
        <v>0</v>
      </c>
      <c r="V87" s="140">
        <f ca="1">IF(ISNUMBER(MATCH(DATEVALUE($A87),'recurring1_based on steps'!V$1:V$400,0)),V$2,)</f>
        <v>0</v>
      </c>
      <c r="W87" s="140">
        <f ca="1">IF(ISNUMBER(MATCH(DATEVALUE($A87),'recurring1_based on steps'!W$1:W$400,0)),W$2,)</f>
        <v>0</v>
      </c>
      <c r="X87" s="140">
        <f ca="1">IF(ISNUMBER(MATCH(DATEVALUE($A87),'recurring1_based on steps'!X$1:X$400,0)),X$2,)</f>
        <v>0</v>
      </c>
      <c r="Y87" s="140">
        <f ca="1">IF(ISNUMBER(MATCH(DATEVALUE($A87),'recurring1_based on steps'!Y$1:Y$400,0)),Y$2,)</f>
        <v>0</v>
      </c>
      <c r="Z87" s="140">
        <f ca="1">IF(ISNUMBER(MATCH(DATEVALUE($A87),'recurring1_based on steps'!Z$1:Z$400,0)),Z$2,)</f>
        <v>0</v>
      </c>
      <c r="AA87" s="140">
        <f ca="1">IF(ISNUMBER(MATCH(DATEVALUE($A87),'recurring1_based on steps'!AA$1:AA$400,0)),AA$2,)</f>
        <v>0</v>
      </c>
      <c r="AB87" s="140">
        <f ca="1">IF(ISNUMBER(MATCH(DATEVALUE($A87),'recurring1_based on steps'!AB$1:AB$400,0)),AB$2,)</f>
        <v>5.5401662049861494E-2</v>
      </c>
      <c r="AC87" s="140">
        <f ca="1">IF(ISNUMBER(MATCH(DATEVALUE($A87),'recurring1_based on steps'!AC$1:AC$400,0)),AC$2,)</f>
        <v>0</v>
      </c>
      <c r="AD87" s="140">
        <f ca="1">IF(ISNUMBER(MATCH(DATEVALUE($A87),'recurring1_based on steps'!AD$1:AD$400,0)),AD$2,)</f>
        <v>0</v>
      </c>
      <c r="AE87" s="140">
        <f ca="1">IF(ISNUMBER(MATCH(DATEVALUE($A87),'recurring1_based on steps'!AE$1:AE$400,0)),AE$2,)</f>
        <v>0</v>
      </c>
      <c r="AF87" s="140">
        <f ca="1">IF(ISNUMBER(MATCH(DATEVALUE($A87),'recurring1_based on steps'!AF$1:AF$400,0)),AF$2,)</f>
        <v>0</v>
      </c>
      <c r="AG87" s="140">
        <f ca="1">IF(ISNUMBER(MATCH(DATEVALUE($A87),'recurring1_based on steps'!AG$1:AG$400,0)),AG$2,)</f>
        <v>0</v>
      </c>
      <c r="AH87" s="140">
        <f ca="1">IF(ISNUMBER(MATCH(DATEVALUE($A87),'recurring1_based on steps'!AH$1:AH$400,0)),AH$2,)</f>
        <v>0</v>
      </c>
      <c r="AI87" s="140">
        <f ca="1">IF(ISNUMBER(MATCH(DATEVALUE($A87),'recurring1_based on steps'!AI$1:AI$400,0)),AI$2,)</f>
        <v>0</v>
      </c>
      <c r="AJ87" s="140">
        <f ca="1">IF(ISNUMBER(MATCH(DATEVALUE($A87),'recurring1_based on steps'!AJ$1:AJ$400,0)),AJ$2,)</f>
        <v>0</v>
      </c>
      <c r="AK87" s="140">
        <f ca="1">IF(ISNUMBER(MATCH(DATEVALUE($A87),'recurring1_based on steps'!AK$1:AK$400,0)),AK$2,)</f>
        <v>0</v>
      </c>
      <c r="AL87" s="140">
        <f ca="1">IF(ISNUMBER(MATCH(DATEVALUE($A87),'recurring1_based on steps'!AL$1:AL$400,0)),AL$2,)</f>
        <v>0</v>
      </c>
      <c r="AM87" s="140">
        <f ca="1">IF(ISNUMBER(MATCH(DATEVALUE($A87),'recurring1_based on steps'!AM$1:AM$400,0)),AM$2,)</f>
        <v>0</v>
      </c>
      <c r="AN87" s="140">
        <f ca="1">IF(ISNUMBER(MATCH(DATEVALUE($A87),'recurring1_based on steps'!AN$1:AN$400,0)),AN$2,)</f>
        <v>0</v>
      </c>
      <c r="AO87" s="140">
        <f ca="1">IF(ISNUMBER(MATCH(DATEVALUE($A87),'recurring1_based on steps'!AO$1:AO$400,0)),AO$2,)</f>
        <v>0</v>
      </c>
      <c r="AP87" s="140">
        <f ca="1">IF(ISNUMBER(MATCH(DATEVALUE($A87),'recurring1_based on steps'!AP$1:AP$400,0)),AP$2,)</f>
        <v>0</v>
      </c>
      <c r="AQ87" s="140">
        <f ca="1">IF(ISNUMBER(MATCH(DATEVALUE($A87),'recurring1_based on steps'!AQ$1:AQ$400,0)),AQ$2,)</f>
        <v>0</v>
      </c>
      <c r="AR87" s="140">
        <f ca="1">IF(ISNUMBER(MATCH(DATEVALUE($A87),'recurring1_based on steps'!AR$1:AR$400,0)),AR$2,)</f>
        <v>0</v>
      </c>
      <c r="AS87" s="140">
        <f ca="1">IF(ISNUMBER(MATCH(DATEVALUE($A87),'recurring1_based on steps'!AS$1:AS$400,0)),AS$2,)</f>
        <v>0</v>
      </c>
      <c r="AT87" s="140">
        <f ca="1">IF(ISNUMBER(MATCH(DATEVALUE($A87),'recurring1_based on steps'!AT$1:AT$400,0)),AT$2,)</f>
        <v>0</v>
      </c>
      <c r="AU87" s="140">
        <f ca="1">IF(ISNUMBER(MATCH(DATEVALUE($A87),'recurring1_based on steps'!AU$1:AU$400,0)),AU$2,)</f>
        <v>0</v>
      </c>
      <c r="AV87" s="140">
        <f ca="1">IF(ISNUMBER(MATCH(DATEVALUE($A87),'recurring1_based on steps'!AV$1:AV$400,0)),AV$2,)</f>
        <v>0</v>
      </c>
      <c r="AW87" s="140">
        <f ca="1">IF(ISNUMBER(MATCH(DATEVALUE($A87),'recurring1_based on steps'!AW$1:AW$400,0)),AW$2,)</f>
        <v>0</v>
      </c>
      <c r="AX87" s="140">
        <f ca="1">IF(ISNUMBER(MATCH(DATEVALUE($A87),'recurring1_based on steps'!AX$1:AX$400,0)),AX$2,)</f>
        <v>0</v>
      </c>
      <c r="AY87" s="140">
        <f ca="1">IF(ISNUMBER(MATCH(DATEVALUE($A87),'recurring1_based on steps'!AY$1:AY$400,0)),AY$2,)</f>
        <v>0</v>
      </c>
    </row>
    <row r="88" spans="1:51" x14ac:dyDescent="0.2">
      <c r="A88" s="29" t="str">
        <f t="shared" ca="1" si="1"/>
        <v>2025-06-20</v>
      </c>
      <c r="B88" s="140">
        <f ca="1">IF(ISNUMBER(MATCH(DATEVALUE($A88),'recurring1_based on steps'!B$1:B$400,0)),B$2,)</f>
        <v>0</v>
      </c>
      <c r="C88" s="140">
        <f ca="1">IF(ISNUMBER(MATCH(DATEVALUE($A88),'recurring1_based on steps'!C$1:C$400,0)),C$2,)</f>
        <v>0</v>
      </c>
      <c r="D88" s="140">
        <f ca="1">IF(ISNUMBER(MATCH(DATEVALUE($A88),'recurring1_based on steps'!D$1:D$400,0)),D$2,)</f>
        <v>0</v>
      </c>
      <c r="E88" s="140">
        <f ca="1">IF(ISNUMBER(MATCH(DATEVALUE($A88),'recurring1_based on steps'!E$1:E$400,0)),E$2,)</f>
        <v>0</v>
      </c>
      <c r="F88" s="140">
        <f ca="1">IF(ISNUMBER(MATCH(DATEVALUE($A88),'recurring1_based on steps'!F$1:F$400,0)),F$2,)</f>
        <v>0</v>
      </c>
      <c r="G88" s="140">
        <f ca="1">IF(ISNUMBER(MATCH(DATEVALUE($A88),'recurring1_based on steps'!G$1:G$400,0)),G$2,)</f>
        <v>0</v>
      </c>
      <c r="H88" s="140">
        <f ca="1">IF(ISNUMBER(MATCH(DATEVALUE($A88),'recurring1_based on steps'!H$1:H$400,0)),H$2,)</f>
        <v>0</v>
      </c>
      <c r="I88" s="140">
        <f ca="1">IF(ISNUMBER(MATCH(DATEVALUE($A88),'recurring1_based on steps'!I$1:I$400,0)),I$2,)</f>
        <v>0</v>
      </c>
      <c r="J88" s="140">
        <f ca="1">IF(ISNUMBER(MATCH(DATEVALUE($A88),'recurring1_based on steps'!J$1:J$400,0)),J$2,)</f>
        <v>0</v>
      </c>
      <c r="K88" s="140">
        <f ca="1">IF(ISNUMBER(MATCH(DATEVALUE($A88),'recurring1_based on steps'!K$1:K$400,0)),K$2,)</f>
        <v>0</v>
      </c>
      <c r="L88" s="140">
        <f ca="1">IF(ISNUMBER(MATCH(DATEVALUE($A88),'recurring1_based on steps'!L$1:L$400,0)),L$2,)</f>
        <v>0</v>
      </c>
      <c r="M88" s="140">
        <f ca="1">IF(ISNUMBER(MATCH(DATEVALUE($A88),'recurring1_based on steps'!M$1:M$400,0)),M$2,)</f>
        <v>0</v>
      </c>
      <c r="N88" s="140">
        <f ca="1">IF(ISNUMBER(MATCH(DATEVALUE($A88),'recurring1_based on steps'!N$1:N$400,0)),N$2,)</f>
        <v>0</v>
      </c>
      <c r="O88" s="140">
        <f ca="1">IF(ISNUMBER(MATCH(DATEVALUE($A88),'recurring1_based on steps'!O$1:O$400,0)),O$2,)</f>
        <v>0</v>
      </c>
      <c r="P88" s="140">
        <f ca="1">IF(ISNUMBER(MATCH(DATEVALUE($A88),'recurring1_based on steps'!P$1:P$400,0)),P$2,)</f>
        <v>0</v>
      </c>
      <c r="Q88" s="140">
        <f ca="1">IF(ISNUMBER(MATCH(DATEVALUE($A88),'recurring1_based on steps'!Q$1:Q$400,0)),Q$2,)</f>
        <v>0</v>
      </c>
      <c r="R88" s="140">
        <f ca="1">IF(ISNUMBER(MATCH(DATEVALUE($A88),'recurring1_based on steps'!R$1:R$400,0)),R$2,)</f>
        <v>0</v>
      </c>
      <c r="S88" s="140">
        <f ca="1">IF(ISNUMBER(MATCH(DATEVALUE($A88),'recurring1_based on steps'!S$1:S$400,0)),S$2,)</f>
        <v>0</v>
      </c>
      <c r="T88" s="140">
        <f ca="1">IF(ISNUMBER(MATCH(DATEVALUE($A88),'recurring1_based on steps'!T$1:T$400,0)),T$2,)</f>
        <v>0</v>
      </c>
      <c r="U88" s="140">
        <f ca="1">IF(ISNUMBER(MATCH(DATEVALUE($A88),'recurring1_based on steps'!U$1:U$400,0)),U$2,)</f>
        <v>0</v>
      </c>
      <c r="V88" s="140">
        <f ca="1">IF(ISNUMBER(MATCH(DATEVALUE($A88),'recurring1_based on steps'!V$1:V$400,0)),V$2,)</f>
        <v>0</v>
      </c>
      <c r="W88" s="140">
        <f ca="1">IF(ISNUMBER(MATCH(DATEVALUE($A88),'recurring1_based on steps'!W$1:W$400,0)),W$2,)</f>
        <v>0</v>
      </c>
      <c r="X88" s="140">
        <f ca="1">IF(ISNUMBER(MATCH(DATEVALUE($A88),'recurring1_based on steps'!X$1:X$400,0)),X$2,)</f>
        <v>0</v>
      </c>
      <c r="Y88" s="140">
        <f ca="1">IF(ISNUMBER(MATCH(DATEVALUE($A88),'recurring1_based on steps'!Y$1:Y$400,0)),Y$2,)</f>
        <v>0</v>
      </c>
      <c r="Z88" s="140">
        <f ca="1">IF(ISNUMBER(MATCH(DATEVALUE($A88),'recurring1_based on steps'!Z$1:Z$400,0)),Z$2,)</f>
        <v>0</v>
      </c>
      <c r="AA88" s="140">
        <f ca="1">IF(ISNUMBER(MATCH(DATEVALUE($A88),'recurring1_based on steps'!AA$1:AA$400,0)),AA$2,)</f>
        <v>5.8171745152354575</v>
      </c>
      <c r="AB88" s="140">
        <f ca="1">IF(ISNUMBER(MATCH(DATEVALUE($A88),'recurring1_based on steps'!AB$1:AB$400,0)),AB$2,)</f>
        <v>5.5401662049861494E-2</v>
      </c>
      <c r="AC88" s="140">
        <f ca="1">IF(ISNUMBER(MATCH(DATEVALUE($A88),'recurring1_based on steps'!AC$1:AC$400,0)),AC$2,)</f>
        <v>0</v>
      </c>
      <c r="AD88" s="140">
        <f ca="1">IF(ISNUMBER(MATCH(DATEVALUE($A88),'recurring1_based on steps'!AD$1:AD$400,0)),AD$2,)</f>
        <v>0</v>
      </c>
      <c r="AE88" s="140">
        <f ca="1">IF(ISNUMBER(MATCH(DATEVALUE($A88),'recurring1_based on steps'!AE$1:AE$400,0)),AE$2,)</f>
        <v>0</v>
      </c>
      <c r="AF88" s="140">
        <f ca="1">IF(ISNUMBER(MATCH(DATEVALUE($A88),'recurring1_based on steps'!AF$1:AF$400,0)),AF$2,)</f>
        <v>0</v>
      </c>
      <c r="AG88" s="140">
        <f ca="1">IF(ISNUMBER(MATCH(DATEVALUE($A88),'recurring1_based on steps'!AG$1:AG$400,0)),AG$2,)</f>
        <v>0</v>
      </c>
      <c r="AH88" s="140">
        <f ca="1">IF(ISNUMBER(MATCH(DATEVALUE($A88),'recurring1_based on steps'!AH$1:AH$400,0)),AH$2,)</f>
        <v>0</v>
      </c>
      <c r="AI88" s="140">
        <f ca="1">IF(ISNUMBER(MATCH(DATEVALUE($A88),'recurring1_based on steps'!AI$1:AI$400,0)),AI$2,)</f>
        <v>0</v>
      </c>
      <c r="AJ88" s="140">
        <f ca="1">IF(ISNUMBER(MATCH(DATEVALUE($A88),'recurring1_based on steps'!AJ$1:AJ$400,0)),AJ$2,)</f>
        <v>0</v>
      </c>
      <c r="AK88" s="140">
        <f ca="1">IF(ISNUMBER(MATCH(DATEVALUE($A88),'recurring1_based on steps'!AK$1:AK$400,0)),AK$2,)</f>
        <v>0</v>
      </c>
      <c r="AL88" s="140">
        <f ca="1">IF(ISNUMBER(MATCH(DATEVALUE($A88),'recurring1_based on steps'!AL$1:AL$400,0)),AL$2,)</f>
        <v>0</v>
      </c>
      <c r="AM88" s="140">
        <f ca="1">IF(ISNUMBER(MATCH(DATEVALUE($A88),'recurring1_based on steps'!AM$1:AM$400,0)),AM$2,)</f>
        <v>0</v>
      </c>
      <c r="AN88" s="140">
        <f ca="1">IF(ISNUMBER(MATCH(DATEVALUE($A88),'recurring1_based on steps'!AN$1:AN$400,0)),AN$2,)</f>
        <v>0</v>
      </c>
      <c r="AO88" s="140">
        <f ca="1">IF(ISNUMBER(MATCH(DATEVALUE($A88),'recurring1_based on steps'!AO$1:AO$400,0)),AO$2,)</f>
        <v>0</v>
      </c>
      <c r="AP88" s="140">
        <f ca="1">IF(ISNUMBER(MATCH(DATEVALUE($A88),'recurring1_based on steps'!AP$1:AP$400,0)),AP$2,)</f>
        <v>0</v>
      </c>
      <c r="AQ88" s="140">
        <f ca="1">IF(ISNUMBER(MATCH(DATEVALUE($A88),'recurring1_based on steps'!AQ$1:AQ$400,0)),AQ$2,)</f>
        <v>0</v>
      </c>
      <c r="AR88" s="140">
        <f ca="1">IF(ISNUMBER(MATCH(DATEVALUE($A88),'recurring1_based on steps'!AR$1:AR$400,0)),AR$2,)</f>
        <v>0</v>
      </c>
      <c r="AS88" s="140">
        <f ca="1">IF(ISNUMBER(MATCH(DATEVALUE($A88),'recurring1_based on steps'!AS$1:AS$400,0)),AS$2,)</f>
        <v>0</v>
      </c>
      <c r="AT88" s="140">
        <f ca="1">IF(ISNUMBER(MATCH(DATEVALUE($A88),'recurring1_based on steps'!AT$1:AT$400,0)),AT$2,)</f>
        <v>0</v>
      </c>
      <c r="AU88" s="140">
        <f ca="1">IF(ISNUMBER(MATCH(DATEVALUE($A88),'recurring1_based on steps'!AU$1:AU$400,0)),AU$2,)</f>
        <v>0</v>
      </c>
      <c r="AV88" s="140">
        <f ca="1">IF(ISNUMBER(MATCH(DATEVALUE($A88),'recurring1_based on steps'!AV$1:AV$400,0)),AV$2,)</f>
        <v>0</v>
      </c>
      <c r="AW88" s="140">
        <f ca="1">IF(ISNUMBER(MATCH(DATEVALUE($A88),'recurring1_based on steps'!AW$1:AW$400,0)),AW$2,)</f>
        <v>0</v>
      </c>
      <c r="AX88" s="140">
        <f ca="1">IF(ISNUMBER(MATCH(DATEVALUE($A88),'recurring1_based on steps'!AX$1:AX$400,0)),AX$2,)</f>
        <v>0</v>
      </c>
      <c r="AY88" s="140">
        <f ca="1">IF(ISNUMBER(MATCH(DATEVALUE($A88),'recurring1_based on steps'!AY$1:AY$400,0)),AY$2,)</f>
        <v>0</v>
      </c>
    </row>
    <row r="89" spans="1:51" x14ac:dyDescent="0.2">
      <c r="A89" s="29" t="str">
        <f t="shared" ca="1" si="1"/>
        <v>2025-06-21</v>
      </c>
      <c r="B89" s="140">
        <f ca="1">IF(ISNUMBER(MATCH(DATEVALUE($A89),'recurring1_based on steps'!B$1:B$400,0)),B$2,)</f>
        <v>0</v>
      </c>
      <c r="C89" s="140">
        <f ca="1">IF(ISNUMBER(MATCH(DATEVALUE($A89),'recurring1_based on steps'!C$1:C$400,0)),C$2,)</f>
        <v>0</v>
      </c>
      <c r="D89" s="140">
        <f ca="1">IF(ISNUMBER(MATCH(DATEVALUE($A89),'recurring1_based on steps'!D$1:D$400,0)),D$2,)</f>
        <v>0</v>
      </c>
      <c r="E89" s="140">
        <f ca="1">IF(ISNUMBER(MATCH(DATEVALUE($A89),'recurring1_based on steps'!E$1:E$400,0)),E$2,)</f>
        <v>0</v>
      </c>
      <c r="F89" s="140">
        <f ca="1">IF(ISNUMBER(MATCH(DATEVALUE($A89),'recurring1_based on steps'!F$1:F$400,0)),F$2,)</f>
        <v>0</v>
      </c>
      <c r="G89" s="140">
        <f ca="1">IF(ISNUMBER(MATCH(DATEVALUE($A89),'recurring1_based on steps'!G$1:G$400,0)),G$2,)</f>
        <v>0</v>
      </c>
      <c r="H89" s="140">
        <f ca="1">IF(ISNUMBER(MATCH(DATEVALUE($A89),'recurring1_based on steps'!H$1:H$400,0)),H$2,)</f>
        <v>0</v>
      </c>
      <c r="I89" s="140">
        <f ca="1">IF(ISNUMBER(MATCH(DATEVALUE($A89),'recurring1_based on steps'!I$1:I$400,0)),I$2,)</f>
        <v>0</v>
      </c>
      <c r="J89" s="140">
        <f ca="1">IF(ISNUMBER(MATCH(DATEVALUE($A89),'recurring1_based on steps'!J$1:J$400,0)),J$2,)</f>
        <v>0</v>
      </c>
      <c r="K89" s="140">
        <f ca="1">IF(ISNUMBER(MATCH(DATEVALUE($A89),'recurring1_based on steps'!K$1:K$400,0)),K$2,)</f>
        <v>0</v>
      </c>
      <c r="L89" s="140">
        <f ca="1">IF(ISNUMBER(MATCH(DATEVALUE($A89),'recurring1_based on steps'!L$1:L$400,0)),L$2,)</f>
        <v>0</v>
      </c>
      <c r="M89" s="140">
        <f ca="1">IF(ISNUMBER(MATCH(DATEVALUE($A89),'recurring1_based on steps'!M$1:M$400,0)),M$2,)</f>
        <v>0</v>
      </c>
      <c r="N89" s="140">
        <f ca="1">IF(ISNUMBER(MATCH(DATEVALUE($A89),'recurring1_based on steps'!N$1:N$400,0)),N$2,)</f>
        <v>0</v>
      </c>
      <c r="O89" s="140">
        <f ca="1">IF(ISNUMBER(MATCH(DATEVALUE($A89),'recurring1_based on steps'!O$1:O$400,0)),O$2,)</f>
        <v>0</v>
      </c>
      <c r="P89" s="140">
        <f ca="1">IF(ISNUMBER(MATCH(DATEVALUE($A89),'recurring1_based on steps'!P$1:P$400,0)),P$2,)</f>
        <v>0</v>
      </c>
      <c r="Q89" s="140">
        <f ca="1">IF(ISNUMBER(MATCH(DATEVALUE($A89),'recurring1_based on steps'!Q$1:Q$400,0)),Q$2,)</f>
        <v>100</v>
      </c>
      <c r="R89" s="140">
        <f ca="1">IF(ISNUMBER(MATCH(DATEVALUE($A89),'recurring1_based on steps'!R$1:R$400,0)),R$2,)</f>
        <v>100</v>
      </c>
      <c r="S89" s="140">
        <f ca="1">IF(ISNUMBER(MATCH(DATEVALUE($A89),'recurring1_based on steps'!S$1:S$400,0)),S$2,)</f>
        <v>0</v>
      </c>
      <c r="T89" s="140">
        <f ca="1">IF(ISNUMBER(MATCH(DATEVALUE($A89),'recurring1_based on steps'!T$1:T$400,0)),T$2,)</f>
        <v>0</v>
      </c>
      <c r="U89" s="140">
        <f ca="1">IF(ISNUMBER(MATCH(DATEVALUE($A89),'recurring1_based on steps'!U$1:U$400,0)),U$2,)</f>
        <v>0</v>
      </c>
      <c r="V89" s="140">
        <f ca="1">IF(ISNUMBER(MATCH(DATEVALUE($A89),'recurring1_based on steps'!V$1:V$400,0)),V$2,)</f>
        <v>0</v>
      </c>
      <c r="W89" s="140">
        <f ca="1">IF(ISNUMBER(MATCH(DATEVALUE($A89),'recurring1_based on steps'!W$1:W$400,0)),W$2,)</f>
        <v>0</v>
      </c>
      <c r="X89" s="140">
        <f ca="1">IF(ISNUMBER(MATCH(DATEVALUE($A89),'recurring1_based on steps'!X$1:X$400,0)),X$2,)</f>
        <v>0</v>
      </c>
      <c r="Y89" s="140">
        <f ca="1">IF(ISNUMBER(MATCH(DATEVALUE($A89),'recurring1_based on steps'!Y$1:Y$400,0)),Y$2,)</f>
        <v>0</v>
      </c>
      <c r="Z89" s="140">
        <f ca="1">IF(ISNUMBER(MATCH(DATEVALUE($A89),'recurring1_based on steps'!Z$1:Z$400,0)),Z$2,)</f>
        <v>0</v>
      </c>
      <c r="AA89" s="140">
        <f ca="1">IF(ISNUMBER(MATCH(DATEVALUE($A89),'recurring1_based on steps'!AA$1:AA$400,0)),AA$2,)</f>
        <v>0</v>
      </c>
      <c r="AB89" s="140">
        <f ca="1">IF(ISNUMBER(MATCH(DATEVALUE($A89),'recurring1_based on steps'!AB$1:AB$400,0)),AB$2,)</f>
        <v>5.5401662049861494E-2</v>
      </c>
      <c r="AC89" s="140">
        <f ca="1">IF(ISNUMBER(MATCH(DATEVALUE($A89),'recurring1_based on steps'!AC$1:AC$400,0)),AC$2,)</f>
        <v>0</v>
      </c>
      <c r="AD89" s="140">
        <f ca="1">IF(ISNUMBER(MATCH(DATEVALUE($A89),'recurring1_based on steps'!AD$1:AD$400,0)),AD$2,)</f>
        <v>0</v>
      </c>
      <c r="AE89" s="140">
        <f ca="1">IF(ISNUMBER(MATCH(DATEVALUE($A89),'recurring1_based on steps'!AE$1:AE$400,0)),AE$2,)</f>
        <v>0</v>
      </c>
      <c r="AF89" s="140">
        <f ca="1">IF(ISNUMBER(MATCH(DATEVALUE($A89),'recurring1_based on steps'!AF$1:AF$400,0)),AF$2,)</f>
        <v>0</v>
      </c>
      <c r="AG89" s="140">
        <f ca="1">IF(ISNUMBER(MATCH(DATEVALUE($A89),'recurring1_based on steps'!AG$1:AG$400,0)),AG$2,)</f>
        <v>0</v>
      </c>
      <c r="AH89" s="140">
        <f ca="1">IF(ISNUMBER(MATCH(DATEVALUE($A89),'recurring1_based on steps'!AH$1:AH$400,0)),AH$2,)</f>
        <v>0</v>
      </c>
      <c r="AI89" s="140">
        <f ca="1">IF(ISNUMBER(MATCH(DATEVALUE($A89),'recurring1_based on steps'!AI$1:AI$400,0)),AI$2,)</f>
        <v>0</v>
      </c>
      <c r="AJ89" s="140">
        <f ca="1">IF(ISNUMBER(MATCH(DATEVALUE($A89),'recurring1_based on steps'!AJ$1:AJ$400,0)),AJ$2,)</f>
        <v>0</v>
      </c>
      <c r="AK89" s="140">
        <f ca="1">IF(ISNUMBER(MATCH(DATEVALUE($A89),'recurring1_based on steps'!AK$1:AK$400,0)),AK$2,)</f>
        <v>0</v>
      </c>
      <c r="AL89" s="140">
        <f ca="1">IF(ISNUMBER(MATCH(DATEVALUE($A89),'recurring1_based on steps'!AL$1:AL$400,0)),AL$2,)</f>
        <v>0</v>
      </c>
      <c r="AM89" s="140">
        <f ca="1">IF(ISNUMBER(MATCH(DATEVALUE($A89),'recurring1_based on steps'!AM$1:AM$400,0)),AM$2,)</f>
        <v>0</v>
      </c>
      <c r="AN89" s="140">
        <f ca="1">IF(ISNUMBER(MATCH(DATEVALUE($A89),'recurring1_based on steps'!AN$1:AN$400,0)),AN$2,)</f>
        <v>0</v>
      </c>
      <c r="AO89" s="140">
        <f ca="1">IF(ISNUMBER(MATCH(DATEVALUE($A89),'recurring1_based on steps'!AO$1:AO$400,0)),AO$2,)</f>
        <v>0</v>
      </c>
      <c r="AP89" s="140">
        <f ca="1">IF(ISNUMBER(MATCH(DATEVALUE($A89),'recurring1_based on steps'!AP$1:AP$400,0)),AP$2,)</f>
        <v>0</v>
      </c>
      <c r="AQ89" s="140">
        <f ca="1">IF(ISNUMBER(MATCH(DATEVALUE($A89),'recurring1_based on steps'!AQ$1:AQ$400,0)),AQ$2,)</f>
        <v>0</v>
      </c>
      <c r="AR89" s="140">
        <f ca="1">IF(ISNUMBER(MATCH(DATEVALUE($A89),'recurring1_based on steps'!AR$1:AR$400,0)),AR$2,)</f>
        <v>0</v>
      </c>
      <c r="AS89" s="140">
        <f ca="1">IF(ISNUMBER(MATCH(DATEVALUE($A89),'recurring1_based on steps'!AS$1:AS$400,0)),AS$2,)</f>
        <v>0</v>
      </c>
      <c r="AT89" s="140">
        <f ca="1">IF(ISNUMBER(MATCH(DATEVALUE($A89),'recurring1_based on steps'!AT$1:AT$400,0)),AT$2,)</f>
        <v>0</v>
      </c>
      <c r="AU89" s="140">
        <f ca="1">IF(ISNUMBER(MATCH(DATEVALUE($A89),'recurring1_based on steps'!AU$1:AU$400,0)),AU$2,)</f>
        <v>0</v>
      </c>
      <c r="AV89" s="140">
        <f ca="1">IF(ISNUMBER(MATCH(DATEVALUE($A89),'recurring1_based on steps'!AV$1:AV$400,0)),AV$2,)</f>
        <v>0</v>
      </c>
      <c r="AW89" s="140">
        <f ca="1">IF(ISNUMBER(MATCH(DATEVALUE($A89),'recurring1_based on steps'!AW$1:AW$400,0)),AW$2,)</f>
        <v>0</v>
      </c>
      <c r="AX89" s="140">
        <f ca="1">IF(ISNUMBER(MATCH(DATEVALUE($A89),'recurring1_based on steps'!AX$1:AX$400,0)),AX$2,)</f>
        <v>0</v>
      </c>
      <c r="AY89" s="140">
        <f ca="1">IF(ISNUMBER(MATCH(DATEVALUE($A89),'recurring1_based on steps'!AY$1:AY$400,0)),AY$2,)</f>
        <v>0</v>
      </c>
    </row>
    <row r="90" spans="1:51" x14ac:dyDescent="0.2">
      <c r="A90" s="29" t="str">
        <f t="shared" ca="1" si="1"/>
        <v>2025-06-22</v>
      </c>
      <c r="B90" s="140">
        <f ca="1">IF(ISNUMBER(MATCH(DATEVALUE($A90),'recurring1_based on steps'!B$1:B$400,0)),B$2,)</f>
        <v>0</v>
      </c>
      <c r="C90" s="140">
        <f ca="1">IF(ISNUMBER(MATCH(DATEVALUE($A90),'recurring1_based on steps'!C$1:C$400,0)),C$2,)</f>
        <v>0</v>
      </c>
      <c r="D90" s="140">
        <f ca="1">IF(ISNUMBER(MATCH(DATEVALUE($A90),'recurring1_based on steps'!D$1:D$400,0)),D$2,)</f>
        <v>0</v>
      </c>
      <c r="E90" s="140">
        <f ca="1">IF(ISNUMBER(MATCH(DATEVALUE($A90),'recurring1_based on steps'!E$1:E$400,0)),E$2,)</f>
        <v>0</v>
      </c>
      <c r="F90" s="140">
        <f ca="1">IF(ISNUMBER(MATCH(DATEVALUE($A90),'recurring1_based on steps'!F$1:F$400,0)),F$2,)</f>
        <v>0</v>
      </c>
      <c r="G90" s="140">
        <f ca="1">IF(ISNUMBER(MATCH(DATEVALUE($A90),'recurring1_based on steps'!G$1:G$400,0)),G$2,)</f>
        <v>0</v>
      </c>
      <c r="H90" s="140">
        <f ca="1">IF(ISNUMBER(MATCH(DATEVALUE($A90),'recurring1_based on steps'!H$1:H$400,0)),H$2,)</f>
        <v>0</v>
      </c>
      <c r="I90" s="140">
        <f ca="1">IF(ISNUMBER(MATCH(DATEVALUE($A90),'recurring1_based on steps'!I$1:I$400,0)),I$2,)</f>
        <v>0</v>
      </c>
      <c r="J90" s="140">
        <f ca="1">IF(ISNUMBER(MATCH(DATEVALUE($A90),'recurring1_based on steps'!J$1:J$400,0)),J$2,)</f>
        <v>0</v>
      </c>
      <c r="K90" s="140">
        <f ca="1">IF(ISNUMBER(MATCH(DATEVALUE($A90),'recurring1_based on steps'!K$1:K$400,0)),K$2,)</f>
        <v>50</v>
      </c>
      <c r="L90" s="140">
        <f ca="1">IF(ISNUMBER(MATCH(DATEVALUE($A90),'recurring1_based on steps'!L$1:L$400,0)),L$2,)</f>
        <v>0</v>
      </c>
      <c r="M90" s="140">
        <f ca="1">IF(ISNUMBER(MATCH(DATEVALUE($A90),'recurring1_based on steps'!M$1:M$400,0)),M$2,)</f>
        <v>0</v>
      </c>
      <c r="N90" s="140">
        <f ca="1">IF(ISNUMBER(MATCH(DATEVALUE($A90),'recurring1_based on steps'!N$1:N$400,0)),N$2,)</f>
        <v>0</v>
      </c>
      <c r="O90" s="140">
        <f ca="1">IF(ISNUMBER(MATCH(DATEVALUE($A90),'recurring1_based on steps'!O$1:O$400,0)),O$2,)</f>
        <v>0</v>
      </c>
      <c r="P90" s="140">
        <f ca="1">IF(ISNUMBER(MATCH(DATEVALUE($A90),'recurring1_based on steps'!P$1:P$400,0)),P$2,)</f>
        <v>0</v>
      </c>
      <c r="Q90" s="140">
        <f ca="1">IF(ISNUMBER(MATCH(DATEVALUE($A90),'recurring1_based on steps'!Q$1:Q$400,0)),Q$2,)</f>
        <v>0</v>
      </c>
      <c r="R90" s="140">
        <f ca="1">IF(ISNUMBER(MATCH(DATEVALUE($A90),'recurring1_based on steps'!R$1:R$400,0)),R$2,)</f>
        <v>0</v>
      </c>
      <c r="S90" s="140">
        <f ca="1">IF(ISNUMBER(MATCH(DATEVALUE($A90),'recurring1_based on steps'!S$1:S$400,0)),S$2,)</f>
        <v>100</v>
      </c>
      <c r="T90" s="140">
        <f ca="1">IF(ISNUMBER(MATCH(DATEVALUE($A90),'recurring1_based on steps'!T$1:T$400,0)),T$2,)</f>
        <v>0</v>
      </c>
      <c r="U90" s="140">
        <f ca="1">IF(ISNUMBER(MATCH(DATEVALUE($A90),'recurring1_based on steps'!U$1:U$400,0)),U$2,)</f>
        <v>0</v>
      </c>
      <c r="V90" s="140">
        <f ca="1">IF(ISNUMBER(MATCH(DATEVALUE($A90),'recurring1_based on steps'!V$1:V$400,0)),V$2,)</f>
        <v>0</v>
      </c>
      <c r="W90" s="140">
        <f ca="1">IF(ISNUMBER(MATCH(DATEVALUE($A90),'recurring1_based on steps'!W$1:W$400,0)),W$2,)</f>
        <v>0</v>
      </c>
      <c r="X90" s="140">
        <f ca="1">IF(ISNUMBER(MATCH(DATEVALUE($A90),'recurring1_based on steps'!X$1:X$400,0)),X$2,)</f>
        <v>0</v>
      </c>
      <c r="Y90" s="140">
        <f ca="1">IF(ISNUMBER(MATCH(DATEVALUE($A90),'recurring1_based on steps'!Y$1:Y$400,0)),Y$2,)</f>
        <v>0</v>
      </c>
      <c r="Z90" s="140">
        <f ca="1">IF(ISNUMBER(MATCH(DATEVALUE($A90),'recurring1_based on steps'!Z$1:Z$400,0)),Z$2,)</f>
        <v>0</v>
      </c>
      <c r="AA90" s="140">
        <f ca="1">IF(ISNUMBER(MATCH(DATEVALUE($A90),'recurring1_based on steps'!AA$1:AA$400,0)),AA$2,)</f>
        <v>0</v>
      </c>
      <c r="AB90" s="140">
        <f ca="1">IF(ISNUMBER(MATCH(DATEVALUE($A90),'recurring1_based on steps'!AB$1:AB$400,0)),AB$2,)</f>
        <v>5.5401662049861494E-2</v>
      </c>
      <c r="AC90" s="140">
        <f ca="1">IF(ISNUMBER(MATCH(DATEVALUE($A90),'recurring1_based on steps'!AC$1:AC$400,0)),AC$2,)</f>
        <v>0</v>
      </c>
      <c r="AD90" s="140">
        <f ca="1">IF(ISNUMBER(MATCH(DATEVALUE($A90),'recurring1_based on steps'!AD$1:AD$400,0)),AD$2,)</f>
        <v>0</v>
      </c>
      <c r="AE90" s="140">
        <f ca="1">IF(ISNUMBER(MATCH(DATEVALUE($A90),'recurring1_based on steps'!AE$1:AE$400,0)),AE$2,)</f>
        <v>0</v>
      </c>
      <c r="AF90" s="140">
        <f ca="1">IF(ISNUMBER(MATCH(DATEVALUE($A90),'recurring1_based on steps'!AF$1:AF$400,0)),AF$2,)</f>
        <v>0</v>
      </c>
      <c r="AG90" s="140">
        <f ca="1">IF(ISNUMBER(MATCH(DATEVALUE($A90),'recurring1_based on steps'!AG$1:AG$400,0)),AG$2,)</f>
        <v>0</v>
      </c>
      <c r="AH90" s="140">
        <f ca="1">IF(ISNUMBER(MATCH(DATEVALUE($A90),'recurring1_based on steps'!AH$1:AH$400,0)),AH$2,)</f>
        <v>0</v>
      </c>
      <c r="AI90" s="140">
        <f ca="1">IF(ISNUMBER(MATCH(DATEVALUE($A90),'recurring1_based on steps'!AI$1:AI$400,0)),AI$2,)</f>
        <v>0</v>
      </c>
      <c r="AJ90" s="140">
        <f ca="1">IF(ISNUMBER(MATCH(DATEVALUE($A90),'recurring1_based on steps'!AJ$1:AJ$400,0)),AJ$2,)</f>
        <v>0</v>
      </c>
      <c r="AK90" s="140">
        <f ca="1">IF(ISNUMBER(MATCH(DATEVALUE($A90),'recurring1_based on steps'!AK$1:AK$400,0)),AK$2,)</f>
        <v>0</v>
      </c>
      <c r="AL90" s="140">
        <f ca="1">IF(ISNUMBER(MATCH(DATEVALUE($A90),'recurring1_based on steps'!AL$1:AL$400,0)),AL$2,)</f>
        <v>0</v>
      </c>
      <c r="AM90" s="140">
        <f ca="1">IF(ISNUMBER(MATCH(DATEVALUE($A90),'recurring1_based on steps'!AM$1:AM$400,0)),AM$2,)</f>
        <v>0</v>
      </c>
      <c r="AN90" s="140">
        <f ca="1">IF(ISNUMBER(MATCH(DATEVALUE($A90),'recurring1_based on steps'!AN$1:AN$400,0)),AN$2,)</f>
        <v>0</v>
      </c>
      <c r="AO90" s="140">
        <f ca="1">IF(ISNUMBER(MATCH(DATEVALUE($A90),'recurring1_based on steps'!AO$1:AO$400,0)),AO$2,)</f>
        <v>0</v>
      </c>
      <c r="AP90" s="140">
        <f ca="1">IF(ISNUMBER(MATCH(DATEVALUE($A90),'recurring1_based on steps'!AP$1:AP$400,0)),AP$2,)</f>
        <v>0</v>
      </c>
      <c r="AQ90" s="140">
        <f ca="1">IF(ISNUMBER(MATCH(DATEVALUE($A90),'recurring1_based on steps'!AQ$1:AQ$400,0)),AQ$2,)</f>
        <v>0</v>
      </c>
      <c r="AR90" s="140">
        <f ca="1">IF(ISNUMBER(MATCH(DATEVALUE($A90),'recurring1_based on steps'!AR$1:AR$400,0)),AR$2,)</f>
        <v>0</v>
      </c>
      <c r="AS90" s="140">
        <f ca="1">IF(ISNUMBER(MATCH(DATEVALUE($A90),'recurring1_based on steps'!AS$1:AS$400,0)),AS$2,)</f>
        <v>0</v>
      </c>
      <c r="AT90" s="140">
        <f ca="1">IF(ISNUMBER(MATCH(DATEVALUE($A90),'recurring1_based on steps'!AT$1:AT$400,0)),AT$2,)</f>
        <v>0</v>
      </c>
      <c r="AU90" s="140">
        <f ca="1">IF(ISNUMBER(MATCH(DATEVALUE($A90),'recurring1_based on steps'!AU$1:AU$400,0)),AU$2,)</f>
        <v>0</v>
      </c>
      <c r="AV90" s="140">
        <f ca="1">IF(ISNUMBER(MATCH(DATEVALUE($A90),'recurring1_based on steps'!AV$1:AV$400,0)),AV$2,)</f>
        <v>0</v>
      </c>
      <c r="AW90" s="140">
        <f ca="1">IF(ISNUMBER(MATCH(DATEVALUE($A90),'recurring1_based on steps'!AW$1:AW$400,0)),AW$2,)</f>
        <v>0</v>
      </c>
      <c r="AX90" s="140">
        <f ca="1">IF(ISNUMBER(MATCH(DATEVALUE($A90),'recurring1_based on steps'!AX$1:AX$400,0)),AX$2,)</f>
        <v>0</v>
      </c>
      <c r="AY90" s="140">
        <f ca="1">IF(ISNUMBER(MATCH(DATEVALUE($A90),'recurring1_based on steps'!AY$1:AY$400,0)),AY$2,)</f>
        <v>0</v>
      </c>
    </row>
    <row r="91" spans="1:51" x14ac:dyDescent="0.2">
      <c r="A91" s="29" t="str">
        <f t="shared" ca="1" si="1"/>
        <v>2025-06-23</v>
      </c>
      <c r="B91" s="140">
        <f ca="1">IF(ISNUMBER(MATCH(DATEVALUE($A91),'recurring1_based on steps'!B$1:B$400,0)),B$2,)</f>
        <v>0</v>
      </c>
      <c r="C91" s="140">
        <f ca="1">IF(ISNUMBER(MATCH(DATEVALUE($A91),'recurring1_based on steps'!C$1:C$400,0)),C$2,)</f>
        <v>0</v>
      </c>
      <c r="D91" s="140">
        <f ca="1">IF(ISNUMBER(MATCH(DATEVALUE($A91),'recurring1_based on steps'!D$1:D$400,0)),D$2,)</f>
        <v>0</v>
      </c>
      <c r="E91" s="140">
        <f ca="1">IF(ISNUMBER(MATCH(DATEVALUE($A91),'recurring1_based on steps'!E$1:E$400,0)),E$2,)</f>
        <v>0</v>
      </c>
      <c r="F91" s="140">
        <f ca="1">IF(ISNUMBER(MATCH(DATEVALUE($A91),'recurring1_based on steps'!F$1:F$400,0)),F$2,)</f>
        <v>0</v>
      </c>
      <c r="G91" s="140">
        <f ca="1">IF(ISNUMBER(MATCH(DATEVALUE($A91),'recurring1_based on steps'!G$1:G$400,0)),G$2,)</f>
        <v>0</v>
      </c>
      <c r="H91" s="140">
        <f ca="1">IF(ISNUMBER(MATCH(DATEVALUE($A91),'recurring1_based on steps'!H$1:H$400,0)),H$2,)</f>
        <v>0</v>
      </c>
      <c r="I91" s="140">
        <f ca="1">IF(ISNUMBER(MATCH(DATEVALUE($A91),'recurring1_based on steps'!I$1:I$400,0)),I$2,)</f>
        <v>0</v>
      </c>
      <c r="J91" s="140">
        <f ca="1">IF(ISNUMBER(MATCH(DATEVALUE($A91),'recurring1_based on steps'!J$1:J$400,0)),J$2,)</f>
        <v>0</v>
      </c>
      <c r="K91" s="140">
        <f ca="1">IF(ISNUMBER(MATCH(DATEVALUE($A91),'recurring1_based on steps'!K$1:K$400,0)),K$2,)</f>
        <v>0</v>
      </c>
      <c r="L91" s="140">
        <f ca="1">IF(ISNUMBER(MATCH(DATEVALUE($A91),'recurring1_based on steps'!L$1:L$400,0)),L$2,)</f>
        <v>0</v>
      </c>
      <c r="M91" s="140">
        <f ca="1">IF(ISNUMBER(MATCH(DATEVALUE($A91),'recurring1_based on steps'!M$1:M$400,0)),M$2,)</f>
        <v>0</v>
      </c>
      <c r="N91" s="140">
        <f ca="1">IF(ISNUMBER(MATCH(DATEVALUE($A91),'recurring1_based on steps'!N$1:N$400,0)),N$2,)</f>
        <v>0</v>
      </c>
      <c r="O91" s="140">
        <f ca="1">IF(ISNUMBER(MATCH(DATEVALUE($A91),'recurring1_based on steps'!O$1:O$400,0)),O$2,)</f>
        <v>0</v>
      </c>
      <c r="P91" s="140">
        <f ca="1">IF(ISNUMBER(MATCH(DATEVALUE($A91),'recurring1_based on steps'!P$1:P$400,0)),P$2,)</f>
        <v>0</v>
      </c>
      <c r="Q91" s="140">
        <f ca="1">IF(ISNUMBER(MATCH(DATEVALUE($A91),'recurring1_based on steps'!Q$1:Q$400,0)),Q$2,)</f>
        <v>0</v>
      </c>
      <c r="R91" s="140">
        <f ca="1">IF(ISNUMBER(MATCH(DATEVALUE($A91),'recurring1_based on steps'!R$1:R$400,0)),R$2,)</f>
        <v>0</v>
      </c>
      <c r="S91" s="140">
        <f ca="1">IF(ISNUMBER(MATCH(DATEVALUE($A91),'recurring1_based on steps'!S$1:S$400,0)),S$2,)</f>
        <v>0</v>
      </c>
      <c r="T91" s="140">
        <f ca="1">IF(ISNUMBER(MATCH(DATEVALUE($A91),'recurring1_based on steps'!T$1:T$400,0)),T$2,)</f>
        <v>0</v>
      </c>
      <c r="U91" s="140">
        <f ca="1">IF(ISNUMBER(MATCH(DATEVALUE($A91),'recurring1_based on steps'!U$1:U$400,0)),U$2,)</f>
        <v>0</v>
      </c>
      <c r="V91" s="140">
        <f ca="1">IF(ISNUMBER(MATCH(DATEVALUE($A91),'recurring1_based on steps'!V$1:V$400,0)),V$2,)</f>
        <v>0</v>
      </c>
      <c r="W91" s="140">
        <f ca="1">IF(ISNUMBER(MATCH(DATEVALUE($A91),'recurring1_based on steps'!W$1:W$400,0)),W$2,)</f>
        <v>0</v>
      </c>
      <c r="X91" s="140">
        <f ca="1">IF(ISNUMBER(MATCH(DATEVALUE($A91),'recurring1_based on steps'!X$1:X$400,0)),X$2,)</f>
        <v>0</v>
      </c>
      <c r="Y91" s="140">
        <f ca="1">IF(ISNUMBER(MATCH(DATEVALUE($A91),'recurring1_based on steps'!Y$1:Y$400,0)),Y$2,)</f>
        <v>0</v>
      </c>
      <c r="Z91" s="140">
        <f ca="1">IF(ISNUMBER(MATCH(DATEVALUE($A91),'recurring1_based on steps'!Z$1:Z$400,0)),Z$2,)</f>
        <v>0</v>
      </c>
      <c r="AA91" s="140">
        <f ca="1">IF(ISNUMBER(MATCH(DATEVALUE($A91),'recurring1_based on steps'!AA$1:AA$400,0)),AA$2,)</f>
        <v>0</v>
      </c>
      <c r="AB91" s="140">
        <f ca="1">IF(ISNUMBER(MATCH(DATEVALUE($A91),'recurring1_based on steps'!AB$1:AB$400,0)),AB$2,)</f>
        <v>5.5401662049861494E-2</v>
      </c>
      <c r="AC91" s="140">
        <f ca="1">IF(ISNUMBER(MATCH(DATEVALUE($A91),'recurring1_based on steps'!AC$1:AC$400,0)),AC$2,)</f>
        <v>0</v>
      </c>
      <c r="AD91" s="140">
        <f ca="1">IF(ISNUMBER(MATCH(DATEVALUE($A91),'recurring1_based on steps'!AD$1:AD$400,0)),AD$2,)</f>
        <v>0</v>
      </c>
      <c r="AE91" s="140">
        <f ca="1">IF(ISNUMBER(MATCH(DATEVALUE($A91),'recurring1_based on steps'!AE$1:AE$400,0)),AE$2,)</f>
        <v>0</v>
      </c>
      <c r="AF91" s="140">
        <f ca="1">IF(ISNUMBER(MATCH(DATEVALUE($A91),'recurring1_based on steps'!AF$1:AF$400,0)),AF$2,)</f>
        <v>0</v>
      </c>
      <c r="AG91" s="140">
        <f ca="1">IF(ISNUMBER(MATCH(DATEVALUE($A91),'recurring1_based on steps'!AG$1:AG$400,0)),AG$2,)</f>
        <v>0</v>
      </c>
      <c r="AH91" s="140">
        <f ca="1">IF(ISNUMBER(MATCH(DATEVALUE($A91),'recurring1_based on steps'!AH$1:AH$400,0)),AH$2,)</f>
        <v>0</v>
      </c>
      <c r="AI91" s="140">
        <f ca="1">IF(ISNUMBER(MATCH(DATEVALUE($A91),'recurring1_based on steps'!AI$1:AI$400,0)),AI$2,)</f>
        <v>0</v>
      </c>
      <c r="AJ91" s="140">
        <f ca="1">IF(ISNUMBER(MATCH(DATEVALUE($A91),'recurring1_based on steps'!AJ$1:AJ$400,0)),AJ$2,)</f>
        <v>0</v>
      </c>
      <c r="AK91" s="140">
        <f ca="1">IF(ISNUMBER(MATCH(DATEVALUE($A91),'recurring1_based on steps'!AK$1:AK$400,0)),AK$2,)</f>
        <v>0</v>
      </c>
      <c r="AL91" s="140">
        <f ca="1">IF(ISNUMBER(MATCH(DATEVALUE($A91),'recurring1_based on steps'!AL$1:AL$400,0)),AL$2,)</f>
        <v>0</v>
      </c>
      <c r="AM91" s="140">
        <f ca="1">IF(ISNUMBER(MATCH(DATEVALUE($A91),'recurring1_based on steps'!AM$1:AM$400,0)),AM$2,)</f>
        <v>0</v>
      </c>
      <c r="AN91" s="140">
        <f ca="1">IF(ISNUMBER(MATCH(DATEVALUE($A91),'recurring1_based on steps'!AN$1:AN$400,0)),AN$2,)</f>
        <v>0</v>
      </c>
      <c r="AO91" s="140">
        <f ca="1">IF(ISNUMBER(MATCH(DATEVALUE($A91),'recurring1_based on steps'!AO$1:AO$400,0)),AO$2,)</f>
        <v>0</v>
      </c>
      <c r="AP91" s="140">
        <f ca="1">IF(ISNUMBER(MATCH(DATEVALUE($A91),'recurring1_based on steps'!AP$1:AP$400,0)),AP$2,)</f>
        <v>0</v>
      </c>
      <c r="AQ91" s="140">
        <f ca="1">IF(ISNUMBER(MATCH(DATEVALUE($A91),'recurring1_based on steps'!AQ$1:AQ$400,0)),AQ$2,)</f>
        <v>0</v>
      </c>
      <c r="AR91" s="140">
        <f ca="1">IF(ISNUMBER(MATCH(DATEVALUE($A91),'recurring1_based on steps'!AR$1:AR$400,0)),AR$2,)</f>
        <v>0</v>
      </c>
      <c r="AS91" s="140">
        <f ca="1">IF(ISNUMBER(MATCH(DATEVALUE($A91),'recurring1_based on steps'!AS$1:AS$400,0)),AS$2,)</f>
        <v>0</v>
      </c>
      <c r="AT91" s="140">
        <f ca="1">IF(ISNUMBER(MATCH(DATEVALUE($A91),'recurring1_based on steps'!AT$1:AT$400,0)),AT$2,)</f>
        <v>0</v>
      </c>
      <c r="AU91" s="140">
        <f ca="1">IF(ISNUMBER(MATCH(DATEVALUE($A91),'recurring1_based on steps'!AU$1:AU$400,0)),AU$2,)</f>
        <v>0</v>
      </c>
      <c r="AV91" s="140">
        <f ca="1">IF(ISNUMBER(MATCH(DATEVALUE($A91),'recurring1_based on steps'!AV$1:AV$400,0)),AV$2,)</f>
        <v>0</v>
      </c>
      <c r="AW91" s="140">
        <f ca="1">IF(ISNUMBER(MATCH(DATEVALUE($A91),'recurring1_based on steps'!AW$1:AW$400,0)),AW$2,)</f>
        <v>0</v>
      </c>
      <c r="AX91" s="140">
        <f ca="1">IF(ISNUMBER(MATCH(DATEVALUE($A91),'recurring1_based on steps'!AX$1:AX$400,0)),AX$2,)</f>
        <v>0</v>
      </c>
      <c r="AY91" s="140">
        <f ca="1">IF(ISNUMBER(MATCH(DATEVALUE($A91),'recurring1_based on steps'!AY$1:AY$400,0)),AY$2,)</f>
        <v>0</v>
      </c>
    </row>
    <row r="92" spans="1:51" x14ac:dyDescent="0.2">
      <c r="A92" s="29" t="str">
        <f t="shared" ca="1" si="1"/>
        <v>2025-06-24</v>
      </c>
      <c r="B92" s="140">
        <f ca="1">IF(ISNUMBER(MATCH(DATEVALUE($A92),'recurring1_based on steps'!B$1:B$400,0)),B$2,)</f>
        <v>0</v>
      </c>
      <c r="C92" s="140">
        <f ca="1">IF(ISNUMBER(MATCH(DATEVALUE($A92),'recurring1_based on steps'!C$1:C$400,0)),C$2,)</f>
        <v>0</v>
      </c>
      <c r="D92" s="140">
        <f ca="1">IF(ISNUMBER(MATCH(DATEVALUE($A92),'recurring1_based on steps'!D$1:D$400,0)),D$2,)</f>
        <v>0</v>
      </c>
      <c r="E92" s="140">
        <f ca="1">IF(ISNUMBER(MATCH(DATEVALUE($A92),'recurring1_based on steps'!E$1:E$400,0)),E$2,)</f>
        <v>0</v>
      </c>
      <c r="F92" s="140">
        <f ca="1">IF(ISNUMBER(MATCH(DATEVALUE($A92),'recurring1_based on steps'!F$1:F$400,0)),F$2,)</f>
        <v>0</v>
      </c>
      <c r="G92" s="140">
        <f ca="1">IF(ISNUMBER(MATCH(DATEVALUE($A92),'recurring1_based on steps'!G$1:G$400,0)),G$2,)</f>
        <v>0</v>
      </c>
      <c r="H92" s="140">
        <f ca="1">IF(ISNUMBER(MATCH(DATEVALUE($A92),'recurring1_based on steps'!H$1:H$400,0)),H$2,)</f>
        <v>0</v>
      </c>
      <c r="I92" s="140">
        <f ca="1">IF(ISNUMBER(MATCH(DATEVALUE($A92),'recurring1_based on steps'!I$1:I$400,0)),I$2,)</f>
        <v>0</v>
      </c>
      <c r="J92" s="140">
        <f ca="1">IF(ISNUMBER(MATCH(DATEVALUE($A92),'recurring1_based on steps'!J$1:J$400,0)),J$2,)</f>
        <v>0</v>
      </c>
      <c r="K92" s="140">
        <f ca="1">IF(ISNUMBER(MATCH(DATEVALUE($A92),'recurring1_based on steps'!K$1:K$400,0)),K$2,)</f>
        <v>0</v>
      </c>
      <c r="L92" s="140">
        <f ca="1">IF(ISNUMBER(MATCH(DATEVALUE($A92),'recurring1_based on steps'!L$1:L$400,0)),L$2,)</f>
        <v>0</v>
      </c>
      <c r="M92" s="140">
        <f ca="1">IF(ISNUMBER(MATCH(DATEVALUE($A92),'recurring1_based on steps'!M$1:M$400,0)),M$2,)</f>
        <v>0</v>
      </c>
      <c r="N92" s="140">
        <f ca="1">IF(ISNUMBER(MATCH(DATEVALUE($A92),'recurring1_based on steps'!N$1:N$400,0)),N$2,)</f>
        <v>0</v>
      </c>
      <c r="O92" s="140">
        <f ca="1">IF(ISNUMBER(MATCH(DATEVALUE($A92),'recurring1_based on steps'!O$1:O$400,0)),O$2,)</f>
        <v>0</v>
      </c>
      <c r="P92" s="140">
        <f ca="1">IF(ISNUMBER(MATCH(DATEVALUE($A92),'recurring1_based on steps'!P$1:P$400,0)),P$2,)</f>
        <v>0</v>
      </c>
      <c r="Q92" s="140">
        <f ca="1">IF(ISNUMBER(MATCH(DATEVALUE($A92),'recurring1_based on steps'!Q$1:Q$400,0)),Q$2,)</f>
        <v>0</v>
      </c>
      <c r="R92" s="140">
        <f ca="1">IF(ISNUMBER(MATCH(DATEVALUE($A92),'recurring1_based on steps'!R$1:R$400,0)),R$2,)</f>
        <v>0</v>
      </c>
      <c r="S92" s="140">
        <f ca="1">IF(ISNUMBER(MATCH(DATEVALUE($A92),'recurring1_based on steps'!S$1:S$400,0)),S$2,)</f>
        <v>0</v>
      </c>
      <c r="T92" s="140">
        <f ca="1">IF(ISNUMBER(MATCH(DATEVALUE($A92),'recurring1_based on steps'!T$1:T$400,0)),T$2,)</f>
        <v>0</v>
      </c>
      <c r="U92" s="140">
        <f ca="1">IF(ISNUMBER(MATCH(DATEVALUE($A92),'recurring1_based on steps'!U$1:U$400,0)),U$2,)</f>
        <v>0</v>
      </c>
      <c r="V92" s="140">
        <f ca="1">IF(ISNUMBER(MATCH(DATEVALUE($A92),'recurring1_based on steps'!V$1:V$400,0)),V$2,)</f>
        <v>0</v>
      </c>
      <c r="W92" s="140">
        <f ca="1">IF(ISNUMBER(MATCH(DATEVALUE($A92),'recurring1_based on steps'!W$1:W$400,0)),W$2,)</f>
        <v>0</v>
      </c>
      <c r="X92" s="140">
        <f ca="1">IF(ISNUMBER(MATCH(DATEVALUE($A92),'recurring1_based on steps'!X$1:X$400,0)),X$2,)</f>
        <v>0</v>
      </c>
      <c r="Y92" s="140">
        <f ca="1">IF(ISNUMBER(MATCH(DATEVALUE($A92),'recurring1_based on steps'!Y$1:Y$400,0)),Y$2,)</f>
        <v>0</v>
      </c>
      <c r="Z92" s="140">
        <f ca="1">IF(ISNUMBER(MATCH(DATEVALUE($A92),'recurring1_based on steps'!Z$1:Z$400,0)),Z$2,)</f>
        <v>0</v>
      </c>
      <c r="AA92" s="140">
        <f ca="1">IF(ISNUMBER(MATCH(DATEVALUE($A92),'recurring1_based on steps'!AA$1:AA$400,0)),AA$2,)</f>
        <v>0</v>
      </c>
      <c r="AB92" s="140">
        <f ca="1">IF(ISNUMBER(MATCH(DATEVALUE($A92),'recurring1_based on steps'!AB$1:AB$400,0)),AB$2,)</f>
        <v>5.5401662049861494E-2</v>
      </c>
      <c r="AC92" s="140">
        <f ca="1">IF(ISNUMBER(MATCH(DATEVALUE($A92),'recurring1_based on steps'!AC$1:AC$400,0)),AC$2,)</f>
        <v>0</v>
      </c>
      <c r="AD92" s="140">
        <f ca="1">IF(ISNUMBER(MATCH(DATEVALUE($A92),'recurring1_based on steps'!AD$1:AD$400,0)),AD$2,)</f>
        <v>0</v>
      </c>
      <c r="AE92" s="140">
        <f ca="1">IF(ISNUMBER(MATCH(DATEVALUE($A92),'recurring1_based on steps'!AE$1:AE$400,0)),AE$2,)</f>
        <v>0</v>
      </c>
      <c r="AF92" s="140">
        <f ca="1">IF(ISNUMBER(MATCH(DATEVALUE($A92),'recurring1_based on steps'!AF$1:AF$400,0)),AF$2,)</f>
        <v>0</v>
      </c>
      <c r="AG92" s="140">
        <f ca="1">IF(ISNUMBER(MATCH(DATEVALUE($A92),'recurring1_based on steps'!AG$1:AG$400,0)),AG$2,)</f>
        <v>0</v>
      </c>
      <c r="AH92" s="140">
        <f ca="1">IF(ISNUMBER(MATCH(DATEVALUE($A92),'recurring1_based on steps'!AH$1:AH$400,0)),AH$2,)</f>
        <v>0</v>
      </c>
      <c r="AI92" s="140">
        <f ca="1">IF(ISNUMBER(MATCH(DATEVALUE($A92),'recurring1_based on steps'!AI$1:AI$400,0)),AI$2,)</f>
        <v>0</v>
      </c>
      <c r="AJ92" s="140">
        <f ca="1">IF(ISNUMBER(MATCH(DATEVALUE($A92),'recurring1_based on steps'!AJ$1:AJ$400,0)),AJ$2,)</f>
        <v>0</v>
      </c>
      <c r="AK92" s="140">
        <f ca="1">IF(ISNUMBER(MATCH(DATEVALUE($A92),'recurring1_based on steps'!AK$1:AK$400,0)),AK$2,)</f>
        <v>0</v>
      </c>
      <c r="AL92" s="140">
        <f ca="1">IF(ISNUMBER(MATCH(DATEVALUE($A92),'recurring1_based on steps'!AL$1:AL$400,0)),AL$2,)</f>
        <v>0</v>
      </c>
      <c r="AM92" s="140">
        <f ca="1">IF(ISNUMBER(MATCH(DATEVALUE($A92),'recurring1_based on steps'!AM$1:AM$400,0)),AM$2,)</f>
        <v>0</v>
      </c>
      <c r="AN92" s="140">
        <f ca="1">IF(ISNUMBER(MATCH(DATEVALUE($A92),'recurring1_based on steps'!AN$1:AN$400,0)),AN$2,)</f>
        <v>0</v>
      </c>
      <c r="AO92" s="140">
        <f ca="1">IF(ISNUMBER(MATCH(DATEVALUE($A92),'recurring1_based on steps'!AO$1:AO$400,0)),AO$2,)</f>
        <v>0</v>
      </c>
      <c r="AP92" s="140">
        <f ca="1">IF(ISNUMBER(MATCH(DATEVALUE($A92),'recurring1_based on steps'!AP$1:AP$400,0)),AP$2,)</f>
        <v>0</v>
      </c>
      <c r="AQ92" s="140">
        <f ca="1">IF(ISNUMBER(MATCH(DATEVALUE($A92),'recurring1_based on steps'!AQ$1:AQ$400,0)),AQ$2,)</f>
        <v>0</v>
      </c>
      <c r="AR92" s="140">
        <f ca="1">IF(ISNUMBER(MATCH(DATEVALUE($A92),'recurring1_based on steps'!AR$1:AR$400,0)),AR$2,)</f>
        <v>0</v>
      </c>
      <c r="AS92" s="140">
        <f ca="1">IF(ISNUMBER(MATCH(DATEVALUE($A92),'recurring1_based on steps'!AS$1:AS$400,0)),AS$2,)</f>
        <v>0</v>
      </c>
      <c r="AT92" s="140">
        <f ca="1">IF(ISNUMBER(MATCH(DATEVALUE($A92),'recurring1_based on steps'!AT$1:AT$400,0)),AT$2,)</f>
        <v>0</v>
      </c>
      <c r="AU92" s="140">
        <f ca="1">IF(ISNUMBER(MATCH(DATEVALUE($A92),'recurring1_based on steps'!AU$1:AU$400,0)),AU$2,)</f>
        <v>0</v>
      </c>
      <c r="AV92" s="140">
        <f ca="1">IF(ISNUMBER(MATCH(DATEVALUE($A92),'recurring1_based on steps'!AV$1:AV$400,0)),AV$2,)</f>
        <v>0</v>
      </c>
      <c r="AW92" s="140">
        <f ca="1">IF(ISNUMBER(MATCH(DATEVALUE($A92),'recurring1_based on steps'!AW$1:AW$400,0)),AW$2,)</f>
        <v>0</v>
      </c>
      <c r="AX92" s="140">
        <f ca="1">IF(ISNUMBER(MATCH(DATEVALUE($A92),'recurring1_based on steps'!AX$1:AX$400,0)),AX$2,)</f>
        <v>0</v>
      </c>
      <c r="AY92" s="140">
        <f ca="1">IF(ISNUMBER(MATCH(DATEVALUE($A92),'recurring1_based on steps'!AY$1:AY$400,0)),AY$2,)</f>
        <v>0</v>
      </c>
    </row>
    <row r="93" spans="1:51" x14ac:dyDescent="0.2">
      <c r="A93" s="29" t="str">
        <f t="shared" ca="1" si="1"/>
        <v>2025-06-25</v>
      </c>
      <c r="B93" s="140">
        <f ca="1">IF(ISNUMBER(MATCH(DATEVALUE($A93),'recurring1_based on steps'!B$1:B$400,0)),B$2,)</f>
        <v>0</v>
      </c>
      <c r="C93" s="140">
        <f ca="1">IF(ISNUMBER(MATCH(DATEVALUE($A93),'recurring1_based on steps'!C$1:C$400,0)),C$2,)</f>
        <v>0</v>
      </c>
      <c r="D93" s="140">
        <f ca="1">IF(ISNUMBER(MATCH(DATEVALUE($A93),'recurring1_based on steps'!D$1:D$400,0)),D$2,)</f>
        <v>0</v>
      </c>
      <c r="E93" s="140">
        <f ca="1">IF(ISNUMBER(MATCH(DATEVALUE($A93),'recurring1_based on steps'!E$1:E$400,0)),E$2,)</f>
        <v>0</v>
      </c>
      <c r="F93" s="140">
        <f ca="1">IF(ISNUMBER(MATCH(DATEVALUE($A93),'recurring1_based on steps'!F$1:F$400,0)),F$2,)</f>
        <v>0</v>
      </c>
      <c r="G93" s="140">
        <f ca="1">IF(ISNUMBER(MATCH(DATEVALUE($A93),'recurring1_based on steps'!G$1:G$400,0)),G$2,)</f>
        <v>0</v>
      </c>
      <c r="H93" s="140">
        <f ca="1">IF(ISNUMBER(MATCH(DATEVALUE($A93),'recurring1_based on steps'!H$1:H$400,0)),H$2,)</f>
        <v>0</v>
      </c>
      <c r="I93" s="140">
        <f ca="1">IF(ISNUMBER(MATCH(DATEVALUE($A93),'recurring1_based on steps'!I$1:I$400,0)),I$2,)</f>
        <v>0</v>
      </c>
      <c r="J93" s="140">
        <f ca="1">IF(ISNUMBER(MATCH(DATEVALUE($A93),'recurring1_based on steps'!J$1:J$400,0)),J$2,)</f>
        <v>0</v>
      </c>
      <c r="K93" s="140">
        <f ca="1">IF(ISNUMBER(MATCH(DATEVALUE($A93),'recurring1_based on steps'!K$1:K$400,0)),K$2,)</f>
        <v>0</v>
      </c>
      <c r="L93" s="140">
        <f ca="1">IF(ISNUMBER(MATCH(DATEVALUE($A93),'recurring1_based on steps'!L$1:L$400,0)),L$2,)</f>
        <v>0</v>
      </c>
      <c r="M93" s="140">
        <f ca="1">IF(ISNUMBER(MATCH(DATEVALUE($A93),'recurring1_based on steps'!M$1:M$400,0)),M$2,)</f>
        <v>0</v>
      </c>
      <c r="N93" s="140">
        <f ca="1">IF(ISNUMBER(MATCH(DATEVALUE($A93),'recurring1_based on steps'!N$1:N$400,0)),N$2,)</f>
        <v>0</v>
      </c>
      <c r="O93" s="140">
        <f ca="1">IF(ISNUMBER(MATCH(DATEVALUE($A93),'recurring1_based on steps'!O$1:O$400,0)),O$2,)</f>
        <v>0</v>
      </c>
      <c r="P93" s="140">
        <f ca="1">IF(ISNUMBER(MATCH(DATEVALUE($A93),'recurring1_based on steps'!P$1:P$400,0)),P$2,)</f>
        <v>0</v>
      </c>
      <c r="Q93" s="140">
        <f ca="1">IF(ISNUMBER(MATCH(DATEVALUE($A93),'recurring1_based on steps'!Q$1:Q$400,0)),Q$2,)</f>
        <v>0</v>
      </c>
      <c r="R93" s="140">
        <f ca="1">IF(ISNUMBER(MATCH(DATEVALUE($A93),'recurring1_based on steps'!R$1:R$400,0)),R$2,)</f>
        <v>0</v>
      </c>
      <c r="S93" s="140">
        <f ca="1">IF(ISNUMBER(MATCH(DATEVALUE($A93),'recurring1_based on steps'!S$1:S$400,0)),S$2,)</f>
        <v>0</v>
      </c>
      <c r="T93" s="140">
        <f ca="1">IF(ISNUMBER(MATCH(DATEVALUE($A93),'recurring1_based on steps'!T$1:T$400,0)),T$2,)</f>
        <v>0</v>
      </c>
      <c r="U93" s="140">
        <f ca="1">IF(ISNUMBER(MATCH(DATEVALUE($A93),'recurring1_based on steps'!U$1:U$400,0)),U$2,)</f>
        <v>0</v>
      </c>
      <c r="V93" s="140">
        <f ca="1">IF(ISNUMBER(MATCH(DATEVALUE($A93),'recurring1_based on steps'!V$1:V$400,0)),V$2,)</f>
        <v>0</v>
      </c>
      <c r="W93" s="140">
        <f ca="1">IF(ISNUMBER(MATCH(DATEVALUE($A93),'recurring1_based on steps'!W$1:W$400,0)),W$2,)</f>
        <v>0</v>
      </c>
      <c r="X93" s="140">
        <f ca="1">IF(ISNUMBER(MATCH(DATEVALUE($A93),'recurring1_based on steps'!X$1:X$400,0)),X$2,)</f>
        <v>0</v>
      </c>
      <c r="Y93" s="140">
        <f ca="1">IF(ISNUMBER(MATCH(DATEVALUE($A93),'recurring1_based on steps'!Y$1:Y$400,0)),Y$2,)</f>
        <v>0</v>
      </c>
      <c r="Z93" s="140">
        <f ca="1">IF(ISNUMBER(MATCH(DATEVALUE($A93),'recurring1_based on steps'!Z$1:Z$400,0)),Z$2,)</f>
        <v>0</v>
      </c>
      <c r="AA93" s="140">
        <f ca="1">IF(ISNUMBER(MATCH(DATEVALUE($A93),'recurring1_based on steps'!AA$1:AA$400,0)),AA$2,)</f>
        <v>0</v>
      </c>
      <c r="AB93" s="140">
        <f ca="1">IF(ISNUMBER(MATCH(DATEVALUE($A93),'recurring1_based on steps'!AB$1:AB$400,0)),AB$2,)</f>
        <v>5.5401662049861494E-2</v>
      </c>
      <c r="AC93" s="140">
        <f ca="1">IF(ISNUMBER(MATCH(DATEVALUE($A93),'recurring1_based on steps'!AC$1:AC$400,0)),AC$2,)</f>
        <v>0</v>
      </c>
      <c r="AD93" s="140">
        <f ca="1">IF(ISNUMBER(MATCH(DATEVALUE($A93),'recurring1_based on steps'!AD$1:AD$400,0)),AD$2,)</f>
        <v>0</v>
      </c>
      <c r="AE93" s="140">
        <f ca="1">IF(ISNUMBER(MATCH(DATEVALUE($A93),'recurring1_based on steps'!AE$1:AE$400,0)),AE$2,)</f>
        <v>0</v>
      </c>
      <c r="AF93" s="140">
        <f ca="1">IF(ISNUMBER(MATCH(DATEVALUE($A93),'recurring1_based on steps'!AF$1:AF$400,0)),AF$2,)</f>
        <v>0</v>
      </c>
      <c r="AG93" s="140">
        <f ca="1">IF(ISNUMBER(MATCH(DATEVALUE($A93),'recurring1_based on steps'!AG$1:AG$400,0)),AG$2,)</f>
        <v>0</v>
      </c>
      <c r="AH93" s="140">
        <f ca="1">IF(ISNUMBER(MATCH(DATEVALUE($A93),'recurring1_based on steps'!AH$1:AH$400,0)),AH$2,)</f>
        <v>0</v>
      </c>
      <c r="AI93" s="140">
        <f ca="1">IF(ISNUMBER(MATCH(DATEVALUE($A93),'recurring1_based on steps'!AI$1:AI$400,0)),AI$2,)</f>
        <v>0</v>
      </c>
      <c r="AJ93" s="140">
        <f ca="1">IF(ISNUMBER(MATCH(DATEVALUE($A93),'recurring1_based on steps'!AJ$1:AJ$400,0)),AJ$2,)</f>
        <v>0</v>
      </c>
      <c r="AK93" s="140">
        <f ca="1">IF(ISNUMBER(MATCH(DATEVALUE($A93),'recurring1_based on steps'!AK$1:AK$400,0)),AK$2,)</f>
        <v>0</v>
      </c>
      <c r="AL93" s="140">
        <f ca="1">IF(ISNUMBER(MATCH(DATEVALUE($A93),'recurring1_based on steps'!AL$1:AL$400,0)),AL$2,)</f>
        <v>0</v>
      </c>
      <c r="AM93" s="140">
        <f ca="1">IF(ISNUMBER(MATCH(DATEVALUE($A93),'recurring1_based on steps'!AM$1:AM$400,0)),AM$2,)</f>
        <v>0</v>
      </c>
      <c r="AN93" s="140">
        <f ca="1">IF(ISNUMBER(MATCH(DATEVALUE($A93),'recurring1_based on steps'!AN$1:AN$400,0)),AN$2,)</f>
        <v>0</v>
      </c>
      <c r="AO93" s="140">
        <f ca="1">IF(ISNUMBER(MATCH(DATEVALUE($A93),'recurring1_based on steps'!AO$1:AO$400,0)),AO$2,)</f>
        <v>0</v>
      </c>
      <c r="AP93" s="140">
        <f ca="1">IF(ISNUMBER(MATCH(DATEVALUE($A93),'recurring1_based on steps'!AP$1:AP$400,0)),AP$2,)</f>
        <v>0</v>
      </c>
      <c r="AQ93" s="140">
        <f ca="1">IF(ISNUMBER(MATCH(DATEVALUE($A93),'recurring1_based on steps'!AQ$1:AQ$400,0)),AQ$2,)</f>
        <v>0</v>
      </c>
      <c r="AR93" s="140">
        <f ca="1">IF(ISNUMBER(MATCH(DATEVALUE($A93),'recurring1_based on steps'!AR$1:AR$400,0)),AR$2,)</f>
        <v>0</v>
      </c>
      <c r="AS93" s="140">
        <f ca="1">IF(ISNUMBER(MATCH(DATEVALUE($A93),'recurring1_based on steps'!AS$1:AS$400,0)),AS$2,)</f>
        <v>0</v>
      </c>
      <c r="AT93" s="140">
        <f ca="1">IF(ISNUMBER(MATCH(DATEVALUE($A93),'recurring1_based on steps'!AT$1:AT$400,0)),AT$2,)</f>
        <v>0</v>
      </c>
      <c r="AU93" s="140">
        <f ca="1">IF(ISNUMBER(MATCH(DATEVALUE($A93),'recurring1_based on steps'!AU$1:AU$400,0)),AU$2,)</f>
        <v>0</v>
      </c>
      <c r="AV93" s="140">
        <f ca="1">IF(ISNUMBER(MATCH(DATEVALUE($A93),'recurring1_based on steps'!AV$1:AV$400,0)),AV$2,)</f>
        <v>0</v>
      </c>
      <c r="AW93" s="140">
        <f ca="1">IF(ISNUMBER(MATCH(DATEVALUE($A93),'recurring1_based on steps'!AW$1:AW$400,0)),AW$2,)</f>
        <v>0</v>
      </c>
      <c r="AX93" s="140">
        <f ca="1">IF(ISNUMBER(MATCH(DATEVALUE($A93),'recurring1_based on steps'!AX$1:AX$400,0)),AX$2,)</f>
        <v>0</v>
      </c>
      <c r="AY93" s="140">
        <f ca="1">IF(ISNUMBER(MATCH(DATEVALUE($A93),'recurring1_based on steps'!AY$1:AY$400,0)),AY$2,)</f>
        <v>0</v>
      </c>
    </row>
    <row r="94" spans="1:51" x14ac:dyDescent="0.2">
      <c r="A94" s="29" t="str">
        <f t="shared" ca="1" si="1"/>
        <v>2025-06-26</v>
      </c>
      <c r="B94" s="140">
        <f ca="1">IF(ISNUMBER(MATCH(DATEVALUE($A94),'recurring1_based on steps'!B$1:B$400,0)),B$2,)</f>
        <v>0</v>
      </c>
      <c r="C94" s="140">
        <f ca="1">IF(ISNUMBER(MATCH(DATEVALUE($A94),'recurring1_based on steps'!C$1:C$400,0)),C$2,)</f>
        <v>0</v>
      </c>
      <c r="D94" s="140">
        <f ca="1">IF(ISNUMBER(MATCH(DATEVALUE($A94),'recurring1_based on steps'!D$1:D$400,0)),D$2,)</f>
        <v>0</v>
      </c>
      <c r="E94" s="140">
        <f ca="1">IF(ISNUMBER(MATCH(DATEVALUE($A94),'recurring1_based on steps'!E$1:E$400,0)),E$2,)</f>
        <v>0</v>
      </c>
      <c r="F94" s="140">
        <f ca="1">IF(ISNUMBER(MATCH(DATEVALUE($A94),'recurring1_based on steps'!F$1:F$400,0)),F$2,)</f>
        <v>0</v>
      </c>
      <c r="G94" s="140">
        <f ca="1">IF(ISNUMBER(MATCH(DATEVALUE($A94),'recurring1_based on steps'!G$1:G$400,0)),G$2,)</f>
        <v>0</v>
      </c>
      <c r="H94" s="140">
        <f ca="1">IF(ISNUMBER(MATCH(DATEVALUE($A94),'recurring1_based on steps'!H$1:H$400,0)),H$2,)</f>
        <v>0</v>
      </c>
      <c r="I94" s="140">
        <f ca="1">IF(ISNUMBER(MATCH(DATEVALUE($A94),'recurring1_based on steps'!I$1:I$400,0)),I$2,)</f>
        <v>0</v>
      </c>
      <c r="J94" s="140">
        <f ca="1">IF(ISNUMBER(MATCH(DATEVALUE($A94),'recurring1_based on steps'!J$1:J$400,0)),J$2,)</f>
        <v>0</v>
      </c>
      <c r="K94" s="140">
        <f ca="1">IF(ISNUMBER(MATCH(DATEVALUE($A94),'recurring1_based on steps'!K$1:K$400,0)),K$2,)</f>
        <v>0</v>
      </c>
      <c r="L94" s="140">
        <f ca="1">IF(ISNUMBER(MATCH(DATEVALUE($A94),'recurring1_based on steps'!L$1:L$400,0)),L$2,)</f>
        <v>0</v>
      </c>
      <c r="M94" s="140">
        <f ca="1">IF(ISNUMBER(MATCH(DATEVALUE($A94),'recurring1_based on steps'!M$1:M$400,0)),M$2,)</f>
        <v>0</v>
      </c>
      <c r="N94" s="140">
        <f ca="1">IF(ISNUMBER(MATCH(DATEVALUE($A94),'recurring1_based on steps'!N$1:N$400,0)),N$2,)</f>
        <v>0</v>
      </c>
      <c r="O94" s="140">
        <f ca="1">IF(ISNUMBER(MATCH(DATEVALUE($A94),'recurring1_based on steps'!O$1:O$400,0)),O$2,)</f>
        <v>0</v>
      </c>
      <c r="P94" s="140">
        <f ca="1">IF(ISNUMBER(MATCH(DATEVALUE($A94),'recurring1_based on steps'!P$1:P$400,0)),P$2,)</f>
        <v>0</v>
      </c>
      <c r="Q94" s="140">
        <f ca="1">IF(ISNUMBER(MATCH(DATEVALUE($A94),'recurring1_based on steps'!Q$1:Q$400,0)),Q$2,)</f>
        <v>0</v>
      </c>
      <c r="R94" s="140">
        <f ca="1">IF(ISNUMBER(MATCH(DATEVALUE($A94),'recurring1_based on steps'!R$1:R$400,0)),R$2,)</f>
        <v>0</v>
      </c>
      <c r="S94" s="140">
        <f ca="1">IF(ISNUMBER(MATCH(DATEVALUE($A94),'recurring1_based on steps'!S$1:S$400,0)),S$2,)</f>
        <v>0</v>
      </c>
      <c r="T94" s="140">
        <f ca="1">IF(ISNUMBER(MATCH(DATEVALUE($A94),'recurring1_based on steps'!T$1:T$400,0)),T$2,)</f>
        <v>0</v>
      </c>
      <c r="U94" s="140">
        <f ca="1">IF(ISNUMBER(MATCH(DATEVALUE($A94),'recurring1_based on steps'!U$1:U$400,0)),U$2,)</f>
        <v>0</v>
      </c>
      <c r="V94" s="140">
        <f ca="1">IF(ISNUMBER(MATCH(DATEVALUE($A94),'recurring1_based on steps'!V$1:V$400,0)),V$2,)</f>
        <v>0</v>
      </c>
      <c r="W94" s="140">
        <f ca="1">IF(ISNUMBER(MATCH(DATEVALUE($A94),'recurring1_based on steps'!W$1:W$400,0)),W$2,)</f>
        <v>0</v>
      </c>
      <c r="X94" s="140">
        <f ca="1">IF(ISNUMBER(MATCH(DATEVALUE($A94),'recurring1_based on steps'!X$1:X$400,0)),X$2,)</f>
        <v>0</v>
      </c>
      <c r="Y94" s="140">
        <f ca="1">IF(ISNUMBER(MATCH(DATEVALUE($A94),'recurring1_based on steps'!Y$1:Y$400,0)),Y$2,)</f>
        <v>0</v>
      </c>
      <c r="Z94" s="140">
        <f ca="1">IF(ISNUMBER(MATCH(DATEVALUE($A94),'recurring1_based on steps'!Z$1:Z$400,0)),Z$2,)</f>
        <v>0</v>
      </c>
      <c r="AA94" s="140">
        <f ca="1">IF(ISNUMBER(MATCH(DATEVALUE($A94),'recurring1_based on steps'!AA$1:AA$400,0)),AA$2,)</f>
        <v>0</v>
      </c>
      <c r="AB94" s="140">
        <f ca="1">IF(ISNUMBER(MATCH(DATEVALUE($A94),'recurring1_based on steps'!AB$1:AB$400,0)),AB$2,)</f>
        <v>5.5401662049861494E-2</v>
      </c>
      <c r="AC94" s="140">
        <f ca="1">IF(ISNUMBER(MATCH(DATEVALUE($A94),'recurring1_based on steps'!AC$1:AC$400,0)),AC$2,)</f>
        <v>0</v>
      </c>
      <c r="AD94" s="140">
        <f ca="1">IF(ISNUMBER(MATCH(DATEVALUE($A94),'recurring1_based on steps'!AD$1:AD$400,0)),AD$2,)</f>
        <v>0</v>
      </c>
      <c r="AE94" s="140">
        <f ca="1">IF(ISNUMBER(MATCH(DATEVALUE($A94),'recurring1_based on steps'!AE$1:AE$400,0)),AE$2,)</f>
        <v>0</v>
      </c>
      <c r="AF94" s="140">
        <f ca="1">IF(ISNUMBER(MATCH(DATEVALUE($A94),'recurring1_based on steps'!AF$1:AF$400,0)),AF$2,)</f>
        <v>0</v>
      </c>
      <c r="AG94" s="140">
        <f ca="1">IF(ISNUMBER(MATCH(DATEVALUE($A94),'recurring1_based on steps'!AG$1:AG$400,0)),AG$2,)</f>
        <v>0</v>
      </c>
      <c r="AH94" s="140">
        <f ca="1">IF(ISNUMBER(MATCH(DATEVALUE($A94),'recurring1_based on steps'!AH$1:AH$400,0)),AH$2,)</f>
        <v>0</v>
      </c>
      <c r="AI94" s="140">
        <f ca="1">IF(ISNUMBER(MATCH(DATEVALUE($A94),'recurring1_based on steps'!AI$1:AI$400,0)),AI$2,)</f>
        <v>0</v>
      </c>
      <c r="AJ94" s="140">
        <f ca="1">IF(ISNUMBER(MATCH(DATEVALUE($A94),'recurring1_based on steps'!AJ$1:AJ$400,0)),AJ$2,)</f>
        <v>0</v>
      </c>
      <c r="AK94" s="140">
        <f ca="1">IF(ISNUMBER(MATCH(DATEVALUE($A94),'recurring1_based on steps'!AK$1:AK$400,0)),AK$2,)</f>
        <v>0</v>
      </c>
      <c r="AL94" s="140">
        <f ca="1">IF(ISNUMBER(MATCH(DATEVALUE($A94),'recurring1_based on steps'!AL$1:AL$400,0)),AL$2,)</f>
        <v>0</v>
      </c>
      <c r="AM94" s="140">
        <f ca="1">IF(ISNUMBER(MATCH(DATEVALUE($A94),'recurring1_based on steps'!AM$1:AM$400,0)),AM$2,)</f>
        <v>0</v>
      </c>
      <c r="AN94" s="140">
        <f ca="1">IF(ISNUMBER(MATCH(DATEVALUE($A94),'recurring1_based on steps'!AN$1:AN$400,0)),AN$2,)</f>
        <v>0</v>
      </c>
      <c r="AO94" s="140">
        <f ca="1">IF(ISNUMBER(MATCH(DATEVALUE($A94),'recurring1_based on steps'!AO$1:AO$400,0)),AO$2,)</f>
        <v>0</v>
      </c>
      <c r="AP94" s="140">
        <f ca="1">IF(ISNUMBER(MATCH(DATEVALUE($A94),'recurring1_based on steps'!AP$1:AP$400,0)),AP$2,)</f>
        <v>0</v>
      </c>
      <c r="AQ94" s="140">
        <f ca="1">IF(ISNUMBER(MATCH(DATEVALUE($A94),'recurring1_based on steps'!AQ$1:AQ$400,0)),AQ$2,)</f>
        <v>0</v>
      </c>
      <c r="AR94" s="140">
        <f ca="1">IF(ISNUMBER(MATCH(DATEVALUE($A94),'recurring1_based on steps'!AR$1:AR$400,0)),AR$2,)</f>
        <v>0</v>
      </c>
      <c r="AS94" s="140">
        <f ca="1">IF(ISNUMBER(MATCH(DATEVALUE($A94),'recurring1_based on steps'!AS$1:AS$400,0)),AS$2,)</f>
        <v>0</v>
      </c>
      <c r="AT94" s="140">
        <f ca="1">IF(ISNUMBER(MATCH(DATEVALUE($A94),'recurring1_based on steps'!AT$1:AT$400,0)),AT$2,)</f>
        <v>0</v>
      </c>
      <c r="AU94" s="140">
        <f ca="1">IF(ISNUMBER(MATCH(DATEVALUE($A94),'recurring1_based on steps'!AU$1:AU$400,0)),AU$2,)</f>
        <v>0</v>
      </c>
      <c r="AV94" s="140">
        <f ca="1">IF(ISNUMBER(MATCH(DATEVALUE($A94),'recurring1_based on steps'!AV$1:AV$400,0)),AV$2,)</f>
        <v>0</v>
      </c>
      <c r="AW94" s="140">
        <f ca="1">IF(ISNUMBER(MATCH(DATEVALUE($A94),'recurring1_based on steps'!AW$1:AW$400,0)),AW$2,)</f>
        <v>0</v>
      </c>
      <c r="AX94" s="140">
        <f ca="1">IF(ISNUMBER(MATCH(DATEVALUE($A94),'recurring1_based on steps'!AX$1:AX$400,0)),AX$2,)</f>
        <v>0</v>
      </c>
      <c r="AY94" s="140">
        <f ca="1">IF(ISNUMBER(MATCH(DATEVALUE($A94),'recurring1_based on steps'!AY$1:AY$400,0)),AY$2,)</f>
        <v>0</v>
      </c>
    </row>
    <row r="95" spans="1:51" x14ac:dyDescent="0.2">
      <c r="A95" s="29" t="str">
        <f t="shared" ca="1" si="1"/>
        <v>2025-06-27</v>
      </c>
      <c r="B95" s="140">
        <f ca="1">IF(ISNUMBER(MATCH(DATEVALUE($A95),'recurring1_based on steps'!B$1:B$400,0)),B$2,)</f>
        <v>4000</v>
      </c>
      <c r="C95" s="140">
        <f ca="1">IF(ISNUMBER(MATCH(DATEVALUE($A95),'recurring1_based on steps'!C$1:C$400,0)),C$2,)</f>
        <v>200</v>
      </c>
      <c r="D95" s="140">
        <f ca="1">IF(ISNUMBER(MATCH(DATEVALUE($A95),'recurring1_based on steps'!D$1:D$400,0)),D$2,)</f>
        <v>2</v>
      </c>
      <c r="E95" s="140">
        <f ca="1">IF(ISNUMBER(MATCH(DATEVALUE($A95),'recurring1_based on steps'!E$1:E$400,0)),E$2,)</f>
        <v>40</v>
      </c>
      <c r="F95" s="140">
        <f ca="1">IF(ISNUMBER(MATCH(DATEVALUE($A95),'recurring1_based on steps'!F$1:F$400,0)),F$2,)</f>
        <v>50</v>
      </c>
      <c r="G95" s="140">
        <f ca="1">IF(ISNUMBER(MATCH(DATEVALUE($A95),'recurring1_based on steps'!G$1:G$400,0)),G$2,)</f>
        <v>4</v>
      </c>
      <c r="H95" s="140">
        <f ca="1">IF(ISNUMBER(MATCH(DATEVALUE($A95),'recurring1_based on steps'!H$1:H$400,0)),H$2,)</f>
        <v>0</v>
      </c>
      <c r="I95" s="140">
        <f ca="1">IF(ISNUMBER(MATCH(DATEVALUE($A95),'recurring1_based on steps'!I$1:I$400,0)),I$2,)</f>
        <v>0</v>
      </c>
      <c r="J95" s="140">
        <f ca="1">IF(ISNUMBER(MATCH(DATEVALUE($A95),'recurring1_based on steps'!J$1:J$400,0)),J$2,)</f>
        <v>0</v>
      </c>
      <c r="K95" s="140">
        <f ca="1">IF(ISNUMBER(MATCH(DATEVALUE($A95),'recurring1_based on steps'!K$1:K$400,0)),K$2,)</f>
        <v>0</v>
      </c>
      <c r="L95" s="140">
        <f ca="1">IF(ISNUMBER(MATCH(DATEVALUE($A95),'recurring1_based on steps'!L$1:L$400,0)),L$2,)</f>
        <v>0</v>
      </c>
      <c r="M95" s="140">
        <f ca="1">IF(ISNUMBER(MATCH(DATEVALUE($A95),'recurring1_based on steps'!M$1:M$400,0)),M$2,)</f>
        <v>0</v>
      </c>
      <c r="N95" s="140">
        <f ca="1">IF(ISNUMBER(MATCH(DATEVALUE($A95),'recurring1_based on steps'!N$1:N$400,0)),N$2,)</f>
        <v>0</v>
      </c>
      <c r="O95" s="140">
        <f ca="1">IF(ISNUMBER(MATCH(DATEVALUE($A95),'recurring1_based on steps'!O$1:O$400,0)),O$2,)</f>
        <v>0</v>
      </c>
      <c r="P95" s="140">
        <f ca="1">IF(ISNUMBER(MATCH(DATEVALUE($A95),'recurring1_based on steps'!P$1:P$400,0)),P$2,)</f>
        <v>2.99</v>
      </c>
      <c r="Q95" s="140">
        <f ca="1">IF(ISNUMBER(MATCH(DATEVALUE($A95),'recurring1_based on steps'!Q$1:Q$400,0)),Q$2,)</f>
        <v>0</v>
      </c>
      <c r="R95" s="140">
        <f ca="1">IF(ISNUMBER(MATCH(DATEVALUE($A95),'recurring1_based on steps'!R$1:R$400,0)),R$2,)</f>
        <v>0</v>
      </c>
      <c r="S95" s="140">
        <f ca="1">IF(ISNUMBER(MATCH(DATEVALUE($A95),'recurring1_based on steps'!S$1:S$400,0)),S$2,)</f>
        <v>0</v>
      </c>
      <c r="T95" s="140">
        <f ca="1">IF(ISNUMBER(MATCH(DATEVALUE($A95),'recurring1_based on steps'!T$1:T$400,0)),T$2,)</f>
        <v>0</v>
      </c>
      <c r="U95" s="140">
        <f ca="1">IF(ISNUMBER(MATCH(DATEVALUE($A95),'recurring1_based on steps'!U$1:U$400,0)),U$2,)</f>
        <v>50</v>
      </c>
      <c r="V95" s="140">
        <f ca="1">IF(ISNUMBER(MATCH(DATEVALUE($A95),'recurring1_based on steps'!V$1:V$400,0)),V$2,)</f>
        <v>0</v>
      </c>
      <c r="W95" s="140">
        <f ca="1">IF(ISNUMBER(MATCH(DATEVALUE($A95),'recurring1_based on steps'!W$1:W$400,0)),W$2,)</f>
        <v>0</v>
      </c>
      <c r="X95" s="140">
        <f ca="1">IF(ISNUMBER(MATCH(DATEVALUE($A95),'recurring1_based on steps'!X$1:X$400,0)),X$2,)</f>
        <v>50</v>
      </c>
      <c r="Y95" s="140">
        <f ca="1">IF(ISNUMBER(MATCH(DATEVALUE($A95),'recurring1_based on steps'!Y$1:Y$400,0)),Y$2,)</f>
        <v>50</v>
      </c>
      <c r="Z95" s="140">
        <f ca="1">IF(ISNUMBER(MATCH(DATEVALUE($A95),'recurring1_based on steps'!Z$1:Z$400,0)),Z$2,)</f>
        <v>0</v>
      </c>
      <c r="AA95" s="140">
        <f ca="1">IF(ISNUMBER(MATCH(DATEVALUE($A95),'recurring1_based on steps'!AA$1:AA$400,0)),AA$2,)</f>
        <v>0</v>
      </c>
      <c r="AB95" s="140">
        <f ca="1">IF(ISNUMBER(MATCH(DATEVALUE($A95),'recurring1_based on steps'!AB$1:AB$400,0)),AB$2,)</f>
        <v>5.5401662049861494E-2</v>
      </c>
      <c r="AC95" s="140">
        <f ca="1">IF(ISNUMBER(MATCH(DATEVALUE($A95),'recurring1_based on steps'!AC$1:AC$400,0)),AC$2,)</f>
        <v>0</v>
      </c>
      <c r="AD95" s="140">
        <f ca="1">IF(ISNUMBER(MATCH(DATEVALUE($A95),'recurring1_based on steps'!AD$1:AD$400,0)),AD$2,)</f>
        <v>0</v>
      </c>
      <c r="AE95" s="140">
        <f ca="1">IF(ISNUMBER(MATCH(DATEVALUE($A95),'recurring1_based on steps'!AE$1:AE$400,0)),AE$2,)</f>
        <v>0</v>
      </c>
      <c r="AF95" s="140">
        <f ca="1">IF(ISNUMBER(MATCH(DATEVALUE($A95),'recurring1_based on steps'!AF$1:AF$400,0)),AF$2,)</f>
        <v>0</v>
      </c>
      <c r="AG95" s="140">
        <f ca="1">IF(ISNUMBER(MATCH(DATEVALUE($A95),'recurring1_based on steps'!AG$1:AG$400,0)),AG$2,)</f>
        <v>0</v>
      </c>
      <c r="AH95" s="140">
        <f ca="1">IF(ISNUMBER(MATCH(DATEVALUE($A95),'recurring1_based on steps'!AH$1:AH$400,0)),AH$2,)</f>
        <v>0</v>
      </c>
      <c r="AI95" s="140">
        <f ca="1">IF(ISNUMBER(MATCH(DATEVALUE($A95),'recurring1_based on steps'!AI$1:AI$400,0)),AI$2,)</f>
        <v>0</v>
      </c>
      <c r="AJ95" s="140">
        <f ca="1">IF(ISNUMBER(MATCH(DATEVALUE($A95),'recurring1_based on steps'!AJ$1:AJ$400,0)),AJ$2,)</f>
        <v>0</v>
      </c>
      <c r="AK95" s="140">
        <f ca="1">IF(ISNUMBER(MATCH(DATEVALUE($A95),'recurring1_based on steps'!AK$1:AK$400,0)),AK$2,)</f>
        <v>0</v>
      </c>
      <c r="AL95" s="140">
        <f ca="1">IF(ISNUMBER(MATCH(DATEVALUE($A95),'recurring1_based on steps'!AL$1:AL$400,0)),AL$2,)</f>
        <v>0</v>
      </c>
      <c r="AM95" s="140">
        <f ca="1">IF(ISNUMBER(MATCH(DATEVALUE($A95),'recurring1_based on steps'!AM$1:AM$400,0)),AM$2,)</f>
        <v>0</v>
      </c>
      <c r="AN95" s="140">
        <f ca="1">IF(ISNUMBER(MATCH(DATEVALUE($A95),'recurring1_based on steps'!AN$1:AN$400,0)),AN$2,)</f>
        <v>0</v>
      </c>
      <c r="AO95" s="140">
        <f ca="1">IF(ISNUMBER(MATCH(DATEVALUE($A95),'recurring1_based on steps'!AO$1:AO$400,0)),AO$2,)</f>
        <v>0</v>
      </c>
      <c r="AP95" s="140">
        <f ca="1">IF(ISNUMBER(MATCH(DATEVALUE($A95),'recurring1_based on steps'!AP$1:AP$400,0)),AP$2,)</f>
        <v>0</v>
      </c>
      <c r="AQ95" s="140">
        <f ca="1">IF(ISNUMBER(MATCH(DATEVALUE($A95),'recurring1_based on steps'!AQ$1:AQ$400,0)),AQ$2,)</f>
        <v>0</v>
      </c>
      <c r="AR95" s="140">
        <f ca="1">IF(ISNUMBER(MATCH(DATEVALUE($A95),'recurring1_based on steps'!AR$1:AR$400,0)),AR$2,)</f>
        <v>0</v>
      </c>
      <c r="AS95" s="140">
        <f ca="1">IF(ISNUMBER(MATCH(DATEVALUE($A95),'recurring1_based on steps'!AS$1:AS$400,0)),AS$2,)</f>
        <v>0</v>
      </c>
      <c r="AT95" s="140">
        <f ca="1">IF(ISNUMBER(MATCH(DATEVALUE($A95),'recurring1_based on steps'!AT$1:AT$400,0)),AT$2,)</f>
        <v>0</v>
      </c>
      <c r="AU95" s="140">
        <f ca="1">IF(ISNUMBER(MATCH(DATEVALUE($A95),'recurring1_based on steps'!AU$1:AU$400,0)),AU$2,)</f>
        <v>0</v>
      </c>
      <c r="AV95" s="140">
        <f ca="1">IF(ISNUMBER(MATCH(DATEVALUE($A95),'recurring1_based on steps'!AV$1:AV$400,0)),AV$2,)</f>
        <v>0</v>
      </c>
      <c r="AW95" s="140">
        <f ca="1">IF(ISNUMBER(MATCH(DATEVALUE($A95),'recurring1_based on steps'!AW$1:AW$400,0)),AW$2,)</f>
        <v>0</v>
      </c>
      <c r="AX95" s="140">
        <f ca="1">IF(ISNUMBER(MATCH(DATEVALUE($A95),'recurring1_based on steps'!AX$1:AX$400,0)),AX$2,)</f>
        <v>0</v>
      </c>
      <c r="AY95" s="140">
        <f ca="1">IF(ISNUMBER(MATCH(DATEVALUE($A95),'recurring1_based on steps'!AY$1:AY$400,0)),AY$2,)</f>
        <v>0</v>
      </c>
    </row>
    <row r="96" spans="1:51" x14ac:dyDescent="0.2">
      <c r="A96" s="29" t="str">
        <f t="shared" ca="1" si="1"/>
        <v>2025-06-28</v>
      </c>
      <c r="B96" s="140">
        <f ca="1">IF(ISNUMBER(MATCH(DATEVALUE($A96),'recurring1_based on steps'!B$1:B$400,0)),B$2,)</f>
        <v>0</v>
      </c>
      <c r="C96" s="140">
        <f ca="1">IF(ISNUMBER(MATCH(DATEVALUE($A96),'recurring1_based on steps'!C$1:C$400,0)),C$2,)</f>
        <v>0</v>
      </c>
      <c r="D96" s="140">
        <f ca="1">IF(ISNUMBER(MATCH(DATEVALUE($A96),'recurring1_based on steps'!D$1:D$400,0)),D$2,)</f>
        <v>0</v>
      </c>
      <c r="E96" s="140">
        <f ca="1">IF(ISNUMBER(MATCH(DATEVALUE($A96),'recurring1_based on steps'!E$1:E$400,0)),E$2,)</f>
        <v>0</v>
      </c>
      <c r="F96" s="140">
        <f ca="1">IF(ISNUMBER(MATCH(DATEVALUE($A96),'recurring1_based on steps'!F$1:F$400,0)),F$2,)</f>
        <v>0</v>
      </c>
      <c r="G96" s="140">
        <f ca="1">IF(ISNUMBER(MATCH(DATEVALUE($A96),'recurring1_based on steps'!G$1:G$400,0)),G$2,)</f>
        <v>0</v>
      </c>
      <c r="H96" s="140">
        <f ca="1">IF(ISNUMBER(MATCH(DATEVALUE($A96),'recurring1_based on steps'!H$1:H$400,0)),H$2,)</f>
        <v>0</v>
      </c>
      <c r="I96" s="140">
        <f ca="1">IF(ISNUMBER(MATCH(DATEVALUE($A96),'recurring1_based on steps'!I$1:I$400,0)),I$2,)</f>
        <v>0</v>
      </c>
      <c r="J96" s="140">
        <f ca="1">IF(ISNUMBER(MATCH(DATEVALUE($A96),'recurring1_based on steps'!J$1:J$400,0)),J$2,)</f>
        <v>0</v>
      </c>
      <c r="K96" s="140">
        <f ca="1">IF(ISNUMBER(MATCH(DATEVALUE($A96),'recurring1_based on steps'!K$1:K$400,0)),K$2,)</f>
        <v>0</v>
      </c>
      <c r="L96" s="140">
        <f ca="1">IF(ISNUMBER(MATCH(DATEVALUE($A96),'recurring1_based on steps'!L$1:L$400,0)),L$2,)</f>
        <v>0</v>
      </c>
      <c r="M96" s="140">
        <f ca="1">IF(ISNUMBER(MATCH(DATEVALUE($A96),'recurring1_based on steps'!M$1:M$400,0)),M$2,)</f>
        <v>0</v>
      </c>
      <c r="N96" s="140">
        <f ca="1">IF(ISNUMBER(MATCH(DATEVALUE($A96),'recurring1_based on steps'!N$1:N$400,0)),N$2,)</f>
        <v>0</v>
      </c>
      <c r="O96" s="140">
        <f ca="1">IF(ISNUMBER(MATCH(DATEVALUE($A96),'recurring1_based on steps'!O$1:O$400,0)),O$2,)</f>
        <v>0</v>
      </c>
      <c r="P96" s="140">
        <f ca="1">IF(ISNUMBER(MATCH(DATEVALUE($A96),'recurring1_based on steps'!P$1:P$400,0)),P$2,)</f>
        <v>0</v>
      </c>
      <c r="Q96" s="140">
        <f ca="1">IF(ISNUMBER(MATCH(DATEVALUE($A96),'recurring1_based on steps'!Q$1:Q$400,0)),Q$2,)</f>
        <v>100</v>
      </c>
      <c r="R96" s="140">
        <f ca="1">IF(ISNUMBER(MATCH(DATEVALUE($A96),'recurring1_based on steps'!R$1:R$400,0)),R$2,)</f>
        <v>100</v>
      </c>
      <c r="S96" s="140">
        <f ca="1">IF(ISNUMBER(MATCH(DATEVALUE($A96),'recurring1_based on steps'!S$1:S$400,0)),S$2,)</f>
        <v>0</v>
      </c>
      <c r="T96" s="140">
        <f ca="1">IF(ISNUMBER(MATCH(DATEVALUE($A96),'recurring1_based on steps'!T$1:T$400,0)),T$2,)</f>
        <v>0</v>
      </c>
      <c r="U96" s="140">
        <f ca="1">IF(ISNUMBER(MATCH(DATEVALUE($A96),'recurring1_based on steps'!U$1:U$400,0)),U$2,)</f>
        <v>0</v>
      </c>
      <c r="V96" s="140">
        <f ca="1">IF(ISNUMBER(MATCH(DATEVALUE($A96),'recurring1_based on steps'!V$1:V$400,0)),V$2,)</f>
        <v>0</v>
      </c>
      <c r="W96" s="140">
        <f ca="1">IF(ISNUMBER(MATCH(DATEVALUE($A96),'recurring1_based on steps'!W$1:W$400,0)),W$2,)</f>
        <v>0</v>
      </c>
      <c r="X96" s="140">
        <f ca="1">IF(ISNUMBER(MATCH(DATEVALUE($A96),'recurring1_based on steps'!X$1:X$400,0)),X$2,)</f>
        <v>0</v>
      </c>
      <c r="Y96" s="140">
        <f ca="1">IF(ISNUMBER(MATCH(DATEVALUE($A96),'recurring1_based on steps'!Y$1:Y$400,0)),Y$2,)</f>
        <v>0</v>
      </c>
      <c r="Z96" s="140">
        <f ca="1">IF(ISNUMBER(MATCH(DATEVALUE($A96),'recurring1_based on steps'!Z$1:Z$400,0)),Z$2,)</f>
        <v>0</v>
      </c>
      <c r="AA96" s="140">
        <f ca="1">IF(ISNUMBER(MATCH(DATEVALUE($A96),'recurring1_based on steps'!AA$1:AA$400,0)),AA$2,)</f>
        <v>0</v>
      </c>
      <c r="AB96" s="140">
        <f ca="1">IF(ISNUMBER(MATCH(DATEVALUE($A96),'recurring1_based on steps'!AB$1:AB$400,0)),AB$2,)</f>
        <v>5.5401662049861494E-2</v>
      </c>
      <c r="AC96" s="140">
        <f ca="1">IF(ISNUMBER(MATCH(DATEVALUE($A96),'recurring1_based on steps'!AC$1:AC$400,0)),AC$2,)</f>
        <v>0</v>
      </c>
      <c r="AD96" s="140">
        <f ca="1">IF(ISNUMBER(MATCH(DATEVALUE($A96),'recurring1_based on steps'!AD$1:AD$400,0)),AD$2,)</f>
        <v>0</v>
      </c>
      <c r="AE96" s="140">
        <f ca="1">IF(ISNUMBER(MATCH(DATEVALUE($A96),'recurring1_based on steps'!AE$1:AE$400,0)),AE$2,)</f>
        <v>0</v>
      </c>
      <c r="AF96" s="140">
        <f ca="1">IF(ISNUMBER(MATCH(DATEVALUE($A96),'recurring1_based on steps'!AF$1:AF$400,0)),AF$2,)</f>
        <v>0</v>
      </c>
      <c r="AG96" s="140">
        <f ca="1">IF(ISNUMBER(MATCH(DATEVALUE($A96),'recurring1_based on steps'!AG$1:AG$400,0)),AG$2,)</f>
        <v>0</v>
      </c>
      <c r="AH96" s="140">
        <f ca="1">IF(ISNUMBER(MATCH(DATEVALUE($A96),'recurring1_based on steps'!AH$1:AH$400,0)),AH$2,)</f>
        <v>0</v>
      </c>
      <c r="AI96" s="140">
        <f ca="1">IF(ISNUMBER(MATCH(DATEVALUE($A96),'recurring1_based on steps'!AI$1:AI$400,0)),AI$2,)</f>
        <v>0</v>
      </c>
      <c r="AJ96" s="140">
        <f ca="1">IF(ISNUMBER(MATCH(DATEVALUE($A96),'recurring1_based on steps'!AJ$1:AJ$400,0)),AJ$2,)</f>
        <v>0</v>
      </c>
      <c r="AK96" s="140">
        <f ca="1">IF(ISNUMBER(MATCH(DATEVALUE($A96),'recurring1_based on steps'!AK$1:AK$400,0)),AK$2,)</f>
        <v>0</v>
      </c>
      <c r="AL96" s="140">
        <f ca="1">IF(ISNUMBER(MATCH(DATEVALUE($A96),'recurring1_based on steps'!AL$1:AL$400,0)),AL$2,)</f>
        <v>0</v>
      </c>
      <c r="AM96" s="140">
        <f ca="1">IF(ISNUMBER(MATCH(DATEVALUE($A96),'recurring1_based on steps'!AM$1:AM$400,0)),AM$2,)</f>
        <v>0</v>
      </c>
      <c r="AN96" s="140">
        <f ca="1">IF(ISNUMBER(MATCH(DATEVALUE($A96),'recurring1_based on steps'!AN$1:AN$400,0)),AN$2,)</f>
        <v>0</v>
      </c>
      <c r="AO96" s="140">
        <f ca="1">IF(ISNUMBER(MATCH(DATEVALUE($A96),'recurring1_based on steps'!AO$1:AO$400,0)),AO$2,)</f>
        <v>0</v>
      </c>
      <c r="AP96" s="140">
        <f ca="1">IF(ISNUMBER(MATCH(DATEVALUE($A96),'recurring1_based on steps'!AP$1:AP$400,0)),AP$2,)</f>
        <v>0</v>
      </c>
      <c r="AQ96" s="140">
        <f ca="1">IF(ISNUMBER(MATCH(DATEVALUE($A96),'recurring1_based on steps'!AQ$1:AQ$400,0)),AQ$2,)</f>
        <v>0</v>
      </c>
      <c r="AR96" s="140">
        <f ca="1">IF(ISNUMBER(MATCH(DATEVALUE($A96),'recurring1_based on steps'!AR$1:AR$400,0)),AR$2,)</f>
        <v>0</v>
      </c>
      <c r="AS96" s="140">
        <f ca="1">IF(ISNUMBER(MATCH(DATEVALUE($A96),'recurring1_based on steps'!AS$1:AS$400,0)),AS$2,)</f>
        <v>0</v>
      </c>
      <c r="AT96" s="140">
        <f ca="1">IF(ISNUMBER(MATCH(DATEVALUE($A96),'recurring1_based on steps'!AT$1:AT$400,0)),AT$2,)</f>
        <v>0</v>
      </c>
      <c r="AU96" s="140">
        <f ca="1">IF(ISNUMBER(MATCH(DATEVALUE($A96),'recurring1_based on steps'!AU$1:AU$400,0)),AU$2,)</f>
        <v>0</v>
      </c>
      <c r="AV96" s="140">
        <f ca="1">IF(ISNUMBER(MATCH(DATEVALUE($A96),'recurring1_based on steps'!AV$1:AV$400,0)),AV$2,)</f>
        <v>0</v>
      </c>
      <c r="AW96" s="140">
        <f ca="1">IF(ISNUMBER(MATCH(DATEVALUE($A96),'recurring1_based on steps'!AW$1:AW$400,0)),AW$2,)</f>
        <v>0</v>
      </c>
      <c r="AX96" s="140">
        <f ca="1">IF(ISNUMBER(MATCH(DATEVALUE($A96),'recurring1_based on steps'!AX$1:AX$400,0)),AX$2,)</f>
        <v>0</v>
      </c>
      <c r="AY96" s="140">
        <f ca="1">IF(ISNUMBER(MATCH(DATEVALUE($A96),'recurring1_based on steps'!AY$1:AY$400,0)),AY$2,)</f>
        <v>0</v>
      </c>
    </row>
    <row r="97" spans="1:51" x14ac:dyDescent="0.2">
      <c r="A97" s="29" t="str">
        <f t="shared" ca="1" si="1"/>
        <v>2025-06-29</v>
      </c>
      <c r="B97" s="140">
        <f ca="1">IF(ISNUMBER(MATCH(DATEVALUE($A97),'recurring1_based on steps'!B$1:B$400,0)),B$2,)</f>
        <v>0</v>
      </c>
      <c r="C97" s="140">
        <f ca="1">IF(ISNUMBER(MATCH(DATEVALUE($A97),'recurring1_based on steps'!C$1:C$400,0)),C$2,)</f>
        <v>0</v>
      </c>
      <c r="D97" s="140">
        <f ca="1">IF(ISNUMBER(MATCH(DATEVALUE($A97),'recurring1_based on steps'!D$1:D$400,0)),D$2,)</f>
        <v>0</v>
      </c>
      <c r="E97" s="140">
        <f ca="1">IF(ISNUMBER(MATCH(DATEVALUE($A97),'recurring1_based on steps'!E$1:E$400,0)),E$2,)</f>
        <v>0</v>
      </c>
      <c r="F97" s="140">
        <f ca="1">IF(ISNUMBER(MATCH(DATEVALUE($A97),'recurring1_based on steps'!F$1:F$400,0)),F$2,)</f>
        <v>0</v>
      </c>
      <c r="G97" s="140">
        <f ca="1">IF(ISNUMBER(MATCH(DATEVALUE($A97),'recurring1_based on steps'!G$1:G$400,0)),G$2,)</f>
        <v>0</v>
      </c>
      <c r="H97" s="140">
        <f ca="1">IF(ISNUMBER(MATCH(DATEVALUE($A97),'recurring1_based on steps'!H$1:H$400,0)),H$2,)</f>
        <v>0</v>
      </c>
      <c r="I97" s="140">
        <f ca="1">IF(ISNUMBER(MATCH(DATEVALUE($A97),'recurring1_based on steps'!I$1:I$400,0)),I$2,)</f>
        <v>0</v>
      </c>
      <c r="J97" s="140">
        <f ca="1">IF(ISNUMBER(MATCH(DATEVALUE($A97),'recurring1_based on steps'!J$1:J$400,0)),J$2,)</f>
        <v>0</v>
      </c>
      <c r="K97" s="140">
        <f ca="1">IF(ISNUMBER(MATCH(DATEVALUE($A97),'recurring1_based on steps'!K$1:K$400,0)),K$2,)</f>
        <v>50</v>
      </c>
      <c r="L97" s="140">
        <f ca="1">IF(ISNUMBER(MATCH(DATEVALUE($A97),'recurring1_based on steps'!L$1:L$400,0)),L$2,)</f>
        <v>0</v>
      </c>
      <c r="M97" s="140">
        <f ca="1">IF(ISNUMBER(MATCH(DATEVALUE($A97),'recurring1_based on steps'!M$1:M$400,0)),M$2,)</f>
        <v>0</v>
      </c>
      <c r="N97" s="140">
        <f ca="1">IF(ISNUMBER(MATCH(DATEVALUE($A97),'recurring1_based on steps'!N$1:N$400,0)),N$2,)</f>
        <v>0</v>
      </c>
      <c r="O97" s="140">
        <f ca="1">IF(ISNUMBER(MATCH(DATEVALUE($A97),'recurring1_based on steps'!O$1:O$400,0)),O$2,)</f>
        <v>0</v>
      </c>
      <c r="P97" s="140">
        <f ca="1">IF(ISNUMBER(MATCH(DATEVALUE($A97),'recurring1_based on steps'!P$1:P$400,0)),P$2,)</f>
        <v>0</v>
      </c>
      <c r="Q97" s="140">
        <f ca="1">IF(ISNUMBER(MATCH(DATEVALUE($A97),'recurring1_based on steps'!Q$1:Q$400,0)),Q$2,)</f>
        <v>0</v>
      </c>
      <c r="R97" s="140">
        <f ca="1">IF(ISNUMBER(MATCH(DATEVALUE($A97),'recurring1_based on steps'!R$1:R$400,0)),R$2,)</f>
        <v>0</v>
      </c>
      <c r="S97" s="140">
        <f ca="1">IF(ISNUMBER(MATCH(DATEVALUE($A97),'recurring1_based on steps'!S$1:S$400,0)),S$2,)</f>
        <v>100</v>
      </c>
      <c r="T97" s="140">
        <f ca="1">IF(ISNUMBER(MATCH(DATEVALUE($A97),'recurring1_based on steps'!T$1:T$400,0)),T$2,)</f>
        <v>0</v>
      </c>
      <c r="U97" s="140">
        <f ca="1">IF(ISNUMBER(MATCH(DATEVALUE($A97),'recurring1_based on steps'!U$1:U$400,0)),U$2,)</f>
        <v>0</v>
      </c>
      <c r="V97" s="140">
        <f ca="1">IF(ISNUMBER(MATCH(DATEVALUE($A97),'recurring1_based on steps'!V$1:V$400,0)),V$2,)</f>
        <v>0</v>
      </c>
      <c r="W97" s="140">
        <f ca="1">IF(ISNUMBER(MATCH(DATEVALUE($A97),'recurring1_based on steps'!W$1:W$400,0)),W$2,)</f>
        <v>0</v>
      </c>
      <c r="X97" s="140">
        <f ca="1">IF(ISNUMBER(MATCH(DATEVALUE($A97),'recurring1_based on steps'!X$1:X$400,0)),X$2,)</f>
        <v>0</v>
      </c>
      <c r="Y97" s="140">
        <f ca="1">IF(ISNUMBER(MATCH(DATEVALUE($A97),'recurring1_based on steps'!Y$1:Y$400,0)),Y$2,)</f>
        <v>0</v>
      </c>
      <c r="Z97" s="140">
        <f ca="1">IF(ISNUMBER(MATCH(DATEVALUE($A97),'recurring1_based on steps'!Z$1:Z$400,0)),Z$2,)</f>
        <v>0</v>
      </c>
      <c r="AA97" s="140">
        <f ca="1">IF(ISNUMBER(MATCH(DATEVALUE($A97),'recurring1_based on steps'!AA$1:AA$400,0)),AA$2,)</f>
        <v>0</v>
      </c>
      <c r="AB97" s="140">
        <f ca="1">IF(ISNUMBER(MATCH(DATEVALUE($A97),'recurring1_based on steps'!AB$1:AB$400,0)),AB$2,)</f>
        <v>5.5401662049861494E-2</v>
      </c>
      <c r="AC97" s="140">
        <f ca="1">IF(ISNUMBER(MATCH(DATEVALUE($A97),'recurring1_based on steps'!AC$1:AC$400,0)),AC$2,)</f>
        <v>0</v>
      </c>
      <c r="AD97" s="140">
        <f ca="1">IF(ISNUMBER(MATCH(DATEVALUE($A97),'recurring1_based on steps'!AD$1:AD$400,0)),AD$2,)</f>
        <v>0</v>
      </c>
      <c r="AE97" s="140">
        <f ca="1">IF(ISNUMBER(MATCH(DATEVALUE($A97),'recurring1_based on steps'!AE$1:AE$400,0)),AE$2,)</f>
        <v>0</v>
      </c>
      <c r="AF97" s="140">
        <f ca="1">IF(ISNUMBER(MATCH(DATEVALUE($A97),'recurring1_based on steps'!AF$1:AF$400,0)),AF$2,)</f>
        <v>0</v>
      </c>
      <c r="AG97" s="140">
        <f ca="1">IF(ISNUMBER(MATCH(DATEVALUE($A97),'recurring1_based on steps'!AG$1:AG$400,0)),AG$2,)</f>
        <v>0</v>
      </c>
      <c r="AH97" s="140">
        <f ca="1">IF(ISNUMBER(MATCH(DATEVALUE($A97),'recurring1_based on steps'!AH$1:AH$400,0)),AH$2,)</f>
        <v>0</v>
      </c>
      <c r="AI97" s="140">
        <f ca="1">IF(ISNUMBER(MATCH(DATEVALUE($A97),'recurring1_based on steps'!AI$1:AI$400,0)),AI$2,)</f>
        <v>0</v>
      </c>
      <c r="AJ97" s="140">
        <f ca="1">IF(ISNUMBER(MATCH(DATEVALUE($A97),'recurring1_based on steps'!AJ$1:AJ$400,0)),AJ$2,)</f>
        <v>0</v>
      </c>
      <c r="AK97" s="140">
        <f ca="1">IF(ISNUMBER(MATCH(DATEVALUE($A97),'recurring1_based on steps'!AK$1:AK$400,0)),AK$2,)</f>
        <v>0</v>
      </c>
      <c r="AL97" s="140">
        <f ca="1">IF(ISNUMBER(MATCH(DATEVALUE($A97),'recurring1_based on steps'!AL$1:AL$400,0)),AL$2,)</f>
        <v>0</v>
      </c>
      <c r="AM97" s="140">
        <f ca="1">IF(ISNUMBER(MATCH(DATEVALUE($A97),'recurring1_based on steps'!AM$1:AM$400,0)),AM$2,)</f>
        <v>0</v>
      </c>
      <c r="AN97" s="140">
        <f ca="1">IF(ISNUMBER(MATCH(DATEVALUE($A97),'recurring1_based on steps'!AN$1:AN$400,0)),AN$2,)</f>
        <v>0</v>
      </c>
      <c r="AO97" s="140">
        <f ca="1">IF(ISNUMBER(MATCH(DATEVALUE($A97),'recurring1_based on steps'!AO$1:AO$400,0)),AO$2,)</f>
        <v>0</v>
      </c>
      <c r="AP97" s="140">
        <f ca="1">IF(ISNUMBER(MATCH(DATEVALUE($A97),'recurring1_based on steps'!AP$1:AP$400,0)),AP$2,)</f>
        <v>0</v>
      </c>
      <c r="AQ97" s="140">
        <f ca="1">IF(ISNUMBER(MATCH(DATEVALUE($A97),'recurring1_based on steps'!AQ$1:AQ$400,0)),AQ$2,)</f>
        <v>0</v>
      </c>
      <c r="AR97" s="140">
        <f ca="1">IF(ISNUMBER(MATCH(DATEVALUE($A97),'recurring1_based on steps'!AR$1:AR$400,0)),AR$2,)</f>
        <v>0</v>
      </c>
      <c r="AS97" s="140">
        <f ca="1">IF(ISNUMBER(MATCH(DATEVALUE($A97),'recurring1_based on steps'!AS$1:AS$400,0)),AS$2,)</f>
        <v>0</v>
      </c>
      <c r="AT97" s="140">
        <f ca="1">IF(ISNUMBER(MATCH(DATEVALUE($A97),'recurring1_based on steps'!AT$1:AT$400,0)),AT$2,)</f>
        <v>0</v>
      </c>
      <c r="AU97" s="140">
        <f ca="1">IF(ISNUMBER(MATCH(DATEVALUE($A97),'recurring1_based on steps'!AU$1:AU$400,0)),AU$2,)</f>
        <v>0</v>
      </c>
      <c r="AV97" s="140">
        <f ca="1">IF(ISNUMBER(MATCH(DATEVALUE($A97),'recurring1_based on steps'!AV$1:AV$400,0)),AV$2,)</f>
        <v>0</v>
      </c>
      <c r="AW97" s="140">
        <f ca="1">IF(ISNUMBER(MATCH(DATEVALUE($A97),'recurring1_based on steps'!AW$1:AW$400,0)),AW$2,)</f>
        <v>0</v>
      </c>
      <c r="AX97" s="140">
        <f ca="1">IF(ISNUMBER(MATCH(DATEVALUE($A97),'recurring1_based on steps'!AX$1:AX$400,0)),AX$2,)</f>
        <v>0</v>
      </c>
      <c r="AY97" s="140">
        <f ca="1">IF(ISNUMBER(MATCH(DATEVALUE($A97),'recurring1_based on steps'!AY$1:AY$400,0)),AY$2,)</f>
        <v>0</v>
      </c>
    </row>
    <row r="98" spans="1:51" x14ac:dyDescent="0.2">
      <c r="A98" s="29" t="str">
        <f t="shared" ca="1" si="1"/>
        <v>2025-06-30</v>
      </c>
      <c r="B98" s="140">
        <f ca="1">IF(ISNUMBER(MATCH(DATEVALUE($A98),'recurring1_based on steps'!B$1:B$400,0)),B$2,)</f>
        <v>0</v>
      </c>
      <c r="C98" s="140">
        <f ca="1">IF(ISNUMBER(MATCH(DATEVALUE($A98),'recurring1_based on steps'!C$1:C$400,0)),C$2,)</f>
        <v>0</v>
      </c>
      <c r="D98" s="140">
        <f ca="1">IF(ISNUMBER(MATCH(DATEVALUE($A98),'recurring1_based on steps'!D$1:D$400,0)),D$2,)</f>
        <v>0</v>
      </c>
      <c r="E98" s="140">
        <f ca="1">IF(ISNUMBER(MATCH(DATEVALUE($A98),'recurring1_based on steps'!E$1:E$400,0)),E$2,)</f>
        <v>0</v>
      </c>
      <c r="F98" s="140">
        <f ca="1">IF(ISNUMBER(MATCH(DATEVALUE($A98),'recurring1_based on steps'!F$1:F$400,0)),F$2,)</f>
        <v>0</v>
      </c>
      <c r="G98" s="140">
        <f ca="1">IF(ISNUMBER(MATCH(DATEVALUE($A98),'recurring1_based on steps'!G$1:G$400,0)),G$2,)</f>
        <v>0</v>
      </c>
      <c r="H98" s="140">
        <f ca="1">IF(ISNUMBER(MATCH(DATEVALUE($A98),'recurring1_based on steps'!H$1:H$400,0)),H$2,)</f>
        <v>40</v>
      </c>
      <c r="I98" s="140">
        <f ca="1">IF(ISNUMBER(MATCH(DATEVALUE($A98),'recurring1_based on steps'!I$1:I$400,0)),I$2,)</f>
        <v>0</v>
      </c>
      <c r="J98" s="140">
        <f ca="1">IF(ISNUMBER(MATCH(DATEVALUE($A98),'recurring1_based on steps'!J$1:J$400,0)),J$2,)</f>
        <v>0</v>
      </c>
      <c r="K98" s="140">
        <f ca="1">IF(ISNUMBER(MATCH(DATEVALUE($A98),'recurring1_based on steps'!K$1:K$400,0)),K$2,)</f>
        <v>0</v>
      </c>
      <c r="L98" s="140">
        <f ca="1">IF(ISNUMBER(MATCH(DATEVALUE($A98),'recurring1_based on steps'!L$1:L$400,0)),L$2,)</f>
        <v>0</v>
      </c>
      <c r="M98" s="140">
        <f ca="1">IF(ISNUMBER(MATCH(DATEVALUE($A98),'recurring1_based on steps'!M$1:M$400,0)),M$2,)</f>
        <v>0</v>
      </c>
      <c r="N98" s="140">
        <f ca="1">IF(ISNUMBER(MATCH(DATEVALUE($A98),'recurring1_based on steps'!N$1:N$400,0)),N$2,)</f>
        <v>0</v>
      </c>
      <c r="O98" s="140">
        <f ca="1">IF(ISNUMBER(MATCH(DATEVALUE($A98),'recurring1_based on steps'!O$1:O$400,0)),O$2,)</f>
        <v>0</v>
      </c>
      <c r="P98" s="140">
        <f ca="1">IF(ISNUMBER(MATCH(DATEVALUE($A98),'recurring1_based on steps'!P$1:P$400,0)),P$2,)</f>
        <v>0</v>
      </c>
      <c r="Q98" s="140">
        <f ca="1">IF(ISNUMBER(MATCH(DATEVALUE($A98),'recurring1_based on steps'!Q$1:Q$400,0)),Q$2,)</f>
        <v>0</v>
      </c>
      <c r="R98" s="140">
        <f ca="1">IF(ISNUMBER(MATCH(DATEVALUE($A98),'recurring1_based on steps'!R$1:R$400,0)),R$2,)</f>
        <v>0</v>
      </c>
      <c r="S98" s="140">
        <f ca="1">IF(ISNUMBER(MATCH(DATEVALUE($A98),'recurring1_based on steps'!S$1:S$400,0)),S$2,)</f>
        <v>0</v>
      </c>
      <c r="T98" s="140">
        <f ca="1">IF(ISNUMBER(MATCH(DATEVALUE($A98),'recurring1_based on steps'!T$1:T$400,0)),T$2,)</f>
        <v>50</v>
      </c>
      <c r="U98" s="140">
        <f ca="1">IF(ISNUMBER(MATCH(DATEVALUE($A98),'recurring1_based on steps'!U$1:U$400,0)),U$2,)</f>
        <v>0</v>
      </c>
      <c r="V98" s="140">
        <f ca="1">IF(ISNUMBER(MATCH(DATEVALUE($A98),'recurring1_based on steps'!V$1:V$400,0)),V$2,)</f>
        <v>0</v>
      </c>
      <c r="W98" s="140">
        <f ca="1">IF(ISNUMBER(MATCH(DATEVALUE($A98),'recurring1_based on steps'!W$1:W$400,0)),W$2,)</f>
        <v>100</v>
      </c>
      <c r="X98" s="140">
        <f ca="1">IF(ISNUMBER(MATCH(DATEVALUE($A98),'recurring1_based on steps'!X$1:X$400,0)),X$2,)</f>
        <v>0</v>
      </c>
      <c r="Y98" s="140">
        <f ca="1">IF(ISNUMBER(MATCH(DATEVALUE($A98),'recurring1_based on steps'!Y$1:Y$400,0)),Y$2,)</f>
        <v>0</v>
      </c>
      <c r="Z98" s="140">
        <f ca="1">IF(ISNUMBER(MATCH(DATEVALUE($A98),'recurring1_based on steps'!Z$1:Z$400,0)),Z$2,)</f>
        <v>0</v>
      </c>
      <c r="AA98" s="140">
        <f ca="1">IF(ISNUMBER(MATCH(DATEVALUE($A98),'recurring1_based on steps'!AA$1:AA$400,0)),AA$2,)</f>
        <v>0</v>
      </c>
      <c r="AB98" s="140">
        <f ca="1">IF(ISNUMBER(MATCH(DATEVALUE($A98),'recurring1_based on steps'!AB$1:AB$400,0)),AB$2,)</f>
        <v>5.5401662049861494E-2</v>
      </c>
      <c r="AC98" s="140">
        <f ca="1">IF(ISNUMBER(MATCH(DATEVALUE($A98),'recurring1_based on steps'!AC$1:AC$400,0)),AC$2,)</f>
        <v>0</v>
      </c>
      <c r="AD98" s="140">
        <f ca="1">IF(ISNUMBER(MATCH(DATEVALUE($A98),'recurring1_based on steps'!AD$1:AD$400,0)),AD$2,)</f>
        <v>0</v>
      </c>
      <c r="AE98" s="140">
        <f ca="1">IF(ISNUMBER(MATCH(DATEVALUE($A98),'recurring1_based on steps'!AE$1:AE$400,0)),AE$2,)</f>
        <v>0</v>
      </c>
      <c r="AF98" s="140">
        <f ca="1">IF(ISNUMBER(MATCH(DATEVALUE($A98),'recurring1_based on steps'!AF$1:AF$400,0)),AF$2,)</f>
        <v>0</v>
      </c>
      <c r="AG98" s="140">
        <f ca="1">IF(ISNUMBER(MATCH(DATEVALUE($A98),'recurring1_based on steps'!AG$1:AG$400,0)),AG$2,)</f>
        <v>0</v>
      </c>
      <c r="AH98" s="140">
        <f ca="1">IF(ISNUMBER(MATCH(DATEVALUE($A98),'recurring1_based on steps'!AH$1:AH$400,0)),AH$2,)</f>
        <v>0</v>
      </c>
      <c r="AI98" s="140">
        <f ca="1">IF(ISNUMBER(MATCH(DATEVALUE($A98),'recurring1_based on steps'!AI$1:AI$400,0)),AI$2,)</f>
        <v>0</v>
      </c>
      <c r="AJ98" s="140">
        <f ca="1">IF(ISNUMBER(MATCH(DATEVALUE($A98),'recurring1_based on steps'!AJ$1:AJ$400,0)),AJ$2,)</f>
        <v>0</v>
      </c>
      <c r="AK98" s="140">
        <f ca="1">IF(ISNUMBER(MATCH(DATEVALUE($A98),'recurring1_based on steps'!AK$1:AK$400,0)),AK$2,)</f>
        <v>0</v>
      </c>
      <c r="AL98" s="140">
        <f ca="1">IF(ISNUMBER(MATCH(DATEVALUE($A98),'recurring1_based on steps'!AL$1:AL$400,0)),AL$2,)</f>
        <v>0</v>
      </c>
      <c r="AM98" s="140">
        <f ca="1">IF(ISNUMBER(MATCH(DATEVALUE($A98),'recurring1_based on steps'!AM$1:AM$400,0)),AM$2,)</f>
        <v>0</v>
      </c>
      <c r="AN98" s="140">
        <f ca="1">IF(ISNUMBER(MATCH(DATEVALUE($A98),'recurring1_based on steps'!AN$1:AN$400,0)),AN$2,)</f>
        <v>0</v>
      </c>
      <c r="AO98" s="140">
        <f ca="1">IF(ISNUMBER(MATCH(DATEVALUE($A98),'recurring1_based on steps'!AO$1:AO$400,0)),AO$2,)</f>
        <v>0</v>
      </c>
      <c r="AP98" s="140">
        <f ca="1">IF(ISNUMBER(MATCH(DATEVALUE($A98),'recurring1_based on steps'!AP$1:AP$400,0)),AP$2,)</f>
        <v>0</v>
      </c>
      <c r="AQ98" s="140">
        <f ca="1">IF(ISNUMBER(MATCH(DATEVALUE($A98),'recurring1_based on steps'!AQ$1:AQ$400,0)),AQ$2,)</f>
        <v>0</v>
      </c>
      <c r="AR98" s="140">
        <f ca="1">IF(ISNUMBER(MATCH(DATEVALUE($A98),'recurring1_based on steps'!AR$1:AR$400,0)),AR$2,)</f>
        <v>0</v>
      </c>
      <c r="AS98" s="140">
        <f ca="1">IF(ISNUMBER(MATCH(DATEVALUE($A98),'recurring1_based on steps'!AS$1:AS$400,0)),AS$2,)</f>
        <v>0</v>
      </c>
      <c r="AT98" s="140">
        <f ca="1">IF(ISNUMBER(MATCH(DATEVALUE($A98),'recurring1_based on steps'!AT$1:AT$400,0)),AT$2,)</f>
        <v>0</v>
      </c>
      <c r="AU98" s="140">
        <f ca="1">IF(ISNUMBER(MATCH(DATEVALUE($A98),'recurring1_based on steps'!AU$1:AU$400,0)),AU$2,)</f>
        <v>0</v>
      </c>
      <c r="AV98" s="140">
        <f ca="1">IF(ISNUMBER(MATCH(DATEVALUE($A98),'recurring1_based on steps'!AV$1:AV$400,0)),AV$2,)</f>
        <v>0</v>
      </c>
      <c r="AW98" s="140">
        <f ca="1">IF(ISNUMBER(MATCH(DATEVALUE($A98),'recurring1_based on steps'!AW$1:AW$400,0)),AW$2,)</f>
        <v>0</v>
      </c>
      <c r="AX98" s="140">
        <f ca="1">IF(ISNUMBER(MATCH(DATEVALUE($A98),'recurring1_based on steps'!AX$1:AX$400,0)),AX$2,)</f>
        <v>0</v>
      </c>
      <c r="AY98" s="140">
        <f ca="1">IF(ISNUMBER(MATCH(DATEVALUE($A98),'recurring1_based on steps'!AY$1:AY$400,0)),AY$2,)</f>
        <v>0</v>
      </c>
    </row>
    <row r="99" spans="1:51" x14ac:dyDescent="0.2">
      <c r="A99" s="29" t="str">
        <f t="shared" ca="1" si="1"/>
        <v>2025-07-01</v>
      </c>
      <c r="B99" s="140">
        <f ca="1">IF(ISNUMBER(MATCH(DATEVALUE($A99),'recurring1_based on steps'!B$1:B$400,0)),B$2,)</f>
        <v>0</v>
      </c>
      <c r="C99" s="140">
        <f ca="1">IF(ISNUMBER(MATCH(DATEVALUE($A99),'recurring1_based on steps'!C$1:C$400,0)),C$2,)</f>
        <v>0</v>
      </c>
      <c r="D99" s="140">
        <f ca="1">IF(ISNUMBER(MATCH(DATEVALUE($A99),'recurring1_based on steps'!D$1:D$400,0)),D$2,)</f>
        <v>0</v>
      </c>
      <c r="E99" s="140">
        <f ca="1">IF(ISNUMBER(MATCH(DATEVALUE($A99),'recurring1_based on steps'!E$1:E$400,0)),E$2,)</f>
        <v>0</v>
      </c>
      <c r="F99" s="140">
        <f ca="1">IF(ISNUMBER(MATCH(DATEVALUE($A99),'recurring1_based on steps'!F$1:F$400,0)),F$2,)</f>
        <v>0</v>
      </c>
      <c r="G99" s="140">
        <f ca="1">IF(ISNUMBER(MATCH(DATEVALUE($A99),'recurring1_based on steps'!G$1:G$400,0)),G$2,)</f>
        <v>0</v>
      </c>
      <c r="H99" s="140">
        <f ca="1">IF(ISNUMBER(MATCH(DATEVALUE($A99),'recurring1_based on steps'!H$1:H$400,0)),H$2,)</f>
        <v>0</v>
      </c>
      <c r="I99" s="140">
        <f ca="1">IF(ISNUMBER(MATCH(DATEVALUE($A99),'recurring1_based on steps'!I$1:I$400,0)),I$2,)</f>
        <v>2000</v>
      </c>
      <c r="J99" s="140">
        <f ca="1">IF(ISNUMBER(MATCH(DATEVALUE($A99),'recurring1_based on steps'!J$1:J$400,0)),J$2,)</f>
        <v>0</v>
      </c>
      <c r="K99" s="140">
        <f ca="1">IF(ISNUMBER(MATCH(DATEVALUE($A99),'recurring1_based on steps'!K$1:K$400,0)),K$2,)</f>
        <v>0</v>
      </c>
      <c r="L99" s="140">
        <f ca="1">IF(ISNUMBER(MATCH(DATEVALUE($A99),'recurring1_based on steps'!L$1:L$400,0)),L$2,)</f>
        <v>0</v>
      </c>
      <c r="M99" s="140">
        <f ca="1">IF(ISNUMBER(MATCH(DATEVALUE($A99),'recurring1_based on steps'!M$1:M$400,0)),M$2,)</f>
        <v>0</v>
      </c>
      <c r="N99" s="140">
        <f ca="1">IF(ISNUMBER(MATCH(DATEVALUE($A99),'recurring1_based on steps'!N$1:N$400,0)),N$2,)</f>
        <v>0</v>
      </c>
      <c r="O99" s="140">
        <f ca="1">IF(ISNUMBER(MATCH(DATEVALUE($A99),'recurring1_based on steps'!O$1:O$400,0)),O$2,)</f>
        <v>0</v>
      </c>
      <c r="P99" s="140">
        <f ca="1">IF(ISNUMBER(MATCH(DATEVALUE($A99),'recurring1_based on steps'!P$1:P$400,0)),P$2,)</f>
        <v>0</v>
      </c>
      <c r="Q99" s="140">
        <f ca="1">IF(ISNUMBER(MATCH(DATEVALUE($A99),'recurring1_based on steps'!Q$1:Q$400,0)),Q$2,)</f>
        <v>0</v>
      </c>
      <c r="R99" s="140">
        <f ca="1">IF(ISNUMBER(MATCH(DATEVALUE($A99),'recurring1_based on steps'!R$1:R$400,0)),R$2,)</f>
        <v>0</v>
      </c>
      <c r="S99" s="140">
        <f ca="1">IF(ISNUMBER(MATCH(DATEVALUE($A99),'recurring1_based on steps'!S$1:S$400,0)),S$2,)</f>
        <v>0</v>
      </c>
      <c r="T99" s="140">
        <f ca="1">IF(ISNUMBER(MATCH(DATEVALUE($A99),'recurring1_based on steps'!T$1:T$400,0)),T$2,)</f>
        <v>0</v>
      </c>
      <c r="U99" s="140">
        <f ca="1">IF(ISNUMBER(MATCH(DATEVALUE($A99),'recurring1_based on steps'!U$1:U$400,0)),U$2,)</f>
        <v>0</v>
      </c>
      <c r="V99" s="140">
        <f ca="1">IF(ISNUMBER(MATCH(DATEVALUE($A99),'recurring1_based on steps'!V$1:V$400,0)),V$2,)</f>
        <v>0</v>
      </c>
      <c r="W99" s="140">
        <f ca="1">IF(ISNUMBER(MATCH(DATEVALUE($A99),'recurring1_based on steps'!W$1:W$400,0)),W$2,)</f>
        <v>0</v>
      </c>
      <c r="X99" s="140">
        <f ca="1">IF(ISNUMBER(MATCH(DATEVALUE($A99),'recurring1_based on steps'!X$1:X$400,0)),X$2,)</f>
        <v>0</v>
      </c>
      <c r="Y99" s="140">
        <f ca="1">IF(ISNUMBER(MATCH(DATEVALUE($A99),'recurring1_based on steps'!Y$1:Y$400,0)),Y$2,)</f>
        <v>0</v>
      </c>
      <c r="Z99" s="140">
        <f ca="1">IF(ISNUMBER(MATCH(DATEVALUE($A99),'recurring1_based on steps'!Z$1:Z$400,0)),Z$2,)</f>
        <v>0</v>
      </c>
      <c r="AA99" s="140">
        <f ca="1">IF(ISNUMBER(MATCH(DATEVALUE($A99),'recurring1_based on steps'!AA$1:AA$400,0)),AA$2,)</f>
        <v>0</v>
      </c>
      <c r="AB99" s="140">
        <f ca="1">IF(ISNUMBER(MATCH(DATEVALUE($A99),'recurring1_based on steps'!AB$1:AB$400,0)),AB$2,)</f>
        <v>5.5401662049861494E-2</v>
      </c>
      <c r="AC99" s="140">
        <f ca="1">IF(ISNUMBER(MATCH(DATEVALUE($A99),'recurring1_based on steps'!AC$1:AC$400,0)),AC$2,)</f>
        <v>0</v>
      </c>
      <c r="AD99" s="140">
        <f ca="1">IF(ISNUMBER(MATCH(DATEVALUE($A99),'recurring1_based on steps'!AD$1:AD$400,0)),AD$2,)</f>
        <v>0</v>
      </c>
      <c r="AE99" s="140">
        <f ca="1">IF(ISNUMBER(MATCH(DATEVALUE($A99),'recurring1_based on steps'!AE$1:AE$400,0)),AE$2,)</f>
        <v>0</v>
      </c>
      <c r="AF99" s="140">
        <f ca="1">IF(ISNUMBER(MATCH(DATEVALUE($A99),'recurring1_based on steps'!AF$1:AF$400,0)),AF$2,)</f>
        <v>0</v>
      </c>
      <c r="AG99" s="140">
        <f ca="1">IF(ISNUMBER(MATCH(DATEVALUE($A99),'recurring1_based on steps'!AG$1:AG$400,0)),AG$2,)</f>
        <v>0</v>
      </c>
      <c r="AH99" s="140">
        <f ca="1">IF(ISNUMBER(MATCH(DATEVALUE($A99),'recurring1_based on steps'!AH$1:AH$400,0)),AH$2,)</f>
        <v>0</v>
      </c>
      <c r="AI99" s="140">
        <f ca="1">IF(ISNUMBER(MATCH(DATEVALUE($A99),'recurring1_based on steps'!AI$1:AI$400,0)),AI$2,)</f>
        <v>0</v>
      </c>
      <c r="AJ99" s="140">
        <f ca="1">IF(ISNUMBER(MATCH(DATEVALUE($A99),'recurring1_based on steps'!AJ$1:AJ$400,0)),AJ$2,)</f>
        <v>0</v>
      </c>
      <c r="AK99" s="140">
        <f ca="1">IF(ISNUMBER(MATCH(DATEVALUE($A99),'recurring1_based on steps'!AK$1:AK$400,0)),AK$2,)</f>
        <v>0</v>
      </c>
      <c r="AL99" s="140">
        <f ca="1">IF(ISNUMBER(MATCH(DATEVALUE($A99),'recurring1_based on steps'!AL$1:AL$400,0)),AL$2,)</f>
        <v>0</v>
      </c>
      <c r="AM99" s="140">
        <f ca="1">IF(ISNUMBER(MATCH(DATEVALUE($A99),'recurring1_based on steps'!AM$1:AM$400,0)),AM$2,)</f>
        <v>0</v>
      </c>
      <c r="AN99" s="140">
        <f ca="1">IF(ISNUMBER(MATCH(DATEVALUE($A99),'recurring1_based on steps'!AN$1:AN$400,0)),AN$2,)</f>
        <v>0</v>
      </c>
      <c r="AO99" s="140">
        <f ca="1">IF(ISNUMBER(MATCH(DATEVALUE($A99),'recurring1_based on steps'!AO$1:AO$400,0)),AO$2,)</f>
        <v>0</v>
      </c>
      <c r="AP99" s="140">
        <f ca="1">IF(ISNUMBER(MATCH(DATEVALUE($A99),'recurring1_based on steps'!AP$1:AP$400,0)),AP$2,)</f>
        <v>0</v>
      </c>
      <c r="AQ99" s="140">
        <f ca="1">IF(ISNUMBER(MATCH(DATEVALUE($A99),'recurring1_based on steps'!AQ$1:AQ$400,0)),AQ$2,)</f>
        <v>0</v>
      </c>
      <c r="AR99" s="140">
        <f ca="1">IF(ISNUMBER(MATCH(DATEVALUE($A99),'recurring1_based on steps'!AR$1:AR$400,0)),AR$2,)</f>
        <v>0</v>
      </c>
      <c r="AS99" s="140">
        <f ca="1">IF(ISNUMBER(MATCH(DATEVALUE($A99),'recurring1_based on steps'!AS$1:AS$400,0)),AS$2,)</f>
        <v>0</v>
      </c>
      <c r="AT99" s="140">
        <f ca="1">IF(ISNUMBER(MATCH(DATEVALUE($A99),'recurring1_based on steps'!AT$1:AT$400,0)),AT$2,)</f>
        <v>0</v>
      </c>
      <c r="AU99" s="140">
        <f ca="1">IF(ISNUMBER(MATCH(DATEVALUE($A99),'recurring1_based on steps'!AU$1:AU$400,0)),AU$2,)</f>
        <v>0</v>
      </c>
      <c r="AV99" s="140">
        <f ca="1">IF(ISNUMBER(MATCH(DATEVALUE($A99),'recurring1_based on steps'!AV$1:AV$400,0)),AV$2,)</f>
        <v>0</v>
      </c>
      <c r="AW99" s="140">
        <f ca="1">IF(ISNUMBER(MATCH(DATEVALUE($A99),'recurring1_based on steps'!AW$1:AW$400,0)),AW$2,)</f>
        <v>0</v>
      </c>
      <c r="AX99" s="140">
        <f ca="1">IF(ISNUMBER(MATCH(DATEVALUE($A99),'recurring1_based on steps'!AX$1:AX$400,0)),AX$2,)</f>
        <v>0</v>
      </c>
      <c r="AY99" s="140">
        <f ca="1">IF(ISNUMBER(MATCH(DATEVALUE($A99),'recurring1_based on steps'!AY$1:AY$400,0)),AY$2,)</f>
        <v>0</v>
      </c>
    </row>
    <row r="100" spans="1:51" x14ac:dyDescent="0.2">
      <c r="A100" s="29" t="str">
        <f t="shared" ca="1" si="1"/>
        <v>2025-07-02</v>
      </c>
      <c r="B100" s="140">
        <f ca="1">IF(ISNUMBER(MATCH(DATEVALUE($A100),'recurring1_based on steps'!B$1:B$400,0)),B$2,)</f>
        <v>0</v>
      </c>
      <c r="C100" s="140">
        <f ca="1">IF(ISNUMBER(MATCH(DATEVALUE($A100),'recurring1_based on steps'!C$1:C$400,0)),C$2,)</f>
        <v>0</v>
      </c>
      <c r="D100" s="140">
        <f ca="1">IF(ISNUMBER(MATCH(DATEVALUE($A100),'recurring1_based on steps'!D$1:D$400,0)),D$2,)</f>
        <v>0</v>
      </c>
      <c r="E100" s="140">
        <f ca="1">IF(ISNUMBER(MATCH(DATEVALUE($A100),'recurring1_based on steps'!E$1:E$400,0)),E$2,)</f>
        <v>0</v>
      </c>
      <c r="F100" s="140">
        <f ca="1">IF(ISNUMBER(MATCH(DATEVALUE($A100),'recurring1_based on steps'!F$1:F$400,0)),F$2,)</f>
        <v>0</v>
      </c>
      <c r="G100" s="140">
        <f ca="1">IF(ISNUMBER(MATCH(DATEVALUE($A100),'recurring1_based on steps'!G$1:G$400,0)),G$2,)</f>
        <v>0</v>
      </c>
      <c r="H100" s="140">
        <f ca="1">IF(ISNUMBER(MATCH(DATEVALUE($A100),'recurring1_based on steps'!H$1:H$400,0)),H$2,)</f>
        <v>0</v>
      </c>
      <c r="I100" s="140">
        <f ca="1">IF(ISNUMBER(MATCH(DATEVALUE($A100),'recurring1_based on steps'!I$1:I$400,0)),I$2,)</f>
        <v>0</v>
      </c>
      <c r="J100" s="140">
        <f ca="1">IF(ISNUMBER(MATCH(DATEVALUE($A100),'recurring1_based on steps'!J$1:J$400,0)),J$2,)</f>
        <v>0</v>
      </c>
      <c r="K100" s="140">
        <f ca="1">IF(ISNUMBER(MATCH(DATEVALUE($A100),'recurring1_based on steps'!K$1:K$400,0)),K$2,)</f>
        <v>0</v>
      </c>
      <c r="L100" s="140">
        <f ca="1">IF(ISNUMBER(MATCH(DATEVALUE($A100),'recurring1_based on steps'!L$1:L$400,0)),L$2,)</f>
        <v>0</v>
      </c>
      <c r="M100" s="140">
        <f ca="1">IF(ISNUMBER(MATCH(DATEVALUE($A100),'recurring1_based on steps'!M$1:M$400,0)),M$2,)</f>
        <v>0</v>
      </c>
      <c r="N100" s="140">
        <f ca="1">IF(ISNUMBER(MATCH(DATEVALUE($A100),'recurring1_based on steps'!N$1:N$400,0)),N$2,)</f>
        <v>0</v>
      </c>
      <c r="O100" s="140">
        <f ca="1">IF(ISNUMBER(MATCH(DATEVALUE($A100),'recurring1_based on steps'!O$1:O$400,0)),O$2,)</f>
        <v>0</v>
      </c>
      <c r="P100" s="140">
        <f ca="1">IF(ISNUMBER(MATCH(DATEVALUE($A100),'recurring1_based on steps'!P$1:P$400,0)),P$2,)</f>
        <v>0</v>
      </c>
      <c r="Q100" s="140">
        <f ca="1">IF(ISNUMBER(MATCH(DATEVALUE($A100),'recurring1_based on steps'!Q$1:Q$400,0)),Q$2,)</f>
        <v>0</v>
      </c>
      <c r="R100" s="140">
        <f ca="1">IF(ISNUMBER(MATCH(DATEVALUE($A100),'recurring1_based on steps'!R$1:R$400,0)),R$2,)</f>
        <v>0</v>
      </c>
      <c r="S100" s="140">
        <f ca="1">IF(ISNUMBER(MATCH(DATEVALUE($A100),'recurring1_based on steps'!S$1:S$400,0)),S$2,)</f>
        <v>0</v>
      </c>
      <c r="T100" s="140">
        <f ca="1">IF(ISNUMBER(MATCH(DATEVALUE($A100),'recurring1_based on steps'!T$1:T$400,0)),T$2,)</f>
        <v>0</v>
      </c>
      <c r="U100" s="140">
        <f ca="1">IF(ISNUMBER(MATCH(DATEVALUE($A100),'recurring1_based on steps'!U$1:U$400,0)),U$2,)</f>
        <v>0</v>
      </c>
      <c r="V100" s="140">
        <f ca="1">IF(ISNUMBER(MATCH(DATEVALUE($A100),'recurring1_based on steps'!V$1:V$400,0)),V$2,)</f>
        <v>0</v>
      </c>
      <c r="W100" s="140">
        <f ca="1">IF(ISNUMBER(MATCH(DATEVALUE($A100),'recurring1_based on steps'!W$1:W$400,0)),W$2,)</f>
        <v>0</v>
      </c>
      <c r="X100" s="140">
        <f ca="1">IF(ISNUMBER(MATCH(DATEVALUE($A100),'recurring1_based on steps'!X$1:X$400,0)),X$2,)</f>
        <v>0</v>
      </c>
      <c r="Y100" s="140">
        <f ca="1">IF(ISNUMBER(MATCH(DATEVALUE($A100),'recurring1_based on steps'!Y$1:Y$400,0)),Y$2,)</f>
        <v>0</v>
      </c>
      <c r="Z100" s="140">
        <f ca="1">IF(ISNUMBER(MATCH(DATEVALUE($A100),'recurring1_based on steps'!Z$1:Z$400,0)),Z$2,)</f>
        <v>0</v>
      </c>
      <c r="AA100" s="140">
        <f ca="1">IF(ISNUMBER(MATCH(DATEVALUE($A100),'recurring1_based on steps'!AA$1:AA$400,0)),AA$2,)</f>
        <v>0</v>
      </c>
      <c r="AB100" s="140">
        <f ca="1">IF(ISNUMBER(MATCH(DATEVALUE($A100),'recurring1_based on steps'!AB$1:AB$400,0)),AB$2,)</f>
        <v>5.5401662049861494E-2</v>
      </c>
      <c r="AC100" s="140">
        <f ca="1">IF(ISNUMBER(MATCH(DATEVALUE($A100),'recurring1_based on steps'!AC$1:AC$400,0)),AC$2,)</f>
        <v>0</v>
      </c>
      <c r="AD100" s="140">
        <f ca="1">IF(ISNUMBER(MATCH(DATEVALUE($A100),'recurring1_based on steps'!AD$1:AD$400,0)),AD$2,)</f>
        <v>0</v>
      </c>
      <c r="AE100" s="140">
        <f ca="1">IF(ISNUMBER(MATCH(DATEVALUE($A100),'recurring1_based on steps'!AE$1:AE$400,0)),AE$2,)</f>
        <v>0</v>
      </c>
      <c r="AF100" s="140">
        <f ca="1">IF(ISNUMBER(MATCH(DATEVALUE($A100),'recurring1_based on steps'!AF$1:AF$400,0)),AF$2,)</f>
        <v>0</v>
      </c>
      <c r="AG100" s="140">
        <f ca="1">IF(ISNUMBER(MATCH(DATEVALUE($A100),'recurring1_based on steps'!AG$1:AG$400,0)),AG$2,)</f>
        <v>0</v>
      </c>
      <c r="AH100" s="140">
        <f ca="1">IF(ISNUMBER(MATCH(DATEVALUE($A100),'recurring1_based on steps'!AH$1:AH$400,0)),AH$2,)</f>
        <v>0</v>
      </c>
      <c r="AI100" s="140">
        <f ca="1">IF(ISNUMBER(MATCH(DATEVALUE($A100),'recurring1_based on steps'!AI$1:AI$400,0)),AI$2,)</f>
        <v>0</v>
      </c>
      <c r="AJ100" s="140">
        <f ca="1">IF(ISNUMBER(MATCH(DATEVALUE($A100),'recurring1_based on steps'!AJ$1:AJ$400,0)),AJ$2,)</f>
        <v>0</v>
      </c>
      <c r="AK100" s="140">
        <f ca="1">IF(ISNUMBER(MATCH(DATEVALUE($A100),'recurring1_based on steps'!AK$1:AK$400,0)),AK$2,)</f>
        <v>0</v>
      </c>
      <c r="AL100" s="140">
        <f ca="1">IF(ISNUMBER(MATCH(DATEVALUE($A100),'recurring1_based on steps'!AL$1:AL$400,0)),AL$2,)</f>
        <v>0</v>
      </c>
      <c r="AM100" s="140">
        <f ca="1">IF(ISNUMBER(MATCH(DATEVALUE($A100),'recurring1_based on steps'!AM$1:AM$400,0)),AM$2,)</f>
        <v>0</v>
      </c>
      <c r="AN100" s="140">
        <f ca="1">IF(ISNUMBER(MATCH(DATEVALUE($A100),'recurring1_based on steps'!AN$1:AN$400,0)),AN$2,)</f>
        <v>0</v>
      </c>
      <c r="AO100" s="140">
        <f ca="1">IF(ISNUMBER(MATCH(DATEVALUE($A100),'recurring1_based on steps'!AO$1:AO$400,0)),AO$2,)</f>
        <v>0</v>
      </c>
      <c r="AP100" s="140">
        <f ca="1">IF(ISNUMBER(MATCH(DATEVALUE($A100),'recurring1_based on steps'!AP$1:AP$400,0)),AP$2,)</f>
        <v>0</v>
      </c>
      <c r="AQ100" s="140">
        <f ca="1">IF(ISNUMBER(MATCH(DATEVALUE($A100),'recurring1_based on steps'!AQ$1:AQ$400,0)),AQ$2,)</f>
        <v>0</v>
      </c>
      <c r="AR100" s="140">
        <f ca="1">IF(ISNUMBER(MATCH(DATEVALUE($A100),'recurring1_based on steps'!AR$1:AR$400,0)),AR$2,)</f>
        <v>0</v>
      </c>
      <c r="AS100" s="140">
        <f ca="1">IF(ISNUMBER(MATCH(DATEVALUE($A100),'recurring1_based on steps'!AS$1:AS$400,0)),AS$2,)</f>
        <v>0</v>
      </c>
      <c r="AT100" s="140">
        <f ca="1">IF(ISNUMBER(MATCH(DATEVALUE($A100),'recurring1_based on steps'!AT$1:AT$400,0)),AT$2,)</f>
        <v>0</v>
      </c>
      <c r="AU100" s="140">
        <f ca="1">IF(ISNUMBER(MATCH(DATEVALUE($A100),'recurring1_based on steps'!AU$1:AU$400,0)),AU$2,)</f>
        <v>0</v>
      </c>
      <c r="AV100" s="140">
        <f ca="1">IF(ISNUMBER(MATCH(DATEVALUE($A100),'recurring1_based on steps'!AV$1:AV$400,0)),AV$2,)</f>
        <v>0</v>
      </c>
      <c r="AW100" s="140">
        <f ca="1">IF(ISNUMBER(MATCH(DATEVALUE($A100),'recurring1_based on steps'!AW$1:AW$400,0)),AW$2,)</f>
        <v>0</v>
      </c>
      <c r="AX100" s="140">
        <f ca="1">IF(ISNUMBER(MATCH(DATEVALUE($A100),'recurring1_based on steps'!AX$1:AX$400,0)),AX$2,)</f>
        <v>0</v>
      </c>
      <c r="AY100" s="140">
        <f ca="1">IF(ISNUMBER(MATCH(DATEVALUE($A100),'recurring1_based on steps'!AY$1:AY$400,0)),AY$2,)</f>
        <v>0</v>
      </c>
    </row>
    <row r="101" spans="1:51" x14ac:dyDescent="0.2">
      <c r="A101" s="29" t="str">
        <f t="shared" ca="1" si="1"/>
        <v>2025-07-03</v>
      </c>
      <c r="B101" s="140">
        <f ca="1">IF(ISNUMBER(MATCH(DATEVALUE($A101),'recurring1_based on steps'!B$1:B$400,0)),B$2,)</f>
        <v>0</v>
      </c>
      <c r="C101" s="140">
        <f ca="1">IF(ISNUMBER(MATCH(DATEVALUE($A101),'recurring1_based on steps'!C$1:C$400,0)),C$2,)</f>
        <v>0</v>
      </c>
      <c r="D101" s="140">
        <f ca="1">IF(ISNUMBER(MATCH(DATEVALUE($A101),'recurring1_based on steps'!D$1:D$400,0)),D$2,)</f>
        <v>0</v>
      </c>
      <c r="E101" s="140">
        <f ca="1">IF(ISNUMBER(MATCH(DATEVALUE($A101),'recurring1_based on steps'!E$1:E$400,0)),E$2,)</f>
        <v>0</v>
      </c>
      <c r="F101" s="140">
        <f ca="1">IF(ISNUMBER(MATCH(DATEVALUE($A101),'recurring1_based on steps'!F$1:F$400,0)),F$2,)</f>
        <v>0</v>
      </c>
      <c r="G101" s="140">
        <f ca="1">IF(ISNUMBER(MATCH(DATEVALUE($A101),'recurring1_based on steps'!G$1:G$400,0)),G$2,)</f>
        <v>0</v>
      </c>
      <c r="H101" s="140">
        <f ca="1">IF(ISNUMBER(MATCH(DATEVALUE($A101),'recurring1_based on steps'!H$1:H$400,0)),H$2,)</f>
        <v>0</v>
      </c>
      <c r="I101" s="140">
        <f ca="1">IF(ISNUMBER(MATCH(DATEVALUE($A101),'recurring1_based on steps'!I$1:I$400,0)),I$2,)</f>
        <v>0</v>
      </c>
      <c r="J101" s="140">
        <f ca="1">IF(ISNUMBER(MATCH(DATEVALUE($A101),'recurring1_based on steps'!J$1:J$400,0)),J$2,)</f>
        <v>0</v>
      </c>
      <c r="K101" s="140">
        <f ca="1">IF(ISNUMBER(MATCH(DATEVALUE($A101),'recurring1_based on steps'!K$1:K$400,0)),K$2,)</f>
        <v>0</v>
      </c>
      <c r="L101" s="140">
        <f ca="1">IF(ISNUMBER(MATCH(DATEVALUE($A101),'recurring1_based on steps'!L$1:L$400,0)),L$2,)</f>
        <v>0</v>
      </c>
      <c r="M101" s="140">
        <f ca="1">IF(ISNUMBER(MATCH(DATEVALUE($A101),'recurring1_based on steps'!M$1:M$400,0)),M$2,)</f>
        <v>0</v>
      </c>
      <c r="N101" s="140">
        <f ca="1">IF(ISNUMBER(MATCH(DATEVALUE($A101),'recurring1_based on steps'!N$1:N$400,0)),N$2,)</f>
        <v>0</v>
      </c>
      <c r="O101" s="140">
        <f ca="1">IF(ISNUMBER(MATCH(DATEVALUE($A101),'recurring1_based on steps'!O$1:O$400,0)),O$2,)</f>
        <v>0</v>
      </c>
      <c r="P101" s="140">
        <f ca="1">IF(ISNUMBER(MATCH(DATEVALUE($A101),'recurring1_based on steps'!P$1:P$400,0)),P$2,)</f>
        <v>0</v>
      </c>
      <c r="Q101" s="140">
        <f ca="1">IF(ISNUMBER(MATCH(DATEVALUE($A101),'recurring1_based on steps'!Q$1:Q$400,0)),Q$2,)</f>
        <v>0</v>
      </c>
      <c r="R101" s="140">
        <f ca="1">IF(ISNUMBER(MATCH(DATEVALUE($A101),'recurring1_based on steps'!R$1:R$400,0)),R$2,)</f>
        <v>0</v>
      </c>
      <c r="S101" s="140">
        <f ca="1">IF(ISNUMBER(MATCH(DATEVALUE($A101),'recurring1_based on steps'!S$1:S$400,0)),S$2,)</f>
        <v>0</v>
      </c>
      <c r="T101" s="140">
        <f ca="1">IF(ISNUMBER(MATCH(DATEVALUE($A101),'recurring1_based on steps'!T$1:T$400,0)),T$2,)</f>
        <v>0</v>
      </c>
      <c r="U101" s="140">
        <f ca="1">IF(ISNUMBER(MATCH(DATEVALUE($A101),'recurring1_based on steps'!U$1:U$400,0)),U$2,)</f>
        <v>0</v>
      </c>
      <c r="V101" s="140">
        <f ca="1">IF(ISNUMBER(MATCH(DATEVALUE($A101),'recurring1_based on steps'!V$1:V$400,0)),V$2,)</f>
        <v>0</v>
      </c>
      <c r="W101" s="140">
        <f ca="1">IF(ISNUMBER(MATCH(DATEVALUE($A101),'recurring1_based on steps'!W$1:W$400,0)),W$2,)</f>
        <v>0</v>
      </c>
      <c r="X101" s="140">
        <f ca="1">IF(ISNUMBER(MATCH(DATEVALUE($A101),'recurring1_based on steps'!X$1:X$400,0)),X$2,)</f>
        <v>0</v>
      </c>
      <c r="Y101" s="140">
        <f ca="1">IF(ISNUMBER(MATCH(DATEVALUE($A101),'recurring1_based on steps'!Y$1:Y$400,0)),Y$2,)</f>
        <v>0</v>
      </c>
      <c r="Z101" s="140">
        <f ca="1">IF(ISNUMBER(MATCH(DATEVALUE($A101),'recurring1_based on steps'!Z$1:Z$400,0)),Z$2,)</f>
        <v>0</v>
      </c>
      <c r="AA101" s="140">
        <f ca="1">IF(ISNUMBER(MATCH(DATEVALUE($A101),'recurring1_based on steps'!AA$1:AA$400,0)),AA$2,)</f>
        <v>0</v>
      </c>
      <c r="AB101" s="140">
        <f ca="1">IF(ISNUMBER(MATCH(DATEVALUE($A101),'recurring1_based on steps'!AB$1:AB$400,0)),AB$2,)</f>
        <v>5.5401662049861494E-2</v>
      </c>
      <c r="AC101" s="140">
        <f ca="1">IF(ISNUMBER(MATCH(DATEVALUE($A101),'recurring1_based on steps'!AC$1:AC$400,0)),AC$2,)</f>
        <v>0</v>
      </c>
      <c r="AD101" s="140">
        <f ca="1">IF(ISNUMBER(MATCH(DATEVALUE($A101),'recurring1_based on steps'!AD$1:AD$400,0)),AD$2,)</f>
        <v>0</v>
      </c>
      <c r="AE101" s="140">
        <f ca="1">IF(ISNUMBER(MATCH(DATEVALUE($A101),'recurring1_based on steps'!AE$1:AE$400,0)),AE$2,)</f>
        <v>0</v>
      </c>
      <c r="AF101" s="140">
        <f ca="1">IF(ISNUMBER(MATCH(DATEVALUE($A101),'recurring1_based on steps'!AF$1:AF$400,0)),AF$2,)</f>
        <v>0</v>
      </c>
      <c r="AG101" s="140">
        <f ca="1">IF(ISNUMBER(MATCH(DATEVALUE($A101),'recurring1_based on steps'!AG$1:AG$400,0)),AG$2,)</f>
        <v>0</v>
      </c>
      <c r="AH101" s="140">
        <f ca="1">IF(ISNUMBER(MATCH(DATEVALUE($A101),'recurring1_based on steps'!AH$1:AH$400,0)),AH$2,)</f>
        <v>0</v>
      </c>
      <c r="AI101" s="140">
        <f ca="1">IF(ISNUMBER(MATCH(DATEVALUE($A101),'recurring1_based on steps'!AI$1:AI$400,0)),AI$2,)</f>
        <v>0</v>
      </c>
      <c r="AJ101" s="140">
        <f ca="1">IF(ISNUMBER(MATCH(DATEVALUE($A101),'recurring1_based on steps'!AJ$1:AJ$400,0)),AJ$2,)</f>
        <v>0</v>
      </c>
      <c r="AK101" s="140">
        <f ca="1">IF(ISNUMBER(MATCH(DATEVALUE($A101),'recurring1_based on steps'!AK$1:AK$400,0)),AK$2,)</f>
        <v>0</v>
      </c>
      <c r="AL101" s="140">
        <f ca="1">IF(ISNUMBER(MATCH(DATEVALUE($A101),'recurring1_based on steps'!AL$1:AL$400,0)),AL$2,)</f>
        <v>0</v>
      </c>
      <c r="AM101" s="140">
        <f ca="1">IF(ISNUMBER(MATCH(DATEVALUE($A101),'recurring1_based on steps'!AM$1:AM$400,0)),AM$2,)</f>
        <v>0</v>
      </c>
      <c r="AN101" s="140">
        <f ca="1">IF(ISNUMBER(MATCH(DATEVALUE($A101),'recurring1_based on steps'!AN$1:AN$400,0)),AN$2,)</f>
        <v>0</v>
      </c>
      <c r="AO101" s="140">
        <f ca="1">IF(ISNUMBER(MATCH(DATEVALUE($A101),'recurring1_based on steps'!AO$1:AO$400,0)),AO$2,)</f>
        <v>0</v>
      </c>
      <c r="AP101" s="140">
        <f ca="1">IF(ISNUMBER(MATCH(DATEVALUE($A101),'recurring1_based on steps'!AP$1:AP$400,0)),AP$2,)</f>
        <v>0</v>
      </c>
      <c r="AQ101" s="140">
        <f ca="1">IF(ISNUMBER(MATCH(DATEVALUE($A101),'recurring1_based on steps'!AQ$1:AQ$400,0)),AQ$2,)</f>
        <v>0</v>
      </c>
      <c r="AR101" s="140">
        <f ca="1">IF(ISNUMBER(MATCH(DATEVALUE($A101),'recurring1_based on steps'!AR$1:AR$400,0)),AR$2,)</f>
        <v>0</v>
      </c>
      <c r="AS101" s="140">
        <f ca="1">IF(ISNUMBER(MATCH(DATEVALUE($A101),'recurring1_based on steps'!AS$1:AS$400,0)),AS$2,)</f>
        <v>0</v>
      </c>
      <c r="AT101" s="140">
        <f ca="1">IF(ISNUMBER(MATCH(DATEVALUE($A101),'recurring1_based on steps'!AT$1:AT$400,0)),AT$2,)</f>
        <v>0</v>
      </c>
      <c r="AU101" s="140">
        <f ca="1">IF(ISNUMBER(MATCH(DATEVALUE($A101),'recurring1_based on steps'!AU$1:AU$400,0)),AU$2,)</f>
        <v>0</v>
      </c>
      <c r="AV101" s="140">
        <f ca="1">IF(ISNUMBER(MATCH(DATEVALUE($A101),'recurring1_based on steps'!AV$1:AV$400,0)),AV$2,)</f>
        <v>0</v>
      </c>
      <c r="AW101" s="140">
        <f ca="1">IF(ISNUMBER(MATCH(DATEVALUE($A101),'recurring1_based on steps'!AW$1:AW$400,0)),AW$2,)</f>
        <v>0</v>
      </c>
      <c r="AX101" s="140">
        <f ca="1">IF(ISNUMBER(MATCH(DATEVALUE($A101),'recurring1_based on steps'!AX$1:AX$400,0)),AX$2,)</f>
        <v>0</v>
      </c>
      <c r="AY101" s="140">
        <f ca="1">IF(ISNUMBER(MATCH(DATEVALUE($A101),'recurring1_based on steps'!AY$1:AY$400,0)),AY$2,)</f>
        <v>0</v>
      </c>
    </row>
    <row r="102" spans="1:51" x14ac:dyDescent="0.2">
      <c r="A102" s="29" t="str">
        <f t="shared" ca="1" si="1"/>
        <v>2025-07-04</v>
      </c>
      <c r="B102" s="140">
        <f ca="1">IF(ISNUMBER(MATCH(DATEVALUE($A102),'recurring1_based on steps'!B$1:B$400,0)),B$2,)</f>
        <v>0</v>
      </c>
      <c r="C102" s="140">
        <f ca="1">IF(ISNUMBER(MATCH(DATEVALUE($A102),'recurring1_based on steps'!C$1:C$400,0)),C$2,)</f>
        <v>0</v>
      </c>
      <c r="D102" s="140">
        <f ca="1">IF(ISNUMBER(MATCH(DATEVALUE($A102),'recurring1_based on steps'!D$1:D$400,0)),D$2,)</f>
        <v>0</v>
      </c>
      <c r="E102" s="140">
        <f ca="1">IF(ISNUMBER(MATCH(DATEVALUE($A102),'recurring1_based on steps'!E$1:E$400,0)),E$2,)</f>
        <v>0</v>
      </c>
      <c r="F102" s="140">
        <f ca="1">IF(ISNUMBER(MATCH(DATEVALUE($A102),'recurring1_based on steps'!F$1:F$400,0)),F$2,)</f>
        <v>0</v>
      </c>
      <c r="G102" s="140">
        <f ca="1">IF(ISNUMBER(MATCH(DATEVALUE($A102),'recurring1_based on steps'!G$1:G$400,0)),G$2,)</f>
        <v>0</v>
      </c>
      <c r="H102" s="140">
        <f ca="1">IF(ISNUMBER(MATCH(DATEVALUE($A102),'recurring1_based on steps'!H$1:H$400,0)),H$2,)</f>
        <v>0</v>
      </c>
      <c r="I102" s="140">
        <f ca="1">IF(ISNUMBER(MATCH(DATEVALUE($A102),'recurring1_based on steps'!I$1:I$400,0)),I$2,)</f>
        <v>0</v>
      </c>
      <c r="J102" s="140">
        <f ca="1">IF(ISNUMBER(MATCH(DATEVALUE($A102),'recurring1_based on steps'!J$1:J$400,0)),J$2,)</f>
        <v>0</v>
      </c>
      <c r="K102" s="140">
        <f ca="1">IF(ISNUMBER(MATCH(DATEVALUE($A102),'recurring1_based on steps'!K$1:K$400,0)),K$2,)</f>
        <v>0</v>
      </c>
      <c r="L102" s="140">
        <f ca="1">IF(ISNUMBER(MATCH(DATEVALUE($A102),'recurring1_based on steps'!L$1:L$400,0)),L$2,)</f>
        <v>0</v>
      </c>
      <c r="M102" s="140">
        <f ca="1">IF(ISNUMBER(MATCH(DATEVALUE($A102),'recurring1_based on steps'!M$1:M$400,0)),M$2,)</f>
        <v>15</v>
      </c>
      <c r="N102" s="140">
        <f ca="1">IF(ISNUMBER(MATCH(DATEVALUE($A102),'recurring1_based on steps'!N$1:N$400,0)),N$2,)</f>
        <v>0</v>
      </c>
      <c r="O102" s="140">
        <f ca="1">IF(ISNUMBER(MATCH(DATEVALUE($A102),'recurring1_based on steps'!O$1:O$400,0)),O$2,)</f>
        <v>0</v>
      </c>
      <c r="P102" s="140">
        <f ca="1">IF(ISNUMBER(MATCH(DATEVALUE($A102),'recurring1_based on steps'!P$1:P$400,0)),P$2,)</f>
        <v>0</v>
      </c>
      <c r="Q102" s="140">
        <f ca="1">IF(ISNUMBER(MATCH(DATEVALUE($A102),'recurring1_based on steps'!Q$1:Q$400,0)),Q$2,)</f>
        <v>0</v>
      </c>
      <c r="R102" s="140">
        <f ca="1">IF(ISNUMBER(MATCH(DATEVALUE($A102),'recurring1_based on steps'!R$1:R$400,0)),R$2,)</f>
        <v>0</v>
      </c>
      <c r="S102" s="140">
        <f ca="1">IF(ISNUMBER(MATCH(DATEVALUE($A102),'recurring1_based on steps'!S$1:S$400,0)),S$2,)</f>
        <v>0</v>
      </c>
      <c r="T102" s="140">
        <f ca="1">IF(ISNUMBER(MATCH(DATEVALUE($A102),'recurring1_based on steps'!T$1:T$400,0)),T$2,)</f>
        <v>0</v>
      </c>
      <c r="U102" s="140">
        <f ca="1">IF(ISNUMBER(MATCH(DATEVALUE($A102),'recurring1_based on steps'!U$1:U$400,0)),U$2,)</f>
        <v>0</v>
      </c>
      <c r="V102" s="140">
        <f ca="1">IF(ISNUMBER(MATCH(DATEVALUE($A102),'recurring1_based on steps'!V$1:V$400,0)),V$2,)</f>
        <v>0</v>
      </c>
      <c r="W102" s="140">
        <f ca="1">IF(ISNUMBER(MATCH(DATEVALUE($A102),'recurring1_based on steps'!W$1:W$400,0)),W$2,)</f>
        <v>0</v>
      </c>
      <c r="X102" s="140">
        <f ca="1">IF(ISNUMBER(MATCH(DATEVALUE($A102),'recurring1_based on steps'!X$1:X$400,0)),X$2,)</f>
        <v>0</v>
      </c>
      <c r="Y102" s="140">
        <f ca="1">IF(ISNUMBER(MATCH(DATEVALUE($A102),'recurring1_based on steps'!Y$1:Y$400,0)),Y$2,)</f>
        <v>0</v>
      </c>
      <c r="Z102" s="140">
        <f ca="1">IF(ISNUMBER(MATCH(DATEVALUE($A102),'recurring1_based on steps'!Z$1:Z$400,0)),Z$2,)</f>
        <v>0</v>
      </c>
      <c r="AA102" s="140">
        <f ca="1">IF(ISNUMBER(MATCH(DATEVALUE($A102),'recurring1_based on steps'!AA$1:AA$400,0)),AA$2,)</f>
        <v>0</v>
      </c>
      <c r="AB102" s="140">
        <f ca="1">IF(ISNUMBER(MATCH(DATEVALUE($A102),'recurring1_based on steps'!AB$1:AB$400,0)),AB$2,)</f>
        <v>5.5401662049861494E-2</v>
      </c>
      <c r="AC102" s="140">
        <f ca="1">IF(ISNUMBER(MATCH(DATEVALUE($A102),'recurring1_based on steps'!AC$1:AC$400,0)),AC$2,)</f>
        <v>0</v>
      </c>
      <c r="AD102" s="140">
        <f ca="1">IF(ISNUMBER(MATCH(DATEVALUE($A102),'recurring1_based on steps'!AD$1:AD$400,0)),AD$2,)</f>
        <v>0</v>
      </c>
      <c r="AE102" s="140">
        <f ca="1">IF(ISNUMBER(MATCH(DATEVALUE($A102),'recurring1_based on steps'!AE$1:AE$400,0)),AE$2,)</f>
        <v>0</v>
      </c>
      <c r="AF102" s="140">
        <f ca="1">IF(ISNUMBER(MATCH(DATEVALUE($A102),'recurring1_based on steps'!AF$1:AF$400,0)),AF$2,)</f>
        <v>0</v>
      </c>
      <c r="AG102" s="140">
        <f ca="1">IF(ISNUMBER(MATCH(DATEVALUE($A102),'recurring1_based on steps'!AG$1:AG$400,0)),AG$2,)</f>
        <v>0</v>
      </c>
      <c r="AH102" s="140">
        <f ca="1">IF(ISNUMBER(MATCH(DATEVALUE($A102),'recurring1_based on steps'!AH$1:AH$400,0)),AH$2,)</f>
        <v>0</v>
      </c>
      <c r="AI102" s="140">
        <f ca="1">IF(ISNUMBER(MATCH(DATEVALUE($A102),'recurring1_based on steps'!AI$1:AI$400,0)),AI$2,)</f>
        <v>0</v>
      </c>
      <c r="AJ102" s="140">
        <f ca="1">IF(ISNUMBER(MATCH(DATEVALUE($A102),'recurring1_based on steps'!AJ$1:AJ$400,0)),AJ$2,)</f>
        <v>0</v>
      </c>
      <c r="AK102" s="140">
        <f ca="1">IF(ISNUMBER(MATCH(DATEVALUE($A102),'recurring1_based on steps'!AK$1:AK$400,0)),AK$2,)</f>
        <v>0</v>
      </c>
      <c r="AL102" s="140">
        <f ca="1">IF(ISNUMBER(MATCH(DATEVALUE($A102),'recurring1_based on steps'!AL$1:AL$400,0)),AL$2,)</f>
        <v>0</v>
      </c>
      <c r="AM102" s="140">
        <f ca="1">IF(ISNUMBER(MATCH(DATEVALUE($A102),'recurring1_based on steps'!AM$1:AM$400,0)),AM$2,)</f>
        <v>0</v>
      </c>
      <c r="AN102" s="140">
        <f ca="1">IF(ISNUMBER(MATCH(DATEVALUE($A102),'recurring1_based on steps'!AN$1:AN$400,0)),AN$2,)</f>
        <v>0</v>
      </c>
      <c r="AO102" s="140">
        <f ca="1">IF(ISNUMBER(MATCH(DATEVALUE($A102),'recurring1_based on steps'!AO$1:AO$400,0)),AO$2,)</f>
        <v>0</v>
      </c>
      <c r="AP102" s="140">
        <f ca="1">IF(ISNUMBER(MATCH(DATEVALUE($A102),'recurring1_based on steps'!AP$1:AP$400,0)),AP$2,)</f>
        <v>0</v>
      </c>
      <c r="AQ102" s="140">
        <f ca="1">IF(ISNUMBER(MATCH(DATEVALUE($A102),'recurring1_based on steps'!AQ$1:AQ$400,0)),AQ$2,)</f>
        <v>0</v>
      </c>
      <c r="AR102" s="140">
        <f ca="1">IF(ISNUMBER(MATCH(DATEVALUE($A102),'recurring1_based on steps'!AR$1:AR$400,0)),AR$2,)</f>
        <v>0</v>
      </c>
      <c r="AS102" s="140">
        <f ca="1">IF(ISNUMBER(MATCH(DATEVALUE($A102),'recurring1_based on steps'!AS$1:AS$400,0)),AS$2,)</f>
        <v>0</v>
      </c>
      <c r="AT102" s="140">
        <f ca="1">IF(ISNUMBER(MATCH(DATEVALUE($A102),'recurring1_based on steps'!AT$1:AT$400,0)),AT$2,)</f>
        <v>0</v>
      </c>
      <c r="AU102" s="140">
        <f ca="1">IF(ISNUMBER(MATCH(DATEVALUE($A102),'recurring1_based on steps'!AU$1:AU$400,0)),AU$2,)</f>
        <v>0</v>
      </c>
      <c r="AV102" s="140">
        <f ca="1">IF(ISNUMBER(MATCH(DATEVALUE($A102),'recurring1_based on steps'!AV$1:AV$400,0)),AV$2,)</f>
        <v>0</v>
      </c>
      <c r="AW102" s="140">
        <f ca="1">IF(ISNUMBER(MATCH(DATEVALUE($A102),'recurring1_based on steps'!AW$1:AW$400,0)),AW$2,)</f>
        <v>0</v>
      </c>
      <c r="AX102" s="140">
        <f ca="1">IF(ISNUMBER(MATCH(DATEVALUE($A102),'recurring1_based on steps'!AX$1:AX$400,0)),AX$2,)</f>
        <v>0</v>
      </c>
      <c r="AY102" s="140">
        <f ca="1">IF(ISNUMBER(MATCH(DATEVALUE($A102),'recurring1_based on steps'!AY$1:AY$400,0)),AY$2,)</f>
        <v>0</v>
      </c>
    </row>
    <row r="103" spans="1:51" x14ac:dyDescent="0.2">
      <c r="A103" s="29" t="str">
        <f t="shared" ca="1" si="1"/>
        <v>2025-07-05</v>
      </c>
      <c r="B103" s="140">
        <f ca="1">IF(ISNUMBER(MATCH(DATEVALUE($A103),'recurring1_based on steps'!B$1:B$400,0)),B$2,)</f>
        <v>0</v>
      </c>
      <c r="C103" s="140">
        <f ca="1">IF(ISNUMBER(MATCH(DATEVALUE($A103),'recurring1_based on steps'!C$1:C$400,0)),C$2,)</f>
        <v>0</v>
      </c>
      <c r="D103" s="140">
        <f ca="1">IF(ISNUMBER(MATCH(DATEVALUE($A103),'recurring1_based on steps'!D$1:D$400,0)),D$2,)</f>
        <v>0</v>
      </c>
      <c r="E103" s="140">
        <f ca="1">IF(ISNUMBER(MATCH(DATEVALUE($A103),'recurring1_based on steps'!E$1:E$400,0)),E$2,)</f>
        <v>0</v>
      </c>
      <c r="F103" s="140">
        <f ca="1">IF(ISNUMBER(MATCH(DATEVALUE($A103),'recurring1_based on steps'!F$1:F$400,0)),F$2,)</f>
        <v>0</v>
      </c>
      <c r="G103" s="140">
        <f ca="1">IF(ISNUMBER(MATCH(DATEVALUE($A103),'recurring1_based on steps'!G$1:G$400,0)),G$2,)</f>
        <v>0</v>
      </c>
      <c r="H103" s="140">
        <f ca="1">IF(ISNUMBER(MATCH(DATEVALUE($A103),'recurring1_based on steps'!H$1:H$400,0)),H$2,)</f>
        <v>0</v>
      </c>
      <c r="I103" s="140">
        <f ca="1">IF(ISNUMBER(MATCH(DATEVALUE($A103),'recurring1_based on steps'!I$1:I$400,0)),I$2,)</f>
        <v>0</v>
      </c>
      <c r="J103" s="140">
        <f ca="1">IF(ISNUMBER(MATCH(DATEVALUE($A103),'recurring1_based on steps'!J$1:J$400,0)),J$2,)</f>
        <v>0</v>
      </c>
      <c r="K103" s="140">
        <f ca="1">IF(ISNUMBER(MATCH(DATEVALUE($A103),'recurring1_based on steps'!K$1:K$400,0)),K$2,)</f>
        <v>0</v>
      </c>
      <c r="L103" s="140">
        <f ca="1">IF(ISNUMBER(MATCH(DATEVALUE($A103),'recurring1_based on steps'!L$1:L$400,0)),L$2,)</f>
        <v>0</v>
      </c>
      <c r="M103" s="140">
        <f ca="1">IF(ISNUMBER(MATCH(DATEVALUE($A103),'recurring1_based on steps'!M$1:M$400,0)),M$2,)</f>
        <v>0</v>
      </c>
      <c r="N103" s="140">
        <f ca="1">IF(ISNUMBER(MATCH(DATEVALUE($A103),'recurring1_based on steps'!N$1:N$400,0)),N$2,)</f>
        <v>0</v>
      </c>
      <c r="O103" s="140">
        <f ca="1">IF(ISNUMBER(MATCH(DATEVALUE($A103),'recurring1_based on steps'!O$1:O$400,0)),O$2,)</f>
        <v>0</v>
      </c>
      <c r="P103" s="140">
        <f ca="1">IF(ISNUMBER(MATCH(DATEVALUE($A103),'recurring1_based on steps'!P$1:P$400,0)),P$2,)</f>
        <v>0</v>
      </c>
      <c r="Q103" s="140">
        <f ca="1">IF(ISNUMBER(MATCH(DATEVALUE($A103),'recurring1_based on steps'!Q$1:Q$400,0)),Q$2,)</f>
        <v>100</v>
      </c>
      <c r="R103" s="140">
        <f ca="1">IF(ISNUMBER(MATCH(DATEVALUE($A103),'recurring1_based on steps'!R$1:R$400,0)),R$2,)</f>
        <v>100</v>
      </c>
      <c r="S103" s="140">
        <f ca="1">IF(ISNUMBER(MATCH(DATEVALUE($A103),'recurring1_based on steps'!S$1:S$400,0)),S$2,)</f>
        <v>0</v>
      </c>
      <c r="T103" s="140">
        <f ca="1">IF(ISNUMBER(MATCH(DATEVALUE($A103),'recurring1_based on steps'!T$1:T$400,0)),T$2,)</f>
        <v>0</v>
      </c>
      <c r="U103" s="140">
        <f ca="1">IF(ISNUMBER(MATCH(DATEVALUE($A103),'recurring1_based on steps'!U$1:U$400,0)),U$2,)</f>
        <v>0</v>
      </c>
      <c r="V103" s="140">
        <f ca="1">IF(ISNUMBER(MATCH(DATEVALUE($A103),'recurring1_based on steps'!V$1:V$400,0)),V$2,)</f>
        <v>0</v>
      </c>
      <c r="W103" s="140">
        <f ca="1">IF(ISNUMBER(MATCH(DATEVALUE($A103),'recurring1_based on steps'!W$1:W$400,0)),W$2,)</f>
        <v>0</v>
      </c>
      <c r="X103" s="140">
        <f ca="1">IF(ISNUMBER(MATCH(DATEVALUE($A103),'recurring1_based on steps'!X$1:X$400,0)),X$2,)</f>
        <v>0</v>
      </c>
      <c r="Y103" s="140">
        <f ca="1">IF(ISNUMBER(MATCH(DATEVALUE($A103),'recurring1_based on steps'!Y$1:Y$400,0)),Y$2,)</f>
        <v>0</v>
      </c>
      <c r="Z103" s="140">
        <f ca="1">IF(ISNUMBER(MATCH(DATEVALUE($A103),'recurring1_based on steps'!Z$1:Z$400,0)),Z$2,)</f>
        <v>0</v>
      </c>
      <c r="AA103" s="140">
        <f ca="1">IF(ISNUMBER(MATCH(DATEVALUE($A103),'recurring1_based on steps'!AA$1:AA$400,0)),AA$2,)</f>
        <v>0</v>
      </c>
      <c r="AB103" s="140">
        <f ca="1">IF(ISNUMBER(MATCH(DATEVALUE($A103),'recurring1_based on steps'!AB$1:AB$400,0)),AB$2,)</f>
        <v>5.5401662049861494E-2</v>
      </c>
      <c r="AC103" s="140">
        <f ca="1">IF(ISNUMBER(MATCH(DATEVALUE($A103),'recurring1_based on steps'!AC$1:AC$400,0)),AC$2,)</f>
        <v>0</v>
      </c>
      <c r="AD103" s="140">
        <f ca="1">IF(ISNUMBER(MATCH(DATEVALUE($A103),'recurring1_based on steps'!AD$1:AD$400,0)),AD$2,)</f>
        <v>0</v>
      </c>
      <c r="AE103" s="140">
        <f ca="1">IF(ISNUMBER(MATCH(DATEVALUE($A103),'recurring1_based on steps'!AE$1:AE$400,0)),AE$2,)</f>
        <v>0</v>
      </c>
      <c r="AF103" s="140">
        <f ca="1">IF(ISNUMBER(MATCH(DATEVALUE($A103),'recurring1_based on steps'!AF$1:AF$400,0)),AF$2,)</f>
        <v>0</v>
      </c>
      <c r="AG103" s="140">
        <f ca="1">IF(ISNUMBER(MATCH(DATEVALUE($A103),'recurring1_based on steps'!AG$1:AG$400,0)),AG$2,)</f>
        <v>0</v>
      </c>
      <c r="AH103" s="140">
        <f ca="1">IF(ISNUMBER(MATCH(DATEVALUE($A103),'recurring1_based on steps'!AH$1:AH$400,0)),AH$2,)</f>
        <v>0</v>
      </c>
      <c r="AI103" s="140">
        <f ca="1">IF(ISNUMBER(MATCH(DATEVALUE($A103),'recurring1_based on steps'!AI$1:AI$400,0)),AI$2,)</f>
        <v>0</v>
      </c>
      <c r="AJ103" s="140">
        <f ca="1">IF(ISNUMBER(MATCH(DATEVALUE($A103),'recurring1_based on steps'!AJ$1:AJ$400,0)),AJ$2,)</f>
        <v>0</v>
      </c>
      <c r="AK103" s="140">
        <f ca="1">IF(ISNUMBER(MATCH(DATEVALUE($A103),'recurring1_based on steps'!AK$1:AK$400,0)),AK$2,)</f>
        <v>0</v>
      </c>
      <c r="AL103" s="140">
        <f ca="1">IF(ISNUMBER(MATCH(DATEVALUE($A103),'recurring1_based on steps'!AL$1:AL$400,0)),AL$2,)</f>
        <v>0</v>
      </c>
      <c r="AM103" s="140">
        <f ca="1">IF(ISNUMBER(MATCH(DATEVALUE($A103),'recurring1_based on steps'!AM$1:AM$400,0)),AM$2,)</f>
        <v>0</v>
      </c>
      <c r="AN103" s="140">
        <f ca="1">IF(ISNUMBER(MATCH(DATEVALUE($A103),'recurring1_based on steps'!AN$1:AN$400,0)),AN$2,)</f>
        <v>0</v>
      </c>
      <c r="AO103" s="140">
        <f ca="1">IF(ISNUMBER(MATCH(DATEVALUE($A103),'recurring1_based on steps'!AO$1:AO$400,0)),AO$2,)</f>
        <v>0</v>
      </c>
      <c r="AP103" s="140">
        <f ca="1">IF(ISNUMBER(MATCH(DATEVALUE($A103),'recurring1_based on steps'!AP$1:AP$400,0)),AP$2,)</f>
        <v>0</v>
      </c>
      <c r="AQ103" s="140">
        <f ca="1">IF(ISNUMBER(MATCH(DATEVALUE($A103),'recurring1_based on steps'!AQ$1:AQ$400,0)),AQ$2,)</f>
        <v>0</v>
      </c>
      <c r="AR103" s="140">
        <f ca="1">IF(ISNUMBER(MATCH(DATEVALUE($A103),'recurring1_based on steps'!AR$1:AR$400,0)),AR$2,)</f>
        <v>0</v>
      </c>
      <c r="AS103" s="140">
        <f ca="1">IF(ISNUMBER(MATCH(DATEVALUE($A103),'recurring1_based on steps'!AS$1:AS$400,0)),AS$2,)</f>
        <v>0</v>
      </c>
      <c r="AT103" s="140">
        <f ca="1">IF(ISNUMBER(MATCH(DATEVALUE($A103),'recurring1_based on steps'!AT$1:AT$400,0)),AT$2,)</f>
        <v>0</v>
      </c>
      <c r="AU103" s="140">
        <f ca="1">IF(ISNUMBER(MATCH(DATEVALUE($A103),'recurring1_based on steps'!AU$1:AU$400,0)),AU$2,)</f>
        <v>0</v>
      </c>
      <c r="AV103" s="140">
        <f ca="1">IF(ISNUMBER(MATCH(DATEVALUE($A103),'recurring1_based on steps'!AV$1:AV$400,0)),AV$2,)</f>
        <v>0</v>
      </c>
      <c r="AW103" s="140">
        <f ca="1">IF(ISNUMBER(MATCH(DATEVALUE($A103),'recurring1_based on steps'!AW$1:AW$400,0)),AW$2,)</f>
        <v>0</v>
      </c>
      <c r="AX103" s="140">
        <f ca="1">IF(ISNUMBER(MATCH(DATEVALUE($A103),'recurring1_based on steps'!AX$1:AX$400,0)),AX$2,)</f>
        <v>0</v>
      </c>
      <c r="AY103" s="140">
        <f ca="1">IF(ISNUMBER(MATCH(DATEVALUE($A103),'recurring1_based on steps'!AY$1:AY$400,0)),AY$2,)</f>
        <v>0</v>
      </c>
    </row>
    <row r="104" spans="1:51" x14ac:dyDescent="0.2">
      <c r="A104" s="29" t="str">
        <f t="shared" ca="1" si="1"/>
        <v>2025-07-06</v>
      </c>
      <c r="B104" s="140">
        <f ca="1">IF(ISNUMBER(MATCH(DATEVALUE($A104),'recurring1_based on steps'!B$1:B$400,0)),B$2,)</f>
        <v>0</v>
      </c>
      <c r="C104" s="140">
        <f ca="1">IF(ISNUMBER(MATCH(DATEVALUE($A104),'recurring1_based on steps'!C$1:C$400,0)),C$2,)</f>
        <v>0</v>
      </c>
      <c r="D104" s="140">
        <f ca="1">IF(ISNUMBER(MATCH(DATEVALUE($A104),'recurring1_based on steps'!D$1:D$400,0)),D$2,)</f>
        <v>0</v>
      </c>
      <c r="E104" s="140">
        <f ca="1">IF(ISNUMBER(MATCH(DATEVALUE($A104),'recurring1_based on steps'!E$1:E$400,0)),E$2,)</f>
        <v>0</v>
      </c>
      <c r="F104" s="140">
        <f ca="1">IF(ISNUMBER(MATCH(DATEVALUE($A104),'recurring1_based on steps'!F$1:F$400,0)),F$2,)</f>
        <v>0</v>
      </c>
      <c r="G104" s="140">
        <f ca="1">IF(ISNUMBER(MATCH(DATEVALUE($A104),'recurring1_based on steps'!G$1:G$400,0)),G$2,)</f>
        <v>0</v>
      </c>
      <c r="H104" s="140">
        <f ca="1">IF(ISNUMBER(MATCH(DATEVALUE($A104),'recurring1_based on steps'!H$1:H$400,0)),H$2,)</f>
        <v>0</v>
      </c>
      <c r="I104" s="140">
        <f ca="1">IF(ISNUMBER(MATCH(DATEVALUE($A104),'recurring1_based on steps'!I$1:I$400,0)),I$2,)</f>
        <v>0</v>
      </c>
      <c r="J104" s="140">
        <f ca="1">IF(ISNUMBER(MATCH(DATEVALUE($A104),'recurring1_based on steps'!J$1:J$400,0)),J$2,)</f>
        <v>0</v>
      </c>
      <c r="K104" s="140">
        <f ca="1">IF(ISNUMBER(MATCH(DATEVALUE($A104),'recurring1_based on steps'!K$1:K$400,0)),K$2,)</f>
        <v>50</v>
      </c>
      <c r="L104" s="140">
        <f ca="1">IF(ISNUMBER(MATCH(DATEVALUE($A104),'recurring1_based on steps'!L$1:L$400,0)),L$2,)</f>
        <v>0</v>
      </c>
      <c r="M104" s="140">
        <f ca="1">IF(ISNUMBER(MATCH(DATEVALUE($A104),'recurring1_based on steps'!M$1:M$400,0)),M$2,)</f>
        <v>0</v>
      </c>
      <c r="N104" s="140">
        <f ca="1">IF(ISNUMBER(MATCH(DATEVALUE($A104),'recurring1_based on steps'!N$1:N$400,0)),N$2,)</f>
        <v>0</v>
      </c>
      <c r="O104" s="140">
        <f ca="1">IF(ISNUMBER(MATCH(DATEVALUE($A104),'recurring1_based on steps'!O$1:O$400,0)),O$2,)</f>
        <v>0</v>
      </c>
      <c r="P104" s="140">
        <f ca="1">IF(ISNUMBER(MATCH(DATEVALUE($A104),'recurring1_based on steps'!P$1:P$400,0)),P$2,)</f>
        <v>0</v>
      </c>
      <c r="Q104" s="140">
        <f ca="1">IF(ISNUMBER(MATCH(DATEVALUE($A104),'recurring1_based on steps'!Q$1:Q$400,0)),Q$2,)</f>
        <v>0</v>
      </c>
      <c r="R104" s="140">
        <f ca="1">IF(ISNUMBER(MATCH(DATEVALUE($A104),'recurring1_based on steps'!R$1:R$400,0)),R$2,)</f>
        <v>0</v>
      </c>
      <c r="S104" s="140">
        <f ca="1">IF(ISNUMBER(MATCH(DATEVALUE($A104),'recurring1_based on steps'!S$1:S$400,0)),S$2,)</f>
        <v>100</v>
      </c>
      <c r="T104" s="140">
        <f ca="1">IF(ISNUMBER(MATCH(DATEVALUE($A104),'recurring1_based on steps'!T$1:T$400,0)),T$2,)</f>
        <v>0</v>
      </c>
      <c r="U104" s="140">
        <f ca="1">IF(ISNUMBER(MATCH(DATEVALUE($A104),'recurring1_based on steps'!U$1:U$400,0)),U$2,)</f>
        <v>0</v>
      </c>
      <c r="V104" s="140">
        <f ca="1">IF(ISNUMBER(MATCH(DATEVALUE($A104),'recurring1_based on steps'!V$1:V$400,0)),V$2,)</f>
        <v>0</v>
      </c>
      <c r="W104" s="140">
        <f ca="1">IF(ISNUMBER(MATCH(DATEVALUE($A104),'recurring1_based on steps'!W$1:W$400,0)),W$2,)</f>
        <v>0</v>
      </c>
      <c r="X104" s="140">
        <f ca="1">IF(ISNUMBER(MATCH(DATEVALUE($A104),'recurring1_based on steps'!X$1:X$400,0)),X$2,)</f>
        <v>0</v>
      </c>
      <c r="Y104" s="140">
        <f ca="1">IF(ISNUMBER(MATCH(DATEVALUE($A104),'recurring1_based on steps'!Y$1:Y$400,0)),Y$2,)</f>
        <v>0</v>
      </c>
      <c r="Z104" s="140">
        <f ca="1">IF(ISNUMBER(MATCH(DATEVALUE($A104),'recurring1_based on steps'!Z$1:Z$400,0)),Z$2,)</f>
        <v>0</v>
      </c>
      <c r="AA104" s="140">
        <f ca="1">IF(ISNUMBER(MATCH(DATEVALUE($A104),'recurring1_based on steps'!AA$1:AA$400,0)),AA$2,)</f>
        <v>0</v>
      </c>
      <c r="AB104" s="140">
        <f ca="1">IF(ISNUMBER(MATCH(DATEVALUE($A104),'recurring1_based on steps'!AB$1:AB$400,0)),AB$2,)</f>
        <v>5.5401662049861494E-2</v>
      </c>
      <c r="AC104" s="140">
        <f ca="1">IF(ISNUMBER(MATCH(DATEVALUE($A104),'recurring1_based on steps'!AC$1:AC$400,0)),AC$2,)</f>
        <v>0</v>
      </c>
      <c r="AD104" s="140">
        <f ca="1">IF(ISNUMBER(MATCH(DATEVALUE($A104),'recurring1_based on steps'!AD$1:AD$400,0)),AD$2,)</f>
        <v>0</v>
      </c>
      <c r="AE104" s="140">
        <f ca="1">IF(ISNUMBER(MATCH(DATEVALUE($A104),'recurring1_based on steps'!AE$1:AE$400,0)),AE$2,)</f>
        <v>0</v>
      </c>
      <c r="AF104" s="140">
        <f ca="1">IF(ISNUMBER(MATCH(DATEVALUE($A104),'recurring1_based on steps'!AF$1:AF$400,0)),AF$2,)</f>
        <v>0</v>
      </c>
      <c r="AG104" s="140">
        <f ca="1">IF(ISNUMBER(MATCH(DATEVALUE($A104),'recurring1_based on steps'!AG$1:AG$400,0)),AG$2,)</f>
        <v>0</v>
      </c>
      <c r="AH104" s="140">
        <f ca="1">IF(ISNUMBER(MATCH(DATEVALUE($A104),'recurring1_based on steps'!AH$1:AH$400,0)),AH$2,)</f>
        <v>0</v>
      </c>
      <c r="AI104" s="140">
        <f ca="1">IF(ISNUMBER(MATCH(DATEVALUE($A104),'recurring1_based on steps'!AI$1:AI$400,0)),AI$2,)</f>
        <v>0</v>
      </c>
      <c r="AJ104" s="140">
        <f ca="1">IF(ISNUMBER(MATCH(DATEVALUE($A104),'recurring1_based on steps'!AJ$1:AJ$400,0)),AJ$2,)</f>
        <v>0</v>
      </c>
      <c r="AK104" s="140">
        <f ca="1">IF(ISNUMBER(MATCH(DATEVALUE($A104),'recurring1_based on steps'!AK$1:AK$400,0)),AK$2,)</f>
        <v>0</v>
      </c>
      <c r="AL104" s="140">
        <f ca="1">IF(ISNUMBER(MATCH(DATEVALUE($A104),'recurring1_based on steps'!AL$1:AL$400,0)),AL$2,)</f>
        <v>0</v>
      </c>
      <c r="AM104" s="140">
        <f ca="1">IF(ISNUMBER(MATCH(DATEVALUE($A104),'recurring1_based on steps'!AM$1:AM$400,0)),AM$2,)</f>
        <v>0</v>
      </c>
      <c r="AN104" s="140">
        <f ca="1">IF(ISNUMBER(MATCH(DATEVALUE($A104),'recurring1_based on steps'!AN$1:AN$400,0)),AN$2,)</f>
        <v>0</v>
      </c>
      <c r="AO104" s="140">
        <f ca="1">IF(ISNUMBER(MATCH(DATEVALUE($A104),'recurring1_based on steps'!AO$1:AO$400,0)),AO$2,)</f>
        <v>0</v>
      </c>
      <c r="AP104" s="140">
        <f ca="1">IF(ISNUMBER(MATCH(DATEVALUE($A104),'recurring1_based on steps'!AP$1:AP$400,0)),AP$2,)</f>
        <v>0</v>
      </c>
      <c r="AQ104" s="140">
        <f ca="1">IF(ISNUMBER(MATCH(DATEVALUE($A104),'recurring1_based on steps'!AQ$1:AQ$400,0)),AQ$2,)</f>
        <v>0</v>
      </c>
      <c r="AR104" s="140">
        <f ca="1">IF(ISNUMBER(MATCH(DATEVALUE($A104),'recurring1_based on steps'!AR$1:AR$400,0)),AR$2,)</f>
        <v>0</v>
      </c>
      <c r="AS104" s="140">
        <f ca="1">IF(ISNUMBER(MATCH(DATEVALUE($A104),'recurring1_based on steps'!AS$1:AS$400,0)),AS$2,)</f>
        <v>0</v>
      </c>
      <c r="AT104" s="140">
        <f ca="1">IF(ISNUMBER(MATCH(DATEVALUE($A104),'recurring1_based on steps'!AT$1:AT$400,0)),AT$2,)</f>
        <v>0</v>
      </c>
      <c r="AU104" s="140">
        <f ca="1">IF(ISNUMBER(MATCH(DATEVALUE($A104),'recurring1_based on steps'!AU$1:AU$400,0)),AU$2,)</f>
        <v>0</v>
      </c>
      <c r="AV104" s="140">
        <f ca="1">IF(ISNUMBER(MATCH(DATEVALUE($A104),'recurring1_based on steps'!AV$1:AV$400,0)),AV$2,)</f>
        <v>0</v>
      </c>
      <c r="AW104" s="140">
        <f ca="1">IF(ISNUMBER(MATCH(DATEVALUE($A104),'recurring1_based on steps'!AW$1:AW$400,0)),AW$2,)</f>
        <v>0</v>
      </c>
      <c r="AX104" s="140">
        <f ca="1">IF(ISNUMBER(MATCH(DATEVALUE($A104),'recurring1_based on steps'!AX$1:AX$400,0)),AX$2,)</f>
        <v>0</v>
      </c>
      <c r="AY104" s="140">
        <f ca="1">IF(ISNUMBER(MATCH(DATEVALUE($A104),'recurring1_based on steps'!AY$1:AY$400,0)),AY$2,)</f>
        <v>0</v>
      </c>
    </row>
    <row r="105" spans="1:51" x14ac:dyDescent="0.2">
      <c r="A105" s="29" t="str">
        <f t="shared" ca="1" si="1"/>
        <v>2025-07-07</v>
      </c>
      <c r="B105" s="140">
        <f ca="1">IF(ISNUMBER(MATCH(DATEVALUE($A105),'recurring1_based on steps'!B$1:B$400,0)),B$2,)</f>
        <v>0</v>
      </c>
      <c r="C105" s="140">
        <f ca="1">IF(ISNUMBER(MATCH(DATEVALUE($A105),'recurring1_based on steps'!C$1:C$400,0)),C$2,)</f>
        <v>0</v>
      </c>
      <c r="D105" s="140">
        <f ca="1">IF(ISNUMBER(MATCH(DATEVALUE($A105),'recurring1_based on steps'!D$1:D$400,0)),D$2,)</f>
        <v>0</v>
      </c>
      <c r="E105" s="140">
        <f ca="1">IF(ISNUMBER(MATCH(DATEVALUE($A105),'recurring1_based on steps'!E$1:E$400,0)),E$2,)</f>
        <v>0</v>
      </c>
      <c r="F105" s="140">
        <f ca="1">IF(ISNUMBER(MATCH(DATEVALUE($A105),'recurring1_based on steps'!F$1:F$400,0)),F$2,)</f>
        <v>0</v>
      </c>
      <c r="G105" s="140">
        <f ca="1">IF(ISNUMBER(MATCH(DATEVALUE($A105),'recurring1_based on steps'!G$1:G$400,0)),G$2,)</f>
        <v>0</v>
      </c>
      <c r="H105" s="140">
        <f ca="1">IF(ISNUMBER(MATCH(DATEVALUE($A105),'recurring1_based on steps'!H$1:H$400,0)),H$2,)</f>
        <v>0</v>
      </c>
      <c r="I105" s="140">
        <f ca="1">IF(ISNUMBER(MATCH(DATEVALUE($A105),'recurring1_based on steps'!I$1:I$400,0)),I$2,)</f>
        <v>0</v>
      </c>
      <c r="J105" s="140">
        <f ca="1">IF(ISNUMBER(MATCH(DATEVALUE($A105),'recurring1_based on steps'!J$1:J$400,0)),J$2,)</f>
        <v>0</v>
      </c>
      <c r="K105" s="140">
        <f ca="1">IF(ISNUMBER(MATCH(DATEVALUE($A105),'recurring1_based on steps'!K$1:K$400,0)),K$2,)</f>
        <v>0</v>
      </c>
      <c r="L105" s="140">
        <f ca="1">IF(ISNUMBER(MATCH(DATEVALUE($A105),'recurring1_based on steps'!L$1:L$400,0)),L$2,)</f>
        <v>0</v>
      </c>
      <c r="M105" s="140">
        <f ca="1">IF(ISNUMBER(MATCH(DATEVALUE($A105),'recurring1_based on steps'!M$1:M$400,0)),M$2,)</f>
        <v>0</v>
      </c>
      <c r="N105" s="140">
        <f ca="1">IF(ISNUMBER(MATCH(DATEVALUE($A105),'recurring1_based on steps'!N$1:N$400,0)),N$2,)</f>
        <v>0</v>
      </c>
      <c r="O105" s="140">
        <f ca="1">IF(ISNUMBER(MATCH(DATEVALUE($A105),'recurring1_based on steps'!O$1:O$400,0)),O$2,)</f>
        <v>0</v>
      </c>
      <c r="P105" s="140">
        <f ca="1">IF(ISNUMBER(MATCH(DATEVALUE($A105),'recurring1_based on steps'!P$1:P$400,0)),P$2,)</f>
        <v>0</v>
      </c>
      <c r="Q105" s="140">
        <f ca="1">IF(ISNUMBER(MATCH(DATEVALUE($A105),'recurring1_based on steps'!Q$1:Q$400,0)),Q$2,)</f>
        <v>0</v>
      </c>
      <c r="R105" s="140">
        <f ca="1">IF(ISNUMBER(MATCH(DATEVALUE($A105),'recurring1_based on steps'!R$1:R$400,0)),R$2,)</f>
        <v>0</v>
      </c>
      <c r="S105" s="140">
        <f ca="1">IF(ISNUMBER(MATCH(DATEVALUE($A105),'recurring1_based on steps'!S$1:S$400,0)),S$2,)</f>
        <v>0</v>
      </c>
      <c r="T105" s="140">
        <f ca="1">IF(ISNUMBER(MATCH(DATEVALUE($A105),'recurring1_based on steps'!T$1:T$400,0)),T$2,)</f>
        <v>0</v>
      </c>
      <c r="U105" s="140">
        <f ca="1">IF(ISNUMBER(MATCH(DATEVALUE($A105),'recurring1_based on steps'!U$1:U$400,0)),U$2,)</f>
        <v>0</v>
      </c>
      <c r="V105" s="140">
        <f ca="1">IF(ISNUMBER(MATCH(DATEVALUE($A105),'recurring1_based on steps'!V$1:V$400,0)),V$2,)</f>
        <v>0</v>
      </c>
      <c r="W105" s="140">
        <f ca="1">IF(ISNUMBER(MATCH(DATEVALUE($A105),'recurring1_based on steps'!W$1:W$400,0)),W$2,)</f>
        <v>0</v>
      </c>
      <c r="X105" s="140">
        <f ca="1">IF(ISNUMBER(MATCH(DATEVALUE($A105),'recurring1_based on steps'!X$1:X$400,0)),X$2,)</f>
        <v>0</v>
      </c>
      <c r="Y105" s="140">
        <f ca="1">IF(ISNUMBER(MATCH(DATEVALUE($A105),'recurring1_based on steps'!Y$1:Y$400,0)),Y$2,)</f>
        <v>0</v>
      </c>
      <c r="Z105" s="140">
        <f ca="1">IF(ISNUMBER(MATCH(DATEVALUE($A105),'recurring1_based on steps'!Z$1:Z$400,0)),Z$2,)</f>
        <v>0</v>
      </c>
      <c r="AA105" s="140">
        <f ca="1">IF(ISNUMBER(MATCH(DATEVALUE($A105),'recurring1_based on steps'!AA$1:AA$400,0)),AA$2,)</f>
        <v>0</v>
      </c>
      <c r="AB105" s="140">
        <f ca="1">IF(ISNUMBER(MATCH(DATEVALUE($A105),'recurring1_based on steps'!AB$1:AB$400,0)),AB$2,)</f>
        <v>5.5401662049861494E-2</v>
      </c>
      <c r="AC105" s="140">
        <f ca="1">IF(ISNUMBER(MATCH(DATEVALUE($A105),'recurring1_based on steps'!AC$1:AC$400,0)),AC$2,)</f>
        <v>0</v>
      </c>
      <c r="AD105" s="140">
        <f ca="1">IF(ISNUMBER(MATCH(DATEVALUE($A105),'recurring1_based on steps'!AD$1:AD$400,0)),AD$2,)</f>
        <v>0</v>
      </c>
      <c r="AE105" s="140">
        <f ca="1">IF(ISNUMBER(MATCH(DATEVALUE($A105),'recurring1_based on steps'!AE$1:AE$400,0)),AE$2,)</f>
        <v>0</v>
      </c>
      <c r="AF105" s="140">
        <f ca="1">IF(ISNUMBER(MATCH(DATEVALUE($A105),'recurring1_based on steps'!AF$1:AF$400,0)),AF$2,)</f>
        <v>0</v>
      </c>
      <c r="AG105" s="140">
        <f ca="1">IF(ISNUMBER(MATCH(DATEVALUE($A105),'recurring1_based on steps'!AG$1:AG$400,0)),AG$2,)</f>
        <v>0</v>
      </c>
      <c r="AH105" s="140">
        <f ca="1">IF(ISNUMBER(MATCH(DATEVALUE($A105),'recurring1_based on steps'!AH$1:AH$400,0)),AH$2,)</f>
        <v>0</v>
      </c>
      <c r="AI105" s="140">
        <f ca="1">IF(ISNUMBER(MATCH(DATEVALUE($A105),'recurring1_based on steps'!AI$1:AI$400,0)),AI$2,)</f>
        <v>0</v>
      </c>
      <c r="AJ105" s="140">
        <f ca="1">IF(ISNUMBER(MATCH(DATEVALUE($A105),'recurring1_based on steps'!AJ$1:AJ$400,0)),AJ$2,)</f>
        <v>0</v>
      </c>
      <c r="AK105" s="140">
        <f ca="1">IF(ISNUMBER(MATCH(DATEVALUE($A105),'recurring1_based on steps'!AK$1:AK$400,0)),AK$2,)</f>
        <v>0</v>
      </c>
      <c r="AL105" s="140">
        <f ca="1">IF(ISNUMBER(MATCH(DATEVALUE($A105),'recurring1_based on steps'!AL$1:AL$400,0)),AL$2,)</f>
        <v>0</v>
      </c>
      <c r="AM105" s="140">
        <f ca="1">IF(ISNUMBER(MATCH(DATEVALUE($A105),'recurring1_based on steps'!AM$1:AM$400,0)),AM$2,)</f>
        <v>0</v>
      </c>
      <c r="AN105" s="140">
        <f ca="1">IF(ISNUMBER(MATCH(DATEVALUE($A105),'recurring1_based on steps'!AN$1:AN$400,0)),AN$2,)</f>
        <v>0</v>
      </c>
      <c r="AO105" s="140">
        <f ca="1">IF(ISNUMBER(MATCH(DATEVALUE($A105),'recurring1_based on steps'!AO$1:AO$400,0)),AO$2,)</f>
        <v>0</v>
      </c>
      <c r="AP105" s="140">
        <f ca="1">IF(ISNUMBER(MATCH(DATEVALUE($A105),'recurring1_based on steps'!AP$1:AP$400,0)),AP$2,)</f>
        <v>0</v>
      </c>
      <c r="AQ105" s="140">
        <f ca="1">IF(ISNUMBER(MATCH(DATEVALUE($A105),'recurring1_based on steps'!AQ$1:AQ$400,0)),AQ$2,)</f>
        <v>0</v>
      </c>
      <c r="AR105" s="140">
        <f ca="1">IF(ISNUMBER(MATCH(DATEVALUE($A105),'recurring1_based on steps'!AR$1:AR$400,0)),AR$2,)</f>
        <v>0</v>
      </c>
      <c r="AS105" s="140">
        <f ca="1">IF(ISNUMBER(MATCH(DATEVALUE($A105),'recurring1_based on steps'!AS$1:AS$400,0)),AS$2,)</f>
        <v>0</v>
      </c>
      <c r="AT105" s="140">
        <f ca="1">IF(ISNUMBER(MATCH(DATEVALUE($A105),'recurring1_based on steps'!AT$1:AT$400,0)),AT$2,)</f>
        <v>0</v>
      </c>
      <c r="AU105" s="140">
        <f ca="1">IF(ISNUMBER(MATCH(DATEVALUE($A105),'recurring1_based on steps'!AU$1:AU$400,0)),AU$2,)</f>
        <v>0</v>
      </c>
      <c r="AV105" s="140">
        <f ca="1">IF(ISNUMBER(MATCH(DATEVALUE($A105),'recurring1_based on steps'!AV$1:AV$400,0)),AV$2,)</f>
        <v>0</v>
      </c>
      <c r="AW105" s="140">
        <f ca="1">IF(ISNUMBER(MATCH(DATEVALUE($A105),'recurring1_based on steps'!AW$1:AW$400,0)),AW$2,)</f>
        <v>0</v>
      </c>
      <c r="AX105" s="140">
        <f ca="1">IF(ISNUMBER(MATCH(DATEVALUE($A105),'recurring1_based on steps'!AX$1:AX$400,0)),AX$2,)</f>
        <v>0</v>
      </c>
      <c r="AY105" s="140">
        <f ca="1">IF(ISNUMBER(MATCH(DATEVALUE($A105),'recurring1_based on steps'!AY$1:AY$400,0)),AY$2,)</f>
        <v>0</v>
      </c>
    </row>
    <row r="106" spans="1:51" x14ac:dyDescent="0.2">
      <c r="A106" s="29" t="str">
        <f t="shared" ca="1" si="1"/>
        <v>2025-07-08</v>
      </c>
      <c r="B106" s="140">
        <f ca="1">IF(ISNUMBER(MATCH(DATEVALUE($A106),'recurring1_based on steps'!B$1:B$400,0)),B$2,)</f>
        <v>0</v>
      </c>
      <c r="C106" s="140">
        <f ca="1">IF(ISNUMBER(MATCH(DATEVALUE($A106),'recurring1_based on steps'!C$1:C$400,0)),C$2,)</f>
        <v>0</v>
      </c>
      <c r="D106" s="140">
        <f ca="1">IF(ISNUMBER(MATCH(DATEVALUE($A106),'recurring1_based on steps'!D$1:D$400,0)),D$2,)</f>
        <v>0</v>
      </c>
      <c r="E106" s="140">
        <f ca="1">IF(ISNUMBER(MATCH(DATEVALUE($A106),'recurring1_based on steps'!E$1:E$400,0)),E$2,)</f>
        <v>0</v>
      </c>
      <c r="F106" s="140">
        <f ca="1">IF(ISNUMBER(MATCH(DATEVALUE($A106),'recurring1_based on steps'!F$1:F$400,0)),F$2,)</f>
        <v>0</v>
      </c>
      <c r="G106" s="140">
        <f ca="1">IF(ISNUMBER(MATCH(DATEVALUE($A106),'recurring1_based on steps'!G$1:G$400,0)),G$2,)</f>
        <v>0</v>
      </c>
      <c r="H106" s="140">
        <f ca="1">IF(ISNUMBER(MATCH(DATEVALUE($A106),'recurring1_based on steps'!H$1:H$400,0)),H$2,)</f>
        <v>0</v>
      </c>
      <c r="I106" s="140">
        <f ca="1">IF(ISNUMBER(MATCH(DATEVALUE($A106),'recurring1_based on steps'!I$1:I$400,0)),I$2,)</f>
        <v>0</v>
      </c>
      <c r="J106" s="140">
        <f ca="1">IF(ISNUMBER(MATCH(DATEVALUE($A106),'recurring1_based on steps'!J$1:J$400,0)),J$2,)</f>
        <v>0</v>
      </c>
      <c r="K106" s="140">
        <f ca="1">IF(ISNUMBER(MATCH(DATEVALUE($A106),'recurring1_based on steps'!K$1:K$400,0)),K$2,)</f>
        <v>0</v>
      </c>
      <c r="L106" s="140">
        <f ca="1">IF(ISNUMBER(MATCH(DATEVALUE($A106),'recurring1_based on steps'!L$1:L$400,0)),L$2,)</f>
        <v>0</v>
      </c>
      <c r="M106" s="140">
        <f ca="1">IF(ISNUMBER(MATCH(DATEVALUE($A106),'recurring1_based on steps'!M$1:M$400,0)),M$2,)</f>
        <v>0</v>
      </c>
      <c r="N106" s="140">
        <f ca="1">IF(ISNUMBER(MATCH(DATEVALUE($A106),'recurring1_based on steps'!N$1:N$400,0)),N$2,)</f>
        <v>0</v>
      </c>
      <c r="O106" s="140">
        <f ca="1">IF(ISNUMBER(MATCH(DATEVALUE($A106),'recurring1_based on steps'!O$1:O$400,0)),O$2,)</f>
        <v>0</v>
      </c>
      <c r="P106" s="140">
        <f ca="1">IF(ISNUMBER(MATCH(DATEVALUE($A106),'recurring1_based on steps'!P$1:P$400,0)),P$2,)</f>
        <v>0</v>
      </c>
      <c r="Q106" s="140">
        <f ca="1">IF(ISNUMBER(MATCH(DATEVALUE($A106),'recurring1_based on steps'!Q$1:Q$400,0)),Q$2,)</f>
        <v>0</v>
      </c>
      <c r="R106" s="140">
        <f ca="1">IF(ISNUMBER(MATCH(DATEVALUE($A106),'recurring1_based on steps'!R$1:R$400,0)),R$2,)</f>
        <v>0</v>
      </c>
      <c r="S106" s="140">
        <f ca="1">IF(ISNUMBER(MATCH(DATEVALUE($A106),'recurring1_based on steps'!S$1:S$400,0)),S$2,)</f>
        <v>0</v>
      </c>
      <c r="T106" s="140">
        <f ca="1">IF(ISNUMBER(MATCH(DATEVALUE($A106),'recurring1_based on steps'!T$1:T$400,0)),T$2,)</f>
        <v>0</v>
      </c>
      <c r="U106" s="140">
        <f ca="1">IF(ISNUMBER(MATCH(DATEVALUE($A106),'recurring1_based on steps'!U$1:U$400,0)),U$2,)</f>
        <v>0</v>
      </c>
      <c r="V106" s="140">
        <f ca="1">IF(ISNUMBER(MATCH(DATEVALUE($A106),'recurring1_based on steps'!V$1:V$400,0)),V$2,)</f>
        <v>0</v>
      </c>
      <c r="W106" s="140">
        <f ca="1">IF(ISNUMBER(MATCH(DATEVALUE($A106),'recurring1_based on steps'!W$1:W$400,0)),W$2,)</f>
        <v>0</v>
      </c>
      <c r="X106" s="140">
        <f ca="1">IF(ISNUMBER(MATCH(DATEVALUE($A106),'recurring1_based on steps'!X$1:X$400,0)),X$2,)</f>
        <v>0</v>
      </c>
      <c r="Y106" s="140">
        <f ca="1">IF(ISNUMBER(MATCH(DATEVALUE($A106),'recurring1_based on steps'!Y$1:Y$400,0)),Y$2,)</f>
        <v>0</v>
      </c>
      <c r="Z106" s="140">
        <f ca="1">IF(ISNUMBER(MATCH(DATEVALUE($A106),'recurring1_based on steps'!Z$1:Z$400,0)),Z$2,)</f>
        <v>0</v>
      </c>
      <c r="AA106" s="140">
        <f ca="1">IF(ISNUMBER(MATCH(DATEVALUE($A106),'recurring1_based on steps'!AA$1:AA$400,0)),AA$2,)</f>
        <v>0</v>
      </c>
      <c r="AB106" s="140">
        <f ca="1">IF(ISNUMBER(MATCH(DATEVALUE($A106),'recurring1_based on steps'!AB$1:AB$400,0)),AB$2,)</f>
        <v>5.5401662049861494E-2</v>
      </c>
      <c r="AC106" s="140">
        <f ca="1">IF(ISNUMBER(MATCH(DATEVALUE($A106),'recurring1_based on steps'!AC$1:AC$400,0)),AC$2,)</f>
        <v>0</v>
      </c>
      <c r="AD106" s="140">
        <f ca="1">IF(ISNUMBER(MATCH(DATEVALUE($A106),'recurring1_based on steps'!AD$1:AD$400,0)),AD$2,)</f>
        <v>0</v>
      </c>
      <c r="AE106" s="140">
        <f ca="1">IF(ISNUMBER(MATCH(DATEVALUE($A106),'recurring1_based on steps'!AE$1:AE$400,0)),AE$2,)</f>
        <v>0</v>
      </c>
      <c r="AF106" s="140">
        <f ca="1">IF(ISNUMBER(MATCH(DATEVALUE($A106),'recurring1_based on steps'!AF$1:AF$400,0)),AF$2,)</f>
        <v>0</v>
      </c>
      <c r="AG106" s="140">
        <f ca="1">IF(ISNUMBER(MATCH(DATEVALUE($A106),'recurring1_based on steps'!AG$1:AG$400,0)),AG$2,)</f>
        <v>0</v>
      </c>
      <c r="AH106" s="140">
        <f ca="1">IF(ISNUMBER(MATCH(DATEVALUE($A106),'recurring1_based on steps'!AH$1:AH$400,0)),AH$2,)</f>
        <v>0</v>
      </c>
      <c r="AI106" s="140">
        <f ca="1">IF(ISNUMBER(MATCH(DATEVALUE($A106),'recurring1_based on steps'!AI$1:AI$400,0)),AI$2,)</f>
        <v>0</v>
      </c>
      <c r="AJ106" s="140">
        <f ca="1">IF(ISNUMBER(MATCH(DATEVALUE($A106),'recurring1_based on steps'!AJ$1:AJ$400,0)),AJ$2,)</f>
        <v>0</v>
      </c>
      <c r="AK106" s="140">
        <f ca="1">IF(ISNUMBER(MATCH(DATEVALUE($A106),'recurring1_based on steps'!AK$1:AK$400,0)),AK$2,)</f>
        <v>0</v>
      </c>
      <c r="AL106" s="140">
        <f ca="1">IF(ISNUMBER(MATCH(DATEVALUE($A106),'recurring1_based on steps'!AL$1:AL$400,0)),AL$2,)</f>
        <v>0</v>
      </c>
      <c r="AM106" s="140">
        <f ca="1">IF(ISNUMBER(MATCH(DATEVALUE($A106),'recurring1_based on steps'!AM$1:AM$400,0)),AM$2,)</f>
        <v>0</v>
      </c>
      <c r="AN106" s="140">
        <f ca="1">IF(ISNUMBER(MATCH(DATEVALUE($A106),'recurring1_based on steps'!AN$1:AN$400,0)),AN$2,)</f>
        <v>0</v>
      </c>
      <c r="AO106" s="140">
        <f ca="1">IF(ISNUMBER(MATCH(DATEVALUE($A106),'recurring1_based on steps'!AO$1:AO$400,0)),AO$2,)</f>
        <v>0</v>
      </c>
      <c r="AP106" s="140">
        <f ca="1">IF(ISNUMBER(MATCH(DATEVALUE($A106),'recurring1_based on steps'!AP$1:AP$400,0)),AP$2,)</f>
        <v>0</v>
      </c>
      <c r="AQ106" s="140">
        <f ca="1">IF(ISNUMBER(MATCH(DATEVALUE($A106),'recurring1_based on steps'!AQ$1:AQ$400,0)),AQ$2,)</f>
        <v>0</v>
      </c>
      <c r="AR106" s="140">
        <f ca="1">IF(ISNUMBER(MATCH(DATEVALUE($A106),'recurring1_based on steps'!AR$1:AR$400,0)),AR$2,)</f>
        <v>0</v>
      </c>
      <c r="AS106" s="140">
        <f ca="1">IF(ISNUMBER(MATCH(DATEVALUE($A106),'recurring1_based on steps'!AS$1:AS$400,0)),AS$2,)</f>
        <v>0</v>
      </c>
      <c r="AT106" s="140">
        <f ca="1">IF(ISNUMBER(MATCH(DATEVALUE($A106),'recurring1_based on steps'!AT$1:AT$400,0)),AT$2,)</f>
        <v>0</v>
      </c>
      <c r="AU106" s="140">
        <f ca="1">IF(ISNUMBER(MATCH(DATEVALUE($A106),'recurring1_based on steps'!AU$1:AU$400,0)),AU$2,)</f>
        <v>0</v>
      </c>
      <c r="AV106" s="140">
        <f ca="1">IF(ISNUMBER(MATCH(DATEVALUE($A106),'recurring1_based on steps'!AV$1:AV$400,0)),AV$2,)</f>
        <v>0</v>
      </c>
      <c r="AW106" s="140">
        <f ca="1">IF(ISNUMBER(MATCH(DATEVALUE($A106),'recurring1_based on steps'!AW$1:AW$400,0)),AW$2,)</f>
        <v>0</v>
      </c>
      <c r="AX106" s="140">
        <f ca="1">IF(ISNUMBER(MATCH(DATEVALUE($A106),'recurring1_based on steps'!AX$1:AX$400,0)),AX$2,)</f>
        <v>0</v>
      </c>
      <c r="AY106" s="140">
        <f ca="1">IF(ISNUMBER(MATCH(DATEVALUE($A106),'recurring1_based on steps'!AY$1:AY$400,0)),AY$2,)</f>
        <v>0</v>
      </c>
    </row>
    <row r="107" spans="1:51" x14ac:dyDescent="0.2">
      <c r="A107" s="29" t="str">
        <f t="shared" ca="1" si="1"/>
        <v>2025-07-09</v>
      </c>
      <c r="B107" s="140">
        <f ca="1">IF(ISNUMBER(MATCH(DATEVALUE($A107),'recurring1_based on steps'!B$1:B$400,0)),B$2,)</f>
        <v>0</v>
      </c>
      <c r="C107" s="140">
        <f ca="1">IF(ISNUMBER(MATCH(DATEVALUE($A107),'recurring1_based on steps'!C$1:C$400,0)),C$2,)</f>
        <v>0</v>
      </c>
      <c r="D107" s="140">
        <f ca="1">IF(ISNUMBER(MATCH(DATEVALUE($A107),'recurring1_based on steps'!D$1:D$400,0)),D$2,)</f>
        <v>0</v>
      </c>
      <c r="E107" s="140">
        <f ca="1">IF(ISNUMBER(MATCH(DATEVALUE($A107),'recurring1_based on steps'!E$1:E$400,0)),E$2,)</f>
        <v>0</v>
      </c>
      <c r="F107" s="140">
        <f ca="1">IF(ISNUMBER(MATCH(DATEVALUE($A107),'recurring1_based on steps'!F$1:F$400,0)),F$2,)</f>
        <v>0</v>
      </c>
      <c r="G107" s="140">
        <f ca="1">IF(ISNUMBER(MATCH(DATEVALUE($A107),'recurring1_based on steps'!G$1:G$400,0)),G$2,)</f>
        <v>0</v>
      </c>
      <c r="H107" s="140">
        <f ca="1">IF(ISNUMBER(MATCH(DATEVALUE($A107),'recurring1_based on steps'!H$1:H$400,0)),H$2,)</f>
        <v>0</v>
      </c>
      <c r="I107" s="140">
        <f ca="1">IF(ISNUMBER(MATCH(DATEVALUE($A107),'recurring1_based on steps'!I$1:I$400,0)),I$2,)</f>
        <v>0</v>
      </c>
      <c r="J107" s="140">
        <f ca="1">IF(ISNUMBER(MATCH(DATEVALUE($A107),'recurring1_based on steps'!J$1:J$400,0)),J$2,)</f>
        <v>0</v>
      </c>
      <c r="K107" s="140">
        <f ca="1">IF(ISNUMBER(MATCH(DATEVALUE($A107),'recurring1_based on steps'!K$1:K$400,0)),K$2,)</f>
        <v>0</v>
      </c>
      <c r="L107" s="140">
        <f ca="1">IF(ISNUMBER(MATCH(DATEVALUE($A107),'recurring1_based on steps'!L$1:L$400,0)),L$2,)</f>
        <v>0</v>
      </c>
      <c r="M107" s="140">
        <f ca="1">IF(ISNUMBER(MATCH(DATEVALUE($A107),'recurring1_based on steps'!M$1:M$400,0)),M$2,)</f>
        <v>0</v>
      </c>
      <c r="N107" s="140">
        <f ca="1">IF(ISNUMBER(MATCH(DATEVALUE($A107),'recurring1_based on steps'!N$1:N$400,0)),N$2,)</f>
        <v>0</v>
      </c>
      <c r="O107" s="140">
        <f ca="1">IF(ISNUMBER(MATCH(DATEVALUE($A107),'recurring1_based on steps'!O$1:O$400,0)),O$2,)</f>
        <v>0</v>
      </c>
      <c r="P107" s="140">
        <f ca="1">IF(ISNUMBER(MATCH(DATEVALUE($A107),'recurring1_based on steps'!P$1:P$400,0)),P$2,)</f>
        <v>0</v>
      </c>
      <c r="Q107" s="140">
        <f ca="1">IF(ISNUMBER(MATCH(DATEVALUE($A107),'recurring1_based on steps'!Q$1:Q$400,0)),Q$2,)</f>
        <v>0</v>
      </c>
      <c r="R107" s="140">
        <f ca="1">IF(ISNUMBER(MATCH(DATEVALUE($A107),'recurring1_based on steps'!R$1:R$400,0)),R$2,)</f>
        <v>0</v>
      </c>
      <c r="S107" s="140">
        <f ca="1">IF(ISNUMBER(MATCH(DATEVALUE($A107),'recurring1_based on steps'!S$1:S$400,0)),S$2,)</f>
        <v>0</v>
      </c>
      <c r="T107" s="140">
        <f ca="1">IF(ISNUMBER(MATCH(DATEVALUE($A107),'recurring1_based on steps'!T$1:T$400,0)),T$2,)</f>
        <v>0</v>
      </c>
      <c r="U107" s="140">
        <f ca="1">IF(ISNUMBER(MATCH(DATEVALUE($A107),'recurring1_based on steps'!U$1:U$400,0)),U$2,)</f>
        <v>0</v>
      </c>
      <c r="V107" s="140">
        <f ca="1">IF(ISNUMBER(MATCH(DATEVALUE($A107),'recurring1_based on steps'!V$1:V$400,0)),V$2,)</f>
        <v>0</v>
      </c>
      <c r="W107" s="140">
        <f ca="1">IF(ISNUMBER(MATCH(DATEVALUE($A107),'recurring1_based on steps'!W$1:W$400,0)),W$2,)</f>
        <v>0</v>
      </c>
      <c r="X107" s="140">
        <f ca="1">IF(ISNUMBER(MATCH(DATEVALUE($A107),'recurring1_based on steps'!X$1:X$400,0)),X$2,)</f>
        <v>0</v>
      </c>
      <c r="Y107" s="140">
        <f ca="1">IF(ISNUMBER(MATCH(DATEVALUE($A107),'recurring1_based on steps'!Y$1:Y$400,0)),Y$2,)</f>
        <v>0</v>
      </c>
      <c r="Z107" s="140">
        <f ca="1">IF(ISNUMBER(MATCH(DATEVALUE($A107),'recurring1_based on steps'!Z$1:Z$400,0)),Z$2,)</f>
        <v>0</v>
      </c>
      <c r="AA107" s="140">
        <f ca="1">IF(ISNUMBER(MATCH(DATEVALUE($A107),'recurring1_based on steps'!AA$1:AA$400,0)),AA$2,)</f>
        <v>0</v>
      </c>
      <c r="AB107" s="140">
        <f ca="1">IF(ISNUMBER(MATCH(DATEVALUE($A107),'recurring1_based on steps'!AB$1:AB$400,0)),AB$2,)</f>
        <v>5.5401662049861494E-2</v>
      </c>
      <c r="AC107" s="140">
        <f ca="1">IF(ISNUMBER(MATCH(DATEVALUE($A107),'recurring1_based on steps'!AC$1:AC$400,0)),AC$2,)</f>
        <v>0</v>
      </c>
      <c r="AD107" s="140">
        <f ca="1">IF(ISNUMBER(MATCH(DATEVALUE($A107),'recurring1_based on steps'!AD$1:AD$400,0)),AD$2,)</f>
        <v>0</v>
      </c>
      <c r="AE107" s="140">
        <f ca="1">IF(ISNUMBER(MATCH(DATEVALUE($A107),'recurring1_based on steps'!AE$1:AE$400,0)),AE$2,)</f>
        <v>0</v>
      </c>
      <c r="AF107" s="140">
        <f ca="1">IF(ISNUMBER(MATCH(DATEVALUE($A107),'recurring1_based on steps'!AF$1:AF$400,0)),AF$2,)</f>
        <v>0</v>
      </c>
      <c r="AG107" s="140">
        <f ca="1">IF(ISNUMBER(MATCH(DATEVALUE($A107),'recurring1_based on steps'!AG$1:AG$400,0)),AG$2,)</f>
        <v>0</v>
      </c>
      <c r="AH107" s="140">
        <f ca="1">IF(ISNUMBER(MATCH(DATEVALUE($A107),'recurring1_based on steps'!AH$1:AH$400,0)),AH$2,)</f>
        <v>0</v>
      </c>
      <c r="AI107" s="140">
        <f ca="1">IF(ISNUMBER(MATCH(DATEVALUE($A107),'recurring1_based on steps'!AI$1:AI$400,0)),AI$2,)</f>
        <v>0</v>
      </c>
      <c r="AJ107" s="140">
        <f ca="1">IF(ISNUMBER(MATCH(DATEVALUE($A107),'recurring1_based on steps'!AJ$1:AJ$400,0)),AJ$2,)</f>
        <v>0</v>
      </c>
      <c r="AK107" s="140">
        <f ca="1">IF(ISNUMBER(MATCH(DATEVALUE($A107),'recurring1_based on steps'!AK$1:AK$400,0)),AK$2,)</f>
        <v>0</v>
      </c>
      <c r="AL107" s="140">
        <f ca="1">IF(ISNUMBER(MATCH(DATEVALUE($A107),'recurring1_based on steps'!AL$1:AL$400,0)),AL$2,)</f>
        <v>0</v>
      </c>
      <c r="AM107" s="140">
        <f ca="1">IF(ISNUMBER(MATCH(DATEVALUE($A107),'recurring1_based on steps'!AM$1:AM$400,0)),AM$2,)</f>
        <v>0</v>
      </c>
      <c r="AN107" s="140">
        <f ca="1">IF(ISNUMBER(MATCH(DATEVALUE($A107),'recurring1_based on steps'!AN$1:AN$400,0)),AN$2,)</f>
        <v>0</v>
      </c>
      <c r="AO107" s="140">
        <f ca="1">IF(ISNUMBER(MATCH(DATEVALUE($A107),'recurring1_based on steps'!AO$1:AO$400,0)),AO$2,)</f>
        <v>0</v>
      </c>
      <c r="AP107" s="140">
        <f ca="1">IF(ISNUMBER(MATCH(DATEVALUE($A107),'recurring1_based on steps'!AP$1:AP$400,0)),AP$2,)</f>
        <v>0</v>
      </c>
      <c r="AQ107" s="140">
        <f ca="1">IF(ISNUMBER(MATCH(DATEVALUE($A107),'recurring1_based on steps'!AQ$1:AQ$400,0)),AQ$2,)</f>
        <v>0</v>
      </c>
      <c r="AR107" s="140">
        <f ca="1">IF(ISNUMBER(MATCH(DATEVALUE($A107),'recurring1_based on steps'!AR$1:AR$400,0)),AR$2,)</f>
        <v>0</v>
      </c>
      <c r="AS107" s="140">
        <f ca="1">IF(ISNUMBER(MATCH(DATEVALUE($A107),'recurring1_based on steps'!AS$1:AS$400,0)),AS$2,)</f>
        <v>0</v>
      </c>
      <c r="AT107" s="140">
        <f ca="1">IF(ISNUMBER(MATCH(DATEVALUE($A107),'recurring1_based on steps'!AT$1:AT$400,0)),AT$2,)</f>
        <v>0</v>
      </c>
      <c r="AU107" s="140">
        <f ca="1">IF(ISNUMBER(MATCH(DATEVALUE($A107),'recurring1_based on steps'!AU$1:AU$400,0)),AU$2,)</f>
        <v>0</v>
      </c>
      <c r="AV107" s="140">
        <f ca="1">IF(ISNUMBER(MATCH(DATEVALUE($A107),'recurring1_based on steps'!AV$1:AV$400,0)),AV$2,)</f>
        <v>0</v>
      </c>
      <c r="AW107" s="140">
        <f ca="1">IF(ISNUMBER(MATCH(DATEVALUE($A107),'recurring1_based on steps'!AW$1:AW$400,0)),AW$2,)</f>
        <v>0</v>
      </c>
      <c r="AX107" s="140">
        <f ca="1">IF(ISNUMBER(MATCH(DATEVALUE($A107),'recurring1_based on steps'!AX$1:AX$400,0)),AX$2,)</f>
        <v>0</v>
      </c>
      <c r="AY107" s="140">
        <f ca="1">IF(ISNUMBER(MATCH(DATEVALUE($A107),'recurring1_based on steps'!AY$1:AY$400,0)),AY$2,)</f>
        <v>0</v>
      </c>
    </row>
    <row r="108" spans="1:51" x14ac:dyDescent="0.2">
      <c r="A108" s="29" t="str">
        <f t="shared" ca="1" si="1"/>
        <v>2025-07-10</v>
      </c>
      <c r="B108" s="140">
        <f ca="1">IF(ISNUMBER(MATCH(DATEVALUE($A108),'recurring1_based on steps'!B$1:B$400,0)),B$2,)</f>
        <v>0</v>
      </c>
      <c r="C108" s="140">
        <f ca="1">IF(ISNUMBER(MATCH(DATEVALUE($A108),'recurring1_based on steps'!C$1:C$400,0)),C$2,)</f>
        <v>0</v>
      </c>
      <c r="D108" s="140">
        <f ca="1">IF(ISNUMBER(MATCH(DATEVALUE($A108),'recurring1_based on steps'!D$1:D$400,0)),D$2,)</f>
        <v>0</v>
      </c>
      <c r="E108" s="140">
        <f ca="1">IF(ISNUMBER(MATCH(DATEVALUE($A108),'recurring1_based on steps'!E$1:E$400,0)),E$2,)</f>
        <v>0</v>
      </c>
      <c r="F108" s="140">
        <f ca="1">IF(ISNUMBER(MATCH(DATEVALUE($A108),'recurring1_based on steps'!F$1:F$400,0)),F$2,)</f>
        <v>0</v>
      </c>
      <c r="G108" s="140">
        <f ca="1">IF(ISNUMBER(MATCH(DATEVALUE($A108),'recurring1_based on steps'!G$1:G$400,0)),G$2,)</f>
        <v>0</v>
      </c>
      <c r="H108" s="140">
        <f ca="1">IF(ISNUMBER(MATCH(DATEVALUE($A108),'recurring1_based on steps'!H$1:H$400,0)),H$2,)</f>
        <v>0</v>
      </c>
      <c r="I108" s="140">
        <f ca="1">IF(ISNUMBER(MATCH(DATEVALUE($A108),'recurring1_based on steps'!I$1:I$400,0)),I$2,)</f>
        <v>0</v>
      </c>
      <c r="J108" s="140">
        <f ca="1">IF(ISNUMBER(MATCH(DATEVALUE($A108),'recurring1_based on steps'!J$1:J$400,0)),J$2,)</f>
        <v>0</v>
      </c>
      <c r="K108" s="140">
        <f ca="1">IF(ISNUMBER(MATCH(DATEVALUE($A108),'recurring1_based on steps'!K$1:K$400,0)),K$2,)</f>
        <v>0</v>
      </c>
      <c r="L108" s="140">
        <f ca="1">IF(ISNUMBER(MATCH(DATEVALUE($A108),'recurring1_based on steps'!L$1:L$400,0)),L$2,)</f>
        <v>0</v>
      </c>
      <c r="M108" s="140">
        <f ca="1">IF(ISNUMBER(MATCH(DATEVALUE($A108),'recurring1_based on steps'!M$1:M$400,0)),M$2,)</f>
        <v>0</v>
      </c>
      <c r="N108" s="140">
        <f ca="1">IF(ISNUMBER(MATCH(DATEVALUE($A108),'recurring1_based on steps'!N$1:N$400,0)),N$2,)</f>
        <v>0</v>
      </c>
      <c r="O108" s="140">
        <f ca="1">IF(ISNUMBER(MATCH(DATEVALUE($A108),'recurring1_based on steps'!O$1:O$400,0)),O$2,)</f>
        <v>0</v>
      </c>
      <c r="P108" s="140">
        <f ca="1">IF(ISNUMBER(MATCH(DATEVALUE($A108),'recurring1_based on steps'!P$1:P$400,0)),P$2,)</f>
        <v>0</v>
      </c>
      <c r="Q108" s="140">
        <f ca="1">IF(ISNUMBER(MATCH(DATEVALUE($A108),'recurring1_based on steps'!Q$1:Q$400,0)),Q$2,)</f>
        <v>0</v>
      </c>
      <c r="R108" s="140">
        <f ca="1">IF(ISNUMBER(MATCH(DATEVALUE($A108),'recurring1_based on steps'!R$1:R$400,0)),R$2,)</f>
        <v>0</v>
      </c>
      <c r="S108" s="140">
        <f ca="1">IF(ISNUMBER(MATCH(DATEVALUE($A108),'recurring1_based on steps'!S$1:S$400,0)),S$2,)</f>
        <v>0</v>
      </c>
      <c r="T108" s="140">
        <f ca="1">IF(ISNUMBER(MATCH(DATEVALUE($A108),'recurring1_based on steps'!T$1:T$400,0)),T$2,)</f>
        <v>0</v>
      </c>
      <c r="U108" s="140">
        <f ca="1">IF(ISNUMBER(MATCH(DATEVALUE($A108),'recurring1_based on steps'!U$1:U$400,0)),U$2,)</f>
        <v>0</v>
      </c>
      <c r="V108" s="140">
        <f ca="1">IF(ISNUMBER(MATCH(DATEVALUE($A108),'recurring1_based on steps'!V$1:V$400,0)),V$2,)</f>
        <v>0</v>
      </c>
      <c r="W108" s="140">
        <f ca="1">IF(ISNUMBER(MATCH(DATEVALUE($A108),'recurring1_based on steps'!W$1:W$400,0)),W$2,)</f>
        <v>0</v>
      </c>
      <c r="X108" s="140">
        <f ca="1">IF(ISNUMBER(MATCH(DATEVALUE($A108),'recurring1_based on steps'!X$1:X$400,0)),X$2,)</f>
        <v>0</v>
      </c>
      <c r="Y108" s="140">
        <f ca="1">IF(ISNUMBER(MATCH(DATEVALUE($A108),'recurring1_based on steps'!Y$1:Y$400,0)),Y$2,)</f>
        <v>0</v>
      </c>
      <c r="Z108" s="140">
        <f ca="1">IF(ISNUMBER(MATCH(DATEVALUE($A108),'recurring1_based on steps'!Z$1:Z$400,0)),Z$2,)</f>
        <v>0</v>
      </c>
      <c r="AA108" s="140">
        <f ca="1">IF(ISNUMBER(MATCH(DATEVALUE($A108),'recurring1_based on steps'!AA$1:AA$400,0)),AA$2,)</f>
        <v>0</v>
      </c>
      <c r="AB108" s="140">
        <f ca="1">IF(ISNUMBER(MATCH(DATEVALUE($A108),'recurring1_based on steps'!AB$1:AB$400,0)),AB$2,)</f>
        <v>5.5401662049861494E-2</v>
      </c>
      <c r="AC108" s="140">
        <f ca="1">IF(ISNUMBER(MATCH(DATEVALUE($A108),'recurring1_based on steps'!AC$1:AC$400,0)),AC$2,)</f>
        <v>0</v>
      </c>
      <c r="AD108" s="140">
        <f ca="1">IF(ISNUMBER(MATCH(DATEVALUE($A108),'recurring1_based on steps'!AD$1:AD$400,0)),AD$2,)</f>
        <v>0</v>
      </c>
      <c r="AE108" s="140">
        <f ca="1">IF(ISNUMBER(MATCH(DATEVALUE($A108),'recurring1_based on steps'!AE$1:AE$400,0)),AE$2,)</f>
        <v>0</v>
      </c>
      <c r="AF108" s="140">
        <f ca="1">IF(ISNUMBER(MATCH(DATEVALUE($A108),'recurring1_based on steps'!AF$1:AF$400,0)),AF$2,)</f>
        <v>0</v>
      </c>
      <c r="AG108" s="140">
        <f ca="1">IF(ISNUMBER(MATCH(DATEVALUE($A108),'recurring1_based on steps'!AG$1:AG$400,0)),AG$2,)</f>
        <v>0</v>
      </c>
      <c r="AH108" s="140">
        <f ca="1">IF(ISNUMBER(MATCH(DATEVALUE($A108),'recurring1_based on steps'!AH$1:AH$400,0)),AH$2,)</f>
        <v>0</v>
      </c>
      <c r="AI108" s="140">
        <f ca="1">IF(ISNUMBER(MATCH(DATEVALUE($A108),'recurring1_based on steps'!AI$1:AI$400,0)),AI$2,)</f>
        <v>0</v>
      </c>
      <c r="AJ108" s="140">
        <f ca="1">IF(ISNUMBER(MATCH(DATEVALUE($A108),'recurring1_based on steps'!AJ$1:AJ$400,0)),AJ$2,)</f>
        <v>0</v>
      </c>
      <c r="AK108" s="140">
        <f ca="1">IF(ISNUMBER(MATCH(DATEVALUE($A108),'recurring1_based on steps'!AK$1:AK$400,0)),AK$2,)</f>
        <v>0</v>
      </c>
      <c r="AL108" s="140">
        <f ca="1">IF(ISNUMBER(MATCH(DATEVALUE($A108),'recurring1_based on steps'!AL$1:AL$400,0)),AL$2,)</f>
        <v>0</v>
      </c>
      <c r="AM108" s="140">
        <f ca="1">IF(ISNUMBER(MATCH(DATEVALUE($A108),'recurring1_based on steps'!AM$1:AM$400,0)),AM$2,)</f>
        <v>0</v>
      </c>
      <c r="AN108" s="140">
        <f ca="1">IF(ISNUMBER(MATCH(DATEVALUE($A108),'recurring1_based on steps'!AN$1:AN$400,0)),AN$2,)</f>
        <v>0</v>
      </c>
      <c r="AO108" s="140">
        <f ca="1">IF(ISNUMBER(MATCH(DATEVALUE($A108),'recurring1_based on steps'!AO$1:AO$400,0)),AO$2,)</f>
        <v>0</v>
      </c>
      <c r="AP108" s="140">
        <f ca="1">IF(ISNUMBER(MATCH(DATEVALUE($A108),'recurring1_based on steps'!AP$1:AP$400,0)),AP$2,)</f>
        <v>0</v>
      </c>
      <c r="AQ108" s="140">
        <f ca="1">IF(ISNUMBER(MATCH(DATEVALUE($A108),'recurring1_based on steps'!AQ$1:AQ$400,0)),AQ$2,)</f>
        <v>0</v>
      </c>
      <c r="AR108" s="140">
        <f ca="1">IF(ISNUMBER(MATCH(DATEVALUE($A108),'recurring1_based on steps'!AR$1:AR$400,0)),AR$2,)</f>
        <v>0</v>
      </c>
      <c r="AS108" s="140">
        <f ca="1">IF(ISNUMBER(MATCH(DATEVALUE($A108),'recurring1_based on steps'!AS$1:AS$400,0)),AS$2,)</f>
        <v>0</v>
      </c>
      <c r="AT108" s="140">
        <f ca="1">IF(ISNUMBER(MATCH(DATEVALUE($A108),'recurring1_based on steps'!AT$1:AT$400,0)),AT$2,)</f>
        <v>0</v>
      </c>
      <c r="AU108" s="140">
        <f ca="1">IF(ISNUMBER(MATCH(DATEVALUE($A108),'recurring1_based on steps'!AU$1:AU$400,0)),AU$2,)</f>
        <v>0</v>
      </c>
      <c r="AV108" s="140">
        <f ca="1">IF(ISNUMBER(MATCH(DATEVALUE($A108),'recurring1_based on steps'!AV$1:AV$400,0)),AV$2,)</f>
        <v>0</v>
      </c>
      <c r="AW108" s="140">
        <f ca="1">IF(ISNUMBER(MATCH(DATEVALUE($A108),'recurring1_based on steps'!AW$1:AW$400,0)),AW$2,)</f>
        <v>0</v>
      </c>
      <c r="AX108" s="140">
        <f ca="1">IF(ISNUMBER(MATCH(DATEVALUE($A108),'recurring1_based on steps'!AX$1:AX$400,0)),AX$2,)</f>
        <v>0</v>
      </c>
      <c r="AY108" s="140">
        <f ca="1">IF(ISNUMBER(MATCH(DATEVALUE($A108),'recurring1_based on steps'!AY$1:AY$400,0)),AY$2,)</f>
        <v>0</v>
      </c>
    </row>
    <row r="109" spans="1:51" x14ac:dyDescent="0.2">
      <c r="A109" s="29" t="str">
        <f t="shared" ca="1" si="1"/>
        <v>2025-07-11</v>
      </c>
      <c r="B109" s="140">
        <f ca="1">IF(ISNUMBER(MATCH(DATEVALUE($A109),'recurring1_based on steps'!B$1:B$400,0)),B$2,)</f>
        <v>4000</v>
      </c>
      <c r="C109" s="140">
        <f ca="1">IF(ISNUMBER(MATCH(DATEVALUE($A109),'recurring1_based on steps'!C$1:C$400,0)),C$2,)</f>
        <v>200</v>
      </c>
      <c r="D109" s="140">
        <f ca="1">IF(ISNUMBER(MATCH(DATEVALUE($A109),'recurring1_based on steps'!D$1:D$400,0)),D$2,)</f>
        <v>2</v>
      </c>
      <c r="E109" s="140">
        <f ca="1">IF(ISNUMBER(MATCH(DATEVALUE($A109),'recurring1_based on steps'!E$1:E$400,0)),E$2,)</f>
        <v>40</v>
      </c>
      <c r="F109" s="140">
        <f ca="1">IF(ISNUMBER(MATCH(DATEVALUE($A109),'recurring1_based on steps'!F$1:F$400,0)),F$2,)</f>
        <v>50</v>
      </c>
      <c r="G109" s="140">
        <f ca="1">IF(ISNUMBER(MATCH(DATEVALUE($A109),'recurring1_based on steps'!G$1:G$400,0)),G$2,)</f>
        <v>4</v>
      </c>
      <c r="H109" s="140">
        <f ca="1">IF(ISNUMBER(MATCH(DATEVALUE($A109),'recurring1_based on steps'!H$1:H$400,0)),H$2,)</f>
        <v>0</v>
      </c>
      <c r="I109" s="140">
        <f ca="1">IF(ISNUMBER(MATCH(DATEVALUE($A109),'recurring1_based on steps'!I$1:I$400,0)),I$2,)</f>
        <v>0</v>
      </c>
      <c r="J109" s="140">
        <f ca="1">IF(ISNUMBER(MATCH(DATEVALUE($A109),'recurring1_based on steps'!J$1:J$400,0)),J$2,)</f>
        <v>0</v>
      </c>
      <c r="K109" s="140">
        <f ca="1">IF(ISNUMBER(MATCH(DATEVALUE($A109),'recurring1_based on steps'!K$1:K$400,0)),K$2,)</f>
        <v>0</v>
      </c>
      <c r="L109" s="140">
        <f ca="1">IF(ISNUMBER(MATCH(DATEVALUE($A109),'recurring1_based on steps'!L$1:L$400,0)),L$2,)</f>
        <v>0</v>
      </c>
      <c r="M109" s="140">
        <f ca="1">IF(ISNUMBER(MATCH(DATEVALUE($A109),'recurring1_based on steps'!M$1:M$400,0)),M$2,)</f>
        <v>0</v>
      </c>
      <c r="N109" s="140">
        <f ca="1">IF(ISNUMBER(MATCH(DATEVALUE($A109),'recurring1_based on steps'!N$1:N$400,0)),N$2,)</f>
        <v>0</v>
      </c>
      <c r="O109" s="140">
        <f ca="1">IF(ISNUMBER(MATCH(DATEVALUE($A109),'recurring1_based on steps'!O$1:O$400,0)),O$2,)</f>
        <v>0</v>
      </c>
      <c r="P109" s="140">
        <f ca="1">IF(ISNUMBER(MATCH(DATEVALUE($A109),'recurring1_based on steps'!P$1:P$400,0)),P$2,)</f>
        <v>0</v>
      </c>
      <c r="Q109" s="140">
        <f ca="1">IF(ISNUMBER(MATCH(DATEVALUE($A109),'recurring1_based on steps'!Q$1:Q$400,0)),Q$2,)</f>
        <v>0</v>
      </c>
      <c r="R109" s="140">
        <f ca="1">IF(ISNUMBER(MATCH(DATEVALUE($A109),'recurring1_based on steps'!R$1:R$400,0)),R$2,)</f>
        <v>0</v>
      </c>
      <c r="S109" s="140">
        <f ca="1">IF(ISNUMBER(MATCH(DATEVALUE($A109),'recurring1_based on steps'!S$1:S$400,0)),S$2,)</f>
        <v>0</v>
      </c>
      <c r="T109" s="140">
        <f ca="1">IF(ISNUMBER(MATCH(DATEVALUE($A109),'recurring1_based on steps'!T$1:T$400,0)),T$2,)</f>
        <v>0</v>
      </c>
      <c r="U109" s="140">
        <f ca="1">IF(ISNUMBER(MATCH(DATEVALUE($A109),'recurring1_based on steps'!U$1:U$400,0)),U$2,)</f>
        <v>0</v>
      </c>
      <c r="V109" s="140">
        <f ca="1">IF(ISNUMBER(MATCH(DATEVALUE($A109),'recurring1_based on steps'!V$1:V$400,0)),V$2,)</f>
        <v>0</v>
      </c>
      <c r="W109" s="140">
        <f ca="1">IF(ISNUMBER(MATCH(DATEVALUE($A109),'recurring1_based on steps'!W$1:W$400,0)),W$2,)</f>
        <v>0</v>
      </c>
      <c r="X109" s="140">
        <f ca="1">IF(ISNUMBER(MATCH(DATEVALUE($A109),'recurring1_based on steps'!X$1:X$400,0)),X$2,)</f>
        <v>50</v>
      </c>
      <c r="Y109" s="140">
        <f ca="1">IF(ISNUMBER(MATCH(DATEVALUE($A109),'recurring1_based on steps'!Y$1:Y$400,0)),Y$2,)</f>
        <v>50</v>
      </c>
      <c r="Z109" s="140">
        <f ca="1">IF(ISNUMBER(MATCH(DATEVALUE($A109),'recurring1_based on steps'!Z$1:Z$400,0)),Z$2,)</f>
        <v>0</v>
      </c>
      <c r="AA109" s="140">
        <f ca="1">IF(ISNUMBER(MATCH(DATEVALUE($A109),'recurring1_based on steps'!AA$1:AA$400,0)),AA$2,)</f>
        <v>0</v>
      </c>
      <c r="AB109" s="140">
        <f ca="1">IF(ISNUMBER(MATCH(DATEVALUE($A109),'recurring1_based on steps'!AB$1:AB$400,0)),AB$2,)</f>
        <v>5.5401662049861494E-2</v>
      </c>
      <c r="AC109" s="140">
        <f ca="1">IF(ISNUMBER(MATCH(DATEVALUE($A109),'recurring1_based on steps'!AC$1:AC$400,0)),AC$2,)</f>
        <v>0</v>
      </c>
      <c r="AD109" s="140">
        <f ca="1">IF(ISNUMBER(MATCH(DATEVALUE($A109),'recurring1_based on steps'!AD$1:AD$400,0)),AD$2,)</f>
        <v>0</v>
      </c>
      <c r="AE109" s="140">
        <f ca="1">IF(ISNUMBER(MATCH(DATEVALUE($A109),'recurring1_based on steps'!AE$1:AE$400,0)),AE$2,)</f>
        <v>0</v>
      </c>
      <c r="AF109" s="140">
        <f ca="1">IF(ISNUMBER(MATCH(DATEVALUE($A109),'recurring1_based on steps'!AF$1:AF$400,0)),AF$2,)</f>
        <v>0</v>
      </c>
      <c r="AG109" s="140">
        <f ca="1">IF(ISNUMBER(MATCH(DATEVALUE($A109),'recurring1_based on steps'!AG$1:AG$400,0)),AG$2,)</f>
        <v>0</v>
      </c>
      <c r="AH109" s="140">
        <f ca="1">IF(ISNUMBER(MATCH(DATEVALUE($A109),'recurring1_based on steps'!AH$1:AH$400,0)),AH$2,)</f>
        <v>0</v>
      </c>
      <c r="AI109" s="140">
        <f ca="1">IF(ISNUMBER(MATCH(DATEVALUE($A109),'recurring1_based on steps'!AI$1:AI$400,0)),AI$2,)</f>
        <v>0</v>
      </c>
      <c r="AJ109" s="140">
        <f ca="1">IF(ISNUMBER(MATCH(DATEVALUE($A109),'recurring1_based on steps'!AJ$1:AJ$400,0)),AJ$2,)</f>
        <v>0</v>
      </c>
      <c r="AK109" s="140">
        <f ca="1">IF(ISNUMBER(MATCH(DATEVALUE($A109),'recurring1_based on steps'!AK$1:AK$400,0)),AK$2,)</f>
        <v>0</v>
      </c>
      <c r="AL109" s="140">
        <f ca="1">IF(ISNUMBER(MATCH(DATEVALUE($A109),'recurring1_based on steps'!AL$1:AL$400,0)),AL$2,)</f>
        <v>0</v>
      </c>
      <c r="AM109" s="140">
        <f ca="1">IF(ISNUMBER(MATCH(DATEVALUE($A109),'recurring1_based on steps'!AM$1:AM$400,0)),AM$2,)</f>
        <v>0</v>
      </c>
      <c r="AN109" s="140">
        <f ca="1">IF(ISNUMBER(MATCH(DATEVALUE($A109),'recurring1_based on steps'!AN$1:AN$400,0)),AN$2,)</f>
        <v>0</v>
      </c>
      <c r="AO109" s="140">
        <f ca="1">IF(ISNUMBER(MATCH(DATEVALUE($A109),'recurring1_based on steps'!AO$1:AO$400,0)),AO$2,)</f>
        <v>0</v>
      </c>
      <c r="AP109" s="140">
        <f ca="1">IF(ISNUMBER(MATCH(DATEVALUE($A109),'recurring1_based on steps'!AP$1:AP$400,0)),AP$2,)</f>
        <v>0</v>
      </c>
      <c r="AQ109" s="140">
        <f ca="1">IF(ISNUMBER(MATCH(DATEVALUE($A109),'recurring1_based on steps'!AQ$1:AQ$400,0)),AQ$2,)</f>
        <v>0</v>
      </c>
      <c r="AR109" s="140">
        <f ca="1">IF(ISNUMBER(MATCH(DATEVALUE($A109),'recurring1_based on steps'!AR$1:AR$400,0)),AR$2,)</f>
        <v>0</v>
      </c>
      <c r="AS109" s="140">
        <f ca="1">IF(ISNUMBER(MATCH(DATEVALUE($A109),'recurring1_based on steps'!AS$1:AS$400,0)),AS$2,)</f>
        <v>0</v>
      </c>
      <c r="AT109" s="140">
        <f ca="1">IF(ISNUMBER(MATCH(DATEVALUE($A109),'recurring1_based on steps'!AT$1:AT$400,0)),AT$2,)</f>
        <v>0</v>
      </c>
      <c r="AU109" s="140">
        <f ca="1">IF(ISNUMBER(MATCH(DATEVALUE($A109),'recurring1_based on steps'!AU$1:AU$400,0)),AU$2,)</f>
        <v>0</v>
      </c>
      <c r="AV109" s="140">
        <f ca="1">IF(ISNUMBER(MATCH(DATEVALUE($A109),'recurring1_based on steps'!AV$1:AV$400,0)),AV$2,)</f>
        <v>0</v>
      </c>
      <c r="AW109" s="140">
        <f ca="1">IF(ISNUMBER(MATCH(DATEVALUE($A109),'recurring1_based on steps'!AW$1:AW$400,0)),AW$2,)</f>
        <v>0</v>
      </c>
      <c r="AX109" s="140">
        <f ca="1">IF(ISNUMBER(MATCH(DATEVALUE($A109),'recurring1_based on steps'!AX$1:AX$400,0)),AX$2,)</f>
        <v>0</v>
      </c>
      <c r="AY109" s="140">
        <f ca="1">IF(ISNUMBER(MATCH(DATEVALUE($A109),'recurring1_based on steps'!AY$1:AY$400,0)),AY$2,)</f>
        <v>0</v>
      </c>
    </row>
    <row r="110" spans="1:51" x14ac:dyDescent="0.2">
      <c r="A110" s="29" t="str">
        <f t="shared" ca="1" si="1"/>
        <v>2025-07-12</v>
      </c>
      <c r="B110" s="140">
        <f ca="1">IF(ISNUMBER(MATCH(DATEVALUE($A110),'recurring1_based on steps'!B$1:B$400,0)),B$2,)</f>
        <v>0</v>
      </c>
      <c r="C110" s="140">
        <f ca="1">IF(ISNUMBER(MATCH(DATEVALUE($A110),'recurring1_based on steps'!C$1:C$400,0)),C$2,)</f>
        <v>0</v>
      </c>
      <c r="D110" s="140">
        <f ca="1">IF(ISNUMBER(MATCH(DATEVALUE($A110),'recurring1_based on steps'!D$1:D$400,0)),D$2,)</f>
        <v>0</v>
      </c>
      <c r="E110" s="140">
        <f ca="1">IF(ISNUMBER(MATCH(DATEVALUE($A110),'recurring1_based on steps'!E$1:E$400,0)),E$2,)</f>
        <v>0</v>
      </c>
      <c r="F110" s="140">
        <f ca="1">IF(ISNUMBER(MATCH(DATEVALUE($A110),'recurring1_based on steps'!F$1:F$400,0)),F$2,)</f>
        <v>0</v>
      </c>
      <c r="G110" s="140">
        <f ca="1">IF(ISNUMBER(MATCH(DATEVALUE($A110),'recurring1_based on steps'!G$1:G$400,0)),G$2,)</f>
        <v>0</v>
      </c>
      <c r="H110" s="140">
        <f ca="1">IF(ISNUMBER(MATCH(DATEVALUE($A110),'recurring1_based on steps'!H$1:H$400,0)),H$2,)</f>
        <v>0</v>
      </c>
      <c r="I110" s="140">
        <f ca="1">IF(ISNUMBER(MATCH(DATEVALUE($A110),'recurring1_based on steps'!I$1:I$400,0)),I$2,)</f>
        <v>0</v>
      </c>
      <c r="J110" s="140">
        <f ca="1">IF(ISNUMBER(MATCH(DATEVALUE($A110),'recurring1_based on steps'!J$1:J$400,0)),J$2,)</f>
        <v>0</v>
      </c>
      <c r="K110" s="140">
        <f ca="1">IF(ISNUMBER(MATCH(DATEVALUE($A110),'recurring1_based on steps'!K$1:K$400,0)),K$2,)</f>
        <v>0</v>
      </c>
      <c r="L110" s="140">
        <f ca="1">IF(ISNUMBER(MATCH(DATEVALUE($A110),'recurring1_based on steps'!L$1:L$400,0)),L$2,)</f>
        <v>0</v>
      </c>
      <c r="M110" s="140">
        <f ca="1">IF(ISNUMBER(MATCH(DATEVALUE($A110),'recurring1_based on steps'!M$1:M$400,0)),M$2,)</f>
        <v>0</v>
      </c>
      <c r="N110" s="140">
        <f ca="1">IF(ISNUMBER(MATCH(DATEVALUE($A110),'recurring1_based on steps'!N$1:N$400,0)),N$2,)</f>
        <v>0</v>
      </c>
      <c r="O110" s="140">
        <f ca="1">IF(ISNUMBER(MATCH(DATEVALUE($A110),'recurring1_based on steps'!O$1:O$400,0)),O$2,)</f>
        <v>0</v>
      </c>
      <c r="P110" s="140">
        <f ca="1">IF(ISNUMBER(MATCH(DATEVALUE($A110),'recurring1_based on steps'!P$1:P$400,0)),P$2,)</f>
        <v>0</v>
      </c>
      <c r="Q110" s="140">
        <f ca="1">IF(ISNUMBER(MATCH(DATEVALUE($A110),'recurring1_based on steps'!Q$1:Q$400,0)),Q$2,)</f>
        <v>100</v>
      </c>
      <c r="R110" s="140">
        <f ca="1">IF(ISNUMBER(MATCH(DATEVALUE($A110),'recurring1_based on steps'!R$1:R$400,0)),R$2,)</f>
        <v>100</v>
      </c>
      <c r="S110" s="140">
        <f ca="1">IF(ISNUMBER(MATCH(DATEVALUE($A110),'recurring1_based on steps'!S$1:S$400,0)),S$2,)</f>
        <v>0</v>
      </c>
      <c r="T110" s="140">
        <f ca="1">IF(ISNUMBER(MATCH(DATEVALUE($A110),'recurring1_based on steps'!T$1:T$400,0)),T$2,)</f>
        <v>0</v>
      </c>
      <c r="U110" s="140">
        <f ca="1">IF(ISNUMBER(MATCH(DATEVALUE($A110),'recurring1_based on steps'!U$1:U$400,0)),U$2,)</f>
        <v>0</v>
      </c>
      <c r="V110" s="140">
        <f ca="1">IF(ISNUMBER(MATCH(DATEVALUE($A110),'recurring1_based on steps'!V$1:V$400,0)),V$2,)</f>
        <v>0</v>
      </c>
      <c r="W110" s="140">
        <f ca="1">IF(ISNUMBER(MATCH(DATEVALUE($A110),'recurring1_based on steps'!W$1:W$400,0)),W$2,)</f>
        <v>0</v>
      </c>
      <c r="X110" s="140">
        <f ca="1">IF(ISNUMBER(MATCH(DATEVALUE($A110),'recurring1_based on steps'!X$1:X$400,0)),X$2,)</f>
        <v>0</v>
      </c>
      <c r="Y110" s="140">
        <f ca="1">IF(ISNUMBER(MATCH(DATEVALUE($A110),'recurring1_based on steps'!Y$1:Y$400,0)),Y$2,)</f>
        <v>0</v>
      </c>
      <c r="Z110" s="140">
        <f ca="1">IF(ISNUMBER(MATCH(DATEVALUE($A110),'recurring1_based on steps'!Z$1:Z$400,0)),Z$2,)</f>
        <v>0</v>
      </c>
      <c r="AA110" s="140">
        <f ca="1">IF(ISNUMBER(MATCH(DATEVALUE($A110),'recurring1_based on steps'!AA$1:AA$400,0)),AA$2,)</f>
        <v>0</v>
      </c>
      <c r="AB110" s="140">
        <f ca="1">IF(ISNUMBER(MATCH(DATEVALUE($A110),'recurring1_based on steps'!AB$1:AB$400,0)),AB$2,)</f>
        <v>5.5401662049861494E-2</v>
      </c>
      <c r="AC110" s="140">
        <f ca="1">IF(ISNUMBER(MATCH(DATEVALUE($A110),'recurring1_based on steps'!AC$1:AC$400,0)),AC$2,)</f>
        <v>0</v>
      </c>
      <c r="AD110" s="140">
        <f ca="1">IF(ISNUMBER(MATCH(DATEVALUE($A110),'recurring1_based on steps'!AD$1:AD$400,0)),AD$2,)</f>
        <v>0</v>
      </c>
      <c r="AE110" s="140">
        <f ca="1">IF(ISNUMBER(MATCH(DATEVALUE($A110),'recurring1_based on steps'!AE$1:AE$400,0)),AE$2,)</f>
        <v>0</v>
      </c>
      <c r="AF110" s="140">
        <f ca="1">IF(ISNUMBER(MATCH(DATEVALUE($A110),'recurring1_based on steps'!AF$1:AF$400,0)),AF$2,)</f>
        <v>0</v>
      </c>
      <c r="AG110" s="140">
        <f ca="1">IF(ISNUMBER(MATCH(DATEVALUE($A110),'recurring1_based on steps'!AG$1:AG$400,0)),AG$2,)</f>
        <v>0</v>
      </c>
      <c r="AH110" s="140">
        <f ca="1">IF(ISNUMBER(MATCH(DATEVALUE($A110),'recurring1_based on steps'!AH$1:AH$400,0)),AH$2,)</f>
        <v>0</v>
      </c>
      <c r="AI110" s="140">
        <f ca="1">IF(ISNUMBER(MATCH(DATEVALUE($A110),'recurring1_based on steps'!AI$1:AI$400,0)),AI$2,)</f>
        <v>0</v>
      </c>
      <c r="AJ110" s="140">
        <f ca="1">IF(ISNUMBER(MATCH(DATEVALUE($A110),'recurring1_based on steps'!AJ$1:AJ$400,0)),AJ$2,)</f>
        <v>0</v>
      </c>
      <c r="AK110" s="140">
        <f ca="1">IF(ISNUMBER(MATCH(DATEVALUE($A110),'recurring1_based on steps'!AK$1:AK$400,0)),AK$2,)</f>
        <v>0</v>
      </c>
      <c r="AL110" s="140">
        <f ca="1">IF(ISNUMBER(MATCH(DATEVALUE($A110),'recurring1_based on steps'!AL$1:AL$400,0)),AL$2,)</f>
        <v>0</v>
      </c>
      <c r="AM110" s="140">
        <f ca="1">IF(ISNUMBER(MATCH(DATEVALUE($A110),'recurring1_based on steps'!AM$1:AM$400,0)),AM$2,)</f>
        <v>0</v>
      </c>
      <c r="AN110" s="140">
        <f ca="1">IF(ISNUMBER(MATCH(DATEVALUE($A110),'recurring1_based on steps'!AN$1:AN$400,0)),AN$2,)</f>
        <v>0</v>
      </c>
      <c r="AO110" s="140">
        <f ca="1">IF(ISNUMBER(MATCH(DATEVALUE($A110),'recurring1_based on steps'!AO$1:AO$400,0)),AO$2,)</f>
        <v>0</v>
      </c>
      <c r="AP110" s="140">
        <f ca="1">IF(ISNUMBER(MATCH(DATEVALUE($A110),'recurring1_based on steps'!AP$1:AP$400,0)),AP$2,)</f>
        <v>0</v>
      </c>
      <c r="AQ110" s="140">
        <f ca="1">IF(ISNUMBER(MATCH(DATEVALUE($A110),'recurring1_based on steps'!AQ$1:AQ$400,0)),AQ$2,)</f>
        <v>0</v>
      </c>
      <c r="AR110" s="140">
        <f ca="1">IF(ISNUMBER(MATCH(DATEVALUE($A110),'recurring1_based on steps'!AR$1:AR$400,0)),AR$2,)</f>
        <v>0</v>
      </c>
      <c r="AS110" s="140">
        <f ca="1">IF(ISNUMBER(MATCH(DATEVALUE($A110),'recurring1_based on steps'!AS$1:AS$400,0)),AS$2,)</f>
        <v>0</v>
      </c>
      <c r="AT110" s="140">
        <f ca="1">IF(ISNUMBER(MATCH(DATEVALUE($A110),'recurring1_based on steps'!AT$1:AT$400,0)),AT$2,)</f>
        <v>0</v>
      </c>
      <c r="AU110" s="140">
        <f ca="1">IF(ISNUMBER(MATCH(DATEVALUE($A110),'recurring1_based on steps'!AU$1:AU$400,0)),AU$2,)</f>
        <v>0</v>
      </c>
      <c r="AV110" s="140">
        <f ca="1">IF(ISNUMBER(MATCH(DATEVALUE($A110),'recurring1_based on steps'!AV$1:AV$400,0)),AV$2,)</f>
        <v>0</v>
      </c>
      <c r="AW110" s="140">
        <f ca="1">IF(ISNUMBER(MATCH(DATEVALUE($A110),'recurring1_based on steps'!AW$1:AW$400,0)),AW$2,)</f>
        <v>0</v>
      </c>
      <c r="AX110" s="140">
        <f ca="1">IF(ISNUMBER(MATCH(DATEVALUE($A110),'recurring1_based on steps'!AX$1:AX$400,0)),AX$2,)</f>
        <v>0</v>
      </c>
      <c r="AY110" s="140">
        <f ca="1">IF(ISNUMBER(MATCH(DATEVALUE($A110),'recurring1_based on steps'!AY$1:AY$400,0)),AY$2,)</f>
        <v>0</v>
      </c>
    </row>
    <row r="111" spans="1:51" x14ac:dyDescent="0.2">
      <c r="A111" s="29" t="str">
        <f t="shared" ca="1" si="1"/>
        <v>2025-07-13</v>
      </c>
      <c r="B111" s="140">
        <f ca="1">IF(ISNUMBER(MATCH(DATEVALUE($A111),'recurring1_based on steps'!B$1:B$400,0)),B$2,)</f>
        <v>0</v>
      </c>
      <c r="C111" s="140">
        <f ca="1">IF(ISNUMBER(MATCH(DATEVALUE($A111),'recurring1_based on steps'!C$1:C$400,0)),C$2,)</f>
        <v>0</v>
      </c>
      <c r="D111" s="140">
        <f ca="1">IF(ISNUMBER(MATCH(DATEVALUE($A111),'recurring1_based on steps'!D$1:D$400,0)),D$2,)</f>
        <v>0</v>
      </c>
      <c r="E111" s="140">
        <f ca="1">IF(ISNUMBER(MATCH(DATEVALUE($A111),'recurring1_based on steps'!E$1:E$400,0)),E$2,)</f>
        <v>0</v>
      </c>
      <c r="F111" s="140">
        <f ca="1">IF(ISNUMBER(MATCH(DATEVALUE($A111),'recurring1_based on steps'!F$1:F$400,0)),F$2,)</f>
        <v>0</v>
      </c>
      <c r="G111" s="140">
        <f ca="1">IF(ISNUMBER(MATCH(DATEVALUE($A111),'recurring1_based on steps'!G$1:G$400,0)),G$2,)</f>
        <v>0</v>
      </c>
      <c r="H111" s="140">
        <f ca="1">IF(ISNUMBER(MATCH(DATEVALUE($A111),'recurring1_based on steps'!H$1:H$400,0)),H$2,)</f>
        <v>0</v>
      </c>
      <c r="I111" s="140">
        <f ca="1">IF(ISNUMBER(MATCH(DATEVALUE($A111),'recurring1_based on steps'!I$1:I$400,0)),I$2,)</f>
        <v>0</v>
      </c>
      <c r="J111" s="140">
        <f ca="1">IF(ISNUMBER(MATCH(DATEVALUE($A111),'recurring1_based on steps'!J$1:J$400,0)),J$2,)</f>
        <v>0</v>
      </c>
      <c r="K111" s="140">
        <f ca="1">IF(ISNUMBER(MATCH(DATEVALUE($A111),'recurring1_based on steps'!K$1:K$400,0)),K$2,)</f>
        <v>50</v>
      </c>
      <c r="L111" s="140">
        <f ca="1">IF(ISNUMBER(MATCH(DATEVALUE($A111),'recurring1_based on steps'!L$1:L$400,0)),L$2,)</f>
        <v>0</v>
      </c>
      <c r="M111" s="140">
        <f ca="1">IF(ISNUMBER(MATCH(DATEVALUE($A111),'recurring1_based on steps'!M$1:M$400,0)),M$2,)</f>
        <v>0</v>
      </c>
      <c r="N111" s="140">
        <f ca="1">IF(ISNUMBER(MATCH(DATEVALUE($A111),'recurring1_based on steps'!N$1:N$400,0)),N$2,)</f>
        <v>0</v>
      </c>
      <c r="O111" s="140">
        <f ca="1">IF(ISNUMBER(MATCH(DATEVALUE($A111),'recurring1_based on steps'!O$1:O$400,0)),O$2,)</f>
        <v>0</v>
      </c>
      <c r="P111" s="140">
        <f ca="1">IF(ISNUMBER(MATCH(DATEVALUE($A111),'recurring1_based on steps'!P$1:P$400,0)),P$2,)</f>
        <v>0</v>
      </c>
      <c r="Q111" s="140">
        <f ca="1">IF(ISNUMBER(MATCH(DATEVALUE($A111),'recurring1_based on steps'!Q$1:Q$400,0)),Q$2,)</f>
        <v>0</v>
      </c>
      <c r="R111" s="140">
        <f ca="1">IF(ISNUMBER(MATCH(DATEVALUE($A111),'recurring1_based on steps'!R$1:R$400,0)),R$2,)</f>
        <v>0</v>
      </c>
      <c r="S111" s="140">
        <f ca="1">IF(ISNUMBER(MATCH(DATEVALUE($A111),'recurring1_based on steps'!S$1:S$400,0)),S$2,)</f>
        <v>100</v>
      </c>
      <c r="T111" s="140">
        <f ca="1">IF(ISNUMBER(MATCH(DATEVALUE($A111),'recurring1_based on steps'!T$1:T$400,0)),T$2,)</f>
        <v>0</v>
      </c>
      <c r="U111" s="140">
        <f ca="1">IF(ISNUMBER(MATCH(DATEVALUE($A111),'recurring1_based on steps'!U$1:U$400,0)),U$2,)</f>
        <v>0</v>
      </c>
      <c r="V111" s="140">
        <f ca="1">IF(ISNUMBER(MATCH(DATEVALUE($A111),'recurring1_based on steps'!V$1:V$400,0)),V$2,)</f>
        <v>0</v>
      </c>
      <c r="W111" s="140">
        <f ca="1">IF(ISNUMBER(MATCH(DATEVALUE($A111),'recurring1_based on steps'!W$1:W$400,0)),W$2,)</f>
        <v>0</v>
      </c>
      <c r="X111" s="140">
        <f ca="1">IF(ISNUMBER(MATCH(DATEVALUE($A111),'recurring1_based on steps'!X$1:X$400,0)),X$2,)</f>
        <v>0</v>
      </c>
      <c r="Y111" s="140">
        <f ca="1">IF(ISNUMBER(MATCH(DATEVALUE($A111),'recurring1_based on steps'!Y$1:Y$400,0)),Y$2,)</f>
        <v>0</v>
      </c>
      <c r="Z111" s="140">
        <f ca="1">IF(ISNUMBER(MATCH(DATEVALUE($A111),'recurring1_based on steps'!Z$1:Z$400,0)),Z$2,)</f>
        <v>0</v>
      </c>
      <c r="AA111" s="140">
        <f ca="1">IF(ISNUMBER(MATCH(DATEVALUE($A111),'recurring1_based on steps'!AA$1:AA$400,0)),AA$2,)</f>
        <v>0</v>
      </c>
      <c r="AB111" s="140">
        <f ca="1">IF(ISNUMBER(MATCH(DATEVALUE($A111),'recurring1_based on steps'!AB$1:AB$400,0)),AB$2,)</f>
        <v>5.5401662049861494E-2</v>
      </c>
      <c r="AC111" s="140">
        <f ca="1">IF(ISNUMBER(MATCH(DATEVALUE($A111),'recurring1_based on steps'!AC$1:AC$400,0)),AC$2,)</f>
        <v>0</v>
      </c>
      <c r="AD111" s="140">
        <f ca="1">IF(ISNUMBER(MATCH(DATEVALUE($A111),'recurring1_based on steps'!AD$1:AD$400,0)),AD$2,)</f>
        <v>0</v>
      </c>
      <c r="AE111" s="140">
        <f ca="1">IF(ISNUMBER(MATCH(DATEVALUE($A111),'recurring1_based on steps'!AE$1:AE$400,0)),AE$2,)</f>
        <v>0</v>
      </c>
      <c r="AF111" s="140">
        <f ca="1">IF(ISNUMBER(MATCH(DATEVALUE($A111),'recurring1_based on steps'!AF$1:AF$400,0)),AF$2,)</f>
        <v>0</v>
      </c>
      <c r="AG111" s="140">
        <f ca="1">IF(ISNUMBER(MATCH(DATEVALUE($A111),'recurring1_based on steps'!AG$1:AG$400,0)),AG$2,)</f>
        <v>0</v>
      </c>
      <c r="AH111" s="140">
        <f ca="1">IF(ISNUMBER(MATCH(DATEVALUE($A111),'recurring1_based on steps'!AH$1:AH$400,0)),AH$2,)</f>
        <v>0</v>
      </c>
      <c r="AI111" s="140">
        <f ca="1">IF(ISNUMBER(MATCH(DATEVALUE($A111),'recurring1_based on steps'!AI$1:AI$400,0)),AI$2,)</f>
        <v>0</v>
      </c>
      <c r="AJ111" s="140">
        <f ca="1">IF(ISNUMBER(MATCH(DATEVALUE($A111),'recurring1_based on steps'!AJ$1:AJ$400,0)),AJ$2,)</f>
        <v>0</v>
      </c>
      <c r="AK111" s="140">
        <f ca="1">IF(ISNUMBER(MATCH(DATEVALUE($A111),'recurring1_based on steps'!AK$1:AK$400,0)),AK$2,)</f>
        <v>0</v>
      </c>
      <c r="AL111" s="140">
        <f ca="1">IF(ISNUMBER(MATCH(DATEVALUE($A111),'recurring1_based on steps'!AL$1:AL$400,0)),AL$2,)</f>
        <v>0</v>
      </c>
      <c r="AM111" s="140">
        <f ca="1">IF(ISNUMBER(MATCH(DATEVALUE($A111),'recurring1_based on steps'!AM$1:AM$400,0)),AM$2,)</f>
        <v>0</v>
      </c>
      <c r="AN111" s="140">
        <f ca="1">IF(ISNUMBER(MATCH(DATEVALUE($A111),'recurring1_based on steps'!AN$1:AN$400,0)),AN$2,)</f>
        <v>0</v>
      </c>
      <c r="AO111" s="140">
        <f ca="1">IF(ISNUMBER(MATCH(DATEVALUE($A111),'recurring1_based on steps'!AO$1:AO$400,0)),AO$2,)</f>
        <v>0</v>
      </c>
      <c r="AP111" s="140">
        <f ca="1">IF(ISNUMBER(MATCH(DATEVALUE($A111),'recurring1_based on steps'!AP$1:AP$400,0)),AP$2,)</f>
        <v>0</v>
      </c>
      <c r="AQ111" s="140">
        <f ca="1">IF(ISNUMBER(MATCH(DATEVALUE($A111),'recurring1_based on steps'!AQ$1:AQ$400,0)),AQ$2,)</f>
        <v>0</v>
      </c>
      <c r="AR111" s="140">
        <f ca="1">IF(ISNUMBER(MATCH(DATEVALUE($A111),'recurring1_based on steps'!AR$1:AR$400,0)),AR$2,)</f>
        <v>0</v>
      </c>
      <c r="AS111" s="140">
        <f ca="1">IF(ISNUMBER(MATCH(DATEVALUE($A111),'recurring1_based on steps'!AS$1:AS$400,0)),AS$2,)</f>
        <v>0</v>
      </c>
      <c r="AT111" s="140">
        <f ca="1">IF(ISNUMBER(MATCH(DATEVALUE($A111),'recurring1_based on steps'!AT$1:AT$400,0)),AT$2,)</f>
        <v>0</v>
      </c>
      <c r="AU111" s="140">
        <f ca="1">IF(ISNUMBER(MATCH(DATEVALUE($A111),'recurring1_based on steps'!AU$1:AU$400,0)),AU$2,)</f>
        <v>0</v>
      </c>
      <c r="AV111" s="140">
        <f ca="1">IF(ISNUMBER(MATCH(DATEVALUE($A111),'recurring1_based on steps'!AV$1:AV$400,0)),AV$2,)</f>
        <v>0</v>
      </c>
      <c r="AW111" s="140">
        <f ca="1">IF(ISNUMBER(MATCH(DATEVALUE($A111),'recurring1_based on steps'!AW$1:AW$400,0)),AW$2,)</f>
        <v>0</v>
      </c>
      <c r="AX111" s="140">
        <f ca="1">IF(ISNUMBER(MATCH(DATEVALUE($A111),'recurring1_based on steps'!AX$1:AX$400,0)),AX$2,)</f>
        <v>0</v>
      </c>
      <c r="AY111" s="140">
        <f ca="1">IF(ISNUMBER(MATCH(DATEVALUE($A111),'recurring1_based on steps'!AY$1:AY$400,0)),AY$2,)</f>
        <v>0</v>
      </c>
    </row>
    <row r="112" spans="1:51" x14ac:dyDescent="0.2">
      <c r="A112" s="29" t="str">
        <f t="shared" ca="1" si="1"/>
        <v>2025-07-14</v>
      </c>
      <c r="B112" s="140">
        <f ca="1">IF(ISNUMBER(MATCH(DATEVALUE($A112),'recurring1_based on steps'!B$1:B$400,0)),B$2,)</f>
        <v>0</v>
      </c>
      <c r="C112" s="140">
        <f ca="1">IF(ISNUMBER(MATCH(DATEVALUE($A112),'recurring1_based on steps'!C$1:C$400,0)),C$2,)</f>
        <v>0</v>
      </c>
      <c r="D112" s="140">
        <f ca="1">IF(ISNUMBER(MATCH(DATEVALUE($A112),'recurring1_based on steps'!D$1:D$400,0)),D$2,)</f>
        <v>0</v>
      </c>
      <c r="E112" s="140">
        <f ca="1">IF(ISNUMBER(MATCH(DATEVALUE($A112),'recurring1_based on steps'!E$1:E$400,0)),E$2,)</f>
        <v>0</v>
      </c>
      <c r="F112" s="140">
        <f ca="1">IF(ISNUMBER(MATCH(DATEVALUE($A112),'recurring1_based on steps'!F$1:F$400,0)),F$2,)</f>
        <v>0</v>
      </c>
      <c r="G112" s="140">
        <f ca="1">IF(ISNUMBER(MATCH(DATEVALUE($A112),'recurring1_based on steps'!G$1:G$400,0)),G$2,)</f>
        <v>0</v>
      </c>
      <c r="H112" s="140">
        <f ca="1">IF(ISNUMBER(MATCH(DATEVALUE($A112),'recurring1_based on steps'!H$1:H$400,0)),H$2,)</f>
        <v>0</v>
      </c>
      <c r="I112" s="140">
        <f ca="1">IF(ISNUMBER(MATCH(DATEVALUE($A112),'recurring1_based on steps'!I$1:I$400,0)),I$2,)</f>
        <v>0</v>
      </c>
      <c r="J112" s="140">
        <f ca="1">IF(ISNUMBER(MATCH(DATEVALUE($A112),'recurring1_based on steps'!J$1:J$400,0)),J$2,)</f>
        <v>0</v>
      </c>
      <c r="K112" s="140">
        <f ca="1">IF(ISNUMBER(MATCH(DATEVALUE($A112),'recurring1_based on steps'!K$1:K$400,0)),K$2,)</f>
        <v>0</v>
      </c>
      <c r="L112" s="140">
        <f ca="1">IF(ISNUMBER(MATCH(DATEVALUE($A112),'recurring1_based on steps'!L$1:L$400,0)),L$2,)</f>
        <v>0</v>
      </c>
      <c r="M112" s="140">
        <f ca="1">IF(ISNUMBER(MATCH(DATEVALUE($A112),'recurring1_based on steps'!M$1:M$400,0)),M$2,)</f>
        <v>0</v>
      </c>
      <c r="N112" s="140">
        <f ca="1">IF(ISNUMBER(MATCH(DATEVALUE($A112),'recurring1_based on steps'!N$1:N$400,0)),N$2,)</f>
        <v>0</v>
      </c>
      <c r="O112" s="140">
        <f ca="1">IF(ISNUMBER(MATCH(DATEVALUE($A112),'recurring1_based on steps'!O$1:O$400,0)),O$2,)</f>
        <v>0</v>
      </c>
      <c r="P112" s="140">
        <f ca="1">IF(ISNUMBER(MATCH(DATEVALUE($A112),'recurring1_based on steps'!P$1:P$400,0)),P$2,)</f>
        <v>0</v>
      </c>
      <c r="Q112" s="140">
        <f ca="1">IF(ISNUMBER(MATCH(DATEVALUE($A112),'recurring1_based on steps'!Q$1:Q$400,0)),Q$2,)</f>
        <v>0</v>
      </c>
      <c r="R112" s="140">
        <f ca="1">IF(ISNUMBER(MATCH(DATEVALUE($A112),'recurring1_based on steps'!R$1:R$400,0)),R$2,)</f>
        <v>0</v>
      </c>
      <c r="S112" s="140">
        <f ca="1">IF(ISNUMBER(MATCH(DATEVALUE($A112),'recurring1_based on steps'!S$1:S$400,0)),S$2,)</f>
        <v>0</v>
      </c>
      <c r="T112" s="140">
        <f ca="1">IF(ISNUMBER(MATCH(DATEVALUE($A112),'recurring1_based on steps'!T$1:T$400,0)),T$2,)</f>
        <v>0</v>
      </c>
      <c r="U112" s="140">
        <f ca="1">IF(ISNUMBER(MATCH(DATEVALUE($A112),'recurring1_based on steps'!U$1:U$400,0)),U$2,)</f>
        <v>0</v>
      </c>
      <c r="V112" s="140">
        <f ca="1">IF(ISNUMBER(MATCH(DATEVALUE($A112),'recurring1_based on steps'!V$1:V$400,0)),V$2,)</f>
        <v>0</v>
      </c>
      <c r="W112" s="140">
        <f ca="1">IF(ISNUMBER(MATCH(DATEVALUE($A112),'recurring1_based on steps'!W$1:W$400,0)),W$2,)</f>
        <v>0</v>
      </c>
      <c r="X112" s="140">
        <f ca="1">IF(ISNUMBER(MATCH(DATEVALUE($A112),'recurring1_based on steps'!X$1:X$400,0)),X$2,)</f>
        <v>0</v>
      </c>
      <c r="Y112" s="140">
        <f ca="1">IF(ISNUMBER(MATCH(DATEVALUE($A112),'recurring1_based on steps'!Y$1:Y$400,0)),Y$2,)</f>
        <v>0</v>
      </c>
      <c r="Z112" s="140">
        <f ca="1">IF(ISNUMBER(MATCH(DATEVALUE($A112),'recurring1_based on steps'!Z$1:Z$400,0)),Z$2,)</f>
        <v>0</v>
      </c>
      <c r="AA112" s="140">
        <f ca="1">IF(ISNUMBER(MATCH(DATEVALUE($A112),'recurring1_based on steps'!AA$1:AA$400,0)),AA$2,)</f>
        <v>0</v>
      </c>
      <c r="AB112" s="140">
        <f ca="1">IF(ISNUMBER(MATCH(DATEVALUE($A112),'recurring1_based on steps'!AB$1:AB$400,0)),AB$2,)</f>
        <v>5.5401662049861494E-2</v>
      </c>
      <c r="AC112" s="140">
        <f ca="1">IF(ISNUMBER(MATCH(DATEVALUE($A112),'recurring1_based on steps'!AC$1:AC$400,0)),AC$2,)</f>
        <v>0</v>
      </c>
      <c r="AD112" s="140">
        <f ca="1">IF(ISNUMBER(MATCH(DATEVALUE($A112),'recurring1_based on steps'!AD$1:AD$400,0)),AD$2,)</f>
        <v>0</v>
      </c>
      <c r="AE112" s="140">
        <f ca="1">IF(ISNUMBER(MATCH(DATEVALUE($A112),'recurring1_based on steps'!AE$1:AE$400,0)),AE$2,)</f>
        <v>0</v>
      </c>
      <c r="AF112" s="140">
        <f ca="1">IF(ISNUMBER(MATCH(DATEVALUE($A112),'recurring1_based on steps'!AF$1:AF$400,0)),AF$2,)</f>
        <v>0</v>
      </c>
      <c r="AG112" s="140">
        <f ca="1">IF(ISNUMBER(MATCH(DATEVALUE($A112),'recurring1_based on steps'!AG$1:AG$400,0)),AG$2,)</f>
        <v>0</v>
      </c>
      <c r="AH112" s="140">
        <f ca="1">IF(ISNUMBER(MATCH(DATEVALUE($A112),'recurring1_based on steps'!AH$1:AH$400,0)),AH$2,)</f>
        <v>0</v>
      </c>
      <c r="AI112" s="140">
        <f ca="1">IF(ISNUMBER(MATCH(DATEVALUE($A112),'recurring1_based on steps'!AI$1:AI$400,0)),AI$2,)</f>
        <v>0</v>
      </c>
      <c r="AJ112" s="140">
        <f ca="1">IF(ISNUMBER(MATCH(DATEVALUE($A112),'recurring1_based on steps'!AJ$1:AJ$400,0)),AJ$2,)</f>
        <v>0</v>
      </c>
      <c r="AK112" s="140">
        <f ca="1">IF(ISNUMBER(MATCH(DATEVALUE($A112),'recurring1_based on steps'!AK$1:AK$400,0)),AK$2,)</f>
        <v>0</v>
      </c>
      <c r="AL112" s="140">
        <f ca="1">IF(ISNUMBER(MATCH(DATEVALUE($A112),'recurring1_based on steps'!AL$1:AL$400,0)),AL$2,)</f>
        <v>0</v>
      </c>
      <c r="AM112" s="140">
        <f ca="1">IF(ISNUMBER(MATCH(DATEVALUE($A112),'recurring1_based on steps'!AM$1:AM$400,0)),AM$2,)</f>
        <v>0</v>
      </c>
      <c r="AN112" s="140">
        <f ca="1">IF(ISNUMBER(MATCH(DATEVALUE($A112),'recurring1_based on steps'!AN$1:AN$400,0)),AN$2,)</f>
        <v>0</v>
      </c>
      <c r="AO112" s="140">
        <f ca="1">IF(ISNUMBER(MATCH(DATEVALUE($A112),'recurring1_based on steps'!AO$1:AO$400,0)),AO$2,)</f>
        <v>0</v>
      </c>
      <c r="AP112" s="140">
        <f ca="1">IF(ISNUMBER(MATCH(DATEVALUE($A112),'recurring1_based on steps'!AP$1:AP$400,0)),AP$2,)</f>
        <v>0</v>
      </c>
      <c r="AQ112" s="140">
        <f ca="1">IF(ISNUMBER(MATCH(DATEVALUE($A112),'recurring1_based on steps'!AQ$1:AQ$400,0)),AQ$2,)</f>
        <v>0</v>
      </c>
      <c r="AR112" s="140">
        <f ca="1">IF(ISNUMBER(MATCH(DATEVALUE($A112),'recurring1_based on steps'!AR$1:AR$400,0)),AR$2,)</f>
        <v>0</v>
      </c>
      <c r="AS112" s="140">
        <f ca="1">IF(ISNUMBER(MATCH(DATEVALUE($A112),'recurring1_based on steps'!AS$1:AS$400,0)),AS$2,)</f>
        <v>0</v>
      </c>
      <c r="AT112" s="140">
        <f ca="1">IF(ISNUMBER(MATCH(DATEVALUE($A112),'recurring1_based on steps'!AT$1:AT$400,0)),AT$2,)</f>
        <v>0</v>
      </c>
      <c r="AU112" s="140">
        <f ca="1">IF(ISNUMBER(MATCH(DATEVALUE($A112),'recurring1_based on steps'!AU$1:AU$400,0)),AU$2,)</f>
        <v>0</v>
      </c>
      <c r="AV112" s="140">
        <f ca="1">IF(ISNUMBER(MATCH(DATEVALUE($A112),'recurring1_based on steps'!AV$1:AV$400,0)),AV$2,)</f>
        <v>0</v>
      </c>
      <c r="AW112" s="140">
        <f ca="1">IF(ISNUMBER(MATCH(DATEVALUE($A112),'recurring1_based on steps'!AW$1:AW$400,0)),AW$2,)</f>
        <v>0</v>
      </c>
      <c r="AX112" s="140">
        <f ca="1">IF(ISNUMBER(MATCH(DATEVALUE($A112),'recurring1_based on steps'!AX$1:AX$400,0)),AX$2,)</f>
        <v>0</v>
      </c>
      <c r="AY112" s="140">
        <f ca="1">IF(ISNUMBER(MATCH(DATEVALUE($A112),'recurring1_based on steps'!AY$1:AY$400,0)),AY$2,)</f>
        <v>0</v>
      </c>
    </row>
    <row r="113" spans="1:51" x14ac:dyDescent="0.2">
      <c r="A113" s="29" t="str">
        <f t="shared" ca="1" si="1"/>
        <v>2025-07-15</v>
      </c>
      <c r="B113" s="140">
        <f ca="1">IF(ISNUMBER(MATCH(DATEVALUE($A113),'recurring1_based on steps'!B$1:B$400,0)),B$2,)</f>
        <v>0</v>
      </c>
      <c r="C113" s="140">
        <f ca="1">IF(ISNUMBER(MATCH(DATEVALUE($A113),'recurring1_based on steps'!C$1:C$400,0)),C$2,)</f>
        <v>0</v>
      </c>
      <c r="D113" s="140">
        <f ca="1">IF(ISNUMBER(MATCH(DATEVALUE($A113),'recurring1_based on steps'!D$1:D$400,0)),D$2,)</f>
        <v>0</v>
      </c>
      <c r="E113" s="140">
        <f ca="1">IF(ISNUMBER(MATCH(DATEVALUE($A113),'recurring1_based on steps'!E$1:E$400,0)),E$2,)</f>
        <v>0</v>
      </c>
      <c r="F113" s="140">
        <f ca="1">IF(ISNUMBER(MATCH(DATEVALUE($A113),'recurring1_based on steps'!F$1:F$400,0)),F$2,)</f>
        <v>0</v>
      </c>
      <c r="G113" s="140">
        <f ca="1">IF(ISNUMBER(MATCH(DATEVALUE($A113),'recurring1_based on steps'!G$1:G$400,0)),G$2,)</f>
        <v>0</v>
      </c>
      <c r="H113" s="140">
        <f ca="1">IF(ISNUMBER(MATCH(DATEVALUE($A113),'recurring1_based on steps'!H$1:H$400,0)),H$2,)</f>
        <v>0</v>
      </c>
      <c r="I113" s="140">
        <f ca="1">IF(ISNUMBER(MATCH(DATEVALUE($A113),'recurring1_based on steps'!I$1:I$400,0)),I$2,)</f>
        <v>0</v>
      </c>
      <c r="J113" s="140">
        <f ca="1">IF(ISNUMBER(MATCH(DATEVALUE($A113),'recurring1_based on steps'!J$1:J$400,0)),J$2,)</f>
        <v>0</v>
      </c>
      <c r="K113" s="140">
        <f ca="1">IF(ISNUMBER(MATCH(DATEVALUE($A113),'recurring1_based on steps'!K$1:K$400,0)),K$2,)</f>
        <v>0</v>
      </c>
      <c r="L113" s="140">
        <f ca="1">IF(ISNUMBER(MATCH(DATEVALUE($A113),'recurring1_based on steps'!L$1:L$400,0)),L$2,)</f>
        <v>0</v>
      </c>
      <c r="M113" s="140">
        <f ca="1">IF(ISNUMBER(MATCH(DATEVALUE($A113),'recurring1_based on steps'!M$1:M$400,0)),M$2,)</f>
        <v>0</v>
      </c>
      <c r="N113" s="140">
        <f ca="1">IF(ISNUMBER(MATCH(DATEVALUE($A113),'recurring1_based on steps'!N$1:N$400,0)),N$2,)</f>
        <v>0</v>
      </c>
      <c r="O113" s="140">
        <f ca="1">IF(ISNUMBER(MATCH(DATEVALUE($A113),'recurring1_based on steps'!O$1:O$400,0)),O$2,)</f>
        <v>0</v>
      </c>
      <c r="P113" s="140">
        <f ca="1">IF(ISNUMBER(MATCH(DATEVALUE($A113),'recurring1_based on steps'!P$1:P$400,0)),P$2,)</f>
        <v>0</v>
      </c>
      <c r="Q113" s="140">
        <f ca="1">IF(ISNUMBER(MATCH(DATEVALUE($A113),'recurring1_based on steps'!Q$1:Q$400,0)),Q$2,)</f>
        <v>0</v>
      </c>
      <c r="R113" s="140">
        <f ca="1">IF(ISNUMBER(MATCH(DATEVALUE($A113),'recurring1_based on steps'!R$1:R$400,0)),R$2,)</f>
        <v>0</v>
      </c>
      <c r="S113" s="140">
        <f ca="1">IF(ISNUMBER(MATCH(DATEVALUE($A113),'recurring1_based on steps'!S$1:S$400,0)),S$2,)</f>
        <v>0</v>
      </c>
      <c r="T113" s="140">
        <f ca="1">IF(ISNUMBER(MATCH(DATEVALUE($A113),'recurring1_based on steps'!T$1:T$400,0)),T$2,)</f>
        <v>0</v>
      </c>
      <c r="U113" s="140">
        <f ca="1">IF(ISNUMBER(MATCH(DATEVALUE($A113),'recurring1_based on steps'!U$1:U$400,0)),U$2,)</f>
        <v>0</v>
      </c>
      <c r="V113" s="140">
        <f ca="1">IF(ISNUMBER(MATCH(DATEVALUE($A113),'recurring1_based on steps'!V$1:V$400,0)),V$2,)</f>
        <v>0</v>
      </c>
      <c r="W113" s="140">
        <f ca="1">IF(ISNUMBER(MATCH(DATEVALUE($A113),'recurring1_based on steps'!W$1:W$400,0)),W$2,)</f>
        <v>0</v>
      </c>
      <c r="X113" s="140">
        <f ca="1">IF(ISNUMBER(MATCH(DATEVALUE($A113),'recurring1_based on steps'!X$1:X$400,0)),X$2,)</f>
        <v>0</v>
      </c>
      <c r="Y113" s="140">
        <f ca="1">IF(ISNUMBER(MATCH(DATEVALUE($A113),'recurring1_based on steps'!Y$1:Y$400,0)),Y$2,)</f>
        <v>0</v>
      </c>
      <c r="Z113" s="140">
        <f ca="1">IF(ISNUMBER(MATCH(DATEVALUE($A113),'recurring1_based on steps'!Z$1:Z$400,0)),Z$2,)</f>
        <v>0</v>
      </c>
      <c r="AA113" s="140">
        <f ca="1">IF(ISNUMBER(MATCH(DATEVALUE($A113),'recurring1_based on steps'!AA$1:AA$400,0)),AA$2,)</f>
        <v>0</v>
      </c>
      <c r="AB113" s="140">
        <f ca="1">IF(ISNUMBER(MATCH(DATEVALUE($A113),'recurring1_based on steps'!AB$1:AB$400,0)),AB$2,)</f>
        <v>5.5401662049861494E-2</v>
      </c>
      <c r="AC113" s="140">
        <f ca="1">IF(ISNUMBER(MATCH(DATEVALUE($A113),'recurring1_based on steps'!AC$1:AC$400,0)),AC$2,)</f>
        <v>0</v>
      </c>
      <c r="AD113" s="140">
        <f ca="1">IF(ISNUMBER(MATCH(DATEVALUE($A113),'recurring1_based on steps'!AD$1:AD$400,0)),AD$2,)</f>
        <v>0</v>
      </c>
      <c r="AE113" s="140">
        <f ca="1">IF(ISNUMBER(MATCH(DATEVALUE($A113),'recurring1_based on steps'!AE$1:AE$400,0)),AE$2,)</f>
        <v>0</v>
      </c>
      <c r="AF113" s="140">
        <f ca="1">IF(ISNUMBER(MATCH(DATEVALUE($A113),'recurring1_based on steps'!AF$1:AF$400,0)),AF$2,)</f>
        <v>0</v>
      </c>
      <c r="AG113" s="140">
        <f ca="1">IF(ISNUMBER(MATCH(DATEVALUE($A113),'recurring1_based on steps'!AG$1:AG$400,0)),AG$2,)</f>
        <v>0</v>
      </c>
      <c r="AH113" s="140">
        <f ca="1">IF(ISNUMBER(MATCH(DATEVALUE($A113),'recurring1_based on steps'!AH$1:AH$400,0)),AH$2,)</f>
        <v>0</v>
      </c>
      <c r="AI113" s="140">
        <f ca="1">IF(ISNUMBER(MATCH(DATEVALUE($A113),'recurring1_based on steps'!AI$1:AI$400,0)),AI$2,)</f>
        <v>0</v>
      </c>
      <c r="AJ113" s="140">
        <f ca="1">IF(ISNUMBER(MATCH(DATEVALUE($A113),'recurring1_based on steps'!AJ$1:AJ$400,0)),AJ$2,)</f>
        <v>0</v>
      </c>
      <c r="AK113" s="140">
        <f ca="1">IF(ISNUMBER(MATCH(DATEVALUE($A113),'recurring1_based on steps'!AK$1:AK$400,0)),AK$2,)</f>
        <v>0</v>
      </c>
      <c r="AL113" s="140">
        <f ca="1">IF(ISNUMBER(MATCH(DATEVALUE($A113),'recurring1_based on steps'!AL$1:AL$400,0)),AL$2,)</f>
        <v>0</v>
      </c>
      <c r="AM113" s="140">
        <f ca="1">IF(ISNUMBER(MATCH(DATEVALUE($A113),'recurring1_based on steps'!AM$1:AM$400,0)),AM$2,)</f>
        <v>0</v>
      </c>
      <c r="AN113" s="140">
        <f ca="1">IF(ISNUMBER(MATCH(DATEVALUE($A113),'recurring1_based on steps'!AN$1:AN$400,0)),AN$2,)</f>
        <v>0</v>
      </c>
      <c r="AO113" s="140">
        <f ca="1">IF(ISNUMBER(MATCH(DATEVALUE($A113),'recurring1_based on steps'!AO$1:AO$400,0)),AO$2,)</f>
        <v>0</v>
      </c>
      <c r="AP113" s="140">
        <f ca="1">IF(ISNUMBER(MATCH(DATEVALUE($A113),'recurring1_based on steps'!AP$1:AP$400,0)),AP$2,)</f>
        <v>0</v>
      </c>
      <c r="AQ113" s="140">
        <f ca="1">IF(ISNUMBER(MATCH(DATEVALUE($A113),'recurring1_based on steps'!AQ$1:AQ$400,0)),AQ$2,)</f>
        <v>0</v>
      </c>
      <c r="AR113" s="140">
        <f ca="1">IF(ISNUMBER(MATCH(DATEVALUE($A113),'recurring1_based on steps'!AR$1:AR$400,0)),AR$2,)</f>
        <v>0</v>
      </c>
      <c r="AS113" s="140">
        <f ca="1">IF(ISNUMBER(MATCH(DATEVALUE($A113),'recurring1_based on steps'!AS$1:AS$400,0)),AS$2,)</f>
        <v>0</v>
      </c>
      <c r="AT113" s="140">
        <f ca="1">IF(ISNUMBER(MATCH(DATEVALUE($A113),'recurring1_based on steps'!AT$1:AT$400,0)),AT$2,)</f>
        <v>0</v>
      </c>
      <c r="AU113" s="140">
        <f ca="1">IF(ISNUMBER(MATCH(DATEVALUE($A113),'recurring1_based on steps'!AU$1:AU$400,0)),AU$2,)</f>
        <v>0</v>
      </c>
      <c r="AV113" s="140">
        <f ca="1">IF(ISNUMBER(MATCH(DATEVALUE($A113),'recurring1_based on steps'!AV$1:AV$400,0)),AV$2,)</f>
        <v>0</v>
      </c>
      <c r="AW113" s="140">
        <f ca="1">IF(ISNUMBER(MATCH(DATEVALUE($A113),'recurring1_based on steps'!AW$1:AW$400,0)),AW$2,)</f>
        <v>0</v>
      </c>
      <c r="AX113" s="140">
        <f ca="1">IF(ISNUMBER(MATCH(DATEVALUE($A113),'recurring1_based on steps'!AX$1:AX$400,0)),AX$2,)</f>
        <v>0</v>
      </c>
      <c r="AY113" s="140">
        <f ca="1">IF(ISNUMBER(MATCH(DATEVALUE($A113),'recurring1_based on steps'!AY$1:AY$400,0)),AY$2,)</f>
        <v>0</v>
      </c>
    </row>
    <row r="114" spans="1:51" x14ac:dyDescent="0.2">
      <c r="A114" s="29" t="str">
        <f t="shared" ca="1" si="1"/>
        <v>2025-07-16</v>
      </c>
      <c r="B114" s="140">
        <f ca="1">IF(ISNUMBER(MATCH(DATEVALUE($A114),'recurring1_based on steps'!B$1:B$400,0)),B$2,)</f>
        <v>0</v>
      </c>
      <c r="C114" s="140">
        <f ca="1">IF(ISNUMBER(MATCH(DATEVALUE($A114),'recurring1_based on steps'!C$1:C$400,0)),C$2,)</f>
        <v>0</v>
      </c>
      <c r="D114" s="140">
        <f ca="1">IF(ISNUMBER(MATCH(DATEVALUE($A114),'recurring1_based on steps'!D$1:D$400,0)),D$2,)</f>
        <v>0</v>
      </c>
      <c r="E114" s="140">
        <f ca="1">IF(ISNUMBER(MATCH(DATEVALUE($A114),'recurring1_based on steps'!E$1:E$400,0)),E$2,)</f>
        <v>0</v>
      </c>
      <c r="F114" s="140">
        <f ca="1">IF(ISNUMBER(MATCH(DATEVALUE($A114),'recurring1_based on steps'!F$1:F$400,0)),F$2,)</f>
        <v>0</v>
      </c>
      <c r="G114" s="140">
        <f ca="1">IF(ISNUMBER(MATCH(DATEVALUE($A114),'recurring1_based on steps'!G$1:G$400,0)),G$2,)</f>
        <v>0</v>
      </c>
      <c r="H114" s="140">
        <f ca="1">IF(ISNUMBER(MATCH(DATEVALUE($A114),'recurring1_based on steps'!H$1:H$400,0)),H$2,)</f>
        <v>0</v>
      </c>
      <c r="I114" s="140">
        <f ca="1">IF(ISNUMBER(MATCH(DATEVALUE($A114),'recurring1_based on steps'!I$1:I$400,0)),I$2,)</f>
        <v>0</v>
      </c>
      <c r="J114" s="140">
        <f ca="1">IF(ISNUMBER(MATCH(DATEVALUE($A114),'recurring1_based on steps'!J$1:J$400,0)),J$2,)</f>
        <v>0</v>
      </c>
      <c r="K114" s="140">
        <f ca="1">IF(ISNUMBER(MATCH(DATEVALUE($A114),'recurring1_based on steps'!K$1:K$400,0)),K$2,)</f>
        <v>0</v>
      </c>
      <c r="L114" s="140">
        <f ca="1">IF(ISNUMBER(MATCH(DATEVALUE($A114),'recurring1_based on steps'!L$1:L$400,0)),L$2,)</f>
        <v>0</v>
      </c>
      <c r="M114" s="140">
        <f ca="1">IF(ISNUMBER(MATCH(DATEVALUE($A114),'recurring1_based on steps'!M$1:M$400,0)),M$2,)</f>
        <v>0</v>
      </c>
      <c r="N114" s="140">
        <f ca="1">IF(ISNUMBER(MATCH(DATEVALUE($A114),'recurring1_based on steps'!N$1:N$400,0)),N$2,)</f>
        <v>0</v>
      </c>
      <c r="O114" s="140">
        <f ca="1">IF(ISNUMBER(MATCH(DATEVALUE($A114),'recurring1_based on steps'!O$1:O$400,0)),O$2,)</f>
        <v>0</v>
      </c>
      <c r="P114" s="140">
        <f ca="1">IF(ISNUMBER(MATCH(DATEVALUE($A114),'recurring1_based on steps'!P$1:P$400,0)),P$2,)</f>
        <v>0</v>
      </c>
      <c r="Q114" s="140">
        <f ca="1">IF(ISNUMBER(MATCH(DATEVALUE($A114),'recurring1_based on steps'!Q$1:Q$400,0)),Q$2,)</f>
        <v>0</v>
      </c>
      <c r="R114" s="140">
        <f ca="1">IF(ISNUMBER(MATCH(DATEVALUE($A114),'recurring1_based on steps'!R$1:R$400,0)),R$2,)</f>
        <v>0</v>
      </c>
      <c r="S114" s="140">
        <f ca="1">IF(ISNUMBER(MATCH(DATEVALUE($A114),'recurring1_based on steps'!S$1:S$400,0)),S$2,)</f>
        <v>0</v>
      </c>
      <c r="T114" s="140">
        <f ca="1">IF(ISNUMBER(MATCH(DATEVALUE($A114),'recurring1_based on steps'!T$1:T$400,0)),T$2,)</f>
        <v>0</v>
      </c>
      <c r="U114" s="140">
        <f ca="1">IF(ISNUMBER(MATCH(DATEVALUE($A114),'recurring1_based on steps'!U$1:U$400,0)),U$2,)</f>
        <v>0</v>
      </c>
      <c r="V114" s="140">
        <f ca="1">IF(ISNUMBER(MATCH(DATEVALUE($A114),'recurring1_based on steps'!V$1:V$400,0)),V$2,)</f>
        <v>0</v>
      </c>
      <c r="W114" s="140">
        <f ca="1">IF(ISNUMBER(MATCH(DATEVALUE($A114),'recurring1_based on steps'!W$1:W$400,0)),W$2,)</f>
        <v>0</v>
      </c>
      <c r="X114" s="140">
        <f ca="1">IF(ISNUMBER(MATCH(DATEVALUE($A114),'recurring1_based on steps'!X$1:X$400,0)),X$2,)</f>
        <v>0</v>
      </c>
      <c r="Y114" s="140">
        <f ca="1">IF(ISNUMBER(MATCH(DATEVALUE($A114),'recurring1_based on steps'!Y$1:Y$400,0)),Y$2,)</f>
        <v>0</v>
      </c>
      <c r="Z114" s="140">
        <f ca="1">IF(ISNUMBER(MATCH(DATEVALUE($A114),'recurring1_based on steps'!Z$1:Z$400,0)),Z$2,)</f>
        <v>0</v>
      </c>
      <c r="AA114" s="140">
        <f ca="1">IF(ISNUMBER(MATCH(DATEVALUE($A114),'recurring1_based on steps'!AA$1:AA$400,0)),AA$2,)</f>
        <v>0</v>
      </c>
      <c r="AB114" s="140">
        <f ca="1">IF(ISNUMBER(MATCH(DATEVALUE($A114),'recurring1_based on steps'!AB$1:AB$400,0)),AB$2,)</f>
        <v>5.5401662049861494E-2</v>
      </c>
      <c r="AC114" s="140">
        <f ca="1">IF(ISNUMBER(MATCH(DATEVALUE($A114),'recurring1_based on steps'!AC$1:AC$400,0)),AC$2,)</f>
        <v>0</v>
      </c>
      <c r="AD114" s="140">
        <f ca="1">IF(ISNUMBER(MATCH(DATEVALUE($A114),'recurring1_based on steps'!AD$1:AD$400,0)),AD$2,)</f>
        <v>0</v>
      </c>
      <c r="AE114" s="140">
        <f ca="1">IF(ISNUMBER(MATCH(DATEVALUE($A114),'recurring1_based on steps'!AE$1:AE$400,0)),AE$2,)</f>
        <v>0</v>
      </c>
      <c r="AF114" s="140">
        <f ca="1">IF(ISNUMBER(MATCH(DATEVALUE($A114),'recurring1_based on steps'!AF$1:AF$400,0)),AF$2,)</f>
        <v>0</v>
      </c>
      <c r="AG114" s="140">
        <f ca="1">IF(ISNUMBER(MATCH(DATEVALUE($A114),'recurring1_based on steps'!AG$1:AG$400,0)),AG$2,)</f>
        <v>0</v>
      </c>
      <c r="AH114" s="140">
        <f ca="1">IF(ISNUMBER(MATCH(DATEVALUE($A114),'recurring1_based on steps'!AH$1:AH$400,0)),AH$2,)</f>
        <v>0</v>
      </c>
      <c r="AI114" s="140">
        <f ca="1">IF(ISNUMBER(MATCH(DATEVALUE($A114),'recurring1_based on steps'!AI$1:AI$400,0)),AI$2,)</f>
        <v>0</v>
      </c>
      <c r="AJ114" s="140">
        <f ca="1">IF(ISNUMBER(MATCH(DATEVALUE($A114),'recurring1_based on steps'!AJ$1:AJ$400,0)),AJ$2,)</f>
        <v>0</v>
      </c>
      <c r="AK114" s="140">
        <f ca="1">IF(ISNUMBER(MATCH(DATEVALUE($A114),'recurring1_based on steps'!AK$1:AK$400,0)),AK$2,)</f>
        <v>0</v>
      </c>
      <c r="AL114" s="140">
        <f ca="1">IF(ISNUMBER(MATCH(DATEVALUE($A114),'recurring1_based on steps'!AL$1:AL$400,0)),AL$2,)</f>
        <v>0</v>
      </c>
      <c r="AM114" s="140">
        <f ca="1">IF(ISNUMBER(MATCH(DATEVALUE($A114),'recurring1_based on steps'!AM$1:AM$400,0)),AM$2,)</f>
        <v>0</v>
      </c>
      <c r="AN114" s="140">
        <f ca="1">IF(ISNUMBER(MATCH(DATEVALUE($A114),'recurring1_based on steps'!AN$1:AN$400,0)),AN$2,)</f>
        <v>0</v>
      </c>
      <c r="AO114" s="140">
        <f ca="1">IF(ISNUMBER(MATCH(DATEVALUE($A114),'recurring1_based on steps'!AO$1:AO$400,0)),AO$2,)</f>
        <v>0</v>
      </c>
      <c r="AP114" s="140">
        <f ca="1">IF(ISNUMBER(MATCH(DATEVALUE($A114),'recurring1_based on steps'!AP$1:AP$400,0)),AP$2,)</f>
        <v>0</v>
      </c>
      <c r="AQ114" s="140">
        <f ca="1">IF(ISNUMBER(MATCH(DATEVALUE($A114),'recurring1_based on steps'!AQ$1:AQ$400,0)),AQ$2,)</f>
        <v>0</v>
      </c>
      <c r="AR114" s="140">
        <f ca="1">IF(ISNUMBER(MATCH(DATEVALUE($A114),'recurring1_based on steps'!AR$1:AR$400,0)),AR$2,)</f>
        <v>0</v>
      </c>
      <c r="AS114" s="140">
        <f ca="1">IF(ISNUMBER(MATCH(DATEVALUE($A114),'recurring1_based on steps'!AS$1:AS$400,0)),AS$2,)</f>
        <v>0</v>
      </c>
      <c r="AT114" s="140">
        <f ca="1">IF(ISNUMBER(MATCH(DATEVALUE($A114),'recurring1_based on steps'!AT$1:AT$400,0)),AT$2,)</f>
        <v>0</v>
      </c>
      <c r="AU114" s="140">
        <f ca="1">IF(ISNUMBER(MATCH(DATEVALUE($A114),'recurring1_based on steps'!AU$1:AU$400,0)),AU$2,)</f>
        <v>0</v>
      </c>
      <c r="AV114" s="140">
        <f ca="1">IF(ISNUMBER(MATCH(DATEVALUE($A114),'recurring1_based on steps'!AV$1:AV$400,0)),AV$2,)</f>
        <v>0</v>
      </c>
      <c r="AW114" s="140">
        <f ca="1">IF(ISNUMBER(MATCH(DATEVALUE($A114),'recurring1_based on steps'!AW$1:AW$400,0)),AW$2,)</f>
        <v>0</v>
      </c>
      <c r="AX114" s="140">
        <f ca="1">IF(ISNUMBER(MATCH(DATEVALUE($A114),'recurring1_based on steps'!AX$1:AX$400,0)),AX$2,)</f>
        <v>0</v>
      </c>
      <c r="AY114" s="140">
        <f ca="1">IF(ISNUMBER(MATCH(DATEVALUE($A114),'recurring1_based on steps'!AY$1:AY$400,0)),AY$2,)</f>
        <v>0</v>
      </c>
    </row>
    <row r="115" spans="1:51" x14ac:dyDescent="0.2">
      <c r="A115" s="29" t="str">
        <f t="shared" ca="1" si="1"/>
        <v>2025-07-17</v>
      </c>
      <c r="B115" s="140">
        <f ca="1">IF(ISNUMBER(MATCH(DATEVALUE($A115),'recurring1_based on steps'!B$1:B$400,0)),B$2,)</f>
        <v>0</v>
      </c>
      <c r="C115" s="140">
        <f ca="1">IF(ISNUMBER(MATCH(DATEVALUE($A115),'recurring1_based on steps'!C$1:C$400,0)),C$2,)</f>
        <v>0</v>
      </c>
      <c r="D115" s="140">
        <f ca="1">IF(ISNUMBER(MATCH(DATEVALUE($A115),'recurring1_based on steps'!D$1:D$400,0)),D$2,)</f>
        <v>0</v>
      </c>
      <c r="E115" s="140">
        <f ca="1">IF(ISNUMBER(MATCH(DATEVALUE($A115),'recurring1_based on steps'!E$1:E$400,0)),E$2,)</f>
        <v>0</v>
      </c>
      <c r="F115" s="140">
        <f ca="1">IF(ISNUMBER(MATCH(DATEVALUE($A115),'recurring1_based on steps'!F$1:F$400,0)),F$2,)</f>
        <v>0</v>
      </c>
      <c r="G115" s="140">
        <f ca="1">IF(ISNUMBER(MATCH(DATEVALUE($A115),'recurring1_based on steps'!G$1:G$400,0)),G$2,)</f>
        <v>0</v>
      </c>
      <c r="H115" s="140">
        <f ca="1">IF(ISNUMBER(MATCH(DATEVALUE($A115),'recurring1_based on steps'!H$1:H$400,0)),H$2,)</f>
        <v>0</v>
      </c>
      <c r="I115" s="140">
        <f ca="1">IF(ISNUMBER(MATCH(DATEVALUE($A115),'recurring1_based on steps'!I$1:I$400,0)),I$2,)</f>
        <v>0</v>
      </c>
      <c r="J115" s="140">
        <f ca="1">IF(ISNUMBER(MATCH(DATEVALUE($A115),'recurring1_based on steps'!J$1:J$400,0)),J$2,)</f>
        <v>0</v>
      </c>
      <c r="K115" s="140">
        <f ca="1">IF(ISNUMBER(MATCH(DATEVALUE($A115),'recurring1_based on steps'!K$1:K$400,0)),K$2,)</f>
        <v>0</v>
      </c>
      <c r="L115" s="140">
        <f ca="1">IF(ISNUMBER(MATCH(DATEVALUE($A115),'recurring1_based on steps'!L$1:L$400,0)),L$2,)</f>
        <v>0</v>
      </c>
      <c r="M115" s="140">
        <f ca="1">IF(ISNUMBER(MATCH(DATEVALUE($A115),'recurring1_based on steps'!M$1:M$400,0)),M$2,)</f>
        <v>0</v>
      </c>
      <c r="N115" s="140">
        <f ca="1">IF(ISNUMBER(MATCH(DATEVALUE($A115),'recurring1_based on steps'!N$1:N$400,0)),N$2,)</f>
        <v>15.49</v>
      </c>
      <c r="O115" s="140">
        <f ca="1">IF(ISNUMBER(MATCH(DATEVALUE($A115),'recurring1_based on steps'!O$1:O$400,0)),O$2,)</f>
        <v>0</v>
      </c>
      <c r="P115" s="140">
        <f ca="1">IF(ISNUMBER(MATCH(DATEVALUE($A115),'recurring1_based on steps'!P$1:P$400,0)),P$2,)</f>
        <v>0</v>
      </c>
      <c r="Q115" s="140">
        <f ca="1">IF(ISNUMBER(MATCH(DATEVALUE($A115),'recurring1_based on steps'!Q$1:Q$400,0)),Q$2,)</f>
        <v>0</v>
      </c>
      <c r="R115" s="140">
        <f ca="1">IF(ISNUMBER(MATCH(DATEVALUE($A115),'recurring1_based on steps'!R$1:R$400,0)),R$2,)</f>
        <v>0</v>
      </c>
      <c r="S115" s="140">
        <f ca="1">IF(ISNUMBER(MATCH(DATEVALUE($A115),'recurring1_based on steps'!S$1:S$400,0)),S$2,)</f>
        <v>0</v>
      </c>
      <c r="T115" s="140">
        <f ca="1">IF(ISNUMBER(MATCH(DATEVALUE($A115),'recurring1_based on steps'!T$1:T$400,0)),T$2,)</f>
        <v>0</v>
      </c>
      <c r="U115" s="140">
        <f ca="1">IF(ISNUMBER(MATCH(DATEVALUE($A115),'recurring1_based on steps'!U$1:U$400,0)),U$2,)</f>
        <v>0</v>
      </c>
      <c r="V115" s="140">
        <f ca="1">IF(ISNUMBER(MATCH(DATEVALUE($A115),'recurring1_based on steps'!V$1:V$400,0)),V$2,)</f>
        <v>200</v>
      </c>
      <c r="W115" s="140">
        <f ca="1">IF(ISNUMBER(MATCH(DATEVALUE($A115),'recurring1_based on steps'!W$1:W$400,0)),W$2,)</f>
        <v>0</v>
      </c>
      <c r="X115" s="140">
        <f ca="1">IF(ISNUMBER(MATCH(DATEVALUE($A115),'recurring1_based on steps'!X$1:X$400,0)),X$2,)</f>
        <v>0</v>
      </c>
      <c r="Y115" s="140">
        <f ca="1">IF(ISNUMBER(MATCH(DATEVALUE($A115),'recurring1_based on steps'!Y$1:Y$400,0)),Y$2,)</f>
        <v>0</v>
      </c>
      <c r="Z115" s="140">
        <f ca="1">IF(ISNUMBER(MATCH(DATEVALUE($A115),'recurring1_based on steps'!Z$1:Z$400,0)),Z$2,)</f>
        <v>0</v>
      </c>
      <c r="AA115" s="140">
        <f ca="1">IF(ISNUMBER(MATCH(DATEVALUE($A115),'recurring1_based on steps'!AA$1:AA$400,0)),AA$2,)</f>
        <v>0</v>
      </c>
      <c r="AB115" s="140">
        <f ca="1">IF(ISNUMBER(MATCH(DATEVALUE($A115),'recurring1_based on steps'!AB$1:AB$400,0)),AB$2,)</f>
        <v>5.5401662049861494E-2</v>
      </c>
      <c r="AC115" s="140">
        <f ca="1">IF(ISNUMBER(MATCH(DATEVALUE($A115),'recurring1_based on steps'!AC$1:AC$400,0)),AC$2,)</f>
        <v>0</v>
      </c>
      <c r="AD115" s="140">
        <f ca="1">IF(ISNUMBER(MATCH(DATEVALUE($A115),'recurring1_based on steps'!AD$1:AD$400,0)),AD$2,)</f>
        <v>0</v>
      </c>
      <c r="AE115" s="140">
        <f ca="1">IF(ISNUMBER(MATCH(DATEVALUE($A115),'recurring1_based on steps'!AE$1:AE$400,0)),AE$2,)</f>
        <v>0</v>
      </c>
      <c r="AF115" s="140">
        <f ca="1">IF(ISNUMBER(MATCH(DATEVALUE($A115),'recurring1_based on steps'!AF$1:AF$400,0)),AF$2,)</f>
        <v>0</v>
      </c>
      <c r="AG115" s="140">
        <f ca="1">IF(ISNUMBER(MATCH(DATEVALUE($A115),'recurring1_based on steps'!AG$1:AG$400,0)),AG$2,)</f>
        <v>0</v>
      </c>
      <c r="AH115" s="140">
        <f ca="1">IF(ISNUMBER(MATCH(DATEVALUE($A115),'recurring1_based on steps'!AH$1:AH$400,0)),AH$2,)</f>
        <v>0</v>
      </c>
      <c r="AI115" s="140">
        <f ca="1">IF(ISNUMBER(MATCH(DATEVALUE($A115),'recurring1_based on steps'!AI$1:AI$400,0)),AI$2,)</f>
        <v>0</v>
      </c>
      <c r="AJ115" s="140">
        <f ca="1">IF(ISNUMBER(MATCH(DATEVALUE($A115),'recurring1_based on steps'!AJ$1:AJ$400,0)),AJ$2,)</f>
        <v>0</v>
      </c>
      <c r="AK115" s="140">
        <f ca="1">IF(ISNUMBER(MATCH(DATEVALUE($A115),'recurring1_based on steps'!AK$1:AK$400,0)),AK$2,)</f>
        <v>0</v>
      </c>
      <c r="AL115" s="140">
        <f ca="1">IF(ISNUMBER(MATCH(DATEVALUE($A115),'recurring1_based on steps'!AL$1:AL$400,0)),AL$2,)</f>
        <v>0</v>
      </c>
      <c r="AM115" s="140">
        <f ca="1">IF(ISNUMBER(MATCH(DATEVALUE($A115),'recurring1_based on steps'!AM$1:AM$400,0)),AM$2,)</f>
        <v>0</v>
      </c>
      <c r="AN115" s="140">
        <f ca="1">IF(ISNUMBER(MATCH(DATEVALUE($A115),'recurring1_based on steps'!AN$1:AN$400,0)),AN$2,)</f>
        <v>0</v>
      </c>
      <c r="AO115" s="140">
        <f ca="1">IF(ISNUMBER(MATCH(DATEVALUE($A115),'recurring1_based on steps'!AO$1:AO$400,0)),AO$2,)</f>
        <v>0</v>
      </c>
      <c r="AP115" s="140">
        <f ca="1">IF(ISNUMBER(MATCH(DATEVALUE($A115),'recurring1_based on steps'!AP$1:AP$400,0)),AP$2,)</f>
        <v>0</v>
      </c>
      <c r="AQ115" s="140">
        <f ca="1">IF(ISNUMBER(MATCH(DATEVALUE($A115),'recurring1_based on steps'!AQ$1:AQ$400,0)),AQ$2,)</f>
        <v>0</v>
      </c>
      <c r="AR115" s="140">
        <f ca="1">IF(ISNUMBER(MATCH(DATEVALUE($A115),'recurring1_based on steps'!AR$1:AR$400,0)),AR$2,)</f>
        <v>0</v>
      </c>
      <c r="AS115" s="140">
        <f ca="1">IF(ISNUMBER(MATCH(DATEVALUE($A115),'recurring1_based on steps'!AS$1:AS$400,0)),AS$2,)</f>
        <v>0</v>
      </c>
      <c r="AT115" s="140">
        <f ca="1">IF(ISNUMBER(MATCH(DATEVALUE($A115),'recurring1_based on steps'!AT$1:AT$400,0)),AT$2,)</f>
        <v>0</v>
      </c>
      <c r="AU115" s="140">
        <f ca="1">IF(ISNUMBER(MATCH(DATEVALUE($A115),'recurring1_based on steps'!AU$1:AU$400,0)),AU$2,)</f>
        <v>0</v>
      </c>
      <c r="AV115" s="140">
        <f ca="1">IF(ISNUMBER(MATCH(DATEVALUE($A115),'recurring1_based on steps'!AV$1:AV$400,0)),AV$2,)</f>
        <v>0</v>
      </c>
      <c r="AW115" s="140">
        <f ca="1">IF(ISNUMBER(MATCH(DATEVALUE($A115),'recurring1_based on steps'!AW$1:AW$400,0)),AW$2,)</f>
        <v>0</v>
      </c>
      <c r="AX115" s="140">
        <f ca="1">IF(ISNUMBER(MATCH(DATEVALUE($A115),'recurring1_based on steps'!AX$1:AX$400,0)),AX$2,)</f>
        <v>0</v>
      </c>
      <c r="AY115" s="140">
        <f ca="1">IF(ISNUMBER(MATCH(DATEVALUE($A115),'recurring1_based on steps'!AY$1:AY$400,0)),AY$2,)</f>
        <v>0</v>
      </c>
    </row>
    <row r="116" spans="1:51" x14ac:dyDescent="0.2">
      <c r="A116" s="29" t="str">
        <f t="shared" ca="1" si="1"/>
        <v>2025-07-18</v>
      </c>
      <c r="B116" s="140">
        <f ca="1">IF(ISNUMBER(MATCH(DATEVALUE($A116),'recurring1_based on steps'!B$1:B$400,0)),B$2,)</f>
        <v>0</v>
      </c>
      <c r="C116" s="140">
        <f ca="1">IF(ISNUMBER(MATCH(DATEVALUE($A116),'recurring1_based on steps'!C$1:C$400,0)),C$2,)</f>
        <v>0</v>
      </c>
      <c r="D116" s="140">
        <f ca="1">IF(ISNUMBER(MATCH(DATEVALUE($A116),'recurring1_based on steps'!D$1:D$400,0)),D$2,)</f>
        <v>0</v>
      </c>
      <c r="E116" s="140">
        <f ca="1">IF(ISNUMBER(MATCH(DATEVALUE($A116),'recurring1_based on steps'!E$1:E$400,0)),E$2,)</f>
        <v>0</v>
      </c>
      <c r="F116" s="140">
        <f ca="1">IF(ISNUMBER(MATCH(DATEVALUE($A116),'recurring1_based on steps'!F$1:F$400,0)),F$2,)</f>
        <v>0</v>
      </c>
      <c r="G116" s="140">
        <f ca="1">IF(ISNUMBER(MATCH(DATEVALUE($A116),'recurring1_based on steps'!G$1:G$400,0)),G$2,)</f>
        <v>0</v>
      </c>
      <c r="H116" s="140">
        <f ca="1">IF(ISNUMBER(MATCH(DATEVALUE($A116),'recurring1_based on steps'!H$1:H$400,0)),H$2,)</f>
        <v>0</v>
      </c>
      <c r="I116" s="140">
        <f ca="1">IF(ISNUMBER(MATCH(DATEVALUE($A116),'recurring1_based on steps'!I$1:I$400,0)),I$2,)</f>
        <v>0</v>
      </c>
      <c r="J116" s="140">
        <f ca="1">IF(ISNUMBER(MATCH(DATEVALUE($A116),'recurring1_based on steps'!J$1:J$400,0)),J$2,)</f>
        <v>0</v>
      </c>
      <c r="K116" s="140">
        <f ca="1">IF(ISNUMBER(MATCH(DATEVALUE($A116),'recurring1_based on steps'!K$1:K$400,0)),K$2,)</f>
        <v>0</v>
      </c>
      <c r="L116" s="140">
        <f ca="1">IF(ISNUMBER(MATCH(DATEVALUE($A116),'recurring1_based on steps'!L$1:L$400,0)),L$2,)</f>
        <v>0</v>
      </c>
      <c r="M116" s="140">
        <f ca="1">IF(ISNUMBER(MATCH(DATEVALUE($A116),'recurring1_based on steps'!M$1:M$400,0)),M$2,)</f>
        <v>0</v>
      </c>
      <c r="N116" s="140">
        <f ca="1">IF(ISNUMBER(MATCH(DATEVALUE($A116),'recurring1_based on steps'!N$1:N$400,0)),N$2,)</f>
        <v>0</v>
      </c>
      <c r="O116" s="140">
        <f ca="1">IF(ISNUMBER(MATCH(DATEVALUE($A116),'recurring1_based on steps'!O$1:O$400,0)),O$2,)</f>
        <v>10.99</v>
      </c>
      <c r="P116" s="140">
        <f ca="1">IF(ISNUMBER(MATCH(DATEVALUE($A116),'recurring1_based on steps'!P$1:P$400,0)),P$2,)</f>
        <v>0</v>
      </c>
      <c r="Q116" s="140">
        <f ca="1">IF(ISNUMBER(MATCH(DATEVALUE($A116),'recurring1_based on steps'!Q$1:Q$400,0)),Q$2,)</f>
        <v>0</v>
      </c>
      <c r="R116" s="140">
        <f ca="1">IF(ISNUMBER(MATCH(DATEVALUE($A116),'recurring1_based on steps'!R$1:R$400,0)),R$2,)</f>
        <v>0</v>
      </c>
      <c r="S116" s="140">
        <f ca="1">IF(ISNUMBER(MATCH(DATEVALUE($A116),'recurring1_based on steps'!S$1:S$400,0)),S$2,)</f>
        <v>0</v>
      </c>
      <c r="T116" s="140">
        <f ca="1">IF(ISNUMBER(MATCH(DATEVALUE($A116),'recurring1_based on steps'!T$1:T$400,0)),T$2,)</f>
        <v>0</v>
      </c>
      <c r="U116" s="140">
        <f ca="1">IF(ISNUMBER(MATCH(DATEVALUE($A116),'recurring1_based on steps'!U$1:U$400,0)),U$2,)</f>
        <v>0</v>
      </c>
      <c r="V116" s="140">
        <f ca="1">IF(ISNUMBER(MATCH(DATEVALUE($A116),'recurring1_based on steps'!V$1:V$400,0)),V$2,)</f>
        <v>0</v>
      </c>
      <c r="W116" s="140">
        <f ca="1">IF(ISNUMBER(MATCH(DATEVALUE($A116),'recurring1_based on steps'!W$1:W$400,0)),W$2,)</f>
        <v>0</v>
      </c>
      <c r="X116" s="140">
        <f ca="1">IF(ISNUMBER(MATCH(DATEVALUE($A116),'recurring1_based on steps'!X$1:X$400,0)),X$2,)</f>
        <v>0</v>
      </c>
      <c r="Y116" s="140">
        <f ca="1">IF(ISNUMBER(MATCH(DATEVALUE($A116),'recurring1_based on steps'!Y$1:Y$400,0)),Y$2,)</f>
        <v>0</v>
      </c>
      <c r="Z116" s="140">
        <f ca="1">IF(ISNUMBER(MATCH(DATEVALUE($A116),'recurring1_based on steps'!Z$1:Z$400,0)),Z$2,)</f>
        <v>0</v>
      </c>
      <c r="AA116" s="140">
        <f ca="1">IF(ISNUMBER(MATCH(DATEVALUE($A116),'recurring1_based on steps'!AA$1:AA$400,0)),AA$2,)</f>
        <v>0</v>
      </c>
      <c r="AB116" s="140">
        <f ca="1">IF(ISNUMBER(MATCH(DATEVALUE($A116),'recurring1_based on steps'!AB$1:AB$400,0)),AB$2,)</f>
        <v>5.5401662049861494E-2</v>
      </c>
      <c r="AC116" s="140">
        <f ca="1">IF(ISNUMBER(MATCH(DATEVALUE($A116),'recurring1_based on steps'!AC$1:AC$400,0)),AC$2,)</f>
        <v>0</v>
      </c>
      <c r="AD116" s="140">
        <f ca="1">IF(ISNUMBER(MATCH(DATEVALUE($A116),'recurring1_based on steps'!AD$1:AD$400,0)),AD$2,)</f>
        <v>0</v>
      </c>
      <c r="AE116" s="140">
        <f ca="1">IF(ISNUMBER(MATCH(DATEVALUE($A116),'recurring1_based on steps'!AE$1:AE$400,0)),AE$2,)</f>
        <v>0</v>
      </c>
      <c r="AF116" s="140">
        <f ca="1">IF(ISNUMBER(MATCH(DATEVALUE($A116),'recurring1_based on steps'!AF$1:AF$400,0)),AF$2,)</f>
        <v>0</v>
      </c>
      <c r="AG116" s="140">
        <f ca="1">IF(ISNUMBER(MATCH(DATEVALUE($A116),'recurring1_based on steps'!AG$1:AG$400,0)),AG$2,)</f>
        <v>0</v>
      </c>
      <c r="AH116" s="140">
        <f ca="1">IF(ISNUMBER(MATCH(DATEVALUE($A116),'recurring1_based on steps'!AH$1:AH$400,0)),AH$2,)</f>
        <v>0</v>
      </c>
      <c r="AI116" s="140">
        <f ca="1">IF(ISNUMBER(MATCH(DATEVALUE($A116),'recurring1_based on steps'!AI$1:AI$400,0)),AI$2,)</f>
        <v>0</v>
      </c>
      <c r="AJ116" s="140">
        <f ca="1">IF(ISNUMBER(MATCH(DATEVALUE($A116),'recurring1_based on steps'!AJ$1:AJ$400,0)),AJ$2,)</f>
        <v>0</v>
      </c>
      <c r="AK116" s="140">
        <f ca="1">IF(ISNUMBER(MATCH(DATEVALUE($A116),'recurring1_based on steps'!AK$1:AK$400,0)),AK$2,)</f>
        <v>0</v>
      </c>
      <c r="AL116" s="140">
        <f ca="1">IF(ISNUMBER(MATCH(DATEVALUE($A116),'recurring1_based on steps'!AL$1:AL$400,0)),AL$2,)</f>
        <v>0</v>
      </c>
      <c r="AM116" s="140">
        <f ca="1">IF(ISNUMBER(MATCH(DATEVALUE($A116),'recurring1_based on steps'!AM$1:AM$400,0)),AM$2,)</f>
        <v>0</v>
      </c>
      <c r="AN116" s="140">
        <f ca="1">IF(ISNUMBER(MATCH(DATEVALUE($A116),'recurring1_based on steps'!AN$1:AN$400,0)),AN$2,)</f>
        <v>0</v>
      </c>
      <c r="AO116" s="140">
        <f ca="1">IF(ISNUMBER(MATCH(DATEVALUE($A116),'recurring1_based on steps'!AO$1:AO$400,0)),AO$2,)</f>
        <v>0</v>
      </c>
      <c r="AP116" s="140">
        <f ca="1">IF(ISNUMBER(MATCH(DATEVALUE($A116),'recurring1_based on steps'!AP$1:AP$400,0)),AP$2,)</f>
        <v>0</v>
      </c>
      <c r="AQ116" s="140">
        <f ca="1">IF(ISNUMBER(MATCH(DATEVALUE($A116),'recurring1_based on steps'!AQ$1:AQ$400,0)),AQ$2,)</f>
        <v>0</v>
      </c>
      <c r="AR116" s="140">
        <f ca="1">IF(ISNUMBER(MATCH(DATEVALUE($A116),'recurring1_based on steps'!AR$1:AR$400,0)),AR$2,)</f>
        <v>0</v>
      </c>
      <c r="AS116" s="140">
        <f ca="1">IF(ISNUMBER(MATCH(DATEVALUE($A116),'recurring1_based on steps'!AS$1:AS$400,0)),AS$2,)</f>
        <v>0</v>
      </c>
      <c r="AT116" s="140">
        <f ca="1">IF(ISNUMBER(MATCH(DATEVALUE($A116),'recurring1_based on steps'!AT$1:AT$400,0)),AT$2,)</f>
        <v>0</v>
      </c>
      <c r="AU116" s="140">
        <f ca="1">IF(ISNUMBER(MATCH(DATEVALUE($A116),'recurring1_based on steps'!AU$1:AU$400,0)),AU$2,)</f>
        <v>0</v>
      </c>
      <c r="AV116" s="140">
        <f ca="1">IF(ISNUMBER(MATCH(DATEVALUE($A116),'recurring1_based on steps'!AV$1:AV$400,0)),AV$2,)</f>
        <v>0</v>
      </c>
      <c r="AW116" s="140">
        <f ca="1">IF(ISNUMBER(MATCH(DATEVALUE($A116),'recurring1_based on steps'!AW$1:AW$400,0)),AW$2,)</f>
        <v>0</v>
      </c>
      <c r="AX116" s="140">
        <f ca="1">IF(ISNUMBER(MATCH(DATEVALUE($A116),'recurring1_based on steps'!AX$1:AX$400,0)),AX$2,)</f>
        <v>0</v>
      </c>
      <c r="AY116" s="140">
        <f ca="1">IF(ISNUMBER(MATCH(DATEVALUE($A116),'recurring1_based on steps'!AY$1:AY$400,0)),AY$2,)</f>
        <v>0</v>
      </c>
    </row>
    <row r="117" spans="1:51" x14ac:dyDescent="0.2">
      <c r="A117" s="29" t="str">
        <f t="shared" ca="1" si="1"/>
        <v>2025-07-19</v>
      </c>
      <c r="B117" s="140">
        <f ca="1">IF(ISNUMBER(MATCH(DATEVALUE($A117),'recurring1_based on steps'!B$1:B$400,0)),B$2,)</f>
        <v>0</v>
      </c>
      <c r="C117" s="140">
        <f ca="1">IF(ISNUMBER(MATCH(DATEVALUE($A117),'recurring1_based on steps'!C$1:C$400,0)),C$2,)</f>
        <v>0</v>
      </c>
      <c r="D117" s="140">
        <f ca="1">IF(ISNUMBER(MATCH(DATEVALUE($A117),'recurring1_based on steps'!D$1:D$400,0)),D$2,)</f>
        <v>0</v>
      </c>
      <c r="E117" s="140">
        <f ca="1">IF(ISNUMBER(MATCH(DATEVALUE($A117),'recurring1_based on steps'!E$1:E$400,0)),E$2,)</f>
        <v>0</v>
      </c>
      <c r="F117" s="140">
        <f ca="1">IF(ISNUMBER(MATCH(DATEVALUE($A117),'recurring1_based on steps'!F$1:F$400,0)),F$2,)</f>
        <v>0</v>
      </c>
      <c r="G117" s="140">
        <f ca="1">IF(ISNUMBER(MATCH(DATEVALUE($A117),'recurring1_based on steps'!G$1:G$400,0)),G$2,)</f>
        <v>0</v>
      </c>
      <c r="H117" s="140">
        <f ca="1">IF(ISNUMBER(MATCH(DATEVALUE($A117),'recurring1_based on steps'!H$1:H$400,0)),H$2,)</f>
        <v>0</v>
      </c>
      <c r="I117" s="140">
        <f ca="1">IF(ISNUMBER(MATCH(DATEVALUE($A117),'recurring1_based on steps'!I$1:I$400,0)),I$2,)</f>
        <v>0</v>
      </c>
      <c r="J117" s="140">
        <f ca="1">IF(ISNUMBER(MATCH(DATEVALUE($A117),'recurring1_based on steps'!J$1:J$400,0)),J$2,)</f>
        <v>0</v>
      </c>
      <c r="K117" s="140">
        <f ca="1">IF(ISNUMBER(MATCH(DATEVALUE($A117),'recurring1_based on steps'!K$1:K$400,0)),K$2,)</f>
        <v>0</v>
      </c>
      <c r="L117" s="140">
        <f ca="1">IF(ISNUMBER(MATCH(DATEVALUE($A117),'recurring1_based on steps'!L$1:L$400,0)),L$2,)</f>
        <v>0</v>
      </c>
      <c r="M117" s="140">
        <f ca="1">IF(ISNUMBER(MATCH(DATEVALUE($A117),'recurring1_based on steps'!M$1:M$400,0)),M$2,)</f>
        <v>0</v>
      </c>
      <c r="N117" s="140">
        <f ca="1">IF(ISNUMBER(MATCH(DATEVALUE($A117),'recurring1_based on steps'!N$1:N$400,0)),N$2,)</f>
        <v>0</v>
      </c>
      <c r="O117" s="140">
        <f ca="1">IF(ISNUMBER(MATCH(DATEVALUE($A117),'recurring1_based on steps'!O$1:O$400,0)),O$2,)</f>
        <v>0</v>
      </c>
      <c r="P117" s="140">
        <f ca="1">IF(ISNUMBER(MATCH(DATEVALUE($A117),'recurring1_based on steps'!P$1:P$400,0)),P$2,)</f>
        <v>0</v>
      </c>
      <c r="Q117" s="140">
        <f ca="1">IF(ISNUMBER(MATCH(DATEVALUE($A117),'recurring1_based on steps'!Q$1:Q$400,0)),Q$2,)</f>
        <v>100</v>
      </c>
      <c r="R117" s="140">
        <f ca="1">IF(ISNUMBER(MATCH(DATEVALUE($A117),'recurring1_based on steps'!R$1:R$400,0)),R$2,)</f>
        <v>100</v>
      </c>
      <c r="S117" s="140">
        <f ca="1">IF(ISNUMBER(MATCH(DATEVALUE($A117),'recurring1_based on steps'!S$1:S$400,0)),S$2,)</f>
        <v>0</v>
      </c>
      <c r="T117" s="140">
        <f ca="1">IF(ISNUMBER(MATCH(DATEVALUE($A117),'recurring1_based on steps'!T$1:T$400,0)),T$2,)</f>
        <v>0</v>
      </c>
      <c r="U117" s="140">
        <f ca="1">IF(ISNUMBER(MATCH(DATEVALUE($A117),'recurring1_based on steps'!U$1:U$400,0)),U$2,)</f>
        <v>0</v>
      </c>
      <c r="V117" s="140">
        <f ca="1">IF(ISNUMBER(MATCH(DATEVALUE($A117),'recurring1_based on steps'!V$1:V$400,0)),V$2,)</f>
        <v>0</v>
      </c>
      <c r="W117" s="140">
        <f ca="1">IF(ISNUMBER(MATCH(DATEVALUE($A117),'recurring1_based on steps'!W$1:W$400,0)),W$2,)</f>
        <v>0</v>
      </c>
      <c r="X117" s="140">
        <f ca="1">IF(ISNUMBER(MATCH(DATEVALUE($A117),'recurring1_based on steps'!X$1:X$400,0)),X$2,)</f>
        <v>0</v>
      </c>
      <c r="Y117" s="140">
        <f ca="1">IF(ISNUMBER(MATCH(DATEVALUE($A117),'recurring1_based on steps'!Y$1:Y$400,0)),Y$2,)</f>
        <v>0</v>
      </c>
      <c r="Z117" s="140">
        <f ca="1">IF(ISNUMBER(MATCH(DATEVALUE($A117),'recurring1_based on steps'!Z$1:Z$400,0)),Z$2,)</f>
        <v>0</v>
      </c>
      <c r="AA117" s="140">
        <f ca="1">IF(ISNUMBER(MATCH(DATEVALUE($A117),'recurring1_based on steps'!AA$1:AA$400,0)),AA$2,)</f>
        <v>0</v>
      </c>
      <c r="AB117" s="140">
        <f ca="1">IF(ISNUMBER(MATCH(DATEVALUE($A117),'recurring1_based on steps'!AB$1:AB$400,0)),AB$2,)</f>
        <v>5.5401662049861494E-2</v>
      </c>
      <c r="AC117" s="140">
        <f ca="1">IF(ISNUMBER(MATCH(DATEVALUE($A117),'recurring1_based on steps'!AC$1:AC$400,0)),AC$2,)</f>
        <v>0</v>
      </c>
      <c r="AD117" s="140">
        <f ca="1">IF(ISNUMBER(MATCH(DATEVALUE($A117),'recurring1_based on steps'!AD$1:AD$400,0)),AD$2,)</f>
        <v>0</v>
      </c>
      <c r="AE117" s="140">
        <f ca="1">IF(ISNUMBER(MATCH(DATEVALUE($A117),'recurring1_based on steps'!AE$1:AE$400,0)),AE$2,)</f>
        <v>0</v>
      </c>
      <c r="AF117" s="140">
        <f ca="1">IF(ISNUMBER(MATCH(DATEVALUE($A117),'recurring1_based on steps'!AF$1:AF$400,0)),AF$2,)</f>
        <v>0</v>
      </c>
      <c r="AG117" s="140">
        <f ca="1">IF(ISNUMBER(MATCH(DATEVALUE($A117),'recurring1_based on steps'!AG$1:AG$400,0)),AG$2,)</f>
        <v>0</v>
      </c>
      <c r="AH117" s="140">
        <f ca="1">IF(ISNUMBER(MATCH(DATEVALUE($A117),'recurring1_based on steps'!AH$1:AH$400,0)),AH$2,)</f>
        <v>0</v>
      </c>
      <c r="AI117" s="140">
        <f ca="1">IF(ISNUMBER(MATCH(DATEVALUE($A117),'recurring1_based on steps'!AI$1:AI$400,0)),AI$2,)</f>
        <v>0</v>
      </c>
      <c r="AJ117" s="140">
        <f ca="1">IF(ISNUMBER(MATCH(DATEVALUE($A117),'recurring1_based on steps'!AJ$1:AJ$400,0)),AJ$2,)</f>
        <v>0</v>
      </c>
      <c r="AK117" s="140">
        <f ca="1">IF(ISNUMBER(MATCH(DATEVALUE($A117),'recurring1_based on steps'!AK$1:AK$400,0)),AK$2,)</f>
        <v>0</v>
      </c>
      <c r="AL117" s="140">
        <f ca="1">IF(ISNUMBER(MATCH(DATEVALUE($A117),'recurring1_based on steps'!AL$1:AL$400,0)),AL$2,)</f>
        <v>0</v>
      </c>
      <c r="AM117" s="140">
        <f ca="1">IF(ISNUMBER(MATCH(DATEVALUE($A117),'recurring1_based on steps'!AM$1:AM$400,0)),AM$2,)</f>
        <v>0</v>
      </c>
      <c r="AN117" s="140">
        <f ca="1">IF(ISNUMBER(MATCH(DATEVALUE($A117),'recurring1_based on steps'!AN$1:AN$400,0)),AN$2,)</f>
        <v>0</v>
      </c>
      <c r="AO117" s="140">
        <f ca="1">IF(ISNUMBER(MATCH(DATEVALUE($A117),'recurring1_based on steps'!AO$1:AO$400,0)),AO$2,)</f>
        <v>0</v>
      </c>
      <c r="AP117" s="140">
        <f ca="1">IF(ISNUMBER(MATCH(DATEVALUE($A117),'recurring1_based on steps'!AP$1:AP$400,0)),AP$2,)</f>
        <v>0</v>
      </c>
      <c r="AQ117" s="140">
        <f ca="1">IF(ISNUMBER(MATCH(DATEVALUE($A117),'recurring1_based on steps'!AQ$1:AQ$400,0)),AQ$2,)</f>
        <v>0</v>
      </c>
      <c r="AR117" s="140">
        <f ca="1">IF(ISNUMBER(MATCH(DATEVALUE($A117),'recurring1_based on steps'!AR$1:AR$400,0)),AR$2,)</f>
        <v>0</v>
      </c>
      <c r="AS117" s="140">
        <f ca="1">IF(ISNUMBER(MATCH(DATEVALUE($A117),'recurring1_based on steps'!AS$1:AS$400,0)),AS$2,)</f>
        <v>0</v>
      </c>
      <c r="AT117" s="140">
        <f ca="1">IF(ISNUMBER(MATCH(DATEVALUE($A117),'recurring1_based on steps'!AT$1:AT$400,0)),AT$2,)</f>
        <v>0</v>
      </c>
      <c r="AU117" s="140">
        <f ca="1">IF(ISNUMBER(MATCH(DATEVALUE($A117),'recurring1_based on steps'!AU$1:AU$400,0)),AU$2,)</f>
        <v>0</v>
      </c>
      <c r="AV117" s="140">
        <f ca="1">IF(ISNUMBER(MATCH(DATEVALUE($A117),'recurring1_based on steps'!AV$1:AV$400,0)),AV$2,)</f>
        <v>0</v>
      </c>
      <c r="AW117" s="140">
        <f ca="1">IF(ISNUMBER(MATCH(DATEVALUE($A117),'recurring1_based on steps'!AW$1:AW$400,0)),AW$2,)</f>
        <v>0</v>
      </c>
      <c r="AX117" s="140">
        <f ca="1">IF(ISNUMBER(MATCH(DATEVALUE($A117),'recurring1_based on steps'!AX$1:AX$400,0)),AX$2,)</f>
        <v>0</v>
      </c>
      <c r="AY117" s="140">
        <f ca="1">IF(ISNUMBER(MATCH(DATEVALUE($A117),'recurring1_based on steps'!AY$1:AY$400,0)),AY$2,)</f>
        <v>0</v>
      </c>
    </row>
    <row r="118" spans="1:51" x14ac:dyDescent="0.2">
      <c r="A118" s="29" t="str">
        <f t="shared" ca="1" si="1"/>
        <v>2025-07-20</v>
      </c>
      <c r="B118" s="140">
        <f ca="1">IF(ISNUMBER(MATCH(DATEVALUE($A118),'recurring1_based on steps'!B$1:B$400,0)),B$2,)</f>
        <v>0</v>
      </c>
      <c r="C118" s="140">
        <f ca="1">IF(ISNUMBER(MATCH(DATEVALUE($A118),'recurring1_based on steps'!C$1:C$400,0)),C$2,)</f>
        <v>0</v>
      </c>
      <c r="D118" s="140">
        <f ca="1">IF(ISNUMBER(MATCH(DATEVALUE($A118),'recurring1_based on steps'!D$1:D$400,0)),D$2,)</f>
        <v>0</v>
      </c>
      <c r="E118" s="140">
        <f ca="1">IF(ISNUMBER(MATCH(DATEVALUE($A118),'recurring1_based on steps'!E$1:E$400,0)),E$2,)</f>
        <v>0</v>
      </c>
      <c r="F118" s="140">
        <f ca="1">IF(ISNUMBER(MATCH(DATEVALUE($A118),'recurring1_based on steps'!F$1:F$400,0)),F$2,)</f>
        <v>0</v>
      </c>
      <c r="G118" s="140">
        <f ca="1">IF(ISNUMBER(MATCH(DATEVALUE($A118),'recurring1_based on steps'!G$1:G$400,0)),G$2,)</f>
        <v>0</v>
      </c>
      <c r="H118" s="140">
        <f ca="1">IF(ISNUMBER(MATCH(DATEVALUE($A118),'recurring1_based on steps'!H$1:H$400,0)),H$2,)</f>
        <v>0</v>
      </c>
      <c r="I118" s="140">
        <f ca="1">IF(ISNUMBER(MATCH(DATEVALUE($A118),'recurring1_based on steps'!I$1:I$400,0)),I$2,)</f>
        <v>0</v>
      </c>
      <c r="J118" s="140">
        <f ca="1">IF(ISNUMBER(MATCH(DATEVALUE($A118),'recurring1_based on steps'!J$1:J$400,0)),J$2,)</f>
        <v>0</v>
      </c>
      <c r="K118" s="140">
        <f ca="1">IF(ISNUMBER(MATCH(DATEVALUE($A118),'recurring1_based on steps'!K$1:K$400,0)),K$2,)</f>
        <v>50</v>
      </c>
      <c r="L118" s="140">
        <f ca="1">IF(ISNUMBER(MATCH(DATEVALUE($A118),'recurring1_based on steps'!L$1:L$400,0)),L$2,)</f>
        <v>0</v>
      </c>
      <c r="M118" s="140">
        <f ca="1">IF(ISNUMBER(MATCH(DATEVALUE($A118),'recurring1_based on steps'!M$1:M$400,0)),M$2,)</f>
        <v>0</v>
      </c>
      <c r="N118" s="140">
        <f ca="1">IF(ISNUMBER(MATCH(DATEVALUE($A118),'recurring1_based on steps'!N$1:N$400,0)),N$2,)</f>
        <v>0</v>
      </c>
      <c r="O118" s="140">
        <f ca="1">IF(ISNUMBER(MATCH(DATEVALUE($A118),'recurring1_based on steps'!O$1:O$400,0)),O$2,)</f>
        <v>0</v>
      </c>
      <c r="P118" s="140">
        <f ca="1">IF(ISNUMBER(MATCH(DATEVALUE($A118),'recurring1_based on steps'!P$1:P$400,0)),P$2,)</f>
        <v>0</v>
      </c>
      <c r="Q118" s="140">
        <f ca="1">IF(ISNUMBER(MATCH(DATEVALUE($A118),'recurring1_based on steps'!Q$1:Q$400,0)),Q$2,)</f>
        <v>0</v>
      </c>
      <c r="R118" s="140">
        <f ca="1">IF(ISNUMBER(MATCH(DATEVALUE($A118),'recurring1_based on steps'!R$1:R$400,0)),R$2,)</f>
        <v>0</v>
      </c>
      <c r="S118" s="140">
        <f ca="1">IF(ISNUMBER(MATCH(DATEVALUE($A118),'recurring1_based on steps'!S$1:S$400,0)),S$2,)</f>
        <v>100</v>
      </c>
      <c r="T118" s="140">
        <f ca="1">IF(ISNUMBER(MATCH(DATEVALUE($A118),'recurring1_based on steps'!T$1:T$400,0)),T$2,)</f>
        <v>0</v>
      </c>
      <c r="U118" s="140">
        <f ca="1">IF(ISNUMBER(MATCH(DATEVALUE($A118),'recurring1_based on steps'!U$1:U$400,0)),U$2,)</f>
        <v>0</v>
      </c>
      <c r="V118" s="140">
        <f ca="1">IF(ISNUMBER(MATCH(DATEVALUE($A118),'recurring1_based on steps'!V$1:V$400,0)),V$2,)</f>
        <v>0</v>
      </c>
      <c r="W118" s="140">
        <f ca="1">IF(ISNUMBER(MATCH(DATEVALUE($A118),'recurring1_based on steps'!W$1:W$400,0)),W$2,)</f>
        <v>0</v>
      </c>
      <c r="X118" s="140">
        <f ca="1">IF(ISNUMBER(MATCH(DATEVALUE($A118),'recurring1_based on steps'!X$1:X$400,0)),X$2,)</f>
        <v>0</v>
      </c>
      <c r="Y118" s="140">
        <f ca="1">IF(ISNUMBER(MATCH(DATEVALUE($A118),'recurring1_based on steps'!Y$1:Y$400,0)),Y$2,)</f>
        <v>0</v>
      </c>
      <c r="Z118" s="140">
        <f ca="1">IF(ISNUMBER(MATCH(DATEVALUE($A118),'recurring1_based on steps'!Z$1:Z$400,0)),Z$2,)</f>
        <v>0</v>
      </c>
      <c r="AA118" s="140">
        <f ca="1">IF(ISNUMBER(MATCH(DATEVALUE($A118),'recurring1_based on steps'!AA$1:AA$400,0)),AA$2,)</f>
        <v>5.8171745152354575</v>
      </c>
      <c r="AB118" s="140">
        <f ca="1">IF(ISNUMBER(MATCH(DATEVALUE($A118),'recurring1_based on steps'!AB$1:AB$400,0)),AB$2,)</f>
        <v>5.5401662049861494E-2</v>
      </c>
      <c r="AC118" s="140">
        <f ca="1">IF(ISNUMBER(MATCH(DATEVALUE($A118),'recurring1_based on steps'!AC$1:AC$400,0)),AC$2,)</f>
        <v>0</v>
      </c>
      <c r="AD118" s="140">
        <f ca="1">IF(ISNUMBER(MATCH(DATEVALUE($A118),'recurring1_based on steps'!AD$1:AD$400,0)),AD$2,)</f>
        <v>0</v>
      </c>
      <c r="AE118" s="140">
        <f ca="1">IF(ISNUMBER(MATCH(DATEVALUE($A118),'recurring1_based on steps'!AE$1:AE$400,0)),AE$2,)</f>
        <v>0</v>
      </c>
      <c r="AF118" s="140">
        <f ca="1">IF(ISNUMBER(MATCH(DATEVALUE($A118),'recurring1_based on steps'!AF$1:AF$400,0)),AF$2,)</f>
        <v>0</v>
      </c>
      <c r="AG118" s="140">
        <f ca="1">IF(ISNUMBER(MATCH(DATEVALUE($A118),'recurring1_based on steps'!AG$1:AG$400,0)),AG$2,)</f>
        <v>0</v>
      </c>
      <c r="AH118" s="140">
        <f ca="1">IF(ISNUMBER(MATCH(DATEVALUE($A118),'recurring1_based on steps'!AH$1:AH$400,0)),AH$2,)</f>
        <v>0</v>
      </c>
      <c r="AI118" s="140">
        <f ca="1">IF(ISNUMBER(MATCH(DATEVALUE($A118),'recurring1_based on steps'!AI$1:AI$400,0)),AI$2,)</f>
        <v>0</v>
      </c>
      <c r="AJ118" s="140">
        <f ca="1">IF(ISNUMBER(MATCH(DATEVALUE($A118),'recurring1_based on steps'!AJ$1:AJ$400,0)),AJ$2,)</f>
        <v>0</v>
      </c>
      <c r="AK118" s="140">
        <f ca="1">IF(ISNUMBER(MATCH(DATEVALUE($A118),'recurring1_based on steps'!AK$1:AK$400,0)),AK$2,)</f>
        <v>0</v>
      </c>
      <c r="AL118" s="140">
        <f ca="1">IF(ISNUMBER(MATCH(DATEVALUE($A118),'recurring1_based on steps'!AL$1:AL$400,0)),AL$2,)</f>
        <v>0</v>
      </c>
      <c r="AM118" s="140">
        <f ca="1">IF(ISNUMBER(MATCH(DATEVALUE($A118),'recurring1_based on steps'!AM$1:AM$400,0)),AM$2,)</f>
        <v>0</v>
      </c>
      <c r="AN118" s="140">
        <f ca="1">IF(ISNUMBER(MATCH(DATEVALUE($A118),'recurring1_based on steps'!AN$1:AN$400,0)),AN$2,)</f>
        <v>0</v>
      </c>
      <c r="AO118" s="140">
        <f ca="1">IF(ISNUMBER(MATCH(DATEVALUE($A118),'recurring1_based on steps'!AO$1:AO$400,0)),AO$2,)</f>
        <v>0</v>
      </c>
      <c r="AP118" s="140">
        <f ca="1">IF(ISNUMBER(MATCH(DATEVALUE($A118),'recurring1_based on steps'!AP$1:AP$400,0)),AP$2,)</f>
        <v>0</v>
      </c>
      <c r="AQ118" s="140">
        <f ca="1">IF(ISNUMBER(MATCH(DATEVALUE($A118),'recurring1_based on steps'!AQ$1:AQ$400,0)),AQ$2,)</f>
        <v>0</v>
      </c>
      <c r="AR118" s="140">
        <f ca="1">IF(ISNUMBER(MATCH(DATEVALUE($A118),'recurring1_based on steps'!AR$1:AR$400,0)),AR$2,)</f>
        <v>0</v>
      </c>
      <c r="AS118" s="140">
        <f ca="1">IF(ISNUMBER(MATCH(DATEVALUE($A118),'recurring1_based on steps'!AS$1:AS$400,0)),AS$2,)</f>
        <v>0</v>
      </c>
      <c r="AT118" s="140">
        <f ca="1">IF(ISNUMBER(MATCH(DATEVALUE($A118),'recurring1_based on steps'!AT$1:AT$400,0)),AT$2,)</f>
        <v>0</v>
      </c>
      <c r="AU118" s="140">
        <f ca="1">IF(ISNUMBER(MATCH(DATEVALUE($A118),'recurring1_based on steps'!AU$1:AU$400,0)),AU$2,)</f>
        <v>0</v>
      </c>
      <c r="AV118" s="140">
        <f ca="1">IF(ISNUMBER(MATCH(DATEVALUE($A118),'recurring1_based on steps'!AV$1:AV$400,0)),AV$2,)</f>
        <v>0</v>
      </c>
      <c r="AW118" s="140">
        <f ca="1">IF(ISNUMBER(MATCH(DATEVALUE($A118),'recurring1_based on steps'!AW$1:AW$400,0)),AW$2,)</f>
        <v>0</v>
      </c>
      <c r="AX118" s="140">
        <f ca="1">IF(ISNUMBER(MATCH(DATEVALUE($A118),'recurring1_based on steps'!AX$1:AX$400,0)),AX$2,)</f>
        <v>0</v>
      </c>
      <c r="AY118" s="140">
        <f ca="1">IF(ISNUMBER(MATCH(DATEVALUE($A118),'recurring1_based on steps'!AY$1:AY$400,0)),AY$2,)</f>
        <v>0</v>
      </c>
    </row>
    <row r="119" spans="1:51" x14ac:dyDescent="0.2">
      <c r="A119" s="29" t="str">
        <f t="shared" ca="1" si="1"/>
        <v>2025-07-21</v>
      </c>
      <c r="B119" s="140">
        <f ca="1">IF(ISNUMBER(MATCH(DATEVALUE($A119),'recurring1_based on steps'!B$1:B$400,0)),B$2,)</f>
        <v>0</v>
      </c>
      <c r="C119" s="140">
        <f ca="1">IF(ISNUMBER(MATCH(DATEVALUE($A119),'recurring1_based on steps'!C$1:C$400,0)),C$2,)</f>
        <v>0</v>
      </c>
      <c r="D119" s="140">
        <f ca="1">IF(ISNUMBER(MATCH(DATEVALUE($A119),'recurring1_based on steps'!D$1:D$400,0)),D$2,)</f>
        <v>0</v>
      </c>
      <c r="E119" s="140">
        <f ca="1">IF(ISNUMBER(MATCH(DATEVALUE($A119),'recurring1_based on steps'!E$1:E$400,0)),E$2,)</f>
        <v>0</v>
      </c>
      <c r="F119" s="140">
        <f ca="1">IF(ISNUMBER(MATCH(DATEVALUE($A119),'recurring1_based on steps'!F$1:F$400,0)),F$2,)</f>
        <v>0</v>
      </c>
      <c r="G119" s="140">
        <f ca="1">IF(ISNUMBER(MATCH(DATEVALUE($A119),'recurring1_based on steps'!G$1:G$400,0)),G$2,)</f>
        <v>0</v>
      </c>
      <c r="H119" s="140">
        <f ca="1">IF(ISNUMBER(MATCH(DATEVALUE($A119),'recurring1_based on steps'!H$1:H$400,0)),H$2,)</f>
        <v>0</v>
      </c>
      <c r="I119" s="140">
        <f ca="1">IF(ISNUMBER(MATCH(DATEVALUE($A119),'recurring1_based on steps'!I$1:I$400,0)),I$2,)</f>
        <v>0</v>
      </c>
      <c r="J119" s="140">
        <f ca="1">IF(ISNUMBER(MATCH(DATEVALUE($A119),'recurring1_based on steps'!J$1:J$400,0)),J$2,)</f>
        <v>0</v>
      </c>
      <c r="K119" s="140">
        <f ca="1">IF(ISNUMBER(MATCH(DATEVALUE($A119),'recurring1_based on steps'!K$1:K$400,0)),K$2,)</f>
        <v>0</v>
      </c>
      <c r="L119" s="140">
        <f ca="1">IF(ISNUMBER(MATCH(DATEVALUE($A119),'recurring1_based on steps'!L$1:L$400,0)),L$2,)</f>
        <v>0</v>
      </c>
      <c r="M119" s="140">
        <f ca="1">IF(ISNUMBER(MATCH(DATEVALUE($A119),'recurring1_based on steps'!M$1:M$400,0)),M$2,)</f>
        <v>0</v>
      </c>
      <c r="N119" s="140">
        <f ca="1">IF(ISNUMBER(MATCH(DATEVALUE($A119),'recurring1_based on steps'!N$1:N$400,0)),N$2,)</f>
        <v>0</v>
      </c>
      <c r="O119" s="140">
        <f ca="1">IF(ISNUMBER(MATCH(DATEVALUE($A119),'recurring1_based on steps'!O$1:O$400,0)),O$2,)</f>
        <v>0</v>
      </c>
      <c r="P119" s="140">
        <f ca="1">IF(ISNUMBER(MATCH(DATEVALUE($A119),'recurring1_based on steps'!P$1:P$400,0)),P$2,)</f>
        <v>0</v>
      </c>
      <c r="Q119" s="140">
        <f ca="1">IF(ISNUMBER(MATCH(DATEVALUE($A119),'recurring1_based on steps'!Q$1:Q$400,0)),Q$2,)</f>
        <v>0</v>
      </c>
      <c r="R119" s="140">
        <f ca="1">IF(ISNUMBER(MATCH(DATEVALUE($A119),'recurring1_based on steps'!R$1:R$400,0)),R$2,)</f>
        <v>0</v>
      </c>
      <c r="S119" s="140">
        <f ca="1">IF(ISNUMBER(MATCH(DATEVALUE($A119),'recurring1_based on steps'!S$1:S$400,0)),S$2,)</f>
        <v>0</v>
      </c>
      <c r="T119" s="140">
        <f ca="1">IF(ISNUMBER(MATCH(DATEVALUE($A119),'recurring1_based on steps'!T$1:T$400,0)),T$2,)</f>
        <v>50</v>
      </c>
      <c r="U119" s="140">
        <f ca="1">IF(ISNUMBER(MATCH(DATEVALUE($A119),'recurring1_based on steps'!U$1:U$400,0)),U$2,)</f>
        <v>0</v>
      </c>
      <c r="V119" s="140">
        <f ca="1">IF(ISNUMBER(MATCH(DATEVALUE($A119),'recurring1_based on steps'!V$1:V$400,0)),V$2,)</f>
        <v>0</v>
      </c>
      <c r="W119" s="140">
        <f ca="1">IF(ISNUMBER(MATCH(DATEVALUE($A119),'recurring1_based on steps'!W$1:W$400,0)),W$2,)</f>
        <v>0</v>
      </c>
      <c r="X119" s="140">
        <f ca="1">IF(ISNUMBER(MATCH(DATEVALUE($A119),'recurring1_based on steps'!X$1:X$400,0)),X$2,)</f>
        <v>0</v>
      </c>
      <c r="Y119" s="140">
        <f ca="1">IF(ISNUMBER(MATCH(DATEVALUE($A119),'recurring1_based on steps'!Y$1:Y$400,0)),Y$2,)</f>
        <v>0</v>
      </c>
      <c r="Z119" s="140">
        <f ca="1">IF(ISNUMBER(MATCH(DATEVALUE($A119),'recurring1_based on steps'!Z$1:Z$400,0)),Z$2,)</f>
        <v>0</v>
      </c>
      <c r="AA119" s="140">
        <f ca="1">IF(ISNUMBER(MATCH(DATEVALUE($A119),'recurring1_based on steps'!AA$1:AA$400,0)),AA$2,)</f>
        <v>0</v>
      </c>
      <c r="AB119" s="140">
        <f ca="1">IF(ISNUMBER(MATCH(DATEVALUE($A119),'recurring1_based on steps'!AB$1:AB$400,0)),AB$2,)</f>
        <v>5.5401662049861494E-2</v>
      </c>
      <c r="AC119" s="140">
        <f ca="1">IF(ISNUMBER(MATCH(DATEVALUE($A119),'recurring1_based on steps'!AC$1:AC$400,0)),AC$2,)</f>
        <v>0</v>
      </c>
      <c r="AD119" s="140">
        <f ca="1">IF(ISNUMBER(MATCH(DATEVALUE($A119),'recurring1_based on steps'!AD$1:AD$400,0)),AD$2,)</f>
        <v>0</v>
      </c>
      <c r="AE119" s="140">
        <f ca="1">IF(ISNUMBER(MATCH(DATEVALUE($A119),'recurring1_based on steps'!AE$1:AE$400,0)),AE$2,)</f>
        <v>0</v>
      </c>
      <c r="AF119" s="140">
        <f ca="1">IF(ISNUMBER(MATCH(DATEVALUE($A119),'recurring1_based on steps'!AF$1:AF$400,0)),AF$2,)</f>
        <v>0</v>
      </c>
      <c r="AG119" s="140">
        <f ca="1">IF(ISNUMBER(MATCH(DATEVALUE($A119),'recurring1_based on steps'!AG$1:AG$400,0)),AG$2,)</f>
        <v>0</v>
      </c>
      <c r="AH119" s="140">
        <f ca="1">IF(ISNUMBER(MATCH(DATEVALUE($A119),'recurring1_based on steps'!AH$1:AH$400,0)),AH$2,)</f>
        <v>0</v>
      </c>
      <c r="AI119" s="140">
        <f ca="1">IF(ISNUMBER(MATCH(DATEVALUE($A119),'recurring1_based on steps'!AI$1:AI$400,0)),AI$2,)</f>
        <v>0</v>
      </c>
      <c r="AJ119" s="140">
        <f ca="1">IF(ISNUMBER(MATCH(DATEVALUE($A119),'recurring1_based on steps'!AJ$1:AJ$400,0)),AJ$2,)</f>
        <v>0</v>
      </c>
      <c r="AK119" s="140">
        <f ca="1">IF(ISNUMBER(MATCH(DATEVALUE($A119),'recurring1_based on steps'!AK$1:AK$400,0)),AK$2,)</f>
        <v>0</v>
      </c>
      <c r="AL119" s="140">
        <f ca="1">IF(ISNUMBER(MATCH(DATEVALUE($A119),'recurring1_based on steps'!AL$1:AL$400,0)),AL$2,)</f>
        <v>0</v>
      </c>
      <c r="AM119" s="140">
        <f ca="1">IF(ISNUMBER(MATCH(DATEVALUE($A119),'recurring1_based on steps'!AM$1:AM$400,0)),AM$2,)</f>
        <v>0</v>
      </c>
      <c r="AN119" s="140">
        <f ca="1">IF(ISNUMBER(MATCH(DATEVALUE($A119),'recurring1_based on steps'!AN$1:AN$400,0)),AN$2,)</f>
        <v>0</v>
      </c>
      <c r="AO119" s="140">
        <f ca="1">IF(ISNUMBER(MATCH(DATEVALUE($A119),'recurring1_based on steps'!AO$1:AO$400,0)),AO$2,)</f>
        <v>0</v>
      </c>
      <c r="AP119" s="140">
        <f ca="1">IF(ISNUMBER(MATCH(DATEVALUE($A119),'recurring1_based on steps'!AP$1:AP$400,0)),AP$2,)</f>
        <v>0</v>
      </c>
      <c r="AQ119" s="140">
        <f ca="1">IF(ISNUMBER(MATCH(DATEVALUE($A119),'recurring1_based on steps'!AQ$1:AQ$400,0)),AQ$2,)</f>
        <v>0</v>
      </c>
      <c r="AR119" s="140">
        <f ca="1">IF(ISNUMBER(MATCH(DATEVALUE($A119),'recurring1_based on steps'!AR$1:AR$400,0)),AR$2,)</f>
        <v>0</v>
      </c>
      <c r="AS119" s="140">
        <f ca="1">IF(ISNUMBER(MATCH(DATEVALUE($A119),'recurring1_based on steps'!AS$1:AS$400,0)),AS$2,)</f>
        <v>0</v>
      </c>
      <c r="AT119" s="140">
        <f ca="1">IF(ISNUMBER(MATCH(DATEVALUE($A119),'recurring1_based on steps'!AT$1:AT$400,0)),AT$2,)</f>
        <v>0</v>
      </c>
      <c r="AU119" s="140">
        <f ca="1">IF(ISNUMBER(MATCH(DATEVALUE($A119),'recurring1_based on steps'!AU$1:AU$400,0)),AU$2,)</f>
        <v>0</v>
      </c>
      <c r="AV119" s="140">
        <f ca="1">IF(ISNUMBER(MATCH(DATEVALUE($A119),'recurring1_based on steps'!AV$1:AV$400,0)),AV$2,)</f>
        <v>0</v>
      </c>
      <c r="AW119" s="140">
        <f ca="1">IF(ISNUMBER(MATCH(DATEVALUE($A119),'recurring1_based on steps'!AW$1:AW$400,0)),AW$2,)</f>
        <v>0</v>
      </c>
      <c r="AX119" s="140">
        <f ca="1">IF(ISNUMBER(MATCH(DATEVALUE($A119),'recurring1_based on steps'!AX$1:AX$400,0)),AX$2,)</f>
        <v>0</v>
      </c>
      <c r="AY119" s="140">
        <f ca="1">IF(ISNUMBER(MATCH(DATEVALUE($A119),'recurring1_based on steps'!AY$1:AY$400,0)),AY$2,)</f>
        <v>0</v>
      </c>
    </row>
    <row r="120" spans="1:51" x14ac:dyDescent="0.2">
      <c r="A120" s="29" t="str">
        <f t="shared" ca="1" si="1"/>
        <v>2025-07-22</v>
      </c>
      <c r="B120" s="140">
        <f ca="1">IF(ISNUMBER(MATCH(DATEVALUE($A120),'recurring1_based on steps'!B$1:B$400,0)),B$2,)</f>
        <v>0</v>
      </c>
      <c r="C120" s="140">
        <f ca="1">IF(ISNUMBER(MATCH(DATEVALUE($A120),'recurring1_based on steps'!C$1:C$400,0)),C$2,)</f>
        <v>0</v>
      </c>
      <c r="D120" s="140">
        <f ca="1">IF(ISNUMBER(MATCH(DATEVALUE($A120),'recurring1_based on steps'!D$1:D$400,0)),D$2,)</f>
        <v>0</v>
      </c>
      <c r="E120" s="140">
        <f ca="1">IF(ISNUMBER(MATCH(DATEVALUE($A120),'recurring1_based on steps'!E$1:E$400,0)),E$2,)</f>
        <v>0</v>
      </c>
      <c r="F120" s="140">
        <f ca="1">IF(ISNUMBER(MATCH(DATEVALUE($A120),'recurring1_based on steps'!F$1:F$400,0)),F$2,)</f>
        <v>0</v>
      </c>
      <c r="G120" s="140">
        <f ca="1">IF(ISNUMBER(MATCH(DATEVALUE($A120),'recurring1_based on steps'!G$1:G$400,0)),G$2,)</f>
        <v>0</v>
      </c>
      <c r="H120" s="140">
        <f ca="1">IF(ISNUMBER(MATCH(DATEVALUE($A120),'recurring1_based on steps'!H$1:H$400,0)),H$2,)</f>
        <v>0</v>
      </c>
      <c r="I120" s="140">
        <f ca="1">IF(ISNUMBER(MATCH(DATEVALUE($A120),'recurring1_based on steps'!I$1:I$400,0)),I$2,)</f>
        <v>0</v>
      </c>
      <c r="J120" s="140">
        <f ca="1">IF(ISNUMBER(MATCH(DATEVALUE($A120),'recurring1_based on steps'!J$1:J$400,0)),J$2,)</f>
        <v>0</v>
      </c>
      <c r="K120" s="140">
        <f ca="1">IF(ISNUMBER(MATCH(DATEVALUE($A120),'recurring1_based on steps'!K$1:K$400,0)),K$2,)</f>
        <v>0</v>
      </c>
      <c r="L120" s="140">
        <f ca="1">IF(ISNUMBER(MATCH(DATEVALUE($A120),'recurring1_based on steps'!L$1:L$400,0)),L$2,)</f>
        <v>0</v>
      </c>
      <c r="M120" s="140">
        <f ca="1">IF(ISNUMBER(MATCH(DATEVALUE($A120),'recurring1_based on steps'!M$1:M$400,0)),M$2,)</f>
        <v>0</v>
      </c>
      <c r="N120" s="140">
        <f ca="1">IF(ISNUMBER(MATCH(DATEVALUE($A120),'recurring1_based on steps'!N$1:N$400,0)),N$2,)</f>
        <v>0</v>
      </c>
      <c r="O120" s="140">
        <f ca="1">IF(ISNUMBER(MATCH(DATEVALUE($A120),'recurring1_based on steps'!O$1:O$400,0)),O$2,)</f>
        <v>0</v>
      </c>
      <c r="P120" s="140">
        <f ca="1">IF(ISNUMBER(MATCH(DATEVALUE($A120),'recurring1_based on steps'!P$1:P$400,0)),P$2,)</f>
        <v>0</v>
      </c>
      <c r="Q120" s="140">
        <f ca="1">IF(ISNUMBER(MATCH(DATEVALUE($A120),'recurring1_based on steps'!Q$1:Q$400,0)),Q$2,)</f>
        <v>0</v>
      </c>
      <c r="R120" s="140">
        <f ca="1">IF(ISNUMBER(MATCH(DATEVALUE($A120),'recurring1_based on steps'!R$1:R$400,0)),R$2,)</f>
        <v>0</v>
      </c>
      <c r="S120" s="140">
        <f ca="1">IF(ISNUMBER(MATCH(DATEVALUE($A120),'recurring1_based on steps'!S$1:S$400,0)),S$2,)</f>
        <v>0</v>
      </c>
      <c r="T120" s="140">
        <f ca="1">IF(ISNUMBER(MATCH(DATEVALUE($A120),'recurring1_based on steps'!T$1:T$400,0)),T$2,)</f>
        <v>0</v>
      </c>
      <c r="U120" s="140">
        <f ca="1">IF(ISNUMBER(MATCH(DATEVALUE($A120),'recurring1_based on steps'!U$1:U$400,0)),U$2,)</f>
        <v>0</v>
      </c>
      <c r="V120" s="140">
        <f ca="1">IF(ISNUMBER(MATCH(DATEVALUE($A120),'recurring1_based on steps'!V$1:V$400,0)),V$2,)</f>
        <v>0</v>
      </c>
      <c r="W120" s="140">
        <f ca="1">IF(ISNUMBER(MATCH(DATEVALUE($A120),'recurring1_based on steps'!W$1:W$400,0)),W$2,)</f>
        <v>0</v>
      </c>
      <c r="X120" s="140">
        <f ca="1">IF(ISNUMBER(MATCH(DATEVALUE($A120),'recurring1_based on steps'!X$1:X$400,0)),X$2,)</f>
        <v>0</v>
      </c>
      <c r="Y120" s="140">
        <f ca="1">IF(ISNUMBER(MATCH(DATEVALUE($A120),'recurring1_based on steps'!Y$1:Y$400,0)),Y$2,)</f>
        <v>0</v>
      </c>
      <c r="Z120" s="140">
        <f ca="1">IF(ISNUMBER(MATCH(DATEVALUE($A120),'recurring1_based on steps'!Z$1:Z$400,0)),Z$2,)</f>
        <v>0</v>
      </c>
      <c r="AA120" s="140">
        <f ca="1">IF(ISNUMBER(MATCH(DATEVALUE($A120),'recurring1_based on steps'!AA$1:AA$400,0)),AA$2,)</f>
        <v>0</v>
      </c>
      <c r="AB120" s="140">
        <f ca="1">IF(ISNUMBER(MATCH(DATEVALUE($A120),'recurring1_based on steps'!AB$1:AB$400,0)),AB$2,)</f>
        <v>5.5401662049861494E-2</v>
      </c>
      <c r="AC120" s="140">
        <f ca="1">IF(ISNUMBER(MATCH(DATEVALUE($A120),'recurring1_based on steps'!AC$1:AC$400,0)),AC$2,)</f>
        <v>0</v>
      </c>
      <c r="AD120" s="140">
        <f ca="1">IF(ISNUMBER(MATCH(DATEVALUE($A120),'recurring1_based on steps'!AD$1:AD$400,0)),AD$2,)</f>
        <v>0</v>
      </c>
      <c r="AE120" s="140">
        <f ca="1">IF(ISNUMBER(MATCH(DATEVALUE($A120),'recurring1_based on steps'!AE$1:AE$400,0)),AE$2,)</f>
        <v>0</v>
      </c>
      <c r="AF120" s="140">
        <f ca="1">IF(ISNUMBER(MATCH(DATEVALUE($A120),'recurring1_based on steps'!AF$1:AF$400,0)),AF$2,)</f>
        <v>0</v>
      </c>
      <c r="AG120" s="140">
        <f ca="1">IF(ISNUMBER(MATCH(DATEVALUE($A120),'recurring1_based on steps'!AG$1:AG$400,0)),AG$2,)</f>
        <v>0</v>
      </c>
      <c r="AH120" s="140">
        <f ca="1">IF(ISNUMBER(MATCH(DATEVALUE($A120),'recurring1_based on steps'!AH$1:AH$400,0)),AH$2,)</f>
        <v>0</v>
      </c>
      <c r="AI120" s="140">
        <f ca="1">IF(ISNUMBER(MATCH(DATEVALUE($A120),'recurring1_based on steps'!AI$1:AI$400,0)),AI$2,)</f>
        <v>0</v>
      </c>
      <c r="AJ120" s="140">
        <f ca="1">IF(ISNUMBER(MATCH(DATEVALUE($A120),'recurring1_based on steps'!AJ$1:AJ$400,0)),AJ$2,)</f>
        <v>0</v>
      </c>
      <c r="AK120" s="140">
        <f ca="1">IF(ISNUMBER(MATCH(DATEVALUE($A120),'recurring1_based on steps'!AK$1:AK$400,0)),AK$2,)</f>
        <v>0</v>
      </c>
      <c r="AL120" s="140">
        <f ca="1">IF(ISNUMBER(MATCH(DATEVALUE($A120),'recurring1_based on steps'!AL$1:AL$400,0)),AL$2,)</f>
        <v>0</v>
      </c>
      <c r="AM120" s="140">
        <f ca="1">IF(ISNUMBER(MATCH(DATEVALUE($A120),'recurring1_based on steps'!AM$1:AM$400,0)),AM$2,)</f>
        <v>0</v>
      </c>
      <c r="AN120" s="140">
        <f ca="1">IF(ISNUMBER(MATCH(DATEVALUE($A120),'recurring1_based on steps'!AN$1:AN$400,0)),AN$2,)</f>
        <v>0</v>
      </c>
      <c r="AO120" s="140">
        <f ca="1">IF(ISNUMBER(MATCH(DATEVALUE($A120),'recurring1_based on steps'!AO$1:AO$400,0)),AO$2,)</f>
        <v>0</v>
      </c>
      <c r="AP120" s="140">
        <f ca="1">IF(ISNUMBER(MATCH(DATEVALUE($A120),'recurring1_based on steps'!AP$1:AP$400,0)),AP$2,)</f>
        <v>0</v>
      </c>
      <c r="AQ120" s="140">
        <f ca="1">IF(ISNUMBER(MATCH(DATEVALUE($A120),'recurring1_based on steps'!AQ$1:AQ$400,0)),AQ$2,)</f>
        <v>0</v>
      </c>
      <c r="AR120" s="140">
        <f ca="1">IF(ISNUMBER(MATCH(DATEVALUE($A120),'recurring1_based on steps'!AR$1:AR$400,0)),AR$2,)</f>
        <v>0</v>
      </c>
      <c r="AS120" s="140">
        <f ca="1">IF(ISNUMBER(MATCH(DATEVALUE($A120),'recurring1_based on steps'!AS$1:AS$400,0)),AS$2,)</f>
        <v>0</v>
      </c>
      <c r="AT120" s="140">
        <f ca="1">IF(ISNUMBER(MATCH(DATEVALUE($A120),'recurring1_based on steps'!AT$1:AT$400,0)),AT$2,)</f>
        <v>0</v>
      </c>
      <c r="AU120" s="140">
        <f ca="1">IF(ISNUMBER(MATCH(DATEVALUE($A120),'recurring1_based on steps'!AU$1:AU$400,0)),AU$2,)</f>
        <v>0</v>
      </c>
      <c r="AV120" s="140">
        <f ca="1">IF(ISNUMBER(MATCH(DATEVALUE($A120),'recurring1_based on steps'!AV$1:AV$400,0)),AV$2,)</f>
        <v>0</v>
      </c>
      <c r="AW120" s="140">
        <f ca="1">IF(ISNUMBER(MATCH(DATEVALUE($A120),'recurring1_based on steps'!AW$1:AW$400,0)),AW$2,)</f>
        <v>0</v>
      </c>
      <c r="AX120" s="140">
        <f ca="1">IF(ISNUMBER(MATCH(DATEVALUE($A120),'recurring1_based on steps'!AX$1:AX$400,0)),AX$2,)</f>
        <v>0</v>
      </c>
      <c r="AY120" s="140">
        <f ca="1">IF(ISNUMBER(MATCH(DATEVALUE($A120),'recurring1_based on steps'!AY$1:AY$400,0)),AY$2,)</f>
        <v>0</v>
      </c>
    </row>
    <row r="121" spans="1:51" x14ac:dyDescent="0.2">
      <c r="A121" s="29" t="str">
        <f t="shared" ca="1" si="1"/>
        <v>2025-07-23</v>
      </c>
      <c r="B121" s="140">
        <f ca="1">IF(ISNUMBER(MATCH(DATEVALUE($A121),'recurring1_based on steps'!B$1:B$400,0)),B$2,)</f>
        <v>0</v>
      </c>
      <c r="C121" s="140">
        <f ca="1">IF(ISNUMBER(MATCH(DATEVALUE($A121),'recurring1_based on steps'!C$1:C$400,0)),C$2,)</f>
        <v>0</v>
      </c>
      <c r="D121" s="140">
        <f ca="1">IF(ISNUMBER(MATCH(DATEVALUE($A121),'recurring1_based on steps'!D$1:D$400,0)),D$2,)</f>
        <v>0</v>
      </c>
      <c r="E121" s="140">
        <f ca="1">IF(ISNUMBER(MATCH(DATEVALUE($A121),'recurring1_based on steps'!E$1:E$400,0)),E$2,)</f>
        <v>0</v>
      </c>
      <c r="F121" s="140">
        <f ca="1">IF(ISNUMBER(MATCH(DATEVALUE($A121),'recurring1_based on steps'!F$1:F$400,0)),F$2,)</f>
        <v>0</v>
      </c>
      <c r="G121" s="140">
        <f ca="1">IF(ISNUMBER(MATCH(DATEVALUE($A121),'recurring1_based on steps'!G$1:G$400,0)),G$2,)</f>
        <v>0</v>
      </c>
      <c r="H121" s="140">
        <f ca="1">IF(ISNUMBER(MATCH(DATEVALUE($A121),'recurring1_based on steps'!H$1:H$400,0)),H$2,)</f>
        <v>0</v>
      </c>
      <c r="I121" s="140">
        <f ca="1">IF(ISNUMBER(MATCH(DATEVALUE($A121),'recurring1_based on steps'!I$1:I$400,0)),I$2,)</f>
        <v>0</v>
      </c>
      <c r="J121" s="140">
        <f ca="1">IF(ISNUMBER(MATCH(DATEVALUE($A121),'recurring1_based on steps'!J$1:J$400,0)),J$2,)</f>
        <v>0</v>
      </c>
      <c r="K121" s="140">
        <f ca="1">IF(ISNUMBER(MATCH(DATEVALUE($A121),'recurring1_based on steps'!K$1:K$400,0)),K$2,)</f>
        <v>0</v>
      </c>
      <c r="L121" s="140">
        <f ca="1">IF(ISNUMBER(MATCH(DATEVALUE($A121),'recurring1_based on steps'!L$1:L$400,0)),L$2,)</f>
        <v>0</v>
      </c>
      <c r="M121" s="140">
        <f ca="1">IF(ISNUMBER(MATCH(DATEVALUE($A121),'recurring1_based on steps'!M$1:M$400,0)),M$2,)</f>
        <v>0</v>
      </c>
      <c r="N121" s="140">
        <f ca="1">IF(ISNUMBER(MATCH(DATEVALUE($A121),'recurring1_based on steps'!N$1:N$400,0)),N$2,)</f>
        <v>0</v>
      </c>
      <c r="O121" s="140">
        <f ca="1">IF(ISNUMBER(MATCH(DATEVALUE($A121),'recurring1_based on steps'!O$1:O$400,0)),O$2,)</f>
        <v>0</v>
      </c>
      <c r="P121" s="140">
        <f ca="1">IF(ISNUMBER(MATCH(DATEVALUE($A121),'recurring1_based on steps'!P$1:P$400,0)),P$2,)</f>
        <v>0</v>
      </c>
      <c r="Q121" s="140">
        <f ca="1">IF(ISNUMBER(MATCH(DATEVALUE($A121),'recurring1_based on steps'!Q$1:Q$400,0)),Q$2,)</f>
        <v>0</v>
      </c>
      <c r="R121" s="140">
        <f ca="1">IF(ISNUMBER(MATCH(DATEVALUE($A121),'recurring1_based on steps'!R$1:R$400,0)),R$2,)</f>
        <v>0</v>
      </c>
      <c r="S121" s="140">
        <f ca="1">IF(ISNUMBER(MATCH(DATEVALUE($A121),'recurring1_based on steps'!S$1:S$400,0)),S$2,)</f>
        <v>0</v>
      </c>
      <c r="T121" s="140">
        <f ca="1">IF(ISNUMBER(MATCH(DATEVALUE($A121),'recurring1_based on steps'!T$1:T$400,0)),T$2,)</f>
        <v>0</v>
      </c>
      <c r="U121" s="140">
        <f ca="1">IF(ISNUMBER(MATCH(DATEVALUE($A121),'recurring1_based on steps'!U$1:U$400,0)),U$2,)</f>
        <v>0</v>
      </c>
      <c r="V121" s="140">
        <f ca="1">IF(ISNUMBER(MATCH(DATEVALUE($A121),'recurring1_based on steps'!V$1:V$400,0)),V$2,)</f>
        <v>0</v>
      </c>
      <c r="W121" s="140">
        <f ca="1">IF(ISNUMBER(MATCH(DATEVALUE($A121),'recurring1_based on steps'!W$1:W$400,0)),W$2,)</f>
        <v>0</v>
      </c>
      <c r="X121" s="140">
        <f ca="1">IF(ISNUMBER(MATCH(DATEVALUE($A121),'recurring1_based on steps'!X$1:X$400,0)),X$2,)</f>
        <v>0</v>
      </c>
      <c r="Y121" s="140">
        <f ca="1">IF(ISNUMBER(MATCH(DATEVALUE($A121),'recurring1_based on steps'!Y$1:Y$400,0)),Y$2,)</f>
        <v>0</v>
      </c>
      <c r="Z121" s="140">
        <f ca="1">IF(ISNUMBER(MATCH(DATEVALUE($A121),'recurring1_based on steps'!Z$1:Z$400,0)),Z$2,)</f>
        <v>0</v>
      </c>
      <c r="AA121" s="140">
        <f ca="1">IF(ISNUMBER(MATCH(DATEVALUE($A121),'recurring1_based on steps'!AA$1:AA$400,0)),AA$2,)</f>
        <v>0</v>
      </c>
      <c r="AB121" s="140">
        <f ca="1">IF(ISNUMBER(MATCH(DATEVALUE($A121),'recurring1_based on steps'!AB$1:AB$400,0)),AB$2,)</f>
        <v>5.5401662049861494E-2</v>
      </c>
      <c r="AC121" s="140">
        <f ca="1">IF(ISNUMBER(MATCH(DATEVALUE($A121),'recurring1_based on steps'!AC$1:AC$400,0)),AC$2,)</f>
        <v>0</v>
      </c>
      <c r="AD121" s="140">
        <f ca="1">IF(ISNUMBER(MATCH(DATEVALUE($A121),'recurring1_based on steps'!AD$1:AD$400,0)),AD$2,)</f>
        <v>0</v>
      </c>
      <c r="AE121" s="140">
        <f ca="1">IF(ISNUMBER(MATCH(DATEVALUE($A121),'recurring1_based on steps'!AE$1:AE$400,0)),AE$2,)</f>
        <v>0</v>
      </c>
      <c r="AF121" s="140">
        <f ca="1">IF(ISNUMBER(MATCH(DATEVALUE($A121),'recurring1_based on steps'!AF$1:AF$400,0)),AF$2,)</f>
        <v>0</v>
      </c>
      <c r="AG121" s="140">
        <f ca="1">IF(ISNUMBER(MATCH(DATEVALUE($A121),'recurring1_based on steps'!AG$1:AG$400,0)),AG$2,)</f>
        <v>0</v>
      </c>
      <c r="AH121" s="140">
        <f ca="1">IF(ISNUMBER(MATCH(DATEVALUE($A121),'recurring1_based on steps'!AH$1:AH$400,0)),AH$2,)</f>
        <v>0</v>
      </c>
      <c r="AI121" s="140">
        <f ca="1">IF(ISNUMBER(MATCH(DATEVALUE($A121),'recurring1_based on steps'!AI$1:AI$400,0)),AI$2,)</f>
        <v>0</v>
      </c>
      <c r="AJ121" s="140">
        <f ca="1">IF(ISNUMBER(MATCH(DATEVALUE($A121),'recurring1_based on steps'!AJ$1:AJ$400,0)),AJ$2,)</f>
        <v>0</v>
      </c>
      <c r="AK121" s="140">
        <f ca="1">IF(ISNUMBER(MATCH(DATEVALUE($A121),'recurring1_based on steps'!AK$1:AK$400,0)),AK$2,)</f>
        <v>0</v>
      </c>
      <c r="AL121" s="140">
        <f ca="1">IF(ISNUMBER(MATCH(DATEVALUE($A121),'recurring1_based on steps'!AL$1:AL$400,0)),AL$2,)</f>
        <v>0</v>
      </c>
      <c r="AM121" s="140">
        <f ca="1">IF(ISNUMBER(MATCH(DATEVALUE($A121),'recurring1_based on steps'!AM$1:AM$400,0)),AM$2,)</f>
        <v>0</v>
      </c>
      <c r="AN121" s="140">
        <f ca="1">IF(ISNUMBER(MATCH(DATEVALUE($A121),'recurring1_based on steps'!AN$1:AN$400,0)),AN$2,)</f>
        <v>0</v>
      </c>
      <c r="AO121" s="140">
        <f ca="1">IF(ISNUMBER(MATCH(DATEVALUE($A121),'recurring1_based on steps'!AO$1:AO$400,0)),AO$2,)</f>
        <v>0</v>
      </c>
      <c r="AP121" s="140">
        <f ca="1">IF(ISNUMBER(MATCH(DATEVALUE($A121),'recurring1_based on steps'!AP$1:AP$400,0)),AP$2,)</f>
        <v>0</v>
      </c>
      <c r="AQ121" s="140">
        <f ca="1">IF(ISNUMBER(MATCH(DATEVALUE($A121),'recurring1_based on steps'!AQ$1:AQ$400,0)),AQ$2,)</f>
        <v>0</v>
      </c>
      <c r="AR121" s="140">
        <f ca="1">IF(ISNUMBER(MATCH(DATEVALUE($A121),'recurring1_based on steps'!AR$1:AR$400,0)),AR$2,)</f>
        <v>0</v>
      </c>
      <c r="AS121" s="140">
        <f ca="1">IF(ISNUMBER(MATCH(DATEVALUE($A121),'recurring1_based on steps'!AS$1:AS$400,0)),AS$2,)</f>
        <v>0</v>
      </c>
      <c r="AT121" s="140">
        <f ca="1">IF(ISNUMBER(MATCH(DATEVALUE($A121),'recurring1_based on steps'!AT$1:AT$400,0)),AT$2,)</f>
        <v>0</v>
      </c>
      <c r="AU121" s="140">
        <f ca="1">IF(ISNUMBER(MATCH(DATEVALUE($A121),'recurring1_based on steps'!AU$1:AU$400,0)),AU$2,)</f>
        <v>0</v>
      </c>
      <c r="AV121" s="140">
        <f ca="1">IF(ISNUMBER(MATCH(DATEVALUE($A121),'recurring1_based on steps'!AV$1:AV$400,0)),AV$2,)</f>
        <v>0</v>
      </c>
      <c r="AW121" s="140">
        <f ca="1">IF(ISNUMBER(MATCH(DATEVALUE($A121),'recurring1_based on steps'!AW$1:AW$400,0)),AW$2,)</f>
        <v>0</v>
      </c>
      <c r="AX121" s="140">
        <f ca="1">IF(ISNUMBER(MATCH(DATEVALUE($A121),'recurring1_based on steps'!AX$1:AX$400,0)),AX$2,)</f>
        <v>0</v>
      </c>
      <c r="AY121" s="140">
        <f ca="1">IF(ISNUMBER(MATCH(DATEVALUE($A121),'recurring1_based on steps'!AY$1:AY$400,0)),AY$2,)</f>
        <v>0</v>
      </c>
    </row>
    <row r="122" spans="1:51" x14ac:dyDescent="0.2">
      <c r="A122" s="29" t="str">
        <f t="shared" ca="1" si="1"/>
        <v>2025-07-24</v>
      </c>
      <c r="B122" s="140">
        <f ca="1">IF(ISNUMBER(MATCH(DATEVALUE($A122),'recurring1_based on steps'!B$1:B$400,0)),B$2,)</f>
        <v>0</v>
      </c>
      <c r="C122" s="140">
        <f ca="1">IF(ISNUMBER(MATCH(DATEVALUE($A122),'recurring1_based on steps'!C$1:C$400,0)),C$2,)</f>
        <v>0</v>
      </c>
      <c r="D122" s="140">
        <f ca="1">IF(ISNUMBER(MATCH(DATEVALUE($A122),'recurring1_based on steps'!D$1:D$400,0)),D$2,)</f>
        <v>0</v>
      </c>
      <c r="E122" s="140">
        <f ca="1">IF(ISNUMBER(MATCH(DATEVALUE($A122),'recurring1_based on steps'!E$1:E$400,0)),E$2,)</f>
        <v>0</v>
      </c>
      <c r="F122" s="140">
        <f ca="1">IF(ISNUMBER(MATCH(DATEVALUE($A122),'recurring1_based on steps'!F$1:F$400,0)),F$2,)</f>
        <v>0</v>
      </c>
      <c r="G122" s="140">
        <f ca="1">IF(ISNUMBER(MATCH(DATEVALUE($A122),'recurring1_based on steps'!G$1:G$400,0)),G$2,)</f>
        <v>0</v>
      </c>
      <c r="H122" s="140">
        <f ca="1">IF(ISNUMBER(MATCH(DATEVALUE($A122),'recurring1_based on steps'!H$1:H$400,0)),H$2,)</f>
        <v>0</v>
      </c>
      <c r="I122" s="140">
        <f ca="1">IF(ISNUMBER(MATCH(DATEVALUE($A122),'recurring1_based on steps'!I$1:I$400,0)),I$2,)</f>
        <v>0</v>
      </c>
      <c r="J122" s="140">
        <f ca="1">IF(ISNUMBER(MATCH(DATEVALUE($A122),'recurring1_based on steps'!J$1:J$400,0)),J$2,)</f>
        <v>0</v>
      </c>
      <c r="K122" s="140">
        <f ca="1">IF(ISNUMBER(MATCH(DATEVALUE($A122),'recurring1_based on steps'!K$1:K$400,0)),K$2,)</f>
        <v>0</v>
      </c>
      <c r="L122" s="140">
        <f ca="1">IF(ISNUMBER(MATCH(DATEVALUE($A122),'recurring1_based on steps'!L$1:L$400,0)),L$2,)</f>
        <v>0</v>
      </c>
      <c r="M122" s="140">
        <f ca="1">IF(ISNUMBER(MATCH(DATEVALUE($A122),'recurring1_based on steps'!M$1:M$400,0)),M$2,)</f>
        <v>0</v>
      </c>
      <c r="N122" s="140">
        <f ca="1">IF(ISNUMBER(MATCH(DATEVALUE($A122),'recurring1_based on steps'!N$1:N$400,0)),N$2,)</f>
        <v>0</v>
      </c>
      <c r="O122" s="140">
        <f ca="1">IF(ISNUMBER(MATCH(DATEVALUE($A122),'recurring1_based on steps'!O$1:O$400,0)),O$2,)</f>
        <v>0</v>
      </c>
      <c r="P122" s="140">
        <f ca="1">IF(ISNUMBER(MATCH(DATEVALUE($A122),'recurring1_based on steps'!P$1:P$400,0)),P$2,)</f>
        <v>0</v>
      </c>
      <c r="Q122" s="140">
        <f ca="1">IF(ISNUMBER(MATCH(DATEVALUE($A122),'recurring1_based on steps'!Q$1:Q$400,0)),Q$2,)</f>
        <v>0</v>
      </c>
      <c r="R122" s="140">
        <f ca="1">IF(ISNUMBER(MATCH(DATEVALUE($A122),'recurring1_based on steps'!R$1:R$400,0)),R$2,)</f>
        <v>0</v>
      </c>
      <c r="S122" s="140">
        <f ca="1">IF(ISNUMBER(MATCH(DATEVALUE($A122),'recurring1_based on steps'!S$1:S$400,0)),S$2,)</f>
        <v>0</v>
      </c>
      <c r="T122" s="140">
        <f ca="1">IF(ISNUMBER(MATCH(DATEVALUE($A122),'recurring1_based on steps'!T$1:T$400,0)),T$2,)</f>
        <v>0</v>
      </c>
      <c r="U122" s="140">
        <f ca="1">IF(ISNUMBER(MATCH(DATEVALUE($A122),'recurring1_based on steps'!U$1:U$400,0)),U$2,)</f>
        <v>0</v>
      </c>
      <c r="V122" s="140">
        <f ca="1">IF(ISNUMBER(MATCH(DATEVALUE($A122),'recurring1_based on steps'!V$1:V$400,0)),V$2,)</f>
        <v>0</v>
      </c>
      <c r="W122" s="140">
        <f ca="1">IF(ISNUMBER(MATCH(DATEVALUE($A122),'recurring1_based on steps'!W$1:W$400,0)),W$2,)</f>
        <v>0</v>
      </c>
      <c r="X122" s="140">
        <f ca="1">IF(ISNUMBER(MATCH(DATEVALUE($A122),'recurring1_based on steps'!X$1:X$400,0)),X$2,)</f>
        <v>0</v>
      </c>
      <c r="Y122" s="140">
        <f ca="1">IF(ISNUMBER(MATCH(DATEVALUE($A122),'recurring1_based on steps'!Y$1:Y$400,0)),Y$2,)</f>
        <v>0</v>
      </c>
      <c r="Z122" s="140">
        <f ca="1">IF(ISNUMBER(MATCH(DATEVALUE($A122),'recurring1_based on steps'!Z$1:Z$400,0)),Z$2,)</f>
        <v>0</v>
      </c>
      <c r="AA122" s="140">
        <f ca="1">IF(ISNUMBER(MATCH(DATEVALUE($A122),'recurring1_based on steps'!AA$1:AA$400,0)),AA$2,)</f>
        <v>0</v>
      </c>
      <c r="AB122" s="140">
        <f ca="1">IF(ISNUMBER(MATCH(DATEVALUE($A122),'recurring1_based on steps'!AB$1:AB$400,0)),AB$2,)</f>
        <v>5.5401662049861494E-2</v>
      </c>
      <c r="AC122" s="140">
        <f ca="1">IF(ISNUMBER(MATCH(DATEVALUE($A122),'recurring1_based on steps'!AC$1:AC$400,0)),AC$2,)</f>
        <v>0</v>
      </c>
      <c r="AD122" s="140">
        <f ca="1">IF(ISNUMBER(MATCH(DATEVALUE($A122),'recurring1_based on steps'!AD$1:AD$400,0)),AD$2,)</f>
        <v>0</v>
      </c>
      <c r="AE122" s="140">
        <f ca="1">IF(ISNUMBER(MATCH(DATEVALUE($A122),'recurring1_based on steps'!AE$1:AE$400,0)),AE$2,)</f>
        <v>0</v>
      </c>
      <c r="AF122" s="140">
        <f ca="1">IF(ISNUMBER(MATCH(DATEVALUE($A122),'recurring1_based on steps'!AF$1:AF$400,0)),AF$2,)</f>
        <v>0</v>
      </c>
      <c r="AG122" s="140">
        <f ca="1">IF(ISNUMBER(MATCH(DATEVALUE($A122),'recurring1_based on steps'!AG$1:AG$400,0)),AG$2,)</f>
        <v>0</v>
      </c>
      <c r="AH122" s="140">
        <f ca="1">IF(ISNUMBER(MATCH(DATEVALUE($A122),'recurring1_based on steps'!AH$1:AH$400,0)),AH$2,)</f>
        <v>0</v>
      </c>
      <c r="AI122" s="140">
        <f ca="1">IF(ISNUMBER(MATCH(DATEVALUE($A122),'recurring1_based on steps'!AI$1:AI$400,0)),AI$2,)</f>
        <v>0</v>
      </c>
      <c r="AJ122" s="140">
        <f ca="1">IF(ISNUMBER(MATCH(DATEVALUE($A122),'recurring1_based on steps'!AJ$1:AJ$400,0)),AJ$2,)</f>
        <v>0</v>
      </c>
      <c r="AK122" s="140">
        <f ca="1">IF(ISNUMBER(MATCH(DATEVALUE($A122),'recurring1_based on steps'!AK$1:AK$400,0)),AK$2,)</f>
        <v>0</v>
      </c>
      <c r="AL122" s="140">
        <f ca="1">IF(ISNUMBER(MATCH(DATEVALUE($A122),'recurring1_based on steps'!AL$1:AL$400,0)),AL$2,)</f>
        <v>0</v>
      </c>
      <c r="AM122" s="140">
        <f ca="1">IF(ISNUMBER(MATCH(DATEVALUE($A122),'recurring1_based on steps'!AM$1:AM$400,0)),AM$2,)</f>
        <v>0</v>
      </c>
      <c r="AN122" s="140">
        <f ca="1">IF(ISNUMBER(MATCH(DATEVALUE($A122),'recurring1_based on steps'!AN$1:AN$400,0)),AN$2,)</f>
        <v>0</v>
      </c>
      <c r="AO122" s="140">
        <f ca="1">IF(ISNUMBER(MATCH(DATEVALUE($A122),'recurring1_based on steps'!AO$1:AO$400,0)),AO$2,)</f>
        <v>0</v>
      </c>
      <c r="AP122" s="140">
        <f ca="1">IF(ISNUMBER(MATCH(DATEVALUE($A122),'recurring1_based on steps'!AP$1:AP$400,0)),AP$2,)</f>
        <v>0</v>
      </c>
      <c r="AQ122" s="140">
        <f ca="1">IF(ISNUMBER(MATCH(DATEVALUE($A122),'recurring1_based on steps'!AQ$1:AQ$400,0)),AQ$2,)</f>
        <v>0</v>
      </c>
      <c r="AR122" s="140">
        <f ca="1">IF(ISNUMBER(MATCH(DATEVALUE($A122),'recurring1_based on steps'!AR$1:AR$400,0)),AR$2,)</f>
        <v>0</v>
      </c>
      <c r="AS122" s="140">
        <f ca="1">IF(ISNUMBER(MATCH(DATEVALUE($A122),'recurring1_based on steps'!AS$1:AS$400,0)),AS$2,)</f>
        <v>0</v>
      </c>
      <c r="AT122" s="140">
        <f ca="1">IF(ISNUMBER(MATCH(DATEVALUE($A122),'recurring1_based on steps'!AT$1:AT$400,0)),AT$2,)</f>
        <v>0</v>
      </c>
      <c r="AU122" s="140">
        <f ca="1">IF(ISNUMBER(MATCH(DATEVALUE($A122),'recurring1_based on steps'!AU$1:AU$400,0)),AU$2,)</f>
        <v>0</v>
      </c>
      <c r="AV122" s="140">
        <f ca="1">IF(ISNUMBER(MATCH(DATEVALUE($A122),'recurring1_based on steps'!AV$1:AV$400,0)),AV$2,)</f>
        <v>0</v>
      </c>
      <c r="AW122" s="140">
        <f ca="1">IF(ISNUMBER(MATCH(DATEVALUE($A122),'recurring1_based on steps'!AW$1:AW$400,0)),AW$2,)</f>
        <v>0</v>
      </c>
      <c r="AX122" s="140">
        <f ca="1">IF(ISNUMBER(MATCH(DATEVALUE($A122),'recurring1_based on steps'!AX$1:AX$400,0)),AX$2,)</f>
        <v>0</v>
      </c>
      <c r="AY122" s="140">
        <f ca="1">IF(ISNUMBER(MATCH(DATEVALUE($A122),'recurring1_based on steps'!AY$1:AY$400,0)),AY$2,)</f>
        <v>0</v>
      </c>
    </row>
    <row r="123" spans="1:51" x14ac:dyDescent="0.2">
      <c r="A123" s="29" t="str">
        <f t="shared" ca="1" si="1"/>
        <v>2025-07-25</v>
      </c>
      <c r="B123" s="140">
        <f ca="1">IF(ISNUMBER(MATCH(DATEVALUE($A123),'recurring1_based on steps'!B$1:B$400,0)),B$2,)</f>
        <v>4000</v>
      </c>
      <c r="C123" s="140">
        <f ca="1">IF(ISNUMBER(MATCH(DATEVALUE($A123),'recurring1_based on steps'!C$1:C$400,0)),C$2,)</f>
        <v>200</v>
      </c>
      <c r="D123" s="140">
        <f ca="1">IF(ISNUMBER(MATCH(DATEVALUE($A123),'recurring1_based on steps'!D$1:D$400,0)),D$2,)</f>
        <v>2</v>
      </c>
      <c r="E123" s="140">
        <f ca="1">IF(ISNUMBER(MATCH(DATEVALUE($A123),'recurring1_based on steps'!E$1:E$400,0)),E$2,)</f>
        <v>40</v>
      </c>
      <c r="F123" s="140">
        <f ca="1">IF(ISNUMBER(MATCH(DATEVALUE($A123),'recurring1_based on steps'!F$1:F$400,0)),F$2,)</f>
        <v>50</v>
      </c>
      <c r="G123" s="140">
        <f ca="1">IF(ISNUMBER(MATCH(DATEVALUE($A123),'recurring1_based on steps'!G$1:G$400,0)),G$2,)</f>
        <v>4</v>
      </c>
      <c r="H123" s="140">
        <f ca="1">IF(ISNUMBER(MATCH(DATEVALUE($A123),'recurring1_based on steps'!H$1:H$400,0)),H$2,)</f>
        <v>0</v>
      </c>
      <c r="I123" s="140">
        <f ca="1">IF(ISNUMBER(MATCH(DATEVALUE($A123),'recurring1_based on steps'!I$1:I$400,0)),I$2,)</f>
        <v>0</v>
      </c>
      <c r="J123" s="140">
        <f ca="1">IF(ISNUMBER(MATCH(DATEVALUE($A123),'recurring1_based on steps'!J$1:J$400,0)),J$2,)</f>
        <v>0</v>
      </c>
      <c r="K123" s="140">
        <f ca="1">IF(ISNUMBER(MATCH(DATEVALUE($A123),'recurring1_based on steps'!K$1:K$400,0)),K$2,)</f>
        <v>0</v>
      </c>
      <c r="L123" s="140">
        <f ca="1">IF(ISNUMBER(MATCH(DATEVALUE($A123),'recurring1_based on steps'!L$1:L$400,0)),L$2,)</f>
        <v>0</v>
      </c>
      <c r="M123" s="140">
        <f ca="1">IF(ISNUMBER(MATCH(DATEVALUE($A123),'recurring1_based on steps'!M$1:M$400,0)),M$2,)</f>
        <v>0</v>
      </c>
      <c r="N123" s="140">
        <f ca="1">IF(ISNUMBER(MATCH(DATEVALUE($A123),'recurring1_based on steps'!N$1:N$400,0)),N$2,)</f>
        <v>0</v>
      </c>
      <c r="O123" s="140">
        <f ca="1">IF(ISNUMBER(MATCH(DATEVALUE($A123),'recurring1_based on steps'!O$1:O$400,0)),O$2,)</f>
        <v>0</v>
      </c>
      <c r="P123" s="140">
        <f ca="1">IF(ISNUMBER(MATCH(DATEVALUE($A123),'recurring1_based on steps'!P$1:P$400,0)),P$2,)</f>
        <v>0</v>
      </c>
      <c r="Q123" s="140">
        <f ca="1">IF(ISNUMBER(MATCH(DATEVALUE($A123),'recurring1_based on steps'!Q$1:Q$400,0)),Q$2,)</f>
        <v>0</v>
      </c>
      <c r="R123" s="140">
        <f ca="1">IF(ISNUMBER(MATCH(DATEVALUE($A123),'recurring1_based on steps'!R$1:R$400,0)),R$2,)</f>
        <v>0</v>
      </c>
      <c r="S123" s="140">
        <f ca="1">IF(ISNUMBER(MATCH(DATEVALUE($A123),'recurring1_based on steps'!S$1:S$400,0)),S$2,)</f>
        <v>0</v>
      </c>
      <c r="T123" s="140">
        <f ca="1">IF(ISNUMBER(MATCH(DATEVALUE($A123),'recurring1_based on steps'!T$1:T$400,0)),T$2,)</f>
        <v>0</v>
      </c>
      <c r="U123" s="140">
        <f ca="1">IF(ISNUMBER(MATCH(DATEVALUE($A123),'recurring1_based on steps'!U$1:U$400,0)),U$2,)</f>
        <v>0</v>
      </c>
      <c r="V123" s="140">
        <f ca="1">IF(ISNUMBER(MATCH(DATEVALUE($A123),'recurring1_based on steps'!V$1:V$400,0)),V$2,)</f>
        <v>0</v>
      </c>
      <c r="W123" s="140">
        <f ca="1">IF(ISNUMBER(MATCH(DATEVALUE($A123),'recurring1_based on steps'!W$1:W$400,0)),W$2,)</f>
        <v>0</v>
      </c>
      <c r="X123" s="140">
        <f ca="1">IF(ISNUMBER(MATCH(DATEVALUE($A123),'recurring1_based on steps'!X$1:X$400,0)),X$2,)</f>
        <v>50</v>
      </c>
      <c r="Y123" s="140">
        <f ca="1">IF(ISNUMBER(MATCH(DATEVALUE($A123),'recurring1_based on steps'!Y$1:Y$400,0)),Y$2,)</f>
        <v>50</v>
      </c>
      <c r="Z123" s="140">
        <f ca="1">IF(ISNUMBER(MATCH(DATEVALUE($A123),'recurring1_based on steps'!Z$1:Z$400,0)),Z$2,)</f>
        <v>0</v>
      </c>
      <c r="AA123" s="140">
        <f ca="1">IF(ISNUMBER(MATCH(DATEVALUE($A123),'recurring1_based on steps'!AA$1:AA$400,0)),AA$2,)</f>
        <v>0</v>
      </c>
      <c r="AB123" s="140">
        <f ca="1">IF(ISNUMBER(MATCH(DATEVALUE($A123),'recurring1_based on steps'!AB$1:AB$400,0)),AB$2,)</f>
        <v>5.5401662049861494E-2</v>
      </c>
      <c r="AC123" s="140">
        <f ca="1">IF(ISNUMBER(MATCH(DATEVALUE($A123),'recurring1_based on steps'!AC$1:AC$400,0)),AC$2,)</f>
        <v>0</v>
      </c>
      <c r="AD123" s="140">
        <f ca="1">IF(ISNUMBER(MATCH(DATEVALUE($A123),'recurring1_based on steps'!AD$1:AD$400,0)),AD$2,)</f>
        <v>0</v>
      </c>
      <c r="AE123" s="140">
        <f ca="1">IF(ISNUMBER(MATCH(DATEVALUE($A123),'recurring1_based on steps'!AE$1:AE$400,0)),AE$2,)</f>
        <v>0</v>
      </c>
      <c r="AF123" s="140">
        <f ca="1">IF(ISNUMBER(MATCH(DATEVALUE($A123),'recurring1_based on steps'!AF$1:AF$400,0)),AF$2,)</f>
        <v>0</v>
      </c>
      <c r="AG123" s="140">
        <f ca="1">IF(ISNUMBER(MATCH(DATEVALUE($A123),'recurring1_based on steps'!AG$1:AG$400,0)),AG$2,)</f>
        <v>0</v>
      </c>
      <c r="AH123" s="140">
        <f ca="1">IF(ISNUMBER(MATCH(DATEVALUE($A123),'recurring1_based on steps'!AH$1:AH$400,0)),AH$2,)</f>
        <v>0</v>
      </c>
      <c r="AI123" s="140">
        <f ca="1">IF(ISNUMBER(MATCH(DATEVALUE($A123),'recurring1_based on steps'!AI$1:AI$400,0)),AI$2,)</f>
        <v>0</v>
      </c>
      <c r="AJ123" s="140">
        <f ca="1">IF(ISNUMBER(MATCH(DATEVALUE($A123),'recurring1_based on steps'!AJ$1:AJ$400,0)),AJ$2,)</f>
        <v>0</v>
      </c>
      <c r="AK123" s="140">
        <f ca="1">IF(ISNUMBER(MATCH(DATEVALUE($A123),'recurring1_based on steps'!AK$1:AK$400,0)),AK$2,)</f>
        <v>0</v>
      </c>
      <c r="AL123" s="140">
        <f ca="1">IF(ISNUMBER(MATCH(DATEVALUE($A123),'recurring1_based on steps'!AL$1:AL$400,0)),AL$2,)</f>
        <v>0</v>
      </c>
      <c r="AM123" s="140">
        <f ca="1">IF(ISNUMBER(MATCH(DATEVALUE($A123),'recurring1_based on steps'!AM$1:AM$400,0)),AM$2,)</f>
        <v>0</v>
      </c>
      <c r="AN123" s="140">
        <f ca="1">IF(ISNUMBER(MATCH(DATEVALUE($A123),'recurring1_based on steps'!AN$1:AN$400,0)),AN$2,)</f>
        <v>0</v>
      </c>
      <c r="AO123" s="140">
        <f ca="1">IF(ISNUMBER(MATCH(DATEVALUE($A123),'recurring1_based on steps'!AO$1:AO$400,0)),AO$2,)</f>
        <v>0</v>
      </c>
      <c r="AP123" s="140">
        <f ca="1">IF(ISNUMBER(MATCH(DATEVALUE($A123),'recurring1_based on steps'!AP$1:AP$400,0)),AP$2,)</f>
        <v>0</v>
      </c>
      <c r="AQ123" s="140">
        <f ca="1">IF(ISNUMBER(MATCH(DATEVALUE($A123),'recurring1_based on steps'!AQ$1:AQ$400,0)),AQ$2,)</f>
        <v>0</v>
      </c>
      <c r="AR123" s="140">
        <f ca="1">IF(ISNUMBER(MATCH(DATEVALUE($A123),'recurring1_based on steps'!AR$1:AR$400,0)),AR$2,)</f>
        <v>0</v>
      </c>
      <c r="AS123" s="140">
        <f ca="1">IF(ISNUMBER(MATCH(DATEVALUE($A123),'recurring1_based on steps'!AS$1:AS$400,0)),AS$2,)</f>
        <v>0</v>
      </c>
      <c r="AT123" s="140">
        <f ca="1">IF(ISNUMBER(MATCH(DATEVALUE($A123),'recurring1_based on steps'!AT$1:AT$400,0)),AT$2,)</f>
        <v>0</v>
      </c>
      <c r="AU123" s="140">
        <f ca="1">IF(ISNUMBER(MATCH(DATEVALUE($A123),'recurring1_based on steps'!AU$1:AU$400,0)),AU$2,)</f>
        <v>0</v>
      </c>
      <c r="AV123" s="140">
        <f ca="1">IF(ISNUMBER(MATCH(DATEVALUE($A123),'recurring1_based on steps'!AV$1:AV$400,0)),AV$2,)</f>
        <v>0</v>
      </c>
      <c r="AW123" s="140">
        <f ca="1">IF(ISNUMBER(MATCH(DATEVALUE($A123),'recurring1_based on steps'!AW$1:AW$400,0)),AW$2,)</f>
        <v>0</v>
      </c>
      <c r="AX123" s="140">
        <f ca="1">IF(ISNUMBER(MATCH(DATEVALUE($A123),'recurring1_based on steps'!AX$1:AX$400,0)),AX$2,)</f>
        <v>0</v>
      </c>
      <c r="AY123" s="140">
        <f ca="1">IF(ISNUMBER(MATCH(DATEVALUE($A123),'recurring1_based on steps'!AY$1:AY$400,0)),AY$2,)</f>
        <v>0</v>
      </c>
    </row>
    <row r="124" spans="1:51" x14ac:dyDescent="0.2">
      <c r="A124" s="29" t="str">
        <f t="shared" ca="1" si="1"/>
        <v>2025-07-26</v>
      </c>
      <c r="B124" s="140">
        <f ca="1">IF(ISNUMBER(MATCH(DATEVALUE($A124),'recurring1_based on steps'!B$1:B$400,0)),B$2,)</f>
        <v>0</v>
      </c>
      <c r="C124" s="140">
        <f ca="1">IF(ISNUMBER(MATCH(DATEVALUE($A124),'recurring1_based on steps'!C$1:C$400,0)),C$2,)</f>
        <v>0</v>
      </c>
      <c r="D124" s="140">
        <f ca="1">IF(ISNUMBER(MATCH(DATEVALUE($A124),'recurring1_based on steps'!D$1:D$400,0)),D$2,)</f>
        <v>0</v>
      </c>
      <c r="E124" s="140">
        <f ca="1">IF(ISNUMBER(MATCH(DATEVALUE($A124),'recurring1_based on steps'!E$1:E$400,0)),E$2,)</f>
        <v>0</v>
      </c>
      <c r="F124" s="140">
        <f ca="1">IF(ISNUMBER(MATCH(DATEVALUE($A124),'recurring1_based on steps'!F$1:F$400,0)),F$2,)</f>
        <v>0</v>
      </c>
      <c r="G124" s="140">
        <f ca="1">IF(ISNUMBER(MATCH(DATEVALUE($A124),'recurring1_based on steps'!G$1:G$400,0)),G$2,)</f>
        <v>0</v>
      </c>
      <c r="H124" s="140">
        <f ca="1">IF(ISNUMBER(MATCH(DATEVALUE($A124),'recurring1_based on steps'!H$1:H$400,0)),H$2,)</f>
        <v>0</v>
      </c>
      <c r="I124" s="140">
        <f ca="1">IF(ISNUMBER(MATCH(DATEVALUE($A124),'recurring1_based on steps'!I$1:I$400,0)),I$2,)</f>
        <v>0</v>
      </c>
      <c r="J124" s="140">
        <f ca="1">IF(ISNUMBER(MATCH(DATEVALUE($A124),'recurring1_based on steps'!J$1:J$400,0)),J$2,)</f>
        <v>0</v>
      </c>
      <c r="K124" s="140">
        <f ca="1">IF(ISNUMBER(MATCH(DATEVALUE($A124),'recurring1_based on steps'!K$1:K$400,0)),K$2,)</f>
        <v>0</v>
      </c>
      <c r="L124" s="140">
        <f ca="1">IF(ISNUMBER(MATCH(DATEVALUE($A124),'recurring1_based on steps'!L$1:L$400,0)),L$2,)</f>
        <v>0</v>
      </c>
      <c r="M124" s="140">
        <f ca="1">IF(ISNUMBER(MATCH(DATEVALUE($A124),'recurring1_based on steps'!M$1:M$400,0)),M$2,)</f>
        <v>0</v>
      </c>
      <c r="N124" s="140">
        <f ca="1">IF(ISNUMBER(MATCH(DATEVALUE($A124),'recurring1_based on steps'!N$1:N$400,0)),N$2,)</f>
        <v>0</v>
      </c>
      <c r="O124" s="140">
        <f ca="1">IF(ISNUMBER(MATCH(DATEVALUE($A124),'recurring1_based on steps'!O$1:O$400,0)),O$2,)</f>
        <v>0</v>
      </c>
      <c r="P124" s="140">
        <f ca="1">IF(ISNUMBER(MATCH(DATEVALUE($A124),'recurring1_based on steps'!P$1:P$400,0)),P$2,)</f>
        <v>0</v>
      </c>
      <c r="Q124" s="140">
        <f ca="1">IF(ISNUMBER(MATCH(DATEVALUE($A124),'recurring1_based on steps'!Q$1:Q$400,0)),Q$2,)</f>
        <v>100</v>
      </c>
      <c r="R124" s="140">
        <f ca="1">IF(ISNUMBER(MATCH(DATEVALUE($A124),'recurring1_based on steps'!R$1:R$400,0)),R$2,)</f>
        <v>100</v>
      </c>
      <c r="S124" s="140">
        <f ca="1">IF(ISNUMBER(MATCH(DATEVALUE($A124),'recurring1_based on steps'!S$1:S$400,0)),S$2,)</f>
        <v>0</v>
      </c>
      <c r="T124" s="140">
        <f ca="1">IF(ISNUMBER(MATCH(DATEVALUE($A124),'recurring1_based on steps'!T$1:T$400,0)),T$2,)</f>
        <v>0</v>
      </c>
      <c r="U124" s="140">
        <f ca="1">IF(ISNUMBER(MATCH(DATEVALUE($A124),'recurring1_based on steps'!U$1:U$400,0)),U$2,)</f>
        <v>0</v>
      </c>
      <c r="V124" s="140">
        <f ca="1">IF(ISNUMBER(MATCH(DATEVALUE($A124),'recurring1_based on steps'!V$1:V$400,0)),V$2,)</f>
        <v>0</v>
      </c>
      <c r="W124" s="140">
        <f ca="1">IF(ISNUMBER(MATCH(DATEVALUE($A124),'recurring1_based on steps'!W$1:W$400,0)),W$2,)</f>
        <v>0</v>
      </c>
      <c r="X124" s="140">
        <f ca="1">IF(ISNUMBER(MATCH(DATEVALUE($A124),'recurring1_based on steps'!X$1:X$400,0)),X$2,)</f>
        <v>0</v>
      </c>
      <c r="Y124" s="140">
        <f ca="1">IF(ISNUMBER(MATCH(DATEVALUE($A124),'recurring1_based on steps'!Y$1:Y$400,0)),Y$2,)</f>
        <v>0</v>
      </c>
      <c r="Z124" s="140">
        <f ca="1">IF(ISNUMBER(MATCH(DATEVALUE($A124),'recurring1_based on steps'!Z$1:Z$400,0)),Z$2,)</f>
        <v>0</v>
      </c>
      <c r="AA124" s="140">
        <f ca="1">IF(ISNUMBER(MATCH(DATEVALUE($A124),'recurring1_based on steps'!AA$1:AA$400,0)),AA$2,)</f>
        <v>0</v>
      </c>
      <c r="AB124" s="140">
        <f ca="1">IF(ISNUMBER(MATCH(DATEVALUE($A124),'recurring1_based on steps'!AB$1:AB$400,0)),AB$2,)</f>
        <v>5.5401662049861494E-2</v>
      </c>
      <c r="AC124" s="140">
        <f ca="1">IF(ISNUMBER(MATCH(DATEVALUE($A124),'recurring1_based on steps'!AC$1:AC$400,0)),AC$2,)</f>
        <v>0</v>
      </c>
      <c r="AD124" s="140">
        <f ca="1">IF(ISNUMBER(MATCH(DATEVALUE($A124),'recurring1_based on steps'!AD$1:AD$400,0)),AD$2,)</f>
        <v>0</v>
      </c>
      <c r="AE124" s="140">
        <f ca="1">IF(ISNUMBER(MATCH(DATEVALUE($A124),'recurring1_based on steps'!AE$1:AE$400,0)),AE$2,)</f>
        <v>0</v>
      </c>
      <c r="AF124" s="140">
        <f ca="1">IF(ISNUMBER(MATCH(DATEVALUE($A124),'recurring1_based on steps'!AF$1:AF$400,0)),AF$2,)</f>
        <v>0</v>
      </c>
      <c r="AG124" s="140">
        <f ca="1">IF(ISNUMBER(MATCH(DATEVALUE($A124),'recurring1_based on steps'!AG$1:AG$400,0)),AG$2,)</f>
        <v>0</v>
      </c>
      <c r="AH124" s="140">
        <f ca="1">IF(ISNUMBER(MATCH(DATEVALUE($A124),'recurring1_based on steps'!AH$1:AH$400,0)),AH$2,)</f>
        <v>0</v>
      </c>
      <c r="AI124" s="140">
        <f ca="1">IF(ISNUMBER(MATCH(DATEVALUE($A124),'recurring1_based on steps'!AI$1:AI$400,0)),AI$2,)</f>
        <v>0</v>
      </c>
      <c r="AJ124" s="140">
        <f ca="1">IF(ISNUMBER(MATCH(DATEVALUE($A124),'recurring1_based on steps'!AJ$1:AJ$400,0)),AJ$2,)</f>
        <v>0</v>
      </c>
      <c r="AK124" s="140">
        <f ca="1">IF(ISNUMBER(MATCH(DATEVALUE($A124),'recurring1_based on steps'!AK$1:AK$400,0)),AK$2,)</f>
        <v>0</v>
      </c>
      <c r="AL124" s="140">
        <f ca="1">IF(ISNUMBER(MATCH(DATEVALUE($A124),'recurring1_based on steps'!AL$1:AL$400,0)),AL$2,)</f>
        <v>0</v>
      </c>
      <c r="AM124" s="140">
        <f ca="1">IF(ISNUMBER(MATCH(DATEVALUE($A124),'recurring1_based on steps'!AM$1:AM$400,0)),AM$2,)</f>
        <v>0</v>
      </c>
      <c r="AN124" s="140">
        <f ca="1">IF(ISNUMBER(MATCH(DATEVALUE($A124),'recurring1_based on steps'!AN$1:AN$400,0)),AN$2,)</f>
        <v>0</v>
      </c>
      <c r="AO124" s="140">
        <f ca="1">IF(ISNUMBER(MATCH(DATEVALUE($A124),'recurring1_based on steps'!AO$1:AO$400,0)),AO$2,)</f>
        <v>0</v>
      </c>
      <c r="AP124" s="140">
        <f ca="1">IF(ISNUMBER(MATCH(DATEVALUE($A124),'recurring1_based on steps'!AP$1:AP$400,0)),AP$2,)</f>
        <v>0</v>
      </c>
      <c r="AQ124" s="140">
        <f ca="1">IF(ISNUMBER(MATCH(DATEVALUE($A124),'recurring1_based on steps'!AQ$1:AQ$400,0)),AQ$2,)</f>
        <v>0</v>
      </c>
      <c r="AR124" s="140">
        <f ca="1">IF(ISNUMBER(MATCH(DATEVALUE($A124),'recurring1_based on steps'!AR$1:AR$400,0)),AR$2,)</f>
        <v>0</v>
      </c>
      <c r="AS124" s="140">
        <f ca="1">IF(ISNUMBER(MATCH(DATEVALUE($A124),'recurring1_based on steps'!AS$1:AS$400,0)),AS$2,)</f>
        <v>0</v>
      </c>
      <c r="AT124" s="140">
        <f ca="1">IF(ISNUMBER(MATCH(DATEVALUE($A124),'recurring1_based on steps'!AT$1:AT$400,0)),AT$2,)</f>
        <v>0</v>
      </c>
      <c r="AU124" s="140">
        <f ca="1">IF(ISNUMBER(MATCH(DATEVALUE($A124),'recurring1_based on steps'!AU$1:AU$400,0)),AU$2,)</f>
        <v>0</v>
      </c>
      <c r="AV124" s="140">
        <f ca="1">IF(ISNUMBER(MATCH(DATEVALUE($A124),'recurring1_based on steps'!AV$1:AV$400,0)),AV$2,)</f>
        <v>0</v>
      </c>
      <c r="AW124" s="140">
        <f ca="1">IF(ISNUMBER(MATCH(DATEVALUE($A124),'recurring1_based on steps'!AW$1:AW$400,0)),AW$2,)</f>
        <v>0</v>
      </c>
      <c r="AX124" s="140">
        <f ca="1">IF(ISNUMBER(MATCH(DATEVALUE($A124),'recurring1_based on steps'!AX$1:AX$400,0)),AX$2,)</f>
        <v>0</v>
      </c>
      <c r="AY124" s="140">
        <f ca="1">IF(ISNUMBER(MATCH(DATEVALUE($A124),'recurring1_based on steps'!AY$1:AY$400,0)),AY$2,)</f>
        <v>0</v>
      </c>
    </row>
    <row r="125" spans="1:51" x14ac:dyDescent="0.2">
      <c r="A125" s="29" t="str">
        <f t="shared" ca="1" si="1"/>
        <v>2025-07-27</v>
      </c>
      <c r="B125" s="140">
        <f ca="1">IF(ISNUMBER(MATCH(DATEVALUE($A125),'recurring1_based on steps'!B$1:B$400,0)),B$2,)</f>
        <v>0</v>
      </c>
      <c r="C125" s="140">
        <f ca="1">IF(ISNUMBER(MATCH(DATEVALUE($A125),'recurring1_based on steps'!C$1:C$400,0)),C$2,)</f>
        <v>0</v>
      </c>
      <c r="D125" s="140">
        <f ca="1">IF(ISNUMBER(MATCH(DATEVALUE($A125),'recurring1_based on steps'!D$1:D$400,0)),D$2,)</f>
        <v>0</v>
      </c>
      <c r="E125" s="140">
        <f ca="1">IF(ISNUMBER(MATCH(DATEVALUE($A125),'recurring1_based on steps'!E$1:E$400,0)),E$2,)</f>
        <v>0</v>
      </c>
      <c r="F125" s="140">
        <f ca="1">IF(ISNUMBER(MATCH(DATEVALUE($A125),'recurring1_based on steps'!F$1:F$400,0)),F$2,)</f>
        <v>0</v>
      </c>
      <c r="G125" s="140">
        <f ca="1">IF(ISNUMBER(MATCH(DATEVALUE($A125),'recurring1_based on steps'!G$1:G$400,0)),G$2,)</f>
        <v>0</v>
      </c>
      <c r="H125" s="140">
        <f ca="1">IF(ISNUMBER(MATCH(DATEVALUE($A125),'recurring1_based on steps'!H$1:H$400,0)),H$2,)</f>
        <v>0</v>
      </c>
      <c r="I125" s="140">
        <f ca="1">IF(ISNUMBER(MATCH(DATEVALUE($A125),'recurring1_based on steps'!I$1:I$400,0)),I$2,)</f>
        <v>0</v>
      </c>
      <c r="J125" s="140">
        <f ca="1">IF(ISNUMBER(MATCH(DATEVALUE($A125),'recurring1_based on steps'!J$1:J$400,0)),J$2,)</f>
        <v>0</v>
      </c>
      <c r="K125" s="140">
        <f ca="1">IF(ISNUMBER(MATCH(DATEVALUE($A125),'recurring1_based on steps'!K$1:K$400,0)),K$2,)</f>
        <v>50</v>
      </c>
      <c r="L125" s="140">
        <f ca="1">IF(ISNUMBER(MATCH(DATEVALUE($A125),'recurring1_based on steps'!L$1:L$400,0)),L$2,)</f>
        <v>0</v>
      </c>
      <c r="M125" s="140">
        <f ca="1">IF(ISNUMBER(MATCH(DATEVALUE($A125),'recurring1_based on steps'!M$1:M$400,0)),M$2,)</f>
        <v>0</v>
      </c>
      <c r="N125" s="140">
        <f ca="1">IF(ISNUMBER(MATCH(DATEVALUE($A125),'recurring1_based on steps'!N$1:N$400,0)),N$2,)</f>
        <v>0</v>
      </c>
      <c r="O125" s="140">
        <f ca="1">IF(ISNUMBER(MATCH(DATEVALUE($A125),'recurring1_based on steps'!O$1:O$400,0)),O$2,)</f>
        <v>0</v>
      </c>
      <c r="P125" s="140">
        <f ca="1">IF(ISNUMBER(MATCH(DATEVALUE($A125),'recurring1_based on steps'!P$1:P$400,0)),P$2,)</f>
        <v>2.99</v>
      </c>
      <c r="Q125" s="140">
        <f ca="1">IF(ISNUMBER(MATCH(DATEVALUE($A125),'recurring1_based on steps'!Q$1:Q$400,0)),Q$2,)</f>
        <v>0</v>
      </c>
      <c r="R125" s="140">
        <f ca="1">IF(ISNUMBER(MATCH(DATEVALUE($A125),'recurring1_based on steps'!R$1:R$400,0)),R$2,)</f>
        <v>0</v>
      </c>
      <c r="S125" s="140">
        <f ca="1">IF(ISNUMBER(MATCH(DATEVALUE($A125),'recurring1_based on steps'!S$1:S$400,0)),S$2,)</f>
        <v>100</v>
      </c>
      <c r="T125" s="140">
        <f ca="1">IF(ISNUMBER(MATCH(DATEVALUE($A125),'recurring1_based on steps'!T$1:T$400,0)),T$2,)</f>
        <v>0</v>
      </c>
      <c r="U125" s="140">
        <f ca="1">IF(ISNUMBER(MATCH(DATEVALUE($A125),'recurring1_based on steps'!U$1:U$400,0)),U$2,)</f>
        <v>0</v>
      </c>
      <c r="V125" s="140">
        <f ca="1">IF(ISNUMBER(MATCH(DATEVALUE($A125),'recurring1_based on steps'!V$1:V$400,0)),V$2,)</f>
        <v>0</v>
      </c>
      <c r="W125" s="140">
        <f ca="1">IF(ISNUMBER(MATCH(DATEVALUE($A125),'recurring1_based on steps'!W$1:W$400,0)),W$2,)</f>
        <v>0</v>
      </c>
      <c r="X125" s="140">
        <f ca="1">IF(ISNUMBER(MATCH(DATEVALUE($A125),'recurring1_based on steps'!X$1:X$400,0)),X$2,)</f>
        <v>0</v>
      </c>
      <c r="Y125" s="140">
        <f ca="1">IF(ISNUMBER(MATCH(DATEVALUE($A125),'recurring1_based on steps'!Y$1:Y$400,0)),Y$2,)</f>
        <v>0</v>
      </c>
      <c r="Z125" s="140">
        <f ca="1">IF(ISNUMBER(MATCH(DATEVALUE($A125),'recurring1_based on steps'!Z$1:Z$400,0)),Z$2,)</f>
        <v>0</v>
      </c>
      <c r="AA125" s="140">
        <f ca="1">IF(ISNUMBER(MATCH(DATEVALUE($A125),'recurring1_based on steps'!AA$1:AA$400,0)),AA$2,)</f>
        <v>0</v>
      </c>
      <c r="AB125" s="140">
        <f ca="1">IF(ISNUMBER(MATCH(DATEVALUE($A125),'recurring1_based on steps'!AB$1:AB$400,0)),AB$2,)</f>
        <v>5.5401662049861494E-2</v>
      </c>
      <c r="AC125" s="140">
        <f ca="1">IF(ISNUMBER(MATCH(DATEVALUE($A125),'recurring1_based on steps'!AC$1:AC$400,0)),AC$2,)</f>
        <v>0</v>
      </c>
      <c r="AD125" s="140">
        <f ca="1">IF(ISNUMBER(MATCH(DATEVALUE($A125),'recurring1_based on steps'!AD$1:AD$400,0)),AD$2,)</f>
        <v>0</v>
      </c>
      <c r="AE125" s="140">
        <f ca="1">IF(ISNUMBER(MATCH(DATEVALUE($A125),'recurring1_based on steps'!AE$1:AE$400,0)),AE$2,)</f>
        <v>0</v>
      </c>
      <c r="AF125" s="140">
        <f ca="1">IF(ISNUMBER(MATCH(DATEVALUE($A125),'recurring1_based on steps'!AF$1:AF$400,0)),AF$2,)</f>
        <v>0</v>
      </c>
      <c r="AG125" s="140">
        <f ca="1">IF(ISNUMBER(MATCH(DATEVALUE($A125),'recurring1_based on steps'!AG$1:AG$400,0)),AG$2,)</f>
        <v>0</v>
      </c>
      <c r="AH125" s="140">
        <f ca="1">IF(ISNUMBER(MATCH(DATEVALUE($A125),'recurring1_based on steps'!AH$1:AH$400,0)),AH$2,)</f>
        <v>0</v>
      </c>
      <c r="AI125" s="140">
        <f ca="1">IF(ISNUMBER(MATCH(DATEVALUE($A125),'recurring1_based on steps'!AI$1:AI$400,0)),AI$2,)</f>
        <v>0</v>
      </c>
      <c r="AJ125" s="140">
        <f ca="1">IF(ISNUMBER(MATCH(DATEVALUE($A125),'recurring1_based on steps'!AJ$1:AJ$400,0)),AJ$2,)</f>
        <v>0</v>
      </c>
      <c r="AK125" s="140">
        <f ca="1">IF(ISNUMBER(MATCH(DATEVALUE($A125),'recurring1_based on steps'!AK$1:AK$400,0)),AK$2,)</f>
        <v>0</v>
      </c>
      <c r="AL125" s="140">
        <f ca="1">IF(ISNUMBER(MATCH(DATEVALUE($A125),'recurring1_based on steps'!AL$1:AL$400,0)),AL$2,)</f>
        <v>0</v>
      </c>
      <c r="AM125" s="140">
        <f ca="1">IF(ISNUMBER(MATCH(DATEVALUE($A125),'recurring1_based on steps'!AM$1:AM$400,0)),AM$2,)</f>
        <v>0</v>
      </c>
      <c r="AN125" s="140">
        <f ca="1">IF(ISNUMBER(MATCH(DATEVALUE($A125),'recurring1_based on steps'!AN$1:AN$400,0)),AN$2,)</f>
        <v>0</v>
      </c>
      <c r="AO125" s="140">
        <f ca="1">IF(ISNUMBER(MATCH(DATEVALUE($A125),'recurring1_based on steps'!AO$1:AO$400,0)),AO$2,)</f>
        <v>0</v>
      </c>
      <c r="AP125" s="140">
        <f ca="1">IF(ISNUMBER(MATCH(DATEVALUE($A125),'recurring1_based on steps'!AP$1:AP$400,0)),AP$2,)</f>
        <v>0</v>
      </c>
      <c r="AQ125" s="140">
        <f ca="1">IF(ISNUMBER(MATCH(DATEVALUE($A125),'recurring1_based on steps'!AQ$1:AQ$400,0)),AQ$2,)</f>
        <v>0</v>
      </c>
      <c r="AR125" s="140">
        <f ca="1">IF(ISNUMBER(MATCH(DATEVALUE($A125),'recurring1_based on steps'!AR$1:AR$400,0)),AR$2,)</f>
        <v>0</v>
      </c>
      <c r="AS125" s="140">
        <f ca="1">IF(ISNUMBER(MATCH(DATEVALUE($A125),'recurring1_based on steps'!AS$1:AS$400,0)),AS$2,)</f>
        <v>0</v>
      </c>
      <c r="AT125" s="140">
        <f ca="1">IF(ISNUMBER(MATCH(DATEVALUE($A125),'recurring1_based on steps'!AT$1:AT$400,0)),AT$2,)</f>
        <v>0</v>
      </c>
      <c r="AU125" s="140">
        <f ca="1">IF(ISNUMBER(MATCH(DATEVALUE($A125),'recurring1_based on steps'!AU$1:AU$400,0)),AU$2,)</f>
        <v>0</v>
      </c>
      <c r="AV125" s="140">
        <f ca="1">IF(ISNUMBER(MATCH(DATEVALUE($A125),'recurring1_based on steps'!AV$1:AV$400,0)),AV$2,)</f>
        <v>0</v>
      </c>
      <c r="AW125" s="140">
        <f ca="1">IF(ISNUMBER(MATCH(DATEVALUE($A125),'recurring1_based on steps'!AW$1:AW$400,0)),AW$2,)</f>
        <v>0</v>
      </c>
      <c r="AX125" s="140">
        <f ca="1">IF(ISNUMBER(MATCH(DATEVALUE($A125),'recurring1_based on steps'!AX$1:AX$400,0)),AX$2,)</f>
        <v>0</v>
      </c>
      <c r="AY125" s="140">
        <f ca="1">IF(ISNUMBER(MATCH(DATEVALUE($A125),'recurring1_based on steps'!AY$1:AY$400,0)),AY$2,)</f>
        <v>0</v>
      </c>
    </row>
    <row r="126" spans="1:51" x14ac:dyDescent="0.2">
      <c r="A126" s="29" t="str">
        <f t="shared" ca="1" si="1"/>
        <v>2025-07-28</v>
      </c>
      <c r="B126" s="140">
        <f ca="1">IF(ISNUMBER(MATCH(DATEVALUE($A126),'recurring1_based on steps'!B$1:B$400,0)),B$2,)</f>
        <v>0</v>
      </c>
      <c r="C126" s="140">
        <f ca="1">IF(ISNUMBER(MATCH(DATEVALUE($A126),'recurring1_based on steps'!C$1:C$400,0)),C$2,)</f>
        <v>0</v>
      </c>
      <c r="D126" s="140">
        <f ca="1">IF(ISNUMBER(MATCH(DATEVALUE($A126),'recurring1_based on steps'!D$1:D$400,0)),D$2,)</f>
        <v>0</v>
      </c>
      <c r="E126" s="140">
        <f ca="1">IF(ISNUMBER(MATCH(DATEVALUE($A126),'recurring1_based on steps'!E$1:E$400,0)),E$2,)</f>
        <v>0</v>
      </c>
      <c r="F126" s="140">
        <f ca="1">IF(ISNUMBER(MATCH(DATEVALUE($A126),'recurring1_based on steps'!F$1:F$400,0)),F$2,)</f>
        <v>0</v>
      </c>
      <c r="G126" s="140">
        <f ca="1">IF(ISNUMBER(MATCH(DATEVALUE($A126),'recurring1_based on steps'!G$1:G$400,0)),G$2,)</f>
        <v>0</v>
      </c>
      <c r="H126" s="140">
        <f ca="1">IF(ISNUMBER(MATCH(DATEVALUE($A126),'recurring1_based on steps'!H$1:H$400,0)),H$2,)</f>
        <v>0</v>
      </c>
      <c r="I126" s="140">
        <f ca="1">IF(ISNUMBER(MATCH(DATEVALUE($A126),'recurring1_based on steps'!I$1:I$400,0)),I$2,)</f>
        <v>0</v>
      </c>
      <c r="J126" s="140">
        <f ca="1">IF(ISNUMBER(MATCH(DATEVALUE($A126),'recurring1_based on steps'!J$1:J$400,0)),J$2,)</f>
        <v>0</v>
      </c>
      <c r="K126" s="140">
        <f ca="1">IF(ISNUMBER(MATCH(DATEVALUE($A126),'recurring1_based on steps'!K$1:K$400,0)),K$2,)</f>
        <v>0</v>
      </c>
      <c r="L126" s="140">
        <f ca="1">IF(ISNUMBER(MATCH(DATEVALUE($A126),'recurring1_based on steps'!L$1:L$400,0)),L$2,)</f>
        <v>0</v>
      </c>
      <c r="M126" s="140">
        <f ca="1">IF(ISNUMBER(MATCH(DATEVALUE($A126),'recurring1_based on steps'!M$1:M$400,0)),M$2,)</f>
        <v>0</v>
      </c>
      <c r="N126" s="140">
        <f ca="1">IF(ISNUMBER(MATCH(DATEVALUE($A126),'recurring1_based on steps'!N$1:N$400,0)),N$2,)</f>
        <v>0</v>
      </c>
      <c r="O126" s="140">
        <f ca="1">IF(ISNUMBER(MATCH(DATEVALUE($A126),'recurring1_based on steps'!O$1:O$400,0)),O$2,)</f>
        <v>0</v>
      </c>
      <c r="P126" s="140">
        <f ca="1">IF(ISNUMBER(MATCH(DATEVALUE($A126),'recurring1_based on steps'!P$1:P$400,0)),P$2,)</f>
        <v>0</v>
      </c>
      <c r="Q126" s="140">
        <f ca="1">IF(ISNUMBER(MATCH(DATEVALUE($A126),'recurring1_based on steps'!Q$1:Q$400,0)),Q$2,)</f>
        <v>0</v>
      </c>
      <c r="R126" s="140">
        <f ca="1">IF(ISNUMBER(MATCH(DATEVALUE($A126),'recurring1_based on steps'!R$1:R$400,0)),R$2,)</f>
        <v>0</v>
      </c>
      <c r="S126" s="140">
        <f ca="1">IF(ISNUMBER(MATCH(DATEVALUE($A126),'recurring1_based on steps'!S$1:S$400,0)),S$2,)</f>
        <v>0</v>
      </c>
      <c r="T126" s="140">
        <f ca="1">IF(ISNUMBER(MATCH(DATEVALUE($A126),'recurring1_based on steps'!T$1:T$400,0)),T$2,)</f>
        <v>0</v>
      </c>
      <c r="U126" s="140">
        <f ca="1">IF(ISNUMBER(MATCH(DATEVALUE($A126),'recurring1_based on steps'!U$1:U$400,0)),U$2,)</f>
        <v>0</v>
      </c>
      <c r="V126" s="140">
        <f ca="1">IF(ISNUMBER(MATCH(DATEVALUE($A126),'recurring1_based on steps'!V$1:V$400,0)),V$2,)</f>
        <v>0</v>
      </c>
      <c r="W126" s="140">
        <f ca="1">IF(ISNUMBER(MATCH(DATEVALUE($A126),'recurring1_based on steps'!W$1:W$400,0)),W$2,)</f>
        <v>0</v>
      </c>
      <c r="X126" s="140">
        <f ca="1">IF(ISNUMBER(MATCH(DATEVALUE($A126),'recurring1_based on steps'!X$1:X$400,0)),X$2,)</f>
        <v>0</v>
      </c>
      <c r="Y126" s="140">
        <f ca="1">IF(ISNUMBER(MATCH(DATEVALUE($A126),'recurring1_based on steps'!Y$1:Y$400,0)),Y$2,)</f>
        <v>0</v>
      </c>
      <c r="Z126" s="140">
        <f ca="1">IF(ISNUMBER(MATCH(DATEVALUE($A126),'recurring1_based on steps'!Z$1:Z$400,0)),Z$2,)</f>
        <v>0</v>
      </c>
      <c r="AA126" s="140">
        <f ca="1">IF(ISNUMBER(MATCH(DATEVALUE($A126),'recurring1_based on steps'!AA$1:AA$400,0)),AA$2,)</f>
        <v>0</v>
      </c>
      <c r="AB126" s="140">
        <f ca="1">IF(ISNUMBER(MATCH(DATEVALUE($A126),'recurring1_based on steps'!AB$1:AB$400,0)),AB$2,)</f>
        <v>5.5401662049861494E-2</v>
      </c>
      <c r="AC126" s="140">
        <f ca="1">IF(ISNUMBER(MATCH(DATEVALUE($A126),'recurring1_based on steps'!AC$1:AC$400,0)),AC$2,)</f>
        <v>0</v>
      </c>
      <c r="AD126" s="140">
        <f ca="1">IF(ISNUMBER(MATCH(DATEVALUE($A126),'recurring1_based on steps'!AD$1:AD$400,0)),AD$2,)</f>
        <v>0</v>
      </c>
      <c r="AE126" s="140">
        <f ca="1">IF(ISNUMBER(MATCH(DATEVALUE($A126),'recurring1_based on steps'!AE$1:AE$400,0)),AE$2,)</f>
        <v>0</v>
      </c>
      <c r="AF126" s="140">
        <f ca="1">IF(ISNUMBER(MATCH(DATEVALUE($A126),'recurring1_based on steps'!AF$1:AF$400,0)),AF$2,)</f>
        <v>0</v>
      </c>
      <c r="AG126" s="140">
        <f ca="1">IF(ISNUMBER(MATCH(DATEVALUE($A126),'recurring1_based on steps'!AG$1:AG$400,0)),AG$2,)</f>
        <v>0</v>
      </c>
      <c r="AH126" s="140">
        <f ca="1">IF(ISNUMBER(MATCH(DATEVALUE($A126),'recurring1_based on steps'!AH$1:AH$400,0)),AH$2,)</f>
        <v>0</v>
      </c>
      <c r="AI126" s="140">
        <f ca="1">IF(ISNUMBER(MATCH(DATEVALUE($A126),'recurring1_based on steps'!AI$1:AI$400,0)),AI$2,)</f>
        <v>0</v>
      </c>
      <c r="AJ126" s="140">
        <f ca="1">IF(ISNUMBER(MATCH(DATEVALUE($A126),'recurring1_based on steps'!AJ$1:AJ$400,0)),AJ$2,)</f>
        <v>0</v>
      </c>
      <c r="AK126" s="140">
        <f ca="1">IF(ISNUMBER(MATCH(DATEVALUE($A126),'recurring1_based on steps'!AK$1:AK$400,0)),AK$2,)</f>
        <v>0</v>
      </c>
      <c r="AL126" s="140">
        <f ca="1">IF(ISNUMBER(MATCH(DATEVALUE($A126),'recurring1_based on steps'!AL$1:AL$400,0)),AL$2,)</f>
        <v>0</v>
      </c>
      <c r="AM126" s="140">
        <f ca="1">IF(ISNUMBER(MATCH(DATEVALUE($A126),'recurring1_based on steps'!AM$1:AM$400,0)),AM$2,)</f>
        <v>0</v>
      </c>
      <c r="AN126" s="140">
        <f ca="1">IF(ISNUMBER(MATCH(DATEVALUE($A126),'recurring1_based on steps'!AN$1:AN$400,0)),AN$2,)</f>
        <v>0</v>
      </c>
      <c r="AO126" s="140">
        <f ca="1">IF(ISNUMBER(MATCH(DATEVALUE($A126),'recurring1_based on steps'!AO$1:AO$400,0)),AO$2,)</f>
        <v>0</v>
      </c>
      <c r="AP126" s="140">
        <f ca="1">IF(ISNUMBER(MATCH(DATEVALUE($A126),'recurring1_based on steps'!AP$1:AP$400,0)),AP$2,)</f>
        <v>0</v>
      </c>
      <c r="AQ126" s="140">
        <f ca="1">IF(ISNUMBER(MATCH(DATEVALUE($A126),'recurring1_based on steps'!AQ$1:AQ$400,0)),AQ$2,)</f>
        <v>0</v>
      </c>
      <c r="AR126" s="140">
        <f ca="1">IF(ISNUMBER(MATCH(DATEVALUE($A126),'recurring1_based on steps'!AR$1:AR$400,0)),AR$2,)</f>
        <v>0</v>
      </c>
      <c r="AS126" s="140">
        <f ca="1">IF(ISNUMBER(MATCH(DATEVALUE($A126),'recurring1_based on steps'!AS$1:AS$400,0)),AS$2,)</f>
        <v>0</v>
      </c>
      <c r="AT126" s="140">
        <f ca="1">IF(ISNUMBER(MATCH(DATEVALUE($A126),'recurring1_based on steps'!AT$1:AT$400,0)),AT$2,)</f>
        <v>0</v>
      </c>
      <c r="AU126" s="140">
        <f ca="1">IF(ISNUMBER(MATCH(DATEVALUE($A126),'recurring1_based on steps'!AU$1:AU$400,0)),AU$2,)</f>
        <v>0</v>
      </c>
      <c r="AV126" s="140">
        <f ca="1">IF(ISNUMBER(MATCH(DATEVALUE($A126),'recurring1_based on steps'!AV$1:AV$400,0)),AV$2,)</f>
        <v>0</v>
      </c>
      <c r="AW126" s="140">
        <f ca="1">IF(ISNUMBER(MATCH(DATEVALUE($A126),'recurring1_based on steps'!AW$1:AW$400,0)),AW$2,)</f>
        <v>0</v>
      </c>
      <c r="AX126" s="140">
        <f ca="1">IF(ISNUMBER(MATCH(DATEVALUE($A126),'recurring1_based on steps'!AX$1:AX$400,0)),AX$2,)</f>
        <v>0</v>
      </c>
      <c r="AY126" s="140">
        <f ca="1">IF(ISNUMBER(MATCH(DATEVALUE($A126),'recurring1_based on steps'!AY$1:AY$400,0)),AY$2,)</f>
        <v>0</v>
      </c>
    </row>
    <row r="127" spans="1:51" x14ac:dyDescent="0.2">
      <c r="A127" s="29" t="str">
        <f t="shared" ca="1" si="1"/>
        <v>2025-07-29</v>
      </c>
      <c r="B127" s="140">
        <f ca="1">IF(ISNUMBER(MATCH(DATEVALUE($A127),'recurring1_based on steps'!B$1:B$400,0)),B$2,)</f>
        <v>0</v>
      </c>
      <c r="C127" s="140">
        <f ca="1">IF(ISNUMBER(MATCH(DATEVALUE($A127),'recurring1_based on steps'!C$1:C$400,0)),C$2,)</f>
        <v>0</v>
      </c>
      <c r="D127" s="140">
        <f ca="1">IF(ISNUMBER(MATCH(DATEVALUE($A127),'recurring1_based on steps'!D$1:D$400,0)),D$2,)</f>
        <v>0</v>
      </c>
      <c r="E127" s="140">
        <f ca="1">IF(ISNUMBER(MATCH(DATEVALUE($A127),'recurring1_based on steps'!E$1:E$400,0)),E$2,)</f>
        <v>0</v>
      </c>
      <c r="F127" s="140">
        <f ca="1">IF(ISNUMBER(MATCH(DATEVALUE($A127),'recurring1_based on steps'!F$1:F$400,0)),F$2,)</f>
        <v>0</v>
      </c>
      <c r="G127" s="140">
        <f ca="1">IF(ISNUMBER(MATCH(DATEVALUE($A127),'recurring1_based on steps'!G$1:G$400,0)),G$2,)</f>
        <v>0</v>
      </c>
      <c r="H127" s="140">
        <f ca="1">IF(ISNUMBER(MATCH(DATEVALUE($A127),'recurring1_based on steps'!H$1:H$400,0)),H$2,)</f>
        <v>0</v>
      </c>
      <c r="I127" s="140">
        <f ca="1">IF(ISNUMBER(MATCH(DATEVALUE($A127),'recurring1_based on steps'!I$1:I$400,0)),I$2,)</f>
        <v>0</v>
      </c>
      <c r="J127" s="140">
        <f ca="1">IF(ISNUMBER(MATCH(DATEVALUE($A127),'recurring1_based on steps'!J$1:J$400,0)),J$2,)</f>
        <v>0</v>
      </c>
      <c r="K127" s="140">
        <f ca="1">IF(ISNUMBER(MATCH(DATEVALUE($A127),'recurring1_based on steps'!K$1:K$400,0)),K$2,)</f>
        <v>0</v>
      </c>
      <c r="L127" s="140">
        <f ca="1">IF(ISNUMBER(MATCH(DATEVALUE($A127),'recurring1_based on steps'!L$1:L$400,0)),L$2,)</f>
        <v>0</v>
      </c>
      <c r="M127" s="140">
        <f ca="1">IF(ISNUMBER(MATCH(DATEVALUE($A127),'recurring1_based on steps'!M$1:M$400,0)),M$2,)</f>
        <v>0</v>
      </c>
      <c r="N127" s="140">
        <f ca="1">IF(ISNUMBER(MATCH(DATEVALUE($A127),'recurring1_based on steps'!N$1:N$400,0)),N$2,)</f>
        <v>0</v>
      </c>
      <c r="O127" s="140">
        <f ca="1">IF(ISNUMBER(MATCH(DATEVALUE($A127),'recurring1_based on steps'!O$1:O$400,0)),O$2,)</f>
        <v>0</v>
      </c>
      <c r="P127" s="140">
        <f ca="1">IF(ISNUMBER(MATCH(DATEVALUE($A127),'recurring1_based on steps'!P$1:P$400,0)),P$2,)</f>
        <v>0</v>
      </c>
      <c r="Q127" s="140">
        <f ca="1">IF(ISNUMBER(MATCH(DATEVALUE($A127),'recurring1_based on steps'!Q$1:Q$400,0)),Q$2,)</f>
        <v>0</v>
      </c>
      <c r="R127" s="140">
        <f ca="1">IF(ISNUMBER(MATCH(DATEVALUE($A127),'recurring1_based on steps'!R$1:R$400,0)),R$2,)</f>
        <v>0</v>
      </c>
      <c r="S127" s="140">
        <f ca="1">IF(ISNUMBER(MATCH(DATEVALUE($A127),'recurring1_based on steps'!S$1:S$400,0)),S$2,)</f>
        <v>0</v>
      </c>
      <c r="T127" s="140">
        <f ca="1">IF(ISNUMBER(MATCH(DATEVALUE($A127),'recurring1_based on steps'!T$1:T$400,0)),T$2,)</f>
        <v>0</v>
      </c>
      <c r="U127" s="140">
        <f ca="1">IF(ISNUMBER(MATCH(DATEVALUE($A127),'recurring1_based on steps'!U$1:U$400,0)),U$2,)</f>
        <v>0</v>
      </c>
      <c r="V127" s="140">
        <f ca="1">IF(ISNUMBER(MATCH(DATEVALUE($A127),'recurring1_based on steps'!V$1:V$400,0)),V$2,)</f>
        <v>0</v>
      </c>
      <c r="W127" s="140">
        <f ca="1">IF(ISNUMBER(MATCH(DATEVALUE($A127),'recurring1_based on steps'!W$1:W$400,0)),W$2,)</f>
        <v>0</v>
      </c>
      <c r="X127" s="140">
        <f ca="1">IF(ISNUMBER(MATCH(DATEVALUE($A127),'recurring1_based on steps'!X$1:X$400,0)),X$2,)</f>
        <v>0</v>
      </c>
      <c r="Y127" s="140">
        <f ca="1">IF(ISNUMBER(MATCH(DATEVALUE($A127),'recurring1_based on steps'!Y$1:Y$400,0)),Y$2,)</f>
        <v>0</v>
      </c>
      <c r="Z127" s="140">
        <f ca="1">IF(ISNUMBER(MATCH(DATEVALUE($A127),'recurring1_based on steps'!Z$1:Z$400,0)),Z$2,)</f>
        <v>0</v>
      </c>
      <c r="AA127" s="140">
        <f ca="1">IF(ISNUMBER(MATCH(DATEVALUE($A127),'recurring1_based on steps'!AA$1:AA$400,0)),AA$2,)</f>
        <v>0</v>
      </c>
      <c r="AB127" s="140">
        <f ca="1">IF(ISNUMBER(MATCH(DATEVALUE($A127),'recurring1_based on steps'!AB$1:AB$400,0)),AB$2,)</f>
        <v>5.5401662049861494E-2</v>
      </c>
      <c r="AC127" s="140">
        <f ca="1">IF(ISNUMBER(MATCH(DATEVALUE($A127),'recurring1_based on steps'!AC$1:AC$400,0)),AC$2,)</f>
        <v>0</v>
      </c>
      <c r="AD127" s="140">
        <f ca="1">IF(ISNUMBER(MATCH(DATEVALUE($A127),'recurring1_based on steps'!AD$1:AD$400,0)),AD$2,)</f>
        <v>0</v>
      </c>
      <c r="AE127" s="140">
        <f ca="1">IF(ISNUMBER(MATCH(DATEVALUE($A127),'recurring1_based on steps'!AE$1:AE$400,0)),AE$2,)</f>
        <v>0</v>
      </c>
      <c r="AF127" s="140">
        <f ca="1">IF(ISNUMBER(MATCH(DATEVALUE($A127),'recurring1_based on steps'!AF$1:AF$400,0)),AF$2,)</f>
        <v>0</v>
      </c>
      <c r="AG127" s="140">
        <f ca="1">IF(ISNUMBER(MATCH(DATEVALUE($A127),'recurring1_based on steps'!AG$1:AG$400,0)),AG$2,)</f>
        <v>0</v>
      </c>
      <c r="AH127" s="140">
        <f ca="1">IF(ISNUMBER(MATCH(DATEVALUE($A127),'recurring1_based on steps'!AH$1:AH$400,0)),AH$2,)</f>
        <v>0</v>
      </c>
      <c r="AI127" s="140">
        <f ca="1">IF(ISNUMBER(MATCH(DATEVALUE($A127),'recurring1_based on steps'!AI$1:AI$400,0)),AI$2,)</f>
        <v>0</v>
      </c>
      <c r="AJ127" s="140">
        <f ca="1">IF(ISNUMBER(MATCH(DATEVALUE($A127),'recurring1_based on steps'!AJ$1:AJ$400,0)),AJ$2,)</f>
        <v>0</v>
      </c>
      <c r="AK127" s="140">
        <f ca="1">IF(ISNUMBER(MATCH(DATEVALUE($A127),'recurring1_based on steps'!AK$1:AK$400,0)),AK$2,)</f>
        <v>0</v>
      </c>
      <c r="AL127" s="140">
        <f ca="1">IF(ISNUMBER(MATCH(DATEVALUE($A127),'recurring1_based on steps'!AL$1:AL$400,0)),AL$2,)</f>
        <v>0</v>
      </c>
      <c r="AM127" s="140">
        <f ca="1">IF(ISNUMBER(MATCH(DATEVALUE($A127),'recurring1_based on steps'!AM$1:AM$400,0)),AM$2,)</f>
        <v>0</v>
      </c>
      <c r="AN127" s="140">
        <f ca="1">IF(ISNUMBER(MATCH(DATEVALUE($A127),'recurring1_based on steps'!AN$1:AN$400,0)),AN$2,)</f>
        <v>0</v>
      </c>
      <c r="AO127" s="140">
        <f ca="1">IF(ISNUMBER(MATCH(DATEVALUE($A127),'recurring1_based on steps'!AO$1:AO$400,0)),AO$2,)</f>
        <v>0</v>
      </c>
      <c r="AP127" s="140">
        <f ca="1">IF(ISNUMBER(MATCH(DATEVALUE($A127),'recurring1_based on steps'!AP$1:AP$400,0)),AP$2,)</f>
        <v>0</v>
      </c>
      <c r="AQ127" s="140">
        <f ca="1">IF(ISNUMBER(MATCH(DATEVALUE($A127),'recurring1_based on steps'!AQ$1:AQ$400,0)),AQ$2,)</f>
        <v>0</v>
      </c>
      <c r="AR127" s="140">
        <f ca="1">IF(ISNUMBER(MATCH(DATEVALUE($A127),'recurring1_based on steps'!AR$1:AR$400,0)),AR$2,)</f>
        <v>0</v>
      </c>
      <c r="AS127" s="140">
        <f ca="1">IF(ISNUMBER(MATCH(DATEVALUE($A127),'recurring1_based on steps'!AS$1:AS$400,0)),AS$2,)</f>
        <v>0</v>
      </c>
      <c r="AT127" s="140">
        <f ca="1">IF(ISNUMBER(MATCH(DATEVALUE($A127),'recurring1_based on steps'!AT$1:AT$400,0)),AT$2,)</f>
        <v>0</v>
      </c>
      <c r="AU127" s="140">
        <f ca="1">IF(ISNUMBER(MATCH(DATEVALUE($A127),'recurring1_based on steps'!AU$1:AU$400,0)),AU$2,)</f>
        <v>0</v>
      </c>
      <c r="AV127" s="140">
        <f ca="1">IF(ISNUMBER(MATCH(DATEVALUE($A127),'recurring1_based on steps'!AV$1:AV$400,0)),AV$2,)</f>
        <v>0</v>
      </c>
      <c r="AW127" s="140">
        <f ca="1">IF(ISNUMBER(MATCH(DATEVALUE($A127),'recurring1_based on steps'!AW$1:AW$400,0)),AW$2,)</f>
        <v>0</v>
      </c>
      <c r="AX127" s="140">
        <f ca="1">IF(ISNUMBER(MATCH(DATEVALUE($A127),'recurring1_based on steps'!AX$1:AX$400,0)),AX$2,)</f>
        <v>0</v>
      </c>
      <c r="AY127" s="140">
        <f ca="1">IF(ISNUMBER(MATCH(DATEVALUE($A127),'recurring1_based on steps'!AY$1:AY$400,0)),AY$2,)</f>
        <v>0</v>
      </c>
    </row>
    <row r="128" spans="1:51" x14ac:dyDescent="0.2">
      <c r="A128" s="29" t="str">
        <f t="shared" ca="1" si="1"/>
        <v>2025-07-30</v>
      </c>
      <c r="B128" s="140">
        <f ca="1">IF(ISNUMBER(MATCH(DATEVALUE($A128),'recurring1_based on steps'!B$1:B$400,0)),B$2,)</f>
        <v>0</v>
      </c>
      <c r="C128" s="140">
        <f ca="1">IF(ISNUMBER(MATCH(DATEVALUE($A128),'recurring1_based on steps'!C$1:C$400,0)),C$2,)</f>
        <v>0</v>
      </c>
      <c r="D128" s="140">
        <f ca="1">IF(ISNUMBER(MATCH(DATEVALUE($A128),'recurring1_based on steps'!D$1:D$400,0)),D$2,)</f>
        <v>0</v>
      </c>
      <c r="E128" s="140">
        <f ca="1">IF(ISNUMBER(MATCH(DATEVALUE($A128),'recurring1_based on steps'!E$1:E$400,0)),E$2,)</f>
        <v>0</v>
      </c>
      <c r="F128" s="140">
        <f ca="1">IF(ISNUMBER(MATCH(DATEVALUE($A128),'recurring1_based on steps'!F$1:F$400,0)),F$2,)</f>
        <v>0</v>
      </c>
      <c r="G128" s="140">
        <f ca="1">IF(ISNUMBER(MATCH(DATEVALUE($A128),'recurring1_based on steps'!G$1:G$400,0)),G$2,)</f>
        <v>0</v>
      </c>
      <c r="H128" s="140">
        <f ca="1">IF(ISNUMBER(MATCH(DATEVALUE($A128),'recurring1_based on steps'!H$1:H$400,0)),H$2,)</f>
        <v>0</v>
      </c>
      <c r="I128" s="140">
        <f ca="1">IF(ISNUMBER(MATCH(DATEVALUE($A128),'recurring1_based on steps'!I$1:I$400,0)),I$2,)</f>
        <v>0</v>
      </c>
      <c r="J128" s="140">
        <f ca="1">IF(ISNUMBER(MATCH(DATEVALUE($A128),'recurring1_based on steps'!J$1:J$400,0)),J$2,)</f>
        <v>0</v>
      </c>
      <c r="K128" s="140">
        <f ca="1">IF(ISNUMBER(MATCH(DATEVALUE($A128),'recurring1_based on steps'!K$1:K$400,0)),K$2,)</f>
        <v>0</v>
      </c>
      <c r="L128" s="140">
        <f ca="1">IF(ISNUMBER(MATCH(DATEVALUE($A128),'recurring1_based on steps'!L$1:L$400,0)),L$2,)</f>
        <v>0</v>
      </c>
      <c r="M128" s="140">
        <f ca="1">IF(ISNUMBER(MATCH(DATEVALUE($A128),'recurring1_based on steps'!M$1:M$400,0)),M$2,)</f>
        <v>0</v>
      </c>
      <c r="N128" s="140">
        <f ca="1">IF(ISNUMBER(MATCH(DATEVALUE($A128),'recurring1_based on steps'!N$1:N$400,0)),N$2,)</f>
        <v>0</v>
      </c>
      <c r="O128" s="140">
        <f ca="1">IF(ISNUMBER(MATCH(DATEVALUE($A128),'recurring1_based on steps'!O$1:O$400,0)),O$2,)</f>
        <v>0</v>
      </c>
      <c r="P128" s="140">
        <f ca="1">IF(ISNUMBER(MATCH(DATEVALUE($A128),'recurring1_based on steps'!P$1:P$400,0)),P$2,)</f>
        <v>0</v>
      </c>
      <c r="Q128" s="140">
        <f ca="1">IF(ISNUMBER(MATCH(DATEVALUE($A128),'recurring1_based on steps'!Q$1:Q$400,0)),Q$2,)</f>
        <v>0</v>
      </c>
      <c r="R128" s="140">
        <f ca="1">IF(ISNUMBER(MATCH(DATEVALUE($A128),'recurring1_based on steps'!R$1:R$400,0)),R$2,)</f>
        <v>0</v>
      </c>
      <c r="S128" s="140">
        <f ca="1">IF(ISNUMBER(MATCH(DATEVALUE($A128),'recurring1_based on steps'!S$1:S$400,0)),S$2,)</f>
        <v>0</v>
      </c>
      <c r="T128" s="140">
        <f ca="1">IF(ISNUMBER(MATCH(DATEVALUE($A128),'recurring1_based on steps'!T$1:T$400,0)),T$2,)</f>
        <v>0</v>
      </c>
      <c r="U128" s="140">
        <f ca="1">IF(ISNUMBER(MATCH(DATEVALUE($A128),'recurring1_based on steps'!U$1:U$400,0)),U$2,)</f>
        <v>0</v>
      </c>
      <c r="V128" s="140">
        <f ca="1">IF(ISNUMBER(MATCH(DATEVALUE($A128),'recurring1_based on steps'!V$1:V$400,0)),V$2,)</f>
        <v>0</v>
      </c>
      <c r="W128" s="140">
        <f ca="1">IF(ISNUMBER(MATCH(DATEVALUE($A128),'recurring1_based on steps'!W$1:W$400,0)),W$2,)</f>
        <v>0</v>
      </c>
      <c r="X128" s="140">
        <f ca="1">IF(ISNUMBER(MATCH(DATEVALUE($A128),'recurring1_based on steps'!X$1:X$400,0)),X$2,)</f>
        <v>0</v>
      </c>
      <c r="Y128" s="140">
        <f ca="1">IF(ISNUMBER(MATCH(DATEVALUE($A128),'recurring1_based on steps'!Y$1:Y$400,0)),Y$2,)</f>
        <v>0</v>
      </c>
      <c r="Z128" s="140">
        <f ca="1">IF(ISNUMBER(MATCH(DATEVALUE($A128),'recurring1_based on steps'!Z$1:Z$400,0)),Z$2,)</f>
        <v>0</v>
      </c>
      <c r="AA128" s="140">
        <f ca="1">IF(ISNUMBER(MATCH(DATEVALUE($A128),'recurring1_based on steps'!AA$1:AA$400,0)),AA$2,)</f>
        <v>0</v>
      </c>
      <c r="AB128" s="140">
        <f ca="1">IF(ISNUMBER(MATCH(DATEVALUE($A128),'recurring1_based on steps'!AB$1:AB$400,0)),AB$2,)</f>
        <v>5.5401662049861494E-2</v>
      </c>
      <c r="AC128" s="140">
        <f ca="1">IF(ISNUMBER(MATCH(DATEVALUE($A128),'recurring1_based on steps'!AC$1:AC$400,0)),AC$2,)</f>
        <v>0</v>
      </c>
      <c r="AD128" s="140">
        <f ca="1">IF(ISNUMBER(MATCH(DATEVALUE($A128),'recurring1_based on steps'!AD$1:AD$400,0)),AD$2,)</f>
        <v>0</v>
      </c>
      <c r="AE128" s="140">
        <f ca="1">IF(ISNUMBER(MATCH(DATEVALUE($A128),'recurring1_based on steps'!AE$1:AE$400,0)),AE$2,)</f>
        <v>0</v>
      </c>
      <c r="AF128" s="140">
        <f ca="1">IF(ISNUMBER(MATCH(DATEVALUE($A128),'recurring1_based on steps'!AF$1:AF$400,0)),AF$2,)</f>
        <v>0</v>
      </c>
      <c r="AG128" s="140">
        <f ca="1">IF(ISNUMBER(MATCH(DATEVALUE($A128),'recurring1_based on steps'!AG$1:AG$400,0)),AG$2,)</f>
        <v>0</v>
      </c>
      <c r="AH128" s="140">
        <f ca="1">IF(ISNUMBER(MATCH(DATEVALUE($A128),'recurring1_based on steps'!AH$1:AH$400,0)),AH$2,)</f>
        <v>0</v>
      </c>
      <c r="AI128" s="140">
        <f ca="1">IF(ISNUMBER(MATCH(DATEVALUE($A128),'recurring1_based on steps'!AI$1:AI$400,0)),AI$2,)</f>
        <v>0</v>
      </c>
      <c r="AJ128" s="140">
        <f ca="1">IF(ISNUMBER(MATCH(DATEVALUE($A128),'recurring1_based on steps'!AJ$1:AJ$400,0)),AJ$2,)</f>
        <v>0</v>
      </c>
      <c r="AK128" s="140">
        <f ca="1">IF(ISNUMBER(MATCH(DATEVALUE($A128),'recurring1_based on steps'!AK$1:AK$400,0)),AK$2,)</f>
        <v>0</v>
      </c>
      <c r="AL128" s="140">
        <f ca="1">IF(ISNUMBER(MATCH(DATEVALUE($A128),'recurring1_based on steps'!AL$1:AL$400,0)),AL$2,)</f>
        <v>0</v>
      </c>
      <c r="AM128" s="140">
        <f ca="1">IF(ISNUMBER(MATCH(DATEVALUE($A128),'recurring1_based on steps'!AM$1:AM$400,0)),AM$2,)</f>
        <v>0</v>
      </c>
      <c r="AN128" s="140">
        <f ca="1">IF(ISNUMBER(MATCH(DATEVALUE($A128),'recurring1_based on steps'!AN$1:AN$400,0)),AN$2,)</f>
        <v>0</v>
      </c>
      <c r="AO128" s="140">
        <f ca="1">IF(ISNUMBER(MATCH(DATEVALUE($A128),'recurring1_based on steps'!AO$1:AO$400,0)),AO$2,)</f>
        <v>0</v>
      </c>
      <c r="AP128" s="140">
        <f ca="1">IF(ISNUMBER(MATCH(DATEVALUE($A128),'recurring1_based on steps'!AP$1:AP$400,0)),AP$2,)</f>
        <v>0</v>
      </c>
      <c r="AQ128" s="140">
        <f ca="1">IF(ISNUMBER(MATCH(DATEVALUE($A128),'recurring1_based on steps'!AQ$1:AQ$400,0)),AQ$2,)</f>
        <v>0</v>
      </c>
      <c r="AR128" s="140">
        <f ca="1">IF(ISNUMBER(MATCH(DATEVALUE($A128),'recurring1_based on steps'!AR$1:AR$400,0)),AR$2,)</f>
        <v>0</v>
      </c>
      <c r="AS128" s="140">
        <f ca="1">IF(ISNUMBER(MATCH(DATEVALUE($A128),'recurring1_based on steps'!AS$1:AS$400,0)),AS$2,)</f>
        <v>0</v>
      </c>
      <c r="AT128" s="140">
        <f ca="1">IF(ISNUMBER(MATCH(DATEVALUE($A128),'recurring1_based on steps'!AT$1:AT$400,0)),AT$2,)</f>
        <v>0</v>
      </c>
      <c r="AU128" s="140">
        <f ca="1">IF(ISNUMBER(MATCH(DATEVALUE($A128),'recurring1_based on steps'!AU$1:AU$400,0)),AU$2,)</f>
        <v>0</v>
      </c>
      <c r="AV128" s="140">
        <f ca="1">IF(ISNUMBER(MATCH(DATEVALUE($A128),'recurring1_based on steps'!AV$1:AV$400,0)),AV$2,)</f>
        <v>0</v>
      </c>
      <c r="AW128" s="140">
        <f ca="1">IF(ISNUMBER(MATCH(DATEVALUE($A128),'recurring1_based on steps'!AW$1:AW$400,0)),AW$2,)</f>
        <v>0</v>
      </c>
      <c r="AX128" s="140">
        <f ca="1">IF(ISNUMBER(MATCH(DATEVALUE($A128),'recurring1_based on steps'!AX$1:AX$400,0)),AX$2,)</f>
        <v>0</v>
      </c>
      <c r="AY128" s="140">
        <f ca="1">IF(ISNUMBER(MATCH(DATEVALUE($A128),'recurring1_based on steps'!AY$1:AY$400,0)),AY$2,)</f>
        <v>0</v>
      </c>
    </row>
    <row r="129" spans="1:51" x14ac:dyDescent="0.2">
      <c r="A129" s="29" t="str">
        <f t="shared" ca="1" si="1"/>
        <v>2025-07-31</v>
      </c>
      <c r="B129" s="140">
        <f ca="1">IF(ISNUMBER(MATCH(DATEVALUE($A129),'recurring1_based on steps'!B$1:B$400,0)),B$2,)</f>
        <v>0</v>
      </c>
      <c r="C129" s="140">
        <f ca="1">IF(ISNUMBER(MATCH(DATEVALUE($A129),'recurring1_based on steps'!C$1:C$400,0)),C$2,)</f>
        <v>0</v>
      </c>
      <c r="D129" s="140">
        <f ca="1">IF(ISNUMBER(MATCH(DATEVALUE($A129),'recurring1_based on steps'!D$1:D$400,0)),D$2,)</f>
        <v>0</v>
      </c>
      <c r="E129" s="140">
        <f ca="1">IF(ISNUMBER(MATCH(DATEVALUE($A129),'recurring1_based on steps'!E$1:E$400,0)),E$2,)</f>
        <v>0</v>
      </c>
      <c r="F129" s="140">
        <f ca="1">IF(ISNUMBER(MATCH(DATEVALUE($A129),'recurring1_based on steps'!F$1:F$400,0)),F$2,)</f>
        <v>0</v>
      </c>
      <c r="G129" s="140">
        <f ca="1">IF(ISNUMBER(MATCH(DATEVALUE($A129),'recurring1_based on steps'!G$1:G$400,0)),G$2,)</f>
        <v>0</v>
      </c>
      <c r="H129" s="140">
        <f ca="1">IF(ISNUMBER(MATCH(DATEVALUE($A129),'recurring1_based on steps'!H$1:H$400,0)),H$2,)</f>
        <v>40</v>
      </c>
      <c r="I129" s="140">
        <f ca="1">IF(ISNUMBER(MATCH(DATEVALUE($A129),'recurring1_based on steps'!I$1:I$400,0)),I$2,)</f>
        <v>0</v>
      </c>
      <c r="J129" s="140">
        <f ca="1">IF(ISNUMBER(MATCH(DATEVALUE($A129),'recurring1_based on steps'!J$1:J$400,0)),J$2,)</f>
        <v>0</v>
      </c>
      <c r="K129" s="140">
        <f ca="1">IF(ISNUMBER(MATCH(DATEVALUE($A129),'recurring1_based on steps'!K$1:K$400,0)),K$2,)</f>
        <v>0</v>
      </c>
      <c r="L129" s="140">
        <f ca="1">IF(ISNUMBER(MATCH(DATEVALUE($A129),'recurring1_based on steps'!L$1:L$400,0)),L$2,)</f>
        <v>0</v>
      </c>
      <c r="M129" s="140">
        <f ca="1">IF(ISNUMBER(MATCH(DATEVALUE($A129),'recurring1_based on steps'!M$1:M$400,0)),M$2,)</f>
        <v>0</v>
      </c>
      <c r="N129" s="140">
        <f ca="1">IF(ISNUMBER(MATCH(DATEVALUE($A129),'recurring1_based on steps'!N$1:N$400,0)),N$2,)</f>
        <v>0</v>
      </c>
      <c r="O129" s="140">
        <f ca="1">IF(ISNUMBER(MATCH(DATEVALUE($A129),'recurring1_based on steps'!O$1:O$400,0)),O$2,)</f>
        <v>0</v>
      </c>
      <c r="P129" s="140">
        <f ca="1">IF(ISNUMBER(MATCH(DATEVALUE($A129),'recurring1_based on steps'!P$1:P$400,0)),P$2,)</f>
        <v>0</v>
      </c>
      <c r="Q129" s="140">
        <f ca="1">IF(ISNUMBER(MATCH(DATEVALUE($A129),'recurring1_based on steps'!Q$1:Q$400,0)),Q$2,)</f>
        <v>0</v>
      </c>
      <c r="R129" s="140">
        <f ca="1">IF(ISNUMBER(MATCH(DATEVALUE($A129),'recurring1_based on steps'!R$1:R$400,0)),R$2,)</f>
        <v>0</v>
      </c>
      <c r="S129" s="140">
        <f ca="1">IF(ISNUMBER(MATCH(DATEVALUE($A129),'recurring1_based on steps'!S$1:S$400,0)),S$2,)</f>
        <v>0</v>
      </c>
      <c r="T129" s="140">
        <f ca="1">IF(ISNUMBER(MATCH(DATEVALUE($A129),'recurring1_based on steps'!T$1:T$400,0)),T$2,)</f>
        <v>0</v>
      </c>
      <c r="U129" s="140">
        <f ca="1">IF(ISNUMBER(MATCH(DATEVALUE($A129),'recurring1_based on steps'!U$1:U$400,0)),U$2,)</f>
        <v>0</v>
      </c>
      <c r="V129" s="140">
        <f ca="1">IF(ISNUMBER(MATCH(DATEVALUE($A129),'recurring1_based on steps'!V$1:V$400,0)),V$2,)</f>
        <v>0</v>
      </c>
      <c r="W129" s="140">
        <f ca="1">IF(ISNUMBER(MATCH(DATEVALUE($A129),'recurring1_based on steps'!W$1:W$400,0)),W$2,)</f>
        <v>100</v>
      </c>
      <c r="X129" s="140">
        <f ca="1">IF(ISNUMBER(MATCH(DATEVALUE($A129),'recurring1_based on steps'!X$1:X$400,0)),X$2,)</f>
        <v>0</v>
      </c>
      <c r="Y129" s="140">
        <f ca="1">IF(ISNUMBER(MATCH(DATEVALUE($A129),'recurring1_based on steps'!Y$1:Y$400,0)),Y$2,)</f>
        <v>0</v>
      </c>
      <c r="Z129" s="140">
        <f ca="1">IF(ISNUMBER(MATCH(DATEVALUE($A129),'recurring1_based on steps'!Z$1:Z$400,0)),Z$2,)</f>
        <v>0</v>
      </c>
      <c r="AA129" s="140">
        <f ca="1">IF(ISNUMBER(MATCH(DATEVALUE($A129),'recurring1_based on steps'!AA$1:AA$400,0)),AA$2,)</f>
        <v>0</v>
      </c>
      <c r="AB129" s="140">
        <f ca="1">IF(ISNUMBER(MATCH(DATEVALUE($A129),'recurring1_based on steps'!AB$1:AB$400,0)),AB$2,)</f>
        <v>5.5401662049861494E-2</v>
      </c>
      <c r="AC129" s="140">
        <f ca="1">IF(ISNUMBER(MATCH(DATEVALUE($A129),'recurring1_based on steps'!AC$1:AC$400,0)),AC$2,)</f>
        <v>0</v>
      </c>
      <c r="AD129" s="140">
        <f ca="1">IF(ISNUMBER(MATCH(DATEVALUE($A129),'recurring1_based on steps'!AD$1:AD$400,0)),AD$2,)</f>
        <v>0</v>
      </c>
      <c r="AE129" s="140">
        <f ca="1">IF(ISNUMBER(MATCH(DATEVALUE($A129),'recurring1_based on steps'!AE$1:AE$400,0)),AE$2,)</f>
        <v>0</v>
      </c>
      <c r="AF129" s="140">
        <f ca="1">IF(ISNUMBER(MATCH(DATEVALUE($A129),'recurring1_based on steps'!AF$1:AF$400,0)),AF$2,)</f>
        <v>0</v>
      </c>
      <c r="AG129" s="140">
        <f ca="1">IF(ISNUMBER(MATCH(DATEVALUE($A129),'recurring1_based on steps'!AG$1:AG$400,0)),AG$2,)</f>
        <v>0</v>
      </c>
      <c r="AH129" s="140">
        <f ca="1">IF(ISNUMBER(MATCH(DATEVALUE($A129),'recurring1_based on steps'!AH$1:AH$400,0)),AH$2,)</f>
        <v>0</v>
      </c>
      <c r="AI129" s="140">
        <f ca="1">IF(ISNUMBER(MATCH(DATEVALUE($A129),'recurring1_based on steps'!AI$1:AI$400,0)),AI$2,)</f>
        <v>0</v>
      </c>
      <c r="AJ129" s="140">
        <f ca="1">IF(ISNUMBER(MATCH(DATEVALUE($A129),'recurring1_based on steps'!AJ$1:AJ$400,0)),AJ$2,)</f>
        <v>0</v>
      </c>
      <c r="AK129" s="140">
        <f ca="1">IF(ISNUMBER(MATCH(DATEVALUE($A129),'recurring1_based on steps'!AK$1:AK$400,0)),AK$2,)</f>
        <v>0</v>
      </c>
      <c r="AL129" s="140">
        <f ca="1">IF(ISNUMBER(MATCH(DATEVALUE($A129),'recurring1_based on steps'!AL$1:AL$400,0)),AL$2,)</f>
        <v>0</v>
      </c>
      <c r="AM129" s="140">
        <f ca="1">IF(ISNUMBER(MATCH(DATEVALUE($A129),'recurring1_based on steps'!AM$1:AM$400,0)),AM$2,)</f>
        <v>0</v>
      </c>
      <c r="AN129" s="140">
        <f ca="1">IF(ISNUMBER(MATCH(DATEVALUE($A129),'recurring1_based on steps'!AN$1:AN$400,0)),AN$2,)</f>
        <v>0</v>
      </c>
      <c r="AO129" s="140">
        <f ca="1">IF(ISNUMBER(MATCH(DATEVALUE($A129),'recurring1_based on steps'!AO$1:AO$400,0)),AO$2,)</f>
        <v>0</v>
      </c>
      <c r="AP129" s="140">
        <f ca="1">IF(ISNUMBER(MATCH(DATEVALUE($A129),'recurring1_based on steps'!AP$1:AP$400,0)),AP$2,)</f>
        <v>0</v>
      </c>
      <c r="AQ129" s="140">
        <f ca="1">IF(ISNUMBER(MATCH(DATEVALUE($A129),'recurring1_based on steps'!AQ$1:AQ$400,0)),AQ$2,)</f>
        <v>0</v>
      </c>
      <c r="AR129" s="140">
        <f ca="1">IF(ISNUMBER(MATCH(DATEVALUE($A129),'recurring1_based on steps'!AR$1:AR$400,0)),AR$2,)</f>
        <v>0</v>
      </c>
      <c r="AS129" s="140">
        <f ca="1">IF(ISNUMBER(MATCH(DATEVALUE($A129),'recurring1_based on steps'!AS$1:AS$400,0)),AS$2,)</f>
        <v>0</v>
      </c>
      <c r="AT129" s="140">
        <f ca="1">IF(ISNUMBER(MATCH(DATEVALUE($A129),'recurring1_based on steps'!AT$1:AT$400,0)),AT$2,)</f>
        <v>0</v>
      </c>
      <c r="AU129" s="140">
        <f ca="1">IF(ISNUMBER(MATCH(DATEVALUE($A129),'recurring1_based on steps'!AU$1:AU$400,0)),AU$2,)</f>
        <v>0</v>
      </c>
      <c r="AV129" s="140">
        <f ca="1">IF(ISNUMBER(MATCH(DATEVALUE($A129),'recurring1_based on steps'!AV$1:AV$400,0)),AV$2,)</f>
        <v>0</v>
      </c>
      <c r="AW129" s="140">
        <f ca="1">IF(ISNUMBER(MATCH(DATEVALUE($A129),'recurring1_based on steps'!AW$1:AW$400,0)),AW$2,)</f>
        <v>0</v>
      </c>
      <c r="AX129" s="140">
        <f ca="1">IF(ISNUMBER(MATCH(DATEVALUE($A129),'recurring1_based on steps'!AX$1:AX$400,0)),AX$2,)</f>
        <v>0</v>
      </c>
      <c r="AY129" s="140">
        <f ca="1">IF(ISNUMBER(MATCH(DATEVALUE($A129),'recurring1_based on steps'!AY$1:AY$400,0)),AY$2,)</f>
        <v>0</v>
      </c>
    </row>
    <row r="130" spans="1:51" x14ac:dyDescent="0.2">
      <c r="A130" s="29" t="str">
        <f t="shared" ca="1" si="1"/>
        <v>2025-08-01</v>
      </c>
      <c r="B130" s="140">
        <f ca="1">IF(ISNUMBER(MATCH(DATEVALUE($A130),'recurring1_based on steps'!B$1:B$400,0)),B$2,)</f>
        <v>0</v>
      </c>
      <c r="C130" s="140">
        <f ca="1">IF(ISNUMBER(MATCH(DATEVALUE($A130),'recurring1_based on steps'!C$1:C$400,0)),C$2,)</f>
        <v>0</v>
      </c>
      <c r="D130" s="140">
        <f ca="1">IF(ISNUMBER(MATCH(DATEVALUE($A130),'recurring1_based on steps'!D$1:D$400,0)),D$2,)</f>
        <v>0</v>
      </c>
      <c r="E130" s="140">
        <f ca="1">IF(ISNUMBER(MATCH(DATEVALUE($A130),'recurring1_based on steps'!E$1:E$400,0)),E$2,)</f>
        <v>0</v>
      </c>
      <c r="F130" s="140">
        <f ca="1">IF(ISNUMBER(MATCH(DATEVALUE($A130),'recurring1_based on steps'!F$1:F$400,0)),F$2,)</f>
        <v>0</v>
      </c>
      <c r="G130" s="140">
        <f ca="1">IF(ISNUMBER(MATCH(DATEVALUE($A130),'recurring1_based on steps'!G$1:G$400,0)),G$2,)</f>
        <v>0</v>
      </c>
      <c r="H130" s="140">
        <f ca="1">IF(ISNUMBER(MATCH(DATEVALUE($A130),'recurring1_based on steps'!H$1:H$400,0)),H$2,)</f>
        <v>0</v>
      </c>
      <c r="I130" s="140">
        <f ca="1">IF(ISNUMBER(MATCH(DATEVALUE($A130),'recurring1_based on steps'!I$1:I$400,0)),I$2,)</f>
        <v>2000</v>
      </c>
      <c r="J130" s="140">
        <f ca="1">IF(ISNUMBER(MATCH(DATEVALUE($A130),'recurring1_based on steps'!J$1:J$400,0)),J$2,)</f>
        <v>0</v>
      </c>
      <c r="K130" s="140">
        <f ca="1">IF(ISNUMBER(MATCH(DATEVALUE($A130),'recurring1_based on steps'!K$1:K$400,0)),K$2,)</f>
        <v>0</v>
      </c>
      <c r="L130" s="140">
        <f ca="1">IF(ISNUMBER(MATCH(DATEVALUE($A130),'recurring1_based on steps'!L$1:L$400,0)),L$2,)</f>
        <v>0</v>
      </c>
      <c r="M130" s="140">
        <f ca="1">IF(ISNUMBER(MATCH(DATEVALUE($A130),'recurring1_based on steps'!M$1:M$400,0)),M$2,)</f>
        <v>0</v>
      </c>
      <c r="N130" s="140">
        <f ca="1">IF(ISNUMBER(MATCH(DATEVALUE($A130),'recurring1_based on steps'!N$1:N$400,0)),N$2,)</f>
        <v>0</v>
      </c>
      <c r="O130" s="140">
        <f ca="1">IF(ISNUMBER(MATCH(DATEVALUE($A130),'recurring1_based on steps'!O$1:O$400,0)),O$2,)</f>
        <v>0</v>
      </c>
      <c r="P130" s="140">
        <f ca="1">IF(ISNUMBER(MATCH(DATEVALUE($A130),'recurring1_based on steps'!P$1:P$400,0)),P$2,)</f>
        <v>0</v>
      </c>
      <c r="Q130" s="140">
        <f ca="1">IF(ISNUMBER(MATCH(DATEVALUE($A130),'recurring1_based on steps'!Q$1:Q$400,0)),Q$2,)</f>
        <v>0</v>
      </c>
      <c r="R130" s="140">
        <f ca="1">IF(ISNUMBER(MATCH(DATEVALUE($A130),'recurring1_based on steps'!R$1:R$400,0)),R$2,)</f>
        <v>0</v>
      </c>
      <c r="S130" s="140">
        <f ca="1">IF(ISNUMBER(MATCH(DATEVALUE($A130),'recurring1_based on steps'!S$1:S$400,0)),S$2,)</f>
        <v>0</v>
      </c>
      <c r="T130" s="140">
        <f ca="1">IF(ISNUMBER(MATCH(DATEVALUE($A130),'recurring1_based on steps'!T$1:T$400,0)),T$2,)</f>
        <v>0</v>
      </c>
      <c r="U130" s="140">
        <f ca="1">IF(ISNUMBER(MATCH(DATEVALUE($A130),'recurring1_based on steps'!U$1:U$400,0)),U$2,)</f>
        <v>0</v>
      </c>
      <c r="V130" s="140">
        <f ca="1">IF(ISNUMBER(MATCH(DATEVALUE($A130),'recurring1_based on steps'!V$1:V$400,0)),V$2,)</f>
        <v>0</v>
      </c>
      <c r="W130" s="140">
        <f ca="1">IF(ISNUMBER(MATCH(DATEVALUE($A130),'recurring1_based on steps'!W$1:W$400,0)),W$2,)</f>
        <v>0</v>
      </c>
      <c r="X130" s="140">
        <f ca="1">IF(ISNUMBER(MATCH(DATEVALUE($A130),'recurring1_based on steps'!X$1:X$400,0)),X$2,)</f>
        <v>0</v>
      </c>
      <c r="Y130" s="140">
        <f ca="1">IF(ISNUMBER(MATCH(DATEVALUE($A130),'recurring1_based on steps'!Y$1:Y$400,0)),Y$2,)</f>
        <v>0</v>
      </c>
      <c r="Z130" s="140">
        <f ca="1">IF(ISNUMBER(MATCH(DATEVALUE($A130),'recurring1_based on steps'!Z$1:Z$400,0)),Z$2,)</f>
        <v>0</v>
      </c>
      <c r="AA130" s="140">
        <f ca="1">IF(ISNUMBER(MATCH(DATEVALUE($A130),'recurring1_based on steps'!AA$1:AA$400,0)),AA$2,)</f>
        <v>0</v>
      </c>
      <c r="AB130" s="140">
        <f ca="1">IF(ISNUMBER(MATCH(DATEVALUE($A130),'recurring1_based on steps'!AB$1:AB$400,0)),AB$2,)</f>
        <v>5.5401662049861494E-2</v>
      </c>
      <c r="AC130" s="140">
        <f ca="1">IF(ISNUMBER(MATCH(DATEVALUE($A130),'recurring1_based on steps'!AC$1:AC$400,0)),AC$2,)</f>
        <v>0</v>
      </c>
      <c r="AD130" s="140">
        <f ca="1">IF(ISNUMBER(MATCH(DATEVALUE($A130),'recurring1_based on steps'!AD$1:AD$400,0)),AD$2,)</f>
        <v>0</v>
      </c>
      <c r="AE130" s="140">
        <f ca="1">IF(ISNUMBER(MATCH(DATEVALUE($A130),'recurring1_based on steps'!AE$1:AE$400,0)),AE$2,)</f>
        <v>0</v>
      </c>
      <c r="AF130" s="140">
        <f ca="1">IF(ISNUMBER(MATCH(DATEVALUE($A130),'recurring1_based on steps'!AF$1:AF$400,0)),AF$2,)</f>
        <v>0</v>
      </c>
      <c r="AG130" s="140">
        <f ca="1">IF(ISNUMBER(MATCH(DATEVALUE($A130),'recurring1_based on steps'!AG$1:AG$400,0)),AG$2,)</f>
        <v>0</v>
      </c>
      <c r="AH130" s="140">
        <f ca="1">IF(ISNUMBER(MATCH(DATEVALUE($A130),'recurring1_based on steps'!AH$1:AH$400,0)),AH$2,)</f>
        <v>0</v>
      </c>
      <c r="AI130" s="140">
        <f ca="1">IF(ISNUMBER(MATCH(DATEVALUE($A130),'recurring1_based on steps'!AI$1:AI$400,0)),AI$2,)</f>
        <v>0</v>
      </c>
      <c r="AJ130" s="140">
        <f ca="1">IF(ISNUMBER(MATCH(DATEVALUE($A130),'recurring1_based on steps'!AJ$1:AJ$400,0)),AJ$2,)</f>
        <v>0</v>
      </c>
      <c r="AK130" s="140">
        <f ca="1">IF(ISNUMBER(MATCH(DATEVALUE($A130),'recurring1_based on steps'!AK$1:AK$400,0)),AK$2,)</f>
        <v>0</v>
      </c>
      <c r="AL130" s="140">
        <f ca="1">IF(ISNUMBER(MATCH(DATEVALUE($A130),'recurring1_based on steps'!AL$1:AL$400,0)),AL$2,)</f>
        <v>0</v>
      </c>
      <c r="AM130" s="140">
        <f ca="1">IF(ISNUMBER(MATCH(DATEVALUE($A130),'recurring1_based on steps'!AM$1:AM$400,0)),AM$2,)</f>
        <v>0</v>
      </c>
      <c r="AN130" s="140">
        <f ca="1">IF(ISNUMBER(MATCH(DATEVALUE($A130),'recurring1_based on steps'!AN$1:AN$400,0)),AN$2,)</f>
        <v>0</v>
      </c>
      <c r="AO130" s="140">
        <f ca="1">IF(ISNUMBER(MATCH(DATEVALUE($A130),'recurring1_based on steps'!AO$1:AO$400,0)),AO$2,)</f>
        <v>0</v>
      </c>
      <c r="AP130" s="140">
        <f ca="1">IF(ISNUMBER(MATCH(DATEVALUE($A130),'recurring1_based on steps'!AP$1:AP$400,0)),AP$2,)</f>
        <v>0</v>
      </c>
      <c r="AQ130" s="140">
        <f ca="1">IF(ISNUMBER(MATCH(DATEVALUE($A130),'recurring1_based on steps'!AQ$1:AQ$400,0)),AQ$2,)</f>
        <v>0</v>
      </c>
      <c r="AR130" s="140">
        <f ca="1">IF(ISNUMBER(MATCH(DATEVALUE($A130),'recurring1_based on steps'!AR$1:AR$400,0)),AR$2,)</f>
        <v>0</v>
      </c>
      <c r="AS130" s="140">
        <f ca="1">IF(ISNUMBER(MATCH(DATEVALUE($A130),'recurring1_based on steps'!AS$1:AS$400,0)),AS$2,)</f>
        <v>0</v>
      </c>
      <c r="AT130" s="140">
        <f ca="1">IF(ISNUMBER(MATCH(DATEVALUE($A130),'recurring1_based on steps'!AT$1:AT$400,0)),AT$2,)</f>
        <v>0</v>
      </c>
      <c r="AU130" s="140">
        <f ca="1">IF(ISNUMBER(MATCH(DATEVALUE($A130),'recurring1_based on steps'!AU$1:AU$400,0)),AU$2,)</f>
        <v>0</v>
      </c>
      <c r="AV130" s="140">
        <f ca="1">IF(ISNUMBER(MATCH(DATEVALUE($A130),'recurring1_based on steps'!AV$1:AV$400,0)),AV$2,)</f>
        <v>0</v>
      </c>
      <c r="AW130" s="140">
        <f ca="1">IF(ISNUMBER(MATCH(DATEVALUE($A130),'recurring1_based on steps'!AW$1:AW$400,0)),AW$2,)</f>
        <v>0</v>
      </c>
      <c r="AX130" s="140">
        <f ca="1">IF(ISNUMBER(MATCH(DATEVALUE($A130),'recurring1_based on steps'!AX$1:AX$400,0)),AX$2,)</f>
        <v>0</v>
      </c>
      <c r="AY130" s="140">
        <f ca="1">IF(ISNUMBER(MATCH(DATEVALUE($A130),'recurring1_based on steps'!AY$1:AY$400,0)),AY$2,)</f>
        <v>0</v>
      </c>
    </row>
    <row r="131" spans="1:51" x14ac:dyDescent="0.2">
      <c r="A131" s="29" t="str">
        <f t="shared" ca="1" si="1"/>
        <v>2025-08-02</v>
      </c>
      <c r="B131" s="140">
        <f ca="1">IF(ISNUMBER(MATCH(DATEVALUE($A131),'recurring1_based on steps'!B$1:B$400,0)),B$2,)</f>
        <v>0</v>
      </c>
      <c r="C131" s="140">
        <f ca="1">IF(ISNUMBER(MATCH(DATEVALUE($A131),'recurring1_based on steps'!C$1:C$400,0)),C$2,)</f>
        <v>0</v>
      </c>
      <c r="D131" s="140">
        <f ca="1">IF(ISNUMBER(MATCH(DATEVALUE($A131),'recurring1_based on steps'!D$1:D$400,0)),D$2,)</f>
        <v>0</v>
      </c>
      <c r="E131" s="140">
        <f ca="1">IF(ISNUMBER(MATCH(DATEVALUE($A131),'recurring1_based on steps'!E$1:E$400,0)),E$2,)</f>
        <v>0</v>
      </c>
      <c r="F131" s="140">
        <f ca="1">IF(ISNUMBER(MATCH(DATEVALUE($A131),'recurring1_based on steps'!F$1:F$400,0)),F$2,)</f>
        <v>0</v>
      </c>
      <c r="G131" s="140">
        <f ca="1">IF(ISNUMBER(MATCH(DATEVALUE($A131),'recurring1_based on steps'!G$1:G$400,0)),G$2,)</f>
        <v>0</v>
      </c>
      <c r="H131" s="140">
        <f ca="1">IF(ISNUMBER(MATCH(DATEVALUE($A131),'recurring1_based on steps'!H$1:H$400,0)),H$2,)</f>
        <v>0</v>
      </c>
      <c r="I131" s="140">
        <f ca="1">IF(ISNUMBER(MATCH(DATEVALUE($A131),'recurring1_based on steps'!I$1:I$400,0)),I$2,)</f>
        <v>0</v>
      </c>
      <c r="J131" s="140">
        <f ca="1">IF(ISNUMBER(MATCH(DATEVALUE($A131),'recurring1_based on steps'!J$1:J$400,0)),J$2,)</f>
        <v>0</v>
      </c>
      <c r="K131" s="140">
        <f ca="1">IF(ISNUMBER(MATCH(DATEVALUE($A131),'recurring1_based on steps'!K$1:K$400,0)),K$2,)</f>
        <v>0</v>
      </c>
      <c r="L131" s="140">
        <f ca="1">IF(ISNUMBER(MATCH(DATEVALUE($A131),'recurring1_based on steps'!L$1:L$400,0)),L$2,)</f>
        <v>0</v>
      </c>
      <c r="M131" s="140">
        <f ca="1">IF(ISNUMBER(MATCH(DATEVALUE($A131),'recurring1_based on steps'!M$1:M$400,0)),M$2,)</f>
        <v>0</v>
      </c>
      <c r="N131" s="140">
        <f ca="1">IF(ISNUMBER(MATCH(DATEVALUE($A131),'recurring1_based on steps'!N$1:N$400,0)),N$2,)</f>
        <v>0</v>
      </c>
      <c r="O131" s="140">
        <f ca="1">IF(ISNUMBER(MATCH(DATEVALUE($A131),'recurring1_based on steps'!O$1:O$400,0)),O$2,)</f>
        <v>0</v>
      </c>
      <c r="P131" s="140">
        <f ca="1">IF(ISNUMBER(MATCH(DATEVALUE($A131),'recurring1_based on steps'!P$1:P$400,0)),P$2,)</f>
        <v>0</v>
      </c>
      <c r="Q131" s="140">
        <f ca="1">IF(ISNUMBER(MATCH(DATEVALUE($A131),'recurring1_based on steps'!Q$1:Q$400,0)),Q$2,)</f>
        <v>100</v>
      </c>
      <c r="R131" s="140">
        <f ca="1">IF(ISNUMBER(MATCH(DATEVALUE($A131),'recurring1_based on steps'!R$1:R$400,0)),R$2,)</f>
        <v>100</v>
      </c>
      <c r="S131" s="140">
        <f ca="1">IF(ISNUMBER(MATCH(DATEVALUE($A131),'recurring1_based on steps'!S$1:S$400,0)),S$2,)</f>
        <v>0</v>
      </c>
      <c r="T131" s="140">
        <f ca="1">IF(ISNUMBER(MATCH(DATEVALUE($A131),'recurring1_based on steps'!T$1:T$400,0)),T$2,)</f>
        <v>0</v>
      </c>
      <c r="U131" s="140">
        <f ca="1">IF(ISNUMBER(MATCH(DATEVALUE($A131),'recurring1_based on steps'!U$1:U$400,0)),U$2,)</f>
        <v>0</v>
      </c>
      <c r="V131" s="140">
        <f ca="1">IF(ISNUMBER(MATCH(DATEVALUE($A131),'recurring1_based on steps'!V$1:V$400,0)),V$2,)</f>
        <v>0</v>
      </c>
      <c r="W131" s="140">
        <f ca="1">IF(ISNUMBER(MATCH(DATEVALUE($A131),'recurring1_based on steps'!W$1:W$400,0)),W$2,)</f>
        <v>0</v>
      </c>
      <c r="X131" s="140">
        <f ca="1">IF(ISNUMBER(MATCH(DATEVALUE($A131),'recurring1_based on steps'!X$1:X$400,0)),X$2,)</f>
        <v>0</v>
      </c>
      <c r="Y131" s="140">
        <f ca="1">IF(ISNUMBER(MATCH(DATEVALUE($A131),'recurring1_based on steps'!Y$1:Y$400,0)),Y$2,)</f>
        <v>0</v>
      </c>
      <c r="Z131" s="140">
        <f ca="1">IF(ISNUMBER(MATCH(DATEVALUE($A131),'recurring1_based on steps'!Z$1:Z$400,0)),Z$2,)</f>
        <v>0</v>
      </c>
      <c r="AA131" s="140">
        <f ca="1">IF(ISNUMBER(MATCH(DATEVALUE($A131),'recurring1_based on steps'!AA$1:AA$400,0)),AA$2,)</f>
        <v>0</v>
      </c>
      <c r="AB131" s="140">
        <f ca="1">IF(ISNUMBER(MATCH(DATEVALUE($A131),'recurring1_based on steps'!AB$1:AB$400,0)),AB$2,)</f>
        <v>5.5401662049861494E-2</v>
      </c>
      <c r="AC131" s="140">
        <f ca="1">IF(ISNUMBER(MATCH(DATEVALUE($A131),'recurring1_based on steps'!AC$1:AC$400,0)),AC$2,)</f>
        <v>0</v>
      </c>
      <c r="AD131" s="140">
        <f ca="1">IF(ISNUMBER(MATCH(DATEVALUE($A131),'recurring1_based on steps'!AD$1:AD$400,0)),AD$2,)</f>
        <v>0</v>
      </c>
      <c r="AE131" s="140">
        <f ca="1">IF(ISNUMBER(MATCH(DATEVALUE($A131),'recurring1_based on steps'!AE$1:AE$400,0)),AE$2,)</f>
        <v>0</v>
      </c>
      <c r="AF131" s="140">
        <f ca="1">IF(ISNUMBER(MATCH(DATEVALUE($A131),'recurring1_based on steps'!AF$1:AF$400,0)),AF$2,)</f>
        <v>0</v>
      </c>
      <c r="AG131" s="140">
        <f ca="1">IF(ISNUMBER(MATCH(DATEVALUE($A131),'recurring1_based on steps'!AG$1:AG$400,0)),AG$2,)</f>
        <v>0</v>
      </c>
      <c r="AH131" s="140">
        <f ca="1">IF(ISNUMBER(MATCH(DATEVALUE($A131),'recurring1_based on steps'!AH$1:AH$400,0)),AH$2,)</f>
        <v>0</v>
      </c>
      <c r="AI131" s="140">
        <f ca="1">IF(ISNUMBER(MATCH(DATEVALUE($A131),'recurring1_based on steps'!AI$1:AI$400,0)),AI$2,)</f>
        <v>0</v>
      </c>
      <c r="AJ131" s="140">
        <f ca="1">IF(ISNUMBER(MATCH(DATEVALUE($A131),'recurring1_based on steps'!AJ$1:AJ$400,0)),AJ$2,)</f>
        <v>0</v>
      </c>
      <c r="AK131" s="140">
        <f ca="1">IF(ISNUMBER(MATCH(DATEVALUE($A131),'recurring1_based on steps'!AK$1:AK$400,0)),AK$2,)</f>
        <v>0</v>
      </c>
      <c r="AL131" s="140">
        <f ca="1">IF(ISNUMBER(MATCH(DATEVALUE($A131),'recurring1_based on steps'!AL$1:AL$400,0)),AL$2,)</f>
        <v>0</v>
      </c>
      <c r="AM131" s="140">
        <f ca="1">IF(ISNUMBER(MATCH(DATEVALUE($A131),'recurring1_based on steps'!AM$1:AM$400,0)),AM$2,)</f>
        <v>0</v>
      </c>
      <c r="AN131" s="140">
        <f ca="1">IF(ISNUMBER(MATCH(DATEVALUE($A131),'recurring1_based on steps'!AN$1:AN$400,0)),AN$2,)</f>
        <v>0</v>
      </c>
      <c r="AO131" s="140">
        <f ca="1">IF(ISNUMBER(MATCH(DATEVALUE($A131),'recurring1_based on steps'!AO$1:AO$400,0)),AO$2,)</f>
        <v>0</v>
      </c>
      <c r="AP131" s="140">
        <f ca="1">IF(ISNUMBER(MATCH(DATEVALUE($A131),'recurring1_based on steps'!AP$1:AP$400,0)),AP$2,)</f>
        <v>0</v>
      </c>
      <c r="AQ131" s="140">
        <f ca="1">IF(ISNUMBER(MATCH(DATEVALUE($A131),'recurring1_based on steps'!AQ$1:AQ$400,0)),AQ$2,)</f>
        <v>0</v>
      </c>
      <c r="AR131" s="140">
        <f ca="1">IF(ISNUMBER(MATCH(DATEVALUE($A131),'recurring1_based on steps'!AR$1:AR$400,0)),AR$2,)</f>
        <v>0</v>
      </c>
      <c r="AS131" s="140">
        <f ca="1">IF(ISNUMBER(MATCH(DATEVALUE($A131),'recurring1_based on steps'!AS$1:AS$400,0)),AS$2,)</f>
        <v>0</v>
      </c>
      <c r="AT131" s="140">
        <f ca="1">IF(ISNUMBER(MATCH(DATEVALUE($A131),'recurring1_based on steps'!AT$1:AT$400,0)),AT$2,)</f>
        <v>0</v>
      </c>
      <c r="AU131" s="140">
        <f ca="1">IF(ISNUMBER(MATCH(DATEVALUE($A131),'recurring1_based on steps'!AU$1:AU$400,0)),AU$2,)</f>
        <v>0</v>
      </c>
      <c r="AV131" s="140">
        <f ca="1">IF(ISNUMBER(MATCH(DATEVALUE($A131),'recurring1_based on steps'!AV$1:AV$400,0)),AV$2,)</f>
        <v>0</v>
      </c>
      <c r="AW131" s="140">
        <f ca="1">IF(ISNUMBER(MATCH(DATEVALUE($A131),'recurring1_based on steps'!AW$1:AW$400,0)),AW$2,)</f>
        <v>0</v>
      </c>
      <c r="AX131" s="140">
        <f ca="1">IF(ISNUMBER(MATCH(DATEVALUE($A131),'recurring1_based on steps'!AX$1:AX$400,0)),AX$2,)</f>
        <v>0</v>
      </c>
      <c r="AY131" s="140">
        <f ca="1">IF(ISNUMBER(MATCH(DATEVALUE($A131),'recurring1_based on steps'!AY$1:AY$400,0)),AY$2,)</f>
        <v>0</v>
      </c>
    </row>
    <row r="132" spans="1:51" x14ac:dyDescent="0.2">
      <c r="A132" s="29" t="str">
        <f t="shared" ca="1" si="1"/>
        <v>2025-08-03</v>
      </c>
      <c r="B132" s="140">
        <f ca="1">IF(ISNUMBER(MATCH(DATEVALUE($A132),'recurring1_based on steps'!B$1:B$400,0)),B$2,)</f>
        <v>0</v>
      </c>
      <c r="C132" s="140">
        <f ca="1">IF(ISNUMBER(MATCH(DATEVALUE($A132),'recurring1_based on steps'!C$1:C$400,0)),C$2,)</f>
        <v>0</v>
      </c>
      <c r="D132" s="140">
        <f ca="1">IF(ISNUMBER(MATCH(DATEVALUE($A132),'recurring1_based on steps'!D$1:D$400,0)),D$2,)</f>
        <v>0</v>
      </c>
      <c r="E132" s="140">
        <f ca="1">IF(ISNUMBER(MATCH(DATEVALUE($A132),'recurring1_based on steps'!E$1:E$400,0)),E$2,)</f>
        <v>0</v>
      </c>
      <c r="F132" s="140">
        <f ca="1">IF(ISNUMBER(MATCH(DATEVALUE($A132),'recurring1_based on steps'!F$1:F$400,0)),F$2,)</f>
        <v>0</v>
      </c>
      <c r="G132" s="140">
        <f ca="1">IF(ISNUMBER(MATCH(DATEVALUE($A132),'recurring1_based on steps'!G$1:G$400,0)),G$2,)</f>
        <v>0</v>
      </c>
      <c r="H132" s="140">
        <f ca="1">IF(ISNUMBER(MATCH(DATEVALUE($A132),'recurring1_based on steps'!H$1:H$400,0)),H$2,)</f>
        <v>0</v>
      </c>
      <c r="I132" s="140">
        <f ca="1">IF(ISNUMBER(MATCH(DATEVALUE($A132),'recurring1_based on steps'!I$1:I$400,0)),I$2,)</f>
        <v>0</v>
      </c>
      <c r="J132" s="140">
        <f ca="1">IF(ISNUMBER(MATCH(DATEVALUE($A132),'recurring1_based on steps'!J$1:J$400,0)),J$2,)</f>
        <v>0</v>
      </c>
      <c r="K132" s="140">
        <f ca="1">IF(ISNUMBER(MATCH(DATEVALUE($A132),'recurring1_based on steps'!K$1:K$400,0)),K$2,)</f>
        <v>50</v>
      </c>
      <c r="L132" s="140">
        <f ca="1">IF(ISNUMBER(MATCH(DATEVALUE($A132),'recurring1_based on steps'!L$1:L$400,0)),L$2,)</f>
        <v>0</v>
      </c>
      <c r="M132" s="140">
        <f ca="1">IF(ISNUMBER(MATCH(DATEVALUE($A132),'recurring1_based on steps'!M$1:M$400,0)),M$2,)</f>
        <v>0</v>
      </c>
      <c r="N132" s="140">
        <f ca="1">IF(ISNUMBER(MATCH(DATEVALUE($A132),'recurring1_based on steps'!N$1:N$400,0)),N$2,)</f>
        <v>0</v>
      </c>
      <c r="O132" s="140">
        <f ca="1">IF(ISNUMBER(MATCH(DATEVALUE($A132),'recurring1_based on steps'!O$1:O$400,0)),O$2,)</f>
        <v>0</v>
      </c>
      <c r="P132" s="140">
        <f ca="1">IF(ISNUMBER(MATCH(DATEVALUE($A132),'recurring1_based on steps'!P$1:P$400,0)),P$2,)</f>
        <v>0</v>
      </c>
      <c r="Q132" s="140">
        <f ca="1">IF(ISNUMBER(MATCH(DATEVALUE($A132),'recurring1_based on steps'!Q$1:Q$400,0)),Q$2,)</f>
        <v>0</v>
      </c>
      <c r="R132" s="140">
        <f ca="1">IF(ISNUMBER(MATCH(DATEVALUE($A132),'recurring1_based on steps'!R$1:R$400,0)),R$2,)</f>
        <v>0</v>
      </c>
      <c r="S132" s="140">
        <f ca="1">IF(ISNUMBER(MATCH(DATEVALUE($A132),'recurring1_based on steps'!S$1:S$400,0)),S$2,)</f>
        <v>100</v>
      </c>
      <c r="T132" s="140">
        <f ca="1">IF(ISNUMBER(MATCH(DATEVALUE($A132),'recurring1_based on steps'!T$1:T$400,0)),T$2,)</f>
        <v>0</v>
      </c>
      <c r="U132" s="140">
        <f ca="1">IF(ISNUMBER(MATCH(DATEVALUE($A132),'recurring1_based on steps'!U$1:U$400,0)),U$2,)</f>
        <v>0</v>
      </c>
      <c r="V132" s="140">
        <f ca="1">IF(ISNUMBER(MATCH(DATEVALUE($A132),'recurring1_based on steps'!V$1:V$400,0)),V$2,)</f>
        <v>0</v>
      </c>
      <c r="W132" s="140">
        <f ca="1">IF(ISNUMBER(MATCH(DATEVALUE($A132),'recurring1_based on steps'!W$1:W$400,0)),W$2,)</f>
        <v>0</v>
      </c>
      <c r="X132" s="140">
        <f ca="1">IF(ISNUMBER(MATCH(DATEVALUE($A132),'recurring1_based on steps'!X$1:X$400,0)),X$2,)</f>
        <v>0</v>
      </c>
      <c r="Y132" s="140">
        <f ca="1">IF(ISNUMBER(MATCH(DATEVALUE($A132),'recurring1_based on steps'!Y$1:Y$400,0)),Y$2,)</f>
        <v>0</v>
      </c>
      <c r="Z132" s="140">
        <f ca="1">IF(ISNUMBER(MATCH(DATEVALUE($A132),'recurring1_based on steps'!Z$1:Z$400,0)),Z$2,)</f>
        <v>0</v>
      </c>
      <c r="AA132" s="140">
        <f ca="1">IF(ISNUMBER(MATCH(DATEVALUE($A132),'recurring1_based on steps'!AA$1:AA$400,0)),AA$2,)</f>
        <v>0</v>
      </c>
      <c r="AB132" s="140">
        <f ca="1">IF(ISNUMBER(MATCH(DATEVALUE($A132),'recurring1_based on steps'!AB$1:AB$400,0)),AB$2,)</f>
        <v>5.5401662049861494E-2</v>
      </c>
      <c r="AC132" s="140">
        <f ca="1">IF(ISNUMBER(MATCH(DATEVALUE($A132),'recurring1_based on steps'!AC$1:AC$400,0)),AC$2,)</f>
        <v>0</v>
      </c>
      <c r="AD132" s="140">
        <f ca="1">IF(ISNUMBER(MATCH(DATEVALUE($A132),'recurring1_based on steps'!AD$1:AD$400,0)),AD$2,)</f>
        <v>0</v>
      </c>
      <c r="AE132" s="140">
        <f ca="1">IF(ISNUMBER(MATCH(DATEVALUE($A132),'recurring1_based on steps'!AE$1:AE$400,0)),AE$2,)</f>
        <v>0</v>
      </c>
      <c r="AF132" s="140">
        <f ca="1">IF(ISNUMBER(MATCH(DATEVALUE($A132),'recurring1_based on steps'!AF$1:AF$400,0)),AF$2,)</f>
        <v>0</v>
      </c>
      <c r="AG132" s="140">
        <f ca="1">IF(ISNUMBER(MATCH(DATEVALUE($A132),'recurring1_based on steps'!AG$1:AG$400,0)),AG$2,)</f>
        <v>0</v>
      </c>
      <c r="AH132" s="140">
        <f ca="1">IF(ISNUMBER(MATCH(DATEVALUE($A132),'recurring1_based on steps'!AH$1:AH$400,0)),AH$2,)</f>
        <v>0</v>
      </c>
      <c r="AI132" s="140">
        <f ca="1">IF(ISNUMBER(MATCH(DATEVALUE($A132),'recurring1_based on steps'!AI$1:AI$400,0)),AI$2,)</f>
        <v>0</v>
      </c>
      <c r="AJ132" s="140">
        <f ca="1">IF(ISNUMBER(MATCH(DATEVALUE($A132),'recurring1_based on steps'!AJ$1:AJ$400,0)),AJ$2,)</f>
        <v>0</v>
      </c>
      <c r="AK132" s="140">
        <f ca="1">IF(ISNUMBER(MATCH(DATEVALUE($A132),'recurring1_based on steps'!AK$1:AK$400,0)),AK$2,)</f>
        <v>0</v>
      </c>
      <c r="AL132" s="140">
        <f ca="1">IF(ISNUMBER(MATCH(DATEVALUE($A132),'recurring1_based on steps'!AL$1:AL$400,0)),AL$2,)</f>
        <v>0</v>
      </c>
      <c r="AM132" s="140">
        <f ca="1">IF(ISNUMBER(MATCH(DATEVALUE($A132),'recurring1_based on steps'!AM$1:AM$400,0)),AM$2,)</f>
        <v>0</v>
      </c>
      <c r="AN132" s="140">
        <f ca="1">IF(ISNUMBER(MATCH(DATEVALUE($A132),'recurring1_based on steps'!AN$1:AN$400,0)),AN$2,)</f>
        <v>0</v>
      </c>
      <c r="AO132" s="140">
        <f ca="1">IF(ISNUMBER(MATCH(DATEVALUE($A132),'recurring1_based on steps'!AO$1:AO$400,0)),AO$2,)</f>
        <v>0</v>
      </c>
      <c r="AP132" s="140">
        <f ca="1">IF(ISNUMBER(MATCH(DATEVALUE($A132),'recurring1_based on steps'!AP$1:AP$400,0)),AP$2,)</f>
        <v>0</v>
      </c>
      <c r="AQ132" s="140">
        <f ca="1">IF(ISNUMBER(MATCH(DATEVALUE($A132),'recurring1_based on steps'!AQ$1:AQ$400,0)),AQ$2,)</f>
        <v>0</v>
      </c>
      <c r="AR132" s="140">
        <f ca="1">IF(ISNUMBER(MATCH(DATEVALUE($A132),'recurring1_based on steps'!AR$1:AR$400,0)),AR$2,)</f>
        <v>0</v>
      </c>
      <c r="AS132" s="140">
        <f ca="1">IF(ISNUMBER(MATCH(DATEVALUE($A132),'recurring1_based on steps'!AS$1:AS$400,0)),AS$2,)</f>
        <v>0</v>
      </c>
      <c r="AT132" s="140">
        <f ca="1">IF(ISNUMBER(MATCH(DATEVALUE($A132),'recurring1_based on steps'!AT$1:AT$400,0)),AT$2,)</f>
        <v>0</v>
      </c>
      <c r="AU132" s="140">
        <f ca="1">IF(ISNUMBER(MATCH(DATEVALUE($A132),'recurring1_based on steps'!AU$1:AU$400,0)),AU$2,)</f>
        <v>0</v>
      </c>
      <c r="AV132" s="140">
        <f ca="1">IF(ISNUMBER(MATCH(DATEVALUE($A132),'recurring1_based on steps'!AV$1:AV$400,0)),AV$2,)</f>
        <v>0</v>
      </c>
      <c r="AW132" s="140">
        <f ca="1">IF(ISNUMBER(MATCH(DATEVALUE($A132),'recurring1_based on steps'!AW$1:AW$400,0)),AW$2,)</f>
        <v>0</v>
      </c>
      <c r="AX132" s="140">
        <f ca="1">IF(ISNUMBER(MATCH(DATEVALUE($A132),'recurring1_based on steps'!AX$1:AX$400,0)),AX$2,)</f>
        <v>0</v>
      </c>
      <c r="AY132" s="140">
        <f ca="1">IF(ISNUMBER(MATCH(DATEVALUE($A132),'recurring1_based on steps'!AY$1:AY$400,0)),AY$2,)</f>
        <v>0</v>
      </c>
    </row>
    <row r="133" spans="1:51" x14ac:dyDescent="0.2">
      <c r="A133" s="29" t="str">
        <f t="shared" ref="A133:A196" ca="1" si="2">TEXT(DATEVALUE(A132)+1,"yyyy-mm-dd")</f>
        <v>2025-08-04</v>
      </c>
      <c r="B133" s="140">
        <f ca="1">IF(ISNUMBER(MATCH(DATEVALUE($A133),'recurring1_based on steps'!B$1:B$400,0)),B$2,)</f>
        <v>0</v>
      </c>
      <c r="C133" s="140">
        <f ca="1">IF(ISNUMBER(MATCH(DATEVALUE($A133),'recurring1_based on steps'!C$1:C$400,0)),C$2,)</f>
        <v>0</v>
      </c>
      <c r="D133" s="140">
        <f ca="1">IF(ISNUMBER(MATCH(DATEVALUE($A133),'recurring1_based on steps'!D$1:D$400,0)),D$2,)</f>
        <v>0</v>
      </c>
      <c r="E133" s="140">
        <f ca="1">IF(ISNUMBER(MATCH(DATEVALUE($A133),'recurring1_based on steps'!E$1:E$400,0)),E$2,)</f>
        <v>0</v>
      </c>
      <c r="F133" s="140">
        <f ca="1">IF(ISNUMBER(MATCH(DATEVALUE($A133),'recurring1_based on steps'!F$1:F$400,0)),F$2,)</f>
        <v>0</v>
      </c>
      <c r="G133" s="140">
        <f ca="1">IF(ISNUMBER(MATCH(DATEVALUE($A133),'recurring1_based on steps'!G$1:G$400,0)),G$2,)</f>
        <v>0</v>
      </c>
      <c r="H133" s="140">
        <f ca="1">IF(ISNUMBER(MATCH(DATEVALUE($A133),'recurring1_based on steps'!H$1:H$400,0)),H$2,)</f>
        <v>0</v>
      </c>
      <c r="I133" s="140">
        <f ca="1">IF(ISNUMBER(MATCH(DATEVALUE($A133),'recurring1_based on steps'!I$1:I$400,0)),I$2,)</f>
        <v>0</v>
      </c>
      <c r="J133" s="140">
        <f ca="1">IF(ISNUMBER(MATCH(DATEVALUE($A133),'recurring1_based on steps'!J$1:J$400,0)),J$2,)</f>
        <v>0</v>
      </c>
      <c r="K133" s="140">
        <f ca="1">IF(ISNUMBER(MATCH(DATEVALUE($A133),'recurring1_based on steps'!K$1:K$400,0)),K$2,)</f>
        <v>0</v>
      </c>
      <c r="L133" s="140">
        <f ca="1">IF(ISNUMBER(MATCH(DATEVALUE($A133),'recurring1_based on steps'!L$1:L$400,0)),L$2,)</f>
        <v>0</v>
      </c>
      <c r="M133" s="140">
        <f ca="1">IF(ISNUMBER(MATCH(DATEVALUE($A133),'recurring1_based on steps'!M$1:M$400,0)),M$2,)</f>
        <v>15</v>
      </c>
      <c r="N133" s="140">
        <f ca="1">IF(ISNUMBER(MATCH(DATEVALUE($A133),'recurring1_based on steps'!N$1:N$400,0)),N$2,)</f>
        <v>0</v>
      </c>
      <c r="O133" s="140">
        <f ca="1">IF(ISNUMBER(MATCH(DATEVALUE($A133),'recurring1_based on steps'!O$1:O$400,0)),O$2,)</f>
        <v>0</v>
      </c>
      <c r="P133" s="140">
        <f ca="1">IF(ISNUMBER(MATCH(DATEVALUE($A133),'recurring1_based on steps'!P$1:P$400,0)),P$2,)</f>
        <v>0</v>
      </c>
      <c r="Q133" s="140">
        <f ca="1">IF(ISNUMBER(MATCH(DATEVALUE($A133),'recurring1_based on steps'!Q$1:Q$400,0)),Q$2,)</f>
        <v>0</v>
      </c>
      <c r="R133" s="140">
        <f ca="1">IF(ISNUMBER(MATCH(DATEVALUE($A133),'recurring1_based on steps'!R$1:R$400,0)),R$2,)</f>
        <v>0</v>
      </c>
      <c r="S133" s="140">
        <f ca="1">IF(ISNUMBER(MATCH(DATEVALUE($A133),'recurring1_based on steps'!S$1:S$400,0)),S$2,)</f>
        <v>0</v>
      </c>
      <c r="T133" s="140">
        <f ca="1">IF(ISNUMBER(MATCH(DATEVALUE($A133),'recurring1_based on steps'!T$1:T$400,0)),T$2,)</f>
        <v>0</v>
      </c>
      <c r="U133" s="140">
        <f ca="1">IF(ISNUMBER(MATCH(DATEVALUE($A133),'recurring1_based on steps'!U$1:U$400,0)),U$2,)</f>
        <v>0</v>
      </c>
      <c r="V133" s="140">
        <f ca="1">IF(ISNUMBER(MATCH(DATEVALUE($A133),'recurring1_based on steps'!V$1:V$400,0)),V$2,)</f>
        <v>0</v>
      </c>
      <c r="W133" s="140">
        <f ca="1">IF(ISNUMBER(MATCH(DATEVALUE($A133),'recurring1_based on steps'!W$1:W$400,0)),W$2,)</f>
        <v>0</v>
      </c>
      <c r="X133" s="140">
        <f ca="1">IF(ISNUMBER(MATCH(DATEVALUE($A133),'recurring1_based on steps'!X$1:X$400,0)),X$2,)</f>
        <v>0</v>
      </c>
      <c r="Y133" s="140">
        <f ca="1">IF(ISNUMBER(MATCH(DATEVALUE($A133),'recurring1_based on steps'!Y$1:Y$400,0)),Y$2,)</f>
        <v>0</v>
      </c>
      <c r="Z133" s="140">
        <f ca="1">IF(ISNUMBER(MATCH(DATEVALUE($A133),'recurring1_based on steps'!Z$1:Z$400,0)),Z$2,)</f>
        <v>0</v>
      </c>
      <c r="AA133" s="140">
        <f ca="1">IF(ISNUMBER(MATCH(DATEVALUE($A133),'recurring1_based on steps'!AA$1:AA$400,0)),AA$2,)</f>
        <v>0</v>
      </c>
      <c r="AB133" s="140">
        <f ca="1">IF(ISNUMBER(MATCH(DATEVALUE($A133),'recurring1_based on steps'!AB$1:AB$400,0)),AB$2,)</f>
        <v>5.5401662049861494E-2</v>
      </c>
      <c r="AC133" s="140">
        <f ca="1">IF(ISNUMBER(MATCH(DATEVALUE($A133),'recurring1_based on steps'!AC$1:AC$400,0)),AC$2,)</f>
        <v>0</v>
      </c>
      <c r="AD133" s="140">
        <f ca="1">IF(ISNUMBER(MATCH(DATEVALUE($A133),'recurring1_based on steps'!AD$1:AD$400,0)),AD$2,)</f>
        <v>0</v>
      </c>
      <c r="AE133" s="140">
        <f ca="1">IF(ISNUMBER(MATCH(DATEVALUE($A133),'recurring1_based on steps'!AE$1:AE$400,0)),AE$2,)</f>
        <v>0</v>
      </c>
      <c r="AF133" s="140">
        <f ca="1">IF(ISNUMBER(MATCH(DATEVALUE($A133),'recurring1_based on steps'!AF$1:AF$400,0)),AF$2,)</f>
        <v>0</v>
      </c>
      <c r="AG133" s="140">
        <f ca="1">IF(ISNUMBER(MATCH(DATEVALUE($A133),'recurring1_based on steps'!AG$1:AG$400,0)),AG$2,)</f>
        <v>0</v>
      </c>
      <c r="AH133" s="140">
        <f ca="1">IF(ISNUMBER(MATCH(DATEVALUE($A133),'recurring1_based on steps'!AH$1:AH$400,0)),AH$2,)</f>
        <v>0</v>
      </c>
      <c r="AI133" s="140">
        <f ca="1">IF(ISNUMBER(MATCH(DATEVALUE($A133),'recurring1_based on steps'!AI$1:AI$400,0)),AI$2,)</f>
        <v>0</v>
      </c>
      <c r="AJ133" s="140">
        <f ca="1">IF(ISNUMBER(MATCH(DATEVALUE($A133),'recurring1_based on steps'!AJ$1:AJ$400,0)),AJ$2,)</f>
        <v>0</v>
      </c>
      <c r="AK133" s="140">
        <f ca="1">IF(ISNUMBER(MATCH(DATEVALUE($A133),'recurring1_based on steps'!AK$1:AK$400,0)),AK$2,)</f>
        <v>0</v>
      </c>
      <c r="AL133" s="140">
        <f ca="1">IF(ISNUMBER(MATCH(DATEVALUE($A133),'recurring1_based on steps'!AL$1:AL$400,0)),AL$2,)</f>
        <v>0</v>
      </c>
      <c r="AM133" s="140">
        <f ca="1">IF(ISNUMBER(MATCH(DATEVALUE($A133),'recurring1_based on steps'!AM$1:AM$400,0)),AM$2,)</f>
        <v>0</v>
      </c>
      <c r="AN133" s="140">
        <f ca="1">IF(ISNUMBER(MATCH(DATEVALUE($A133),'recurring1_based on steps'!AN$1:AN$400,0)),AN$2,)</f>
        <v>0</v>
      </c>
      <c r="AO133" s="140">
        <f ca="1">IF(ISNUMBER(MATCH(DATEVALUE($A133),'recurring1_based on steps'!AO$1:AO$400,0)),AO$2,)</f>
        <v>0</v>
      </c>
      <c r="AP133" s="140">
        <f ca="1">IF(ISNUMBER(MATCH(DATEVALUE($A133),'recurring1_based on steps'!AP$1:AP$400,0)),AP$2,)</f>
        <v>0</v>
      </c>
      <c r="AQ133" s="140">
        <f ca="1">IF(ISNUMBER(MATCH(DATEVALUE($A133),'recurring1_based on steps'!AQ$1:AQ$400,0)),AQ$2,)</f>
        <v>0</v>
      </c>
      <c r="AR133" s="140">
        <f ca="1">IF(ISNUMBER(MATCH(DATEVALUE($A133),'recurring1_based on steps'!AR$1:AR$400,0)),AR$2,)</f>
        <v>0</v>
      </c>
      <c r="AS133" s="140">
        <f ca="1">IF(ISNUMBER(MATCH(DATEVALUE($A133),'recurring1_based on steps'!AS$1:AS$400,0)),AS$2,)</f>
        <v>0</v>
      </c>
      <c r="AT133" s="140">
        <f ca="1">IF(ISNUMBER(MATCH(DATEVALUE($A133),'recurring1_based on steps'!AT$1:AT$400,0)),AT$2,)</f>
        <v>0</v>
      </c>
      <c r="AU133" s="140">
        <f ca="1">IF(ISNUMBER(MATCH(DATEVALUE($A133),'recurring1_based on steps'!AU$1:AU$400,0)),AU$2,)</f>
        <v>0</v>
      </c>
      <c r="AV133" s="140">
        <f ca="1">IF(ISNUMBER(MATCH(DATEVALUE($A133),'recurring1_based on steps'!AV$1:AV$400,0)),AV$2,)</f>
        <v>0</v>
      </c>
      <c r="AW133" s="140">
        <f ca="1">IF(ISNUMBER(MATCH(DATEVALUE($A133),'recurring1_based on steps'!AW$1:AW$400,0)),AW$2,)</f>
        <v>0</v>
      </c>
      <c r="AX133" s="140">
        <f ca="1">IF(ISNUMBER(MATCH(DATEVALUE($A133),'recurring1_based on steps'!AX$1:AX$400,0)),AX$2,)</f>
        <v>0</v>
      </c>
      <c r="AY133" s="140">
        <f ca="1">IF(ISNUMBER(MATCH(DATEVALUE($A133),'recurring1_based on steps'!AY$1:AY$400,0)),AY$2,)</f>
        <v>0</v>
      </c>
    </row>
    <row r="134" spans="1:51" x14ac:dyDescent="0.2">
      <c r="A134" s="29" t="str">
        <f t="shared" ca="1" si="2"/>
        <v>2025-08-05</v>
      </c>
      <c r="B134" s="140">
        <f ca="1">IF(ISNUMBER(MATCH(DATEVALUE($A134),'recurring1_based on steps'!B$1:B$400,0)),B$2,)</f>
        <v>0</v>
      </c>
      <c r="C134" s="140">
        <f ca="1">IF(ISNUMBER(MATCH(DATEVALUE($A134),'recurring1_based on steps'!C$1:C$400,0)),C$2,)</f>
        <v>0</v>
      </c>
      <c r="D134" s="140">
        <f ca="1">IF(ISNUMBER(MATCH(DATEVALUE($A134),'recurring1_based on steps'!D$1:D$400,0)),D$2,)</f>
        <v>0</v>
      </c>
      <c r="E134" s="140">
        <f ca="1">IF(ISNUMBER(MATCH(DATEVALUE($A134),'recurring1_based on steps'!E$1:E$400,0)),E$2,)</f>
        <v>0</v>
      </c>
      <c r="F134" s="140">
        <f ca="1">IF(ISNUMBER(MATCH(DATEVALUE($A134),'recurring1_based on steps'!F$1:F$400,0)),F$2,)</f>
        <v>0</v>
      </c>
      <c r="G134" s="140">
        <f ca="1">IF(ISNUMBER(MATCH(DATEVALUE($A134),'recurring1_based on steps'!G$1:G$400,0)),G$2,)</f>
        <v>0</v>
      </c>
      <c r="H134" s="140">
        <f ca="1">IF(ISNUMBER(MATCH(DATEVALUE($A134),'recurring1_based on steps'!H$1:H$400,0)),H$2,)</f>
        <v>0</v>
      </c>
      <c r="I134" s="140">
        <f ca="1">IF(ISNUMBER(MATCH(DATEVALUE($A134),'recurring1_based on steps'!I$1:I$400,0)),I$2,)</f>
        <v>0</v>
      </c>
      <c r="J134" s="140">
        <f ca="1">IF(ISNUMBER(MATCH(DATEVALUE($A134),'recurring1_based on steps'!J$1:J$400,0)),J$2,)</f>
        <v>0</v>
      </c>
      <c r="K134" s="140">
        <f ca="1">IF(ISNUMBER(MATCH(DATEVALUE($A134),'recurring1_based on steps'!K$1:K$400,0)),K$2,)</f>
        <v>0</v>
      </c>
      <c r="L134" s="140">
        <f ca="1">IF(ISNUMBER(MATCH(DATEVALUE($A134),'recurring1_based on steps'!L$1:L$400,0)),L$2,)</f>
        <v>0</v>
      </c>
      <c r="M134" s="140">
        <f ca="1">IF(ISNUMBER(MATCH(DATEVALUE($A134),'recurring1_based on steps'!M$1:M$400,0)),M$2,)</f>
        <v>0</v>
      </c>
      <c r="N134" s="140">
        <f ca="1">IF(ISNUMBER(MATCH(DATEVALUE($A134),'recurring1_based on steps'!N$1:N$400,0)),N$2,)</f>
        <v>0</v>
      </c>
      <c r="O134" s="140">
        <f ca="1">IF(ISNUMBER(MATCH(DATEVALUE($A134),'recurring1_based on steps'!O$1:O$400,0)),O$2,)</f>
        <v>0</v>
      </c>
      <c r="P134" s="140">
        <f ca="1">IF(ISNUMBER(MATCH(DATEVALUE($A134),'recurring1_based on steps'!P$1:P$400,0)),P$2,)</f>
        <v>0</v>
      </c>
      <c r="Q134" s="140">
        <f ca="1">IF(ISNUMBER(MATCH(DATEVALUE($A134),'recurring1_based on steps'!Q$1:Q$400,0)),Q$2,)</f>
        <v>0</v>
      </c>
      <c r="R134" s="140">
        <f ca="1">IF(ISNUMBER(MATCH(DATEVALUE($A134),'recurring1_based on steps'!R$1:R$400,0)),R$2,)</f>
        <v>0</v>
      </c>
      <c r="S134" s="140">
        <f ca="1">IF(ISNUMBER(MATCH(DATEVALUE($A134),'recurring1_based on steps'!S$1:S$400,0)),S$2,)</f>
        <v>0</v>
      </c>
      <c r="T134" s="140">
        <f ca="1">IF(ISNUMBER(MATCH(DATEVALUE($A134),'recurring1_based on steps'!T$1:T$400,0)),T$2,)</f>
        <v>0</v>
      </c>
      <c r="U134" s="140">
        <f ca="1">IF(ISNUMBER(MATCH(DATEVALUE($A134),'recurring1_based on steps'!U$1:U$400,0)),U$2,)</f>
        <v>0</v>
      </c>
      <c r="V134" s="140">
        <f ca="1">IF(ISNUMBER(MATCH(DATEVALUE($A134),'recurring1_based on steps'!V$1:V$400,0)),V$2,)</f>
        <v>0</v>
      </c>
      <c r="W134" s="140">
        <f ca="1">IF(ISNUMBER(MATCH(DATEVALUE($A134),'recurring1_based on steps'!W$1:W$400,0)),W$2,)</f>
        <v>0</v>
      </c>
      <c r="X134" s="140">
        <f ca="1">IF(ISNUMBER(MATCH(DATEVALUE($A134),'recurring1_based on steps'!X$1:X$400,0)),X$2,)</f>
        <v>0</v>
      </c>
      <c r="Y134" s="140">
        <f ca="1">IF(ISNUMBER(MATCH(DATEVALUE($A134),'recurring1_based on steps'!Y$1:Y$400,0)),Y$2,)</f>
        <v>0</v>
      </c>
      <c r="Z134" s="140">
        <f ca="1">IF(ISNUMBER(MATCH(DATEVALUE($A134),'recurring1_based on steps'!Z$1:Z$400,0)),Z$2,)</f>
        <v>0</v>
      </c>
      <c r="AA134" s="140">
        <f ca="1">IF(ISNUMBER(MATCH(DATEVALUE($A134),'recurring1_based on steps'!AA$1:AA$400,0)),AA$2,)</f>
        <v>0</v>
      </c>
      <c r="AB134" s="140">
        <f ca="1">IF(ISNUMBER(MATCH(DATEVALUE($A134),'recurring1_based on steps'!AB$1:AB$400,0)),AB$2,)</f>
        <v>5.5401662049861494E-2</v>
      </c>
      <c r="AC134" s="140">
        <f ca="1">IF(ISNUMBER(MATCH(DATEVALUE($A134),'recurring1_based on steps'!AC$1:AC$400,0)),AC$2,)</f>
        <v>0</v>
      </c>
      <c r="AD134" s="140">
        <f ca="1">IF(ISNUMBER(MATCH(DATEVALUE($A134),'recurring1_based on steps'!AD$1:AD$400,0)),AD$2,)</f>
        <v>0</v>
      </c>
      <c r="AE134" s="140">
        <f ca="1">IF(ISNUMBER(MATCH(DATEVALUE($A134),'recurring1_based on steps'!AE$1:AE$400,0)),AE$2,)</f>
        <v>0</v>
      </c>
      <c r="AF134" s="140">
        <f ca="1">IF(ISNUMBER(MATCH(DATEVALUE($A134),'recurring1_based on steps'!AF$1:AF$400,0)),AF$2,)</f>
        <v>0</v>
      </c>
      <c r="AG134" s="140">
        <f ca="1">IF(ISNUMBER(MATCH(DATEVALUE($A134),'recurring1_based on steps'!AG$1:AG$400,0)),AG$2,)</f>
        <v>0</v>
      </c>
      <c r="AH134" s="140">
        <f ca="1">IF(ISNUMBER(MATCH(DATEVALUE($A134),'recurring1_based on steps'!AH$1:AH$400,0)),AH$2,)</f>
        <v>0</v>
      </c>
      <c r="AI134" s="140">
        <f ca="1">IF(ISNUMBER(MATCH(DATEVALUE($A134),'recurring1_based on steps'!AI$1:AI$400,0)),AI$2,)</f>
        <v>0</v>
      </c>
      <c r="AJ134" s="140">
        <f ca="1">IF(ISNUMBER(MATCH(DATEVALUE($A134),'recurring1_based on steps'!AJ$1:AJ$400,0)),AJ$2,)</f>
        <v>0</v>
      </c>
      <c r="AK134" s="140">
        <f ca="1">IF(ISNUMBER(MATCH(DATEVALUE($A134),'recurring1_based on steps'!AK$1:AK$400,0)),AK$2,)</f>
        <v>0</v>
      </c>
      <c r="AL134" s="140">
        <f ca="1">IF(ISNUMBER(MATCH(DATEVALUE($A134),'recurring1_based on steps'!AL$1:AL$400,0)),AL$2,)</f>
        <v>0</v>
      </c>
      <c r="AM134" s="140">
        <f ca="1">IF(ISNUMBER(MATCH(DATEVALUE($A134),'recurring1_based on steps'!AM$1:AM$400,0)),AM$2,)</f>
        <v>0</v>
      </c>
      <c r="AN134" s="140">
        <f ca="1">IF(ISNUMBER(MATCH(DATEVALUE($A134),'recurring1_based on steps'!AN$1:AN$400,0)),AN$2,)</f>
        <v>0</v>
      </c>
      <c r="AO134" s="140">
        <f ca="1">IF(ISNUMBER(MATCH(DATEVALUE($A134),'recurring1_based on steps'!AO$1:AO$400,0)),AO$2,)</f>
        <v>0</v>
      </c>
      <c r="AP134" s="140">
        <f ca="1">IF(ISNUMBER(MATCH(DATEVALUE($A134),'recurring1_based on steps'!AP$1:AP$400,0)),AP$2,)</f>
        <v>0</v>
      </c>
      <c r="AQ134" s="140">
        <f ca="1">IF(ISNUMBER(MATCH(DATEVALUE($A134),'recurring1_based on steps'!AQ$1:AQ$400,0)),AQ$2,)</f>
        <v>0</v>
      </c>
      <c r="AR134" s="140">
        <f ca="1">IF(ISNUMBER(MATCH(DATEVALUE($A134),'recurring1_based on steps'!AR$1:AR$400,0)),AR$2,)</f>
        <v>0</v>
      </c>
      <c r="AS134" s="140">
        <f ca="1">IF(ISNUMBER(MATCH(DATEVALUE($A134),'recurring1_based on steps'!AS$1:AS$400,0)),AS$2,)</f>
        <v>0</v>
      </c>
      <c r="AT134" s="140">
        <f ca="1">IF(ISNUMBER(MATCH(DATEVALUE($A134),'recurring1_based on steps'!AT$1:AT$400,0)),AT$2,)</f>
        <v>0</v>
      </c>
      <c r="AU134" s="140">
        <f ca="1">IF(ISNUMBER(MATCH(DATEVALUE($A134),'recurring1_based on steps'!AU$1:AU$400,0)),AU$2,)</f>
        <v>0</v>
      </c>
      <c r="AV134" s="140">
        <f ca="1">IF(ISNUMBER(MATCH(DATEVALUE($A134),'recurring1_based on steps'!AV$1:AV$400,0)),AV$2,)</f>
        <v>0</v>
      </c>
      <c r="AW134" s="140">
        <f ca="1">IF(ISNUMBER(MATCH(DATEVALUE($A134),'recurring1_based on steps'!AW$1:AW$400,0)),AW$2,)</f>
        <v>0</v>
      </c>
      <c r="AX134" s="140">
        <f ca="1">IF(ISNUMBER(MATCH(DATEVALUE($A134),'recurring1_based on steps'!AX$1:AX$400,0)),AX$2,)</f>
        <v>0</v>
      </c>
      <c r="AY134" s="140">
        <f ca="1">IF(ISNUMBER(MATCH(DATEVALUE($A134),'recurring1_based on steps'!AY$1:AY$400,0)),AY$2,)</f>
        <v>0</v>
      </c>
    </row>
    <row r="135" spans="1:51" x14ac:dyDescent="0.2">
      <c r="A135" s="29" t="str">
        <f t="shared" ca="1" si="2"/>
        <v>2025-08-06</v>
      </c>
      <c r="B135" s="140">
        <f ca="1">IF(ISNUMBER(MATCH(DATEVALUE($A135),'recurring1_based on steps'!B$1:B$400,0)),B$2,)</f>
        <v>0</v>
      </c>
      <c r="C135" s="140">
        <f ca="1">IF(ISNUMBER(MATCH(DATEVALUE($A135),'recurring1_based on steps'!C$1:C$400,0)),C$2,)</f>
        <v>0</v>
      </c>
      <c r="D135" s="140">
        <f ca="1">IF(ISNUMBER(MATCH(DATEVALUE($A135),'recurring1_based on steps'!D$1:D$400,0)),D$2,)</f>
        <v>0</v>
      </c>
      <c r="E135" s="140">
        <f ca="1">IF(ISNUMBER(MATCH(DATEVALUE($A135),'recurring1_based on steps'!E$1:E$400,0)),E$2,)</f>
        <v>0</v>
      </c>
      <c r="F135" s="140">
        <f ca="1">IF(ISNUMBER(MATCH(DATEVALUE($A135),'recurring1_based on steps'!F$1:F$400,0)),F$2,)</f>
        <v>0</v>
      </c>
      <c r="G135" s="140">
        <f ca="1">IF(ISNUMBER(MATCH(DATEVALUE($A135),'recurring1_based on steps'!G$1:G$400,0)),G$2,)</f>
        <v>0</v>
      </c>
      <c r="H135" s="140">
        <f ca="1">IF(ISNUMBER(MATCH(DATEVALUE($A135),'recurring1_based on steps'!H$1:H$400,0)),H$2,)</f>
        <v>0</v>
      </c>
      <c r="I135" s="140">
        <f ca="1">IF(ISNUMBER(MATCH(DATEVALUE($A135),'recurring1_based on steps'!I$1:I$400,0)),I$2,)</f>
        <v>0</v>
      </c>
      <c r="J135" s="140">
        <f ca="1">IF(ISNUMBER(MATCH(DATEVALUE($A135),'recurring1_based on steps'!J$1:J$400,0)),J$2,)</f>
        <v>0</v>
      </c>
      <c r="K135" s="140">
        <f ca="1">IF(ISNUMBER(MATCH(DATEVALUE($A135),'recurring1_based on steps'!K$1:K$400,0)),K$2,)</f>
        <v>0</v>
      </c>
      <c r="L135" s="140">
        <f ca="1">IF(ISNUMBER(MATCH(DATEVALUE($A135),'recurring1_based on steps'!L$1:L$400,0)),L$2,)</f>
        <v>0</v>
      </c>
      <c r="M135" s="140">
        <f ca="1">IF(ISNUMBER(MATCH(DATEVALUE($A135),'recurring1_based on steps'!M$1:M$400,0)),M$2,)</f>
        <v>0</v>
      </c>
      <c r="N135" s="140">
        <f ca="1">IF(ISNUMBER(MATCH(DATEVALUE($A135),'recurring1_based on steps'!N$1:N$400,0)),N$2,)</f>
        <v>0</v>
      </c>
      <c r="O135" s="140">
        <f ca="1">IF(ISNUMBER(MATCH(DATEVALUE($A135),'recurring1_based on steps'!O$1:O$400,0)),O$2,)</f>
        <v>0</v>
      </c>
      <c r="P135" s="140">
        <f ca="1">IF(ISNUMBER(MATCH(DATEVALUE($A135),'recurring1_based on steps'!P$1:P$400,0)),P$2,)</f>
        <v>0</v>
      </c>
      <c r="Q135" s="140">
        <f ca="1">IF(ISNUMBER(MATCH(DATEVALUE($A135),'recurring1_based on steps'!Q$1:Q$400,0)),Q$2,)</f>
        <v>0</v>
      </c>
      <c r="R135" s="140">
        <f ca="1">IF(ISNUMBER(MATCH(DATEVALUE($A135),'recurring1_based on steps'!R$1:R$400,0)),R$2,)</f>
        <v>0</v>
      </c>
      <c r="S135" s="140">
        <f ca="1">IF(ISNUMBER(MATCH(DATEVALUE($A135),'recurring1_based on steps'!S$1:S$400,0)),S$2,)</f>
        <v>0</v>
      </c>
      <c r="T135" s="140">
        <f ca="1">IF(ISNUMBER(MATCH(DATEVALUE($A135),'recurring1_based on steps'!T$1:T$400,0)),T$2,)</f>
        <v>0</v>
      </c>
      <c r="U135" s="140">
        <f ca="1">IF(ISNUMBER(MATCH(DATEVALUE($A135),'recurring1_based on steps'!U$1:U$400,0)),U$2,)</f>
        <v>0</v>
      </c>
      <c r="V135" s="140">
        <f ca="1">IF(ISNUMBER(MATCH(DATEVALUE($A135),'recurring1_based on steps'!V$1:V$400,0)),V$2,)</f>
        <v>0</v>
      </c>
      <c r="W135" s="140">
        <f ca="1">IF(ISNUMBER(MATCH(DATEVALUE($A135),'recurring1_based on steps'!W$1:W$400,0)),W$2,)</f>
        <v>0</v>
      </c>
      <c r="X135" s="140">
        <f ca="1">IF(ISNUMBER(MATCH(DATEVALUE($A135),'recurring1_based on steps'!X$1:X$400,0)),X$2,)</f>
        <v>0</v>
      </c>
      <c r="Y135" s="140">
        <f ca="1">IF(ISNUMBER(MATCH(DATEVALUE($A135),'recurring1_based on steps'!Y$1:Y$400,0)),Y$2,)</f>
        <v>0</v>
      </c>
      <c r="Z135" s="140">
        <f ca="1">IF(ISNUMBER(MATCH(DATEVALUE($A135),'recurring1_based on steps'!Z$1:Z$400,0)),Z$2,)</f>
        <v>0</v>
      </c>
      <c r="AA135" s="140">
        <f ca="1">IF(ISNUMBER(MATCH(DATEVALUE($A135),'recurring1_based on steps'!AA$1:AA$400,0)),AA$2,)</f>
        <v>0</v>
      </c>
      <c r="AB135" s="140">
        <f ca="1">IF(ISNUMBER(MATCH(DATEVALUE($A135),'recurring1_based on steps'!AB$1:AB$400,0)),AB$2,)</f>
        <v>5.5401662049861494E-2</v>
      </c>
      <c r="AC135" s="140">
        <f ca="1">IF(ISNUMBER(MATCH(DATEVALUE($A135),'recurring1_based on steps'!AC$1:AC$400,0)),AC$2,)</f>
        <v>0</v>
      </c>
      <c r="AD135" s="140">
        <f ca="1">IF(ISNUMBER(MATCH(DATEVALUE($A135),'recurring1_based on steps'!AD$1:AD$400,0)),AD$2,)</f>
        <v>0</v>
      </c>
      <c r="AE135" s="140">
        <f ca="1">IF(ISNUMBER(MATCH(DATEVALUE($A135),'recurring1_based on steps'!AE$1:AE$400,0)),AE$2,)</f>
        <v>0</v>
      </c>
      <c r="AF135" s="140">
        <f ca="1">IF(ISNUMBER(MATCH(DATEVALUE($A135),'recurring1_based on steps'!AF$1:AF$400,0)),AF$2,)</f>
        <v>0</v>
      </c>
      <c r="AG135" s="140">
        <f ca="1">IF(ISNUMBER(MATCH(DATEVALUE($A135),'recurring1_based on steps'!AG$1:AG$400,0)),AG$2,)</f>
        <v>0</v>
      </c>
      <c r="AH135" s="140">
        <f ca="1">IF(ISNUMBER(MATCH(DATEVALUE($A135),'recurring1_based on steps'!AH$1:AH$400,0)),AH$2,)</f>
        <v>0</v>
      </c>
      <c r="AI135" s="140">
        <f ca="1">IF(ISNUMBER(MATCH(DATEVALUE($A135),'recurring1_based on steps'!AI$1:AI$400,0)),AI$2,)</f>
        <v>0</v>
      </c>
      <c r="AJ135" s="140">
        <f ca="1">IF(ISNUMBER(MATCH(DATEVALUE($A135),'recurring1_based on steps'!AJ$1:AJ$400,0)),AJ$2,)</f>
        <v>0</v>
      </c>
      <c r="AK135" s="140">
        <f ca="1">IF(ISNUMBER(MATCH(DATEVALUE($A135),'recurring1_based on steps'!AK$1:AK$400,0)),AK$2,)</f>
        <v>0</v>
      </c>
      <c r="AL135" s="140">
        <f ca="1">IF(ISNUMBER(MATCH(DATEVALUE($A135),'recurring1_based on steps'!AL$1:AL$400,0)),AL$2,)</f>
        <v>0</v>
      </c>
      <c r="AM135" s="140">
        <f ca="1">IF(ISNUMBER(MATCH(DATEVALUE($A135),'recurring1_based on steps'!AM$1:AM$400,0)),AM$2,)</f>
        <v>0</v>
      </c>
      <c r="AN135" s="140">
        <f ca="1">IF(ISNUMBER(MATCH(DATEVALUE($A135),'recurring1_based on steps'!AN$1:AN$400,0)),AN$2,)</f>
        <v>0</v>
      </c>
      <c r="AO135" s="140">
        <f ca="1">IF(ISNUMBER(MATCH(DATEVALUE($A135),'recurring1_based on steps'!AO$1:AO$400,0)),AO$2,)</f>
        <v>0</v>
      </c>
      <c r="AP135" s="140">
        <f ca="1">IF(ISNUMBER(MATCH(DATEVALUE($A135),'recurring1_based on steps'!AP$1:AP$400,0)),AP$2,)</f>
        <v>0</v>
      </c>
      <c r="AQ135" s="140">
        <f ca="1">IF(ISNUMBER(MATCH(DATEVALUE($A135),'recurring1_based on steps'!AQ$1:AQ$400,0)),AQ$2,)</f>
        <v>0</v>
      </c>
      <c r="AR135" s="140">
        <f ca="1">IF(ISNUMBER(MATCH(DATEVALUE($A135),'recurring1_based on steps'!AR$1:AR$400,0)),AR$2,)</f>
        <v>0</v>
      </c>
      <c r="AS135" s="140">
        <f ca="1">IF(ISNUMBER(MATCH(DATEVALUE($A135),'recurring1_based on steps'!AS$1:AS$400,0)),AS$2,)</f>
        <v>0</v>
      </c>
      <c r="AT135" s="140">
        <f ca="1">IF(ISNUMBER(MATCH(DATEVALUE($A135),'recurring1_based on steps'!AT$1:AT$400,0)),AT$2,)</f>
        <v>0</v>
      </c>
      <c r="AU135" s="140">
        <f ca="1">IF(ISNUMBER(MATCH(DATEVALUE($A135),'recurring1_based on steps'!AU$1:AU$400,0)),AU$2,)</f>
        <v>0</v>
      </c>
      <c r="AV135" s="140">
        <f ca="1">IF(ISNUMBER(MATCH(DATEVALUE($A135),'recurring1_based on steps'!AV$1:AV$400,0)),AV$2,)</f>
        <v>0</v>
      </c>
      <c r="AW135" s="140">
        <f ca="1">IF(ISNUMBER(MATCH(DATEVALUE($A135),'recurring1_based on steps'!AW$1:AW$400,0)),AW$2,)</f>
        <v>0</v>
      </c>
      <c r="AX135" s="140">
        <f ca="1">IF(ISNUMBER(MATCH(DATEVALUE($A135),'recurring1_based on steps'!AX$1:AX$400,0)),AX$2,)</f>
        <v>0</v>
      </c>
      <c r="AY135" s="140">
        <f ca="1">IF(ISNUMBER(MATCH(DATEVALUE($A135),'recurring1_based on steps'!AY$1:AY$400,0)),AY$2,)</f>
        <v>0</v>
      </c>
    </row>
    <row r="136" spans="1:51" x14ac:dyDescent="0.2">
      <c r="A136" s="29" t="str">
        <f t="shared" ca="1" si="2"/>
        <v>2025-08-07</v>
      </c>
      <c r="B136" s="140">
        <f ca="1">IF(ISNUMBER(MATCH(DATEVALUE($A136),'recurring1_based on steps'!B$1:B$400,0)),B$2,)</f>
        <v>0</v>
      </c>
      <c r="C136" s="140">
        <f ca="1">IF(ISNUMBER(MATCH(DATEVALUE($A136),'recurring1_based on steps'!C$1:C$400,0)),C$2,)</f>
        <v>0</v>
      </c>
      <c r="D136" s="140">
        <f ca="1">IF(ISNUMBER(MATCH(DATEVALUE($A136),'recurring1_based on steps'!D$1:D$400,0)),D$2,)</f>
        <v>0</v>
      </c>
      <c r="E136" s="140">
        <f ca="1">IF(ISNUMBER(MATCH(DATEVALUE($A136),'recurring1_based on steps'!E$1:E$400,0)),E$2,)</f>
        <v>0</v>
      </c>
      <c r="F136" s="140">
        <f ca="1">IF(ISNUMBER(MATCH(DATEVALUE($A136),'recurring1_based on steps'!F$1:F$400,0)),F$2,)</f>
        <v>0</v>
      </c>
      <c r="G136" s="140">
        <f ca="1">IF(ISNUMBER(MATCH(DATEVALUE($A136),'recurring1_based on steps'!G$1:G$400,0)),G$2,)</f>
        <v>0</v>
      </c>
      <c r="H136" s="140">
        <f ca="1">IF(ISNUMBER(MATCH(DATEVALUE($A136),'recurring1_based on steps'!H$1:H$400,0)),H$2,)</f>
        <v>0</v>
      </c>
      <c r="I136" s="140">
        <f ca="1">IF(ISNUMBER(MATCH(DATEVALUE($A136),'recurring1_based on steps'!I$1:I$400,0)),I$2,)</f>
        <v>0</v>
      </c>
      <c r="J136" s="140">
        <f ca="1">IF(ISNUMBER(MATCH(DATEVALUE($A136),'recurring1_based on steps'!J$1:J$400,0)),J$2,)</f>
        <v>0</v>
      </c>
      <c r="K136" s="140">
        <f ca="1">IF(ISNUMBER(MATCH(DATEVALUE($A136),'recurring1_based on steps'!K$1:K$400,0)),K$2,)</f>
        <v>0</v>
      </c>
      <c r="L136" s="140">
        <f ca="1">IF(ISNUMBER(MATCH(DATEVALUE($A136),'recurring1_based on steps'!L$1:L$400,0)),L$2,)</f>
        <v>0</v>
      </c>
      <c r="M136" s="140">
        <f ca="1">IF(ISNUMBER(MATCH(DATEVALUE($A136),'recurring1_based on steps'!M$1:M$400,0)),M$2,)</f>
        <v>0</v>
      </c>
      <c r="N136" s="140">
        <f ca="1">IF(ISNUMBER(MATCH(DATEVALUE($A136),'recurring1_based on steps'!N$1:N$400,0)),N$2,)</f>
        <v>0</v>
      </c>
      <c r="O136" s="140">
        <f ca="1">IF(ISNUMBER(MATCH(DATEVALUE($A136),'recurring1_based on steps'!O$1:O$400,0)),O$2,)</f>
        <v>0</v>
      </c>
      <c r="P136" s="140">
        <f ca="1">IF(ISNUMBER(MATCH(DATEVALUE($A136),'recurring1_based on steps'!P$1:P$400,0)),P$2,)</f>
        <v>0</v>
      </c>
      <c r="Q136" s="140">
        <f ca="1">IF(ISNUMBER(MATCH(DATEVALUE($A136),'recurring1_based on steps'!Q$1:Q$400,0)),Q$2,)</f>
        <v>0</v>
      </c>
      <c r="R136" s="140">
        <f ca="1">IF(ISNUMBER(MATCH(DATEVALUE($A136),'recurring1_based on steps'!R$1:R$400,0)),R$2,)</f>
        <v>0</v>
      </c>
      <c r="S136" s="140">
        <f ca="1">IF(ISNUMBER(MATCH(DATEVALUE($A136),'recurring1_based on steps'!S$1:S$400,0)),S$2,)</f>
        <v>0</v>
      </c>
      <c r="T136" s="140">
        <f ca="1">IF(ISNUMBER(MATCH(DATEVALUE($A136),'recurring1_based on steps'!T$1:T$400,0)),T$2,)</f>
        <v>0</v>
      </c>
      <c r="U136" s="140">
        <f ca="1">IF(ISNUMBER(MATCH(DATEVALUE($A136),'recurring1_based on steps'!U$1:U$400,0)),U$2,)</f>
        <v>0</v>
      </c>
      <c r="V136" s="140">
        <f ca="1">IF(ISNUMBER(MATCH(DATEVALUE($A136),'recurring1_based on steps'!V$1:V$400,0)),V$2,)</f>
        <v>0</v>
      </c>
      <c r="W136" s="140">
        <f ca="1">IF(ISNUMBER(MATCH(DATEVALUE($A136),'recurring1_based on steps'!W$1:W$400,0)),W$2,)</f>
        <v>0</v>
      </c>
      <c r="X136" s="140">
        <f ca="1">IF(ISNUMBER(MATCH(DATEVALUE($A136),'recurring1_based on steps'!X$1:X$400,0)),X$2,)</f>
        <v>0</v>
      </c>
      <c r="Y136" s="140">
        <f ca="1">IF(ISNUMBER(MATCH(DATEVALUE($A136),'recurring1_based on steps'!Y$1:Y$400,0)),Y$2,)</f>
        <v>0</v>
      </c>
      <c r="Z136" s="140">
        <f ca="1">IF(ISNUMBER(MATCH(DATEVALUE($A136),'recurring1_based on steps'!Z$1:Z$400,0)),Z$2,)</f>
        <v>0</v>
      </c>
      <c r="AA136" s="140">
        <f ca="1">IF(ISNUMBER(MATCH(DATEVALUE($A136),'recurring1_based on steps'!AA$1:AA$400,0)),AA$2,)</f>
        <v>0</v>
      </c>
      <c r="AB136" s="140">
        <f ca="1">IF(ISNUMBER(MATCH(DATEVALUE($A136),'recurring1_based on steps'!AB$1:AB$400,0)),AB$2,)</f>
        <v>5.5401662049861494E-2</v>
      </c>
      <c r="AC136" s="140">
        <f ca="1">IF(ISNUMBER(MATCH(DATEVALUE($A136),'recurring1_based on steps'!AC$1:AC$400,0)),AC$2,)</f>
        <v>0</v>
      </c>
      <c r="AD136" s="140">
        <f ca="1">IF(ISNUMBER(MATCH(DATEVALUE($A136),'recurring1_based on steps'!AD$1:AD$400,0)),AD$2,)</f>
        <v>0</v>
      </c>
      <c r="AE136" s="140">
        <f ca="1">IF(ISNUMBER(MATCH(DATEVALUE($A136),'recurring1_based on steps'!AE$1:AE$400,0)),AE$2,)</f>
        <v>0</v>
      </c>
      <c r="AF136" s="140">
        <f ca="1">IF(ISNUMBER(MATCH(DATEVALUE($A136),'recurring1_based on steps'!AF$1:AF$400,0)),AF$2,)</f>
        <v>0</v>
      </c>
      <c r="AG136" s="140">
        <f ca="1">IF(ISNUMBER(MATCH(DATEVALUE($A136),'recurring1_based on steps'!AG$1:AG$400,0)),AG$2,)</f>
        <v>0</v>
      </c>
      <c r="AH136" s="140">
        <f ca="1">IF(ISNUMBER(MATCH(DATEVALUE($A136),'recurring1_based on steps'!AH$1:AH$400,0)),AH$2,)</f>
        <v>0</v>
      </c>
      <c r="AI136" s="140">
        <f ca="1">IF(ISNUMBER(MATCH(DATEVALUE($A136),'recurring1_based on steps'!AI$1:AI$400,0)),AI$2,)</f>
        <v>0</v>
      </c>
      <c r="AJ136" s="140">
        <f ca="1">IF(ISNUMBER(MATCH(DATEVALUE($A136),'recurring1_based on steps'!AJ$1:AJ$400,0)),AJ$2,)</f>
        <v>0</v>
      </c>
      <c r="AK136" s="140">
        <f ca="1">IF(ISNUMBER(MATCH(DATEVALUE($A136),'recurring1_based on steps'!AK$1:AK$400,0)),AK$2,)</f>
        <v>0</v>
      </c>
      <c r="AL136" s="140">
        <f ca="1">IF(ISNUMBER(MATCH(DATEVALUE($A136),'recurring1_based on steps'!AL$1:AL$400,0)),AL$2,)</f>
        <v>0</v>
      </c>
      <c r="AM136" s="140">
        <f ca="1">IF(ISNUMBER(MATCH(DATEVALUE($A136),'recurring1_based on steps'!AM$1:AM$400,0)),AM$2,)</f>
        <v>0</v>
      </c>
      <c r="AN136" s="140">
        <f ca="1">IF(ISNUMBER(MATCH(DATEVALUE($A136),'recurring1_based on steps'!AN$1:AN$400,0)),AN$2,)</f>
        <v>0</v>
      </c>
      <c r="AO136" s="140">
        <f ca="1">IF(ISNUMBER(MATCH(DATEVALUE($A136),'recurring1_based on steps'!AO$1:AO$400,0)),AO$2,)</f>
        <v>0</v>
      </c>
      <c r="AP136" s="140">
        <f ca="1">IF(ISNUMBER(MATCH(DATEVALUE($A136),'recurring1_based on steps'!AP$1:AP$400,0)),AP$2,)</f>
        <v>0</v>
      </c>
      <c r="AQ136" s="140">
        <f ca="1">IF(ISNUMBER(MATCH(DATEVALUE($A136),'recurring1_based on steps'!AQ$1:AQ$400,0)),AQ$2,)</f>
        <v>0</v>
      </c>
      <c r="AR136" s="140">
        <f ca="1">IF(ISNUMBER(MATCH(DATEVALUE($A136),'recurring1_based on steps'!AR$1:AR$400,0)),AR$2,)</f>
        <v>0</v>
      </c>
      <c r="AS136" s="140">
        <f ca="1">IF(ISNUMBER(MATCH(DATEVALUE($A136),'recurring1_based on steps'!AS$1:AS$400,0)),AS$2,)</f>
        <v>0</v>
      </c>
      <c r="AT136" s="140">
        <f ca="1">IF(ISNUMBER(MATCH(DATEVALUE($A136),'recurring1_based on steps'!AT$1:AT$400,0)),AT$2,)</f>
        <v>0</v>
      </c>
      <c r="AU136" s="140">
        <f ca="1">IF(ISNUMBER(MATCH(DATEVALUE($A136),'recurring1_based on steps'!AU$1:AU$400,0)),AU$2,)</f>
        <v>0</v>
      </c>
      <c r="AV136" s="140">
        <f ca="1">IF(ISNUMBER(MATCH(DATEVALUE($A136),'recurring1_based on steps'!AV$1:AV$400,0)),AV$2,)</f>
        <v>0</v>
      </c>
      <c r="AW136" s="140">
        <f ca="1">IF(ISNUMBER(MATCH(DATEVALUE($A136),'recurring1_based on steps'!AW$1:AW$400,0)),AW$2,)</f>
        <v>0</v>
      </c>
      <c r="AX136" s="140">
        <f ca="1">IF(ISNUMBER(MATCH(DATEVALUE($A136),'recurring1_based on steps'!AX$1:AX$400,0)),AX$2,)</f>
        <v>0</v>
      </c>
      <c r="AY136" s="140">
        <f ca="1">IF(ISNUMBER(MATCH(DATEVALUE($A136),'recurring1_based on steps'!AY$1:AY$400,0)),AY$2,)</f>
        <v>0</v>
      </c>
    </row>
    <row r="137" spans="1:51" x14ac:dyDescent="0.2">
      <c r="A137" s="29" t="str">
        <f t="shared" ca="1" si="2"/>
        <v>2025-08-08</v>
      </c>
      <c r="B137" s="140">
        <f ca="1">IF(ISNUMBER(MATCH(DATEVALUE($A137),'recurring1_based on steps'!B$1:B$400,0)),B$2,)</f>
        <v>4000</v>
      </c>
      <c r="C137" s="140">
        <f ca="1">IF(ISNUMBER(MATCH(DATEVALUE($A137),'recurring1_based on steps'!C$1:C$400,0)),C$2,)</f>
        <v>200</v>
      </c>
      <c r="D137" s="140">
        <f ca="1">IF(ISNUMBER(MATCH(DATEVALUE($A137),'recurring1_based on steps'!D$1:D$400,0)),D$2,)</f>
        <v>2</v>
      </c>
      <c r="E137" s="140">
        <f ca="1">IF(ISNUMBER(MATCH(DATEVALUE($A137),'recurring1_based on steps'!E$1:E$400,0)),E$2,)</f>
        <v>40</v>
      </c>
      <c r="F137" s="140">
        <f ca="1">IF(ISNUMBER(MATCH(DATEVALUE($A137),'recurring1_based on steps'!F$1:F$400,0)),F$2,)</f>
        <v>50</v>
      </c>
      <c r="G137" s="140">
        <f ca="1">IF(ISNUMBER(MATCH(DATEVALUE($A137),'recurring1_based on steps'!G$1:G$400,0)),G$2,)</f>
        <v>4</v>
      </c>
      <c r="H137" s="140">
        <f ca="1">IF(ISNUMBER(MATCH(DATEVALUE($A137),'recurring1_based on steps'!H$1:H$400,0)),H$2,)</f>
        <v>0</v>
      </c>
      <c r="I137" s="140">
        <f ca="1">IF(ISNUMBER(MATCH(DATEVALUE($A137),'recurring1_based on steps'!I$1:I$400,0)),I$2,)</f>
        <v>0</v>
      </c>
      <c r="J137" s="140">
        <f ca="1">IF(ISNUMBER(MATCH(DATEVALUE($A137),'recurring1_based on steps'!J$1:J$400,0)),J$2,)</f>
        <v>0</v>
      </c>
      <c r="K137" s="140">
        <f ca="1">IF(ISNUMBER(MATCH(DATEVALUE($A137),'recurring1_based on steps'!K$1:K$400,0)),K$2,)</f>
        <v>0</v>
      </c>
      <c r="L137" s="140">
        <f ca="1">IF(ISNUMBER(MATCH(DATEVALUE($A137),'recurring1_based on steps'!L$1:L$400,0)),L$2,)</f>
        <v>0</v>
      </c>
      <c r="M137" s="140">
        <f ca="1">IF(ISNUMBER(MATCH(DATEVALUE($A137),'recurring1_based on steps'!M$1:M$400,0)),M$2,)</f>
        <v>0</v>
      </c>
      <c r="N137" s="140">
        <f ca="1">IF(ISNUMBER(MATCH(DATEVALUE($A137),'recurring1_based on steps'!N$1:N$400,0)),N$2,)</f>
        <v>0</v>
      </c>
      <c r="O137" s="140">
        <f ca="1">IF(ISNUMBER(MATCH(DATEVALUE($A137),'recurring1_based on steps'!O$1:O$400,0)),O$2,)</f>
        <v>0</v>
      </c>
      <c r="P137" s="140">
        <f ca="1">IF(ISNUMBER(MATCH(DATEVALUE($A137),'recurring1_based on steps'!P$1:P$400,0)),P$2,)</f>
        <v>0</v>
      </c>
      <c r="Q137" s="140">
        <f ca="1">IF(ISNUMBER(MATCH(DATEVALUE($A137),'recurring1_based on steps'!Q$1:Q$400,0)),Q$2,)</f>
        <v>0</v>
      </c>
      <c r="R137" s="140">
        <f ca="1">IF(ISNUMBER(MATCH(DATEVALUE($A137),'recurring1_based on steps'!R$1:R$400,0)),R$2,)</f>
        <v>0</v>
      </c>
      <c r="S137" s="140">
        <f ca="1">IF(ISNUMBER(MATCH(DATEVALUE($A137),'recurring1_based on steps'!S$1:S$400,0)),S$2,)</f>
        <v>0</v>
      </c>
      <c r="T137" s="140">
        <f ca="1">IF(ISNUMBER(MATCH(DATEVALUE($A137),'recurring1_based on steps'!T$1:T$400,0)),T$2,)</f>
        <v>0</v>
      </c>
      <c r="U137" s="140">
        <f ca="1">IF(ISNUMBER(MATCH(DATEVALUE($A137),'recurring1_based on steps'!U$1:U$400,0)),U$2,)</f>
        <v>0</v>
      </c>
      <c r="V137" s="140">
        <f ca="1">IF(ISNUMBER(MATCH(DATEVALUE($A137),'recurring1_based on steps'!V$1:V$400,0)),V$2,)</f>
        <v>0</v>
      </c>
      <c r="W137" s="140">
        <f ca="1">IF(ISNUMBER(MATCH(DATEVALUE($A137),'recurring1_based on steps'!W$1:W$400,0)),W$2,)</f>
        <v>0</v>
      </c>
      <c r="X137" s="140">
        <f ca="1">IF(ISNUMBER(MATCH(DATEVALUE($A137),'recurring1_based on steps'!X$1:X$400,0)),X$2,)</f>
        <v>50</v>
      </c>
      <c r="Y137" s="140">
        <f ca="1">IF(ISNUMBER(MATCH(DATEVALUE($A137),'recurring1_based on steps'!Y$1:Y$400,0)),Y$2,)</f>
        <v>50</v>
      </c>
      <c r="Z137" s="140">
        <f ca="1">IF(ISNUMBER(MATCH(DATEVALUE($A137),'recurring1_based on steps'!Z$1:Z$400,0)),Z$2,)</f>
        <v>0</v>
      </c>
      <c r="AA137" s="140">
        <f ca="1">IF(ISNUMBER(MATCH(DATEVALUE($A137),'recurring1_based on steps'!AA$1:AA$400,0)),AA$2,)</f>
        <v>0</v>
      </c>
      <c r="AB137" s="140">
        <f ca="1">IF(ISNUMBER(MATCH(DATEVALUE($A137),'recurring1_based on steps'!AB$1:AB$400,0)),AB$2,)</f>
        <v>5.5401662049861494E-2</v>
      </c>
      <c r="AC137" s="140">
        <f ca="1">IF(ISNUMBER(MATCH(DATEVALUE($A137),'recurring1_based on steps'!AC$1:AC$400,0)),AC$2,)</f>
        <v>0</v>
      </c>
      <c r="AD137" s="140">
        <f ca="1">IF(ISNUMBER(MATCH(DATEVALUE($A137),'recurring1_based on steps'!AD$1:AD$400,0)),AD$2,)</f>
        <v>0</v>
      </c>
      <c r="AE137" s="140">
        <f ca="1">IF(ISNUMBER(MATCH(DATEVALUE($A137),'recurring1_based on steps'!AE$1:AE$400,0)),AE$2,)</f>
        <v>0</v>
      </c>
      <c r="AF137" s="140">
        <f ca="1">IF(ISNUMBER(MATCH(DATEVALUE($A137),'recurring1_based on steps'!AF$1:AF$400,0)),AF$2,)</f>
        <v>0</v>
      </c>
      <c r="AG137" s="140">
        <f ca="1">IF(ISNUMBER(MATCH(DATEVALUE($A137),'recurring1_based on steps'!AG$1:AG$400,0)),AG$2,)</f>
        <v>0</v>
      </c>
      <c r="AH137" s="140">
        <f ca="1">IF(ISNUMBER(MATCH(DATEVALUE($A137),'recurring1_based on steps'!AH$1:AH$400,0)),AH$2,)</f>
        <v>0</v>
      </c>
      <c r="AI137" s="140">
        <f ca="1">IF(ISNUMBER(MATCH(DATEVALUE($A137),'recurring1_based on steps'!AI$1:AI$400,0)),AI$2,)</f>
        <v>0</v>
      </c>
      <c r="AJ137" s="140">
        <f ca="1">IF(ISNUMBER(MATCH(DATEVALUE($A137),'recurring1_based on steps'!AJ$1:AJ$400,0)),AJ$2,)</f>
        <v>0</v>
      </c>
      <c r="AK137" s="140">
        <f ca="1">IF(ISNUMBER(MATCH(DATEVALUE($A137),'recurring1_based on steps'!AK$1:AK$400,0)),AK$2,)</f>
        <v>0</v>
      </c>
      <c r="AL137" s="140">
        <f ca="1">IF(ISNUMBER(MATCH(DATEVALUE($A137),'recurring1_based on steps'!AL$1:AL$400,0)),AL$2,)</f>
        <v>0</v>
      </c>
      <c r="AM137" s="140">
        <f ca="1">IF(ISNUMBER(MATCH(DATEVALUE($A137),'recurring1_based on steps'!AM$1:AM$400,0)),AM$2,)</f>
        <v>0</v>
      </c>
      <c r="AN137" s="140">
        <f ca="1">IF(ISNUMBER(MATCH(DATEVALUE($A137),'recurring1_based on steps'!AN$1:AN$400,0)),AN$2,)</f>
        <v>0</v>
      </c>
      <c r="AO137" s="140">
        <f ca="1">IF(ISNUMBER(MATCH(DATEVALUE($A137),'recurring1_based on steps'!AO$1:AO$400,0)),AO$2,)</f>
        <v>0</v>
      </c>
      <c r="AP137" s="140">
        <f ca="1">IF(ISNUMBER(MATCH(DATEVALUE($A137),'recurring1_based on steps'!AP$1:AP$400,0)),AP$2,)</f>
        <v>0</v>
      </c>
      <c r="AQ137" s="140">
        <f ca="1">IF(ISNUMBER(MATCH(DATEVALUE($A137),'recurring1_based on steps'!AQ$1:AQ$400,0)),AQ$2,)</f>
        <v>0</v>
      </c>
      <c r="AR137" s="140">
        <f ca="1">IF(ISNUMBER(MATCH(DATEVALUE($A137),'recurring1_based on steps'!AR$1:AR$400,0)),AR$2,)</f>
        <v>0</v>
      </c>
      <c r="AS137" s="140">
        <f ca="1">IF(ISNUMBER(MATCH(DATEVALUE($A137),'recurring1_based on steps'!AS$1:AS$400,0)),AS$2,)</f>
        <v>0</v>
      </c>
      <c r="AT137" s="140">
        <f ca="1">IF(ISNUMBER(MATCH(DATEVALUE($A137),'recurring1_based on steps'!AT$1:AT$400,0)),AT$2,)</f>
        <v>0</v>
      </c>
      <c r="AU137" s="140">
        <f ca="1">IF(ISNUMBER(MATCH(DATEVALUE($A137),'recurring1_based on steps'!AU$1:AU$400,0)),AU$2,)</f>
        <v>0</v>
      </c>
      <c r="AV137" s="140">
        <f ca="1">IF(ISNUMBER(MATCH(DATEVALUE($A137),'recurring1_based on steps'!AV$1:AV$400,0)),AV$2,)</f>
        <v>0</v>
      </c>
      <c r="AW137" s="140">
        <f ca="1">IF(ISNUMBER(MATCH(DATEVALUE($A137),'recurring1_based on steps'!AW$1:AW$400,0)),AW$2,)</f>
        <v>0</v>
      </c>
      <c r="AX137" s="140">
        <f ca="1">IF(ISNUMBER(MATCH(DATEVALUE($A137),'recurring1_based on steps'!AX$1:AX$400,0)),AX$2,)</f>
        <v>0</v>
      </c>
      <c r="AY137" s="140">
        <f ca="1">IF(ISNUMBER(MATCH(DATEVALUE($A137),'recurring1_based on steps'!AY$1:AY$400,0)),AY$2,)</f>
        <v>0</v>
      </c>
    </row>
    <row r="138" spans="1:51" x14ac:dyDescent="0.2">
      <c r="A138" s="29" t="str">
        <f t="shared" ca="1" si="2"/>
        <v>2025-08-09</v>
      </c>
      <c r="B138" s="140">
        <f ca="1">IF(ISNUMBER(MATCH(DATEVALUE($A138),'recurring1_based on steps'!B$1:B$400,0)),B$2,)</f>
        <v>0</v>
      </c>
      <c r="C138" s="140">
        <f ca="1">IF(ISNUMBER(MATCH(DATEVALUE($A138),'recurring1_based on steps'!C$1:C$400,0)),C$2,)</f>
        <v>0</v>
      </c>
      <c r="D138" s="140">
        <f ca="1">IF(ISNUMBER(MATCH(DATEVALUE($A138),'recurring1_based on steps'!D$1:D$400,0)),D$2,)</f>
        <v>0</v>
      </c>
      <c r="E138" s="140">
        <f ca="1">IF(ISNUMBER(MATCH(DATEVALUE($A138),'recurring1_based on steps'!E$1:E$400,0)),E$2,)</f>
        <v>0</v>
      </c>
      <c r="F138" s="140">
        <f ca="1">IF(ISNUMBER(MATCH(DATEVALUE($A138),'recurring1_based on steps'!F$1:F$400,0)),F$2,)</f>
        <v>0</v>
      </c>
      <c r="G138" s="140">
        <f ca="1">IF(ISNUMBER(MATCH(DATEVALUE($A138),'recurring1_based on steps'!G$1:G$400,0)),G$2,)</f>
        <v>0</v>
      </c>
      <c r="H138" s="140">
        <f ca="1">IF(ISNUMBER(MATCH(DATEVALUE($A138),'recurring1_based on steps'!H$1:H$400,0)),H$2,)</f>
        <v>0</v>
      </c>
      <c r="I138" s="140">
        <f ca="1">IF(ISNUMBER(MATCH(DATEVALUE($A138),'recurring1_based on steps'!I$1:I$400,0)),I$2,)</f>
        <v>0</v>
      </c>
      <c r="J138" s="140">
        <f ca="1">IF(ISNUMBER(MATCH(DATEVALUE($A138),'recurring1_based on steps'!J$1:J$400,0)),J$2,)</f>
        <v>0</v>
      </c>
      <c r="K138" s="140">
        <f ca="1">IF(ISNUMBER(MATCH(DATEVALUE($A138),'recurring1_based on steps'!K$1:K$400,0)),K$2,)</f>
        <v>0</v>
      </c>
      <c r="L138" s="140">
        <f ca="1">IF(ISNUMBER(MATCH(DATEVALUE($A138),'recurring1_based on steps'!L$1:L$400,0)),L$2,)</f>
        <v>0</v>
      </c>
      <c r="M138" s="140">
        <f ca="1">IF(ISNUMBER(MATCH(DATEVALUE($A138),'recurring1_based on steps'!M$1:M$400,0)),M$2,)</f>
        <v>0</v>
      </c>
      <c r="N138" s="140">
        <f ca="1">IF(ISNUMBER(MATCH(DATEVALUE($A138),'recurring1_based on steps'!N$1:N$400,0)),N$2,)</f>
        <v>0</v>
      </c>
      <c r="O138" s="140">
        <f ca="1">IF(ISNUMBER(MATCH(DATEVALUE($A138),'recurring1_based on steps'!O$1:O$400,0)),O$2,)</f>
        <v>0</v>
      </c>
      <c r="P138" s="140">
        <f ca="1">IF(ISNUMBER(MATCH(DATEVALUE($A138),'recurring1_based on steps'!P$1:P$400,0)),P$2,)</f>
        <v>0</v>
      </c>
      <c r="Q138" s="140">
        <f ca="1">IF(ISNUMBER(MATCH(DATEVALUE($A138),'recurring1_based on steps'!Q$1:Q$400,0)),Q$2,)</f>
        <v>100</v>
      </c>
      <c r="R138" s="140">
        <f ca="1">IF(ISNUMBER(MATCH(DATEVALUE($A138),'recurring1_based on steps'!R$1:R$400,0)),R$2,)</f>
        <v>100</v>
      </c>
      <c r="S138" s="140">
        <f ca="1">IF(ISNUMBER(MATCH(DATEVALUE($A138),'recurring1_based on steps'!S$1:S$400,0)),S$2,)</f>
        <v>0</v>
      </c>
      <c r="T138" s="140">
        <f ca="1">IF(ISNUMBER(MATCH(DATEVALUE($A138),'recurring1_based on steps'!T$1:T$400,0)),T$2,)</f>
        <v>0</v>
      </c>
      <c r="U138" s="140">
        <f ca="1">IF(ISNUMBER(MATCH(DATEVALUE($A138),'recurring1_based on steps'!U$1:U$400,0)),U$2,)</f>
        <v>0</v>
      </c>
      <c r="V138" s="140">
        <f ca="1">IF(ISNUMBER(MATCH(DATEVALUE($A138),'recurring1_based on steps'!V$1:V$400,0)),V$2,)</f>
        <v>0</v>
      </c>
      <c r="W138" s="140">
        <f ca="1">IF(ISNUMBER(MATCH(DATEVALUE($A138),'recurring1_based on steps'!W$1:W$400,0)),W$2,)</f>
        <v>0</v>
      </c>
      <c r="X138" s="140">
        <f ca="1">IF(ISNUMBER(MATCH(DATEVALUE($A138),'recurring1_based on steps'!X$1:X$400,0)),X$2,)</f>
        <v>0</v>
      </c>
      <c r="Y138" s="140">
        <f ca="1">IF(ISNUMBER(MATCH(DATEVALUE($A138),'recurring1_based on steps'!Y$1:Y$400,0)),Y$2,)</f>
        <v>0</v>
      </c>
      <c r="Z138" s="140">
        <f ca="1">IF(ISNUMBER(MATCH(DATEVALUE($A138),'recurring1_based on steps'!Z$1:Z$400,0)),Z$2,)</f>
        <v>0</v>
      </c>
      <c r="AA138" s="140">
        <f ca="1">IF(ISNUMBER(MATCH(DATEVALUE($A138),'recurring1_based on steps'!AA$1:AA$400,0)),AA$2,)</f>
        <v>0</v>
      </c>
      <c r="AB138" s="140">
        <f ca="1">IF(ISNUMBER(MATCH(DATEVALUE($A138),'recurring1_based on steps'!AB$1:AB$400,0)),AB$2,)</f>
        <v>5.5401662049861494E-2</v>
      </c>
      <c r="AC138" s="140">
        <f ca="1">IF(ISNUMBER(MATCH(DATEVALUE($A138),'recurring1_based on steps'!AC$1:AC$400,0)),AC$2,)</f>
        <v>0</v>
      </c>
      <c r="AD138" s="140">
        <f ca="1">IF(ISNUMBER(MATCH(DATEVALUE($A138),'recurring1_based on steps'!AD$1:AD$400,0)),AD$2,)</f>
        <v>0</v>
      </c>
      <c r="AE138" s="140">
        <f ca="1">IF(ISNUMBER(MATCH(DATEVALUE($A138),'recurring1_based on steps'!AE$1:AE$400,0)),AE$2,)</f>
        <v>0</v>
      </c>
      <c r="AF138" s="140">
        <f ca="1">IF(ISNUMBER(MATCH(DATEVALUE($A138),'recurring1_based on steps'!AF$1:AF$400,0)),AF$2,)</f>
        <v>0</v>
      </c>
      <c r="AG138" s="140">
        <f ca="1">IF(ISNUMBER(MATCH(DATEVALUE($A138),'recurring1_based on steps'!AG$1:AG$400,0)),AG$2,)</f>
        <v>0</v>
      </c>
      <c r="AH138" s="140">
        <f ca="1">IF(ISNUMBER(MATCH(DATEVALUE($A138),'recurring1_based on steps'!AH$1:AH$400,0)),AH$2,)</f>
        <v>0</v>
      </c>
      <c r="AI138" s="140">
        <f ca="1">IF(ISNUMBER(MATCH(DATEVALUE($A138),'recurring1_based on steps'!AI$1:AI$400,0)),AI$2,)</f>
        <v>0</v>
      </c>
      <c r="AJ138" s="140">
        <f ca="1">IF(ISNUMBER(MATCH(DATEVALUE($A138),'recurring1_based on steps'!AJ$1:AJ$400,0)),AJ$2,)</f>
        <v>0</v>
      </c>
      <c r="AK138" s="140">
        <f ca="1">IF(ISNUMBER(MATCH(DATEVALUE($A138),'recurring1_based on steps'!AK$1:AK$400,0)),AK$2,)</f>
        <v>0</v>
      </c>
      <c r="AL138" s="140">
        <f ca="1">IF(ISNUMBER(MATCH(DATEVALUE($A138),'recurring1_based on steps'!AL$1:AL$400,0)),AL$2,)</f>
        <v>0</v>
      </c>
      <c r="AM138" s="140">
        <f ca="1">IF(ISNUMBER(MATCH(DATEVALUE($A138),'recurring1_based on steps'!AM$1:AM$400,0)),AM$2,)</f>
        <v>0</v>
      </c>
      <c r="AN138" s="140">
        <f ca="1">IF(ISNUMBER(MATCH(DATEVALUE($A138),'recurring1_based on steps'!AN$1:AN$400,0)),AN$2,)</f>
        <v>0</v>
      </c>
      <c r="AO138" s="140">
        <f ca="1">IF(ISNUMBER(MATCH(DATEVALUE($A138),'recurring1_based on steps'!AO$1:AO$400,0)),AO$2,)</f>
        <v>0</v>
      </c>
      <c r="AP138" s="140">
        <f ca="1">IF(ISNUMBER(MATCH(DATEVALUE($A138),'recurring1_based on steps'!AP$1:AP$400,0)),AP$2,)</f>
        <v>0</v>
      </c>
      <c r="AQ138" s="140">
        <f ca="1">IF(ISNUMBER(MATCH(DATEVALUE($A138),'recurring1_based on steps'!AQ$1:AQ$400,0)),AQ$2,)</f>
        <v>0</v>
      </c>
      <c r="AR138" s="140">
        <f ca="1">IF(ISNUMBER(MATCH(DATEVALUE($A138),'recurring1_based on steps'!AR$1:AR$400,0)),AR$2,)</f>
        <v>0</v>
      </c>
      <c r="AS138" s="140">
        <f ca="1">IF(ISNUMBER(MATCH(DATEVALUE($A138),'recurring1_based on steps'!AS$1:AS$400,0)),AS$2,)</f>
        <v>0</v>
      </c>
      <c r="AT138" s="140">
        <f ca="1">IF(ISNUMBER(MATCH(DATEVALUE($A138),'recurring1_based on steps'!AT$1:AT$400,0)),AT$2,)</f>
        <v>0</v>
      </c>
      <c r="AU138" s="140">
        <f ca="1">IF(ISNUMBER(MATCH(DATEVALUE($A138),'recurring1_based on steps'!AU$1:AU$400,0)),AU$2,)</f>
        <v>0</v>
      </c>
      <c r="AV138" s="140">
        <f ca="1">IF(ISNUMBER(MATCH(DATEVALUE($A138),'recurring1_based on steps'!AV$1:AV$400,0)),AV$2,)</f>
        <v>0</v>
      </c>
      <c r="AW138" s="140">
        <f ca="1">IF(ISNUMBER(MATCH(DATEVALUE($A138),'recurring1_based on steps'!AW$1:AW$400,0)),AW$2,)</f>
        <v>0</v>
      </c>
      <c r="AX138" s="140">
        <f ca="1">IF(ISNUMBER(MATCH(DATEVALUE($A138),'recurring1_based on steps'!AX$1:AX$400,0)),AX$2,)</f>
        <v>0</v>
      </c>
      <c r="AY138" s="140">
        <f ca="1">IF(ISNUMBER(MATCH(DATEVALUE($A138),'recurring1_based on steps'!AY$1:AY$400,0)),AY$2,)</f>
        <v>0</v>
      </c>
    </row>
    <row r="139" spans="1:51" x14ac:dyDescent="0.2">
      <c r="A139" s="29" t="str">
        <f t="shared" ca="1" si="2"/>
        <v>2025-08-10</v>
      </c>
      <c r="B139" s="140">
        <f ca="1">IF(ISNUMBER(MATCH(DATEVALUE($A139),'recurring1_based on steps'!B$1:B$400,0)),B$2,)</f>
        <v>0</v>
      </c>
      <c r="C139" s="140">
        <f ca="1">IF(ISNUMBER(MATCH(DATEVALUE($A139),'recurring1_based on steps'!C$1:C$400,0)),C$2,)</f>
        <v>0</v>
      </c>
      <c r="D139" s="140">
        <f ca="1">IF(ISNUMBER(MATCH(DATEVALUE($A139),'recurring1_based on steps'!D$1:D$400,0)),D$2,)</f>
        <v>0</v>
      </c>
      <c r="E139" s="140">
        <f ca="1">IF(ISNUMBER(MATCH(DATEVALUE($A139),'recurring1_based on steps'!E$1:E$400,0)),E$2,)</f>
        <v>0</v>
      </c>
      <c r="F139" s="140">
        <f ca="1">IF(ISNUMBER(MATCH(DATEVALUE($A139),'recurring1_based on steps'!F$1:F$400,0)),F$2,)</f>
        <v>0</v>
      </c>
      <c r="G139" s="140">
        <f ca="1">IF(ISNUMBER(MATCH(DATEVALUE($A139),'recurring1_based on steps'!G$1:G$400,0)),G$2,)</f>
        <v>0</v>
      </c>
      <c r="H139" s="140">
        <f ca="1">IF(ISNUMBER(MATCH(DATEVALUE($A139),'recurring1_based on steps'!H$1:H$400,0)),H$2,)</f>
        <v>0</v>
      </c>
      <c r="I139" s="140">
        <f ca="1">IF(ISNUMBER(MATCH(DATEVALUE($A139),'recurring1_based on steps'!I$1:I$400,0)),I$2,)</f>
        <v>0</v>
      </c>
      <c r="J139" s="140">
        <f ca="1">IF(ISNUMBER(MATCH(DATEVALUE($A139),'recurring1_based on steps'!J$1:J$400,0)),J$2,)</f>
        <v>0</v>
      </c>
      <c r="K139" s="140">
        <f ca="1">IF(ISNUMBER(MATCH(DATEVALUE($A139),'recurring1_based on steps'!K$1:K$400,0)),K$2,)</f>
        <v>50</v>
      </c>
      <c r="L139" s="140">
        <f ca="1">IF(ISNUMBER(MATCH(DATEVALUE($A139),'recurring1_based on steps'!L$1:L$400,0)),L$2,)</f>
        <v>0</v>
      </c>
      <c r="M139" s="140">
        <f ca="1">IF(ISNUMBER(MATCH(DATEVALUE($A139),'recurring1_based on steps'!M$1:M$400,0)),M$2,)</f>
        <v>0</v>
      </c>
      <c r="N139" s="140">
        <f ca="1">IF(ISNUMBER(MATCH(DATEVALUE($A139),'recurring1_based on steps'!N$1:N$400,0)),N$2,)</f>
        <v>0</v>
      </c>
      <c r="O139" s="140">
        <f ca="1">IF(ISNUMBER(MATCH(DATEVALUE($A139),'recurring1_based on steps'!O$1:O$400,0)),O$2,)</f>
        <v>0</v>
      </c>
      <c r="P139" s="140">
        <f ca="1">IF(ISNUMBER(MATCH(DATEVALUE($A139),'recurring1_based on steps'!P$1:P$400,0)),P$2,)</f>
        <v>0</v>
      </c>
      <c r="Q139" s="140">
        <f ca="1">IF(ISNUMBER(MATCH(DATEVALUE($A139),'recurring1_based on steps'!Q$1:Q$400,0)),Q$2,)</f>
        <v>0</v>
      </c>
      <c r="R139" s="140">
        <f ca="1">IF(ISNUMBER(MATCH(DATEVALUE($A139),'recurring1_based on steps'!R$1:R$400,0)),R$2,)</f>
        <v>0</v>
      </c>
      <c r="S139" s="140">
        <f ca="1">IF(ISNUMBER(MATCH(DATEVALUE($A139),'recurring1_based on steps'!S$1:S$400,0)),S$2,)</f>
        <v>100</v>
      </c>
      <c r="T139" s="140">
        <f ca="1">IF(ISNUMBER(MATCH(DATEVALUE($A139),'recurring1_based on steps'!T$1:T$400,0)),T$2,)</f>
        <v>0</v>
      </c>
      <c r="U139" s="140">
        <f ca="1">IF(ISNUMBER(MATCH(DATEVALUE($A139),'recurring1_based on steps'!U$1:U$400,0)),U$2,)</f>
        <v>0</v>
      </c>
      <c r="V139" s="140">
        <f ca="1">IF(ISNUMBER(MATCH(DATEVALUE($A139),'recurring1_based on steps'!V$1:V$400,0)),V$2,)</f>
        <v>0</v>
      </c>
      <c r="W139" s="140">
        <f ca="1">IF(ISNUMBER(MATCH(DATEVALUE($A139),'recurring1_based on steps'!W$1:W$400,0)),W$2,)</f>
        <v>0</v>
      </c>
      <c r="X139" s="140">
        <f ca="1">IF(ISNUMBER(MATCH(DATEVALUE($A139),'recurring1_based on steps'!X$1:X$400,0)),X$2,)</f>
        <v>0</v>
      </c>
      <c r="Y139" s="140">
        <f ca="1">IF(ISNUMBER(MATCH(DATEVALUE($A139),'recurring1_based on steps'!Y$1:Y$400,0)),Y$2,)</f>
        <v>0</v>
      </c>
      <c r="Z139" s="140">
        <f ca="1">IF(ISNUMBER(MATCH(DATEVALUE($A139),'recurring1_based on steps'!Z$1:Z$400,0)),Z$2,)</f>
        <v>0</v>
      </c>
      <c r="AA139" s="140">
        <f ca="1">IF(ISNUMBER(MATCH(DATEVALUE($A139),'recurring1_based on steps'!AA$1:AA$400,0)),AA$2,)</f>
        <v>0</v>
      </c>
      <c r="AB139" s="140">
        <f ca="1">IF(ISNUMBER(MATCH(DATEVALUE($A139),'recurring1_based on steps'!AB$1:AB$400,0)),AB$2,)</f>
        <v>5.5401662049861494E-2</v>
      </c>
      <c r="AC139" s="140">
        <f ca="1">IF(ISNUMBER(MATCH(DATEVALUE($A139),'recurring1_based on steps'!AC$1:AC$400,0)),AC$2,)</f>
        <v>0</v>
      </c>
      <c r="AD139" s="140">
        <f ca="1">IF(ISNUMBER(MATCH(DATEVALUE($A139),'recurring1_based on steps'!AD$1:AD$400,0)),AD$2,)</f>
        <v>0</v>
      </c>
      <c r="AE139" s="140">
        <f ca="1">IF(ISNUMBER(MATCH(DATEVALUE($A139),'recurring1_based on steps'!AE$1:AE$400,0)),AE$2,)</f>
        <v>0</v>
      </c>
      <c r="AF139" s="140">
        <f ca="1">IF(ISNUMBER(MATCH(DATEVALUE($A139),'recurring1_based on steps'!AF$1:AF$400,0)),AF$2,)</f>
        <v>0</v>
      </c>
      <c r="AG139" s="140">
        <f ca="1">IF(ISNUMBER(MATCH(DATEVALUE($A139),'recurring1_based on steps'!AG$1:AG$400,0)),AG$2,)</f>
        <v>0</v>
      </c>
      <c r="AH139" s="140">
        <f ca="1">IF(ISNUMBER(MATCH(DATEVALUE($A139),'recurring1_based on steps'!AH$1:AH$400,0)),AH$2,)</f>
        <v>0</v>
      </c>
      <c r="AI139" s="140">
        <f ca="1">IF(ISNUMBER(MATCH(DATEVALUE($A139),'recurring1_based on steps'!AI$1:AI$400,0)),AI$2,)</f>
        <v>0</v>
      </c>
      <c r="AJ139" s="140">
        <f ca="1">IF(ISNUMBER(MATCH(DATEVALUE($A139),'recurring1_based on steps'!AJ$1:AJ$400,0)),AJ$2,)</f>
        <v>0</v>
      </c>
      <c r="AK139" s="140">
        <f ca="1">IF(ISNUMBER(MATCH(DATEVALUE($A139),'recurring1_based on steps'!AK$1:AK$400,0)),AK$2,)</f>
        <v>0</v>
      </c>
      <c r="AL139" s="140">
        <f ca="1">IF(ISNUMBER(MATCH(DATEVALUE($A139),'recurring1_based on steps'!AL$1:AL$400,0)),AL$2,)</f>
        <v>0</v>
      </c>
      <c r="AM139" s="140">
        <f ca="1">IF(ISNUMBER(MATCH(DATEVALUE($A139),'recurring1_based on steps'!AM$1:AM$400,0)),AM$2,)</f>
        <v>0</v>
      </c>
      <c r="AN139" s="140">
        <f ca="1">IF(ISNUMBER(MATCH(DATEVALUE($A139),'recurring1_based on steps'!AN$1:AN$400,0)),AN$2,)</f>
        <v>0</v>
      </c>
      <c r="AO139" s="140">
        <f ca="1">IF(ISNUMBER(MATCH(DATEVALUE($A139),'recurring1_based on steps'!AO$1:AO$400,0)),AO$2,)</f>
        <v>0</v>
      </c>
      <c r="AP139" s="140">
        <f ca="1">IF(ISNUMBER(MATCH(DATEVALUE($A139),'recurring1_based on steps'!AP$1:AP$400,0)),AP$2,)</f>
        <v>0</v>
      </c>
      <c r="AQ139" s="140">
        <f ca="1">IF(ISNUMBER(MATCH(DATEVALUE($A139),'recurring1_based on steps'!AQ$1:AQ$400,0)),AQ$2,)</f>
        <v>0</v>
      </c>
      <c r="AR139" s="140">
        <f ca="1">IF(ISNUMBER(MATCH(DATEVALUE($A139),'recurring1_based on steps'!AR$1:AR$400,0)),AR$2,)</f>
        <v>0</v>
      </c>
      <c r="AS139" s="140">
        <f ca="1">IF(ISNUMBER(MATCH(DATEVALUE($A139),'recurring1_based on steps'!AS$1:AS$400,0)),AS$2,)</f>
        <v>0</v>
      </c>
      <c r="AT139" s="140">
        <f ca="1">IF(ISNUMBER(MATCH(DATEVALUE($A139),'recurring1_based on steps'!AT$1:AT$400,0)),AT$2,)</f>
        <v>0</v>
      </c>
      <c r="AU139" s="140">
        <f ca="1">IF(ISNUMBER(MATCH(DATEVALUE($A139),'recurring1_based on steps'!AU$1:AU$400,0)),AU$2,)</f>
        <v>0</v>
      </c>
      <c r="AV139" s="140">
        <f ca="1">IF(ISNUMBER(MATCH(DATEVALUE($A139),'recurring1_based on steps'!AV$1:AV$400,0)),AV$2,)</f>
        <v>0</v>
      </c>
      <c r="AW139" s="140">
        <f ca="1">IF(ISNUMBER(MATCH(DATEVALUE($A139),'recurring1_based on steps'!AW$1:AW$400,0)),AW$2,)</f>
        <v>0</v>
      </c>
      <c r="AX139" s="140">
        <f ca="1">IF(ISNUMBER(MATCH(DATEVALUE($A139),'recurring1_based on steps'!AX$1:AX$400,0)),AX$2,)</f>
        <v>0</v>
      </c>
      <c r="AY139" s="140">
        <f ca="1">IF(ISNUMBER(MATCH(DATEVALUE($A139),'recurring1_based on steps'!AY$1:AY$400,0)),AY$2,)</f>
        <v>0</v>
      </c>
    </row>
    <row r="140" spans="1:51" x14ac:dyDescent="0.2">
      <c r="A140" s="29" t="str">
        <f t="shared" ca="1" si="2"/>
        <v>2025-08-11</v>
      </c>
      <c r="B140" s="140">
        <f ca="1">IF(ISNUMBER(MATCH(DATEVALUE($A140),'recurring1_based on steps'!B$1:B$400,0)),B$2,)</f>
        <v>0</v>
      </c>
      <c r="C140" s="140">
        <f ca="1">IF(ISNUMBER(MATCH(DATEVALUE($A140),'recurring1_based on steps'!C$1:C$400,0)),C$2,)</f>
        <v>0</v>
      </c>
      <c r="D140" s="140">
        <f ca="1">IF(ISNUMBER(MATCH(DATEVALUE($A140),'recurring1_based on steps'!D$1:D$400,0)),D$2,)</f>
        <v>0</v>
      </c>
      <c r="E140" s="140">
        <f ca="1">IF(ISNUMBER(MATCH(DATEVALUE($A140),'recurring1_based on steps'!E$1:E$400,0)),E$2,)</f>
        <v>0</v>
      </c>
      <c r="F140" s="140">
        <f ca="1">IF(ISNUMBER(MATCH(DATEVALUE($A140),'recurring1_based on steps'!F$1:F$400,0)),F$2,)</f>
        <v>0</v>
      </c>
      <c r="G140" s="140">
        <f ca="1">IF(ISNUMBER(MATCH(DATEVALUE($A140),'recurring1_based on steps'!G$1:G$400,0)),G$2,)</f>
        <v>0</v>
      </c>
      <c r="H140" s="140">
        <f ca="1">IF(ISNUMBER(MATCH(DATEVALUE($A140),'recurring1_based on steps'!H$1:H$400,0)),H$2,)</f>
        <v>0</v>
      </c>
      <c r="I140" s="140">
        <f ca="1">IF(ISNUMBER(MATCH(DATEVALUE($A140),'recurring1_based on steps'!I$1:I$400,0)),I$2,)</f>
        <v>0</v>
      </c>
      <c r="J140" s="140">
        <f ca="1">IF(ISNUMBER(MATCH(DATEVALUE($A140),'recurring1_based on steps'!J$1:J$400,0)),J$2,)</f>
        <v>0</v>
      </c>
      <c r="K140" s="140">
        <f ca="1">IF(ISNUMBER(MATCH(DATEVALUE($A140),'recurring1_based on steps'!K$1:K$400,0)),K$2,)</f>
        <v>0</v>
      </c>
      <c r="L140" s="140">
        <f ca="1">IF(ISNUMBER(MATCH(DATEVALUE($A140),'recurring1_based on steps'!L$1:L$400,0)),L$2,)</f>
        <v>0</v>
      </c>
      <c r="M140" s="140">
        <f ca="1">IF(ISNUMBER(MATCH(DATEVALUE($A140),'recurring1_based on steps'!M$1:M$400,0)),M$2,)</f>
        <v>0</v>
      </c>
      <c r="N140" s="140">
        <f ca="1">IF(ISNUMBER(MATCH(DATEVALUE($A140),'recurring1_based on steps'!N$1:N$400,0)),N$2,)</f>
        <v>0</v>
      </c>
      <c r="O140" s="140">
        <f ca="1">IF(ISNUMBER(MATCH(DATEVALUE($A140),'recurring1_based on steps'!O$1:O$400,0)),O$2,)</f>
        <v>0</v>
      </c>
      <c r="P140" s="140">
        <f ca="1">IF(ISNUMBER(MATCH(DATEVALUE($A140),'recurring1_based on steps'!P$1:P$400,0)),P$2,)</f>
        <v>0</v>
      </c>
      <c r="Q140" s="140">
        <f ca="1">IF(ISNUMBER(MATCH(DATEVALUE($A140),'recurring1_based on steps'!Q$1:Q$400,0)),Q$2,)</f>
        <v>0</v>
      </c>
      <c r="R140" s="140">
        <f ca="1">IF(ISNUMBER(MATCH(DATEVALUE($A140),'recurring1_based on steps'!R$1:R$400,0)),R$2,)</f>
        <v>0</v>
      </c>
      <c r="S140" s="140">
        <f ca="1">IF(ISNUMBER(MATCH(DATEVALUE($A140),'recurring1_based on steps'!S$1:S$400,0)),S$2,)</f>
        <v>0</v>
      </c>
      <c r="T140" s="140">
        <f ca="1">IF(ISNUMBER(MATCH(DATEVALUE($A140),'recurring1_based on steps'!T$1:T$400,0)),T$2,)</f>
        <v>50</v>
      </c>
      <c r="U140" s="140">
        <f ca="1">IF(ISNUMBER(MATCH(DATEVALUE($A140),'recurring1_based on steps'!U$1:U$400,0)),U$2,)</f>
        <v>0</v>
      </c>
      <c r="V140" s="140">
        <f ca="1">IF(ISNUMBER(MATCH(DATEVALUE($A140),'recurring1_based on steps'!V$1:V$400,0)),V$2,)</f>
        <v>0</v>
      </c>
      <c r="W140" s="140">
        <f ca="1">IF(ISNUMBER(MATCH(DATEVALUE($A140),'recurring1_based on steps'!W$1:W$400,0)),W$2,)</f>
        <v>0</v>
      </c>
      <c r="X140" s="140">
        <f ca="1">IF(ISNUMBER(MATCH(DATEVALUE($A140),'recurring1_based on steps'!X$1:X$400,0)),X$2,)</f>
        <v>0</v>
      </c>
      <c r="Y140" s="140">
        <f ca="1">IF(ISNUMBER(MATCH(DATEVALUE($A140),'recurring1_based on steps'!Y$1:Y$400,0)),Y$2,)</f>
        <v>0</v>
      </c>
      <c r="Z140" s="140">
        <f ca="1">IF(ISNUMBER(MATCH(DATEVALUE($A140),'recurring1_based on steps'!Z$1:Z$400,0)),Z$2,)</f>
        <v>0</v>
      </c>
      <c r="AA140" s="140">
        <f ca="1">IF(ISNUMBER(MATCH(DATEVALUE($A140),'recurring1_based on steps'!AA$1:AA$400,0)),AA$2,)</f>
        <v>0</v>
      </c>
      <c r="AB140" s="140">
        <f ca="1">IF(ISNUMBER(MATCH(DATEVALUE($A140),'recurring1_based on steps'!AB$1:AB$400,0)),AB$2,)</f>
        <v>5.5401662049861494E-2</v>
      </c>
      <c r="AC140" s="140">
        <f ca="1">IF(ISNUMBER(MATCH(DATEVALUE($A140),'recurring1_based on steps'!AC$1:AC$400,0)),AC$2,)</f>
        <v>0</v>
      </c>
      <c r="AD140" s="140">
        <f ca="1">IF(ISNUMBER(MATCH(DATEVALUE($A140),'recurring1_based on steps'!AD$1:AD$400,0)),AD$2,)</f>
        <v>0</v>
      </c>
      <c r="AE140" s="140">
        <f ca="1">IF(ISNUMBER(MATCH(DATEVALUE($A140),'recurring1_based on steps'!AE$1:AE$400,0)),AE$2,)</f>
        <v>0</v>
      </c>
      <c r="AF140" s="140">
        <f ca="1">IF(ISNUMBER(MATCH(DATEVALUE($A140),'recurring1_based on steps'!AF$1:AF$400,0)),AF$2,)</f>
        <v>0</v>
      </c>
      <c r="AG140" s="140">
        <f ca="1">IF(ISNUMBER(MATCH(DATEVALUE($A140),'recurring1_based on steps'!AG$1:AG$400,0)),AG$2,)</f>
        <v>0</v>
      </c>
      <c r="AH140" s="140">
        <f ca="1">IF(ISNUMBER(MATCH(DATEVALUE($A140),'recurring1_based on steps'!AH$1:AH$400,0)),AH$2,)</f>
        <v>0</v>
      </c>
      <c r="AI140" s="140">
        <f ca="1">IF(ISNUMBER(MATCH(DATEVALUE($A140),'recurring1_based on steps'!AI$1:AI$400,0)),AI$2,)</f>
        <v>0</v>
      </c>
      <c r="AJ140" s="140">
        <f ca="1">IF(ISNUMBER(MATCH(DATEVALUE($A140),'recurring1_based on steps'!AJ$1:AJ$400,0)),AJ$2,)</f>
        <v>0</v>
      </c>
      <c r="AK140" s="140">
        <f ca="1">IF(ISNUMBER(MATCH(DATEVALUE($A140),'recurring1_based on steps'!AK$1:AK$400,0)),AK$2,)</f>
        <v>0</v>
      </c>
      <c r="AL140" s="140">
        <f ca="1">IF(ISNUMBER(MATCH(DATEVALUE($A140),'recurring1_based on steps'!AL$1:AL$400,0)),AL$2,)</f>
        <v>0</v>
      </c>
      <c r="AM140" s="140">
        <f ca="1">IF(ISNUMBER(MATCH(DATEVALUE($A140),'recurring1_based on steps'!AM$1:AM$400,0)),AM$2,)</f>
        <v>0</v>
      </c>
      <c r="AN140" s="140">
        <f ca="1">IF(ISNUMBER(MATCH(DATEVALUE($A140),'recurring1_based on steps'!AN$1:AN$400,0)),AN$2,)</f>
        <v>0</v>
      </c>
      <c r="AO140" s="140">
        <f ca="1">IF(ISNUMBER(MATCH(DATEVALUE($A140),'recurring1_based on steps'!AO$1:AO$400,0)),AO$2,)</f>
        <v>0</v>
      </c>
      <c r="AP140" s="140">
        <f ca="1">IF(ISNUMBER(MATCH(DATEVALUE($A140),'recurring1_based on steps'!AP$1:AP$400,0)),AP$2,)</f>
        <v>0</v>
      </c>
      <c r="AQ140" s="140">
        <f ca="1">IF(ISNUMBER(MATCH(DATEVALUE($A140),'recurring1_based on steps'!AQ$1:AQ$400,0)),AQ$2,)</f>
        <v>0</v>
      </c>
      <c r="AR140" s="140">
        <f ca="1">IF(ISNUMBER(MATCH(DATEVALUE($A140),'recurring1_based on steps'!AR$1:AR$400,0)),AR$2,)</f>
        <v>0</v>
      </c>
      <c r="AS140" s="140">
        <f ca="1">IF(ISNUMBER(MATCH(DATEVALUE($A140),'recurring1_based on steps'!AS$1:AS$400,0)),AS$2,)</f>
        <v>0</v>
      </c>
      <c r="AT140" s="140">
        <f ca="1">IF(ISNUMBER(MATCH(DATEVALUE($A140),'recurring1_based on steps'!AT$1:AT$400,0)),AT$2,)</f>
        <v>0</v>
      </c>
      <c r="AU140" s="140">
        <f ca="1">IF(ISNUMBER(MATCH(DATEVALUE($A140),'recurring1_based on steps'!AU$1:AU$400,0)),AU$2,)</f>
        <v>0</v>
      </c>
      <c r="AV140" s="140">
        <f ca="1">IF(ISNUMBER(MATCH(DATEVALUE($A140),'recurring1_based on steps'!AV$1:AV$400,0)),AV$2,)</f>
        <v>0</v>
      </c>
      <c r="AW140" s="140">
        <f ca="1">IF(ISNUMBER(MATCH(DATEVALUE($A140),'recurring1_based on steps'!AW$1:AW$400,0)),AW$2,)</f>
        <v>0</v>
      </c>
      <c r="AX140" s="140">
        <f ca="1">IF(ISNUMBER(MATCH(DATEVALUE($A140),'recurring1_based on steps'!AX$1:AX$400,0)),AX$2,)</f>
        <v>0</v>
      </c>
      <c r="AY140" s="140">
        <f ca="1">IF(ISNUMBER(MATCH(DATEVALUE($A140),'recurring1_based on steps'!AY$1:AY$400,0)),AY$2,)</f>
        <v>0</v>
      </c>
    </row>
    <row r="141" spans="1:51" x14ac:dyDescent="0.2">
      <c r="A141" s="29" t="str">
        <f t="shared" ca="1" si="2"/>
        <v>2025-08-12</v>
      </c>
      <c r="B141" s="140">
        <f ca="1">IF(ISNUMBER(MATCH(DATEVALUE($A141),'recurring1_based on steps'!B$1:B$400,0)),B$2,)</f>
        <v>0</v>
      </c>
      <c r="C141" s="140">
        <f ca="1">IF(ISNUMBER(MATCH(DATEVALUE($A141),'recurring1_based on steps'!C$1:C$400,0)),C$2,)</f>
        <v>0</v>
      </c>
      <c r="D141" s="140">
        <f ca="1">IF(ISNUMBER(MATCH(DATEVALUE($A141),'recurring1_based on steps'!D$1:D$400,0)),D$2,)</f>
        <v>0</v>
      </c>
      <c r="E141" s="140">
        <f ca="1">IF(ISNUMBER(MATCH(DATEVALUE($A141),'recurring1_based on steps'!E$1:E$400,0)),E$2,)</f>
        <v>0</v>
      </c>
      <c r="F141" s="140">
        <f ca="1">IF(ISNUMBER(MATCH(DATEVALUE($A141),'recurring1_based on steps'!F$1:F$400,0)),F$2,)</f>
        <v>0</v>
      </c>
      <c r="G141" s="140">
        <f ca="1">IF(ISNUMBER(MATCH(DATEVALUE($A141),'recurring1_based on steps'!G$1:G$400,0)),G$2,)</f>
        <v>0</v>
      </c>
      <c r="H141" s="140">
        <f ca="1">IF(ISNUMBER(MATCH(DATEVALUE($A141),'recurring1_based on steps'!H$1:H$400,0)),H$2,)</f>
        <v>0</v>
      </c>
      <c r="I141" s="140">
        <f ca="1">IF(ISNUMBER(MATCH(DATEVALUE($A141),'recurring1_based on steps'!I$1:I$400,0)),I$2,)</f>
        <v>0</v>
      </c>
      <c r="J141" s="140">
        <f ca="1">IF(ISNUMBER(MATCH(DATEVALUE($A141),'recurring1_based on steps'!J$1:J$400,0)),J$2,)</f>
        <v>0</v>
      </c>
      <c r="K141" s="140">
        <f ca="1">IF(ISNUMBER(MATCH(DATEVALUE($A141),'recurring1_based on steps'!K$1:K$400,0)),K$2,)</f>
        <v>0</v>
      </c>
      <c r="L141" s="140">
        <f ca="1">IF(ISNUMBER(MATCH(DATEVALUE($A141),'recurring1_based on steps'!L$1:L$400,0)),L$2,)</f>
        <v>0</v>
      </c>
      <c r="M141" s="140">
        <f ca="1">IF(ISNUMBER(MATCH(DATEVALUE($A141),'recurring1_based on steps'!M$1:M$400,0)),M$2,)</f>
        <v>0</v>
      </c>
      <c r="N141" s="140">
        <f ca="1">IF(ISNUMBER(MATCH(DATEVALUE($A141),'recurring1_based on steps'!N$1:N$400,0)),N$2,)</f>
        <v>0</v>
      </c>
      <c r="O141" s="140">
        <f ca="1">IF(ISNUMBER(MATCH(DATEVALUE($A141),'recurring1_based on steps'!O$1:O$400,0)),O$2,)</f>
        <v>0</v>
      </c>
      <c r="P141" s="140">
        <f ca="1">IF(ISNUMBER(MATCH(DATEVALUE($A141),'recurring1_based on steps'!P$1:P$400,0)),P$2,)</f>
        <v>0</v>
      </c>
      <c r="Q141" s="140">
        <f ca="1">IF(ISNUMBER(MATCH(DATEVALUE($A141),'recurring1_based on steps'!Q$1:Q$400,0)),Q$2,)</f>
        <v>0</v>
      </c>
      <c r="R141" s="140">
        <f ca="1">IF(ISNUMBER(MATCH(DATEVALUE($A141),'recurring1_based on steps'!R$1:R$400,0)),R$2,)</f>
        <v>0</v>
      </c>
      <c r="S141" s="140">
        <f ca="1">IF(ISNUMBER(MATCH(DATEVALUE($A141),'recurring1_based on steps'!S$1:S$400,0)),S$2,)</f>
        <v>0</v>
      </c>
      <c r="T141" s="140">
        <f ca="1">IF(ISNUMBER(MATCH(DATEVALUE($A141),'recurring1_based on steps'!T$1:T$400,0)),T$2,)</f>
        <v>0</v>
      </c>
      <c r="U141" s="140">
        <f ca="1">IF(ISNUMBER(MATCH(DATEVALUE($A141),'recurring1_based on steps'!U$1:U$400,0)),U$2,)</f>
        <v>0</v>
      </c>
      <c r="V141" s="140">
        <f ca="1">IF(ISNUMBER(MATCH(DATEVALUE($A141),'recurring1_based on steps'!V$1:V$400,0)),V$2,)</f>
        <v>0</v>
      </c>
      <c r="W141" s="140">
        <f ca="1">IF(ISNUMBER(MATCH(DATEVALUE($A141),'recurring1_based on steps'!W$1:W$400,0)),W$2,)</f>
        <v>0</v>
      </c>
      <c r="X141" s="140">
        <f ca="1">IF(ISNUMBER(MATCH(DATEVALUE($A141),'recurring1_based on steps'!X$1:X$400,0)),X$2,)</f>
        <v>0</v>
      </c>
      <c r="Y141" s="140">
        <f ca="1">IF(ISNUMBER(MATCH(DATEVALUE($A141),'recurring1_based on steps'!Y$1:Y$400,0)),Y$2,)</f>
        <v>0</v>
      </c>
      <c r="Z141" s="140">
        <f ca="1">IF(ISNUMBER(MATCH(DATEVALUE($A141),'recurring1_based on steps'!Z$1:Z$400,0)),Z$2,)</f>
        <v>0</v>
      </c>
      <c r="AA141" s="140">
        <f ca="1">IF(ISNUMBER(MATCH(DATEVALUE($A141),'recurring1_based on steps'!AA$1:AA$400,0)),AA$2,)</f>
        <v>0</v>
      </c>
      <c r="AB141" s="140">
        <f ca="1">IF(ISNUMBER(MATCH(DATEVALUE($A141),'recurring1_based on steps'!AB$1:AB$400,0)),AB$2,)</f>
        <v>5.5401662049861494E-2</v>
      </c>
      <c r="AC141" s="140">
        <f ca="1">IF(ISNUMBER(MATCH(DATEVALUE($A141),'recurring1_based on steps'!AC$1:AC$400,0)),AC$2,)</f>
        <v>0</v>
      </c>
      <c r="AD141" s="140">
        <f ca="1">IF(ISNUMBER(MATCH(DATEVALUE($A141),'recurring1_based on steps'!AD$1:AD$400,0)),AD$2,)</f>
        <v>0</v>
      </c>
      <c r="AE141" s="140">
        <f ca="1">IF(ISNUMBER(MATCH(DATEVALUE($A141),'recurring1_based on steps'!AE$1:AE$400,0)),AE$2,)</f>
        <v>0</v>
      </c>
      <c r="AF141" s="140">
        <f ca="1">IF(ISNUMBER(MATCH(DATEVALUE($A141),'recurring1_based on steps'!AF$1:AF$400,0)),AF$2,)</f>
        <v>0</v>
      </c>
      <c r="AG141" s="140">
        <f ca="1">IF(ISNUMBER(MATCH(DATEVALUE($A141),'recurring1_based on steps'!AG$1:AG$400,0)),AG$2,)</f>
        <v>0</v>
      </c>
      <c r="AH141" s="140">
        <f ca="1">IF(ISNUMBER(MATCH(DATEVALUE($A141),'recurring1_based on steps'!AH$1:AH$400,0)),AH$2,)</f>
        <v>0</v>
      </c>
      <c r="AI141" s="140">
        <f ca="1">IF(ISNUMBER(MATCH(DATEVALUE($A141),'recurring1_based on steps'!AI$1:AI$400,0)),AI$2,)</f>
        <v>0</v>
      </c>
      <c r="AJ141" s="140">
        <f ca="1">IF(ISNUMBER(MATCH(DATEVALUE($A141),'recurring1_based on steps'!AJ$1:AJ$400,0)),AJ$2,)</f>
        <v>0</v>
      </c>
      <c r="AK141" s="140">
        <f ca="1">IF(ISNUMBER(MATCH(DATEVALUE($A141),'recurring1_based on steps'!AK$1:AK$400,0)),AK$2,)</f>
        <v>0</v>
      </c>
      <c r="AL141" s="140">
        <f ca="1">IF(ISNUMBER(MATCH(DATEVALUE($A141),'recurring1_based on steps'!AL$1:AL$400,0)),AL$2,)</f>
        <v>0</v>
      </c>
      <c r="AM141" s="140">
        <f ca="1">IF(ISNUMBER(MATCH(DATEVALUE($A141),'recurring1_based on steps'!AM$1:AM$400,0)),AM$2,)</f>
        <v>0</v>
      </c>
      <c r="AN141" s="140">
        <f ca="1">IF(ISNUMBER(MATCH(DATEVALUE($A141),'recurring1_based on steps'!AN$1:AN$400,0)),AN$2,)</f>
        <v>0</v>
      </c>
      <c r="AO141" s="140">
        <f ca="1">IF(ISNUMBER(MATCH(DATEVALUE($A141),'recurring1_based on steps'!AO$1:AO$400,0)),AO$2,)</f>
        <v>0</v>
      </c>
      <c r="AP141" s="140">
        <f ca="1">IF(ISNUMBER(MATCH(DATEVALUE($A141),'recurring1_based on steps'!AP$1:AP$400,0)),AP$2,)</f>
        <v>0</v>
      </c>
      <c r="AQ141" s="140">
        <f ca="1">IF(ISNUMBER(MATCH(DATEVALUE($A141),'recurring1_based on steps'!AQ$1:AQ$400,0)),AQ$2,)</f>
        <v>0</v>
      </c>
      <c r="AR141" s="140">
        <f ca="1">IF(ISNUMBER(MATCH(DATEVALUE($A141),'recurring1_based on steps'!AR$1:AR$400,0)),AR$2,)</f>
        <v>0</v>
      </c>
      <c r="AS141" s="140">
        <f ca="1">IF(ISNUMBER(MATCH(DATEVALUE($A141),'recurring1_based on steps'!AS$1:AS$400,0)),AS$2,)</f>
        <v>0</v>
      </c>
      <c r="AT141" s="140">
        <f ca="1">IF(ISNUMBER(MATCH(DATEVALUE($A141),'recurring1_based on steps'!AT$1:AT$400,0)),AT$2,)</f>
        <v>0</v>
      </c>
      <c r="AU141" s="140">
        <f ca="1">IF(ISNUMBER(MATCH(DATEVALUE($A141),'recurring1_based on steps'!AU$1:AU$400,0)),AU$2,)</f>
        <v>0</v>
      </c>
      <c r="AV141" s="140">
        <f ca="1">IF(ISNUMBER(MATCH(DATEVALUE($A141),'recurring1_based on steps'!AV$1:AV$400,0)),AV$2,)</f>
        <v>0</v>
      </c>
      <c r="AW141" s="140">
        <f ca="1">IF(ISNUMBER(MATCH(DATEVALUE($A141),'recurring1_based on steps'!AW$1:AW$400,0)),AW$2,)</f>
        <v>0</v>
      </c>
      <c r="AX141" s="140">
        <f ca="1">IF(ISNUMBER(MATCH(DATEVALUE($A141),'recurring1_based on steps'!AX$1:AX$400,0)),AX$2,)</f>
        <v>0</v>
      </c>
      <c r="AY141" s="140">
        <f ca="1">IF(ISNUMBER(MATCH(DATEVALUE($A141),'recurring1_based on steps'!AY$1:AY$400,0)),AY$2,)</f>
        <v>0</v>
      </c>
    </row>
    <row r="142" spans="1:51" x14ac:dyDescent="0.2">
      <c r="A142" s="29" t="str">
        <f t="shared" ca="1" si="2"/>
        <v>2025-08-13</v>
      </c>
      <c r="B142" s="140">
        <f ca="1">IF(ISNUMBER(MATCH(DATEVALUE($A142),'recurring1_based on steps'!B$1:B$400,0)),B$2,)</f>
        <v>0</v>
      </c>
      <c r="C142" s="140">
        <f ca="1">IF(ISNUMBER(MATCH(DATEVALUE($A142),'recurring1_based on steps'!C$1:C$400,0)),C$2,)</f>
        <v>0</v>
      </c>
      <c r="D142" s="140">
        <f ca="1">IF(ISNUMBER(MATCH(DATEVALUE($A142),'recurring1_based on steps'!D$1:D$400,0)),D$2,)</f>
        <v>0</v>
      </c>
      <c r="E142" s="140">
        <f ca="1">IF(ISNUMBER(MATCH(DATEVALUE($A142),'recurring1_based on steps'!E$1:E$400,0)),E$2,)</f>
        <v>0</v>
      </c>
      <c r="F142" s="140">
        <f ca="1">IF(ISNUMBER(MATCH(DATEVALUE($A142),'recurring1_based on steps'!F$1:F$400,0)),F$2,)</f>
        <v>0</v>
      </c>
      <c r="G142" s="140">
        <f ca="1">IF(ISNUMBER(MATCH(DATEVALUE($A142),'recurring1_based on steps'!G$1:G$400,0)),G$2,)</f>
        <v>0</v>
      </c>
      <c r="H142" s="140">
        <f ca="1">IF(ISNUMBER(MATCH(DATEVALUE($A142),'recurring1_based on steps'!H$1:H$400,0)),H$2,)</f>
        <v>0</v>
      </c>
      <c r="I142" s="140">
        <f ca="1">IF(ISNUMBER(MATCH(DATEVALUE($A142),'recurring1_based on steps'!I$1:I$400,0)),I$2,)</f>
        <v>0</v>
      </c>
      <c r="J142" s="140">
        <f ca="1">IF(ISNUMBER(MATCH(DATEVALUE($A142),'recurring1_based on steps'!J$1:J$400,0)),J$2,)</f>
        <v>0</v>
      </c>
      <c r="K142" s="140">
        <f ca="1">IF(ISNUMBER(MATCH(DATEVALUE($A142),'recurring1_based on steps'!K$1:K$400,0)),K$2,)</f>
        <v>0</v>
      </c>
      <c r="L142" s="140">
        <f ca="1">IF(ISNUMBER(MATCH(DATEVALUE($A142),'recurring1_based on steps'!L$1:L$400,0)),L$2,)</f>
        <v>0</v>
      </c>
      <c r="M142" s="140">
        <f ca="1">IF(ISNUMBER(MATCH(DATEVALUE($A142),'recurring1_based on steps'!M$1:M$400,0)),M$2,)</f>
        <v>0</v>
      </c>
      <c r="N142" s="140">
        <f ca="1">IF(ISNUMBER(MATCH(DATEVALUE($A142),'recurring1_based on steps'!N$1:N$400,0)),N$2,)</f>
        <v>0</v>
      </c>
      <c r="O142" s="140">
        <f ca="1">IF(ISNUMBER(MATCH(DATEVALUE($A142),'recurring1_based on steps'!O$1:O$400,0)),O$2,)</f>
        <v>0</v>
      </c>
      <c r="P142" s="140">
        <f ca="1">IF(ISNUMBER(MATCH(DATEVALUE($A142),'recurring1_based on steps'!P$1:P$400,0)),P$2,)</f>
        <v>0</v>
      </c>
      <c r="Q142" s="140">
        <f ca="1">IF(ISNUMBER(MATCH(DATEVALUE($A142),'recurring1_based on steps'!Q$1:Q$400,0)),Q$2,)</f>
        <v>0</v>
      </c>
      <c r="R142" s="140">
        <f ca="1">IF(ISNUMBER(MATCH(DATEVALUE($A142),'recurring1_based on steps'!R$1:R$400,0)),R$2,)</f>
        <v>0</v>
      </c>
      <c r="S142" s="140">
        <f ca="1">IF(ISNUMBER(MATCH(DATEVALUE($A142),'recurring1_based on steps'!S$1:S$400,0)),S$2,)</f>
        <v>0</v>
      </c>
      <c r="T142" s="140">
        <f ca="1">IF(ISNUMBER(MATCH(DATEVALUE($A142),'recurring1_based on steps'!T$1:T$400,0)),T$2,)</f>
        <v>0</v>
      </c>
      <c r="U142" s="140">
        <f ca="1">IF(ISNUMBER(MATCH(DATEVALUE($A142),'recurring1_based on steps'!U$1:U$400,0)),U$2,)</f>
        <v>0</v>
      </c>
      <c r="V142" s="140">
        <f ca="1">IF(ISNUMBER(MATCH(DATEVALUE($A142),'recurring1_based on steps'!V$1:V$400,0)),V$2,)</f>
        <v>0</v>
      </c>
      <c r="W142" s="140">
        <f ca="1">IF(ISNUMBER(MATCH(DATEVALUE($A142),'recurring1_based on steps'!W$1:W$400,0)),W$2,)</f>
        <v>0</v>
      </c>
      <c r="X142" s="140">
        <f ca="1">IF(ISNUMBER(MATCH(DATEVALUE($A142),'recurring1_based on steps'!X$1:X$400,0)),X$2,)</f>
        <v>0</v>
      </c>
      <c r="Y142" s="140">
        <f ca="1">IF(ISNUMBER(MATCH(DATEVALUE($A142),'recurring1_based on steps'!Y$1:Y$400,0)),Y$2,)</f>
        <v>0</v>
      </c>
      <c r="Z142" s="140">
        <f ca="1">IF(ISNUMBER(MATCH(DATEVALUE($A142),'recurring1_based on steps'!Z$1:Z$400,0)),Z$2,)</f>
        <v>0</v>
      </c>
      <c r="AA142" s="140">
        <f ca="1">IF(ISNUMBER(MATCH(DATEVALUE($A142),'recurring1_based on steps'!AA$1:AA$400,0)),AA$2,)</f>
        <v>0</v>
      </c>
      <c r="AB142" s="140">
        <f ca="1">IF(ISNUMBER(MATCH(DATEVALUE($A142),'recurring1_based on steps'!AB$1:AB$400,0)),AB$2,)</f>
        <v>5.5401662049861494E-2</v>
      </c>
      <c r="AC142" s="140">
        <f ca="1">IF(ISNUMBER(MATCH(DATEVALUE($A142),'recurring1_based on steps'!AC$1:AC$400,0)),AC$2,)</f>
        <v>0</v>
      </c>
      <c r="AD142" s="140">
        <f ca="1">IF(ISNUMBER(MATCH(DATEVALUE($A142),'recurring1_based on steps'!AD$1:AD$400,0)),AD$2,)</f>
        <v>0</v>
      </c>
      <c r="AE142" s="140">
        <f ca="1">IF(ISNUMBER(MATCH(DATEVALUE($A142),'recurring1_based on steps'!AE$1:AE$400,0)),AE$2,)</f>
        <v>0</v>
      </c>
      <c r="AF142" s="140">
        <f ca="1">IF(ISNUMBER(MATCH(DATEVALUE($A142),'recurring1_based on steps'!AF$1:AF$400,0)),AF$2,)</f>
        <v>0</v>
      </c>
      <c r="AG142" s="140">
        <f ca="1">IF(ISNUMBER(MATCH(DATEVALUE($A142),'recurring1_based on steps'!AG$1:AG$400,0)),AG$2,)</f>
        <v>0</v>
      </c>
      <c r="AH142" s="140">
        <f ca="1">IF(ISNUMBER(MATCH(DATEVALUE($A142),'recurring1_based on steps'!AH$1:AH$400,0)),AH$2,)</f>
        <v>0</v>
      </c>
      <c r="AI142" s="140">
        <f ca="1">IF(ISNUMBER(MATCH(DATEVALUE($A142),'recurring1_based on steps'!AI$1:AI$400,0)),AI$2,)</f>
        <v>0</v>
      </c>
      <c r="AJ142" s="140">
        <f ca="1">IF(ISNUMBER(MATCH(DATEVALUE($A142),'recurring1_based on steps'!AJ$1:AJ$400,0)),AJ$2,)</f>
        <v>0</v>
      </c>
      <c r="AK142" s="140">
        <f ca="1">IF(ISNUMBER(MATCH(DATEVALUE($A142),'recurring1_based on steps'!AK$1:AK$400,0)),AK$2,)</f>
        <v>0</v>
      </c>
      <c r="AL142" s="140">
        <f ca="1">IF(ISNUMBER(MATCH(DATEVALUE($A142),'recurring1_based on steps'!AL$1:AL$400,0)),AL$2,)</f>
        <v>0</v>
      </c>
      <c r="AM142" s="140">
        <f ca="1">IF(ISNUMBER(MATCH(DATEVALUE($A142),'recurring1_based on steps'!AM$1:AM$400,0)),AM$2,)</f>
        <v>0</v>
      </c>
      <c r="AN142" s="140">
        <f ca="1">IF(ISNUMBER(MATCH(DATEVALUE($A142),'recurring1_based on steps'!AN$1:AN$400,0)),AN$2,)</f>
        <v>0</v>
      </c>
      <c r="AO142" s="140">
        <f ca="1">IF(ISNUMBER(MATCH(DATEVALUE($A142),'recurring1_based on steps'!AO$1:AO$400,0)),AO$2,)</f>
        <v>0</v>
      </c>
      <c r="AP142" s="140">
        <f ca="1">IF(ISNUMBER(MATCH(DATEVALUE($A142),'recurring1_based on steps'!AP$1:AP$400,0)),AP$2,)</f>
        <v>0</v>
      </c>
      <c r="AQ142" s="140">
        <f ca="1">IF(ISNUMBER(MATCH(DATEVALUE($A142),'recurring1_based on steps'!AQ$1:AQ$400,0)),AQ$2,)</f>
        <v>0</v>
      </c>
      <c r="AR142" s="140">
        <f ca="1">IF(ISNUMBER(MATCH(DATEVALUE($A142),'recurring1_based on steps'!AR$1:AR$400,0)),AR$2,)</f>
        <v>0</v>
      </c>
      <c r="AS142" s="140">
        <f ca="1">IF(ISNUMBER(MATCH(DATEVALUE($A142),'recurring1_based on steps'!AS$1:AS$400,0)),AS$2,)</f>
        <v>0</v>
      </c>
      <c r="AT142" s="140">
        <f ca="1">IF(ISNUMBER(MATCH(DATEVALUE($A142),'recurring1_based on steps'!AT$1:AT$400,0)),AT$2,)</f>
        <v>0</v>
      </c>
      <c r="AU142" s="140">
        <f ca="1">IF(ISNUMBER(MATCH(DATEVALUE($A142),'recurring1_based on steps'!AU$1:AU$400,0)),AU$2,)</f>
        <v>0</v>
      </c>
      <c r="AV142" s="140">
        <f ca="1">IF(ISNUMBER(MATCH(DATEVALUE($A142),'recurring1_based on steps'!AV$1:AV$400,0)),AV$2,)</f>
        <v>0</v>
      </c>
      <c r="AW142" s="140">
        <f ca="1">IF(ISNUMBER(MATCH(DATEVALUE($A142),'recurring1_based on steps'!AW$1:AW$400,0)),AW$2,)</f>
        <v>0</v>
      </c>
      <c r="AX142" s="140">
        <f ca="1">IF(ISNUMBER(MATCH(DATEVALUE($A142),'recurring1_based on steps'!AX$1:AX$400,0)),AX$2,)</f>
        <v>0</v>
      </c>
      <c r="AY142" s="140">
        <f ca="1">IF(ISNUMBER(MATCH(DATEVALUE($A142),'recurring1_based on steps'!AY$1:AY$400,0)),AY$2,)</f>
        <v>0</v>
      </c>
    </row>
    <row r="143" spans="1:51" x14ac:dyDescent="0.2">
      <c r="A143" s="29" t="str">
        <f t="shared" ca="1" si="2"/>
        <v>2025-08-14</v>
      </c>
      <c r="B143" s="140">
        <f ca="1">IF(ISNUMBER(MATCH(DATEVALUE($A143),'recurring1_based on steps'!B$1:B$400,0)),B$2,)</f>
        <v>0</v>
      </c>
      <c r="C143" s="140">
        <f ca="1">IF(ISNUMBER(MATCH(DATEVALUE($A143),'recurring1_based on steps'!C$1:C$400,0)),C$2,)</f>
        <v>0</v>
      </c>
      <c r="D143" s="140">
        <f ca="1">IF(ISNUMBER(MATCH(DATEVALUE($A143),'recurring1_based on steps'!D$1:D$400,0)),D$2,)</f>
        <v>0</v>
      </c>
      <c r="E143" s="140">
        <f ca="1">IF(ISNUMBER(MATCH(DATEVALUE($A143),'recurring1_based on steps'!E$1:E$400,0)),E$2,)</f>
        <v>0</v>
      </c>
      <c r="F143" s="140">
        <f ca="1">IF(ISNUMBER(MATCH(DATEVALUE($A143),'recurring1_based on steps'!F$1:F$400,0)),F$2,)</f>
        <v>0</v>
      </c>
      <c r="G143" s="140">
        <f ca="1">IF(ISNUMBER(MATCH(DATEVALUE($A143),'recurring1_based on steps'!G$1:G$400,0)),G$2,)</f>
        <v>0</v>
      </c>
      <c r="H143" s="140">
        <f ca="1">IF(ISNUMBER(MATCH(DATEVALUE($A143),'recurring1_based on steps'!H$1:H$400,0)),H$2,)</f>
        <v>0</v>
      </c>
      <c r="I143" s="140">
        <f ca="1">IF(ISNUMBER(MATCH(DATEVALUE($A143),'recurring1_based on steps'!I$1:I$400,0)),I$2,)</f>
        <v>0</v>
      </c>
      <c r="J143" s="140">
        <f ca="1">IF(ISNUMBER(MATCH(DATEVALUE($A143),'recurring1_based on steps'!J$1:J$400,0)),J$2,)</f>
        <v>0</v>
      </c>
      <c r="K143" s="140">
        <f ca="1">IF(ISNUMBER(MATCH(DATEVALUE($A143),'recurring1_based on steps'!K$1:K$400,0)),K$2,)</f>
        <v>0</v>
      </c>
      <c r="L143" s="140">
        <f ca="1">IF(ISNUMBER(MATCH(DATEVALUE($A143),'recurring1_based on steps'!L$1:L$400,0)),L$2,)</f>
        <v>0</v>
      </c>
      <c r="M143" s="140">
        <f ca="1">IF(ISNUMBER(MATCH(DATEVALUE($A143),'recurring1_based on steps'!M$1:M$400,0)),M$2,)</f>
        <v>0</v>
      </c>
      <c r="N143" s="140">
        <f ca="1">IF(ISNUMBER(MATCH(DATEVALUE($A143),'recurring1_based on steps'!N$1:N$400,0)),N$2,)</f>
        <v>0</v>
      </c>
      <c r="O143" s="140">
        <f ca="1">IF(ISNUMBER(MATCH(DATEVALUE($A143),'recurring1_based on steps'!O$1:O$400,0)),O$2,)</f>
        <v>0</v>
      </c>
      <c r="P143" s="140">
        <f ca="1">IF(ISNUMBER(MATCH(DATEVALUE($A143),'recurring1_based on steps'!P$1:P$400,0)),P$2,)</f>
        <v>0</v>
      </c>
      <c r="Q143" s="140">
        <f ca="1">IF(ISNUMBER(MATCH(DATEVALUE($A143),'recurring1_based on steps'!Q$1:Q$400,0)),Q$2,)</f>
        <v>0</v>
      </c>
      <c r="R143" s="140">
        <f ca="1">IF(ISNUMBER(MATCH(DATEVALUE($A143),'recurring1_based on steps'!R$1:R$400,0)),R$2,)</f>
        <v>0</v>
      </c>
      <c r="S143" s="140">
        <f ca="1">IF(ISNUMBER(MATCH(DATEVALUE($A143),'recurring1_based on steps'!S$1:S$400,0)),S$2,)</f>
        <v>0</v>
      </c>
      <c r="T143" s="140">
        <f ca="1">IF(ISNUMBER(MATCH(DATEVALUE($A143),'recurring1_based on steps'!T$1:T$400,0)),T$2,)</f>
        <v>0</v>
      </c>
      <c r="U143" s="140">
        <f ca="1">IF(ISNUMBER(MATCH(DATEVALUE($A143),'recurring1_based on steps'!U$1:U$400,0)),U$2,)</f>
        <v>0</v>
      </c>
      <c r="V143" s="140">
        <f ca="1">IF(ISNUMBER(MATCH(DATEVALUE($A143),'recurring1_based on steps'!V$1:V$400,0)),V$2,)</f>
        <v>0</v>
      </c>
      <c r="W143" s="140">
        <f ca="1">IF(ISNUMBER(MATCH(DATEVALUE($A143),'recurring1_based on steps'!W$1:W$400,0)),W$2,)</f>
        <v>0</v>
      </c>
      <c r="X143" s="140">
        <f ca="1">IF(ISNUMBER(MATCH(DATEVALUE($A143),'recurring1_based on steps'!X$1:X$400,0)),X$2,)</f>
        <v>0</v>
      </c>
      <c r="Y143" s="140">
        <f ca="1">IF(ISNUMBER(MATCH(DATEVALUE($A143),'recurring1_based on steps'!Y$1:Y$400,0)),Y$2,)</f>
        <v>0</v>
      </c>
      <c r="Z143" s="140">
        <f ca="1">IF(ISNUMBER(MATCH(DATEVALUE($A143),'recurring1_based on steps'!Z$1:Z$400,0)),Z$2,)</f>
        <v>0</v>
      </c>
      <c r="AA143" s="140">
        <f ca="1">IF(ISNUMBER(MATCH(DATEVALUE($A143),'recurring1_based on steps'!AA$1:AA$400,0)),AA$2,)</f>
        <v>0</v>
      </c>
      <c r="AB143" s="140">
        <f ca="1">IF(ISNUMBER(MATCH(DATEVALUE($A143),'recurring1_based on steps'!AB$1:AB$400,0)),AB$2,)</f>
        <v>5.5401662049861494E-2</v>
      </c>
      <c r="AC143" s="140">
        <f ca="1">IF(ISNUMBER(MATCH(DATEVALUE($A143),'recurring1_based on steps'!AC$1:AC$400,0)),AC$2,)</f>
        <v>0</v>
      </c>
      <c r="AD143" s="140">
        <f ca="1">IF(ISNUMBER(MATCH(DATEVALUE($A143),'recurring1_based on steps'!AD$1:AD$400,0)),AD$2,)</f>
        <v>0</v>
      </c>
      <c r="AE143" s="140">
        <f ca="1">IF(ISNUMBER(MATCH(DATEVALUE($A143),'recurring1_based on steps'!AE$1:AE$400,0)),AE$2,)</f>
        <v>0</v>
      </c>
      <c r="AF143" s="140">
        <f ca="1">IF(ISNUMBER(MATCH(DATEVALUE($A143),'recurring1_based on steps'!AF$1:AF$400,0)),AF$2,)</f>
        <v>0</v>
      </c>
      <c r="AG143" s="140">
        <f ca="1">IF(ISNUMBER(MATCH(DATEVALUE($A143),'recurring1_based on steps'!AG$1:AG$400,0)),AG$2,)</f>
        <v>0</v>
      </c>
      <c r="AH143" s="140">
        <f ca="1">IF(ISNUMBER(MATCH(DATEVALUE($A143),'recurring1_based on steps'!AH$1:AH$400,0)),AH$2,)</f>
        <v>0</v>
      </c>
      <c r="AI143" s="140">
        <f ca="1">IF(ISNUMBER(MATCH(DATEVALUE($A143),'recurring1_based on steps'!AI$1:AI$400,0)),AI$2,)</f>
        <v>0</v>
      </c>
      <c r="AJ143" s="140">
        <f ca="1">IF(ISNUMBER(MATCH(DATEVALUE($A143),'recurring1_based on steps'!AJ$1:AJ$400,0)),AJ$2,)</f>
        <v>0</v>
      </c>
      <c r="AK143" s="140">
        <f ca="1">IF(ISNUMBER(MATCH(DATEVALUE($A143),'recurring1_based on steps'!AK$1:AK$400,0)),AK$2,)</f>
        <v>0</v>
      </c>
      <c r="AL143" s="140">
        <f ca="1">IF(ISNUMBER(MATCH(DATEVALUE($A143),'recurring1_based on steps'!AL$1:AL$400,0)),AL$2,)</f>
        <v>0</v>
      </c>
      <c r="AM143" s="140">
        <f ca="1">IF(ISNUMBER(MATCH(DATEVALUE($A143),'recurring1_based on steps'!AM$1:AM$400,0)),AM$2,)</f>
        <v>0</v>
      </c>
      <c r="AN143" s="140">
        <f ca="1">IF(ISNUMBER(MATCH(DATEVALUE($A143),'recurring1_based on steps'!AN$1:AN$400,0)),AN$2,)</f>
        <v>0</v>
      </c>
      <c r="AO143" s="140">
        <f ca="1">IF(ISNUMBER(MATCH(DATEVALUE($A143),'recurring1_based on steps'!AO$1:AO$400,0)),AO$2,)</f>
        <v>0</v>
      </c>
      <c r="AP143" s="140">
        <f ca="1">IF(ISNUMBER(MATCH(DATEVALUE($A143),'recurring1_based on steps'!AP$1:AP$400,0)),AP$2,)</f>
        <v>0</v>
      </c>
      <c r="AQ143" s="140">
        <f ca="1">IF(ISNUMBER(MATCH(DATEVALUE($A143),'recurring1_based on steps'!AQ$1:AQ$400,0)),AQ$2,)</f>
        <v>0</v>
      </c>
      <c r="AR143" s="140">
        <f ca="1">IF(ISNUMBER(MATCH(DATEVALUE($A143),'recurring1_based on steps'!AR$1:AR$400,0)),AR$2,)</f>
        <v>0</v>
      </c>
      <c r="AS143" s="140">
        <f ca="1">IF(ISNUMBER(MATCH(DATEVALUE($A143),'recurring1_based on steps'!AS$1:AS$400,0)),AS$2,)</f>
        <v>0</v>
      </c>
      <c r="AT143" s="140">
        <f ca="1">IF(ISNUMBER(MATCH(DATEVALUE($A143),'recurring1_based on steps'!AT$1:AT$400,0)),AT$2,)</f>
        <v>0</v>
      </c>
      <c r="AU143" s="140">
        <f ca="1">IF(ISNUMBER(MATCH(DATEVALUE($A143),'recurring1_based on steps'!AU$1:AU$400,0)),AU$2,)</f>
        <v>0</v>
      </c>
      <c r="AV143" s="140">
        <f ca="1">IF(ISNUMBER(MATCH(DATEVALUE($A143),'recurring1_based on steps'!AV$1:AV$400,0)),AV$2,)</f>
        <v>0</v>
      </c>
      <c r="AW143" s="140">
        <f ca="1">IF(ISNUMBER(MATCH(DATEVALUE($A143),'recurring1_based on steps'!AW$1:AW$400,0)),AW$2,)</f>
        <v>0</v>
      </c>
      <c r="AX143" s="140">
        <f ca="1">IF(ISNUMBER(MATCH(DATEVALUE($A143),'recurring1_based on steps'!AX$1:AX$400,0)),AX$2,)</f>
        <v>0</v>
      </c>
      <c r="AY143" s="140">
        <f ca="1">IF(ISNUMBER(MATCH(DATEVALUE($A143),'recurring1_based on steps'!AY$1:AY$400,0)),AY$2,)</f>
        <v>0</v>
      </c>
    </row>
    <row r="144" spans="1:51" x14ac:dyDescent="0.2">
      <c r="A144" s="29" t="str">
        <f t="shared" ca="1" si="2"/>
        <v>2025-08-15</v>
      </c>
      <c r="B144" s="140">
        <f ca="1">IF(ISNUMBER(MATCH(DATEVALUE($A144),'recurring1_based on steps'!B$1:B$400,0)),B$2,)</f>
        <v>0</v>
      </c>
      <c r="C144" s="140">
        <f ca="1">IF(ISNUMBER(MATCH(DATEVALUE($A144),'recurring1_based on steps'!C$1:C$400,0)),C$2,)</f>
        <v>0</v>
      </c>
      <c r="D144" s="140">
        <f ca="1">IF(ISNUMBER(MATCH(DATEVALUE($A144),'recurring1_based on steps'!D$1:D$400,0)),D$2,)</f>
        <v>0</v>
      </c>
      <c r="E144" s="140">
        <f ca="1">IF(ISNUMBER(MATCH(DATEVALUE($A144),'recurring1_based on steps'!E$1:E$400,0)),E$2,)</f>
        <v>0</v>
      </c>
      <c r="F144" s="140">
        <f ca="1">IF(ISNUMBER(MATCH(DATEVALUE($A144),'recurring1_based on steps'!F$1:F$400,0)),F$2,)</f>
        <v>0</v>
      </c>
      <c r="G144" s="140">
        <f ca="1">IF(ISNUMBER(MATCH(DATEVALUE($A144),'recurring1_based on steps'!G$1:G$400,0)),G$2,)</f>
        <v>0</v>
      </c>
      <c r="H144" s="140">
        <f ca="1">IF(ISNUMBER(MATCH(DATEVALUE($A144),'recurring1_based on steps'!H$1:H$400,0)),H$2,)</f>
        <v>0</v>
      </c>
      <c r="I144" s="140">
        <f ca="1">IF(ISNUMBER(MATCH(DATEVALUE($A144),'recurring1_based on steps'!I$1:I$400,0)),I$2,)</f>
        <v>0</v>
      </c>
      <c r="J144" s="140">
        <f ca="1">IF(ISNUMBER(MATCH(DATEVALUE($A144),'recurring1_based on steps'!J$1:J$400,0)),J$2,)</f>
        <v>0</v>
      </c>
      <c r="K144" s="140">
        <f ca="1">IF(ISNUMBER(MATCH(DATEVALUE($A144),'recurring1_based on steps'!K$1:K$400,0)),K$2,)</f>
        <v>0</v>
      </c>
      <c r="L144" s="140">
        <f ca="1">IF(ISNUMBER(MATCH(DATEVALUE($A144),'recurring1_based on steps'!L$1:L$400,0)),L$2,)</f>
        <v>0</v>
      </c>
      <c r="M144" s="140">
        <f ca="1">IF(ISNUMBER(MATCH(DATEVALUE($A144),'recurring1_based on steps'!M$1:M$400,0)),M$2,)</f>
        <v>0</v>
      </c>
      <c r="N144" s="140">
        <f ca="1">IF(ISNUMBER(MATCH(DATEVALUE($A144),'recurring1_based on steps'!N$1:N$400,0)),N$2,)</f>
        <v>0</v>
      </c>
      <c r="O144" s="140">
        <f ca="1">IF(ISNUMBER(MATCH(DATEVALUE($A144),'recurring1_based on steps'!O$1:O$400,0)),O$2,)</f>
        <v>0</v>
      </c>
      <c r="P144" s="140">
        <f ca="1">IF(ISNUMBER(MATCH(DATEVALUE($A144),'recurring1_based on steps'!P$1:P$400,0)),P$2,)</f>
        <v>0</v>
      </c>
      <c r="Q144" s="140">
        <f ca="1">IF(ISNUMBER(MATCH(DATEVALUE($A144),'recurring1_based on steps'!Q$1:Q$400,0)),Q$2,)</f>
        <v>0</v>
      </c>
      <c r="R144" s="140">
        <f ca="1">IF(ISNUMBER(MATCH(DATEVALUE($A144),'recurring1_based on steps'!R$1:R$400,0)),R$2,)</f>
        <v>0</v>
      </c>
      <c r="S144" s="140">
        <f ca="1">IF(ISNUMBER(MATCH(DATEVALUE($A144),'recurring1_based on steps'!S$1:S$400,0)),S$2,)</f>
        <v>0</v>
      </c>
      <c r="T144" s="140">
        <f ca="1">IF(ISNUMBER(MATCH(DATEVALUE($A144),'recurring1_based on steps'!T$1:T$400,0)),T$2,)</f>
        <v>0</v>
      </c>
      <c r="U144" s="140">
        <f ca="1">IF(ISNUMBER(MATCH(DATEVALUE($A144),'recurring1_based on steps'!U$1:U$400,0)),U$2,)</f>
        <v>0</v>
      </c>
      <c r="V144" s="140">
        <f ca="1">IF(ISNUMBER(MATCH(DATEVALUE($A144),'recurring1_based on steps'!V$1:V$400,0)),V$2,)</f>
        <v>0</v>
      </c>
      <c r="W144" s="140">
        <f ca="1">IF(ISNUMBER(MATCH(DATEVALUE($A144),'recurring1_based on steps'!W$1:W$400,0)),W$2,)</f>
        <v>0</v>
      </c>
      <c r="X144" s="140">
        <f ca="1">IF(ISNUMBER(MATCH(DATEVALUE($A144),'recurring1_based on steps'!X$1:X$400,0)),X$2,)</f>
        <v>0</v>
      </c>
      <c r="Y144" s="140">
        <f ca="1">IF(ISNUMBER(MATCH(DATEVALUE($A144),'recurring1_based on steps'!Y$1:Y$400,0)),Y$2,)</f>
        <v>0</v>
      </c>
      <c r="Z144" s="140">
        <f ca="1">IF(ISNUMBER(MATCH(DATEVALUE($A144),'recurring1_based on steps'!Z$1:Z$400,0)),Z$2,)</f>
        <v>0</v>
      </c>
      <c r="AA144" s="140">
        <f ca="1">IF(ISNUMBER(MATCH(DATEVALUE($A144),'recurring1_based on steps'!AA$1:AA$400,0)),AA$2,)</f>
        <v>0</v>
      </c>
      <c r="AB144" s="140">
        <f ca="1">IF(ISNUMBER(MATCH(DATEVALUE($A144),'recurring1_based on steps'!AB$1:AB$400,0)),AB$2,)</f>
        <v>5.5401662049861494E-2</v>
      </c>
      <c r="AC144" s="140">
        <f ca="1">IF(ISNUMBER(MATCH(DATEVALUE($A144),'recurring1_based on steps'!AC$1:AC$400,0)),AC$2,)</f>
        <v>0</v>
      </c>
      <c r="AD144" s="140">
        <f ca="1">IF(ISNUMBER(MATCH(DATEVALUE($A144),'recurring1_based on steps'!AD$1:AD$400,0)),AD$2,)</f>
        <v>0</v>
      </c>
      <c r="AE144" s="140">
        <f ca="1">IF(ISNUMBER(MATCH(DATEVALUE($A144),'recurring1_based on steps'!AE$1:AE$400,0)),AE$2,)</f>
        <v>0</v>
      </c>
      <c r="AF144" s="140">
        <f ca="1">IF(ISNUMBER(MATCH(DATEVALUE($A144),'recurring1_based on steps'!AF$1:AF$400,0)),AF$2,)</f>
        <v>0</v>
      </c>
      <c r="AG144" s="140">
        <f ca="1">IF(ISNUMBER(MATCH(DATEVALUE($A144),'recurring1_based on steps'!AG$1:AG$400,0)),AG$2,)</f>
        <v>0</v>
      </c>
      <c r="AH144" s="140">
        <f ca="1">IF(ISNUMBER(MATCH(DATEVALUE($A144),'recurring1_based on steps'!AH$1:AH$400,0)),AH$2,)</f>
        <v>0</v>
      </c>
      <c r="AI144" s="140">
        <f ca="1">IF(ISNUMBER(MATCH(DATEVALUE($A144),'recurring1_based on steps'!AI$1:AI$400,0)),AI$2,)</f>
        <v>0</v>
      </c>
      <c r="AJ144" s="140">
        <f ca="1">IF(ISNUMBER(MATCH(DATEVALUE($A144),'recurring1_based on steps'!AJ$1:AJ$400,0)),AJ$2,)</f>
        <v>0</v>
      </c>
      <c r="AK144" s="140">
        <f ca="1">IF(ISNUMBER(MATCH(DATEVALUE($A144),'recurring1_based on steps'!AK$1:AK$400,0)),AK$2,)</f>
        <v>0</v>
      </c>
      <c r="AL144" s="140">
        <f ca="1">IF(ISNUMBER(MATCH(DATEVALUE($A144),'recurring1_based on steps'!AL$1:AL$400,0)),AL$2,)</f>
        <v>0</v>
      </c>
      <c r="AM144" s="140">
        <f ca="1">IF(ISNUMBER(MATCH(DATEVALUE($A144),'recurring1_based on steps'!AM$1:AM$400,0)),AM$2,)</f>
        <v>0</v>
      </c>
      <c r="AN144" s="140">
        <f ca="1">IF(ISNUMBER(MATCH(DATEVALUE($A144),'recurring1_based on steps'!AN$1:AN$400,0)),AN$2,)</f>
        <v>0</v>
      </c>
      <c r="AO144" s="140">
        <f ca="1">IF(ISNUMBER(MATCH(DATEVALUE($A144),'recurring1_based on steps'!AO$1:AO$400,0)),AO$2,)</f>
        <v>0</v>
      </c>
      <c r="AP144" s="140">
        <f ca="1">IF(ISNUMBER(MATCH(DATEVALUE($A144),'recurring1_based on steps'!AP$1:AP$400,0)),AP$2,)</f>
        <v>0</v>
      </c>
      <c r="AQ144" s="140">
        <f ca="1">IF(ISNUMBER(MATCH(DATEVALUE($A144),'recurring1_based on steps'!AQ$1:AQ$400,0)),AQ$2,)</f>
        <v>0</v>
      </c>
      <c r="AR144" s="140">
        <f ca="1">IF(ISNUMBER(MATCH(DATEVALUE($A144),'recurring1_based on steps'!AR$1:AR$400,0)),AR$2,)</f>
        <v>0</v>
      </c>
      <c r="AS144" s="140">
        <f ca="1">IF(ISNUMBER(MATCH(DATEVALUE($A144),'recurring1_based on steps'!AS$1:AS$400,0)),AS$2,)</f>
        <v>0</v>
      </c>
      <c r="AT144" s="140">
        <f ca="1">IF(ISNUMBER(MATCH(DATEVALUE($A144),'recurring1_based on steps'!AT$1:AT$400,0)),AT$2,)</f>
        <v>0</v>
      </c>
      <c r="AU144" s="140">
        <f ca="1">IF(ISNUMBER(MATCH(DATEVALUE($A144),'recurring1_based on steps'!AU$1:AU$400,0)),AU$2,)</f>
        <v>0</v>
      </c>
      <c r="AV144" s="140">
        <f ca="1">IF(ISNUMBER(MATCH(DATEVALUE($A144),'recurring1_based on steps'!AV$1:AV$400,0)),AV$2,)</f>
        <v>0</v>
      </c>
      <c r="AW144" s="140">
        <f ca="1">IF(ISNUMBER(MATCH(DATEVALUE($A144),'recurring1_based on steps'!AW$1:AW$400,0)),AW$2,)</f>
        <v>0</v>
      </c>
      <c r="AX144" s="140">
        <f ca="1">IF(ISNUMBER(MATCH(DATEVALUE($A144),'recurring1_based on steps'!AX$1:AX$400,0)),AX$2,)</f>
        <v>0</v>
      </c>
      <c r="AY144" s="140">
        <f ca="1">IF(ISNUMBER(MATCH(DATEVALUE($A144),'recurring1_based on steps'!AY$1:AY$400,0)),AY$2,)</f>
        <v>0</v>
      </c>
    </row>
    <row r="145" spans="1:51" x14ac:dyDescent="0.2">
      <c r="A145" s="29" t="str">
        <f t="shared" ca="1" si="2"/>
        <v>2025-08-16</v>
      </c>
      <c r="B145" s="140">
        <f ca="1">IF(ISNUMBER(MATCH(DATEVALUE($A145),'recurring1_based on steps'!B$1:B$400,0)),B$2,)</f>
        <v>0</v>
      </c>
      <c r="C145" s="140">
        <f ca="1">IF(ISNUMBER(MATCH(DATEVALUE($A145),'recurring1_based on steps'!C$1:C$400,0)),C$2,)</f>
        <v>0</v>
      </c>
      <c r="D145" s="140">
        <f ca="1">IF(ISNUMBER(MATCH(DATEVALUE($A145),'recurring1_based on steps'!D$1:D$400,0)),D$2,)</f>
        <v>0</v>
      </c>
      <c r="E145" s="140">
        <f ca="1">IF(ISNUMBER(MATCH(DATEVALUE($A145),'recurring1_based on steps'!E$1:E$400,0)),E$2,)</f>
        <v>0</v>
      </c>
      <c r="F145" s="140">
        <f ca="1">IF(ISNUMBER(MATCH(DATEVALUE($A145),'recurring1_based on steps'!F$1:F$400,0)),F$2,)</f>
        <v>0</v>
      </c>
      <c r="G145" s="140">
        <f ca="1">IF(ISNUMBER(MATCH(DATEVALUE($A145),'recurring1_based on steps'!G$1:G$400,0)),G$2,)</f>
        <v>0</v>
      </c>
      <c r="H145" s="140">
        <f ca="1">IF(ISNUMBER(MATCH(DATEVALUE($A145),'recurring1_based on steps'!H$1:H$400,0)),H$2,)</f>
        <v>0</v>
      </c>
      <c r="I145" s="140">
        <f ca="1">IF(ISNUMBER(MATCH(DATEVALUE($A145),'recurring1_based on steps'!I$1:I$400,0)),I$2,)</f>
        <v>0</v>
      </c>
      <c r="J145" s="140">
        <f ca="1">IF(ISNUMBER(MATCH(DATEVALUE($A145),'recurring1_based on steps'!J$1:J$400,0)),J$2,)</f>
        <v>0</v>
      </c>
      <c r="K145" s="140">
        <f ca="1">IF(ISNUMBER(MATCH(DATEVALUE($A145),'recurring1_based on steps'!K$1:K$400,0)),K$2,)</f>
        <v>0</v>
      </c>
      <c r="L145" s="140">
        <f ca="1">IF(ISNUMBER(MATCH(DATEVALUE($A145),'recurring1_based on steps'!L$1:L$400,0)),L$2,)</f>
        <v>0</v>
      </c>
      <c r="M145" s="140">
        <f ca="1">IF(ISNUMBER(MATCH(DATEVALUE($A145),'recurring1_based on steps'!M$1:M$400,0)),M$2,)</f>
        <v>0</v>
      </c>
      <c r="N145" s="140">
        <f ca="1">IF(ISNUMBER(MATCH(DATEVALUE($A145),'recurring1_based on steps'!N$1:N$400,0)),N$2,)</f>
        <v>0</v>
      </c>
      <c r="O145" s="140">
        <f ca="1">IF(ISNUMBER(MATCH(DATEVALUE($A145),'recurring1_based on steps'!O$1:O$400,0)),O$2,)</f>
        <v>0</v>
      </c>
      <c r="P145" s="140">
        <f ca="1">IF(ISNUMBER(MATCH(DATEVALUE($A145),'recurring1_based on steps'!P$1:P$400,0)),P$2,)</f>
        <v>0</v>
      </c>
      <c r="Q145" s="140">
        <f ca="1">IF(ISNUMBER(MATCH(DATEVALUE($A145),'recurring1_based on steps'!Q$1:Q$400,0)),Q$2,)</f>
        <v>100</v>
      </c>
      <c r="R145" s="140">
        <f ca="1">IF(ISNUMBER(MATCH(DATEVALUE($A145),'recurring1_based on steps'!R$1:R$400,0)),R$2,)</f>
        <v>100</v>
      </c>
      <c r="S145" s="140">
        <f ca="1">IF(ISNUMBER(MATCH(DATEVALUE($A145),'recurring1_based on steps'!S$1:S$400,0)),S$2,)</f>
        <v>0</v>
      </c>
      <c r="T145" s="140">
        <f ca="1">IF(ISNUMBER(MATCH(DATEVALUE($A145),'recurring1_based on steps'!T$1:T$400,0)),T$2,)</f>
        <v>0</v>
      </c>
      <c r="U145" s="140">
        <f ca="1">IF(ISNUMBER(MATCH(DATEVALUE($A145),'recurring1_based on steps'!U$1:U$400,0)),U$2,)</f>
        <v>0</v>
      </c>
      <c r="V145" s="140">
        <f ca="1">IF(ISNUMBER(MATCH(DATEVALUE($A145),'recurring1_based on steps'!V$1:V$400,0)),V$2,)</f>
        <v>0</v>
      </c>
      <c r="W145" s="140">
        <f ca="1">IF(ISNUMBER(MATCH(DATEVALUE($A145),'recurring1_based on steps'!W$1:W$400,0)),W$2,)</f>
        <v>0</v>
      </c>
      <c r="X145" s="140">
        <f ca="1">IF(ISNUMBER(MATCH(DATEVALUE($A145),'recurring1_based on steps'!X$1:X$400,0)),X$2,)</f>
        <v>0</v>
      </c>
      <c r="Y145" s="140">
        <f ca="1">IF(ISNUMBER(MATCH(DATEVALUE($A145),'recurring1_based on steps'!Y$1:Y$400,0)),Y$2,)</f>
        <v>0</v>
      </c>
      <c r="Z145" s="140">
        <f ca="1">IF(ISNUMBER(MATCH(DATEVALUE($A145),'recurring1_based on steps'!Z$1:Z$400,0)),Z$2,)</f>
        <v>0</v>
      </c>
      <c r="AA145" s="140">
        <f ca="1">IF(ISNUMBER(MATCH(DATEVALUE($A145),'recurring1_based on steps'!AA$1:AA$400,0)),AA$2,)</f>
        <v>0</v>
      </c>
      <c r="AB145" s="140">
        <f ca="1">IF(ISNUMBER(MATCH(DATEVALUE($A145),'recurring1_based on steps'!AB$1:AB$400,0)),AB$2,)</f>
        <v>5.5401662049861494E-2</v>
      </c>
      <c r="AC145" s="140">
        <f ca="1">IF(ISNUMBER(MATCH(DATEVALUE($A145),'recurring1_based on steps'!AC$1:AC$400,0)),AC$2,)</f>
        <v>0</v>
      </c>
      <c r="AD145" s="140">
        <f ca="1">IF(ISNUMBER(MATCH(DATEVALUE($A145),'recurring1_based on steps'!AD$1:AD$400,0)),AD$2,)</f>
        <v>0</v>
      </c>
      <c r="AE145" s="140">
        <f ca="1">IF(ISNUMBER(MATCH(DATEVALUE($A145),'recurring1_based on steps'!AE$1:AE$400,0)),AE$2,)</f>
        <v>0</v>
      </c>
      <c r="AF145" s="140">
        <f ca="1">IF(ISNUMBER(MATCH(DATEVALUE($A145),'recurring1_based on steps'!AF$1:AF$400,0)),AF$2,)</f>
        <v>0</v>
      </c>
      <c r="AG145" s="140">
        <f ca="1">IF(ISNUMBER(MATCH(DATEVALUE($A145),'recurring1_based on steps'!AG$1:AG$400,0)),AG$2,)</f>
        <v>0</v>
      </c>
      <c r="AH145" s="140">
        <f ca="1">IF(ISNUMBER(MATCH(DATEVALUE($A145),'recurring1_based on steps'!AH$1:AH$400,0)),AH$2,)</f>
        <v>0</v>
      </c>
      <c r="AI145" s="140">
        <f ca="1">IF(ISNUMBER(MATCH(DATEVALUE($A145),'recurring1_based on steps'!AI$1:AI$400,0)),AI$2,)</f>
        <v>0</v>
      </c>
      <c r="AJ145" s="140">
        <f ca="1">IF(ISNUMBER(MATCH(DATEVALUE($A145),'recurring1_based on steps'!AJ$1:AJ$400,0)),AJ$2,)</f>
        <v>0</v>
      </c>
      <c r="AK145" s="140">
        <f ca="1">IF(ISNUMBER(MATCH(DATEVALUE($A145),'recurring1_based on steps'!AK$1:AK$400,0)),AK$2,)</f>
        <v>0</v>
      </c>
      <c r="AL145" s="140">
        <f ca="1">IF(ISNUMBER(MATCH(DATEVALUE($A145),'recurring1_based on steps'!AL$1:AL$400,0)),AL$2,)</f>
        <v>0</v>
      </c>
      <c r="AM145" s="140">
        <f ca="1">IF(ISNUMBER(MATCH(DATEVALUE($A145),'recurring1_based on steps'!AM$1:AM$400,0)),AM$2,)</f>
        <v>0</v>
      </c>
      <c r="AN145" s="140">
        <f ca="1">IF(ISNUMBER(MATCH(DATEVALUE($A145),'recurring1_based on steps'!AN$1:AN$400,0)),AN$2,)</f>
        <v>0</v>
      </c>
      <c r="AO145" s="140">
        <f ca="1">IF(ISNUMBER(MATCH(DATEVALUE($A145),'recurring1_based on steps'!AO$1:AO$400,0)),AO$2,)</f>
        <v>0</v>
      </c>
      <c r="AP145" s="140">
        <f ca="1">IF(ISNUMBER(MATCH(DATEVALUE($A145),'recurring1_based on steps'!AP$1:AP$400,0)),AP$2,)</f>
        <v>0</v>
      </c>
      <c r="AQ145" s="140">
        <f ca="1">IF(ISNUMBER(MATCH(DATEVALUE($A145),'recurring1_based on steps'!AQ$1:AQ$400,0)),AQ$2,)</f>
        <v>0</v>
      </c>
      <c r="AR145" s="140">
        <f ca="1">IF(ISNUMBER(MATCH(DATEVALUE($A145),'recurring1_based on steps'!AR$1:AR$400,0)),AR$2,)</f>
        <v>0</v>
      </c>
      <c r="AS145" s="140">
        <f ca="1">IF(ISNUMBER(MATCH(DATEVALUE($A145),'recurring1_based on steps'!AS$1:AS$400,0)),AS$2,)</f>
        <v>0</v>
      </c>
      <c r="AT145" s="140">
        <f ca="1">IF(ISNUMBER(MATCH(DATEVALUE($A145),'recurring1_based on steps'!AT$1:AT$400,0)),AT$2,)</f>
        <v>0</v>
      </c>
      <c r="AU145" s="140">
        <f ca="1">IF(ISNUMBER(MATCH(DATEVALUE($A145),'recurring1_based on steps'!AU$1:AU$400,0)),AU$2,)</f>
        <v>0</v>
      </c>
      <c r="AV145" s="140">
        <f ca="1">IF(ISNUMBER(MATCH(DATEVALUE($A145),'recurring1_based on steps'!AV$1:AV$400,0)),AV$2,)</f>
        <v>0</v>
      </c>
      <c r="AW145" s="140">
        <f ca="1">IF(ISNUMBER(MATCH(DATEVALUE($A145),'recurring1_based on steps'!AW$1:AW$400,0)),AW$2,)</f>
        <v>0</v>
      </c>
      <c r="AX145" s="140">
        <f ca="1">IF(ISNUMBER(MATCH(DATEVALUE($A145),'recurring1_based on steps'!AX$1:AX$400,0)),AX$2,)</f>
        <v>0</v>
      </c>
      <c r="AY145" s="140">
        <f ca="1">IF(ISNUMBER(MATCH(DATEVALUE($A145),'recurring1_based on steps'!AY$1:AY$400,0)),AY$2,)</f>
        <v>0</v>
      </c>
    </row>
    <row r="146" spans="1:51" x14ac:dyDescent="0.2">
      <c r="A146" s="29" t="str">
        <f t="shared" ca="1" si="2"/>
        <v>2025-08-17</v>
      </c>
      <c r="B146" s="140">
        <f ca="1">IF(ISNUMBER(MATCH(DATEVALUE($A146),'recurring1_based on steps'!B$1:B$400,0)),B$2,)</f>
        <v>0</v>
      </c>
      <c r="C146" s="140">
        <f ca="1">IF(ISNUMBER(MATCH(DATEVALUE($A146),'recurring1_based on steps'!C$1:C$400,0)),C$2,)</f>
        <v>0</v>
      </c>
      <c r="D146" s="140">
        <f ca="1">IF(ISNUMBER(MATCH(DATEVALUE($A146),'recurring1_based on steps'!D$1:D$400,0)),D$2,)</f>
        <v>0</v>
      </c>
      <c r="E146" s="140">
        <f ca="1">IF(ISNUMBER(MATCH(DATEVALUE($A146),'recurring1_based on steps'!E$1:E$400,0)),E$2,)</f>
        <v>0</v>
      </c>
      <c r="F146" s="140">
        <f ca="1">IF(ISNUMBER(MATCH(DATEVALUE($A146),'recurring1_based on steps'!F$1:F$400,0)),F$2,)</f>
        <v>0</v>
      </c>
      <c r="G146" s="140">
        <f ca="1">IF(ISNUMBER(MATCH(DATEVALUE($A146),'recurring1_based on steps'!G$1:G$400,0)),G$2,)</f>
        <v>0</v>
      </c>
      <c r="H146" s="140">
        <f ca="1">IF(ISNUMBER(MATCH(DATEVALUE($A146),'recurring1_based on steps'!H$1:H$400,0)),H$2,)</f>
        <v>0</v>
      </c>
      <c r="I146" s="140">
        <f ca="1">IF(ISNUMBER(MATCH(DATEVALUE($A146),'recurring1_based on steps'!I$1:I$400,0)),I$2,)</f>
        <v>0</v>
      </c>
      <c r="J146" s="140">
        <f ca="1">IF(ISNUMBER(MATCH(DATEVALUE($A146),'recurring1_based on steps'!J$1:J$400,0)),J$2,)</f>
        <v>0</v>
      </c>
      <c r="K146" s="140">
        <f ca="1">IF(ISNUMBER(MATCH(DATEVALUE($A146),'recurring1_based on steps'!K$1:K$400,0)),K$2,)</f>
        <v>50</v>
      </c>
      <c r="L146" s="140">
        <f ca="1">IF(ISNUMBER(MATCH(DATEVALUE($A146),'recurring1_based on steps'!L$1:L$400,0)),L$2,)</f>
        <v>0</v>
      </c>
      <c r="M146" s="140">
        <f ca="1">IF(ISNUMBER(MATCH(DATEVALUE($A146),'recurring1_based on steps'!M$1:M$400,0)),M$2,)</f>
        <v>0</v>
      </c>
      <c r="N146" s="140">
        <f ca="1">IF(ISNUMBER(MATCH(DATEVALUE($A146),'recurring1_based on steps'!N$1:N$400,0)),N$2,)</f>
        <v>15.49</v>
      </c>
      <c r="O146" s="140">
        <f ca="1">IF(ISNUMBER(MATCH(DATEVALUE($A146),'recurring1_based on steps'!O$1:O$400,0)),O$2,)</f>
        <v>0</v>
      </c>
      <c r="P146" s="140">
        <f ca="1">IF(ISNUMBER(MATCH(DATEVALUE($A146),'recurring1_based on steps'!P$1:P$400,0)),P$2,)</f>
        <v>0</v>
      </c>
      <c r="Q146" s="140">
        <f ca="1">IF(ISNUMBER(MATCH(DATEVALUE($A146),'recurring1_based on steps'!Q$1:Q$400,0)),Q$2,)</f>
        <v>0</v>
      </c>
      <c r="R146" s="140">
        <f ca="1">IF(ISNUMBER(MATCH(DATEVALUE($A146),'recurring1_based on steps'!R$1:R$400,0)),R$2,)</f>
        <v>0</v>
      </c>
      <c r="S146" s="140">
        <f ca="1">IF(ISNUMBER(MATCH(DATEVALUE($A146),'recurring1_based on steps'!S$1:S$400,0)),S$2,)</f>
        <v>100</v>
      </c>
      <c r="T146" s="140">
        <f ca="1">IF(ISNUMBER(MATCH(DATEVALUE($A146),'recurring1_based on steps'!T$1:T$400,0)),T$2,)</f>
        <v>0</v>
      </c>
      <c r="U146" s="140">
        <f ca="1">IF(ISNUMBER(MATCH(DATEVALUE($A146),'recurring1_based on steps'!U$1:U$400,0)),U$2,)</f>
        <v>0</v>
      </c>
      <c r="V146" s="140">
        <f ca="1">IF(ISNUMBER(MATCH(DATEVALUE($A146),'recurring1_based on steps'!V$1:V$400,0)),V$2,)</f>
        <v>200</v>
      </c>
      <c r="W146" s="140">
        <f ca="1">IF(ISNUMBER(MATCH(DATEVALUE($A146),'recurring1_based on steps'!W$1:W$400,0)),W$2,)</f>
        <v>0</v>
      </c>
      <c r="X146" s="140">
        <f ca="1">IF(ISNUMBER(MATCH(DATEVALUE($A146),'recurring1_based on steps'!X$1:X$400,0)),X$2,)</f>
        <v>0</v>
      </c>
      <c r="Y146" s="140">
        <f ca="1">IF(ISNUMBER(MATCH(DATEVALUE($A146),'recurring1_based on steps'!Y$1:Y$400,0)),Y$2,)</f>
        <v>0</v>
      </c>
      <c r="Z146" s="140">
        <f ca="1">IF(ISNUMBER(MATCH(DATEVALUE($A146),'recurring1_based on steps'!Z$1:Z$400,0)),Z$2,)</f>
        <v>0</v>
      </c>
      <c r="AA146" s="140">
        <f ca="1">IF(ISNUMBER(MATCH(DATEVALUE($A146),'recurring1_based on steps'!AA$1:AA$400,0)),AA$2,)</f>
        <v>0</v>
      </c>
      <c r="AB146" s="140">
        <f ca="1">IF(ISNUMBER(MATCH(DATEVALUE($A146),'recurring1_based on steps'!AB$1:AB$400,0)),AB$2,)</f>
        <v>5.5401662049861494E-2</v>
      </c>
      <c r="AC146" s="140">
        <f ca="1">IF(ISNUMBER(MATCH(DATEVALUE($A146),'recurring1_based on steps'!AC$1:AC$400,0)),AC$2,)</f>
        <v>0</v>
      </c>
      <c r="AD146" s="140">
        <f ca="1">IF(ISNUMBER(MATCH(DATEVALUE($A146),'recurring1_based on steps'!AD$1:AD$400,0)),AD$2,)</f>
        <v>0</v>
      </c>
      <c r="AE146" s="140">
        <f ca="1">IF(ISNUMBER(MATCH(DATEVALUE($A146),'recurring1_based on steps'!AE$1:AE$400,0)),AE$2,)</f>
        <v>0</v>
      </c>
      <c r="AF146" s="140">
        <f ca="1">IF(ISNUMBER(MATCH(DATEVALUE($A146),'recurring1_based on steps'!AF$1:AF$400,0)),AF$2,)</f>
        <v>0</v>
      </c>
      <c r="AG146" s="140">
        <f ca="1">IF(ISNUMBER(MATCH(DATEVALUE($A146),'recurring1_based on steps'!AG$1:AG$400,0)),AG$2,)</f>
        <v>0</v>
      </c>
      <c r="AH146" s="140">
        <f ca="1">IF(ISNUMBER(MATCH(DATEVALUE($A146),'recurring1_based on steps'!AH$1:AH$400,0)),AH$2,)</f>
        <v>0</v>
      </c>
      <c r="AI146" s="140">
        <f ca="1">IF(ISNUMBER(MATCH(DATEVALUE($A146),'recurring1_based on steps'!AI$1:AI$400,0)),AI$2,)</f>
        <v>0</v>
      </c>
      <c r="AJ146" s="140">
        <f ca="1">IF(ISNUMBER(MATCH(DATEVALUE($A146),'recurring1_based on steps'!AJ$1:AJ$400,0)),AJ$2,)</f>
        <v>0</v>
      </c>
      <c r="AK146" s="140">
        <f ca="1">IF(ISNUMBER(MATCH(DATEVALUE($A146),'recurring1_based on steps'!AK$1:AK$400,0)),AK$2,)</f>
        <v>0</v>
      </c>
      <c r="AL146" s="140">
        <f ca="1">IF(ISNUMBER(MATCH(DATEVALUE($A146),'recurring1_based on steps'!AL$1:AL$400,0)),AL$2,)</f>
        <v>0</v>
      </c>
      <c r="AM146" s="140">
        <f ca="1">IF(ISNUMBER(MATCH(DATEVALUE($A146),'recurring1_based on steps'!AM$1:AM$400,0)),AM$2,)</f>
        <v>0</v>
      </c>
      <c r="AN146" s="140">
        <f ca="1">IF(ISNUMBER(MATCH(DATEVALUE($A146),'recurring1_based on steps'!AN$1:AN$400,0)),AN$2,)</f>
        <v>0</v>
      </c>
      <c r="AO146" s="140">
        <f ca="1">IF(ISNUMBER(MATCH(DATEVALUE($A146),'recurring1_based on steps'!AO$1:AO$400,0)),AO$2,)</f>
        <v>0</v>
      </c>
      <c r="AP146" s="140">
        <f ca="1">IF(ISNUMBER(MATCH(DATEVALUE($A146),'recurring1_based on steps'!AP$1:AP$400,0)),AP$2,)</f>
        <v>0</v>
      </c>
      <c r="AQ146" s="140">
        <f ca="1">IF(ISNUMBER(MATCH(DATEVALUE($A146),'recurring1_based on steps'!AQ$1:AQ$400,0)),AQ$2,)</f>
        <v>0</v>
      </c>
      <c r="AR146" s="140">
        <f ca="1">IF(ISNUMBER(MATCH(DATEVALUE($A146),'recurring1_based on steps'!AR$1:AR$400,0)),AR$2,)</f>
        <v>0</v>
      </c>
      <c r="AS146" s="140">
        <f ca="1">IF(ISNUMBER(MATCH(DATEVALUE($A146),'recurring1_based on steps'!AS$1:AS$400,0)),AS$2,)</f>
        <v>0</v>
      </c>
      <c r="AT146" s="140">
        <f ca="1">IF(ISNUMBER(MATCH(DATEVALUE($A146),'recurring1_based on steps'!AT$1:AT$400,0)),AT$2,)</f>
        <v>0</v>
      </c>
      <c r="AU146" s="140">
        <f ca="1">IF(ISNUMBER(MATCH(DATEVALUE($A146),'recurring1_based on steps'!AU$1:AU$400,0)),AU$2,)</f>
        <v>0</v>
      </c>
      <c r="AV146" s="140">
        <f ca="1">IF(ISNUMBER(MATCH(DATEVALUE($A146),'recurring1_based on steps'!AV$1:AV$400,0)),AV$2,)</f>
        <v>0</v>
      </c>
      <c r="AW146" s="140">
        <f ca="1">IF(ISNUMBER(MATCH(DATEVALUE($A146),'recurring1_based on steps'!AW$1:AW$400,0)),AW$2,)</f>
        <v>0</v>
      </c>
      <c r="AX146" s="140">
        <f ca="1">IF(ISNUMBER(MATCH(DATEVALUE($A146),'recurring1_based on steps'!AX$1:AX$400,0)),AX$2,)</f>
        <v>0</v>
      </c>
      <c r="AY146" s="140">
        <f ca="1">IF(ISNUMBER(MATCH(DATEVALUE($A146),'recurring1_based on steps'!AY$1:AY$400,0)),AY$2,)</f>
        <v>0</v>
      </c>
    </row>
    <row r="147" spans="1:51" x14ac:dyDescent="0.2">
      <c r="A147" s="29" t="str">
        <f t="shared" ca="1" si="2"/>
        <v>2025-08-18</v>
      </c>
      <c r="B147" s="140">
        <f ca="1">IF(ISNUMBER(MATCH(DATEVALUE($A147),'recurring1_based on steps'!B$1:B$400,0)),B$2,)</f>
        <v>0</v>
      </c>
      <c r="C147" s="140">
        <f ca="1">IF(ISNUMBER(MATCH(DATEVALUE($A147),'recurring1_based on steps'!C$1:C$400,0)),C$2,)</f>
        <v>0</v>
      </c>
      <c r="D147" s="140">
        <f ca="1">IF(ISNUMBER(MATCH(DATEVALUE($A147),'recurring1_based on steps'!D$1:D$400,0)),D$2,)</f>
        <v>0</v>
      </c>
      <c r="E147" s="140">
        <f ca="1">IF(ISNUMBER(MATCH(DATEVALUE($A147),'recurring1_based on steps'!E$1:E$400,0)),E$2,)</f>
        <v>0</v>
      </c>
      <c r="F147" s="140">
        <f ca="1">IF(ISNUMBER(MATCH(DATEVALUE($A147),'recurring1_based on steps'!F$1:F$400,0)),F$2,)</f>
        <v>0</v>
      </c>
      <c r="G147" s="140">
        <f ca="1">IF(ISNUMBER(MATCH(DATEVALUE($A147),'recurring1_based on steps'!G$1:G$400,0)),G$2,)</f>
        <v>0</v>
      </c>
      <c r="H147" s="140">
        <f ca="1">IF(ISNUMBER(MATCH(DATEVALUE($A147),'recurring1_based on steps'!H$1:H$400,0)),H$2,)</f>
        <v>0</v>
      </c>
      <c r="I147" s="140">
        <f ca="1">IF(ISNUMBER(MATCH(DATEVALUE($A147),'recurring1_based on steps'!I$1:I$400,0)),I$2,)</f>
        <v>0</v>
      </c>
      <c r="J147" s="140">
        <f ca="1">IF(ISNUMBER(MATCH(DATEVALUE($A147),'recurring1_based on steps'!J$1:J$400,0)),J$2,)</f>
        <v>0</v>
      </c>
      <c r="K147" s="140">
        <f ca="1">IF(ISNUMBER(MATCH(DATEVALUE($A147),'recurring1_based on steps'!K$1:K$400,0)),K$2,)</f>
        <v>0</v>
      </c>
      <c r="L147" s="140">
        <f ca="1">IF(ISNUMBER(MATCH(DATEVALUE($A147),'recurring1_based on steps'!L$1:L$400,0)),L$2,)</f>
        <v>0</v>
      </c>
      <c r="M147" s="140">
        <f ca="1">IF(ISNUMBER(MATCH(DATEVALUE($A147),'recurring1_based on steps'!M$1:M$400,0)),M$2,)</f>
        <v>0</v>
      </c>
      <c r="N147" s="140">
        <f ca="1">IF(ISNUMBER(MATCH(DATEVALUE($A147),'recurring1_based on steps'!N$1:N$400,0)),N$2,)</f>
        <v>0</v>
      </c>
      <c r="O147" s="140">
        <f ca="1">IF(ISNUMBER(MATCH(DATEVALUE($A147),'recurring1_based on steps'!O$1:O$400,0)),O$2,)</f>
        <v>10.99</v>
      </c>
      <c r="P147" s="140">
        <f ca="1">IF(ISNUMBER(MATCH(DATEVALUE($A147),'recurring1_based on steps'!P$1:P$400,0)),P$2,)</f>
        <v>0</v>
      </c>
      <c r="Q147" s="140">
        <f ca="1">IF(ISNUMBER(MATCH(DATEVALUE($A147),'recurring1_based on steps'!Q$1:Q$400,0)),Q$2,)</f>
        <v>0</v>
      </c>
      <c r="R147" s="140">
        <f ca="1">IF(ISNUMBER(MATCH(DATEVALUE($A147),'recurring1_based on steps'!R$1:R$400,0)),R$2,)</f>
        <v>0</v>
      </c>
      <c r="S147" s="140">
        <f ca="1">IF(ISNUMBER(MATCH(DATEVALUE($A147),'recurring1_based on steps'!S$1:S$400,0)),S$2,)</f>
        <v>0</v>
      </c>
      <c r="T147" s="140">
        <f ca="1">IF(ISNUMBER(MATCH(DATEVALUE($A147),'recurring1_based on steps'!T$1:T$400,0)),T$2,)</f>
        <v>0</v>
      </c>
      <c r="U147" s="140">
        <f ca="1">IF(ISNUMBER(MATCH(DATEVALUE($A147),'recurring1_based on steps'!U$1:U$400,0)),U$2,)</f>
        <v>0</v>
      </c>
      <c r="V147" s="140">
        <f ca="1">IF(ISNUMBER(MATCH(DATEVALUE($A147),'recurring1_based on steps'!V$1:V$400,0)),V$2,)</f>
        <v>0</v>
      </c>
      <c r="W147" s="140">
        <f ca="1">IF(ISNUMBER(MATCH(DATEVALUE($A147),'recurring1_based on steps'!W$1:W$400,0)),W$2,)</f>
        <v>0</v>
      </c>
      <c r="X147" s="140">
        <f ca="1">IF(ISNUMBER(MATCH(DATEVALUE($A147),'recurring1_based on steps'!X$1:X$400,0)),X$2,)</f>
        <v>0</v>
      </c>
      <c r="Y147" s="140">
        <f ca="1">IF(ISNUMBER(MATCH(DATEVALUE($A147),'recurring1_based on steps'!Y$1:Y$400,0)),Y$2,)</f>
        <v>0</v>
      </c>
      <c r="Z147" s="140">
        <f ca="1">IF(ISNUMBER(MATCH(DATEVALUE($A147),'recurring1_based on steps'!Z$1:Z$400,0)),Z$2,)</f>
        <v>0</v>
      </c>
      <c r="AA147" s="140">
        <f ca="1">IF(ISNUMBER(MATCH(DATEVALUE($A147),'recurring1_based on steps'!AA$1:AA$400,0)),AA$2,)</f>
        <v>0</v>
      </c>
      <c r="AB147" s="140">
        <f ca="1">IF(ISNUMBER(MATCH(DATEVALUE($A147),'recurring1_based on steps'!AB$1:AB$400,0)),AB$2,)</f>
        <v>5.5401662049861494E-2</v>
      </c>
      <c r="AC147" s="140">
        <f ca="1">IF(ISNUMBER(MATCH(DATEVALUE($A147),'recurring1_based on steps'!AC$1:AC$400,0)),AC$2,)</f>
        <v>0</v>
      </c>
      <c r="AD147" s="140">
        <f ca="1">IF(ISNUMBER(MATCH(DATEVALUE($A147),'recurring1_based on steps'!AD$1:AD$400,0)),AD$2,)</f>
        <v>0</v>
      </c>
      <c r="AE147" s="140">
        <f ca="1">IF(ISNUMBER(MATCH(DATEVALUE($A147),'recurring1_based on steps'!AE$1:AE$400,0)),AE$2,)</f>
        <v>0</v>
      </c>
      <c r="AF147" s="140">
        <f ca="1">IF(ISNUMBER(MATCH(DATEVALUE($A147),'recurring1_based on steps'!AF$1:AF$400,0)),AF$2,)</f>
        <v>0</v>
      </c>
      <c r="AG147" s="140">
        <f ca="1">IF(ISNUMBER(MATCH(DATEVALUE($A147),'recurring1_based on steps'!AG$1:AG$400,0)),AG$2,)</f>
        <v>0</v>
      </c>
      <c r="AH147" s="140">
        <f ca="1">IF(ISNUMBER(MATCH(DATEVALUE($A147),'recurring1_based on steps'!AH$1:AH$400,0)),AH$2,)</f>
        <v>0</v>
      </c>
      <c r="AI147" s="140">
        <f ca="1">IF(ISNUMBER(MATCH(DATEVALUE($A147),'recurring1_based on steps'!AI$1:AI$400,0)),AI$2,)</f>
        <v>0</v>
      </c>
      <c r="AJ147" s="140">
        <f ca="1">IF(ISNUMBER(MATCH(DATEVALUE($A147),'recurring1_based on steps'!AJ$1:AJ$400,0)),AJ$2,)</f>
        <v>0</v>
      </c>
      <c r="AK147" s="140">
        <f ca="1">IF(ISNUMBER(MATCH(DATEVALUE($A147),'recurring1_based on steps'!AK$1:AK$400,0)),AK$2,)</f>
        <v>0</v>
      </c>
      <c r="AL147" s="140">
        <f ca="1">IF(ISNUMBER(MATCH(DATEVALUE($A147),'recurring1_based on steps'!AL$1:AL$400,0)),AL$2,)</f>
        <v>0</v>
      </c>
      <c r="AM147" s="140">
        <f ca="1">IF(ISNUMBER(MATCH(DATEVALUE($A147),'recurring1_based on steps'!AM$1:AM$400,0)),AM$2,)</f>
        <v>0</v>
      </c>
      <c r="AN147" s="140">
        <f ca="1">IF(ISNUMBER(MATCH(DATEVALUE($A147),'recurring1_based on steps'!AN$1:AN$400,0)),AN$2,)</f>
        <v>0</v>
      </c>
      <c r="AO147" s="140">
        <f ca="1">IF(ISNUMBER(MATCH(DATEVALUE($A147),'recurring1_based on steps'!AO$1:AO$400,0)),AO$2,)</f>
        <v>0</v>
      </c>
      <c r="AP147" s="140">
        <f ca="1">IF(ISNUMBER(MATCH(DATEVALUE($A147),'recurring1_based on steps'!AP$1:AP$400,0)),AP$2,)</f>
        <v>0</v>
      </c>
      <c r="AQ147" s="140">
        <f ca="1">IF(ISNUMBER(MATCH(DATEVALUE($A147),'recurring1_based on steps'!AQ$1:AQ$400,0)),AQ$2,)</f>
        <v>0</v>
      </c>
      <c r="AR147" s="140">
        <f ca="1">IF(ISNUMBER(MATCH(DATEVALUE($A147),'recurring1_based on steps'!AR$1:AR$400,0)),AR$2,)</f>
        <v>0</v>
      </c>
      <c r="AS147" s="140">
        <f ca="1">IF(ISNUMBER(MATCH(DATEVALUE($A147),'recurring1_based on steps'!AS$1:AS$400,0)),AS$2,)</f>
        <v>0</v>
      </c>
      <c r="AT147" s="140">
        <f ca="1">IF(ISNUMBER(MATCH(DATEVALUE($A147),'recurring1_based on steps'!AT$1:AT$400,0)),AT$2,)</f>
        <v>0</v>
      </c>
      <c r="AU147" s="140">
        <f ca="1">IF(ISNUMBER(MATCH(DATEVALUE($A147),'recurring1_based on steps'!AU$1:AU$400,0)),AU$2,)</f>
        <v>0</v>
      </c>
      <c r="AV147" s="140">
        <f ca="1">IF(ISNUMBER(MATCH(DATEVALUE($A147),'recurring1_based on steps'!AV$1:AV$400,0)),AV$2,)</f>
        <v>0</v>
      </c>
      <c r="AW147" s="140">
        <f ca="1">IF(ISNUMBER(MATCH(DATEVALUE($A147),'recurring1_based on steps'!AW$1:AW$400,0)),AW$2,)</f>
        <v>0</v>
      </c>
      <c r="AX147" s="140">
        <f ca="1">IF(ISNUMBER(MATCH(DATEVALUE($A147),'recurring1_based on steps'!AX$1:AX$400,0)),AX$2,)</f>
        <v>0</v>
      </c>
      <c r="AY147" s="140">
        <f ca="1">IF(ISNUMBER(MATCH(DATEVALUE($A147),'recurring1_based on steps'!AY$1:AY$400,0)),AY$2,)</f>
        <v>0</v>
      </c>
    </row>
    <row r="148" spans="1:51" x14ac:dyDescent="0.2">
      <c r="A148" s="29" t="str">
        <f t="shared" ca="1" si="2"/>
        <v>2025-08-19</v>
      </c>
      <c r="B148" s="140">
        <f ca="1">IF(ISNUMBER(MATCH(DATEVALUE($A148),'recurring1_based on steps'!B$1:B$400,0)),B$2,)</f>
        <v>0</v>
      </c>
      <c r="C148" s="140">
        <f ca="1">IF(ISNUMBER(MATCH(DATEVALUE($A148),'recurring1_based on steps'!C$1:C$400,0)),C$2,)</f>
        <v>0</v>
      </c>
      <c r="D148" s="140">
        <f ca="1">IF(ISNUMBER(MATCH(DATEVALUE($A148),'recurring1_based on steps'!D$1:D$400,0)),D$2,)</f>
        <v>0</v>
      </c>
      <c r="E148" s="140">
        <f ca="1">IF(ISNUMBER(MATCH(DATEVALUE($A148),'recurring1_based on steps'!E$1:E$400,0)),E$2,)</f>
        <v>0</v>
      </c>
      <c r="F148" s="140">
        <f ca="1">IF(ISNUMBER(MATCH(DATEVALUE($A148),'recurring1_based on steps'!F$1:F$400,0)),F$2,)</f>
        <v>0</v>
      </c>
      <c r="G148" s="140">
        <f ca="1">IF(ISNUMBER(MATCH(DATEVALUE($A148),'recurring1_based on steps'!G$1:G$400,0)),G$2,)</f>
        <v>0</v>
      </c>
      <c r="H148" s="140">
        <f ca="1">IF(ISNUMBER(MATCH(DATEVALUE($A148),'recurring1_based on steps'!H$1:H$400,0)),H$2,)</f>
        <v>0</v>
      </c>
      <c r="I148" s="140">
        <f ca="1">IF(ISNUMBER(MATCH(DATEVALUE($A148),'recurring1_based on steps'!I$1:I$400,0)),I$2,)</f>
        <v>0</v>
      </c>
      <c r="J148" s="140">
        <f ca="1">IF(ISNUMBER(MATCH(DATEVALUE($A148),'recurring1_based on steps'!J$1:J$400,0)),J$2,)</f>
        <v>0</v>
      </c>
      <c r="K148" s="140">
        <f ca="1">IF(ISNUMBER(MATCH(DATEVALUE($A148),'recurring1_based on steps'!K$1:K$400,0)),K$2,)</f>
        <v>0</v>
      </c>
      <c r="L148" s="140">
        <f ca="1">IF(ISNUMBER(MATCH(DATEVALUE($A148),'recurring1_based on steps'!L$1:L$400,0)),L$2,)</f>
        <v>0</v>
      </c>
      <c r="M148" s="140">
        <f ca="1">IF(ISNUMBER(MATCH(DATEVALUE($A148),'recurring1_based on steps'!M$1:M$400,0)),M$2,)</f>
        <v>0</v>
      </c>
      <c r="N148" s="140">
        <f ca="1">IF(ISNUMBER(MATCH(DATEVALUE($A148),'recurring1_based on steps'!N$1:N$400,0)),N$2,)</f>
        <v>0</v>
      </c>
      <c r="O148" s="140">
        <f ca="1">IF(ISNUMBER(MATCH(DATEVALUE($A148),'recurring1_based on steps'!O$1:O$400,0)),O$2,)</f>
        <v>0</v>
      </c>
      <c r="P148" s="140">
        <f ca="1">IF(ISNUMBER(MATCH(DATEVALUE($A148),'recurring1_based on steps'!P$1:P$400,0)),P$2,)</f>
        <v>0</v>
      </c>
      <c r="Q148" s="140">
        <f ca="1">IF(ISNUMBER(MATCH(DATEVALUE($A148),'recurring1_based on steps'!Q$1:Q$400,0)),Q$2,)</f>
        <v>0</v>
      </c>
      <c r="R148" s="140">
        <f ca="1">IF(ISNUMBER(MATCH(DATEVALUE($A148),'recurring1_based on steps'!R$1:R$400,0)),R$2,)</f>
        <v>0</v>
      </c>
      <c r="S148" s="140">
        <f ca="1">IF(ISNUMBER(MATCH(DATEVALUE($A148),'recurring1_based on steps'!S$1:S$400,0)),S$2,)</f>
        <v>0</v>
      </c>
      <c r="T148" s="140">
        <f ca="1">IF(ISNUMBER(MATCH(DATEVALUE($A148),'recurring1_based on steps'!T$1:T$400,0)),T$2,)</f>
        <v>0</v>
      </c>
      <c r="U148" s="140">
        <f ca="1">IF(ISNUMBER(MATCH(DATEVALUE($A148),'recurring1_based on steps'!U$1:U$400,0)),U$2,)</f>
        <v>0</v>
      </c>
      <c r="V148" s="140">
        <f ca="1">IF(ISNUMBER(MATCH(DATEVALUE($A148),'recurring1_based on steps'!V$1:V$400,0)),V$2,)</f>
        <v>0</v>
      </c>
      <c r="W148" s="140">
        <f ca="1">IF(ISNUMBER(MATCH(DATEVALUE($A148),'recurring1_based on steps'!W$1:W$400,0)),W$2,)</f>
        <v>0</v>
      </c>
      <c r="X148" s="140">
        <f ca="1">IF(ISNUMBER(MATCH(DATEVALUE($A148),'recurring1_based on steps'!X$1:X$400,0)),X$2,)</f>
        <v>0</v>
      </c>
      <c r="Y148" s="140">
        <f ca="1">IF(ISNUMBER(MATCH(DATEVALUE($A148),'recurring1_based on steps'!Y$1:Y$400,0)),Y$2,)</f>
        <v>0</v>
      </c>
      <c r="Z148" s="140">
        <f ca="1">IF(ISNUMBER(MATCH(DATEVALUE($A148),'recurring1_based on steps'!Z$1:Z$400,0)),Z$2,)</f>
        <v>0</v>
      </c>
      <c r="AA148" s="140">
        <f ca="1">IF(ISNUMBER(MATCH(DATEVALUE($A148),'recurring1_based on steps'!AA$1:AA$400,0)),AA$2,)</f>
        <v>0</v>
      </c>
      <c r="AB148" s="140">
        <f ca="1">IF(ISNUMBER(MATCH(DATEVALUE($A148),'recurring1_based on steps'!AB$1:AB$400,0)),AB$2,)</f>
        <v>5.5401662049861494E-2</v>
      </c>
      <c r="AC148" s="140">
        <f ca="1">IF(ISNUMBER(MATCH(DATEVALUE($A148),'recurring1_based on steps'!AC$1:AC$400,0)),AC$2,)</f>
        <v>0</v>
      </c>
      <c r="AD148" s="140">
        <f ca="1">IF(ISNUMBER(MATCH(DATEVALUE($A148),'recurring1_based on steps'!AD$1:AD$400,0)),AD$2,)</f>
        <v>0</v>
      </c>
      <c r="AE148" s="140">
        <f ca="1">IF(ISNUMBER(MATCH(DATEVALUE($A148),'recurring1_based on steps'!AE$1:AE$400,0)),AE$2,)</f>
        <v>0</v>
      </c>
      <c r="AF148" s="140">
        <f ca="1">IF(ISNUMBER(MATCH(DATEVALUE($A148),'recurring1_based on steps'!AF$1:AF$400,0)),AF$2,)</f>
        <v>0</v>
      </c>
      <c r="AG148" s="140">
        <f ca="1">IF(ISNUMBER(MATCH(DATEVALUE($A148),'recurring1_based on steps'!AG$1:AG$400,0)),AG$2,)</f>
        <v>0</v>
      </c>
      <c r="AH148" s="140">
        <f ca="1">IF(ISNUMBER(MATCH(DATEVALUE($A148),'recurring1_based on steps'!AH$1:AH$400,0)),AH$2,)</f>
        <v>0</v>
      </c>
      <c r="AI148" s="140">
        <f ca="1">IF(ISNUMBER(MATCH(DATEVALUE($A148),'recurring1_based on steps'!AI$1:AI$400,0)),AI$2,)</f>
        <v>0</v>
      </c>
      <c r="AJ148" s="140">
        <f ca="1">IF(ISNUMBER(MATCH(DATEVALUE($A148),'recurring1_based on steps'!AJ$1:AJ$400,0)),AJ$2,)</f>
        <v>0</v>
      </c>
      <c r="AK148" s="140">
        <f ca="1">IF(ISNUMBER(MATCH(DATEVALUE($A148),'recurring1_based on steps'!AK$1:AK$400,0)),AK$2,)</f>
        <v>0</v>
      </c>
      <c r="AL148" s="140">
        <f ca="1">IF(ISNUMBER(MATCH(DATEVALUE($A148),'recurring1_based on steps'!AL$1:AL$400,0)),AL$2,)</f>
        <v>0</v>
      </c>
      <c r="AM148" s="140">
        <f ca="1">IF(ISNUMBER(MATCH(DATEVALUE($A148),'recurring1_based on steps'!AM$1:AM$400,0)),AM$2,)</f>
        <v>0</v>
      </c>
      <c r="AN148" s="140">
        <f ca="1">IF(ISNUMBER(MATCH(DATEVALUE($A148),'recurring1_based on steps'!AN$1:AN$400,0)),AN$2,)</f>
        <v>0</v>
      </c>
      <c r="AO148" s="140">
        <f ca="1">IF(ISNUMBER(MATCH(DATEVALUE($A148),'recurring1_based on steps'!AO$1:AO$400,0)),AO$2,)</f>
        <v>0</v>
      </c>
      <c r="AP148" s="140">
        <f ca="1">IF(ISNUMBER(MATCH(DATEVALUE($A148),'recurring1_based on steps'!AP$1:AP$400,0)),AP$2,)</f>
        <v>0</v>
      </c>
      <c r="AQ148" s="140">
        <f ca="1">IF(ISNUMBER(MATCH(DATEVALUE($A148),'recurring1_based on steps'!AQ$1:AQ$400,0)),AQ$2,)</f>
        <v>0</v>
      </c>
      <c r="AR148" s="140">
        <f ca="1">IF(ISNUMBER(MATCH(DATEVALUE($A148),'recurring1_based on steps'!AR$1:AR$400,0)),AR$2,)</f>
        <v>0</v>
      </c>
      <c r="AS148" s="140">
        <f ca="1">IF(ISNUMBER(MATCH(DATEVALUE($A148),'recurring1_based on steps'!AS$1:AS$400,0)),AS$2,)</f>
        <v>0</v>
      </c>
      <c r="AT148" s="140">
        <f ca="1">IF(ISNUMBER(MATCH(DATEVALUE($A148),'recurring1_based on steps'!AT$1:AT$400,0)),AT$2,)</f>
        <v>0</v>
      </c>
      <c r="AU148" s="140">
        <f ca="1">IF(ISNUMBER(MATCH(DATEVALUE($A148),'recurring1_based on steps'!AU$1:AU$400,0)),AU$2,)</f>
        <v>0</v>
      </c>
      <c r="AV148" s="140">
        <f ca="1">IF(ISNUMBER(MATCH(DATEVALUE($A148),'recurring1_based on steps'!AV$1:AV$400,0)),AV$2,)</f>
        <v>0</v>
      </c>
      <c r="AW148" s="140">
        <f ca="1">IF(ISNUMBER(MATCH(DATEVALUE($A148),'recurring1_based on steps'!AW$1:AW$400,0)),AW$2,)</f>
        <v>0</v>
      </c>
      <c r="AX148" s="140">
        <f ca="1">IF(ISNUMBER(MATCH(DATEVALUE($A148),'recurring1_based on steps'!AX$1:AX$400,0)),AX$2,)</f>
        <v>0</v>
      </c>
      <c r="AY148" s="140">
        <f ca="1">IF(ISNUMBER(MATCH(DATEVALUE($A148),'recurring1_based on steps'!AY$1:AY$400,0)),AY$2,)</f>
        <v>0</v>
      </c>
    </row>
    <row r="149" spans="1:51" x14ac:dyDescent="0.2">
      <c r="A149" s="29" t="str">
        <f t="shared" ca="1" si="2"/>
        <v>2025-08-20</v>
      </c>
      <c r="B149" s="140">
        <f ca="1">IF(ISNUMBER(MATCH(DATEVALUE($A149),'recurring1_based on steps'!B$1:B$400,0)),B$2,)</f>
        <v>0</v>
      </c>
      <c r="C149" s="140">
        <f ca="1">IF(ISNUMBER(MATCH(DATEVALUE($A149),'recurring1_based on steps'!C$1:C$400,0)),C$2,)</f>
        <v>0</v>
      </c>
      <c r="D149" s="140">
        <f ca="1">IF(ISNUMBER(MATCH(DATEVALUE($A149),'recurring1_based on steps'!D$1:D$400,0)),D$2,)</f>
        <v>0</v>
      </c>
      <c r="E149" s="140">
        <f ca="1">IF(ISNUMBER(MATCH(DATEVALUE($A149),'recurring1_based on steps'!E$1:E$400,0)),E$2,)</f>
        <v>0</v>
      </c>
      <c r="F149" s="140">
        <f ca="1">IF(ISNUMBER(MATCH(DATEVALUE($A149),'recurring1_based on steps'!F$1:F$400,0)),F$2,)</f>
        <v>0</v>
      </c>
      <c r="G149" s="140">
        <f ca="1">IF(ISNUMBER(MATCH(DATEVALUE($A149),'recurring1_based on steps'!G$1:G$400,0)),G$2,)</f>
        <v>0</v>
      </c>
      <c r="H149" s="140">
        <f ca="1">IF(ISNUMBER(MATCH(DATEVALUE($A149),'recurring1_based on steps'!H$1:H$400,0)),H$2,)</f>
        <v>0</v>
      </c>
      <c r="I149" s="140">
        <f ca="1">IF(ISNUMBER(MATCH(DATEVALUE($A149),'recurring1_based on steps'!I$1:I$400,0)),I$2,)</f>
        <v>0</v>
      </c>
      <c r="J149" s="140">
        <f ca="1">IF(ISNUMBER(MATCH(DATEVALUE($A149),'recurring1_based on steps'!J$1:J$400,0)),J$2,)</f>
        <v>0</v>
      </c>
      <c r="K149" s="140">
        <f ca="1">IF(ISNUMBER(MATCH(DATEVALUE($A149),'recurring1_based on steps'!K$1:K$400,0)),K$2,)</f>
        <v>0</v>
      </c>
      <c r="L149" s="140">
        <f ca="1">IF(ISNUMBER(MATCH(DATEVALUE($A149),'recurring1_based on steps'!L$1:L$400,0)),L$2,)</f>
        <v>0</v>
      </c>
      <c r="M149" s="140">
        <f ca="1">IF(ISNUMBER(MATCH(DATEVALUE($A149),'recurring1_based on steps'!M$1:M$400,0)),M$2,)</f>
        <v>0</v>
      </c>
      <c r="N149" s="140">
        <f ca="1">IF(ISNUMBER(MATCH(DATEVALUE($A149),'recurring1_based on steps'!N$1:N$400,0)),N$2,)</f>
        <v>0</v>
      </c>
      <c r="O149" s="140">
        <f ca="1">IF(ISNUMBER(MATCH(DATEVALUE($A149),'recurring1_based on steps'!O$1:O$400,0)),O$2,)</f>
        <v>0</v>
      </c>
      <c r="P149" s="140">
        <f ca="1">IF(ISNUMBER(MATCH(DATEVALUE($A149),'recurring1_based on steps'!P$1:P$400,0)),P$2,)</f>
        <v>0</v>
      </c>
      <c r="Q149" s="140">
        <f ca="1">IF(ISNUMBER(MATCH(DATEVALUE($A149),'recurring1_based on steps'!Q$1:Q$400,0)),Q$2,)</f>
        <v>0</v>
      </c>
      <c r="R149" s="140">
        <f ca="1">IF(ISNUMBER(MATCH(DATEVALUE($A149),'recurring1_based on steps'!R$1:R$400,0)),R$2,)</f>
        <v>0</v>
      </c>
      <c r="S149" s="140">
        <f ca="1">IF(ISNUMBER(MATCH(DATEVALUE($A149),'recurring1_based on steps'!S$1:S$400,0)),S$2,)</f>
        <v>0</v>
      </c>
      <c r="T149" s="140">
        <f ca="1">IF(ISNUMBER(MATCH(DATEVALUE($A149),'recurring1_based on steps'!T$1:T$400,0)),T$2,)</f>
        <v>0</v>
      </c>
      <c r="U149" s="140">
        <f ca="1">IF(ISNUMBER(MATCH(DATEVALUE($A149),'recurring1_based on steps'!U$1:U$400,0)),U$2,)</f>
        <v>0</v>
      </c>
      <c r="V149" s="140">
        <f ca="1">IF(ISNUMBER(MATCH(DATEVALUE($A149),'recurring1_based on steps'!V$1:V$400,0)),V$2,)</f>
        <v>0</v>
      </c>
      <c r="W149" s="140">
        <f ca="1">IF(ISNUMBER(MATCH(DATEVALUE($A149),'recurring1_based on steps'!W$1:W$400,0)),W$2,)</f>
        <v>0</v>
      </c>
      <c r="X149" s="140">
        <f ca="1">IF(ISNUMBER(MATCH(DATEVALUE($A149),'recurring1_based on steps'!X$1:X$400,0)),X$2,)</f>
        <v>0</v>
      </c>
      <c r="Y149" s="140">
        <f ca="1">IF(ISNUMBER(MATCH(DATEVALUE($A149),'recurring1_based on steps'!Y$1:Y$400,0)),Y$2,)</f>
        <v>0</v>
      </c>
      <c r="Z149" s="140">
        <f ca="1">IF(ISNUMBER(MATCH(DATEVALUE($A149),'recurring1_based on steps'!Z$1:Z$400,0)),Z$2,)</f>
        <v>20</v>
      </c>
      <c r="AA149" s="140">
        <f ca="1">IF(ISNUMBER(MATCH(DATEVALUE($A149),'recurring1_based on steps'!AA$1:AA$400,0)),AA$2,)</f>
        <v>5.8171745152354575</v>
      </c>
      <c r="AB149" s="140">
        <f ca="1">IF(ISNUMBER(MATCH(DATEVALUE($A149),'recurring1_based on steps'!AB$1:AB$400,0)),AB$2,)</f>
        <v>5.5401662049861494E-2</v>
      </c>
      <c r="AC149" s="140">
        <f ca="1">IF(ISNUMBER(MATCH(DATEVALUE($A149),'recurring1_based on steps'!AC$1:AC$400,0)),AC$2,)</f>
        <v>0</v>
      </c>
      <c r="AD149" s="140">
        <f ca="1">IF(ISNUMBER(MATCH(DATEVALUE($A149),'recurring1_based on steps'!AD$1:AD$400,0)),AD$2,)</f>
        <v>0</v>
      </c>
      <c r="AE149" s="140">
        <f ca="1">IF(ISNUMBER(MATCH(DATEVALUE($A149),'recurring1_based on steps'!AE$1:AE$400,0)),AE$2,)</f>
        <v>0</v>
      </c>
      <c r="AF149" s="140">
        <f ca="1">IF(ISNUMBER(MATCH(DATEVALUE($A149),'recurring1_based on steps'!AF$1:AF$400,0)),AF$2,)</f>
        <v>0</v>
      </c>
      <c r="AG149" s="140">
        <f ca="1">IF(ISNUMBER(MATCH(DATEVALUE($A149),'recurring1_based on steps'!AG$1:AG$400,0)),AG$2,)</f>
        <v>0</v>
      </c>
      <c r="AH149" s="140">
        <f ca="1">IF(ISNUMBER(MATCH(DATEVALUE($A149),'recurring1_based on steps'!AH$1:AH$400,0)),AH$2,)</f>
        <v>0</v>
      </c>
      <c r="AI149" s="140">
        <f ca="1">IF(ISNUMBER(MATCH(DATEVALUE($A149),'recurring1_based on steps'!AI$1:AI$400,0)),AI$2,)</f>
        <v>0</v>
      </c>
      <c r="AJ149" s="140">
        <f ca="1">IF(ISNUMBER(MATCH(DATEVALUE($A149),'recurring1_based on steps'!AJ$1:AJ$400,0)),AJ$2,)</f>
        <v>0</v>
      </c>
      <c r="AK149" s="140">
        <f ca="1">IF(ISNUMBER(MATCH(DATEVALUE($A149),'recurring1_based on steps'!AK$1:AK$400,0)),AK$2,)</f>
        <v>0</v>
      </c>
      <c r="AL149" s="140">
        <f ca="1">IF(ISNUMBER(MATCH(DATEVALUE($A149),'recurring1_based on steps'!AL$1:AL$400,0)),AL$2,)</f>
        <v>0</v>
      </c>
      <c r="AM149" s="140">
        <f ca="1">IF(ISNUMBER(MATCH(DATEVALUE($A149),'recurring1_based on steps'!AM$1:AM$400,0)),AM$2,)</f>
        <v>0</v>
      </c>
      <c r="AN149" s="140">
        <f ca="1">IF(ISNUMBER(MATCH(DATEVALUE($A149),'recurring1_based on steps'!AN$1:AN$400,0)),AN$2,)</f>
        <v>0</v>
      </c>
      <c r="AO149" s="140">
        <f ca="1">IF(ISNUMBER(MATCH(DATEVALUE($A149),'recurring1_based on steps'!AO$1:AO$400,0)),AO$2,)</f>
        <v>0</v>
      </c>
      <c r="AP149" s="140">
        <f ca="1">IF(ISNUMBER(MATCH(DATEVALUE($A149),'recurring1_based on steps'!AP$1:AP$400,0)),AP$2,)</f>
        <v>0</v>
      </c>
      <c r="AQ149" s="140">
        <f ca="1">IF(ISNUMBER(MATCH(DATEVALUE($A149),'recurring1_based on steps'!AQ$1:AQ$400,0)),AQ$2,)</f>
        <v>0</v>
      </c>
      <c r="AR149" s="140">
        <f ca="1">IF(ISNUMBER(MATCH(DATEVALUE($A149),'recurring1_based on steps'!AR$1:AR$400,0)),AR$2,)</f>
        <v>0</v>
      </c>
      <c r="AS149" s="140">
        <f ca="1">IF(ISNUMBER(MATCH(DATEVALUE($A149),'recurring1_based on steps'!AS$1:AS$400,0)),AS$2,)</f>
        <v>0</v>
      </c>
      <c r="AT149" s="140">
        <f ca="1">IF(ISNUMBER(MATCH(DATEVALUE($A149),'recurring1_based on steps'!AT$1:AT$400,0)),AT$2,)</f>
        <v>0</v>
      </c>
      <c r="AU149" s="140">
        <f ca="1">IF(ISNUMBER(MATCH(DATEVALUE($A149),'recurring1_based on steps'!AU$1:AU$400,0)),AU$2,)</f>
        <v>0</v>
      </c>
      <c r="AV149" s="140">
        <f ca="1">IF(ISNUMBER(MATCH(DATEVALUE($A149),'recurring1_based on steps'!AV$1:AV$400,0)),AV$2,)</f>
        <v>0</v>
      </c>
      <c r="AW149" s="140">
        <f ca="1">IF(ISNUMBER(MATCH(DATEVALUE($A149),'recurring1_based on steps'!AW$1:AW$400,0)),AW$2,)</f>
        <v>0</v>
      </c>
      <c r="AX149" s="140">
        <f ca="1">IF(ISNUMBER(MATCH(DATEVALUE($A149),'recurring1_based on steps'!AX$1:AX$400,0)),AX$2,)</f>
        <v>0</v>
      </c>
      <c r="AY149" s="140">
        <f ca="1">IF(ISNUMBER(MATCH(DATEVALUE($A149),'recurring1_based on steps'!AY$1:AY$400,0)),AY$2,)</f>
        <v>0</v>
      </c>
    </row>
    <row r="150" spans="1:51" x14ac:dyDescent="0.2">
      <c r="A150" s="29" t="str">
        <f t="shared" ca="1" si="2"/>
        <v>2025-08-21</v>
      </c>
      <c r="B150" s="140">
        <f ca="1">IF(ISNUMBER(MATCH(DATEVALUE($A150),'recurring1_based on steps'!B$1:B$400,0)),B$2,)</f>
        <v>0</v>
      </c>
      <c r="C150" s="140">
        <f ca="1">IF(ISNUMBER(MATCH(DATEVALUE($A150),'recurring1_based on steps'!C$1:C$400,0)),C$2,)</f>
        <v>0</v>
      </c>
      <c r="D150" s="140">
        <f ca="1">IF(ISNUMBER(MATCH(DATEVALUE($A150),'recurring1_based on steps'!D$1:D$400,0)),D$2,)</f>
        <v>0</v>
      </c>
      <c r="E150" s="140">
        <f ca="1">IF(ISNUMBER(MATCH(DATEVALUE($A150),'recurring1_based on steps'!E$1:E$400,0)),E$2,)</f>
        <v>0</v>
      </c>
      <c r="F150" s="140">
        <f ca="1">IF(ISNUMBER(MATCH(DATEVALUE($A150),'recurring1_based on steps'!F$1:F$400,0)),F$2,)</f>
        <v>0</v>
      </c>
      <c r="G150" s="140">
        <f ca="1">IF(ISNUMBER(MATCH(DATEVALUE($A150),'recurring1_based on steps'!G$1:G$400,0)),G$2,)</f>
        <v>0</v>
      </c>
      <c r="H150" s="140">
        <f ca="1">IF(ISNUMBER(MATCH(DATEVALUE($A150),'recurring1_based on steps'!H$1:H$400,0)),H$2,)</f>
        <v>0</v>
      </c>
      <c r="I150" s="140">
        <f ca="1">IF(ISNUMBER(MATCH(DATEVALUE($A150),'recurring1_based on steps'!I$1:I$400,0)),I$2,)</f>
        <v>0</v>
      </c>
      <c r="J150" s="140">
        <f ca="1">IF(ISNUMBER(MATCH(DATEVALUE($A150),'recurring1_based on steps'!J$1:J$400,0)),J$2,)</f>
        <v>0</v>
      </c>
      <c r="K150" s="140">
        <f ca="1">IF(ISNUMBER(MATCH(DATEVALUE($A150),'recurring1_based on steps'!K$1:K$400,0)),K$2,)</f>
        <v>0</v>
      </c>
      <c r="L150" s="140">
        <f ca="1">IF(ISNUMBER(MATCH(DATEVALUE($A150),'recurring1_based on steps'!L$1:L$400,0)),L$2,)</f>
        <v>0</v>
      </c>
      <c r="M150" s="140">
        <f ca="1">IF(ISNUMBER(MATCH(DATEVALUE($A150),'recurring1_based on steps'!M$1:M$400,0)),M$2,)</f>
        <v>0</v>
      </c>
      <c r="N150" s="140">
        <f ca="1">IF(ISNUMBER(MATCH(DATEVALUE($A150),'recurring1_based on steps'!N$1:N$400,0)),N$2,)</f>
        <v>0</v>
      </c>
      <c r="O150" s="140">
        <f ca="1">IF(ISNUMBER(MATCH(DATEVALUE($A150),'recurring1_based on steps'!O$1:O$400,0)),O$2,)</f>
        <v>0</v>
      </c>
      <c r="P150" s="140">
        <f ca="1">IF(ISNUMBER(MATCH(DATEVALUE($A150),'recurring1_based on steps'!P$1:P$400,0)),P$2,)</f>
        <v>0</v>
      </c>
      <c r="Q150" s="140">
        <f ca="1">IF(ISNUMBER(MATCH(DATEVALUE($A150),'recurring1_based on steps'!Q$1:Q$400,0)),Q$2,)</f>
        <v>0</v>
      </c>
      <c r="R150" s="140">
        <f ca="1">IF(ISNUMBER(MATCH(DATEVALUE($A150),'recurring1_based on steps'!R$1:R$400,0)),R$2,)</f>
        <v>0</v>
      </c>
      <c r="S150" s="140">
        <f ca="1">IF(ISNUMBER(MATCH(DATEVALUE($A150),'recurring1_based on steps'!S$1:S$400,0)),S$2,)</f>
        <v>0</v>
      </c>
      <c r="T150" s="140">
        <f ca="1">IF(ISNUMBER(MATCH(DATEVALUE($A150),'recurring1_based on steps'!T$1:T$400,0)),T$2,)</f>
        <v>0</v>
      </c>
      <c r="U150" s="140">
        <f ca="1">IF(ISNUMBER(MATCH(DATEVALUE($A150),'recurring1_based on steps'!U$1:U$400,0)),U$2,)</f>
        <v>0</v>
      </c>
      <c r="V150" s="140">
        <f ca="1">IF(ISNUMBER(MATCH(DATEVALUE($A150),'recurring1_based on steps'!V$1:V$400,0)),V$2,)</f>
        <v>0</v>
      </c>
      <c r="W150" s="140">
        <f ca="1">IF(ISNUMBER(MATCH(DATEVALUE($A150),'recurring1_based on steps'!W$1:W$400,0)),W$2,)</f>
        <v>0</v>
      </c>
      <c r="X150" s="140">
        <f ca="1">IF(ISNUMBER(MATCH(DATEVALUE($A150),'recurring1_based on steps'!X$1:X$400,0)),X$2,)</f>
        <v>0</v>
      </c>
      <c r="Y150" s="140">
        <f ca="1">IF(ISNUMBER(MATCH(DATEVALUE($A150),'recurring1_based on steps'!Y$1:Y$400,0)),Y$2,)</f>
        <v>0</v>
      </c>
      <c r="Z150" s="140">
        <f ca="1">IF(ISNUMBER(MATCH(DATEVALUE($A150),'recurring1_based on steps'!Z$1:Z$400,0)),Z$2,)</f>
        <v>0</v>
      </c>
      <c r="AA150" s="140">
        <f ca="1">IF(ISNUMBER(MATCH(DATEVALUE($A150),'recurring1_based on steps'!AA$1:AA$400,0)),AA$2,)</f>
        <v>0</v>
      </c>
      <c r="AB150" s="140">
        <f ca="1">IF(ISNUMBER(MATCH(DATEVALUE($A150),'recurring1_based on steps'!AB$1:AB$400,0)),AB$2,)</f>
        <v>5.5401662049861494E-2</v>
      </c>
      <c r="AC150" s="140">
        <f ca="1">IF(ISNUMBER(MATCH(DATEVALUE($A150),'recurring1_based on steps'!AC$1:AC$400,0)),AC$2,)</f>
        <v>0</v>
      </c>
      <c r="AD150" s="140">
        <f ca="1">IF(ISNUMBER(MATCH(DATEVALUE($A150),'recurring1_based on steps'!AD$1:AD$400,0)),AD$2,)</f>
        <v>0</v>
      </c>
      <c r="AE150" s="140">
        <f ca="1">IF(ISNUMBER(MATCH(DATEVALUE($A150),'recurring1_based on steps'!AE$1:AE$400,0)),AE$2,)</f>
        <v>0</v>
      </c>
      <c r="AF150" s="140">
        <f ca="1">IF(ISNUMBER(MATCH(DATEVALUE($A150),'recurring1_based on steps'!AF$1:AF$400,0)),AF$2,)</f>
        <v>0</v>
      </c>
      <c r="AG150" s="140">
        <f ca="1">IF(ISNUMBER(MATCH(DATEVALUE($A150),'recurring1_based on steps'!AG$1:AG$400,0)),AG$2,)</f>
        <v>0</v>
      </c>
      <c r="AH150" s="140">
        <f ca="1">IF(ISNUMBER(MATCH(DATEVALUE($A150),'recurring1_based on steps'!AH$1:AH$400,0)),AH$2,)</f>
        <v>0</v>
      </c>
      <c r="AI150" s="140">
        <f ca="1">IF(ISNUMBER(MATCH(DATEVALUE($A150),'recurring1_based on steps'!AI$1:AI$400,0)),AI$2,)</f>
        <v>0</v>
      </c>
      <c r="AJ150" s="140">
        <f ca="1">IF(ISNUMBER(MATCH(DATEVALUE($A150),'recurring1_based on steps'!AJ$1:AJ$400,0)),AJ$2,)</f>
        <v>0</v>
      </c>
      <c r="AK150" s="140">
        <f ca="1">IF(ISNUMBER(MATCH(DATEVALUE($A150),'recurring1_based on steps'!AK$1:AK$400,0)),AK$2,)</f>
        <v>0</v>
      </c>
      <c r="AL150" s="140">
        <f ca="1">IF(ISNUMBER(MATCH(DATEVALUE($A150),'recurring1_based on steps'!AL$1:AL$400,0)),AL$2,)</f>
        <v>0</v>
      </c>
      <c r="AM150" s="140">
        <f ca="1">IF(ISNUMBER(MATCH(DATEVALUE($A150),'recurring1_based on steps'!AM$1:AM$400,0)),AM$2,)</f>
        <v>0</v>
      </c>
      <c r="AN150" s="140">
        <f ca="1">IF(ISNUMBER(MATCH(DATEVALUE($A150),'recurring1_based on steps'!AN$1:AN$400,0)),AN$2,)</f>
        <v>0</v>
      </c>
      <c r="AO150" s="140">
        <f ca="1">IF(ISNUMBER(MATCH(DATEVALUE($A150),'recurring1_based on steps'!AO$1:AO$400,0)),AO$2,)</f>
        <v>0</v>
      </c>
      <c r="AP150" s="140">
        <f ca="1">IF(ISNUMBER(MATCH(DATEVALUE($A150),'recurring1_based on steps'!AP$1:AP$400,0)),AP$2,)</f>
        <v>0</v>
      </c>
      <c r="AQ150" s="140">
        <f ca="1">IF(ISNUMBER(MATCH(DATEVALUE($A150),'recurring1_based on steps'!AQ$1:AQ$400,0)),AQ$2,)</f>
        <v>0</v>
      </c>
      <c r="AR150" s="140">
        <f ca="1">IF(ISNUMBER(MATCH(DATEVALUE($A150),'recurring1_based on steps'!AR$1:AR$400,0)),AR$2,)</f>
        <v>0</v>
      </c>
      <c r="AS150" s="140">
        <f ca="1">IF(ISNUMBER(MATCH(DATEVALUE($A150),'recurring1_based on steps'!AS$1:AS$400,0)),AS$2,)</f>
        <v>0</v>
      </c>
      <c r="AT150" s="140">
        <f ca="1">IF(ISNUMBER(MATCH(DATEVALUE($A150),'recurring1_based on steps'!AT$1:AT$400,0)),AT$2,)</f>
        <v>0</v>
      </c>
      <c r="AU150" s="140">
        <f ca="1">IF(ISNUMBER(MATCH(DATEVALUE($A150),'recurring1_based on steps'!AU$1:AU$400,0)),AU$2,)</f>
        <v>0</v>
      </c>
      <c r="AV150" s="140">
        <f ca="1">IF(ISNUMBER(MATCH(DATEVALUE($A150),'recurring1_based on steps'!AV$1:AV$400,0)),AV$2,)</f>
        <v>0</v>
      </c>
      <c r="AW150" s="140">
        <f ca="1">IF(ISNUMBER(MATCH(DATEVALUE($A150),'recurring1_based on steps'!AW$1:AW$400,0)),AW$2,)</f>
        <v>0</v>
      </c>
      <c r="AX150" s="140">
        <f ca="1">IF(ISNUMBER(MATCH(DATEVALUE($A150),'recurring1_based on steps'!AX$1:AX$400,0)),AX$2,)</f>
        <v>0</v>
      </c>
      <c r="AY150" s="140">
        <f ca="1">IF(ISNUMBER(MATCH(DATEVALUE($A150),'recurring1_based on steps'!AY$1:AY$400,0)),AY$2,)</f>
        <v>0</v>
      </c>
    </row>
    <row r="151" spans="1:51" x14ac:dyDescent="0.2">
      <c r="A151" s="29" t="str">
        <f t="shared" ca="1" si="2"/>
        <v>2025-08-22</v>
      </c>
      <c r="B151" s="140">
        <f ca="1">IF(ISNUMBER(MATCH(DATEVALUE($A151),'recurring1_based on steps'!B$1:B$400,0)),B$2,)</f>
        <v>4000</v>
      </c>
      <c r="C151" s="140">
        <f ca="1">IF(ISNUMBER(MATCH(DATEVALUE($A151),'recurring1_based on steps'!C$1:C$400,0)),C$2,)</f>
        <v>200</v>
      </c>
      <c r="D151" s="140">
        <f ca="1">IF(ISNUMBER(MATCH(DATEVALUE($A151),'recurring1_based on steps'!D$1:D$400,0)),D$2,)</f>
        <v>2</v>
      </c>
      <c r="E151" s="140">
        <f ca="1">IF(ISNUMBER(MATCH(DATEVALUE($A151),'recurring1_based on steps'!E$1:E$400,0)),E$2,)</f>
        <v>40</v>
      </c>
      <c r="F151" s="140">
        <f ca="1">IF(ISNUMBER(MATCH(DATEVALUE($A151),'recurring1_based on steps'!F$1:F$400,0)),F$2,)</f>
        <v>50</v>
      </c>
      <c r="G151" s="140">
        <f ca="1">IF(ISNUMBER(MATCH(DATEVALUE($A151),'recurring1_based on steps'!G$1:G$400,0)),G$2,)</f>
        <v>4</v>
      </c>
      <c r="H151" s="140">
        <f ca="1">IF(ISNUMBER(MATCH(DATEVALUE($A151),'recurring1_based on steps'!H$1:H$400,0)),H$2,)</f>
        <v>0</v>
      </c>
      <c r="I151" s="140">
        <f ca="1">IF(ISNUMBER(MATCH(DATEVALUE($A151),'recurring1_based on steps'!I$1:I$400,0)),I$2,)</f>
        <v>0</v>
      </c>
      <c r="J151" s="140">
        <f ca="1">IF(ISNUMBER(MATCH(DATEVALUE($A151),'recurring1_based on steps'!J$1:J$400,0)),J$2,)</f>
        <v>0</v>
      </c>
      <c r="K151" s="140">
        <f ca="1">IF(ISNUMBER(MATCH(DATEVALUE($A151),'recurring1_based on steps'!K$1:K$400,0)),K$2,)</f>
        <v>0</v>
      </c>
      <c r="L151" s="140">
        <f ca="1">IF(ISNUMBER(MATCH(DATEVALUE($A151),'recurring1_based on steps'!L$1:L$400,0)),L$2,)</f>
        <v>0</v>
      </c>
      <c r="M151" s="140">
        <f ca="1">IF(ISNUMBER(MATCH(DATEVALUE($A151),'recurring1_based on steps'!M$1:M$400,0)),M$2,)</f>
        <v>0</v>
      </c>
      <c r="N151" s="140">
        <f ca="1">IF(ISNUMBER(MATCH(DATEVALUE($A151),'recurring1_based on steps'!N$1:N$400,0)),N$2,)</f>
        <v>0</v>
      </c>
      <c r="O151" s="140">
        <f ca="1">IF(ISNUMBER(MATCH(DATEVALUE($A151),'recurring1_based on steps'!O$1:O$400,0)),O$2,)</f>
        <v>0</v>
      </c>
      <c r="P151" s="140">
        <f ca="1">IF(ISNUMBER(MATCH(DATEVALUE($A151),'recurring1_based on steps'!P$1:P$400,0)),P$2,)</f>
        <v>0</v>
      </c>
      <c r="Q151" s="140">
        <f ca="1">IF(ISNUMBER(MATCH(DATEVALUE($A151),'recurring1_based on steps'!Q$1:Q$400,0)),Q$2,)</f>
        <v>0</v>
      </c>
      <c r="R151" s="140">
        <f ca="1">IF(ISNUMBER(MATCH(DATEVALUE($A151),'recurring1_based on steps'!R$1:R$400,0)),R$2,)</f>
        <v>0</v>
      </c>
      <c r="S151" s="140">
        <f ca="1">IF(ISNUMBER(MATCH(DATEVALUE($A151),'recurring1_based on steps'!S$1:S$400,0)),S$2,)</f>
        <v>0</v>
      </c>
      <c r="T151" s="140">
        <f ca="1">IF(ISNUMBER(MATCH(DATEVALUE($A151),'recurring1_based on steps'!T$1:T$400,0)),T$2,)</f>
        <v>0</v>
      </c>
      <c r="U151" s="140">
        <f ca="1">IF(ISNUMBER(MATCH(DATEVALUE($A151),'recurring1_based on steps'!U$1:U$400,0)),U$2,)</f>
        <v>0</v>
      </c>
      <c r="V151" s="140">
        <f ca="1">IF(ISNUMBER(MATCH(DATEVALUE($A151),'recurring1_based on steps'!V$1:V$400,0)),V$2,)</f>
        <v>0</v>
      </c>
      <c r="W151" s="140">
        <f ca="1">IF(ISNUMBER(MATCH(DATEVALUE($A151),'recurring1_based on steps'!W$1:W$400,0)),W$2,)</f>
        <v>0</v>
      </c>
      <c r="X151" s="140">
        <f ca="1">IF(ISNUMBER(MATCH(DATEVALUE($A151),'recurring1_based on steps'!X$1:X$400,0)),X$2,)</f>
        <v>50</v>
      </c>
      <c r="Y151" s="140">
        <f ca="1">IF(ISNUMBER(MATCH(DATEVALUE($A151),'recurring1_based on steps'!Y$1:Y$400,0)),Y$2,)</f>
        <v>50</v>
      </c>
      <c r="Z151" s="140">
        <f ca="1">IF(ISNUMBER(MATCH(DATEVALUE($A151),'recurring1_based on steps'!Z$1:Z$400,0)),Z$2,)</f>
        <v>0</v>
      </c>
      <c r="AA151" s="140">
        <f ca="1">IF(ISNUMBER(MATCH(DATEVALUE($A151),'recurring1_based on steps'!AA$1:AA$400,0)),AA$2,)</f>
        <v>0</v>
      </c>
      <c r="AB151" s="140">
        <f ca="1">IF(ISNUMBER(MATCH(DATEVALUE($A151),'recurring1_based on steps'!AB$1:AB$400,0)),AB$2,)</f>
        <v>5.5401662049861494E-2</v>
      </c>
      <c r="AC151" s="140">
        <f ca="1">IF(ISNUMBER(MATCH(DATEVALUE($A151),'recurring1_based on steps'!AC$1:AC$400,0)),AC$2,)</f>
        <v>0</v>
      </c>
      <c r="AD151" s="140">
        <f ca="1">IF(ISNUMBER(MATCH(DATEVALUE($A151),'recurring1_based on steps'!AD$1:AD$400,0)),AD$2,)</f>
        <v>0</v>
      </c>
      <c r="AE151" s="140">
        <f ca="1">IF(ISNUMBER(MATCH(DATEVALUE($A151),'recurring1_based on steps'!AE$1:AE$400,0)),AE$2,)</f>
        <v>0</v>
      </c>
      <c r="AF151" s="140">
        <f ca="1">IF(ISNUMBER(MATCH(DATEVALUE($A151),'recurring1_based on steps'!AF$1:AF$400,0)),AF$2,)</f>
        <v>0</v>
      </c>
      <c r="AG151" s="140">
        <f ca="1">IF(ISNUMBER(MATCH(DATEVALUE($A151),'recurring1_based on steps'!AG$1:AG$400,0)),AG$2,)</f>
        <v>0</v>
      </c>
      <c r="AH151" s="140">
        <f ca="1">IF(ISNUMBER(MATCH(DATEVALUE($A151),'recurring1_based on steps'!AH$1:AH$400,0)),AH$2,)</f>
        <v>0</v>
      </c>
      <c r="AI151" s="140">
        <f ca="1">IF(ISNUMBER(MATCH(DATEVALUE($A151),'recurring1_based on steps'!AI$1:AI$400,0)),AI$2,)</f>
        <v>0</v>
      </c>
      <c r="AJ151" s="140">
        <f ca="1">IF(ISNUMBER(MATCH(DATEVALUE($A151),'recurring1_based on steps'!AJ$1:AJ$400,0)),AJ$2,)</f>
        <v>0</v>
      </c>
      <c r="AK151" s="140">
        <f ca="1">IF(ISNUMBER(MATCH(DATEVALUE($A151),'recurring1_based on steps'!AK$1:AK$400,0)),AK$2,)</f>
        <v>0</v>
      </c>
      <c r="AL151" s="140">
        <f ca="1">IF(ISNUMBER(MATCH(DATEVALUE($A151),'recurring1_based on steps'!AL$1:AL$400,0)),AL$2,)</f>
        <v>0</v>
      </c>
      <c r="AM151" s="140">
        <f ca="1">IF(ISNUMBER(MATCH(DATEVALUE($A151),'recurring1_based on steps'!AM$1:AM$400,0)),AM$2,)</f>
        <v>0</v>
      </c>
      <c r="AN151" s="140">
        <f ca="1">IF(ISNUMBER(MATCH(DATEVALUE($A151),'recurring1_based on steps'!AN$1:AN$400,0)),AN$2,)</f>
        <v>0</v>
      </c>
      <c r="AO151" s="140">
        <f ca="1">IF(ISNUMBER(MATCH(DATEVALUE($A151),'recurring1_based on steps'!AO$1:AO$400,0)),AO$2,)</f>
        <v>0</v>
      </c>
      <c r="AP151" s="140">
        <f ca="1">IF(ISNUMBER(MATCH(DATEVALUE($A151),'recurring1_based on steps'!AP$1:AP$400,0)),AP$2,)</f>
        <v>0</v>
      </c>
      <c r="AQ151" s="140">
        <f ca="1">IF(ISNUMBER(MATCH(DATEVALUE($A151),'recurring1_based on steps'!AQ$1:AQ$400,0)),AQ$2,)</f>
        <v>0</v>
      </c>
      <c r="AR151" s="140">
        <f ca="1">IF(ISNUMBER(MATCH(DATEVALUE($A151),'recurring1_based on steps'!AR$1:AR$400,0)),AR$2,)</f>
        <v>0</v>
      </c>
      <c r="AS151" s="140">
        <f ca="1">IF(ISNUMBER(MATCH(DATEVALUE($A151),'recurring1_based on steps'!AS$1:AS$400,0)),AS$2,)</f>
        <v>0</v>
      </c>
      <c r="AT151" s="140">
        <f ca="1">IF(ISNUMBER(MATCH(DATEVALUE($A151),'recurring1_based on steps'!AT$1:AT$400,0)),AT$2,)</f>
        <v>0</v>
      </c>
      <c r="AU151" s="140">
        <f ca="1">IF(ISNUMBER(MATCH(DATEVALUE($A151),'recurring1_based on steps'!AU$1:AU$400,0)),AU$2,)</f>
        <v>0</v>
      </c>
      <c r="AV151" s="140">
        <f ca="1">IF(ISNUMBER(MATCH(DATEVALUE($A151),'recurring1_based on steps'!AV$1:AV$400,0)),AV$2,)</f>
        <v>0</v>
      </c>
      <c r="AW151" s="140">
        <f ca="1">IF(ISNUMBER(MATCH(DATEVALUE($A151),'recurring1_based on steps'!AW$1:AW$400,0)),AW$2,)</f>
        <v>0</v>
      </c>
      <c r="AX151" s="140">
        <f ca="1">IF(ISNUMBER(MATCH(DATEVALUE($A151),'recurring1_based on steps'!AX$1:AX$400,0)),AX$2,)</f>
        <v>0</v>
      </c>
      <c r="AY151" s="140">
        <f ca="1">IF(ISNUMBER(MATCH(DATEVALUE($A151),'recurring1_based on steps'!AY$1:AY$400,0)),AY$2,)</f>
        <v>0</v>
      </c>
    </row>
    <row r="152" spans="1:51" x14ac:dyDescent="0.2">
      <c r="A152" s="29" t="str">
        <f t="shared" ca="1" si="2"/>
        <v>2025-08-23</v>
      </c>
      <c r="B152" s="140">
        <f ca="1">IF(ISNUMBER(MATCH(DATEVALUE($A152),'recurring1_based on steps'!B$1:B$400,0)),B$2,)</f>
        <v>0</v>
      </c>
      <c r="C152" s="140">
        <f ca="1">IF(ISNUMBER(MATCH(DATEVALUE($A152),'recurring1_based on steps'!C$1:C$400,0)),C$2,)</f>
        <v>0</v>
      </c>
      <c r="D152" s="140">
        <f ca="1">IF(ISNUMBER(MATCH(DATEVALUE($A152),'recurring1_based on steps'!D$1:D$400,0)),D$2,)</f>
        <v>0</v>
      </c>
      <c r="E152" s="140">
        <f ca="1">IF(ISNUMBER(MATCH(DATEVALUE($A152),'recurring1_based on steps'!E$1:E$400,0)),E$2,)</f>
        <v>0</v>
      </c>
      <c r="F152" s="140">
        <f ca="1">IF(ISNUMBER(MATCH(DATEVALUE($A152),'recurring1_based on steps'!F$1:F$400,0)),F$2,)</f>
        <v>0</v>
      </c>
      <c r="G152" s="140">
        <f ca="1">IF(ISNUMBER(MATCH(DATEVALUE($A152),'recurring1_based on steps'!G$1:G$400,0)),G$2,)</f>
        <v>0</v>
      </c>
      <c r="H152" s="140">
        <f ca="1">IF(ISNUMBER(MATCH(DATEVALUE($A152),'recurring1_based on steps'!H$1:H$400,0)),H$2,)</f>
        <v>0</v>
      </c>
      <c r="I152" s="140">
        <f ca="1">IF(ISNUMBER(MATCH(DATEVALUE($A152),'recurring1_based on steps'!I$1:I$400,0)),I$2,)</f>
        <v>0</v>
      </c>
      <c r="J152" s="140">
        <f ca="1">IF(ISNUMBER(MATCH(DATEVALUE($A152),'recurring1_based on steps'!J$1:J$400,0)),J$2,)</f>
        <v>0</v>
      </c>
      <c r="K152" s="140">
        <f ca="1">IF(ISNUMBER(MATCH(DATEVALUE($A152),'recurring1_based on steps'!K$1:K$400,0)),K$2,)</f>
        <v>0</v>
      </c>
      <c r="L152" s="140">
        <f ca="1">IF(ISNUMBER(MATCH(DATEVALUE($A152),'recurring1_based on steps'!L$1:L$400,0)),L$2,)</f>
        <v>0</v>
      </c>
      <c r="M152" s="140">
        <f ca="1">IF(ISNUMBER(MATCH(DATEVALUE($A152),'recurring1_based on steps'!M$1:M$400,0)),M$2,)</f>
        <v>0</v>
      </c>
      <c r="N152" s="140">
        <f ca="1">IF(ISNUMBER(MATCH(DATEVALUE($A152),'recurring1_based on steps'!N$1:N$400,0)),N$2,)</f>
        <v>0</v>
      </c>
      <c r="O152" s="140">
        <f ca="1">IF(ISNUMBER(MATCH(DATEVALUE($A152),'recurring1_based on steps'!O$1:O$400,0)),O$2,)</f>
        <v>0</v>
      </c>
      <c r="P152" s="140">
        <f ca="1">IF(ISNUMBER(MATCH(DATEVALUE($A152),'recurring1_based on steps'!P$1:P$400,0)),P$2,)</f>
        <v>0</v>
      </c>
      <c r="Q152" s="140">
        <f ca="1">IF(ISNUMBER(MATCH(DATEVALUE($A152),'recurring1_based on steps'!Q$1:Q$400,0)),Q$2,)</f>
        <v>100</v>
      </c>
      <c r="R152" s="140">
        <f ca="1">IF(ISNUMBER(MATCH(DATEVALUE($A152),'recurring1_based on steps'!R$1:R$400,0)),R$2,)</f>
        <v>100</v>
      </c>
      <c r="S152" s="140">
        <f ca="1">IF(ISNUMBER(MATCH(DATEVALUE($A152),'recurring1_based on steps'!S$1:S$400,0)),S$2,)</f>
        <v>0</v>
      </c>
      <c r="T152" s="140">
        <f ca="1">IF(ISNUMBER(MATCH(DATEVALUE($A152),'recurring1_based on steps'!T$1:T$400,0)),T$2,)</f>
        <v>0</v>
      </c>
      <c r="U152" s="140">
        <f ca="1">IF(ISNUMBER(MATCH(DATEVALUE($A152),'recurring1_based on steps'!U$1:U$400,0)),U$2,)</f>
        <v>0</v>
      </c>
      <c r="V152" s="140">
        <f ca="1">IF(ISNUMBER(MATCH(DATEVALUE($A152),'recurring1_based on steps'!V$1:V$400,0)),V$2,)</f>
        <v>0</v>
      </c>
      <c r="W152" s="140">
        <f ca="1">IF(ISNUMBER(MATCH(DATEVALUE($A152),'recurring1_based on steps'!W$1:W$400,0)),W$2,)</f>
        <v>0</v>
      </c>
      <c r="X152" s="140">
        <f ca="1">IF(ISNUMBER(MATCH(DATEVALUE($A152),'recurring1_based on steps'!X$1:X$400,0)),X$2,)</f>
        <v>0</v>
      </c>
      <c r="Y152" s="140">
        <f ca="1">IF(ISNUMBER(MATCH(DATEVALUE($A152),'recurring1_based on steps'!Y$1:Y$400,0)),Y$2,)</f>
        <v>0</v>
      </c>
      <c r="Z152" s="140">
        <f ca="1">IF(ISNUMBER(MATCH(DATEVALUE($A152),'recurring1_based on steps'!Z$1:Z$400,0)),Z$2,)</f>
        <v>0</v>
      </c>
      <c r="AA152" s="140">
        <f ca="1">IF(ISNUMBER(MATCH(DATEVALUE($A152),'recurring1_based on steps'!AA$1:AA$400,0)),AA$2,)</f>
        <v>0</v>
      </c>
      <c r="AB152" s="140">
        <f ca="1">IF(ISNUMBER(MATCH(DATEVALUE($A152),'recurring1_based on steps'!AB$1:AB$400,0)),AB$2,)</f>
        <v>5.5401662049861494E-2</v>
      </c>
      <c r="AC152" s="140">
        <f ca="1">IF(ISNUMBER(MATCH(DATEVALUE($A152),'recurring1_based on steps'!AC$1:AC$400,0)),AC$2,)</f>
        <v>0</v>
      </c>
      <c r="AD152" s="140">
        <f ca="1">IF(ISNUMBER(MATCH(DATEVALUE($A152),'recurring1_based on steps'!AD$1:AD$400,0)),AD$2,)</f>
        <v>0</v>
      </c>
      <c r="AE152" s="140">
        <f ca="1">IF(ISNUMBER(MATCH(DATEVALUE($A152),'recurring1_based on steps'!AE$1:AE$400,0)),AE$2,)</f>
        <v>0</v>
      </c>
      <c r="AF152" s="140">
        <f ca="1">IF(ISNUMBER(MATCH(DATEVALUE($A152),'recurring1_based on steps'!AF$1:AF$400,0)),AF$2,)</f>
        <v>0</v>
      </c>
      <c r="AG152" s="140">
        <f ca="1">IF(ISNUMBER(MATCH(DATEVALUE($A152),'recurring1_based on steps'!AG$1:AG$400,0)),AG$2,)</f>
        <v>0</v>
      </c>
      <c r="AH152" s="140">
        <f ca="1">IF(ISNUMBER(MATCH(DATEVALUE($A152),'recurring1_based on steps'!AH$1:AH$400,0)),AH$2,)</f>
        <v>0</v>
      </c>
      <c r="AI152" s="140">
        <f ca="1">IF(ISNUMBER(MATCH(DATEVALUE($A152),'recurring1_based on steps'!AI$1:AI$400,0)),AI$2,)</f>
        <v>0</v>
      </c>
      <c r="AJ152" s="140">
        <f ca="1">IF(ISNUMBER(MATCH(DATEVALUE($A152),'recurring1_based on steps'!AJ$1:AJ$400,0)),AJ$2,)</f>
        <v>0</v>
      </c>
      <c r="AK152" s="140">
        <f ca="1">IF(ISNUMBER(MATCH(DATEVALUE($A152),'recurring1_based on steps'!AK$1:AK$400,0)),AK$2,)</f>
        <v>0</v>
      </c>
      <c r="AL152" s="140">
        <f ca="1">IF(ISNUMBER(MATCH(DATEVALUE($A152),'recurring1_based on steps'!AL$1:AL$400,0)),AL$2,)</f>
        <v>0</v>
      </c>
      <c r="AM152" s="140">
        <f ca="1">IF(ISNUMBER(MATCH(DATEVALUE($A152),'recurring1_based on steps'!AM$1:AM$400,0)),AM$2,)</f>
        <v>0</v>
      </c>
      <c r="AN152" s="140">
        <f ca="1">IF(ISNUMBER(MATCH(DATEVALUE($A152),'recurring1_based on steps'!AN$1:AN$400,0)),AN$2,)</f>
        <v>0</v>
      </c>
      <c r="AO152" s="140">
        <f ca="1">IF(ISNUMBER(MATCH(DATEVALUE($A152),'recurring1_based on steps'!AO$1:AO$400,0)),AO$2,)</f>
        <v>0</v>
      </c>
      <c r="AP152" s="140">
        <f ca="1">IF(ISNUMBER(MATCH(DATEVALUE($A152),'recurring1_based on steps'!AP$1:AP$400,0)),AP$2,)</f>
        <v>0</v>
      </c>
      <c r="AQ152" s="140">
        <f ca="1">IF(ISNUMBER(MATCH(DATEVALUE($A152),'recurring1_based on steps'!AQ$1:AQ$400,0)),AQ$2,)</f>
        <v>0</v>
      </c>
      <c r="AR152" s="140">
        <f ca="1">IF(ISNUMBER(MATCH(DATEVALUE($A152),'recurring1_based on steps'!AR$1:AR$400,0)),AR$2,)</f>
        <v>0</v>
      </c>
      <c r="AS152" s="140">
        <f ca="1">IF(ISNUMBER(MATCH(DATEVALUE($A152),'recurring1_based on steps'!AS$1:AS$400,0)),AS$2,)</f>
        <v>0</v>
      </c>
      <c r="AT152" s="140">
        <f ca="1">IF(ISNUMBER(MATCH(DATEVALUE($A152),'recurring1_based on steps'!AT$1:AT$400,0)),AT$2,)</f>
        <v>0</v>
      </c>
      <c r="AU152" s="140">
        <f ca="1">IF(ISNUMBER(MATCH(DATEVALUE($A152),'recurring1_based on steps'!AU$1:AU$400,0)),AU$2,)</f>
        <v>0</v>
      </c>
      <c r="AV152" s="140">
        <f ca="1">IF(ISNUMBER(MATCH(DATEVALUE($A152),'recurring1_based on steps'!AV$1:AV$400,0)),AV$2,)</f>
        <v>0</v>
      </c>
      <c r="AW152" s="140">
        <f ca="1">IF(ISNUMBER(MATCH(DATEVALUE($A152),'recurring1_based on steps'!AW$1:AW$400,0)),AW$2,)</f>
        <v>0</v>
      </c>
      <c r="AX152" s="140">
        <f ca="1">IF(ISNUMBER(MATCH(DATEVALUE($A152),'recurring1_based on steps'!AX$1:AX$400,0)),AX$2,)</f>
        <v>0</v>
      </c>
      <c r="AY152" s="140">
        <f ca="1">IF(ISNUMBER(MATCH(DATEVALUE($A152),'recurring1_based on steps'!AY$1:AY$400,0)),AY$2,)</f>
        <v>0</v>
      </c>
    </row>
    <row r="153" spans="1:51" x14ac:dyDescent="0.2">
      <c r="A153" s="29" t="str">
        <f t="shared" ca="1" si="2"/>
        <v>2025-08-24</v>
      </c>
      <c r="B153" s="140">
        <f ca="1">IF(ISNUMBER(MATCH(DATEVALUE($A153),'recurring1_based on steps'!B$1:B$400,0)),B$2,)</f>
        <v>0</v>
      </c>
      <c r="C153" s="140">
        <f ca="1">IF(ISNUMBER(MATCH(DATEVALUE($A153),'recurring1_based on steps'!C$1:C$400,0)),C$2,)</f>
        <v>0</v>
      </c>
      <c r="D153" s="140">
        <f ca="1">IF(ISNUMBER(MATCH(DATEVALUE($A153),'recurring1_based on steps'!D$1:D$400,0)),D$2,)</f>
        <v>0</v>
      </c>
      <c r="E153" s="140">
        <f ca="1">IF(ISNUMBER(MATCH(DATEVALUE($A153),'recurring1_based on steps'!E$1:E$400,0)),E$2,)</f>
        <v>0</v>
      </c>
      <c r="F153" s="140">
        <f ca="1">IF(ISNUMBER(MATCH(DATEVALUE($A153),'recurring1_based on steps'!F$1:F$400,0)),F$2,)</f>
        <v>0</v>
      </c>
      <c r="G153" s="140">
        <f ca="1">IF(ISNUMBER(MATCH(DATEVALUE($A153),'recurring1_based on steps'!G$1:G$400,0)),G$2,)</f>
        <v>0</v>
      </c>
      <c r="H153" s="140">
        <f ca="1">IF(ISNUMBER(MATCH(DATEVALUE($A153),'recurring1_based on steps'!H$1:H$400,0)),H$2,)</f>
        <v>0</v>
      </c>
      <c r="I153" s="140">
        <f ca="1">IF(ISNUMBER(MATCH(DATEVALUE($A153),'recurring1_based on steps'!I$1:I$400,0)),I$2,)</f>
        <v>0</v>
      </c>
      <c r="J153" s="140">
        <f ca="1">IF(ISNUMBER(MATCH(DATEVALUE($A153),'recurring1_based on steps'!J$1:J$400,0)),J$2,)</f>
        <v>0</v>
      </c>
      <c r="K153" s="140">
        <f ca="1">IF(ISNUMBER(MATCH(DATEVALUE($A153),'recurring1_based on steps'!K$1:K$400,0)),K$2,)</f>
        <v>50</v>
      </c>
      <c r="L153" s="140">
        <f ca="1">IF(ISNUMBER(MATCH(DATEVALUE($A153),'recurring1_based on steps'!L$1:L$400,0)),L$2,)</f>
        <v>0</v>
      </c>
      <c r="M153" s="140">
        <f ca="1">IF(ISNUMBER(MATCH(DATEVALUE($A153),'recurring1_based on steps'!M$1:M$400,0)),M$2,)</f>
        <v>0</v>
      </c>
      <c r="N153" s="140">
        <f ca="1">IF(ISNUMBER(MATCH(DATEVALUE($A153),'recurring1_based on steps'!N$1:N$400,0)),N$2,)</f>
        <v>0</v>
      </c>
      <c r="O153" s="140">
        <f ca="1">IF(ISNUMBER(MATCH(DATEVALUE($A153),'recurring1_based on steps'!O$1:O$400,0)),O$2,)</f>
        <v>0</v>
      </c>
      <c r="P153" s="140">
        <f ca="1">IF(ISNUMBER(MATCH(DATEVALUE($A153),'recurring1_based on steps'!P$1:P$400,0)),P$2,)</f>
        <v>0</v>
      </c>
      <c r="Q153" s="140">
        <f ca="1">IF(ISNUMBER(MATCH(DATEVALUE($A153),'recurring1_based on steps'!Q$1:Q$400,0)),Q$2,)</f>
        <v>0</v>
      </c>
      <c r="R153" s="140">
        <f ca="1">IF(ISNUMBER(MATCH(DATEVALUE($A153),'recurring1_based on steps'!R$1:R$400,0)),R$2,)</f>
        <v>0</v>
      </c>
      <c r="S153" s="140">
        <f ca="1">IF(ISNUMBER(MATCH(DATEVALUE($A153),'recurring1_based on steps'!S$1:S$400,0)),S$2,)</f>
        <v>100</v>
      </c>
      <c r="T153" s="140">
        <f ca="1">IF(ISNUMBER(MATCH(DATEVALUE($A153),'recurring1_based on steps'!T$1:T$400,0)),T$2,)</f>
        <v>0</v>
      </c>
      <c r="U153" s="140">
        <f ca="1">IF(ISNUMBER(MATCH(DATEVALUE($A153),'recurring1_based on steps'!U$1:U$400,0)),U$2,)</f>
        <v>0</v>
      </c>
      <c r="V153" s="140">
        <f ca="1">IF(ISNUMBER(MATCH(DATEVALUE($A153),'recurring1_based on steps'!V$1:V$400,0)),V$2,)</f>
        <v>0</v>
      </c>
      <c r="W153" s="140">
        <f ca="1">IF(ISNUMBER(MATCH(DATEVALUE($A153),'recurring1_based on steps'!W$1:W$400,0)),W$2,)</f>
        <v>0</v>
      </c>
      <c r="X153" s="140">
        <f ca="1">IF(ISNUMBER(MATCH(DATEVALUE($A153),'recurring1_based on steps'!X$1:X$400,0)),X$2,)</f>
        <v>0</v>
      </c>
      <c r="Y153" s="140">
        <f ca="1">IF(ISNUMBER(MATCH(DATEVALUE($A153),'recurring1_based on steps'!Y$1:Y$400,0)),Y$2,)</f>
        <v>0</v>
      </c>
      <c r="Z153" s="140">
        <f ca="1">IF(ISNUMBER(MATCH(DATEVALUE($A153),'recurring1_based on steps'!Z$1:Z$400,0)),Z$2,)</f>
        <v>0</v>
      </c>
      <c r="AA153" s="140">
        <f ca="1">IF(ISNUMBER(MATCH(DATEVALUE($A153),'recurring1_based on steps'!AA$1:AA$400,0)),AA$2,)</f>
        <v>0</v>
      </c>
      <c r="AB153" s="140">
        <f ca="1">IF(ISNUMBER(MATCH(DATEVALUE($A153),'recurring1_based on steps'!AB$1:AB$400,0)),AB$2,)</f>
        <v>5.5401662049861494E-2</v>
      </c>
      <c r="AC153" s="140">
        <f ca="1">IF(ISNUMBER(MATCH(DATEVALUE($A153),'recurring1_based on steps'!AC$1:AC$400,0)),AC$2,)</f>
        <v>0</v>
      </c>
      <c r="AD153" s="140">
        <f ca="1">IF(ISNUMBER(MATCH(DATEVALUE($A153),'recurring1_based on steps'!AD$1:AD$400,0)),AD$2,)</f>
        <v>0</v>
      </c>
      <c r="AE153" s="140">
        <f ca="1">IF(ISNUMBER(MATCH(DATEVALUE($A153),'recurring1_based on steps'!AE$1:AE$400,0)),AE$2,)</f>
        <v>0</v>
      </c>
      <c r="AF153" s="140">
        <f ca="1">IF(ISNUMBER(MATCH(DATEVALUE($A153),'recurring1_based on steps'!AF$1:AF$400,0)),AF$2,)</f>
        <v>0</v>
      </c>
      <c r="AG153" s="140">
        <f ca="1">IF(ISNUMBER(MATCH(DATEVALUE($A153),'recurring1_based on steps'!AG$1:AG$400,0)),AG$2,)</f>
        <v>0</v>
      </c>
      <c r="AH153" s="140">
        <f ca="1">IF(ISNUMBER(MATCH(DATEVALUE($A153),'recurring1_based on steps'!AH$1:AH$400,0)),AH$2,)</f>
        <v>0</v>
      </c>
      <c r="AI153" s="140">
        <f ca="1">IF(ISNUMBER(MATCH(DATEVALUE($A153),'recurring1_based on steps'!AI$1:AI$400,0)),AI$2,)</f>
        <v>0</v>
      </c>
      <c r="AJ153" s="140">
        <f ca="1">IF(ISNUMBER(MATCH(DATEVALUE($A153),'recurring1_based on steps'!AJ$1:AJ$400,0)),AJ$2,)</f>
        <v>0</v>
      </c>
      <c r="AK153" s="140">
        <f ca="1">IF(ISNUMBER(MATCH(DATEVALUE($A153),'recurring1_based on steps'!AK$1:AK$400,0)),AK$2,)</f>
        <v>0</v>
      </c>
      <c r="AL153" s="140">
        <f ca="1">IF(ISNUMBER(MATCH(DATEVALUE($A153),'recurring1_based on steps'!AL$1:AL$400,0)),AL$2,)</f>
        <v>0</v>
      </c>
      <c r="AM153" s="140">
        <f ca="1">IF(ISNUMBER(MATCH(DATEVALUE($A153),'recurring1_based on steps'!AM$1:AM$400,0)),AM$2,)</f>
        <v>0</v>
      </c>
      <c r="AN153" s="140">
        <f ca="1">IF(ISNUMBER(MATCH(DATEVALUE($A153),'recurring1_based on steps'!AN$1:AN$400,0)),AN$2,)</f>
        <v>0</v>
      </c>
      <c r="AO153" s="140">
        <f ca="1">IF(ISNUMBER(MATCH(DATEVALUE($A153),'recurring1_based on steps'!AO$1:AO$400,0)),AO$2,)</f>
        <v>0</v>
      </c>
      <c r="AP153" s="140">
        <f ca="1">IF(ISNUMBER(MATCH(DATEVALUE($A153),'recurring1_based on steps'!AP$1:AP$400,0)),AP$2,)</f>
        <v>0</v>
      </c>
      <c r="AQ153" s="140">
        <f ca="1">IF(ISNUMBER(MATCH(DATEVALUE($A153),'recurring1_based on steps'!AQ$1:AQ$400,0)),AQ$2,)</f>
        <v>0</v>
      </c>
      <c r="AR153" s="140">
        <f ca="1">IF(ISNUMBER(MATCH(DATEVALUE($A153),'recurring1_based on steps'!AR$1:AR$400,0)),AR$2,)</f>
        <v>0</v>
      </c>
      <c r="AS153" s="140">
        <f ca="1">IF(ISNUMBER(MATCH(DATEVALUE($A153),'recurring1_based on steps'!AS$1:AS$400,0)),AS$2,)</f>
        <v>0</v>
      </c>
      <c r="AT153" s="140">
        <f ca="1">IF(ISNUMBER(MATCH(DATEVALUE($A153),'recurring1_based on steps'!AT$1:AT$400,0)),AT$2,)</f>
        <v>0</v>
      </c>
      <c r="AU153" s="140">
        <f ca="1">IF(ISNUMBER(MATCH(DATEVALUE($A153),'recurring1_based on steps'!AU$1:AU$400,0)),AU$2,)</f>
        <v>0</v>
      </c>
      <c r="AV153" s="140">
        <f ca="1">IF(ISNUMBER(MATCH(DATEVALUE($A153),'recurring1_based on steps'!AV$1:AV$400,0)),AV$2,)</f>
        <v>0</v>
      </c>
      <c r="AW153" s="140">
        <f ca="1">IF(ISNUMBER(MATCH(DATEVALUE($A153),'recurring1_based on steps'!AW$1:AW$400,0)),AW$2,)</f>
        <v>0</v>
      </c>
      <c r="AX153" s="140">
        <f ca="1">IF(ISNUMBER(MATCH(DATEVALUE($A153),'recurring1_based on steps'!AX$1:AX$400,0)),AX$2,)</f>
        <v>0</v>
      </c>
      <c r="AY153" s="140">
        <f ca="1">IF(ISNUMBER(MATCH(DATEVALUE($A153),'recurring1_based on steps'!AY$1:AY$400,0)),AY$2,)</f>
        <v>0</v>
      </c>
    </row>
    <row r="154" spans="1:51" x14ac:dyDescent="0.2">
      <c r="A154" s="29" t="str">
        <f t="shared" ca="1" si="2"/>
        <v>2025-08-25</v>
      </c>
      <c r="B154" s="140">
        <f ca="1">IF(ISNUMBER(MATCH(DATEVALUE($A154),'recurring1_based on steps'!B$1:B$400,0)),B$2,)</f>
        <v>0</v>
      </c>
      <c r="C154" s="140">
        <f ca="1">IF(ISNUMBER(MATCH(DATEVALUE($A154),'recurring1_based on steps'!C$1:C$400,0)),C$2,)</f>
        <v>0</v>
      </c>
      <c r="D154" s="140">
        <f ca="1">IF(ISNUMBER(MATCH(DATEVALUE($A154),'recurring1_based on steps'!D$1:D$400,0)),D$2,)</f>
        <v>0</v>
      </c>
      <c r="E154" s="140">
        <f ca="1">IF(ISNUMBER(MATCH(DATEVALUE($A154),'recurring1_based on steps'!E$1:E$400,0)),E$2,)</f>
        <v>0</v>
      </c>
      <c r="F154" s="140">
        <f ca="1">IF(ISNUMBER(MATCH(DATEVALUE($A154),'recurring1_based on steps'!F$1:F$400,0)),F$2,)</f>
        <v>0</v>
      </c>
      <c r="G154" s="140">
        <f ca="1">IF(ISNUMBER(MATCH(DATEVALUE($A154),'recurring1_based on steps'!G$1:G$400,0)),G$2,)</f>
        <v>0</v>
      </c>
      <c r="H154" s="140">
        <f ca="1">IF(ISNUMBER(MATCH(DATEVALUE($A154),'recurring1_based on steps'!H$1:H$400,0)),H$2,)</f>
        <v>0</v>
      </c>
      <c r="I154" s="140">
        <f ca="1">IF(ISNUMBER(MATCH(DATEVALUE($A154),'recurring1_based on steps'!I$1:I$400,0)),I$2,)</f>
        <v>0</v>
      </c>
      <c r="J154" s="140">
        <f ca="1">IF(ISNUMBER(MATCH(DATEVALUE($A154),'recurring1_based on steps'!J$1:J$400,0)),J$2,)</f>
        <v>0</v>
      </c>
      <c r="K154" s="140">
        <f ca="1">IF(ISNUMBER(MATCH(DATEVALUE($A154),'recurring1_based on steps'!K$1:K$400,0)),K$2,)</f>
        <v>0</v>
      </c>
      <c r="L154" s="140">
        <f ca="1">IF(ISNUMBER(MATCH(DATEVALUE($A154),'recurring1_based on steps'!L$1:L$400,0)),L$2,)</f>
        <v>0</v>
      </c>
      <c r="M154" s="140">
        <f ca="1">IF(ISNUMBER(MATCH(DATEVALUE($A154),'recurring1_based on steps'!M$1:M$400,0)),M$2,)</f>
        <v>0</v>
      </c>
      <c r="N154" s="140">
        <f ca="1">IF(ISNUMBER(MATCH(DATEVALUE($A154),'recurring1_based on steps'!N$1:N$400,0)),N$2,)</f>
        <v>0</v>
      </c>
      <c r="O154" s="140">
        <f ca="1">IF(ISNUMBER(MATCH(DATEVALUE($A154),'recurring1_based on steps'!O$1:O$400,0)),O$2,)</f>
        <v>0</v>
      </c>
      <c r="P154" s="140">
        <f ca="1">IF(ISNUMBER(MATCH(DATEVALUE($A154),'recurring1_based on steps'!P$1:P$400,0)),P$2,)</f>
        <v>0</v>
      </c>
      <c r="Q154" s="140">
        <f ca="1">IF(ISNUMBER(MATCH(DATEVALUE($A154),'recurring1_based on steps'!Q$1:Q$400,0)),Q$2,)</f>
        <v>0</v>
      </c>
      <c r="R154" s="140">
        <f ca="1">IF(ISNUMBER(MATCH(DATEVALUE($A154),'recurring1_based on steps'!R$1:R$400,0)),R$2,)</f>
        <v>0</v>
      </c>
      <c r="S154" s="140">
        <f ca="1">IF(ISNUMBER(MATCH(DATEVALUE($A154),'recurring1_based on steps'!S$1:S$400,0)),S$2,)</f>
        <v>0</v>
      </c>
      <c r="T154" s="140">
        <f ca="1">IF(ISNUMBER(MATCH(DATEVALUE($A154),'recurring1_based on steps'!T$1:T$400,0)),T$2,)</f>
        <v>0</v>
      </c>
      <c r="U154" s="140">
        <f ca="1">IF(ISNUMBER(MATCH(DATEVALUE($A154),'recurring1_based on steps'!U$1:U$400,0)),U$2,)</f>
        <v>0</v>
      </c>
      <c r="V154" s="140">
        <f ca="1">IF(ISNUMBER(MATCH(DATEVALUE($A154),'recurring1_based on steps'!V$1:V$400,0)),V$2,)</f>
        <v>0</v>
      </c>
      <c r="W154" s="140">
        <f ca="1">IF(ISNUMBER(MATCH(DATEVALUE($A154),'recurring1_based on steps'!W$1:W$400,0)),W$2,)</f>
        <v>0</v>
      </c>
      <c r="X154" s="140">
        <f ca="1">IF(ISNUMBER(MATCH(DATEVALUE($A154),'recurring1_based on steps'!X$1:X$400,0)),X$2,)</f>
        <v>0</v>
      </c>
      <c r="Y154" s="140">
        <f ca="1">IF(ISNUMBER(MATCH(DATEVALUE($A154),'recurring1_based on steps'!Y$1:Y$400,0)),Y$2,)</f>
        <v>0</v>
      </c>
      <c r="Z154" s="140">
        <f ca="1">IF(ISNUMBER(MATCH(DATEVALUE($A154),'recurring1_based on steps'!Z$1:Z$400,0)),Z$2,)</f>
        <v>0</v>
      </c>
      <c r="AA154" s="140">
        <f ca="1">IF(ISNUMBER(MATCH(DATEVALUE($A154),'recurring1_based on steps'!AA$1:AA$400,0)),AA$2,)</f>
        <v>0</v>
      </c>
      <c r="AB154" s="140">
        <f ca="1">IF(ISNUMBER(MATCH(DATEVALUE($A154),'recurring1_based on steps'!AB$1:AB$400,0)),AB$2,)</f>
        <v>5.5401662049861494E-2</v>
      </c>
      <c r="AC154" s="140">
        <f ca="1">IF(ISNUMBER(MATCH(DATEVALUE($A154),'recurring1_based on steps'!AC$1:AC$400,0)),AC$2,)</f>
        <v>0</v>
      </c>
      <c r="AD154" s="140">
        <f ca="1">IF(ISNUMBER(MATCH(DATEVALUE($A154),'recurring1_based on steps'!AD$1:AD$400,0)),AD$2,)</f>
        <v>0</v>
      </c>
      <c r="AE154" s="140">
        <f ca="1">IF(ISNUMBER(MATCH(DATEVALUE($A154),'recurring1_based on steps'!AE$1:AE$400,0)),AE$2,)</f>
        <v>0</v>
      </c>
      <c r="AF154" s="140">
        <f ca="1">IF(ISNUMBER(MATCH(DATEVALUE($A154),'recurring1_based on steps'!AF$1:AF$400,0)),AF$2,)</f>
        <v>0</v>
      </c>
      <c r="AG154" s="140">
        <f ca="1">IF(ISNUMBER(MATCH(DATEVALUE($A154),'recurring1_based on steps'!AG$1:AG$400,0)),AG$2,)</f>
        <v>0</v>
      </c>
      <c r="AH154" s="140">
        <f ca="1">IF(ISNUMBER(MATCH(DATEVALUE($A154),'recurring1_based on steps'!AH$1:AH$400,0)),AH$2,)</f>
        <v>0</v>
      </c>
      <c r="AI154" s="140">
        <f ca="1">IF(ISNUMBER(MATCH(DATEVALUE($A154),'recurring1_based on steps'!AI$1:AI$400,0)),AI$2,)</f>
        <v>0</v>
      </c>
      <c r="AJ154" s="140">
        <f ca="1">IF(ISNUMBER(MATCH(DATEVALUE($A154),'recurring1_based on steps'!AJ$1:AJ$400,0)),AJ$2,)</f>
        <v>0</v>
      </c>
      <c r="AK154" s="140">
        <f ca="1">IF(ISNUMBER(MATCH(DATEVALUE($A154),'recurring1_based on steps'!AK$1:AK$400,0)),AK$2,)</f>
        <v>0</v>
      </c>
      <c r="AL154" s="140">
        <f ca="1">IF(ISNUMBER(MATCH(DATEVALUE($A154),'recurring1_based on steps'!AL$1:AL$400,0)),AL$2,)</f>
        <v>0</v>
      </c>
      <c r="AM154" s="140">
        <f ca="1">IF(ISNUMBER(MATCH(DATEVALUE($A154),'recurring1_based on steps'!AM$1:AM$400,0)),AM$2,)</f>
        <v>0</v>
      </c>
      <c r="AN154" s="140">
        <f ca="1">IF(ISNUMBER(MATCH(DATEVALUE($A154),'recurring1_based on steps'!AN$1:AN$400,0)),AN$2,)</f>
        <v>0</v>
      </c>
      <c r="AO154" s="140">
        <f ca="1">IF(ISNUMBER(MATCH(DATEVALUE($A154),'recurring1_based on steps'!AO$1:AO$400,0)),AO$2,)</f>
        <v>0</v>
      </c>
      <c r="AP154" s="140">
        <f ca="1">IF(ISNUMBER(MATCH(DATEVALUE($A154),'recurring1_based on steps'!AP$1:AP$400,0)),AP$2,)</f>
        <v>0</v>
      </c>
      <c r="AQ154" s="140">
        <f ca="1">IF(ISNUMBER(MATCH(DATEVALUE($A154),'recurring1_based on steps'!AQ$1:AQ$400,0)),AQ$2,)</f>
        <v>0</v>
      </c>
      <c r="AR154" s="140">
        <f ca="1">IF(ISNUMBER(MATCH(DATEVALUE($A154),'recurring1_based on steps'!AR$1:AR$400,0)),AR$2,)</f>
        <v>0</v>
      </c>
      <c r="AS154" s="140">
        <f ca="1">IF(ISNUMBER(MATCH(DATEVALUE($A154),'recurring1_based on steps'!AS$1:AS$400,0)),AS$2,)</f>
        <v>0</v>
      </c>
      <c r="AT154" s="140">
        <f ca="1">IF(ISNUMBER(MATCH(DATEVALUE($A154),'recurring1_based on steps'!AT$1:AT$400,0)),AT$2,)</f>
        <v>0</v>
      </c>
      <c r="AU154" s="140">
        <f ca="1">IF(ISNUMBER(MATCH(DATEVALUE($A154),'recurring1_based on steps'!AU$1:AU$400,0)),AU$2,)</f>
        <v>0</v>
      </c>
      <c r="AV154" s="140">
        <f ca="1">IF(ISNUMBER(MATCH(DATEVALUE($A154),'recurring1_based on steps'!AV$1:AV$400,0)),AV$2,)</f>
        <v>0</v>
      </c>
      <c r="AW154" s="140">
        <f ca="1">IF(ISNUMBER(MATCH(DATEVALUE($A154),'recurring1_based on steps'!AW$1:AW$400,0)),AW$2,)</f>
        <v>0</v>
      </c>
      <c r="AX154" s="140">
        <f ca="1">IF(ISNUMBER(MATCH(DATEVALUE($A154),'recurring1_based on steps'!AX$1:AX$400,0)),AX$2,)</f>
        <v>0</v>
      </c>
      <c r="AY154" s="140">
        <f ca="1">IF(ISNUMBER(MATCH(DATEVALUE($A154),'recurring1_based on steps'!AY$1:AY$400,0)),AY$2,)</f>
        <v>0</v>
      </c>
    </row>
    <row r="155" spans="1:51" x14ac:dyDescent="0.2">
      <c r="A155" s="29" t="str">
        <f t="shared" ca="1" si="2"/>
        <v>2025-08-26</v>
      </c>
      <c r="B155" s="140">
        <f ca="1">IF(ISNUMBER(MATCH(DATEVALUE($A155),'recurring1_based on steps'!B$1:B$400,0)),B$2,)</f>
        <v>0</v>
      </c>
      <c r="C155" s="140">
        <f ca="1">IF(ISNUMBER(MATCH(DATEVALUE($A155),'recurring1_based on steps'!C$1:C$400,0)),C$2,)</f>
        <v>0</v>
      </c>
      <c r="D155" s="140">
        <f ca="1">IF(ISNUMBER(MATCH(DATEVALUE($A155),'recurring1_based on steps'!D$1:D$400,0)),D$2,)</f>
        <v>0</v>
      </c>
      <c r="E155" s="140">
        <f ca="1">IF(ISNUMBER(MATCH(DATEVALUE($A155),'recurring1_based on steps'!E$1:E$400,0)),E$2,)</f>
        <v>0</v>
      </c>
      <c r="F155" s="140">
        <f ca="1">IF(ISNUMBER(MATCH(DATEVALUE($A155),'recurring1_based on steps'!F$1:F$400,0)),F$2,)</f>
        <v>0</v>
      </c>
      <c r="G155" s="140">
        <f ca="1">IF(ISNUMBER(MATCH(DATEVALUE($A155),'recurring1_based on steps'!G$1:G$400,0)),G$2,)</f>
        <v>0</v>
      </c>
      <c r="H155" s="140">
        <f ca="1">IF(ISNUMBER(MATCH(DATEVALUE($A155),'recurring1_based on steps'!H$1:H$400,0)),H$2,)</f>
        <v>0</v>
      </c>
      <c r="I155" s="140">
        <f ca="1">IF(ISNUMBER(MATCH(DATEVALUE($A155),'recurring1_based on steps'!I$1:I$400,0)),I$2,)</f>
        <v>0</v>
      </c>
      <c r="J155" s="140">
        <f ca="1">IF(ISNUMBER(MATCH(DATEVALUE($A155),'recurring1_based on steps'!J$1:J$400,0)),J$2,)</f>
        <v>0</v>
      </c>
      <c r="K155" s="140">
        <f ca="1">IF(ISNUMBER(MATCH(DATEVALUE($A155),'recurring1_based on steps'!K$1:K$400,0)),K$2,)</f>
        <v>0</v>
      </c>
      <c r="L155" s="140">
        <f ca="1">IF(ISNUMBER(MATCH(DATEVALUE($A155),'recurring1_based on steps'!L$1:L$400,0)),L$2,)</f>
        <v>0</v>
      </c>
      <c r="M155" s="140">
        <f ca="1">IF(ISNUMBER(MATCH(DATEVALUE($A155),'recurring1_based on steps'!M$1:M$400,0)),M$2,)</f>
        <v>0</v>
      </c>
      <c r="N155" s="140">
        <f ca="1">IF(ISNUMBER(MATCH(DATEVALUE($A155),'recurring1_based on steps'!N$1:N$400,0)),N$2,)</f>
        <v>0</v>
      </c>
      <c r="O155" s="140">
        <f ca="1">IF(ISNUMBER(MATCH(DATEVALUE($A155),'recurring1_based on steps'!O$1:O$400,0)),O$2,)</f>
        <v>0</v>
      </c>
      <c r="P155" s="140">
        <f ca="1">IF(ISNUMBER(MATCH(DATEVALUE($A155),'recurring1_based on steps'!P$1:P$400,0)),P$2,)</f>
        <v>0</v>
      </c>
      <c r="Q155" s="140">
        <f ca="1">IF(ISNUMBER(MATCH(DATEVALUE($A155),'recurring1_based on steps'!Q$1:Q$400,0)),Q$2,)</f>
        <v>0</v>
      </c>
      <c r="R155" s="140">
        <f ca="1">IF(ISNUMBER(MATCH(DATEVALUE($A155),'recurring1_based on steps'!R$1:R$400,0)),R$2,)</f>
        <v>0</v>
      </c>
      <c r="S155" s="140">
        <f ca="1">IF(ISNUMBER(MATCH(DATEVALUE($A155),'recurring1_based on steps'!S$1:S$400,0)),S$2,)</f>
        <v>0</v>
      </c>
      <c r="T155" s="140">
        <f ca="1">IF(ISNUMBER(MATCH(DATEVALUE($A155),'recurring1_based on steps'!T$1:T$400,0)),T$2,)</f>
        <v>0</v>
      </c>
      <c r="U155" s="140">
        <f ca="1">IF(ISNUMBER(MATCH(DATEVALUE($A155),'recurring1_based on steps'!U$1:U$400,0)),U$2,)</f>
        <v>0</v>
      </c>
      <c r="V155" s="140">
        <f ca="1">IF(ISNUMBER(MATCH(DATEVALUE($A155),'recurring1_based on steps'!V$1:V$400,0)),V$2,)</f>
        <v>0</v>
      </c>
      <c r="W155" s="140">
        <f ca="1">IF(ISNUMBER(MATCH(DATEVALUE($A155),'recurring1_based on steps'!W$1:W$400,0)),W$2,)</f>
        <v>0</v>
      </c>
      <c r="X155" s="140">
        <f ca="1">IF(ISNUMBER(MATCH(DATEVALUE($A155),'recurring1_based on steps'!X$1:X$400,0)),X$2,)</f>
        <v>0</v>
      </c>
      <c r="Y155" s="140">
        <f ca="1">IF(ISNUMBER(MATCH(DATEVALUE($A155),'recurring1_based on steps'!Y$1:Y$400,0)),Y$2,)</f>
        <v>0</v>
      </c>
      <c r="Z155" s="140">
        <f ca="1">IF(ISNUMBER(MATCH(DATEVALUE($A155),'recurring1_based on steps'!Z$1:Z$400,0)),Z$2,)</f>
        <v>0</v>
      </c>
      <c r="AA155" s="140">
        <f ca="1">IF(ISNUMBER(MATCH(DATEVALUE($A155),'recurring1_based on steps'!AA$1:AA$400,0)),AA$2,)</f>
        <v>0</v>
      </c>
      <c r="AB155" s="140">
        <f ca="1">IF(ISNUMBER(MATCH(DATEVALUE($A155),'recurring1_based on steps'!AB$1:AB$400,0)),AB$2,)</f>
        <v>5.5401662049861494E-2</v>
      </c>
      <c r="AC155" s="140">
        <f ca="1">IF(ISNUMBER(MATCH(DATEVALUE($A155),'recurring1_based on steps'!AC$1:AC$400,0)),AC$2,)</f>
        <v>0</v>
      </c>
      <c r="AD155" s="140">
        <f ca="1">IF(ISNUMBER(MATCH(DATEVALUE($A155),'recurring1_based on steps'!AD$1:AD$400,0)),AD$2,)</f>
        <v>0</v>
      </c>
      <c r="AE155" s="140">
        <f ca="1">IF(ISNUMBER(MATCH(DATEVALUE($A155),'recurring1_based on steps'!AE$1:AE$400,0)),AE$2,)</f>
        <v>0</v>
      </c>
      <c r="AF155" s="140">
        <f ca="1">IF(ISNUMBER(MATCH(DATEVALUE($A155),'recurring1_based on steps'!AF$1:AF$400,0)),AF$2,)</f>
        <v>0</v>
      </c>
      <c r="AG155" s="140">
        <f ca="1">IF(ISNUMBER(MATCH(DATEVALUE($A155),'recurring1_based on steps'!AG$1:AG$400,0)),AG$2,)</f>
        <v>0</v>
      </c>
      <c r="AH155" s="140">
        <f ca="1">IF(ISNUMBER(MATCH(DATEVALUE($A155),'recurring1_based on steps'!AH$1:AH$400,0)),AH$2,)</f>
        <v>0</v>
      </c>
      <c r="AI155" s="140">
        <f ca="1">IF(ISNUMBER(MATCH(DATEVALUE($A155),'recurring1_based on steps'!AI$1:AI$400,0)),AI$2,)</f>
        <v>0</v>
      </c>
      <c r="AJ155" s="140">
        <f ca="1">IF(ISNUMBER(MATCH(DATEVALUE($A155),'recurring1_based on steps'!AJ$1:AJ$400,0)),AJ$2,)</f>
        <v>0</v>
      </c>
      <c r="AK155" s="140">
        <f ca="1">IF(ISNUMBER(MATCH(DATEVALUE($A155),'recurring1_based on steps'!AK$1:AK$400,0)),AK$2,)</f>
        <v>0</v>
      </c>
      <c r="AL155" s="140">
        <f ca="1">IF(ISNUMBER(MATCH(DATEVALUE($A155),'recurring1_based on steps'!AL$1:AL$400,0)),AL$2,)</f>
        <v>0</v>
      </c>
      <c r="AM155" s="140">
        <f ca="1">IF(ISNUMBER(MATCH(DATEVALUE($A155),'recurring1_based on steps'!AM$1:AM$400,0)),AM$2,)</f>
        <v>0</v>
      </c>
      <c r="AN155" s="140">
        <f ca="1">IF(ISNUMBER(MATCH(DATEVALUE($A155),'recurring1_based on steps'!AN$1:AN$400,0)),AN$2,)</f>
        <v>0</v>
      </c>
      <c r="AO155" s="140">
        <f ca="1">IF(ISNUMBER(MATCH(DATEVALUE($A155),'recurring1_based on steps'!AO$1:AO$400,0)),AO$2,)</f>
        <v>0</v>
      </c>
      <c r="AP155" s="140">
        <f ca="1">IF(ISNUMBER(MATCH(DATEVALUE($A155),'recurring1_based on steps'!AP$1:AP$400,0)),AP$2,)</f>
        <v>0</v>
      </c>
      <c r="AQ155" s="140">
        <f ca="1">IF(ISNUMBER(MATCH(DATEVALUE($A155),'recurring1_based on steps'!AQ$1:AQ$400,0)),AQ$2,)</f>
        <v>0</v>
      </c>
      <c r="AR155" s="140">
        <f ca="1">IF(ISNUMBER(MATCH(DATEVALUE($A155),'recurring1_based on steps'!AR$1:AR$400,0)),AR$2,)</f>
        <v>0</v>
      </c>
      <c r="AS155" s="140">
        <f ca="1">IF(ISNUMBER(MATCH(DATEVALUE($A155),'recurring1_based on steps'!AS$1:AS$400,0)),AS$2,)</f>
        <v>0</v>
      </c>
      <c r="AT155" s="140">
        <f ca="1">IF(ISNUMBER(MATCH(DATEVALUE($A155),'recurring1_based on steps'!AT$1:AT$400,0)),AT$2,)</f>
        <v>0</v>
      </c>
      <c r="AU155" s="140">
        <f ca="1">IF(ISNUMBER(MATCH(DATEVALUE($A155),'recurring1_based on steps'!AU$1:AU$400,0)),AU$2,)</f>
        <v>0</v>
      </c>
      <c r="AV155" s="140">
        <f ca="1">IF(ISNUMBER(MATCH(DATEVALUE($A155),'recurring1_based on steps'!AV$1:AV$400,0)),AV$2,)</f>
        <v>0</v>
      </c>
      <c r="AW155" s="140">
        <f ca="1">IF(ISNUMBER(MATCH(DATEVALUE($A155),'recurring1_based on steps'!AW$1:AW$400,0)),AW$2,)</f>
        <v>0</v>
      </c>
      <c r="AX155" s="140">
        <f ca="1">IF(ISNUMBER(MATCH(DATEVALUE($A155),'recurring1_based on steps'!AX$1:AX$400,0)),AX$2,)</f>
        <v>0</v>
      </c>
      <c r="AY155" s="140">
        <f ca="1">IF(ISNUMBER(MATCH(DATEVALUE($A155),'recurring1_based on steps'!AY$1:AY$400,0)),AY$2,)</f>
        <v>0</v>
      </c>
    </row>
    <row r="156" spans="1:51" x14ac:dyDescent="0.2">
      <c r="A156" s="29" t="str">
        <f t="shared" ca="1" si="2"/>
        <v>2025-08-27</v>
      </c>
      <c r="B156" s="140">
        <f ca="1">IF(ISNUMBER(MATCH(DATEVALUE($A156),'recurring1_based on steps'!B$1:B$400,0)),B$2,)</f>
        <v>0</v>
      </c>
      <c r="C156" s="140">
        <f ca="1">IF(ISNUMBER(MATCH(DATEVALUE($A156),'recurring1_based on steps'!C$1:C$400,0)),C$2,)</f>
        <v>0</v>
      </c>
      <c r="D156" s="140">
        <f ca="1">IF(ISNUMBER(MATCH(DATEVALUE($A156),'recurring1_based on steps'!D$1:D$400,0)),D$2,)</f>
        <v>0</v>
      </c>
      <c r="E156" s="140">
        <f ca="1">IF(ISNUMBER(MATCH(DATEVALUE($A156),'recurring1_based on steps'!E$1:E$400,0)),E$2,)</f>
        <v>0</v>
      </c>
      <c r="F156" s="140">
        <f ca="1">IF(ISNUMBER(MATCH(DATEVALUE($A156),'recurring1_based on steps'!F$1:F$400,0)),F$2,)</f>
        <v>0</v>
      </c>
      <c r="G156" s="140">
        <f ca="1">IF(ISNUMBER(MATCH(DATEVALUE($A156),'recurring1_based on steps'!G$1:G$400,0)),G$2,)</f>
        <v>0</v>
      </c>
      <c r="H156" s="140">
        <f ca="1">IF(ISNUMBER(MATCH(DATEVALUE($A156),'recurring1_based on steps'!H$1:H$400,0)),H$2,)</f>
        <v>0</v>
      </c>
      <c r="I156" s="140">
        <f ca="1">IF(ISNUMBER(MATCH(DATEVALUE($A156),'recurring1_based on steps'!I$1:I$400,0)),I$2,)</f>
        <v>0</v>
      </c>
      <c r="J156" s="140">
        <f ca="1">IF(ISNUMBER(MATCH(DATEVALUE($A156),'recurring1_based on steps'!J$1:J$400,0)),J$2,)</f>
        <v>0</v>
      </c>
      <c r="K156" s="140">
        <f ca="1">IF(ISNUMBER(MATCH(DATEVALUE($A156),'recurring1_based on steps'!K$1:K$400,0)),K$2,)</f>
        <v>0</v>
      </c>
      <c r="L156" s="140">
        <f ca="1">IF(ISNUMBER(MATCH(DATEVALUE($A156),'recurring1_based on steps'!L$1:L$400,0)),L$2,)</f>
        <v>0</v>
      </c>
      <c r="M156" s="140">
        <f ca="1">IF(ISNUMBER(MATCH(DATEVALUE($A156),'recurring1_based on steps'!M$1:M$400,0)),M$2,)</f>
        <v>0</v>
      </c>
      <c r="N156" s="140">
        <f ca="1">IF(ISNUMBER(MATCH(DATEVALUE($A156),'recurring1_based on steps'!N$1:N$400,0)),N$2,)</f>
        <v>0</v>
      </c>
      <c r="O156" s="140">
        <f ca="1">IF(ISNUMBER(MATCH(DATEVALUE($A156),'recurring1_based on steps'!O$1:O$400,0)),O$2,)</f>
        <v>0</v>
      </c>
      <c r="P156" s="140">
        <f ca="1">IF(ISNUMBER(MATCH(DATEVALUE($A156),'recurring1_based on steps'!P$1:P$400,0)),P$2,)</f>
        <v>2.99</v>
      </c>
      <c r="Q156" s="140">
        <f ca="1">IF(ISNUMBER(MATCH(DATEVALUE($A156),'recurring1_based on steps'!Q$1:Q$400,0)),Q$2,)</f>
        <v>0</v>
      </c>
      <c r="R156" s="140">
        <f ca="1">IF(ISNUMBER(MATCH(DATEVALUE($A156),'recurring1_based on steps'!R$1:R$400,0)),R$2,)</f>
        <v>0</v>
      </c>
      <c r="S156" s="140">
        <f ca="1">IF(ISNUMBER(MATCH(DATEVALUE($A156),'recurring1_based on steps'!S$1:S$400,0)),S$2,)</f>
        <v>0</v>
      </c>
      <c r="T156" s="140">
        <f ca="1">IF(ISNUMBER(MATCH(DATEVALUE($A156),'recurring1_based on steps'!T$1:T$400,0)),T$2,)</f>
        <v>0</v>
      </c>
      <c r="U156" s="140">
        <f ca="1">IF(ISNUMBER(MATCH(DATEVALUE($A156),'recurring1_based on steps'!U$1:U$400,0)),U$2,)</f>
        <v>0</v>
      </c>
      <c r="V156" s="140">
        <f ca="1">IF(ISNUMBER(MATCH(DATEVALUE($A156),'recurring1_based on steps'!V$1:V$400,0)),V$2,)</f>
        <v>0</v>
      </c>
      <c r="W156" s="140">
        <f ca="1">IF(ISNUMBER(MATCH(DATEVALUE($A156),'recurring1_based on steps'!W$1:W$400,0)),W$2,)</f>
        <v>0</v>
      </c>
      <c r="X156" s="140">
        <f ca="1">IF(ISNUMBER(MATCH(DATEVALUE($A156),'recurring1_based on steps'!X$1:X$400,0)),X$2,)</f>
        <v>0</v>
      </c>
      <c r="Y156" s="140">
        <f ca="1">IF(ISNUMBER(MATCH(DATEVALUE($A156),'recurring1_based on steps'!Y$1:Y$400,0)),Y$2,)</f>
        <v>0</v>
      </c>
      <c r="Z156" s="140">
        <f ca="1">IF(ISNUMBER(MATCH(DATEVALUE($A156),'recurring1_based on steps'!Z$1:Z$400,0)),Z$2,)</f>
        <v>0</v>
      </c>
      <c r="AA156" s="140">
        <f ca="1">IF(ISNUMBER(MATCH(DATEVALUE($A156),'recurring1_based on steps'!AA$1:AA$400,0)),AA$2,)</f>
        <v>0</v>
      </c>
      <c r="AB156" s="140">
        <f ca="1">IF(ISNUMBER(MATCH(DATEVALUE($A156),'recurring1_based on steps'!AB$1:AB$400,0)),AB$2,)</f>
        <v>5.5401662049861494E-2</v>
      </c>
      <c r="AC156" s="140">
        <f ca="1">IF(ISNUMBER(MATCH(DATEVALUE($A156),'recurring1_based on steps'!AC$1:AC$400,0)),AC$2,)</f>
        <v>0</v>
      </c>
      <c r="AD156" s="140">
        <f ca="1">IF(ISNUMBER(MATCH(DATEVALUE($A156),'recurring1_based on steps'!AD$1:AD$400,0)),AD$2,)</f>
        <v>0</v>
      </c>
      <c r="AE156" s="140">
        <f ca="1">IF(ISNUMBER(MATCH(DATEVALUE($A156),'recurring1_based on steps'!AE$1:AE$400,0)),AE$2,)</f>
        <v>0</v>
      </c>
      <c r="AF156" s="140">
        <f ca="1">IF(ISNUMBER(MATCH(DATEVALUE($A156),'recurring1_based on steps'!AF$1:AF$400,0)),AF$2,)</f>
        <v>0</v>
      </c>
      <c r="AG156" s="140">
        <f ca="1">IF(ISNUMBER(MATCH(DATEVALUE($A156),'recurring1_based on steps'!AG$1:AG$400,0)),AG$2,)</f>
        <v>0</v>
      </c>
      <c r="AH156" s="140">
        <f ca="1">IF(ISNUMBER(MATCH(DATEVALUE($A156),'recurring1_based on steps'!AH$1:AH$400,0)),AH$2,)</f>
        <v>0</v>
      </c>
      <c r="AI156" s="140">
        <f ca="1">IF(ISNUMBER(MATCH(DATEVALUE($A156),'recurring1_based on steps'!AI$1:AI$400,0)),AI$2,)</f>
        <v>0</v>
      </c>
      <c r="AJ156" s="140">
        <f ca="1">IF(ISNUMBER(MATCH(DATEVALUE($A156),'recurring1_based on steps'!AJ$1:AJ$400,0)),AJ$2,)</f>
        <v>0</v>
      </c>
      <c r="AK156" s="140">
        <f ca="1">IF(ISNUMBER(MATCH(DATEVALUE($A156),'recurring1_based on steps'!AK$1:AK$400,0)),AK$2,)</f>
        <v>0</v>
      </c>
      <c r="AL156" s="140">
        <f ca="1">IF(ISNUMBER(MATCH(DATEVALUE($A156),'recurring1_based on steps'!AL$1:AL$400,0)),AL$2,)</f>
        <v>0</v>
      </c>
      <c r="AM156" s="140">
        <f ca="1">IF(ISNUMBER(MATCH(DATEVALUE($A156),'recurring1_based on steps'!AM$1:AM$400,0)),AM$2,)</f>
        <v>0</v>
      </c>
      <c r="AN156" s="140">
        <f ca="1">IF(ISNUMBER(MATCH(DATEVALUE($A156),'recurring1_based on steps'!AN$1:AN$400,0)),AN$2,)</f>
        <v>0</v>
      </c>
      <c r="AO156" s="140">
        <f ca="1">IF(ISNUMBER(MATCH(DATEVALUE($A156),'recurring1_based on steps'!AO$1:AO$400,0)),AO$2,)</f>
        <v>0</v>
      </c>
      <c r="AP156" s="140">
        <f ca="1">IF(ISNUMBER(MATCH(DATEVALUE($A156),'recurring1_based on steps'!AP$1:AP$400,0)),AP$2,)</f>
        <v>0</v>
      </c>
      <c r="AQ156" s="140">
        <f ca="1">IF(ISNUMBER(MATCH(DATEVALUE($A156),'recurring1_based on steps'!AQ$1:AQ$400,0)),AQ$2,)</f>
        <v>0</v>
      </c>
      <c r="AR156" s="140">
        <f ca="1">IF(ISNUMBER(MATCH(DATEVALUE($A156),'recurring1_based on steps'!AR$1:AR$400,0)),AR$2,)</f>
        <v>0</v>
      </c>
      <c r="AS156" s="140">
        <f ca="1">IF(ISNUMBER(MATCH(DATEVALUE($A156),'recurring1_based on steps'!AS$1:AS$400,0)),AS$2,)</f>
        <v>0</v>
      </c>
      <c r="AT156" s="140">
        <f ca="1">IF(ISNUMBER(MATCH(DATEVALUE($A156),'recurring1_based on steps'!AT$1:AT$400,0)),AT$2,)</f>
        <v>0</v>
      </c>
      <c r="AU156" s="140">
        <f ca="1">IF(ISNUMBER(MATCH(DATEVALUE($A156),'recurring1_based on steps'!AU$1:AU$400,0)),AU$2,)</f>
        <v>0</v>
      </c>
      <c r="AV156" s="140">
        <f ca="1">IF(ISNUMBER(MATCH(DATEVALUE($A156),'recurring1_based on steps'!AV$1:AV$400,0)),AV$2,)</f>
        <v>0</v>
      </c>
      <c r="AW156" s="140">
        <f ca="1">IF(ISNUMBER(MATCH(DATEVALUE($A156),'recurring1_based on steps'!AW$1:AW$400,0)),AW$2,)</f>
        <v>0</v>
      </c>
      <c r="AX156" s="140">
        <f ca="1">IF(ISNUMBER(MATCH(DATEVALUE($A156),'recurring1_based on steps'!AX$1:AX$400,0)),AX$2,)</f>
        <v>0</v>
      </c>
      <c r="AY156" s="140">
        <f ca="1">IF(ISNUMBER(MATCH(DATEVALUE($A156),'recurring1_based on steps'!AY$1:AY$400,0)),AY$2,)</f>
        <v>0</v>
      </c>
    </row>
    <row r="157" spans="1:51" x14ac:dyDescent="0.2">
      <c r="A157" s="29" t="str">
        <f t="shared" ca="1" si="2"/>
        <v>2025-08-28</v>
      </c>
      <c r="B157" s="140">
        <f ca="1">IF(ISNUMBER(MATCH(DATEVALUE($A157),'recurring1_based on steps'!B$1:B$400,0)),B$2,)</f>
        <v>0</v>
      </c>
      <c r="C157" s="140">
        <f ca="1">IF(ISNUMBER(MATCH(DATEVALUE($A157),'recurring1_based on steps'!C$1:C$400,0)),C$2,)</f>
        <v>0</v>
      </c>
      <c r="D157" s="140">
        <f ca="1">IF(ISNUMBER(MATCH(DATEVALUE($A157),'recurring1_based on steps'!D$1:D$400,0)),D$2,)</f>
        <v>0</v>
      </c>
      <c r="E157" s="140">
        <f ca="1">IF(ISNUMBER(MATCH(DATEVALUE($A157),'recurring1_based on steps'!E$1:E$400,0)),E$2,)</f>
        <v>0</v>
      </c>
      <c r="F157" s="140">
        <f ca="1">IF(ISNUMBER(MATCH(DATEVALUE($A157),'recurring1_based on steps'!F$1:F$400,0)),F$2,)</f>
        <v>0</v>
      </c>
      <c r="G157" s="140">
        <f ca="1">IF(ISNUMBER(MATCH(DATEVALUE($A157),'recurring1_based on steps'!G$1:G$400,0)),G$2,)</f>
        <v>0</v>
      </c>
      <c r="H157" s="140">
        <f ca="1">IF(ISNUMBER(MATCH(DATEVALUE($A157),'recurring1_based on steps'!H$1:H$400,0)),H$2,)</f>
        <v>0</v>
      </c>
      <c r="I157" s="140">
        <f ca="1">IF(ISNUMBER(MATCH(DATEVALUE($A157),'recurring1_based on steps'!I$1:I$400,0)),I$2,)</f>
        <v>0</v>
      </c>
      <c r="J157" s="140">
        <f ca="1">IF(ISNUMBER(MATCH(DATEVALUE($A157),'recurring1_based on steps'!J$1:J$400,0)),J$2,)</f>
        <v>0</v>
      </c>
      <c r="K157" s="140">
        <f ca="1">IF(ISNUMBER(MATCH(DATEVALUE($A157),'recurring1_based on steps'!K$1:K$400,0)),K$2,)</f>
        <v>0</v>
      </c>
      <c r="L157" s="140">
        <f ca="1">IF(ISNUMBER(MATCH(DATEVALUE($A157),'recurring1_based on steps'!L$1:L$400,0)),L$2,)</f>
        <v>0</v>
      </c>
      <c r="M157" s="140">
        <f ca="1">IF(ISNUMBER(MATCH(DATEVALUE($A157),'recurring1_based on steps'!M$1:M$400,0)),M$2,)</f>
        <v>0</v>
      </c>
      <c r="N157" s="140">
        <f ca="1">IF(ISNUMBER(MATCH(DATEVALUE($A157),'recurring1_based on steps'!N$1:N$400,0)),N$2,)</f>
        <v>0</v>
      </c>
      <c r="O157" s="140">
        <f ca="1">IF(ISNUMBER(MATCH(DATEVALUE($A157),'recurring1_based on steps'!O$1:O$400,0)),O$2,)</f>
        <v>0</v>
      </c>
      <c r="P157" s="140">
        <f ca="1">IF(ISNUMBER(MATCH(DATEVALUE($A157),'recurring1_based on steps'!P$1:P$400,0)),P$2,)</f>
        <v>0</v>
      </c>
      <c r="Q157" s="140">
        <f ca="1">IF(ISNUMBER(MATCH(DATEVALUE($A157),'recurring1_based on steps'!Q$1:Q$400,0)),Q$2,)</f>
        <v>0</v>
      </c>
      <c r="R157" s="140">
        <f ca="1">IF(ISNUMBER(MATCH(DATEVALUE($A157),'recurring1_based on steps'!R$1:R$400,0)),R$2,)</f>
        <v>0</v>
      </c>
      <c r="S157" s="140">
        <f ca="1">IF(ISNUMBER(MATCH(DATEVALUE($A157),'recurring1_based on steps'!S$1:S$400,0)),S$2,)</f>
        <v>0</v>
      </c>
      <c r="T157" s="140">
        <f ca="1">IF(ISNUMBER(MATCH(DATEVALUE($A157),'recurring1_based on steps'!T$1:T$400,0)),T$2,)</f>
        <v>0</v>
      </c>
      <c r="U157" s="140">
        <f ca="1">IF(ISNUMBER(MATCH(DATEVALUE($A157),'recurring1_based on steps'!U$1:U$400,0)),U$2,)</f>
        <v>0</v>
      </c>
      <c r="V157" s="140">
        <f ca="1">IF(ISNUMBER(MATCH(DATEVALUE($A157),'recurring1_based on steps'!V$1:V$400,0)),V$2,)</f>
        <v>0</v>
      </c>
      <c r="W157" s="140">
        <f ca="1">IF(ISNUMBER(MATCH(DATEVALUE($A157),'recurring1_based on steps'!W$1:W$400,0)),W$2,)</f>
        <v>0</v>
      </c>
      <c r="X157" s="140">
        <f ca="1">IF(ISNUMBER(MATCH(DATEVALUE($A157),'recurring1_based on steps'!X$1:X$400,0)),X$2,)</f>
        <v>0</v>
      </c>
      <c r="Y157" s="140">
        <f ca="1">IF(ISNUMBER(MATCH(DATEVALUE($A157),'recurring1_based on steps'!Y$1:Y$400,0)),Y$2,)</f>
        <v>0</v>
      </c>
      <c r="Z157" s="140">
        <f ca="1">IF(ISNUMBER(MATCH(DATEVALUE($A157),'recurring1_based on steps'!Z$1:Z$400,0)),Z$2,)</f>
        <v>0</v>
      </c>
      <c r="AA157" s="140">
        <f ca="1">IF(ISNUMBER(MATCH(DATEVALUE($A157),'recurring1_based on steps'!AA$1:AA$400,0)),AA$2,)</f>
        <v>0</v>
      </c>
      <c r="AB157" s="140">
        <f ca="1">IF(ISNUMBER(MATCH(DATEVALUE($A157),'recurring1_based on steps'!AB$1:AB$400,0)),AB$2,)</f>
        <v>5.5401662049861494E-2</v>
      </c>
      <c r="AC157" s="140">
        <f ca="1">IF(ISNUMBER(MATCH(DATEVALUE($A157),'recurring1_based on steps'!AC$1:AC$400,0)),AC$2,)</f>
        <v>0</v>
      </c>
      <c r="AD157" s="140">
        <f ca="1">IF(ISNUMBER(MATCH(DATEVALUE($A157),'recurring1_based on steps'!AD$1:AD$400,0)),AD$2,)</f>
        <v>0</v>
      </c>
      <c r="AE157" s="140">
        <f ca="1">IF(ISNUMBER(MATCH(DATEVALUE($A157),'recurring1_based on steps'!AE$1:AE$400,0)),AE$2,)</f>
        <v>0</v>
      </c>
      <c r="AF157" s="140">
        <f ca="1">IF(ISNUMBER(MATCH(DATEVALUE($A157),'recurring1_based on steps'!AF$1:AF$400,0)),AF$2,)</f>
        <v>0</v>
      </c>
      <c r="AG157" s="140">
        <f ca="1">IF(ISNUMBER(MATCH(DATEVALUE($A157),'recurring1_based on steps'!AG$1:AG$400,0)),AG$2,)</f>
        <v>0</v>
      </c>
      <c r="AH157" s="140">
        <f ca="1">IF(ISNUMBER(MATCH(DATEVALUE($A157),'recurring1_based on steps'!AH$1:AH$400,0)),AH$2,)</f>
        <v>0</v>
      </c>
      <c r="AI157" s="140">
        <f ca="1">IF(ISNUMBER(MATCH(DATEVALUE($A157),'recurring1_based on steps'!AI$1:AI$400,0)),AI$2,)</f>
        <v>0</v>
      </c>
      <c r="AJ157" s="140">
        <f ca="1">IF(ISNUMBER(MATCH(DATEVALUE($A157),'recurring1_based on steps'!AJ$1:AJ$400,0)),AJ$2,)</f>
        <v>0</v>
      </c>
      <c r="AK157" s="140">
        <f ca="1">IF(ISNUMBER(MATCH(DATEVALUE($A157),'recurring1_based on steps'!AK$1:AK$400,0)),AK$2,)</f>
        <v>0</v>
      </c>
      <c r="AL157" s="140">
        <f ca="1">IF(ISNUMBER(MATCH(DATEVALUE($A157),'recurring1_based on steps'!AL$1:AL$400,0)),AL$2,)</f>
        <v>0</v>
      </c>
      <c r="AM157" s="140">
        <f ca="1">IF(ISNUMBER(MATCH(DATEVALUE($A157),'recurring1_based on steps'!AM$1:AM$400,0)),AM$2,)</f>
        <v>0</v>
      </c>
      <c r="AN157" s="140">
        <f ca="1">IF(ISNUMBER(MATCH(DATEVALUE($A157),'recurring1_based on steps'!AN$1:AN$400,0)),AN$2,)</f>
        <v>0</v>
      </c>
      <c r="AO157" s="140">
        <f ca="1">IF(ISNUMBER(MATCH(DATEVALUE($A157),'recurring1_based on steps'!AO$1:AO$400,0)),AO$2,)</f>
        <v>0</v>
      </c>
      <c r="AP157" s="140">
        <f ca="1">IF(ISNUMBER(MATCH(DATEVALUE($A157),'recurring1_based on steps'!AP$1:AP$400,0)),AP$2,)</f>
        <v>0</v>
      </c>
      <c r="AQ157" s="140">
        <f ca="1">IF(ISNUMBER(MATCH(DATEVALUE($A157),'recurring1_based on steps'!AQ$1:AQ$400,0)),AQ$2,)</f>
        <v>0</v>
      </c>
      <c r="AR157" s="140">
        <f ca="1">IF(ISNUMBER(MATCH(DATEVALUE($A157),'recurring1_based on steps'!AR$1:AR$400,0)),AR$2,)</f>
        <v>0</v>
      </c>
      <c r="AS157" s="140">
        <f ca="1">IF(ISNUMBER(MATCH(DATEVALUE($A157),'recurring1_based on steps'!AS$1:AS$400,0)),AS$2,)</f>
        <v>0</v>
      </c>
      <c r="AT157" s="140">
        <f ca="1">IF(ISNUMBER(MATCH(DATEVALUE($A157),'recurring1_based on steps'!AT$1:AT$400,0)),AT$2,)</f>
        <v>0</v>
      </c>
      <c r="AU157" s="140">
        <f ca="1">IF(ISNUMBER(MATCH(DATEVALUE($A157),'recurring1_based on steps'!AU$1:AU$400,0)),AU$2,)</f>
        <v>0</v>
      </c>
      <c r="AV157" s="140">
        <f ca="1">IF(ISNUMBER(MATCH(DATEVALUE($A157),'recurring1_based on steps'!AV$1:AV$400,0)),AV$2,)</f>
        <v>0</v>
      </c>
      <c r="AW157" s="140">
        <f ca="1">IF(ISNUMBER(MATCH(DATEVALUE($A157),'recurring1_based on steps'!AW$1:AW$400,0)),AW$2,)</f>
        <v>0</v>
      </c>
      <c r="AX157" s="140">
        <f ca="1">IF(ISNUMBER(MATCH(DATEVALUE($A157),'recurring1_based on steps'!AX$1:AX$400,0)),AX$2,)</f>
        <v>0</v>
      </c>
      <c r="AY157" s="140">
        <f ca="1">IF(ISNUMBER(MATCH(DATEVALUE($A157),'recurring1_based on steps'!AY$1:AY$400,0)),AY$2,)</f>
        <v>0</v>
      </c>
    </row>
    <row r="158" spans="1:51" x14ac:dyDescent="0.2">
      <c r="A158" s="29" t="str">
        <f t="shared" ca="1" si="2"/>
        <v>2025-08-29</v>
      </c>
      <c r="B158" s="140">
        <f ca="1">IF(ISNUMBER(MATCH(DATEVALUE($A158),'recurring1_based on steps'!B$1:B$400,0)),B$2,)</f>
        <v>0</v>
      </c>
      <c r="C158" s="140">
        <f ca="1">IF(ISNUMBER(MATCH(DATEVALUE($A158),'recurring1_based on steps'!C$1:C$400,0)),C$2,)</f>
        <v>0</v>
      </c>
      <c r="D158" s="140">
        <f ca="1">IF(ISNUMBER(MATCH(DATEVALUE($A158),'recurring1_based on steps'!D$1:D$400,0)),D$2,)</f>
        <v>0</v>
      </c>
      <c r="E158" s="140">
        <f ca="1">IF(ISNUMBER(MATCH(DATEVALUE($A158),'recurring1_based on steps'!E$1:E$400,0)),E$2,)</f>
        <v>0</v>
      </c>
      <c r="F158" s="140">
        <f ca="1">IF(ISNUMBER(MATCH(DATEVALUE($A158),'recurring1_based on steps'!F$1:F$400,0)),F$2,)</f>
        <v>0</v>
      </c>
      <c r="G158" s="140">
        <f ca="1">IF(ISNUMBER(MATCH(DATEVALUE($A158),'recurring1_based on steps'!G$1:G$400,0)),G$2,)</f>
        <v>0</v>
      </c>
      <c r="H158" s="140">
        <f ca="1">IF(ISNUMBER(MATCH(DATEVALUE($A158),'recurring1_based on steps'!H$1:H$400,0)),H$2,)</f>
        <v>0</v>
      </c>
      <c r="I158" s="140">
        <f ca="1">IF(ISNUMBER(MATCH(DATEVALUE($A158),'recurring1_based on steps'!I$1:I$400,0)),I$2,)</f>
        <v>0</v>
      </c>
      <c r="J158" s="140">
        <f ca="1">IF(ISNUMBER(MATCH(DATEVALUE($A158),'recurring1_based on steps'!J$1:J$400,0)),J$2,)</f>
        <v>0</v>
      </c>
      <c r="K158" s="140">
        <f ca="1">IF(ISNUMBER(MATCH(DATEVALUE($A158),'recurring1_based on steps'!K$1:K$400,0)),K$2,)</f>
        <v>0</v>
      </c>
      <c r="L158" s="140">
        <f ca="1">IF(ISNUMBER(MATCH(DATEVALUE($A158),'recurring1_based on steps'!L$1:L$400,0)),L$2,)</f>
        <v>0</v>
      </c>
      <c r="M158" s="140">
        <f ca="1">IF(ISNUMBER(MATCH(DATEVALUE($A158),'recurring1_based on steps'!M$1:M$400,0)),M$2,)</f>
        <v>0</v>
      </c>
      <c r="N158" s="140">
        <f ca="1">IF(ISNUMBER(MATCH(DATEVALUE($A158),'recurring1_based on steps'!N$1:N$400,0)),N$2,)</f>
        <v>0</v>
      </c>
      <c r="O158" s="140">
        <f ca="1">IF(ISNUMBER(MATCH(DATEVALUE($A158),'recurring1_based on steps'!O$1:O$400,0)),O$2,)</f>
        <v>0</v>
      </c>
      <c r="P158" s="140">
        <f ca="1">IF(ISNUMBER(MATCH(DATEVALUE($A158),'recurring1_based on steps'!P$1:P$400,0)),P$2,)</f>
        <v>0</v>
      </c>
      <c r="Q158" s="140">
        <f ca="1">IF(ISNUMBER(MATCH(DATEVALUE($A158),'recurring1_based on steps'!Q$1:Q$400,0)),Q$2,)</f>
        <v>0</v>
      </c>
      <c r="R158" s="140">
        <f ca="1">IF(ISNUMBER(MATCH(DATEVALUE($A158),'recurring1_based on steps'!R$1:R$400,0)),R$2,)</f>
        <v>0</v>
      </c>
      <c r="S158" s="140">
        <f ca="1">IF(ISNUMBER(MATCH(DATEVALUE($A158),'recurring1_based on steps'!S$1:S$400,0)),S$2,)</f>
        <v>0</v>
      </c>
      <c r="T158" s="140">
        <f ca="1">IF(ISNUMBER(MATCH(DATEVALUE($A158),'recurring1_based on steps'!T$1:T$400,0)),T$2,)</f>
        <v>0</v>
      </c>
      <c r="U158" s="140">
        <f ca="1">IF(ISNUMBER(MATCH(DATEVALUE($A158),'recurring1_based on steps'!U$1:U$400,0)),U$2,)</f>
        <v>0</v>
      </c>
      <c r="V158" s="140">
        <f ca="1">IF(ISNUMBER(MATCH(DATEVALUE($A158),'recurring1_based on steps'!V$1:V$400,0)),V$2,)</f>
        <v>0</v>
      </c>
      <c r="W158" s="140">
        <f ca="1">IF(ISNUMBER(MATCH(DATEVALUE($A158),'recurring1_based on steps'!W$1:W$400,0)),W$2,)</f>
        <v>0</v>
      </c>
      <c r="X158" s="140">
        <f ca="1">IF(ISNUMBER(MATCH(DATEVALUE($A158),'recurring1_based on steps'!X$1:X$400,0)),X$2,)</f>
        <v>0</v>
      </c>
      <c r="Y158" s="140">
        <f ca="1">IF(ISNUMBER(MATCH(DATEVALUE($A158),'recurring1_based on steps'!Y$1:Y$400,0)),Y$2,)</f>
        <v>0</v>
      </c>
      <c r="Z158" s="140">
        <f ca="1">IF(ISNUMBER(MATCH(DATEVALUE($A158),'recurring1_based on steps'!Z$1:Z$400,0)),Z$2,)</f>
        <v>0</v>
      </c>
      <c r="AA158" s="140">
        <f ca="1">IF(ISNUMBER(MATCH(DATEVALUE($A158),'recurring1_based on steps'!AA$1:AA$400,0)),AA$2,)</f>
        <v>0</v>
      </c>
      <c r="AB158" s="140">
        <f ca="1">IF(ISNUMBER(MATCH(DATEVALUE($A158),'recurring1_based on steps'!AB$1:AB$400,0)),AB$2,)</f>
        <v>5.5401662049861494E-2</v>
      </c>
      <c r="AC158" s="140">
        <f ca="1">IF(ISNUMBER(MATCH(DATEVALUE($A158),'recurring1_based on steps'!AC$1:AC$400,0)),AC$2,)</f>
        <v>0</v>
      </c>
      <c r="AD158" s="140">
        <f ca="1">IF(ISNUMBER(MATCH(DATEVALUE($A158),'recurring1_based on steps'!AD$1:AD$400,0)),AD$2,)</f>
        <v>0</v>
      </c>
      <c r="AE158" s="140">
        <f ca="1">IF(ISNUMBER(MATCH(DATEVALUE($A158),'recurring1_based on steps'!AE$1:AE$400,0)),AE$2,)</f>
        <v>0</v>
      </c>
      <c r="AF158" s="140">
        <f ca="1">IF(ISNUMBER(MATCH(DATEVALUE($A158),'recurring1_based on steps'!AF$1:AF$400,0)),AF$2,)</f>
        <v>0</v>
      </c>
      <c r="AG158" s="140">
        <f ca="1">IF(ISNUMBER(MATCH(DATEVALUE($A158),'recurring1_based on steps'!AG$1:AG$400,0)),AG$2,)</f>
        <v>0</v>
      </c>
      <c r="AH158" s="140">
        <f ca="1">IF(ISNUMBER(MATCH(DATEVALUE($A158),'recurring1_based on steps'!AH$1:AH$400,0)),AH$2,)</f>
        <v>0</v>
      </c>
      <c r="AI158" s="140">
        <f ca="1">IF(ISNUMBER(MATCH(DATEVALUE($A158),'recurring1_based on steps'!AI$1:AI$400,0)),AI$2,)</f>
        <v>0</v>
      </c>
      <c r="AJ158" s="140">
        <f ca="1">IF(ISNUMBER(MATCH(DATEVALUE($A158),'recurring1_based on steps'!AJ$1:AJ$400,0)),AJ$2,)</f>
        <v>0</v>
      </c>
      <c r="AK158" s="140">
        <f ca="1">IF(ISNUMBER(MATCH(DATEVALUE($A158),'recurring1_based on steps'!AK$1:AK$400,0)),AK$2,)</f>
        <v>0</v>
      </c>
      <c r="AL158" s="140">
        <f ca="1">IF(ISNUMBER(MATCH(DATEVALUE($A158),'recurring1_based on steps'!AL$1:AL$400,0)),AL$2,)</f>
        <v>0</v>
      </c>
      <c r="AM158" s="140">
        <f ca="1">IF(ISNUMBER(MATCH(DATEVALUE($A158),'recurring1_based on steps'!AM$1:AM$400,0)),AM$2,)</f>
        <v>0</v>
      </c>
      <c r="AN158" s="140">
        <f ca="1">IF(ISNUMBER(MATCH(DATEVALUE($A158),'recurring1_based on steps'!AN$1:AN$400,0)),AN$2,)</f>
        <v>0</v>
      </c>
      <c r="AO158" s="140">
        <f ca="1">IF(ISNUMBER(MATCH(DATEVALUE($A158),'recurring1_based on steps'!AO$1:AO$400,0)),AO$2,)</f>
        <v>0</v>
      </c>
      <c r="AP158" s="140">
        <f ca="1">IF(ISNUMBER(MATCH(DATEVALUE($A158),'recurring1_based on steps'!AP$1:AP$400,0)),AP$2,)</f>
        <v>0</v>
      </c>
      <c r="AQ158" s="140">
        <f ca="1">IF(ISNUMBER(MATCH(DATEVALUE($A158),'recurring1_based on steps'!AQ$1:AQ$400,0)),AQ$2,)</f>
        <v>0</v>
      </c>
      <c r="AR158" s="140">
        <f ca="1">IF(ISNUMBER(MATCH(DATEVALUE($A158),'recurring1_based on steps'!AR$1:AR$400,0)),AR$2,)</f>
        <v>0</v>
      </c>
      <c r="AS158" s="140">
        <f ca="1">IF(ISNUMBER(MATCH(DATEVALUE($A158),'recurring1_based on steps'!AS$1:AS$400,0)),AS$2,)</f>
        <v>0</v>
      </c>
      <c r="AT158" s="140">
        <f ca="1">IF(ISNUMBER(MATCH(DATEVALUE($A158),'recurring1_based on steps'!AT$1:AT$400,0)),AT$2,)</f>
        <v>0</v>
      </c>
      <c r="AU158" s="140">
        <f ca="1">IF(ISNUMBER(MATCH(DATEVALUE($A158),'recurring1_based on steps'!AU$1:AU$400,0)),AU$2,)</f>
        <v>0</v>
      </c>
      <c r="AV158" s="140">
        <f ca="1">IF(ISNUMBER(MATCH(DATEVALUE($A158),'recurring1_based on steps'!AV$1:AV$400,0)),AV$2,)</f>
        <v>0</v>
      </c>
      <c r="AW158" s="140">
        <f ca="1">IF(ISNUMBER(MATCH(DATEVALUE($A158),'recurring1_based on steps'!AW$1:AW$400,0)),AW$2,)</f>
        <v>0</v>
      </c>
      <c r="AX158" s="140">
        <f ca="1">IF(ISNUMBER(MATCH(DATEVALUE($A158),'recurring1_based on steps'!AX$1:AX$400,0)),AX$2,)</f>
        <v>0</v>
      </c>
      <c r="AY158" s="140">
        <f ca="1">IF(ISNUMBER(MATCH(DATEVALUE($A158),'recurring1_based on steps'!AY$1:AY$400,0)),AY$2,)</f>
        <v>0</v>
      </c>
    </row>
    <row r="159" spans="1:51" x14ac:dyDescent="0.2">
      <c r="A159" s="29" t="str">
        <f t="shared" ca="1" si="2"/>
        <v>2025-08-30</v>
      </c>
      <c r="B159" s="140">
        <f ca="1">IF(ISNUMBER(MATCH(DATEVALUE($A159),'recurring1_based on steps'!B$1:B$400,0)),B$2,)</f>
        <v>0</v>
      </c>
      <c r="C159" s="140">
        <f ca="1">IF(ISNUMBER(MATCH(DATEVALUE($A159),'recurring1_based on steps'!C$1:C$400,0)),C$2,)</f>
        <v>0</v>
      </c>
      <c r="D159" s="140">
        <f ca="1">IF(ISNUMBER(MATCH(DATEVALUE($A159),'recurring1_based on steps'!D$1:D$400,0)),D$2,)</f>
        <v>0</v>
      </c>
      <c r="E159" s="140">
        <f ca="1">IF(ISNUMBER(MATCH(DATEVALUE($A159),'recurring1_based on steps'!E$1:E$400,0)),E$2,)</f>
        <v>0</v>
      </c>
      <c r="F159" s="140">
        <f ca="1">IF(ISNUMBER(MATCH(DATEVALUE($A159),'recurring1_based on steps'!F$1:F$400,0)),F$2,)</f>
        <v>0</v>
      </c>
      <c r="G159" s="140">
        <f ca="1">IF(ISNUMBER(MATCH(DATEVALUE($A159),'recurring1_based on steps'!G$1:G$400,0)),G$2,)</f>
        <v>0</v>
      </c>
      <c r="H159" s="140">
        <f ca="1">IF(ISNUMBER(MATCH(DATEVALUE($A159),'recurring1_based on steps'!H$1:H$400,0)),H$2,)</f>
        <v>0</v>
      </c>
      <c r="I159" s="140">
        <f ca="1">IF(ISNUMBER(MATCH(DATEVALUE($A159),'recurring1_based on steps'!I$1:I$400,0)),I$2,)</f>
        <v>0</v>
      </c>
      <c r="J159" s="140">
        <f ca="1">IF(ISNUMBER(MATCH(DATEVALUE($A159),'recurring1_based on steps'!J$1:J$400,0)),J$2,)</f>
        <v>0</v>
      </c>
      <c r="K159" s="140">
        <f ca="1">IF(ISNUMBER(MATCH(DATEVALUE($A159),'recurring1_based on steps'!K$1:K$400,0)),K$2,)</f>
        <v>0</v>
      </c>
      <c r="L159" s="140">
        <f ca="1">IF(ISNUMBER(MATCH(DATEVALUE($A159),'recurring1_based on steps'!L$1:L$400,0)),L$2,)</f>
        <v>0</v>
      </c>
      <c r="M159" s="140">
        <f ca="1">IF(ISNUMBER(MATCH(DATEVALUE($A159),'recurring1_based on steps'!M$1:M$400,0)),M$2,)</f>
        <v>0</v>
      </c>
      <c r="N159" s="140">
        <f ca="1">IF(ISNUMBER(MATCH(DATEVALUE($A159),'recurring1_based on steps'!N$1:N$400,0)),N$2,)</f>
        <v>0</v>
      </c>
      <c r="O159" s="140">
        <f ca="1">IF(ISNUMBER(MATCH(DATEVALUE($A159),'recurring1_based on steps'!O$1:O$400,0)),O$2,)</f>
        <v>0</v>
      </c>
      <c r="P159" s="140">
        <f ca="1">IF(ISNUMBER(MATCH(DATEVALUE($A159),'recurring1_based on steps'!P$1:P$400,0)),P$2,)</f>
        <v>0</v>
      </c>
      <c r="Q159" s="140">
        <f ca="1">IF(ISNUMBER(MATCH(DATEVALUE($A159),'recurring1_based on steps'!Q$1:Q$400,0)),Q$2,)</f>
        <v>100</v>
      </c>
      <c r="R159" s="140">
        <f ca="1">IF(ISNUMBER(MATCH(DATEVALUE($A159),'recurring1_based on steps'!R$1:R$400,0)),R$2,)</f>
        <v>100</v>
      </c>
      <c r="S159" s="140">
        <f ca="1">IF(ISNUMBER(MATCH(DATEVALUE($A159),'recurring1_based on steps'!S$1:S$400,0)),S$2,)</f>
        <v>0</v>
      </c>
      <c r="T159" s="140">
        <f ca="1">IF(ISNUMBER(MATCH(DATEVALUE($A159),'recurring1_based on steps'!T$1:T$400,0)),T$2,)</f>
        <v>0</v>
      </c>
      <c r="U159" s="140">
        <f ca="1">IF(ISNUMBER(MATCH(DATEVALUE($A159),'recurring1_based on steps'!U$1:U$400,0)),U$2,)</f>
        <v>0</v>
      </c>
      <c r="V159" s="140">
        <f ca="1">IF(ISNUMBER(MATCH(DATEVALUE($A159),'recurring1_based on steps'!V$1:V$400,0)),V$2,)</f>
        <v>0</v>
      </c>
      <c r="W159" s="140">
        <f ca="1">IF(ISNUMBER(MATCH(DATEVALUE($A159),'recurring1_based on steps'!W$1:W$400,0)),W$2,)</f>
        <v>0</v>
      </c>
      <c r="X159" s="140">
        <f ca="1">IF(ISNUMBER(MATCH(DATEVALUE($A159),'recurring1_based on steps'!X$1:X$400,0)),X$2,)</f>
        <v>0</v>
      </c>
      <c r="Y159" s="140">
        <f ca="1">IF(ISNUMBER(MATCH(DATEVALUE($A159),'recurring1_based on steps'!Y$1:Y$400,0)),Y$2,)</f>
        <v>0</v>
      </c>
      <c r="Z159" s="140">
        <f ca="1">IF(ISNUMBER(MATCH(DATEVALUE($A159),'recurring1_based on steps'!Z$1:Z$400,0)),Z$2,)</f>
        <v>0</v>
      </c>
      <c r="AA159" s="140">
        <f ca="1">IF(ISNUMBER(MATCH(DATEVALUE($A159),'recurring1_based on steps'!AA$1:AA$400,0)),AA$2,)</f>
        <v>0</v>
      </c>
      <c r="AB159" s="140">
        <f ca="1">IF(ISNUMBER(MATCH(DATEVALUE($A159),'recurring1_based on steps'!AB$1:AB$400,0)),AB$2,)</f>
        <v>5.5401662049861494E-2</v>
      </c>
      <c r="AC159" s="140">
        <f ca="1">IF(ISNUMBER(MATCH(DATEVALUE($A159),'recurring1_based on steps'!AC$1:AC$400,0)),AC$2,)</f>
        <v>0</v>
      </c>
      <c r="AD159" s="140">
        <f ca="1">IF(ISNUMBER(MATCH(DATEVALUE($A159),'recurring1_based on steps'!AD$1:AD$400,0)),AD$2,)</f>
        <v>0</v>
      </c>
      <c r="AE159" s="140">
        <f ca="1">IF(ISNUMBER(MATCH(DATEVALUE($A159),'recurring1_based on steps'!AE$1:AE$400,0)),AE$2,)</f>
        <v>0</v>
      </c>
      <c r="AF159" s="140">
        <f ca="1">IF(ISNUMBER(MATCH(DATEVALUE($A159),'recurring1_based on steps'!AF$1:AF$400,0)),AF$2,)</f>
        <v>0</v>
      </c>
      <c r="AG159" s="140">
        <f ca="1">IF(ISNUMBER(MATCH(DATEVALUE($A159),'recurring1_based on steps'!AG$1:AG$400,0)),AG$2,)</f>
        <v>0</v>
      </c>
      <c r="AH159" s="140">
        <f ca="1">IF(ISNUMBER(MATCH(DATEVALUE($A159),'recurring1_based on steps'!AH$1:AH$400,0)),AH$2,)</f>
        <v>0</v>
      </c>
      <c r="AI159" s="140">
        <f ca="1">IF(ISNUMBER(MATCH(DATEVALUE($A159),'recurring1_based on steps'!AI$1:AI$400,0)),AI$2,)</f>
        <v>0</v>
      </c>
      <c r="AJ159" s="140">
        <f ca="1">IF(ISNUMBER(MATCH(DATEVALUE($A159),'recurring1_based on steps'!AJ$1:AJ$400,0)),AJ$2,)</f>
        <v>0</v>
      </c>
      <c r="AK159" s="140">
        <f ca="1">IF(ISNUMBER(MATCH(DATEVALUE($A159),'recurring1_based on steps'!AK$1:AK$400,0)),AK$2,)</f>
        <v>0</v>
      </c>
      <c r="AL159" s="140">
        <f ca="1">IF(ISNUMBER(MATCH(DATEVALUE($A159),'recurring1_based on steps'!AL$1:AL$400,0)),AL$2,)</f>
        <v>0</v>
      </c>
      <c r="AM159" s="140">
        <f ca="1">IF(ISNUMBER(MATCH(DATEVALUE($A159),'recurring1_based on steps'!AM$1:AM$400,0)),AM$2,)</f>
        <v>0</v>
      </c>
      <c r="AN159" s="140">
        <f ca="1">IF(ISNUMBER(MATCH(DATEVALUE($A159),'recurring1_based on steps'!AN$1:AN$400,0)),AN$2,)</f>
        <v>0</v>
      </c>
      <c r="AO159" s="140">
        <f ca="1">IF(ISNUMBER(MATCH(DATEVALUE($A159),'recurring1_based on steps'!AO$1:AO$400,0)),AO$2,)</f>
        <v>0</v>
      </c>
      <c r="AP159" s="140">
        <f ca="1">IF(ISNUMBER(MATCH(DATEVALUE($A159),'recurring1_based on steps'!AP$1:AP$400,0)),AP$2,)</f>
        <v>0</v>
      </c>
      <c r="AQ159" s="140">
        <f ca="1">IF(ISNUMBER(MATCH(DATEVALUE($A159),'recurring1_based on steps'!AQ$1:AQ$400,0)),AQ$2,)</f>
        <v>0</v>
      </c>
      <c r="AR159" s="140">
        <f ca="1">IF(ISNUMBER(MATCH(DATEVALUE($A159),'recurring1_based on steps'!AR$1:AR$400,0)),AR$2,)</f>
        <v>0</v>
      </c>
      <c r="AS159" s="140">
        <f ca="1">IF(ISNUMBER(MATCH(DATEVALUE($A159),'recurring1_based on steps'!AS$1:AS$400,0)),AS$2,)</f>
        <v>0</v>
      </c>
      <c r="AT159" s="140">
        <f ca="1">IF(ISNUMBER(MATCH(DATEVALUE($A159),'recurring1_based on steps'!AT$1:AT$400,0)),AT$2,)</f>
        <v>0</v>
      </c>
      <c r="AU159" s="140">
        <f ca="1">IF(ISNUMBER(MATCH(DATEVALUE($A159),'recurring1_based on steps'!AU$1:AU$400,0)),AU$2,)</f>
        <v>0</v>
      </c>
      <c r="AV159" s="140">
        <f ca="1">IF(ISNUMBER(MATCH(DATEVALUE($A159),'recurring1_based on steps'!AV$1:AV$400,0)),AV$2,)</f>
        <v>0</v>
      </c>
      <c r="AW159" s="140">
        <f ca="1">IF(ISNUMBER(MATCH(DATEVALUE($A159),'recurring1_based on steps'!AW$1:AW$400,0)),AW$2,)</f>
        <v>0</v>
      </c>
      <c r="AX159" s="140">
        <f ca="1">IF(ISNUMBER(MATCH(DATEVALUE($A159),'recurring1_based on steps'!AX$1:AX$400,0)),AX$2,)</f>
        <v>0</v>
      </c>
      <c r="AY159" s="140">
        <f ca="1">IF(ISNUMBER(MATCH(DATEVALUE($A159),'recurring1_based on steps'!AY$1:AY$400,0)),AY$2,)</f>
        <v>0</v>
      </c>
    </row>
    <row r="160" spans="1:51" x14ac:dyDescent="0.2">
      <c r="A160" s="29" t="str">
        <f t="shared" ca="1" si="2"/>
        <v>2025-08-31</v>
      </c>
      <c r="B160" s="140">
        <f ca="1">IF(ISNUMBER(MATCH(DATEVALUE($A160),'recurring1_based on steps'!B$1:B$400,0)),B$2,)</f>
        <v>0</v>
      </c>
      <c r="C160" s="140">
        <f ca="1">IF(ISNUMBER(MATCH(DATEVALUE($A160),'recurring1_based on steps'!C$1:C$400,0)),C$2,)</f>
        <v>0</v>
      </c>
      <c r="D160" s="140">
        <f ca="1">IF(ISNUMBER(MATCH(DATEVALUE($A160),'recurring1_based on steps'!D$1:D$400,0)),D$2,)</f>
        <v>0</v>
      </c>
      <c r="E160" s="140">
        <f ca="1">IF(ISNUMBER(MATCH(DATEVALUE($A160),'recurring1_based on steps'!E$1:E$400,0)),E$2,)</f>
        <v>0</v>
      </c>
      <c r="F160" s="140">
        <f ca="1">IF(ISNUMBER(MATCH(DATEVALUE($A160),'recurring1_based on steps'!F$1:F$400,0)),F$2,)</f>
        <v>0</v>
      </c>
      <c r="G160" s="140">
        <f ca="1">IF(ISNUMBER(MATCH(DATEVALUE($A160),'recurring1_based on steps'!G$1:G$400,0)),G$2,)</f>
        <v>0</v>
      </c>
      <c r="H160" s="140">
        <f ca="1">IF(ISNUMBER(MATCH(DATEVALUE($A160),'recurring1_based on steps'!H$1:H$400,0)),H$2,)</f>
        <v>40</v>
      </c>
      <c r="I160" s="140">
        <f ca="1">IF(ISNUMBER(MATCH(DATEVALUE($A160),'recurring1_based on steps'!I$1:I$400,0)),I$2,)</f>
        <v>0</v>
      </c>
      <c r="J160" s="140">
        <f ca="1">IF(ISNUMBER(MATCH(DATEVALUE($A160),'recurring1_based on steps'!J$1:J$400,0)),J$2,)</f>
        <v>0</v>
      </c>
      <c r="K160" s="140">
        <f ca="1">IF(ISNUMBER(MATCH(DATEVALUE($A160),'recurring1_based on steps'!K$1:K$400,0)),K$2,)</f>
        <v>50</v>
      </c>
      <c r="L160" s="140">
        <f ca="1">IF(ISNUMBER(MATCH(DATEVALUE($A160),'recurring1_based on steps'!L$1:L$400,0)),L$2,)</f>
        <v>0</v>
      </c>
      <c r="M160" s="140">
        <f ca="1">IF(ISNUMBER(MATCH(DATEVALUE($A160),'recurring1_based on steps'!M$1:M$400,0)),M$2,)</f>
        <v>0</v>
      </c>
      <c r="N160" s="140">
        <f ca="1">IF(ISNUMBER(MATCH(DATEVALUE($A160),'recurring1_based on steps'!N$1:N$400,0)),N$2,)</f>
        <v>0</v>
      </c>
      <c r="O160" s="140">
        <f ca="1">IF(ISNUMBER(MATCH(DATEVALUE($A160),'recurring1_based on steps'!O$1:O$400,0)),O$2,)</f>
        <v>0</v>
      </c>
      <c r="P160" s="140">
        <f ca="1">IF(ISNUMBER(MATCH(DATEVALUE($A160),'recurring1_based on steps'!P$1:P$400,0)),P$2,)</f>
        <v>0</v>
      </c>
      <c r="Q160" s="140">
        <f ca="1">IF(ISNUMBER(MATCH(DATEVALUE($A160),'recurring1_based on steps'!Q$1:Q$400,0)),Q$2,)</f>
        <v>0</v>
      </c>
      <c r="R160" s="140">
        <f ca="1">IF(ISNUMBER(MATCH(DATEVALUE($A160),'recurring1_based on steps'!R$1:R$400,0)),R$2,)</f>
        <v>0</v>
      </c>
      <c r="S160" s="140">
        <f ca="1">IF(ISNUMBER(MATCH(DATEVALUE($A160),'recurring1_based on steps'!S$1:S$400,0)),S$2,)</f>
        <v>100</v>
      </c>
      <c r="T160" s="140">
        <f ca="1">IF(ISNUMBER(MATCH(DATEVALUE($A160),'recurring1_based on steps'!T$1:T$400,0)),T$2,)</f>
        <v>0</v>
      </c>
      <c r="U160" s="140">
        <f ca="1">IF(ISNUMBER(MATCH(DATEVALUE($A160),'recurring1_based on steps'!U$1:U$400,0)),U$2,)</f>
        <v>0</v>
      </c>
      <c r="V160" s="140">
        <f ca="1">IF(ISNUMBER(MATCH(DATEVALUE($A160),'recurring1_based on steps'!V$1:V$400,0)),V$2,)</f>
        <v>0</v>
      </c>
      <c r="W160" s="140">
        <f ca="1">IF(ISNUMBER(MATCH(DATEVALUE($A160),'recurring1_based on steps'!W$1:W$400,0)),W$2,)</f>
        <v>100</v>
      </c>
      <c r="X160" s="140">
        <f ca="1">IF(ISNUMBER(MATCH(DATEVALUE($A160),'recurring1_based on steps'!X$1:X$400,0)),X$2,)</f>
        <v>0</v>
      </c>
      <c r="Y160" s="140">
        <f ca="1">IF(ISNUMBER(MATCH(DATEVALUE($A160),'recurring1_based on steps'!Y$1:Y$400,0)),Y$2,)</f>
        <v>0</v>
      </c>
      <c r="Z160" s="140">
        <f ca="1">IF(ISNUMBER(MATCH(DATEVALUE($A160),'recurring1_based on steps'!Z$1:Z$400,0)),Z$2,)</f>
        <v>0</v>
      </c>
      <c r="AA160" s="140">
        <f ca="1">IF(ISNUMBER(MATCH(DATEVALUE($A160),'recurring1_based on steps'!AA$1:AA$400,0)),AA$2,)</f>
        <v>0</v>
      </c>
      <c r="AB160" s="140">
        <f ca="1">IF(ISNUMBER(MATCH(DATEVALUE($A160),'recurring1_based on steps'!AB$1:AB$400,0)),AB$2,)</f>
        <v>5.5401662049861494E-2</v>
      </c>
      <c r="AC160" s="140">
        <f ca="1">IF(ISNUMBER(MATCH(DATEVALUE($A160),'recurring1_based on steps'!AC$1:AC$400,0)),AC$2,)</f>
        <v>0</v>
      </c>
      <c r="AD160" s="140">
        <f ca="1">IF(ISNUMBER(MATCH(DATEVALUE($A160),'recurring1_based on steps'!AD$1:AD$400,0)),AD$2,)</f>
        <v>0</v>
      </c>
      <c r="AE160" s="140">
        <f ca="1">IF(ISNUMBER(MATCH(DATEVALUE($A160),'recurring1_based on steps'!AE$1:AE$400,0)),AE$2,)</f>
        <v>0</v>
      </c>
      <c r="AF160" s="140">
        <f ca="1">IF(ISNUMBER(MATCH(DATEVALUE($A160),'recurring1_based on steps'!AF$1:AF$400,0)),AF$2,)</f>
        <v>0</v>
      </c>
      <c r="AG160" s="140">
        <f ca="1">IF(ISNUMBER(MATCH(DATEVALUE($A160),'recurring1_based on steps'!AG$1:AG$400,0)),AG$2,)</f>
        <v>0</v>
      </c>
      <c r="AH160" s="140">
        <f ca="1">IF(ISNUMBER(MATCH(DATEVALUE($A160),'recurring1_based on steps'!AH$1:AH$400,0)),AH$2,)</f>
        <v>0</v>
      </c>
      <c r="AI160" s="140">
        <f ca="1">IF(ISNUMBER(MATCH(DATEVALUE($A160),'recurring1_based on steps'!AI$1:AI$400,0)),AI$2,)</f>
        <v>0</v>
      </c>
      <c r="AJ160" s="140">
        <f ca="1">IF(ISNUMBER(MATCH(DATEVALUE($A160),'recurring1_based on steps'!AJ$1:AJ$400,0)),AJ$2,)</f>
        <v>0</v>
      </c>
      <c r="AK160" s="140">
        <f ca="1">IF(ISNUMBER(MATCH(DATEVALUE($A160),'recurring1_based on steps'!AK$1:AK$400,0)),AK$2,)</f>
        <v>0</v>
      </c>
      <c r="AL160" s="140">
        <f ca="1">IF(ISNUMBER(MATCH(DATEVALUE($A160),'recurring1_based on steps'!AL$1:AL$400,0)),AL$2,)</f>
        <v>0</v>
      </c>
      <c r="AM160" s="140">
        <f ca="1">IF(ISNUMBER(MATCH(DATEVALUE($A160),'recurring1_based on steps'!AM$1:AM$400,0)),AM$2,)</f>
        <v>0</v>
      </c>
      <c r="AN160" s="140">
        <f ca="1">IF(ISNUMBER(MATCH(DATEVALUE($A160),'recurring1_based on steps'!AN$1:AN$400,0)),AN$2,)</f>
        <v>0</v>
      </c>
      <c r="AO160" s="140">
        <f ca="1">IF(ISNUMBER(MATCH(DATEVALUE($A160),'recurring1_based on steps'!AO$1:AO$400,0)),AO$2,)</f>
        <v>0</v>
      </c>
      <c r="AP160" s="140">
        <f ca="1">IF(ISNUMBER(MATCH(DATEVALUE($A160),'recurring1_based on steps'!AP$1:AP$400,0)),AP$2,)</f>
        <v>0</v>
      </c>
      <c r="AQ160" s="140">
        <f ca="1">IF(ISNUMBER(MATCH(DATEVALUE($A160),'recurring1_based on steps'!AQ$1:AQ$400,0)),AQ$2,)</f>
        <v>0</v>
      </c>
      <c r="AR160" s="140">
        <f ca="1">IF(ISNUMBER(MATCH(DATEVALUE($A160),'recurring1_based on steps'!AR$1:AR$400,0)),AR$2,)</f>
        <v>0</v>
      </c>
      <c r="AS160" s="140">
        <f ca="1">IF(ISNUMBER(MATCH(DATEVALUE($A160),'recurring1_based on steps'!AS$1:AS$400,0)),AS$2,)</f>
        <v>0</v>
      </c>
      <c r="AT160" s="140">
        <f ca="1">IF(ISNUMBER(MATCH(DATEVALUE($A160),'recurring1_based on steps'!AT$1:AT$400,0)),AT$2,)</f>
        <v>0</v>
      </c>
      <c r="AU160" s="140">
        <f ca="1">IF(ISNUMBER(MATCH(DATEVALUE($A160),'recurring1_based on steps'!AU$1:AU$400,0)),AU$2,)</f>
        <v>0</v>
      </c>
      <c r="AV160" s="140">
        <f ca="1">IF(ISNUMBER(MATCH(DATEVALUE($A160),'recurring1_based on steps'!AV$1:AV$400,0)),AV$2,)</f>
        <v>0</v>
      </c>
      <c r="AW160" s="140">
        <f ca="1">IF(ISNUMBER(MATCH(DATEVALUE($A160),'recurring1_based on steps'!AW$1:AW$400,0)),AW$2,)</f>
        <v>0</v>
      </c>
      <c r="AX160" s="140">
        <f ca="1">IF(ISNUMBER(MATCH(DATEVALUE($A160),'recurring1_based on steps'!AX$1:AX$400,0)),AX$2,)</f>
        <v>0</v>
      </c>
      <c r="AY160" s="140">
        <f ca="1">IF(ISNUMBER(MATCH(DATEVALUE($A160),'recurring1_based on steps'!AY$1:AY$400,0)),AY$2,)</f>
        <v>0</v>
      </c>
    </row>
    <row r="161" spans="1:51" x14ac:dyDescent="0.2">
      <c r="A161" s="29" t="str">
        <f t="shared" ca="1" si="2"/>
        <v>2025-09-01</v>
      </c>
      <c r="B161" s="140">
        <f ca="1">IF(ISNUMBER(MATCH(DATEVALUE($A161),'recurring1_based on steps'!B$1:B$400,0)),B$2,)</f>
        <v>0</v>
      </c>
      <c r="C161" s="140">
        <f ca="1">IF(ISNUMBER(MATCH(DATEVALUE($A161),'recurring1_based on steps'!C$1:C$400,0)),C$2,)</f>
        <v>0</v>
      </c>
      <c r="D161" s="140">
        <f ca="1">IF(ISNUMBER(MATCH(DATEVALUE($A161),'recurring1_based on steps'!D$1:D$400,0)),D$2,)</f>
        <v>0</v>
      </c>
      <c r="E161" s="140">
        <f ca="1">IF(ISNUMBER(MATCH(DATEVALUE($A161),'recurring1_based on steps'!E$1:E$400,0)),E$2,)</f>
        <v>0</v>
      </c>
      <c r="F161" s="140">
        <f ca="1">IF(ISNUMBER(MATCH(DATEVALUE($A161),'recurring1_based on steps'!F$1:F$400,0)),F$2,)</f>
        <v>0</v>
      </c>
      <c r="G161" s="140">
        <f ca="1">IF(ISNUMBER(MATCH(DATEVALUE($A161),'recurring1_based on steps'!G$1:G$400,0)),G$2,)</f>
        <v>0</v>
      </c>
      <c r="H161" s="140">
        <f ca="1">IF(ISNUMBER(MATCH(DATEVALUE($A161),'recurring1_based on steps'!H$1:H$400,0)),H$2,)</f>
        <v>0</v>
      </c>
      <c r="I161" s="140">
        <f ca="1">IF(ISNUMBER(MATCH(DATEVALUE($A161),'recurring1_based on steps'!I$1:I$400,0)),I$2,)</f>
        <v>2000</v>
      </c>
      <c r="J161" s="140">
        <f ca="1">IF(ISNUMBER(MATCH(DATEVALUE($A161),'recurring1_based on steps'!J$1:J$400,0)),J$2,)</f>
        <v>0</v>
      </c>
      <c r="K161" s="140">
        <f ca="1">IF(ISNUMBER(MATCH(DATEVALUE($A161),'recurring1_based on steps'!K$1:K$400,0)),K$2,)</f>
        <v>0</v>
      </c>
      <c r="L161" s="140">
        <f ca="1">IF(ISNUMBER(MATCH(DATEVALUE($A161),'recurring1_based on steps'!L$1:L$400,0)),L$2,)</f>
        <v>0</v>
      </c>
      <c r="M161" s="140">
        <f ca="1">IF(ISNUMBER(MATCH(DATEVALUE($A161),'recurring1_based on steps'!M$1:M$400,0)),M$2,)</f>
        <v>0</v>
      </c>
      <c r="N161" s="140">
        <f ca="1">IF(ISNUMBER(MATCH(DATEVALUE($A161),'recurring1_based on steps'!N$1:N$400,0)),N$2,)</f>
        <v>0</v>
      </c>
      <c r="O161" s="140">
        <f ca="1">IF(ISNUMBER(MATCH(DATEVALUE($A161),'recurring1_based on steps'!O$1:O$400,0)),O$2,)</f>
        <v>0</v>
      </c>
      <c r="P161" s="140">
        <f ca="1">IF(ISNUMBER(MATCH(DATEVALUE($A161),'recurring1_based on steps'!P$1:P$400,0)),P$2,)</f>
        <v>0</v>
      </c>
      <c r="Q161" s="140">
        <f ca="1">IF(ISNUMBER(MATCH(DATEVALUE($A161),'recurring1_based on steps'!Q$1:Q$400,0)),Q$2,)</f>
        <v>0</v>
      </c>
      <c r="R161" s="140">
        <f ca="1">IF(ISNUMBER(MATCH(DATEVALUE($A161),'recurring1_based on steps'!R$1:R$400,0)),R$2,)</f>
        <v>0</v>
      </c>
      <c r="S161" s="140">
        <f ca="1">IF(ISNUMBER(MATCH(DATEVALUE($A161),'recurring1_based on steps'!S$1:S$400,0)),S$2,)</f>
        <v>0</v>
      </c>
      <c r="T161" s="140">
        <f ca="1">IF(ISNUMBER(MATCH(DATEVALUE($A161),'recurring1_based on steps'!T$1:T$400,0)),T$2,)</f>
        <v>50</v>
      </c>
      <c r="U161" s="140">
        <f ca="1">IF(ISNUMBER(MATCH(DATEVALUE($A161),'recurring1_based on steps'!U$1:U$400,0)),U$2,)</f>
        <v>0</v>
      </c>
      <c r="V161" s="140">
        <f ca="1">IF(ISNUMBER(MATCH(DATEVALUE($A161),'recurring1_based on steps'!V$1:V$400,0)),V$2,)</f>
        <v>0</v>
      </c>
      <c r="W161" s="140">
        <f ca="1">IF(ISNUMBER(MATCH(DATEVALUE($A161),'recurring1_based on steps'!W$1:W$400,0)),W$2,)</f>
        <v>0</v>
      </c>
      <c r="X161" s="140">
        <f ca="1">IF(ISNUMBER(MATCH(DATEVALUE($A161),'recurring1_based on steps'!X$1:X$400,0)),X$2,)</f>
        <v>0</v>
      </c>
      <c r="Y161" s="140">
        <f ca="1">IF(ISNUMBER(MATCH(DATEVALUE($A161),'recurring1_based on steps'!Y$1:Y$400,0)),Y$2,)</f>
        <v>0</v>
      </c>
      <c r="Z161" s="140">
        <f ca="1">IF(ISNUMBER(MATCH(DATEVALUE($A161),'recurring1_based on steps'!Z$1:Z$400,0)),Z$2,)</f>
        <v>0</v>
      </c>
      <c r="AA161" s="140">
        <f ca="1">IF(ISNUMBER(MATCH(DATEVALUE($A161),'recurring1_based on steps'!AA$1:AA$400,0)),AA$2,)</f>
        <v>0</v>
      </c>
      <c r="AB161" s="140">
        <f ca="1">IF(ISNUMBER(MATCH(DATEVALUE($A161),'recurring1_based on steps'!AB$1:AB$400,0)),AB$2,)</f>
        <v>5.5401662049861494E-2</v>
      </c>
      <c r="AC161" s="140">
        <f ca="1">IF(ISNUMBER(MATCH(DATEVALUE($A161),'recurring1_based on steps'!AC$1:AC$400,0)),AC$2,)</f>
        <v>0</v>
      </c>
      <c r="AD161" s="140">
        <f ca="1">IF(ISNUMBER(MATCH(DATEVALUE($A161),'recurring1_based on steps'!AD$1:AD$400,0)),AD$2,)</f>
        <v>0</v>
      </c>
      <c r="AE161" s="140">
        <f ca="1">IF(ISNUMBER(MATCH(DATEVALUE($A161),'recurring1_based on steps'!AE$1:AE$400,0)),AE$2,)</f>
        <v>0</v>
      </c>
      <c r="AF161" s="140">
        <f ca="1">IF(ISNUMBER(MATCH(DATEVALUE($A161),'recurring1_based on steps'!AF$1:AF$400,0)),AF$2,)</f>
        <v>0</v>
      </c>
      <c r="AG161" s="140">
        <f ca="1">IF(ISNUMBER(MATCH(DATEVALUE($A161),'recurring1_based on steps'!AG$1:AG$400,0)),AG$2,)</f>
        <v>0</v>
      </c>
      <c r="AH161" s="140">
        <f ca="1">IF(ISNUMBER(MATCH(DATEVALUE($A161),'recurring1_based on steps'!AH$1:AH$400,0)),AH$2,)</f>
        <v>0</v>
      </c>
      <c r="AI161" s="140">
        <f ca="1">IF(ISNUMBER(MATCH(DATEVALUE($A161),'recurring1_based on steps'!AI$1:AI$400,0)),AI$2,)</f>
        <v>0</v>
      </c>
      <c r="AJ161" s="140">
        <f ca="1">IF(ISNUMBER(MATCH(DATEVALUE($A161),'recurring1_based on steps'!AJ$1:AJ$400,0)),AJ$2,)</f>
        <v>0</v>
      </c>
      <c r="AK161" s="140">
        <f ca="1">IF(ISNUMBER(MATCH(DATEVALUE($A161),'recurring1_based on steps'!AK$1:AK$400,0)),AK$2,)</f>
        <v>0</v>
      </c>
      <c r="AL161" s="140">
        <f ca="1">IF(ISNUMBER(MATCH(DATEVALUE($A161),'recurring1_based on steps'!AL$1:AL$400,0)),AL$2,)</f>
        <v>0</v>
      </c>
      <c r="AM161" s="140">
        <f ca="1">IF(ISNUMBER(MATCH(DATEVALUE($A161),'recurring1_based on steps'!AM$1:AM$400,0)),AM$2,)</f>
        <v>0</v>
      </c>
      <c r="AN161" s="140">
        <f ca="1">IF(ISNUMBER(MATCH(DATEVALUE($A161),'recurring1_based on steps'!AN$1:AN$400,0)),AN$2,)</f>
        <v>0</v>
      </c>
      <c r="AO161" s="140">
        <f ca="1">IF(ISNUMBER(MATCH(DATEVALUE($A161),'recurring1_based on steps'!AO$1:AO$400,0)),AO$2,)</f>
        <v>0</v>
      </c>
      <c r="AP161" s="140">
        <f ca="1">IF(ISNUMBER(MATCH(DATEVALUE($A161),'recurring1_based on steps'!AP$1:AP$400,0)),AP$2,)</f>
        <v>0</v>
      </c>
      <c r="AQ161" s="140">
        <f ca="1">IF(ISNUMBER(MATCH(DATEVALUE($A161),'recurring1_based on steps'!AQ$1:AQ$400,0)),AQ$2,)</f>
        <v>0</v>
      </c>
      <c r="AR161" s="140">
        <f ca="1">IF(ISNUMBER(MATCH(DATEVALUE($A161),'recurring1_based on steps'!AR$1:AR$400,0)),AR$2,)</f>
        <v>0</v>
      </c>
      <c r="AS161" s="140">
        <f ca="1">IF(ISNUMBER(MATCH(DATEVALUE($A161),'recurring1_based on steps'!AS$1:AS$400,0)),AS$2,)</f>
        <v>0</v>
      </c>
      <c r="AT161" s="140">
        <f ca="1">IF(ISNUMBER(MATCH(DATEVALUE($A161),'recurring1_based on steps'!AT$1:AT$400,0)),AT$2,)</f>
        <v>0</v>
      </c>
      <c r="AU161" s="140">
        <f ca="1">IF(ISNUMBER(MATCH(DATEVALUE($A161),'recurring1_based on steps'!AU$1:AU$400,0)),AU$2,)</f>
        <v>0</v>
      </c>
      <c r="AV161" s="140">
        <f ca="1">IF(ISNUMBER(MATCH(DATEVALUE($A161),'recurring1_based on steps'!AV$1:AV$400,0)),AV$2,)</f>
        <v>0</v>
      </c>
      <c r="AW161" s="140">
        <f ca="1">IF(ISNUMBER(MATCH(DATEVALUE($A161),'recurring1_based on steps'!AW$1:AW$400,0)),AW$2,)</f>
        <v>0</v>
      </c>
      <c r="AX161" s="140">
        <f ca="1">IF(ISNUMBER(MATCH(DATEVALUE($A161),'recurring1_based on steps'!AX$1:AX$400,0)),AX$2,)</f>
        <v>0</v>
      </c>
      <c r="AY161" s="140">
        <f ca="1">IF(ISNUMBER(MATCH(DATEVALUE($A161),'recurring1_based on steps'!AY$1:AY$400,0)),AY$2,)</f>
        <v>0</v>
      </c>
    </row>
    <row r="162" spans="1:51" x14ac:dyDescent="0.2">
      <c r="A162" s="29" t="str">
        <f t="shared" ca="1" si="2"/>
        <v>2025-09-02</v>
      </c>
      <c r="B162" s="140">
        <f ca="1">IF(ISNUMBER(MATCH(DATEVALUE($A162),'recurring1_based on steps'!B$1:B$400,0)),B$2,)</f>
        <v>0</v>
      </c>
      <c r="C162" s="140">
        <f ca="1">IF(ISNUMBER(MATCH(DATEVALUE($A162),'recurring1_based on steps'!C$1:C$400,0)),C$2,)</f>
        <v>0</v>
      </c>
      <c r="D162" s="140">
        <f ca="1">IF(ISNUMBER(MATCH(DATEVALUE($A162),'recurring1_based on steps'!D$1:D$400,0)),D$2,)</f>
        <v>0</v>
      </c>
      <c r="E162" s="140">
        <f ca="1">IF(ISNUMBER(MATCH(DATEVALUE($A162),'recurring1_based on steps'!E$1:E$400,0)),E$2,)</f>
        <v>0</v>
      </c>
      <c r="F162" s="140">
        <f ca="1">IF(ISNUMBER(MATCH(DATEVALUE($A162),'recurring1_based on steps'!F$1:F$400,0)),F$2,)</f>
        <v>0</v>
      </c>
      <c r="G162" s="140">
        <f ca="1">IF(ISNUMBER(MATCH(DATEVALUE($A162),'recurring1_based on steps'!G$1:G$400,0)),G$2,)</f>
        <v>0</v>
      </c>
      <c r="H162" s="140">
        <f ca="1">IF(ISNUMBER(MATCH(DATEVALUE($A162),'recurring1_based on steps'!H$1:H$400,0)),H$2,)</f>
        <v>0</v>
      </c>
      <c r="I162" s="140">
        <f ca="1">IF(ISNUMBER(MATCH(DATEVALUE($A162),'recurring1_based on steps'!I$1:I$400,0)),I$2,)</f>
        <v>0</v>
      </c>
      <c r="J162" s="140">
        <f ca="1">IF(ISNUMBER(MATCH(DATEVALUE($A162),'recurring1_based on steps'!J$1:J$400,0)),J$2,)</f>
        <v>0</v>
      </c>
      <c r="K162" s="140">
        <f ca="1">IF(ISNUMBER(MATCH(DATEVALUE($A162),'recurring1_based on steps'!K$1:K$400,0)),K$2,)</f>
        <v>0</v>
      </c>
      <c r="L162" s="140">
        <f ca="1">IF(ISNUMBER(MATCH(DATEVALUE($A162),'recurring1_based on steps'!L$1:L$400,0)),L$2,)</f>
        <v>0</v>
      </c>
      <c r="M162" s="140">
        <f ca="1">IF(ISNUMBER(MATCH(DATEVALUE($A162),'recurring1_based on steps'!M$1:M$400,0)),M$2,)</f>
        <v>0</v>
      </c>
      <c r="N162" s="140">
        <f ca="1">IF(ISNUMBER(MATCH(DATEVALUE($A162),'recurring1_based on steps'!N$1:N$400,0)),N$2,)</f>
        <v>0</v>
      </c>
      <c r="O162" s="140">
        <f ca="1">IF(ISNUMBER(MATCH(DATEVALUE($A162),'recurring1_based on steps'!O$1:O$400,0)),O$2,)</f>
        <v>0</v>
      </c>
      <c r="P162" s="140">
        <f ca="1">IF(ISNUMBER(MATCH(DATEVALUE($A162),'recurring1_based on steps'!P$1:P$400,0)),P$2,)</f>
        <v>0</v>
      </c>
      <c r="Q162" s="140">
        <f ca="1">IF(ISNUMBER(MATCH(DATEVALUE($A162),'recurring1_based on steps'!Q$1:Q$400,0)),Q$2,)</f>
        <v>0</v>
      </c>
      <c r="R162" s="140">
        <f ca="1">IF(ISNUMBER(MATCH(DATEVALUE($A162),'recurring1_based on steps'!R$1:R$400,0)),R$2,)</f>
        <v>0</v>
      </c>
      <c r="S162" s="140">
        <f ca="1">IF(ISNUMBER(MATCH(DATEVALUE($A162),'recurring1_based on steps'!S$1:S$400,0)),S$2,)</f>
        <v>0</v>
      </c>
      <c r="T162" s="140">
        <f ca="1">IF(ISNUMBER(MATCH(DATEVALUE($A162),'recurring1_based on steps'!T$1:T$400,0)),T$2,)</f>
        <v>0</v>
      </c>
      <c r="U162" s="140">
        <f ca="1">IF(ISNUMBER(MATCH(DATEVALUE($A162),'recurring1_based on steps'!U$1:U$400,0)),U$2,)</f>
        <v>0</v>
      </c>
      <c r="V162" s="140">
        <f ca="1">IF(ISNUMBER(MATCH(DATEVALUE($A162),'recurring1_based on steps'!V$1:V$400,0)),V$2,)</f>
        <v>0</v>
      </c>
      <c r="W162" s="140">
        <f ca="1">IF(ISNUMBER(MATCH(DATEVALUE($A162),'recurring1_based on steps'!W$1:W$400,0)),W$2,)</f>
        <v>0</v>
      </c>
      <c r="X162" s="140">
        <f ca="1">IF(ISNUMBER(MATCH(DATEVALUE($A162),'recurring1_based on steps'!X$1:X$400,0)),X$2,)</f>
        <v>0</v>
      </c>
      <c r="Y162" s="140">
        <f ca="1">IF(ISNUMBER(MATCH(DATEVALUE($A162),'recurring1_based on steps'!Y$1:Y$400,0)),Y$2,)</f>
        <v>0</v>
      </c>
      <c r="Z162" s="140">
        <f ca="1">IF(ISNUMBER(MATCH(DATEVALUE($A162),'recurring1_based on steps'!Z$1:Z$400,0)),Z$2,)</f>
        <v>0</v>
      </c>
      <c r="AA162" s="140">
        <f ca="1">IF(ISNUMBER(MATCH(DATEVALUE($A162),'recurring1_based on steps'!AA$1:AA$400,0)),AA$2,)</f>
        <v>0</v>
      </c>
      <c r="AB162" s="140">
        <f ca="1">IF(ISNUMBER(MATCH(DATEVALUE($A162),'recurring1_based on steps'!AB$1:AB$400,0)),AB$2,)</f>
        <v>5.5401662049861494E-2</v>
      </c>
      <c r="AC162" s="140">
        <f ca="1">IF(ISNUMBER(MATCH(DATEVALUE($A162),'recurring1_based on steps'!AC$1:AC$400,0)),AC$2,)</f>
        <v>0</v>
      </c>
      <c r="AD162" s="140">
        <f ca="1">IF(ISNUMBER(MATCH(DATEVALUE($A162),'recurring1_based on steps'!AD$1:AD$400,0)),AD$2,)</f>
        <v>0</v>
      </c>
      <c r="AE162" s="140">
        <f ca="1">IF(ISNUMBER(MATCH(DATEVALUE($A162),'recurring1_based on steps'!AE$1:AE$400,0)),AE$2,)</f>
        <v>0</v>
      </c>
      <c r="AF162" s="140">
        <f ca="1">IF(ISNUMBER(MATCH(DATEVALUE($A162),'recurring1_based on steps'!AF$1:AF$400,0)),AF$2,)</f>
        <v>0</v>
      </c>
      <c r="AG162" s="140">
        <f ca="1">IF(ISNUMBER(MATCH(DATEVALUE($A162),'recurring1_based on steps'!AG$1:AG$400,0)),AG$2,)</f>
        <v>0</v>
      </c>
      <c r="AH162" s="140">
        <f ca="1">IF(ISNUMBER(MATCH(DATEVALUE($A162),'recurring1_based on steps'!AH$1:AH$400,0)),AH$2,)</f>
        <v>0</v>
      </c>
      <c r="AI162" s="140">
        <f ca="1">IF(ISNUMBER(MATCH(DATEVALUE($A162),'recurring1_based on steps'!AI$1:AI$400,0)),AI$2,)</f>
        <v>0</v>
      </c>
      <c r="AJ162" s="140">
        <f ca="1">IF(ISNUMBER(MATCH(DATEVALUE($A162),'recurring1_based on steps'!AJ$1:AJ$400,0)),AJ$2,)</f>
        <v>0</v>
      </c>
      <c r="AK162" s="140">
        <f ca="1">IF(ISNUMBER(MATCH(DATEVALUE($A162),'recurring1_based on steps'!AK$1:AK$400,0)),AK$2,)</f>
        <v>0</v>
      </c>
      <c r="AL162" s="140">
        <f ca="1">IF(ISNUMBER(MATCH(DATEVALUE($A162),'recurring1_based on steps'!AL$1:AL$400,0)),AL$2,)</f>
        <v>0</v>
      </c>
      <c r="AM162" s="140">
        <f ca="1">IF(ISNUMBER(MATCH(DATEVALUE($A162),'recurring1_based on steps'!AM$1:AM$400,0)),AM$2,)</f>
        <v>0</v>
      </c>
      <c r="AN162" s="140">
        <f ca="1">IF(ISNUMBER(MATCH(DATEVALUE($A162),'recurring1_based on steps'!AN$1:AN$400,0)),AN$2,)</f>
        <v>0</v>
      </c>
      <c r="AO162" s="140">
        <f ca="1">IF(ISNUMBER(MATCH(DATEVALUE($A162),'recurring1_based on steps'!AO$1:AO$400,0)),AO$2,)</f>
        <v>0</v>
      </c>
      <c r="AP162" s="140">
        <f ca="1">IF(ISNUMBER(MATCH(DATEVALUE($A162),'recurring1_based on steps'!AP$1:AP$400,0)),AP$2,)</f>
        <v>0</v>
      </c>
      <c r="AQ162" s="140">
        <f ca="1">IF(ISNUMBER(MATCH(DATEVALUE($A162),'recurring1_based on steps'!AQ$1:AQ$400,0)),AQ$2,)</f>
        <v>0</v>
      </c>
      <c r="AR162" s="140">
        <f ca="1">IF(ISNUMBER(MATCH(DATEVALUE($A162),'recurring1_based on steps'!AR$1:AR$400,0)),AR$2,)</f>
        <v>0</v>
      </c>
      <c r="AS162" s="140">
        <f ca="1">IF(ISNUMBER(MATCH(DATEVALUE($A162),'recurring1_based on steps'!AS$1:AS$400,0)),AS$2,)</f>
        <v>0</v>
      </c>
      <c r="AT162" s="140">
        <f ca="1">IF(ISNUMBER(MATCH(DATEVALUE($A162),'recurring1_based on steps'!AT$1:AT$400,0)),AT$2,)</f>
        <v>0</v>
      </c>
      <c r="AU162" s="140">
        <f ca="1">IF(ISNUMBER(MATCH(DATEVALUE($A162),'recurring1_based on steps'!AU$1:AU$400,0)),AU$2,)</f>
        <v>0</v>
      </c>
      <c r="AV162" s="140">
        <f ca="1">IF(ISNUMBER(MATCH(DATEVALUE($A162),'recurring1_based on steps'!AV$1:AV$400,0)),AV$2,)</f>
        <v>0</v>
      </c>
      <c r="AW162" s="140">
        <f ca="1">IF(ISNUMBER(MATCH(DATEVALUE($A162),'recurring1_based on steps'!AW$1:AW$400,0)),AW$2,)</f>
        <v>0</v>
      </c>
      <c r="AX162" s="140">
        <f ca="1">IF(ISNUMBER(MATCH(DATEVALUE($A162),'recurring1_based on steps'!AX$1:AX$400,0)),AX$2,)</f>
        <v>0</v>
      </c>
      <c r="AY162" s="140">
        <f ca="1">IF(ISNUMBER(MATCH(DATEVALUE($A162),'recurring1_based on steps'!AY$1:AY$400,0)),AY$2,)</f>
        <v>0</v>
      </c>
    </row>
    <row r="163" spans="1:51" x14ac:dyDescent="0.2">
      <c r="A163" s="29" t="str">
        <f t="shared" ca="1" si="2"/>
        <v>2025-09-03</v>
      </c>
      <c r="B163" s="140">
        <f ca="1">IF(ISNUMBER(MATCH(DATEVALUE($A163),'recurring1_based on steps'!B$1:B$400,0)),B$2,)</f>
        <v>0</v>
      </c>
      <c r="C163" s="140">
        <f ca="1">IF(ISNUMBER(MATCH(DATEVALUE($A163),'recurring1_based on steps'!C$1:C$400,0)),C$2,)</f>
        <v>0</v>
      </c>
      <c r="D163" s="140">
        <f ca="1">IF(ISNUMBER(MATCH(DATEVALUE($A163),'recurring1_based on steps'!D$1:D$400,0)),D$2,)</f>
        <v>0</v>
      </c>
      <c r="E163" s="140">
        <f ca="1">IF(ISNUMBER(MATCH(DATEVALUE($A163),'recurring1_based on steps'!E$1:E$400,0)),E$2,)</f>
        <v>0</v>
      </c>
      <c r="F163" s="140">
        <f ca="1">IF(ISNUMBER(MATCH(DATEVALUE($A163),'recurring1_based on steps'!F$1:F$400,0)),F$2,)</f>
        <v>0</v>
      </c>
      <c r="G163" s="140">
        <f ca="1">IF(ISNUMBER(MATCH(DATEVALUE($A163),'recurring1_based on steps'!G$1:G$400,0)),G$2,)</f>
        <v>0</v>
      </c>
      <c r="H163" s="140">
        <f ca="1">IF(ISNUMBER(MATCH(DATEVALUE($A163),'recurring1_based on steps'!H$1:H$400,0)),H$2,)</f>
        <v>0</v>
      </c>
      <c r="I163" s="140">
        <f ca="1">IF(ISNUMBER(MATCH(DATEVALUE($A163),'recurring1_based on steps'!I$1:I$400,0)),I$2,)</f>
        <v>0</v>
      </c>
      <c r="J163" s="140">
        <f ca="1">IF(ISNUMBER(MATCH(DATEVALUE($A163),'recurring1_based on steps'!J$1:J$400,0)),J$2,)</f>
        <v>0</v>
      </c>
      <c r="K163" s="140">
        <f ca="1">IF(ISNUMBER(MATCH(DATEVALUE($A163),'recurring1_based on steps'!K$1:K$400,0)),K$2,)</f>
        <v>0</v>
      </c>
      <c r="L163" s="140">
        <f ca="1">IF(ISNUMBER(MATCH(DATEVALUE($A163),'recurring1_based on steps'!L$1:L$400,0)),L$2,)</f>
        <v>0</v>
      </c>
      <c r="M163" s="140">
        <f ca="1">IF(ISNUMBER(MATCH(DATEVALUE($A163),'recurring1_based on steps'!M$1:M$400,0)),M$2,)</f>
        <v>0</v>
      </c>
      <c r="N163" s="140">
        <f ca="1">IF(ISNUMBER(MATCH(DATEVALUE($A163),'recurring1_based on steps'!N$1:N$400,0)),N$2,)</f>
        <v>0</v>
      </c>
      <c r="O163" s="140">
        <f ca="1">IF(ISNUMBER(MATCH(DATEVALUE($A163),'recurring1_based on steps'!O$1:O$400,0)),O$2,)</f>
        <v>0</v>
      </c>
      <c r="P163" s="140">
        <f ca="1">IF(ISNUMBER(MATCH(DATEVALUE($A163),'recurring1_based on steps'!P$1:P$400,0)),P$2,)</f>
        <v>0</v>
      </c>
      <c r="Q163" s="140">
        <f ca="1">IF(ISNUMBER(MATCH(DATEVALUE($A163),'recurring1_based on steps'!Q$1:Q$400,0)),Q$2,)</f>
        <v>0</v>
      </c>
      <c r="R163" s="140">
        <f ca="1">IF(ISNUMBER(MATCH(DATEVALUE($A163),'recurring1_based on steps'!R$1:R$400,0)),R$2,)</f>
        <v>0</v>
      </c>
      <c r="S163" s="140">
        <f ca="1">IF(ISNUMBER(MATCH(DATEVALUE($A163),'recurring1_based on steps'!S$1:S$400,0)),S$2,)</f>
        <v>0</v>
      </c>
      <c r="T163" s="140">
        <f ca="1">IF(ISNUMBER(MATCH(DATEVALUE($A163),'recurring1_based on steps'!T$1:T$400,0)),T$2,)</f>
        <v>0</v>
      </c>
      <c r="U163" s="140">
        <f ca="1">IF(ISNUMBER(MATCH(DATEVALUE($A163),'recurring1_based on steps'!U$1:U$400,0)),U$2,)</f>
        <v>0</v>
      </c>
      <c r="V163" s="140">
        <f ca="1">IF(ISNUMBER(MATCH(DATEVALUE($A163),'recurring1_based on steps'!V$1:V$400,0)),V$2,)</f>
        <v>0</v>
      </c>
      <c r="W163" s="140">
        <f ca="1">IF(ISNUMBER(MATCH(DATEVALUE($A163),'recurring1_based on steps'!W$1:W$400,0)),W$2,)</f>
        <v>0</v>
      </c>
      <c r="X163" s="140">
        <f ca="1">IF(ISNUMBER(MATCH(DATEVALUE($A163),'recurring1_based on steps'!X$1:X$400,0)),X$2,)</f>
        <v>0</v>
      </c>
      <c r="Y163" s="140">
        <f ca="1">IF(ISNUMBER(MATCH(DATEVALUE($A163),'recurring1_based on steps'!Y$1:Y$400,0)),Y$2,)</f>
        <v>0</v>
      </c>
      <c r="Z163" s="140">
        <f ca="1">IF(ISNUMBER(MATCH(DATEVALUE($A163),'recurring1_based on steps'!Z$1:Z$400,0)),Z$2,)</f>
        <v>0</v>
      </c>
      <c r="AA163" s="140">
        <f ca="1">IF(ISNUMBER(MATCH(DATEVALUE($A163),'recurring1_based on steps'!AA$1:AA$400,0)),AA$2,)</f>
        <v>0</v>
      </c>
      <c r="AB163" s="140">
        <f ca="1">IF(ISNUMBER(MATCH(DATEVALUE($A163),'recurring1_based on steps'!AB$1:AB$400,0)),AB$2,)</f>
        <v>5.5401662049861494E-2</v>
      </c>
      <c r="AC163" s="140">
        <f ca="1">IF(ISNUMBER(MATCH(DATEVALUE($A163),'recurring1_based on steps'!AC$1:AC$400,0)),AC$2,)</f>
        <v>0</v>
      </c>
      <c r="AD163" s="140">
        <f ca="1">IF(ISNUMBER(MATCH(DATEVALUE($A163),'recurring1_based on steps'!AD$1:AD$400,0)),AD$2,)</f>
        <v>0</v>
      </c>
      <c r="AE163" s="140">
        <f ca="1">IF(ISNUMBER(MATCH(DATEVALUE($A163),'recurring1_based on steps'!AE$1:AE$400,0)),AE$2,)</f>
        <v>0</v>
      </c>
      <c r="AF163" s="140">
        <f ca="1">IF(ISNUMBER(MATCH(DATEVALUE($A163),'recurring1_based on steps'!AF$1:AF$400,0)),AF$2,)</f>
        <v>0</v>
      </c>
      <c r="AG163" s="140">
        <f ca="1">IF(ISNUMBER(MATCH(DATEVALUE($A163),'recurring1_based on steps'!AG$1:AG$400,0)),AG$2,)</f>
        <v>0</v>
      </c>
      <c r="AH163" s="140">
        <f ca="1">IF(ISNUMBER(MATCH(DATEVALUE($A163),'recurring1_based on steps'!AH$1:AH$400,0)),AH$2,)</f>
        <v>0</v>
      </c>
      <c r="AI163" s="140">
        <f ca="1">IF(ISNUMBER(MATCH(DATEVALUE($A163),'recurring1_based on steps'!AI$1:AI$400,0)),AI$2,)</f>
        <v>0</v>
      </c>
      <c r="AJ163" s="140">
        <f ca="1">IF(ISNUMBER(MATCH(DATEVALUE($A163),'recurring1_based on steps'!AJ$1:AJ$400,0)),AJ$2,)</f>
        <v>0</v>
      </c>
      <c r="AK163" s="140">
        <f ca="1">IF(ISNUMBER(MATCH(DATEVALUE($A163),'recurring1_based on steps'!AK$1:AK$400,0)),AK$2,)</f>
        <v>0</v>
      </c>
      <c r="AL163" s="140">
        <f ca="1">IF(ISNUMBER(MATCH(DATEVALUE($A163),'recurring1_based on steps'!AL$1:AL$400,0)),AL$2,)</f>
        <v>0</v>
      </c>
      <c r="AM163" s="140">
        <f ca="1">IF(ISNUMBER(MATCH(DATEVALUE($A163),'recurring1_based on steps'!AM$1:AM$400,0)),AM$2,)</f>
        <v>0</v>
      </c>
      <c r="AN163" s="140">
        <f ca="1">IF(ISNUMBER(MATCH(DATEVALUE($A163),'recurring1_based on steps'!AN$1:AN$400,0)),AN$2,)</f>
        <v>0</v>
      </c>
      <c r="AO163" s="140">
        <f ca="1">IF(ISNUMBER(MATCH(DATEVALUE($A163),'recurring1_based on steps'!AO$1:AO$400,0)),AO$2,)</f>
        <v>0</v>
      </c>
      <c r="AP163" s="140">
        <f ca="1">IF(ISNUMBER(MATCH(DATEVALUE($A163),'recurring1_based on steps'!AP$1:AP$400,0)),AP$2,)</f>
        <v>0</v>
      </c>
      <c r="AQ163" s="140">
        <f ca="1">IF(ISNUMBER(MATCH(DATEVALUE($A163),'recurring1_based on steps'!AQ$1:AQ$400,0)),AQ$2,)</f>
        <v>0</v>
      </c>
      <c r="AR163" s="140">
        <f ca="1">IF(ISNUMBER(MATCH(DATEVALUE($A163),'recurring1_based on steps'!AR$1:AR$400,0)),AR$2,)</f>
        <v>0</v>
      </c>
      <c r="AS163" s="140">
        <f ca="1">IF(ISNUMBER(MATCH(DATEVALUE($A163),'recurring1_based on steps'!AS$1:AS$400,0)),AS$2,)</f>
        <v>0</v>
      </c>
      <c r="AT163" s="140">
        <f ca="1">IF(ISNUMBER(MATCH(DATEVALUE($A163),'recurring1_based on steps'!AT$1:AT$400,0)),AT$2,)</f>
        <v>0</v>
      </c>
      <c r="AU163" s="140">
        <f ca="1">IF(ISNUMBER(MATCH(DATEVALUE($A163),'recurring1_based on steps'!AU$1:AU$400,0)),AU$2,)</f>
        <v>0</v>
      </c>
      <c r="AV163" s="140">
        <f ca="1">IF(ISNUMBER(MATCH(DATEVALUE($A163),'recurring1_based on steps'!AV$1:AV$400,0)),AV$2,)</f>
        <v>0</v>
      </c>
      <c r="AW163" s="140">
        <f ca="1">IF(ISNUMBER(MATCH(DATEVALUE($A163),'recurring1_based on steps'!AW$1:AW$400,0)),AW$2,)</f>
        <v>0</v>
      </c>
      <c r="AX163" s="140">
        <f ca="1">IF(ISNUMBER(MATCH(DATEVALUE($A163),'recurring1_based on steps'!AX$1:AX$400,0)),AX$2,)</f>
        <v>0</v>
      </c>
      <c r="AY163" s="140">
        <f ca="1">IF(ISNUMBER(MATCH(DATEVALUE($A163),'recurring1_based on steps'!AY$1:AY$400,0)),AY$2,)</f>
        <v>0</v>
      </c>
    </row>
    <row r="164" spans="1:51" x14ac:dyDescent="0.2">
      <c r="A164" s="29" t="str">
        <f t="shared" ca="1" si="2"/>
        <v>2025-09-04</v>
      </c>
      <c r="B164" s="140">
        <f ca="1">IF(ISNUMBER(MATCH(DATEVALUE($A164),'recurring1_based on steps'!B$1:B$400,0)),B$2,)</f>
        <v>0</v>
      </c>
      <c r="C164" s="140">
        <f ca="1">IF(ISNUMBER(MATCH(DATEVALUE($A164),'recurring1_based on steps'!C$1:C$400,0)),C$2,)</f>
        <v>0</v>
      </c>
      <c r="D164" s="140">
        <f ca="1">IF(ISNUMBER(MATCH(DATEVALUE($A164),'recurring1_based on steps'!D$1:D$400,0)),D$2,)</f>
        <v>0</v>
      </c>
      <c r="E164" s="140">
        <f ca="1">IF(ISNUMBER(MATCH(DATEVALUE($A164),'recurring1_based on steps'!E$1:E$400,0)),E$2,)</f>
        <v>0</v>
      </c>
      <c r="F164" s="140">
        <f ca="1">IF(ISNUMBER(MATCH(DATEVALUE($A164),'recurring1_based on steps'!F$1:F$400,0)),F$2,)</f>
        <v>0</v>
      </c>
      <c r="G164" s="140">
        <f ca="1">IF(ISNUMBER(MATCH(DATEVALUE($A164),'recurring1_based on steps'!G$1:G$400,0)),G$2,)</f>
        <v>0</v>
      </c>
      <c r="H164" s="140">
        <f ca="1">IF(ISNUMBER(MATCH(DATEVALUE($A164),'recurring1_based on steps'!H$1:H$400,0)),H$2,)</f>
        <v>0</v>
      </c>
      <c r="I164" s="140">
        <f ca="1">IF(ISNUMBER(MATCH(DATEVALUE($A164),'recurring1_based on steps'!I$1:I$400,0)),I$2,)</f>
        <v>0</v>
      </c>
      <c r="J164" s="140">
        <f ca="1">IF(ISNUMBER(MATCH(DATEVALUE($A164),'recurring1_based on steps'!J$1:J$400,0)),J$2,)</f>
        <v>0</v>
      </c>
      <c r="K164" s="140">
        <f ca="1">IF(ISNUMBER(MATCH(DATEVALUE($A164),'recurring1_based on steps'!K$1:K$400,0)),K$2,)</f>
        <v>0</v>
      </c>
      <c r="L164" s="140">
        <f ca="1">IF(ISNUMBER(MATCH(DATEVALUE($A164),'recurring1_based on steps'!L$1:L$400,0)),L$2,)</f>
        <v>0</v>
      </c>
      <c r="M164" s="140">
        <f ca="1">IF(ISNUMBER(MATCH(DATEVALUE($A164),'recurring1_based on steps'!M$1:M$400,0)),M$2,)</f>
        <v>15</v>
      </c>
      <c r="N164" s="140">
        <f ca="1">IF(ISNUMBER(MATCH(DATEVALUE($A164),'recurring1_based on steps'!N$1:N$400,0)),N$2,)</f>
        <v>0</v>
      </c>
      <c r="O164" s="140">
        <f ca="1">IF(ISNUMBER(MATCH(DATEVALUE($A164),'recurring1_based on steps'!O$1:O$400,0)),O$2,)</f>
        <v>0</v>
      </c>
      <c r="P164" s="140">
        <f ca="1">IF(ISNUMBER(MATCH(DATEVALUE($A164),'recurring1_based on steps'!P$1:P$400,0)),P$2,)</f>
        <v>0</v>
      </c>
      <c r="Q164" s="140">
        <f ca="1">IF(ISNUMBER(MATCH(DATEVALUE($A164),'recurring1_based on steps'!Q$1:Q$400,0)),Q$2,)</f>
        <v>0</v>
      </c>
      <c r="R164" s="140">
        <f ca="1">IF(ISNUMBER(MATCH(DATEVALUE($A164),'recurring1_based on steps'!R$1:R$400,0)),R$2,)</f>
        <v>0</v>
      </c>
      <c r="S164" s="140">
        <f ca="1">IF(ISNUMBER(MATCH(DATEVALUE($A164),'recurring1_based on steps'!S$1:S$400,0)),S$2,)</f>
        <v>0</v>
      </c>
      <c r="T164" s="140">
        <f ca="1">IF(ISNUMBER(MATCH(DATEVALUE($A164),'recurring1_based on steps'!T$1:T$400,0)),T$2,)</f>
        <v>0</v>
      </c>
      <c r="U164" s="140">
        <f ca="1">IF(ISNUMBER(MATCH(DATEVALUE($A164),'recurring1_based on steps'!U$1:U$400,0)),U$2,)</f>
        <v>0</v>
      </c>
      <c r="V164" s="140">
        <f ca="1">IF(ISNUMBER(MATCH(DATEVALUE($A164),'recurring1_based on steps'!V$1:V$400,0)),V$2,)</f>
        <v>0</v>
      </c>
      <c r="W164" s="140">
        <f ca="1">IF(ISNUMBER(MATCH(DATEVALUE($A164),'recurring1_based on steps'!W$1:W$400,0)),W$2,)</f>
        <v>0</v>
      </c>
      <c r="X164" s="140">
        <f ca="1">IF(ISNUMBER(MATCH(DATEVALUE($A164),'recurring1_based on steps'!X$1:X$400,0)),X$2,)</f>
        <v>0</v>
      </c>
      <c r="Y164" s="140">
        <f ca="1">IF(ISNUMBER(MATCH(DATEVALUE($A164),'recurring1_based on steps'!Y$1:Y$400,0)),Y$2,)</f>
        <v>0</v>
      </c>
      <c r="Z164" s="140">
        <f ca="1">IF(ISNUMBER(MATCH(DATEVALUE($A164),'recurring1_based on steps'!Z$1:Z$400,0)),Z$2,)</f>
        <v>0</v>
      </c>
      <c r="AA164" s="140">
        <f ca="1">IF(ISNUMBER(MATCH(DATEVALUE($A164),'recurring1_based on steps'!AA$1:AA$400,0)),AA$2,)</f>
        <v>0</v>
      </c>
      <c r="AB164" s="140">
        <f ca="1">IF(ISNUMBER(MATCH(DATEVALUE($A164),'recurring1_based on steps'!AB$1:AB$400,0)),AB$2,)</f>
        <v>5.5401662049861494E-2</v>
      </c>
      <c r="AC164" s="140">
        <f ca="1">IF(ISNUMBER(MATCH(DATEVALUE($A164),'recurring1_based on steps'!AC$1:AC$400,0)),AC$2,)</f>
        <v>0</v>
      </c>
      <c r="AD164" s="140">
        <f ca="1">IF(ISNUMBER(MATCH(DATEVALUE($A164),'recurring1_based on steps'!AD$1:AD$400,0)),AD$2,)</f>
        <v>0</v>
      </c>
      <c r="AE164" s="140">
        <f ca="1">IF(ISNUMBER(MATCH(DATEVALUE($A164),'recurring1_based on steps'!AE$1:AE$400,0)),AE$2,)</f>
        <v>0</v>
      </c>
      <c r="AF164" s="140">
        <f ca="1">IF(ISNUMBER(MATCH(DATEVALUE($A164),'recurring1_based on steps'!AF$1:AF$400,0)),AF$2,)</f>
        <v>0</v>
      </c>
      <c r="AG164" s="140">
        <f ca="1">IF(ISNUMBER(MATCH(DATEVALUE($A164),'recurring1_based on steps'!AG$1:AG$400,0)),AG$2,)</f>
        <v>0</v>
      </c>
      <c r="AH164" s="140">
        <f ca="1">IF(ISNUMBER(MATCH(DATEVALUE($A164),'recurring1_based on steps'!AH$1:AH$400,0)),AH$2,)</f>
        <v>0</v>
      </c>
      <c r="AI164" s="140">
        <f ca="1">IF(ISNUMBER(MATCH(DATEVALUE($A164),'recurring1_based on steps'!AI$1:AI$400,0)),AI$2,)</f>
        <v>0</v>
      </c>
      <c r="AJ164" s="140">
        <f ca="1">IF(ISNUMBER(MATCH(DATEVALUE($A164),'recurring1_based on steps'!AJ$1:AJ$400,0)),AJ$2,)</f>
        <v>0</v>
      </c>
      <c r="AK164" s="140">
        <f ca="1">IF(ISNUMBER(MATCH(DATEVALUE($A164),'recurring1_based on steps'!AK$1:AK$400,0)),AK$2,)</f>
        <v>0</v>
      </c>
      <c r="AL164" s="140">
        <f ca="1">IF(ISNUMBER(MATCH(DATEVALUE($A164),'recurring1_based on steps'!AL$1:AL$400,0)),AL$2,)</f>
        <v>0</v>
      </c>
      <c r="AM164" s="140">
        <f ca="1">IF(ISNUMBER(MATCH(DATEVALUE($A164),'recurring1_based on steps'!AM$1:AM$400,0)),AM$2,)</f>
        <v>0</v>
      </c>
      <c r="AN164" s="140">
        <f ca="1">IF(ISNUMBER(MATCH(DATEVALUE($A164),'recurring1_based on steps'!AN$1:AN$400,0)),AN$2,)</f>
        <v>0</v>
      </c>
      <c r="AO164" s="140">
        <f ca="1">IF(ISNUMBER(MATCH(DATEVALUE($A164),'recurring1_based on steps'!AO$1:AO$400,0)),AO$2,)</f>
        <v>0</v>
      </c>
      <c r="AP164" s="140">
        <f ca="1">IF(ISNUMBER(MATCH(DATEVALUE($A164),'recurring1_based on steps'!AP$1:AP$400,0)),AP$2,)</f>
        <v>0</v>
      </c>
      <c r="AQ164" s="140">
        <f ca="1">IF(ISNUMBER(MATCH(DATEVALUE($A164),'recurring1_based on steps'!AQ$1:AQ$400,0)),AQ$2,)</f>
        <v>0</v>
      </c>
      <c r="AR164" s="140">
        <f ca="1">IF(ISNUMBER(MATCH(DATEVALUE($A164),'recurring1_based on steps'!AR$1:AR$400,0)),AR$2,)</f>
        <v>0</v>
      </c>
      <c r="AS164" s="140">
        <f ca="1">IF(ISNUMBER(MATCH(DATEVALUE($A164),'recurring1_based on steps'!AS$1:AS$400,0)),AS$2,)</f>
        <v>0</v>
      </c>
      <c r="AT164" s="140">
        <f ca="1">IF(ISNUMBER(MATCH(DATEVALUE($A164),'recurring1_based on steps'!AT$1:AT$400,0)),AT$2,)</f>
        <v>0</v>
      </c>
      <c r="AU164" s="140">
        <f ca="1">IF(ISNUMBER(MATCH(DATEVALUE($A164),'recurring1_based on steps'!AU$1:AU$400,0)),AU$2,)</f>
        <v>0</v>
      </c>
      <c r="AV164" s="140">
        <f ca="1">IF(ISNUMBER(MATCH(DATEVALUE($A164),'recurring1_based on steps'!AV$1:AV$400,0)),AV$2,)</f>
        <v>0</v>
      </c>
      <c r="AW164" s="140">
        <f ca="1">IF(ISNUMBER(MATCH(DATEVALUE($A164),'recurring1_based on steps'!AW$1:AW$400,0)),AW$2,)</f>
        <v>0</v>
      </c>
      <c r="AX164" s="140">
        <f ca="1">IF(ISNUMBER(MATCH(DATEVALUE($A164),'recurring1_based on steps'!AX$1:AX$400,0)),AX$2,)</f>
        <v>0</v>
      </c>
      <c r="AY164" s="140">
        <f ca="1">IF(ISNUMBER(MATCH(DATEVALUE($A164),'recurring1_based on steps'!AY$1:AY$400,0)),AY$2,)</f>
        <v>0</v>
      </c>
    </row>
    <row r="165" spans="1:51" x14ac:dyDescent="0.2">
      <c r="A165" s="29" t="str">
        <f t="shared" ca="1" si="2"/>
        <v>2025-09-05</v>
      </c>
      <c r="B165" s="140">
        <f ca="1">IF(ISNUMBER(MATCH(DATEVALUE($A165),'recurring1_based on steps'!B$1:B$400,0)),B$2,)</f>
        <v>4000</v>
      </c>
      <c r="C165" s="140">
        <f ca="1">IF(ISNUMBER(MATCH(DATEVALUE($A165),'recurring1_based on steps'!C$1:C$400,0)),C$2,)</f>
        <v>200</v>
      </c>
      <c r="D165" s="140">
        <f ca="1">IF(ISNUMBER(MATCH(DATEVALUE($A165),'recurring1_based on steps'!D$1:D$400,0)),D$2,)</f>
        <v>2</v>
      </c>
      <c r="E165" s="140">
        <f ca="1">IF(ISNUMBER(MATCH(DATEVALUE($A165),'recurring1_based on steps'!E$1:E$400,0)),E$2,)</f>
        <v>40</v>
      </c>
      <c r="F165" s="140">
        <f ca="1">IF(ISNUMBER(MATCH(DATEVALUE($A165),'recurring1_based on steps'!F$1:F$400,0)),F$2,)</f>
        <v>50</v>
      </c>
      <c r="G165" s="140">
        <f ca="1">IF(ISNUMBER(MATCH(DATEVALUE($A165),'recurring1_based on steps'!G$1:G$400,0)),G$2,)</f>
        <v>4</v>
      </c>
      <c r="H165" s="140">
        <f ca="1">IF(ISNUMBER(MATCH(DATEVALUE($A165),'recurring1_based on steps'!H$1:H$400,0)),H$2,)</f>
        <v>0</v>
      </c>
      <c r="I165" s="140">
        <f ca="1">IF(ISNUMBER(MATCH(DATEVALUE($A165),'recurring1_based on steps'!I$1:I$400,0)),I$2,)</f>
        <v>0</v>
      </c>
      <c r="J165" s="140">
        <f ca="1">IF(ISNUMBER(MATCH(DATEVALUE($A165),'recurring1_based on steps'!J$1:J$400,0)),J$2,)</f>
        <v>0</v>
      </c>
      <c r="K165" s="140">
        <f ca="1">IF(ISNUMBER(MATCH(DATEVALUE($A165),'recurring1_based on steps'!K$1:K$400,0)),K$2,)</f>
        <v>0</v>
      </c>
      <c r="L165" s="140">
        <f ca="1">IF(ISNUMBER(MATCH(DATEVALUE($A165),'recurring1_based on steps'!L$1:L$400,0)),L$2,)</f>
        <v>0</v>
      </c>
      <c r="M165" s="140">
        <f ca="1">IF(ISNUMBER(MATCH(DATEVALUE($A165),'recurring1_based on steps'!M$1:M$400,0)),M$2,)</f>
        <v>0</v>
      </c>
      <c r="N165" s="140">
        <f ca="1">IF(ISNUMBER(MATCH(DATEVALUE($A165),'recurring1_based on steps'!N$1:N$400,0)),N$2,)</f>
        <v>0</v>
      </c>
      <c r="O165" s="140">
        <f ca="1">IF(ISNUMBER(MATCH(DATEVALUE($A165),'recurring1_based on steps'!O$1:O$400,0)),O$2,)</f>
        <v>0</v>
      </c>
      <c r="P165" s="140">
        <f ca="1">IF(ISNUMBER(MATCH(DATEVALUE($A165),'recurring1_based on steps'!P$1:P$400,0)),P$2,)</f>
        <v>0</v>
      </c>
      <c r="Q165" s="140">
        <f ca="1">IF(ISNUMBER(MATCH(DATEVALUE($A165),'recurring1_based on steps'!Q$1:Q$400,0)),Q$2,)</f>
        <v>0</v>
      </c>
      <c r="R165" s="140">
        <f ca="1">IF(ISNUMBER(MATCH(DATEVALUE($A165),'recurring1_based on steps'!R$1:R$400,0)),R$2,)</f>
        <v>0</v>
      </c>
      <c r="S165" s="140">
        <f ca="1">IF(ISNUMBER(MATCH(DATEVALUE($A165),'recurring1_based on steps'!S$1:S$400,0)),S$2,)</f>
        <v>0</v>
      </c>
      <c r="T165" s="140">
        <f ca="1">IF(ISNUMBER(MATCH(DATEVALUE($A165),'recurring1_based on steps'!T$1:T$400,0)),T$2,)</f>
        <v>0</v>
      </c>
      <c r="U165" s="140">
        <f ca="1">IF(ISNUMBER(MATCH(DATEVALUE($A165),'recurring1_based on steps'!U$1:U$400,0)),U$2,)</f>
        <v>0</v>
      </c>
      <c r="V165" s="140">
        <f ca="1">IF(ISNUMBER(MATCH(DATEVALUE($A165),'recurring1_based on steps'!V$1:V$400,0)),V$2,)</f>
        <v>0</v>
      </c>
      <c r="W165" s="140">
        <f ca="1">IF(ISNUMBER(MATCH(DATEVALUE($A165),'recurring1_based on steps'!W$1:W$400,0)),W$2,)</f>
        <v>0</v>
      </c>
      <c r="X165" s="140">
        <f ca="1">IF(ISNUMBER(MATCH(DATEVALUE($A165),'recurring1_based on steps'!X$1:X$400,0)),X$2,)</f>
        <v>50</v>
      </c>
      <c r="Y165" s="140">
        <f ca="1">IF(ISNUMBER(MATCH(DATEVALUE($A165),'recurring1_based on steps'!Y$1:Y$400,0)),Y$2,)</f>
        <v>50</v>
      </c>
      <c r="Z165" s="140">
        <f ca="1">IF(ISNUMBER(MATCH(DATEVALUE($A165),'recurring1_based on steps'!Z$1:Z$400,0)),Z$2,)</f>
        <v>0</v>
      </c>
      <c r="AA165" s="140">
        <f ca="1">IF(ISNUMBER(MATCH(DATEVALUE($A165),'recurring1_based on steps'!AA$1:AA$400,0)),AA$2,)</f>
        <v>0</v>
      </c>
      <c r="AB165" s="140">
        <f ca="1">IF(ISNUMBER(MATCH(DATEVALUE($A165),'recurring1_based on steps'!AB$1:AB$400,0)),AB$2,)</f>
        <v>5.5401662049861494E-2</v>
      </c>
      <c r="AC165" s="140">
        <f ca="1">IF(ISNUMBER(MATCH(DATEVALUE($A165),'recurring1_based on steps'!AC$1:AC$400,0)),AC$2,)</f>
        <v>0</v>
      </c>
      <c r="AD165" s="140">
        <f ca="1">IF(ISNUMBER(MATCH(DATEVALUE($A165),'recurring1_based on steps'!AD$1:AD$400,0)),AD$2,)</f>
        <v>0</v>
      </c>
      <c r="AE165" s="140">
        <f ca="1">IF(ISNUMBER(MATCH(DATEVALUE($A165),'recurring1_based on steps'!AE$1:AE$400,0)),AE$2,)</f>
        <v>0</v>
      </c>
      <c r="AF165" s="140">
        <f ca="1">IF(ISNUMBER(MATCH(DATEVALUE($A165),'recurring1_based on steps'!AF$1:AF$400,0)),AF$2,)</f>
        <v>0</v>
      </c>
      <c r="AG165" s="140">
        <f ca="1">IF(ISNUMBER(MATCH(DATEVALUE($A165),'recurring1_based on steps'!AG$1:AG$400,0)),AG$2,)</f>
        <v>0</v>
      </c>
      <c r="AH165" s="140">
        <f ca="1">IF(ISNUMBER(MATCH(DATEVALUE($A165),'recurring1_based on steps'!AH$1:AH$400,0)),AH$2,)</f>
        <v>0</v>
      </c>
      <c r="AI165" s="140">
        <f ca="1">IF(ISNUMBER(MATCH(DATEVALUE($A165),'recurring1_based on steps'!AI$1:AI$400,0)),AI$2,)</f>
        <v>0</v>
      </c>
      <c r="AJ165" s="140">
        <f ca="1">IF(ISNUMBER(MATCH(DATEVALUE($A165),'recurring1_based on steps'!AJ$1:AJ$400,0)),AJ$2,)</f>
        <v>0</v>
      </c>
      <c r="AK165" s="140">
        <f ca="1">IF(ISNUMBER(MATCH(DATEVALUE($A165),'recurring1_based on steps'!AK$1:AK$400,0)),AK$2,)</f>
        <v>0</v>
      </c>
      <c r="AL165" s="140">
        <f ca="1">IF(ISNUMBER(MATCH(DATEVALUE($A165),'recurring1_based on steps'!AL$1:AL$400,0)),AL$2,)</f>
        <v>0</v>
      </c>
      <c r="AM165" s="140">
        <f ca="1">IF(ISNUMBER(MATCH(DATEVALUE($A165),'recurring1_based on steps'!AM$1:AM$400,0)),AM$2,)</f>
        <v>0</v>
      </c>
      <c r="AN165" s="140">
        <f ca="1">IF(ISNUMBER(MATCH(DATEVALUE($A165),'recurring1_based on steps'!AN$1:AN$400,0)),AN$2,)</f>
        <v>0</v>
      </c>
      <c r="AO165" s="140">
        <f ca="1">IF(ISNUMBER(MATCH(DATEVALUE($A165),'recurring1_based on steps'!AO$1:AO$400,0)),AO$2,)</f>
        <v>0</v>
      </c>
      <c r="AP165" s="140">
        <f ca="1">IF(ISNUMBER(MATCH(DATEVALUE($A165),'recurring1_based on steps'!AP$1:AP$400,0)),AP$2,)</f>
        <v>0</v>
      </c>
      <c r="AQ165" s="140">
        <f ca="1">IF(ISNUMBER(MATCH(DATEVALUE($A165),'recurring1_based on steps'!AQ$1:AQ$400,0)),AQ$2,)</f>
        <v>0</v>
      </c>
      <c r="AR165" s="140">
        <f ca="1">IF(ISNUMBER(MATCH(DATEVALUE($A165),'recurring1_based on steps'!AR$1:AR$400,0)),AR$2,)</f>
        <v>0</v>
      </c>
      <c r="AS165" s="140">
        <f ca="1">IF(ISNUMBER(MATCH(DATEVALUE($A165),'recurring1_based on steps'!AS$1:AS$400,0)),AS$2,)</f>
        <v>0</v>
      </c>
      <c r="AT165" s="140">
        <f ca="1">IF(ISNUMBER(MATCH(DATEVALUE($A165),'recurring1_based on steps'!AT$1:AT$400,0)),AT$2,)</f>
        <v>0</v>
      </c>
      <c r="AU165" s="140">
        <f ca="1">IF(ISNUMBER(MATCH(DATEVALUE($A165),'recurring1_based on steps'!AU$1:AU$400,0)),AU$2,)</f>
        <v>0</v>
      </c>
      <c r="AV165" s="140">
        <f ca="1">IF(ISNUMBER(MATCH(DATEVALUE($A165),'recurring1_based on steps'!AV$1:AV$400,0)),AV$2,)</f>
        <v>0</v>
      </c>
      <c r="AW165" s="140">
        <f ca="1">IF(ISNUMBER(MATCH(DATEVALUE($A165),'recurring1_based on steps'!AW$1:AW$400,0)),AW$2,)</f>
        <v>0</v>
      </c>
      <c r="AX165" s="140">
        <f ca="1">IF(ISNUMBER(MATCH(DATEVALUE($A165),'recurring1_based on steps'!AX$1:AX$400,0)),AX$2,)</f>
        <v>0</v>
      </c>
      <c r="AY165" s="140">
        <f ca="1">IF(ISNUMBER(MATCH(DATEVALUE($A165),'recurring1_based on steps'!AY$1:AY$400,0)),AY$2,)</f>
        <v>0</v>
      </c>
    </row>
    <row r="166" spans="1:51" x14ac:dyDescent="0.2">
      <c r="A166" s="29" t="str">
        <f t="shared" ca="1" si="2"/>
        <v>2025-09-06</v>
      </c>
      <c r="B166" s="140">
        <f ca="1">IF(ISNUMBER(MATCH(DATEVALUE($A166),'recurring1_based on steps'!B$1:B$400,0)),B$2,)</f>
        <v>0</v>
      </c>
      <c r="C166" s="140">
        <f ca="1">IF(ISNUMBER(MATCH(DATEVALUE($A166),'recurring1_based on steps'!C$1:C$400,0)),C$2,)</f>
        <v>0</v>
      </c>
      <c r="D166" s="140">
        <f ca="1">IF(ISNUMBER(MATCH(DATEVALUE($A166),'recurring1_based on steps'!D$1:D$400,0)),D$2,)</f>
        <v>0</v>
      </c>
      <c r="E166" s="140">
        <f ca="1">IF(ISNUMBER(MATCH(DATEVALUE($A166),'recurring1_based on steps'!E$1:E$400,0)),E$2,)</f>
        <v>0</v>
      </c>
      <c r="F166" s="140">
        <f ca="1">IF(ISNUMBER(MATCH(DATEVALUE($A166),'recurring1_based on steps'!F$1:F$400,0)),F$2,)</f>
        <v>0</v>
      </c>
      <c r="G166" s="140">
        <f ca="1">IF(ISNUMBER(MATCH(DATEVALUE($A166),'recurring1_based on steps'!G$1:G$400,0)),G$2,)</f>
        <v>0</v>
      </c>
      <c r="H166" s="140">
        <f ca="1">IF(ISNUMBER(MATCH(DATEVALUE($A166),'recurring1_based on steps'!H$1:H$400,0)),H$2,)</f>
        <v>0</v>
      </c>
      <c r="I166" s="140">
        <f ca="1">IF(ISNUMBER(MATCH(DATEVALUE($A166),'recurring1_based on steps'!I$1:I$400,0)),I$2,)</f>
        <v>0</v>
      </c>
      <c r="J166" s="140">
        <f ca="1">IF(ISNUMBER(MATCH(DATEVALUE($A166),'recurring1_based on steps'!J$1:J$400,0)),J$2,)</f>
        <v>0</v>
      </c>
      <c r="K166" s="140">
        <f ca="1">IF(ISNUMBER(MATCH(DATEVALUE($A166),'recurring1_based on steps'!K$1:K$400,0)),K$2,)</f>
        <v>0</v>
      </c>
      <c r="L166" s="140">
        <f ca="1">IF(ISNUMBER(MATCH(DATEVALUE($A166),'recurring1_based on steps'!L$1:L$400,0)),L$2,)</f>
        <v>0</v>
      </c>
      <c r="M166" s="140">
        <f ca="1">IF(ISNUMBER(MATCH(DATEVALUE($A166),'recurring1_based on steps'!M$1:M$400,0)),M$2,)</f>
        <v>0</v>
      </c>
      <c r="N166" s="140">
        <f ca="1">IF(ISNUMBER(MATCH(DATEVALUE($A166),'recurring1_based on steps'!N$1:N$400,0)),N$2,)</f>
        <v>0</v>
      </c>
      <c r="O166" s="140">
        <f ca="1">IF(ISNUMBER(MATCH(DATEVALUE($A166),'recurring1_based on steps'!O$1:O$400,0)),O$2,)</f>
        <v>0</v>
      </c>
      <c r="P166" s="140">
        <f ca="1">IF(ISNUMBER(MATCH(DATEVALUE($A166),'recurring1_based on steps'!P$1:P$400,0)),P$2,)</f>
        <v>0</v>
      </c>
      <c r="Q166" s="140">
        <f ca="1">IF(ISNUMBER(MATCH(DATEVALUE($A166),'recurring1_based on steps'!Q$1:Q$400,0)),Q$2,)</f>
        <v>100</v>
      </c>
      <c r="R166" s="140">
        <f ca="1">IF(ISNUMBER(MATCH(DATEVALUE($A166),'recurring1_based on steps'!R$1:R$400,0)),R$2,)</f>
        <v>100</v>
      </c>
      <c r="S166" s="140">
        <f ca="1">IF(ISNUMBER(MATCH(DATEVALUE($A166),'recurring1_based on steps'!S$1:S$400,0)),S$2,)</f>
        <v>0</v>
      </c>
      <c r="T166" s="140">
        <f ca="1">IF(ISNUMBER(MATCH(DATEVALUE($A166),'recurring1_based on steps'!T$1:T$400,0)),T$2,)</f>
        <v>0</v>
      </c>
      <c r="U166" s="140">
        <f ca="1">IF(ISNUMBER(MATCH(DATEVALUE($A166),'recurring1_based on steps'!U$1:U$400,0)),U$2,)</f>
        <v>0</v>
      </c>
      <c r="V166" s="140">
        <f ca="1">IF(ISNUMBER(MATCH(DATEVALUE($A166),'recurring1_based on steps'!V$1:V$400,0)),V$2,)</f>
        <v>0</v>
      </c>
      <c r="W166" s="140">
        <f ca="1">IF(ISNUMBER(MATCH(DATEVALUE($A166),'recurring1_based on steps'!W$1:W$400,0)),W$2,)</f>
        <v>0</v>
      </c>
      <c r="X166" s="140">
        <f ca="1">IF(ISNUMBER(MATCH(DATEVALUE($A166),'recurring1_based on steps'!X$1:X$400,0)),X$2,)</f>
        <v>0</v>
      </c>
      <c r="Y166" s="140">
        <f ca="1">IF(ISNUMBER(MATCH(DATEVALUE($A166),'recurring1_based on steps'!Y$1:Y$400,0)),Y$2,)</f>
        <v>0</v>
      </c>
      <c r="Z166" s="140">
        <f ca="1">IF(ISNUMBER(MATCH(DATEVALUE($A166),'recurring1_based on steps'!Z$1:Z$400,0)),Z$2,)</f>
        <v>0</v>
      </c>
      <c r="AA166" s="140">
        <f ca="1">IF(ISNUMBER(MATCH(DATEVALUE($A166),'recurring1_based on steps'!AA$1:AA$400,0)),AA$2,)</f>
        <v>0</v>
      </c>
      <c r="AB166" s="140">
        <f ca="1">IF(ISNUMBER(MATCH(DATEVALUE($A166),'recurring1_based on steps'!AB$1:AB$400,0)),AB$2,)</f>
        <v>5.5401662049861494E-2</v>
      </c>
      <c r="AC166" s="140">
        <f ca="1">IF(ISNUMBER(MATCH(DATEVALUE($A166),'recurring1_based on steps'!AC$1:AC$400,0)),AC$2,)</f>
        <v>0</v>
      </c>
      <c r="AD166" s="140">
        <f ca="1">IF(ISNUMBER(MATCH(DATEVALUE($A166),'recurring1_based on steps'!AD$1:AD$400,0)),AD$2,)</f>
        <v>0</v>
      </c>
      <c r="AE166" s="140">
        <f ca="1">IF(ISNUMBER(MATCH(DATEVALUE($A166),'recurring1_based on steps'!AE$1:AE$400,0)),AE$2,)</f>
        <v>0</v>
      </c>
      <c r="AF166" s="140">
        <f ca="1">IF(ISNUMBER(MATCH(DATEVALUE($A166),'recurring1_based on steps'!AF$1:AF$400,0)),AF$2,)</f>
        <v>0</v>
      </c>
      <c r="AG166" s="140">
        <f ca="1">IF(ISNUMBER(MATCH(DATEVALUE($A166),'recurring1_based on steps'!AG$1:AG$400,0)),AG$2,)</f>
        <v>0</v>
      </c>
      <c r="AH166" s="140">
        <f ca="1">IF(ISNUMBER(MATCH(DATEVALUE($A166),'recurring1_based on steps'!AH$1:AH$400,0)),AH$2,)</f>
        <v>0</v>
      </c>
      <c r="AI166" s="140">
        <f ca="1">IF(ISNUMBER(MATCH(DATEVALUE($A166),'recurring1_based on steps'!AI$1:AI$400,0)),AI$2,)</f>
        <v>0</v>
      </c>
      <c r="AJ166" s="140">
        <f ca="1">IF(ISNUMBER(MATCH(DATEVALUE($A166),'recurring1_based on steps'!AJ$1:AJ$400,0)),AJ$2,)</f>
        <v>0</v>
      </c>
      <c r="AK166" s="140">
        <f ca="1">IF(ISNUMBER(MATCH(DATEVALUE($A166),'recurring1_based on steps'!AK$1:AK$400,0)),AK$2,)</f>
        <v>0</v>
      </c>
      <c r="AL166" s="140">
        <f ca="1">IF(ISNUMBER(MATCH(DATEVALUE($A166),'recurring1_based on steps'!AL$1:AL$400,0)),AL$2,)</f>
        <v>0</v>
      </c>
      <c r="AM166" s="140">
        <f ca="1">IF(ISNUMBER(MATCH(DATEVALUE($A166),'recurring1_based on steps'!AM$1:AM$400,0)),AM$2,)</f>
        <v>0</v>
      </c>
      <c r="AN166" s="140">
        <f ca="1">IF(ISNUMBER(MATCH(DATEVALUE($A166),'recurring1_based on steps'!AN$1:AN$400,0)),AN$2,)</f>
        <v>0</v>
      </c>
      <c r="AO166" s="140">
        <f ca="1">IF(ISNUMBER(MATCH(DATEVALUE($A166),'recurring1_based on steps'!AO$1:AO$400,0)),AO$2,)</f>
        <v>0</v>
      </c>
      <c r="AP166" s="140">
        <f ca="1">IF(ISNUMBER(MATCH(DATEVALUE($A166),'recurring1_based on steps'!AP$1:AP$400,0)),AP$2,)</f>
        <v>0</v>
      </c>
      <c r="AQ166" s="140">
        <f ca="1">IF(ISNUMBER(MATCH(DATEVALUE($A166),'recurring1_based on steps'!AQ$1:AQ$400,0)),AQ$2,)</f>
        <v>0</v>
      </c>
      <c r="AR166" s="140">
        <f ca="1">IF(ISNUMBER(MATCH(DATEVALUE($A166),'recurring1_based on steps'!AR$1:AR$400,0)),AR$2,)</f>
        <v>0</v>
      </c>
      <c r="AS166" s="140">
        <f ca="1">IF(ISNUMBER(MATCH(DATEVALUE($A166),'recurring1_based on steps'!AS$1:AS$400,0)),AS$2,)</f>
        <v>0</v>
      </c>
      <c r="AT166" s="140">
        <f ca="1">IF(ISNUMBER(MATCH(DATEVALUE($A166),'recurring1_based on steps'!AT$1:AT$400,0)),AT$2,)</f>
        <v>0</v>
      </c>
      <c r="AU166" s="140">
        <f ca="1">IF(ISNUMBER(MATCH(DATEVALUE($A166),'recurring1_based on steps'!AU$1:AU$400,0)),AU$2,)</f>
        <v>0</v>
      </c>
      <c r="AV166" s="140">
        <f ca="1">IF(ISNUMBER(MATCH(DATEVALUE($A166),'recurring1_based on steps'!AV$1:AV$400,0)),AV$2,)</f>
        <v>0</v>
      </c>
      <c r="AW166" s="140">
        <f ca="1">IF(ISNUMBER(MATCH(DATEVALUE($A166),'recurring1_based on steps'!AW$1:AW$400,0)),AW$2,)</f>
        <v>0</v>
      </c>
      <c r="AX166" s="140">
        <f ca="1">IF(ISNUMBER(MATCH(DATEVALUE($A166),'recurring1_based on steps'!AX$1:AX$400,0)),AX$2,)</f>
        <v>0</v>
      </c>
      <c r="AY166" s="140">
        <f ca="1">IF(ISNUMBER(MATCH(DATEVALUE($A166),'recurring1_based on steps'!AY$1:AY$400,0)),AY$2,)</f>
        <v>0</v>
      </c>
    </row>
    <row r="167" spans="1:51" x14ac:dyDescent="0.2">
      <c r="A167" s="29" t="str">
        <f t="shared" ca="1" si="2"/>
        <v>2025-09-07</v>
      </c>
      <c r="B167" s="140">
        <f ca="1">IF(ISNUMBER(MATCH(DATEVALUE($A167),'recurring1_based on steps'!B$1:B$400,0)),B$2,)</f>
        <v>0</v>
      </c>
      <c r="C167" s="140">
        <f ca="1">IF(ISNUMBER(MATCH(DATEVALUE($A167),'recurring1_based on steps'!C$1:C$400,0)),C$2,)</f>
        <v>0</v>
      </c>
      <c r="D167" s="140">
        <f ca="1">IF(ISNUMBER(MATCH(DATEVALUE($A167),'recurring1_based on steps'!D$1:D$400,0)),D$2,)</f>
        <v>0</v>
      </c>
      <c r="E167" s="140">
        <f ca="1">IF(ISNUMBER(MATCH(DATEVALUE($A167),'recurring1_based on steps'!E$1:E$400,0)),E$2,)</f>
        <v>0</v>
      </c>
      <c r="F167" s="140">
        <f ca="1">IF(ISNUMBER(MATCH(DATEVALUE($A167),'recurring1_based on steps'!F$1:F$400,0)),F$2,)</f>
        <v>0</v>
      </c>
      <c r="G167" s="140">
        <f ca="1">IF(ISNUMBER(MATCH(DATEVALUE($A167),'recurring1_based on steps'!G$1:G$400,0)),G$2,)</f>
        <v>0</v>
      </c>
      <c r="H167" s="140">
        <f ca="1">IF(ISNUMBER(MATCH(DATEVALUE($A167),'recurring1_based on steps'!H$1:H$400,0)),H$2,)</f>
        <v>0</v>
      </c>
      <c r="I167" s="140">
        <f ca="1">IF(ISNUMBER(MATCH(DATEVALUE($A167),'recurring1_based on steps'!I$1:I$400,0)),I$2,)</f>
        <v>0</v>
      </c>
      <c r="J167" s="140">
        <f ca="1">IF(ISNUMBER(MATCH(DATEVALUE($A167),'recurring1_based on steps'!J$1:J$400,0)),J$2,)</f>
        <v>0</v>
      </c>
      <c r="K167" s="140">
        <f ca="1">IF(ISNUMBER(MATCH(DATEVALUE($A167),'recurring1_based on steps'!K$1:K$400,0)),K$2,)</f>
        <v>50</v>
      </c>
      <c r="L167" s="140">
        <f ca="1">IF(ISNUMBER(MATCH(DATEVALUE($A167),'recurring1_based on steps'!L$1:L$400,0)),L$2,)</f>
        <v>0</v>
      </c>
      <c r="M167" s="140">
        <f ca="1">IF(ISNUMBER(MATCH(DATEVALUE($A167),'recurring1_based on steps'!M$1:M$400,0)),M$2,)</f>
        <v>0</v>
      </c>
      <c r="N167" s="140">
        <f ca="1">IF(ISNUMBER(MATCH(DATEVALUE($A167),'recurring1_based on steps'!N$1:N$400,0)),N$2,)</f>
        <v>0</v>
      </c>
      <c r="O167" s="140">
        <f ca="1">IF(ISNUMBER(MATCH(DATEVALUE($A167),'recurring1_based on steps'!O$1:O$400,0)),O$2,)</f>
        <v>0</v>
      </c>
      <c r="P167" s="140">
        <f ca="1">IF(ISNUMBER(MATCH(DATEVALUE($A167),'recurring1_based on steps'!P$1:P$400,0)),P$2,)</f>
        <v>0</v>
      </c>
      <c r="Q167" s="140">
        <f ca="1">IF(ISNUMBER(MATCH(DATEVALUE($A167),'recurring1_based on steps'!Q$1:Q$400,0)),Q$2,)</f>
        <v>0</v>
      </c>
      <c r="R167" s="140">
        <f ca="1">IF(ISNUMBER(MATCH(DATEVALUE($A167),'recurring1_based on steps'!R$1:R$400,0)),R$2,)</f>
        <v>0</v>
      </c>
      <c r="S167" s="140">
        <f ca="1">IF(ISNUMBER(MATCH(DATEVALUE($A167),'recurring1_based on steps'!S$1:S$400,0)),S$2,)</f>
        <v>100</v>
      </c>
      <c r="T167" s="140">
        <f ca="1">IF(ISNUMBER(MATCH(DATEVALUE($A167),'recurring1_based on steps'!T$1:T$400,0)),T$2,)</f>
        <v>0</v>
      </c>
      <c r="U167" s="140">
        <f ca="1">IF(ISNUMBER(MATCH(DATEVALUE($A167),'recurring1_based on steps'!U$1:U$400,0)),U$2,)</f>
        <v>0</v>
      </c>
      <c r="V167" s="140">
        <f ca="1">IF(ISNUMBER(MATCH(DATEVALUE($A167),'recurring1_based on steps'!V$1:V$400,0)),V$2,)</f>
        <v>0</v>
      </c>
      <c r="W167" s="140">
        <f ca="1">IF(ISNUMBER(MATCH(DATEVALUE($A167),'recurring1_based on steps'!W$1:W$400,0)),W$2,)</f>
        <v>0</v>
      </c>
      <c r="X167" s="140">
        <f ca="1">IF(ISNUMBER(MATCH(DATEVALUE($A167),'recurring1_based on steps'!X$1:X$400,0)),X$2,)</f>
        <v>0</v>
      </c>
      <c r="Y167" s="140">
        <f ca="1">IF(ISNUMBER(MATCH(DATEVALUE($A167),'recurring1_based on steps'!Y$1:Y$400,0)),Y$2,)</f>
        <v>0</v>
      </c>
      <c r="Z167" s="140">
        <f ca="1">IF(ISNUMBER(MATCH(DATEVALUE($A167),'recurring1_based on steps'!Z$1:Z$400,0)),Z$2,)</f>
        <v>0</v>
      </c>
      <c r="AA167" s="140">
        <f ca="1">IF(ISNUMBER(MATCH(DATEVALUE($A167),'recurring1_based on steps'!AA$1:AA$400,0)),AA$2,)</f>
        <v>0</v>
      </c>
      <c r="AB167" s="140">
        <f ca="1">IF(ISNUMBER(MATCH(DATEVALUE($A167),'recurring1_based on steps'!AB$1:AB$400,0)),AB$2,)</f>
        <v>5.5401662049861494E-2</v>
      </c>
      <c r="AC167" s="140">
        <f ca="1">IF(ISNUMBER(MATCH(DATEVALUE($A167),'recurring1_based on steps'!AC$1:AC$400,0)),AC$2,)</f>
        <v>0</v>
      </c>
      <c r="AD167" s="140">
        <f ca="1">IF(ISNUMBER(MATCH(DATEVALUE($A167),'recurring1_based on steps'!AD$1:AD$400,0)),AD$2,)</f>
        <v>0</v>
      </c>
      <c r="AE167" s="140">
        <f ca="1">IF(ISNUMBER(MATCH(DATEVALUE($A167),'recurring1_based on steps'!AE$1:AE$400,0)),AE$2,)</f>
        <v>0</v>
      </c>
      <c r="AF167" s="140">
        <f ca="1">IF(ISNUMBER(MATCH(DATEVALUE($A167),'recurring1_based on steps'!AF$1:AF$400,0)),AF$2,)</f>
        <v>0</v>
      </c>
      <c r="AG167" s="140">
        <f ca="1">IF(ISNUMBER(MATCH(DATEVALUE($A167),'recurring1_based on steps'!AG$1:AG$400,0)),AG$2,)</f>
        <v>0</v>
      </c>
      <c r="AH167" s="140">
        <f ca="1">IF(ISNUMBER(MATCH(DATEVALUE($A167),'recurring1_based on steps'!AH$1:AH$400,0)),AH$2,)</f>
        <v>0</v>
      </c>
      <c r="AI167" s="140">
        <f ca="1">IF(ISNUMBER(MATCH(DATEVALUE($A167),'recurring1_based on steps'!AI$1:AI$400,0)),AI$2,)</f>
        <v>0</v>
      </c>
      <c r="AJ167" s="140">
        <f ca="1">IF(ISNUMBER(MATCH(DATEVALUE($A167),'recurring1_based on steps'!AJ$1:AJ$400,0)),AJ$2,)</f>
        <v>0</v>
      </c>
      <c r="AK167" s="140">
        <f ca="1">IF(ISNUMBER(MATCH(DATEVALUE($A167),'recurring1_based on steps'!AK$1:AK$400,0)),AK$2,)</f>
        <v>0</v>
      </c>
      <c r="AL167" s="140">
        <f ca="1">IF(ISNUMBER(MATCH(DATEVALUE($A167),'recurring1_based on steps'!AL$1:AL$400,0)),AL$2,)</f>
        <v>0</v>
      </c>
      <c r="AM167" s="140">
        <f ca="1">IF(ISNUMBER(MATCH(DATEVALUE($A167),'recurring1_based on steps'!AM$1:AM$400,0)),AM$2,)</f>
        <v>0</v>
      </c>
      <c r="AN167" s="140">
        <f ca="1">IF(ISNUMBER(MATCH(DATEVALUE($A167),'recurring1_based on steps'!AN$1:AN$400,0)),AN$2,)</f>
        <v>0</v>
      </c>
      <c r="AO167" s="140">
        <f ca="1">IF(ISNUMBER(MATCH(DATEVALUE($A167),'recurring1_based on steps'!AO$1:AO$400,0)),AO$2,)</f>
        <v>0</v>
      </c>
      <c r="AP167" s="140">
        <f ca="1">IF(ISNUMBER(MATCH(DATEVALUE($A167),'recurring1_based on steps'!AP$1:AP$400,0)),AP$2,)</f>
        <v>0</v>
      </c>
      <c r="AQ167" s="140">
        <f ca="1">IF(ISNUMBER(MATCH(DATEVALUE($A167),'recurring1_based on steps'!AQ$1:AQ$400,0)),AQ$2,)</f>
        <v>0</v>
      </c>
      <c r="AR167" s="140">
        <f ca="1">IF(ISNUMBER(MATCH(DATEVALUE($A167),'recurring1_based on steps'!AR$1:AR$400,0)),AR$2,)</f>
        <v>0</v>
      </c>
      <c r="AS167" s="140">
        <f ca="1">IF(ISNUMBER(MATCH(DATEVALUE($A167),'recurring1_based on steps'!AS$1:AS$400,0)),AS$2,)</f>
        <v>0</v>
      </c>
      <c r="AT167" s="140">
        <f ca="1">IF(ISNUMBER(MATCH(DATEVALUE($A167),'recurring1_based on steps'!AT$1:AT$400,0)),AT$2,)</f>
        <v>0</v>
      </c>
      <c r="AU167" s="140">
        <f ca="1">IF(ISNUMBER(MATCH(DATEVALUE($A167),'recurring1_based on steps'!AU$1:AU$400,0)),AU$2,)</f>
        <v>0</v>
      </c>
      <c r="AV167" s="140">
        <f ca="1">IF(ISNUMBER(MATCH(DATEVALUE($A167),'recurring1_based on steps'!AV$1:AV$400,0)),AV$2,)</f>
        <v>0</v>
      </c>
      <c r="AW167" s="140">
        <f ca="1">IF(ISNUMBER(MATCH(DATEVALUE($A167),'recurring1_based on steps'!AW$1:AW$400,0)),AW$2,)</f>
        <v>0</v>
      </c>
      <c r="AX167" s="140">
        <f ca="1">IF(ISNUMBER(MATCH(DATEVALUE($A167),'recurring1_based on steps'!AX$1:AX$400,0)),AX$2,)</f>
        <v>0</v>
      </c>
      <c r="AY167" s="140">
        <f ca="1">IF(ISNUMBER(MATCH(DATEVALUE($A167),'recurring1_based on steps'!AY$1:AY$400,0)),AY$2,)</f>
        <v>0</v>
      </c>
    </row>
    <row r="168" spans="1:51" x14ac:dyDescent="0.2">
      <c r="A168" s="29" t="str">
        <f t="shared" ca="1" si="2"/>
        <v>2025-09-08</v>
      </c>
      <c r="B168" s="140">
        <f ca="1">IF(ISNUMBER(MATCH(DATEVALUE($A168),'recurring1_based on steps'!B$1:B$400,0)),B$2,)</f>
        <v>0</v>
      </c>
      <c r="C168" s="140">
        <f ca="1">IF(ISNUMBER(MATCH(DATEVALUE($A168),'recurring1_based on steps'!C$1:C$400,0)),C$2,)</f>
        <v>0</v>
      </c>
      <c r="D168" s="140">
        <f ca="1">IF(ISNUMBER(MATCH(DATEVALUE($A168),'recurring1_based on steps'!D$1:D$400,0)),D$2,)</f>
        <v>0</v>
      </c>
      <c r="E168" s="140">
        <f ca="1">IF(ISNUMBER(MATCH(DATEVALUE($A168),'recurring1_based on steps'!E$1:E$400,0)),E$2,)</f>
        <v>0</v>
      </c>
      <c r="F168" s="140">
        <f ca="1">IF(ISNUMBER(MATCH(DATEVALUE($A168),'recurring1_based on steps'!F$1:F$400,0)),F$2,)</f>
        <v>0</v>
      </c>
      <c r="G168" s="140">
        <f ca="1">IF(ISNUMBER(MATCH(DATEVALUE($A168),'recurring1_based on steps'!G$1:G$400,0)),G$2,)</f>
        <v>0</v>
      </c>
      <c r="H168" s="140">
        <f ca="1">IF(ISNUMBER(MATCH(DATEVALUE($A168),'recurring1_based on steps'!H$1:H$400,0)),H$2,)</f>
        <v>0</v>
      </c>
      <c r="I168" s="140">
        <f ca="1">IF(ISNUMBER(MATCH(DATEVALUE($A168),'recurring1_based on steps'!I$1:I$400,0)),I$2,)</f>
        <v>0</v>
      </c>
      <c r="J168" s="140">
        <f ca="1">IF(ISNUMBER(MATCH(DATEVALUE($A168),'recurring1_based on steps'!J$1:J$400,0)),J$2,)</f>
        <v>0</v>
      </c>
      <c r="K168" s="140">
        <f ca="1">IF(ISNUMBER(MATCH(DATEVALUE($A168),'recurring1_based on steps'!K$1:K$400,0)),K$2,)</f>
        <v>0</v>
      </c>
      <c r="L168" s="140">
        <f ca="1">IF(ISNUMBER(MATCH(DATEVALUE($A168),'recurring1_based on steps'!L$1:L$400,0)),L$2,)</f>
        <v>0</v>
      </c>
      <c r="M168" s="140">
        <f ca="1">IF(ISNUMBER(MATCH(DATEVALUE($A168),'recurring1_based on steps'!M$1:M$400,0)),M$2,)</f>
        <v>0</v>
      </c>
      <c r="N168" s="140">
        <f ca="1">IF(ISNUMBER(MATCH(DATEVALUE($A168),'recurring1_based on steps'!N$1:N$400,0)),N$2,)</f>
        <v>0</v>
      </c>
      <c r="O168" s="140">
        <f ca="1">IF(ISNUMBER(MATCH(DATEVALUE($A168),'recurring1_based on steps'!O$1:O$400,0)),O$2,)</f>
        <v>0</v>
      </c>
      <c r="P168" s="140">
        <f ca="1">IF(ISNUMBER(MATCH(DATEVALUE($A168),'recurring1_based on steps'!P$1:P$400,0)),P$2,)</f>
        <v>0</v>
      </c>
      <c r="Q168" s="140">
        <f ca="1">IF(ISNUMBER(MATCH(DATEVALUE($A168),'recurring1_based on steps'!Q$1:Q$400,0)),Q$2,)</f>
        <v>0</v>
      </c>
      <c r="R168" s="140">
        <f ca="1">IF(ISNUMBER(MATCH(DATEVALUE($A168),'recurring1_based on steps'!R$1:R$400,0)),R$2,)</f>
        <v>0</v>
      </c>
      <c r="S168" s="140">
        <f ca="1">IF(ISNUMBER(MATCH(DATEVALUE($A168),'recurring1_based on steps'!S$1:S$400,0)),S$2,)</f>
        <v>0</v>
      </c>
      <c r="T168" s="140">
        <f ca="1">IF(ISNUMBER(MATCH(DATEVALUE($A168),'recurring1_based on steps'!T$1:T$400,0)),T$2,)</f>
        <v>0</v>
      </c>
      <c r="U168" s="140">
        <f ca="1">IF(ISNUMBER(MATCH(DATEVALUE($A168),'recurring1_based on steps'!U$1:U$400,0)),U$2,)</f>
        <v>0</v>
      </c>
      <c r="V168" s="140">
        <f ca="1">IF(ISNUMBER(MATCH(DATEVALUE($A168),'recurring1_based on steps'!V$1:V$400,0)),V$2,)</f>
        <v>0</v>
      </c>
      <c r="W168" s="140">
        <f ca="1">IF(ISNUMBER(MATCH(DATEVALUE($A168),'recurring1_based on steps'!W$1:W$400,0)),W$2,)</f>
        <v>0</v>
      </c>
      <c r="X168" s="140">
        <f ca="1">IF(ISNUMBER(MATCH(DATEVALUE($A168),'recurring1_based on steps'!X$1:X$400,0)),X$2,)</f>
        <v>0</v>
      </c>
      <c r="Y168" s="140">
        <f ca="1">IF(ISNUMBER(MATCH(DATEVALUE($A168),'recurring1_based on steps'!Y$1:Y$400,0)),Y$2,)</f>
        <v>0</v>
      </c>
      <c r="Z168" s="140">
        <f ca="1">IF(ISNUMBER(MATCH(DATEVALUE($A168),'recurring1_based on steps'!Z$1:Z$400,0)),Z$2,)</f>
        <v>0</v>
      </c>
      <c r="AA168" s="140">
        <f ca="1">IF(ISNUMBER(MATCH(DATEVALUE($A168),'recurring1_based on steps'!AA$1:AA$400,0)),AA$2,)</f>
        <v>0</v>
      </c>
      <c r="AB168" s="140">
        <f ca="1">IF(ISNUMBER(MATCH(DATEVALUE($A168),'recurring1_based on steps'!AB$1:AB$400,0)),AB$2,)</f>
        <v>5.5401662049861494E-2</v>
      </c>
      <c r="AC168" s="140">
        <f ca="1">IF(ISNUMBER(MATCH(DATEVALUE($A168),'recurring1_based on steps'!AC$1:AC$400,0)),AC$2,)</f>
        <v>0</v>
      </c>
      <c r="AD168" s="140">
        <f ca="1">IF(ISNUMBER(MATCH(DATEVALUE($A168),'recurring1_based on steps'!AD$1:AD$400,0)),AD$2,)</f>
        <v>0</v>
      </c>
      <c r="AE168" s="140">
        <f ca="1">IF(ISNUMBER(MATCH(DATEVALUE($A168),'recurring1_based on steps'!AE$1:AE$400,0)),AE$2,)</f>
        <v>0</v>
      </c>
      <c r="AF168" s="140">
        <f ca="1">IF(ISNUMBER(MATCH(DATEVALUE($A168),'recurring1_based on steps'!AF$1:AF$400,0)),AF$2,)</f>
        <v>0</v>
      </c>
      <c r="AG168" s="140">
        <f ca="1">IF(ISNUMBER(MATCH(DATEVALUE($A168),'recurring1_based on steps'!AG$1:AG$400,0)),AG$2,)</f>
        <v>0</v>
      </c>
      <c r="AH168" s="140">
        <f ca="1">IF(ISNUMBER(MATCH(DATEVALUE($A168),'recurring1_based on steps'!AH$1:AH$400,0)),AH$2,)</f>
        <v>0</v>
      </c>
      <c r="AI168" s="140">
        <f ca="1">IF(ISNUMBER(MATCH(DATEVALUE($A168),'recurring1_based on steps'!AI$1:AI$400,0)),AI$2,)</f>
        <v>0</v>
      </c>
      <c r="AJ168" s="140">
        <f ca="1">IF(ISNUMBER(MATCH(DATEVALUE($A168),'recurring1_based on steps'!AJ$1:AJ$400,0)),AJ$2,)</f>
        <v>0</v>
      </c>
      <c r="AK168" s="140">
        <f ca="1">IF(ISNUMBER(MATCH(DATEVALUE($A168),'recurring1_based on steps'!AK$1:AK$400,0)),AK$2,)</f>
        <v>0</v>
      </c>
      <c r="AL168" s="140">
        <f ca="1">IF(ISNUMBER(MATCH(DATEVALUE($A168),'recurring1_based on steps'!AL$1:AL$400,0)),AL$2,)</f>
        <v>0</v>
      </c>
      <c r="AM168" s="140">
        <f ca="1">IF(ISNUMBER(MATCH(DATEVALUE($A168),'recurring1_based on steps'!AM$1:AM$400,0)),AM$2,)</f>
        <v>0</v>
      </c>
      <c r="AN168" s="140">
        <f ca="1">IF(ISNUMBER(MATCH(DATEVALUE($A168),'recurring1_based on steps'!AN$1:AN$400,0)),AN$2,)</f>
        <v>0</v>
      </c>
      <c r="AO168" s="140">
        <f ca="1">IF(ISNUMBER(MATCH(DATEVALUE($A168),'recurring1_based on steps'!AO$1:AO$400,0)),AO$2,)</f>
        <v>0</v>
      </c>
      <c r="AP168" s="140">
        <f ca="1">IF(ISNUMBER(MATCH(DATEVALUE($A168),'recurring1_based on steps'!AP$1:AP$400,0)),AP$2,)</f>
        <v>0</v>
      </c>
      <c r="AQ168" s="140">
        <f ca="1">IF(ISNUMBER(MATCH(DATEVALUE($A168),'recurring1_based on steps'!AQ$1:AQ$400,0)),AQ$2,)</f>
        <v>0</v>
      </c>
      <c r="AR168" s="140">
        <f ca="1">IF(ISNUMBER(MATCH(DATEVALUE($A168),'recurring1_based on steps'!AR$1:AR$400,0)),AR$2,)</f>
        <v>0</v>
      </c>
      <c r="AS168" s="140">
        <f ca="1">IF(ISNUMBER(MATCH(DATEVALUE($A168),'recurring1_based on steps'!AS$1:AS$400,0)),AS$2,)</f>
        <v>0</v>
      </c>
      <c r="AT168" s="140">
        <f ca="1">IF(ISNUMBER(MATCH(DATEVALUE($A168),'recurring1_based on steps'!AT$1:AT$400,0)),AT$2,)</f>
        <v>0</v>
      </c>
      <c r="AU168" s="140">
        <f ca="1">IF(ISNUMBER(MATCH(DATEVALUE($A168),'recurring1_based on steps'!AU$1:AU$400,0)),AU$2,)</f>
        <v>0</v>
      </c>
      <c r="AV168" s="140">
        <f ca="1">IF(ISNUMBER(MATCH(DATEVALUE($A168),'recurring1_based on steps'!AV$1:AV$400,0)),AV$2,)</f>
        <v>0</v>
      </c>
      <c r="AW168" s="140">
        <f ca="1">IF(ISNUMBER(MATCH(DATEVALUE($A168),'recurring1_based on steps'!AW$1:AW$400,0)),AW$2,)</f>
        <v>0</v>
      </c>
      <c r="AX168" s="140">
        <f ca="1">IF(ISNUMBER(MATCH(DATEVALUE($A168),'recurring1_based on steps'!AX$1:AX$400,0)),AX$2,)</f>
        <v>0</v>
      </c>
      <c r="AY168" s="140">
        <f ca="1">IF(ISNUMBER(MATCH(DATEVALUE($A168),'recurring1_based on steps'!AY$1:AY$400,0)),AY$2,)</f>
        <v>0</v>
      </c>
    </row>
    <row r="169" spans="1:51" x14ac:dyDescent="0.2">
      <c r="A169" s="29" t="str">
        <f t="shared" ca="1" si="2"/>
        <v>2025-09-09</v>
      </c>
      <c r="B169" s="140">
        <f ca="1">IF(ISNUMBER(MATCH(DATEVALUE($A169),'recurring1_based on steps'!B$1:B$400,0)),B$2,)</f>
        <v>0</v>
      </c>
      <c r="C169" s="140">
        <f ca="1">IF(ISNUMBER(MATCH(DATEVALUE($A169),'recurring1_based on steps'!C$1:C$400,0)),C$2,)</f>
        <v>0</v>
      </c>
      <c r="D169" s="140">
        <f ca="1">IF(ISNUMBER(MATCH(DATEVALUE($A169),'recurring1_based on steps'!D$1:D$400,0)),D$2,)</f>
        <v>0</v>
      </c>
      <c r="E169" s="140">
        <f ca="1">IF(ISNUMBER(MATCH(DATEVALUE($A169),'recurring1_based on steps'!E$1:E$400,0)),E$2,)</f>
        <v>0</v>
      </c>
      <c r="F169" s="140">
        <f ca="1">IF(ISNUMBER(MATCH(DATEVALUE($A169),'recurring1_based on steps'!F$1:F$400,0)),F$2,)</f>
        <v>0</v>
      </c>
      <c r="G169" s="140">
        <f ca="1">IF(ISNUMBER(MATCH(DATEVALUE($A169),'recurring1_based on steps'!G$1:G$400,0)),G$2,)</f>
        <v>0</v>
      </c>
      <c r="H169" s="140">
        <f ca="1">IF(ISNUMBER(MATCH(DATEVALUE($A169),'recurring1_based on steps'!H$1:H$400,0)),H$2,)</f>
        <v>0</v>
      </c>
      <c r="I169" s="140">
        <f ca="1">IF(ISNUMBER(MATCH(DATEVALUE($A169),'recurring1_based on steps'!I$1:I$400,0)),I$2,)</f>
        <v>0</v>
      </c>
      <c r="J169" s="140">
        <f ca="1">IF(ISNUMBER(MATCH(DATEVALUE($A169),'recurring1_based on steps'!J$1:J$400,0)),J$2,)</f>
        <v>0</v>
      </c>
      <c r="K169" s="140">
        <f ca="1">IF(ISNUMBER(MATCH(DATEVALUE($A169),'recurring1_based on steps'!K$1:K$400,0)),K$2,)</f>
        <v>0</v>
      </c>
      <c r="L169" s="140">
        <f ca="1">IF(ISNUMBER(MATCH(DATEVALUE($A169),'recurring1_based on steps'!L$1:L$400,0)),L$2,)</f>
        <v>0</v>
      </c>
      <c r="M169" s="140">
        <f ca="1">IF(ISNUMBER(MATCH(DATEVALUE($A169),'recurring1_based on steps'!M$1:M$400,0)),M$2,)</f>
        <v>0</v>
      </c>
      <c r="N169" s="140">
        <f ca="1">IF(ISNUMBER(MATCH(DATEVALUE($A169),'recurring1_based on steps'!N$1:N$400,0)),N$2,)</f>
        <v>0</v>
      </c>
      <c r="O169" s="140">
        <f ca="1">IF(ISNUMBER(MATCH(DATEVALUE($A169),'recurring1_based on steps'!O$1:O$400,0)),O$2,)</f>
        <v>0</v>
      </c>
      <c r="P169" s="140">
        <f ca="1">IF(ISNUMBER(MATCH(DATEVALUE($A169),'recurring1_based on steps'!P$1:P$400,0)),P$2,)</f>
        <v>0</v>
      </c>
      <c r="Q169" s="140">
        <f ca="1">IF(ISNUMBER(MATCH(DATEVALUE($A169),'recurring1_based on steps'!Q$1:Q$400,0)),Q$2,)</f>
        <v>0</v>
      </c>
      <c r="R169" s="140">
        <f ca="1">IF(ISNUMBER(MATCH(DATEVALUE($A169),'recurring1_based on steps'!R$1:R$400,0)),R$2,)</f>
        <v>0</v>
      </c>
      <c r="S169" s="140">
        <f ca="1">IF(ISNUMBER(MATCH(DATEVALUE($A169),'recurring1_based on steps'!S$1:S$400,0)),S$2,)</f>
        <v>0</v>
      </c>
      <c r="T169" s="140">
        <f ca="1">IF(ISNUMBER(MATCH(DATEVALUE($A169),'recurring1_based on steps'!T$1:T$400,0)),T$2,)</f>
        <v>0</v>
      </c>
      <c r="U169" s="140">
        <f ca="1">IF(ISNUMBER(MATCH(DATEVALUE($A169),'recurring1_based on steps'!U$1:U$400,0)),U$2,)</f>
        <v>0</v>
      </c>
      <c r="V169" s="140">
        <f ca="1">IF(ISNUMBER(MATCH(DATEVALUE($A169),'recurring1_based on steps'!V$1:V$400,0)),V$2,)</f>
        <v>0</v>
      </c>
      <c r="W169" s="140">
        <f ca="1">IF(ISNUMBER(MATCH(DATEVALUE($A169),'recurring1_based on steps'!W$1:W$400,0)),W$2,)</f>
        <v>0</v>
      </c>
      <c r="X169" s="140">
        <f ca="1">IF(ISNUMBER(MATCH(DATEVALUE($A169),'recurring1_based on steps'!X$1:X$400,0)),X$2,)</f>
        <v>0</v>
      </c>
      <c r="Y169" s="140">
        <f ca="1">IF(ISNUMBER(MATCH(DATEVALUE($A169),'recurring1_based on steps'!Y$1:Y$400,0)),Y$2,)</f>
        <v>0</v>
      </c>
      <c r="Z169" s="140">
        <f ca="1">IF(ISNUMBER(MATCH(DATEVALUE($A169),'recurring1_based on steps'!Z$1:Z$400,0)),Z$2,)</f>
        <v>0</v>
      </c>
      <c r="AA169" s="140">
        <f ca="1">IF(ISNUMBER(MATCH(DATEVALUE($A169),'recurring1_based on steps'!AA$1:AA$400,0)),AA$2,)</f>
        <v>0</v>
      </c>
      <c r="AB169" s="140">
        <f ca="1">IF(ISNUMBER(MATCH(DATEVALUE($A169),'recurring1_based on steps'!AB$1:AB$400,0)),AB$2,)</f>
        <v>5.5401662049861494E-2</v>
      </c>
      <c r="AC169" s="140">
        <f ca="1">IF(ISNUMBER(MATCH(DATEVALUE($A169),'recurring1_based on steps'!AC$1:AC$400,0)),AC$2,)</f>
        <v>0</v>
      </c>
      <c r="AD169" s="140">
        <f ca="1">IF(ISNUMBER(MATCH(DATEVALUE($A169),'recurring1_based on steps'!AD$1:AD$400,0)),AD$2,)</f>
        <v>0</v>
      </c>
      <c r="AE169" s="140">
        <f ca="1">IF(ISNUMBER(MATCH(DATEVALUE($A169),'recurring1_based on steps'!AE$1:AE$400,0)),AE$2,)</f>
        <v>0</v>
      </c>
      <c r="AF169" s="140">
        <f ca="1">IF(ISNUMBER(MATCH(DATEVALUE($A169),'recurring1_based on steps'!AF$1:AF$400,0)),AF$2,)</f>
        <v>0</v>
      </c>
      <c r="AG169" s="140">
        <f ca="1">IF(ISNUMBER(MATCH(DATEVALUE($A169),'recurring1_based on steps'!AG$1:AG$400,0)),AG$2,)</f>
        <v>0</v>
      </c>
      <c r="AH169" s="140">
        <f ca="1">IF(ISNUMBER(MATCH(DATEVALUE($A169),'recurring1_based on steps'!AH$1:AH$400,0)),AH$2,)</f>
        <v>0</v>
      </c>
      <c r="AI169" s="140">
        <f ca="1">IF(ISNUMBER(MATCH(DATEVALUE($A169),'recurring1_based on steps'!AI$1:AI$400,0)),AI$2,)</f>
        <v>0</v>
      </c>
      <c r="AJ169" s="140">
        <f ca="1">IF(ISNUMBER(MATCH(DATEVALUE($A169),'recurring1_based on steps'!AJ$1:AJ$400,0)),AJ$2,)</f>
        <v>0</v>
      </c>
      <c r="AK169" s="140">
        <f ca="1">IF(ISNUMBER(MATCH(DATEVALUE($A169),'recurring1_based on steps'!AK$1:AK$400,0)),AK$2,)</f>
        <v>0</v>
      </c>
      <c r="AL169" s="140">
        <f ca="1">IF(ISNUMBER(MATCH(DATEVALUE($A169),'recurring1_based on steps'!AL$1:AL$400,0)),AL$2,)</f>
        <v>0</v>
      </c>
      <c r="AM169" s="140">
        <f ca="1">IF(ISNUMBER(MATCH(DATEVALUE($A169),'recurring1_based on steps'!AM$1:AM$400,0)),AM$2,)</f>
        <v>0</v>
      </c>
      <c r="AN169" s="140">
        <f ca="1">IF(ISNUMBER(MATCH(DATEVALUE($A169),'recurring1_based on steps'!AN$1:AN$400,0)),AN$2,)</f>
        <v>0</v>
      </c>
      <c r="AO169" s="140">
        <f ca="1">IF(ISNUMBER(MATCH(DATEVALUE($A169),'recurring1_based on steps'!AO$1:AO$400,0)),AO$2,)</f>
        <v>0</v>
      </c>
      <c r="AP169" s="140">
        <f ca="1">IF(ISNUMBER(MATCH(DATEVALUE($A169),'recurring1_based on steps'!AP$1:AP$400,0)),AP$2,)</f>
        <v>0</v>
      </c>
      <c r="AQ169" s="140">
        <f ca="1">IF(ISNUMBER(MATCH(DATEVALUE($A169),'recurring1_based on steps'!AQ$1:AQ$400,0)),AQ$2,)</f>
        <v>0</v>
      </c>
      <c r="AR169" s="140">
        <f ca="1">IF(ISNUMBER(MATCH(DATEVALUE($A169),'recurring1_based on steps'!AR$1:AR$400,0)),AR$2,)</f>
        <v>0</v>
      </c>
      <c r="AS169" s="140">
        <f ca="1">IF(ISNUMBER(MATCH(DATEVALUE($A169),'recurring1_based on steps'!AS$1:AS$400,0)),AS$2,)</f>
        <v>0</v>
      </c>
      <c r="AT169" s="140">
        <f ca="1">IF(ISNUMBER(MATCH(DATEVALUE($A169),'recurring1_based on steps'!AT$1:AT$400,0)),AT$2,)</f>
        <v>0</v>
      </c>
      <c r="AU169" s="140">
        <f ca="1">IF(ISNUMBER(MATCH(DATEVALUE($A169),'recurring1_based on steps'!AU$1:AU$400,0)),AU$2,)</f>
        <v>0</v>
      </c>
      <c r="AV169" s="140">
        <f ca="1">IF(ISNUMBER(MATCH(DATEVALUE($A169),'recurring1_based on steps'!AV$1:AV$400,0)),AV$2,)</f>
        <v>0</v>
      </c>
      <c r="AW169" s="140">
        <f ca="1">IF(ISNUMBER(MATCH(DATEVALUE($A169),'recurring1_based on steps'!AW$1:AW$400,0)),AW$2,)</f>
        <v>0</v>
      </c>
      <c r="AX169" s="140">
        <f ca="1">IF(ISNUMBER(MATCH(DATEVALUE($A169),'recurring1_based on steps'!AX$1:AX$400,0)),AX$2,)</f>
        <v>0</v>
      </c>
      <c r="AY169" s="140">
        <f ca="1">IF(ISNUMBER(MATCH(DATEVALUE($A169),'recurring1_based on steps'!AY$1:AY$400,0)),AY$2,)</f>
        <v>0</v>
      </c>
    </row>
    <row r="170" spans="1:51" x14ac:dyDescent="0.2">
      <c r="A170" s="29" t="str">
        <f t="shared" ca="1" si="2"/>
        <v>2025-09-10</v>
      </c>
      <c r="B170" s="140">
        <f ca="1">IF(ISNUMBER(MATCH(DATEVALUE($A170),'recurring1_based on steps'!B$1:B$400,0)),B$2,)</f>
        <v>0</v>
      </c>
      <c r="C170" s="140">
        <f ca="1">IF(ISNUMBER(MATCH(DATEVALUE($A170),'recurring1_based on steps'!C$1:C$400,0)),C$2,)</f>
        <v>0</v>
      </c>
      <c r="D170" s="140">
        <f ca="1">IF(ISNUMBER(MATCH(DATEVALUE($A170),'recurring1_based on steps'!D$1:D$400,0)),D$2,)</f>
        <v>0</v>
      </c>
      <c r="E170" s="140">
        <f ca="1">IF(ISNUMBER(MATCH(DATEVALUE($A170),'recurring1_based on steps'!E$1:E$400,0)),E$2,)</f>
        <v>0</v>
      </c>
      <c r="F170" s="140">
        <f ca="1">IF(ISNUMBER(MATCH(DATEVALUE($A170),'recurring1_based on steps'!F$1:F$400,0)),F$2,)</f>
        <v>0</v>
      </c>
      <c r="G170" s="140">
        <f ca="1">IF(ISNUMBER(MATCH(DATEVALUE($A170),'recurring1_based on steps'!G$1:G$400,0)),G$2,)</f>
        <v>0</v>
      </c>
      <c r="H170" s="140">
        <f ca="1">IF(ISNUMBER(MATCH(DATEVALUE($A170),'recurring1_based on steps'!H$1:H$400,0)),H$2,)</f>
        <v>0</v>
      </c>
      <c r="I170" s="140">
        <f ca="1">IF(ISNUMBER(MATCH(DATEVALUE($A170),'recurring1_based on steps'!I$1:I$400,0)),I$2,)</f>
        <v>0</v>
      </c>
      <c r="J170" s="140">
        <f ca="1">IF(ISNUMBER(MATCH(DATEVALUE($A170),'recurring1_based on steps'!J$1:J$400,0)),J$2,)</f>
        <v>0</v>
      </c>
      <c r="K170" s="140">
        <f ca="1">IF(ISNUMBER(MATCH(DATEVALUE($A170),'recurring1_based on steps'!K$1:K$400,0)),K$2,)</f>
        <v>0</v>
      </c>
      <c r="L170" s="140">
        <f ca="1">IF(ISNUMBER(MATCH(DATEVALUE($A170),'recurring1_based on steps'!L$1:L$400,0)),L$2,)</f>
        <v>0</v>
      </c>
      <c r="M170" s="140">
        <f ca="1">IF(ISNUMBER(MATCH(DATEVALUE($A170),'recurring1_based on steps'!M$1:M$400,0)),M$2,)</f>
        <v>0</v>
      </c>
      <c r="N170" s="140">
        <f ca="1">IF(ISNUMBER(MATCH(DATEVALUE($A170),'recurring1_based on steps'!N$1:N$400,0)),N$2,)</f>
        <v>0</v>
      </c>
      <c r="O170" s="140">
        <f ca="1">IF(ISNUMBER(MATCH(DATEVALUE($A170),'recurring1_based on steps'!O$1:O$400,0)),O$2,)</f>
        <v>0</v>
      </c>
      <c r="P170" s="140">
        <f ca="1">IF(ISNUMBER(MATCH(DATEVALUE($A170),'recurring1_based on steps'!P$1:P$400,0)),P$2,)</f>
        <v>0</v>
      </c>
      <c r="Q170" s="140">
        <f ca="1">IF(ISNUMBER(MATCH(DATEVALUE($A170),'recurring1_based on steps'!Q$1:Q$400,0)),Q$2,)</f>
        <v>0</v>
      </c>
      <c r="R170" s="140">
        <f ca="1">IF(ISNUMBER(MATCH(DATEVALUE($A170),'recurring1_based on steps'!R$1:R$400,0)),R$2,)</f>
        <v>0</v>
      </c>
      <c r="S170" s="140">
        <f ca="1">IF(ISNUMBER(MATCH(DATEVALUE($A170),'recurring1_based on steps'!S$1:S$400,0)),S$2,)</f>
        <v>0</v>
      </c>
      <c r="T170" s="140">
        <f ca="1">IF(ISNUMBER(MATCH(DATEVALUE($A170),'recurring1_based on steps'!T$1:T$400,0)),T$2,)</f>
        <v>0</v>
      </c>
      <c r="U170" s="140">
        <f ca="1">IF(ISNUMBER(MATCH(DATEVALUE($A170),'recurring1_based on steps'!U$1:U$400,0)),U$2,)</f>
        <v>0</v>
      </c>
      <c r="V170" s="140">
        <f ca="1">IF(ISNUMBER(MATCH(DATEVALUE($A170),'recurring1_based on steps'!V$1:V$400,0)),V$2,)</f>
        <v>0</v>
      </c>
      <c r="W170" s="140">
        <f ca="1">IF(ISNUMBER(MATCH(DATEVALUE($A170),'recurring1_based on steps'!W$1:W$400,0)),W$2,)</f>
        <v>0</v>
      </c>
      <c r="X170" s="140">
        <f ca="1">IF(ISNUMBER(MATCH(DATEVALUE($A170),'recurring1_based on steps'!X$1:X$400,0)),X$2,)</f>
        <v>0</v>
      </c>
      <c r="Y170" s="140">
        <f ca="1">IF(ISNUMBER(MATCH(DATEVALUE($A170),'recurring1_based on steps'!Y$1:Y$400,0)),Y$2,)</f>
        <v>0</v>
      </c>
      <c r="Z170" s="140">
        <f ca="1">IF(ISNUMBER(MATCH(DATEVALUE($A170),'recurring1_based on steps'!Z$1:Z$400,0)),Z$2,)</f>
        <v>0</v>
      </c>
      <c r="AA170" s="140">
        <f ca="1">IF(ISNUMBER(MATCH(DATEVALUE($A170),'recurring1_based on steps'!AA$1:AA$400,0)),AA$2,)</f>
        <v>0</v>
      </c>
      <c r="AB170" s="140">
        <f ca="1">IF(ISNUMBER(MATCH(DATEVALUE($A170),'recurring1_based on steps'!AB$1:AB$400,0)),AB$2,)</f>
        <v>5.5401662049861494E-2</v>
      </c>
      <c r="AC170" s="140">
        <f ca="1">IF(ISNUMBER(MATCH(DATEVALUE($A170),'recurring1_based on steps'!AC$1:AC$400,0)),AC$2,)</f>
        <v>0</v>
      </c>
      <c r="AD170" s="140">
        <f ca="1">IF(ISNUMBER(MATCH(DATEVALUE($A170),'recurring1_based on steps'!AD$1:AD$400,0)),AD$2,)</f>
        <v>0</v>
      </c>
      <c r="AE170" s="140">
        <f ca="1">IF(ISNUMBER(MATCH(DATEVALUE($A170),'recurring1_based on steps'!AE$1:AE$400,0)),AE$2,)</f>
        <v>0</v>
      </c>
      <c r="AF170" s="140">
        <f ca="1">IF(ISNUMBER(MATCH(DATEVALUE($A170),'recurring1_based on steps'!AF$1:AF$400,0)),AF$2,)</f>
        <v>0</v>
      </c>
      <c r="AG170" s="140">
        <f ca="1">IF(ISNUMBER(MATCH(DATEVALUE($A170),'recurring1_based on steps'!AG$1:AG$400,0)),AG$2,)</f>
        <v>0</v>
      </c>
      <c r="AH170" s="140">
        <f ca="1">IF(ISNUMBER(MATCH(DATEVALUE($A170),'recurring1_based on steps'!AH$1:AH$400,0)),AH$2,)</f>
        <v>0</v>
      </c>
      <c r="AI170" s="140">
        <f ca="1">IF(ISNUMBER(MATCH(DATEVALUE($A170),'recurring1_based on steps'!AI$1:AI$400,0)),AI$2,)</f>
        <v>0</v>
      </c>
      <c r="AJ170" s="140">
        <f ca="1">IF(ISNUMBER(MATCH(DATEVALUE($A170),'recurring1_based on steps'!AJ$1:AJ$400,0)),AJ$2,)</f>
        <v>0</v>
      </c>
      <c r="AK170" s="140">
        <f ca="1">IF(ISNUMBER(MATCH(DATEVALUE($A170),'recurring1_based on steps'!AK$1:AK$400,0)),AK$2,)</f>
        <v>0</v>
      </c>
      <c r="AL170" s="140">
        <f ca="1">IF(ISNUMBER(MATCH(DATEVALUE($A170),'recurring1_based on steps'!AL$1:AL$400,0)),AL$2,)</f>
        <v>0</v>
      </c>
      <c r="AM170" s="140">
        <f ca="1">IF(ISNUMBER(MATCH(DATEVALUE($A170),'recurring1_based on steps'!AM$1:AM$400,0)),AM$2,)</f>
        <v>0</v>
      </c>
      <c r="AN170" s="140">
        <f ca="1">IF(ISNUMBER(MATCH(DATEVALUE($A170),'recurring1_based on steps'!AN$1:AN$400,0)),AN$2,)</f>
        <v>0</v>
      </c>
      <c r="AO170" s="140">
        <f ca="1">IF(ISNUMBER(MATCH(DATEVALUE($A170),'recurring1_based on steps'!AO$1:AO$400,0)),AO$2,)</f>
        <v>0</v>
      </c>
      <c r="AP170" s="140">
        <f ca="1">IF(ISNUMBER(MATCH(DATEVALUE($A170),'recurring1_based on steps'!AP$1:AP$400,0)),AP$2,)</f>
        <v>0</v>
      </c>
      <c r="AQ170" s="140">
        <f ca="1">IF(ISNUMBER(MATCH(DATEVALUE($A170),'recurring1_based on steps'!AQ$1:AQ$400,0)),AQ$2,)</f>
        <v>0</v>
      </c>
      <c r="AR170" s="140">
        <f ca="1">IF(ISNUMBER(MATCH(DATEVALUE($A170),'recurring1_based on steps'!AR$1:AR$400,0)),AR$2,)</f>
        <v>0</v>
      </c>
      <c r="AS170" s="140">
        <f ca="1">IF(ISNUMBER(MATCH(DATEVALUE($A170),'recurring1_based on steps'!AS$1:AS$400,0)),AS$2,)</f>
        <v>0</v>
      </c>
      <c r="AT170" s="140">
        <f ca="1">IF(ISNUMBER(MATCH(DATEVALUE($A170),'recurring1_based on steps'!AT$1:AT$400,0)),AT$2,)</f>
        <v>0</v>
      </c>
      <c r="AU170" s="140">
        <f ca="1">IF(ISNUMBER(MATCH(DATEVALUE($A170),'recurring1_based on steps'!AU$1:AU$400,0)),AU$2,)</f>
        <v>0</v>
      </c>
      <c r="AV170" s="140">
        <f ca="1">IF(ISNUMBER(MATCH(DATEVALUE($A170),'recurring1_based on steps'!AV$1:AV$400,0)),AV$2,)</f>
        <v>0</v>
      </c>
      <c r="AW170" s="140">
        <f ca="1">IF(ISNUMBER(MATCH(DATEVALUE($A170),'recurring1_based on steps'!AW$1:AW$400,0)),AW$2,)</f>
        <v>0</v>
      </c>
      <c r="AX170" s="140">
        <f ca="1">IF(ISNUMBER(MATCH(DATEVALUE($A170),'recurring1_based on steps'!AX$1:AX$400,0)),AX$2,)</f>
        <v>0</v>
      </c>
      <c r="AY170" s="140">
        <f ca="1">IF(ISNUMBER(MATCH(DATEVALUE($A170),'recurring1_based on steps'!AY$1:AY$400,0)),AY$2,)</f>
        <v>0</v>
      </c>
    </row>
    <row r="171" spans="1:51" x14ac:dyDescent="0.2">
      <c r="A171" s="29" t="str">
        <f t="shared" ca="1" si="2"/>
        <v>2025-09-11</v>
      </c>
      <c r="B171" s="140">
        <f ca="1">IF(ISNUMBER(MATCH(DATEVALUE($A171),'recurring1_based on steps'!B$1:B$400,0)),B$2,)</f>
        <v>0</v>
      </c>
      <c r="C171" s="140">
        <f ca="1">IF(ISNUMBER(MATCH(DATEVALUE($A171),'recurring1_based on steps'!C$1:C$400,0)),C$2,)</f>
        <v>0</v>
      </c>
      <c r="D171" s="140">
        <f ca="1">IF(ISNUMBER(MATCH(DATEVALUE($A171),'recurring1_based on steps'!D$1:D$400,0)),D$2,)</f>
        <v>0</v>
      </c>
      <c r="E171" s="140">
        <f ca="1">IF(ISNUMBER(MATCH(DATEVALUE($A171),'recurring1_based on steps'!E$1:E$400,0)),E$2,)</f>
        <v>0</v>
      </c>
      <c r="F171" s="140">
        <f ca="1">IF(ISNUMBER(MATCH(DATEVALUE($A171),'recurring1_based on steps'!F$1:F$400,0)),F$2,)</f>
        <v>0</v>
      </c>
      <c r="G171" s="140">
        <f ca="1">IF(ISNUMBER(MATCH(DATEVALUE($A171),'recurring1_based on steps'!G$1:G$400,0)),G$2,)</f>
        <v>0</v>
      </c>
      <c r="H171" s="140">
        <f ca="1">IF(ISNUMBER(MATCH(DATEVALUE($A171),'recurring1_based on steps'!H$1:H$400,0)),H$2,)</f>
        <v>0</v>
      </c>
      <c r="I171" s="140">
        <f ca="1">IF(ISNUMBER(MATCH(DATEVALUE($A171),'recurring1_based on steps'!I$1:I$400,0)),I$2,)</f>
        <v>0</v>
      </c>
      <c r="J171" s="140">
        <f ca="1">IF(ISNUMBER(MATCH(DATEVALUE($A171),'recurring1_based on steps'!J$1:J$400,0)),J$2,)</f>
        <v>0</v>
      </c>
      <c r="K171" s="140">
        <f ca="1">IF(ISNUMBER(MATCH(DATEVALUE($A171),'recurring1_based on steps'!K$1:K$400,0)),K$2,)</f>
        <v>0</v>
      </c>
      <c r="L171" s="140">
        <f ca="1">IF(ISNUMBER(MATCH(DATEVALUE($A171),'recurring1_based on steps'!L$1:L$400,0)),L$2,)</f>
        <v>0</v>
      </c>
      <c r="M171" s="140">
        <f ca="1">IF(ISNUMBER(MATCH(DATEVALUE($A171),'recurring1_based on steps'!M$1:M$400,0)),M$2,)</f>
        <v>0</v>
      </c>
      <c r="N171" s="140">
        <f ca="1">IF(ISNUMBER(MATCH(DATEVALUE($A171),'recurring1_based on steps'!N$1:N$400,0)),N$2,)</f>
        <v>0</v>
      </c>
      <c r="O171" s="140">
        <f ca="1">IF(ISNUMBER(MATCH(DATEVALUE($A171),'recurring1_based on steps'!O$1:O$400,0)),O$2,)</f>
        <v>0</v>
      </c>
      <c r="P171" s="140">
        <f ca="1">IF(ISNUMBER(MATCH(DATEVALUE($A171),'recurring1_based on steps'!P$1:P$400,0)),P$2,)</f>
        <v>0</v>
      </c>
      <c r="Q171" s="140">
        <f ca="1">IF(ISNUMBER(MATCH(DATEVALUE($A171),'recurring1_based on steps'!Q$1:Q$400,0)),Q$2,)</f>
        <v>0</v>
      </c>
      <c r="R171" s="140">
        <f ca="1">IF(ISNUMBER(MATCH(DATEVALUE($A171),'recurring1_based on steps'!R$1:R$400,0)),R$2,)</f>
        <v>0</v>
      </c>
      <c r="S171" s="140">
        <f ca="1">IF(ISNUMBER(MATCH(DATEVALUE($A171),'recurring1_based on steps'!S$1:S$400,0)),S$2,)</f>
        <v>0</v>
      </c>
      <c r="T171" s="140">
        <f ca="1">IF(ISNUMBER(MATCH(DATEVALUE($A171),'recurring1_based on steps'!T$1:T$400,0)),T$2,)</f>
        <v>0</v>
      </c>
      <c r="U171" s="140">
        <f ca="1">IF(ISNUMBER(MATCH(DATEVALUE($A171),'recurring1_based on steps'!U$1:U$400,0)),U$2,)</f>
        <v>0</v>
      </c>
      <c r="V171" s="140">
        <f ca="1">IF(ISNUMBER(MATCH(DATEVALUE($A171),'recurring1_based on steps'!V$1:V$400,0)),V$2,)</f>
        <v>0</v>
      </c>
      <c r="W171" s="140">
        <f ca="1">IF(ISNUMBER(MATCH(DATEVALUE($A171),'recurring1_based on steps'!W$1:W$400,0)),W$2,)</f>
        <v>0</v>
      </c>
      <c r="X171" s="140">
        <f ca="1">IF(ISNUMBER(MATCH(DATEVALUE($A171),'recurring1_based on steps'!X$1:X$400,0)),X$2,)</f>
        <v>0</v>
      </c>
      <c r="Y171" s="140">
        <f ca="1">IF(ISNUMBER(MATCH(DATEVALUE($A171),'recurring1_based on steps'!Y$1:Y$400,0)),Y$2,)</f>
        <v>0</v>
      </c>
      <c r="Z171" s="140">
        <f ca="1">IF(ISNUMBER(MATCH(DATEVALUE($A171),'recurring1_based on steps'!Z$1:Z$400,0)),Z$2,)</f>
        <v>0</v>
      </c>
      <c r="AA171" s="140">
        <f ca="1">IF(ISNUMBER(MATCH(DATEVALUE($A171),'recurring1_based on steps'!AA$1:AA$400,0)),AA$2,)</f>
        <v>0</v>
      </c>
      <c r="AB171" s="140">
        <f ca="1">IF(ISNUMBER(MATCH(DATEVALUE($A171),'recurring1_based on steps'!AB$1:AB$400,0)),AB$2,)</f>
        <v>5.5401662049861494E-2</v>
      </c>
      <c r="AC171" s="140">
        <f ca="1">IF(ISNUMBER(MATCH(DATEVALUE($A171),'recurring1_based on steps'!AC$1:AC$400,0)),AC$2,)</f>
        <v>0</v>
      </c>
      <c r="AD171" s="140">
        <f ca="1">IF(ISNUMBER(MATCH(DATEVALUE($A171),'recurring1_based on steps'!AD$1:AD$400,0)),AD$2,)</f>
        <v>0</v>
      </c>
      <c r="AE171" s="140">
        <f ca="1">IF(ISNUMBER(MATCH(DATEVALUE($A171),'recurring1_based on steps'!AE$1:AE$400,0)),AE$2,)</f>
        <v>0</v>
      </c>
      <c r="AF171" s="140">
        <f ca="1">IF(ISNUMBER(MATCH(DATEVALUE($A171),'recurring1_based on steps'!AF$1:AF$400,0)),AF$2,)</f>
        <v>0</v>
      </c>
      <c r="AG171" s="140">
        <f ca="1">IF(ISNUMBER(MATCH(DATEVALUE($A171),'recurring1_based on steps'!AG$1:AG$400,0)),AG$2,)</f>
        <v>0</v>
      </c>
      <c r="AH171" s="140">
        <f ca="1">IF(ISNUMBER(MATCH(DATEVALUE($A171),'recurring1_based on steps'!AH$1:AH$400,0)),AH$2,)</f>
        <v>0</v>
      </c>
      <c r="AI171" s="140">
        <f ca="1">IF(ISNUMBER(MATCH(DATEVALUE($A171),'recurring1_based on steps'!AI$1:AI$400,0)),AI$2,)</f>
        <v>0</v>
      </c>
      <c r="AJ171" s="140">
        <f ca="1">IF(ISNUMBER(MATCH(DATEVALUE($A171),'recurring1_based on steps'!AJ$1:AJ$400,0)),AJ$2,)</f>
        <v>0</v>
      </c>
      <c r="AK171" s="140">
        <f ca="1">IF(ISNUMBER(MATCH(DATEVALUE($A171),'recurring1_based on steps'!AK$1:AK$400,0)),AK$2,)</f>
        <v>0</v>
      </c>
      <c r="AL171" s="140">
        <f ca="1">IF(ISNUMBER(MATCH(DATEVALUE($A171),'recurring1_based on steps'!AL$1:AL$400,0)),AL$2,)</f>
        <v>0</v>
      </c>
      <c r="AM171" s="140">
        <f ca="1">IF(ISNUMBER(MATCH(DATEVALUE($A171),'recurring1_based on steps'!AM$1:AM$400,0)),AM$2,)</f>
        <v>0</v>
      </c>
      <c r="AN171" s="140">
        <f ca="1">IF(ISNUMBER(MATCH(DATEVALUE($A171),'recurring1_based on steps'!AN$1:AN$400,0)),AN$2,)</f>
        <v>0</v>
      </c>
      <c r="AO171" s="140">
        <f ca="1">IF(ISNUMBER(MATCH(DATEVALUE($A171),'recurring1_based on steps'!AO$1:AO$400,0)),AO$2,)</f>
        <v>0</v>
      </c>
      <c r="AP171" s="140">
        <f ca="1">IF(ISNUMBER(MATCH(DATEVALUE($A171),'recurring1_based on steps'!AP$1:AP$400,0)),AP$2,)</f>
        <v>0</v>
      </c>
      <c r="AQ171" s="140">
        <f ca="1">IF(ISNUMBER(MATCH(DATEVALUE($A171),'recurring1_based on steps'!AQ$1:AQ$400,0)),AQ$2,)</f>
        <v>0</v>
      </c>
      <c r="AR171" s="140">
        <f ca="1">IF(ISNUMBER(MATCH(DATEVALUE($A171),'recurring1_based on steps'!AR$1:AR$400,0)),AR$2,)</f>
        <v>0</v>
      </c>
      <c r="AS171" s="140">
        <f ca="1">IF(ISNUMBER(MATCH(DATEVALUE($A171),'recurring1_based on steps'!AS$1:AS$400,0)),AS$2,)</f>
        <v>0</v>
      </c>
      <c r="AT171" s="140">
        <f ca="1">IF(ISNUMBER(MATCH(DATEVALUE($A171),'recurring1_based on steps'!AT$1:AT$400,0)),AT$2,)</f>
        <v>0</v>
      </c>
      <c r="AU171" s="140">
        <f ca="1">IF(ISNUMBER(MATCH(DATEVALUE($A171),'recurring1_based on steps'!AU$1:AU$400,0)),AU$2,)</f>
        <v>0</v>
      </c>
      <c r="AV171" s="140">
        <f ca="1">IF(ISNUMBER(MATCH(DATEVALUE($A171),'recurring1_based on steps'!AV$1:AV$400,0)),AV$2,)</f>
        <v>0</v>
      </c>
      <c r="AW171" s="140">
        <f ca="1">IF(ISNUMBER(MATCH(DATEVALUE($A171),'recurring1_based on steps'!AW$1:AW$400,0)),AW$2,)</f>
        <v>0</v>
      </c>
      <c r="AX171" s="140">
        <f ca="1">IF(ISNUMBER(MATCH(DATEVALUE($A171),'recurring1_based on steps'!AX$1:AX$400,0)),AX$2,)</f>
        <v>0</v>
      </c>
      <c r="AY171" s="140">
        <f ca="1">IF(ISNUMBER(MATCH(DATEVALUE($A171),'recurring1_based on steps'!AY$1:AY$400,0)),AY$2,)</f>
        <v>0</v>
      </c>
    </row>
    <row r="172" spans="1:51" x14ac:dyDescent="0.2">
      <c r="A172" s="29" t="str">
        <f t="shared" ca="1" si="2"/>
        <v>2025-09-12</v>
      </c>
      <c r="B172" s="140">
        <f ca="1">IF(ISNUMBER(MATCH(DATEVALUE($A172),'recurring1_based on steps'!B$1:B$400,0)),B$2,)</f>
        <v>0</v>
      </c>
      <c r="C172" s="140">
        <f ca="1">IF(ISNUMBER(MATCH(DATEVALUE($A172),'recurring1_based on steps'!C$1:C$400,0)),C$2,)</f>
        <v>0</v>
      </c>
      <c r="D172" s="140">
        <f ca="1">IF(ISNUMBER(MATCH(DATEVALUE($A172),'recurring1_based on steps'!D$1:D$400,0)),D$2,)</f>
        <v>0</v>
      </c>
      <c r="E172" s="140">
        <f ca="1">IF(ISNUMBER(MATCH(DATEVALUE($A172),'recurring1_based on steps'!E$1:E$400,0)),E$2,)</f>
        <v>0</v>
      </c>
      <c r="F172" s="140">
        <f ca="1">IF(ISNUMBER(MATCH(DATEVALUE($A172),'recurring1_based on steps'!F$1:F$400,0)),F$2,)</f>
        <v>0</v>
      </c>
      <c r="G172" s="140">
        <f ca="1">IF(ISNUMBER(MATCH(DATEVALUE($A172),'recurring1_based on steps'!G$1:G$400,0)),G$2,)</f>
        <v>0</v>
      </c>
      <c r="H172" s="140">
        <f ca="1">IF(ISNUMBER(MATCH(DATEVALUE($A172),'recurring1_based on steps'!H$1:H$400,0)),H$2,)</f>
        <v>0</v>
      </c>
      <c r="I172" s="140">
        <f ca="1">IF(ISNUMBER(MATCH(DATEVALUE($A172),'recurring1_based on steps'!I$1:I$400,0)),I$2,)</f>
        <v>0</v>
      </c>
      <c r="J172" s="140">
        <f ca="1">IF(ISNUMBER(MATCH(DATEVALUE($A172),'recurring1_based on steps'!J$1:J$400,0)),J$2,)</f>
        <v>0</v>
      </c>
      <c r="K172" s="140">
        <f ca="1">IF(ISNUMBER(MATCH(DATEVALUE($A172),'recurring1_based on steps'!K$1:K$400,0)),K$2,)</f>
        <v>0</v>
      </c>
      <c r="L172" s="140">
        <f ca="1">IF(ISNUMBER(MATCH(DATEVALUE($A172),'recurring1_based on steps'!L$1:L$400,0)),L$2,)</f>
        <v>0</v>
      </c>
      <c r="M172" s="140">
        <f ca="1">IF(ISNUMBER(MATCH(DATEVALUE($A172),'recurring1_based on steps'!M$1:M$400,0)),M$2,)</f>
        <v>0</v>
      </c>
      <c r="N172" s="140">
        <f ca="1">IF(ISNUMBER(MATCH(DATEVALUE($A172),'recurring1_based on steps'!N$1:N$400,0)),N$2,)</f>
        <v>0</v>
      </c>
      <c r="O172" s="140">
        <f ca="1">IF(ISNUMBER(MATCH(DATEVALUE($A172),'recurring1_based on steps'!O$1:O$400,0)),O$2,)</f>
        <v>0</v>
      </c>
      <c r="P172" s="140">
        <f ca="1">IF(ISNUMBER(MATCH(DATEVALUE($A172),'recurring1_based on steps'!P$1:P$400,0)),P$2,)</f>
        <v>0</v>
      </c>
      <c r="Q172" s="140">
        <f ca="1">IF(ISNUMBER(MATCH(DATEVALUE($A172),'recurring1_based on steps'!Q$1:Q$400,0)),Q$2,)</f>
        <v>0</v>
      </c>
      <c r="R172" s="140">
        <f ca="1">IF(ISNUMBER(MATCH(DATEVALUE($A172),'recurring1_based on steps'!R$1:R$400,0)),R$2,)</f>
        <v>0</v>
      </c>
      <c r="S172" s="140">
        <f ca="1">IF(ISNUMBER(MATCH(DATEVALUE($A172),'recurring1_based on steps'!S$1:S$400,0)),S$2,)</f>
        <v>0</v>
      </c>
      <c r="T172" s="140">
        <f ca="1">IF(ISNUMBER(MATCH(DATEVALUE($A172),'recurring1_based on steps'!T$1:T$400,0)),T$2,)</f>
        <v>0</v>
      </c>
      <c r="U172" s="140">
        <f ca="1">IF(ISNUMBER(MATCH(DATEVALUE($A172),'recurring1_based on steps'!U$1:U$400,0)),U$2,)</f>
        <v>0</v>
      </c>
      <c r="V172" s="140">
        <f ca="1">IF(ISNUMBER(MATCH(DATEVALUE($A172),'recurring1_based on steps'!V$1:V$400,0)),V$2,)</f>
        <v>0</v>
      </c>
      <c r="W172" s="140">
        <f ca="1">IF(ISNUMBER(MATCH(DATEVALUE($A172),'recurring1_based on steps'!W$1:W$400,0)),W$2,)</f>
        <v>0</v>
      </c>
      <c r="X172" s="140">
        <f ca="1">IF(ISNUMBER(MATCH(DATEVALUE($A172),'recurring1_based on steps'!X$1:X$400,0)),X$2,)</f>
        <v>0</v>
      </c>
      <c r="Y172" s="140">
        <f ca="1">IF(ISNUMBER(MATCH(DATEVALUE($A172),'recurring1_based on steps'!Y$1:Y$400,0)),Y$2,)</f>
        <v>0</v>
      </c>
      <c r="Z172" s="140">
        <f ca="1">IF(ISNUMBER(MATCH(DATEVALUE($A172),'recurring1_based on steps'!Z$1:Z$400,0)),Z$2,)</f>
        <v>0</v>
      </c>
      <c r="AA172" s="140">
        <f ca="1">IF(ISNUMBER(MATCH(DATEVALUE($A172),'recurring1_based on steps'!AA$1:AA$400,0)),AA$2,)</f>
        <v>0</v>
      </c>
      <c r="AB172" s="140">
        <f ca="1">IF(ISNUMBER(MATCH(DATEVALUE($A172),'recurring1_based on steps'!AB$1:AB$400,0)),AB$2,)</f>
        <v>5.5401662049861494E-2</v>
      </c>
      <c r="AC172" s="140">
        <f ca="1">IF(ISNUMBER(MATCH(DATEVALUE($A172),'recurring1_based on steps'!AC$1:AC$400,0)),AC$2,)</f>
        <v>0</v>
      </c>
      <c r="AD172" s="140">
        <f ca="1">IF(ISNUMBER(MATCH(DATEVALUE($A172),'recurring1_based on steps'!AD$1:AD$400,0)),AD$2,)</f>
        <v>0</v>
      </c>
      <c r="AE172" s="140">
        <f ca="1">IF(ISNUMBER(MATCH(DATEVALUE($A172),'recurring1_based on steps'!AE$1:AE$400,0)),AE$2,)</f>
        <v>0</v>
      </c>
      <c r="AF172" s="140">
        <f ca="1">IF(ISNUMBER(MATCH(DATEVALUE($A172),'recurring1_based on steps'!AF$1:AF$400,0)),AF$2,)</f>
        <v>0</v>
      </c>
      <c r="AG172" s="140">
        <f ca="1">IF(ISNUMBER(MATCH(DATEVALUE($A172),'recurring1_based on steps'!AG$1:AG$400,0)),AG$2,)</f>
        <v>0</v>
      </c>
      <c r="AH172" s="140">
        <f ca="1">IF(ISNUMBER(MATCH(DATEVALUE($A172),'recurring1_based on steps'!AH$1:AH$400,0)),AH$2,)</f>
        <v>0</v>
      </c>
      <c r="AI172" s="140">
        <f ca="1">IF(ISNUMBER(MATCH(DATEVALUE($A172),'recurring1_based on steps'!AI$1:AI$400,0)),AI$2,)</f>
        <v>0</v>
      </c>
      <c r="AJ172" s="140">
        <f ca="1">IF(ISNUMBER(MATCH(DATEVALUE($A172),'recurring1_based on steps'!AJ$1:AJ$400,0)),AJ$2,)</f>
        <v>0</v>
      </c>
      <c r="AK172" s="140">
        <f ca="1">IF(ISNUMBER(MATCH(DATEVALUE($A172),'recurring1_based on steps'!AK$1:AK$400,0)),AK$2,)</f>
        <v>0</v>
      </c>
      <c r="AL172" s="140">
        <f ca="1">IF(ISNUMBER(MATCH(DATEVALUE($A172),'recurring1_based on steps'!AL$1:AL$400,0)),AL$2,)</f>
        <v>0</v>
      </c>
      <c r="AM172" s="140">
        <f ca="1">IF(ISNUMBER(MATCH(DATEVALUE($A172),'recurring1_based on steps'!AM$1:AM$400,0)),AM$2,)</f>
        <v>0</v>
      </c>
      <c r="AN172" s="140">
        <f ca="1">IF(ISNUMBER(MATCH(DATEVALUE($A172),'recurring1_based on steps'!AN$1:AN$400,0)),AN$2,)</f>
        <v>0</v>
      </c>
      <c r="AO172" s="140">
        <f ca="1">IF(ISNUMBER(MATCH(DATEVALUE($A172),'recurring1_based on steps'!AO$1:AO$400,0)),AO$2,)</f>
        <v>0</v>
      </c>
      <c r="AP172" s="140">
        <f ca="1">IF(ISNUMBER(MATCH(DATEVALUE($A172),'recurring1_based on steps'!AP$1:AP$400,0)),AP$2,)</f>
        <v>0</v>
      </c>
      <c r="AQ172" s="140">
        <f ca="1">IF(ISNUMBER(MATCH(DATEVALUE($A172),'recurring1_based on steps'!AQ$1:AQ$400,0)),AQ$2,)</f>
        <v>0</v>
      </c>
      <c r="AR172" s="140">
        <f ca="1">IF(ISNUMBER(MATCH(DATEVALUE($A172),'recurring1_based on steps'!AR$1:AR$400,0)),AR$2,)</f>
        <v>0</v>
      </c>
      <c r="AS172" s="140">
        <f ca="1">IF(ISNUMBER(MATCH(DATEVALUE($A172),'recurring1_based on steps'!AS$1:AS$400,0)),AS$2,)</f>
        <v>0</v>
      </c>
      <c r="AT172" s="140">
        <f ca="1">IF(ISNUMBER(MATCH(DATEVALUE($A172),'recurring1_based on steps'!AT$1:AT$400,0)),AT$2,)</f>
        <v>0</v>
      </c>
      <c r="AU172" s="140">
        <f ca="1">IF(ISNUMBER(MATCH(DATEVALUE($A172),'recurring1_based on steps'!AU$1:AU$400,0)),AU$2,)</f>
        <v>0</v>
      </c>
      <c r="AV172" s="140">
        <f ca="1">IF(ISNUMBER(MATCH(DATEVALUE($A172),'recurring1_based on steps'!AV$1:AV$400,0)),AV$2,)</f>
        <v>0</v>
      </c>
      <c r="AW172" s="140">
        <f ca="1">IF(ISNUMBER(MATCH(DATEVALUE($A172),'recurring1_based on steps'!AW$1:AW$400,0)),AW$2,)</f>
        <v>0</v>
      </c>
      <c r="AX172" s="140">
        <f ca="1">IF(ISNUMBER(MATCH(DATEVALUE($A172),'recurring1_based on steps'!AX$1:AX$400,0)),AX$2,)</f>
        <v>0</v>
      </c>
      <c r="AY172" s="140">
        <f ca="1">IF(ISNUMBER(MATCH(DATEVALUE($A172),'recurring1_based on steps'!AY$1:AY$400,0)),AY$2,)</f>
        <v>0</v>
      </c>
    </row>
    <row r="173" spans="1:51" x14ac:dyDescent="0.2">
      <c r="A173" s="29" t="str">
        <f t="shared" ca="1" si="2"/>
        <v>2025-09-13</v>
      </c>
      <c r="B173" s="140">
        <f ca="1">IF(ISNUMBER(MATCH(DATEVALUE($A173),'recurring1_based on steps'!B$1:B$400,0)),B$2,)</f>
        <v>0</v>
      </c>
      <c r="C173" s="140">
        <f ca="1">IF(ISNUMBER(MATCH(DATEVALUE($A173),'recurring1_based on steps'!C$1:C$400,0)),C$2,)</f>
        <v>0</v>
      </c>
      <c r="D173" s="140">
        <f ca="1">IF(ISNUMBER(MATCH(DATEVALUE($A173),'recurring1_based on steps'!D$1:D$400,0)),D$2,)</f>
        <v>0</v>
      </c>
      <c r="E173" s="140">
        <f ca="1">IF(ISNUMBER(MATCH(DATEVALUE($A173),'recurring1_based on steps'!E$1:E$400,0)),E$2,)</f>
        <v>0</v>
      </c>
      <c r="F173" s="140">
        <f ca="1">IF(ISNUMBER(MATCH(DATEVALUE($A173),'recurring1_based on steps'!F$1:F$400,0)),F$2,)</f>
        <v>0</v>
      </c>
      <c r="G173" s="140">
        <f ca="1">IF(ISNUMBER(MATCH(DATEVALUE($A173),'recurring1_based on steps'!G$1:G$400,0)),G$2,)</f>
        <v>0</v>
      </c>
      <c r="H173" s="140">
        <f ca="1">IF(ISNUMBER(MATCH(DATEVALUE($A173),'recurring1_based on steps'!H$1:H$400,0)),H$2,)</f>
        <v>0</v>
      </c>
      <c r="I173" s="140">
        <f ca="1">IF(ISNUMBER(MATCH(DATEVALUE($A173),'recurring1_based on steps'!I$1:I$400,0)),I$2,)</f>
        <v>0</v>
      </c>
      <c r="J173" s="140">
        <f ca="1">IF(ISNUMBER(MATCH(DATEVALUE($A173),'recurring1_based on steps'!J$1:J$400,0)),J$2,)</f>
        <v>0</v>
      </c>
      <c r="K173" s="140">
        <f ca="1">IF(ISNUMBER(MATCH(DATEVALUE($A173),'recurring1_based on steps'!K$1:K$400,0)),K$2,)</f>
        <v>0</v>
      </c>
      <c r="L173" s="140">
        <f ca="1">IF(ISNUMBER(MATCH(DATEVALUE($A173),'recurring1_based on steps'!L$1:L$400,0)),L$2,)</f>
        <v>0</v>
      </c>
      <c r="M173" s="140">
        <f ca="1">IF(ISNUMBER(MATCH(DATEVALUE($A173),'recurring1_based on steps'!M$1:M$400,0)),M$2,)</f>
        <v>0</v>
      </c>
      <c r="N173" s="140">
        <f ca="1">IF(ISNUMBER(MATCH(DATEVALUE($A173),'recurring1_based on steps'!N$1:N$400,0)),N$2,)</f>
        <v>0</v>
      </c>
      <c r="O173" s="140">
        <f ca="1">IF(ISNUMBER(MATCH(DATEVALUE($A173),'recurring1_based on steps'!O$1:O$400,0)),O$2,)</f>
        <v>0</v>
      </c>
      <c r="P173" s="140">
        <f ca="1">IF(ISNUMBER(MATCH(DATEVALUE($A173),'recurring1_based on steps'!P$1:P$400,0)),P$2,)</f>
        <v>0</v>
      </c>
      <c r="Q173" s="140">
        <f ca="1">IF(ISNUMBER(MATCH(DATEVALUE($A173),'recurring1_based on steps'!Q$1:Q$400,0)),Q$2,)</f>
        <v>100</v>
      </c>
      <c r="R173" s="140">
        <f ca="1">IF(ISNUMBER(MATCH(DATEVALUE($A173),'recurring1_based on steps'!R$1:R$400,0)),R$2,)</f>
        <v>100</v>
      </c>
      <c r="S173" s="140">
        <f ca="1">IF(ISNUMBER(MATCH(DATEVALUE($A173),'recurring1_based on steps'!S$1:S$400,0)),S$2,)</f>
        <v>0</v>
      </c>
      <c r="T173" s="140">
        <f ca="1">IF(ISNUMBER(MATCH(DATEVALUE($A173),'recurring1_based on steps'!T$1:T$400,0)),T$2,)</f>
        <v>0</v>
      </c>
      <c r="U173" s="140">
        <f ca="1">IF(ISNUMBER(MATCH(DATEVALUE($A173),'recurring1_based on steps'!U$1:U$400,0)),U$2,)</f>
        <v>0</v>
      </c>
      <c r="V173" s="140">
        <f ca="1">IF(ISNUMBER(MATCH(DATEVALUE($A173),'recurring1_based on steps'!V$1:V$400,0)),V$2,)</f>
        <v>0</v>
      </c>
      <c r="W173" s="140">
        <f ca="1">IF(ISNUMBER(MATCH(DATEVALUE($A173),'recurring1_based on steps'!W$1:W$400,0)),W$2,)</f>
        <v>0</v>
      </c>
      <c r="X173" s="140">
        <f ca="1">IF(ISNUMBER(MATCH(DATEVALUE($A173),'recurring1_based on steps'!X$1:X$400,0)),X$2,)</f>
        <v>0</v>
      </c>
      <c r="Y173" s="140">
        <f ca="1">IF(ISNUMBER(MATCH(DATEVALUE($A173),'recurring1_based on steps'!Y$1:Y$400,0)),Y$2,)</f>
        <v>0</v>
      </c>
      <c r="Z173" s="140">
        <f ca="1">IF(ISNUMBER(MATCH(DATEVALUE($A173),'recurring1_based on steps'!Z$1:Z$400,0)),Z$2,)</f>
        <v>0</v>
      </c>
      <c r="AA173" s="140">
        <f ca="1">IF(ISNUMBER(MATCH(DATEVALUE($A173),'recurring1_based on steps'!AA$1:AA$400,0)),AA$2,)</f>
        <v>0</v>
      </c>
      <c r="AB173" s="140">
        <f ca="1">IF(ISNUMBER(MATCH(DATEVALUE($A173),'recurring1_based on steps'!AB$1:AB$400,0)),AB$2,)</f>
        <v>5.5401662049861494E-2</v>
      </c>
      <c r="AC173" s="140">
        <f ca="1">IF(ISNUMBER(MATCH(DATEVALUE($A173),'recurring1_based on steps'!AC$1:AC$400,0)),AC$2,)</f>
        <v>0</v>
      </c>
      <c r="AD173" s="140">
        <f ca="1">IF(ISNUMBER(MATCH(DATEVALUE($A173),'recurring1_based on steps'!AD$1:AD$400,0)),AD$2,)</f>
        <v>0</v>
      </c>
      <c r="AE173" s="140">
        <f ca="1">IF(ISNUMBER(MATCH(DATEVALUE($A173),'recurring1_based on steps'!AE$1:AE$400,0)),AE$2,)</f>
        <v>0</v>
      </c>
      <c r="AF173" s="140">
        <f ca="1">IF(ISNUMBER(MATCH(DATEVALUE($A173),'recurring1_based on steps'!AF$1:AF$400,0)),AF$2,)</f>
        <v>0</v>
      </c>
      <c r="AG173" s="140">
        <f ca="1">IF(ISNUMBER(MATCH(DATEVALUE($A173),'recurring1_based on steps'!AG$1:AG$400,0)),AG$2,)</f>
        <v>0</v>
      </c>
      <c r="AH173" s="140">
        <f ca="1">IF(ISNUMBER(MATCH(DATEVALUE($A173),'recurring1_based on steps'!AH$1:AH$400,0)),AH$2,)</f>
        <v>0</v>
      </c>
      <c r="AI173" s="140">
        <f ca="1">IF(ISNUMBER(MATCH(DATEVALUE($A173),'recurring1_based on steps'!AI$1:AI$400,0)),AI$2,)</f>
        <v>0</v>
      </c>
      <c r="AJ173" s="140">
        <f ca="1">IF(ISNUMBER(MATCH(DATEVALUE($A173),'recurring1_based on steps'!AJ$1:AJ$400,0)),AJ$2,)</f>
        <v>0</v>
      </c>
      <c r="AK173" s="140">
        <f ca="1">IF(ISNUMBER(MATCH(DATEVALUE($A173),'recurring1_based on steps'!AK$1:AK$400,0)),AK$2,)</f>
        <v>0</v>
      </c>
      <c r="AL173" s="140">
        <f ca="1">IF(ISNUMBER(MATCH(DATEVALUE($A173),'recurring1_based on steps'!AL$1:AL$400,0)),AL$2,)</f>
        <v>0</v>
      </c>
      <c r="AM173" s="140">
        <f ca="1">IF(ISNUMBER(MATCH(DATEVALUE($A173),'recurring1_based on steps'!AM$1:AM$400,0)),AM$2,)</f>
        <v>0</v>
      </c>
      <c r="AN173" s="140">
        <f ca="1">IF(ISNUMBER(MATCH(DATEVALUE($A173),'recurring1_based on steps'!AN$1:AN$400,0)),AN$2,)</f>
        <v>0</v>
      </c>
      <c r="AO173" s="140">
        <f ca="1">IF(ISNUMBER(MATCH(DATEVALUE($A173),'recurring1_based on steps'!AO$1:AO$400,0)),AO$2,)</f>
        <v>0</v>
      </c>
      <c r="AP173" s="140">
        <f ca="1">IF(ISNUMBER(MATCH(DATEVALUE($A173),'recurring1_based on steps'!AP$1:AP$400,0)),AP$2,)</f>
        <v>0</v>
      </c>
      <c r="AQ173" s="140">
        <f ca="1">IF(ISNUMBER(MATCH(DATEVALUE($A173),'recurring1_based on steps'!AQ$1:AQ$400,0)),AQ$2,)</f>
        <v>0</v>
      </c>
      <c r="AR173" s="140">
        <f ca="1">IF(ISNUMBER(MATCH(DATEVALUE($A173),'recurring1_based on steps'!AR$1:AR$400,0)),AR$2,)</f>
        <v>0</v>
      </c>
      <c r="AS173" s="140">
        <f ca="1">IF(ISNUMBER(MATCH(DATEVALUE($A173),'recurring1_based on steps'!AS$1:AS$400,0)),AS$2,)</f>
        <v>0</v>
      </c>
      <c r="AT173" s="140">
        <f ca="1">IF(ISNUMBER(MATCH(DATEVALUE($A173),'recurring1_based on steps'!AT$1:AT$400,0)),AT$2,)</f>
        <v>0</v>
      </c>
      <c r="AU173" s="140">
        <f ca="1">IF(ISNUMBER(MATCH(DATEVALUE($A173),'recurring1_based on steps'!AU$1:AU$400,0)),AU$2,)</f>
        <v>0</v>
      </c>
      <c r="AV173" s="140">
        <f ca="1">IF(ISNUMBER(MATCH(DATEVALUE($A173),'recurring1_based on steps'!AV$1:AV$400,0)),AV$2,)</f>
        <v>0</v>
      </c>
      <c r="AW173" s="140">
        <f ca="1">IF(ISNUMBER(MATCH(DATEVALUE($A173),'recurring1_based on steps'!AW$1:AW$400,0)),AW$2,)</f>
        <v>0</v>
      </c>
      <c r="AX173" s="140">
        <f ca="1">IF(ISNUMBER(MATCH(DATEVALUE($A173),'recurring1_based on steps'!AX$1:AX$400,0)),AX$2,)</f>
        <v>0</v>
      </c>
      <c r="AY173" s="140">
        <f ca="1">IF(ISNUMBER(MATCH(DATEVALUE($A173),'recurring1_based on steps'!AY$1:AY$400,0)),AY$2,)</f>
        <v>0</v>
      </c>
    </row>
    <row r="174" spans="1:51" x14ac:dyDescent="0.2">
      <c r="A174" s="29" t="str">
        <f t="shared" ca="1" si="2"/>
        <v>2025-09-14</v>
      </c>
      <c r="B174" s="140">
        <f ca="1">IF(ISNUMBER(MATCH(DATEVALUE($A174),'recurring1_based on steps'!B$1:B$400,0)),B$2,)</f>
        <v>0</v>
      </c>
      <c r="C174" s="140">
        <f ca="1">IF(ISNUMBER(MATCH(DATEVALUE($A174),'recurring1_based on steps'!C$1:C$400,0)),C$2,)</f>
        <v>0</v>
      </c>
      <c r="D174" s="140">
        <f ca="1">IF(ISNUMBER(MATCH(DATEVALUE($A174),'recurring1_based on steps'!D$1:D$400,0)),D$2,)</f>
        <v>0</v>
      </c>
      <c r="E174" s="140">
        <f ca="1">IF(ISNUMBER(MATCH(DATEVALUE($A174),'recurring1_based on steps'!E$1:E$400,0)),E$2,)</f>
        <v>0</v>
      </c>
      <c r="F174" s="140">
        <f ca="1">IF(ISNUMBER(MATCH(DATEVALUE($A174),'recurring1_based on steps'!F$1:F$400,0)),F$2,)</f>
        <v>0</v>
      </c>
      <c r="G174" s="140">
        <f ca="1">IF(ISNUMBER(MATCH(DATEVALUE($A174),'recurring1_based on steps'!G$1:G$400,0)),G$2,)</f>
        <v>0</v>
      </c>
      <c r="H174" s="140">
        <f ca="1">IF(ISNUMBER(MATCH(DATEVALUE($A174),'recurring1_based on steps'!H$1:H$400,0)),H$2,)</f>
        <v>0</v>
      </c>
      <c r="I174" s="140">
        <f ca="1">IF(ISNUMBER(MATCH(DATEVALUE($A174),'recurring1_based on steps'!I$1:I$400,0)),I$2,)</f>
        <v>0</v>
      </c>
      <c r="J174" s="140">
        <f ca="1">IF(ISNUMBER(MATCH(DATEVALUE($A174),'recurring1_based on steps'!J$1:J$400,0)),J$2,)</f>
        <v>0</v>
      </c>
      <c r="K174" s="140">
        <f ca="1">IF(ISNUMBER(MATCH(DATEVALUE($A174),'recurring1_based on steps'!K$1:K$400,0)),K$2,)</f>
        <v>50</v>
      </c>
      <c r="L174" s="140">
        <f ca="1">IF(ISNUMBER(MATCH(DATEVALUE($A174),'recurring1_based on steps'!L$1:L$400,0)),L$2,)</f>
        <v>0</v>
      </c>
      <c r="M174" s="140">
        <f ca="1">IF(ISNUMBER(MATCH(DATEVALUE($A174),'recurring1_based on steps'!M$1:M$400,0)),M$2,)</f>
        <v>0</v>
      </c>
      <c r="N174" s="140">
        <f ca="1">IF(ISNUMBER(MATCH(DATEVALUE($A174),'recurring1_based on steps'!N$1:N$400,0)),N$2,)</f>
        <v>0</v>
      </c>
      <c r="O174" s="140">
        <f ca="1">IF(ISNUMBER(MATCH(DATEVALUE($A174),'recurring1_based on steps'!O$1:O$400,0)),O$2,)</f>
        <v>0</v>
      </c>
      <c r="P174" s="140">
        <f ca="1">IF(ISNUMBER(MATCH(DATEVALUE($A174),'recurring1_based on steps'!P$1:P$400,0)),P$2,)</f>
        <v>0</v>
      </c>
      <c r="Q174" s="140">
        <f ca="1">IF(ISNUMBER(MATCH(DATEVALUE($A174),'recurring1_based on steps'!Q$1:Q$400,0)),Q$2,)</f>
        <v>0</v>
      </c>
      <c r="R174" s="140">
        <f ca="1">IF(ISNUMBER(MATCH(DATEVALUE($A174),'recurring1_based on steps'!R$1:R$400,0)),R$2,)</f>
        <v>0</v>
      </c>
      <c r="S174" s="140">
        <f ca="1">IF(ISNUMBER(MATCH(DATEVALUE($A174),'recurring1_based on steps'!S$1:S$400,0)),S$2,)</f>
        <v>100</v>
      </c>
      <c r="T174" s="140">
        <f ca="1">IF(ISNUMBER(MATCH(DATEVALUE($A174),'recurring1_based on steps'!T$1:T$400,0)),T$2,)</f>
        <v>0</v>
      </c>
      <c r="U174" s="140">
        <f ca="1">IF(ISNUMBER(MATCH(DATEVALUE($A174),'recurring1_based on steps'!U$1:U$400,0)),U$2,)</f>
        <v>0</v>
      </c>
      <c r="V174" s="140">
        <f ca="1">IF(ISNUMBER(MATCH(DATEVALUE($A174),'recurring1_based on steps'!V$1:V$400,0)),V$2,)</f>
        <v>0</v>
      </c>
      <c r="W174" s="140">
        <f ca="1">IF(ISNUMBER(MATCH(DATEVALUE($A174),'recurring1_based on steps'!W$1:W$400,0)),W$2,)</f>
        <v>0</v>
      </c>
      <c r="X174" s="140">
        <f ca="1">IF(ISNUMBER(MATCH(DATEVALUE($A174),'recurring1_based on steps'!X$1:X$400,0)),X$2,)</f>
        <v>0</v>
      </c>
      <c r="Y174" s="140">
        <f ca="1">IF(ISNUMBER(MATCH(DATEVALUE($A174),'recurring1_based on steps'!Y$1:Y$400,0)),Y$2,)</f>
        <v>0</v>
      </c>
      <c r="Z174" s="140">
        <f ca="1">IF(ISNUMBER(MATCH(DATEVALUE($A174),'recurring1_based on steps'!Z$1:Z$400,0)),Z$2,)</f>
        <v>0</v>
      </c>
      <c r="AA174" s="140">
        <f ca="1">IF(ISNUMBER(MATCH(DATEVALUE($A174),'recurring1_based on steps'!AA$1:AA$400,0)),AA$2,)</f>
        <v>0</v>
      </c>
      <c r="AB174" s="140">
        <f ca="1">IF(ISNUMBER(MATCH(DATEVALUE($A174),'recurring1_based on steps'!AB$1:AB$400,0)),AB$2,)</f>
        <v>5.5401662049861494E-2</v>
      </c>
      <c r="AC174" s="140">
        <f ca="1">IF(ISNUMBER(MATCH(DATEVALUE($A174),'recurring1_based on steps'!AC$1:AC$400,0)),AC$2,)</f>
        <v>0</v>
      </c>
      <c r="AD174" s="140">
        <f ca="1">IF(ISNUMBER(MATCH(DATEVALUE($A174),'recurring1_based on steps'!AD$1:AD$400,0)),AD$2,)</f>
        <v>0</v>
      </c>
      <c r="AE174" s="140">
        <f ca="1">IF(ISNUMBER(MATCH(DATEVALUE($A174),'recurring1_based on steps'!AE$1:AE$400,0)),AE$2,)</f>
        <v>0</v>
      </c>
      <c r="AF174" s="140">
        <f ca="1">IF(ISNUMBER(MATCH(DATEVALUE($A174),'recurring1_based on steps'!AF$1:AF$400,0)),AF$2,)</f>
        <v>0</v>
      </c>
      <c r="AG174" s="140">
        <f ca="1">IF(ISNUMBER(MATCH(DATEVALUE($A174),'recurring1_based on steps'!AG$1:AG$400,0)),AG$2,)</f>
        <v>0</v>
      </c>
      <c r="AH174" s="140">
        <f ca="1">IF(ISNUMBER(MATCH(DATEVALUE($A174),'recurring1_based on steps'!AH$1:AH$400,0)),AH$2,)</f>
        <v>0</v>
      </c>
      <c r="AI174" s="140">
        <f ca="1">IF(ISNUMBER(MATCH(DATEVALUE($A174),'recurring1_based on steps'!AI$1:AI$400,0)),AI$2,)</f>
        <v>0</v>
      </c>
      <c r="AJ174" s="140">
        <f ca="1">IF(ISNUMBER(MATCH(DATEVALUE($A174),'recurring1_based on steps'!AJ$1:AJ$400,0)),AJ$2,)</f>
        <v>0</v>
      </c>
      <c r="AK174" s="140">
        <f ca="1">IF(ISNUMBER(MATCH(DATEVALUE($A174),'recurring1_based on steps'!AK$1:AK$400,0)),AK$2,)</f>
        <v>0</v>
      </c>
      <c r="AL174" s="140">
        <f ca="1">IF(ISNUMBER(MATCH(DATEVALUE($A174),'recurring1_based on steps'!AL$1:AL$400,0)),AL$2,)</f>
        <v>0</v>
      </c>
      <c r="AM174" s="140">
        <f ca="1">IF(ISNUMBER(MATCH(DATEVALUE($A174),'recurring1_based on steps'!AM$1:AM$400,0)),AM$2,)</f>
        <v>0</v>
      </c>
      <c r="AN174" s="140">
        <f ca="1">IF(ISNUMBER(MATCH(DATEVALUE($A174),'recurring1_based on steps'!AN$1:AN$400,0)),AN$2,)</f>
        <v>0</v>
      </c>
      <c r="AO174" s="140">
        <f ca="1">IF(ISNUMBER(MATCH(DATEVALUE($A174),'recurring1_based on steps'!AO$1:AO$400,0)),AO$2,)</f>
        <v>0</v>
      </c>
      <c r="AP174" s="140">
        <f ca="1">IF(ISNUMBER(MATCH(DATEVALUE($A174),'recurring1_based on steps'!AP$1:AP$400,0)),AP$2,)</f>
        <v>0</v>
      </c>
      <c r="AQ174" s="140">
        <f ca="1">IF(ISNUMBER(MATCH(DATEVALUE($A174),'recurring1_based on steps'!AQ$1:AQ$400,0)),AQ$2,)</f>
        <v>0</v>
      </c>
      <c r="AR174" s="140">
        <f ca="1">IF(ISNUMBER(MATCH(DATEVALUE($A174),'recurring1_based on steps'!AR$1:AR$400,0)),AR$2,)</f>
        <v>0</v>
      </c>
      <c r="AS174" s="140">
        <f ca="1">IF(ISNUMBER(MATCH(DATEVALUE($A174),'recurring1_based on steps'!AS$1:AS$400,0)),AS$2,)</f>
        <v>0</v>
      </c>
      <c r="AT174" s="140">
        <f ca="1">IF(ISNUMBER(MATCH(DATEVALUE($A174),'recurring1_based on steps'!AT$1:AT$400,0)),AT$2,)</f>
        <v>0</v>
      </c>
      <c r="AU174" s="140">
        <f ca="1">IF(ISNUMBER(MATCH(DATEVALUE($A174),'recurring1_based on steps'!AU$1:AU$400,0)),AU$2,)</f>
        <v>0</v>
      </c>
      <c r="AV174" s="140">
        <f ca="1">IF(ISNUMBER(MATCH(DATEVALUE($A174),'recurring1_based on steps'!AV$1:AV$400,0)),AV$2,)</f>
        <v>0</v>
      </c>
      <c r="AW174" s="140">
        <f ca="1">IF(ISNUMBER(MATCH(DATEVALUE($A174),'recurring1_based on steps'!AW$1:AW$400,0)),AW$2,)</f>
        <v>0</v>
      </c>
      <c r="AX174" s="140">
        <f ca="1">IF(ISNUMBER(MATCH(DATEVALUE($A174),'recurring1_based on steps'!AX$1:AX$400,0)),AX$2,)</f>
        <v>0</v>
      </c>
      <c r="AY174" s="140">
        <f ca="1">IF(ISNUMBER(MATCH(DATEVALUE($A174),'recurring1_based on steps'!AY$1:AY$400,0)),AY$2,)</f>
        <v>0</v>
      </c>
    </row>
    <row r="175" spans="1:51" x14ac:dyDescent="0.2">
      <c r="A175" s="29" t="str">
        <f t="shared" ca="1" si="2"/>
        <v>2025-09-15</v>
      </c>
      <c r="B175" s="140">
        <f ca="1">IF(ISNUMBER(MATCH(DATEVALUE($A175),'recurring1_based on steps'!B$1:B$400,0)),B$2,)</f>
        <v>0</v>
      </c>
      <c r="C175" s="140">
        <f ca="1">IF(ISNUMBER(MATCH(DATEVALUE($A175),'recurring1_based on steps'!C$1:C$400,0)),C$2,)</f>
        <v>0</v>
      </c>
      <c r="D175" s="140">
        <f ca="1">IF(ISNUMBER(MATCH(DATEVALUE($A175),'recurring1_based on steps'!D$1:D$400,0)),D$2,)</f>
        <v>0</v>
      </c>
      <c r="E175" s="140">
        <f ca="1">IF(ISNUMBER(MATCH(DATEVALUE($A175),'recurring1_based on steps'!E$1:E$400,0)),E$2,)</f>
        <v>0</v>
      </c>
      <c r="F175" s="140">
        <f ca="1">IF(ISNUMBER(MATCH(DATEVALUE($A175),'recurring1_based on steps'!F$1:F$400,0)),F$2,)</f>
        <v>0</v>
      </c>
      <c r="G175" s="140">
        <f ca="1">IF(ISNUMBER(MATCH(DATEVALUE($A175),'recurring1_based on steps'!G$1:G$400,0)),G$2,)</f>
        <v>0</v>
      </c>
      <c r="H175" s="140">
        <f ca="1">IF(ISNUMBER(MATCH(DATEVALUE($A175),'recurring1_based on steps'!H$1:H$400,0)),H$2,)</f>
        <v>0</v>
      </c>
      <c r="I175" s="140">
        <f ca="1">IF(ISNUMBER(MATCH(DATEVALUE($A175),'recurring1_based on steps'!I$1:I$400,0)),I$2,)</f>
        <v>0</v>
      </c>
      <c r="J175" s="140">
        <f ca="1">IF(ISNUMBER(MATCH(DATEVALUE($A175),'recurring1_based on steps'!J$1:J$400,0)),J$2,)</f>
        <v>0</v>
      </c>
      <c r="K175" s="140">
        <f ca="1">IF(ISNUMBER(MATCH(DATEVALUE($A175),'recurring1_based on steps'!K$1:K$400,0)),K$2,)</f>
        <v>0</v>
      </c>
      <c r="L175" s="140">
        <f ca="1">IF(ISNUMBER(MATCH(DATEVALUE($A175),'recurring1_based on steps'!L$1:L$400,0)),L$2,)</f>
        <v>0</v>
      </c>
      <c r="M175" s="140">
        <f ca="1">IF(ISNUMBER(MATCH(DATEVALUE($A175),'recurring1_based on steps'!M$1:M$400,0)),M$2,)</f>
        <v>0</v>
      </c>
      <c r="N175" s="140">
        <f ca="1">IF(ISNUMBER(MATCH(DATEVALUE($A175),'recurring1_based on steps'!N$1:N$400,0)),N$2,)</f>
        <v>0</v>
      </c>
      <c r="O175" s="140">
        <f ca="1">IF(ISNUMBER(MATCH(DATEVALUE($A175),'recurring1_based on steps'!O$1:O$400,0)),O$2,)</f>
        <v>0</v>
      </c>
      <c r="P175" s="140">
        <f ca="1">IF(ISNUMBER(MATCH(DATEVALUE($A175),'recurring1_based on steps'!P$1:P$400,0)),P$2,)</f>
        <v>0</v>
      </c>
      <c r="Q175" s="140">
        <f ca="1">IF(ISNUMBER(MATCH(DATEVALUE($A175),'recurring1_based on steps'!Q$1:Q$400,0)),Q$2,)</f>
        <v>0</v>
      </c>
      <c r="R175" s="140">
        <f ca="1">IF(ISNUMBER(MATCH(DATEVALUE($A175),'recurring1_based on steps'!R$1:R$400,0)),R$2,)</f>
        <v>0</v>
      </c>
      <c r="S175" s="140">
        <f ca="1">IF(ISNUMBER(MATCH(DATEVALUE($A175),'recurring1_based on steps'!S$1:S$400,0)),S$2,)</f>
        <v>0</v>
      </c>
      <c r="T175" s="140">
        <f ca="1">IF(ISNUMBER(MATCH(DATEVALUE($A175),'recurring1_based on steps'!T$1:T$400,0)),T$2,)</f>
        <v>0</v>
      </c>
      <c r="U175" s="140">
        <f ca="1">IF(ISNUMBER(MATCH(DATEVALUE($A175),'recurring1_based on steps'!U$1:U$400,0)),U$2,)</f>
        <v>0</v>
      </c>
      <c r="V175" s="140">
        <f ca="1">IF(ISNUMBER(MATCH(DATEVALUE($A175),'recurring1_based on steps'!V$1:V$400,0)),V$2,)</f>
        <v>0</v>
      </c>
      <c r="W175" s="140">
        <f ca="1">IF(ISNUMBER(MATCH(DATEVALUE($A175),'recurring1_based on steps'!W$1:W$400,0)),W$2,)</f>
        <v>0</v>
      </c>
      <c r="X175" s="140">
        <f ca="1">IF(ISNUMBER(MATCH(DATEVALUE($A175),'recurring1_based on steps'!X$1:X$400,0)),X$2,)</f>
        <v>0</v>
      </c>
      <c r="Y175" s="140">
        <f ca="1">IF(ISNUMBER(MATCH(DATEVALUE($A175),'recurring1_based on steps'!Y$1:Y$400,0)),Y$2,)</f>
        <v>0</v>
      </c>
      <c r="Z175" s="140">
        <f ca="1">IF(ISNUMBER(MATCH(DATEVALUE($A175),'recurring1_based on steps'!Z$1:Z$400,0)),Z$2,)</f>
        <v>0</v>
      </c>
      <c r="AA175" s="140">
        <f ca="1">IF(ISNUMBER(MATCH(DATEVALUE($A175),'recurring1_based on steps'!AA$1:AA$400,0)),AA$2,)</f>
        <v>0</v>
      </c>
      <c r="AB175" s="140">
        <f ca="1">IF(ISNUMBER(MATCH(DATEVALUE($A175),'recurring1_based on steps'!AB$1:AB$400,0)),AB$2,)</f>
        <v>5.5401662049861494E-2</v>
      </c>
      <c r="AC175" s="140">
        <f ca="1">IF(ISNUMBER(MATCH(DATEVALUE($A175),'recurring1_based on steps'!AC$1:AC$400,0)),AC$2,)</f>
        <v>0</v>
      </c>
      <c r="AD175" s="140">
        <f ca="1">IF(ISNUMBER(MATCH(DATEVALUE($A175),'recurring1_based on steps'!AD$1:AD$400,0)),AD$2,)</f>
        <v>0</v>
      </c>
      <c r="AE175" s="140">
        <f ca="1">IF(ISNUMBER(MATCH(DATEVALUE($A175),'recurring1_based on steps'!AE$1:AE$400,0)),AE$2,)</f>
        <v>0</v>
      </c>
      <c r="AF175" s="140">
        <f ca="1">IF(ISNUMBER(MATCH(DATEVALUE($A175),'recurring1_based on steps'!AF$1:AF$400,0)),AF$2,)</f>
        <v>0</v>
      </c>
      <c r="AG175" s="140">
        <f ca="1">IF(ISNUMBER(MATCH(DATEVALUE($A175),'recurring1_based on steps'!AG$1:AG$400,0)),AG$2,)</f>
        <v>0</v>
      </c>
      <c r="AH175" s="140">
        <f ca="1">IF(ISNUMBER(MATCH(DATEVALUE($A175),'recurring1_based on steps'!AH$1:AH$400,0)),AH$2,)</f>
        <v>0</v>
      </c>
      <c r="AI175" s="140">
        <f ca="1">IF(ISNUMBER(MATCH(DATEVALUE($A175),'recurring1_based on steps'!AI$1:AI$400,0)),AI$2,)</f>
        <v>0</v>
      </c>
      <c r="AJ175" s="140">
        <f ca="1">IF(ISNUMBER(MATCH(DATEVALUE($A175),'recurring1_based on steps'!AJ$1:AJ$400,0)),AJ$2,)</f>
        <v>0</v>
      </c>
      <c r="AK175" s="140">
        <f ca="1">IF(ISNUMBER(MATCH(DATEVALUE($A175),'recurring1_based on steps'!AK$1:AK$400,0)),AK$2,)</f>
        <v>0</v>
      </c>
      <c r="AL175" s="140">
        <f ca="1">IF(ISNUMBER(MATCH(DATEVALUE($A175),'recurring1_based on steps'!AL$1:AL$400,0)),AL$2,)</f>
        <v>0</v>
      </c>
      <c r="AM175" s="140">
        <f ca="1">IF(ISNUMBER(MATCH(DATEVALUE($A175),'recurring1_based on steps'!AM$1:AM$400,0)),AM$2,)</f>
        <v>0</v>
      </c>
      <c r="AN175" s="140">
        <f ca="1">IF(ISNUMBER(MATCH(DATEVALUE($A175),'recurring1_based on steps'!AN$1:AN$400,0)),AN$2,)</f>
        <v>0</v>
      </c>
      <c r="AO175" s="140">
        <f ca="1">IF(ISNUMBER(MATCH(DATEVALUE($A175),'recurring1_based on steps'!AO$1:AO$400,0)),AO$2,)</f>
        <v>0</v>
      </c>
      <c r="AP175" s="140">
        <f ca="1">IF(ISNUMBER(MATCH(DATEVALUE($A175),'recurring1_based on steps'!AP$1:AP$400,0)),AP$2,)</f>
        <v>0</v>
      </c>
      <c r="AQ175" s="140">
        <f ca="1">IF(ISNUMBER(MATCH(DATEVALUE($A175),'recurring1_based on steps'!AQ$1:AQ$400,0)),AQ$2,)</f>
        <v>0</v>
      </c>
      <c r="AR175" s="140">
        <f ca="1">IF(ISNUMBER(MATCH(DATEVALUE($A175),'recurring1_based on steps'!AR$1:AR$400,0)),AR$2,)</f>
        <v>0</v>
      </c>
      <c r="AS175" s="140">
        <f ca="1">IF(ISNUMBER(MATCH(DATEVALUE($A175),'recurring1_based on steps'!AS$1:AS$400,0)),AS$2,)</f>
        <v>0</v>
      </c>
      <c r="AT175" s="140">
        <f ca="1">IF(ISNUMBER(MATCH(DATEVALUE($A175),'recurring1_based on steps'!AT$1:AT$400,0)),AT$2,)</f>
        <v>0</v>
      </c>
      <c r="AU175" s="140">
        <f ca="1">IF(ISNUMBER(MATCH(DATEVALUE($A175),'recurring1_based on steps'!AU$1:AU$400,0)),AU$2,)</f>
        <v>0</v>
      </c>
      <c r="AV175" s="140">
        <f ca="1">IF(ISNUMBER(MATCH(DATEVALUE($A175),'recurring1_based on steps'!AV$1:AV$400,0)),AV$2,)</f>
        <v>0</v>
      </c>
      <c r="AW175" s="140">
        <f ca="1">IF(ISNUMBER(MATCH(DATEVALUE($A175),'recurring1_based on steps'!AW$1:AW$400,0)),AW$2,)</f>
        <v>0</v>
      </c>
      <c r="AX175" s="140">
        <f ca="1">IF(ISNUMBER(MATCH(DATEVALUE($A175),'recurring1_based on steps'!AX$1:AX$400,0)),AX$2,)</f>
        <v>0</v>
      </c>
      <c r="AY175" s="140">
        <f ca="1">IF(ISNUMBER(MATCH(DATEVALUE($A175),'recurring1_based on steps'!AY$1:AY$400,0)),AY$2,)</f>
        <v>0</v>
      </c>
    </row>
    <row r="176" spans="1:51" x14ac:dyDescent="0.2">
      <c r="A176" s="29" t="str">
        <f t="shared" ca="1" si="2"/>
        <v>2025-09-16</v>
      </c>
      <c r="B176" s="140">
        <f ca="1">IF(ISNUMBER(MATCH(DATEVALUE($A176),'recurring1_based on steps'!B$1:B$400,0)),B$2,)</f>
        <v>0</v>
      </c>
      <c r="C176" s="140">
        <f ca="1">IF(ISNUMBER(MATCH(DATEVALUE($A176),'recurring1_based on steps'!C$1:C$400,0)),C$2,)</f>
        <v>0</v>
      </c>
      <c r="D176" s="140">
        <f ca="1">IF(ISNUMBER(MATCH(DATEVALUE($A176),'recurring1_based on steps'!D$1:D$400,0)),D$2,)</f>
        <v>0</v>
      </c>
      <c r="E176" s="140">
        <f ca="1">IF(ISNUMBER(MATCH(DATEVALUE($A176),'recurring1_based on steps'!E$1:E$400,0)),E$2,)</f>
        <v>0</v>
      </c>
      <c r="F176" s="140">
        <f ca="1">IF(ISNUMBER(MATCH(DATEVALUE($A176),'recurring1_based on steps'!F$1:F$400,0)),F$2,)</f>
        <v>0</v>
      </c>
      <c r="G176" s="140">
        <f ca="1">IF(ISNUMBER(MATCH(DATEVALUE($A176),'recurring1_based on steps'!G$1:G$400,0)),G$2,)</f>
        <v>0</v>
      </c>
      <c r="H176" s="140">
        <f ca="1">IF(ISNUMBER(MATCH(DATEVALUE($A176),'recurring1_based on steps'!H$1:H$400,0)),H$2,)</f>
        <v>0</v>
      </c>
      <c r="I176" s="140">
        <f ca="1">IF(ISNUMBER(MATCH(DATEVALUE($A176),'recurring1_based on steps'!I$1:I$400,0)),I$2,)</f>
        <v>0</v>
      </c>
      <c r="J176" s="140">
        <f ca="1">IF(ISNUMBER(MATCH(DATEVALUE($A176),'recurring1_based on steps'!J$1:J$400,0)),J$2,)</f>
        <v>0</v>
      </c>
      <c r="K176" s="140">
        <f ca="1">IF(ISNUMBER(MATCH(DATEVALUE($A176),'recurring1_based on steps'!K$1:K$400,0)),K$2,)</f>
        <v>0</v>
      </c>
      <c r="L176" s="140">
        <f ca="1">IF(ISNUMBER(MATCH(DATEVALUE($A176),'recurring1_based on steps'!L$1:L$400,0)),L$2,)</f>
        <v>0</v>
      </c>
      <c r="M176" s="140">
        <f ca="1">IF(ISNUMBER(MATCH(DATEVALUE($A176),'recurring1_based on steps'!M$1:M$400,0)),M$2,)</f>
        <v>0</v>
      </c>
      <c r="N176" s="140">
        <f ca="1">IF(ISNUMBER(MATCH(DATEVALUE($A176),'recurring1_based on steps'!N$1:N$400,0)),N$2,)</f>
        <v>0</v>
      </c>
      <c r="O176" s="140">
        <f ca="1">IF(ISNUMBER(MATCH(DATEVALUE($A176),'recurring1_based on steps'!O$1:O$400,0)),O$2,)</f>
        <v>0</v>
      </c>
      <c r="P176" s="140">
        <f ca="1">IF(ISNUMBER(MATCH(DATEVALUE($A176),'recurring1_based on steps'!P$1:P$400,0)),P$2,)</f>
        <v>0</v>
      </c>
      <c r="Q176" s="140">
        <f ca="1">IF(ISNUMBER(MATCH(DATEVALUE($A176),'recurring1_based on steps'!Q$1:Q$400,0)),Q$2,)</f>
        <v>0</v>
      </c>
      <c r="R176" s="140">
        <f ca="1">IF(ISNUMBER(MATCH(DATEVALUE($A176),'recurring1_based on steps'!R$1:R$400,0)),R$2,)</f>
        <v>0</v>
      </c>
      <c r="S176" s="140">
        <f ca="1">IF(ISNUMBER(MATCH(DATEVALUE($A176),'recurring1_based on steps'!S$1:S$400,0)),S$2,)</f>
        <v>0</v>
      </c>
      <c r="T176" s="140">
        <f ca="1">IF(ISNUMBER(MATCH(DATEVALUE($A176),'recurring1_based on steps'!T$1:T$400,0)),T$2,)</f>
        <v>0</v>
      </c>
      <c r="U176" s="140">
        <f ca="1">IF(ISNUMBER(MATCH(DATEVALUE($A176),'recurring1_based on steps'!U$1:U$400,0)),U$2,)</f>
        <v>0</v>
      </c>
      <c r="V176" s="140">
        <f ca="1">IF(ISNUMBER(MATCH(DATEVALUE($A176),'recurring1_based on steps'!V$1:V$400,0)),V$2,)</f>
        <v>0</v>
      </c>
      <c r="W176" s="140">
        <f ca="1">IF(ISNUMBER(MATCH(DATEVALUE($A176),'recurring1_based on steps'!W$1:W$400,0)),W$2,)</f>
        <v>0</v>
      </c>
      <c r="X176" s="140">
        <f ca="1">IF(ISNUMBER(MATCH(DATEVALUE($A176),'recurring1_based on steps'!X$1:X$400,0)),X$2,)</f>
        <v>0</v>
      </c>
      <c r="Y176" s="140">
        <f ca="1">IF(ISNUMBER(MATCH(DATEVALUE($A176),'recurring1_based on steps'!Y$1:Y$400,0)),Y$2,)</f>
        <v>0</v>
      </c>
      <c r="Z176" s="140">
        <f ca="1">IF(ISNUMBER(MATCH(DATEVALUE($A176),'recurring1_based on steps'!Z$1:Z$400,0)),Z$2,)</f>
        <v>0</v>
      </c>
      <c r="AA176" s="140">
        <f ca="1">IF(ISNUMBER(MATCH(DATEVALUE($A176),'recurring1_based on steps'!AA$1:AA$400,0)),AA$2,)</f>
        <v>0</v>
      </c>
      <c r="AB176" s="140">
        <f ca="1">IF(ISNUMBER(MATCH(DATEVALUE($A176),'recurring1_based on steps'!AB$1:AB$400,0)),AB$2,)</f>
        <v>5.5401662049861494E-2</v>
      </c>
      <c r="AC176" s="140">
        <f ca="1">IF(ISNUMBER(MATCH(DATEVALUE($A176),'recurring1_based on steps'!AC$1:AC$400,0)),AC$2,)</f>
        <v>0</v>
      </c>
      <c r="AD176" s="140">
        <f ca="1">IF(ISNUMBER(MATCH(DATEVALUE($A176),'recurring1_based on steps'!AD$1:AD$400,0)),AD$2,)</f>
        <v>0</v>
      </c>
      <c r="AE176" s="140">
        <f ca="1">IF(ISNUMBER(MATCH(DATEVALUE($A176),'recurring1_based on steps'!AE$1:AE$400,0)),AE$2,)</f>
        <v>0</v>
      </c>
      <c r="AF176" s="140">
        <f ca="1">IF(ISNUMBER(MATCH(DATEVALUE($A176),'recurring1_based on steps'!AF$1:AF$400,0)),AF$2,)</f>
        <v>0</v>
      </c>
      <c r="AG176" s="140">
        <f ca="1">IF(ISNUMBER(MATCH(DATEVALUE($A176),'recurring1_based on steps'!AG$1:AG$400,0)),AG$2,)</f>
        <v>0</v>
      </c>
      <c r="AH176" s="140">
        <f ca="1">IF(ISNUMBER(MATCH(DATEVALUE($A176),'recurring1_based on steps'!AH$1:AH$400,0)),AH$2,)</f>
        <v>0</v>
      </c>
      <c r="AI176" s="140">
        <f ca="1">IF(ISNUMBER(MATCH(DATEVALUE($A176),'recurring1_based on steps'!AI$1:AI$400,0)),AI$2,)</f>
        <v>0</v>
      </c>
      <c r="AJ176" s="140">
        <f ca="1">IF(ISNUMBER(MATCH(DATEVALUE($A176),'recurring1_based on steps'!AJ$1:AJ$400,0)),AJ$2,)</f>
        <v>0</v>
      </c>
      <c r="AK176" s="140">
        <f ca="1">IF(ISNUMBER(MATCH(DATEVALUE($A176),'recurring1_based on steps'!AK$1:AK$400,0)),AK$2,)</f>
        <v>0</v>
      </c>
      <c r="AL176" s="140">
        <f ca="1">IF(ISNUMBER(MATCH(DATEVALUE($A176),'recurring1_based on steps'!AL$1:AL$400,0)),AL$2,)</f>
        <v>0</v>
      </c>
      <c r="AM176" s="140">
        <f ca="1">IF(ISNUMBER(MATCH(DATEVALUE($A176),'recurring1_based on steps'!AM$1:AM$400,0)),AM$2,)</f>
        <v>0</v>
      </c>
      <c r="AN176" s="140">
        <f ca="1">IF(ISNUMBER(MATCH(DATEVALUE($A176),'recurring1_based on steps'!AN$1:AN$400,0)),AN$2,)</f>
        <v>0</v>
      </c>
      <c r="AO176" s="140">
        <f ca="1">IF(ISNUMBER(MATCH(DATEVALUE($A176),'recurring1_based on steps'!AO$1:AO$400,0)),AO$2,)</f>
        <v>0</v>
      </c>
      <c r="AP176" s="140">
        <f ca="1">IF(ISNUMBER(MATCH(DATEVALUE($A176),'recurring1_based on steps'!AP$1:AP$400,0)),AP$2,)</f>
        <v>0</v>
      </c>
      <c r="AQ176" s="140">
        <f ca="1">IF(ISNUMBER(MATCH(DATEVALUE($A176),'recurring1_based on steps'!AQ$1:AQ$400,0)),AQ$2,)</f>
        <v>0</v>
      </c>
      <c r="AR176" s="140">
        <f ca="1">IF(ISNUMBER(MATCH(DATEVALUE($A176),'recurring1_based on steps'!AR$1:AR$400,0)),AR$2,)</f>
        <v>0</v>
      </c>
      <c r="AS176" s="140">
        <f ca="1">IF(ISNUMBER(MATCH(DATEVALUE($A176),'recurring1_based on steps'!AS$1:AS$400,0)),AS$2,)</f>
        <v>0</v>
      </c>
      <c r="AT176" s="140">
        <f ca="1">IF(ISNUMBER(MATCH(DATEVALUE($A176),'recurring1_based on steps'!AT$1:AT$400,0)),AT$2,)</f>
        <v>0</v>
      </c>
      <c r="AU176" s="140">
        <f ca="1">IF(ISNUMBER(MATCH(DATEVALUE($A176),'recurring1_based on steps'!AU$1:AU$400,0)),AU$2,)</f>
        <v>0</v>
      </c>
      <c r="AV176" s="140">
        <f ca="1">IF(ISNUMBER(MATCH(DATEVALUE($A176),'recurring1_based on steps'!AV$1:AV$400,0)),AV$2,)</f>
        <v>0</v>
      </c>
      <c r="AW176" s="140">
        <f ca="1">IF(ISNUMBER(MATCH(DATEVALUE($A176),'recurring1_based on steps'!AW$1:AW$400,0)),AW$2,)</f>
        <v>0</v>
      </c>
      <c r="AX176" s="140">
        <f ca="1">IF(ISNUMBER(MATCH(DATEVALUE($A176),'recurring1_based on steps'!AX$1:AX$400,0)),AX$2,)</f>
        <v>0</v>
      </c>
      <c r="AY176" s="140">
        <f ca="1">IF(ISNUMBER(MATCH(DATEVALUE($A176),'recurring1_based on steps'!AY$1:AY$400,0)),AY$2,)</f>
        <v>0</v>
      </c>
    </row>
    <row r="177" spans="1:51" x14ac:dyDescent="0.2">
      <c r="A177" s="29" t="str">
        <f t="shared" ca="1" si="2"/>
        <v>2025-09-17</v>
      </c>
      <c r="B177" s="140">
        <f ca="1">IF(ISNUMBER(MATCH(DATEVALUE($A177),'recurring1_based on steps'!B$1:B$400,0)),B$2,)</f>
        <v>0</v>
      </c>
      <c r="C177" s="140">
        <f ca="1">IF(ISNUMBER(MATCH(DATEVALUE($A177),'recurring1_based on steps'!C$1:C$400,0)),C$2,)</f>
        <v>0</v>
      </c>
      <c r="D177" s="140">
        <f ca="1">IF(ISNUMBER(MATCH(DATEVALUE($A177),'recurring1_based on steps'!D$1:D$400,0)),D$2,)</f>
        <v>0</v>
      </c>
      <c r="E177" s="140">
        <f ca="1">IF(ISNUMBER(MATCH(DATEVALUE($A177),'recurring1_based on steps'!E$1:E$400,0)),E$2,)</f>
        <v>0</v>
      </c>
      <c r="F177" s="140">
        <f ca="1">IF(ISNUMBER(MATCH(DATEVALUE($A177),'recurring1_based on steps'!F$1:F$400,0)),F$2,)</f>
        <v>0</v>
      </c>
      <c r="G177" s="140">
        <f ca="1">IF(ISNUMBER(MATCH(DATEVALUE($A177),'recurring1_based on steps'!G$1:G$400,0)),G$2,)</f>
        <v>0</v>
      </c>
      <c r="H177" s="140">
        <f ca="1">IF(ISNUMBER(MATCH(DATEVALUE($A177),'recurring1_based on steps'!H$1:H$400,0)),H$2,)</f>
        <v>0</v>
      </c>
      <c r="I177" s="140">
        <f ca="1">IF(ISNUMBER(MATCH(DATEVALUE($A177),'recurring1_based on steps'!I$1:I$400,0)),I$2,)</f>
        <v>0</v>
      </c>
      <c r="J177" s="140">
        <f ca="1">IF(ISNUMBER(MATCH(DATEVALUE($A177),'recurring1_based on steps'!J$1:J$400,0)),J$2,)</f>
        <v>0</v>
      </c>
      <c r="K177" s="140">
        <f ca="1">IF(ISNUMBER(MATCH(DATEVALUE($A177),'recurring1_based on steps'!K$1:K$400,0)),K$2,)</f>
        <v>0</v>
      </c>
      <c r="L177" s="140">
        <f ca="1">IF(ISNUMBER(MATCH(DATEVALUE($A177),'recurring1_based on steps'!L$1:L$400,0)),L$2,)</f>
        <v>0</v>
      </c>
      <c r="M177" s="140">
        <f ca="1">IF(ISNUMBER(MATCH(DATEVALUE($A177),'recurring1_based on steps'!M$1:M$400,0)),M$2,)</f>
        <v>0</v>
      </c>
      <c r="N177" s="140">
        <f ca="1">IF(ISNUMBER(MATCH(DATEVALUE($A177),'recurring1_based on steps'!N$1:N$400,0)),N$2,)</f>
        <v>15.49</v>
      </c>
      <c r="O177" s="140">
        <f ca="1">IF(ISNUMBER(MATCH(DATEVALUE($A177),'recurring1_based on steps'!O$1:O$400,0)),O$2,)</f>
        <v>0</v>
      </c>
      <c r="P177" s="140">
        <f ca="1">IF(ISNUMBER(MATCH(DATEVALUE($A177),'recurring1_based on steps'!P$1:P$400,0)),P$2,)</f>
        <v>0</v>
      </c>
      <c r="Q177" s="140">
        <f ca="1">IF(ISNUMBER(MATCH(DATEVALUE($A177),'recurring1_based on steps'!Q$1:Q$400,0)),Q$2,)</f>
        <v>0</v>
      </c>
      <c r="R177" s="140">
        <f ca="1">IF(ISNUMBER(MATCH(DATEVALUE($A177),'recurring1_based on steps'!R$1:R$400,0)),R$2,)</f>
        <v>0</v>
      </c>
      <c r="S177" s="140">
        <f ca="1">IF(ISNUMBER(MATCH(DATEVALUE($A177),'recurring1_based on steps'!S$1:S$400,0)),S$2,)</f>
        <v>0</v>
      </c>
      <c r="T177" s="140">
        <f ca="1">IF(ISNUMBER(MATCH(DATEVALUE($A177),'recurring1_based on steps'!T$1:T$400,0)),T$2,)</f>
        <v>0</v>
      </c>
      <c r="U177" s="140">
        <f ca="1">IF(ISNUMBER(MATCH(DATEVALUE($A177),'recurring1_based on steps'!U$1:U$400,0)),U$2,)</f>
        <v>0</v>
      </c>
      <c r="V177" s="140">
        <f ca="1">IF(ISNUMBER(MATCH(DATEVALUE($A177),'recurring1_based on steps'!V$1:V$400,0)),V$2,)</f>
        <v>200</v>
      </c>
      <c r="W177" s="140">
        <f ca="1">IF(ISNUMBER(MATCH(DATEVALUE($A177),'recurring1_based on steps'!W$1:W$400,0)),W$2,)</f>
        <v>0</v>
      </c>
      <c r="X177" s="140">
        <f ca="1">IF(ISNUMBER(MATCH(DATEVALUE($A177),'recurring1_based on steps'!X$1:X$400,0)),X$2,)</f>
        <v>0</v>
      </c>
      <c r="Y177" s="140">
        <f ca="1">IF(ISNUMBER(MATCH(DATEVALUE($A177),'recurring1_based on steps'!Y$1:Y$400,0)),Y$2,)</f>
        <v>0</v>
      </c>
      <c r="Z177" s="140">
        <f ca="1">IF(ISNUMBER(MATCH(DATEVALUE($A177),'recurring1_based on steps'!Z$1:Z$400,0)),Z$2,)</f>
        <v>0</v>
      </c>
      <c r="AA177" s="140">
        <f ca="1">IF(ISNUMBER(MATCH(DATEVALUE($A177),'recurring1_based on steps'!AA$1:AA$400,0)),AA$2,)</f>
        <v>0</v>
      </c>
      <c r="AB177" s="140">
        <f ca="1">IF(ISNUMBER(MATCH(DATEVALUE($A177),'recurring1_based on steps'!AB$1:AB$400,0)),AB$2,)</f>
        <v>5.5401662049861494E-2</v>
      </c>
      <c r="AC177" s="140">
        <f ca="1">IF(ISNUMBER(MATCH(DATEVALUE($A177),'recurring1_based on steps'!AC$1:AC$400,0)),AC$2,)</f>
        <v>0</v>
      </c>
      <c r="AD177" s="140">
        <f ca="1">IF(ISNUMBER(MATCH(DATEVALUE($A177),'recurring1_based on steps'!AD$1:AD$400,0)),AD$2,)</f>
        <v>0</v>
      </c>
      <c r="AE177" s="140">
        <f ca="1">IF(ISNUMBER(MATCH(DATEVALUE($A177),'recurring1_based on steps'!AE$1:AE$400,0)),AE$2,)</f>
        <v>0</v>
      </c>
      <c r="AF177" s="140">
        <f ca="1">IF(ISNUMBER(MATCH(DATEVALUE($A177),'recurring1_based on steps'!AF$1:AF$400,0)),AF$2,)</f>
        <v>0</v>
      </c>
      <c r="AG177" s="140">
        <f ca="1">IF(ISNUMBER(MATCH(DATEVALUE($A177),'recurring1_based on steps'!AG$1:AG$400,0)),AG$2,)</f>
        <v>0</v>
      </c>
      <c r="AH177" s="140">
        <f ca="1">IF(ISNUMBER(MATCH(DATEVALUE($A177),'recurring1_based on steps'!AH$1:AH$400,0)),AH$2,)</f>
        <v>0</v>
      </c>
      <c r="AI177" s="140">
        <f ca="1">IF(ISNUMBER(MATCH(DATEVALUE($A177),'recurring1_based on steps'!AI$1:AI$400,0)),AI$2,)</f>
        <v>0</v>
      </c>
      <c r="AJ177" s="140">
        <f ca="1">IF(ISNUMBER(MATCH(DATEVALUE($A177),'recurring1_based on steps'!AJ$1:AJ$400,0)),AJ$2,)</f>
        <v>0</v>
      </c>
      <c r="AK177" s="140">
        <f ca="1">IF(ISNUMBER(MATCH(DATEVALUE($A177),'recurring1_based on steps'!AK$1:AK$400,0)),AK$2,)</f>
        <v>0</v>
      </c>
      <c r="AL177" s="140">
        <f ca="1">IF(ISNUMBER(MATCH(DATEVALUE($A177),'recurring1_based on steps'!AL$1:AL$400,0)),AL$2,)</f>
        <v>0</v>
      </c>
      <c r="AM177" s="140">
        <f ca="1">IF(ISNUMBER(MATCH(DATEVALUE($A177),'recurring1_based on steps'!AM$1:AM$400,0)),AM$2,)</f>
        <v>0</v>
      </c>
      <c r="AN177" s="140">
        <f ca="1">IF(ISNUMBER(MATCH(DATEVALUE($A177),'recurring1_based on steps'!AN$1:AN$400,0)),AN$2,)</f>
        <v>0</v>
      </c>
      <c r="AO177" s="140">
        <f ca="1">IF(ISNUMBER(MATCH(DATEVALUE($A177),'recurring1_based on steps'!AO$1:AO$400,0)),AO$2,)</f>
        <v>0</v>
      </c>
      <c r="AP177" s="140">
        <f ca="1">IF(ISNUMBER(MATCH(DATEVALUE($A177),'recurring1_based on steps'!AP$1:AP$400,0)),AP$2,)</f>
        <v>0</v>
      </c>
      <c r="AQ177" s="140">
        <f ca="1">IF(ISNUMBER(MATCH(DATEVALUE($A177),'recurring1_based on steps'!AQ$1:AQ$400,0)),AQ$2,)</f>
        <v>0</v>
      </c>
      <c r="AR177" s="140">
        <f ca="1">IF(ISNUMBER(MATCH(DATEVALUE($A177),'recurring1_based on steps'!AR$1:AR$400,0)),AR$2,)</f>
        <v>0</v>
      </c>
      <c r="AS177" s="140">
        <f ca="1">IF(ISNUMBER(MATCH(DATEVALUE($A177),'recurring1_based on steps'!AS$1:AS$400,0)),AS$2,)</f>
        <v>0</v>
      </c>
      <c r="AT177" s="140">
        <f ca="1">IF(ISNUMBER(MATCH(DATEVALUE($A177),'recurring1_based on steps'!AT$1:AT$400,0)),AT$2,)</f>
        <v>0</v>
      </c>
      <c r="AU177" s="140">
        <f ca="1">IF(ISNUMBER(MATCH(DATEVALUE($A177),'recurring1_based on steps'!AU$1:AU$400,0)),AU$2,)</f>
        <v>0</v>
      </c>
      <c r="AV177" s="140">
        <f ca="1">IF(ISNUMBER(MATCH(DATEVALUE($A177),'recurring1_based on steps'!AV$1:AV$400,0)),AV$2,)</f>
        <v>0</v>
      </c>
      <c r="AW177" s="140">
        <f ca="1">IF(ISNUMBER(MATCH(DATEVALUE($A177),'recurring1_based on steps'!AW$1:AW$400,0)),AW$2,)</f>
        <v>0</v>
      </c>
      <c r="AX177" s="140">
        <f ca="1">IF(ISNUMBER(MATCH(DATEVALUE($A177),'recurring1_based on steps'!AX$1:AX$400,0)),AX$2,)</f>
        <v>0</v>
      </c>
      <c r="AY177" s="140">
        <f ca="1">IF(ISNUMBER(MATCH(DATEVALUE($A177),'recurring1_based on steps'!AY$1:AY$400,0)),AY$2,)</f>
        <v>0</v>
      </c>
    </row>
    <row r="178" spans="1:51" x14ac:dyDescent="0.2">
      <c r="A178" s="29" t="str">
        <f t="shared" ca="1" si="2"/>
        <v>2025-09-18</v>
      </c>
      <c r="B178" s="140">
        <f ca="1">IF(ISNUMBER(MATCH(DATEVALUE($A178),'recurring1_based on steps'!B$1:B$400,0)),B$2,)</f>
        <v>0</v>
      </c>
      <c r="C178" s="140">
        <f ca="1">IF(ISNUMBER(MATCH(DATEVALUE($A178),'recurring1_based on steps'!C$1:C$400,0)),C$2,)</f>
        <v>0</v>
      </c>
      <c r="D178" s="140">
        <f ca="1">IF(ISNUMBER(MATCH(DATEVALUE($A178),'recurring1_based on steps'!D$1:D$400,0)),D$2,)</f>
        <v>0</v>
      </c>
      <c r="E178" s="140">
        <f ca="1">IF(ISNUMBER(MATCH(DATEVALUE($A178),'recurring1_based on steps'!E$1:E$400,0)),E$2,)</f>
        <v>0</v>
      </c>
      <c r="F178" s="140">
        <f ca="1">IF(ISNUMBER(MATCH(DATEVALUE($A178),'recurring1_based on steps'!F$1:F$400,0)),F$2,)</f>
        <v>0</v>
      </c>
      <c r="G178" s="140">
        <f ca="1">IF(ISNUMBER(MATCH(DATEVALUE($A178),'recurring1_based on steps'!G$1:G$400,0)),G$2,)</f>
        <v>0</v>
      </c>
      <c r="H178" s="140">
        <f ca="1">IF(ISNUMBER(MATCH(DATEVALUE($A178),'recurring1_based on steps'!H$1:H$400,0)),H$2,)</f>
        <v>0</v>
      </c>
      <c r="I178" s="140">
        <f ca="1">IF(ISNUMBER(MATCH(DATEVALUE($A178),'recurring1_based on steps'!I$1:I$400,0)),I$2,)</f>
        <v>0</v>
      </c>
      <c r="J178" s="140">
        <f ca="1">IF(ISNUMBER(MATCH(DATEVALUE($A178),'recurring1_based on steps'!J$1:J$400,0)),J$2,)</f>
        <v>0</v>
      </c>
      <c r="K178" s="140">
        <f ca="1">IF(ISNUMBER(MATCH(DATEVALUE($A178),'recurring1_based on steps'!K$1:K$400,0)),K$2,)</f>
        <v>0</v>
      </c>
      <c r="L178" s="140">
        <f ca="1">IF(ISNUMBER(MATCH(DATEVALUE($A178),'recurring1_based on steps'!L$1:L$400,0)),L$2,)</f>
        <v>0</v>
      </c>
      <c r="M178" s="140">
        <f ca="1">IF(ISNUMBER(MATCH(DATEVALUE($A178),'recurring1_based on steps'!M$1:M$400,0)),M$2,)</f>
        <v>0</v>
      </c>
      <c r="N178" s="140">
        <f ca="1">IF(ISNUMBER(MATCH(DATEVALUE($A178),'recurring1_based on steps'!N$1:N$400,0)),N$2,)</f>
        <v>0</v>
      </c>
      <c r="O178" s="140">
        <f ca="1">IF(ISNUMBER(MATCH(DATEVALUE($A178),'recurring1_based on steps'!O$1:O$400,0)),O$2,)</f>
        <v>10.99</v>
      </c>
      <c r="P178" s="140">
        <f ca="1">IF(ISNUMBER(MATCH(DATEVALUE($A178),'recurring1_based on steps'!P$1:P$400,0)),P$2,)</f>
        <v>0</v>
      </c>
      <c r="Q178" s="140">
        <f ca="1">IF(ISNUMBER(MATCH(DATEVALUE($A178),'recurring1_based on steps'!Q$1:Q$400,0)),Q$2,)</f>
        <v>0</v>
      </c>
      <c r="R178" s="140">
        <f ca="1">IF(ISNUMBER(MATCH(DATEVALUE($A178),'recurring1_based on steps'!R$1:R$400,0)),R$2,)</f>
        <v>0</v>
      </c>
      <c r="S178" s="140">
        <f ca="1">IF(ISNUMBER(MATCH(DATEVALUE($A178),'recurring1_based on steps'!S$1:S$400,0)),S$2,)</f>
        <v>0</v>
      </c>
      <c r="T178" s="140">
        <f ca="1">IF(ISNUMBER(MATCH(DATEVALUE($A178),'recurring1_based on steps'!T$1:T$400,0)),T$2,)</f>
        <v>0</v>
      </c>
      <c r="U178" s="140">
        <f ca="1">IF(ISNUMBER(MATCH(DATEVALUE($A178),'recurring1_based on steps'!U$1:U$400,0)),U$2,)</f>
        <v>0</v>
      </c>
      <c r="V178" s="140">
        <f ca="1">IF(ISNUMBER(MATCH(DATEVALUE($A178),'recurring1_based on steps'!V$1:V$400,0)),V$2,)</f>
        <v>0</v>
      </c>
      <c r="W178" s="140">
        <f ca="1">IF(ISNUMBER(MATCH(DATEVALUE($A178),'recurring1_based on steps'!W$1:W$400,0)),W$2,)</f>
        <v>0</v>
      </c>
      <c r="X178" s="140">
        <f ca="1">IF(ISNUMBER(MATCH(DATEVALUE($A178),'recurring1_based on steps'!X$1:X$400,0)),X$2,)</f>
        <v>0</v>
      </c>
      <c r="Y178" s="140">
        <f ca="1">IF(ISNUMBER(MATCH(DATEVALUE($A178),'recurring1_based on steps'!Y$1:Y$400,0)),Y$2,)</f>
        <v>0</v>
      </c>
      <c r="Z178" s="140">
        <f ca="1">IF(ISNUMBER(MATCH(DATEVALUE($A178),'recurring1_based on steps'!Z$1:Z$400,0)),Z$2,)</f>
        <v>0</v>
      </c>
      <c r="AA178" s="140">
        <f ca="1">IF(ISNUMBER(MATCH(DATEVALUE($A178),'recurring1_based on steps'!AA$1:AA$400,0)),AA$2,)</f>
        <v>0</v>
      </c>
      <c r="AB178" s="140">
        <f ca="1">IF(ISNUMBER(MATCH(DATEVALUE($A178),'recurring1_based on steps'!AB$1:AB$400,0)),AB$2,)</f>
        <v>5.5401662049861494E-2</v>
      </c>
      <c r="AC178" s="140">
        <f ca="1">IF(ISNUMBER(MATCH(DATEVALUE($A178),'recurring1_based on steps'!AC$1:AC$400,0)),AC$2,)</f>
        <v>0</v>
      </c>
      <c r="AD178" s="140">
        <f ca="1">IF(ISNUMBER(MATCH(DATEVALUE($A178),'recurring1_based on steps'!AD$1:AD$400,0)),AD$2,)</f>
        <v>0</v>
      </c>
      <c r="AE178" s="140">
        <f ca="1">IF(ISNUMBER(MATCH(DATEVALUE($A178),'recurring1_based on steps'!AE$1:AE$400,0)),AE$2,)</f>
        <v>0</v>
      </c>
      <c r="AF178" s="140">
        <f ca="1">IF(ISNUMBER(MATCH(DATEVALUE($A178),'recurring1_based on steps'!AF$1:AF$400,0)),AF$2,)</f>
        <v>0</v>
      </c>
      <c r="AG178" s="140">
        <f ca="1">IF(ISNUMBER(MATCH(DATEVALUE($A178),'recurring1_based on steps'!AG$1:AG$400,0)),AG$2,)</f>
        <v>0</v>
      </c>
      <c r="AH178" s="140">
        <f ca="1">IF(ISNUMBER(MATCH(DATEVALUE($A178),'recurring1_based on steps'!AH$1:AH$400,0)),AH$2,)</f>
        <v>0</v>
      </c>
      <c r="AI178" s="140">
        <f ca="1">IF(ISNUMBER(MATCH(DATEVALUE($A178),'recurring1_based on steps'!AI$1:AI$400,0)),AI$2,)</f>
        <v>0</v>
      </c>
      <c r="AJ178" s="140">
        <f ca="1">IF(ISNUMBER(MATCH(DATEVALUE($A178),'recurring1_based on steps'!AJ$1:AJ$400,0)),AJ$2,)</f>
        <v>0</v>
      </c>
      <c r="AK178" s="140">
        <f ca="1">IF(ISNUMBER(MATCH(DATEVALUE($A178),'recurring1_based on steps'!AK$1:AK$400,0)),AK$2,)</f>
        <v>0</v>
      </c>
      <c r="AL178" s="140">
        <f ca="1">IF(ISNUMBER(MATCH(DATEVALUE($A178),'recurring1_based on steps'!AL$1:AL$400,0)),AL$2,)</f>
        <v>0</v>
      </c>
      <c r="AM178" s="140">
        <f ca="1">IF(ISNUMBER(MATCH(DATEVALUE($A178),'recurring1_based on steps'!AM$1:AM$400,0)),AM$2,)</f>
        <v>0</v>
      </c>
      <c r="AN178" s="140">
        <f ca="1">IF(ISNUMBER(MATCH(DATEVALUE($A178),'recurring1_based on steps'!AN$1:AN$400,0)),AN$2,)</f>
        <v>0</v>
      </c>
      <c r="AO178" s="140">
        <f ca="1">IF(ISNUMBER(MATCH(DATEVALUE($A178),'recurring1_based on steps'!AO$1:AO$400,0)),AO$2,)</f>
        <v>0</v>
      </c>
      <c r="AP178" s="140">
        <f ca="1">IF(ISNUMBER(MATCH(DATEVALUE($A178),'recurring1_based on steps'!AP$1:AP$400,0)),AP$2,)</f>
        <v>0</v>
      </c>
      <c r="AQ178" s="140">
        <f ca="1">IF(ISNUMBER(MATCH(DATEVALUE($A178),'recurring1_based on steps'!AQ$1:AQ$400,0)),AQ$2,)</f>
        <v>0</v>
      </c>
      <c r="AR178" s="140">
        <f ca="1">IF(ISNUMBER(MATCH(DATEVALUE($A178),'recurring1_based on steps'!AR$1:AR$400,0)),AR$2,)</f>
        <v>0</v>
      </c>
      <c r="AS178" s="140">
        <f ca="1">IF(ISNUMBER(MATCH(DATEVALUE($A178),'recurring1_based on steps'!AS$1:AS$400,0)),AS$2,)</f>
        <v>0</v>
      </c>
      <c r="AT178" s="140">
        <f ca="1">IF(ISNUMBER(MATCH(DATEVALUE($A178),'recurring1_based on steps'!AT$1:AT$400,0)),AT$2,)</f>
        <v>0</v>
      </c>
      <c r="AU178" s="140">
        <f ca="1">IF(ISNUMBER(MATCH(DATEVALUE($A178),'recurring1_based on steps'!AU$1:AU$400,0)),AU$2,)</f>
        <v>0</v>
      </c>
      <c r="AV178" s="140">
        <f ca="1">IF(ISNUMBER(MATCH(DATEVALUE($A178),'recurring1_based on steps'!AV$1:AV$400,0)),AV$2,)</f>
        <v>0</v>
      </c>
      <c r="AW178" s="140">
        <f ca="1">IF(ISNUMBER(MATCH(DATEVALUE($A178),'recurring1_based on steps'!AW$1:AW$400,0)),AW$2,)</f>
        <v>0</v>
      </c>
      <c r="AX178" s="140">
        <f ca="1">IF(ISNUMBER(MATCH(DATEVALUE($A178),'recurring1_based on steps'!AX$1:AX$400,0)),AX$2,)</f>
        <v>0</v>
      </c>
      <c r="AY178" s="140">
        <f ca="1">IF(ISNUMBER(MATCH(DATEVALUE($A178),'recurring1_based on steps'!AY$1:AY$400,0)),AY$2,)</f>
        <v>0</v>
      </c>
    </row>
    <row r="179" spans="1:51" x14ac:dyDescent="0.2">
      <c r="A179" s="29" t="str">
        <f t="shared" ca="1" si="2"/>
        <v>2025-09-19</v>
      </c>
      <c r="B179" s="140">
        <f ca="1">IF(ISNUMBER(MATCH(DATEVALUE($A179),'recurring1_based on steps'!B$1:B$400,0)),B$2,)</f>
        <v>4000</v>
      </c>
      <c r="C179" s="140">
        <f ca="1">IF(ISNUMBER(MATCH(DATEVALUE($A179),'recurring1_based on steps'!C$1:C$400,0)),C$2,)</f>
        <v>200</v>
      </c>
      <c r="D179" s="140">
        <f ca="1">IF(ISNUMBER(MATCH(DATEVALUE($A179),'recurring1_based on steps'!D$1:D$400,0)),D$2,)</f>
        <v>2</v>
      </c>
      <c r="E179" s="140">
        <f ca="1">IF(ISNUMBER(MATCH(DATEVALUE($A179),'recurring1_based on steps'!E$1:E$400,0)),E$2,)</f>
        <v>40</v>
      </c>
      <c r="F179" s="140">
        <f ca="1">IF(ISNUMBER(MATCH(DATEVALUE($A179),'recurring1_based on steps'!F$1:F$400,0)),F$2,)</f>
        <v>50</v>
      </c>
      <c r="G179" s="140">
        <f ca="1">IF(ISNUMBER(MATCH(DATEVALUE($A179),'recurring1_based on steps'!G$1:G$400,0)),G$2,)</f>
        <v>4</v>
      </c>
      <c r="H179" s="140">
        <f ca="1">IF(ISNUMBER(MATCH(DATEVALUE($A179),'recurring1_based on steps'!H$1:H$400,0)),H$2,)</f>
        <v>0</v>
      </c>
      <c r="I179" s="140">
        <f ca="1">IF(ISNUMBER(MATCH(DATEVALUE($A179),'recurring1_based on steps'!I$1:I$400,0)),I$2,)</f>
        <v>0</v>
      </c>
      <c r="J179" s="140">
        <f ca="1">IF(ISNUMBER(MATCH(DATEVALUE($A179),'recurring1_based on steps'!J$1:J$400,0)),J$2,)</f>
        <v>0</v>
      </c>
      <c r="K179" s="140">
        <f ca="1">IF(ISNUMBER(MATCH(DATEVALUE($A179),'recurring1_based on steps'!K$1:K$400,0)),K$2,)</f>
        <v>0</v>
      </c>
      <c r="L179" s="140">
        <f ca="1">IF(ISNUMBER(MATCH(DATEVALUE($A179),'recurring1_based on steps'!L$1:L$400,0)),L$2,)</f>
        <v>0</v>
      </c>
      <c r="M179" s="140">
        <f ca="1">IF(ISNUMBER(MATCH(DATEVALUE($A179),'recurring1_based on steps'!M$1:M$400,0)),M$2,)</f>
        <v>0</v>
      </c>
      <c r="N179" s="140">
        <f ca="1">IF(ISNUMBER(MATCH(DATEVALUE($A179),'recurring1_based on steps'!N$1:N$400,0)),N$2,)</f>
        <v>0</v>
      </c>
      <c r="O179" s="140">
        <f ca="1">IF(ISNUMBER(MATCH(DATEVALUE($A179),'recurring1_based on steps'!O$1:O$400,0)),O$2,)</f>
        <v>0</v>
      </c>
      <c r="P179" s="140">
        <f ca="1">IF(ISNUMBER(MATCH(DATEVALUE($A179),'recurring1_based on steps'!P$1:P$400,0)),P$2,)</f>
        <v>0</v>
      </c>
      <c r="Q179" s="140">
        <f ca="1">IF(ISNUMBER(MATCH(DATEVALUE($A179),'recurring1_based on steps'!Q$1:Q$400,0)),Q$2,)</f>
        <v>0</v>
      </c>
      <c r="R179" s="140">
        <f ca="1">IF(ISNUMBER(MATCH(DATEVALUE($A179),'recurring1_based on steps'!R$1:R$400,0)),R$2,)</f>
        <v>0</v>
      </c>
      <c r="S179" s="140">
        <f ca="1">IF(ISNUMBER(MATCH(DATEVALUE($A179),'recurring1_based on steps'!S$1:S$400,0)),S$2,)</f>
        <v>0</v>
      </c>
      <c r="T179" s="140">
        <f ca="1">IF(ISNUMBER(MATCH(DATEVALUE($A179),'recurring1_based on steps'!T$1:T$400,0)),T$2,)</f>
        <v>0</v>
      </c>
      <c r="U179" s="140">
        <f ca="1">IF(ISNUMBER(MATCH(DATEVALUE($A179),'recurring1_based on steps'!U$1:U$400,0)),U$2,)</f>
        <v>0</v>
      </c>
      <c r="V179" s="140">
        <f ca="1">IF(ISNUMBER(MATCH(DATEVALUE($A179),'recurring1_based on steps'!V$1:V$400,0)),V$2,)</f>
        <v>0</v>
      </c>
      <c r="W179" s="140">
        <f ca="1">IF(ISNUMBER(MATCH(DATEVALUE($A179),'recurring1_based on steps'!W$1:W$400,0)),W$2,)</f>
        <v>0</v>
      </c>
      <c r="X179" s="140">
        <f ca="1">IF(ISNUMBER(MATCH(DATEVALUE($A179),'recurring1_based on steps'!X$1:X$400,0)),X$2,)</f>
        <v>50</v>
      </c>
      <c r="Y179" s="140">
        <f ca="1">IF(ISNUMBER(MATCH(DATEVALUE($A179),'recurring1_based on steps'!Y$1:Y$400,0)),Y$2,)</f>
        <v>50</v>
      </c>
      <c r="Z179" s="140">
        <f ca="1">IF(ISNUMBER(MATCH(DATEVALUE($A179),'recurring1_based on steps'!Z$1:Z$400,0)),Z$2,)</f>
        <v>0</v>
      </c>
      <c r="AA179" s="140">
        <f ca="1">IF(ISNUMBER(MATCH(DATEVALUE($A179),'recurring1_based on steps'!AA$1:AA$400,0)),AA$2,)</f>
        <v>0</v>
      </c>
      <c r="AB179" s="140">
        <f ca="1">IF(ISNUMBER(MATCH(DATEVALUE($A179),'recurring1_based on steps'!AB$1:AB$400,0)),AB$2,)</f>
        <v>5.5401662049861494E-2</v>
      </c>
      <c r="AC179" s="140">
        <f ca="1">IF(ISNUMBER(MATCH(DATEVALUE($A179),'recurring1_based on steps'!AC$1:AC$400,0)),AC$2,)</f>
        <v>0</v>
      </c>
      <c r="AD179" s="140">
        <f ca="1">IF(ISNUMBER(MATCH(DATEVALUE($A179),'recurring1_based on steps'!AD$1:AD$400,0)),AD$2,)</f>
        <v>0</v>
      </c>
      <c r="AE179" s="140">
        <f ca="1">IF(ISNUMBER(MATCH(DATEVALUE($A179),'recurring1_based on steps'!AE$1:AE$400,0)),AE$2,)</f>
        <v>0</v>
      </c>
      <c r="AF179" s="140">
        <f ca="1">IF(ISNUMBER(MATCH(DATEVALUE($A179),'recurring1_based on steps'!AF$1:AF$400,0)),AF$2,)</f>
        <v>0</v>
      </c>
      <c r="AG179" s="140">
        <f ca="1">IF(ISNUMBER(MATCH(DATEVALUE($A179),'recurring1_based on steps'!AG$1:AG$400,0)),AG$2,)</f>
        <v>0</v>
      </c>
      <c r="AH179" s="140">
        <f ca="1">IF(ISNUMBER(MATCH(DATEVALUE($A179),'recurring1_based on steps'!AH$1:AH$400,0)),AH$2,)</f>
        <v>0</v>
      </c>
      <c r="AI179" s="140">
        <f ca="1">IF(ISNUMBER(MATCH(DATEVALUE($A179),'recurring1_based on steps'!AI$1:AI$400,0)),AI$2,)</f>
        <v>0</v>
      </c>
      <c r="AJ179" s="140">
        <f ca="1">IF(ISNUMBER(MATCH(DATEVALUE($A179),'recurring1_based on steps'!AJ$1:AJ$400,0)),AJ$2,)</f>
        <v>0</v>
      </c>
      <c r="AK179" s="140">
        <f ca="1">IF(ISNUMBER(MATCH(DATEVALUE($A179),'recurring1_based on steps'!AK$1:AK$400,0)),AK$2,)</f>
        <v>0</v>
      </c>
      <c r="AL179" s="140">
        <f ca="1">IF(ISNUMBER(MATCH(DATEVALUE($A179),'recurring1_based on steps'!AL$1:AL$400,0)),AL$2,)</f>
        <v>0</v>
      </c>
      <c r="AM179" s="140">
        <f ca="1">IF(ISNUMBER(MATCH(DATEVALUE($A179),'recurring1_based on steps'!AM$1:AM$400,0)),AM$2,)</f>
        <v>0</v>
      </c>
      <c r="AN179" s="140">
        <f ca="1">IF(ISNUMBER(MATCH(DATEVALUE($A179),'recurring1_based on steps'!AN$1:AN$400,0)),AN$2,)</f>
        <v>0</v>
      </c>
      <c r="AO179" s="140">
        <f ca="1">IF(ISNUMBER(MATCH(DATEVALUE($A179),'recurring1_based on steps'!AO$1:AO$400,0)),AO$2,)</f>
        <v>0</v>
      </c>
      <c r="AP179" s="140">
        <f ca="1">IF(ISNUMBER(MATCH(DATEVALUE($A179),'recurring1_based on steps'!AP$1:AP$400,0)),AP$2,)</f>
        <v>0</v>
      </c>
      <c r="AQ179" s="140">
        <f ca="1">IF(ISNUMBER(MATCH(DATEVALUE($A179),'recurring1_based on steps'!AQ$1:AQ$400,0)),AQ$2,)</f>
        <v>0</v>
      </c>
      <c r="AR179" s="140">
        <f ca="1">IF(ISNUMBER(MATCH(DATEVALUE($A179),'recurring1_based on steps'!AR$1:AR$400,0)),AR$2,)</f>
        <v>0</v>
      </c>
      <c r="AS179" s="140">
        <f ca="1">IF(ISNUMBER(MATCH(DATEVALUE($A179),'recurring1_based on steps'!AS$1:AS$400,0)),AS$2,)</f>
        <v>0</v>
      </c>
      <c r="AT179" s="140">
        <f ca="1">IF(ISNUMBER(MATCH(DATEVALUE($A179),'recurring1_based on steps'!AT$1:AT$400,0)),AT$2,)</f>
        <v>0</v>
      </c>
      <c r="AU179" s="140">
        <f ca="1">IF(ISNUMBER(MATCH(DATEVALUE($A179),'recurring1_based on steps'!AU$1:AU$400,0)),AU$2,)</f>
        <v>0</v>
      </c>
      <c r="AV179" s="140">
        <f ca="1">IF(ISNUMBER(MATCH(DATEVALUE($A179),'recurring1_based on steps'!AV$1:AV$400,0)),AV$2,)</f>
        <v>0</v>
      </c>
      <c r="AW179" s="140">
        <f ca="1">IF(ISNUMBER(MATCH(DATEVALUE($A179),'recurring1_based on steps'!AW$1:AW$400,0)),AW$2,)</f>
        <v>0</v>
      </c>
      <c r="AX179" s="140">
        <f ca="1">IF(ISNUMBER(MATCH(DATEVALUE($A179),'recurring1_based on steps'!AX$1:AX$400,0)),AX$2,)</f>
        <v>0</v>
      </c>
      <c r="AY179" s="140">
        <f ca="1">IF(ISNUMBER(MATCH(DATEVALUE($A179),'recurring1_based on steps'!AY$1:AY$400,0)),AY$2,)</f>
        <v>0</v>
      </c>
    </row>
    <row r="180" spans="1:51" x14ac:dyDescent="0.2">
      <c r="A180" s="29" t="str">
        <f t="shared" ca="1" si="2"/>
        <v>2025-09-20</v>
      </c>
      <c r="B180" s="140">
        <f ca="1">IF(ISNUMBER(MATCH(DATEVALUE($A180),'recurring1_based on steps'!B$1:B$400,0)),B$2,)</f>
        <v>0</v>
      </c>
      <c r="C180" s="140">
        <f ca="1">IF(ISNUMBER(MATCH(DATEVALUE($A180),'recurring1_based on steps'!C$1:C$400,0)),C$2,)</f>
        <v>0</v>
      </c>
      <c r="D180" s="140">
        <f ca="1">IF(ISNUMBER(MATCH(DATEVALUE($A180),'recurring1_based on steps'!D$1:D$400,0)),D$2,)</f>
        <v>0</v>
      </c>
      <c r="E180" s="140">
        <f ca="1">IF(ISNUMBER(MATCH(DATEVALUE($A180),'recurring1_based on steps'!E$1:E$400,0)),E$2,)</f>
        <v>0</v>
      </c>
      <c r="F180" s="140">
        <f ca="1">IF(ISNUMBER(MATCH(DATEVALUE($A180),'recurring1_based on steps'!F$1:F$400,0)),F$2,)</f>
        <v>0</v>
      </c>
      <c r="G180" s="140">
        <f ca="1">IF(ISNUMBER(MATCH(DATEVALUE($A180),'recurring1_based on steps'!G$1:G$400,0)),G$2,)</f>
        <v>0</v>
      </c>
      <c r="H180" s="140">
        <f ca="1">IF(ISNUMBER(MATCH(DATEVALUE($A180),'recurring1_based on steps'!H$1:H$400,0)),H$2,)</f>
        <v>0</v>
      </c>
      <c r="I180" s="140">
        <f ca="1">IF(ISNUMBER(MATCH(DATEVALUE($A180),'recurring1_based on steps'!I$1:I$400,0)),I$2,)</f>
        <v>0</v>
      </c>
      <c r="J180" s="140">
        <f ca="1">IF(ISNUMBER(MATCH(DATEVALUE($A180),'recurring1_based on steps'!J$1:J$400,0)),J$2,)</f>
        <v>0</v>
      </c>
      <c r="K180" s="140">
        <f ca="1">IF(ISNUMBER(MATCH(DATEVALUE($A180),'recurring1_based on steps'!K$1:K$400,0)),K$2,)</f>
        <v>0</v>
      </c>
      <c r="L180" s="140">
        <f ca="1">IF(ISNUMBER(MATCH(DATEVALUE($A180),'recurring1_based on steps'!L$1:L$400,0)),L$2,)</f>
        <v>0</v>
      </c>
      <c r="M180" s="140">
        <f ca="1">IF(ISNUMBER(MATCH(DATEVALUE($A180),'recurring1_based on steps'!M$1:M$400,0)),M$2,)</f>
        <v>0</v>
      </c>
      <c r="N180" s="140">
        <f ca="1">IF(ISNUMBER(MATCH(DATEVALUE($A180),'recurring1_based on steps'!N$1:N$400,0)),N$2,)</f>
        <v>0</v>
      </c>
      <c r="O180" s="140">
        <f ca="1">IF(ISNUMBER(MATCH(DATEVALUE($A180),'recurring1_based on steps'!O$1:O$400,0)),O$2,)</f>
        <v>0</v>
      </c>
      <c r="P180" s="140">
        <f ca="1">IF(ISNUMBER(MATCH(DATEVALUE($A180),'recurring1_based on steps'!P$1:P$400,0)),P$2,)</f>
        <v>0</v>
      </c>
      <c r="Q180" s="140">
        <f ca="1">IF(ISNUMBER(MATCH(DATEVALUE($A180),'recurring1_based on steps'!Q$1:Q$400,0)),Q$2,)</f>
        <v>100</v>
      </c>
      <c r="R180" s="140">
        <f ca="1">IF(ISNUMBER(MATCH(DATEVALUE($A180),'recurring1_based on steps'!R$1:R$400,0)),R$2,)</f>
        <v>100</v>
      </c>
      <c r="S180" s="140">
        <f ca="1">IF(ISNUMBER(MATCH(DATEVALUE($A180),'recurring1_based on steps'!S$1:S$400,0)),S$2,)</f>
        <v>0</v>
      </c>
      <c r="T180" s="140">
        <f ca="1">IF(ISNUMBER(MATCH(DATEVALUE($A180),'recurring1_based on steps'!T$1:T$400,0)),T$2,)</f>
        <v>0</v>
      </c>
      <c r="U180" s="140">
        <f ca="1">IF(ISNUMBER(MATCH(DATEVALUE($A180),'recurring1_based on steps'!U$1:U$400,0)),U$2,)</f>
        <v>0</v>
      </c>
      <c r="V180" s="140">
        <f ca="1">IF(ISNUMBER(MATCH(DATEVALUE($A180),'recurring1_based on steps'!V$1:V$400,0)),V$2,)</f>
        <v>0</v>
      </c>
      <c r="W180" s="140">
        <f ca="1">IF(ISNUMBER(MATCH(DATEVALUE($A180),'recurring1_based on steps'!W$1:W$400,0)),W$2,)</f>
        <v>0</v>
      </c>
      <c r="X180" s="140">
        <f ca="1">IF(ISNUMBER(MATCH(DATEVALUE($A180),'recurring1_based on steps'!X$1:X$400,0)),X$2,)</f>
        <v>0</v>
      </c>
      <c r="Y180" s="140">
        <f ca="1">IF(ISNUMBER(MATCH(DATEVALUE($A180),'recurring1_based on steps'!Y$1:Y$400,0)),Y$2,)</f>
        <v>0</v>
      </c>
      <c r="Z180" s="140">
        <f ca="1">IF(ISNUMBER(MATCH(DATEVALUE($A180),'recurring1_based on steps'!Z$1:Z$400,0)),Z$2,)</f>
        <v>0</v>
      </c>
      <c r="AA180" s="140">
        <f ca="1">IF(ISNUMBER(MATCH(DATEVALUE($A180),'recurring1_based on steps'!AA$1:AA$400,0)),AA$2,)</f>
        <v>5.8171745152354575</v>
      </c>
      <c r="AB180" s="140">
        <f ca="1">IF(ISNUMBER(MATCH(DATEVALUE($A180),'recurring1_based on steps'!AB$1:AB$400,0)),AB$2,)</f>
        <v>5.5401662049861494E-2</v>
      </c>
      <c r="AC180" s="140">
        <f ca="1">IF(ISNUMBER(MATCH(DATEVALUE($A180),'recurring1_based on steps'!AC$1:AC$400,0)),AC$2,)</f>
        <v>0</v>
      </c>
      <c r="AD180" s="140">
        <f ca="1">IF(ISNUMBER(MATCH(DATEVALUE($A180),'recurring1_based on steps'!AD$1:AD$400,0)),AD$2,)</f>
        <v>0</v>
      </c>
      <c r="AE180" s="140">
        <f ca="1">IF(ISNUMBER(MATCH(DATEVALUE($A180),'recurring1_based on steps'!AE$1:AE$400,0)),AE$2,)</f>
        <v>0</v>
      </c>
      <c r="AF180" s="140">
        <f ca="1">IF(ISNUMBER(MATCH(DATEVALUE($A180),'recurring1_based on steps'!AF$1:AF$400,0)),AF$2,)</f>
        <v>0</v>
      </c>
      <c r="AG180" s="140">
        <f ca="1">IF(ISNUMBER(MATCH(DATEVALUE($A180),'recurring1_based on steps'!AG$1:AG$400,0)),AG$2,)</f>
        <v>0</v>
      </c>
      <c r="AH180" s="140">
        <f ca="1">IF(ISNUMBER(MATCH(DATEVALUE($A180),'recurring1_based on steps'!AH$1:AH$400,0)),AH$2,)</f>
        <v>0</v>
      </c>
      <c r="AI180" s="140">
        <f ca="1">IF(ISNUMBER(MATCH(DATEVALUE($A180),'recurring1_based on steps'!AI$1:AI$400,0)),AI$2,)</f>
        <v>0</v>
      </c>
      <c r="AJ180" s="140">
        <f ca="1">IF(ISNUMBER(MATCH(DATEVALUE($A180),'recurring1_based on steps'!AJ$1:AJ$400,0)),AJ$2,)</f>
        <v>0</v>
      </c>
      <c r="AK180" s="140">
        <f ca="1">IF(ISNUMBER(MATCH(DATEVALUE($A180),'recurring1_based on steps'!AK$1:AK$400,0)),AK$2,)</f>
        <v>0</v>
      </c>
      <c r="AL180" s="140">
        <f ca="1">IF(ISNUMBER(MATCH(DATEVALUE($A180),'recurring1_based on steps'!AL$1:AL$400,0)),AL$2,)</f>
        <v>0</v>
      </c>
      <c r="AM180" s="140">
        <f ca="1">IF(ISNUMBER(MATCH(DATEVALUE($A180),'recurring1_based on steps'!AM$1:AM$400,0)),AM$2,)</f>
        <v>0</v>
      </c>
      <c r="AN180" s="140">
        <f ca="1">IF(ISNUMBER(MATCH(DATEVALUE($A180),'recurring1_based on steps'!AN$1:AN$400,0)),AN$2,)</f>
        <v>0</v>
      </c>
      <c r="AO180" s="140">
        <f ca="1">IF(ISNUMBER(MATCH(DATEVALUE($A180),'recurring1_based on steps'!AO$1:AO$400,0)),AO$2,)</f>
        <v>0</v>
      </c>
      <c r="AP180" s="140">
        <f ca="1">IF(ISNUMBER(MATCH(DATEVALUE($A180),'recurring1_based on steps'!AP$1:AP$400,0)),AP$2,)</f>
        <v>0</v>
      </c>
      <c r="AQ180" s="140">
        <f ca="1">IF(ISNUMBER(MATCH(DATEVALUE($A180),'recurring1_based on steps'!AQ$1:AQ$400,0)),AQ$2,)</f>
        <v>0</v>
      </c>
      <c r="AR180" s="140">
        <f ca="1">IF(ISNUMBER(MATCH(DATEVALUE($A180),'recurring1_based on steps'!AR$1:AR$400,0)),AR$2,)</f>
        <v>0</v>
      </c>
      <c r="AS180" s="140">
        <f ca="1">IF(ISNUMBER(MATCH(DATEVALUE($A180),'recurring1_based on steps'!AS$1:AS$400,0)),AS$2,)</f>
        <v>0</v>
      </c>
      <c r="AT180" s="140">
        <f ca="1">IF(ISNUMBER(MATCH(DATEVALUE($A180),'recurring1_based on steps'!AT$1:AT$400,0)),AT$2,)</f>
        <v>0</v>
      </c>
      <c r="AU180" s="140">
        <f ca="1">IF(ISNUMBER(MATCH(DATEVALUE($A180),'recurring1_based on steps'!AU$1:AU$400,0)),AU$2,)</f>
        <v>0</v>
      </c>
      <c r="AV180" s="140">
        <f ca="1">IF(ISNUMBER(MATCH(DATEVALUE($A180),'recurring1_based on steps'!AV$1:AV$400,0)),AV$2,)</f>
        <v>0</v>
      </c>
      <c r="AW180" s="140">
        <f ca="1">IF(ISNUMBER(MATCH(DATEVALUE($A180),'recurring1_based on steps'!AW$1:AW$400,0)),AW$2,)</f>
        <v>0</v>
      </c>
      <c r="AX180" s="140">
        <f ca="1">IF(ISNUMBER(MATCH(DATEVALUE($A180),'recurring1_based on steps'!AX$1:AX$400,0)),AX$2,)</f>
        <v>0</v>
      </c>
      <c r="AY180" s="140">
        <f ca="1">IF(ISNUMBER(MATCH(DATEVALUE($A180),'recurring1_based on steps'!AY$1:AY$400,0)),AY$2,)</f>
        <v>0</v>
      </c>
    </row>
    <row r="181" spans="1:51" x14ac:dyDescent="0.2">
      <c r="A181" s="29" t="str">
        <f t="shared" ca="1" si="2"/>
        <v>2025-09-21</v>
      </c>
      <c r="B181" s="140">
        <f ca="1">IF(ISNUMBER(MATCH(DATEVALUE($A181),'recurring1_based on steps'!B$1:B$400,0)),B$2,)</f>
        <v>0</v>
      </c>
      <c r="C181" s="140">
        <f ca="1">IF(ISNUMBER(MATCH(DATEVALUE($A181),'recurring1_based on steps'!C$1:C$400,0)),C$2,)</f>
        <v>0</v>
      </c>
      <c r="D181" s="140">
        <f ca="1">IF(ISNUMBER(MATCH(DATEVALUE($A181),'recurring1_based on steps'!D$1:D$400,0)),D$2,)</f>
        <v>0</v>
      </c>
      <c r="E181" s="140">
        <f ca="1">IF(ISNUMBER(MATCH(DATEVALUE($A181),'recurring1_based on steps'!E$1:E$400,0)),E$2,)</f>
        <v>0</v>
      </c>
      <c r="F181" s="140">
        <f ca="1">IF(ISNUMBER(MATCH(DATEVALUE($A181),'recurring1_based on steps'!F$1:F$400,0)),F$2,)</f>
        <v>0</v>
      </c>
      <c r="G181" s="140">
        <f ca="1">IF(ISNUMBER(MATCH(DATEVALUE($A181),'recurring1_based on steps'!G$1:G$400,0)),G$2,)</f>
        <v>0</v>
      </c>
      <c r="H181" s="140">
        <f ca="1">IF(ISNUMBER(MATCH(DATEVALUE($A181),'recurring1_based on steps'!H$1:H$400,0)),H$2,)</f>
        <v>0</v>
      </c>
      <c r="I181" s="140">
        <f ca="1">IF(ISNUMBER(MATCH(DATEVALUE($A181),'recurring1_based on steps'!I$1:I$400,0)),I$2,)</f>
        <v>0</v>
      </c>
      <c r="J181" s="140">
        <f ca="1">IF(ISNUMBER(MATCH(DATEVALUE($A181),'recurring1_based on steps'!J$1:J$400,0)),J$2,)</f>
        <v>0</v>
      </c>
      <c r="K181" s="140">
        <f ca="1">IF(ISNUMBER(MATCH(DATEVALUE($A181),'recurring1_based on steps'!K$1:K$400,0)),K$2,)</f>
        <v>50</v>
      </c>
      <c r="L181" s="140">
        <f ca="1">IF(ISNUMBER(MATCH(DATEVALUE($A181),'recurring1_based on steps'!L$1:L$400,0)),L$2,)</f>
        <v>0</v>
      </c>
      <c r="M181" s="140">
        <f ca="1">IF(ISNUMBER(MATCH(DATEVALUE($A181),'recurring1_based on steps'!M$1:M$400,0)),M$2,)</f>
        <v>0</v>
      </c>
      <c r="N181" s="140">
        <f ca="1">IF(ISNUMBER(MATCH(DATEVALUE($A181),'recurring1_based on steps'!N$1:N$400,0)),N$2,)</f>
        <v>0</v>
      </c>
      <c r="O181" s="140">
        <f ca="1">IF(ISNUMBER(MATCH(DATEVALUE($A181),'recurring1_based on steps'!O$1:O$400,0)),O$2,)</f>
        <v>0</v>
      </c>
      <c r="P181" s="140">
        <f ca="1">IF(ISNUMBER(MATCH(DATEVALUE($A181),'recurring1_based on steps'!P$1:P$400,0)),P$2,)</f>
        <v>0</v>
      </c>
      <c r="Q181" s="140">
        <f ca="1">IF(ISNUMBER(MATCH(DATEVALUE($A181),'recurring1_based on steps'!Q$1:Q$400,0)),Q$2,)</f>
        <v>0</v>
      </c>
      <c r="R181" s="140">
        <f ca="1">IF(ISNUMBER(MATCH(DATEVALUE($A181),'recurring1_based on steps'!R$1:R$400,0)),R$2,)</f>
        <v>0</v>
      </c>
      <c r="S181" s="140">
        <f ca="1">IF(ISNUMBER(MATCH(DATEVALUE($A181),'recurring1_based on steps'!S$1:S$400,0)),S$2,)</f>
        <v>100</v>
      </c>
      <c r="T181" s="140">
        <f ca="1">IF(ISNUMBER(MATCH(DATEVALUE($A181),'recurring1_based on steps'!T$1:T$400,0)),T$2,)</f>
        <v>0</v>
      </c>
      <c r="U181" s="140">
        <f ca="1">IF(ISNUMBER(MATCH(DATEVALUE($A181),'recurring1_based on steps'!U$1:U$400,0)),U$2,)</f>
        <v>0</v>
      </c>
      <c r="V181" s="140">
        <f ca="1">IF(ISNUMBER(MATCH(DATEVALUE($A181),'recurring1_based on steps'!V$1:V$400,0)),V$2,)</f>
        <v>0</v>
      </c>
      <c r="W181" s="140">
        <f ca="1">IF(ISNUMBER(MATCH(DATEVALUE($A181),'recurring1_based on steps'!W$1:W$400,0)),W$2,)</f>
        <v>0</v>
      </c>
      <c r="X181" s="140">
        <f ca="1">IF(ISNUMBER(MATCH(DATEVALUE($A181),'recurring1_based on steps'!X$1:X$400,0)),X$2,)</f>
        <v>0</v>
      </c>
      <c r="Y181" s="140">
        <f ca="1">IF(ISNUMBER(MATCH(DATEVALUE($A181),'recurring1_based on steps'!Y$1:Y$400,0)),Y$2,)</f>
        <v>0</v>
      </c>
      <c r="Z181" s="140">
        <f ca="1">IF(ISNUMBER(MATCH(DATEVALUE($A181),'recurring1_based on steps'!Z$1:Z$400,0)),Z$2,)</f>
        <v>0</v>
      </c>
      <c r="AA181" s="140">
        <f ca="1">IF(ISNUMBER(MATCH(DATEVALUE($A181),'recurring1_based on steps'!AA$1:AA$400,0)),AA$2,)</f>
        <v>0</v>
      </c>
      <c r="AB181" s="140">
        <f ca="1">IF(ISNUMBER(MATCH(DATEVALUE($A181),'recurring1_based on steps'!AB$1:AB$400,0)),AB$2,)</f>
        <v>5.5401662049861494E-2</v>
      </c>
      <c r="AC181" s="140">
        <f ca="1">IF(ISNUMBER(MATCH(DATEVALUE($A181),'recurring1_based on steps'!AC$1:AC$400,0)),AC$2,)</f>
        <v>0</v>
      </c>
      <c r="AD181" s="140">
        <f ca="1">IF(ISNUMBER(MATCH(DATEVALUE($A181),'recurring1_based on steps'!AD$1:AD$400,0)),AD$2,)</f>
        <v>0</v>
      </c>
      <c r="AE181" s="140">
        <f ca="1">IF(ISNUMBER(MATCH(DATEVALUE($A181),'recurring1_based on steps'!AE$1:AE$400,0)),AE$2,)</f>
        <v>0</v>
      </c>
      <c r="AF181" s="140">
        <f ca="1">IF(ISNUMBER(MATCH(DATEVALUE($A181),'recurring1_based on steps'!AF$1:AF$400,0)),AF$2,)</f>
        <v>0</v>
      </c>
      <c r="AG181" s="140">
        <f ca="1">IF(ISNUMBER(MATCH(DATEVALUE($A181),'recurring1_based on steps'!AG$1:AG$400,0)),AG$2,)</f>
        <v>0</v>
      </c>
      <c r="AH181" s="140">
        <f ca="1">IF(ISNUMBER(MATCH(DATEVALUE($A181),'recurring1_based on steps'!AH$1:AH$400,0)),AH$2,)</f>
        <v>0</v>
      </c>
      <c r="AI181" s="140">
        <f ca="1">IF(ISNUMBER(MATCH(DATEVALUE($A181),'recurring1_based on steps'!AI$1:AI$400,0)),AI$2,)</f>
        <v>0</v>
      </c>
      <c r="AJ181" s="140">
        <f ca="1">IF(ISNUMBER(MATCH(DATEVALUE($A181),'recurring1_based on steps'!AJ$1:AJ$400,0)),AJ$2,)</f>
        <v>0</v>
      </c>
      <c r="AK181" s="140">
        <f ca="1">IF(ISNUMBER(MATCH(DATEVALUE($A181),'recurring1_based on steps'!AK$1:AK$400,0)),AK$2,)</f>
        <v>0</v>
      </c>
      <c r="AL181" s="140">
        <f ca="1">IF(ISNUMBER(MATCH(DATEVALUE($A181),'recurring1_based on steps'!AL$1:AL$400,0)),AL$2,)</f>
        <v>0</v>
      </c>
      <c r="AM181" s="140">
        <f ca="1">IF(ISNUMBER(MATCH(DATEVALUE($A181),'recurring1_based on steps'!AM$1:AM$400,0)),AM$2,)</f>
        <v>0</v>
      </c>
      <c r="AN181" s="140">
        <f ca="1">IF(ISNUMBER(MATCH(DATEVALUE($A181),'recurring1_based on steps'!AN$1:AN$400,0)),AN$2,)</f>
        <v>0</v>
      </c>
      <c r="AO181" s="140">
        <f ca="1">IF(ISNUMBER(MATCH(DATEVALUE($A181),'recurring1_based on steps'!AO$1:AO$400,0)),AO$2,)</f>
        <v>0</v>
      </c>
      <c r="AP181" s="140">
        <f ca="1">IF(ISNUMBER(MATCH(DATEVALUE($A181),'recurring1_based on steps'!AP$1:AP$400,0)),AP$2,)</f>
        <v>0</v>
      </c>
      <c r="AQ181" s="140">
        <f ca="1">IF(ISNUMBER(MATCH(DATEVALUE($A181),'recurring1_based on steps'!AQ$1:AQ$400,0)),AQ$2,)</f>
        <v>0</v>
      </c>
      <c r="AR181" s="140">
        <f ca="1">IF(ISNUMBER(MATCH(DATEVALUE($A181),'recurring1_based on steps'!AR$1:AR$400,0)),AR$2,)</f>
        <v>0</v>
      </c>
      <c r="AS181" s="140">
        <f ca="1">IF(ISNUMBER(MATCH(DATEVALUE($A181),'recurring1_based on steps'!AS$1:AS$400,0)),AS$2,)</f>
        <v>0</v>
      </c>
      <c r="AT181" s="140">
        <f ca="1">IF(ISNUMBER(MATCH(DATEVALUE($A181),'recurring1_based on steps'!AT$1:AT$400,0)),AT$2,)</f>
        <v>0</v>
      </c>
      <c r="AU181" s="140">
        <f ca="1">IF(ISNUMBER(MATCH(DATEVALUE($A181),'recurring1_based on steps'!AU$1:AU$400,0)),AU$2,)</f>
        <v>0</v>
      </c>
      <c r="AV181" s="140">
        <f ca="1">IF(ISNUMBER(MATCH(DATEVALUE($A181),'recurring1_based on steps'!AV$1:AV$400,0)),AV$2,)</f>
        <v>0</v>
      </c>
      <c r="AW181" s="140">
        <f ca="1">IF(ISNUMBER(MATCH(DATEVALUE($A181),'recurring1_based on steps'!AW$1:AW$400,0)),AW$2,)</f>
        <v>0</v>
      </c>
      <c r="AX181" s="140">
        <f ca="1">IF(ISNUMBER(MATCH(DATEVALUE($A181),'recurring1_based on steps'!AX$1:AX$400,0)),AX$2,)</f>
        <v>0</v>
      </c>
      <c r="AY181" s="140">
        <f ca="1">IF(ISNUMBER(MATCH(DATEVALUE($A181),'recurring1_based on steps'!AY$1:AY$400,0)),AY$2,)</f>
        <v>0</v>
      </c>
    </row>
    <row r="182" spans="1:51" x14ac:dyDescent="0.2">
      <c r="A182" s="29" t="str">
        <f t="shared" ca="1" si="2"/>
        <v>2025-09-22</v>
      </c>
      <c r="B182" s="140">
        <f ca="1">IF(ISNUMBER(MATCH(DATEVALUE($A182),'recurring1_based on steps'!B$1:B$400,0)),B$2,)</f>
        <v>0</v>
      </c>
      <c r="C182" s="140">
        <f ca="1">IF(ISNUMBER(MATCH(DATEVALUE($A182),'recurring1_based on steps'!C$1:C$400,0)),C$2,)</f>
        <v>0</v>
      </c>
      <c r="D182" s="140">
        <f ca="1">IF(ISNUMBER(MATCH(DATEVALUE($A182),'recurring1_based on steps'!D$1:D$400,0)),D$2,)</f>
        <v>0</v>
      </c>
      <c r="E182" s="140">
        <f ca="1">IF(ISNUMBER(MATCH(DATEVALUE($A182),'recurring1_based on steps'!E$1:E$400,0)),E$2,)</f>
        <v>0</v>
      </c>
      <c r="F182" s="140">
        <f ca="1">IF(ISNUMBER(MATCH(DATEVALUE($A182),'recurring1_based on steps'!F$1:F$400,0)),F$2,)</f>
        <v>0</v>
      </c>
      <c r="G182" s="140">
        <f ca="1">IF(ISNUMBER(MATCH(DATEVALUE($A182),'recurring1_based on steps'!G$1:G$400,0)),G$2,)</f>
        <v>0</v>
      </c>
      <c r="H182" s="140">
        <f ca="1">IF(ISNUMBER(MATCH(DATEVALUE($A182),'recurring1_based on steps'!H$1:H$400,0)),H$2,)</f>
        <v>0</v>
      </c>
      <c r="I182" s="140">
        <f ca="1">IF(ISNUMBER(MATCH(DATEVALUE($A182),'recurring1_based on steps'!I$1:I$400,0)),I$2,)</f>
        <v>0</v>
      </c>
      <c r="J182" s="140">
        <f ca="1">IF(ISNUMBER(MATCH(DATEVALUE($A182),'recurring1_based on steps'!J$1:J$400,0)),J$2,)</f>
        <v>0</v>
      </c>
      <c r="K182" s="140">
        <f ca="1">IF(ISNUMBER(MATCH(DATEVALUE($A182),'recurring1_based on steps'!K$1:K$400,0)),K$2,)</f>
        <v>0</v>
      </c>
      <c r="L182" s="140">
        <f ca="1">IF(ISNUMBER(MATCH(DATEVALUE($A182),'recurring1_based on steps'!L$1:L$400,0)),L$2,)</f>
        <v>0</v>
      </c>
      <c r="M182" s="140">
        <f ca="1">IF(ISNUMBER(MATCH(DATEVALUE($A182),'recurring1_based on steps'!M$1:M$400,0)),M$2,)</f>
        <v>0</v>
      </c>
      <c r="N182" s="140">
        <f ca="1">IF(ISNUMBER(MATCH(DATEVALUE($A182),'recurring1_based on steps'!N$1:N$400,0)),N$2,)</f>
        <v>0</v>
      </c>
      <c r="O182" s="140">
        <f ca="1">IF(ISNUMBER(MATCH(DATEVALUE($A182),'recurring1_based on steps'!O$1:O$400,0)),O$2,)</f>
        <v>0</v>
      </c>
      <c r="P182" s="140">
        <f ca="1">IF(ISNUMBER(MATCH(DATEVALUE($A182),'recurring1_based on steps'!P$1:P$400,0)),P$2,)</f>
        <v>0</v>
      </c>
      <c r="Q182" s="140">
        <f ca="1">IF(ISNUMBER(MATCH(DATEVALUE($A182),'recurring1_based on steps'!Q$1:Q$400,0)),Q$2,)</f>
        <v>0</v>
      </c>
      <c r="R182" s="140">
        <f ca="1">IF(ISNUMBER(MATCH(DATEVALUE($A182),'recurring1_based on steps'!R$1:R$400,0)),R$2,)</f>
        <v>0</v>
      </c>
      <c r="S182" s="140">
        <f ca="1">IF(ISNUMBER(MATCH(DATEVALUE($A182),'recurring1_based on steps'!S$1:S$400,0)),S$2,)</f>
        <v>0</v>
      </c>
      <c r="T182" s="140">
        <f ca="1">IF(ISNUMBER(MATCH(DATEVALUE($A182),'recurring1_based on steps'!T$1:T$400,0)),T$2,)</f>
        <v>50</v>
      </c>
      <c r="U182" s="140">
        <f ca="1">IF(ISNUMBER(MATCH(DATEVALUE($A182),'recurring1_based on steps'!U$1:U$400,0)),U$2,)</f>
        <v>0</v>
      </c>
      <c r="V182" s="140">
        <f ca="1">IF(ISNUMBER(MATCH(DATEVALUE($A182),'recurring1_based on steps'!V$1:V$400,0)),V$2,)</f>
        <v>0</v>
      </c>
      <c r="W182" s="140">
        <f ca="1">IF(ISNUMBER(MATCH(DATEVALUE($A182),'recurring1_based on steps'!W$1:W$400,0)),W$2,)</f>
        <v>0</v>
      </c>
      <c r="X182" s="140">
        <f ca="1">IF(ISNUMBER(MATCH(DATEVALUE($A182),'recurring1_based on steps'!X$1:X$400,0)),X$2,)</f>
        <v>0</v>
      </c>
      <c r="Y182" s="140">
        <f ca="1">IF(ISNUMBER(MATCH(DATEVALUE($A182),'recurring1_based on steps'!Y$1:Y$400,0)),Y$2,)</f>
        <v>0</v>
      </c>
      <c r="Z182" s="140">
        <f ca="1">IF(ISNUMBER(MATCH(DATEVALUE($A182),'recurring1_based on steps'!Z$1:Z$400,0)),Z$2,)</f>
        <v>0</v>
      </c>
      <c r="AA182" s="140">
        <f ca="1">IF(ISNUMBER(MATCH(DATEVALUE($A182),'recurring1_based on steps'!AA$1:AA$400,0)),AA$2,)</f>
        <v>0</v>
      </c>
      <c r="AB182" s="140">
        <f ca="1">IF(ISNUMBER(MATCH(DATEVALUE($A182),'recurring1_based on steps'!AB$1:AB$400,0)),AB$2,)</f>
        <v>5.5401662049861494E-2</v>
      </c>
      <c r="AC182" s="140">
        <f ca="1">IF(ISNUMBER(MATCH(DATEVALUE($A182),'recurring1_based on steps'!AC$1:AC$400,0)),AC$2,)</f>
        <v>0</v>
      </c>
      <c r="AD182" s="140">
        <f ca="1">IF(ISNUMBER(MATCH(DATEVALUE($A182),'recurring1_based on steps'!AD$1:AD$400,0)),AD$2,)</f>
        <v>0</v>
      </c>
      <c r="AE182" s="140">
        <f ca="1">IF(ISNUMBER(MATCH(DATEVALUE($A182),'recurring1_based on steps'!AE$1:AE$400,0)),AE$2,)</f>
        <v>0</v>
      </c>
      <c r="AF182" s="140">
        <f ca="1">IF(ISNUMBER(MATCH(DATEVALUE($A182),'recurring1_based on steps'!AF$1:AF$400,0)),AF$2,)</f>
        <v>0</v>
      </c>
      <c r="AG182" s="140">
        <f ca="1">IF(ISNUMBER(MATCH(DATEVALUE($A182),'recurring1_based on steps'!AG$1:AG$400,0)),AG$2,)</f>
        <v>0</v>
      </c>
      <c r="AH182" s="140">
        <f ca="1">IF(ISNUMBER(MATCH(DATEVALUE($A182),'recurring1_based on steps'!AH$1:AH$400,0)),AH$2,)</f>
        <v>0</v>
      </c>
      <c r="AI182" s="140">
        <f ca="1">IF(ISNUMBER(MATCH(DATEVALUE($A182),'recurring1_based on steps'!AI$1:AI$400,0)),AI$2,)</f>
        <v>0</v>
      </c>
      <c r="AJ182" s="140">
        <f ca="1">IF(ISNUMBER(MATCH(DATEVALUE($A182),'recurring1_based on steps'!AJ$1:AJ$400,0)),AJ$2,)</f>
        <v>0</v>
      </c>
      <c r="AK182" s="140">
        <f ca="1">IF(ISNUMBER(MATCH(DATEVALUE($A182),'recurring1_based on steps'!AK$1:AK$400,0)),AK$2,)</f>
        <v>0</v>
      </c>
      <c r="AL182" s="140">
        <f ca="1">IF(ISNUMBER(MATCH(DATEVALUE($A182),'recurring1_based on steps'!AL$1:AL$400,0)),AL$2,)</f>
        <v>0</v>
      </c>
      <c r="AM182" s="140">
        <f ca="1">IF(ISNUMBER(MATCH(DATEVALUE($A182),'recurring1_based on steps'!AM$1:AM$400,0)),AM$2,)</f>
        <v>0</v>
      </c>
      <c r="AN182" s="140">
        <f ca="1">IF(ISNUMBER(MATCH(DATEVALUE($A182),'recurring1_based on steps'!AN$1:AN$400,0)),AN$2,)</f>
        <v>0</v>
      </c>
      <c r="AO182" s="140">
        <f ca="1">IF(ISNUMBER(MATCH(DATEVALUE($A182),'recurring1_based on steps'!AO$1:AO$400,0)),AO$2,)</f>
        <v>0</v>
      </c>
      <c r="AP182" s="140">
        <f ca="1">IF(ISNUMBER(MATCH(DATEVALUE($A182),'recurring1_based on steps'!AP$1:AP$400,0)),AP$2,)</f>
        <v>0</v>
      </c>
      <c r="AQ182" s="140">
        <f ca="1">IF(ISNUMBER(MATCH(DATEVALUE($A182),'recurring1_based on steps'!AQ$1:AQ$400,0)),AQ$2,)</f>
        <v>0</v>
      </c>
      <c r="AR182" s="140">
        <f ca="1">IF(ISNUMBER(MATCH(DATEVALUE($A182),'recurring1_based on steps'!AR$1:AR$400,0)),AR$2,)</f>
        <v>0</v>
      </c>
      <c r="AS182" s="140">
        <f ca="1">IF(ISNUMBER(MATCH(DATEVALUE($A182),'recurring1_based on steps'!AS$1:AS$400,0)),AS$2,)</f>
        <v>0</v>
      </c>
      <c r="AT182" s="140">
        <f ca="1">IF(ISNUMBER(MATCH(DATEVALUE($A182),'recurring1_based on steps'!AT$1:AT$400,0)),AT$2,)</f>
        <v>0</v>
      </c>
      <c r="AU182" s="140">
        <f ca="1">IF(ISNUMBER(MATCH(DATEVALUE($A182),'recurring1_based on steps'!AU$1:AU$400,0)),AU$2,)</f>
        <v>0</v>
      </c>
      <c r="AV182" s="140">
        <f ca="1">IF(ISNUMBER(MATCH(DATEVALUE($A182),'recurring1_based on steps'!AV$1:AV$400,0)),AV$2,)</f>
        <v>0</v>
      </c>
      <c r="AW182" s="140">
        <f ca="1">IF(ISNUMBER(MATCH(DATEVALUE($A182),'recurring1_based on steps'!AW$1:AW$400,0)),AW$2,)</f>
        <v>0</v>
      </c>
      <c r="AX182" s="140">
        <f ca="1">IF(ISNUMBER(MATCH(DATEVALUE($A182),'recurring1_based on steps'!AX$1:AX$400,0)),AX$2,)</f>
        <v>0</v>
      </c>
      <c r="AY182" s="140">
        <f ca="1">IF(ISNUMBER(MATCH(DATEVALUE($A182),'recurring1_based on steps'!AY$1:AY$400,0)),AY$2,)</f>
        <v>0</v>
      </c>
    </row>
    <row r="183" spans="1:51" x14ac:dyDescent="0.2">
      <c r="A183" s="29" t="str">
        <f t="shared" ca="1" si="2"/>
        <v>2025-09-23</v>
      </c>
      <c r="B183" s="140">
        <f ca="1">IF(ISNUMBER(MATCH(DATEVALUE($A183),'recurring1_based on steps'!B$1:B$400,0)),B$2,)</f>
        <v>0</v>
      </c>
      <c r="C183" s="140">
        <f ca="1">IF(ISNUMBER(MATCH(DATEVALUE($A183),'recurring1_based on steps'!C$1:C$400,0)),C$2,)</f>
        <v>0</v>
      </c>
      <c r="D183" s="140">
        <f ca="1">IF(ISNUMBER(MATCH(DATEVALUE($A183),'recurring1_based on steps'!D$1:D$400,0)),D$2,)</f>
        <v>0</v>
      </c>
      <c r="E183" s="140">
        <f ca="1">IF(ISNUMBER(MATCH(DATEVALUE($A183),'recurring1_based on steps'!E$1:E$400,0)),E$2,)</f>
        <v>0</v>
      </c>
      <c r="F183" s="140">
        <f ca="1">IF(ISNUMBER(MATCH(DATEVALUE($A183),'recurring1_based on steps'!F$1:F$400,0)),F$2,)</f>
        <v>0</v>
      </c>
      <c r="G183" s="140">
        <f ca="1">IF(ISNUMBER(MATCH(DATEVALUE($A183),'recurring1_based on steps'!G$1:G$400,0)),G$2,)</f>
        <v>0</v>
      </c>
      <c r="H183" s="140">
        <f ca="1">IF(ISNUMBER(MATCH(DATEVALUE($A183),'recurring1_based on steps'!H$1:H$400,0)),H$2,)</f>
        <v>0</v>
      </c>
      <c r="I183" s="140">
        <f ca="1">IF(ISNUMBER(MATCH(DATEVALUE($A183),'recurring1_based on steps'!I$1:I$400,0)),I$2,)</f>
        <v>0</v>
      </c>
      <c r="J183" s="140">
        <f ca="1">IF(ISNUMBER(MATCH(DATEVALUE($A183),'recurring1_based on steps'!J$1:J$400,0)),J$2,)</f>
        <v>0</v>
      </c>
      <c r="K183" s="140">
        <f ca="1">IF(ISNUMBER(MATCH(DATEVALUE($A183),'recurring1_based on steps'!K$1:K$400,0)),K$2,)</f>
        <v>0</v>
      </c>
      <c r="L183" s="140">
        <f ca="1">IF(ISNUMBER(MATCH(DATEVALUE($A183),'recurring1_based on steps'!L$1:L$400,0)),L$2,)</f>
        <v>0</v>
      </c>
      <c r="M183" s="140">
        <f ca="1">IF(ISNUMBER(MATCH(DATEVALUE($A183),'recurring1_based on steps'!M$1:M$400,0)),M$2,)</f>
        <v>0</v>
      </c>
      <c r="N183" s="140">
        <f ca="1">IF(ISNUMBER(MATCH(DATEVALUE($A183),'recurring1_based on steps'!N$1:N$400,0)),N$2,)</f>
        <v>0</v>
      </c>
      <c r="O183" s="140">
        <f ca="1">IF(ISNUMBER(MATCH(DATEVALUE($A183),'recurring1_based on steps'!O$1:O$400,0)),O$2,)</f>
        <v>0</v>
      </c>
      <c r="P183" s="140">
        <f ca="1">IF(ISNUMBER(MATCH(DATEVALUE($A183),'recurring1_based on steps'!P$1:P$400,0)),P$2,)</f>
        <v>0</v>
      </c>
      <c r="Q183" s="140">
        <f ca="1">IF(ISNUMBER(MATCH(DATEVALUE($A183),'recurring1_based on steps'!Q$1:Q$400,0)),Q$2,)</f>
        <v>0</v>
      </c>
      <c r="R183" s="140">
        <f ca="1">IF(ISNUMBER(MATCH(DATEVALUE($A183),'recurring1_based on steps'!R$1:R$400,0)),R$2,)</f>
        <v>0</v>
      </c>
      <c r="S183" s="140">
        <f ca="1">IF(ISNUMBER(MATCH(DATEVALUE($A183),'recurring1_based on steps'!S$1:S$400,0)),S$2,)</f>
        <v>0</v>
      </c>
      <c r="T183" s="140">
        <f ca="1">IF(ISNUMBER(MATCH(DATEVALUE($A183),'recurring1_based on steps'!T$1:T$400,0)),T$2,)</f>
        <v>0</v>
      </c>
      <c r="U183" s="140">
        <f ca="1">IF(ISNUMBER(MATCH(DATEVALUE($A183),'recurring1_based on steps'!U$1:U$400,0)),U$2,)</f>
        <v>0</v>
      </c>
      <c r="V183" s="140">
        <f ca="1">IF(ISNUMBER(MATCH(DATEVALUE($A183),'recurring1_based on steps'!V$1:V$400,0)),V$2,)</f>
        <v>0</v>
      </c>
      <c r="W183" s="140">
        <f ca="1">IF(ISNUMBER(MATCH(DATEVALUE($A183),'recurring1_based on steps'!W$1:W$400,0)),W$2,)</f>
        <v>0</v>
      </c>
      <c r="X183" s="140">
        <f ca="1">IF(ISNUMBER(MATCH(DATEVALUE($A183),'recurring1_based on steps'!X$1:X$400,0)),X$2,)</f>
        <v>0</v>
      </c>
      <c r="Y183" s="140">
        <f ca="1">IF(ISNUMBER(MATCH(DATEVALUE($A183),'recurring1_based on steps'!Y$1:Y$400,0)),Y$2,)</f>
        <v>0</v>
      </c>
      <c r="Z183" s="140">
        <f ca="1">IF(ISNUMBER(MATCH(DATEVALUE($A183),'recurring1_based on steps'!Z$1:Z$400,0)),Z$2,)</f>
        <v>0</v>
      </c>
      <c r="AA183" s="140">
        <f ca="1">IF(ISNUMBER(MATCH(DATEVALUE($A183),'recurring1_based on steps'!AA$1:AA$400,0)),AA$2,)</f>
        <v>0</v>
      </c>
      <c r="AB183" s="140">
        <f ca="1">IF(ISNUMBER(MATCH(DATEVALUE($A183),'recurring1_based on steps'!AB$1:AB$400,0)),AB$2,)</f>
        <v>5.5401662049861494E-2</v>
      </c>
      <c r="AC183" s="140">
        <f ca="1">IF(ISNUMBER(MATCH(DATEVALUE($A183),'recurring1_based on steps'!AC$1:AC$400,0)),AC$2,)</f>
        <v>0</v>
      </c>
      <c r="AD183" s="140">
        <f ca="1">IF(ISNUMBER(MATCH(DATEVALUE($A183),'recurring1_based on steps'!AD$1:AD$400,0)),AD$2,)</f>
        <v>0</v>
      </c>
      <c r="AE183" s="140">
        <f ca="1">IF(ISNUMBER(MATCH(DATEVALUE($A183),'recurring1_based on steps'!AE$1:AE$400,0)),AE$2,)</f>
        <v>0</v>
      </c>
      <c r="AF183" s="140">
        <f ca="1">IF(ISNUMBER(MATCH(DATEVALUE($A183),'recurring1_based on steps'!AF$1:AF$400,0)),AF$2,)</f>
        <v>0</v>
      </c>
      <c r="AG183" s="140">
        <f ca="1">IF(ISNUMBER(MATCH(DATEVALUE($A183),'recurring1_based on steps'!AG$1:AG$400,0)),AG$2,)</f>
        <v>0</v>
      </c>
      <c r="AH183" s="140">
        <f ca="1">IF(ISNUMBER(MATCH(DATEVALUE($A183),'recurring1_based on steps'!AH$1:AH$400,0)),AH$2,)</f>
        <v>0</v>
      </c>
      <c r="AI183" s="140">
        <f ca="1">IF(ISNUMBER(MATCH(DATEVALUE($A183),'recurring1_based on steps'!AI$1:AI$400,0)),AI$2,)</f>
        <v>0</v>
      </c>
      <c r="AJ183" s="140">
        <f ca="1">IF(ISNUMBER(MATCH(DATEVALUE($A183),'recurring1_based on steps'!AJ$1:AJ$400,0)),AJ$2,)</f>
        <v>0</v>
      </c>
      <c r="AK183" s="140">
        <f ca="1">IF(ISNUMBER(MATCH(DATEVALUE($A183),'recurring1_based on steps'!AK$1:AK$400,0)),AK$2,)</f>
        <v>0</v>
      </c>
      <c r="AL183" s="140">
        <f ca="1">IF(ISNUMBER(MATCH(DATEVALUE($A183),'recurring1_based on steps'!AL$1:AL$400,0)),AL$2,)</f>
        <v>0</v>
      </c>
      <c r="AM183" s="140">
        <f ca="1">IF(ISNUMBER(MATCH(DATEVALUE($A183),'recurring1_based on steps'!AM$1:AM$400,0)),AM$2,)</f>
        <v>0</v>
      </c>
      <c r="AN183" s="140">
        <f ca="1">IF(ISNUMBER(MATCH(DATEVALUE($A183),'recurring1_based on steps'!AN$1:AN$400,0)),AN$2,)</f>
        <v>0</v>
      </c>
      <c r="AO183" s="140">
        <f ca="1">IF(ISNUMBER(MATCH(DATEVALUE($A183),'recurring1_based on steps'!AO$1:AO$400,0)),AO$2,)</f>
        <v>0</v>
      </c>
      <c r="AP183" s="140">
        <f ca="1">IF(ISNUMBER(MATCH(DATEVALUE($A183),'recurring1_based on steps'!AP$1:AP$400,0)),AP$2,)</f>
        <v>0</v>
      </c>
      <c r="AQ183" s="140">
        <f ca="1">IF(ISNUMBER(MATCH(DATEVALUE($A183),'recurring1_based on steps'!AQ$1:AQ$400,0)),AQ$2,)</f>
        <v>0</v>
      </c>
      <c r="AR183" s="140">
        <f ca="1">IF(ISNUMBER(MATCH(DATEVALUE($A183),'recurring1_based on steps'!AR$1:AR$400,0)),AR$2,)</f>
        <v>0</v>
      </c>
      <c r="AS183" s="140">
        <f ca="1">IF(ISNUMBER(MATCH(DATEVALUE($A183),'recurring1_based on steps'!AS$1:AS$400,0)),AS$2,)</f>
        <v>0</v>
      </c>
      <c r="AT183" s="140">
        <f ca="1">IF(ISNUMBER(MATCH(DATEVALUE($A183),'recurring1_based on steps'!AT$1:AT$400,0)),AT$2,)</f>
        <v>0</v>
      </c>
      <c r="AU183" s="140">
        <f ca="1">IF(ISNUMBER(MATCH(DATEVALUE($A183),'recurring1_based on steps'!AU$1:AU$400,0)),AU$2,)</f>
        <v>0</v>
      </c>
      <c r="AV183" s="140">
        <f ca="1">IF(ISNUMBER(MATCH(DATEVALUE($A183),'recurring1_based on steps'!AV$1:AV$400,0)),AV$2,)</f>
        <v>0</v>
      </c>
      <c r="AW183" s="140">
        <f ca="1">IF(ISNUMBER(MATCH(DATEVALUE($A183),'recurring1_based on steps'!AW$1:AW$400,0)),AW$2,)</f>
        <v>0</v>
      </c>
      <c r="AX183" s="140">
        <f ca="1">IF(ISNUMBER(MATCH(DATEVALUE($A183),'recurring1_based on steps'!AX$1:AX$400,0)),AX$2,)</f>
        <v>0</v>
      </c>
      <c r="AY183" s="140">
        <f ca="1">IF(ISNUMBER(MATCH(DATEVALUE($A183),'recurring1_based on steps'!AY$1:AY$400,0)),AY$2,)</f>
        <v>0</v>
      </c>
    </row>
    <row r="184" spans="1:51" x14ac:dyDescent="0.2">
      <c r="A184" s="29" t="str">
        <f t="shared" ca="1" si="2"/>
        <v>2025-09-24</v>
      </c>
      <c r="B184" s="140">
        <f ca="1">IF(ISNUMBER(MATCH(DATEVALUE($A184),'recurring1_based on steps'!B$1:B$400,0)),B$2,)</f>
        <v>0</v>
      </c>
      <c r="C184" s="140">
        <f ca="1">IF(ISNUMBER(MATCH(DATEVALUE($A184),'recurring1_based on steps'!C$1:C$400,0)),C$2,)</f>
        <v>0</v>
      </c>
      <c r="D184" s="140">
        <f ca="1">IF(ISNUMBER(MATCH(DATEVALUE($A184),'recurring1_based on steps'!D$1:D$400,0)),D$2,)</f>
        <v>0</v>
      </c>
      <c r="E184" s="140">
        <f ca="1">IF(ISNUMBER(MATCH(DATEVALUE($A184),'recurring1_based on steps'!E$1:E$400,0)),E$2,)</f>
        <v>0</v>
      </c>
      <c r="F184" s="140">
        <f ca="1">IF(ISNUMBER(MATCH(DATEVALUE($A184),'recurring1_based on steps'!F$1:F$400,0)),F$2,)</f>
        <v>0</v>
      </c>
      <c r="G184" s="140">
        <f ca="1">IF(ISNUMBER(MATCH(DATEVALUE($A184),'recurring1_based on steps'!G$1:G$400,0)),G$2,)</f>
        <v>0</v>
      </c>
      <c r="H184" s="140">
        <f ca="1">IF(ISNUMBER(MATCH(DATEVALUE($A184),'recurring1_based on steps'!H$1:H$400,0)),H$2,)</f>
        <v>0</v>
      </c>
      <c r="I184" s="140">
        <f ca="1">IF(ISNUMBER(MATCH(DATEVALUE($A184),'recurring1_based on steps'!I$1:I$400,0)),I$2,)</f>
        <v>0</v>
      </c>
      <c r="J184" s="140">
        <f ca="1">IF(ISNUMBER(MATCH(DATEVALUE($A184),'recurring1_based on steps'!J$1:J$400,0)),J$2,)</f>
        <v>0</v>
      </c>
      <c r="K184" s="140">
        <f ca="1">IF(ISNUMBER(MATCH(DATEVALUE($A184),'recurring1_based on steps'!K$1:K$400,0)),K$2,)</f>
        <v>0</v>
      </c>
      <c r="L184" s="140">
        <f ca="1">IF(ISNUMBER(MATCH(DATEVALUE($A184),'recurring1_based on steps'!L$1:L$400,0)),L$2,)</f>
        <v>0</v>
      </c>
      <c r="M184" s="140">
        <f ca="1">IF(ISNUMBER(MATCH(DATEVALUE($A184),'recurring1_based on steps'!M$1:M$400,0)),M$2,)</f>
        <v>0</v>
      </c>
      <c r="N184" s="140">
        <f ca="1">IF(ISNUMBER(MATCH(DATEVALUE($A184),'recurring1_based on steps'!N$1:N$400,0)),N$2,)</f>
        <v>0</v>
      </c>
      <c r="O184" s="140">
        <f ca="1">IF(ISNUMBER(MATCH(DATEVALUE($A184),'recurring1_based on steps'!O$1:O$400,0)),O$2,)</f>
        <v>0</v>
      </c>
      <c r="P184" s="140">
        <f ca="1">IF(ISNUMBER(MATCH(DATEVALUE($A184),'recurring1_based on steps'!P$1:P$400,0)),P$2,)</f>
        <v>0</v>
      </c>
      <c r="Q184" s="140">
        <f ca="1">IF(ISNUMBER(MATCH(DATEVALUE($A184),'recurring1_based on steps'!Q$1:Q$400,0)),Q$2,)</f>
        <v>0</v>
      </c>
      <c r="R184" s="140">
        <f ca="1">IF(ISNUMBER(MATCH(DATEVALUE($A184),'recurring1_based on steps'!R$1:R$400,0)),R$2,)</f>
        <v>0</v>
      </c>
      <c r="S184" s="140">
        <f ca="1">IF(ISNUMBER(MATCH(DATEVALUE($A184),'recurring1_based on steps'!S$1:S$400,0)),S$2,)</f>
        <v>0</v>
      </c>
      <c r="T184" s="140">
        <f ca="1">IF(ISNUMBER(MATCH(DATEVALUE($A184),'recurring1_based on steps'!T$1:T$400,0)),T$2,)</f>
        <v>0</v>
      </c>
      <c r="U184" s="140">
        <f ca="1">IF(ISNUMBER(MATCH(DATEVALUE($A184),'recurring1_based on steps'!U$1:U$400,0)),U$2,)</f>
        <v>0</v>
      </c>
      <c r="V184" s="140">
        <f ca="1">IF(ISNUMBER(MATCH(DATEVALUE($A184),'recurring1_based on steps'!V$1:V$400,0)),V$2,)</f>
        <v>0</v>
      </c>
      <c r="W184" s="140">
        <f ca="1">IF(ISNUMBER(MATCH(DATEVALUE($A184),'recurring1_based on steps'!W$1:W$400,0)),W$2,)</f>
        <v>0</v>
      </c>
      <c r="X184" s="140">
        <f ca="1">IF(ISNUMBER(MATCH(DATEVALUE($A184),'recurring1_based on steps'!X$1:X$400,0)),X$2,)</f>
        <v>0</v>
      </c>
      <c r="Y184" s="140">
        <f ca="1">IF(ISNUMBER(MATCH(DATEVALUE($A184),'recurring1_based on steps'!Y$1:Y$400,0)),Y$2,)</f>
        <v>0</v>
      </c>
      <c r="Z184" s="140">
        <f ca="1">IF(ISNUMBER(MATCH(DATEVALUE($A184),'recurring1_based on steps'!Z$1:Z$400,0)),Z$2,)</f>
        <v>0</v>
      </c>
      <c r="AA184" s="140">
        <f ca="1">IF(ISNUMBER(MATCH(DATEVALUE($A184),'recurring1_based on steps'!AA$1:AA$400,0)),AA$2,)</f>
        <v>0</v>
      </c>
      <c r="AB184" s="140">
        <f ca="1">IF(ISNUMBER(MATCH(DATEVALUE($A184),'recurring1_based on steps'!AB$1:AB$400,0)),AB$2,)</f>
        <v>5.5401662049861494E-2</v>
      </c>
      <c r="AC184" s="140">
        <f ca="1">IF(ISNUMBER(MATCH(DATEVALUE($A184),'recurring1_based on steps'!AC$1:AC$400,0)),AC$2,)</f>
        <v>0</v>
      </c>
      <c r="AD184" s="140">
        <f ca="1">IF(ISNUMBER(MATCH(DATEVALUE($A184),'recurring1_based on steps'!AD$1:AD$400,0)),AD$2,)</f>
        <v>0</v>
      </c>
      <c r="AE184" s="140">
        <f ca="1">IF(ISNUMBER(MATCH(DATEVALUE($A184),'recurring1_based on steps'!AE$1:AE$400,0)),AE$2,)</f>
        <v>0</v>
      </c>
      <c r="AF184" s="140">
        <f ca="1">IF(ISNUMBER(MATCH(DATEVALUE($A184),'recurring1_based on steps'!AF$1:AF$400,0)),AF$2,)</f>
        <v>0</v>
      </c>
      <c r="AG184" s="140">
        <f ca="1">IF(ISNUMBER(MATCH(DATEVALUE($A184),'recurring1_based on steps'!AG$1:AG$400,0)),AG$2,)</f>
        <v>0</v>
      </c>
      <c r="AH184" s="140">
        <f ca="1">IF(ISNUMBER(MATCH(DATEVALUE($A184),'recurring1_based on steps'!AH$1:AH$400,0)),AH$2,)</f>
        <v>0</v>
      </c>
      <c r="AI184" s="140">
        <f ca="1">IF(ISNUMBER(MATCH(DATEVALUE($A184),'recurring1_based on steps'!AI$1:AI$400,0)),AI$2,)</f>
        <v>0</v>
      </c>
      <c r="AJ184" s="140">
        <f ca="1">IF(ISNUMBER(MATCH(DATEVALUE($A184),'recurring1_based on steps'!AJ$1:AJ$400,0)),AJ$2,)</f>
        <v>0</v>
      </c>
      <c r="AK184" s="140">
        <f ca="1">IF(ISNUMBER(MATCH(DATEVALUE($A184),'recurring1_based on steps'!AK$1:AK$400,0)),AK$2,)</f>
        <v>0</v>
      </c>
      <c r="AL184" s="140">
        <f ca="1">IF(ISNUMBER(MATCH(DATEVALUE($A184),'recurring1_based on steps'!AL$1:AL$400,0)),AL$2,)</f>
        <v>0</v>
      </c>
      <c r="AM184" s="140">
        <f ca="1">IF(ISNUMBER(MATCH(DATEVALUE($A184),'recurring1_based on steps'!AM$1:AM$400,0)),AM$2,)</f>
        <v>0</v>
      </c>
      <c r="AN184" s="140">
        <f ca="1">IF(ISNUMBER(MATCH(DATEVALUE($A184),'recurring1_based on steps'!AN$1:AN$400,0)),AN$2,)</f>
        <v>0</v>
      </c>
      <c r="AO184" s="140">
        <f ca="1">IF(ISNUMBER(MATCH(DATEVALUE($A184),'recurring1_based on steps'!AO$1:AO$400,0)),AO$2,)</f>
        <v>0</v>
      </c>
      <c r="AP184" s="140">
        <f ca="1">IF(ISNUMBER(MATCH(DATEVALUE($A184),'recurring1_based on steps'!AP$1:AP$400,0)),AP$2,)</f>
        <v>0</v>
      </c>
      <c r="AQ184" s="140">
        <f ca="1">IF(ISNUMBER(MATCH(DATEVALUE($A184),'recurring1_based on steps'!AQ$1:AQ$400,0)),AQ$2,)</f>
        <v>0</v>
      </c>
      <c r="AR184" s="140">
        <f ca="1">IF(ISNUMBER(MATCH(DATEVALUE($A184),'recurring1_based on steps'!AR$1:AR$400,0)),AR$2,)</f>
        <v>0</v>
      </c>
      <c r="AS184" s="140">
        <f ca="1">IF(ISNUMBER(MATCH(DATEVALUE($A184),'recurring1_based on steps'!AS$1:AS$400,0)),AS$2,)</f>
        <v>0</v>
      </c>
      <c r="AT184" s="140">
        <f ca="1">IF(ISNUMBER(MATCH(DATEVALUE($A184),'recurring1_based on steps'!AT$1:AT$400,0)),AT$2,)</f>
        <v>0</v>
      </c>
      <c r="AU184" s="140">
        <f ca="1">IF(ISNUMBER(MATCH(DATEVALUE($A184),'recurring1_based on steps'!AU$1:AU$400,0)),AU$2,)</f>
        <v>0</v>
      </c>
      <c r="AV184" s="140">
        <f ca="1">IF(ISNUMBER(MATCH(DATEVALUE($A184),'recurring1_based on steps'!AV$1:AV$400,0)),AV$2,)</f>
        <v>0</v>
      </c>
      <c r="AW184" s="140">
        <f ca="1">IF(ISNUMBER(MATCH(DATEVALUE($A184),'recurring1_based on steps'!AW$1:AW$400,0)),AW$2,)</f>
        <v>0</v>
      </c>
      <c r="AX184" s="140">
        <f ca="1">IF(ISNUMBER(MATCH(DATEVALUE($A184),'recurring1_based on steps'!AX$1:AX$400,0)),AX$2,)</f>
        <v>0</v>
      </c>
      <c r="AY184" s="140">
        <f ca="1">IF(ISNUMBER(MATCH(DATEVALUE($A184),'recurring1_based on steps'!AY$1:AY$400,0)),AY$2,)</f>
        <v>0</v>
      </c>
    </row>
    <row r="185" spans="1:51" x14ac:dyDescent="0.2">
      <c r="A185" s="29" t="str">
        <f t="shared" ca="1" si="2"/>
        <v>2025-09-25</v>
      </c>
      <c r="B185" s="140">
        <f ca="1">IF(ISNUMBER(MATCH(DATEVALUE($A185),'recurring1_based on steps'!B$1:B$400,0)),B$2,)</f>
        <v>0</v>
      </c>
      <c r="C185" s="140">
        <f ca="1">IF(ISNUMBER(MATCH(DATEVALUE($A185),'recurring1_based on steps'!C$1:C$400,0)),C$2,)</f>
        <v>0</v>
      </c>
      <c r="D185" s="140">
        <f ca="1">IF(ISNUMBER(MATCH(DATEVALUE($A185),'recurring1_based on steps'!D$1:D$400,0)),D$2,)</f>
        <v>0</v>
      </c>
      <c r="E185" s="140">
        <f ca="1">IF(ISNUMBER(MATCH(DATEVALUE($A185),'recurring1_based on steps'!E$1:E$400,0)),E$2,)</f>
        <v>0</v>
      </c>
      <c r="F185" s="140">
        <f ca="1">IF(ISNUMBER(MATCH(DATEVALUE($A185),'recurring1_based on steps'!F$1:F$400,0)),F$2,)</f>
        <v>0</v>
      </c>
      <c r="G185" s="140">
        <f ca="1">IF(ISNUMBER(MATCH(DATEVALUE($A185),'recurring1_based on steps'!G$1:G$400,0)),G$2,)</f>
        <v>0</v>
      </c>
      <c r="H185" s="140">
        <f ca="1">IF(ISNUMBER(MATCH(DATEVALUE($A185),'recurring1_based on steps'!H$1:H$400,0)),H$2,)</f>
        <v>0</v>
      </c>
      <c r="I185" s="140">
        <f ca="1">IF(ISNUMBER(MATCH(DATEVALUE($A185),'recurring1_based on steps'!I$1:I$400,0)),I$2,)</f>
        <v>0</v>
      </c>
      <c r="J185" s="140">
        <f ca="1">IF(ISNUMBER(MATCH(DATEVALUE($A185),'recurring1_based on steps'!J$1:J$400,0)),J$2,)</f>
        <v>0</v>
      </c>
      <c r="K185" s="140">
        <f ca="1">IF(ISNUMBER(MATCH(DATEVALUE($A185),'recurring1_based on steps'!K$1:K$400,0)),K$2,)</f>
        <v>0</v>
      </c>
      <c r="L185" s="140">
        <f ca="1">IF(ISNUMBER(MATCH(DATEVALUE($A185),'recurring1_based on steps'!L$1:L$400,0)),L$2,)</f>
        <v>0</v>
      </c>
      <c r="M185" s="140">
        <f ca="1">IF(ISNUMBER(MATCH(DATEVALUE($A185),'recurring1_based on steps'!M$1:M$400,0)),M$2,)</f>
        <v>0</v>
      </c>
      <c r="N185" s="140">
        <f ca="1">IF(ISNUMBER(MATCH(DATEVALUE($A185),'recurring1_based on steps'!N$1:N$400,0)),N$2,)</f>
        <v>0</v>
      </c>
      <c r="O185" s="140">
        <f ca="1">IF(ISNUMBER(MATCH(DATEVALUE($A185),'recurring1_based on steps'!O$1:O$400,0)),O$2,)</f>
        <v>0</v>
      </c>
      <c r="P185" s="140">
        <f ca="1">IF(ISNUMBER(MATCH(DATEVALUE($A185),'recurring1_based on steps'!P$1:P$400,0)),P$2,)</f>
        <v>0</v>
      </c>
      <c r="Q185" s="140">
        <f ca="1">IF(ISNUMBER(MATCH(DATEVALUE($A185),'recurring1_based on steps'!Q$1:Q$400,0)),Q$2,)</f>
        <v>0</v>
      </c>
      <c r="R185" s="140">
        <f ca="1">IF(ISNUMBER(MATCH(DATEVALUE($A185),'recurring1_based on steps'!R$1:R$400,0)),R$2,)</f>
        <v>0</v>
      </c>
      <c r="S185" s="140">
        <f ca="1">IF(ISNUMBER(MATCH(DATEVALUE($A185),'recurring1_based on steps'!S$1:S$400,0)),S$2,)</f>
        <v>0</v>
      </c>
      <c r="T185" s="140">
        <f ca="1">IF(ISNUMBER(MATCH(DATEVALUE($A185),'recurring1_based on steps'!T$1:T$400,0)),T$2,)</f>
        <v>0</v>
      </c>
      <c r="U185" s="140">
        <f ca="1">IF(ISNUMBER(MATCH(DATEVALUE($A185),'recurring1_based on steps'!U$1:U$400,0)),U$2,)</f>
        <v>50</v>
      </c>
      <c r="V185" s="140">
        <f ca="1">IF(ISNUMBER(MATCH(DATEVALUE($A185),'recurring1_based on steps'!V$1:V$400,0)),V$2,)</f>
        <v>0</v>
      </c>
      <c r="W185" s="140">
        <f ca="1">IF(ISNUMBER(MATCH(DATEVALUE($A185),'recurring1_based on steps'!W$1:W$400,0)),W$2,)</f>
        <v>0</v>
      </c>
      <c r="X185" s="140">
        <f ca="1">IF(ISNUMBER(MATCH(DATEVALUE($A185),'recurring1_based on steps'!X$1:X$400,0)),X$2,)</f>
        <v>0</v>
      </c>
      <c r="Y185" s="140">
        <f ca="1">IF(ISNUMBER(MATCH(DATEVALUE($A185),'recurring1_based on steps'!Y$1:Y$400,0)),Y$2,)</f>
        <v>0</v>
      </c>
      <c r="Z185" s="140">
        <f ca="1">IF(ISNUMBER(MATCH(DATEVALUE($A185),'recurring1_based on steps'!Z$1:Z$400,0)),Z$2,)</f>
        <v>0</v>
      </c>
      <c r="AA185" s="140">
        <f ca="1">IF(ISNUMBER(MATCH(DATEVALUE($A185),'recurring1_based on steps'!AA$1:AA$400,0)),AA$2,)</f>
        <v>0</v>
      </c>
      <c r="AB185" s="140">
        <f ca="1">IF(ISNUMBER(MATCH(DATEVALUE($A185),'recurring1_based on steps'!AB$1:AB$400,0)),AB$2,)</f>
        <v>5.5401662049861494E-2</v>
      </c>
      <c r="AC185" s="140">
        <f ca="1">IF(ISNUMBER(MATCH(DATEVALUE($A185),'recurring1_based on steps'!AC$1:AC$400,0)),AC$2,)</f>
        <v>0</v>
      </c>
      <c r="AD185" s="140">
        <f ca="1">IF(ISNUMBER(MATCH(DATEVALUE($A185),'recurring1_based on steps'!AD$1:AD$400,0)),AD$2,)</f>
        <v>0</v>
      </c>
      <c r="AE185" s="140">
        <f ca="1">IF(ISNUMBER(MATCH(DATEVALUE($A185),'recurring1_based on steps'!AE$1:AE$400,0)),AE$2,)</f>
        <v>0</v>
      </c>
      <c r="AF185" s="140">
        <f ca="1">IF(ISNUMBER(MATCH(DATEVALUE($A185),'recurring1_based on steps'!AF$1:AF$400,0)),AF$2,)</f>
        <v>0</v>
      </c>
      <c r="AG185" s="140">
        <f ca="1">IF(ISNUMBER(MATCH(DATEVALUE($A185),'recurring1_based on steps'!AG$1:AG$400,0)),AG$2,)</f>
        <v>0</v>
      </c>
      <c r="AH185" s="140">
        <f ca="1">IF(ISNUMBER(MATCH(DATEVALUE($A185),'recurring1_based on steps'!AH$1:AH$400,0)),AH$2,)</f>
        <v>0</v>
      </c>
      <c r="AI185" s="140">
        <f ca="1">IF(ISNUMBER(MATCH(DATEVALUE($A185),'recurring1_based on steps'!AI$1:AI$400,0)),AI$2,)</f>
        <v>0</v>
      </c>
      <c r="AJ185" s="140">
        <f ca="1">IF(ISNUMBER(MATCH(DATEVALUE($A185),'recurring1_based on steps'!AJ$1:AJ$400,0)),AJ$2,)</f>
        <v>0</v>
      </c>
      <c r="AK185" s="140">
        <f ca="1">IF(ISNUMBER(MATCH(DATEVALUE($A185),'recurring1_based on steps'!AK$1:AK$400,0)),AK$2,)</f>
        <v>0</v>
      </c>
      <c r="AL185" s="140">
        <f ca="1">IF(ISNUMBER(MATCH(DATEVALUE($A185),'recurring1_based on steps'!AL$1:AL$400,0)),AL$2,)</f>
        <v>0</v>
      </c>
      <c r="AM185" s="140">
        <f ca="1">IF(ISNUMBER(MATCH(DATEVALUE($A185),'recurring1_based on steps'!AM$1:AM$400,0)),AM$2,)</f>
        <v>0</v>
      </c>
      <c r="AN185" s="140">
        <f ca="1">IF(ISNUMBER(MATCH(DATEVALUE($A185),'recurring1_based on steps'!AN$1:AN$400,0)),AN$2,)</f>
        <v>0</v>
      </c>
      <c r="AO185" s="140">
        <f ca="1">IF(ISNUMBER(MATCH(DATEVALUE($A185),'recurring1_based on steps'!AO$1:AO$400,0)),AO$2,)</f>
        <v>0</v>
      </c>
      <c r="AP185" s="140">
        <f ca="1">IF(ISNUMBER(MATCH(DATEVALUE($A185),'recurring1_based on steps'!AP$1:AP$400,0)),AP$2,)</f>
        <v>0</v>
      </c>
      <c r="AQ185" s="140">
        <f ca="1">IF(ISNUMBER(MATCH(DATEVALUE($A185),'recurring1_based on steps'!AQ$1:AQ$400,0)),AQ$2,)</f>
        <v>0</v>
      </c>
      <c r="AR185" s="140">
        <f ca="1">IF(ISNUMBER(MATCH(DATEVALUE($A185),'recurring1_based on steps'!AR$1:AR$400,0)),AR$2,)</f>
        <v>0</v>
      </c>
      <c r="AS185" s="140">
        <f ca="1">IF(ISNUMBER(MATCH(DATEVALUE($A185),'recurring1_based on steps'!AS$1:AS$400,0)),AS$2,)</f>
        <v>0</v>
      </c>
      <c r="AT185" s="140">
        <f ca="1">IF(ISNUMBER(MATCH(DATEVALUE($A185),'recurring1_based on steps'!AT$1:AT$400,0)),AT$2,)</f>
        <v>0</v>
      </c>
      <c r="AU185" s="140">
        <f ca="1">IF(ISNUMBER(MATCH(DATEVALUE($A185),'recurring1_based on steps'!AU$1:AU$400,0)),AU$2,)</f>
        <v>0</v>
      </c>
      <c r="AV185" s="140">
        <f ca="1">IF(ISNUMBER(MATCH(DATEVALUE($A185),'recurring1_based on steps'!AV$1:AV$400,0)),AV$2,)</f>
        <v>0</v>
      </c>
      <c r="AW185" s="140">
        <f ca="1">IF(ISNUMBER(MATCH(DATEVALUE($A185),'recurring1_based on steps'!AW$1:AW$400,0)),AW$2,)</f>
        <v>0</v>
      </c>
      <c r="AX185" s="140">
        <f ca="1">IF(ISNUMBER(MATCH(DATEVALUE($A185),'recurring1_based on steps'!AX$1:AX$400,0)),AX$2,)</f>
        <v>0</v>
      </c>
      <c r="AY185" s="140">
        <f ca="1">IF(ISNUMBER(MATCH(DATEVALUE($A185),'recurring1_based on steps'!AY$1:AY$400,0)),AY$2,)</f>
        <v>0</v>
      </c>
    </row>
    <row r="186" spans="1:51" x14ac:dyDescent="0.2">
      <c r="A186" s="29" t="str">
        <f t="shared" ca="1" si="2"/>
        <v>2025-09-26</v>
      </c>
      <c r="B186" s="140">
        <f ca="1">IF(ISNUMBER(MATCH(DATEVALUE($A186),'recurring1_based on steps'!B$1:B$400,0)),B$2,)</f>
        <v>0</v>
      </c>
      <c r="C186" s="140">
        <f ca="1">IF(ISNUMBER(MATCH(DATEVALUE($A186),'recurring1_based on steps'!C$1:C$400,0)),C$2,)</f>
        <v>0</v>
      </c>
      <c r="D186" s="140">
        <f ca="1">IF(ISNUMBER(MATCH(DATEVALUE($A186),'recurring1_based on steps'!D$1:D$400,0)),D$2,)</f>
        <v>0</v>
      </c>
      <c r="E186" s="140">
        <f ca="1">IF(ISNUMBER(MATCH(DATEVALUE($A186),'recurring1_based on steps'!E$1:E$400,0)),E$2,)</f>
        <v>0</v>
      </c>
      <c r="F186" s="140">
        <f ca="1">IF(ISNUMBER(MATCH(DATEVALUE($A186),'recurring1_based on steps'!F$1:F$400,0)),F$2,)</f>
        <v>0</v>
      </c>
      <c r="G186" s="140">
        <f ca="1">IF(ISNUMBER(MATCH(DATEVALUE($A186),'recurring1_based on steps'!G$1:G$400,0)),G$2,)</f>
        <v>0</v>
      </c>
      <c r="H186" s="140">
        <f ca="1">IF(ISNUMBER(MATCH(DATEVALUE($A186),'recurring1_based on steps'!H$1:H$400,0)),H$2,)</f>
        <v>0</v>
      </c>
      <c r="I186" s="140">
        <f ca="1">IF(ISNUMBER(MATCH(DATEVALUE($A186),'recurring1_based on steps'!I$1:I$400,0)),I$2,)</f>
        <v>0</v>
      </c>
      <c r="J186" s="140">
        <f ca="1">IF(ISNUMBER(MATCH(DATEVALUE($A186),'recurring1_based on steps'!J$1:J$400,0)),J$2,)</f>
        <v>0</v>
      </c>
      <c r="K186" s="140">
        <f ca="1">IF(ISNUMBER(MATCH(DATEVALUE($A186),'recurring1_based on steps'!K$1:K$400,0)),K$2,)</f>
        <v>0</v>
      </c>
      <c r="L186" s="140">
        <f ca="1">IF(ISNUMBER(MATCH(DATEVALUE($A186),'recurring1_based on steps'!L$1:L$400,0)),L$2,)</f>
        <v>0</v>
      </c>
      <c r="M186" s="140">
        <f ca="1">IF(ISNUMBER(MATCH(DATEVALUE($A186),'recurring1_based on steps'!M$1:M$400,0)),M$2,)</f>
        <v>0</v>
      </c>
      <c r="N186" s="140">
        <f ca="1">IF(ISNUMBER(MATCH(DATEVALUE($A186),'recurring1_based on steps'!N$1:N$400,0)),N$2,)</f>
        <v>0</v>
      </c>
      <c r="O186" s="140">
        <f ca="1">IF(ISNUMBER(MATCH(DATEVALUE($A186),'recurring1_based on steps'!O$1:O$400,0)),O$2,)</f>
        <v>0</v>
      </c>
      <c r="P186" s="140">
        <f ca="1">IF(ISNUMBER(MATCH(DATEVALUE($A186),'recurring1_based on steps'!P$1:P$400,0)),P$2,)</f>
        <v>0</v>
      </c>
      <c r="Q186" s="140">
        <f ca="1">IF(ISNUMBER(MATCH(DATEVALUE($A186),'recurring1_based on steps'!Q$1:Q$400,0)),Q$2,)</f>
        <v>0</v>
      </c>
      <c r="R186" s="140">
        <f ca="1">IF(ISNUMBER(MATCH(DATEVALUE($A186),'recurring1_based on steps'!R$1:R$400,0)),R$2,)</f>
        <v>0</v>
      </c>
      <c r="S186" s="140">
        <f ca="1">IF(ISNUMBER(MATCH(DATEVALUE($A186),'recurring1_based on steps'!S$1:S$400,0)),S$2,)</f>
        <v>0</v>
      </c>
      <c r="T186" s="140">
        <f ca="1">IF(ISNUMBER(MATCH(DATEVALUE($A186),'recurring1_based on steps'!T$1:T$400,0)),T$2,)</f>
        <v>0</v>
      </c>
      <c r="U186" s="140">
        <f ca="1">IF(ISNUMBER(MATCH(DATEVALUE($A186),'recurring1_based on steps'!U$1:U$400,0)),U$2,)</f>
        <v>0</v>
      </c>
      <c r="V186" s="140">
        <f ca="1">IF(ISNUMBER(MATCH(DATEVALUE($A186),'recurring1_based on steps'!V$1:V$400,0)),V$2,)</f>
        <v>0</v>
      </c>
      <c r="W186" s="140">
        <f ca="1">IF(ISNUMBER(MATCH(DATEVALUE($A186),'recurring1_based on steps'!W$1:W$400,0)),W$2,)</f>
        <v>0</v>
      </c>
      <c r="X186" s="140">
        <f ca="1">IF(ISNUMBER(MATCH(DATEVALUE($A186),'recurring1_based on steps'!X$1:X$400,0)),X$2,)</f>
        <v>0</v>
      </c>
      <c r="Y186" s="140">
        <f ca="1">IF(ISNUMBER(MATCH(DATEVALUE($A186),'recurring1_based on steps'!Y$1:Y$400,0)),Y$2,)</f>
        <v>0</v>
      </c>
      <c r="Z186" s="140">
        <f ca="1">IF(ISNUMBER(MATCH(DATEVALUE($A186),'recurring1_based on steps'!Z$1:Z$400,0)),Z$2,)</f>
        <v>0</v>
      </c>
      <c r="AA186" s="140">
        <f ca="1">IF(ISNUMBER(MATCH(DATEVALUE($A186),'recurring1_based on steps'!AA$1:AA$400,0)),AA$2,)</f>
        <v>0</v>
      </c>
      <c r="AB186" s="140">
        <f ca="1">IF(ISNUMBER(MATCH(DATEVALUE($A186),'recurring1_based on steps'!AB$1:AB$400,0)),AB$2,)</f>
        <v>5.5401662049861494E-2</v>
      </c>
      <c r="AC186" s="140">
        <f ca="1">IF(ISNUMBER(MATCH(DATEVALUE($A186),'recurring1_based on steps'!AC$1:AC$400,0)),AC$2,)</f>
        <v>0</v>
      </c>
      <c r="AD186" s="140">
        <f ca="1">IF(ISNUMBER(MATCH(DATEVALUE($A186),'recurring1_based on steps'!AD$1:AD$400,0)),AD$2,)</f>
        <v>0</v>
      </c>
      <c r="AE186" s="140">
        <f ca="1">IF(ISNUMBER(MATCH(DATEVALUE($A186),'recurring1_based on steps'!AE$1:AE$400,0)),AE$2,)</f>
        <v>0</v>
      </c>
      <c r="AF186" s="140">
        <f ca="1">IF(ISNUMBER(MATCH(DATEVALUE($A186),'recurring1_based on steps'!AF$1:AF$400,0)),AF$2,)</f>
        <v>0</v>
      </c>
      <c r="AG186" s="140">
        <f ca="1">IF(ISNUMBER(MATCH(DATEVALUE($A186),'recurring1_based on steps'!AG$1:AG$400,0)),AG$2,)</f>
        <v>0</v>
      </c>
      <c r="AH186" s="140">
        <f ca="1">IF(ISNUMBER(MATCH(DATEVALUE($A186),'recurring1_based on steps'!AH$1:AH$400,0)),AH$2,)</f>
        <v>0</v>
      </c>
      <c r="AI186" s="140">
        <f ca="1">IF(ISNUMBER(MATCH(DATEVALUE($A186),'recurring1_based on steps'!AI$1:AI$400,0)),AI$2,)</f>
        <v>0</v>
      </c>
      <c r="AJ186" s="140">
        <f ca="1">IF(ISNUMBER(MATCH(DATEVALUE($A186),'recurring1_based on steps'!AJ$1:AJ$400,0)),AJ$2,)</f>
        <v>0</v>
      </c>
      <c r="AK186" s="140">
        <f ca="1">IF(ISNUMBER(MATCH(DATEVALUE($A186),'recurring1_based on steps'!AK$1:AK$400,0)),AK$2,)</f>
        <v>0</v>
      </c>
      <c r="AL186" s="140">
        <f ca="1">IF(ISNUMBER(MATCH(DATEVALUE($A186),'recurring1_based on steps'!AL$1:AL$400,0)),AL$2,)</f>
        <v>0</v>
      </c>
      <c r="AM186" s="140">
        <f ca="1">IF(ISNUMBER(MATCH(DATEVALUE($A186),'recurring1_based on steps'!AM$1:AM$400,0)),AM$2,)</f>
        <v>0</v>
      </c>
      <c r="AN186" s="140">
        <f ca="1">IF(ISNUMBER(MATCH(DATEVALUE($A186),'recurring1_based on steps'!AN$1:AN$400,0)),AN$2,)</f>
        <v>0</v>
      </c>
      <c r="AO186" s="140">
        <f ca="1">IF(ISNUMBER(MATCH(DATEVALUE($A186),'recurring1_based on steps'!AO$1:AO$400,0)),AO$2,)</f>
        <v>0</v>
      </c>
      <c r="AP186" s="140">
        <f ca="1">IF(ISNUMBER(MATCH(DATEVALUE($A186),'recurring1_based on steps'!AP$1:AP$400,0)),AP$2,)</f>
        <v>0</v>
      </c>
      <c r="AQ186" s="140">
        <f ca="1">IF(ISNUMBER(MATCH(DATEVALUE($A186),'recurring1_based on steps'!AQ$1:AQ$400,0)),AQ$2,)</f>
        <v>0</v>
      </c>
      <c r="AR186" s="140">
        <f ca="1">IF(ISNUMBER(MATCH(DATEVALUE($A186),'recurring1_based on steps'!AR$1:AR$400,0)),AR$2,)</f>
        <v>0</v>
      </c>
      <c r="AS186" s="140">
        <f ca="1">IF(ISNUMBER(MATCH(DATEVALUE($A186),'recurring1_based on steps'!AS$1:AS$400,0)),AS$2,)</f>
        <v>0</v>
      </c>
      <c r="AT186" s="140">
        <f ca="1">IF(ISNUMBER(MATCH(DATEVALUE($A186),'recurring1_based on steps'!AT$1:AT$400,0)),AT$2,)</f>
        <v>0</v>
      </c>
      <c r="AU186" s="140">
        <f ca="1">IF(ISNUMBER(MATCH(DATEVALUE($A186),'recurring1_based on steps'!AU$1:AU$400,0)),AU$2,)</f>
        <v>0</v>
      </c>
      <c r="AV186" s="140">
        <f ca="1">IF(ISNUMBER(MATCH(DATEVALUE($A186),'recurring1_based on steps'!AV$1:AV$400,0)),AV$2,)</f>
        <v>0</v>
      </c>
      <c r="AW186" s="140">
        <f ca="1">IF(ISNUMBER(MATCH(DATEVALUE($A186),'recurring1_based on steps'!AW$1:AW$400,0)),AW$2,)</f>
        <v>0</v>
      </c>
      <c r="AX186" s="140">
        <f ca="1">IF(ISNUMBER(MATCH(DATEVALUE($A186),'recurring1_based on steps'!AX$1:AX$400,0)),AX$2,)</f>
        <v>0</v>
      </c>
      <c r="AY186" s="140">
        <f ca="1">IF(ISNUMBER(MATCH(DATEVALUE($A186),'recurring1_based on steps'!AY$1:AY$400,0)),AY$2,)</f>
        <v>0</v>
      </c>
    </row>
    <row r="187" spans="1:51" x14ac:dyDescent="0.2">
      <c r="A187" s="29" t="str">
        <f t="shared" ca="1" si="2"/>
        <v>2025-09-27</v>
      </c>
      <c r="B187" s="140">
        <f ca="1">IF(ISNUMBER(MATCH(DATEVALUE($A187),'recurring1_based on steps'!B$1:B$400,0)),B$2,)</f>
        <v>0</v>
      </c>
      <c r="C187" s="140">
        <f ca="1">IF(ISNUMBER(MATCH(DATEVALUE($A187),'recurring1_based on steps'!C$1:C$400,0)),C$2,)</f>
        <v>0</v>
      </c>
      <c r="D187" s="140">
        <f ca="1">IF(ISNUMBER(MATCH(DATEVALUE($A187),'recurring1_based on steps'!D$1:D$400,0)),D$2,)</f>
        <v>0</v>
      </c>
      <c r="E187" s="140">
        <f ca="1">IF(ISNUMBER(MATCH(DATEVALUE($A187),'recurring1_based on steps'!E$1:E$400,0)),E$2,)</f>
        <v>0</v>
      </c>
      <c r="F187" s="140">
        <f ca="1">IF(ISNUMBER(MATCH(DATEVALUE($A187),'recurring1_based on steps'!F$1:F$400,0)),F$2,)</f>
        <v>0</v>
      </c>
      <c r="G187" s="140">
        <f ca="1">IF(ISNUMBER(MATCH(DATEVALUE($A187),'recurring1_based on steps'!G$1:G$400,0)),G$2,)</f>
        <v>0</v>
      </c>
      <c r="H187" s="140">
        <f ca="1">IF(ISNUMBER(MATCH(DATEVALUE($A187),'recurring1_based on steps'!H$1:H$400,0)),H$2,)</f>
        <v>0</v>
      </c>
      <c r="I187" s="140">
        <f ca="1">IF(ISNUMBER(MATCH(DATEVALUE($A187),'recurring1_based on steps'!I$1:I$400,0)),I$2,)</f>
        <v>0</v>
      </c>
      <c r="J187" s="140">
        <f ca="1">IF(ISNUMBER(MATCH(DATEVALUE($A187),'recurring1_based on steps'!J$1:J$400,0)),J$2,)</f>
        <v>0</v>
      </c>
      <c r="K187" s="140">
        <f ca="1">IF(ISNUMBER(MATCH(DATEVALUE($A187),'recurring1_based on steps'!K$1:K$400,0)),K$2,)</f>
        <v>0</v>
      </c>
      <c r="L187" s="140">
        <f ca="1">IF(ISNUMBER(MATCH(DATEVALUE($A187),'recurring1_based on steps'!L$1:L$400,0)),L$2,)</f>
        <v>0</v>
      </c>
      <c r="M187" s="140">
        <f ca="1">IF(ISNUMBER(MATCH(DATEVALUE($A187),'recurring1_based on steps'!M$1:M$400,0)),M$2,)</f>
        <v>0</v>
      </c>
      <c r="N187" s="140">
        <f ca="1">IF(ISNUMBER(MATCH(DATEVALUE($A187),'recurring1_based on steps'!N$1:N$400,0)),N$2,)</f>
        <v>0</v>
      </c>
      <c r="O187" s="140">
        <f ca="1">IF(ISNUMBER(MATCH(DATEVALUE($A187),'recurring1_based on steps'!O$1:O$400,0)),O$2,)</f>
        <v>0</v>
      </c>
      <c r="P187" s="140">
        <f ca="1">IF(ISNUMBER(MATCH(DATEVALUE($A187),'recurring1_based on steps'!P$1:P$400,0)),P$2,)</f>
        <v>2.99</v>
      </c>
      <c r="Q187" s="140">
        <f ca="1">IF(ISNUMBER(MATCH(DATEVALUE($A187),'recurring1_based on steps'!Q$1:Q$400,0)),Q$2,)</f>
        <v>100</v>
      </c>
      <c r="R187" s="140">
        <f ca="1">IF(ISNUMBER(MATCH(DATEVALUE($A187),'recurring1_based on steps'!R$1:R$400,0)),R$2,)</f>
        <v>100</v>
      </c>
      <c r="S187" s="140">
        <f ca="1">IF(ISNUMBER(MATCH(DATEVALUE($A187),'recurring1_based on steps'!S$1:S$400,0)),S$2,)</f>
        <v>0</v>
      </c>
      <c r="T187" s="140">
        <f ca="1">IF(ISNUMBER(MATCH(DATEVALUE($A187),'recurring1_based on steps'!T$1:T$400,0)),T$2,)</f>
        <v>0</v>
      </c>
      <c r="U187" s="140">
        <f ca="1">IF(ISNUMBER(MATCH(DATEVALUE($A187),'recurring1_based on steps'!U$1:U$400,0)),U$2,)</f>
        <v>0</v>
      </c>
      <c r="V187" s="140">
        <f ca="1">IF(ISNUMBER(MATCH(DATEVALUE($A187),'recurring1_based on steps'!V$1:V$400,0)),V$2,)</f>
        <v>0</v>
      </c>
      <c r="W187" s="140">
        <f ca="1">IF(ISNUMBER(MATCH(DATEVALUE($A187),'recurring1_based on steps'!W$1:W$400,0)),W$2,)</f>
        <v>0</v>
      </c>
      <c r="X187" s="140">
        <f ca="1">IF(ISNUMBER(MATCH(DATEVALUE($A187),'recurring1_based on steps'!X$1:X$400,0)),X$2,)</f>
        <v>0</v>
      </c>
      <c r="Y187" s="140">
        <f ca="1">IF(ISNUMBER(MATCH(DATEVALUE($A187),'recurring1_based on steps'!Y$1:Y$400,0)),Y$2,)</f>
        <v>0</v>
      </c>
      <c r="Z187" s="140">
        <f ca="1">IF(ISNUMBER(MATCH(DATEVALUE($A187),'recurring1_based on steps'!Z$1:Z$400,0)),Z$2,)</f>
        <v>0</v>
      </c>
      <c r="AA187" s="140">
        <f ca="1">IF(ISNUMBER(MATCH(DATEVALUE($A187),'recurring1_based on steps'!AA$1:AA$400,0)),AA$2,)</f>
        <v>0</v>
      </c>
      <c r="AB187" s="140">
        <f ca="1">IF(ISNUMBER(MATCH(DATEVALUE($A187),'recurring1_based on steps'!AB$1:AB$400,0)),AB$2,)</f>
        <v>5.5401662049861494E-2</v>
      </c>
      <c r="AC187" s="140">
        <f ca="1">IF(ISNUMBER(MATCH(DATEVALUE($A187),'recurring1_based on steps'!AC$1:AC$400,0)),AC$2,)</f>
        <v>0</v>
      </c>
      <c r="AD187" s="140">
        <f ca="1">IF(ISNUMBER(MATCH(DATEVALUE($A187),'recurring1_based on steps'!AD$1:AD$400,0)),AD$2,)</f>
        <v>0</v>
      </c>
      <c r="AE187" s="140">
        <f ca="1">IF(ISNUMBER(MATCH(DATEVALUE($A187),'recurring1_based on steps'!AE$1:AE$400,0)),AE$2,)</f>
        <v>0</v>
      </c>
      <c r="AF187" s="140">
        <f ca="1">IF(ISNUMBER(MATCH(DATEVALUE($A187),'recurring1_based on steps'!AF$1:AF$400,0)),AF$2,)</f>
        <v>0</v>
      </c>
      <c r="AG187" s="140">
        <f ca="1">IF(ISNUMBER(MATCH(DATEVALUE($A187),'recurring1_based on steps'!AG$1:AG$400,0)),AG$2,)</f>
        <v>0</v>
      </c>
      <c r="AH187" s="140">
        <f ca="1">IF(ISNUMBER(MATCH(DATEVALUE($A187),'recurring1_based on steps'!AH$1:AH$400,0)),AH$2,)</f>
        <v>0</v>
      </c>
      <c r="AI187" s="140">
        <f ca="1">IF(ISNUMBER(MATCH(DATEVALUE($A187),'recurring1_based on steps'!AI$1:AI$400,0)),AI$2,)</f>
        <v>0</v>
      </c>
      <c r="AJ187" s="140">
        <f ca="1">IF(ISNUMBER(MATCH(DATEVALUE($A187),'recurring1_based on steps'!AJ$1:AJ$400,0)),AJ$2,)</f>
        <v>0</v>
      </c>
      <c r="AK187" s="140">
        <f ca="1">IF(ISNUMBER(MATCH(DATEVALUE($A187),'recurring1_based on steps'!AK$1:AK$400,0)),AK$2,)</f>
        <v>0</v>
      </c>
      <c r="AL187" s="140">
        <f ca="1">IF(ISNUMBER(MATCH(DATEVALUE($A187),'recurring1_based on steps'!AL$1:AL$400,0)),AL$2,)</f>
        <v>0</v>
      </c>
      <c r="AM187" s="140">
        <f ca="1">IF(ISNUMBER(MATCH(DATEVALUE($A187),'recurring1_based on steps'!AM$1:AM$400,0)),AM$2,)</f>
        <v>0</v>
      </c>
      <c r="AN187" s="140">
        <f ca="1">IF(ISNUMBER(MATCH(DATEVALUE($A187),'recurring1_based on steps'!AN$1:AN$400,0)),AN$2,)</f>
        <v>0</v>
      </c>
      <c r="AO187" s="140">
        <f ca="1">IF(ISNUMBER(MATCH(DATEVALUE($A187),'recurring1_based on steps'!AO$1:AO$400,0)),AO$2,)</f>
        <v>0</v>
      </c>
      <c r="AP187" s="140">
        <f ca="1">IF(ISNUMBER(MATCH(DATEVALUE($A187),'recurring1_based on steps'!AP$1:AP$400,0)),AP$2,)</f>
        <v>0</v>
      </c>
      <c r="AQ187" s="140">
        <f ca="1">IF(ISNUMBER(MATCH(DATEVALUE($A187),'recurring1_based on steps'!AQ$1:AQ$400,0)),AQ$2,)</f>
        <v>0</v>
      </c>
      <c r="AR187" s="140">
        <f ca="1">IF(ISNUMBER(MATCH(DATEVALUE($A187),'recurring1_based on steps'!AR$1:AR$400,0)),AR$2,)</f>
        <v>0</v>
      </c>
      <c r="AS187" s="140">
        <f ca="1">IF(ISNUMBER(MATCH(DATEVALUE($A187),'recurring1_based on steps'!AS$1:AS$400,0)),AS$2,)</f>
        <v>0</v>
      </c>
      <c r="AT187" s="140">
        <f ca="1">IF(ISNUMBER(MATCH(DATEVALUE($A187),'recurring1_based on steps'!AT$1:AT$400,0)),AT$2,)</f>
        <v>0</v>
      </c>
      <c r="AU187" s="140">
        <f ca="1">IF(ISNUMBER(MATCH(DATEVALUE($A187),'recurring1_based on steps'!AU$1:AU$400,0)),AU$2,)</f>
        <v>0</v>
      </c>
      <c r="AV187" s="140">
        <f ca="1">IF(ISNUMBER(MATCH(DATEVALUE($A187),'recurring1_based on steps'!AV$1:AV$400,0)),AV$2,)</f>
        <v>0</v>
      </c>
      <c r="AW187" s="140">
        <f ca="1">IF(ISNUMBER(MATCH(DATEVALUE($A187),'recurring1_based on steps'!AW$1:AW$400,0)),AW$2,)</f>
        <v>0</v>
      </c>
      <c r="AX187" s="140">
        <f ca="1">IF(ISNUMBER(MATCH(DATEVALUE($A187),'recurring1_based on steps'!AX$1:AX$400,0)),AX$2,)</f>
        <v>0</v>
      </c>
      <c r="AY187" s="140">
        <f ca="1">IF(ISNUMBER(MATCH(DATEVALUE($A187),'recurring1_based on steps'!AY$1:AY$400,0)),AY$2,)</f>
        <v>0</v>
      </c>
    </row>
    <row r="188" spans="1:51" x14ac:dyDescent="0.2">
      <c r="A188" s="29" t="str">
        <f t="shared" ca="1" si="2"/>
        <v>2025-09-28</v>
      </c>
      <c r="B188" s="140">
        <f ca="1">IF(ISNUMBER(MATCH(DATEVALUE($A188),'recurring1_based on steps'!B$1:B$400,0)),B$2,)</f>
        <v>0</v>
      </c>
      <c r="C188" s="140">
        <f ca="1">IF(ISNUMBER(MATCH(DATEVALUE($A188),'recurring1_based on steps'!C$1:C$400,0)),C$2,)</f>
        <v>0</v>
      </c>
      <c r="D188" s="140">
        <f ca="1">IF(ISNUMBER(MATCH(DATEVALUE($A188),'recurring1_based on steps'!D$1:D$400,0)),D$2,)</f>
        <v>0</v>
      </c>
      <c r="E188" s="140">
        <f ca="1">IF(ISNUMBER(MATCH(DATEVALUE($A188),'recurring1_based on steps'!E$1:E$400,0)),E$2,)</f>
        <v>0</v>
      </c>
      <c r="F188" s="140">
        <f ca="1">IF(ISNUMBER(MATCH(DATEVALUE($A188),'recurring1_based on steps'!F$1:F$400,0)),F$2,)</f>
        <v>0</v>
      </c>
      <c r="G188" s="140">
        <f ca="1">IF(ISNUMBER(MATCH(DATEVALUE($A188),'recurring1_based on steps'!G$1:G$400,0)),G$2,)</f>
        <v>0</v>
      </c>
      <c r="H188" s="140">
        <f ca="1">IF(ISNUMBER(MATCH(DATEVALUE($A188),'recurring1_based on steps'!H$1:H$400,0)),H$2,)</f>
        <v>0</v>
      </c>
      <c r="I188" s="140">
        <f ca="1">IF(ISNUMBER(MATCH(DATEVALUE($A188),'recurring1_based on steps'!I$1:I$400,0)),I$2,)</f>
        <v>0</v>
      </c>
      <c r="J188" s="140">
        <f ca="1">IF(ISNUMBER(MATCH(DATEVALUE($A188),'recurring1_based on steps'!J$1:J$400,0)),J$2,)</f>
        <v>0</v>
      </c>
      <c r="K188" s="140">
        <f ca="1">IF(ISNUMBER(MATCH(DATEVALUE($A188),'recurring1_based on steps'!K$1:K$400,0)),K$2,)</f>
        <v>50</v>
      </c>
      <c r="L188" s="140">
        <f ca="1">IF(ISNUMBER(MATCH(DATEVALUE($A188),'recurring1_based on steps'!L$1:L$400,0)),L$2,)</f>
        <v>0</v>
      </c>
      <c r="M188" s="140">
        <f ca="1">IF(ISNUMBER(MATCH(DATEVALUE($A188),'recurring1_based on steps'!M$1:M$400,0)),M$2,)</f>
        <v>0</v>
      </c>
      <c r="N188" s="140">
        <f ca="1">IF(ISNUMBER(MATCH(DATEVALUE($A188),'recurring1_based on steps'!N$1:N$400,0)),N$2,)</f>
        <v>0</v>
      </c>
      <c r="O188" s="140">
        <f ca="1">IF(ISNUMBER(MATCH(DATEVALUE($A188),'recurring1_based on steps'!O$1:O$400,0)),O$2,)</f>
        <v>0</v>
      </c>
      <c r="P188" s="140">
        <f ca="1">IF(ISNUMBER(MATCH(DATEVALUE($A188),'recurring1_based on steps'!P$1:P$400,0)),P$2,)</f>
        <v>0</v>
      </c>
      <c r="Q188" s="140">
        <f ca="1">IF(ISNUMBER(MATCH(DATEVALUE($A188),'recurring1_based on steps'!Q$1:Q$400,0)),Q$2,)</f>
        <v>0</v>
      </c>
      <c r="R188" s="140">
        <f ca="1">IF(ISNUMBER(MATCH(DATEVALUE($A188),'recurring1_based on steps'!R$1:R$400,0)),R$2,)</f>
        <v>0</v>
      </c>
      <c r="S188" s="140">
        <f ca="1">IF(ISNUMBER(MATCH(DATEVALUE($A188),'recurring1_based on steps'!S$1:S$400,0)),S$2,)</f>
        <v>100</v>
      </c>
      <c r="T188" s="140">
        <f ca="1">IF(ISNUMBER(MATCH(DATEVALUE($A188),'recurring1_based on steps'!T$1:T$400,0)),T$2,)</f>
        <v>0</v>
      </c>
      <c r="U188" s="140">
        <f ca="1">IF(ISNUMBER(MATCH(DATEVALUE($A188),'recurring1_based on steps'!U$1:U$400,0)),U$2,)</f>
        <v>0</v>
      </c>
      <c r="V188" s="140">
        <f ca="1">IF(ISNUMBER(MATCH(DATEVALUE($A188),'recurring1_based on steps'!V$1:V$400,0)),V$2,)</f>
        <v>0</v>
      </c>
      <c r="W188" s="140">
        <f ca="1">IF(ISNUMBER(MATCH(DATEVALUE($A188),'recurring1_based on steps'!W$1:W$400,0)),W$2,)</f>
        <v>0</v>
      </c>
      <c r="X188" s="140">
        <f ca="1">IF(ISNUMBER(MATCH(DATEVALUE($A188),'recurring1_based on steps'!X$1:X$400,0)),X$2,)</f>
        <v>0</v>
      </c>
      <c r="Y188" s="140">
        <f ca="1">IF(ISNUMBER(MATCH(DATEVALUE($A188),'recurring1_based on steps'!Y$1:Y$400,0)),Y$2,)</f>
        <v>0</v>
      </c>
      <c r="Z188" s="140">
        <f ca="1">IF(ISNUMBER(MATCH(DATEVALUE($A188),'recurring1_based on steps'!Z$1:Z$400,0)),Z$2,)</f>
        <v>0</v>
      </c>
      <c r="AA188" s="140">
        <f ca="1">IF(ISNUMBER(MATCH(DATEVALUE($A188),'recurring1_based on steps'!AA$1:AA$400,0)),AA$2,)</f>
        <v>0</v>
      </c>
      <c r="AB188" s="140">
        <f ca="1">IF(ISNUMBER(MATCH(DATEVALUE($A188),'recurring1_based on steps'!AB$1:AB$400,0)),AB$2,)</f>
        <v>5.5401662049861494E-2</v>
      </c>
      <c r="AC188" s="140">
        <f ca="1">IF(ISNUMBER(MATCH(DATEVALUE($A188),'recurring1_based on steps'!AC$1:AC$400,0)),AC$2,)</f>
        <v>0</v>
      </c>
      <c r="AD188" s="140">
        <f ca="1">IF(ISNUMBER(MATCH(DATEVALUE($A188),'recurring1_based on steps'!AD$1:AD$400,0)),AD$2,)</f>
        <v>0</v>
      </c>
      <c r="AE188" s="140">
        <f ca="1">IF(ISNUMBER(MATCH(DATEVALUE($A188),'recurring1_based on steps'!AE$1:AE$400,0)),AE$2,)</f>
        <v>0</v>
      </c>
      <c r="AF188" s="140">
        <f ca="1">IF(ISNUMBER(MATCH(DATEVALUE($A188),'recurring1_based on steps'!AF$1:AF$400,0)),AF$2,)</f>
        <v>0</v>
      </c>
      <c r="AG188" s="140">
        <f ca="1">IF(ISNUMBER(MATCH(DATEVALUE($A188),'recurring1_based on steps'!AG$1:AG$400,0)),AG$2,)</f>
        <v>0</v>
      </c>
      <c r="AH188" s="140">
        <f ca="1">IF(ISNUMBER(MATCH(DATEVALUE($A188),'recurring1_based on steps'!AH$1:AH$400,0)),AH$2,)</f>
        <v>0</v>
      </c>
      <c r="AI188" s="140">
        <f ca="1">IF(ISNUMBER(MATCH(DATEVALUE($A188),'recurring1_based on steps'!AI$1:AI$400,0)),AI$2,)</f>
        <v>0</v>
      </c>
      <c r="AJ188" s="140">
        <f ca="1">IF(ISNUMBER(MATCH(DATEVALUE($A188),'recurring1_based on steps'!AJ$1:AJ$400,0)),AJ$2,)</f>
        <v>0</v>
      </c>
      <c r="AK188" s="140">
        <f ca="1">IF(ISNUMBER(MATCH(DATEVALUE($A188),'recurring1_based on steps'!AK$1:AK$400,0)),AK$2,)</f>
        <v>0</v>
      </c>
      <c r="AL188" s="140">
        <f ca="1">IF(ISNUMBER(MATCH(DATEVALUE($A188),'recurring1_based on steps'!AL$1:AL$400,0)),AL$2,)</f>
        <v>0</v>
      </c>
      <c r="AM188" s="140">
        <f ca="1">IF(ISNUMBER(MATCH(DATEVALUE($A188),'recurring1_based on steps'!AM$1:AM$400,0)),AM$2,)</f>
        <v>0</v>
      </c>
      <c r="AN188" s="140">
        <f ca="1">IF(ISNUMBER(MATCH(DATEVALUE($A188),'recurring1_based on steps'!AN$1:AN$400,0)),AN$2,)</f>
        <v>0</v>
      </c>
      <c r="AO188" s="140">
        <f ca="1">IF(ISNUMBER(MATCH(DATEVALUE($A188),'recurring1_based on steps'!AO$1:AO$400,0)),AO$2,)</f>
        <v>0</v>
      </c>
      <c r="AP188" s="140">
        <f ca="1">IF(ISNUMBER(MATCH(DATEVALUE($A188),'recurring1_based on steps'!AP$1:AP$400,0)),AP$2,)</f>
        <v>0</v>
      </c>
      <c r="AQ188" s="140">
        <f ca="1">IF(ISNUMBER(MATCH(DATEVALUE($A188),'recurring1_based on steps'!AQ$1:AQ$400,0)),AQ$2,)</f>
        <v>0</v>
      </c>
      <c r="AR188" s="140">
        <f ca="1">IF(ISNUMBER(MATCH(DATEVALUE($A188),'recurring1_based on steps'!AR$1:AR$400,0)),AR$2,)</f>
        <v>0</v>
      </c>
      <c r="AS188" s="140">
        <f ca="1">IF(ISNUMBER(MATCH(DATEVALUE($A188),'recurring1_based on steps'!AS$1:AS$400,0)),AS$2,)</f>
        <v>0</v>
      </c>
      <c r="AT188" s="140">
        <f ca="1">IF(ISNUMBER(MATCH(DATEVALUE($A188),'recurring1_based on steps'!AT$1:AT$400,0)),AT$2,)</f>
        <v>0</v>
      </c>
      <c r="AU188" s="140">
        <f ca="1">IF(ISNUMBER(MATCH(DATEVALUE($A188),'recurring1_based on steps'!AU$1:AU$400,0)),AU$2,)</f>
        <v>0</v>
      </c>
      <c r="AV188" s="140">
        <f ca="1">IF(ISNUMBER(MATCH(DATEVALUE($A188),'recurring1_based on steps'!AV$1:AV$400,0)),AV$2,)</f>
        <v>0</v>
      </c>
      <c r="AW188" s="140">
        <f ca="1">IF(ISNUMBER(MATCH(DATEVALUE($A188),'recurring1_based on steps'!AW$1:AW$400,0)),AW$2,)</f>
        <v>0</v>
      </c>
      <c r="AX188" s="140">
        <f ca="1">IF(ISNUMBER(MATCH(DATEVALUE($A188),'recurring1_based on steps'!AX$1:AX$400,0)),AX$2,)</f>
        <v>0</v>
      </c>
      <c r="AY188" s="140">
        <f ca="1">IF(ISNUMBER(MATCH(DATEVALUE($A188),'recurring1_based on steps'!AY$1:AY$400,0)),AY$2,)</f>
        <v>0</v>
      </c>
    </row>
    <row r="189" spans="1:51" x14ac:dyDescent="0.2">
      <c r="A189" s="29" t="str">
        <f t="shared" ca="1" si="2"/>
        <v>2025-09-29</v>
      </c>
      <c r="B189" s="140">
        <f ca="1">IF(ISNUMBER(MATCH(DATEVALUE($A189),'recurring1_based on steps'!B$1:B$400,0)),B$2,)</f>
        <v>0</v>
      </c>
      <c r="C189" s="140">
        <f ca="1">IF(ISNUMBER(MATCH(DATEVALUE($A189),'recurring1_based on steps'!C$1:C$400,0)),C$2,)</f>
        <v>0</v>
      </c>
      <c r="D189" s="140">
        <f ca="1">IF(ISNUMBER(MATCH(DATEVALUE($A189),'recurring1_based on steps'!D$1:D$400,0)),D$2,)</f>
        <v>0</v>
      </c>
      <c r="E189" s="140">
        <f ca="1">IF(ISNUMBER(MATCH(DATEVALUE($A189),'recurring1_based on steps'!E$1:E$400,0)),E$2,)</f>
        <v>0</v>
      </c>
      <c r="F189" s="140">
        <f ca="1">IF(ISNUMBER(MATCH(DATEVALUE($A189),'recurring1_based on steps'!F$1:F$400,0)),F$2,)</f>
        <v>0</v>
      </c>
      <c r="G189" s="140">
        <f ca="1">IF(ISNUMBER(MATCH(DATEVALUE($A189),'recurring1_based on steps'!G$1:G$400,0)),G$2,)</f>
        <v>0</v>
      </c>
      <c r="H189" s="140">
        <f ca="1">IF(ISNUMBER(MATCH(DATEVALUE($A189),'recurring1_based on steps'!H$1:H$400,0)),H$2,)</f>
        <v>0</v>
      </c>
      <c r="I189" s="140">
        <f ca="1">IF(ISNUMBER(MATCH(DATEVALUE($A189),'recurring1_based on steps'!I$1:I$400,0)),I$2,)</f>
        <v>0</v>
      </c>
      <c r="J189" s="140">
        <f ca="1">IF(ISNUMBER(MATCH(DATEVALUE($A189),'recurring1_based on steps'!J$1:J$400,0)),J$2,)</f>
        <v>0</v>
      </c>
      <c r="K189" s="140">
        <f ca="1">IF(ISNUMBER(MATCH(DATEVALUE($A189),'recurring1_based on steps'!K$1:K$400,0)),K$2,)</f>
        <v>0</v>
      </c>
      <c r="L189" s="140">
        <f ca="1">IF(ISNUMBER(MATCH(DATEVALUE($A189),'recurring1_based on steps'!L$1:L$400,0)),L$2,)</f>
        <v>0</v>
      </c>
      <c r="M189" s="140">
        <f ca="1">IF(ISNUMBER(MATCH(DATEVALUE($A189),'recurring1_based on steps'!M$1:M$400,0)),M$2,)</f>
        <v>0</v>
      </c>
      <c r="N189" s="140">
        <f ca="1">IF(ISNUMBER(MATCH(DATEVALUE($A189),'recurring1_based on steps'!N$1:N$400,0)),N$2,)</f>
        <v>0</v>
      </c>
      <c r="O189" s="140">
        <f ca="1">IF(ISNUMBER(MATCH(DATEVALUE($A189),'recurring1_based on steps'!O$1:O$400,0)),O$2,)</f>
        <v>0</v>
      </c>
      <c r="P189" s="140">
        <f ca="1">IF(ISNUMBER(MATCH(DATEVALUE($A189),'recurring1_based on steps'!P$1:P$400,0)),P$2,)</f>
        <v>0</v>
      </c>
      <c r="Q189" s="140">
        <f ca="1">IF(ISNUMBER(MATCH(DATEVALUE($A189),'recurring1_based on steps'!Q$1:Q$400,0)),Q$2,)</f>
        <v>0</v>
      </c>
      <c r="R189" s="140">
        <f ca="1">IF(ISNUMBER(MATCH(DATEVALUE($A189),'recurring1_based on steps'!R$1:R$400,0)),R$2,)</f>
        <v>0</v>
      </c>
      <c r="S189" s="140">
        <f ca="1">IF(ISNUMBER(MATCH(DATEVALUE($A189),'recurring1_based on steps'!S$1:S$400,0)),S$2,)</f>
        <v>0</v>
      </c>
      <c r="T189" s="140">
        <f ca="1">IF(ISNUMBER(MATCH(DATEVALUE($A189),'recurring1_based on steps'!T$1:T$400,0)),T$2,)</f>
        <v>0</v>
      </c>
      <c r="U189" s="140">
        <f ca="1">IF(ISNUMBER(MATCH(DATEVALUE($A189),'recurring1_based on steps'!U$1:U$400,0)),U$2,)</f>
        <v>0</v>
      </c>
      <c r="V189" s="140">
        <f ca="1">IF(ISNUMBER(MATCH(DATEVALUE($A189),'recurring1_based on steps'!V$1:V$400,0)),V$2,)</f>
        <v>0</v>
      </c>
      <c r="W189" s="140">
        <f ca="1">IF(ISNUMBER(MATCH(DATEVALUE($A189),'recurring1_based on steps'!W$1:W$400,0)),W$2,)</f>
        <v>0</v>
      </c>
      <c r="X189" s="140">
        <f ca="1">IF(ISNUMBER(MATCH(DATEVALUE($A189),'recurring1_based on steps'!X$1:X$400,0)),X$2,)</f>
        <v>0</v>
      </c>
      <c r="Y189" s="140">
        <f ca="1">IF(ISNUMBER(MATCH(DATEVALUE($A189),'recurring1_based on steps'!Y$1:Y$400,0)),Y$2,)</f>
        <v>0</v>
      </c>
      <c r="Z189" s="140">
        <f ca="1">IF(ISNUMBER(MATCH(DATEVALUE($A189),'recurring1_based on steps'!Z$1:Z$400,0)),Z$2,)</f>
        <v>0</v>
      </c>
      <c r="AA189" s="140">
        <f ca="1">IF(ISNUMBER(MATCH(DATEVALUE($A189),'recurring1_based on steps'!AA$1:AA$400,0)),AA$2,)</f>
        <v>0</v>
      </c>
      <c r="AB189" s="140">
        <f ca="1">IF(ISNUMBER(MATCH(DATEVALUE($A189),'recurring1_based on steps'!AB$1:AB$400,0)),AB$2,)</f>
        <v>5.5401662049861494E-2</v>
      </c>
      <c r="AC189" s="140">
        <f ca="1">IF(ISNUMBER(MATCH(DATEVALUE($A189),'recurring1_based on steps'!AC$1:AC$400,0)),AC$2,)</f>
        <v>0</v>
      </c>
      <c r="AD189" s="140">
        <f ca="1">IF(ISNUMBER(MATCH(DATEVALUE($A189),'recurring1_based on steps'!AD$1:AD$400,0)),AD$2,)</f>
        <v>0</v>
      </c>
      <c r="AE189" s="140">
        <f ca="1">IF(ISNUMBER(MATCH(DATEVALUE($A189),'recurring1_based on steps'!AE$1:AE$400,0)),AE$2,)</f>
        <v>0</v>
      </c>
      <c r="AF189" s="140">
        <f ca="1">IF(ISNUMBER(MATCH(DATEVALUE($A189),'recurring1_based on steps'!AF$1:AF$400,0)),AF$2,)</f>
        <v>0</v>
      </c>
      <c r="AG189" s="140">
        <f ca="1">IF(ISNUMBER(MATCH(DATEVALUE($A189),'recurring1_based on steps'!AG$1:AG$400,0)),AG$2,)</f>
        <v>0</v>
      </c>
      <c r="AH189" s="140">
        <f ca="1">IF(ISNUMBER(MATCH(DATEVALUE($A189),'recurring1_based on steps'!AH$1:AH$400,0)),AH$2,)</f>
        <v>0</v>
      </c>
      <c r="AI189" s="140">
        <f ca="1">IF(ISNUMBER(MATCH(DATEVALUE($A189),'recurring1_based on steps'!AI$1:AI$400,0)),AI$2,)</f>
        <v>0</v>
      </c>
      <c r="AJ189" s="140">
        <f ca="1">IF(ISNUMBER(MATCH(DATEVALUE($A189),'recurring1_based on steps'!AJ$1:AJ$400,0)),AJ$2,)</f>
        <v>0</v>
      </c>
      <c r="AK189" s="140">
        <f ca="1">IF(ISNUMBER(MATCH(DATEVALUE($A189),'recurring1_based on steps'!AK$1:AK$400,0)),AK$2,)</f>
        <v>0</v>
      </c>
      <c r="AL189" s="140">
        <f ca="1">IF(ISNUMBER(MATCH(DATEVALUE($A189),'recurring1_based on steps'!AL$1:AL$400,0)),AL$2,)</f>
        <v>0</v>
      </c>
      <c r="AM189" s="140">
        <f ca="1">IF(ISNUMBER(MATCH(DATEVALUE($A189),'recurring1_based on steps'!AM$1:AM$400,0)),AM$2,)</f>
        <v>0</v>
      </c>
      <c r="AN189" s="140">
        <f ca="1">IF(ISNUMBER(MATCH(DATEVALUE($A189),'recurring1_based on steps'!AN$1:AN$400,0)),AN$2,)</f>
        <v>0</v>
      </c>
      <c r="AO189" s="140">
        <f ca="1">IF(ISNUMBER(MATCH(DATEVALUE($A189),'recurring1_based on steps'!AO$1:AO$400,0)),AO$2,)</f>
        <v>0</v>
      </c>
      <c r="AP189" s="140">
        <f ca="1">IF(ISNUMBER(MATCH(DATEVALUE($A189),'recurring1_based on steps'!AP$1:AP$400,0)),AP$2,)</f>
        <v>0</v>
      </c>
      <c r="AQ189" s="140">
        <f ca="1">IF(ISNUMBER(MATCH(DATEVALUE($A189),'recurring1_based on steps'!AQ$1:AQ$400,0)),AQ$2,)</f>
        <v>0</v>
      </c>
      <c r="AR189" s="140">
        <f ca="1">IF(ISNUMBER(MATCH(DATEVALUE($A189),'recurring1_based on steps'!AR$1:AR$400,0)),AR$2,)</f>
        <v>0</v>
      </c>
      <c r="AS189" s="140">
        <f ca="1">IF(ISNUMBER(MATCH(DATEVALUE($A189),'recurring1_based on steps'!AS$1:AS$400,0)),AS$2,)</f>
        <v>0</v>
      </c>
      <c r="AT189" s="140">
        <f ca="1">IF(ISNUMBER(MATCH(DATEVALUE($A189),'recurring1_based on steps'!AT$1:AT$400,0)),AT$2,)</f>
        <v>0</v>
      </c>
      <c r="AU189" s="140">
        <f ca="1">IF(ISNUMBER(MATCH(DATEVALUE($A189),'recurring1_based on steps'!AU$1:AU$400,0)),AU$2,)</f>
        <v>0</v>
      </c>
      <c r="AV189" s="140">
        <f ca="1">IF(ISNUMBER(MATCH(DATEVALUE($A189),'recurring1_based on steps'!AV$1:AV$400,0)),AV$2,)</f>
        <v>0</v>
      </c>
      <c r="AW189" s="140">
        <f ca="1">IF(ISNUMBER(MATCH(DATEVALUE($A189),'recurring1_based on steps'!AW$1:AW$400,0)),AW$2,)</f>
        <v>0</v>
      </c>
      <c r="AX189" s="140">
        <f ca="1">IF(ISNUMBER(MATCH(DATEVALUE($A189),'recurring1_based on steps'!AX$1:AX$400,0)),AX$2,)</f>
        <v>0</v>
      </c>
      <c r="AY189" s="140">
        <f ca="1">IF(ISNUMBER(MATCH(DATEVALUE($A189),'recurring1_based on steps'!AY$1:AY$400,0)),AY$2,)</f>
        <v>0</v>
      </c>
    </row>
    <row r="190" spans="1:51" x14ac:dyDescent="0.2">
      <c r="A190" s="29" t="str">
        <f t="shared" ca="1" si="2"/>
        <v>2025-09-30</v>
      </c>
      <c r="B190" s="140">
        <f ca="1">IF(ISNUMBER(MATCH(DATEVALUE($A190),'recurring1_based on steps'!B$1:B$400,0)),B$2,)</f>
        <v>0</v>
      </c>
      <c r="C190" s="140">
        <f ca="1">IF(ISNUMBER(MATCH(DATEVALUE($A190),'recurring1_based on steps'!C$1:C$400,0)),C$2,)</f>
        <v>0</v>
      </c>
      <c r="D190" s="140">
        <f ca="1">IF(ISNUMBER(MATCH(DATEVALUE($A190),'recurring1_based on steps'!D$1:D$400,0)),D$2,)</f>
        <v>0</v>
      </c>
      <c r="E190" s="140">
        <f ca="1">IF(ISNUMBER(MATCH(DATEVALUE($A190),'recurring1_based on steps'!E$1:E$400,0)),E$2,)</f>
        <v>0</v>
      </c>
      <c r="F190" s="140">
        <f ca="1">IF(ISNUMBER(MATCH(DATEVALUE($A190),'recurring1_based on steps'!F$1:F$400,0)),F$2,)</f>
        <v>0</v>
      </c>
      <c r="G190" s="140">
        <f ca="1">IF(ISNUMBER(MATCH(DATEVALUE($A190),'recurring1_based on steps'!G$1:G$400,0)),G$2,)</f>
        <v>0</v>
      </c>
      <c r="H190" s="140">
        <f ca="1">IF(ISNUMBER(MATCH(DATEVALUE($A190),'recurring1_based on steps'!H$1:H$400,0)),H$2,)</f>
        <v>40</v>
      </c>
      <c r="I190" s="140">
        <f ca="1">IF(ISNUMBER(MATCH(DATEVALUE($A190),'recurring1_based on steps'!I$1:I$400,0)),I$2,)</f>
        <v>0</v>
      </c>
      <c r="J190" s="140">
        <f ca="1">IF(ISNUMBER(MATCH(DATEVALUE($A190),'recurring1_based on steps'!J$1:J$400,0)),J$2,)</f>
        <v>0</v>
      </c>
      <c r="K190" s="140">
        <f ca="1">IF(ISNUMBER(MATCH(DATEVALUE($A190),'recurring1_based on steps'!K$1:K$400,0)),K$2,)</f>
        <v>0</v>
      </c>
      <c r="L190" s="140">
        <f ca="1">IF(ISNUMBER(MATCH(DATEVALUE($A190),'recurring1_based on steps'!L$1:L$400,0)),L$2,)</f>
        <v>0</v>
      </c>
      <c r="M190" s="140">
        <f ca="1">IF(ISNUMBER(MATCH(DATEVALUE($A190),'recurring1_based on steps'!M$1:M$400,0)),M$2,)</f>
        <v>0</v>
      </c>
      <c r="N190" s="140">
        <f ca="1">IF(ISNUMBER(MATCH(DATEVALUE($A190),'recurring1_based on steps'!N$1:N$400,0)),N$2,)</f>
        <v>0</v>
      </c>
      <c r="O190" s="140">
        <f ca="1">IF(ISNUMBER(MATCH(DATEVALUE($A190),'recurring1_based on steps'!O$1:O$400,0)),O$2,)</f>
        <v>0</v>
      </c>
      <c r="P190" s="140">
        <f ca="1">IF(ISNUMBER(MATCH(DATEVALUE($A190),'recurring1_based on steps'!P$1:P$400,0)),P$2,)</f>
        <v>0</v>
      </c>
      <c r="Q190" s="140">
        <f ca="1">IF(ISNUMBER(MATCH(DATEVALUE($A190),'recurring1_based on steps'!Q$1:Q$400,0)),Q$2,)</f>
        <v>0</v>
      </c>
      <c r="R190" s="140">
        <f ca="1">IF(ISNUMBER(MATCH(DATEVALUE($A190),'recurring1_based on steps'!R$1:R$400,0)),R$2,)</f>
        <v>0</v>
      </c>
      <c r="S190" s="140">
        <f ca="1">IF(ISNUMBER(MATCH(DATEVALUE($A190),'recurring1_based on steps'!S$1:S$400,0)),S$2,)</f>
        <v>0</v>
      </c>
      <c r="T190" s="140">
        <f ca="1">IF(ISNUMBER(MATCH(DATEVALUE($A190),'recurring1_based on steps'!T$1:T$400,0)),T$2,)</f>
        <v>0</v>
      </c>
      <c r="U190" s="140">
        <f ca="1">IF(ISNUMBER(MATCH(DATEVALUE($A190),'recurring1_based on steps'!U$1:U$400,0)),U$2,)</f>
        <v>0</v>
      </c>
      <c r="V190" s="140">
        <f ca="1">IF(ISNUMBER(MATCH(DATEVALUE($A190),'recurring1_based on steps'!V$1:V$400,0)),V$2,)</f>
        <v>0</v>
      </c>
      <c r="W190" s="140">
        <f ca="1">IF(ISNUMBER(MATCH(DATEVALUE($A190),'recurring1_based on steps'!W$1:W$400,0)),W$2,)</f>
        <v>100</v>
      </c>
      <c r="X190" s="140">
        <f ca="1">IF(ISNUMBER(MATCH(DATEVALUE($A190),'recurring1_based on steps'!X$1:X$400,0)),X$2,)</f>
        <v>0</v>
      </c>
      <c r="Y190" s="140">
        <f ca="1">IF(ISNUMBER(MATCH(DATEVALUE($A190),'recurring1_based on steps'!Y$1:Y$400,0)),Y$2,)</f>
        <v>0</v>
      </c>
      <c r="Z190" s="140">
        <f ca="1">IF(ISNUMBER(MATCH(DATEVALUE($A190),'recurring1_based on steps'!Z$1:Z$400,0)),Z$2,)</f>
        <v>0</v>
      </c>
      <c r="AA190" s="140">
        <f ca="1">IF(ISNUMBER(MATCH(DATEVALUE($A190),'recurring1_based on steps'!AA$1:AA$400,0)),AA$2,)</f>
        <v>0</v>
      </c>
      <c r="AB190" s="140">
        <f ca="1">IF(ISNUMBER(MATCH(DATEVALUE($A190),'recurring1_based on steps'!AB$1:AB$400,0)),AB$2,)</f>
        <v>5.5401662049861494E-2</v>
      </c>
      <c r="AC190" s="140">
        <f ca="1">IF(ISNUMBER(MATCH(DATEVALUE($A190),'recurring1_based on steps'!AC$1:AC$400,0)),AC$2,)</f>
        <v>0</v>
      </c>
      <c r="AD190" s="140">
        <f ca="1">IF(ISNUMBER(MATCH(DATEVALUE($A190),'recurring1_based on steps'!AD$1:AD$400,0)),AD$2,)</f>
        <v>0</v>
      </c>
      <c r="AE190" s="140">
        <f ca="1">IF(ISNUMBER(MATCH(DATEVALUE($A190),'recurring1_based on steps'!AE$1:AE$400,0)),AE$2,)</f>
        <v>0</v>
      </c>
      <c r="AF190" s="140">
        <f ca="1">IF(ISNUMBER(MATCH(DATEVALUE($A190),'recurring1_based on steps'!AF$1:AF$400,0)),AF$2,)</f>
        <v>0</v>
      </c>
      <c r="AG190" s="140">
        <f ca="1">IF(ISNUMBER(MATCH(DATEVALUE($A190),'recurring1_based on steps'!AG$1:AG$400,0)),AG$2,)</f>
        <v>0</v>
      </c>
      <c r="AH190" s="140">
        <f ca="1">IF(ISNUMBER(MATCH(DATEVALUE($A190),'recurring1_based on steps'!AH$1:AH$400,0)),AH$2,)</f>
        <v>0</v>
      </c>
      <c r="AI190" s="140">
        <f ca="1">IF(ISNUMBER(MATCH(DATEVALUE($A190),'recurring1_based on steps'!AI$1:AI$400,0)),AI$2,)</f>
        <v>0</v>
      </c>
      <c r="AJ190" s="140">
        <f ca="1">IF(ISNUMBER(MATCH(DATEVALUE($A190),'recurring1_based on steps'!AJ$1:AJ$400,0)),AJ$2,)</f>
        <v>0</v>
      </c>
      <c r="AK190" s="140">
        <f ca="1">IF(ISNUMBER(MATCH(DATEVALUE($A190),'recurring1_based on steps'!AK$1:AK$400,0)),AK$2,)</f>
        <v>0</v>
      </c>
      <c r="AL190" s="140">
        <f ca="1">IF(ISNUMBER(MATCH(DATEVALUE($A190),'recurring1_based on steps'!AL$1:AL$400,0)),AL$2,)</f>
        <v>0</v>
      </c>
      <c r="AM190" s="140">
        <f ca="1">IF(ISNUMBER(MATCH(DATEVALUE($A190),'recurring1_based on steps'!AM$1:AM$400,0)),AM$2,)</f>
        <v>0</v>
      </c>
      <c r="AN190" s="140">
        <f ca="1">IF(ISNUMBER(MATCH(DATEVALUE($A190),'recurring1_based on steps'!AN$1:AN$400,0)),AN$2,)</f>
        <v>0</v>
      </c>
      <c r="AO190" s="140">
        <f ca="1">IF(ISNUMBER(MATCH(DATEVALUE($A190),'recurring1_based on steps'!AO$1:AO$400,0)),AO$2,)</f>
        <v>0</v>
      </c>
      <c r="AP190" s="140">
        <f ca="1">IF(ISNUMBER(MATCH(DATEVALUE($A190),'recurring1_based on steps'!AP$1:AP$400,0)),AP$2,)</f>
        <v>0</v>
      </c>
      <c r="AQ190" s="140">
        <f ca="1">IF(ISNUMBER(MATCH(DATEVALUE($A190),'recurring1_based on steps'!AQ$1:AQ$400,0)),AQ$2,)</f>
        <v>0</v>
      </c>
      <c r="AR190" s="140">
        <f ca="1">IF(ISNUMBER(MATCH(DATEVALUE($A190),'recurring1_based on steps'!AR$1:AR$400,0)),AR$2,)</f>
        <v>0</v>
      </c>
      <c r="AS190" s="140">
        <f ca="1">IF(ISNUMBER(MATCH(DATEVALUE($A190),'recurring1_based on steps'!AS$1:AS$400,0)),AS$2,)</f>
        <v>0</v>
      </c>
      <c r="AT190" s="140">
        <f ca="1">IF(ISNUMBER(MATCH(DATEVALUE($A190),'recurring1_based on steps'!AT$1:AT$400,0)),AT$2,)</f>
        <v>0</v>
      </c>
      <c r="AU190" s="140">
        <f ca="1">IF(ISNUMBER(MATCH(DATEVALUE($A190),'recurring1_based on steps'!AU$1:AU$400,0)),AU$2,)</f>
        <v>0</v>
      </c>
      <c r="AV190" s="140">
        <f ca="1">IF(ISNUMBER(MATCH(DATEVALUE($A190),'recurring1_based on steps'!AV$1:AV$400,0)),AV$2,)</f>
        <v>0</v>
      </c>
      <c r="AW190" s="140">
        <f ca="1">IF(ISNUMBER(MATCH(DATEVALUE($A190),'recurring1_based on steps'!AW$1:AW$400,0)),AW$2,)</f>
        <v>0</v>
      </c>
      <c r="AX190" s="140">
        <f ca="1">IF(ISNUMBER(MATCH(DATEVALUE($A190),'recurring1_based on steps'!AX$1:AX$400,0)),AX$2,)</f>
        <v>0</v>
      </c>
      <c r="AY190" s="140">
        <f ca="1">IF(ISNUMBER(MATCH(DATEVALUE($A190),'recurring1_based on steps'!AY$1:AY$400,0)),AY$2,)</f>
        <v>0</v>
      </c>
    </row>
    <row r="191" spans="1:51" x14ac:dyDescent="0.2">
      <c r="A191" s="29" t="str">
        <f t="shared" ca="1" si="2"/>
        <v>2025-10-01</v>
      </c>
      <c r="B191" s="140">
        <f ca="1">IF(ISNUMBER(MATCH(DATEVALUE($A191),'recurring1_based on steps'!B$1:B$400,0)),B$2,)</f>
        <v>0</v>
      </c>
      <c r="C191" s="140">
        <f ca="1">IF(ISNUMBER(MATCH(DATEVALUE($A191),'recurring1_based on steps'!C$1:C$400,0)),C$2,)</f>
        <v>0</v>
      </c>
      <c r="D191" s="140">
        <f ca="1">IF(ISNUMBER(MATCH(DATEVALUE($A191),'recurring1_based on steps'!D$1:D$400,0)),D$2,)</f>
        <v>0</v>
      </c>
      <c r="E191" s="140">
        <f ca="1">IF(ISNUMBER(MATCH(DATEVALUE($A191),'recurring1_based on steps'!E$1:E$400,0)),E$2,)</f>
        <v>0</v>
      </c>
      <c r="F191" s="140">
        <f ca="1">IF(ISNUMBER(MATCH(DATEVALUE($A191),'recurring1_based on steps'!F$1:F$400,0)),F$2,)</f>
        <v>0</v>
      </c>
      <c r="G191" s="140">
        <f ca="1">IF(ISNUMBER(MATCH(DATEVALUE($A191),'recurring1_based on steps'!G$1:G$400,0)),G$2,)</f>
        <v>0</v>
      </c>
      <c r="H191" s="140">
        <f ca="1">IF(ISNUMBER(MATCH(DATEVALUE($A191),'recurring1_based on steps'!H$1:H$400,0)),H$2,)</f>
        <v>0</v>
      </c>
      <c r="I191" s="140">
        <f ca="1">IF(ISNUMBER(MATCH(DATEVALUE($A191),'recurring1_based on steps'!I$1:I$400,0)),I$2,)</f>
        <v>2000</v>
      </c>
      <c r="J191" s="140">
        <f ca="1">IF(ISNUMBER(MATCH(DATEVALUE($A191),'recurring1_based on steps'!J$1:J$400,0)),J$2,)</f>
        <v>0</v>
      </c>
      <c r="K191" s="140">
        <f ca="1">IF(ISNUMBER(MATCH(DATEVALUE($A191),'recurring1_based on steps'!K$1:K$400,0)),K$2,)</f>
        <v>0</v>
      </c>
      <c r="L191" s="140">
        <f ca="1">IF(ISNUMBER(MATCH(DATEVALUE($A191),'recurring1_based on steps'!L$1:L$400,0)),L$2,)</f>
        <v>0</v>
      </c>
      <c r="M191" s="140">
        <f ca="1">IF(ISNUMBER(MATCH(DATEVALUE($A191),'recurring1_based on steps'!M$1:M$400,0)),M$2,)</f>
        <v>0</v>
      </c>
      <c r="N191" s="140">
        <f ca="1">IF(ISNUMBER(MATCH(DATEVALUE($A191),'recurring1_based on steps'!N$1:N$400,0)),N$2,)</f>
        <v>0</v>
      </c>
      <c r="O191" s="140">
        <f ca="1">IF(ISNUMBER(MATCH(DATEVALUE($A191),'recurring1_based on steps'!O$1:O$400,0)),O$2,)</f>
        <v>0</v>
      </c>
      <c r="P191" s="140">
        <f ca="1">IF(ISNUMBER(MATCH(DATEVALUE($A191),'recurring1_based on steps'!P$1:P$400,0)),P$2,)</f>
        <v>0</v>
      </c>
      <c r="Q191" s="140">
        <f ca="1">IF(ISNUMBER(MATCH(DATEVALUE($A191),'recurring1_based on steps'!Q$1:Q$400,0)),Q$2,)</f>
        <v>0</v>
      </c>
      <c r="R191" s="140">
        <f ca="1">IF(ISNUMBER(MATCH(DATEVALUE($A191),'recurring1_based on steps'!R$1:R$400,0)),R$2,)</f>
        <v>0</v>
      </c>
      <c r="S191" s="140">
        <f ca="1">IF(ISNUMBER(MATCH(DATEVALUE($A191),'recurring1_based on steps'!S$1:S$400,0)),S$2,)</f>
        <v>0</v>
      </c>
      <c r="T191" s="140">
        <f ca="1">IF(ISNUMBER(MATCH(DATEVALUE($A191),'recurring1_based on steps'!T$1:T$400,0)),T$2,)</f>
        <v>0</v>
      </c>
      <c r="U191" s="140">
        <f ca="1">IF(ISNUMBER(MATCH(DATEVALUE($A191),'recurring1_based on steps'!U$1:U$400,0)),U$2,)</f>
        <v>0</v>
      </c>
      <c r="V191" s="140">
        <f ca="1">IF(ISNUMBER(MATCH(DATEVALUE($A191),'recurring1_based on steps'!V$1:V$400,0)),V$2,)</f>
        <v>0</v>
      </c>
      <c r="W191" s="140">
        <f ca="1">IF(ISNUMBER(MATCH(DATEVALUE($A191),'recurring1_based on steps'!W$1:W$400,0)),W$2,)</f>
        <v>0</v>
      </c>
      <c r="X191" s="140">
        <f ca="1">IF(ISNUMBER(MATCH(DATEVALUE($A191),'recurring1_based on steps'!X$1:X$400,0)),X$2,)</f>
        <v>0</v>
      </c>
      <c r="Y191" s="140">
        <f ca="1">IF(ISNUMBER(MATCH(DATEVALUE($A191),'recurring1_based on steps'!Y$1:Y$400,0)),Y$2,)</f>
        <v>0</v>
      </c>
      <c r="Z191" s="140">
        <f ca="1">IF(ISNUMBER(MATCH(DATEVALUE($A191),'recurring1_based on steps'!Z$1:Z$400,0)),Z$2,)</f>
        <v>0</v>
      </c>
      <c r="AA191" s="140">
        <f ca="1">IF(ISNUMBER(MATCH(DATEVALUE($A191),'recurring1_based on steps'!AA$1:AA$400,0)),AA$2,)</f>
        <v>0</v>
      </c>
      <c r="AB191" s="140">
        <f ca="1">IF(ISNUMBER(MATCH(DATEVALUE($A191),'recurring1_based on steps'!AB$1:AB$400,0)),AB$2,)</f>
        <v>5.5401662049861494E-2</v>
      </c>
      <c r="AC191" s="140">
        <f ca="1">IF(ISNUMBER(MATCH(DATEVALUE($A191),'recurring1_based on steps'!AC$1:AC$400,0)),AC$2,)</f>
        <v>0</v>
      </c>
      <c r="AD191" s="140">
        <f ca="1">IF(ISNUMBER(MATCH(DATEVALUE($A191),'recurring1_based on steps'!AD$1:AD$400,0)),AD$2,)</f>
        <v>0</v>
      </c>
      <c r="AE191" s="140">
        <f ca="1">IF(ISNUMBER(MATCH(DATEVALUE($A191),'recurring1_based on steps'!AE$1:AE$400,0)),AE$2,)</f>
        <v>0</v>
      </c>
      <c r="AF191" s="140">
        <f ca="1">IF(ISNUMBER(MATCH(DATEVALUE($A191),'recurring1_based on steps'!AF$1:AF$400,0)),AF$2,)</f>
        <v>0</v>
      </c>
      <c r="AG191" s="140">
        <f ca="1">IF(ISNUMBER(MATCH(DATEVALUE($A191),'recurring1_based on steps'!AG$1:AG$400,0)),AG$2,)</f>
        <v>0</v>
      </c>
      <c r="AH191" s="140">
        <f ca="1">IF(ISNUMBER(MATCH(DATEVALUE($A191),'recurring1_based on steps'!AH$1:AH$400,0)),AH$2,)</f>
        <v>0</v>
      </c>
      <c r="AI191" s="140">
        <f ca="1">IF(ISNUMBER(MATCH(DATEVALUE($A191),'recurring1_based on steps'!AI$1:AI$400,0)),AI$2,)</f>
        <v>0</v>
      </c>
      <c r="AJ191" s="140">
        <f ca="1">IF(ISNUMBER(MATCH(DATEVALUE($A191),'recurring1_based on steps'!AJ$1:AJ$400,0)),AJ$2,)</f>
        <v>0</v>
      </c>
      <c r="AK191" s="140">
        <f ca="1">IF(ISNUMBER(MATCH(DATEVALUE($A191),'recurring1_based on steps'!AK$1:AK$400,0)),AK$2,)</f>
        <v>0</v>
      </c>
      <c r="AL191" s="140">
        <f ca="1">IF(ISNUMBER(MATCH(DATEVALUE($A191),'recurring1_based on steps'!AL$1:AL$400,0)),AL$2,)</f>
        <v>0</v>
      </c>
      <c r="AM191" s="140">
        <f ca="1">IF(ISNUMBER(MATCH(DATEVALUE($A191),'recurring1_based on steps'!AM$1:AM$400,0)),AM$2,)</f>
        <v>0</v>
      </c>
      <c r="AN191" s="140">
        <f ca="1">IF(ISNUMBER(MATCH(DATEVALUE($A191),'recurring1_based on steps'!AN$1:AN$400,0)),AN$2,)</f>
        <v>0</v>
      </c>
      <c r="AO191" s="140">
        <f ca="1">IF(ISNUMBER(MATCH(DATEVALUE($A191),'recurring1_based on steps'!AO$1:AO$400,0)),AO$2,)</f>
        <v>0</v>
      </c>
      <c r="AP191" s="140">
        <f ca="1">IF(ISNUMBER(MATCH(DATEVALUE($A191),'recurring1_based on steps'!AP$1:AP$400,0)),AP$2,)</f>
        <v>0</v>
      </c>
      <c r="AQ191" s="140">
        <f ca="1">IF(ISNUMBER(MATCH(DATEVALUE($A191),'recurring1_based on steps'!AQ$1:AQ$400,0)),AQ$2,)</f>
        <v>0</v>
      </c>
      <c r="AR191" s="140">
        <f ca="1">IF(ISNUMBER(MATCH(DATEVALUE($A191),'recurring1_based on steps'!AR$1:AR$400,0)),AR$2,)</f>
        <v>0</v>
      </c>
      <c r="AS191" s="140">
        <f ca="1">IF(ISNUMBER(MATCH(DATEVALUE($A191),'recurring1_based on steps'!AS$1:AS$400,0)),AS$2,)</f>
        <v>0</v>
      </c>
      <c r="AT191" s="140">
        <f ca="1">IF(ISNUMBER(MATCH(DATEVALUE($A191),'recurring1_based on steps'!AT$1:AT$400,0)),AT$2,)</f>
        <v>0</v>
      </c>
      <c r="AU191" s="140">
        <f ca="1">IF(ISNUMBER(MATCH(DATEVALUE($A191),'recurring1_based on steps'!AU$1:AU$400,0)),AU$2,)</f>
        <v>0</v>
      </c>
      <c r="AV191" s="140">
        <f ca="1">IF(ISNUMBER(MATCH(DATEVALUE($A191),'recurring1_based on steps'!AV$1:AV$400,0)),AV$2,)</f>
        <v>0</v>
      </c>
      <c r="AW191" s="140">
        <f ca="1">IF(ISNUMBER(MATCH(DATEVALUE($A191),'recurring1_based on steps'!AW$1:AW$400,0)),AW$2,)</f>
        <v>0</v>
      </c>
      <c r="AX191" s="140">
        <f ca="1">IF(ISNUMBER(MATCH(DATEVALUE($A191),'recurring1_based on steps'!AX$1:AX$400,0)),AX$2,)</f>
        <v>0</v>
      </c>
      <c r="AY191" s="140">
        <f ca="1">IF(ISNUMBER(MATCH(DATEVALUE($A191),'recurring1_based on steps'!AY$1:AY$400,0)),AY$2,)</f>
        <v>0</v>
      </c>
    </row>
    <row r="192" spans="1:51" x14ac:dyDescent="0.2">
      <c r="A192" s="29" t="str">
        <f t="shared" ca="1" si="2"/>
        <v>2025-10-02</v>
      </c>
      <c r="B192" s="140">
        <f ca="1">IF(ISNUMBER(MATCH(DATEVALUE($A192),'recurring1_based on steps'!B$1:B$400,0)),B$2,)</f>
        <v>0</v>
      </c>
      <c r="C192" s="140">
        <f ca="1">IF(ISNUMBER(MATCH(DATEVALUE($A192),'recurring1_based on steps'!C$1:C$400,0)),C$2,)</f>
        <v>0</v>
      </c>
      <c r="D192" s="140">
        <f ca="1">IF(ISNUMBER(MATCH(DATEVALUE($A192),'recurring1_based on steps'!D$1:D$400,0)),D$2,)</f>
        <v>0</v>
      </c>
      <c r="E192" s="140">
        <f ca="1">IF(ISNUMBER(MATCH(DATEVALUE($A192),'recurring1_based on steps'!E$1:E$400,0)),E$2,)</f>
        <v>0</v>
      </c>
      <c r="F192" s="140">
        <f ca="1">IF(ISNUMBER(MATCH(DATEVALUE($A192),'recurring1_based on steps'!F$1:F$400,0)),F$2,)</f>
        <v>0</v>
      </c>
      <c r="G192" s="140">
        <f ca="1">IF(ISNUMBER(MATCH(DATEVALUE($A192),'recurring1_based on steps'!G$1:G$400,0)),G$2,)</f>
        <v>0</v>
      </c>
      <c r="H192" s="140">
        <f ca="1">IF(ISNUMBER(MATCH(DATEVALUE($A192),'recurring1_based on steps'!H$1:H$400,0)),H$2,)</f>
        <v>0</v>
      </c>
      <c r="I192" s="140">
        <f ca="1">IF(ISNUMBER(MATCH(DATEVALUE($A192),'recurring1_based on steps'!I$1:I$400,0)),I$2,)</f>
        <v>0</v>
      </c>
      <c r="J192" s="140">
        <f ca="1">IF(ISNUMBER(MATCH(DATEVALUE($A192),'recurring1_based on steps'!J$1:J$400,0)),J$2,)</f>
        <v>0</v>
      </c>
      <c r="K192" s="140">
        <f ca="1">IF(ISNUMBER(MATCH(DATEVALUE($A192),'recurring1_based on steps'!K$1:K$400,0)),K$2,)</f>
        <v>0</v>
      </c>
      <c r="L192" s="140">
        <f ca="1">IF(ISNUMBER(MATCH(DATEVALUE($A192),'recurring1_based on steps'!L$1:L$400,0)),L$2,)</f>
        <v>0</v>
      </c>
      <c r="M192" s="140">
        <f ca="1">IF(ISNUMBER(MATCH(DATEVALUE($A192),'recurring1_based on steps'!M$1:M$400,0)),M$2,)</f>
        <v>0</v>
      </c>
      <c r="N192" s="140">
        <f ca="1">IF(ISNUMBER(MATCH(DATEVALUE($A192),'recurring1_based on steps'!N$1:N$400,0)),N$2,)</f>
        <v>0</v>
      </c>
      <c r="O192" s="140">
        <f ca="1">IF(ISNUMBER(MATCH(DATEVALUE($A192),'recurring1_based on steps'!O$1:O$400,0)),O$2,)</f>
        <v>0</v>
      </c>
      <c r="P192" s="140">
        <f ca="1">IF(ISNUMBER(MATCH(DATEVALUE($A192),'recurring1_based on steps'!P$1:P$400,0)),P$2,)</f>
        <v>0</v>
      </c>
      <c r="Q192" s="140">
        <f ca="1">IF(ISNUMBER(MATCH(DATEVALUE($A192),'recurring1_based on steps'!Q$1:Q$400,0)),Q$2,)</f>
        <v>0</v>
      </c>
      <c r="R192" s="140">
        <f ca="1">IF(ISNUMBER(MATCH(DATEVALUE($A192),'recurring1_based on steps'!R$1:R$400,0)),R$2,)</f>
        <v>0</v>
      </c>
      <c r="S192" s="140">
        <f ca="1">IF(ISNUMBER(MATCH(DATEVALUE($A192),'recurring1_based on steps'!S$1:S$400,0)),S$2,)</f>
        <v>0</v>
      </c>
      <c r="T192" s="140">
        <f ca="1">IF(ISNUMBER(MATCH(DATEVALUE($A192),'recurring1_based on steps'!T$1:T$400,0)),T$2,)</f>
        <v>0</v>
      </c>
      <c r="U192" s="140">
        <f ca="1">IF(ISNUMBER(MATCH(DATEVALUE($A192),'recurring1_based on steps'!U$1:U$400,0)),U$2,)</f>
        <v>0</v>
      </c>
      <c r="V192" s="140">
        <f ca="1">IF(ISNUMBER(MATCH(DATEVALUE($A192),'recurring1_based on steps'!V$1:V$400,0)),V$2,)</f>
        <v>0</v>
      </c>
      <c r="W192" s="140">
        <f ca="1">IF(ISNUMBER(MATCH(DATEVALUE($A192),'recurring1_based on steps'!W$1:W$400,0)),W$2,)</f>
        <v>0</v>
      </c>
      <c r="X192" s="140">
        <f ca="1">IF(ISNUMBER(MATCH(DATEVALUE($A192),'recurring1_based on steps'!X$1:X$400,0)),X$2,)</f>
        <v>0</v>
      </c>
      <c r="Y192" s="140">
        <f ca="1">IF(ISNUMBER(MATCH(DATEVALUE($A192),'recurring1_based on steps'!Y$1:Y$400,0)),Y$2,)</f>
        <v>0</v>
      </c>
      <c r="Z192" s="140">
        <f ca="1">IF(ISNUMBER(MATCH(DATEVALUE($A192),'recurring1_based on steps'!Z$1:Z$400,0)),Z$2,)</f>
        <v>0</v>
      </c>
      <c r="AA192" s="140">
        <f ca="1">IF(ISNUMBER(MATCH(DATEVALUE($A192),'recurring1_based on steps'!AA$1:AA$400,0)),AA$2,)</f>
        <v>0</v>
      </c>
      <c r="AB192" s="140">
        <f ca="1">IF(ISNUMBER(MATCH(DATEVALUE($A192),'recurring1_based on steps'!AB$1:AB$400,0)),AB$2,)</f>
        <v>5.5401662049861494E-2</v>
      </c>
      <c r="AC192" s="140">
        <f ca="1">IF(ISNUMBER(MATCH(DATEVALUE($A192),'recurring1_based on steps'!AC$1:AC$400,0)),AC$2,)</f>
        <v>0</v>
      </c>
      <c r="AD192" s="140">
        <f ca="1">IF(ISNUMBER(MATCH(DATEVALUE($A192),'recurring1_based on steps'!AD$1:AD$400,0)),AD$2,)</f>
        <v>0</v>
      </c>
      <c r="AE192" s="140">
        <f ca="1">IF(ISNUMBER(MATCH(DATEVALUE($A192),'recurring1_based on steps'!AE$1:AE$400,0)),AE$2,)</f>
        <v>0</v>
      </c>
      <c r="AF192" s="140">
        <f ca="1">IF(ISNUMBER(MATCH(DATEVALUE($A192),'recurring1_based on steps'!AF$1:AF$400,0)),AF$2,)</f>
        <v>0</v>
      </c>
      <c r="AG192" s="140">
        <f ca="1">IF(ISNUMBER(MATCH(DATEVALUE($A192),'recurring1_based on steps'!AG$1:AG$400,0)),AG$2,)</f>
        <v>0</v>
      </c>
      <c r="AH192" s="140">
        <f ca="1">IF(ISNUMBER(MATCH(DATEVALUE($A192),'recurring1_based on steps'!AH$1:AH$400,0)),AH$2,)</f>
        <v>0</v>
      </c>
      <c r="AI192" s="140">
        <f ca="1">IF(ISNUMBER(MATCH(DATEVALUE($A192),'recurring1_based on steps'!AI$1:AI$400,0)),AI$2,)</f>
        <v>0</v>
      </c>
      <c r="AJ192" s="140">
        <f ca="1">IF(ISNUMBER(MATCH(DATEVALUE($A192),'recurring1_based on steps'!AJ$1:AJ$400,0)),AJ$2,)</f>
        <v>0</v>
      </c>
      <c r="AK192" s="140">
        <f ca="1">IF(ISNUMBER(MATCH(DATEVALUE($A192),'recurring1_based on steps'!AK$1:AK$400,0)),AK$2,)</f>
        <v>0</v>
      </c>
      <c r="AL192" s="140">
        <f ca="1">IF(ISNUMBER(MATCH(DATEVALUE($A192),'recurring1_based on steps'!AL$1:AL$400,0)),AL$2,)</f>
        <v>0</v>
      </c>
      <c r="AM192" s="140">
        <f ca="1">IF(ISNUMBER(MATCH(DATEVALUE($A192),'recurring1_based on steps'!AM$1:AM$400,0)),AM$2,)</f>
        <v>0</v>
      </c>
      <c r="AN192" s="140">
        <f ca="1">IF(ISNUMBER(MATCH(DATEVALUE($A192),'recurring1_based on steps'!AN$1:AN$400,0)),AN$2,)</f>
        <v>0</v>
      </c>
      <c r="AO192" s="140">
        <f ca="1">IF(ISNUMBER(MATCH(DATEVALUE($A192),'recurring1_based on steps'!AO$1:AO$400,0)),AO$2,)</f>
        <v>0</v>
      </c>
      <c r="AP192" s="140">
        <f ca="1">IF(ISNUMBER(MATCH(DATEVALUE($A192),'recurring1_based on steps'!AP$1:AP$400,0)),AP$2,)</f>
        <v>0</v>
      </c>
      <c r="AQ192" s="140">
        <f ca="1">IF(ISNUMBER(MATCH(DATEVALUE($A192),'recurring1_based on steps'!AQ$1:AQ$400,0)),AQ$2,)</f>
        <v>0</v>
      </c>
      <c r="AR192" s="140">
        <f ca="1">IF(ISNUMBER(MATCH(DATEVALUE($A192),'recurring1_based on steps'!AR$1:AR$400,0)),AR$2,)</f>
        <v>0</v>
      </c>
      <c r="AS192" s="140">
        <f ca="1">IF(ISNUMBER(MATCH(DATEVALUE($A192),'recurring1_based on steps'!AS$1:AS$400,0)),AS$2,)</f>
        <v>0</v>
      </c>
      <c r="AT192" s="140">
        <f ca="1">IF(ISNUMBER(MATCH(DATEVALUE($A192),'recurring1_based on steps'!AT$1:AT$400,0)),AT$2,)</f>
        <v>0</v>
      </c>
      <c r="AU192" s="140">
        <f ca="1">IF(ISNUMBER(MATCH(DATEVALUE($A192),'recurring1_based on steps'!AU$1:AU$400,0)),AU$2,)</f>
        <v>0</v>
      </c>
      <c r="AV192" s="140">
        <f ca="1">IF(ISNUMBER(MATCH(DATEVALUE($A192),'recurring1_based on steps'!AV$1:AV$400,0)),AV$2,)</f>
        <v>0</v>
      </c>
      <c r="AW192" s="140">
        <f ca="1">IF(ISNUMBER(MATCH(DATEVALUE($A192),'recurring1_based on steps'!AW$1:AW$400,0)),AW$2,)</f>
        <v>0</v>
      </c>
      <c r="AX192" s="140">
        <f ca="1">IF(ISNUMBER(MATCH(DATEVALUE($A192),'recurring1_based on steps'!AX$1:AX$400,0)),AX$2,)</f>
        <v>0</v>
      </c>
      <c r="AY192" s="140">
        <f ca="1">IF(ISNUMBER(MATCH(DATEVALUE($A192),'recurring1_based on steps'!AY$1:AY$400,0)),AY$2,)</f>
        <v>0</v>
      </c>
    </row>
    <row r="193" spans="1:51" x14ac:dyDescent="0.2">
      <c r="A193" s="29" t="str">
        <f t="shared" ca="1" si="2"/>
        <v>2025-10-03</v>
      </c>
      <c r="B193" s="140">
        <f ca="1">IF(ISNUMBER(MATCH(DATEVALUE($A193),'recurring1_based on steps'!B$1:B$400,0)),B$2,)</f>
        <v>4000</v>
      </c>
      <c r="C193" s="140">
        <f ca="1">IF(ISNUMBER(MATCH(DATEVALUE($A193),'recurring1_based on steps'!C$1:C$400,0)),C$2,)</f>
        <v>200</v>
      </c>
      <c r="D193" s="140">
        <f ca="1">IF(ISNUMBER(MATCH(DATEVALUE($A193),'recurring1_based on steps'!D$1:D$400,0)),D$2,)</f>
        <v>2</v>
      </c>
      <c r="E193" s="140">
        <f ca="1">IF(ISNUMBER(MATCH(DATEVALUE($A193),'recurring1_based on steps'!E$1:E$400,0)),E$2,)</f>
        <v>40</v>
      </c>
      <c r="F193" s="140">
        <f ca="1">IF(ISNUMBER(MATCH(DATEVALUE($A193),'recurring1_based on steps'!F$1:F$400,0)),F$2,)</f>
        <v>50</v>
      </c>
      <c r="G193" s="140">
        <f ca="1">IF(ISNUMBER(MATCH(DATEVALUE($A193),'recurring1_based on steps'!G$1:G$400,0)),G$2,)</f>
        <v>4</v>
      </c>
      <c r="H193" s="140">
        <f ca="1">IF(ISNUMBER(MATCH(DATEVALUE($A193),'recurring1_based on steps'!H$1:H$400,0)),H$2,)</f>
        <v>0</v>
      </c>
      <c r="I193" s="140">
        <f ca="1">IF(ISNUMBER(MATCH(DATEVALUE($A193),'recurring1_based on steps'!I$1:I$400,0)),I$2,)</f>
        <v>0</v>
      </c>
      <c r="J193" s="140">
        <f ca="1">IF(ISNUMBER(MATCH(DATEVALUE($A193),'recurring1_based on steps'!J$1:J$400,0)),J$2,)</f>
        <v>0</v>
      </c>
      <c r="K193" s="140">
        <f ca="1">IF(ISNUMBER(MATCH(DATEVALUE($A193),'recurring1_based on steps'!K$1:K$400,0)),K$2,)</f>
        <v>0</v>
      </c>
      <c r="L193" s="140">
        <f ca="1">IF(ISNUMBER(MATCH(DATEVALUE($A193),'recurring1_based on steps'!L$1:L$400,0)),L$2,)</f>
        <v>0</v>
      </c>
      <c r="M193" s="140">
        <f ca="1">IF(ISNUMBER(MATCH(DATEVALUE($A193),'recurring1_based on steps'!M$1:M$400,0)),M$2,)</f>
        <v>0</v>
      </c>
      <c r="N193" s="140">
        <f ca="1">IF(ISNUMBER(MATCH(DATEVALUE($A193),'recurring1_based on steps'!N$1:N$400,0)),N$2,)</f>
        <v>0</v>
      </c>
      <c r="O193" s="140">
        <f ca="1">IF(ISNUMBER(MATCH(DATEVALUE($A193),'recurring1_based on steps'!O$1:O$400,0)),O$2,)</f>
        <v>0</v>
      </c>
      <c r="P193" s="140">
        <f ca="1">IF(ISNUMBER(MATCH(DATEVALUE($A193),'recurring1_based on steps'!P$1:P$400,0)),P$2,)</f>
        <v>0</v>
      </c>
      <c r="Q193" s="140">
        <f ca="1">IF(ISNUMBER(MATCH(DATEVALUE($A193),'recurring1_based on steps'!Q$1:Q$400,0)),Q$2,)</f>
        <v>0</v>
      </c>
      <c r="R193" s="140">
        <f ca="1">IF(ISNUMBER(MATCH(DATEVALUE($A193),'recurring1_based on steps'!R$1:R$400,0)),R$2,)</f>
        <v>0</v>
      </c>
      <c r="S193" s="140">
        <f ca="1">IF(ISNUMBER(MATCH(DATEVALUE($A193),'recurring1_based on steps'!S$1:S$400,0)),S$2,)</f>
        <v>0</v>
      </c>
      <c r="T193" s="140">
        <f ca="1">IF(ISNUMBER(MATCH(DATEVALUE($A193),'recurring1_based on steps'!T$1:T$400,0)),T$2,)</f>
        <v>0</v>
      </c>
      <c r="U193" s="140">
        <f ca="1">IF(ISNUMBER(MATCH(DATEVALUE($A193),'recurring1_based on steps'!U$1:U$400,0)),U$2,)</f>
        <v>0</v>
      </c>
      <c r="V193" s="140">
        <f ca="1">IF(ISNUMBER(MATCH(DATEVALUE($A193),'recurring1_based on steps'!V$1:V$400,0)),V$2,)</f>
        <v>0</v>
      </c>
      <c r="W193" s="140">
        <f ca="1">IF(ISNUMBER(MATCH(DATEVALUE($A193),'recurring1_based on steps'!W$1:W$400,0)),W$2,)</f>
        <v>0</v>
      </c>
      <c r="X193" s="140">
        <f ca="1">IF(ISNUMBER(MATCH(DATEVALUE($A193),'recurring1_based on steps'!X$1:X$400,0)),X$2,)</f>
        <v>50</v>
      </c>
      <c r="Y193" s="140">
        <f ca="1">IF(ISNUMBER(MATCH(DATEVALUE($A193),'recurring1_based on steps'!Y$1:Y$400,0)),Y$2,)</f>
        <v>50</v>
      </c>
      <c r="Z193" s="140">
        <f ca="1">IF(ISNUMBER(MATCH(DATEVALUE($A193),'recurring1_based on steps'!Z$1:Z$400,0)),Z$2,)</f>
        <v>0</v>
      </c>
      <c r="AA193" s="140">
        <f ca="1">IF(ISNUMBER(MATCH(DATEVALUE($A193),'recurring1_based on steps'!AA$1:AA$400,0)),AA$2,)</f>
        <v>0</v>
      </c>
      <c r="AB193" s="140">
        <f ca="1">IF(ISNUMBER(MATCH(DATEVALUE($A193),'recurring1_based on steps'!AB$1:AB$400,0)),AB$2,)</f>
        <v>5.5401662049861494E-2</v>
      </c>
      <c r="AC193" s="140">
        <f ca="1">IF(ISNUMBER(MATCH(DATEVALUE($A193),'recurring1_based on steps'!AC$1:AC$400,0)),AC$2,)</f>
        <v>0</v>
      </c>
      <c r="AD193" s="140">
        <f ca="1">IF(ISNUMBER(MATCH(DATEVALUE($A193),'recurring1_based on steps'!AD$1:AD$400,0)),AD$2,)</f>
        <v>0</v>
      </c>
      <c r="AE193" s="140">
        <f ca="1">IF(ISNUMBER(MATCH(DATEVALUE($A193),'recurring1_based on steps'!AE$1:AE$400,0)),AE$2,)</f>
        <v>0</v>
      </c>
      <c r="AF193" s="140">
        <f ca="1">IF(ISNUMBER(MATCH(DATEVALUE($A193),'recurring1_based on steps'!AF$1:AF$400,0)),AF$2,)</f>
        <v>0</v>
      </c>
      <c r="AG193" s="140">
        <f ca="1">IF(ISNUMBER(MATCH(DATEVALUE($A193),'recurring1_based on steps'!AG$1:AG$400,0)),AG$2,)</f>
        <v>0</v>
      </c>
      <c r="AH193" s="140">
        <f ca="1">IF(ISNUMBER(MATCH(DATEVALUE($A193),'recurring1_based on steps'!AH$1:AH$400,0)),AH$2,)</f>
        <v>0</v>
      </c>
      <c r="AI193" s="140">
        <f ca="1">IF(ISNUMBER(MATCH(DATEVALUE($A193),'recurring1_based on steps'!AI$1:AI$400,0)),AI$2,)</f>
        <v>0</v>
      </c>
      <c r="AJ193" s="140">
        <f ca="1">IF(ISNUMBER(MATCH(DATEVALUE($A193),'recurring1_based on steps'!AJ$1:AJ$400,0)),AJ$2,)</f>
        <v>0</v>
      </c>
      <c r="AK193" s="140">
        <f ca="1">IF(ISNUMBER(MATCH(DATEVALUE($A193),'recurring1_based on steps'!AK$1:AK$400,0)),AK$2,)</f>
        <v>0</v>
      </c>
      <c r="AL193" s="140">
        <f ca="1">IF(ISNUMBER(MATCH(DATEVALUE($A193),'recurring1_based on steps'!AL$1:AL$400,0)),AL$2,)</f>
        <v>0</v>
      </c>
      <c r="AM193" s="140">
        <f ca="1">IF(ISNUMBER(MATCH(DATEVALUE($A193),'recurring1_based on steps'!AM$1:AM$400,0)),AM$2,)</f>
        <v>0</v>
      </c>
      <c r="AN193" s="140">
        <f ca="1">IF(ISNUMBER(MATCH(DATEVALUE($A193),'recurring1_based on steps'!AN$1:AN$400,0)),AN$2,)</f>
        <v>0</v>
      </c>
      <c r="AO193" s="140">
        <f ca="1">IF(ISNUMBER(MATCH(DATEVALUE($A193),'recurring1_based on steps'!AO$1:AO$400,0)),AO$2,)</f>
        <v>0</v>
      </c>
      <c r="AP193" s="140">
        <f ca="1">IF(ISNUMBER(MATCH(DATEVALUE($A193),'recurring1_based on steps'!AP$1:AP$400,0)),AP$2,)</f>
        <v>0</v>
      </c>
      <c r="AQ193" s="140">
        <f ca="1">IF(ISNUMBER(MATCH(DATEVALUE($A193),'recurring1_based on steps'!AQ$1:AQ$400,0)),AQ$2,)</f>
        <v>0</v>
      </c>
      <c r="AR193" s="140">
        <f ca="1">IF(ISNUMBER(MATCH(DATEVALUE($A193),'recurring1_based on steps'!AR$1:AR$400,0)),AR$2,)</f>
        <v>0</v>
      </c>
      <c r="AS193" s="140">
        <f ca="1">IF(ISNUMBER(MATCH(DATEVALUE($A193),'recurring1_based on steps'!AS$1:AS$400,0)),AS$2,)</f>
        <v>0</v>
      </c>
      <c r="AT193" s="140">
        <f ca="1">IF(ISNUMBER(MATCH(DATEVALUE($A193),'recurring1_based on steps'!AT$1:AT$400,0)),AT$2,)</f>
        <v>0</v>
      </c>
      <c r="AU193" s="140">
        <f ca="1">IF(ISNUMBER(MATCH(DATEVALUE($A193),'recurring1_based on steps'!AU$1:AU$400,0)),AU$2,)</f>
        <v>0</v>
      </c>
      <c r="AV193" s="140">
        <f ca="1">IF(ISNUMBER(MATCH(DATEVALUE($A193),'recurring1_based on steps'!AV$1:AV$400,0)),AV$2,)</f>
        <v>0</v>
      </c>
      <c r="AW193" s="140">
        <f ca="1">IF(ISNUMBER(MATCH(DATEVALUE($A193),'recurring1_based on steps'!AW$1:AW$400,0)),AW$2,)</f>
        <v>0</v>
      </c>
      <c r="AX193" s="140">
        <f ca="1">IF(ISNUMBER(MATCH(DATEVALUE($A193),'recurring1_based on steps'!AX$1:AX$400,0)),AX$2,)</f>
        <v>0</v>
      </c>
      <c r="AY193" s="140">
        <f ca="1">IF(ISNUMBER(MATCH(DATEVALUE($A193),'recurring1_based on steps'!AY$1:AY$400,0)),AY$2,)</f>
        <v>0</v>
      </c>
    </row>
    <row r="194" spans="1:51" x14ac:dyDescent="0.2">
      <c r="A194" s="29" t="str">
        <f t="shared" ca="1" si="2"/>
        <v>2025-10-04</v>
      </c>
      <c r="B194" s="140">
        <f ca="1">IF(ISNUMBER(MATCH(DATEVALUE($A194),'recurring1_based on steps'!B$1:B$400,0)),B$2,)</f>
        <v>0</v>
      </c>
      <c r="C194" s="140">
        <f ca="1">IF(ISNUMBER(MATCH(DATEVALUE($A194),'recurring1_based on steps'!C$1:C$400,0)),C$2,)</f>
        <v>0</v>
      </c>
      <c r="D194" s="140">
        <f ca="1">IF(ISNUMBER(MATCH(DATEVALUE($A194),'recurring1_based on steps'!D$1:D$400,0)),D$2,)</f>
        <v>0</v>
      </c>
      <c r="E194" s="140">
        <f ca="1">IF(ISNUMBER(MATCH(DATEVALUE($A194),'recurring1_based on steps'!E$1:E$400,0)),E$2,)</f>
        <v>0</v>
      </c>
      <c r="F194" s="140">
        <f ca="1">IF(ISNUMBER(MATCH(DATEVALUE($A194),'recurring1_based on steps'!F$1:F$400,0)),F$2,)</f>
        <v>0</v>
      </c>
      <c r="G194" s="140">
        <f ca="1">IF(ISNUMBER(MATCH(DATEVALUE($A194),'recurring1_based on steps'!G$1:G$400,0)),G$2,)</f>
        <v>0</v>
      </c>
      <c r="H194" s="140">
        <f ca="1">IF(ISNUMBER(MATCH(DATEVALUE($A194),'recurring1_based on steps'!H$1:H$400,0)),H$2,)</f>
        <v>0</v>
      </c>
      <c r="I194" s="140">
        <f ca="1">IF(ISNUMBER(MATCH(DATEVALUE($A194),'recurring1_based on steps'!I$1:I$400,0)),I$2,)</f>
        <v>0</v>
      </c>
      <c r="J194" s="140">
        <f ca="1">IF(ISNUMBER(MATCH(DATEVALUE($A194),'recurring1_based on steps'!J$1:J$400,0)),J$2,)</f>
        <v>0</v>
      </c>
      <c r="K194" s="140">
        <f ca="1">IF(ISNUMBER(MATCH(DATEVALUE($A194),'recurring1_based on steps'!K$1:K$400,0)),K$2,)</f>
        <v>0</v>
      </c>
      <c r="L194" s="140">
        <f ca="1">IF(ISNUMBER(MATCH(DATEVALUE($A194),'recurring1_based on steps'!L$1:L$400,0)),L$2,)</f>
        <v>0</v>
      </c>
      <c r="M194" s="140">
        <f ca="1">IF(ISNUMBER(MATCH(DATEVALUE($A194),'recurring1_based on steps'!M$1:M$400,0)),M$2,)</f>
        <v>15</v>
      </c>
      <c r="N194" s="140">
        <f ca="1">IF(ISNUMBER(MATCH(DATEVALUE($A194),'recurring1_based on steps'!N$1:N$400,0)),N$2,)</f>
        <v>0</v>
      </c>
      <c r="O194" s="140">
        <f ca="1">IF(ISNUMBER(MATCH(DATEVALUE($A194),'recurring1_based on steps'!O$1:O$400,0)),O$2,)</f>
        <v>0</v>
      </c>
      <c r="P194" s="140">
        <f ca="1">IF(ISNUMBER(MATCH(DATEVALUE($A194),'recurring1_based on steps'!P$1:P$400,0)),P$2,)</f>
        <v>0</v>
      </c>
      <c r="Q194" s="140">
        <f ca="1">IF(ISNUMBER(MATCH(DATEVALUE($A194),'recurring1_based on steps'!Q$1:Q$400,0)),Q$2,)</f>
        <v>100</v>
      </c>
      <c r="R194" s="140">
        <f ca="1">IF(ISNUMBER(MATCH(DATEVALUE($A194),'recurring1_based on steps'!R$1:R$400,0)),R$2,)</f>
        <v>100</v>
      </c>
      <c r="S194" s="140">
        <f ca="1">IF(ISNUMBER(MATCH(DATEVALUE($A194),'recurring1_based on steps'!S$1:S$400,0)),S$2,)</f>
        <v>0</v>
      </c>
      <c r="T194" s="140">
        <f ca="1">IF(ISNUMBER(MATCH(DATEVALUE($A194),'recurring1_based on steps'!T$1:T$400,0)),T$2,)</f>
        <v>0</v>
      </c>
      <c r="U194" s="140">
        <f ca="1">IF(ISNUMBER(MATCH(DATEVALUE($A194),'recurring1_based on steps'!U$1:U$400,0)),U$2,)</f>
        <v>0</v>
      </c>
      <c r="V194" s="140">
        <f ca="1">IF(ISNUMBER(MATCH(DATEVALUE($A194),'recurring1_based on steps'!V$1:V$400,0)),V$2,)</f>
        <v>0</v>
      </c>
      <c r="W194" s="140">
        <f ca="1">IF(ISNUMBER(MATCH(DATEVALUE($A194),'recurring1_based on steps'!W$1:W$400,0)),W$2,)</f>
        <v>0</v>
      </c>
      <c r="X194" s="140">
        <f ca="1">IF(ISNUMBER(MATCH(DATEVALUE($A194),'recurring1_based on steps'!X$1:X$400,0)),X$2,)</f>
        <v>0</v>
      </c>
      <c r="Y194" s="140">
        <f ca="1">IF(ISNUMBER(MATCH(DATEVALUE($A194),'recurring1_based on steps'!Y$1:Y$400,0)),Y$2,)</f>
        <v>0</v>
      </c>
      <c r="Z194" s="140">
        <f ca="1">IF(ISNUMBER(MATCH(DATEVALUE($A194),'recurring1_based on steps'!Z$1:Z$400,0)),Z$2,)</f>
        <v>0</v>
      </c>
      <c r="AA194" s="140">
        <f ca="1">IF(ISNUMBER(MATCH(DATEVALUE($A194),'recurring1_based on steps'!AA$1:AA$400,0)),AA$2,)</f>
        <v>0</v>
      </c>
      <c r="AB194" s="140">
        <f ca="1">IF(ISNUMBER(MATCH(DATEVALUE($A194),'recurring1_based on steps'!AB$1:AB$400,0)),AB$2,)</f>
        <v>5.5401662049861494E-2</v>
      </c>
      <c r="AC194" s="140">
        <f ca="1">IF(ISNUMBER(MATCH(DATEVALUE($A194),'recurring1_based on steps'!AC$1:AC$400,0)),AC$2,)</f>
        <v>0</v>
      </c>
      <c r="AD194" s="140">
        <f ca="1">IF(ISNUMBER(MATCH(DATEVALUE($A194),'recurring1_based on steps'!AD$1:AD$400,0)),AD$2,)</f>
        <v>0</v>
      </c>
      <c r="AE194" s="140">
        <f ca="1">IF(ISNUMBER(MATCH(DATEVALUE($A194),'recurring1_based on steps'!AE$1:AE$400,0)),AE$2,)</f>
        <v>0</v>
      </c>
      <c r="AF194" s="140">
        <f ca="1">IF(ISNUMBER(MATCH(DATEVALUE($A194),'recurring1_based on steps'!AF$1:AF$400,0)),AF$2,)</f>
        <v>0</v>
      </c>
      <c r="AG194" s="140">
        <f ca="1">IF(ISNUMBER(MATCH(DATEVALUE($A194),'recurring1_based on steps'!AG$1:AG$400,0)),AG$2,)</f>
        <v>0</v>
      </c>
      <c r="AH194" s="140">
        <f ca="1">IF(ISNUMBER(MATCH(DATEVALUE($A194),'recurring1_based on steps'!AH$1:AH$400,0)),AH$2,)</f>
        <v>0</v>
      </c>
      <c r="AI194" s="140">
        <f ca="1">IF(ISNUMBER(MATCH(DATEVALUE($A194),'recurring1_based on steps'!AI$1:AI$400,0)),AI$2,)</f>
        <v>0</v>
      </c>
      <c r="AJ194" s="140">
        <f ca="1">IF(ISNUMBER(MATCH(DATEVALUE($A194),'recurring1_based on steps'!AJ$1:AJ$400,0)),AJ$2,)</f>
        <v>0</v>
      </c>
      <c r="AK194" s="140">
        <f ca="1">IF(ISNUMBER(MATCH(DATEVALUE($A194),'recurring1_based on steps'!AK$1:AK$400,0)),AK$2,)</f>
        <v>0</v>
      </c>
      <c r="AL194" s="140">
        <f ca="1">IF(ISNUMBER(MATCH(DATEVALUE($A194),'recurring1_based on steps'!AL$1:AL$400,0)),AL$2,)</f>
        <v>0</v>
      </c>
      <c r="AM194" s="140">
        <f ca="1">IF(ISNUMBER(MATCH(DATEVALUE($A194),'recurring1_based on steps'!AM$1:AM$400,0)),AM$2,)</f>
        <v>0</v>
      </c>
      <c r="AN194" s="140">
        <f ca="1">IF(ISNUMBER(MATCH(DATEVALUE($A194),'recurring1_based on steps'!AN$1:AN$400,0)),AN$2,)</f>
        <v>0</v>
      </c>
      <c r="AO194" s="140">
        <f ca="1">IF(ISNUMBER(MATCH(DATEVALUE($A194),'recurring1_based on steps'!AO$1:AO$400,0)),AO$2,)</f>
        <v>0</v>
      </c>
      <c r="AP194" s="140">
        <f ca="1">IF(ISNUMBER(MATCH(DATEVALUE($A194),'recurring1_based on steps'!AP$1:AP$400,0)),AP$2,)</f>
        <v>0</v>
      </c>
      <c r="AQ194" s="140">
        <f ca="1">IF(ISNUMBER(MATCH(DATEVALUE($A194),'recurring1_based on steps'!AQ$1:AQ$400,0)),AQ$2,)</f>
        <v>0</v>
      </c>
      <c r="AR194" s="140">
        <f ca="1">IF(ISNUMBER(MATCH(DATEVALUE($A194),'recurring1_based on steps'!AR$1:AR$400,0)),AR$2,)</f>
        <v>0</v>
      </c>
      <c r="AS194" s="140">
        <f ca="1">IF(ISNUMBER(MATCH(DATEVALUE($A194),'recurring1_based on steps'!AS$1:AS$400,0)),AS$2,)</f>
        <v>0</v>
      </c>
      <c r="AT194" s="140">
        <f ca="1">IF(ISNUMBER(MATCH(DATEVALUE($A194),'recurring1_based on steps'!AT$1:AT$400,0)),AT$2,)</f>
        <v>0</v>
      </c>
      <c r="AU194" s="140">
        <f ca="1">IF(ISNUMBER(MATCH(DATEVALUE($A194),'recurring1_based on steps'!AU$1:AU$400,0)),AU$2,)</f>
        <v>0</v>
      </c>
      <c r="AV194" s="140">
        <f ca="1">IF(ISNUMBER(MATCH(DATEVALUE($A194),'recurring1_based on steps'!AV$1:AV$400,0)),AV$2,)</f>
        <v>0</v>
      </c>
      <c r="AW194" s="140">
        <f ca="1">IF(ISNUMBER(MATCH(DATEVALUE($A194),'recurring1_based on steps'!AW$1:AW$400,0)),AW$2,)</f>
        <v>0</v>
      </c>
      <c r="AX194" s="140">
        <f ca="1">IF(ISNUMBER(MATCH(DATEVALUE($A194),'recurring1_based on steps'!AX$1:AX$400,0)),AX$2,)</f>
        <v>0</v>
      </c>
      <c r="AY194" s="140">
        <f ca="1">IF(ISNUMBER(MATCH(DATEVALUE($A194),'recurring1_based on steps'!AY$1:AY$400,0)),AY$2,)</f>
        <v>0</v>
      </c>
    </row>
    <row r="195" spans="1:51" x14ac:dyDescent="0.2">
      <c r="A195" s="29" t="str">
        <f t="shared" ca="1" si="2"/>
        <v>2025-10-05</v>
      </c>
      <c r="B195" s="140">
        <f ca="1">IF(ISNUMBER(MATCH(DATEVALUE($A195),'recurring1_based on steps'!B$1:B$400,0)),B$2,)</f>
        <v>0</v>
      </c>
      <c r="C195" s="140">
        <f ca="1">IF(ISNUMBER(MATCH(DATEVALUE($A195),'recurring1_based on steps'!C$1:C$400,0)),C$2,)</f>
        <v>0</v>
      </c>
      <c r="D195" s="140">
        <f ca="1">IF(ISNUMBER(MATCH(DATEVALUE($A195),'recurring1_based on steps'!D$1:D$400,0)),D$2,)</f>
        <v>0</v>
      </c>
      <c r="E195" s="140">
        <f ca="1">IF(ISNUMBER(MATCH(DATEVALUE($A195),'recurring1_based on steps'!E$1:E$400,0)),E$2,)</f>
        <v>0</v>
      </c>
      <c r="F195" s="140">
        <f ca="1">IF(ISNUMBER(MATCH(DATEVALUE($A195),'recurring1_based on steps'!F$1:F$400,0)),F$2,)</f>
        <v>0</v>
      </c>
      <c r="G195" s="140">
        <f ca="1">IF(ISNUMBER(MATCH(DATEVALUE($A195),'recurring1_based on steps'!G$1:G$400,0)),G$2,)</f>
        <v>0</v>
      </c>
      <c r="H195" s="140">
        <f ca="1">IF(ISNUMBER(MATCH(DATEVALUE($A195),'recurring1_based on steps'!H$1:H$400,0)),H$2,)</f>
        <v>0</v>
      </c>
      <c r="I195" s="140">
        <f ca="1">IF(ISNUMBER(MATCH(DATEVALUE($A195),'recurring1_based on steps'!I$1:I$400,0)),I$2,)</f>
        <v>0</v>
      </c>
      <c r="J195" s="140">
        <f ca="1">IF(ISNUMBER(MATCH(DATEVALUE($A195),'recurring1_based on steps'!J$1:J$400,0)),J$2,)</f>
        <v>0</v>
      </c>
      <c r="K195" s="140">
        <f ca="1">IF(ISNUMBER(MATCH(DATEVALUE($A195),'recurring1_based on steps'!K$1:K$400,0)),K$2,)</f>
        <v>50</v>
      </c>
      <c r="L195" s="140">
        <f ca="1">IF(ISNUMBER(MATCH(DATEVALUE($A195),'recurring1_based on steps'!L$1:L$400,0)),L$2,)</f>
        <v>0</v>
      </c>
      <c r="M195" s="140">
        <f ca="1">IF(ISNUMBER(MATCH(DATEVALUE($A195),'recurring1_based on steps'!M$1:M$400,0)),M$2,)</f>
        <v>0</v>
      </c>
      <c r="N195" s="140">
        <f ca="1">IF(ISNUMBER(MATCH(DATEVALUE($A195),'recurring1_based on steps'!N$1:N$400,0)),N$2,)</f>
        <v>0</v>
      </c>
      <c r="O195" s="140">
        <f ca="1">IF(ISNUMBER(MATCH(DATEVALUE($A195),'recurring1_based on steps'!O$1:O$400,0)),O$2,)</f>
        <v>0</v>
      </c>
      <c r="P195" s="140">
        <f ca="1">IF(ISNUMBER(MATCH(DATEVALUE($A195),'recurring1_based on steps'!P$1:P$400,0)),P$2,)</f>
        <v>0</v>
      </c>
      <c r="Q195" s="140">
        <f ca="1">IF(ISNUMBER(MATCH(DATEVALUE($A195),'recurring1_based on steps'!Q$1:Q$400,0)),Q$2,)</f>
        <v>0</v>
      </c>
      <c r="R195" s="140">
        <f ca="1">IF(ISNUMBER(MATCH(DATEVALUE($A195),'recurring1_based on steps'!R$1:R$400,0)),R$2,)</f>
        <v>0</v>
      </c>
      <c r="S195" s="140">
        <f ca="1">IF(ISNUMBER(MATCH(DATEVALUE($A195),'recurring1_based on steps'!S$1:S$400,0)),S$2,)</f>
        <v>100</v>
      </c>
      <c r="T195" s="140">
        <f ca="1">IF(ISNUMBER(MATCH(DATEVALUE($A195),'recurring1_based on steps'!T$1:T$400,0)),T$2,)</f>
        <v>0</v>
      </c>
      <c r="U195" s="140">
        <f ca="1">IF(ISNUMBER(MATCH(DATEVALUE($A195),'recurring1_based on steps'!U$1:U$400,0)),U$2,)</f>
        <v>0</v>
      </c>
      <c r="V195" s="140">
        <f ca="1">IF(ISNUMBER(MATCH(DATEVALUE($A195),'recurring1_based on steps'!V$1:V$400,0)),V$2,)</f>
        <v>0</v>
      </c>
      <c r="W195" s="140">
        <f ca="1">IF(ISNUMBER(MATCH(DATEVALUE($A195),'recurring1_based on steps'!W$1:W$400,0)),W$2,)</f>
        <v>0</v>
      </c>
      <c r="X195" s="140">
        <f ca="1">IF(ISNUMBER(MATCH(DATEVALUE($A195),'recurring1_based on steps'!X$1:X$400,0)),X$2,)</f>
        <v>0</v>
      </c>
      <c r="Y195" s="140">
        <f ca="1">IF(ISNUMBER(MATCH(DATEVALUE($A195),'recurring1_based on steps'!Y$1:Y$400,0)),Y$2,)</f>
        <v>0</v>
      </c>
      <c r="Z195" s="140">
        <f ca="1">IF(ISNUMBER(MATCH(DATEVALUE($A195),'recurring1_based on steps'!Z$1:Z$400,0)),Z$2,)</f>
        <v>0</v>
      </c>
      <c r="AA195" s="140">
        <f ca="1">IF(ISNUMBER(MATCH(DATEVALUE($A195),'recurring1_based on steps'!AA$1:AA$400,0)),AA$2,)</f>
        <v>0</v>
      </c>
      <c r="AB195" s="140">
        <f ca="1">IF(ISNUMBER(MATCH(DATEVALUE($A195),'recurring1_based on steps'!AB$1:AB$400,0)),AB$2,)</f>
        <v>5.5401662049861494E-2</v>
      </c>
      <c r="AC195" s="140">
        <f ca="1">IF(ISNUMBER(MATCH(DATEVALUE($A195),'recurring1_based on steps'!AC$1:AC$400,0)),AC$2,)</f>
        <v>0</v>
      </c>
      <c r="AD195" s="140">
        <f ca="1">IF(ISNUMBER(MATCH(DATEVALUE($A195),'recurring1_based on steps'!AD$1:AD$400,0)),AD$2,)</f>
        <v>0</v>
      </c>
      <c r="AE195" s="140">
        <f ca="1">IF(ISNUMBER(MATCH(DATEVALUE($A195),'recurring1_based on steps'!AE$1:AE$400,0)),AE$2,)</f>
        <v>0</v>
      </c>
      <c r="AF195" s="140">
        <f ca="1">IF(ISNUMBER(MATCH(DATEVALUE($A195),'recurring1_based on steps'!AF$1:AF$400,0)),AF$2,)</f>
        <v>0</v>
      </c>
      <c r="AG195" s="140">
        <f ca="1">IF(ISNUMBER(MATCH(DATEVALUE($A195),'recurring1_based on steps'!AG$1:AG$400,0)),AG$2,)</f>
        <v>0</v>
      </c>
      <c r="AH195" s="140">
        <f ca="1">IF(ISNUMBER(MATCH(DATEVALUE($A195),'recurring1_based on steps'!AH$1:AH$400,0)),AH$2,)</f>
        <v>0</v>
      </c>
      <c r="AI195" s="140">
        <f ca="1">IF(ISNUMBER(MATCH(DATEVALUE($A195),'recurring1_based on steps'!AI$1:AI$400,0)),AI$2,)</f>
        <v>0</v>
      </c>
      <c r="AJ195" s="140">
        <f ca="1">IF(ISNUMBER(MATCH(DATEVALUE($A195),'recurring1_based on steps'!AJ$1:AJ$400,0)),AJ$2,)</f>
        <v>0</v>
      </c>
      <c r="AK195" s="140">
        <f ca="1">IF(ISNUMBER(MATCH(DATEVALUE($A195),'recurring1_based on steps'!AK$1:AK$400,0)),AK$2,)</f>
        <v>0</v>
      </c>
      <c r="AL195" s="140">
        <f ca="1">IF(ISNUMBER(MATCH(DATEVALUE($A195),'recurring1_based on steps'!AL$1:AL$400,0)),AL$2,)</f>
        <v>0</v>
      </c>
      <c r="AM195" s="140">
        <f ca="1">IF(ISNUMBER(MATCH(DATEVALUE($A195),'recurring1_based on steps'!AM$1:AM$400,0)),AM$2,)</f>
        <v>0</v>
      </c>
      <c r="AN195" s="140">
        <f ca="1">IF(ISNUMBER(MATCH(DATEVALUE($A195),'recurring1_based on steps'!AN$1:AN$400,0)),AN$2,)</f>
        <v>0</v>
      </c>
      <c r="AO195" s="140">
        <f ca="1">IF(ISNUMBER(MATCH(DATEVALUE($A195),'recurring1_based on steps'!AO$1:AO$400,0)),AO$2,)</f>
        <v>0</v>
      </c>
      <c r="AP195" s="140">
        <f ca="1">IF(ISNUMBER(MATCH(DATEVALUE($A195),'recurring1_based on steps'!AP$1:AP$400,0)),AP$2,)</f>
        <v>0</v>
      </c>
      <c r="AQ195" s="140">
        <f ca="1">IF(ISNUMBER(MATCH(DATEVALUE($A195),'recurring1_based on steps'!AQ$1:AQ$400,0)),AQ$2,)</f>
        <v>0</v>
      </c>
      <c r="AR195" s="140">
        <f ca="1">IF(ISNUMBER(MATCH(DATEVALUE($A195),'recurring1_based on steps'!AR$1:AR$400,0)),AR$2,)</f>
        <v>0</v>
      </c>
      <c r="AS195" s="140">
        <f ca="1">IF(ISNUMBER(MATCH(DATEVALUE($A195),'recurring1_based on steps'!AS$1:AS$400,0)),AS$2,)</f>
        <v>0</v>
      </c>
      <c r="AT195" s="140">
        <f ca="1">IF(ISNUMBER(MATCH(DATEVALUE($A195),'recurring1_based on steps'!AT$1:AT$400,0)),AT$2,)</f>
        <v>0</v>
      </c>
      <c r="AU195" s="140">
        <f ca="1">IF(ISNUMBER(MATCH(DATEVALUE($A195),'recurring1_based on steps'!AU$1:AU$400,0)),AU$2,)</f>
        <v>0</v>
      </c>
      <c r="AV195" s="140">
        <f ca="1">IF(ISNUMBER(MATCH(DATEVALUE($A195),'recurring1_based on steps'!AV$1:AV$400,0)),AV$2,)</f>
        <v>0</v>
      </c>
      <c r="AW195" s="140">
        <f ca="1">IF(ISNUMBER(MATCH(DATEVALUE($A195),'recurring1_based on steps'!AW$1:AW$400,0)),AW$2,)</f>
        <v>0</v>
      </c>
      <c r="AX195" s="140">
        <f ca="1">IF(ISNUMBER(MATCH(DATEVALUE($A195),'recurring1_based on steps'!AX$1:AX$400,0)),AX$2,)</f>
        <v>0</v>
      </c>
      <c r="AY195" s="140">
        <f ca="1">IF(ISNUMBER(MATCH(DATEVALUE($A195),'recurring1_based on steps'!AY$1:AY$400,0)),AY$2,)</f>
        <v>0</v>
      </c>
    </row>
    <row r="196" spans="1:51" x14ac:dyDescent="0.2">
      <c r="A196" s="29" t="str">
        <f t="shared" ca="1" si="2"/>
        <v>2025-10-06</v>
      </c>
      <c r="B196" s="140">
        <f ca="1">IF(ISNUMBER(MATCH(DATEVALUE($A196),'recurring1_based on steps'!B$1:B$400,0)),B$2,)</f>
        <v>0</v>
      </c>
      <c r="C196" s="140">
        <f ca="1">IF(ISNUMBER(MATCH(DATEVALUE($A196),'recurring1_based on steps'!C$1:C$400,0)),C$2,)</f>
        <v>0</v>
      </c>
      <c r="D196" s="140">
        <f ca="1">IF(ISNUMBER(MATCH(DATEVALUE($A196),'recurring1_based on steps'!D$1:D$400,0)),D$2,)</f>
        <v>0</v>
      </c>
      <c r="E196" s="140">
        <f ca="1">IF(ISNUMBER(MATCH(DATEVALUE($A196),'recurring1_based on steps'!E$1:E$400,0)),E$2,)</f>
        <v>0</v>
      </c>
      <c r="F196" s="140">
        <f ca="1">IF(ISNUMBER(MATCH(DATEVALUE($A196),'recurring1_based on steps'!F$1:F$400,0)),F$2,)</f>
        <v>0</v>
      </c>
      <c r="G196" s="140">
        <f ca="1">IF(ISNUMBER(MATCH(DATEVALUE($A196),'recurring1_based on steps'!G$1:G$400,0)),G$2,)</f>
        <v>0</v>
      </c>
      <c r="H196" s="140">
        <f ca="1">IF(ISNUMBER(MATCH(DATEVALUE($A196),'recurring1_based on steps'!H$1:H$400,0)),H$2,)</f>
        <v>0</v>
      </c>
      <c r="I196" s="140">
        <f ca="1">IF(ISNUMBER(MATCH(DATEVALUE($A196),'recurring1_based on steps'!I$1:I$400,0)),I$2,)</f>
        <v>0</v>
      </c>
      <c r="J196" s="140">
        <f ca="1">IF(ISNUMBER(MATCH(DATEVALUE($A196),'recurring1_based on steps'!J$1:J$400,0)),J$2,)</f>
        <v>0</v>
      </c>
      <c r="K196" s="140">
        <f ca="1">IF(ISNUMBER(MATCH(DATEVALUE($A196),'recurring1_based on steps'!K$1:K$400,0)),K$2,)</f>
        <v>0</v>
      </c>
      <c r="L196" s="140">
        <f ca="1">IF(ISNUMBER(MATCH(DATEVALUE($A196),'recurring1_based on steps'!L$1:L$400,0)),L$2,)</f>
        <v>0</v>
      </c>
      <c r="M196" s="140">
        <f ca="1">IF(ISNUMBER(MATCH(DATEVALUE($A196),'recurring1_based on steps'!M$1:M$400,0)),M$2,)</f>
        <v>0</v>
      </c>
      <c r="N196" s="140">
        <f ca="1">IF(ISNUMBER(MATCH(DATEVALUE($A196),'recurring1_based on steps'!N$1:N$400,0)),N$2,)</f>
        <v>0</v>
      </c>
      <c r="O196" s="140">
        <f ca="1">IF(ISNUMBER(MATCH(DATEVALUE($A196),'recurring1_based on steps'!O$1:O$400,0)),O$2,)</f>
        <v>0</v>
      </c>
      <c r="P196" s="140">
        <f ca="1">IF(ISNUMBER(MATCH(DATEVALUE($A196),'recurring1_based on steps'!P$1:P$400,0)),P$2,)</f>
        <v>0</v>
      </c>
      <c r="Q196" s="140">
        <f ca="1">IF(ISNUMBER(MATCH(DATEVALUE($A196),'recurring1_based on steps'!Q$1:Q$400,0)),Q$2,)</f>
        <v>0</v>
      </c>
      <c r="R196" s="140">
        <f ca="1">IF(ISNUMBER(MATCH(DATEVALUE($A196),'recurring1_based on steps'!R$1:R$400,0)),R$2,)</f>
        <v>0</v>
      </c>
      <c r="S196" s="140">
        <f ca="1">IF(ISNUMBER(MATCH(DATEVALUE($A196),'recurring1_based on steps'!S$1:S$400,0)),S$2,)</f>
        <v>0</v>
      </c>
      <c r="T196" s="140">
        <f ca="1">IF(ISNUMBER(MATCH(DATEVALUE($A196),'recurring1_based on steps'!T$1:T$400,0)),T$2,)</f>
        <v>0</v>
      </c>
      <c r="U196" s="140">
        <f ca="1">IF(ISNUMBER(MATCH(DATEVALUE($A196),'recurring1_based on steps'!U$1:U$400,0)),U$2,)</f>
        <v>0</v>
      </c>
      <c r="V196" s="140">
        <f ca="1">IF(ISNUMBER(MATCH(DATEVALUE($A196),'recurring1_based on steps'!V$1:V$400,0)),V$2,)</f>
        <v>0</v>
      </c>
      <c r="W196" s="140">
        <f ca="1">IF(ISNUMBER(MATCH(DATEVALUE($A196),'recurring1_based on steps'!W$1:W$400,0)),W$2,)</f>
        <v>0</v>
      </c>
      <c r="X196" s="140">
        <f ca="1">IF(ISNUMBER(MATCH(DATEVALUE($A196),'recurring1_based on steps'!X$1:X$400,0)),X$2,)</f>
        <v>0</v>
      </c>
      <c r="Y196" s="140">
        <f ca="1">IF(ISNUMBER(MATCH(DATEVALUE($A196),'recurring1_based on steps'!Y$1:Y$400,0)),Y$2,)</f>
        <v>0</v>
      </c>
      <c r="Z196" s="140">
        <f ca="1">IF(ISNUMBER(MATCH(DATEVALUE($A196),'recurring1_based on steps'!Z$1:Z$400,0)),Z$2,)</f>
        <v>0</v>
      </c>
      <c r="AA196" s="140">
        <f ca="1">IF(ISNUMBER(MATCH(DATEVALUE($A196),'recurring1_based on steps'!AA$1:AA$400,0)),AA$2,)</f>
        <v>0</v>
      </c>
      <c r="AB196" s="140">
        <f ca="1">IF(ISNUMBER(MATCH(DATEVALUE($A196),'recurring1_based on steps'!AB$1:AB$400,0)),AB$2,)</f>
        <v>5.5401662049861494E-2</v>
      </c>
      <c r="AC196" s="140">
        <f ca="1">IF(ISNUMBER(MATCH(DATEVALUE($A196),'recurring1_based on steps'!AC$1:AC$400,0)),AC$2,)</f>
        <v>0</v>
      </c>
      <c r="AD196" s="140">
        <f ca="1">IF(ISNUMBER(MATCH(DATEVALUE($A196),'recurring1_based on steps'!AD$1:AD$400,0)),AD$2,)</f>
        <v>0</v>
      </c>
      <c r="AE196" s="140">
        <f ca="1">IF(ISNUMBER(MATCH(DATEVALUE($A196),'recurring1_based on steps'!AE$1:AE$400,0)),AE$2,)</f>
        <v>0</v>
      </c>
      <c r="AF196" s="140">
        <f ca="1">IF(ISNUMBER(MATCH(DATEVALUE($A196),'recurring1_based on steps'!AF$1:AF$400,0)),AF$2,)</f>
        <v>0</v>
      </c>
      <c r="AG196" s="140">
        <f ca="1">IF(ISNUMBER(MATCH(DATEVALUE($A196),'recurring1_based on steps'!AG$1:AG$400,0)),AG$2,)</f>
        <v>0</v>
      </c>
      <c r="AH196" s="140">
        <f ca="1">IF(ISNUMBER(MATCH(DATEVALUE($A196),'recurring1_based on steps'!AH$1:AH$400,0)),AH$2,)</f>
        <v>0</v>
      </c>
      <c r="AI196" s="140">
        <f ca="1">IF(ISNUMBER(MATCH(DATEVALUE($A196),'recurring1_based on steps'!AI$1:AI$400,0)),AI$2,)</f>
        <v>0</v>
      </c>
      <c r="AJ196" s="140">
        <f ca="1">IF(ISNUMBER(MATCH(DATEVALUE($A196),'recurring1_based on steps'!AJ$1:AJ$400,0)),AJ$2,)</f>
        <v>0</v>
      </c>
      <c r="AK196" s="140">
        <f ca="1">IF(ISNUMBER(MATCH(DATEVALUE($A196),'recurring1_based on steps'!AK$1:AK$400,0)),AK$2,)</f>
        <v>0</v>
      </c>
      <c r="AL196" s="140">
        <f ca="1">IF(ISNUMBER(MATCH(DATEVALUE($A196),'recurring1_based on steps'!AL$1:AL$400,0)),AL$2,)</f>
        <v>0</v>
      </c>
      <c r="AM196" s="140">
        <f ca="1">IF(ISNUMBER(MATCH(DATEVALUE($A196),'recurring1_based on steps'!AM$1:AM$400,0)),AM$2,)</f>
        <v>0</v>
      </c>
      <c r="AN196" s="140">
        <f ca="1">IF(ISNUMBER(MATCH(DATEVALUE($A196),'recurring1_based on steps'!AN$1:AN$400,0)),AN$2,)</f>
        <v>0</v>
      </c>
      <c r="AO196" s="140">
        <f ca="1">IF(ISNUMBER(MATCH(DATEVALUE($A196),'recurring1_based on steps'!AO$1:AO$400,0)),AO$2,)</f>
        <v>0</v>
      </c>
      <c r="AP196" s="140">
        <f ca="1">IF(ISNUMBER(MATCH(DATEVALUE($A196),'recurring1_based on steps'!AP$1:AP$400,0)),AP$2,)</f>
        <v>0</v>
      </c>
      <c r="AQ196" s="140">
        <f ca="1">IF(ISNUMBER(MATCH(DATEVALUE($A196),'recurring1_based on steps'!AQ$1:AQ$400,0)),AQ$2,)</f>
        <v>0</v>
      </c>
      <c r="AR196" s="140">
        <f ca="1">IF(ISNUMBER(MATCH(DATEVALUE($A196),'recurring1_based on steps'!AR$1:AR$400,0)),AR$2,)</f>
        <v>0</v>
      </c>
      <c r="AS196" s="140">
        <f ca="1">IF(ISNUMBER(MATCH(DATEVALUE($A196),'recurring1_based on steps'!AS$1:AS$400,0)),AS$2,)</f>
        <v>0</v>
      </c>
      <c r="AT196" s="140">
        <f ca="1">IF(ISNUMBER(MATCH(DATEVALUE($A196),'recurring1_based on steps'!AT$1:AT$400,0)),AT$2,)</f>
        <v>0</v>
      </c>
      <c r="AU196" s="140">
        <f ca="1">IF(ISNUMBER(MATCH(DATEVALUE($A196),'recurring1_based on steps'!AU$1:AU$400,0)),AU$2,)</f>
        <v>0</v>
      </c>
      <c r="AV196" s="140">
        <f ca="1">IF(ISNUMBER(MATCH(DATEVALUE($A196),'recurring1_based on steps'!AV$1:AV$400,0)),AV$2,)</f>
        <v>0</v>
      </c>
      <c r="AW196" s="140">
        <f ca="1">IF(ISNUMBER(MATCH(DATEVALUE($A196),'recurring1_based on steps'!AW$1:AW$400,0)),AW$2,)</f>
        <v>0</v>
      </c>
      <c r="AX196" s="140">
        <f ca="1">IF(ISNUMBER(MATCH(DATEVALUE($A196),'recurring1_based on steps'!AX$1:AX$400,0)),AX$2,)</f>
        <v>0</v>
      </c>
      <c r="AY196" s="140">
        <f ca="1">IF(ISNUMBER(MATCH(DATEVALUE($A196),'recurring1_based on steps'!AY$1:AY$400,0)),AY$2,)</f>
        <v>0</v>
      </c>
    </row>
    <row r="197" spans="1:51" x14ac:dyDescent="0.2">
      <c r="A197" s="29" t="str">
        <f t="shared" ref="A197:A260" ca="1" si="3">TEXT(DATEVALUE(A196)+1,"yyyy-mm-dd")</f>
        <v>2025-10-07</v>
      </c>
      <c r="B197" s="140">
        <f ca="1">IF(ISNUMBER(MATCH(DATEVALUE($A197),'recurring1_based on steps'!B$1:B$400,0)),B$2,)</f>
        <v>0</v>
      </c>
      <c r="C197" s="140">
        <f ca="1">IF(ISNUMBER(MATCH(DATEVALUE($A197),'recurring1_based on steps'!C$1:C$400,0)),C$2,)</f>
        <v>0</v>
      </c>
      <c r="D197" s="140">
        <f ca="1">IF(ISNUMBER(MATCH(DATEVALUE($A197),'recurring1_based on steps'!D$1:D$400,0)),D$2,)</f>
        <v>0</v>
      </c>
      <c r="E197" s="140">
        <f ca="1">IF(ISNUMBER(MATCH(DATEVALUE($A197),'recurring1_based on steps'!E$1:E$400,0)),E$2,)</f>
        <v>0</v>
      </c>
      <c r="F197" s="140">
        <f ca="1">IF(ISNUMBER(MATCH(DATEVALUE($A197),'recurring1_based on steps'!F$1:F$400,0)),F$2,)</f>
        <v>0</v>
      </c>
      <c r="G197" s="140">
        <f ca="1">IF(ISNUMBER(MATCH(DATEVALUE($A197),'recurring1_based on steps'!G$1:G$400,0)),G$2,)</f>
        <v>0</v>
      </c>
      <c r="H197" s="140">
        <f ca="1">IF(ISNUMBER(MATCH(DATEVALUE($A197),'recurring1_based on steps'!H$1:H$400,0)),H$2,)</f>
        <v>0</v>
      </c>
      <c r="I197" s="140">
        <f ca="1">IF(ISNUMBER(MATCH(DATEVALUE($A197),'recurring1_based on steps'!I$1:I$400,0)),I$2,)</f>
        <v>0</v>
      </c>
      <c r="J197" s="140">
        <f ca="1">IF(ISNUMBER(MATCH(DATEVALUE($A197),'recurring1_based on steps'!J$1:J$400,0)),J$2,)</f>
        <v>0</v>
      </c>
      <c r="K197" s="140">
        <f ca="1">IF(ISNUMBER(MATCH(DATEVALUE($A197),'recurring1_based on steps'!K$1:K$400,0)),K$2,)</f>
        <v>0</v>
      </c>
      <c r="L197" s="140">
        <f ca="1">IF(ISNUMBER(MATCH(DATEVALUE($A197),'recurring1_based on steps'!L$1:L$400,0)),L$2,)</f>
        <v>0</v>
      </c>
      <c r="M197" s="140">
        <f ca="1">IF(ISNUMBER(MATCH(DATEVALUE($A197),'recurring1_based on steps'!M$1:M$400,0)),M$2,)</f>
        <v>0</v>
      </c>
      <c r="N197" s="140">
        <f ca="1">IF(ISNUMBER(MATCH(DATEVALUE($A197),'recurring1_based on steps'!N$1:N$400,0)),N$2,)</f>
        <v>0</v>
      </c>
      <c r="O197" s="140">
        <f ca="1">IF(ISNUMBER(MATCH(DATEVALUE($A197),'recurring1_based on steps'!O$1:O$400,0)),O$2,)</f>
        <v>0</v>
      </c>
      <c r="P197" s="140">
        <f ca="1">IF(ISNUMBER(MATCH(DATEVALUE($A197),'recurring1_based on steps'!P$1:P$400,0)),P$2,)</f>
        <v>0</v>
      </c>
      <c r="Q197" s="140">
        <f ca="1">IF(ISNUMBER(MATCH(DATEVALUE($A197),'recurring1_based on steps'!Q$1:Q$400,0)),Q$2,)</f>
        <v>0</v>
      </c>
      <c r="R197" s="140">
        <f ca="1">IF(ISNUMBER(MATCH(DATEVALUE($A197),'recurring1_based on steps'!R$1:R$400,0)),R$2,)</f>
        <v>0</v>
      </c>
      <c r="S197" s="140">
        <f ca="1">IF(ISNUMBER(MATCH(DATEVALUE($A197),'recurring1_based on steps'!S$1:S$400,0)),S$2,)</f>
        <v>0</v>
      </c>
      <c r="T197" s="140">
        <f ca="1">IF(ISNUMBER(MATCH(DATEVALUE($A197),'recurring1_based on steps'!T$1:T$400,0)),T$2,)</f>
        <v>0</v>
      </c>
      <c r="U197" s="140">
        <f ca="1">IF(ISNUMBER(MATCH(DATEVALUE($A197),'recurring1_based on steps'!U$1:U$400,0)),U$2,)</f>
        <v>0</v>
      </c>
      <c r="V197" s="140">
        <f ca="1">IF(ISNUMBER(MATCH(DATEVALUE($A197),'recurring1_based on steps'!V$1:V$400,0)),V$2,)</f>
        <v>0</v>
      </c>
      <c r="W197" s="140">
        <f ca="1">IF(ISNUMBER(MATCH(DATEVALUE($A197),'recurring1_based on steps'!W$1:W$400,0)),W$2,)</f>
        <v>0</v>
      </c>
      <c r="X197" s="140">
        <f ca="1">IF(ISNUMBER(MATCH(DATEVALUE($A197),'recurring1_based on steps'!X$1:X$400,0)),X$2,)</f>
        <v>0</v>
      </c>
      <c r="Y197" s="140">
        <f ca="1">IF(ISNUMBER(MATCH(DATEVALUE($A197),'recurring1_based on steps'!Y$1:Y$400,0)),Y$2,)</f>
        <v>0</v>
      </c>
      <c r="Z197" s="140">
        <f ca="1">IF(ISNUMBER(MATCH(DATEVALUE($A197),'recurring1_based on steps'!Z$1:Z$400,0)),Z$2,)</f>
        <v>0</v>
      </c>
      <c r="AA197" s="140">
        <f ca="1">IF(ISNUMBER(MATCH(DATEVALUE($A197),'recurring1_based on steps'!AA$1:AA$400,0)),AA$2,)</f>
        <v>0</v>
      </c>
      <c r="AB197" s="140">
        <f ca="1">IF(ISNUMBER(MATCH(DATEVALUE($A197),'recurring1_based on steps'!AB$1:AB$400,0)),AB$2,)</f>
        <v>5.5401662049861494E-2</v>
      </c>
      <c r="AC197" s="140">
        <f ca="1">IF(ISNUMBER(MATCH(DATEVALUE($A197),'recurring1_based on steps'!AC$1:AC$400,0)),AC$2,)</f>
        <v>0</v>
      </c>
      <c r="AD197" s="140">
        <f ca="1">IF(ISNUMBER(MATCH(DATEVALUE($A197),'recurring1_based on steps'!AD$1:AD$400,0)),AD$2,)</f>
        <v>0</v>
      </c>
      <c r="AE197" s="140">
        <f ca="1">IF(ISNUMBER(MATCH(DATEVALUE($A197),'recurring1_based on steps'!AE$1:AE$400,0)),AE$2,)</f>
        <v>0</v>
      </c>
      <c r="AF197" s="140">
        <f ca="1">IF(ISNUMBER(MATCH(DATEVALUE($A197),'recurring1_based on steps'!AF$1:AF$400,0)),AF$2,)</f>
        <v>0</v>
      </c>
      <c r="AG197" s="140">
        <f ca="1">IF(ISNUMBER(MATCH(DATEVALUE($A197),'recurring1_based on steps'!AG$1:AG$400,0)),AG$2,)</f>
        <v>0</v>
      </c>
      <c r="AH197" s="140">
        <f ca="1">IF(ISNUMBER(MATCH(DATEVALUE($A197),'recurring1_based on steps'!AH$1:AH$400,0)),AH$2,)</f>
        <v>0</v>
      </c>
      <c r="AI197" s="140">
        <f ca="1">IF(ISNUMBER(MATCH(DATEVALUE($A197),'recurring1_based on steps'!AI$1:AI$400,0)),AI$2,)</f>
        <v>0</v>
      </c>
      <c r="AJ197" s="140">
        <f ca="1">IF(ISNUMBER(MATCH(DATEVALUE($A197),'recurring1_based on steps'!AJ$1:AJ$400,0)),AJ$2,)</f>
        <v>0</v>
      </c>
      <c r="AK197" s="140">
        <f ca="1">IF(ISNUMBER(MATCH(DATEVALUE($A197),'recurring1_based on steps'!AK$1:AK$400,0)),AK$2,)</f>
        <v>0</v>
      </c>
      <c r="AL197" s="140">
        <f ca="1">IF(ISNUMBER(MATCH(DATEVALUE($A197),'recurring1_based on steps'!AL$1:AL$400,0)),AL$2,)</f>
        <v>0</v>
      </c>
      <c r="AM197" s="140">
        <f ca="1">IF(ISNUMBER(MATCH(DATEVALUE($A197),'recurring1_based on steps'!AM$1:AM$400,0)),AM$2,)</f>
        <v>0</v>
      </c>
      <c r="AN197" s="140">
        <f ca="1">IF(ISNUMBER(MATCH(DATEVALUE($A197),'recurring1_based on steps'!AN$1:AN$400,0)),AN$2,)</f>
        <v>0</v>
      </c>
      <c r="AO197" s="140">
        <f ca="1">IF(ISNUMBER(MATCH(DATEVALUE($A197),'recurring1_based on steps'!AO$1:AO$400,0)),AO$2,)</f>
        <v>0</v>
      </c>
      <c r="AP197" s="140">
        <f ca="1">IF(ISNUMBER(MATCH(DATEVALUE($A197),'recurring1_based on steps'!AP$1:AP$400,0)),AP$2,)</f>
        <v>0</v>
      </c>
      <c r="AQ197" s="140">
        <f ca="1">IF(ISNUMBER(MATCH(DATEVALUE($A197),'recurring1_based on steps'!AQ$1:AQ$400,0)),AQ$2,)</f>
        <v>0</v>
      </c>
      <c r="AR197" s="140">
        <f ca="1">IF(ISNUMBER(MATCH(DATEVALUE($A197),'recurring1_based on steps'!AR$1:AR$400,0)),AR$2,)</f>
        <v>0</v>
      </c>
      <c r="AS197" s="140">
        <f ca="1">IF(ISNUMBER(MATCH(DATEVALUE($A197),'recurring1_based on steps'!AS$1:AS$400,0)),AS$2,)</f>
        <v>0</v>
      </c>
      <c r="AT197" s="140">
        <f ca="1">IF(ISNUMBER(MATCH(DATEVALUE($A197),'recurring1_based on steps'!AT$1:AT$400,0)),AT$2,)</f>
        <v>0</v>
      </c>
      <c r="AU197" s="140">
        <f ca="1">IF(ISNUMBER(MATCH(DATEVALUE($A197),'recurring1_based on steps'!AU$1:AU$400,0)),AU$2,)</f>
        <v>0</v>
      </c>
      <c r="AV197" s="140">
        <f ca="1">IF(ISNUMBER(MATCH(DATEVALUE($A197),'recurring1_based on steps'!AV$1:AV$400,0)),AV$2,)</f>
        <v>0</v>
      </c>
      <c r="AW197" s="140">
        <f ca="1">IF(ISNUMBER(MATCH(DATEVALUE($A197),'recurring1_based on steps'!AW$1:AW$400,0)),AW$2,)</f>
        <v>0</v>
      </c>
      <c r="AX197" s="140">
        <f ca="1">IF(ISNUMBER(MATCH(DATEVALUE($A197),'recurring1_based on steps'!AX$1:AX$400,0)),AX$2,)</f>
        <v>0</v>
      </c>
      <c r="AY197" s="140">
        <f ca="1">IF(ISNUMBER(MATCH(DATEVALUE($A197),'recurring1_based on steps'!AY$1:AY$400,0)),AY$2,)</f>
        <v>0</v>
      </c>
    </row>
    <row r="198" spans="1:51" x14ac:dyDescent="0.2">
      <c r="A198" s="29" t="str">
        <f t="shared" ca="1" si="3"/>
        <v>2025-10-08</v>
      </c>
      <c r="B198" s="140">
        <f ca="1">IF(ISNUMBER(MATCH(DATEVALUE($A198),'recurring1_based on steps'!B$1:B$400,0)),B$2,)</f>
        <v>0</v>
      </c>
      <c r="C198" s="140">
        <f ca="1">IF(ISNUMBER(MATCH(DATEVALUE($A198),'recurring1_based on steps'!C$1:C$400,0)),C$2,)</f>
        <v>0</v>
      </c>
      <c r="D198" s="140">
        <f ca="1">IF(ISNUMBER(MATCH(DATEVALUE($A198),'recurring1_based on steps'!D$1:D$400,0)),D$2,)</f>
        <v>0</v>
      </c>
      <c r="E198" s="140">
        <f ca="1">IF(ISNUMBER(MATCH(DATEVALUE($A198),'recurring1_based on steps'!E$1:E$400,0)),E$2,)</f>
        <v>0</v>
      </c>
      <c r="F198" s="140">
        <f ca="1">IF(ISNUMBER(MATCH(DATEVALUE($A198),'recurring1_based on steps'!F$1:F$400,0)),F$2,)</f>
        <v>0</v>
      </c>
      <c r="G198" s="140">
        <f ca="1">IF(ISNUMBER(MATCH(DATEVALUE($A198),'recurring1_based on steps'!G$1:G$400,0)),G$2,)</f>
        <v>0</v>
      </c>
      <c r="H198" s="140">
        <f ca="1">IF(ISNUMBER(MATCH(DATEVALUE($A198),'recurring1_based on steps'!H$1:H$400,0)),H$2,)</f>
        <v>0</v>
      </c>
      <c r="I198" s="140">
        <f ca="1">IF(ISNUMBER(MATCH(DATEVALUE($A198),'recurring1_based on steps'!I$1:I$400,0)),I$2,)</f>
        <v>0</v>
      </c>
      <c r="J198" s="140">
        <f ca="1">IF(ISNUMBER(MATCH(DATEVALUE($A198),'recurring1_based on steps'!J$1:J$400,0)),J$2,)</f>
        <v>0</v>
      </c>
      <c r="K198" s="140">
        <f ca="1">IF(ISNUMBER(MATCH(DATEVALUE($A198),'recurring1_based on steps'!K$1:K$400,0)),K$2,)</f>
        <v>0</v>
      </c>
      <c r="L198" s="140">
        <f ca="1">IF(ISNUMBER(MATCH(DATEVALUE($A198),'recurring1_based on steps'!L$1:L$400,0)),L$2,)</f>
        <v>0</v>
      </c>
      <c r="M198" s="140">
        <f ca="1">IF(ISNUMBER(MATCH(DATEVALUE($A198),'recurring1_based on steps'!M$1:M$400,0)),M$2,)</f>
        <v>0</v>
      </c>
      <c r="N198" s="140">
        <f ca="1">IF(ISNUMBER(MATCH(DATEVALUE($A198),'recurring1_based on steps'!N$1:N$400,0)),N$2,)</f>
        <v>0</v>
      </c>
      <c r="O198" s="140">
        <f ca="1">IF(ISNUMBER(MATCH(DATEVALUE($A198),'recurring1_based on steps'!O$1:O$400,0)),O$2,)</f>
        <v>0</v>
      </c>
      <c r="P198" s="140">
        <f ca="1">IF(ISNUMBER(MATCH(DATEVALUE($A198),'recurring1_based on steps'!P$1:P$400,0)),P$2,)</f>
        <v>0</v>
      </c>
      <c r="Q198" s="140">
        <f ca="1">IF(ISNUMBER(MATCH(DATEVALUE($A198),'recurring1_based on steps'!Q$1:Q$400,0)),Q$2,)</f>
        <v>0</v>
      </c>
      <c r="R198" s="140">
        <f ca="1">IF(ISNUMBER(MATCH(DATEVALUE($A198),'recurring1_based on steps'!R$1:R$400,0)),R$2,)</f>
        <v>0</v>
      </c>
      <c r="S198" s="140">
        <f ca="1">IF(ISNUMBER(MATCH(DATEVALUE($A198),'recurring1_based on steps'!S$1:S$400,0)),S$2,)</f>
        <v>0</v>
      </c>
      <c r="T198" s="140">
        <f ca="1">IF(ISNUMBER(MATCH(DATEVALUE($A198),'recurring1_based on steps'!T$1:T$400,0)),T$2,)</f>
        <v>0</v>
      </c>
      <c r="U198" s="140">
        <f ca="1">IF(ISNUMBER(MATCH(DATEVALUE($A198),'recurring1_based on steps'!U$1:U$400,0)),U$2,)</f>
        <v>0</v>
      </c>
      <c r="V198" s="140">
        <f ca="1">IF(ISNUMBER(MATCH(DATEVALUE($A198),'recurring1_based on steps'!V$1:V$400,0)),V$2,)</f>
        <v>0</v>
      </c>
      <c r="W198" s="140">
        <f ca="1">IF(ISNUMBER(MATCH(DATEVALUE($A198),'recurring1_based on steps'!W$1:W$400,0)),W$2,)</f>
        <v>0</v>
      </c>
      <c r="X198" s="140">
        <f ca="1">IF(ISNUMBER(MATCH(DATEVALUE($A198),'recurring1_based on steps'!X$1:X$400,0)),X$2,)</f>
        <v>0</v>
      </c>
      <c r="Y198" s="140">
        <f ca="1">IF(ISNUMBER(MATCH(DATEVALUE($A198),'recurring1_based on steps'!Y$1:Y$400,0)),Y$2,)</f>
        <v>0</v>
      </c>
      <c r="Z198" s="140">
        <f ca="1">IF(ISNUMBER(MATCH(DATEVALUE($A198),'recurring1_based on steps'!Z$1:Z$400,0)),Z$2,)</f>
        <v>0</v>
      </c>
      <c r="AA198" s="140">
        <f ca="1">IF(ISNUMBER(MATCH(DATEVALUE($A198),'recurring1_based on steps'!AA$1:AA$400,0)),AA$2,)</f>
        <v>0</v>
      </c>
      <c r="AB198" s="140">
        <f ca="1">IF(ISNUMBER(MATCH(DATEVALUE($A198),'recurring1_based on steps'!AB$1:AB$400,0)),AB$2,)</f>
        <v>5.5401662049861494E-2</v>
      </c>
      <c r="AC198" s="140">
        <f ca="1">IF(ISNUMBER(MATCH(DATEVALUE($A198),'recurring1_based on steps'!AC$1:AC$400,0)),AC$2,)</f>
        <v>0</v>
      </c>
      <c r="AD198" s="140">
        <f ca="1">IF(ISNUMBER(MATCH(DATEVALUE($A198),'recurring1_based on steps'!AD$1:AD$400,0)),AD$2,)</f>
        <v>0</v>
      </c>
      <c r="AE198" s="140">
        <f ca="1">IF(ISNUMBER(MATCH(DATEVALUE($A198),'recurring1_based on steps'!AE$1:AE$400,0)),AE$2,)</f>
        <v>0</v>
      </c>
      <c r="AF198" s="140">
        <f ca="1">IF(ISNUMBER(MATCH(DATEVALUE($A198),'recurring1_based on steps'!AF$1:AF$400,0)),AF$2,)</f>
        <v>0</v>
      </c>
      <c r="AG198" s="140">
        <f ca="1">IF(ISNUMBER(MATCH(DATEVALUE($A198),'recurring1_based on steps'!AG$1:AG$400,0)),AG$2,)</f>
        <v>0</v>
      </c>
      <c r="AH198" s="140">
        <f ca="1">IF(ISNUMBER(MATCH(DATEVALUE($A198),'recurring1_based on steps'!AH$1:AH$400,0)),AH$2,)</f>
        <v>0</v>
      </c>
      <c r="AI198" s="140">
        <f ca="1">IF(ISNUMBER(MATCH(DATEVALUE($A198),'recurring1_based on steps'!AI$1:AI$400,0)),AI$2,)</f>
        <v>0</v>
      </c>
      <c r="AJ198" s="140">
        <f ca="1">IF(ISNUMBER(MATCH(DATEVALUE($A198),'recurring1_based on steps'!AJ$1:AJ$400,0)),AJ$2,)</f>
        <v>0</v>
      </c>
      <c r="AK198" s="140">
        <f ca="1">IF(ISNUMBER(MATCH(DATEVALUE($A198),'recurring1_based on steps'!AK$1:AK$400,0)),AK$2,)</f>
        <v>0</v>
      </c>
      <c r="AL198" s="140">
        <f ca="1">IF(ISNUMBER(MATCH(DATEVALUE($A198),'recurring1_based on steps'!AL$1:AL$400,0)),AL$2,)</f>
        <v>0</v>
      </c>
      <c r="AM198" s="140">
        <f ca="1">IF(ISNUMBER(MATCH(DATEVALUE($A198),'recurring1_based on steps'!AM$1:AM$400,0)),AM$2,)</f>
        <v>0</v>
      </c>
      <c r="AN198" s="140">
        <f ca="1">IF(ISNUMBER(MATCH(DATEVALUE($A198),'recurring1_based on steps'!AN$1:AN$400,0)),AN$2,)</f>
        <v>0</v>
      </c>
      <c r="AO198" s="140">
        <f ca="1">IF(ISNUMBER(MATCH(DATEVALUE($A198),'recurring1_based on steps'!AO$1:AO$400,0)),AO$2,)</f>
        <v>0</v>
      </c>
      <c r="AP198" s="140">
        <f ca="1">IF(ISNUMBER(MATCH(DATEVALUE($A198),'recurring1_based on steps'!AP$1:AP$400,0)),AP$2,)</f>
        <v>0</v>
      </c>
      <c r="AQ198" s="140">
        <f ca="1">IF(ISNUMBER(MATCH(DATEVALUE($A198),'recurring1_based on steps'!AQ$1:AQ$400,0)),AQ$2,)</f>
        <v>0</v>
      </c>
      <c r="AR198" s="140">
        <f ca="1">IF(ISNUMBER(MATCH(DATEVALUE($A198),'recurring1_based on steps'!AR$1:AR$400,0)),AR$2,)</f>
        <v>0</v>
      </c>
      <c r="AS198" s="140">
        <f ca="1">IF(ISNUMBER(MATCH(DATEVALUE($A198),'recurring1_based on steps'!AS$1:AS$400,0)),AS$2,)</f>
        <v>0</v>
      </c>
      <c r="AT198" s="140">
        <f ca="1">IF(ISNUMBER(MATCH(DATEVALUE($A198),'recurring1_based on steps'!AT$1:AT$400,0)),AT$2,)</f>
        <v>0</v>
      </c>
      <c r="AU198" s="140">
        <f ca="1">IF(ISNUMBER(MATCH(DATEVALUE($A198),'recurring1_based on steps'!AU$1:AU$400,0)),AU$2,)</f>
        <v>0</v>
      </c>
      <c r="AV198" s="140">
        <f ca="1">IF(ISNUMBER(MATCH(DATEVALUE($A198),'recurring1_based on steps'!AV$1:AV$400,0)),AV$2,)</f>
        <v>0</v>
      </c>
      <c r="AW198" s="140">
        <f ca="1">IF(ISNUMBER(MATCH(DATEVALUE($A198),'recurring1_based on steps'!AW$1:AW$400,0)),AW$2,)</f>
        <v>0</v>
      </c>
      <c r="AX198" s="140">
        <f ca="1">IF(ISNUMBER(MATCH(DATEVALUE($A198),'recurring1_based on steps'!AX$1:AX$400,0)),AX$2,)</f>
        <v>0</v>
      </c>
      <c r="AY198" s="140">
        <f ca="1">IF(ISNUMBER(MATCH(DATEVALUE($A198),'recurring1_based on steps'!AY$1:AY$400,0)),AY$2,)</f>
        <v>0</v>
      </c>
    </row>
    <row r="199" spans="1:51" x14ac:dyDescent="0.2">
      <c r="A199" s="29" t="str">
        <f t="shared" ca="1" si="3"/>
        <v>2025-10-09</v>
      </c>
      <c r="B199" s="140">
        <f ca="1">IF(ISNUMBER(MATCH(DATEVALUE($A199),'recurring1_based on steps'!B$1:B$400,0)),B$2,)</f>
        <v>0</v>
      </c>
      <c r="C199" s="140">
        <f ca="1">IF(ISNUMBER(MATCH(DATEVALUE($A199),'recurring1_based on steps'!C$1:C$400,0)),C$2,)</f>
        <v>0</v>
      </c>
      <c r="D199" s="140">
        <f ca="1">IF(ISNUMBER(MATCH(DATEVALUE($A199),'recurring1_based on steps'!D$1:D$400,0)),D$2,)</f>
        <v>0</v>
      </c>
      <c r="E199" s="140">
        <f ca="1">IF(ISNUMBER(MATCH(DATEVALUE($A199),'recurring1_based on steps'!E$1:E$400,0)),E$2,)</f>
        <v>0</v>
      </c>
      <c r="F199" s="140">
        <f ca="1">IF(ISNUMBER(MATCH(DATEVALUE($A199),'recurring1_based on steps'!F$1:F$400,0)),F$2,)</f>
        <v>0</v>
      </c>
      <c r="G199" s="140">
        <f ca="1">IF(ISNUMBER(MATCH(DATEVALUE($A199),'recurring1_based on steps'!G$1:G$400,0)),G$2,)</f>
        <v>0</v>
      </c>
      <c r="H199" s="140">
        <f ca="1">IF(ISNUMBER(MATCH(DATEVALUE($A199),'recurring1_based on steps'!H$1:H$400,0)),H$2,)</f>
        <v>0</v>
      </c>
      <c r="I199" s="140">
        <f ca="1">IF(ISNUMBER(MATCH(DATEVALUE($A199),'recurring1_based on steps'!I$1:I$400,0)),I$2,)</f>
        <v>0</v>
      </c>
      <c r="J199" s="140">
        <f ca="1">IF(ISNUMBER(MATCH(DATEVALUE($A199),'recurring1_based on steps'!J$1:J$400,0)),J$2,)</f>
        <v>0</v>
      </c>
      <c r="K199" s="140">
        <f ca="1">IF(ISNUMBER(MATCH(DATEVALUE($A199),'recurring1_based on steps'!K$1:K$400,0)),K$2,)</f>
        <v>0</v>
      </c>
      <c r="L199" s="140">
        <f ca="1">IF(ISNUMBER(MATCH(DATEVALUE($A199),'recurring1_based on steps'!L$1:L$400,0)),L$2,)</f>
        <v>0</v>
      </c>
      <c r="M199" s="140">
        <f ca="1">IF(ISNUMBER(MATCH(DATEVALUE($A199),'recurring1_based on steps'!M$1:M$400,0)),M$2,)</f>
        <v>0</v>
      </c>
      <c r="N199" s="140">
        <f ca="1">IF(ISNUMBER(MATCH(DATEVALUE($A199),'recurring1_based on steps'!N$1:N$400,0)),N$2,)</f>
        <v>0</v>
      </c>
      <c r="O199" s="140">
        <f ca="1">IF(ISNUMBER(MATCH(DATEVALUE($A199),'recurring1_based on steps'!O$1:O$400,0)),O$2,)</f>
        <v>0</v>
      </c>
      <c r="P199" s="140">
        <f ca="1">IF(ISNUMBER(MATCH(DATEVALUE($A199),'recurring1_based on steps'!P$1:P$400,0)),P$2,)</f>
        <v>0</v>
      </c>
      <c r="Q199" s="140">
        <f ca="1">IF(ISNUMBER(MATCH(DATEVALUE($A199),'recurring1_based on steps'!Q$1:Q$400,0)),Q$2,)</f>
        <v>0</v>
      </c>
      <c r="R199" s="140">
        <f ca="1">IF(ISNUMBER(MATCH(DATEVALUE($A199),'recurring1_based on steps'!R$1:R$400,0)),R$2,)</f>
        <v>0</v>
      </c>
      <c r="S199" s="140">
        <f ca="1">IF(ISNUMBER(MATCH(DATEVALUE($A199),'recurring1_based on steps'!S$1:S$400,0)),S$2,)</f>
        <v>0</v>
      </c>
      <c r="T199" s="140">
        <f ca="1">IF(ISNUMBER(MATCH(DATEVALUE($A199),'recurring1_based on steps'!T$1:T$400,0)),T$2,)</f>
        <v>0</v>
      </c>
      <c r="U199" s="140">
        <f ca="1">IF(ISNUMBER(MATCH(DATEVALUE($A199),'recurring1_based on steps'!U$1:U$400,0)),U$2,)</f>
        <v>0</v>
      </c>
      <c r="V199" s="140">
        <f ca="1">IF(ISNUMBER(MATCH(DATEVALUE($A199),'recurring1_based on steps'!V$1:V$400,0)),V$2,)</f>
        <v>0</v>
      </c>
      <c r="W199" s="140">
        <f ca="1">IF(ISNUMBER(MATCH(DATEVALUE($A199),'recurring1_based on steps'!W$1:W$400,0)),W$2,)</f>
        <v>0</v>
      </c>
      <c r="X199" s="140">
        <f ca="1">IF(ISNUMBER(MATCH(DATEVALUE($A199),'recurring1_based on steps'!X$1:X$400,0)),X$2,)</f>
        <v>0</v>
      </c>
      <c r="Y199" s="140">
        <f ca="1">IF(ISNUMBER(MATCH(DATEVALUE($A199),'recurring1_based on steps'!Y$1:Y$400,0)),Y$2,)</f>
        <v>0</v>
      </c>
      <c r="Z199" s="140">
        <f ca="1">IF(ISNUMBER(MATCH(DATEVALUE($A199),'recurring1_based on steps'!Z$1:Z$400,0)),Z$2,)</f>
        <v>0</v>
      </c>
      <c r="AA199" s="140">
        <f ca="1">IF(ISNUMBER(MATCH(DATEVALUE($A199),'recurring1_based on steps'!AA$1:AA$400,0)),AA$2,)</f>
        <v>0</v>
      </c>
      <c r="AB199" s="140">
        <f ca="1">IF(ISNUMBER(MATCH(DATEVALUE($A199),'recurring1_based on steps'!AB$1:AB$400,0)),AB$2,)</f>
        <v>5.5401662049861494E-2</v>
      </c>
      <c r="AC199" s="140">
        <f ca="1">IF(ISNUMBER(MATCH(DATEVALUE($A199),'recurring1_based on steps'!AC$1:AC$400,0)),AC$2,)</f>
        <v>0</v>
      </c>
      <c r="AD199" s="140">
        <f ca="1">IF(ISNUMBER(MATCH(DATEVALUE($A199),'recurring1_based on steps'!AD$1:AD$400,0)),AD$2,)</f>
        <v>0</v>
      </c>
      <c r="AE199" s="140">
        <f ca="1">IF(ISNUMBER(MATCH(DATEVALUE($A199),'recurring1_based on steps'!AE$1:AE$400,0)),AE$2,)</f>
        <v>0</v>
      </c>
      <c r="AF199" s="140">
        <f ca="1">IF(ISNUMBER(MATCH(DATEVALUE($A199),'recurring1_based on steps'!AF$1:AF$400,0)),AF$2,)</f>
        <v>0</v>
      </c>
      <c r="AG199" s="140">
        <f ca="1">IF(ISNUMBER(MATCH(DATEVALUE($A199),'recurring1_based on steps'!AG$1:AG$400,0)),AG$2,)</f>
        <v>0</v>
      </c>
      <c r="AH199" s="140">
        <f ca="1">IF(ISNUMBER(MATCH(DATEVALUE($A199),'recurring1_based on steps'!AH$1:AH$400,0)),AH$2,)</f>
        <v>0</v>
      </c>
      <c r="AI199" s="140">
        <f ca="1">IF(ISNUMBER(MATCH(DATEVALUE($A199),'recurring1_based on steps'!AI$1:AI$400,0)),AI$2,)</f>
        <v>0</v>
      </c>
      <c r="AJ199" s="140">
        <f ca="1">IF(ISNUMBER(MATCH(DATEVALUE($A199),'recurring1_based on steps'!AJ$1:AJ$400,0)),AJ$2,)</f>
        <v>0</v>
      </c>
      <c r="AK199" s="140">
        <f ca="1">IF(ISNUMBER(MATCH(DATEVALUE($A199),'recurring1_based on steps'!AK$1:AK$400,0)),AK$2,)</f>
        <v>0</v>
      </c>
      <c r="AL199" s="140">
        <f ca="1">IF(ISNUMBER(MATCH(DATEVALUE($A199),'recurring1_based on steps'!AL$1:AL$400,0)),AL$2,)</f>
        <v>0</v>
      </c>
      <c r="AM199" s="140">
        <f ca="1">IF(ISNUMBER(MATCH(DATEVALUE($A199),'recurring1_based on steps'!AM$1:AM$400,0)),AM$2,)</f>
        <v>0</v>
      </c>
      <c r="AN199" s="140">
        <f ca="1">IF(ISNUMBER(MATCH(DATEVALUE($A199),'recurring1_based on steps'!AN$1:AN$400,0)),AN$2,)</f>
        <v>0</v>
      </c>
      <c r="AO199" s="140">
        <f ca="1">IF(ISNUMBER(MATCH(DATEVALUE($A199),'recurring1_based on steps'!AO$1:AO$400,0)),AO$2,)</f>
        <v>0</v>
      </c>
      <c r="AP199" s="140">
        <f ca="1">IF(ISNUMBER(MATCH(DATEVALUE($A199),'recurring1_based on steps'!AP$1:AP$400,0)),AP$2,)</f>
        <v>0</v>
      </c>
      <c r="AQ199" s="140">
        <f ca="1">IF(ISNUMBER(MATCH(DATEVALUE($A199),'recurring1_based on steps'!AQ$1:AQ$400,0)),AQ$2,)</f>
        <v>0</v>
      </c>
      <c r="AR199" s="140">
        <f ca="1">IF(ISNUMBER(MATCH(DATEVALUE($A199),'recurring1_based on steps'!AR$1:AR$400,0)),AR$2,)</f>
        <v>0</v>
      </c>
      <c r="AS199" s="140">
        <f ca="1">IF(ISNUMBER(MATCH(DATEVALUE($A199),'recurring1_based on steps'!AS$1:AS$400,0)),AS$2,)</f>
        <v>0</v>
      </c>
      <c r="AT199" s="140">
        <f ca="1">IF(ISNUMBER(MATCH(DATEVALUE($A199),'recurring1_based on steps'!AT$1:AT$400,0)),AT$2,)</f>
        <v>0</v>
      </c>
      <c r="AU199" s="140">
        <f ca="1">IF(ISNUMBER(MATCH(DATEVALUE($A199),'recurring1_based on steps'!AU$1:AU$400,0)),AU$2,)</f>
        <v>0</v>
      </c>
      <c r="AV199" s="140">
        <f ca="1">IF(ISNUMBER(MATCH(DATEVALUE($A199),'recurring1_based on steps'!AV$1:AV$400,0)),AV$2,)</f>
        <v>0</v>
      </c>
      <c r="AW199" s="140">
        <f ca="1">IF(ISNUMBER(MATCH(DATEVALUE($A199),'recurring1_based on steps'!AW$1:AW$400,0)),AW$2,)</f>
        <v>0</v>
      </c>
      <c r="AX199" s="140">
        <f ca="1">IF(ISNUMBER(MATCH(DATEVALUE($A199),'recurring1_based on steps'!AX$1:AX$400,0)),AX$2,)</f>
        <v>0</v>
      </c>
      <c r="AY199" s="140">
        <f ca="1">IF(ISNUMBER(MATCH(DATEVALUE($A199),'recurring1_based on steps'!AY$1:AY$400,0)),AY$2,)</f>
        <v>0</v>
      </c>
    </row>
    <row r="200" spans="1:51" x14ac:dyDescent="0.2">
      <c r="A200" s="29" t="str">
        <f t="shared" ca="1" si="3"/>
        <v>2025-10-10</v>
      </c>
      <c r="B200" s="140">
        <f ca="1">IF(ISNUMBER(MATCH(DATEVALUE($A200),'recurring1_based on steps'!B$1:B$400,0)),B$2,)</f>
        <v>0</v>
      </c>
      <c r="C200" s="140">
        <f ca="1">IF(ISNUMBER(MATCH(DATEVALUE($A200),'recurring1_based on steps'!C$1:C$400,0)),C$2,)</f>
        <v>0</v>
      </c>
      <c r="D200" s="140">
        <f ca="1">IF(ISNUMBER(MATCH(DATEVALUE($A200),'recurring1_based on steps'!D$1:D$400,0)),D$2,)</f>
        <v>0</v>
      </c>
      <c r="E200" s="140">
        <f ca="1">IF(ISNUMBER(MATCH(DATEVALUE($A200),'recurring1_based on steps'!E$1:E$400,0)),E$2,)</f>
        <v>0</v>
      </c>
      <c r="F200" s="140">
        <f ca="1">IF(ISNUMBER(MATCH(DATEVALUE($A200),'recurring1_based on steps'!F$1:F$400,0)),F$2,)</f>
        <v>0</v>
      </c>
      <c r="G200" s="140">
        <f ca="1">IF(ISNUMBER(MATCH(DATEVALUE($A200),'recurring1_based on steps'!G$1:G$400,0)),G$2,)</f>
        <v>0</v>
      </c>
      <c r="H200" s="140">
        <f ca="1">IF(ISNUMBER(MATCH(DATEVALUE($A200),'recurring1_based on steps'!H$1:H$400,0)),H$2,)</f>
        <v>0</v>
      </c>
      <c r="I200" s="140">
        <f ca="1">IF(ISNUMBER(MATCH(DATEVALUE($A200),'recurring1_based on steps'!I$1:I$400,0)),I$2,)</f>
        <v>0</v>
      </c>
      <c r="J200" s="140">
        <f ca="1">IF(ISNUMBER(MATCH(DATEVALUE($A200),'recurring1_based on steps'!J$1:J$400,0)),J$2,)</f>
        <v>0</v>
      </c>
      <c r="K200" s="140">
        <f ca="1">IF(ISNUMBER(MATCH(DATEVALUE($A200),'recurring1_based on steps'!K$1:K$400,0)),K$2,)</f>
        <v>0</v>
      </c>
      <c r="L200" s="140">
        <f ca="1">IF(ISNUMBER(MATCH(DATEVALUE($A200),'recurring1_based on steps'!L$1:L$400,0)),L$2,)</f>
        <v>0</v>
      </c>
      <c r="M200" s="140">
        <f ca="1">IF(ISNUMBER(MATCH(DATEVALUE($A200),'recurring1_based on steps'!M$1:M$400,0)),M$2,)</f>
        <v>0</v>
      </c>
      <c r="N200" s="140">
        <f ca="1">IF(ISNUMBER(MATCH(DATEVALUE($A200),'recurring1_based on steps'!N$1:N$400,0)),N$2,)</f>
        <v>0</v>
      </c>
      <c r="O200" s="140">
        <f ca="1">IF(ISNUMBER(MATCH(DATEVALUE($A200),'recurring1_based on steps'!O$1:O$400,0)),O$2,)</f>
        <v>0</v>
      </c>
      <c r="P200" s="140">
        <f ca="1">IF(ISNUMBER(MATCH(DATEVALUE($A200),'recurring1_based on steps'!P$1:P$400,0)),P$2,)</f>
        <v>0</v>
      </c>
      <c r="Q200" s="140">
        <f ca="1">IF(ISNUMBER(MATCH(DATEVALUE($A200),'recurring1_based on steps'!Q$1:Q$400,0)),Q$2,)</f>
        <v>0</v>
      </c>
      <c r="R200" s="140">
        <f ca="1">IF(ISNUMBER(MATCH(DATEVALUE($A200),'recurring1_based on steps'!R$1:R$400,0)),R$2,)</f>
        <v>0</v>
      </c>
      <c r="S200" s="140">
        <f ca="1">IF(ISNUMBER(MATCH(DATEVALUE($A200),'recurring1_based on steps'!S$1:S$400,0)),S$2,)</f>
        <v>0</v>
      </c>
      <c r="T200" s="140">
        <f ca="1">IF(ISNUMBER(MATCH(DATEVALUE($A200),'recurring1_based on steps'!T$1:T$400,0)),T$2,)</f>
        <v>0</v>
      </c>
      <c r="U200" s="140">
        <f ca="1">IF(ISNUMBER(MATCH(DATEVALUE($A200),'recurring1_based on steps'!U$1:U$400,0)),U$2,)</f>
        <v>0</v>
      </c>
      <c r="V200" s="140">
        <f ca="1">IF(ISNUMBER(MATCH(DATEVALUE($A200),'recurring1_based on steps'!V$1:V$400,0)),V$2,)</f>
        <v>0</v>
      </c>
      <c r="W200" s="140">
        <f ca="1">IF(ISNUMBER(MATCH(DATEVALUE($A200),'recurring1_based on steps'!W$1:W$400,0)),W$2,)</f>
        <v>0</v>
      </c>
      <c r="X200" s="140">
        <f ca="1">IF(ISNUMBER(MATCH(DATEVALUE($A200),'recurring1_based on steps'!X$1:X$400,0)),X$2,)</f>
        <v>0</v>
      </c>
      <c r="Y200" s="140">
        <f ca="1">IF(ISNUMBER(MATCH(DATEVALUE($A200),'recurring1_based on steps'!Y$1:Y$400,0)),Y$2,)</f>
        <v>0</v>
      </c>
      <c r="Z200" s="140">
        <f ca="1">IF(ISNUMBER(MATCH(DATEVALUE($A200),'recurring1_based on steps'!Z$1:Z$400,0)),Z$2,)</f>
        <v>0</v>
      </c>
      <c r="AA200" s="140">
        <f ca="1">IF(ISNUMBER(MATCH(DATEVALUE($A200),'recurring1_based on steps'!AA$1:AA$400,0)),AA$2,)</f>
        <v>0</v>
      </c>
      <c r="AB200" s="140">
        <f ca="1">IF(ISNUMBER(MATCH(DATEVALUE($A200),'recurring1_based on steps'!AB$1:AB$400,0)),AB$2,)</f>
        <v>5.5401662049861494E-2</v>
      </c>
      <c r="AC200" s="140">
        <f ca="1">IF(ISNUMBER(MATCH(DATEVALUE($A200),'recurring1_based on steps'!AC$1:AC$400,0)),AC$2,)</f>
        <v>0</v>
      </c>
      <c r="AD200" s="140">
        <f ca="1">IF(ISNUMBER(MATCH(DATEVALUE($A200),'recurring1_based on steps'!AD$1:AD$400,0)),AD$2,)</f>
        <v>0</v>
      </c>
      <c r="AE200" s="140">
        <f ca="1">IF(ISNUMBER(MATCH(DATEVALUE($A200),'recurring1_based on steps'!AE$1:AE$400,0)),AE$2,)</f>
        <v>0</v>
      </c>
      <c r="AF200" s="140">
        <f ca="1">IF(ISNUMBER(MATCH(DATEVALUE($A200),'recurring1_based on steps'!AF$1:AF$400,0)),AF$2,)</f>
        <v>0</v>
      </c>
      <c r="AG200" s="140">
        <f ca="1">IF(ISNUMBER(MATCH(DATEVALUE($A200),'recurring1_based on steps'!AG$1:AG$400,0)),AG$2,)</f>
        <v>0</v>
      </c>
      <c r="AH200" s="140">
        <f ca="1">IF(ISNUMBER(MATCH(DATEVALUE($A200),'recurring1_based on steps'!AH$1:AH$400,0)),AH$2,)</f>
        <v>0</v>
      </c>
      <c r="AI200" s="140">
        <f ca="1">IF(ISNUMBER(MATCH(DATEVALUE($A200),'recurring1_based on steps'!AI$1:AI$400,0)),AI$2,)</f>
        <v>0</v>
      </c>
      <c r="AJ200" s="140">
        <f ca="1">IF(ISNUMBER(MATCH(DATEVALUE($A200),'recurring1_based on steps'!AJ$1:AJ$400,0)),AJ$2,)</f>
        <v>0</v>
      </c>
      <c r="AK200" s="140">
        <f ca="1">IF(ISNUMBER(MATCH(DATEVALUE($A200),'recurring1_based on steps'!AK$1:AK$400,0)),AK$2,)</f>
        <v>0</v>
      </c>
      <c r="AL200" s="140">
        <f ca="1">IF(ISNUMBER(MATCH(DATEVALUE($A200),'recurring1_based on steps'!AL$1:AL$400,0)),AL$2,)</f>
        <v>0</v>
      </c>
      <c r="AM200" s="140">
        <f ca="1">IF(ISNUMBER(MATCH(DATEVALUE($A200),'recurring1_based on steps'!AM$1:AM$400,0)),AM$2,)</f>
        <v>0</v>
      </c>
      <c r="AN200" s="140">
        <f ca="1">IF(ISNUMBER(MATCH(DATEVALUE($A200),'recurring1_based on steps'!AN$1:AN$400,0)),AN$2,)</f>
        <v>0</v>
      </c>
      <c r="AO200" s="140">
        <f ca="1">IF(ISNUMBER(MATCH(DATEVALUE($A200),'recurring1_based on steps'!AO$1:AO$400,0)),AO$2,)</f>
        <v>0</v>
      </c>
      <c r="AP200" s="140">
        <f ca="1">IF(ISNUMBER(MATCH(DATEVALUE($A200),'recurring1_based on steps'!AP$1:AP$400,0)),AP$2,)</f>
        <v>0</v>
      </c>
      <c r="AQ200" s="140">
        <f ca="1">IF(ISNUMBER(MATCH(DATEVALUE($A200),'recurring1_based on steps'!AQ$1:AQ$400,0)),AQ$2,)</f>
        <v>0</v>
      </c>
      <c r="AR200" s="140">
        <f ca="1">IF(ISNUMBER(MATCH(DATEVALUE($A200),'recurring1_based on steps'!AR$1:AR$400,0)),AR$2,)</f>
        <v>0</v>
      </c>
      <c r="AS200" s="140">
        <f ca="1">IF(ISNUMBER(MATCH(DATEVALUE($A200),'recurring1_based on steps'!AS$1:AS$400,0)),AS$2,)</f>
        <v>0</v>
      </c>
      <c r="AT200" s="140">
        <f ca="1">IF(ISNUMBER(MATCH(DATEVALUE($A200),'recurring1_based on steps'!AT$1:AT$400,0)),AT$2,)</f>
        <v>0</v>
      </c>
      <c r="AU200" s="140">
        <f ca="1">IF(ISNUMBER(MATCH(DATEVALUE($A200),'recurring1_based on steps'!AU$1:AU$400,0)),AU$2,)</f>
        <v>0</v>
      </c>
      <c r="AV200" s="140">
        <f ca="1">IF(ISNUMBER(MATCH(DATEVALUE($A200),'recurring1_based on steps'!AV$1:AV$400,0)),AV$2,)</f>
        <v>0</v>
      </c>
      <c r="AW200" s="140">
        <f ca="1">IF(ISNUMBER(MATCH(DATEVALUE($A200),'recurring1_based on steps'!AW$1:AW$400,0)),AW$2,)</f>
        <v>0</v>
      </c>
      <c r="AX200" s="140">
        <f ca="1">IF(ISNUMBER(MATCH(DATEVALUE($A200),'recurring1_based on steps'!AX$1:AX$400,0)),AX$2,)</f>
        <v>0</v>
      </c>
      <c r="AY200" s="140">
        <f ca="1">IF(ISNUMBER(MATCH(DATEVALUE($A200),'recurring1_based on steps'!AY$1:AY$400,0)),AY$2,)</f>
        <v>0</v>
      </c>
    </row>
    <row r="201" spans="1:51" x14ac:dyDescent="0.2">
      <c r="A201" s="29" t="str">
        <f t="shared" ca="1" si="3"/>
        <v>2025-10-11</v>
      </c>
      <c r="B201" s="140">
        <f ca="1">IF(ISNUMBER(MATCH(DATEVALUE($A201),'recurring1_based on steps'!B$1:B$400,0)),B$2,)</f>
        <v>0</v>
      </c>
      <c r="C201" s="140">
        <f ca="1">IF(ISNUMBER(MATCH(DATEVALUE($A201),'recurring1_based on steps'!C$1:C$400,0)),C$2,)</f>
        <v>0</v>
      </c>
      <c r="D201" s="140">
        <f ca="1">IF(ISNUMBER(MATCH(DATEVALUE($A201),'recurring1_based on steps'!D$1:D$400,0)),D$2,)</f>
        <v>0</v>
      </c>
      <c r="E201" s="140">
        <f ca="1">IF(ISNUMBER(MATCH(DATEVALUE($A201),'recurring1_based on steps'!E$1:E$400,0)),E$2,)</f>
        <v>0</v>
      </c>
      <c r="F201" s="140">
        <f ca="1">IF(ISNUMBER(MATCH(DATEVALUE($A201),'recurring1_based on steps'!F$1:F$400,0)),F$2,)</f>
        <v>0</v>
      </c>
      <c r="G201" s="140">
        <f ca="1">IF(ISNUMBER(MATCH(DATEVALUE($A201),'recurring1_based on steps'!G$1:G$400,0)),G$2,)</f>
        <v>0</v>
      </c>
      <c r="H201" s="140">
        <f ca="1">IF(ISNUMBER(MATCH(DATEVALUE($A201),'recurring1_based on steps'!H$1:H$400,0)),H$2,)</f>
        <v>0</v>
      </c>
      <c r="I201" s="140">
        <f ca="1">IF(ISNUMBER(MATCH(DATEVALUE($A201),'recurring1_based on steps'!I$1:I$400,0)),I$2,)</f>
        <v>0</v>
      </c>
      <c r="J201" s="140">
        <f ca="1">IF(ISNUMBER(MATCH(DATEVALUE($A201),'recurring1_based on steps'!J$1:J$400,0)),J$2,)</f>
        <v>0</v>
      </c>
      <c r="K201" s="140">
        <f ca="1">IF(ISNUMBER(MATCH(DATEVALUE($A201),'recurring1_based on steps'!K$1:K$400,0)),K$2,)</f>
        <v>0</v>
      </c>
      <c r="L201" s="140">
        <f ca="1">IF(ISNUMBER(MATCH(DATEVALUE($A201),'recurring1_based on steps'!L$1:L$400,0)),L$2,)</f>
        <v>0</v>
      </c>
      <c r="M201" s="140">
        <f ca="1">IF(ISNUMBER(MATCH(DATEVALUE($A201),'recurring1_based on steps'!M$1:M$400,0)),M$2,)</f>
        <v>0</v>
      </c>
      <c r="N201" s="140">
        <f ca="1">IF(ISNUMBER(MATCH(DATEVALUE($A201),'recurring1_based on steps'!N$1:N$400,0)),N$2,)</f>
        <v>0</v>
      </c>
      <c r="O201" s="140">
        <f ca="1">IF(ISNUMBER(MATCH(DATEVALUE($A201),'recurring1_based on steps'!O$1:O$400,0)),O$2,)</f>
        <v>0</v>
      </c>
      <c r="P201" s="140">
        <f ca="1">IF(ISNUMBER(MATCH(DATEVALUE($A201),'recurring1_based on steps'!P$1:P$400,0)),P$2,)</f>
        <v>0</v>
      </c>
      <c r="Q201" s="140">
        <f ca="1">IF(ISNUMBER(MATCH(DATEVALUE($A201),'recurring1_based on steps'!Q$1:Q$400,0)),Q$2,)</f>
        <v>100</v>
      </c>
      <c r="R201" s="140">
        <f ca="1">IF(ISNUMBER(MATCH(DATEVALUE($A201),'recurring1_based on steps'!R$1:R$400,0)),R$2,)</f>
        <v>100</v>
      </c>
      <c r="S201" s="140">
        <f ca="1">IF(ISNUMBER(MATCH(DATEVALUE($A201),'recurring1_based on steps'!S$1:S$400,0)),S$2,)</f>
        <v>0</v>
      </c>
      <c r="T201" s="140">
        <f ca="1">IF(ISNUMBER(MATCH(DATEVALUE($A201),'recurring1_based on steps'!T$1:T$400,0)),T$2,)</f>
        <v>0</v>
      </c>
      <c r="U201" s="140">
        <f ca="1">IF(ISNUMBER(MATCH(DATEVALUE($A201),'recurring1_based on steps'!U$1:U$400,0)),U$2,)</f>
        <v>0</v>
      </c>
      <c r="V201" s="140">
        <f ca="1">IF(ISNUMBER(MATCH(DATEVALUE($A201),'recurring1_based on steps'!V$1:V$400,0)),V$2,)</f>
        <v>0</v>
      </c>
      <c r="W201" s="140">
        <f ca="1">IF(ISNUMBER(MATCH(DATEVALUE($A201),'recurring1_based on steps'!W$1:W$400,0)),W$2,)</f>
        <v>0</v>
      </c>
      <c r="X201" s="140">
        <f ca="1">IF(ISNUMBER(MATCH(DATEVALUE($A201),'recurring1_based on steps'!X$1:X$400,0)),X$2,)</f>
        <v>0</v>
      </c>
      <c r="Y201" s="140">
        <f ca="1">IF(ISNUMBER(MATCH(DATEVALUE($A201),'recurring1_based on steps'!Y$1:Y$400,0)),Y$2,)</f>
        <v>0</v>
      </c>
      <c r="Z201" s="140">
        <f ca="1">IF(ISNUMBER(MATCH(DATEVALUE($A201),'recurring1_based on steps'!Z$1:Z$400,0)),Z$2,)</f>
        <v>0</v>
      </c>
      <c r="AA201" s="140">
        <f ca="1">IF(ISNUMBER(MATCH(DATEVALUE($A201),'recurring1_based on steps'!AA$1:AA$400,0)),AA$2,)</f>
        <v>0</v>
      </c>
      <c r="AB201" s="140">
        <f ca="1">IF(ISNUMBER(MATCH(DATEVALUE($A201),'recurring1_based on steps'!AB$1:AB$400,0)),AB$2,)</f>
        <v>5.5401662049861494E-2</v>
      </c>
      <c r="AC201" s="140">
        <f ca="1">IF(ISNUMBER(MATCH(DATEVALUE($A201),'recurring1_based on steps'!AC$1:AC$400,0)),AC$2,)</f>
        <v>0</v>
      </c>
      <c r="AD201" s="140">
        <f ca="1">IF(ISNUMBER(MATCH(DATEVALUE($A201),'recurring1_based on steps'!AD$1:AD$400,0)),AD$2,)</f>
        <v>0</v>
      </c>
      <c r="AE201" s="140">
        <f ca="1">IF(ISNUMBER(MATCH(DATEVALUE($A201),'recurring1_based on steps'!AE$1:AE$400,0)),AE$2,)</f>
        <v>0</v>
      </c>
      <c r="AF201" s="140">
        <f ca="1">IF(ISNUMBER(MATCH(DATEVALUE($A201),'recurring1_based on steps'!AF$1:AF$400,0)),AF$2,)</f>
        <v>0</v>
      </c>
      <c r="AG201" s="140">
        <f ca="1">IF(ISNUMBER(MATCH(DATEVALUE($A201),'recurring1_based on steps'!AG$1:AG$400,0)),AG$2,)</f>
        <v>0</v>
      </c>
      <c r="AH201" s="140">
        <f ca="1">IF(ISNUMBER(MATCH(DATEVALUE($A201),'recurring1_based on steps'!AH$1:AH$400,0)),AH$2,)</f>
        <v>0</v>
      </c>
      <c r="AI201" s="140">
        <f ca="1">IF(ISNUMBER(MATCH(DATEVALUE($A201),'recurring1_based on steps'!AI$1:AI$400,0)),AI$2,)</f>
        <v>0</v>
      </c>
      <c r="AJ201" s="140">
        <f ca="1">IF(ISNUMBER(MATCH(DATEVALUE($A201),'recurring1_based on steps'!AJ$1:AJ$400,0)),AJ$2,)</f>
        <v>0</v>
      </c>
      <c r="AK201" s="140">
        <f ca="1">IF(ISNUMBER(MATCH(DATEVALUE($A201),'recurring1_based on steps'!AK$1:AK$400,0)),AK$2,)</f>
        <v>0</v>
      </c>
      <c r="AL201" s="140">
        <f ca="1">IF(ISNUMBER(MATCH(DATEVALUE($A201),'recurring1_based on steps'!AL$1:AL$400,0)),AL$2,)</f>
        <v>0</v>
      </c>
      <c r="AM201" s="140">
        <f ca="1">IF(ISNUMBER(MATCH(DATEVALUE($A201),'recurring1_based on steps'!AM$1:AM$400,0)),AM$2,)</f>
        <v>0</v>
      </c>
      <c r="AN201" s="140">
        <f ca="1">IF(ISNUMBER(MATCH(DATEVALUE($A201),'recurring1_based on steps'!AN$1:AN$400,0)),AN$2,)</f>
        <v>0</v>
      </c>
      <c r="AO201" s="140">
        <f ca="1">IF(ISNUMBER(MATCH(DATEVALUE($A201),'recurring1_based on steps'!AO$1:AO$400,0)),AO$2,)</f>
        <v>0</v>
      </c>
      <c r="AP201" s="140">
        <f ca="1">IF(ISNUMBER(MATCH(DATEVALUE($A201),'recurring1_based on steps'!AP$1:AP$400,0)),AP$2,)</f>
        <v>0</v>
      </c>
      <c r="AQ201" s="140">
        <f ca="1">IF(ISNUMBER(MATCH(DATEVALUE($A201),'recurring1_based on steps'!AQ$1:AQ$400,0)),AQ$2,)</f>
        <v>0</v>
      </c>
      <c r="AR201" s="140">
        <f ca="1">IF(ISNUMBER(MATCH(DATEVALUE($A201),'recurring1_based on steps'!AR$1:AR$400,0)),AR$2,)</f>
        <v>0</v>
      </c>
      <c r="AS201" s="140">
        <f ca="1">IF(ISNUMBER(MATCH(DATEVALUE($A201),'recurring1_based on steps'!AS$1:AS$400,0)),AS$2,)</f>
        <v>0</v>
      </c>
      <c r="AT201" s="140">
        <f ca="1">IF(ISNUMBER(MATCH(DATEVALUE($A201),'recurring1_based on steps'!AT$1:AT$400,0)),AT$2,)</f>
        <v>0</v>
      </c>
      <c r="AU201" s="140">
        <f ca="1">IF(ISNUMBER(MATCH(DATEVALUE($A201),'recurring1_based on steps'!AU$1:AU$400,0)),AU$2,)</f>
        <v>0</v>
      </c>
      <c r="AV201" s="140">
        <f ca="1">IF(ISNUMBER(MATCH(DATEVALUE($A201),'recurring1_based on steps'!AV$1:AV$400,0)),AV$2,)</f>
        <v>0</v>
      </c>
      <c r="AW201" s="140">
        <f ca="1">IF(ISNUMBER(MATCH(DATEVALUE($A201),'recurring1_based on steps'!AW$1:AW$400,0)),AW$2,)</f>
        <v>0</v>
      </c>
      <c r="AX201" s="140">
        <f ca="1">IF(ISNUMBER(MATCH(DATEVALUE($A201),'recurring1_based on steps'!AX$1:AX$400,0)),AX$2,)</f>
        <v>0</v>
      </c>
      <c r="AY201" s="140">
        <f ca="1">IF(ISNUMBER(MATCH(DATEVALUE($A201),'recurring1_based on steps'!AY$1:AY$400,0)),AY$2,)</f>
        <v>0</v>
      </c>
    </row>
    <row r="202" spans="1:51" x14ac:dyDescent="0.2">
      <c r="A202" s="29" t="str">
        <f t="shared" ca="1" si="3"/>
        <v>2025-10-12</v>
      </c>
      <c r="B202" s="140">
        <f ca="1">IF(ISNUMBER(MATCH(DATEVALUE($A202),'recurring1_based on steps'!B$1:B$400,0)),B$2,)</f>
        <v>0</v>
      </c>
      <c r="C202" s="140">
        <f ca="1">IF(ISNUMBER(MATCH(DATEVALUE($A202),'recurring1_based on steps'!C$1:C$400,0)),C$2,)</f>
        <v>0</v>
      </c>
      <c r="D202" s="140">
        <f ca="1">IF(ISNUMBER(MATCH(DATEVALUE($A202),'recurring1_based on steps'!D$1:D$400,0)),D$2,)</f>
        <v>0</v>
      </c>
      <c r="E202" s="140">
        <f ca="1">IF(ISNUMBER(MATCH(DATEVALUE($A202),'recurring1_based on steps'!E$1:E$400,0)),E$2,)</f>
        <v>0</v>
      </c>
      <c r="F202" s="140">
        <f ca="1">IF(ISNUMBER(MATCH(DATEVALUE($A202),'recurring1_based on steps'!F$1:F$400,0)),F$2,)</f>
        <v>0</v>
      </c>
      <c r="G202" s="140">
        <f ca="1">IF(ISNUMBER(MATCH(DATEVALUE($A202),'recurring1_based on steps'!G$1:G$400,0)),G$2,)</f>
        <v>0</v>
      </c>
      <c r="H202" s="140">
        <f ca="1">IF(ISNUMBER(MATCH(DATEVALUE($A202),'recurring1_based on steps'!H$1:H$400,0)),H$2,)</f>
        <v>0</v>
      </c>
      <c r="I202" s="140">
        <f ca="1">IF(ISNUMBER(MATCH(DATEVALUE($A202),'recurring1_based on steps'!I$1:I$400,0)),I$2,)</f>
        <v>0</v>
      </c>
      <c r="J202" s="140">
        <f ca="1">IF(ISNUMBER(MATCH(DATEVALUE($A202),'recurring1_based on steps'!J$1:J$400,0)),J$2,)</f>
        <v>0</v>
      </c>
      <c r="K202" s="140">
        <f ca="1">IF(ISNUMBER(MATCH(DATEVALUE($A202),'recurring1_based on steps'!K$1:K$400,0)),K$2,)</f>
        <v>50</v>
      </c>
      <c r="L202" s="140">
        <f ca="1">IF(ISNUMBER(MATCH(DATEVALUE($A202),'recurring1_based on steps'!L$1:L$400,0)),L$2,)</f>
        <v>0</v>
      </c>
      <c r="M202" s="140">
        <f ca="1">IF(ISNUMBER(MATCH(DATEVALUE($A202),'recurring1_based on steps'!M$1:M$400,0)),M$2,)</f>
        <v>0</v>
      </c>
      <c r="N202" s="140">
        <f ca="1">IF(ISNUMBER(MATCH(DATEVALUE($A202),'recurring1_based on steps'!N$1:N$400,0)),N$2,)</f>
        <v>0</v>
      </c>
      <c r="O202" s="140">
        <f ca="1">IF(ISNUMBER(MATCH(DATEVALUE($A202),'recurring1_based on steps'!O$1:O$400,0)),O$2,)</f>
        <v>0</v>
      </c>
      <c r="P202" s="140">
        <f ca="1">IF(ISNUMBER(MATCH(DATEVALUE($A202),'recurring1_based on steps'!P$1:P$400,0)),P$2,)</f>
        <v>0</v>
      </c>
      <c r="Q202" s="140">
        <f ca="1">IF(ISNUMBER(MATCH(DATEVALUE($A202),'recurring1_based on steps'!Q$1:Q$400,0)),Q$2,)</f>
        <v>0</v>
      </c>
      <c r="R202" s="140">
        <f ca="1">IF(ISNUMBER(MATCH(DATEVALUE($A202),'recurring1_based on steps'!R$1:R$400,0)),R$2,)</f>
        <v>0</v>
      </c>
      <c r="S202" s="140">
        <f ca="1">IF(ISNUMBER(MATCH(DATEVALUE($A202),'recurring1_based on steps'!S$1:S$400,0)),S$2,)</f>
        <v>100</v>
      </c>
      <c r="T202" s="140">
        <f ca="1">IF(ISNUMBER(MATCH(DATEVALUE($A202),'recurring1_based on steps'!T$1:T$400,0)),T$2,)</f>
        <v>0</v>
      </c>
      <c r="U202" s="140">
        <f ca="1">IF(ISNUMBER(MATCH(DATEVALUE($A202),'recurring1_based on steps'!U$1:U$400,0)),U$2,)</f>
        <v>0</v>
      </c>
      <c r="V202" s="140">
        <f ca="1">IF(ISNUMBER(MATCH(DATEVALUE($A202),'recurring1_based on steps'!V$1:V$400,0)),V$2,)</f>
        <v>0</v>
      </c>
      <c r="W202" s="140">
        <f ca="1">IF(ISNUMBER(MATCH(DATEVALUE($A202),'recurring1_based on steps'!W$1:W$400,0)),W$2,)</f>
        <v>0</v>
      </c>
      <c r="X202" s="140">
        <f ca="1">IF(ISNUMBER(MATCH(DATEVALUE($A202),'recurring1_based on steps'!X$1:X$400,0)),X$2,)</f>
        <v>0</v>
      </c>
      <c r="Y202" s="140">
        <f ca="1">IF(ISNUMBER(MATCH(DATEVALUE($A202),'recurring1_based on steps'!Y$1:Y$400,0)),Y$2,)</f>
        <v>0</v>
      </c>
      <c r="Z202" s="140">
        <f ca="1">IF(ISNUMBER(MATCH(DATEVALUE($A202),'recurring1_based on steps'!Z$1:Z$400,0)),Z$2,)</f>
        <v>0</v>
      </c>
      <c r="AA202" s="140">
        <f ca="1">IF(ISNUMBER(MATCH(DATEVALUE($A202),'recurring1_based on steps'!AA$1:AA$400,0)),AA$2,)</f>
        <v>0</v>
      </c>
      <c r="AB202" s="140">
        <f ca="1">IF(ISNUMBER(MATCH(DATEVALUE($A202),'recurring1_based on steps'!AB$1:AB$400,0)),AB$2,)</f>
        <v>5.5401662049861494E-2</v>
      </c>
      <c r="AC202" s="140">
        <f ca="1">IF(ISNUMBER(MATCH(DATEVALUE($A202),'recurring1_based on steps'!AC$1:AC$400,0)),AC$2,)</f>
        <v>0</v>
      </c>
      <c r="AD202" s="140">
        <f ca="1">IF(ISNUMBER(MATCH(DATEVALUE($A202),'recurring1_based on steps'!AD$1:AD$400,0)),AD$2,)</f>
        <v>0</v>
      </c>
      <c r="AE202" s="140">
        <f ca="1">IF(ISNUMBER(MATCH(DATEVALUE($A202),'recurring1_based on steps'!AE$1:AE$400,0)),AE$2,)</f>
        <v>0</v>
      </c>
      <c r="AF202" s="140">
        <f ca="1">IF(ISNUMBER(MATCH(DATEVALUE($A202),'recurring1_based on steps'!AF$1:AF$400,0)),AF$2,)</f>
        <v>0</v>
      </c>
      <c r="AG202" s="140">
        <f ca="1">IF(ISNUMBER(MATCH(DATEVALUE($A202),'recurring1_based on steps'!AG$1:AG$400,0)),AG$2,)</f>
        <v>0</v>
      </c>
      <c r="AH202" s="140">
        <f ca="1">IF(ISNUMBER(MATCH(DATEVALUE($A202),'recurring1_based on steps'!AH$1:AH$400,0)),AH$2,)</f>
        <v>0</v>
      </c>
      <c r="AI202" s="140">
        <f ca="1">IF(ISNUMBER(MATCH(DATEVALUE($A202),'recurring1_based on steps'!AI$1:AI$400,0)),AI$2,)</f>
        <v>0</v>
      </c>
      <c r="AJ202" s="140">
        <f ca="1">IF(ISNUMBER(MATCH(DATEVALUE($A202),'recurring1_based on steps'!AJ$1:AJ$400,0)),AJ$2,)</f>
        <v>0</v>
      </c>
      <c r="AK202" s="140">
        <f ca="1">IF(ISNUMBER(MATCH(DATEVALUE($A202),'recurring1_based on steps'!AK$1:AK$400,0)),AK$2,)</f>
        <v>0</v>
      </c>
      <c r="AL202" s="140">
        <f ca="1">IF(ISNUMBER(MATCH(DATEVALUE($A202),'recurring1_based on steps'!AL$1:AL$400,0)),AL$2,)</f>
        <v>0</v>
      </c>
      <c r="AM202" s="140">
        <f ca="1">IF(ISNUMBER(MATCH(DATEVALUE($A202),'recurring1_based on steps'!AM$1:AM$400,0)),AM$2,)</f>
        <v>0</v>
      </c>
      <c r="AN202" s="140">
        <f ca="1">IF(ISNUMBER(MATCH(DATEVALUE($A202),'recurring1_based on steps'!AN$1:AN$400,0)),AN$2,)</f>
        <v>0</v>
      </c>
      <c r="AO202" s="140">
        <f ca="1">IF(ISNUMBER(MATCH(DATEVALUE($A202),'recurring1_based on steps'!AO$1:AO$400,0)),AO$2,)</f>
        <v>0</v>
      </c>
      <c r="AP202" s="140">
        <f ca="1">IF(ISNUMBER(MATCH(DATEVALUE($A202),'recurring1_based on steps'!AP$1:AP$400,0)),AP$2,)</f>
        <v>0</v>
      </c>
      <c r="AQ202" s="140">
        <f ca="1">IF(ISNUMBER(MATCH(DATEVALUE($A202),'recurring1_based on steps'!AQ$1:AQ$400,0)),AQ$2,)</f>
        <v>0</v>
      </c>
      <c r="AR202" s="140">
        <f ca="1">IF(ISNUMBER(MATCH(DATEVALUE($A202),'recurring1_based on steps'!AR$1:AR$400,0)),AR$2,)</f>
        <v>0</v>
      </c>
      <c r="AS202" s="140">
        <f ca="1">IF(ISNUMBER(MATCH(DATEVALUE($A202),'recurring1_based on steps'!AS$1:AS$400,0)),AS$2,)</f>
        <v>0</v>
      </c>
      <c r="AT202" s="140">
        <f ca="1">IF(ISNUMBER(MATCH(DATEVALUE($A202),'recurring1_based on steps'!AT$1:AT$400,0)),AT$2,)</f>
        <v>0</v>
      </c>
      <c r="AU202" s="140">
        <f ca="1">IF(ISNUMBER(MATCH(DATEVALUE($A202),'recurring1_based on steps'!AU$1:AU$400,0)),AU$2,)</f>
        <v>0</v>
      </c>
      <c r="AV202" s="140">
        <f ca="1">IF(ISNUMBER(MATCH(DATEVALUE($A202),'recurring1_based on steps'!AV$1:AV$400,0)),AV$2,)</f>
        <v>0</v>
      </c>
      <c r="AW202" s="140">
        <f ca="1">IF(ISNUMBER(MATCH(DATEVALUE($A202),'recurring1_based on steps'!AW$1:AW$400,0)),AW$2,)</f>
        <v>0</v>
      </c>
      <c r="AX202" s="140">
        <f ca="1">IF(ISNUMBER(MATCH(DATEVALUE($A202),'recurring1_based on steps'!AX$1:AX$400,0)),AX$2,)</f>
        <v>0</v>
      </c>
      <c r="AY202" s="140">
        <f ca="1">IF(ISNUMBER(MATCH(DATEVALUE($A202),'recurring1_based on steps'!AY$1:AY$400,0)),AY$2,)</f>
        <v>0</v>
      </c>
    </row>
    <row r="203" spans="1:51" x14ac:dyDescent="0.2">
      <c r="A203" s="29" t="str">
        <f t="shared" ca="1" si="3"/>
        <v>2025-10-13</v>
      </c>
      <c r="B203" s="140">
        <f ca="1">IF(ISNUMBER(MATCH(DATEVALUE($A203),'recurring1_based on steps'!B$1:B$400,0)),B$2,)</f>
        <v>0</v>
      </c>
      <c r="C203" s="140">
        <f ca="1">IF(ISNUMBER(MATCH(DATEVALUE($A203),'recurring1_based on steps'!C$1:C$400,0)),C$2,)</f>
        <v>0</v>
      </c>
      <c r="D203" s="140">
        <f ca="1">IF(ISNUMBER(MATCH(DATEVALUE($A203),'recurring1_based on steps'!D$1:D$400,0)),D$2,)</f>
        <v>0</v>
      </c>
      <c r="E203" s="140">
        <f ca="1">IF(ISNUMBER(MATCH(DATEVALUE($A203),'recurring1_based on steps'!E$1:E$400,0)),E$2,)</f>
        <v>0</v>
      </c>
      <c r="F203" s="140">
        <f ca="1">IF(ISNUMBER(MATCH(DATEVALUE($A203),'recurring1_based on steps'!F$1:F$400,0)),F$2,)</f>
        <v>0</v>
      </c>
      <c r="G203" s="140">
        <f ca="1">IF(ISNUMBER(MATCH(DATEVALUE($A203),'recurring1_based on steps'!G$1:G$400,0)),G$2,)</f>
        <v>0</v>
      </c>
      <c r="H203" s="140">
        <f ca="1">IF(ISNUMBER(MATCH(DATEVALUE($A203),'recurring1_based on steps'!H$1:H$400,0)),H$2,)</f>
        <v>0</v>
      </c>
      <c r="I203" s="140">
        <f ca="1">IF(ISNUMBER(MATCH(DATEVALUE($A203),'recurring1_based on steps'!I$1:I$400,0)),I$2,)</f>
        <v>0</v>
      </c>
      <c r="J203" s="140">
        <f ca="1">IF(ISNUMBER(MATCH(DATEVALUE($A203),'recurring1_based on steps'!J$1:J$400,0)),J$2,)</f>
        <v>0</v>
      </c>
      <c r="K203" s="140">
        <f ca="1">IF(ISNUMBER(MATCH(DATEVALUE($A203),'recurring1_based on steps'!K$1:K$400,0)),K$2,)</f>
        <v>0</v>
      </c>
      <c r="L203" s="140">
        <f ca="1">IF(ISNUMBER(MATCH(DATEVALUE($A203),'recurring1_based on steps'!L$1:L$400,0)),L$2,)</f>
        <v>0</v>
      </c>
      <c r="M203" s="140">
        <f ca="1">IF(ISNUMBER(MATCH(DATEVALUE($A203),'recurring1_based on steps'!M$1:M$400,0)),M$2,)</f>
        <v>0</v>
      </c>
      <c r="N203" s="140">
        <f ca="1">IF(ISNUMBER(MATCH(DATEVALUE($A203),'recurring1_based on steps'!N$1:N$400,0)),N$2,)</f>
        <v>0</v>
      </c>
      <c r="O203" s="140">
        <f ca="1">IF(ISNUMBER(MATCH(DATEVALUE($A203),'recurring1_based on steps'!O$1:O$400,0)),O$2,)</f>
        <v>0</v>
      </c>
      <c r="P203" s="140">
        <f ca="1">IF(ISNUMBER(MATCH(DATEVALUE($A203),'recurring1_based on steps'!P$1:P$400,0)),P$2,)</f>
        <v>0</v>
      </c>
      <c r="Q203" s="140">
        <f ca="1">IF(ISNUMBER(MATCH(DATEVALUE($A203),'recurring1_based on steps'!Q$1:Q$400,0)),Q$2,)</f>
        <v>0</v>
      </c>
      <c r="R203" s="140">
        <f ca="1">IF(ISNUMBER(MATCH(DATEVALUE($A203),'recurring1_based on steps'!R$1:R$400,0)),R$2,)</f>
        <v>0</v>
      </c>
      <c r="S203" s="140">
        <f ca="1">IF(ISNUMBER(MATCH(DATEVALUE($A203),'recurring1_based on steps'!S$1:S$400,0)),S$2,)</f>
        <v>0</v>
      </c>
      <c r="T203" s="140">
        <f ca="1">IF(ISNUMBER(MATCH(DATEVALUE($A203),'recurring1_based on steps'!T$1:T$400,0)),T$2,)</f>
        <v>50</v>
      </c>
      <c r="U203" s="140">
        <f ca="1">IF(ISNUMBER(MATCH(DATEVALUE($A203),'recurring1_based on steps'!U$1:U$400,0)),U$2,)</f>
        <v>0</v>
      </c>
      <c r="V203" s="140">
        <f ca="1">IF(ISNUMBER(MATCH(DATEVALUE($A203),'recurring1_based on steps'!V$1:V$400,0)),V$2,)</f>
        <v>0</v>
      </c>
      <c r="W203" s="140">
        <f ca="1">IF(ISNUMBER(MATCH(DATEVALUE($A203),'recurring1_based on steps'!W$1:W$400,0)),W$2,)</f>
        <v>0</v>
      </c>
      <c r="X203" s="140">
        <f ca="1">IF(ISNUMBER(MATCH(DATEVALUE($A203),'recurring1_based on steps'!X$1:X$400,0)),X$2,)</f>
        <v>0</v>
      </c>
      <c r="Y203" s="140">
        <f ca="1">IF(ISNUMBER(MATCH(DATEVALUE($A203),'recurring1_based on steps'!Y$1:Y$400,0)),Y$2,)</f>
        <v>0</v>
      </c>
      <c r="Z203" s="140">
        <f ca="1">IF(ISNUMBER(MATCH(DATEVALUE($A203),'recurring1_based on steps'!Z$1:Z$400,0)),Z$2,)</f>
        <v>0</v>
      </c>
      <c r="AA203" s="140">
        <f ca="1">IF(ISNUMBER(MATCH(DATEVALUE($A203),'recurring1_based on steps'!AA$1:AA$400,0)),AA$2,)</f>
        <v>0</v>
      </c>
      <c r="AB203" s="140">
        <f ca="1">IF(ISNUMBER(MATCH(DATEVALUE($A203),'recurring1_based on steps'!AB$1:AB$400,0)),AB$2,)</f>
        <v>5.5401662049861494E-2</v>
      </c>
      <c r="AC203" s="140">
        <f ca="1">IF(ISNUMBER(MATCH(DATEVALUE($A203),'recurring1_based on steps'!AC$1:AC$400,0)),AC$2,)</f>
        <v>0</v>
      </c>
      <c r="AD203" s="140">
        <f ca="1">IF(ISNUMBER(MATCH(DATEVALUE($A203),'recurring1_based on steps'!AD$1:AD$400,0)),AD$2,)</f>
        <v>0</v>
      </c>
      <c r="AE203" s="140">
        <f ca="1">IF(ISNUMBER(MATCH(DATEVALUE($A203),'recurring1_based on steps'!AE$1:AE$400,0)),AE$2,)</f>
        <v>0</v>
      </c>
      <c r="AF203" s="140">
        <f ca="1">IF(ISNUMBER(MATCH(DATEVALUE($A203),'recurring1_based on steps'!AF$1:AF$400,0)),AF$2,)</f>
        <v>0</v>
      </c>
      <c r="AG203" s="140">
        <f ca="1">IF(ISNUMBER(MATCH(DATEVALUE($A203),'recurring1_based on steps'!AG$1:AG$400,0)),AG$2,)</f>
        <v>0</v>
      </c>
      <c r="AH203" s="140">
        <f ca="1">IF(ISNUMBER(MATCH(DATEVALUE($A203),'recurring1_based on steps'!AH$1:AH$400,0)),AH$2,)</f>
        <v>0</v>
      </c>
      <c r="AI203" s="140">
        <f ca="1">IF(ISNUMBER(MATCH(DATEVALUE($A203),'recurring1_based on steps'!AI$1:AI$400,0)),AI$2,)</f>
        <v>0</v>
      </c>
      <c r="AJ203" s="140">
        <f ca="1">IF(ISNUMBER(MATCH(DATEVALUE($A203),'recurring1_based on steps'!AJ$1:AJ$400,0)),AJ$2,)</f>
        <v>0</v>
      </c>
      <c r="AK203" s="140">
        <f ca="1">IF(ISNUMBER(MATCH(DATEVALUE($A203),'recurring1_based on steps'!AK$1:AK$400,0)),AK$2,)</f>
        <v>0</v>
      </c>
      <c r="AL203" s="140">
        <f ca="1">IF(ISNUMBER(MATCH(DATEVALUE($A203),'recurring1_based on steps'!AL$1:AL$400,0)),AL$2,)</f>
        <v>0</v>
      </c>
      <c r="AM203" s="140">
        <f ca="1">IF(ISNUMBER(MATCH(DATEVALUE($A203),'recurring1_based on steps'!AM$1:AM$400,0)),AM$2,)</f>
        <v>0</v>
      </c>
      <c r="AN203" s="140">
        <f ca="1">IF(ISNUMBER(MATCH(DATEVALUE($A203),'recurring1_based on steps'!AN$1:AN$400,0)),AN$2,)</f>
        <v>0</v>
      </c>
      <c r="AO203" s="140">
        <f ca="1">IF(ISNUMBER(MATCH(DATEVALUE($A203),'recurring1_based on steps'!AO$1:AO$400,0)),AO$2,)</f>
        <v>0</v>
      </c>
      <c r="AP203" s="140">
        <f ca="1">IF(ISNUMBER(MATCH(DATEVALUE($A203),'recurring1_based on steps'!AP$1:AP$400,0)),AP$2,)</f>
        <v>0</v>
      </c>
      <c r="AQ203" s="140">
        <f ca="1">IF(ISNUMBER(MATCH(DATEVALUE($A203),'recurring1_based on steps'!AQ$1:AQ$400,0)),AQ$2,)</f>
        <v>0</v>
      </c>
      <c r="AR203" s="140">
        <f ca="1">IF(ISNUMBER(MATCH(DATEVALUE($A203),'recurring1_based on steps'!AR$1:AR$400,0)),AR$2,)</f>
        <v>0</v>
      </c>
      <c r="AS203" s="140">
        <f ca="1">IF(ISNUMBER(MATCH(DATEVALUE($A203),'recurring1_based on steps'!AS$1:AS$400,0)),AS$2,)</f>
        <v>0</v>
      </c>
      <c r="AT203" s="140">
        <f ca="1">IF(ISNUMBER(MATCH(DATEVALUE($A203),'recurring1_based on steps'!AT$1:AT$400,0)),AT$2,)</f>
        <v>0</v>
      </c>
      <c r="AU203" s="140">
        <f ca="1">IF(ISNUMBER(MATCH(DATEVALUE($A203),'recurring1_based on steps'!AU$1:AU$400,0)),AU$2,)</f>
        <v>0</v>
      </c>
      <c r="AV203" s="140">
        <f ca="1">IF(ISNUMBER(MATCH(DATEVALUE($A203),'recurring1_based on steps'!AV$1:AV$400,0)),AV$2,)</f>
        <v>0</v>
      </c>
      <c r="AW203" s="140">
        <f ca="1">IF(ISNUMBER(MATCH(DATEVALUE($A203),'recurring1_based on steps'!AW$1:AW$400,0)),AW$2,)</f>
        <v>0</v>
      </c>
      <c r="AX203" s="140">
        <f ca="1">IF(ISNUMBER(MATCH(DATEVALUE($A203),'recurring1_based on steps'!AX$1:AX$400,0)),AX$2,)</f>
        <v>0</v>
      </c>
      <c r="AY203" s="140">
        <f ca="1">IF(ISNUMBER(MATCH(DATEVALUE($A203),'recurring1_based on steps'!AY$1:AY$400,0)),AY$2,)</f>
        <v>0</v>
      </c>
    </row>
    <row r="204" spans="1:51" x14ac:dyDescent="0.2">
      <c r="A204" s="29" t="str">
        <f t="shared" ca="1" si="3"/>
        <v>2025-10-14</v>
      </c>
      <c r="B204" s="140">
        <f ca="1">IF(ISNUMBER(MATCH(DATEVALUE($A204),'recurring1_based on steps'!B$1:B$400,0)),B$2,)</f>
        <v>0</v>
      </c>
      <c r="C204" s="140">
        <f ca="1">IF(ISNUMBER(MATCH(DATEVALUE($A204),'recurring1_based on steps'!C$1:C$400,0)),C$2,)</f>
        <v>0</v>
      </c>
      <c r="D204" s="140">
        <f ca="1">IF(ISNUMBER(MATCH(DATEVALUE($A204),'recurring1_based on steps'!D$1:D$400,0)),D$2,)</f>
        <v>0</v>
      </c>
      <c r="E204" s="140">
        <f ca="1">IF(ISNUMBER(MATCH(DATEVALUE($A204),'recurring1_based on steps'!E$1:E$400,0)),E$2,)</f>
        <v>0</v>
      </c>
      <c r="F204" s="140">
        <f ca="1">IF(ISNUMBER(MATCH(DATEVALUE($A204),'recurring1_based on steps'!F$1:F$400,0)),F$2,)</f>
        <v>0</v>
      </c>
      <c r="G204" s="140">
        <f ca="1">IF(ISNUMBER(MATCH(DATEVALUE($A204),'recurring1_based on steps'!G$1:G$400,0)),G$2,)</f>
        <v>0</v>
      </c>
      <c r="H204" s="140">
        <f ca="1">IF(ISNUMBER(MATCH(DATEVALUE($A204),'recurring1_based on steps'!H$1:H$400,0)),H$2,)</f>
        <v>0</v>
      </c>
      <c r="I204" s="140">
        <f ca="1">IF(ISNUMBER(MATCH(DATEVALUE($A204),'recurring1_based on steps'!I$1:I$400,0)),I$2,)</f>
        <v>0</v>
      </c>
      <c r="J204" s="140">
        <f ca="1">IF(ISNUMBER(MATCH(DATEVALUE($A204),'recurring1_based on steps'!J$1:J$400,0)),J$2,)</f>
        <v>0</v>
      </c>
      <c r="K204" s="140">
        <f ca="1">IF(ISNUMBER(MATCH(DATEVALUE($A204),'recurring1_based on steps'!K$1:K$400,0)),K$2,)</f>
        <v>0</v>
      </c>
      <c r="L204" s="140">
        <f ca="1">IF(ISNUMBER(MATCH(DATEVALUE($A204),'recurring1_based on steps'!L$1:L$400,0)),L$2,)</f>
        <v>0</v>
      </c>
      <c r="M204" s="140">
        <f ca="1">IF(ISNUMBER(MATCH(DATEVALUE($A204),'recurring1_based on steps'!M$1:M$400,0)),M$2,)</f>
        <v>0</v>
      </c>
      <c r="N204" s="140">
        <f ca="1">IF(ISNUMBER(MATCH(DATEVALUE($A204),'recurring1_based on steps'!N$1:N$400,0)),N$2,)</f>
        <v>0</v>
      </c>
      <c r="O204" s="140">
        <f ca="1">IF(ISNUMBER(MATCH(DATEVALUE($A204),'recurring1_based on steps'!O$1:O$400,0)),O$2,)</f>
        <v>0</v>
      </c>
      <c r="P204" s="140">
        <f ca="1">IF(ISNUMBER(MATCH(DATEVALUE($A204),'recurring1_based on steps'!P$1:P$400,0)),P$2,)</f>
        <v>0</v>
      </c>
      <c r="Q204" s="140">
        <f ca="1">IF(ISNUMBER(MATCH(DATEVALUE($A204),'recurring1_based on steps'!Q$1:Q$400,0)),Q$2,)</f>
        <v>0</v>
      </c>
      <c r="R204" s="140">
        <f ca="1">IF(ISNUMBER(MATCH(DATEVALUE($A204),'recurring1_based on steps'!R$1:R$400,0)),R$2,)</f>
        <v>0</v>
      </c>
      <c r="S204" s="140">
        <f ca="1">IF(ISNUMBER(MATCH(DATEVALUE($A204),'recurring1_based on steps'!S$1:S$400,0)),S$2,)</f>
        <v>0</v>
      </c>
      <c r="T204" s="140">
        <f ca="1">IF(ISNUMBER(MATCH(DATEVALUE($A204),'recurring1_based on steps'!T$1:T$400,0)),T$2,)</f>
        <v>0</v>
      </c>
      <c r="U204" s="140">
        <f ca="1">IF(ISNUMBER(MATCH(DATEVALUE($A204),'recurring1_based on steps'!U$1:U$400,0)),U$2,)</f>
        <v>0</v>
      </c>
      <c r="V204" s="140">
        <f ca="1">IF(ISNUMBER(MATCH(DATEVALUE($A204),'recurring1_based on steps'!V$1:V$400,0)),V$2,)</f>
        <v>0</v>
      </c>
      <c r="W204" s="140">
        <f ca="1">IF(ISNUMBER(MATCH(DATEVALUE($A204),'recurring1_based on steps'!W$1:W$400,0)),W$2,)</f>
        <v>0</v>
      </c>
      <c r="X204" s="140">
        <f ca="1">IF(ISNUMBER(MATCH(DATEVALUE($A204),'recurring1_based on steps'!X$1:X$400,0)),X$2,)</f>
        <v>0</v>
      </c>
      <c r="Y204" s="140">
        <f ca="1">IF(ISNUMBER(MATCH(DATEVALUE($A204),'recurring1_based on steps'!Y$1:Y$400,0)),Y$2,)</f>
        <v>0</v>
      </c>
      <c r="Z204" s="140">
        <f ca="1">IF(ISNUMBER(MATCH(DATEVALUE($A204),'recurring1_based on steps'!Z$1:Z$400,0)),Z$2,)</f>
        <v>0</v>
      </c>
      <c r="AA204" s="140">
        <f ca="1">IF(ISNUMBER(MATCH(DATEVALUE($A204),'recurring1_based on steps'!AA$1:AA$400,0)),AA$2,)</f>
        <v>0</v>
      </c>
      <c r="AB204" s="140">
        <f ca="1">IF(ISNUMBER(MATCH(DATEVALUE($A204),'recurring1_based on steps'!AB$1:AB$400,0)),AB$2,)</f>
        <v>5.5401662049861494E-2</v>
      </c>
      <c r="AC204" s="140">
        <f ca="1">IF(ISNUMBER(MATCH(DATEVALUE($A204),'recurring1_based on steps'!AC$1:AC$400,0)),AC$2,)</f>
        <v>0</v>
      </c>
      <c r="AD204" s="140">
        <f ca="1">IF(ISNUMBER(MATCH(DATEVALUE($A204),'recurring1_based on steps'!AD$1:AD$400,0)),AD$2,)</f>
        <v>0</v>
      </c>
      <c r="AE204" s="140">
        <f ca="1">IF(ISNUMBER(MATCH(DATEVALUE($A204),'recurring1_based on steps'!AE$1:AE$400,0)),AE$2,)</f>
        <v>0</v>
      </c>
      <c r="AF204" s="140">
        <f ca="1">IF(ISNUMBER(MATCH(DATEVALUE($A204),'recurring1_based on steps'!AF$1:AF$400,0)),AF$2,)</f>
        <v>0</v>
      </c>
      <c r="AG204" s="140">
        <f ca="1">IF(ISNUMBER(MATCH(DATEVALUE($A204),'recurring1_based on steps'!AG$1:AG$400,0)),AG$2,)</f>
        <v>0</v>
      </c>
      <c r="AH204" s="140">
        <f ca="1">IF(ISNUMBER(MATCH(DATEVALUE($A204),'recurring1_based on steps'!AH$1:AH$400,0)),AH$2,)</f>
        <v>0</v>
      </c>
      <c r="AI204" s="140">
        <f ca="1">IF(ISNUMBER(MATCH(DATEVALUE($A204),'recurring1_based on steps'!AI$1:AI$400,0)),AI$2,)</f>
        <v>0</v>
      </c>
      <c r="AJ204" s="140">
        <f ca="1">IF(ISNUMBER(MATCH(DATEVALUE($A204),'recurring1_based on steps'!AJ$1:AJ$400,0)),AJ$2,)</f>
        <v>0</v>
      </c>
      <c r="AK204" s="140">
        <f ca="1">IF(ISNUMBER(MATCH(DATEVALUE($A204),'recurring1_based on steps'!AK$1:AK$400,0)),AK$2,)</f>
        <v>0</v>
      </c>
      <c r="AL204" s="140">
        <f ca="1">IF(ISNUMBER(MATCH(DATEVALUE($A204),'recurring1_based on steps'!AL$1:AL$400,0)),AL$2,)</f>
        <v>0</v>
      </c>
      <c r="AM204" s="140">
        <f ca="1">IF(ISNUMBER(MATCH(DATEVALUE($A204),'recurring1_based on steps'!AM$1:AM$400,0)),AM$2,)</f>
        <v>0</v>
      </c>
      <c r="AN204" s="140">
        <f ca="1">IF(ISNUMBER(MATCH(DATEVALUE($A204),'recurring1_based on steps'!AN$1:AN$400,0)),AN$2,)</f>
        <v>0</v>
      </c>
      <c r="AO204" s="140">
        <f ca="1">IF(ISNUMBER(MATCH(DATEVALUE($A204),'recurring1_based on steps'!AO$1:AO$400,0)),AO$2,)</f>
        <v>0</v>
      </c>
      <c r="AP204" s="140">
        <f ca="1">IF(ISNUMBER(MATCH(DATEVALUE($A204),'recurring1_based on steps'!AP$1:AP$400,0)),AP$2,)</f>
        <v>0</v>
      </c>
      <c r="AQ204" s="140">
        <f ca="1">IF(ISNUMBER(MATCH(DATEVALUE($A204),'recurring1_based on steps'!AQ$1:AQ$400,0)),AQ$2,)</f>
        <v>0</v>
      </c>
      <c r="AR204" s="140">
        <f ca="1">IF(ISNUMBER(MATCH(DATEVALUE($A204),'recurring1_based on steps'!AR$1:AR$400,0)),AR$2,)</f>
        <v>0</v>
      </c>
      <c r="AS204" s="140">
        <f ca="1">IF(ISNUMBER(MATCH(DATEVALUE($A204),'recurring1_based on steps'!AS$1:AS$400,0)),AS$2,)</f>
        <v>0</v>
      </c>
      <c r="AT204" s="140">
        <f ca="1">IF(ISNUMBER(MATCH(DATEVALUE($A204),'recurring1_based on steps'!AT$1:AT$400,0)),AT$2,)</f>
        <v>0</v>
      </c>
      <c r="AU204" s="140">
        <f ca="1">IF(ISNUMBER(MATCH(DATEVALUE($A204),'recurring1_based on steps'!AU$1:AU$400,0)),AU$2,)</f>
        <v>0</v>
      </c>
      <c r="AV204" s="140">
        <f ca="1">IF(ISNUMBER(MATCH(DATEVALUE($A204),'recurring1_based on steps'!AV$1:AV$400,0)),AV$2,)</f>
        <v>0</v>
      </c>
      <c r="AW204" s="140">
        <f ca="1">IF(ISNUMBER(MATCH(DATEVALUE($A204),'recurring1_based on steps'!AW$1:AW$400,0)),AW$2,)</f>
        <v>0</v>
      </c>
      <c r="AX204" s="140">
        <f ca="1">IF(ISNUMBER(MATCH(DATEVALUE($A204),'recurring1_based on steps'!AX$1:AX$400,0)),AX$2,)</f>
        <v>0</v>
      </c>
      <c r="AY204" s="140">
        <f ca="1">IF(ISNUMBER(MATCH(DATEVALUE($A204),'recurring1_based on steps'!AY$1:AY$400,0)),AY$2,)</f>
        <v>0</v>
      </c>
    </row>
    <row r="205" spans="1:51" x14ac:dyDescent="0.2">
      <c r="A205" s="29" t="str">
        <f t="shared" ca="1" si="3"/>
        <v>2025-10-15</v>
      </c>
      <c r="B205" s="140">
        <f ca="1">IF(ISNUMBER(MATCH(DATEVALUE($A205),'recurring1_based on steps'!B$1:B$400,0)),B$2,)</f>
        <v>0</v>
      </c>
      <c r="C205" s="140">
        <f ca="1">IF(ISNUMBER(MATCH(DATEVALUE($A205),'recurring1_based on steps'!C$1:C$400,0)),C$2,)</f>
        <v>0</v>
      </c>
      <c r="D205" s="140">
        <f ca="1">IF(ISNUMBER(MATCH(DATEVALUE($A205),'recurring1_based on steps'!D$1:D$400,0)),D$2,)</f>
        <v>0</v>
      </c>
      <c r="E205" s="140">
        <f ca="1">IF(ISNUMBER(MATCH(DATEVALUE($A205),'recurring1_based on steps'!E$1:E$400,0)),E$2,)</f>
        <v>0</v>
      </c>
      <c r="F205" s="140">
        <f ca="1">IF(ISNUMBER(MATCH(DATEVALUE($A205),'recurring1_based on steps'!F$1:F$400,0)),F$2,)</f>
        <v>0</v>
      </c>
      <c r="G205" s="140">
        <f ca="1">IF(ISNUMBER(MATCH(DATEVALUE($A205),'recurring1_based on steps'!G$1:G$400,0)),G$2,)</f>
        <v>0</v>
      </c>
      <c r="H205" s="140">
        <f ca="1">IF(ISNUMBER(MATCH(DATEVALUE($A205),'recurring1_based on steps'!H$1:H$400,0)),H$2,)</f>
        <v>0</v>
      </c>
      <c r="I205" s="140">
        <f ca="1">IF(ISNUMBER(MATCH(DATEVALUE($A205),'recurring1_based on steps'!I$1:I$400,0)),I$2,)</f>
        <v>0</v>
      </c>
      <c r="J205" s="140">
        <f ca="1">IF(ISNUMBER(MATCH(DATEVALUE($A205),'recurring1_based on steps'!J$1:J$400,0)),J$2,)</f>
        <v>0</v>
      </c>
      <c r="K205" s="140">
        <f ca="1">IF(ISNUMBER(MATCH(DATEVALUE($A205),'recurring1_based on steps'!K$1:K$400,0)),K$2,)</f>
        <v>0</v>
      </c>
      <c r="L205" s="140">
        <f ca="1">IF(ISNUMBER(MATCH(DATEVALUE($A205),'recurring1_based on steps'!L$1:L$400,0)),L$2,)</f>
        <v>0</v>
      </c>
      <c r="M205" s="140">
        <f ca="1">IF(ISNUMBER(MATCH(DATEVALUE($A205),'recurring1_based on steps'!M$1:M$400,0)),M$2,)</f>
        <v>0</v>
      </c>
      <c r="N205" s="140">
        <f ca="1">IF(ISNUMBER(MATCH(DATEVALUE($A205),'recurring1_based on steps'!N$1:N$400,0)),N$2,)</f>
        <v>0</v>
      </c>
      <c r="O205" s="140">
        <f ca="1">IF(ISNUMBER(MATCH(DATEVALUE($A205),'recurring1_based on steps'!O$1:O$400,0)),O$2,)</f>
        <v>0</v>
      </c>
      <c r="P205" s="140">
        <f ca="1">IF(ISNUMBER(MATCH(DATEVALUE($A205),'recurring1_based on steps'!P$1:P$400,0)),P$2,)</f>
        <v>0</v>
      </c>
      <c r="Q205" s="140">
        <f ca="1">IF(ISNUMBER(MATCH(DATEVALUE($A205),'recurring1_based on steps'!Q$1:Q$400,0)),Q$2,)</f>
        <v>0</v>
      </c>
      <c r="R205" s="140">
        <f ca="1">IF(ISNUMBER(MATCH(DATEVALUE($A205),'recurring1_based on steps'!R$1:R$400,0)),R$2,)</f>
        <v>0</v>
      </c>
      <c r="S205" s="140">
        <f ca="1">IF(ISNUMBER(MATCH(DATEVALUE($A205),'recurring1_based on steps'!S$1:S$400,0)),S$2,)</f>
        <v>0</v>
      </c>
      <c r="T205" s="140">
        <f ca="1">IF(ISNUMBER(MATCH(DATEVALUE($A205),'recurring1_based on steps'!T$1:T$400,0)),T$2,)</f>
        <v>0</v>
      </c>
      <c r="U205" s="140">
        <f ca="1">IF(ISNUMBER(MATCH(DATEVALUE($A205),'recurring1_based on steps'!U$1:U$400,0)),U$2,)</f>
        <v>0</v>
      </c>
      <c r="V205" s="140">
        <f ca="1">IF(ISNUMBER(MATCH(DATEVALUE($A205),'recurring1_based on steps'!V$1:V$400,0)),V$2,)</f>
        <v>0</v>
      </c>
      <c r="W205" s="140">
        <f ca="1">IF(ISNUMBER(MATCH(DATEVALUE($A205),'recurring1_based on steps'!W$1:W$400,0)),W$2,)</f>
        <v>0</v>
      </c>
      <c r="X205" s="140">
        <f ca="1">IF(ISNUMBER(MATCH(DATEVALUE($A205),'recurring1_based on steps'!X$1:X$400,0)),X$2,)</f>
        <v>0</v>
      </c>
      <c r="Y205" s="140">
        <f ca="1">IF(ISNUMBER(MATCH(DATEVALUE($A205),'recurring1_based on steps'!Y$1:Y$400,0)),Y$2,)</f>
        <v>0</v>
      </c>
      <c r="Z205" s="140">
        <f ca="1">IF(ISNUMBER(MATCH(DATEVALUE($A205),'recurring1_based on steps'!Z$1:Z$400,0)),Z$2,)</f>
        <v>0</v>
      </c>
      <c r="AA205" s="140">
        <f ca="1">IF(ISNUMBER(MATCH(DATEVALUE($A205),'recurring1_based on steps'!AA$1:AA$400,0)),AA$2,)</f>
        <v>0</v>
      </c>
      <c r="AB205" s="140">
        <f ca="1">IF(ISNUMBER(MATCH(DATEVALUE($A205),'recurring1_based on steps'!AB$1:AB$400,0)),AB$2,)</f>
        <v>5.5401662049861494E-2</v>
      </c>
      <c r="AC205" s="140">
        <f ca="1">IF(ISNUMBER(MATCH(DATEVALUE($A205),'recurring1_based on steps'!AC$1:AC$400,0)),AC$2,)</f>
        <v>0</v>
      </c>
      <c r="AD205" s="140">
        <f ca="1">IF(ISNUMBER(MATCH(DATEVALUE($A205),'recurring1_based on steps'!AD$1:AD$400,0)),AD$2,)</f>
        <v>0</v>
      </c>
      <c r="AE205" s="140">
        <f ca="1">IF(ISNUMBER(MATCH(DATEVALUE($A205),'recurring1_based on steps'!AE$1:AE$400,0)),AE$2,)</f>
        <v>0</v>
      </c>
      <c r="AF205" s="140">
        <f ca="1">IF(ISNUMBER(MATCH(DATEVALUE($A205),'recurring1_based on steps'!AF$1:AF$400,0)),AF$2,)</f>
        <v>0</v>
      </c>
      <c r="AG205" s="140">
        <f ca="1">IF(ISNUMBER(MATCH(DATEVALUE($A205),'recurring1_based on steps'!AG$1:AG$400,0)),AG$2,)</f>
        <v>0</v>
      </c>
      <c r="AH205" s="140">
        <f ca="1">IF(ISNUMBER(MATCH(DATEVALUE($A205),'recurring1_based on steps'!AH$1:AH$400,0)),AH$2,)</f>
        <v>0</v>
      </c>
      <c r="AI205" s="140">
        <f ca="1">IF(ISNUMBER(MATCH(DATEVALUE($A205),'recurring1_based on steps'!AI$1:AI$400,0)),AI$2,)</f>
        <v>0</v>
      </c>
      <c r="AJ205" s="140">
        <f ca="1">IF(ISNUMBER(MATCH(DATEVALUE($A205),'recurring1_based on steps'!AJ$1:AJ$400,0)),AJ$2,)</f>
        <v>0</v>
      </c>
      <c r="AK205" s="140">
        <f ca="1">IF(ISNUMBER(MATCH(DATEVALUE($A205),'recurring1_based on steps'!AK$1:AK$400,0)),AK$2,)</f>
        <v>0</v>
      </c>
      <c r="AL205" s="140">
        <f ca="1">IF(ISNUMBER(MATCH(DATEVALUE($A205),'recurring1_based on steps'!AL$1:AL$400,0)),AL$2,)</f>
        <v>0</v>
      </c>
      <c r="AM205" s="140">
        <f ca="1">IF(ISNUMBER(MATCH(DATEVALUE($A205),'recurring1_based on steps'!AM$1:AM$400,0)),AM$2,)</f>
        <v>0</v>
      </c>
      <c r="AN205" s="140">
        <f ca="1">IF(ISNUMBER(MATCH(DATEVALUE($A205),'recurring1_based on steps'!AN$1:AN$400,0)),AN$2,)</f>
        <v>0</v>
      </c>
      <c r="AO205" s="140">
        <f ca="1">IF(ISNUMBER(MATCH(DATEVALUE($A205),'recurring1_based on steps'!AO$1:AO$400,0)),AO$2,)</f>
        <v>0</v>
      </c>
      <c r="AP205" s="140">
        <f ca="1">IF(ISNUMBER(MATCH(DATEVALUE($A205),'recurring1_based on steps'!AP$1:AP$400,0)),AP$2,)</f>
        <v>0</v>
      </c>
      <c r="AQ205" s="140">
        <f ca="1">IF(ISNUMBER(MATCH(DATEVALUE($A205),'recurring1_based on steps'!AQ$1:AQ$400,0)),AQ$2,)</f>
        <v>0</v>
      </c>
      <c r="AR205" s="140">
        <f ca="1">IF(ISNUMBER(MATCH(DATEVALUE($A205),'recurring1_based on steps'!AR$1:AR$400,0)),AR$2,)</f>
        <v>0</v>
      </c>
      <c r="AS205" s="140">
        <f ca="1">IF(ISNUMBER(MATCH(DATEVALUE($A205),'recurring1_based on steps'!AS$1:AS$400,0)),AS$2,)</f>
        <v>0</v>
      </c>
      <c r="AT205" s="140">
        <f ca="1">IF(ISNUMBER(MATCH(DATEVALUE($A205),'recurring1_based on steps'!AT$1:AT$400,0)),AT$2,)</f>
        <v>0</v>
      </c>
      <c r="AU205" s="140">
        <f ca="1">IF(ISNUMBER(MATCH(DATEVALUE($A205),'recurring1_based on steps'!AU$1:AU$400,0)),AU$2,)</f>
        <v>0</v>
      </c>
      <c r="AV205" s="140">
        <f ca="1">IF(ISNUMBER(MATCH(DATEVALUE($A205),'recurring1_based on steps'!AV$1:AV$400,0)),AV$2,)</f>
        <v>0</v>
      </c>
      <c r="AW205" s="140">
        <f ca="1">IF(ISNUMBER(MATCH(DATEVALUE($A205),'recurring1_based on steps'!AW$1:AW$400,0)),AW$2,)</f>
        <v>0</v>
      </c>
      <c r="AX205" s="140">
        <f ca="1">IF(ISNUMBER(MATCH(DATEVALUE($A205),'recurring1_based on steps'!AX$1:AX$400,0)),AX$2,)</f>
        <v>0</v>
      </c>
      <c r="AY205" s="140">
        <f ca="1">IF(ISNUMBER(MATCH(DATEVALUE($A205),'recurring1_based on steps'!AY$1:AY$400,0)),AY$2,)</f>
        <v>0</v>
      </c>
    </row>
    <row r="206" spans="1:51" x14ac:dyDescent="0.2">
      <c r="A206" s="29" t="str">
        <f t="shared" ca="1" si="3"/>
        <v>2025-10-16</v>
      </c>
      <c r="B206" s="140">
        <f ca="1">IF(ISNUMBER(MATCH(DATEVALUE($A206),'recurring1_based on steps'!B$1:B$400,0)),B$2,)</f>
        <v>0</v>
      </c>
      <c r="C206" s="140">
        <f ca="1">IF(ISNUMBER(MATCH(DATEVALUE($A206),'recurring1_based on steps'!C$1:C$400,0)),C$2,)</f>
        <v>0</v>
      </c>
      <c r="D206" s="140">
        <f ca="1">IF(ISNUMBER(MATCH(DATEVALUE($A206),'recurring1_based on steps'!D$1:D$400,0)),D$2,)</f>
        <v>0</v>
      </c>
      <c r="E206" s="140">
        <f ca="1">IF(ISNUMBER(MATCH(DATEVALUE($A206),'recurring1_based on steps'!E$1:E$400,0)),E$2,)</f>
        <v>0</v>
      </c>
      <c r="F206" s="140">
        <f ca="1">IF(ISNUMBER(MATCH(DATEVALUE($A206),'recurring1_based on steps'!F$1:F$400,0)),F$2,)</f>
        <v>0</v>
      </c>
      <c r="G206" s="140">
        <f ca="1">IF(ISNUMBER(MATCH(DATEVALUE($A206),'recurring1_based on steps'!G$1:G$400,0)),G$2,)</f>
        <v>0</v>
      </c>
      <c r="H206" s="140">
        <f ca="1">IF(ISNUMBER(MATCH(DATEVALUE($A206),'recurring1_based on steps'!H$1:H$400,0)),H$2,)</f>
        <v>0</v>
      </c>
      <c r="I206" s="140">
        <f ca="1">IF(ISNUMBER(MATCH(DATEVALUE($A206),'recurring1_based on steps'!I$1:I$400,0)),I$2,)</f>
        <v>0</v>
      </c>
      <c r="J206" s="140">
        <f ca="1">IF(ISNUMBER(MATCH(DATEVALUE($A206),'recurring1_based on steps'!J$1:J$400,0)),J$2,)</f>
        <v>0</v>
      </c>
      <c r="K206" s="140">
        <f ca="1">IF(ISNUMBER(MATCH(DATEVALUE($A206),'recurring1_based on steps'!K$1:K$400,0)),K$2,)</f>
        <v>0</v>
      </c>
      <c r="L206" s="140">
        <f ca="1">IF(ISNUMBER(MATCH(DATEVALUE($A206),'recurring1_based on steps'!L$1:L$400,0)),L$2,)</f>
        <v>0</v>
      </c>
      <c r="M206" s="140">
        <f ca="1">IF(ISNUMBER(MATCH(DATEVALUE($A206),'recurring1_based on steps'!M$1:M$400,0)),M$2,)</f>
        <v>0</v>
      </c>
      <c r="N206" s="140">
        <f ca="1">IF(ISNUMBER(MATCH(DATEVALUE($A206),'recurring1_based on steps'!N$1:N$400,0)),N$2,)</f>
        <v>0</v>
      </c>
      <c r="O206" s="140">
        <f ca="1">IF(ISNUMBER(MATCH(DATEVALUE($A206),'recurring1_based on steps'!O$1:O$400,0)),O$2,)</f>
        <v>0</v>
      </c>
      <c r="P206" s="140">
        <f ca="1">IF(ISNUMBER(MATCH(DATEVALUE($A206),'recurring1_based on steps'!P$1:P$400,0)),P$2,)</f>
        <v>0</v>
      </c>
      <c r="Q206" s="140">
        <f ca="1">IF(ISNUMBER(MATCH(DATEVALUE($A206),'recurring1_based on steps'!Q$1:Q$400,0)),Q$2,)</f>
        <v>0</v>
      </c>
      <c r="R206" s="140">
        <f ca="1">IF(ISNUMBER(MATCH(DATEVALUE($A206),'recurring1_based on steps'!R$1:R$400,0)),R$2,)</f>
        <v>0</v>
      </c>
      <c r="S206" s="140">
        <f ca="1">IF(ISNUMBER(MATCH(DATEVALUE($A206),'recurring1_based on steps'!S$1:S$400,0)),S$2,)</f>
        <v>0</v>
      </c>
      <c r="T206" s="140">
        <f ca="1">IF(ISNUMBER(MATCH(DATEVALUE($A206),'recurring1_based on steps'!T$1:T$400,0)),T$2,)</f>
        <v>0</v>
      </c>
      <c r="U206" s="140">
        <f ca="1">IF(ISNUMBER(MATCH(DATEVALUE($A206),'recurring1_based on steps'!U$1:U$400,0)),U$2,)</f>
        <v>0</v>
      </c>
      <c r="V206" s="140">
        <f ca="1">IF(ISNUMBER(MATCH(DATEVALUE($A206),'recurring1_based on steps'!V$1:V$400,0)),V$2,)</f>
        <v>0</v>
      </c>
      <c r="W206" s="140">
        <f ca="1">IF(ISNUMBER(MATCH(DATEVALUE($A206),'recurring1_based on steps'!W$1:W$400,0)),W$2,)</f>
        <v>0</v>
      </c>
      <c r="X206" s="140">
        <f ca="1">IF(ISNUMBER(MATCH(DATEVALUE($A206),'recurring1_based on steps'!X$1:X$400,0)),X$2,)</f>
        <v>0</v>
      </c>
      <c r="Y206" s="140">
        <f ca="1">IF(ISNUMBER(MATCH(DATEVALUE($A206),'recurring1_based on steps'!Y$1:Y$400,0)),Y$2,)</f>
        <v>0</v>
      </c>
      <c r="Z206" s="140">
        <f ca="1">IF(ISNUMBER(MATCH(DATEVALUE($A206),'recurring1_based on steps'!Z$1:Z$400,0)),Z$2,)</f>
        <v>0</v>
      </c>
      <c r="AA206" s="140">
        <f ca="1">IF(ISNUMBER(MATCH(DATEVALUE($A206),'recurring1_based on steps'!AA$1:AA$400,0)),AA$2,)</f>
        <v>0</v>
      </c>
      <c r="AB206" s="140">
        <f ca="1">IF(ISNUMBER(MATCH(DATEVALUE($A206),'recurring1_based on steps'!AB$1:AB$400,0)),AB$2,)</f>
        <v>5.5401662049861494E-2</v>
      </c>
      <c r="AC206" s="140">
        <f ca="1">IF(ISNUMBER(MATCH(DATEVALUE($A206),'recurring1_based on steps'!AC$1:AC$400,0)),AC$2,)</f>
        <v>0</v>
      </c>
      <c r="AD206" s="140">
        <f ca="1">IF(ISNUMBER(MATCH(DATEVALUE($A206),'recurring1_based on steps'!AD$1:AD$400,0)),AD$2,)</f>
        <v>0</v>
      </c>
      <c r="AE206" s="140">
        <f ca="1">IF(ISNUMBER(MATCH(DATEVALUE($A206),'recurring1_based on steps'!AE$1:AE$400,0)),AE$2,)</f>
        <v>0</v>
      </c>
      <c r="AF206" s="140">
        <f ca="1">IF(ISNUMBER(MATCH(DATEVALUE($A206),'recurring1_based on steps'!AF$1:AF$400,0)),AF$2,)</f>
        <v>0</v>
      </c>
      <c r="AG206" s="140">
        <f ca="1">IF(ISNUMBER(MATCH(DATEVALUE($A206),'recurring1_based on steps'!AG$1:AG$400,0)),AG$2,)</f>
        <v>0</v>
      </c>
      <c r="AH206" s="140">
        <f ca="1">IF(ISNUMBER(MATCH(DATEVALUE($A206),'recurring1_based on steps'!AH$1:AH$400,0)),AH$2,)</f>
        <v>0</v>
      </c>
      <c r="AI206" s="140">
        <f ca="1">IF(ISNUMBER(MATCH(DATEVALUE($A206),'recurring1_based on steps'!AI$1:AI$400,0)),AI$2,)</f>
        <v>0</v>
      </c>
      <c r="AJ206" s="140">
        <f ca="1">IF(ISNUMBER(MATCH(DATEVALUE($A206),'recurring1_based on steps'!AJ$1:AJ$400,0)),AJ$2,)</f>
        <v>0</v>
      </c>
      <c r="AK206" s="140">
        <f ca="1">IF(ISNUMBER(MATCH(DATEVALUE($A206),'recurring1_based on steps'!AK$1:AK$400,0)),AK$2,)</f>
        <v>0</v>
      </c>
      <c r="AL206" s="140">
        <f ca="1">IF(ISNUMBER(MATCH(DATEVALUE($A206),'recurring1_based on steps'!AL$1:AL$400,0)),AL$2,)</f>
        <v>0</v>
      </c>
      <c r="AM206" s="140">
        <f ca="1">IF(ISNUMBER(MATCH(DATEVALUE($A206),'recurring1_based on steps'!AM$1:AM$400,0)),AM$2,)</f>
        <v>0</v>
      </c>
      <c r="AN206" s="140">
        <f ca="1">IF(ISNUMBER(MATCH(DATEVALUE($A206),'recurring1_based on steps'!AN$1:AN$400,0)),AN$2,)</f>
        <v>0</v>
      </c>
      <c r="AO206" s="140">
        <f ca="1">IF(ISNUMBER(MATCH(DATEVALUE($A206),'recurring1_based on steps'!AO$1:AO$400,0)),AO$2,)</f>
        <v>0</v>
      </c>
      <c r="AP206" s="140">
        <f ca="1">IF(ISNUMBER(MATCH(DATEVALUE($A206),'recurring1_based on steps'!AP$1:AP$400,0)),AP$2,)</f>
        <v>0</v>
      </c>
      <c r="AQ206" s="140">
        <f ca="1">IF(ISNUMBER(MATCH(DATEVALUE($A206),'recurring1_based on steps'!AQ$1:AQ$400,0)),AQ$2,)</f>
        <v>0</v>
      </c>
      <c r="AR206" s="140">
        <f ca="1">IF(ISNUMBER(MATCH(DATEVALUE($A206),'recurring1_based on steps'!AR$1:AR$400,0)),AR$2,)</f>
        <v>0</v>
      </c>
      <c r="AS206" s="140">
        <f ca="1">IF(ISNUMBER(MATCH(DATEVALUE($A206),'recurring1_based on steps'!AS$1:AS$400,0)),AS$2,)</f>
        <v>0</v>
      </c>
      <c r="AT206" s="140">
        <f ca="1">IF(ISNUMBER(MATCH(DATEVALUE($A206),'recurring1_based on steps'!AT$1:AT$400,0)),AT$2,)</f>
        <v>0</v>
      </c>
      <c r="AU206" s="140">
        <f ca="1">IF(ISNUMBER(MATCH(DATEVALUE($A206),'recurring1_based on steps'!AU$1:AU$400,0)),AU$2,)</f>
        <v>0</v>
      </c>
      <c r="AV206" s="140">
        <f ca="1">IF(ISNUMBER(MATCH(DATEVALUE($A206),'recurring1_based on steps'!AV$1:AV$400,0)),AV$2,)</f>
        <v>0</v>
      </c>
      <c r="AW206" s="140">
        <f ca="1">IF(ISNUMBER(MATCH(DATEVALUE($A206),'recurring1_based on steps'!AW$1:AW$400,0)),AW$2,)</f>
        <v>0</v>
      </c>
      <c r="AX206" s="140">
        <f ca="1">IF(ISNUMBER(MATCH(DATEVALUE($A206),'recurring1_based on steps'!AX$1:AX$400,0)),AX$2,)</f>
        <v>0</v>
      </c>
      <c r="AY206" s="140">
        <f ca="1">IF(ISNUMBER(MATCH(DATEVALUE($A206),'recurring1_based on steps'!AY$1:AY$400,0)),AY$2,)</f>
        <v>0</v>
      </c>
    </row>
    <row r="207" spans="1:51" x14ac:dyDescent="0.2">
      <c r="A207" s="29" t="str">
        <f t="shared" ca="1" si="3"/>
        <v>2025-10-17</v>
      </c>
      <c r="B207" s="140">
        <f ca="1">IF(ISNUMBER(MATCH(DATEVALUE($A207),'recurring1_based on steps'!B$1:B$400,0)),B$2,)</f>
        <v>4000</v>
      </c>
      <c r="C207" s="140">
        <f ca="1">IF(ISNUMBER(MATCH(DATEVALUE($A207),'recurring1_based on steps'!C$1:C$400,0)),C$2,)</f>
        <v>200</v>
      </c>
      <c r="D207" s="140">
        <f ca="1">IF(ISNUMBER(MATCH(DATEVALUE($A207),'recurring1_based on steps'!D$1:D$400,0)),D$2,)</f>
        <v>2</v>
      </c>
      <c r="E207" s="140">
        <f ca="1">IF(ISNUMBER(MATCH(DATEVALUE($A207),'recurring1_based on steps'!E$1:E$400,0)),E$2,)</f>
        <v>40</v>
      </c>
      <c r="F207" s="140">
        <f ca="1">IF(ISNUMBER(MATCH(DATEVALUE($A207),'recurring1_based on steps'!F$1:F$400,0)),F$2,)</f>
        <v>50</v>
      </c>
      <c r="G207" s="140">
        <f ca="1">IF(ISNUMBER(MATCH(DATEVALUE($A207),'recurring1_based on steps'!G$1:G$400,0)),G$2,)</f>
        <v>4</v>
      </c>
      <c r="H207" s="140">
        <f ca="1">IF(ISNUMBER(MATCH(DATEVALUE($A207),'recurring1_based on steps'!H$1:H$400,0)),H$2,)</f>
        <v>0</v>
      </c>
      <c r="I207" s="140">
        <f ca="1">IF(ISNUMBER(MATCH(DATEVALUE($A207),'recurring1_based on steps'!I$1:I$400,0)),I$2,)</f>
        <v>0</v>
      </c>
      <c r="J207" s="140">
        <f ca="1">IF(ISNUMBER(MATCH(DATEVALUE($A207),'recurring1_based on steps'!J$1:J$400,0)),J$2,)</f>
        <v>0</v>
      </c>
      <c r="K207" s="140">
        <f ca="1">IF(ISNUMBER(MATCH(DATEVALUE($A207),'recurring1_based on steps'!K$1:K$400,0)),K$2,)</f>
        <v>0</v>
      </c>
      <c r="L207" s="140">
        <f ca="1">IF(ISNUMBER(MATCH(DATEVALUE($A207),'recurring1_based on steps'!L$1:L$400,0)),L$2,)</f>
        <v>0</v>
      </c>
      <c r="M207" s="140">
        <f ca="1">IF(ISNUMBER(MATCH(DATEVALUE($A207),'recurring1_based on steps'!M$1:M$400,0)),M$2,)</f>
        <v>0</v>
      </c>
      <c r="N207" s="140">
        <f ca="1">IF(ISNUMBER(MATCH(DATEVALUE($A207),'recurring1_based on steps'!N$1:N$400,0)),N$2,)</f>
        <v>15.49</v>
      </c>
      <c r="O207" s="140">
        <f ca="1">IF(ISNUMBER(MATCH(DATEVALUE($A207),'recurring1_based on steps'!O$1:O$400,0)),O$2,)</f>
        <v>0</v>
      </c>
      <c r="P207" s="140">
        <f ca="1">IF(ISNUMBER(MATCH(DATEVALUE($A207),'recurring1_based on steps'!P$1:P$400,0)),P$2,)</f>
        <v>0</v>
      </c>
      <c r="Q207" s="140">
        <f ca="1">IF(ISNUMBER(MATCH(DATEVALUE($A207),'recurring1_based on steps'!Q$1:Q$400,0)),Q$2,)</f>
        <v>0</v>
      </c>
      <c r="R207" s="140">
        <f ca="1">IF(ISNUMBER(MATCH(DATEVALUE($A207),'recurring1_based on steps'!R$1:R$400,0)),R$2,)</f>
        <v>0</v>
      </c>
      <c r="S207" s="140">
        <f ca="1">IF(ISNUMBER(MATCH(DATEVALUE($A207),'recurring1_based on steps'!S$1:S$400,0)),S$2,)</f>
        <v>0</v>
      </c>
      <c r="T207" s="140">
        <f ca="1">IF(ISNUMBER(MATCH(DATEVALUE($A207),'recurring1_based on steps'!T$1:T$400,0)),T$2,)</f>
        <v>0</v>
      </c>
      <c r="U207" s="140">
        <f ca="1">IF(ISNUMBER(MATCH(DATEVALUE($A207),'recurring1_based on steps'!U$1:U$400,0)),U$2,)</f>
        <v>0</v>
      </c>
      <c r="V207" s="140">
        <f ca="1">IF(ISNUMBER(MATCH(DATEVALUE($A207),'recurring1_based on steps'!V$1:V$400,0)),V$2,)</f>
        <v>200</v>
      </c>
      <c r="W207" s="140">
        <f ca="1">IF(ISNUMBER(MATCH(DATEVALUE($A207),'recurring1_based on steps'!W$1:W$400,0)),W$2,)</f>
        <v>0</v>
      </c>
      <c r="X207" s="140">
        <f ca="1">IF(ISNUMBER(MATCH(DATEVALUE($A207),'recurring1_based on steps'!X$1:X$400,0)),X$2,)</f>
        <v>50</v>
      </c>
      <c r="Y207" s="140">
        <f ca="1">IF(ISNUMBER(MATCH(DATEVALUE($A207),'recurring1_based on steps'!Y$1:Y$400,0)),Y$2,)</f>
        <v>50</v>
      </c>
      <c r="Z207" s="140">
        <f ca="1">IF(ISNUMBER(MATCH(DATEVALUE($A207),'recurring1_based on steps'!Z$1:Z$400,0)),Z$2,)</f>
        <v>0</v>
      </c>
      <c r="AA207" s="140">
        <f ca="1">IF(ISNUMBER(MATCH(DATEVALUE($A207),'recurring1_based on steps'!AA$1:AA$400,0)),AA$2,)</f>
        <v>0</v>
      </c>
      <c r="AB207" s="140">
        <f ca="1">IF(ISNUMBER(MATCH(DATEVALUE($A207),'recurring1_based on steps'!AB$1:AB$400,0)),AB$2,)</f>
        <v>5.5401662049861494E-2</v>
      </c>
      <c r="AC207" s="140">
        <f ca="1">IF(ISNUMBER(MATCH(DATEVALUE($A207),'recurring1_based on steps'!AC$1:AC$400,0)),AC$2,)</f>
        <v>0</v>
      </c>
      <c r="AD207" s="140">
        <f ca="1">IF(ISNUMBER(MATCH(DATEVALUE($A207),'recurring1_based on steps'!AD$1:AD$400,0)),AD$2,)</f>
        <v>0</v>
      </c>
      <c r="AE207" s="140">
        <f ca="1">IF(ISNUMBER(MATCH(DATEVALUE($A207),'recurring1_based on steps'!AE$1:AE$400,0)),AE$2,)</f>
        <v>0</v>
      </c>
      <c r="AF207" s="140">
        <f ca="1">IF(ISNUMBER(MATCH(DATEVALUE($A207),'recurring1_based on steps'!AF$1:AF$400,0)),AF$2,)</f>
        <v>0</v>
      </c>
      <c r="AG207" s="140">
        <f ca="1">IF(ISNUMBER(MATCH(DATEVALUE($A207),'recurring1_based on steps'!AG$1:AG$400,0)),AG$2,)</f>
        <v>0</v>
      </c>
      <c r="AH207" s="140">
        <f ca="1">IF(ISNUMBER(MATCH(DATEVALUE($A207),'recurring1_based on steps'!AH$1:AH$400,0)),AH$2,)</f>
        <v>0</v>
      </c>
      <c r="AI207" s="140">
        <f ca="1">IF(ISNUMBER(MATCH(DATEVALUE($A207),'recurring1_based on steps'!AI$1:AI$400,0)),AI$2,)</f>
        <v>0</v>
      </c>
      <c r="AJ207" s="140">
        <f ca="1">IF(ISNUMBER(MATCH(DATEVALUE($A207),'recurring1_based on steps'!AJ$1:AJ$400,0)),AJ$2,)</f>
        <v>0</v>
      </c>
      <c r="AK207" s="140">
        <f ca="1">IF(ISNUMBER(MATCH(DATEVALUE($A207),'recurring1_based on steps'!AK$1:AK$400,0)),AK$2,)</f>
        <v>0</v>
      </c>
      <c r="AL207" s="140">
        <f ca="1">IF(ISNUMBER(MATCH(DATEVALUE($A207),'recurring1_based on steps'!AL$1:AL$400,0)),AL$2,)</f>
        <v>0</v>
      </c>
      <c r="AM207" s="140">
        <f ca="1">IF(ISNUMBER(MATCH(DATEVALUE($A207),'recurring1_based on steps'!AM$1:AM$400,0)),AM$2,)</f>
        <v>0</v>
      </c>
      <c r="AN207" s="140">
        <f ca="1">IF(ISNUMBER(MATCH(DATEVALUE($A207),'recurring1_based on steps'!AN$1:AN$400,0)),AN$2,)</f>
        <v>0</v>
      </c>
      <c r="AO207" s="140">
        <f ca="1">IF(ISNUMBER(MATCH(DATEVALUE($A207),'recurring1_based on steps'!AO$1:AO$400,0)),AO$2,)</f>
        <v>0</v>
      </c>
      <c r="AP207" s="140">
        <f ca="1">IF(ISNUMBER(MATCH(DATEVALUE($A207),'recurring1_based on steps'!AP$1:AP$400,0)),AP$2,)</f>
        <v>0</v>
      </c>
      <c r="AQ207" s="140">
        <f ca="1">IF(ISNUMBER(MATCH(DATEVALUE($A207),'recurring1_based on steps'!AQ$1:AQ$400,0)),AQ$2,)</f>
        <v>0</v>
      </c>
      <c r="AR207" s="140">
        <f ca="1">IF(ISNUMBER(MATCH(DATEVALUE($A207),'recurring1_based on steps'!AR$1:AR$400,0)),AR$2,)</f>
        <v>0</v>
      </c>
      <c r="AS207" s="140">
        <f ca="1">IF(ISNUMBER(MATCH(DATEVALUE($A207),'recurring1_based on steps'!AS$1:AS$400,0)),AS$2,)</f>
        <v>0</v>
      </c>
      <c r="AT207" s="140">
        <f ca="1">IF(ISNUMBER(MATCH(DATEVALUE($A207),'recurring1_based on steps'!AT$1:AT$400,0)),AT$2,)</f>
        <v>0</v>
      </c>
      <c r="AU207" s="140">
        <f ca="1">IF(ISNUMBER(MATCH(DATEVALUE($A207),'recurring1_based on steps'!AU$1:AU$400,0)),AU$2,)</f>
        <v>0</v>
      </c>
      <c r="AV207" s="140">
        <f ca="1">IF(ISNUMBER(MATCH(DATEVALUE($A207),'recurring1_based on steps'!AV$1:AV$400,0)),AV$2,)</f>
        <v>0</v>
      </c>
      <c r="AW207" s="140">
        <f ca="1">IF(ISNUMBER(MATCH(DATEVALUE($A207),'recurring1_based on steps'!AW$1:AW$400,0)),AW$2,)</f>
        <v>0</v>
      </c>
      <c r="AX207" s="140">
        <f ca="1">IF(ISNUMBER(MATCH(DATEVALUE($A207),'recurring1_based on steps'!AX$1:AX$400,0)),AX$2,)</f>
        <v>0</v>
      </c>
      <c r="AY207" s="140">
        <f ca="1">IF(ISNUMBER(MATCH(DATEVALUE($A207),'recurring1_based on steps'!AY$1:AY$400,0)),AY$2,)</f>
        <v>0</v>
      </c>
    </row>
    <row r="208" spans="1:51" x14ac:dyDescent="0.2">
      <c r="A208" s="29" t="str">
        <f t="shared" ca="1" si="3"/>
        <v>2025-10-18</v>
      </c>
      <c r="B208" s="140">
        <f ca="1">IF(ISNUMBER(MATCH(DATEVALUE($A208),'recurring1_based on steps'!B$1:B$400,0)),B$2,)</f>
        <v>0</v>
      </c>
      <c r="C208" s="140">
        <f ca="1">IF(ISNUMBER(MATCH(DATEVALUE($A208),'recurring1_based on steps'!C$1:C$400,0)),C$2,)</f>
        <v>0</v>
      </c>
      <c r="D208" s="140">
        <f ca="1">IF(ISNUMBER(MATCH(DATEVALUE($A208),'recurring1_based on steps'!D$1:D$400,0)),D$2,)</f>
        <v>0</v>
      </c>
      <c r="E208" s="140">
        <f ca="1">IF(ISNUMBER(MATCH(DATEVALUE($A208),'recurring1_based on steps'!E$1:E$400,0)),E$2,)</f>
        <v>0</v>
      </c>
      <c r="F208" s="140">
        <f ca="1">IF(ISNUMBER(MATCH(DATEVALUE($A208),'recurring1_based on steps'!F$1:F$400,0)),F$2,)</f>
        <v>0</v>
      </c>
      <c r="G208" s="140">
        <f ca="1">IF(ISNUMBER(MATCH(DATEVALUE($A208),'recurring1_based on steps'!G$1:G$400,0)),G$2,)</f>
        <v>0</v>
      </c>
      <c r="H208" s="140">
        <f ca="1">IF(ISNUMBER(MATCH(DATEVALUE($A208),'recurring1_based on steps'!H$1:H$400,0)),H$2,)</f>
        <v>0</v>
      </c>
      <c r="I208" s="140">
        <f ca="1">IF(ISNUMBER(MATCH(DATEVALUE($A208),'recurring1_based on steps'!I$1:I$400,0)),I$2,)</f>
        <v>0</v>
      </c>
      <c r="J208" s="140">
        <f ca="1">IF(ISNUMBER(MATCH(DATEVALUE($A208),'recurring1_based on steps'!J$1:J$400,0)),J$2,)</f>
        <v>0</v>
      </c>
      <c r="K208" s="140">
        <f ca="1">IF(ISNUMBER(MATCH(DATEVALUE($A208),'recurring1_based on steps'!K$1:K$400,0)),K$2,)</f>
        <v>0</v>
      </c>
      <c r="L208" s="140">
        <f ca="1">IF(ISNUMBER(MATCH(DATEVALUE($A208),'recurring1_based on steps'!L$1:L$400,0)),L$2,)</f>
        <v>0</v>
      </c>
      <c r="M208" s="140">
        <f ca="1">IF(ISNUMBER(MATCH(DATEVALUE($A208),'recurring1_based on steps'!M$1:M$400,0)),M$2,)</f>
        <v>0</v>
      </c>
      <c r="N208" s="140">
        <f ca="1">IF(ISNUMBER(MATCH(DATEVALUE($A208),'recurring1_based on steps'!N$1:N$400,0)),N$2,)</f>
        <v>0</v>
      </c>
      <c r="O208" s="140">
        <f ca="1">IF(ISNUMBER(MATCH(DATEVALUE($A208),'recurring1_based on steps'!O$1:O$400,0)),O$2,)</f>
        <v>10.99</v>
      </c>
      <c r="P208" s="140">
        <f ca="1">IF(ISNUMBER(MATCH(DATEVALUE($A208),'recurring1_based on steps'!P$1:P$400,0)),P$2,)</f>
        <v>0</v>
      </c>
      <c r="Q208" s="140">
        <f ca="1">IF(ISNUMBER(MATCH(DATEVALUE($A208),'recurring1_based on steps'!Q$1:Q$400,0)),Q$2,)</f>
        <v>100</v>
      </c>
      <c r="R208" s="140">
        <f ca="1">IF(ISNUMBER(MATCH(DATEVALUE($A208),'recurring1_based on steps'!R$1:R$400,0)),R$2,)</f>
        <v>100</v>
      </c>
      <c r="S208" s="140">
        <f ca="1">IF(ISNUMBER(MATCH(DATEVALUE($A208),'recurring1_based on steps'!S$1:S$400,0)),S$2,)</f>
        <v>0</v>
      </c>
      <c r="T208" s="140">
        <f ca="1">IF(ISNUMBER(MATCH(DATEVALUE($A208),'recurring1_based on steps'!T$1:T$400,0)),T$2,)</f>
        <v>0</v>
      </c>
      <c r="U208" s="140">
        <f ca="1">IF(ISNUMBER(MATCH(DATEVALUE($A208),'recurring1_based on steps'!U$1:U$400,0)),U$2,)</f>
        <v>0</v>
      </c>
      <c r="V208" s="140">
        <f ca="1">IF(ISNUMBER(MATCH(DATEVALUE($A208),'recurring1_based on steps'!V$1:V$400,0)),V$2,)</f>
        <v>0</v>
      </c>
      <c r="W208" s="140">
        <f ca="1">IF(ISNUMBER(MATCH(DATEVALUE($A208),'recurring1_based on steps'!W$1:W$400,0)),W$2,)</f>
        <v>0</v>
      </c>
      <c r="X208" s="140">
        <f ca="1">IF(ISNUMBER(MATCH(DATEVALUE($A208),'recurring1_based on steps'!X$1:X$400,0)),X$2,)</f>
        <v>0</v>
      </c>
      <c r="Y208" s="140">
        <f ca="1">IF(ISNUMBER(MATCH(DATEVALUE($A208),'recurring1_based on steps'!Y$1:Y$400,0)),Y$2,)</f>
        <v>0</v>
      </c>
      <c r="Z208" s="140">
        <f ca="1">IF(ISNUMBER(MATCH(DATEVALUE($A208),'recurring1_based on steps'!Z$1:Z$400,0)),Z$2,)</f>
        <v>0</v>
      </c>
      <c r="AA208" s="140">
        <f ca="1">IF(ISNUMBER(MATCH(DATEVALUE($A208),'recurring1_based on steps'!AA$1:AA$400,0)),AA$2,)</f>
        <v>0</v>
      </c>
      <c r="AB208" s="140">
        <f ca="1">IF(ISNUMBER(MATCH(DATEVALUE($A208),'recurring1_based on steps'!AB$1:AB$400,0)),AB$2,)</f>
        <v>5.5401662049861494E-2</v>
      </c>
      <c r="AC208" s="140">
        <f ca="1">IF(ISNUMBER(MATCH(DATEVALUE($A208),'recurring1_based on steps'!AC$1:AC$400,0)),AC$2,)</f>
        <v>0</v>
      </c>
      <c r="AD208" s="140">
        <f ca="1">IF(ISNUMBER(MATCH(DATEVALUE($A208),'recurring1_based on steps'!AD$1:AD$400,0)),AD$2,)</f>
        <v>0</v>
      </c>
      <c r="AE208" s="140">
        <f ca="1">IF(ISNUMBER(MATCH(DATEVALUE($A208),'recurring1_based on steps'!AE$1:AE$400,0)),AE$2,)</f>
        <v>0</v>
      </c>
      <c r="AF208" s="140">
        <f ca="1">IF(ISNUMBER(MATCH(DATEVALUE($A208),'recurring1_based on steps'!AF$1:AF$400,0)),AF$2,)</f>
        <v>0</v>
      </c>
      <c r="AG208" s="140">
        <f ca="1">IF(ISNUMBER(MATCH(DATEVALUE($A208),'recurring1_based on steps'!AG$1:AG$400,0)),AG$2,)</f>
        <v>0</v>
      </c>
      <c r="AH208" s="140">
        <f ca="1">IF(ISNUMBER(MATCH(DATEVALUE($A208),'recurring1_based on steps'!AH$1:AH$400,0)),AH$2,)</f>
        <v>0</v>
      </c>
      <c r="AI208" s="140">
        <f ca="1">IF(ISNUMBER(MATCH(DATEVALUE($A208),'recurring1_based on steps'!AI$1:AI$400,0)),AI$2,)</f>
        <v>0</v>
      </c>
      <c r="AJ208" s="140">
        <f ca="1">IF(ISNUMBER(MATCH(DATEVALUE($A208),'recurring1_based on steps'!AJ$1:AJ$400,0)),AJ$2,)</f>
        <v>0</v>
      </c>
      <c r="AK208" s="140">
        <f ca="1">IF(ISNUMBER(MATCH(DATEVALUE($A208),'recurring1_based on steps'!AK$1:AK$400,0)),AK$2,)</f>
        <v>0</v>
      </c>
      <c r="AL208" s="140">
        <f ca="1">IF(ISNUMBER(MATCH(DATEVALUE($A208),'recurring1_based on steps'!AL$1:AL$400,0)),AL$2,)</f>
        <v>0</v>
      </c>
      <c r="AM208" s="140">
        <f ca="1">IF(ISNUMBER(MATCH(DATEVALUE($A208),'recurring1_based on steps'!AM$1:AM$400,0)),AM$2,)</f>
        <v>0</v>
      </c>
      <c r="AN208" s="140">
        <f ca="1">IF(ISNUMBER(MATCH(DATEVALUE($A208),'recurring1_based on steps'!AN$1:AN$400,0)),AN$2,)</f>
        <v>0</v>
      </c>
      <c r="AO208" s="140">
        <f ca="1">IF(ISNUMBER(MATCH(DATEVALUE($A208),'recurring1_based on steps'!AO$1:AO$400,0)),AO$2,)</f>
        <v>0</v>
      </c>
      <c r="AP208" s="140">
        <f ca="1">IF(ISNUMBER(MATCH(DATEVALUE($A208),'recurring1_based on steps'!AP$1:AP$400,0)),AP$2,)</f>
        <v>0</v>
      </c>
      <c r="AQ208" s="140">
        <f ca="1">IF(ISNUMBER(MATCH(DATEVALUE($A208),'recurring1_based on steps'!AQ$1:AQ$400,0)),AQ$2,)</f>
        <v>0</v>
      </c>
      <c r="AR208" s="140">
        <f ca="1">IF(ISNUMBER(MATCH(DATEVALUE($A208),'recurring1_based on steps'!AR$1:AR$400,0)),AR$2,)</f>
        <v>0</v>
      </c>
      <c r="AS208" s="140">
        <f ca="1">IF(ISNUMBER(MATCH(DATEVALUE($A208),'recurring1_based on steps'!AS$1:AS$400,0)),AS$2,)</f>
        <v>0</v>
      </c>
      <c r="AT208" s="140">
        <f ca="1">IF(ISNUMBER(MATCH(DATEVALUE($A208),'recurring1_based on steps'!AT$1:AT$400,0)),AT$2,)</f>
        <v>0</v>
      </c>
      <c r="AU208" s="140">
        <f ca="1">IF(ISNUMBER(MATCH(DATEVALUE($A208),'recurring1_based on steps'!AU$1:AU$400,0)),AU$2,)</f>
        <v>0</v>
      </c>
      <c r="AV208" s="140">
        <f ca="1">IF(ISNUMBER(MATCH(DATEVALUE($A208),'recurring1_based on steps'!AV$1:AV$400,0)),AV$2,)</f>
        <v>0</v>
      </c>
      <c r="AW208" s="140">
        <f ca="1">IF(ISNUMBER(MATCH(DATEVALUE($A208),'recurring1_based on steps'!AW$1:AW$400,0)),AW$2,)</f>
        <v>0</v>
      </c>
      <c r="AX208" s="140">
        <f ca="1">IF(ISNUMBER(MATCH(DATEVALUE($A208),'recurring1_based on steps'!AX$1:AX$400,0)),AX$2,)</f>
        <v>0</v>
      </c>
      <c r="AY208" s="140">
        <f ca="1">IF(ISNUMBER(MATCH(DATEVALUE($A208),'recurring1_based on steps'!AY$1:AY$400,0)),AY$2,)</f>
        <v>0</v>
      </c>
    </row>
    <row r="209" spans="1:51" x14ac:dyDescent="0.2">
      <c r="A209" s="29" t="str">
        <f t="shared" ca="1" si="3"/>
        <v>2025-10-19</v>
      </c>
      <c r="B209" s="140">
        <f ca="1">IF(ISNUMBER(MATCH(DATEVALUE($A209),'recurring1_based on steps'!B$1:B$400,0)),B$2,)</f>
        <v>0</v>
      </c>
      <c r="C209" s="140">
        <f ca="1">IF(ISNUMBER(MATCH(DATEVALUE($A209),'recurring1_based on steps'!C$1:C$400,0)),C$2,)</f>
        <v>0</v>
      </c>
      <c r="D209" s="140">
        <f ca="1">IF(ISNUMBER(MATCH(DATEVALUE($A209),'recurring1_based on steps'!D$1:D$400,0)),D$2,)</f>
        <v>0</v>
      </c>
      <c r="E209" s="140">
        <f ca="1">IF(ISNUMBER(MATCH(DATEVALUE($A209),'recurring1_based on steps'!E$1:E$400,0)),E$2,)</f>
        <v>0</v>
      </c>
      <c r="F209" s="140">
        <f ca="1">IF(ISNUMBER(MATCH(DATEVALUE($A209),'recurring1_based on steps'!F$1:F$400,0)),F$2,)</f>
        <v>0</v>
      </c>
      <c r="G209" s="140">
        <f ca="1">IF(ISNUMBER(MATCH(DATEVALUE($A209),'recurring1_based on steps'!G$1:G$400,0)),G$2,)</f>
        <v>0</v>
      </c>
      <c r="H209" s="140">
        <f ca="1">IF(ISNUMBER(MATCH(DATEVALUE($A209),'recurring1_based on steps'!H$1:H$400,0)),H$2,)</f>
        <v>0</v>
      </c>
      <c r="I209" s="140">
        <f ca="1">IF(ISNUMBER(MATCH(DATEVALUE($A209),'recurring1_based on steps'!I$1:I$400,0)),I$2,)</f>
        <v>0</v>
      </c>
      <c r="J209" s="140">
        <f ca="1">IF(ISNUMBER(MATCH(DATEVALUE($A209),'recurring1_based on steps'!J$1:J$400,0)),J$2,)</f>
        <v>0</v>
      </c>
      <c r="K209" s="140">
        <f ca="1">IF(ISNUMBER(MATCH(DATEVALUE($A209),'recurring1_based on steps'!K$1:K$400,0)),K$2,)</f>
        <v>50</v>
      </c>
      <c r="L209" s="140">
        <f ca="1">IF(ISNUMBER(MATCH(DATEVALUE($A209),'recurring1_based on steps'!L$1:L$400,0)),L$2,)</f>
        <v>0</v>
      </c>
      <c r="M209" s="140">
        <f ca="1">IF(ISNUMBER(MATCH(DATEVALUE($A209),'recurring1_based on steps'!M$1:M$400,0)),M$2,)</f>
        <v>0</v>
      </c>
      <c r="N209" s="140">
        <f ca="1">IF(ISNUMBER(MATCH(DATEVALUE($A209),'recurring1_based on steps'!N$1:N$400,0)),N$2,)</f>
        <v>0</v>
      </c>
      <c r="O209" s="140">
        <f ca="1">IF(ISNUMBER(MATCH(DATEVALUE($A209),'recurring1_based on steps'!O$1:O$400,0)),O$2,)</f>
        <v>0</v>
      </c>
      <c r="P209" s="140">
        <f ca="1">IF(ISNUMBER(MATCH(DATEVALUE($A209),'recurring1_based on steps'!P$1:P$400,0)),P$2,)</f>
        <v>0</v>
      </c>
      <c r="Q209" s="140">
        <f ca="1">IF(ISNUMBER(MATCH(DATEVALUE($A209),'recurring1_based on steps'!Q$1:Q$400,0)),Q$2,)</f>
        <v>0</v>
      </c>
      <c r="R209" s="140">
        <f ca="1">IF(ISNUMBER(MATCH(DATEVALUE($A209),'recurring1_based on steps'!R$1:R$400,0)),R$2,)</f>
        <v>0</v>
      </c>
      <c r="S209" s="140">
        <f ca="1">IF(ISNUMBER(MATCH(DATEVALUE($A209),'recurring1_based on steps'!S$1:S$400,0)),S$2,)</f>
        <v>100</v>
      </c>
      <c r="T209" s="140">
        <f ca="1">IF(ISNUMBER(MATCH(DATEVALUE($A209),'recurring1_based on steps'!T$1:T$400,0)),T$2,)</f>
        <v>0</v>
      </c>
      <c r="U209" s="140">
        <f ca="1">IF(ISNUMBER(MATCH(DATEVALUE($A209),'recurring1_based on steps'!U$1:U$400,0)),U$2,)</f>
        <v>0</v>
      </c>
      <c r="V209" s="140">
        <f ca="1">IF(ISNUMBER(MATCH(DATEVALUE($A209),'recurring1_based on steps'!V$1:V$400,0)),V$2,)</f>
        <v>0</v>
      </c>
      <c r="W209" s="140">
        <f ca="1">IF(ISNUMBER(MATCH(DATEVALUE($A209),'recurring1_based on steps'!W$1:W$400,0)),W$2,)</f>
        <v>0</v>
      </c>
      <c r="X209" s="140">
        <f ca="1">IF(ISNUMBER(MATCH(DATEVALUE($A209),'recurring1_based on steps'!X$1:X$400,0)),X$2,)</f>
        <v>0</v>
      </c>
      <c r="Y209" s="140">
        <f ca="1">IF(ISNUMBER(MATCH(DATEVALUE($A209),'recurring1_based on steps'!Y$1:Y$400,0)),Y$2,)</f>
        <v>0</v>
      </c>
      <c r="Z209" s="140">
        <f ca="1">IF(ISNUMBER(MATCH(DATEVALUE($A209),'recurring1_based on steps'!Z$1:Z$400,0)),Z$2,)</f>
        <v>0</v>
      </c>
      <c r="AA209" s="140">
        <f ca="1">IF(ISNUMBER(MATCH(DATEVALUE($A209),'recurring1_based on steps'!AA$1:AA$400,0)),AA$2,)</f>
        <v>0</v>
      </c>
      <c r="AB209" s="140">
        <f ca="1">IF(ISNUMBER(MATCH(DATEVALUE($A209),'recurring1_based on steps'!AB$1:AB$400,0)),AB$2,)</f>
        <v>5.5401662049861494E-2</v>
      </c>
      <c r="AC209" s="140">
        <f ca="1">IF(ISNUMBER(MATCH(DATEVALUE($A209),'recurring1_based on steps'!AC$1:AC$400,0)),AC$2,)</f>
        <v>0</v>
      </c>
      <c r="AD209" s="140">
        <f ca="1">IF(ISNUMBER(MATCH(DATEVALUE($A209),'recurring1_based on steps'!AD$1:AD$400,0)),AD$2,)</f>
        <v>0</v>
      </c>
      <c r="AE209" s="140">
        <f ca="1">IF(ISNUMBER(MATCH(DATEVALUE($A209),'recurring1_based on steps'!AE$1:AE$400,0)),AE$2,)</f>
        <v>0</v>
      </c>
      <c r="AF209" s="140">
        <f ca="1">IF(ISNUMBER(MATCH(DATEVALUE($A209),'recurring1_based on steps'!AF$1:AF$400,0)),AF$2,)</f>
        <v>0</v>
      </c>
      <c r="AG209" s="140">
        <f ca="1">IF(ISNUMBER(MATCH(DATEVALUE($A209),'recurring1_based on steps'!AG$1:AG$400,0)),AG$2,)</f>
        <v>0</v>
      </c>
      <c r="AH209" s="140">
        <f ca="1">IF(ISNUMBER(MATCH(DATEVALUE($A209),'recurring1_based on steps'!AH$1:AH$400,0)),AH$2,)</f>
        <v>0</v>
      </c>
      <c r="AI209" s="140">
        <f ca="1">IF(ISNUMBER(MATCH(DATEVALUE($A209),'recurring1_based on steps'!AI$1:AI$400,0)),AI$2,)</f>
        <v>0</v>
      </c>
      <c r="AJ209" s="140">
        <f ca="1">IF(ISNUMBER(MATCH(DATEVALUE($A209),'recurring1_based on steps'!AJ$1:AJ$400,0)),AJ$2,)</f>
        <v>0</v>
      </c>
      <c r="AK209" s="140">
        <f ca="1">IF(ISNUMBER(MATCH(DATEVALUE($A209),'recurring1_based on steps'!AK$1:AK$400,0)),AK$2,)</f>
        <v>0</v>
      </c>
      <c r="AL209" s="140">
        <f ca="1">IF(ISNUMBER(MATCH(DATEVALUE($A209),'recurring1_based on steps'!AL$1:AL$400,0)),AL$2,)</f>
        <v>0</v>
      </c>
      <c r="AM209" s="140">
        <f ca="1">IF(ISNUMBER(MATCH(DATEVALUE($A209),'recurring1_based on steps'!AM$1:AM$400,0)),AM$2,)</f>
        <v>0</v>
      </c>
      <c r="AN209" s="140">
        <f ca="1">IF(ISNUMBER(MATCH(DATEVALUE($A209),'recurring1_based on steps'!AN$1:AN$400,0)),AN$2,)</f>
        <v>0</v>
      </c>
      <c r="AO209" s="140">
        <f ca="1">IF(ISNUMBER(MATCH(DATEVALUE($A209),'recurring1_based on steps'!AO$1:AO$400,0)),AO$2,)</f>
        <v>0</v>
      </c>
      <c r="AP209" s="140">
        <f ca="1">IF(ISNUMBER(MATCH(DATEVALUE($A209),'recurring1_based on steps'!AP$1:AP$400,0)),AP$2,)</f>
        <v>0</v>
      </c>
      <c r="AQ209" s="140">
        <f ca="1">IF(ISNUMBER(MATCH(DATEVALUE($A209),'recurring1_based on steps'!AQ$1:AQ$400,0)),AQ$2,)</f>
        <v>0</v>
      </c>
      <c r="AR209" s="140">
        <f ca="1">IF(ISNUMBER(MATCH(DATEVALUE($A209),'recurring1_based on steps'!AR$1:AR$400,0)),AR$2,)</f>
        <v>0</v>
      </c>
      <c r="AS209" s="140">
        <f ca="1">IF(ISNUMBER(MATCH(DATEVALUE($A209),'recurring1_based on steps'!AS$1:AS$400,0)),AS$2,)</f>
        <v>0</v>
      </c>
      <c r="AT209" s="140">
        <f ca="1">IF(ISNUMBER(MATCH(DATEVALUE($A209),'recurring1_based on steps'!AT$1:AT$400,0)),AT$2,)</f>
        <v>0</v>
      </c>
      <c r="AU209" s="140">
        <f ca="1">IF(ISNUMBER(MATCH(DATEVALUE($A209),'recurring1_based on steps'!AU$1:AU$400,0)),AU$2,)</f>
        <v>0</v>
      </c>
      <c r="AV209" s="140">
        <f ca="1">IF(ISNUMBER(MATCH(DATEVALUE($A209),'recurring1_based on steps'!AV$1:AV$400,0)),AV$2,)</f>
        <v>0</v>
      </c>
      <c r="AW209" s="140">
        <f ca="1">IF(ISNUMBER(MATCH(DATEVALUE($A209),'recurring1_based on steps'!AW$1:AW$400,0)),AW$2,)</f>
        <v>0</v>
      </c>
      <c r="AX209" s="140">
        <f ca="1">IF(ISNUMBER(MATCH(DATEVALUE($A209),'recurring1_based on steps'!AX$1:AX$400,0)),AX$2,)</f>
        <v>0</v>
      </c>
      <c r="AY209" s="140">
        <f ca="1">IF(ISNUMBER(MATCH(DATEVALUE($A209),'recurring1_based on steps'!AY$1:AY$400,0)),AY$2,)</f>
        <v>0</v>
      </c>
    </row>
    <row r="210" spans="1:51" x14ac:dyDescent="0.2">
      <c r="A210" s="29" t="str">
        <f t="shared" ca="1" si="3"/>
        <v>2025-10-20</v>
      </c>
      <c r="B210" s="140">
        <f ca="1">IF(ISNUMBER(MATCH(DATEVALUE($A210),'recurring1_based on steps'!B$1:B$400,0)),B$2,)</f>
        <v>0</v>
      </c>
      <c r="C210" s="140">
        <f ca="1">IF(ISNUMBER(MATCH(DATEVALUE($A210),'recurring1_based on steps'!C$1:C$400,0)),C$2,)</f>
        <v>0</v>
      </c>
      <c r="D210" s="140">
        <f ca="1">IF(ISNUMBER(MATCH(DATEVALUE($A210),'recurring1_based on steps'!D$1:D$400,0)),D$2,)</f>
        <v>0</v>
      </c>
      <c r="E210" s="140">
        <f ca="1">IF(ISNUMBER(MATCH(DATEVALUE($A210),'recurring1_based on steps'!E$1:E$400,0)),E$2,)</f>
        <v>0</v>
      </c>
      <c r="F210" s="140">
        <f ca="1">IF(ISNUMBER(MATCH(DATEVALUE($A210),'recurring1_based on steps'!F$1:F$400,0)),F$2,)</f>
        <v>0</v>
      </c>
      <c r="G210" s="140">
        <f ca="1">IF(ISNUMBER(MATCH(DATEVALUE($A210),'recurring1_based on steps'!G$1:G$400,0)),G$2,)</f>
        <v>0</v>
      </c>
      <c r="H210" s="140">
        <f ca="1">IF(ISNUMBER(MATCH(DATEVALUE($A210),'recurring1_based on steps'!H$1:H$400,0)),H$2,)</f>
        <v>0</v>
      </c>
      <c r="I210" s="140">
        <f ca="1">IF(ISNUMBER(MATCH(DATEVALUE($A210),'recurring1_based on steps'!I$1:I$400,0)),I$2,)</f>
        <v>0</v>
      </c>
      <c r="J210" s="140">
        <f ca="1">IF(ISNUMBER(MATCH(DATEVALUE($A210),'recurring1_based on steps'!J$1:J$400,0)),J$2,)</f>
        <v>0</v>
      </c>
      <c r="K210" s="140">
        <f ca="1">IF(ISNUMBER(MATCH(DATEVALUE($A210),'recurring1_based on steps'!K$1:K$400,0)),K$2,)</f>
        <v>0</v>
      </c>
      <c r="L210" s="140">
        <f ca="1">IF(ISNUMBER(MATCH(DATEVALUE($A210),'recurring1_based on steps'!L$1:L$400,0)),L$2,)</f>
        <v>0</v>
      </c>
      <c r="M210" s="140">
        <f ca="1">IF(ISNUMBER(MATCH(DATEVALUE($A210),'recurring1_based on steps'!M$1:M$400,0)),M$2,)</f>
        <v>0</v>
      </c>
      <c r="N210" s="140">
        <f ca="1">IF(ISNUMBER(MATCH(DATEVALUE($A210),'recurring1_based on steps'!N$1:N$400,0)),N$2,)</f>
        <v>0</v>
      </c>
      <c r="O210" s="140">
        <f ca="1">IF(ISNUMBER(MATCH(DATEVALUE($A210),'recurring1_based on steps'!O$1:O$400,0)),O$2,)</f>
        <v>0</v>
      </c>
      <c r="P210" s="140">
        <f ca="1">IF(ISNUMBER(MATCH(DATEVALUE($A210),'recurring1_based on steps'!P$1:P$400,0)),P$2,)</f>
        <v>0</v>
      </c>
      <c r="Q210" s="140">
        <f ca="1">IF(ISNUMBER(MATCH(DATEVALUE($A210),'recurring1_based on steps'!Q$1:Q$400,0)),Q$2,)</f>
        <v>0</v>
      </c>
      <c r="R210" s="140">
        <f ca="1">IF(ISNUMBER(MATCH(DATEVALUE($A210),'recurring1_based on steps'!R$1:R$400,0)),R$2,)</f>
        <v>0</v>
      </c>
      <c r="S210" s="140">
        <f ca="1">IF(ISNUMBER(MATCH(DATEVALUE($A210),'recurring1_based on steps'!S$1:S$400,0)),S$2,)</f>
        <v>0</v>
      </c>
      <c r="T210" s="140">
        <f ca="1">IF(ISNUMBER(MATCH(DATEVALUE($A210),'recurring1_based on steps'!T$1:T$400,0)),T$2,)</f>
        <v>0</v>
      </c>
      <c r="U210" s="140">
        <f ca="1">IF(ISNUMBER(MATCH(DATEVALUE($A210),'recurring1_based on steps'!U$1:U$400,0)),U$2,)</f>
        <v>0</v>
      </c>
      <c r="V210" s="140">
        <f ca="1">IF(ISNUMBER(MATCH(DATEVALUE($A210),'recurring1_based on steps'!V$1:V$400,0)),V$2,)</f>
        <v>0</v>
      </c>
      <c r="W210" s="140">
        <f ca="1">IF(ISNUMBER(MATCH(DATEVALUE($A210),'recurring1_based on steps'!W$1:W$400,0)),W$2,)</f>
        <v>0</v>
      </c>
      <c r="X210" s="140">
        <f ca="1">IF(ISNUMBER(MATCH(DATEVALUE($A210),'recurring1_based on steps'!X$1:X$400,0)),X$2,)</f>
        <v>0</v>
      </c>
      <c r="Y210" s="140">
        <f ca="1">IF(ISNUMBER(MATCH(DATEVALUE($A210),'recurring1_based on steps'!Y$1:Y$400,0)),Y$2,)</f>
        <v>0</v>
      </c>
      <c r="Z210" s="140">
        <f ca="1">IF(ISNUMBER(MATCH(DATEVALUE($A210),'recurring1_based on steps'!Z$1:Z$400,0)),Z$2,)</f>
        <v>0</v>
      </c>
      <c r="AA210" s="140">
        <f ca="1">IF(ISNUMBER(MATCH(DATEVALUE($A210),'recurring1_based on steps'!AA$1:AA$400,0)),AA$2,)</f>
        <v>5.8171745152354575</v>
      </c>
      <c r="AB210" s="140">
        <f ca="1">IF(ISNUMBER(MATCH(DATEVALUE($A210),'recurring1_based on steps'!AB$1:AB$400,0)),AB$2,)</f>
        <v>5.5401662049861494E-2</v>
      </c>
      <c r="AC210" s="140">
        <f ca="1">IF(ISNUMBER(MATCH(DATEVALUE($A210),'recurring1_based on steps'!AC$1:AC$400,0)),AC$2,)</f>
        <v>0</v>
      </c>
      <c r="AD210" s="140">
        <f ca="1">IF(ISNUMBER(MATCH(DATEVALUE($A210),'recurring1_based on steps'!AD$1:AD$400,0)),AD$2,)</f>
        <v>0</v>
      </c>
      <c r="AE210" s="140">
        <f ca="1">IF(ISNUMBER(MATCH(DATEVALUE($A210),'recurring1_based on steps'!AE$1:AE$400,0)),AE$2,)</f>
        <v>0</v>
      </c>
      <c r="AF210" s="140">
        <f ca="1">IF(ISNUMBER(MATCH(DATEVALUE($A210),'recurring1_based on steps'!AF$1:AF$400,0)),AF$2,)</f>
        <v>0</v>
      </c>
      <c r="AG210" s="140">
        <f ca="1">IF(ISNUMBER(MATCH(DATEVALUE($A210),'recurring1_based on steps'!AG$1:AG$400,0)),AG$2,)</f>
        <v>0</v>
      </c>
      <c r="AH210" s="140">
        <f ca="1">IF(ISNUMBER(MATCH(DATEVALUE($A210),'recurring1_based on steps'!AH$1:AH$400,0)),AH$2,)</f>
        <v>0</v>
      </c>
      <c r="AI210" s="140">
        <f ca="1">IF(ISNUMBER(MATCH(DATEVALUE($A210),'recurring1_based on steps'!AI$1:AI$400,0)),AI$2,)</f>
        <v>0</v>
      </c>
      <c r="AJ210" s="140">
        <f ca="1">IF(ISNUMBER(MATCH(DATEVALUE($A210),'recurring1_based on steps'!AJ$1:AJ$400,0)),AJ$2,)</f>
        <v>0</v>
      </c>
      <c r="AK210" s="140">
        <f ca="1">IF(ISNUMBER(MATCH(DATEVALUE($A210),'recurring1_based on steps'!AK$1:AK$400,0)),AK$2,)</f>
        <v>0</v>
      </c>
      <c r="AL210" s="140">
        <f ca="1">IF(ISNUMBER(MATCH(DATEVALUE($A210),'recurring1_based on steps'!AL$1:AL$400,0)),AL$2,)</f>
        <v>0</v>
      </c>
      <c r="AM210" s="140">
        <f ca="1">IF(ISNUMBER(MATCH(DATEVALUE($A210),'recurring1_based on steps'!AM$1:AM$400,0)),AM$2,)</f>
        <v>0</v>
      </c>
      <c r="AN210" s="140">
        <f ca="1">IF(ISNUMBER(MATCH(DATEVALUE($A210),'recurring1_based on steps'!AN$1:AN$400,0)),AN$2,)</f>
        <v>0</v>
      </c>
      <c r="AO210" s="140">
        <f ca="1">IF(ISNUMBER(MATCH(DATEVALUE($A210),'recurring1_based on steps'!AO$1:AO$400,0)),AO$2,)</f>
        <v>0</v>
      </c>
      <c r="AP210" s="140">
        <f ca="1">IF(ISNUMBER(MATCH(DATEVALUE($A210),'recurring1_based on steps'!AP$1:AP$400,0)),AP$2,)</f>
        <v>0</v>
      </c>
      <c r="AQ210" s="140">
        <f ca="1">IF(ISNUMBER(MATCH(DATEVALUE($A210),'recurring1_based on steps'!AQ$1:AQ$400,0)),AQ$2,)</f>
        <v>0</v>
      </c>
      <c r="AR210" s="140">
        <f ca="1">IF(ISNUMBER(MATCH(DATEVALUE($A210),'recurring1_based on steps'!AR$1:AR$400,0)),AR$2,)</f>
        <v>0</v>
      </c>
      <c r="AS210" s="140">
        <f ca="1">IF(ISNUMBER(MATCH(DATEVALUE($A210),'recurring1_based on steps'!AS$1:AS$400,0)),AS$2,)</f>
        <v>0</v>
      </c>
      <c r="AT210" s="140">
        <f ca="1">IF(ISNUMBER(MATCH(DATEVALUE($A210),'recurring1_based on steps'!AT$1:AT$400,0)),AT$2,)</f>
        <v>0</v>
      </c>
      <c r="AU210" s="140">
        <f ca="1">IF(ISNUMBER(MATCH(DATEVALUE($A210),'recurring1_based on steps'!AU$1:AU$400,0)),AU$2,)</f>
        <v>0</v>
      </c>
      <c r="AV210" s="140">
        <f ca="1">IF(ISNUMBER(MATCH(DATEVALUE($A210),'recurring1_based on steps'!AV$1:AV$400,0)),AV$2,)</f>
        <v>0</v>
      </c>
      <c r="AW210" s="140">
        <f ca="1">IF(ISNUMBER(MATCH(DATEVALUE($A210),'recurring1_based on steps'!AW$1:AW$400,0)),AW$2,)</f>
        <v>0</v>
      </c>
      <c r="AX210" s="140">
        <f ca="1">IF(ISNUMBER(MATCH(DATEVALUE($A210),'recurring1_based on steps'!AX$1:AX$400,0)),AX$2,)</f>
        <v>0</v>
      </c>
      <c r="AY210" s="140">
        <f ca="1">IF(ISNUMBER(MATCH(DATEVALUE($A210),'recurring1_based on steps'!AY$1:AY$400,0)),AY$2,)</f>
        <v>0</v>
      </c>
    </row>
    <row r="211" spans="1:51" x14ac:dyDescent="0.2">
      <c r="A211" s="29" t="str">
        <f t="shared" ca="1" si="3"/>
        <v>2025-10-21</v>
      </c>
      <c r="B211" s="140">
        <f ca="1">IF(ISNUMBER(MATCH(DATEVALUE($A211),'recurring1_based on steps'!B$1:B$400,0)),B$2,)</f>
        <v>0</v>
      </c>
      <c r="C211" s="140">
        <f ca="1">IF(ISNUMBER(MATCH(DATEVALUE($A211),'recurring1_based on steps'!C$1:C$400,0)),C$2,)</f>
        <v>0</v>
      </c>
      <c r="D211" s="140">
        <f ca="1">IF(ISNUMBER(MATCH(DATEVALUE($A211),'recurring1_based on steps'!D$1:D$400,0)),D$2,)</f>
        <v>0</v>
      </c>
      <c r="E211" s="140">
        <f ca="1">IF(ISNUMBER(MATCH(DATEVALUE($A211),'recurring1_based on steps'!E$1:E$400,0)),E$2,)</f>
        <v>0</v>
      </c>
      <c r="F211" s="140">
        <f ca="1">IF(ISNUMBER(MATCH(DATEVALUE($A211),'recurring1_based on steps'!F$1:F$400,0)),F$2,)</f>
        <v>0</v>
      </c>
      <c r="G211" s="140">
        <f ca="1">IF(ISNUMBER(MATCH(DATEVALUE($A211),'recurring1_based on steps'!G$1:G$400,0)),G$2,)</f>
        <v>0</v>
      </c>
      <c r="H211" s="140">
        <f ca="1">IF(ISNUMBER(MATCH(DATEVALUE($A211),'recurring1_based on steps'!H$1:H$400,0)),H$2,)</f>
        <v>0</v>
      </c>
      <c r="I211" s="140">
        <f ca="1">IF(ISNUMBER(MATCH(DATEVALUE($A211),'recurring1_based on steps'!I$1:I$400,0)),I$2,)</f>
        <v>0</v>
      </c>
      <c r="J211" s="140">
        <f ca="1">IF(ISNUMBER(MATCH(DATEVALUE($A211),'recurring1_based on steps'!J$1:J$400,0)),J$2,)</f>
        <v>0</v>
      </c>
      <c r="K211" s="140">
        <f ca="1">IF(ISNUMBER(MATCH(DATEVALUE($A211),'recurring1_based on steps'!K$1:K$400,0)),K$2,)</f>
        <v>0</v>
      </c>
      <c r="L211" s="140">
        <f ca="1">IF(ISNUMBER(MATCH(DATEVALUE($A211),'recurring1_based on steps'!L$1:L$400,0)),L$2,)</f>
        <v>0</v>
      </c>
      <c r="M211" s="140">
        <f ca="1">IF(ISNUMBER(MATCH(DATEVALUE($A211),'recurring1_based on steps'!M$1:M$400,0)),M$2,)</f>
        <v>0</v>
      </c>
      <c r="N211" s="140">
        <f ca="1">IF(ISNUMBER(MATCH(DATEVALUE($A211),'recurring1_based on steps'!N$1:N$400,0)),N$2,)</f>
        <v>0</v>
      </c>
      <c r="O211" s="140">
        <f ca="1">IF(ISNUMBER(MATCH(DATEVALUE($A211),'recurring1_based on steps'!O$1:O$400,0)),O$2,)</f>
        <v>0</v>
      </c>
      <c r="P211" s="140">
        <f ca="1">IF(ISNUMBER(MATCH(DATEVALUE($A211),'recurring1_based on steps'!P$1:P$400,0)),P$2,)</f>
        <v>0</v>
      </c>
      <c r="Q211" s="140">
        <f ca="1">IF(ISNUMBER(MATCH(DATEVALUE($A211),'recurring1_based on steps'!Q$1:Q$400,0)),Q$2,)</f>
        <v>0</v>
      </c>
      <c r="R211" s="140">
        <f ca="1">IF(ISNUMBER(MATCH(DATEVALUE($A211),'recurring1_based on steps'!R$1:R$400,0)),R$2,)</f>
        <v>0</v>
      </c>
      <c r="S211" s="140">
        <f ca="1">IF(ISNUMBER(MATCH(DATEVALUE($A211),'recurring1_based on steps'!S$1:S$400,0)),S$2,)</f>
        <v>0</v>
      </c>
      <c r="T211" s="140">
        <f ca="1">IF(ISNUMBER(MATCH(DATEVALUE($A211),'recurring1_based on steps'!T$1:T$400,0)),T$2,)</f>
        <v>0</v>
      </c>
      <c r="U211" s="140">
        <f ca="1">IF(ISNUMBER(MATCH(DATEVALUE($A211),'recurring1_based on steps'!U$1:U$400,0)),U$2,)</f>
        <v>0</v>
      </c>
      <c r="V211" s="140">
        <f ca="1">IF(ISNUMBER(MATCH(DATEVALUE($A211),'recurring1_based on steps'!V$1:V$400,0)),V$2,)</f>
        <v>0</v>
      </c>
      <c r="W211" s="140">
        <f ca="1">IF(ISNUMBER(MATCH(DATEVALUE($A211),'recurring1_based on steps'!W$1:W$400,0)),W$2,)</f>
        <v>0</v>
      </c>
      <c r="X211" s="140">
        <f ca="1">IF(ISNUMBER(MATCH(DATEVALUE($A211),'recurring1_based on steps'!X$1:X$400,0)),X$2,)</f>
        <v>0</v>
      </c>
      <c r="Y211" s="140">
        <f ca="1">IF(ISNUMBER(MATCH(DATEVALUE($A211),'recurring1_based on steps'!Y$1:Y$400,0)),Y$2,)</f>
        <v>0</v>
      </c>
      <c r="Z211" s="140">
        <f ca="1">IF(ISNUMBER(MATCH(DATEVALUE($A211),'recurring1_based on steps'!Z$1:Z$400,0)),Z$2,)</f>
        <v>0</v>
      </c>
      <c r="AA211" s="140">
        <f ca="1">IF(ISNUMBER(MATCH(DATEVALUE($A211),'recurring1_based on steps'!AA$1:AA$400,0)),AA$2,)</f>
        <v>0</v>
      </c>
      <c r="AB211" s="140">
        <f ca="1">IF(ISNUMBER(MATCH(DATEVALUE($A211),'recurring1_based on steps'!AB$1:AB$400,0)),AB$2,)</f>
        <v>5.5401662049861494E-2</v>
      </c>
      <c r="AC211" s="140">
        <f ca="1">IF(ISNUMBER(MATCH(DATEVALUE($A211),'recurring1_based on steps'!AC$1:AC$400,0)),AC$2,)</f>
        <v>0</v>
      </c>
      <c r="AD211" s="140">
        <f ca="1">IF(ISNUMBER(MATCH(DATEVALUE($A211),'recurring1_based on steps'!AD$1:AD$400,0)),AD$2,)</f>
        <v>0</v>
      </c>
      <c r="AE211" s="140">
        <f ca="1">IF(ISNUMBER(MATCH(DATEVALUE($A211),'recurring1_based on steps'!AE$1:AE$400,0)),AE$2,)</f>
        <v>0</v>
      </c>
      <c r="AF211" s="140">
        <f ca="1">IF(ISNUMBER(MATCH(DATEVALUE($A211),'recurring1_based on steps'!AF$1:AF$400,0)),AF$2,)</f>
        <v>0</v>
      </c>
      <c r="AG211" s="140">
        <f ca="1">IF(ISNUMBER(MATCH(DATEVALUE($A211),'recurring1_based on steps'!AG$1:AG$400,0)),AG$2,)</f>
        <v>0</v>
      </c>
      <c r="AH211" s="140">
        <f ca="1">IF(ISNUMBER(MATCH(DATEVALUE($A211),'recurring1_based on steps'!AH$1:AH$400,0)),AH$2,)</f>
        <v>0</v>
      </c>
      <c r="AI211" s="140">
        <f ca="1">IF(ISNUMBER(MATCH(DATEVALUE($A211),'recurring1_based on steps'!AI$1:AI$400,0)),AI$2,)</f>
        <v>0</v>
      </c>
      <c r="AJ211" s="140">
        <f ca="1">IF(ISNUMBER(MATCH(DATEVALUE($A211),'recurring1_based on steps'!AJ$1:AJ$400,0)),AJ$2,)</f>
        <v>0</v>
      </c>
      <c r="AK211" s="140">
        <f ca="1">IF(ISNUMBER(MATCH(DATEVALUE($A211),'recurring1_based on steps'!AK$1:AK$400,0)),AK$2,)</f>
        <v>0</v>
      </c>
      <c r="AL211" s="140">
        <f ca="1">IF(ISNUMBER(MATCH(DATEVALUE($A211),'recurring1_based on steps'!AL$1:AL$400,0)),AL$2,)</f>
        <v>0</v>
      </c>
      <c r="AM211" s="140">
        <f ca="1">IF(ISNUMBER(MATCH(DATEVALUE($A211),'recurring1_based on steps'!AM$1:AM$400,0)),AM$2,)</f>
        <v>0</v>
      </c>
      <c r="AN211" s="140">
        <f ca="1">IF(ISNUMBER(MATCH(DATEVALUE($A211),'recurring1_based on steps'!AN$1:AN$400,0)),AN$2,)</f>
        <v>0</v>
      </c>
      <c r="AO211" s="140">
        <f ca="1">IF(ISNUMBER(MATCH(DATEVALUE($A211),'recurring1_based on steps'!AO$1:AO$400,0)),AO$2,)</f>
        <v>0</v>
      </c>
      <c r="AP211" s="140">
        <f ca="1">IF(ISNUMBER(MATCH(DATEVALUE($A211),'recurring1_based on steps'!AP$1:AP$400,0)),AP$2,)</f>
        <v>0</v>
      </c>
      <c r="AQ211" s="140">
        <f ca="1">IF(ISNUMBER(MATCH(DATEVALUE($A211),'recurring1_based on steps'!AQ$1:AQ$400,0)),AQ$2,)</f>
        <v>0</v>
      </c>
      <c r="AR211" s="140">
        <f ca="1">IF(ISNUMBER(MATCH(DATEVALUE($A211),'recurring1_based on steps'!AR$1:AR$400,0)),AR$2,)</f>
        <v>0</v>
      </c>
      <c r="AS211" s="140">
        <f ca="1">IF(ISNUMBER(MATCH(DATEVALUE($A211),'recurring1_based on steps'!AS$1:AS$400,0)),AS$2,)</f>
        <v>0</v>
      </c>
      <c r="AT211" s="140">
        <f ca="1">IF(ISNUMBER(MATCH(DATEVALUE($A211),'recurring1_based on steps'!AT$1:AT$400,0)),AT$2,)</f>
        <v>0</v>
      </c>
      <c r="AU211" s="140">
        <f ca="1">IF(ISNUMBER(MATCH(DATEVALUE($A211),'recurring1_based on steps'!AU$1:AU$400,0)),AU$2,)</f>
        <v>0</v>
      </c>
      <c r="AV211" s="140">
        <f ca="1">IF(ISNUMBER(MATCH(DATEVALUE($A211),'recurring1_based on steps'!AV$1:AV$400,0)),AV$2,)</f>
        <v>0</v>
      </c>
      <c r="AW211" s="140">
        <f ca="1">IF(ISNUMBER(MATCH(DATEVALUE($A211),'recurring1_based on steps'!AW$1:AW$400,0)),AW$2,)</f>
        <v>0</v>
      </c>
      <c r="AX211" s="140">
        <f ca="1">IF(ISNUMBER(MATCH(DATEVALUE($A211),'recurring1_based on steps'!AX$1:AX$400,0)),AX$2,)</f>
        <v>0</v>
      </c>
      <c r="AY211" s="140">
        <f ca="1">IF(ISNUMBER(MATCH(DATEVALUE($A211),'recurring1_based on steps'!AY$1:AY$400,0)),AY$2,)</f>
        <v>0</v>
      </c>
    </row>
    <row r="212" spans="1:51" x14ac:dyDescent="0.2">
      <c r="A212" s="29" t="str">
        <f t="shared" ca="1" si="3"/>
        <v>2025-10-22</v>
      </c>
      <c r="B212" s="140">
        <f ca="1">IF(ISNUMBER(MATCH(DATEVALUE($A212),'recurring1_based on steps'!B$1:B$400,0)),B$2,)</f>
        <v>0</v>
      </c>
      <c r="C212" s="140">
        <f ca="1">IF(ISNUMBER(MATCH(DATEVALUE($A212),'recurring1_based on steps'!C$1:C$400,0)),C$2,)</f>
        <v>0</v>
      </c>
      <c r="D212" s="140">
        <f ca="1">IF(ISNUMBER(MATCH(DATEVALUE($A212),'recurring1_based on steps'!D$1:D$400,0)),D$2,)</f>
        <v>0</v>
      </c>
      <c r="E212" s="140">
        <f ca="1">IF(ISNUMBER(MATCH(DATEVALUE($A212),'recurring1_based on steps'!E$1:E$400,0)),E$2,)</f>
        <v>0</v>
      </c>
      <c r="F212" s="140">
        <f ca="1">IF(ISNUMBER(MATCH(DATEVALUE($A212),'recurring1_based on steps'!F$1:F$400,0)),F$2,)</f>
        <v>0</v>
      </c>
      <c r="G212" s="140">
        <f ca="1">IF(ISNUMBER(MATCH(DATEVALUE($A212),'recurring1_based on steps'!G$1:G$400,0)),G$2,)</f>
        <v>0</v>
      </c>
      <c r="H212" s="140">
        <f ca="1">IF(ISNUMBER(MATCH(DATEVALUE($A212),'recurring1_based on steps'!H$1:H$400,0)),H$2,)</f>
        <v>0</v>
      </c>
      <c r="I212" s="140">
        <f ca="1">IF(ISNUMBER(MATCH(DATEVALUE($A212),'recurring1_based on steps'!I$1:I$400,0)),I$2,)</f>
        <v>0</v>
      </c>
      <c r="J212" s="140">
        <f ca="1">IF(ISNUMBER(MATCH(DATEVALUE($A212),'recurring1_based on steps'!J$1:J$400,0)),J$2,)</f>
        <v>0</v>
      </c>
      <c r="K212" s="140">
        <f ca="1">IF(ISNUMBER(MATCH(DATEVALUE($A212),'recurring1_based on steps'!K$1:K$400,0)),K$2,)</f>
        <v>0</v>
      </c>
      <c r="L212" s="140">
        <f ca="1">IF(ISNUMBER(MATCH(DATEVALUE($A212),'recurring1_based on steps'!L$1:L$400,0)),L$2,)</f>
        <v>0</v>
      </c>
      <c r="M212" s="140">
        <f ca="1">IF(ISNUMBER(MATCH(DATEVALUE($A212),'recurring1_based on steps'!M$1:M$400,0)),M$2,)</f>
        <v>0</v>
      </c>
      <c r="N212" s="140">
        <f ca="1">IF(ISNUMBER(MATCH(DATEVALUE($A212),'recurring1_based on steps'!N$1:N$400,0)),N$2,)</f>
        <v>0</v>
      </c>
      <c r="O212" s="140">
        <f ca="1">IF(ISNUMBER(MATCH(DATEVALUE($A212),'recurring1_based on steps'!O$1:O$400,0)),O$2,)</f>
        <v>0</v>
      </c>
      <c r="P212" s="140">
        <f ca="1">IF(ISNUMBER(MATCH(DATEVALUE($A212),'recurring1_based on steps'!P$1:P$400,0)),P$2,)</f>
        <v>0</v>
      </c>
      <c r="Q212" s="140">
        <f ca="1">IF(ISNUMBER(MATCH(DATEVALUE($A212),'recurring1_based on steps'!Q$1:Q$400,0)),Q$2,)</f>
        <v>0</v>
      </c>
      <c r="R212" s="140">
        <f ca="1">IF(ISNUMBER(MATCH(DATEVALUE($A212),'recurring1_based on steps'!R$1:R$400,0)),R$2,)</f>
        <v>0</v>
      </c>
      <c r="S212" s="140">
        <f ca="1">IF(ISNUMBER(MATCH(DATEVALUE($A212),'recurring1_based on steps'!S$1:S$400,0)),S$2,)</f>
        <v>0</v>
      </c>
      <c r="T212" s="140">
        <f ca="1">IF(ISNUMBER(MATCH(DATEVALUE($A212),'recurring1_based on steps'!T$1:T$400,0)),T$2,)</f>
        <v>0</v>
      </c>
      <c r="U212" s="140">
        <f ca="1">IF(ISNUMBER(MATCH(DATEVALUE($A212),'recurring1_based on steps'!U$1:U$400,0)),U$2,)</f>
        <v>0</v>
      </c>
      <c r="V212" s="140">
        <f ca="1">IF(ISNUMBER(MATCH(DATEVALUE($A212),'recurring1_based on steps'!V$1:V$400,0)),V$2,)</f>
        <v>0</v>
      </c>
      <c r="W212" s="140">
        <f ca="1">IF(ISNUMBER(MATCH(DATEVALUE($A212),'recurring1_based on steps'!W$1:W$400,0)),W$2,)</f>
        <v>0</v>
      </c>
      <c r="X212" s="140">
        <f ca="1">IF(ISNUMBER(MATCH(DATEVALUE($A212),'recurring1_based on steps'!X$1:X$400,0)),X$2,)</f>
        <v>0</v>
      </c>
      <c r="Y212" s="140">
        <f ca="1">IF(ISNUMBER(MATCH(DATEVALUE($A212),'recurring1_based on steps'!Y$1:Y$400,0)),Y$2,)</f>
        <v>0</v>
      </c>
      <c r="Z212" s="140">
        <f ca="1">IF(ISNUMBER(MATCH(DATEVALUE($A212),'recurring1_based on steps'!Z$1:Z$400,0)),Z$2,)</f>
        <v>0</v>
      </c>
      <c r="AA212" s="140">
        <f ca="1">IF(ISNUMBER(MATCH(DATEVALUE($A212),'recurring1_based on steps'!AA$1:AA$400,0)),AA$2,)</f>
        <v>0</v>
      </c>
      <c r="AB212" s="140">
        <f ca="1">IF(ISNUMBER(MATCH(DATEVALUE($A212),'recurring1_based on steps'!AB$1:AB$400,0)),AB$2,)</f>
        <v>5.5401662049861494E-2</v>
      </c>
      <c r="AC212" s="140">
        <f ca="1">IF(ISNUMBER(MATCH(DATEVALUE($A212),'recurring1_based on steps'!AC$1:AC$400,0)),AC$2,)</f>
        <v>0</v>
      </c>
      <c r="AD212" s="140">
        <f ca="1">IF(ISNUMBER(MATCH(DATEVALUE($A212),'recurring1_based on steps'!AD$1:AD$400,0)),AD$2,)</f>
        <v>0</v>
      </c>
      <c r="AE212" s="140">
        <f ca="1">IF(ISNUMBER(MATCH(DATEVALUE($A212),'recurring1_based on steps'!AE$1:AE$400,0)),AE$2,)</f>
        <v>0</v>
      </c>
      <c r="AF212" s="140">
        <f ca="1">IF(ISNUMBER(MATCH(DATEVALUE($A212),'recurring1_based on steps'!AF$1:AF$400,0)),AF$2,)</f>
        <v>0</v>
      </c>
      <c r="AG212" s="140">
        <f ca="1">IF(ISNUMBER(MATCH(DATEVALUE($A212),'recurring1_based on steps'!AG$1:AG$400,0)),AG$2,)</f>
        <v>0</v>
      </c>
      <c r="AH212" s="140">
        <f ca="1">IF(ISNUMBER(MATCH(DATEVALUE($A212),'recurring1_based on steps'!AH$1:AH$400,0)),AH$2,)</f>
        <v>0</v>
      </c>
      <c r="AI212" s="140">
        <f ca="1">IF(ISNUMBER(MATCH(DATEVALUE($A212),'recurring1_based on steps'!AI$1:AI$400,0)),AI$2,)</f>
        <v>0</v>
      </c>
      <c r="AJ212" s="140">
        <f ca="1">IF(ISNUMBER(MATCH(DATEVALUE($A212),'recurring1_based on steps'!AJ$1:AJ$400,0)),AJ$2,)</f>
        <v>0</v>
      </c>
      <c r="AK212" s="140">
        <f ca="1">IF(ISNUMBER(MATCH(DATEVALUE($A212),'recurring1_based on steps'!AK$1:AK$400,0)),AK$2,)</f>
        <v>0</v>
      </c>
      <c r="AL212" s="140">
        <f ca="1">IF(ISNUMBER(MATCH(DATEVALUE($A212),'recurring1_based on steps'!AL$1:AL$400,0)),AL$2,)</f>
        <v>0</v>
      </c>
      <c r="AM212" s="140">
        <f ca="1">IF(ISNUMBER(MATCH(DATEVALUE($A212),'recurring1_based on steps'!AM$1:AM$400,0)),AM$2,)</f>
        <v>0</v>
      </c>
      <c r="AN212" s="140">
        <f ca="1">IF(ISNUMBER(MATCH(DATEVALUE($A212),'recurring1_based on steps'!AN$1:AN$400,0)),AN$2,)</f>
        <v>0</v>
      </c>
      <c r="AO212" s="140">
        <f ca="1">IF(ISNUMBER(MATCH(DATEVALUE($A212),'recurring1_based on steps'!AO$1:AO$400,0)),AO$2,)</f>
        <v>0</v>
      </c>
      <c r="AP212" s="140">
        <f ca="1">IF(ISNUMBER(MATCH(DATEVALUE($A212),'recurring1_based on steps'!AP$1:AP$400,0)),AP$2,)</f>
        <v>0</v>
      </c>
      <c r="AQ212" s="140">
        <f ca="1">IF(ISNUMBER(MATCH(DATEVALUE($A212),'recurring1_based on steps'!AQ$1:AQ$400,0)),AQ$2,)</f>
        <v>0</v>
      </c>
      <c r="AR212" s="140">
        <f ca="1">IF(ISNUMBER(MATCH(DATEVALUE($A212),'recurring1_based on steps'!AR$1:AR$400,0)),AR$2,)</f>
        <v>0</v>
      </c>
      <c r="AS212" s="140">
        <f ca="1">IF(ISNUMBER(MATCH(DATEVALUE($A212),'recurring1_based on steps'!AS$1:AS$400,0)),AS$2,)</f>
        <v>0</v>
      </c>
      <c r="AT212" s="140">
        <f ca="1">IF(ISNUMBER(MATCH(DATEVALUE($A212),'recurring1_based on steps'!AT$1:AT$400,0)),AT$2,)</f>
        <v>0</v>
      </c>
      <c r="AU212" s="140">
        <f ca="1">IF(ISNUMBER(MATCH(DATEVALUE($A212),'recurring1_based on steps'!AU$1:AU$400,0)),AU$2,)</f>
        <v>0</v>
      </c>
      <c r="AV212" s="140">
        <f ca="1">IF(ISNUMBER(MATCH(DATEVALUE($A212),'recurring1_based on steps'!AV$1:AV$400,0)),AV$2,)</f>
        <v>0</v>
      </c>
      <c r="AW212" s="140">
        <f ca="1">IF(ISNUMBER(MATCH(DATEVALUE($A212),'recurring1_based on steps'!AW$1:AW$400,0)),AW$2,)</f>
        <v>0</v>
      </c>
      <c r="AX212" s="140">
        <f ca="1">IF(ISNUMBER(MATCH(DATEVALUE($A212),'recurring1_based on steps'!AX$1:AX$400,0)),AX$2,)</f>
        <v>0</v>
      </c>
      <c r="AY212" s="140">
        <f ca="1">IF(ISNUMBER(MATCH(DATEVALUE($A212),'recurring1_based on steps'!AY$1:AY$400,0)),AY$2,)</f>
        <v>0</v>
      </c>
    </row>
    <row r="213" spans="1:51" x14ac:dyDescent="0.2">
      <c r="A213" s="29" t="str">
        <f t="shared" ca="1" si="3"/>
        <v>2025-10-23</v>
      </c>
      <c r="B213" s="140">
        <f ca="1">IF(ISNUMBER(MATCH(DATEVALUE($A213),'recurring1_based on steps'!B$1:B$400,0)),B$2,)</f>
        <v>0</v>
      </c>
      <c r="C213" s="140">
        <f ca="1">IF(ISNUMBER(MATCH(DATEVALUE($A213),'recurring1_based on steps'!C$1:C$400,0)),C$2,)</f>
        <v>0</v>
      </c>
      <c r="D213" s="140">
        <f ca="1">IF(ISNUMBER(MATCH(DATEVALUE($A213),'recurring1_based on steps'!D$1:D$400,0)),D$2,)</f>
        <v>0</v>
      </c>
      <c r="E213" s="140">
        <f ca="1">IF(ISNUMBER(MATCH(DATEVALUE($A213),'recurring1_based on steps'!E$1:E$400,0)),E$2,)</f>
        <v>0</v>
      </c>
      <c r="F213" s="140">
        <f ca="1">IF(ISNUMBER(MATCH(DATEVALUE($A213),'recurring1_based on steps'!F$1:F$400,0)),F$2,)</f>
        <v>0</v>
      </c>
      <c r="G213" s="140">
        <f ca="1">IF(ISNUMBER(MATCH(DATEVALUE($A213),'recurring1_based on steps'!G$1:G$400,0)),G$2,)</f>
        <v>0</v>
      </c>
      <c r="H213" s="140">
        <f ca="1">IF(ISNUMBER(MATCH(DATEVALUE($A213),'recurring1_based on steps'!H$1:H$400,0)),H$2,)</f>
        <v>0</v>
      </c>
      <c r="I213" s="140">
        <f ca="1">IF(ISNUMBER(MATCH(DATEVALUE($A213),'recurring1_based on steps'!I$1:I$400,0)),I$2,)</f>
        <v>0</v>
      </c>
      <c r="J213" s="140">
        <f ca="1">IF(ISNUMBER(MATCH(DATEVALUE($A213),'recurring1_based on steps'!J$1:J$400,0)),J$2,)</f>
        <v>0</v>
      </c>
      <c r="K213" s="140">
        <f ca="1">IF(ISNUMBER(MATCH(DATEVALUE($A213),'recurring1_based on steps'!K$1:K$400,0)),K$2,)</f>
        <v>0</v>
      </c>
      <c r="L213" s="140">
        <f ca="1">IF(ISNUMBER(MATCH(DATEVALUE($A213),'recurring1_based on steps'!L$1:L$400,0)),L$2,)</f>
        <v>0</v>
      </c>
      <c r="M213" s="140">
        <f ca="1">IF(ISNUMBER(MATCH(DATEVALUE($A213),'recurring1_based on steps'!M$1:M$400,0)),M$2,)</f>
        <v>0</v>
      </c>
      <c r="N213" s="140">
        <f ca="1">IF(ISNUMBER(MATCH(DATEVALUE($A213),'recurring1_based on steps'!N$1:N$400,0)),N$2,)</f>
        <v>0</v>
      </c>
      <c r="O213" s="140">
        <f ca="1">IF(ISNUMBER(MATCH(DATEVALUE($A213),'recurring1_based on steps'!O$1:O$400,0)),O$2,)</f>
        <v>0</v>
      </c>
      <c r="P213" s="140">
        <f ca="1">IF(ISNUMBER(MATCH(DATEVALUE($A213),'recurring1_based on steps'!P$1:P$400,0)),P$2,)</f>
        <v>0</v>
      </c>
      <c r="Q213" s="140">
        <f ca="1">IF(ISNUMBER(MATCH(DATEVALUE($A213),'recurring1_based on steps'!Q$1:Q$400,0)),Q$2,)</f>
        <v>0</v>
      </c>
      <c r="R213" s="140">
        <f ca="1">IF(ISNUMBER(MATCH(DATEVALUE($A213),'recurring1_based on steps'!R$1:R$400,0)),R$2,)</f>
        <v>0</v>
      </c>
      <c r="S213" s="140">
        <f ca="1">IF(ISNUMBER(MATCH(DATEVALUE($A213),'recurring1_based on steps'!S$1:S$400,0)),S$2,)</f>
        <v>0</v>
      </c>
      <c r="T213" s="140">
        <f ca="1">IF(ISNUMBER(MATCH(DATEVALUE($A213),'recurring1_based on steps'!T$1:T$400,0)),T$2,)</f>
        <v>0</v>
      </c>
      <c r="U213" s="140">
        <f ca="1">IF(ISNUMBER(MATCH(DATEVALUE($A213),'recurring1_based on steps'!U$1:U$400,0)),U$2,)</f>
        <v>0</v>
      </c>
      <c r="V213" s="140">
        <f ca="1">IF(ISNUMBER(MATCH(DATEVALUE($A213),'recurring1_based on steps'!V$1:V$400,0)),V$2,)</f>
        <v>0</v>
      </c>
      <c r="W213" s="140">
        <f ca="1">IF(ISNUMBER(MATCH(DATEVALUE($A213),'recurring1_based on steps'!W$1:W$400,0)),W$2,)</f>
        <v>0</v>
      </c>
      <c r="X213" s="140">
        <f ca="1">IF(ISNUMBER(MATCH(DATEVALUE($A213),'recurring1_based on steps'!X$1:X$400,0)),X$2,)</f>
        <v>0</v>
      </c>
      <c r="Y213" s="140">
        <f ca="1">IF(ISNUMBER(MATCH(DATEVALUE($A213),'recurring1_based on steps'!Y$1:Y$400,0)),Y$2,)</f>
        <v>0</v>
      </c>
      <c r="Z213" s="140">
        <f ca="1">IF(ISNUMBER(MATCH(DATEVALUE($A213),'recurring1_based on steps'!Z$1:Z$400,0)),Z$2,)</f>
        <v>0</v>
      </c>
      <c r="AA213" s="140">
        <f ca="1">IF(ISNUMBER(MATCH(DATEVALUE($A213),'recurring1_based on steps'!AA$1:AA$400,0)),AA$2,)</f>
        <v>0</v>
      </c>
      <c r="AB213" s="140">
        <f ca="1">IF(ISNUMBER(MATCH(DATEVALUE($A213),'recurring1_based on steps'!AB$1:AB$400,0)),AB$2,)</f>
        <v>5.5401662049861494E-2</v>
      </c>
      <c r="AC213" s="140">
        <f ca="1">IF(ISNUMBER(MATCH(DATEVALUE($A213),'recurring1_based on steps'!AC$1:AC$400,0)),AC$2,)</f>
        <v>0</v>
      </c>
      <c r="AD213" s="140">
        <f ca="1">IF(ISNUMBER(MATCH(DATEVALUE($A213),'recurring1_based on steps'!AD$1:AD$400,0)),AD$2,)</f>
        <v>0</v>
      </c>
      <c r="AE213" s="140">
        <f ca="1">IF(ISNUMBER(MATCH(DATEVALUE($A213),'recurring1_based on steps'!AE$1:AE$400,0)),AE$2,)</f>
        <v>0</v>
      </c>
      <c r="AF213" s="140">
        <f ca="1">IF(ISNUMBER(MATCH(DATEVALUE($A213),'recurring1_based on steps'!AF$1:AF$400,0)),AF$2,)</f>
        <v>0</v>
      </c>
      <c r="AG213" s="140">
        <f ca="1">IF(ISNUMBER(MATCH(DATEVALUE($A213),'recurring1_based on steps'!AG$1:AG$400,0)),AG$2,)</f>
        <v>0</v>
      </c>
      <c r="AH213" s="140">
        <f ca="1">IF(ISNUMBER(MATCH(DATEVALUE($A213),'recurring1_based on steps'!AH$1:AH$400,0)),AH$2,)</f>
        <v>0</v>
      </c>
      <c r="AI213" s="140">
        <f ca="1">IF(ISNUMBER(MATCH(DATEVALUE($A213),'recurring1_based on steps'!AI$1:AI$400,0)),AI$2,)</f>
        <v>0</v>
      </c>
      <c r="AJ213" s="140">
        <f ca="1">IF(ISNUMBER(MATCH(DATEVALUE($A213),'recurring1_based on steps'!AJ$1:AJ$400,0)),AJ$2,)</f>
        <v>0</v>
      </c>
      <c r="AK213" s="140">
        <f ca="1">IF(ISNUMBER(MATCH(DATEVALUE($A213),'recurring1_based on steps'!AK$1:AK$400,0)),AK$2,)</f>
        <v>0</v>
      </c>
      <c r="AL213" s="140">
        <f ca="1">IF(ISNUMBER(MATCH(DATEVALUE($A213),'recurring1_based on steps'!AL$1:AL$400,0)),AL$2,)</f>
        <v>0</v>
      </c>
      <c r="AM213" s="140">
        <f ca="1">IF(ISNUMBER(MATCH(DATEVALUE($A213),'recurring1_based on steps'!AM$1:AM$400,0)),AM$2,)</f>
        <v>0</v>
      </c>
      <c r="AN213" s="140">
        <f ca="1">IF(ISNUMBER(MATCH(DATEVALUE($A213),'recurring1_based on steps'!AN$1:AN$400,0)),AN$2,)</f>
        <v>0</v>
      </c>
      <c r="AO213" s="140">
        <f ca="1">IF(ISNUMBER(MATCH(DATEVALUE($A213),'recurring1_based on steps'!AO$1:AO$400,0)),AO$2,)</f>
        <v>0</v>
      </c>
      <c r="AP213" s="140">
        <f ca="1">IF(ISNUMBER(MATCH(DATEVALUE($A213),'recurring1_based on steps'!AP$1:AP$400,0)),AP$2,)</f>
        <v>0</v>
      </c>
      <c r="AQ213" s="140">
        <f ca="1">IF(ISNUMBER(MATCH(DATEVALUE($A213),'recurring1_based on steps'!AQ$1:AQ$400,0)),AQ$2,)</f>
        <v>0</v>
      </c>
      <c r="AR213" s="140">
        <f ca="1">IF(ISNUMBER(MATCH(DATEVALUE($A213),'recurring1_based on steps'!AR$1:AR$400,0)),AR$2,)</f>
        <v>0</v>
      </c>
      <c r="AS213" s="140">
        <f ca="1">IF(ISNUMBER(MATCH(DATEVALUE($A213),'recurring1_based on steps'!AS$1:AS$400,0)),AS$2,)</f>
        <v>0</v>
      </c>
      <c r="AT213" s="140">
        <f ca="1">IF(ISNUMBER(MATCH(DATEVALUE($A213),'recurring1_based on steps'!AT$1:AT$400,0)),AT$2,)</f>
        <v>0</v>
      </c>
      <c r="AU213" s="140">
        <f ca="1">IF(ISNUMBER(MATCH(DATEVALUE($A213),'recurring1_based on steps'!AU$1:AU$400,0)),AU$2,)</f>
        <v>0</v>
      </c>
      <c r="AV213" s="140">
        <f ca="1">IF(ISNUMBER(MATCH(DATEVALUE($A213),'recurring1_based on steps'!AV$1:AV$400,0)),AV$2,)</f>
        <v>0</v>
      </c>
      <c r="AW213" s="140">
        <f ca="1">IF(ISNUMBER(MATCH(DATEVALUE($A213),'recurring1_based on steps'!AW$1:AW$400,0)),AW$2,)</f>
        <v>0</v>
      </c>
      <c r="AX213" s="140">
        <f ca="1">IF(ISNUMBER(MATCH(DATEVALUE($A213),'recurring1_based on steps'!AX$1:AX$400,0)),AX$2,)</f>
        <v>0</v>
      </c>
      <c r="AY213" s="140">
        <f ca="1">IF(ISNUMBER(MATCH(DATEVALUE($A213),'recurring1_based on steps'!AY$1:AY$400,0)),AY$2,)</f>
        <v>0</v>
      </c>
    </row>
    <row r="214" spans="1:51" x14ac:dyDescent="0.2">
      <c r="A214" s="29" t="str">
        <f t="shared" ca="1" si="3"/>
        <v>2025-10-24</v>
      </c>
      <c r="B214" s="140">
        <f ca="1">IF(ISNUMBER(MATCH(DATEVALUE($A214),'recurring1_based on steps'!B$1:B$400,0)),B$2,)</f>
        <v>0</v>
      </c>
      <c r="C214" s="140">
        <f ca="1">IF(ISNUMBER(MATCH(DATEVALUE($A214),'recurring1_based on steps'!C$1:C$400,0)),C$2,)</f>
        <v>0</v>
      </c>
      <c r="D214" s="140">
        <f ca="1">IF(ISNUMBER(MATCH(DATEVALUE($A214),'recurring1_based on steps'!D$1:D$400,0)),D$2,)</f>
        <v>0</v>
      </c>
      <c r="E214" s="140">
        <f ca="1">IF(ISNUMBER(MATCH(DATEVALUE($A214),'recurring1_based on steps'!E$1:E$400,0)),E$2,)</f>
        <v>0</v>
      </c>
      <c r="F214" s="140">
        <f ca="1">IF(ISNUMBER(MATCH(DATEVALUE($A214),'recurring1_based on steps'!F$1:F$400,0)),F$2,)</f>
        <v>0</v>
      </c>
      <c r="G214" s="140">
        <f ca="1">IF(ISNUMBER(MATCH(DATEVALUE($A214),'recurring1_based on steps'!G$1:G$400,0)),G$2,)</f>
        <v>0</v>
      </c>
      <c r="H214" s="140">
        <f ca="1">IF(ISNUMBER(MATCH(DATEVALUE($A214),'recurring1_based on steps'!H$1:H$400,0)),H$2,)</f>
        <v>0</v>
      </c>
      <c r="I214" s="140">
        <f ca="1">IF(ISNUMBER(MATCH(DATEVALUE($A214),'recurring1_based on steps'!I$1:I$400,0)),I$2,)</f>
        <v>0</v>
      </c>
      <c r="J214" s="140">
        <f ca="1">IF(ISNUMBER(MATCH(DATEVALUE($A214),'recurring1_based on steps'!J$1:J$400,0)),J$2,)</f>
        <v>0</v>
      </c>
      <c r="K214" s="140">
        <f ca="1">IF(ISNUMBER(MATCH(DATEVALUE($A214),'recurring1_based on steps'!K$1:K$400,0)),K$2,)</f>
        <v>0</v>
      </c>
      <c r="L214" s="140">
        <f ca="1">IF(ISNUMBER(MATCH(DATEVALUE($A214),'recurring1_based on steps'!L$1:L$400,0)),L$2,)</f>
        <v>0</v>
      </c>
      <c r="M214" s="140">
        <f ca="1">IF(ISNUMBER(MATCH(DATEVALUE($A214),'recurring1_based on steps'!M$1:M$400,0)),M$2,)</f>
        <v>0</v>
      </c>
      <c r="N214" s="140">
        <f ca="1">IF(ISNUMBER(MATCH(DATEVALUE($A214),'recurring1_based on steps'!N$1:N$400,0)),N$2,)</f>
        <v>0</v>
      </c>
      <c r="O214" s="140">
        <f ca="1">IF(ISNUMBER(MATCH(DATEVALUE($A214),'recurring1_based on steps'!O$1:O$400,0)),O$2,)</f>
        <v>0</v>
      </c>
      <c r="P214" s="140">
        <f ca="1">IF(ISNUMBER(MATCH(DATEVALUE($A214),'recurring1_based on steps'!P$1:P$400,0)),P$2,)</f>
        <v>0</v>
      </c>
      <c r="Q214" s="140">
        <f ca="1">IF(ISNUMBER(MATCH(DATEVALUE($A214),'recurring1_based on steps'!Q$1:Q$400,0)),Q$2,)</f>
        <v>0</v>
      </c>
      <c r="R214" s="140">
        <f ca="1">IF(ISNUMBER(MATCH(DATEVALUE($A214),'recurring1_based on steps'!R$1:R$400,0)),R$2,)</f>
        <v>0</v>
      </c>
      <c r="S214" s="140">
        <f ca="1">IF(ISNUMBER(MATCH(DATEVALUE($A214),'recurring1_based on steps'!S$1:S$400,0)),S$2,)</f>
        <v>0</v>
      </c>
      <c r="T214" s="140">
        <f ca="1">IF(ISNUMBER(MATCH(DATEVALUE($A214),'recurring1_based on steps'!T$1:T$400,0)),T$2,)</f>
        <v>0</v>
      </c>
      <c r="U214" s="140">
        <f ca="1">IF(ISNUMBER(MATCH(DATEVALUE($A214),'recurring1_based on steps'!U$1:U$400,0)),U$2,)</f>
        <v>0</v>
      </c>
      <c r="V214" s="140">
        <f ca="1">IF(ISNUMBER(MATCH(DATEVALUE($A214),'recurring1_based on steps'!V$1:V$400,0)),V$2,)</f>
        <v>0</v>
      </c>
      <c r="W214" s="140">
        <f ca="1">IF(ISNUMBER(MATCH(DATEVALUE($A214),'recurring1_based on steps'!W$1:W$400,0)),W$2,)</f>
        <v>0</v>
      </c>
      <c r="X214" s="140">
        <f ca="1">IF(ISNUMBER(MATCH(DATEVALUE($A214),'recurring1_based on steps'!X$1:X$400,0)),X$2,)</f>
        <v>0</v>
      </c>
      <c r="Y214" s="140">
        <f ca="1">IF(ISNUMBER(MATCH(DATEVALUE($A214),'recurring1_based on steps'!Y$1:Y$400,0)),Y$2,)</f>
        <v>0</v>
      </c>
      <c r="Z214" s="140">
        <f ca="1">IF(ISNUMBER(MATCH(DATEVALUE($A214),'recurring1_based on steps'!Z$1:Z$400,0)),Z$2,)</f>
        <v>0</v>
      </c>
      <c r="AA214" s="140">
        <f ca="1">IF(ISNUMBER(MATCH(DATEVALUE($A214),'recurring1_based on steps'!AA$1:AA$400,0)),AA$2,)</f>
        <v>0</v>
      </c>
      <c r="AB214" s="140">
        <f ca="1">IF(ISNUMBER(MATCH(DATEVALUE($A214),'recurring1_based on steps'!AB$1:AB$400,0)),AB$2,)</f>
        <v>5.5401662049861494E-2</v>
      </c>
      <c r="AC214" s="140">
        <f ca="1">IF(ISNUMBER(MATCH(DATEVALUE($A214),'recurring1_based on steps'!AC$1:AC$400,0)),AC$2,)</f>
        <v>0</v>
      </c>
      <c r="AD214" s="140">
        <f ca="1">IF(ISNUMBER(MATCH(DATEVALUE($A214),'recurring1_based on steps'!AD$1:AD$400,0)),AD$2,)</f>
        <v>0</v>
      </c>
      <c r="AE214" s="140">
        <f ca="1">IF(ISNUMBER(MATCH(DATEVALUE($A214),'recurring1_based on steps'!AE$1:AE$400,0)),AE$2,)</f>
        <v>0</v>
      </c>
      <c r="AF214" s="140">
        <f ca="1">IF(ISNUMBER(MATCH(DATEVALUE($A214),'recurring1_based on steps'!AF$1:AF$400,0)),AF$2,)</f>
        <v>0</v>
      </c>
      <c r="AG214" s="140">
        <f ca="1">IF(ISNUMBER(MATCH(DATEVALUE($A214),'recurring1_based on steps'!AG$1:AG$400,0)),AG$2,)</f>
        <v>0</v>
      </c>
      <c r="AH214" s="140">
        <f ca="1">IF(ISNUMBER(MATCH(DATEVALUE($A214),'recurring1_based on steps'!AH$1:AH$400,0)),AH$2,)</f>
        <v>0</v>
      </c>
      <c r="AI214" s="140">
        <f ca="1">IF(ISNUMBER(MATCH(DATEVALUE($A214),'recurring1_based on steps'!AI$1:AI$400,0)),AI$2,)</f>
        <v>0</v>
      </c>
      <c r="AJ214" s="140">
        <f ca="1">IF(ISNUMBER(MATCH(DATEVALUE($A214),'recurring1_based on steps'!AJ$1:AJ$400,0)),AJ$2,)</f>
        <v>0</v>
      </c>
      <c r="AK214" s="140">
        <f ca="1">IF(ISNUMBER(MATCH(DATEVALUE($A214),'recurring1_based on steps'!AK$1:AK$400,0)),AK$2,)</f>
        <v>0</v>
      </c>
      <c r="AL214" s="140">
        <f ca="1">IF(ISNUMBER(MATCH(DATEVALUE($A214),'recurring1_based on steps'!AL$1:AL$400,0)),AL$2,)</f>
        <v>0</v>
      </c>
      <c r="AM214" s="140">
        <f ca="1">IF(ISNUMBER(MATCH(DATEVALUE($A214),'recurring1_based on steps'!AM$1:AM$400,0)),AM$2,)</f>
        <v>0</v>
      </c>
      <c r="AN214" s="140">
        <f ca="1">IF(ISNUMBER(MATCH(DATEVALUE($A214),'recurring1_based on steps'!AN$1:AN$400,0)),AN$2,)</f>
        <v>0</v>
      </c>
      <c r="AO214" s="140">
        <f ca="1">IF(ISNUMBER(MATCH(DATEVALUE($A214),'recurring1_based on steps'!AO$1:AO$400,0)),AO$2,)</f>
        <v>0</v>
      </c>
      <c r="AP214" s="140">
        <f ca="1">IF(ISNUMBER(MATCH(DATEVALUE($A214),'recurring1_based on steps'!AP$1:AP$400,0)),AP$2,)</f>
        <v>0</v>
      </c>
      <c r="AQ214" s="140">
        <f ca="1">IF(ISNUMBER(MATCH(DATEVALUE($A214),'recurring1_based on steps'!AQ$1:AQ$400,0)),AQ$2,)</f>
        <v>0</v>
      </c>
      <c r="AR214" s="140">
        <f ca="1">IF(ISNUMBER(MATCH(DATEVALUE($A214),'recurring1_based on steps'!AR$1:AR$400,0)),AR$2,)</f>
        <v>0</v>
      </c>
      <c r="AS214" s="140">
        <f ca="1">IF(ISNUMBER(MATCH(DATEVALUE($A214),'recurring1_based on steps'!AS$1:AS$400,0)),AS$2,)</f>
        <v>0</v>
      </c>
      <c r="AT214" s="140">
        <f ca="1">IF(ISNUMBER(MATCH(DATEVALUE($A214),'recurring1_based on steps'!AT$1:AT$400,0)),AT$2,)</f>
        <v>0</v>
      </c>
      <c r="AU214" s="140">
        <f ca="1">IF(ISNUMBER(MATCH(DATEVALUE($A214),'recurring1_based on steps'!AU$1:AU$400,0)),AU$2,)</f>
        <v>0</v>
      </c>
      <c r="AV214" s="140">
        <f ca="1">IF(ISNUMBER(MATCH(DATEVALUE($A214),'recurring1_based on steps'!AV$1:AV$400,0)),AV$2,)</f>
        <v>0</v>
      </c>
      <c r="AW214" s="140">
        <f ca="1">IF(ISNUMBER(MATCH(DATEVALUE($A214),'recurring1_based on steps'!AW$1:AW$400,0)),AW$2,)</f>
        <v>0</v>
      </c>
      <c r="AX214" s="140">
        <f ca="1">IF(ISNUMBER(MATCH(DATEVALUE($A214),'recurring1_based on steps'!AX$1:AX$400,0)),AX$2,)</f>
        <v>0</v>
      </c>
      <c r="AY214" s="140">
        <f ca="1">IF(ISNUMBER(MATCH(DATEVALUE($A214),'recurring1_based on steps'!AY$1:AY$400,0)),AY$2,)</f>
        <v>0</v>
      </c>
    </row>
    <row r="215" spans="1:51" x14ac:dyDescent="0.2">
      <c r="A215" s="29" t="str">
        <f t="shared" ca="1" si="3"/>
        <v>2025-10-25</v>
      </c>
      <c r="B215" s="140">
        <f ca="1">IF(ISNUMBER(MATCH(DATEVALUE($A215),'recurring1_based on steps'!B$1:B$400,0)),B$2,)</f>
        <v>0</v>
      </c>
      <c r="C215" s="140">
        <f ca="1">IF(ISNUMBER(MATCH(DATEVALUE($A215),'recurring1_based on steps'!C$1:C$400,0)),C$2,)</f>
        <v>0</v>
      </c>
      <c r="D215" s="140">
        <f ca="1">IF(ISNUMBER(MATCH(DATEVALUE($A215),'recurring1_based on steps'!D$1:D$400,0)),D$2,)</f>
        <v>0</v>
      </c>
      <c r="E215" s="140">
        <f ca="1">IF(ISNUMBER(MATCH(DATEVALUE($A215),'recurring1_based on steps'!E$1:E$400,0)),E$2,)</f>
        <v>0</v>
      </c>
      <c r="F215" s="140">
        <f ca="1">IF(ISNUMBER(MATCH(DATEVALUE($A215),'recurring1_based on steps'!F$1:F$400,0)),F$2,)</f>
        <v>0</v>
      </c>
      <c r="G215" s="140">
        <f ca="1">IF(ISNUMBER(MATCH(DATEVALUE($A215),'recurring1_based on steps'!G$1:G$400,0)),G$2,)</f>
        <v>0</v>
      </c>
      <c r="H215" s="140">
        <f ca="1">IF(ISNUMBER(MATCH(DATEVALUE($A215),'recurring1_based on steps'!H$1:H$400,0)),H$2,)</f>
        <v>0</v>
      </c>
      <c r="I215" s="140">
        <f ca="1">IF(ISNUMBER(MATCH(DATEVALUE($A215),'recurring1_based on steps'!I$1:I$400,0)),I$2,)</f>
        <v>0</v>
      </c>
      <c r="J215" s="140">
        <f ca="1">IF(ISNUMBER(MATCH(DATEVALUE($A215),'recurring1_based on steps'!J$1:J$400,0)),J$2,)</f>
        <v>0</v>
      </c>
      <c r="K215" s="140">
        <f ca="1">IF(ISNUMBER(MATCH(DATEVALUE($A215),'recurring1_based on steps'!K$1:K$400,0)),K$2,)</f>
        <v>0</v>
      </c>
      <c r="L215" s="140">
        <f ca="1">IF(ISNUMBER(MATCH(DATEVALUE($A215),'recurring1_based on steps'!L$1:L$400,0)),L$2,)</f>
        <v>0</v>
      </c>
      <c r="M215" s="140">
        <f ca="1">IF(ISNUMBER(MATCH(DATEVALUE($A215),'recurring1_based on steps'!M$1:M$400,0)),M$2,)</f>
        <v>0</v>
      </c>
      <c r="N215" s="140">
        <f ca="1">IF(ISNUMBER(MATCH(DATEVALUE($A215),'recurring1_based on steps'!N$1:N$400,0)),N$2,)</f>
        <v>0</v>
      </c>
      <c r="O215" s="140">
        <f ca="1">IF(ISNUMBER(MATCH(DATEVALUE($A215),'recurring1_based on steps'!O$1:O$400,0)),O$2,)</f>
        <v>0</v>
      </c>
      <c r="P215" s="140">
        <f ca="1">IF(ISNUMBER(MATCH(DATEVALUE($A215),'recurring1_based on steps'!P$1:P$400,0)),P$2,)</f>
        <v>0</v>
      </c>
      <c r="Q215" s="140">
        <f ca="1">IF(ISNUMBER(MATCH(DATEVALUE($A215),'recurring1_based on steps'!Q$1:Q$400,0)),Q$2,)</f>
        <v>100</v>
      </c>
      <c r="R215" s="140">
        <f ca="1">IF(ISNUMBER(MATCH(DATEVALUE($A215),'recurring1_based on steps'!R$1:R$400,0)),R$2,)</f>
        <v>100</v>
      </c>
      <c r="S215" s="140">
        <f ca="1">IF(ISNUMBER(MATCH(DATEVALUE($A215),'recurring1_based on steps'!S$1:S$400,0)),S$2,)</f>
        <v>0</v>
      </c>
      <c r="T215" s="140">
        <f ca="1">IF(ISNUMBER(MATCH(DATEVALUE($A215),'recurring1_based on steps'!T$1:T$400,0)),T$2,)</f>
        <v>0</v>
      </c>
      <c r="U215" s="140">
        <f ca="1">IF(ISNUMBER(MATCH(DATEVALUE($A215),'recurring1_based on steps'!U$1:U$400,0)),U$2,)</f>
        <v>0</v>
      </c>
      <c r="V215" s="140">
        <f ca="1">IF(ISNUMBER(MATCH(DATEVALUE($A215),'recurring1_based on steps'!V$1:V$400,0)),V$2,)</f>
        <v>0</v>
      </c>
      <c r="W215" s="140">
        <f ca="1">IF(ISNUMBER(MATCH(DATEVALUE($A215),'recurring1_based on steps'!W$1:W$400,0)),W$2,)</f>
        <v>0</v>
      </c>
      <c r="X215" s="140">
        <f ca="1">IF(ISNUMBER(MATCH(DATEVALUE($A215),'recurring1_based on steps'!X$1:X$400,0)),X$2,)</f>
        <v>0</v>
      </c>
      <c r="Y215" s="140">
        <f ca="1">IF(ISNUMBER(MATCH(DATEVALUE($A215),'recurring1_based on steps'!Y$1:Y$400,0)),Y$2,)</f>
        <v>0</v>
      </c>
      <c r="Z215" s="140">
        <f ca="1">IF(ISNUMBER(MATCH(DATEVALUE($A215),'recurring1_based on steps'!Z$1:Z$400,0)),Z$2,)</f>
        <v>0</v>
      </c>
      <c r="AA215" s="140">
        <f ca="1">IF(ISNUMBER(MATCH(DATEVALUE($A215),'recurring1_based on steps'!AA$1:AA$400,0)),AA$2,)</f>
        <v>0</v>
      </c>
      <c r="AB215" s="140">
        <f ca="1">IF(ISNUMBER(MATCH(DATEVALUE($A215),'recurring1_based on steps'!AB$1:AB$400,0)),AB$2,)</f>
        <v>5.5401662049861494E-2</v>
      </c>
      <c r="AC215" s="140">
        <f ca="1">IF(ISNUMBER(MATCH(DATEVALUE($A215),'recurring1_based on steps'!AC$1:AC$400,0)),AC$2,)</f>
        <v>0</v>
      </c>
      <c r="AD215" s="140">
        <f ca="1">IF(ISNUMBER(MATCH(DATEVALUE($A215),'recurring1_based on steps'!AD$1:AD$400,0)),AD$2,)</f>
        <v>0</v>
      </c>
      <c r="AE215" s="140">
        <f ca="1">IF(ISNUMBER(MATCH(DATEVALUE($A215),'recurring1_based on steps'!AE$1:AE$400,0)),AE$2,)</f>
        <v>0</v>
      </c>
      <c r="AF215" s="140">
        <f ca="1">IF(ISNUMBER(MATCH(DATEVALUE($A215),'recurring1_based on steps'!AF$1:AF$400,0)),AF$2,)</f>
        <v>0</v>
      </c>
      <c r="AG215" s="140">
        <f ca="1">IF(ISNUMBER(MATCH(DATEVALUE($A215),'recurring1_based on steps'!AG$1:AG$400,0)),AG$2,)</f>
        <v>0</v>
      </c>
      <c r="AH215" s="140">
        <f ca="1">IF(ISNUMBER(MATCH(DATEVALUE($A215),'recurring1_based on steps'!AH$1:AH$400,0)),AH$2,)</f>
        <v>0</v>
      </c>
      <c r="AI215" s="140">
        <f ca="1">IF(ISNUMBER(MATCH(DATEVALUE($A215),'recurring1_based on steps'!AI$1:AI$400,0)),AI$2,)</f>
        <v>0</v>
      </c>
      <c r="AJ215" s="140">
        <f ca="1">IF(ISNUMBER(MATCH(DATEVALUE($A215),'recurring1_based on steps'!AJ$1:AJ$400,0)),AJ$2,)</f>
        <v>0</v>
      </c>
      <c r="AK215" s="140">
        <f ca="1">IF(ISNUMBER(MATCH(DATEVALUE($A215),'recurring1_based on steps'!AK$1:AK$400,0)),AK$2,)</f>
        <v>0</v>
      </c>
      <c r="AL215" s="140">
        <f ca="1">IF(ISNUMBER(MATCH(DATEVALUE($A215),'recurring1_based on steps'!AL$1:AL$400,0)),AL$2,)</f>
        <v>0</v>
      </c>
      <c r="AM215" s="140">
        <f ca="1">IF(ISNUMBER(MATCH(DATEVALUE($A215),'recurring1_based on steps'!AM$1:AM$400,0)),AM$2,)</f>
        <v>0</v>
      </c>
      <c r="AN215" s="140">
        <f ca="1">IF(ISNUMBER(MATCH(DATEVALUE($A215),'recurring1_based on steps'!AN$1:AN$400,0)),AN$2,)</f>
        <v>0</v>
      </c>
      <c r="AO215" s="140">
        <f ca="1">IF(ISNUMBER(MATCH(DATEVALUE($A215),'recurring1_based on steps'!AO$1:AO$400,0)),AO$2,)</f>
        <v>0</v>
      </c>
      <c r="AP215" s="140">
        <f ca="1">IF(ISNUMBER(MATCH(DATEVALUE($A215),'recurring1_based on steps'!AP$1:AP$400,0)),AP$2,)</f>
        <v>0</v>
      </c>
      <c r="AQ215" s="140">
        <f ca="1">IF(ISNUMBER(MATCH(DATEVALUE($A215),'recurring1_based on steps'!AQ$1:AQ$400,0)),AQ$2,)</f>
        <v>0</v>
      </c>
      <c r="AR215" s="140">
        <f ca="1">IF(ISNUMBER(MATCH(DATEVALUE($A215),'recurring1_based on steps'!AR$1:AR$400,0)),AR$2,)</f>
        <v>0</v>
      </c>
      <c r="AS215" s="140">
        <f ca="1">IF(ISNUMBER(MATCH(DATEVALUE($A215),'recurring1_based on steps'!AS$1:AS$400,0)),AS$2,)</f>
        <v>0</v>
      </c>
      <c r="AT215" s="140">
        <f ca="1">IF(ISNUMBER(MATCH(DATEVALUE($A215),'recurring1_based on steps'!AT$1:AT$400,0)),AT$2,)</f>
        <v>0</v>
      </c>
      <c r="AU215" s="140">
        <f ca="1">IF(ISNUMBER(MATCH(DATEVALUE($A215),'recurring1_based on steps'!AU$1:AU$400,0)),AU$2,)</f>
        <v>0</v>
      </c>
      <c r="AV215" s="140">
        <f ca="1">IF(ISNUMBER(MATCH(DATEVALUE($A215),'recurring1_based on steps'!AV$1:AV$400,0)),AV$2,)</f>
        <v>0</v>
      </c>
      <c r="AW215" s="140">
        <f ca="1">IF(ISNUMBER(MATCH(DATEVALUE($A215),'recurring1_based on steps'!AW$1:AW$400,0)),AW$2,)</f>
        <v>0</v>
      </c>
      <c r="AX215" s="140">
        <f ca="1">IF(ISNUMBER(MATCH(DATEVALUE($A215),'recurring1_based on steps'!AX$1:AX$400,0)),AX$2,)</f>
        <v>0</v>
      </c>
      <c r="AY215" s="140">
        <f ca="1">IF(ISNUMBER(MATCH(DATEVALUE($A215),'recurring1_based on steps'!AY$1:AY$400,0)),AY$2,)</f>
        <v>0</v>
      </c>
    </row>
    <row r="216" spans="1:51" x14ac:dyDescent="0.2">
      <c r="A216" s="29" t="str">
        <f t="shared" ca="1" si="3"/>
        <v>2025-10-26</v>
      </c>
      <c r="B216" s="140">
        <f ca="1">IF(ISNUMBER(MATCH(DATEVALUE($A216),'recurring1_based on steps'!B$1:B$400,0)),B$2,)</f>
        <v>0</v>
      </c>
      <c r="C216" s="140">
        <f ca="1">IF(ISNUMBER(MATCH(DATEVALUE($A216),'recurring1_based on steps'!C$1:C$400,0)),C$2,)</f>
        <v>0</v>
      </c>
      <c r="D216" s="140">
        <f ca="1">IF(ISNUMBER(MATCH(DATEVALUE($A216),'recurring1_based on steps'!D$1:D$400,0)),D$2,)</f>
        <v>0</v>
      </c>
      <c r="E216" s="140">
        <f ca="1">IF(ISNUMBER(MATCH(DATEVALUE($A216),'recurring1_based on steps'!E$1:E$400,0)),E$2,)</f>
        <v>0</v>
      </c>
      <c r="F216" s="140">
        <f ca="1">IF(ISNUMBER(MATCH(DATEVALUE($A216),'recurring1_based on steps'!F$1:F$400,0)),F$2,)</f>
        <v>0</v>
      </c>
      <c r="G216" s="140">
        <f ca="1">IF(ISNUMBER(MATCH(DATEVALUE($A216),'recurring1_based on steps'!G$1:G$400,0)),G$2,)</f>
        <v>0</v>
      </c>
      <c r="H216" s="140">
        <f ca="1">IF(ISNUMBER(MATCH(DATEVALUE($A216),'recurring1_based on steps'!H$1:H$400,0)),H$2,)</f>
        <v>0</v>
      </c>
      <c r="I216" s="140">
        <f ca="1">IF(ISNUMBER(MATCH(DATEVALUE($A216),'recurring1_based on steps'!I$1:I$400,0)),I$2,)</f>
        <v>0</v>
      </c>
      <c r="J216" s="140">
        <f ca="1">IF(ISNUMBER(MATCH(DATEVALUE($A216),'recurring1_based on steps'!J$1:J$400,0)),J$2,)</f>
        <v>0</v>
      </c>
      <c r="K216" s="140">
        <f ca="1">IF(ISNUMBER(MATCH(DATEVALUE($A216),'recurring1_based on steps'!K$1:K$400,0)),K$2,)</f>
        <v>50</v>
      </c>
      <c r="L216" s="140">
        <f ca="1">IF(ISNUMBER(MATCH(DATEVALUE($A216),'recurring1_based on steps'!L$1:L$400,0)),L$2,)</f>
        <v>0</v>
      </c>
      <c r="M216" s="140">
        <f ca="1">IF(ISNUMBER(MATCH(DATEVALUE($A216),'recurring1_based on steps'!M$1:M$400,0)),M$2,)</f>
        <v>0</v>
      </c>
      <c r="N216" s="140">
        <f ca="1">IF(ISNUMBER(MATCH(DATEVALUE($A216),'recurring1_based on steps'!N$1:N$400,0)),N$2,)</f>
        <v>0</v>
      </c>
      <c r="O216" s="140">
        <f ca="1">IF(ISNUMBER(MATCH(DATEVALUE($A216),'recurring1_based on steps'!O$1:O$400,0)),O$2,)</f>
        <v>0</v>
      </c>
      <c r="P216" s="140">
        <f ca="1">IF(ISNUMBER(MATCH(DATEVALUE($A216),'recurring1_based on steps'!P$1:P$400,0)),P$2,)</f>
        <v>0</v>
      </c>
      <c r="Q216" s="140">
        <f ca="1">IF(ISNUMBER(MATCH(DATEVALUE($A216),'recurring1_based on steps'!Q$1:Q$400,0)),Q$2,)</f>
        <v>0</v>
      </c>
      <c r="R216" s="140">
        <f ca="1">IF(ISNUMBER(MATCH(DATEVALUE($A216),'recurring1_based on steps'!R$1:R$400,0)),R$2,)</f>
        <v>0</v>
      </c>
      <c r="S216" s="140">
        <f ca="1">IF(ISNUMBER(MATCH(DATEVALUE($A216),'recurring1_based on steps'!S$1:S$400,0)),S$2,)</f>
        <v>100</v>
      </c>
      <c r="T216" s="140">
        <f ca="1">IF(ISNUMBER(MATCH(DATEVALUE($A216),'recurring1_based on steps'!T$1:T$400,0)),T$2,)</f>
        <v>0</v>
      </c>
      <c r="U216" s="140">
        <f ca="1">IF(ISNUMBER(MATCH(DATEVALUE($A216),'recurring1_based on steps'!U$1:U$400,0)),U$2,)</f>
        <v>0</v>
      </c>
      <c r="V216" s="140">
        <f ca="1">IF(ISNUMBER(MATCH(DATEVALUE($A216),'recurring1_based on steps'!V$1:V$400,0)),V$2,)</f>
        <v>0</v>
      </c>
      <c r="W216" s="140">
        <f ca="1">IF(ISNUMBER(MATCH(DATEVALUE($A216),'recurring1_based on steps'!W$1:W$400,0)),W$2,)</f>
        <v>0</v>
      </c>
      <c r="X216" s="140">
        <f ca="1">IF(ISNUMBER(MATCH(DATEVALUE($A216),'recurring1_based on steps'!X$1:X$400,0)),X$2,)</f>
        <v>0</v>
      </c>
      <c r="Y216" s="140">
        <f ca="1">IF(ISNUMBER(MATCH(DATEVALUE($A216),'recurring1_based on steps'!Y$1:Y$400,0)),Y$2,)</f>
        <v>0</v>
      </c>
      <c r="Z216" s="140">
        <f ca="1">IF(ISNUMBER(MATCH(DATEVALUE($A216),'recurring1_based on steps'!Z$1:Z$400,0)),Z$2,)</f>
        <v>0</v>
      </c>
      <c r="AA216" s="140">
        <f ca="1">IF(ISNUMBER(MATCH(DATEVALUE($A216),'recurring1_based on steps'!AA$1:AA$400,0)),AA$2,)</f>
        <v>0</v>
      </c>
      <c r="AB216" s="140">
        <f ca="1">IF(ISNUMBER(MATCH(DATEVALUE($A216),'recurring1_based on steps'!AB$1:AB$400,0)),AB$2,)</f>
        <v>5.5401662049861494E-2</v>
      </c>
      <c r="AC216" s="140">
        <f ca="1">IF(ISNUMBER(MATCH(DATEVALUE($A216),'recurring1_based on steps'!AC$1:AC$400,0)),AC$2,)</f>
        <v>0</v>
      </c>
      <c r="AD216" s="140">
        <f ca="1">IF(ISNUMBER(MATCH(DATEVALUE($A216),'recurring1_based on steps'!AD$1:AD$400,0)),AD$2,)</f>
        <v>0</v>
      </c>
      <c r="AE216" s="140">
        <f ca="1">IF(ISNUMBER(MATCH(DATEVALUE($A216),'recurring1_based on steps'!AE$1:AE$400,0)),AE$2,)</f>
        <v>0</v>
      </c>
      <c r="AF216" s="140">
        <f ca="1">IF(ISNUMBER(MATCH(DATEVALUE($A216),'recurring1_based on steps'!AF$1:AF$400,0)),AF$2,)</f>
        <v>0</v>
      </c>
      <c r="AG216" s="140">
        <f ca="1">IF(ISNUMBER(MATCH(DATEVALUE($A216),'recurring1_based on steps'!AG$1:AG$400,0)),AG$2,)</f>
        <v>0</v>
      </c>
      <c r="AH216" s="140">
        <f ca="1">IF(ISNUMBER(MATCH(DATEVALUE($A216),'recurring1_based on steps'!AH$1:AH$400,0)),AH$2,)</f>
        <v>0</v>
      </c>
      <c r="AI216" s="140">
        <f ca="1">IF(ISNUMBER(MATCH(DATEVALUE($A216),'recurring1_based on steps'!AI$1:AI$400,0)),AI$2,)</f>
        <v>0</v>
      </c>
      <c r="AJ216" s="140">
        <f ca="1">IF(ISNUMBER(MATCH(DATEVALUE($A216),'recurring1_based on steps'!AJ$1:AJ$400,0)),AJ$2,)</f>
        <v>0</v>
      </c>
      <c r="AK216" s="140">
        <f ca="1">IF(ISNUMBER(MATCH(DATEVALUE($A216),'recurring1_based on steps'!AK$1:AK$400,0)),AK$2,)</f>
        <v>0</v>
      </c>
      <c r="AL216" s="140">
        <f ca="1">IF(ISNUMBER(MATCH(DATEVALUE($A216),'recurring1_based on steps'!AL$1:AL$400,0)),AL$2,)</f>
        <v>0</v>
      </c>
      <c r="AM216" s="140">
        <f ca="1">IF(ISNUMBER(MATCH(DATEVALUE($A216),'recurring1_based on steps'!AM$1:AM$400,0)),AM$2,)</f>
        <v>0</v>
      </c>
      <c r="AN216" s="140">
        <f ca="1">IF(ISNUMBER(MATCH(DATEVALUE($A216),'recurring1_based on steps'!AN$1:AN$400,0)),AN$2,)</f>
        <v>0</v>
      </c>
      <c r="AO216" s="140">
        <f ca="1">IF(ISNUMBER(MATCH(DATEVALUE($A216),'recurring1_based on steps'!AO$1:AO$400,0)),AO$2,)</f>
        <v>0</v>
      </c>
      <c r="AP216" s="140">
        <f ca="1">IF(ISNUMBER(MATCH(DATEVALUE($A216),'recurring1_based on steps'!AP$1:AP$400,0)),AP$2,)</f>
        <v>0</v>
      </c>
      <c r="AQ216" s="140">
        <f ca="1">IF(ISNUMBER(MATCH(DATEVALUE($A216),'recurring1_based on steps'!AQ$1:AQ$400,0)),AQ$2,)</f>
        <v>0</v>
      </c>
      <c r="AR216" s="140">
        <f ca="1">IF(ISNUMBER(MATCH(DATEVALUE($A216),'recurring1_based on steps'!AR$1:AR$400,0)),AR$2,)</f>
        <v>0</v>
      </c>
      <c r="AS216" s="140">
        <f ca="1">IF(ISNUMBER(MATCH(DATEVALUE($A216),'recurring1_based on steps'!AS$1:AS$400,0)),AS$2,)</f>
        <v>0</v>
      </c>
      <c r="AT216" s="140">
        <f ca="1">IF(ISNUMBER(MATCH(DATEVALUE($A216),'recurring1_based on steps'!AT$1:AT$400,0)),AT$2,)</f>
        <v>0</v>
      </c>
      <c r="AU216" s="140">
        <f ca="1">IF(ISNUMBER(MATCH(DATEVALUE($A216),'recurring1_based on steps'!AU$1:AU$400,0)),AU$2,)</f>
        <v>0</v>
      </c>
      <c r="AV216" s="140">
        <f ca="1">IF(ISNUMBER(MATCH(DATEVALUE($A216),'recurring1_based on steps'!AV$1:AV$400,0)),AV$2,)</f>
        <v>0</v>
      </c>
      <c r="AW216" s="140">
        <f ca="1">IF(ISNUMBER(MATCH(DATEVALUE($A216),'recurring1_based on steps'!AW$1:AW$400,0)),AW$2,)</f>
        <v>0</v>
      </c>
      <c r="AX216" s="140">
        <f ca="1">IF(ISNUMBER(MATCH(DATEVALUE($A216),'recurring1_based on steps'!AX$1:AX$400,0)),AX$2,)</f>
        <v>0</v>
      </c>
      <c r="AY216" s="140">
        <f ca="1">IF(ISNUMBER(MATCH(DATEVALUE($A216),'recurring1_based on steps'!AY$1:AY$400,0)),AY$2,)</f>
        <v>0</v>
      </c>
    </row>
    <row r="217" spans="1:51" x14ac:dyDescent="0.2">
      <c r="A217" s="29" t="str">
        <f t="shared" ca="1" si="3"/>
        <v>2025-10-27</v>
      </c>
      <c r="B217" s="140">
        <f ca="1">IF(ISNUMBER(MATCH(DATEVALUE($A217),'recurring1_based on steps'!B$1:B$400,0)),B$2,)</f>
        <v>0</v>
      </c>
      <c r="C217" s="140">
        <f ca="1">IF(ISNUMBER(MATCH(DATEVALUE($A217),'recurring1_based on steps'!C$1:C$400,0)),C$2,)</f>
        <v>0</v>
      </c>
      <c r="D217" s="140">
        <f ca="1">IF(ISNUMBER(MATCH(DATEVALUE($A217),'recurring1_based on steps'!D$1:D$400,0)),D$2,)</f>
        <v>0</v>
      </c>
      <c r="E217" s="140">
        <f ca="1">IF(ISNUMBER(MATCH(DATEVALUE($A217),'recurring1_based on steps'!E$1:E$400,0)),E$2,)</f>
        <v>0</v>
      </c>
      <c r="F217" s="140">
        <f ca="1">IF(ISNUMBER(MATCH(DATEVALUE($A217),'recurring1_based on steps'!F$1:F$400,0)),F$2,)</f>
        <v>0</v>
      </c>
      <c r="G217" s="140">
        <f ca="1">IF(ISNUMBER(MATCH(DATEVALUE($A217),'recurring1_based on steps'!G$1:G$400,0)),G$2,)</f>
        <v>0</v>
      </c>
      <c r="H217" s="140">
        <f ca="1">IF(ISNUMBER(MATCH(DATEVALUE($A217),'recurring1_based on steps'!H$1:H$400,0)),H$2,)</f>
        <v>0</v>
      </c>
      <c r="I217" s="140">
        <f ca="1">IF(ISNUMBER(MATCH(DATEVALUE($A217),'recurring1_based on steps'!I$1:I$400,0)),I$2,)</f>
        <v>0</v>
      </c>
      <c r="J217" s="140">
        <f ca="1">IF(ISNUMBER(MATCH(DATEVALUE($A217),'recurring1_based on steps'!J$1:J$400,0)),J$2,)</f>
        <v>0</v>
      </c>
      <c r="K217" s="140">
        <f ca="1">IF(ISNUMBER(MATCH(DATEVALUE($A217),'recurring1_based on steps'!K$1:K$400,0)),K$2,)</f>
        <v>0</v>
      </c>
      <c r="L217" s="140">
        <f ca="1">IF(ISNUMBER(MATCH(DATEVALUE($A217),'recurring1_based on steps'!L$1:L$400,0)),L$2,)</f>
        <v>0</v>
      </c>
      <c r="M217" s="140">
        <f ca="1">IF(ISNUMBER(MATCH(DATEVALUE($A217),'recurring1_based on steps'!M$1:M$400,0)),M$2,)</f>
        <v>0</v>
      </c>
      <c r="N217" s="140">
        <f ca="1">IF(ISNUMBER(MATCH(DATEVALUE($A217),'recurring1_based on steps'!N$1:N$400,0)),N$2,)</f>
        <v>0</v>
      </c>
      <c r="O217" s="140">
        <f ca="1">IF(ISNUMBER(MATCH(DATEVALUE($A217),'recurring1_based on steps'!O$1:O$400,0)),O$2,)</f>
        <v>0</v>
      </c>
      <c r="P217" s="140">
        <f ca="1">IF(ISNUMBER(MATCH(DATEVALUE($A217),'recurring1_based on steps'!P$1:P$400,0)),P$2,)</f>
        <v>2.99</v>
      </c>
      <c r="Q217" s="140">
        <f ca="1">IF(ISNUMBER(MATCH(DATEVALUE($A217),'recurring1_based on steps'!Q$1:Q$400,0)),Q$2,)</f>
        <v>0</v>
      </c>
      <c r="R217" s="140">
        <f ca="1">IF(ISNUMBER(MATCH(DATEVALUE($A217),'recurring1_based on steps'!R$1:R$400,0)),R$2,)</f>
        <v>0</v>
      </c>
      <c r="S217" s="140">
        <f ca="1">IF(ISNUMBER(MATCH(DATEVALUE($A217),'recurring1_based on steps'!S$1:S$400,0)),S$2,)</f>
        <v>0</v>
      </c>
      <c r="T217" s="140">
        <f ca="1">IF(ISNUMBER(MATCH(DATEVALUE($A217),'recurring1_based on steps'!T$1:T$400,0)),T$2,)</f>
        <v>0</v>
      </c>
      <c r="U217" s="140">
        <f ca="1">IF(ISNUMBER(MATCH(DATEVALUE($A217),'recurring1_based on steps'!U$1:U$400,0)),U$2,)</f>
        <v>0</v>
      </c>
      <c r="V217" s="140">
        <f ca="1">IF(ISNUMBER(MATCH(DATEVALUE($A217),'recurring1_based on steps'!V$1:V$400,0)),V$2,)</f>
        <v>0</v>
      </c>
      <c r="W217" s="140">
        <f ca="1">IF(ISNUMBER(MATCH(DATEVALUE($A217),'recurring1_based on steps'!W$1:W$400,0)),W$2,)</f>
        <v>0</v>
      </c>
      <c r="X217" s="140">
        <f ca="1">IF(ISNUMBER(MATCH(DATEVALUE($A217),'recurring1_based on steps'!X$1:X$400,0)),X$2,)</f>
        <v>0</v>
      </c>
      <c r="Y217" s="140">
        <f ca="1">IF(ISNUMBER(MATCH(DATEVALUE($A217),'recurring1_based on steps'!Y$1:Y$400,0)),Y$2,)</f>
        <v>0</v>
      </c>
      <c r="Z217" s="140">
        <f ca="1">IF(ISNUMBER(MATCH(DATEVALUE($A217),'recurring1_based on steps'!Z$1:Z$400,0)),Z$2,)</f>
        <v>0</v>
      </c>
      <c r="AA217" s="140">
        <f ca="1">IF(ISNUMBER(MATCH(DATEVALUE($A217),'recurring1_based on steps'!AA$1:AA$400,0)),AA$2,)</f>
        <v>0</v>
      </c>
      <c r="AB217" s="140">
        <f ca="1">IF(ISNUMBER(MATCH(DATEVALUE($A217),'recurring1_based on steps'!AB$1:AB$400,0)),AB$2,)</f>
        <v>5.5401662049861494E-2</v>
      </c>
      <c r="AC217" s="140">
        <f ca="1">IF(ISNUMBER(MATCH(DATEVALUE($A217),'recurring1_based on steps'!AC$1:AC$400,0)),AC$2,)</f>
        <v>0</v>
      </c>
      <c r="AD217" s="140">
        <f ca="1">IF(ISNUMBER(MATCH(DATEVALUE($A217),'recurring1_based on steps'!AD$1:AD$400,0)),AD$2,)</f>
        <v>0</v>
      </c>
      <c r="AE217" s="140">
        <f ca="1">IF(ISNUMBER(MATCH(DATEVALUE($A217),'recurring1_based on steps'!AE$1:AE$400,0)),AE$2,)</f>
        <v>0</v>
      </c>
      <c r="AF217" s="140">
        <f ca="1">IF(ISNUMBER(MATCH(DATEVALUE($A217),'recurring1_based on steps'!AF$1:AF$400,0)),AF$2,)</f>
        <v>0</v>
      </c>
      <c r="AG217" s="140">
        <f ca="1">IF(ISNUMBER(MATCH(DATEVALUE($A217),'recurring1_based on steps'!AG$1:AG$400,0)),AG$2,)</f>
        <v>0</v>
      </c>
      <c r="AH217" s="140">
        <f ca="1">IF(ISNUMBER(MATCH(DATEVALUE($A217),'recurring1_based on steps'!AH$1:AH$400,0)),AH$2,)</f>
        <v>0</v>
      </c>
      <c r="AI217" s="140">
        <f ca="1">IF(ISNUMBER(MATCH(DATEVALUE($A217),'recurring1_based on steps'!AI$1:AI$400,0)),AI$2,)</f>
        <v>0</v>
      </c>
      <c r="AJ217" s="140">
        <f ca="1">IF(ISNUMBER(MATCH(DATEVALUE($A217),'recurring1_based on steps'!AJ$1:AJ$400,0)),AJ$2,)</f>
        <v>0</v>
      </c>
      <c r="AK217" s="140">
        <f ca="1">IF(ISNUMBER(MATCH(DATEVALUE($A217),'recurring1_based on steps'!AK$1:AK$400,0)),AK$2,)</f>
        <v>0</v>
      </c>
      <c r="AL217" s="140">
        <f ca="1">IF(ISNUMBER(MATCH(DATEVALUE($A217),'recurring1_based on steps'!AL$1:AL$400,0)),AL$2,)</f>
        <v>0</v>
      </c>
      <c r="AM217" s="140">
        <f ca="1">IF(ISNUMBER(MATCH(DATEVALUE($A217),'recurring1_based on steps'!AM$1:AM$400,0)),AM$2,)</f>
        <v>0</v>
      </c>
      <c r="AN217" s="140">
        <f ca="1">IF(ISNUMBER(MATCH(DATEVALUE($A217),'recurring1_based on steps'!AN$1:AN$400,0)),AN$2,)</f>
        <v>0</v>
      </c>
      <c r="AO217" s="140">
        <f ca="1">IF(ISNUMBER(MATCH(DATEVALUE($A217),'recurring1_based on steps'!AO$1:AO$400,0)),AO$2,)</f>
        <v>0</v>
      </c>
      <c r="AP217" s="140">
        <f ca="1">IF(ISNUMBER(MATCH(DATEVALUE($A217),'recurring1_based on steps'!AP$1:AP$400,0)),AP$2,)</f>
        <v>0</v>
      </c>
      <c r="AQ217" s="140">
        <f ca="1">IF(ISNUMBER(MATCH(DATEVALUE($A217),'recurring1_based on steps'!AQ$1:AQ$400,0)),AQ$2,)</f>
        <v>0</v>
      </c>
      <c r="AR217" s="140">
        <f ca="1">IF(ISNUMBER(MATCH(DATEVALUE($A217),'recurring1_based on steps'!AR$1:AR$400,0)),AR$2,)</f>
        <v>0</v>
      </c>
      <c r="AS217" s="140">
        <f ca="1">IF(ISNUMBER(MATCH(DATEVALUE($A217),'recurring1_based on steps'!AS$1:AS$400,0)),AS$2,)</f>
        <v>0</v>
      </c>
      <c r="AT217" s="140">
        <f ca="1">IF(ISNUMBER(MATCH(DATEVALUE($A217),'recurring1_based on steps'!AT$1:AT$400,0)),AT$2,)</f>
        <v>0</v>
      </c>
      <c r="AU217" s="140">
        <f ca="1">IF(ISNUMBER(MATCH(DATEVALUE($A217),'recurring1_based on steps'!AU$1:AU$400,0)),AU$2,)</f>
        <v>0</v>
      </c>
      <c r="AV217" s="140">
        <f ca="1">IF(ISNUMBER(MATCH(DATEVALUE($A217),'recurring1_based on steps'!AV$1:AV$400,0)),AV$2,)</f>
        <v>0</v>
      </c>
      <c r="AW217" s="140">
        <f ca="1">IF(ISNUMBER(MATCH(DATEVALUE($A217),'recurring1_based on steps'!AW$1:AW$400,0)),AW$2,)</f>
        <v>0</v>
      </c>
      <c r="AX217" s="140">
        <f ca="1">IF(ISNUMBER(MATCH(DATEVALUE($A217),'recurring1_based on steps'!AX$1:AX$400,0)),AX$2,)</f>
        <v>0</v>
      </c>
      <c r="AY217" s="140">
        <f ca="1">IF(ISNUMBER(MATCH(DATEVALUE($A217),'recurring1_based on steps'!AY$1:AY$400,0)),AY$2,)</f>
        <v>0</v>
      </c>
    </row>
    <row r="218" spans="1:51" x14ac:dyDescent="0.2">
      <c r="A218" s="29" t="str">
        <f t="shared" ca="1" si="3"/>
        <v>2025-10-28</v>
      </c>
      <c r="B218" s="140">
        <f ca="1">IF(ISNUMBER(MATCH(DATEVALUE($A218),'recurring1_based on steps'!B$1:B$400,0)),B$2,)</f>
        <v>0</v>
      </c>
      <c r="C218" s="140">
        <f ca="1">IF(ISNUMBER(MATCH(DATEVALUE($A218),'recurring1_based on steps'!C$1:C$400,0)),C$2,)</f>
        <v>0</v>
      </c>
      <c r="D218" s="140">
        <f ca="1">IF(ISNUMBER(MATCH(DATEVALUE($A218),'recurring1_based on steps'!D$1:D$400,0)),D$2,)</f>
        <v>0</v>
      </c>
      <c r="E218" s="140">
        <f ca="1">IF(ISNUMBER(MATCH(DATEVALUE($A218),'recurring1_based on steps'!E$1:E$400,0)),E$2,)</f>
        <v>0</v>
      </c>
      <c r="F218" s="140">
        <f ca="1">IF(ISNUMBER(MATCH(DATEVALUE($A218),'recurring1_based on steps'!F$1:F$400,0)),F$2,)</f>
        <v>0</v>
      </c>
      <c r="G218" s="140">
        <f ca="1">IF(ISNUMBER(MATCH(DATEVALUE($A218),'recurring1_based on steps'!G$1:G$400,0)),G$2,)</f>
        <v>0</v>
      </c>
      <c r="H218" s="140">
        <f ca="1">IF(ISNUMBER(MATCH(DATEVALUE($A218),'recurring1_based on steps'!H$1:H$400,0)),H$2,)</f>
        <v>0</v>
      </c>
      <c r="I218" s="140">
        <f ca="1">IF(ISNUMBER(MATCH(DATEVALUE($A218),'recurring1_based on steps'!I$1:I$400,0)),I$2,)</f>
        <v>0</v>
      </c>
      <c r="J218" s="140">
        <f ca="1">IF(ISNUMBER(MATCH(DATEVALUE($A218),'recurring1_based on steps'!J$1:J$400,0)),J$2,)</f>
        <v>0</v>
      </c>
      <c r="K218" s="140">
        <f ca="1">IF(ISNUMBER(MATCH(DATEVALUE($A218),'recurring1_based on steps'!K$1:K$400,0)),K$2,)</f>
        <v>0</v>
      </c>
      <c r="L218" s="140">
        <f ca="1">IF(ISNUMBER(MATCH(DATEVALUE($A218),'recurring1_based on steps'!L$1:L$400,0)),L$2,)</f>
        <v>0</v>
      </c>
      <c r="M218" s="140">
        <f ca="1">IF(ISNUMBER(MATCH(DATEVALUE($A218),'recurring1_based on steps'!M$1:M$400,0)),M$2,)</f>
        <v>0</v>
      </c>
      <c r="N218" s="140">
        <f ca="1">IF(ISNUMBER(MATCH(DATEVALUE($A218),'recurring1_based on steps'!N$1:N$400,0)),N$2,)</f>
        <v>0</v>
      </c>
      <c r="O218" s="140">
        <f ca="1">IF(ISNUMBER(MATCH(DATEVALUE($A218),'recurring1_based on steps'!O$1:O$400,0)),O$2,)</f>
        <v>0</v>
      </c>
      <c r="P218" s="140">
        <f ca="1">IF(ISNUMBER(MATCH(DATEVALUE($A218),'recurring1_based on steps'!P$1:P$400,0)),P$2,)</f>
        <v>0</v>
      </c>
      <c r="Q218" s="140">
        <f ca="1">IF(ISNUMBER(MATCH(DATEVALUE($A218),'recurring1_based on steps'!Q$1:Q$400,0)),Q$2,)</f>
        <v>0</v>
      </c>
      <c r="R218" s="140">
        <f ca="1">IF(ISNUMBER(MATCH(DATEVALUE($A218),'recurring1_based on steps'!R$1:R$400,0)),R$2,)</f>
        <v>0</v>
      </c>
      <c r="S218" s="140">
        <f ca="1">IF(ISNUMBER(MATCH(DATEVALUE($A218),'recurring1_based on steps'!S$1:S$400,0)),S$2,)</f>
        <v>0</v>
      </c>
      <c r="T218" s="140">
        <f ca="1">IF(ISNUMBER(MATCH(DATEVALUE($A218),'recurring1_based on steps'!T$1:T$400,0)),T$2,)</f>
        <v>0</v>
      </c>
      <c r="U218" s="140">
        <f ca="1">IF(ISNUMBER(MATCH(DATEVALUE($A218),'recurring1_based on steps'!U$1:U$400,0)),U$2,)</f>
        <v>0</v>
      </c>
      <c r="V218" s="140">
        <f ca="1">IF(ISNUMBER(MATCH(DATEVALUE($A218),'recurring1_based on steps'!V$1:V$400,0)),V$2,)</f>
        <v>0</v>
      </c>
      <c r="W218" s="140">
        <f ca="1">IF(ISNUMBER(MATCH(DATEVALUE($A218),'recurring1_based on steps'!W$1:W$400,0)),W$2,)</f>
        <v>0</v>
      </c>
      <c r="X218" s="140">
        <f ca="1">IF(ISNUMBER(MATCH(DATEVALUE($A218),'recurring1_based on steps'!X$1:X$400,0)),X$2,)</f>
        <v>0</v>
      </c>
      <c r="Y218" s="140">
        <f ca="1">IF(ISNUMBER(MATCH(DATEVALUE($A218),'recurring1_based on steps'!Y$1:Y$400,0)),Y$2,)</f>
        <v>0</v>
      </c>
      <c r="Z218" s="140">
        <f ca="1">IF(ISNUMBER(MATCH(DATEVALUE($A218),'recurring1_based on steps'!Z$1:Z$400,0)),Z$2,)</f>
        <v>0</v>
      </c>
      <c r="AA218" s="140">
        <f ca="1">IF(ISNUMBER(MATCH(DATEVALUE($A218),'recurring1_based on steps'!AA$1:AA$400,0)),AA$2,)</f>
        <v>0</v>
      </c>
      <c r="AB218" s="140">
        <f ca="1">IF(ISNUMBER(MATCH(DATEVALUE($A218),'recurring1_based on steps'!AB$1:AB$400,0)),AB$2,)</f>
        <v>5.5401662049861494E-2</v>
      </c>
      <c r="AC218" s="140">
        <f ca="1">IF(ISNUMBER(MATCH(DATEVALUE($A218),'recurring1_based on steps'!AC$1:AC$400,0)),AC$2,)</f>
        <v>0</v>
      </c>
      <c r="AD218" s="140">
        <f ca="1">IF(ISNUMBER(MATCH(DATEVALUE($A218),'recurring1_based on steps'!AD$1:AD$400,0)),AD$2,)</f>
        <v>0</v>
      </c>
      <c r="AE218" s="140">
        <f ca="1">IF(ISNUMBER(MATCH(DATEVALUE($A218),'recurring1_based on steps'!AE$1:AE$400,0)),AE$2,)</f>
        <v>0</v>
      </c>
      <c r="AF218" s="140">
        <f ca="1">IF(ISNUMBER(MATCH(DATEVALUE($A218),'recurring1_based on steps'!AF$1:AF$400,0)),AF$2,)</f>
        <v>0</v>
      </c>
      <c r="AG218" s="140">
        <f ca="1">IF(ISNUMBER(MATCH(DATEVALUE($A218),'recurring1_based on steps'!AG$1:AG$400,0)),AG$2,)</f>
        <v>0</v>
      </c>
      <c r="AH218" s="140">
        <f ca="1">IF(ISNUMBER(MATCH(DATEVALUE($A218),'recurring1_based on steps'!AH$1:AH$400,0)),AH$2,)</f>
        <v>0</v>
      </c>
      <c r="AI218" s="140">
        <f ca="1">IF(ISNUMBER(MATCH(DATEVALUE($A218),'recurring1_based on steps'!AI$1:AI$400,0)),AI$2,)</f>
        <v>0</v>
      </c>
      <c r="AJ218" s="140">
        <f ca="1">IF(ISNUMBER(MATCH(DATEVALUE($A218),'recurring1_based on steps'!AJ$1:AJ$400,0)),AJ$2,)</f>
        <v>0</v>
      </c>
      <c r="AK218" s="140">
        <f ca="1">IF(ISNUMBER(MATCH(DATEVALUE($A218),'recurring1_based on steps'!AK$1:AK$400,0)),AK$2,)</f>
        <v>0</v>
      </c>
      <c r="AL218" s="140">
        <f ca="1">IF(ISNUMBER(MATCH(DATEVALUE($A218),'recurring1_based on steps'!AL$1:AL$400,0)),AL$2,)</f>
        <v>0</v>
      </c>
      <c r="AM218" s="140">
        <f ca="1">IF(ISNUMBER(MATCH(DATEVALUE($A218),'recurring1_based on steps'!AM$1:AM$400,0)),AM$2,)</f>
        <v>0</v>
      </c>
      <c r="AN218" s="140">
        <f ca="1">IF(ISNUMBER(MATCH(DATEVALUE($A218),'recurring1_based on steps'!AN$1:AN$400,0)),AN$2,)</f>
        <v>0</v>
      </c>
      <c r="AO218" s="140">
        <f ca="1">IF(ISNUMBER(MATCH(DATEVALUE($A218),'recurring1_based on steps'!AO$1:AO$400,0)),AO$2,)</f>
        <v>0</v>
      </c>
      <c r="AP218" s="140">
        <f ca="1">IF(ISNUMBER(MATCH(DATEVALUE($A218),'recurring1_based on steps'!AP$1:AP$400,0)),AP$2,)</f>
        <v>0</v>
      </c>
      <c r="AQ218" s="140">
        <f ca="1">IF(ISNUMBER(MATCH(DATEVALUE($A218),'recurring1_based on steps'!AQ$1:AQ$400,0)),AQ$2,)</f>
        <v>0</v>
      </c>
      <c r="AR218" s="140">
        <f ca="1">IF(ISNUMBER(MATCH(DATEVALUE($A218),'recurring1_based on steps'!AR$1:AR$400,0)),AR$2,)</f>
        <v>0</v>
      </c>
      <c r="AS218" s="140">
        <f ca="1">IF(ISNUMBER(MATCH(DATEVALUE($A218),'recurring1_based on steps'!AS$1:AS$400,0)),AS$2,)</f>
        <v>0</v>
      </c>
      <c r="AT218" s="140">
        <f ca="1">IF(ISNUMBER(MATCH(DATEVALUE($A218),'recurring1_based on steps'!AT$1:AT$400,0)),AT$2,)</f>
        <v>0</v>
      </c>
      <c r="AU218" s="140">
        <f ca="1">IF(ISNUMBER(MATCH(DATEVALUE($A218),'recurring1_based on steps'!AU$1:AU$400,0)),AU$2,)</f>
        <v>0</v>
      </c>
      <c r="AV218" s="140">
        <f ca="1">IF(ISNUMBER(MATCH(DATEVALUE($A218),'recurring1_based on steps'!AV$1:AV$400,0)),AV$2,)</f>
        <v>0</v>
      </c>
      <c r="AW218" s="140">
        <f ca="1">IF(ISNUMBER(MATCH(DATEVALUE($A218),'recurring1_based on steps'!AW$1:AW$400,0)),AW$2,)</f>
        <v>0</v>
      </c>
      <c r="AX218" s="140">
        <f ca="1">IF(ISNUMBER(MATCH(DATEVALUE($A218),'recurring1_based on steps'!AX$1:AX$400,0)),AX$2,)</f>
        <v>0</v>
      </c>
      <c r="AY218" s="140">
        <f ca="1">IF(ISNUMBER(MATCH(DATEVALUE($A218),'recurring1_based on steps'!AY$1:AY$400,0)),AY$2,)</f>
        <v>0</v>
      </c>
    </row>
    <row r="219" spans="1:51" x14ac:dyDescent="0.2">
      <c r="A219" s="29" t="str">
        <f t="shared" ca="1" si="3"/>
        <v>2025-10-29</v>
      </c>
      <c r="B219" s="140">
        <f ca="1">IF(ISNUMBER(MATCH(DATEVALUE($A219),'recurring1_based on steps'!B$1:B$400,0)),B$2,)</f>
        <v>0</v>
      </c>
      <c r="C219" s="140">
        <f ca="1">IF(ISNUMBER(MATCH(DATEVALUE($A219),'recurring1_based on steps'!C$1:C$400,0)),C$2,)</f>
        <v>0</v>
      </c>
      <c r="D219" s="140">
        <f ca="1">IF(ISNUMBER(MATCH(DATEVALUE($A219),'recurring1_based on steps'!D$1:D$400,0)),D$2,)</f>
        <v>0</v>
      </c>
      <c r="E219" s="140">
        <f ca="1">IF(ISNUMBER(MATCH(DATEVALUE($A219),'recurring1_based on steps'!E$1:E$400,0)),E$2,)</f>
        <v>0</v>
      </c>
      <c r="F219" s="140">
        <f ca="1">IF(ISNUMBER(MATCH(DATEVALUE($A219),'recurring1_based on steps'!F$1:F$400,0)),F$2,)</f>
        <v>0</v>
      </c>
      <c r="G219" s="140">
        <f ca="1">IF(ISNUMBER(MATCH(DATEVALUE($A219),'recurring1_based on steps'!G$1:G$400,0)),G$2,)</f>
        <v>0</v>
      </c>
      <c r="H219" s="140">
        <f ca="1">IF(ISNUMBER(MATCH(DATEVALUE($A219),'recurring1_based on steps'!H$1:H$400,0)),H$2,)</f>
        <v>0</v>
      </c>
      <c r="I219" s="140">
        <f ca="1">IF(ISNUMBER(MATCH(DATEVALUE($A219),'recurring1_based on steps'!I$1:I$400,0)),I$2,)</f>
        <v>0</v>
      </c>
      <c r="J219" s="140">
        <f ca="1">IF(ISNUMBER(MATCH(DATEVALUE($A219),'recurring1_based on steps'!J$1:J$400,0)),J$2,)</f>
        <v>0</v>
      </c>
      <c r="K219" s="140">
        <f ca="1">IF(ISNUMBER(MATCH(DATEVALUE($A219),'recurring1_based on steps'!K$1:K$400,0)),K$2,)</f>
        <v>0</v>
      </c>
      <c r="L219" s="140">
        <f ca="1">IF(ISNUMBER(MATCH(DATEVALUE($A219),'recurring1_based on steps'!L$1:L$400,0)),L$2,)</f>
        <v>0</v>
      </c>
      <c r="M219" s="140">
        <f ca="1">IF(ISNUMBER(MATCH(DATEVALUE($A219),'recurring1_based on steps'!M$1:M$400,0)),M$2,)</f>
        <v>0</v>
      </c>
      <c r="N219" s="140">
        <f ca="1">IF(ISNUMBER(MATCH(DATEVALUE($A219),'recurring1_based on steps'!N$1:N$400,0)),N$2,)</f>
        <v>0</v>
      </c>
      <c r="O219" s="140">
        <f ca="1">IF(ISNUMBER(MATCH(DATEVALUE($A219),'recurring1_based on steps'!O$1:O$400,0)),O$2,)</f>
        <v>0</v>
      </c>
      <c r="P219" s="140">
        <f ca="1">IF(ISNUMBER(MATCH(DATEVALUE($A219),'recurring1_based on steps'!P$1:P$400,0)),P$2,)</f>
        <v>0</v>
      </c>
      <c r="Q219" s="140">
        <f ca="1">IF(ISNUMBER(MATCH(DATEVALUE($A219),'recurring1_based on steps'!Q$1:Q$400,0)),Q$2,)</f>
        <v>0</v>
      </c>
      <c r="R219" s="140">
        <f ca="1">IF(ISNUMBER(MATCH(DATEVALUE($A219),'recurring1_based on steps'!R$1:R$400,0)),R$2,)</f>
        <v>0</v>
      </c>
      <c r="S219" s="140">
        <f ca="1">IF(ISNUMBER(MATCH(DATEVALUE($A219),'recurring1_based on steps'!S$1:S$400,0)),S$2,)</f>
        <v>0</v>
      </c>
      <c r="T219" s="140">
        <f ca="1">IF(ISNUMBER(MATCH(DATEVALUE($A219),'recurring1_based on steps'!T$1:T$400,0)),T$2,)</f>
        <v>0</v>
      </c>
      <c r="U219" s="140">
        <f ca="1">IF(ISNUMBER(MATCH(DATEVALUE($A219),'recurring1_based on steps'!U$1:U$400,0)),U$2,)</f>
        <v>0</v>
      </c>
      <c r="V219" s="140">
        <f ca="1">IF(ISNUMBER(MATCH(DATEVALUE($A219),'recurring1_based on steps'!V$1:V$400,0)),V$2,)</f>
        <v>0</v>
      </c>
      <c r="W219" s="140">
        <f ca="1">IF(ISNUMBER(MATCH(DATEVALUE($A219),'recurring1_based on steps'!W$1:W$400,0)),W$2,)</f>
        <v>0</v>
      </c>
      <c r="X219" s="140">
        <f ca="1">IF(ISNUMBER(MATCH(DATEVALUE($A219),'recurring1_based on steps'!X$1:X$400,0)),X$2,)</f>
        <v>0</v>
      </c>
      <c r="Y219" s="140">
        <f ca="1">IF(ISNUMBER(MATCH(DATEVALUE($A219),'recurring1_based on steps'!Y$1:Y$400,0)),Y$2,)</f>
        <v>0</v>
      </c>
      <c r="Z219" s="140">
        <f ca="1">IF(ISNUMBER(MATCH(DATEVALUE($A219),'recurring1_based on steps'!Z$1:Z$400,0)),Z$2,)</f>
        <v>0</v>
      </c>
      <c r="AA219" s="140">
        <f ca="1">IF(ISNUMBER(MATCH(DATEVALUE($A219),'recurring1_based on steps'!AA$1:AA$400,0)),AA$2,)</f>
        <v>0</v>
      </c>
      <c r="AB219" s="140">
        <f ca="1">IF(ISNUMBER(MATCH(DATEVALUE($A219),'recurring1_based on steps'!AB$1:AB$400,0)),AB$2,)</f>
        <v>5.5401662049861494E-2</v>
      </c>
      <c r="AC219" s="140">
        <f ca="1">IF(ISNUMBER(MATCH(DATEVALUE($A219),'recurring1_based on steps'!AC$1:AC$400,0)),AC$2,)</f>
        <v>0</v>
      </c>
      <c r="AD219" s="140">
        <f ca="1">IF(ISNUMBER(MATCH(DATEVALUE($A219),'recurring1_based on steps'!AD$1:AD$400,0)),AD$2,)</f>
        <v>0</v>
      </c>
      <c r="AE219" s="140">
        <f ca="1">IF(ISNUMBER(MATCH(DATEVALUE($A219),'recurring1_based on steps'!AE$1:AE$400,0)),AE$2,)</f>
        <v>0</v>
      </c>
      <c r="AF219" s="140">
        <f ca="1">IF(ISNUMBER(MATCH(DATEVALUE($A219),'recurring1_based on steps'!AF$1:AF$400,0)),AF$2,)</f>
        <v>0</v>
      </c>
      <c r="AG219" s="140">
        <f ca="1">IF(ISNUMBER(MATCH(DATEVALUE($A219),'recurring1_based on steps'!AG$1:AG$400,0)),AG$2,)</f>
        <v>0</v>
      </c>
      <c r="AH219" s="140">
        <f ca="1">IF(ISNUMBER(MATCH(DATEVALUE($A219),'recurring1_based on steps'!AH$1:AH$400,0)),AH$2,)</f>
        <v>0</v>
      </c>
      <c r="AI219" s="140">
        <f ca="1">IF(ISNUMBER(MATCH(DATEVALUE($A219),'recurring1_based on steps'!AI$1:AI$400,0)),AI$2,)</f>
        <v>0</v>
      </c>
      <c r="AJ219" s="140">
        <f ca="1">IF(ISNUMBER(MATCH(DATEVALUE($A219),'recurring1_based on steps'!AJ$1:AJ$400,0)),AJ$2,)</f>
        <v>0</v>
      </c>
      <c r="AK219" s="140">
        <f ca="1">IF(ISNUMBER(MATCH(DATEVALUE($A219),'recurring1_based on steps'!AK$1:AK$400,0)),AK$2,)</f>
        <v>0</v>
      </c>
      <c r="AL219" s="140">
        <f ca="1">IF(ISNUMBER(MATCH(DATEVALUE($A219),'recurring1_based on steps'!AL$1:AL$400,0)),AL$2,)</f>
        <v>0</v>
      </c>
      <c r="AM219" s="140">
        <f ca="1">IF(ISNUMBER(MATCH(DATEVALUE($A219),'recurring1_based on steps'!AM$1:AM$400,0)),AM$2,)</f>
        <v>0</v>
      </c>
      <c r="AN219" s="140">
        <f ca="1">IF(ISNUMBER(MATCH(DATEVALUE($A219),'recurring1_based on steps'!AN$1:AN$400,0)),AN$2,)</f>
        <v>0</v>
      </c>
      <c r="AO219" s="140">
        <f ca="1">IF(ISNUMBER(MATCH(DATEVALUE($A219),'recurring1_based on steps'!AO$1:AO$400,0)),AO$2,)</f>
        <v>0</v>
      </c>
      <c r="AP219" s="140">
        <f ca="1">IF(ISNUMBER(MATCH(DATEVALUE($A219),'recurring1_based on steps'!AP$1:AP$400,0)),AP$2,)</f>
        <v>0</v>
      </c>
      <c r="AQ219" s="140">
        <f ca="1">IF(ISNUMBER(MATCH(DATEVALUE($A219),'recurring1_based on steps'!AQ$1:AQ$400,0)),AQ$2,)</f>
        <v>0</v>
      </c>
      <c r="AR219" s="140">
        <f ca="1">IF(ISNUMBER(MATCH(DATEVALUE($A219),'recurring1_based on steps'!AR$1:AR$400,0)),AR$2,)</f>
        <v>0</v>
      </c>
      <c r="AS219" s="140">
        <f ca="1">IF(ISNUMBER(MATCH(DATEVALUE($A219),'recurring1_based on steps'!AS$1:AS$400,0)),AS$2,)</f>
        <v>0</v>
      </c>
      <c r="AT219" s="140">
        <f ca="1">IF(ISNUMBER(MATCH(DATEVALUE($A219),'recurring1_based on steps'!AT$1:AT$400,0)),AT$2,)</f>
        <v>0</v>
      </c>
      <c r="AU219" s="140">
        <f ca="1">IF(ISNUMBER(MATCH(DATEVALUE($A219),'recurring1_based on steps'!AU$1:AU$400,0)),AU$2,)</f>
        <v>0</v>
      </c>
      <c r="AV219" s="140">
        <f ca="1">IF(ISNUMBER(MATCH(DATEVALUE($A219),'recurring1_based on steps'!AV$1:AV$400,0)),AV$2,)</f>
        <v>0</v>
      </c>
      <c r="AW219" s="140">
        <f ca="1">IF(ISNUMBER(MATCH(DATEVALUE($A219),'recurring1_based on steps'!AW$1:AW$400,0)),AW$2,)</f>
        <v>0</v>
      </c>
      <c r="AX219" s="140">
        <f ca="1">IF(ISNUMBER(MATCH(DATEVALUE($A219),'recurring1_based on steps'!AX$1:AX$400,0)),AX$2,)</f>
        <v>0</v>
      </c>
      <c r="AY219" s="140">
        <f ca="1">IF(ISNUMBER(MATCH(DATEVALUE($A219),'recurring1_based on steps'!AY$1:AY$400,0)),AY$2,)</f>
        <v>0</v>
      </c>
    </row>
    <row r="220" spans="1:51" x14ac:dyDescent="0.2">
      <c r="A220" s="29" t="str">
        <f t="shared" ca="1" si="3"/>
        <v>2025-10-30</v>
      </c>
      <c r="B220" s="140">
        <f ca="1">IF(ISNUMBER(MATCH(DATEVALUE($A220),'recurring1_based on steps'!B$1:B$400,0)),B$2,)</f>
        <v>0</v>
      </c>
      <c r="C220" s="140">
        <f ca="1">IF(ISNUMBER(MATCH(DATEVALUE($A220),'recurring1_based on steps'!C$1:C$400,0)),C$2,)</f>
        <v>0</v>
      </c>
      <c r="D220" s="140">
        <f ca="1">IF(ISNUMBER(MATCH(DATEVALUE($A220),'recurring1_based on steps'!D$1:D$400,0)),D$2,)</f>
        <v>0</v>
      </c>
      <c r="E220" s="140">
        <f ca="1">IF(ISNUMBER(MATCH(DATEVALUE($A220),'recurring1_based on steps'!E$1:E$400,0)),E$2,)</f>
        <v>0</v>
      </c>
      <c r="F220" s="140">
        <f ca="1">IF(ISNUMBER(MATCH(DATEVALUE($A220),'recurring1_based on steps'!F$1:F$400,0)),F$2,)</f>
        <v>0</v>
      </c>
      <c r="G220" s="140">
        <f ca="1">IF(ISNUMBER(MATCH(DATEVALUE($A220),'recurring1_based on steps'!G$1:G$400,0)),G$2,)</f>
        <v>0</v>
      </c>
      <c r="H220" s="140">
        <f ca="1">IF(ISNUMBER(MATCH(DATEVALUE($A220),'recurring1_based on steps'!H$1:H$400,0)),H$2,)</f>
        <v>0</v>
      </c>
      <c r="I220" s="140">
        <f ca="1">IF(ISNUMBER(MATCH(DATEVALUE($A220),'recurring1_based on steps'!I$1:I$400,0)),I$2,)</f>
        <v>0</v>
      </c>
      <c r="J220" s="140">
        <f ca="1">IF(ISNUMBER(MATCH(DATEVALUE($A220),'recurring1_based on steps'!J$1:J$400,0)),J$2,)</f>
        <v>0</v>
      </c>
      <c r="K220" s="140">
        <f ca="1">IF(ISNUMBER(MATCH(DATEVALUE($A220),'recurring1_based on steps'!K$1:K$400,0)),K$2,)</f>
        <v>0</v>
      </c>
      <c r="L220" s="140">
        <f ca="1">IF(ISNUMBER(MATCH(DATEVALUE($A220),'recurring1_based on steps'!L$1:L$400,0)),L$2,)</f>
        <v>0</v>
      </c>
      <c r="M220" s="140">
        <f ca="1">IF(ISNUMBER(MATCH(DATEVALUE($A220),'recurring1_based on steps'!M$1:M$400,0)),M$2,)</f>
        <v>0</v>
      </c>
      <c r="N220" s="140">
        <f ca="1">IF(ISNUMBER(MATCH(DATEVALUE($A220),'recurring1_based on steps'!N$1:N$400,0)),N$2,)</f>
        <v>0</v>
      </c>
      <c r="O220" s="140">
        <f ca="1">IF(ISNUMBER(MATCH(DATEVALUE($A220),'recurring1_based on steps'!O$1:O$400,0)),O$2,)</f>
        <v>0</v>
      </c>
      <c r="P220" s="140">
        <f ca="1">IF(ISNUMBER(MATCH(DATEVALUE($A220),'recurring1_based on steps'!P$1:P$400,0)),P$2,)</f>
        <v>0</v>
      </c>
      <c r="Q220" s="140">
        <f ca="1">IF(ISNUMBER(MATCH(DATEVALUE($A220),'recurring1_based on steps'!Q$1:Q$400,0)),Q$2,)</f>
        <v>0</v>
      </c>
      <c r="R220" s="140">
        <f ca="1">IF(ISNUMBER(MATCH(DATEVALUE($A220),'recurring1_based on steps'!R$1:R$400,0)),R$2,)</f>
        <v>0</v>
      </c>
      <c r="S220" s="140">
        <f ca="1">IF(ISNUMBER(MATCH(DATEVALUE($A220),'recurring1_based on steps'!S$1:S$400,0)),S$2,)</f>
        <v>0</v>
      </c>
      <c r="T220" s="140">
        <f ca="1">IF(ISNUMBER(MATCH(DATEVALUE($A220),'recurring1_based on steps'!T$1:T$400,0)),T$2,)</f>
        <v>0</v>
      </c>
      <c r="U220" s="140">
        <f ca="1">IF(ISNUMBER(MATCH(DATEVALUE($A220),'recurring1_based on steps'!U$1:U$400,0)),U$2,)</f>
        <v>0</v>
      </c>
      <c r="V220" s="140">
        <f ca="1">IF(ISNUMBER(MATCH(DATEVALUE($A220),'recurring1_based on steps'!V$1:V$400,0)),V$2,)</f>
        <v>0</v>
      </c>
      <c r="W220" s="140">
        <f ca="1">IF(ISNUMBER(MATCH(DATEVALUE($A220),'recurring1_based on steps'!W$1:W$400,0)),W$2,)</f>
        <v>0</v>
      </c>
      <c r="X220" s="140">
        <f ca="1">IF(ISNUMBER(MATCH(DATEVALUE($A220),'recurring1_based on steps'!X$1:X$400,0)),X$2,)</f>
        <v>0</v>
      </c>
      <c r="Y220" s="140">
        <f ca="1">IF(ISNUMBER(MATCH(DATEVALUE($A220),'recurring1_based on steps'!Y$1:Y$400,0)),Y$2,)</f>
        <v>0</v>
      </c>
      <c r="Z220" s="140">
        <f ca="1">IF(ISNUMBER(MATCH(DATEVALUE($A220),'recurring1_based on steps'!Z$1:Z$400,0)),Z$2,)</f>
        <v>0</v>
      </c>
      <c r="AA220" s="140">
        <f ca="1">IF(ISNUMBER(MATCH(DATEVALUE($A220),'recurring1_based on steps'!AA$1:AA$400,0)),AA$2,)</f>
        <v>0</v>
      </c>
      <c r="AB220" s="140">
        <f ca="1">IF(ISNUMBER(MATCH(DATEVALUE($A220),'recurring1_based on steps'!AB$1:AB$400,0)),AB$2,)</f>
        <v>5.5401662049861494E-2</v>
      </c>
      <c r="AC220" s="140">
        <f ca="1">IF(ISNUMBER(MATCH(DATEVALUE($A220),'recurring1_based on steps'!AC$1:AC$400,0)),AC$2,)</f>
        <v>0</v>
      </c>
      <c r="AD220" s="140">
        <f ca="1">IF(ISNUMBER(MATCH(DATEVALUE($A220),'recurring1_based on steps'!AD$1:AD$400,0)),AD$2,)</f>
        <v>0</v>
      </c>
      <c r="AE220" s="140">
        <f ca="1">IF(ISNUMBER(MATCH(DATEVALUE($A220),'recurring1_based on steps'!AE$1:AE$400,0)),AE$2,)</f>
        <v>0</v>
      </c>
      <c r="AF220" s="140">
        <f ca="1">IF(ISNUMBER(MATCH(DATEVALUE($A220),'recurring1_based on steps'!AF$1:AF$400,0)),AF$2,)</f>
        <v>0</v>
      </c>
      <c r="AG220" s="140">
        <f ca="1">IF(ISNUMBER(MATCH(DATEVALUE($A220),'recurring1_based on steps'!AG$1:AG$400,0)),AG$2,)</f>
        <v>0</v>
      </c>
      <c r="AH220" s="140">
        <f ca="1">IF(ISNUMBER(MATCH(DATEVALUE($A220),'recurring1_based on steps'!AH$1:AH$400,0)),AH$2,)</f>
        <v>0</v>
      </c>
      <c r="AI220" s="140">
        <f ca="1">IF(ISNUMBER(MATCH(DATEVALUE($A220),'recurring1_based on steps'!AI$1:AI$400,0)),AI$2,)</f>
        <v>0</v>
      </c>
      <c r="AJ220" s="140">
        <f ca="1">IF(ISNUMBER(MATCH(DATEVALUE($A220),'recurring1_based on steps'!AJ$1:AJ$400,0)),AJ$2,)</f>
        <v>0</v>
      </c>
      <c r="AK220" s="140">
        <f ca="1">IF(ISNUMBER(MATCH(DATEVALUE($A220),'recurring1_based on steps'!AK$1:AK$400,0)),AK$2,)</f>
        <v>0</v>
      </c>
      <c r="AL220" s="140">
        <f ca="1">IF(ISNUMBER(MATCH(DATEVALUE($A220),'recurring1_based on steps'!AL$1:AL$400,0)),AL$2,)</f>
        <v>0</v>
      </c>
      <c r="AM220" s="140">
        <f ca="1">IF(ISNUMBER(MATCH(DATEVALUE($A220),'recurring1_based on steps'!AM$1:AM$400,0)),AM$2,)</f>
        <v>0</v>
      </c>
      <c r="AN220" s="140">
        <f ca="1">IF(ISNUMBER(MATCH(DATEVALUE($A220),'recurring1_based on steps'!AN$1:AN$400,0)),AN$2,)</f>
        <v>0</v>
      </c>
      <c r="AO220" s="140">
        <f ca="1">IF(ISNUMBER(MATCH(DATEVALUE($A220),'recurring1_based on steps'!AO$1:AO$400,0)),AO$2,)</f>
        <v>0</v>
      </c>
      <c r="AP220" s="140">
        <f ca="1">IF(ISNUMBER(MATCH(DATEVALUE($A220),'recurring1_based on steps'!AP$1:AP$400,0)),AP$2,)</f>
        <v>0</v>
      </c>
      <c r="AQ220" s="140">
        <f ca="1">IF(ISNUMBER(MATCH(DATEVALUE($A220),'recurring1_based on steps'!AQ$1:AQ$400,0)),AQ$2,)</f>
        <v>0</v>
      </c>
      <c r="AR220" s="140">
        <f ca="1">IF(ISNUMBER(MATCH(DATEVALUE($A220),'recurring1_based on steps'!AR$1:AR$400,0)),AR$2,)</f>
        <v>0</v>
      </c>
      <c r="AS220" s="140">
        <f ca="1">IF(ISNUMBER(MATCH(DATEVALUE($A220),'recurring1_based on steps'!AS$1:AS$400,0)),AS$2,)</f>
        <v>0</v>
      </c>
      <c r="AT220" s="140">
        <f ca="1">IF(ISNUMBER(MATCH(DATEVALUE($A220),'recurring1_based on steps'!AT$1:AT$400,0)),AT$2,)</f>
        <v>0</v>
      </c>
      <c r="AU220" s="140">
        <f ca="1">IF(ISNUMBER(MATCH(DATEVALUE($A220),'recurring1_based on steps'!AU$1:AU$400,0)),AU$2,)</f>
        <v>0</v>
      </c>
      <c r="AV220" s="140">
        <f ca="1">IF(ISNUMBER(MATCH(DATEVALUE($A220),'recurring1_based on steps'!AV$1:AV$400,0)),AV$2,)</f>
        <v>0</v>
      </c>
      <c r="AW220" s="140">
        <f ca="1">IF(ISNUMBER(MATCH(DATEVALUE($A220),'recurring1_based on steps'!AW$1:AW$400,0)),AW$2,)</f>
        <v>0</v>
      </c>
      <c r="AX220" s="140">
        <f ca="1">IF(ISNUMBER(MATCH(DATEVALUE($A220),'recurring1_based on steps'!AX$1:AX$400,0)),AX$2,)</f>
        <v>0</v>
      </c>
      <c r="AY220" s="140">
        <f ca="1">IF(ISNUMBER(MATCH(DATEVALUE($A220),'recurring1_based on steps'!AY$1:AY$400,0)),AY$2,)</f>
        <v>0</v>
      </c>
    </row>
    <row r="221" spans="1:51" x14ac:dyDescent="0.2">
      <c r="A221" s="29" t="str">
        <f t="shared" ca="1" si="3"/>
        <v>2025-10-31</v>
      </c>
      <c r="B221" s="140">
        <f ca="1">IF(ISNUMBER(MATCH(DATEVALUE($A221),'recurring1_based on steps'!B$1:B$400,0)),B$2,)</f>
        <v>4000</v>
      </c>
      <c r="C221" s="140">
        <f ca="1">IF(ISNUMBER(MATCH(DATEVALUE($A221),'recurring1_based on steps'!C$1:C$400,0)),C$2,)</f>
        <v>200</v>
      </c>
      <c r="D221" s="140">
        <f ca="1">IF(ISNUMBER(MATCH(DATEVALUE($A221),'recurring1_based on steps'!D$1:D$400,0)),D$2,)</f>
        <v>2</v>
      </c>
      <c r="E221" s="140">
        <f ca="1">IF(ISNUMBER(MATCH(DATEVALUE($A221),'recurring1_based on steps'!E$1:E$400,0)),E$2,)</f>
        <v>40</v>
      </c>
      <c r="F221" s="140">
        <f ca="1">IF(ISNUMBER(MATCH(DATEVALUE($A221),'recurring1_based on steps'!F$1:F$400,0)),F$2,)</f>
        <v>50</v>
      </c>
      <c r="G221" s="140">
        <f ca="1">IF(ISNUMBER(MATCH(DATEVALUE($A221),'recurring1_based on steps'!G$1:G$400,0)),G$2,)</f>
        <v>4</v>
      </c>
      <c r="H221" s="140">
        <f ca="1">IF(ISNUMBER(MATCH(DATEVALUE($A221),'recurring1_based on steps'!H$1:H$400,0)),H$2,)</f>
        <v>40</v>
      </c>
      <c r="I221" s="140">
        <f ca="1">IF(ISNUMBER(MATCH(DATEVALUE($A221),'recurring1_based on steps'!I$1:I$400,0)),I$2,)</f>
        <v>0</v>
      </c>
      <c r="J221" s="140">
        <f ca="1">IF(ISNUMBER(MATCH(DATEVALUE($A221),'recurring1_based on steps'!J$1:J$400,0)),J$2,)</f>
        <v>0</v>
      </c>
      <c r="K221" s="140">
        <f ca="1">IF(ISNUMBER(MATCH(DATEVALUE($A221),'recurring1_based on steps'!K$1:K$400,0)),K$2,)</f>
        <v>0</v>
      </c>
      <c r="L221" s="140">
        <f ca="1">IF(ISNUMBER(MATCH(DATEVALUE($A221),'recurring1_based on steps'!L$1:L$400,0)),L$2,)</f>
        <v>0</v>
      </c>
      <c r="M221" s="140">
        <f ca="1">IF(ISNUMBER(MATCH(DATEVALUE($A221),'recurring1_based on steps'!M$1:M$400,0)),M$2,)</f>
        <v>0</v>
      </c>
      <c r="N221" s="140">
        <f ca="1">IF(ISNUMBER(MATCH(DATEVALUE($A221),'recurring1_based on steps'!N$1:N$400,0)),N$2,)</f>
        <v>0</v>
      </c>
      <c r="O221" s="140">
        <f ca="1">IF(ISNUMBER(MATCH(DATEVALUE($A221),'recurring1_based on steps'!O$1:O$400,0)),O$2,)</f>
        <v>0</v>
      </c>
      <c r="P221" s="140">
        <f ca="1">IF(ISNUMBER(MATCH(DATEVALUE($A221),'recurring1_based on steps'!P$1:P$400,0)),P$2,)</f>
        <v>0</v>
      </c>
      <c r="Q221" s="140">
        <f ca="1">IF(ISNUMBER(MATCH(DATEVALUE($A221),'recurring1_based on steps'!Q$1:Q$400,0)),Q$2,)</f>
        <v>0</v>
      </c>
      <c r="R221" s="140">
        <f ca="1">IF(ISNUMBER(MATCH(DATEVALUE($A221),'recurring1_based on steps'!R$1:R$400,0)),R$2,)</f>
        <v>0</v>
      </c>
      <c r="S221" s="140">
        <f ca="1">IF(ISNUMBER(MATCH(DATEVALUE($A221),'recurring1_based on steps'!S$1:S$400,0)),S$2,)</f>
        <v>0</v>
      </c>
      <c r="T221" s="140">
        <f ca="1">IF(ISNUMBER(MATCH(DATEVALUE($A221),'recurring1_based on steps'!T$1:T$400,0)),T$2,)</f>
        <v>0</v>
      </c>
      <c r="U221" s="140">
        <f ca="1">IF(ISNUMBER(MATCH(DATEVALUE($A221),'recurring1_based on steps'!U$1:U$400,0)),U$2,)</f>
        <v>0</v>
      </c>
      <c r="V221" s="140">
        <f ca="1">IF(ISNUMBER(MATCH(DATEVALUE($A221),'recurring1_based on steps'!V$1:V$400,0)),V$2,)</f>
        <v>0</v>
      </c>
      <c r="W221" s="140">
        <f ca="1">IF(ISNUMBER(MATCH(DATEVALUE($A221),'recurring1_based on steps'!W$1:W$400,0)),W$2,)</f>
        <v>100</v>
      </c>
      <c r="X221" s="140">
        <f ca="1">IF(ISNUMBER(MATCH(DATEVALUE($A221),'recurring1_based on steps'!X$1:X$400,0)),X$2,)</f>
        <v>50</v>
      </c>
      <c r="Y221" s="140">
        <f ca="1">IF(ISNUMBER(MATCH(DATEVALUE($A221),'recurring1_based on steps'!Y$1:Y$400,0)),Y$2,)</f>
        <v>50</v>
      </c>
      <c r="Z221" s="140">
        <f ca="1">IF(ISNUMBER(MATCH(DATEVALUE($A221),'recurring1_based on steps'!Z$1:Z$400,0)),Z$2,)</f>
        <v>0</v>
      </c>
      <c r="AA221" s="140">
        <f ca="1">IF(ISNUMBER(MATCH(DATEVALUE($A221),'recurring1_based on steps'!AA$1:AA$400,0)),AA$2,)</f>
        <v>0</v>
      </c>
      <c r="AB221" s="140">
        <f ca="1">IF(ISNUMBER(MATCH(DATEVALUE($A221),'recurring1_based on steps'!AB$1:AB$400,0)),AB$2,)</f>
        <v>5.5401662049861494E-2</v>
      </c>
      <c r="AC221" s="140">
        <f ca="1">IF(ISNUMBER(MATCH(DATEVALUE($A221),'recurring1_based on steps'!AC$1:AC$400,0)),AC$2,)</f>
        <v>0</v>
      </c>
      <c r="AD221" s="140">
        <f ca="1">IF(ISNUMBER(MATCH(DATEVALUE($A221),'recurring1_based on steps'!AD$1:AD$400,0)),AD$2,)</f>
        <v>0</v>
      </c>
      <c r="AE221" s="140">
        <f ca="1">IF(ISNUMBER(MATCH(DATEVALUE($A221),'recurring1_based on steps'!AE$1:AE$400,0)),AE$2,)</f>
        <v>0</v>
      </c>
      <c r="AF221" s="140">
        <f ca="1">IF(ISNUMBER(MATCH(DATEVALUE($A221),'recurring1_based on steps'!AF$1:AF$400,0)),AF$2,)</f>
        <v>0</v>
      </c>
      <c r="AG221" s="140">
        <f ca="1">IF(ISNUMBER(MATCH(DATEVALUE($A221),'recurring1_based on steps'!AG$1:AG$400,0)),AG$2,)</f>
        <v>0</v>
      </c>
      <c r="AH221" s="140">
        <f ca="1">IF(ISNUMBER(MATCH(DATEVALUE($A221),'recurring1_based on steps'!AH$1:AH$400,0)),AH$2,)</f>
        <v>0</v>
      </c>
      <c r="AI221" s="140">
        <f ca="1">IF(ISNUMBER(MATCH(DATEVALUE($A221),'recurring1_based on steps'!AI$1:AI$400,0)),AI$2,)</f>
        <v>0</v>
      </c>
      <c r="AJ221" s="140">
        <f ca="1">IF(ISNUMBER(MATCH(DATEVALUE($A221),'recurring1_based on steps'!AJ$1:AJ$400,0)),AJ$2,)</f>
        <v>0</v>
      </c>
      <c r="AK221" s="140">
        <f ca="1">IF(ISNUMBER(MATCH(DATEVALUE($A221),'recurring1_based on steps'!AK$1:AK$400,0)),AK$2,)</f>
        <v>0</v>
      </c>
      <c r="AL221" s="140">
        <f ca="1">IF(ISNUMBER(MATCH(DATEVALUE($A221),'recurring1_based on steps'!AL$1:AL$400,0)),AL$2,)</f>
        <v>0</v>
      </c>
      <c r="AM221" s="140">
        <f ca="1">IF(ISNUMBER(MATCH(DATEVALUE($A221),'recurring1_based on steps'!AM$1:AM$400,0)),AM$2,)</f>
        <v>0</v>
      </c>
      <c r="AN221" s="140">
        <f ca="1">IF(ISNUMBER(MATCH(DATEVALUE($A221),'recurring1_based on steps'!AN$1:AN$400,0)),AN$2,)</f>
        <v>0</v>
      </c>
      <c r="AO221" s="140">
        <f ca="1">IF(ISNUMBER(MATCH(DATEVALUE($A221),'recurring1_based on steps'!AO$1:AO$400,0)),AO$2,)</f>
        <v>0</v>
      </c>
      <c r="AP221" s="140">
        <f ca="1">IF(ISNUMBER(MATCH(DATEVALUE($A221),'recurring1_based on steps'!AP$1:AP$400,0)),AP$2,)</f>
        <v>0</v>
      </c>
      <c r="AQ221" s="140">
        <f ca="1">IF(ISNUMBER(MATCH(DATEVALUE($A221),'recurring1_based on steps'!AQ$1:AQ$400,0)),AQ$2,)</f>
        <v>0</v>
      </c>
      <c r="AR221" s="140">
        <f ca="1">IF(ISNUMBER(MATCH(DATEVALUE($A221),'recurring1_based on steps'!AR$1:AR$400,0)),AR$2,)</f>
        <v>0</v>
      </c>
      <c r="AS221" s="140">
        <f ca="1">IF(ISNUMBER(MATCH(DATEVALUE($A221),'recurring1_based on steps'!AS$1:AS$400,0)),AS$2,)</f>
        <v>0</v>
      </c>
      <c r="AT221" s="140">
        <f ca="1">IF(ISNUMBER(MATCH(DATEVALUE($A221),'recurring1_based on steps'!AT$1:AT$400,0)),AT$2,)</f>
        <v>0</v>
      </c>
      <c r="AU221" s="140">
        <f ca="1">IF(ISNUMBER(MATCH(DATEVALUE($A221),'recurring1_based on steps'!AU$1:AU$400,0)),AU$2,)</f>
        <v>0</v>
      </c>
      <c r="AV221" s="140">
        <f ca="1">IF(ISNUMBER(MATCH(DATEVALUE($A221),'recurring1_based on steps'!AV$1:AV$400,0)),AV$2,)</f>
        <v>0</v>
      </c>
      <c r="AW221" s="140">
        <f ca="1">IF(ISNUMBER(MATCH(DATEVALUE($A221),'recurring1_based on steps'!AW$1:AW$400,0)),AW$2,)</f>
        <v>0</v>
      </c>
      <c r="AX221" s="140">
        <f ca="1">IF(ISNUMBER(MATCH(DATEVALUE($A221),'recurring1_based on steps'!AX$1:AX$400,0)),AX$2,)</f>
        <v>0</v>
      </c>
      <c r="AY221" s="140">
        <f ca="1">IF(ISNUMBER(MATCH(DATEVALUE($A221),'recurring1_based on steps'!AY$1:AY$400,0)),AY$2,)</f>
        <v>0</v>
      </c>
    </row>
    <row r="222" spans="1:51" x14ac:dyDescent="0.2">
      <c r="A222" s="29" t="str">
        <f t="shared" ca="1" si="3"/>
        <v>2025-11-01</v>
      </c>
      <c r="B222" s="140">
        <f ca="1">IF(ISNUMBER(MATCH(DATEVALUE($A222),'recurring1_based on steps'!B$1:B$400,0)),B$2,)</f>
        <v>0</v>
      </c>
      <c r="C222" s="140">
        <f ca="1">IF(ISNUMBER(MATCH(DATEVALUE($A222),'recurring1_based on steps'!C$1:C$400,0)),C$2,)</f>
        <v>0</v>
      </c>
      <c r="D222" s="140">
        <f ca="1">IF(ISNUMBER(MATCH(DATEVALUE($A222),'recurring1_based on steps'!D$1:D$400,0)),D$2,)</f>
        <v>0</v>
      </c>
      <c r="E222" s="140">
        <f ca="1">IF(ISNUMBER(MATCH(DATEVALUE($A222),'recurring1_based on steps'!E$1:E$400,0)),E$2,)</f>
        <v>0</v>
      </c>
      <c r="F222" s="140">
        <f ca="1">IF(ISNUMBER(MATCH(DATEVALUE($A222),'recurring1_based on steps'!F$1:F$400,0)),F$2,)</f>
        <v>0</v>
      </c>
      <c r="G222" s="140">
        <f ca="1">IF(ISNUMBER(MATCH(DATEVALUE($A222),'recurring1_based on steps'!G$1:G$400,0)),G$2,)</f>
        <v>0</v>
      </c>
      <c r="H222" s="140">
        <f ca="1">IF(ISNUMBER(MATCH(DATEVALUE($A222),'recurring1_based on steps'!H$1:H$400,0)),H$2,)</f>
        <v>0</v>
      </c>
      <c r="I222" s="140">
        <f ca="1">IF(ISNUMBER(MATCH(DATEVALUE($A222),'recurring1_based on steps'!I$1:I$400,0)),I$2,)</f>
        <v>2000</v>
      </c>
      <c r="J222" s="140">
        <f ca="1">IF(ISNUMBER(MATCH(DATEVALUE($A222),'recurring1_based on steps'!J$1:J$400,0)),J$2,)</f>
        <v>0</v>
      </c>
      <c r="K222" s="140">
        <f ca="1">IF(ISNUMBER(MATCH(DATEVALUE($A222),'recurring1_based on steps'!K$1:K$400,0)),K$2,)</f>
        <v>0</v>
      </c>
      <c r="L222" s="140">
        <f ca="1">IF(ISNUMBER(MATCH(DATEVALUE($A222),'recurring1_based on steps'!L$1:L$400,0)),L$2,)</f>
        <v>0</v>
      </c>
      <c r="M222" s="140">
        <f ca="1">IF(ISNUMBER(MATCH(DATEVALUE($A222),'recurring1_based on steps'!M$1:M$400,0)),M$2,)</f>
        <v>0</v>
      </c>
      <c r="N222" s="140">
        <f ca="1">IF(ISNUMBER(MATCH(DATEVALUE($A222),'recurring1_based on steps'!N$1:N$400,0)),N$2,)</f>
        <v>0</v>
      </c>
      <c r="O222" s="140">
        <f ca="1">IF(ISNUMBER(MATCH(DATEVALUE($A222),'recurring1_based on steps'!O$1:O$400,0)),O$2,)</f>
        <v>0</v>
      </c>
      <c r="P222" s="140">
        <f ca="1">IF(ISNUMBER(MATCH(DATEVALUE($A222),'recurring1_based on steps'!P$1:P$400,0)),P$2,)</f>
        <v>0</v>
      </c>
      <c r="Q222" s="140">
        <f ca="1">IF(ISNUMBER(MATCH(DATEVALUE($A222),'recurring1_based on steps'!Q$1:Q$400,0)),Q$2,)</f>
        <v>100</v>
      </c>
      <c r="R222" s="140">
        <f ca="1">IF(ISNUMBER(MATCH(DATEVALUE($A222),'recurring1_based on steps'!R$1:R$400,0)),R$2,)</f>
        <v>100</v>
      </c>
      <c r="S222" s="140">
        <f ca="1">IF(ISNUMBER(MATCH(DATEVALUE($A222),'recurring1_based on steps'!S$1:S$400,0)),S$2,)</f>
        <v>0</v>
      </c>
      <c r="T222" s="140">
        <f ca="1">IF(ISNUMBER(MATCH(DATEVALUE($A222),'recurring1_based on steps'!T$1:T$400,0)),T$2,)</f>
        <v>0</v>
      </c>
      <c r="U222" s="140">
        <f ca="1">IF(ISNUMBER(MATCH(DATEVALUE($A222),'recurring1_based on steps'!U$1:U$400,0)),U$2,)</f>
        <v>0</v>
      </c>
      <c r="V222" s="140">
        <f ca="1">IF(ISNUMBER(MATCH(DATEVALUE($A222),'recurring1_based on steps'!V$1:V$400,0)),V$2,)</f>
        <v>0</v>
      </c>
      <c r="W222" s="140">
        <f ca="1">IF(ISNUMBER(MATCH(DATEVALUE($A222),'recurring1_based on steps'!W$1:W$400,0)),W$2,)</f>
        <v>0</v>
      </c>
      <c r="X222" s="140">
        <f ca="1">IF(ISNUMBER(MATCH(DATEVALUE($A222),'recurring1_based on steps'!X$1:X$400,0)),X$2,)</f>
        <v>0</v>
      </c>
      <c r="Y222" s="140">
        <f ca="1">IF(ISNUMBER(MATCH(DATEVALUE($A222),'recurring1_based on steps'!Y$1:Y$400,0)),Y$2,)</f>
        <v>0</v>
      </c>
      <c r="Z222" s="140">
        <f ca="1">IF(ISNUMBER(MATCH(DATEVALUE($A222),'recurring1_based on steps'!Z$1:Z$400,0)),Z$2,)</f>
        <v>0</v>
      </c>
      <c r="AA222" s="140">
        <f ca="1">IF(ISNUMBER(MATCH(DATEVALUE($A222),'recurring1_based on steps'!AA$1:AA$400,0)),AA$2,)</f>
        <v>0</v>
      </c>
      <c r="AB222" s="140">
        <f ca="1">IF(ISNUMBER(MATCH(DATEVALUE($A222),'recurring1_based on steps'!AB$1:AB$400,0)),AB$2,)</f>
        <v>5.5401662049861494E-2</v>
      </c>
      <c r="AC222" s="140">
        <f ca="1">IF(ISNUMBER(MATCH(DATEVALUE($A222),'recurring1_based on steps'!AC$1:AC$400,0)),AC$2,)</f>
        <v>0</v>
      </c>
      <c r="AD222" s="140">
        <f ca="1">IF(ISNUMBER(MATCH(DATEVALUE($A222),'recurring1_based on steps'!AD$1:AD$400,0)),AD$2,)</f>
        <v>0</v>
      </c>
      <c r="AE222" s="140">
        <f ca="1">IF(ISNUMBER(MATCH(DATEVALUE($A222),'recurring1_based on steps'!AE$1:AE$400,0)),AE$2,)</f>
        <v>0</v>
      </c>
      <c r="AF222" s="140">
        <f ca="1">IF(ISNUMBER(MATCH(DATEVALUE($A222),'recurring1_based on steps'!AF$1:AF$400,0)),AF$2,)</f>
        <v>0</v>
      </c>
      <c r="AG222" s="140">
        <f ca="1">IF(ISNUMBER(MATCH(DATEVALUE($A222),'recurring1_based on steps'!AG$1:AG$400,0)),AG$2,)</f>
        <v>0</v>
      </c>
      <c r="AH222" s="140">
        <f ca="1">IF(ISNUMBER(MATCH(DATEVALUE($A222),'recurring1_based on steps'!AH$1:AH$400,0)),AH$2,)</f>
        <v>0</v>
      </c>
      <c r="AI222" s="140">
        <f ca="1">IF(ISNUMBER(MATCH(DATEVALUE($A222),'recurring1_based on steps'!AI$1:AI$400,0)),AI$2,)</f>
        <v>0</v>
      </c>
      <c r="AJ222" s="140">
        <f ca="1">IF(ISNUMBER(MATCH(DATEVALUE($A222),'recurring1_based on steps'!AJ$1:AJ$400,0)),AJ$2,)</f>
        <v>0</v>
      </c>
      <c r="AK222" s="140">
        <f ca="1">IF(ISNUMBER(MATCH(DATEVALUE($A222),'recurring1_based on steps'!AK$1:AK$400,0)),AK$2,)</f>
        <v>0</v>
      </c>
      <c r="AL222" s="140">
        <f ca="1">IF(ISNUMBER(MATCH(DATEVALUE($A222),'recurring1_based on steps'!AL$1:AL$400,0)),AL$2,)</f>
        <v>0</v>
      </c>
      <c r="AM222" s="140">
        <f ca="1">IF(ISNUMBER(MATCH(DATEVALUE($A222),'recurring1_based on steps'!AM$1:AM$400,0)),AM$2,)</f>
        <v>0</v>
      </c>
      <c r="AN222" s="140">
        <f ca="1">IF(ISNUMBER(MATCH(DATEVALUE($A222),'recurring1_based on steps'!AN$1:AN$400,0)),AN$2,)</f>
        <v>0</v>
      </c>
      <c r="AO222" s="140">
        <f ca="1">IF(ISNUMBER(MATCH(DATEVALUE($A222),'recurring1_based on steps'!AO$1:AO$400,0)),AO$2,)</f>
        <v>0</v>
      </c>
      <c r="AP222" s="140">
        <f ca="1">IF(ISNUMBER(MATCH(DATEVALUE($A222),'recurring1_based on steps'!AP$1:AP$400,0)),AP$2,)</f>
        <v>0</v>
      </c>
      <c r="AQ222" s="140">
        <f ca="1">IF(ISNUMBER(MATCH(DATEVALUE($A222),'recurring1_based on steps'!AQ$1:AQ$400,0)),AQ$2,)</f>
        <v>0</v>
      </c>
      <c r="AR222" s="140">
        <f ca="1">IF(ISNUMBER(MATCH(DATEVALUE($A222),'recurring1_based on steps'!AR$1:AR$400,0)),AR$2,)</f>
        <v>0</v>
      </c>
      <c r="AS222" s="140">
        <f ca="1">IF(ISNUMBER(MATCH(DATEVALUE($A222),'recurring1_based on steps'!AS$1:AS$400,0)),AS$2,)</f>
        <v>0</v>
      </c>
      <c r="AT222" s="140">
        <f ca="1">IF(ISNUMBER(MATCH(DATEVALUE($A222),'recurring1_based on steps'!AT$1:AT$400,0)),AT$2,)</f>
        <v>0</v>
      </c>
      <c r="AU222" s="140">
        <f ca="1">IF(ISNUMBER(MATCH(DATEVALUE($A222),'recurring1_based on steps'!AU$1:AU$400,0)),AU$2,)</f>
        <v>0</v>
      </c>
      <c r="AV222" s="140">
        <f ca="1">IF(ISNUMBER(MATCH(DATEVALUE($A222),'recurring1_based on steps'!AV$1:AV$400,0)),AV$2,)</f>
        <v>0</v>
      </c>
      <c r="AW222" s="140">
        <f ca="1">IF(ISNUMBER(MATCH(DATEVALUE($A222),'recurring1_based on steps'!AW$1:AW$400,0)),AW$2,)</f>
        <v>0</v>
      </c>
      <c r="AX222" s="140">
        <f ca="1">IF(ISNUMBER(MATCH(DATEVALUE($A222),'recurring1_based on steps'!AX$1:AX$400,0)),AX$2,)</f>
        <v>0</v>
      </c>
      <c r="AY222" s="140">
        <f ca="1">IF(ISNUMBER(MATCH(DATEVALUE($A222),'recurring1_based on steps'!AY$1:AY$400,0)),AY$2,)</f>
        <v>0</v>
      </c>
    </row>
    <row r="223" spans="1:51" x14ac:dyDescent="0.2">
      <c r="A223" s="29" t="str">
        <f t="shared" ca="1" si="3"/>
        <v>2025-11-02</v>
      </c>
      <c r="B223" s="140">
        <f ca="1">IF(ISNUMBER(MATCH(DATEVALUE($A223),'recurring1_based on steps'!B$1:B$400,0)),B$2,)</f>
        <v>0</v>
      </c>
      <c r="C223" s="140">
        <f ca="1">IF(ISNUMBER(MATCH(DATEVALUE($A223),'recurring1_based on steps'!C$1:C$400,0)),C$2,)</f>
        <v>0</v>
      </c>
      <c r="D223" s="140">
        <f ca="1">IF(ISNUMBER(MATCH(DATEVALUE($A223),'recurring1_based on steps'!D$1:D$400,0)),D$2,)</f>
        <v>0</v>
      </c>
      <c r="E223" s="140">
        <f ca="1">IF(ISNUMBER(MATCH(DATEVALUE($A223),'recurring1_based on steps'!E$1:E$400,0)),E$2,)</f>
        <v>0</v>
      </c>
      <c r="F223" s="140">
        <f ca="1">IF(ISNUMBER(MATCH(DATEVALUE($A223),'recurring1_based on steps'!F$1:F$400,0)),F$2,)</f>
        <v>0</v>
      </c>
      <c r="G223" s="140">
        <f ca="1">IF(ISNUMBER(MATCH(DATEVALUE($A223),'recurring1_based on steps'!G$1:G$400,0)),G$2,)</f>
        <v>0</v>
      </c>
      <c r="H223" s="140">
        <f ca="1">IF(ISNUMBER(MATCH(DATEVALUE($A223),'recurring1_based on steps'!H$1:H$400,0)),H$2,)</f>
        <v>0</v>
      </c>
      <c r="I223" s="140">
        <f ca="1">IF(ISNUMBER(MATCH(DATEVALUE($A223),'recurring1_based on steps'!I$1:I$400,0)),I$2,)</f>
        <v>0</v>
      </c>
      <c r="J223" s="140">
        <f ca="1">IF(ISNUMBER(MATCH(DATEVALUE($A223),'recurring1_based on steps'!J$1:J$400,0)),J$2,)</f>
        <v>0</v>
      </c>
      <c r="K223" s="140">
        <f ca="1">IF(ISNUMBER(MATCH(DATEVALUE($A223),'recurring1_based on steps'!K$1:K$400,0)),K$2,)</f>
        <v>50</v>
      </c>
      <c r="L223" s="140">
        <f ca="1">IF(ISNUMBER(MATCH(DATEVALUE($A223),'recurring1_based on steps'!L$1:L$400,0)),L$2,)</f>
        <v>0</v>
      </c>
      <c r="M223" s="140">
        <f ca="1">IF(ISNUMBER(MATCH(DATEVALUE($A223),'recurring1_based on steps'!M$1:M$400,0)),M$2,)</f>
        <v>0</v>
      </c>
      <c r="N223" s="140">
        <f ca="1">IF(ISNUMBER(MATCH(DATEVALUE($A223),'recurring1_based on steps'!N$1:N$400,0)),N$2,)</f>
        <v>0</v>
      </c>
      <c r="O223" s="140">
        <f ca="1">IF(ISNUMBER(MATCH(DATEVALUE($A223),'recurring1_based on steps'!O$1:O$400,0)),O$2,)</f>
        <v>0</v>
      </c>
      <c r="P223" s="140">
        <f ca="1">IF(ISNUMBER(MATCH(DATEVALUE($A223),'recurring1_based on steps'!P$1:P$400,0)),P$2,)</f>
        <v>0</v>
      </c>
      <c r="Q223" s="140">
        <f ca="1">IF(ISNUMBER(MATCH(DATEVALUE($A223),'recurring1_based on steps'!Q$1:Q$400,0)),Q$2,)</f>
        <v>0</v>
      </c>
      <c r="R223" s="140">
        <f ca="1">IF(ISNUMBER(MATCH(DATEVALUE($A223),'recurring1_based on steps'!R$1:R$400,0)),R$2,)</f>
        <v>0</v>
      </c>
      <c r="S223" s="140">
        <f ca="1">IF(ISNUMBER(MATCH(DATEVALUE($A223),'recurring1_based on steps'!S$1:S$400,0)),S$2,)</f>
        <v>100</v>
      </c>
      <c r="T223" s="140">
        <f ca="1">IF(ISNUMBER(MATCH(DATEVALUE($A223),'recurring1_based on steps'!T$1:T$400,0)),T$2,)</f>
        <v>0</v>
      </c>
      <c r="U223" s="140">
        <f ca="1">IF(ISNUMBER(MATCH(DATEVALUE($A223),'recurring1_based on steps'!U$1:U$400,0)),U$2,)</f>
        <v>0</v>
      </c>
      <c r="V223" s="140">
        <f ca="1">IF(ISNUMBER(MATCH(DATEVALUE($A223),'recurring1_based on steps'!V$1:V$400,0)),V$2,)</f>
        <v>0</v>
      </c>
      <c r="W223" s="140">
        <f ca="1">IF(ISNUMBER(MATCH(DATEVALUE($A223),'recurring1_based on steps'!W$1:W$400,0)),W$2,)</f>
        <v>0</v>
      </c>
      <c r="X223" s="140">
        <f ca="1">IF(ISNUMBER(MATCH(DATEVALUE($A223),'recurring1_based on steps'!X$1:X$400,0)),X$2,)</f>
        <v>0</v>
      </c>
      <c r="Y223" s="140">
        <f ca="1">IF(ISNUMBER(MATCH(DATEVALUE($A223),'recurring1_based on steps'!Y$1:Y$400,0)),Y$2,)</f>
        <v>0</v>
      </c>
      <c r="Z223" s="140">
        <f ca="1">IF(ISNUMBER(MATCH(DATEVALUE($A223),'recurring1_based on steps'!Z$1:Z$400,0)),Z$2,)</f>
        <v>0</v>
      </c>
      <c r="AA223" s="140">
        <f ca="1">IF(ISNUMBER(MATCH(DATEVALUE($A223),'recurring1_based on steps'!AA$1:AA$400,0)),AA$2,)</f>
        <v>0</v>
      </c>
      <c r="AB223" s="140">
        <f ca="1">IF(ISNUMBER(MATCH(DATEVALUE($A223),'recurring1_based on steps'!AB$1:AB$400,0)),AB$2,)</f>
        <v>5.5401662049861494E-2</v>
      </c>
      <c r="AC223" s="140">
        <f ca="1">IF(ISNUMBER(MATCH(DATEVALUE($A223),'recurring1_based on steps'!AC$1:AC$400,0)),AC$2,)</f>
        <v>0</v>
      </c>
      <c r="AD223" s="140">
        <f ca="1">IF(ISNUMBER(MATCH(DATEVALUE($A223),'recurring1_based on steps'!AD$1:AD$400,0)),AD$2,)</f>
        <v>0</v>
      </c>
      <c r="AE223" s="140">
        <f ca="1">IF(ISNUMBER(MATCH(DATEVALUE($A223),'recurring1_based on steps'!AE$1:AE$400,0)),AE$2,)</f>
        <v>0</v>
      </c>
      <c r="AF223" s="140">
        <f ca="1">IF(ISNUMBER(MATCH(DATEVALUE($A223),'recurring1_based on steps'!AF$1:AF$400,0)),AF$2,)</f>
        <v>0</v>
      </c>
      <c r="AG223" s="140">
        <f ca="1">IF(ISNUMBER(MATCH(DATEVALUE($A223),'recurring1_based on steps'!AG$1:AG$400,0)),AG$2,)</f>
        <v>0</v>
      </c>
      <c r="AH223" s="140">
        <f ca="1">IF(ISNUMBER(MATCH(DATEVALUE($A223),'recurring1_based on steps'!AH$1:AH$400,0)),AH$2,)</f>
        <v>0</v>
      </c>
      <c r="AI223" s="140">
        <f ca="1">IF(ISNUMBER(MATCH(DATEVALUE($A223),'recurring1_based on steps'!AI$1:AI$400,0)),AI$2,)</f>
        <v>0</v>
      </c>
      <c r="AJ223" s="140">
        <f ca="1">IF(ISNUMBER(MATCH(DATEVALUE($A223),'recurring1_based on steps'!AJ$1:AJ$400,0)),AJ$2,)</f>
        <v>0</v>
      </c>
      <c r="AK223" s="140">
        <f ca="1">IF(ISNUMBER(MATCH(DATEVALUE($A223),'recurring1_based on steps'!AK$1:AK$400,0)),AK$2,)</f>
        <v>0</v>
      </c>
      <c r="AL223" s="140">
        <f ca="1">IF(ISNUMBER(MATCH(DATEVALUE($A223),'recurring1_based on steps'!AL$1:AL$400,0)),AL$2,)</f>
        <v>0</v>
      </c>
      <c r="AM223" s="140">
        <f ca="1">IF(ISNUMBER(MATCH(DATEVALUE($A223),'recurring1_based on steps'!AM$1:AM$400,0)),AM$2,)</f>
        <v>0</v>
      </c>
      <c r="AN223" s="140">
        <f ca="1">IF(ISNUMBER(MATCH(DATEVALUE($A223),'recurring1_based on steps'!AN$1:AN$400,0)),AN$2,)</f>
        <v>0</v>
      </c>
      <c r="AO223" s="140">
        <f ca="1">IF(ISNUMBER(MATCH(DATEVALUE($A223),'recurring1_based on steps'!AO$1:AO$400,0)),AO$2,)</f>
        <v>0</v>
      </c>
      <c r="AP223" s="140">
        <f ca="1">IF(ISNUMBER(MATCH(DATEVALUE($A223),'recurring1_based on steps'!AP$1:AP$400,0)),AP$2,)</f>
        <v>0</v>
      </c>
      <c r="AQ223" s="140">
        <f ca="1">IF(ISNUMBER(MATCH(DATEVALUE($A223),'recurring1_based on steps'!AQ$1:AQ$400,0)),AQ$2,)</f>
        <v>0</v>
      </c>
      <c r="AR223" s="140">
        <f ca="1">IF(ISNUMBER(MATCH(DATEVALUE($A223),'recurring1_based on steps'!AR$1:AR$400,0)),AR$2,)</f>
        <v>0</v>
      </c>
      <c r="AS223" s="140">
        <f ca="1">IF(ISNUMBER(MATCH(DATEVALUE($A223),'recurring1_based on steps'!AS$1:AS$400,0)),AS$2,)</f>
        <v>0</v>
      </c>
      <c r="AT223" s="140">
        <f ca="1">IF(ISNUMBER(MATCH(DATEVALUE($A223),'recurring1_based on steps'!AT$1:AT$400,0)),AT$2,)</f>
        <v>0</v>
      </c>
      <c r="AU223" s="140">
        <f ca="1">IF(ISNUMBER(MATCH(DATEVALUE($A223),'recurring1_based on steps'!AU$1:AU$400,0)),AU$2,)</f>
        <v>0</v>
      </c>
      <c r="AV223" s="140">
        <f ca="1">IF(ISNUMBER(MATCH(DATEVALUE($A223),'recurring1_based on steps'!AV$1:AV$400,0)),AV$2,)</f>
        <v>0</v>
      </c>
      <c r="AW223" s="140">
        <f ca="1">IF(ISNUMBER(MATCH(DATEVALUE($A223),'recurring1_based on steps'!AW$1:AW$400,0)),AW$2,)</f>
        <v>0</v>
      </c>
      <c r="AX223" s="140">
        <f ca="1">IF(ISNUMBER(MATCH(DATEVALUE($A223),'recurring1_based on steps'!AX$1:AX$400,0)),AX$2,)</f>
        <v>0</v>
      </c>
      <c r="AY223" s="140">
        <f ca="1">IF(ISNUMBER(MATCH(DATEVALUE($A223),'recurring1_based on steps'!AY$1:AY$400,0)),AY$2,)</f>
        <v>0</v>
      </c>
    </row>
    <row r="224" spans="1:51" x14ac:dyDescent="0.2">
      <c r="A224" s="29" t="str">
        <f t="shared" ca="1" si="3"/>
        <v>2025-11-03</v>
      </c>
      <c r="B224" s="140">
        <f ca="1">IF(ISNUMBER(MATCH(DATEVALUE($A224),'recurring1_based on steps'!B$1:B$400,0)),B$2,)</f>
        <v>0</v>
      </c>
      <c r="C224" s="140">
        <f ca="1">IF(ISNUMBER(MATCH(DATEVALUE($A224),'recurring1_based on steps'!C$1:C$400,0)),C$2,)</f>
        <v>0</v>
      </c>
      <c r="D224" s="140">
        <f ca="1">IF(ISNUMBER(MATCH(DATEVALUE($A224),'recurring1_based on steps'!D$1:D$400,0)),D$2,)</f>
        <v>0</v>
      </c>
      <c r="E224" s="140">
        <f ca="1">IF(ISNUMBER(MATCH(DATEVALUE($A224),'recurring1_based on steps'!E$1:E$400,0)),E$2,)</f>
        <v>0</v>
      </c>
      <c r="F224" s="140">
        <f ca="1">IF(ISNUMBER(MATCH(DATEVALUE($A224),'recurring1_based on steps'!F$1:F$400,0)),F$2,)</f>
        <v>0</v>
      </c>
      <c r="G224" s="140">
        <f ca="1">IF(ISNUMBER(MATCH(DATEVALUE($A224),'recurring1_based on steps'!G$1:G$400,0)),G$2,)</f>
        <v>0</v>
      </c>
      <c r="H224" s="140">
        <f ca="1">IF(ISNUMBER(MATCH(DATEVALUE($A224),'recurring1_based on steps'!H$1:H$400,0)),H$2,)</f>
        <v>0</v>
      </c>
      <c r="I224" s="140">
        <f ca="1">IF(ISNUMBER(MATCH(DATEVALUE($A224),'recurring1_based on steps'!I$1:I$400,0)),I$2,)</f>
        <v>0</v>
      </c>
      <c r="J224" s="140">
        <f ca="1">IF(ISNUMBER(MATCH(DATEVALUE($A224),'recurring1_based on steps'!J$1:J$400,0)),J$2,)</f>
        <v>0</v>
      </c>
      <c r="K224" s="140">
        <f ca="1">IF(ISNUMBER(MATCH(DATEVALUE($A224),'recurring1_based on steps'!K$1:K$400,0)),K$2,)</f>
        <v>0</v>
      </c>
      <c r="L224" s="140">
        <f ca="1">IF(ISNUMBER(MATCH(DATEVALUE($A224),'recurring1_based on steps'!L$1:L$400,0)),L$2,)</f>
        <v>0</v>
      </c>
      <c r="M224" s="140">
        <f ca="1">IF(ISNUMBER(MATCH(DATEVALUE($A224),'recurring1_based on steps'!M$1:M$400,0)),M$2,)</f>
        <v>0</v>
      </c>
      <c r="N224" s="140">
        <f ca="1">IF(ISNUMBER(MATCH(DATEVALUE($A224),'recurring1_based on steps'!N$1:N$400,0)),N$2,)</f>
        <v>0</v>
      </c>
      <c r="O224" s="140">
        <f ca="1">IF(ISNUMBER(MATCH(DATEVALUE($A224),'recurring1_based on steps'!O$1:O$400,0)),O$2,)</f>
        <v>0</v>
      </c>
      <c r="P224" s="140">
        <f ca="1">IF(ISNUMBER(MATCH(DATEVALUE($A224),'recurring1_based on steps'!P$1:P$400,0)),P$2,)</f>
        <v>0</v>
      </c>
      <c r="Q224" s="140">
        <f ca="1">IF(ISNUMBER(MATCH(DATEVALUE($A224),'recurring1_based on steps'!Q$1:Q$400,0)),Q$2,)</f>
        <v>0</v>
      </c>
      <c r="R224" s="140">
        <f ca="1">IF(ISNUMBER(MATCH(DATEVALUE($A224),'recurring1_based on steps'!R$1:R$400,0)),R$2,)</f>
        <v>0</v>
      </c>
      <c r="S224" s="140">
        <f ca="1">IF(ISNUMBER(MATCH(DATEVALUE($A224),'recurring1_based on steps'!S$1:S$400,0)),S$2,)</f>
        <v>0</v>
      </c>
      <c r="T224" s="140">
        <f ca="1">IF(ISNUMBER(MATCH(DATEVALUE($A224),'recurring1_based on steps'!T$1:T$400,0)),T$2,)</f>
        <v>50</v>
      </c>
      <c r="U224" s="140">
        <f ca="1">IF(ISNUMBER(MATCH(DATEVALUE($A224),'recurring1_based on steps'!U$1:U$400,0)),U$2,)</f>
        <v>0</v>
      </c>
      <c r="V224" s="140">
        <f ca="1">IF(ISNUMBER(MATCH(DATEVALUE($A224),'recurring1_based on steps'!V$1:V$400,0)),V$2,)</f>
        <v>0</v>
      </c>
      <c r="W224" s="140">
        <f ca="1">IF(ISNUMBER(MATCH(DATEVALUE($A224),'recurring1_based on steps'!W$1:W$400,0)),W$2,)</f>
        <v>0</v>
      </c>
      <c r="X224" s="140">
        <f ca="1">IF(ISNUMBER(MATCH(DATEVALUE($A224),'recurring1_based on steps'!X$1:X$400,0)),X$2,)</f>
        <v>0</v>
      </c>
      <c r="Y224" s="140">
        <f ca="1">IF(ISNUMBER(MATCH(DATEVALUE($A224),'recurring1_based on steps'!Y$1:Y$400,0)),Y$2,)</f>
        <v>0</v>
      </c>
      <c r="Z224" s="140">
        <f ca="1">IF(ISNUMBER(MATCH(DATEVALUE($A224),'recurring1_based on steps'!Z$1:Z$400,0)),Z$2,)</f>
        <v>0</v>
      </c>
      <c r="AA224" s="140">
        <f ca="1">IF(ISNUMBER(MATCH(DATEVALUE($A224),'recurring1_based on steps'!AA$1:AA$400,0)),AA$2,)</f>
        <v>0</v>
      </c>
      <c r="AB224" s="140">
        <f ca="1">IF(ISNUMBER(MATCH(DATEVALUE($A224),'recurring1_based on steps'!AB$1:AB$400,0)),AB$2,)</f>
        <v>5.5401662049861494E-2</v>
      </c>
      <c r="AC224" s="140">
        <f ca="1">IF(ISNUMBER(MATCH(DATEVALUE($A224),'recurring1_based on steps'!AC$1:AC$400,0)),AC$2,)</f>
        <v>0</v>
      </c>
      <c r="AD224" s="140">
        <f ca="1">IF(ISNUMBER(MATCH(DATEVALUE($A224),'recurring1_based on steps'!AD$1:AD$400,0)),AD$2,)</f>
        <v>0</v>
      </c>
      <c r="AE224" s="140">
        <f ca="1">IF(ISNUMBER(MATCH(DATEVALUE($A224),'recurring1_based on steps'!AE$1:AE$400,0)),AE$2,)</f>
        <v>0</v>
      </c>
      <c r="AF224" s="140">
        <f ca="1">IF(ISNUMBER(MATCH(DATEVALUE($A224),'recurring1_based on steps'!AF$1:AF$400,0)),AF$2,)</f>
        <v>0</v>
      </c>
      <c r="AG224" s="140">
        <f ca="1">IF(ISNUMBER(MATCH(DATEVALUE($A224),'recurring1_based on steps'!AG$1:AG$400,0)),AG$2,)</f>
        <v>0</v>
      </c>
      <c r="AH224" s="140">
        <f ca="1">IF(ISNUMBER(MATCH(DATEVALUE($A224),'recurring1_based on steps'!AH$1:AH$400,0)),AH$2,)</f>
        <v>0</v>
      </c>
      <c r="AI224" s="140">
        <f ca="1">IF(ISNUMBER(MATCH(DATEVALUE($A224),'recurring1_based on steps'!AI$1:AI$400,0)),AI$2,)</f>
        <v>0</v>
      </c>
      <c r="AJ224" s="140">
        <f ca="1">IF(ISNUMBER(MATCH(DATEVALUE($A224),'recurring1_based on steps'!AJ$1:AJ$400,0)),AJ$2,)</f>
        <v>0</v>
      </c>
      <c r="AK224" s="140">
        <f ca="1">IF(ISNUMBER(MATCH(DATEVALUE($A224),'recurring1_based on steps'!AK$1:AK$400,0)),AK$2,)</f>
        <v>0</v>
      </c>
      <c r="AL224" s="140">
        <f ca="1">IF(ISNUMBER(MATCH(DATEVALUE($A224),'recurring1_based on steps'!AL$1:AL$400,0)),AL$2,)</f>
        <v>0</v>
      </c>
      <c r="AM224" s="140">
        <f ca="1">IF(ISNUMBER(MATCH(DATEVALUE($A224),'recurring1_based on steps'!AM$1:AM$400,0)),AM$2,)</f>
        <v>0</v>
      </c>
      <c r="AN224" s="140">
        <f ca="1">IF(ISNUMBER(MATCH(DATEVALUE($A224),'recurring1_based on steps'!AN$1:AN$400,0)),AN$2,)</f>
        <v>0</v>
      </c>
      <c r="AO224" s="140">
        <f ca="1">IF(ISNUMBER(MATCH(DATEVALUE($A224),'recurring1_based on steps'!AO$1:AO$400,0)),AO$2,)</f>
        <v>0</v>
      </c>
      <c r="AP224" s="140">
        <f ca="1">IF(ISNUMBER(MATCH(DATEVALUE($A224),'recurring1_based on steps'!AP$1:AP$400,0)),AP$2,)</f>
        <v>0</v>
      </c>
      <c r="AQ224" s="140">
        <f ca="1">IF(ISNUMBER(MATCH(DATEVALUE($A224),'recurring1_based on steps'!AQ$1:AQ$400,0)),AQ$2,)</f>
        <v>0</v>
      </c>
      <c r="AR224" s="140">
        <f ca="1">IF(ISNUMBER(MATCH(DATEVALUE($A224),'recurring1_based on steps'!AR$1:AR$400,0)),AR$2,)</f>
        <v>0</v>
      </c>
      <c r="AS224" s="140">
        <f ca="1">IF(ISNUMBER(MATCH(DATEVALUE($A224),'recurring1_based on steps'!AS$1:AS$400,0)),AS$2,)</f>
        <v>0</v>
      </c>
      <c r="AT224" s="140">
        <f ca="1">IF(ISNUMBER(MATCH(DATEVALUE($A224),'recurring1_based on steps'!AT$1:AT$400,0)),AT$2,)</f>
        <v>0</v>
      </c>
      <c r="AU224" s="140">
        <f ca="1">IF(ISNUMBER(MATCH(DATEVALUE($A224),'recurring1_based on steps'!AU$1:AU$400,0)),AU$2,)</f>
        <v>0</v>
      </c>
      <c r="AV224" s="140">
        <f ca="1">IF(ISNUMBER(MATCH(DATEVALUE($A224),'recurring1_based on steps'!AV$1:AV$400,0)),AV$2,)</f>
        <v>0</v>
      </c>
      <c r="AW224" s="140">
        <f ca="1">IF(ISNUMBER(MATCH(DATEVALUE($A224),'recurring1_based on steps'!AW$1:AW$400,0)),AW$2,)</f>
        <v>0</v>
      </c>
      <c r="AX224" s="140">
        <f ca="1">IF(ISNUMBER(MATCH(DATEVALUE($A224),'recurring1_based on steps'!AX$1:AX$400,0)),AX$2,)</f>
        <v>0</v>
      </c>
      <c r="AY224" s="140">
        <f ca="1">IF(ISNUMBER(MATCH(DATEVALUE($A224),'recurring1_based on steps'!AY$1:AY$400,0)),AY$2,)</f>
        <v>0</v>
      </c>
    </row>
    <row r="225" spans="1:51" x14ac:dyDescent="0.2">
      <c r="A225" s="29" t="str">
        <f t="shared" ca="1" si="3"/>
        <v>2025-11-04</v>
      </c>
      <c r="B225" s="140">
        <f ca="1">IF(ISNUMBER(MATCH(DATEVALUE($A225),'recurring1_based on steps'!B$1:B$400,0)),B$2,)</f>
        <v>0</v>
      </c>
      <c r="C225" s="140">
        <f ca="1">IF(ISNUMBER(MATCH(DATEVALUE($A225),'recurring1_based on steps'!C$1:C$400,0)),C$2,)</f>
        <v>0</v>
      </c>
      <c r="D225" s="140">
        <f ca="1">IF(ISNUMBER(MATCH(DATEVALUE($A225),'recurring1_based on steps'!D$1:D$400,0)),D$2,)</f>
        <v>0</v>
      </c>
      <c r="E225" s="140">
        <f ca="1">IF(ISNUMBER(MATCH(DATEVALUE($A225),'recurring1_based on steps'!E$1:E$400,0)),E$2,)</f>
        <v>0</v>
      </c>
      <c r="F225" s="140">
        <f ca="1">IF(ISNUMBER(MATCH(DATEVALUE($A225),'recurring1_based on steps'!F$1:F$400,0)),F$2,)</f>
        <v>0</v>
      </c>
      <c r="G225" s="140">
        <f ca="1">IF(ISNUMBER(MATCH(DATEVALUE($A225),'recurring1_based on steps'!G$1:G$400,0)),G$2,)</f>
        <v>0</v>
      </c>
      <c r="H225" s="140">
        <f ca="1">IF(ISNUMBER(MATCH(DATEVALUE($A225),'recurring1_based on steps'!H$1:H$400,0)),H$2,)</f>
        <v>0</v>
      </c>
      <c r="I225" s="140">
        <f ca="1">IF(ISNUMBER(MATCH(DATEVALUE($A225),'recurring1_based on steps'!I$1:I$400,0)),I$2,)</f>
        <v>0</v>
      </c>
      <c r="J225" s="140">
        <f ca="1">IF(ISNUMBER(MATCH(DATEVALUE($A225),'recurring1_based on steps'!J$1:J$400,0)),J$2,)</f>
        <v>0</v>
      </c>
      <c r="K225" s="140">
        <f ca="1">IF(ISNUMBER(MATCH(DATEVALUE($A225),'recurring1_based on steps'!K$1:K$400,0)),K$2,)</f>
        <v>0</v>
      </c>
      <c r="L225" s="140">
        <f ca="1">IF(ISNUMBER(MATCH(DATEVALUE($A225),'recurring1_based on steps'!L$1:L$400,0)),L$2,)</f>
        <v>0</v>
      </c>
      <c r="M225" s="140">
        <f ca="1">IF(ISNUMBER(MATCH(DATEVALUE($A225),'recurring1_based on steps'!M$1:M$400,0)),M$2,)</f>
        <v>15</v>
      </c>
      <c r="N225" s="140">
        <f ca="1">IF(ISNUMBER(MATCH(DATEVALUE($A225),'recurring1_based on steps'!N$1:N$400,0)),N$2,)</f>
        <v>0</v>
      </c>
      <c r="O225" s="140">
        <f ca="1">IF(ISNUMBER(MATCH(DATEVALUE($A225),'recurring1_based on steps'!O$1:O$400,0)),O$2,)</f>
        <v>0</v>
      </c>
      <c r="P225" s="140">
        <f ca="1">IF(ISNUMBER(MATCH(DATEVALUE($A225),'recurring1_based on steps'!P$1:P$400,0)),P$2,)</f>
        <v>0</v>
      </c>
      <c r="Q225" s="140">
        <f ca="1">IF(ISNUMBER(MATCH(DATEVALUE($A225),'recurring1_based on steps'!Q$1:Q$400,0)),Q$2,)</f>
        <v>0</v>
      </c>
      <c r="R225" s="140">
        <f ca="1">IF(ISNUMBER(MATCH(DATEVALUE($A225),'recurring1_based on steps'!R$1:R$400,0)),R$2,)</f>
        <v>0</v>
      </c>
      <c r="S225" s="140">
        <f ca="1">IF(ISNUMBER(MATCH(DATEVALUE($A225),'recurring1_based on steps'!S$1:S$400,0)),S$2,)</f>
        <v>0</v>
      </c>
      <c r="T225" s="140">
        <f ca="1">IF(ISNUMBER(MATCH(DATEVALUE($A225),'recurring1_based on steps'!T$1:T$400,0)),T$2,)</f>
        <v>0</v>
      </c>
      <c r="U225" s="140">
        <f ca="1">IF(ISNUMBER(MATCH(DATEVALUE($A225),'recurring1_based on steps'!U$1:U$400,0)),U$2,)</f>
        <v>0</v>
      </c>
      <c r="V225" s="140">
        <f ca="1">IF(ISNUMBER(MATCH(DATEVALUE($A225),'recurring1_based on steps'!V$1:V$400,0)),V$2,)</f>
        <v>0</v>
      </c>
      <c r="W225" s="140">
        <f ca="1">IF(ISNUMBER(MATCH(DATEVALUE($A225),'recurring1_based on steps'!W$1:W$400,0)),W$2,)</f>
        <v>0</v>
      </c>
      <c r="X225" s="140">
        <f ca="1">IF(ISNUMBER(MATCH(DATEVALUE($A225),'recurring1_based on steps'!X$1:X$400,0)),X$2,)</f>
        <v>0</v>
      </c>
      <c r="Y225" s="140">
        <f ca="1">IF(ISNUMBER(MATCH(DATEVALUE($A225),'recurring1_based on steps'!Y$1:Y$400,0)),Y$2,)</f>
        <v>0</v>
      </c>
      <c r="Z225" s="140">
        <f ca="1">IF(ISNUMBER(MATCH(DATEVALUE($A225),'recurring1_based on steps'!Z$1:Z$400,0)),Z$2,)</f>
        <v>0</v>
      </c>
      <c r="AA225" s="140">
        <f ca="1">IF(ISNUMBER(MATCH(DATEVALUE($A225),'recurring1_based on steps'!AA$1:AA$400,0)),AA$2,)</f>
        <v>0</v>
      </c>
      <c r="AB225" s="140">
        <f ca="1">IF(ISNUMBER(MATCH(DATEVALUE($A225),'recurring1_based on steps'!AB$1:AB$400,0)),AB$2,)</f>
        <v>5.5401662049861494E-2</v>
      </c>
      <c r="AC225" s="140">
        <f ca="1">IF(ISNUMBER(MATCH(DATEVALUE($A225),'recurring1_based on steps'!AC$1:AC$400,0)),AC$2,)</f>
        <v>0</v>
      </c>
      <c r="AD225" s="140">
        <f ca="1">IF(ISNUMBER(MATCH(DATEVALUE($A225),'recurring1_based on steps'!AD$1:AD$400,0)),AD$2,)</f>
        <v>0</v>
      </c>
      <c r="AE225" s="140">
        <f ca="1">IF(ISNUMBER(MATCH(DATEVALUE($A225),'recurring1_based on steps'!AE$1:AE$400,0)),AE$2,)</f>
        <v>0</v>
      </c>
      <c r="AF225" s="140">
        <f ca="1">IF(ISNUMBER(MATCH(DATEVALUE($A225),'recurring1_based on steps'!AF$1:AF$400,0)),AF$2,)</f>
        <v>0</v>
      </c>
      <c r="AG225" s="140">
        <f ca="1">IF(ISNUMBER(MATCH(DATEVALUE($A225),'recurring1_based on steps'!AG$1:AG$400,0)),AG$2,)</f>
        <v>0</v>
      </c>
      <c r="AH225" s="140">
        <f ca="1">IF(ISNUMBER(MATCH(DATEVALUE($A225),'recurring1_based on steps'!AH$1:AH$400,0)),AH$2,)</f>
        <v>0</v>
      </c>
      <c r="AI225" s="140">
        <f ca="1">IF(ISNUMBER(MATCH(DATEVALUE($A225),'recurring1_based on steps'!AI$1:AI$400,0)),AI$2,)</f>
        <v>0</v>
      </c>
      <c r="AJ225" s="140">
        <f ca="1">IF(ISNUMBER(MATCH(DATEVALUE($A225),'recurring1_based on steps'!AJ$1:AJ$400,0)),AJ$2,)</f>
        <v>0</v>
      </c>
      <c r="AK225" s="140">
        <f ca="1">IF(ISNUMBER(MATCH(DATEVALUE($A225),'recurring1_based on steps'!AK$1:AK$400,0)),AK$2,)</f>
        <v>0</v>
      </c>
      <c r="AL225" s="140">
        <f ca="1">IF(ISNUMBER(MATCH(DATEVALUE($A225),'recurring1_based on steps'!AL$1:AL$400,0)),AL$2,)</f>
        <v>0</v>
      </c>
      <c r="AM225" s="140">
        <f ca="1">IF(ISNUMBER(MATCH(DATEVALUE($A225),'recurring1_based on steps'!AM$1:AM$400,0)),AM$2,)</f>
        <v>0</v>
      </c>
      <c r="AN225" s="140">
        <f ca="1">IF(ISNUMBER(MATCH(DATEVALUE($A225),'recurring1_based on steps'!AN$1:AN$400,0)),AN$2,)</f>
        <v>0</v>
      </c>
      <c r="AO225" s="140">
        <f ca="1">IF(ISNUMBER(MATCH(DATEVALUE($A225),'recurring1_based on steps'!AO$1:AO$400,0)),AO$2,)</f>
        <v>0</v>
      </c>
      <c r="AP225" s="140">
        <f ca="1">IF(ISNUMBER(MATCH(DATEVALUE($A225),'recurring1_based on steps'!AP$1:AP$400,0)),AP$2,)</f>
        <v>0</v>
      </c>
      <c r="AQ225" s="140">
        <f ca="1">IF(ISNUMBER(MATCH(DATEVALUE($A225),'recurring1_based on steps'!AQ$1:AQ$400,0)),AQ$2,)</f>
        <v>0</v>
      </c>
      <c r="AR225" s="140">
        <f ca="1">IF(ISNUMBER(MATCH(DATEVALUE($A225),'recurring1_based on steps'!AR$1:AR$400,0)),AR$2,)</f>
        <v>0</v>
      </c>
      <c r="AS225" s="140">
        <f ca="1">IF(ISNUMBER(MATCH(DATEVALUE($A225),'recurring1_based on steps'!AS$1:AS$400,0)),AS$2,)</f>
        <v>0</v>
      </c>
      <c r="AT225" s="140">
        <f ca="1">IF(ISNUMBER(MATCH(DATEVALUE($A225),'recurring1_based on steps'!AT$1:AT$400,0)),AT$2,)</f>
        <v>0</v>
      </c>
      <c r="AU225" s="140">
        <f ca="1">IF(ISNUMBER(MATCH(DATEVALUE($A225),'recurring1_based on steps'!AU$1:AU$400,0)),AU$2,)</f>
        <v>0</v>
      </c>
      <c r="AV225" s="140">
        <f ca="1">IF(ISNUMBER(MATCH(DATEVALUE($A225),'recurring1_based on steps'!AV$1:AV$400,0)),AV$2,)</f>
        <v>0</v>
      </c>
      <c r="AW225" s="140">
        <f ca="1">IF(ISNUMBER(MATCH(DATEVALUE($A225),'recurring1_based on steps'!AW$1:AW$400,0)),AW$2,)</f>
        <v>0</v>
      </c>
      <c r="AX225" s="140">
        <f ca="1">IF(ISNUMBER(MATCH(DATEVALUE($A225),'recurring1_based on steps'!AX$1:AX$400,0)),AX$2,)</f>
        <v>0</v>
      </c>
      <c r="AY225" s="140">
        <f ca="1">IF(ISNUMBER(MATCH(DATEVALUE($A225),'recurring1_based on steps'!AY$1:AY$400,0)),AY$2,)</f>
        <v>0</v>
      </c>
    </row>
    <row r="226" spans="1:51" x14ac:dyDescent="0.2">
      <c r="A226" s="29" t="str">
        <f t="shared" ca="1" si="3"/>
        <v>2025-11-05</v>
      </c>
      <c r="B226" s="140">
        <f ca="1">IF(ISNUMBER(MATCH(DATEVALUE($A226),'recurring1_based on steps'!B$1:B$400,0)),B$2,)</f>
        <v>0</v>
      </c>
      <c r="C226" s="140">
        <f ca="1">IF(ISNUMBER(MATCH(DATEVALUE($A226),'recurring1_based on steps'!C$1:C$400,0)),C$2,)</f>
        <v>0</v>
      </c>
      <c r="D226" s="140">
        <f ca="1">IF(ISNUMBER(MATCH(DATEVALUE($A226),'recurring1_based on steps'!D$1:D$400,0)),D$2,)</f>
        <v>0</v>
      </c>
      <c r="E226" s="140">
        <f ca="1">IF(ISNUMBER(MATCH(DATEVALUE($A226),'recurring1_based on steps'!E$1:E$400,0)),E$2,)</f>
        <v>0</v>
      </c>
      <c r="F226" s="140">
        <f ca="1">IF(ISNUMBER(MATCH(DATEVALUE($A226),'recurring1_based on steps'!F$1:F$400,0)),F$2,)</f>
        <v>0</v>
      </c>
      <c r="G226" s="140">
        <f ca="1">IF(ISNUMBER(MATCH(DATEVALUE($A226),'recurring1_based on steps'!G$1:G$400,0)),G$2,)</f>
        <v>0</v>
      </c>
      <c r="H226" s="140">
        <f ca="1">IF(ISNUMBER(MATCH(DATEVALUE($A226),'recurring1_based on steps'!H$1:H$400,0)),H$2,)</f>
        <v>0</v>
      </c>
      <c r="I226" s="140">
        <f ca="1">IF(ISNUMBER(MATCH(DATEVALUE($A226),'recurring1_based on steps'!I$1:I$400,0)),I$2,)</f>
        <v>0</v>
      </c>
      <c r="J226" s="140">
        <f ca="1">IF(ISNUMBER(MATCH(DATEVALUE($A226),'recurring1_based on steps'!J$1:J$400,0)),J$2,)</f>
        <v>0</v>
      </c>
      <c r="K226" s="140">
        <f ca="1">IF(ISNUMBER(MATCH(DATEVALUE($A226),'recurring1_based on steps'!K$1:K$400,0)),K$2,)</f>
        <v>0</v>
      </c>
      <c r="L226" s="140">
        <f ca="1">IF(ISNUMBER(MATCH(DATEVALUE($A226),'recurring1_based on steps'!L$1:L$400,0)),L$2,)</f>
        <v>0</v>
      </c>
      <c r="M226" s="140">
        <f ca="1">IF(ISNUMBER(MATCH(DATEVALUE($A226),'recurring1_based on steps'!M$1:M$400,0)),M$2,)</f>
        <v>0</v>
      </c>
      <c r="N226" s="140">
        <f ca="1">IF(ISNUMBER(MATCH(DATEVALUE($A226),'recurring1_based on steps'!N$1:N$400,0)),N$2,)</f>
        <v>0</v>
      </c>
      <c r="O226" s="140">
        <f ca="1">IF(ISNUMBER(MATCH(DATEVALUE($A226),'recurring1_based on steps'!O$1:O$400,0)),O$2,)</f>
        <v>0</v>
      </c>
      <c r="P226" s="140">
        <f ca="1">IF(ISNUMBER(MATCH(DATEVALUE($A226),'recurring1_based on steps'!P$1:P$400,0)),P$2,)</f>
        <v>0</v>
      </c>
      <c r="Q226" s="140">
        <f ca="1">IF(ISNUMBER(MATCH(DATEVALUE($A226),'recurring1_based on steps'!Q$1:Q$400,0)),Q$2,)</f>
        <v>0</v>
      </c>
      <c r="R226" s="140">
        <f ca="1">IF(ISNUMBER(MATCH(DATEVALUE($A226),'recurring1_based on steps'!R$1:R$400,0)),R$2,)</f>
        <v>0</v>
      </c>
      <c r="S226" s="140">
        <f ca="1">IF(ISNUMBER(MATCH(DATEVALUE($A226),'recurring1_based on steps'!S$1:S$400,0)),S$2,)</f>
        <v>0</v>
      </c>
      <c r="T226" s="140">
        <f ca="1">IF(ISNUMBER(MATCH(DATEVALUE($A226),'recurring1_based on steps'!T$1:T$400,0)),T$2,)</f>
        <v>0</v>
      </c>
      <c r="U226" s="140">
        <f ca="1">IF(ISNUMBER(MATCH(DATEVALUE($A226),'recurring1_based on steps'!U$1:U$400,0)),U$2,)</f>
        <v>0</v>
      </c>
      <c r="V226" s="140">
        <f ca="1">IF(ISNUMBER(MATCH(DATEVALUE($A226),'recurring1_based on steps'!V$1:V$400,0)),V$2,)</f>
        <v>0</v>
      </c>
      <c r="W226" s="140">
        <f ca="1">IF(ISNUMBER(MATCH(DATEVALUE($A226),'recurring1_based on steps'!W$1:W$400,0)),W$2,)</f>
        <v>0</v>
      </c>
      <c r="X226" s="140">
        <f ca="1">IF(ISNUMBER(MATCH(DATEVALUE($A226),'recurring1_based on steps'!X$1:X$400,0)),X$2,)</f>
        <v>0</v>
      </c>
      <c r="Y226" s="140">
        <f ca="1">IF(ISNUMBER(MATCH(DATEVALUE($A226),'recurring1_based on steps'!Y$1:Y$400,0)),Y$2,)</f>
        <v>0</v>
      </c>
      <c r="Z226" s="140">
        <f ca="1">IF(ISNUMBER(MATCH(DATEVALUE($A226),'recurring1_based on steps'!Z$1:Z$400,0)),Z$2,)</f>
        <v>0</v>
      </c>
      <c r="AA226" s="140">
        <f ca="1">IF(ISNUMBER(MATCH(DATEVALUE($A226),'recurring1_based on steps'!AA$1:AA$400,0)),AA$2,)</f>
        <v>0</v>
      </c>
      <c r="AB226" s="140">
        <f ca="1">IF(ISNUMBER(MATCH(DATEVALUE($A226),'recurring1_based on steps'!AB$1:AB$400,0)),AB$2,)</f>
        <v>5.5401662049861494E-2</v>
      </c>
      <c r="AC226" s="140">
        <f ca="1">IF(ISNUMBER(MATCH(DATEVALUE($A226),'recurring1_based on steps'!AC$1:AC$400,0)),AC$2,)</f>
        <v>0</v>
      </c>
      <c r="AD226" s="140">
        <f ca="1">IF(ISNUMBER(MATCH(DATEVALUE($A226),'recurring1_based on steps'!AD$1:AD$400,0)),AD$2,)</f>
        <v>0</v>
      </c>
      <c r="AE226" s="140">
        <f ca="1">IF(ISNUMBER(MATCH(DATEVALUE($A226),'recurring1_based on steps'!AE$1:AE$400,0)),AE$2,)</f>
        <v>0</v>
      </c>
      <c r="AF226" s="140">
        <f ca="1">IF(ISNUMBER(MATCH(DATEVALUE($A226),'recurring1_based on steps'!AF$1:AF$400,0)),AF$2,)</f>
        <v>0</v>
      </c>
      <c r="AG226" s="140">
        <f ca="1">IF(ISNUMBER(MATCH(DATEVALUE($A226),'recurring1_based on steps'!AG$1:AG$400,0)),AG$2,)</f>
        <v>0</v>
      </c>
      <c r="AH226" s="140">
        <f ca="1">IF(ISNUMBER(MATCH(DATEVALUE($A226),'recurring1_based on steps'!AH$1:AH$400,0)),AH$2,)</f>
        <v>0</v>
      </c>
      <c r="AI226" s="140">
        <f ca="1">IF(ISNUMBER(MATCH(DATEVALUE($A226),'recurring1_based on steps'!AI$1:AI$400,0)),AI$2,)</f>
        <v>0</v>
      </c>
      <c r="AJ226" s="140">
        <f ca="1">IF(ISNUMBER(MATCH(DATEVALUE($A226),'recurring1_based on steps'!AJ$1:AJ$400,0)),AJ$2,)</f>
        <v>0</v>
      </c>
      <c r="AK226" s="140">
        <f ca="1">IF(ISNUMBER(MATCH(DATEVALUE($A226),'recurring1_based on steps'!AK$1:AK$400,0)),AK$2,)</f>
        <v>0</v>
      </c>
      <c r="AL226" s="140">
        <f ca="1">IF(ISNUMBER(MATCH(DATEVALUE($A226),'recurring1_based on steps'!AL$1:AL$400,0)),AL$2,)</f>
        <v>0</v>
      </c>
      <c r="AM226" s="140">
        <f ca="1">IF(ISNUMBER(MATCH(DATEVALUE($A226),'recurring1_based on steps'!AM$1:AM$400,0)),AM$2,)</f>
        <v>0</v>
      </c>
      <c r="AN226" s="140">
        <f ca="1">IF(ISNUMBER(MATCH(DATEVALUE($A226),'recurring1_based on steps'!AN$1:AN$400,0)),AN$2,)</f>
        <v>0</v>
      </c>
      <c r="AO226" s="140">
        <f ca="1">IF(ISNUMBER(MATCH(DATEVALUE($A226),'recurring1_based on steps'!AO$1:AO$400,0)),AO$2,)</f>
        <v>0</v>
      </c>
      <c r="AP226" s="140">
        <f ca="1">IF(ISNUMBER(MATCH(DATEVALUE($A226),'recurring1_based on steps'!AP$1:AP$400,0)),AP$2,)</f>
        <v>0</v>
      </c>
      <c r="AQ226" s="140">
        <f ca="1">IF(ISNUMBER(MATCH(DATEVALUE($A226),'recurring1_based on steps'!AQ$1:AQ$400,0)),AQ$2,)</f>
        <v>0</v>
      </c>
      <c r="AR226" s="140">
        <f ca="1">IF(ISNUMBER(MATCH(DATEVALUE($A226),'recurring1_based on steps'!AR$1:AR$400,0)),AR$2,)</f>
        <v>0</v>
      </c>
      <c r="AS226" s="140">
        <f ca="1">IF(ISNUMBER(MATCH(DATEVALUE($A226),'recurring1_based on steps'!AS$1:AS$400,0)),AS$2,)</f>
        <v>0</v>
      </c>
      <c r="AT226" s="140">
        <f ca="1">IF(ISNUMBER(MATCH(DATEVALUE($A226),'recurring1_based on steps'!AT$1:AT$400,0)),AT$2,)</f>
        <v>0</v>
      </c>
      <c r="AU226" s="140">
        <f ca="1">IF(ISNUMBER(MATCH(DATEVALUE($A226),'recurring1_based on steps'!AU$1:AU$400,0)),AU$2,)</f>
        <v>0</v>
      </c>
      <c r="AV226" s="140">
        <f ca="1">IF(ISNUMBER(MATCH(DATEVALUE($A226),'recurring1_based on steps'!AV$1:AV$400,0)),AV$2,)</f>
        <v>0</v>
      </c>
      <c r="AW226" s="140">
        <f ca="1">IF(ISNUMBER(MATCH(DATEVALUE($A226),'recurring1_based on steps'!AW$1:AW$400,0)),AW$2,)</f>
        <v>0</v>
      </c>
      <c r="AX226" s="140">
        <f ca="1">IF(ISNUMBER(MATCH(DATEVALUE($A226),'recurring1_based on steps'!AX$1:AX$400,0)),AX$2,)</f>
        <v>0</v>
      </c>
      <c r="AY226" s="140">
        <f ca="1">IF(ISNUMBER(MATCH(DATEVALUE($A226),'recurring1_based on steps'!AY$1:AY$400,0)),AY$2,)</f>
        <v>0</v>
      </c>
    </row>
    <row r="227" spans="1:51" x14ac:dyDescent="0.2">
      <c r="A227" s="29" t="str">
        <f t="shared" ca="1" si="3"/>
        <v>2025-11-06</v>
      </c>
      <c r="B227" s="140">
        <f ca="1">IF(ISNUMBER(MATCH(DATEVALUE($A227),'recurring1_based on steps'!B$1:B$400,0)),B$2,)</f>
        <v>0</v>
      </c>
      <c r="C227" s="140">
        <f ca="1">IF(ISNUMBER(MATCH(DATEVALUE($A227),'recurring1_based on steps'!C$1:C$400,0)),C$2,)</f>
        <v>0</v>
      </c>
      <c r="D227" s="140">
        <f ca="1">IF(ISNUMBER(MATCH(DATEVALUE($A227),'recurring1_based on steps'!D$1:D$400,0)),D$2,)</f>
        <v>0</v>
      </c>
      <c r="E227" s="140">
        <f ca="1">IF(ISNUMBER(MATCH(DATEVALUE($A227),'recurring1_based on steps'!E$1:E$400,0)),E$2,)</f>
        <v>0</v>
      </c>
      <c r="F227" s="140">
        <f ca="1">IF(ISNUMBER(MATCH(DATEVALUE($A227),'recurring1_based on steps'!F$1:F$400,0)),F$2,)</f>
        <v>0</v>
      </c>
      <c r="G227" s="140">
        <f ca="1">IF(ISNUMBER(MATCH(DATEVALUE($A227),'recurring1_based on steps'!G$1:G$400,0)),G$2,)</f>
        <v>0</v>
      </c>
      <c r="H227" s="140">
        <f ca="1">IF(ISNUMBER(MATCH(DATEVALUE($A227),'recurring1_based on steps'!H$1:H$400,0)),H$2,)</f>
        <v>0</v>
      </c>
      <c r="I227" s="140">
        <f ca="1">IF(ISNUMBER(MATCH(DATEVALUE($A227),'recurring1_based on steps'!I$1:I$400,0)),I$2,)</f>
        <v>0</v>
      </c>
      <c r="J227" s="140">
        <f ca="1">IF(ISNUMBER(MATCH(DATEVALUE($A227),'recurring1_based on steps'!J$1:J$400,0)),J$2,)</f>
        <v>0</v>
      </c>
      <c r="K227" s="140">
        <f ca="1">IF(ISNUMBER(MATCH(DATEVALUE($A227),'recurring1_based on steps'!K$1:K$400,0)),K$2,)</f>
        <v>0</v>
      </c>
      <c r="L227" s="140">
        <f ca="1">IF(ISNUMBER(MATCH(DATEVALUE($A227),'recurring1_based on steps'!L$1:L$400,0)),L$2,)</f>
        <v>0</v>
      </c>
      <c r="M227" s="140">
        <f ca="1">IF(ISNUMBER(MATCH(DATEVALUE($A227),'recurring1_based on steps'!M$1:M$400,0)),M$2,)</f>
        <v>0</v>
      </c>
      <c r="N227" s="140">
        <f ca="1">IF(ISNUMBER(MATCH(DATEVALUE($A227),'recurring1_based on steps'!N$1:N$400,0)),N$2,)</f>
        <v>0</v>
      </c>
      <c r="O227" s="140">
        <f ca="1">IF(ISNUMBER(MATCH(DATEVALUE($A227),'recurring1_based on steps'!O$1:O$400,0)),O$2,)</f>
        <v>0</v>
      </c>
      <c r="P227" s="140">
        <f ca="1">IF(ISNUMBER(MATCH(DATEVALUE($A227),'recurring1_based on steps'!P$1:P$400,0)),P$2,)</f>
        <v>0</v>
      </c>
      <c r="Q227" s="140">
        <f ca="1">IF(ISNUMBER(MATCH(DATEVALUE($A227),'recurring1_based on steps'!Q$1:Q$400,0)),Q$2,)</f>
        <v>0</v>
      </c>
      <c r="R227" s="140">
        <f ca="1">IF(ISNUMBER(MATCH(DATEVALUE($A227),'recurring1_based on steps'!R$1:R$400,0)),R$2,)</f>
        <v>0</v>
      </c>
      <c r="S227" s="140">
        <f ca="1">IF(ISNUMBER(MATCH(DATEVALUE($A227),'recurring1_based on steps'!S$1:S$400,0)),S$2,)</f>
        <v>0</v>
      </c>
      <c r="T227" s="140">
        <f ca="1">IF(ISNUMBER(MATCH(DATEVALUE($A227),'recurring1_based on steps'!T$1:T$400,0)),T$2,)</f>
        <v>0</v>
      </c>
      <c r="U227" s="140">
        <f ca="1">IF(ISNUMBER(MATCH(DATEVALUE($A227),'recurring1_based on steps'!U$1:U$400,0)),U$2,)</f>
        <v>0</v>
      </c>
      <c r="V227" s="140">
        <f ca="1">IF(ISNUMBER(MATCH(DATEVALUE($A227),'recurring1_based on steps'!V$1:V$400,0)),V$2,)</f>
        <v>0</v>
      </c>
      <c r="W227" s="140">
        <f ca="1">IF(ISNUMBER(MATCH(DATEVALUE($A227),'recurring1_based on steps'!W$1:W$400,0)),W$2,)</f>
        <v>0</v>
      </c>
      <c r="X227" s="140">
        <f ca="1">IF(ISNUMBER(MATCH(DATEVALUE($A227),'recurring1_based on steps'!X$1:X$400,0)),X$2,)</f>
        <v>0</v>
      </c>
      <c r="Y227" s="140">
        <f ca="1">IF(ISNUMBER(MATCH(DATEVALUE($A227),'recurring1_based on steps'!Y$1:Y$400,0)),Y$2,)</f>
        <v>0</v>
      </c>
      <c r="Z227" s="140">
        <f ca="1">IF(ISNUMBER(MATCH(DATEVALUE($A227),'recurring1_based on steps'!Z$1:Z$400,0)),Z$2,)</f>
        <v>0</v>
      </c>
      <c r="AA227" s="140">
        <f ca="1">IF(ISNUMBER(MATCH(DATEVALUE($A227),'recurring1_based on steps'!AA$1:AA$400,0)),AA$2,)</f>
        <v>0</v>
      </c>
      <c r="AB227" s="140">
        <f ca="1">IF(ISNUMBER(MATCH(DATEVALUE($A227),'recurring1_based on steps'!AB$1:AB$400,0)),AB$2,)</f>
        <v>5.5401662049861494E-2</v>
      </c>
      <c r="AC227" s="140">
        <f ca="1">IF(ISNUMBER(MATCH(DATEVALUE($A227),'recurring1_based on steps'!AC$1:AC$400,0)),AC$2,)</f>
        <v>0</v>
      </c>
      <c r="AD227" s="140">
        <f ca="1">IF(ISNUMBER(MATCH(DATEVALUE($A227),'recurring1_based on steps'!AD$1:AD$400,0)),AD$2,)</f>
        <v>0</v>
      </c>
      <c r="AE227" s="140">
        <f ca="1">IF(ISNUMBER(MATCH(DATEVALUE($A227),'recurring1_based on steps'!AE$1:AE$400,0)),AE$2,)</f>
        <v>0</v>
      </c>
      <c r="AF227" s="140">
        <f ca="1">IF(ISNUMBER(MATCH(DATEVALUE($A227),'recurring1_based on steps'!AF$1:AF$400,0)),AF$2,)</f>
        <v>0</v>
      </c>
      <c r="AG227" s="140">
        <f ca="1">IF(ISNUMBER(MATCH(DATEVALUE($A227),'recurring1_based on steps'!AG$1:AG$400,0)),AG$2,)</f>
        <v>0</v>
      </c>
      <c r="AH227" s="140">
        <f ca="1">IF(ISNUMBER(MATCH(DATEVALUE($A227),'recurring1_based on steps'!AH$1:AH$400,0)),AH$2,)</f>
        <v>0</v>
      </c>
      <c r="AI227" s="140">
        <f ca="1">IF(ISNUMBER(MATCH(DATEVALUE($A227),'recurring1_based on steps'!AI$1:AI$400,0)),AI$2,)</f>
        <v>0</v>
      </c>
      <c r="AJ227" s="140">
        <f ca="1">IF(ISNUMBER(MATCH(DATEVALUE($A227),'recurring1_based on steps'!AJ$1:AJ$400,0)),AJ$2,)</f>
        <v>0</v>
      </c>
      <c r="AK227" s="140">
        <f ca="1">IF(ISNUMBER(MATCH(DATEVALUE($A227),'recurring1_based on steps'!AK$1:AK$400,0)),AK$2,)</f>
        <v>0</v>
      </c>
      <c r="AL227" s="140">
        <f ca="1">IF(ISNUMBER(MATCH(DATEVALUE($A227),'recurring1_based on steps'!AL$1:AL$400,0)),AL$2,)</f>
        <v>0</v>
      </c>
      <c r="AM227" s="140">
        <f ca="1">IF(ISNUMBER(MATCH(DATEVALUE($A227),'recurring1_based on steps'!AM$1:AM$400,0)),AM$2,)</f>
        <v>0</v>
      </c>
      <c r="AN227" s="140">
        <f ca="1">IF(ISNUMBER(MATCH(DATEVALUE($A227),'recurring1_based on steps'!AN$1:AN$400,0)),AN$2,)</f>
        <v>0</v>
      </c>
      <c r="AO227" s="140">
        <f ca="1">IF(ISNUMBER(MATCH(DATEVALUE($A227),'recurring1_based on steps'!AO$1:AO$400,0)),AO$2,)</f>
        <v>0</v>
      </c>
      <c r="AP227" s="140">
        <f ca="1">IF(ISNUMBER(MATCH(DATEVALUE($A227),'recurring1_based on steps'!AP$1:AP$400,0)),AP$2,)</f>
        <v>0</v>
      </c>
      <c r="AQ227" s="140">
        <f ca="1">IF(ISNUMBER(MATCH(DATEVALUE($A227),'recurring1_based on steps'!AQ$1:AQ$400,0)),AQ$2,)</f>
        <v>0</v>
      </c>
      <c r="AR227" s="140">
        <f ca="1">IF(ISNUMBER(MATCH(DATEVALUE($A227),'recurring1_based on steps'!AR$1:AR$400,0)),AR$2,)</f>
        <v>0</v>
      </c>
      <c r="AS227" s="140">
        <f ca="1">IF(ISNUMBER(MATCH(DATEVALUE($A227),'recurring1_based on steps'!AS$1:AS$400,0)),AS$2,)</f>
        <v>0</v>
      </c>
      <c r="AT227" s="140">
        <f ca="1">IF(ISNUMBER(MATCH(DATEVALUE($A227),'recurring1_based on steps'!AT$1:AT$400,0)),AT$2,)</f>
        <v>0</v>
      </c>
      <c r="AU227" s="140">
        <f ca="1">IF(ISNUMBER(MATCH(DATEVALUE($A227),'recurring1_based on steps'!AU$1:AU$400,0)),AU$2,)</f>
        <v>0</v>
      </c>
      <c r="AV227" s="140">
        <f ca="1">IF(ISNUMBER(MATCH(DATEVALUE($A227),'recurring1_based on steps'!AV$1:AV$400,0)),AV$2,)</f>
        <v>0</v>
      </c>
      <c r="AW227" s="140">
        <f ca="1">IF(ISNUMBER(MATCH(DATEVALUE($A227),'recurring1_based on steps'!AW$1:AW$400,0)),AW$2,)</f>
        <v>0</v>
      </c>
      <c r="AX227" s="140">
        <f ca="1">IF(ISNUMBER(MATCH(DATEVALUE($A227),'recurring1_based on steps'!AX$1:AX$400,0)),AX$2,)</f>
        <v>0</v>
      </c>
      <c r="AY227" s="140">
        <f ca="1">IF(ISNUMBER(MATCH(DATEVALUE($A227),'recurring1_based on steps'!AY$1:AY$400,0)),AY$2,)</f>
        <v>0</v>
      </c>
    </row>
    <row r="228" spans="1:51" x14ac:dyDescent="0.2">
      <c r="A228" s="29" t="str">
        <f t="shared" ca="1" si="3"/>
        <v>2025-11-07</v>
      </c>
      <c r="B228" s="140">
        <f ca="1">IF(ISNUMBER(MATCH(DATEVALUE($A228),'recurring1_based on steps'!B$1:B$400,0)),B$2,)</f>
        <v>0</v>
      </c>
      <c r="C228" s="140">
        <f ca="1">IF(ISNUMBER(MATCH(DATEVALUE($A228),'recurring1_based on steps'!C$1:C$400,0)),C$2,)</f>
        <v>0</v>
      </c>
      <c r="D228" s="140">
        <f ca="1">IF(ISNUMBER(MATCH(DATEVALUE($A228),'recurring1_based on steps'!D$1:D$400,0)),D$2,)</f>
        <v>0</v>
      </c>
      <c r="E228" s="140">
        <f ca="1">IF(ISNUMBER(MATCH(DATEVALUE($A228),'recurring1_based on steps'!E$1:E$400,0)),E$2,)</f>
        <v>0</v>
      </c>
      <c r="F228" s="140">
        <f ca="1">IF(ISNUMBER(MATCH(DATEVALUE($A228),'recurring1_based on steps'!F$1:F$400,0)),F$2,)</f>
        <v>0</v>
      </c>
      <c r="G228" s="140">
        <f ca="1">IF(ISNUMBER(MATCH(DATEVALUE($A228),'recurring1_based on steps'!G$1:G$400,0)),G$2,)</f>
        <v>0</v>
      </c>
      <c r="H228" s="140">
        <f ca="1">IF(ISNUMBER(MATCH(DATEVALUE($A228),'recurring1_based on steps'!H$1:H$400,0)),H$2,)</f>
        <v>0</v>
      </c>
      <c r="I228" s="140">
        <f ca="1">IF(ISNUMBER(MATCH(DATEVALUE($A228),'recurring1_based on steps'!I$1:I$400,0)),I$2,)</f>
        <v>0</v>
      </c>
      <c r="J228" s="140">
        <f ca="1">IF(ISNUMBER(MATCH(DATEVALUE($A228),'recurring1_based on steps'!J$1:J$400,0)),J$2,)</f>
        <v>0</v>
      </c>
      <c r="K228" s="140">
        <f ca="1">IF(ISNUMBER(MATCH(DATEVALUE($A228),'recurring1_based on steps'!K$1:K$400,0)),K$2,)</f>
        <v>0</v>
      </c>
      <c r="L228" s="140">
        <f ca="1">IF(ISNUMBER(MATCH(DATEVALUE($A228),'recurring1_based on steps'!L$1:L$400,0)),L$2,)</f>
        <v>0</v>
      </c>
      <c r="M228" s="140">
        <f ca="1">IF(ISNUMBER(MATCH(DATEVALUE($A228),'recurring1_based on steps'!M$1:M$400,0)),M$2,)</f>
        <v>0</v>
      </c>
      <c r="N228" s="140">
        <f ca="1">IF(ISNUMBER(MATCH(DATEVALUE($A228),'recurring1_based on steps'!N$1:N$400,0)),N$2,)</f>
        <v>0</v>
      </c>
      <c r="O228" s="140">
        <f ca="1">IF(ISNUMBER(MATCH(DATEVALUE($A228),'recurring1_based on steps'!O$1:O$400,0)),O$2,)</f>
        <v>0</v>
      </c>
      <c r="P228" s="140">
        <f ca="1">IF(ISNUMBER(MATCH(DATEVALUE($A228),'recurring1_based on steps'!P$1:P$400,0)),P$2,)</f>
        <v>0</v>
      </c>
      <c r="Q228" s="140">
        <f ca="1">IF(ISNUMBER(MATCH(DATEVALUE($A228),'recurring1_based on steps'!Q$1:Q$400,0)),Q$2,)</f>
        <v>0</v>
      </c>
      <c r="R228" s="140">
        <f ca="1">IF(ISNUMBER(MATCH(DATEVALUE($A228),'recurring1_based on steps'!R$1:R$400,0)),R$2,)</f>
        <v>0</v>
      </c>
      <c r="S228" s="140">
        <f ca="1">IF(ISNUMBER(MATCH(DATEVALUE($A228),'recurring1_based on steps'!S$1:S$400,0)),S$2,)</f>
        <v>0</v>
      </c>
      <c r="T228" s="140">
        <f ca="1">IF(ISNUMBER(MATCH(DATEVALUE($A228),'recurring1_based on steps'!T$1:T$400,0)),T$2,)</f>
        <v>0</v>
      </c>
      <c r="U228" s="140">
        <f ca="1">IF(ISNUMBER(MATCH(DATEVALUE($A228),'recurring1_based on steps'!U$1:U$400,0)),U$2,)</f>
        <v>0</v>
      </c>
      <c r="V228" s="140">
        <f ca="1">IF(ISNUMBER(MATCH(DATEVALUE($A228),'recurring1_based on steps'!V$1:V$400,0)),V$2,)</f>
        <v>0</v>
      </c>
      <c r="W228" s="140">
        <f ca="1">IF(ISNUMBER(MATCH(DATEVALUE($A228),'recurring1_based on steps'!W$1:W$400,0)),W$2,)</f>
        <v>0</v>
      </c>
      <c r="X228" s="140">
        <f ca="1">IF(ISNUMBER(MATCH(DATEVALUE($A228),'recurring1_based on steps'!X$1:X$400,0)),X$2,)</f>
        <v>0</v>
      </c>
      <c r="Y228" s="140">
        <f ca="1">IF(ISNUMBER(MATCH(DATEVALUE($A228),'recurring1_based on steps'!Y$1:Y$400,0)),Y$2,)</f>
        <v>0</v>
      </c>
      <c r="Z228" s="140">
        <f ca="1">IF(ISNUMBER(MATCH(DATEVALUE($A228),'recurring1_based on steps'!Z$1:Z$400,0)),Z$2,)</f>
        <v>0</v>
      </c>
      <c r="AA228" s="140">
        <f ca="1">IF(ISNUMBER(MATCH(DATEVALUE($A228),'recurring1_based on steps'!AA$1:AA$400,0)),AA$2,)</f>
        <v>0</v>
      </c>
      <c r="AB228" s="140">
        <f ca="1">IF(ISNUMBER(MATCH(DATEVALUE($A228),'recurring1_based on steps'!AB$1:AB$400,0)),AB$2,)</f>
        <v>5.5401662049861494E-2</v>
      </c>
      <c r="AC228" s="140">
        <f ca="1">IF(ISNUMBER(MATCH(DATEVALUE($A228),'recurring1_based on steps'!AC$1:AC$400,0)),AC$2,)</f>
        <v>0</v>
      </c>
      <c r="AD228" s="140">
        <f ca="1">IF(ISNUMBER(MATCH(DATEVALUE($A228),'recurring1_based on steps'!AD$1:AD$400,0)),AD$2,)</f>
        <v>0</v>
      </c>
      <c r="AE228" s="140">
        <f ca="1">IF(ISNUMBER(MATCH(DATEVALUE($A228),'recurring1_based on steps'!AE$1:AE$400,0)),AE$2,)</f>
        <v>0</v>
      </c>
      <c r="AF228" s="140">
        <f ca="1">IF(ISNUMBER(MATCH(DATEVALUE($A228),'recurring1_based on steps'!AF$1:AF$400,0)),AF$2,)</f>
        <v>0</v>
      </c>
      <c r="AG228" s="140">
        <f ca="1">IF(ISNUMBER(MATCH(DATEVALUE($A228),'recurring1_based on steps'!AG$1:AG$400,0)),AG$2,)</f>
        <v>0</v>
      </c>
      <c r="AH228" s="140">
        <f ca="1">IF(ISNUMBER(MATCH(DATEVALUE($A228),'recurring1_based on steps'!AH$1:AH$400,0)),AH$2,)</f>
        <v>0</v>
      </c>
      <c r="AI228" s="140">
        <f ca="1">IF(ISNUMBER(MATCH(DATEVALUE($A228),'recurring1_based on steps'!AI$1:AI$400,0)),AI$2,)</f>
        <v>0</v>
      </c>
      <c r="AJ228" s="140">
        <f ca="1">IF(ISNUMBER(MATCH(DATEVALUE($A228),'recurring1_based on steps'!AJ$1:AJ$400,0)),AJ$2,)</f>
        <v>0</v>
      </c>
      <c r="AK228" s="140">
        <f ca="1">IF(ISNUMBER(MATCH(DATEVALUE($A228),'recurring1_based on steps'!AK$1:AK$400,0)),AK$2,)</f>
        <v>0</v>
      </c>
      <c r="AL228" s="140">
        <f ca="1">IF(ISNUMBER(MATCH(DATEVALUE($A228),'recurring1_based on steps'!AL$1:AL$400,0)),AL$2,)</f>
        <v>0</v>
      </c>
      <c r="AM228" s="140">
        <f ca="1">IF(ISNUMBER(MATCH(DATEVALUE($A228),'recurring1_based on steps'!AM$1:AM$400,0)),AM$2,)</f>
        <v>0</v>
      </c>
      <c r="AN228" s="140">
        <f ca="1">IF(ISNUMBER(MATCH(DATEVALUE($A228),'recurring1_based on steps'!AN$1:AN$400,0)),AN$2,)</f>
        <v>0</v>
      </c>
      <c r="AO228" s="140">
        <f ca="1">IF(ISNUMBER(MATCH(DATEVALUE($A228),'recurring1_based on steps'!AO$1:AO$400,0)),AO$2,)</f>
        <v>0</v>
      </c>
      <c r="AP228" s="140">
        <f ca="1">IF(ISNUMBER(MATCH(DATEVALUE($A228),'recurring1_based on steps'!AP$1:AP$400,0)),AP$2,)</f>
        <v>0</v>
      </c>
      <c r="AQ228" s="140">
        <f ca="1">IF(ISNUMBER(MATCH(DATEVALUE($A228),'recurring1_based on steps'!AQ$1:AQ$400,0)),AQ$2,)</f>
        <v>0</v>
      </c>
      <c r="AR228" s="140">
        <f ca="1">IF(ISNUMBER(MATCH(DATEVALUE($A228),'recurring1_based on steps'!AR$1:AR$400,0)),AR$2,)</f>
        <v>0</v>
      </c>
      <c r="AS228" s="140">
        <f ca="1">IF(ISNUMBER(MATCH(DATEVALUE($A228),'recurring1_based on steps'!AS$1:AS$400,0)),AS$2,)</f>
        <v>0</v>
      </c>
      <c r="AT228" s="140">
        <f ca="1">IF(ISNUMBER(MATCH(DATEVALUE($A228),'recurring1_based on steps'!AT$1:AT$400,0)),AT$2,)</f>
        <v>0</v>
      </c>
      <c r="AU228" s="140">
        <f ca="1">IF(ISNUMBER(MATCH(DATEVALUE($A228),'recurring1_based on steps'!AU$1:AU$400,0)),AU$2,)</f>
        <v>0</v>
      </c>
      <c r="AV228" s="140">
        <f ca="1">IF(ISNUMBER(MATCH(DATEVALUE($A228),'recurring1_based on steps'!AV$1:AV$400,0)),AV$2,)</f>
        <v>0</v>
      </c>
      <c r="AW228" s="140">
        <f ca="1">IF(ISNUMBER(MATCH(DATEVALUE($A228),'recurring1_based on steps'!AW$1:AW$400,0)),AW$2,)</f>
        <v>0</v>
      </c>
      <c r="AX228" s="140">
        <f ca="1">IF(ISNUMBER(MATCH(DATEVALUE($A228),'recurring1_based on steps'!AX$1:AX$400,0)),AX$2,)</f>
        <v>0</v>
      </c>
      <c r="AY228" s="140">
        <f ca="1">IF(ISNUMBER(MATCH(DATEVALUE($A228),'recurring1_based on steps'!AY$1:AY$400,0)),AY$2,)</f>
        <v>0</v>
      </c>
    </row>
    <row r="229" spans="1:51" x14ac:dyDescent="0.2">
      <c r="A229" s="29" t="str">
        <f t="shared" ca="1" si="3"/>
        <v>2025-11-08</v>
      </c>
      <c r="B229" s="140">
        <f ca="1">IF(ISNUMBER(MATCH(DATEVALUE($A229),'recurring1_based on steps'!B$1:B$400,0)),B$2,)</f>
        <v>0</v>
      </c>
      <c r="C229" s="140">
        <f ca="1">IF(ISNUMBER(MATCH(DATEVALUE($A229),'recurring1_based on steps'!C$1:C$400,0)),C$2,)</f>
        <v>0</v>
      </c>
      <c r="D229" s="140">
        <f ca="1">IF(ISNUMBER(MATCH(DATEVALUE($A229),'recurring1_based on steps'!D$1:D$400,0)),D$2,)</f>
        <v>0</v>
      </c>
      <c r="E229" s="140">
        <f ca="1">IF(ISNUMBER(MATCH(DATEVALUE($A229),'recurring1_based on steps'!E$1:E$400,0)),E$2,)</f>
        <v>0</v>
      </c>
      <c r="F229" s="140">
        <f ca="1">IF(ISNUMBER(MATCH(DATEVALUE($A229),'recurring1_based on steps'!F$1:F$400,0)),F$2,)</f>
        <v>0</v>
      </c>
      <c r="G229" s="140">
        <f ca="1">IF(ISNUMBER(MATCH(DATEVALUE($A229),'recurring1_based on steps'!G$1:G$400,0)),G$2,)</f>
        <v>0</v>
      </c>
      <c r="H229" s="140">
        <f ca="1">IF(ISNUMBER(MATCH(DATEVALUE($A229),'recurring1_based on steps'!H$1:H$400,0)),H$2,)</f>
        <v>0</v>
      </c>
      <c r="I229" s="140">
        <f ca="1">IF(ISNUMBER(MATCH(DATEVALUE($A229),'recurring1_based on steps'!I$1:I$400,0)),I$2,)</f>
        <v>0</v>
      </c>
      <c r="J229" s="140">
        <f ca="1">IF(ISNUMBER(MATCH(DATEVALUE($A229),'recurring1_based on steps'!J$1:J$400,0)),J$2,)</f>
        <v>0</v>
      </c>
      <c r="K229" s="140">
        <f ca="1">IF(ISNUMBER(MATCH(DATEVALUE($A229),'recurring1_based on steps'!K$1:K$400,0)),K$2,)</f>
        <v>0</v>
      </c>
      <c r="L229" s="140">
        <f ca="1">IF(ISNUMBER(MATCH(DATEVALUE($A229),'recurring1_based on steps'!L$1:L$400,0)),L$2,)</f>
        <v>0</v>
      </c>
      <c r="M229" s="140">
        <f ca="1">IF(ISNUMBER(MATCH(DATEVALUE($A229),'recurring1_based on steps'!M$1:M$400,0)),M$2,)</f>
        <v>0</v>
      </c>
      <c r="N229" s="140">
        <f ca="1">IF(ISNUMBER(MATCH(DATEVALUE($A229),'recurring1_based on steps'!N$1:N$400,0)),N$2,)</f>
        <v>0</v>
      </c>
      <c r="O229" s="140">
        <f ca="1">IF(ISNUMBER(MATCH(DATEVALUE($A229),'recurring1_based on steps'!O$1:O$400,0)),O$2,)</f>
        <v>0</v>
      </c>
      <c r="P229" s="140">
        <f ca="1">IF(ISNUMBER(MATCH(DATEVALUE($A229),'recurring1_based on steps'!P$1:P$400,0)),P$2,)</f>
        <v>0</v>
      </c>
      <c r="Q229" s="140">
        <f ca="1">IF(ISNUMBER(MATCH(DATEVALUE($A229),'recurring1_based on steps'!Q$1:Q$400,0)),Q$2,)</f>
        <v>100</v>
      </c>
      <c r="R229" s="140">
        <f ca="1">IF(ISNUMBER(MATCH(DATEVALUE($A229),'recurring1_based on steps'!R$1:R$400,0)),R$2,)</f>
        <v>100</v>
      </c>
      <c r="S229" s="140">
        <f ca="1">IF(ISNUMBER(MATCH(DATEVALUE($A229),'recurring1_based on steps'!S$1:S$400,0)),S$2,)</f>
        <v>0</v>
      </c>
      <c r="T229" s="140">
        <f ca="1">IF(ISNUMBER(MATCH(DATEVALUE($A229),'recurring1_based on steps'!T$1:T$400,0)),T$2,)</f>
        <v>0</v>
      </c>
      <c r="U229" s="140">
        <f ca="1">IF(ISNUMBER(MATCH(DATEVALUE($A229),'recurring1_based on steps'!U$1:U$400,0)),U$2,)</f>
        <v>0</v>
      </c>
      <c r="V229" s="140">
        <f ca="1">IF(ISNUMBER(MATCH(DATEVALUE($A229),'recurring1_based on steps'!V$1:V$400,0)),V$2,)</f>
        <v>0</v>
      </c>
      <c r="W229" s="140">
        <f ca="1">IF(ISNUMBER(MATCH(DATEVALUE($A229),'recurring1_based on steps'!W$1:W$400,0)),W$2,)</f>
        <v>0</v>
      </c>
      <c r="X229" s="140">
        <f ca="1">IF(ISNUMBER(MATCH(DATEVALUE($A229),'recurring1_based on steps'!X$1:X$400,0)),X$2,)</f>
        <v>0</v>
      </c>
      <c r="Y229" s="140">
        <f ca="1">IF(ISNUMBER(MATCH(DATEVALUE($A229),'recurring1_based on steps'!Y$1:Y$400,0)),Y$2,)</f>
        <v>0</v>
      </c>
      <c r="Z229" s="140">
        <f ca="1">IF(ISNUMBER(MATCH(DATEVALUE($A229),'recurring1_based on steps'!Z$1:Z$400,0)),Z$2,)</f>
        <v>0</v>
      </c>
      <c r="AA229" s="140">
        <f ca="1">IF(ISNUMBER(MATCH(DATEVALUE($A229),'recurring1_based on steps'!AA$1:AA$400,0)),AA$2,)</f>
        <v>0</v>
      </c>
      <c r="AB229" s="140">
        <f ca="1">IF(ISNUMBER(MATCH(DATEVALUE($A229),'recurring1_based on steps'!AB$1:AB$400,0)),AB$2,)</f>
        <v>5.5401662049861494E-2</v>
      </c>
      <c r="AC229" s="140">
        <f ca="1">IF(ISNUMBER(MATCH(DATEVALUE($A229),'recurring1_based on steps'!AC$1:AC$400,0)),AC$2,)</f>
        <v>0</v>
      </c>
      <c r="AD229" s="140">
        <f ca="1">IF(ISNUMBER(MATCH(DATEVALUE($A229),'recurring1_based on steps'!AD$1:AD$400,0)),AD$2,)</f>
        <v>0</v>
      </c>
      <c r="AE229" s="140">
        <f ca="1">IF(ISNUMBER(MATCH(DATEVALUE($A229),'recurring1_based on steps'!AE$1:AE$400,0)),AE$2,)</f>
        <v>0</v>
      </c>
      <c r="AF229" s="140">
        <f ca="1">IF(ISNUMBER(MATCH(DATEVALUE($A229),'recurring1_based on steps'!AF$1:AF$400,0)),AF$2,)</f>
        <v>0</v>
      </c>
      <c r="AG229" s="140">
        <f ca="1">IF(ISNUMBER(MATCH(DATEVALUE($A229),'recurring1_based on steps'!AG$1:AG$400,0)),AG$2,)</f>
        <v>0</v>
      </c>
      <c r="AH229" s="140">
        <f ca="1">IF(ISNUMBER(MATCH(DATEVALUE($A229),'recurring1_based on steps'!AH$1:AH$400,0)),AH$2,)</f>
        <v>0</v>
      </c>
      <c r="AI229" s="140">
        <f ca="1">IF(ISNUMBER(MATCH(DATEVALUE($A229),'recurring1_based on steps'!AI$1:AI$400,0)),AI$2,)</f>
        <v>0</v>
      </c>
      <c r="AJ229" s="140">
        <f ca="1">IF(ISNUMBER(MATCH(DATEVALUE($A229),'recurring1_based on steps'!AJ$1:AJ$400,0)),AJ$2,)</f>
        <v>0</v>
      </c>
      <c r="AK229" s="140">
        <f ca="1">IF(ISNUMBER(MATCH(DATEVALUE($A229),'recurring1_based on steps'!AK$1:AK$400,0)),AK$2,)</f>
        <v>0</v>
      </c>
      <c r="AL229" s="140">
        <f ca="1">IF(ISNUMBER(MATCH(DATEVALUE($A229),'recurring1_based on steps'!AL$1:AL$400,0)),AL$2,)</f>
        <v>0</v>
      </c>
      <c r="AM229" s="140">
        <f ca="1">IF(ISNUMBER(MATCH(DATEVALUE($A229),'recurring1_based on steps'!AM$1:AM$400,0)),AM$2,)</f>
        <v>0</v>
      </c>
      <c r="AN229" s="140">
        <f ca="1">IF(ISNUMBER(MATCH(DATEVALUE($A229),'recurring1_based on steps'!AN$1:AN$400,0)),AN$2,)</f>
        <v>0</v>
      </c>
      <c r="AO229" s="140">
        <f ca="1">IF(ISNUMBER(MATCH(DATEVALUE($A229),'recurring1_based on steps'!AO$1:AO$400,0)),AO$2,)</f>
        <v>0</v>
      </c>
      <c r="AP229" s="140">
        <f ca="1">IF(ISNUMBER(MATCH(DATEVALUE($A229),'recurring1_based on steps'!AP$1:AP$400,0)),AP$2,)</f>
        <v>0</v>
      </c>
      <c r="AQ229" s="140">
        <f ca="1">IF(ISNUMBER(MATCH(DATEVALUE($A229),'recurring1_based on steps'!AQ$1:AQ$400,0)),AQ$2,)</f>
        <v>0</v>
      </c>
      <c r="AR229" s="140">
        <f ca="1">IF(ISNUMBER(MATCH(DATEVALUE($A229),'recurring1_based on steps'!AR$1:AR$400,0)),AR$2,)</f>
        <v>0</v>
      </c>
      <c r="AS229" s="140">
        <f ca="1">IF(ISNUMBER(MATCH(DATEVALUE($A229),'recurring1_based on steps'!AS$1:AS$400,0)),AS$2,)</f>
        <v>0</v>
      </c>
      <c r="AT229" s="140">
        <f ca="1">IF(ISNUMBER(MATCH(DATEVALUE($A229),'recurring1_based on steps'!AT$1:AT$400,0)),AT$2,)</f>
        <v>0</v>
      </c>
      <c r="AU229" s="140">
        <f ca="1">IF(ISNUMBER(MATCH(DATEVALUE($A229),'recurring1_based on steps'!AU$1:AU$400,0)),AU$2,)</f>
        <v>0</v>
      </c>
      <c r="AV229" s="140">
        <f ca="1">IF(ISNUMBER(MATCH(DATEVALUE($A229),'recurring1_based on steps'!AV$1:AV$400,0)),AV$2,)</f>
        <v>0</v>
      </c>
      <c r="AW229" s="140">
        <f ca="1">IF(ISNUMBER(MATCH(DATEVALUE($A229),'recurring1_based on steps'!AW$1:AW$400,0)),AW$2,)</f>
        <v>0</v>
      </c>
      <c r="AX229" s="140">
        <f ca="1">IF(ISNUMBER(MATCH(DATEVALUE($A229),'recurring1_based on steps'!AX$1:AX$400,0)),AX$2,)</f>
        <v>0</v>
      </c>
      <c r="AY229" s="140">
        <f ca="1">IF(ISNUMBER(MATCH(DATEVALUE($A229),'recurring1_based on steps'!AY$1:AY$400,0)),AY$2,)</f>
        <v>0</v>
      </c>
    </row>
    <row r="230" spans="1:51" x14ac:dyDescent="0.2">
      <c r="A230" s="29" t="str">
        <f t="shared" ca="1" si="3"/>
        <v>2025-11-09</v>
      </c>
      <c r="B230" s="140">
        <f ca="1">IF(ISNUMBER(MATCH(DATEVALUE($A230),'recurring1_based on steps'!B$1:B$400,0)),B$2,)</f>
        <v>0</v>
      </c>
      <c r="C230" s="140">
        <f ca="1">IF(ISNUMBER(MATCH(DATEVALUE($A230),'recurring1_based on steps'!C$1:C$400,0)),C$2,)</f>
        <v>0</v>
      </c>
      <c r="D230" s="140">
        <f ca="1">IF(ISNUMBER(MATCH(DATEVALUE($A230),'recurring1_based on steps'!D$1:D$400,0)),D$2,)</f>
        <v>0</v>
      </c>
      <c r="E230" s="140">
        <f ca="1">IF(ISNUMBER(MATCH(DATEVALUE($A230),'recurring1_based on steps'!E$1:E$400,0)),E$2,)</f>
        <v>0</v>
      </c>
      <c r="F230" s="140">
        <f ca="1">IF(ISNUMBER(MATCH(DATEVALUE($A230),'recurring1_based on steps'!F$1:F$400,0)),F$2,)</f>
        <v>0</v>
      </c>
      <c r="G230" s="140">
        <f ca="1">IF(ISNUMBER(MATCH(DATEVALUE($A230),'recurring1_based on steps'!G$1:G$400,0)),G$2,)</f>
        <v>0</v>
      </c>
      <c r="H230" s="140">
        <f ca="1">IF(ISNUMBER(MATCH(DATEVALUE($A230),'recurring1_based on steps'!H$1:H$400,0)),H$2,)</f>
        <v>0</v>
      </c>
      <c r="I230" s="140">
        <f ca="1">IF(ISNUMBER(MATCH(DATEVALUE($A230),'recurring1_based on steps'!I$1:I$400,0)),I$2,)</f>
        <v>0</v>
      </c>
      <c r="J230" s="140">
        <f ca="1">IF(ISNUMBER(MATCH(DATEVALUE($A230),'recurring1_based on steps'!J$1:J$400,0)),J$2,)</f>
        <v>0</v>
      </c>
      <c r="K230" s="140">
        <f ca="1">IF(ISNUMBER(MATCH(DATEVALUE($A230),'recurring1_based on steps'!K$1:K$400,0)),K$2,)</f>
        <v>50</v>
      </c>
      <c r="L230" s="140">
        <f ca="1">IF(ISNUMBER(MATCH(DATEVALUE($A230),'recurring1_based on steps'!L$1:L$400,0)),L$2,)</f>
        <v>0</v>
      </c>
      <c r="M230" s="140">
        <f ca="1">IF(ISNUMBER(MATCH(DATEVALUE($A230),'recurring1_based on steps'!M$1:M$400,0)),M$2,)</f>
        <v>0</v>
      </c>
      <c r="N230" s="140">
        <f ca="1">IF(ISNUMBER(MATCH(DATEVALUE($A230),'recurring1_based on steps'!N$1:N$400,0)),N$2,)</f>
        <v>0</v>
      </c>
      <c r="O230" s="140">
        <f ca="1">IF(ISNUMBER(MATCH(DATEVALUE($A230),'recurring1_based on steps'!O$1:O$400,0)),O$2,)</f>
        <v>0</v>
      </c>
      <c r="P230" s="140">
        <f ca="1">IF(ISNUMBER(MATCH(DATEVALUE($A230),'recurring1_based on steps'!P$1:P$400,0)),P$2,)</f>
        <v>0</v>
      </c>
      <c r="Q230" s="140">
        <f ca="1">IF(ISNUMBER(MATCH(DATEVALUE($A230),'recurring1_based on steps'!Q$1:Q$400,0)),Q$2,)</f>
        <v>0</v>
      </c>
      <c r="R230" s="140">
        <f ca="1">IF(ISNUMBER(MATCH(DATEVALUE($A230),'recurring1_based on steps'!R$1:R$400,0)),R$2,)</f>
        <v>0</v>
      </c>
      <c r="S230" s="140">
        <f ca="1">IF(ISNUMBER(MATCH(DATEVALUE($A230),'recurring1_based on steps'!S$1:S$400,0)),S$2,)</f>
        <v>100</v>
      </c>
      <c r="T230" s="140">
        <f ca="1">IF(ISNUMBER(MATCH(DATEVALUE($A230),'recurring1_based on steps'!T$1:T$400,0)),T$2,)</f>
        <v>0</v>
      </c>
      <c r="U230" s="140">
        <f ca="1">IF(ISNUMBER(MATCH(DATEVALUE($A230),'recurring1_based on steps'!U$1:U$400,0)),U$2,)</f>
        <v>0</v>
      </c>
      <c r="V230" s="140">
        <f ca="1">IF(ISNUMBER(MATCH(DATEVALUE($A230),'recurring1_based on steps'!V$1:V$400,0)),V$2,)</f>
        <v>0</v>
      </c>
      <c r="W230" s="140">
        <f ca="1">IF(ISNUMBER(MATCH(DATEVALUE($A230),'recurring1_based on steps'!W$1:W$400,0)),W$2,)</f>
        <v>0</v>
      </c>
      <c r="X230" s="140">
        <f ca="1">IF(ISNUMBER(MATCH(DATEVALUE($A230),'recurring1_based on steps'!X$1:X$400,0)),X$2,)</f>
        <v>0</v>
      </c>
      <c r="Y230" s="140">
        <f ca="1">IF(ISNUMBER(MATCH(DATEVALUE($A230),'recurring1_based on steps'!Y$1:Y$400,0)),Y$2,)</f>
        <v>0</v>
      </c>
      <c r="Z230" s="140">
        <f ca="1">IF(ISNUMBER(MATCH(DATEVALUE($A230),'recurring1_based on steps'!Z$1:Z$400,0)),Z$2,)</f>
        <v>0</v>
      </c>
      <c r="AA230" s="140">
        <f ca="1">IF(ISNUMBER(MATCH(DATEVALUE($A230),'recurring1_based on steps'!AA$1:AA$400,0)),AA$2,)</f>
        <v>0</v>
      </c>
      <c r="AB230" s="140">
        <f ca="1">IF(ISNUMBER(MATCH(DATEVALUE($A230),'recurring1_based on steps'!AB$1:AB$400,0)),AB$2,)</f>
        <v>5.5401662049861494E-2</v>
      </c>
      <c r="AC230" s="140">
        <f ca="1">IF(ISNUMBER(MATCH(DATEVALUE($A230),'recurring1_based on steps'!AC$1:AC$400,0)),AC$2,)</f>
        <v>0</v>
      </c>
      <c r="AD230" s="140">
        <f ca="1">IF(ISNUMBER(MATCH(DATEVALUE($A230),'recurring1_based on steps'!AD$1:AD$400,0)),AD$2,)</f>
        <v>0</v>
      </c>
      <c r="AE230" s="140">
        <f ca="1">IF(ISNUMBER(MATCH(DATEVALUE($A230),'recurring1_based on steps'!AE$1:AE$400,0)),AE$2,)</f>
        <v>0</v>
      </c>
      <c r="AF230" s="140">
        <f ca="1">IF(ISNUMBER(MATCH(DATEVALUE($A230),'recurring1_based on steps'!AF$1:AF$400,0)),AF$2,)</f>
        <v>0</v>
      </c>
      <c r="AG230" s="140">
        <f ca="1">IF(ISNUMBER(MATCH(DATEVALUE($A230),'recurring1_based on steps'!AG$1:AG$400,0)),AG$2,)</f>
        <v>0</v>
      </c>
      <c r="AH230" s="140">
        <f ca="1">IF(ISNUMBER(MATCH(DATEVALUE($A230),'recurring1_based on steps'!AH$1:AH$400,0)),AH$2,)</f>
        <v>0</v>
      </c>
      <c r="AI230" s="140">
        <f ca="1">IF(ISNUMBER(MATCH(DATEVALUE($A230),'recurring1_based on steps'!AI$1:AI$400,0)),AI$2,)</f>
        <v>0</v>
      </c>
      <c r="AJ230" s="140">
        <f ca="1">IF(ISNUMBER(MATCH(DATEVALUE($A230),'recurring1_based on steps'!AJ$1:AJ$400,0)),AJ$2,)</f>
        <v>0</v>
      </c>
      <c r="AK230" s="140">
        <f ca="1">IF(ISNUMBER(MATCH(DATEVALUE($A230),'recurring1_based on steps'!AK$1:AK$400,0)),AK$2,)</f>
        <v>0</v>
      </c>
      <c r="AL230" s="140">
        <f ca="1">IF(ISNUMBER(MATCH(DATEVALUE($A230),'recurring1_based on steps'!AL$1:AL$400,0)),AL$2,)</f>
        <v>0</v>
      </c>
      <c r="AM230" s="140">
        <f ca="1">IF(ISNUMBER(MATCH(DATEVALUE($A230),'recurring1_based on steps'!AM$1:AM$400,0)),AM$2,)</f>
        <v>0</v>
      </c>
      <c r="AN230" s="140">
        <f ca="1">IF(ISNUMBER(MATCH(DATEVALUE($A230),'recurring1_based on steps'!AN$1:AN$400,0)),AN$2,)</f>
        <v>0</v>
      </c>
      <c r="AO230" s="140">
        <f ca="1">IF(ISNUMBER(MATCH(DATEVALUE($A230),'recurring1_based on steps'!AO$1:AO$400,0)),AO$2,)</f>
        <v>0</v>
      </c>
      <c r="AP230" s="140">
        <f ca="1">IF(ISNUMBER(MATCH(DATEVALUE($A230),'recurring1_based on steps'!AP$1:AP$400,0)),AP$2,)</f>
        <v>0</v>
      </c>
      <c r="AQ230" s="140">
        <f ca="1">IF(ISNUMBER(MATCH(DATEVALUE($A230),'recurring1_based on steps'!AQ$1:AQ$400,0)),AQ$2,)</f>
        <v>0</v>
      </c>
      <c r="AR230" s="140">
        <f ca="1">IF(ISNUMBER(MATCH(DATEVALUE($A230),'recurring1_based on steps'!AR$1:AR$400,0)),AR$2,)</f>
        <v>0</v>
      </c>
      <c r="AS230" s="140">
        <f ca="1">IF(ISNUMBER(MATCH(DATEVALUE($A230),'recurring1_based on steps'!AS$1:AS$400,0)),AS$2,)</f>
        <v>0</v>
      </c>
      <c r="AT230" s="140">
        <f ca="1">IF(ISNUMBER(MATCH(DATEVALUE($A230),'recurring1_based on steps'!AT$1:AT$400,0)),AT$2,)</f>
        <v>0</v>
      </c>
      <c r="AU230" s="140">
        <f ca="1">IF(ISNUMBER(MATCH(DATEVALUE($A230),'recurring1_based on steps'!AU$1:AU$400,0)),AU$2,)</f>
        <v>0</v>
      </c>
      <c r="AV230" s="140">
        <f ca="1">IF(ISNUMBER(MATCH(DATEVALUE($A230),'recurring1_based on steps'!AV$1:AV$400,0)),AV$2,)</f>
        <v>0</v>
      </c>
      <c r="AW230" s="140">
        <f ca="1">IF(ISNUMBER(MATCH(DATEVALUE($A230),'recurring1_based on steps'!AW$1:AW$400,0)),AW$2,)</f>
        <v>0</v>
      </c>
      <c r="AX230" s="140">
        <f ca="1">IF(ISNUMBER(MATCH(DATEVALUE($A230),'recurring1_based on steps'!AX$1:AX$400,0)),AX$2,)</f>
        <v>0</v>
      </c>
      <c r="AY230" s="140">
        <f ca="1">IF(ISNUMBER(MATCH(DATEVALUE($A230),'recurring1_based on steps'!AY$1:AY$400,0)),AY$2,)</f>
        <v>0</v>
      </c>
    </row>
    <row r="231" spans="1:51" x14ac:dyDescent="0.2">
      <c r="A231" s="29" t="str">
        <f t="shared" ca="1" si="3"/>
        <v>2025-11-10</v>
      </c>
      <c r="B231" s="140">
        <f ca="1">IF(ISNUMBER(MATCH(DATEVALUE($A231),'recurring1_based on steps'!B$1:B$400,0)),B$2,)</f>
        <v>0</v>
      </c>
      <c r="C231" s="140">
        <f ca="1">IF(ISNUMBER(MATCH(DATEVALUE($A231),'recurring1_based on steps'!C$1:C$400,0)),C$2,)</f>
        <v>0</v>
      </c>
      <c r="D231" s="140">
        <f ca="1">IF(ISNUMBER(MATCH(DATEVALUE($A231),'recurring1_based on steps'!D$1:D$400,0)),D$2,)</f>
        <v>0</v>
      </c>
      <c r="E231" s="140">
        <f ca="1">IF(ISNUMBER(MATCH(DATEVALUE($A231),'recurring1_based on steps'!E$1:E$400,0)),E$2,)</f>
        <v>0</v>
      </c>
      <c r="F231" s="140">
        <f ca="1">IF(ISNUMBER(MATCH(DATEVALUE($A231),'recurring1_based on steps'!F$1:F$400,0)),F$2,)</f>
        <v>0</v>
      </c>
      <c r="G231" s="140">
        <f ca="1">IF(ISNUMBER(MATCH(DATEVALUE($A231),'recurring1_based on steps'!G$1:G$400,0)),G$2,)</f>
        <v>0</v>
      </c>
      <c r="H231" s="140">
        <f ca="1">IF(ISNUMBER(MATCH(DATEVALUE($A231),'recurring1_based on steps'!H$1:H$400,0)),H$2,)</f>
        <v>0</v>
      </c>
      <c r="I231" s="140">
        <f ca="1">IF(ISNUMBER(MATCH(DATEVALUE($A231),'recurring1_based on steps'!I$1:I$400,0)),I$2,)</f>
        <v>0</v>
      </c>
      <c r="J231" s="140">
        <f ca="1">IF(ISNUMBER(MATCH(DATEVALUE($A231),'recurring1_based on steps'!J$1:J$400,0)),J$2,)</f>
        <v>0</v>
      </c>
      <c r="K231" s="140">
        <f ca="1">IF(ISNUMBER(MATCH(DATEVALUE($A231),'recurring1_based on steps'!K$1:K$400,0)),K$2,)</f>
        <v>0</v>
      </c>
      <c r="L231" s="140">
        <f ca="1">IF(ISNUMBER(MATCH(DATEVALUE($A231),'recurring1_based on steps'!L$1:L$400,0)),L$2,)</f>
        <v>0</v>
      </c>
      <c r="M231" s="140">
        <f ca="1">IF(ISNUMBER(MATCH(DATEVALUE($A231),'recurring1_based on steps'!M$1:M$400,0)),M$2,)</f>
        <v>0</v>
      </c>
      <c r="N231" s="140">
        <f ca="1">IF(ISNUMBER(MATCH(DATEVALUE($A231),'recurring1_based on steps'!N$1:N$400,0)),N$2,)</f>
        <v>0</v>
      </c>
      <c r="O231" s="140">
        <f ca="1">IF(ISNUMBER(MATCH(DATEVALUE($A231),'recurring1_based on steps'!O$1:O$400,0)),O$2,)</f>
        <v>0</v>
      </c>
      <c r="P231" s="140">
        <f ca="1">IF(ISNUMBER(MATCH(DATEVALUE($A231),'recurring1_based on steps'!P$1:P$400,0)),P$2,)</f>
        <v>0</v>
      </c>
      <c r="Q231" s="140">
        <f ca="1">IF(ISNUMBER(MATCH(DATEVALUE($A231),'recurring1_based on steps'!Q$1:Q$400,0)),Q$2,)</f>
        <v>0</v>
      </c>
      <c r="R231" s="140">
        <f ca="1">IF(ISNUMBER(MATCH(DATEVALUE($A231),'recurring1_based on steps'!R$1:R$400,0)),R$2,)</f>
        <v>0</v>
      </c>
      <c r="S231" s="140">
        <f ca="1">IF(ISNUMBER(MATCH(DATEVALUE($A231),'recurring1_based on steps'!S$1:S$400,0)),S$2,)</f>
        <v>0</v>
      </c>
      <c r="T231" s="140">
        <f ca="1">IF(ISNUMBER(MATCH(DATEVALUE($A231),'recurring1_based on steps'!T$1:T$400,0)),T$2,)</f>
        <v>0</v>
      </c>
      <c r="U231" s="140">
        <f ca="1">IF(ISNUMBER(MATCH(DATEVALUE($A231),'recurring1_based on steps'!U$1:U$400,0)),U$2,)</f>
        <v>0</v>
      </c>
      <c r="V231" s="140">
        <f ca="1">IF(ISNUMBER(MATCH(DATEVALUE($A231),'recurring1_based on steps'!V$1:V$400,0)),V$2,)</f>
        <v>0</v>
      </c>
      <c r="W231" s="140">
        <f ca="1">IF(ISNUMBER(MATCH(DATEVALUE($A231),'recurring1_based on steps'!W$1:W$400,0)),W$2,)</f>
        <v>0</v>
      </c>
      <c r="X231" s="140">
        <f ca="1">IF(ISNUMBER(MATCH(DATEVALUE($A231),'recurring1_based on steps'!X$1:X$400,0)),X$2,)</f>
        <v>0</v>
      </c>
      <c r="Y231" s="140">
        <f ca="1">IF(ISNUMBER(MATCH(DATEVALUE($A231),'recurring1_based on steps'!Y$1:Y$400,0)),Y$2,)</f>
        <v>0</v>
      </c>
      <c r="Z231" s="140">
        <f ca="1">IF(ISNUMBER(MATCH(DATEVALUE($A231),'recurring1_based on steps'!Z$1:Z$400,0)),Z$2,)</f>
        <v>0</v>
      </c>
      <c r="AA231" s="140">
        <f ca="1">IF(ISNUMBER(MATCH(DATEVALUE($A231),'recurring1_based on steps'!AA$1:AA$400,0)),AA$2,)</f>
        <v>0</v>
      </c>
      <c r="AB231" s="140">
        <f ca="1">IF(ISNUMBER(MATCH(DATEVALUE($A231),'recurring1_based on steps'!AB$1:AB$400,0)),AB$2,)</f>
        <v>5.5401662049861494E-2</v>
      </c>
      <c r="AC231" s="140">
        <f ca="1">IF(ISNUMBER(MATCH(DATEVALUE($A231),'recurring1_based on steps'!AC$1:AC$400,0)),AC$2,)</f>
        <v>0</v>
      </c>
      <c r="AD231" s="140">
        <f ca="1">IF(ISNUMBER(MATCH(DATEVALUE($A231),'recurring1_based on steps'!AD$1:AD$400,0)),AD$2,)</f>
        <v>0</v>
      </c>
      <c r="AE231" s="140">
        <f ca="1">IF(ISNUMBER(MATCH(DATEVALUE($A231),'recurring1_based on steps'!AE$1:AE$400,0)),AE$2,)</f>
        <v>0</v>
      </c>
      <c r="AF231" s="140">
        <f ca="1">IF(ISNUMBER(MATCH(DATEVALUE($A231),'recurring1_based on steps'!AF$1:AF$400,0)),AF$2,)</f>
        <v>0</v>
      </c>
      <c r="AG231" s="140">
        <f ca="1">IF(ISNUMBER(MATCH(DATEVALUE($A231),'recurring1_based on steps'!AG$1:AG$400,0)),AG$2,)</f>
        <v>0</v>
      </c>
      <c r="AH231" s="140">
        <f ca="1">IF(ISNUMBER(MATCH(DATEVALUE($A231),'recurring1_based on steps'!AH$1:AH$400,0)),AH$2,)</f>
        <v>0</v>
      </c>
      <c r="AI231" s="140">
        <f ca="1">IF(ISNUMBER(MATCH(DATEVALUE($A231),'recurring1_based on steps'!AI$1:AI$400,0)),AI$2,)</f>
        <v>0</v>
      </c>
      <c r="AJ231" s="140">
        <f ca="1">IF(ISNUMBER(MATCH(DATEVALUE($A231),'recurring1_based on steps'!AJ$1:AJ$400,0)),AJ$2,)</f>
        <v>0</v>
      </c>
      <c r="AK231" s="140">
        <f ca="1">IF(ISNUMBER(MATCH(DATEVALUE($A231),'recurring1_based on steps'!AK$1:AK$400,0)),AK$2,)</f>
        <v>0</v>
      </c>
      <c r="AL231" s="140">
        <f ca="1">IF(ISNUMBER(MATCH(DATEVALUE($A231),'recurring1_based on steps'!AL$1:AL$400,0)),AL$2,)</f>
        <v>0</v>
      </c>
      <c r="AM231" s="140">
        <f ca="1">IF(ISNUMBER(MATCH(DATEVALUE($A231),'recurring1_based on steps'!AM$1:AM$400,0)),AM$2,)</f>
        <v>0</v>
      </c>
      <c r="AN231" s="140">
        <f ca="1">IF(ISNUMBER(MATCH(DATEVALUE($A231),'recurring1_based on steps'!AN$1:AN$400,0)),AN$2,)</f>
        <v>0</v>
      </c>
      <c r="AO231" s="140">
        <f ca="1">IF(ISNUMBER(MATCH(DATEVALUE($A231),'recurring1_based on steps'!AO$1:AO$400,0)),AO$2,)</f>
        <v>0</v>
      </c>
      <c r="AP231" s="140">
        <f ca="1">IF(ISNUMBER(MATCH(DATEVALUE($A231),'recurring1_based on steps'!AP$1:AP$400,0)),AP$2,)</f>
        <v>0</v>
      </c>
      <c r="AQ231" s="140">
        <f ca="1">IF(ISNUMBER(MATCH(DATEVALUE($A231),'recurring1_based on steps'!AQ$1:AQ$400,0)),AQ$2,)</f>
        <v>0</v>
      </c>
      <c r="AR231" s="140">
        <f ca="1">IF(ISNUMBER(MATCH(DATEVALUE($A231),'recurring1_based on steps'!AR$1:AR$400,0)),AR$2,)</f>
        <v>0</v>
      </c>
      <c r="AS231" s="140">
        <f ca="1">IF(ISNUMBER(MATCH(DATEVALUE($A231),'recurring1_based on steps'!AS$1:AS$400,0)),AS$2,)</f>
        <v>0</v>
      </c>
      <c r="AT231" s="140">
        <f ca="1">IF(ISNUMBER(MATCH(DATEVALUE($A231),'recurring1_based on steps'!AT$1:AT$400,0)),AT$2,)</f>
        <v>0</v>
      </c>
      <c r="AU231" s="140">
        <f ca="1">IF(ISNUMBER(MATCH(DATEVALUE($A231),'recurring1_based on steps'!AU$1:AU$400,0)),AU$2,)</f>
        <v>0</v>
      </c>
      <c r="AV231" s="140">
        <f ca="1">IF(ISNUMBER(MATCH(DATEVALUE($A231),'recurring1_based on steps'!AV$1:AV$400,0)),AV$2,)</f>
        <v>0</v>
      </c>
      <c r="AW231" s="140">
        <f ca="1">IF(ISNUMBER(MATCH(DATEVALUE($A231),'recurring1_based on steps'!AW$1:AW$400,0)),AW$2,)</f>
        <v>0</v>
      </c>
      <c r="AX231" s="140">
        <f ca="1">IF(ISNUMBER(MATCH(DATEVALUE($A231),'recurring1_based on steps'!AX$1:AX$400,0)),AX$2,)</f>
        <v>0</v>
      </c>
      <c r="AY231" s="140">
        <f ca="1">IF(ISNUMBER(MATCH(DATEVALUE($A231),'recurring1_based on steps'!AY$1:AY$400,0)),AY$2,)</f>
        <v>0</v>
      </c>
    </row>
    <row r="232" spans="1:51" x14ac:dyDescent="0.2">
      <c r="A232" s="29" t="str">
        <f t="shared" ca="1" si="3"/>
        <v>2025-11-11</v>
      </c>
      <c r="B232" s="140">
        <f ca="1">IF(ISNUMBER(MATCH(DATEVALUE($A232),'recurring1_based on steps'!B$1:B$400,0)),B$2,)</f>
        <v>0</v>
      </c>
      <c r="C232" s="140">
        <f ca="1">IF(ISNUMBER(MATCH(DATEVALUE($A232),'recurring1_based on steps'!C$1:C$400,0)),C$2,)</f>
        <v>0</v>
      </c>
      <c r="D232" s="140">
        <f ca="1">IF(ISNUMBER(MATCH(DATEVALUE($A232),'recurring1_based on steps'!D$1:D$400,0)),D$2,)</f>
        <v>0</v>
      </c>
      <c r="E232" s="140">
        <f ca="1">IF(ISNUMBER(MATCH(DATEVALUE($A232),'recurring1_based on steps'!E$1:E$400,0)),E$2,)</f>
        <v>0</v>
      </c>
      <c r="F232" s="140">
        <f ca="1">IF(ISNUMBER(MATCH(DATEVALUE($A232),'recurring1_based on steps'!F$1:F$400,0)),F$2,)</f>
        <v>0</v>
      </c>
      <c r="G232" s="140">
        <f ca="1">IF(ISNUMBER(MATCH(DATEVALUE($A232),'recurring1_based on steps'!G$1:G$400,0)),G$2,)</f>
        <v>0</v>
      </c>
      <c r="H232" s="140">
        <f ca="1">IF(ISNUMBER(MATCH(DATEVALUE($A232),'recurring1_based on steps'!H$1:H$400,0)),H$2,)</f>
        <v>0</v>
      </c>
      <c r="I232" s="140">
        <f ca="1">IF(ISNUMBER(MATCH(DATEVALUE($A232),'recurring1_based on steps'!I$1:I$400,0)),I$2,)</f>
        <v>0</v>
      </c>
      <c r="J232" s="140">
        <f ca="1">IF(ISNUMBER(MATCH(DATEVALUE($A232),'recurring1_based on steps'!J$1:J$400,0)),J$2,)</f>
        <v>0</v>
      </c>
      <c r="K232" s="140">
        <f ca="1">IF(ISNUMBER(MATCH(DATEVALUE($A232),'recurring1_based on steps'!K$1:K$400,0)),K$2,)</f>
        <v>0</v>
      </c>
      <c r="L232" s="140">
        <f ca="1">IF(ISNUMBER(MATCH(DATEVALUE($A232),'recurring1_based on steps'!L$1:L$400,0)),L$2,)</f>
        <v>0</v>
      </c>
      <c r="M232" s="140">
        <f ca="1">IF(ISNUMBER(MATCH(DATEVALUE($A232),'recurring1_based on steps'!M$1:M$400,0)),M$2,)</f>
        <v>0</v>
      </c>
      <c r="N232" s="140">
        <f ca="1">IF(ISNUMBER(MATCH(DATEVALUE($A232),'recurring1_based on steps'!N$1:N$400,0)),N$2,)</f>
        <v>0</v>
      </c>
      <c r="O232" s="140">
        <f ca="1">IF(ISNUMBER(MATCH(DATEVALUE($A232),'recurring1_based on steps'!O$1:O$400,0)),O$2,)</f>
        <v>0</v>
      </c>
      <c r="P232" s="140">
        <f ca="1">IF(ISNUMBER(MATCH(DATEVALUE($A232),'recurring1_based on steps'!P$1:P$400,0)),P$2,)</f>
        <v>0</v>
      </c>
      <c r="Q232" s="140">
        <f ca="1">IF(ISNUMBER(MATCH(DATEVALUE($A232),'recurring1_based on steps'!Q$1:Q$400,0)),Q$2,)</f>
        <v>0</v>
      </c>
      <c r="R232" s="140">
        <f ca="1">IF(ISNUMBER(MATCH(DATEVALUE($A232),'recurring1_based on steps'!R$1:R$400,0)),R$2,)</f>
        <v>0</v>
      </c>
      <c r="S232" s="140">
        <f ca="1">IF(ISNUMBER(MATCH(DATEVALUE($A232),'recurring1_based on steps'!S$1:S$400,0)),S$2,)</f>
        <v>0</v>
      </c>
      <c r="T232" s="140">
        <f ca="1">IF(ISNUMBER(MATCH(DATEVALUE($A232),'recurring1_based on steps'!T$1:T$400,0)),T$2,)</f>
        <v>0</v>
      </c>
      <c r="U232" s="140">
        <f ca="1">IF(ISNUMBER(MATCH(DATEVALUE($A232),'recurring1_based on steps'!U$1:U$400,0)),U$2,)</f>
        <v>0</v>
      </c>
      <c r="V232" s="140">
        <f ca="1">IF(ISNUMBER(MATCH(DATEVALUE($A232),'recurring1_based on steps'!V$1:V$400,0)),V$2,)</f>
        <v>0</v>
      </c>
      <c r="W232" s="140">
        <f ca="1">IF(ISNUMBER(MATCH(DATEVALUE($A232),'recurring1_based on steps'!W$1:W$400,0)),W$2,)</f>
        <v>0</v>
      </c>
      <c r="X232" s="140">
        <f ca="1">IF(ISNUMBER(MATCH(DATEVALUE($A232),'recurring1_based on steps'!X$1:X$400,0)),X$2,)</f>
        <v>0</v>
      </c>
      <c r="Y232" s="140">
        <f ca="1">IF(ISNUMBER(MATCH(DATEVALUE($A232),'recurring1_based on steps'!Y$1:Y$400,0)),Y$2,)</f>
        <v>0</v>
      </c>
      <c r="Z232" s="140">
        <f ca="1">IF(ISNUMBER(MATCH(DATEVALUE($A232),'recurring1_based on steps'!Z$1:Z$400,0)),Z$2,)</f>
        <v>0</v>
      </c>
      <c r="AA232" s="140">
        <f ca="1">IF(ISNUMBER(MATCH(DATEVALUE($A232),'recurring1_based on steps'!AA$1:AA$400,0)),AA$2,)</f>
        <v>0</v>
      </c>
      <c r="AB232" s="140">
        <f ca="1">IF(ISNUMBER(MATCH(DATEVALUE($A232),'recurring1_based on steps'!AB$1:AB$400,0)),AB$2,)</f>
        <v>5.5401662049861494E-2</v>
      </c>
      <c r="AC232" s="140">
        <f ca="1">IF(ISNUMBER(MATCH(DATEVALUE($A232),'recurring1_based on steps'!AC$1:AC$400,0)),AC$2,)</f>
        <v>0</v>
      </c>
      <c r="AD232" s="140">
        <f ca="1">IF(ISNUMBER(MATCH(DATEVALUE($A232),'recurring1_based on steps'!AD$1:AD$400,0)),AD$2,)</f>
        <v>0</v>
      </c>
      <c r="AE232" s="140">
        <f ca="1">IF(ISNUMBER(MATCH(DATEVALUE($A232),'recurring1_based on steps'!AE$1:AE$400,0)),AE$2,)</f>
        <v>0</v>
      </c>
      <c r="AF232" s="140">
        <f ca="1">IF(ISNUMBER(MATCH(DATEVALUE($A232),'recurring1_based on steps'!AF$1:AF$400,0)),AF$2,)</f>
        <v>0</v>
      </c>
      <c r="AG232" s="140">
        <f ca="1">IF(ISNUMBER(MATCH(DATEVALUE($A232),'recurring1_based on steps'!AG$1:AG$400,0)),AG$2,)</f>
        <v>0</v>
      </c>
      <c r="AH232" s="140">
        <f ca="1">IF(ISNUMBER(MATCH(DATEVALUE($A232),'recurring1_based on steps'!AH$1:AH$400,0)),AH$2,)</f>
        <v>0</v>
      </c>
      <c r="AI232" s="140">
        <f ca="1">IF(ISNUMBER(MATCH(DATEVALUE($A232),'recurring1_based on steps'!AI$1:AI$400,0)),AI$2,)</f>
        <v>0</v>
      </c>
      <c r="AJ232" s="140">
        <f ca="1">IF(ISNUMBER(MATCH(DATEVALUE($A232),'recurring1_based on steps'!AJ$1:AJ$400,0)),AJ$2,)</f>
        <v>0</v>
      </c>
      <c r="AK232" s="140">
        <f ca="1">IF(ISNUMBER(MATCH(DATEVALUE($A232),'recurring1_based on steps'!AK$1:AK$400,0)),AK$2,)</f>
        <v>0</v>
      </c>
      <c r="AL232" s="140">
        <f ca="1">IF(ISNUMBER(MATCH(DATEVALUE($A232),'recurring1_based on steps'!AL$1:AL$400,0)),AL$2,)</f>
        <v>0</v>
      </c>
      <c r="AM232" s="140">
        <f ca="1">IF(ISNUMBER(MATCH(DATEVALUE($A232),'recurring1_based on steps'!AM$1:AM$400,0)),AM$2,)</f>
        <v>0</v>
      </c>
      <c r="AN232" s="140">
        <f ca="1">IF(ISNUMBER(MATCH(DATEVALUE($A232),'recurring1_based on steps'!AN$1:AN$400,0)),AN$2,)</f>
        <v>0</v>
      </c>
      <c r="AO232" s="140">
        <f ca="1">IF(ISNUMBER(MATCH(DATEVALUE($A232),'recurring1_based on steps'!AO$1:AO$400,0)),AO$2,)</f>
        <v>0</v>
      </c>
      <c r="AP232" s="140">
        <f ca="1">IF(ISNUMBER(MATCH(DATEVALUE($A232),'recurring1_based on steps'!AP$1:AP$400,0)),AP$2,)</f>
        <v>0</v>
      </c>
      <c r="AQ232" s="140">
        <f ca="1">IF(ISNUMBER(MATCH(DATEVALUE($A232),'recurring1_based on steps'!AQ$1:AQ$400,0)),AQ$2,)</f>
        <v>0</v>
      </c>
      <c r="AR232" s="140">
        <f ca="1">IF(ISNUMBER(MATCH(DATEVALUE($A232),'recurring1_based on steps'!AR$1:AR$400,0)),AR$2,)</f>
        <v>0</v>
      </c>
      <c r="AS232" s="140">
        <f ca="1">IF(ISNUMBER(MATCH(DATEVALUE($A232),'recurring1_based on steps'!AS$1:AS$400,0)),AS$2,)</f>
        <v>0</v>
      </c>
      <c r="AT232" s="140">
        <f ca="1">IF(ISNUMBER(MATCH(DATEVALUE($A232),'recurring1_based on steps'!AT$1:AT$400,0)),AT$2,)</f>
        <v>0</v>
      </c>
      <c r="AU232" s="140">
        <f ca="1">IF(ISNUMBER(MATCH(DATEVALUE($A232),'recurring1_based on steps'!AU$1:AU$400,0)),AU$2,)</f>
        <v>0</v>
      </c>
      <c r="AV232" s="140">
        <f ca="1">IF(ISNUMBER(MATCH(DATEVALUE($A232),'recurring1_based on steps'!AV$1:AV$400,0)),AV$2,)</f>
        <v>0</v>
      </c>
      <c r="AW232" s="140">
        <f ca="1">IF(ISNUMBER(MATCH(DATEVALUE($A232),'recurring1_based on steps'!AW$1:AW$400,0)),AW$2,)</f>
        <v>0</v>
      </c>
      <c r="AX232" s="140">
        <f ca="1">IF(ISNUMBER(MATCH(DATEVALUE($A232),'recurring1_based on steps'!AX$1:AX$400,0)),AX$2,)</f>
        <v>0</v>
      </c>
      <c r="AY232" s="140">
        <f ca="1">IF(ISNUMBER(MATCH(DATEVALUE($A232),'recurring1_based on steps'!AY$1:AY$400,0)),AY$2,)</f>
        <v>0</v>
      </c>
    </row>
    <row r="233" spans="1:51" x14ac:dyDescent="0.2">
      <c r="A233" s="29" t="str">
        <f t="shared" ca="1" si="3"/>
        <v>2025-11-12</v>
      </c>
      <c r="B233" s="140">
        <f ca="1">IF(ISNUMBER(MATCH(DATEVALUE($A233),'recurring1_based on steps'!B$1:B$400,0)),B$2,)</f>
        <v>0</v>
      </c>
      <c r="C233" s="140">
        <f ca="1">IF(ISNUMBER(MATCH(DATEVALUE($A233),'recurring1_based on steps'!C$1:C$400,0)),C$2,)</f>
        <v>0</v>
      </c>
      <c r="D233" s="140">
        <f ca="1">IF(ISNUMBER(MATCH(DATEVALUE($A233),'recurring1_based on steps'!D$1:D$400,0)),D$2,)</f>
        <v>0</v>
      </c>
      <c r="E233" s="140">
        <f ca="1">IF(ISNUMBER(MATCH(DATEVALUE($A233),'recurring1_based on steps'!E$1:E$400,0)),E$2,)</f>
        <v>0</v>
      </c>
      <c r="F233" s="140">
        <f ca="1">IF(ISNUMBER(MATCH(DATEVALUE($A233),'recurring1_based on steps'!F$1:F$400,0)),F$2,)</f>
        <v>0</v>
      </c>
      <c r="G233" s="140">
        <f ca="1">IF(ISNUMBER(MATCH(DATEVALUE($A233),'recurring1_based on steps'!G$1:G$400,0)),G$2,)</f>
        <v>0</v>
      </c>
      <c r="H233" s="140">
        <f ca="1">IF(ISNUMBER(MATCH(DATEVALUE($A233),'recurring1_based on steps'!H$1:H$400,0)),H$2,)</f>
        <v>0</v>
      </c>
      <c r="I233" s="140">
        <f ca="1">IF(ISNUMBER(MATCH(DATEVALUE($A233),'recurring1_based on steps'!I$1:I$400,0)),I$2,)</f>
        <v>0</v>
      </c>
      <c r="J233" s="140">
        <f ca="1">IF(ISNUMBER(MATCH(DATEVALUE($A233),'recurring1_based on steps'!J$1:J$400,0)),J$2,)</f>
        <v>0</v>
      </c>
      <c r="K233" s="140">
        <f ca="1">IF(ISNUMBER(MATCH(DATEVALUE($A233),'recurring1_based on steps'!K$1:K$400,0)),K$2,)</f>
        <v>0</v>
      </c>
      <c r="L233" s="140">
        <f ca="1">IF(ISNUMBER(MATCH(DATEVALUE($A233),'recurring1_based on steps'!L$1:L$400,0)),L$2,)</f>
        <v>0</v>
      </c>
      <c r="M233" s="140">
        <f ca="1">IF(ISNUMBER(MATCH(DATEVALUE($A233),'recurring1_based on steps'!M$1:M$400,0)),M$2,)</f>
        <v>0</v>
      </c>
      <c r="N233" s="140">
        <f ca="1">IF(ISNUMBER(MATCH(DATEVALUE($A233),'recurring1_based on steps'!N$1:N$400,0)),N$2,)</f>
        <v>0</v>
      </c>
      <c r="O233" s="140">
        <f ca="1">IF(ISNUMBER(MATCH(DATEVALUE($A233),'recurring1_based on steps'!O$1:O$400,0)),O$2,)</f>
        <v>0</v>
      </c>
      <c r="P233" s="140">
        <f ca="1">IF(ISNUMBER(MATCH(DATEVALUE($A233),'recurring1_based on steps'!P$1:P$400,0)),P$2,)</f>
        <v>0</v>
      </c>
      <c r="Q233" s="140">
        <f ca="1">IF(ISNUMBER(MATCH(DATEVALUE($A233),'recurring1_based on steps'!Q$1:Q$400,0)),Q$2,)</f>
        <v>0</v>
      </c>
      <c r="R233" s="140">
        <f ca="1">IF(ISNUMBER(MATCH(DATEVALUE($A233),'recurring1_based on steps'!R$1:R$400,0)),R$2,)</f>
        <v>0</v>
      </c>
      <c r="S233" s="140">
        <f ca="1">IF(ISNUMBER(MATCH(DATEVALUE($A233),'recurring1_based on steps'!S$1:S$400,0)),S$2,)</f>
        <v>0</v>
      </c>
      <c r="T233" s="140">
        <f ca="1">IF(ISNUMBER(MATCH(DATEVALUE($A233),'recurring1_based on steps'!T$1:T$400,0)),T$2,)</f>
        <v>0</v>
      </c>
      <c r="U233" s="140">
        <f ca="1">IF(ISNUMBER(MATCH(DATEVALUE($A233),'recurring1_based on steps'!U$1:U$400,0)),U$2,)</f>
        <v>0</v>
      </c>
      <c r="V233" s="140">
        <f ca="1">IF(ISNUMBER(MATCH(DATEVALUE($A233),'recurring1_based on steps'!V$1:V$400,0)),V$2,)</f>
        <v>0</v>
      </c>
      <c r="W233" s="140">
        <f ca="1">IF(ISNUMBER(MATCH(DATEVALUE($A233),'recurring1_based on steps'!W$1:W$400,0)),W$2,)</f>
        <v>0</v>
      </c>
      <c r="X233" s="140">
        <f ca="1">IF(ISNUMBER(MATCH(DATEVALUE($A233),'recurring1_based on steps'!X$1:X$400,0)),X$2,)</f>
        <v>0</v>
      </c>
      <c r="Y233" s="140">
        <f ca="1">IF(ISNUMBER(MATCH(DATEVALUE($A233),'recurring1_based on steps'!Y$1:Y$400,0)),Y$2,)</f>
        <v>0</v>
      </c>
      <c r="Z233" s="140">
        <f ca="1">IF(ISNUMBER(MATCH(DATEVALUE($A233),'recurring1_based on steps'!Z$1:Z$400,0)),Z$2,)</f>
        <v>0</v>
      </c>
      <c r="AA233" s="140">
        <f ca="1">IF(ISNUMBER(MATCH(DATEVALUE($A233),'recurring1_based on steps'!AA$1:AA$400,0)),AA$2,)</f>
        <v>0</v>
      </c>
      <c r="AB233" s="140">
        <f ca="1">IF(ISNUMBER(MATCH(DATEVALUE($A233),'recurring1_based on steps'!AB$1:AB$400,0)),AB$2,)</f>
        <v>5.5401662049861494E-2</v>
      </c>
      <c r="AC233" s="140">
        <f ca="1">IF(ISNUMBER(MATCH(DATEVALUE($A233),'recurring1_based on steps'!AC$1:AC$400,0)),AC$2,)</f>
        <v>0</v>
      </c>
      <c r="AD233" s="140">
        <f ca="1">IF(ISNUMBER(MATCH(DATEVALUE($A233),'recurring1_based on steps'!AD$1:AD$400,0)),AD$2,)</f>
        <v>0</v>
      </c>
      <c r="AE233" s="140">
        <f ca="1">IF(ISNUMBER(MATCH(DATEVALUE($A233),'recurring1_based on steps'!AE$1:AE$400,0)),AE$2,)</f>
        <v>0</v>
      </c>
      <c r="AF233" s="140">
        <f ca="1">IF(ISNUMBER(MATCH(DATEVALUE($A233),'recurring1_based on steps'!AF$1:AF$400,0)),AF$2,)</f>
        <v>0</v>
      </c>
      <c r="AG233" s="140">
        <f ca="1">IF(ISNUMBER(MATCH(DATEVALUE($A233),'recurring1_based on steps'!AG$1:AG$400,0)),AG$2,)</f>
        <v>0</v>
      </c>
      <c r="AH233" s="140">
        <f ca="1">IF(ISNUMBER(MATCH(DATEVALUE($A233),'recurring1_based on steps'!AH$1:AH$400,0)),AH$2,)</f>
        <v>0</v>
      </c>
      <c r="AI233" s="140">
        <f ca="1">IF(ISNUMBER(MATCH(DATEVALUE($A233),'recurring1_based on steps'!AI$1:AI$400,0)),AI$2,)</f>
        <v>0</v>
      </c>
      <c r="AJ233" s="140">
        <f ca="1">IF(ISNUMBER(MATCH(DATEVALUE($A233),'recurring1_based on steps'!AJ$1:AJ$400,0)),AJ$2,)</f>
        <v>0</v>
      </c>
      <c r="AK233" s="140">
        <f ca="1">IF(ISNUMBER(MATCH(DATEVALUE($A233),'recurring1_based on steps'!AK$1:AK$400,0)),AK$2,)</f>
        <v>0</v>
      </c>
      <c r="AL233" s="140">
        <f ca="1">IF(ISNUMBER(MATCH(DATEVALUE($A233),'recurring1_based on steps'!AL$1:AL$400,0)),AL$2,)</f>
        <v>0</v>
      </c>
      <c r="AM233" s="140">
        <f ca="1">IF(ISNUMBER(MATCH(DATEVALUE($A233),'recurring1_based on steps'!AM$1:AM$400,0)),AM$2,)</f>
        <v>0</v>
      </c>
      <c r="AN233" s="140">
        <f ca="1">IF(ISNUMBER(MATCH(DATEVALUE($A233),'recurring1_based on steps'!AN$1:AN$400,0)),AN$2,)</f>
        <v>0</v>
      </c>
      <c r="AO233" s="140">
        <f ca="1">IF(ISNUMBER(MATCH(DATEVALUE($A233),'recurring1_based on steps'!AO$1:AO$400,0)),AO$2,)</f>
        <v>0</v>
      </c>
      <c r="AP233" s="140">
        <f ca="1">IF(ISNUMBER(MATCH(DATEVALUE($A233),'recurring1_based on steps'!AP$1:AP$400,0)),AP$2,)</f>
        <v>0</v>
      </c>
      <c r="AQ233" s="140">
        <f ca="1">IF(ISNUMBER(MATCH(DATEVALUE($A233),'recurring1_based on steps'!AQ$1:AQ$400,0)),AQ$2,)</f>
        <v>0</v>
      </c>
      <c r="AR233" s="140">
        <f ca="1">IF(ISNUMBER(MATCH(DATEVALUE($A233),'recurring1_based on steps'!AR$1:AR$400,0)),AR$2,)</f>
        <v>0</v>
      </c>
      <c r="AS233" s="140">
        <f ca="1">IF(ISNUMBER(MATCH(DATEVALUE($A233),'recurring1_based on steps'!AS$1:AS$400,0)),AS$2,)</f>
        <v>0</v>
      </c>
      <c r="AT233" s="140">
        <f ca="1">IF(ISNUMBER(MATCH(DATEVALUE($A233),'recurring1_based on steps'!AT$1:AT$400,0)),AT$2,)</f>
        <v>0</v>
      </c>
      <c r="AU233" s="140">
        <f ca="1">IF(ISNUMBER(MATCH(DATEVALUE($A233),'recurring1_based on steps'!AU$1:AU$400,0)),AU$2,)</f>
        <v>0</v>
      </c>
      <c r="AV233" s="140">
        <f ca="1">IF(ISNUMBER(MATCH(DATEVALUE($A233),'recurring1_based on steps'!AV$1:AV$400,0)),AV$2,)</f>
        <v>0</v>
      </c>
      <c r="AW233" s="140">
        <f ca="1">IF(ISNUMBER(MATCH(DATEVALUE($A233),'recurring1_based on steps'!AW$1:AW$400,0)),AW$2,)</f>
        <v>0</v>
      </c>
      <c r="AX233" s="140">
        <f ca="1">IF(ISNUMBER(MATCH(DATEVALUE($A233),'recurring1_based on steps'!AX$1:AX$400,0)),AX$2,)</f>
        <v>0</v>
      </c>
      <c r="AY233" s="140">
        <f ca="1">IF(ISNUMBER(MATCH(DATEVALUE($A233),'recurring1_based on steps'!AY$1:AY$400,0)),AY$2,)</f>
        <v>0</v>
      </c>
    </row>
    <row r="234" spans="1:51" x14ac:dyDescent="0.2">
      <c r="A234" s="29" t="str">
        <f t="shared" ca="1" si="3"/>
        <v>2025-11-13</v>
      </c>
      <c r="B234" s="140">
        <f ca="1">IF(ISNUMBER(MATCH(DATEVALUE($A234),'recurring1_based on steps'!B$1:B$400,0)),B$2,)</f>
        <v>0</v>
      </c>
      <c r="C234" s="140">
        <f ca="1">IF(ISNUMBER(MATCH(DATEVALUE($A234),'recurring1_based on steps'!C$1:C$400,0)),C$2,)</f>
        <v>0</v>
      </c>
      <c r="D234" s="140">
        <f ca="1">IF(ISNUMBER(MATCH(DATEVALUE($A234),'recurring1_based on steps'!D$1:D$400,0)),D$2,)</f>
        <v>0</v>
      </c>
      <c r="E234" s="140">
        <f ca="1">IF(ISNUMBER(MATCH(DATEVALUE($A234),'recurring1_based on steps'!E$1:E$400,0)),E$2,)</f>
        <v>0</v>
      </c>
      <c r="F234" s="140">
        <f ca="1">IF(ISNUMBER(MATCH(DATEVALUE($A234),'recurring1_based on steps'!F$1:F$400,0)),F$2,)</f>
        <v>0</v>
      </c>
      <c r="G234" s="140">
        <f ca="1">IF(ISNUMBER(MATCH(DATEVALUE($A234),'recurring1_based on steps'!G$1:G$400,0)),G$2,)</f>
        <v>0</v>
      </c>
      <c r="H234" s="140">
        <f ca="1">IF(ISNUMBER(MATCH(DATEVALUE($A234),'recurring1_based on steps'!H$1:H$400,0)),H$2,)</f>
        <v>0</v>
      </c>
      <c r="I234" s="140">
        <f ca="1">IF(ISNUMBER(MATCH(DATEVALUE($A234),'recurring1_based on steps'!I$1:I$400,0)),I$2,)</f>
        <v>0</v>
      </c>
      <c r="J234" s="140">
        <f ca="1">IF(ISNUMBER(MATCH(DATEVALUE($A234),'recurring1_based on steps'!J$1:J$400,0)),J$2,)</f>
        <v>0</v>
      </c>
      <c r="K234" s="140">
        <f ca="1">IF(ISNUMBER(MATCH(DATEVALUE($A234),'recurring1_based on steps'!K$1:K$400,0)),K$2,)</f>
        <v>0</v>
      </c>
      <c r="L234" s="140">
        <f ca="1">IF(ISNUMBER(MATCH(DATEVALUE($A234),'recurring1_based on steps'!L$1:L$400,0)),L$2,)</f>
        <v>0</v>
      </c>
      <c r="M234" s="140">
        <f ca="1">IF(ISNUMBER(MATCH(DATEVALUE($A234),'recurring1_based on steps'!M$1:M$400,0)),M$2,)</f>
        <v>0</v>
      </c>
      <c r="N234" s="140">
        <f ca="1">IF(ISNUMBER(MATCH(DATEVALUE($A234),'recurring1_based on steps'!N$1:N$400,0)),N$2,)</f>
        <v>0</v>
      </c>
      <c r="O234" s="140">
        <f ca="1">IF(ISNUMBER(MATCH(DATEVALUE($A234),'recurring1_based on steps'!O$1:O$400,0)),O$2,)</f>
        <v>0</v>
      </c>
      <c r="P234" s="140">
        <f ca="1">IF(ISNUMBER(MATCH(DATEVALUE($A234),'recurring1_based on steps'!P$1:P$400,0)),P$2,)</f>
        <v>0</v>
      </c>
      <c r="Q234" s="140">
        <f ca="1">IF(ISNUMBER(MATCH(DATEVALUE($A234),'recurring1_based on steps'!Q$1:Q$400,0)),Q$2,)</f>
        <v>0</v>
      </c>
      <c r="R234" s="140">
        <f ca="1">IF(ISNUMBER(MATCH(DATEVALUE($A234),'recurring1_based on steps'!R$1:R$400,0)),R$2,)</f>
        <v>0</v>
      </c>
      <c r="S234" s="140">
        <f ca="1">IF(ISNUMBER(MATCH(DATEVALUE($A234),'recurring1_based on steps'!S$1:S$400,0)),S$2,)</f>
        <v>0</v>
      </c>
      <c r="T234" s="140">
        <f ca="1">IF(ISNUMBER(MATCH(DATEVALUE($A234),'recurring1_based on steps'!T$1:T$400,0)),T$2,)</f>
        <v>0</v>
      </c>
      <c r="U234" s="140">
        <f ca="1">IF(ISNUMBER(MATCH(DATEVALUE($A234),'recurring1_based on steps'!U$1:U$400,0)),U$2,)</f>
        <v>0</v>
      </c>
      <c r="V234" s="140">
        <f ca="1">IF(ISNUMBER(MATCH(DATEVALUE($A234),'recurring1_based on steps'!V$1:V$400,0)),V$2,)</f>
        <v>0</v>
      </c>
      <c r="W234" s="140">
        <f ca="1">IF(ISNUMBER(MATCH(DATEVALUE($A234),'recurring1_based on steps'!W$1:W$400,0)),W$2,)</f>
        <v>0</v>
      </c>
      <c r="X234" s="140">
        <f ca="1">IF(ISNUMBER(MATCH(DATEVALUE($A234),'recurring1_based on steps'!X$1:X$400,0)),X$2,)</f>
        <v>0</v>
      </c>
      <c r="Y234" s="140">
        <f ca="1">IF(ISNUMBER(MATCH(DATEVALUE($A234),'recurring1_based on steps'!Y$1:Y$400,0)),Y$2,)</f>
        <v>0</v>
      </c>
      <c r="Z234" s="140">
        <f ca="1">IF(ISNUMBER(MATCH(DATEVALUE($A234),'recurring1_based on steps'!Z$1:Z$400,0)),Z$2,)</f>
        <v>0</v>
      </c>
      <c r="AA234" s="140">
        <f ca="1">IF(ISNUMBER(MATCH(DATEVALUE($A234),'recurring1_based on steps'!AA$1:AA$400,0)),AA$2,)</f>
        <v>0</v>
      </c>
      <c r="AB234" s="140">
        <f ca="1">IF(ISNUMBER(MATCH(DATEVALUE($A234),'recurring1_based on steps'!AB$1:AB$400,0)),AB$2,)</f>
        <v>5.5401662049861494E-2</v>
      </c>
      <c r="AC234" s="140">
        <f ca="1">IF(ISNUMBER(MATCH(DATEVALUE($A234),'recurring1_based on steps'!AC$1:AC$400,0)),AC$2,)</f>
        <v>0</v>
      </c>
      <c r="AD234" s="140">
        <f ca="1">IF(ISNUMBER(MATCH(DATEVALUE($A234),'recurring1_based on steps'!AD$1:AD$400,0)),AD$2,)</f>
        <v>0</v>
      </c>
      <c r="AE234" s="140">
        <f ca="1">IF(ISNUMBER(MATCH(DATEVALUE($A234),'recurring1_based on steps'!AE$1:AE$400,0)),AE$2,)</f>
        <v>0</v>
      </c>
      <c r="AF234" s="140">
        <f ca="1">IF(ISNUMBER(MATCH(DATEVALUE($A234),'recurring1_based on steps'!AF$1:AF$400,0)),AF$2,)</f>
        <v>0</v>
      </c>
      <c r="AG234" s="140">
        <f ca="1">IF(ISNUMBER(MATCH(DATEVALUE($A234),'recurring1_based on steps'!AG$1:AG$400,0)),AG$2,)</f>
        <v>0</v>
      </c>
      <c r="AH234" s="140">
        <f ca="1">IF(ISNUMBER(MATCH(DATEVALUE($A234),'recurring1_based on steps'!AH$1:AH$400,0)),AH$2,)</f>
        <v>0</v>
      </c>
      <c r="AI234" s="140">
        <f ca="1">IF(ISNUMBER(MATCH(DATEVALUE($A234),'recurring1_based on steps'!AI$1:AI$400,0)),AI$2,)</f>
        <v>0</v>
      </c>
      <c r="AJ234" s="140">
        <f ca="1">IF(ISNUMBER(MATCH(DATEVALUE($A234),'recurring1_based on steps'!AJ$1:AJ$400,0)),AJ$2,)</f>
        <v>0</v>
      </c>
      <c r="AK234" s="140">
        <f ca="1">IF(ISNUMBER(MATCH(DATEVALUE($A234),'recurring1_based on steps'!AK$1:AK$400,0)),AK$2,)</f>
        <v>0</v>
      </c>
      <c r="AL234" s="140">
        <f ca="1">IF(ISNUMBER(MATCH(DATEVALUE($A234),'recurring1_based on steps'!AL$1:AL$400,0)),AL$2,)</f>
        <v>0</v>
      </c>
      <c r="AM234" s="140">
        <f ca="1">IF(ISNUMBER(MATCH(DATEVALUE($A234),'recurring1_based on steps'!AM$1:AM$400,0)),AM$2,)</f>
        <v>0</v>
      </c>
      <c r="AN234" s="140">
        <f ca="1">IF(ISNUMBER(MATCH(DATEVALUE($A234),'recurring1_based on steps'!AN$1:AN$400,0)),AN$2,)</f>
        <v>0</v>
      </c>
      <c r="AO234" s="140">
        <f ca="1">IF(ISNUMBER(MATCH(DATEVALUE($A234),'recurring1_based on steps'!AO$1:AO$400,0)),AO$2,)</f>
        <v>0</v>
      </c>
      <c r="AP234" s="140">
        <f ca="1">IF(ISNUMBER(MATCH(DATEVALUE($A234),'recurring1_based on steps'!AP$1:AP$400,0)),AP$2,)</f>
        <v>0</v>
      </c>
      <c r="AQ234" s="140">
        <f ca="1">IF(ISNUMBER(MATCH(DATEVALUE($A234),'recurring1_based on steps'!AQ$1:AQ$400,0)),AQ$2,)</f>
        <v>0</v>
      </c>
      <c r="AR234" s="140">
        <f ca="1">IF(ISNUMBER(MATCH(DATEVALUE($A234),'recurring1_based on steps'!AR$1:AR$400,0)),AR$2,)</f>
        <v>0</v>
      </c>
      <c r="AS234" s="140">
        <f ca="1">IF(ISNUMBER(MATCH(DATEVALUE($A234),'recurring1_based on steps'!AS$1:AS$400,0)),AS$2,)</f>
        <v>0</v>
      </c>
      <c r="AT234" s="140">
        <f ca="1">IF(ISNUMBER(MATCH(DATEVALUE($A234),'recurring1_based on steps'!AT$1:AT$400,0)),AT$2,)</f>
        <v>0</v>
      </c>
      <c r="AU234" s="140">
        <f ca="1">IF(ISNUMBER(MATCH(DATEVALUE($A234),'recurring1_based on steps'!AU$1:AU$400,0)),AU$2,)</f>
        <v>0</v>
      </c>
      <c r="AV234" s="140">
        <f ca="1">IF(ISNUMBER(MATCH(DATEVALUE($A234),'recurring1_based on steps'!AV$1:AV$400,0)),AV$2,)</f>
        <v>0</v>
      </c>
      <c r="AW234" s="140">
        <f ca="1">IF(ISNUMBER(MATCH(DATEVALUE($A234),'recurring1_based on steps'!AW$1:AW$400,0)),AW$2,)</f>
        <v>0</v>
      </c>
      <c r="AX234" s="140">
        <f ca="1">IF(ISNUMBER(MATCH(DATEVALUE($A234),'recurring1_based on steps'!AX$1:AX$400,0)),AX$2,)</f>
        <v>0</v>
      </c>
      <c r="AY234" s="140">
        <f ca="1">IF(ISNUMBER(MATCH(DATEVALUE($A234),'recurring1_based on steps'!AY$1:AY$400,0)),AY$2,)</f>
        <v>0</v>
      </c>
    </row>
    <row r="235" spans="1:51" x14ac:dyDescent="0.2">
      <c r="A235" s="29" t="str">
        <f t="shared" ca="1" si="3"/>
        <v>2025-11-14</v>
      </c>
      <c r="B235" s="140">
        <f ca="1">IF(ISNUMBER(MATCH(DATEVALUE($A235),'recurring1_based on steps'!B$1:B$400,0)),B$2,)</f>
        <v>4000</v>
      </c>
      <c r="C235" s="140">
        <f ca="1">IF(ISNUMBER(MATCH(DATEVALUE($A235),'recurring1_based on steps'!C$1:C$400,0)),C$2,)</f>
        <v>200</v>
      </c>
      <c r="D235" s="140">
        <f ca="1">IF(ISNUMBER(MATCH(DATEVALUE($A235),'recurring1_based on steps'!D$1:D$400,0)),D$2,)</f>
        <v>2</v>
      </c>
      <c r="E235" s="140">
        <f ca="1">IF(ISNUMBER(MATCH(DATEVALUE($A235),'recurring1_based on steps'!E$1:E$400,0)),E$2,)</f>
        <v>40</v>
      </c>
      <c r="F235" s="140">
        <f ca="1">IF(ISNUMBER(MATCH(DATEVALUE($A235),'recurring1_based on steps'!F$1:F$400,0)),F$2,)</f>
        <v>50</v>
      </c>
      <c r="G235" s="140">
        <f ca="1">IF(ISNUMBER(MATCH(DATEVALUE($A235),'recurring1_based on steps'!G$1:G$400,0)),G$2,)</f>
        <v>4</v>
      </c>
      <c r="H235" s="140">
        <f ca="1">IF(ISNUMBER(MATCH(DATEVALUE($A235),'recurring1_based on steps'!H$1:H$400,0)),H$2,)</f>
        <v>0</v>
      </c>
      <c r="I235" s="140">
        <f ca="1">IF(ISNUMBER(MATCH(DATEVALUE($A235),'recurring1_based on steps'!I$1:I$400,0)),I$2,)</f>
        <v>0</v>
      </c>
      <c r="J235" s="140">
        <f ca="1">IF(ISNUMBER(MATCH(DATEVALUE($A235),'recurring1_based on steps'!J$1:J$400,0)),J$2,)</f>
        <v>0</v>
      </c>
      <c r="K235" s="140">
        <f ca="1">IF(ISNUMBER(MATCH(DATEVALUE($A235),'recurring1_based on steps'!K$1:K$400,0)),K$2,)</f>
        <v>0</v>
      </c>
      <c r="L235" s="140">
        <f ca="1">IF(ISNUMBER(MATCH(DATEVALUE($A235),'recurring1_based on steps'!L$1:L$400,0)),L$2,)</f>
        <v>0</v>
      </c>
      <c r="M235" s="140">
        <f ca="1">IF(ISNUMBER(MATCH(DATEVALUE($A235),'recurring1_based on steps'!M$1:M$400,0)),M$2,)</f>
        <v>0</v>
      </c>
      <c r="N235" s="140">
        <f ca="1">IF(ISNUMBER(MATCH(DATEVALUE($A235),'recurring1_based on steps'!N$1:N$400,0)),N$2,)</f>
        <v>0</v>
      </c>
      <c r="O235" s="140">
        <f ca="1">IF(ISNUMBER(MATCH(DATEVALUE($A235),'recurring1_based on steps'!O$1:O$400,0)),O$2,)</f>
        <v>0</v>
      </c>
      <c r="P235" s="140">
        <f ca="1">IF(ISNUMBER(MATCH(DATEVALUE($A235),'recurring1_based on steps'!P$1:P$400,0)),P$2,)</f>
        <v>0</v>
      </c>
      <c r="Q235" s="140">
        <f ca="1">IF(ISNUMBER(MATCH(DATEVALUE($A235),'recurring1_based on steps'!Q$1:Q$400,0)),Q$2,)</f>
        <v>0</v>
      </c>
      <c r="R235" s="140">
        <f ca="1">IF(ISNUMBER(MATCH(DATEVALUE($A235),'recurring1_based on steps'!R$1:R$400,0)),R$2,)</f>
        <v>0</v>
      </c>
      <c r="S235" s="140">
        <f ca="1">IF(ISNUMBER(MATCH(DATEVALUE($A235),'recurring1_based on steps'!S$1:S$400,0)),S$2,)</f>
        <v>0</v>
      </c>
      <c r="T235" s="140">
        <f ca="1">IF(ISNUMBER(MATCH(DATEVALUE($A235),'recurring1_based on steps'!T$1:T$400,0)),T$2,)</f>
        <v>0</v>
      </c>
      <c r="U235" s="140">
        <f ca="1">IF(ISNUMBER(MATCH(DATEVALUE($A235),'recurring1_based on steps'!U$1:U$400,0)),U$2,)</f>
        <v>0</v>
      </c>
      <c r="V235" s="140">
        <f ca="1">IF(ISNUMBER(MATCH(DATEVALUE($A235),'recurring1_based on steps'!V$1:V$400,0)),V$2,)</f>
        <v>0</v>
      </c>
      <c r="W235" s="140">
        <f ca="1">IF(ISNUMBER(MATCH(DATEVALUE($A235),'recurring1_based on steps'!W$1:W$400,0)),W$2,)</f>
        <v>0</v>
      </c>
      <c r="X235" s="140">
        <f ca="1">IF(ISNUMBER(MATCH(DATEVALUE($A235),'recurring1_based on steps'!X$1:X$400,0)),X$2,)</f>
        <v>50</v>
      </c>
      <c r="Y235" s="140">
        <f ca="1">IF(ISNUMBER(MATCH(DATEVALUE($A235),'recurring1_based on steps'!Y$1:Y$400,0)),Y$2,)</f>
        <v>50</v>
      </c>
      <c r="Z235" s="140">
        <f ca="1">IF(ISNUMBER(MATCH(DATEVALUE($A235),'recurring1_based on steps'!Z$1:Z$400,0)),Z$2,)</f>
        <v>0</v>
      </c>
      <c r="AA235" s="140">
        <f ca="1">IF(ISNUMBER(MATCH(DATEVALUE($A235),'recurring1_based on steps'!AA$1:AA$400,0)),AA$2,)</f>
        <v>0</v>
      </c>
      <c r="AB235" s="140">
        <f ca="1">IF(ISNUMBER(MATCH(DATEVALUE($A235),'recurring1_based on steps'!AB$1:AB$400,0)),AB$2,)</f>
        <v>5.5401662049861494E-2</v>
      </c>
      <c r="AC235" s="140">
        <f ca="1">IF(ISNUMBER(MATCH(DATEVALUE($A235),'recurring1_based on steps'!AC$1:AC$400,0)),AC$2,)</f>
        <v>0</v>
      </c>
      <c r="AD235" s="140">
        <f ca="1">IF(ISNUMBER(MATCH(DATEVALUE($A235),'recurring1_based on steps'!AD$1:AD$400,0)),AD$2,)</f>
        <v>0</v>
      </c>
      <c r="AE235" s="140">
        <f ca="1">IF(ISNUMBER(MATCH(DATEVALUE($A235),'recurring1_based on steps'!AE$1:AE$400,0)),AE$2,)</f>
        <v>0</v>
      </c>
      <c r="AF235" s="140">
        <f ca="1">IF(ISNUMBER(MATCH(DATEVALUE($A235),'recurring1_based on steps'!AF$1:AF$400,0)),AF$2,)</f>
        <v>0</v>
      </c>
      <c r="AG235" s="140">
        <f ca="1">IF(ISNUMBER(MATCH(DATEVALUE($A235),'recurring1_based on steps'!AG$1:AG$400,0)),AG$2,)</f>
        <v>0</v>
      </c>
      <c r="AH235" s="140">
        <f ca="1">IF(ISNUMBER(MATCH(DATEVALUE($A235),'recurring1_based on steps'!AH$1:AH$400,0)),AH$2,)</f>
        <v>0</v>
      </c>
      <c r="AI235" s="140">
        <f ca="1">IF(ISNUMBER(MATCH(DATEVALUE($A235),'recurring1_based on steps'!AI$1:AI$400,0)),AI$2,)</f>
        <v>0</v>
      </c>
      <c r="AJ235" s="140">
        <f ca="1">IF(ISNUMBER(MATCH(DATEVALUE($A235),'recurring1_based on steps'!AJ$1:AJ$400,0)),AJ$2,)</f>
        <v>0</v>
      </c>
      <c r="AK235" s="140">
        <f ca="1">IF(ISNUMBER(MATCH(DATEVALUE($A235),'recurring1_based on steps'!AK$1:AK$400,0)),AK$2,)</f>
        <v>0</v>
      </c>
      <c r="AL235" s="140">
        <f ca="1">IF(ISNUMBER(MATCH(DATEVALUE($A235),'recurring1_based on steps'!AL$1:AL$400,0)),AL$2,)</f>
        <v>0</v>
      </c>
      <c r="AM235" s="140">
        <f ca="1">IF(ISNUMBER(MATCH(DATEVALUE($A235),'recurring1_based on steps'!AM$1:AM$400,0)),AM$2,)</f>
        <v>0</v>
      </c>
      <c r="AN235" s="140">
        <f ca="1">IF(ISNUMBER(MATCH(DATEVALUE($A235),'recurring1_based on steps'!AN$1:AN$400,0)),AN$2,)</f>
        <v>0</v>
      </c>
      <c r="AO235" s="140">
        <f ca="1">IF(ISNUMBER(MATCH(DATEVALUE($A235),'recurring1_based on steps'!AO$1:AO$400,0)),AO$2,)</f>
        <v>0</v>
      </c>
      <c r="AP235" s="140">
        <f ca="1">IF(ISNUMBER(MATCH(DATEVALUE($A235),'recurring1_based on steps'!AP$1:AP$400,0)),AP$2,)</f>
        <v>0</v>
      </c>
      <c r="AQ235" s="140">
        <f ca="1">IF(ISNUMBER(MATCH(DATEVALUE($A235),'recurring1_based on steps'!AQ$1:AQ$400,0)),AQ$2,)</f>
        <v>0</v>
      </c>
      <c r="AR235" s="140">
        <f ca="1">IF(ISNUMBER(MATCH(DATEVALUE($A235),'recurring1_based on steps'!AR$1:AR$400,0)),AR$2,)</f>
        <v>0</v>
      </c>
      <c r="AS235" s="140">
        <f ca="1">IF(ISNUMBER(MATCH(DATEVALUE($A235),'recurring1_based on steps'!AS$1:AS$400,0)),AS$2,)</f>
        <v>0</v>
      </c>
      <c r="AT235" s="140">
        <f ca="1">IF(ISNUMBER(MATCH(DATEVALUE($A235),'recurring1_based on steps'!AT$1:AT$400,0)),AT$2,)</f>
        <v>0</v>
      </c>
      <c r="AU235" s="140">
        <f ca="1">IF(ISNUMBER(MATCH(DATEVALUE($A235),'recurring1_based on steps'!AU$1:AU$400,0)),AU$2,)</f>
        <v>0</v>
      </c>
      <c r="AV235" s="140">
        <f ca="1">IF(ISNUMBER(MATCH(DATEVALUE($A235),'recurring1_based on steps'!AV$1:AV$400,0)),AV$2,)</f>
        <v>0</v>
      </c>
      <c r="AW235" s="140">
        <f ca="1">IF(ISNUMBER(MATCH(DATEVALUE($A235),'recurring1_based on steps'!AW$1:AW$400,0)),AW$2,)</f>
        <v>0</v>
      </c>
      <c r="AX235" s="140">
        <f ca="1">IF(ISNUMBER(MATCH(DATEVALUE($A235),'recurring1_based on steps'!AX$1:AX$400,0)),AX$2,)</f>
        <v>0</v>
      </c>
      <c r="AY235" s="140">
        <f ca="1">IF(ISNUMBER(MATCH(DATEVALUE($A235),'recurring1_based on steps'!AY$1:AY$400,0)),AY$2,)</f>
        <v>0</v>
      </c>
    </row>
    <row r="236" spans="1:51" x14ac:dyDescent="0.2">
      <c r="A236" s="29" t="str">
        <f t="shared" ca="1" si="3"/>
        <v>2025-11-15</v>
      </c>
      <c r="B236" s="140">
        <f ca="1">IF(ISNUMBER(MATCH(DATEVALUE($A236),'recurring1_based on steps'!B$1:B$400,0)),B$2,)</f>
        <v>0</v>
      </c>
      <c r="C236" s="140">
        <f ca="1">IF(ISNUMBER(MATCH(DATEVALUE($A236),'recurring1_based on steps'!C$1:C$400,0)),C$2,)</f>
        <v>0</v>
      </c>
      <c r="D236" s="140">
        <f ca="1">IF(ISNUMBER(MATCH(DATEVALUE($A236),'recurring1_based on steps'!D$1:D$400,0)),D$2,)</f>
        <v>0</v>
      </c>
      <c r="E236" s="140">
        <f ca="1">IF(ISNUMBER(MATCH(DATEVALUE($A236),'recurring1_based on steps'!E$1:E$400,0)),E$2,)</f>
        <v>0</v>
      </c>
      <c r="F236" s="140">
        <f ca="1">IF(ISNUMBER(MATCH(DATEVALUE($A236),'recurring1_based on steps'!F$1:F$400,0)),F$2,)</f>
        <v>0</v>
      </c>
      <c r="G236" s="140">
        <f ca="1">IF(ISNUMBER(MATCH(DATEVALUE($A236),'recurring1_based on steps'!G$1:G$400,0)),G$2,)</f>
        <v>0</v>
      </c>
      <c r="H236" s="140">
        <f ca="1">IF(ISNUMBER(MATCH(DATEVALUE($A236),'recurring1_based on steps'!H$1:H$400,0)),H$2,)</f>
        <v>0</v>
      </c>
      <c r="I236" s="140">
        <f ca="1">IF(ISNUMBER(MATCH(DATEVALUE($A236),'recurring1_based on steps'!I$1:I$400,0)),I$2,)</f>
        <v>0</v>
      </c>
      <c r="J236" s="140">
        <f ca="1">IF(ISNUMBER(MATCH(DATEVALUE($A236),'recurring1_based on steps'!J$1:J$400,0)),J$2,)</f>
        <v>0</v>
      </c>
      <c r="K236" s="140">
        <f ca="1">IF(ISNUMBER(MATCH(DATEVALUE($A236),'recurring1_based on steps'!K$1:K$400,0)),K$2,)</f>
        <v>0</v>
      </c>
      <c r="L236" s="140">
        <f ca="1">IF(ISNUMBER(MATCH(DATEVALUE($A236),'recurring1_based on steps'!L$1:L$400,0)),L$2,)</f>
        <v>0</v>
      </c>
      <c r="M236" s="140">
        <f ca="1">IF(ISNUMBER(MATCH(DATEVALUE($A236),'recurring1_based on steps'!M$1:M$400,0)),M$2,)</f>
        <v>0</v>
      </c>
      <c r="N236" s="140">
        <f ca="1">IF(ISNUMBER(MATCH(DATEVALUE($A236),'recurring1_based on steps'!N$1:N$400,0)),N$2,)</f>
        <v>0</v>
      </c>
      <c r="O236" s="140">
        <f ca="1">IF(ISNUMBER(MATCH(DATEVALUE($A236),'recurring1_based on steps'!O$1:O$400,0)),O$2,)</f>
        <v>0</v>
      </c>
      <c r="P236" s="140">
        <f ca="1">IF(ISNUMBER(MATCH(DATEVALUE($A236),'recurring1_based on steps'!P$1:P$400,0)),P$2,)</f>
        <v>0</v>
      </c>
      <c r="Q236" s="140">
        <f ca="1">IF(ISNUMBER(MATCH(DATEVALUE($A236),'recurring1_based on steps'!Q$1:Q$400,0)),Q$2,)</f>
        <v>100</v>
      </c>
      <c r="R236" s="140">
        <f ca="1">IF(ISNUMBER(MATCH(DATEVALUE($A236),'recurring1_based on steps'!R$1:R$400,0)),R$2,)</f>
        <v>100</v>
      </c>
      <c r="S236" s="140">
        <f ca="1">IF(ISNUMBER(MATCH(DATEVALUE($A236),'recurring1_based on steps'!S$1:S$400,0)),S$2,)</f>
        <v>0</v>
      </c>
      <c r="T236" s="140">
        <f ca="1">IF(ISNUMBER(MATCH(DATEVALUE($A236),'recurring1_based on steps'!T$1:T$400,0)),T$2,)</f>
        <v>0</v>
      </c>
      <c r="U236" s="140">
        <f ca="1">IF(ISNUMBER(MATCH(DATEVALUE($A236),'recurring1_based on steps'!U$1:U$400,0)),U$2,)</f>
        <v>0</v>
      </c>
      <c r="V236" s="140">
        <f ca="1">IF(ISNUMBER(MATCH(DATEVALUE($A236),'recurring1_based on steps'!V$1:V$400,0)),V$2,)</f>
        <v>0</v>
      </c>
      <c r="W236" s="140">
        <f ca="1">IF(ISNUMBER(MATCH(DATEVALUE($A236),'recurring1_based on steps'!W$1:W$400,0)),W$2,)</f>
        <v>0</v>
      </c>
      <c r="X236" s="140">
        <f ca="1">IF(ISNUMBER(MATCH(DATEVALUE($A236),'recurring1_based on steps'!X$1:X$400,0)),X$2,)</f>
        <v>0</v>
      </c>
      <c r="Y236" s="140">
        <f ca="1">IF(ISNUMBER(MATCH(DATEVALUE($A236),'recurring1_based on steps'!Y$1:Y$400,0)),Y$2,)</f>
        <v>0</v>
      </c>
      <c r="Z236" s="140">
        <f ca="1">IF(ISNUMBER(MATCH(DATEVALUE($A236),'recurring1_based on steps'!Z$1:Z$400,0)),Z$2,)</f>
        <v>0</v>
      </c>
      <c r="AA236" s="140">
        <f ca="1">IF(ISNUMBER(MATCH(DATEVALUE($A236),'recurring1_based on steps'!AA$1:AA$400,0)),AA$2,)</f>
        <v>0</v>
      </c>
      <c r="AB236" s="140">
        <f ca="1">IF(ISNUMBER(MATCH(DATEVALUE($A236),'recurring1_based on steps'!AB$1:AB$400,0)),AB$2,)</f>
        <v>5.5401662049861494E-2</v>
      </c>
      <c r="AC236" s="140">
        <f ca="1">IF(ISNUMBER(MATCH(DATEVALUE($A236),'recurring1_based on steps'!AC$1:AC$400,0)),AC$2,)</f>
        <v>0</v>
      </c>
      <c r="AD236" s="140">
        <f ca="1">IF(ISNUMBER(MATCH(DATEVALUE($A236),'recurring1_based on steps'!AD$1:AD$400,0)),AD$2,)</f>
        <v>0</v>
      </c>
      <c r="AE236" s="140">
        <f ca="1">IF(ISNUMBER(MATCH(DATEVALUE($A236),'recurring1_based on steps'!AE$1:AE$400,0)),AE$2,)</f>
        <v>0</v>
      </c>
      <c r="AF236" s="140">
        <f ca="1">IF(ISNUMBER(MATCH(DATEVALUE($A236),'recurring1_based on steps'!AF$1:AF$400,0)),AF$2,)</f>
        <v>0</v>
      </c>
      <c r="AG236" s="140">
        <f ca="1">IF(ISNUMBER(MATCH(DATEVALUE($A236),'recurring1_based on steps'!AG$1:AG$400,0)),AG$2,)</f>
        <v>0</v>
      </c>
      <c r="AH236" s="140">
        <f ca="1">IF(ISNUMBER(MATCH(DATEVALUE($A236),'recurring1_based on steps'!AH$1:AH$400,0)),AH$2,)</f>
        <v>0</v>
      </c>
      <c r="AI236" s="140">
        <f ca="1">IF(ISNUMBER(MATCH(DATEVALUE($A236),'recurring1_based on steps'!AI$1:AI$400,0)),AI$2,)</f>
        <v>0</v>
      </c>
      <c r="AJ236" s="140">
        <f ca="1">IF(ISNUMBER(MATCH(DATEVALUE($A236),'recurring1_based on steps'!AJ$1:AJ$400,0)),AJ$2,)</f>
        <v>0</v>
      </c>
      <c r="AK236" s="140">
        <f ca="1">IF(ISNUMBER(MATCH(DATEVALUE($A236),'recurring1_based on steps'!AK$1:AK$400,0)),AK$2,)</f>
        <v>0</v>
      </c>
      <c r="AL236" s="140">
        <f ca="1">IF(ISNUMBER(MATCH(DATEVALUE($A236),'recurring1_based on steps'!AL$1:AL$400,0)),AL$2,)</f>
        <v>0</v>
      </c>
      <c r="AM236" s="140">
        <f ca="1">IF(ISNUMBER(MATCH(DATEVALUE($A236),'recurring1_based on steps'!AM$1:AM$400,0)),AM$2,)</f>
        <v>0</v>
      </c>
      <c r="AN236" s="140">
        <f ca="1">IF(ISNUMBER(MATCH(DATEVALUE($A236),'recurring1_based on steps'!AN$1:AN$400,0)),AN$2,)</f>
        <v>0</v>
      </c>
      <c r="AO236" s="140">
        <f ca="1">IF(ISNUMBER(MATCH(DATEVALUE($A236),'recurring1_based on steps'!AO$1:AO$400,0)),AO$2,)</f>
        <v>0</v>
      </c>
      <c r="AP236" s="140">
        <f ca="1">IF(ISNUMBER(MATCH(DATEVALUE($A236),'recurring1_based on steps'!AP$1:AP$400,0)),AP$2,)</f>
        <v>0</v>
      </c>
      <c r="AQ236" s="140">
        <f ca="1">IF(ISNUMBER(MATCH(DATEVALUE($A236),'recurring1_based on steps'!AQ$1:AQ$400,0)),AQ$2,)</f>
        <v>0</v>
      </c>
      <c r="AR236" s="140">
        <f ca="1">IF(ISNUMBER(MATCH(DATEVALUE($A236),'recurring1_based on steps'!AR$1:AR$400,0)),AR$2,)</f>
        <v>0</v>
      </c>
      <c r="AS236" s="140">
        <f ca="1">IF(ISNUMBER(MATCH(DATEVALUE($A236),'recurring1_based on steps'!AS$1:AS$400,0)),AS$2,)</f>
        <v>0</v>
      </c>
      <c r="AT236" s="140">
        <f ca="1">IF(ISNUMBER(MATCH(DATEVALUE($A236),'recurring1_based on steps'!AT$1:AT$400,0)),AT$2,)</f>
        <v>0</v>
      </c>
      <c r="AU236" s="140">
        <f ca="1">IF(ISNUMBER(MATCH(DATEVALUE($A236),'recurring1_based on steps'!AU$1:AU$400,0)),AU$2,)</f>
        <v>0</v>
      </c>
      <c r="AV236" s="140">
        <f ca="1">IF(ISNUMBER(MATCH(DATEVALUE($A236),'recurring1_based on steps'!AV$1:AV$400,0)),AV$2,)</f>
        <v>0</v>
      </c>
      <c r="AW236" s="140">
        <f ca="1">IF(ISNUMBER(MATCH(DATEVALUE($A236),'recurring1_based on steps'!AW$1:AW$400,0)),AW$2,)</f>
        <v>0</v>
      </c>
      <c r="AX236" s="140">
        <f ca="1">IF(ISNUMBER(MATCH(DATEVALUE($A236),'recurring1_based on steps'!AX$1:AX$400,0)),AX$2,)</f>
        <v>0</v>
      </c>
      <c r="AY236" s="140">
        <f ca="1">IF(ISNUMBER(MATCH(DATEVALUE($A236),'recurring1_based on steps'!AY$1:AY$400,0)),AY$2,)</f>
        <v>0</v>
      </c>
    </row>
    <row r="237" spans="1:51" x14ac:dyDescent="0.2">
      <c r="A237" s="29" t="str">
        <f t="shared" ca="1" si="3"/>
        <v>2025-11-16</v>
      </c>
      <c r="B237" s="140">
        <f ca="1">IF(ISNUMBER(MATCH(DATEVALUE($A237),'recurring1_based on steps'!B$1:B$400,0)),B$2,)</f>
        <v>0</v>
      </c>
      <c r="C237" s="140">
        <f ca="1">IF(ISNUMBER(MATCH(DATEVALUE($A237),'recurring1_based on steps'!C$1:C$400,0)),C$2,)</f>
        <v>0</v>
      </c>
      <c r="D237" s="140">
        <f ca="1">IF(ISNUMBER(MATCH(DATEVALUE($A237),'recurring1_based on steps'!D$1:D$400,0)),D$2,)</f>
        <v>0</v>
      </c>
      <c r="E237" s="140">
        <f ca="1">IF(ISNUMBER(MATCH(DATEVALUE($A237),'recurring1_based on steps'!E$1:E$400,0)),E$2,)</f>
        <v>0</v>
      </c>
      <c r="F237" s="140">
        <f ca="1">IF(ISNUMBER(MATCH(DATEVALUE($A237),'recurring1_based on steps'!F$1:F$400,0)),F$2,)</f>
        <v>0</v>
      </c>
      <c r="G237" s="140">
        <f ca="1">IF(ISNUMBER(MATCH(DATEVALUE($A237),'recurring1_based on steps'!G$1:G$400,0)),G$2,)</f>
        <v>0</v>
      </c>
      <c r="H237" s="140">
        <f ca="1">IF(ISNUMBER(MATCH(DATEVALUE($A237),'recurring1_based on steps'!H$1:H$400,0)),H$2,)</f>
        <v>0</v>
      </c>
      <c r="I237" s="140">
        <f ca="1">IF(ISNUMBER(MATCH(DATEVALUE($A237),'recurring1_based on steps'!I$1:I$400,0)),I$2,)</f>
        <v>0</v>
      </c>
      <c r="J237" s="140">
        <f ca="1">IF(ISNUMBER(MATCH(DATEVALUE($A237),'recurring1_based on steps'!J$1:J$400,0)),J$2,)</f>
        <v>0</v>
      </c>
      <c r="K237" s="140">
        <f ca="1">IF(ISNUMBER(MATCH(DATEVALUE($A237),'recurring1_based on steps'!K$1:K$400,0)),K$2,)</f>
        <v>50</v>
      </c>
      <c r="L237" s="140">
        <f ca="1">IF(ISNUMBER(MATCH(DATEVALUE($A237),'recurring1_based on steps'!L$1:L$400,0)),L$2,)</f>
        <v>0</v>
      </c>
      <c r="M237" s="140">
        <f ca="1">IF(ISNUMBER(MATCH(DATEVALUE($A237),'recurring1_based on steps'!M$1:M$400,0)),M$2,)</f>
        <v>0</v>
      </c>
      <c r="N237" s="140">
        <f ca="1">IF(ISNUMBER(MATCH(DATEVALUE($A237),'recurring1_based on steps'!N$1:N$400,0)),N$2,)</f>
        <v>0</v>
      </c>
      <c r="O237" s="140">
        <f ca="1">IF(ISNUMBER(MATCH(DATEVALUE($A237),'recurring1_based on steps'!O$1:O$400,0)),O$2,)</f>
        <v>0</v>
      </c>
      <c r="P237" s="140">
        <f ca="1">IF(ISNUMBER(MATCH(DATEVALUE($A237),'recurring1_based on steps'!P$1:P$400,0)),P$2,)</f>
        <v>0</v>
      </c>
      <c r="Q237" s="140">
        <f ca="1">IF(ISNUMBER(MATCH(DATEVALUE($A237),'recurring1_based on steps'!Q$1:Q$400,0)),Q$2,)</f>
        <v>0</v>
      </c>
      <c r="R237" s="140">
        <f ca="1">IF(ISNUMBER(MATCH(DATEVALUE($A237),'recurring1_based on steps'!R$1:R$400,0)),R$2,)</f>
        <v>0</v>
      </c>
      <c r="S237" s="140">
        <f ca="1">IF(ISNUMBER(MATCH(DATEVALUE($A237),'recurring1_based on steps'!S$1:S$400,0)),S$2,)</f>
        <v>100</v>
      </c>
      <c r="T237" s="140">
        <f ca="1">IF(ISNUMBER(MATCH(DATEVALUE($A237),'recurring1_based on steps'!T$1:T$400,0)),T$2,)</f>
        <v>0</v>
      </c>
      <c r="U237" s="140">
        <f ca="1">IF(ISNUMBER(MATCH(DATEVALUE($A237),'recurring1_based on steps'!U$1:U$400,0)),U$2,)</f>
        <v>0</v>
      </c>
      <c r="V237" s="140">
        <f ca="1">IF(ISNUMBER(MATCH(DATEVALUE($A237),'recurring1_based on steps'!V$1:V$400,0)),V$2,)</f>
        <v>0</v>
      </c>
      <c r="W237" s="140">
        <f ca="1">IF(ISNUMBER(MATCH(DATEVALUE($A237),'recurring1_based on steps'!W$1:W$400,0)),W$2,)</f>
        <v>0</v>
      </c>
      <c r="X237" s="140">
        <f ca="1">IF(ISNUMBER(MATCH(DATEVALUE($A237),'recurring1_based on steps'!X$1:X$400,0)),X$2,)</f>
        <v>0</v>
      </c>
      <c r="Y237" s="140">
        <f ca="1">IF(ISNUMBER(MATCH(DATEVALUE($A237),'recurring1_based on steps'!Y$1:Y$400,0)),Y$2,)</f>
        <v>0</v>
      </c>
      <c r="Z237" s="140">
        <f ca="1">IF(ISNUMBER(MATCH(DATEVALUE($A237),'recurring1_based on steps'!Z$1:Z$400,0)),Z$2,)</f>
        <v>0</v>
      </c>
      <c r="AA237" s="140">
        <f ca="1">IF(ISNUMBER(MATCH(DATEVALUE($A237),'recurring1_based on steps'!AA$1:AA$400,0)),AA$2,)</f>
        <v>0</v>
      </c>
      <c r="AB237" s="140">
        <f ca="1">IF(ISNUMBER(MATCH(DATEVALUE($A237),'recurring1_based on steps'!AB$1:AB$400,0)),AB$2,)</f>
        <v>5.5401662049861494E-2</v>
      </c>
      <c r="AC237" s="140">
        <f ca="1">IF(ISNUMBER(MATCH(DATEVALUE($A237),'recurring1_based on steps'!AC$1:AC$400,0)),AC$2,)</f>
        <v>0</v>
      </c>
      <c r="AD237" s="140">
        <f ca="1">IF(ISNUMBER(MATCH(DATEVALUE($A237),'recurring1_based on steps'!AD$1:AD$400,0)),AD$2,)</f>
        <v>0</v>
      </c>
      <c r="AE237" s="140">
        <f ca="1">IF(ISNUMBER(MATCH(DATEVALUE($A237),'recurring1_based on steps'!AE$1:AE$400,0)),AE$2,)</f>
        <v>0</v>
      </c>
      <c r="AF237" s="140">
        <f ca="1">IF(ISNUMBER(MATCH(DATEVALUE($A237),'recurring1_based on steps'!AF$1:AF$400,0)),AF$2,)</f>
        <v>0</v>
      </c>
      <c r="AG237" s="140">
        <f ca="1">IF(ISNUMBER(MATCH(DATEVALUE($A237),'recurring1_based on steps'!AG$1:AG$400,0)),AG$2,)</f>
        <v>0</v>
      </c>
      <c r="AH237" s="140">
        <f ca="1">IF(ISNUMBER(MATCH(DATEVALUE($A237),'recurring1_based on steps'!AH$1:AH$400,0)),AH$2,)</f>
        <v>0</v>
      </c>
      <c r="AI237" s="140">
        <f ca="1">IF(ISNUMBER(MATCH(DATEVALUE($A237),'recurring1_based on steps'!AI$1:AI$400,0)),AI$2,)</f>
        <v>0</v>
      </c>
      <c r="AJ237" s="140">
        <f ca="1">IF(ISNUMBER(MATCH(DATEVALUE($A237),'recurring1_based on steps'!AJ$1:AJ$400,0)),AJ$2,)</f>
        <v>0</v>
      </c>
      <c r="AK237" s="140">
        <f ca="1">IF(ISNUMBER(MATCH(DATEVALUE($A237),'recurring1_based on steps'!AK$1:AK$400,0)),AK$2,)</f>
        <v>0</v>
      </c>
      <c r="AL237" s="140">
        <f ca="1">IF(ISNUMBER(MATCH(DATEVALUE($A237),'recurring1_based on steps'!AL$1:AL$400,0)),AL$2,)</f>
        <v>0</v>
      </c>
      <c r="AM237" s="140">
        <f ca="1">IF(ISNUMBER(MATCH(DATEVALUE($A237),'recurring1_based on steps'!AM$1:AM$400,0)),AM$2,)</f>
        <v>0</v>
      </c>
      <c r="AN237" s="140">
        <f ca="1">IF(ISNUMBER(MATCH(DATEVALUE($A237),'recurring1_based on steps'!AN$1:AN$400,0)),AN$2,)</f>
        <v>0</v>
      </c>
      <c r="AO237" s="140">
        <f ca="1">IF(ISNUMBER(MATCH(DATEVALUE($A237),'recurring1_based on steps'!AO$1:AO$400,0)),AO$2,)</f>
        <v>0</v>
      </c>
      <c r="AP237" s="140">
        <f ca="1">IF(ISNUMBER(MATCH(DATEVALUE($A237),'recurring1_based on steps'!AP$1:AP$400,0)),AP$2,)</f>
        <v>0</v>
      </c>
      <c r="AQ237" s="140">
        <f ca="1">IF(ISNUMBER(MATCH(DATEVALUE($A237),'recurring1_based on steps'!AQ$1:AQ$400,0)),AQ$2,)</f>
        <v>0</v>
      </c>
      <c r="AR237" s="140">
        <f ca="1">IF(ISNUMBER(MATCH(DATEVALUE($A237),'recurring1_based on steps'!AR$1:AR$400,0)),AR$2,)</f>
        <v>0</v>
      </c>
      <c r="AS237" s="140">
        <f ca="1">IF(ISNUMBER(MATCH(DATEVALUE($A237),'recurring1_based on steps'!AS$1:AS$400,0)),AS$2,)</f>
        <v>0</v>
      </c>
      <c r="AT237" s="140">
        <f ca="1">IF(ISNUMBER(MATCH(DATEVALUE($A237),'recurring1_based on steps'!AT$1:AT$400,0)),AT$2,)</f>
        <v>0</v>
      </c>
      <c r="AU237" s="140">
        <f ca="1">IF(ISNUMBER(MATCH(DATEVALUE($A237),'recurring1_based on steps'!AU$1:AU$400,0)),AU$2,)</f>
        <v>0</v>
      </c>
      <c r="AV237" s="140">
        <f ca="1">IF(ISNUMBER(MATCH(DATEVALUE($A237),'recurring1_based on steps'!AV$1:AV$400,0)),AV$2,)</f>
        <v>0</v>
      </c>
      <c r="AW237" s="140">
        <f ca="1">IF(ISNUMBER(MATCH(DATEVALUE($A237),'recurring1_based on steps'!AW$1:AW$400,0)),AW$2,)</f>
        <v>0</v>
      </c>
      <c r="AX237" s="140">
        <f ca="1">IF(ISNUMBER(MATCH(DATEVALUE($A237),'recurring1_based on steps'!AX$1:AX$400,0)),AX$2,)</f>
        <v>0</v>
      </c>
      <c r="AY237" s="140">
        <f ca="1">IF(ISNUMBER(MATCH(DATEVALUE($A237),'recurring1_based on steps'!AY$1:AY$400,0)),AY$2,)</f>
        <v>0</v>
      </c>
    </row>
    <row r="238" spans="1:51" x14ac:dyDescent="0.2">
      <c r="A238" s="29" t="str">
        <f t="shared" ca="1" si="3"/>
        <v>2025-11-17</v>
      </c>
      <c r="B238" s="140">
        <f ca="1">IF(ISNUMBER(MATCH(DATEVALUE($A238),'recurring1_based on steps'!B$1:B$400,0)),B$2,)</f>
        <v>0</v>
      </c>
      <c r="C238" s="140">
        <f ca="1">IF(ISNUMBER(MATCH(DATEVALUE($A238),'recurring1_based on steps'!C$1:C$400,0)),C$2,)</f>
        <v>0</v>
      </c>
      <c r="D238" s="140">
        <f ca="1">IF(ISNUMBER(MATCH(DATEVALUE($A238),'recurring1_based on steps'!D$1:D$400,0)),D$2,)</f>
        <v>0</v>
      </c>
      <c r="E238" s="140">
        <f ca="1">IF(ISNUMBER(MATCH(DATEVALUE($A238),'recurring1_based on steps'!E$1:E$400,0)),E$2,)</f>
        <v>0</v>
      </c>
      <c r="F238" s="140">
        <f ca="1">IF(ISNUMBER(MATCH(DATEVALUE($A238),'recurring1_based on steps'!F$1:F$400,0)),F$2,)</f>
        <v>0</v>
      </c>
      <c r="G238" s="140">
        <f ca="1">IF(ISNUMBER(MATCH(DATEVALUE($A238),'recurring1_based on steps'!G$1:G$400,0)),G$2,)</f>
        <v>0</v>
      </c>
      <c r="H238" s="140">
        <f ca="1">IF(ISNUMBER(MATCH(DATEVALUE($A238),'recurring1_based on steps'!H$1:H$400,0)),H$2,)</f>
        <v>0</v>
      </c>
      <c r="I238" s="140">
        <f ca="1">IF(ISNUMBER(MATCH(DATEVALUE($A238),'recurring1_based on steps'!I$1:I$400,0)),I$2,)</f>
        <v>0</v>
      </c>
      <c r="J238" s="140">
        <f ca="1">IF(ISNUMBER(MATCH(DATEVALUE($A238),'recurring1_based on steps'!J$1:J$400,0)),J$2,)</f>
        <v>0</v>
      </c>
      <c r="K238" s="140">
        <f ca="1">IF(ISNUMBER(MATCH(DATEVALUE($A238),'recurring1_based on steps'!K$1:K$400,0)),K$2,)</f>
        <v>0</v>
      </c>
      <c r="L238" s="140">
        <f ca="1">IF(ISNUMBER(MATCH(DATEVALUE($A238),'recurring1_based on steps'!L$1:L$400,0)),L$2,)</f>
        <v>0</v>
      </c>
      <c r="M238" s="140">
        <f ca="1">IF(ISNUMBER(MATCH(DATEVALUE($A238),'recurring1_based on steps'!M$1:M$400,0)),M$2,)</f>
        <v>0</v>
      </c>
      <c r="N238" s="140">
        <f ca="1">IF(ISNUMBER(MATCH(DATEVALUE($A238),'recurring1_based on steps'!N$1:N$400,0)),N$2,)</f>
        <v>15.49</v>
      </c>
      <c r="O238" s="140">
        <f ca="1">IF(ISNUMBER(MATCH(DATEVALUE($A238),'recurring1_based on steps'!O$1:O$400,0)),O$2,)</f>
        <v>0</v>
      </c>
      <c r="P238" s="140">
        <f ca="1">IF(ISNUMBER(MATCH(DATEVALUE($A238),'recurring1_based on steps'!P$1:P$400,0)),P$2,)</f>
        <v>0</v>
      </c>
      <c r="Q238" s="140">
        <f ca="1">IF(ISNUMBER(MATCH(DATEVALUE($A238),'recurring1_based on steps'!Q$1:Q$400,0)),Q$2,)</f>
        <v>0</v>
      </c>
      <c r="R238" s="140">
        <f ca="1">IF(ISNUMBER(MATCH(DATEVALUE($A238),'recurring1_based on steps'!R$1:R$400,0)),R$2,)</f>
        <v>0</v>
      </c>
      <c r="S238" s="140">
        <f ca="1">IF(ISNUMBER(MATCH(DATEVALUE($A238),'recurring1_based on steps'!S$1:S$400,0)),S$2,)</f>
        <v>0</v>
      </c>
      <c r="T238" s="140">
        <f ca="1">IF(ISNUMBER(MATCH(DATEVALUE($A238),'recurring1_based on steps'!T$1:T$400,0)),T$2,)</f>
        <v>0</v>
      </c>
      <c r="U238" s="140">
        <f ca="1">IF(ISNUMBER(MATCH(DATEVALUE($A238),'recurring1_based on steps'!U$1:U$400,0)),U$2,)</f>
        <v>0</v>
      </c>
      <c r="V238" s="140">
        <f ca="1">IF(ISNUMBER(MATCH(DATEVALUE($A238),'recurring1_based on steps'!V$1:V$400,0)),V$2,)</f>
        <v>200</v>
      </c>
      <c r="W238" s="140">
        <f ca="1">IF(ISNUMBER(MATCH(DATEVALUE($A238),'recurring1_based on steps'!W$1:W$400,0)),W$2,)</f>
        <v>0</v>
      </c>
      <c r="X238" s="140">
        <f ca="1">IF(ISNUMBER(MATCH(DATEVALUE($A238),'recurring1_based on steps'!X$1:X$400,0)),X$2,)</f>
        <v>0</v>
      </c>
      <c r="Y238" s="140">
        <f ca="1">IF(ISNUMBER(MATCH(DATEVALUE($A238),'recurring1_based on steps'!Y$1:Y$400,0)),Y$2,)</f>
        <v>0</v>
      </c>
      <c r="Z238" s="140">
        <f ca="1">IF(ISNUMBER(MATCH(DATEVALUE($A238),'recurring1_based on steps'!Z$1:Z$400,0)),Z$2,)</f>
        <v>0</v>
      </c>
      <c r="AA238" s="140">
        <f ca="1">IF(ISNUMBER(MATCH(DATEVALUE($A238),'recurring1_based on steps'!AA$1:AA$400,0)),AA$2,)</f>
        <v>0</v>
      </c>
      <c r="AB238" s="140">
        <f ca="1">IF(ISNUMBER(MATCH(DATEVALUE($A238),'recurring1_based on steps'!AB$1:AB$400,0)),AB$2,)</f>
        <v>5.5401662049861494E-2</v>
      </c>
      <c r="AC238" s="140">
        <f ca="1">IF(ISNUMBER(MATCH(DATEVALUE($A238),'recurring1_based on steps'!AC$1:AC$400,0)),AC$2,)</f>
        <v>0</v>
      </c>
      <c r="AD238" s="140">
        <f ca="1">IF(ISNUMBER(MATCH(DATEVALUE($A238),'recurring1_based on steps'!AD$1:AD$400,0)),AD$2,)</f>
        <v>0</v>
      </c>
      <c r="AE238" s="140">
        <f ca="1">IF(ISNUMBER(MATCH(DATEVALUE($A238),'recurring1_based on steps'!AE$1:AE$400,0)),AE$2,)</f>
        <v>0</v>
      </c>
      <c r="AF238" s="140">
        <f ca="1">IF(ISNUMBER(MATCH(DATEVALUE($A238),'recurring1_based on steps'!AF$1:AF$400,0)),AF$2,)</f>
        <v>0</v>
      </c>
      <c r="AG238" s="140">
        <f ca="1">IF(ISNUMBER(MATCH(DATEVALUE($A238),'recurring1_based on steps'!AG$1:AG$400,0)),AG$2,)</f>
        <v>0</v>
      </c>
      <c r="AH238" s="140">
        <f ca="1">IF(ISNUMBER(MATCH(DATEVALUE($A238),'recurring1_based on steps'!AH$1:AH$400,0)),AH$2,)</f>
        <v>0</v>
      </c>
      <c r="AI238" s="140">
        <f ca="1">IF(ISNUMBER(MATCH(DATEVALUE($A238),'recurring1_based on steps'!AI$1:AI$400,0)),AI$2,)</f>
        <v>0</v>
      </c>
      <c r="AJ238" s="140">
        <f ca="1">IF(ISNUMBER(MATCH(DATEVALUE($A238),'recurring1_based on steps'!AJ$1:AJ$400,0)),AJ$2,)</f>
        <v>0</v>
      </c>
      <c r="AK238" s="140">
        <f ca="1">IF(ISNUMBER(MATCH(DATEVALUE($A238),'recurring1_based on steps'!AK$1:AK$400,0)),AK$2,)</f>
        <v>0</v>
      </c>
      <c r="AL238" s="140">
        <f ca="1">IF(ISNUMBER(MATCH(DATEVALUE($A238),'recurring1_based on steps'!AL$1:AL$400,0)),AL$2,)</f>
        <v>0</v>
      </c>
      <c r="AM238" s="140">
        <f ca="1">IF(ISNUMBER(MATCH(DATEVALUE($A238),'recurring1_based on steps'!AM$1:AM$400,0)),AM$2,)</f>
        <v>0</v>
      </c>
      <c r="AN238" s="140">
        <f ca="1">IF(ISNUMBER(MATCH(DATEVALUE($A238),'recurring1_based on steps'!AN$1:AN$400,0)),AN$2,)</f>
        <v>0</v>
      </c>
      <c r="AO238" s="140">
        <f ca="1">IF(ISNUMBER(MATCH(DATEVALUE($A238),'recurring1_based on steps'!AO$1:AO$400,0)),AO$2,)</f>
        <v>0</v>
      </c>
      <c r="AP238" s="140">
        <f ca="1">IF(ISNUMBER(MATCH(DATEVALUE($A238),'recurring1_based on steps'!AP$1:AP$400,0)),AP$2,)</f>
        <v>0</v>
      </c>
      <c r="AQ238" s="140">
        <f ca="1">IF(ISNUMBER(MATCH(DATEVALUE($A238),'recurring1_based on steps'!AQ$1:AQ$400,0)),AQ$2,)</f>
        <v>0</v>
      </c>
      <c r="AR238" s="140">
        <f ca="1">IF(ISNUMBER(MATCH(DATEVALUE($A238),'recurring1_based on steps'!AR$1:AR$400,0)),AR$2,)</f>
        <v>0</v>
      </c>
      <c r="AS238" s="140">
        <f ca="1">IF(ISNUMBER(MATCH(DATEVALUE($A238),'recurring1_based on steps'!AS$1:AS$400,0)),AS$2,)</f>
        <v>0</v>
      </c>
      <c r="AT238" s="140">
        <f ca="1">IF(ISNUMBER(MATCH(DATEVALUE($A238),'recurring1_based on steps'!AT$1:AT$400,0)),AT$2,)</f>
        <v>0</v>
      </c>
      <c r="AU238" s="140">
        <f ca="1">IF(ISNUMBER(MATCH(DATEVALUE($A238),'recurring1_based on steps'!AU$1:AU$400,0)),AU$2,)</f>
        <v>0</v>
      </c>
      <c r="AV238" s="140">
        <f ca="1">IF(ISNUMBER(MATCH(DATEVALUE($A238),'recurring1_based on steps'!AV$1:AV$400,0)),AV$2,)</f>
        <v>0</v>
      </c>
      <c r="AW238" s="140">
        <f ca="1">IF(ISNUMBER(MATCH(DATEVALUE($A238),'recurring1_based on steps'!AW$1:AW$400,0)),AW$2,)</f>
        <v>0</v>
      </c>
      <c r="AX238" s="140">
        <f ca="1">IF(ISNUMBER(MATCH(DATEVALUE($A238),'recurring1_based on steps'!AX$1:AX$400,0)),AX$2,)</f>
        <v>0</v>
      </c>
      <c r="AY238" s="140">
        <f ca="1">IF(ISNUMBER(MATCH(DATEVALUE($A238),'recurring1_based on steps'!AY$1:AY$400,0)),AY$2,)</f>
        <v>0</v>
      </c>
    </row>
    <row r="239" spans="1:51" x14ac:dyDescent="0.2">
      <c r="A239" s="29" t="str">
        <f t="shared" ca="1" si="3"/>
        <v>2025-11-18</v>
      </c>
      <c r="B239" s="140">
        <f ca="1">IF(ISNUMBER(MATCH(DATEVALUE($A239),'recurring1_based on steps'!B$1:B$400,0)),B$2,)</f>
        <v>0</v>
      </c>
      <c r="C239" s="140">
        <f ca="1">IF(ISNUMBER(MATCH(DATEVALUE($A239),'recurring1_based on steps'!C$1:C$400,0)),C$2,)</f>
        <v>0</v>
      </c>
      <c r="D239" s="140">
        <f ca="1">IF(ISNUMBER(MATCH(DATEVALUE($A239),'recurring1_based on steps'!D$1:D$400,0)),D$2,)</f>
        <v>0</v>
      </c>
      <c r="E239" s="140">
        <f ca="1">IF(ISNUMBER(MATCH(DATEVALUE($A239),'recurring1_based on steps'!E$1:E$400,0)),E$2,)</f>
        <v>0</v>
      </c>
      <c r="F239" s="140">
        <f ca="1">IF(ISNUMBER(MATCH(DATEVALUE($A239),'recurring1_based on steps'!F$1:F$400,0)),F$2,)</f>
        <v>0</v>
      </c>
      <c r="G239" s="140">
        <f ca="1">IF(ISNUMBER(MATCH(DATEVALUE($A239),'recurring1_based on steps'!G$1:G$400,0)),G$2,)</f>
        <v>0</v>
      </c>
      <c r="H239" s="140">
        <f ca="1">IF(ISNUMBER(MATCH(DATEVALUE($A239),'recurring1_based on steps'!H$1:H$400,0)),H$2,)</f>
        <v>0</v>
      </c>
      <c r="I239" s="140">
        <f ca="1">IF(ISNUMBER(MATCH(DATEVALUE($A239),'recurring1_based on steps'!I$1:I$400,0)),I$2,)</f>
        <v>0</v>
      </c>
      <c r="J239" s="140">
        <f ca="1">IF(ISNUMBER(MATCH(DATEVALUE($A239),'recurring1_based on steps'!J$1:J$400,0)),J$2,)</f>
        <v>0</v>
      </c>
      <c r="K239" s="140">
        <f ca="1">IF(ISNUMBER(MATCH(DATEVALUE($A239),'recurring1_based on steps'!K$1:K$400,0)),K$2,)</f>
        <v>0</v>
      </c>
      <c r="L239" s="140">
        <f ca="1">IF(ISNUMBER(MATCH(DATEVALUE($A239),'recurring1_based on steps'!L$1:L$400,0)),L$2,)</f>
        <v>0</v>
      </c>
      <c r="M239" s="140">
        <f ca="1">IF(ISNUMBER(MATCH(DATEVALUE($A239),'recurring1_based on steps'!M$1:M$400,0)),M$2,)</f>
        <v>0</v>
      </c>
      <c r="N239" s="140">
        <f ca="1">IF(ISNUMBER(MATCH(DATEVALUE($A239),'recurring1_based on steps'!N$1:N$400,0)),N$2,)</f>
        <v>0</v>
      </c>
      <c r="O239" s="140">
        <f ca="1">IF(ISNUMBER(MATCH(DATEVALUE($A239),'recurring1_based on steps'!O$1:O$400,0)),O$2,)</f>
        <v>10.99</v>
      </c>
      <c r="P239" s="140">
        <f ca="1">IF(ISNUMBER(MATCH(DATEVALUE($A239),'recurring1_based on steps'!P$1:P$400,0)),P$2,)</f>
        <v>0</v>
      </c>
      <c r="Q239" s="140">
        <f ca="1">IF(ISNUMBER(MATCH(DATEVALUE($A239),'recurring1_based on steps'!Q$1:Q$400,0)),Q$2,)</f>
        <v>0</v>
      </c>
      <c r="R239" s="140">
        <f ca="1">IF(ISNUMBER(MATCH(DATEVALUE($A239),'recurring1_based on steps'!R$1:R$400,0)),R$2,)</f>
        <v>0</v>
      </c>
      <c r="S239" s="140">
        <f ca="1">IF(ISNUMBER(MATCH(DATEVALUE($A239),'recurring1_based on steps'!S$1:S$400,0)),S$2,)</f>
        <v>0</v>
      </c>
      <c r="T239" s="140">
        <f ca="1">IF(ISNUMBER(MATCH(DATEVALUE($A239),'recurring1_based on steps'!T$1:T$400,0)),T$2,)</f>
        <v>0</v>
      </c>
      <c r="U239" s="140">
        <f ca="1">IF(ISNUMBER(MATCH(DATEVALUE($A239),'recurring1_based on steps'!U$1:U$400,0)),U$2,)</f>
        <v>0</v>
      </c>
      <c r="V239" s="140">
        <f ca="1">IF(ISNUMBER(MATCH(DATEVALUE($A239),'recurring1_based on steps'!V$1:V$400,0)),V$2,)</f>
        <v>0</v>
      </c>
      <c r="W239" s="140">
        <f ca="1">IF(ISNUMBER(MATCH(DATEVALUE($A239),'recurring1_based on steps'!W$1:W$400,0)),W$2,)</f>
        <v>0</v>
      </c>
      <c r="X239" s="140">
        <f ca="1">IF(ISNUMBER(MATCH(DATEVALUE($A239),'recurring1_based on steps'!X$1:X$400,0)),X$2,)</f>
        <v>0</v>
      </c>
      <c r="Y239" s="140">
        <f ca="1">IF(ISNUMBER(MATCH(DATEVALUE($A239),'recurring1_based on steps'!Y$1:Y$400,0)),Y$2,)</f>
        <v>0</v>
      </c>
      <c r="Z239" s="140">
        <f ca="1">IF(ISNUMBER(MATCH(DATEVALUE($A239),'recurring1_based on steps'!Z$1:Z$400,0)),Z$2,)</f>
        <v>0</v>
      </c>
      <c r="AA239" s="140">
        <f ca="1">IF(ISNUMBER(MATCH(DATEVALUE($A239),'recurring1_based on steps'!AA$1:AA$400,0)),AA$2,)</f>
        <v>0</v>
      </c>
      <c r="AB239" s="140">
        <f ca="1">IF(ISNUMBER(MATCH(DATEVALUE($A239),'recurring1_based on steps'!AB$1:AB$400,0)),AB$2,)</f>
        <v>5.5401662049861494E-2</v>
      </c>
      <c r="AC239" s="140">
        <f ca="1">IF(ISNUMBER(MATCH(DATEVALUE($A239),'recurring1_based on steps'!AC$1:AC$400,0)),AC$2,)</f>
        <v>0</v>
      </c>
      <c r="AD239" s="140">
        <f ca="1">IF(ISNUMBER(MATCH(DATEVALUE($A239),'recurring1_based on steps'!AD$1:AD$400,0)),AD$2,)</f>
        <v>0</v>
      </c>
      <c r="AE239" s="140">
        <f ca="1">IF(ISNUMBER(MATCH(DATEVALUE($A239),'recurring1_based on steps'!AE$1:AE$400,0)),AE$2,)</f>
        <v>0</v>
      </c>
      <c r="AF239" s="140">
        <f ca="1">IF(ISNUMBER(MATCH(DATEVALUE($A239),'recurring1_based on steps'!AF$1:AF$400,0)),AF$2,)</f>
        <v>0</v>
      </c>
      <c r="AG239" s="140">
        <f ca="1">IF(ISNUMBER(MATCH(DATEVALUE($A239),'recurring1_based on steps'!AG$1:AG$400,0)),AG$2,)</f>
        <v>0</v>
      </c>
      <c r="AH239" s="140">
        <f ca="1">IF(ISNUMBER(MATCH(DATEVALUE($A239),'recurring1_based on steps'!AH$1:AH$400,0)),AH$2,)</f>
        <v>0</v>
      </c>
      <c r="AI239" s="140">
        <f ca="1">IF(ISNUMBER(MATCH(DATEVALUE($A239),'recurring1_based on steps'!AI$1:AI$400,0)),AI$2,)</f>
        <v>0</v>
      </c>
      <c r="AJ239" s="140">
        <f ca="1">IF(ISNUMBER(MATCH(DATEVALUE($A239),'recurring1_based on steps'!AJ$1:AJ$400,0)),AJ$2,)</f>
        <v>0</v>
      </c>
      <c r="AK239" s="140">
        <f ca="1">IF(ISNUMBER(MATCH(DATEVALUE($A239),'recurring1_based on steps'!AK$1:AK$400,0)),AK$2,)</f>
        <v>0</v>
      </c>
      <c r="AL239" s="140">
        <f ca="1">IF(ISNUMBER(MATCH(DATEVALUE($A239),'recurring1_based on steps'!AL$1:AL$400,0)),AL$2,)</f>
        <v>0</v>
      </c>
      <c r="AM239" s="140">
        <f ca="1">IF(ISNUMBER(MATCH(DATEVALUE($A239),'recurring1_based on steps'!AM$1:AM$400,0)),AM$2,)</f>
        <v>0</v>
      </c>
      <c r="AN239" s="140">
        <f ca="1">IF(ISNUMBER(MATCH(DATEVALUE($A239),'recurring1_based on steps'!AN$1:AN$400,0)),AN$2,)</f>
        <v>0</v>
      </c>
      <c r="AO239" s="140">
        <f ca="1">IF(ISNUMBER(MATCH(DATEVALUE($A239),'recurring1_based on steps'!AO$1:AO$400,0)),AO$2,)</f>
        <v>0</v>
      </c>
      <c r="AP239" s="140">
        <f ca="1">IF(ISNUMBER(MATCH(DATEVALUE($A239),'recurring1_based on steps'!AP$1:AP$400,0)),AP$2,)</f>
        <v>0</v>
      </c>
      <c r="AQ239" s="140">
        <f ca="1">IF(ISNUMBER(MATCH(DATEVALUE($A239),'recurring1_based on steps'!AQ$1:AQ$400,0)),AQ$2,)</f>
        <v>0</v>
      </c>
      <c r="AR239" s="140">
        <f ca="1">IF(ISNUMBER(MATCH(DATEVALUE($A239),'recurring1_based on steps'!AR$1:AR$400,0)),AR$2,)</f>
        <v>0</v>
      </c>
      <c r="AS239" s="140">
        <f ca="1">IF(ISNUMBER(MATCH(DATEVALUE($A239),'recurring1_based on steps'!AS$1:AS$400,0)),AS$2,)</f>
        <v>0</v>
      </c>
      <c r="AT239" s="140">
        <f ca="1">IF(ISNUMBER(MATCH(DATEVALUE($A239),'recurring1_based on steps'!AT$1:AT$400,0)),AT$2,)</f>
        <v>0</v>
      </c>
      <c r="AU239" s="140">
        <f ca="1">IF(ISNUMBER(MATCH(DATEVALUE($A239),'recurring1_based on steps'!AU$1:AU$400,0)),AU$2,)</f>
        <v>0</v>
      </c>
      <c r="AV239" s="140">
        <f ca="1">IF(ISNUMBER(MATCH(DATEVALUE($A239),'recurring1_based on steps'!AV$1:AV$400,0)),AV$2,)</f>
        <v>0</v>
      </c>
      <c r="AW239" s="140">
        <f ca="1">IF(ISNUMBER(MATCH(DATEVALUE($A239),'recurring1_based on steps'!AW$1:AW$400,0)),AW$2,)</f>
        <v>0</v>
      </c>
      <c r="AX239" s="140">
        <f ca="1">IF(ISNUMBER(MATCH(DATEVALUE($A239),'recurring1_based on steps'!AX$1:AX$400,0)),AX$2,)</f>
        <v>0</v>
      </c>
      <c r="AY239" s="140">
        <f ca="1">IF(ISNUMBER(MATCH(DATEVALUE($A239),'recurring1_based on steps'!AY$1:AY$400,0)),AY$2,)</f>
        <v>0</v>
      </c>
    </row>
    <row r="240" spans="1:51" x14ac:dyDescent="0.2">
      <c r="A240" s="29" t="str">
        <f t="shared" ca="1" si="3"/>
        <v>2025-11-19</v>
      </c>
      <c r="B240" s="140">
        <f ca="1">IF(ISNUMBER(MATCH(DATEVALUE($A240),'recurring1_based on steps'!B$1:B$400,0)),B$2,)</f>
        <v>0</v>
      </c>
      <c r="C240" s="140">
        <f ca="1">IF(ISNUMBER(MATCH(DATEVALUE($A240),'recurring1_based on steps'!C$1:C$400,0)),C$2,)</f>
        <v>0</v>
      </c>
      <c r="D240" s="140">
        <f ca="1">IF(ISNUMBER(MATCH(DATEVALUE($A240),'recurring1_based on steps'!D$1:D$400,0)),D$2,)</f>
        <v>0</v>
      </c>
      <c r="E240" s="140">
        <f ca="1">IF(ISNUMBER(MATCH(DATEVALUE($A240),'recurring1_based on steps'!E$1:E$400,0)),E$2,)</f>
        <v>0</v>
      </c>
      <c r="F240" s="140">
        <f ca="1">IF(ISNUMBER(MATCH(DATEVALUE($A240),'recurring1_based on steps'!F$1:F$400,0)),F$2,)</f>
        <v>0</v>
      </c>
      <c r="G240" s="140">
        <f ca="1">IF(ISNUMBER(MATCH(DATEVALUE($A240),'recurring1_based on steps'!G$1:G$400,0)),G$2,)</f>
        <v>0</v>
      </c>
      <c r="H240" s="140">
        <f ca="1">IF(ISNUMBER(MATCH(DATEVALUE($A240),'recurring1_based on steps'!H$1:H$400,0)),H$2,)</f>
        <v>0</v>
      </c>
      <c r="I240" s="140">
        <f ca="1">IF(ISNUMBER(MATCH(DATEVALUE($A240),'recurring1_based on steps'!I$1:I$400,0)),I$2,)</f>
        <v>0</v>
      </c>
      <c r="J240" s="140">
        <f ca="1">IF(ISNUMBER(MATCH(DATEVALUE($A240),'recurring1_based on steps'!J$1:J$400,0)),J$2,)</f>
        <v>0</v>
      </c>
      <c r="K240" s="140">
        <f ca="1">IF(ISNUMBER(MATCH(DATEVALUE($A240),'recurring1_based on steps'!K$1:K$400,0)),K$2,)</f>
        <v>0</v>
      </c>
      <c r="L240" s="140">
        <f ca="1">IF(ISNUMBER(MATCH(DATEVALUE($A240),'recurring1_based on steps'!L$1:L$400,0)),L$2,)</f>
        <v>0</v>
      </c>
      <c r="M240" s="140">
        <f ca="1">IF(ISNUMBER(MATCH(DATEVALUE($A240),'recurring1_based on steps'!M$1:M$400,0)),M$2,)</f>
        <v>0</v>
      </c>
      <c r="N240" s="140">
        <f ca="1">IF(ISNUMBER(MATCH(DATEVALUE($A240),'recurring1_based on steps'!N$1:N$400,0)),N$2,)</f>
        <v>0</v>
      </c>
      <c r="O240" s="140">
        <f ca="1">IF(ISNUMBER(MATCH(DATEVALUE($A240),'recurring1_based on steps'!O$1:O$400,0)),O$2,)</f>
        <v>0</v>
      </c>
      <c r="P240" s="140">
        <f ca="1">IF(ISNUMBER(MATCH(DATEVALUE($A240),'recurring1_based on steps'!P$1:P$400,0)),P$2,)</f>
        <v>0</v>
      </c>
      <c r="Q240" s="140">
        <f ca="1">IF(ISNUMBER(MATCH(DATEVALUE($A240),'recurring1_based on steps'!Q$1:Q$400,0)),Q$2,)</f>
        <v>0</v>
      </c>
      <c r="R240" s="140">
        <f ca="1">IF(ISNUMBER(MATCH(DATEVALUE($A240),'recurring1_based on steps'!R$1:R$400,0)),R$2,)</f>
        <v>0</v>
      </c>
      <c r="S240" s="140">
        <f ca="1">IF(ISNUMBER(MATCH(DATEVALUE($A240),'recurring1_based on steps'!S$1:S$400,0)),S$2,)</f>
        <v>0</v>
      </c>
      <c r="T240" s="140">
        <f ca="1">IF(ISNUMBER(MATCH(DATEVALUE($A240),'recurring1_based on steps'!T$1:T$400,0)),T$2,)</f>
        <v>0</v>
      </c>
      <c r="U240" s="140">
        <f ca="1">IF(ISNUMBER(MATCH(DATEVALUE($A240),'recurring1_based on steps'!U$1:U$400,0)),U$2,)</f>
        <v>0</v>
      </c>
      <c r="V240" s="140">
        <f ca="1">IF(ISNUMBER(MATCH(DATEVALUE($A240),'recurring1_based on steps'!V$1:V$400,0)),V$2,)</f>
        <v>0</v>
      </c>
      <c r="W240" s="140">
        <f ca="1">IF(ISNUMBER(MATCH(DATEVALUE($A240),'recurring1_based on steps'!W$1:W$400,0)),W$2,)</f>
        <v>0</v>
      </c>
      <c r="X240" s="140">
        <f ca="1">IF(ISNUMBER(MATCH(DATEVALUE($A240),'recurring1_based on steps'!X$1:X$400,0)),X$2,)</f>
        <v>0</v>
      </c>
      <c r="Y240" s="140">
        <f ca="1">IF(ISNUMBER(MATCH(DATEVALUE($A240),'recurring1_based on steps'!Y$1:Y$400,0)),Y$2,)</f>
        <v>0</v>
      </c>
      <c r="Z240" s="140">
        <f ca="1">IF(ISNUMBER(MATCH(DATEVALUE($A240),'recurring1_based on steps'!Z$1:Z$400,0)),Z$2,)</f>
        <v>0</v>
      </c>
      <c r="AA240" s="140">
        <f ca="1">IF(ISNUMBER(MATCH(DATEVALUE($A240),'recurring1_based on steps'!AA$1:AA$400,0)),AA$2,)</f>
        <v>0</v>
      </c>
      <c r="AB240" s="140">
        <f ca="1">IF(ISNUMBER(MATCH(DATEVALUE($A240),'recurring1_based on steps'!AB$1:AB$400,0)),AB$2,)</f>
        <v>5.5401662049861494E-2</v>
      </c>
      <c r="AC240" s="140">
        <f ca="1">IF(ISNUMBER(MATCH(DATEVALUE($A240),'recurring1_based on steps'!AC$1:AC$400,0)),AC$2,)</f>
        <v>0</v>
      </c>
      <c r="AD240" s="140">
        <f ca="1">IF(ISNUMBER(MATCH(DATEVALUE($A240),'recurring1_based on steps'!AD$1:AD$400,0)),AD$2,)</f>
        <v>0</v>
      </c>
      <c r="AE240" s="140">
        <f ca="1">IF(ISNUMBER(MATCH(DATEVALUE($A240),'recurring1_based on steps'!AE$1:AE$400,0)),AE$2,)</f>
        <v>0</v>
      </c>
      <c r="AF240" s="140">
        <f ca="1">IF(ISNUMBER(MATCH(DATEVALUE($A240),'recurring1_based on steps'!AF$1:AF$400,0)),AF$2,)</f>
        <v>0</v>
      </c>
      <c r="AG240" s="140">
        <f ca="1">IF(ISNUMBER(MATCH(DATEVALUE($A240),'recurring1_based on steps'!AG$1:AG$400,0)),AG$2,)</f>
        <v>0</v>
      </c>
      <c r="AH240" s="140">
        <f ca="1">IF(ISNUMBER(MATCH(DATEVALUE($A240),'recurring1_based on steps'!AH$1:AH$400,0)),AH$2,)</f>
        <v>0</v>
      </c>
      <c r="AI240" s="140">
        <f ca="1">IF(ISNUMBER(MATCH(DATEVALUE($A240),'recurring1_based on steps'!AI$1:AI$400,0)),AI$2,)</f>
        <v>0</v>
      </c>
      <c r="AJ240" s="140">
        <f ca="1">IF(ISNUMBER(MATCH(DATEVALUE($A240),'recurring1_based on steps'!AJ$1:AJ$400,0)),AJ$2,)</f>
        <v>0</v>
      </c>
      <c r="AK240" s="140">
        <f ca="1">IF(ISNUMBER(MATCH(DATEVALUE($A240),'recurring1_based on steps'!AK$1:AK$400,0)),AK$2,)</f>
        <v>0</v>
      </c>
      <c r="AL240" s="140">
        <f ca="1">IF(ISNUMBER(MATCH(DATEVALUE($A240),'recurring1_based on steps'!AL$1:AL$400,0)),AL$2,)</f>
        <v>0</v>
      </c>
      <c r="AM240" s="140">
        <f ca="1">IF(ISNUMBER(MATCH(DATEVALUE($A240),'recurring1_based on steps'!AM$1:AM$400,0)),AM$2,)</f>
        <v>0</v>
      </c>
      <c r="AN240" s="140">
        <f ca="1">IF(ISNUMBER(MATCH(DATEVALUE($A240),'recurring1_based on steps'!AN$1:AN$400,0)),AN$2,)</f>
        <v>0</v>
      </c>
      <c r="AO240" s="140">
        <f ca="1">IF(ISNUMBER(MATCH(DATEVALUE($A240),'recurring1_based on steps'!AO$1:AO$400,0)),AO$2,)</f>
        <v>0</v>
      </c>
      <c r="AP240" s="140">
        <f ca="1">IF(ISNUMBER(MATCH(DATEVALUE($A240),'recurring1_based on steps'!AP$1:AP$400,0)),AP$2,)</f>
        <v>0</v>
      </c>
      <c r="AQ240" s="140">
        <f ca="1">IF(ISNUMBER(MATCH(DATEVALUE($A240),'recurring1_based on steps'!AQ$1:AQ$400,0)),AQ$2,)</f>
        <v>0</v>
      </c>
      <c r="AR240" s="140">
        <f ca="1">IF(ISNUMBER(MATCH(DATEVALUE($A240),'recurring1_based on steps'!AR$1:AR$400,0)),AR$2,)</f>
        <v>0</v>
      </c>
      <c r="AS240" s="140">
        <f ca="1">IF(ISNUMBER(MATCH(DATEVALUE($A240),'recurring1_based on steps'!AS$1:AS$400,0)),AS$2,)</f>
        <v>0</v>
      </c>
      <c r="AT240" s="140">
        <f ca="1">IF(ISNUMBER(MATCH(DATEVALUE($A240),'recurring1_based on steps'!AT$1:AT$400,0)),AT$2,)</f>
        <v>0</v>
      </c>
      <c r="AU240" s="140">
        <f ca="1">IF(ISNUMBER(MATCH(DATEVALUE($A240),'recurring1_based on steps'!AU$1:AU$400,0)),AU$2,)</f>
        <v>0</v>
      </c>
      <c r="AV240" s="140">
        <f ca="1">IF(ISNUMBER(MATCH(DATEVALUE($A240),'recurring1_based on steps'!AV$1:AV$400,0)),AV$2,)</f>
        <v>0</v>
      </c>
      <c r="AW240" s="140">
        <f ca="1">IF(ISNUMBER(MATCH(DATEVALUE($A240),'recurring1_based on steps'!AW$1:AW$400,0)),AW$2,)</f>
        <v>0</v>
      </c>
      <c r="AX240" s="140">
        <f ca="1">IF(ISNUMBER(MATCH(DATEVALUE($A240),'recurring1_based on steps'!AX$1:AX$400,0)),AX$2,)</f>
        <v>0</v>
      </c>
      <c r="AY240" s="140">
        <f ca="1">IF(ISNUMBER(MATCH(DATEVALUE($A240),'recurring1_based on steps'!AY$1:AY$400,0)),AY$2,)</f>
        <v>0</v>
      </c>
    </row>
    <row r="241" spans="1:51" x14ac:dyDescent="0.2">
      <c r="A241" s="29" t="str">
        <f t="shared" ca="1" si="3"/>
        <v>2025-11-20</v>
      </c>
      <c r="B241" s="140">
        <f ca="1">IF(ISNUMBER(MATCH(DATEVALUE($A241),'recurring1_based on steps'!B$1:B$400,0)),B$2,)</f>
        <v>0</v>
      </c>
      <c r="C241" s="140">
        <f ca="1">IF(ISNUMBER(MATCH(DATEVALUE($A241),'recurring1_based on steps'!C$1:C$400,0)),C$2,)</f>
        <v>0</v>
      </c>
      <c r="D241" s="140">
        <f ca="1">IF(ISNUMBER(MATCH(DATEVALUE($A241),'recurring1_based on steps'!D$1:D$400,0)),D$2,)</f>
        <v>0</v>
      </c>
      <c r="E241" s="140">
        <f ca="1">IF(ISNUMBER(MATCH(DATEVALUE($A241),'recurring1_based on steps'!E$1:E$400,0)),E$2,)</f>
        <v>0</v>
      </c>
      <c r="F241" s="140">
        <f ca="1">IF(ISNUMBER(MATCH(DATEVALUE($A241),'recurring1_based on steps'!F$1:F$400,0)),F$2,)</f>
        <v>0</v>
      </c>
      <c r="G241" s="140">
        <f ca="1">IF(ISNUMBER(MATCH(DATEVALUE($A241),'recurring1_based on steps'!G$1:G$400,0)),G$2,)</f>
        <v>0</v>
      </c>
      <c r="H241" s="140">
        <f ca="1">IF(ISNUMBER(MATCH(DATEVALUE($A241),'recurring1_based on steps'!H$1:H$400,0)),H$2,)</f>
        <v>0</v>
      </c>
      <c r="I241" s="140">
        <f ca="1">IF(ISNUMBER(MATCH(DATEVALUE($A241),'recurring1_based on steps'!I$1:I$400,0)),I$2,)</f>
        <v>0</v>
      </c>
      <c r="J241" s="140">
        <f ca="1">IF(ISNUMBER(MATCH(DATEVALUE($A241),'recurring1_based on steps'!J$1:J$400,0)),J$2,)</f>
        <v>0</v>
      </c>
      <c r="K241" s="140">
        <f ca="1">IF(ISNUMBER(MATCH(DATEVALUE($A241),'recurring1_based on steps'!K$1:K$400,0)),K$2,)</f>
        <v>0</v>
      </c>
      <c r="L241" s="140">
        <f ca="1">IF(ISNUMBER(MATCH(DATEVALUE($A241),'recurring1_based on steps'!L$1:L$400,0)),L$2,)</f>
        <v>0</v>
      </c>
      <c r="M241" s="140">
        <f ca="1">IF(ISNUMBER(MATCH(DATEVALUE($A241),'recurring1_based on steps'!M$1:M$400,0)),M$2,)</f>
        <v>0</v>
      </c>
      <c r="N241" s="140">
        <f ca="1">IF(ISNUMBER(MATCH(DATEVALUE($A241),'recurring1_based on steps'!N$1:N$400,0)),N$2,)</f>
        <v>0</v>
      </c>
      <c r="O241" s="140">
        <f ca="1">IF(ISNUMBER(MATCH(DATEVALUE($A241),'recurring1_based on steps'!O$1:O$400,0)),O$2,)</f>
        <v>0</v>
      </c>
      <c r="P241" s="140">
        <f ca="1">IF(ISNUMBER(MATCH(DATEVALUE($A241),'recurring1_based on steps'!P$1:P$400,0)),P$2,)</f>
        <v>0</v>
      </c>
      <c r="Q241" s="140">
        <f ca="1">IF(ISNUMBER(MATCH(DATEVALUE($A241),'recurring1_based on steps'!Q$1:Q$400,0)),Q$2,)</f>
        <v>0</v>
      </c>
      <c r="R241" s="140">
        <f ca="1">IF(ISNUMBER(MATCH(DATEVALUE($A241),'recurring1_based on steps'!R$1:R$400,0)),R$2,)</f>
        <v>0</v>
      </c>
      <c r="S241" s="140">
        <f ca="1">IF(ISNUMBER(MATCH(DATEVALUE($A241),'recurring1_based on steps'!S$1:S$400,0)),S$2,)</f>
        <v>0</v>
      </c>
      <c r="T241" s="140">
        <f ca="1">IF(ISNUMBER(MATCH(DATEVALUE($A241),'recurring1_based on steps'!T$1:T$400,0)),T$2,)</f>
        <v>0</v>
      </c>
      <c r="U241" s="140">
        <f ca="1">IF(ISNUMBER(MATCH(DATEVALUE($A241),'recurring1_based on steps'!U$1:U$400,0)),U$2,)</f>
        <v>0</v>
      </c>
      <c r="V241" s="140">
        <f ca="1">IF(ISNUMBER(MATCH(DATEVALUE($A241),'recurring1_based on steps'!V$1:V$400,0)),V$2,)</f>
        <v>0</v>
      </c>
      <c r="W241" s="140">
        <f ca="1">IF(ISNUMBER(MATCH(DATEVALUE($A241),'recurring1_based on steps'!W$1:W$400,0)),W$2,)</f>
        <v>0</v>
      </c>
      <c r="X241" s="140">
        <f ca="1">IF(ISNUMBER(MATCH(DATEVALUE($A241),'recurring1_based on steps'!X$1:X$400,0)),X$2,)</f>
        <v>0</v>
      </c>
      <c r="Y241" s="140">
        <f ca="1">IF(ISNUMBER(MATCH(DATEVALUE($A241),'recurring1_based on steps'!Y$1:Y$400,0)),Y$2,)</f>
        <v>0</v>
      </c>
      <c r="Z241" s="140">
        <f ca="1">IF(ISNUMBER(MATCH(DATEVALUE($A241),'recurring1_based on steps'!Z$1:Z$400,0)),Z$2,)</f>
        <v>0</v>
      </c>
      <c r="AA241" s="140">
        <f ca="1">IF(ISNUMBER(MATCH(DATEVALUE($A241),'recurring1_based on steps'!AA$1:AA$400,0)),AA$2,)</f>
        <v>5.8171745152354575</v>
      </c>
      <c r="AB241" s="140">
        <f ca="1">IF(ISNUMBER(MATCH(DATEVALUE($A241),'recurring1_based on steps'!AB$1:AB$400,0)),AB$2,)</f>
        <v>5.5401662049861494E-2</v>
      </c>
      <c r="AC241" s="140">
        <f ca="1">IF(ISNUMBER(MATCH(DATEVALUE($A241),'recurring1_based on steps'!AC$1:AC$400,0)),AC$2,)</f>
        <v>0</v>
      </c>
      <c r="AD241" s="140">
        <f ca="1">IF(ISNUMBER(MATCH(DATEVALUE($A241),'recurring1_based on steps'!AD$1:AD$400,0)),AD$2,)</f>
        <v>0</v>
      </c>
      <c r="AE241" s="140">
        <f ca="1">IF(ISNUMBER(MATCH(DATEVALUE($A241),'recurring1_based on steps'!AE$1:AE$400,0)),AE$2,)</f>
        <v>0</v>
      </c>
      <c r="AF241" s="140">
        <f ca="1">IF(ISNUMBER(MATCH(DATEVALUE($A241),'recurring1_based on steps'!AF$1:AF$400,0)),AF$2,)</f>
        <v>0</v>
      </c>
      <c r="AG241" s="140">
        <f ca="1">IF(ISNUMBER(MATCH(DATEVALUE($A241),'recurring1_based on steps'!AG$1:AG$400,0)),AG$2,)</f>
        <v>0</v>
      </c>
      <c r="AH241" s="140">
        <f ca="1">IF(ISNUMBER(MATCH(DATEVALUE($A241),'recurring1_based on steps'!AH$1:AH$400,0)),AH$2,)</f>
        <v>0</v>
      </c>
      <c r="AI241" s="140">
        <f ca="1">IF(ISNUMBER(MATCH(DATEVALUE($A241),'recurring1_based on steps'!AI$1:AI$400,0)),AI$2,)</f>
        <v>0</v>
      </c>
      <c r="AJ241" s="140">
        <f ca="1">IF(ISNUMBER(MATCH(DATEVALUE($A241),'recurring1_based on steps'!AJ$1:AJ$400,0)),AJ$2,)</f>
        <v>0</v>
      </c>
      <c r="AK241" s="140">
        <f ca="1">IF(ISNUMBER(MATCH(DATEVALUE($A241),'recurring1_based on steps'!AK$1:AK$400,0)),AK$2,)</f>
        <v>0</v>
      </c>
      <c r="AL241" s="140">
        <f ca="1">IF(ISNUMBER(MATCH(DATEVALUE($A241),'recurring1_based on steps'!AL$1:AL$400,0)),AL$2,)</f>
        <v>0</v>
      </c>
      <c r="AM241" s="140">
        <f ca="1">IF(ISNUMBER(MATCH(DATEVALUE($A241),'recurring1_based on steps'!AM$1:AM$400,0)),AM$2,)</f>
        <v>0</v>
      </c>
      <c r="AN241" s="140">
        <f ca="1">IF(ISNUMBER(MATCH(DATEVALUE($A241),'recurring1_based on steps'!AN$1:AN$400,0)),AN$2,)</f>
        <v>0</v>
      </c>
      <c r="AO241" s="140">
        <f ca="1">IF(ISNUMBER(MATCH(DATEVALUE($A241),'recurring1_based on steps'!AO$1:AO$400,0)),AO$2,)</f>
        <v>0</v>
      </c>
      <c r="AP241" s="140">
        <f ca="1">IF(ISNUMBER(MATCH(DATEVALUE($A241),'recurring1_based on steps'!AP$1:AP$400,0)),AP$2,)</f>
        <v>0</v>
      </c>
      <c r="AQ241" s="140">
        <f ca="1">IF(ISNUMBER(MATCH(DATEVALUE($A241),'recurring1_based on steps'!AQ$1:AQ$400,0)),AQ$2,)</f>
        <v>0</v>
      </c>
      <c r="AR241" s="140">
        <f ca="1">IF(ISNUMBER(MATCH(DATEVALUE($A241),'recurring1_based on steps'!AR$1:AR$400,0)),AR$2,)</f>
        <v>0</v>
      </c>
      <c r="AS241" s="140">
        <f ca="1">IF(ISNUMBER(MATCH(DATEVALUE($A241),'recurring1_based on steps'!AS$1:AS$400,0)),AS$2,)</f>
        <v>0</v>
      </c>
      <c r="AT241" s="140">
        <f ca="1">IF(ISNUMBER(MATCH(DATEVALUE($A241),'recurring1_based on steps'!AT$1:AT$400,0)),AT$2,)</f>
        <v>0</v>
      </c>
      <c r="AU241" s="140">
        <f ca="1">IF(ISNUMBER(MATCH(DATEVALUE($A241),'recurring1_based on steps'!AU$1:AU$400,0)),AU$2,)</f>
        <v>0</v>
      </c>
      <c r="AV241" s="140">
        <f ca="1">IF(ISNUMBER(MATCH(DATEVALUE($A241),'recurring1_based on steps'!AV$1:AV$400,0)),AV$2,)</f>
        <v>0</v>
      </c>
      <c r="AW241" s="140">
        <f ca="1">IF(ISNUMBER(MATCH(DATEVALUE($A241),'recurring1_based on steps'!AW$1:AW$400,0)),AW$2,)</f>
        <v>0</v>
      </c>
      <c r="AX241" s="140">
        <f ca="1">IF(ISNUMBER(MATCH(DATEVALUE($A241),'recurring1_based on steps'!AX$1:AX$400,0)),AX$2,)</f>
        <v>0</v>
      </c>
      <c r="AY241" s="140">
        <f ca="1">IF(ISNUMBER(MATCH(DATEVALUE($A241),'recurring1_based on steps'!AY$1:AY$400,0)),AY$2,)</f>
        <v>0</v>
      </c>
    </row>
    <row r="242" spans="1:51" x14ac:dyDescent="0.2">
      <c r="A242" s="29" t="str">
        <f t="shared" ca="1" si="3"/>
        <v>2025-11-21</v>
      </c>
      <c r="B242" s="140">
        <f ca="1">IF(ISNUMBER(MATCH(DATEVALUE($A242),'recurring1_based on steps'!B$1:B$400,0)),B$2,)</f>
        <v>0</v>
      </c>
      <c r="C242" s="140">
        <f ca="1">IF(ISNUMBER(MATCH(DATEVALUE($A242),'recurring1_based on steps'!C$1:C$400,0)),C$2,)</f>
        <v>0</v>
      </c>
      <c r="D242" s="140">
        <f ca="1">IF(ISNUMBER(MATCH(DATEVALUE($A242),'recurring1_based on steps'!D$1:D$400,0)),D$2,)</f>
        <v>0</v>
      </c>
      <c r="E242" s="140">
        <f ca="1">IF(ISNUMBER(MATCH(DATEVALUE($A242),'recurring1_based on steps'!E$1:E$400,0)),E$2,)</f>
        <v>0</v>
      </c>
      <c r="F242" s="140">
        <f ca="1">IF(ISNUMBER(MATCH(DATEVALUE($A242),'recurring1_based on steps'!F$1:F$400,0)),F$2,)</f>
        <v>0</v>
      </c>
      <c r="G242" s="140">
        <f ca="1">IF(ISNUMBER(MATCH(DATEVALUE($A242),'recurring1_based on steps'!G$1:G$400,0)),G$2,)</f>
        <v>0</v>
      </c>
      <c r="H242" s="140">
        <f ca="1">IF(ISNUMBER(MATCH(DATEVALUE($A242),'recurring1_based on steps'!H$1:H$400,0)),H$2,)</f>
        <v>0</v>
      </c>
      <c r="I242" s="140">
        <f ca="1">IF(ISNUMBER(MATCH(DATEVALUE($A242),'recurring1_based on steps'!I$1:I$400,0)),I$2,)</f>
        <v>0</v>
      </c>
      <c r="J242" s="140">
        <f ca="1">IF(ISNUMBER(MATCH(DATEVALUE($A242),'recurring1_based on steps'!J$1:J$400,0)),J$2,)</f>
        <v>0</v>
      </c>
      <c r="K242" s="140">
        <f ca="1">IF(ISNUMBER(MATCH(DATEVALUE($A242),'recurring1_based on steps'!K$1:K$400,0)),K$2,)</f>
        <v>0</v>
      </c>
      <c r="L242" s="140">
        <f ca="1">IF(ISNUMBER(MATCH(DATEVALUE($A242),'recurring1_based on steps'!L$1:L$400,0)),L$2,)</f>
        <v>0</v>
      </c>
      <c r="M242" s="140">
        <f ca="1">IF(ISNUMBER(MATCH(DATEVALUE($A242),'recurring1_based on steps'!M$1:M$400,0)),M$2,)</f>
        <v>0</v>
      </c>
      <c r="N242" s="140">
        <f ca="1">IF(ISNUMBER(MATCH(DATEVALUE($A242),'recurring1_based on steps'!N$1:N$400,0)),N$2,)</f>
        <v>0</v>
      </c>
      <c r="O242" s="140">
        <f ca="1">IF(ISNUMBER(MATCH(DATEVALUE($A242),'recurring1_based on steps'!O$1:O$400,0)),O$2,)</f>
        <v>0</v>
      </c>
      <c r="P242" s="140">
        <f ca="1">IF(ISNUMBER(MATCH(DATEVALUE($A242),'recurring1_based on steps'!P$1:P$400,0)),P$2,)</f>
        <v>0</v>
      </c>
      <c r="Q242" s="140">
        <f ca="1">IF(ISNUMBER(MATCH(DATEVALUE($A242),'recurring1_based on steps'!Q$1:Q$400,0)),Q$2,)</f>
        <v>0</v>
      </c>
      <c r="R242" s="140">
        <f ca="1">IF(ISNUMBER(MATCH(DATEVALUE($A242),'recurring1_based on steps'!R$1:R$400,0)),R$2,)</f>
        <v>0</v>
      </c>
      <c r="S242" s="140">
        <f ca="1">IF(ISNUMBER(MATCH(DATEVALUE($A242),'recurring1_based on steps'!S$1:S$400,0)),S$2,)</f>
        <v>0</v>
      </c>
      <c r="T242" s="140">
        <f ca="1">IF(ISNUMBER(MATCH(DATEVALUE($A242),'recurring1_based on steps'!T$1:T$400,0)),T$2,)</f>
        <v>0</v>
      </c>
      <c r="U242" s="140">
        <f ca="1">IF(ISNUMBER(MATCH(DATEVALUE($A242),'recurring1_based on steps'!U$1:U$400,0)),U$2,)</f>
        <v>0</v>
      </c>
      <c r="V242" s="140">
        <f ca="1">IF(ISNUMBER(MATCH(DATEVALUE($A242),'recurring1_based on steps'!V$1:V$400,0)),V$2,)</f>
        <v>0</v>
      </c>
      <c r="W242" s="140">
        <f ca="1">IF(ISNUMBER(MATCH(DATEVALUE($A242),'recurring1_based on steps'!W$1:W$400,0)),W$2,)</f>
        <v>0</v>
      </c>
      <c r="X242" s="140">
        <f ca="1">IF(ISNUMBER(MATCH(DATEVALUE($A242),'recurring1_based on steps'!X$1:X$400,0)),X$2,)</f>
        <v>0</v>
      </c>
      <c r="Y242" s="140">
        <f ca="1">IF(ISNUMBER(MATCH(DATEVALUE($A242),'recurring1_based on steps'!Y$1:Y$400,0)),Y$2,)</f>
        <v>0</v>
      </c>
      <c r="Z242" s="140">
        <f ca="1">IF(ISNUMBER(MATCH(DATEVALUE($A242),'recurring1_based on steps'!Z$1:Z$400,0)),Z$2,)</f>
        <v>0</v>
      </c>
      <c r="AA242" s="140">
        <f ca="1">IF(ISNUMBER(MATCH(DATEVALUE($A242),'recurring1_based on steps'!AA$1:AA$400,0)),AA$2,)</f>
        <v>0</v>
      </c>
      <c r="AB242" s="140">
        <f ca="1">IF(ISNUMBER(MATCH(DATEVALUE($A242),'recurring1_based on steps'!AB$1:AB$400,0)),AB$2,)</f>
        <v>5.5401662049861494E-2</v>
      </c>
      <c r="AC242" s="140">
        <f ca="1">IF(ISNUMBER(MATCH(DATEVALUE($A242),'recurring1_based on steps'!AC$1:AC$400,0)),AC$2,)</f>
        <v>0</v>
      </c>
      <c r="AD242" s="140">
        <f ca="1">IF(ISNUMBER(MATCH(DATEVALUE($A242),'recurring1_based on steps'!AD$1:AD$400,0)),AD$2,)</f>
        <v>0</v>
      </c>
      <c r="AE242" s="140">
        <f ca="1">IF(ISNUMBER(MATCH(DATEVALUE($A242),'recurring1_based on steps'!AE$1:AE$400,0)),AE$2,)</f>
        <v>0</v>
      </c>
      <c r="AF242" s="140">
        <f ca="1">IF(ISNUMBER(MATCH(DATEVALUE($A242),'recurring1_based on steps'!AF$1:AF$400,0)),AF$2,)</f>
        <v>0</v>
      </c>
      <c r="AG242" s="140">
        <f ca="1">IF(ISNUMBER(MATCH(DATEVALUE($A242),'recurring1_based on steps'!AG$1:AG$400,0)),AG$2,)</f>
        <v>0</v>
      </c>
      <c r="AH242" s="140">
        <f ca="1">IF(ISNUMBER(MATCH(DATEVALUE($A242),'recurring1_based on steps'!AH$1:AH$400,0)),AH$2,)</f>
        <v>0</v>
      </c>
      <c r="AI242" s="140">
        <f ca="1">IF(ISNUMBER(MATCH(DATEVALUE($A242),'recurring1_based on steps'!AI$1:AI$400,0)),AI$2,)</f>
        <v>0</v>
      </c>
      <c r="AJ242" s="140">
        <f ca="1">IF(ISNUMBER(MATCH(DATEVALUE($A242),'recurring1_based on steps'!AJ$1:AJ$400,0)),AJ$2,)</f>
        <v>0</v>
      </c>
      <c r="AK242" s="140">
        <f ca="1">IF(ISNUMBER(MATCH(DATEVALUE($A242),'recurring1_based on steps'!AK$1:AK$400,0)),AK$2,)</f>
        <v>0</v>
      </c>
      <c r="AL242" s="140">
        <f ca="1">IF(ISNUMBER(MATCH(DATEVALUE($A242),'recurring1_based on steps'!AL$1:AL$400,0)),AL$2,)</f>
        <v>0</v>
      </c>
      <c r="AM242" s="140">
        <f ca="1">IF(ISNUMBER(MATCH(DATEVALUE($A242),'recurring1_based on steps'!AM$1:AM$400,0)),AM$2,)</f>
        <v>0</v>
      </c>
      <c r="AN242" s="140">
        <f ca="1">IF(ISNUMBER(MATCH(DATEVALUE($A242),'recurring1_based on steps'!AN$1:AN$400,0)),AN$2,)</f>
        <v>0</v>
      </c>
      <c r="AO242" s="140">
        <f ca="1">IF(ISNUMBER(MATCH(DATEVALUE($A242),'recurring1_based on steps'!AO$1:AO$400,0)),AO$2,)</f>
        <v>0</v>
      </c>
      <c r="AP242" s="140">
        <f ca="1">IF(ISNUMBER(MATCH(DATEVALUE($A242),'recurring1_based on steps'!AP$1:AP$400,0)),AP$2,)</f>
        <v>0</v>
      </c>
      <c r="AQ242" s="140">
        <f ca="1">IF(ISNUMBER(MATCH(DATEVALUE($A242),'recurring1_based on steps'!AQ$1:AQ$400,0)),AQ$2,)</f>
        <v>0</v>
      </c>
      <c r="AR242" s="140">
        <f ca="1">IF(ISNUMBER(MATCH(DATEVALUE($A242),'recurring1_based on steps'!AR$1:AR$400,0)),AR$2,)</f>
        <v>0</v>
      </c>
      <c r="AS242" s="140">
        <f ca="1">IF(ISNUMBER(MATCH(DATEVALUE($A242),'recurring1_based on steps'!AS$1:AS$400,0)),AS$2,)</f>
        <v>0</v>
      </c>
      <c r="AT242" s="140">
        <f ca="1">IF(ISNUMBER(MATCH(DATEVALUE($A242),'recurring1_based on steps'!AT$1:AT$400,0)),AT$2,)</f>
        <v>0</v>
      </c>
      <c r="AU242" s="140">
        <f ca="1">IF(ISNUMBER(MATCH(DATEVALUE($A242),'recurring1_based on steps'!AU$1:AU$400,0)),AU$2,)</f>
        <v>0</v>
      </c>
      <c r="AV242" s="140">
        <f ca="1">IF(ISNUMBER(MATCH(DATEVALUE($A242),'recurring1_based on steps'!AV$1:AV$400,0)),AV$2,)</f>
        <v>0</v>
      </c>
      <c r="AW242" s="140">
        <f ca="1">IF(ISNUMBER(MATCH(DATEVALUE($A242),'recurring1_based on steps'!AW$1:AW$400,0)),AW$2,)</f>
        <v>0</v>
      </c>
      <c r="AX242" s="140">
        <f ca="1">IF(ISNUMBER(MATCH(DATEVALUE($A242),'recurring1_based on steps'!AX$1:AX$400,0)),AX$2,)</f>
        <v>0</v>
      </c>
      <c r="AY242" s="140">
        <f ca="1">IF(ISNUMBER(MATCH(DATEVALUE($A242),'recurring1_based on steps'!AY$1:AY$400,0)),AY$2,)</f>
        <v>0</v>
      </c>
    </row>
    <row r="243" spans="1:51" x14ac:dyDescent="0.2">
      <c r="A243" s="29" t="str">
        <f t="shared" ca="1" si="3"/>
        <v>2025-11-22</v>
      </c>
      <c r="B243" s="140">
        <f ca="1">IF(ISNUMBER(MATCH(DATEVALUE($A243),'recurring1_based on steps'!B$1:B$400,0)),B$2,)</f>
        <v>0</v>
      </c>
      <c r="C243" s="140">
        <f ca="1">IF(ISNUMBER(MATCH(DATEVALUE($A243),'recurring1_based on steps'!C$1:C$400,0)),C$2,)</f>
        <v>0</v>
      </c>
      <c r="D243" s="140">
        <f ca="1">IF(ISNUMBER(MATCH(DATEVALUE($A243),'recurring1_based on steps'!D$1:D$400,0)),D$2,)</f>
        <v>0</v>
      </c>
      <c r="E243" s="140">
        <f ca="1">IF(ISNUMBER(MATCH(DATEVALUE($A243),'recurring1_based on steps'!E$1:E$400,0)),E$2,)</f>
        <v>0</v>
      </c>
      <c r="F243" s="140">
        <f ca="1">IF(ISNUMBER(MATCH(DATEVALUE($A243),'recurring1_based on steps'!F$1:F$400,0)),F$2,)</f>
        <v>0</v>
      </c>
      <c r="G243" s="140">
        <f ca="1">IF(ISNUMBER(MATCH(DATEVALUE($A243),'recurring1_based on steps'!G$1:G$400,0)),G$2,)</f>
        <v>0</v>
      </c>
      <c r="H243" s="140">
        <f ca="1">IF(ISNUMBER(MATCH(DATEVALUE($A243),'recurring1_based on steps'!H$1:H$400,0)),H$2,)</f>
        <v>0</v>
      </c>
      <c r="I243" s="140">
        <f ca="1">IF(ISNUMBER(MATCH(DATEVALUE($A243),'recurring1_based on steps'!I$1:I$400,0)),I$2,)</f>
        <v>0</v>
      </c>
      <c r="J243" s="140">
        <f ca="1">IF(ISNUMBER(MATCH(DATEVALUE($A243),'recurring1_based on steps'!J$1:J$400,0)),J$2,)</f>
        <v>0</v>
      </c>
      <c r="K243" s="140">
        <f ca="1">IF(ISNUMBER(MATCH(DATEVALUE($A243),'recurring1_based on steps'!K$1:K$400,0)),K$2,)</f>
        <v>0</v>
      </c>
      <c r="L243" s="140">
        <f ca="1">IF(ISNUMBER(MATCH(DATEVALUE($A243),'recurring1_based on steps'!L$1:L$400,0)),L$2,)</f>
        <v>0</v>
      </c>
      <c r="M243" s="140">
        <f ca="1">IF(ISNUMBER(MATCH(DATEVALUE($A243),'recurring1_based on steps'!M$1:M$400,0)),M$2,)</f>
        <v>0</v>
      </c>
      <c r="N243" s="140">
        <f ca="1">IF(ISNUMBER(MATCH(DATEVALUE($A243),'recurring1_based on steps'!N$1:N$400,0)),N$2,)</f>
        <v>0</v>
      </c>
      <c r="O243" s="140">
        <f ca="1">IF(ISNUMBER(MATCH(DATEVALUE($A243),'recurring1_based on steps'!O$1:O$400,0)),O$2,)</f>
        <v>0</v>
      </c>
      <c r="P243" s="140">
        <f ca="1">IF(ISNUMBER(MATCH(DATEVALUE($A243),'recurring1_based on steps'!P$1:P$400,0)),P$2,)</f>
        <v>0</v>
      </c>
      <c r="Q243" s="140">
        <f ca="1">IF(ISNUMBER(MATCH(DATEVALUE($A243),'recurring1_based on steps'!Q$1:Q$400,0)),Q$2,)</f>
        <v>100</v>
      </c>
      <c r="R243" s="140">
        <f ca="1">IF(ISNUMBER(MATCH(DATEVALUE($A243),'recurring1_based on steps'!R$1:R$400,0)),R$2,)</f>
        <v>100</v>
      </c>
      <c r="S243" s="140">
        <f ca="1">IF(ISNUMBER(MATCH(DATEVALUE($A243),'recurring1_based on steps'!S$1:S$400,0)),S$2,)</f>
        <v>0</v>
      </c>
      <c r="T243" s="140">
        <f ca="1">IF(ISNUMBER(MATCH(DATEVALUE($A243),'recurring1_based on steps'!T$1:T$400,0)),T$2,)</f>
        <v>0</v>
      </c>
      <c r="U243" s="140">
        <f ca="1">IF(ISNUMBER(MATCH(DATEVALUE($A243),'recurring1_based on steps'!U$1:U$400,0)),U$2,)</f>
        <v>0</v>
      </c>
      <c r="V243" s="140">
        <f ca="1">IF(ISNUMBER(MATCH(DATEVALUE($A243),'recurring1_based on steps'!V$1:V$400,0)),V$2,)</f>
        <v>0</v>
      </c>
      <c r="W243" s="140">
        <f ca="1">IF(ISNUMBER(MATCH(DATEVALUE($A243),'recurring1_based on steps'!W$1:W$400,0)),W$2,)</f>
        <v>0</v>
      </c>
      <c r="X243" s="140">
        <f ca="1">IF(ISNUMBER(MATCH(DATEVALUE($A243),'recurring1_based on steps'!X$1:X$400,0)),X$2,)</f>
        <v>0</v>
      </c>
      <c r="Y243" s="140">
        <f ca="1">IF(ISNUMBER(MATCH(DATEVALUE($A243),'recurring1_based on steps'!Y$1:Y$400,0)),Y$2,)</f>
        <v>0</v>
      </c>
      <c r="Z243" s="140">
        <f ca="1">IF(ISNUMBER(MATCH(DATEVALUE($A243),'recurring1_based on steps'!Z$1:Z$400,0)),Z$2,)</f>
        <v>0</v>
      </c>
      <c r="AA243" s="140">
        <f ca="1">IF(ISNUMBER(MATCH(DATEVALUE($A243),'recurring1_based on steps'!AA$1:AA$400,0)),AA$2,)</f>
        <v>0</v>
      </c>
      <c r="AB243" s="140">
        <f ca="1">IF(ISNUMBER(MATCH(DATEVALUE($A243),'recurring1_based on steps'!AB$1:AB$400,0)),AB$2,)</f>
        <v>5.5401662049861494E-2</v>
      </c>
      <c r="AC243" s="140">
        <f ca="1">IF(ISNUMBER(MATCH(DATEVALUE($A243),'recurring1_based on steps'!AC$1:AC$400,0)),AC$2,)</f>
        <v>0</v>
      </c>
      <c r="AD243" s="140">
        <f ca="1">IF(ISNUMBER(MATCH(DATEVALUE($A243),'recurring1_based on steps'!AD$1:AD$400,0)),AD$2,)</f>
        <v>0</v>
      </c>
      <c r="AE243" s="140">
        <f ca="1">IF(ISNUMBER(MATCH(DATEVALUE($A243),'recurring1_based on steps'!AE$1:AE$400,0)),AE$2,)</f>
        <v>0</v>
      </c>
      <c r="AF243" s="140">
        <f ca="1">IF(ISNUMBER(MATCH(DATEVALUE($A243),'recurring1_based on steps'!AF$1:AF$400,0)),AF$2,)</f>
        <v>0</v>
      </c>
      <c r="AG243" s="140">
        <f ca="1">IF(ISNUMBER(MATCH(DATEVALUE($A243),'recurring1_based on steps'!AG$1:AG$400,0)),AG$2,)</f>
        <v>0</v>
      </c>
      <c r="AH243" s="140">
        <f ca="1">IF(ISNUMBER(MATCH(DATEVALUE($A243),'recurring1_based on steps'!AH$1:AH$400,0)),AH$2,)</f>
        <v>0</v>
      </c>
      <c r="AI243" s="140">
        <f ca="1">IF(ISNUMBER(MATCH(DATEVALUE($A243),'recurring1_based on steps'!AI$1:AI$400,0)),AI$2,)</f>
        <v>0</v>
      </c>
      <c r="AJ243" s="140">
        <f ca="1">IF(ISNUMBER(MATCH(DATEVALUE($A243),'recurring1_based on steps'!AJ$1:AJ$400,0)),AJ$2,)</f>
        <v>0</v>
      </c>
      <c r="AK243" s="140">
        <f ca="1">IF(ISNUMBER(MATCH(DATEVALUE($A243),'recurring1_based on steps'!AK$1:AK$400,0)),AK$2,)</f>
        <v>0</v>
      </c>
      <c r="AL243" s="140">
        <f ca="1">IF(ISNUMBER(MATCH(DATEVALUE($A243),'recurring1_based on steps'!AL$1:AL$400,0)),AL$2,)</f>
        <v>0</v>
      </c>
      <c r="AM243" s="140">
        <f ca="1">IF(ISNUMBER(MATCH(DATEVALUE($A243),'recurring1_based on steps'!AM$1:AM$400,0)),AM$2,)</f>
        <v>0</v>
      </c>
      <c r="AN243" s="140">
        <f ca="1">IF(ISNUMBER(MATCH(DATEVALUE($A243),'recurring1_based on steps'!AN$1:AN$400,0)),AN$2,)</f>
        <v>0</v>
      </c>
      <c r="AO243" s="140">
        <f ca="1">IF(ISNUMBER(MATCH(DATEVALUE($A243),'recurring1_based on steps'!AO$1:AO$400,0)),AO$2,)</f>
        <v>0</v>
      </c>
      <c r="AP243" s="140">
        <f ca="1">IF(ISNUMBER(MATCH(DATEVALUE($A243),'recurring1_based on steps'!AP$1:AP$400,0)),AP$2,)</f>
        <v>0</v>
      </c>
      <c r="AQ243" s="140">
        <f ca="1">IF(ISNUMBER(MATCH(DATEVALUE($A243),'recurring1_based on steps'!AQ$1:AQ$400,0)),AQ$2,)</f>
        <v>0</v>
      </c>
      <c r="AR243" s="140">
        <f ca="1">IF(ISNUMBER(MATCH(DATEVALUE($A243),'recurring1_based on steps'!AR$1:AR$400,0)),AR$2,)</f>
        <v>0</v>
      </c>
      <c r="AS243" s="140">
        <f ca="1">IF(ISNUMBER(MATCH(DATEVALUE($A243),'recurring1_based on steps'!AS$1:AS$400,0)),AS$2,)</f>
        <v>0</v>
      </c>
      <c r="AT243" s="140">
        <f ca="1">IF(ISNUMBER(MATCH(DATEVALUE($A243),'recurring1_based on steps'!AT$1:AT$400,0)),AT$2,)</f>
        <v>0</v>
      </c>
      <c r="AU243" s="140">
        <f ca="1">IF(ISNUMBER(MATCH(DATEVALUE($A243),'recurring1_based on steps'!AU$1:AU$400,0)),AU$2,)</f>
        <v>0</v>
      </c>
      <c r="AV243" s="140">
        <f ca="1">IF(ISNUMBER(MATCH(DATEVALUE($A243),'recurring1_based on steps'!AV$1:AV$400,0)),AV$2,)</f>
        <v>0</v>
      </c>
      <c r="AW243" s="140">
        <f ca="1">IF(ISNUMBER(MATCH(DATEVALUE($A243),'recurring1_based on steps'!AW$1:AW$400,0)),AW$2,)</f>
        <v>0</v>
      </c>
      <c r="AX243" s="140">
        <f ca="1">IF(ISNUMBER(MATCH(DATEVALUE($A243),'recurring1_based on steps'!AX$1:AX$400,0)),AX$2,)</f>
        <v>0</v>
      </c>
      <c r="AY243" s="140">
        <f ca="1">IF(ISNUMBER(MATCH(DATEVALUE($A243),'recurring1_based on steps'!AY$1:AY$400,0)),AY$2,)</f>
        <v>0</v>
      </c>
    </row>
    <row r="244" spans="1:51" x14ac:dyDescent="0.2">
      <c r="A244" s="29" t="str">
        <f t="shared" ca="1" si="3"/>
        <v>2025-11-23</v>
      </c>
      <c r="B244" s="140">
        <f ca="1">IF(ISNUMBER(MATCH(DATEVALUE($A244),'recurring1_based on steps'!B$1:B$400,0)),B$2,)</f>
        <v>0</v>
      </c>
      <c r="C244" s="140">
        <f ca="1">IF(ISNUMBER(MATCH(DATEVALUE($A244),'recurring1_based on steps'!C$1:C$400,0)),C$2,)</f>
        <v>0</v>
      </c>
      <c r="D244" s="140">
        <f ca="1">IF(ISNUMBER(MATCH(DATEVALUE($A244),'recurring1_based on steps'!D$1:D$400,0)),D$2,)</f>
        <v>0</v>
      </c>
      <c r="E244" s="140">
        <f ca="1">IF(ISNUMBER(MATCH(DATEVALUE($A244),'recurring1_based on steps'!E$1:E$400,0)),E$2,)</f>
        <v>0</v>
      </c>
      <c r="F244" s="140">
        <f ca="1">IF(ISNUMBER(MATCH(DATEVALUE($A244),'recurring1_based on steps'!F$1:F$400,0)),F$2,)</f>
        <v>0</v>
      </c>
      <c r="G244" s="140">
        <f ca="1">IF(ISNUMBER(MATCH(DATEVALUE($A244),'recurring1_based on steps'!G$1:G$400,0)),G$2,)</f>
        <v>0</v>
      </c>
      <c r="H244" s="140">
        <f ca="1">IF(ISNUMBER(MATCH(DATEVALUE($A244),'recurring1_based on steps'!H$1:H$400,0)),H$2,)</f>
        <v>0</v>
      </c>
      <c r="I244" s="140">
        <f ca="1">IF(ISNUMBER(MATCH(DATEVALUE($A244),'recurring1_based on steps'!I$1:I$400,0)),I$2,)</f>
        <v>0</v>
      </c>
      <c r="J244" s="140">
        <f ca="1">IF(ISNUMBER(MATCH(DATEVALUE($A244),'recurring1_based on steps'!J$1:J$400,0)),J$2,)</f>
        <v>0</v>
      </c>
      <c r="K244" s="140">
        <f ca="1">IF(ISNUMBER(MATCH(DATEVALUE($A244),'recurring1_based on steps'!K$1:K$400,0)),K$2,)</f>
        <v>50</v>
      </c>
      <c r="L244" s="140">
        <f ca="1">IF(ISNUMBER(MATCH(DATEVALUE($A244),'recurring1_based on steps'!L$1:L$400,0)),L$2,)</f>
        <v>0</v>
      </c>
      <c r="M244" s="140">
        <f ca="1">IF(ISNUMBER(MATCH(DATEVALUE($A244),'recurring1_based on steps'!M$1:M$400,0)),M$2,)</f>
        <v>0</v>
      </c>
      <c r="N244" s="140">
        <f ca="1">IF(ISNUMBER(MATCH(DATEVALUE($A244),'recurring1_based on steps'!N$1:N$400,0)),N$2,)</f>
        <v>0</v>
      </c>
      <c r="O244" s="140">
        <f ca="1">IF(ISNUMBER(MATCH(DATEVALUE($A244),'recurring1_based on steps'!O$1:O$400,0)),O$2,)</f>
        <v>0</v>
      </c>
      <c r="P244" s="140">
        <f ca="1">IF(ISNUMBER(MATCH(DATEVALUE($A244),'recurring1_based on steps'!P$1:P$400,0)),P$2,)</f>
        <v>0</v>
      </c>
      <c r="Q244" s="140">
        <f ca="1">IF(ISNUMBER(MATCH(DATEVALUE($A244),'recurring1_based on steps'!Q$1:Q$400,0)),Q$2,)</f>
        <v>0</v>
      </c>
      <c r="R244" s="140">
        <f ca="1">IF(ISNUMBER(MATCH(DATEVALUE($A244),'recurring1_based on steps'!R$1:R$400,0)),R$2,)</f>
        <v>0</v>
      </c>
      <c r="S244" s="140">
        <f ca="1">IF(ISNUMBER(MATCH(DATEVALUE($A244),'recurring1_based on steps'!S$1:S$400,0)),S$2,)</f>
        <v>100</v>
      </c>
      <c r="T244" s="140">
        <f ca="1">IF(ISNUMBER(MATCH(DATEVALUE($A244),'recurring1_based on steps'!T$1:T$400,0)),T$2,)</f>
        <v>0</v>
      </c>
      <c r="U244" s="140">
        <f ca="1">IF(ISNUMBER(MATCH(DATEVALUE($A244),'recurring1_based on steps'!U$1:U$400,0)),U$2,)</f>
        <v>0</v>
      </c>
      <c r="V244" s="140">
        <f ca="1">IF(ISNUMBER(MATCH(DATEVALUE($A244),'recurring1_based on steps'!V$1:V$400,0)),V$2,)</f>
        <v>0</v>
      </c>
      <c r="W244" s="140">
        <f ca="1">IF(ISNUMBER(MATCH(DATEVALUE($A244),'recurring1_based on steps'!W$1:W$400,0)),W$2,)</f>
        <v>0</v>
      </c>
      <c r="X244" s="140">
        <f ca="1">IF(ISNUMBER(MATCH(DATEVALUE($A244),'recurring1_based on steps'!X$1:X$400,0)),X$2,)</f>
        <v>0</v>
      </c>
      <c r="Y244" s="140">
        <f ca="1">IF(ISNUMBER(MATCH(DATEVALUE($A244),'recurring1_based on steps'!Y$1:Y$400,0)),Y$2,)</f>
        <v>0</v>
      </c>
      <c r="Z244" s="140">
        <f ca="1">IF(ISNUMBER(MATCH(DATEVALUE($A244),'recurring1_based on steps'!Z$1:Z$400,0)),Z$2,)</f>
        <v>0</v>
      </c>
      <c r="AA244" s="140">
        <f ca="1">IF(ISNUMBER(MATCH(DATEVALUE($A244),'recurring1_based on steps'!AA$1:AA$400,0)),AA$2,)</f>
        <v>0</v>
      </c>
      <c r="AB244" s="140">
        <f ca="1">IF(ISNUMBER(MATCH(DATEVALUE($A244),'recurring1_based on steps'!AB$1:AB$400,0)),AB$2,)</f>
        <v>5.5401662049861494E-2</v>
      </c>
      <c r="AC244" s="140">
        <f ca="1">IF(ISNUMBER(MATCH(DATEVALUE($A244),'recurring1_based on steps'!AC$1:AC$400,0)),AC$2,)</f>
        <v>0</v>
      </c>
      <c r="AD244" s="140">
        <f ca="1">IF(ISNUMBER(MATCH(DATEVALUE($A244),'recurring1_based on steps'!AD$1:AD$400,0)),AD$2,)</f>
        <v>0</v>
      </c>
      <c r="AE244" s="140">
        <f ca="1">IF(ISNUMBER(MATCH(DATEVALUE($A244),'recurring1_based on steps'!AE$1:AE$400,0)),AE$2,)</f>
        <v>0</v>
      </c>
      <c r="AF244" s="140">
        <f ca="1">IF(ISNUMBER(MATCH(DATEVALUE($A244),'recurring1_based on steps'!AF$1:AF$400,0)),AF$2,)</f>
        <v>0</v>
      </c>
      <c r="AG244" s="140">
        <f ca="1">IF(ISNUMBER(MATCH(DATEVALUE($A244),'recurring1_based on steps'!AG$1:AG$400,0)),AG$2,)</f>
        <v>0</v>
      </c>
      <c r="AH244" s="140">
        <f ca="1">IF(ISNUMBER(MATCH(DATEVALUE($A244),'recurring1_based on steps'!AH$1:AH$400,0)),AH$2,)</f>
        <v>0</v>
      </c>
      <c r="AI244" s="140">
        <f ca="1">IF(ISNUMBER(MATCH(DATEVALUE($A244),'recurring1_based on steps'!AI$1:AI$400,0)),AI$2,)</f>
        <v>0</v>
      </c>
      <c r="AJ244" s="140">
        <f ca="1">IF(ISNUMBER(MATCH(DATEVALUE($A244),'recurring1_based on steps'!AJ$1:AJ$400,0)),AJ$2,)</f>
        <v>0</v>
      </c>
      <c r="AK244" s="140">
        <f ca="1">IF(ISNUMBER(MATCH(DATEVALUE($A244),'recurring1_based on steps'!AK$1:AK$400,0)),AK$2,)</f>
        <v>0</v>
      </c>
      <c r="AL244" s="140">
        <f ca="1">IF(ISNUMBER(MATCH(DATEVALUE($A244),'recurring1_based on steps'!AL$1:AL$400,0)),AL$2,)</f>
        <v>0</v>
      </c>
      <c r="AM244" s="140">
        <f ca="1">IF(ISNUMBER(MATCH(DATEVALUE($A244),'recurring1_based on steps'!AM$1:AM$400,0)),AM$2,)</f>
        <v>0</v>
      </c>
      <c r="AN244" s="140">
        <f ca="1">IF(ISNUMBER(MATCH(DATEVALUE($A244),'recurring1_based on steps'!AN$1:AN$400,0)),AN$2,)</f>
        <v>0</v>
      </c>
      <c r="AO244" s="140">
        <f ca="1">IF(ISNUMBER(MATCH(DATEVALUE($A244),'recurring1_based on steps'!AO$1:AO$400,0)),AO$2,)</f>
        <v>0</v>
      </c>
      <c r="AP244" s="140">
        <f ca="1">IF(ISNUMBER(MATCH(DATEVALUE($A244),'recurring1_based on steps'!AP$1:AP$400,0)),AP$2,)</f>
        <v>0</v>
      </c>
      <c r="AQ244" s="140">
        <f ca="1">IF(ISNUMBER(MATCH(DATEVALUE($A244),'recurring1_based on steps'!AQ$1:AQ$400,0)),AQ$2,)</f>
        <v>0</v>
      </c>
      <c r="AR244" s="140">
        <f ca="1">IF(ISNUMBER(MATCH(DATEVALUE($A244),'recurring1_based on steps'!AR$1:AR$400,0)),AR$2,)</f>
        <v>0</v>
      </c>
      <c r="AS244" s="140">
        <f ca="1">IF(ISNUMBER(MATCH(DATEVALUE($A244),'recurring1_based on steps'!AS$1:AS$400,0)),AS$2,)</f>
        <v>0</v>
      </c>
      <c r="AT244" s="140">
        <f ca="1">IF(ISNUMBER(MATCH(DATEVALUE($A244),'recurring1_based on steps'!AT$1:AT$400,0)),AT$2,)</f>
        <v>0</v>
      </c>
      <c r="AU244" s="140">
        <f ca="1">IF(ISNUMBER(MATCH(DATEVALUE($A244),'recurring1_based on steps'!AU$1:AU$400,0)),AU$2,)</f>
        <v>0</v>
      </c>
      <c r="AV244" s="140">
        <f ca="1">IF(ISNUMBER(MATCH(DATEVALUE($A244),'recurring1_based on steps'!AV$1:AV$400,0)),AV$2,)</f>
        <v>0</v>
      </c>
      <c r="AW244" s="140">
        <f ca="1">IF(ISNUMBER(MATCH(DATEVALUE($A244),'recurring1_based on steps'!AW$1:AW$400,0)),AW$2,)</f>
        <v>0</v>
      </c>
      <c r="AX244" s="140">
        <f ca="1">IF(ISNUMBER(MATCH(DATEVALUE($A244),'recurring1_based on steps'!AX$1:AX$400,0)),AX$2,)</f>
        <v>0</v>
      </c>
      <c r="AY244" s="140">
        <f ca="1">IF(ISNUMBER(MATCH(DATEVALUE($A244),'recurring1_based on steps'!AY$1:AY$400,0)),AY$2,)</f>
        <v>0</v>
      </c>
    </row>
    <row r="245" spans="1:51" x14ac:dyDescent="0.2">
      <c r="A245" s="29" t="str">
        <f t="shared" ca="1" si="3"/>
        <v>2025-11-24</v>
      </c>
      <c r="B245" s="140">
        <f ca="1">IF(ISNUMBER(MATCH(DATEVALUE($A245),'recurring1_based on steps'!B$1:B$400,0)),B$2,)</f>
        <v>0</v>
      </c>
      <c r="C245" s="140">
        <f ca="1">IF(ISNUMBER(MATCH(DATEVALUE($A245),'recurring1_based on steps'!C$1:C$400,0)),C$2,)</f>
        <v>0</v>
      </c>
      <c r="D245" s="140">
        <f ca="1">IF(ISNUMBER(MATCH(DATEVALUE($A245),'recurring1_based on steps'!D$1:D$400,0)),D$2,)</f>
        <v>0</v>
      </c>
      <c r="E245" s="140">
        <f ca="1">IF(ISNUMBER(MATCH(DATEVALUE($A245),'recurring1_based on steps'!E$1:E$400,0)),E$2,)</f>
        <v>0</v>
      </c>
      <c r="F245" s="140">
        <f ca="1">IF(ISNUMBER(MATCH(DATEVALUE($A245),'recurring1_based on steps'!F$1:F$400,0)),F$2,)</f>
        <v>0</v>
      </c>
      <c r="G245" s="140">
        <f ca="1">IF(ISNUMBER(MATCH(DATEVALUE($A245),'recurring1_based on steps'!G$1:G$400,0)),G$2,)</f>
        <v>0</v>
      </c>
      <c r="H245" s="140">
        <f ca="1">IF(ISNUMBER(MATCH(DATEVALUE($A245),'recurring1_based on steps'!H$1:H$400,0)),H$2,)</f>
        <v>0</v>
      </c>
      <c r="I245" s="140">
        <f ca="1">IF(ISNUMBER(MATCH(DATEVALUE($A245),'recurring1_based on steps'!I$1:I$400,0)),I$2,)</f>
        <v>0</v>
      </c>
      <c r="J245" s="140">
        <f ca="1">IF(ISNUMBER(MATCH(DATEVALUE($A245),'recurring1_based on steps'!J$1:J$400,0)),J$2,)</f>
        <v>0</v>
      </c>
      <c r="K245" s="140">
        <f ca="1">IF(ISNUMBER(MATCH(DATEVALUE($A245),'recurring1_based on steps'!K$1:K$400,0)),K$2,)</f>
        <v>0</v>
      </c>
      <c r="L245" s="140">
        <f ca="1">IF(ISNUMBER(MATCH(DATEVALUE($A245),'recurring1_based on steps'!L$1:L$400,0)),L$2,)</f>
        <v>0</v>
      </c>
      <c r="M245" s="140">
        <f ca="1">IF(ISNUMBER(MATCH(DATEVALUE($A245),'recurring1_based on steps'!M$1:M$400,0)),M$2,)</f>
        <v>0</v>
      </c>
      <c r="N245" s="140">
        <f ca="1">IF(ISNUMBER(MATCH(DATEVALUE($A245),'recurring1_based on steps'!N$1:N$400,0)),N$2,)</f>
        <v>0</v>
      </c>
      <c r="O245" s="140">
        <f ca="1">IF(ISNUMBER(MATCH(DATEVALUE($A245),'recurring1_based on steps'!O$1:O$400,0)),O$2,)</f>
        <v>0</v>
      </c>
      <c r="P245" s="140">
        <f ca="1">IF(ISNUMBER(MATCH(DATEVALUE($A245),'recurring1_based on steps'!P$1:P$400,0)),P$2,)</f>
        <v>0</v>
      </c>
      <c r="Q245" s="140">
        <f ca="1">IF(ISNUMBER(MATCH(DATEVALUE($A245),'recurring1_based on steps'!Q$1:Q$400,0)),Q$2,)</f>
        <v>0</v>
      </c>
      <c r="R245" s="140">
        <f ca="1">IF(ISNUMBER(MATCH(DATEVALUE($A245),'recurring1_based on steps'!R$1:R$400,0)),R$2,)</f>
        <v>0</v>
      </c>
      <c r="S245" s="140">
        <f ca="1">IF(ISNUMBER(MATCH(DATEVALUE($A245),'recurring1_based on steps'!S$1:S$400,0)),S$2,)</f>
        <v>0</v>
      </c>
      <c r="T245" s="140">
        <f ca="1">IF(ISNUMBER(MATCH(DATEVALUE($A245),'recurring1_based on steps'!T$1:T$400,0)),T$2,)</f>
        <v>50</v>
      </c>
      <c r="U245" s="140">
        <f ca="1">IF(ISNUMBER(MATCH(DATEVALUE($A245),'recurring1_based on steps'!U$1:U$400,0)),U$2,)</f>
        <v>0</v>
      </c>
      <c r="V245" s="140">
        <f ca="1">IF(ISNUMBER(MATCH(DATEVALUE($A245),'recurring1_based on steps'!V$1:V$400,0)),V$2,)</f>
        <v>0</v>
      </c>
      <c r="W245" s="140">
        <f ca="1">IF(ISNUMBER(MATCH(DATEVALUE($A245),'recurring1_based on steps'!W$1:W$400,0)),W$2,)</f>
        <v>0</v>
      </c>
      <c r="X245" s="140">
        <f ca="1">IF(ISNUMBER(MATCH(DATEVALUE($A245),'recurring1_based on steps'!X$1:X$400,0)),X$2,)</f>
        <v>0</v>
      </c>
      <c r="Y245" s="140">
        <f ca="1">IF(ISNUMBER(MATCH(DATEVALUE($A245),'recurring1_based on steps'!Y$1:Y$400,0)),Y$2,)</f>
        <v>0</v>
      </c>
      <c r="Z245" s="140">
        <f ca="1">IF(ISNUMBER(MATCH(DATEVALUE($A245),'recurring1_based on steps'!Z$1:Z$400,0)),Z$2,)</f>
        <v>0</v>
      </c>
      <c r="AA245" s="140">
        <f ca="1">IF(ISNUMBER(MATCH(DATEVALUE($A245),'recurring1_based on steps'!AA$1:AA$400,0)),AA$2,)</f>
        <v>0</v>
      </c>
      <c r="AB245" s="140">
        <f ca="1">IF(ISNUMBER(MATCH(DATEVALUE($A245),'recurring1_based on steps'!AB$1:AB$400,0)),AB$2,)</f>
        <v>5.5401662049861494E-2</v>
      </c>
      <c r="AC245" s="140">
        <f ca="1">IF(ISNUMBER(MATCH(DATEVALUE($A245),'recurring1_based on steps'!AC$1:AC$400,0)),AC$2,)</f>
        <v>0</v>
      </c>
      <c r="AD245" s="140">
        <f ca="1">IF(ISNUMBER(MATCH(DATEVALUE($A245),'recurring1_based on steps'!AD$1:AD$400,0)),AD$2,)</f>
        <v>0</v>
      </c>
      <c r="AE245" s="140">
        <f ca="1">IF(ISNUMBER(MATCH(DATEVALUE($A245),'recurring1_based on steps'!AE$1:AE$400,0)),AE$2,)</f>
        <v>0</v>
      </c>
      <c r="AF245" s="140">
        <f ca="1">IF(ISNUMBER(MATCH(DATEVALUE($A245),'recurring1_based on steps'!AF$1:AF$400,0)),AF$2,)</f>
        <v>0</v>
      </c>
      <c r="AG245" s="140">
        <f ca="1">IF(ISNUMBER(MATCH(DATEVALUE($A245),'recurring1_based on steps'!AG$1:AG$400,0)),AG$2,)</f>
        <v>0</v>
      </c>
      <c r="AH245" s="140">
        <f ca="1">IF(ISNUMBER(MATCH(DATEVALUE($A245),'recurring1_based on steps'!AH$1:AH$400,0)),AH$2,)</f>
        <v>0</v>
      </c>
      <c r="AI245" s="140">
        <f ca="1">IF(ISNUMBER(MATCH(DATEVALUE($A245),'recurring1_based on steps'!AI$1:AI$400,0)),AI$2,)</f>
        <v>0</v>
      </c>
      <c r="AJ245" s="140">
        <f ca="1">IF(ISNUMBER(MATCH(DATEVALUE($A245),'recurring1_based on steps'!AJ$1:AJ$400,0)),AJ$2,)</f>
        <v>0</v>
      </c>
      <c r="AK245" s="140">
        <f ca="1">IF(ISNUMBER(MATCH(DATEVALUE($A245),'recurring1_based on steps'!AK$1:AK$400,0)),AK$2,)</f>
        <v>0</v>
      </c>
      <c r="AL245" s="140">
        <f ca="1">IF(ISNUMBER(MATCH(DATEVALUE($A245),'recurring1_based on steps'!AL$1:AL$400,0)),AL$2,)</f>
        <v>0</v>
      </c>
      <c r="AM245" s="140">
        <f ca="1">IF(ISNUMBER(MATCH(DATEVALUE($A245),'recurring1_based on steps'!AM$1:AM$400,0)),AM$2,)</f>
        <v>0</v>
      </c>
      <c r="AN245" s="140">
        <f ca="1">IF(ISNUMBER(MATCH(DATEVALUE($A245),'recurring1_based on steps'!AN$1:AN$400,0)),AN$2,)</f>
        <v>0</v>
      </c>
      <c r="AO245" s="140">
        <f ca="1">IF(ISNUMBER(MATCH(DATEVALUE($A245),'recurring1_based on steps'!AO$1:AO$400,0)),AO$2,)</f>
        <v>0</v>
      </c>
      <c r="AP245" s="140">
        <f ca="1">IF(ISNUMBER(MATCH(DATEVALUE($A245),'recurring1_based on steps'!AP$1:AP$400,0)),AP$2,)</f>
        <v>0</v>
      </c>
      <c r="AQ245" s="140">
        <f ca="1">IF(ISNUMBER(MATCH(DATEVALUE($A245),'recurring1_based on steps'!AQ$1:AQ$400,0)),AQ$2,)</f>
        <v>0</v>
      </c>
      <c r="AR245" s="140">
        <f ca="1">IF(ISNUMBER(MATCH(DATEVALUE($A245),'recurring1_based on steps'!AR$1:AR$400,0)),AR$2,)</f>
        <v>0</v>
      </c>
      <c r="AS245" s="140">
        <f ca="1">IF(ISNUMBER(MATCH(DATEVALUE($A245),'recurring1_based on steps'!AS$1:AS$400,0)),AS$2,)</f>
        <v>0</v>
      </c>
      <c r="AT245" s="140">
        <f ca="1">IF(ISNUMBER(MATCH(DATEVALUE($A245),'recurring1_based on steps'!AT$1:AT$400,0)),AT$2,)</f>
        <v>0</v>
      </c>
      <c r="AU245" s="140">
        <f ca="1">IF(ISNUMBER(MATCH(DATEVALUE($A245),'recurring1_based on steps'!AU$1:AU$400,0)),AU$2,)</f>
        <v>0</v>
      </c>
      <c r="AV245" s="140">
        <f ca="1">IF(ISNUMBER(MATCH(DATEVALUE($A245),'recurring1_based on steps'!AV$1:AV$400,0)),AV$2,)</f>
        <v>0</v>
      </c>
      <c r="AW245" s="140">
        <f ca="1">IF(ISNUMBER(MATCH(DATEVALUE($A245),'recurring1_based on steps'!AW$1:AW$400,0)),AW$2,)</f>
        <v>0</v>
      </c>
      <c r="AX245" s="140">
        <f ca="1">IF(ISNUMBER(MATCH(DATEVALUE($A245),'recurring1_based on steps'!AX$1:AX$400,0)),AX$2,)</f>
        <v>0</v>
      </c>
      <c r="AY245" s="140">
        <f ca="1">IF(ISNUMBER(MATCH(DATEVALUE($A245),'recurring1_based on steps'!AY$1:AY$400,0)),AY$2,)</f>
        <v>0</v>
      </c>
    </row>
    <row r="246" spans="1:51" x14ac:dyDescent="0.2">
      <c r="A246" s="29" t="str">
        <f t="shared" ca="1" si="3"/>
        <v>2025-11-25</v>
      </c>
      <c r="B246" s="140">
        <f ca="1">IF(ISNUMBER(MATCH(DATEVALUE($A246),'recurring1_based on steps'!B$1:B$400,0)),B$2,)</f>
        <v>0</v>
      </c>
      <c r="C246" s="140">
        <f ca="1">IF(ISNUMBER(MATCH(DATEVALUE($A246),'recurring1_based on steps'!C$1:C$400,0)),C$2,)</f>
        <v>0</v>
      </c>
      <c r="D246" s="140">
        <f ca="1">IF(ISNUMBER(MATCH(DATEVALUE($A246),'recurring1_based on steps'!D$1:D$400,0)),D$2,)</f>
        <v>0</v>
      </c>
      <c r="E246" s="140">
        <f ca="1">IF(ISNUMBER(MATCH(DATEVALUE($A246),'recurring1_based on steps'!E$1:E$400,0)),E$2,)</f>
        <v>0</v>
      </c>
      <c r="F246" s="140">
        <f ca="1">IF(ISNUMBER(MATCH(DATEVALUE($A246),'recurring1_based on steps'!F$1:F$400,0)),F$2,)</f>
        <v>0</v>
      </c>
      <c r="G246" s="140">
        <f ca="1">IF(ISNUMBER(MATCH(DATEVALUE($A246),'recurring1_based on steps'!G$1:G$400,0)),G$2,)</f>
        <v>0</v>
      </c>
      <c r="H246" s="140">
        <f ca="1">IF(ISNUMBER(MATCH(DATEVALUE($A246),'recurring1_based on steps'!H$1:H$400,0)),H$2,)</f>
        <v>0</v>
      </c>
      <c r="I246" s="140">
        <f ca="1">IF(ISNUMBER(MATCH(DATEVALUE($A246),'recurring1_based on steps'!I$1:I$400,0)),I$2,)</f>
        <v>0</v>
      </c>
      <c r="J246" s="140">
        <f ca="1">IF(ISNUMBER(MATCH(DATEVALUE($A246),'recurring1_based on steps'!J$1:J$400,0)),J$2,)</f>
        <v>0</v>
      </c>
      <c r="K246" s="140">
        <f ca="1">IF(ISNUMBER(MATCH(DATEVALUE($A246),'recurring1_based on steps'!K$1:K$400,0)),K$2,)</f>
        <v>0</v>
      </c>
      <c r="L246" s="140">
        <f ca="1">IF(ISNUMBER(MATCH(DATEVALUE($A246),'recurring1_based on steps'!L$1:L$400,0)),L$2,)</f>
        <v>0</v>
      </c>
      <c r="M246" s="140">
        <f ca="1">IF(ISNUMBER(MATCH(DATEVALUE($A246),'recurring1_based on steps'!M$1:M$400,0)),M$2,)</f>
        <v>0</v>
      </c>
      <c r="N246" s="140">
        <f ca="1">IF(ISNUMBER(MATCH(DATEVALUE($A246),'recurring1_based on steps'!N$1:N$400,0)),N$2,)</f>
        <v>0</v>
      </c>
      <c r="O246" s="140">
        <f ca="1">IF(ISNUMBER(MATCH(DATEVALUE($A246),'recurring1_based on steps'!O$1:O$400,0)),O$2,)</f>
        <v>0</v>
      </c>
      <c r="P246" s="140">
        <f ca="1">IF(ISNUMBER(MATCH(DATEVALUE($A246),'recurring1_based on steps'!P$1:P$400,0)),P$2,)</f>
        <v>0</v>
      </c>
      <c r="Q246" s="140">
        <f ca="1">IF(ISNUMBER(MATCH(DATEVALUE($A246),'recurring1_based on steps'!Q$1:Q$400,0)),Q$2,)</f>
        <v>0</v>
      </c>
      <c r="R246" s="140">
        <f ca="1">IF(ISNUMBER(MATCH(DATEVALUE($A246),'recurring1_based on steps'!R$1:R$400,0)),R$2,)</f>
        <v>0</v>
      </c>
      <c r="S246" s="140">
        <f ca="1">IF(ISNUMBER(MATCH(DATEVALUE($A246),'recurring1_based on steps'!S$1:S$400,0)),S$2,)</f>
        <v>0</v>
      </c>
      <c r="T246" s="140">
        <f ca="1">IF(ISNUMBER(MATCH(DATEVALUE($A246),'recurring1_based on steps'!T$1:T$400,0)),T$2,)</f>
        <v>0</v>
      </c>
      <c r="U246" s="140">
        <f ca="1">IF(ISNUMBER(MATCH(DATEVALUE($A246),'recurring1_based on steps'!U$1:U$400,0)),U$2,)</f>
        <v>0</v>
      </c>
      <c r="V246" s="140">
        <f ca="1">IF(ISNUMBER(MATCH(DATEVALUE($A246),'recurring1_based on steps'!V$1:V$400,0)),V$2,)</f>
        <v>0</v>
      </c>
      <c r="W246" s="140">
        <f ca="1">IF(ISNUMBER(MATCH(DATEVALUE($A246),'recurring1_based on steps'!W$1:W$400,0)),W$2,)</f>
        <v>0</v>
      </c>
      <c r="X246" s="140">
        <f ca="1">IF(ISNUMBER(MATCH(DATEVALUE($A246),'recurring1_based on steps'!X$1:X$400,0)),X$2,)</f>
        <v>0</v>
      </c>
      <c r="Y246" s="140">
        <f ca="1">IF(ISNUMBER(MATCH(DATEVALUE($A246),'recurring1_based on steps'!Y$1:Y$400,0)),Y$2,)</f>
        <v>0</v>
      </c>
      <c r="Z246" s="140">
        <f ca="1">IF(ISNUMBER(MATCH(DATEVALUE($A246),'recurring1_based on steps'!Z$1:Z$400,0)),Z$2,)</f>
        <v>0</v>
      </c>
      <c r="AA246" s="140">
        <f ca="1">IF(ISNUMBER(MATCH(DATEVALUE($A246),'recurring1_based on steps'!AA$1:AA$400,0)),AA$2,)</f>
        <v>0</v>
      </c>
      <c r="AB246" s="140">
        <f ca="1">IF(ISNUMBER(MATCH(DATEVALUE($A246),'recurring1_based on steps'!AB$1:AB$400,0)),AB$2,)</f>
        <v>5.5401662049861494E-2</v>
      </c>
      <c r="AC246" s="140">
        <f ca="1">IF(ISNUMBER(MATCH(DATEVALUE($A246),'recurring1_based on steps'!AC$1:AC$400,0)),AC$2,)</f>
        <v>0</v>
      </c>
      <c r="AD246" s="140">
        <f ca="1">IF(ISNUMBER(MATCH(DATEVALUE($A246),'recurring1_based on steps'!AD$1:AD$400,0)),AD$2,)</f>
        <v>0</v>
      </c>
      <c r="AE246" s="140">
        <f ca="1">IF(ISNUMBER(MATCH(DATEVALUE($A246),'recurring1_based on steps'!AE$1:AE$400,0)),AE$2,)</f>
        <v>0</v>
      </c>
      <c r="AF246" s="140">
        <f ca="1">IF(ISNUMBER(MATCH(DATEVALUE($A246),'recurring1_based on steps'!AF$1:AF$400,0)),AF$2,)</f>
        <v>0</v>
      </c>
      <c r="AG246" s="140">
        <f ca="1">IF(ISNUMBER(MATCH(DATEVALUE($A246),'recurring1_based on steps'!AG$1:AG$400,0)),AG$2,)</f>
        <v>0</v>
      </c>
      <c r="AH246" s="140">
        <f ca="1">IF(ISNUMBER(MATCH(DATEVALUE($A246),'recurring1_based on steps'!AH$1:AH$400,0)),AH$2,)</f>
        <v>0</v>
      </c>
      <c r="AI246" s="140">
        <f ca="1">IF(ISNUMBER(MATCH(DATEVALUE($A246),'recurring1_based on steps'!AI$1:AI$400,0)),AI$2,)</f>
        <v>0</v>
      </c>
      <c r="AJ246" s="140">
        <f ca="1">IF(ISNUMBER(MATCH(DATEVALUE($A246),'recurring1_based on steps'!AJ$1:AJ$400,0)),AJ$2,)</f>
        <v>0</v>
      </c>
      <c r="AK246" s="140">
        <f ca="1">IF(ISNUMBER(MATCH(DATEVALUE($A246),'recurring1_based on steps'!AK$1:AK$400,0)),AK$2,)</f>
        <v>0</v>
      </c>
      <c r="AL246" s="140">
        <f ca="1">IF(ISNUMBER(MATCH(DATEVALUE($A246),'recurring1_based on steps'!AL$1:AL$400,0)),AL$2,)</f>
        <v>0</v>
      </c>
      <c r="AM246" s="140">
        <f ca="1">IF(ISNUMBER(MATCH(DATEVALUE($A246),'recurring1_based on steps'!AM$1:AM$400,0)),AM$2,)</f>
        <v>0</v>
      </c>
      <c r="AN246" s="140">
        <f ca="1">IF(ISNUMBER(MATCH(DATEVALUE($A246),'recurring1_based on steps'!AN$1:AN$400,0)),AN$2,)</f>
        <v>0</v>
      </c>
      <c r="AO246" s="140">
        <f ca="1">IF(ISNUMBER(MATCH(DATEVALUE($A246),'recurring1_based on steps'!AO$1:AO$400,0)),AO$2,)</f>
        <v>0</v>
      </c>
      <c r="AP246" s="140">
        <f ca="1">IF(ISNUMBER(MATCH(DATEVALUE($A246),'recurring1_based on steps'!AP$1:AP$400,0)),AP$2,)</f>
        <v>0</v>
      </c>
      <c r="AQ246" s="140">
        <f ca="1">IF(ISNUMBER(MATCH(DATEVALUE($A246),'recurring1_based on steps'!AQ$1:AQ$400,0)),AQ$2,)</f>
        <v>0</v>
      </c>
      <c r="AR246" s="140">
        <f ca="1">IF(ISNUMBER(MATCH(DATEVALUE($A246),'recurring1_based on steps'!AR$1:AR$400,0)),AR$2,)</f>
        <v>0</v>
      </c>
      <c r="AS246" s="140">
        <f ca="1">IF(ISNUMBER(MATCH(DATEVALUE($A246),'recurring1_based on steps'!AS$1:AS$400,0)),AS$2,)</f>
        <v>0</v>
      </c>
      <c r="AT246" s="140">
        <f ca="1">IF(ISNUMBER(MATCH(DATEVALUE($A246),'recurring1_based on steps'!AT$1:AT$400,0)),AT$2,)</f>
        <v>0</v>
      </c>
      <c r="AU246" s="140">
        <f ca="1">IF(ISNUMBER(MATCH(DATEVALUE($A246),'recurring1_based on steps'!AU$1:AU$400,0)),AU$2,)</f>
        <v>0</v>
      </c>
      <c r="AV246" s="140">
        <f ca="1">IF(ISNUMBER(MATCH(DATEVALUE($A246),'recurring1_based on steps'!AV$1:AV$400,0)),AV$2,)</f>
        <v>0</v>
      </c>
      <c r="AW246" s="140">
        <f ca="1">IF(ISNUMBER(MATCH(DATEVALUE($A246),'recurring1_based on steps'!AW$1:AW$400,0)),AW$2,)</f>
        <v>0</v>
      </c>
      <c r="AX246" s="140">
        <f ca="1">IF(ISNUMBER(MATCH(DATEVALUE($A246),'recurring1_based on steps'!AX$1:AX$400,0)),AX$2,)</f>
        <v>0</v>
      </c>
      <c r="AY246" s="140">
        <f ca="1">IF(ISNUMBER(MATCH(DATEVALUE($A246),'recurring1_based on steps'!AY$1:AY$400,0)),AY$2,)</f>
        <v>0</v>
      </c>
    </row>
    <row r="247" spans="1:51" x14ac:dyDescent="0.2">
      <c r="A247" s="29" t="str">
        <f t="shared" ca="1" si="3"/>
        <v>2025-11-26</v>
      </c>
      <c r="B247" s="140">
        <f ca="1">IF(ISNUMBER(MATCH(DATEVALUE($A247),'recurring1_based on steps'!B$1:B$400,0)),B$2,)</f>
        <v>0</v>
      </c>
      <c r="C247" s="140">
        <f ca="1">IF(ISNUMBER(MATCH(DATEVALUE($A247),'recurring1_based on steps'!C$1:C$400,0)),C$2,)</f>
        <v>0</v>
      </c>
      <c r="D247" s="140">
        <f ca="1">IF(ISNUMBER(MATCH(DATEVALUE($A247),'recurring1_based on steps'!D$1:D$400,0)),D$2,)</f>
        <v>0</v>
      </c>
      <c r="E247" s="140">
        <f ca="1">IF(ISNUMBER(MATCH(DATEVALUE($A247),'recurring1_based on steps'!E$1:E$400,0)),E$2,)</f>
        <v>0</v>
      </c>
      <c r="F247" s="140">
        <f ca="1">IF(ISNUMBER(MATCH(DATEVALUE($A247),'recurring1_based on steps'!F$1:F$400,0)),F$2,)</f>
        <v>0</v>
      </c>
      <c r="G247" s="140">
        <f ca="1">IF(ISNUMBER(MATCH(DATEVALUE($A247),'recurring1_based on steps'!G$1:G$400,0)),G$2,)</f>
        <v>0</v>
      </c>
      <c r="H247" s="140">
        <f ca="1">IF(ISNUMBER(MATCH(DATEVALUE($A247),'recurring1_based on steps'!H$1:H$400,0)),H$2,)</f>
        <v>0</v>
      </c>
      <c r="I247" s="140">
        <f ca="1">IF(ISNUMBER(MATCH(DATEVALUE($A247),'recurring1_based on steps'!I$1:I$400,0)),I$2,)</f>
        <v>0</v>
      </c>
      <c r="J247" s="140">
        <f ca="1">IF(ISNUMBER(MATCH(DATEVALUE($A247),'recurring1_based on steps'!J$1:J$400,0)),J$2,)</f>
        <v>0</v>
      </c>
      <c r="K247" s="140">
        <f ca="1">IF(ISNUMBER(MATCH(DATEVALUE($A247),'recurring1_based on steps'!K$1:K$400,0)),K$2,)</f>
        <v>0</v>
      </c>
      <c r="L247" s="140">
        <f ca="1">IF(ISNUMBER(MATCH(DATEVALUE($A247),'recurring1_based on steps'!L$1:L$400,0)),L$2,)</f>
        <v>0</v>
      </c>
      <c r="M247" s="140">
        <f ca="1">IF(ISNUMBER(MATCH(DATEVALUE($A247),'recurring1_based on steps'!M$1:M$400,0)),M$2,)</f>
        <v>0</v>
      </c>
      <c r="N247" s="140">
        <f ca="1">IF(ISNUMBER(MATCH(DATEVALUE($A247),'recurring1_based on steps'!N$1:N$400,0)),N$2,)</f>
        <v>0</v>
      </c>
      <c r="O247" s="140">
        <f ca="1">IF(ISNUMBER(MATCH(DATEVALUE($A247),'recurring1_based on steps'!O$1:O$400,0)),O$2,)</f>
        <v>0</v>
      </c>
      <c r="P247" s="140">
        <f ca="1">IF(ISNUMBER(MATCH(DATEVALUE($A247),'recurring1_based on steps'!P$1:P$400,0)),P$2,)</f>
        <v>0</v>
      </c>
      <c r="Q247" s="140">
        <f ca="1">IF(ISNUMBER(MATCH(DATEVALUE($A247),'recurring1_based on steps'!Q$1:Q$400,0)),Q$2,)</f>
        <v>0</v>
      </c>
      <c r="R247" s="140">
        <f ca="1">IF(ISNUMBER(MATCH(DATEVALUE($A247),'recurring1_based on steps'!R$1:R$400,0)),R$2,)</f>
        <v>0</v>
      </c>
      <c r="S247" s="140">
        <f ca="1">IF(ISNUMBER(MATCH(DATEVALUE($A247),'recurring1_based on steps'!S$1:S$400,0)),S$2,)</f>
        <v>0</v>
      </c>
      <c r="T247" s="140">
        <f ca="1">IF(ISNUMBER(MATCH(DATEVALUE($A247),'recurring1_based on steps'!T$1:T$400,0)),T$2,)</f>
        <v>0</v>
      </c>
      <c r="U247" s="140">
        <f ca="1">IF(ISNUMBER(MATCH(DATEVALUE($A247),'recurring1_based on steps'!U$1:U$400,0)),U$2,)</f>
        <v>0</v>
      </c>
      <c r="V247" s="140">
        <f ca="1">IF(ISNUMBER(MATCH(DATEVALUE($A247),'recurring1_based on steps'!V$1:V$400,0)),V$2,)</f>
        <v>0</v>
      </c>
      <c r="W247" s="140">
        <f ca="1">IF(ISNUMBER(MATCH(DATEVALUE($A247),'recurring1_based on steps'!W$1:W$400,0)),W$2,)</f>
        <v>0</v>
      </c>
      <c r="X247" s="140">
        <f ca="1">IF(ISNUMBER(MATCH(DATEVALUE($A247),'recurring1_based on steps'!X$1:X$400,0)),X$2,)</f>
        <v>0</v>
      </c>
      <c r="Y247" s="140">
        <f ca="1">IF(ISNUMBER(MATCH(DATEVALUE($A247),'recurring1_based on steps'!Y$1:Y$400,0)),Y$2,)</f>
        <v>0</v>
      </c>
      <c r="Z247" s="140">
        <f ca="1">IF(ISNUMBER(MATCH(DATEVALUE($A247),'recurring1_based on steps'!Z$1:Z$400,0)),Z$2,)</f>
        <v>0</v>
      </c>
      <c r="AA247" s="140">
        <f ca="1">IF(ISNUMBER(MATCH(DATEVALUE($A247),'recurring1_based on steps'!AA$1:AA$400,0)),AA$2,)</f>
        <v>0</v>
      </c>
      <c r="AB247" s="140">
        <f ca="1">IF(ISNUMBER(MATCH(DATEVALUE($A247),'recurring1_based on steps'!AB$1:AB$400,0)),AB$2,)</f>
        <v>5.5401662049861494E-2</v>
      </c>
      <c r="AC247" s="140">
        <f ca="1">IF(ISNUMBER(MATCH(DATEVALUE($A247),'recurring1_based on steps'!AC$1:AC$400,0)),AC$2,)</f>
        <v>0</v>
      </c>
      <c r="AD247" s="140">
        <f ca="1">IF(ISNUMBER(MATCH(DATEVALUE($A247),'recurring1_based on steps'!AD$1:AD$400,0)),AD$2,)</f>
        <v>0</v>
      </c>
      <c r="AE247" s="140">
        <f ca="1">IF(ISNUMBER(MATCH(DATEVALUE($A247),'recurring1_based on steps'!AE$1:AE$400,0)),AE$2,)</f>
        <v>0</v>
      </c>
      <c r="AF247" s="140">
        <f ca="1">IF(ISNUMBER(MATCH(DATEVALUE($A247),'recurring1_based on steps'!AF$1:AF$400,0)),AF$2,)</f>
        <v>0</v>
      </c>
      <c r="AG247" s="140">
        <f ca="1">IF(ISNUMBER(MATCH(DATEVALUE($A247),'recurring1_based on steps'!AG$1:AG$400,0)),AG$2,)</f>
        <v>0</v>
      </c>
      <c r="AH247" s="140">
        <f ca="1">IF(ISNUMBER(MATCH(DATEVALUE($A247),'recurring1_based on steps'!AH$1:AH$400,0)),AH$2,)</f>
        <v>0</v>
      </c>
      <c r="AI247" s="140">
        <f ca="1">IF(ISNUMBER(MATCH(DATEVALUE($A247),'recurring1_based on steps'!AI$1:AI$400,0)),AI$2,)</f>
        <v>0</v>
      </c>
      <c r="AJ247" s="140">
        <f ca="1">IF(ISNUMBER(MATCH(DATEVALUE($A247),'recurring1_based on steps'!AJ$1:AJ$400,0)),AJ$2,)</f>
        <v>0</v>
      </c>
      <c r="AK247" s="140">
        <f ca="1">IF(ISNUMBER(MATCH(DATEVALUE($A247),'recurring1_based on steps'!AK$1:AK$400,0)),AK$2,)</f>
        <v>0</v>
      </c>
      <c r="AL247" s="140">
        <f ca="1">IF(ISNUMBER(MATCH(DATEVALUE($A247),'recurring1_based on steps'!AL$1:AL$400,0)),AL$2,)</f>
        <v>0</v>
      </c>
      <c r="AM247" s="140">
        <f ca="1">IF(ISNUMBER(MATCH(DATEVALUE($A247),'recurring1_based on steps'!AM$1:AM$400,0)),AM$2,)</f>
        <v>0</v>
      </c>
      <c r="AN247" s="140">
        <f ca="1">IF(ISNUMBER(MATCH(DATEVALUE($A247),'recurring1_based on steps'!AN$1:AN$400,0)),AN$2,)</f>
        <v>0</v>
      </c>
      <c r="AO247" s="140">
        <f ca="1">IF(ISNUMBER(MATCH(DATEVALUE($A247),'recurring1_based on steps'!AO$1:AO$400,0)),AO$2,)</f>
        <v>0</v>
      </c>
      <c r="AP247" s="140">
        <f ca="1">IF(ISNUMBER(MATCH(DATEVALUE($A247),'recurring1_based on steps'!AP$1:AP$400,0)),AP$2,)</f>
        <v>0</v>
      </c>
      <c r="AQ247" s="140">
        <f ca="1">IF(ISNUMBER(MATCH(DATEVALUE($A247),'recurring1_based on steps'!AQ$1:AQ$400,0)),AQ$2,)</f>
        <v>0</v>
      </c>
      <c r="AR247" s="140">
        <f ca="1">IF(ISNUMBER(MATCH(DATEVALUE($A247),'recurring1_based on steps'!AR$1:AR$400,0)),AR$2,)</f>
        <v>0</v>
      </c>
      <c r="AS247" s="140">
        <f ca="1">IF(ISNUMBER(MATCH(DATEVALUE($A247),'recurring1_based on steps'!AS$1:AS$400,0)),AS$2,)</f>
        <v>0</v>
      </c>
      <c r="AT247" s="140">
        <f ca="1">IF(ISNUMBER(MATCH(DATEVALUE($A247),'recurring1_based on steps'!AT$1:AT$400,0)),AT$2,)</f>
        <v>0</v>
      </c>
      <c r="AU247" s="140">
        <f ca="1">IF(ISNUMBER(MATCH(DATEVALUE($A247),'recurring1_based on steps'!AU$1:AU$400,0)),AU$2,)</f>
        <v>0</v>
      </c>
      <c r="AV247" s="140">
        <f ca="1">IF(ISNUMBER(MATCH(DATEVALUE($A247),'recurring1_based on steps'!AV$1:AV$400,0)),AV$2,)</f>
        <v>0</v>
      </c>
      <c r="AW247" s="140">
        <f ca="1">IF(ISNUMBER(MATCH(DATEVALUE($A247),'recurring1_based on steps'!AW$1:AW$400,0)),AW$2,)</f>
        <v>0</v>
      </c>
      <c r="AX247" s="140">
        <f ca="1">IF(ISNUMBER(MATCH(DATEVALUE($A247),'recurring1_based on steps'!AX$1:AX$400,0)),AX$2,)</f>
        <v>0</v>
      </c>
      <c r="AY247" s="140">
        <f ca="1">IF(ISNUMBER(MATCH(DATEVALUE($A247),'recurring1_based on steps'!AY$1:AY$400,0)),AY$2,)</f>
        <v>0</v>
      </c>
    </row>
    <row r="248" spans="1:51" x14ac:dyDescent="0.2">
      <c r="A248" s="29" t="str">
        <f t="shared" ca="1" si="3"/>
        <v>2025-11-27</v>
      </c>
      <c r="B248" s="140">
        <f ca="1">IF(ISNUMBER(MATCH(DATEVALUE($A248),'recurring1_based on steps'!B$1:B$400,0)),B$2,)</f>
        <v>0</v>
      </c>
      <c r="C248" s="140">
        <f ca="1">IF(ISNUMBER(MATCH(DATEVALUE($A248),'recurring1_based on steps'!C$1:C$400,0)),C$2,)</f>
        <v>0</v>
      </c>
      <c r="D248" s="140">
        <f ca="1">IF(ISNUMBER(MATCH(DATEVALUE($A248),'recurring1_based on steps'!D$1:D$400,0)),D$2,)</f>
        <v>0</v>
      </c>
      <c r="E248" s="140">
        <f ca="1">IF(ISNUMBER(MATCH(DATEVALUE($A248),'recurring1_based on steps'!E$1:E$400,0)),E$2,)</f>
        <v>0</v>
      </c>
      <c r="F248" s="140">
        <f ca="1">IF(ISNUMBER(MATCH(DATEVALUE($A248),'recurring1_based on steps'!F$1:F$400,0)),F$2,)</f>
        <v>0</v>
      </c>
      <c r="G248" s="140">
        <f ca="1">IF(ISNUMBER(MATCH(DATEVALUE($A248),'recurring1_based on steps'!G$1:G$400,0)),G$2,)</f>
        <v>0</v>
      </c>
      <c r="H248" s="140">
        <f ca="1">IF(ISNUMBER(MATCH(DATEVALUE($A248),'recurring1_based on steps'!H$1:H$400,0)),H$2,)</f>
        <v>0</v>
      </c>
      <c r="I248" s="140">
        <f ca="1">IF(ISNUMBER(MATCH(DATEVALUE($A248),'recurring1_based on steps'!I$1:I$400,0)),I$2,)</f>
        <v>0</v>
      </c>
      <c r="J248" s="140">
        <f ca="1">IF(ISNUMBER(MATCH(DATEVALUE($A248),'recurring1_based on steps'!J$1:J$400,0)),J$2,)</f>
        <v>0</v>
      </c>
      <c r="K248" s="140">
        <f ca="1">IF(ISNUMBER(MATCH(DATEVALUE($A248),'recurring1_based on steps'!K$1:K$400,0)),K$2,)</f>
        <v>0</v>
      </c>
      <c r="L248" s="140">
        <f ca="1">IF(ISNUMBER(MATCH(DATEVALUE($A248),'recurring1_based on steps'!L$1:L$400,0)),L$2,)</f>
        <v>0</v>
      </c>
      <c r="M248" s="140">
        <f ca="1">IF(ISNUMBER(MATCH(DATEVALUE($A248),'recurring1_based on steps'!M$1:M$400,0)),M$2,)</f>
        <v>0</v>
      </c>
      <c r="N248" s="140">
        <f ca="1">IF(ISNUMBER(MATCH(DATEVALUE($A248),'recurring1_based on steps'!N$1:N$400,0)),N$2,)</f>
        <v>0</v>
      </c>
      <c r="O248" s="140">
        <f ca="1">IF(ISNUMBER(MATCH(DATEVALUE($A248),'recurring1_based on steps'!O$1:O$400,0)),O$2,)</f>
        <v>0</v>
      </c>
      <c r="P248" s="140">
        <f ca="1">IF(ISNUMBER(MATCH(DATEVALUE($A248),'recurring1_based on steps'!P$1:P$400,0)),P$2,)</f>
        <v>2.99</v>
      </c>
      <c r="Q248" s="140">
        <f ca="1">IF(ISNUMBER(MATCH(DATEVALUE($A248),'recurring1_based on steps'!Q$1:Q$400,0)),Q$2,)</f>
        <v>0</v>
      </c>
      <c r="R248" s="140">
        <f ca="1">IF(ISNUMBER(MATCH(DATEVALUE($A248),'recurring1_based on steps'!R$1:R$400,0)),R$2,)</f>
        <v>0</v>
      </c>
      <c r="S248" s="140">
        <f ca="1">IF(ISNUMBER(MATCH(DATEVALUE($A248),'recurring1_based on steps'!S$1:S$400,0)),S$2,)</f>
        <v>0</v>
      </c>
      <c r="T248" s="140">
        <f ca="1">IF(ISNUMBER(MATCH(DATEVALUE($A248),'recurring1_based on steps'!T$1:T$400,0)),T$2,)</f>
        <v>0</v>
      </c>
      <c r="U248" s="140">
        <f ca="1">IF(ISNUMBER(MATCH(DATEVALUE($A248),'recurring1_based on steps'!U$1:U$400,0)),U$2,)</f>
        <v>0</v>
      </c>
      <c r="V248" s="140">
        <f ca="1">IF(ISNUMBER(MATCH(DATEVALUE($A248),'recurring1_based on steps'!V$1:V$400,0)),V$2,)</f>
        <v>0</v>
      </c>
      <c r="W248" s="140">
        <f ca="1">IF(ISNUMBER(MATCH(DATEVALUE($A248),'recurring1_based on steps'!W$1:W$400,0)),W$2,)</f>
        <v>0</v>
      </c>
      <c r="X248" s="140">
        <f ca="1">IF(ISNUMBER(MATCH(DATEVALUE($A248),'recurring1_based on steps'!X$1:X$400,0)),X$2,)</f>
        <v>0</v>
      </c>
      <c r="Y248" s="140">
        <f ca="1">IF(ISNUMBER(MATCH(DATEVALUE($A248),'recurring1_based on steps'!Y$1:Y$400,0)),Y$2,)</f>
        <v>0</v>
      </c>
      <c r="Z248" s="140">
        <f ca="1">IF(ISNUMBER(MATCH(DATEVALUE($A248),'recurring1_based on steps'!Z$1:Z$400,0)),Z$2,)</f>
        <v>0</v>
      </c>
      <c r="AA248" s="140">
        <f ca="1">IF(ISNUMBER(MATCH(DATEVALUE($A248),'recurring1_based on steps'!AA$1:AA$400,0)),AA$2,)</f>
        <v>0</v>
      </c>
      <c r="AB248" s="140">
        <f ca="1">IF(ISNUMBER(MATCH(DATEVALUE($A248),'recurring1_based on steps'!AB$1:AB$400,0)),AB$2,)</f>
        <v>5.5401662049861494E-2</v>
      </c>
      <c r="AC248" s="140">
        <f ca="1">IF(ISNUMBER(MATCH(DATEVALUE($A248),'recurring1_based on steps'!AC$1:AC$400,0)),AC$2,)</f>
        <v>0</v>
      </c>
      <c r="AD248" s="140">
        <f ca="1">IF(ISNUMBER(MATCH(DATEVALUE($A248),'recurring1_based on steps'!AD$1:AD$400,0)),AD$2,)</f>
        <v>0</v>
      </c>
      <c r="AE248" s="140">
        <f ca="1">IF(ISNUMBER(MATCH(DATEVALUE($A248),'recurring1_based on steps'!AE$1:AE$400,0)),AE$2,)</f>
        <v>0</v>
      </c>
      <c r="AF248" s="140">
        <f ca="1">IF(ISNUMBER(MATCH(DATEVALUE($A248),'recurring1_based on steps'!AF$1:AF$400,0)),AF$2,)</f>
        <v>0</v>
      </c>
      <c r="AG248" s="140">
        <f ca="1">IF(ISNUMBER(MATCH(DATEVALUE($A248),'recurring1_based on steps'!AG$1:AG$400,0)),AG$2,)</f>
        <v>0</v>
      </c>
      <c r="AH248" s="140">
        <f ca="1">IF(ISNUMBER(MATCH(DATEVALUE($A248),'recurring1_based on steps'!AH$1:AH$400,0)),AH$2,)</f>
        <v>0</v>
      </c>
      <c r="AI248" s="140">
        <f ca="1">IF(ISNUMBER(MATCH(DATEVALUE($A248),'recurring1_based on steps'!AI$1:AI$400,0)),AI$2,)</f>
        <v>0</v>
      </c>
      <c r="AJ248" s="140">
        <f ca="1">IF(ISNUMBER(MATCH(DATEVALUE($A248),'recurring1_based on steps'!AJ$1:AJ$400,0)),AJ$2,)</f>
        <v>0</v>
      </c>
      <c r="AK248" s="140">
        <f ca="1">IF(ISNUMBER(MATCH(DATEVALUE($A248),'recurring1_based on steps'!AK$1:AK$400,0)),AK$2,)</f>
        <v>0</v>
      </c>
      <c r="AL248" s="140">
        <f ca="1">IF(ISNUMBER(MATCH(DATEVALUE($A248),'recurring1_based on steps'!AL$1:AL$400,0)),AL$2,)</f>
        <v>0</v>
      </c>
      <c r="AM248" s="140">
        <f ca="1">IF(ISNUMBER(MATCH(DATEVALUE($A248),'recurring1_based on steps'!AM$1:AM$400,0)),AM$2,)</f>
        <v>0</v>
      </c>
      <c r="AN248" s="140">
        <f ca="1">IF(ISNUMBER(MATCH(DATEVALUE($A248),'recurring1_based on steps'!AN$1:AN$400,0)),AN$2,)</f>
        <v>0</v>
      </c>
      <c r="AO248" s="140">
        <f ca="1">IF(ISNUMBER(MATCH(DATEVALUE($A248),'recurring1_based on steps'!AO$1:AO$400,0)),AO$2,)</f>
        <v>0</v>
      </c>
      <c r="AP248" s="140">
        <f ca="1">IF(ISNUMBER(MATCH(DATEVALUE($A248),'recurring1_based on steps'!AP$1:AP$400,0)),AP$2,)</f>
        <v>0</v>
      </c>
      <c r="AQ248" s="140">
        <f ca="1">IF(ISNUMBER(MATCH(DATEVALUE($A248),'recurring1_based on steps'!AQ$1:AQ$400,0)),AQ$2,)</f>
        <v>0</v>
      </c>
      <c r="AR248" s="140">
        <f ca="1">IF(ISNUMBER(MATCH(DATEVALUE($A248),'recurring1_based on steps'!AR$1:AR$400,0)),AR$2,)</f>
        <v>0</v>
      </c>
      <c r="AS248" s="140">
        <f ca="1">IF(ISNUMBER(MATCH(DATEVALUE($A248),'recurring1_based on steps'!AS$1:AS$400,0)),AS$2,)</f>
        <v>0</v>
      </c>
      <c r="AT248" s="140">
        <f ca="1">IF(ISNUMBER(MATCH(DATEVALUE($A248),'recurring1_based on steps'!AT$1:AT$400,0)),AT$2,)</f>
        <v>0</v>
      </c>
      <c r="AU248" s="140">
        <f ca="1">IF(ISNUMBER(MATCH(DATEVALUE($A248),'recurring1_based on steps'!AU$1:AU$400,0)),AU$2,)</f>
        <v>0</v>
      </c>
      <c r="AV248" s="140">
        <f ca="1">IF(ISNUMBER(MATCH(DATEVALUE($A248),'recurring1_based on steps'!AV$1:AV$400,0)),AV$2,)</f>
        <v>0</v>
      </c>
      <c r="AW248" s="140">
        <f ca="1">IF(ISNUMBER(MATCH(DATEVALUE($A248),'recurring1_based on steps'!AW$1:AW$400,0)),AW$2,)</f>
        <v>0</v>
      </c>
      <c r="AX248" s="140">
        <f ca="1">IF(ISNUMBER(MATCH(DATEVALUE($A248),'recurring1_based on steps'!AX$1:AX$400,0)),AX$2,)</f>
        <v>0</v>
      </c>
      <c r="AY248" s="140">
        <f ca="1">IF(ISNUMBER(MATCH(DATEVALUE($A248),'recurring1_based on steps'!AY$1:AY$400,0)),AY$2,)</f>
        <v>0</v>
      </c>
    </row>
    <row r="249" spans="1:51" x14ac:dyDescent="0.2">
      <c r="A249" s="29" t="str">
        <f t="shared" ca="1" si="3"/>
        <v>2025-11-28</v>
      </c>
      <c r="B249" s="140">
        <f ca="1">IF(ISNUMBER(MATCH(DATEVALUE($A249),'recurring1_based on steps'!B$1:B$400,0)),B$2,)</f>
        <v>4000</v>
      </c>
      <c r="C249" s="140">
        <f ca="1">IF(ISNUMBER(MATCH(DATEVALUE($A249),'recurring1_based on steps'!C$1:C$400,0)),C$2,)</f>
        <v>200</v>
      </c>
      <c r="D249" s="140">
        <f ca="1">IF(ISNUMBER(MATCH(DATEVALUE($A249),'recurring1_based on steps'!D$1:D$400,0)),D$2,)</f>
        <v>2</v>
      </c>
      <c r="E249" s="140">
        <f ca="1">IF(ISNUMBER(MATCH(DATEVALUE($A249),'recurring1_based on steps'!E$1:E$400,0)),E$2,)</f>
        <v>40</v>
      </c>
      <c r="F249" s="140">
        <f ca="1">IF(ISNUMBER(MATCH(DATEVALUE($A249),'recurring1_based on steps'!F$1:F$400,0)),F$2,)</f>
        <v>50</v>
      </c>
      <c r="G249" s="140">
        <f ca="1">IF(ISNUMBER(MATCH(DATEVALUE($A249),'recurring1_based on steps'!G$1:G$400,0)),G$2,)</f>
        <v>4</v>
      </c>
      <c r="H249" s="140">
        <f ca="1">IF(ISNUMBER(MATCH(DATEVALUE($A249),'recurring1_based on steps'!H$1:H$400,0)),H$2,)</f>
        <v>0</v>
      </c>
      <c r="I249" s="140">
        <f ca="1">IF(ISNUMBER(MATCH(DATEVALUE($A249),'recurring1_based on steps'!I$1:I$400,0)),I$2,)</f>
        <v>0</v>
      </c>
      <c r="J249" s="140">
        <f ca="1">IF(ISNUMBER(MATCH(DATEVALUE($A249),'recurring1_based on steps'!J$1:J$400,0)),J$2,)</f>
        <v>0</v>
      </c>
      <c r="K249" s="140">
        <f ca="1">IF(ISNUMBER(MATCH(DATEVALUE($A249),'recurring1_based on steps'!K$1:K$400,0)),K$2,)</f>
        <v>0</v>
      </c>
      <c r="L249" s="140">
        <f ca="1">IF(ISNUMBER(MATCH(DATEVALUE($A249),'recurring1_based on steps'!L$1:L$400,0)),L$2,)</f>
        <v>0</v>
      </c>
      <c r="M249" s="140">
        <f ca="1">IF(ISNUMBER(MATCH(DATEVALUE($A249),'recurring1_based on steps'!M$1:M$400,0)),M$2,)</f>
        <v>0</v>
      </c>
      <c r="N249" s="140">
        <f ca="1">IF(ISNUMBER(MATCH(DATEVALUE($A249),'recurring1_based on steps'!N$1:N$400,0)),N$2,)</f>
        <v>0</v>
      </c>
      <c r="O249" s="140">
        <f ca="1">IF(ISNUMBER(MATCH(DATEVALUE($A249),'recurring1_based on steps'!O$1:O$400,0)),O$2,)</f>
        <v>0</v>
      </c>
      <c r="P249" s="140">
        <f ca="1">IF(ISNUMBER(MATCH(DATEVALUE($A249),'recurring1_based on steps'!P$1:P$400,0)),P$2,)</f>
        <v>0</v>
      </c>
      <c r="Q249" s="140">
        <f ca="1">IF(ISNUMBER(MATCH(DATEVALUE($A249),'recurring1_based on steps'!Q$1:Q$400,0)),Q$2,)</f>
        <v>0</v>
      </c>
      <c r="R249" s="140">
        <f ca="1">IF(ISNUMBER(MATCH(DATEVALUE($A249),'recurring1_based on steps'!R$1:R$400,0)),R$2,)</f>
        <v>0</v>
      </c>
      <c r="S249" s="140">
        <f ca="1">IF(ISNUMBER(MATCH(DATEVALUE($A249),'recurring1_based on steps'!S$1:S$400,0)),S$2,)</f>
        <v>0</v>
      </c>
      <c r="T249" s="140">
        <f ca="1">IF(ISNUMBER(MATCH(DATEVALUE($A249),'recurring1_based on steps'!T$1:T$400,0)),T$2,)</f>
        <v>0</v>
      </c>
      <c r="U249" s="140">
        <f ca="1">IF(ISNUMBER(MATCH(DATEVALUE($A249),'recurring1_based on steps'!U$1:U$400,0)),U$2,)</f>
        <v>0</v>
      </c>
      <c r="V249" s="140">
        <f ca="1">IF(ISNUMBER(MATCH(DATEVALUE($A249),'recurring1_based on steps'!V$1:V$400,0)),V$2,)</f>
        <v>0</v>
      </c>
      <c r="W249" s="140">
        <f ca="1">IF(ISNUMBER(MATCH(DATEVALUE($A249),'recurring1_based on steps'!W$1:W$400,0)),W$2,)</f>
        <v>0</v>
      </c>
      <c r="X249" s="140">
        <f ca="1">IF(ISNUMBER(MATCH(DATEVALUE($A249),'recurring1_based on steps'!X$1:X$400,0)),X$2,)</f>
        <v>50</v>
      </c>
      <c r="Y249" s="140">
        <f ca="1">IF(ISNUMBER(MATCH(DATEVALUE($A249),'recurring1_based on steps'!Y$1:Y$400,0)),Y$2,)</f>
        <v>50</v>
      </c>
      <c r="Z249" s="140">
        <f ca="1">IF(ISNUMBER(MATCH(DATEVALUE($A249),'recurring1_based on steps'!Z$1:Z$400,0)),Z$2,)</f>
        <v>0</v>
      </c>
      <c r="AA249" s="140">
        <f ca="1">IF(ISNUMBER(MATCH(DATEVALUE($A249),'recurring1_based on steps'!AA$1:AA$400,0)),AA$2,)</f>
        <v>0</v>
      </c>
      <c r="AB249" s="140">
        <f ca="1">IF(ISNUMBER(MATCH(DATEVALUE($A249),'recurring1_based on steps'!AB$1:AB$400,0)),AB$2,)</f>
        <v>5.5401662049861494E-2</v>
      </c>
      <c r="AC249" s="140">
        <f ca="1">IF(ISNUMBER(MATCH(DATEVALUE($A249),'recurring1_based on steps'!AC$1:AC$400,0)),AC$2,)</f>
        <v>0</v>
      </c>
      <c r="AD249" s="140">
        <f ca="1">IF(ISNUMBER(MATCH(DATEVALUE($A249),'recurring1_based on steps'!AD$1:AD$400,0)),AD$2,)</f>
        <v>0</v>
      </c>
      <c r="AE249" s="140">
        <f ca="1">IF(ISNUMBER(MATCH(DATEVALUE($A249),'recurring1_based on steps'!AE$1:AE$400,0)),AE$2,)</f>
        <v>0</v>
      </c>
      <c r="AF249" s="140">
        <f ca="1">IF(ISNUMBER(MATCH(DATEVALUE($A249),'recurring1_based on steps'!AF$1:AF$400,0)),AF$2,)</f>
        <v>0</v>
      </c>
      <c r="AG249" s="140">
        <f ca="1">IF(ISNUMBER(MATCH(DATEVALUE($A249),'recurring1_based on steps'!AG$1:AG$400,0)),AG$2,)</f>
        <v>0</v>
      </c>
      <c r="AH249" s="140">
        <f ca="1">IF(ISNUMBER(MATCH(DATEVALUE($A249),'recurring1_based on steps'!AH$1:AH$400,0)),AH$2,)</f>
        <v>0</v>
      </c>
      <c r="AI249" s="140">
        <f ca="1">IF(ISNUMBER(MATCH(DATEVALUE($A249),'recurring1_based on steps'!AI$1:AI$400,0)),AI$2,)</f>
        <v>0</v>
      </c>
      <c r="AJ249" s="140">
        <f ca="1">IF(ISNUMBER(MATCH(DATEVALUE($A249),'recurring1_based on steps'!AJ$1:AJ$400,0)),AJ$2,)</f>
        <v>0</v>
      </c>
      <c r="AK249" s="140">
        <f ca="1">IF(ISNUMBER(MATCH(DATEVALUE($A249),'recurring1_based on steps'!AK$1:AK$400,0)),AK$2,)</f>
        <v>0</v>
      </c>
      <c r="AL249" s="140">
        <f ca="1">IF(ISNUMBER(MATCH(DATEVALUE($A249),'recurring1_based on steps'!AL$1:AL$400,0)),AL$2,)</f>
        <v>0</v>
      </c>
      <c r="AM249" s="140">
        <f ca="1">IF(ISNUMBER(MATCH(DATEVALUE($A249),'recurring1_based on steps'!AM$1:AM$400,0)),AM$2,)</f>
        <v>0</v>
      </c>
      <c r="AN249" s="140">
        <f ca="1">IF(ISNUMBER(MATCH(DATEVALUE($A249),'recurring1_based on steps'!AN$1:AN$400,0)),AN$2,)</f>
        <v>0</v>
      </c>
      <c r="AO249" s="140">
        <f ca="1">IF(ISNUMBER(MATCH(DATEVALUE($A249),'recurring1_based on steps'!AO$1:AO$400,0)),AO$2,)</f>
        <v>0</v>
      </c>
      <c r="AP249" s="140">
        <f ca="1">IF(ISNUMBER(MATCH(DATEVALUE($A249),'recurring1_based on steps'!AP$1:AP$400,0)),AP$2,)</f>
        <v>0</v>
      </c>
      <c r="AQ249" s="140">
        <f ca="1">IF(ISNUMBER(MATCH(DATEVALUE($A249),'recurring1_based on steps'!AQ$1:AQ$400,0)),AQ$2,)</f>
        <v>0</v>
      </c>
      <c r="AR249" s="140">
        <f ca="1">IF(ISNUMBER(MATCH(DATEVALUE($A249),'recurring1_based on steps'!AR$1:AR$400,0)),AR$2,)</f>
        <v>0</v>
      </c>
      <c r="AS249" s="140">
        <f ca="1">IF(ISNUMBER(MATCH(DATEVALUE($A249),'recurring1_based on steps'!AS$1:AS$400,0)),AS$2,)</f>
        <v>0</v>
      </c>
      <c r="AT249" s="140">
        <f ca="1">IF(ISNUMBER(MATCH(DATEVALUE($A249),'recurring1_based on steps'!AT$1:AT$400,0)),AT$2,)</f>
        <v>0</v>
      </c>
      <c r="AU249" s="140">
        <f ca="1">IF(ISNUMBER(MATCH(DATEVALUE($A249),'recurring1_based on steps'!AU$1:AU$400,0)),AU$2,)</f>
        <v>0</v>
      </c>
      <c r="AV249" s="140">
        <f ca="1">IF(ISNUMBER(MATCH(DATEVALUE($A249),'recurring1_based on steps'!AV$1:AV$400,0)),AV$2,)</f>
        <v>0</v>
      </c>
      <c r="AW249" s="140">
        <f ca="1">IF(ISNUMBER(MATCH(DATEVALUE($A249),'recurring1_based on steps'!AW$1:AW$400,0)),AW$2,)</f>
        <v>0</v>
      </c>
      <c r="AX249" s="140">
        <f ca="1">IF(ISNUMBER(MATCH(DATEVALUE($A249),'recurring1_based on steps'!AX$1:AX$400,0)),AX$2,)</f>
        <v>0</v>
      </c>
      <c r="AY249" s="140">
        <f ca="1">IF(ISNUMBER(MATCH(DATEVALUE($A249),'recurring1_based on steps'!AY$1:AY$400,0)),AY$2,)</f>
        <v>0</v>
      </c>
    </row>
    <row r="250" spans="1:51" x14ac:dyDescent="0.2">
      <c r="A250" s="29" t="str">
        <f t="shared" ca="1" si="3"/>
        <v>2025-11-29</v>
      </c>
      <c r="B250" s="140">
        <f ca="1">IF(ISNUMBER(MATCH(DATEVALUE($A250),'recurring1_based on steps'!B$1:B$400,0)),B$2,)</f>
        <v>0</v>
      </c>
      <c r="C250" s="140">
        <f ca="1">IF(ISNUMBER(MATCH(DATEVALUE($A250),'recurring1_based on steps'!C$1:C$400,0)),C$2,)</f>
        <v>0</v>
      </c>
      <c r="D250" s="140">
        <f ca="1">IF(ISNUMBER(MATCH(DATEVALUE($A250),'recurring1_based on steps'!D$1:D$400,0)),D$2,)</f>
        <v>0</v>
      </c>
      <c r="E250" s="140">
        <f ca="1">IF(ISNUMBER(MATCH(DATEVALUE($A250),'recurring1_based on steps'!E$1:E$400,0)),E$2,)</f>
        <v>0</v>
      </c>
      <c r="F250" s="140">
        <f ca="1">IF(ISNUMBER(MATCH(DATEVALUE($A250),'recurring1_based on steps'!F$1:F$400,0)),F$2,)</f>
        <v>0</v>
      </c>
      <c r="G250" s="140">
        <f ca="1">IF(ISNUMBER(MATCH(DATEVALUE($A250),'recurring1_based on steps'!G$1:G$400,0)),G$2,)</f>
        <v>0</v>
      </c>
      <c r="H250" s="140">
        <f ca="1">IF(ISNUMBER(MATCH(DATEVALUE($A250),'recurring1_based on steps'!H$1:H$400,0)),H$2,)</f>
        <v>0</v>
      </c>
      <c r="I250" s="140">
        <f ca="1">IF(ISNUMBER(MATCH(DATEVALUE($A250),'recurring1_based on steps'!I$1:I$400,0)),I$2,)</f>
        <v>0</v>
      </c>
      <c r="J250" s="140">
        <f ca="1">IF(ISNUMBER(MATCH(DATEVALUE($A250),'recurring1_based on steps'!J$1:J$400,0)),J$2,)</f>
        <v>0</v>
      </c>
      <c r="K250" s="140">
        <f ca="1">IF(ISNUMBER(MATCH(DATEVALUE($A250),'recurring1_based on steps'!K$1:K$400,0)),K$2,)</f>
        <v>0</v>
      </c>
      <c r="L250" s="140">
        <f ca="1">IF(ISNUMBER(MATCH(DATEVALUE($A250),'recurring1_based on steps'!L$1:L$400,0)),L$2,)</f>
        <v>0</v>
      </c>
      <c r="M250" s="140">
        <f ca="1">IF(ISNUMBER(MATCH(DATEVALUE($A250),'recurring1_based on steps'!M$1:M$400,0)),M$2,)</f>
        <v>0</v>
      </c>
      <c r="N250" s="140">
        <f ca="1">IF(ISNUMBER(MATCH(DATEVALUE($A250),'recurring1_based on steps'!N$1:N$400,0)),N$2,)</f>
        <v>0</v>
      </c>
      <c r="O250" s="140">
        <f ca="1">IF(ISNUMBER(MATCH(DATEVALUE($A250),'recurring1_based on steps'!O$1:O$400,0)),O$2,)</f>
        <v>0</v>
      </c>
      <c r="P250" s="140">
        <f ca="1">IF(ISNUMBER(MATCH(DATEVALUE($A250),'recurring1_based on steps'!P$1:P$400,0)),P$2,)</f>
        <v>0</v>
      </c>
      <c r="Q250" s="140">
        <f ca="1">IF(ISNUMBER(MATCH(DATEVALUE($A250),'recurring1_based on steps'!Q$1:Q$400,0)),Q$2,)</f>
        <v>100</v>
      </c>
      <c r="R250" s="140">
        <f ca="1">IF(ISNUMBER(MATCH(DATEVALUE($A250),'recurring1_based on steps'!R$1:R$400,0)),R$2,)</f>
        <v>100</v>
      </c>
      <c r="S250" s="140">
        <f ca="1">IF(ISNUMBER(MATCH(DATEVALUE($A250),'recurring1_based on steps'!S$1:S$400,0)),S$2,)</f>
        <v>0</v>
      </c>
      <c r="T250" s="140">
        <f ca="1">IF(ISNUMBER(MATCH(DATEVALUE($A250),'recurring1_based on steps'!T$1:T$400,0)),T$2,)</f>
        <v>0</v>
      </c>
      <c r="U250" s="140">
        <f ca="1">IF(ISNUMBER(MATCH(DATEVALUE($A250),'recurring1_based on steps'!U$1:U$400,0)),U$2,)</f>
        <v>0</v>
      </c>
      <c r="V250" s="140">
        <f ca="1">IF(ISNUMBER(MATCH(DATEVALUE($A250),'recurring1_based on steps'!V$1:V$400,0)),V$2,)</f>
        <v>0</v>
      </c>
      <c r="W250" s="140">
        <f ca="1">IF(ISNUMBER(MATCH(DATEVALUE($A250),'recurring1_based on steps'!W$1:W$400,0)),W$2,)</f>
        <v>0</v>
      </c>
      <c r="X250" s="140">
        <f ca="1">IF(ISNUMBER(MATCH(DATEVALUE($A250),'recurring1_based on steps'!X$1:X$400,0)),X$2,)</f>
        <v>0</v>
      </c>
      <c r="Y250" s="140">
        <f ca="1">IF(ISNUMBER(MATCH(DATEVALUE($A250),'recurring1_based on steps'!Y$1:Y$400,0)),Y$2,)</f>
        <v>0</v>
      </c>
      <c r="Z250" s="140">
        <f ca="1">IF(ISNUMBER(MATCH(DATEVALUE($A250),'recurring1_based on steps'!Z$1:Z$400,0)),Z$2,)</f>
        <v>0</v>
      </c>
      <c r="AA250" s="140">
        <f ca="1">IF(ISNUMBER(MATCH(DATEVALUE($A250),'recurring1_based on steps'!AA$1:AA$400,0)),AA$2,)</f>
        <v>0</v>
      </c>
      <c r="AB250" s="140">
        <f ca="1">IF(ISNUMBER(MATCH(DATEVALUE($A250),'recurring1_based on steps'!AB$1:AB$400,0)),AB$2,)</f>
        <v>5.5401662049861494E-2</v>
      </c>
      <c r="AC250" s="140">
        <f ca="1">IF(ISNUMBER(MATCH(DATEVALUE($A250),'recurring1_based on steps'!AC$1:AC$400,0)),AC$2,)</f>
        <v>0</v>
      </c>
      <c r="AD250" s="140">
        <f ca="1">IF(ISNUMBER(MATCH(DATEVALUE($A250),'recurring1_based on steps'!AD$1:AD$400,0)),AD$2,)</f>
        <v>0</v>
      </c>
      <c r="AE250" s="140">
        <f ca="1">IF(ISNUMBER(MATCH(DATEVALUE($A250),'recurring1_based on steps'!AE$1:AE$400,0)),AE$2,)</f>
        <v>0</v>
      </c>
      <c r="AF250" s="140">
        <f ca="1">IF(ISNUMBER(MATCH(DATEVALUE($A250),'recurring1_based on steps'!AF$1:AF$400,0)),AF$2,)</f>
        <v>0</v>
      </c>
      <c r="AG250" s="140">
        <f ca="1">IF(ISNUMBER(MATCH(DATEVALUE($A250),'recurring1_based on steps'!AG$1:AG$400,0)),AG$2,)</f>
        <v>0</v>
      </c>
      <c r="AH250" s="140">
        <f ca="1">IF(ISNUMBER(MATCH(DATEVALUE($A250),'recurring1_based on steps'!AH$1:AH$400,0)),AH$2,)</f>
        <v>0</v>
      </c>
      <c r="AI250" s="140">
        <f ca="1">IF(ISNUMBER(MATCH(DATEVALUE($A250),'recurring1_based on steps'!AI$1:AI$400,0)),AI$2,)</f>
        <v>0</v>
      </c>
      <c r="AJ250" s="140">
        <f ca="1">IF(ISNUMBER(MATCH(DATEVALUE($A250),'recurring1_based on steps'!AJ$1:AJ$400,0)),AJ$2,)</f>
        <v>0</v>
      </c>
      <c r="AK250" s="140">
        <f ca="1">IF(ISNUMBER(MATCH(DATEVALUE($A250),'recurring1_based on steps'!AK$1:AK$400,0)),AK$2,)</f>
        <v>0</v>
      </c>
      <c r="AL250" s="140">
        <f ca="1">IF(ISNUMBER(MATCH(DATEVALUE($A250),'recurring1_based on steps'!AL$1:AL$400,0)),AL$2,)</f>
        <v>0</v>
      </c>
      <c r="AM250" s="140">
        <f ca="1">IF(ISNUMBER(MATCH(DATEVALUE($A250),'recurring1_based on steps'!AM$1:AM$400,0)),AM$2,)</f>
        <v>0</v>
      </c>
      <c r="AN250" s="140">
        <f ca="1">IF(ISNUMBER(MATCH(DATEVALUE($A250),'recurring1_based on steps'!AN$1:AN$400,0)),AN$2,)</f>
        <v>0</v>
      </c>
      <c r="AO250" s="140">
        <f ca="1">IF(ISNUMBER(MATCH(DATEVALUE($A250),'recurring1_based on steps'!AO$1:AO$400,0)),AO$2,)</f>
        <v>0</v>
      </c>
      <c r="AP250" s="140">
        <f ca="1">IF(ISNUMBER(MATCH(DATEVALUE($A250),'recurring1_based on steps'!AP$1:AP$400,0)),AP$2,)</f>
        <v>0</v>
      </c>
      <c r="AQ250" s="140">
        <f ca="1">IF(ISNUMBER(MATCH(DATEVALUE($A250),'recurring1_based on steps'!AQ$1:AQ$400,0)),AQ$2,)</f>
        <v>0</v>
      </c>
      <c r="AR250" s="140">
        <f ca="1">IF(ISNUMBER(MATCH(DATEVALUE($A250),'recurring1_based on steps'!AR$1:AR$400,0)),AR$2,)</f>
        <v>0</v>
      </c>
      <c r="AS250" s="140">
        <f ca="1">IF(ISNUMBER(MATCH(DATEVALUE($A250),'recurring1_based on steps'!AS$1:AS$400,0)),AS$2,)</f>
        <v>0</v>
      </c>
      <c r="AT250" s="140">
        <f ca="1">IF(ISNUMBER(MATCH(DATEVALUE($A250),'recurring1_based on steps'!AT$1:AT$400,0)),AT$2,)</f>
        <v>0</v>
      </c>
      <c r="AU250" s="140">
        <f ca="1">IF(ISNUMBER(MATCH(DATEVALUE($A250),'recurring1_based on steps'!AU$1:AU$400,0)),AU$2,)</f>
        <v>0</v>
      </c>
      <c r="AV250" s="140">
        <f ca="1">IF(ISNUMBER(MATCH(DATEVALUE($A250),'recurring1_based on steps'!AV$1:AV$400,0)),AV$2,)</f>
        <v>0</v>
      </c>
      <c r="AW250" s="140">
        <f ca="1">IF(ISNUMBER(MATCH(DATEVALUE($A250),'recurring1_based on steps'!AW$1:AW$400,0)),AW$2,)</f>
        <v>0</v>
      </c>
      <c r="AX250" s="140">
        <f ca="1">IF(ISNUMBER(MATCH(DATEVALUE($A250),'recurring1_based on steps'!AX$1:AX$400,0)),AX$2,)</f>
        <v>0</v>
      </c>
      <c r="AY250" s="140">
        <f ca="1">IF(ISNUMBER(MATCH(DATEVALUE($A250),'recurring1_based on steps'!AY$1:AY$400,0)),AY$2,)</f>
        <v>0</v>
      </c>
    </row>
    <row r="251" spans="1:51" x14ac:dyDescent="0.2">
      <c r="A251" s="29" t="str">
        <f t="shared" ca="1" si="3"/>
        <v>2025-11-30</v>
      </c>
      <c r="B251" s="140">
        <f ca="1">IF(ISNUMBER(MATCH(DATEVALUE($A251),'recurring1_based on steps'!B$1:B$400,0)),B$2,)</f>
        <v>0</v>
      </c>
      <c r="C251" s="140">
        <f ca="1">IF(ISNUMBER(MATCH(DATEVALUE($A251),'recurring1_based on steps'!C$1:C$400,0)),C$2,)</f>
        <v>0</v>
      </c>
      <c r="D251" s="140">
        <f ca="1">IF(ISNUMBER(MATCH(DATEVALUE($A251),'recurring1_based on steps'!D$1:D$400,0)),D$2,)</f>
        <v>0</v>
      </c>
      <c r="E251" s="140">
        <f ca="1">IF(ISNUMBER(MATCH(DATEVALUE($A251),'recurring1_based on steps'!E$1:E$400,0)),E$2,)</f>
        <v>0</v>
      </c>
      <c r="F251" s="140">
        <f ca="1">IF(ISNUMBER(MATCH(DATEVALUE($A251),'recurring1_based on steps'!F$1:F$400,0)),F$2,)</f>
        <v>0</v>
      </c>
      <c r="G251" s="140">
        <f ca="1">IF(ISNUMBER(MATCH(DATEVALUE($A251),'recurring1_based on steps'!G$1:G$400,0)),G$2,)</f>
        <v>0</v>
      </c>
      <c r="H251" s="140">
        <f ca="1">IF(ISNUMBER(MATCH(DATEVALUE($A251),'recurring1_based on steps'!H$1:H$400,0)),H$2,)</f>
        <v>40</v>
      </c>
      <c r="I251" s="140">
        <f ca="1">IF(ISNUMBER(MATCH(DATEVALUE($A251),'recurring1_based on steps'!I$1:I$400,0)),I$2,)</f>
        <v>0</v>
      </c>
      <c r="J251" s="140">
        <f ca="1">IF(ISNUMBER(MATCH(DATEVALUE($A251),'recurring1_based on steps'!J$1:J$400,0)),J$2,)</f>
        <v>0</v>
      </c>
      <c r="K251" s="140">
        <f ca="1">IF(ISNUMBER(MATCH(DATEVALUE($A251),'recurring1_based on steps'!K$1:K$400,0)),K$2,)</f>
        <v>50</v>
      </c>
      <c r="L251" s="140">
        <f ca="1">IF(ISNUMBER(MATCH(DATEVALUE($A251),'recurring1_based on steps'!L$1:L$400,0)),L$2,)</f>
        <v>0</v>
      </c>
      <c r="M251" s="140">
        <f ca="1">IF(ISNUMBER(MATCH(DATEVALUE($A251),'recurring1_based on steps'!M$1:M$400,0)),M$2,)</f>
        <v>0</v>
      </c>
      <c r="N251" s="140">
        <f ca="1">IF(ISNUMBER(MATCH(DATEVALUE($A251),'recurring1_based on steps'!N$1:N$400,0)),N$2,)</f>
        <v>0</v>
      </c>
      <c r="O251" s="140">
        <f ca="1">IF(ISNUMBER(MATCH(DATEVALUE($A251),'recurring1_based on steps'!O$1:O$400,0)),O$2,)</f>
        <v>0</v>
      </c>
      <c r="P251" s="140">
        <f ca="1">IF(ISNUMBER(MATCH(DATEVALUE($A251),'recurring1_based on steps'!P$1:P$400,0)),P$2,)</f>
        <v>0</v>
      </c>
      <c r="Q251" s="140">
        <f ca="1">IF(ISNUMBER(MATCH(DATEVALUE($A251),'recurring1_based on steps'!Q$1:Q$400,0)),Q$2,)</f>
        <v>0</v>
      </c>
      <c r="R251" s="140">
        <f ca="1">IF(ISNUMBER(MATCH(DATEVALUE($A251),'recurring1_based on steps'!R$1:R$400,0)),R$2,)</f>
        <v>0</v>
      </c>
      <c r="S251" s="140">
        <f ca="1">IF(ISNUMBER(MATCH(DATEVALUE($A251),'recurring1_based on steps'!S$1:S$400,0)),S$2,)</f>
        <v>100</v>
      </c>
      <c r="T251" s="140">
        <f ca="1">IF(ISNUMBER(MATCH(DATEVALUE($A251),'recurring1_based on steps'!T$1:T$400,0)),T$2,)</f>
        <v>0</v>
      </c>
      <c r="U251" s="140">
        <f ca="1">IF(ISNUMBER(MATCH(DATEVALUE($A251),'recurring1_based on steps'!U$1:U$400,0)),U$2,)</f>
        <v>0</v>
      </c>
      <c r="V251" s="140">
        <f ca="1">IF(ISNUMBER(MATCH(DATEVALUE($A251),'recurring1_based on steps'!V$1:V$400,0)),V$2,)</f>
        <v>0</v>
      </c>
      <c r="W251" s="140">
        <f ca="1">IF(ISNUMBER(MATCH(DATEVALUE($A251),'recurring1_based on steps'!W$1:W$400,0)),W$2,)</f>
        <v>100</v>
      </c>
      <c r="X251" s="140">
        <f ca="1">IF(ISNUMBER(MATCH(DATEVALUE($A251),'recurring1_based on steps'!X$1:X$400,0)),X$2,)</f>
        <v>0</v>
      </c>
      <c r="Y251" s="140">
        <f ca="1">IF(ISNUMBER(MATCH(DATEVALUE($A251),'recurring1_based on steps'!Y$1:Y$400,0)),Y$2,)</f>
        <v>0</v>
      </c>
      <c r="Z251" s="140">
        <f ca="1">IF(ISNUMBER(MATCH(DATEVALUE($A251),'recurring1_based on steps'!Z$1:Z$400,0)),Z$2,)</f>
        <v>0</v>
      </c>
      <c r="AA251" s="140">
        <f ca="1">IF(ISNUMBER(MATCH(DATEVALUE($A251),'recurring1_based on steps'!AA$1:AA$400,0)),AA$2,)</f>
        <v>0</v>
      </c>
      <c r="AB251" s="140">
        <f ca="1">IF(ISNUMBER(MATCH(DATEVALUE($A251),'recurring1_based on steps'!AB$1:AB$400,0)),AB$2,)</f>
        <v>5.5401662049861494E-2</v>
      </c>
      <c r="AC251" s="140">
        <f ca="1">IF(ISNUMBER(MATCH(DATEVALUE($A251),'recurring1_based on steps'!AC$1:AC$400,0)),AC$2,)</f>
        <v>0</v>
      </c>
      <c r="AD251" s="140">
        <f ca="1">IF(ISNUMBER(MATCH(DATEVALUE($A251),'recurring1_based on steps'!AD$1:AD$400,0)),AD$2,)</f>
        <v>0</v>
      </c>
      <c r="AE251" s="140">
        <f ca="1">IF(ISNUMBER(MATCH(DATEVALUE($A251),'recurring1_based on steps'!AE$1:AE$400,0)),AE$2,)</f>
        <v>0</v>
      </c>
      <c r="AF251" s="140">
        <f ca="1">IF(ISNUMBER(MATCH(DATEVALUE($A251),'recurring1_based on steps'!AF$1:AF$400,0)),AF$2,)</f>
        <v>0</v>
      </c>
      <c r="AG251" s="140">
        <f ca="1">IF(ISNUMBER(MATCH(DATEVALUE($A251),'recurring1_based on steps'!AG$1:AG$400,0)),AG$2,)</f>
        <v>0</v>
      </c>
      <c r="AH251" s="140">
        <f ca="1">IF(ISNUMBER(MATCH(DATEVALUE($A251),'recurring1_based on steps'!AH$1:AH$400,0)),AH$2,)</f>
        <v>0</v>
      </c>
      <c r="AI251" s="140">
        <f ca="1">IF(ISNUMBER(MATCH(DATEVALUE($A251),'recurring1_based on steps'!AI$1:AI$400,0)),AI$2,)</f>
        <v>0</v>
      </c>
      <c r="AJ251" s="140">
        <f ca="1">IF(ISNUMBER(MATCH(DATEVALUE($A251),'recurring1_based on steps'!AJ$1:AJ$400,0)),AJ$2,)</f>
        <v>0</v>
      </c>
      <c r="AK251" s="140">
        <f ca="1">IF(ISNUMBER(MATCH(DATEVALUE($A251),'recurring1_based on steps'!AK$1:AK$400,0)),AK$2,)</f>
        <v>0</v>
      </c>
      <c r="AL251" s="140">
        <f ca="1">IF(ISNUMBER(MATCH(DATEVALUE($A251),'recurring1_based on steps'!AL$1:AL$400,0)),AL$2,)</f>
        <v>0</v>
      </c>
      <c r="AM251" s="140">
        <f ca="1">IF(ISNUMBER(MATCH(DATEVALUE($A251),'recurring1_based on steps'!AM$1:AM$400,0)),AM$2,)</f>
        <v>0</v>
      </c>
      <c r="AN251" s="140">
        <f ca="1">IF(ISNUMBER(MATCH(DATEVALUE($A251),'recurring1_based on steps'!AN$1:AN$400,0)),AN$2,)</f>
        <v>0</v>
      </c>
      <c r="AO251" s="140">
        <f ca="1">IF(ISNUMBER(MATCH(DATEVALUE($A251),'recurring1_based on steps'!AO$1:AO$400,0)),AO$2,)</f>
        <v>0</v>
      </c>
      <c r="AP251" s="140">
        <f ca="1">IF(ISNUMBER(MATCH(DATEVALUE($A251),'recurring1_based on steps'!AP$1:AP$400,0)),AP$2,)</f>
        <v>0</v>
      </c>
      <c r="AQ251" s="140">
        <f ca="1">IF(ISNUMBER(MATCH(DATEVALUE($A251),'recurring1_based on steps'!AQ$1:AQ$400,0)),AQ$2,)</f>
        <v>0</v>
      </c>
      <c r="AR251" s="140">
        <f ca="1">IF(ISNUMBER(MATCH(DATEVALUE($A251),'recurring1_based on steps'!AR$1:AR$400,0)),AR$2,)</f>
        <v>0</v>
      </c>
      <c r="AS251" s="140">
        <f ca="1">IF(ISNUMBER(MATCH(DATEVALUE($A251),'recurring1_based on steps'!AS$1:AS$400,0)),AS$2,)</f>
        <v>0</v>
      </c>
      <c r="AT251" s="140">
        <f ca="1">IF(ISNUMBER(MATCH(DATEVALUE($A251),'recurring1_based on steps'!AT$1:AT$400,0)),AT$2,)</f>
        <v>0</v>
      </c>
      <c r="AU251" s="140">
        <f ca="1">IF(ISNUMBER(MATCH(DATEVALUE($A251),'recurring1_based on steps'!AU$1:AU$400,0)),AU$2,)</f>
        <v>0</v>
      </c>
      <c r="AV251" s="140">
        <f ca="1">IF(ISNUMBER(MATCH(DATEVALUE($A251),'recurring1_based on steps'!AV$1:AV$400,0)),AV$2,)</f>
        <v>0</v>
      </c>
      <c r="AW251" s="140">
        <f ca="1">IF(ISNUMBER(MATCH(DATEVALUE($A251),'recurring1_based on steps'!AW$1:AW$400,0)),AW$2,)</f>
        <v>0</v>
      </c>
      <c r="AX251" s="140">
        <f ca="1">IF(ISNUMBER(MATCH(DATEVALUE($A251),'recurring1_based on steps'!AX$1:AX$400,0)),AX$2,)</f>
        <v>0</v>
      </c>
      <c r="AY251" s="140">
        <f ca="1">IF(ISNUMBER(MATCH(DATEVALUE($A251),'recurring1_based on steps'!AY$1:AY$400,0)),AY$2,)</f>
        <v>0</v>
      </c>
    </row>
    <row r="252" spans="1:51" x14ac:dyDescent="0.2">
      <c r="A252" s="29" t="str">
        <f t="shared" ca="1" si="3"/>
        <v>2025-12-01</v>
      </c>
      <c r="B252" s="140">
        <f ca="1">IF(ISNUMBER(MATCH(DATEVALUE($A252),'recurring1_based on steps'!B$1:B$400,0)),B$2,)</f>
        <v>0</v>
      </c>
      <c r="C252" s="140">
        <f ca="1">IF(ISNUMBER(MATCH(DATEVALUE($A252),'recurring1_based on steps'!C$1:C$400,0)),C$2,)</f>
        <v>0</v>
      </c>
      <c r="D252" s="140">
        <f ca="1">IF(ISNUMBER(MATCH(DATEVALUE($A252),'recurring1_based on steps'!D$1:D$400,0)),D$2,)</f>
        <v>0</v>
      </c>
      <c r="E252" s="140">
        <f ca="1">IF(ISNUMBER(MATCH(DATEVALUE($A252),'recurring1_based on steps'!E$1:E$400,0)),E$2,)</f>
        <v>0</v>
      </c>
      <c r="F252" s="140">
        <f ca="1">IF(ISNUMBER(MATCH(DATEVALUE($A252),'recurring1_based on steps'!F$1:F$400,0)),F$2,)</f>
        <v>0</v>
      </c>
      <c r="G252" s="140">
        <f ca="1">IF(ISNUMBER(MATCH(DATEVALUE($A252),'recurring1_based on steps'!G$1:G$400,0)),G$2,)</f>
        <v>0</v>
      </c>
      <c r="H252" s="140">
        <f ca="1">IF(ISNUMBER(MATCH(DATEVALUE($A252),'recurring1_based on steps'!H$1:H$400,0)),H$2,)</f>
        <v>0</v>
      </c>
      <c r="I252" s="140">
        <f ca="1">IF(ISNUMBER(MATCH(DATEVALUE($A252),'recurring1_based on steps'!I$1:I$400,0)),I$2,)</f>
        <v>2000</v>
      </c>
      <c r="J252" s="140">
        <f ca="1">IF(ISNUMBER(MATCH(DATEVALUE($A252),'recurring1_based on steps'!J$1:J$400,0)),J$2,)</f>
        <v>0</v>
      </c>
      <c r="K252" s="140">
        <f ca="1">IF(ISNUMBER(MATCH(DATEVALUE($A252),'recurring1_based on steps'!K$1:K$400,0)),K$2,)</f>
        <v>0</v>
      </c>
      <c r="L252" s="140">
        <f ca="1">IF(ISNUMBER(MATCH(DATEVALUE($A252),'recurring1_based on steps'!L$1:L$400,0)),L$2,)</f>
        <v>0</v>
      </c>
      <c r="M252" s="140">
        <f ca="1">IF(ISNUMBER(MATCH(DATEVALUE($A252),'recurring1_based on steps'!M$1:M$400,0)),M$2,)</f>
        <v>0</v>
      </c>
      <c r="N252" s="140">
        <f ca="1">IF(ISNUMBER(MATCH(DATEVALUE($A252),'recurring1_based on steps'!N$1:N$400,0)),N$2,)</f>
        <v>0</v>
      </c>
      <c r="O252" s="140">
        <f ca="1">IF(ISNUMBER(MATCH(DATEVALUE($A252),'recurring1_based on steps'!O$1:O$400,0)),O$2,)</f>
        <v>0</v>
      </c>
      <c r="P252" s="140">
        <f ca="1">IF(ISNUMBER(MATCH(DATEVALUE($A252),'recurring1_based on steps'!P$1:P$400,0)),P$2,)</f>
        <v>0</v>
      </c>
      <c r="Q252" s="140">
        <f ca="1">IF(ISNUMBER(MATCH(DATEVALUE($A252),'recurring1_based on steps'!Q$1:Q$400,0)),Q$2,)</f>
        <v>0</v>
      </c>
      <c r="R252" s="140">
        <f ca="1">IF(ISNUMBER(MATCH(DATEVALUE($A252),'recurring1_based on steps'!R$1:R$400,0)),R$2,)</f>
        <v>0</v>
      </c>
      <c r="S252" s="140">
        <f ca="1">IF(ISNUMBER(MATCH(DATEVALUE($A252),'recurring1_based on steps'!S$1:S$400,0)),S$2,)</f>
        <v>0</v>
      </c>
      <c r="T252" s="140">
        <f ca="1">IF(ISNUMBER(MATCH(DATEVALUE($A252),'recurring1_based on steps'!T$1:T$400,0)),T$2,)</f>
        <v>0</v>
      </c>
      <c r="U252" s="140">
        <f ca="1">IF(ISNUMBER(MATCH(DATEVALUE($A252),'recurring1_based on steps'!U$1:U$400,0)),U$2,)</f>
        <v>0</v>
      </c>
      <c r="V252" s="140">
        <f ca="1">IF(ISNUMBER(MATCH(DATEVALUE($A252),'recurring1_based on steps'!V$1:V$400,0)),V$2,)</f>
        <v>0</v>
      </c>
      <c r="W252" s="140">
        <f ca="1">IF(ISNUMBER(MATCH(DATEVALUE($A252),'recurring1_based on steps'!W$1:W$400,0)),W$2,)</f>
        <v>0</v>
      </c>
      <c r="X252" s="140">
        <f ca="1">IF(ISNUMBER(MATCH(DATEVALUE($A252),'recurring1_based on steps'!X$1:X$400,0)),X$2,)</f>
        <v>0</v>
      </c>
      <c r="Y252" s="140">
        <f ca="1">IF(ISNUMBER(MATCH(DATEVALUE($A252),'recurring1_based on steps'!Y$1:Y$400,0)),Y$2,)</f>
        <v>0</v>
      </c>
      <c r="Z252" s="140">
        <f ca="1">IF(ISNUMBER(MATCH(DATEVALUE($A252),'recurring1_based on steps'!Z$1:Z$400,0)),Z$2,)</f>
        <v>0</v>
      </c>
      <c r="AA252" s="140">
        <f ca="1">IF(ISNUMBER(MATCH(DATEVALUE($A252),'recurring1_based on steps'!AA$1:AA$400,0)),AA$2,)</f>
        <v>0</v>
      </c>
      <c r="AB252" s="140">
        <f ca="1">IF(ISNUMBER(MATCH(DATEVALUE($A252),'recurring1_based on steps'!AB$1:AB$400,0)),AB$2,)</f>
        <v>5.5401662049861494E-2</v>
      </c>
      <c r="AC252" s="140">
        <f ca="1">IF(ISNUMBER(MATCH(DATEVALUE($A252),'recurring1_based on steps'!AC$1:AC$400,0)),AC$2,)</f>
        <v>0</v>
      </c>
      <c r="AD252" s="140">
        <f ca="1">IF(ISNUMBER(MATCH(DATEVALUE($A252),'recurring1_based on steps'!AD$1:AD$400,0)),AD$2,)</f>
        <v>0</v>
      </c>
      <c r="AE252" s="140">
        <f ca="1">IF(ISNUMBER(MATCH(DATEVALUE($A252),'recurring1_based on steps'!AE$1:AE$400,0)),AE$2,)</f>
        <v>0</v>
      </c>
      <c r="AF252" s="140">
        <f ca="1">IF(ISNUMBER(MATCH(DATEVALUE($A252),'recurring1_based on steps'!AF$1:AF$400,0)),AF$2,)</f>
        <v>0</v>
      </c>
      <c r="AG252" s="140">
        <f ca="1">IF(ISNUMBER(MATCH(DATEVALUE($A252),'recurring1_based on steps'!AG$1:AG$400,0)),AG$2,)</f>
        <v>0</v>
      </c>
      <c r="AH252" s="140">
        <f ca="1">IF(ISNUMBER(MATCH(DATEVALUE($A252),'recurring1_based on steps'!AH$1:AH$400,0)),AH$2,)</f>
        <v>0</v>
      </c>
      <c r="AI252" s="140">
        <f ca="1">IF(ISNUMBER(MATCH(DATEVALUE($A252),'recurring1_based on steps'!AI$1:AI$400,0)),AI$2,)</f>
        <v>0</v>
      </c>
      <c r="AJ252" s="140">
        <f ca="1">IF(ISNUMBER(MATCH(DATEVALUE($A252),'recurring1_based on steps'!AJ$1:AJ$400,0)),AJ$2,)</f>
        <v>0</v>
      </c>
      <c r="AK252" s="140">
        <f ca="1">IF(ISNUMBER(MATCH(DATEVALUE($A252),'recurring1_based on steps'!AK$1:AK$400,0)),AK$2,)</f>
        <v>0</v>
      </c>
      <c r="AL252" s="140">
        <f ca="1">IF(ISNUMBER(MATCH(DATEVALUE($A252),'recurring1_based on steps'!AL$1:AL$400,0)),AL$2,)</f>
        <v>0</v>
      </c>
      <c r="AM252" s="140">
        <f ca="1">IF(ISNUMBER(MATCH(DATEVALUE($A252),'recurring1_based on steps'!AM$1:AM$400,0)),AM$2,)</f>
        <v>0</v>
      </c>
      <c r="AN252" s="140">
        <f ca="1">IF(ISNUMBER(MATCH(DATEVALUE($A252),'recurring1_based on steps'!AN$1:AN$400,0)),AN$2,)</f>
        <v>0</v>
      </c>
      <c r="AO252" s="140">
        <f ca="1">IF(ISNUMBER(MATCH(DATEVALUE($A252),'recurring1_based on steps'!AO$1:AO$400,0)),AO$2,)</f>
        <v>0</v>
      </c>
      <c r="AP252" s="140">
        <f ca="1">IF(ISNUMBER(MATCH(DATEVALUE($A252),'recurring1_based on steps'!AP$1:AP$400,0)),AP$2,)</f>
        <v>0</v>
      </c>
      <c r="AQ252" s="140">
        <f ca="1">IF(ISNUMBER(MATCH(DATEVALUE($A252),'recurring1_based on steps'!AQ$1:AQ$400,0)),AQ$2,)</f>
        <v>0</v>
      </c>
      <c r="AR252" s="140">
        <f ca="1">IF(ISNUMBER(MATCH(DATEVALUE($A252),'recurring1_based on steps'!AR$1:AR$400,0)),AR$2,)</f>
        <v>0</v>
      </c>
      <c r="AS252" s="140">
        <f ca="1">IF(ISNUMBER(MATCH(DATEVALUE($A252),'recurring1_based on steps'!AS$1:AS$400,0)),AS$2,)</f>
        <v>0</v>
      </c>
      <c r="AT252" s="140">
        <f ca="1">IF(ISNUMBER(MATCH(DATEVALUE($A252),'recurring1_based on steps'!AT$1:AT$400,0)),AT$2,)</f>
        <v>0</v>
      </c>
      <c r="AU252" s="140">
        <f ca="1">IF(ISNUMBER(MATCH(DATEVALUE($A252),'recurring1_based on steps'!AU$1:AU$400,0)),AU$2,)</f>
        <v>0</v>
      </c>
      <c r="AV252" s="140">
        <f ca="1">IF(ISNUMBER(MATCH(DATEVALUE($A252),'recurring1_based on steps'!AV$1:AV$400,0)),AV$2,)</f>
        <v>0</v>
      </c>
      <c r="AW252" s="140">
        <f ca="1">IF(ISNUMBER(MATCH(DATEVALUE($A252),'recurring1_based on steps'!AW$1:AW$400,0)),AW$2,)</f>
        <v>0</v>
      </c>
      <c r="AX252" s="140">
        <f ca="1">IF(ISNUMBER(MATCH(DATEVALUE($A252),'recurring1_based on steps'!AX$1:AX$400,0)),AX$2,)</f>
        <v>0</v>
      </c>
      <c r="AY252" s="140">
        <f ca="1">IF(ISNUMBER(MATCH(DATEVALUE($A252),'recurring1_based on steps'!AY$1:AY$400,0)),AY$2,)</f>
        <v>0</v>
      </c>
    </row>
    <row r="253" spans="1:51" x14ac:dyDescent="0.2">
      <c r="A253" s="29" t="str">
        <f t="shared" ca="1" si="3"/>
        <v>2025-12-02</v>
      </c>
      <c r="B253" s="140">
        <f ca="1">IF(ISNUMBER(MATCH(DATEVALUE($A253),'recurring1_based on steps'!B$1:B$400,0)),B$2,)</f>
        <v>0</v>
      </c>
      <c r="C253" s="140">
        <f ca="1">IF(ISNUMBER(MATCH(DATEVALUE($A253),'recurring1_based on steps'!C$1:C$400,0)),C$2,)</f>
        <v>0</v>
      </c>
      <c r="D253" s="140">
        <f ca="1">IF(ISNUMBER(MATCH(DATEVALUE($A253),'recurring1_based on steps'!D$1:D$400,0)),D$2,)</f>
        <v>0</v>
      </c>
      <c r="E253" s="140">
        <f ca="1">IF(ISNUMBER(MATCH(DATEVALUE($A253),'recurring1_based on steps'!E$1:E$400,0)),E$2,)</f>
        <v>0</v>
      </c>
      <c r="F253" s="140">
        <f ca="1">IF(ISNUMBER(MATCH(DATEVALUE($A253),'recurring1_based on steps'!F$1:F$400,0)),F$2,)</f>
        <v>0</v>
      </c>
      <c r="G253" s="140">
        <f ca="1">IF(ISNUMBER(MATCH(DATEVALUE($A253),'recurring1_based on steps'!G$1:G$400,0)),G$2,)</f>
        <v>0</v>
      </c>
      <c r="H253" s="140">
        <f ca="1">IF(ISNUMBER(MATCH(DATEVALUE($A253),'recurring1_based on steps'!H$1:H$400,0)),H$2,)</f>
        <v>0</v>
      </c>
      <c r="I253" s="140">
        <f ca="1">IF(ISNUMBER(MATCH(DATEVALUE($A253),'recurring1_based on steps'!I$1:I$400,0)),I$2,)</f>
        <v>0</v>
      </c>
      <c r="J253" s="140">
        <f ca="1">IF(ISNUMBER(MATCH(DATEVALUE($A253),'recurring1_based on steps'!J$1:J$400,0)),J$2,)</f>
        <v>0</v>
      </c>
      <c r="K253" s="140">
        <f ca="1">IF(ISNUMBER(MATCH(DATEVALUE($A253),'recurring1_based on steps'!K$1:K$400,0)),K$2,)</f>
        <v>0</v>
      </c>
      <c r="L253" s="140">
        <f ca="1">IF(ISNUMBER(MATCH(DATEVALUE($A253),'recurring1_based on steps'!L$1:L$400,0)),L$2,)</f>
        <v>0</v>
      </c>
      <c r="M253" s="140">
        <f ca="1">IF(ISNUMBER(MATCH(DATEVALUE($A253),'recurring1_based on steps'!M$1:M$400,0)),M$2,)</f>
        <v>0</v>
      </c>
      <c r="N253" s="140">
        <f ca="1">IF(ISNUMBER(MATCH(DATEVALUE($A253),'recurring1_based on steps'!N$1:N$400,0)),N$2,)</f>
        <v>0</v>
      </c>
      <c r="O253" s="140">
        <f ca="1">IF(ISNUMBER(MATCH(DATEVALUE($A253),'recurring1_based on steps'!O$1:O$400,0)),O$2,)</f>
        <v>0</v>
      </c>
      <c r="P253" s="140">
        <f ca="1">IF(ISNUMBER(MATCH(DATEVALUE($A253),'recurring1_based on steps'!P$1:P$400,0)),P$2,)</f>
        <v>0</v>
      </c>
      <c r="Q253" s="140">
        <f ca="1">IF(ISNUMBER(MATCH(DATEVALUE($A253),'recurring1_based on steps'!Q$1:Q$400,0)),Q$2,)</f>
        <v>0</v>
      </c>
      <c r="R253" s="140">
        <f ca="1">IF(ISNUMBER(MATCH(DATEVALUE($A253),'recurring1_based on steps'!R$1:R$400,0)),R$2,)</f>
        <v>0</v>
      </c>
      <c r="S253" s="140">
        <f ca="1">IF(ISNUMBER(MATCH(DATEVALUE($A253),'recurring1_based on steps'!S$1:S$400,0)),S$2,)</f>
        <v>0</v>
      </c>
      <c r="T253" s="140">
        <f ca="1">IF(ISNUMBER(MATCH(DATEVALUE($A253),'recurring1_based on steps'!T$1:T$400,0)),T$2,)</f>
        <v>0</v>
      </c>
      <c r="U253" s="140">
        <f ca="1">IF(ISNUMBER(MATCH(DATEVALUE($A253),'recurring1_based on steps'!U$1:U$400,0)),U$2,)</f>
        <v>0</v>
      </c>
      <c r="V253" s="140">
        <f ca="1">IF(ISNUMBER(MATCH(DATEVALUE($A253),'recurring1_based on steps'!V$1:V$400,0)),V$2,)</f>
        <v>0</v>
      </c>
      <c r="W253" s="140">
        <f ca="1">IF(ISNUMBER(MATCH(DATEVALUE($A253),'recurring1_based on steps'!W$1:W$400,0)),W$2,)</f>
        <v>0</v>
      </c>
      <c r="X253" s="140">
        <f ca="1">IF(ISNUMBER(MATCH(DATEVALUE($A253),'recurring1_based on steps'!X$1:X$400,0)),X$2,)</f>
        <v>0</v>
      </c>
      <c r="Y253" s="140">
        <f ca="1">IF(ISNUMBER(MATCH(DATEVALUE($A253),'recurring1_based on steps'!Y$1:Y$400,0)),Y$2,)</f>
        <v>0</v>
      </c>
      <c r="Z253" s="140">
        <f ca="1">IF(ISNUMBER(MATCH(DATEVALUE($A253),'recurring1_based on steps'!Z$1:Z$400,0)),Z$2,)</f>
        <v>0</v>
      </c>
      <c r="AA253" s="140">
        <f ca="1">IF(ISNUMBER(MATCH(DATEVALUE($A253),'recurring1_based on steps'!AA$1:AA$400,0)),AA$2,)</f>
        <v>0</v>
      </c>
      <c r="AB253" s="140">
        <f ca="1">IF(ISNUMBER(MATCH(DATEVALUE($A253),'recurring1_based on steps'!AB$1:AB$400,0)),AB$2,)</f>
        <v>5.5401662049861494E-2</v>
      </c>
      <c r="AC253" s="140">
        <f ca="1">IF(ISNUMBER(MATCH(DATEVALUE($A253),'recurring1_based on steps'!AC$1:AC$400,0)),AC$2,)</f>
        <v>0</v>
      </c>
      <c r="AD253" s="140">
        <f ca="1">IF(ISNUMBER(MATCH(DATEVALUE($A253),'recurring1_based on steps'!AD$1:AD$400,0)),AD$2,)</f>
        <v>0</v>
      </c>
      <c r="AE253" s="140">
        <f ca="1">IF(ISNUMBER(MATCH(DATEVALUE($A253),'recurring1_based on steps'!AE$1:AE$400,0)),AE$2,)</f>
        <v>0</v>
      </c>
      <c r="AF253" s="140">
        <f ca="1">IF(ISNUMBER(MATCH(DATEVALUE($A253),'recurring1_based on steps'!AF$1:AF$400,0)),AF$2,)</f>
        <v>0</v>
      </c>
      <c r="AG253" s="140">
        <f ca="1">IF(ISNUMBER(MATCH(DATEVALUE($A253),'recurring1_based on steps'!AG$1:AG$400,0)),AG$2,)</f>
        <v>0</v>
      </c>
      <c r="AH253" s="140">
        <f ca="1">IF(ISNUMBER(MATCH(DATEVALUE($A253),'recurring1_based on steps'!AH$1:AH$400,0)),AH$2,)</f>
        <v>0</v>
      </c>
      <c r="AI253" s="140">
        <f ca="1">IF(ISNUMBER(MATCH(DATEVALUE($A253),'recurring1_based on steps'!AI$1:AI$400,0)),AI$2,)</f>
        <v>0</v>
      </c>
      <c r="AJ253" s="140">
        <f ca="1">IF(ISNUMBER(MATCH(DATEVALUE($A253),'recurring1_based on steps'!AJ$1:AJ$400,0)),AJ$2,)</f>
        <v>0</v>
      </c>
      <c r="AK253" s="140">
        <f ca="1">IF(ISNUMBER(MATCH(DATEVALUE($A253),'recurring1_based on steps'!AK$1:AK$400,0)),AK$2,)</f>
        <v>0</v>
      </c>
      <c r="AL253" s="140">
        <f ca="1">IF(ISNUMBER(MATCH(DATEVALUE($A253),'recurring1_based on steps'!AL$1:AL$400,0)),AL$2,)</f>
        <v>0</v>
      </c>
      <c r="AM253" s="140">
        <f ca="1">IF(ISNUMBER(MATCH(DATEVALUE($A253),'recurring1_based on steps'!AM$1:AM$400,0)),AM$2,)</f>
        <v>0</v>
      </c>
      <c r="AN253" s="140">
        <f ca="1">IF(ISNUMBER(MATCH(DATEVALUE($A253),'recurring1_based on steps'!AN$1:AN$400,0)),AN$2,)</f>
        <v>0</v>
      </c>
      <c r="AO253" s="140">
        <f ca="1">IF(ISNUMBER(MATCH(DATEVALUE($A253),'recurring1_based on steps'!AO$1:AO$400,0)),AO$2,)</f>
        <v>0</v>
      </c>
      <c r="AP253" s="140">
        <f ca="1">IF(ISNUMBER(MATCH(DATEVALUE($A253),'recurring1_based on steps'!AP$1:AP$400,0)),AP$2,)</f>
        <v>0</v>
      </c>
      <c r="AQ253" s="140">
        <f ca="1">IF(ISNUMBER(MATCH(DATEVALUE($A253),'recurring1_based on steps'!AQ$1:AQ$400,0)),AQ$2,)</f>
        <v>0</v>
      </c>
      <c r="AR253" s="140">
        <f ca="1">IF(ISNUMBER(MATCH(DATEVALUE($A253),'recurring1_based on steps'!AR$1:AR$400,0)),AR$2,)</f>
        <v>0</v>
      </c>
      <c r="AS253" s="140">
        <f ca="1">IF(ISNUMBER(MATCH(DATEVALUE($A253),'recurring1_based on steps'!AS$1:AS$400,0)),AS$2,)</f>
        <v>0</v>
      </c>
      <c r="AT253" s="140">
        <f ca="1">IF(ISNUMBER(MATCH(DATEVALUE($A253),'recurring1_based on steps'!AT$1:AT$400,0)),AT$2,)</f>
        <v>0</v>
      </c>
      <c r="AU253" s="140">
        <f ca="1">IF(ISNUMBER(MATCH(DATEVALUE($A253),'recurring1_based on steps'!AU$1:AU$400,0)),AU$2,)</f>
        <v>0</v>
      </c>
      <c r="AV253" s="140">
        <f ca="1">IF(ISNUMBER(MATCH(DATEVALUE($A253),'recurring1_based on steps'!AV$1:AV$400,0)),AV$2,)</f>
        <v>0</v>
      </c>
      <c r="AW253" s="140">
        <f ca="1">IF(ISNUMBER(MATCH(DATEVALUE($A253),'recurring1_based on steps'!AW$1:AW$400,0)),AW$2,)</f>
        <v>0</v>
      </c>
      <c r="AX253" s="140">
        <f ca="1">IF(ISNUMBER(MATCH(DATEVALUE($A253),'recurring1_based on steps'!AX$1:AX$400,0)),AX$2,)</f>
        <v>0</v>
      </c>
      <c r="AY253" s="140">
        <f ca="1">IF(ISNUMBER(MATCH(DATEVALUE($A253),'recurring1_based on steps'!AY$1:AY$400,0)),AY$2,)</f>
        <v>0</v>
      </c>
    </row>
    <row r="254" spans="1:51" x14ac:dyDescent="0.2">
      <c r="A254" s="29" t="str">
        <f t="shared" ca="1" si="3"/>
        <v>2025-12-03</v>
      </c>
      <c r="B254" s="140">
        <f ca="1">IF(ISNUMBER(MATCH(DATEVALUE($A254),'recurring1_based on steps'!B$1:B$400,0)),B$2,)</f>
        <v>0</v>
      </c>
      <c r="C254" s="140">
        <f ca="1">IF(ISNUMBER(MATCH(DATEVALUE($A254),'recurring1_based on steps'!C$1:C$400,0)),C$2,)</f>
        <v>0</v>
      </c>
      <c r="D254" s="140">
        <f ca="1">IF(ISNUMBER(MATCH(DATEVALUE($A254),'recurring1_based on steps'!D$1:D$400,0)),D$2,)</f>
        <v>0</v>
      </c>
      <c r="E254" s="140">
        <f ca="1">IF(ISNUMBER(MATCH(DATEVALUE($A254),'recurring1_based on steps'!E$1:E$400,0)),E$2,)</f>
        <v>0</v>
      </c>
      <c r="F254" s="140">
        <f ca="1">IF(ISNUMBER(MATCH(DATEVALUE($A254),'recurring1_based on steps'!F$1:F$400,0)),F$2,)</f>
        <v>0</v>
      </c>
      <c r="G254" s="140">
        <f ca="1">IF(ISNUMBER(MATCH(DATEVALUE($A254),'recurring1_based on steps'!G$1:G$400,0)),G$2,)</f>
        <v>0</v>
      </c>
      <c r="H254" s="140">
        <f ca="1">IF(ISNUMBER(MATCH(DATEVALUE($A254),'recurring1_based on steps'!H$1:H$400,0)),H$2,)</f>
        <v>0</v>
      </c>
      <c r="I254" s="140">
        <f ca="1">IF(ISNUMBER(MATCH(DATEVALUE($A254),'recurring1_based on steps'!I$1:I$400,0)),I$2,)</f>
        <v>0</v>
      </c>
      <c r="J254" s="140">
        <f ca="1">IF(ISNUMBER(MATCH(DATEVALUE($A254),'recurring1_based on steps'!J$1:J$400,0)),J$2,)</f>
        <v>0</v>
      </c>
      <c r="K254" s="140">
        <f ca="1">IF(ISNUMBER(MATCH(DATEVALUE($A254),'recurring1_based on steps'!K$1:K$400,0)),K$2,)</f>
        <v>0</v>
      </c>
      <c r="L254" s="140">
        <f ca="1">IF(ISNUMBER(MATCH(DATEVALUE($A254),'recurring1_based on steps'!L$1:L$400,0)),L$2,)</f>
        <v>0</v>
      </c>
      <c r="M254" s="140">
        <f ca="1">IF(ISNUMBER(MATCH(DATEVALUE($A254),'recurring1_based on steps'!M$1:M$400,0)),M$2,)</f>
        <v>0</v>
      </c>
      <c r="N254" s="140">
        <f ca="1">IF(ISNUMBER(MATCH(DATEVALUE($A254),'recurring1_based on steps'!N$1:N$400,0)),N$2,)</f>
        <v>0</v>
      </c>
      <c r="O254" s="140">
        <f ca="1">IF(ISNUMBER(MATCH(DATEVALUE($A254),'recurring1_based on steps'!O$1:O$400,0)),O$2,)</f>
        <v>0</v>
      </c>
      <c r="P254" s="140">
        <f ca="1">IF(ISNUMBER(MATCH(DATEVALUE($A254),'recurring1_based on steps'!P$1:P$400,0)),P$2,)</f>
        <v>0</v>
      </c>
      <c r="Q254" s="140">
        <f ca="1">IF(ISNUMBER(MATCH(DATEVALUE($A254),'recurring1_based on steps'!Q$1:Q$400,0)),Q$2,)</f>
        <v>0</v>
      </c>
      <c r="R254" s="140">
        <f ca="1">IF(ISNUMBER(MATCH(DATEVALUE($A254),'recurring1_based on steps'!R$1:R$400,0)),R$2,)</f>
        <v>0</v>
      </c>
      <c r="S254" s="140">
        <f ca="1">IF(ISNUMBER(MATCH(DATEVALUE($A254),'recurring1_based on steps'!S$1:S$400,0)),S$2,)</f>
        <v>0</v>
      </c>
      <c r="T254" s="140">
        <f ca="1">IF(ISNUMBER(MATCH(DATEVALUE($A254),'recurring1_based on steps'!T$1:T$400,0)),T$2,)</f>
        <v>0</v>
      </c>
      <c r="U254" s="140">
        <f ca="1">IF(ISNUMBER(MATCH(DATEVALUE($A254),'recurring1_based on steps'!U$1:U$400,0)),U$2,)</f>
        <v>0</v>
      </c>
      <c r="V254" s="140">
        <f ca="1">IF(ISNUMBER(MATCH(DATEVALUE($A254),'recurring1_based on steps'!V$1:V$400,0)),V$2,)</f>
        <v>0</v>
      </c>
      <c r="W254" s="140">
        <f ca="1">IF(ISNUMBER(MATCH(DATEVALUE($A254),'recurring1_based on steps'!W$1:W$400,0)),W$2,)</f>
        <v>0</v>
      </c>
      <c r="X254" s="140">
        <f ca="1">IF(ISNUMBER(MATCH(DATEVALUE($A254),'recurring1_based on steps'!X$1:X$400,0)),X$2,)</f>
        <v>0</v>
      </c>
      <c r="Y254" s="140">
        <f ca="1">IF(ISNUMBER(MATCH(DATEVALUE($A254),'recurring1_based on steps'!Y$1:Y$400,0)),Y$2,)</f>
        <v>0</v>
      </c>
      <c r="Z254" s="140">
        <f ca="1">IF(ISNUMBER(MATCH(DATEVALUE($A254),'recurring1_based on steps'!Z$1:Z$400,0)),Z$2,)</f>
        <v>0</v>
      </c>
      <c r="AA254" s="140">
        <f ca="1">IF(ISNUMBER(MATCH(DATEVALUE($A254),'recurring1_based on steps'!AA$1:AA$400,0)),AA$2,)</f>
        <v>0</v>
      </c>
      <c r="AB254" s="140">
        <f ca="1">IF(ISNUMBER(MATCH(DATEVALUE($A254),'recurring1_based on steps'!AB$1:AB$400,0)),AB$2,)</f>
        <v>5.5401662049861494E-2</v>
      </c>
      <c r="AC254" s="140">
        <f ca="1">IF(ISNUMBER(MATCH(DATEVALUE($A254),'recurring1_based on steps'!AC$1:AC$400,0)),AC$2,)</f>
        <v>0</v>
      </c>
      <c r="AD254" s="140">
        <f ca="1">IF(ISNUMBER(MATCH(DATEVALUE($A254),'recurring1_based on steps'!AD$1:AD$400,0)),AD$2,)</f>
        <v>0</v>
      </c>
      <c r="AE254" s="140">
        <f ca="1">IF(ISNUMBER(MATCH(DATEVALUE($A254),'recurring1_based on steps'!AE$1:AE$400,0)),AE$2,)</f>
        <v>0</v>
      </c>
      <c r="AF254" s="140">
        <f ca="1">IF(ISNUMBER(MATCH(DATEVALUE($A254),'recurring1_based on steps'!AF$1:AF$400,0)),AF$2,)</f>
        <v>0</v>
      </c>
      <c r="AG254" s="140">
        <f ca="1">IF(ISNUMBER(MATCH(DATEVALUE($A254),'recurring1_based on steps'!AG$1:AG$400,0)),AG$2,)</f>
        <v>0</v>
      </c>
      <c r="AH254" s="140">
        <f ca="1">IF(ISNUMBER(MATCH(DATEVALUE($A254),'recurring1_based on steps'!AH$1:AH$400,0)),AH$2,)</f>
        <v>0</v>
      </c>
      <c r="AI254" s="140">
        <f ca="1">IF(ISNUMBER(MATCH(DATEVALUE($A254),'recurring1_based on steps'!AI$1:AI$400,0)),AI$2,)</f>
        <v>0</v>
      </c>
      <c r="AJ254" s="140">
        <f ca="1">IF(ISNUMBER(MATCH(DATEVALUE($A254),'recurring1_based on steps'!AJ$1:AJ$400,0)),AJ$2,)</f>
        <v>0</v>
      </c>
      <c r="AK254" s="140">
        <f ca="1">IF(ISNUMBER(MATCH(DATEVALUE($A254),'recurring1_based on steps'!AK$1:AK$400,0)),AK$2,)</f>
        <v>0</v>
      </c>
      <c r="AL254" s="140">
        <f ca="1">IF(ISNUMBER(MATCH(DATEVALUE($A254),'recurring1_based on steps'!AL$1:AL$400,0)),AL$2,)</f>
        <v>0</v>
      </c>
      <c r="AM254" s="140">
        <f ca="1">IF(ISNUMBER(MATCH(DATEVALUE($A254),'recurring1_based on steps'!AM$1:AM$400,0)),AM$2,)</f>
        <v>0</v>
      </c>
      <c r="AN254" s="140">
        <f ca="1">IF(ISNUMBER(MATCH(DATEVALUE($A254),'recurring1_based on steps'!AN$1:AN$400,0)),AN$2,)</f>
        <v>0</v>
      </c>
      <c r="AO254" s="140">
        <f ca="1">IF(ISNUMBER(MATCH(DATEVALUE($A254),'recurring1_based on steps'!AO$1:AO$400,0)),AO$2,)</f>
        <v>0</v>
      </c>
      <c r="AP254" s="140">
        <f ca="1">IF(ISNUMBER(MATCH(DATEVALUE($A254),'recurring1_based on steps'!AP$1:AP$400,0)),AP$2,)</f>
        <v>0</v>
      </c>
      <c r="AQ254" s="140">
        <f ca="1">IF(ISNUMBER(MATCH(DATEVALUE($A254),'recurring1_based on steps'!AQ$1:AQ$400,0)),AQ$2,)</f>
        <v>0</v>
      </c>
      <c r="AR254" s="140">
        <f ca="1">IF(ISNUMBER(MATCH(DATEVALUE($A254),'recurring1_based on steps'!AR$1:AR$400,0)),AR$2,)</f>
        <v>0</v>
      </c>
      <c r="AS254" s="140">
        <f ca="1">IF(ISNUMBER(MATCH(DATEVALUE($A254),'recurring1_based on steps'!AS$1:AS$400,0)),AS$2,)</f>
        <v>0</v>
      </c>
      <c r="AT254" s="140">
        <f ca="1">IF(ISNUMBER(MATCH(DATEVALUE($A254),'recurring1_based on steps'!AT$1:AT$400,0)),AT$2,)</f>
        <v>0</v>
      </c>
      <c r="AU254" s="140">
        <f ca="1">IF(ISNUMBER(MATCH(DATEVALUE($A254),'recurring1_based on steps'!AU$1:AU$400,0)),AU$2,)</f>
        <v>0</v>
      </c>
      <c r="AV254" s="140">
        <f ca="1">IF(ISNUMBER(MATCH(DATEVALUE($A254),'recurring1_based on steps'!AV$1:AV$400,0)),AV$2,)</f>
        <v>0</v>
      </c>
      <c r="AW254" s="140">
        <f ca="1">IF(ISNUMBER(MATCH(DATEVALUE($A254),'recurring1_based on steps'!AW$1:AW$400,0)),AW$2,)</f>
        <v>0</v>
      </c>
      <c r="AX254" s="140">
        <f ca="1">IF(ISNUMBER(MATCH(DATEVALUE($A254),'recurring1_based on steps'!AX$1:AX$400,0)),AX$2,)</f>
        <v>0</v>
      </c>
      <c r="AY254" s="140">
        <f ca="1">IF(ISNUMBER(MATCH(DATEVALUE($A254),'recurring1_based on steps'!AY$1:AY$400,0)),AY$2,)</f>
        <v>0</v>
      </c>
    </row>
    <row r="255" spans="1:51" x14ac:dyDescent="0.2">
      <c r="A255" s="29" t="str">
        <f t="shared" ca="1" si="3"/>
        <v>2025-12-04</v>
      </c>
      <c r="B255" s="140">
        <f ca="1">IF(ISNUMBER(MATCH(DATEVALUE($A255),'recurring1_based on steps'!B$1:B$400,0)),B$2,)</f>
        <v>0</v>
      </c>
      <c r="C255" s="140">
        <f ca="1">IF(ISNUMBER(MATCH(DATEVALUE($A255),'recurring1_based on steps'!C$1:C$400,0)),C$2,)</f>
        <v>0</v>
      </c>
      <c r="D255" s="140">
        <f ca="1">IF(ISNUMBER(MATCH(DATEVALUE($A255),'recurring1_based on steps'!D$1:D$400,0)),D$2,)</f>
        <v>0</v>
      </c>
      <c r="E255" s="140">
        <f ca="1">IF(ISNUMBER(MATCH(DATEVALUE($A255),'recurring1_based on steps'!E$1:E$400,0)),E$2,)</f>
        <v>0</v>
      </c>
      <c r="F255" s="140">
        <f ca="1">IF(ISNUMBER(MATCH(DATEVALUE($A255),'recurring1_based on steps'!F$1:F$400,0)),F$2,)</f>
        <v>0</v>
      </c>
      <c r="G255" s="140">
        <f ca="1">IF(ISNUMBER(MATCH(DATEVALUE($A255),'recurring1_based on steps'!G$1:G$400,0)),G$2,)</f>
        <v>0</v>
      </c>
      <c r="H255" s="140">
        <f ca="1">IF(ISNUMBER(MATCH(DATEVALUE($A255),'recurring1_based on steps'!H$1:H$400,0)),H$2,)</f>
        <v>0</v>
      </c>
      <c r="I255" s="140">
        <f ca="1">IF(ISNUMBER(MATCH(DATEVALUE($A255),'recurring1_based on steps'!I$1:I$400,0)),I$2,)</f>
        <v>0</v>
      </c>
      <c r="J255" s="140">
        <f ca="1">IF(ISNUMBER(MATCH(DATEVALUE($A255),'recurring1_based on steps'!J$1:J$400,0)),J$2,)</f>
        <v>0</v>
      </c>
      <c r="K255" s="140">
        <f ca="1">IF(ISNUMBER(MATCH(DATEVALUE($A255),'recurring1_based on steps'!K$1:K$400,0)),K$2,)</f>
        <v>0</v>
      </c>
      <c r="L255" s="140">
        <f ca="1">IF(ISNUMBER(MATCH(DATEVALUE($A255),'recurring1_based on steps'!L$1:L$400,0)),L$2,)</f>
        <v>0</v>
      </c>
      <c r="M255" s="140">
        <f ca="1">IF(ISNUMBER(MATCH(DATEVALUE($A255),'recurring1_based on steps'!M$1:M$400,0)),M$2,)</f>
        <v>15</v>
      </c>
      <c r="N255" s="140">
        <f ca="1">IF(ISNUMBER(MATCH(DATEVALUE($A255),'recurring1_based on steps'!N$1:N$400,0)),N$2,)</f>
        <v>0</v>
      </c>
      <c r="O255" s="140">
        <f ca="1">IF(ISNUMBER(MATCH(DATEVALUE($A255),'recurring1_based on steps'!O$1:O$400,0)),O$2,)</f>
        <v>0</v>
      </c>
      <c r="P255" s="140">
        <f ca="1">IF(ISNUMBER(MATCH(DATEVALUE($A255),'recurring1_based on steps'!P$1:P$400,0)),P$2,)</f>
        <v>0</v>
      </c>
      <c r="Q255" s="140">
        <f ca="1">IF(ISNUMBER(MATCH(DATEVALUE($A255),'recurring1_based on steps'!Q$1:Q$400,0)),Q$2,)</f>
        <v>0</v>
      </c>
      <c r="R255" s="140">
        <f ca="1">IF(ISNUMBER(MATCH(DATEVALUE($A255),'recurring1_based on steps'!R$1:R$400,0)),R$2,)</f>
        <v>0</v>
      </c>
      <c r="S255" s="140">
        <f ca="1">IF(ISNUMBER(MATCH(DATEVALUE($A255),'recurring1_based on steps'!S$1:S$400,0)),S$2,)</f>
        <v>0</v>
      </c>
      <c r="T255" s="140">
        <f ca="1">IF(ISNUMBER(MATCH(DATEVALUE($A255),'recurring1_based on steps'!T$1:T$400,0)),T$2,)</f>
        <v>0</v>
      </c>
      <c r="U255" s="140">
        <f ca="1">IF(ISNUMBER(MATCH(DATEVALUE($A255),'recurring1_based on steps'!U$1:U$400,0)),U$2,)</f>
        <v>0</v>
      </c>
      <c r="V255" s="140">
        <f ca="1">IF(ISNUMBER(MATCH(DATEVALUE($A255),'recurring1_based on steps'!V$1:V$400,0)),V$2,)</f>
        <v>0</v>
      </c>
      <c r="W255" s="140">
        <f ca="1">IF(ISNUMBER(MATCH(DATEVALUE($A255),'recurring1_based on steps'!W$1:W$400,0)),W$2,)</f>
        <v>0</v>
      </c>
      <c r="X255" s="140">
        <f ca="1">IF(ISNUMBER(MATCH(DATEVALUE($A255),'recurring1_based on steps'!X$1:X$400,0)),X$2,)</f>
        <v>0</v>
      </c>
      <c r="Y255" s="140">
        <f ca="1">IF(ISNUMBER(MATCH(DATEVALUE($A255),'recurring1_based on steps'!Y$1:Y$400,0)),Y$2,)</f>
        <v>0</v>
      </c>
      <c r="Z255" s="140">
        <f ca="1">IF(ISNUMBER(MATCH(DATEVALUE($A255),'recurring1_based on steps'!Z$1:Z$400,0)),Z$2,)</f>
        <v>0</v>
      </c>
      <c r="AA255" s="140">
        <f ca="1">IF(ISNUMBER(MATCH(DATEVALUE($A255),'recurring1_based on steps'!AA$1:AA$400,0)),AA$2,)</f>
        <v>0</v>
      </c>
      <c r="AB255" s="140">
        <f ca="1">IF(ISNUMBER(MATCH(DATEVALUE($A255),'recurring1_based on steps'!AB$1:AB$400,0)),AB$2,)</f>
        <v>5.5401662049861494E-2</v>
      </c>
      <c r="AC255" s="140">
        <f ca="1">IF(ISNUMBER(MATCH(DATEVALUE($A255),'recurring1_based on steps'!AC$1:AC$400,0)),AC$2,)</f>
        <v>0</v>
      </c>
      <c r="AD255" s="140">
        <f ca="1">IF(ISNUMBER(MATCH(DATEVALUE($A255),'recurring1_based on steps'!AD$1:AD$400,0)),AD$2,)</f>
        <v>0</v>
      </c>
      <c r="AE255" s="140">
        <f ca="1">IF(ISNUMBER(MATCH(DATEVALUE($A255),'recurring1_based on steps'!AE$1:AE$400,0)),AE$2,)</f>
        <v>0</v>
      </c>
      <c r="AF255" s="140">
        <f ca="1">IF(ISNUMBER(MATCH(DATEVALUE($A255),'recurring1_based on steps'!AF$1:AF$400,0)),AF$2,)</f>
        <v>0</v>
      </c>
      <c r="AG255" s="140">
        <f ca="1">IF(ISNUMBER(MATCH(DATEVALUE($A255),'recurring1_based on steps'!AG$1:AG$400,0)),AG$2,)</f>
        <v>0</v>
      </c>
      <c r="AH255" s="140">
        <f ca="1">IF(ISNUMBER(MATCH(DATEVALUE($A255),'recurring1_based on steps'!AH$1:AH$400,0)),AH$2,)</f>
        <v>0</v>
      </c>
      <c r="AI255" s="140">
        <f ca="1">IF(ISNUMBER(MATCH(DATEVALUE($A255),'recurring1_based on steps'!AI$1:AI$400,0)),AI$2,)</f>
        <v>0</v>
      </c>
      <c r="AJ255" s="140">
        <f ca="1">IF(ISNUMBER(MATCH(DATEVALUE($A255),'recurring1_based on steps'!AJ$1:AJ$400,0)),AJ$2,)</f>
        <v>0</v>
      </c>
      <c r="AK255" s="140">
        <f ca="1">IF(ISNUMBER(MATCH(DATEVALUE($A255),'recurring1_based on steps'!AK$1:AK$400,0)),AK$2,)</f>
        <v>0</v>
      </c>
      <c r="AL255" s="140">
        <f ca="1">IF(ISNUMBER(MATCH(DATEVALUE($A255),'recurring1_based on steps'!AL$1:AL$400,0)),AL$2,)</f>
        <v>0</v>
      </c>
      <c r="AM255" s="140">
        <f ca="1">IF(ISNUMBER(MATCH(DATEVALUE($A255),'recurring1_based on steps'!AM$1:AM$400,0)),AM$2,)</f>
        <v>0</v>
      </c>
      <c r="AN255" s="140">
        <f ca="1">IF(ISNUMBER(MATCH(DATEVALUE($A255),'recurring1_based on steps'!AN$1:AN$400,0)),AN$2,)</f>
        <v>0</v>
      </c>
      <c r="AO255" s="140">
        <f ca="1">IF(ISNUMBER(MATCH(DATEVALUE($A255),'recurring1_based on steps'!AO$1:AO$400,0)),AO$2,)</f>
        <v>0</v>
      </c>
      <c r="AP255" s="140">
        <f ca="1">IF(ISNUMBER(MATCH(DATEVALUE($A255),'recurring1_based on steps'!AP$1:AP$400,0)),AP$2,)</f>
        <v>0</v>
      </c>
      <c r="AQ255" s="140">
        <f ca="1">IF(ISNUMBER(MATCH(DATEVALUE($A255),'recurring1_based on steps'!AQ$1:AQ$400,0)),AQ$2,)</f>
        <v>0</v>
      </c>
      <c r="AR255" s="140">
        <f ca="1">IF(ISNUMBER(MATCH(DATEVALUE($A255),'recurring1_based on steps'!AR$1:AR$400,0)),AR$2,)</f>
        <v>0</v>
      </c>
      <c r="AS255" s="140">
        <f ca="1">IF(ISNUMBER(MATCH(DATEVALUE($A255),'recurring1_based on steps'!AS$1:AS$400,0)),AS$2,)</f>
        <v>0</v>
      </c>
      <c r="AT255" s="140">
        <f ca="1">IF(ISNUMBER(MATCH(DATEVALUE($A255),'recurring1_based on steps'!AT$1:AT$400,0)),AT$2,)</f>
        <v>0</v>
      </c>
      <c r="AU255" s="140">
        <f ca="1">IF(ISNUMBER(MATCH(DATEVALUE($A255),'recurring1_based on steps'!AU$1:AU$400,0)),AU$2,)</f>
        <v>0</v>
      </c>
      <c r="AV255" s="140">
        <f ca="1">IF(ISNUMBER(MATCH(DATEVALUE($A255),'recurring1_based on steps'!AV$1:AV$400,0)),AV$2,)</f>
        <v>0</v>
      </c>
      <c r="AW255" s="140">
        <f ca="1">IF(ISNUMBER(MATCH(DATEVALUE($A255),'recurring1_based on steps'!AW$1:AW$400,0)),AW$2,)</f>
        <v>0</v>
      </c>
      <c r="AX255" s="140">
        <f ca="1">IF(ISNUMBER(MATCH(DATEVALUE($A255),'recurring1_based on steps'!AX$1:AX$400,0)),AX$2,)</f>
        <v>0</v>
      </c>
      <c r="AY255" s="140">
        <f ca="1">IF(ISNUMBER(MATCH(DATEVALUE($A255),'recurring1_based on steps'!AY$1:AY$400,0)),AY$2,)</f>
        <v>0</v>
      </c>
    </row>
    <row r="256" spans="1:51" x14ac:dyDescent="0.2">
      <c r="A256" s="29" t="str">
        <f t="shared" ca="1" si="3"/>
        <v>2025-12-05</v>
      </c>
      <c r="B256" s="140">
        <f ca="1">IF(ISNUMBER(MATCH(DATEVALUE($A256),'recurring1_based on steps'!B$1:B$400,0)),B$2,)</f>
        <v>0</v>
      </c>
      <c r="C256" s="140">
        <f ca="1">IF(ISNUMBER(MATCH(DATEVALUE($A256),'recurring1_based on steps'!C$1:C$400,0)),C$2,)</f>
        <v>0</v>
      </c>
      <c r="D256" s="140">
        <f ca="1">IF(ISNUMBER(MATCH(DATEVALUE($A256),'recurring1_based on steps'!D$1:D$400,0)),D$2,)</f>
        <v>0</v>
      </c>
      <c r="E256" s="140">
        <f ca="1">IF(ISNUMBER(MATCH(DATEVALUE($A256),'recurring1_based on steps'!E$1:E$400,0)),E$2,)</f>
        <v>0</v>
      </c>
      <c r="F256" s="140">
        <f ca="1">IF(ISNUMBER(MATCH(DATEVALUE($A256),'recurring1_based on steps'!F$1:F$400,0)),F$2,)</f>
        <v>0</v>
      </c>
      <c r="G256" s="140">
        <f ca="1">IF(ISNUMBER(MATCH(DATEVALUE($A256),'recurring1_based on steps'!G$1:G$400,0)),G$2,)</f>
        <v>0</v>
      </c>
      <c r="H256" s="140">
        <f ca="1">IF(ISNUMBER(MATCH(DATEVALUE($A256),'recurring1_based on steps'!H$1:H$400,0)),H$2,)</f>
        <v>0</v>
      </c>
      <c r="I256" s="140">
        <f ca="1">IF(ISNUMBER(MATCH(DATEVALUE($A256),'recurring1_based on steps'!I$1:I$400,0)),I$2,)</f>
        <v>0</v>
      </c>
      <c r="J256" s="140">
        <f ca="1">IF(ISNUMBER(MATCH(DATEVALUE($A256),'recurring1_based on steps'!J$1:J$400,0)),J$2,)</f>
        <v>0</v>
      </c>
      <c r="K256" s="140">
        <f ca="1">IF(ISNUMBER(MATCH(DATEVALUE($A256),'recurring1_based on steps'!K$1:K$400,0)),K$2,)</f>
        <v>0</v>
      </c>
      <c r="L256" s="140">
        <f ca="1">IF(ISNUMBER(MATCH(DATEVALUE($A256),'recurring1_based on steps'!L$1:L$400,0)),L$2,)</f>
        <v>0</v>
      </c>
      <c r="M256" s="140">
        <f ca="1">IF(ISNUMBER(MATCH(DATEVALUE($A256),'recurring1_based on steps'!M$1:M$400,0)),M$2,)</f>
        <v>0</v>
      </c>
      <c r="N256" s="140">
        <f ca="1">IF(ISNUMBER(MATCH(DATEVALUE($A256),'recurring1_based on steps'!N$1:N$400,0)),N$2,)</f>
        <v>0</v>
      </c>
      <c r="O256" s="140">
        <f ca="1">IF(ISNUMBER(MATCH(DATEVALUE($A256),'recurring1_based on steps'!O$1:O$400,0)),O$2,)</f>
        <v>0</v>
      </c>
      <c r="P256" s="140">
        <f ca="1">IF(ISNUMBER(MATCH(DATEVALUE($A256),'recurring1_based on steps'!P$1:P$400,0)),P$2,)</f>
        <v>0</v>
      </c>
      <c r="Q256" s="140">
        <f ca="1">IF(ISNUMBER(MATCH(DATEVALUE($A256),'recurring1_based on steps'!Q$1:Q$400,0)),Q$2,)</f>
        <v>0</v>
      </c>
      <c r="R256" s="140">
        <f ca="1">IF(ISNUMBER(MATCH(DATEVALUE($A256),'recurring1_based on steps'!R$1:R$400,0)),R$2,)</f>
        <v>0</v>
      </c>
      <c r="S256" s="140">
        <f ca="1">IF(ISNUMBER(MATCH(DATEVALUE($A256),'recurring1_based on steps'!S$1:S$400,0)),S$2,)</f>
        <v>0</v>
      </c>
      <c r="T256" s="140">
        <f ca="1">IF(ISNUMBER(MATCH(DATEVALUE($A256),'recurring1_based on steps'!T$1:T$400,0)),T$2,)</f>
        <v>0</v>
      </c>
      <c r="U256" s="140">
        <f ca="1">IF(ISNUMBER(MATCH(DATEVALUE($A256),'recurring1_based on steps'!U$1:U$400,0)),U$2,)</f>
        <v>0</v>
      </c>
      <c r="V256" s="140">
        <f ca="1">IF(ISNUMBER(MATCH(DATEVALUE($A256),'recurring1_based on steps'!V$1:V$400,0)),V$2,)</f>
        <v>0</v>
      </c>
      <c r="W256" s="140">
        <f ca="1">IF(ISNUMBER(MATCH(DATEVALUE($A256),'recurring1_based on steps'!W$1:W$400,0)),W$2,)</f>
        <v>0</v>
      </c>
      <c r="X256" s="140">
        <f ca="1">IF(ISNUMBER(MATCH(DATEVALUE($A256),'recurring1_based on steps'!X$1:X$400,0)),X$2,)</f>
        <v>0</v>
      </c>
      <c r="Y256" s="140">
        <f ca="1">IF(ISNUMBER(MATCH(DATEVALUE($A256),'recurring1_based on steps'!Y$1:Y$400,0)),Y$2,)</f>
        <v>0</v>
      </c>
      <c r="Z256" s="140">
        <f ca="1">IF(ISNUMBER(MATCH(DATEVALUE($A256),'recurring1_based on steps'!Z$1:Z$400,0)),Z$2,)</f>
        <v>0</v>
      </c>
      <c r="AA256" s="140">
        <f ca="1">IF(ISNUMBER(MATCH(DATEVALUE($A256),'recurring1_based on steps'!AA$1:AA$400,0)),AA$2,)</f>
        <v>0</v>
      </c>
      <c r="AB256" s="140">
        <f ca="1">IF(ISNUMBER(MATCH(DATEVALUE($A256),'recurring1_based on steps'!AB$1:AB$400,0)),AB$2,)</f>
        <v>5.5401662049861494E-2</v>
      </c>
      <c r="AC256" s="140">
        <f ca="1">IF(ISNUMBER(MATCH(DATEVALUE($A256),'recurring1_based on steps'!AC$1:AC$400,0)),AC$2,)</f>
        <v>0</v>
      </c>
      <c r="AD256" s="140">
        <f ca="1">IF(ISNUMBER(MATCH(DATEVALUE($A256),'recurring1_based on steps'!AD$1:AD$400,0)),AD$2,)</f>
        <v>0</v>
      </c>
      <c r="AE256" s="140">
        <f ca="1">IF(ISNUMBER(MATCH(DATEVALUE($A256),'recurring1_based on steps'!AE$1:AE$400,0)),AE$2,)</f>
        <v>0</v>
      </c>
      <c r="AF256" s="140">
        <f ca="1">IF(ISNUMBER(MATCH(DATEVALUE($A256),'recurring1_based on steps'!AF$1:AF$400,0)),AF$2,)</f>
        <v>0</v>
      </c>
      <c r="AG256" s="140">
        <f ca="1">IF(ISNUMBER(MATCH(DATEVALUE($A256),'recurring1_based on steps'!AG$1:AG$400,0)),AG$2,)</f>
        <v>0</v>
      </c>
      <c r="AH256" s="140">
        <f ca="1">IF(ISNUMBER(MATCH(DATEVALUE($A256),'recurring1_based on steps'!AH$1:AH$400,0)),AH$2,)</f>
        <v>0</v>
      </c>
      <c r="AI256" s="140">
        <f ca="1">IF(ISNUMBER(MATCH(DATEVALUE($A256),'recurring1_based on steps'!AI$1:AI$400,0)),AI$2,)</f>
        <v>0</v>
      </c>
      <c r="AJ256" s="140">
        <f ca="1">IF(ISNUMBER(MATCH(DATEVALUE($A256),'recurring1_based on steps'!AJ$1:AJ$400,0)),AJ$2,)</f>
        <v>0</v>
      </c>
      <c r="AK256" s="140">
        <f ca="1">IF(ISNUMBER(MATCH(DATEVALUE($A256),'recurring1_based on steps'!AK$1:AK$400,0)),AK$2,)</f>
        <v>0</v>
      </c>
      <c r="AL256" s="140">
        <f ca="1">IF(ISNUMBER(MATCH(DATEVALUE($A256),'recurring1_based on steps'!AL$1:AL$400,0)),AL$2,)</f>
        <v>0</v>
      </c>
      <c r="AM256" s="140">
        <f ca="1">IF(ISNUMBER(MATCH(DATEVALUE($A256),'recurring1_based on steps'!AM$1:AM$400,0)),AM$2,)</f>
        <v>0</v>
      </c>
      <c r="AN256" s="140">
        <f ca="1">IF(ISNUMBER(MATCH(DATEVALUE($A256),'recurring1_based on steps'!AN$1:AN$400,0)),AN$2,)</f>
        <v>0</v>
      </c>
      <c r="AO256" s="140">
        <f ca="1">IF(ISNUMBER(MATCH(DATEVALUE($A256),'recurring1_based on steps'!AO$1:AO$400,0)),AO$2,)</f>
        <v>0</v>
      </c>
      <c r="AP256" s="140">
        <f ca="1">IF(ISNUMBER(MATCH(DATEVALUE($A256),'recurring1_based on steps'!AP$1:AP$400,0)),AP$2,)</f>
        <v>0</v>
      </c>
      <c r="AQ256" s="140">
        <f ca="1">IF(ISNUMBER(MATCH(DATEVALUE($A256),'recurring1_based on steps'!AQ$1:AQ$400,0)),AQ$2,)</f>
        <v>0</v>
      </c>
      <c r="AR256" s="140">
        <f ca="1">IF(ISNUMBER(MATCH(DATEVALUE($A256),'recurring1_based on steps'!AR$1:AR$400,0)),AR$2,)</f>
        <v>0</v>
      </c>
      <c r="AS256" s="140">
        <f ca="1">IF(ISNUMBER(MATCH(DATEVALUE($A256),'recurring1_based on steps'!AS$1:AS$400,0)),AS$2,)</f>
        <v>0</v>
      </c>
      <c r="AT256" s="140">
        <f ca="1">IF(ISNUMBER(MATCH(DATEVALUE($A256),'recurring1_based on steps'!AT$1:AT$400,0)),AT$2,)</f>
        <v>0</v>
      </c>
      <c r="AU256" s="140">
        <f ca="1">IF(ISNUMBER(MATCH(DATEVALUE($A256),'recurring1_based on steps'!AU$1:AU$400,0)),AU$2,)</f>
        <v>0</v>
      </c>
      <c r="AV256" s="140">
        <f ca="1">IF(ISNUMBER(MATCH(DATEVALUE($A256),'recurring1_based on steps'!AV$1:AV$400,0)),AV$2,)</f>
        <v>0</v>
      </c>
      <c r="AW256" s="140">
        <f ca="1">IF(ISNUMBER(MATCH(DATEVALUE($A256),'recurring1_based on steps'!AW$1:AW$400,0)),AW$2,)</f>
        <v>0</v>
      </c>
      <c r="AX256" s="140">
        <f ca="1">IF(ISNUMBER(MATCH(DATEVALUE($A256),'recurring1_based on steps'!AX$1:AX$400,0)),AX$2,)</f>
        <v>0</v>
      </c>
      <c r="AY256" s="140">
        <f ca="1">IF(ISNUMBER(MATCH(DATEVALUE($A256),'recurring1_based on steps'!AY$1:AY$400,0)),AY$2,)</f>
        <v>0</v>
      </c>
    </row>
    <row r="257" spans="1:51" x14ac:dyDescent="0.2">
      <c r="A257" s="29" t="str">
        <f t="shared" ca="1" si="3"/>
        <v>2025-12-06</v>
      </c>
      <c r="B257" s="140">
        <f ca="1">IF(ISNUMBER(MATCH(DATEVALUE($A257),'recurring1_based on steps'!B$1:B$400,0)),B$2,)</f>
        <v>0</v>
      </c>
      <c r="C257" s="140">
        <f ca="1">IF(ISNUMBER(MATCH(DATEVALUE($A257),'recurring1_based on steps'!C$1:C$400,0)),C$2,)</f>
        <v>0</v>
      </c>
      <c r="D257" s="140">
        <f ca="1">IF(ISNUMBER(MATCH(DATEVALUE($A257),'recurring1_based on steps'!D$1:D$400,0)),D$2,)</f>
        <v>0</v>
      </c>
      <c r="E257" s="140">
        <f ca="1">IF(ISNUMBER(MATCH(DATEVALUE($A257),'recurring1_based on steps'!E$1:E$400,0)),E$2,)</f>
        <v>0</v>
      </c>
      <c r="F257" s="140">
        <f ca="1">IF(ISNUMBER(MATCH(DATEVALUE($A257),'recurring1_based on steps'!F$1:F$400,0)),F$2,)</f>
        <v>0</v>
      </c>
      <c r="G257" s="140">
        <f ca="1">IF(ISNUMBER(MATCH(DATEVALUE($A257),'recurring1_based on steps'!G$1:G$400,0)),G$2,)</f>
        <v>0</v>
      </c>
      <c r="H257" s="140">
        <f ca="1">IF(ISNUMBER(MATCH(DATEVALUE($A257),'recurring1_based on steps'!H$1:H$400,0)),H$2,)</f>
        <v>0</v>
      </c>
      <c r="I257" s="140">
        <f ca="1">IF(ISNUMBER(MATCH(DATEVALUE($A257),'recurring1_based on steps'!I$1:I$400,0)),I$2,)</f>
        <v>0</v>
      </c>
      <c r="J257" s="140">
        <f ca="1">IF(ISNUMBER(MATCH(DATEVALUE($A257),'recurring1_based on steps'!J$1:J$400,0)),J$2,)</f>
        <v>0</v>
      </c>
      <c r="K257" s="140">
        <f ca="1">IF(ISNUMBER(MATCH(DATEVALUE($A257),'recurring1_based on steps'!K$1:K$400,0)),K$2,)</f>
        <v>0</v>
      </c>
      <c r="L257" s="140">
        <f ca="1">IF(ISNUMBER(MATCH(DATEVALUE($A257),'recurring1_based on steps'!L$1:L$400,0)),L$2,)</f>
        <v>0</v>
      </c>
      <c r="M257" s="140">
        <f ca="1">IF(ISNUMBER(MATCH(DATEVALUE($A257),'recurring1_based on steps'!M$1:M$400,0)),M$2,)</f>
        <v>0</v>
      </c>
      <c r="N257" s="140">
        <f ca="1">IF(ISNUMBER(MATCH(DATEVALUE($A257),'recurring1_based on steps'!N$1:N$400,0)),N$2,)</f>
        <v>0</v>
      </c>
      <c r="O257" s="140">
        <f ca="1">IF(ISNUMBER(MATCH(DATEVALUE($A257),'recurring1_based on steps'!O$1:O$400,0)),O$2,)</f>
        <v>0</v>
      </c>
      <c r="P257" s="140">
        <f ca="1">IF(ISNUMBER(MATCH(DATEVALUE($A257),'recurring1_based on steps'!P$1:P$400,0)),P$2,)</f>
        <v>0</v>
      </c>
      <c r="Q257" s="140">
        <f ca="1">IF(ISNUMBER(MATCH(DATEVALUE($A257),'recurring1_based on steps'!Q$1:Q$400,0)),Q$2,)</f>
        <v>100</v>
      </c>
      <c r="R257" s="140">
        <f ca="1">IF(ISNUMBER(MATCH(DATEVALUE($A257),'recurring1_based on steps'!R$1:R$400,0)),R$2,)</f>
        <v>100</v>
      </c>
      <c r="S257" s="140">
        <f ca="1">IF(ISNUMBER(MATCH(DATEVALUE($A257),'recurring1_based on steps'!S$1:S$400,0)),S$2,)</f>
        <v>0</v>
      </c>
      <c r="T257" s="140">
        <f ca="1">IF(ISNUMBER(MATCH(DATEVALUE($A257),'recurring1_based on steps'!T$1:T$400,0)),T$2,)</f>
        <v>0</v>
      </c>
      <c r="U257" s="140">
        <f ca="1">IF(ISNUMBER(MATCH(DATEVALUE($A257),'recurring1_based on steps'!U$1:U$400,0)),U$2,)</f>
        <v>0</v>
      </c>
      <c r="V257" s="140">
        <f ca="1">IF(ISNUMBER(MATCH(DATEVALUE($A257),'recurring1_based on steps'!V$1:V$400,0)),V$2,)</f>
        <v>0</v>
      </c>
      <c r="W257" s="140">
        <f ca="1">IF(ISNUMBER(MATCH(DATEVALUE($A257),'recurring1_based on steps'!W$1:W$400,0)),W$2,)</f>
        <v>0</v>
      </c>
      <c r="X257" s="140">
        <f ca="1">IF(ISNUMBER(MATCH(DATEVALUE($A257),'recurring1_based on steps'!X$1:X$400,0)),X$2,)</f>
        <v>0</v>
      </c>
      <c r="Y257" s="140">
        <f ca="1">IF(ISNUMBER(MATCH(DATEVALUE($A257),'recurring1_based on steps'!Y$1:Y$400,0)),Y$2,)</f>
        <v>0</v>
      </c>
      <c r="Z257" s="140">
        <f ca="1">IF(ISNUMBER(MATCH(DATEVALUE($A257),'recurring1_based on steps'!Z$1:Z$400,0)),Z$2,)</f>
        <v>0</v>
      </c>
      <c r="AA257" s="140">
        <f ca="1">IF(ISNUMBER(MATCH(DATEVALUE($A257),'recurring1_based on steps'!AA$1:AA$400,0)),AA$2,)</f>
        <v>0</v>
      </c>
      <c r="AB257" s="140">
        <f ca="1">IF(ISNUMBER(MATCH(DATEVALUE($A257),'recurring1_based on steps'!AB$1:AB$400,0)),AB$2,)</f>
        <v>5.5401662049861494E-2</v>
      </c>
      <c r="AC257" s="140">
        <f ca="1">IF(ISNUMBER(MATCH(DATEVALUE($A257),'recurring1_based on steps'!AC$1:AC$400,0)),AC$2,)</f>
        <v>0</v>
      </c>
      <c r="AD257" s="140">
        <f ca="1">IF(ISNUMBER(MATCH(DATEVALUE($A257),'recurring1_based on steps'!AD$1:AD$400,0)),AD$2,)</f>
        <v>0</v>
      </c>
      <c r="AE257" s="140">
        <f ca="1">IF(ISNUMBER(MATCH(DATEVALUE($A257),'recurring1_based on steps'!AE$1:AE$400,0)),AE$2,)</f>
        <v>0</v>
      </c>
      <c r="AF257" s="140">
        <f ca="1">IF(ISNUMBER(MATCH(DATEVALUE($A257),'recurring1_based on steps'!AF$1:AF$400,0)),AF$2,)</f>
        <v>0</v>
      </c>
      <c r="AG257" s="140">
        <f ca="1">IF(ISNUMBER(MATCH(DATEVALUE($A257),'recurring1_based on steps'!AG$1:AG$400,0)),AG$2,)</f>
        <v>0</v>
      </c>
      <c r="AH257" s="140">
        <f ca="1">IF(ISNUMBER(MATCH(DATEVALUE($A257),'recurring1_based on steps'!AH$1:AH$400,0)),AH$2,)</f>
        <v>0</v>
      </c>
      <c r="AI257" s="140">
        <f ca="1">IF(ISNUMBER(MATCH(DATEVALUE($A257),'recurring1_based on steps'!AI$1:AI$400,0)),AI$2,)</f>
        <v>0</v>
      </c>
      <c r="AJ257" s="140">
        <f ca="1">IF(ISNUMBER(MATCH(DATEVALUE($A257),'recurring1_based on steps'!AJ$1:AJ$400,0)),AJ$2,)</f>
        <v>0</v>
      </c>
      <c r="AK257" s="140">
        <f ca="1">IF(ISNUMBER(MATCH(DATEVALUE($A257),'recurring1_based on steps'!AK$1:AK$400,0)),AK$2,)</f>
        <v>0</v>
      </c>
      <c r="AL257" s="140">
        <f ca="1">IF(ISNUMBER(MATCH(DATEVALUE($A257),'recurring1_based on steps'!AL$1:AL$400,0)),AL$2,)</f>
        <v>0</v>
      </c>
      <c r="AM257" s="140">
        <f ca="1">IF(ISNUMBER(MATCH(DATEVALUE($A257),'recurring1_based on steps'!AM$1:AM$400,0)),AM$2,)</f>
        <v>0</v>
      </c>
      <c r="AN257" s="140">
        <f ca="1">IF(ISNUMBER(MATCH(DATEVALUE($A257),'recurring1_based on steps'!AN$1:AN$400,0)),AN$2,)</f>
        <v>0</v>
      </c>
      <c r="AO257" s="140">
        <f ca="1">IF(ISNUMBER(MATCH(DATEVALUE($A257),'recurring1_based on steps'!AO$1:AO$400,0)),AO$2,)</f>
        <v>0</v>
      </c>
      <c r="AP257" s="140">
        <f ca="1">IF(ISNUMBER(MATCH(DATEVALUE($A257),'recurring1_based on steps'!AP$1:AP$400,0)),AP$2,)</f>
        <v>0</v>
      </c>
      <c r="AQ257" s="140">
        <f ca="1">IF(ISNUMBER(MATCH(DATEVALUE($A257),'recurring1_based on steps'!AQ$1:AQ$400,0)),AQ$2,)</f>
        <v>0</v>
      </c>
      <c r="AR257" s="140">
        <f ca="1">IF(ISNUMBER(MATCH(DATEVALUE($A257),'recurring1_based on steps'!AR$1:AR$400,0)),AR$2,)</f>
        <v>0</v>
      </c>
      <c r="AS257" s="140">
        <f ca="1">IF(ISNUMBER(MATCH(DATEVALUE($A257),'recurring1_based on steps'!AS$1:AS$400,0)),AS$2,)</f>
        <v>0</v>
      </c>
      <c r="AT257" s="140">
        <f ca="1">IF(ISNUMBER(MATCH(DATEVALUE($A257),'recurring1_based on steps'!AT$1:AT$400,0)),AT$2,)</f>
        <v>0</v>
      </c>
      <c r="AU257" s="140">
        <f ca="1">IF(ISNUMBER(MATCH(DATEVALUE($A257),'recurring1_based on steps'!AU$1:AU$400,0)),AU$2,)</f>
        <v>0</v>
      </c>
      <c r="AV257" s="140">
        <f ca="1">IF(ISNUMBER(MATCH(DATEVALUE($A257),'recurring1_based on steps'!AV$1:AV$400,0)),AV$2,)</f>
        <v>0</v>
      </c>
      <c r="AW257" s="140">
        <f ca="1">IF(ISNUMBER(MATCH(DATEVALUE($A257),'recurring1_based on steps'!AW$1:AW$400,0)),AW$2,)</f>
        <v>0</v>
      </c>
      <c r="AX257" s="140">
        <f ca="1">IF(ISNUMBER(MATCH(DATEVALUE($A257),'recurring1_based on steps'!AX$1:AX$400,0)),AX$2,)</f>
        <v>0</v>
      </c>
      <c r="AY257" s="140">
        <f ca="1">IF(ISNUMBER(MATCH(DATEVALUE($A257),'recurring1_based on steps'!AY$1:AY$400,0)),AY$2,)</f>
        <v>0</v>
      </c>
    </row>
    <row r="258" spans="1:51" x14ac:dyDescent="0.2">
      <c r="A258" s="29" t="str">
        <f t="shared" ca="1" si="3"/>
        <v>2025-12-07</v>
      </c>
      <c r="B258" s="140">
        <f ca="1">IF(ISNUMBER(MATCH(DATEVALUE($A258),'recurring1_based on steps'!B$1:B$400,0)),B$2,)</f>
        <v>0</v>
      </c>
      <c r="C258" s="140">
        <f ca="1">IF(ISNUMBER(MATCH(DATEVALUE($A258),'recurring1_based on steps'!C$1:C$400,0)),C$2,)</f>
        <v>0</v>
      </c>
      <c r="D258" s="140">
        <f ca="1">IF(ISNUMBER(MATCH(DATEVALUE($A258),'recurring1_based on steps'!D$1:D$400,0)),D$2,)</f>
        <v>0</v>
      </c>
      <c r="E258" s="140">
        <f ca="1">IF(ISNUMBER(MATCH(DATEVALUE($A258),'recurring1_based on steps'!E$1:E$400,0)),E$2,)</f>
        <v>0</v>
      </c>
      <c r="F258" s="140">
        <f ca="1">IF(ISNUMBER(MATCH(DATEVALUE($A258),'recurring1_based on steps'!F$1:F$400,0)),F$2,)</f>
        <v>0</v>
      </c>
      <c r="G258" s="140">
        <f ca="1">IF(ISNUMBER(MATCH(DATEVALUE($A258),'recurring1_based on steps'!G$1:G$400,0)),G$2,)</f>
        <v>0</v>
      </c>
      <c r="H258" s="140">
        <f ca="1">IF(ISNUMBER(MATCH(DATEVALUE($A258),'recurring1_based on steps'!H$1:H$400,0)),H$2,)</f>
        <v>0</v>
      </c>
      <c r="I258" s="140">
        <f ca="1">IF(ISNUMBER(MATCH(DATEVALUE($A258),'recurring1_based on steps'!I$1:I$400,0)),I$2,)</f>
        <v>0</v>
      </c>
      <c r="J258" s="140">
        <f ca="1">IF(ISNUMBER(MATCH(DATEVALUE($A258),'recurring1_based on steps'!J$1:J$400,0)),J$2,)</f>
        <v>0</v>
      </c>
      <c r="K258" s="140">
        <f ca="1">IF(ISNUMBER(MATCH(DATEVALUE($A258),'recurring1_based on steps'!K$1:K$400,0)),K$2,)</f>
        <v>50</v>
      </c>
      <c r="L258" s="140">
        <f ca="1">IF(ISNUMBER(MATCH(DATEVALUE($A258),'recurring1_based on steps'!L$1:L$400,0)),L$2,)</f>
        <v>0</v>
      </c>
      <c r="M258" s="140">
        <f ca="1">IF(ISNUMBER(MATCH(DATEVALUE($A258),'recurring1_based on steps'!M$1:M$400,0)),M$2,)</f>
        <v>0</v>
      </c>
      <c r="N258" s="140">
        <f ca="1">IF(ISNUMBER(MATCH(DATEVALUE($A258),'recurring1_based on steps'!N$1:N$400,0)),N$2,)</f>
        <v>0</v>
      </c>
      <c r="O258" s="140">
        <f ca="1">IF(ISNUMBER(MATCH(DATEVALUE($A258),'recurring1_based on steps'!O$1:O$400,0)),O$2,)</f>
        <v>0</v>
      </c>
      <c r="P258" s="140">
        <f ca="1">IF(ISNUMBER(MATCH(DATEVALUE($A258),'recurring1_based on steps'!P$1:P$400,0)),P$2,)</f>
        <v>0</v>
      </c>
      <c r="Q258" s="140">
        <f ca="1">IF(ISNUMBER(MATCH(DATEVALUE($A258),'recurring1_based on steps'!Q$1:Q$400,0)),Q$2,)</f>
        <v>0</v>
      </c>
      <c r="R258" s="140">
        <f ca="1">IF(ISNUMBER(MATCH(DATEVALUE($A258),'recurring1_based on steps'!R$1:R$400,0)),R$2,)</f>
        <v>0</v>
      </c>
      <c r="S258" s="140">
        <f ca="1">IF(ISNUMBER(MATCH(DATEVALUE($A258),'recurring1_based on steps'!S$1:S$400,0)),S$2,)</f>
        <v>100</v>
      </c>
      <c r="T258" s="140">
        <f ca="1">IF(ISNUMBER(MATCH(DATEVALUE($A258),'recurring1_based on steps'!T$1:T$400,0)),T$2,)</f>
        <v>0</v>
      </c>
      <c r="U258" s="140">
        <f ca="1">IF(ISNUMBER(MATCH(DATEVALUE($A258),'recurring1_based on steps'!U$1:U$400,0)),U$2,)</f>
        <v>0</v>
      </c>
      <c r="V258" s="140">
        <f ca="1">IF(ISNUMBER(MATCH(DATEVALUE($A258),'recurring1_based on steps'!V$1:V$400,0)),V$2,)</f>
        <v>0</v>
      </c>
      <c r="W258" s="140">
        <f ca="1">IF(ISNUMBER(MATCH(DATEVALUE($A258),'recurring1_based on steps'!W$1:W$400,0)),W$2,)</f>
        <v>0</v>
      </c>
      <c r="X258" s="140">
        <f ca="1">IF(ISNUMBER(MATCH(DATEVALUE($A258),'recurring1_based on steps'!X$1:X$400,0)),X$2,)</f>
        <v>0</v>
      </c>
      <c r="Y258" s="140">
        <f ca="1">IF(ISNUMBER(MATCH(DATEVALUE($A258),'recurring1_based on steps'!Y$1:Y$400,0)),Y$2,)</f>
        <v>0</v>
      </c>
      <c r="Z258" s="140">
        <f ca="1">IF(ISNUMBER(MATCH(DATEVALUE($A258),'recurring1_based on steps'!Z$1:Z$400,0)),Z$2,)</f>
        <v>0</v>
      </c>
      <c r="AA258" s="140">
        <f ca="1">IF(ISNUMBER(MATCH(DATEVALUE($A258),'recurring1_based on steps'!AA$1:AA$400,0)),AA$2,)</f>
        <v>0</v>
      </c>
      <c r="AB258" s="140">
        <f ca="1">IF(ISNUMBER(MATCH(DATEVALUE($A258),'recurring1_based on steps'!AB$1:AB$400,0)),AB$2,)</f>
        <v>5.5401662049861494E-2</v>
      </c>
      <c r="AC258" s="140">
        <f ca="1">IF(ISNUMBER(MATCH(DATEVALUE($A258),'recurring1_based on steps'!AC$1:AC$400,0)),AC$2,)</f>
        <v>0</v>
      </c>
      <c r="AD258" s="140">
        <f ca="1">IF(ISNUMBER(MATCH(DATEVALUE($A258),'recurring1_based on steps'!AD$1:AD$400,0)),AD$2,)</f>
        <v>0</v>
      </c>
      <c r="AE258" s="140">
        <f ca="1">IF(ISNUMBER(MATCH(DATEVALUE($A258),'recurring1_based on steps'!AE$1:AE$400,0)),AE$2,)</f>
        <v>0</v>
      </c>
      <c r="AF258" s="140">
        <f ca="1">IF(ISNUMBER(MATCH(DATEVALUE($A258),'recurring1_based on steps'!AF$1:AF$400,0)),AF$2,)</f>
        <v>0</v>
      </c>
      <c r="AG258" s="140">
        <f ca="1">IF(ISNUMBER(MATCH(DATEVALUE($A258),'recurring1_based on steps'!AG$1:AG$400,0)),AG$2,)</f>
        <v>0</v>
      </c>
      <c r="AH258" s="140">
        <f ca="1">IF(ISNUMBER(MATCH(DATEVALUE($A258),'recurring1_based on steps'!AH$1:AH$400,0)),AH$2,)</f>
        <v>0</v>
      </c>
      <c r="AI258" s="140">
        <f ca="1">IF(ISNUMBER(MATCH(DATEVALUE($A258),'recurring1_based on steps'!AI$1:AI$400,0)),AI$2,)</f>
        <v>0</v>
      </c>
      <c r="AJ258" s="140">
        <f ca="1">IF(ISNUMBER(MATCH(DATEVALUE($A258),'recurring1_based on steps'!AJ$1:AJ$400,0)),AJ$2,)</f>
        <v>0</v>
      </c>
      <c r="AK258" s="140">
        <f ca="1">IF(ISNUMBER(MATCH(DATEVALUE($A258),'recurring1_based on steps'!AK$1:AK$400,0)),AK$2,)</f>
        <v>0</v>
      </c>
      <c r="AL258" s="140">
        <f ca="1">IF(ISNUMBER(MATCH(DATEVALUE($A258),'recurring1_based on steps'!AL$1:AL$400,0)),AL$2,)</f>
        <v>0</v>
      </c>
      <c r="AM258" s="140">
        <f ca="1">IF(ISNUMBER(MATCH(DATEVALUE($A258),'recurring1_based on steps'!AM$1:AM$400,0)),AM$2,)</f>
        <v>0</v>
      </c>
      <c r="AN258" s="140">
        <f ca="1">IF(ISNUMBER(MATCH(DATEVALUE($A258),'recurring1_based on steps'!AN$1:AN$400,0)),AN$2,)</f>
        <v>0</v>
      </c>
      <c r="AO258" s="140">
        <f ca="1">IF(ISNUMBER(MATCH(DATEVALUE($A258),'recurring1_based on steps'!AO$1:AO$400,0)),AO$2,)</f>
        <v>0</v>
      </c>
      <c r="AP258" s="140">
        <f ca="1">IF(ISNUMBER(MATCH(DATEVALUE($A258),'recurring1_based on steps'!AP$1:AP$400,0)),AP$2,)</f>
        <v>0</v>
      </c>
      <c r="AQ258" s="140">
        <f ca="1">IF(ISNUMBER(MATCH(DATEVALUE($A258),'recurring1_based on steps'!AQ$1:AQ$400,0)),AQ$2,)</f>
        <v>0</v>
      </c>
      <c r="AR258" s="140">
        <f ca="1">IF(ISNUMBER(MATCH(DATEVALUE($A258),'recurring1_based on steps'!AR$1:AR$400,0)),AR$2,)</f>
        <v>0</v>
      </c>
      <c r="AS258" s="140">
        <f ca="1">IF(ISNUMBER(MATCH(DATEVALUE($A258),'recurring1_based on steps'!AS$1:AS$400,0)),AS$2,)</f>
        <v>0</v>
      </c>
      <c r="AT258" s="140">
        <f ca="1">IF(ISNUMBER(MATCH(DATEVALUE($A258),'recurring1_based on steps'!AT$1:AT$400,0)),AT$2,)</f>
        <v>0</v>
      </c>
      <c r="AU258" s="140">
        <f ca="1">IF(ISNUMBER(MATCH(DATEVALUE($A258),'recurring1_based on steps'!AU$1:AU$400,0)),AU$2,)</f>
        <v>0</v>
      </c>
      <c r="AV258" s="140">
        <f ca="1">IF(ISNUMBER(MATCH(DATEVALUE($A258),'recurring1_based on steps'!AV$1:AV$400,0)),AV$2,)</f>
        <v>0</v>
      </c>
      <c r="AW258" s="140">
        <f ca="1">IF(ISNUMBER(MATCH(DATEVALUE($A258),'recurring1_based on steps'!AW$1:AW$400,0)),AW$2,)</f>
        <v>0</v>
      </c>
      <c r="AX258" s="140">
        <f ca="1">IF(ISNUMBER(MATCH(DATEVALUE($A258),'recurring1_based on steps'!AX$1:AX$400,0)),AX$2,)</f>
        <v>0</v>
      </c>
      <c r="AY258" s="140">
        <f ca="1">IF(ISNUMBER(MATCH(DATEVALUE($A258),'recurring1_based on steps'!AY$1:AY$400,0)),AY$2,)</f>
        <v>0</v>
      </c>
    </row>
    <row r="259" spans="1:51" x14ac:dyDescent="0.2">
      <c r="A259" s="29" t="str">
        <f t="shared" ca="1" si="3"/>
        <v>2025-12-08</v>
      </c>
      <c r="B259" s="140">
        <f ca="1">IF(ISNUMBER(MATCH(DATEVALUE($A259),'recurring1_based on steps'!B$1:B$400,0)),B$2,)</f>
        <v>0</v>
      </c>
      <c r="C259" s="140">
        <f ca="1">IF(ISNUMBER(MATCH(DATEVALUE($A259),'recurring1_based on steps'!C$1:C$400,0)),C$2,)</f>
        <v>0</v>
      </c>
      <c r="D259" s="140">
        <f ca="1">IF(ISNUMBER(MATCH(DATEVALUE($A259),'recurring1_based on steps'!D$1:D$400,0)),D$2,)</f>
        <v>0</v>
      </c>
      <c r="E259" s="140">
        <f ca="1">IF(ISNUMBER(MATCH(DATEVALUE($A259),'recurring1_based on steps'!E$1:E$400,0)),E$2,)</f>
        <v>0</v>
      </c>
      <c r="F259" s="140">
        <f ca="1">IF(ISNUMBER(MATCH(DATEVALUE($A259),'recurring1_based on steps'!F$1:F$400,0)),F$2,)</f>
        <v>0</v>
      </c>
      <c r="G259" s="140">
        <f ca="1">IF(ISNUMBER(MATCH(DATEVALUE($A259),'recurring1_based on steps'!G$1:G$400,0)),G$2,)</f>
        <v>0</v>
      </c>
      <c r="H259" s="140">
        <f ca="1">IF(ISNUMBER(MATCH(DATEVALUE($A259),'recurring1_based on steps'!H$1:H$400,0)),H$2,)</f>
        <v>0</v>
      </c>
      <c r="I259" s="140">
        <f ca="1">IF(ISNUMBER(MATCH(DATEVALUE($A259),'recurring1_based on steps'!I$1:I$400,0)),I$2,)</f>
        <v>0</v>
      </c>
      <c r="J259" s="140">
        <f ca="1">IF(ISNUMBER(MATCH(DATEVALUE($A259),'recurring1_based on steps'!J$1:J$400,0)),J$2,)</f>
        <v>0</v>
      </c>
      <c r="K259" s="140">
        <f ca="1">IF(ISNUMBER(MATCH(DATEVALUE($A259),'recurring1_based on steps'!K$1:K$400,0)),K$2,)</f>
        <v>0</v>
      </c>
      <c r="L259" s="140">
        <f ca="1">IF(ISNUMBER(MATCH(DATEVALUE($A259),'recurring1_based on steps'!L$1:L$400,0)),L$2,)</f>
        <v>0</v>
      </c>
      <c r="M259" s="140">
        <f ca="1">IF(ISNUMBER(MATCH(DATEVALUE($A259),'recurring1_based on steps'!M$1:M$400,0)),M$2,)</f>
        <v>0</v>
      </c>
      <c r="N259" s="140">
        <f ca="1">IF(ISNUMBER(MATCH(DATEVALUE($A259),'recurring1_based on steps'!N$1:N$400,0)),N$2,)</f>
        <v>0</v>
      </c>
      <c r="O259" s="140">
        <f ca="1">IF(ISNUMBER(MATCH(DATEVALUE($A259),'recurring1_based on steps'!O$1:O$400,0)),O$2,)</f>
        <v>0</v>
      </c>
      <c r="P259" s="140">
        <f ca="1">IF(ISNUMBER(MATCH(DATEVALUE($A259),'recurring1_based on steps'!P$1:P$400,0)),P$2,)</f>
        <v>0</v>
      </c>
      <c r="Q259" s="140">
        <f ca="1">IF(ISNUMBER(MATCH(DATEVALUE($A259),'recurring1_based on steps'!Q$1:Q$400,0)),Q$2,)</f>
        <v>0</v>
      </c>
      <c r="R259" s="140">
        <f ca="1">IF(ISNUMBER(MATCH(DATEVALUE($A259),'recurring1_based on steps'!R$1:R$400,0)),R$2,)</f>
        <v>0</v>
      </c>
      <c r="S259" s="140">
        <f ca="1">IF(ISNUMBER(MATCH(DATEVALUE($A259),'recurring1_based on steps'!S$1:S$400,0)),S$2,)</f>
        <v>0</v>
      </c>
      <c r="T259" s="140">
        <f ca="1">IF(ISNUMBER(MATCH(DATEVALUE($A259),'recurring1_based on steps'!T$1:T$400,0)),T$2,)</f>
        <v>0</v>
      </c>
      <c r="U259" s="140">
        <f ca="1">IF(ISNUMBER(MATCH(DATEVALUE($A259),'recurring1_based on steps'!U$1:U$400,0)),U$2,)</f>
        <v>0</v>
      </c>
      <c r="V259" s="140">
        <f ca="1">IF(ISNUMBER(MATCH(DATEVALUE($A259),'recurring1_based on steps'!V$1:V$400,0)),V$2,)</f>
        <v>0</v>
      </c>
      <c r="W259" s="140">
        <f ca="1">IF(ISNUMBER(MATCH(DATEVALUE($A259),'recurring1_based on steps'!W$1:W$400,0)),W$2,)</f>
        <v>0</v>
      </c>
      <c r="X259" s="140">
        <f ca="1">IF(ISNUMBER(MATCH(DATEVALUE($A259),'recurring1_based on steps'!X$1:X$400,0)),X$2,)</f>
        <v>0</v>
      </c>
      <c r="Y259" s="140">
        <f ca="1">IF(ISNUMBER(MATCH(DATEVALUE($A259),'recurring1_based on steps'!Y$1:Y$400,0)),Y$2,)</f>
        <v>0</v>
      </c>
      <c r="Z259" s="140">
        <f ca="1">IF(ISNUMBER(MATCH(DATEVALUE($A259),'recurring1_based on steps'!Z$1:Z$400,0)),Z$2,)</f>
        <v>0</v>
      </c>
      <c r="AA259" s="140">
        <f ca="1">IF(ISNUMBER(MATCH(DATEVALUE($A259),'recurring1_based on steps'!AA$1:AA$400,0)),AA$2,)</f>
        <v>0</v>
      </c>
      <c r="AB259" s="140">
        <f ca="1">IF(ISNUMBER(MATCH(DATEVALUE($A259),'recurring1_based on steps'!AB$1:AB$400,0)),AB$2,)</f>
        <v>5.5401662049861494E-2</v>
      </c>
      <c r="AC259" s="140">
        <f ca="1">IF(ISNUMBER(MATCH(DATEVALUE($A259),'recurring1_based on steps'!AC$1:AC$400,0)),AC$2,)</f>
        <v>0</v>
      </c>
      <c r="AD259" s="140">
        <f ca="1">IF(ISNUMBER(MATCH(DATEVALUE($A259),'recurring1_based on steps'!AD$1:AD$400,0)),AD$2,)</f>
        <v>0</v>
      </c>
      <c r="AE259" s="140">
        <f ca="1">IF(ISNUMBER(MATCH(DATEVALUE($A259),'recurring1_based on steps'!AE$1:AE$400,0)),AE$2,)</f>
        <v>0</v>
      </c>
      <c r="AF259" s="140">
        <f ca="1">IF(ISNUMBER(MATCH(DATEVALUE($A259),'recurring1_based on steps'!AF$1:AF$400,0)),AF$2,)</f>
        <v>0</v>
      </c>
      <c r="AG259" s="140">
        <f ca="1">IF(ISNUMBER(MATCH(DATEVALUE($A259),'recurring1_based on steps'!AG$1:AG$400,0)),AG$2,)</f>
        <v>0</v>
      </c>
      <c r="AH259" s="140">
        <f ca="1">IF(ISNUMBER(MATCH(DATEVALUE($A259),'recurring1_based on steps'!AH$1:AH$400,0)),AH$2,)</f>
        <v>0</v>
      </c>
      <c r="AI259" s="140">
        <f ca="1">IF(ISNUMBER(MATCH(DATEVALUE($A259),'recurring1_based on steps'!AI$1:AI$400,0)),AI$2,)</f>
        <v>0</v>
      </c>
      <c r="AJ259" s="140">
        <f ca="1">IF(ISNUMBER(MATCH(DATEVALUE($A259),'recurring1_based on steps'!AJ$1:AJ$400,0)),AJ$2,)</f>
        <v>0</v>
      </c>
      <c r="AK259" s="140">
        <f ca="1">IF(ISNUMBER(MATCH(DATEVALUE($A259),'recurring1_based on steps'!AK$1:AK$400,0)),AK$2,)</f>
        <v>0</v>
      </c>
      <c r="AL259" s="140">
        <f ca="1">IF(ISNUMBER(MATCH(DATEVALUE($A259),'recurring1_based on steps'!AL$1:AL$400,0)),AL$2,)</f>
        <v>0</v>
      </c>
      <c r="AM259" s="140">
        <f ca="1">IF(ISNUMBER(MATCH(DATEVALUE($A259),'recurring1_based on steps'!AM$1:AM$400,0)),AM$2,)</f>
        <v>0</v>
      </c>
      <c r="AN259" s="140">
        <f ca="1">IF(ISNUMBER(MATCH(DATEVALUE($A259),'recurring1_based on steps'!AN$1:AN$400,0)),AN$2,)</f>
        <v>0</v>
      </c>
      <c r="AO259" s="140">
        <f ca="1">IF(ISNUMBER(MATCH(DATEVALUE($A259),'recurring1_based on steps'!AO$1:AO$400,0)),AO$2,)</f>
        <v>0</v>
      </c>
      <c r="AP259" s="140">
        <f ca="1">IF(ISNUMBER(MATCH(DATEVALUE($A259),'recurring1_based on steps'!AP$1:AP$400,0)),AP$2,)</f>
        <v>0</v>
      </c>
      <c r="AQ259" s="140">
        <f ca="1">IF(ISNUMBER(MATCH(DATEVALUE($A259),'recurring1_based on steps'!AQ$1:AQ$400,0)),AQ$2,)</f>
        <v>0</v>
      </c>
      <c r="AR259" s="140">
        <f ca="1">IF(ISNUMBER(MATCH(DATEVALUE($A259),'recurring1_based on steps'!AR$1:AR$400,0)),AR$2,)</f>
        <v>0</v>
      </c>
      <c r="AS259" s="140">
        <f ca="1">IF(ISNUMBER(MATCH(DATEVALUE($A259),'recurring1_based on steps'!AS$1:AS$400,0)),AS$2,)</f>
        <v>0</v>
      </c>
      <c r="AT259" s="140">
        <f ca="1">IF(ISNUMBER(MATCH(DATEVALUE($A259),'recurring1_based on steps'!AT$1:AT$400,0)),AT$2,)</f>
        <v>0</v>
      </c>
      <c r="AU259" s="140">
        <f ca="1">IF(ISNUMBER(MATCH(DATEVALUE($A259),'recurring1_based on steps'!AU$1:AU$400,0)),AU$2,)</f>
        <v>0</v>
      </c>
      <c r="AV259" s="140">
        <f ca="1">IF(ISNUMBER(MATCH(DATEVALUE($A259),'recurring1_based on steps'!AV$1:AV$400,0)),AV$2,)</f>
        <v>0</v>
      </c>
      <c r="AW259" s="140">
        <f ca="1">IF(ISNUMBER(MATCH(DATEVALUE($A259),'recurring1_based on steps'!AW$1:AW$400,0)),AW$2,)</f>
        <v>0</v>
      </c>
      <c r="AX259" s="140">
        <f ca="1">IF(ISNUMBER(MATCH(DATEVALUE($A259),'recurring1_based on steps'!AX$1:AX$400,0)),AX$2,)</f>
        <v>0</v>
      </c>
      <c r="AY259" s="140">
        <f ca="1">IF(ISNUMBER(MATCH(DATEVALUE($A259),'recurring1_based on steps'!AY$1:AY$400,0)),AY$2,)</f>
        <v>0</v>
      </c>
    </row>
    <row r="260" spans="1:51" x14ac:dyDescent="0.2">
      <c r="A260" s="29" t="str">
        <f t="shared" ca="1" si="3"/>
        <v>2025-12-09</v>
      </c>
      <c r="B260" s="140">
        <f ca="1">IF(ISNUMBER(MATCH(DATEVALUE($A260),'recurring1_based on steps'!B$1:B$400,0)),B$2,)</f>
        <v>0</v>
      </c>
      <c r="C260" s="140">
        <f ca="1">IF(ISNUMBER(MATCH(DATEVALUE($A260),'recurring1_based on steps'!C$1:C$400,0)),C$2,)</f>
        <v>0</v>
      </c>
      <c r="D260" s="140">
        <f ca="1">IF(ISNUMBER(MATCH(DATEVALUE($A260),'recurring1_based on steps'!D$1:D$400,0)),D$2,)</f>
        <v>0</v>
      </c>
      <c r="E260" s="140">
        <f ca="1">IF(ISNUMBER(MATCH(DATEVALUE($A260),'recurring1_based on steps'!E$1:E$400,0)),E$2,)</f>
        <v>0</v>
      </c>
      <c r="F260" s="140">
        <f ca="1">IF(ISNUMBER(MATCH(DATEVALUE($A260),'recurring1_based on steps'!F$1:F$400,0)),F$2,)</f>
        <v>0</v>
      </c>
      <c r="G260" s="140">
        <f ca="1">IF(ISNUMBER(MATCH(DATEVALUE($A260),'recurring1_based on steps'!G$1:G$400,0)),G$2,)</f>
        <v>0</v>
      </c>
      <c r="H260" s="140">
        <f ca="1">IF(ISNUMBER(MATCH(DATEVALUE($A260),'recurring1_based on steps'!H$1:H$400,0)),H$2,)</f>
        <v>0</v>
      </c>
      <c r="I260" s="140">
        <f ca="1">IF(ISNUMBER(MATCH(DATEVALUE($A260),'recurring1_based on steps'!I$1:I$400,0)),I$2,)</f>
        <v>0</v>
      </c>
      <c r="J260" s="140">
        <f ca="1">IF(ISNUMBER(MATCH(DATEVALUE($A260),'recurring1_based on steps'!J$1:J$400,0)),J$2,)</f>
        <v>0</v>
      </c>
      <c r="K260" s="140">
        <f ca="1">IF(ISNUMBER(MATCH(DATEVALUE($A260),'recurring1_based on steps'!K$1:K$400,0)),K$2,)</f>
        <v>0</v>
      </c>
      <c r="L260" s="140">
        <f ca="1">IF(ISNUMBER(MATCH(DATEVALUE($A260),'recurring1_based on steps'!L$1:L$400,0)),L$2,)</f>
        <v>0</v>
      </c>
      <c r="M260" s="140">
        <f ca="1">IF(ISNUMBER(MATCH(DATEVALUE($A260),'recurring1_based on steps'!M$1:M$400,0)),M$2,)</f>
        <v>0</v>
      </c>
      <c r="N260" s="140">
        <f ca="1">IF(ISNUMBER(MATCH(DATEVALUE($A260),'recurring1_based on steps'!N$1:N$400,0)),N$2,)</f>
        <v>0</v>
      </c>
      <c r="O260" s="140">
        <f ca="1">IF(ISNUMBER(MATCH(DATEVALUE($A260),'recurring1_based on steps'!O$1:O$400,0)),O$2,)</f>
        <v>0</v>
      </c>
      <c r="P260" s="140">
        <f ca="1">IF(ISNUMBER(MATCH(DATEVALUE($A260),'recurring1_based on steps'!P$1:P$400,0)),P$2,)</f>
        <v>0</v>
      </c>
      <c r="Q260" s="140">
        <f ca="1">IF(ISNUMBER(MATCH(DATEVALUE($A260),'recurring1_based on steps'!Q$1:Q$400,0)),Q$2,)</f>
        <v>0</v>
      </c>
      <c r="R260" s="140">
        <f ca="1">IF(ISNUMBER(MATCH(DATEVALUE($A260),'recurring1_based on steps'!R$1:R$400,0)),R$2,)</f>
        <v>0</v>
      </c>
      <c r="S260" s="140">
        <f ca="1">IF(ISNUMBER(MATCH(DATEVALUE($A260),'recurring1_based on steps'!S$1:S$400,0)),S$2,)</f>
        <v>0</v>
      </c>
      <c r="T260" s="140">
        <f ca="1">IF(ISNUMBER(MATCH(DATEVALUE($A260),'recurring1_based on steps'!T$1:T$400,0)),T$2,)</f>
        <v>0</v>
      </c>
      <c r="U260" s="140">
        <f ca="1">IF(ISNUMBER(MATCH(DATEVALUE($A260),'recurring1_based on steps'!U$1:U$400,0)),U$2,)</f>
        <v>0</v>
      </c>
      <c r="V260" s="140">
        <f ca="1">IF(ISNUMBER(MATCH(DATEVALUE($A260),'recurring1_based on steps'!V$1:V$400,0)),V$2,)</f>
        <v>0</v>
      </c>
      <c r="W260" s="140">
        <f ca="1">IF(ISNUMBER(MATCH(DATEVALUE($A260),'recurring1_based on steps'!W$1:W$400,0)),W$2,)</f>
        <v>0</v>
      </c>
      <c r="X260" s="140">
        <f ca="1">IF(ISNUMBER(MATCH(DATEVALUE($A260),'recurring1_based on steps'!X$1:X$400,0)),X$2,)</f>
        <v>0</v>
      </c>
      <c r="Y260" s="140">
        <f ca="1">IF(ISNUMBER(MATCH(DATEVALUE($A260),'recurring1_based on steps'!Y$1:Y$400,0)),Y$2,)</f>
        <v>0</v>
      </c>
      <c r="Z260" s="140">
        <f ca="1">IF(ISNUMBER(MATCH(DATEVALUE($A260),'recurring1_based on steps'!Z$1:Z$400,0)),Z$2,)</f>
        <v>0</v>
      </c>
      <c r="AA260" s="140">
        <f ca="1">IF(ISNUMBER(MATCH(DATEVALUE($A260),'recurring1_based on steps'!AA$1:AA$400,0)),AA$2,)</f>
        <v>0</v>
      </c>
      <c r="AB260" s="140">
        <f ca="1">IF(ISNUMBER(MATCH(DATEVALUE($A260),'recurring1_based on steps'!AB$1:AB$400,0)),AB$2,)</f>
        <v>5.5401662049861494E-2</v>
      </c>
      <c r="AC260" s="140">
        <f ca="1">IF(ISNUMBER(MATCH(DATEVALUE($A260),'recurring1_based on steps'!AC$1:AC$400,0)),AC$2,)</f>
        <v>0</v>
      </c>
      <c r="AD260" s="140">
        <f ca="1">IF(ISNUMBER(MATCH(DATEVALUE($A260),'recurring1_based on steps'!AD$1:AD$400,0)),AD$2,)</f>
        <v>0</v>
      </c>
      <c r="AE260" s="140">
        <f ca="1">IF(ISNUMBER(MATCH(DATEVALUE($A260),'recurring1_based on steps'!AE$1:AE$400,0)),AE$2,)</f>
        <v>0</v>
      </c>
      <c r="AF260" s="140">
        <f ca="1">IF(ISNUMBER(MATCH(DATEVALUE($A260),'recurring1_based on steps'!AF$1:AF$400,0)),AF$2,)</f>
        <v>0</v>
      </c>
      <c r="AG260" s="140">
        <f ca="1">IF(ISNUMBER(MATCH(DATEVALUE($A260),'recurring1_based on steps'!AG$1:AG$400,0)),AG$2,)</f>
        <v>0</v>
      </c>
      <c r="AH260" s="140">
        <f ca="1">IF(ISNUMBER(MATCH(DATEVALUE($A260),'recurring1_based on steps'!AH$1:AH$400,0)),AH$2,)</f>
        <v>0</v>
      </c>
      <c r="AI260" s="140">
        <f ca="1">IF(ISNUMBER(MATCH(DATEVALUE($A260),'recurring1_based on steps'!AI$1:AI$400,0)),AI$2,)</f>
        <v>0</v>
      </c>
      <c r="AJ260" s="140">
        <f ca="1">IF(ISNUMBER(MATCH(DATEVALUE($A260),'recurring1_based on steps'!AJ$1:AJ$400,0)),AJ$2,)</f>
        <v>0</v>
      </c>
      <c r="AK260" s="140">
        <f ca="1">IF(ISNUMBER(MATCH(DATEVALUE($A260),'recurring1_based on steps'!AK$1:AK$400,0)),AK$2,)</f>
        <v>0</v>
      </c>
      <c r="AL260" s="140">
        <f ca="1">IF(ISNUMBER(MATCH(DATEVALUE($A260),'recurring1_based on steps'!AL$1:AL$400,0)),AL$2,)</f>
        <v>0</v>
      </c>
      <c r="AM260" s="140">
        <f ca="1">IF(ISNUMBER(MATCH(DATEVALUE($A260),'recurring1_based on steps'!AM$1:AM$400,0)),AM$2,)</f>
        <v>0</v>
      </c>
      <c r="AN260" s="140">
        <f ca="1">IF(ISNUMBER(MATCH(DATEVALUE($A260),'recurring1_based on steps'!AN$1:AN$400,0)),AN$2,)</f>
        <v>0</v>
      </c>
      <c r="AO260" s="140">
        <f ca="1">IF(ISNUMBER(MATCH(DATEVALUE($A260),'recurring1_based on steps'!AO$1:AO$400,0)),AO$2,)</f>
        <v>0</v>
      </c>
      <c r="AP260" s="140">
        <f ca="1">IF(ISNUMBER(MATCH(DATEVALUE($A260),'recurring1_based on steps'!AP$1:AP$400,0)),AP$2,)</f>
        <v>0</v>
      </c>
      <c r="AQ260" s="140">
        <f ca="1">IF(ISNUMBER(MATCH(DATEVALUE($A260),'recurring1_based on steps'!AQ$1:AQ$400,0)),AQ$2,)</f>
        <v>0</v>
      </c>
      <c r="AR260" s="140">
        <f ca="1">IF(ISNUMBER(MATCH(DATEVALUE($A260),'recurring1_based on steps'!AR$1:AR$400,0)),AR$2,)</f>
        <v>0</v>
      </c>
      <c r="AS260" s="140">
        <f ca="1">IF(ISNUMBER(MATCH(DATEVALUE($A260),'recurring1_based on steps'!AS$1:AS$400,0)),AS$2,)</f>
        <v>0</v>
      </c>
      <c r="AT260" s="140">
        <f ca="1">IF(ISNUMBER(MATCH(DATEVALUE($A260),'recurring1_based on steps'!AT$1:AT$400,0)),AT$2,)</f>
        <v>0</v>
      </c>
      <c r="AU260" s="140">
        <f ca="1">IF(ISNUMBER(MATCH(DATEVALUE($A260),'recurring1_based on steps'!AU$1:AU$400,0)),AU$2,)</f>
        <v>0</v>
      </c>
      <c r="AV260" s="140">
        <f ca="1">IF(ISNUMBER(MATCH(DATEVALUE($A260),'recurring1_based on steps'!AV$1:AV$400,0)),AV$2,)</f>
        <v>0</v>
      </c>
      <c r="AW260" s="140">
        <f ca="1">IF(ISNUMBER(MATCH(DATEVALUE($A260),'recurring1_based on steps'!AW$1:AW$400,0)),AW$2,)</f>
        <v>0</v>
      </c>
      <c r="AX260" s="140">
        <f ca="1">IF(ISNUMBER(MATCH(DATEVALUE($A260),'recurring1_based on steps'!AX$1:AX$400,0)),AX$2,)</f>
        <v>0</v>
      </c>
      <c r="AY260" s="140">
        <f ca="1">IF(ISNUMBER(MATCH(DATEVALUE($A260),'recurring1_based on steps'!AY$1:AY$400,0)),AY$2,)</f>
        <v>0</v>
      </c>
    </row>
    <row r="261" spans="1:51" x14ac:dyDescent="0.2">
      <c r="A261" s="29" t="str">
        <f t="shared" ref="A261:A324" ca="1" si="4">TEXT(DATEVALUE(A260)+1,"yyyy-mm-dd")</f>
        <v>2025-12-10</v>
      </c>
      <c r="B261" s="140">
        <f ca="1">IF(ISNUMBER(MATCH(DATEVALUE($A261),'recurring1_based on steps'!B$1:B$400,0)),B$2,)</f>
        <v>0</v>
      </c>
      <c r="C261" s="140">
        <f ca="1">IF(ISNUMBER(MATCH(DATEVALUE($A261),'recurring1_based on steps'!C$1:C$400,0)),C$2,)</f>
        <v>0</v>
      </c>
      <c r="D261" s="140">
        <f ca="1">IF(ISNUMBER(MATCH(DATEVALUE($A261),'recurring1_based on steps'!D$1:D$400,0)),D$2,)</f>
        <v>0</v>
      </c>
      <c r="E261" s="140">
        <f ca="1">IF(ISNUMBER(MATCH(DATEVALUE($A261),'recurring1_based on steps'!E$1:E$400,0)),E$2,)</f>
        <v>0</v>
      </c>
      <c r="F261" s="140">
        <f ca="1">IF(ISNUMBER(MATCH(DATEVALUE($A261),'recurring1_based on steps'!F$1:F$400,0)),F$2,)</f>
        <v>0</v>
      </c>
      <c r="G261" s="140">
        <f ca="1">IF(ISNUMBER(MATCH(DATEVALUE($A261),'recurring1_based on steps'!G$1:G$400,0)),G$2,)</f>
        <v>0</v>
      </c>
      <c r="H261" s="140">
        <f ca="1">IF(ISNUMBER(MATCH(DATEVALUE($A261),'recurring1_based on steps'!H$1:H$400,0)),H$2,)</f>
        <v>0</v>
      </c>
      <c r="I261" s="140">
        <f ca="1">IF(ISNUMBER(MATCH(DATEVALUE($A261),'recurring1_based on steps'!I$1:I$400,0)),I$2,)</f>
        <v>0</v>
      </c>
      <c r="J261" s="140">
        <f ca="1">IF(ISNUMBER(MATCH(DATEVALUE($A261),'recurring1_based on steps'!J$1:J$400,0)),J$2,)</f>
        <v>0</v>
      </c>
      <c r="K261" s="140">
        <f ca="1">IF(ISNUMBER(MATCH(DATEVALUE($A261),'recurring1_based on steps'!K$1:K$400,0)),K$2,)</f>
        <v>0</v>
      </c>
      <c r="L261" s="140">
        <f ca="1">IF(ISNUMBER(MATCH(DATEVALUE($A261),'recurring1_based on steps'!L$1:L$400,0)),L$2,)</f>
        <v>0</v>
      </c>
      <c r="M261" s="140">
        <f ca="1">IF(ISNUMBER(MATCH(DATEVALUE($A261),'recurring1_based on steps'!M$1:M$400,0)),M$2,)</f>
        <v>0</v>
      </c>
      <c r="N261" s="140">
        <f ca="1">IF(ISNUMBER(MATCH(DATEVALUE($A261),'recurring1_based on steps'!N$1:N$400,0)),N$2,)</f>
        <v>0</v>
      </c>
      <c r="O261" s="140">
        <f ca="1">IF(ISNUMBER(MATCH(DATEVALUE($A261),'recurring1_based on steps'!O$1:O$400,0)),O$2,)</f>
        <v>0</v>
      </c>
      <c r="P261" s="140">
        <f ca="1">IF(ISNUMBER(MATCH(DATEVALUE($A261),'recurring1_based on steps'!P$1:P$400,0)),P$2,)</f>
        <v>0</v>
      </c>
      <c r="Q261" s="140">
        <f ca="1">IF(ISNUMBER(MATCH(DATEVALUE($A261),'recurring1_based on steps'!Q$1:Q$400,0)),Q$2,)</f>
        <v>0</v>
      </c>
      <c r="R261" s="140">
        <f ca="1">IF(ISNUMBER(MATCH(DATEVALUE($A261),'recurring1_based on steps'!R$1:R$400,0)),R$2,)</f>
        <v>0</v>
      </c>
      <c r="S261" s="140">
        <f ca="1">IF(ISNUMBER(MATCH(DATEVALUE($A261),'recurring1_based on steps'!S$1:S$400,0)),S$2,)</f>
        <v>0</v>
      </c>
      <c r="T261" s="140">
        <f ca="1">IF(ISNUMBER(MATCH(DATEVALUE($A261),'recurring1_based on steps'!T$1:T$400,0)),T$2,)</f>
        <v>0</v>
      </c>
      <c r="U261" s="140">
        <f ca="1">IF(ISNUMBER(MATCH(DATEVALUE($A261),'recurring1_based on steps'!U$1:U$400,0)),U$2,)</f>
        <v>0</v>
      </c>
      <c r="V261" s="140">
        <f ca="1">IF(ISNUMBER(MATCH(DATEVALUE($A261),'recurring1_based on steps'!V$1:V$400,0)),V$2,)</f>
        <v>0</v>
      </c>
      <c r="W261" s="140">
        <f ca="1">IF(ISNUMBER(MATCH(DATEVALUE($A261),'recurring1_based on steps'!W$1:W$400,0)),W$2,)</f>
        <v>0</v>
      </c>
      <c r="X261" s="140">
        <f ca="1">IF(ISNUMBER(MATCH(DATEVALUE($A261),'recurring1_based on steps'!X$1:X$400,0)),X$2,)</f>
        <v>0</v>
      </c>
      <c r="Y261" s="140">
        <f ca="1">IF(ISNUMBER(MATCH(DATEVALUE($A261),'recurring1_based on steps'!Y$1:Y$400,0)),Y$2,)</f>
        <v>0</v>
      </c>
      <c r="Z261" s="140">
        <f ca="1">IF(ISNUMBER(MATCH(DATEVALUE($A261),'recurring1_based on steps'!Z$1:Z$400,0)),Z$2,)</f>
        <v>0</v>
      </c>
      <c r="AA261" s="140">
        <f ca="1">IF(ISNUMBER(MATCH(DATEVALUE($A261),'recurring1_based on steps'!AA$1:AA$400,0)),AA$2,)</f>
        <v>0</v>
      </c>
      <c r="AB261" s="140">
        <f ca="1">IF(ISNUMBER(MATCH(DATEVALUE($A261),'recurring1_based on steps'!AB$1:AB$400,0)),AB$2,)</f>
        <v>5.5401662049861494E-2</v>
      </c>
      <c r="AC261" s="140">
        <f ca="1">IF(ISNUMBER(MATCH(DATEVALUE($A261),'recurring1_based on steps'!AC$1:AC$400,0)),AC$2,)</f>
        <v>0</v>
      </c>
      <c r="AD261" s="140">
        <f ca="1">IF(ISNUMBER(MATCH(DATEVALUE($A261),'recurring1_based on steps'!AD$1:AD$400,0)),AD$2,)</f>
        <v>0</v>
      </c>
      <c r="AE261" s="140">
        <f ca="1">IF(ISNUMBER(MATCH(DATEVALUE($A261),'recurring1_based on steps'!AE$1:AE$400,0)),AE$2,)</f>
        <v>0</v>
      </c>
      <c r="AF261" s="140">
        <f ca="1">IF(ISNUMBER(MATCH(DATEVALUE($A261),'recurring1_based on steps'!AF$1:AF$400,0)),AF$2,)</f>
        <v>0</v>
      </c>
      <c r="AG261" s="140">
        <f ca="1">IF(ISNUMBER(MATCH(DATEVALUE($A261),'recurring1_based on steps'!AG$1:AG$400,0)),AG$2,)</f>
        <v>0</v>
      </c>
      <c r="AH261" s="140">
        <f ca="1">IF(ISNUMBER(MATCH(DATEVALUE($A261),'recurring1_based on steps'!AH$1:AH$400,0)),AH$2,)</f>
        <v>0</v>
      </c>
      <c r="AI261" s="140">
        <f ca="1">IF(ISNUMBER(MATCH(DATEVALUE($A261),'recurring1_based on steps'!AI$1:AI$400,0)),AI$2,)</f>
        <v>0</v>
      </c>
      <c r="AJ261" s="140">
        <f ca="1">IF(ISNUMBER(MATCH(DATEVALUE($A261),'recurring1_based on steps'!AJ$1:AJ$400,0)),AJ$2,)</f>
        <v>0</v>
      </c>
      <c r="AK261" s="140">
        <f ca="1">IF(ISNUMBER(MATCH(DATEVALUE($A261),'recurring1_based on steps'!AK$1:AK$400,0)),AK$2,)</f>
        <v>0</v>
      </c>
      <c r="AL261" s="140">
        <f ca="1">IF(ISNUMBER(MATCH(DATEVALUE($A261),'recurring1_based on steps'!AL$1:AL$400,0)),AL$2,)</f>
        <v>0</v>
      </c>
      <c r="AM261" s="140">
        <f ca="1">IF(ISNUMBER(MATCH(DATEVALUE($A261),'recurring1_based on steps'!AM$1:AM$400,0)),AM$2,)</f>
        <v>0</v>
      </c>
      <c r="AN261" s="140">
        <f ca="1">IF(ISNUMBER(MATCH(DATEVALUE($A261),'recurring1_based on steps'!AN$1:AN$400,0)),AN$2,)</f>
        <v>0</v>
      </c>
      <c r="AO261" s="140">
        <f ca="1">IF(ISNUMBER(MATCH(DATEVALUE($A261),'recurring1_based on steps'!AO$1:AO$400,0)),AO$2,)</f>
        <v>0</v>
      </c>
      <c r="AP261" s="140">
        <f ca="1">IF(ISNUMBER(MATCH(DATEVALUE($A261),'recurring1_based on steps'!AP$1:AP$400,0)),AP$2,)</f>
        <v>0</v>
      </c>
      <c r="AQ261" s="140">
        <f ca="1">IF(ISNUMBER(MATCH(DATEVALUE($A261),'recurring1_based on steps'!AQ$1:AQ$400,0)),AQ$2,)</f>
        <v>0</v>
      </c>
      <c r="AR261" s="140">
        <f ca="1">IF(ISNUMBER(MATCH(DATEVALUE($A261),'recurring1_based on steps'!AR$1:AR$400,0)),AR$2,)</f>
        <v>0</v>
      </c>
      <c r="AS261" s="140">
        <f ca="1">IF(ISNUMBER(MATCH(DATEVALUE($A261),'recurring1_based on steps'!AS$1:AS$400,0)),AS$2,)</f>
        <v>0</v>
      </c>
      <c r="AT261" s="140">
        <f ca="1">IF(ISNUMBER(MATCH(DATEVALUE($A261),'recurring1_based on steps'!AT$1:AT$400,0)),AT$2,)</f>
        <v>0</v>
      </c>
      <c r="AU261" s="140">
        <f ca="1">IF(ISNUMBER(MATCH(DATEVALUE($A261),'recurring1_based on steps'!AU$1:AU$400,0)),AU$2,)</f>
        <v>0</v>
      </c>
      <c r="AV261" s="140">
        <f ca="1">IF(ISNUMBER(MATCH(DATEVALUE($A261),'recurring1_based on steps'!AV$1:AV$400,0)),AV$2,)</f>
        <v>0</v>
      </c>
      <c r="AW261" s="140">
        <f ca="1">IF(ISNUMBER(MATCH(DATEVALUE($A261),'recurring1_based on steps'!AW$1:AW$400,0)),AW$2,)</f>
        <v>0</v>
      </c>
      <c r="AX261" s="140">
        <f ca="1">IF(ISNUMBER(MATCH(DATEVALUE($A261),'recurring1_based on steps'!AX$1:AX$400,0)),AX$2,)</f>
        <v>0</v>
      </c>
      <c r="AY261" s="140">
        <f ca="1">IF(ISNUMBER(MATCH(DATEVALUE($A261),'recurring1_based on steps'!AY$1:AY$400,0)),AY$2,)</f>
        <v>0</v>
      </c>
    </row>
    <row r="262" spans="1:51" x14ac:dyDescent="0.2">
      <c r="A262" s="29" t="str">
        <f t="shared" ca="1" si="4"/>
        <v>2025-12-11</v>
      </c>
      <c r="B262" s="140">
        <f ca="1">IF(ISNUMBER(MATCH(DATEVALUE($A262),'recurring1_based on steps'!B$1:B$400,0)),B$2,)</f>
        <v>0</v>
      </c>
      <c r="C262" s="140">
        <f ca="1">IF(ISNUMBER(MATCH(DATEVALUE($A262),'recurring1_based on steps'!C$1:C$400,0)),C$2,)</f>
        <v>0</v>
      </c>
      <c r="D262" s="140">
        <f ca="1">IF(ISNUMBER(MATCH(DATEVALUE($A262),'recurring1_based on steps'!D$1:D$400,0)),D$2,)</f>
        <v>0</v>
      </c>
      <c r="E262" s="140">
        <f ca="1">IF(ISNUMBER(MATCH(DATEVALUE($A262),'recurring1_based on steps'!E$1:E$400,0)),E$2,)</f>
        <v>0</v>
      </c>
      <c r="F262" s="140">
        <f ca="1">IF(ISNUMBER(MATCH(DATEVALUE($A262),'recurring1_based on steps'!F$1:F$400,0)),F$2,)</f>
        <v>0</v>
      </c>
      <c r="G262" s="140">
        <f ca="1">IF(ISNUMBER(MATCH(DATEVALUE($A262),'recurring1_based on steps'!G$1:G$400,0)),G$2,)</f>
        <v>0</v>
      </c>
      <c r="H262" s="140">
        <f ca="1">IF(ISNUMBER(MATCH(DATEVALUE($A262),'recurring1_based on steps'!H$1:H$400,0)),H$2,)</f>
        <v>0</v>
      </c>
      <c r="I262" s="140">
        <f ca="1">IF(ISNUMBER(MATCH(DATEVALUE($A262),'recurring1_based on steps'!I$1:I$400,0)),I$2,)</f>
        <v>0</v>
      </c>
      <c r="J262" s="140">
        <f ca="1">IF(ISNUMBER(MATCH(DATEVALUE($A262),'recurring1_based on steps'!J$1:J$400,0)),J$2,)</f>
        <v>500</v>
      </c>
      <c r="K262" s="140">
        <f ca="1">IF(ISNUMBER(MATCH(DATEVALUE($A262),'recurring1_based on steps'!K$1:K$400,0)),K$2,)</f>
        <v>0</v>
      </c>
      <c r="L262" s="140">
        <f ca="1">IF(ISNUMBER(MATCH(DATEVALUE($A262),'recurring1_based on steps'!L$1:L$400,0)),L$2,)</f>
        <v>0</v>
      </c>
      <c r="M262" s="140">
        <f ca="1">IF(ISNUMBER(MATCH(DATEVALUE($A262),'recurring1_based on steps'!M$1:M$400,0)),M$2,)</f>
        <v>0</v>
      </c>
      <c r="N262" s="140">
        <f ca="1">IF(ISNUMBER(MATCH(DATEVALUE($A262),'recurring1_based on steps'!N$1:N$400,0)),N$2,)</f>
        <v>0</v>
      </c>
      <c r="O262" s="140">
        <f ca="1">IF(ISNUMBER(MATCH(DATEVALUE($A262),'recurring1_based on steps'!O$1:O$400,0)),O$2,)</f>
        <v>0</v>
      </c>
      <c r="P262" s="140">
        <f ca="1">IF(ISNUMBER(MATCH(DATEVALUE($A262),'recurring1_based on steps'!P$1:P$400,0)),P$2,)</f>
        <v>0</v>
      </c>
      <c r="Q262" s="140">
        <f ca="1">IF(ISNUMBER(MATCH(DATEVALUE($A262),'recurring1_based on steps'!Q$1:Q$400,0)),Q$2,)</f>
        <v>0</v>
      </c>
      <c r="R262" s="140">
        <f ca="1">IF(ISNUMBER(MATCH(DATEVALUE($A262),'recurring1_based on steps'!R$1:R$400,0)),R$2,)</f>
        <v>0</v>
      </c>
      <c r="S262" s="140">
        <f ca="1">IF(ISNUMBER(MATCH(DATEVALUE($A262),'recurring1_based on steps'!S$1:S$400,0)),S$2,)</f>
        <v>0</v>
      </c>
      <c r="T262" s="140">
        <f ca="1">IF(ISNUMBER(MATCH(DATEVALUE($A262),'recurring1_based on steps'!T$1:T$400,0)),T$2,)</f>
        <v>0</v>
      </c>
      <c r="U262" s="140">
        <f ca="1">IF(ISNUMBER(MATCH(DATEVALUE($A262),'recurring1_based on steps'!U$1:U$400,0)),U$2,)</f>
        <v>0</v>
      </c>
      <c r="V262" s="140">
        <f ca="1">IF(ISNUMBER(MATCH(DATEVALUE($A262),'recurring1_based on steps'!V$1:V$400,0)),V$2,)</f>
        <v>0</v>
      </c>
      <c r="W262" s="140">
        <f ca="1">IF(ISNUMBER(MATCH(DATEVALUE($A262),'recurring1_based on steps'!W$1:W$400,0)),W$2,)</f>
        <v>0</v>
      </c>
      <c r="X262" s="140">
        <f ca="1">IF(ISNUMBER(MATCH(DATEVALUE($A262),'recurring1_based on steps'!X$1:X$400,0)),X$2,)</f>
        <v>0</v>
      </c>
      <c r="Y262" s="140">
        <f ca="1">IF(ISNUMBER(MATCH(DATEVALUE($A262),'recurring1_based on steps'!Y$1:Y$400,0)),Y$2,)</f>
        <v>0</v>
      </c>
      <c r="Z262" s="140">
        <f ca="1">IF(ISNUMBER(MATCH(DATEVALUE($A262),'recurring1_based on steps'!Z$1:Z$400,0)),Z$2,)</f>
        <v>0</v>
      </c>
      <c r="AA262" s="140">
        <f ca="1">IF(ISNUMBER(MATCH(DATEVALUE($A262),'recurring1_based on steps'!AA$1:AA$400,0)),AA$2,)</f>
        <v>0</v>
      </c>
      <c r="AB262" s="140">
        <f ca="1">IF(ISNUMBER(MATCH(DATEVALUE($A262),'recurring1_based on steps'!AB$1:AB$400,0)),AB$2,)</f>
        <v>5.5401662049861494E-2</v>
      </c>
      <c r="AC262" s="140">
        <f ca="1">IF(ISNUMBER(MATCH(DATEVALUE($A262),'recurring1_based on steps'!AC$1:AC$400,0)),AC$2,)</f>
        <v>0</v>
      </c>
      <c r="AD262" s="140">
        <f ca="1">IF(ISNUMBER(MATCH(DATEVALUE($A262),'recurring1_based on steps'!AD$1:AD$400,0)),AD$2,)</f>
        <v>0</v>
      </c>
      <c r="AE262" s="140">
        <f ca="1">IF(ISNUMBER(MATCH(DATEVALUE($A262),'recurring1_based on steps'!AE$1:AE$400,0)),AE$2,)</f>
        <v>0</v>
      </c>
      <c r="AF262" s="140">
        <f ca="1">IF(ISNUMBER(MATCH(DATEVALUE($A262),'recurring1_based on steps'!AF$1:AF$400,0)),AF$2,)</f>
        <v>0</v>
      </c>
      <c r="AG262" s="140">
        <f ca="1">IF(ISNUMBER(MATCH(DATEVALUE($A262),'recurring1_based on steps'!AG$1:AG$400,0)),AG$2,)</f>
        <v>0</v>
      </c>
      <c r="AH262" s="140">
        <f ca="1">IF(ISNUMBER(MATCH(DATEVALUE($A262),'recurring1_based on steps'!AH$1:AH$400,0)),AH$2,)</f>
        <v>0</v>
      </c>
      <c r="AI262" s="140">
        <f ca="1">IF(ISNUMBER(MATCH(DATEVALUE($A262),'recurring1_based on steps'!AI$1:AI$400,0)),AI$2,)</f>
        <v>0</v>
      </c>
      <c r="AJ262" s="140">
        <f ca="1">IF(ISNUMBER(MATCH(DATEVALUE($A262),'recurring1_based on steps'!AJ$1:AJ$400,0)),AJ$2,)</f>
        <v>0</v>
      </c>
      <c r="AK262" s="140">
        <f ca="1">IF(ISNUMBER(MATCH(DATEVALUE($A262),'recurring1_based on steps'!AK$1:AK$400,0)),AK$2,)</f>
        <v>0</v>
      </c>
      <c r="AL262" s="140">
        <f ca="1">IF(ISNUMBER(MATCH(DATEVALUE($A262),'recurring1_based on steps'!AL$1:AL$400,0)),AL$2,)</f>
        <v>0</v>
      </c>
      <c r="AM262" s="140">
        <f ca="1">IF(ISNUMBER(MATCH(DATEVALUE($A262),'recurring1_based on steps'!AM$1:AM$400,0)),AM$2,)</f>
        <v>0</v>
      </c>
      <c r="AN262" s="140">
        <f ca="1">IF(ISNUMBER(MATCH(DATEVALUE($A262),'recurring1_based on steps'!AN$1:AN$400,0)),AN$2,)</f>
        <v>0</v>
      </c>
      <c r="AO262" s="140">
        <f ca="1">IF(ISNUMBER(MATCH(DATEVALUE($A262),'recurring1_based on steps'!AO$1:AO$400,0)),AO$2,)</f>
        <v>0</v>
      </c>
      <c r="AP262" s="140">
        <f ca="1">IF(ISNUMBER(MATCH(DATEVALUE($A262),'recurring1_based on steps'!AP$1:AP$400,0)),AP$2,)</f>
        <v>0</v>
      </c>
      <c r="AQ262" s="140">
        <f ca="1">IF(ISNUMBER(MATCH(DATEVALUE($A262),'recurring1_based on steps'!AQ$1:AQ$400,0)),AQ$2,)</f>
        <v>0</v>
      </c>
      <c r="AR262" s="140">
        <f ca="1">IF(ISNUMBER(MATCH(DATEVALUE($A262),'recurring1_based on steps'!AR$1:AR$400,0)),AR$2,)</f>
        <v>0</v>
      </c>
      <c r="AS262" s="140">
        <f ca="1">IF(ISNUMBER(MATCH(DATEVALUE($A262),'recurring1_based on steps'!AS$1:AS$400,0)),AS$2,)</f>
        <v>0</v>
      </c>
      <c r="AT262" s="140">
        <f ca="1">IF(ISNUMBER(MATCH(DATEVALUE($A262),'recurring1_based on steps'!AT$1:AT$400,0)),AT$2,)</f>
        <v>0</v>
      </c>
      <c r="AU262" s="140">
        <f ca="1">IF(ISNUMBER(MATCH(DATEVALUE($A262),'recurring1_based on steps'!AU$1:AU$400,0)),AU$2,)</f>
        <v>0</v>
      </c>
      <c r="AV262" s="140">
        <f ca="1">IF(ISNUMBER(MATCH(DATEVALUE($A262),'recurring1_based on steps'!AV$1:AV$400,0)),AV$2,)</f>
        <v>0</v>
      </c>
      <c r="AW262" s="140">
        <f ca="1">IF(ISNUMBER(MATCH(DATEVALUE($A262),'recurring1_based on steps'!AW$1:AW$400,0)),AW$2,)</f>
        <v>0</v>
      </c>
      <c r="AX262" s="140">
        <f ca="1">IF(ISNUMBER(MATCH(DATEVALUE($A262),'recurring1_based on steps'!AX$1:AX$400,0)),AX$2,)</f>
        <v>0</v>
      </c>
      <c r="AY262" s="140">
        <f ca="1">IF(ISNUMBER(MATCH(DATEVALUE($A262),'recurring1_based on steps'!AY$1:AY$400,0)),AY$2,)</f>
        <v>0</v>
      </c>
    </row>
    <row r="263" spans="1:51" x14ac:dyDescent="0.2">
      <c r="A263" s="29" t="str">
        <f t="shared" ca="1" si="4"/>
        <v>2025-12-12</v>
      </c>
      <c r="B263" s="140">
        <f ca="1">IF(ISNUMBER(MATCH(DATEVALUE($A263),'recurring1_based on steps'!B$1:B$400,0)),B$2,)</f>
        <v>4000</v>
      </c>
      <c r="C263" s="140">
        <f ca="1">IF(ISNUMBER(MATCH(DATEVALUE($A263),'recurring1_based on steps'!C$1:C$400,0)),C$2,)</f>
        <v>200</v>
      </c>
      <c r="D263" s="140">
        <f ca="1">IF(ISNUMBER(MATCH(DATEVALUE($A263),'recurring1_based on steps'!D$1:D$400,0)),D$2,)</f>
        <v>2</v>
      </c>
      <c r="E263" s="140">
        <f ca="1">IF(ISNUMBER(MATCH(DATEVALUE($A263),'recurring1_based on steps'!E$1:E$400,0)),E$2,)</f>
        <v>40</v>
      </c>
      <c r="F263" s="140">
        <f ca="1">IF(ISNUMBER(MATCH(DATEVALUE($A263),'recurring1_based on steps'!F$1:F$400,0)),F$2,)</f>
        <v>50</v>
      </c>
      <c r="G263" s="140">
        <f ca="1">IF(ISNUMBER(MATCH(DATEVALUE($A263),'recurring1_based on steps'!G$1:G$400,0)),G$2,)</f>
        <v>4</v>
      </c>
      <c r="H263" s="140">
        <f ca="1">IF(ISNUMBER(MATCH(DATEVALUE($A263),'recurring1_based on steps'!H$1:H$400,0)),H$2,)</f>
        <v>0</v>
      </c>
      <c r="I263" s="140">
        <f ca="1">IF(ISNUMBER(MATCH(DATEVALUE($A263),'recurring1_based on steps'!I$1:I$400,0)),I$2,)</f>
        <v>0</v>
      </c>
      <c r="J263" s="140">
        <f ca="1">IF(ISNUMBER(MATCH(DATEVALUE($A263),'recurring1_based on steps'!J$1:J$400,0)),J$2,)</f>
        <v>0</v>
      </c>
      <c r="K263" s="140">
        <f ca="1">IF(ISNUMBER(MATCH(DATEVALUE($A263),'recurring1_based on steps'!K$1:K$400,0)),K$2,)</f>
        <v>0</v>
      </c>
      <c r="L263" s="140">
        <f ca="1">IF(ISNUMBER(MATCH(DATEVALUE($A263),'recurring1_based on steps'!L$1:L$400,0)),L$2,)</f>
        <v>0</v>
      </c>
      <c r="M263" s="140">
        <f ca="1">IF(ISNUMBER(MATCH(DATEVALUE($A263),'recurring1_based on steps'!M$1:M$400,0)),M$2,)</f>
        <v>0</v>
      </c>
      <c r="N263" s="140">
        <f ca="1">IF(ISNUMBER(MATCH(DATEVALUE($A263),'recurring1_based on steps'!N$1:N$400,0)),N$2,)</f>
        <v>0</v>
      </c>
      <c r="O263" s="140">
        <f ca="1">IF(ISNUMBER(MATCH(DATEVALUE($A263),'recurring1_based on steps'!O$1:O$400,0)),O$2,)</f>
        <v>0</v>
      </c>
      <c r="P263" s="140">
        <f ca="1">IF(ISNUMBER(MATCH(DATEVALUE($A263),'recurring1_based on steps'!P$1:P$400,0)),P$2,)</f>
        <v>0</v>
      </c>
      <c r="Q263" s="140">
        <f ca="1">IF(ISNUMBER(MATCH(DATEVALUE($A263),'recurring1_based on steps'!Q$1:Q$400,0)),Q$2,)</f>
        <v>0</v>
      </c>
      <c r="R263" s="140">
        <f ca="1">IF(ISNUMBER(MATCH(DATEVALUE($A263),'recurring1_based on steps'!R$1:R$400,0)),R$2,)</f>
        <v>0</v>
      </c>
      <c r="S263" s="140">
        <f ca="1">IF(ISNUMBER(MATCH(DATEVALUE($A263),'recurring1_based on steps'!S$1:S$400,0)),S$2,)</f>
        <v>0</v>
      </c>
      <c r="T263" s="140">
        <f ca="1">IF(ISNUMBER(MATCH(DATEVALUE($A263),'recurring1_based on steps'!T$1:T$400,0)),T$2,)</f>
        <v>0</v>
      </c>
      <c r="U263" s="140">
        <f ca="1">IF(ISNUMBER(MATCH(DATEVALUE($A263),'recurring1_based on steps'!U$1:U$400,0)),U$2,)</f>
        <v>0</v>
      </c>
      <c r="V263" s="140">
        <f ca="1">IF(ISNUMBER(MATCH(DATEVALUE($A263),'recurring1_based on steps'!V$1:V$400,0)),V$2,)</f>
        <v>0</v>
      </c>
      <c r="W263" s="140">
        <f ca="1">IF(ISNUMBER(MATCH(DATEVALUE($A263),'recurring1_based on steps'!W$1:W$400,0)),W$2,)</f>
        <v>0</v>
      </c>
      <c r="X263" s="140">
        <f ca="1">IF(ISNUMBER(MATCH(DATEVALUE($A263),'recurring1_based on steps'!X$1:X$400,0)),X$2,)</f>
        <v>50</v>
      </c>
      <c r="Y263" s="140">
        <f ca="1">IF(ISNUMBER(MATCH(DATEVALUE($A263),'recurring1_based on steps'!Y$1:Y$400,0)),Y$2,)</f>
        <v>50</v>
      </c>
      <c r="Z263" s="140">
        <f ca="1">IF(ISNUMBER(MATCH(DATEVALUE($A263),'recurring1_based on steps'!Z$1:Z$400,0)),Z$2,)</f>
        <v>0</v>
      </c>
      <c r="AA263" s="140">
        <f ca="1">IF(ISNUMBER(MATCH(DATEVALUE($A263),'recurring1_based on steps'!AA$1:AA$400,0)),AA$2,)</f>
        <v>0</v>
      </c>
      <c r="AB263" s="140">
        <f ca="1">IF(ISNUMBER(MATCH(DATEVALUE($A263),'recurring1_based on steps'!AB$1:AB$400,0)),AB$2,)</f>
        <v>5.5401662049861494E-2</v>
      </c>
      <c r="AC263" s="140">
        <f ca="1">IF(ISNUMBER(MATCH(DATEVALUE($A263),'recurring1_based on steps'!AC$1:AC$400,0)),AC$2,)</f>
        <v>0</v>
      </c>
      <c r="AD263" s="140">
        <f ca="1">IF(ISNUMBER(MATCH(DATEVALUE($A263),'recurring1_based on steps'!AD$1:AD$400,0)),AD$2,)</f>
        <v>0</v>
      </c>
      <c r="AE263" s="140">
        <f ca="1">IF(ISNUMBER(MATCH(DATEVALUE($A263),'recurring1_based on steps'!AE$1:AE$400,0)),AE$2,)</f>
        <v>0</v>
      </c>
      <c r="AF263" s="140">
        <f ca="1">IF(ISNUMBER(MATCH(DATEVALUE($A263),'recurring1_based on steps'!AF$1:AF$400,0)),AF$2,)</f>
        <v>0</v>
      </c>
      <c r="AG263" s="140">
        <f ca="1">IF(ISNUMBER(MATCH(DATEVALUE($A263),'recurring1_based on steps'!AG$1:AG$400,0)),AG$2,)</f>
        <v>0</v>
      </c>
      <c r="AH263" s="140">
        <f ca="1">IF(ISNUMBER(MATCH(DATEVALUE($A263),'recurring1_based on steps'!AH$1:AH$400,0)),AH$2,)</f>
        <v>0</v>
      </c>
      <c r="AI263" s="140">
        <f ca="1">IF(ISNUMBER(MATCH(DATEVALUE($A263),'recurring1_based on steps'!AI$1:AI$400,0)),AI$2,)</f>
        <v>0</v>
      </c>
      <c r="AJ263" s="140">
        <f ca="1">IF(ISNUMBER(MATCH(DATEVALUE($A263),'recurring1_based on steps'!AJ$1:AJ$400,0)),AJ$2,)</f>
        <v>0</v>
      </c>
      <c r="AK263" s="140">
        <f ca="1">IF(ISNUMBER(MATCH(DATEVALUE($A263),'recurring1_based on steps'!AK$1:AK$400,0)),AK$2,)</f>
        <v>0</v>
      </c>
      <c r="AL263" s="140">
        <f ca="1">IF(ISNUMBER(MATCH(DATEVALUE($A263),'recurring1_based on steps'!AL$1:AL$400,0)),AL$2,)</f>
        <v>0</v>
      </c>
      <c r="AM263" s="140">
        <f ca="1">IF(ISNUMBER(MATCH(DATEVALUE($A263),'recurring1_based on steps'!AM$1:AM$400,0)),AM$2,)</f>
        <v>0</v>
      </c>
      <c r="AN263" s="140">
        <f ca="1">IF(ISNUMBER(MATCH(DATEVALUE($A263),'recurring1_based on steps'!AN$1:AN$400,0)),AN$2,)</f>
        <v>0</v>
      </c>
      <c r="AO263" s="140">
        <f ca="1">IF(ISNUMBER(MATCH(DATEVALUE($A263),'recurring1_based on steps'!AO$1:AO$400,0)),AO$2,)</f>
        <v>0</v>
      </c>
      <c r="AP263" s="140">
        <f ca="1">IF(ISNUMBER(MATCH(DATEVALUE($A263),'recurring1_based on steps'!AP$1:AP$400,0)),AP$2,)</f>
        <v>0</v>
      </c>
      <c r="AQ263" s="140">
        <f ca="1">IF(ISNUMBER(MATCH(DATEVALUE($A263),'recurring1_based on steps'!AQ$1:AQ$400,0)),AQ$2,)</f>
        <v>0</v>
      </c>
      <c r="AR263" s="140">
        <f ca="1">IF(ISNUMBER(MATCH(DATEVALUE($A263),'recurring1_based on steps'!AR$1:AR$400,0)),AR$2,)</f>
        <v>0</v>
      </c>
      <c r="AS263" s="140">
        <f ca="1">IF(ISNUMBER(MATCH(DATEVALUE($A263),'recurring1_based on steps'!AS$1:AS$400,0)),AS$2,)</f>
        <v>0</v>
      </c>
      <c r="AT263" s="140">
        <f ca="1">IF(ISNUMBER(MATCH(DATEVALUE($A263),'recurring1_based on steps'!AT$1:AT$400,0)),AT$2,)</f>
        <v>0</v>
      </c>
      <c r="AU263" s="140">
        <f ca="1">IF(ISNUMBER(MATCH(DATEVALUE($A263),'recurring1_based on steps'!AU$1:AU$400,0)),AU$2,)</f>
        <v>0</v>
      </c>
      <c r="AV263" s="140">
        <f ca="1">IF(ISNUMBER(MATCH(DATEVALUE($A263),'recurring1_based on steps'!AV$1:AV$400,0)),AV$2,)</f>
        <v>0</v>
      </c>
      <c r="AW263" s="140">
        <f ca="1">IF(ISNUMBER(MATCH(DATEVALUE($A263),'recurring1_based on steps'!AW$1:AW$400,0)),AW$2,)</f>
        <v>0</v>
      </c>
      <c r="AX263" s="140">
        <f ca="1">IF(ISNUMBER(MATCH(DATEVALUE($A263),'recurring1_based on steps'!AX$1:AX$400,0)),AX$2,)</f>
        <v>0</v>
      </c>
      <c r="AY263" s="140">
        <f ca="1">IF(ISNUMBER(MATCH(DATEVALUE($A263),'recurring1_based on steps'!AY$1:AY$400,0)),AY$2,)</f>
        <v>0</v>
      </c>
    </row>
    <row r="264" spans="1:51" x14ac:dyDescent="0.2">
      <c r="A264" s="29" t="str">
        <f t="shared" ca="1" si="4"/>
        <v>2025-12-13</v>
      </c>
      <c r="B264" s="140">
        <f ca="1">IF(ISNUMBER(MATCH(DATEVALUE($A264),'recurring1_based on steps'!B$1:B$400,0)),B$2,)</f>
        <v>0</v>
      </c>
      <c r="C264" s="140">
        <f ca="1">IF(ISNUMBER(MATCH(DATEVALUE($A264),'recurring1_based on steps'!C$1:C$400,0)),C$2,)</f>
        <v>0</v>
      </c>
      <c r="D264" s="140">
        <f ca="1">IF(ISNUMBER(MATCH(DATEVALUE($A264),'recurring1_based on steps'!D$1:D$400,0)),D$2,)</f>
        <v>0</v>
      </c>
      <c r="E264" s="140">
        <f ca="1">IF(ISNUMBER(MATCH(DATEVALUE($A264),'recurring1_based on steps'!E$1:E$400,0)),E$2,)</f>
        <v>0</v>
      </c>
      <c r="F264" s="140">
        <f ca="1">IF(ISNUMBER(MATCH(DATEVALUE($A264),'recurring1_based on steps'!F$1:F$400,0)),F$2,)</f>
        <v>0</v>
      </c>
      <c r="G264" s="140">
        <f ca="1">IF(ISNUMBER(MATCH(DATEVALUE($A264),'recurring1_based on steps'!G$1:G$400,0)),G$2,)</f>
        <v>0</v>
      </c>
      <c r="H264" s="140">
        <f ca="1">IF(ISNUMBER(MATCH(DATEVALUE($A264),'recurring1_based on steps'!H$1:H$400,0)),H$2,)</f>
        <v>0</v>
      </c>
      <c r="I264" s="140">
        <f ca="1">IF(ISNUMBER(MATCH(DATEVALUE($A264),'recurring1_based on steps'!I$1:I$400,0)),I$2,)</f>
        <v>0</v>
      </c>
      <c r="J264" s="140">
        <f ca="1">IF(ISNUMBER(MATCH(DATEVALUE($A264),'recurring1_based on steps'!J$1:J$400,0)),J$2,)</f>
        <v>0</v>
      </c>
      <c r="K264" s="140">
        <f ca="1">IF(ISNUMBER(MATCH(DATEVALUE($A264),'recurring1_based on steps'!K$1:K$400,0)),K$2,)</f>
        <v>0</v>
      </c>
      <c r="L264" s="140">
        <f ca="1">IF(ISNUMBER(MATCH(DATEVALUE($A264),'recurring1_based on steps'!L$1:L$400,0)),L$2,)</f>
        <v>0</v>
      </c>
      <c r="M264" s="140">
        <f ca="1">IF(ISNUMBER(MATCH(DATEVALUE($A264),'recurring1_based on steps'!M$1:M$400,0)),M$2,)</f>
        <v>0</v>
      </c>
      <c r="N264" s="140">
        <f ca="1">IF(ISNUMBER(MATCH(DATEVALUE($A264),'recurring1_based on steps'!N$1:N$400,0)),N$2,)</f>
        <v>0</v>
      </c>
      <c r="O264" s="140">
        <f ca="1">IF(ISNUMBER(MATCH(DATEVALUE($A264),'recurring1_based on steps'!O$1:O$400,0)),O$2,)</f>
        <v>0</v>
      </c>
      <c r="P264" s="140">
        <f ca="1">IF(ISNUMBER(MATCH(DATEVALUE($A264),'recurring1_based on steps'!P$1:P$400,0)),P$2,)</f>
        <v>0</v>
      </c>
      <c r="Q264" s="140">
        <f ca="1">IF(ISNUMBER(MATCH(DATEVALUE($A264),'recurring1_based on steps'!Q$1:Q$400,0)),Q$2,)</f>
        <v>100</v>
      </c>
      <c r="R264" s="140">
        <f ca="1">IF(ISNUMBER(MATCH(DATEVALUE($A264),'recurring1_based on steps'!R$1:R$400,0)),R$2,)</f>
        <v>100</v>
      </c>
      <c r="S264" s="140">
        <f ca="1">IF(ISNUMBER(MATCH(DATEVALUE($A264),'recurring1_based on steps'!S$1:S$400,0)),S$2,)</f>
        <v>0</v>
      </c>
      <c r="T264" s="140">
        <f ca="1">IF(ISNUMBER(MATCH(DATEVALUE($A264),'recurring1_based on steps'!T$1:T$400,0)),T$2,)</f>
        <v>0</v>
      </c>
      <c r="U264" s="140">
        <f ca="1">IF(ISNUMBER(MATCH(DATEVALUE($A264),'recurring1_based on steps'!U$1:U$400,0)),U$2,)</f>
        <v>0</v>
      </c>
      <c r="V264" s="140">
        <f ca="1">IF(ISNUMBER(MATCH(DATEVALUE($A264),'recurring1_based on steps'!V$1:V$400,0)),V$2,)</f>
        <v>0</v>
      </c>
      <c r="W264" s="140">
        <f ca="1">IF(ISNUMBER(MATCH(DATEVALUE($A264),'recurring1_based on steps'!W$1:W$400,0)),W$2,)</f>
        <v>0</v>
      </c>
      <c r="X264" s="140">
        <f ca="1">IF(ISNUMBER(MATCH(DATEVALUE($A264),'recurring1_based on steps'!X$1:X$400,0)),X$2,)</f>
        <v>0</v>
      </c>
      <c r="Y264" s="140">
        <f ca="1">IF(ISNUMBER(MATCH(DATEVALUE($A264),'recurring1_based on steps'!Y$1:Y$400,0)),Y$2,)</f>
        <v>0</v>
      </c>
      <c r="Z264" s="140">
        <f ca="1">IF(ISNUMBER(MATCH(DATEVALUE($A264),'recurring1_based on steps'!Z$1:Z$400,0)),Z$2,)</f>
        <v>0</v>
      </c>
      <c r="AA264" s="140">
        <f ca="1">IF(ISNUMBER(MATCH(DATEVALUE($A264),'recurring1_based on steps'!AA$1:AA$400,0)),AA$2,)</f>
        <v>0</v>
      </c>
      <c r="AB264" s="140">
        <f ca="1">IF(ISNUMBER(MATCH(DATEVALUE($A264),'recurring1_based on steps'!AB$1:AB$400,0)),AB$2,)</f>
        <v>5.5401662049861494E-2</v>
      </c>
      <c r="AC264" s="140">
        <f ca="1">IF(ISNUMBER(MATCH(DATEVALUE($A264),'recurring1_based on steps'!AC$1:AC$400,0)),AC$2,)</f>
        <v>0</v>
      </c>
      <c r="AD264" s="140">
        <f ca="1">IF(ISNUMBER(MATCH(DATEVALUE($A264),'recurring1_based on steps'!AD$1:AD$400,0)),AD$2,)</f>
        <v>0</v>
      </c>
      <c r="AE264" s="140">
        <f ca="1">IF(ISNUMBER(MATCH(DATEVALUE($A264),'recurring1_based on steps'!AE$1:AE$400,0)),AE$2,)</f>
        <v>0</v>
      </c>
      <c r="AF264" s="140">
        <f ca="1">IF(ISNUMBER(MATCH(DATEVALUE($A264),'recurring1_based on steps'!AF$1:AF$400,0)),AF$2,)</f>
        <v>0</v>
      </c>
      <c r="AG264" s="140">
        <f ca="1">IF(ISNUMBER(MATCH(DATEVALUE($A264),'recurring1_based on steps'!AG$1:AG$400,0)),AG$2,)</f>
        <v>0</v>
      </c>
      <c r="AH264" s="140">
        <f ca="1">IF(ISNUMBER(MATCH(DATEVALUE($A264),'recurring1_based on steps'!AH$1:AH$400,0)),AH$2,)</f>
        <v>0</v>
      </c>
      <c r="AI264" s="140">
        <f ca="1">IF(ISNUMBER(MATCH(DATEVALUE($A264),'recurring1_based on steps'!AI$1:AI$400,0)),AI$2,)</f>
        <v>0</v>
      </c>
      <c r="AJ264" s="140">
        <f ca="1">IF(ISNUMBER(MATCH(DATEVALUE($A264),'recurring1_based on steps'!AJ$1:AJ$400,0)),AJ$2,)</f>
        <v>0</v>
      </c>
      <c r="AK264" s="140">
        <f ca="1">IF(ISNUMBER(MATCH(DATEVALUE($A264),'recurring1_based on steps'!AK$1:AK$400,0)),AK$2,)</f>
        <v>0</v>
      </c>
      <c r="AL264" s="140">
        <f ca="1">IF(ISNUMBER(MATCH(DATEVALUE($A264),'recurring1_based on steps'!AL$1:AL$400,0)),AL$2,)</f>
        <v>0</v>
      </c>
      <c r="AM264" s="140">
        <f ca="1">IF(ISNUMBER(MATCH(DATEVALUE($A264),'recurring1_based on steps'!AM$1:AM$400,0)),AM$2,)</f>
        <v>0</v>
      </c>
      <c r="AN264" s="140">
        <f ca="1">IF(ISNUMBER(MATCH(DATEVALUE($A264),'recurring1_based on steps'!AN$1:AN$400,0)),AN$2,)</f>
        <v>0</v>
      </c>
      <c r="AO264" s="140">
        <f ca="1">IF(ISNUMBER(MATCH(DATEVALUE($A264),'recurring1_based on steps'!AO$1:AO$400,0)),AO$2,)</f>
        <v>0</v>
      </c>
      <c r="AP264" s="140">
        <f ca="1">IF(ISNUMBER(MATCH(DATEVALUE($A264),'recurring1_based on steps'!AP$1:AP$400,0)),AP$2,)</f>
        <v>0</v>
      </c>
      <c r="AQ264" s="140">
        <f ca="1">IF(ISNUMBER(MATCH(DATEVALUE($A264),'recurring1_based on steps'!AQ$1:AQ$400,0)),AQ$2,)</f>
        <v>0</v>
      </c>
      <c r="AR264" s="140">
        <f ca="1">IF(ISNUMBER(MATCH(DATEVALUE($A264),'recurring1_based on steps'!AR$1:AR$400,0)),AR$2,)</f>
        <v>0</v>
      </c>
      <c r="AS264" s="140">
        <f ca="1">IF(ISNUMBER(MATCH(DATEVALUE($A264),'recurring1_based on steps'!AS$1:AS$400,0)),AS$2,)</f>
        <v>0</v>
      </c>
      <c r="AT264" s="140">
        <f ca="1">IF(ISNUMBER(MATCH(DATEVALUE($A264),'recurring1_based on steps'!AT$1:AT$400,0)),AT$2,)</f>
        <v>0</v>
      </c>
      <c r="AU264" s="140">
        <f ca="1">IF(ISNUMBER(MATCH(DATEVALUE($A264),'recurring1_based on steps'!AU$1:AU$400,0)),AU$2,)</f>
        <v>0</v>
      </c>
      <c r="AV264" s="140">
        <f ca="1">IF(ISNUMBER(MATCH(DATEVALUE($A264),'recurring1_based on steps'!AV$1:AV$400,0)),AV$2,)</f>
        <v>0</v>
      </c>
      <c r="AW264" s="140">
        <f ca="1">IF(ISNUMBER(MATCH(DATEVALUE($A264),'recurring1_based on steps'!AW$1:AW$400,0)),AW$2,)</f>
        <v>0</v>
      </c>
      <c r="AX264" s="140">
        <f ca="1">IF(ISNUMBER(MATCH(DATEVALUE($A264),'recurring1_based on steps'!AX$1:AX$400,0)),AX$2,)</f>
        <v>0</v>
      </c>
      <c r="AY264" s="140">
        <f ca="1">IF(ISNUMBER(MATCH(DATEVALUE($A264),'recurring1_based on steps'!AY$1:AY$400,0)),AY$2,)</f>
        <v>0</v>
      </c>
    </row>
    <row r="265" spans="1:51" x14ac:dyDescent="0.2">
      <c r="A265" s="29" t="str">
        <f t="shared" ca="1" si="4"/>
        <v>2025-12-14</v>
      </c>
      <c r="B265" s="140">
        <f ca="1">IF(ISNUMBER(MATCH(DATEVALUE($A265),'recurring1_based on steps'!B$1:B$400,0)),B$2,)</f>
        <v>0</v>
      </c>
      <c r="C265" s="140">
        <f ca="1">IF(ISNUMBER(MATCH(DATEVALUE($A265),'recurring1_based on steps'!C$1:C$400,0)),C$2,)</f>
        <v>0</v>
      </c>
      <c r="D265" s="140">
        <f ca="1">IF(ISNUMBER(MATCH(DATEVALUE($A265),'recurring1_based on steps'!D$1:D$400,0)),D$2,)</f>
        <v>0</v>
      </c>
      <c r="E265" s="140">
        <f ca="1">IF(ISNUMBER(MATCH(DATEVALUE($A265),'recurring1_based on steps'!E$1:E$400,0)),E$2,)</f>
        <v>0</v>
      </c>
      <c r="F265" s="140">
        <f ca="1">IF(ISNUMBER(MATCH(DATEVALUE($A265),'recurring1_based on steps'!F$1:F$400,0)),F$2,)</f>
        <v>0</v>
      </c>
      <c r="G265" s="140">
        <f ca="1">IF(ISNUMBER(MATCH(DATEVALUE($A265),'recurring1_based on steps'!G$1:G$400,0)),G$2,)</f>
        <v>0</v>
      </c>
      <c r="H265" s="140">
        <f ca="1">IF(ISNUMBER(MATCH(DATEVALUE($A265),'recurring1_based on steps'!H$1:H$400,0)),H$2,)</f>
        <v>0</v>
      </c>
      <c r="I265" s="140">
        <f ca="1">IF(ISNUMBER(MATCH(DATEVALUE($A265),'recurring1_based on steps'!I$1:I$400,0)),I$2,)</f>
        <v>0</v>
      </c>
      <c r="J265" s="140">
        <f ca="1">IF(ISNUMBER(MATCH(DATEVALUE($A265),'recurring1_based on steps'!J$1:J$400,0)),J$2,)</f>
        <v>0</v>
      </c>
      <c r="K265" s="140">
        <f ca="1">IF(ISNUMBER(MATCH(DATEVALUE($A265),'recurring1_based on steps'!K$1:K$400,0)),K$2,)</f>
        <v>50</v>
      </c>
      <c r="L265" s="140">
        <f ca="1">IF(ISNUMBER(MATCH(DATEVALUE($A265),'recurring1_based on steps'!L$1:L$400,0)),L$2,)</f>
        <v>0</v>
      </c>
      <c r="M265" s="140">
        <f ca="1">IF(ISNUMBER(MATCH(DATEVALUE($A265),'recurring1_based on steps'!M$1:M$400,0)),M$2,)</f>
        <v>0</v>
      </c>
      <c r="N265" s="140">
        <f ca="1">IF(ISNUMBER(MATCH(DATEVALUE($A265),'recurring1_based on steps'!N$1:N$400,0)),N$2,)</f>
        <v>0</v>
      </c>
      <c r="O265" s="140">
        <f ca="1">IF(ISNUMBER(MATCH(DATEVALUE($A265),'recurring1_based on steps'!O$1:O$400,0)),O$2,)</f>
        <v>0</v>
      </c>
      <c r="P265" s="140">
        <f ca="1">IF(ISNUMBER(MATCH(DATEVALUE($A265),'recurring1_based on steps'!P$1:P$400,0)),P$2,)</f>
        <v>0</v>
      </c>
      <c r="Q265" s="140">
        <f ca="1">IF(ISNUMBER(MATCH(DATEVALUE($A265),'recurring1_based on steps'!Q$1:Q$400,0)),Q$2,)</f>
        <v>0</v>
      </c>
      <c r="R265" s="140">
        <f ca="1">IF(ISNUMBER(MATCH(DATEVALUE($A265),'recurring1_based on steps'!R$1:R$400,0)),R$2,)</f>
        <v>0</v>
      </c>
      <c r="S265" s="140">
        <f ca="1">IF(ISNUMBER(MATCH(DATEVALUE($A265),'recurring1_based on steps'!S$1:S$400,0)),S$2,)</f>
        <v>100</v>
      </c>
      <c r="T265" s="140">
        <f ca="1">IF(ISNUMBER(MATCH(DATEVALUE($A265),'recurring1_based on steps'!T$1:T$400,0)),T$2,)</f>
        <v>0</v>
      </c>
      <c r="U265" s="140">
        <f ca="1">IF(ISNUMBER(MATCH(DATEVALUE($A265),'recurring1_based on steps'!U$1:U$400,0)),U$2,)</f>
        <v>0</v>
      </c>
      <c r="V265" s="140">
        <f ca="1">IF(ISNUMBER(MATCH(DATEVALUE($A265),'recurring1_based on steps'!V$1:V$400,0)),V$2,)</f>
        <v>0</v>
      </c>
      <c r="W265" s="140">
        <f ca="1">IF(ISNUMBER(MATCH(DATEVALUE($A265),'recurring1_based on steps'!W$1:W$400,0)),W$2,)</f>
        <v>0</v>
      </c>
      <c r="X265" s="140">
        <f ca="1">IF(ISNUMBER(MATCH(DATEVALUE($A265),'recurring1_based on steps'!X$1:X$400,0)),X$2,)</f>
        <v>0</v>
      </c>
      <c r="Y265" s="140">
        <f ca="1">IF(ISNUMBER(MATCH(DATEVALUE($A265),'recurring1_based on steps'!Y$1:Y$400,0)),Y$2,)</f>
        <v>0</v>
      </c>
      <c r="Z265" s="140">
        <f ca="1">IF(ISNUMBER(MATCH(DATEVALUE($A265),'recurring1_based on steps'!Z$1:Z$400,0)),Z$2,)</f>
        <v>0</v>
      </c>
      <c r="AA265" s="140">
        <f ca="1">IF(ISNUMBER(MATCH(DATEVALUE($A265),'recurring1_based on steps'!AA$1:AA$400,0)),AA$2,)</f>
        <v>0</v>
      </c>
      <c r="AB265" s="140">
        <f ca="1">IF(ISNUMBER(MATCH(DATEVALUE($A265),'recurring1_based on steps'!AB$1:AB$400,0)),AB$2,)</f>
        <v>5.5401662049861494E-2</v>
      </c>
      <c r="AC265" s="140">
        <f ca="1">IF(ISNUMBER(MATCH(DATEVALUE($A265),'recurring1_based on steps'!AC$1:AC$400,0)),AC$2,)</f>
        <v>0</v>
      </c>
      <c r="AD265" s="140">
        <f ca="1">IF(ISNUMBER(MATCH(DATEVALUE($A265),'recurring1_based on steps'!AD$1:AD$400,0)),AD$2,)</f>
        <v>0</v>
      </c>
      <c r="AE265" s="140">
        <f ca="1">IF(ISNUMBER(MATCH(DATEVALUE($A265),'recurring1_based on steps'!AE$1:AE$400,0)),AE$2,)</f>
        <v>0</v>
      </c>
      <c r="AF265" s="140">
        <f ca="1">IF(ISNUMBER(MATCH(DATEVALUE($A265),'recurring1_based on steps'!AF$1:AF$400,0)),AF$2,)</f>
        <v>0</v>
      </c>
      <c r="AG265" s="140">
        <f ca="1">IF(ISNUMBER(MATCH(DATEVALUE($A265),'recurring1_based on steps'!AG$1:AG$400,0)),AG$2,)</f>
        <v>0</v>
      </c>
      <c r="AH265" s="140">
        <f ca="1">IF(ISNUMBER(MATCH(DATEVALUE($A265),'recurring1_based on steps'!AH$1:AH$400,0)),AH$2,)</f>
        <v>0</v>
      </c>
      <c r="AI265" s="140">
        <f ca="1">IF(ISNUMBER(MATCH(DATEVALUE($A265),'recurring1_based on steps'!AI$1:AI$400,0)),AI$2,)</f>
        <v>0</v>
      </c>
      <c r="AJ265" s="140">
        <f ca="1">IF(ISNUMBER(MATCH(DATEVALUE($A265),'recurring1_based on steps'!AJ$1:AJ$400,0)),AJ$2,)</f>
        <v>0</v>
      </c>
      <c r="AK265" s="140">
        <f ca="1">IF(ISNUMBER(MATCH(DATEVALUE($A265),'recurring1_based on steps'!AK$1:AK$400,0)),AK$2,)</f>
        <v>0</v>
      </c>
      <c r="AL265" s="140">
        <f ca="1">IF(ISNUMBER(MATCH(DATEVALUE($A265),'recurring1_based on steps'!AL$1:AL$400,0)),AL$2,)</f>
        <v>0</v>
      </c>
      <c r="AM265" s="140">
        <f ca="1">IF(ISNUMBER(MATCH(DATEVALUE($A265),'recurring1_based on steps'!AM$1:AM$400,0)),AM$2,)</f>
        <v>0</v>
      </c>
      <c r="AN265" s="140">
        <f ca="1">IF(ISNUMBER(MATCH(DATEVALUE($A265),'recurring1_based on steps'!AN$1:AN$400,0)),AN$2,)</f>
        <v>0</v>
      </c>
      <c r="AO265" s="140">
        <f ca="1">IF(ISNUMBER(MATCH(DATEVALUE($A265),'recurring1_based on steps'!AO$1:AO$400,0)),AO$2,)</f>
        <v>0</v>
      </c>
      <c r="AP265" s="140">
        <f ca="1">IF(ISNUMBER(MATCH(DATEVALUE($A265),'recurring1_based on steps'!AP$1:AP$400,0)),AP$2,)</f>
        <v>0</v>
      </c>
      <c r="AQ265" s="140">
        <f ca="1">IF(ISNUMBER(MATCH(DATEVALUE($A265),'recurring1_based on steps'!AQ$1:AQ$400,0)),AQ$2,)</f>
        <v>0</v>
      </c>
      <c r="AR265" s="140">
        <f ca="1">IF(ISNUMBER(MATCH(DATEVALUE($A265),'recurring1_based on steps'!AR$1:AR$400,0)),AR$2,)</f>
        <v>0</v>
      </c>
      <c r="AS265" s="140">
        <f ca="1">IF(ISNUMBER(MATCH(DATEVALUE($A265),'recurring1_based on steps'!AS$1:AS$400,0)),AS$2,)</f>
        <v>0</v>
      </c>
      <c r="AT265" s="140">
        <f ca="1">IF(ISNUMBER(MATCH(DATEVALUE($A265),'recurring1_based on steps'!AT$1:AT$400,0)),AT$2,)</f>
        <v>0</v>
      </c>
      <c r="AU265" s="140">
        <f ca="1">IF(ISNUMBER(MATCH(DATEVALUE($A265),'recurring1_based on steps'!AU$1:AU$400,0)),AU$2,)</f>
        <v>0</v>
      </c>
      <c r="AV265" s="140">
        <f ca="1">IF(ISNUMBER(MATCH(DATEVALUE($A265),'recurring1_based on steps'!AV$1:AV$400,0)),AV$2,)</f>
        <v>0</v>
      </c>
      <c r="AW265" s="140">
        <f ca="1">IF(ISNUMBER(MATCH(DATEVALUE($A265),'recurring1_based on steps'!AW$1:AW$400,0)),AW$2,)</f>
        <v>0</v>
      </c>
      <c r="AX265" s="140">
        <f ca="1">IF(ISNUMBER(MATCH(DATEVALUE($A265),'recurring1_based on steps'!AX$1:AX$400,0)),AX$2,)</f>
        <v>0</v>
      </c>
      <c r="AY265" s="140">
        <f ca="1">IF(ISNUMBER(MATCH(DATEVALUE($A265),'recurring1_based on steps'!AY$1:AY$400,0)),AY$2,)</f>
        <v>0</v>
      </c>
    </row>
    <row r="266" spans="1:51" x14ac:dyDescent="0.2">
      <c r="A266" s="29" t="str">
        <f t="shared" ca="1" si="4"/>
        <v>2025-12-15</v>
      </c>
      <c r="B266" s="140">
        <f ca="1">IF(ISNUMBER(MATCH(DATEVALUE($A266),'recurring1_based on steps'!B$1:B$400,0)),B$2,)</f>
        <v>0</v>
      </c>
      <c r="C266" s="140">
        <f ca="1">IF(ISNUMBER(MATCH(DATEVALUE($A266),'recurring1_based on steps'!C$1:C$400,0)),C$2,)</f>
        <v>0</v>
      </c>
      <c r="D266" s="140">
        <f ca="1">IF(ISNUMBER(MATCH(DATEVALUE($A266),'recurring1_based on steps'!D$1:D$400,0)),D$2,)</f>
        <v>0</v>
      </c>
      <c r="E266" s="140">
        <f ca="1">IF(ISNUMBER(MATCH(DATEVALUE($A266),'recurring1_based on steps'!E$1:E$400,0)),E$2,)</f>
        <v>0</v>
      </c>
      <c r="F266" s="140">
        <f ca="1">IF(ISNUMBER(MATCH(DATEVALUE($A266),'recurring1_based on steps'!F$1:F$400,0)),F$2,)</f>
        <v>0</v>
      </c>
      <c r="G266" s="140">
        <f ca="1">IF(ISNUMBER(MATCH(DATEVALUE($A266),'recurring1_based on steps'!G$1:G$400,0)),G$2,)</f>
        <v>0</v>
      </c>
      <c r="H266" s="140">
        <f ca="1">IF(ISNUMBER(MATCH(DATEVALUE($A266),'recurring1_based on steps'!H$1:H$400,0)),H$2,)</f>
        <v>0</v>
      </c>
      <c r="I266" s="140">
        <f ca="1">IF(ISNUMBER(MATCH(DATEVALUE($A266),'recurring1_based on steps'!I$1:I$400,0)),I$2,)</f>
        <v>0</v>
      </c>
      <c r="J266" s="140">
        <f ca="1">IF(ISNUMBER(MATCH(DATEVALUE($A266),'recurring1_based on steps'!J$1:J$400,0)),J$2,)</f>
        <v>0</v>
      </c>
      <c r="K266" s="140">
        <f ca="1">IF(ISNUMBER(MATCH(DATEVALUE($A266),'recurring1_based on steps'!K$1:K$400,0)),K$2,)</f>
        <v>0</v>
      </c>
      <c r="L266" s="140">
        <f ca="1">IF(ISNUMBER(MATCH(DATEVALUE($A266),'recurring1_based on steps'!L$1:L$400,0)),L$2,)</f>
        <v>0</v>
      </c>
      <c r="M266" s="140">
        <f ca="1">IF(ISNUMBER(MATCH(DATEVALUE($A266),'recurring1_based on steps'!M$1:M$400,0)),M$2,)</f>
        <v>0</v>
      </c>
      <c r="N266" s="140">
        <f ca="1">IF(ISNUMBER(MATCH(DATEVALUE($A266),'recurring1_based on steps'!N$1:N$400,0)),N$2,)</f>
        <v>0</v>
      </c>
      <c r="O266" s="140">
        <f ca="1">IF(ISNUMBER(MATCH(DATEVALUE($A266),'recurring1_based on steps'!O$1:O$400,0)),O$2,)</f>
        <v>0</v>
      </c>
      <c r="P266" s="140">
        <f ca="1">IF(ISNUMBER(MATCH(DATEVALUE($A266),'recurring1_based on steps'!P$1:P$400,0)),P$2,)</f>
        <v>0</v>
      </c>
      <c r="Q266" s="140">
        <f ca="1">IF(ISNUMBER(MATCH(DATEVALUE($A266),'recurring1_based on steps'!Q$1:Q$400,0)),Q$2,)</f>
        <v>0</v>
      </c>
      <c r="R266" s="140">
        <f ca="1">IF(ISNUMBER(MATCH(DATEVALUE($A266),'recurring1_based on steps'!R$1:R$400,0)),R$2,)</f>
        <v>0</v>
      </c>
      <c r="S266" s="140">
        <f ca="1">IF(ISNUMBER(MATCH(DATEVALUE($A266),'recurring1_based on steps'!S$1:S$400,0)),S$2,)</f>
        <v>0</v>
      </c>
      <c r="T266" s="140">
        <f ca="1">IF(ISNUMBER(MATCH(DATEVALUE($A266),'recurring1_based on steps'!T$1:T$400,0)),T$2,)</f>
        <v>50</v>
      </c>
      <c r="U266" s="140">
        <f ca="1">IF(ISNUMBER(MATCH(DATEVALUE($A266),'recurring1_based on steps'!U$1:U$400,0)),U$2,)</f>
        <v>0</v>
      </c>
      <c r="V266" s="140">
        <f ca="1">IF(ISNUMBER(MATCH(DATEVALUE($A266),'recurring1_based on steps'!V$1:V$400,0)),V$2,)</f>
        <v>0</v>
      </c>
      <c r="W266" s="140">
        <f ca="1">IF(ISNUMBER(MATCH(DATEVALUE($A266),'recurring1_based on steps'!W$1:W$400,0)),W$2,)</f>
        <v>0</v>
      </c>
      <c r="X266" s="140">
        <f ca="1">IF(ISNUMBER(MATCH(DATEVALUE($A266),'recurring1_based on steps'!X$1:X$400,0)),X$2,)</f>
        <v>0</v>
      </c>
      <c r="Y266" s="140">
        <f ca="1">IF(ISNUMBER(MATCH(DATEVALUE($A266),'recurring1_based on steps'!Y$1:Y$400,0)),Y$2,)</f>
        <v>0</v>
      </c>
      <c r="Z266" s="140">
        <f ca="1">IF(ISNUMBER(MATCH(DATEVALUE($A266),'recurring1_based on steps'!Z$1:Z$400,0)),Z$2,)</f>
        <v>0</v>
      </c>
      <c r="AA266" s="140">
        <f ca="1">IF(ISNUMBER(MATCH(DATEVALUE($A266),'recurring1_based on steps'!AA$1:AA$400,0)),AA$2,)</f>
        <v>0</v>
      </c>
      <c r="AB266" s="140">
        <f ca="1">IF(ISNUMBER(MATCH(DATEVALUE($A266),'recurring1_based on steps'!AB$1:AB$400,0)),AB$2,)</f>
        <v>5.5401662049861494E-2</v>
      </c>
      <c r="AC266" s="140">
        <f ca="1">IF(ISNUMBER(MATCH(DATEVALUE($A266),'recurring1_based on steps'!AC$1:AC$400,0)),AC$2,)</f>
        <v>0</v>
      </c>
      <c r="AD266" s="140">
        <f ca="1">IF(ISNUMBER(MATCH(DATEVALUE($A266),'recurring1_based on steps'!AD$1:AD$400,0)),AD$2,)</f>
        <v>0</v>
      </c>
      <c r="AE266" s="140">
        <f ca="1">IF(ISNUMBER(MATCH(DATEVALUE($A266),'recurring1_based on steps'!AE$1:AE$400,0)),AE$2,)</f>
        <v>0</v>
      </c>
      <c r="AF266" s="140">
        <f ca="1">IF(ISNUMBER(MATCH(DATEVALUE($A266),'recurring1_based on steps'!AF$1:AF$400,0)),AF$2,)</f>
        <v>0</v>
      </c>
      <c r="AG266" s="140">
        <f ca="1">IF(ISNUMBER(MATCH(DATEVALUE($A266),'recurring1_based on steps'!AG$1:AG$400,0)),AG$2,)</f>
        <v>0</v>
      </c>
      <c r="AH266" s="140">
        <f ca="1">IF(ISNUMBER(MATCH(DATEVALUE($A266),'recurring1_based on steps'!AH$1:AH$400,0)),AH$2,)</f>
        <v>0</v>
      </c>
      <c r="AI266" s="140">
        <f ca="1">IF(ISNUMBER(MATCH(DATEVALUE($A266),'recurring1_based on steps'!AI$1:AI$400,0)),AI$2,)</f>
        <v>0</v>
      </c>
      <c r="AJ266" s="140">
        <f ca="1">IF(ISNUMBER(MATCH(DATEVALUE($A266),'recurring1_based on steps'!AJ$1:AJ$400,0)),AJ$2,)</f>
        <v>0</v>
      </c>
      <c r="AK266" s="140">
        <f ca="1">IF(ISNUMBER(MATCH(DATEVALUE($A266),'recurring1_based on steps'!AK$1:AK$400,0)),AK$2,)</f>
        <v>0</v>
      </c>
      <c r="AL266" s="140">
        <f ca="1">IF(ISNUMBER(MATCH(DATEVALUE($A266),'recurring1_based on steps'!AL$1:AL$400,0)),AL$2,)</f>
        <v>0</v>
      </c>
      <c r="AM266" s="140">
        <f ca="1">IF(ISNUMBER(MATCH(DATEVALUE($A266),'recurring1_based on steps'!AM$1:AM$400,0)),AM$2,)</f>
        <v>0</v>
      </c>
      <c r="AN266" s="140">
        <f ca="1">IF(ISNUMBER(MATCH(DATEVALUE($A266),'recurring1_based on steps'!AN$1:AN$400,0)),AN$2,)</f>
        <v>0</v>
      </c>
      <c r="AO266" s="140">
        <f ca="1">IF(ISNUMBER(MATCH(DATEVALUE($A266),'recurring1_based on steps'!AO$1:AO$400,0)),AO$2,)</f>
        <v>0</v>
      </c>
      <c r="AP266" s="140">
        <f ca="1">IF(ISNUMBER(MATCH(DATEVALUE($A266),'recurring1_based on steps'!AP$1:AP$400,0)),AP$2,)</f>
        <v>0</v>
      </c>
      <c r="AQ266" s="140">
        <f ca="1">IF(ISNUMBER(MATCH(DATEVALUE($A266),'recurring1_based on steps'!AQ$1:AQ$400,0)),AQ$2,)</f>
        <v>0</v>
      </c>
      <c r="AR266" s="140">
        <f ca="1">IF(ISNUMBER(MATCH(DATEVALUE($A266),'recurring1_based on steps'!AR$1:AR$400,0)),AR$2,)</f>
        <v>0</v>
      </c>
      <c r="AS266" s="140">
        <f ca="1">IF(ISNUMBER(MATCH(DATEVALUE($A266),'recurring1_based on steps'!AS$1:AS$400,0)),AS$2,)</f>
        <v>0</v>
      </c>
      <c r="AT266" s="140">
        <f ca="1">IF(ISNUMBER(MATCH(DATEVALUE($A266),'recurring1_based on steps'!AT$1:AT$400,0)),AT$2,)</f>
        <v>0</v>
      </c>
      <c r="AU266" s="140">
        <f ca="1">IF(ISNUMBER(MATCH(DATEVALUE($A266),'recurring1_based on steps'!AU$1:AU$400,0)),AU$2,)</f>
        <v>0</v>
      </c>
      <c r="AV266" s="140">
        <f ca="1">IF(ISNUMBER(MATCH(DATEVALUE($A266),'recurring1_based on steps'!AV$1:AV$400,0)),AV$2,)</f>
        <v>0</v>
      </c>
      <c r="AW266" s="140">
        <f ca="1">IF(ISNUMBER(MATCH(DATEVALUE($A266),'recurring1_based on steps'!AW$1:AW$400,0)),AW$2,)</f>
        <v>0</v>
      </c>
      <c r="AX266" s="140">
        <f ca="1">IF(ISNUMBER(MATCH(DATEVALUE($A266),'recurring1_based on steps'!AX$1:AX$400,0)),AX$2,)</f>
        <v>0</v>
      </c>
      <c r="AY266" s="140">
        <f ca="1">IF(ISNUMBER(MATCH(DATEVALUE($A266),'recurring1_based on steps'!AY$1:AY$400,0)),AY$2,)</f>
        <v>0</v>
      </c>
    </row>
    <row r="267" spans="1:51" x14ac:dyDescent="0.2">
      <c r="A267" s="29" t="str">
        <f t="shared" ca="1" si="4"/>
        <v>2025-12-16</v>
      </c>
      <c r="B267" s="140">
        <f ca="1">IF(ISNUMBER(MATCH(DATEVALUE($A267),'recurring1_based on steps'!B$1:B$400,0)),B$2,)</f>
        <v>0</v>
      </c>
      <c r="C267" s="140">
        <f ca="1">IF(ISNUMBER(MATCH(DATEVALUE($A267),'recurring1_based on steps'!C$1:C$400,0)),C$2,)</f>
        <v>0</v>
      </c>
      <c r="D267" s="140">
        <f ca="1">IF(ISNUMBER(MATCH(DATEVALUE($A267),'recurring1_based on steps'!D$1:D$400,0)),D$2,)</f>
        <v>0</v>
      </c>
      <c r="E267" s="140">
        <f ca="1">IF(ISNUMBER(MATCH(DATEVALUE($A267),'recurring1_based on steps'!E$1:E$400,0)),E$2,)</f>
        <v>0</v>
      </c>
      <c r="F267" s="140">
        <f ca="1">IF(ISNUMBER(MATCH(DATEVALUE($A267),'recurring1_based on steps'!F$1:F$400,0)),F$2,)</f>
        <v>0</v>
      </c>
      <c r="G267" s="140">
        <f ca="1">IF(ISNUMBER(MATCH(DATEVALUE($A267),'recurring1_based on steps'!G$1:G$400,0)),G$2,)</f>
        <v>0</v>
      </c>
      <c r="H267" s="140">
        <f ca="1">IF(ISNUMBER(MATCH(DATEVALUE($A267),'recurring1_based on steps'!H$1:H$400,0)),H$2,)</f>
        <v>0</v>
      </c>
      <c r="I267" s="140">
        <f ca="1">IF(ISNUMBER(MATCH(DATEVALUE($A267),'recurring1_based on steps'!I$1:I$400,0)),I$2,)</f>
        <v>0</v>
      </c>
      <c r="J267" s="140">
        <f ca="1">IF(ISNUMBER(MATCH(DATEVALUE($A267),'recurring1_based on steps'!J$1:J$400,0)),J$2,)</f>
        <v>0</v>
      </c>
      <c r="K267" s="140">
        <f ca="1">IF(ISNUMBER(MATCH(DATEVALUE($A267),'recurring1_based on steps'!K$1:K$400,0)),K$2,)</f>
        <v>0</v>
      </c>
      <c r="L267" s="140">
        <f ca="1">IF(ISNUMBER(MATCH(DATEVALUE($A267),'recurring1_based on steps'!L$1:L$400,0)),L$2,)</f>
        <v>0</v>
      </c>
      <c r="M267" s="140">
        <f ca="1">IF(ISNUMBER(MATCH(DATEVALUE($A267),'recurring1_based on steps'!M$1:M$400,0)),M$2,)</f>
        <v>0</v>
      </c>
      <c r="N267" s="140">
        <f ca="1">IF(ISNUMBER(MATCH(DATEVALUE($A267),'recurring1_based on steps'!N$1:N$400,0)),N$2,)</f>
        <v>0</v>
      </c>
      <c r="O267" s="140">
        <f ca="1">IF(ISNUMBER(MATCH(DATEVALUE($A267),'recurring1_based on steps'!O$1:O$400,0)),O$2,)</f>
        <v>0</v>
      </c>
      <c r="P267" s="140">
        <f ca="1">IF(ISNUMBER(MATCH(DATEVALUE($A267),'recurring1_based on steps'!P$1:P$400,0)),P$2,)</f>
        <v>0</v>
      </c>
      <c r="Q267" s="140">
        <f ca="1">IF(ISNUMBER(MATCH(DATEVALUE($A267),'recurring1_based on steps'!Q$1:Q$400,0)),Q$2,)</f>
        <v>0</v>
      </c>
      <c r="R267" s="140">
        <f ca="1">IF(ISNUMBER(MATCH(DATEVALUE($A267),'recurring1_based on steps'!R$1:R$400,0)),R$2,)</f>
        <v>0</v>
      </c>
      <c r="S267" s="140">
        <f ca="1">IF(ISNUMBER(MATCH(DATEVALUE($A267),'recurring1_based on steps'!S$1:S$400,0)),S$2,)</f>
        <v>0</v>
      </c>
      <c r="T267" s="140">
        <f ca="1">IF(ISNUMBER(MATCH(DATEVALUE($A267),'recurring1_based on steps'!T$1:T$400,0)),T$2,)</f>
        <v>0</v>
      </c>
      <c r="U267" s="140">
        <f ca="1">IF(ISNUMBER(MATCH(DATEVALUE($A267),'recurring1_based on steps'!U$1:U$400,0)),U$2,)</f>
        <v>0</v>
      </c>
      <c r="V267" s="140">
        <f ca="1">IF(ISNUMBER(MATCH(DATEVALUE($A267),'recurring1_based on steps'!V$1:V$400,0)),V$2,)</f>
        <v>0</v>
      </c>
      <c r="W267" s="140">
        <f ca="1">IF(ISNUMBER(MATCH(DATEVALUE($A267),'recurring1_based on steps'!W$1:W$400,0)),W$2,)</f>
        <v>0</v>
      </c>
      <c r="X267" s="140">
        <f ca="1">IF(ISNUMBER(MATCH(DATEVALUE($A267),'recurring1_based on steps'!X$1:X$400,0)),X$2,)</f>
        <v>0</v>
      </c>
      <c r="Y267" s="140">
        <f ca="1">IF(ISNUMBER(MATCH(DATEVALUE($A267),'recurring1_based on steps'!Y$1:Y$400,0)),Y$2,)</f>
        <v>0</v>
      </c>
      <c r="Z267" s="140">
        <f ca="1">IF(ISNUMBER(MATCH(DATEVALUE($A267),'recurring1_based on steps'!Z$1:Z$400,0)),Z$2,)</f>
        <v>0</v>
      </c>
      <c r="AA267" s="140">
        <f ca="1">IF(ISNUMBER(MATCH(DATEVALUE($A267),'recurring1_based on steps'!AA$1:AA$400,0)),AA$2,)</f>
        <v>0</v>
      </c>
      <c r="AB267" s="140">
        <f ca="1">IF(ISNUMBER(MATCH(DATEVALUE($A267),'recurring1_based on steps'!AB$1:AB$400,0)),AB$2,)</f>
        <v>5.5401662049861494E-2</v>
      </c>
      <c r="AC267" s="140">
        <f ca="1">IF(ISNUMBER(MATCH(DATEVALUE($A267),'recurring1_based on steps'!AC$1:AC$400,0)),AC$2,)</f>
        <v>0</v>
      </c>
      <c r="AD267" s="140">
        <f ca="1">IF(ISNUMBER(MATCH(DATEVALUE($A267),'recurring1_based on steps'!AD$1:AD$400,0)),AD$2,)</f>
        <v>0</v>
      </c>
      <c r="AE267" s="140">
        <f ca="1">IF(ISNUMBER(MATCH(DATEVALUE($A267),'recurring1_based on steps'!AE$1:AE$400,0)),AE$2,)</f>
        <v>0</v>
      </c>
      <c r="AF267" s="140">
        <f ca="1">IF(ISNUMBER(MATCH(DATEVALUE($A267),'recurring1_based on steps'!AF$1:AF$400,0)),AF$2,)</f>
        <v>0</v>
      </c>
      <c r="AG267" s="140">
        <f ca="1">IF(ISNUMBER(MATCH(DATEVALUE($A267),'recurring1_based on steps'!AG$1:AG$400,0)),AG$2,)</f>
        <v>0</v>
      </c>
      <c r="AH267" s="140">
        <f ca="1">IF(ISNUMBER(MATCH(DATEVALUE($A267),'recurring1_based on steps'!AH$1:AH$400,0)),AH$2,)</f>
        <v>0</v>
      </c>
      <c r="AI267" s="140">
        <f ca="1">IF(ISNUMBER(MATCH(DATEVALUE($A267),'recurring1_based on steps'!AI$1:AI$400,0)),AI$2,)</f>
        <v>0</v>
      </c>
      <c r="AJ267" s="140">
        <f ca="1">IF(ISNUMBER(MATCH(DATEVALUE($A267),'recurring1_based on steps'!AJ$1:AJ$400,0)),AJ$2,)</f>
        <v>0</v>
      </c>
      <c r="AK267" s="140">
        <f ca="1">IF(ISNUMBER(MATCH(DATEVALUE($A267),'recurring1_based on steps'!AK$1:AK$400,0)),AK$2,)</f>
        <v>0</v>
      </c>
      <c r="AL267" s="140">
        <f ca="1">IF(ISNUMBER(MATCH(DATEVALUE($A267),'recurring1_based on steps'!AL$1:AL$400,0)),AL$2,)</f>
        <v>0</v>
      </c>
      <c r="AM267" s="140">
        <f ca="1">IF(ISNUMBER(MATCH(DATEVALUE($A267),'recurring1_based on steps'!AM$1:AM$400,0)),AM$2,)</f>
        <v>0</v>
      </c>
      <c r="AN267" s="140">
        <f ca="1">IF(ISNUMBER(MATCH(DATEVALUE($A267),'recurring1_based on steps'!AN$1:AN$400,0)),AN$2,)</f>
        <v>0</v>
      </c>
      <c r="AO267" s="140">
        <f ca="1">IF(ISNUMBER(MATCH(DATEVALUE($A267),'recurring1_based on steps'!AO$1:AO$400,0)),AO$2,)</f>
        <v>0</v>
      </c>
      <c r="AP267" s="140">
        <f ca="1">IF(ISNUMBER(MATCH(DATEVALUE($A267),'recurring1_based on steps'!AP$1:AP$400,0)),AP$2,)</f>
        <v>0</v>
      </c>
      <c r="AQ267" s="140">
        <f ca="1">IF(ISNUMBER(MATCH(DATEVALUE($A267),'recurring1_based on steps'!AQ$1:AQ$400,0)),AQ$2,)</f>
        <v>0</v>
      </c>
      <c r="AR267" s="140">
        <f ca="1">IF(ISNUMBER(MATCH(DATEVALUE($A267),'recurring1_based on steps'!AR$1:AR$400,0)),AR$2,)</f>
        <v>0</v>
      </c>
      <c r="AS267" s="140">
        <f ca="1">IF(ISNUMBER(MATCH(DATEVALUE($A267),'recurring1_based on steps'!AS$1:AS$400,0)),AS$2,)</f>
        <v>0</v>
      </c>
      <c r="AT267" s="140">
        <f ca="1">IF(ISNUMBER(MATCH(DATEVALUE($A267),'recurring1_based on steps'!AT$1:AT$400,0)),AT$2,)</f>
        <v>0</v>
      </c>
      <c r="AU267" s="140">
        <f ca="1">IF(ISNUMBER(MATCH(DATEVALUE($A267),'recurring1_based on steps'!AU$1:AU$400,0)),AU$2,)</f>
        <v>0</v>
      </c>
      <c r="AV267" s="140">
        <f ca="1">IF(ISNUMBER(MATCH(DATEVALUE($A267),'recurring1_based on steps'!AV$1:AV$400,0)),AV$2,)</f>
        <v>0</v>
      </c>
      <c r="AW267" s="140">
        <f ca="1">IF(ISNUMBER(MATCH(DATEVALUE($A267),'recurring1_based on steps'!AW$1:AW$400,0)),AW$2,)</f>
        <v>0</v>
      </c>
      <c r="AX267" s="140">
        <f ca="1">IF(ISNUMBER(MATCH(DATEVALUE($A267),'recurring1_based on steps'!AX$1:AX$400,0)),AX$2,)</f>
        <v>0</v>
      </c>
      <c r="AY267" s="140">
        <f ca="1">IF(ISNUMBER(MATCH(DATEVALUE($A267),'recurring1_based on steps'!AY$1:AY$400,0)),AY$2,)</f>
        <v>0</v>
      </c>
    </row>
    <row r="268" spans="1:51" x14ac:dyDescent="0.2">
      <c r="A268" s="29" t="str">
        <f t="shared" ca="1" si="4"/>
        <v>2025-12-17</v>
      </c>
      <c r="B268" s="140">
        <f ca="1">IF(ISNUMBER(MATCH(DATEVALUE($A268),'recurring1_based on steps'!B$1:B$400,0)),B$2,)</f>
        <v>0</v>
      </c>
      <c r="C268" s="140">
        <f ca="1">IF(ISNUMBER(MATCH(DATEVALUE($A268),'recurring1_based on steps'!C$1:C$400,0)),C$2,)</f>
        <v>0</v>
      </c>
      <c r="D268" s="140">
        <f ca="1">IF(ISNUMBER(MATCH(DATEVALUE($A268),'recurring1_based on steps'!D$1:D$400,0)),D$2,)</f>
        <v>0</v>
      </c>
      <c r="E268" s="140">
        <f ca="1">IF(ISNUMBER(MATCH(DATEVALUE($A268),'recurring1_based on steps'!E$1:E$400,0)),E$2,)</f>
        <v>0</v>
      </c>
      <c r="F268" s="140">
        <f ca="1">IF(ISNUMBER(MATCH(DATEVALUE($A268),'recurring1_based on steps'!F$1:F$400,0)),F$2,)</f>
        <v>0</v>
      </c>
      <c r="G268" s="140">
        <f ca="1">IF(ISNUMBER(MATCH(DATEVALUE($A268),'recurring1_based on steps'!G$1:G$400,0)),G$2,)</f>
        <v>0</v>
      </c>
      <c r="H268" s="140">
        <f ca="1">IF(ISNUMBER(MATCH(DATEVALUE($A268),'recurring1_based on steps'!H$1:H$400,0)),H$2,)</f>
        <v>0</v>
      </c>
      <c r="I268" s="140">
        <f ca="1">IF(ISNUMBER(MATCH(DATEVALUE($A268),'recurring1_based on steps'!I$1:I$400,0)),I$2,)</f>
        <v>0</v>
      </c>
      <c r="J268" s="140">
        <f ca="1">IF(ISNUMBER(MATCH(DATEVALUE($A268),'recurring1_based on steps'!J$1:J$400,0)),J$2,)</f>
        <v>0</v>
      </c>
      <c r="K268" s="140">
        <f ca="1">IF(ISNUMBER(MATCH(DATEVALUE($A268),'recurring1_based on steps'!K$1:K$400,0)),K$2,)</f>
        <v>0</v>
      </c>
      <c r="L268" s="140">
        <f ca="1">IF(ISNUMBER(MATCH(DATEVALUE($A268),'recurring1_based on steps'!L$1:L$400,0)),L$2,)</f>
        <v>0</v>
      </c>
      <c r="M268" s="140">
        <f ca="1">IF(ISNUMBER(MATCH(DATEVALUE($A268),'recurring1_based on steps'!M$1:M$400,0)),M$2,)</f>
        <v>0</v>
      </c>
      <c r="N268" s="140">
        <f ca="1">IF(ISNUMBER(MATCH(DATEVALUE($A268),'recurring1_based on steps'!N$1:N$400,0)),N$2,)</f>
        <v>15.49</v>
      </c>
      <c r="O268" s="140">
        <f ca="1">IF(ISNUMBER(MATCH(DATEVALUE($A268),'recurring1_based on steps'!O$1:O$400,0)),O$2,)</f>
        <v>0</v>
      </c>
      <c r="P268" s="140">
        <f ca="1">IF(ISNUMBER(MATCH(DATEVALUE($A268),'recurring1_based on steps'!P$1:P$400,0)),P$2,)</f>
        <v>0</v>
      </c>
      <c r="Q268" s="140">
        <f ca="1">IF(ISNUMBER(MATCH(DATEVALUE($A268),'recurring1_based on steps'!Q$1:Q$400,0)),Q$2,)</f>
        <v>0</v>
      </c>
      <c r="R268" s="140">
        <f ca="1">IF(ISNUMBER(MATCH(DATEVALUE($A268),'recurring1_based on steps'!R$1:R$400,0)),R$2,)</f>
        <v>0</v>
      </c>
      <c r="S268" s="140">
        <f ca="1">IF(ISNUMBER(MATCH(DATEVALUE($A268),'recurring1_based on steps'!S$1:S$400,0)),S$2,)</f>
        <v>0</v>
      </c>
      <c r="T268" s="140">
        <f ca="1">IF(ISNUMBER(MATCH(DATEVALUE($A268),'recurring1_based on steps'!T$1:T$400,0)),T$2,)</f>
        <v>0</v>
      </c>
      <c r="U268" s="140">
        <f ca="1">IF(ISNUMBER(MATCH(DATEVALUE($A268),'recurring1_based on steps'!U$1:U$400,0)),U$2,)</f>
        <v>0</v>
      </c>
      <c r="V268" s="140">
        <f ca="1">IF(ISNUMBER(MATCH(DATEVALUE($A268),'recurring1_based on steps'!V$1:V$400,0)),V$2,)</f>
        <v>200</v>
      </c>
      <c r="W268" s="140">
        <f ca="1">IF(ISNUMBER(MATCH(DATEVALUE($A268),'recurring1_based on steps'!W$1:W$400,0)),W$2,)</f>
        <v>0</v>
      </c>
      <c r="X268" s="140">
        <f ca="1">IF(ISNUMBER(MATCH(DATEVALUE($A268),'recurring1_based on steps'!X$1:X$400,0)),X$2,)</f>
        <v>0</v>
      </c>
      <c r="Y268" s="140">
        <f ca="1">IF(ISNUMBER(MATCH(DATEVALUE($A268),'recurring1_based on steps'!Y$1:Y$400,0)),Y$2,)</f>
        <v>0</v>
      </c>
      <c r="Z268" s="140">
        <f ca="1">IF(ISNUMBER(MATCH(DATEVALUE($A268),'recurring1_based on steps'!Z$1:Z$400,0)),Z$2,)</f>
        <v>0</v>
      </c>
      <c r="AA268" s="140">
        <f ca="1">IF(ISNUMBER(MATCH(DATEVALUE($A268),'recurring1_based on steps'!AA$1:AA$400,0)),AA$2,)</f>
        <v>0</v>
      </c>
      <c r="AB268" s="140">
        <f ca="1">IF(ISNUMBER(MATCH(DATEVALUE($A268),'recurring1_based on steps'!AB$1:AB$400,0)),AB$2,)</f>
        <v>5.5401662049861494E-2</v>
      </c>
      <c r="AC268" s="140">
        <f ca="1">IF(ISNUMBER(MATCH(DATEVALUE($A268),'recurring1_based on steps'!AC$1:AC$400,0)),AC$2,)</f>
        <v>0</v>
      </c>
      <c r="AD268" s="140">
        <f ca="1">IF(ISNUMBER(MATCH(DATEVALUE($A268),'recurring1_based on steps'!AD$1:AD$400,0)),AD$2,)</f>
        <v>0</v>
      </c>
      <c r="AE268" s="140">
        <f ca="1">IF(ISNUMBER(MATCH(DATEVALUE($A268),'recurring1_based on steps'!AE$1:AE$400,0)),AE$2,)</f>
        <v>0</v>
      </c>
      <c r="AF268" s="140">
        <f ca="1">IF(ISNUMBER(MATCH(DATEVALUE($A268),'recurring1_based on steps'!AF$1:AF$400,0)),AF$2,)</f>
        <v>0</v>
      </c>
      <c r="AG268" s="140">
        <f ca="1">IF(ISNUMBER(MATCH(DATEVALUE($A268),'recurring1_based on steps'!AG$1:AG$400,0)),AG$2,)</f>
        <v>0</v>
      </c>
      <c r="AH268" s="140">
        <f ca="1">IF(ISNUMBER(MATCH(DATEVALUE($A268),'recurring1_based on steps'!AH$1:AH$400,0)),AH$2,)</f>
        <v>0</v>
      </c>
      <c r="AI268" s="140">
        <f ca="1">IF(ISNUMBER(MATCH(DATEVALUE($A268),'recurring1_based on steps'!AI$1:AI$400,0)),AI$2,)</f>
        <v>0</v>
      </c>
      <c r="AJ268" s="140">
        <f ca="1">IF(ISNUMBER(MATCH(DATEVALUE($A268),'recurring1_based on steps'!AJ$1:AJ$400,0)),AJ$2,)</f>
        <v>0</v>
      </c>
      <c r="AK268" s="140">
        <f ca="1">IF(ISNUMBER(MATCH(DATEVALUE($A268),'recurring1_based on steps'!AK$1:AK$400,0)),AK$2,)</f>
        <v>0</v>
      </c>
      <c r="AL268" s="140">
        <f ca="1">IF(ISNUMBER(MATCH(DATEVALUE($A268),'recurring1_based on steps'!AL$1:AL$400,0)),AL$2,)</f>
        <v>0</v>
      </c>
      <c r="AM268" s="140">
        <f ca="1">IF(ISNUMBER(MATCH(DATEVALUE($A268),'recurring1_based on steps'!AM$1:AM$400,0)),AM$2,)</f>
        <v>0</v>
      </c>
      <c r="AN268" s="140">
        <f ca="1">IF(ISNUMBER(MATCH(DATEVALUE($A268),'recurring1_based on steps'!AN$1:AN$400,0)),AN$2,)</f>
        <v>0</v>
      </c>
      <c r="AO268" s="140">
        <f ca="1">IF(ISNUMBER(MATCH(DATEVALUE($A268),'recurring1_based on steps'!AO$1:AO$400,0)),AO$2,)</f>
        <v>0</v>
      </c>
      <c r="AP268" s="140">
        <f ca="1">IF(ISNUMBER(MATCH(DATEVALUE($A268),'recurring1_based on steps'!AP$1:AP$400,0)),AP$2,)</f>
        <v>0</v>
      </c>
      <c r="AQ268" s="140">
        <f ca="1">IF(ISNUMBER(MATCH(DATEVALUE($A268),'recurring1_based on steps'!AQ$1:AQ$400,0)),AQ$2,)</f>
        <v>0</v>
      </c>
      <c r="AR268" s="140">
        <f ca="1">IF(ISNUMBER(MATCH(DATEVALUE($A268),'recurring1_based on steps'!AR$1:AR$400,0)),AR$2,)</f>
        <v>0</v>
      </c>
      <c r="AS268" s="140">
        <f ca="1">IF(ISNUMBER(MATCH(DATEVALUE($A268),'recurring1_based on steps'!AS$1:AS$400,0)),AS$2,)</f>
        <v>0</v>
      </c>
      <c r="AT268" s="140">
        <f ca="1">IF(ISNUMBER(MATCH(DATEVALUE($A268),'recurring1_based on steps'!AT$1:AT$400,0)),AT$2,)</f>
        <v>0</v>
      </c>
      <c r="AU268" s="140">
        <f ca="1">IF(ISNUMBER(MATCH(DATEVALUE($A268),'recurring1_based on steps'!AU$1:AU$400,0)),AU$2,)</f>
        <v>0</v>
      </c>
      <c r="AV268" s="140">
        <f ca="1">IF(ISNUMBER(MATCH(DATEVALUE($A268),'recurring1_based on steps'!AV$1:AV$400,0)),AV$2,)</f>
        <v>0</v>
      </c>
      <c r="AW268" s="140">
        <f ca="1">IF(ISNUMBER(MATCH(DATEVALUE($A268),'recurring1_based on steps'!AW$1:AW$400,0)),AW$2,)</f>
        <v>0</v>
      </c>
      <c r="AX268" s="140">
        <f ca="1">IF(ISNUMBER(MATCH(DATEVALUE($A268),'recurring1_based on steps'!AX$1:AX$400,0)),AX$2,)</f>
        <v>0</v>
      </c>
      <c r="AY268" s="140">
        <f ca="1">IF(ISNUMBER(MATCH(DATEVALUE($A268),'recurring1_based on steps'!AY$1:AY$400,0)),AY$2,)</f>
        <v>0</v>
      </c>
    </row>
    <row r="269" spans="1:51" x14ac:dyDescent="0.2">
      <c r="A269" s="29" t="str">
        <f t="shared" ca="1" si="4"/>
        <v>2025-12-18</v>
      </c>
      <c r="B269" s="140">
        <f ca="1">IF(ISNUMBER(MATCH(DATEVALUE($A269),'recurring1_based on steps'!B$1:B$400,0)),B$2,)</f>
        <v>0</v>
      </c>
      <c r="C269" s="140">
        <f ca="1">IF(ISNUMBER(MATCH(DATEVALUE($A269),'recurring1_based on steps'!C$1:C$400,0)),C$2,)</f>
        <v>0</v>
      </c>
      <c r="D269" s="140">
        <f ca="1">IF(ISNUMBER(MATCH(DATEVALUE($A269),'recurring1_based on steps'!D$1:D$400,0)),D$2,)</f>
        <v>0</v>
      </c>
      <c r="E269" s="140">
        <f ca="1">IF(ISNUMBER(MATCH(DATEVALUE($A269),'recurring1_based on steps'!E$1:E$400,0)),E$2,)</f>
        <v>0</v>
      </c>
      <c r="F269" s="140">
        <f ca="1">IF(ISNUMBER(MATCH(DATEVALUE($A269),'recurring1_based on steps'!F$1:F$400,0)),F$2,)</f>
        <v>0</v>
      </c>
      <c r="G269" s="140">
        <f ca="1">IF(ISNUMBER(MATCH(DATEVALUE($A269),'recurring1_based on steps'!G$1:G$400,0)),G$2,)</f>
        <v>0</v>
      </c>
      <c r="H269" s="140">
        <f ca="1">IF(ISNUMBER(MATCH(DATEVALUE($A269),'recurring1_based on steps'!H$1:H$400,0)),H$2,)</f>
        <v>0</v>
      </c>
      <c r="I269" s="140">
        <f ca="1">IF(ISNUMBER(MATCH(DATEVALUE($A269),'recurring1_based on steps'!I$1:I$400,0)),I$2,)</f>
        <v>0</v>
      </c>
      <c r="J269" s="140">
        <f ca="1">IF(ISNUMBER(MATCH(DATEVALUE($A269),'recurring1_based on steps'!J$1:J$400,0)),J$2,)</f>
        <v>0</v>
      </c>
      <c r="K269" s="140">
        <f ca="1">IF(ISNUMBER(MATCH(DATEVALUE($A269),'recurring1_based on steps'!K$1:K$400,0)),K$2,)</f>
        <v>0</v>
      </c>
      <c r="L269" s="140">
        <f ca="1">IF(ISNUMBER(MATCH(DATEVALUE($A269),'recurring1_based on steps'!L$1:L$400,0)),L$2,)</f>
        <v>0</v>
      </c>
      <c r="M269" s="140">
        <f ca="1">IF(ISNUMBER(MATCH(DATEVALUE($A269),'recurring1_based on steps'!M$1:M$400,0)),M$2,)</f>
        <v>0</v>
      </c>
      <c r="N269" s="140">
        <f ca="1">IF(ISNUMBER(MATCH(DATEVALUE($A269),'recurring1_based on steps'!N$1:N$400,0)),N$2,)</f>
        <v>0</v>
      </c>
      <c r="O269" s="140">
        <f ca="1">IF(ISNUMBER(MATCH(DATEVALUE($A269),'recurring1_based on steps'!O$1:O$400,0)),O$2,)</f>
        <v>10.99</v>
      </c>
      <c r="P269" s="140">
        <f ca="1">IF(ISNUMBER(MATCH(DATEVALUE($A269),'recurring1_based on steps'!P$1:P$400,0)),P$2,)</f>
        <v>0</v>
      </c>
      <c r="Q269" s="140">
        <f ca="1">IF(ISNUMBER(MATCH(DATEVALUE($A269),'recurring1_based on steps'!Q$1:Q$400,0)),Q$2,)</f>
        <v>0</v>
      </c>
      <c r="R269" s="140">
        <f ca="1">IF(ISNUMBER(MATCH(DATEVALUE($A269),'recurring1_based on steps'!R$1:R$400,0)),R$2,)</f>
        <v>0</v>
      </c>
      <c r="S269" s="140">
        <f ca="1">IF(ISNUMBER(MATCH(DATEVALUE($A269),'recurring1_based on steps'!S$1:S$400,0)),S$2,)</f>
        <v>0</v>
      </c>
      <c r="T269" s="140">
        <f ca="1">IF(ISNUMBER(MATCH(DATEVALUE($A269),'recurring1_based on steps'!T$1:T$400,0)),T$2,)</f>
        <v>0</v>
      </c>
      <c r="U269" s="140">
        <f ca="1">IF(ISNUMBER(MATCH(DATEVALUE($A269),'recurring1_based on steps'!U$1:U$400,0)),U$2,)</f>
        <v>0</v>
      </c>
      <c r="V269" s="140">
        <f ca="1">IF(ISNUMBER(MATCH(DATEVALUE($A269),'recurring1_based on steps'!V$1:V$400,0)),V$2,)</f>
        <v>0</v>
      </c>
      <c r="W269" s="140">
        <f ca="1">IF(ISNUMBER(MATCH(DATEVALUE($A269),'recurring1_based on steps'!W$1:W$400,0)),W$2,)</f>
        <v>0</v>
      </c>
      <c r="X269" s="140">
        <f ca="1">IF(ISNUMBER(MATCH(DATEVALUE($A269),'recurring1_based on steps'!X$1:X$400,0)),X$2,)</f>
        <v>0</v>
      </c>
      <c r="Y269" s="140">
        <f ca="1">IF(ISNUMBER(MATCH(DATEVALUE($A269),'recurring1_based on steps'!Y$1:Y$400,0)),Y$2,)</f>
        <v>0</v>
      </c>
      <c r="Z269" s="140">
        <f ca="1">IF(ISNUMBER(MATCH(DATEVALUE($A269),'recurring1_based on steps'!Z$1:Z$400,0)),Z$2,)</f>
        <v>0</v>
      </c>
      <c r="AA269" s="140">
        <f ca="1">IF(ISNUMBER(MATCH(DATEVALUE($A269),'recurring1_based on steps'!AA$1:AA$400,0)),AA$2,)</f>
        <v>0</v>
      </c>
      <c r="AB269" s="140">
        <f ca="1">IF(ISNUMBER(MATCH(DATEVALUE($A269),'recurring1_based on steps'!AB$1:AB$400,0)),AB$2,)</f>
        <v>5.5401662049861494E-2</v>
      </c>
      <c r="AC269" s="140">
        <f ca="1">IF(ISNUMBER(MATCH(DATEVALUE($A269),'recurring1_based on steps'!AC$1:AC$400,0)),AC$2,)</f>
        <v>0</v>
      </c>
      <c r="AD269" s="140">
        <f ca="1">IF(ISNUMBER(MATCH(DATEVALUE($A269),'recurring1_based on steps'!AD$1:AD$400,0)),AD$2,)</f>
        <v>0</v>
      </c>
      <c r="AE269" s="140">
        <f ca="1">IF(ISNUMBER(MATCH(DATEVALUE($A269),'recurring1_based on steps'!AE$1:AE$400,0)),AE$2,)</f>
        <v>0</v>
      </c>
      <c r="AF269" s="140">
        <f ca="1">IF(ISNUMBER(MATCH(DATEVALUE($A269),'recurring1_based on steps'!AF$1:AF$400,0)),AF$2,)</f>
        <v>0</v>
      </c>
      <c r="AG269" s="140">
        <f ca="1">IF(ISNUMBER(MATCH(DATEVALUE($A269),'recurring1_based on steps'!AG$1:AG$400,0)),AG$2,)</f>
        <v>0</v>
      </c>
      <c r="AH269" s="140">
        <f ca="1">IF(ISNUMBER(MATCH(DATEVALUE($A269),'recurring1_based on steps'!AH$1:AH$400,0)),AH$2,)</f>
        <v>0</v>
      </c>
      <c r="AI269" s="140">
        <f ca="1">IF(ISNUMBER(MATCH(DATEVALUE($A269),'recurring1_based on steps'!AI$1:AI$400,0)),AI$2,)</f>
        <v>0</v>
      </c>
      <c r="AJ269" s="140">
        <f ca="1">IF(ISNUMBER(MATCH(DATEVALUE($A269),'recurring1_based on steps'!AJ$1:AJ$400,0)),AJ$2,)</f>
        <v>0</v>
      </c>
      <c r="AK269" s="140">
        <f ca="1">IF(ISNUMBER(MATCH(DATEVALUE($A269),'recurring1_based on steps'!AK$1:AK$400,0)),AK$2,)</f>
        <v>0</v>
      </c>
      <c r="AL269" s="140">
        <f ca="1">IF(ISNUMBER(MATCH(DATEVALUE($A269),'recurring1_based on steps'!AL$1:AL$400,0)),AL$2,)</f>
        <v>0</v>
      </c>
      <c r="AM269" s="140">
        <f ca="1">IF(ISNUMBER(MATCH(DATEVALUE($A269),'recurring1_based on steps'!AM$1:AM$400,0)),AM$2,)</f>
        <v>0</v>
      </c>
      <c r="AN269" s="140">
        <f ca="1">IF(ISNUMBER(MATCH(DATEVALUE($A269),'recurring1_based on steps'!AN$1:AN$400,0)),AN$2,)</f>
        <v>0</v>
      </c>
      <c r="AO269" s="140">
        <f ca="1">IF(ISNUMBER(MATCH(DATEVALUE($A269),'recurring1_based on steps'!AO$1:AO$400,0)),AO$2,)</f>
        <v>0</v>
      </c>
      <c r="AP269" s="140">
        <f ca="1">IF(ISNUMBER(MATCH(DATEVALUE($A269),'recurring1_based on steps'!AP$1:AP$400,0)),AP$2,)</f>
        <v>0</v>
      </c>
      <c r="AQ269" s="140">
        <f ca="1">IF(ISNUMBER(MATCH(DATEVALUE($A269),'recurring1_based on steps'!AQ$1:AQ$400,0)),AQ$2,)</f>
        <v>0</v>
      </c>
      <c r="AR269" s="140">
        <f ca="1">IF(ISNUMBER(MATCH(DATEVALUE($A269),'recurring1_based on steps'!AR$1:AR$400,0)),AR$2,)</f>
        <v>0</v>
      </c>
      <c r="AS269" s="140">
        <f ca="1">IF(ISNUMBER(MATCH(DATEVALUE($A269),'recurring1_based on steps'!AS$1:AS$400,0)),AS$2,)</f>
        <v>0</v>
      </c>
      <c r="AT269" s="140">
        <f ca="1">IF(ISNUMBER(MATCH(DATEVALUE($A269),'recurring1_based on steps'!AT$1:AT$400,0)),AT$2,)</f>
        <v>0</v>
      </c>
      <c r="AU269" s="140">
        <f ca="1">IF(ISNUMBER(MATCH(DATEVALUE($A269),'recurring1_based on steps'!AU$1:AU$400,0)),AU$2,)</f>
        <v>0</v>
      </c>
      <c r="AV269" s="140">
        <f ca="1">IF(ISNUMBER(MATCH(DATEVALUE($A269),'recurring1_based on steps'!AV$1:AV$400,0)),AV$2,)</f>
        <v>0</v>
      </c>
      <c r="AW269" s="140">
        <f ca="1">IF(ISNUMBER(MATCH(DATEVALUE($A269),'recurring1_based on steps'!AW$1:AW$400,0)),AW$2,)</f>
        <v>0</v>
      </c>
      <c r="AX269" s="140">
        <f ca="1">IF(ISNUMBER(MATCH(DATEVALUE($A269),'recurring1_based on steps'!AX$1:AX$400,0)),AX$2,)</f>
        <v>0</v>
      </c>
      <c r="AY269" s="140">
        <f ca="1">IF(ISNUMBER(MATCH(DATEVALUE($A269),'recurring1_based on steps'!AY$1:AY$400,0)),AY$2,)</f>
        <v>0</v>
      </c>
    </row>
    <row r="270" spans="1:51" x14ac:dyDescent="0.2">
      <c r="A270" s="29" t="str">
        <f t="shared" ca="1" si="4"/>
        <v>2025-12-19</v>
      </c>
      <c r="B270" s="140">
        <f ca="1">IF(ISNUMBER(MATCH(DATEVALUE($A270),'recurring1_based on steps'!B$1:B$400,0)),B$2,)</f>
        <v>0</v>
      </c>
      <c r="C270" s="140">
        <f ca="1">IF(ISNUMBER(MATCH(DATEVALUE($A270),'recurring1_based on steps'!C$1:C$400,0)),C$2,)</f>
        <v>0</v>
      </c>
      <c r="D270" s="140">
        <f ca="1">IF(ISNUMBER(MATCH(DATEVALUE($A270),'recurring1_based on steps'!D$1:D$400,0)),D$2,)</f>
        <v>0</v>
      </c>
      <c r="E270" s="140">
        <f ca="1">IF(ISNUMBER(MATCH(DATEVALUE($A270),'recurring1_based on steps'!E$1:E$400,0)),E$2,)</f>
        <v>0</v>
      </c>
      <c r="F270" s="140">
        <f ca="1">IF(ISNUMBER(MATCH(DATEVALUE($A270),'recurring1_based on steps'!F$1:F$400,0)),F$2,)</f>
        <v>0</v>
      </c>
      <c r="G270" s="140">
        <f ca="1">IF(ISNUMBER(MATCH(DATEVALUE($A270),'recurring1_based on steps'!G$1:G$400,0)),G$2,)</f>
        <v>0</v>
      </c>
      <c r="H270" s="140">
        <f ca="1">IF(ISNUMBER(MATCH(DATEVALUE($A270),'recurring1_based on steps'!H$1:H$400,0)),H$2,)</f>
        <v>0</v>
      </c>
      <c r="I270" s="140">
        <f ca="1">IF(ISNUMBER(MATCH(DATEVALUE($A270),'recurring1_based on steps'!I$1:I$400,0)),I$2,)</f>
        <v>0</v>
      </c>
      <c r="J270" s="140">
        <f ca="1">IF(ISNUMBER(MATCH(DATEVALUE($A270),'recurring1_based on steps'!J$1:J$400,0)),J$2,)</f>
        <v>0</v>
      </c>
      <c r="K270" s="140">
        <f ca="1">IF(ISNUMBER(MATCH(DATEVALUE($A270),'recurring1_based on steps'!K$1:K$400,0)),K$2,)</f>
        <v>0</v>
      </c>
      <c r="L270" s="140">
        <f ca="1">IF(ISNUMBER(MATCH(DATEVALUE($A270),'recurring1_based on steps'!L$1:L$400,0)),L$2,)</f>
        <v>0</v>
      </c>
      <c r="M270" s="140">
        <f ca="1">IF(ISNUMBER(MATCH(DATEVALUE($A270),'recurring1_based on steps'!M$1:M$400,0)),M$2,)</f>
        <v>0</v>
      </c>
      <c r="N270" s="140">
        <f ca="1">IF(ISNUMBER(MATCH(DATEVALUE($A270),'recurring1_based on steps'!N$1:N$400,0)),N$2,)</f>
        <v>0</v>
      </c>
      <c r="O270" s="140">
        <f ca="1">IF(ISNUMBER(MATCH(DATEVALUE($A270),'recurring1_based on steps'!O$1:O$400,0)),O$2,)</f>
        <v>0</v>
      </c>
      <c r="P270" s="140">
        <f ca="1">IF(ISNUMBER(MATCH(DATEVALUE($A270),'recurring1_based on steps'!P$1:P$400,0)),P$2,)</f>
        <v>0</v>
      </c>
      <c r="Q270" s="140">
        <f ca="1">IF(ISNUMBER(MATCH(DATEVALUE($A270),'recurring1_based on steps'!Q$1:Q$400,0)),Q$2,)</f>
        <v>0</v>
      </c>
      <c r="R270" s="140">
        <f ca="1">IF(ISNUMBER(MATCH(DATEVALUE($A270),'recurring1_based on steps'!R$1:R$400,0)),R$2,)</f>
        <v>0</v>
      </c>
      <c r="S270" s="140">
        <f ca="1">IF(ISNUMBER(MATCH(DATEVALUE($A270),'recurring1_based on steps'!S$1:S$400,0)),S$2,)</f>
        <v>0</v>
      </c>
      <c r="T270" s="140">
        <f ca="1">IF(ISNUMBER(MATCH(DATEVALUE($A270),'recurring1_based on steps'!T$1:T$400,0)),T$2,)</f>
        <v>0</v>
      </c>
      <c r="U270" s="140">
        <f ca="1">IF(ISNUMBER(MATCH(DATEVALUE($A270),'recurring1_based on steps'!U$1:U$400,0)),U$2,)</f>
        <v>0</v>
      </c>
      <c r="V270" s="140">
        <f ca="1">IF(ISNUMBER(MATCH(DATEVALUE($A270),'recurring1_based on steps'!V$1:V$400,0)),V$2,)</f>
        <v>0</v>
      </c>
      <c r="W270" s="140">
        <f ca="1">IF(ISNUMBER(MATCH(DATEVALUE($A270),'recurring1_based on steps'!W$1:W$400,0)),W$2,)</f>
        <v>0</v>
      </c>
      <c r="X270" s="140">
        <f ca="1">IF(ISNUMBER(MATCH(DATEVALUE($A270),'recurring1_based on steps'!X$1:X$400,0)),X$2,)</f>
        <v>0</v>
      </c>
      <c r="Y270" s="140">
        <f ca="1">IF(ISNUMBER(MATCH(DATEVALUE($A270),'recurring1_based on steps'!Y$1:Y$400,0)),Y$2,)</f>
        <v>0</v>
      </c>
      <c r="Z270" s="140">
        <f ca="1">IF(ISNUMBER(MATCH(DATEVALUE($A270),'recurring1_based on steps'!Z$1:Z$400,0)),Z$2,)</f>
        <v>0</v>
      </c>
      <c r="AA270" s="140">
        <f ca="1">IF(ISNUMBER(MATCH(DATEVALUE($A270),'recurring1_based on steps'!AA$1:AA$400,0)),AA$2,)</f>
        <v>0</v>
      </c>
      <c r="AB270" s="140">
        <f ca="1">IF(ISNUMBER(MATCH(DATEVALUE($A270),'recurring1_based on steps'!AB$1:AB$400,0)),AB$2,)</f>
        <v>5.5401662049861494E-2</v>
      </c>
      <c r="AC270" s="140">
        <f ca="1">IF(ISNUMBER(MATCH(DATEVALUE($A270),'recurring1_based on steps'!AC$1:AC$400,0)),AC$2,)</f>
        <v>0</v>
      </c>
      <c r="AD270" s="140">
        <f ca="1">IF(ISNUMBER(MATCH(DATEVALUE($A270),'recurring1_based on steps'!AD$1:AD$400,0)),AD$2,)</f>
        <v>0</v>
      </c>
      <c r="AE270" s="140">
        <f ca="1">IF(ISNUMBER(MATCH(DATEVALUE($A270),'recurring1_based on steps'!AE$1:AE$400,0)),AE$2,)</f>
        <v>0</v>
      </c>
      <c r="AF270" s="140">
        <f ca="1">IF(ISNUMBER(MATCH(DATEVALUE($A270),'recurring1_based on steps'!AF$1:AF$400,0)),AF$2,)</f>
        <v>0</v>
      </c>
      <c r="AG270" s="140">
        <f ca="1">IF(ISNUMBER(MATCH(DATEVALUE($A270),'recurring1_based on steps'!AG$1:AG$400,0)),AG$2,)</f>
        <v>0</v>
      </c>
      <c r="AH270" s="140">
        <f ca="1">IF(ISNUMBER(MATCH(DATEVALUE($A270),'recurring1_based on steps'!AH$1:AH$400,0)),AH$2,)</f>
        <v>0</v>
      </c>
      <c r="AI270" s="140">
        <f ca="1">IF(ISNUMBER(MATCH(DATEVALUE($A270),'recurring1_based on steps'!AI$1:AI$400,0)),AI$2,)</f>
        <v>0</v>
      </c>
      <c r="AJ270" s="140">
        <f ca="1">IF(ISNUMBER(MATCH(DATEVALUE($A270),'recurring1_based on steps'!AJ$1:AJ$400,0)),AJ$2,)</f>
        <v>0</v>
      </c>
      <c r="AK270" s="140">
        <f ca="1">IF(ISNUMBER(MATCH(DATEVALUE($A270),'recurring1_based on steps'!AK$1:AK$400,0)),AK$2,)</f>
        <v>0</v>
      </c>
      <c r="AL270" s="140">
        <f ca="1">IF(ISNUMBER(MATCH(DATEVALUE($A270),'recurring1_based on steps'!AL$1:AL$400,0)),AL$2,)</f>
        <v>0</v>
      </c>
      <c r="AM270" s="140">
        <f ca="1">IF(ISNUMBER(MATCH(DATEVALUE($A270),'recurring1_based on steps'!AM$1:AM$400,0)),AM$2,)</f>
        <v>0</v>
      </c>
      <c r="AN270" s="140">
        <f ca="1">IF(ISNUMBER(MATCH(DATEVALUE($A270),'recurring1_based on steps'!AN$1:AN$400,0)),AN$2,)</f>
        <v>0</v>
      </c>
      <c r="AO270" s="140">
        <f ca="1">IF(ISNUMBER(MATCH(DATEVALUE($A270),'recurring1_based on steps'!AO$1:AO$400,0)),AO$2,)</f>
        <v>0</v>
      </c>
      <c r="AP270" s="140">
        <f ca="1">IF(ISNUMBER(MATCH(DATEVALUE($A270),'recurring1_based on steps'!AP$1:AP$400,0)),AP$2,)</f>
        <v>0</v>
      </c>
      <c r="AQ270" s="140">
        <f ca="1">IF(ISNUMBER(MATCH(DATEVALUE($A270),'recurring1_based on steps'!AQ$1:AQ$400,0)),AQ$2,)</f>
        <v>0</v>
      </c>
      <c r="AR270" s="140">
        <f ca="1">IF(ISNUMBER(MATCH(DATEVALUE($A270),'recurring1_based on steps'!AR$1:AR$400,0)),AR$2,)</f>
        <v>0</v>
      </c>
      <c r="AS270" s="140">
        <f ca="1">IF(ISNUMBER(MATCH(DATEVALUE($A270),'recurring1_based on steps'!AS$1:AS$400,0)),AS$2,)</f>
        <v>0</v>
      </c>
      <c r="AT270" s="140">
        <f ca="1">IF(ISNUMBER(MATCH(DATEVALUE($A270),'recurring1_based on steps'!AT$1:AT$400,0)),AT$2,)</f>
        <v>0</v>
      </c>
      <c r="AU270" s="140">
        <f ca="1">IF(ISNUMBER(MATCH(DATEVALUE($A270),'recurring1_based on steps'!AU$1:AU$400,0)),AU$2,)</f>
        <v>0</v>
      </c>
      <c r="AV270" s="140">
        <f ca="1">IF(ISNUMBER(MATCH(DATEVALUE($A270),'recurring1_based on steps'!AV$1:AV$400,0)),AV$2,)</f>
        <v>0</v>
      </c>
      <c r="AW270" s="140">
        <f ca="1">IF(ISNUMBER(MATCH(DATEVALUE($A270),'recurring1_based on steps'!AW$1:AW$400,0)),AW$2,)</f>
        <v>0</v>
      </c>
      <c r="AX270" s="140">
        <f ca="1">IF(ISNUMBER(MATCH(DATEVALUE($A270),'recurring1_based on steps'!AX$1:AX$400,0)),AX$2,)</f>
        <v>0</v>
      </c>
      <c r="AY270" s="140">
        <f ca="1">IF(ISNUMBER(MATCH(DATEVALUE($A270),'recurring1_based on steps'!AY$1:AY$400,0)),AY$2,)</f>
        <v>0</v>
      </c>
    </row>
    <row r="271" spans="1:51" x14ac:dyDescent="0.2">
      <c r="A271" s="29" t="str">
        <f t="shared" ca="1" si="4"/>
        <v>2025-12-20</v>
      </c>
      <c r="B271" s="140">
        <f ca="1">IF(ISNUMBER(MATCH(DATEVALUE($A271),'recurring1_based on steps'!B$1:B$400,0)),B$2,)</f>
        <v>0</v>
      </c>
      <c r="C271" s="140">
        <f ca="1">IF(ISNUMBER(MATCH(DATEVALUE($A271),'recurring1_based on steps'!C$1:C$400,0)),C$2,)</f>
        <v>0</v>
      </c>
      <c r="D271" s="140">
        <f ca="1">IF(ISNUMBER(MATCH(DATEVALUE($A271),'recurring1_based on steps'!D$1:D$400,0)),D$2,)</f>
        <v>0</v>
      </c>
      <c r="E271" s="140">
        <f ca="1">IF(ISNUMBER(MATCH(DATEVALUE($A271),'recurring1_based on steps'!E$1:E$400,0)),E$2,)</f>
        <v>0</v>
      </c>
      <c r="F271" s="140">
        <f ca="1">IF(ISNUMBER(MATCH(DATEVALUE($A271),'recurring1_based on steps'!F$1:F$400,0)),F$2,)</f>
        <v>0</v>
      </c>
      <c r="G271" s="140">
        <f ca="1">IF(ISNUMBER(MATCH(DATEVALUE($A271),'recurring1_based on steps'!G$1:G$400,0)),G$2,)</f>
        <v>0</v>
      </c>
      <c r="H271" s="140">
        <f ca="1">IF(ISNUMBER(MATCH(DATEVALUE($A271),'recurring1_based on steps'!H$1:H$400,0)),H$2,)</f>
        <v>0</v>
      </c>
      <c r="I271" s="140">
        <f ca="1">IF(ISNUMBER(MATCH(DATEVALUE($A271),'recurring1_based on steps'!I$1:I$400,0)),I$2,)</f>
        <v>0</v>
      </c>
      <c r="J271" s="140">
        <f ca="1">IF(ISNUMBER(MATCH(DATEVALUE($A271),'recurring1_based on steps'!J$1:J$400,0)),J$2,)</f>
        <v>0</v>
      </c>
      <c r="K271" s="140">
        <f ca="1">IF(ISNUMBER(MATCH(DATEVALUE($A271),'recurring1_based on steps'!K$1:K$400,0)),K$2,)</f>
        <v>0</v>
      </c>
      <c r="L271" s="140">
        <f ca="1">IF(ISNUMBER(MATCH(DATEVALUE($A271),'recurring1_based on steps'!L$1:L$400,0)),L$2,)</f>
        <v>0</v>
      </c>
      <c r="M271" s="140">
        <f ca="1">IF(ISNUMBER(MATCH(DATEVALUE($A271),'recurring1_based on steps'!M$1:M$400,0)),M$2,)</f>
        <v>0</v>
      </c>
      <c r="N271" s="140">
        <f ca="1">IF(ISNUMBER(MATCH(DATEVALUE($A271),'recurring1_based on steps'!N$1:N$400,0)),N$2,)</f>
        <v>0</v>
      </c>
      <c r="O271" s="140">
        <f ca="1">IF(ISNUMBER(MATCH(DATEVALUE($A271),'recurring1_based on steps'!O$1:O$400,0)),O$2,)</f>
        <v>0</v>
      </c>
      <c r="P271" s="140">
        <f ca="1">IF(ISNUMBER(MATCH(DATEVALUE($A271),'recurring1_based on steps'!P$1:P$400,0)),P$2,)</f>
        <v>0</v>
      </c>
      <c r="Q271" s="140">
        <f ca="1">IF(ISNUMBER(MATCH(DATEVALUE($A271),'recurring1_based on steps'!Q$1:Q$400,0)),Q$2,)</f>
        <v>100</v>
      </c>
      <c r="R271" s="140">
        <f ca="1">IF(ISNUMBER(MATCH(DATEVALUE($A271),'recurring1_based on steps'!R$1:R$400,0)),R$2,)</f>
        <v>100</v>
      </c>
      <c r="S271" s="140">
        <f ca="1">IF(ISNUMBER(MATCH(DATEVALUE($A271),'recurring1_based on steps'!S$1:S$400,0)),S$2,)</f>
        <v>0</v>
      </c>
      <c r="T271" s="140">
        <f ca="1">IF(ISNUMBER(MATCH(DATEVALUE($A271),'recurring1_based on steps'!T$1:T$400,0)),T$2,)</f>
        <v>0</v>
      </c>
      <c r="U271" s="140">
        <f ca="1">IF(ISNUMBER(MATCH(DATEVALUE($A271),'recurring1_based on steps'!U$1:U$400,0)),U$2,)</f>
        <v>0</v>
      </c>
      <c r="V271" s="140">
        <f ca="1">IF(ISNUMBER(MATCH(DATEVALUE($A271),'recurring1_based on steps'!V$1:V$400,0)),V$2,)</f>
        <v>0</v>
      </c>
      <c r="W271" s="140">
        <f ca="1">IF(ISNUMBER(MATCH(DATEVALUE($A271),'recurring1_based on steps'!W$1:W$400,0)),W$2,)</f>
        <v>0</v>
      </c>
      <c r="X271" s="140">
        <f ca="1">IF(ISNUMBER(MATCH(DATEVALUE($A271),'recurring1_based on steps'!X$1:X$400,0)),X$2,)</f>
        <v>0</v>
      </c>
      <c r="Y271" s="140">
        <f ca="1">IF(ISNUMBER(MATCH(DATEVALUE($A271),'recurring1_based on steps'!Y$1:Y$400,0)),Y$2,)</f>
        <v>0</v>
      </c>
      <c r="Z271" s="140">
        <f ca="1">IF(ISNUMBER(MATCH(DATEVALUE($A271),'recurring1_based on steps'!Z$1:Z$400,0)),Z$2,)</f>
        <v>0</v>
      </c>
      <c r="AA271" s="140">
        <f ca="1">IF(ISNUMBER(MATCH(DATEVALUE($A271),'recurring1_based on steps'!AA$1:AA$400,0)),AA$2,)</f>
        <v>5.8171745152354575</v>
      </c>
      <c r="AB271" s="140">
        <f ca="1">IF(ISNUMBER(MATCH(DATEVALUE($A271),'recurring1_based on steps'!AB$1:AB$400,0)),AB$2,)</f>
        <v>5.5401662049861494E-2</v>
      </c>
      <c r="AC271" s="140">
        <f ca="1">IF(ISNUMBER(MATCH(DATEVALUE($A271),'recurring1_based on steps'!AC$1:AC$400,0)),AC$2,)</f>
        <v>0</v>
      </c>
      <c r="AD271" s="140">
        <f ca="1">IF(ISNUMBER(MATCH(DATEVALUE($A271),'recurring1_based on steps'!AD$1:AD$400,0)),AD$2,)</f>
        <v>0</v>
      </c>
      <c r="AE271" s="140">
        <f ca="1">IF(ISNUMBER(MATCH(DATEVALUE($A271),'recurring1_based on steps'!AE$1:AE$400,0)),AE$2,)</f>
        <v>0</v>
      </c>
      <c r="AF271" s="140">
        <f ca="1">IF(ISNUMBER(MATCH(DATEVALUE($A271),'recurring1_based on steps'!AF$1:AF$400,0)),AF$2,)</f>
        <v>0</v>
      </c>
      <c r="AG271" s="140">
        <f ca="1">IF(ISNUMBER(MATCH(DATEVALUE($A271),'recurring1_based on steps'!AG$1:AG$400,0)),AG$2,)</f>
        <v>0</v>
      </c>
      <c r="AH271" s="140">
        <f ca="1">IF(ISNUMBER(MATCH(DATEVALUE($A271),'recurring1_based on steps'!AH$1:AH$400,0)),AH$2,)</f>
        <v>0</v>
      </c>
      <c r="AI271" s="140">
        <f ca="1">IF(ISNUMBER(MATCH(DATEVALUE($A271),'recurring1_based on steps'!AI$1:AI$400,0)),AI$2,)</f>
        <v>0</v>
      </c>
      <c r="AJ271" s="140">
        <f ca="1">IF(ISNUMBER(MATCH(DATEVALUE($A271),'recurring1_based on steps'!AJ$1:AJ$400,0)),AJ$2,)</f>
        <v>0</v>
      </c>
      <c r="AK271" s="140">
        <f ca="1">IF(ISNUMBER(MATCH(DATEVALUE($A271),'recurring1_based on steps'!AK$1:AK$400,0)),AK$2,)</f>
        <v>0</v>
      </c>
      <c r="AL271" s="140">
        <f ca="1">IF(ISNUMBER(MATCH(DATEVALUE($A271),'recurring1_based on steps'!AL$1:AL$400,0)),AL$2,)</f>
        <v>0</v>
      </c>
      <c r="AM271" s="140">
        <f ca="1">IF(ISNUMBER(MATCH(DATEVALUE($A271),'recurring1_based on steps'!AM$1:AM$400,0)),AM$2,)</f>
        <v>0</v>
      </c>
      <c r="AN271" s="140">
        <f ca="1">IF(ISNUMBER(MATCH(DATEVALUE($A271),'recurring1_based on steps'!AN$1:AN$400,0)),AN$2,)</f>
        <v>0</v>
      </c>
      <c r="AO271" s="140">
        <f ca="1">IF(ISNUMBER(MATCH(DATEVALUE($A271),'recurring1_based on steps'!AO$1:AO$400,0)),AO$2,)</f>
        <v>0</v>
      </c>
      <c r="AP271" s="140">
        <f ca="1">IF(ISNUMBER(MATCH(DATEVALUE($A271),'recurring1_based on steps'!AP$1:AP$400,0)),AP$2,)</f>
        <v>0</v>
      </c>
      <c r="AQ271" s="140">
        <f ca="1">IF(ISNUMBER(MATCH(DATEVALUE($A271),'recurring1_based on steps'!AQ$1:AQ$400,0)),AQ$2,)</f>
        <v>0</v>
      </c>
      <c r="AR271" s="140">
        <f ca="1">IF(ISNUMBER(MATCH(DATEVALUE($A271),'recurring1_based on steps'!AR$1:AR$400,0)),AR$2,)</f>
        <v>0</v>
      </c>
      <c r="AS271" s="140">
        <f ca="1">IF(ISNUMBER(MATCH(DATEVALUE($A271),'recurring1_based on steps'!AS$1:AS$400,0)),AS$2,)</f>
        <v>0</v>
      </c>
      <c r="AT271" s="140">
        <f ca="1">IF(ISNUMBER(MATCH(DATEVALUE($A271),'recurring1_based on steps'!AT$1:AT$400,0)),AT$2,)</f>
        <v>0</v>
      </c>
      <c r="AU271" s="140">
        <f ca="1">IF(ISNUMBER(MATCH(DATEVALUE($A271),'recurring1_based on steps'!AU$1:AU$400,0)),AU$2,)</f>
        <v>0</v>
      </c>
      <c r="AV271" s="140">
        <f ca="1">IF(ISNUMBER(MATCH(DATEVALUE($A271),'recurring1_based on steps'!AV$1:AV$400,0)),AV$2,)</f>
        <v>0</v>
      </c>
      <c r="AW271" s="140">
        <f ca="1">IF(ISNUMBER(MATCH(DATEVALUE($A271),'recurring1_based on steps'!AW$1:AW$400,0)),AW$2,)</f>
        <v>0</v>
      </c>
      <c r="AX271" s="140">
        <f ca="1">IF(ISNUMBER(MATCH(DATEVALUE($A271),'recurring1_based on steps'!AX$1:AX$400,0)),AX$2,)</f>
        <v>0</v>
      </c>
      <c r="AY271" s="140">
        <f ca="1">IF(ISNUMBER(MATCH(DATEVALUE($A271),'recurring1_based on steps'!AY$1:AY$400,0)),AY$2,)</f>
        <v>0</v>
      </c>
    </row>
    <row r="272" spans="1:51" x14ac:dyDescent="0.2">
      <c r="A272" s="29" t="str">
        <f t="shared" ca="1" si="4"/>
        <v>2025-12-21</v>
      </c>
      <c r="B272" s="140">
        <f ca="1">IF(ISNUMBER(MATCH(DATEVALUE($A272),'recurring1_based on steps'!B$1:B$400,0)),B$2,)</f>
        <v>0</v>
      </c>
      <c r="C272" s="140">
        <f ca="1">IF(ISNUMBER(MATCH(DATEVALUE($A272),'recurring1_based on steps'!C$1:C$400,0)),C$2,)</f>
        <v>0</v>
      </c>
      <c r="D272" s="140">
        <f ca="1">IF(ISNUMBER(MATCH(DATEVALUE($A272),'recurring1_based on steps'!D$1:D$400,0)),D$2,)</f>
        <v>0</v>
      </c>
      <c r="E272" s="140">
        <f ca="1">IF(ISNUMBER(MATCH(DATEVALUE($A272),'recurring1_based on steps'!E$1:E$400,0)),E$2,)</f>
        <v>0</v>
      </c>
      <c r="F272" s="140">
        <f ca="1">IF(ISNUMBER(MATCH(DATEVALUE($A272),'recurring1_based on steps'!F$1:F$400,0)),F$2,)</f>
        <v>0</v>
      </c>
      <c r="G272" s="140">
        <f ca="1">IF(ISNUMBER(MATCH(DATEVALUE($A272),'recurring1_based on steps'!G$1:G$400,0)),G$2,)</f>
        <v>0</v>
      </c>
      <c r="H272" s="140">
        <f ca="1">IF(ISNUMBER(MATCH(DATEVALUE($A272),'recurring1_based on steps'!H$1:H$400,0)),H$2,)</f>
        <v>0</v>
      </c>
      <c r="I272" s="140">
        <f ca="1">IF(ISNUMBER(MATCH(DATEVALUE($A272),'recurring1_based on steps'!I$1:I$400,0)),I$2,)</f>
        <v>0</v>
      </c>
      <c r="J272" s="140">
        <f ca="1">IF(ISNUMBER(MATCH(DATEVALUE($A272),'recurring1_based on steps'!J$1:J$400,0)),J$2,)</f>
        <v>0</v>
      </c>
      <c r="K272" s="140">
        <f ca="1">IF(ISNUMBER(MATCH(DATEVALUE($A272),'recurring1_based on steps'!K$1:K$400,0)),K$2,)</f>
        <v>50</v>
      </c>
      <c r="L272" s="140">
        <f ca="1">IF(ISNUMBER(MATCH(DATEVALUE($A272),'recurring1_based on steps'!L$1:L$400,0)),L$2,)</f>
        <v>0</v>
      </c>
      <c r="M272" s="140">
        <f ca="1">IF(ISNUMBER(MATCH(DATEVALUE($A272),'recurring1_based on steps'!M$1:M$400,0)),M$2,)</f>
        <v>0</v>
      </c>
      <c r="N272" s="140">
        <f ca="1">IF(ISNUMBER(MATCH(DATEVALUE($A272),'recurring1_based on steps'!N$1:N$400,0)),N$2,)</f>
        <v>0</v>
      </c>
      <c r="O272" s="140">
        <f ca="1">IF(ISNUMBER(MATCH(DATEVALUE($A272),'recurring1_based on steps'!O$1:O$400,0)),O$2,)</f>
        <v>0</v>
      </c>
      <c r="P272" s="140">
        <f ca="1">IF(ISNUMBER(MATCH(DATEVALUE($A272),'recurring1_based on steps'!P$1:P$400,0)),P$2,)</f>
        <v>0</v>
      </c>
      <c r="Q272" s="140">
        <f ca="1">IF(ISNUMBER(MATCH(DATEVALUE($A272),'recurring1_based on steps'!Q$1:Q$400,0)),Q$2,)</f>
        <v>0</v>
      </c>
      <c r="R272" s="140">
        <f ca="1">IF(ISNUMBER(MATCH(DATEVALUE($A272),'recurring1_based on steps'!R$1:R$400,0)),R$2,)</f>
        <v>0</v>
      </c>
      <c r="S272" s="140">
        <f ca="1">IF(ISNUMBER(MATCH(DATEVALUE($A272),'recurring1_based on steps'!S$1:S$400,0)),S$2,)</f>
        <v>100</v>
      </c>
      <c r="T272" s="140">
        <f ca="1">IF(ISNUMBER(MATCH(DATEVALUE($A272),'recurring1_based on steps'!T$1:T$400,0)),T$2,)</f>
        <v>0</v>
      </c>
      <c r="U272" s="140">
        <f ca="1">IF(ISNUMBER(MATCH(DATEVALUE($A272),'recurring1_based on steps'!U$1:U$400,0)),U$2,)</f>
        <v>0</v>
      </c>
      <c r="V272" s="140">
        <f ca="1">IF(ISNUMBER(MATCH(DATEVALUE($A272),'recurring1_based on steps'!V$1:V$400,0)),V$2,)</f>
        <v>0</v>
      </c>
      <c r="W272" s="140">
        <f ca="1">IF(ISNUMBER(MATCH(DATEVALUE($A272),'recurring1_based on steps'!W$1:W$400,0)),W$2,)</f>
        <v>0</v>
      </c>
      <c r="X272" s="140">
        <f ca="1">IF(ISNUMBER(MATCH(DATEVALUE($A272),'recurring1_based on steps'!X$1:X$400,0)),X$2,)</f>
        <v>0</v>
      </c>
      <c r="Y272" s="140">
        <f ca="1">IF(ISNUMBER(MATCH(DATEVALUE($A272),'recurring1_based on steps'!Y$1:Y$400,0)),Y$2,)</f>
        <v>0</v>
      </c>
      <c r="Z272" s="140">
        <f ca="1">IF(ISNUMBER(MATCH(DATEVALUE($A272),'recurring1_based on steps'!Z$1:Z$400,0)),Z$2,)</f>
        <v>0</v>
      </c>
      <c r="AA272" s="140">
        <f ca="1">IF(ISNUMBER(MATCH(DATEVALUE($A272),'recurring1_based on steps'!AA$1:AA$400,0)),AA$2,)</f>
        <v>0</v>
      </c>
      <c r="AB272" s="140">
        <f ca="1">IF(ISNUMBER(MATCH(DATEVALUE($A272),'recurring1_based on steps'!AB$1:AB$400,0)),AB$2,)</f>
        <v>5.5401662049861494E-2</v>
      </c>
      <c r="AC272" s="140">
        <f ca="1">IF(ISNUMBER(MATCH(DATEVALUE($A272),'recurring1_based on steps'!AC$1:AC$400,0)),AC$2,)</f>
        <v>0</v>
      </c>
      <c r="AD272" s="140">
        <f ca="1">IF(ISNUMBER(MATCH(DATEVALUE($A272),'recurring1_based on steps'!AD$1:AD$400,0)),AD$2,)</f>
        <v>0</v>
      </c>
      <c r="AE272" s="140">
        <f ca="1">IF(ISNUMBER(MATCH(DATEVALUE($A272),'recurring1_based on steps'!AE$1:AE$400,0)),AE$2,)</f>
        <v>0</v>
      </c>
      <c r="AF272" s="140">
        <f ca="1">IF(ISNUMBER(MATCH(DATEVALUE($A272),'recurring1_based on steps'!AF$1:AF$400,0)),AF$2,)</f>
        <v>0</v>
      </c>
      <c r="AG272" s="140">
        <f ca="1">IF(ISNUMBER(MATCH(DATEVALUE($A272),'recurring1_based on steps'!AG$1:AG$400,0)),AG$2,)</f>
        <v>0</v>
      </c>
      <c r="AH272" s="140">
        <f ca="1">IF(ISNUMBER(MATCH(DATEVALUE($A272),'recurring1_based on steps'!AH$1:AH$400,0)),AH$2,)</f>
        <v>0</v>
      </c>
      <c r="AI272" s="140">
        <f ca="1">IF(ISNUMBER(MATCH(DATEVALUE($A272),'recurring1_based on steps'!AI$1:AI$400,0)),AI$2,)</f>
        <v>0</v>
      </c>
      <c r="AJ272" s="140">
        <f ca="1">IF(ISNUMBER(MATCH(DATEVALUE($A272),'recurring1_based on steps'!AJ$1:AJ$400,0)),AJ$2,)</f>
        <v>0</v>
      </c>
      <c r="AK272" s="140">
        <f ca="1">IF(ISNUMBER(MATCH(DATEVALUE($A272),'recurring1_based on steps'!AK$1:AK$400,0)),AK$2,)</f>
        <v>0</v>
      </c>
      <c r="AL272" s="140">
        <f ca="1">IF(ISNUMBER(MATCH(DATEVALUE($A272),'recurring1_based on steps'!AL$1:AL$400,0)),AL$2,)</f>
        <v>0</v>
      </c>
      <c r="AM272" s="140">
        <f ca="1">IF(ISNUMBER(MATCH(DATEVALUE($A272),'recurring1_based on steps'!AM$1:AM$400,0)),AM$2,)</f>
        <v>0</v>
      </c>
      <c r="AN272" s="140">
        <f ca="1">IF(ISNUMBER(MATCH(DATEVALUE($A272),'recurring1_based on steps'!AN$1:AN$400,0)),AN$2,)</f>
        <v>0</v>
      </c>
      <c r="AO272" s="140">
        <f ca="1">IF(ISNUMBER(MATCH(DATEVALUE($A272),'recurring1_based on steps'!AO$1:AO$400,0)),AO$2,)</f>
        <v>0</v>
      </c>
      <c r="AP272" s="140">
        <f ca="1">IF(ISNUMBER(MATCH(DATEVALUE($A272),'recurring1_based on steps'!AP$1:AP$400,0)),AP$2,)</f>
        <v>0</v>
      </c>
      <c r="AQ272" s="140">
        <f ca="1">IF(ISNUMBER(MATCH(DATEVALUE($A272),'recurring1_based on steps'!AQ$1:AQ$400,0)),AQ$2,)</f>
        <v>0</v>
      </c>
      <c r="AR272" s="140">
        <f ca="1">IF(ISNUMBER(MATCH(DATEVALUE($A272),'recurring1_based on steps'!AR$1:AR$400,0)),AR$2,)</f>
        <v>0</v>
      </c>
      <c r="AS272" s="140">
        <f ca="1">IF(ISNUMBER(MATCH(DATEVALUE($A272),'recurring1_based on steps'!AS$1:AS$400,0)),AS$2,)</f>
        <v>0</v>
      </c>
      <c r="AT272" s="140">
        <f ca="1">IF(ISNUMBER(MATCH(DATEVALUE($A272),'recurring1_based on steps'!AT$1:AT$400,0)),AT$2,)</f>
        <v>0</v>
      </c>
      <c r="AU272" s="140">
        <f ca="1">IF(ISNUMBER(MATCH(DATEVALUE($A272),'recurring1_based on steps'!AU$1:AU$400,0)),AU$2,)</f>
        <v>0</v>
      </c>
      <c r="AV272" s="140">
        <f ca="1">IF(ISNUMBER(MATCH(DATEVALUE($A272),'recurring1_based on steps'!AV$1:AV$400,0)),AV$2,)</f>
        <v>0</v>
      </c>
      <c r="AW272" s="140">
        <f ca="1">IF(ISNUMBER(MATCH(DATEVALUE($A272),'recurring1_based on steps'!AW$1:AW$400,0)),AW$2,)</f>
        <v>0</v>
      </c>
      <c r="AX272" s="140">
        <f ca="1">IF(ISNUMBER(MATCH(DATEVALUE($A272),'recurring1_based on steps'!AX$1:AX$400,0)),AX$2,)</f>
        <v>0</v>
      </c>
      <c r="AY272" s="140">
        <f ca="1">IF(ISNUMBER(MATCH(DATEVALUE($A272),'recurring1_based on steps'!AY$1:AY$400,0)),AY$2,)</f>
        <v>0</v>
      </c>
    </row>
    <row r="273" spans="1:51" x14ac:dyDescent="0.2">
      <c r="A273" s="29" t="str">
        <f t="shared" ca="1" si="4"/>
        <v>2025-12-22</v>
      </c>
      <c r="B273" s="140">
        <f ca="1">IF(ISNUMBER(MATCH(DATEVALUE($A273),'recurring1_based on steps'!B$1:B$400,0)),B$2,)</f>
        <v>0</v>
      </c>
      <c r="C273" s="140">
        <f ca="1">IF(ISNUMBER(MATCH(DATEVALUE($A273),'recurring1_based on steps'!C$1:C$400,0)),C$2,)</f>
        <v>0</v>
      </c>
      <c r="D273" s="140">
        <f ca="1">IF(ISNUMBER(MATCH(DATEVALUE($A273),'recurring1_based on steps'!D$1:D$400,0)),D$2,)</f>
        <v>0</v>
      </c>
      <c r="E273" s="140">
        <f ca="1">IF(ISNUMBER(MATCH(DATEVALUE($A273),'recurring1_based on steps'!E$1:E$400,0)),E$2,)</f>
        <v>0</v>
      </c>
      <c r="F273" s="140">
        <f ca="1">IF(ISNUMBER(MATCH(DATEVALUE($A273),'recurring1_based on steps'!F$1:F$400,0)),F$2,)</f>
        <v>0</v>
      </c>
      <c r="G273" s="140">
        <f ca="1">IF(ISNUMBER(MATCH(DATEVALUE($A273),'recurring1_based on steps'!G$1:G$400,0)),G$2,)</f>
        <v>0</v>
      </c>
      <c r="H273" s="140">
        <f ca="1">IF(ISNUMBER(MATCH(DATEVALUE($A273),'recurring1_based on steps'!H$1:H$400,0)),H$2,)</f>
        <v>0</v>
      </c>
      <c r="I273" s="140">
        <f ca="1">IF(ISNUMBER(MATCH(DATEVALUE($A273),'recurring1_based on steps'!I$1:I$400,0)),I$2,)</f>
        <v>0</v>
      </c>
      <c r="J273" s="140">
        <f ca="1">IF(ISNUMBER(MATCH(DATEVALUE($A273),'recurring1_based on steps'!J$1:J$400,0)),J$2,)</f>
        <v>0</v>
      </c>
      <c r="K273" s="140">
        <f ca="1">IF(ISNUMBER(MATCH(DATEVALUE($A273),'recurring1_based on steps'!K$1:K$400,0)),K$2,)</f>
        <v>0</v>
      </c>
      <c r="L273" s="140">
        <f ca="1">IF(ISNUMBER(MATCH(DATEVALUE($A273),'recurring1_based on steps'!L$1:L$400,0)),L$2,)</f>
        <v>0</v>
      </c>
      <c r="M273" s="140">
        <f ca="1">IF(ISNUMBER(MATCH(DATEVALUE($A273),'recurring1_based on steps'!M$1:M$400,0)),M$2,)</f>
        <v>0</v>
      </c>
      <c r="N273" s="140">
        <f ca="1">IF(ISNUMBER(MATCH(DATEVALUE($A273),'recurring1_based on steps'!N$1:N$400,0)),N$2,)</f>
        <v>0</v>
      </c>
      <c r="O273" s="140">
        <f ca="1">IF(ISNUMBER(MATCH(DATEVALUE($A273),'recurring1_based on steps'!O$1:O$400,0)),O$2,)</f>
        <v>0</v>
      </c>
      <c r="P273" s="140">
        <f ca="1">IF(ISNUMBER(MATCH(DATEVALUE($A273),'recurring1_based on steps'!P$1:P$400,0)),P$2,)</f>
        <v>0</v>
      </c>
      <c r="Q273" s="140">
        <f ca="1">IF(ISNUMBER(MATCH(DATEVALUE($A273),'recurring1_based on steps'!Q$1:Q$400,0)),Q$2,)</f>
        <v>0</v>
      </c>
      <c r="R273" s="140">
        <f ca="1">IF(ISNUMBER(MATCH(DATEVALUE($A273),'recurring1_based on steps'!R$1:R$400,0)),R$2,)</f>
        <v>0</v>
      </c>
      <c r="S273" s="140">
        <f ca="1">IF(ISNUMBER(MATCH(DATEVALUE($A273),'recurring1_based on steps'!S$1:S$400,0)),S$2,)</f>
        <v>0</v>
      </c>
      <c r="T273" s="140">
        <f ca="1">IF(ISNUMBER(MATCH(DATEVALUE($A273),'recurring1_based on steps'!T$1:T$400,0)),T$2,)</f>
        <v>0</v>
      </c>
      <c r="U273" s="140">
        <f ca="1">IF(ISNUMBER(MATCH(DATEVALUE($A273),'recurring1_based on steps'!U$1:U$400,0)),U$2,)</f>
        <v>0</v>
      </c>
      <c r="V273" s="140">
        <f ca="1">IF(ISNUMBER(MATCH(DATEVALUE($A273),'recurring1_based on steps'!V$1:V$400,0)),V$2,)</f>
        <v>0</v>
      </c>
      <c r="W273" s="140">
        <f ca="1">IF(ISNUMBER(MATCH(DATEVALUE($A273),'recurring1_based on steps'!W$1:W$400,0)),W$2,)</f>
        <v>0</v>
      </c>
      <c r="X273" s="140">
        <f ca="1">IF(ISNUMBER(MATCH(DATEVALUE($A273),'recurring1_based on steps'!X$1:X$400,0)),X$2,)</f>
        <v>0</v>
      </c>
      <c r="Y273" s="140">
        <f ca="1">IF(ISNUMBER(MATCH(DATEVALUE($A273),'recurring1_based on steps'!Y$1:Y$400,0)),Y$2,)</f>
        <v>0</v>
      </c>
      <c r="Z273" s="140">
        <f ca="1">IF(ISNUMBER(MATCH(DATEVALUE($A273),'recurring1_based on steps'!Z$1:Z$400,0)),Z$2,)</f>
        <v>0</v>
      </c>
      <c r="AA273" s="140">
        <f ca="1">IF(ISNUMBER(MATCH(DATEVALUE($A273),'recurring1_based on steps'!AA$1:AA$400,0)),AA$2,)</f>
        <v>0</v>
      </c>
      <c r="AB273" s="140">
        <f ca="1">IF(ISNUMBER(MATCH(DATEVALUE($A273),'recurring1_based on steps'!AB$1:AB$400,0)),AB$2,)</f>
        <v>5.5401662049861494E-2</v>
      </c>
      <c r="AC273" s="140">
        <f ca="1">IF(ISNUMBER(MATCH(DATEVALUE($A273),'recurring1_based on steps'!AC$1:AC$400,0)),AC$2,)</f>
        <v>0</v>
      </c>
      <c r="AD273" s="140">
        <f ca="1">IF(ISNUMBER(MATCH(DATEVALUE($A273),'recurring1_based on steps'!AD$1:AD$400,0)),AD$2,)</f>
        <v>0</v>
      </c>
      <c r="AE273" s="140">
        <f ca="1">IF(ISNUMBER(MATCH(DATEVALUE($A273),'recurring1_based on steps'!AE$1:AE$400,0)),AE$2,)</f>
        <v>0</v>
      </c>
      <c r="AF273" s="140">
        <f ca="1">IF(ISNUMBER(MATCH(DATEVALUE($A273),'recurring1_based on steps'!AF$1:AF$400,0)),AF$2,)</f>
        <v>0</v>
      </c>
      <c r="AG273" s="140">
        <f ca="1">IF(ISNUMBER(MATCH(DATEVALUE($A273),'recurring1_based on steps'!AG$1:AG$400,0)),AG$2,)</f>
        <v>0</v>
      </c>
      <c r="AH273" s="140">
        <f ca="1">IF(ISNUMBER(MATCH(DATEVALUE($A273),'recurring1_based on steps'!AH$1:AH$400,0)),AH$2,)</f>
        <v>0</v>
      </c>
      <c r="AI273" s="140">
        <f ca="1">IF(ISNUMBER(MATCH(DATEVALUE($A273),'recurring1_based on steps'!AI$1:AI$400,0)),AI$2,)</f>
        <v>0</v>
      </c>
      <c r="AJ273" s="140">
        <f ca="1">IF(ISNUMBER(MATCH(DATEVALUE($A273),'recurring1_based on steps'!AJ$1:AJ$400,0)),AJ$2,)</f>
        <v>0</v>
      </c>
      <c r="AK273" s="140">
        <f ca="1">IF(ISNUMBER(MATCH(DATEVALUE($A273),'recurring1_based on steps'!AK$1:AK$400,0)),AK$2,)</f>
        <v>0</v>
      </c>
      <c r="AL273" s="140">
        <f ca="1">IF(ISNUMBER(MATCH(DATEVALUE($A273),'recurring1_based on steps'!AL$1:AL$400,0)),AL$2,)</f>
        <v>0</v>
      </c>
      <c r="AM273" s="140">
        <f ca="1">IF(ISNUMBER(MATCH(DATEVALUE($A273),'recurring1_based on steps'!AM$1:AM$400,0)),AM$2,)</f>
        <v>0</v>
      </c>
      <c r="AN273" s="140">
        <f ca="1">IF(ISNUMBER(MATCH(DATEVALUE($A273),'recurring1_based on steps'!AN$1:AN$400,0)),AN$2,)</f>
        <v>0</v>
      </c>
      <c r="AO273" s="140">
        <f ca="1">IF(ISNUMBER(MATCH(DATEVALUE($A273),'recurring1_based on steps'!AO$1:AO$400,0)),AO$2,)</f>
        <v>0</v>
      </c>
      <c r="AP273" s="140">
        <f ca="1">IF(ISNUMBER(MATCH(DATEVALUE($A273),'recurring1_based on steps'!AP$1:AP$400,0)),AP$2,)</f>
        <v>0</v>
      </c>
      <c r="AQ273" s="140">
        <f ca="1">IF(ISNUMBER(MATCH(DATEVALUE($A273),'recurring1_based on steps'!AQ$1:AQ$400,0)),AQ$2,)</f>
        <v>0</v>
      </c>
      <c r="AR273" s="140">
        <f ca="1">IF(ISNUMBER(MATCH(DATEVALUE($A273),'recurring1_based on steps'!AR$1:AR$400,0)),AR$2,)</f>
        <v>0</v>
      </c>
      <c r="AS273" s="140">
        <f ca="1">IF(ISNUMBER(MATCH(DATEVALUE($A273),'recurring1_based on steps'!AS$1:AS$400,0)),AS$2,)</f>
        <v>0</v>
      </c>
      <c r="AT273" s="140">
        <f ca="1">IF(ISNUMBER(MATCH(DATEVALUE($A273),'recurring1_based on steps'!AT$1:AT$400,0)),AT$2,)</f>
        <v>0</v>
      </c>
      <c r="AU273" s="140">
        <f ca="1">IF(ISNUMBER(MATCH(DATEVALUE($A273),'recurring1_based on steps'!AU$1:AU$400,0)),AU$2,)</f>
        <v>0</v>
      </c>
      <c r="AV273" s="140">
        <f ca="1">IF(ISNUMBER(MATCH(DATEVALUE($A273),'recurring1_based on steps'!AV$1:AV$400,0)),AV$2,)</f>
        <v>0</v>
      </c>
      <c r="AW273" s="140">
        <f ca="1">IF(ISNUMBER(MATCH(DATEVALUE($A273),'recurring1_based on steps'!AW$1:AW$400,0)),AW$2,)</f>
        <v>0</v>
      </c>
      <c r="AX273" s="140">
        <f ca="1">IF(ISNUMBER(MATCH(DATEVALUE($A273),'recurring1_based on steps'!AX$1:AX$400,0)),AX$2,)</f>
        <v>0</v>
      </c>
      <c r="AY273" s="140">
        <f ca="1">IF(ISNUMBER(MATCH(DATEVALUE($A273),'recurring1_based on steps'!AY$1:AY$400,0)),AY$2,)</f>
        <v>0</v>
      </c>
    </row>
    <row r="274" spans="1:51" x14ac:dyDescent="0.2">
      <c r="A274" s="29" t="str">
        <f t="shared" ca="1" si="4"/>
        <v>2025-12-23</v>
      </c>
      <c r="B274" s="140">
        <f ca="1">IF(ISNUMBER(MATCH(DATEVALUE($A274),'recurring1_based on steps'!B$1:B$400,0)),B$2,)</f>
        <v>0</v>
      </c>
      <c r="C274" s="140">
        <f ca="1">IF(ISNUMBER(MATCH(DATEVALUE($A274),'recurring1_based on steps'!C$1:C$400,0)),C$2,)</f>
        <v>0</v>
      </c>
      <c r="D274" s="140">
        <f ca="1">IF(ISNUMBER(MATCH(DATEVALUE($A274),'recurring1_based on steps'!D$1:D$400,0)),D$2,)</f>
        <v>0</v>
      </c>
      <c r="E274" s="140">
        <f ca="1">IF(ISNUMBER(MATCH(DATEVALUE($A274),'recurring1_based on steps'!E$1:E$400,0)),E$2,)</f>
        <v>0</v>
      </c>
      <c r="F274" s="140">
        <f ca="1">IF(ISNUMBER(MATCH(DATEVALUE($A274),'recurring1_based on steps'!F$1:F$400,0)),F$2,)</f>
        <v>0</v>
      </c>
      <c r="G274" s="140">
        <f ca="1">IF(ISNUMBER(MATCH(DATEVALUE($A274),'recurring1_based on steps'!G$1:G$400,0)),G$2,)</f>
        <v>0</v>
      </c>
      <c r="H274" s="140">
        <f ca="1">IF(ISNUMBER(MATCH(DATEVALUE($A274),'recurring1_based on steps'!H$1:H$400,0)),H$2,)</f>
        <v>0</v>
      </c>
      <c r="I274" s="140">
        <f ca="1">IF(ISNUMBER(MATCH(DATEVALUE($A274),'recurring1_based on steps'!I$1:I$400,0)),I$2,)</f>
        <v>0</v>
      </c>
      <c r="J274" s="140">
        <f ca="1">IF(ISNUMBER(MATCH(DATEVALUE($A274),'recurring1_based on steps'!J$1:J$400,0)),J$2,)</f>
        <v>0</v>
      </c>
      <c r="K274" s="140">
        <f ca="1">IF(ISNUMBER(MATCH(DATEVALUE($A274),'recurring1_based on steps'!K$1:K$400,0)),K$2,)</f>
        <v>0</v>
      </c>
      <c r="L274" s="140">
        <f ca="1">IF(ISNUMBER(MATCH(DATEVALUE($A274),'recurring1_based on steps'!L$1:L$400,0)),L$2,)</f>
        <v>0</v>
      </c>
      <c r="M274" s="140">
        <f ca="1">IF(ISNUMBER(MATCH(DATEVALUE($A274),'recurring1_based on steps'!M$1:M$400,0)),M$2,)</f>
        <v>0</v>
      </c>
      <c r="N274" s="140">
        <f ca="1">IF(ISNUMBER(MATCH(DATEVALUE($A274),'recurring1_based on steps'!N$1:N$400,0)),N$2,)</f>
        <v>0</v>
      </c>
      <c r="O274" s="140">
        <f ca="1">IF(ISNUMBER(MATCH(DATEVALUE($A274),'recurring1_based on steps'!O$1:O$400,0)),O$2,)</f>
        <v>0</v>
      </c>
      <c r="P274" s="140">
        <f ca="1">IF(ISNUMBER(MATCH(DATEVALUE($A274),'recurring1_based on steps'!P$1:P$400,0)),P$2,)</f>
        <v>0</v>
      </c>
      <c r="Q274" s="140">
        <f ca="1">IF(ISNUMBER(MATCH(DATEVALUE($A274),'recurring1_based on steps'!Q$1:Q$400,0)),Q$2,)</f>
        <v>0</v>
      </c>
      <c r="R274" s="140">
        <f ca="1">IF(ISNUMBER(MATCH(DATEVALUE($A274),'recurring1_based on steps'!R$1:R$400,0)),R$2,)</f>
        <v>0</v>
      </c>
      <c r="S274" s="140">
        <f ca="1">IF(ISNUMBER(MATCH(DATEVALUE($A274),'recurring1_based on steps'!S$1:S$400,0)),S$2,)</f>
        <v>0</v>
      </c>
      <c r="T274" s="140">
        <f ca="1">IF(ISNUMBER(MATCH(DATEVALUE($A274),'recurring1_based on steps'!T$1:T$400,0)),T$2,)</f>
        <v>0</v>
      </c>
      <c r="U274" s="140">
        <f ca="1">IF(ISNUMBER(MATCH(DATEVALUE($A274),'recurring1_based on steps'!U$1:U$400,0)),U$2,)</f>
        <v>0</v>
      </c>
      <c r="V274" s="140">
        <f ca="1">IF(ISNUMBER(MATCH(DATEVALUE($A274),'recurring1_based on steps'!V$1:V$400,0)),V$2,)</f>
        <v>0</v>
      </c>
      <c r="W274" s="140">
        <f ca="1">IF(ISNUMBER(MATCH(DATEVALUE($A274),'recurring1_based on steps'!W$1:W$400,0)),W$2,)</f>
        <v>0</v>
      </c>
      <c r="X274" s="140">
        <f ca="1">IF(ISNUMBER(MATCH(DATEVALUE($A274),'recurring1_based on steps'!X$1:X$400,0)),X$2,)</f>
        <v>0</v>
      </c>
      <c r="Y274" s="140">
        <f ca="1">IF(ISNUMBER(MATCH(DATEVALUE($A274),'recurring1_based on steps'!Y$1:Y$400,0)),Y$2,)</f>
        <v>0</v>
      </c>
      <c r="Z274" s="140">
        <f ca="1">IF(ISNUMBER(MATCH(DATEVALUE($A274),'recurring1_based on steps'!Z$1:Z$400,0)),Z$2,)</f>
        <v>0</v>
      </c>
      <c r="AA274" s="140">
        <f ca="1">IF(ISNUMBER(MATCH(DATEVALUE($A274),'recurring1_based on steps'!AA$1:AA$400,0)),AA$2,)</f>
        <v>0</v>
      </c>
      <c r="AB274" s="140">
        <f ca="1">IF(ISNUMBER(MATCH(DATEVALUE($A274),'recurring1_based on steps'!AB$1:AB$400,0)),AB$2,)</f>
        <v>5.5401662049861494E-2</v>
      </c>
      <c r="AC274" s="140">
        <f ca="1">IF(ISNUMBER(MATCH(DATEVALUE($A274),'recurring1_based on steps'!AC$1:AC$400,0)),AC$2,)</f>
        <v>0</v>
      </c>
      <c r="AD274" s="140">
        <f ca="1">IF(ISNUMBER(MATCH(DATEVALUE($A274),'recurring1_based on steps'!AD$1:AD$400,0)),AD$2,)</f>
        <v>0</v>
      </c>
      <c r="AE274" s="140">
        <f ca="1">IF(ISNUMBER(MATCH(DATEVALUE($A274),'recurring1_based on steps'!AE$1:AE$400,0)),AE$2,)</f>
        <v>0</v>
      </c>
      <c r="AF274" s="140">
        <f ca="1">IF(ISNUMBER(MATCH(DATEVALUE($A274),'recurring1_based on steps'!AF$1:AF$400,0)),AF$2,)</f>
        <v>0</v>
      </c>
      <c r="AG274" s="140">
        <f ca="1">IF(ISNUMBER(MATCH(DATEVALUE($A274),'recurring1_based on steps'!AG$1:AG$400,0)),AG$2,)</f>
        <v>0</v>
      </c>
      <c r="AH274" s="140">
        <f ca="1">IF(ISNUMBER(MATCH(DATEVALUE($A274),'recurring1_based on steps'!AH$1:AH$400,0)),AH$2,)</f>
        <v>0</v>
      </c>
      <c r="AI274" s="140">
        <f ca="1">IF(ISNUMBER(MATCH(DATEVALUE($A274),'recurring1_based on steps'!AI$1:AI$400,0)),AI$2,)</f>
        <v>0</v>
      </c>
      <c r="AJ274" s="140">
        <f ca="1">IF(ISNUMBER(MATCH(DATEVALUE($A274),'recurring1_based on steps'!AJ$1:AJ$400,0)),AJ$2,)</f>
        <v>0</v>
      </c>
      <c r="AK274" s="140">
        <f ca="1">IF(ISNUMBER(MATCH(DATEVALUE($A274),'recurring1_based on steps'!AK$1:AK$400,0)),AK$2,)</f>
        <v>0</v>
      </c>
      <c r="AL274" s="140">
        <f ca="1">IF(ISNUMBER(MATCH(DATEVALUE($A274),'recurring1_based on steps'!AL$1:AL$400,0)),AL$2,)</f>
        <v>0</v>
      </c>
      <c r="AM274" s="140">
        <f ca="1">IF(ISNUMBER(MATCH(DATEVALUE($A274),'recurring1_based on steps'!AM$1:AM$400,0)),AM$2,)</f>
        <v>0</v>
      </c>
      <c r="AN274" s="140">
        <f ca="1">IF(ISNUMBER(MATCH(DATEVALUE($A274),'recurring1_based on steps'!AN$1:AN$400,0)),AN$2,)</f>
        <v>0</v>
      </c>
      <c r="AO274" s="140">
        <f ca="1">IF(ISNUMBER(MATCH(DATEVALUE($A274),'recurring1_based on steps'!AO$1:AO$400,0)),AO$2,)</f>
        <v>0</v>
      </c>
      <c r="AP274" s="140">
        <f ca="1">IF(ISNUMBER(MATCH(DATEVALUE($A274),'recurring1_based on steps'!AP$1:AP$400,0)),AP$2,)</f>
        <v>0</v>
      </c>
      <c r="AQ274" s="140">
        <f ca="1">IF(ISNUMBER(MATCH(DATEVALUE($A274),'recurring1_based on steps'!AQ$1:AQ$400,0)),AQ$2,)</f>
        <v>0</v>
      </c>
      <c r="AR274" s="140">
        <f ca="1">IF(ISNUMBER(MATCH(DATEVALUE($A274),'recurring1_based on steps'!AR$1:AR$400,0)),AR$2,)</f>
        <v>0</v>
      </c>
      <c r="AS274" s="140">
        <f ca="1">IF(ISNUMBER(MATCH(DATEVALUE($A274),'recurring1_based on steps'!AS$1:AS$400,0)),AS$2,)</f>
        <v>0</v>
      </c>
      <c r="AT274" s="140">
        <f ca="1">IF(ISNUMBER(MATCH(DATEVALUE($A274),'recurring1_based on steps'!AT$1:AT$400,0)),AT$2,)</f>
        <v>0</v>
      </c>
      <c r="AU274" s="140">
        <f ca="1">IF(ISNUMBER(MATCH(DATEVALUE($A274),'recurring1_based on steps'!AU$1:AU$400,0)),AU$2,)</f>
        <v>0</v>
      </c>
      <c r="AV274" s="140">
        <f ca="1">IF(ISNUMBER(MATCH(DATEVALUE($A274),'recurring1_based on steps'!AV$1:AV$400,0)),AV$2,)</f>
        <v>0</v>
      </c>
      <c r="AW274" s="140">
        <f ca="1">IF(ISNUMBER(MATCH(DATEVALUE($A274),'recurring1_based on steps'!AW$1:AW$400,0)),AW$2,)</f>
        <v>0</v>
      </c>
      <c r="AX274" s="140">
        <f ca="1">IF(ISNUMBER(MATCH(DATEVALUE($A274),'recurring1_based on steps'!AX$1:AX$400,0)),AX$2,)</f>
        <v>0</v>
      </c>
      <c r="AY274" s="140">
        <f ca="1">IF(ISNUMBER(MATCH(DATEVALUE($A274),'recurring1_based on steps'!AY$1:AY$400,0)),AY$2,)</f>
        <v>0</v>
      </c>
    </row>
    <row r="275" spans="1:51" x14ac:dyDescent="0.2">
      <c r="A275" s="29" t="str">
        <f t="shared" ca="1" si="4"/>
        <v>2025-12-24</v>
      </c>
      <c r="B275" s="140">
        <f ca="1">IF(ISNUMBER(MATCH(DATEVALUE($A275),'recurring1_based on steps'!B$1:B$400,0)),B$2,)</f>
        <v>0</v>
      </c>
      <c r="C275" s="140">
        <f ca="1">IF(ISNUMBER(MATCH(DATEVALUE($A275),'recurring1_based on steps'!C$1:C$400,0)),C$2,)</f>
        <v>0</v>
      </c>
      <c r="D275" s="140">
        <f ca="1">IF(ISNUMBER(MATCH(DATEVALUE($A275),'recurring1_based on steps'!D$1:D$400,0)),D$2,)</f>
        <v>0</v>
      </c>
      <c r="E275" s="140">
        <f ca="1">IF(ISNUMBER(MATCH(DATEVALUE($A275),'recurring1_based on steps'!E$1:E$400,0)),E$2,)</f>
        <v>0</v>
      </c>
      <c r="F275" s="140">
        <f ca="1">IF(ISNUMBER(MATCH(DATEVALUE($A275),'recurring1_based on steps'!F$1:F$400,0)),F$2,)</f>
        <v>0</v>
      </c>
      <c r="G275" s="140">
        <f ca="1">IF(ISNUMBER(MATCH(DATEVALUE($A275),'recurring1_based on steps'!G$1:G$400,0)),G$2,)</f>
        <v>0</v>
      </c>
      <c r="H275" s="140">
        <f ca="1">IF(ISNUMBER(MATCH(DATEVALUE($A275),'recurring1_based on steps'!H$1:H$400,0)),H$2,)</f>
        <v>0</v>
      </c>
      <c r="I275" s="140">
        <f ca="1">IF(ISNUMBER(MATCH(DATEVALUE($A275),'recurring1_based on steps'!I$1:I$400,0)),I$2,)</f>
        <v>0</v>
      </c>
      <c r="J275" s="140">
        <f ca="1">IF(ISNUMBER(MATCH(DATEVALUE($A275),'recurring1_based on steps'!J$1:J$400,0)),J$2,)</f>
        <v>0</v>
      </c>
      <c r="K275" s="140">
        <f ca="1">IF(ISNUMBER(MATCH(DATEVALUE($A275),'recurring1_based on steps'!K$1:K$400,0)),K$2,)</f>
        <v>0</v>
      </c>
      <c r="L275" s="140">
        <f ca="1">IF(ISNUMBER(MATCH(DATEVALUE($A275),'recurring1_based on steps'!L$1:L$400,0)),L$2,)</f>
        <v>0</v>
      </c>
      <c r="M275" s="140">
        <f ca="1">IF(ISNUMBER(MATCH(DATEVALUE($A275),'recurring1_based on steps'!M$1:M$400,0)),M$2,)</f>
        <v>0</v>
      </c>
      <c r="N275" s="140">
        <f ca="1">IF(ISNUMBER(MATCH(DATEVALUE($A275),'recurring1_based on steps'!N$1:N$400,0)),N$2,)</f>
        <v>0</v>
      </c>
      <c r="O275" s="140">
        <f ca="1">IF(ISNUMBER(MATCH(DATEVALUE($A275),'recurring1_based on steps'!O$1:O$400,0)),O$2,)</f>
        <v>0</v>
      </c>
      <c r="P275" s="140">
        <f ca="1">IF(ISNUMBER(MATCH(DATEVALUE($A275),'recurring1_based on steps'!P$1:P$400,0)),P$2,)</f>
        <v>0</v>
      </c>
      <c r="Q275" s="140">
        <f ca="1">IF(ISNUMBER(MATCH(DATEVALUE($A275),'recurring1_based on steps'!Q$1:Q$400,0)),Q$2,)</f>
        <v>0</v>
      </c>
      <c r="R275" s="140">
        <f ca="1">IF(ISNUMBER(MATCH(DATEVALUE($A275),'recurring1_based on steps'!R$1:R$400,0)),R$2,)</f>
        <v>0</v>
      </c>
      <c r="S275" s="140">
        <f ca="1">IF(ISNUMBER(MATCH(DATEVALUE($A275),'recurring1_based on steps'!S$1:S$400,0)),S$2,)</f>
        <v>0</v>
      </c>
      <c r="T275" s="140">
        <f ca="1">IF(ISNUMBER(MATCH(DATEVALUE($A275),'recurring1_based on steps'!T$1:T$400,0)),T$2,)</f>
        <v>0</v>
      </c>
      <c r="U275" s="140">
        <f ca="1">IF(ISNUMBER(MATCH(DATEVALUE($A275),'recurring1_based on steps'!U$1:U$400,0)),U$2,)</f>
        <v>50</v>
      </c>
      <c r="V275" s="140">
        <f ca="1">IF(ISNUMBER(MATCH(DATEVALUE($A275),'recurring1_based on steps'!V$1:V$400,0)),V$2,)</f>
        <v>0</v>
      </c>
      <c r="W275" s="140">
        <f ca="1">IF(ISNUMBER(MATCH(DATEVALUE($A275),'recurring1_based on steps'!W$1:W$400,0)),W$2,)</f>
        <v>0</v>
      </c>
      <c r="X275" s="140">
        <f ca="1">IF(ISNUMBER(MATCH(DATEVALUE($A275),'recurring1_based on steps'!X$1:X$400,0)),X$2,)</f>
        <v>0</v>
      </c>
      <c r="Y275" s="140">
        <f ca="1">IF(ISNUMBER(MATCH(DATEVALUE($A275),'recurring1_based on steps'!Y$1:Y$400,0)),Y$2,)</f>
        <v>0</v>
      </c>
      <c r="Z275" s="140">
        <f ca="1">IF(ISNUMBER(MATCH(DATEVALUE($A275),'recurring1_based on steps'!Z$1:Z$400,0)),Z$2,)</f>
        <v>0</v>
      </c>
      <c r="AA275" s="140">
        <f ca="1">IF(ISNUMBER(MATCH(DATEVALUE($A275),'recurring1_based on steps'!AA$1:AA$400,0)),AA$2,)</f>
        <v>0</v>
      </c>
      <c r="AB275" s="140">
        <f ca="1">IF(ISNUMBER(MATCH(DATEVALUE($A275),'recurring1_based on steps'!AB$1:AB$400,0)),AB$2,)</f>
        <v>5.5401662049861494E-2</v>
      </c>
      <c r="AC275" s="140">
        <f ca="1">IF(ISNUMBER(MATCH(DATEVALUE($A275),'recurring1_based on steps'!AC$1:AC$400,0)),AC$2,)</f>
        <v>0</v>
      </c>
      <c r="AD275" s="140">
        <f ca="1">IF(ISNUMBER(MATCH(DATEVALUE($A275),'recurring1_based on steps'!AD$1:AD$400,0)),AD$2,)</f>
        <v>0</v>
      </c>
      <c r="AE275" s="140">
        <f ca="1">IF(ISNUMBER(MATCH(DATEVALUE($A275),'recurring1_based on steps'!AE$1:AE$400,0)),AE$2,)</f>
        <v>0</v>
      </c>
      <c r="AF275" s="140">
        <f ca="1">IF(ISNUMBER(MATCH(DATEVALUE($A275),'recurring1_based on steps'!AF$1:AF$400,0)),AF$2,)</f>
        <v>0</v>
      </c>
      <c r="AG275" s="140">
        <f ca="1">IF(ISNUMBER(MATCH(DATEVALUE($A275),'recurring1_based on steps'!AG$1:AG$400,0)),AG$2,)</f>
        <v>0</v>
      </c>
      <c r="AH275" s="140">
        <f ca="1">IF(ISNUMBER(MATCH(DATEVALUE($A275),'recurring1_based on steps'!AH$1:AH$400,0)),AH$2,)</f>
        <v>0</v>
      </c>
      <c r="AI275" s="140">
        <f ca="1">IF(ISNUMBER(MATCH(DATEVALUE($A275),'recurring1_based on steps'!AI$1:AI$400,0)),AI$2,)</f>
        <v>0</v>
      </c>
      <c r="AJ275" s="140">
        <f ca="1">IF(ISNUMBER(MATCH(DATEVALUE($A275),'recurring1_based on steps'!AJ$1:AJ$400,0)),AJ$2,)</f>
        <v>0</v>
      </c>
      <c r="AK275" s="140">
        <f ca="1">IF(ISNUMBER(MATCH(DATEVALUE($A275),'recurring1_based on steps'!AK$1:AK$400,0)),AK$2,)</f>
        <v>0</v>
      </c>
      <c r="AL275" s="140">
        <f ca="1">IF(ISNUMBER(MATCH(DATEVALUE($A275),'recurring1_based on steps'!AL$1:AL$400,0)),AL$2,)</f>
        <v>0</v>
      </c>
      <c r="AM275" s="140">
        <f ca="1">IF(ISNUMBER(MATCH(DATEVALUE($A275),'recurring1_based on steps'!AM$1:AM$400,0)),AM$2,)</f>
        <v>0</v>
      </c>
      <c r="AN275" s="140">
        <f ca="1">IF(ISNUMBER(MATCH(DATEVALUE($A275),'recurring1_based on steps'!AN$1:AN$400,0)),AN$2,)</f>
        <v>0</v>
      </c>
      <c r="AO275" s="140">
        <f ca="1">IF(ISNUMBER(MATCH(DATEVALUE($A275),'recurring1_based on steps'!AO$1:AO$400,0)),AO$2,)</f>
        <v>0</v>
      </c>
      <c r="AP275" s="140">
        <f ca="1">IF(ISNUMBER(MATCH(DATEVALUE($A275),'recurring1_based on steps'!AP$1:AP$400,0)),AP$2,)</f>
        <v>0</v>
      </c>
      <c r="AQ275" s="140">
        <f ca="1">IF(ISNUMBER(MATCH(DATEVALUE($A275),'recurring1_based on steps'!AQ$1:AQ$400,0)),AQ$2,)</f>
        <v>0</v>
      </c>
      <c r="AR275" s="140">
        <f ca="1">IF(ISNUMBER(MATCH(DATEVALUE($A275),'recurring1_based on steps'!AR$1:AR$400,0)),AR$2,)</f>
        <v>0</v>
      </c>
      <c r="AS275" s="140">
        <f ca="1">IF(ISNUMBER(MATCH(DATEVALUE($A275),'recurring1_based on steps'!AS$1:AS$400,0)),AS$2,)</f>
        <v>0</v>
      </c>
      <c r="AT275" s="140">
        <f ca="1">IF(ISNUMBER(MATCH(DATEVALUE($A275),'recurring1_based on steps'!AT$1:AT$400,0)),AT$2,)</f>
        <v>0</v>
      </c>
      <c r="AU275" s="140">
        <f ca="1">IF(ISNUMBER(MATCH(DATEVALUE($A275),'recurring1_based on steps'!AU$1:AU$400,0)),AU$2,)</f>
        <v>0</v>
      </c>
      <c r="AV275" s="140">
        <f ca="1">IF(ISNUMBER(MATCH(DATEVALUE($A275),'recurring1_based on steps'!AV$1:AV$400,0)),AV$2,)</f>
        <v>0</v>
      </c>
      <c r="AW275" s="140">
        <f ca="1">IF(ISNUMBER(MATCH(DATEVALUE($A275),'recurring1_based on steps'!AW$1:AW$400,0)),AW$2,)</f>
        <v>0</v>
      </c>
      <c r="AX275" s="140">
        <f ca="1">IF(ISNUMBER(MATCH(DATEVALUE($A275),'recurring1_based on steps'!AX$1:AX$400,0)),AX$2,)</f>
        <v>0</v>
      </c>
      <c r="AY275" s="140">
        <f ca="1">IF(ISNUMBER(MATCH(DATEVALUE($A275),'recurring1_based on steps'!AY$1:AY$400,0)),AY$2,)</f>
        <v>0</v>
      </c>
    </row>
    <row r="276" spans="1:51" x14ac:dyDescent="0.2">
      <c r="A276" s="29" t="str">
        <f t="shared" ca="1" si="4"/>
        <v>2025-12-25</v>
      </c>
      <c r="B276" s="140">
        <f ca="1">IF(ISNUMBER(MATCH(DATEVALUE($A276),'recurring1_based on steps'!B$1:B$400,0)),B$2,)</f>
        <v>0</v>
      </c>
      <c r="C276" s="140">
        <f ca="1">IF(ISNUMBER(MATCH(DATEVALUE($A276),'recurring1_based on steps'!C$1:C$400,0)),C$2,)</f>
        <v>0</v>
      </c>
      <c r="D276" s="140">
        <f ca="1">IF(ISNUMBER(MATCH(DATEVALUE($A276),'recurring1_based on steps'!D$1:D$400,0)),D$2,)</f>
        <v>0</v>
      </c>
      <c r="E276" s="140">
        <f ca="1">IF(ISNUMBER(MATCH(DATEVALUE($A276),'recurring1_based on steps'!E$1:E$400,0)),E$2,)</f>
        <v>0</v>
      </c>
      <c r="F276" s="140">
        <f ca="1">IF(ISNUMBER(MATCH(DATEVALUE($A276),'recurring1_based on steps'!F$1:F$400,0)),F$2,)</f>
        <v>0</v>
      </c>
      <c r="G276" s="140">
        <f ca="1">IF(ISNUMBER(MATCH(DATEVALUE($A276),'recurring1_based on steps'!G$1:G$400,0)),G$2,)</f>
        <v>0</v>
      </c>
      <c r="H276" s="140">
        <f ca="1">IF(ISNUMBER(MATCH(DATEVALUE($A276),'recurring1_based on steps'!H$1:H$400,0)),H$2,)</f>
        <v>0</v>
      </c>
      <c r="I276" s="140">
        <f ca="1">IF(ISNUMBER(MATCH(DATEVALUE($A276),'recurring1_based on steps'!I$1:I$400,0)),I$2,)</f>
        <v>0</v>
      </c>
      <c r="J276" s="140">
        <f ca="1">IF(ISNUMBER(MATCH(DATEVALUE($A276),'recurring1_based on steps'!J$1:J$400,0)),J$2,)</f>
        <v>0</v>
      </c>
      <c r="K276" s="140">
        <f ca="1">IF(ISNUMBER(MATCH(DATEVALUE($A276),'recurring1_based on steps'!K$1:K$400,0)),K$2,)</f>
        <v>0</v>
      </c>
      <c r="L276" s="140">
        <f ca="1">IF(ISNUMBER(MATCH(DATEVALUE($A276),'recurring1_based on steps'!L$1:L$400,0)),L$2,)</f>
        <v>0</v>
      </c>
      <c r="M276" s="140">
        <f ca="1">IF(ISNUMBER(MATCH(DATEVALUE($A276),'recurring1_based on steps'!M$1:M$400,0)),M$2,)</f>
        <v>0</v>
      </c>
      <c r="N276" s="140">
        <f ca="1">IF(ISNUMBER(MATCH(DATEVALUE($A276),'recurring1_based on steps'!N$1:N$400,0)),N$2,)</f>
        <v>0</v>
      </c>
      <c r="O276" s="140">
        <f ca="1">IF(ISNUMBER(MATCH(DATEVALUE($A276),'recurring1_based on steps'!O$1:O$400,0)),O$2,)</f>
        <v>0</v>
      </c>
      <c r="P276" s="140">
        <f ca="1">IF(ISNUMBER(MATCH(DATEVALUE($A276),'recurring1_based on steps'!P$1:P$400,0)),P$2,)</f>
        <v>0</v>
      </c>
      <c r="Q276" s="140">
        <f ca="1">IF(ISNUMBER(MATCH(DATEVALUE($A276),'recurring1_based on steps'!Q$1:Q$400,0)),Q$2,)</f>
        <v>0</v>
      </c>
      <c r="R276" s="140">
        <f ca="1">IF(ISNUMBER(MATCH(DATEVALUE($A276),'recurring1_based on steps'!R$1:R$400,0)),R$2,)</f>
        <v>0</v>
      </c>
      <c r="S276" s="140">
        <f ca="1">IF(ISNUMBER(MATCH(DATEVALUE($A276),'recurring1_based on steps'!S$1:S$400,0)),S$2,)</f>
        <v>0</v>
      </c>
      <c r="T276" s="140">
        <f ca="1">IF(ISNUMBER(MATCH(DATEVALUE($A276),'recurring1_based on steps'!T$1:T$400,0)),T$2,)</f>
        <v>0</v>
      </c>
      <c r="U276" s="140">
        <f ca="1">IF(ISNUMBER(MATCH(DATEVALUE($A276),'recurring1_based on steps'!U$1:U$400,0)),U$2,)</f>
        <v>0</v>
      </c>
      <c r="V276" s="140">
        <f ca="1">IF(ISNUMBER(MATCH(DATEVALUE($A276),'recurring1_based on steps'!V$1:V$400,0)),V$2,)</f>
        <v>0</v>
      </c>
      <c r="W276" s="140">
        <f ca="1">IF(ISNUMBER(MATCH(DATEVALUE($A276),'recurring1_based on steps'!W$1:W$400,0)),W$2,)</f>
        <v>0</v>
      </c>
      <c r="X276" s="140">
        <f ca="1">IF(ISNUMBER(MATCH(DATEVALUE($A276),'recurring1_based on steps'!X$1:X$400,0)),X$2,)</f>
        <v>0</v>
      </c>
      <c r="Y276" s="140">
        <f ca="1">IF(ISNUMBER(MATCH(DATEVALUE($A276),'recurring1_based on steps'!Y$1:Y$400,0)),Y$2,)</f>
        <v>0</v>
      </c>
      <c r="Z276" s="140">
        <f ca="1">IF(ISNUMBER(MATCH(DATEVALUE($A276),'recurring1_based on steps'!Z$1:Z$400,0)),Z$2,)</f>
        <v>0</v>
      </c>
      <c r="AA276" s="140">
        <f ca="1">IF(ISNUMBER(MATCH(DATEVALUE($A276),'recurring1_based on steps'!AA$1:AA$400,0)),AA$2,)</f>
        <v>0</v>
      </c>
      <c r="AB276" s="140">
        <f ca="1">IF(ISNUMBER(MATCH(DATEVALUE($A276),'recurring1_based on steps'!AB$1:AB$400,0)),AB$2,)</f>
        <v>5.5401662049861494E-2</v>
      </c>
      <c r="AC276" s="140">
        <f ca="1">IF(ISNUMBER(MATCH(DATEVALUE($A276),'recurring1_based on steps'!AC$1:AC$400,0)),AC$2,)</f>
        <v>0</v>
      </c>
      <c r="AD276" s="140">
        <f ca="1">IF(ISNUMBER(MATCH(DATEVALUE($A276),'recurring1_based on steps'!AD$1:AD$400,0)),AD$2,)</f>
        <v>0</v>
      </c>
      <c r="AE276" s="140">
        <f ca="1">IF(ISNUMBER(MATCH(DATEVALUE($A276),'recurring1_based on steps'!AE$1:AE$400,0)),AE$2,)</f>
        <v>0</v>
      </c>
      <c r="AF276" s="140">
        <f ca="1">IF(ISNUMBER(MATCH(DATEVALUE($A276),'recurring1_based on steps'!AF$1:AF$400,0)),AF$2,)</f>
        <v>0</v>
      </c>
      <c r="AG276" s="140">
        <f ca="1">IF(ISNUMBER(MATCH(DATEVALUE($A276),'recurring1_based on steps'!AG$1:AG$400,0)),AG$2,)</f>
        <v>0</v>
      </c>
      <c r="AH276" s="140">
        <f ca="1">IF(ISNUMBER(MATCH(DATEVALUE($A276),'recurring1_based on steps'!AH$1:AH$400,0)),AH$2,)</f>
        <v>0</v>
      </c>
      <c r="AI276" s="140">
        <f ca="1">IF(ISNUMBER(MATCH(DATEVALUE($A276),'recurring1_based on steps'!AI$1:AI$400,0)),AI$2,)</f>
        <v>0</v>
      </c>
      <c r="AJ276" s="140">
        <f ca="1">IF(ISNUMBER(MATCH(DATEVALUE($A276),'recurring1_based on steps'!AJ$1:AJ$400,0)),AJ$2,)</f>
        <v>0</v>
      </c>
      <c r="AK276" s="140">
        <f ca="1">IF(ISNUMBER(MATCH(DATEVALUE($A276),'recurring1_based on steps'!AK$1:AK$400,0)),AK$2,)</f>
        <v>0</v>
      </c>
      <c r="AL276" s="140">
        <f ca="1">IF(ISNUMBER(MATCH(DATEVALUE($A276),'recurring1_based on steps'!AL$1:AL$400,0)),AL$2,)</f>
        <v>0</v>
      </c>
      <c r="AM276" s="140">
        <f ca="1">IF(ISNUMBER(MATCH(DATEVALUE($A276),'recurring1_based on steps'!AM$1:AM$400,0)),AM$2,)</f>
        <v>0</v>
      </c>
      <c r="AN276" s="140">
        <f ca="1">IF(ISNUMBER(MATCH(DATEVALUE($A276),'recurring1_based on steps'!AN$1:AN$400,0)),AN$2,)</f>
        <v>0</v>
      </c>
      <c r="AO276" s="140">
        <f ca="1">IF(ISNUMBER(MATCH(DATEVALUE($A276),'recurring1_based on steps'!AO$1:AO$400,0)),AO$2,)</f>
        <v>0</v>
      </c>
      <c r="AP276" s="140">
        <f ca="1">IF(ISNUMBER(MATCH(DATEVALUE($A276),'recurring1_based on steps'!AP$1:AP$400,0)),AP$2,)</f>
        <v>0</v>
      </c>
      <c r="AQ276" s="140">
        <f ca="1">IF(ISNUMBER(MATCH(DATEVALUE($A276),'recurring1_based on steps'!AQ$1:AQ$400,0)),AQ$2,)</f>
        <v>0</v>
      </c>
      <c r="AR276" s="140">
        <f ca="1">IF(ISNUMBER(MATCH(DATEVALUE($A276),'recurring1_based on steps'!AR$1:AR$400,0)),AR$2,)</f>
        <v>0</v>
      </c>
      <c r="AS276" s="140">
        <f ca="1">IF(ISNUMBER(MATCH(DATEVALUE($A276),'recurring1_based on steps'!AS$1:AS$400,0)),AS$2,)</f>
        <v>0</v>
      </c>
      <c r="AT276" s="140">
        <f ca="1">IF(ISNUMBER(MATCH(DATEVALUE($A276),'recurring1_based on steps'!AT$1:AT$400,0)),AT$2,)</f>
        <v>0</v>
      </c>
      <c r="AU276" s="140">
        <f ca="1">IF(ISNUMBER(MATCH(DATEVALUE($A276),'recurring1_based on steps'!AU$1:AU$400,0)),AU$2,)</f>
        <v>0</v>
      </c>
      <c r="AV276" s="140">
        <f ca="1">IF(ISNUMBER(MATCH(DATEVALUE($A276),'recurring1_based on steps'!AV$1:AV$400,0)),AV$2,)</f>
        <v>0</v>
      </c>
      <c r="AW276" s="140">
        <f ca="1">IF(ISNUMBER(MATCH(DATEVALUE($A276),'recurring1_based on steps'!AW$1:AW$400,0)),AW$2,)</f>
        <v>0</v>
      </c>
      <c r="AX276" s="140">
        <f ca="1">IF(ISNUMBER(MATCH(DATEVALUE($A276),'recurring1_based on steps'!AX$1:AX$400,0)),AX$2,)</f>
        <v>0</v>
      </c>
      <c r="AY276" s="140">
        <f ca="1">IF(ISNUMBER(MATCH(DATEVALUE($A276),'recurring1_based on steps'!AY$1:AY$400,0)),AY$2,)</f>
        <v>0</v>
      </c>
    </row>
    <row r="277" spans="1:51" x14ac:dyDescent="0.2">
      <c r="A277" s="29" t="str">
        <f t="shared" ca="1" si="4"/>
        <v>2025-12-26</v>
      </c>
      <c r="B277" s="140">
        <f ca="1">IF(ISNUMBER(MATCH(DATEVALUE($A277),'recurring1_based on steps'!B$1:B$400,0)),B$2,)</f>
        <v>4000</v>
      </c>
      <c r="C277" s="140">
        <f ca="1">IF(ISNUMBER(MATCH(DATEVALUE($A277),'recurring1_based on steps'!C$1:C$400,0)),C$2,)</f>
        <v>200</v>
      </c>
      <c r="D277" s="140">
        <f ca="1">IF(ISNUMBER(MATCH(DATEVALUE($A277),'recurring1_based on steps'!D$1:D$400,0)),D$2,)</f>
        <v>2</v>
      </c>
      <c r="E277" s="140">
        <f ca="1">IF(ISNUMBER(MATCH(DATEVALUE($A277),'recurring1_based on steps'!E$1:E$400,0)),E$2,)</f>
        <v>40</v>
      </c>
      <c r="F277" s="140">
        <f ca="1">IF(ISNUMBER(MATCH(DATEVALUE($A277),'recurring1_based on steps'!F$1:F$400,0)),F$2,)</f>
        <v>50</v>
      </c>
      <c r="G277" s="140">
        <f ca="1">IF(ISNUMBER(MATCH(DATEVALUE($A277),'recurring1_based on steps'!G$1:G$400,0)),G$2,)</f>
        <v>4</v>
      </c>
      <c r="H277" s="140">
        <f ca="1">IF(ISNUMBER(MATCH(DATEVALUE($A277),'recurring1_based on steps'!H$1:H$400,0)),H$2,)</f>
        <v>0</v>
      </c>
      <c r="I277" s="140">
        <f ca="1">IF(ISNUMBER(MATCH(DATEVALUE($A277),'recurring1_based on steps'!I$1:I$400,0)),I$2,)</f>
        <v>0</v>
      </c>
      <c r="J277" s="140">
        <f ca="1">IF(ISNUMBER(MATCH(DATEVALUE($A277),'recurring1_based on steps'!J$1:J$400,0)),J$2,)</f>
        <v>0</v>
      </c>
      <c r="K277" s="140">
        <f ca="1">IF(ISNUMBER(MATCH(DATEVALUE($A277),'recurring1_based on steps'!K$1:K$400,0)),K$2,)</f>
        <v>0</v>
      </c>
      <c r="L277" s="140">
        <f ca="1">IF(ISNUMBER(MATCH(DATEVALUE($A277),'recurring1_based on steps'!L$1:L$400,0)),L$2,)</f>
        <v>0</v>
      </c>
      <c r="M277" s="140">
        <f ca="1">IF(ISNUMBER(MATCH(DATEVALUE($A277),'recurring1_based on steps'!M$1:M$400,0)),M$2,)</f>
        <v>0</v>
      </c>
      <c r="N277" s="140">
        <f ca="1">IF(ISNUMBER(MATCH(DATEVALUE($A277),'recurring1_based on steps'!N$1:N$400,0)),N$2,)</f>
        <v>0</v>
      </c>
      <c r="O277" s="140">
        <f ca="1">IF(ISNUMBER(MATCH(DATEVALUE($A277),'recurring1_based on steps'!O$1:O$400,0)),O$2,)</f>
        <v>0</v>
      </c>
      <c r="P277" s="140">
        <f ca="1">IF(ISNUMBER(MATCH(DATEVALUE($A277),'recurring1_based on steps'!P$1:P$400,0)),P$2,)</f>
        <v>0</v>
      </c>
      <c r="Q277" s="140">
        <f ca="1">IF(ISNUMBER(MATCH(DATEVALUE($A277),'recurring1_based on steps'!Q$1:Q$400,0)),Q$2,)</f>
        <v>0</v>
      </c>
      <c r="R277" s="140">
        <f ca="1">IF(ISNUMBER(MATCH(DATEVALUE($A277),'recurring1_based on steps'!R$1:R$400,0)),R$2,)</f>
        <v>0</v>
      </c>
      <c r="S277" s="140">
        <f ca="1">IF(ISNUMBER(MATCH(DATEVALUE($A277),'recurring1_based on steps'!S$1:S$400,0)),S$2,)</f>
        <v>0</v>
      </c>
      <c r="T277" s="140">
        <f ca="1">IF(ISNUMBER(MATCH(DATEVALUE($A277),'recurring1_based on steps'!T$1:T$400,0)),T$2,)</f>
        <v>0</v>
      </c>
      <c r="U277" s="140">
        <f ca="1">IF(ISNUMBER(MATCH(DATEVALUE($A277),'recurring1_based on steps'!U$1:U$400,0)),U$2,)</f>
        <v>0</v>
      </c>
      <c r="V277" s="140">
        <f ca="1">IF(ISNUMBER(MATCH(DATEVALUE($A277),'recurring1_based on steps'!V$1:V$400,0)),V$2,)</f>
        <v>0</v>
      </c>
      <c r="W277" s="140">
        <f ca="1">IF(ISNUMBER(MATCH(DATEVALUE($A277),'recurring1_based on steps'!W$1:W$400,0)),W$2,)</f>
        <v>0</v>
      </c>
      <c r="X277" s="140">
        <f ca="1">IF(ISNUMBER(MATCH(DATEVALUE($A277),'recurring1_based on steps'!X$1:X$400,0)),X$2,)</f>
        <v>50</v>
      </c>
      <c r="Y277" s="140">
        <f ca="1">IF(ISNUMBER(MATCH(DATEVALUE($A277),'recurring1_based on steps'!Y$1:Y$400,0)),Y$2,)</f>
        <v>50</v>
      </c>
      <c r="Z277" s="140">
        <f ca="1">IF(ISNUMBER(MATCH(DATEVALUE($A277),'recurring1_based on steps'!Z$1:Z$400,0)),Z$2,)</f>
        <v>0</v>
      </c>
      <c r="AA277" s="140">
        <f ca="1">IF(ISNUMBER(MATCH(DATEVALUE($A277),'recurring1_based on steps'!AA$1:AA$400,0)),AA$2,)</f>
        <v>0</v>
      </c>
      <c r="AB277" s="140">
        <f ca="1">IF(ISNUMBER(MATCH(DATEVALUE($A277),'recurring1_based on steps'!AB$1:AB$400,0)),AB$2,)</f>
        <v>5.5401662049861494E-2</v>
      </c>
      <c r="AC277" s="140">
        <f ca="1">IF(ISNUMBER(MATCH(DATEVALUE($A277),'recurring1_based on steps'!AC$1:AC$400,0)),AC$2,)</f>
        <v>0</v>
      </c>
      <c r="AD277" s="140">
        <f ca="1">IF(ISNUMBER(MATCH(DATEVALUE($A277),'recurring1_based on steps'!AD$1:AD$400,0)),AD$2,)</f>
        <v>0</v>
      </c>
      <c r="AE277" s="140">
        <f ca="1">IF(ISNUMBER(MATCH(DATEVALUE($A277),'recurring1_based on steps'!AE$1:AE$400,0)),AE$2,)</f>
        <v>0</v>
      </c>
      <c r="AF277" s="140">
        <f ca="1">IF(ISNUMBER(MATCH(DATEVALUE($A277),'recurring1_based on steps'!AF$1:AF$400,0)),AF$2,)</f>
        <v>0</v>
      </c>
      <c r="AG277" s="140">
        <f ca="1">IF(ISNUMBER(MATCH(DATEVALUE($A277),'recurring1_based on steps'!AG$1:AG$400,0)),AG$2,)</f>
        <v>0</v>
      </c>
      <c r="AH277" s="140">
        <f ca="1">IF(ISNUMBER(MATCH(DATEVALUE($A277),'recurring1_based on steps'!AH$1:AH$400,0)),AH$2,)</f>
        <v>0</v>
      </c>
      <c r="AI277" s="140">
        <f ca="1">IF(ISNUMBER(MATCH(DATEVALUE($A277),'recurring1_based on steps'!AI$1:AI$400,0)),AI$2,)</f>
        <v>0</v>
      </c>
      <c r="AJ277" s="140">
        <f ca="1">IF(ISNUMBER(MATCH(DATEVALUE($A277),'recurring1_based on steps'!AJ$1:AJ$400,0)),AJ$2,)</f>
        <v>0</v>
      </c>
      <c r="AK277" s="140">
        <f ca="1">IF(ISNUMBER(MATCH(DATEVALUE($A277),'recurring1_based on steps'!AK$1:AK$400,0)),AK$2,)</f>
        <v>0</v>
      </c>
      <c r="AL277" s="140">
        <f ca="1">IF(ISNUMBER(MATCH(DATEVALUE($A277),'recurring1_based on steps'!AL$1:AL$400,0)),AL$2,)</f>
        <v>0</v>
      </c>
      <c r="AM277" s="140">
        <f ca="1">IF(ISNUMBER(MATCH(DATEVALUE($A277),'recurring1_based on steps'!AM$1:AM$400,0)),AM$2,)</f>
        <v>0</v>
      </c>
      <c r="AN277" s="140">
        <f ca="1">IF(ISNUMBER(MATCH(DATEVALUE($A277),'recurring1_based on steps'!AN$1:AN$400,0)),AN$2,)</f>
        <v>0</v>
      </c>
      <c r="AO277" s="140">
        <f ca="1">IF(ISNUMBER(MATCH(DATEVALUE($A277),'recurring1_based on steps'!AO$1:AO$400,0)),AO$2,)</f>
        <v>0</v>
      </c>
      <c r="AP277" s="140">
        <f ca="1">IF(ISNUMBER(MATCH(DATEVALUE($A277),'recurring1_based on steps'!AP$1:AP$400,0)),AP$2,)</f>
        <v>0</v>
      </c>
      <c r="AQ277" s="140">
        <f ca="1">IF(ISNUMBER(MATCH(DATEVALUE($A277),'recurring1_based on steps'!AQ$1:AQ$400,0)),AQ$2,)</f>
        <v>0</v>
      </c>
      <c r="AR277" s="140">
        <f ca="1">IF(ISNUMBER(MATCH(DATEVALUE($A277),'recurring1_based on steps'!AR$1:AR$400,0)),AR$2,)</f>
        <v>0</v>
      </c>
      <c r="AS277" s="140">
        <f ca="1">IF(ISNUMBER(MATCH(DATEVALUE($A277),'recurring1_based on steps'!AS$1:AS$400,0)),AS$2,)</f>
        <v>0</v>
      </c>
      <c r="AT277" s="140">
        <f ca="1">IF(ISNUMBER(MATCH(DATEVALUE($A277),'recurring1_based on steps'!AT$1:AT$400,0)),AT$2,)</f>
        <v>0</v>
      </c>
      <c r="AU277" s="140">
        <f ca="1">IF(ISNUMBER(MATCH(DATEVALUE($A277),'recurring1_based on steps'!AU$1:AU$400,0)),AU$2,)</f>
        <v>0</v>
      </c>
      <c r="AV277" s="140">
        <f ca="1">IF(ISNUMBER(MATCH(DATEVALUE($A277),'recurring1_based on steps'!AV$1:AV$400,0)),AV$2,)</f>
        <v>0</v>
      </c>
      <c r="AW277" s="140">
        <f ca="1">IF(ISNUMBER(MATCH(DATEVALUE($A277),'recurring1_based on steps'!AW$1:AW$400,0)),AW$2,)</f>
        <v>0</v>
      </c>
      <c r="AX277" s="140">
        <f ca="1">IF(ISNUMBER(MATCH(DATEVALUE($A277),'recurring1_based on steps'!AX$1:AX$400,0)),AX$2,)</f>
        <v>0</v>
      </c>
      <c r="AY277" s="140">
        <f ca="1">IF(ISNUMBER(MATCH(DATEVALUE($A277),'recurring1_based on steps'!AY$1:AY$400,0)),AY$2,)</f>
        <v>0</v>
      </c>
    </row>
    <row r="278" spans="1:51" x14ac:dyDescent="0.2">
      <c r="A278" s="29" t="str">
        <f t="shared" ca="1" si="4"/>
        <v>2025-12-27</v>
      </c>
      <c r="B278" s="140">
        <f ca="1">IF(ISNUMBER(MATCH(DATEVALUE($A278),'recurring1_based on steps'!B$1:B$400,0)),B$2,)</f>
        <v>0</v>
      </c>
      <c r="C278" s="140">
        <f ca="1">IF(ISNUMBER(MATCH(DATEVALUE($A278),'recurring1_based on steps'!C$1:C$400,0)),C$2,)</f>
        <v>0</v>
      </c>
      <c r="D278" s="140">
        <f ca="1">IF(ISNUMBER(MATCH(DATEVALUE($A278),'recurring1_based on steps'!D$1:D$400,0)),D$2,)</f>
        <v>0</v>
      </c>
      <c r="E278" s="140">
        <f ca="1">IF(ISNUMBER(MATCH(DATEVALUE($A278),'recurring1_based on steps'!E$1:E$400,0)),E$2,)</f>
        <v>0</v>
      </c>
      <c r="F278" s="140">
        <f ca="1">IF(ISNUMBER(MATCH(DATEVALUE($A278),'recurring1_based on steps'!F$1:F$400,0)),F$2,)</f>
        <v>0</v>
      </c>
      <c r="G278" s="140">
        <f ca="1">IF(ISNUMBER(MATCH(DATEVALUE($A278),'recurring1_based on steps'!G$1:G$400,0)),G$2,)</f>
        <v>0</v>
      </c>
      <c r="H278" s="140">
        <f ca="1">IF(ISNUMBER(MATCH(DATEVALUE($A278),'recurring1_based on steps'!H$1:H$400,0)),H$2,)</f>
        <v>0</v>
      </c>
      <c r="I278" s="140">
        <f ca="1">IF(ISNUMBER(MATCH(DATEVALUE($A278),'recurring1_based on steps'!I$1:I$400,0)),I$2,)</f>
        <v>0</v>
      </c>
      <c r="J278" s="140">
        <f ca="1">IF(ISNUMBER(MATCH(DATEVALUE($A278),'recurring1_based on steps'!J$1:J$400,0)),J$2,)</f>
        <v>0</v>
      </c>
      <c r="K278" s="140">
        <f ca="1">IF(ISNUMBER(MATCH(DATEVALUE($A278),'recurring1_based on steps'!K$1:K$400,0)),K$2,)</f>
        <v>0</v>
      </c>
      <c r="L278" s="140">
        <f ca="1">IF(ISNUMBER(MATCH(DATEVALUE($A278),'recurring1_based on steps'!L$1:L$400,0)),L$2,)</f>
        <v>0</v>
      </c>
      <c r="M278" s="140">
        <f ca="1">IF(ISNUMBER(MATCH(DATEVALUE($A278),'recurring1_based on steps'!M$1:M$400,0)),M$2,)</f>
        <v>0</v>
      </c>
      <c r="N278" s="140">
        <f ca="1">IF(ISNUMBER(MATCH(DATEVALUE($A278),'recurring1_based on steps'!N$1:N$400,0)),N$2,)</f>
        <v>0</v>
      </c>
      <c r="O278" s="140">
        <f ca="1">IF(ISNUMBER(MATCH(DATEVALUE($A278),'recurring1_based on steps'!O$1:O$400,0)),O$2,)</f>
        <v>0</v>
      </c>
      <c r="P278" s="140">
        <f ca="1">IF(ISNUMBER(MATCH(DATEVALUE($A278),'recurring1_based on steps'!P$1:P$400,0)),P$2,)</f>
        <v>2.99</v>
      </c>
      <c r="Q278" s="140">
        <f ca="1">IF(ISNUMBER(MATCH(DATEVALUE($A278),'recurring1_based on steps'!Q$1:Q$400,0)),Q$2,)</f>
        <v>100</v>
      </c>
      <c r="R278" s="140">
        <f ca="1">IF(ISNUMBER(MATCH(DATEVALUE($A278),'recurring1_based on steps'!R$1:R$400,0)),R$2,)</f>
        <v>100</v>
      </c>
      <c r="S278" s="140">
        <f ca="1">IF(ISNUMBER(MATCH(DATEVALUE($A278),'recurring1_based on steps'!S$1:S$400,0)),S$2,)</f>
        <v>0</v>
      </c>
      <c r="T278" s="140">
        <f ca="1">IF(ISNUMBER(MATCH(DATEVALUE($A278),'recurring1_based on steps'!T$1:T$400,0)),T$2,)</f>
        <v>0</v>
      </c>
      <c r="U278" s="140">
        <f ca="1">IF(ISNUMBER(MATCH(DATEVALUE($A278),'recurring1_based on steps'!U$1:U$400,0)),U$2,)</f>
        <v>0</v>
      </c>
      <c r="V278" s="140">
        <f ca="1">IF(ISNUMBER(MATCH(DATEVALUE($A278),'recurring1_based on steps'!V$1:V$400,0)),V$2,)</f>
        <v>0</v>
      </c>
      <c r="W278" s="140">
        <f ca="1">IF(ISNUMBER(MATCH(DATEVALUE($A278),'recurring1_based on steps'!W$1:W$400,0)),W$2,)</f>
        <v>0</v>
      </c>
      <c r="X278" s="140">
        <f ca="1">IF(ISNUMBER(MATCH(DATEVALUE($A278),'recurring1_based on steps'!X$1:X$400,0)),X$2,)</f>
        <v>0</v>
      </c>
      <c r="Y278" s="140">
        <f ca="1">IF(ISNUMBER(MATCH(DATEVALUE($A278),'recurring1_based on steps'!Y$1:Y$400,0)),Y$2,)</f>
        <v>0</v>
      </c>
      <c r="Z278" s="140">
        <f ca="1">IF(ISNUMBER(MATCH(DATEVALUE($A278),'recurring1_based on steps'!Z$1:Z$400,0)),Z$2,)</f>
        <v>0</v>
      </c>
      <c r="AA278" s="140">
        <f ca="1">IF(ISNUMBER(MATCH(DATEVALUE($A278),'recurring1_based on steps'!AA$1:AA$400,0)),AA$2,)</f>
        <v>0</v>
      </c>
      <c r="AB278" s="140">
        <f ca="1">IF(ISNUMBER(MATCH(DATEVALUE($A278),'recurring1_based on steps'!AB$1:AB$400,0)),AB$2,)</f>
        <v>5.5401662049861494E-2</v>
      </c>
      <c r="AC278" s="140">
        <f ca="1">IF(ISNUMBER(MATCH(DATEVALUE($A278),'recurring1_based on steps'!AC$1:AC$400,0)),AC$2,)</f>
        <v>0</v>
      </c>
      <c r="AD278" s="140">
        <f ca="1">IF(ISNUMBER(MATCH(DATEVALUE($A278),'recurring1_based on steps'!AD$1:AD$400,0)),AD$2,)</f>
        <v>0</v>
      </c>
      <c r="AE278" s="140">
        <f ca="1">IF(ISNUMBER(MATCH(DATEVALUE($A278),'recurring1_based on steps'!AE$1:AE$400,0)),AE$2,)</f>
        <v>0</v>
      </c>
      <c r="AF278" s="140">
        <f ca="1">IF(ISNUMBER(MATCH(DATEVALUE($A278),'recurring1_based on steps'!AF$1:AF$400,0)),AF$2,)</f>
        <v>0</v>
      </c>
      <c r="AG278" s="140">
        <f ca="1">IF(ISNUMBER(MATCH(DATEVALUE($A278),'recurring1_based on steps'!AG$1:AG$400,0)),AG$2,)</f>
        <v>0</v>
      </c>
      <c r="AH278" s="140">
        <f ca="1">IF(ISNUMBER(MATCH(DATEVALUE($A278),'recurring1_based on steps'!AH$1:AH$400,0)),AH$2,)</f>
        <v>0</v>
      </c>
      <c r="AI278" s="140">
        <f ca="1">IF(ISNUMBER(MATCH(DATEVALUE($A278),'recurring1_based on steps'!AI$1:AI$400,0)),AI$2,)</f>
        <v>0</v>
      </c>
      <c r="AJ278" s="140">
        <f ca="1">IF(ISNUMBER(MATCH(DATEVALUE($A278),'recurring1_based on steps'!AJ$1:AJ$400,0)),AJ$2,)</f>
        <v>0</v>
      </c>
      <c r="AK278" s="140">
        <f ca="1">IF(ISNUMBER(MATCH(DATEVALUE($A278),'recurring1_based on steps'!AK$1:AK$400,0)),AK$2,)</f>
        <v>0</v>
      </c>
      <c r="AL278" s="140">
        <f ca="1">IF(ISNUMBER(MATCH(DATEVALUE($A278),'recurring1_based on steps'!AL$1:AL$400,0)),AL$2,)</f>
        <v>0</v>
      </c>
      <c r="AM278" s="140">
        <f ca="1">IF(ISNUMBER(MATCH(DATEVALUE($A278),'recurring1_based on steps'!AM$1:AM$400,0)),AM$2,)</f>
        <v>0</v>
      </c>
      <c r="AN278" s="140">
        <f ca="1">IF(ISNUMBER(MATCH(DATEVALUE($A278),'recurring1_based on steps'!AN$1:AN$400,0)),AN$2,)</f>
        <v>0</v>
      </c>
      <c r="AO278" s="140">
        <f ca="1">IF(ISNUMBER(MATCH(DATEVALUE($A278),'recurring1_based on steps'!AO$1:AO$400,0)),AO$2,)</f>
        <v>0</v>
      </c>
      <c r="AP278" s="140">
        <f ca="1">IF(ISNUMBER(MATCH(DATEVALUE($A278),'recurring1_based on steps'!AP$1:AP$400,0)),AP$2,)</f>
        <v>0</v>
      </c>
      <c r="AQ278" s="140">
        <f ca="1">IF(ISNUMBER(MATCH(DATEVALUE($A278),'recurring1_based on steps'!AQ$1:AQ$400,0)),AQ$2,)</f>
        <v>0</v>
      </c>
      <c r="AR278" s="140">
        <f ca="1">IF(ISNUMBER(MATCH(DATEVALUE($A278),'recurring1_based on steps'!AR$1:AR$400,0)),AR$2,)</f>
        <v>0</v>
      </c>
      <c r="AS278" s="140">
        <f ca="1">IF(ISNUMBER(MATCH(DATEVALUE($A278),'recurring1_based on steps'!AS$1:AS$400,0)),AS$2,)</f>
        <v>0</v>
      </c>
      <c r="AT278" s="140">
        <f ca="1">IF(ISNUMBER(MATCH(DATEVALUE($A278),'recurring1_based on steps'!AT$1:AT$400,0)),AT$2,)</f>
        <v>0</v>
      </c>
      <c r="AU278" s="140">
        <f ca="1">IF(ISNUMBER(MATCH(DATEVALUE($A278),'recurring1_based on steps'!AU$1:AU$400,0)),AU$2,)</f>
        <v>0</v>
      </c>
      <c r="AV278" s="140">
        <f ca="1">IF(ISNUMBER(MATCH(DATEVALUE($A278),'recurring1_based on steps'!AV$1:AV$400,0)),AV$2,)</f>
        <v>0</v>
      </c>
      <c r="AW278" s="140">
        <f ca="1">IF(ISNUMBER(MATCH(DATEVALUE($A278),'recurring1_based on steps'!AW$1:AW$400,0)),AW$2,)</f>
        <v>0</v>
      </c>
      <c r="AX278" s="140">
        <f ca="1">IF(ISNUMBER(MATCH(DATEVALUE($A278),'recurring1_based on steps'!AX$1:AX$400,0)),AX$2,)</f>
        <v>0</v>
      </c>
      <c r="AY278" s="140">
        <f ca="1">IF(ISNUMBER(MATCH(DATEVALUE($A278),'recurring1_based on steps'!AY$1:AY$400,0)),AY$2,)</f>
        <v>0</v>
      </c>
    </row>
    <row r="279" spans="1:51" x14ac:dyDescent="0.2">
      <c r="A279" s="29" t="str">
        <f t="shared" ca="1" si="4"/>
        <v>2025-12-28</v>
      </c>
      <c r="B279" s="140">
        <f ca="1">IF(ISNUMBER(MATCH(DATEVALUE($A279),'recurring1_based on steps'!B$1:B$400,0)),B$2,)</f>
        <v>0</v>
      </c>
      <c r="C279" s="140">
        <f ca="1">IF(ISNUMBER(MATCH(DATEVALUE($A279),'recurring1_based on steps'!C$1:C$400,0)),C$2,)</f>
        <v>0</v>
      </c>
      <c r="D279" s="140">
        <f ca="1">IF(ISNUMBER(MATCH(DATEVALUE($A279),'recurring1_based on steps'!D$1:D$400,0)),D$2,)</f>
        <v>0</v>
      </c>
      <c r="E279" s="140">
        <f ca="1">IF(ISNUMBER(MATCH(DATEVALUE($A279),'recurring1_based on steps'!E$1:E$400,0)),E$2,)</f>
        <v>0</v>
      </c>
      <c r="F279" s="140">
        <f ca="1">IF(ISNUMBER(MATCH(DATEVALUE($A279),'recurring1_based on steps'!F$1:F$400,0)),F$2,)</f>
        <v>0</v>
      </c>
      <c r="G279" s="140">
        <f ca="1">IF(ISNUMBER(MATCH(DATEVALUE($A279),'recurring1_based on steps'!G$1:G$400,0)),G$2,)</f>
        <v>0</v>
      </c>
      <c r="H279" s="140">
        <f ca="1">IF(ISNUMBER(MATCH(DATEVALUE($A279),'recurring1_based on steps'!H$1:H$400,0)),H$2,)</f>
        <v>0</v>
      </c>
      <c r="I279" s="140">
        <f ca="1">IF(ISNUMBER(MATCH(DATEVALUE($A279),'recurring1_based on steps'!I$1:I$400,0)),I$2,)</f>
        <v>0</v>
      </c>
      <c r="J279" s="140">
        <f ca="1">IF(ISNUMBER(MATCH(DATEVALUE($A279),'recurring1_based on steps'!J$1:J$400,0)),J$2,)</f>
        <v>0</v>
      </c>
      <c r="K279" s="140">
        <f ca="1">IF(ISNUMBER(MATCH(DATEVALUE($A279),'recurring1_based on steps'!K$1:K$400,0)),K$2,)</f>
        <v>50</v>
      </c>
      <c r="L279" s="140">
        <f ca="1">IF(ISNUMBER(MATCH(DATEVALUE($A279),'recurring1_based on steps'!L$1:L$400,0)),L$2,)</f>
        <v>0</v>
      </c>
      <c r="M279" s="140">
        <f ca="1">IF(ISNUMBER(MATCH(DATEVALUE($A279),'recurring1_based on steps'!M$1:M$400,0)),M$2,)</f>
        <v>0</v>
      </c>
      <c r="N279" s="140">
        <f ca="1">IF(ISNUMBER(MATCH(DATEVALUE($A279),'recurring1_based on steps'!N$1:N$400,0)),N$2,)</f>
        <v>0</v>
      </c>
      <c r="O279" s="140">
        <f ca="1">IF(ISNUMBER(MATCH(DATEVALUE($A279),'recurring1_based on steps'!O$1:O$400,0)),O$2,)</f>
        <v>0</v>
      </c>
      <c r="P279" s="140">
        <f ca="1">IF(ISNUMBER(MATCH(DATEVALUE($A279),'recurring1_based on steps'!P$1:P$400,0)),P$2,)</f>
        <v>0</v>
      </c>
      <c r="Q279" s="140">
        <f ca="1">IF(ISNUMBER(MATCH(DATEVALUE($A279),'recurring1_based on steps'!Q$1:Q$400,0)),Q$2,)</f>
        <v>0</v>
      </c>
      <c r="R279" s="140">
        <f ca="1">IF(ISNUMBER(MATCH(DATEVALUE($A279),'recurring1_based on steps'!R$1:R$400,0)),R$2,)</f>
        <v>0</v>
      </c>
      <c r="S279" s="140">
        <f ca="1">IF(ISNUMBER(MATCH(DATEVALUE($A279),'recurring1_based on steps'!S$1:S$400,0)),S$2,)</f>
        <v>100</v>
      </c>
      <c r="T279" s="140">
        <f ca="1">IF(ISNUMBER(MATCH(DATEVALUE($A279),'recurring1_based on steps'!T$1:T$400,0)),T$2,)</f>
        <v>0</v>
      </c>
      <c r="U279" s="140">
        <f ca="1">IF(ISNUMBER(MATCH(DATEVALUE($A279),'recurring1_based on steps'!U$1:U$400,0)),U$2,)</f>
        <v>0</v>
      </c>
      <c r="V279" s="140">
        <f ca="1">IF(ISNUMBER(MATCH(DATEVALUE($A279),'recurring1_based on steps'!V$1:V$400,0)),V$2,)</f>
        <v>0</v>
      </c>
      <c r="W279" s="140">
        <f ca="1">IF(ISNUMBER(MATCH(DATEVALUE($A279),'recurring1_based on steps'!W$1:W$400,0)),W$2,)</f>
        <v>0</v>
      </c>
      <c r="X279" s="140">
        <f ca="1">IF(ISNUMBER(MATCH(DATEVALUE($A279),'recurring1_based on steps'!X$1:X$400,0)),X$2,)</f>
        <v>0</v>
      </c>
      <c r="Y279" s="140">
        <f ca="1">IF(ISNUMBER(MATCH(DATEVALUE($A279),'recurring1_based on steps'!Y$1:Y$400,0)),Y$2,)</f>
        <v>0</v>
      </c>
      <c r="Z279" s="140">
        <f ca="1">IF(ISNUMBER(MATCH(DATEVALUE($A279),'recurring1_based on steps'!Z$1:Z$400,0)),Z$2,)</f>
        <v>0</v>
      </c>
      <c r="AA279" s="140">
        <f ca="1">IF(ISNUMBER(MATCH(DATEVALUE($A279),'recurring1_based on steps'!AA$1:AA$400,0)),AA$2,)</f>
        <v>0</v>
      </c>
      <c r="AB279" s="140">
        <f ca="1">IF(ISNUMBER(MATCH(DATEVALUE($A279),'recurring1_based on steps'!AB$1:AB$400,0)),AB$2,)</f>
        <v>5.5401662049861494E-2</v>
      </c>
      <c r="AC279" s="140">
        <f ca="1">IF(ISNUMBER(MATCH(DATEVALUE($A279),'recurring1_based on steps'!AC$1:AC$400,0)),AC$2,)</f>
        <v>0</v>
      </c>
      <c r="AD279" s="140">
        <f ca="1">IF(ISNUMBER(MATCH(DATEVALUE($A279),'recurring1_based on steps'!AD$1:AD$400,0)),AD$2,)</f>
        <v>0</v>
      </c>
      <c r="AE279" s="140">
        <f ca="1">IF(ISNUMBER(MATCH(DATEVALUE($A279),'recurring1_based on steps'!AE$1:AE$400,0)),AE$2,)</f>
        <v>0</v>
      </c>
      <c r="AF279" s="140">
        <f ca="1">IF(ISNUMBER(MATCH(DATEVALUE($A279),'recurring1_based on steps'!AF$1:AF$400,0)),AF$2,)</f>
        <v>0</v>
      </c>
      <c r="AG279" s="140">
        <f ca="1">IF(ISNUMBER(MATCH(DATEVALUE($A279),'recurring1_based on steps'!AG$1:AG$400,0)),AG$2,)</f>
        <v>0</v>
      </c>
      <c r="AH279" s="140">
        <f ca="1">IF(ISNUMBER(MATCH(DATEVALUE($A279),'recurring1_based on steps'!AH$1:AH$400,0)),AH$2,)</f>
        <v>0</v>
      </c>
      <c r="AI279" s="140">
        <f ca="1">IF(ISNUMBER(MATCH(DATEVALUE($A279),'recurring1_based on steps'!AI$1:AI$400,0)),AI$2,)</f>
        <v>0</v>
      </c>
      <c r="AJ279" s="140">
        <f ca="1">IF(ISNUMBER(MATCH(DATEVALUE($A279),'recurring1_based on steps'!AJ$1:AJ$400,0)),AJ$2,)</f>
        <v>0</v>
      </c>
      <c r="AK279" s="140">
        <f ca="1">IF(ISNUMBER(MATCH(DATEVALUE($A279),'recurring1_based on steps'!AK$1:AK$400,0)),AK$2,)</f>
        <v>0</v>
      </c>
      <c r="AL279" s="140">
        <f ca="1">IF(ISNUMBER(MATCH(DATEVALUE($A279),'recurring1_based on steps'!AL$1:AL$400,0)),AL$2,)</f>
        <v>0</v>
      </c>
      <c r="AM279" s="140">
        <f ca="1">IF(ISNUMBER(MATCH(DATEVALUE($A279),'recurring1_based on steps'!AM$1:AM$400,0)),AM$2,)</f>
        <v>0</v>
      </c>
      <c r="AN279" s="140">
        <f ca="1">IF(ISNUMBER(MATCH(DATEVALUE($A279),'recurring1_based on steps'!AN$1:AN$400,0)),AN$2,)</f>
        <v>0</v>
      </c>
      <c r="AO279" s="140">
        <f ca="1">IF(ISNUMBER(MATCH(DATEVALUE($A279),'recurring1_based on steps'!AO$1:AO$400,0)),AO$2,)</f>
        <v>0</v>
      </c>
      <c r="AP279" s="140">
        <f ca="1">IF(ISNUMBER(MATCH(DATEVALUE($A279),'recurring1_based on steps'!AP$1:AP$400,0)),AP$2,)</f>
        <v>0</v>
      </c>
      <c r="AQ279" s="140">
        <f ca="1">IF(ISNUMBER(MATCH(DATEVALUE($A279),'recurring1_based on steps'!AQ$1:AQ$400,0)),AQ$2,)</f>
        <v>0</v>
      </c>
      <c r="AR279" s="140">
        <f ca="1">IF(ISNUMBER(MATCH(DATEVALUE($A279),'recurring1_based on steps'!AR$1:AR$400,0)),AR$2,)</f>
        <v>0</v>
      </c>
      <c r="AS279" s="140">
        <f ca="1">IF(ISNUMBER(MATCH(DATEVALUE($A279),'recurring1_based on steps'!AS$1:AS$400,0)),AS$2,)</f>
        <v>0</v>
      </c>
      <c r="AT279" s="140">
        <f ca="1">IF(ISNUMBER(MATCH(DATEVALUE($A279),'recurring1_based on steps'!AT$1:AT$400,0)),AT$2,)</f>
        <v>0</v>
      </c>
      <c r="AU279" s="140">
        <f ca="1">IF(ISNUMBER(MATCH(DATEVALUE($A279),'recurring1_based on steps'!AU$1:AU$400,0)),AU$2,)</f>
        <v>0</v>
      </c>
      <c r="AV279" s="140">
        <f ca="1">IF(ISNUMBER(MATCH(DATEVALUE($A279),'recurring1_based on steps'!AV$1:AV$400,0)),AV$2,)</f>
        <v>0</v>
      </c>
      <c r="AW279" s="140">
        <f ca="1">IF(ISNUMBER(MATCH(DATEVALUE($A279),'recurring1_based on steps'!AW$1:AW$400,0)),AW$2,)</f>
        <v>0</v>
      </c>
      <c r="AX279" s="140">
        <f ca="1">IF(ISNUMBER(MATCH(DATEVALUE($A279),'recurring1_based on steps'!AX$1:AX$400,0)),AX$2,)</f>
        <v>0</v>
      </c>
      <c r="AY279" s="140">
        <f ca="1">IF(ISNUMBER(MATCH(DATEVALUE($A279),'recurring1_based on steps'!AY$1:AY$400,0)),AY$2,)</f>
        <v>0</v>
      </c>
    </row>
    <row r="280" spans="1:51" x14ac:dyDescent="0.2">
      <c r="A280" s="29" t="str">
        <f t="shared" ca="1" si="4"/>
        <v>2025-12-29</v>
      </c>
      <c r="B280" s="140">
        <f ca="1">IF(ISNUMBER(MATCH(DATEVALUE($A280),'recurring1_based on steps'!B$1:B$400,0)),B$2,)</f>
        <v>0</v>
      </c>
      <c r="C280" s="140">
        <f ca="1">IF(ISNUMBER(MATCH(DATEVALUE($A280),'recurring1_based on steps'!C$1:C$400,0)),C$2,)</f>
        <v>0</v>
      </c>
      <c r="D280" s="140">
        <f ca="1">IF(ISNUMBER(MATCH(DATEVALUE($A280),'recurring1_based on steps'!D$1:D$400,0)),D$2,)</f>
        <v>0</v>
      </c>
      <c r="E280" s="140">
        <f ca="1">IF(ISNUMBER(MATCH(DATEVALUE($A280),'recurring1_based on steps'!E$1:E$400,0)),E$2,)</f>
        <v>0</v>
      </c>
      <c r="F280" s="140">
        <f ca="1">IF(ISNUMBER(MATCH(DATEVALUE($A280),'recurring1_based on steps'!F$1:F$400,0)),F$2,)</f>
        <v>0</v>
      </c>
      <c r="G280" s="140">
        <f ca="1">IF(ISNUMBER(MATCH(DATEVALUE($A280),'recurring1_based on steps'!G$1:G$400,0)),G$2,)</f>
        <v>0</v>
      </c>
      <c r="H280" s="140">
        <f ca="1">IF(ISNUMBER(MATCH(DATEVALUE($A280),'recurring1_based on steps'!H$1:H$400,0)),H$2,)</f>
        <v>0</v>
      </c>
      <c r="I280" s="140">
        <f ca="1">IF(ISNUMBER(MATCH(DATEVALUE($A280),'recurring1_based on steps'!I$1:I$400,0)),I$2,)</f>
        <v>0</v>
      </c>
      <c r="J280" s="140">
        <f ca="1">IF(ISNUMBER(MATCH(DATEVALUE($A280),'recurring1_based on steps'!J$1:J$400,0)),J$2,)</f>
        <v>0</v>
      </c>
      <c r="K280" s="140">
        <f ca="1">IF(ISNUMBER(MATCH(DATEVALUE($A280),'recurring1_based on steps'!K$1:K$400,0)),K$2,)</f>
        <v>0</v>
      </c>
      <c r="L280" s="140">
        <f ca="1">IF(ISNUMBER(MATCH(DATEVALUE($A280),'recurring1_based on steps'!L$1:L$400,0)),L$2,)</f>
        <v>0</v>
      </c>
      <c r="M280" s="140">
        <f ca="1">IF(ISNUMBER(MATCH(DATEVALUE($A280),'recurring1_based on steps'!M$1:M$400,0)),M$2,)</f>
        <v>0</v>
      </c>
      <c r="N280" s="140">
        <f ca="1">IF(ISNUMBER(MATCH(DATEVALUE($A280),'recurring1_based on steps'!N$1:N$400,0)),N$2,)</f>
        <v>0</v>
      </c>
      <c r="O280" s="140">
        <f ca="1">IF(ISNUMBER(MATCH(DATEVALUE($A280),'recurring1_based on steps'!O$1:O$400,0)),O$2,)</f>
        <v>0</v>
      </c>
      <c r="P280" s="140">
        <f ca="1">IF(ISNUMBER(MATCH(DATEVALUE($A280),'recurring1_based on steps'!P$1:P$400,0)),P$2,)</f>
        <v>0</v>
      </c>
      <c r="Q280" s="140">
        <f ca="1">IF(ISNUMBER(MATCH(DATEVALUE($A280),'recurring1_based on steps'!Q$1:Q$400,0)),Q$2,)</f>
        <v>0</v>
      </c>
      <c r="R280" s="140">
        <f ca="1">IF(ISNUMBER(MATCH(DATEVALUE($A280),'recurring1_based on steps'!R$1:R$400,0)),R$2,)</f>
        <v>0</v>
      </c>
      <c r="S280" s="140">
        <f ca="1">IF(ISNUMBER(MATCH(DATEVALUE($A280),'recurring1_based on steps'!S$1:S$400,0)),S$2,)</f>
        <v>0</v>
      </c>
      <c r="T280" s="140">
        <f ca="1">IF(ISNUMBER(MATCH(DATEVALUE($A280),'recurring1_based on steps'!T$1:T$400,0)),T$2,)</f>
        <v>0</v>
      </c>
      <c r="U280" s="140">
        <f ca="1">IF(ISNUMBER(MATCH(DATEVALUE($A280),'recurring1_based on steps'!U$1:U$400,0)),U$2,)</f>
        <v>0</v>
      </c>
      <c r="V280" s="140">
        <f ca="1">IF(ISNUMBER(MATCH(DATEVALUE($A280),'recurring1_based on steps'!V$1:V$400,0)),V$2,)</f>
        <v>0</v>
      </c>
      <c r="W280" s="140">
        <f ca="1">IF(ISNUMBER(MATCH(DATEVALUE($A280),'recurring1_based on steps'!W$1:W$400,0)),W$2,)</f>
        <v>0</v>
      </c>
      <c r="X280" s="140">
        <f ca="1">IF(ISNUMBER(MATCH(DATEVALUE($A280),'recurring1_based on steps'!X$1:X$400,0)),X$2,)</f>
        <v>0</v>
      </c>
      <c r="Y280" s="140">
        <f ca="1">IF(ISNUMBER(MATCH(DATEVALUE($A280),'recurring1_based on steps'!Y$1:Y$400,0)),Y$2,)</f>
        <v>0</v>
      </c>
      <c r="Z280" s="140">
        <f ca="1">IF(ISNUMBER(MATCH(DATEVALUE($A280),'recurring1_based on steps'!Z$1:Z$400,0)),Z$2,)</f>
        <v>0</v>
      </c>
      <c r="AA280" s="140">
        <f ca="1">IF(ISNUMBER(MATCH(DATEVALUE($A280),'recurring1_based on steps'!AA$1:AA$400,0)),AA$2,)</f>
        <v>0</v>
      </c>
      <c r="AB280" s="140">
        <f ca="1">IF(ISNUMBER(MATCH(DATEVALUE($A280),'recurring1_based on steps'!AB$1:AB$400,0)),AB$2,)</f>
        <v>5.5401662049861494E-2</v>
      </c>
      <c r="AC280" s="140">
        <f ca="1">IF(ISNUMBER(MATCH(DATEVALUE($A280),'recurring1_based on steps'!AC$1:AC$400,0)),AC$2,)</f>
        <v>0</v>
      </c>
      <c r="AD280" s="140">
        <f ca="1">IF(ISNUMBER(MATCH(DATEVALUE($A280),'recurring1_based on steps'!AD$1:AD$400,0)),AD$2,)</f>
        <v>0</v>
      </c>
      <c r="AE280" s="140">
        <f ca="1">IF(ISNUMBER(MATCH(DATEVALUE($A280),'recurring1_based on steps'!AE$1:AE$400,0)),AE$2,)</f>
        <v>0</v>
      </c>
      <c r="AF280" s="140">
        <f ca="1">IF(ISNUMBER(MATCH(DATEVALUE($A280),'recurring1_based on steps'!AF$1:AF$400,0)),AF$2,)</f>
        <v>0</v>
      </c>
      <c r="AG280" s="140">
        <f ca="1">IF(ISNUMBER(MATCH(DATEVALUE($A280),'recurring1_based on steps'!AG$1:AG$400,0)),AG$2,)</f>
        <v>0</v>
      </c>
      <c r="AH280" s="140">
        <f ca="1">IF(ISNUMBER(MATCH(DATEVALUE($A280),'recurring1_based on steps'!AH$1:AH$400,0)),AH$2,)</f>
        <v>0</v>
      </c>
      <c r="AI280" s="140">
        <f ca="1">IF(ISNUMBER(MATCH(DATEVALUE($A280),'recurring1_based on steps'!AI$1:AI$400,0)),AI$2,)</f>
        <v>0</v>
      </c>
      <c r="AJ280" s="140">
        <f ca="1">IF(ISNUMBER(MATCH(DATEVALUE($A280),'recurring1_based on steps'!AJ$1:AJ$400,0)),AJ$2,)</f>
        <v>0</v>
      </c>
      <c r="AK280" s="140">
        <f ca="1">IF(ISNUMBER(MATCH(DATEVALUE($A280),'recurring1_based on steps'!AK$1:AK$400,0)),AK$2,)</f>
        <v>0</v>
      </c>
      <c r="AL280" s="140">
        <f ca="1">IF(ISNUMBER(MATCH(DATEVALUE($A280),'recurring1_based on steps'!AL$1:AL$400,0)),AL$2,)</f>
        <v>0</v>
      </c>
      <c r="AM280" s="140">
        <f ca="1">IF(ISNUMBER(MATCH(DATEVALUE($A280),'recurring1_based on steps'!AM$1:AM$400,0)),AM$2,)</f>
        <v>0</v>
      </c>
      <c r="AN280" s="140">
        <f ca="1">IF(ISNUMBER(MATCH(DATEVALUE($A280),'recurring1_based on steps'!AN$1:AN$400,0)),AN$2,)</f>
        <v>0</v>
      </c>
      <c r="AO280" s="140">
        <f ca="1">IF(ISNUMBER(MATCH(DATEVALUE($A280),'recurring1_based on steps'!AO$1:AO$400,0)),AO$2,)</f>
        <v>0</v>
      </c>
      <c r="AP280" s="140">
        <f ca="1">IF(ISNUMBER(MATCH(DATEVALUE($A280),'recurring1_based on steps'!AP$1:AP$400,0)),AP$2,)</f>
        <v>0</v>
      </c>
      <c r="AQ280" s="140">
        <f ca="1">IF(ISNUMBER(MATCH(DATEVALUE($A280),'recurring1_based on steps'!AQ$1:AQ$400,0)),AQ$2,)</f>
        <v>0</v>
      </c>
      <c r="AR280" s="140">
        <f ca="1">IF(ISNUMBER(MATCH(DATEVALUE($A280),'recurring1_based on steps'!AR$1:AR$400,0)),AR$2,)</f>
        <v>0</v>
      </c>
      <c r="AS280" s="140">
        <f ca="1">IF(ISNUMBER(MATCH(DATEVALUE($A280),'recurring1_based on steps'!AS$1:AS$400,0)),AS$2,)</f>
        <v>0</v>
      </c>
      <c r="AT280" s="140">
        <f ca="1">IF(ISNUMBER(MATCH(DATEVALUE($A280),'recurring1_based on steps'!AT$1:AT$400,0)),AT$2,)</f>
        <v>0</v>
      </c>
      <c r="AU280" s="140">
        <f ca="1">IF(ISNUMBER(MATCH(DATEVALUE($A280),'recurring1_based on steps'!AU$1:AU$400,0)),AU$2,)</f>
        <v>0</v>
      </c>
      <c r="AV280" s="140">
        <f ca="1">IF(ISNUMBER(MATCH(DATEVALUE($A280),'recurring1_based on steps'!AV$1:AV$400,0)),AV$2,)</f>
        <v>0</v>
      </c>
      <c r="AW280" s="140">
        <f ca="1">IF(ISNUMBER(MATCH(DATEVALUE($A280),'recurring1_based on steps'!AW$1:AW$400,0)),AW$2,)</f>
        <v>0</v>
      </c>
      <c r="AX280" s="140">
        <f ca="1">IF(ISNUMBER(MATCH(DATEVALUE($A280),'recurring1_based on steps'!AX$1:AX$400,0)),AX$2,)</f>
        <v>0</v>
      </c>
      <c r="AY280" s="140">
        <f ca="1">IF(ISNUMBER(MATCH(DATEVALUE($A280),'recurring1_based on steps'!AY$1:AY$400,0)),AY$2,)</f>
        <v>0</v>
      </c>
    </row>
    <row r="281" spans="1:51" x14ac:dyDescent="0.2">
      <c r="A281" s="29" t="str">
        <f t="shared" ca="1" si="4"/>
        <v>2025-12-30</v>
      </c>
      <c r="B281" s="140">
        <f ca="1">IF(ISNUMBER(MATCH(DATEVALUE($A281),'recurring1_based on steps'!B$1:B$400,0)),B$2,)</f>
        <v>0</v>
      </c>
      <c r="C281" s="140">
        <f ca="1">IF(ISNUMBER(MATCH(DATEVALUE($A281),'recurring1_based on steps'!C$1:C$400,0)),C$2,)</f>
        <v>0</v>
      </c>
      <c r="D281" s="140">
        <f ca="1">IF(ISNUMBER(MATCH(DATEVALUE($A281),'recurring1_based on steps'!D$1:D$400,0)),D$2,)</f>
        <v>0</v>
      </c>
      <c r="E281" s="140">
        <f ca="1">IF(ISNUMBER(MATCH(DATEVALUE($A281),'recurring1_based on steps'!E$1:E$400,0)),E$2,)</f>
        <v>0</v>
      </c>
      <c r="F281" s="140">
        <f ca="1">IF(ISNUMBER(MATCH(DATEVALUE($A281),'recurring1_based on steps'!F$1:F$400,0)),F$2,)</f>
        <v>0</v>
      </c>
      <c r="G281" s="140">
        <f ca="1">IF(ISNUMBER(MATCH(DATEVALUE($A281),'recurring1_based on steps'!G$1:G$400,0)),G$2,)</f>
        <v>0</v>
      </c>
      <c r="H281" s="140">
        <f ca="1">IF(ISNUMBER(MATCH(DATEVALUE($A281),'recurring1_based on steps'!H$1:H$400,0)),H$2,)</f>
        <v>0</v>
      </c>
      <c r="I281" s="140">
        <f ca="1">IF(ISNUMBER(MATCH(DATEVALUE($A281),'recurring1_based on steps'!I$1:I$400,0)),I$2,)</f>
        <v>0</v>
      </c>
      <c r="J281" s="140">
        <f ca="1">IF(ISNUMBER(MATCH(DATEVALUE($A281),'recurring1_based on steps'!J$1:J$400,0)),J$2,)</f>
        <v>0</v>
      </c>
      <c r="K281" s="140">
        <f ca="1">IF(ISNUMBER(MATCH(DATEVALUE($A281),'recurring1_based on steps'!K$1:K$400,0)),K$2,)</f>
        <v>0</v>
      </c>
      <c r="L281" s="140">
        <f ca="1">IF(ISNUMBER(MATCH(DATEVALUE($A281),'recurring1_based on steps'!L$1:L$400,0)),L$2,)</f>
        <v>0</v>
      </c>
      <c r="M281" s="140">
        <f ca="1">IF(ISNUMBER(MATCH(DATEVALUE($A281),'recurring1_based on steps'!M$1:M$400,0)),M$2,)</f>
        <v>0</v>
      </c>
      <c r="N281" s="140">
        <f ca="1">IF(ISNUMBER(MATCH(DATEVALUE($A281),'recurring1_based on steps'!N$1:N$400,0)),N$2,)</f>
        <v>0</v>
      </c>
      <c r="O281" s="140">
        <f ca="1">IF(ISNUMBER(MATCH(DATEVALUE($A281),'recurring1_based on steps'!O$1:O$400,0)),O$2,)</f>
        <v>0</v>
      </c>
      <c r="P281" s="140">
        <f ca="1">IF(ISNUMBER(MATCH(DATEVALUE($A281),'recurring1_based on steps'!P$1:P$400,0)),P$2,)</f>
        <v>0</v>
      </c>
      <c r="Q281" s="140">
        <f ca="1">IF(ISNUMBER(MATCH(DATEVALUE($A281),'recurring1_based on steps'!Q$1:Q$400,0)),Q$2,)</f>
        <v>0</v>
      </c>
      <c r="R281" s="140">
        <f ca="1">IF(ISNUMBER(MATCH(DATEVALUE($A281),'recurring1_based on steps'!R$1:R$400,0)),R$2,)</f>
        <v>0</v>
      </c>
      <c r="S281" s="140">
        <f ca="1">IF(ISNUMBER(MATCH(DATEVALUE($A281),'recurring1_based on steps'!S$1:S$400,0)),S$2,)</f>
        <v>0</v>
      </c>
      <c r="T281" s="140">
        <f ca="1">IF(ISNUMBER(MATCH(DATEVALUE($A281),'recurring1_based on steps'!T$1:T$400,0)),T$2,)</f>
        <v>0</v>
      </c>
      <c r="U281" s="140">
        <f ca="1">IF(ISNUMBER(MATCH(DATEVALUE($A281),'recurring1_based on steps'!U$1:U$400,0)),U$2,)</f>
        <v>0</v>
      </c>
      <c r="V281" s="140">
        <f ca="1">IF(ISNUMBER(MATCH(DATEVALUE($A281),'recurring1_based on steps'!V$1:V$400,0)),V$2,)</f>
        <v>0</v>
      </c>
      <c r="W281" s="140">
        <f ca="1">IF(ISNUMBER(MATCH(DATEVALUE($A281),'recurring1_based on steps'!W$1:W$400,0)),W$2,)</f>
        <v>0</v>
      </c>
      <c r="X281" s="140">
        <f ca="1">IF(ISNUMBER(MATCH(DATEVALUE($A281),'recurring1_based on steps'!X$1:X$400,0)),X$2,)</f>
        <v>0</v>
      </c>
      <c r="Y281" s="140">
        <f ca="1">IF(ISNUMBER(MATCH(DATEVALUE($A281),'recurring1_based on steps'!Y$1:Y$400,0)),Y$2,)</f>
        <v>0</v>
      </c>
      <c r="Z281" s="140">
        <f ca="1">IF(ISNUMBER(MATCH(DATEVALUE($A281),'recurring1_based on steps'!Z$1:Z$400,0)),Z$2,)</f>
        <v>0</v>
      </c>
      <c r="AA281" s="140">
        <f ca="1">IF(ISNUMBER(MATCH(DATEVALUE($A281),'recurring1_based on steps'!AA$1:AA$400,0)),AA$2,)</f>
        <v>0</v>
      </c>
      <c r="AB281" s="140">
        <f ca="1">IF(ISNUMBER(MATCH(DATEVALUE($A281),'recurring1_based on steps'!AB$1:AB$400,0)),AB$2,)</f>
        <v>5.5401662049861494E-2</v>
      </c>
      <c r="AC281" s="140">
        <f ca="1">IF(ISNUMBER(MATCH(DATEVALUE($A281),'recurring1_based on steps'!AC$1:AC$400,0)),AC$2,)</f>
        <v>0</v>
      </c>
      <c r="AD281" s="140">
        <f ca="1">IF(ISNUMBER(MATCH(DATEVALUE($A281),'recurring1_based on steps'!AD$1:AD$400,0)),AD$2,)</f>
        <v>0</v>
      </c>
      <c r="AE281" s="140">
        <f ca="1">IF(ISNUMBER(MATCH(DATEVALUE($A281),'recurring1_based on steps'!AE$1:AE$400,0)),AE$2,)</f>
        <v>0</v>
      </c>
      <c r="AF281" s="140">
        <f ca="1">IF(ISNUMBER(MATCH(DATEVALUE($A281),'recurring1_based on steps'!AF$1:AF$400,0)),AF$2,)</f>
        <v>0</v>
      </c>
      <c r="AG281" s="140">
        <f ca="1">IF(ISNUMBER(MATCH(DATEVALUE($A281),'recurring1_based on steps'!AG$1:AG$400,0)),AG$2,)</f>
        <v>0</v>
      </c>
      <c r="AH281" s="140">
        <f ca="1">IF(ISNUMBER(MATCH(DATEVALUE($A281),'recurring1_based on steps'!AH$1:AH$400,0)),AH$2,)</f>
        <v>0</v>
      </c>
      <c r="AI281" s="140">
        <f ca="1">IF(ISNUMBER(MATCH(DATEVALUE($A281),'recurring1_based on steps'!AI$1:AI$400,0)),AI$2,)</f>
        <v>0</v>
      </c>
      <c r="AJ281" s="140">
        <f ca="1">IF(ISNUMBER(MATCH(DATEVALUE($A281),'recurring1_based on steps'!AJ$1:AJ$400,0)),AJ$2,)</f>
        <v>0</v>
      </c>
      <c r="AK281" s="140">
        <f ca="1">IF(ISNUMBER(MATCH(DATEVALUE($A281),'recurring1_based on steps'!AK$1:AK$400,0)),AK$2,)</f>
        <v>0</v>
      </c>
      <c r="AL281" s="140">
        <f ca="1">IF(ISNUMBER(MATCH(DATEVALUE($A281),'recurring1_based on steps'!AL$1:AL$400,0)),AL$2,)</f>
        <v>0</v>
      </c>
      <c r="AM281" s="140">
        <f ca="1">IF(ISNUMBER(MATCH(DATEVALUE($A281),'recurring1_based on steps'!AM$1:AM$400,0)),AM$2,)</f>
        <v>0</v>
      </c>
      <c r="AN281" s="140">
        <f ca="1">IF(ISNUMBER(MATCH(DATEVALUE($A281),'recurring1_based on steps'!AN$1:AN$400,0)),AN$2,)</f>
        <v>0</v>
      </c>
      <c r="AO281" s="140">
        <f ca="1">IF(ISNUMBER(MATCH(DATEVALUE($A281),'recurring1_based on steps'!AO$1:AO$400,0)),AO$2,)</f>
        <v>0</v>
      </c>
      <c r="AP281" s="140">
        <f ca="1">IF(ISNUMBER(MATCH(DATEVALUE($A281),'recurring1_based on steps'!AP$1:AP$400,0)),AP$2,)</f>
        <v>0</v>
      </c>
      <c r="AQ281" s="140">
        <f ca="1">IF(ISNUMBER(MATCH(DATEVALUE($A281),'recurring1_based on steps'!AQ$1:AQ$400,0)),AQ$2,)</f>
        <v>0</v>
      </c>
      <c r="AR281" s="140">
        <f ca="1">IF(ISNUMBER(MATCH(DATEVALUE($A281),'recurring1_based on steps'!AR$1:AR$400,0)),AR$2,)</f>
        <v>0</v>
      </c>
      <c r="AS281" s="140">
        <f ca="1">IF(ISNUMBER(MATCH(DATEVALUE($A281),'recurring1_based on steps'!AS$1:AS$400,0)),AS$2,)</f>
        <v>0</v>
      </c>
      <c r="AT281" s="140">
        <f ca="1">IF(ISNUMBER(MATCH(DATEVALUE($A281),'recurring1_based on steps'!AT$1:AT$400,0)),AT$2,)</f>
        <v>0</v>
      </c>
      <c r="AU281" s="140">
        <f ca="1">IF(ISNUMBER(MATCH(DATEVALUE($A281),'recurring1_based on steps'!AU$1:AU$400,0)),AU$2,)</f>
        <v>0</v>
      </c>
      <c r="AV281" s="140">
        <f ca="1">IF(ISNUMBER(MATCH(DATEVALUE($A281),'recurring1_based on steps'!AV$1:AV$400,0)),AV$2,)</f>
        <v>0</v>
      </c>
      <c r="AW281" s="140">
        <f ca="1">IF(ISNUMBER(MATCH(DATEVALUE($A281),'recurring1_based on steps'!AW$1:AW$400,0)),AW$2,)</f>
        <v>0</v>
      </c>
      <c r="AX281" s="140">
        <f ca="1">IF(ISNUMBER(MATCH(DATEVALUE($A281),'recurring1_based on steps'!AX$1:AX$400,0)),AX$2,)</f>
        <v>0</v>
      </c>
      <c r="AY281" s="140">
        <f ca="1">IF(ISNUMBER(MATCH(DATEVALUE($A281),'recurring1_based on steps'!AY$1:AY$400,0)),AY$2,)</f>
        <v>0</v>
      </c>
    </row>
    <row r="282" spans="1:51" x14ac:dyDescent="0.2">
      <c r="A282" s="29" t="str">
        <f t="shared" ca="1" si="4"/>
        <v>2025-12-31</v>
      </c>
      <c r="B282" s="140">
        <f ca="1">IF(ISNUMBER(MATCH(DATEVALUE($A282),'recurring1_based on steps'!B$1:B$400,0)),B$2,)</f>
        <v>0</v>
      </c>
      <c r="C282" s="140">
        <f ca="1">IF(ISNUMBER(MATCH(DATEVALUE($A282),'recurring1_based on steps'!C$1:C$400,0)),C$2,)</f>
        <v>0</v>
      </c>
      <c r="D282" s="140">
        <f ca="1">IF(ISNUMBER(MATCH(DATEVALUE($A282),'recurring1_based on steps'!D$1:D$400,0)),D$2,)</f>
        <v>0</v>
      </c>
      <c r="E282" s="140">
        <f ca="1">IF(ISNUMBER(MATCH(DATEVALUE($A282),'recurring1_based on steps'!E$1:E$400,0)),E$2,)</f>
        <v>0</v>
      </c>
      <c r="F282" s="140">
        <f ca="1">IF(ISNUMBER(MATCH(DATEVALUE($A282),'recurring1_based on steps'!F$1:F$400,0)),F$2,)</f>
        <v>0</v>
      </c>
      <c r="G282" s="140">
        <f ca="1">IF(ISNUMBER(MATCH(DATEVALUE($A282),'recurring1_based on steps'!G$1:G$400,0)),G$2,)</f>
        <v>0</v>
      </c>
      <c r="H282" s="140">
        <f ca="1">IF(ISNUMBER(MATCH(DATEVALUE($A282),'recurring1_based on steps'!H$1:H$400,0)),H$2,)</f>
        <v>40</v>
      </c>
      <c r="I282" s="140">
        <f ca="1">IF(ISNUMBER(MATCH(DATEVALUE($A282),'recurring1_based on steps'!I$1:I$400,0)),I$2,)</f>
        <v>0</v>
      </c>
      <c r="J282" s="140">
        <f ca="1">IF(ISNUMBER(MATCH(DATEVALUE($A282),'recurring1_based on steps'!J$1:J$400,0)),J$2,)</f>
        <v>0</v>
      </c>
      <c r="K282" s="140">
        <f ca="1">IF(ISNUMBER(MATCH(DATEVALUE($A282),'recurring1_based on steps'!K$1:K$400,0)),K$2,)</f>
        <v>0</v>
      </c>
      <c r="L282" s="140">
        <f ca="1">IF(ISNUMBER(MATCH(DATEVALUE($A282),'recurring1_based on steps'!L$1:L$400,0)),L$2,)</f>
        <v>0</v>
      </c>
      <c r="M282" s="140">
        <f ca="1">IF(ISNUMBER(MATCH(DATEVALUE($A282),'recurring1_based on steps'!M$1:M$400,0)),M$2,)</f>
        <v>0</v>
      </c>
      <c r="N282" s="140">
        <f ca="1">IF(ISNUMBER(MATCH(DATEVALUE($A282),'recurring1_based on steps'!N$1:N$400,0)),N$2,)</f>
        <v>0</v>
      </c>
      <c r="O282" s="140">
        <f ca="1">IF(ISNUMBER(MATCH(DATEVALUE($A282),'recurring1_based on steps'!O$1:O$400,0)),O$2,)</f>
        <v>0</v>
      </c>
      <c r="P282" s="140">
        <f ca="1">IF(ISNUMBER(MATCH(DATEVALUE($A282),'recurring1_based on steps'!P$1:P$400,0)),P$2,)</f>
        <v>0</v>
      </c>
      <c r="Q282" s="140">
        <f ca="1">IF(ISNUMBER(MATCH(DATEVALUE($A282),'recurring1_based on steps'!Q$1:Q$400,0)),Q$2,)</f>
        <v>0</v>
      </c>
      <c r="R282" s="140">
        <f ca="1">IF(ISNUMBER(MATCH(DATEVALUE($A282),'recurring1_based on steps'!R$1:R$400,0)),R$2,)</f>
        <v>0</v>
      </c>
      <c r="S282" s="140">
        <f ca="1">IF(ISNUMBER(MATCH(DATEVALUE($A282),'recurring1_based on steps'!S$1:S$400,0)),S$2,)</f>
        <v>0</v>
      </c>
      <c r="T282" s="140">
        <f ca="1">IF(ISNUMBER(MATCH(DATEVALUE($A282),'recurring1_based on steps'!T$1:T$400,0)),T$2,)</f>
        <v>0</v>
      </c>
      <c r="U282" s="140">
        <f ca="1">IF(ISNUMBER(MATCH(DATEVALUE($A282),'recurring1_based on steps'!U$1:U$400,0)),U$2,)</f>
        <v>0</v>
      </c>
      <c r="V282" s="140">
        <f ca="1">IF(ISNUMBER(MATCH(DATEVALUE($A282),'recurring1_based on steps'!V$1:V$400,0)),V$2,)</f>
        <v>0</v>
      </c>
      <c r="W282" s="140">
        <f ca="1">IF(ISNUMBER(MATCH(DATEVALUE($A282),'recurring1_based on steps'!W$1:W$400,0)),W$2,)</f>
        <v>100</v>
      </c>
      <c r="X282" s="140">
        <f ca="1">IF(ISNUMBER(MATCH(DATEVALUE($A282),'recurring1_based on steps'!X$1:X$400,0)),X$2,)</f>
        <v>0</v>
      </c>
      <c r="Y282" s="140">
        <f ca="1">IF(ISNUMBER(MATCH(DATEVALUE($A282),'recurring1_based on steps'!Y$1:Y$400,0)),Y$2,)</f>
        <v>0</v>
      </c>
      <c r="Z282" s="140">
        <f ca="1">IF(ISNUMBER(MATCH(DATEVALUE($A282),'recurring1_based on steps'!Z$1:Z$400,0)),Z$2,)</f>
        <v>0</v>
      </c>
      <c r="AA282" s="140">
        <f ca="1">IF(ISNUMBER(MATCH(DATEVALUE($A282),'recurring1_based on steps'!AA$1:AA$400,0)),AA$2,)</f>
        <v>0</v>
      </c>
      <c r="AB282" s="140">
        <f ca="1">IF(ISNUMBER(MATCH(DATEVALUE($A282),'recurring1_based on steps'!AB$1:AB$400,0)),AB$2,)</f>
        <v>5.5401662049861494E-2</v>
      </c>
      <c r="AC282" s="140">
        <f ca="1">IF(ISNUMBER(MATCH(DATEVALUE($A282),'recurring1_based on steps'!AC$1:AC$400,0)),AC$2,)</f>
        <v>0</v>
      </c>
      <c r="AD282" s="140">
        <f ca="1">IF(ISNUMBER(MATCH(DATEVALUE($A282),'recurring1_based on steps'!AD$1:AD$400,0)),AD$2,)</f>
        <v>0</v>
      </c>
      <c r="AE282" s="140">
        <f ca="1">IF(ISNUMBER(MATCH(DATEVALUE($A282),'recurring1_based on steps'!AE$1:AE$400,0)),AE$2,)</f>
        <v>0</v>
      </c>
      <c r="AF282" s="140">
        <f ca="1">IF(ISNUMBER(MATCH(DATEVALUE($A282),'recurring1_based on steps'!AF$1:AF$400,0)),AF$2,)</f>
        <v>0</v>
      </c>
      <c r="AG282" s="140">
        <f ca="1">IF(ISNUMBER(MATCH(DATEVALUE($A282),'recurring1_based on steps'!AG$1:AG$400,0)),AG$2,)</f>
        <v>0</v>
      </c>
      <c r="AH282" s="140">
        <f ca="1">IF(ISNUMBER(MATCH(DATEVALUE($A282),'recurring1_based on steps'!AH$1:AH$400,0)),AH$2,)</f>
        <v>0</v>
      </c>
      <c r="AI282" s="140">
        <f ca="1">IF(ISNUMBER(MATCH(DATEVALUE($A282),'recurring1_based on steps'!AI$1:AI$400,0)),AI$2,)</f>
        <v>0</v>
      </c>
      <c r="AJ282" s="140">
        <f ca="1">IF(ISNUMBER(MATCH(DATEVALUE($A282),'recurring1_based on steps'!AJ$1:AJ$400,0)),AJ$2,)</f>
        <v>0</v>
      </c>
      <c r="AK282" s="140">
        <f ca="1">IF(ISNUMBER(MATCH(DATEVALUE($A282),'recurring1_based on steps'!AK$1:AK$400,0)),AK$2,)</f>
        <v>0</v>
      </c>
      <c r="AL282" s="140">
        <f ca="1">IF(ISNUMBER(MATCH(DATEVALUE($A282),'recurring1_based on steps'!AL$1:AL$400,0)),AL$2,)</f>
        <v>0</v>
      </c>
      <c r="AM282" s="140">
        <f ca="1">IF(ISNUMBER(MATCH(DATEVALUE($A282),'recurring1_based on steps'!AM$1:AM$400,0)),AM$2,)</f>
        <v>0</v>
      </c>
      <c r="AN282" s="140">
        <f ca="1">IF(ISNUMBER(MATCH(DATEVALUE($A282),'recurring1_based on steps'!AN$1:AN$400,0)),AN$2,)</f>
        <v>0</v>
      </c>
      <c r="AO282" s="140">
        <f ca="1">IF(ISNUMBER(MATCH(DATEVALUE($A282),'recurring1_based on steps'!AO$1:AO$400,0)),AO$2,)</f>
        <v>0</v>
      </c>
      <c r="AP282" s="140">
        <f ca="1">IF(ISNUMBER(MATCH(DATEVALUE($A282),'recurring1_based on steps'!AP$1:AP$400,0)),AP$2,)</f>
        <v>0</v>
      </c>
      <c r="AQ282" s="140">
        <f ca="1">IF(ISNUMBER(MATCH(DATEVALUE($A282),'recurring1_based on steps'!AQ$1:AQ$400,0)),AQ$2,)</f>
        <v>0</v>
      </c>
      <c r="AR282" s="140">
        <f ca="1">IF(ISNUMBER(MATCH(DATEVALUE($A282),'recurring1_based on steps'!AR$1:AR$400,0)),AR$2,)</f>
        <v>0</v>
      </c>
      <c r="AS282" s="140">
        <f ca="1">IF(ISNUMBER(MATCH(DATEVALUE($A282),'recurring1_based on steps'!AS$1:AS$400,0)),AS$2,)</f>
        <v>0</v>
      </c>
      <c r="AT282" s="140">
        <f ca="1">IF(ISNUMBER(MATCH(DATEVALUE($A282),'recurring1_based on steps'!AT$1:AT$400,0)),AT$2,)</f>
        <v>0</v>
      </c>
      <c r="AU282" s="140">
        <f ca="1">IF(ISNUMBER(MATCH(DATEVALUE($A282),'recurring1_based on steps'!AU$1:AU$400,0)),AU$2,)</f>
        <v>0</v>
      </c>
      <c r="AV282" s="140">
        <f ca="1">IF(ISNUMBER(MATCH(DATEVALUE($A282),'recurring1_based on steps'!AV$1:AV$400,0)),AV$2,)</f>
        <v>0</v>
      </c>
      <c r="AW282" s="140">
        <f ca="1">IF(ISNUMBER(MATCH(DATEVALUE($A282),'recurring1_based on steps'!AW$1:AW$400,0)),AW$2,)</f>
        <v>0</v>
      </c>
      <c r="AX282" s="140">
        <f ca="1">IF(ISNUMBER(MATCH(DATEVALUE($A282),'recurring1_based on steps'!AX$1:AX$400,0)),AX$2,)</f>
        <v>0</v>
      </c>
      <c r="AY282" s="140">
        <f ca="1">IF(ISNUMBER(MATCH(DATEVALUE($A282),'recurring1_based on steps'!AY$1:AY$400,0)),AY$2,)</f>
        <v>0</v>
      </c>
    </row>
    <row r="283" spans="1:51" x14ac:dyDescent="0.2">
      <c r="A283" s="29" t="str">
        <f t="shared" ca="1" si="4"/>
        <v>2026-01-01</v>
      </c>
      <c r="B283" s="140">
        <f ca="1">IF(ISNUMBER(MATCH(DATEVALUE($A283),'recurring1_based on steps'!B$1:B$400,0)),B$2,)</f>
        <v>0</v>
      </c>
      <c r="C283" s="140">
        <f ca="1">IF(ISNUMBER(MATCH(DATEVALUE($A283),'recurring1_based on steps'!C$1:C$400,0)),C$2,)</f>
        <v>0</v>
      </c>
      <c r="D283" s="140">
        <f ca="1">IF(ISNUMBER(MATCH(DATEVALUE($A283),'recurring1_based on steps'!D$1:D$400,0)),D$2,)</f>
        <v>0</v>
      </c>
      <c r="E283" s="140">
        <f ca="1">IF(ISNUMBER(MATCH(DATEVALUE($A283),'recurring1_based on steps'!E$1:E$400,0)),E$2,)</f>
        <v>0</v>
      </c>
      <c r="F283" s="140">
        <f ca="1">IF(ISNUMBER(MATCH(DATEVALUE($A283),'recurring1_based on steps'!F$1:F$400,0)),F$2,)</f>
        <v>0</v>
      </c>
      <c r="G283" s="140">
        <f ca="1">IF(ISNUMBER(MATCH(DATEVALUE($A283),'recurring1_based on steps'!G$1:G$400,0)),G$2,)</f>
        <v>0</v>
      </c>
      <c r="H283" s="140">
        <f ca="1">IF(ISNUMBER(MATCH(DATEVALUE($A283),'recurring1_based on steps'!H$1:H$400,0)),H$2,)</f>
        <v>0</v>
      </c>
      <c r="I283" s="140">
        <f ca="1">IF(ISNUMBER(MATCH(DATEVALUE($A283),'recurring1_based on steps'!I$1:I$400,0)),I$2,)</f>
        <v>2000</v>
      </c>
      <c r="J283" s="140">
        <f ca="1">IF(ISNUMBER(MATCH(DATEVALUE($A283),'recurring1_based on steps'!J$1:J$400,0)),J$2,)</f>
        <v>0</v>
      </c>
      <c r="K283" s="140">
        <f ca="1">IF(ISNUMBER(MATCH(DATEVALUE($A283),'recurring1_based on steps'!K$1:K$400,0)),K$2,)</f>
        <v>0</v>
      </c>
      <c r="L283" s="140">
        <f ca="1">IF(ISNUMBER(MATCH(DATEVALUE($A283),'recurring1_based on steps'!L$1:L$400,0)),L$2,)</f>
        <v>0</v>
      </c>
      <c r="M283" s="140">
        <f ca="1">IF(ISNUMBER(MATCH(DATEVALUE($A283),'recurring1_based on steps'!M$1:M$400,0)),M$2,)</f>
        <v>0</v>
      </c>
      <c r="N283" s="140">
        <f ca="1">IF(ISNUMBER(MATCH(DATEVALUE($A283),'recurring1_based on steps'!N$1:N$400,0)),N$2,)</f>
        <v>0</v>
      </c>
      <c r="O283" s="140">
        <f ca="1">IF(ISNUMBER(MATCH(DATEVALUE($A283),'recurring1_based on steps'!O$1:O$400,0)),O$2,)</f>
        <v>0</v>
      </c>
      <c r="P283" s="140">
        <f ca="1">IF(ISNUMBER(MATCH(DATEVALUE($A283),'recurring1_based on steps'!P$1:P$400,0)),P$2,)</f>
        <v>0</v>
      </c>
      <c r="Q283" s="140">
        <f ca="1">IF(ISNUMBER(MATCH(DATEVALUE($A283),'recurring1_based on steps'!Q$1:Q$400,0)),Q$2,)</f>
        <v>0</v>
      </c>
      <c r="R283" s="140">
        <f ca="1">IF(ISNUMBER(MATCH(DATEVALUE($A283),'recurring1_based on steps'!R$1:R$400,0)),R$2,)</f>
        <v>0</v>
      </c>
      <c r="S283" s="140">
        <f ca="1">IF(ISNUMBER(MATCH(DATEVALUE($A283),'recurring1_based on steps'!S$1:S$400,0)),S$2,)</f>
        <v>0</v>
      </c>
      <c r="T283" s="140">
        <f ca="1">IF(ISNUMBER(MATCH(DATEVALUE($A283),'recurring1_based on steps'!T$1:T$400,0)),T$2,)</f>
        <v>0</v>
      </c>
      <c r="U283" s="140">
        <f ca="1">IF(ISNUMBER(MATCH(DATEVALUE($A283),'recurring1_based on steps'!U$1:U$400,0)),U$2,)</f>
        <v>0</v>
      </c>
      <c r="V283" s="140">
        <f ca="1">IF(ISNUMBER(MATCH(DATEVALUE($A283),'recurring1_based on steps'!V$1:V$400,0)),V$2,)</f>
        <v>0</v>
      </c>
      <c r="W283" s="140">
        <f ca="1">IF(ISNUMBER(MATCH(DATEVALUE($A283),'recurring1_based on steps'!W$1:W$400,0)),W$2,)</f>
        <v>0</v>
      </c>
      <c r="X283" s="140">
        <f ca="1">IF(ISNUMBER(MATCH(DATEVALUE($A283),'recurring1_based on steps'!X$1:X$400,0)),X$2,)</f>
        <v>0</v>
      </c>
      <c r="Y283" s="140">
        <f ca="1">IF(ISNUMBER(MATCH(DATEVALUE($A283),'recurring1_based on steps'!Y$1:Y$400,0)),Y$2,)</f>
        <v>0</v>
      </c>
      <c r="Z283" s="140">
        <f ca="1">IF(ISNUMBER(MATCH(DATEVALUE($A283),'recurring1_based on steps'!Z$1:Z$400,0)),Z$2,)</f>
        <v>0</v>
      </c>
      <c r="AA283" s="140">
        <f ca="1">IF(ISNUMBER(MATCH(DATEVALUE($A283),'recurring1_based on steps'!AA$1:AA$400,0)),AA$2,)</f>
        <v>0</v>
      </c>
      <c r="AB283" s="140">
        <f ca="1">IF(ISNUMBER(MATCH(DATEVALUE($A283),'recurring1_based on steps'!AB$1:AB$400,0)),AB$2,)</f>
        <v>5.5401662049861494E-2</v>
      </c>
      <c r="AC283" s="140">
        <f ca="1">IF(ISNUMBER(MATCH(DATEVALUE($A283),'recurring1_based on steps'!AC$1:AC$400,0)),AC$2,)</f>
        <v>0</v>
      </c>
      <c r="AD283" s="140">
        <f ca="1">IF(ISNUMBER(MATCH(DATEVALUE($A283),'recurring1_based on steps'!AD$1:AD$400,0)),AD$2,)</f>
        <v>0</v>
      </c>
      <c r="AE283" s="140">
        <f ca="1">IF(ISNUMBER(MATCH(DATEVALUE($A283),'recurring1_based on steps'!AE$1:AE$400,0)),AE$2,)</f>
        <v>0</v>
      </c>
      <c r="AF283" s="140">
        <f ca="1">IF(ISNUMBER(MATCH(DATEVALUE($A283),'recurring1_based on steps'!AF$1:AF$400,0)),AF$2,)</f>
        <v>0</v>
      </c>
      <c r="AG283" s="140">
        <f ca="1">IF(ISNUMBER(MATCH(DATEVALUE($A283),'recurring1_based on steps'!AG$1:AG$400,0)),AG$2,)</f>
        <v>0</v>
      </c>
      <c r="AH283" s="140">
        <f ca="1">IF(ISNUMBER(MATCH(DATEVALUE($A283),'recurring1_based on steps'!AH$1:AH$400,0)),AH$2,)</f>
        <v>0</v>
      </c>
      <c r="AI283" s="140">
        <f ca="1">IF(ISNUMBER(MATCH(DATEVALUE($A283),'recurring1_based on steps'!AI$1:AI$400,0)),AI$2,)</f>
        <v>0</v>
      </c>
      <c r="AJ283" s="140">
        <f ca="1">IF(ISNUMBER(MATCH(DATEVALUE($A283),'recurring1_based on steps'!AJ$1:AJ$400,0)),AJ$2,)</f>
        <v>0</v>
      </c>
      <c r="AK283" s="140">
        <f ca="1">IF(ISNUMBER(MATCH(DATEVALUE($A283),'recurring1_based on steps'!AK$1:AK$400,0)),AK$2,)</f>
        <v>0</v>
      </c>
      <c r="AL283" s="140">
        <f ca="1">IF(ISNUMBER(MATCH(DATEVALUE($A283),'recurring1_based on steps'!AL$1:AL$400,0)),AL$2,)</f>
        <v>0</v>
      </c>
      <c r="AM283" s="140">
        <f ca="1">IF(ISNUMBER(MATCH(DATEVALUE($A283),'recurring1_based on steps'!AM$1:AM$400,0)),AM$2,)</f>
        <v>0</v>
      </c>
      <c r="AN283" s="140">
        <f ca="1">IF(ISNUMBER(MATCH(DATEVALUE($A283),'recurring1_based on steps'!AN$1:AN$400,0)),AN$2,)</f>
        <v>0</v>
      </c>
      <c r="AO283" s="140">
        <f ca="1">IF(ISNUMBER(MATCH(DATEVALUE($A283),'recurring1_based on steps'!AO$1:AO$400,0)),AO$2,)</f>
        <v>0</v>
      </c>
      <c r="AP283" s="140">
        <f ca="1">IF(ISNUMBER(MATCH(DATEVALUE($A283),'recurring1_based on steps'!AP$1:AP$400,0)),AP$2,)</f>
        <v>0</v>
      </c>
      <c r="AQ283" s="140">
        <f ca="1">IF(ISNUMBER(MATCH(DATEVALUE($A283),'recurring1_based on steps'!AQ$1:AQ$400,0)),AQ$2,)</f>
        <v>0</v>
      </c>
      <c r="AR283" s="140">
        <f ca="1">IF(ISNUMBER(MATCH(DATEVALUE($A283),'recurring1_based on steps'!AR$1:AR$400,0)),AR$2,)</f>
        <v>0</v>
      </c>
      <c r="AS283" s="140">
        <f ca="1">IF(ISNUMBER(MATCH(DATEVALUE($A283),'recurring1_based on steps'!AS$1:AS$400,0)),AS$2,)</f>
        <v>0</v>
      </c>
      <c r="AT283" s="140">
        <f ca="1">IF(ISNUMBER(MATCH(DATEVALUE($A283),'recurring1_based on steps'!AT$1:AT$400,0)),AT$2,)</f>
        <v>0</v>
      </c>
      <c r="AU283" s="140">
        <f ca="1">IF(ISNUMBER(MATCH(DATEVALUE($A283),'recurring1_based on steps'!AU$1:AU$400,0)),AU$2,)</f>
        <v>0</v>
      </c>
      <c r="AV283" s="140">
        <f ca="1">IF(ISNUMBER(MATCH(DATEVALUE($A283),'recurring1_based on steps'!AV$1:AV$400,0)),AV$2,)</f>
        <v>0</v>
      </c>
      <c r="AW283" s="140">
        <f ca="1">IF(ISNUMBER(MATCH(DATEVALUE($A283),'recurring1_based on steps'!AW$1:AW$400,0)),AW$2,)</f>
        <v>0</v>
      </c>
      <c r="AX283" s="140">
        <f ca="1">IF(ISNUMBER(MATCH(DATEVALUE($A283),'recurring1_based on steps'!AX$1:AX$400,0)),AX$2,)</f>
        <v>0</v>
      </c>
      <c r="AY283" s="140">
        <f ca="1">IF(ISNUMBER(MATCH(DATEVALUE($A283),'recurring1_based on steps'!AY$1:AY$400,0)),AY$2,)</f>
        <v>0</v>
      </c>
    </row>
    <row r="284" spans="1:51" x14ac:dyDescent="0.2">
      <c r="A284" s="29" t="str">
        <f t="shared" ca="1" si="4"/>
        <v>2026-01-02</v>
      </c>
      <c r="B284" s="140">
        <f ca="1">IF(ISNUMBER(MATCH(DATEVALUE($A284),'recurring1_based on steps'!B$1:B$400,0)),B$2,)</f>
        <v>0</v>
      </c>
      <c r="C284" s="140">
        <f ca="1">IF(ISNUMBER(MATCH(DATEVALUE($A284),'recurring1_based on steps'!C$1:C$400,0)),C$2,)</f>
        <v>0</v>
      </c>
      <c r="D284" s="140">
        <f ca="1">IF(ISNUMBER(MATCH(DATEVALUE($A284),'recurring1_based on steps'!D$1:D$400,0)),D$2,)</f>
        <v>0</v>
      </c>
      <c r="E284" s="140">
        <f ca="1">IF(ISNUMBER(MATCH(DATEVALUE($A284),'recurring1_based on steps'!E$1:E$400,0)),E$2,)</f>
        <v>0</v>
      </c>
      <c r="F284" s="140">
        <f ca="1">IF(ISNUMBER(MATCH(DATEVALUE($A284),'recurring1_based on steps'!F$1:F$400,0)),F$2,)</f>
        <v>0</v>
      </c>
      <c r="G284" s="140">
        <f ca="1">IF(ISNUMBER(MATCH(DATEVALUE($A284),'recurring1_based on steps'!G$1:G$400,0)),G$2,)</f>
        <v>0</v>
      </c>
      <c r="H284" s="140">
        <f ca="1">IF(ISNUMBER(MATCH(DATEVALUE($A284),'recurring1_based on steps'!H$1:H$400,0)),H$2,)</f>
        <v>0</v>
      </c>
      <c r="I284" s="140">
        <f ca="1">IF(ISNUMBER(MATCH(DATEVALUE($A284),'recurring1_based on steps'!I$1:I$400,0)),I$2,)</f>
        <v>0</v>
      </c>
      <c r="J284" s="140">
        <f ca="1">IF(ISNUMBER(MATCH(DATEVALUE($A284),'recurring1_based on steps'!J$1:J$400,0)),J$2,)</f>
        <v>0</v>
      </c>
      <c r="K284" s="140">
        <f ca="1">IF(ISNUMBER(MATCH(DATEVALUE($A284),'recurring1_based on steps'!K$1:K$400,0)),K$2,)</f>
        <v>0</v>
      </c>
      <c r="L284" s="140">
        <f ca="1">IF(ISNUMBER(MATCH(DATEVALUE($A284),'recurring1_based on steps'!L$1:L$400,0)),L$2,)</f>
        <v>0</v>
      </c>
      <c r="M284" s="140">
        <f ca="1">IF(ISNUMBER(MATCH(DATEVALUE($A284),'recurring1_based on steps'!M$1:M$400,0)),M$2,)</f>
        <v>0</v>
      </c>
      <c r="N284" s="140">
        <f ca="1">IF(ISNUMBER(MATCH(DATEVALUE($A284),'recurring1_based on steps'!N$1:N$400,0)),N$2,)</f>
        <v>0</v>
      </c>
      <c r="O284" s="140">
        <f ca="1">IF(ISNUMBER(MATCH(DATEVALUE($A284),'recurring1_based on steps'!O$1:O$400,0)),O$2,)</f>
        <v>0</v>
      </c>
      <c r="P284" s="140">
        <f ca="1">IF(ISNUMBER(MATCH(DATEVALUE($A284),'recurring1_based on steps'!P$1:P$400,0)),P$2,)</f>
        <v>0</v>
      </c>
      <c r="Q284" s="140">
        <f ca="1">IF(ISNUMBER(MATCH(DATEVALUE($A284),'recurring1_based on steps'!Q$1:Q$400,0)),Q$2,)</f>
        <v>0</v>
      </c>
      <c r="R284" s="140">
        <f ca="1">IF(ISNUMBER(MATCH(DATEVALUE($A284),'recurring1_based on steps'!R$1:R$400,0)),R$2,)</f>
        <v>0</v>
      </c>
      <c r="S284" s="140">
        <f ca="1">IF(ISNUMBER(MATCH(DATEVALUE($A284),'recurring1_based on steps'!S$1:S$400,0)),S$2,)</f>
        <v>0</v>
      </c>
      <c r="T284" s="140">
        <f ca="1">IF(ISNUMBER(MATCH(DATEVALUE($A284),'recurring1_based on steps'!T$1:T$400,0)),T$2,)</f>
        <v>0</v>
      </c>
      <c r="U284" s="140">
        <f ca="1">IF(ISNUMBER(MATCH(DATEVALUE($A284),'recurring1_based on steps'!U$1:U$400,0)),U$2,)</f>
        <v>0</v>
      </c>
      <c r="V284" s="140">
        <f ca="1">IF(ISNUMBER(MATCH(DATEVALUE($A284),'recurring1_based on steps'!V$1:V$400,0)),V$2,)</f>
        <v>0</v>
      </c>
      <c r="W284" s="140">
        <f ca="1">IF(ISNUMBER(MATCH(DATEVALUE($A284),'recurring1_based on steps'!W$1:W$400,0)),W$2,)</f>
        <v>0</v>
      </c>
      <c r="X284" s="140">
        <f ca="1">IF(ISNUMBER(MATCH(DATEVALUE($A284),'recurring1_based on steps'!X$1:X$400,0)),X$2,)</f>
        <v>0</v>
      </c>
      <c r="Y284" s="140">
        <f ca="1">IF(ISNUMBER(MATCH(DATEVALUE($A284),'recurring1_based on steps'!Y$1:Y$400,0)),Y$2,)</f>
        <v>0</v>
      </c>
      <c r="Z284" s="140">
        <f ca="1">IF(ISNUMBER(MATCH(DATEVALUE($A284),'recurring1_based on steps'!Z$1:Z$400,0)),Z$2,)</f>
        <v>0</v>
      </c>
      <c r="AA284" s="140">
        <f ca="1">IF(ISNUMBER(MATCH(DATEVALUE($A284),'recurring1_based on steps'!AA$1:AA$400,0)),AA$2,)</f>
        <v>0</v>
      </c>
      <c r="AB284" s="140">
        <f ca="1">IF(ISNUMBER(MATCH(DATEVALUE($A284),'recurring1_based on steps'!AB$1:AB$400,0)),AB$2,)</f>
        <v>5.5401662049861494E-2</v>
      </c>
      <c r="AC284" s="140">
        <f ca="1">IF(ISNUMBER(MATCH(DATEVALUE($A284),'recurring1_based on steps'!AC$1:AC$400,0)),AC$2,)</f>
        <v>0</v>
      </c>
      <c r="AD284" s="140">
        <f ca="1">IF(ISNUMBER(MATCH(DATEVALUE($A284),'recurring1_based on steps'!AD$1:AD$400,0)),AD$2,)</f>
        <v>0</v>
      </c>
      <c r="AE284" s="140">
        <f ca="1">IF(ISNUMBER(MATCH(DATEVALUE($A284),'recurring1_based on steps'!AE$1:AE$400,0)),AE$2,)</f>
        <v>0</v>
      </c>
      <c r="AF284" s="140">
        <f ca="1">IF(ISNUMBER(MATCH(DATEVALUE($A284),'recurring1_based on steps'!AF$1:AF$400,0)),AF$2,)</f>
        <v>0</v>
      </c>
      <c r="AG284" s="140">
        <f ca="1">IF(ISNUMBER(MATCH(DATEVALUE($A284),'recurring1_based on steps'!AG$1:AG$400,0)),AG$2,)</f>
        <v>0</v>
      </c>
      <c r="AH284" s="140">
        <f ca="1">IF(ISNUMBER(MATCH(DATEVALUE($A284),'recurring1_based on steps'!AH$1:AH$400,0)),AH$2,)</f>
        <v>0</v>
      </c>
      <c r="AI284" s="140">
        <f ca="1">IF(ISNUMBER(MATCH(DATEVALUE($A284),'recurring1_based on steps'!AI$1:AI$400,0)),AI$2,)</f>
        <v>0</v>
      </c>
      <c r="AJ284" s="140">
        <f ca="1">IF(ISNUMBER(MATCH(DATEVALUE($A284),'recurring1_based on steps'!AJ$1:AJ$400,0)),AJ$2,)</f>
        <v>0</v>
      </c>
      <c r="AK284" s="140">
        <f ca="1">IF(ISNUMBER(MATCH(DATEVALUE($A284),'recurring1_based on steps'!AK$1:AK$400,0)),AK$2,)</f>
        <v>0</v>
      </c>
      <c r="AL284" s="140">
        <f ca="1">IF(ISNUMBER(MATCH(DATEVALUE($A284),'recurring1_based on steps'!AL$1:AL$400,0)),AL$2,)</f>
        <v>0</v>
      </c>
      <c r="AM284" s="140">
        <f ca="1">IF(ISNUMBER(MATCH(DATEVALUE($A284),'recurring1_based on steps'!AM$1:AM$400,0)),AM$2,)</f>
        <v>0</v>
      </c>
      <c r="AN284" s="140">
        <f ca="1">IF(ISNUMBER(MATCH(DATEVALUE($A284),'recurring1_based on steps'!AN$1:AN$400,0)),AN$2,)</f>
        <v>0</v>
      </c>
      <c r="AO284" s="140">
        <f ca="1">IF(ISNUMBER(MATCH(DATEVALUE($A284),'recurring1_based on steps'!AO$1:AO$400,0)),AO$2,)</f>
        <v>0</v>
      </c>
      <c r="AP284" s="140">
        <f ca="1">IF(ISNUMBER(MATCH(DATEVALUE($A284),'recurring1_based on steps'!AP$1:AP$400,0)),AP$2,)</f>
        <v>0</v>
      </c>
      <c r="AQ284" s="140">
        <f ca="1">IF(ISNUMBER(MATCH(DATEVALUE($A284),'recurring1_based on steps'!AQ$1:AQ$400,0)),AQ$2,)</f>
        <v>0</v>
      </c>
      <c r="AR284" s="140">
        <f ca="1">IF(ISNUMBER(MATCH(DATEVALUE($A284),'recurring1_based on steps'!AR$1:AR$400,0)),AR$2,)</f>
        <v>0</v>
      </c>
      <c r="AS284" s="140">
        <f ca="1">IF(ISNUMBER(MATCH(DATEVALUE($A284),'recurring1_based on steps'!AS$1:AS$400,0)),AS$2,)</f>
        <v>0</v>
      </c>
      <c r="AT284" s="140">
        <f ca="1">IF(ISNUMBER(MATCH(DATEVALUE($A284),'recurring1_based on steps'!AT$1:AT$400,0)),AT$2,)</f>
        <v>0</v>
      </c>
      <c r="AU284" s="140">
        <f ca="1">IF(ISNUMBER(MATCH(DATEVALUE($A284),'recurring1_based on steps'!AU$1:AU$400,0)),AU$2,)</f>
        <v>0</v>
      </c>
      <c r="AV284" s="140">
        <f ca="1">IF(ISNUMBER(MATCH(DATEVALUE($A284),'recurring1_based on steps'!AV$1:AV$400,0)),AV$2,)</f>
        <v>0</v>
      </c>
      <c r="AW284" s="140">
        <f ca="1">IF(ISNUMBER(MATCH(DATEVALUE($A284),'recurring1_based on steps'!AW$1:AW$400,0)),AW$2,)</f>
        <v>0</v>
      </c>
      <c r="AX284" s="140">
        <f ca="1">IF(ISNUMBER(MATCH(DATEVALUE($A284),'recurring1_based on steps'!AX$1:AX$400,0)),AX$2,)</f>
        <v>0</v>
      </c>
      <c r="AY284" s="140">
        <f ca="1">IF(ISNUMBER(MATCH(DATEVALUE($A284),'recurring1_based on steps'!AY$1:AY$400,0)),AY$2,)</f>
        <v>0</v>
      </c>
    </row>
    <row r="285" spans="1:51" x14ac:dyDescent="0.2">
      <c r="A285" s="29" t="str">
        <f t="shared" ca="1" si="4"/>
        <v>2026-01-03</v>
      </c>
      <c r="B285" s="140">
        <f ca="1">IF(ISNUMBER(MATCH(DATEVALUE($A285),'recurring1_based on steps'!B$1:B$400,0)),B$2,)</f>
        <v>0</v>
      </c>
      <c r="C285" s="140">
        <f ca="1">IF(ISNUMBER(MATCH(DATEVALUE($A285),'recurring1_based on steps'!C$1:C$400,0)),C$2,)</f>
        <v>0</v>
      </c>
      <c r="D285" s="140">
        <f ca="1">IF(ISNUMBER(MATCH(DATEVALUE($A285),'recurring1_based on steps'!D$1:D$400,0)),D$2,)</f>
        <v>0</v>
      </c>
      <c r="E285" s="140">
        <f ca="1">IF(ISNUMBER(MATCH(DATEVALUE($A285),'recurring1_based on steps'!E$1:E$400,0)),E$2,)</f>
        <v>0</v>
      </c>
      <c r="F285" s="140">
        <f ca="1">IF(ISNUMBER(MATCH(DATEVALUE($A285),'recurring1_based on steps'!F$1:F$400,0)),F$2,)</f>
        <v>0</v>
      </c>
      <c r="G285" s="140">
        <f ca="1">IF(ISNUMBER(MATCH(DATEVALUE($A285),'recurring1_based on steps'!G$1:G$400,0)),G$2,)</f>
        <v>0</v>
      </c>
      <c r="H285" s="140">
        <f ca="1">IF(ISNUMBER(MATCH(DATEVALUE($A285),'recurring1_based on steps'!H$1:H$400,0)),H$2,)</f>
        <v>0</v>
      </c>
      <c r="I285" s="140">
        <f ca="1">IF(ISNUMBER(MATCH(DATEVALUE($A285),'recurring1_based on steps'!I$1:I$400,0)),I$2,)</f>
        <v>0</v>
      </c>
      <c r="J285" s="140">
        <f ca="1">IF(ISNUMBER(MATCH(DATEVALUE($A285),'recurring1_based on steps'!J$1:J$400,0)),J$2,)</f>
        <v>0</v>
      </c>
      <c r="K285" s="140">
        <f ca="1">IF(ISNUMBER(MATCH(DATEVALUE($A285),'recurring1_based on steps'!K$1:K$400,0)),K$2,)</f>
        <v>0</v>
      </c>
      <c r="L285" s="140">
        <f ca="1">IF(ISNUMBER(MATCH(DATEVALUE($A285),'recurring1_based on steps'!L$1:L$400,0)),L$2,)</f>
        <v>0</v>
      </c>
      <c r="M285" s="140">
        <f ca="1">IF(ISNUMBER(MATCH(DATEVALUE($A285),'recurring1_based on steps'!M$1:M$400,0)),M$2,)</f>
        <v>0</v>
      </c>
      <c r="N285" s="140">
        <f ca="1">IF(ISNUMBER(MATCH(DATEVALUE($A285),'recurring1_based on steps'!N$1:N$400,0)),N$2,)</f>
        <v>0</v>
      </c>
      <c r="O285" s="140">
        <f ca="1">IF(ISNUMBER(MATCH(DATEVALUE($A285),'recurring1_based on steps'!O$1:O$400,0)),O$2,)</f>
        <v>0</v>
      </c>
      <c r="P285" s="140">
        <f ca="1">IF(ISNUMBER(MATCH(DATEVALUE($A285),'recurring1_based on steps'!P$1:P$400,0)),P$2,)</f>
        <v>0</v>
      </c>
      <c r="Q285" s="140">
        <f ca="1">IF(ISNUMBER(MATCH(DATEVALUE($A285),'recurring1_based on steps'!Q$1:Q$400,0)),Q$2,)</f>
        <v>100</v>
      </c>
      <c r="R285" s="140">
        <f ca="1">IF(ISNUMBER(MATCH(DATEVALUE($A285),'recurring1_based on steps'!R$1:R$400,0)),R$2,)</f>
        <v>100</v>
      </c>
      <c r="S285" s="140">
        <f ca="1">IF(ISNUMBER(MATCH(DATEVALUE($A285),'recurring1_based on steps'!S$1:S$400,0)),S$2,)</f>
        <v>0</v>
      </c>
      <c r="T285" s="140">
        <f ca="1">IF(ISNUMBER(MATCH(DATEVALUE($A285),'recurring1_based on steps'!T$1:T$400,0)),T$2,)</f>
        <v>0</v>
      </c>
      <c r="U285" s="140">
        <f ca="1">IF(ISNUMBER(MATCH(DATEVALUE($A285),'recurring1_based on steps'!U$1:U$400,0)),U$2,)</f>
        <v>0</v>
      </c>
      <c r="V285" s="140">
        <f ca="1">IF(ISNUMBER(MATCH(DATEVALUE($A285),'recurring1_based on steps'!V$1:V$400,0)),V$2,)</f>
        <v>0</v>
      </c>
      <c r="W285" s="140">
        <f ca="1">IF(ISNUMBER(MATCH(DATEVALUE($A285),'recurring1_based on steps'!W$1:W$400,0)),W$2,)</f>
        <v>0</v>
      </c>
      <c r="X285" s="140">
        <f ca="1">IF(ISNUMBER(MATCH(DATEVALUE($A285),'recurring1_based on steps'!X$1:X$400,0)),X$2,)</f>
        <v>0</v>
      </c>
      <c r="Y285" s="140">
        <f ca="1">IF(ISNUMBER(MATCH(DATEVALUE($A285),'recurring1_based on steps'!Y$1:Y$400,0)),Y$2,)</f>
        <v>0</v>
      </c>
      <c r="Z285" s="140">
        <f ca="1">IF(ISNUMBER(MATCH(DATEVALUE($A285),'recurring1_based on steps'!Z$1:Z$400,0)),Z$2,)</f>
        <v>0</v>
      </c>
      <c r="AA285" s="140">
        <f ca="1">IF(ISNUMBER(MATCH(DATEVALUE($A285),'recurring1_based on steps'!AA$1:AA$400,0)),AA$2,)</f>
        <v>0</v>
      </c>
      <c r="AB285" s="140">
        <f ca="1">IF(ISNUMBER(MATCH(DATEVALUE($A285),'recurring1_based on steps'!AB$1:AB$400,0)),AB$2,)</f>
        <v>5.5401662049861494E-2</v>
      </c>
      <c r="AC285" s="140">
        <f ca="1">IF(ISNUMBER(MATCH(DATEVALUE($A285),'recurring1_based on steps'!AC$1:AC$400,0)),AC$2,)</f>
        <v>0</v>
      </c>
      <c r="AD285" s="140">
        <f ca="1">IF(ISNUMBER(MATCH(DATEVALUE($A285),'recurring1_based on steps'!AD$1:AD$400,0)),AD$2,)</f>
        <v>0</v>
      </c>
      <c r="AE285" s="140">
        <f ca="1">IF(ISNUMBER(MATCH(DATEVALUE($A285),'recurring1_based on steps'!AE$1:AE$400,0)),AE$2,)</f>
        <v>0</v>
      </c>
      <c r="AF285" s="140">
        <f ca="1">IF(ISNUMBER(MATCH(DATEVALUE($A285),'recurring1_based on steps'!AF$1:AF$400,0)),AF$2,)</f>
        <v>0</v>
      </c>
      <c r="AG285" s="140">
        <f ca="1">IF(ISNUMBER(MATCH(DATEVALUE($A285),'recurring1_based on steps'!AG$1:AG$400,0)),AG$2,)</f>
        <v>0</v>
      </c>
      <c r="AH285" s="140">
        <f ca="1">IF(ISNUMBER(MATCH(DATEVALUE($A285),'recurring1_based on steps'!AH$1:AH$400,0)),AH$2,)</f>
        <v>0</v>
      </c>
      <c r="AI285" s="140">
        <f ca="1">IF(ISNUMBER(MATCH(DATEVALUE($A285),'recurring1_based on steps'!AI$1:AI$400,0)),AI$2,)</f>
        <v>0</v>
      </c>
      <c r="AJ285" s="140">
        <f ca="1">IF(ISNUMBER(MATCH(DATEVALUE($A285),'recurring1_based on steps'!AJ$1:AJ$400,0)),AJ$2,)</f>
        <v>0</v>
      </c>
      <c r="AK285" s="140">
        <f ca="1">IF(ISNUMBER(MATCH(DATEVALUE($A285),'recurring1_based on steps'!AK$1:AK$400,0)),AK$2,)</f>
        <v>0</v>
      </c>
      <c r="AL285" s="140">
        <f ca="1">IF(ISNUMBER(MATCH(DATEVALUE($A285),'recurring1_based on steps'!AL$1:AL$400,0)),AL$2,)</f>
        <v>0</v>
      </c>
      <c r="AM285" s="140">
        <f ca="1">IF(ISNUMBER(MATCH(DATEVALUE($A285),'recurring1_based on steps'!AM$1:AM$400,0)),AM$2,)</f>
        <v>0</v>
      </c>
      <c r="AN285" s="140">
        <f ca="1">IF(ISNUMBER(MATCH(DATEVALUE($A285),'recurring1_based on steps'!AN$1:AN$400,0)),AN$2,)</f>
        <v>0</v>
      </c>
      <c r="AO285" s="140">
        <f ca="1">IF(ISNUMBER(MATCH(DATEVALUE($A285),'recurring1_based on steps'!AO$1:AO$400,0)),AO$2,)</f>
        <v>0</v>
      </c>
      <c r="AP285" s="140">
        <f ca="1">IF(ISNUMBER(MATCH(DATEVALUE($A285),'recurring1_based on steps'!AP$1:AP$400,0)),AP$2,)</f>
        <v>0</v>
      </c>
      <c r="AQ285" s="140">
        <f ca="1">IF(ISNUMBER(MATCH(DATEVALUE($A285),'recurring1_based on steps'!AQ$1:AQ$400,0)),AQ$2,)</f>
        <v>0</v>
      </c>
      <c r="AR285" s="140">
        <f ca="1">IF(ISNUMBER(MATCH(DATEVALUE($A285),'recurring1_based on steps'!AR$1:AR$400,0)),AR$2,)</f>
        <v>0</v>
      </c>
      <c r="AS285" s="140">
        <f ca="1">IF(ISNUMBER(MATCH(DATEVALUE($A285),'recurring1_based on steps'!AS$1:AS$400,0)),AS$2,)</f>
        <v>0</v>
      </c>
      <c r="AT285" s="140">
        <f ca="1">IF(ISNUMBER(MATCH(DATEVALUE($A285),'recurring1_based on steps'!AT$1:AT$400,0)),AT$2,)</f>
        <v>0</v>
      </c>
      <c r="AU285" s="140">
        <f ca="1">IF(ISNUMBER(MATCH(DATEVALUE($A285),'recurring1_based on steps'!AU$1:AU$400,0)),AU$2,)</f>
        <v>0</v>
      </c>
      <c r="AV285" s="140">
        <f ca="1">IF(ISNUMBER(MATCH(DATEVALUE($A285),'recurring1_based on steps'!AV$1:AV$400,0)),AV$2,)</f>
        <v>0</v>
      </c>
      <c r="AW285" s="140">
        <f ca="1">IF(ISNUMBER(MATCH(DATEVALUE($A285),'recurring1_based on steps'!AW$1:AW$400,0)),AW$2,)</f>
        <v>0</v>
      </c>
      <c r="AX285" s="140">
        <f ca="1">IF(ISNUMBER(MATCH(DATEVALUE($A285),'recurring1_based on steps'!AX$1:AX$400,0)),AX$2,)</f>
        <v>0</v>
      </c>
      <c r="AY285" s="140">
        <f ca="1">IF(ISNUMBER(MATCH(DATEVALUE($A285),'recurring1_based on steps'!AY$1:AY$400,0)),AY$2,)</f>
        <v>0</v>
      </c>
    </row>
    <row r="286" spans="1:51" x14ac:dyDescent="0.2">
      <c r="A286" s="29" t="str">
        <f t="shared" ca="1" si="4"/>
        <v>2026-01-04</v>
      </c>
      <c r="B286" s="140">
        <f ca="1">IF(ISNUMBER(MATCH(DATEVALUE($A286),'recurring1_based on steps'!B$1:B$400,0)),B$2,)</f>
        <v>0</v>
      </c>
      <c r="C286" s="140">
        <f ca="1">IF(ISNUMBER(MATCH(DATEVALUE($A286),'recurring1_based on steps'!C$1:C$400,0)),C$2,)</f>
        <v>0</v>
      </c>
      <c r="D286" s="140">
        <f ca="1">IF(ISNUMBER(MATCH(DATEVALUE($A286),'recurring1_based on steps'!D$1:D$400,0)),D$2,)</f>
        <v>0</v>
      </c>
      <c r="E286" s="140">
        <f ca="1">IF(ISNUMBER(MATCH(DATEVALUE($A286),'recurring1_based on steps'!E$1:E$400,0)),E$2,)</f>
        <v>0</v>
      </c>
      <c r="F286" s="140">
        <f ca="1">IF(ISNUMBER(MATCH(DATEVALUE($A286),'recurring1_based on steps'!F$1:F$400,0)),F$2,)</f>
        <v>0</v>
      </c>
      <c r="G286" s="140">
        <f ca="1">IF(ISNUMBER(MATCH(DATEVALUE($A286),'recurring1_based on steps'!G$1:G$400,0)),G$2,)</f>
        <v>0</v>
      </c>
      <c r="H286" s="140">
        <f ca="1">IF(ISNUMBER(MATCH(DATEVALUE($A286),'recurring1_based on steps'!H$1:H$400,0)),H$2,)</f>
        <v>0</v>
      </c>
      <c r="I286" s="140">
        <f ca="1">IF(ISNUMBER(MATCH(DATEVALUE($A286),'recurring1_based on steps'!I$1:I$400,0)),I$2,)</f>
        <v>0</v>
      </c>
      <c r="J286" s="140">
        <f ca="1">IF(ISNUMBER(MATCH(DATEVALUE($A286),'recurring1_based on steps'!J$1:J$400,0)),J$2,)</f>
        <v>0</v>
      </c>
      <c r="K286" s="140">
        <f ca="1">IF(ISNUMBER(MATCH(DATEVALUE($A286),'recurring1_based on steps'!K$1:K$400,0)),K$2,)</f>
        <v>50</v>
      </c>
      <c r="L286" s="140">
        <f ca="1">IF(ISNUMBER(MATCH(DATEVALUE($A286),'recurring1_based on steps'!L$1:L$400,0)),L$2,)</f>
        <v>0</v>
      </c>
      <c r="M286" s="140">
        <f ca="1">IF(ISNUMBER(MATCH(DATEVALUE($A286),'recurring1_based on steps'!M$1:M$400,0)),M$2,)</f>
        <v>15</v>
      </c>
      <c r="N286" s="140">
        <f ca="1">IF(ISNUMBER(MATCH(DATEVALUE($A286),'recurring1_based on steps'!N$1:N$400,0)),N$2,)</f>
        <v>0</v>
      </c>
      <c r="O286" s="140">
        <f ca="1">IF(ISNUMBER(MATCH(DATEVALUE($A286),'recurring1_based on steps'!O$1:O$400,0)),O$2,)</f>
        <v>0</v>
      </c>
      <c r="P286" s="140">
        <f ca="1">IF(ISNUMBER(MATCH(DATEVALUE($A286),'recurring1_based on steps'!P$1:P$400,0)),P$2,)</f>
        <v>0</v>
      </c>
      <c r="Q286" s="140">
        <f ca="1">IF(ISNUMBER(MATCH(DATEVALUE($A286),'recurring1_based on steps'!Q$1:Q$400,0)),Q$2,)</f>
        <v>0</v>
      </c>
      <c r="R286" s="140">
        <f ca="1">IF(ISNUMBER(MATCH(DATEVALUE($A286),'recurring1_based on steps'!R$1:R$400,0)),R$2,)</f>
        <v>0</v>
      </c>
      <c r="S286" s="140">
        <f ca="1">IF(ISNUMBER(MATCH(DATEVALUE($A286),'recurring1_based on steps'!S$1:S$400,0)),S$2,)</f>
        <v>100</v>
      </c>
      <c r="T286" s="140">
        <f ca="1">IF(ISNUMBER(MATCH(DATEVALUE($A286),'recurring1_based on steps'!T$1:T$400,0)),T$2,)</f>
        <v>0</v>
      </c>
      <c r="U286" s="140">
        <f ca="1">IF(ISNUMBER(MATCH(DATEVALUE($A286),'recurring1_based on steps'!U$1:U$400,0)),U$2,)</f>
        <v>0</v>
      </c>
      <c r="V286" s="140">
        <f ca="1">IF(ISNUMBER(MATCH(DATEVALUE($A286),'recurring1_based on steps'!V$1:V$400,0)),V$2,)</f>
        <v>0</v>
      </c>
      <c r="W286" s="140">
        <f ca="1">IF(ISNUMBER(MATCH(DATEVALUE($A286),'recurring1_based on steps'!W$1:W$400,0)),W$2,)</f>
        <v>0</v>
      </c>
      <c r="X286" s="140">
        <f ca="1">IF(ISNUMBER(MATCH(DATEVALUE($A286),'recurring1_based on steps'!X$1:X$400,0)),X$2,)</f>
        <v>0</v>
      </c>
      <c r="Y286" s="140">
        <f ca="1">IF(ISNUMBER(MATCH(DATEVALUE($A286),'recurring1_based on steps'!Y$1:Y$400,0)),Y$2,)</f>
        <v>0</v>
      </c>
      <c r="Z286" s="140">
        <f ca="1">IF(ISNUMBER(MATCH(DATEVALUE($A286),'recurring1_based on steps'!Z$1:Z$400,0)),Z$2,)</f>
        <v>0</v>
      </c>
      <c r="AA286" s="140">
        <f ca="1">IF(ISNUMBER(MATCH(DATEVALUE($A286),'recurring1_based on steps'!AA$1:AA$400,0)),AA$2,)</f>
        <v>0</v>
      </c>
      <c r="AB286" s="140">
        <f ca="1">IF(ISNUMBER(MATCH(DATEVALUE($A286),'recurring1_based on steps'!AB$1:AB$400,0)),AB$2,)</f>
        <v>5.5401662049861494E-2</v>
      </c>
      <c r="AC286" s="140">
        <f ca="1">IF(ISNUMBER(MATCH(DATEVALUE($A286),'recurring1_based on steps'!AC$1:AC$400,0)),AC$2,)</f>
        <v>0</v>
      </c>
      <c r="AD286" s="140">
        <f ca="1">IF(ISNUMBER(MATCH(DATEVALUE($A286),'recurring1_based on steps'!AD$1:AD$400,0)),AD$2,)</f>
        <v>0</v>
      </c>
      <c r="AE286" s="140">
        <f ca="1">IF(ISNUMBER(MATCH(DATEVALUE($A286),'recurring1_based on steps'!AE$1:AE$400,0)),AE$2,)</f>
        <v>0</v>
      </c>
      <c r="AF286" s="140">
        <f ca="1">IF(ISNUMBER(MATCH(DATEVALUE($A286),'recurring1_based on steps'!AF$1:AF$400,0)),AF$2,)</f>
        <v>0</v>
      </c>
      <c r="AG286" s="140">
        <f ca="1">IF(ISNUMBER(MATCH(DATEVALUE($A286),'recurring1_based on steps'!AG$1:AG$400,0)),AG$2,)</f>
        <v>0</v>
      </c>
      <c r="AH286" s="140">
        <f ca="1">IF(ISNUMBER(MATCH(DATEVALUE($A286),'recurring1_based on steps'!AH$1:AH$400,0)),AH$2,)</f>
        <v>0</v>
      </c>
      <c r="AI286" s="140">
        <f ca="1">IF(ISNUMBER(MATCH(DATEVALUE($A286),'recurring1_based on steps'!AI$1:AI$400,0)),AI$2,)</f>
        <v>0</v>
      </c>
      <c r="AJ286" s="140">
        <f ca="1">IF(ISNUMBER(MATCH(DATEVALUE($A286),'recurring1_based on steps'!AJ$1:AJ$400,0)),AJ$2,)</f>
        <v>0</v>
      </c>
      <c r="AK286" s="140">
        <f ca="1">IF(ISNUMBER(MATCH(DATEVALUE($A286),'recurring1_based on steps'!AK$1:AK$400,0)),AK$2,)</f>
        <v>0</v>
      </c>
      <c r="AL286" s="140">
        <f ca="1">IF(ISNUMBER(MATCH(DATEVALUE($A286),'recurring1_based on steps'!AL$1:AL$400,0)),AL$2,)</f>
        <v>0</v>
      </c>
      <c r="AM286" s="140">
        <f ca="1">IF(ISNUMBER(MATCH(DATEVALUE($A286),'recurring1_based on steps'!AM$1:AM$400,0)),AM$2,)</f>
        <v>0</v>
      </c>
      <c r="AN286" s="140">
        <f ca="1">IF(ISNUMBER(MATCH(DATEVALUE($A286),'recurring1_based on steps'!AN$1:AN$400,0)),AN$2,)</f>
        <v>0</v>
      </c>
      <c r="AO286" s="140">
        <f ca="1">IF(ISNUMBER(MATCH(DATEVALUE($A286),'recurring1_based on steps'!AO$1:AO$400,0)),AO$2,)</f>
        <v>0</v>
      </c>
      <c r="AP286" s="140">
        <f ca="1">IF(ISNUMBER(MATCH(DATEVALUE($A286),'recurring1_based on steps'!AP$1:AP$400,0)),AP$2,)</f>
        <v>0</v>
      </c>
      <c r="AQ286" s="140">
        <f ca="1">IF(ISNUMBER(MATCH(DATEVALUE($A286),'recurring1_based on steps'!AQ$1:AQ$400,0)),AQ$2,)</f>
        <v>0</v>
      </c>
      <c r="AR286" s="140">
        <f ca="1">IF(ISNUMBER(MATCH(DATEVALUE($A286),'recurring1_based on steps'!AR$1:AR$400,0)),AR$2,)</f>
        <v>0</v>
      </c>
      <c r="AS286" s="140">
        <f ca="1">IF(ISNUMBER(MATCH(DATEVALUE($A286),'recurring1_based on steps'!AS$1:AS$400,0)),AS$2,)</f>
        <v>0</v>
      </c>
      <c r="AT286" s="140">
        <f ca="1">IF(ISNUMBER(MATCH(DATEVALUE($A286),'recurring1_based on steps'!AT$1:AT$400,0)),AT$2,)</f>
        <v>0</v>
      </c>
      <c r="AU286" s="140">
        <f ca="1">IF(ISNUMBER(MATCH(DATEVALUE($A286),'recurring1_based on steps'!AU$1:AU$400,0)),AU$2,)</f>
        <v>0</v>
      </c>
      <c r="AV286" s="140">
        <f ca="1">IF(ISNUMBER(MATCH(DATEVALUE($A286),'recurring1_based on steps'!AV$1:AV$400,0)),AV$2,)</f>
        <v>0</v>
      </c>
      <c r="AW286" s="140">
        <f ca="1">IF(ISNUMBER(MATCH(DATEVALUE($A286),'recurring1_based on steps'!AW$1:AW$400,0)),AW$2,)</f>
        <v>0</v>
      </c>
      <c r="AX286" s="140">
        <f ca="1">IF(ISNUMBER(MATCH(DATEVALUE($A286),'recurring1_based on steps'!AX$1:AX$400,0)),AX$2,)</f>
        <v>0</v>
      </c>
      <c r="AY286" s="140">
        <f ca="1">IF(ISNUMBER(MATCH(DATEVALUE($A286),'recurring1_based on steps'!AY$1:AY$400,0)),AY$2,)</f>
        <v>0</v>
      </c>
    </row>
    <row r="287" spans="1:51" x14ac:dyDescent="0.2">
      <c r="A287" s="29" t="str">
        <f t="shared" ca="1" si="4"/>
        <v>2026-01-05</v>
      </c>
      <c r="B287" s="140">
        <f ca="1">IF(ISNUMBER(MATCH(DATEVALUE($A287),'recurring1_based on steps'!B$1:B$400,0)),B$2,)</f>
        <v>0</v>
      </c>
      <c r="C287" s="140">
        <f ca="1">IF(ISNUMBER(MATCH(DATEVALUE($A287),'recurring1_based on steps'!C$1:C$400,0)),C$2,)</f>
        <v>0</v>
      </c>
      <c r="D287" s="140">
        <f ca="1">IF(ISNUMBER(MATCH(DATEVALUE($A287),'recurring1_based on steps'!D$1:D$400,0)),D$2,)</f>
        <v>0</v>
      </c>
      <c r="E287" s="140">
        <f ca="1">IF(ISNUMBER(MATCH(DATEVALUE($A287),'recurring1_based on steps'!E$1:E$400,0)),E$2,)</f>
        <v>0</v>
      </c>
      <c r="F287" s="140">
        <f ca="1">IF(ISNUMBER(MATCH(DATEVALUE($A287),'recurring1_based on steps'!F$1:F$400,0)),F$2,)</f>
        <v>0</v>
      </c>
      <c r="G287" s="140">
        <f ca="1">IF(ISNUMBER(MATCH(DATEVALUE($A287),'recurring1_based on steps'!G$1:G$400,0)),G$2,)</f>
        <v>0</v>
      </c>
      <c r="H287" s="140">
        <f ca="1">IF(ISNUMBER(MATCH(DATEVALUE($A287),'recurring1_based on steps'!H$1:H$400,0)),H$2,)</f>
        <v>0</v>
      </c>
      <c r="I287" s="140">
        <f ca="1">IF(ISNUMBER(MATCH(DATEVALUE($A287),'recurring1_based on steps'!I$1:I$400,0)),I$2,)</f>
        <v>0</v>
      </c>
      <c r="J287" s="140">
        <f ca="1">IF(ISNUMBER(MATCH(DATEVALUE($A287),'recurring1_based on steps'!J$1:J$400,0)),J$2,)</f>
        <v>0</v>
      </c>
      <c r="K287" s="140">
        <f ca="1">IF(ISNUMBER(MATCH(DATEVALUE($A287),'recurring1_based on steps'!K$1:K$400,0)),K$2,)</f>
        <v>0</v>
      </c>
      <c r="L287" s="140">
        <f ca="1">IF(ISNUMBER(MATCH(DATEVALUE($A287),'recurring1_based on steps'!L$1:L$400,0)),L$2,)</f>
        <v>0</v>
      </c>
      <c r="M287" s="140">
        <f ca="1">IF(ISNUMBER(MATCH(DATEVALUE($A287),'recurring1_based on steps'!M$1:M$400,0)),M$2,)</f>
        <v>0</v>
      </c>
      <c r="N287" s="140">
        <f ca="1">IF(ISNUMBER(MATCH(DATEVALUE($A287),'recurring1_based on steps'!N$1:N$400,0)),N$2,)</f>
        <v>0</v>
      </c>
      <c r="O287" s="140">
        <f ca="1">IF(ISNUMBER(MATCH(DATEVALUE($A287),'recurring1_based on steps'!O$1:O$400,0)),O$2,)</f>
        <v>0</v>
      </c>
      <c r="P287" s="140">
        <f ca="1">IF(ISNUMBER(MATCH(DATEVALUE($A287),'recurring1_based on steps'!P$1:P$400,0)),P$2,)</f>
        <v>0</v>
      </c>
      <c r="Q287" s="140">
        <f ca="1">IF(ISNUMBER(MATCH(DATEVALUE($A287),'recurring1_based on steps'!Q$1:Q$400,0)),Q$2,)</f>
        <v>0</v>
      </c>
      <c r="R287" s="140">
        <f ca="1">IF(ISNUMBER(MATCH(DATEVALUE($A287),'recurring1_based on steps'!R$1:R$400,0)),R$2,)</f>
        <v>0</v>
      </c>
      <c r="S287" s="140">
        <f ca="1">IF(ISNUMBER(MATCH(DATEVALUE($A287),'recurring1_based on steps'!S$1:S$400,0)),S$2,)</f>
        <v>0</v>
      </c>
      <c r="T287" s="140">
        <f ca="1">IF(ISNUMBER(MATCH(DATEVALUE($A287),'recurring1_based on steps'!T$1:T$400,0)),T$2,)</f>
        <v>50</v>
      </c>
      <c r="U287" s="140">
        <f ca="1">IF(ISNUMBER(MATCH(DATEVALUE($A287),'recurring1_based on steps'!U$1:U$400,0)),U$2,)</f>
        <v>0</v>
      </c>
      <c r="V287" s="140">
        <f ca="1">IF(ISNUMBER(MATCH(DATEVALUE($A287),'recurring1_based on steps'!V$1:V$400,0)),V$2,)</f>
        <v>0</v>
      </c>
      <c r="W287" s="140">
        <f ca="1">IF(ISNUMBER(MATCH(DATEVALUE($A287),'recurring1_based on steps'!W$1:W$400,0)),W$2,)</f>
        <v>0</v>
      </c>
      <c r="X287" s="140">
        <f ca="1">IF(ISNUMBER(MATCH(DATEVALUE($A287),'recurring1_based on steps'!X$1:X$400,0)),X$2,)</f>
        <v>0</v>
      </c>
      <c r="Y287" s="140">
        <f ca="1">IF(ISNUMBER(MATCH(DATEVALUE($A287),'recurring1_based on steps'!Y$1:Y$400,0)),Y$2,)</f>
        <v>0</v>
      </c>
      <c r="Z287" s="140">
        <f ca="1">IF(ISNUMBER(MATCH(DATEVALUE($A287),'recurring1_based on steps'!Z$1:Z$400,0)),Z$2,)</f>
        <v>0</v>
      </c>
      <c r="AA287" s="140">
        <f ca="1">IF(ISNUMBER(MATCH(DATEVALUE($A287),'recurring1_based on steps'!AA$1:AA$400,0)),AA$2,)</f>
        <v>0</v>
      </c>
      <c r="AB287" s="140">
        <f ca="1">IF(ISNUMBER(MATCH(DATEVALUE($A287),'recurring1_based on steps'!AB$1:AB$400,0)),AB$2,)</f>
        <v>5.5401662049861494E-2</v>
      </c>
      <c r="AC287" s="140">
        <f ca="1">IF(ISNUMBER(MATCH(DATEVALUE($A287),'recurring1_based on steps'!AC$1:AC$400,0)),AC$2,)</f>
        <v>0</v>
      </c>
      <c r="AD287" s="140">
        <f ca="1">IF(ISNUMBER(MATCH(DATEVALUE($A287),'recurring1_based on steps'!AD$1:AD$400,0)),AD$2,)</f>
        <v>0</v>
      </c>
      <c r="AE287" s="140">
        <f ca="1">IF(ISNUMBER(MATCH(DATEVALUE($A287),'recurring1_based on steps'!AE$1:AE$400,0)),AE$2,)</f>
        <v>0</v>
      </c>
      <c r="AF287" s="140">
        <f ca="1">IF(ISNUMBER(MATCH(DATEVALUE($A287),'recurring1_based on steps'!AF$1:AF$400,0)),AF$2,)</f>
        <v>0</v>
      </c>
      <c r="AG287" s="140">
        <f ca="1">IF(ISNUMBER(MATCH(DATEVALUE($A287),'recurring1_based on steps'!AG$1:AG$400,0)),AG$2,)</f>
        <v>0</v>
      </c>
      <c r="AH287" s="140">
        <f ca="1">IF(ISNUMBER(MATCH(DATEVALUE($A287),'recurring1_based on steps'!AH$1:AH$400,0)),AH$2,)</f>
        <v>0</v>
      </c>
      <c r="AI287" s="140">
        <f ca="1">IF(ISNUMBER(MATCH(DATEVALUE($A287),'recurring1_based on steps'!AI$1:AI$400,0)),AI$2,)</f>
        <v>0</v>
      </c>
      <c r="AJ287" s="140">
        <f ca="1">IF(ISNUMBER(MATCH(DATEVALUE($A287),'recurring1_based on steps'!AJ$1:AJ$400,0)),AJ$2,)</f>
        <v>0</v>
      </c>
      <c r="AK287" s="140">
        <f ca="1">IF(ISNUMBER(MATCH(DATEVALUE($A287),'recurring1_based on steps'!AK$1:AK$400,0)),AK$2,)</f>
        <v>0</v>
      </c>
      <c r="AL287" s="140">
        <f ca="1">IF(ISNUMBER(MATCH(DATEVALUE($A287),'recurring1_based on steps'!AL$1:AL$400,0)),AL$2,)</f>
        <v>0</v>
      </c>
      <c r="AM287" s="140">
        <f ca="1">IF(ISNUMBER(MATCH(DATEVALUE($A287),'recurring1_based on steps'!AM$1:AM$400,0)),AM$2,)</f>
        <v>0</v>
      </c>
      <c r="AN287" s="140">
        <f ca="1">IF(ISNUMBER(MATCH(DATEVALUE($A287),'recurring1_based on steps'!AN$1:AN$400,0)),AN$2,)</f>
        <v>0</v>
      </c>
      <c r="AO287" s="140">
        <f ca="1">IF(ISNUMBER(MATCH(DATEVALUE($A287),'recurring1_based on steps'!AO$1:AO$400,0)),AO$2,)</f>
        <v>0</v>
      </c>
      <c r="AP287" s="140">
        <f ca="1">IF(ISNUMBER(MATCH(DATEVALUE($A287),'recurring1_based on steps'!AP$1:AP$400,0)),AP$2,)</f>
        <v>0</v>
      </c>
      <c r="AQ287" s="140">
        <f ca="1">IF(ISNUMBER(MATCH(DATEVALUE($A287),'recurring1_based on steps'!AQ$1:AQ$400,0)),AQ$2,)</f>
        <v>0</v>
      </c>
      <c r="AR287" s="140">
        <f ca="1">IF(ISNUMBER(MATCH(DATEVALUE($A287),'recurring1_based on steps'!AR$1:AR$400,0)),AR$2,)</f>
        <v>0</v>
      </c>
      <c r="AS287" s="140">
        <f ca="1">IF(ISNUMBER(MATCH(DATEVALUE($A287),'recurring1_based on steps'!AS$1:AS$400,0)),AS$2,)</f>
        <v>0</v>
      </c>
      <c r="AT287" s="140">
        <f ca="1">IF(ISNUMBER(MATCH(DATEVALUE($A287),'recurring1_based on steps'!AT$1:AT$400,0)),AT$2,)</f>
        <v>0</v>
      </c>
      <c r="AU287" s="140">
        <f ca="1">IF(ISNUMBER(MATCH(DATEVALUE($A287),'recurring1_based on steps'!AU$1:AU$400,0)),AU$2,)</f>
        <v>0</v>
      </c>
      <c r="AV287" s="140">
        <f ca="1">IF(ISNUMBER(MATCH(DATEVALUE($A287),'recurring1_based on steps'!AV$1:AV$400,0)),AV$2,)</f>
        <v>0</v>
      </c>
      <c r="AW287" s="140">
        <f ca="1">IF(ISNUMBER(MATCH(DATEVALUE($A287),'recurring1_based on steps'!AW$1:AW$400,0)),AW$2,)</f>
        <v>0</v>
      </c>
      <c r="AX287" s="140">
        <f ca="1">IF(ISNUMBER(MATCH(DATEVALUE($A287),'recurring1_based on steps'!AX$1:AX$400,0)),AX$2,)</f>
        <v>0</v>
      </c>
      <c r="AY287" s="140">
        <f ca="1">IF(ISNUMBER(MATCH(DATEVALUE($A287),'recurring1_based on steps'!AY$1:AY$400,0)),AY$2,)</f>
        <v>0</v>
      </c>
    </row>
    <row r="288" spans="1:51" x14ac:dyDescent="0.2">
      <c r="A288" s="29" t="str">
        <f t="shared" ca="1" si="4"/>
        <v>2026-01-06</v>
      </c>
      <c r="B288" s="140">
        <f ca="1">IF(ISNUMBER(MATCH(DATEVALUE($A288),'recurring1_based on steps'!B$1:B$400,0)),B$2,)</f>
        <v>0</v>
      </c>
      <c r="C288" s="140">
        <f ca="1">IF(ISNUMBER(MATCH(DATEVALUE($A288),'recurring1_based on steps'!C$1:C$400,0)),C$2,)</f>
        <v>0</v>
      </c>
      <c r="D288" s="140">
        <f ca="1">IF(ISNUMBER(MATCH(DATEVALUE($A288),'recurring1_based on steps'!D$1:D$400,0)),D$2,)</f>
        <v>0</v>
      </c>
      <c r="E288" s="140">
        <f ca="1">IF(ISNUMBER(MATCH(DATEVALUE($A288),'recurring1_based on steps'!E$1:E$400,0)),E$2,)</f>
        <v>0</v>
      </c>
      <c r="F288" s="140">
        <f ca="1">IF(ISNUMBER(MATCH(DATEVALUE($A288),'recurring1_based on steps'!F$1:F$400,0)),F$2,)</f>
        <v>0</v>
      </c>
      <c r="G288" s="140">
        <f ca="1">IF(ISNUMBER(MATCH(DATEVALUE($A288),'recurring1_based on steps'!G$1:G$400,0)),G$2,)</f>
        <v>0</v>
      </c>
      <c r="H288" s="140">
        <f ca="1">IF(ISNUMBER(MATCH(DATEVALUE($A288),'recurring1_based on steps'!H$1:H$400,0)),H$2,)</f>
        <v>0</v>
      </c>
      <c r="I288" s="140">
        <f ca="1">IF(ISNUMBER(MATCH(DATEVALUE($A288),'recurring1_based on steps'!I$1:I$400,0)),I$2,)</f>
        <v>0</v>
      </c>
      <c r="J288" s="140">
        <f ca="1">IF(ISNUMBER(MATCH(DATEVALUE($A288),'recurring1_based on steps'!J$1:J$400,0)),J$2,)</f>
        <v>0</v>
      </c>
      <c r="K288" s="140">
        <f ca="1">IF(ISNUMBER(MATCH(DATEVALUE($A288),'recurring1_based on steps'!K$1:K$400,0)),K$2,)</f>
        <v>0</v>
      </c>
      <c r="L288" s="140">
        <f ca="1">IF(ISNUMBER(MATCH(DATEVALUE($A288),'recurring1_based on steps'!L$1:L$400,0)),L$2,)</f>
        <v>0</v>
      </c>
      <c r="M288" s="140">
        <f ca="1">IF(ISNUMBER(MATCH(DATEVALUE($A288),'recurring1_based on steps'!M$1:M$400,0)),M$2,)</f>
        <v>0</v>
      </c>
      <c r="N288" s="140">
        <f ca="1">IF(ISNUMBER(MATCH(DATEVALUE($A288),'recurring1_based on steps'!N$1:N$400,0)),N$2,)</f>
        <v>0</v>
      </c>
      <c r="O288" s="140">
        <f ca="1">IF(ISNUMBER(MATCH(DATEVALUE($A288),'recurring1_based on steps'!O$1:O$400,0)),O$2,)</f>
        <v>0</v>
      </c>
      <c r="P288" s="140">
        <f ca="1">IF(ISNUMBER(MATCH(DATEVALUE($A288),'recurring1_based on steps'!P$1:P$400,0)),P$2,)</f>
        <v>0</v>
      </c>
      <c r="Q288" s="140">
        <f ca="1">IF(ISNUMBER(MATCH(DATEVALUE($A288),'recurring1_based on steps'!Q$1:Q$400,0)),Q$2,)</f>
        <v>0</v>
      </c>
      <c r="R288" s="140">
        <f ca="1">IF(ISNUMBER(MATCH(DATEVALUE($A288),'recurring1_based on steps'!R$1:R$400,0)),R$2,)</f>
        <v>0</v>
      </c>
      <c r="S288" s="140">
        <f ca="1">IF(ISNUMBER(MATCH(DATEVALUE($A288),'recurring1_based on steps'!S$1:S$400,0)),S$2,)</f>
        <v>0</v>
      </c>
      <c r="T288" s="140">
        <f ca="1">IF(ISNUMBER(MATCH(DATEVALUE($A288),'recurring1_based on steps'!T$1:T$400,0)),T$2,)</f>
        <v>0</v>
      </c>
      <c r="U288" s="140">
        <f ca="1">IF(ISNUMBER(MATCH(DATEVALUE($A288),'recurring1_based on steps'!U$1:U$400,0)),U$2,)</f>
        <v>0</v>
      </c>
      <c r="V288" s="140">
        <f ca="1">IF(ISNUMBER(MATCH(DATEVALUE($A288),'recurring1_based on steps'!V$1:V$400,0)),V$2,)</f>
        <v>0</v>
      </c>
      <c r="W288" s="140">
        <f ca="1">IF(ISNUMBER(MATCH(DATEVALUE($A288),'recurring1_based on steps'!W$1:W$400,0)),W$2,)</f>
        <v>0</v>
      </c>
      <c r="X288" s="140">
        <f ca="1">IF(ISNUMBER(MATCH(DATEVALUE($A288),'recurring1_based on steps'!X$1:X$400,0)),X$2,)</f>
        <v>0</v>
      </c>
      <c r="Y288" s="140">
        <f ca="1">IF(ISNUMBER(MATCH(DATEVALUE($A288),'recurring1_based on steps'!Y$1:Y$400,0)),Y$2,)</f>
        <v>0</v>
      </c>
      <c r="Z288" s="140">
        <f ca="1">IF(ISNUMBER(MATCH(DATEVALUE($A288),'recurring1_based on steps'!Z$1:Z$400,0)),Z$2,)</f>
        <v>0</v>
      </c>
      <c r="AA288" s="140">
        <f ca="1">IF(ISNUMBER(MATCH(DATEVALUE($A288),'recurring1_based on steps'!AA$1:AA$400,0)),AA$2,)</f>
        <v>0</v>
      </c>
      <c r="AB288" s="140">
        <f ca="1">IF(ISNUMBER(MATCH(DATEVALUE($A288),'recurring1_based on steps'!AB$1:AB$400,0)),AB$2,)</f>
        <v>5.5401662049861494E-2</v>
      </c>
      <c r="AC288" s="140">
        <f ca="1">IF(ISNUMBER(MATCH(DATEVALUE($A288),'recurring1_based on steps'!AC$1:AC$400,0)),AC$2,)</f>
        <v>0</v>
      </c>
      <c r="AD288" s="140">
        <f ca="1">IF(ISNUMBER(MATCH(DATEVALUE($A288),'recurring1_based on steps'!AD$1:AD$400,0)),AD$2,)</f>
        <v>0</v>
      </c>
      <c r="AE288" s="140">
        <f ca="1">IF(ISNUMBER(MATCH(DATEVALUE($A288),'recurring1_based on steps'!AE$1:AE$400,0)),AE$2,)</f>
        <v>0</v>
      </c>
      <c r="AF288" s="140">
        <f ca="1">IF(ISNUMBER(MATCH(DATEVALUE($A288),'recurring1_based on steps'!AF$1:AF$400,0)),AF$2,)</f>
        <v>0</v>
      </c>
      <c r="AG288" s="140">
        <f ca="1">IF(ISNUMBER(MATCH(DATEVALUE($A288),'recurring1_based on steps'!AG$1:AG$400,0)),AG$2,)</f>
        <v>0</v>
      </c>
      <c r="AH288" s="140">
        <f ca="1">IF(ISNUMBER(MATCH(DATEVALUE($A288),'recurring1_based on steps'!AH$1:AH$400,0)),AH$2,)</f>
        <v>0</v>
      </c>
      <c r="AI288" s="140">
        <f ca="1">IF(ISNUMBER(MATCH(DATEVALUE($A288),'recurring1_based on steps'!AI$1:AI$400,0)),AI$2,)</f>
        <v>0</v>
      </c>
      <c r="AJ288" s="140">
        <f ca="1">IF(ISNUMBER(MATCH(DATEVALUE($A288),'recurring1_based on steps'!AJ$1:AJ$400,0)),AJ$2,)</f>
        <v>0</v>
      </c>
      <c r="AK288" s="140">
        <f ca="1">IF(ISNUMBER(MATCH(DATEVALUE($A288),'recurring1_based on steps'!AK$1:AK$400,0)),AK$2,)</f>
        <v>0</v>
      </c>
      <c r="AL288" s="140">
        <f ca="1">IF(ISNUMBER(MATCH(DATEVALUE($A288),'recurring1_based on steps'!AL$1:AL$400,0)),AL$2,)</f>
        <v>0</v>
      </c>
      <c r="AM288" s="140">
        <f ca="1">IF(ISNUMBER(MATCH(DATEVALUE($A288),'recurring1_based on steps'!AM$1:AM$400,0)),AM$2,)</f>
        <v>0</v>
      </c>
      <c r="AN288" s="140">
        <f ca="1">IF(ISNUMBER(MATCH(DATEVALUE($A288),'recurring1_based on steps'!AN$1:AN$400,0)),AN$2,)</f>
        <v>0</v>
      </c>
      <c r="AO288" s="140">
        <f ca="1">IF(ISNUMBER(MATCH(DATEVALUE($A288),'recurring1_based on steps'!AO$1:AO$400,0)),AO$2,)</f>
        <v>0</v>
      </c>
      <c r="AP288" s="140">
        <f ca="1">IF(ISNUMBER(MATCH(DATEVALUE($A288),'recurring1_based on steps'!AP$1:AP$400,0)),AP$2,)</f>
        <v>0</v>
      </c>
      <c r="AQ288" s="140">
        <f ca="1">IF(ISNUMBER(MATCH(DATEVALUE($A288),'recurring1_based on steps'!AQ$1:AQ$400,0)),AQ$2,)</f>
        <v>0</v>
      </c>
      <c r="AR288" s="140">
        <f ca="1">IF(ISNUMBER(MATCH(DATEVALUE($A288),'recurring1_based on steps'!AR$1:AR$400,0)),AR$2,)</f>
        <v>0</v>
      </c>
      <c r="AS288" s="140">
        <f ca="1">IF(ISNUMBER(MATCH(DATEVALUE($A288),'recurring1_based on steps'!AS$1:AS$400,0)),AS$2,)</f>
        <v>0</v>
      </c>
      <c r="AT288" s="140">
        <f ca="1">IF(ISNUMBER(MATCH(DATEVALUE($A288),'recurring1_based on steps'!AT$1:AT$400,0)),AT$2,)</f>
        <v>0</v>
      </c>
      <c r="AU288" s="140">
        <f ca="1">IF(ISNUMBER(MATCH(DATEVALUE($A288),'recurring1_based on steps'!AU$1:AU$400,0)),AU$2,)</f>
        <v>0</v>
      </c>
      <c r="AV288" s="140">
        <f ca="1">IF(ISNUMBER(MATCH(DATEVALUE($A288),'recurring1_based on steps'!AV$1:AV$400,0)),AV$2,)</f>
        <v>0</v>
      </c>
      <c r="AW288" s="140">
        <f ca="1">IF(ISNUMBER(MATCH(DATEVALUE($A288),'recurring1_based on steps'!AW$1:AW$400,0)),AW$2,)</f>
        <v>0</v>
      </c>
      <c r="AX288" s="140">
        <f ca="1">IF(ISNUMBER(MATCH(DATEVALUE($A288),'recurring1_based on steps'!AX$1:AX$400,0)),AX$2,)</f>
        <v>0</v>
      </c>
      <c r="AY288" s="140">
        <f ca="1">IF(ISNUMBER(MATCH(DATEVALUE($A288),'recurring1_based on steps'!AY$1:AY$400,0)),AY$2,)</f>
        <v>0</v>
      </c>
    </row>
    <row r="289" spans="1:51" x14ac:dyDescent="0.2">
      <c r="A289" s="29" t="str">
        <f t="shared" ca="1" si="4"/>
        <v>2026-01-07</v>
      </c>
      <c r="B289" s="140">
        <f ca="1">IF(ISNUMBER(MATCH(DATEVALUE($A289),'recurring1_based on steps'!B$1:B$400,0)),B$2,)</f>
        <v>0</v>
      </c>
      <c r="C289" s="140">
        <f ca="1">IF(ISNUMBER(MATCH(DATEVALUE($A289),'recurring1_based on steps'!C$1:C$400,0)),C$2,)</f>
        <v>0</v>
      </c>
      <c r="D289" s="140">
        <f ca="1">IF(ISNUMBER(MATCH(DATEVALUE($A289),'recurring1_based on steps'!D$1:D$400,0)),D$2,)</f>
        <v>0</v>
      </c>
      <c r="E289" s="140">
        <f ca="1">IF(ISNUMBER(MATCH(DATEVALUE($A289),'recurring1_based on steps'!E$1:E$400,0)),E$2,)</f>
        <v>0</v>
      </c>
      <c r="F289" s="140">
        <f ca="1">IF(ISNUMBER(MATCH(DATEVALUE($A289),'recurring1_based on steps'!F$1:F$400,0)),F$2,)</f>
        <v>0</v>
      </c>
      <c r="G289" s="140">
        <f ca="1">IF(ISNUMBER(MATCH(DATEVALUE($A289),'recurring1_based on steps'!G$1:G$400,0)),G$2,)</f>
        <v>0</v>
      </c>
      <c r="H289" s="140">
        <f ca="1">IF(ISNUMBER(MATCH(DATEVALUE($A289),'recurring1_based on steps'!H$1:H$400,0)),H$2,)</f>
        <v>0</v>
      </c>
      <c r="I289" s="140">
        <f ca="1">IF(ISNUMBER(MATCH(DATEVALUE($A289),'recurring1_based on steps'!I$1:I$400,0)),I$2,)</f>
        <v>0</v>
      </c>
      <c r="J289" s="140">
        <f ca="1">IF(ISNUMBER(MATCH(DATEVALUE($A289),'recurring1_based on steps'!J$1:J$400,0)),J$2,)</f>
        <v>0</v>
      </c>
      <c r="K289" s="140">
        <f ca="1">IF(ISNUMBER(MATCH(DATEVALUE($A289),'recurring1_based on steps'!K$1:K$400,0)),K$2,)</f>
        <v>0</v>
      </c>
      <c r="L289" s="140">
        <f ca="1">IF(ISNUMBER(MATCH(DATEVALUE($A289),'recurring1_based on steps'!L$1:L$400,0)),L$2,)</f>
        <v>0</v>
      </c>
      <c r="M289" s="140">
        <f ca="1">IF(ISNUMBER(MATCH(DATEVALUE($A289),'recurring1_based on steps'!M$1:M$400,0)),M$2,)</f>
        <v>0</v>
      </c>
      <c r="N289" s="140">
        <f ca="1">IF(ISNUMBER(MATCH(DATEVALUE($A289),'recurring1_based on steps'!N$1:N$400,0)),N$2,)</f>
        <v>0</v>
      </c>
      <c r="O289" s="140">
        <f ca="1">IF(ISNUMBER(MATCH(DATEVALUE($A289),'recurring1_based on steps'!O$1:O$400,0)),O$2,)</f>
        <v>0</v>
      </c>
      <c r="P289" s="140">
        <f ca="1">IF(ISNUMBER(MATCH(DATEVALUE($A289),'recurring1_based on steps'!P$1:P$400,0)),P$2,)</f>
        <v>0</v>
      </c>
      <c r="Q289" s="140">
        <f ca="1">IF(ISNUMBER(MATCH(DATEVALUE($A289),'recurring1_based on steps'!Q$1:Q$400,0)),Q$2,)</f>
        <v>0</v>
      </c>
      <c r="R289" s="140">
        <f ca="1">IF(ISNUMBER(MATCH(DATEVALUE($A289),'recurring1_based on steps'!R$1:R$400,0)),R$2,)</f>
        <v>0</v>
      </c>
      <c r="S289" s="140">
        <f ca="1">IF(ISNUMBER(MATCH(DATEVALUE($A289),'recurring1_based on steps'!S$1:S$400,0)),S$2,)</f>
        <v>0</v>
      </c>
      <c r="T289" s="140">
        <f ca="1">IF(ISNUMBER(MATCH(DATEVALUE($A289),'recurring1_based on steps'!T$1:T$400,0)),T$2,)</f>
        <v>0</v>
      </c>
      <c r="U289" s="140">
        <f ca="1">IF(ISNUMBER(MATCH(DATEVALUE($A289),'recurring1_based on steps'!U$1:U$400,0)),U$2,)</f>
        <v>0</v>
      </c>
      <c r="V289" s="140">
        <f ca="1">IF(ISNUMBER(MATCH(DATEVALUE($A289),'recurring1_based on steps'!V$1:V$400,0)),V$2,)</f>
        <v>0</v>
      </c>
      <c r="W289" s="140">
        <f ca="1">IF(ISNUMBER(MATCH(DATEVALUE($A289),'recurring1_based on steps'!W$1:W$400,0)),W$2,)</f>
        <v>0</v>
      </c>
      <c r="X289" s="140">
        <f ca="1">IF(ISNUMBER(MATCH(DATEVALUE($A289),'recurring1_based on steps'!X$1:X$400,0)),X$2,)</f>
        <v>0</v>
      </c>
      <c r="Y289" s="140">
        <f ca="1">IF(ISNUMBER(MATCH(DATEVALUE($A289),'recurring1_based on steps'!Y$1:Y$400,0)),Y$2,)</f>
        <v>0</v>
      </c>
      <c r="Z289" s="140">
        <f ca="1">IF(ISNUMBER(MATCH(DATEVALUE($A289),'recurring1_based on steps'!Z$1:Z$400,0)),Z$2,)</f>
        <v>0</v>
      </c>
      <c r="AA289" s="140">
        <f ca="1">IF(ISNUMBER(MATCH(DATEVALUE($A289),'recurring1_based on steps'!AA$1:AA$400,0)),AA$2,)</f>
        <v>0</v>
      </c>
      <c r="AB289" s="140">
        <f ca="1">IF(ISNUMBER(MATCH(DATEVALUE($A289),'recurring1_based on steps'!AB$1:AB$400,0)),AB$2,)</f>
        <v>5.5401662049861494E-2</v>
      </c>
      <c r="AC289" s="140">
        <f ca="1">IF(ISNUMBER(MATCH(DATEVALUE($A289),'recurring1_based on steps'!AC$1:AC$400,0)),AC$2,)</f>
        <v>0</v>
      </c>
      <c r="AD289" s="140">
        <f ca="1">IF(ISNUMBER(MATCH(DATEVALUE($A289),'recurring1_based on steps'!AD$1:AD$400,0)),AD$2,)</f>
        <v>0</v>
      </c>
      <c r="AE289" s="140">
        <f ca="1">IF(ISNUMBER(MATCH(DATEVALUE($A289),'recurring1_based on steps'!AE$1:AE$400,0)),AE$2,)</f>
        <v>0</v>
      </c>
      <c r="AF289" s="140">
        <f ca="1">IF(ISNUMBER(MATCH(DATEVALUE($A289),'recurring1_based on steps'!AF$1:AF$400,0)),AF$2,)</f>
        <v>0</v>
      </c>
      <c r="AG289" s="140">
        <f ca="1">IF(ISNUMBER(MATCH(DATEVALUE($A289),'recurring1_based on steps'!AG$1:AG$400,0)),AG$2,)</f>
        <v>0</v>
      </c>
      <c r="AH289" s="140">
        <f ca="1">IF(ISNUMBER(MATCH(DATEVALUE($A289),'recurring1_based on steps'!AH$1:AH$400,0)),AH$2,)</f>
        <v>0</v>
      </c>
      <c r="AI289" s="140">
        <f ca="1">IF(ISNUMBER(MATCH(DATEVALUE($A289),'recurring1_based on steps'!AI$1:AI$400,0)),AI$2,)</f>
        <v>0</v>
      </c>
      <c r="AJ289" s="140">
        <f ca="1">IF(ISNUMBER(MATCH(DATEVALUE($A289),'recurring1_based on steps'!AJ$1:AJ$400,0)),AJ$2,)</f>
        <v>0</v>
      </c>
      <c r="AK289" s="140">
        <f ca="1">IF(ISNUMBER(MATCH(DATEVALUE($A289),'recurring1_based on steps'!AK$1:AK$400,0)),AK$2,)</f>
        <v>0</v>
      </c>
      <c r="AL289" s="140">
        <f ca="1">IF(ISNUMBER(MATCH(DATEVALUE($A289),'recurring1_based on steps'!AL$1:AL$400,0)),AL$2,)</f>
        <v>0</v>
      </c>
      <c r="AM289" s="140">
        <f ca="1">IF(ISNUMBER(MATCH(DATEVALUE($A289),'recurring1_based on steps'!AM$1:AM$400,0)),AM$2,)</f>
        <v>0</v>
      </c>
      <c r="AN289" s="140">
        <f ca="1">IF(ISNUMBER(MATCH(DATEVALUE($A289),'recurring1_based on steps'!AN$1:AN$400,0)),AN$2,)</f>
        <v>0</v>
      </c>
      <c r="AO289" s="140">
        <f ca="1">IF(ISNUMBER(MATCH(DATEVALUE($A289),'recurring1_based on steps'!AO$1:AO$400,0)),AO$2,)</f>
        <v>0</v>
      </c>
      <c r="AP289" s="140">
        <f ca="1">IF(ISNUMBER(MATCH(DATEVALUE($A289),'recurring1_based on steps'!AP$1:AP$400,0)),AP$2,)</f>
        <v>0</v>
      </c>
      <c r="AQ289" s="140">
        <f ca="1">IF(ISNUMBER(MATCH(DATEVALUE($A289),'recurring1_based on steps'!AQ$1:AQ$400,0)),AQ$2,)</f>
        <v>0</v>
      </c>
      <c r="AR289" s="140">
        <f ca="1">IF(ISNUMBER(MATCH(DATEVALUE($A289),'recurring1_based on steps'!AR$1:AR$400,0)),AR$2,)</f>
        <v>0</v>
      </c>
      <c r="AS289" s="140">
        <f ca="1">IF(ISNUMBER(MATCH(DATEVALUE($A289),'recurring1_based on steps'!AS$1:AS$400,0)),AS$2,)</f>
        <v>0</v>
      </c>
      <c r="AT289" s="140">
        <f ca="1">IF(ISNUMBER(MATCH(DATEVALUE($A289),'recurring1_based on steps'!AT$1:AT$400,0)),AT$2,)</f>
        <v>0</v>
      </c>
      <c r="AU289" s="140">
        <f ca="1">IF(ISNUMBER(MATCH(DATEVALUE($A289),'recurring1_based on steps'!AU$1:AU$400,0)),AU$2,)</f>
        <v>0</v>
      </c>
      <c r="AV289" s="140">
        <f ca="1">IF(ISNUMBER(MATCH(DATEVALUE($A289),'recurring1_based on steps'!AV$1:AV$400,0)),AV$2,)</f>
        <v>0</v>
      </c>
      <c r="AW289" s="140">
        <f ca="1">IF(ISNUMBER(MATCH(DATEVALUE($A289),'recurring1_based on steps'!AW$1:AW$400,0)),AW$2,)</f>
        <v>0</v>
      </c>
      <c r="AX289" s="140">
        <f ca="1">IF(ISNUMBER(MATCH(DATEVALUE($A289),'recurring1_based on steps'!AX$1:AX$400,0)),AX$2,)</f>
        <v>0</v>
      </c>
      <c r="AY289" s="140">
        <f ca="1">IF(ISNUMBER(MATCH(DATEVALUE($A289),'recurring1_based on steps'!AY$1:AY$400,0)),AY$2,)</f>
        <v>0</v>
      </c>
    </row>
    <row r="290" spans="1:51" x14ac:dyDescent="0.2">
      <c r="A290" s="29" t="str">
        <f t="shared" ca="1" si="4"/>
        <v>2026-01-08</v>
      </c>
      <c r="B290" s="140">
        <f ca="1">IF(ISNUMBER(MATCH(DATEVALUE($A290),'recurring1_based on steps'!B$1:B$400,0)),B$2,)</f>
        <v>0</v>
      </c>
      <c r="C290" s="140">
        <f ca="1">IF(ISNUMBER(MATCH(DATEVALUE($A290),'recurring1_based on steps'!C$1:C$400,0)),C$2,)</f>
        <v>0</v>
      </c>
      <c r="D290" s="140">
        <f ca="1">IF(ISNUMBER(MATCH(DATEVALUE($A290),'recurring1_based on steps'!D$1:D$400,0)),D$2,)</f>
        <v>0</v>
      </c>
      <c r="E290" s="140">
        <f ca="1">IF(ISNUMBER(MATCH(DATEVALUE($A290),'recurring1_based on steps'!E$1:E$400,0)),E$2,)</f>
        <v>0</v>
      </c>
      <c r="F290" s="140">
        <f ca="1">IF(ISNUMBER(MATCH(DATEVALUE($A290),'recurring1_based on steps'!F$1:F$400,0)),F$2,)</f>
        <v>0</v>
      </c>
      <c r="G290" s="140">
        <f ca="1">IF(ISNUMBER(MATCH(DATEVALUE($A290),'recurring1_based on steps'!G$1:G$400,0)),G$2,)</f>
        <v>0</v>
      </c>
      <c r="H290" s="140">
        <f ca="1">IF(ISNUMBER(MATCH(DATEVALUE($A290),'recurring1_based on steps'!H$1:H$400,0)),H$2,)</f>
        <v>0</v>
      </c>
      <c r="I290" s="140">
        <f ca="1">IF(ISNUMBER(MATCH(DATEVALUE($A290),'recurring1_based on steps'!I$1:I$400,0)),I$2,)</f>
        <v>0</v>
      </c>
      <c r="J290" s="140">
        <f ca="1">IF(ISNUMBER(MATCH(DATEVALUE($A290),'recurring1_based on steps'!J$1:J$400,0)),J$2,)</f>
        <v>0</v>
      </c>
      <c r="K290" s="140">
        <f ca="1">IF(ISNUMBER(MATCH(DATEVALUE($A290),'recurring1_based on steps'!K$1:K$400,0)),K$2,)</f>
        <v>0</v>
      </c>
      <c r="L290" s="140">
        <f ca="1">IF(ISNUMBER(MATCH(DATEVALUE($A290),'recurring1_based on steps'!L$1:L$400,0)),L$2,)</f>
        <v>0</v>
      </c>
      <c r="M290" s="140">
        <f ca="1">IF(ISNUMBER(MATCH(DATEVALUE($A290),'recurring1_based on steps'!M$1:M$400,0)),M$2,)</f>
        <v>0</v>
      </c>
      <c r="N290" s="140">
        <f ca="1">IF(ISNUMBER(MATCH(DATEVALUE($A290),'recurring1_based on steps'!N$1:N$400,0)),N$2,)</f>
        <v>0</v>
      </c>
      <c r="O290" s="140">
        <f ca="1">IF(ISNUMBER(MATCH(DATEVALUE($A290),'recurring1_based on steps'!O$1:O$400,0)),O$2,)</f>
        <v>0</v>
      </c>
      <c r="P290" s="140">
        <f ca="1">IF(ISNUMBER(MATCH(DATEVALUE($A290),'recurring1_based on steps'!P$1:P$400,0)),P$2,)</f>
        <v>0</v>
      </c>
      <c r="Q290" s="140">
        <f ca="1">IF(ISNUMBER(MATCH(DATEVALUE($A290),'recurring1_based on steps'!Q$1:Q$400,0)),Q$2,)</f>
        <v>0</v>
      </c>
      <c r="R290" s="140">
        <f ca="1">IF(ISNUMBER(MATCH(DATEVALUE($A290),'recurring1_based on steps'!R$1:R$400,0)),R$2,)</f>
        <v>0</v>
      </c>
      <c r="S290" s="140">
        <f ca="1">IF(ISNUMBER(MATCH(DATEVALUE($A290),'recurring1_based on steps'!S$1:S$400,0)),S$2,)</f>
        <v>0</v>
      </c>
      <c r="T290" s="140">
        <f ca="1">IF(ISNUMBER(MATCH(DATEVALUE($A290),'recurring1_based on steps'!T$1:T$400,0)),T$2,)</f>
        <v>0</v>
      </c>
      <c r="U290" s="140">
        <f ca="1">IF(ISNUMBER(MATCH(DATEVALUE($A290),'recurring1_based on steps'!U$1:U$400,0)),U$2,)</f>
        <v>0</v>
      </c>
      <c r="V290" s="140">
        <f ca="1">IF(ISNUMBER(MATCH(DATEVALUE($A290),'recurring1_based on steps'!V$1:V$400,0)),V$2,)</f>
        <v>0</v>
      </c>
      <c r="W290" s="140">
        <f ca="1">IF(ISNUMBER(MATCH(DATEVALUE($A290),'recurring1_based on steps'!W$1:W$400,0)),W$2,)</f>
        <v>0</v>
      </c>
      <c r="X290" s="140">
        <f ca="1">IF(ISNUMBER(MATCH(DATEVALUE($A290),'recurring1_based on steps'!X$1:X$400,0)),X$2,)</f>
        <v>0</v>
      </c>
      <c r="Y290" s="140">
        <f ca="1">IF(ISNUMBER(MATCH(DATEVALUE($A290),'recurring1_based on steps'!Y$1:Y$400,0)),Y$2,)</f>
        <v>0</v>
      </c>
      <c r="Z290" s="140">
        <f ca="1">IF(ISNUMBER(MATCH(DATEVALUE($A290),'recurring1_based on steps'!Z$1:Z$400,0)),Z$2,)</f>
        <v>0</v>
      </c>
      <c r="AA290" s="140">
        <f ca="1">IF(ISNUMBER(MATCH(DATEVALUE($A290),'recurring1_based on steps'!AA$1:AA$400,0)),AA$2,)</f>
        <v>0</v>
      </c>
      <c r="AB290" s="140">
        <f ca="1">IF(ISNUMBER(MATCH(DATEVALUE($A290),'recurring1_based on steps'!AB$1:AB$400,0)),AB$2,)</f>
        <v>5.5401662049861494E-2</v>
      </c>
      <c r="AC290" s="140">
        <f ca="1">IF(ISNUMBER(MATCH(DATEVALUE($A290),'recurring1_based on steps'!AC$1:AC$400,0)),AC$2,)</f>
        <v>0</v>
      </c>
      <c r="AD290" s="140">
        <f ca="1">IF(ISNUMBER(MATCH(DATEVALUE($A290),'recurring1_based on steps'!AD$1:AD$400,0)),AD$2,)</f>
        <v>0</v>
      </c>
      <c r="AE290" s="140">
        <f ca="1">IF(ISNUMBER(MATCH(DATEVALUE($A290),'recurring1_based on steps'!AE$1:AE$400,0)),AE$2,)</f>
        <v>0</v>
      </c>
      <c r="AF290" s="140">
        <f ca="1">IF(ISNUMBER(MATCH(DATEVALUE($A290),'recurring1_based on steps'!AF$1:AF$400,0)),AF$2,)</f>
        <v>0</v>
      </c>
      <c r="AG290" s="140">
        <f ca="1">IF(ISNUMBER(MATCH(DATEVALUE($A290),'recurring1_based on steps'!AG$1:AG$400,0)),AG$2,)</f>
        <v>0</v>
      </c>
      <c r="AH290" s="140">
        <f ca="1">IF(ISNUMBER(MATCH(DATEVALUE($A290),'recurring1_based on steps'!AH$1:AH$400,0)),AH$2,)</f>
        <v>0</v>
      </c>
      <c r="AI290" s="140">
        <f ca="1">IF(ISNUMBER(MATCH(DATEVALUE($A290),'recurring1_based on steps'!AI$1:AI$400,0)),AI$2,)</f>
        <v>0</v>
      </c>
      <c r="AJ290" s="140">
        <f ca="1">IF(ISNUMBER(MATCH(DATEVALUE($A290),'recurring1_based on steps'!AJ$1:AJ$400,0)),AJ$2,)</f>
        <v>0</v>
      </c>
      <c r="AK290" s="140">
        <f ca="1">IF(ISNUMBER(MATCH(DATEVALUE($A290),'recurring1_based on steps'!AK$1:AK$400,0)),AK$2,)</f>
        <v>0</v>
      </c>
      <c r="AL290" s="140">
        <f ca="1">IF(ISNUMBER(MATCH(DATEVALUE($A290),'recurring1_based on steps'!AL$1:AL$400,0)),AL$2,)</f>
        <v>0</v>
      </c>
      <c r="AM290" s="140">
        <f ca="1">IF(ISNUMBER(MATCH(DATEVALUE($A290),'recurring1_based on steps'!AM$1:AM$400,0)),AM$2,)</f>
        <v>0</v>
      </c>
      <c r="AN290" s="140">
        <f ca="1">IF(ISNUMBER(MATCH(DATEVALUE($A290),'recurring1_based on steps'!AN$1:AN$400,0)),AN$2,)</f>
        <v>0</v>
      </c>
      <c r="AO290" s="140">
        <f ca="1">IF(ISNUMBER(MATCH(DATEVALUE($A290),'recurring1_based on steps'!AO$1:AO$400,0)),AO$2,)</f>
        <v>0</v>
      </c>
      <c r="AP290" s="140">
        <f ca="1">IF(ISNUMBER(MATCH(DATEVALUE($A290),'recurring1_based on steps'!AP$1:AP$400,0)),AP$2,)</f>
        <v>0</v>
      </c>
      <c r="AQ290" s="140">
        <f ca="1">IF(ISNUMBER(MATCH(DATEVALUE($A290),'recurring1_based on steps'!AQ$1:AQ$400,0)),AQ$2,)</f>
        <v>0</v>
      </c>
      <c r="AR290" s="140">
        <f ca="1">IF(ISNUMBER(MATCH(DATEVALUE($A290),'recurring1_based on steps'!AR$1:AR$400,0)),AR$2,)</f>
        <v>0</v>
      </c>
      <c r="AS290" s="140">
        <f ca="1">IF(ISNUMBER(MATCH(DATEVALUE($A290),'recurring1_based on steps'!AS$1:AS$400,0)),AS$2,)</f>
        <v>0</v>
      </c>
      <c r="AT290" s="140">
        <f ca="1">IF(ISNUMBER(MATCH(DATEVALUE($A290),'recurring1_based on steps'!AT$1:AT$400,0)),AT$2,)</f>
        <v>0</v>
      </c>
      <c r="AU290" s="140">
        <f ca="1">IF(ISNUMBER(MATCH(DATEVALUE($A290),'recurring1_based on steps'!AU$1:AU$400,0)),AU$2,)</f>
        <v>0</v>
      </c>
      <c r="AV290" s="140">
        <f ca="1">IF(ISNUMBER(MATCH(DATEVALUE($A290),'recurring1_based on steps'!AV$1:AV$400,0)),AV$2,)</f>
        <v>0</v>
      </c>
      <c r="AW290" s="140">
        <f ca="1">IF(ISNUMBER(MATCH(DATEVALUE($A290),'recurring1_based on steps'!AW$1:AW$400,0)),AW$2,)</f>
        <v>0</v>
      </c>
      <c r="AX290" s="140">
        <f ca="1">IF(ISNUMBER(MATCH(DATEVALUE($A290),'recurring1_based on steps'!AX$1:AX$400,0)),AX$2,)</f>
        <v>0</v>
      </c>
      <c r="AY290" s="140">
        <f ca="1">IF(ISNUMBER(MATCH(DATEVALUE($A290),'recurring1_based on steps'!AY$1:AY$400,0)),AY$2,)</f>
        <v>0</v>
      </c>
    </row>
    <row r="291" spans="1:51" x14ac:dyDescent="0.2">
      <c r="A291" s="29" t="str">
        <f t="shared" ca="1" si="4"/>
        <v>2026-01-09</v>
      </c>
      <c r="B291" s="140">
        <f ca="1">IF(ISNUMBER(MATCH(DATEVALUE($A291),'recurring1_based on steps'!B$1:B$400,0)),B$2,)</f>
        <v>4000</v>
      </c>
      <c r="C291" s="140">
        <f ca="1">IF(ISNUMBER(MATCH(DATEVALUE($A291),'recurring1_based on steps'!C$1:C$400,0)),C$2,)</f>
        <v>200</v>
      </c>
      <c r="D291" s="140">
        <f ca="1">IF(ISNUMBER(MATCH(DATEVALUE($A291),'recurring1_based on steps'!D$1:D$400,0)),D$2,)</f>
        <v>2</v>
      </c>
      <c r="E291" s="140">
        <f ca="1">IF(ISNUMBER(MATCH(DATEVALUE($A291),'recurring1_based on steps'!E$1:E$400,0)),E$2,)</f>
        <v>40</v>
      </c>
      <c r="F291" s="140">
        <f ca="1">IF(ISNUMBER(MATCH(DATEVALUE($A291),'recurring1_based on steps'!F$1:F$400,0)),F$2,)</f>
        <v>50</v>
      </c>
      <c r="G291" s="140">
        <f ca="1">IF(ISNUMBER(MATCH(DATEVALUE($A291),'recurring1_based on steps'!G$1:G$400,0)),G$2,)</f>
        <v>4</v>
      </c>
      <c r="H291" s="140">
        <f ca="1">IF(ISNUMBER(MATCH(DATEVALUE($A291),'recurring1_based on steps'!H$1:H$400,0)),H$2,)</f>
        <v>0</v>
      </c>
      <c r="I291" s="140">
        <f ca="1">IF(ISNUMBER(MATCH(DATEVALUE($A291),'recurring1_based on steps'!I$1:I$400,0)),I$2,)</f>
        <v>0</v>
      </c>
      <c r="J291" s="140">
        <f ca="1">IF(ISNUMBER(MATCH(DATEVALUE($A291),'recurring1_based on steps'!J$1:J$400,0)),J$2,)</f>
        <v>0</v>
      </c>
      <c r="K291" s="140">
        <f ca="1">IF(ISNUMBER(MATCH(DATEVALUE($A291),'recurring1_based on steps'!K$1:K$400,0)),K$2,)</f>
        <v>0</v>
      </c>
      <c r="L291" s="140">
        <f ca="1">IF(ISNUMBER(MATCH(DATEVALUE($A291),'recurring1_based on steps'!L$1:L$400,0)),L$2,)</f>
        <v>0</v>
      </c>
      <c r="M291" s="140">
        <f ca="1">IF(ISNUMBER(MATCH(DATEVALUE($A291),'recurring1_based on steps'!M$1:M$400,0)),M$2,)</f>
        <v>0</v>
      </c>
      <c r="N291" s="140">
        <f ca="1">IF(ISNUMBER(MATCH(DATEVALUE($A291),'recurring1_based on steps'!N$1:N$400,0)),N$2,)</f>
        <v>0</v>
      </c>
      <c r="O291" s="140">
        <f ca="1">IF(ISNUMBER(MATCH(DATEVALUE($A291),'recurring1_based on steps'!O$1:O$400,0)),O$2,)</f>
        <v>0</v>
      </c>
      <c r="P291" s="140">
        <f ca="1">IF(ISNUMBER(MATCH(DATEVALUE($A291),'recurring1_based on steps'!P$1:P$400,0)),P$2,)</f>
        <v>0</v>
      </c>
      <c r="Q291" s="140">
        <f ca="1">IF(ISNUMBER(MATCH(DATEVALUE($A291),'recurring1_based on steps'!Q$1:Q$400,0)),Q$2,)</f>
        <v>0</v>
      </c>
      <c r="R291" s="140">
        <f ca="1">IF(ISNUMBER(MATCH(DATEVALUE($A291),'recurring1_based on steps'!R$1:R$400,0)),R$2,)</f>
        <v>0</v>
      </c>
      <c r="S291" s="140">
        <f ca="1">IF(ISNUMBER(MATCH(DATEVALUE($A291),'recurring1_based on steps'!S$1:S$400,0)),S$2,)</f>
        <v>0</v>
      </c>
      <c r="T291" s="140">
        <f ca="1">IF(ISNUMBER(MATCH(DATEVALUE($A291),'recurring1_based on steps'!T$1:T$400,0)),T$2,)</f>
        <v>0</v>
      </c>
      <c r="U291" s="140">
        <f ca="1">IF(ISNUMBER(MATCH(DATEVALUE($A291),'recurring1_based on steps'!U$1:U$400,0)),U$2,)</f>
        <v>0</v>
      </c>
      <c r="V291" s="140">
        <f ca="1">IF(ISNUMBER(MATCH(DATEVALUE($A291),'recurring1_based on steps'!V$1:V$400,0)),V$2,)</f>
        <v>0</v>
      </c>
      <c r="W291" s="140">
        <f ca="1">IF(ISNUMBER(MATCH(DATEVALUE($A291),'recurring1_based on steps'!W$1:W$400,0)),W$2,)</f>
        <v>0</v>
      </c>
      <c r="X291" s="140">
        <f ca="1">IF(ISNUMBER(MATCH(DATEVALUE($A291),'recurring1_based on steps'!X$1:X$400,0)),X$2,)</f>
        <v>50</v>
      </c>
      <c r="Y291" s="140">
        <f ca="1">IF(ISNUMBER(MATCH(DATEVALUE($A291),'recurring1_based on steps'!Y$1:Y$400,0)),Y$2,)</f>
        <v>50</v>
      </c>
      <c r="Z291" s="140">
        <f ca="1">IF(ISNUMBER(MATCH(DATEVALUE($A291),'recurring1_based on steps'!Z$1:Z$400,0)),Z$2,)</f>
        <v>0</v>
      </c>
      <c r="AA291" s="140">
        <f ca="1">IF(ISNUMBER(MATCH(DATEVALUE($A291),'recurring1_based on steps'!AA$1:AA$400,0)),AA$2,)</f>
        <v>0</v>
      </c>
      <c r="AB291" s="140">
        <f ca="1">IF(ISNUMBER(MATCH(DATEVALUE($A291),'recurring1_based on steps'!AB$1:AB$400,0)),AB$2,)</f>
        <v>5.5401662049861494E-2</v>
      </c>
      <c r="AC291" s="140">
        <f ca="1">IF(ISNUMBER(MATCH(DATEVALUE($A291),'recurring1_based on steps'!AC$1:AC$400,0)),AC$2,)</f>
        <v>0</v>
      </c>
      <c r="AD291" s="140">
        <f ca="1">IF(ISNUMBER(MATCH(DATEVALUE($A291),'recurring1_based on steps'!AD$1:AD$400,0)),AD$2,)</f>
        <v>0</v>
      </c>
      <c r="AE291" s="140">
        <f ca="1">IF(ISNUMBER(MATCH(DATEVALUE($A291),'recurring1_based on steps'!AE$1:AE$400,0)),AE$2,)</f>
        <v>0</v>
      </c>
      <c r="AF291" s="140">
        <f ca="1">IF(ISNUMBER(MATCH(DATEVALUE($A291),'recurring1_based on steps'!AF$1:AF$400,0)),AF$2,)</f>
        <v>0</v>
      </c>
      <c r="AG291" s="140">
        <f ca="1">IF(ISNUMBER(MATCH(DATEVALUE($A291),'recurring1_based on steps'!AG$1:AG$400,0)),AG$2,)</f>
        <v>0</v>
      </c>
      <c r="AH291" s="140">
        <f ca="1">IF(ISNUMBER(MATCH(DATEVALUE($A291),'recurring1_based on steps'!AH$1:AH$400,0)),AH$2,)</f>
        <v>0</v>
      </c>
      <c r="AI291" s="140">
        <f ca="1">IF(ISNUMBER(MATCH(DATEVALUE($A291),'recurring1_based on steps'!AI$1:AI$400,0)),AI$2,)</f>
        <v>0</v>
      </c>
      <c r="AJ291" s="140">
        <f ca="1">IF(ISNUMBER(MATCH(DATEVALUE($A291),'recurring1_based on steps'!AJ$1:AJ$400,0)),AJ$2,)</f>
        <v>0</v>
      </c>
      <c r="AK291" s="140">
        <f ca="1">IF(ISNUMBER(MATCH(DATEVALUE($A291),'recurring1_based on steps'!AK$1:AK$400,0)),AK$2,)</f>
        <v>0</v>
      </c>
      <c r="AL291" s="140">
        <f ca="1">IF(ISNUMBER(MATCH(DATEVALUE($A291),'recurring1_based on steps'!AL$1:AL$400,0)),AL$2,)</f>
        <v>0</v>
      </c>
      <c r="AM291" s="140">
        <f ca="1">IF(ISNUMBER(MATCH(DATEVALUE($A291),'recurring1_based on steps'!AM$1:AM$400,0)),AM$2,)</f>
        <v>0</v>
      </c>
      <c r="AN291" s="140">
        <f ca="1">IF(ISNUMBER(MATCH(DATEVALUE($A291),'recurring1_based on steps'!AN$1:AN$400,0)),AN$2,)</f>
        <v>0</v>
      </c>
      <c r="AO291" s="140">
        <f ca="1">IF(ISNUMBER(MATCH(DATEVALUE($A291),'recurring1_based on steps'!AO$1:AO$400,0)),AO$2,)</f>
        <v>0</v>
      </c>
      <c r="AP291" s="140">
        <f ca="1">IF(ISNUMBER(MATCH(DATEVALUE($A291),'recurring1_based on steps'!AP$1:AP$400,0)),AP$2,)</f>
        <v>0</v>
      </c>
      <c r="AQ291" s="140">
        <f ca="1">IF(ISNUMBER(MATCH(DATEVALUE($A291),'recurring1_based on steps'!AQ$1:AQ$400,0)),AQ$2,)</f>
        <v>0</v>
      </c>
      <c r="AR291" s="140">
        <f ca="1">IF(ISNUMBER(MATCH(DATEVALUE($A291),'recurring1_based on steps'!AR$1:AR$400,0)),AR$2,)</f>
        <v>0</v>
      </c>
      <c r="AS291" s="140">
        <f ca="1">IF(ISNUMBER(MATCH(DATEVALUE($A291),'recurring1_based on steps'!AS$1:AS$400,0)),AS$2,)</f>
        <v>0</v>
      </c>
      <c r="AT291" s="140">
        <f ca="1">IF(ISNUMBER(MATCH(DATEVALUE($A291),'recurring1_based on steps'!AT$1:AT$400,0)),AT$2,)</f>
        <v>0</v>
      </c>
      <c r="AU291" s="140">
        <f ca="1">IF(ISNUMBER(MATCH(DATEVALUE($A291),'recurring1_based on steps'!AU$1:AU$400,0)),AU$2,)</f>
        <v>0</v>
      </c>
      <c r="AV291" s="140">
        <f ca="1">IF(ISNUMBER(MATCH(DATEVALUE($A291),'recurring1_based on steps'!AV$1:AV$400,0)),AV$2,)</f>
        <v>0</v>
      </c>
      <c r="AW291" s="140">
        <f ca="1">IF(ISNUMBER(MATCH(DATEVALUE($A291),'recurring1_based on steps'!AW$1:AW$400,0)),AW$2,)</f>
        <v>0</v>
      </c>
      <c r="AX291" s="140">
        <f ca="1">IF(ISNUMBER(MATCH(DATEVALUE($A291),'recurring1_based on steps'!AX$1:AX$400,0)),AX$2,)</f>
        <v>0</v>
      </c>
      <c r="AY291" s="140">
        <f ca="1">IF(ISNUMBER(MATCH(DATEVALUE($A291),'recurring1_based on steps'!AY$1:AY$400,0)),AY$2,)</f>
        <v>0</v>
      </c>
    </row>
    <row r="292" spans="1:51" x14ac:dyDescent="0.2">
      <c r="A292" s="29" t="str">
        <f t="shared" ca="1" si="4"/>
        <v>2026-01-10</v>
      </c>
      <c r="B292" s="140">
        <f ca="1">IF(ISNUMBER(MATCH(DATEVALUE($A292),'recurring1_based on steps'!B$1:B$400,0)),B$2,)</f>
        <v>0</v>
      </c>
      <c r="C292" s="140">
        <f ca="1">IF(ISNUMBER(MATCH(DATEVALUE($A292),'recurring1_based on steps'!C$1:C$400,0)),C$2,)</f>
        <v>0</v>
      </c>
      <c r="D292" s="140">
        <f ca="1">IF(ISNUMBER(MATCH(DATEVALUE($A292),'recurring1_based on steps'!D$1:D$400,0)),D$2,)</f>
        <v>0</v>
      </c>
      <c r="E292" s="140">
        <f ca="1">IF(ISNUMBER(MATCH(DATEVALUE($A292),'recurring1_based on steps'!E$1:E$400,0)),E$2,)</f>
        <v>0</v>
      </c>
      <c r="F292" s="140">
        <f ca="1">IF(ISNUMBER(MATCH(DATEVALUE($A292),'recurring1_based on steps'!F$1:F$400,0)),F$2,)</f>
        <v>0</v>
      </c>
      <c r="G292" s="140">
        <f ca="1">IF(ISNUMBER(MATCH(DATEVALUE($A292),'recurring1_based on steps'!G$1:G$400,0)),G$2,)</f>
        <v>0</v>
      </c>
      <c r="H292" s="140">
        <f ca="1">IF(ISNUMBER(MATCH(DATEVALUE($A292),'recurring1_based on steps'!H$1:H$400,0)),H$2,)</f>
        <v>0</v>
      </c>
      <c r="I292" s="140">
        <f ca="1">IF(ISNUMBER(MATCH(DATEVALUE($A292),'recurring1_based on steps'!I$1:I$400,0)),I$2,)</f>
        <v>0</v>
      </c>
      <c r="J292" s="140">
        <f ca="1">IF(ISNUMBER(MATCH(DATEVALUE($A292),'recurring1_based on steps'!J$1:J$400,0)),J$2,)</f>
        <v>0</v>
      </c>
      <c r="K292" s="140">
        <f ca="1">IF(ISNUMBER(MATCH(DATEVALUE($A292),'recurring1_based on steps'!K$1:K$400,0)),K$2,)</f>
        <v>0</v>
      </c>
      <c r="L292" s="140">
        <f ca="1">IF(ISNUMBER(MATCH(DATEVALUE($A292),'recurring1_based on steps'!L$1:L$400,0)),L$2,)</f>
        <v>0</v>
      </c>
      <c r="M292" s="140">
        <f ca="1">IF(ISNUMBER(MATCH(DATEVALUE($A292),'recurring1_based on steps'!M$1:M$400,0)),M$2,)</f>
        <v>0</v>
      </c>
      <c r="N292" s="140">
        <f ca="1">IF(ISNUMBER(MATCH(DATEVALUE($A292),'recurring1_based on steps'!N$1:N$400,0)),N$2,)</f>
        <v>0</v>
      </c>
      <c r="O292" s="140">
        <f ca="1">IF(ISNUMBER(MATCH(DATEVALUE($A292),'recurring1_based on steps'!O$1:O$400,0)),O$2,)</f>
        <v>0</v>
      </c>
      <c r="P292" s="140">
        <f ca="1">IF(ISNUMBER(MATCH(DATEVALUE($A292),'recurring1_based on steps'!P$1:P$400,0)),P$2,)</f>
        <v>0</v>
      </c>
      <c r="Q292" s="140">
        <f ca="1">IF(ISNUMBER(MATCH(DATEVALUE($A292),'recurring1_based on steps'!Q$1:Q$400,0)),Q$2,)</f>
        <v>100</v>
      </c>
      <c r="R292" s="140">
        <f ca="1">IF(ISNUMBER(MATCH(DATEVALUE($A292),'recurring1_based on steps'!R$1:R$400,0)),R$2,)</f>
        <v>100</v>
      </c>
      <c r="S292" s="140">
        <f ca="1">IF(ISNUMBER(MATCH(DATEVALUE($A292),'recurring1_based on steps'!S$1:S$400,0)),S$2,)</f>
        <v>0</v>
      </c>
      <c r="T292" s="140">
        <f ca="1">IF(ISNUMBER(MATCH(DATEVALUE($A292),'recurring1_based on steps'!T$1:T$400,0)),T$2,)</f>
        <v>0</v>
      </c>
      <c r="U292" s="140">
        <f ca="1">IF(ISNUMBER(MATCH(DATEVALUE($A292),'recurring1_based on steps'!U$1:U$400,0)),U$2,)</f>
        <v>0</v>
      </c>
      <c r="V292" s="140">
        <f ca="1">IF(ISNUMBER(MATCH(DATEVALUE($A292),'recurring1_based on steps'!V$1:V$400,0)),V$2,)</f>
        <v>0</v>
      </c>
      <c r="W292" s="140">
        <f ca="1">IF(ISNUMBER(MATCH(DATEVALUE($A292),'recurring1_based on steps'!W$1:W$400,0)),W$2,)</f>
        <v>0</v>
      </c>
      <c r="X292" s="140">
        <f ca="1">IF(ISNUMBER(MATCH(DATEVALUE($A292),'recurring1_based on steps'!X$1:X$400,0)),X$2,)</f>
        <v>0</v>
      </c>
      <c r="Y292" s="140">
        <f ca="1">IF(ISNUMBER(MATCH(DATEVALUE($A292),'recurring1_based on steps'!Y$1:Y$400,0)),Y$2,)</f>
        <v>0</v>
      </c>
      <c r="Z292" s="140">
        <f ca="1">IF(ISNUMBER(MATCH(DATEVALUE($A292),'recurring1_based on steps'!Z$1:Z$400,0)),Z$2,)</f>
        <v>0</v>
      </c>
      <c r="AA292" s="140">
        <f ca="1">IF(ISNUMBER(MATCH(DATEVALUE($A292),'recurring1_based on steps'!AA$1:AA$400,0)),AA$2,)</f>
        <v>0</v>
      </c>
      <c r="AB292" s="140">
        <f ca="1">IF(ISNUMBER(MATCH(DATEVALUE($A292),'recurring1_based on steps'!AB$1:AB$400,0)),AB$2,)</f>
        <v>5.5401662049861494E-2</v>
      </c>
      <c r="AC292" s="140">
        <f ca="1">IF(ISNUMBER(MATCH(DATEVALUE($A292),'recurring1_based on steps'!AC$1:AC$400,0)),AC$2,)</f>
        <v>0</v>
      </c>
      <c r="AD292" s="140">
        <f ca="1">IF(ISNUMBER(MATCH(DATEVALUE($A292),'recurring1_based on steps'!AD$1:AD$400,0)),AD$2,)</f>
        <v>0</v>
      </c>
      <c r="AE292" s="140">
        <f ca="1">IF(ISNUMBER(MATCH(DATEVALUE($A292),'recurring1_based on steps'!AE$1:AE$400,0)),AE$2,)</f>
        <v>0</v>
      </c>
      <c r="AF292" s="140">
        <f ca="1">IF(ISNUMBER(MATCH(DATEVALUE($A292),'recurring1_based on steps'!AF$1:AF$400,0)),AF$2,)</f>
        <v>0</v>
      </c>
      <c r="AG292" s="140">
        <f ca="1">IF(ISNUMBER(MATCH(DATEVALUE($A292),'recurring1_based on steps'!AG$1:AG$400,0)),AG$2,)</f>
        <v>0</v>
      </c>
      <c r="AH292" s="140">
        <f ca="1">IF(ISNUMBER(MATCH(DATEVALUE($A292),'recurring1_based on steps'!AH$1:AH$400,0)),AH$2,)</f>
        <v>0</v>
      </c>
      <c r="AI292" s="140">
        <f ca="1">IF(ISNUMBER(MATCH(DATEVALUE($A292),'recurring1_based on steps'!AI$1:AI$400,0)),AI$2,)</f>
        <v>0</v>
      </c>
      <c r="AJ292" s="140">
        <f ca="1">IF(ISNUMBER(MATCH(DATEVALUE($A292),'recurring1_based on steps'!AJ$1:AJ$400,0)),AJ$2,)</f>
        <v>0</v>
      </c>
      <c r="AK292" s="140">
        <f ca="1">IF(ISNUMBER(MATCH(DATEVALUE($A292),'recurring1_based on steps'!AK$1:AK$400,0)),AK$2,)</f>
        <v>0</v>
      </c>
      <c r="AL292" s="140">
        <f ca="1">IF(ISNUMBER(MATCH(DATEVALUE($A292),'recurring1_based on steps'!AL$1:AL$400,0)),AL$2,)</f>
        <v>0</v>
      </c>
      <c r="AM292" s="140">
        <f ca="1">IF(ISNUMBER(MATCH(DATEVALUE($A292),'recurring1_based on steps'!AM$1:AM$400,0)),AM$2,)</f>
        <v>0</v>
      </c>
      <c r="AN292" s="140">
        <f ca="1">IF(ISNUMBER(MATCH(DATEVALUE($A292),'recurring1_based on steps'!AN$1:AN$400,0)),AN$2,)</f>
        <v>0</v>
      </c>
      <c r="AO292" s="140">
        <f ca="1">IF(ISNUMBER(MATCH(DATEVALUE($A292),'recurring1_based on steps'!AO$1:AO$400,0)),AO$2,)</f>
        <v>0</v>
      </c>
      <c r="AP292" s="140">
        <f ca="1">IF(ISNUMBER(MATCH(DATEVALUE($A292),'recurring1_based on steps'!AP$1:AP$400,0)),AP$2,)</f>
        <v>0</v>
      </c>
      <c r="AQ292" s="140">
        <f ca="1">IF(ISNUMBER(MATCH(DATEVALUE($A292),'recurring1_based on steps'!AQ$1:AQ$400,0)),AQ$2,)</f>
        <v>0</v>
      </c>
      <c r="AR292" s="140">
        <f ca="1">IF(ISNUMBER(MATCH(DATEVALUE($A292),'recurring1_based on steps'!AR$1:AR$400,0)),AR$2,)</f>
        <v>0</v>
      </c>
      <c r="AS292" s="140">
        <f ca="1">IF(ISNUMBER(MATCH(DATEVALUE($A292),'recurring1_based on steps'!AS$1:AS$400,0)),AS$2,)</f>
        <v>0</v>
      </c>
      <c r="AT292" s="140">
        <f ca="1">IF(ISNUMBER(MATCH(DATEVALUE($A292),'recurring1_based on steps'!AT$1:AT$400,0)),AT$2,)</f>
        <v>0</v>
      </c>
      <c r="AU292" s="140">
        <f ca="1">IF(ISNUMBER(MATCH(DATEVALUE($A292),'recurring1_based on steps'!AU$1:AU$400,0)),AU$2,)</f>
        <v>0</v>
      </c>
      <c r="AV292" s="140">
        <f ca="1">IF(ISNUMBER(MATCH(DATEVALUE($A292),'recurring1_based on steps'!AV$1:AV$400,0)),AV$2,)</f>
        <v>0</v>
      </c>
      <c r="AW292" s="140">
        <f ca="1">IF(ISNUMBER(MATCH(DATEVALUE($A292),'recurring1_based on steps'!AW$1:AW$400,0)),AW$2,)</f>
        <v>0</v>
      </c>
      <c r="AX292" s="140">
        <f ca="1">IF(ISNUMBER(MATCH(DATEVALUE($A292),'recurring1_based on steps'!AX$1:AX$400,0)),AX$2,)</f>
        <v>0</v>
      </c>
      <c r="AY292" s="140">
        <f ca="1">IF(ISNUMBER(MATCH(DATEVALUE($A292),'recurring1_based on steps'!AY$1:AY$400,0)),AY$2,)</f>
        <v>0</v>
      </c>
    </row>
    <row r="293" spans="1:51" x14ac:dyDescent="0.2">
      <c r="A293" s="29" t="str">
        <f t="shared" ca="1" si="4"/>
        <v>2026-01-11</v>
      </c>
      <c r="B293" s="140">
        <f ca="1">IF(ISNUMBER(MATCH(DATEVALUE($A293),'recurring1_based on steps'!B$1:B$400,0)),B$2,)</f>
        <v>0</v>
      </c>
      <c r="C293" s="140">
        <f ca="1">IF(ISNUMBER(MATCH(DATEVALUE($A293),'recurring1_based on steps'!C$1:C$400,0)),C$2,)</f>
        <v>0</v>
      </c>
      <c r="D293" s="140">
        <f ca="1">IF(ISNUMBER(MATCH(DATEVALUE($A293),'recurring1_based on steps'!D$1:D$400,0)),D$2,)</f>
        <v>0</v>
      </c>
      <c r="E293" s="140">
        <f ca="1">IF(ISNUMBER(MATCH(DATEVALUE($A293),'recurring1_based on steps'!E$1:E$400,0)),E$2,)</f>
        <v>0</v>
      </c>
      <c r="F293" s="140">
        <f ca="1">IF(ISNUMBER(MATCH(DATEVALUE($A293),'recurring1_based on steps'!F$1:F$400,0)),F$2,)</f>
        <v>0</v>
      </c>
      <c r="G293" s="140">
        <f ca="1">IF(ISNUMBER(MATCH(DATEVALUE($A293),'recurring1_based on steps'!G$1:G$400,0)),G$2,)</f>
        <v>0</v>
      </c>
      <c r="H293" s="140">
        <f ca="1">IF(ISNUMBER(MATCH(DATEVALUE($A293),'recurring1_based on steps'!H$1:H$400,0)),H$2,)</f>
        <v>0</v>
      </c>
      <c r="I293" s="140">
        <f ca="1">IF(ISNUMBER(MATCH(DATEVALUE($A293),'recurring1_based on steps'!I$1:I$400,0)),I$2,)</f>
        <v>0</v>
      </c>
      <c r="J293" s="140">
        <f ca="1">IF(ISNUMBER(MATCH(DATEVALUE($A293),'recurring1_based on steps'!J$1:J$400,0)),J$2,)</f>
        <v>0</v>
      </c>
      <c r="K293" s="140">
        <f ca="1">IF(ISNUMBER(MATCH(DATEVALUE($A293),'recurring1_based on steps'!K$1:K$400,0)),K$2,)</f>
        <v>50</v>
      </c>
      <c r="L293" s="140">
        <f ca="1">IF(ISNUMBER(MATCH(DATEVALUE($A293),'recurring1_based on steps'!L$1:L$400,0)),L$2,)</f>
        <v>0</v>
      </c>
      <c r="M293" s="140">
        <f ca="1">IF(ISNUMBER(MATCH(DATEVALUE($A293),'recurring1_based on steps'!M$1:M$400,0)),M$2,)</f>
        <v>0</v>
      </c>
      <c r="N293" s="140">
        <f ca="1">IF(ISNUMBER(MATCH(DATEVALUE($A293),'recurring1_based on steps'!N$1:N$400,0)),N$2,)</f>
        <v>0</v>
      </c>
      <c r="O293" s="140">
        <f ca="1">IF(ISNUMBER(MATCH(DATEVALUE($A293),'recurring1_based on steps'!O$1:O$400,0)),O$2,)</f>
        <v>0</v>
      </c>
      <c r="P293" s="140">
        <f ca="1">IF(ISNUMBER(MATCH(DATEVALUE($A293),'recurring1_based on steps'!P$1:P$400,0)),P$2,)</f>
        <v>0</v>
      </c>
      <c r="Q293" s="140">
        <f ca="1">IF(ISNUMBER(MATCH(DATEVALUE($A293),'recurring1_based on steps'!Q$1:Q$400,0)),Q$2,)</f>
        <v>0</v>
      </c>
      <c r="R293" s="140">
        <f ca="1">IF(ISNUMBER(MATCH(DATEVALUE($A293),'recurring1_based on steps'!R$1:R$400,0)),R$2,)</f>
        <v>0</v>
      </c>
      <c r="S293" s="140">
        <f ca="1">IF(ISNUMBER(MATCH(DATEVALUE($A293),'recurring1_based on steps'!S$1:S$400,0)),S$2,)</f>
        <v>100</v>
      </c>
      <c r="T293" s="140">
        <f ca="1">IF(ISNUMBER(MATCH(DATEVALUE($A293),'recurring1_based on steps'!T$1:T$400,0)),T$2,)</f>
        <v>0</v>
      </c>
      <c r="U293" s="140">
        <f ca="1">IF(ISNUMBER(MATCH(DATEVALUE($A293),'recurring1_based on steps'!U$1:U$400,0)),U$2,)</f>
        <v>0</v>
      </c>
      <c r="V293" s="140">
        <f ca="1">IF(ISNUMBER(MATCH(DATEVALUE($A293),'recurring1_based on steps'!V$1:V$400,0)),V$2,)</f>
        <v>0</v>
      </c>
      <c r="W293" s="140">
        <f ca="1">IF(ISNUMBER(MATCH(DATEVALUE($A293),'recurring1_based on steps'!W$1:W$400,0)),W$2,)</f>
        <v>0</v>
      </c>
      <c r="X293" s="140">
        <f ca="1">IF(ISNUMBER(MATCH(DATEVALUE($A293),'recurring1_based on steps'!X$1:X$400,0)),X$2,)</f>
        <v>0</v>
      </c>
      <c r="Y293" s="140">
        <f ca="1">IF(ISNUMBER(MATCH(DATEVALUE($A293),'recurring1_based on steps'!Y$1:Y$400,0)),Y$2,)</f>
        <v>0</v>
      </c>
      <c r="Z293" s="140">
        <f ca="1">IF(ISNUMBER(MATCH(DATEVALUE($A293),'recurring1_based on steps'!Z$1:Z$400,0)),Z$2,)</f>
        <v>0</v>
      </c>
      <c r="AA293" s="140">
        <f ca="1">IF(ISNUMBER(MATCH(DATEVALUE($A293),'recurring1_based on steps'!AA$1:AA$400,0)),AA$2,)</f>
        <v>0</v>
      </c>
      <c r="AB293" s="140">
        <f ca="1">IF(ISNUMBER(MATCH(DATEVALUE($A293),'recurring1_based on steps'!AB$1:AB$400,0)),AB$2,)</f>
        <v>5.5401662049861494E-2</v>
      </c>
      <c r="AC293" s="140">
        <f ca="1">IF(ISNUMBER(MATCH(DATEVALUE($A293),'recurring1_based on steps'!AC$1:AC$400,0)),AC$2,)</f>
        <v>0</v>
      </c>
      <c r="AD293" s="140">
        <f ca="1">IF(ISNUMBER(MATCH(DATEVALUE($A293),'recurring1_based on steps'!AD$1:AD$400,0)),AD$2,)</f>
        <v>0</v>
      </c>
      <c r="AE293" s="140">
        <f ca="1">IF(ISNUMBER(MATCH(DATEVALUE($A293),'recurring1_based on steps'!AE$1:AE$400,0)),AE$2,)</f>
        <v>0</v>
      </c>
      <c r="AF293" s="140">
        <f ca="1">IF(ISNUMBER(MATCH(DATEVALUE($A293),'recurring1_based on steps'!AF$1:AF$400,0)),AF$2,)</f>
        <v>0</v>
      </c>
      <c r="AG293" s="140">
        <f ca="1">IF(ISNUMBER(MATCH(DATEVALUE($A293),'recurring1_based on steps'!AG$1:AG$400,0)),AG$2,)</f>
        <v>0</v>
      </c>
      <c r="AH293" s="140">
        <f ca="1">IF(ISNUMBER(MATCH(DATEVALUE($A293),'recurring1_based on steps'!AH$1:AH$400,0)),AH$2,)</f>
        <v>0</v>
      </c>
      <c r="AI293" s="140">
        <f ca="1">IF(ISNUMBER(MATCH(DATEVALUE($A293),'recurring1_based on steps'!AI$1:AI$400,0)),AI$2,)</f>
        <v>0</v>
      </c>
      <c r="AJ293" s="140">
        <f ca="1">IF(ISNUMBER(MATCH(DATEVALUE($A293),'recurring1_based on steps'!AJ$1:AJ$400,0)),AJ$2,)</f>
        <v>0</v>
      </c>
      <c r="AK293" s="140">
        <f ca="1">IF(ISNUMBER(MATCH(DATEVALUE($A293),'recurring1_based on steps'!AK$1:AK$400,0)),AK$2,)</f>
        <v>0</v>
      </c>
      <c r="AL293" s="140">
        <f ca="1">IF(ISNUMBER(MATCH(DATEVALUE($A293),'recurring1_based on steps'!AL$1:AL$400,0)),AL$2,)</f>
        <v>0</v>
      </c>
      <c r="AM293" s="140">
        <f ca="1">IF(ISNUMBER(MATCH(DATEVALUE($A293),'recurring1_based on steps'!AM$1:AM$400,0)),AM$2,)</f>
        <v>0</v>
      </c>
      <c r="AN293" s="140">
        <f ca="1">IF(ISNUMBER(MATCH(DATEVALUE($A293),'recurring1_based on steps'!AN$1:AN$400,0)),AN$2,)</f>
        <v>0</v>
      </c>
      <c r="AO293" s="140">
        <f ca="1">IF(ISNUMBER(MATCH(DATEVALUE($A293),'recurring1_based on steps'!AO$1:AO$400,0)),AO$2,)</f>
        <v>0</v>
      </c>
      <c r="AP293" s="140">
        <f ca="1">IF(ISNUMBER(MATCH(DATEVALUE($A293),'recurring1_based on steps'!AP$1:AP$400,0)),AP$2,)</f>
        <v>0</v>
      </c>
      <c r="AQ293" s="140">
        <f ca="1">IF(ISNUMBER(MATCH(DATEVALUE($A293),'recurring1_based on steps'!AQ$1:AQ$400,0)),AQ$2,)</f>
        <v>0</v>
      </c>
      <c r="AR293" s="140">
        <f ca="1">IF(ISNUMBER(MATCH(DATEVALUE($A293),'recurring1_based on steps'!AR$1:AR$400,0)),AR$2,)</f>
        <v>0</v>
      </c>
      <c r="AS293" s="140">
        <f ca="1">IF(ISNUMBER(MATCH(DATEVALUE($A293),'recurring1_based on steps'!AS$1:AS$400,0)),AS$2,)</f>
        <v>0</v>
      </c>
      <c r="AT293" s="140">
        <f ca="1">IF(ISNUMBER(MATCH(DATEVALUE($A293),'recurring1_based on steps'!AT$1:AT$400,0)),AT$2,)</f>
        <v>0</v>
      </c>
      <c r="AU293" s="140">
        <f ca="1">IF(ISNUMBER(MATCH(DATEVALUE($A293),'recurring1_based on steps'!AU$1:AU$400,0)),AU$2,)</f>
        <v>0</v>
      </c>
      <c r="AV293" s="140">
        <f ca="1">IF(ISNUMBER(MATCH(DATEVALUE($A293),'recurring1_based on steps'!AV$1:AV$400,0)),AV$2,)</f>
        <v>0</v>
      </c>
      <c r="AW293" s="140">
        <f ca="1">IF(ISNUMBER(MATCH(DATEVALUE($A293),'recurring1_based on steps'!AW$1:AW$400,0)),AW$2,)</f>
        <v>0</v>
      </c>
      <c r="AX293" s="140">
        <f ca="1">IF(ISNUMBER(MATCH(DATEVALUE($A293),'recurring1_based on steps'!AX$1:AX$400,0)),AX$2,)</f>
        <v>0</v>
      </c>
      <c r="AY293" s="140">
        <f ca="1">IF(ISNUMBER(MATCH(DATEVALUE($A293),'recurring1_based on steps'!AY$1:AY$400,0)),AY$2,)</f>
        <v>0</v>
      </c>
    </row>
    <row r="294" spans="1:51" x14ac:dyDescent="0.2">
      <c r="A294" s="29" t="str">
        <f t="shared" ca="1" si="4"/>
        <v>2026-01-12</v>
      </c>
      <c r="B294" s="140">
        <f ca="1">IF(ISNUMBER(MATCH(DATEVALUE($A294),'recurring1_based on steps'!B$1:B$400,0)),B$2,)</f>
        <v>0</v>
      </c>
      <c r="C294" s="140">
        <f ca="1">IF(ISNUMBER(MATCH(DATEVALUE($A294),'recurring1_based on steps'!C$1:C$400,0)),C$2,)</f>
        <v>0</v>
      </c>
      <c r="D294" s="140">
        <f ca="1">IF(ISNUMBER(MATCH(DATEVALUE($A294),'recurring1_based on steps'!D$1:D$400,0)),D$2,)</f>
        <v>0</v>
      </c>
      <c r="E294" s="140">
        <f ca="1">IF(ISNUMBER(MATCH(DATEVALUE($A294),'recurring1_based on steps'!E$1:E$400,0)),E$2,)</f>
        <v>0</v>
      </c>
      <c r="F294" s="140">
        <f ca="1">IF(ISNUMBER(MATCH(DATEVALUE($A294),'recurring1_based on steps'!F$1:F$400,0)),F$2,)</f>
        <v>0</v>
      </c>
      <c r="G294" s="140">
        <f ca="1">IF(ISNUMBER(MATCH(DATEVALUE($A294),'recurring1_based on steps'!G$1:G$400,0)),G$2,)</f>
        <v>0</v>
      </c>
      <c r="H294" s="140">
        <f ca="1">IF(ISNUMBER(MATCH(DATEVALUE($A294),'recurring1_based on steps'!H$1:H$400,0)),H$2,)</f>
        <v>0</v>
      </c>
      <c r="I294" s="140">
        <f ca="1">IF(ISNUMBER(MATCH(DATEVALUE($A294),'recurring1_based on steps'!I$1:I$400,0)),I$2,)</f>
        <v>0</v>
      </c>
      <c r="J294" s="140">
        <f ca="1">IF(ISNUMBER(MATCH(DATEVALUE($A294),'recurring1_based on steps'!J$1:J$400,0)),J$2,)</f>
        <v>0</v>
      </c>
      <c r="K294" s="140">
        <f ca="1">IF(ISNUMBER(MATCH(DATEVALUE($A294),'recurring1_based on steps'!K$1:K$400,0)),K$2,)</f>
        <v>0</v>
      </c>
      <c r="L294" s="140">
        <f ca="1">IF(ISNUMBER(MATCH(DATEVALUE($A294),'recurring1_based on steps'!L$1:L$400,0)),L$2,)</f>
        <v>0</v>
      </c>
      <c r="M294" s="140">
        <f ca="1">IF(ISNUMBER(MATCH(DATEVALUE($A294),'recurring1_based on steps'!M$1:M$400,0)),M$2,)</f>
        <v>0</v>
      </c>
      <c r="N294" s="140">
        <f ca="1">IF(ISNUMBER(MATCH(DATEVALUE($A294),'recurring1_based on steps'!N$1:N$400,0)),N$2,)</f>
        <v>0</v>
      </c>
      <c r="O294" s="140">
        <f ca="1">IF(ISNUMBER(MATCH(DATEVALUE($A294),'recurring1_based on steps'!O$1:O$400,0)),O$2,)</f>
        <v>0</v>
      </c>
      <c r="P294" s="140">
        <f ca="1">IF(ISNUMBER(MATCH(DATEVALUE($A294),'recurring1_based on steps'!P$1:P$400,0)),P$2,)</f>
        <v>0</v>
      </c>
      <c r="Q294" s="140">
        <f ca="1">IF(ISNUMBER(MATCH(DATEVALUE($A294),'recurring1_based on steps'!Q$1:Q$400,0)),Q$2,)</f>
        <v>0</v>
      </c>
      <c r="R294" s="140">
        <f ca="1">IF(ISNUMBER(MATCH(DATEVALUE($A294),'recurring1_based on steps'!R$1:R$400,0)),R$2,)</f>
        <v>0</v>
      </c>
      <c r="S294" s="140">
        <f ca="1">IF(ISNUMBER(MATCH(DATEVALUE($A294),'recurring1_based on steps'!S$1:S$400,0)),S$2,)</f>
        <v>0</v>
      </c>
      <c r="T294" s="140">
        <f ca="1">IF(ISNUMBER(MATCH(DATEVALUE($A294),'recurring1_based on steps'!T$1:T$400,0)),T$2,)</f>
        <v>0</v>
      </c>
      <c r="U294" s="140">
        <f ca="1">IF(ISNUMBER(MATCH(DATEVALUE($A294),'recurring1_based on steps'!U$1:U$400,0)),U$2,)</f>
        <v>0</v>
      </c>
      <c r="V294" s="140">
        <f ca="1">IF(ISNUMBER(MATCH(DATEVALUE($A294),'recurring1_based on steps'!V$1:V$400,0)),V$2,)</f>
        <v>0</v>
      </c>
      <c r="W294" s="140">
        <f ca="1">IF(ISNUMBER(MATCH(DATEVALUE($A294),'recurring1_based on steps'!W$1:W$400,0)),W$2,)</f>
        <v>0</v>
      </c>
      <c r="X294" s="140">
        <f ca="1">IF(ISNUMBER(MATCH(DATEVALUE($A294),'recurring1_based on steps'!X$1:X$400,0)),X$2,)</f>
        <v>0</v>
      </c>
      <c r="Y294" s="140">
        <f ca="1">IF(ISNUMBER(MATCH(DATEVALUE($A294),'recurring1_based on steps'!Y$1:Y$400,0)),Y$2,)</f>
        <v>0</v>
      </c>
      <c r="Z294" s="140">
        <f ca="1">IF(ISNUMBER(MATCH(DATEVALUE($A294),'recurring1_based on steps'!Z$1:Z$400,0)),Z$2,)</f>
        <v>0</v>
      </c>
      <c r="AA294" s="140">
        <f ca="1">IF(ISNUMBER(MATCH(DATEVALUE($A294),'recurring1_based on steps'!AA$1:AA$400,0)),AA$2,)</f>
        <v>0</v>
      </c>
      <c r="AB294" s="140">
        <f ca="1">IF(ISNUMBER(MATCH(DATEVALUE($A294),'recurring1_based on steps'!AB$1:AB$400,0)),AB$2,)</f>
        <v>5.5401662049861494E-2</v>
      </c>
      <c r="AC294" s="140">
        <f ca="1">IF(ISNUMBER(MATCH(DATEVALUE($A294),'recurring1_based on steps'!AC$1:AC$400,0)),AC$2,)</f>
        <v>0</v>
      </c>
      <c r="AD294" s="140">
        <f ca="1">IF(ISNUMBER(MATCH(DATEVALUE($A294),'recurring1_based on steps'!AD$1:AD$400,0)),AD$2,)</f>
        <v>0</v>
      </c>
      <c r="AE294" s="140">
        <f ca="1">IF(ISNUMBER(MATCH(DATEVALUE($A294),'recurring1_based on steps'!AE$1:AE$400,0)),AE$2,)</f>
        <v>0</v>
      </c>
      <c r="AF294" s="140">
        <f ca="1">IF(ISNUMBER(MATCH(DATEVALUE($A294),'recurring1_based on steps'!AF$1:AF$400,0)),AF$2,)</f>
        <v>0</v>
      </c>
      <c r="AG294" s="140">
        <f ca="1">IF(ISNUMBER(MATCH(DATEVALUE($A294),'recurring1_based on steps'!AG$1:AG$400,0)),AG$2,)</f>
        <v>0</v>
      </c>
      <c r="AH294" s="140">
        <f ca="1">IF(ISNUMBER(MATCH(DATEVALUE($A294),'recurring1_based on steps'!AH$1:AH$400,0)),AH$2,)</f>
        <v>0</v>
      </c>
      <c r="AI294" s="140">
        <f ca="1">IF(ISNUMBER(MATCH(DATEVALUE($A294),'recurring1_based on steps'!AI$1:AI$400,0)),AI$2,)</f>
        <v>0</v>
      </c>
      <c r="AJ294" s="140">
        <f ca="1">IF(ISNUMBER(MATCH(DATEVALUE($A294),'recurring1_based on steps'!AJ$1:AJ$400,0)),AJ$2,)</f>
        <v>0</v>
      </c>
      <c r="AK294" s="140">
        <f ca="1">IF(ISNUMBER(MATCH(DATEVALUE($A294),'recurring1_based on steps'!AK$1:AK$400,0)),AK$2,)</f>
        <v>0</v>
      </c>
      <c r="AL294" s="140">
        <f ca="1">IF(ISNUMBER(MATCH(DATEVALUE($A294),'recurring1_based on steps'!AL$1:AL$400,0)),AL$2,)</f>
        <v>0</v>
      </c>
      <c r="AM294" s="140">
        <f ca="1">IF(ISNUMBER(MATCH(DATEVALUE($A294),'recurring1_based on steps'!AM$1:AM$400,0)),AM$2,)</f>
        <v>0</v>
      </c>
      <c r="AN294" s="140">
        <f ca="1">IF(ISNUMBER(MATCH(DATEVALUE($A294),'recurring1_based on steps'!AN$1:AN$400,0)),AN$2,)</f>
        <v>0</v>
      </c>
      <c r="AO294" s="140">
        <f ca="1">IF(ISNUMBER(MATCH(DATEVALUE($A294),'recurring1_based on steps'!AO$1:AO$400,0)),AO$2,)</f>
        <v>0</v>
      </c>
      <c r="AP294" s="140">
        <f ca="1">IF(ISNUMBER(MATCH(DATEVALUE($A294),'recurring1_based on steps'!AP$1:AP$400,0)),AP$2,)</f>
        <v>0</v>
      </c>
      <c r="AQ294" s="140">
        <f ca="1">IF(ISNUMBER(MATCH(DATEVALUE($A294),'recurring1_based on steps'!AQ$1:AQ$400,0)),AQ$2,)</f>
        <v>0</v>
      </c>
      <c r="AR294" s="140">
        <f ca="1">IF(ISNUMBER(MATCH(DATEVALUE($A294),'recurring1_based on steps'!AR$1:AR$400,0)),AR$2,)</f>
        <v>0</v>
      </c>
      <c r="AS294" s="140">
        <f ca="1">IF(ISNUMBER(MATCH(DATEVALUE($A294),'recurring1_based on steps'!AS$1:AS$400,0)),AS$2,)</f>
        <v>0</v>
      </c>
      <c r="AT294" s="140">
        <f ca="1">IF(ISNUMBER(MATCH(DATEVALUE($A294),'recurring1_based on steps'!AT$1:AT$400,0)),AT$2,)</f>
        <v>0</v>
      </c>
      <c r="AU294" s="140">
        <f ca="1">IF(ISNUMBER(MATCH(DATEVALUE($A294),'recurring1_based on steps'!AU$1:AU$400,0)),AU$2,)</f>
        <v>0</v>
      </c>
      <c r="AV294" s="140">
        <f ca="1">IF(ISNUMBER(MATCH(DATEVALUE($A294),'recurring1_based on steps'!AV$1:AV$400,0)),AV$2,)</f>
        <v>0</v>
      </c>
      <c r="AW294" s="140">
        <f ca="1">IF(ISNUMBER(MATCH(DATEVALUE($A294),'recurring1_based on steps'!AW$1:AW$400,0)),AW$2,)</f>
        <v>0</v>
      </c>
      <c r="AX294" s="140">
        <f ca="1">IF(ISNUMBER(MATCH(DATEVALUE($A294),'recurring1_based on steps'!AX$1:AX$400,0)),AX$2,)</f>
        <v>0</v>
      </c>
      <c r="AY294" s="140">
        <f ca="1">IF(ISNUMBER(MATCH(DATEVALUE($A294),'recurring1_based on steps'!AY$1:AY$400,0)),AY$2,)</f>
        <v>0</v>
      </c>
    </row>
    <row r="295" spans="1:51" x14ac:dyDescent="0.2">
      <c r="A295" s="29" t="str">
        <f t="shared" ca="1" si="4"/>
        <v>2026-01-13</v>
      </c>
      <c r="B295" s="140">
        <f ca="1">IF(ISNUMBER(MATCH(DATEVALUE($A295),'recurring1_based on steps'!B$1:B$400,0)),B$2,)</f>
        <v>0</v>
      </c>
      <c r="C295" s="140">
        <f ca="1">IF(ISNUMBER(MATCH(DATEVALUE($A295),'recurring1_based on steps'!C$1:C$400,0)),C$2,)</f>
        <v>0</v>
      </c>
      <c r="D295" s="140">
        <f ca="1">IF(ISNUMBER(MATCH(DATEVALUE($A295),'recurring1_based on steps'!D$1:D$400,0)),D$2,)</f>
        <v>0</v>
      </c>
      <c r="E295" s="140">
        <f ca="1">IF(ISNUMBER(MATCH(DATEVALUE($A295),'recurring1_based on steps'!E$1:E$400,0)),E$2,)</f>
        <v>0</v>
      </c>
      <c r="F295" s="140">
        <f ca="1">IF(ISNUMBER(MATCH(DATEVALUE($A295),'recurring1_based on steps'!F$1:F$400,0)),F$2,)</f>
        <v>0</v>
      </c>
      <c r="G295" s="140">
        <f ca="1">IF(ISNUMBER(MATCH(DATEVALUE($A295),'recurring1_based on steps'!G$1:G$400,0)),G$2,)</f>
        <v>0</v>
      </c>
      <c r="H295" s="140">
        <f ca="1">IF(ISNUMBER(MATCH(DATEVALUE($A295),'recurring1_based on steps'!H$1:H$400,0)),H$2,)</f>
        <v>0</v>
      </c>
      <c r="I295" s="140">
        <f ca="1">IF(ISNUMBER(MATCH(DATEVALUE($A295),'recurring1_based on steps'!I$1:I$400,0)),I$2,)</f>
        <v>0</v>
      </c>
      <c r="J295" s="140">
        <f ca="1">IF(ISNUMBER(MATCH(DATEVALUE($A295),'recurring1_based on steps'!J$1:J$400,0)),J$2,)</f>
        <v>0</v>
      </c>
      <c r="K295" s="140">
        <f ca="1">IF(ISNUMBER(MATCH(DATEVALUE($A295),'recurring1_based on steps'!K$1:K$400,0)),K$2,)</f>
        <v>0</v>
      </c>
      <c r="L295" s="140">
        <f ca="1">IF(ISNUMBER(MATCH(DATEVALUE($A295),'recurring1_based on steps'!L$1:L$400,0)),L$2,)</f>
        <v>0</v>
      </c>
      <c r="M295" s="140">
        <f ca="1">IF(ISNUMBER(MATCH(DATEVALUE($A295),'recurring1_based on steps'!M$1:M$400,0)),M$2,)</f>
        <v>0</v>
      </c>
      <c r="N295" s="140">
        <f ca="1">IF(ISNUMBER(MATCH(DATEVALUE($A295),'recurring1_based on steps'!N$1:N$400,0)),N$2,)</f>
        <v>0</v>
      </c>
      <c r="O295" s="140">
        <f ca="1">IF(ISNUMBER(MATCH(DATEVALUE($A295),'recurring1_based on steps'!O$1:O$400,0)),O$2,)</f>
        <v>0</v>
      </c>
      <c r="P295" s="140">
        <f ca="1">IF(ISNUMBER(MATCH(DATEVALUE($A295),'recurring1_based on steps'!P$1:P$400,0)),P$2,)</f>
        <v>0</v>
      </c>
      <c r="Q295" s="140">
        <f ca="1">IF(ISNUMBER(MATCH(DATEVALUE($A295),'recurring1_based on steps'!Q$1:Q$400,0)),Q$2,)</f>
        <v>0</v>
      </c>
      <c r="R295" s="140">
        <f ca="1">IF(ISNUMBER(MATCH(DATEVALUE($A295),'recurring1_based on steps'!R$1:R$400,0)),R$2,)</f>
        <v>0</v>
      </c>
      <c r="S295" s="140">
        <f ca="1">IF(ISNUMBER(MATCH(DATEVALUE($A295),'recurring1_based on steps'!S$1:S$400,0)),S$2,)</f>
        <v>0</v>
      </c>
      <c r="T295" s="140">
        <f ca="1">IF(ISNUMBER(MATCH(DATEVALUE($A295),'recurring1_based on steps'!T$1:T$400,0)),T$2,)</f>
        <v>0</v>
      </c>
      <c r="U295" s="140">
        <f ca="1">IF(ISNUMBER(MATCH(DATEVALUE($A295),'recurring1_based on steps'!U$1:U$400,0)),U$2,)</f>
        <v>0</v>
      </c>
      <c r="V295" s="140">
        <f ca="1">IF(ISNUMBER(MATCH(DATEVALUE($A295),'recurring1_based on steps'!V$1:V$400,0)),V$2,)</f>
        <v>0</v>
      </c>
      <c r="W295" s="140">
        <f ca="1">IF(ISNUMBER(MATCH(DATEVALUE($A295),'recurring1_based on steps'!W$1:W$400,0)),W$2,)</f>
        <v>0</v>
      </c>
      <c r="X295" s="140">
        <f ca="1">IF(ISNUMBER(MATCH(DATEVALUE($A295),'recurring1_based on steps'!X$1:X$400,0)),X$2,)</f>
        <v>0</v>
      </c>
      <c r="Y295" s="140">
        <f ca="1">IF(ISNUMBER(MATCH(DATEVALUE($A295),'recurring1_based on steps'!Y$1:Y$400,0)),Y$2,)</f>
        <v>0</v>
      </c>
      <c r="Z295" s="140">
        <f ca="1">IF(ISNUMBER(MATCH(DATEVALUE($A295),'recurring1_based on steps'!Z$1:Z$400,0)),Z$2,)</f>
        <v>0</v>
      </c>
      <c r="AA295" s="140">
        <f ca="1">IF(ISNUMBER(MATCH(DATEVALUE($A295),'recurring1_based on steps'!AA$1:AA$400,0)),AA$2,)</f>
        <v>0</v>
      </c>
      <c r="AB295" s="140">
        <f ca="1">IF(ISNUMBER(MATCH(DATEVALUE($A295),'recurring1_based on steps'!AB$1:AB$400,0)),AB$2,)</f>
        <v>5.5401662049861494E-2</v>
      </c>
      <c r="AC295" s="140">
        <f ca="1">IF(ISNUMBER(MATCH(DATEVALUE($A295),'recurring1_based on steps'!AC$1:AC$400,0)),AC$2,)</f>
        <v>0</v>
      </c>
      <c r="AD295" s="140">
        <f ca="1">IF(ISNUMBER(MATCH(DATEVALUE($A295),'recurring1_based on steps'!AD$1:AD$400,0)),AD$2,)</f>
        <v>0</v>
      </c>
      <c r="AE295" s="140">
        <f ca="1">IF(ISNUMBER(MATCH(DATEVALUE($A295),'recurring1_based on steps'!AE$1:AE$400,0)),AE$2,)</f>
        <v>0</v>
      </c>
      <c r="AF295" s="140">
        <f ca="1">IF(ISNUMBER(MATCH(DATEVALUE($A295),'recurring1_based on steps'!AF$1:AF$400,0)),AF$2,)</f>
        <v>0</v>
      </c>
      <c r="AG295" s="140">
        <f ca="1">IF(ISNUMBER(MATCH(DATEVALUE($A295),'recurring1_based on steps'!AG$1:AG$400,0)),AG$2,)</f>
        <v>0</v>
      </c>
      <c r="AH295" s="140">
        <f ca="1">IF(ISNUMBER(MATCH(DATEVALUE($A295),'recurring1_based on steps'!AH$1:AH$400,0)),AH$2,)</f>
        <v>0</v>
      </c>
      <c r="AI295" s="140">
        <f ca="1">IF(ISNUMBER(MATCH(DATEVALUE($A295),'recurring1_based on steps'!AI$1:AI$400,0)),AI$2,)</f>
        <v>0</v>
      </c>
      <c r="AJ295" s="140">
        <f ca="1">IF(ISNUMBER(MATCH(DATEVALUE($A295),'recurring1_based on steps'!AJ$1:AJ$400,0)),AJ$2,)</f>
        <v>0</v>
      </c>
      <c r="AK295" s="140">
        <f ca="1">IF(ISNUMBER(MATCH(DATEVALUE($A295),'recurring1_based on steps'!AK$1:AK$400,0)),AK$2,)</f>
        <v>0</v>
      </c>
      <c r="AL295" s="140">
        <f ca="1">IF(ISNUMBER(MATCH(DATEVALUE($A295),'recurring1_based on steps'!AL$1:AL$400,0)),AL$2,)</f>
        <v>0</v>
      </c>
      <c r="AM295" s="140">
        <f ca="1">IF(ISNUMBER(MATCH(DATEVALUE($A295),'recurring1_based on steps'!AM$1:AM$400,0)),AM$2,)</f>
        <v>0</v>
      </c>
      <c r="AN295" s="140">
        <f ca="1">IF(ISNUMBER(MATCH(DATEVALUE($A295),'recurring1_based on steps'!AN$1:AN$400,0)),AN$2,)</f>
        <v>0</v>
      </c>
      <c r="AO295" s="140">
        <f ca="1">IF(ISNUMBER(MATCH(DATEVALUE($A295),'recurring1_based on steps'!AO$1:AO$400,0)),AO$2,)</f>
        <v>0</v>
      </c>
      <c r="AP295" s="140">
        <f ca="1">IF(ISNUMBER(MATCH(DATEVALUE($A295),'recurring1_based on steps'!AP$1:AP$400,0)),AP$2,)</f>
        <v>0</v>
      </c>
      <c r="AQ295" s="140">
        <f ca="1">IF(ISNUMBER(MATCH(DATEVALUE($A295),'recurring1_based on steps'!AQ$1:AQ$400,0)),AQ$2,)</f>
        <v>0</v>
      </c>
      <c r="AR295" s="140">
        <f ca="1">IF(ISNUMBER(MATCH(DATEVALUE($A295),'recurring1_based on steps'!AR$1:AR$400,0)),AR$2,)</f>
        <v>0</v>
      </c>
      <c r="AS295" s="140">
        <f ca="1">IF(ISNUMBER(MATCH(DATEVALUE($A295),'recurring1_based on steps'!AS$1:AS$400,0)),AS$2,)</f>
        <v>0</v>
      </c>
      <c r="AT295" s="140">
        <f ca="1">IF(ISNUMBER(MATCH(DATEVALUE($A295),'recurring1_based on steps'!AT$1:AT$400,0)),AT$2,)</f>
        <v>0</v>
      </c>
      <c r="AU295" s="140">
        <f ca="1">IF(ISNUMBER(MATCH(DATEVALUE($A295),'recurring1_based on steps'!AU$1:AU$400,0)),AU$2,)</f>
        <v>0</v>
      </c>
      <c r="AV295" s="140">
        <f ca="1">IF(ISNUMBER(MATCH(DATEVALUE($A295),'recurring1_based on steps'!AV$1:AV$400,0)),AV$2,)</f>
        <v>0</v>
      </c>
      <c r="AW295" s="140">
        <f ca="1">IF(ISNUMBER(MATCH(DATEVALUE($A295),'recurring1_based on steps'!AW$1:AW$400,0)),AW$2,)</f>
        <v>0</v>
      </c>
      <c r="AX295" s="140">
        <f ca="1">IF(ISNUMBER(MATCH(DATEVALUE($A295),'recurring1_based on steps'!AX$1:AX$400,0)),AX$2,)</f>
        <v>0</v>
      </c>
      <c r="AY295" s="140">
        <f ca="1">IF(ISNUMBER(MATCH(DATEVALUE($A295),'recurring1_based on steps'!AY$1:AY$400,0)),AY$2,)</f>
        <v>0</v>
      </c>
    </row>
    <row r="296" spans="1:51" x14ac:dyDescent="0.2">
      <c r="A296" s="29" t="str">
        <f t="shared" ca="1" si="4"/>
        <v>2026-01-14</v>
      </c>
      <c r="B296" s="140">
        <f ca="1">IF(ISNUMBER(MATCH(DATEVALUE($A296),'recurring1_based on steps'!B$1:B$400,0)),B$2,)</f>
        <v>0</v>
      </c>
      <c r="C296" s="140">
        <f ca="1">IF(ISNUMBER(MATCH(DATEVALUE($A296),'recurring1_based on steps'!C$1:C$400,0)),C$2,)</f>
        <v>0</v>
      </c>
      <c r="D296" s="140">
        <f ca="1">IF(ISNUMBER(MATCH(DATEVALUE($A296),'recurring1_based on steps'!D$1:D$400,0)),D$2,)</f>
        <v>0</v>
      </c>
      <c r="E296" s="140">
        <f ca="1">IF(ISNUMBER(MATCH(DATEVALUE($A296),'recurring1_based on steps'!E$1:E$400,0)),E$2,)</f>
        <v>0</v>
      </c>
      <c r="F296" s="140">
        <f ca="1">IF(ISNUMBER(MATCH(DATEVALUE($A296),'recurring1_based on steps'!F$1:F$400,0)),F$2,)</f>
        <v>0</v>
      </c>
      <c r="G296" s="140">
        <f ca="1">IF(ISNUMBER(MATCH(DATEVALUE($A296),'recurring1_based on steps'!G$1:G$400,0)),G$2,)</f>
        <v>0</v>
      </c>
      <c r="H296" s="140">
        <f ca="1">IF(ISNUMBER(MATCH(DATEVALUE($A296),'recurring1_based on steps'!H$1:H$400,0)),H$2,)</f>
        <v>0</v>
      </c>
      <c r="I296" s="140">
        <f ca="1">IF(ISNUMBER(MATCH(DATEVALUE($A296),'recurring1_based on steps'!I$1:I$400,0)),I$2,)</f>
        <v>0</v>
      </c>
      <c r="J296" s="140">
        <f ca="1">IF(ISNUMBER(MATCH(DATEVALUE($A296),'recurring1_based on steps'!J$1:J$400,0)),J$2,)</f>
        <v>0</v>
      </c>
      <c r="K296" s="140">
        <f ca="1">IF(ISNUMBER(MATCH(DATEVALUE($A296),'recurring1_based on steps'!K$1:K$400,0)),K$2,)</f>
        <v>0</v>
      </c>
      <c r="L296" s="140">
        <f ca="1">IF(ISNUMBER(MATCH(DATEVALUE($A296),'recurring1_based on steps'!L$1:L$400,0)),L$2,)</f>
        <v>0</v>
      </c>
      <c r="M296" s="140">
        <f ca="1">IF(ISNUMBER(MATCH(DATEVALUE($A296),'recurring1_based on steps'!M$1:M$400,0)),M$2,)</f>
        <v>0</v>
      </c>
      <c r="N296" s="140">
        <f ca="1">IF(ISNUMBER(MATCH(DATEVALUE($A296),'recurring1_based on steps'!N$1:N$400,0)),N$2,)</f>
        <v>0</v>
      </c>
      <c r="O296" s="140">
        <f ca="1">IF(ISNUMBER(MATCH(DATEVALUE($A296),'recurring1_based on steps'!O$1:O$400,0)),O$2,)</f>
        <v>0</v>
      </c>
      <c r="P296" s="140">
        <f ca="1">IF(ISNUMBER(MATCH(DATEVALUE($A296),'recurring1_based on steps'!P$1:P$400,0)),P$2,)</f>
        <v>0</v>
      </c>
      <c r="Q296" s="140">
        <f ca="1">IF(ISNUMBER(MATCH(DATEVALUE($A296),'recurring1_based on steps'!Q$1:Q$400,0)),Q$2,)</f>
        <v>0</v>
      </c>
      <c r="R296" s="140">
        <f ca="1">IF(ISNUMBER(MATCH(DATEVALUE($A296),'recurring1_based on steps'!R$1:R$400,0)),R$2,)</f>
        <v>0</v>
      </c>
      <c r="S296" s="140">
        <f ca="1">IF(ISNUMBER(MATCH(DATEVALUE($A296),'recurring1_based on steps'!S$1:S$400,0)),S$2,)</f>
        <v>0</v>
      </c>
      <c r="T296" s="140">
        <f ca="1">IF(ISNUMBER(MATCH(DATEVALUE($A296),'recurring1_based on steps'!T$1:T$400,0)),T$2,)</f>
        <v>0</v>
      </c>
      <c r="U296" s="140">
        <f ca="1">IF(ISNUMBER(MATCH(DATEVALUE($A296),'recurring1_based on steps'!U$1:U$400,0)),U$2,)</f>
        <v>0</v>
      </c>
      <c r="V296" s="140">
        <f ca="1">IF(ISNUMBER(MATCH(DATEVALUE($A296),'recurring1_based on steps'!V$1:V$400,0)),V$2,)</f>
        <v>0</v>
      </c>
      <c r="W296" s="140">
        <f ca="1">IF(ISNUMBER(MATCH(DATEVALUE($A296),'recurring1_based on steps'!W$1:W$400,0)),W$2,)</f>
        <v>0</v>
      </c>
      <c r="X296" s="140">
        <f ca="1">IF(ISNUMBER(MATCH(DATEVALUE($A296),'recurring1_based on steps'!X$1:X$400,0)),X$2,)</f>
        <v>0</v>
      </c>
      <c r="Y296" s="140">
        <f ca="1">IF(ISNUMBER(MATCH(DATEVALUE($A296),'recurring1_based on steps'!Y$1:Y$400,0)),Y$2,)</f>
        <v>0</v>
      </c>
      <c r="Z296" s="140">
        <f ca="1">IF(ISNUMBER(MATCH(DATEVALUE($A296),'recurring1_based on steps'!Z$1:Z$400,0)),Z$2,)</f>
        <v>0</v>
      </c>
      <c r="AA296" s="140">
        <f ca="1">IF(ISNUMBER(MATCH(DATEVALUE($A296),'recurring1_based on steps'!AA$1:AA$400,0)),AA$2,)</f>
        <v>0</v>
      </c>
      <c r="AB296" s="140">
        <f ca="1">IF(ISNUMBER(MATCH(DATEVALUE($A296),'recurring1_based on steps'!AB$1:AB$400,0)),AB$2,)</f>
        <v>5.5401662049861494E-2</v>
      </c>
      <c r="AC296" s="140">
        <f ca="1">IF(ISNUMBER(MATCH(DATEVALUE($A296),'recurring1_based on steps'!AC$1:AC$400,0)),AC$2,)</f>
        <v>0</v>
      </c>
      <c r="AD296" s="140">
        <f ca="1">IF(ISNUMBER(MATCH(DATEVALUE($A296),'recurring1_based on steps'!AD$1:AD$400,0)),AD$2,)</f>
        <v>0</v>
      </c>
      <c r="AE296" s="140">
        <f ca="1">IF(ISNUMBER(MATCH(DATEVALUE($A296),'recurring1_based on steps'!AE$1:AE$400,0)),AE$2,)</f>
        <v>0</v>
      </c>
      <c r="AF296" s="140">
        <f ca="1">IF(ISNUMBER(MATCH(DATEVALUE($A296),'recurring1_based on steps'!AF$1:AF$400,0)),AF$2,)</f>
        <v>0</v>
      </c>
      <c r="AG296" s="140">
        <f ca="1">IF(ISNUMBER(MATCH(DATEVALUE($A296),'recurring1_based on steps'!AG$1:AG$400,0)),AG$2,)</f>
        <v>0</v>
      </c>
      <c r="AH296" s="140">
        <f ca="1">IF(ISNUMBER(MATCH(DATEVALUE($A296),'recurring1_based on steps'!AH$1:AH$400,0)),AH$2,)</f>
        <v>0</v>
      </c>
      <c r="AI296" s="140">
        <f ca="1">IF(ISNUMBER(MATCH(DATEVALUE($A296),'recurring1_based on steps'!AI$1:AI$400,0)),AI$2,)</f>
        <v>0</v>
      </c>
      <c r="AJ296" s="140">
        <f ca="1">IF(ISNUMBER(MATCH(DATEVALUE($A296),'recurring1_based on steps'!AJ$1:AJ$400,0)),AJ$2,)</f>
        <v>0</v>
      </c>
      <c r="AK296" s="140">
        <f ca="1">IF(ISNUMBER(MATCH(DATEVALUE($A296),'recurring1_based on steps'!AK$1:AK$400,0)),AK$2,)</f>
        <v>0</v>
      </c>
      <c r="AL296" s="140">
        <f ca="1">IF(ISNUMBER(MATCH(DATEVALUE($A296),'recurring1_based on steps'!AL$1:AL$400,0)),AL$2,)</f>
        <v>0</v>
      </c>
      <c r="AM296" s="140">
        <f ca="1">IF(ISNUMBER(MATCH(DATEVALUE($A296),'recurring1_based on steps'!AM$1:AM$400,0)),AM$2,)</f>
        <v>0</v>
      </c>
      <c r="AN296" s="140">
        <f ca="1">IF(ISNUMBER(MATCH(DATEVALUE($A296),'recurring1_based on steps'!AN$1:AN$400,0)),AN$2,)</f>
        <v>0</v>
      </c>
      <c r="AO296" s="140">
        <f ca="1">IF(ISNUMBER(MATCH(DATEVALUE($A296),'recurring1_based on steps'!AO$1:AO$400,0)),AO$2,)</f>
        <v>0</v>
      </c>
      <c r="AP296" s="140">
        <f ca="1">IF(ISNUMBER(MATCH(DATEVALUE($A296),'recurring1_based on steps'!AP$1:AP$400,0)),AP$2,)</f>
        <v>0</v>
      </c>
      <c r="AQ296" s="140">
        <f ca="1">IF(ISNUMBER(MATCH(DATEVALUE($A296),'recurring1_based on steps'!AQ$1:AQ$400,0)),AQ$2,)</f>
        <v>0</v>
      </c>
      <c r="AR296" s="140">
        <f ca="1">IF(ISNUMBER(MATCH(DATEVALUE($A296),'recurring1_based on steps'!AR$1:AR$400,0)),AR$2,)</f>
        <v>0</v>
      </c>
      <c r="AS296" s="140">
        <f ca="1">IF(ISNUMBER(MATCH(DATEVALUE($A296),'recurring1_based on steps'!AS$1:AS$400,0)),AS$2,)</f>
        <v>0</v>
      </c>
      <c r="AT296" s="140">
        <f ca="1">IF(ISNUMBER(MATCH(DATEVALUE($A296),'recurring1_based on steps'!AT$1:AT$400,0)),AT$2,)</f>
        <v>0</v>
      </c>
      <c r="AU296" s="140">
        <f ca="1">IF(ISNUMBER(MATCH(DATEVALUE($A296),'recurring1_based on steps'!AU$1:AU$400,0)),AU$2,)</f>
        <v>0</v>
      </c>
      <c r="AV296" s="140">
        <f ca="1">IF(ISNUMBER(MATCH(DATEVALUE($A296),'recurring1_based on steps'!AV$1:AV$400,0)),AV$2,)</f>
        <v>0</v>
      </c>
      <c r="AW296" s="140">
        <f ca="1">IF(ISNUMBER(MATCH(DATEVALUE($A296),'recurring1_based on steps'!AW$1:AW$400,0)),AW$2,)</f>
        <v>0</v>
      </c>
      <c r="AX296" s="140">
        <f ca="1">IF(ISNUMBER(MATCH(DATEVALUE($A296),'recurring1_based on steps'!AX$1:AX$400,0)),AX$2,)</f>
        <v>0</v>
      </c>
      <c r="AY296" s="140">
        <f ca="1">IF(ISNUMBER(MATCH(DATEVALUE($A296),'recurring1_based on steps'!AY$1:AY$400,0)),AY$2,)</f>
        <v>0</v>
      </c>
    </row>
    <row r="297" spans="1:51" x14ac:dyDescent="0.2">
      <c r="A297" s="29" t="str">
        <f t="shared" ca="1" si="4"/>
        <v>2026-01-15</v>
      </c>
      <c r="B297" s="140">
        <f ca="1">IF(ISNUMBER(MATCH(DATEVALUE($A297),'recurring1_based on steps'!B$1:B$400,0)),B$2,)</f>
        <v>0</v>
      </c>
      <c r="C297" s="140">
        <f ca="1">IF(ISNUMBER(MATCH(DATEVALUE($A297),'recurring1_based on steps'!C$1:C$400,0)),C$2,)</f>
        <v>0</v>
      </c>
      <c r="D297" s="140">
        <f ca="1">IF(ISNUMBER(MATCH(DATEVALUE($A297),'recurring1_based on steps'!D$1:D$400,0)),D$2,)</f>
        <v>0</v>
      </c>
      <c r="E297" s="140">
        <f ca="1">IF(ISNUMBER(MATCH(DATEVALUE($A297),'recurring1_based on steps'!E$1:E$400,0)),E$2,)</f>
        <v>0</v>
      </c>
      <c r="F297" s="140">
        <f ca="1">IF(ISNUMBER(MATCH(DATEVALUE($A297),'recurring1_based on steps'!F$1:F$400,0)),F$2,)</f>
        <v>0</v>
      </c>
      <c r="G297" s="140">
        <f ca="1">IF(ISNUMBER(MATCH(DATEVALUE($A297),'recurring1_based on steps'!G$1:G$400,0)),G$2,)</f>
        <v>0</v>
      </c>
      <c r="H297" s="140">
        <f ca="1">IF(ISNUMBER(MATCH(DATEVALUE($A297),'recurring1_based on steps'!H$1:H$400,0)),H$2,)</f>
        <v>0</v>
      </c>
      <c r="I297" s="140">
        <f ca="1">IF(ISNUMBER(MATCH(DATEVALUE($A297),'recurring1_based on steps'!I$1:I$400,0)),I$2,)</f>
        <v>0</v>
      </c>
      <c r="J297" s="140">
        <f ca="1">IF(ISNUMBER(MATCH(DATEVALUE($A297),'recurring1_based on steps'!J$1:J$400,0)),J$2,)</f>
        <v>0</v>
      </c>
      <c r="K297" s="140">
        <f ca="1">IF(ISNUMBER(MATCH(DATEVALUE($A297),'recurring1_based on steps'!K$1:K$400,0)),K$2,)</f>
        <v>0</v>
      </c>
      <c r="L297" s="140">
        <f ca="1">IF(ISNUMBER(MATCH(DATEVALUE($A297),'recurring1_based on steps'!L$1:L$400,0)),L$2,)</f>
        <v>0</v>
      </c>
      <c r="M297" s="140">
        <f ca="1">IF(ISNUMBER(MATCH(DATEVALUE($A297),'recurring1_based on steps'!M$1:M$400,0)),M$2,)</f>
        <v>0</v>
      </c>
      <c r="N297" s="140">
        <f ca="1">IF(ISNUMBER(MATCH(DATEVALUE($A297),'recurring1_based on steps'!N$1:N$400,0)),N$2,)</f>
        <v>0</v>
      </c>
      <c r="O297" s="140">
        <f ca="1">IF(ISNUMBER(MATCH(DATEVALUE($A297),'recurring1_based on steps'!O$1:O$400,0)),O$2,)</f>
        <v>0</v>
      </c>
      <c r="P297" s="140">
        <f ca="1">IF(ISNUMBER(MATCH(DATEVALUE($A297),'recurring1_based on steps'!P$1:P$400,0)),P$2,)</f>
        <v>0</v>
      </c>
      <c r="Q297" s="140">
        <f ca="1">IF(ISNUMBER(MATCH(DATEVALUE($A297),'recurring1_based on steps'!Q$1:Q$400,0)),Q$2,)</f>
        <v>0</v>
      </c>
      <c r="R297" s="140">
        <f ca="1">IF(ISNUMBER(MATCH(DATEVALUE($A297),'recurring1_based on steps'!R$1:R$400,0)),R$2,)</f>
        <v>0</v>
      </c>
      <c r="S297" s="140">
        <f ca="1">IF(ISNUMBER(MATCH(DATEVALUE($A297),'recurring1_based on steps'!S$1:S$400,0)),S$2,)</f>
        <v>0</v>
      </c>
      <c r="T297" s="140">
        <f ca="1">IF(ISNUMBER(MATCH(DATEVALUE($A297),'recurring1_based on steps'!T$1:T$400,0)),T$2,)</f>
        <v>0</v>
      </c>
      <c r="U297" s="140">
        <f ca="1">IF(ISNUMBER(MATCH(DATEVALUE($A297),'recurring1_based on steps'!U$1:U$400,0)),U$2,)</f>
        <v>0</v>
      </c>
      <c r="V297" s="140">
        <f ca="1">IF(ISNUMBER(MATCH(DATEVALUE($A297),'recurring1_based on steps'!V$1:V$400,0)),V$2,)</f>
        <v>0</v>
      </c>
      <c r="W297" s="140">
        <f ca="1">IF(ISNUMBER(MATCH(DATEVALUE($A297),'recurring1_based on steps'!W$1:W$400,0)),W$2,)</f>
        <v>0</v>
      </c>
      <c r="X297" s="140">
        <f ca="1">IF(ISNUMBER(MATCH(DATEVALUE($A297),'recurring1_based on steps'!X$1:X$400,0)),X$2,)</f>
        <v>0</v>
      </c>
      <c r="Y297" s="140">
        <f ca="1">IF(ISNUMBER(MATCH(DATEVALUE($A297),'recurring1_based on steps'!Y$1:Y$400,0)),Y$2,)</f>
        <v>0</v>
      </c>
      <c r="Z297" s="140">
        <f ca="1">IF(ISNUMBER(MATCH(DATEVALUE($A297),'recurring1_based on steps'!Z$1:Z$400,0)),Z$2,)</f>
        <v>0</v>
      </c>
      <c r="AA297" s="140">
        <f ca="1">IF(ISNUMBER(MATCH(DATEVALUE($A297),'recurring1_based on steps'!AA$1:AA$400,0)),AA$2,)</f>
        <v>0</v>
      </c>
      <c r="AB297" s="140">
        <f ca="1">IF(ISNUMBER(MATCH(DATEVALUE($A297),'recurring1_based on steps'!AB$1:AB$400,0)),AB$2,)</f>
        <v>5.5401662049861494E-2</v>
      </c>
      <c r="AC297" s="140">
        <f ca="1">IF(ISNUMBER(MATCH(DATEVALUE($A297),'recurring1_based on steps'!AC$1:AC$400,0)),AC$2,)</f>
        <v>0</v>
      </c>
      <c r="AD297" s="140">
        <f ca="1">IF(ISNUMBER(MATCH(DATEVALUE($A297),'recurring1_based on steps'!AD$1:AD$400,0)),AD$2,)</f>
        <v>0</v>
      </c>
      <c r="AE297" s="140">
        <f ca="1">IF(ISNUMBER(MATCH(DATEVALUE($A297),'recurring1_based on steps'!AE$1:AE$400,0)),AE$2,)</f>
        <v>0</v>
      </c>
      <c r="AF297" s="140">
        <f ca="1">IF(ISNUMBER(MATCH(DATEVALUE($A297),'recurring1_based on steps'!AF$1:AF$400,0)),AF$2,)</f>
        <v>0</v>
      </c>
      <c r="AG297" s="140">
        <f ca="1">IF(ISNUMBER(MATCH(DATEVALUE($A297),'recurring1_based on steps'!AG$1:AG$400,0)),AG$2,)</f>
        <v>0</v>
      </c>
      <c r="AH297" s="140">
        <f ca="1">IF(ISNUMBER(MATCH(DATEVALUE($A297),'recurring1_based on steps'!AH$1:AH$400,0)),AH$2,)</f>
        <v>0</v>
      </c>
      <c r="AI297" s="140">
        <f ca="1">IF(ISNUMBER(MATCH(DATEVALUE($A297),'recurring1_based on steps'!AI$1:AI$400,0)),AI$2,)</f>
        <v>0</v>
      </c>
      <c r="AJ297" s="140">
        <f ca="1">IF(ISNUMBER(MATCH(DATEVALUE($A297),'recurring1_based on steps'!AJ$1:AJ$400,0)),AJ$2,)</f>
        <v>0</v>
      </c>
      <c r="AK297" s="140">
        <f ca="1">IF(ISNUMBER(MATCH(DATEVALUE($A297),'recurring1_based on steps'!AK$1:AK$400,0)),AK$2,)</f>
        <v>0</v>
      </c>
      <c r="AL297" s="140">
        <f ca="1">IF(ISNUMBER(MATCH(DATEVALUE($A297),'recurring1_based on steps'!AL$1:AL$400,0)),AL$2,)</f>
        <v>0</v>
      </c>
      <c r="AM297" s="140">
        <f ca="1">IF(ISNUMBER(MATCH(DATEVALUE($A297),'recurring1_based on steps'!AM$1:AM$400,0)),AM$2,)</f>
        <v>0</v>
      </c>
      <c r="AN297" s="140">
        <f ca="1">IF(ISNUMBER(MATCH(DATEVALUE($A297),'recurring1_based on steps'!AN$1:AN$400,0)),AN$2,)</f>
        <v>0</v>
      </c>
      <c r="AO297" s="140">
        <f ca="1">IF(ISNUMBER(MATCH(DATEVALUE($A297),'recurring1_based on steps'!AO$1:AO$400,0)),AO$2,)</f>
        <v>0</v>
      </c>
      <c r="AP297" s="140">
        <f ca="1">IF(ISNUMBER(MATCH(DATEVALUE($A297),'recurring1_based on steps'!AP$1:AP$400,0)),AP$2,)</f>
        <v>0</v>
      </c>
      <c r="AQ297" s="140">
        <f ca="1">IF(ISNUMBER(MATCH(DATEVALUE($A297),'recurring1_based on steps'!AQ$1:AQ$400,0)),AQ$2,)</f>
        <v>0</v>
      </c>
      <c r="AR297" s="140">
        <f ca="1">IF(ISNUMBER(MATCH(DATEVALUE($A297),'recurring1_based on steps'!AR$1:AR$400,0)),AR$2,)</f>
        <v>0</v>
      </c>
      <c r="AS297" s="140">
        <f ca="1">IF(ISNUMBER(MATCH(DATEVALUE($A297),'recurring1_based on steps'!AS$1:AS$400,0)),AS$2,)</f>
        <v>0</v>
      </c>
      <c r="AT297" s="140">
        <f ca="1">IF(ISNUMBER(MATCH(DATEVALUE($A297),'recurring1_based on steps'!AT$1:AT$400,0)),AT$2,)</f>
        <v>0</v>
      </c>
      <c r="AU297" s="140">
        <f ca="1">IF(ISNUMBER(MATCH(DATEVALUE($A297),'recurring1_based on steps'!AU$1:AU$400,0)),AU$2,)</f>
        <v>0</v>
      </c>
      <c r="AV297" s="140">
        <f ca="1">IF(ISNUMBER(MATCH(DATEVALUE($A297),'recurring1_based on steps'!AV$1:AV$400,0)),AV$2,)</f>
        <v>0</v>
      </c>
      <c r="AW297" s="140">
        <f ca="1">IF(ISNUMBER(MATCH(DATEVALUE($A297),'recurring1_based on steps'!AW$1:AW$400,0)),AW$2,)</f>
        <v>0</v>
      </c>
      <c r="AX297" s="140">
        <f ca="1">IF(ISNUMBER(MATCH(DATEVALUE($A297),'recurring1_based on steps'!AX$1:AX$400,0)),AX$2,)</f>
        <v>0</v>
      </c>
      <c r="AY297" s="140">
        <f ca="1">IF(ISNUMBER(MATCH(DATEVALUE($A297),'recurring1_based on steps'!AY$1:AY$400,0)),AY$2,)</f>
        <v>0</v>
      </c>
    </row>
    <row r="298" spans="1:51" x14ac:dyDescent="0.2">
      <c r="A298" s="29" t="str">
        <f t="shared" ca="1" si="4"/>
        <v>2026-01-16</v>
      </c>
      <c r="B298" s="140">
        <f ca="1">IF(ISNUMBER(MATCH(DATEVALUE($A298),'recurring1_based on steps'!B$1:B$400,0)),B$2,)</f>
        <v>0</v>
      </c>
      <c r="C298" s="140">
        <f ca="1">IF(ISNUMBER(MATCH(DATEVALUE($A298),'recurring1_based on steps'!C$1:C$400,0)),C$2,)</f>
        <v>0</v>
      </c>
      <c r="D298" s="140">
        <f ca="1">IF(ISNUMBER(MATCH(DATEVALUE($A298),'recurring1_based on steps'!D$1:D$400,0)),D$2,)</f>
        <v>0</v>
      </c>
      <c r="E298" s="140">
        <f ca="1">IF(ISNUMBER(MATCH(DATEVALUE($A298),'recurring1_based on steps'!E$1:E$400,0)),E$2,)</f>
        <v>0</v>
      </c>
      <c r="F298" s="140">
        <f ca="1">IF(ISNUMBER(MATCH(DATEVALUE($A298),'recurring1_based on steps'!F$1:F$400,0)),F$2,)</f>
        <v>0</v>
      </c>
      <c r="G298" s="140">
        <f ca="1">IF(ISNUMBER(MATCH(DATEVALUE($A298),'recurring1_based on steps'!G$1:G$400,0)),G$2,)</f>
        <v>0</v>
      </c>
      <c r="H298" s="140">
        <f ca="1">IF(ISNUMBER(MATCH(DATEVALUE($A298),'recurring1_based on steps'!H$1:H$400,0)),H$2,)</f>
        <v>0</v>
      </c>
      <c r="I298" s="140">
        <f ca="1">IF(ISNUMBER(MATCH(DATEVALUE($A298),'recurring1_based on steps'!I$1:I$400,0)),I$2,)</f>
        <v>0</v>
      </c>
      <c r="J298" s="140">
        <f ca="1">IF(ISNUMBER(MATCH(DATEVALUE($A298),'recurring1_based on steps'!J$1:J$400,0)),J$2,)</f>
        <v>0</v>
      </c>
      <c r="K298" s="140">
        <f ca="1">IF(ISNUMBER(MATCH(DATEVALUE($A298),'recurring1_based on steps'!K$1:K$400,0)),K$2,)</f>
        <v>0</v>
      </c>
      <c r="L298" s="140">
        <f ca="1">IF(ISNUMBER(MATCH(DATEVALUE($A298),'recurring1_based on steps'!L$1:L$400,0)),L$2,)</f>
        <v>0</v>
      </c>
      <c r="M298" s="140">
        <f ca="1">IF(ISNUMBER(MATCH(DATEVALUE($A298),'recurring1_based on steps'!M$1:M$400,0)),M$2,)</f>
        <v>0</v>
      </c>
      <c r="N298" s="140">
        <f ca="1">IF(ISNUMBER(MATCH(DATEVALUE($A298),'recurring1_based on steps'!N$1:N$400,0)),N$2,)</f>
        <v>0</v>
      </c>
      <c r="O298" s="140">
        <f ca="1">IF(ISNUMBER(MATCH(DATEVALUE($A298),'recurring1_based on steps'!O$1:O$400,0)),O$2,)</f>
        <v>0</v>
      </c>
      <c r="P298" s="140">
        <f ca="1">IF(ISNUMBER(MATCH(DATEVALUE($A298),'recurring1_based on steps'!P$1:P$400,0)),P$2,)</f>
        <v>0</v>
      </c>
      <c r="Q298" s="140">
        <f ca="1">IF(ISNUMBER(MATCH(DATEVALUE($A298),'recurring1_based on steps'!Q$1:Q$400,0)),Q$2,)</f>
        <v>0</v>
      </c>
      <c r="R298" s="140">
        <f ca="1">IF(ISNUMBER(MATCH(DATEVALUE($A298),'recurring1_based on steps'!R$1:R$400,0)),R$2,)</f>
        <v>0</v>
      </c>
      <c r="S298" s="140">
        <f ca="1">IF(ISNUMBER(MATCH(DATEVALUE($A298),'recurring1_based on steps'!S$1:S$400,0)),S$2,)</f>
        <v>0</v>
      </c>
      <c r="T298" s="140">
        <f ca="1">IF(ISNUMBER(MATCH(DATEVALUE($A298),'recurring1_based on steps'!T$1:T$400,0)),T$2,)</f>
        <v>0</v>
      </c>
      <c r="U298" s="140">
        <f ca="1">IF(ISNUMBER(MATCH(DATEVALUE($A298),'recurring1_based on steps'!U$1:U$400,0)),U$2,)</f>
        <v>0</v>
      </c>
      <c r="V298" s="140">
        <f ca="1">IF(ISNUMBER(MATCH(DATEVALUE($A298),'recurring1_based on steps'!V$1:V$400,0)),V$2,)</f>
        <v>0</v>
      </c>
      <c r="W298" s="140">
        <f ca="1">IF(ISNUMBER(MATCH(DATEVALUE($A298),'recurring1_based on steps'!W$1:W$400,0)),W$2,)</f>
        <v>0</v>
      </c>
      <c r="X298" s="140">
        <f ca="1">IF(ISNUMBER(MATCH(DATEVALUE($A298),'recurring1_based on steps'!X$1:X$400,0)),X$2,)</f>
        <v>0</v>
      </c>
      <c r="Y298" s="140">
        <f ca="1">IF(ISNUMBER(MATCH(DATEVALUE($A298),'recurring1_based on steps'!Y$1:Y$400,0)),Y$2,)</f>
        <v>0</v>
      </c>
      <c r="Z298" s="140">
        <f ca="1">IF(ISNUMBER(MATCH(DATEVALUE($A298),'recurring1_based on steps'!Z$1:Z$400,0)),Z$2,)</f>
        <v>0</v>
      </c>
      <c r="AA298" s="140">
        <f ca="1">IF(ISNUMBER(MATCH(DATEVALUE($A298),'recurring1_based on steps'!AA$1:AA$400,0)),AA$2,)</f>
        <v>0</v>
      </c>
      <c r="AB298" s="140">
        <f ca="1">IF(ISNUMBER(MATCH(DATEVALUE($A298),'recurring1_based on steps'!AB$1:AB$400,0)),AB$2,)</f>
        <v>5.5401662049861494E-2</v>
      </c>
      <c r="AC298" s="140">
        <f ca="1">IF(ISNUMBER(MATCH(DATEVALUE($A298),'recurring1_based on steps'!AC$1:AC$400,0)),AC$2,)</f>
        <v>0</v>
      </c>
      <c r="AD298" s="140">
        <f ca="1">IF(ISNUMBER(MATCH(DATEVALUE($A298),'recurring1_based on steps'!AD$1:AD$400,0)),AD$2,)</f>
        <v>0</v>
      </c>
      <c r="AE298" s="140">
        <f ca="1">IF(ISNUMBER(MATCH(DATEVALUE($A298),'recurring1_based on steps'!AE$1:AE$400,0)),AE$2,)</f>
        <v>0</v>
      </c>
      <c r="AF298" s="140">
        <f ca="1">IF(ISNUMBER(MATCH(DATEVALUE($A298),'recurring1_based on steps'!AF$1:AF$400,0)),AF$2,)</f>
        <v>0</v>
      </c>
      <c r="AG298" s="140">
        <f ca="1">IF(ISNUMBER(MATCH(DATEVALUE($A298),'recurring1_based on steps'!AG$1:AG$400,0)),AG$2,)</f>
        <v>0</v>
      </c>
      <c r="AH298" s="140">
        <f ca="1">IF(ISNUMBER(MATCH(DATEVALUE($A298),'recurring1_based on steps'!AH$1:AH$400,0)),AH$2,)</f>
        <v>0</v>
      </c>
      <c r="AI298" s="140">
        <f ca="1">IF(ISNUMBER(MATCH(DATEVALUE($A298),'recurring1_based on steps'!AI$1:AI$400,0)),AI$2,)</f>
        <v>0</v>
      </c>
      <c r="AJ298" s="140">
        <f ca="1">IF(ISNUMBER(MATCH(DATEVALUE($A298),'recurring1_based on steps'!AJ$1:AJ$400,0)),AJ$2,)</f>
        <v>0</v>
      </c>
      <c r="AK298" s="140">
        <f ca="1">IF(ISNUMBER(MATCH(DATEVALUE($A298),'recurring1_based on steps'!AK$1:AK$400,0)),AK$2,)</f>
        <v>0</v>
      </c>
      <c r="AL298" s="140">
        <f ca="1">IF(ISNUMBER(MATCH(DATEVALUE($A298),'recurring1_based on steps'!AL$1:AL$400,0)),AL$2,)</f>
        <v>0</v>
      </c>
      <c r="AM298" s="140">
        <f ca="1">IF(ISNUMBER(MATCH(DATEVALUE($A298),'recurring1_based on steps'!AM$1:AM$400,0)),AM$2,)</f>
        <v>0</v>
      </c>
      <c r="AN298" s="140">
        <f ca="1">IF(ISNUMBER(MATCH(DATEVALUE($A298),'recurring1_based on steps'!AN$1:AN$400,0)),AN$2,)</f>
        <v>0</v>
      </c>
      <c r="AO298" s="140">
        <f ca="1">IF(ISNUMBER(MATCH(DATEVALUE($A298),'recurring1_based on steps'!AO$1:AO$400,0)),AO$2,)</f>
        <v>0</v>
      </c>
      <c r="AP298" s="140">
        <f ca="1">IF(ISNUMBER(MATCH(DATEVALUE($A298),'recurring1_based on steps'!AP$1:AP$400,0)),AP$2,)</f>
        <v>0</v>
      </c>
      <c r="AQ298" s="140">
        <f ca="1">IF(ISNUMBER(MATCH(DATEVALUE($A298),'recurring1_based on steps'!AQ$1:AQ$400,0)),AQ$2,)</f>
        <v>0</v>
      </c>
      <c r="AR298" s="140">
        <f ca="1">IF(ISNUMBER(MATCH(DATEVALUE($A298),'recurring1_based on steps'!AR$1:AR$400,0)),AR$2,)</f>
        <v>0</v>
      </c>
      <c r="AS298" s="140">
        <f ca="1">IF(ISNUMBER(MATCH(DATEVALUE($A298),'recurring1_based on steps'!AS$1:AS$400,0)),AS$2,)</f>
        <v>0</v>
      </c>
      <c r="AT298" s="140">
        <f ca="1">IF(ISNUMBER(MATCH(DATEVALUE($A298),'recurring1_based on steps'!AT$1:AT$400,0)),AT$2,)</f>
        <v>0</v>
      </c>
      <c r="AU298" s="140">
        <f ca="1">IF(ISNUMBER(MATCH(DATEVALUE($A298),'recurring1_based on steps'!AU$1:AU$400,0)),AU$2,)</f>
        <v>0</v>
      </c>
      <c r="AV298" s="140">
        <f ca="1">IF(ISNUMBER(MATCH(DATEVALUE($A298),'recurring1_based on steps'!AV$1:AV$400,0)),AV$2,)</f>
        <v>0</v>
      </c>
      <c r="AW298" s="140">
        <f ca="1">IF(ISNUMBER(MATCH(DATEVALUE($A298),'recurring1_based on steps'!AW$1:AW$400,0)),AW$2,)</f>
        <v>0</v>
      </c>
      <c r="AX298" s="140">
        <f ca="1">IF(ISNUMBER(MATCH(DATEVALUE($A298),'recurring1_based on steps'!AX$1:AX$400,0)),AX$2,)</f>
        <v>0</v>
      </c>
      <c r="AY298" s="140">
        <f ca="1">IF(ISNUMBER(MATCH(DATEVALUE($A298),'recurring1_based on steps'!AY$1:AY$400,0)),AY$2,)</f>
        <v>0</v>
      </c>
    </row>
    <row r="299" spans="1:51" x14ac:dyDescent="0.2">
      <c r="A299" s="29" t="str">
        <f t="shared" ca="1" si="4"/>
        <v>2026-01-17</v>
      </c>
      <c r="B299" s="140">
        <f ca="1">IF(ISNUMBER(MATCH(DATEVALUE($A299),'recurring1_based on steps'!B$1:B$400,0)),B$2,)</f>
        <v>0</v>
      </c>
      <c r="C299" s="140">
        <f ca="1">IF(ISNUMBER(MATCH(DATEVALUE($A299),'recurring1_based on steps'!C$1:C$400,0)),C$2,)</f>
        <v>0</v>
      </c>
      <c r="D299" s="140">
        <f ca="1">IF(ISNUMBER(MATCH(DATEVALUE($A299),'recurring1_based on steps'!D$1:D$400,0)),D$2,)</f>
        <v>0</v>
      </c>
      <c r="E299" s="140">
        <f ca="1">IF(ISNUMBER(MATCH(DATEVALUE($A299),'recurring1_based on steps'!E$1:E$400,0)),E$2,)</f>
        <v>0</v>
      </c>
      <c r="F299" s="140">
        <f ca="1">IF(ISNUMBER(MATCH(DATEVALUE($A299),'recurring1_based on steps'!F$1:F$400,0)),F$2,)</f>
        <v>0</v>
      </c>
      <c r="G299" s="140">
        <f ca="1">IF(ISNUMBER(MATCH(DATEVALUE($A299),'recurring1_based on steps'!G$1:G$400,0)),G$2,)</f>
        <v>0</v>
      </c>
      <c r="H299" s="140">
        <f ca="1">IF(ISNUMBER(MATCH(DATEVALUE($A299),'recurring1_based on steps'!H$1:H$400,0)),H$2,)</f>
        <v>0</v>
      </c>
      <c r="I299" s="140">
        <f ca="1">IF(ISNUMBER(MATCH(DATEVALUE($A299),'recurring1_based on steps'!I$1:I$400,0)),I$2,)</f>
        <v>0</v>
      </c>
      <c r="J299" s="140">
        <f ca="1">IF(ISNUMBER(MATCH(DATEVALUE($A299),'recurring1_based on steps'!J$1:J$400,0)),J$2,)</f>
        <v>0</v>
      </c>
      <c r="K299" s="140">
        <f ca="1">IF(ISNUMBER(MATCH(DATEVALUE($A299),'recurring1_based on steps'!K$1:K$400,0)),K$2,)</f>
        <v>0</v>
      </c>
      <c r="L299" s="140">
        <f ca="1">IF(ISNUMBER(MATCH(DATEVALUE($A299),'recurring1_based on steps'!L$1:L$400,0)),L$2,)</f>
        <v>0</v>
      </c>
      <c r="M299" s="140">
        <f ca="1">IF(ISNUMBER(MATCH(DATEVALUE($A299),'recurring1_based on steps'!M$1:M$400,0)),M$2,)</f>
        <v>0</v>
      </c>
      <c r="N299" s="140">
        <f ca="1">IF(ISNUMBER(MATCH(DATEVALUE($A299),'recurring1_based on steps'!N$1:N$400,0)),N$2,)</f>
        <v>15.49</v>
      </c>
      <c r="O299" s="140">
        <f ca="1">IF(ISNUMBER(MATCH(DATEVALUE($A299),'recurring1_based on steps'!O$1:O$400,0)),O$2,)</f>
        <v>0</v>
      </c>
      <c r="P299" s="140">
        <f ca="1">IF(ISNUMBER(MATCH(DATEVALUE($A299),'recurring1_based on steps'!P$1:P$400,0)),P$2,)</f>
        <v>0</v>
      </c>
      <c r="Q299" s="140">
        <f ca="1">IF(ISNUMBER(MATCH(DATEVALUE($A299),'recurring1_based on steps'!Q$1:Q$400,0)),Q$2,)</f>
        <v>100</v>
      </c>
      <c r="R299" s="140">
        <f ca="1">IF(ISNUMBER(MATCH(DATEVALUE($A299),'recurring1_based on steps'!R$1:R$400,0)),R$2,)</f>
        <v>100</v>
      </c>
      <c r="S299" s="140">
        <f ca="1">IF(ISNUMBER(MATCH(DATEVALUE($A299),'recurring1_based on steps'!S$1:S$400,0)),S$2,)</f>
        <v>0</v>
      </c>
      <c r="T299" s="140">
        <f ca="1">IF(ISNUMBER(MATCH(DATEVALUE($A299),'recurring1_based on steps'!T$1:T$400,0)),T$2,)</f>
        <v>0</v>
      </c>
      <c r="U299" s="140">
        <f ca="1">IF(ISNUMBER(MATCH(DATEVALUE($A299),'recurring1_based on steps'!U$1:U$400,0)),U$2,)</f>
        <v>0</v>
      </c>
      <c r="V299" s="140">
        <f ca="1">IF(ISNUMBER(MATCH(DATEVALUE($A299),'recurring1_based on steps'!V$1:V$400,0)),V$2,)</f>
        <v>200</v>
      </c>
      <c r="W299" s="140">
        <f ca="1">IF(ISNUMBER(MATCH(DATEVALUE($A299),'recurring1_based on steps'!W$1:W$400,0)),W$2,)</f>
        <v>0</v>
      </c>
      <c r="X299" s="140">
        <f ca="1">IF(ISNUMBER(MATCH(DATEVALUE($A299),'recurring1_based on steps'!X$1:X$400,0)),X$2,)</f>
        <v>0</v>
      </c>
      <c r="Y299" s="140">
        <f ca="1">IF(ISNUMBER(MATCH(DATEVALUE($A299),'recurring1_based on steps'!Y$1:Y$400,0)),Y$2,)</f>
        <v>0</v>
      </c>
      <c r="Z299" s="140">
        <f ca="1">IF(ISNUMBER(MATCH(DATEVALUE($A299),'recurring1_based on steps'!Z$1:Z$400,0)),Z$2,)</f>
        <v>0</v>
      </c>
      <c r="AA299" s="140">
        <f ca="1">IF(ISNUMBER(MATCH(DATEVALUE($A299),'recurring1_based on steps'!AA$1:AA$400,0)),AA$2,)</f>
        <v>0</v>
      </c>
      <c r="AB299" s="140">
        <f ca="1">IF(ISNUMBER(MATCH(DATEVALUE($A299),'recurring1_based on steps'!AB$1:AB$400,0)),AB$2,)</f>
        <v>5.5401662049861494E-2</v>
      </c>
      <c r="AC299" s="140">
        <f ca="1">IF(ISNUMBER(MATCH(DATEVALUE($A299),'recurring1_based on steps'!AC$1:AC$400,0)),AC$2,)</f>
        <v>0</v>
      </c>
      <c r="AD299" s="140">
        <f ca="1">IF(ISNUMBER(MATCH(DATEVALUE($A299),'recurring1_based on steps'!AD$1:AD$400,0)),AD$2,)</f>
        <v>0</v>
      </c>
      <c r="AE299" s="140">
        <f ca="1">IF(ISNUMBER(MATCH(DATEVALUE($A299),'recurring1_based on steps'!AE$1:AE$400,0)),AE$2,)</f>
        <v>0</v>
      </c>
      <c r="AF299" s="140">
        <f ca="1">IF(ISNUMBER(MATCH(DATEVALUE($A299),'recurring1_based on steps'!AF$1:AF$400,0)),AF$2,)</f>
        <v>0</v>
      </c>
      <c r="AG299" s="140">
        <f ca="1">IF(ISNUMBER(MATCH(DATEVALUE($A299),'recurring1_based on steps'!AG$1:AG$400,0)),AG$2,)</f>
        <v>0</v>
      </c>
      <c r="AH299" s="140">
        <f ca="1">IF(ISNUMBER(MATCH(DATEVALUE($A299),'recurring1_based on steps'!AH$1:AH$400,0)),AH$2,)</f>
        <v>0</v>
      </c>
      <c r="AI299" s="140">
        <f ca="1">IF(ISNUMBER(MATCH(DATEVALUE($A299),'recurring1_based on steps'!AI$1:AI$400,0)),AI$2,)</f>
        <v>0</v>
      </c>
      <c r="AJ299" s="140">
        <f ca="1">IF(ISNUMBER(MATCH(DATEVALUE($A299),'recurring1_based on steps'!AJ$1:AJ$400,0)),AJ$2,)</f>
        <v>0</v>
      </c>
      <c r="AK299" s="140">
        <f ca="1">IF(ISNUMBER(MATCH(DATEVALUE($A299),'recurring1_based on steps'!AK$1:AK$400,0)),AK$2,)</f>
        <v>0</v>
      </c>
      <c r="AL299" s="140">
        <f ca="1">IF(ISNUMBER(MATCH(DATEVALUE($A299),'recurring1_based on steps'!AL$1:AL$400,0)),AL$2,)</f>
        <v>0</v>
      </c>
      <c r="AM299" s="140">
        <f ca="1">IF(ISNUMBER(MATCH(DATEVALUE($A299),'recurring1_based on steps'!AM$1:AM$400,0)),AM$2,)</f>
        <v>0</v>
      </c>
      <c r="AN299" s="140">
        <f ca="1">IF(ISNUMBER(MATCH(DATEVALUE($A299),'recurring1_based on steps'!AN$1:AN$400,0)),AN$2,)</f>
        <v>0</v>
      </c>
      <c r="AO299" s="140">
        <f ca="1">IF(ISNUMBER(MATCH(DATEVALUE($A299),'recurring1_based on steps'!AO$1:AO$400,0)),AO$2,)</f>
        <v>0</v>
      </c>
      <c r="AP299" s="140">
        <f ca="1">IF(ISNUMBER(MATCH(DATEVALUE($A299),'recurring1_based on steps'!AP$1:AP$400,0)),AP$2,)</f>
        <v>0</v>
      </c>
      <c r="AQ299" s="140">
        <f ca="1">IF(ISNUMBER(MATCH(DATEVALUE($A299),'recurring1_based on steps'!AQ$1:AQ$400,0)),AQ$2,)</f>
        <v>0</v>
      </c>
      <c r="AR299" s="140">
        <f ca="1">IF(ISNUMBER(MATCH(DATEVALUE($A299),'recurring1_based on steps'!AR$1:AR$400,0)),AR$2,)</f>
        <v>0</v>
      </c>
      <c r="AS299" s="140">
        <f ca="1">IF(ISNUMBER(MATCH(DATEVALUE($A299),'recurring1_based on steps'!AS$1:AS$400,0)),AS$2,)</f>
        <v>0</v>
      </c>
      <c r="AT299" s="140">
        <f ca="1">IF(ISNUMBER(MATCH(DATEVALUE($A299),'recurring1_based on steps'!AT$1:AT$400,0)),AT$2,)</f>
        <v>0</v>
      </c>
      <c r="AU299" s="140">
        <f ca="1">IF(ISNUMBER(MATCH(DATEVALUE($A299),'recurring1_based on steps'!AU$1:AU$400,0)),AU$2,)</f>
        <v>0</v>
      </c>
      <c r="AV299" s="140">
        <f ca="1">IF(ISNUMBER(MATCH(DATEVALUE($A299),'recurring1_based on steps'!AV$1:AV$400,0)),AV$2,)</f>
        <v>0</v>
      </c>
      <c r="AW299" s="140">
        <f ca="1">IF(ISNUMBER(MATCH(DATEVALUE($A299),'recurring1_based on steps'!AW$1:AW$400,0)),AW$2,)</f>
        <v>0</v>
      </c>
      <c r="AX299" s="140">
        <f ca="1">IF(ISNUMBER(MATCH(DATEVALUE($A299),'recurring1_based on steps'!AX$1:AX$400,0)),AX$2,)</f>
        <v>0</v>
      </c>
      <c r="AY299" s="140">
        <f ca="1">IF(ISNUMBER(MATCH(DATEVALUE($A299),'recurring1_based on steps'!AY$1:AY$400,0)),AY$2,)</f>
        <v>0</v>
      </c>
    </row>
    <row r="300" spans="1:51" x14ac:dyDescent="0.2">
      <c r="A300" s="29" t="str">
        <f t="shared" ca="1" si="4"/>
        <v>2026-01-18</v>
      </c>
      <c r="B300" s="140">
        <f ca="1">IF(ISNUMBER(MATCH(DATEVALUE($A300),'recurring1_based on steps'!B$1:B$400,0)),B$2,)</f>
        <v>0</v>
      </c>
      <c r="C300" s="140">
        <f ca="1">IF(ISNUMBER(MATCH(DATEVALUE($A300),'recurring1_based on steps'!C$1:C$400,0)),C$2,)</f>
        <v>0</v>
      </c>
      <c r="D300" s="140">
        <f ca="1">IF(ISNUMBER(MATCH(DATEVALUE($A300),'recurring1_based on steps'!D$1:D$400,0)),D$2,)</f>
        <v>0</v>
      </c>
      <c r="E300" s="140">
        <f ca="1">IF(ISNUMBER(MATCH(DATEVALUE($A300),'recurring1_based on steps'!E$1:E$400,0)),E$2,)</f>
        <v>0</v>
      </c>
      <c r="F300" s="140">
        <f ca="1">IF(ISNUMBER(MATCH(DATEVALUE($A300),'recurring1_based on steps'!F$1:F$400,0)),F$2,)</f>
        <v>0</v>
      </c>
      <c r="G300" s="140">
        <f ca="1">IF(ISNUMBER(MATCH(DATEVALUE($A300),'recurring1_based on steps'!G$1:G$400,0)),G$2,)</f>
        <v>0</v>
      </c>
      <c r="H300" s="140">
        <f ca="1">IF(ISNUMBER(MATCH(DATEVALUE($A300),'recurring1_based on steps'!H$1:H$400,0)),H$2,)</f>
        <v>0</v>
      </c>
      <c r="I300" s="140">
        <f ca="1">IF(ISNUMBER(MATCH(DATEVALUE($A300),'recurring1_based on steps'!I$1:I$400,0)),I$2,)</f>
        <v>0</v>
      </c>
      <c r="J300" s="140">
        <f ca="1">IF(ISNUMBER(MATCH(DATEVALUE($A300),'recurring1_based on steps'!J$1:J$400,0)),J$2,)</f>
        <v>0</v>
      </c>
      <c r="K300" s="140">
        <f ca="1">IF(ISNUMBER(MATCH(DATEVALUE($A300),'recurring1_based on steps'!K$1:K$400,0)),K$2,)</f>
        <v>50</v>
      </c>
      <c r="L300" s="140">
        <f ca="1">IF(ISNUMBER(MATCH(DATEVALUE($A300),'recurring1_based on steps'!L$1:L$400,0)),L$2,)</f>
        <v>0</v>
      </c>
      <c r="M300" s="140">
        <f ca="1">IF(ISNUMBER(MATCH(DATEVALUE($A300),'recurring1_based on steps'!M$1:M$400,0)),M$2,)</f>
        <v>0</v>
      </c>
      <c r="N300" s="140">
        <f ca="1">IF(ISNUMBER(MATCH(DATEVALUE($A300),'recurring1_based on steps'!N$1:N$400,0)),N$2,)</f>
        <v>0</v>
      </c>
      <c r="O300" s="140">
        <f ca="1">IF(ISNUMBER(MATCH(DATEVALUE($A300),'recurring1_based on steps'!O$1:O$400,0)),O$2,)</f>
        <v>10.99</v>
      </c>
      <c r="P300" s="140">
        <f ca="1">IF(ISNUMBER(MATCH(DATEVALUE($A300),'recurring1_based on steps'!P$1:P$400,0)),P$2,)</f>
        <v>0</v>
      </c>
      <c r="Q300" s="140">
        <f ca="1">IF(ISNUMBER(MATCH(DATEVALUE($A300),'recurring1_based on steps'!Q$1:Q$400,0)),Q$2,)</f>
        <v>0</v>
      </c>
      <c r="R300" s="140">
        <f ca="1">IF(ISNUMBER(MATCH(DATEVALUE($A300),'recurring1_based on steps'!R$1:R$400,0)),R$2,)</f>
        <v>0</v>
      </c>
      <c r="S300" s="140">
        <f ca="1">IF(ISNUMBER(MATCH(DATEVALUE($A300),'recurring1_based on steps'!S$1:S$400,0)),S$2,)</f>
        <v>100</v>
      </c>
      <c r="T300" s="140">
        <f ca="1">IF(ISNUMBER(MATCH(DATEVALUE($A300),'recurring1_based on steps'!T$1:T$400,0)),T$2,)</f>
        <v>0</v>
      </c>
      <c r="U300" s="140">
        <f ca="1">IF(ISNUMBER(MATCH(DATEVALUE($A300),'recurring1_based on steps'!U$1:U$400,0)),U$2,)</f>
        <v>0</v>
      </c>
      <c r="V300" s="140">
        <f ca="1">IF(ISNUMBER(MATCH(DATEVALUE($A300),'recurring1_based on steps'!V$1:V$400,0)),V$2,)</f>
        <v>0</v>
      </c>
      <c r="W300" s="140">
        <f ca="1">IF(ISNUMBER(MATCH(DATEVALUE($A300),'recurring1_based on steps'!W$1:W$400,0)),W$2,)</f>
        <v>0</v>
      </c>
      <c r="X300" s="140">
        <f ca="1">IF(ISNUMBER(MATCH(DATEVALUE($A300),'recurring1_based on steps'!X$1:X$400,0)),X$2,)</f>
        <v>0</v>
      </c>
      <c r="Y300" s="140">
        <f ca="1">IF(ISNUMBER(MATCH(DATEVALUE($A300),'recurring1_based on steps'!Y$1:Y$400,0)),Y$2,)</f>
        <v>0</v>
      </c>
      <c r="Z300" s="140">
        <f ca="1">IF(ISNUMBER(MATCH(DATEVALUE($A300),'recurring1_based on steps'!Z$1:Z$400,0)),Z$2,)</f>
        <v>0</v>
      </c>
      <c r="AA300" s="140">
        <f ca="1">IF(ISNUMBER(MATCH(DATEVALUE($A300),'recurring1_based on steps'!AA$1:AA$400,0)),AA$2,)</f>
        <v>0</v>
      </c>
      <c r="AB300" s="140">
        <f ca="1">IF(ISNUMBER(MATCH(DATEVALUE($A300),'recurring1_based on steps'!AB$1:AB$400,0)),AB$2,)</f>
        <v>5.5401662049861494E-2</v>
      </c>
      <c r="AC300" s="140">
        <f ca="1">IF(ISNUMBER(MATCH(DATEVALUE($A300),'recurring1_based on steps'!AC$1:AC$400,0)),AC$2,)</f>
        <v>0</v>
      </c>
      <c r="AD300" s="140">
        <f ca="1">IF(ISNUMBER(MATCH(DATEVALUE($A300),'recurring1_based on steps'!AD$1:AD$400,0)),AD$2,)</f>
        <v>0</v>
      </c>
      <c r="AE300" s="140">
        <f ca="1">IF(ISNUMBER(MATCH(DATEVALUE($A300),'recurring1_based on steps'!AE$1:AE$400,0)),AE$2,)</f>
        <v>0</v>
      </c>
      <c r="AF300" s="140">
        <f ca="1">IF(ISNUMBER(MATCH(DATEVALUE($A300),'recurring1_based on steps'!AF$1:AF$400,0)),AF$2,)</f>
        <v>0</v>
      </c>
      <c r="AG300" s="140">
        <f ca="1">IF(ISNUMBER(MATCH(DATEVALUE($A300),'recurring1_based on steps'!AG$1:AG$400,0)),AG$2,)</f>
        <v>0</v>
      </c>
      <c r="AH300" s="140">
        <f ca="1">IF(ISNUMBER(MATCH(DATEVALUE($A300),'recurring1_based on steps'!AH$1:AH$400,0)),AH$2,)</f>
        <v>0</v>
      </c>
      <c r="AI300" s="140">
        <f ca="1">IF(ISNUMBER(MATCH(DATEVALUE($A300),'recurring1_based on steps'!AI$1:AI$400,0)),AI$2,)</f>
        <v>0</v>
      </c>
      <c r="AJ300" s="140">
        <f ca="1">IF(ISNUMBER(MATCH(DATEVALUE($A300),'recurring1_based on steps'!AJ$1:AJ$400,0)),AJ$2,)</f>
        <v>0</v>
      </c>
      <c r="AK300" s="140">
        <f ca="1">IF(ISNUMBER(MATCH(DATEVALUE($A300),'recurring1_based on steps'!AK$1:AK$400,0)),AK$2,)</f>
        <v>0</v>
      </c>
      <c r="AL300" s="140">
        <f ca="1">IF(ISNUMBER(MATCH(DATEVALUE($A300),'recurring1_based on steps'!AL$1:AL$400,0)),AL$2,)</f>
        <v>0</v>
      </c>
      <c r="AM300" s="140">
        <f ca="1">IF(ISNUMBER(MATCH(DATEVALUE($A300),'recurring1_based on steps'!AM$1:AM$400,0)),AM$2,)</f>
        <v>0</v>
      </c>
      <c r="AN300" s="140">
        <f ca="1">IF(ISNUMBER(MATCH(DATEVALUE($A300),'recurring1_based on steps'!AN$1:AN$400,0)),AN$2,)</f>
        <v>0</v>
      </c>
      <c r="AO300" s="140">
        <f ca="1">IF(ISNUMBER(MATCH(DATEVALUE($A300),'recurring1_based on steps'!AO$1:AO$400,0)),AO$2,)</f>
        <v>0</v>
      </c>
      <c r="AP300" s="140">
        <f ca="1">IF(ISNUMBER(MATCH(DATEVALUE($A300),'recurring1_based on steps'!AP$1:AP$400,0)),AP$2,)</f>
        <v>0</v>
      </c>
      <c r="AQ300" s="140">
        <f ca="1">IF(ISNUMBER(MATCH(DATEVALUE($A300),'recurring1_based on steps'!AQ$1:AQ$400,0)),AQ$2,)</f>
        <v>0</v>
      </c>
      <c r="AR300" s="140">
        <f ca="1">IF(ISNUMBER(MATCH(DATEVALUE($A300),'recurring1_based on steps'!AR$1:AR$400,0)),AR$2,)</f>
        <v>0</v>
      </c>
      <c r="AS300" s="140">
        <f ca="1">IF(ISNUMBER(MATCH(DATEVALUE($A300),'recurring1_based on steps'!AS$1:AS$400,0)),AS$2,)</f>
        <v>0</v>
      </c>
      <c r="AT300" s="140">
        <f ca="1">IF(ISNUMBER(MATCH(DATEVALUE($A300),'recurring1_based on steps'!AT$1:AT$400,0)),AT$2,)</f>
        <v>0</v>
      </c>
      <c r="AU300" s="140">
        <f ca="1">IF(ISNUMBER(MATCH(DATEVALUE($A300),'recurring1_based on steps'!AU$1:AU$400,0)),AU$2,)</f>
        <v>0</v>
      </c>
      <c r="AV300" s="140">
        <f ca="1">IF(ISNUMBER(MATCH(DATEVALUE($A300),'recurring1_based on steps'!AV$1:AV$400,0)),AV$2,)</f>
        <v>0</v>
      </c>
      <c r="AW300" s="140">
        <f ca="1">IF(ISNUMBER(MATCH(DATEVALUE($A300),'recurring1_based on steps'!AW$1:AW$400,0)),AW$2,)</f>
        <v>0</v>
      </c>
      <c r="AX300" s="140">
        <f ca="1">IF(ISNUMBER(MATCH(DATEVALUE($A300),'recurring1_based on steps'!AX$1:AX$400,0)),AX$2,)</f>
        <v>0</v>
      </c>
      <c r="AY300" s="140">
        <f ca="1">IF(ISNUMBER(MATCH(DATEVALUE($A300),'recurring1_based on steps'!AY$1:AY$400,0)),AY$2,)</f>
        <v>0</v>
      </c>
    </row>
    <row r="301" spans="1:51" x14ac:dyDescent="0.2">
      <c r="A301" s="29" t="str">
        <f t="shared" ca="1" si="4"/>
        <v>2026-01-19</v>
      </c>
      <c r="B301" s="140">
        <f ca="1">IF(ISNUMBER(MATCH(DATEVALUE($A301),'recurring1_based on steps'!B$1:B$400,0)),B$2,)</f>
        <v>0</v>
      </c>
      <c r="C301" s="140">
        <f ca="1">IF(ISNUMBER(MATCH(DATEVALUE($A301),'recurring1_based on steps'!C$1:C$400,0)),C$2,)</f>
        <v>0</v>
      </c>
      <c r="D301" s="140">
        <f ca="1">IF(ISNUMBER(MATCH(DATEVALUE($A301),'recurring1_based on steps'!D$1:D$400,0)),D$2,)</f>
        <v>0</v>
      </c>
      <c r="E301" s="140">
        <f ca="1">IF(ISNUMBER(MATCH(DATEVALUE($A301),'recurring1_based on steps'!E$1:E$400,0)),E$2,)</f>
        <v>0</v>
      </c>
      <c r="F301" s="140">
        <f ca="1">IF(ISNUMBER(MATCH(DATEVALUE($A301),'recurring1_based on steps'!F$1:F$400,0)),F$2,)</f>
        <v>0</v>
      </c>
      <c r="G301" s="140">
        <f ca="1">IF(ISNUMBER(MATCH(DATEVALUE($A301),'recurring1_based on steps'!G$1:G$400,0)),G$2,)</f>
        <v>0</v>
      </c>
      <c r="H301" s="140">
        <f ca="1">IF(ISNUMBER(MATCH(DATEVALUE($A301),'recurring1_based on steps'!H$1:H$400,0)),H$2,)</f>
        <v>0</v>
      </c>
      <c r="I301" s="140">
        <f ca="1">IF(ISNUMBER(MATCH(DATEVALUE($A301),'recurring1_based on steps'!I$1:I$400,0)),I$2,)</f>
        <v>0</v>
      </c>
      <c r="J301" s="140">
        <f ca="1">IF(ISNUMBER(MATCH(DATEVALUE($A301),'recurring1_based on steps'!J$1:J$400,0)),J$2,)</f>
        <v>0</v>
      </c>
      <c r="K301" s="140">
        <f ca="1">IF(ISNUMBER(MATCH(DATEVALUE($A301),'recurring1_based on steps'!K$1:K$400,0)),K$2,)</f>
        <v>0</v>
      </c>
      <c r="L301" s="140">
        <f ca="1">IF(ISNUMBER(MATCH(DATEVALUE($A301),'recurring1_based on steps'!L$1:L$400,0)),L$2,)</f>
        <v>0</v>
      </c>
      <c r="M301" s="140">
        <f ca="1">IF(ISNUMBER(MATCH(DATEVALUE($A301),'recurring1_based on steps'!M$1:M$400,0)),M$2,)</f>
        <v>0</v>
      </c>
      <c r="N301" s="140">
        <f ca="1">IF(ISNUMBER(MATCH(DATEVALUE($A301),'recurring1_based on steps'!N$1:N$400,0)),N$2,)</f>
        <v>0</v>
      </c>
      <c r="O301" s="140">
        <f ca="1">IF(ISNUMBER(MATCH(DATEVALUE($A301),'recurring1_based on steps'!O$1:O$400,0)),O$2,)</f>
        <v>0</v>
      </c>
      <c r="P301" s="140">
        <f ca="1">IF(ISNUMBER(MATCH(DATEVALUE($A301),'recurring1_based on steps'!P$1:P$400,0)),P$2,)</f>
        <v>0</v>
      </c>
      <c r="Q301" s="140">
        <f ca="1">IF(ISNUMBER(MATCH(DATEVALUE($A301),'recurring1_based on steps'!Q$1:Q$400,0)),Q$2,)</f>
        <v>0</v>
      </c>
      <c r="R301" s="140">
        <f ca="1">IF(ISNUMBER(MATCH(DATEVALUE($A301),'recurring1_based on steps'!R$1:R$400,0)),R$2,)</f>
        <v>0</v>
      </c>
      <c r="S301" s="140">
        <f ca="1">IF(ISNUMBER(MATCH(DATEVALUE($A301),'recurring1_based on steps'!S$1:S$400,0)),S$2,)</f>
        <v>0</v>
      </c>
      <c r="T301" s="140">
        <f ca="1">IF(ISNUMBER(MATCH(DATEVALUE($A301),'recurring1_based on steps'!T$1:T$400,0)),T$2,)</f>
        <v>0</v>
      </c>
      <c r="U301" s="140">
        <f ca="1">IF(ISNUMBER(MATCH(DATEVALUE($A301),'recurring1_based on steps'!U$1:U$400,0)),U$2,)</f>
        <v>0</v>
      </c>
      <c r="V301" s="140">
        <f ca="1">IF(ISNUMBER(MATCH(DATEVALUE($A301),'recurring1_based on steps'!V$1:V$400,0)),V$2,)</f>
        <v>0</v>
      </c>
      <c r="W301" s="140">
        <f ca="1">IF(ISNUMBER(MATCH(DATEVALUE($A301),'recurring1_based on steps'!W$1:W$400,0)),W$2,)</f>
        <v>0</v>
      </c>
      <c r="X301" s="140">
        <f ca="1">IF(ISNUMBER(MATCH(DATEVALUE($A301),'recurring1_based on steps'!X$1:X$400,0)),X$2,)</f>
        <v>0</v>
      </c>
      <c r="Y301" s="140">
        <f ca="1">IF(ISNUMBER(MATCH(DATEVALUE($A301),'recurring1_based on steps'!Y$1:Y$400,0)),Y$2,)</f>
        <v>0</v>
      </c>
      <c r="Z301" s="140">
        <f ca="1">IF(ISNUMBER(MATCH(DATEVALUE($A301),'recurring1_based on steps'!Z$1:Z$400,0)),Z$2,)</f>
        <v>0</v>
      </c>
      <c r="AA301" s="140">
        <f ca="1">IF(ISNUMBER(MATCH(DATEVALUE($A301),'recurring1_based on steps'!AA$1:AA$400,0)),AA$2,)</f>
        <v>0</v>
      </c>
      <c r="AB301" s="140">
        <f ca="1">IF(ISNUMBER(MATCH(DATEVALUE($A301),'recurring1_based on steps'!AB$1:AB$400,0)),AB$2,)</f>
        <v>5.5401662049861494E-2</v>
      </c>
      <c r="AC301" s="140">
        <f ca="1">IF(ISNUMBER(MATCH(DATEVALUE($A301),'recurring1_based on steps'!AC$1:AC$400,0)),AC$2,)</f>
        <v>0</v>
      </c>
      <c r="AD301" s="140">
        <f ca="1">IF(ISNUMBER(MATCH(DATEVALUE($A301),'recurring1_based on steps'!AD$1:AD$400,0)),AD$2,)</f>
        <v>0</v>
      </c>
      <c r="AE301" s="140">
        <f ca="1">IF(ISNUMBER(MATCH(DATEVALUE($A301),'recurring1_based on steps'!AE$1:AE$400,0)),AE$2,)</f>
        <v>0</v>
      </c>
      <c r="AF301" s="140">
        <f ca="1">IF(ISNUMBER(MATCH(DATEVALUE($A301),'recurring1_based on steps'!AF$1:AF$400,0)),AF$2,)</f>
        <v>0</v>
      </c>
      <c r="AG301" s="140">
        <f ca="1">IF(ISNUMBER(MATCH(DATEVALUE($A301),'recurring1_based on steps'!AG$1:AG$400,0)),AG$2,)</f>
        <v>0</v>
      </c>
      <c r="AH301" s="140">
        <f ca="1">IF(ISNUMBER(MATCH(DATEVALUE($A301),'recurring1_based on steps'!AH$1:AH$400,0)),AH$2,)</f>
        <v>0</v>
      </c>
      <c r="AI301" s="140">
        <f ca="1">IF(ISNUMBER(MATCH(DATEVALUE($A301),'recurring1_based on steps'!AI$1:AI$400,0)),AI$2,)</f>
        <v>0</v>
      </c>
      <c r="AJ301" s="140">
        <f ca="1">IF(ISNUMBER(MATCH(DATEVALUE($A301),'recurring1_based on steps'!AJ$1:AJ$400,0)),AJ$2,)</f>
        <v>0</v>
      </c>
      <c r="AK301" s="140">
        <f ca="1">IF(ISNUMBER(MATCH(DATEVALUE($A301),'recurring1_based on steps'!AK$1:AK$400,0)),AK$2,)</f>
        <v>0</v>
      </c>
      <c r="AL301" s="140">
        <f ca="1">IF(ISNUMBER(MATCH(DATEVALUE($A301),'recurring1_based on steps'!AL$1:AL$400,0)),AL$2,)</f>
        <v>0</v>
      </c>
      <c r="AM301" s="140">
        <f ca="1">IF(ISNUMBER(MATCH(DATEVALUE($A301),'recurring1_based on steps'!AM$1:AM$400,0)),AM$2,)</f>
        <v>0</v>
      </c>
      <c r="AN301" s="140">
        <f ca="1">IF(ISNUMBER(MATCH(DATEVALUE($A301),'recurring1_based on steps'!AN$1:AN$400,0)),AN$2,)</f>
        <v>0</v>
      </c>
      <c r="AO301" s="140">
        <f ca="1">IF(ISNUMBER(MATCH(DATEVALUE($A301),'recurring1_based on steps'!AO$1:AO$400,0)),AO$2,)</f>
        <v>0</v>
      </c>
      <c r="AP301" s="140">
        <f ca="1">IF(ISNUMBER(MATCH(DATEVALUE($A301),'recurring1_based on steps'!AP$1:AP$400,0)),AP$2,)</f>
        <v>0</v>
      </c>
      <c r="AQ301" s="140">
        <f ca="1">IF(ISNUMBER(MATCH(DATEVALUE($A301),'recurring1_based on steps'!AQ$1:AQ$400,0)),AQ$2,)</f>
        <v>0</v>
      </c>
      <c r="AR301" s="140">
        <f ca="1">IF(ISNUMBER(MATCH(DATEVALUE($A301),'recurring1_based on steps'!AR$1:AR$400,0)),AR$2,)</f>
        <v>0</v>
      </c>
      <c r="AS301" s="140">
        <f ca="1">IF(ISNUMBER(MATCH(DATEVALUE($A301),'recurring1_based on steps'!AS$1:AS$400,0)),AS$2,)</f>
        <v>0</v>
      </c>
      <c r="AT301" s="140">
        <f ca="1">IF(ISNUMBER(MATCH(DATEVALUE($A301),'recurring1_based on steps'!AT$1:AT$400,0)),AT$2,)</f>
        <v>0</v>
      </c>
      <c r="AU301" s="140">
        <f ca="1">IF(ISNUMBER(MATCH(DATEVALUE($A301),'recurring1_based on steps'!AU$1:AU$400,0)),AU$2,)</f>
        <v>0</v>
      </c>
      <c r="AV301" s="140">
        <f ca="1">IF(ISNUMBER(MATCH(DATEVALUE($A301),'recurring1_based on steps'!AV$1:AV$400,0)),AV$2,)</f>
        <v>0</v>
      </c>
      <c r="AW301" s="140">
        <f ca="1">IF(ISNUMBER(MATCH(DATEVALUE($A301),'recurring1_based on steps'!AW$1:AW$400,0)),AW$2,)</f>
        <v>0</v>
      </c>
      <c r="AX301" s="140">
        <f ca="1">IF(ISNUMBER(MATCH(DATEVALUE($A301),'recurring1_based on steps'!AX$1:AX$400,0)),AX$2,)</f>
        <v>0</v>
      </c>
      <c r="AY301" s="140">
        <f ca="1">IF(ISNUMBER(MATCH(DATEVALUE($A301),'recurring1_based on steps'!AY$1:AY$400,0)),AY$2,)</f>
        <v>0</v>
      </c>
    </row>
    <row r="302" spans="1:51" x14ac:dyDescent="0.2">
      <c r="A302" s="29" t="str">
        <f t="shared" ca="1" si="4"/>
        <v>2026-01-20</v>
      </c>
      <c r="B302" s="140">
        <f ca="1">IF(ISNUMBER(MATCH(DATEVALUE($A302),'recurring1_based on steps'!B$1:B$400,0)),B$2,)</f>
        <v>0</v>
      </c>
      <c r="C302" s="140">
        <f ca="1">IF(ISNUMBER(MATCH(DATEVALUE($A302),'recurring1_based on steps'!C$1:C$400,0)),C$2,)</f>
        <v>0</v>
      </c>
      <c r="D302" s="140">
        <f ca="1">IF(ISNUMBER(MATCH(DATEVALUE($A302),'recurring1_based on steps'!D$1:D$400,0)),D$2,)</f>
        <v>0</v>
      </c>
      <c r="E302" s="140">
        <f ca="1">IF(ISNUMBER(MATCH(DATEVALUE($A302),'recurring1_based on steps'!E$1:E$400,0)),E$2,)</f>
        <v>0</v>
      </c>
      <c r="F302" s="140">
        <f ca="1">IF(ISNUMBER(MATCH(DATEVALUE($A302),'recurring1_based on steps'!F$1:F$400,0)),F$2,)</f>
        <v>0</v>
      </c>
      <c r="G302" s="140">
        <f ca="1">IF(ISNUMBER(MATCH(DATEVALUE($A302),'recurring1_based on steps'!G$1:G$400,0)),G$2,)</f>
        <v>0</v>
      </c>
      <c r="H302" s="140">
        <f ca="1">IF(ISNUMBER(MATCH(DATEVALUE($A302),'recurring1_based on steps'!H$1:H$400,0)),H$2,)</f>
        <v>0</v>
      </c>
      <c r="I302" s="140">
        <f ca="1">IF(ISNUMBER(MATCH(DATEVALUE($A302),'recurring1_based on steps'!I$1:I$400,0)),I$2,)</f>
        <v>0</v>
      </c>
      <c r="J302" s="140">
        <f ca="1">IF(ISNUMBER(MATCH(DATEVALUE($A302),'recurring1_based on steps'!J$1:J$400,0)),J$2,)</f>
        <v>0</v>
      </c>
      <c r="K302" s="140">
        <f ca="1">IF(ISNUMBER(MATCH(DATEVALUE($A302),'recurring1_based on steps'!K$1:K$400,0)),K$2,)</f>
        <v>0</v>
      </c>
      <c r="L302" s="140">
        <f ca="1">IF(ISNUMBER(MATCH(DATEVALUE($A302),'recurring1_based on steps'!L$1:L$400,0)),L$2,)</f>
        <v>0</v>
      </c>
      <c r="M302" s="140">
        <f ca="1">IF(ISNUMBER(MATCH(DATEVALUE($A302),'recurring1_based on steps'!M$1:M$400,0)),M$2,)</f>
        <v>0</v>
      </c>
      <c r="N302" s="140">
        <f ca="1">IF(ISNUMBER(MATCH(DATEVALUE($A302),'recurring1_based on steps'!N$1:N$400,0)),N$2,)</f>
        <v>0</v>
      </c>
      <c r="O302" s="140">
        <f ca="1">IF(ISNUMBER(MATCH(DATEVALUE($A302),'recurring1_based on steps'!O$1:O$400,0)),O$2,)</f>
        <v>0</v>
      </c>
      <c r="P302" s="140">
        <f ca="1">IF(ISNUMBER(MATCH(DATEVALUE($A302),'recurring1_based on steps'!P$1:P$400,0)),P$2,)</f>
        <v>0</v>
      </c>
      <c r="Q302" s="140">
        <f ca="1">IF(ISNUMBER(MATCH(DATEVALUE($A302),'recurring1_based on steps'!Q$1:Q$400,0)),Q$2,)</f>
        <v>0</v>
      </c>
      <c r="R302" s="140">
        <f ca="1">IF(ISNUMBER(MATCH(DATEVALUE($A302),'recurring1_based on steps'!R$1:R$400,0)),R$2,)</f>
        <v>0</v>
      </c>
      <c r="S302" s="140">
        <f ca="1">IF(ISNUMBER(MATCH(DATEVALUE($A302),'recurring1_based on steps'!S$1:S$400,0)),S$2,)</f>
        <v>0</v>
      </c>
      <c r="T302" s="140">
        <f ca="1">IF(ISNUMBER(MATCH(DATEVALUE($A302),'recurring1_based on steps'!T$1:T$400,0)),T$2,)</f>
        <v>0</v>
      </c>
      <c r="U302" s="140">
        <f ca="1">IF(ISNUMBER(MATCH(DATEVALUE($A302),'recurring1_based on steps'!U$1:U$400,0)),U$2,)</f>
        <v>0</v>
      </c>
      <c r="V302" s="140">
        <f ca="1">IF(ISNUMBER(MATCH(DATEVALUE($A302),'recurring1_based on steps'!V$1:V$400,0)),V$2,)</f>
        <v>0</v>
      </c>
      <c r="W302" s="140">
        <f ca="1">IF(ISNUMBER(MATCH(DATEVALUE($A302),'recurring1_based on steps'!W$1:W$400,0)),W$2,)</f>
        <v>0</v>
      </c>
      <c r="X302" s="140">
        <f ca="1">IF(ISNUMBER(MATCH(DATEVALUE($A302),'recurring1_based on steps'!X$1:X$400,0)),X$2,)</f>
        <v>0</v>
      </c>
      <c r="Y302" s="140">
        <f ca="1">IF(ISNUMBER(MATCH(DATEVALUE($A302),'recurring1_based on steps'!Y$1:Y$400,0)),Y$2,)</f>
        <v>0</v>
      </c>
      <c r="Z302" s="140">
        <f ca="1">IF(ISNUMBER(MATCH(DATEVALUE($A302),'recurring1_based on steps'!Z$1:Z$400,0)),Z$2,)</f>
        <v>0</v>
      </c>
      <c r="AA302" s="140">
        <f ca="1">IF(ISNUMBER(MATCH(DATEVALUE($A302),'recurring1_based on steps'!AA$1:AA$400,0)),AA$2,)</f>
        <v>5.8171745152354575</v>
      </c>
      <c r="AB302" s="140">
        <f ca="1">IF(ISNUMBER(MATCH(DATEVALUE($A302),'recurring1_based on steps'!AB$1:AB$400,0)),AB$2,)</f>
        <v>5.5401662049861494E-2</v>
      </c>
      <c r="AC302" s="140">
        <f ca="1">IF(ISNUMBER(MATCH(DATEVALUE($A302),'recurring1_based on steps'!AC$1:AC$400,0)),AC$2,)</f>
        <v>0</v>
      </c>
      <c r="AD302" s="140">
        <f ca="1">IF(ISNUMBER(MATCH(DATEVALUE($A302),'recurring1_based on steps'!AD$1:AD$400,0)),AD$2,)</f>
        <v>0</v>
      </c>
      <c r="AE302" s="140">
        <f ca="1">IF(ISNUMBER(MATCH(DATEVALUE($A302),'recurring1_based on steps'!AE$1:AE$400,0)),AE$2,)</f>
        <v>0</v>
      </c>
      <c r="AF302" s="140">
        <f ca="1">IF(ISNUMBER(MATCH(DATEVALUE($A302),'recurring1_based on steps'!AF$1:AF$400,0)),AF$2,)</f>
        <v>0</v>
      </c>
      <c r="AG302" s="140">
        <f ca="1">IF(ISNUMBER(MATCH(DATEVALUE($A302),'recurring1_based on steps'!AG$1:AG$400,0)),AG$2,)</f>
        <v>0</v>
      </c>
      <c r="AH302" s="140">
        <f ca="1">IF(ISNUMBER(MATCH(DATEVALUE($A302),'recurring1_based on steps'!AH$1:AH$400,0)),AH$2,)</f>
        <v>0</v>
      </c>
      <c r="AI302" s="140">
        <f ca="1">IF(ISNUMBER(MATCH(DATEVALUE($A302),'recurring1_based on steps'!AI$1:AI$400,0)),AI$2,)</f>
        <v>0</v>
      </c>
      <c r="AJ302" s="140">
        <f ca="1">IF(ISNUMBER(MATCH(DATEVALUE($A302),'recurring1_based on steps'!AJ$1:AJ$400,0)),AJ$2,)</f>
        <v>0</v>
      </c>
      <c r="AK302" s="140">
        <f ca="1">IF(ISNUMBER(MATCH(DATEVALUE($A302),'recurring1_based on steps'!AK$1:AK$400,0)),AK$2,)</f>
        <v>0</v>
      </c>
      <c r="AL302" s="140">
        <f ca="1">IF(ISNUMBER(MATCH(DATEVALUE($A302),'recurring1_based on steps'!AL$1:AL$400,0)),AL$2,)</f>
        <v>0</v>
      </c>
      <c r="AM302" s="140">
        <f ca="1">IF(ISNUMBER(MATCH(DATEVALUE($A302),'recurring1_based on steps'!AM$1:AM$400,0)),AM$2,)</f>
        <v>0</v>
      </c>
      <c r="AN302" s="140">
        <f ca="1">IF(ISNUMBER(MATCH(DATEVALUE($A302),'recurring1_based on steps'!AN$1:AN$400,0)),AN$2,)</f>
        <v>0</v>
      </c>
      <c r="AO302" s="140">
        <f ca="1">IF(ISNUMBER(MATCH(DATEVALUE($A302),'recurring1_based on steps'!AO$1:AO$400,0)),AO$2,)</f>
        <v>0</v>
      </c>
      <c r="AP302" s="140">
        <f ca="1">IF(ISNUMBER(MATCH(DATEVALUE($A302),'recurring1_based on steps'!AP$1:AP$400,0)),AP$2,)</f>
        <v>0</v>
      </c>
      <c r="AQ302" s="140">
        <f ca="1">IF(ISNUMBER(MATCH(DATEVALUE($A302),'recurring1_based on steps'!AQ$1:AQ$400,0)),AQ$2,)</f>
        <v>0</v>
      </c>
      <c r="AR302" s="140">
        <f ca="1">IF(ISNUMBER(MATCH(DATEVALUE($A302),'recurring1_based on steps'!AR$1:AR$400,0)),AR$2,)</f>
        <v>0</v>
      </c>
      <c r="AS302" s="140">
        <f ca="1">IF(ISNUMBER(MATCH(DATEVALUE($A302),'recurring1_based on steps'!AS$1:AS$400,0)),AS$2,)</f>
        <v>0</v>
      </c>
      <c r="AT302" s="140">
        <f ca="1">IF(ISNUMBER(MATCH(DATEVALUE($A302),'recurring1_based on steps'!AT$1:AT$400,0)),AT$2,)</f>
        <v>0</v>
      </c>
      <c r="AU302" s="140">
        <f ca="1">IF(ISNUMBER(MATCH(DATEVALUE($A302),'recurring1_based on steps'!AU$1:AU$400,0)),AU$2,)</f>
        <v>0</v>
      </c>
      <c r="AV302" s="140">
        <f ca="1">IF(ISNUMBER(MATCH(DATEVALUE($A302),'recurring1_based on steps'!AV$1:AV$400,0)),AV$2,)</f>
        <v>0</v>
      </c>
      <c r="AW302" s="140">
        <f ca="1">IF(ISNUMBER(MATCH(DATEVALUE($A302),'recurring1_based on steps'!AW$1:AW$400,0)),AW$2,)</f>
        <v>0</v>
      </c>
      <c r="AX302" s="140">
        <f ca="1">IF(ISNUMBER(MATCH(DATEVALUE($A302),'recurring1_based on steps'!AX$1:AX$400,0)),AX$2,)</f>
        <v>0</v>
      </c>
      <c r="AY302" s="140">
        <f ca="1">IF(ISNUMBER(MATCH(DATEVALUE($A302),'recurring1_based on steps'!AY$1:AY$400,0)),AY$2,)</f>
        <v>0</v>
      </c>
    </row>
    <row r="303" spans="1:51" x14ac:dyDescent="0.2">
      <c r="A303" s="29" t="str">
        <f t="shared" ca="1" si="4"/>
        <v>2026-01-21</v>
      </c>
      <c r="B303" s="140">
        <f ca="1">IF(ISNUMBER(MATCH(DATEVALUE($A303),'recurring1_based on steps'!B$1:B$400,0)),B$2,)</f>
        <v>0</v>
      </c>
      <c r="C303" s="140">
        <f ca="1">IF(ISNUMBER(MATCH(DATEVALUE($A303),'recurring1_based on steps'!C$1:C$400,0)),C$2,)</f>
        <v>0</v>
      </c>
      <c r="D303" s="140">
        <f ca="1">IF(ISNUMBER(MATCH(DATEVALUE($A303),'recurring1_based on steps'!D$1:D$400,0)),D$2,)</f>
        <v>0</v>
      </c>
      <c r="E303" s="140">
        <f ca="1">IF(ISNUMBER(MATCH(DATEVALUE($A303),'recurring1_based on steps'!E$1:E$400,0)),E$2,)</f>
        <v>0</v>
      </c>
      <c r="F303" s="140">
        <f ca="1">IF(ISNUMBER(MATCH(DATEVALUE($A303),'recurring1_based on steps'!F$1:F$400,0)),F$2,)</f>
        <v>0</v>
      </c>
      <c r="G303" s="140">
        <f ca="1">IF(ISNUMBER(MATCH(DATEVALUE($A303),'recurring1_based on steps'!G$1:G$400,0)),G$2,)</f>
        <v>0</v>
      </c>
      <c r="H303" s="140">
        <f ca="1">IF(ISNUMBER(MATCH(DATEVALUE($A303),'recurring1_based on steps'!H$1:H$400,0)),H$2,)</f>
        <v>0</v>
      </c>
      <c r="I303" s="140">
        <f ca="1">IF(ISNUMBER(MATCH(DATEVALUE($A303),'recurring1_based on steps'!I$1:I$400,0)),I$2,)</f>
        <v>0</v>
      </c>
      <c r="J303" s="140">
        <f ca="1">IF(ISNUMBER(MATCH(DATEVALUE($A303),'recurring1_based on steps'!J$1:J$400,0)),J$2,)</f>
        <v>0</v>
      </c>
      <c r="K303" s="140">
        <f ca="1">IF(ISNUMBER(MATCH(DATEVALUE($A303),'recurring1_based on steps'!K$1:K$400,0)),K$2,)</f>
        <v>0</v>
      </c>
      <c r="L303" s="140">
        <f ca="1">IF(ISNUMBER(MATCH(DATEVALUE($A303),'recurring1_based on steps'!L$1:L$400,0)),L$2,)</f>
        <v>0</v>
      </c>
      <c r="M303" s="140">
        <f ca="1">IF(ISNUMBER(MATCH(DATEVALUE($A303),'recurring1_based on steps'!M$1:M$400,0)),M$2,)</f>
        <v>0</v>
      </c>
      <c r="N303" s="140">
        <f ca="1">IF(ISNUMBER(MATCH(DATEVALUE($A303),'recurring1_based on steps'!N$1:N$400,0)),N$2,)</f>
        <v>0</v>
      </c>
      <c r="O303" s="140">
        <f ca="1">IF(ISNUMBER(MATCH(DATEVALUE($A303),'recurring1_based on steps'!O$1:O$400,0)),O$2,)</f>
        <v>0</v>
      </c>
      <c r="P303" s="140">
        <f ca="1">IF(ISNUMBER(MATCH(DATEVALUE($A303),'recurring1_based on steps'!P$1:P$400,0)),P$2,)</f>
        <v>0</v>
      </c>
      <c r="Q303" s="140">
        <f ca="1">IF(ISNUMBER(MATCH(DATEVALUE($A303),'recurring1_based on steps'!Q$1:Q$400,0)),Q$2,)</f>
        <v>0</v>
      </c>
      <c r="R303" s="140">
        <f ca="1">IF(ISNUMBER(MATCH(DATEVALUE($A303),'recurring1_based on steps'!R$1:R$400,0)),R$2,)</f>
        <v>0</v>
      </c>
      <c r="S303" s="140">
        <f ca="1">IF(ISNUMBER(MATCH(DATEVALUE($A303),'recurring1_based on steps'!S$1:S$400,0)),S$2,)</f>
        <v>0</v>
      </c>
      <c r="T303" s="140">
        <f ca="1">IF(ISNUMBER(MATCH(DATEVALUE($A303),'recurring1_based on steps'!T$1:T$400,0)),T$2,)</f>
        <v>0</v>
      </c>
      <c r="U303" s="140">
        <f ca="1">IF(ISNUMBER(MATCH(DATEVALUE($A303),'recurring1_based on steps'!U$1:U$400,0)),U$2,)</f>
        <v>0</v>
      </c>
      <c r="V303" s="140">
        <f ca="1">IF(ISNUMBER(MATCH(DATEVALUE($A303),'recurring1_based on steps'!V$1:V$400,0)),V$2,)</f>
        <v>0</v>
      </c>
      <c r="W303" s="140">
        <f ca="1">IF(ISNUMBER(MATCH(DATEVALUE($A303),'recurring1_based on steps'!W$1:W$400,0)),W$2,)</f>
        <v>0</v>
      </c>
      <c r="X303" s="140">
        <f ca="1">IF(ISNUMBER(MATCH(DATEVALUE($A303),'recurring1_based on steps'!X$1:X$400,0)),X$2,)</f>
        <v>0</v>
      </c>
      <c r="Y303" s="140">
        <f ca="1">IF(ISNUMBER(MATCH(DATEVALUE($A303),'recurring1_based on steps'!Y$1:Y$400,0)),Y$2,)</f>
        <v>0</v>
      </c>
      <c r="Z303" s="140">
        <f ca="1">IF(ISNUMBER(MATCH(DATEVALUE($A303),'recurring1_based on steps'!Z$1:Z$400,0)),Z$2,)</f>
        <v>0</v>
      </c>
      <c r="AA303" s="140">
        <f ca="1">IF(ISNUMBER(MATCH(DATEVALUE($A303),'recurring1_based on steps'!AA$1:AA$400,0)),AA$2,)</f>
        <v>0</v>
      </c>
      <c r="AB303" s="140">
        <f ca="1">IF(ISNUMBER(MATCH(DATEVALUE($A303),'recurring1_based on steps'!AB$1:AB$400,0)),AB$2,)</f>
        <v>5.5401662049861494E-2</v>
      </c>
      <c r="AC303" s="140">
        <f ca="1">IF(ISNUMBER(MATCH(DATEVALUE($A303),'recurring1_based on steps'!AC$1:AC$400,0)),AC$2,)</f>
        <v>0</v>
      </c>
      <c r="AD303" s="140">
        <f ca="1">IF(ISNUMBER(MATCH(DATEVALUE($A303),'recurring1_based on steps'!AD$1:AD$400,0)),AD$2,)</f>
        <v>0</v>
      </c>
      <c r="AE303" s="140">
        <f ca="1">IF(ISNUMBER(MATCH(DATEVALUE($A303),'recurring1_based on steps'!AE$1:AE$400,0)),AE$2,)</f>
        <v>0</v>
      </c>
      <c r="AF303" s="140">
        <f ca="1">IF(ISNUMBER(MATCH(DATEVALUE($A303),'recurring1_based on steps'!AF$1:AF$400,0)),AF$2,)</f>
        <v>0</v>
      </c>
      <c r="AG303" s="140">
        <f ca="1">IF(ISNUMBER(MATCH(DATEVALUE($A303),'recurring1_based on steps'!AG$1:AG$400,0)),AG$2,)</f>
        <v>0</v>
      </c>
      <c r="AH303" s="140">
        <f ca="1">IF(ISNUMBER(MATCH(DATEVALUE($A303),'recurring1_based on steps'!AH$1:AH$400,0)),AH$2,)</f>
        <v>0</v>
      </c>
      <c r="AI303" s="140">
        <f ca="1">IF(ISNUMBER(MATCH(DATEVALUE($A303),'recurring1_based on steps'!AI$1:AI$400,0)),AI$2,)</f>
        <v>0</v>
      </c>
      <c r="AJ303" s="140">
        <f ca="1">IF(ISNUMBER(MATCH(DATEVALUE($A303),'recurring1_based on steps'!AJ$1:AJ$400,0)),AJ$2,)</f>
        <v>0</v>
      </c>
      <c r="AK303" s="140">
        <f ca="1">IF(ISNUMBER(MATCH(DATEVALUE($A303),'recurring1_based on steps'!AK$1:AK$400,0)),AK$2,)</f>
        <v>0</v>
      </c>
      <c r="AL303" s="140">
        <f ca="1">IF(ISNUMBER(MATCH(DATEVALUE($A303),'recurring1_based on steps'!AL$1:AL$400,0)),AL$2,)</f>
        <v>0</v>
      </c>
      <c r="AM303" s="140">
        <f ca="1">IF(ISNUMBER(MATCH(DATEVALUE($A303),'recurring1_based on steps'!AM$1:AM$400,0)),AM$2,)</f>
        <v>0</v>
      </c>
      <c r="AN303" s="140">
        <f ca="1">IF(ISNUMBER(MATCH(DATEVALUE($A303),'recurring1_based on steps'!AN$1:AN$400,0)),AN$2,)</f>
        <v>0</v>
      </c>
      <c r="AO303" s="140">
        <f ca="1">IF(ISNUMBER(MATCH(DATEVALUE($A303),'recurring1_based on steps'!AO$1:AO$400,0)),AO$2,)</f>
        <v>0</v>
      </c>
      <c r="AP303" s="140">
        <f ca="1">IF(ISNUMBER(MATCH(DATEVALUE($A303),'recurring1_based on steps'!AP$1:AP$400,0)),AP$2,)</f>
        <v>0</v>
      </c>
      <c r="AQ303" s="140">
        <f ca="1">IF(ISNUMBER(MATCH(DATEVALUE($A303),'recurring1_based on steps'!AQ$1:AQ$400,0)),AQ$2,)</f>
        <v>0</v>
      </c>
      <c r="AR303" s="140">
        <f ca="1">IF(ISNUMBER(MATCH(DATEVALUE($A303),'recurring1_based on steps'!AR$1:AR$400,0)),AR$2,)</f>
        <v>0</v>
      </c>
      <c r="AS303" s="140">
        <f ca="1">IF(ISNUMBER(MATCH(DATEVALUE($A303),'recurring1_based on steps'!AS$1:AS$400,0)),AS$2,)</f>
        <v>0</v>
      </c>
      <c r="AT303" s="140">
        <f ca="1">IF(ISNUMBER(MATCH(DATEVALUE($A303),'recurring1_based on steps'!AT$1:AT$400,0)),AT$2,)</f>
        <v>0</v>
      </c>
      <c r="AU303" s="140">
        <f ca="1">IF(ISNUMBER(MATCH(DATEVALUE($A303),'recurring1_based on steps'!AU$1:AU$400,0)),AU$2,)</f>
        <v>0</v>
      </c>
      <c r="AV303" s="140">
        <f ca="1">IF(ISNUMBER(MATCH(DATEVALUE($A303),'recurring1_based on steps'!AV$1:AV$400,0)),AV$2,)</f>
        <v>0</v>
      </c>
      <c r="AW303" s="140">
        <f ca="1">IF(ISNUMBER(MATCH(DATEVALUE($A303),'recurring1_based on steps'!AW$1:AW$400,0)),AW$2,)</f>
        <v>0</v>
      </c>
      <c r="AX303" s="140">
        <f ca="1">IF(ISNUMBER(MATCH(DATEVALUE($A303),'recurring1_based on steps'!AX$1:AX$400,0)),AX$2,)</f>
        <v>0</v>
      </c>
      <c r="AY303" s="140">
        <f ca="1">IF(ISNUMBER(MATCH(DATEVALUE($A303),'recurring1_based on steps'!AY$1:AY$400,0)),AY$2,)</f>
        <v>0</v>
      </c>
    </row>
    <row r="304" spans="1:51" x14ac:dyDescent="0.2">
      <c r="A304" s="29" t="str">
        <f t="shared" ca="1" si="4"/>
        <v>2026-01-22</v>
      </c>
      <c r="B304" s="140">
        <f ca="1">IF(ISNUMBER(MATCH(DATEVALUE($A304),'recurring1_based on steps'!B$1:B$400,0)),B$2,)</f>
        <v>0</v>
      </c>
      <c r="C304" s="140">
        <f ca="1">IF(ISNUMBER(MATCH(DATEVALUE($A304),'recurring1_based on steps'!C$1:C$400,0)),C$2,)</f>
        <v>0</v>
      </c>
      <c r="D304" s="140">
        <f ca="1">IF(ISNUMBER(MATCH(DATEVALUE($A304),'recurring1_based on steps'!D$1:D$400,0)),D$2,)</f>
        <v>0</v>
      </c>
      <c r="E304" s="140">
        <f ca="1">IF(ISNUMBER(MATCH(DATEVALUE($A304),'recurring1_based on steps'!E$1:E$400,0)),E$2,)</f>
        <v>0</v>
      </c>
      <c r="F304" s="140">
        <f ca="1">IF(ISNUMBER(MATCH(DATEVALUE($A304),'recurring1_based on steps'!F$1:F$400,0)),F$2,)</f>
        <v>0</v>
      </c>
      <c r="G304" s="140">
        <f ca="1">IF(ISNUMBER(MATCH(DATEVALUE($A304),'recurring1_based on steps'!G$1:G$400,0)),G$2,)</f>
        <v>0</v>
      </c>
      <c r="H304" s="140">
        <f ca="1">IF(ISNUMBER(MATCH(DATEVALUE($A304),'recurring1_based on steps'!H$1:H$400,0)),H$2,)</f>
        <v>0</v>
      </c>
      <c r="I304" s="140">
        <f ca="1">IF(ISNUMBER(MATCH(DATEVALUE($A304),'recurring1_based on steps'!I$1:I$400,0)),I$2,)</f>
        <v>0</v>
      </c>
      <c r="J304" s="140">
        <f ca="1">IF(ISNUMBER(MATCH(DATEVALUE($A304),'recurring1_based on steps'!J$1:J$400,0)),J$2,)</f>
        <v>0</v>
      </c>
      <c r="K304" s="140">
        <f ca="1">IF(ISNUMBER(MATCH(DATEVALUE($A304),'recurring1_based on steps'!K$1:K$400,0)),K$2,)</f>
        <v>0</v>
      </c>
      <c r="L304" s="140">
        <f ca="1">IF(ISNUMBER(MATCH(DATEVALUE($A304),'recurring1_based on steps'!L$1:L$400,0)),L$2,)</f>
        <v>0</v>
      </c>
      <c r="M304" s="140">
        <f ca="1">IF(ISNUMBER(MATCH(DATEVALUE($A304),'recurring1_based on steps'!M$1:M$400,0)),M$2,)</f>
        <v>0</v>
      </c>
      <c r="N304" s="140">
        <f ca="1">IF(ISNUMBER(MATCH(DATEVALUE($A304),'recurring1_based on steps'!N$1:N$400,0)),N$2,)</f>
        <v>0</v>
      </c>
      <c r="O304" s="140">
        <f ca="1">IF(ISNUMBER(MATCH(DATEVALUE($A304),'recurring1_based on steps'!O$1:O$400,0)),O$2,)</f>
        <v>0</v>
      </c>
      <c r="P304" s="140">
        <f ca="1">IF(ISNUMBER(MATCH(DATEVALUE($A304),'recurring1_based on steps'!P$1:P$400,0)),P$2,)</f>
        <v>0</v>
      </c>
      <c r="Q304" s="140">
        <f ca="1">IF(ISNUMBER(MATCH(DATEVALUE($A304),'recurring1_based on steps'!Q$1:Q$400,0)),Q$2,)</f>
        <v>0</v>
      </c>
      <c r="R304" s="140">
        <f ca="1">IF(ISNUMBER(MATCH(DATEVALUE($A304),'recurring1_based on steps'!R$1:R$400,0)),R$2,)</f>
        <v>0</v>
      </c>
      <c r="S304" s="140">
        <f ca="1">IF(ISNUMBER(MATCH(DATEVALUE($A304),'recurring1_based on steps'!S$1:S$400,0)),S$2,)</f>
        <v>0</v>
      </c>
      <c r="T304" s="140">
        <f ca="1">IF(ISNUMBER(MATCH(DATEVALUE($A304),'recurring1_based on steps'!T$1:T$400,0)),T$2,)</f>
        <v>0</v>
      </c>
      <c r="U304" s="140">
        <f ca="1">IF(ISNUMBER(MATCH(DATEVALUE($A304),'recurring1_based on steps'!U$1:U$400,0)),U$2,)</f>
        <v>0</v>
      </c>
      <c r="V304" s="140">
        <f ca="1">IF(ISNUMBER(MATCH(DATEVALUE($A304),'recurring1_based on steps'!V$1:V$400,0)),V$2,)</f>
        <v>0</v>
      </c>
      <c r="W304" s="140">
        <f ca="1">IF(ISNUMBER(MATCH(DATEVALUE($A304),'recurring1_based on steps'!W$1:W$400,0)),W$2,)</f>
        <v>0</v>
      </c>
      <c r="X304" s="140">
        <f ca="1">IF(ISNUMBER(MATCH(DATEVALUE($A304),'recurring1_based on steps'!X$1:X$400,0)),X$2,)</f>
        <v>0</v>
      </c>
      <c r="Y304" s="140">
        <f ca="1">IF(ISNUMBER(MATCH(DATEVALUE($A304),'recurring1_based on steps'!Y$1:Y$400,0)),Y$2,)</f>
        <v>0</v>
      </c>
      <c r="Z304" s="140">
        <f ca="1">IF(ISNUMBER(MATCH(DATEVALUE($A304),'recurring1_based on steps'!Z$1:Z$400,0)),Z$2,)</f>
        <v>0</v>
      </c>
      <c r="AA304" s="140">
        <f ca="1">IF(ISNUMBER(MATCH(DATEVALUE($A304),'recurring1_based on steps'!AA$1:AA$400,0)),AA$2,)</f>
        <v>0</v>
      </c>
      <c r="AB304" s="140">
        <f ca="1">IF(ISNUMBER(MATCH(DATEVALUE($A304),'recurring1_based on steps'!AB$1:AB$400,0)),AB$2,)</f>
        <v>5.5401662049861494E-2</v>
      </c>
      <c r="AC304" s="140">
        <f ca="1">IF(ISNUMBER(MATCH(DATEVALUE($A304),'recurring1_based on steps'!AC$1:AC$400,0)),AC$2,)</f>
        <v>0</v>
      </c>
      <c r="AD304" s="140">
        <f ca="1">IF(ISNUMBER(MATCH(DATEVALUE($A304),'recurring1_based on steps'!AD$1:AD$400,0)),AD$2,)</f>
        <v>0</v>
      </c>
      <c r="AE304" s="140">
        <f ca="1">IF(ISNUMBER(MATCH(DATEVALUE($A304),'recurring1_based on steps'!AE$1:AE$400,0)),AE$2,)</f>
        <v>0</v>
      </c>
      <c r="AF304" s="140">
        <f ca="1">IF(ISNUMBER(MATCH(DATEVALUE($A304),'recurring1_based on steps'!AF$1:AF$400,0)),AF$2,)</f>
        <v>0</v>
      </c>
      <c r="AG304" s="140">
        <f ca="1">IF(ISNUMBER(MATCH(DATEVALUE($A304),'recurring1_based on steps'!AG$1:AG$400,0)),AG$2,)</f>
        <v>0</v>
      </c>
      <c r="AH304" s="140">
        <f ca="1">IF(ISNUMBER(MATCH(DATEVALUE($A304),'recurring1_based on steps'!AH$1:AH$400,0)),AH$2,)</f>
        <v>0</v>
      </c>
      <c r="AI304" s="140">
        <f ca="1">IF(ISNUMBER(MATCH(DATEVALUE($A304),'recurring1_based on steps'!AI$1:AI$400,0)),AI$2,)</f>
        <v>0</v>
      </c>
      <c r="AJ304" s="140">
        <f ca="1">IF(ISNUMBER(MATCH(DATEVALUE($A304),'recurring1_based on steps'!AJ$1:AJ$400,0)),AJ$2,)</f>
        <v>0</v>
      </c>
      <c r="AK304" s="140">
        <f ca="1">IF(ISNUMBER(MATCH(DATEVALUE($A304),'recurring1_based on steps'!AK$1:AK$400,0)),AK$2,)</f>
        <v>0</v>
      </c>
      <c r="AL304" s="140">
        <f ca="1">IF(ISNUMBER(MATCH(DATEVALUE($A304),'recurring1_based on steps'!AL$1:AL$400,0)),AL$2,)</f>
        <v>0</v>
      </c>
      <c r="AM304" s="140">
        <f ca="1">IF(ISNUMBER(MATCH(DATEVALUE($A304),'recurring1_based on steps'!AM$1:AM$400,0)),AM$2,)</f>
        <v>0</v>
      </c>
      <c r="AN304" s="140">
        <f ca="1">IF(ISNUMBER(MATCH(DATEVALUE($A304),'recurring1_based on steps'!AN$1:AN$400,0)),AN$2,)</f>
        <v>0</v>
      </c>
      <c r="AO304" s="140">
        <f ca="1">IF(ISNUMBER(MATCH(DATEVALUE($A304),'recurring1_based on steps'!AO$1:AO$400,0)),AO$2,)</f>
        <v>0</v>
      </c>
      <c r="AP304" s="140">
        <f ca="1">IF(ISNUMBER(MATCH(DATEVALUE($A304),'recurring1_based on steps'!AP$1:AP$400,0)),AP$2,)</f>
        <v>0</v>
      </c>
      <c r="AQ304" s="140">
        <f ca="1">IF(ISNUMBER(MATCH(DATEVALUE($A304),'recurring1_based on steps'!AQ$1:AQ$400,0)),AQ$2,)</f>
        <v>0</v>
      </c>
      <c r="AR304" s="140">
        <f ca="1">IF(ISNUMBER(MATCH(DATEVALUE($A304),'recurring1_based on steps'!AR$1:AR$400,0)),AR$2,)</f>
        <v>0</v>
      </c>
      <c r="AS304" s="140">
        <f ca="1">IF(ISNUMBER(MATCH(DATEVALUE($A304),'recurring1_based on steps'!AS$1:AS$400,0)),AS$2,)</f>
        <v>0</v>
      </c>
      <c r="AT304" s="140">
        <f ca="1">IF(ISNUMBER(MATCH(DATEVALUE($A304),'recurring1_based on steps'!AT$1:AT$400,0)),AT$2,)</f>
        <v>0</v>
      </c>
      <c r="AU304" s="140">
        <f ca="1">IF(ISNUMBER(MATCH(DATEVALUE($A304),'recurring1_based on steps'!AU$1:AU$400,0)),AU$2,)</f>
        <v>0</v>
      </c>
      <c r="AV304" s="140">
        <f ca="1">IF(ISNUMBER(MATCH(DATEVALUE($A304),'recurring1_based on steps'!AV$1:AV$400,0)),AV$2,)</f>
        <v>0</v>
      </c>
      <c r="AW304" s="140">
        <f ca="1">IF(ISNUMBER(MATCH(DATEVALUE($A304),'recurring1_based on steps'!AW$1:AW$400,0)),AW$2,)</f>
        <v>0</v>
      </c>
      <c r="AX304" s="140">
        <f ca="1">IF(ISNUMBER(MATCH(DATEVALUE($A304),'recurring1_based on steps'!AX$1:AX$400,0)),AX$2,)</f>
        <v>0</v>
      </c>
      <c r="AY304" s="140">
        <f ca="1">IF(ISNUMBER(MATCH(DATEVALUE($A304),'recurring1_based on steps'!AY$1:AY$400,0)),AY$2,)</f>
        <v>0</v>
      </c>
    </row>
    <row r="305" spans="1:51" x14ac:dyDescent="0.2">
      <c r="A305" s="29" t="str">
        <f t="shared" ca="1" si="4"/>
        <v>2026-01-23</v>
      </c>
      <c r="B305" s="140">
        <f ca="1">IF(ISNUMBER(MATCH(DATEVALUE($A305),'recurring1_based on steps'!B$1:B$400,0)),B$2,)</f>
        <v>4000</v>
      </c>
      <c r="C305" s="140">
        <f ca="1">IF(ISNUMBER(MATCH(DATEVALUE($A305),'recurring1_based on steps'!C$1:C$400,0)),C$2,)</f>
        <v>200</v>
      </c>
      <c r="D305" s="140">
        <f ca="1">IF(ISNUMBER(MATCH(DATEVALUE($A305),'recurring1_based on steps'!D$1:D$400,0)),D$2,)</f>
        <v>2</v>
      </c>
      <c r="E305" s="140">
        <f ca="1">IF(ISNUMBER(MATCH(DATEVALUE($A305),'recurring1_based on steps'!E$1:E$400,0)),E$2,)</f>
        <v>40</v>
      </c>
      <c r="F305" s="140">
        <f ca="1">IF(ISNUMBER(MATCH(DATEVALUE($A305),'recurring1_based on steps'!F$1:F$400,0)),F$2,)</f>
        <v>50</v>
      </c>
      <c r="G305" s="140">
        <f ca="1">IF(ISNUMBER(MATCH(DATEVALUE($A305),'recurring1_based on steps'!G$1:G$400,0)),G$2,)</f>
        <v>4</v>
      </c>
      <c r="H305" s="140">
        <f ca="1">IF(ISNUMBER(MATCH(DATEVALUE($A305),'recurring1_based on steps'!H$1:H$400,0)),H$2,)</f>
        <v>0</v>
      </c>
      <c r="I305" s="140">
        <f ca="1">IF(ISNUMBER(MATCH(DATEVALUE($A305),'recurring1_based on steps'!I$1:I$400,0)),I$2,)</f>
        <v>0</v>
      </c>
      <c r="J305" s="140">
        <f ca="1">IF(ISNUMBER(MATCH(DATEVALUE($A305),'recurring1_based on steps'!J$1:J$400,0)),J$2,)</f>
        <v>0</v>
      </c>
      <c r="K305" s="140">
        <f ca="1">IF(ISNUMBER(MATCH(DATEVALUE($A305),'recurring1_based on steps'!K$1:K$400,0)),K$2,)</f>
        <v>0</v>
      </c>
      <c r="L305" s="140">
        <f ca="1">IF(ISNUMBER(MATCH(DATEVALUE($A305),'recurring1_based on steps'!L$1:L$400,0)),L$2,)</f>
        <v>0</v>
      </c>
      <c r="M305" s="140">
        <f ca="1">IF(ISNUMBER(MATCH(DATEVALUE($A305),'recurring1_based on steps'!M$1:M$400,0)),M$2,)</f>
        <v>0</v>
      </c>
      <c r="N305" s="140">
        <f ca="1">IF(ISNUMBER(MATCH(DATEVALUE($A305),'recurring1_based on steps'!N$1:N$400,0)),N$2,)</f>
        <v>0</v>
      </c>
      <c r="O305" s="140">
        <f ca="1">IF(ISNUMBER(MATCH(DATEVALUE($A305),'recurring1_based on steps'!O$1:O$400,0)),O$2,)</f>
        <v>0</v>
      </c>
      <c r="P305" s="140">
        <f ca="1">IF(ISNUMBER(MATCH(DATEVALUE($A305),'recurring1_based on steps'!P$1:P$400,0)),P$2,)</f>
        <v>0</v>
      </c>
      <c r="Q305" s="140">
        <f ca="1">IF(ISNUMBER(MATCH(DATEVALUE($A305),'recurring1_based on steps'!Q$1:Q$400,0)),Q$2,)</f>
        <v>0</v>
      </c>
      <c r="R305" s="140">
        <f ca="1">IF(ISNUMBER(MATCH(DATEVALUE($A305),'recurring1_based on steps'!R$1:R$400,0)),R$2,)</f>
        <v>0</v>
      </c>
      <c r="S305" s="140">
        <f ca="1">IF(ISNUMBER(MATCH(DATEVALUE($A305),'recurring1_based on steps'!S$1:S$400,0)),S$2,)</f>
        <v>0</v>
      </c>
      <c r="T305" s="140">
        <f ca="1">IF(ISNUMBER(MATCH(DATEVALUE($A305),'recurring1_based on steps'!T$1:T$400,0)),T$2,)</f>
        <v>0</v>
      </c>
      <c r="U305" s="140">
        <f ca="1">IF(ISNUMBER(MATCH(DATEVALUE($A305),'recurring1_based on steps'!U$1:U$400,0)),U$2,)</f>
        <v>0</v>
      </c>
      <c r="V305" s="140">
        <f ca="1">IF(ISNUMBER(MATCH(DATEVALUE($A305),'recurring1_based on steps'!V$1:V$400,0)),V$2,)</f>
        <v>0</v>
      </c>
      <c r="W305" s="140">
        <f ca="1">IF(ISNUMBER(MATCH(DATEVALUE($A305),'recurring1_based on steps'!W$1:W$400,0)),W$2,)</f>
        <v>0</v>
      </c>
      <c r="X305" s="140">
        <f ca="1">IF(ISNUMBER(MATCH(DATEVALUE($A305),'recurring1_based on steps'!X$1:X$400,0)),X$2,)</f>
        <v>50</v>
      </c>
      <c r="Y305" s="140">
        <f ca="1">IF(ISNUMBER(MATCH(DATEVALUE($A305),'recurring1_based on steps'!Y$1:Y$400,0)),Y$2,)</f>
        <v>50</v>
      </c>
      <c r="Z305" s="140">
        <f ca="1">IF(ISNUMBER(MATCH(DATEVALUE($A305),'recurring1_based on steps'!Z$1:Z$400,0)),Z$2,)</f>
        <v>0</v>
      </c>
      <c r="AA305" s="140">
        <f ca="1">IF(ISNUMBER(MATCH(DATEVALUE($A305),'recurring1_based on steps'!AA$1:AA$400,0)),AA$2,)</f>
        <v>0</v>
      </c>
      <c r="AB305" s="140">
        <f ca="1">IF(ISNUMBER(MATCH(DATEVALUE($A305),'recurring1_based on steps'!AB$1:AB$400,0)),AB$2,)</f>
        <v>5.5401662049861494E-2</v>
      </c>
      <c r="AC305" s="140">
        <f ca="1">IF(ISNUMBER(MATCH(DATEVALUE($A305),'recurring1_based on steps'!AC$1:AC$400,0)),AC$2,)</f>
        <v>0</v>
      </c>
      <c r="AD305" s="140">
        <f ca="1">IF(ISNUMBER(MATCH(DATEVALUE($A305),'recurring1_based on steps'!AD$1:AD$400,0)),AD$2,)</f>
        <v>0</v>
      </c>
      <c r="AE305" s="140">
        <f ca="1">IF(ISNUMBER(MATCH(DATEVALUE($A305),'recurring1_based on steps'!AE$1:AE$400,0)),AE$2,)</f>
        <v>0</v>
      </c>
      <c r="AF305" s="140">
        <f ca="1">IF(ISNUMBER(MATCH(DATEVALUE($A305),'recurring1_based on steps'!AF$1:AF$400,0)),AF$2,)</f>
        <v>0</v>
      </c>
      <c r="AG305" s="140">
        <f ca="1">IF(ISNUMBER(MATCH(DATEVALUE($A305),'recurring1_based on steps'!AG$1:AG$400,0)),AG$2,)</f>
        <v>0</v>
      </c>
      <c r="AH305" s="140">
        <f ca="1">IF(ISNUMBER(MATCH(DATEVALUE($A305),'recurring1_based on steps'!AH$1:AH$400,0)),AH$2,)</f>
        <v>0</v>
      </c>
      <c r="AI305" s="140">
        <f ca="1">IF(ISNUMBER(MATCH(DATEVALUE($A305),'recurring1_based on steps'!AI$1:AI$400,0)),AI$2,)</f>
        <v>0</v>
      </c>
      <c r="AJ305" s="140">
        <f ca="1">IF(ISNUMBER(MATCH(DATEVALUE($A305),'recurring1_based on steps'!AJ$1:AJ$400,0)),AJ$2,)</f>
        <v>0</v>
      </c>
      <c r="AK305" s="140">
        <f ca="1">IF(ISNUMBER(MATCH(DATEVALUE($A305),'recurring1_based on steps'!AK$1:AK$400,0)),AK$2,)</f>
        <v>0</v>
      </c>
      <c r="AL305" s="140">
        <f ca="1">IF(ISNUMBER(MATCH(DATEVALUE($A305),'recurring1_based on steps'!AL$1:AL$400,0)),AL$2,)</f>
        <v>0</v>
      </c>
      <c r="AM305" s="140">
        <f ca="1">IF(ISNUMBER(MATCH(DATEVALUE($A305),'recurring1_based on steps'!AM$1:AM$400,0)),AM$2,)</f>
        <v>0</v>
      </c>
      <c r="AN305" s="140">
        <f ca="1">IF(ISNUMBER(MATCH(DATEVALUE($A305),'recurring1_based on steps'!AN$1:AN$400,0)),AN$2,)</f>
        <v>0</v>
      </c>
      <c r="AO305" s="140">
        <f ca="1">IF(ISNUMBER(MATCH(DATEVALUE($A305),'recurring1_based on steps'!AO$1:AO$400,0)),AO$2,)</f>
        <v>0</v>
      </c>
      <c r="AP305" s="140">
        <f ca="1">IF(ISNUMBER(MATCH(DATEVALUE($A305),'recurring1_based on steps'!AP$1:AP$400,0)),AP$2,)</f>
        <v>0</v>
      </c>
      <c r="AQ305" s="140">
        <f ca="1">IF(ISNUMBER(MATCH(DATEVALUE($A305),'recurring1_based on steps'!AQ$1:AQ$400,0)),AQ$2,)</f>
        <v>0</v>
      </c>
      <c r="AR305" s="140">
        <f ca="1">IF(ISNUMBER(MATCH(DATEVALUE($A305),'recurring1_based on steps'!AR$1:AR$400,0)),AR$2,)</f>
        <v>0</v>
      </c>
      <c r="AS305" s="140">
        <f ca="1">IF(ISNUMBER(MATCH(DATEVALUE($A305),'recurring1_based on steps'!AS$1:AS$400,0)),AS$2,)</f>
        <v>0</v>
      </c>
      <c r="AT305" s="140">
        <f ca="1">IF(ISNUMBER(MATCH(DATEVALUE($A305),'recurring1_based on steps'!AT$1:AT$400,0)),AT$2,)</f>
        <v>0</v>
      </c>
      <c r="AU305" s="140">
        <f ca="1">IF(ISNUMBER(MATCH(DATEVALUE($A305),'recurring1_based on steps'!AU$1:AU$400,0)),AU$2,)</f>
        <v>0</v>
      </c>
      <c r="AV305" s="140">
        <f ca="1">IF(ISNUMBER(MATCH(DATEVALUE($A305),'recurring1_based on steps'!AV$1:AV$400,0)),AV$2,)</f>
        <v>0</v>
      </c>
      <c r="AW305" s="140">
        <f ca="1">IF(ISNUMBER(MATCH(DATEVALUE($A305),'recurring1_based on steps'!AW$1:AW$400,0)),AW$2,)</f>
        <v>0</v>
      </c>
      <c r="AX305" s="140">
        <f ca="1">IF(ISNUMBER(MATCH(DATEVALUE($A305),'recurring1_based on steps'!AX$1:AX$400,0)),AX$2,)</f>
        <v>0</v>
      </c>
      <c r="AY305" s="140">
        <f ca="1">IF(ISNUMBER(MATCH(DATEVALUE($A305),'recurring1_based on steps'!AY$1:AY$400,0)),AY$2,)</f>
        <v>0</v>
      </c>
    </row>
    <row r="306" spans="1:51" x14ac:dyDescent="0.2">
      <c r="A306" s="29" t="str">
        <f t="shared" ca="1" si="4"/>
        <v>2026-01-24</v>
      </c>
      <c r="B306" s="140">
        <f ca="1">IF(ISNUMBER(MATCH(DATEVALUE($A306),'recurring1_based on steps'!B$1:B$400,0)),B$2,)</f>
        <v>0</v>
      </c>
      <c r="C306" s="140">
        <f ca="1">IF(ISNUMBER(MATCH(DATEVALUE($A306),'recurring1_based on steps'!C$1:C$400,0)),C$2,)</f>
        <v>0</v>
      </c>
      <c r="D306" s="140">
        <f ca="1">IF(ISNUMBER(MATCH(DATEVALUE($A306),'recurring1_based on steps'!D$1:D$400,0)),D$2,)</f>
        <v>0</v>
      </c>
      <c r="E306" s="140">
        <f ca="1">IF(ISNUMBER(MATCH(DATEVALUE($A306),'recurring1_based on steps'!E$1:E$400,0)),E$2,)</f>
        <v>0</v>
      </c>
      <c r="F306" s="140">
        <f ca="1">IF(ISNUMBER(MATCH(DATEVALUE($A306),'recurring1_based on steps'!F$1:F$400,0)),F$2,)</f>
        <v>0</v>
      </c>
      <c r="G306" s="140">
        <f ca="1">IF(ISNUMBER(MATCH(DATEVALUE($A306),'recurring1_based on steps'!G$1:G$400,0)),G$2,)</f>
        <v>0</v>
      </c>
      <c r="H306" s="140">
        <f ca="1">IF(ISNUMBER(MATCH(DATEVALUE($A306),'recurring1_based on steps'!H$1:H$400,0)),H$2,)</f>
        <v>0</v>
      </c>
      <c r="I306" s="140">
        <f ca="1">IF(ISNUMBER(MATCH(DATEVALUE($A306),'recurring1_based on steps'!I$1:I$400,0)),I$2,)</f>
        <v>0</v>
      </c>
      <c r="J306" s="140">
        <f ca="1">IF(ISNUMBER(MATCH(DATEVALUE($A306),'recurring1_based on steps'!J$1:J$400,0)),J$2,)</f>
        <v>0</v>
      </c>
      <c r="K306" s="140">
        <f ca="1">IF(ISNUMBER(MATCH(DATEVALUE($A306),'recurring1_based on steps'!K$1:K$400,0)),K$2,)</f>
        <v>0</v>
      </c>
      <c r="L306" s="140">
        <f ca="1">IF(ISNUMBER(MATCH(DATEVALUE($A306),'recurring1_based on steps'!L$1:L$400,0)),L$2,)</f>
        <v>0</v>
      </c>
      <c r="M306" s="140">
        <f ca="1">IF(ISNUMBER(MATCH(DATEVALUE($A306),'recurring1_based on steps'!M$1:M$400,0)),M$2,)</f>
        <v>0</v>
      </c>
      <c r="N306" s="140">
        <f ca="1">IF(ISNUMBER(MATCH(DATEVALUE($A306),'recurring1_based on steps'!N$1:N$400,0)),N$2,)</f>
        <v>0</v>
      </c>
      <c r="O306" s="140">
        <f ca="1">IF(ISNUMBER(MATCH(DATEVALUE($A306),'recurring1_based on steps'!O$1:O$400,0)),O$2,)</f>
        <v>0</v>
      </c>
      <c r="P306" s="140">
        <f ca="1">IF(ISNUMBER(MATCH(DATEVALUE($A306),'recurring1_based on steps'!P$1:P$400,0)),P$2,)</f>
        <v>0</v>
      </c>
      <c r="Q306" s="140">
        <f ca="1">IF(ISNUMBER(MATCH(DATEVALUE($A306),'recurring1_based on steps'!Q$1:Q$400,0)),Q$2,)</f>
        <v>100</v>
      </c>
      <c r="R306" s="140">
        <f ca="1">IF(ISNUMBER(MATCH(DATEVALUE($A306),'recurring1_based on steps'!R$1:R$400,0)),R$2,)</f>
        <v>100</v>
      </c>
      <c r="S306" s="140">
        <f ca="1">IF(ISNUMBER(MATCH(DATEVALUE($A306),'recurring1_based on steps'!S$1:S$400,0)),S$2,)</f>
        <v>0</v>
      </c>
      <c r="T306" s="140">
        <f ca="1">IF(ISNUMBER(MATCH(DATEVALUE($A306),'recurring1_based on steps'!T$1:T$400,0)),T$2,)</f>
        <v>0</v>
      </c>
      <c r="U306" s="140">
        <f ca="1">IF(ISNUMBER(MATCH(DATEVALUE($A306),'recurring1_based on steps'!U$1:U$400,0)),U$2,)</f>
        <v>0</v>
      </c>
      <c r="V306" s="140">
        <f ca="1">IF(ISNUMBER(MATCH(DATEVALUE($A306),'recurring1_based on steps'!V$1:V$400,0)),V$2,)</f>
        <v>0</v>
      </c>
      <c r="W306" s="140">
        <f ca="1">IF(ISNUMBER(MATCH(DATEVALUE($A306),'recurring1_based on steps'!W$1:W$400,0)),W$2,)</f>
        <v>0</v>
      </c>
      <c r="X306" s="140">
        <f ca="1">IF(ISNUMBER(MATCH(DATEVALUE($A306),'recurring1_based on steps'!X$1:X$400,0)),X$2,)</f>
        <v>0</v>
      </c>
      <c r="Y306" s="140">
        <f ca="1">IF(ISNUMBER(MATCH(DATEVALUE($A306),'recurring1_based on steps'!Y$1:Y$400,0)),Y$2,)</f>
        <v>0</v>
      </c>
      <c r="Z306" s="140">
        <f ca="1">IF(ISNUMBER(MATCH(DATEVALUE($A306),'recurring1_based on steps'!Z$1:Z$400,0)),Z$2,)</f>
        <v>0</v>
      </c>
      <c r="AA306" s="140">
        <f ca="1">IF(ISNUMBER(MATCH(DATEVALUE($A306),'recurring1_based on steps'!AA$1:AA$400,0)),AA$2,)</f>
        <v>0</v>
      </c>
      <c r="AB306" s="140">
        <f ca="1">IF(ISNUMBER(MATCH(DATEVALUE($A306),'recurring1_based on steps'!AB$1:AB$400,0)),AB$2,)</f>
        <v>5.5401662049861494E-2</v>
      </c>
      <c r="AC306" s="140">
        <f ca="1">IF(ISNUMBER(MATCH(DATEVALUE($A306),'recurring1_based on steps'!AC$1:AC$400,0)),AC$2,)</f>
        <v>0</v>
      </c>
      <c r="AD306" s="140">
        <f ca="1">IF(ISNUMBER(MATCH(DATEVALUE($A306),'recurring1_based on steps'!AD$1:AD$400,0)),AD$2,)</f>
        <v>0</v>
      </c>
      <c r="AE306" s="140">
        <f ca="1">IF(ISNUMBER(MATCH(DATEVALUE($A306),'recurring1_based on steps'!AE$1:AE$400,0)),AE$2,)</f>
        <v>0</v>
      </c>
      <c r="AF306" s="140">
        <f ca="1">IF(ISNUMBER(MATCH(DATEVALUE($A306),'recurring1_based on steps'!AF$1:AF$400,0)),AF$2,)</f>
        <v>0</v>
      </c>
      <c r="AG306" s="140">
        <f ca="1">IF(ISNUMBER(MATCH(DATEVALUE($A306),'recurring1_based on steps'!AG$1:AG$400,0)),AG$2,)</f>
        <v>0</v>
      </c>
      <c r="AH306" s="140">
        <f ca="1">IF(ISNUMBER(MATCH(DATEVALUE($A306),'recurring1_based on steps'!AH$1:AH$400,0)),AH$2,)</f>
        <v>0</v>
      </c>
      <c r="AI306" s="140">
        <f ca="1">IF(ISNUMBER(MATCH(DATEVALUE($A306),'recurring1_based on steps'!AI$1:AI$400,0)),AI$2,)</f>
        <v>0</v>
      </c>
      <c r="AJ306" s="140">
        <f ca="1">IF(ISNUMBER(MATCH(DATEVALUE($A306),'recurring1_based on steps'!AJ$1:AJ$400,0)),AJ$2,)</f>
        <v>0</v>
      </c>
      <c r="AK306" s="140">
        <f ca="1">IF(ISNUMBER(MATCH(DATEVALUE($A306),'recurring1_based on steps'!AK$1:AK$400,0)),AK$2,)</f>
        <v>0</v>
      </c>
      <c r="AL306" s="140">
        <f ca="1">IF(ISNUMBER(MATCH(DATEVALUE($A306),'recurring1_based on steps'!AL$1:AL$400,0)),AL$2,)</f>
        <v>0</v>
      </c>
      <c r="AM306" s="140">
        <f ca="1">IF(ISNUMBER(MATCH(DATEVALUE($A306),'recurring1_based on steps'!AM$1:AM$400,0)),AM$2,)</f>
        <v>0</v>
      </c>
      <c r="AN306" s="140">
        <f ca="1">IF(ISNUMBER(MATCH(DATEVALUE($A306),'recurring1_based on steps'!AN$1:AN$400,0)),AN$2,)</f>
        <v>0</v>
      </c>
      <c r="AO306" s="140">
        <f ca="1">IF(ISNUMBER(MATCH(DATEVALUE($A306),'recurring1_based on steps'!AO$1:AO$400,0)),AO$2,)</f>
        <v>0</v>
      </c>
      <c r="AP306" s="140">
        <f ca="1">IF(ISNUMBER(MATCH(DATEVALUE($A306),'recurring1_based on steps'!AP$1:AP$400,0)),AP$2,)</f>
        <v>0</v>
      </c>
      <c r="AQ306" s="140">
        <f ca="1">IF(ISNUMBER(MATCH(DATEVALUE($A306),'recurring1_based on steps'!AQ$1:AQ$400,0)),AQ$2,)</f>
        <v>0</v>
      </c>
      <c r="AR306" s="140">
        <f ca="1">IF(ISNUMBER(MATCH(DATEVALUE($A306),'recurring1_based on steps'!AR$1:AR$400,0)),AR$2,)</f>
        <v>0</v>
      </c>
      <c r="AS306" s="140">
        <f ca="1">IF(ISNUMBER(MATCH(DATEVALUE($A306),'recurring1_based on steps'!AS$1:AS$400,0)),AS$2,)</f>
        <v>0</v>
      </c>
      <c r="AT306" s="140">
        <f ca="1">IF(ISNUMBER(MATCH(DATEVALUE($A306),'recurring1_based on steps'!AT$1:AT$400,0)),AT$2,)</f>
        <v>0</v>
      </c>
      <c r="AU306" s="140">
        <f ca="1">IF(ISNUMBER(MATCH(DATEVALUE($A306),'recurring1_based on steps'!AU$1:AU$400,0)),AU$2,)</f>
        <v>0</v>
      </c>
      <c r="AV306" s="140">
        <f ca="1">IF(ISNUMBER(MATCH(DATEVALUE($A306),'recurring1_based on steps'!AV$1:AV$400,0)),AV$2,)</f>
        <v>0</v>
      </c>
      <c r="AW306" s="140">
        <f ca="1">IF(ISNUMBER(MATCH(DATEVALUE($A306),'recurring1_based on steps'!AW$1:AW$400,0)),AW$2,)</f>
        <v>0</v>
      </c>
      <c r="AX306" s="140">
        <f ca="1">IF(ISNUMBER(MATCH(DATEVALUE($A306),'recurring1_based on steps'!AX$1:AX$400,0)),AX$2,)</f>
        <v>0</v>
      </c>
      <c r="AY306" s="140">
        <f ca="1">IF(ISNUMBER(MATCH(DATEVALUE($A306),'recurring1_based on steps'!AY$1:AY$400,0)),AY$2,)</f>
        <v>0</v>
      </c>
    </row>
    <row r="307" spans="1:51" x14ac:dyDescent="0.2">
      <c r="A307" s="29" t="str">
        <f t="shared" ca="1" si="4"/>
        <v>2026-01-25</v>
      </c>
      <c r="B307" s="140">
        <f ca="1">IF(ISNUMBER(MATCH(DATEVALUE($A307),'recurring1_based on steps'!B$1:B$400,0)),B$2,)</f>
        <v>0</v>
      </c>
      <c r="C307" s="140">
        <f ca="1">IF(ISNUMBER(MATCH(DATEVALUE($A307),'recurring1_based on steps'!C$1:C$400,0)),C$2,)</f>
        <v>0</v>
      </c>
      <c r="D307" s="140">
        <f ca="1">IF(ISNUMBER(MATCH(DATEVALUE($A307),'recurring1_based on steps'!D$1:D$400,0)),D$2,)</f>
        <v>0</v>
      </c>
      <c r="E307" s="140">
        <f ca="1">IF(ISNUMBER(MATCH(DATEVALUE($A307),'recurring1_based on steps'!E$1:E$400,0)),E$2,)</f>
        <v>0</v>
      </c>
      <c r="F307" s="140">
        <f ca="1">IF(ISNUMBER(MATCH(DATEVALUE($A307),'recurring1_based on steps'!F$1:F$400,0)),F$2,)</f>
        <v>0</v>
      </c>
      <c r="G307" s="140">
        <f ca="1">IF(ISNUMBER(MATCH(DATEVALUE($A307),'recurring1_based on steps'!G$1:G$400,0)),G$2,)</f>
        <v>0</v>
      </c>
      <c r="H307" s="140">
        <f ca="1">IF(ISNUMBER(MATCH(DATEVALUE($A307),'recurring1_based on steps'!H$1:H$400,0)),H$2,)</f>
        <v>0</v>
      </c>
      <c r="I307" s="140">
        <f ca="1">IF(ISNUMBER(MATCH(DATEVALUE($A307),'recurring1_based on steps'!I$1:I$400,0)),I$2,)</f>
        <v>0</v>
      </c>
      <c r="J307" s="140">
        <f ca="1">IF(ISNUMBER(MATCH(DATEVALUE($A307),'recurring1_based on steps'!J$1:J$400,0)),J$2,)</f>
        <v>0</v>
      </c>
      <c r="K307" s="140">
        <f ca="1">IF(ISNUMBER(MATCH(DATEVALUE($A307),'recurring1_based on steps'!K$1:K$400,0)),K$2,)</f>
        <v>50</v>
      </c>
      <c r="L307" s="140">
        <f ca="1">IF(ISNUMBER(MATCH(DATEVALUE($A307),'recurring1_based on steps'!L$1:L$400,0)),L$2,)</f>
        <v>0</v>
      </c>
      <c r="M307" s="140">
        <f ca="1">IF(ISNUMBER(MATCH(DATEVALUE($A307),'recurring1_based on steps'!M$1:M$400,0)),M$2,)</f>
        <v>0</v>
      </c>
      <c r="N307" s="140">
        <f ca="1">IF(ISNUMBER(MATCH(DATEVALUE($A307),'recurring1_based on steps'!N$1:N$400,0)),N$2,)</f>
        <v>0</v>
      </c>
      <c r="O307" s="140">
        <f ca="1">IF(ISNUMBER(MATCH(DATEVALUE($A307),'recurring1_based on steps'!O$1:O$400,0)),O$2,)</f>
        <v>0</v>
      </c>
      <c r="P307" s="140">
        <f ca="1">IF(ISNUMBER(MATCH(DATEVALUE($A307),'recurring1_based on steps'!P$1:P$400,0)),P$2,)</f>
        <v>0</v>
      </c>
      <c r="Q307" s="140">
        <f ca="1">IF(ISNUMBER(MATCH(DATEVALUE($A307),'recurring1_based on steps'!Q$1:Q$400,0)),Q$2,)</f>
        <v>0</v>
      </c>
      <c r="R307" s="140">
        <f ca="1">IF(ISNUMBER(MATCH(DATEVALUE($A307),'recurring1_based on steps'!R$1:R$400,0)),R$2,)</f>
        <v>0</v>
      </c>
      <c r="S307" s="140">
        <f ca="1">IF(ISNUMBER(MATCH(DATEVALUE($A307),'recurring1_based on steps'!S$1:S$400,0)),S$2,)</f>
        <v>100</v>
      </c>
      <c r="T307" s="140">
        <f ca="1">IF(ISNUMBER(MATCH(DATEVALUE($A307),'recurring1_based on steps'!T$1:T$400,0)),T$2,)</f>
        <v>0</v>
      </c>
      <c r="U307" s="140">
        <f ca="1">IF(ISNUMBER(MATCH(DATEVALUE($A307),'recurring1_based on steps'!U$1:U$400,0)),U$2,)</f>
        <v>0</v>
      </c>
      <c r="V307" s="140">
        <f ca="1">IF(ISNUMBER(MATCH(DATEVALUE($A307),'recurring1_based on steps'!V$1:V$400,0)),V$2,)</f>
        <v>0</v>
      </c>
      <c r="W307" s="140">
        <f ca="1">IF(ISNUMBER(MATCH(DATEVALUE($A307),'recurring1_based on steps'!W$1:W$400,0)),W$2,)</f>
        <v>0</v>
      </c>
      <c r="X307" s="140">
        <f ca="1">IF(ISNUMBER(MATCH(DATEVALUE($A307),'recurring1_based on steps'!X$1:X$400,0)),X$2,)</f>
        <v>0</v>
      </c>
      <c r="Y307" s="140">
        <f ca="1">IF(ISNUMBER(MATCH(DATEVALUE($A307),'recurring1_based on steps'!Y$1:Y$400,0)),Y$2,)</f>
        <v>0</v>
      </c>
      <c r="Z307" s="140">
        <f ca="1">IF(ISNUMBER(MATCH(DATEVALUE($A307),'recurring1_based on steps'!Z$1:Z$400,0)),Z$2,)</f>
        <v>0</v>
      </c>
      <c r="AA307" s="140">
        <f ca="1">IF(ISNUMBER(MATCH(DATEVALUE($A307),'recurring1_based on steps'!AA$1:AA$400,0)),AA$2,)</f>
        <v>0</v>
      </c>
      <c r="AB307" s="140">
        <f ca="1">IF(ISNUMBER(MATCH(DATEVALUE($A307),'recurring1_based on steps'!AB$1:AB$400,0)),AB$2,)</f>
        <v>5.5401662049861494E-2</v>
      </c>
      <c r="AC307" s="140">
        <f ca="1">IF(ISNUMBER(MATCH(DATEVALUE($A307),'recurring1_based on steps'!AC$1:AC$400,0)),AC$2,)</f>
        <v>0</v>
      </c>
      <c r="AD307" s="140">
        <f ca="1">IF(ISNUMBER(MATCH(DATEVALUE($A307),'recurring1_based on steps'!AD$1:AD$400,0)),AD$2,)</f>
        <v>0</v>
      </c>
      <c r="AE307" s="140">
        <f ca="1">IF(ISNUMBER(MATCH(DATEVALUE($A307),'recurring1_based on steps'!AE$1:AE$400,0)),AE$2,)</f>
        <v>0</v>
      </c>
      <c r="AF307" s="140">
        <f ca="1">IF(ISNUMBER(MATCH(DATEVALUE($A307),'recurring1_based on steps'!AF$1:AF$400,0)),AF$2,)</f>
        <v>0</v>
      </c>
      <c r="AG307" s="140">
        <f ca="1">IF(ISNUMBER(MATCH(DATEVALUE($A307),'recurring1_based on steps'!AG$1:AG$400,0)),AG$2,)</f>
        <v>0</v>
      </c>
      <c r="AH307" s="140">
        <f ca="1">IF(ISNUMBER(MATCH(DATEVALUE($A307),'recurring1_based on steps'!AH$1:AH$400,0)),AH$2,)</f>
        <v>0</v>
      </c>
      <c r="AI307" s="140">
        <f ca="1">IF(ISNUMBER(MATCH(DATEVALUE($A307),'recurring1_based on steps'!AI$1:AI$400,0)),AI$2,)</f>
        <v>0</v>
      </c>
      <c r="AJ307" s="140">
        <f ca="1">IF(ISNUMBER(MATCH(DATEVALUE($A307),'recurring1_based on steps'!AJ$1:AJ$400,0)),AJ$2,)</f>
        <v>0</v>
      </c>
      <c r="AK307" s="140">
        <f ca="1">IF(ISNUMBER(MATCH(DATEVALUE($A307),'recurring1_based on steps'!AK$1:AK$400,0)),AK$2,)</f>
        <v>0</v>
      </c>
      <c r="AL307" s="140">
        <f ca="1">IF(ISNUMBER(MATCH(DATEVALUE($A307),'recurring1_based on steps'!AL$1:AL$400,0)),AL$2,)</f>
        <v>0</v>
      </c>
      <c r="AM307" s="140">
        <f ca="1">IF(ISNUMBER(MATCH(DATEVALUE($A307),'recurring1_based on steps'!AM$1:AM$400,0)),AM$2,)</f>
        <v>0</v>
      </c>
      <c r="AN307" s="140">
        <f ca="1">IF(ISNUMBER(MATCH(DATEVALUE($A307),'recurring1_based on steps'!AN$1:AN$400,0)),AN$2,)</f>
        <v>0</v>
      </c>
      <c r="AO307" s="140">
        <f ca="1">IF(ISNUMBER(MATCH(DATEVALUE($A307),'recurring1_based on steps'!AO$1:AO$400,0)),AO$2,)</f>
        <v>0</v>
      </c>
      <c r="AP307" s="140">
        <f ca="1">IF(ISNUMBER(MATCH(DATEVALUE($A307),'recurring1_based on steps'!AP$1:AP$400,0)),AP$2,)</f>
        <v>0</v>
      </c>
      <c r="AQ307" s="140">
        <f ca="1">IF(ISNUMBER(MATCH(DATEVALUE($A307),'recurring1_based on steps'!AQ$1:AQ$400,0)),AQ$2,)</f>
        <v>0</v>
      </c>
      <c r="AR307" s="140">
        <f ca="1">IF(ISNUMBER(MATCH(DATEVALUE($A307),'recurring1_based on steps'!AR$1:AR$400,0)),AR$2,)</f>
        <v>0</v>
      </c>
      <c r="AS307" s="140">
        <f ca="1">IF(ISNUMBER(MATCH(DATEVALUE($A307),'recurring1_based on steps'!AS$1:AS$400,0)),AS$2,)</f>
        <v>0</v>
      </c>
      <c r="AT307" s="140">
        <f ca="1">IF(ISNUMBER(MATCH(DATEVALUE($A307),'recurring1_based on steps'!AT$1:AT$400,0)),AT$2,)</f>
        <v>0</v>
      </c>
      <c r="AU307" s="140">
        <f ca="1">IF(ISNUMBER(MATCH(DATEVALUE($A307),'recurring1_based on steps'!AU$1:AU$400,0)),AU$2,)</f>
        <v>0</v>
      </c>
      <c r="AV307" s="140">
        <f ca="1">IF(ISNUMBER(MATCH(DATEVALUE($A307),'recurring1_based on steps'!AV$1:AV$400,0)),AV$2,)</f>
        <v>0</v>
      </c>
      <c r="AW307" s="140">
        <f ca="1">IF(ISNUMBER(MATCH(DATEVALUE($A307),'recurring1_based on steps'!AW$1:AW$400,0)),AW$2,)</f>
        <v>0</v>
      </c>
      <c r="AX307" s="140">
        <f ca="1">IF(ISNUMBER(MATCH(DATEVALUE($A307),'recurring1_based on steps'!AX$1:AX$400,0)),AX$2,)</f>
        <v>0</v>
      </c>
      <c r="AY307" s="140">
        <f ca="1">IF(ISNUMBER(MATCH(DATEVALUE($A307),'recurring1_based on steps'!AY$1:AY$400,0)),AY$2,)</f>
        <v>0</v>
      </c>
    </row>
    <row r="308" spans="1:51" x14ac:dyDescent="0.2">
      <c r="A308" s="29" t="str">
        <f t="shared" ca="1" si="4"/>
        <v>2026-01-26</v>
      </c>
      <c r="B308" s="140">
        <f ca="1">IF(ISNUMBER(MATCH(DATEVALUE($A308),'recurring1_based on steps'!B$1:B$400,0)),B$2,)</f>
        <v>0</v>
      </c>
      <c r="C308" s="140">
        <f ca="1">IF(ISNUMBER(MATCH(DATEVALUE($A308),'recurring1_based on steps'!C$1:C$400,0)),C$2,)</f>
        <v>0</v>
      </c>
      <c r="D308" s="140">
        <f ca="1">IF(ISNUMBER(MATCH(DATEVALUE($A308),'recurring1_based on steps'!D$1:D$400,0)),D$2,)</f>
        <v>0</v>
      </c>
      <c r="E308" s="140">
        <f ca="1">IF(ISNUMBER(MATCH(DATEVALUE($A308),'recurring1_based on steps'!E$1:E$400,0)),E$2,)</f>
        <v>0</v>
      </c>
      <c r="F308" s="140">
        <f ca="1">IF(ISNUMBER(MATCH(DATEVALUE($A308),'recurring1_based on steps'!F$1:F$400,0)),F$2,)</f>
        <v>0</v>
      </c>
      <c r="G308" s="140">
        <f ca="1">IF(ISNUMBER(MATCH(DATEVALUE($A308),'recurring1_based on steps'!G$1:G$400,0)),G$2,)</f>
        <v>0</v>
      </c>
      <c r="H308" s="140">
        <f ca="1">IF(ISNUMBER(MATCH(DATEVALUE($A308),'recurring1_based on steps'!H$1:H$400,0)),H$2,)</f>
        <v>0</v>
      </c>
      <c r="I308" s="140">
        <f ca="1">IF(ISNUMBER(MATCH(DATEVALUE($A308),'recurring1_based on steps'!I$1:I$400,0)),I$2,)</f>
        <v>0</v>
      </c>
      <c r="J308" s="140">
        <f ca="1">IF(ISNUMBER(MATCH(DATEVALUE($A308),'recurring1_based on steps'!J$1:J$400,0)),J$2,)</f>
        <v>0</v>
      </c>
      <c r="K308" s="140">
        <f ca="1">IF(ISNUMBER(MATCH(DATEVALUE($A308),'recurring1_based on steps'!K$1:K$400,0)),K$2,)</f>
        <v>0</v>
      </c>
      <c r="L308" s="140">
        <f ca="1">IF(ISNUMBER(MATCH(DATEVALUE($A308),'recurring1_based on steps'!L$1:L$400,0)),L$2,)</f>
        <v>0</v>
      </c>
      <c r="M308" s="140">
        <f ca="1">IF(ISNUMBER(MATCH(DATEVALUE($A308),'recurring1_based on steps'!M$1:M$400,0)),M$2,)</f>
        <v>0</v>
      </c>
      <c r="N308" s="140">
        <f ca="1">IF(ISNUMBER(MATCH(DATEVALUE($A308),'recurring1_based on steps'!N$1:N$400,0)),N$2,)</f>
        <v>0</v>
      </c>
      <c r="O308" s="140">
        <f ca="1">IF(ISNUMBER(MATCH(DATEVALUE($A308),'recurring1_based on steps'!O$1:O$400,0)),O$2,)</f>
        <v>0</v>
      </c>
      <c r="P308" s="140">
        <f ca="1">IF(ISNUMBER(MATCH(DATEVALUE($A308),'recurring1_based on steps'!P$1:P$400,0)),P$2,)</f>
        <v>0</v>
      </c>
      <c r="Q308" s="140">
        <f ca="1">IF(ISNUMBER(MATCH(DATEVALUE($A308),'recurring1_based on steps'!Q$1:Q$400,0)),Q$2,)</f>
        <v>0</v>
      </c>
      <c r="R308" s="140">
        <f ca="1">IF(ISNUMBER(MATCH(DATEVALUE($A308),'recurring1_based on steps'!R$1:R$400,0)),R$2,)</f>
        <v>0</v>
      </c>
      <c r="S308" s="140">
        <f ca="1">IF(ISNUMBER(MATCH(DATEVALUE($A308),'recurring1_based on steps'!S$1:S$400,0)),S$2,)</f>
        <v>0</v>
      </c>
      <c r="T308" s="140">
        <f ca="1">IF(ISNUMBER(MATCH(DATEVALUE($A308),'recurring1_based on steps'!T$1:T$400,0)),T$2,)</f>
        <v>50</v>
      </c>
      <c r="U308" s="140">
        <f ca="1">IF(ISNUMBER(MATCH(DATEVALUE($A308),'recurring1_based on steps'!U$1:U$400,0)),U$2,)</f>
        <v>0</v>
      </c>
      <c r="V308" s="140">
        <f ca="1">IF(ISNUMBER(MATCH(DATEVALUE($A308),'recurring1_based on steps'!V$1:V$400,0)),V$2,)</f>
        <v>0</v>
      </c>
      <c r="W308" s="140">
        <f ca="1">IF(ISNUMBER(MATCH(DATEVALUE($A308),'recurring1_based on steps'!W$1:W$400,0)),W$2,)</f>
        <v>0</v>
      </c>
      <c r="X308" s="140">
        <f ca="1">IF(ISNUMBER(MATCH(DATEVALUE($A308),'recurring1_based on steps'!X$1:X$400,0)),X$2,)</f>
        <v>0</v>
      </c>
      <c r="Y308" s="140">
        <f ca="1">IF(ISNUMBER(MATCH(DATEVALUE($A308),'recurring1_based on steps'!Y$1:Y$400,0)),Y$2,)</f>
        <v>0</v>
      </c>
      <c r="Z308" s="140">
        <f ca="1">IF(ISNUMBER(MATCH(DATEVALUE($A308),'recurring1_based on steps'!Z$1:Z$400,0)),Z$2,)</f>
        <v>0</v>
      </c>
      <c r="AA308" s="140">
        <f ca="1">IF(ISNUMBER(MATCH(DATEVALUE($A308),'recurring1_based on steps'!AA$1:AA$400,0)),AA$2,)</f>
        <v>0</v>
      </c>
      <c r="AB308" s="140">
        <f ca="1">IF(ISNUMBER(MATCH(DATEVALUE($A308),'recurring1_based on steps'!AB$1:AB$400,0)),AB$2,)</f>
        <v>5.5401662049861494E-2</v>
      </c>
      <c r="AC308" s="140">
        <f ca="1">IF(ISNUMBER(MATCH(DATEVALUE($A308),'recurring1_based on steps'!AC$1:AC$400,0)),AC$2,)</f>
        <v>0</v>
      </c>
      <c r="AD308" s="140">
        <f ca="1">IF(ISNUMBER(MATCH(DATEVALUE($A308),'recurring1_based on steps'!AD$1:AD$400,0)),AD$2,)</f>
        <v>0</v>
      </c>
      <c r="AE308" s="140">
        <f ca="1">IF(ISNUMBER(MATCH(DATEVALUE($A308),'recurring1_based on steps'!AE$1:AE$400,0)),AE$2,)</f>
        <v>0</v>
      </c>
      <c r="AF308" s="140">
        <f ca="1">IF(ISNUMBER(MATCH(DATEVALUE($A308),'recurring1_based on steps'!AF$1:AF$400,0)),AF$2,)</f>
        <v>0</v>
      </c>
      <c r="AG308" s="140">
        <f ca="1">IF(ISNUMBER(MATCH(DATEVALUE($A308),'recurring1_based on steps'!AG$1:AG$400,0)),AG$2,)</f>
        <v>0</v>
      </c>
      <c r="AH308" s="140">
        <f ca="1">IF(ISNUMBER(MATCH(DATEVALUE($A308),'recurring1_based on steps'!AH$1:AH$400,0)),AH$2,)</f>
        <v>0</v>
      </c>
      <c r="AI308" s="140">
        <f ca="1">IF(ISNUMBER(MATCH(DATEVALUE($A308),'recurring1_based on steps'!AI$1:AI$400,0)),AI$2,)</f>
        <v>0</v>
      </c>
      <c r="AJ308" s="140">
        <f ca="1">IF(ISNUMBER(MATCH(DATEVALUE($A308),'recurring1_based on steps'!AJ$1:AJ$400,0)),AJ$2,)</f>
        <v>0</v>
      </c>
      <c r="AK308" s="140">
        <f ca="1">IF(ISNUMBER(MATCH(DATEVALUE($A308),'recurring1_based on steps'!AK$1:AK$400,0)),AK$2,)</f>
        <v>0</v>
      </c>
      <c r="AL308" s="140">
        <f ca="1">IF(ISNUMBER(MATCH(DATEVALUE($A308),'recurring1_based on steps'!AL$1:AL$400,0)),AL$2,)</f>
        <v>0</v>
      </c>
      <c r="AM308" s="140">
        <f ca="1">IF(ISNUMBER(MATCH(DATEVALUE($A308),'recurring1_based on steps'!AM$1:AM$400,0)),AM$2,)</f>
        <v>0</v>
      </c>
      <c r="AN308" s="140">
        <f ca="1">IF(ISNUMBER(MATCH(DATEVALUE($A308),'recurring1_based on steps'!AN$1:AN$400,0)),AN$2,)</f>
        <v>0</v>
      </c>
      <c r="AO308" s="140">
        <f ca="1">IF(ISNUMBER(MATCH(DATEVALUE($A308),'recurring1_based on steps'!AO$1:AO$400,0)),AO$2,)</f>
        <v>0</v>
      </c>
      <c r="AP308" s="140">
        <f ca="1">IF(ISNUMBER(MATCH(DATEVALUE($A308),'recurring1_based on steps'!AP$1:AP$400,0)),AP$2,)</f>
        <v>0</v>
      </c>
      <c r="AQ308" s="140">
        <f ca="1">IF(ISNUMBER(MATCH(DATEVALUE($A308),'recurring1_based on steps'!AQ$1:AQ$400,0)),AQ$2,)</f>
        <v>0</v>
      </c>
      <c r="AR308" s="140">
        <f ca="1">IF(ISNUMBER(MATCH(DATEVALUE($A308),'recurring1_based on steps'!AR$1:AR$400,0)),AR$2,)</f>
        <v>0</v>
      </c>
      <c r="AS308" s="140">
        <f ca="1">IF(ISNUMBER(MATCH(DATEVALUE($A308),'recurring1_based on steps'!AS$1:AS$400,0)),AS$2,)</f>
        <v>0</v>
      </c>
      <c r="AT308" s="140">
        <f ca="1">IF(ISNUMBER(MATCH(DATEVALUE($A308),'recurring1_based on steps'!AT$1:AT$400,0)),AT$2,)</f>
        <v>0</v>
      </c>
      <c r="AU308" s="140">
        <f ca="1">IF(ISNUMBER(MATCH(DATEVALUE($A308),'recurring1_based on steps'!AU$1:AU$400,0)),AU$2,)</f>
        <v>0</v>
      </c>
      <c r="AV308" s="140">
        <f ca="1">IF(ISNUMBER(MATCH(DATEVALUE($A308),'recurring1_based on steps'!AV$1:AV$400,0)),AV$2,)</f>
        <v>0</v>
      </c>
      <c r="AW308" s="140">
        <f ca="1">IF(ISNUMBER(MATCH(DATEVALUE($A308),'recurring1_based on steps'!AW$1:AW$400,0)),AW$2,)</f>
        <v>0</v>
      </c>
      <c r="AX308" s="140">
        <f ca="1">IF(ISNUMBER(MATCH(DATEVALUE($A308),'recurring1_based on steps'!AX$1:AX$400,0)),AX$2,)</f>
        <v>0</v>
      </c>
      <c r="AY308" s="140">
        <f ca="1">IF(ISNUMBER(MATCH(DATEVALUE($A308),'recurring1_based on steps'!AY$1:AY$400,0)),AY$2,)</f>
        <v>0</v>
      </c>
    </row>
    <row r="309" spans="1:51" x14ac:dyDescent="0.2">
      <c r="A309" s="29" t="str">
        <f t="shared" ca="1" si="4"/>
        <v>2026-01-27</v>
      </c>
      <c r="B309" s="140">
        <f ca="1">IF(ISNUMBER(MATCH(DATEVALUE($A309),'recurring1_based on steps'!B$1:B$400,0)),B$2,)</f>
        <v>0</v>
      </c>
      <c r="C309" s="140">
        <f ca="1">IF(ISNUMBER(MATCH(DATEVALUE($A309),'recurring1_based on steps'!C$1:C$400,0)),C$2,)</f>
        <v>0</v>
      </c>
      <c r="D309" s="140">
        <f ca="1">IF(ISNUMBER(MATCH(DATEVALUE($A309),'recurring1_based on steps'!D$1:D$400,0)),D$2,)</f>
        <v>0</v>
      </c>
      <c r="E309" s="140">
        <f ca="1">IF(ISNUMBER(MATCH(DATEVALUE($A309),'recurring1_based on steps'!E$1:E$400,0)),E$2,)</f>
        <v>0</v>
      </c>
      <c r="F309" s="140">
        <f ca="1">IF(ISNUMBER(MATCH(DATEVALUE($A309),'recurring1_based on steps'!F$1:F$400,0)),F$2,)</f>
        <v>0</v>
      </c>
      <c r="G309" s="140">
        <f ca="1">IF(ISNUMBER(MATCH(DATEVALUE($A309),'recurring1_based on steps'!G$1:G$400,0)),G$2,)</f>
        <v>0</v>
      </c>
      <c r="H309" s="140">
        <f ca="1">IF(ISNUMBER(MATCH(DATEVALUE($A309),'recurring1_based on steps'!H$1:H$400,0)),H$2,)</f>
        <v>0</v>
      </c>
      <c r="I309" s="140">
        <f ca="1">IF(ISNUMBER(MATCH(DATEVALUE($A309),'recurring1_based on steps'!I$1:I$400,0)),I$2,)</f>
        <v>0</v>
      </c>
      <c r="J309" s="140">
        <f ca="1">IF(ISNUMBER(MATCH(DATEVALUE($A309),'recurring1_based on steps'!J$1:J$400,0)),J$2,)</f>
        <v>0</v>
      </c>
      <c r="K309" s="140">
        <f ca="1">IF(ISNUMBER(MATCH(DATEVALUE($A309),'recurring1_based on steps'!K$1:K$400,0)),K$2,)</f>
        <v>0</v>
      </c>
      <c r="L309" s="140">
        <f ca="1">IF(ISNUMBER(MATCH(DATEVALUE($A309),'recurring1_based on steps'!L$1:L$400,0)),L$2,)</f>
        <v>0</v>
      </c>
      <c r="M309" s="140">
        <f ca="1">IF(ISNUMBER(MATCH(DATEVALUE($A309),'recurring1_based on steps'!M$1:M$400,0)),M$2,)</f>
        <v>0</v>
      </c>
      <c r="N309" s="140">
        <f ca="1">IF(ISNUMBER(MATCH(DATEVALUE($A309),'recurring1_based on steps'!N$1:N$400,0)),N$2,)</f>
        <v>0</v>
      </c>
      <c r="O309" s="140">
        <f ca="1">IF(ISNUMBER(MATCH(DATEVALUE($A309),'recurring1_based on steps'!O$1:O$400,0)),O$2,)</f>
        <v>0</v>
      </c>
      <c r="P309" s="140">
        <f ca="1">IF(ISNUMBER(MATCH(DATEVALUE($A309),'recurring1_based on steps'!P$1:P$400,0)),P$2,)</f>
        <v>2.99</v>
      </c>
      <c r="Q309" s="140">
        <f ca="1">IF(ISNUMBER(MATCH(DATEVALUE($A309),'recurring1_based on steps'!Q$1:Q$400,0)),Q$2,)</f>
        <v>0</v>
      </c>
      <c r="R309" s="140">
        <f ca="1">IF(ISNUMBER(MATCH(DATEVALUE($A309),'recurring1_based on steps'!R$1:R$400,0)),R$2,)</f>
        <v>0</v>
      </c>
      <c r="S309" s="140">
        <f ca="1">IF(ISNUMBER(MATCH(DATEVALUE($A309),'recurring1_based on steps'!S$1:S$400,0)),S$2,)</f>
        <v>0</v>
      </c>
      <c r="T309" s="140">
        <f ca="1">IF(ISNUMBER(MATCH(DATEVALUE($A309),'recurring1_based on steps'!T$1:T$400,0)),T$2,)</f>
        <v>0</v>
      </c>
      <c r="U309" s="140">
        <f ca="1">IF(ISNUMBER(MATCH(DATEVALUE($A309),'recurring1_based on steps'!U$1:U$400,0)),U$2,)</f>
        <v>0</v>
      </c>
      <c r="V309" s="140">
        <f ca="1">IF(ISNUMBER(MATCH(DATEVALUE($A309),'recurring1_based on steps'!V$1:V$400,0)),V$2,)</f>
        <v>0</v>
      </c>
      <c r="W309" s="140">
        <f ca="1">IF(ISNUMBER(MATCH(DATEVALUE($A309),'recurring1_based on steps'!W$1:W$400,0)),W$2,)</f>
        <v>0</v>
      </c>
      <c r="X309" s="140">
        <f ca="1">IF(ISNUMBER(MATCH(DATEVALUE($A309),'recurring1_based on steps'!X$1:X$400,0)),X$2,)</f>
        <v>0</v>
      </c>
      <c r="Y309" s="140">
        <f ca="1">IF(ISNUMBER(MATCH(DATEVALUE($A309),'recurring1_based on steps'!Y$1:Y$400,0)),Y$2,)</f>
        <v>0</v>
      </c>
      <c r="Z309" s="140">
        <f ca="1">IF(ISNUMBER(MATCH(DATEVALUE($A309),'recurring1_based on steps'!Z$1:Z$400,0)),Z$2,)</f>
        <v>0</v>
      </c>
      <c r="AA309" s="140">
        <f ca="1">IF(ISNUMBER(MATCH(DATEVALUE($A309),'recurring1_based on steps'!AA$1:AA$400,0)),AA$2,)</f>
        <v>0</v>
      </c>
      <c r="AB309" s="140">
        <f ca="1">IF(ISNUMBER(MATCH(DATEVALUE($A309),'recurring1_based on steps'!AB$1:AB$400,0)),AB$2,)</f>
        <v>5.5401662049861494E-2</v>
      </c>
      <c r="AC309" s="140">
        <f ca="1">IF(ISNUMBER(MATCH(DATEVALUE($A309),'recurring1_based on steps'!AC$1:AC$400,0)),AC$2,)</f>
        <v>0</v>
      </c>
      <c r="AD309" s="140">
        <f ca="1">IF(ISNUMBER(MATCH(DATEVALUE($A309),'recurring1_based on steps'!AD$1:AD$400,0)),AD$2,)</f>
        <v>0</v>
      </c>
      <c r="AE309" s="140">
        <f ca="1">IF(ISNUMBER(MATCH(DATEVALUE($A309),'recurring1_based on steps'!AE$1:AE$400,0)),AE$2,)</f>
        <v>0</v>
      </c>
      <c r="AF309" s="140">
        <f ca="1">IF(ISNUMBER(MATCH(DATEVALUE($A309),'recurring1_based on steps'!AF$1:AF$400,0)),AF$2,)</f>
        <v>0</v>
      </c>
      <c r="AG309" s="140">
        <f ca="1">IF(ISNUMBER(MATCH(DATEVALUE($A309),'recurring1_based on steps'!AG$1:AG$400,0)),AG$2,)</f>
        <v>0</v>
      </c>
      <c r="AH309" s="140">
        <f ca="1">IF(ISNUMBER(MATCH(DATEVALUE($A309),'recurring1_based on steps'!AH$1:AH$400,0)),AH$2,)</f>
        <v>0</v>
      </c>
      <c r="AI309" s="140">
        <f ca="1">IF(ISNUMBER(MATCH(DATEVALUE($A309),'recurring1_based on steps'!AI$1:AI$400,0)),AI$2,)</f>
        <v>0</v>
      </c>
      <c r="AJ309" s="140">
        <f ca="1">IF(ISNUMBER(MATCH(DATEVALUE($A309),'recurring1_based on steps'!AJ$1:AJ$400,0)),AJ$2,)</f>
        <v>0</v>
      </c>
      <c r="AK309" s="140">
        <f ca="1">IF(ISNUMBER(MATCH(DATEVALUE($A309),'recurring1_based on steps'!AK$1:AK$400,0)),AK$2,)</f>
        <v>0</v>
      </c>
      <c r="AL309" s="140">
        <f ca="1">IF(ISNUMBER(MATCH(DATEVALUE($A309),'recurring1_based on steps'!AL$1:AL$400,0)),AL$2,)</f>
        <v>0</v>
      </c>
      <c r="AM309" s="140">
        <f ca="1">IF(ISNUMBER(MATCH(DATEVALUE($A309),'recurring1_based on steps'!AM$1:AM$400,0)),AM$2,)</f>
        <v>0</v>
      </c>
      <c r="AN309" s="140">
        <f ca="1">IF(ISNUMBER(MATCH(DATEVALUE($A309),'recurring1_based on steps'!AN$1:AN$400,0)),AN$2,)</f>
        <v>0</v>
      </c>
      <c r="AO309" s="140">
        <f ca="1">IF(ISNUMBER(MATCH(DATEVALUE($A309),'recurring1_based on steps'!AO$1:AO$400,0)),AO$2,)</f>
        <v>0</v>
      </c>
      <c r="AP309" s="140">
        <f ca="1">IF(ISNUMBER(MATCH(DATEVALUE($A309),'recurring1_based on steps'!AP$1:AP$400,0)),AP$2,)</f>
        <v>0</v>
      </c>
      <c r="AQ309" s="140">
        <f ca="1">IF(ISNUMBER(MATCH(DATEVALUE($A309),'recurring1_based on steps'!AQ$1:AQ$400,0)),AQ$2,)</f>
        <v>0</v>
      </c>
      <c r="AR309" s="140">
        <f ca="1">IF(ISNUMBER(MATCH(DATEVALUE($A309),'recurring1_based on steps'!AR$1:AR$400,0)),AR$2,)</f>
        <v>0</v>
      </c>
      <c r="AS309" s="140">
        <f ca="1">IF(ISNUMBER(MATCH(DATEVALUE($A309),'recurring1_based on steps'!AS$1:AS$400,0)),AS$2,)</f>
        <v>0</v>
      </c>
      <c r="AT309" s="140">
        <f ca="1">IF(ISNUMBER(MATCH(DATEVALUE($A309),'recurring1_based on steps'!AT$1:AT$400,0)),AT$2,)</f>
        <v>0</v>
      </c>
      <c r="AU309" s="140">
        <f ca="1">IF(ISNUMBER(MATCH(DATEVALUE($A309),'recurring1_based on steps'!AU$1:AU$400,0)),AU$2,)</f>
        <v>0</v>
      </c>
      <c r="AV309" s="140">
        <f ca="1">IF(ISNUMBER(MATCH(DATEVALUE($A309),'recurring1_based on steps'!AV$1:AV$400,0)),AV$2,)</f>
        <v>0</v>
      </c>
      <c r="AW309" s="140">
        <f ca="1">IF(ISNUMBER(MATCH(DATEVALUE($A309),'recurring1_based on steps'!AW$1:AW$400,0)),AW$2,)</f>
        <v>0</v>
      </c>
      <c r="AX309" s="140">
        <f ca="1">IF(ISNUMBER(MATCH(DATEVALUE($A309),'recurring1_based on steps'!AX$1:AX$400,0)),AX$2,)</f>
        <v>0</v>
      </c>
      <c r="AY309" s="140">
        <f ca="1">IF(ISNUMBER(MATCH(DATEVALUE($A309),'recurring1_based on steps'!AY$1:AY$400,0)),AY$2,)</f>
        <v>0</v>
      </c>
    </row>
    <row r="310" spans="1:51" x14ac:dyDescent="0.2">
      <c r="A310" s="29" t="str">
        <f t="shared" ca="1" si="4"/>
        <v>2026-01-28</v>
      </c>
      <c r="B310" s="140">
        <f ca="1">IF(ISNUMBER(MATCH(DATEVALUE($A310),'recurring1_based on steps'!B$1:B$400,0)),B$2,)</f>
        <v>0</v>
      </c>
      <c r="C310" s="140">
        <f ca="1">IF(ISNUMBER(MATCH(DATEVALUE($A310),'recurring1_based on steps'!C$1:C$400,0)),C$2,)</f>
        <v>0</v>
      </c>
      <c r="D310" s="140">
        <f ca="1">IF(ISNUMBER(MATCH(DATEVALUE($A310),'recurring1_based on steps'!D$1:D$400,0)),D$2,)</f>
        <v>0</v>
      </c>
      <c r="E310" s="140">
        <f ca="1">IF(ISNUMBER(MATCH(DATEVALUE($A310),'recurring1_based on steps'!E$1:E$400,0)),E$2,)</f>
        <v>0</v>
      </c>
      <c r="F310" s="140">
        <f ca="1">IF(ISNUMBER(MATCH(DATEVALUE($A310),'recurring1_based on steps'!F$1:F$400,0)),F$2,)</f>
        <v>0</v>
      </c>
      <c r="G310" s="140">
        <f ca="1">IF(ISNUMBER(MATCH(DATEVALUE($A310),'recurring1_based on steps'!G$1:G$400,0)),G$2,)</f>
        <v>0</v>
      </c>
      <c r="H310" s="140">
        <f ca="1">IF(ISNUMBER(MATCH(DATEVALUE($A310),'recurring1_based on steps'!H$1:H$400,0)),H$2,)</f>
        <v>0</v>
      </c>
      <c r="I310" s="140">
        <f ca="1">IF(ISNUMBER(MATCH(DATEVALUE($A310),'recurring1_based on steps'!I$1:I$400,0)),I$2,)</f>
        <v>0</v>
      </c>
      <c r="J310" s="140">
        <f ca="1">IF(ISNUMBER(MATCH(DATEVALUE($A310),'recurring1_based on steps'!J$1:J$400,0)),J$2,)</f>
        <v>0</v>
      </c>
      <c r="K310" s="140">
        <f ca="1">IF(ISNUMBER(MATCH(DATEVALUE($A310),'recurring1_based on steps'!K$1:K$400,0)),K$2,)</f>
        <v>0</v>
      </c>
      <c r="L310" s="140">
        <f ca="1">IF(ISNUMBER(MATCH(DATEVALUE($A310),'recurring1_based on steps'!L$1:L$400,0)),L$2,)</f>
        <v>0</v>
      </c>
      <c r="M310" s="140">
        <f ca="1">IF(ISNUMBER(MATCH(DATEVALUE($A310),'recurring1_based on steps'!M$1:M$400,0)),M$2,)</f>
        <v>0</v>
      </c>
      <c r="N310" s="140">
        <f ca="1">IF(ISNUMBER(MATCH(DATEVALUE($A310),'recurring1_based on steps'!N$1:N$400,0)),N$2,)</f>
        <v>0</v>
      </c>
      <c r="O310" s="140">
        <f ca="1">IF(ISNUMBER(MATCH(DATEVALUE($A310),'recurring1_based on steps'!O$1:O$400,0)),O$2,)</f>
        <v>0</v>
      </c>
      <c r="P310" s="140">
        <f ca="1">IF(ISNUMBER(MATCH(DATEVALUE($A310),'recurring1_based on steps'!P$1:P$400,0)),P$2,)</f>
        <v>0</v>
      </c>
      <c r="Q310" s="140">
        <f ca="1">IF(ISNUMBER(MATCH(DATEVALUE($A310),'recurring1_based on steps'!Q$1:Q$400,0)),Q$2,)</f>
        <v>0</v>
      </c>
      <c r="R310" s="140">
        <f ca="1">IF(ISNUMBER(MATCH(DATEVALUE($A310),'recurring1_based on steps'!R$1:R$400,0)),R$2,)</f>
        <v>0</v>
      </c>
      <c r="S310" s="140">
        <f ca="1">IF(ISNUMBER(MATCH(DATEVALUE($A310),'recurring1_based on steps'!S$1:S$400,0)),S$2,)</f>
        <v>0</v>
      </c>
      <c r="T310" s="140">
        <f ca="1">IF(ISNUMBER(MATCH(DATEVALUE($A310),'recurring1_based on steps'!T$1:T$400,0)),T$2,)</f>
        <v>0</v>
      </c>
      <c r="U310" s="140">
        <f ca="1">IF(ISNUMBER(MATCH(DATEVALUE($A310),'recurring1_based on steps'!U$1:U$400,0)),U$2,)</f>
        <v>0</v>
      </c>
      <c r="V310" s="140">
        <f ca="1">IF(ISNUMBER(MATCH(DATEVALUE($A310),'recurring1_based on steps'!V$1:V$400,0)),V$2,)</f>
        <v>0</v>
      </c>
      <c r="W310" s="140">
        <f ca="1">IF(ISNUMBER(MATCH(DATEVALUE($A310),'recurring1_based on steps'!W$1:W$400,0)),W$2,)</f>
        <v>0</v>
      </c>
      <c r="X310" s="140">
        <f ca="1">IF(ISNUMBER(MATCH(DATEVALUE($A310),'recurring1_based on steps'!X$1:X$400,0)),X$2,)</f>
        <v>0</v>
      </c>
      <c r="Y310" s="140">
        <f ca="1">IF(ISNUMBER(MATCH(DATEVALUE($A310),'recurring1_based on steps'!Y$1:Y$400,0)),Y$2,)</f>
        <v>0</v>
      </c>
      <c r="Z310" s="140">
        <f ca="1">IF(ISNUMBER(MATCH(DATEVALUE($A310),'recurring1_based on steps'!Z$1:Z$400,0)),Z$2,)</f>
        <v>0</v>
      </c>
      <c r="AA310" s="140">
        <f ca="1">IF(ISNUMBER(MATCH(DATEVALUE($A310),'recurring1_based on steps'!AA$1:AA$400,0)),AA$2,)</f>
        <v>0</v>
      </c>
      <c r="AB310" s="140">
        <f ca="1">IF(ISNUMBER(MATCH(DATEVALUE($A310),'recurring1_based on steps'!AB$1:AB$400,0)),AB$2,)</f>
        <v>5.5401662049861494E-2</v>
      </c>
      <c r="AC310" s="140">
        <f ca="1">IF(ISNUMBER(MATCH(DATEVALUE($A310),'recurring1_based on steps'!AC$1:AC$400,0)),AC$2,)</f>
        <v>0</v>
      </c>
      <c r="AD310" s="140">
        <f ca="1">IF(ISNUMBER(MATCH(DATEVALUE($A310),'recurring1_based on steps'!AD$1:AD$400,0)),AD$2,)</f>
        <v>0</v>
      </c>
      <c r="AE310" s="140">
        <f ca="1">IF(ISNUMBER(MATCH(DATEVALUE($A310),'recurring1_based on steps'!AE$1:AE$400,0)),AE$2,)</f>
        <v>0</v>
      </c>
      <c r="AF310" s="140">
        <f ca="1">IF(ISNUMBER(MATCH(DATEVALUE($A310),'recurring1_based on steps'!AF$1:AF$400,0)),AF$2,)</f>
        <v>0</v>
      </c>
      <c r="AG310" s="140">
        <f ca="1">IF(ISNUMBER(MATCH(DATEVALUE($A310),'recurring1_based on steps'!AG$1:AG$400,0)),AG$2,)</f>
        <v>0</v>
      </c>
      <c r="AH310" s="140">
        <f ca="1">IF(ISNUMBER(MATCH(DATEVALUE($A310),'recurring1_based on steps'!AH$1:AH$400,0)),AH$2,)</f>
        <v>0</v>
      </c>
      <c r="AI310" s="140">
        <f ca="1">IF(ISNUMBER(MATCH(DATEVALUE($A310),'recurring1_based on steps'!AI$1:AI$400,0)),AI$2,)</f>
        <v>0</v>
      </c>
      <c r="AJ310" s="140">
        <f ca="1">IF(ISNUMBER(MATCH(DATEVALUE($A310),'recurring1_based on steps'!AJ$1:AJ$400,0)),AJ$2,)</f>
        <v>0</v>
      </c>
      <c r="AK310" s="140">
        <f ca="1">IF(ISNUMBER(MATCH(DATEVALUE($A310),'recurring1_based on steps'!AK$1:AK$400,0)),AK$2,)</f>
        <v>0</v>
      </c>
      <c r="AL310" s="140">
        <f ca="1">IF(ISNUMBER(MATCH(DATEVALUE($A310),'recurring1_based on steps'!AL$1:AL$400,0)),AL$2,)</f>
        <v>0</v>
      </c>
      <c r="AM310" s="140">
        <f ca="1">IF(ISNUMBER(MATCH(DATEVALUE($A310),'recurring1_based on steps'!AM$1:AM$400,0)),AM$2,)</f>
        <v>0</v>
      </c>
      <c r="AN310" s="140">
        <f ca="1">IF(ISNUMBER(MATCH(DATEVALUE($A310),'recurring1_based on steps'!AN$1:AN$400,0)),AN$2,)</f>
        <v>0</v>
      </c>
      <c r="AO310" s="140">
        <f ca="1">IF(ISNUMBER(MATCH(DATEVALUE($A310),'recurring1_based on steps'!AO$1:AO$400,0)),AO$2,)</f>
        <v>0</v>
      </c>
      <c r="AP310" s="140">
        <f ca="1">IF(ISNUMBER(MATCH(DATEVALUE($A310),'recurring1_based on steps'!AP$1:AP$400,0)),AP$2,)</f>
        <v>0</v>
      </c>
      <c r="AQ310" s="140">
        <f ca="1">IF(ISNUMBER(MATCH(DATEVALUE($A310),'recurring1_based on steps'!AQ$1:AQ$400,0)),AQ$2,)</f>
        <v>0</v>
      </c>
      <c r="AR310" s="140">
        <f ca="1">IF(ISNUMBER(MATCH(DATEVALUE($A310),'recurring1_based on steps'!AR$1:AR$400,0)),AR$2,)</f>
        <v>0</v>
      </c>
      <c r="AS310" s="140">
        <f ca="1">IF(ISNUMBER(MATCH(DATEVALUE($A310),'recurring1_based on steps'!AS$1:AS$400,0)),AS$2,)</f>
        <v>0</v>
      </c>
      <c r="AT310" s="140">
        <f ca="1">IF(ISNUMBER(MATCH(DATEVALUE($A310),'recurring1_based on steps'!AT$1:AT$400,0)),AT$2,)</f>
        <v>0</v>
      </c>
      <c r="AU310" s="140">
        <f ca="1">IF(ISNUMBER(MATCH(DATEVALUE($A310),'recurring1_based on steps'!AU$1:AU$400,0)),AU$2,)</f>
        <v>0</v>
      </c>
      <c r="AV310" s="140">
        <f ca="1">IF(ISNUMBER(MATCH(DATEVALUE($A310),'recurring1_based on steps'!AV$1:AV$400,0)),AV$2,)</f>
        <v>0</v>
      </c>
      <c r="AW310" s="140">
        <f ca="1">IF(ISNUMBER(MATCH(DATEVALUE($A310),'recurring1_based on steps'!AW$1:AW$400,0)),AW$2,)</f>
        <v>0</v>
      </c>
      <c r="AX310" s="140">
        <f ca="1">IF(ISNUMBER(MATCH(DATEVALUE($A310),'recurring1_based on steps'!AX$1:AX$400,0)),AX$2,)</f>
        <v>0</v>
      </c>
      <c r="AY310" s="140">
        <f ca="1">IF(ISNUMBER(MATCH(DATEVALUE($A310),'recurring1_based on steps'!AY$1:AY$400,0)),AY$2,)</f>
        <v>0</v>
      </c>
    </row>
    <row r="311" spans="1:51" x14ac:dyDescent="0.2">
      <c r="A311" s="29" t="str">
        <f t="shared" ca="1" si="4"/>
        <v>2026-01-29</v>
      </c>
      <c r="B311" s="140">
        <f ca="1">IF(ISNUMBER(MATCH(DATEVALUE($A311),'recurring1_based on steps'!B$1:B$400,0)),B$2,)</f>
        <v>0</v>
      </c>
      <c r="C311" s="140">
        <f ca="1">IF(ISNUMBER(MATCH(DATEVALUE($A311),'recurring1_based on steps'!C$1:C$400,0)),C$2,)</f>
        <v>0</v>
      </c>
      <c r="D311" s="140">
        <f ca="1">IF(ISNUMBER(MATCH(DATEVALUE($A311),'recurring1_based on steps'!D$1:D$400,0)),D$2,)</f>
        <v>0</v>
      </c>
      <c r="E311" s="140">
        <f ca="1">IF(ISNUMBER(MATCH(DATEVALUE($A311),'recurring1_based on steps'!E$1:E$400,0)),E$2,)</f>
        <v>0</v>
      </c>
      <c r="F311" s="140">
        <f ca="1">IF(ISNUMBER(MATCH(DATEVALUE($A311),'recurring1_based on steps'!F$1:F$400,0)),F$2,)</f>
        <v>0</v>
      </c>
      <c r="G311" s="140">
        <f ca="1">IF(ISNUMBER(MATCH(DATEVALUE($A311),'recurring1_based on steps'!G$1:G$400,0)),G$2,)</f>
        <v>0</v>
      </c>
      <c r="H311" s="140">
        <f ca="1">IF(ISNUMBER(MATCH(DATEVALUE($A311),'recurring1_based on steps'!H$1:H$400,0)),H$2,)</f>
        <v>0</v>
      </c>
      <c r="I311" s="140">
        <f ca="1">IF(ISNUMBER(MATCH(DATEVALUE($A311),'recurring1_based on steps'!I$1:I$400,0)),I$2,)</f>
        <v>0</v>
      </c>
      <c r="J311" s="140">
        <f ca="1">IF(ISNUMBER(MATCH(DATEVALUE($A311),'recurring1_based on steps'!J$1:J$400,0)),J$2,)</f>
        <v>0</v>
      </c>
      <c r="K311" s="140">
        <f ca="1">IF(ISNUMBER(MATCH(DATEVALUE($A311),'recurring1_based on steps'!K$1:K$400,0)),K$2,)</f>
        <v>0</v>
      </c>
      <c r="L311" s="140">
        <f ca="1">IF(ISNUMBER(MATCH(DATEVALUE($A311),'recurring1_based on steps'!L$1:L$400,0)),L$2,)</f>
        <v>0</v>
      </c>
      <c r="M311" s="140">
        <f ca="1">IF(ISNUMBER(MATCH(DATEVALUE($A311),'recurring1_based on steps'!M$1:M$400,0)),M$2,)</f>
        <v>0</v>
      </c>
      <c r="N311" s="140">
        <f ca="1">IF(ISNUMBER(MATCH(DATEVALUE($A311),'recurring1_based on steps'!N$1:N$400,0)),N$2,)</f>
        <v>0</v>
      </c>
      <c r="O311" s="140">
        <f ca="1">IF(ISNUMBER(MATCH(DATEVALUE($A311),'recurring1_based on steps'!O$1:O$400,0)),O$2,)</f>
        <v>0</v>
      </c>
      <c r="P311" s="140">
        <f ca="1">IF(ISNUMBER(MATCH(DATEVALUE($A311),'recurring1_based on steps'!P$1:P$400,0)),P$2,)</f>
        <v>0</v>
      </c>
      <c r="Q311" s="140">
        <f ca="1">IF(ISNUMBER(MATCH(DATEVALUE($A311),'recurring1_based on steps'!Q$1:Q$400,0)),Q$2,)</f>
        <v>0</v>
      </c>
      <c r="R311" s="140">
        <f ca="1">IF(ISNUMBER(MATCH(DATEVALUE($A311),'recurring1_based on steps'!R$1:R$400,0)),R$2,)</f>
        <v>0</v>
      </c>
      <c r="S311" s="140">
        <f ca="1">IF(ISNUMBER(MATCH(DATEVALUE($A311),'recurring1_based on steps'!S$1:S$400,0)),S$2,)</f>
        <v>0</v>
      </c>
      <c r="T311" s="140">
        <f ca="1">IF(ISNUMBER(MATCH(DATEVALUE($A311),'recurring1_based on steps'!T$1:T$400,0)),T$2,)</f>
        <v>0</v>
      </c>
      <c r="U311" s="140">
        <f ca="1">IF(ISNUMBER(MATCH(DATEVALUE($A311),'recurring1_based on steps'!U$1:U$400,0)),U$2,)</f>
        <v>0</v>
      </c>
      <c r="V311" s="140">
        <f ca="1">IF(ISNUMBER(MATCH(DATEVALUE($A311),'recurring1_based on steps'!V$1:V$400,0)),V$2,)</f>
        <v>0</v>
      </c>
      <c r="W311" s="140">
        <f ca="1">IF(ISNUMBER(MATCH(DATEVALUE($A311),'recurring1_based on steps'!W$1:W$400,0)),W$2,)</f>
        <v>0</v>
      </c>
      <c r="X311" s="140">
        <f ca="1">IF(ISNUMBER(MATCH(DATEVALUE($A311),'recurring1_based on steps'!X$1:X$400,0)),X$2,)</f>
        <v>0</v>
      </c>
      <c r="Y311" s="140">
        <f ca="1">IF(ISNUMBER(MATCH(DATEVALUE($A311),'recurring1_based on steps'!Y$1:Y$400,0)),Y$2,)</f>
        <v>0</v>
      </c>
      <c r="Z311" s="140">
        <f ca="1">IF(ISNUMBER(MATCH(DATEVALUE($A311),'recurring1_based on steps'!Z$1:Z$400,0)),Z$2,)</f>
        <v>0</v>
      </c>
      <c r="AA311" s="140">
        <f ca="1">IF(ISNUMBER(MATCH(DATEVALUE($A311),'recurring1_based on steps'!AA$1:AA$400,0)),AA$2,)</f>
        <v>0</v>
      </c>
      <c r="AB311" s="140">
        <f ca="1">IF(ISNUMBER(MATCH(DATEVALUE($A311),'recurring1_based on steps'!AB$1:AB$400,0)),AB$2,)</f>
        <v>5.5401662049861494E-2</v>
      </c>
      <c r="AC311" s="140">
        <f ca="1">IF(ISNUMBER(MATCH(DATEVALUE($A311),'recurring1_based on steps'!AC$1:AC$400,0)),AC$2,)</f>
        <v>0</v>
      </c>
      <c r="AD311" s="140">
        <f ca="1">IF(ISNUMBER(MATCH(DATEVALUE($A311),'recurring1_based on steps'!AD$1:AD$400,0)),AD$2,)</f>
        <v>0</v>
      </c>
      <c r="AE311" s="140">
        <f ca="1">IF(ISNUMBER(MATCH(DATEVALUE($A311),'recurring1_based on steps'!AE$1:AE$400,0)),AE$2,)</f>
        <v>0</v>
      </c>
      <c r="AF311" s="140">
        <f ca="1">IF(ISNUMBER(MATCH(DATEVALUE($A311),'recurring1_based on steps'!AF$1:AF$400,0)),AF$2,)</f>
        <v>0</v>
      </c>
      <c r="AG311" s="140">
        <f ca="1">IF(ISNUMBER(MATCH(DATEVALUE($A311),'recurring1_based on steps'!AG$1:AG$400,0)),AG$2,)</f>
        <v>0</v>
      </c>
      <c r="AH311" s="140">
        <f ca="1">IF(ISNUMBER(MATCH(DATEVALUE($A311),'recurring1_based on steps'!AH$1:AH$400,0)),AH$2,)</f>
        <v>0</v>
      </c>
      <c r="AI311" s="140">
        <f ca="1">IF(ISNUMBER(MATCH(DATEVALUE($A311),'recurring1_based on steps'!AI$1:AI$400,0)),AI$2,)</f>
        <v>0</v>
      </c>
      <c r="AJ311" s="140">
        <f ca="1">IF(ISNUMBER(MATCH(DATEVALUE($A311),'recurring1_based on steps'!AJ$1:AJ$400,0)),AJ$2,)</f>
        <v>0</v>
      </c>
      <c r="AK311" s="140">
        <f ca="1">IF(ISNUMBER(MATCH(DATEVALUE($A311),'recurring1_based on steps'!AK$1:AK$400,0)),AK$2,)</f>
        <v>0</v>
      </c>
      <c r="AL311" s="140">
        <f ca="1">IF(ISNUMBER(MATCH(DATEVALUE($A311),'recurring1_based on steps'!AL$1:AL$400,0)),AL$2,)</f>
        <v>0</v>
      </c>
      <c r="AM311" s="140">
        <f ca="1">IF(ISNUMBER(MATCH(DATEVALUE($A311),'recurring1_based on steps'!AM$1:AM$400,0)),AM$2,)</f>
        <v>0</v>
      </c>
      <c r="AN311" s="140">
        <f ca="1">IF(ISNUMBER(MATCH(DATEVALUE($A311),'recurring1_based on steps'!AN$1:AN$400,0)),AN$2,)</f>
        <v>0</v>
      </c>
      <c r="AO311" s="140">
        <f ca="1">IF(ISNUMBER(MATCH(DATEVALUE($A311),'recurring1_based on steps'!AO$1:AO$400,0)),AO$2,)</f>
        <v>0</v>
      </c>
      <c r="AP311" s="140">
        <f ca="1">IF(ISNUMBER(MATCH(DATEVALUE($A311),'recurring1_based on steps'!AP$1:AP$400,0)),AP$2,)</f>
        <v>0</v>
      </c>
      <c r="AQ311" s="140">
        <f ca="1">IF(ISNUMBER(MATCH(DATEVALUE($A311),'recurring1_based on steps'!AQ$1:AQ$400,0)),AQ$2,)</f>
        <v>0</v>
      </c>
      <c r="AR311" s="140">
        <f ca="1">IF(ISNUMBER(MATCH(DATEVALUE($A311),'recurring1_based on steps'!AR$1:AR$400,0)),AR$2,)</f>
        <v>0</v>
      </c>
      <c r="AS311" s="140">
        <f ca="1">IF(ISNUMBER(MATCH(DATEVALUE($A311),'recurring1_based on steps'!AS$1:AS$400,0)),AS$2,)</f>
        <v>0</v>
      </c>
      <c r="AT311" s="140">
        <f ca="1">IF(ISNUMBER(MATCH(DATEVALUE($A311),'recurring1_based on steps'!AT$1:AT$400,0)),AT$2,)</f>
        <v>0</v>
      </c>
      <c r="AU311" s="140">
        <f ca="1">IF(ISNUMBER(MATCH(DATEVALUE($A311),'recurring1_based on steps'!AU$1:AU$400,0)),AU$2,)</f>
        <v>0</v>
      </c>
      <c r="AV311" s="140">
        <f ca="1">IF(ISNUMBER(MATCH(DATEVALUE($A311),'recurring1_based on steps'!AV$1:AV$400,0)),AV$2,)</f>
        <v>0</v>
      </c>
      <c r="AW311" s="140">
        <f ca="1">IF(ISNUMBER(MATCH(DATEVALUE($A311),'recurring1_based on steps'!AW$1:AW$400,0)),AW$2,)</f>
        <v>0</v>
      </c>
      <c r="AX311" s="140">
        <f ca="1">IF(ISNUMBER(MATCH(DATEVALUE($A311),'recurring1_based on steps'!AX$1:AX$400,0)),AX$2,)</f>
        <v>0</v>
      </c>
      <c r="AY311" s="140">
        <f ca="1">IF(ISNUMBER(MATCH(DATEVALUE($A311),'recurring1_based on steps'!AY$1:AY$400,0)),AY$2,)</f>
        <v>0</v>
      </c>
    </row>
    <row r="312" spans="1:51" x14ac:dyDescent="0.2">
      <c r="A312" s="29" t="str">
        <f t="shared" ca="1" si="4"/>
        <v>2026-01-30</v>
      </c>
      <c r="B312" s="140">
        <f ca="1">IF(ISNUMBER(MATCH(DATEVALUE($A312),'recurring1_based on steps'!B$1:B$400,0)),B$2,)</f>
        <v>0</v>
      </c>
      <c r="C312" s="140">
        <f ca="1">IF(ISNUMBER(MATCH(DATEVALUE($A312),'recurring1_based on steps'!C$1:C$400,0)),C$2,)</f>
        <v>0</v>
      </c>
      <c r="D312" s="140">
        <f ca="1">IF(ISNUMBER(MATCH(DATEVALUE($A312),'recurring1_based on steps'!D$1:D$400,0)),D$2,)</f>
        <v>0</v>
      </c>
      <c r="E312" s="140">
        <f ca="1">IF(ISNUMBER(MATCH(DATEVALUE($A312),'recurring1_based on steps'!E$1:E$400,0)),E$2,)</f>
        <v>0</v>
      </c>
      <c r="F312" s="140">
        <f ca="1">IF(ISNUMBER(MATCH(DATEVALUE($A312),'recurring1_based on steps'!F$1:F$400,0)),F$2,)</f>
        <v>0</v>
      </c>
      <c r="G312" s="140">
        <f ca="1">IF(ISNUMBER(MATCH(DATEVALUE($A312),'recurring1_based on steps'!G$1:G$400,0)),G$2,)</f>
        <v>0</v>
      </c>
      <c r="H312" s="140">
        <f ca="1">IF(ISNUMBER(MATCH(DATEVALUE($A312),'recurring1_based on steps'!H$1:H$400,0)),H$2,)</f>
        <v>0</v>
      </c>
      <c r="I312" s="140">
        <f ca="1">IF(ISNUMBER(MATCH(DATEVALUE($A312),'recurring1_based on steps'!I$1:I$400,0)),I$2,)</f>
        <v>0</v>
      </c>
      <c r="J312" s="140">
        <f ca="1">IF(ISNUMBER(MATCH(DATEVALUE($A312),'recurring1_based on steps'!J$1:J$400,0)),J$2,)</f>
        <v>0</v>
      </c>
      <c r="K312" s="140">
        <f ca="1">IF(ISNUMBER(MATCH(DATEVALUE($A312),'recurring1_based on steps'!K$1:K$400,0)),K$2,)</f>
        <v>0</v>
      </c>
      <c r="L312" s="140">
        <f ca="1">IF(ISNUMBER(MATCH(DATEVALUE($A312),'recurring1_based on steps'!L$1:L$400,0)),L$2,)</f>
        <v>0</v>
      </c>
      <c r="M312" s="140">
        <f ca="1">IF(ISNUMBER(MATCH(DATEVALUE($A312),'recurring1_based on steps'!M$1:M$400,0)),M$2,)</f>
        <v>0</v>
      </c>
      <c r="N312" s="140">
        <f ca="1">IF(ISNUMBER(MATCH(DATEVALUE($A312),'recurring1_based on steps'!N$1:N$400,0)),N$2,)</f>
        <v>0</v>
      </c>
      <c r="O312" s="140">
        <f ca="1">IF(ISNUMBER(MATCH(DATEVALUE($A312),'recurring1_based on steps'!O$1:O$400,0)),O$2,)</f>
        <v>0</v>
      </c>
      <c r="P312" s="140">
        <f ca="1">IF(ISNUMBER(MATCH(DATEVALUE($A312),'recurring1_based on steps'!P$1:P$400,0)),P$2,)</f>
        <v>0</v>
      </c>
      <c r="Q312" s="140">
        <f ca="1">IF(ISNUMBER(MATCH(DATEVALUE($A312),'recurring1_based on steps'!Q$1:Q$400,0)),Q$2,)</f>
        <v>0</v>
      </c>
      <c r="R312" s="140">
        <f ca="1">IF(ISNUMBER(MATCH(DATEVALUE($A312),'recurring1_based on steps'!R$1:R$400,0)),R$2,)</f>
        <v>0</v>
      </c>
      <c r="S312" s="140">
        <f ca="1">IF(ISNUMBER(MATCH(DATEVALUE($A312),'recurring1_based on steps'!S$1:S$400,0)),S$2,)</f>
        <v>0</v>
      </c>
      <c r="T312" s="140">
        <f ca="1">IF(ISNUMBER(MATCH(DATEVALUE($A312),'recurring1_based on steps'!T$1:T$400,0)),T$2,)</f>
        <v>0</v>
      </c>
      <c r="U312" s="140">
        <f ca="1">IF(ISNUMBER(MATCH(DATEVALUE($A312),'recurring1_based on steps'!U$1:U$400,0)),U$2,)</f>
        <v>0</v>
      </c>
      <c r="V312" s="140">
        <f ca="1">IF(ISNUMBER(MATCH(DATEVALUE($A312),'recurring1_based on steps'!V$1:V$400,0)),V$2,)</f>
        <v>0</v>
      </c>
      <c r="W312" s="140">
        <f ca="1">IF(ISNUMBER(MATCH(DATEVALUE($A312),'recurring1_based on steps'!W$1:W$400,0)),W$2,)</f>
        <v>0</v>
      </c>
      <c r="X312" s="140">
        <f ca="1">IF(ISNUMBER(MATCH(DATEVALUE($A312),'recurring1_based on steps'!X$1:X$400,0)),X$2,)</f>
        <v>0</v>
      </c>
      <c r="Y312" s="140">
        <f ca="1">IF(ISNUMBER(MATCH(DATEVALUE($A312),'recurring1_based on steps'!Y$1:Y$400,0)),Y$2,)</f>
        <v>0</v>
      </c>
      <c r="Z312" s="140">
        <f ca="1">IF(ISNUMBER(MATCH(DATEVALUE($A312),'recurring1_based on steps'!Z$1:Z$400,0)),Z$2,)</f>
        <v>0</v>
      </c>
      <c r="AA312" s="140">
        <f ca="1">IF(ISNUMBER(MATCH(DATEVALUE($A312),'recurring1_based on steps'!AA$1:AA$400,0)),AA$2,)</f>
        <v>0</v>
      </c>
      <c r="AB312" s="140">
        <f ca="1">IF(ISNUMBER(MATCH(DATEVALUE($A312),'recurring1_based on steps'!AB$1:AB$400,0)),AB$2,)</f>
        <v>5.5401662049861494E-2</v>
      </c>
      <c r="AC312" s="140">
        <f ca="1">IF(ISNUMBER(MATCH(DATEVALUE($A312),'recurring1_based on steps'!AC$1:AC$400,0)),AC$2,)</f>
        <v>0</v>
      </c>
      <c r="AD312" s="140">
        <f ca="1">IF(ISNUMBER(MATCH(DATEVALUE($A312),'recurring1_based on steps'!AD$1:AD$400,0)),AD$2,)</f>
        <v>0</v>
      </c>
      <c r="AE312" s="140">
        <f ca="1">IF(ISNUMBER(MATCH(DATEVALUE($A312),'recurring1_based on steps'!AE$1:AE$400,0)),AE$2,)</f>
        <v>0</v>
      </c>
      <c r="AF312" s="140">
        <f ca="1">IF(ISNUMBER(MATCH(DATEVALUE($A312),'recurring1_based on steps'!AF$1:AF$400,0)),AF$2,)</f>
        <v>0</v>
      </c>
      <c r="AG312" s="140">
        <f ca="1">IF(ISNUMBER(MATCH(DATEVALUE($A312),'recurring1_based on steps'!AG$1:AG$400,0)),AG$2,)</f>
        <v>0</v>
      </c>
      <c r="AH312" s="140">
        <f ca="1">IF(ISNUMBER(MATCH(DATEVALUE($A312),'recurring1_based on steps'!AH$1:AH$400,0)),AH$2,)</f>
        <v>0</v>
      </c>
      <c r="AI312" s="140">
        <f ca="1">IF(ISNUMBER(MATCH(DATEVALUE($A312),'recurring1_based on steps'!AI$1:AI$400,0)),AI$2,)</f>
        <v>0</v>
      </c>
      <c r="AJ312" s="140">
        <f ca="1">IF(ISNUMBER(MATCH(DATEVALUE($A312),'recurring1_based on steps'!AJ$1:AJ$400,0)),AJ$2,)</f>
        <v>0</v>
      </c>
      <c r="AK312" s="140">
        <f ca="1">IF(ISNUMBER(MATCH(DATEVALUE($A312),'recurring1_based on steps'!AK$1:AK$400,0)),AK$2,)</f>
        <v>0</v>
      </c>
      <c r="AL312" s="140">
        <f ca="1">IF(ISNUMBER(MATCH(DATEVALUE($A312),'recurring1_based on steps'!AL$1:AL$400,0)),AL$2,)</f>
        <v>0</v>
      </c>
      <c r="AM312" s="140">
        <f ca="1">IF(ISNUMBER(MATCH(DATEVALUE($A312),'recurring1_based on steps'!AM$1:AM$400,0)),AM$2,)</f>
        <v>0</v>
      </c>
      <c r="AN312" s="140">
        <f ca="1">IF(ISNUMBER(MATCH(DATEVALUE($A312),'recurring1_based on steps'!AN$1:AN$400,0)),AN$2,)</f>
        <v>0</v>
      </c>
      <c r="AO312" s="140">
        <f ca="1">IF(ISNUMBER(MATCH(DATEVALUE($A312),'recurring1_based on steps'!AO$1:AO$400,0)),AO$2,)</f>
        <v>0</v>
      </c>
      <c r="AP312" s="140">
        <f ca="1">IF(ISNUMBER(MATCH(DATEVALUE($A312),'recurring1_based on steps'!AP$1:AP$400,0)),AP$2,)</f>
        <v>0</v>
      </c>
      <c r="AQ312" s="140">
        <f ca="1">IF(ISNUMBER(MATCH(DATEVALUE($A312),'recurring1_based on steps'!AQ$1:AQ$400,0)),AQ$2,)</f>
        <v>0</v>
      </c>
      <c r="AR312" s="140">
        <f ca="1">IF(ISNUMBER(MATCH(DATEVALUE($A312),'recurring1_based on steps'!AR$1:AR$400,0)),AR$2,)</f>
        <v>0</v>
      </c>
      <c r="AS312" s="140">
        <f ca="1">IF(ISNUMBER(MATCH(DATEVALUE($A312),'recurring1_based on steps'!AS$1:AS$400,0)),AS$2,)</f>
        <v>0</v>
      </c>
      <c r="AT312" s="140">
        <f ca="1">IF(ISNUMBER(MATCH(DATEVALUE($A312),'recurring1_based on steps'!AT$1:AT$400,0)),AT$2,)</f>
        <v>0</v>
      </c>
      <c r="AU312" s="140">
        <f ca="1">IF(ISNUMBER(MATCH(DATEVALUE($A312),'recurring1_based on steps'!AU$1:AU$400,0)),AU$2,)</f>
        <v>0</v>
      </c>
      <c r="AV312" s="140">
        <f ca="1">IF(ISNUMBER(MATCH(DATEVALUE($A312),'recurring1_based on steps'!AV$1:AV$400,0)),AV$2,)</f>
        <v>0</v>
      </c>
      <c r="AW312" s="140">
        <f ca="1">IF(ISNUMBER(MATCH(DATEVALUE($A312),'recurring1_based on steps'!AW$1:AW$400,0)),AW$2,)</f>
        <v>0</v>
      </c>
      <c r="AX312" s="140">
        <f ca="1">IF(ISNUMBER(MATCH(DATEVALUE($A312),'recurring1_based on steps'!AX$1:AX$400,0)),AX$2,)</f>
        <v>0</v>
      </c>
      <c r="AY312" s="140">
        <f ca="1">IF(ISNUMBER(MATCH(DATEVALUE($A312),'recurring1_based on steps'!AY$1:AY$400,0)),AY$2,)</f>
        <v>0</v>
      </c>
    </row>
    <row r="313" spans="1:51" x14ac:dyDescent="0.2">
      <c r="A313" s="29" t="str">
        <f t="shared" ca="1" si="4"/>
        <v>2026-01-31</v>
      </c>
      <c r="B313" s="140">
        <f ca="1">IF(ISNUMBER(MATCH(DATEVALUE($A313),'recurring1_based on steps'!B$1:B$400,0)),B$2,)</f>
        <v>0</v>
      </c>
      <c r="C313" s="140">
        <f ca="1">IF(ISNUMBER(MATCH(DATEVALUE($A313),'recurring1_based on steps'!C$1:C$400,0)),C$2,)</f>
        <v>0</v>
      </c>
      <c r="D313" s="140">
        <f ca="1">IF(ISNUMBER(MATCH(DATEVALUE($A313),'recurring1_based on steps'!D$1:D$400,0)),D$2,)</f>
        <v>0</v>
      </c>
      <c r="E313" s="140">
        <f ca="1">IF(ISNUMBER(MATCH(DATEVALUE($A313),'recurring1_based on steps'!E$1:E$400,0)),E$2,)</f>
        <v>0</v>
      </c>
      <c r="F313" s="140">
        <f ca="1">IF(ISNUMBER(MATCH(DATEVALUE($A313),'recurring1_based on steps'!F$1:F$400,0)),F$2,)</f>
        <v>0</v>
      </c>
      <c r="G313" s="140">
        <f ca="1">IF(ISNUMBER(MATCH(DATEVALUE($A313),'recurring1_based on steps'!G$1:G$400,0)),G$2,)</f>
        <v>0</v>
      </c>
      <c r="H313" s="140">
        <f ca="1">IF(ISNUMBER(MATCH(DATEVALUE($A313),'recurring1_based on steps'!H$1:H$400,0)),H$2,)</f>
        <v>40</v>
      </c>
      <c r="I313" s="140">
        <f ca="1">IF(ISNUMBER(MATCH(DATEVALUE($A313),'recurring1_based on steps'!I$1:I$400,0)),I$2,)</f>
        <v>0</v>
      </c>
      <c r="J313" s="140">
        <f ca="1">IF(ISNUMBER(MATCH(DATEVALUE($A313),'recurring1_based on steps'!J$1:J$400,0)),J$2,)</f>
        <v>0</v>
      </c>
      <c r="K313" s="140">
        <f ca="1">IF(ISNUMBER(MATCH(DATEVALUE($A313),'recurring1_based on steps'!K$1:K$400,0)),K$2,)</f>
        <v>0</v>
      </c>
      <c r="L313" s="140">
        <f ca="1">IF(ISNUMBER(MATCH(DATEVALUE($A313),'recurring1_based on steps'!L$1:L$400,0)),L$2,)</f>
        <v>0</v>
      </c>
      <c r="M313" s="140">
        <f ca="1">IF(ISNUMBER(MATCH(DATEVALUE($A313),'recurring1_based on steps'!M$1:M$400,0)),M$2,)</f>
        <v>0</v>
      </c>
      <c r="N313" s="140">
        <f ca="1">IF(ISNUMBER(MATCH(DATEVALUE($A313),'recurring1_based on steps'!N$1:N$400,0)),N$2,)</f>
        <v>0</v>
      </c>
      <c r="O313" s="140">
        <f ca="1">IF(ISNUMBER(MATCH(DATEVALUE($A313),'recurring1_based on steps'!O$1:O$400,0)),O$2,)</f>
        <v>0</v>
      </c>
      <c r="P313" s="140">
        <f ca="1">IF(ISNUMBER(MATCH(DATEVALUE($A313),'recurring1_based on steps'!P$1:P$400,0)),P$2,)</f>
        <v>0</v>
      </c>
      <c r="Q313" s="140">
        <f ca="1">IF(ISNUMBER(MATCH(DATEVALUE($A313),'recurring1_based on steps'!Q$1:Q$400,0)),Q$2,)</f>
        <v>100</v>
      </c>
      <c r="R313" s="140">
        <f ca="1">IF(ISNUMBER(MATCH(DATEVALUE($A313),'recurring1_based on steps'!R$1:R$400,0)),R$2,)</f>
        <v>100</v>
      </c>
      <c r="S313" s="140">
        <f ca="1">IF(ISNUMBER(MATCH(DATEVALUE($A313),'recurring1_based on steps'!S$1:S$400,0)),S$2,)</f>
        <v>0</v>
      </c>
      <c r="T313" s="140">
        <f ca="1">IF(ISNUMBER(MATCH(DATEVALUE($A313),'recurring1_based on steps'!T$1:T$400,0)),T$2,)</f>
        <v>0</v>
      </c>
      <c r="U313" s="140">
        <f ca="1">IF(ISNUMBER(MATCH(DATEVALUE($A313),'recurring1_based on steps'!U$1:U$400,0)),U$2,)</f>
        <v>0</v>
      </c>
      <c r="V313" s="140">
        <f ca="1">IF(ISNUMBER(MATCH(DATEVALUE($A313),'recurring1_based on steps'!V$1:V$400,0)),V$2,)</f>
        <v>0</v>
      </c>
      <c r="W313" s="140">
        <f ca="1">IF(ISNUMBER(MATCH(DATEVALUE($A313),'recurring1_based on steps'!W$1:W$400,0)),W$2,)</f>
        <v>100</v>
      </c>
      <c r="X313" s="140">
        <f ca="1">IF(ISNUMBER(MATCH(DATEVALUE($A313),'recurring1_based on steps'!X$1:X$400,0)),X$2,)</f>
        <v>0</v>
      </c>
      <c r="Y313" s="140">
        <f ca="1">IF(ISNUMBER(MATCH(DATEVALUE($A313),'recurring1_based on steps'!Y$1:Y$400,0)),Y$2,)</f>
        <v>0</v>
      </c>
      <c r="Z313" s="140">
        <f ca="1">IF(ISNUMBER(MATCH(DATEVALUE($A313),'recurring1_based on steps'!Z$1:Z$400,0)),Z$2,)</f>
        <v>0</v>
      </c>
      <c r="AA313" s="140">
        <f ca="1">IF(ISNUMBER(MATCH(DATEVALUE($A313),'recurring1_based on steps'!AA$1:AA$400,0)),AA$2,)</f>
        <v>0</v>
      </c>
      <c r="AB313" s="140">
        <f ca="1">IF(ISNUMBER(MATCH(DATEVALUE($A313),'recurring1_based on steps'!AB$1:AB$400,0)),AB$2,)</f>
        <v>5.5401662049861494E-2</v>
      </c>
      <c r="AC313" s="140">
        <f ca="1">IF(ISNUMBER(MATCH(DATEVALUE($A313),'recurring1_based on steps'!AC$1:AC$400,0)),AC$2,)</f>
        <v>0</v>
      </c>
      <c r="AD313" s="140">
        <f ca="1">IF(ISNUMBER(MATCH(DATEVALUE($A313),'recurring1_based on steps'!AD$1:AD$400,0)),AD$2,)</f>
        <v>0</v>
      </c>
      <c r="AE313" s="140">
        <f ca="1">IF(ISNUMBER(MATCH(DATEVALUE($A313),'recurring1_based on steps'!AE$1:AE$400,0)),AE$2,)</f>
        <v>0</v>
      </c>
      <c r="AF313" s="140">
        <f ca="1">IF(ISNUMBER(MATCH(DATEVALUE($A313),'recurring1_based on steps'!AF$1:AF$400,0)),AF$2,)</f>
        <v>0</v>
      </c>
      <c r="AG313" s="140">
        <f ca="1">IF(ISNUMBER(MATCH(DATEVALUE($A313),'recurring1_based on steps'!AG$1:AG$400,0)),AG$2,)</f>
        <v>0</v>
      </c>
      <c r="AH313" s="140">
        <f ca="1">IF(ISNUMBER(MATCH(DATEVALUE($A313),'recurring1_based on steps'!AH$1:AH$400,0)),AH$2,)</f>
        <v>0</v>
      </c>
      <c r="AI313" s="140">
        <f ca="1">IF(ISNUMBER(MATCH(DATEVALUE($A313),'recurring1_based on steps'!AI$1:AI$400,0)),AI$2,)</f>
        <v>0</v>
      </c>
      <c r="AJ313" s="140">
        <f ca="1">IF(ISNUMBER(MATCH(DATEVALUE($A313),'recurring1_based on steps'!AJ$1:AJ$400,0)),AJ$2,)</f>
        <v>0</v>
      </c>
      <c r="AK313" s="140">
        <f ca="1">IF(ISNUMBER(MATCH(DATEVALUE($A313),'recurring1_based on steps'!AK$1:AK$400,0)),AK$2,)</f>
        <v>0</v>
      </c>
      <c r="AL313" s="140">
        <f ca="1">IF(ISNUMBER(MATCH(DATEVALUE($A313),'recurring1_based on steps'!AL$1:AL$400,0)),AL$2,)</f>
        <v>0</v>
      </c>
      <c r="AM313" s="140">
        <f ca="1">IF(ISNUMBER(MATCH(DATEVALUE($A313),'recurring1_based on steps'!AM$1:AM$400,0)),AM$2,)</f>
        <v>0</v>
      </c>
      <c r="AN313" s="140">
        <f ca="1">IF(ISNUMBER(MATCH(DATEVALUE($A313),'recurring1_based on steps'!AN$1:AN$400,0)),AN$2,)</f>
        <v>0</v>
      </c>
      <c r="AO313" s="140">
        <f ca="1">IF(ISNUMBER(MATCH(DATEVALUE($A313),'recurring1_based on steps'!AO$1:AO$400,0)),AO$2,)</f>
        <v>0</v>
      </c>
      <c r="AP313" s="140">
        <f ca="1">IF(ISNUMBER(MATCH(DATEVALUE($A313),'recurring1_based on steps'!AP$1:AP$400,0)),AP$2,)</f>
        <v>0</v>
      </c>
      <c r="AQ313" s="140">
        <f ca="1">IF(ISNUMBER(MATCH(DATEVALUE($A313),'recurring1_based on steps'!AQ$1:AQ$400,0)),AQ$2,)</f>
        <v>0</v>
      </c>
      <c r="AR313" s="140">
        <f ca="1">IF(ISNUMBER(MATCH(DATEVALUE($A313),'recurring1_based on steps'!AR$1:AR$400,0)),AR$2,)</f>
        <v>0</v>
      </c>
      <c r="AS313" s="140">
        <f ca="1">IF(ISNUMBER(MATCH(DATEVALUE($A313),'recurring1_based on steps'!AS$1:AS$400,0)),AS$2,)</f>
        <v>0</v>
      </c>
      <c r="AT313" s="140">
        <f ca="1">IF(ISNUMBER(MATCH(DATEVALUE($A313),'recurring1_based on steps'!AT$1:AT$400,0)),AT$2,)</f>
        <v>0</v>
      </c>
      <c r="AU313" s="140">
        <f ca="1">IF(ISNUMBER(MATCH(DATEVALUE($A313),'recurring1_based on steps'!AU$1:AU$400,0)),AU$2,)</f>
        <v>0</v>
      </c>
      <c r="AV313" s="140">
        <f ca="1">IF(ISNUMBER(MATCH(DATEVALUE($A313),'recurring1_based on steps'!AV$1:AV$400,0)),AV$2,)</f>
        <v>0</v>
      </c>
      <c r="AW313" s="140">
        <f ca="1">IF(ISNUMBER(MATCH(DATEVALUE($A313),'recurring1_based on steps'!AW$1:AW$400,0)),AW$2,)</f>
        <v>0</v>
      </c>
      <c r="AX313" s="140">
        <f ca="1">IF(ISNUMBER(MATCH(DATEVALUE($A313),'recurring1_based on steps'!AX$1:AX$400,0)),AX$2,)</f>
        <v>0</v>
      </c>
      <c r="AY313" s="140">
        <f ca="1">IF(ISNUMBER(MATCH(DATEVALUE($A313),'recurring1_based on steps'!AY$1:AY$400,0)),AY$2,)</f>
        <v>0</v>
      </c>
    </row>
    <row r="314" spans="1:51" x14ac:dyDescent="0.2">
      <c r="A314" s="29" t="str">
        <f t="shared" ca="1" si="4"/>
        <v>2026-02-01</v>
      </c>
      <c r="B314" s="140">
        <f ca="1">IF(ISNUMBER(MATCH(DATEVALUE($A314),'recurring1_based on steps'!B$1:B$400,0)),B$2,)</f>
        <v>0</v>
      </c>
      <c r="C314" s="140">
        <f ca="1">IF(ISNUMBER(MATCH(DATEVALUE($A314),'recurring1_based on steps'!C$1:C$400,0)),C$2,)</f>
        <v>0</v>
      </c>
      <c r="D314" s="140">
        <f ca="1">IF(ISNUMBER(MATCH(DATEVALUE($A314),'recurring1_based on steps'!D$1:D$400,0)),D$2,)</f>
        <v>0</v>
      </c>
      <c r="E314" s="140">
        <f ca="1">IF(ISNUMBER(MATCH(DATEVALUE($A314),'recurring1_based on steps'!E$1:E$400,0)),E$2,)</f>
        <v>0</v>
      </c>
      <c r="F314" s="140">
        <f ca="1">IF(ISNUMBER(MATCH(DATEVALUE($A314),'recurring1_based on steps'!F$1:F$400,0)),F$2,)</f>
        <v>0</v>
      </c>
      <c r="G314" s="140">
        <f ca="1">IF(ISNUMBER(MATCH(DATEVALUE($A314),'recurring1_based on steps'!G$1:G$400,0)),G$2,)</f>
        <v>0</v>
      </c>
      <c r="H314" s="140">
        <f ca="1">IF(ISNUMBER(MATCH(DATEVALUE($A314),'recurring1_based on steps'!H$1:H$400,0)),H$2,)</f>
        <v>0</v>
      </c>
      <c r="I314" s="140">
        <f ca="1">IF(ISNUMBER(MATCH(DATEVALUE($A314),'recurring1_based on steps'!I$1:I$400,0)),I$2,)</f>
        <v>2000</v>
      </c>
      <c r="J314" s="140">
        <f ca="1">IF(ISNUMBER(MATCH(DATEVALUE($A314),'recurring1_based on steps'!J$1:J$400,0)),J$2,)</f>
        <v>0</v>
      </c>
      <c r="K314" s="140">
        <f ca="1">IF(ISNUMBER(MATCH(DATEVALUE($A314),'recurring1_based on steps'!K$1:K$400,0)),K$2,)</f>
        <v>50</v>
      </c>
      <c r="L314" s="140">
        <f ca="1">IF(ISNUMBER(MATCH(DATEVALUE($A314),'recurring1_based on steps'!L$1:L$400,0)),L$2,)</f>
        <v>0</v>
      </c>
      <c r="M314" s="140">
        <f ca="1">IF(ISNUMBER(MATCH(DATEVALUE($A314),'recurring1_based on steps'!M$1:M$400,0)),M$2,)</f>
        <v>0</v>
      </c>
      <c r="N314" s="140">
        <f ca="1">IF(ISNUMBER(MATCH(DATEVALUE($A314),'recurring1_based on steps'!N$1:N$400,0)),N$2,)</f>
        <v>0</v>
      </c>
      <c r="O314" s="140">
        <f ca="1">IF(ISNUMBER(MATCH(DATEVALUE($A314),'recurring1_based on steps'!O$1:O$400,0)),O$2,)</f>
        <v>0</v>
      </c>
      <c r="P314" s="140">
        <f ca="1">IF(ISNUMBER(MATCH(DATEVALUE($A314),'recurring1_based on steps'!P$1:P$400,0)),P$2,)</f>
        <v>0</v>
      </c>
      <c r="Q314" s="140">
        <f ca="1">IF(ISNUMBER(MATCH(DATEVALUE($A314),'recurring1_based on steps'!Q$1:Q$400,0)),Q$2,)</f>
        <v>0</v>
      </c>
      <c r="R314" s="140">
        <f ca="1">IF(ISNUMBER(MATCH(DATEVALUE($A314),'recurring1_based on steps'!R$1:R$400,0)),R$2,)</f>
        <v>0</v>
      </c>
      <c r="S314" s="140">
        <f ca="1">IF(ISNUMBER(MATCH(DATEVALUE($A314),'recurring1_based on steps'!S$1:S$400,0)),S$2,)</f>
        <v>100</v>
      </c>
      <c r="T314" s="140">
        <f ca="1">IF(ISNUMBER(MATCH(DATEVALUE($A314),'recurring1_based on steps'!T$1:T$400,0)),T$2,)</f>
        <v>0</v>
      </c>
      <c r="U314" s="140">
        <f ca="1">IF(ISNUMBER(MATCH(DATEVALUE($A314),'recurring1_based on steps'!U$1:U$400,0)),U$2,)</f>
        <v>0</v>
      </c>
      <c r="V314" s="140">
        <f ca="1">IF(ISNUMBER(MATCH(DATEVALUE($A314),'recurring1_based on steps'!V$1:V$400,0)),V$2,)</f>
        <v>0</v>
      </c>
      <c r="W314" s="140">
        <f ca="1">IF(ISNUMBER(MATCH(DATEVALUE($A314),'recurring1_based on steps'!W$1:W$400,0)),W$2,)</f>
        <v>0</v>
      </c>
      <c r="X314" s="140">
        <f ca="1">IF(ISNUMBER(MATCH(DATEVALUE($A314),'recurring1_based on steps'!X$1:X$400,0)),X$2,)</f>
        <v>0</v>
      </c>
      <c r="Y314" s="140">
        <f ca="1">IF(ISNUMBER(MATCH(DATEVALUE($A314),'recurring1_based on steps'!Y$1:Y$400,0)),Y$2,)</f>
        <v>0</v>
      </c>
      <c r="Z314" s="140">
        <f ca="1">IF(ISNUMBER(MATCH(DATEVALUE($A314),'recurring1_based on steps'!Z$1:Z$400,0)),Z$2,)</f>
        <v>0</v>
      </c>
      <c r="AA314" s="140">
        <f ca="1">IF(ISNUMBER(MATCH(DATEVALUE($A314),'recurring1_based on steps'!AA$1:AA$400,0)),AA$2,)</f>
        <v>0</v>
      </c>
      <c r="AB314" s="140">
        <f ca="1">IF(ISNUMBER(MATCH(DATEVALUE($A314),'recurring1_based on steps'!AB$1:AB$400,0)),AB$2,)</f>
        <v>5.5401662049861494E-2</v>
      </c>
      <c r="AC314" s="140">
        <f ca="1">IF(ISNUMBER(MATCH(DATEVALUE($A314),'recurring1_based on steps'!AC$1:AC$400,0)),AC$2,)</f>
        <v>0</v>
      </c>
      <c r="AD314" s="140">
        <f ca="1">IF(ISNUMBER(MATCH(DATEVALUE($A314),'recurring1_based on steps'!AD$1:AD$400,0)),AD$2,)</f>
        <v>0</v>
      </c>
      <c r="AE314" s="140">
        <f ca="1">IF(ISNUMBER(MATCH(DATEVALUE($A314),'recurring1_based on steps'!AE$1:AE$400,0)),AE$2,)</f>
        <v>0</v>
      </c>
      <c r="AF314" s="140">
        <f ca="1">IF(ISNUMBER(MATCH(DATEVALUE($A314),'recurring1_based on steps'!AF$1:AF$400,0)),AF$2,)</f>
        <v>0</v>
      </c>
      <c r="AG314" s="140">
        <f ca="1">IF(ISNUMBER(MATCH(DATEVALUE($A314),'recurring1_based on steps'!AG$1:AG$400,0)),AG$2,)</f>
        <v>0</v>
      </c>
      <c r="AH314" s="140">
        <f ca="1">IF(ISNUMBER(MATCH(DATEVALUE($A314),'recurring1_based on steps'!AH$1:AH$400,0)),AH$2,)</f>
        <v>0</v>
      </c>
      <c r="AI314" s="140">
        <f ca="1">IF(ISNUMBER(MATCH(DATEVALUE($A314),'recurring1_based on steps'!AI$1:AI$400,0)),AI$2,)</f>
        <v>0</v>
      </c>
      <c r="AJ314" s="140">
        <f ca="1">IF(ISNUMBER(MATCH(DATEVALUE($A314),'recurring1_based on steps'!AJ$1:AJ$400,0)),AJ$2,)</f>
        <v>0</v>
      </c>
      <c r="AK314" s="140">
        <f ca="1">IF(ISNUMBER(MATCH(DATEVALUE($A314),'recurring1_based on steps'!AK$1:AK$400,0)),AK$2,)</f>
        <v>0</v>
      </c>
      <c r="AL314" s="140">
        <f ca="1">IF(ISNUMBER(MATCH(DATEVALUE($A314),'recurring1_based on steps'!AL$1:AL$400,0)),AL$2,)</f>
        <v>0</v>
      </c>
      <c r="AM314" s="140">
        <f ca="1">IF(ISNUMBER(MATCH(DATEVALUE($A314),'recurring1_based on steps'!AM$1:AM$400,0)),AM$2,)</f>
        <v>0</v>
      </c>
      <c r="AN314" s="140">
        <f ca="1">IF(ISNUMBER(MATCH(DATEVALUE($A314),'recurring1_based on steps'!AN$1:AN$400,0)),AN$2,)</f>
        <v>0</v>
      </c>
      <c r="AO314" s="140">
        <f ca="1">IF(ISNUMBER(MATCH(DATEVALUE($A314),'recurring1_based on steps'!AO$1:AO$400,0)),AO$2,)</f>
        <v>0</v>
      </c>
      <c r="AP314" s="140">
        <f ca="1">IF(ISNUMBER(MATCH(DATEVALUE($A314),'recurring1_based on steps'!AP$1:AP$400,0)),AP$2,)</f>
        <v>0</v>
      </c>
      <c r="AQ314" s="140">
        <f ca="1">IF(ISNUMBER(MATCH(DATEVALUE($A314),'recurring1_based on steps'!AQ$1:AQ$400,0)),AQ$2,)</f>
        <v>0</v>
      </c>
      <c r="AR314" s="140">
        <f ca="1">IF(ISNUMBER(MATCH(DATEVALUE($A314),'recurring1_based on steps'!AR$1:AR$400,0)),AR$2,)</f>
        <v>0</v>
      </c>
      <c r="AS314" s="140">
        <f ca="1">IF(ISNUMBER(MATCH(DATEVALUE($A314),'recurring1_based on steps'!AS$1:AS$400,0)),AS$2,)</f>
        <v>0</v>
      </c>
      <c r="AT314" s="140">
        <f ca="1">IF(ISNUMBER(MATCH(DATEVALUE($A314),'recurring1_based on steps'!AT$1:AT$400,0)),AT$2,)</f>
        <v>0</v>
      </c>
      <c r="AU314" s="140">
        <f ca="1">IF(ISNUMBER(MATCH(DATEVALUE($A314),'recurring1_based on steps'!AU$1:AU$400,0)),AU$2,)</f>
        <v>0</v>
      </c>
      <c r="AV314" s="140">
        <f ca="1">IF(ISNUMBER(MATCH(DATEVALUE($A314),'recurring1_based on steps'!AV$1:AV$400,0)),AV$2,)</f>
        <v>0</v>
      </c>
      <c r="AW314" s="140">
        <f ca="1">IF(ISNUMBER(MATCH(DATEVALUE($A314),'recurring1_based on steps'!AW$1:AW$400,0)),AW$2,)</f>
        <v>0</v>
      </c>
      <c r="AX314" s="140">
        <f ca="1">IF(ISNUMBER(MATCH(DATEVALUE($A314),'recurring1_based on steps'!AX$1:AX$400,0)),AX$2,)</f>
        <v>0</v>
      </c>
      <c r="AY314" s="140">
        <f ca="1">IF(ISNUMBER(MATCH(DATEVALUE($A314),'recurring1_based on steps'!AY$1:AY$400,0)),AY$2,)</f>
        <v>0</v>
      </c>
    </row>
    <row r="315" spans="1:51" x14ac:dyDescent="0.2">
      <c r="A315" s="29" t="str">
        <f t="shared" ca="1" si="4"/>
        <v>2026-02-02</v>
      </c>
      <c r="B315" s="140">
        <f ca="1">IF(ISNUMBER(MATCH(DATEVALUE($A315),'recurring1_based on steps'!B$1:B$400,0)),B$2,)</f>
        <v>0</v>
      </c>
      <c r="C315" s="140">
        <f ca="1">IF(ISNUMBER(MATCH(DATEVALUE($A315),'recurring1_based on steps'!C$1:C$400,0)),C$2,)</f>
        <v>0</v>
      </c>
      <c r="D315" s="140">
        <f ca="1">IF(ISNUMBER(MATCH(DATEVALUE($A315),'recurring1_based on steps'!D$1:D$400,0)),D$2,)</f>
        <v>0</v>
      </c>
      <c r="E315" s="140">
        <f ca="1">IF(ISNUMBER(MATCH(DATEVALUE($A315),'recurring1_based on steps'!E$1:E$400,0)),E$2,)</f>
        <v>0</v>
      </c>
      <c r="F315" s="140">
        <f ca="1">IF(ISNUMBER(MATCH(DATEVALUE($A315),'recurring1_based on steps'!F$1:F$400,0)),F$2,)</f>
        <v>0</v>
      </c>
      <c r="G315" s="140">
        <f ca="1">IF(ISNUMBER(MATCH(DATEVALUE($A315),'recurring1_based on steps'!G$1:G$400,0)),G$2,)</f>
        <v>0</v>
      </c>
      <c r="H315" s="140">
        <f ca="1">IF(ISNUMBER(MATCH(DATEVALUE($A315),'recurring1_based on steps'!H$1:H$400,0)),H$2,)</f>
        <v>0</v>
      </c>
      <c r="I315" s="140">
        <f ca="1">IF(ISNUMBER(MATCH(DATEVALUE($A315),'recurring1_based on steps'!I$1:I$400,0)),I$2,)</f>
        <v>0</v>
      </c>
      <c r="J315" s="140">
        <f ca="1">IF(ISNUMBER(MATCH(DATEVALUE($A315),'recurring1_based on steps'!J$1:J$400,0)),J$2,)</f>
        <v>0</v>
      </c>
      <c r="K315" s="140">
        <f ca="1">IF(ISNUMBER(MATCH(DATEVALUE($A315),'recurring1_based on steps'!K$1:K$400,0)),K$2,)</f>
        <v>0</v>
      </c>
      <c r="L315" s="140">
        <f ca="1">IF(ISNUMBER(MATCH(DATEVALUE($A315),'recurring1_based on steps'!L$1:L$400,0)),L$2,)</f>
        <v>0</v>
      </c>
      <c r="M315" s="140">
        <f ca="1">IF(ISNUMBER(MATCH(DATEVALUE($A315),'recurring1_based on steps'!M$1:M$400,0)),M$2,)</f>
        <v>0</v>
      </c>
      <c r="N315" s="140">
        <f ca="1">IF(ISNUMBER(MATCH(DATEVALUE($A315),'recurring1_based on steps'!N$1:N$400,0)),N$2,)</f>
        <v>0</v>
      </c>
      <c r="O315" s="140">
        <f ca="1">IF(ISNUMBER(MATCH(DATEVALUE($A315),'recurring1_based on steps'!O$1:O$400,0)),O$2,)</f>
        <v>0</v>
      </c>
      <c r="P315" s="140">
        <f ca="1">IF(ISNUMBER(MATCH(DATEVALUE($A315),'recurring1_based on steps'!P$1:P$400,0)),P$2,)</f>
        <v>0</v>
      </c>
      <c r="Q315" s="140">
        <f ca="1">IF(ISNUMBER(MATCH(DATEVALUE($A315),'recurring1_based on steps'!Q$1:Q$400,0)),Q$2,)</f>
        <v>0</v>
      </c>
      <c r="R315" s="140">
        <f ca="1">IF(ISNUMBER(MATCH(DATEVALUE($A315),'recurring1_based on steps'!R$1:R$400,0)),R$2,)</f>
        <v>0</v>
      </c>
      <c r="S315" s="140">
        <f ca="1">IF(ISNUMBER(MATCH(DATEVALUE($A315),'recurring1_based on steps'!S$1:S$400,0)),S$2,)</f>
        <v>0</v>
      </c>
      <c r="T315" s="140">
        <f ca="1">IF(ISNUMBER(MATCH(DATEVALUE($A315),'recurring1_based on steps'!T$1:T$400,0)),T$2,)</f>
        <v>0</v>
      </c>
      <c r="U315" s="140">
        <f ca="1">IF(ISNUMBER(MATCH(DATEVALUE($A315),'recurring1_based on steps'!U$1:U$400,0)),U$2,)</f>
        <v>0</v>
      </c>
      <c r="V315" s="140">
        <f ca="1">IF(ISNUMBER(MATCH(DATEVALUE($A315),'recurring1_based on steps'!V$1:V$400,0)),V$2,)</f>
        <v>0</v>
      </c>
      <c r="W315" s="140">
        <f ca="1">IF(ISNUMBER(MATCH(DATEVALUE($A315),'recurring1_based on steps'!W$1:W$400,0)),W$2,)</f>
        <v>0</v>
      </c>
      <c r="X315" s="140">
        <f ca="1">IF(ISNUMBER(MATCH(DATEVALUE($A315),'recurring1_based on steps'!X$1:X$400,0)),X$2,)</f>
        <v>0</v>
      </c>
      <c r="Y315" s="140">
        <f ca="1">IF(ISNUMBER(MATCH(DATEVALUE($A315),'recurring1_based on steps'!Y$1:Y$400,0)),Y$2,)</f>
        <v>0</v>
      </c>
      <c r="Z315" s="140">
        <f ca="1">IF(ISNUMBER(MATCH(DATEVALUE($A315),'recurring1_based on steps'!Z$1:Z$400,0)),Z$2,)</f>
        <v>0</v>
      </c>
      <c r="AA315" s="140">
        <f ca="1">IF(ISNUMBER(MATCH(DATEVALUE($A315),'recurring1_based on steps'!AA$1:AA$400,0)),AA$2,)</f>
        <v>0</v>
      </c>
      <c r="AB315" s="140">
        <f ca="1">IF(ISNUMBER(MATCH(DATEVALUE($A315),'recurring1_based on steps'!AB$1:AB$400,0)),AB$2,)</f>
        <v>5.5401662049861494E-2</v>
      </c>
      <c r="AC315" s="140">
        <f ca="1">IF(ISNUMBER(MATCH(DATEVALUE($A315),'recurring1_based on steps'!AC$1:AC$400,0)),AC$2,)</f>
        <v>0</v>
      </c>
      <c r="AD315" s="140">
        <f ca="1">IF(ISNUMBER(MATCH(DATEVALUE($A315),'recurring1_based on steps'!AD$1:AD$400,0)),AD$2,)</f>
        <v>0</v>
      </c>
      <c r="AE315" s="140">
        <f ca="1">IF(ISNUMBER(MATCH(DATEVALUE($A315),'recurring1_based on steps'!AE$1:AE$400,0)),AE$2,)</f>
        <v>0</v>
      </c>
      <c r="AF315" s="140">
        <f ca="1">IF(ISNUMBER(MATCH(DATEVALUE($A315),'recurring1_based on steps'!AF$1:AF$400,0)),AF$2,)</f>
        <v>0</v>
      </c>
      <c r="AG315" s="140">
        <f ca="1">IF(ISNUMBER(MATCH(DATEVALUE($A315),'recurring1_based on steps'!AG$1:AG$400,0)),AG$2,)</f>
        <v>0</v>
      </c>
      <c r="AH315" s="140">
        <f ca="1">IF(ISNUMBER(MATCH(DATEVALUE($A315),'recurring1_based on steps'!AH$1:AH$400,0)),AH$2,)</f>
        <v>0</v>
      </c>
      <c r="AI315" s="140">
        <f ca="1">IF(ISNUMBER(MATCH(DATEVALUE($A315),'recurring1_based on steps'!AI$1:AI$400,0)),AI$2,)</f>
        <v>0</v>
      </c>
      <c r="AJ315" s="140">
        <f ca="1">IF(ISNUMBER(MATCH(DATEVALUE($A315),'recurring1_based on steps'!AJ$1:AJ$400,0)),AJ$2,)</f>
        <v>0</v>
      </c>
      <c r="AK315" s="140">
        <f ca="1">IF(ISNUMBER(MATCH(DATEVALUE($A315),'recurring1_based on steps'!AK$1:AK$400,0)),AK$2,)</f>
        <v>0</v>
      </c>
      <c r="AL315" s="140">
        <f ca="1">IF(ISNUMBER(MATCH(DATEVALUE($A315),'recurring1_based on steps'!AL$1:AL$400,0)),AL$2,)</f>
        <v>0</v>
      </c>
      <c r="AM315" s="140">
        <f ca="1">IF(ISNUMBER(MATCH(DATEVALUE($A315),'recurring1_based on steps'!AM$1:AM$400,0)),AM$2,)</f>
        <v>0</v>
      </c>
      <c r="AN315" s="140">
        <f ca="1">IF(ISNUMBER(MATCH(DATEVALUE($A315),'recurring1_based on steps'!AN$1:AN$400,0)),AN$2,)</f>
        <v>0</v>
      </c>
      <c r="AO315" s="140">
        <f ca="1">IF(ISNUMBER(MATCH(DATEVALUE($A315),'recurring1_based on steps'!AO$1:AO$400,0)),AO$2,)</f>
        <v>0</v>
      </c>
      <c r="AP315" s="140">
        <f ca="1">IF(ISNUMBER(MATCH(DATEVALUE($A315),'recurring1_based on steps'!AP$1:AP$400,0)),AP$2,)</f>
        <v>0</v>
      </c>
      <c r="AQ315" s="140">
        <f ca="1">IF(ISNUMBER(MATCH(DATEVALUE($A315),'recurring1_based on steps'!AQ$1:AQ$400,0)),AQ$2,)</f>
        <v>0</v>
      </c>
      <c r="AR315" s="140">
        <f ca="1">IF(ISNUMBER(MATCH(DATEVALUE($A315),'recurring1_based on steps'!AR$1:AR$400,0)),AR$2,)</f>
        <v>0</v>
      </c>
      <c r="AS315" s="140">
        <f ca="1">IF(ISNUMBER(MATCH(DATEVALUE($A315),'recurring1_based on steps'!AS$1:AS$400,0)),AS$2,)</f>
        <v>0</v>
      </c>
      <c r="AT315" s="140">
        <f ca="1">IF(ISNUMBER(MATCH(DATEVALUE($A315),'recurring1_based on steps'!AT$1:AT$400,0)),AT$2,)</f>
        <v>0</v>
      </c>
      <c r="AU315" s="140">
        <f ca="1">IF(ISNUMBER(MATCH(DATEVALUE($A315),'recurring1_based on steps'!AU$1:AU$400,0)),AU$2,)</f>
        <v>0</v>
      </c>
      <c r="AV315" s="140">
        <f ca="1">IF(ISNUMBER(MATCH(DATEVALUE($A315),'recurring1_based on steps'!AV$1:AV$400,0)),AV$2,)</f>
        <v>0</v>
      </c>
      <c r="AW315" s="140">
        <f ca="1">IF(ISNUMBER(MATCH(DATEVALUE($A315),'recurring1_based on steps'!AW$1:AW$400,0)),AW$2,)</f>
        <v>0</v>
      </c>
      <c r="AX315" s="140">
        <f ca="1">IF(ISNUMBER(MATCH(DATEVALUE($A315),'recurring1_based on steps'!AX$1:AX$400,0)),AX$2,)</f>
        <v>0</v>
      </c>
      <c r="AY315" s="140">
        <f ca="1">IF(ISNUMBER(MATCH(DATEVALUE($A315),'recurring1_based on steps'!AY$1:AY$400,0)),AY$2,)</f>
        <v>0</v>
      </c>
    </row>
    <row r="316" spans="1:51" x14ac:dyDescent="0.2">
      <c r="A316" s="29" t="str">
        <f t="shared" ca="1" si="4"/>
        <v>2026-02-03</v>
      </c>
      <c r="B316" s="140">
        <f ca="1">IF(ISNUMBER(MATCH(DATEVALUE($A316),'recurring1_based on steps'!B$1:B$400,0)),B$2,)</f>
        <v>0</v>
      </c>
      <c r="C316" s="140">
        <f ca="1">IF(ISNUMBER(MATCH(DATEVALUE($A316),'recurring1_based on steps'!C$1:C$400,0)),C$2,)</f>
        <v>0</v>
      </c>
      <c r="D316" s="140">
        <f ca="1">IF(ISNUMBER(MATCH(DATEVALUE($A316),'recurring1_based on steps'!D$1:D$400,0)),D$2,)</f>
        <v>0</v>
      </c>
      <c r="E316" s="140">
        <f ca="1">IF(ISNUMBER(MATCH(DATEVALUE($A316),'recurring1_based on steps'!E$1:E$400,0)),E$2,)</f>
        <v>0</v>
      </c>
      <c r="F316" s="140">
        <f ca="1">IF(ISNUMBER(MATCH(DATEVALUE($A316),'recurring1_based on steps'!F$1:F$400,0)),F$2,)</f>
        <v>0</v>
      </c>
      <c r="G316" s="140">
        <f ca="1">IF(ISNUMBER(MATCH(DATEVALUE($A316),'recurring1_based on steps'!G$1:G$400,0)),G$2,)</f>
        <v>0</v>
      </c>
      <c r="H316" s="140">
        <f ca="1">IF(ISNUMBER(MATCH(DATEVALUE($A316),'recurring1_based on steps'!H$1:H$400,0)),H$2,)</f>
        <v>0</v>
      </c>
      <c r="I316" s="140">
        <f ca="1">IF(ISNUMBER(MATCH(DATEVALUE($A316),'recurring1_based on steps'!I$1:I$400,0)),I$2,)</f>
        <v>0</v>
      </c>
      <c r="J316" s="140">
        <f ca="1">IF(ISNUMBER(MATCH(DATEVALUE($A316),'recurring1_based on steps'!J$1:J$400,0)),J$2,)</f>
        <v>0</v>
      </c>
      <c r="K316" s="140">
        <f ca="1">IF(ISNUMBER(MATCH(DATEVALUE($A316),'recurring1_based on steps'!K$1:K$400,0)),K$2,)</f>
        <v>0</v>
      </c>
      <c r="L316" s="140">
        <f ca="1">IF(ISNUMBER(MATCH(DATEVALUE($A316),'recurring1_based on steps'!L$1:L$400,0)),L$2,)</f>
        <v>0</v>
      </c>
      <c r="M316" s="140">
        <f ca="1">IF(ISNUMBER(MATCH(DATEVALUE($A316),'recurring1_based on steps'!M$1:M$400,0)),M$2,)</f>
        <v>0</v>
      </c>
      <c r="N316" s="140">
        <f ca="1">IF(ISNUMBER(MATCH(DATEVALUE($A316),'recurring1_based on steps'!N$1:N$400,0)),N$2,)</f>
        <v>0</v>
      </c>
      <c r="O316" s="140">
        <f ca="1">IF(ISNUMBER(MATCH(DATEVALUE($A316),'recurring1_based on steps'!O$1:O$400,0)),O$2,)</f>
        <v>0</v>
      </c>
      <c r="P316" s="140">
        <f ca="1">IF(ISNUMBER(MATCH(DATEVALUE($A316),'recurring1_based on steps'!P$1:P$400,0)),P$2,)</f>
        <v>0</v>
      </c>
      <c r="Q316" s="140">
        <f ca="1">IF(ISNUMBER(MATCH(DATEVALUE($A316),'recurring1_based on steps'!Q$1:Q$400,0)),Q$2,)</f>
        <v>0</v>
      </c>
      <c r="R316" s="140">
        <f ca="1">IF(ISNUMBER(MATCH(DATEVALUE($A316),'recurring1_based on steps'!R$1:R$400,0)),R$2,)</f>
        <v>0</v>
      </c>
      <c r="S316" s="140">
        <f ca="1">IF(ISNUMBER(MATCH(DATEVALUE($A316),'recurring1_based on steps'!S$1:S$400,0)),S$2,)</f>
        <v>0</v>
      </c>
      <c r="T316" s="140">
        <f ca="1">IF(ISNUMBER(MATCH(DATEVALUE($A316),'recurring1_based on steps'!T$1:T$400,0)),T$2,)</f>
        <v>0</v>
      </c>
      <c r="U316" s="140">
        <f ca="1">IF(ISNUMBER(MATCH(DATEVALUE($A316),'recurring1_based on steps'!U$1:U$400,0)),U$2,)</f>
        <v>0</v>
      </c>
      <c r="V316" s="140">
        <f ca="1">IF(ISNUMBER(MATCH(DATEVALUE($A316),'recurring1_based on steps'!V$1:V$400,0)),V$2,)</f>
        <v>0</v>
      </c>
      <c r="W316" s="140">
        <f ca="1">IF(ISNUMBER(MATCH(DATEVALUE($A316),'recurring1_based on steps'!W$1:W$400,0)),W$2,)</f>
        <v>0</v>
      </c>
      <c r="X316" s="140">
        <f ca="1">IF(ISNUMBER(MATCH(DATEVALUE($A316),'recurring1_based on steps'!X$1:X$400,0)),X$2,)</f>
        <v>0</v>
      </c>
      <c r="Y316" s="140">
        <f ca="1">IF(ISNUMBER(MATCH(DATEVALUE($A316),'recurring1_based on steps'!Y$1:Y$400,0)),Y$2,)</f>
        <v>0</v>
      </c>
      <c r="Z316" s="140">
        <f ca="1">IF(ISNUMBER(MATCH(DATEVALUE($A316),'recurring1_based on steps'!Z$1:Z$400,0)),Z$2,)</f>
        <v>0</v>
      </c>
      <c r="AA316" s="140">
        <f ca="1">IF(ISNUMBER(MATCH(DATEVALUE($A316),'recurring1_based on steps'!AA$1:AA$400,0)),AA$2,)</f>
        <v>0</v>
      </c>
      <c r="AB316" s="140">
        <f ca="1">IF(ISNUMBER(MATCH(DATEVALUE($A316),'recurring1_based on steps'!AB$1:AB$400,0)),AB$2,)</f>
        <v>5.5401662049861494E-2</v>
      </c>
      <c r="AC316" s="140">
        <f ca="1">IF(ISNUMBER(MATCH(DATEVALUE($A316),'recurring1_based on steps'!AC$1:AC$400,0)),AC$2,)</f>
        <v>0</v>
      </c>
      <c r="AD316" s="140">
        <f ca="1">IF(ISNUMBER(MATCH(DATEVALUE($A316),'recurring1_based on steps'!AD$1:AD$400,0)),AD$2,)</f>
        <v>0</v>
      </c>
      <c r="AE316" s="140">
        <f ca="1">IF(ISNUMBER(MATCH(DATEVALUE($A316),'recurring1_based on steps'!AE$1:AE$400,0)),AE$2,)</f>
        <v>0</v>
      </c>
      <c r="AF316" s="140">
        <f ca="1">IF(ISNUMBER(MATCH(DATEVALUE($A316),'recurring1_based on steps'!AF$1:AF$400,0)),AF$2,)</f>
        <v>0</v>
      </c>
      <c r="AG316" s="140">
        <f ca="1">IF(ISNUMBER(MATCH(DATEVALUE($A316),'recurring1_based on steps'!AG$1:AG$400,0)),AG$2,)</f>
        <v>0</v>
      </c>
      <c r="AH316" s="140">
        <f ca="1">IF(ISNUMBER(MATCH(DATEVALUE($A316),'recurring1_based on steps'!AH$1:AH$400,0)),AH$2,)</f>
        <v>0</v>
      </c>
      <c r="AI316" s="140">
        <f ca="1">IF(ISNUMBER(MATCH(DATEVALUE($A316),'recurring1_based on steps'!AI$1:AI$400,0)),AI$2,)</f>
        <v>0</v>
      </c>
      <c r="AJ316" s="140">
        <f ca="1">IF(ISNUMBER(MATCH(DATEVALUE($A316),'recurring1_based on steps'!AJ$1:AJ$400,0)),AJ$2,)</f>
        <v>0</v>
      </c>
      <c r="AK316" s="140">
        <f ca="1">IF(ISNUMBER(MATCH(DATEVALUE($A316),'recurring1_based on steps'!AK$1:AK$400,0)),AK$2,)</f>
        <v>0</v>
      </c>
      <c r="AL316" s="140">
        <f ca="1">IF(ISNUMBER(MATCH(DATEVALUE($A316),'recurring1_based on steps'!AL$1:AL$400,0)),AL$2,)</f>
        <v>0</v>
      </c>
      <c r="AM316" s="140">
        <f ca="1">IF(ISNUMBER(MATCH(DATEVALUE($A316),'recurring1_based on steps'!AM$1:AM$400,0)),AM$2,)</f>
        <v>0</v>
      </c>
      <c r="AN316" s="140">
        <f ca="1">IF(ISNUMBER(MATCH(DATEVALUE($A316),'recurring1_based on steps'!AN$1:AN$400,0)),AN$2,)</f>
        <v>0</v>
      </c>
      <c r="AO316" s="140">
        <f ca="1">IF(ISNUMBER(MATCH(DATEVALUE($A316),'recurring1_based on steps'!AO$1:AO$400,0)),AO$2,)</f>
        <v>0</v>
      </c>
      <c r="AP316" s="140">
        <f ca="1">IF(ISNUMBER(MATCH(DATEVALUE($A316),'recurring1_based on steps'!AP$1:AP$400,0)),AP$2,)</f>
        <v>0</v>
      </c>
      <c r="AQ316" s="140">
        <f ca="1">IF(ISNUMBER(MATCH(DATEVALUE($A316),'recurring1_based on steps'!AQ$1:AQ$400,0)),AQ$2,)</f>
        <v>0</v>
      </c>
      <c r="AR316" s="140">
        <f ca="1">IF(ISNUMBER(MATCH(DATEVALUE($A316),'recurring1_based on steps'!AR$1:AR$400,0)),AR$2,)</f>
        <v>0</v>
      </c>
      <c r="AS316" s="140">
        <f ca="1">IF(ISNUMBER(MATCH(DATEVALUE($A316),'recurring1_based on steps'!AS$1:AS$400,0)),AS$2,)</f>
        <v>0</v>
      </c>
      <c r="AT316" s="140">
        <f ca="1">IF(ISNUMBER(MATCH(DATEVALUE($A316),'recurring1_based on steps'!AT$1:AT$400,0)),AT$2,)</f>
        <v>0</v>
      </c>
      <c r="AU316" s="140">
        <f ca="1">IF(ISNUMBER(MATCH(DATEVALUE($A316),'recurring1_based on steps'!AU$1:AU$400,0)),AU$2,)</f>
        <v>0</v>
      </c>
      <c r="AV316" s="140">
        <f ca="1">IF(ISNUMBER(MATCH(DATEVALUE($A316),'recurring1_based on steps'!AV$1:AV$400,0)),AV$2,)</f>
        <v>0</v>
      </c>
      <c r="AW316" s="140">
        <f ca="1">IF(ISNUMBER(MATCH(DATEVALUE($A316),'recurring1_based on steps'!AW$1:AW$400,0)),AW$2,)</f>
        <v>0</v>
      </c>
      <c r="AX316" s="140">
        <f ca="1">IF(ISNUMBER(MATCH(DATEVALUE($A316),'recurring1_based on steps'!AX$1:AX$400,0)),AX$2,)</f>
        <v>0</v>
      </c>
      <c r="AY316" s="140">
        <f ca="1">IF(ISNUMBER(MATCH(DATEVALUE($A316),'recurring1_based on steps'!AY$1:AY$400,0)),AY$2,)</f>
        <v>0</v>
      </c>
    </row>
    <row r="317" spans="1:51" x14ac:dyDescent="0.2">
      <c r="A317" s="29" t="str">
        <f t="shared" ca="1" si="4"/>
        <v>2026-02-04</v>
      </c>
      <c r="B317" s="140">
        <f ca="1">IF(ISNUMBER(MATCH(DATEVALUE($A317),'recurring1_based on steps'!B$1:B$400,0)),B$2,)</f>
        <v>0</v>
      </c>
      <c r="C317" s="140">
        <f ca="1">IF(ISNUMBER(MATCH(DATEVALUE($A317),'recurring1_based on steps'!C$1:C$400,0)),C$2,)</f>
        <v>0</v>
      </c>
      <c r="D317" s="140">
        <f ca="1">IF(ISNUMBER(MATCH(DATEVALUE($A317),'recurring1_based on steps'!D$1:D$400,0)),D$2,)</f>
        <v>0</v>
      </c>
      <c r="E317" s="140">
        <f ca="1">IF(ISNUMBER(MATCH(DATEVALUE($A317),'recurring1_based on steps'!E$1:E$400,0)),E$2,)</f>
        <v>0</v>
      </c>
      <c r="F317" s="140">
        <f ca="1">IF(ISNUMBER(MATCH(DATEVALUE($A317),'recurring1_based on steps'!F$1:F$400,0)),F$2,)</f>
        <v>0</v>
      </c>
      <c r="G317" s="140">
        <f ca="1">IF(ISNUMBER(MATCH(DATEVALUE($A317),'recurring1_based on steps'!G$1:G$400,0)),G$2,)</f>
        <v>0</v>
      </c>
      <c r="H317" s="140">
        <f ca="1">IF(ISNUMBER(MATCH(DATEVALUE($A317),'recurring1_based on steps'!H$1:H$400,0)),H$2,)</f>
        <v>0</v>
      </c>
      <c r="I317" s="140">
        <f ca="1">IF(ISNUMBER(MATCH(DATEVALUE($A317),'recurring1_based on steps'!I$1:I$400,0)),I$2,)</f>
        <v>0</v>
      </c>
      <c r="J317" s="140">
        <f ca="1">IF(ISNUMBER(MATCH(DATEVALUE($A317),'recurring1_based on steps'!J$1:J$400,0)),J$2,)</f>
        <v>0</v>
      </c>
      <c r="K317" s="140">
        <f ca="1">IF(ISNUMBER(MATCH(DATEVALUE($A317),'recurring1_based on steps'!K$1:K$400,0)),K$2,)</f>
        <v>0</v>
      </c>
      <c r="L317" s="140">
        <f ca="1">IF(ISNUMBER(MATCH(DATEVALUE($A317),'recurring1_based on steps'!L$1:L$400,0)),L$2,)</f>
        <v>0</v>
      </c>
      <c r="M317" s="140">
        <f ca="1">IF(ISNUMBER(MATCH(DATEVALUE($A317),'recurring1_based on steps'!M$1:M$400,0)),M$2,)</f>
        <v>15</v>
      </c>
      <c r="N317" s="140">
        <f ca="1">IF(ISNUMBER(MATCH(DATEVALUE($A317),'recurring1_based on steps'!N$1:N$400,0)),N$2,)</f>
        <v>0</v>
      </c>
      <c r="O317" s="140">
        <f ca="1">IF(ISNUMBER(MATCH(DATEVALUE($A317),'recurring1_based on steps'!O$1:O$400,0)),O$2,)</f>
        <v>0</v>
      </c>
      <c r="P317" s="140">
        <f ca="1">IF(ISNUMBER(MATCH(DATEVALUE($A317),'recurring1_based on steps'!P$1:P$400,0)),P$2,)</f>
        <v>0</v>
      </c>
      <c r="Q317" s="140">
        <f ca="1">IF(ISNUMBER(MATCH(DATEVALUE($A317),'recurring1_based on steps'!Q$1:Q$400,0)),Q$2,)</f>
        <v>0</v>
      </c>
      <c r="R317" s="140">
        <f ca="1">IF(ISNUMBER(MATCH(DATEVALUE($A317),'recurring1_based on steps'!R$1:R$400,0)),R$2,)</f>
        <v>0</v>
      </c>
      <c r="S317" s="140">
        <f ca="1">IF(ISNUMBER(MATCH(DATEVALUE($A317),'recurring1_based on steps'!S$1:S$400,0)),S$2,)</f>
        <v>0</v>
      </c>
      <c r="T317" s="140">
        <f ca="1">IF(ISNUMBER(MATCH(DATEVALUE($A317),'recurring1_based on steps'!T$1:T$400,0)),T$2,)</f>
        <v>0</v>
      </c>
      <c r="U317" s="140">
        <f ca="1">IF(ISNUMBER(MATCH(DATEVALUE($A317),'recurring1_based on steps'!U$1:U$400,0)),U$2,)</f>
        <v>0</v>
      </c>
      <c r="V317" s="140">
        <f ca="1">IF(ISNUMBER(MATCH(DATEVALUE($A317),'recurring1_based on steps'!V$1:V$400,0)),V$2,)</f>
        <v>0</v>
      </c>
      <c r="W317" s="140">
        <f ca="1">IF(ISNUMBER(MATCH(DATEVALUE($A317),'recurring1_based on steps'!W$1:W$400,0)),W$2,)</f>
        <v>0</v>
      </c>
      <c r="X317" s="140">
        <f ca="1">IF(ISNUMBER(MATCH(DATEVALUE($A317),'recurring1_based on steps'!X$1:X$400,0)),X$2,)</f>
        <v>0</v>
      </c>
      <c r="Y317" s="140">
        <f ca="1">IF(ISNUMBER(MATCH(DATEVALUE($A317),'recurring1_based on steps'!Y$1:Y$400,0)),Y$2,)</f>
        <v>0</v>
      </c>
      <c r="Z317" s="140">
        <f ca="1">IF(ISNUMBER(MATCH(DATEVALUE($A317),'recurring1_based on steps'!Z$1:Z$400,0)),Z$2,)</f>
        <v>0</v>
      </c>
      <c r="AA317" s="140">
        <f ca="1">IF(ISNUMBER(MATCH(DATEVALUE($A317),'recurring1_based on steps'!AA$1:AA$400,0)),AA$2,)</f>
        <v>0</v>
      </c>
      <c r="AB317" s="140">
        <f ca="1">IF(ISNUMBER(MATCH(DATEVALUE($A317),'recurring1_based on steps'!AB$1:AB$400,0)),AB$2,)</f>
        <v>5.5401662049861494E-2</v>
      </c>
      <c r="AC317" s="140">
        <f ca="1">IF(ISNUMBER(MATCH(DATEVALUE($A317),'recurring1_based on steps'!AC$1:AC$400,0)),AC$2,)</f>
        <v>0</v>
      </c>
      <c r="AD317" s="140">
        <f ca="1">IF(ISNUMBER(MATCH(DATEVALUE($A317),'recurring1_based on steps'!AD$1:AD$400,0)),AD$2,)</f>
        <v>0</v>
      </c>
      <c r="AE317" s="140">
        <f ca="1">IF(ISNUMBER(MATCH(DATEVALUE($A317),'recurring1_based on steps'!AE$1:AE$400,0)),AE$2,)</f>
        <v>0</v>
      </c>
      <c r="AF317" s="140">
        <f ca="1">IF(ISNUMBER(MATCH(DATEVALUE($A317),'recurring1_based on steps'!AF$1:AF$400,0)),AF$2,)</f>
        <v>0</v>
      </c>
      <c r="AG317" s="140">
        <f ca="1">IF(ISNUMBER(MATCH(DATEVALUE($A317),'recurring1_based on steps'!AG$1:AG$400,0)),AG$2,)</f>
        <v>0</v>
      </c>
      <c r="AH317" s="140">
        <f ca="1">IF(ISNUMBER(MATCH(DATEVALUE($A317),'recurring1_based on steps'!AH$1:AH$400,0)),AH$2,)</f>
        <v>0</v>
      </c>
      <c r="AI317" s="140">
        <f ca="1">IF(ISNUMBER(MATCH(DATEVALUE($A317),'recurring1_based on steps'!AI$1:AI$400,0)),AI$2,)</f>
        <v>0</v>
      </c>
      <c r="AJ317" s="140">
        <f ca="1">IF(ISNUMBER(MATCH(DATEVALUE($A317),'recurring1_based on steps'!AJ$1:AJ$400,0)),AJ$2,)</f>
        <v>0</v>
      </c>
      <c r="AK317" s="140">
        <f ca="1">IF(ISNUMBER(MATCH(DATEVALUE($A317),'recurring1_based on steps'!AK$1:AK$400,0)),AK$2,)</f>
        <v>0</v>
      </c>
      <c r="AL317" s="140">
        <f ca="1">IF(ISNUMBER(MATCH(DATEVALUE($A317),'recurring1_based on steps'!AL$1:AL$400,0)),AL$2,)</f>
        <v>0</v>
      </c>
      <c r="AM317" s="140">
        <f ca="1">IF(ISNUMBER(MATCH(DATEVALUE($A317),'recurring1_based on steps'!AM$1:AM$400,0)),AM$2,)</f>
        <v>0</v>
      </c>
      <c r="AN317" s="140">
        <f ca="1">IF(ISNUMBER(MATCH(DATEVALUE($A317),'recurring1_based on steps'!AN$1:AN$400,0)),AN$2,)</f>
        <v>0</v>
      </c>
      <c r="AO317" s="140">
        <f ca="1">IF(ISNUMBER(MATCH(DATEVALUE($A317),'recurring1_based on steps'!AO$1:AO$400,0)),AO$2,)</f>
        <v>0</v>
      </c>
      <c r="AP317" s="140">
        <f ca="1">IF(ISNUMBER(MATCH(DATEVALUE($A317),'recurring1_based on steps'!AP$1:AP$400,0)),AP$2,)</f>
        <v>0</v>
      </c>
      <c r="AQ317" s="140">
        <f ca="1">IF(ISNUMBER(MATCH(DATEVALUE($A317),'recurring1_based on steps'!AQ$1:AQ$400,0)),AQ$2,)</f>
        <v>0</v>
      </c>
      <c r="AR317" s="140">
        <f ca="1">IF(ISNUMBER(MATCH(DATEVALUE($A317),'recurring1_based on steps'!AR$1:AR$400,0)),AR$2,)</f>
        <v>0</v>
      </c>
      <c r="AS317" s="140">
        <f ca="1">IF(ISNUMBER(MATCH(DATEVALUE($A317),'recurring1_based on steps'!AS$1:AS$400,0)),AS$2,)</f>
        <v>0</v>
      </c>
      <c r="AT317" s="140">
        <f ca="1">IF(ISNUMBER(MATCH(DATEVALUE($A317),'recurring1_based on steps'!AT$1:AT$400,0)),AT$2,)</f>
        <v>0</v>
      </c>
      <c r="AU317" s="140">
        <f ca="1">IF(ISNUMBER(MATCH(DATEVALUE($A317),'recurring1_based on steps'!AU$1:AU$400,0)),AU$2,)</f>
        <v>0</v>
      </c>
      <c r="AV317" s="140">
        <f ca="1">IF(ISNUMBER(MATCH(DATEVALUE($A317),'recurring1_based on steps'!AV$1:AV$400,0)),AV$2,)</f>
        <v>0</v>
      </c>
      <c r="AW317" s="140">
        <f ca="1">IF(ISNUMBER(MATCH(DATEVALUE($A317),'recurring1_based on steps'!AW$1:AW$400,0)),AW$2,)</f>
        <v>0</v>
      </c>
      <c r="AX317" s="140">
        <f ca="1">IF(ISNUMBER(MATCH(DATEVALUE($A317),'recurring1_based on steps'!AX$1:AX$400,0)),AX$2,)</f>
        <v>0</v>
      </c>
      <c r="AY317" s="140">
        <f ca="1">IF(ISNUMBER(MATCH(DATEVALUE($A317),'recurring1_based on steps'!AY$1:AY$400,0)),AY$2,)</f>
        <v>0</v>
      </c>
    </row>
    <row r="318" spans="1:51" x14ac:dyDescent="0.2">
      <c r="A318" s="29" t="str">
        <f t="shared" ca="1" si="4"/>
        <v>2026-02-05</v>
      </c>
      <c r="B318" s="140">
        <f ca="1">IF(ISNUMBER(MATCH(DATEVALUE($A318),'recurring1_based on steps'!B$1:B$400,0)),B$2,)</f>
        <v>0</v>
      </c>
      <c r="C318" s="140">
        <f ca="1">IF(ISNUMBER(MATCH(DATEVALUE($A318),'recurring1_based on steps'!C$1:C$400,0)),C$2,)</f>
        <v>0</v>
      </c>
      <c r="D318" s="140">
        <f ca="1">IF(ISNUMBER(MATCH(DATEVALUE($A318),'recurring1_based on steps'!D$1:D$400,0)),D$2,)</f>
        <v>0</v>
      </c>
      <c r="E318" s="140">
        <f ca="1">IF(ISNUMBER(MATCH(DATEVALUE($A318),'recurring1_based on steps'!E$1:E$400,0)),E$2,)</f>
        <v>0</v>
      </c>
      <c r="F318" s="140">
        <f ca="1">IF(ISNUMBER(MATCH(DATEVALUE($A318),'recurring1_based on steps'!F$1:F$400,0)),F$2,)</f>
        <v>0</v>
      </c>
      <c r="G318" s="140">
        <f ca="1">IF(ISNUMBER(MATCH(DATEVALUE($A318),'recurring1_based on steps'!G$1:G$400,0)),G$2,)</f>
        <v>0</v>
      </c>
      <c r="H318" s="140">
        <f ca="1">IF(ISNUMBER(MATCH(DATEVALUE($A318),'recurring1_based on steps'!H$1:H$400,0)),H$2,)</f>
        <v>0</v>
      </c>
      <c r="I318" s="140">
        <f ca="1">IF(ISNUMBER(MATCH(DATEVALUE($A318),'recurring1_based on steps'!I$1:I$400,0)),I$2,)</f>
        <v>0</v>
      </c>
      <c r="J318" s="140">
        <f ca="1">IF(ISNUMBER(MATCH(DATEVALUE($A318),'recurring1_based on steps'!J$1:J$400,0)),J$2,)</f>
        <v>0</v>
      </c>
      <c r="K318" s="140">
        <f ca="1">IF(ISNUMBER(MATCH(DATEVALUE($A318),'recurring1_based on steps'!K$1:K$400,0)),K$2,)</f>
        <v>0</v>
      </c>
      <c r="L318" s="140">
        <f ca="1">IF(ISNUMBER(MATCH(DATEVALUE($A318),'recurring1_based on steps'!L$1:L$400,0)),L$2,)</f>
        <v>0</v>
      </c>
      <c r="M318" s="140">
        <f ca="1">IF(ISNUMBER(MATCH(DATEVALUE($A318),'recurring1_based on steps'!M$1:M$400,0)),M$2,)</f>
        <v>0</v>
      </c>
      <c r="N318" s="140">
        <f ca="1">IF(ISNUMBER(MATCH(DATEVALUE($A318),'recurring1_based on steps'!N$1:N$400,0)),N$2,)</f>
        <v>0</v>
      </c>
      <c r="O318" s="140">
        <f ca="1">IF(ISNUMBER(MATCH(DATEVALUE($A318),'recurring1_based on steps'!O$1:O$400,0)),O$2,)</f>
        <v>0</v>
      </c>
      <c r="P318" s="140">
        <f ca="1">IF(ISNUMBER(MATCH(DATEVALUE($A318),'recurring1_based on steps'!P$1:P$400,0)),P$2,)</f>
        <v>0</v>
      </c>
      <c r="Q318" s="140">
        <f ca="1">IF(ISNUMBER(MATCH(DATEVALUE($A318),'recurring1_based on steps'!Q$1:Q$400,0)),Q$2,)</f>
        <v>0</v>
      </c>
      <c r="R318" s="140">
        <f ca="1">IF(ISNUMBER(MATCH(DATEVALUE($A318),'recurring1_based on steps'!R$1:R$400,0)),R$2,)</f>
        <v>0</v>
      </c>
      <c r="S318" s="140">
        <f ca="1">IF(ISNUMBER(MATCH(DATEVALUE($A318),'recurring1_based on steps'!S$1:S$400,0)),S$2,)</f>
        <v>0</v>
      </c>
      <c r="T318" s="140">
        <f ca="1">IF(ISNUMBER(MATCH(DATEVALUE($A318),'recurring1_based on steps'!T$1:T$400,0)),T$2,)</f>
        <v>0</v>
      </c>
      <c r="U318" s="140">
        <f ca="1">IF(ISNUMBER(MATCH(DATEVALUE($A318),'recurring1_based on steps'!U$1:U$400,0)),U$2,)</f>
        <v>0</v>
      </c>
      <c r="V318" s="140">
        <f ca="1">IF(ISNUMBER(MATCH(DATEVALUE($A318),'recurring1_based on steps'!V$1:V$400,0)),V$2,)</f>
        <v>0</v>
      </c>
      <c r="W318" s="140">
        <f ca="1">IF(ISNUMBER(MATCH(DATEVALUE($A318),'recurring1_based on steps'!W$1:W$400,0)),W$2,)</f>
        <v>0</v>
      </c>
      <c r="X318" s="140">
        <f ca="1">IF(ISNUMBER(MATCH(DATEVALUE($A318),'recurring1_based on steps'!X$1:X$400,0)),X$2,)</f>
        <v>0</v>
      </c>
      <c r="Y318" s="140">
        <f ca="1">IF(ISNUMBER(MATCH(DATEVALUE($A318),'recurring1_based on steps'!Y$1:Y$400,0)),Y$2,)</f>
        <v>0</v>
      </c>
      <c r="Z318" s="140">
        <f ca="1">IF(ISNUMBER(MATCH(DATEVALUE($A318),'recurring1_based on steps'!Z$1:Z$400,0)),Z$2,)</f>
        <v>0</v>
      </c>
      <c r="AA318" s="140">
        <f ca="1">IF(ISNUMBER(MATCH(DATEVALUE($A318),'recurring1_based on steps'!AA$1:AA$400,0)),AA$2,)</f>
        <v>0</v>
      </c>
      <c r="AB318" s="140">
        <f ca="1">IF(ISNUMBER(MATCH(DATEVALUE($A318),'recurring1_based on steps'!AB$1:AB$400,0)),AB$2,)</f>
        <v>5.5401662049861494E-2</v>
      </c>
      <c r="AC318" s="140">
        <f ca="1">IF(ISNUMBER(MATCH(DATEVALUE($A318),'recurring1_based on steps'!AC$1:AC$400,0)),AC$2,)</f>
        <v>0</v>
      </c>
      <c r="AD318" s="140">
        <f ca="1">IF(ISNUMBER(MATCH(DATEVALUE($A318),'recurring1_based on steps'!AD$1:AD$400,0)),AD$2,)</f>
        <v>0</v>
      </c>
      <c r="AE318" s="140">
        <f ca="1">IF(ISNUMBER(MATCH(DATEVALUE($A318),'recurring1_based on steps'!AE$1:AE$400,0)),AE$2,)</f>
        <v>0</v>
      </c>
      <c r="AF318" s="140">
        <f ca="1">IF(ISNUMBER(MATCH(DATEVALUE($A318),'recurring1_based on steps'!AF$1:AF$400,0)),AF$2,)</f>
        <v>0</v>
      </c>
      <c r="AG318" s="140">
        <f ca="1">IF(ISNUMBER(MATCH(DATEVALUE($A318),'recurring1_based on steps'!AG$1:AG$400,0)),AG$2,)</f>
        <v>0</v>
      </c>
      <c r="AH318" s="140">
        <f ca="1">IF(ISNUMBER(MATCH(DATEVALUE($A318),'recurring1_based on steps'!AH$1:AH$400,0)),AH$2,)</f>
        <v>0</v>
      </c>
      <c r="AI318" s="140">
        <f ca="1">IF(ISNUMBER(MATCH(DATEVALUE($A318),'recurring1_based on steps'!AI$1:AI$400,0)),AI$2,)</f>
        <v>0</v>
      </c>
      <c r="AJ318" s="140">
        <f ca="1">IF(ISNUMBER(MATCH(DATEVALUE($A318),'recurring1_based on steps'!AJ$1:AJ$400,0)),AJ$2,)</f>
        <v>0</v>
      </c>
      <c r="AK318" s="140">
        <f ca="1">IF(ISNUMBER(MATCH(DATEVALUE($A318),'recurring1_based on steps'!AK$1:AK$400,0)),AK$2,)</f>
        <v>0</v>
      </c>
      <c r="AL318" s="140">
        <f ca="1">IF(ISNUMBER(MATCH(DATEVALUE($A318),'recurring1_based on steps'!AL$1:AL$400,0)),AL$2,)</f>
        <v>0</v>
      </c>
      <c r="AM318" s="140">
        <f ca="1">IF(ISNUMBER(MATCH(DATEVALUE($A318),'recurring1_based on steps'!AM$1:AM$400,0)),AM$2,)</f>
        <v>0</v>
      </c>
      <c r="AN318" s="140">
        <f ca="1">IF(ISNUMBER(MATCH(DATEVALUE($A318),'recurring1_based on steps'!AN$1:AN$400,0)),AN$2,)</f>
        <v>0</v>
      </c>
      <c r="AO318" s="140">
        <f ca="1">IF(ISNUMBER(MATCH(DATEVALUE($A318),'recurring1_based on steps'!AO$1:AO$400,0)),AO$2,)</f>
        <v>0</v>
      </c>
      <c r="AP318" s="140">
        <f ca="1">IF(ISNUMBER(MATCH(DATEVALUE($A318),'recurring1_based on steps'!AP$1:AP$400,0)),AP$2,)</f>
        <v>0</v>
      </c>
      <c r="AQ318" s="140">
        <f ca="1">IF(ISNUMBER(MATCH(DATEVALUE($A318),'recurring1_based on steps'!AQ$1:AQ$400,0)),AQ$2,)</f>
        <v>0</v>
      </c>
      <c r="AR318" s="140">
        <f ca="1">IF(ISNUMBER(MATCH(DATEVALUE($A318),'recurring1_based on steps'!AR$1:AR$400,0)),AR$2,)</f>
        <v>0</v>
      </c>
      <c r="AS318" s="140">
        <f ca="1">IF(ISNUMBER(MATCH(DATEVALUE($A318),'recurring1_based on steps'!AS$1:AS$400,0)),AS$2,)</f>
        <v>0</v>
      </c>
      <c r="AT318" s="140">
        <f ca="1">IF(ISNUMBER(MATCH(DATEVALUE($A318),'recurring1_based on steps'!AT$1:AT$400,0)),AT$2,)</f>
        <v>0</v>
      </c>
      <c r="AU318" s="140">
        <f ca="1">IF(ISNUMBER(MATCH(DATEVALUE($A318),'recurring1_based on steps'!AU$1:AU$400,0)),AU$2,)</f>
        <v>0</v>
      </c>
      <c r="AV318" s="140">
        <f ca="1">IF(ISNUMBER(MATCH(DATEVALUE($A318),'recurring1_based on steps'!AV$1:AV$400,0)),AV$2,)</f>
        <v>0</v>
      </c>
      <c r="AW318" s="140">
        <f ca="1">IF(ISNUMBER(MATCH(DATEVALUE($A318),'recurring1_based on steps'!AW$1:AW$400,0)),AW$2,)</f>
        <v>0</v>
      </c>
      <c r="AX318" s="140">
        <f ca="1">IF(ISNUMBER(MATCH(DATEVALUE($A318),'recurring1_based on steps'!AX$1:AX$400,0)),AX$2,)</f>
        <v>0</v>
      </c>
      <c r="AY318" s="140">
        <f ca="1">IF(ISNUMBER(MATCH(DATEVALUE($A318),'recurring1_based on steps'!AY$1:AY$400,0)),AY$2,)</f>
        <v>0</v>
      </c>
    </row>
    <row r="319" spans="1:51" x14ac:dyDescent="0.2">
      <c r="A319" s="29" t="str">
        <f t="shared" ca="1" si="4"/>
        <v>2026-02-06</v>
      </c>
      <c r="B319" s="140">
        <f ca="1">IF(ISNUMBER(MATCH(DATEVALUE($A319),'recurring1_based on steps'!B$1:B$400,0)),B$2,)</f>
        <v>4000</v>
      </c>
      <c r="C319" s="140">
        <f ca="1">IF(ISNUMBER(MATCH(DATEVALUE($A319),'recurring1_based on steps'!C$1:C$400,0)),C$2,)</f>
        <v>200</v>
      </c>
      <c r="D319" s="140">
        <f ca="1">IF(ISNUMBER(MATCH(DATEVALUE($A319),'recurring1_based on steps'!D$1:D$400,0)),D$2,)</f>
        <v>2</v>
      </c>
      <c r="E319" s="140">
        <f ca="1">IF(ISNUMBER(MATCH(DATEVALUE($A319),'recurring1_based on steps'!E$1:E$400,0)),E$2,)</f>
        <v>40</v>
      </c>
      <c r="F319" s="140">
        <f ca="1">IF(ISNUMBER(MATCH(DATEVALUE($A319),'recurring1_based on steps'!F$1:F$400,0)),F$2,)</f>
        <v>50</v>
      </c>
      <c r="G319" s="140">
        <f ca="1">IF(ISNUMBER(MATCH(DATEVALUE($A319),'recurring1_based on steps'!G$1:G$400,0)),G$2,)</f>
        <v>4</v>
      </c>
      <c r="H319" s="140">
        <f ca="1">IF(ISNUMBER(MATCH(DATEVALUE($A319),'recurring1_based on steps'!H$1:H$400,0)),H$2,)</f>
        <v>0</v>
      </c>
      <c r="I319" s="140">
        <f ca="1">IF(ISNUMBER(MATCH(DATEVALUE($A319),'recurring1_based on steps'!I$1:I$400,0)),I$2,)</f>
        <v>0</v>
      </c>
      <c r="J319" s="140">
        <f ca="1">IF(ISNUMBER(MATCH(DATEVALUE($A319),'recurring1_based on steps'!J$1:J$400,0)),J$2,)</f>
        <v>0</v>
      </c>
      <c r="K319" s="140">
        <f ca="1">IF(ISNUMBER(MATCH(DATEVALUE($A319),'recurring1_based on steps'!K$1:K$400,0)),K$2,)</f>
        <v>0</v>
      </c>
      <c r="L319" s="140">
        <f ca="1">IF(ISNUMBER(MATCH(DATEVALUE($A319),'recurring1_based on steps'!L$1:L$400,0)),L$2,)</f>
        <v>0</v>
      </c>
      <c r="M319" s="140">
        <f ca="1">IF(ISNUMBER(MATCH(DATEVALUE($A319),'recurring1_based on steps'!M$1:M$400,0)),M$2,)</f>
        <v>0</v>
      </c>
      <c r="N319" s="140">
        <f ca="1">IF(ISNUMBER(MATCH(DATEVALUE($A319),'recurring1_based on steps'!N$1:N$400,0)),N$2,)</f>
        <v>0</v>
      </c>
      <c r="O319" s="140">
        <f ca="1">IF(ISNUMBER(MATCH(DATEVALUE($A319),'recurring1_based on steps'!O$1:O$400,0)),O$2,)</f>
        <v>0</v>
      </c>
      <c r="P319" s="140">
        <f ca="1">IF(ISNUMBER(MATCH(DATEVALUE($A319),'recurring1_based on steps'!P$1:P$400,0)),P$2,)</f>
        <v>0</v>
      </c>
      <c r="Q319" s="140">
        <f ca="1">IF(ISNUMBER(MATCH(DATEVALUE($A319),'recurring1_based on steps'!Q$1:Q$400,0)),Q$2,)</f>
        <v>0</v>
      </c>
      <c r="R319" s="140">
        <f ca="1">IF(ISNUMBER(MATCH(DATEVALUE($A319),'recurring1_based on steps'!R$1:R$400,0)),R$2,)</f>
        <v>0</v>
      </c>
      <c r="S319" s="140">
        <f ca="1">IF(ISNUMBER(MATCH(DATEVALUE($A319),'recurring1_based on steps'!S$1:S$400,0)),S$2,)</f>
        <v>0</v>
      </c>
      <c r="T319" s="140">
        <f ca="1">IF(ISNUMBER(MATCH(DATEVALUE($A319),'recurring1_based on steps'!T$1:T$400,0)),T$2,)</f>
        <v>0</v>
      </c>
      <c r="U319" s="140">
        <f ca="1">IF(ISNUMBER(MATCH(DATEVALUE($A319),'recurring1_based on steps'!U$1:U$400,0)),U$2,)</f>
        <v>0</v>
      </c>
      <c r="V319" s="140">
        <f ca="1">IF(ISNUMBER(MATCH(DATEVALUE($A319),'recurring1_based on steps'!V$1:V$400,0)),V$2,)</f>
        <v>0</v>
      </c>
      <c r="W319" s="140">
        <f ca="1">IF(ISNUMBER(MATCH(DATEVALUE($A319),'recurring1_based on steps'!W$1:W$400,0)),W$2,)</f>
        <v>0</v>
      </c>
      <c r="X319" s="140">
        <f ca="1">IF(ISNUMBER(MATCH(DATEVALUE($A319),'recurring1_based on steps'!X$1:X$400,0)),X$2,)</f>
        <v>50</v>
      </c>
      <c r="Y319" s="140">
        <f ca="1">IF(ISNUMBER(MATCH(DATEVALUE($A319),'recurring1_based on steps'!Y$1:Y$400,0)),Y$2,)</f>
        <v>50</v>
      </c>
      <c r="Z319" s="140">
        <f ca="1">IF(ISNUMBER(MATCH(DATEVALUE($A319),'recurring1_based on steps'!Z$1:Z$400,0)),Z$2,)</f>
        <v>0</v>
      </c>
      <c r="AA319" s="140">
        <f ca="1">IF(ISNUMBER(MATCH(DATEVALUE($A319),'recurring1_based on steps'!AA$1:AA$400,0)),AA$2,)</f>
        <v>0</v>
      </c>
      <c r="AB319" s="140">
        <f ca="1">IF(ISNUMBER(MATCH(DATEVALUE($A319),'recurring1_based on steps'!AB$1:AB$400,0)),AB$2,)</f>
        <v>5.5401662049861494E-2</v>
      </c>
      <c r="AC319" s="140">
        <f ca="1">IF(ISNUMBER(MATCH(DATEVALUE($A319),'recurring1_based on steps'!AC$1:AC$400,0)),AC$2,)</f>
        <v>0</v>
      </c>
      <c r="AD319" s="140">
        <f ca="1">IF(ISNUMBER(MATCH(DATEVALUE($A319),'recurring1_based on steps'!AD$1:AD$400,0)),AD$2,)</f>
        <v>0</v>
      </c>
      <c r="AE319" s="140">
        <f ca="1">IF(ISNUMBER(MATCH(DATEVALUE($A319),'recurring1_based on steps'!AE$1:AE$400,0)),AE$2,)</f>
        <v>0</v>
      </c>
      <c r="AF319" s="140">
        <f ca="1">IF(ISNUMBER(MATCH(DATEVALUE($A319),'recurring1_based on steps'!AF$1:AF$400,0)),AF$2,)</f>
        <v>0</v>
      </c>
      <c r="AG319" s="140">
        <f ca="1">IF(ISNUMBER(MATCH(DATEVALUE($A319),'recurring1_based on steps'!AG$1:AG$400,0)),AG$2,)</f>
        <v>0</v>
      </c>
      <c r="AH319" s="140">
        <f ca="1">IF(ISNUMBER(MATCH(DATEVALUE($A319),'recurring1_based on steps'!AH$1:AH$400,0)),AH$2,)</f>
        <v>0</v>
      </c>
      <c r="AI319" s="140">
        <f ca="1">IF(ISNUMBER(MATCH(DATEVALUE($A319),'recurring1_based on steps'!AI$1:AI$400,0)),AI$2,)</f>
        <v>0</v>
      </c>
      <c r="AJ319" s="140">
        <f ca="1">IF(ISNUMBER(MATCH(DATEVALUE($A319),'recurring1_based on steps'!AJ$1:AJ$400,0)),AJ$2,)</f>
        <v>0</v>
      </c>
      <c r="AK319" s="140">
        <f ca="1">IF(ISNUMBER(MATCH(DATEVALUE($A319),'recurring1_based on steps'!AK$1:AK$400,0)),AK$2,)</f>
        <v>0</v>
      </c>
      <c r="AL319" s="140">
        <f ca="1">IF(ISNUMBER(MATCH(DATEVALUE($A319),'recurring1_based on steps'!AL$1:AL$400,0)),AL$2,)</f>
        <v>0</v>
      </c>
      <c r="AM319" s="140">
        <f ca="1">IF(ISNUMBER(MATCH(DATEVALUE($A319),'recurring1_based on steps'!AM$1:AM$400,0)),AM$2,)</f>
        <v>0</v>
      </c>
      <c r="AN319" s="140">
        <f ca="1">IF(ISNUMBER(MATCH(DATEVALUE($A319),'recurring1_based on steps'!AN$1:AN$400,0)),AN$2,)</f>
        <v>0</v>
      </c>
      <c r="AO319" s="140">
        <f ca="1">IF(ISNUMBER(MATCH(DATEVALUE($A319),'recurring1_based on steps'!AO$1:AO$400,0)),AO$2,)</f>
        <v>0</v>
      </c>
      <c r="AP319" s="140">
        <f ca="1">IF(ISNUMBER(MATCH(DATEVALUE($A319),'recurring1_based on steps'!AP$1:AP$400,0)),AP$2,)</f>
        <v>0</v>
      </c>
      <c r="AQ319" s="140">
        <f ca="1">IF(ISNUMBER(MATCH(DATEVALUE($A319),'recurring1_based on steps'!AQ$1:AQ$400,0)),AQ$2,)</f>
        <v>0</v>
      </c>
      <c r="AR319" s="140">
        <f ca="1">IF(ISNUMBER(MATCH(DATEVALUE($A319),'recurring1_based on steps'!AR$1:AR$400,0)),AR$2,)</f>
        <v>0</v>
      </c>
      <c r="AS319" s="140">
        <f ca="1">IF(ISNUMBER(MATCH(DATEVALUE($A319),'recurring1_based on steps'!AS$1:AS$400,0)),AS$2,)</f>
        <v>0</v>
      </c>
      <c r="AT319" s="140">
        <f ca="1">IF(ISNUMBER(MATCH(DATEVALUE($A319),'recurring1_based on steps'!AT$1:AT$400,0)),AT$2,)</f>
        <v>0</v>
      </c>
      <c r="AU319" s="140">
        <f ca="1">IF(ISNUMBER(MATCH(DATEVALUE($A319),'recurring1_based on steps'!AU$1:AU$400,0)),AU$2,)</f>
        <v>0</v>
      </c>
      <c r="AV319" s="140">
        <f ca="1">IF(ISNUMBER(MATCH(DATEVALUE($A319),'recurring1_based on steps'!AV$1:AV$400,0)),AV$2,)</f>
        <v>0</v>
      </c>
      <c r="AW319" s="140">
        <f ca="1">IF(ISNUMBER(MATCH(DATEVALUE($A319),'recurring1_based on steps'!AW$1:AW$400,0)),AW$2,)</f>
        <v>0</v>
      </c>
      <c r="AX319" s="140">
        <f ca="1">IF(ISNUMBER(MATCH(DATEVALUE($A319),'recurring1_based on steps'!AX$1:AX$400,0)),AX$2,)</f>
        <v>0</v>
      </c>
      <c r="AY319" s="140">
        <f ca="1">IF(ISNUMBER(MATCH(DATEVALUE($A319),'recurring1_based on steps'!AY$1:AY$400,0)),AY$2,)</f>
        <v>0</v>
      </c>
    </row>
    <row r="320" spans="1:51" x14ac:dyDescent="0.2">
      <c r="A320" s="29" t="str">
        <f t="shared" ca="1" si="4"/>
        <v>2026-02-07</v>
      </c>
      <c r="B320" s="140">
        <f ca="1">IF(ISNUMBER(MATCH(DATEVALUE($A320),'recurring1_based on steps'!B$1:B$400,0)),B$2,)</f>
        <v>0</v>
      </c>
      <c r="C320" s="140">
        <f ca="1">IF(ISNUMBER(MATCH(DATEVALUE($A320),'recurring1_based on steps'!C$1:C$400,0)),C$2,)</f>
        <v>0</v>
      </c>
      <c r="D320" s="140">
        <f ca="1">IF(ISNUMBER(MATCH(DATEVALUE($A320),'recurring1_based on steps'!D$1:D$400,0)),D$2,)</f>
        <v>0</v>
      </c>
      <c r="E320" s="140">
        <f ca="1">IF(ISNUMBER(MATCH(DATEVALUE($A320),'recurring1_based on steps'!E$1:E$400,0)),E$2,)</f>
        <v>0</v>
      </c>
      <c r="F320" s="140">
        <f ca="1">IF(ISNUMBER(MATCH(DATEVALUE($A320),'recurring1_based on steps'!F$1:F$400,0)),F$2,)</f>
        <v>0</v>
      </c>
      <c r="G320" s="140">
        <f ca="1">IF(ISNUMBER(MATCH(DATEVALUE($A320),'recurring1_based on steps'!G$1:G$400,0)),G$2,)</f>
        <v>0</v>
      </c>
      <c r="H320" s="140">
        <f ca="1">IF(ISNUMBER(MATCH(DATEVALUE($A320),'recurring1_based on steps'!H$1:H$400,0)),H$2,)</f>
        <v>0</v>
      </c>
      <c r="I320" s="140">
        <f ca="1">IF(ISNUMBER(MATCH(DATEVALUE($A320),'recurring1_based on steps'!I$1:I$400,0)),I$2,)</f>
        <v>0</v>
      </c>
      <c r="J320" s="140">
        <f ca="1">IF(ISNUMBER(MATCH(DATEVALUE($A320),'recurring1_based on steps'!J$1:J$400,0)),J$2,)</f>
        <v>0</v>
      </c>
      <c r="K320" s="140">
        <f ca="1">IF(ISNUMBER(MATCH(DATEVALUE($A320),'recurring1_based on steps'!K$1:K$400,0)),K$2,)</f>
        <v>0</v>
      </c>
      <c r="L320" s="140">
        <f ca="1">IF(ISNUMBER(MATCH(DATEVALUE($A320),'recurring1_based on steps'!L$1:L$400,0)),L$2,)</f>
        <v>0</v>
      </c>
      <c r="M320" s="140">
        <f ca="1">IF(ISNUMBER(MATCH(DATEVALUE($A320),'recurring1_based on steps'!M$1:M$400,0)),M$2,)</f>
        <v>0</v>
      </c>
      <c r="N320" s="140">
        <f ca="1">IF(ISNUMBER(MATCH(DATEVALUE($A320),'recurring1_based on steps'!N$1:N$400,0)),N$2,)</f>
        <v>0</v>
      </c>
      <c r="O320" s="140">
        <f ca="1">IF(ISNUMBER(MATCH(DATEVALUE($A320),'recurring1_based on steps'!O$1:O$400,0)),O$2,)</f>
        <v>0</v>
      </c>
      <c r="P320" s="140">
        <f ca="1">IF(ISNUMBER(MATCH(DATEVALUE($A320),'recurring1_based on steps'!P$1:P$400,0)),P$2,)</f>
        <v>0</v>
      </c>
      <c r="Q320" s="140">
        <f ca="1">IF(ISNUMBER(MATCH(DATEVALUE($A320),'recurring1_based on steps'!Q$1:Q$400,0)),Q$2,)</f>
        <v>100</v>
      </c>
      <c r="R320" s="140">
        <f ca="1">IF(ISNUMBER(MATCH(DATEVALUE($A320),'recurring1_based on steps'!R$1:R$400,0)),R$2,)</f>
        <v>100</v>
      </c>
      <c r="S320" s="140">
        <f ca="1">IF(ISNUMBER(MATCH(DATEVALUE($A320),'recurring1_based on steps'!S$1:S$400,0)),S$2,)</f>
        <v>0</v>
      </c>
      <c r="T320" s="140">
        <f ca="1">IF(ISNUMBER(MATCH(DATEVALUE($A320),'recurring1_based on steps'!T$1:T$400,0)),T$2,)</f>
        <v>0</v>
      </c>
      <c r="U320" s="140">
        <f ca="1">IF(ISNUMBER(MATCH(DATEVALUE($A320),'recurring1_based on steps'!U$1:U$400,0)),U$2,)</f>
        <v>0</v>
      </c>
      <c r="V320" s="140">
        <f ca="1">IF(ISNUMBER(MATCH(DATEVALUE($A320),'recurring1_based on steps'!V$1:V$400,0)),V$2,)</f>
        <v>0</v>
      </c>
      <c r="W320" s="140">
        <f ca="1">IF(ISNUMBER(MATCH(DATEVALUE($A320),'recurring1_based on steps'!W$1:W$400,0)),W$2,)</f>
        <v>0</v>
      </c>
      <c r="X320" s="140">
        <f ca="1">IF(ISNUMBER(MATCH(DATEVALUE($A320),'recurring1_based on steps'!X$1:X$400,0)),X$2,)</f>
        <v>0</v>
      </c>
      <c r="Y320" s="140">
        <f ca="1">IF(ISNUMBER(MATCH(DATEVALUE($A320),'recurring1_based on steps'!Y$1:Y$400,0)),Y$2,)</f>
        <v>0</v>
      </c>
      <c r="Z320" s="140">
        <f ca="1">IF(ISNUMBER(MATCH(DATEVALUE($A320),'recurring1_based on steps'!Z$1:Z$400,0)),Z$2,)</f>
        <v>0</v>
      </c>
      <c r="AA320" s="140">
        <f ca="1">IF(ISNUMBER(MATCH(DATEVALUE($A320),'recurring1_based on steps'!AA$1:AA$400,0)),AA$2,)</f>
        <v>0</v>
      </c>
      <c r="AB320" s="140">
        <f ca="1">IF(ISNUMBER(MATCH(DATEVALUE($A320),'recurring1_based on steps'!AB$1:AB$400,0)),AB$2,)</f>
        <v>5.5401662049861494E-2</v>
      </c>
      <c r="AC320" s="140">
        <f ca="1">IF(ISNUMBER(MATCH(DATEVALUE($A320),'recurring1_based on steps'!AC$1:AC$400,0)),AC$2,)</f>
        <v>0</v>
      </c>
      <c r="AD320" s="140">
        <f ca="1">IF(ISNUMBER(MATCH(DATEVALUE($A320),'recurring1_based on steps'!AD$1:AD$400,0)),AD$2,)</f>
        <v>0</v>
      </c>
      <c r="AE320" s="140">
        <f ca="1">IF(ISNUMBER(MATCH(DATEVALUE($A320),'recurring1_based on steps'!AE$1:AE$400,0)),AE$2,)</f>
        <v>0</v>
      </c>
      <c r="AF320" s="140">
        <f ca="1">IF(ISNUMBER(MATCH(DATEVALUE($A320),'recurring1_based on steps'!AF$1:AF$400,0)),AF$2,)</f>
        <v>0</v>
      </c>
      <c r="AG320" s="140">
        <f ca="1">IF(ISNUMBER(MATCH(DATEVALUE($A320),'recurring1_based on steps'!AG$1:AG$400,0)),AG$2,)</f>
        <v>0</v>
      </c>
      <c r="AH320" s="140">
        <f ca="1">IF(ISNUMBER(MATCH(DATEVALUE($A320),'recurring1_based on steps'!AH$1:AH$400,0)),AH$2,)</f>
        <v>0</v>
      </c>
      <c r="AI320" s="140">
        <f ca="1">IF(ISNUMBER(MATCH(DATEVALUE($A320),'recurring1_based on steps'!AI$1:AI$400,0)),AI$2,)</f>
        <v>0</v>
      </c>
      <c r="AJ320" s="140">
        <f ca="1">IF(ISNUMBER(MATCH(DATEVALUE($A320),'recurring1_based on steps'!AJ$1:AJ$400,0)),AJ$2,)</f>
        <v>0</v>
      </c>
      <c r="AK320" s="140">
        <f ca="1">IF(ISNUMBER(MATCH(DATEVALUE($A320),'recurring1_based on steps'!AK$1:AK$400,0)),AK$2,)</f>
        <v>0</v>
      </c>
      <c r="AL320" s="140">
        <f ca="1">IF(ISNUMBER(MATCH(DATEVALUE($A320),'recurring1_based on steps'!AL$1:AL$400,0)),AL$2,)</f>
        <v>0</v>
      </c>
      <c r="AM320" s="140">
        <f ca="1">IF(ISNUMBER(MATCH(DATEVALUE($A320),'recurring1_based on steps'!AM$1:AM$400,0)),AM$2,)</f>
        <v>0</v>
      </c>
      <c r="AN320" s="140">
        <f ca="1">IF(ISNUMBER(MATCH(DATEVALUE($A320),'recurring1_based on steps'!AN$1:AN$400,0)),AN$2,)</f>
        <v>0</v>
      </c>
      <c r="AO320" s="140">
        <f ca="1">IF(ISNUMBER(MATCH(DATEVALUE($A320),'recurring1_based on steps'!AO$1:AO$400,0)),AO$2,)</f>
        <v>0</v>
      </c>
      <c r="AP320" s="140">
        <f ca="1">IF(ISNUMBER(MATCH(DATEVALUE($A320),'recurring1_based on steps'!AP$1:AP$400,0)),AP$2,)</f>
        <v>0</v>
      </c>
      <c r="AQ320" s="140">
        <f ca="1">IF(ISNUMBER(MATCH(DATEVALUE($A320),'recurring1_based on steps'!AQ$1:AQ$400,0)),AQ$2,)</f>
        <v>0</v>
      </c>
      <c r="AR320" s="140">
        <f ca="1">IF(ISNUMBER(MATCH(DATEVALUE($A320),'recurring1_based on steps'!AR$1:AR$400,0)),AR$2,)</f>
        <v>0</v>
      </c>
      <c r="AS320" s="140">
        <f ca="1">IF(ISNUMBER(MATCH(DATEVALUE($A320),'recurring1_based on steps'!AS$1:AS$400,0)),AS$2,)</f>
        <v>0</v>
      </c>
      <c r="AT320" s="140">
        <f ca="1">IF(ISNUMBER(MATCH(DATEVALUE($A320),'recurring1_based on steps'!AT$1:AT$400,0)),AT$2,)</f>
        <v>0</v>
      </c>
      <c r="AU320" s="140">
        <f ca="1">IF(ISNUMBER(MATCH(DATEVALUE($A320),'recurring1_based on steps'!AU$1:AU$400,0)),AU$2,)</f>
        <v>0</v>
      </c>
      <c r="AV320" s="140">
        <f ca="1">IF(ISNUMBER(MATCH(DATEVALUE($A320),'recurring1_based on steps'!AV$1:AV$400,0)),AV$2,)</f>
        <v>0</v>
      </c>
      <c r="AW320" s="140">
        <f ca="1">IF(ISNUMBER(MATCH(DATEVALUE($A320),'recurring1_based on steps'!AW$1:AW$400,0)),AW$2,)</f>
        <v>0</v>
      </c>
      <c r="AX320" s="140">
        <f ca="1">IF(ISNUMBER(MATCH(DATEVALUE($A320),'recurring1_based on steps'!AX$1:AX$400,0)),AX$2,)</f>
        <v>0</v>
      </c>
      <c r="AY320" s="140">
        <f ca="1">IF(ISNUMBER(MATCH(DATEVALUE($A320),'recurring1_based on steps'!AY$1:AY$400,0)),AY$2,)</f>
        <v>0</v>
      </c>
    </row>
    <row r="321" spans="1:51" x14ac:dyDescent="0.2">
      <c r="A321" s="29" t="str">
        <f t="shared" ca="1" si="4"/>
        <v>2026-02-08</v>
      </c>
      <c r="B321" s="140">
        <f ca="1">IF(ISNUMBER(MATCH(DATEVALUE($A321),'recurring1_based on steps'!B$1:B$400,0)),B$2,)</f>
        <v>0</v>
      </c>
      <c r="C321" s="140">
        <f ca="1">IF(ISNUMBER(MATCH(DATEVALUE($A321),'recurring1_based on steps'!C$1:C$400,0)),C$2,)</f>
        <v>0</v>
      </c>
      <c r="D321" s="140">
        <f ca="1">IF(ISNUMBER(MATCH(DATEVALUE($A321),'recurring1_based on steps'!D$1:D$400,0)),D$2,)</f>
        <v>0</v>
      </c>
      <c r="E321" s="140">
        <f ca="1">IF(ISNUMBER(MATCH(DATEVALUE($A321),'recurring1_based on steps'!E$1:E$400,0)),E$2,)</f>
        <v>0</v>
      </c>
      <c r="F321" s="140">
        <f ca="1">IF(ISNUMBER(MATCH(DATEVALUE($A321),'recurring1_based on steps'!F$1:F$400,0)),F$2,)</f>
        <v>0</v>
      </c>
      <c r="G321" s="140">
        <f ca="1">IF(ISNUMBER(MATCH(DATEVALUE($A321),'recurring1_based on steps'!G$1:G$400,0)),G$2,)</f>
        <v>0</v>
      </c>
      <c r="H321" s="140">
        <f ca="1">IF(ISNUMBER(MATCH(DATEVALUE($A321),'recurring1_based on steps'!H$1:H$400,0)),H$2,)</f>
        <v>0</v>
      </c>
      <c r="I321" s="140">
        <f ca="1">IF(ISNUMBER(MATCH(DATEVALUE($A321),'recurring1_based on steps'!I$1:I$400,0)),I$2,)</f>
        <v>0</v>
      </c>
      <c r="J321" s="140">
        <f ca="1">IF(ISNUMBER(MATCH(DATEVALUE($A321),'recurring1_based on steps'!J$1:J$400,0)),J$2,)</f>
        <v>0</v>
      </c>
      <c r="K321" s="140">
        <f ca="1">IF(ISNUMBER(MATCH(DATEVALUE($A321),'recurring1_based on steps'!K$1:K$400,0)),K$2,)</f>
        <v>50</v>
      </c>
      <c r="L321" s="140">
        <f ca="1">IF(ISNUMBER(MATCH(DATEVALUE($A321),'recurring1_based on steps'!L$1:L$400,0)),L$2,)</f>
        <v>0</v>
      </c>
      <c r="M321" s="140">
        <f ca="1">IF(ISNUMBER(MATCH(DATEVALUE($A321),'recurring1_based on steps'!M$1:M$400,0)),M$2,)</f>
        <v>0</v>
      </c>
      <c r="N321" s="140">
        <f ca="1">IF(ISNUMBER(MATCH(DATEVALUE($A321),'recurring1_based on steps'!N$1:N$400,0)),N$2,)</f>
        <v>0</v>
      </c>
      <c r="O321" s="140">
        <f ca="1">IF(ISNUMBER(MATCH(DATEVALUE($A321),'recurring1_based on steps'!O$1:O$400,0)),O$2,)</f>
        <v>0</v>
      </c>
      <c r="P321" s="140">
        <f ca="1">IF(ISNUMBER(MATCH(DATEVALUE($A321),'recurring1_based on steps'!P$1:P$400,0)),P$2,)</f>
        <v>0</v>
      </c>
      <c r="Q321" s="140">
        <f ca="1">IF(ISNUMBER(MATCH(DATEVALUE($A321),'recurring1_based on steps'!Q$1:Q$400,0)),Q$2,)</f>
        <v>0</v>
      </c>
      <c r="R321" s="140">
        <f ca="1">IF(ISNUMBER(MATCH(DATEVALUE($A321),'recurring1_based on steps'!R$1:R$400,0)),R$2,)</f>
        <v>0</v>
      </c>
      <c r="S321" s="140">
        <f ca="1">IF(ISNUMBER(MATCH(DATEVALUE($A321),'recurring1_based on steps'!S$1:S$400,0)),S$2,)</f>
        <v>100</v>
      </c>
      <c r="T321" s="140">
        <f ca="1">IF(ISNUMBER(MATCH(DATEVALUE($A321),'recurring1_based on steps'!T$1:T$400,0)),T$2,)</f>
        <v>0</v>
      </c>
      <c r="U321" s="140">
        <f ca="1">IF(ISNUMBER(MATCH(DATEVALUE($A321),'recurring1_based on steps'!U$1:U$400,0)),U$2,)</f>
        <v>0</v>
      </c>
      <c r="V321" s="140">
        <f ca="1">IF(ISNUMBER(MATCH(DATEVALUE($A321),'recurring1_based on steps'!V$1:V$400,0)),V$2,)</f>
        <v>0</v>
      </c>
      <c r="W321" s="140">
        <f ca="1">IF(ISNUMBER(MATCH(DATEVALUE($A321),'recurring1_based on steps'!W$1:W$400,0)),W$2,)</f>
        <v>0</v>
      </c>
      <c r="X321" s="140">
        <f ca="1">IF(ISNUMBER(MATCH(DATEVALUE($A321),'recurring1_based on steps'!X$1:X$400,0)),X$2,)</f>
        <v>0</v>
      </c>
      <c r="Y321" s="140">
        <f ca="1">IF(ISNUMBER(MATCH(DATEVALUE($A321),'recurring1_based on steps'!Y$1:Y$400,0)),Y$2,)</f>
        <v>0</v>
      </c>
      <c r="Z321" s="140">
        <f ca="1">IF(ISNUMBER(MATCH(DATEVALUE($A321),'recurring1_based on steps'!Z$1:Z$400,0)),Z$2,)</f>
        <v>0</v>
      </c>
      <c r="AA321" s="140">
        <f ca="1">IF(ISNUMBER(MATCH(DATEVALUE($A321),'recurring1_based on steps'!AA$1:AA$400,0)),AA$2,)</f>
        <v>0</v>
      </c>
      <c r="AB321" s="140">
        <f ca="1">IF(ISNUMBER(MATCH(DATEVALUE($A321),'recurring1_based on steps'!AB$1:AB$400,0)),AB$2,)</f>
        <v>5.5401662049861494E-2</v>
      </c>
      <c r="AC321" s="140">
        <f ca="1">IF(ISNUMBER(MATCH(DATEVALUE($A321),'recurring1_based on steps'!AC$1:AC$400,0)),AC$2,)</f>
        <v>0</v>
      </c>
      <c r="AD321" s="140">
        <f ca="1">IF(ISNUMBER(MATCH(DATEVALUE($A321),'recurring1_based on steps'!AD$1:AD$400,0)),AD$2,)</f>
        <v>0</v>
      </c>
      <c r="AE321" s="140">
        <f ca="1">IF(ISNUMBER(MATCH(DATEVALUE($A321),'recurring1_based on steps'!AE$1:AE$400,0)),AE$2,)</f>
        <v>0</v>
      </c>
      <c r="AF321" s="140">
        <f ca="1">IF(ISNUMBER(MATCH(DATEVALUE($A321),'recurring1_based on steps'!AF$1:AF$400,0)),AF$2,)</f>
        <v>0</v>
      </c>
      <c r="AG321" s="140">
        <f ca="1">IF(ISNUMBER(MATCH(DATEVALUE($A321),'recurring1_based on steps'!AG$1:AG$400,0)),AG$2,)</f>
        <v>0</v>
      </c>
      <c r="AH321" s="140">
        <f ca="1">IF(ISNUMBER(MATCH(DATEVALUE($A321),'recurring1_based on steps'!AH$1:AH$400,0)),AH$2,)</f>
        <v>0</v>
      </c>
      <c r="AI321" s="140">
        <f ca="1">IF(ISNUMBER(MATCH(DATEVALUE($A321),'recurring1_based on steps'!AI$1:AI$400,0)),AI$2,)</f>
        <v>0</v>
      </c>
      <c r="AJ321" s="140">
        <f ca="1">IF(ISNUMBER(MATCH(DATEVALUE($A321),'recurring1_based on steps'!AJ$1:AJ$400,0)),AJ$2,)</f>
        <v>0</v>
      </c>
      <c r="AK321" s="140">
        <f ca="1">IF(ISNUMBER(MATCH(DATEVALUE($A321),'recurring1_based on steps'!AK$1:AK$400,0)),AK$2,)</f>
        <v>0</v>
      </c>
      <c r="AL321" s="140">
        <f ca="1">IF(ISNUMBER(MATCH(DATEVALUE($A321),'recurring1_based on steps'!AL$1:AL$400,0)),AL$2,)</f>
        <v>0</v>
      </c>
      <c r="AM321" s="140">
        <f ca="1">IF(ISNUMBER(MATCH(DATEVALUE($A321),'recurring1_based on steps'!AM$1:AM$400,0)),AM$2,)</f>
        <v>0</v>
      </c>
      <c r="AN321" s="140">
        <f ca="1">IF(ISNUMBER(MATCH(DATEVALUE($A321),'recurring1_based on steps'!AN$1:AN$400,0)),AN$2,)</f>
        <v>0</v>
      </c>
      <c r="AO321" s="140">
        <f ca="1">IF(ISNUMBER(MATCH(DATEVALUE($A321),'recurring1_based on steps'!AO$1:AO$400,0)),AO$2,)</f>
        <v>0</v>
      </c>
      <c r="AP321" s="140">
        <f ca="1">IF(ISNUMBER(MATCH(DATEVALUE($A321),'recurring1_based on steps'!AP$1:AP$400,0)),AP$2,)</f>
        <v>0</v>
      </c>
      <c r="AQ321" s="140">
        <f ca="1">IF(ISNUMBER(MATCH(DATEVALUE($A321),'recurring1_based on steps'!AQ$1:AQ$400,0)),AQ$2,)</f>
        <v>0</v>
      </c>
      <c r="AR321" s="140">
        <f ca="1">IF(ISNUMBER(MATCH(DATEVALUE($A321),'recurring1_based on steps'!AR$1:AR$400,0)),AR$2,)</f>
        <v>0</v>
      </c>
      <c r="AS321" s="140">
        <f ca="1">IF(ISNUMBER(MATCH(DATEVALUE($A321),'recurring1_based on steps'!AS$1:AS$400,0)),AS$2,)</f>
        <v>0</v>
      </c>
      <c r="AT321" s="140">
        <f ca="1">IF(ISNUMBER(MATCH(DATEVALUE($A321),'recurring1_based on steps'!AT$1:AT$400,0)),AT$2,)</f>
        <v>0</v>
      </c>
      <c r="AU321" s="140">
        <f ca="1">IF(ISNUMBER(MATCH(DATEVALUE($A321),'recurring1_based on steps'!AU$1:AU$400,0)),AU$2,)</f>
        <v>0</v>
      </c>
      <c r="AV321" s="140">
        <f ca="1">IF(ISNUMBER(MATCH(DATEVALUE($A321),'recurring1_based on steps'!AV$1:AV$400,0)),AV$2,)</f>
        <v>0</v>
      </c>
      <c r="AW321" s="140">
        <f ca="1">IF(ISNUMBER(MATCH(DATEVALUE($A321),'recurring1_based on steps'!AW$1:AW$400,0)),AW$2,)</f>
        <v>0</v>
      </c>
      <c r="AX321" s="140">
        <f ca="1">IF(ISNUMBER(MATCH(DATEVALUE($A321),'recurring1_based on steps'!AX$1:AX$400,0)),AX$2,)</f>
        <v>0</v>
      </c>
      <c r="AY321" s="140">
        <f ca="1">IF(ISNUMBER(MATCH(DATEVALUE($A321),'recurring1_based on steps'!AY$1:AY$400,0)),AY$2,)</f>
        <v>0</v>
      </c>
    </row>
    <row r="322" spans="1:51" x14ac:dyDescent="0.2">
      <c r="A322" s="29" t="str">
        <f t="shared" ca="1" si="4"/>
        <v>2026-02-09</v>
      </c>
      <c r="B322" s="140">
        <f ca="1">IF(ISNUMBER(MATCH(DATEVALUE($A322),'recurring1_based on steps'!B$1:B$400,0)),B$2,)</f>
        <v>0</v>
      </c>
      <c r="C322" s="140">
        <f ca="1">IF(ISNUMBER(MATCH(DATEVALUE($A322),'recurring1_based on steps'!C$1:C$400,0)),C$2,)</f>
        <v>0</v>
      </c>
      <c r="D322" s="140">
        <f ca="1">IF(ISNUMBER(MATCH(DATEVALUE($A322),'recurring1_based on steps'!D$1:D$400,0)),D$2,)</f>
        <v>0</v>
      </c>
      <c r="E322" s="140">
        <f ca="1">IF(ISNUMBER(MATCH(DATEVALUE($A322),'recurring1_based on steps'!E$1:E$400,0)),E$2,)</f>
        <v>0</v>
      </c>
      <c r="F322" s="140">
        <f ca="1">IF(ISNUMBER(MATCH(DATEVALUE($A322),'recurring1_based on steps'!F$1:F$400,0)),F$2,)</f>
        <v>0</v>
      </c>
      <c r="G322" s="140">
        <f ca="1">IF(ISNUMBER(MATCH(DATEVALUE($A322),'recurring1_based on steps'!G$1:G$400,0)),G$2,)</f>
        <v>0</v>
      </c>
      <c r="H322" s="140">
        <f ca="1">IF(ISNUMBER(MATCH(DATEVALUE($A322),'recurring1_based on steps'!H$1:H$400,0)),H$2,)</f>
        <v>0</v>
      </c>
      <c r="I322" s="140">
        <f ca="1">IF(ISNUMBER(MATCH(DATEVALUE($A322),'recurring1_based on steps'!I$1:I$400,0)),I$2,)</f>
        <v>0</v>
      </c>
      <c r="J322" s="140">
        <f ca="1">IF(ISNUMBER(MATCH(DATEVALUE($A322),'recurring1_based on steps'!J$1:J$400,0)),J$2,)</f>
        <v>0</v>
      </c>
      <c r="K322" s="140">
        <f ca="1">IF(ISNUMBER(MATCH(DATEVALUE($A322),'recurring1_based on steps'!K$1:K$400,0)),K$2,)</f>
        <v>0</v>
      </c>
      <c r="L322" s="140">
        <f ca="1">IF(ISNUMBER(MATCH(DATEVALUE($A322),'recurring1_based on steps'!L$1:L$400,0)),L$2,)</f>
        <v>0</v>
      </c>
      <c r="M322" s="140">
        <f ca="1">IF(ISNUMBER(MATCH(DATEVALUE($A322),'recurring1_based on steps'!M$1:M$400,0)),M$2,)</f>
        <v>0</v>
      </c>
      <c r="N322" s="140">
        <f ca="1">IF(ISNUMBER(MATCH(DATEVALUE($A322),'recurring1_based on steps'!N$1:N$400,0)),N$2,)</f>
        <v>0</v>
      </c>
      <c r="O322" s="140">
        <f ca="1">IF(ISNUMBER(MATCH(DATEVALUE($A322),'recurring1_based on steps'!O$1:O$400,0)),O$2,)</f>
        <v>0</v>
      </c>
      <c r="P322" s="140">
        <f ca="1">IF(ISNUMBER(MATCH(DATEVALUE($A322),'recurring1_based on steps'!P$1:P$400,0)),P$2,)</f>
        <v>0</v>
      </c>
      <c r="Q322" s="140">
        <f ca="1">IF(ISNUMBER(MATCH(DATEVALUE($A322),'recurring1_based on steps'!Q$1:Q$400,0)),Q$2,)</f>
        <v>0</v>
      </c>
      <c r="R322" s="140">
        <f ca="1">IF(ISNUMBER(MATCH(DATEVALUE($A322),'recurring1_based on steps'!R$1:R$400,0)),R$2,)</f>
        <v>0</v>
      </c>
      <c r="S322" s="140">
        <f ca="1">IF(ISNUMBER(MATCH(DATEVALUE($A322),'recurring1_based on steps'!S$1:S$400,0)),S$2,)</f>
        <v>0</v>
      </c>
      <c r="T322" s="140">
        <f ca="1">IF(ISNUMBER(MATCH(DATEVALUE($A322),'recurring1_based on steps'!T$1:T$400,0)),T$2,)</f>
        <v>0</v>
      </c>
      <c r="U322" s="140">
        <f ca="1">IF(ISNUMBER(MATCH(DATEVALUE($A322),'recurring1_based on steps'!U$1:U$400,0)),U$2,)</f>
        <v>0</v>
      </c>
      <c r="V322" s="140">
        <f ca="1">IF(ISNUMBER(MATCH(DATEVALUE($A322),'recurring1_based on steps'!V$1:V$400,0)),V$2,)</f>
        <v>0</v>
      </c>
      <c r="W322" s="140">
        <f ca="1">IF(ISNUMBER(MATCH(DATEVALUE($A322),'recurring1_based on steps'!W$1:W$400,0)),W$2,)</f>
        <v>0</v>
      </c>
      <c r="X322" s="140">
        <f ca="1">IF(ISNUMBER(MATCH(DATEVALUE($A322),'recurring1_based on steps'!X$1:X$400,0)),X$2,)</f>
        <v>0</v>
      </c>
      <c r="Y322" s="140">
        <f ca="1">IF(ISNUMBER(MATCH(DATEVALUE($A322),'recurring1_based on steps'!Y$1:Y$400,0)),Y$2,)</f>
        <v>0</v>
      </c>
      <c r="Z322" s="140">
        <f ca="1">IF(ISNUMBER(MATCH(DATEVALUE($A322),'recurring1_based on steps'!Z$1:Z$400,0)),Z$2,)</f>
        <v>0</v>
      </c>
      <c r="AA322" s="140">
        <f ca="1">IF(ISNUMBER(MATCH(DATEVALUE($A322),'recurring1_based on steps'!AA$1:AA$400,0)),AA$2,)</f>
        <v>0</v>
      </c>
      <c r="AB322" s="140">
        <f ca="1">IF(ISNUMBER(MATCH(DATEVALUE($A322),'recurring1_based on steps'!AB$1:AB$400,0)),AB$2,)</f>
        <v>5.5401662049861494E-2</v>
      </c>
      <c r="AC322" s="140">
        <f ca="1">IF(ISNUMBER(MATCH(DATEVALUE($A322),'recurring1_based on steps'!AC$1:AC$400,0)),AC$2,)</f>
        <v>0</v>
      </c>
      <c r="AD322" s="140">
        <f ca="1">IF(ISNUMBER(MATCH(DATEVALUE($A322),'recurring1_based on steps'!AD$1:AD$400,0)),AD$2,)</f>
        <v>0</v>
      </c>
      <c r="AE322" s="140">
        <f ca="1">IF(ISNUMBER(MATCH(DATEVALUE($A322),'recurring1_based on steps'!AE$1:AE$400,0)),AE$2,)</f>
        <v>0</v>
      </c>
      <c r="AF322" s="140">
        <f ca="1">IF(ISNUMBER(MATCH(DATEVALUE($A322),'recurring1_based on steps'!AF$1:AF$400,0)),AF$2,)</f>
        <v>0</v>
      </c>
      <c r="AG322" s="140">
        <f ca="1">IF(ISNUMBER(MATCH(DATEVALUE($A322),'recurring1_based on steps'!AG$1:AG$400,0)),AG$2,)</f>
        <v>0</v>
      </c>
      <c r="AH322" s="140">
        <f ca="1">IF(ISNUMBER(MATCH(DATEVALUE($A322),'recurring1_based on steps'!AH$1:AH$400,0)),AH$2,)</f>
        <v>0</v>
      </c>
      <c r="AI322" s="140">
        <f ca="1">IF(ISNUMBER(MATCH(DATEVALUE($A322),'recurring1_based on steps'!AI$1:AI$400,0)),AI$2,)</f>
        <v>0</v>
      </c>
      <c r="AJ322" s="140">
        <f ca="1">IF(ISNUMBER(MATCH(DATEVALUE($A322),'recurring1_based on steps'!AJ$1:AJ$400,0)),AJ$2,)</f>
        <v>0</v>
      </c>
      <c r="AK322" s="140">
        <f ca="1">IF(ISNUMBER(MATCH(DATEVALUE($A322),'recurring1_based on steps'!AK$1:AK$400,0)),AK$2,)</f>
        <v>0</v>
      </c>
      <c r="AL322" s="140">
        <f ca="1">IF(ISNUMBER(MATCH(DATEVALUE($A322),'recurring1_based on steps'!AL$1:AL$400,0)),AL$2,)</f>
        <v>0</v>
      </c>
      <c r="AM322" s="140">
        <f ca="1">IF(ISNUMBER(MATCH(DATEVALUE($A322),'recurring1_based on steps'!AM$1:AM$400,0)),AM$2,)</f>
        <v>0</v>
      </c>
      <c r="AN322" s="140">
        <f ca="1">IF(ISNUMBER(MATCH(DATEVALUE($A322),'recurring1_based on steps'!AN$1:AN$400,0)),AN$2,)</f>
        <v>0</v>
      </c>
      <c r="AO322" s="140">
        <f ca="1">IF(ISNUMBER(MATCH(DATEVALUE($A322),'recurring1_based on steps'!AO$1:AO$400,0)),AO$2,)</f>
        <v>0</v>
      </c>
      <c r="AP322" s="140">
        <f ca="1">IF(ISNUMBER(MATCH(DATEVALUE($A322),'recurring1_based on steps'!AP$1:AP$400,0)),AP$2,)</f>
        <v>0</v>
      </c>
      <c r="AQ322" s="140">
        <f ca="1">IF(ISNUMBER(MATCH(DATEVALUE($A322),'recurring1_based on steps'!AQ$1:AQ$400,0)),AQ$2,)</f>
        <v>0</v>
      </c>
      <c r="AR322" s="140">
        <f ca="1">IF(ISNUMBER(MATCH(DATEVALUE($A322),'recurring1_based on steps'!AR$1:AR$400,0)),AR$2,)</f>
        <v>0</v>
      </c>
      <c r="AS322" s="140">
        <f ca="1">IF(ISNUMBER(MATCH(DATEVALUE($A322),'recurring1_based on steps'!AS$1:AS$400,0)),AS$2,)</f>
        <v>0</v>
      </c>
      <c r="AT322" s="140">
        <f ca="1">IF(ISNUMBER(MATCH(DATEVALUE($A322),'recurring1_based on steps'!AT$1:AT$400,0)),AT$2,)</f>
        <v>0</v>
      </c>
      <c r="AU322" s="140">
        <f ca="1">IF(ISNUMBER(MATCH(DATEVALUE($A322),'recurring1_based on steps'!AU$1:AU$400,0)),AU$2,)</f>
        <v>0</v>
      </c>
      <c r="AV322" s="140">
        <f ca="1">IF(ISNUMBER(MATCH(DATEVALUE($A322),'recurring1_based on steps'!AV$1:AV$400,0)),AV$2,)</f>
        <v>0</v>
      </c>
      <c r="AW322" s="140">
        <f ca="1">IF(ISNUMBER(MATCH(DATEVALUE($A322),'recurring1_based on steps'!AW$1:AW$400,0)),AW$2,)</f>
        <v>0</v>
      </c>
      <c r="AX322" s="140">
        <f ca="1">IF(ISNUMBER(MATCH(DATEVALUE($A322),'recurring1_based on steps'!AX$1:AX$400,0)),AX$2,)</f>
        <v>0</v>
      </c>
      <c r="AY322" s="140">
        <f ca="1">IF(ISNUMBER(MATCH(DATEVALUE($A322),'recurring1_based on steps'!AY$1:AY$400,0)),AY$2,)</f>
        <v>0</v>
      </c>
    </row>
    <row r="323" spans="1:51" x14ac:dyDescent="0.2">
      <c r="A323" s="29" t="str">
        <f t="shared" ca="1" si="4"/>
        <v>2026-02-10</v>
      </c>
      <c r="B323" s="140">
        <f ca="1">IF(ISNUMBER(MATCH(DATEVALUE($A323),'recurring1_based on steps'!B$1:B$400,0)),B$2,)</f>
        <v>0</v>
      </c>
      <c r="C323" s="140">
        <f ca="1">IF(ISNUMBER(MATCH(DATEVALUE($A323),'recurring1_based on steps'!C$1:C$400,0)),C$2,)</f>
        <v>0</v>
      </c>
      <c r="D323" s="140">
        <f ca="1">IF(ISNUMBER(MATCH(DATEVALUE($A323),'recurring1_based on steps'!D$1:D$400,0)),D$2,)</f>
        <v>0</v>
      </c>
      <c r="E323" s="140">
        <f ca="1">IF(ISNUMBER(MATCH(DATEVALUE($A323),'recurring1_based on steps'!E$1:E$400,0)),E$2,)</f>
        <v>0</v>
      </c>
      <c r="F323" s="140">
        <f ca="1">IF(ISNUMBER(MATCH(DATEVALUE($A323),'recurring1_based on steps'!F$1:F$400,0)),F$2,)</f>
        <v>0</v>
      </c>
      <c r="G323" s="140">
        <f ca="1">IF(ISNUMBER(MATCH(DATEVALUE($A323),'recurring1_based on steps'!G$1:G$400,0)),G$2,)</f>
        <v>0</v>
      </c>
      <c r="H323" s="140">
        <f ca="1">IF(ISNUMBER(MATCH(DATEVALUE($A323),'recurring1_based on steps'!H$1:H$400,0)),H$2,)</f>
        <v>0</v>
      </c>
      <c r="I323" s="140">
        <f ca="1">IF(ISNUMBER(MATCH(DATEVALUE($A323),'recurring1_based on steps'!I$1:I$400,0)),I$2,)</f>
        <v>0</v>
      </c>
      <c r="J323" s="140">
        <f ca="1">IF(ISNUMBER(MATCH(DATEVALUE($A323),'recurring1_based on steps'!J$1:J$400,0)),J$2,)</f>
        <v>0</v>
      </c>
      <c r="K323" s="140">
        <f ca="1">IF(ISNUMBER(MATCH(DATEVALUE($A323),'recurring1_based on steps'!K$1:K$400,0)),K$2,)</f>
        <v>0</v>
      </c>
      <c r="L323" s="140">
        <f ca="1">IF(ISNUMBER(MATCH(DATEVALUE($A323),'recurring1_based on steps'!L$1:L$400,0)),L$2,)</f>
        <v>0</v>
      </c>
      <c r="M323" s="140">
        <f ca="1">IF(ISNUMBER(MATCH(DATEVALUE($A323),'recurring1_based on steps'!M$1:M$400,0)),M$2,)</f>
        <v>0</v>
      </c>
      <c r="N323" s="140">
        <f ca="1">IF(ISNUMBER(MATCH(DATEVALUE($A323),'recurring1_based on steps'!N$1:N$400,0)),N$2,)</f>
        <v>0</v>
      </c>
      <c r="O323" s="140">
        <f ca="1">IF(ISNUMBER(MATCH(DATEVALUE($A323),'recurring1_based on steps'!O$1:O$400,0)),O$2,)</f>
        <v>0</v>
      </c>
      <c r="P323" s="140">
        <f ca="1">IF(ISNUMBER(MATCH(DATEVALUE($A323),'recurring1_based on steps'!P$1:P$400,0)),P$2,)</f>
        <v>0</v>
      </c>
      <c r="Q323" s="140">
        <f ca="1">IF(ISNUMBER(MATCH(DATEVALUE($A323),'recurring1_based on steps'!Q$1:Q$400,0)),Q$2,)</f>
        <v>0</v>
      </c>
      <c r="R323" s="140">
        <f ca="1">IF(ISNUMBER(MATCH(DATEVALUE($A323),'recurring1_based on steps'!R$1:R$400,0)),R$2,)</f>
        <v>0</v>
      </c>
      <c r="S323" s="140">
        <f ca="1">IF(ISNUMBER(MATCH(DATEVALUE($A323),'recurring1_based on steps'!S$1:S$400,0)),S$2,)</f>
        <v>0</v>
      </c>
      <c r="T323" s="140">
        <f ca="1">IF(ISNUMBER(MATCH(DATEVALUE($A323),'recurring1_based on steps'!T$1:T$400,0)),T$2,)</f>
        <v>0</v>
      </c>
      <c r="U323" s="140">
        <f ca="1">IF(ISNUMBER(MATCH(DATEVALUE($A323),'recurring1_based on steps'!U$1:U$400,0)),U$2,)</f>
        <v>0</v>
      </c>
      <c r="V323" s="140">
        <f ca="1">IF(ISNUMBER(MATCH(DATEVALUE($A323),'recurring1_based on steps'!V$1:V$400,0)),V$2,)</f>
        <v>0</v>
      </c>
      <c r="W323" s="140">
        <f ca="1">IF(ISNUMBER(MATCH(DATEVALUE($A323),'recurring1_based on steps'!W$1:W$400,0)),W$2,)</f>
        <v>0</v>
      </c>
      <c r="X323" s="140">
        <f ca="1">IF(ISNUMBER(MATCH(DATEVALUE($A323),'recurring1_based on steps'!X$1:X$400,0)),X$2,)</f>
        <v>0</v>
      </c>
      <c r="Y323" s="140">
        <f ca="1">IF(ISNUMBER(MATCH(DATEVALUE($A323),'recurring1_based on steps'!Y$1:Y$400,0)),Y$2,)</f>
        <v>0</v>
      </c>
      <c r="Z323" s="140">
        <f ca="1">IF(ISNUMBER(MATCH(DATEVALUE($A323),'recurring1_based on steps'!Z$1:Z$400,0)),Z$2,)</f>
        <v>0</v>
      </c>
      <c r="AA323" s="140">
        <f ca="1">IF(ISNUMBER(MATCH(DATEVALUE($A323),'recurring1_based on steps'!AA$1:AA$400,0)),AA$2,)</f>
        <v>0</v>
      </c>
      <c r="AB323" s="140">
        <f ca="1">IF(ISNUMBER(MATCH(DATEVALUE($A323),'recurring1_based on steps'!AB$1:AB$400,0)),AB$2,)</f>
        <v>5.5401662049861494E-2</v>
      </c>
      <c r="AC323" s="140">
        <f ca="1">IF(ISNUMBER(MATCH(DATEVALUE($A323),'recurring1_based on steps'!AC$1:AC$400,0)),AC$2,)</f>
        <v>0</v>
      </c>
      <c r="AD323" s="140">
        <f ca="1">IF(ISNUMBER(MATCH(DATEVALUE($A323),'recurring1_based on steps'!AD$1:AD$400,0)),AD$2,)</f>
        <v>0</v>
      </c>
      <c r="AE323" s="140">
        <f ca="1">IF(ISNUMBER(MATCH(DATEVALUE($A323),'recurring1_based on steps'!AE$1:AE$400,0)),AE$2,)</f>
        <v>0</v>
      </c>
      <c r="AF323" s="140">
        <f ca="1">IF(ISNUMBER(MATCH(DATEVALUE($A323),'recurring1_based on steps'!AF$1:AF$400,0)),AF$2,)</f>
        <v>0</v>
      </c>
      <c r="AG323" s="140">
        <f ca="1">IF(ISNUMBER(MATCH(DATEVALUE($A323),'recurring1_based on steps'!AG$1:AG$400,0)),AG$2,)</f>
        <v>0</v>
      </c>
      <c r="AH323" s="140">
        <f ca="1">IF(ISNUMBER(MATCH(DATEVALUE($A323),'recurring1_based on steps'!AH$1:AH$400,0)),AH$2,)</f>
        <v>0</v>
      </c>
      <c r="AI323" s="140">
        <f ca="1">IF(ISNUMBER(MATCH(DATEVALUE($A323),'recurring1_based on steps'!AI$1:AI$400,0)),AI$2,)</f>
        <v>0</v>
      </c>
      <c r="AJ323" s="140">
        <f ca="1">IF(ISNUMBER(MATCH(DATEVALUE($A323),'recurring1_based on steps'!AJ$1:AJ$400,0)),AJ$2,)</f>
        <v>0</v>
      </c>
      <c r="AK323" s="140">
        <f ca="1">IF(ISNUMBER(MATCH(DATEVALUE($A323),'recurring1_based on steps'!AK$1:AK$400,0)),AK$2,)</f>
        <v>0</v>
      </c>
      <c r="AL323" s="140">
        <f ca="1">IF(ISNUMBER(MATCH(DATEVALUE($A323),'recurring1_based on steps'!AL$1:AL$400,0)),AL$2,)</f>
        <v>0</v>
      </c>
      <c r="AM323" s="140">
        <f ca="1">IF(ISNUMBER(MATCH(DATEVALUE($A323),'recurring1_based on steps'!AM$1:AM$400,0)),AM$2,)</f>
        <v>0</v>
      </c>
      <c r="AN323" s="140">
        <f ca="1">IF(ISNUMBER(MATCH(DATEVALUE($A323),'recurring1_based on steps'!AN$1:AN$400,0)),AN$2,)</f>
        <v>0</v>
      </c>
      <c r="AO323" s="140">
        <f ca="1">IF(ISNUMBER(MATCH(DATEVALUE($A323),'recurring1_based on steps'!AO$1:AO$400,0)),AO$2,)</f>
        <v>0</v>
      </c>
      <c r="AP323" s="140">
        <f ca="1">IF(ISNUMBER(MATCH(DATEVALUE($A323),'recurring1_based on steps'!AP$1:AP$400,0)),AP$2,)</f>
        <v>0</v>
      </c>
      <c r="AQ323" s="140">
        <f ca="1">IF(ISNUMBER(MATCH(DATEVALUE($A323),'recurring1_based on steps'!AQ$1:AQ$400,0)),AQ$2,)</f>
        <v>0</v>
      </c>
      <c r="AR323" s="140">
        <f ca="1">IF(ISNUMBER(MATCH(DATEVALUE($A323),'recurring1_based on steps'!AR$1:AR$400,0)),AR$2,)</f>
        <v>0</v>
      </c>
      <c r="AS323" s="140">
        <f ca="1">IF(ISNUMBER(MATCH(DATEVALUE($A323),'recurring1_based on steps'!AS$1:AS$400,0)),AS$2,)</f>
        <v>0</v>
      </c>
      <c r="AT323" s="140">
        <f ca="1">IF(ISNUMBER(MATCH(DATEVALUE($A323),'recurring1_based on steps'!AT$1:AT$400,0)),AT$2,)</f>
        <v>0</v>
      </c>
      <c r="AU323" s="140">
        <f ca="1">IF(ISNUMBER(MATCH(DATEVALUE($A323),'recurring1_based on steps'!AU$1:AU$400,0)),AU$2,)</f>
        <v>0</v>
      </c>
      <c r="AV323" s="140">
        <f ca="1">IF(ISNUMBER(MATCH(DATEVALUE($A323),'recurring1_based on steps'!AV$1:AV$400,0)),AV$2,)</f>
        <v>0</v>
      </c>
      <c r="AW323" s="140">
        <f ca="1">IF(ISNUMBER(MATCH(DATEVALUE($A323),'recurring1_based on steps'!AW$1:AW$400,0)),AW$2,)</f>
        <v>0</v>
      </c>
      <c r="AX323" s="140">
        <f ca="1">IF(ISNUMBER(MATCH(DATEVALUE($A323),'recurring1_based on steps'!AX$1:AX$400,0)),AX$2,)</f>
        <v>0</v>
      </c>
      <c r="AY323" s="140">
        <f ca="1">IF(ISNUMBER(MATCH(DATEVALUE($A323),'recurring1_based on steps'!AY$1:AY$400,0)),AY$2,)</f>
        <v>0</v>
      </c>
    </row>
    <row r="324" spans="1:51" x14ac:dyDescent="0.2">
      <c r="A324" s="29" t="str">
        <f t="shared" ca="1" si="4"/>
        <v>2026-02-11</v>
      </c>
      <c r="B324" s="140">
        <f ca="1">IF(ISNUMBER(MATCH(DATEVALUE($A324),'recurring1_based on steps'!B$1:B$400,0)),B$2,)</f>
        <v>0</v>
      </c>
      <c r="C324" s="140">
        <f ca="1">IF(ISNUMBER(MATCH(DATEVALUE($A324),'recurring1_based on steps'!C$1:C$400,0)),C$2,)</f>
        <v>0</v>
      </c>
      <c r="D324" s="140">
        <f ca="1">IF(ISNUMBER(MATCH(DATEVALUE($A324),'recurring1_based on steps'!D$1:D$400,0)),D$2,)</f>
        <v>0</v>
      </c>
      <c r="E324" s="140">
        <f ca="1">IF(ISNUMBER(MATCH(DATEVALUE($A324),'recurring1_based on steps'!E$1:E$400,0)),E$2,)</f>
        <v>0</v>
      </c>
      <c r="F324" s="140">
        <f ca="1">IF(ISNUMBER(MATCH(DATEVALUE($A324),'recurring1_based on steps'!F$1:F$400,0)),F$2,)</f>
        <v>0</v>
      </c>
      <c r="G324" s="140">
        <f ca="1">IF(ISNUMBER(MATCH(DATEVALUE($A324),'recurring1_based on steps'!G$1:G$400,0)),G$2,)</f>
        <v>0</v>
      </c>
      <c r="H324" s="140">
        <f ca="1">IF(ISNUMBER(MATCH(DATEVALUE($A324),'recurring1_based on steps'!H$1:H$400,0)),H$2,)</f>
        <v>0</v>
      </c>
      <c r="I324" s="140">
        <f ca="1">IF(ISNUMBER(MATCH(DATEVALUE($A324),'recurring1_based on steps'!I$1:I$400,0)),I$2,)</f>
        <v>0</v>
      </c>
      <c r="J324" s="140">
        <f ca="1">IF(ISNUMBER(MATCH(DATEVALUE($A324),'recurring1_based on steps'!J$1:J$400,0)),J$2,)</f>
        <v>0</v>
      </c>
      <c r="K324" s="140">
        <f ca="1">IF(ISNUMBER(MATCH(DATEVALUE($A324),'recurring1_based on steps'!K$1:K$400,0)),K$2,)</f>
        <v>0</v>
      </c>
      <c r="L324" s="140">
        <f ca="1">IF(ISNUMBER(MATCH(DATEVALUE($A324),'recurring1_based on steps'!L$1:L$400,0)),L$2,)</f>
        <v>0</v>
      </c>
      <c r="M324" s="140">
        <f ca="1">IF(ISNUMBER(MATCH(DATEVALUE($A324),'recurring1_based on steps'!M$1:M$400,0)),M$2,)</f>
        <v>0</v>
      </c>
      <c r="N324" s="140">
        <f ca="1">IF(ISNUMBER(MATCH(DATEVALUE($A324),'recurring1_based on steps'!N$1:N$400,0)),N$2,)</f>
        <v>0</v>
      </c>
      <c r="O324" s="140">
        <f ca="1">IF(ISNUMBER(MATCH(DATEVALUE($A324),'recurring1_based on steps'!O$1:O$400,0)),O$2,)</f>
        <v>0</v>
      </c>
      <c r="P324" s="140">
        <f ca="1">IF(ISNUMBER(MATCH(DATEVALUE($A324),'recurring1_based on steps'!P$1:P$400,0)),P$2,)</f>
        <v>0</v>
      </c>
      <c r="Q324" s="140">
        <f ca="1">IF(ISNUMBER(MATCH(DATEVALUE($A324),'recurring1_based on steps'!Q$1:Q$400,0)),Q$2,)</f>
        <v>0</v>
      </c>
      <c r="R324" s="140">
        <f ca="1">IF(ISNUMBER(MATCH(DATEVALUE($A324),'recurring1_based on steps'!R$1:R$400,0)),R$2,)</f>
        <v>0</v>
      </c>
      <c r="S324" s="140">
        <f ca="1">IF(ISNUMBER(MATCH(DATEVALUE($A324),'recurring1_based on steps'!S$1:S$400,0)),S$2,)</f>
        <v>0</v>
      </c>
      <c r="T324" s="140">
        <f ca="1">IF(ISNUMBER(MATCH(DATEVALUE($A324),'recurring1_based on steps'!T$1:T$400,0)),T$2,)</f>
        <v>0</v>
      </c>
      <c r="U324" s="140">
        <f ca="1">IF(ISNUMBER(MATCH(DATEVALUE($A324),'recurring1_based on steps'!U$1:U$400,0)),U$2,)</f>
        <v>0</v>
      </c>
      <c r="V324" s="140">
        <f ca="1">IF(ISNUMBER(MATCH(DATEVALUE($A324),'recurring1_based on steps'!V$1:V$400,0)),V$2,)</f>
        <v>0</v>
      </c>
      <c r="W324" s="140">
        <f ca="1">IF(ISNUMBER(MATCH(DATEVALUE($A324),'recurring1_based on steps'!W$1:W$400,0)),W$2,)</f>
        <v>0</v>
      </c>
      <c r="X324" s="140">
        <f ca="1">IF(ISNUMBER(MATCH(DATEVALUE($A324),'recurring1_based on steps'!X$1:X$400,0)),X$2,)</f>
        <v>0</v>
      </c>
      <c r="Y324" s="140">
        <f ca="1">IF(ISNUMBER(MATCH(DATEVALUE($A324),'recurring1_based on steps'!Y$1:Y$400,0)),Y$2,)</f>
        <v>0</v>
      </c>
      <c r="Z324" s="140">
        <f ca="1">IF(ISNUMBER(MATCH(DATEVALUE($A324),'recurring1_based on steps'!Z$1:Z$400,0)),Z$2,)</f>
        <v>0</v>
      </c>
      <c r="AA324" s="140">
        <f ca="1">IF(ISNUMBER(MATCH(DATEVALUE($A324),'recurring1_based on steps'!AA$1:AA$400,0)),AA$2,)</f>
        <v>0</v>
      </c>
      <c r="AB324" s="140">
        <f ca="1">IF(ISNUMBER(MATCH(DATEVALUE($A324),'recurring1_based on steps'!AB$1:AB$400,0)),AB$2,)</f>
        <v>5.5401662049861494E-2</v>
      </c>
      <c r="AC324" s="140">
        <f ca="1">IF(ISNUMBER(MATCH(DATEVALUE($A324),'recurring1_based on steps'!AC$1:AC$400,0)),AC$2,)</f>
        <v>0</v>
      </c>
      <c r="AD324" s="140">
        <f ca="1">IF(ISNUMBER(MATCH(DATEVALUE($A324),'recurring1_based on steps'!AD$1:AD$400,0)),AD$2,)</f>
        <v>0</v>
      </c>
      <c r="AE324" s="140">
        <f ca="1">IF(ISNUMBER(MATCH(DATEVALUE($A324),'recurring1_based on steps'!AE$1:AE$400,0)),AE$2,)</f>
        <v>0</v>
      </c>
      <c r="AF324" s="140">
        <f ca="1">IF(ISNUMBER(MATCH(DATEVALUE($A324),'recurring1_based on steps'!AF$1:AF$400,0)),AF$2,)</f>
        <v>0</v>
      </c>
      <c r="AG324" s="140">
        <f ca="1">IF(ISNUMBER(MATCH(DATEVALUE($A324),'recurring1_based on steps'!AG$1:AG$400,0)),AG$2,)</f>
        <v>0</v>
      </c>
      <c r="AH324" s="140">
        <f ca="1">IF(ISNUMBER(MATCH(DATEVALUE($A324),'recurring1_based on steps'!AH$1:AH$400,0)),AH$2,)</f>
        <v>0</v>
      </c>
      <c r="AI324" s="140">
        <f ca="1">IF(ISNUMBER(MATCH(DATEVALUE($A324),'recurring1_based on steps'!AI$1:AI$400,0)),AI$2,)</f>
        <v>0</v>
      </c>
      <c r="AJ324" s="140">
        <f ca="1">IF(ISNUMBER(MATCH(DATEVALUE($A324),'recurring1_based on steps'!AJ$1:AJ$400,0)),AJ$2,)</f>
        <v>0</v>
      </c>
      <c r="AK324" s="140">
        <f ca="1">IF(ISNUMBER(MATCH(DATEVALUE($A324),'recurring1_based on steps'!AK$1:AK$400,0)),AK$2,)</f>
        <v>0</v>
      </c>
      <c r="AL324" s="140">
        <f ca="1">IF(ISNUMBER(MATCH(DATEVALUE($A324),'recurring1_based on steps'!AL$1:AL$400,0)),AL$2,)</f>
        <v>0</v>
      </c>
      <c r="AM324" s="140">
        <f ca="1">IF(ISNUMBER(MATCH(DATEVALUE($A324),'recurring1_based on steps'!AM$1:AM$400,0)),AM$2,)</f>
        <v>0</v>
      </c>
      <c r="AN324" s="140">
        <f ca="1">IF(ISNUMBER(MATCH(DATEVALUE($A324),'recurring1_based on steps'!AN$1:AN$400,0)),AN$2,)</f>
        <v>0</v>
      </c>
      <c r="AO324" s="140">
        <f ca="1">IF(ISNUMBER(MATCH(DATEVALUE($A324),'recurring1_based on steps'!AO$1:AO$400,0)),AO$2,)</f>
        <v>0</v>
      </c>
      <c r="AP324" s="140">
        <f ca="1">IF(ISNUMBER(MATCH(DATEVALUE($A324),'recurring1_based on steps'!AP$1:AP$400,0)),AP$2,)</f>
        <v>0</v>
      </c>
      <c r="AQ324" s="140">
        <f ca="1">IF(ISNUMBER(MATCH(DATEVALUE($A324),'recurring1_based on steps'!AQ$1:AQ$400,0)),AQ$2,)</f>
        <v>0</v>
      </c>
      <c r="AR324" s="140">
        <f ca="1">IF(ISNUMBER(MATCH(DATEVALUE($A324),'recurring1_based on steps'!AR$1:AR$400,0)),AR$2,)</f>
        <v>0</v>
      </c>
      <c r="AS324" s="140">
        <f ca="1">IF(ISNUMBER(MATCH(DATEVALUE($A324),'recurring1_based on steps'!AS$1:AS$400,0)),AS$2,)</f>
        <v>0</v>
      </c>
      <c r="AT324" s="140">
        <f ca="1">IF(ISNUMBER(MATCH(DATEVALUE($A324),'recurring1_based on steps'!AT$1:AT$400,0)),AT$2,)</f>
        <v>0</v>
      </c>
      <c r="AU324" s="140">
        <f ca="1">IF(ISNUMBER(MATCH(DATEVALUE($A324),'recurring1_based on steps'!AU$1:AU$400,0)),AU$2,)</f>
        <v>0</v>
      </c>
      <c r="AV324" s="140">
        <f ca="1">IF(ISNUMBER(MATCH(DATEVALUE($A324),'recurring1_based on steps'!AV$1:AV$400,0)),AV$2,)</f>
        <v>0</v>
      </c>
      <c r="AW324" s="140">
        <f ca="1">IF(ISNUMBER(MATCH(DATEVALUE($A324),'recurring1_based on steps'!AW$1:AW$400,0)),AW$2,)</f>
        <v>0</v>
      </c>
      <c r="AX324" s="140">
        <f ca="1">IF(ISNUMBER(MATCH(DATEVALUE($A324),'recurring1_based on steps'!AX$1:AX$400,0)),AX$2,)</f>
        <v>0</v>
      </c>
      <c r="AY324" s="140">
        <f ca="1">IF(ISNUMBER(MATCH(DATEVALUE($A324),'recurring1_based on steps'!AY$1:AY$400,0)),AY$2,)</f>
        <v>0</v>
      </c>
    </row>
    <row r="325" spans="1:51" x14ac:dyDescent="0.2">
      <c r="A325" s="29" t="str">
        <f t="shared" ref="A325:A369" ca="1" si="5">TEXT(DATEVALUE(A324)+1,"yyyy-mm-dd")</f>
        <v>2026-02-12</v>
      </c>
      <c r="B325" s="140">
        <f ca="1">IF(ISNUMBER(MATCH(DATEVALUE($A325),'recurring1_based on steps'!B$1:B$400,0)),B$2,)</f>
        <v>0</v>
      </c>
      <c r="C325" s="140">
        <f ca="1">IF(ISNUMBER(MATCH(DATEVALUE($A325),'recurring1_based on steps'!C$1:C$400,0)),C$2,)</f>
        <v>0</v>
      </c>
      <c r="D325" s="140">
        <f ca="1">IF(ISNUMBER(MATCH(DATEVALUE($A325),'recurring1_based on steps'!D$1:D$400,0)),D$2,)</f>
        <v>0</v>
      </c>
      <c r="E325" s="140">
        <f ca="1">IF(ISNUMBER(MATCH(DATEVALUE($A325),'recurring1_based on steps'!E$1:E$400,0)),E$2,)</f>
        <v>0</v>
      </c>
      <c r="F325" s="140">
        <f ca="1">IF(ISNUMBER(MATCH(DATEVALUE($A325),'recurring1_based on steps'!F$1:F$400,0)),F$2,)</f>
        <v>0</v>
      </c>
      <c r="G325" s="140">
        <f ca="1">IF(ISNUMBER(MATCH(DATEVALUE($A325),'recurring1_based on steps'!G$1:G$400,0)),G$2,)</f>
        <v>0</v>
      </c>
      <c r="H325" s="140">
        <f ca="1">IF(ISNUMBER(MATCH(DATEVALUE($A325),'recurring1_based on steps'!H$1:H$400,0)),H$2,)</f>
        <v>0</v>
      </c>
      <c r="I325" s="140">
        <f ca="1">IF(ISNUMBER(MATCH(DATEVALUE($A325),'recurring1_based on steps'!I$1:I$400,0)),I$2,)</f>
        <v>0</v>
      </c>
      <c r="J325" s="140">
        <f ca="1">IF(ISNUMBER(MATCH(DATEVALUE($A325),'recurring1_based on steps'!J$1:J$400,0)),J$2,)</f>
        <v>0</v>
      </c>
      <c r="K325" s="140">
        <f ca="1">IF(ISNUMBER(MATCH(DATEVALUE($A325),'recurring1_based on steps'!K$1:K$400,0)),K$2,)</f>
        <v>0</v>
      </c>
      <c r="L325" s="140">
        <f ca="1">IF(ISNUMBER(MATCH(DATEVALUE($A325),'recurring1_based on steps'!L$1:L$400,0)),L$2,)</f>
        <v>0</v>
      </c>
      <c r="M325" s="140">
        <f ca="1">IF(ISNUMBER(MATCH(DATEVALUE($A325),'recurring1_based on steps'!M$1:M$400,0)),M$2,)</f>
        <v>0</v>
      </c>
      <c r="N325" s="140">
        <f ca="1">IF(ISNUMBER(MATCH(DATEVALUE($A325),'recurring1_based on steps'!N$1:N$400,0)),N$2,)</f>
        <v>0</v>
      </c>
      <c r="O325" s="140">
        <f ca="1">IF(ISNUMBER(MATCH(DATEVALUE($A325),'recurring1_based on steps'!O$1:O$400,0)),O$2,)</f>
        <v>0</v>
      </c>
      <c r="P325" s="140">
        <f ca="1">IF(ISNUMBER(MATCH(DATEVALUE($A325),'recurring1_based on steps'!P$1:P$400,0)),P$2,)</f>
        <v>0</v>
      </c>
      <c r="Q325" s="140">
        <f ca="1">IF(ISNUMBER(MATCH(DATEVALUE($A325),'recurring1_based on steps'!Q$1:Q$400,0)),Q$2,)</f>
        <v>0</v>
      </c>
      <c r="R325" s="140">
        <f ca="1">IF(ISNUMBER(MATCH(DATEVALUE($A325),'recurring1_based on steps'!R$1:R$400,0)),R$2,)</f>
        <v>0</v>
      </c>
      <c r="S325" s="140">
        <f ca="1">IF(ISNUMBER(MATCH(DATEVALUE($A325),'recurring1_based on steps'!S$1:S$400,0)),S$2,)</f>
        <v>0</v>
      </c>
      <c r="T325" s="140">
        <f ca="1">IF(ISNUMBER(MATCH(DATEVALUE($A325),'recurring1_based on steps'!T$1:T$400,0)),T$2,)</f>
        <v>0</v>
      </c>
      <c r="U325" s="140">
        <f ca="1">IF(ISNUMBER(MATCH(DATEVALUE($A325),'recurring1_based on steps'!U$1:U$400,0)),U$2,)</f>
        <v>0</v>
      </c>
      <c r="V325" s="140">
        <f ca="1">IF(ISNUMBER(MATCH(DATEVALUE($A325),'recurring1_based on steps'!V$1:V$400,0)),V$2,)</f>
        <v>0</v>
      </c>
      <c r="W325" s="140">
        <f ca="1">IF(ISNUMBER(MATCH(DATEVALUE($A325),'recurring1_based on steps'!W$1:W$400,0)),W$2,)</f>
        <v>0</v>
      </c>
      <c r="X325" s="140">
        <f ca="1">IF(ISNUMBER(MATCH(DATEVALUE($A325),'recurring1_based on steps'!X$1:X$400,0)),X$2,)</f>
        <v>0</v>
      </c>
      <c r="Y325" s="140">
        <f ca="1">IF(ISNUMBER(MATCH(DATEVALUE($A325),'recurring1_based on steps'!Y$1:Y$400,0)),Y$2,)</f>
        <v>0</v>
      </c>
      <c r="Z325" s="140">
        <f ca="1">IF(ISNUMBER(MATCH(DATEVALUE($A325),'recurring1_based on steps'!Z$1:Z$400,0)),Z$2,)</f>
        <v>0</v>
      </c>
      <c r="AA325" s="140">
        <f ca="1">IF(ISNUMBER(MATCH(DATEVALUE($A325),'recurring1_based on steps'!AA$1:AA$400,0)),AA$2,)</f>
        <v>0</v>
      </c>
      <c r="AB325" s="140">
        <f ca="1">IF(ISNUMBER(MATCH(DATEVALUE($A325),'recurring1_based on steps'!AB$1:AB$400,0)),AB$2,)</f>
        <v>5.5401662049861494E-2</v>
      </c>
      <c r="AC325" s="140">
        <f ca="1">IF(ISNUMBER(MATCH(DATEVALUE($A325),'recurring1_based on steps'!AC$1:AC$400,0)),AC$2,)</f>
        <v>0</v>
      </c>
      <c r="AD325" s="140">
        <f ca="1">IF(ISNUMBER(MATCH(DATEVALUE($A325),'recurring1_based on steps'!AD$1:AD$400,0)),AD$2,)</f>
        <v>0</v>
      </c>
      <c r="AE325" s="140">
        <f ca="1">IF(ISNUMBER(MATCH(DATEVALUE($A325),'recurring1_based on steps'!AE$1:AE$400,0)),AE$2,)</f>
        <v>0</v>
      </c>
      <c r="AF325" s="140">
        <f ca="1">IF(ISNUMBER(MATCH(DATEVALUE($A325),'recurring1_based on steps'!AF$1:AF$400,0)),AF$2,)</f>
        <v>0</v>
      </c>
      <c r="AG325" s="140">
        <f ca="1">IF(ISNUMBER(MATCH(DATEVALUE($A325),'recurring1_based on steps'!AG$1:AG$400,0)),AG$2,)</f>
        <v>0</v>
      </c>
      <c r="AH325" s="140">
        <f ca="1">IF(ISNUMBER(MATCH(DATEVALUE($A325),'recurring1_based on steps'!AH$1:AH$400,0)),AH$2,)</f>
        <v>0</v>
      </c>
      <c r="AI325" s="140">
        <f ca="1">IF(ISNUMBER(MATCH(DATEVALUE($A325),'recurring1_based on steps'!AI$1:AI$400,0)),AI$2,)</f>
        <v>0</v>
      </c>
      <c r="AJ325" s="140">
        <f ca="1">IF(ISNUMBER(MATCH(DATEVALUE($A325),'recurring1_based on steps'!AJ$1:AJ$400,0)),AJ$2,)</f>
        <v>0</v>
      </c>
      <c r="AK325" s="140">
        <f ca="1">IF(ISNUMBER(MATCH(DATEVALUE($A325),'recurring1_based on steps'!AK$1:AK$400,0)),AK$2,)</f>
        <v>0</v>
      </c>
      <c r="AL325" s="140">
        <f ca="1">IF(ISNUMBER(MATCH(DATEVALUE($A325),'recurring1_based on steps'!AL$1:AL$400,0)),AL$2,)</f>
        <v>0</v>
      </c>
      <c r="AM325" s="140">
        <f ca="1">IF(ISNUMBER(MATCH(DATEVALUE($A325),'recurring1_based on steps'!AM$1:AM$400,0)),AM$2,)</f>
        <v>0</v>
      </c>
      <c r="AN325" s="140">
        <f ca="1">IF(ISNUMBER(MATCH(DATEVALUE($A325),'recurring1_based on steps'!AN$1:AN$400,0)),AN$2,)</f>
        <v>0</v>
      </c>
      <c r="AO325" s="140">
        <f ca="1">IF(ISNUMBER(MATCH(DATEVALUE($A325),'recurring1_based on steps'!AO$1:AO$400,0)),AO$2,)</f>
        <v>0</v>
      </c>
      <c r="AP325" s="140">
        <f ca="1">IF(ISNUMBER(MATCH(DATEVALUE($A325),'recurring1_based on steps'!AP$1:AP$400,0)),AP$2,)</f>
        <v>0</v>
      </c>
      <c r="AQ325" s="140">
        <f ca="1">IF(ISNUMBER(MATCH(DATEVALUE($A325),'recurring1_based on steps'!AQ$1:AQ$400,0)),AQ$2,)</f>
        <v>0</v>
      </c>
      <c r="AR325" s="140">
        <f ca="1">IF(ISNUMBER(MATCH(DATEVALUE($A325),'recurring1_based on steps'!AR$1:AR$400,0)),AR$2,)</f>
        <v>0</v>
      </c>
      <c r="AS325" s="140">
        <f ca="1">IF(ISNUMBER(MATCH(DATEVALUE($A325),'recurring1_based on steps'!AS$1:AS$400,0)),AS$2,)</f>
        <v>0</v>
      </c>
      <c r="AT325" s="140">
        <f ca="1">IF(ISNUMBER(MATCH(DATEVALUE($A325),'recurring1_based on steps'!AT$1:AT$400,0)),AT$2,)</f>
        <v>0</v>
      </c>
      <c r="AU325" s="140">
        <f ca="1">IF(ISNUMBER(MATCH(DATEVALUE($A325),'recurring1_based on steps'!AU$1:AU$400,0)),AU$2,)</f>
        <v>0</v>
      </c>
      <c r="AV325" s="140">
        <f ca="1">IF(ISNUMBER(MATCH(DATEVALUE($A325),'recurring1_based on steps'!AV$1:AV$400,0)),AV$2,)</f>
        <v>0</v>
      </c>
      <c r="AW325" s="140">
        <f ca="1">IF(ISNUMBER(MATCH(DATEVALUE($A325),'recurring1_based on steps'!AW$1:AW$400,0)),AW$2,)</f>
        <v>0</v>
      </c>
      <c r="AX325" s="140">
        <f ca="1">IF(ISNUMBER(MATCH(DATEVALUE($A325),'recurring1_based on steps'!AX$1:AX$400,0)),AX$2,)</f>
        <v>0</v>
      </c>
      <c r="AY325" s="140">
        <f ca="1">IF(ISNUMBER(MATCH(DATEVALUE($A325),'recurring1_based on steps'!AY$1:AY$400,0)),AY$2,)</f>
        <v>0</v>
      </c>
    </row>
    <row r="326" spans="1:51" x14ac:dyDescent="0.2">
      <c r="A326" s="29" t="str">
        <f t="shared" ca="1" si="5"/>
        <v>2026-02-13</v>
      </c>
      <c r="B326" s="140">
        <f ca="1">IF(ISNUMBER(MATCH(DATEVALUE($A326),'recurring1_based on steps'!B$1:B$400,0)),B$2,)</f>
        <v>0</v>
      </c>
      <c r="C326" s="140">
        <f ca="1">IF(ISNUMBER(MATCH(DATEVALUE($A326),'recurring1_based on steps'!C$1:C$400,0)),C$2,)</f>
        <v>0</v>
      </c>
      <c r="D326" s="140">
        <f ca="1">IF(ISNUMBER(MATCH(DATEVALUE($A326),'recurring1_based on steps'!D$1:D$400,0)),D$2,)</f>
        <v>0</v>
      </c>
      <c r="E326" s="140">
        <f ca="1">IF(ISNUMBER(MATCH(DATEVALUE($A326),'recurring1_based on steps'!E$1:E$400,0)),E$2,)</f>
        <v>0</v>
      </c>
      <c r="F326" s="140">
        <f ca="1">IF(ISNUMBER(MATCH(DATEVALUE($A326),'recurring1_based on steps'!F$1:F$400,0)),F$2,)</f>
        <v>0</v>
      </c>
      <c r="G326" s="140">
        <f ca="1">IF(ISNUMBER(MATCH(DATEVALUE($A326),'recurring1_based on steps'!G$1:G$400,0)),G$2,)</f>
        <v>0</v>
      </c>
      <c r="H326" s="140">
        <f ca="1">IF(ISNUMBER(MATCH(DATEVALUE($A326),'recurring1_based on steps'!H$1:H$400,0)),H$2,)</f>
        <v>0</v>
      </c>
      <c r="I326" s="140">
        <f ca="1">IF(ISNUMBER(MATCH(DATEVALUE($A326),'recurring1_based on steps'!I$1:I$400,0)),I$2,)</f>
        <v>0</v>
      </c>
      <c r="J326" s="140">
        <f ca="1">IF(ISNUMBER(MATCH(DATEVALUE($A326),'recurring1_based on steps'!J$1:J$400,0)),J$2,)</f>
        <v>0</v>
      </c>
      <c r="K326" s="140">
        <f ca="1">IF(ISNUMBER(MATCH(DATEVALUE($A326),'recurring1_based on steps'!K$1:K$400,0)),K$2,)</f>
        <v>0</v>
      </c>
      <c r="L326" s="140">
        <f ca="1">IF(ISNUMBER(MATCH(DATEVALUE($A326),'recurring1_based on steps'!L$1:L$400,0)),L$2,)</f>
        <v>0</v>
      </c>
      <c r="M326" s="140">
        <f ca="1">IF(ISNUMBER(MATCH(DATEVALUE($A326),'recurring1_based on steps'!M$1:M$400,0)),M$2,)</f>
        <v>0</v>
      </c>
      <c r="N326" s="140">
        <f ca="1">IF(ISNUMBER(MATCH(DATEVALUE($A326),'recurring1_based on steps'!N$1:N$400,0)),N$2,)</f>
        <v>0</v>
      </c>
      <c r="O326" s="140">
        <f ca="1">IF(ISNUMBER(MATCH(DATEVALUE($A326),'recurring1_based on steps'!O$1:O$400,0)),O$2,)</f>
        <v>0</v>
      </c>
      <c r="P326" s="140">
        <f ca="1">IF(ISNUMBER(MATCH(DATEVALUE($A326),'recurring1_based on steps'!P$1:P$400,0)),P$2,)</f>
        <v>0</v>
      </c>
      <c r="Q326" s="140">
        <f ca="1">IF(ISNUMBER(MATCH(DATEVALUE($A326),'recurring1_based on steps'!Q$1:Q$400,0)),Q$2,)</f>
        <v>0</v>
      </c>
      <c r="R326" s="140">
        <f ca="1">IF(ISNUMBER(MATCH(DATEVALUE($A326),'recurring1_based on steps'!R$1:R$400,0)),R$2,)</f>
        <v>0</v>
      </c>
      <c r="S326" s="140">
        <f ca="1">IF(ISNUMBER(MATCH(DATEVALUE($A326),'recurring1_based on steps'!S$1:S$400,0)),S$2,)</f>
        <v>0</v>
      </c>
      <c r="T326" s="140">
        <f ca="1">IF(ISNUMBER(MATCH(DATEVALUE($A326),'recurring1_based on steps'!T$1:T$400,0)),T$2,)</f>
        <v>0</v>
      </c>
      <c r="U326" s="140">
        <f ca="1">IF(ISNUMBER(MATCH(DATEVALUE($A326),'recurring1_based on steps'!U$1:U$400,0)),U$2,)</f>
        <v>0</v>
      </c>
      <c r="V326" s="140">
        <f ca="1">IF(ISNUMBER(MATCH(DATEVALUE($A326),'recurring1_based on steps'!V$1:V$400,0)),V$2,)</f>
        <v>0</v>
      </c>
      <c r="W326" s="140">
        <f ca="1">IF(ISNUMBER(MATCH(DATEVALUE($A326),'recurring1_based on steps'!W$1:W$400,0)),W$2,)</f>
        <v>0</v>
      </c>
      <c r="X326" s="140">
        <f ca="1">IF(ISNUMBER(MATCH(DATEVALUE($A326),'recurring1_based on steps'!X$1:X$400,0)),X$2,)</f>
        <v>0</v>
      </c>
      <c r="Y326" s="140">
        <f ca="1">IF(ISNUMBER(MATCH(DATEVALUE($A326),'recurring1_based on steps'!Y$1:Y$400,0)),Y$2,)</f>
        <v>0</v>
      </c>
      <c r="Z326" s="140">
        <f ca="1">IF(ISNUMBER(MATCH(DATEVALUE($A326),'recurring1_based on steps'!Z$1:Z$400,0)),Z$2,)</f>
        <v>0</v>
      </c>
      <c r="AA326" s="140">
        <f ca="1">IF(ISNUMBER(MATCH(DATEVALUE($A326),'recurring1_based on steps'!AA$1:AA$400,0)),AA$2,)</f>
        <v>0</v>
      </c>
      <c r="AB326" s="140">
        <f ca="1">IF(ISNUMBER(MATCH(DATEVALUE($A326),'recurring1_based on steps'!AB$1:AB$400,0)),AB$2,)</f>
        <v>5.5401662049861494E-2</v>
      </c>
      <c r="AC326" s="140">
        <f ca="1">IF(ISNUMBER(MATCH(DATEVALUE($A326),'recurring1_based on steps'!AC$1:AC$400,0)),AC$2,)</f>
        <v>0</v>
      </c>
      <c r="AD326" s="140">
        <f ca="1">IF(ISNUMBER(MATCH(DATEVALUE($A326),'recurring1_based on steps'!AD$1:AD$400,0)),AD$2,)</f>
        <v>0</v>
      </c>
      <c r="AE326" s="140">
        <f ca="1">IF(ISNUMBER(MATCH(DATEVALUE($A326),'recurring1_based on steps'!AE$1:AE$400,0)),AE$2,)</f>
        <v>0</v>
      </c>
      <c r="AF326" s="140">
        <f ca="1">IF(ISNUMBER(MATCH(DATEVALUE($A326),'recurring1_based on steps'!AF$1:AF$400,0)),AF$2,)</f>
        <v>0</v>
      </c>
      <c r="AG326" s="140">
        <f ca="1">IF(ISNUMBER(MATCH(DATEVALUE($A326),'recurring1_based on steps'!AG$1:AG$400,0)),AG$2,)</f>
        <v>0</v>
      </c>
      <c r="AH326" s="140">
        <f ca="1">IF(ISNUMBER(MATCH(DATEVALUE($A326),'recurring1_based on steps'!AH$1:AH$400,0)),AH$2,)</f>
        <v>0</v>
      </c>
      <c r="AI326" s="140">
        <f ca="1">IF(ISNUMBER(MATCH(DATEVALUE($A326),'recurring1_based on steps'!AI$1:AI$400,0)),AI$2,)</f>
        <v>0</v>
      </c>
      <c r="AJ326" s="140">
        <f ca="1">IF(ISNUMBER(MATCH(DATEVALUE($A326),'recurring1_based on steps'!AJ$1:AJ$400,0)),AJ$2,)</f>
        <v>0</v>
      </c>
      <c r="AK326" s="140">
        <f ca="1">IF(ISNUMBER(MATCH(DATEVALUE($A326),'recurring1_based on steps'!AK$1:AK$400,0)),AK$2,)</f>
        <v>0</v>
      </c>
      <c r="AL326" s="140">
        <f ca="1">IF(ISNUMBER(MATCH(DATEVALUE($A326),'recurring1_based on steps'!AL$1:AL$400,0)),AL$2,)</f>
        <v>0</v>
      </c>
      <c r="AM326" s="140">
        <f ca="1">IF(ISNUMBER(MATCH(DATEVALUE($A326),'recurring1_based on steps'!AM$1:AM$400,0)),AM$2,)</f>
        <v>0</v>
      </c>
      <c r="AN326" s="140">
        <f ca="1">IF(ISNUMBER(MATCH(DATEVALUE($A326),'recurring1_based on steps'!AN$1:AN$400,0)),AN$2,)</f>
        <v>0</v>
      </c>
      <c r="AO326" s="140">
        <f ca="1">IF(ISNUMBER(MATCH(DATEVALUE($A326),'recurring1_based on steps'!AO$1:AO$400,0)),AO$2,)</f>
        <v>0</v>
      </c>
      <c r="AP326" s="140">
        <f ca="1">IF(ISNUMBER(MATCH(DATEVALUE($A326),'recurring1_based on steps'!AP$1:AP$400,0)),AP$2,)</f>
        <v>0</v>
      </c>
      <c r="AQ326" s="140">
        <f ca="1">IF(ISNUMBER(MATCH(DATEVALUE($A326),'recurring1_based on steps'!AQ$1:AQ$400,0)),AQ$2,)</f>
        <v>0</v>
      </c>
      <c r="AR326" s="140">
        <f ca="1">IF(ISNUMBER(MATCH(DATEVALUE($A326),'recurring1_based on steps'!AR$1:AR$400,0)),AR$2,)</f>
        <v>0</v>
      </c>
      <c r="AS326" s="140">
        <f ca="1">IF(ISNUMBER(MATCH(DATEVALUE($A326),'recurring1_based on steps'!AS$1:AS$400,0)),AS$2,)</f>
        <v>0</v>
      </c>
      <c r="AT326" s="140">
        <f ca="1">IF(ISNUMBER(MATCH(DATEVALUE($A326),'recurring1_based on steps'!AT$1:AT$400,0)),AT$2,)</f>
        <v>0</v>
      </c>
      <c r="AU326" s="140">
        <f ca="1">IF(ISNUMBER(MATCH(DATEVALUE($A326),'recurring1_based on steps'!AU$1:AU$400,0)),AU$2,)</f>
        <v>0</v>
      </c>
      <c r="AV326" s="140">
        <f ca="1">IF(ISNUMBER(MATCH(DATEVALUE($A326),'recurring1_based on steps'!AV$1:AV$400,0)),AV$2,)</f>
        <v>0</v>
      </c>
      <c r="AW326" s="140">
        <f ca="1">IF(ISNUMBER(MATCH(DATEVALUE($A326),'recurring1_based on steps'!AW$1:AW$400,0)),AW$2,)</f>
        <v>0</v>
      </c>
      <c r="AX326" s="140">
        <f ca="1">IF(ISNUMBER(MATCH(DATEVALUE($A326),'recurring1_based on steps'!AX$1:AX$400,0)),AX$2,)</f>
        <v>0</v>
      </c>
      <c r="AY326" s="140">
        <f ca="1">IF(ISNUMBER(MATCH(DATEVALUE($A326),'recurring1_based on steps'!AY$1:AY$400,0)),AY$2,)</f>
        <v>0</v>
      </c>
    </row>
    <row r="327" spans="1:51" x14ac:dyDescent="0.2">
      <c r="A327" s="29" t="str">
        <f t="shared" ca="1" si="5"/>
        <v>2026-02-14</v>
      </c>
      <c r="B327" s="140">
        <f ca="1">IF(ISNUMBER(MATCH(DATEVALUE($A327),'recurring1_based on steps'!B$1:B$400,0)),B$2,)</f>
        <v>0</v>
      </c>
      <c r="C327" s="140">
        <f ca="1">IF(ISNUMBER(MATCH(DATEVALUE($A327),'recurring1_based on steps'!C$1:C$400,0)),C$2,)</f>
        <v>0</v>
      </c>
      <c r="D327" s="140">
        <f ca="1">IF(ISNUMBER(MATCH(DATEVALUE($A327),'recurring1_based on steps'!D$1:D$400,0)),D$2,)</f>
        <v>0</v>
      </c>
      <c r="E327" s="140">
        <f ca="1">IF(ISNUMBER(MATCH(DATEVALUE($A327),'recurring1_based on steps'!E$1:E$400,0)),E$2,)</f>
        <v>0</v>
      </c>
      <c r="F327" s="140">
        <f ca="1">IF(ISNUMBER(MATCH(DATEVALUE($A327),'recurring1_based on steps'!F$1:F$400,0)),F$2,)</f>
        <v>0</v>
      </c>
      <c r="G327" s="140">
        <f ca="1">IF(ISNUMBER(MATCH(DATEVALUE($A327),'recurring1_based on steps'!G$1:G$400,0)),G$2,)</f>
        <v>0</v>
      </c>
      <c r="H327" s="140">
        <f ca="1">IF(ISNUMBER(MATCH(DATEVALUE($A327),'recurring1_based on steps'!H$1:H$400,0)),H$2,)</f>
        <v>0</v>
      </c>
      <c r="I327" s="140">
        <f ca="1">IF(ISNUMBER(MATCH(DATEVALUE($A327),'recurring1_based on steps'!I$1:I$400,0)),I$2,)</f>
        <v>0</v>
      </c>
      <c r="J327" s="140">
        <f ca="1">IF(ISNUMBER(MATCH(DATEVALUE($A327),'recurring1_based on steps'!J$1:J$400,0)),J$2,)</f>
        <v>0</v>
      </c>
      <c r="K327" s="140">
        <f ca="1">IF(ISNUMBER(MATCH(DATEVALUE($A327),'recurring1_based on steps'!K$1:K$400,0)),K$2,)</f>
        <v>0</v>
      </c>
      <c r="L327" s="140">
        <f ca="1">IF(ISNUMBER(MATCH(DATEVALUE($A327),'recurring1_based on steps'!L$1:L$400,0)),L$2,)</f>
        <v>0</v>
      </c>
      <c r="M327" s="140">
        <f ca="1">IF(ISNUMBER(MATCH(DATEVALUE($A327),'recurring1_based on steps'!M$1:M$400,0)),M$2,)</f>
        <v>0</v>
      </c>
      <c r="N327" s="140">
        <f ca="1">IF(ISNUMBER(MATCH(DATEVALUE($A327),'recurring1_based on steps'!N$1:N$400,0)),N$2,)</f>
        <v>0</v>
      </c>
      <c r="O327" s="140">
        <f ca="1">IF(ISNUMBER(MATCH(DATEVALUE($A327),'recurring1_based on steps'!O$1:O$400,0)),O$2,)</f>
        <v>0</v>
      </c>
      <c r="P327" s="140">
        <f ca="1">IF(ISNUMBER(MATCH(DATEVALUE($A327),'recurring1_based on steps'!P$1:P$400,0)),P$2,)</f>
        <v>0</v>
      </c>
      <c r="Q327" s="140">
        <f ca="1">IF(ISNUMBER(MATCH(DATEVALUE($A327),'recurring1_based on steps'!Q$1:Q$400,0)),Q$2,)</f>
        <v>100</v>
      </c>
      <c r="R327" s="140">
        <f ca="1">IF(ISNUMBER(MATCH(DATEVALUE($A327),'recurring1_based on steps'!R$1:R$400,0)),R$2,)</f>
        <v>100</v>
      </c>
      <c r="S327" s="140">
        <f ca="1">IF(ISNUMBER(MATCH(DATEVALUE($A327),'recurring1_based on steps'!S$1:S$400,0)),S$2,)</f>
        <v>0</v>
      </c>
      <c r="T327" s="140">
        <f ca="1">IF(ISNUMBER(MATCH(DATEVALUE($A327),'recurring1_based on steps'!T$1:T$400,0)),T$2,)</f>
        <v>0</v>
      </c>
      <c r="U327" s="140">
        <f ca="1">IF(ISNUMBER(MATCH(DATEVALUE($A327),'recurring1_based on steps'!U$1:U$400,0)),U$2,)</f>
        <v>0</v>
      </c>
      <c r="V327" s="140">
        <f ca="1">IF(ISNUMBER(MATCH(DATEVALUE($A327),'recurring1_based on steps'!V$1:V$400,0)),V$2,)</f>
        <v>0</v>
      </c>
      <c r="W327" s="140">
        <f ca="1">IF(ISNUMBER(MATCH(DATEVALUE($A327),'recurring1_based on steps'!W$1:W$400,0)),W$2,)</f>
        <v>0</v>
      </c>
      <c r="X327" s="140">
        <f ca="1">IF(ISNUMBER(MATCH(DATEVALUE($A327),'recurring1_based on steps'!X$1:X$400,0)),X$2,)</f>
        <v>0</v>
      </c>
      <c r="Y327" s="140">
        <f ca="1">IF(ISNUMBER(MATCH(DATEVALUE($A327),'recurring1_based on steps'!Y$1:Y$400,0)),Y$2,)</f>
        <v>0</v>
      </c>
      <c r="Z327" s="140">
        <f ca="1">IF(ISNUMBER(MATCH(DATEVALUE($A327),'recurring1_based on steps'!Z$1:Z$400,0)),Z$2,)</f>
        <v>0</v>
      </c>
      <c r="AA327" s="140">
        <f ca="1">IF(ISNUMBER(MATCH(DATEVALUE($A327),'recurring1_based on steps'!AA$1:AA$400,0)),AA$2,)</f>
        <v>0</v>
      </c>
      <c r="AB327" s="140">
        <f ca="1">IF(ISNUMBER(MATCH(DATEVALUE($A327),'recurring1_based on steps'!AB$1:AB$400,0)),AB$2,)</f>
        <v>5.5401662049861494E-2</v>
      </c>
      <c r="AC327" s="140">
        <f ca="1">IF(ISNUMBER(MATCH(DATEVALUE($A327),'recurring1_based on steps'!AC$1:AC$400,0)),AC$2,)</f>
        <v>0</v>
      </c>
      <c r="AD327" s="140">
        <f ca="1">IF(ISNUMBER(MATCH(DATEVALUE($A327),'recurring1_based on steps'!AD$1:AD$400,0)),AD$2,)</f>
        <v>0</v>
      </c>
      <c r="AE327" s="140">
        <f ca="1">IF(ISNUMBER(MATCH(DATEVALUE($A327),'recurring1_based on steps'!AE$1:AE$400,0)),AE$2,)</f>
        <v>0</v>
      </c>
      <c r="AF327" s="140">
        <f ca="1">IF(ISNUMBER(MATCH(DATEVALUE($A327),'recurring1_based on steps'!AF$1:AF$400,0)),AF$2,)</f>
        <v>0</v>
      </c>
      <c r="AG327" s="140">
        <f ca="1">IF(ISNUMBER(MATCH(DATEVALUE($A327),'recurring1_based on steps'!AG$1:AG$400,0)),AG$2,)</f>
        <v>0</v>
      </c>
      <c r="AH327" s="140">
        <f ca="1">IF(ISNUMBER(MATCH(DATEVALUE($A327),'recurring1_based on steps'!AH$1:AH$400,0)),AH$2,)</f>
        <v>0</v>
      </c>
      <c r="AI327" s="140">
        <f ca="1">IF(ISNUMBER(MATCH(DATEVALUE($A327),'recurring1_based on steps'!AI$1:AI$400,0)),AI$2,)</f>
        <v>0</v>
      </c>
      <c r="AJ327" s="140">
        <f ca="1">IF(ISNUMBER(MATCH(DATEVALUE($A327),'recurring1_based on steps'!AJ$1:AJ$400,0)),AJ$2,)</f>
        <v>0</v>
      </c>
      <c r="AK327" s="140">
        <f ca="1">IF(ISNUMBER(MATCH(DATEVALUE($A327),'recurring1_based on steps'!AK$1:AK$400,0)),AK$2,)</f>
        <v>0</v>
      </c>
      <c r="AL327" s="140">
        <f ca="1">IF(ISNUMBER(MATCH(DATEVALUE($A327),'recurring1_based on steps'!AL$1:AL$400,0)),AL$2,)</f>
        <v>0</v>
      </c>
      <c r="AM327" s="140">
        <f ca="1">IF(ISNUMBER(MATCH(DATEVALUE($A327),'recurring1_based on steps'!AM$1:AM$400,0)),AM$2,)</f>
        <v>0</v>
      </c>
      <c r="AN327" s="140">
        <f ca="1">IF(ISNUMBER(MATCH(DATEVALUE($A327),'recurring1_based on steps'!AN$1:AN$400,0)),AN$2,)</f>
        <v>0</v>
      </c>
      <c r="AO327" s="140">
        <f ca="1">IF(ISNUMBER(MATCH(DATEVALUE($A327),'recurring1_based on steps'!AO$1:AO$400,0)),AO$2,)</f>
        <v>0</v>
      </c>
      <c r="AP327" s="140">
        <f ca="1">IF(ISNUMBER(MATCH(DATEVALUE($A327),'recurring1_based on steps'!AP$1:AP$400,0)),AP$2,)</f>
        <v>0</v>
      </c>
      <c r="AQ327" s="140">
        <f ca="1">IF(ISNUMBER(MATCH(DATEVALUE($A327),'recurring1_based on steps'!AQ$1:AQ$400,0)),AQ$2,)</f>
        <v>0</v>
      </c>
      <c r="AR327" s="140">
        <f ca="1">IF(ISNUMBER(MATCH(DATEVALUE($A327),'recurring1_based on steps'!AR$1:AR$400,0)),AR$2,)</f>
        <v>0</v>
      </c>
      <c r="AS327" s="140">
        <f ca="1">IF(ISNUMBER(MATCH(DATEVALUE($A327),'recurring1_based on steps'!AS$1:AS$400,0)),AS$2,)</f>
        <v>0</v>
      </c>
      <c r="AT327" s="140">
        <f ca="1">IF(ISNUMBER(MATCH(DATEVALUE($A327),'recurring1_based on steps'!AT$1:AT$400,0)),AT$2,)</f>
        <v>0</v>
      </c>
      <c r="AU327" s="140">
        <f ca="1">IF(ISNUMBER(MATCH(DATEVALUE($A327),'recurring1_based on steps'!AU$1:AU$400,0)),AU$2,)</f>
        <v>0</v>
      </c>
      <c r="AV327" s="140">
        <f ca="1">IF(ISNUMBER(MATCH(DATEVALUE($A327),'recurring1_based on steps'!AV$1:AV$400,0)),AV$2,)</f>
        <v>0</v>
      </c>
      <c r="AW327" s="140">
        <f ca="1">IF(ISNUMBER(MATCH(DATEVALUE($A327),'recurring1_based on steps'!AW$1:AW$400,0)),AW$2,)</f>
        <v>0</v>
      </c>
      <c r="AX327" s="140">
        <f ca="1">IF(ISNUMBER(MATCH(DATEVALUE($A327),'recurring1_based on steps'!AX$1:AX$400,0)),AX$2,)</f>
        <v>0</v>
      </c>
      <c r="AY327" s="140">
        <f ca="1">IF(ISNUMBER(MATCH(DATEVALUE($A327),'recurring1_based on steps'!AY$1:AY$400,0)),AY$2,)</f>
        <v>0</v>
      </c>
    </row>
    <row r="328" spans="1:51" x14ac:dyDescent="0.2">
      <c r="A328" s="29" t="str">
        <f t="shared" ca="1" si="5"/>
        <v>2026-02-15</v>
      </c>
      <c r="B328" s="140">
        <f ca="1">IF(ISNUMBER(MATCH(DATEVALUE($A328),'recurring1_based on steps'!B$1:B$400,0)),B$2,)</f>
        <v>0</v>
      </c>
      <c r="C328" s="140">
        <f ca="1">IF(ISNUMBER(MATCH(DATEVALUE($A328),'recurring1_based on steps'!C$1:C$400,0)),C$2,)</f>
        <v>0</v>
      </c>
      <c r="D328" s="140">
        <f ca="1">IF(ISNUMBER(MATCH(DATEVALUE($A328),'recurring1_based on steps'!D$1:D$400,0)),D$2,)</f>
        <v>0</v>
      </c>
      <c r="E328" s="140">
        <f ca="1">IF(ISNUMBER(MATCH(DATEVALUE($A328),'recurring1_based on steps'!E$1:E$400,0)),E$2,)</f>
        <v>0</v>
      </c>
      <c r="F328" s="140">
        <f ca="1">IF(ISNUMBER(MATCH(DATEVALUE($A328),'recurring1_based on steps'!F$1:F$400,0)),F$2,)</f>
        <v>0</v>
      </c>
      <c r="G328" s="140">
        <f ca="1">IF(ISNUMBER(MATCH(DATEVALUE($A328),'recurring1_based on steps'!G$1:G$400,0)),G$2,)</f>
        <v>0</v>
      </c>
      <c r="H328" s="140">
        <f ca="1">IF(ISNUMBER(MATCH(DATEVALUE($A328),'recurring1_based on steps'!H$1:H$400,0)),H$2,)</f>
        <v>0</v>
      </c>
      <c r="I328" s="140">
        <f ca="1">IF(ISNUMBER(MATCH(DATEVALUE($A328),'recurring1_based on steps'!I$1:I$400,0)),I$2,)</f>
        <v>0</v>
      </c>
      <c r="J328" s="140">
        <f ca="1">IF(ISNUMBER(MATCH(DATEVALUE($A328),'recurring1_based on steps'!J$1:J$400,0)),J$2,)</f>
        <v>0</v>
      </c>
      <c r="K328" s="140">
        <f ca="1">IF(ISNUMBER(MATCH(DATEVALUE($A328),'recurring1_based on steps'!K$1:K$400,0)),K$2,)</f>
        <v>50</v>
      </c>
      <c r="L328" s="140">
        <f ca="1">IF(ISNUMBER(MATCH(DATEVALUE($A328),'recurring1_based on steps'!L$1:L$400,0)),L$2,)</f>
        <v>0</v>
      </c>
      <c r="M328" s="140">
        <f ca="1">IF(ISNUMBER(MATCH(DATEVALUE($A328),'recurring1_based on steps'!M$1:M$400,0)),M$2,)</f>
        <v>0</v>
      </c>
      <c r="N328" s="140">
        <f ca="1">IF(ISNUMBER(MATCH(DATEVALUE($A328),'recurring1_based on steps'!N$1:N$400,0)),N$2,)</f>
        <v>0</v>
      </c>
      <c r="O328" s="140">
        <f ca="1">IF(ISNUMBER(MATCH(DATEVALUE($A328),'recurring1_based on steps'!O$1:O$400,0)),O$2,)</f>
        <v>0</v>
      </c>
      <c r="P328" s="140">
        <f ca="1">IF(ISNUMBER(MATCH(DATEVALUE($A328),'recurring1_based on steps'!P$1:P$400,0)),P$2,)</f>
        <v>0</v>
      </c>
      <c r="Q328" s="140">
        <f ca="1">IF(ISNUMBER(MATCH(DATEVALUE($A328),'recurring1_based on steps'!Q$1:Q$400,0)),Q$2,)</f>
        <v>0</v>
      </c>
      <c r="R328" s="140">
        <f ca="1">IF(ISNUMBER(MATCH(DATEVALUE($A328),'recurring1_based on steps'!R$1:R$400,0)),R$2,)</f>
        <v>0</v>
      </c>
      <c r="S328" s="140">
        <f ca="1">IF(ISNUMBER(MATCH(DATEVALUE($A328),'recurring1_based on steps'!S$1:S$400,0)),S$2,)</f>
        <v>100</v>
      </c>
      <c r="T328" s="140">
        <f ca="1">IF(ISNUMBER(MATCH(DATEVALUE($A328),'recurring1_based on steps'!T$1:T$400,0)),T$2,)</f>
        <v>0</v>
      </c>
      <c r="U328" s="140">
        <f ca="1">IF(ISNUMBER(MATCH(DATEVALUE($A328),'recurring1_based on steps'!U$1:U$400,0)),U$2,)</f>
        <v>0</v>
      </c>
      <c r="V328" s="140">
        <f ca="1">IF(ISNUMBER(MATCH(DATEVALUE($A328),'recurring1_based on steps'!V$1:V$400,0)),V$2,)</f>
        <v>0</v>
      </c>
      <c r="W328" s="140">
        <f ca="1">IF(ISNUMBER(MATCH(DATEVALUE($A328),'recurring1_based on steps'!W$1:W$400,0)),W$2,)</f>
        <v>0</v>
      </c>
      <c r="X328" s="140">
        <f ca="1">IF(ISNUMBER(MATCH(DATEVALUE($A328),'recurring1_based on steps'!X$1:X$400,0)),X$2,)</f>
        <v>0</v>
      </c>
      <c r="Y328" s="140">
        <f ca="1">IF(ISNUMBER(MATCH(DATEVALUE($A328),'recurring1_based on steps'!Y$1:Y$400,0)),Y$2,)</f>
        <v>0</v>
      </c>
      <c r="Z328" s="140">
        <f ca="1">IF(ISNUMBER(MATCH(DATEVALUE($A328),'recurring1_based on steps'!Z$1:Z$400,0)),Z$2,)</f>
        <v>0</v>
      </c>
      <c r="AA328" s="140">
        <f ca="1">IF(ISNUMBER(MATCH(DATEVALUE($A328),'recurring1_based on steps'!AA$1:AA$400,0)),AA$2,)</f>
        <v>0</v>
      </c>
      <c r="AB328" s="140">
        <f ca="1">IF(ISNUMBER(MATCH(DATEVALUE($A328),'recurring1_based on steps'!AB$1:AB$400,0)),AB$2,)</f>
        <v>5.5401662049861494E-2</v>
      </c>
      <c r="AC328" s="140">
        <f ca="1">IF(ISNUMBER(MATCH(DATEVALUE($A328),'recurring1_based on steps'!AC$1:AC$400,0)),AC$2,)</f>
        <v>0</v>
      </c>
      <c r="AD328" s="140">
        <f ca="1">IF(ISNUMBER(MATCH(DATEVALUE($A328),'recurring1_based on steps'!AD$1:AD$400,0)),AD$2,)</f>
        <v>0</v>
      </c>
      <c r="AE328" s="140">
        <f ca="1">IF(ISNUMBER(MATCH(DATEVALUE($A328),'recurring1_based on steps'!AE$1:AE$400,0)),AE$2,)</f>
        <v>0</v>
      </c>
      <c r="AF328" s="140">
        <f ca="1">IF(ISNUMBER(MATCH(DATEVALUE($A328),'recurring1_based on steps'!AF$1:AF$400,0)),AF$2,)</f>
        <v>0</v>
      </c>
      <c r="AG328" s="140">
        <f ca="1">IF(ISNUMBER(MATCH(DATEVALUE($A328),'recurring1_based on steps'!AG$1:AG$400,0)),AG$2,)</f>
        <v>0</v>
      </c>
      <c r="AH328" s="140">
        <f ca="1">IF(ISNUMBER(MATCH(DATEVALUE($A328),'recurring1_based on steps'!AH$1:AH$400,0)),AH$2,)</f>
        <v>0</v>
      </c>
      <c r="AI328" s="140">
        <f ca="1">IF(ISNUMBER(MATCH(DATEVALUE($A328),'recurring1_based on steps'!AI$1:AI$400,0)),AI$2,)</f>
        <v>0</v>
      </c>
      <c r="AJ328" s="140">
        <f ca="1">IF(ISNUMBER(MATCH(DATEVALUE($A328),'recurring1_based on steps'!AJ$1:AJ$400,0)),AJ$2,)</f>
        <v>0</v>
      </c>
      <c r="AK328" s="140">
        <f ca="1">IF(ISNUMBER(MATCH(DATEVALUE($A328),'recurring1_based on steps'!AK$1:AK$400,0)),AK$2,)</f>
        <v>0</v>
      </c>
      <c r="AL328" s="140">
        <f ca="1">IF(ISNUMBER(MATCH(DATEVALUE($A328),'recurring1_based on steps'!AL$1:AL$400,0)),AL$2,)</f>
        <v>0</v>
      </c>
      <c r="AM328" s="140">
        <f ca="1">IF(ISNUMBER(MATCH(DATEVALUE($A328),'recurring1_based on steps'!AM$1:AM$400,0)),AM$2,)</f>
        <v>0</v>
      </c>
      <c r="AN328" s="140">
        <f ca="1">IF(ISNUMBER(MATCH(DATEVALUE($A328),'recurring1_based on steps'!AN$1:AN$400,0)),AN$2,)</f>
        <v>0</v>
      </c>
      <c r="AO328" s="140">
        <f ca="1">IF(ISNUMBER(MATCH(DATEVALUE($A328),'recurring1_based on steps'!AO$1:AO$400,0)),AO$2,)</f>
        <v>0</v>
      </c>
      <c r="AP328" s="140">
        <f ca="1">IF(ISNUMBER(MATCH(DATEVALUE($A328),'recurring1_based on steps'!AP$1:AP$400,0)),AP$2,)</f>
        <v>0</v>
      </c>
      <c r="AQ328" s="140">
        <f ca="1">IF(ISNUMBER(MATCH(DATEVALUE($A328),'recurring1_based on steps'!AQ$1:AQ$400,0)),AQ$2,)</f>
        <v>0</v>
      </c>
      <c r="AR328" s="140">
        <f ca="1">IF(ISNUMBER(MATCH(DATEVALUE($A328),'recurring1_based on steps'!AR$1:AR$400,0)),AR$2,)</f>
        <v>0</v>
      </c>
      <c r="AS328" s="140">
        <f ca="1">IF(ISNUMBER(MATCH(DATEVALUE($A328),'recurring1_based on steps'!AS$1:AS$400,0)),AS$2,)</f>
        <v>0</v>
      </c>
      <c r="AT328" s="140">
        <f ca="1">IF(ISNUMBER(MATCH(DATEVALUE($A328),'recurring1_based on steps'!AT$1:AT$400,0)),AT$2,)</f>
        <v>0</v>
      </c>
      <c r="AU328" s="140">
        <f ca="1">IF(ISNUMBER(MATCH(DATEVALUE($A328),'recurring1_based on steps'!AU$1:AU$400,0)),AU$2,)</f>
        <v>0</v>
      </c>
      <c r="AV328" s="140">
        <f ca="1">IF(ISNUMBER(MATCH(DATEVALUE($A328),'recurring1_based on steps'!AV$1:AV$400,0)),AV$2,)</f>
        <v>0</v>
      </c>
      <c r="AW328" s="140">
        <f ca="1">IF(ISNUMBER(MATCH(DATEVALUE($A328),'recurring1_based on steps'!AW$1:AW$400,0)),AW$2,)</f>
        <v>0</v>
      </c>
      <c r="AX328" s="140">
        <f ca="1">IF(ISNUMBER(MATCH(DATEVALUE($A328),'recurring1_based on steps'!AX$1:AX$400,0)),AX$2,)</f>
        <v>0</v>
      </c>
      <c r="AY328" s="140">
        <f ca="1">IF(ISNUMBER(MATCH(DATEVALUE($A328),'recurring1_based on steps'!AY$1:AY$400,0)),AY$2,)</f>
        <v>0</v>
      </c>
    </row>
    <row r="329" spans="1:51" x14ac:dyDescent="0.2">
      <c r="A329" s="29" t="str">
        <f t="shared" ca="1" si="5"/>
        <v>2026-02-16</v>
      </c>
      <c r="B329" s="140">
        <f ca="1">IF(ISNUMBER(MATCH(DATEVALUE($A329),'recurring1_based on steps'!B$1:B$400,0)),B$2,)</f>
        <v>0</v>
      </c>
      <c r="C329" s="140">
        <f ca="1">IF(ISNUMBER(MATCH(DATEVALUE($A329),'recurring1_based on steps'!C$1:C$400,0)),C$2,)</f>
        <v>0</v>
      </c>
      <c r="D329" s="140">
        <f ca="1">IF(ISNUMBER(MATCH(DATEVALUE($A329),'recurring1_based on steps'!D$1:D$400,0)),D$2,)</f>
        <v>0</v>
      </c>
      <c r="E329" s="140">
        <f ca="1">IF(ISNUMBER(MATCH(DATEVALUE($A329),'recurring1_based on steps'!E$1:E$400,0)),E$2,)</f>
        <v>0</v>
      </c>
      <c r="F329" s="140">
        <f ca="1">IF(ISNUMBER(MATCH(DATEVALUE($A329),'recurring1_based on steps'!F$1:F$400,0)),F$2,)</f>
        <v>0</v>
      </c>
      <c r="G329" s="140">
        <f ca="1">IF(ISNUMBER(MATCH(DATEVALUE($A329),'recurring1_based on steps'!G$1:G$400,0)),G$2,)</f>
        <v>0</v>
      </c>
      <c r="H329" s="140">
        <f ca="1">IF(ISNUMBER(MATCH(DATEVALUE($A329),'recurring1_based on steps'!H$1:H$400,0)),H$2,)</f>
        <v>0</v>
      </c>
      <c r="I329" s="140">
        <f ca="1">IF(ISNUMBER(MATCH(DATEVALUE($A329),'recurring1_based on steps'!I$1:I$400,0)),I$2,)</f>
        <v>0</v>
      </c>
      <c r="J329" s="140">
        <f ca="1">IF(ISNUMBER(MATCH(DATEVALUE($A329),'recurring1_based on steps'!J$1:J$400,0)),J$2,)</f>
        <v>0</v>
      </c>
      <c r="K329" s="140">
        <f ca="1">IF(ISNUMBER(MATCH(DATEVALUE($A329),'recurring1_based on steps'!K$1:K$400,0)),K$2,)</f>
        <v>0</v>
      </c>
      <c r="L329" s="140">
        <f ca="1">IF(ISNUMBER(MATCH(DATEVALUE($A329),'recurring1_based on steps'!L$1:L$400,0)),L$2,)</f>
        <v>0</v>
      </c>
      <c r="M329" s="140">
        <f ca="1">IF(ISNUMBER(MATCH(DATEVALUE($A329),'recurring1_based on steps'!M$1:M$400,0)),M$2,)</f>
        <v>0</v>
      </c>
      <c r="N329" s="140">
        <f ca="1">IF(ISNUMBER(MATCH(DATEVALUE($A329),'recurring1_based on steps'!N$1:N$400,0)),N$2,)</f>
        <v>0</v>
      </c>
      <c r="O329" s="140">
        <f ca="1">IF(ISNUMBER(MATCH(DATEVALUE($A329),'recurring1_based on steps'!O$1:O$400,0)),O$2,)</f>
        <v>0</v>
      </c>
      <c r="P329" s="140">
        <f ca="1">IF(ISNUMBER(MATCH(DATEVALUE($A329),'recurring1_based on steps'!P$1:P$400,0)),P$2,)</f>
        <v>0</v>
      </c>
      <c r="Q329" s="140">
        <f ca="1">IF(ISNUMBER(MATCH(DATEVALUE($A329),'recurring1_based on steps'!Q$1:Q$400,0)),Q$2,)</f>
        <v>0</v>
      </c>
      <c r="R329" s="140">
        <f ca="1">IF(ISNUMBER(MATCH(DATEVALUE($A329),'recurring1_based on steps'!R$1:R$400,0)),R$2,)</f>
        <v>0</v>
      </c>
      <c r="S329" s="140">
        <f ca="1">IF(ISNUMBER(MATCH(DATEVALUE($A329),'recurring1_based on steps'!S$1:S$400,0)),S$2,)</f>
        <v>0</v>
      </c>
      <c r="T329" s="140">
        <f ca="1">IF(ISNUMBER(MATCH(DATEVALUE($A329),'recurring1_based on steps'!T$1:T$400,0)),T$2,)</f>
        <v>50</v>
      </c>
      <c r="U329" s="140">
        <f ca="1">IF(ISNUMBER(MATCH(DATEVALUE($A329),'recurring1_based on steps'!U$1:U$400,0)),U$2,)</f>
        <v>0</v>
      </c>
      <c r="V329" s="140">
        <f ca="1">IF(ISNUMBER(MATCH(DATEVALUE($A329),'recurring1_based on steps'!V$1:V$400,0)),V$2,)</f>
        <v>0</v>
      </c>
      <c r="W329" s="140">
        <f ca="1">IF(ISNUMBER(MATCH(DATEVALUE($A329),'recurring1_based on steps'!W$1:W$400,0)),W$2,)</f>
        <v>0</v>
      </c>
      <c r="X329" s="140">
        <f ca="1">IF(ISNUMBER(MATCH(DATEVALUE($A329),'recurring1_based on steps'!X$1:X$400,0)),X$2,)</f>
        <v>0</v>
      </c>
      <c r="Y329" s="140">
        <f ca="1">IF(ISNUMBER(MATCH(DATEVALUE($A329),'recurring1_based on steps'!Y$1:Y$400,0)),Y$2,)</f>
        <v>0</v>
      </c>
      <c r="Z329" s="140">
        <f ca="1">IF(ISNUMBER(MATCH(DATEVALUE($A329),'recurring1_based on steps'!Z$1:Z$400,0)),Z$2,)</f>
        <v>0</v>
      </c>
      <c r="AA329" s="140">
        <f ca="1">IF(ISNUMBER(MATCH(DATEVALUE($A329),'recurring1_based on steps'!AA$1:AA$400,0)),AA$2,)</f>
        <v>0</v>
      </c>
      <c r="AB329" s="140">
        <f ca="1">IF(ISNUMBER(MATCH(DATEVALUE($A329),'recurring1_based on steps'!AB$1:AB$400,0)),AB$2,)</f>
        <v>5.5401662049861494E-2</v>
      </c>
      <c r="AC329" s="140">
        <f ca="1">IF(ISNUMBER(MATCH(DATEVALUE($A329),'recurring1_based on steps'!AC$1:AC$400,0)),AC$2,)</f>
        <v>0</v>
      </c>
      <c r="AD329" s="140">
        <f ca="1">IF(ISNUMBER(MATCH(DATEVALUE($A329),'recurring1_based on steps'!AD$1:AD$400,0)),AD$2,)</f>
        <v>0</v>
      </c>
      <c r="AE329" s="140">
        <f ca="1">IF(ISNUMBER(MATCH(DATEVALUE($A329),'recurring1_based on steps'!AE$1:AE$400,0)),AE$2,)</f>
        <v>0</v>
      </c>
      <c r="AF329" s="140">
        <f ca="1">IF(ISNUMBER(MATCH(DATEVALUE($A329),'recurring1_based on steps'!AF$1:AF$400,0)),AF$2,)</f>
        <v>0</v>
      </c>
      <c r="AG329" s="140">
        <f ca="1">IF(ISNUMBER(MATCH(DATEVALUE($A329),'recurring1_based on steps'!AG$1:AG$400,0)),AG$2,)</f>
        <v>0</v>
      </c>
      <c r="AH329" s="140">
        <f ca="1">IF(ISNUMBER(MATCH(DATEVALUE($A329),'recurring1_based on steps'!AH$1:AH$400,0)),AH$2,)</f>
        <v>0</v>
      </c>
      <c r="AI329" s="140">
        <f ca="1">IF(ISNUMBER(MATCH(DATEVALUE($A329),'recurring1_based on steps'!AI$1:AI$400,0)),AI$2,)</f>
        <v>0</v>
      </c>
      <c r="AJ329" s="140">
        <f ca="1">IF(ISNUMBER(MATCH(DATEVALUE($A329),'recurring1_based on steps'!AJ$1:AJ$400,0)),AJ$2,)</f>
        <v>0</v>
      </c>
      <c r="AK329" s="140">
        <f ca="1">IF(ISNUMBER(MATCH(DATEVALUE($A329),'recurring1_based on steps'!AK$1:AK$400,0)),AK$2,)</f>
        <v>0</v>
      </c>
      <c r="AL329" s="140">
        <f ca="1">IF(ISNUMBER(MATCH(DATEVALUE($A329),'recurring1_based on steps'!AL$1:AL$400,0)),AL$2,)</f>
        <v>0</v>
      </c>
      <c r="AM329" s="140">
        <f ca="1">IF(ISNUMBER(MATCH(DATEVALUE($A329),'recurring1_based on steps'!AM$1:AM$400,0)),AM$2,)</f>
        <v>0</v>
      </c>
      <c r="AN329" s="140">
        <f ca="1">IF(ISNUMBER(MATCH(DATEVALUE($A329),'recurring1_based on steps'!AN$1:AN$400,0)),AN$2,)</f>
        <v>0</v>
      </c>
      <c r="AO329" s="140">
        <f ca="1">IF(ISNUMBER(MATCH(DATEVALUE($A329),'recurring1_based on steps'!AO$1:AO$400,0)),AO$2,)</f>
        <v>0</v>
      </c>
      <c r="AP329" s="140">
        <f ca="1">IF(ISNUMBER(MATCH(DATEVALUE($A329),'recurring1_based on steps'!AP$1:AP$400,0)),AP$2,)</f>
        <v>0</v>
      </c>
      <c r="AQ329" s="140">
        <f ca="1">IF(ISNUMBER(MATCH(DATEVALUE($A329),'recurring1_based on steps'!AQ$1:AQ$400,0)),AQ$2,)</f>
        <v>0</v>
      </c>
      <c r="AR329" s="140">
        <f ca="1">IF(ISNUMBER(MATCH(DATEVALUE($A329),'recurring1_based on steps'!AR$1:AR$400,0)),AR$2,)</f>
        <v>0</v>
      </c>
      <c r="AS329" s="140">
        <f ca="1">IF(ISNUMBER(MATCH(DATEVALUE($A329),'recurring1_based on steps'!AS$1:AS$400,0)),AS$2,)</f>
        <v>0</v>
      </c>
      <c r="AT329" s="140">
        <f ca="1">IF(ISNUMBER(MATCH(DATEVALUE($A329),'recurring1_based on steps'!AT$1:AT$400,0)),AT$2,)</f>
        <v>0</v>
      </c>
      <c r="AU329" s="140">
        <f ca="1">IF(ISNUMBER(MATCH(DATEVALUE($A329),'recurring1_based on steps'!AU$1:AU$400,0)),AU$2,)</f>
        <v>0</v>
      </c>
      <c r="AV329" s="140">
        <f ca="1">IF(ISNUMBER(MATCH(DATEVALUE($A329),'recurring1_based on steps'!AV$1:AV$400,0)),AV$2,)</f>
        <v>0</v>
      </c>
      <c r="AW329" s="140">
        <f ca="1">IF(ISNUMBER(MATCH(DATEVALUE($A329),'recurring1_based on steps'!AW$1:AW$400,0)),AW$2,)</f>
        <v>0</v>
      </c>
      <c r="AX329" s="140">
        <f ca="1">IF(ISNUMBER(MATCH(DATEVALUE($A329),'recurring1_based on steps'!AX$1:AX$400,0)),AX$2,)</f>
        <v>0</v>
      </c>
      <c r="AY329" s="140">
        <f ca="1">IF(ISNUMBER(MATCH(DATEVALUE($A329),'recurring1_based on steps'!AY$1:AY$400,0)),AY$2,)</f>
        <v>0</v>
      </c>
    </row>
    <row r="330" spans="1:51" x14ac:dyDescent="0.2">
      <c r="A330" s="29" t="str">
        <f t="shared" ca="1" si="5"/>
        <v>2026-02-17</v>
      </c>
      <c r="B330" s="140">
        <f ca="1">IF(ISNUMBER(MATCH(DATEVALUE($A330),'recurring1_based on steps'!B$1:B$400,0)),B$2,)</f>
        <v>0</v>
      </c>
      <c r="C330" s="140">
        <f ca="1">IF(ISNUMBER(MATCH(DATEVALUE($A330),'recurring1_based on steps'!C$1:C$400,0)),C$2,)</f>
        <v>0</v>
      </c>
      <c r="D330" s="140">
        <f ca="1">IF(ISNUMBER(MATCH(DATEVALUE($A330),'recurring1_based on steps'!D$1:D$400,0)),D$2,)</f>
        <v>0</v>
      </c>
      <c r="E330" s="140">
        <f ca="1">IF(ISNUMBER(MATCH(DATEVALUE($A330),'recurring1_based on steps'!E$1:E$400,0)),E$2,)</f>
        <v>0</v>
      </c>
      <c r="F330" s="140">
        <f ca="1">IF(ISNUMBER(MATCH(DATEVALUE($A330),'recurring1_based on steps'!F$1:F$400,0)),F$2,)</f>
        <v>0</v>
      </c>
      <c r="G330" s="140">
        <f ca="1">IF(ISNUMBER(MATCH(DATEVALUE($A330),'recurring1_based on steps'!G$1:G$400,0)),G$2,)</f>
        <v>0</v>
      </c>
      <c r="H330" s="140">
        <f ca="1">IF(ISNUMBER(MATCH(DATEVALUE($A330),'recurring1_based on steps'!H$1:H$400,0)),H$2,)</f>
        <v>0</v>
      </c>
      <c r="I330" s="140">
        <f ca="1">IF(ISNUMBER(MATCH(DATEVALUE($A330),'recurring1_based on steps'!I$1:I$400,0)),I$2,)</f>
        <v>0</v>
      </c>
      <c r="J330" s="140">
        <f ca="1">IF(ISNUMBER(MATCH(DATEVALUE($A330),'recurring1_based on steps'!J$1:J$400,0)),J$2,)</f>
        <v>0</v>
      </c>
      <c r="K330" s="140">
        <f ca="1">IF(ISNUMBER(MATCH(DATEVALUE($A330),'recurring1_based on steps'!K$1:K$400,0)),K$2,)</f>
        <v>0</v>
      </c>
      <c r="L330" s="140">
        <f ca="1">IF(ISNUMBER(MATCH(DATEVALUE($A330),'recurring1_based on steps'!L$1:L$400,0)),L$2,)</f>
        <v>0</v>
      </c>
      <c r="M330" s="140">
        <f ca="1">IF(ISNUMBER(MATCH(DATEVALUE($A330),'recurring1_based on steps'!M$1:M$400,0)),M$2,)</f>
        <v>0</v>
      </c>
      <c r="N330" s="140">
        <f ca="1">IF(ISNUMBER(MATCH(DATEVALUE($A330),'recurring1_based on steps'!N$1:N$400,0)),N$2,)</f>
        <v>15.49</v>
      </c>
      <c r="O330" s="140">
        <f ca="1">IF(ISNUMBER(MATCH(DATEVALUE($A330),'recurring1_based on steps'!O$1:O$400,0)),O$2,)</f>
        <v>0</v>
      </c>
      <c r="P330" s="140">
        <f ca="1">IF(ISNUMBER(MATCH(DATEVALUE($A330),'recurring1_based on steps'!P$1:P$400,0)),P$2,)</f>
        <v>0</v>
      </c>
      <c r="Q330" s="140">
        <f ca="1">IF(ISNUMBER(MATCH(DATEVALUE($A330),'recurring1_based on steps'!Q$1:Q$400,0)),Q$2,)</f>
        <v>0</v>
      </c>
      <c r="R330" s="140">
        <f ca="1">IF(ISNUMBER(MATCH(DATEVALUE($A330),'recurring1_based on steps'!R$1:R$400,0)),R$2,)</f>
        <v>0</v>
      </c>
      <c r="S330" s="140">
        <f ca="1">IF(ISNUMBER(MATCH(DATEVALUE($A330),'recurring1_based on steps'!S$1:S$400,0)),S$2,)</f>
        <v>0</v>
      </c>
      <c r="T330" s="140">
        <f ca="1">IF(ISNUMBER(MATCH(DATEVALUE($A330),'recurring1_based on steps'!T$1:T$400,0)),T$2,)</f>
        <v>0</v>
      </c>
      <c r="U330" s="140">
        <f ca="1">IF(ISNUMBER(MATCH(DATEVALUE($A330),'recurring1_based on steps'!U$1:U$400,0)),U$2,)</f>
        <v>0</v>
      </c>
      <c r="V330" s="140">
        <f ca="1">IF(ISNUMBER(MATCH(DATEVALUE($A330),'recurring1_based on steps'!V$1:V$400,0)),V$2,)</f>
        <v>200</v>
      </c>
      <c r="W330" s="140">
        <f ca="1">IF(ISNUMBER(MATCH(DATEVALUE($A330),'recurring1_based on steps'!W$1:W$400,0)),W$2,)</f>
        <v>0</v>
      </c>
      <c r="X330" s="140">
        <f ca="1">IF(ISNUMBER(MATCH(DATEVALUE($A330),'recurring1_based on steps'!X$1:X$400,0)),X$2,)</f>
        <v>0</v>
      </c>
      <c r="Y330" s="140">
        <f ca="1">IF(ISNUMBER(MATCH(DATEVALUE($A330),'recurring1_based on steps'!Y$1:Y$400,0)),Y$2,)</f>
        <v>0</v>
      </c>
      <c r="Z330" s="140">
        <f ca="1">IF(ISNUMBER(MATCH(DATEVALUE($A330),'recurring1_based on steps'!Z$1:Z$400,0)),Z$2,)</f>
        <v>0</v>
      </c>
      <c r="AA330" s="140">
        <f ca="1">IF(ISNUMBER(MATCH(DATEVALUE($A330),'recurring1_based on steps'!AA$1:AA$400,0)),AA$2,)</f>
        <v>0</v>
      </c>
      <c r="AB330" s="140">
        <f ca="1">IF(ISNUMBER(MATCH(DATEVALUE($A330),'recurring1_based on steps'!AB$1:AB$400,0)),AB$2,)</f>
        <v>5.5401662049861494E-2</v>
      </c>
      <c r="AC330" s="140">
        <f ca="1">IF(ISNUMBER(MATCH(DATEVALUE($A330),'recurring1_based on steps'!AC$1:AC$400,0)),AC$2,)</f>
        <v>0</v>
      </c>
      <c r="AD330" s="140">
        <f ca="1">IF(ISNUMBER(MATCH(DATEVALUE($A330),'recurring1_based on steps'!AD$1:AD$400,0)),AD$2,)</f>
        <v>0</v>
      </c>
      <c r="AE330" s="140">
        <f ca="1">IF(ISNUMBER(MATCH(DATEVALUE($A330),'recurring1_based on steps'!AE$1:AE$400,0)),AE$2,)</f>
        <v>0</v>
      </c>
      <c r="AF330" s="140">
        <f ca="1">IF(ISNUMBER(MATCH(DATEVALUE($A330),'recurring1_based on steps'!AF$1:AF$400,0)),AF$2,)</f>
        <v>0</v>
      </c>
      <c r="AG330" s="140">
        <f ca="1">IF(ISNUMBER(MATCH(DATEVALUE($A330),'recurring1_based on steps'!AG$1:AG$400,0)),AG$2,)</f>
        <v>0</v>
      </c>
      <c r="AH330" s="140">
        <f ca="1">IF(ISNUMBER(MATCH(DATEVALUE($A330),'recurring1_based on steps'!AH$1:AH$400,0)),AH$2,)</f>
        <v>0</v>
      </c>
      <c r="AI330" s="140">
        <f ca="1">IF(ISNUMBER(MATCH(DATEVALUE($A330),'recurring1_based on steps'!AI$1:AI$400,0)),AI$2,)</f>
        <v>0</v>
      </c>
      <c r="AJ330" s="140">
        <f ca="1">IF(ISNUMBER(MATCH(DATEVALUE($A330),'recurring1_based on steps'!AJ$1:AJ$400,0)),AJ$2,)</f>
        <v>0</v>
      </c>
      <c r="AK330" s="140">
        <f ca="1">IF(ISNUMBER(MATCH(DATEVALUE($A330),'recurring1_based on steps'!AK$1:AK$400,0)),AK$2,)</f>
        <v>0</v>
      </c>
      <c r="AL330" s="140">
        <f ca="1">IF(ISNUMBER(MATCH(DATEVALUE($A330),'recurring1_based on steps'!AL$1:AL$400,0)),AL$2,)</f>
        <v>0</v>
      </c>
      <c r="AM330" s="140">
        <f ca="1">IF(ISNUMBER(MATCH(DATEVALUE($A330),'recurring1_based on steps'!AM$1:AM$400,0)),AM$2,)</f>
        <v>0</v>
      </c>
      <c r="AN330" s="140">
        <f ca="1">IF(ISNUMBER(MATCH(DATEVALUE($A330),'recurring1_based on steps'!AN$1:AN$400,0)),AN$2,)</f>
        <v>0</v>
      </c>
      <c r="AO330" s="140">
        <f ca="1">IF(ISNUMBER(MATCH(DATEVALUE($A330),'recurring1_based on steps'!AO$1:AO$400,0)),AO$2,)</f>
        <v>0</v>
      </c>
      <c r="AP330" s="140">
        <f ca="1">IF(ISNUMBER(MATCH(DATEVALUE($A330),'recurring1_based on steps'!AP$1:AP$400,0)),AP$2,)</f>
        <v>0</v>
      </c>
      <c r="AQ330" s="140">
        <f ca="1">IF(ISNUMBER(MATCH(DATEVALUE($A330),'recurring1_based on steps'!AQ$1:AQ$400,0)),AQ$2,)</f>
        <v>0</v>
      </c>
      <c r="AR330" s="140">
        <f ca="1">IF(ISNUMBER(MATCH(DATEVALUE($A330),'recurring1_based on steps'!AR$1:AR$400,0)),AR$2,)</f>
        <v>0</v>
      </c>
      <c r="AS330" s="140">
        <f ca="1">IF(ISNUMBER(MATCH(DATEVALUE($A330),'recurring1_based on steps'!AS$1:AS$400,0)),AS$2,)</f>
        <v>0</v>
      </c>
      <c r="AT330" s="140">
        <f ca="1">IF(ISNUMBER(MATCH(DATEVALUE($A330),'recurring1_based on steps'!AT$1:AT$400,0)),AT$2,)</f>
        <v>0</v>
      </c>
      <c r="AU330" s="140">
        <f ca="1">IF(ISNUMBER(MATCH(DATEVALUE($A330),'recurring1_based on steps'!AU$1:AU$400,0)),AU$2,)</f>
        <v>0</v>
      </c>
      <c r="AV330" s="140">
        <f ca="1">IF(ISNUMBER(MATCH(DATEVALUE($A330),'recurring1_based on steps'!AV$1:AV$400,0)),AV$2,)</f>
        <v>0</v>
      </c>
      <c r="AW330" s="140">
        <f ca="1">IF(ISNUMBER(MATCH(DATEVALUE($A330),'recurring1_based on steps'!AW$1:AW$400,0)),AW$2,)</f>
        <v>0</v>
      </c>
      <c r="AX330" s="140">
        <f ca="1">IF(ISNUMBER(MATCH(DATEVALUE($A330),'recurring1_based on steps'!AX$1:AX$400,0)),AX$2,)</f>
        <v>0</v>
      </c>
      <c r="AY330" s="140">
        <f ca="1">IF(ISNUMBER(MATCH(DATEVALUE($A330),'recurring1_based on steps'!AY$1:AY$400,0)),AY$2,)</f>
        <v>0</v>
      </c>
    </row>
    <row r="331" spans="1:51" x14ac:dyDescent="0.2">
      <c r="A331" s="29" t="str">
        <f t="shared" ca="1" si="5"/>
        <v>2026-02-18</v>
      </c>
      <c r="B331" s="140">
        <f ca="1">IF(ISNUMBER(MATCH(DATEVALUE($A331),'recurring1_based on steps'!B$1:B$400,0)),B$2,)</f>
        <v>0</v>
      </c>
      <c r="C331" s="140">
        <f ca="1">IF(ISNUMBER(MATCH(DATEVALUE($A331),'recurring1_based on steps'!C$1:C$400,0)),C$2,)</f>
        <v>0</v>
      </c>
      <c r="D331" s="140">
        <f ca="1">IF(ISNUMBER(MATCH(DATEVALUE($A331),'recurring1_based on steps'!D$1:D$400,0)),D$2,)</f>
        <v>0</v>
      </c>
      <c r="E331" s="140">
        <f ca="1">IF(ISNUMBER(MATCH(DATEVALUE($A331),'recurring1_based on steps'!E$1:E$400,0)),E$2,)</f>
        <v>0</v>
      </c>
      <c r="F331" s="140">
        <f ca="1">IF(ISNUMBER(MATCH(DATEVALUE($A331),'recurring1_based on steps'!F$1:F$400,0)),F$2,)</f>
        <v>0</v>
      </c>
      <c r="G331" s="140">
        <f ca="1">IF(ISNUMBER(MATCH(DATEVALUE($A331),'recurring1_based on steps'!G$1:G$400,0)),G$2,)</f>
        <v>0</v>
      </c>
      <c r="H331" s="140">
        <f ca="1">IF(ISNUMBER(MATCH(DATEVALUE($A331),'recurring1_based on steps'!H$1:H$400,0)),H$2,)</f>
        <v>0</v>
      </c>
      <c r="I331" s="140">
        <f ca="1">IF(ISNUMBER(MATCH(DATEVALUE($A331),'recurring1_based on steps'!I$1:I$400,0)),I$2,)</f>
        <v>0</v>
      </c>
      <c r="J331" s="140">
        <f ca="1">IF(ISNUMBER(MATCH(DATEVALUE($A331),'recurring1_based on steps'!J$1:J$400,0)),J$2,)</f>
        <v>0</v>
      </c>
      <c r="K331" s="140">
        <f ca="1">IF(ISNUMBER(MATCH(DATEVALUE($A331),'recurring1_based on steps'!K$1:K$400,0)),K$2,)</f>
        <v>0</v>
      </c>
      <c r="L331" s="140">
        <f ca="1">IF(ISNUMBER(MATCH(DATEVALUE($A331),'recurring1_based on steps'!L$1:L$400,0)),L$2,)</f>
        <v>0</v>
      </c>
      <c r="M331" s="140">
        <f ca="1">IF(ISNUMBER(MATCH(DATEVALUE($A331),'recurring1_based on steps'!M$1:M$400,0)),M$2,)</f>
        <v>0</v>
      </c>
      <c r="N331" s="140">
        <f ca="1">IF(ISNUMBER(MATCH(DATEVALUE($A331),'recurring1_based on steps'!N$1:N$400,0)),N$2,)</f>
        <v>0</v>
      </c>
      <c r="O331" s="140">
        <f ca="1">IF(ISNUMBER(MATCH(DATEVALUE($A331),'recurring1_based on steps'!O$1:O$400,0)),O$2,)</f>
        <v>10.99</v>
      </c>
      <c r="P331" s="140">
        <f ca="1">IF(ISNUMBER(MATCH(DATEVALUE($A331),'recurring1_based on steps'!P$1:P$400,0)),P$2,)</f>
        <v>0</v>
      </c>
      <c r="Q331" s="140">
        <f ca="1">IF(ISNUMBER(MATCH(DATEVALUE($A331),'recurring1_based on steps'!Q$1:Q$400,0)),Q$2,)</f>
        <v>0</v>
      </c>
      <c r="R331" s="140">
        <f ca="1">IF(ISNUMBER(MATCH(DATEVALUE($A331),'recurring1_based on steps'!R$1:R$400,0)),R$2,)</f>
        <v>0</v>
      </c>
      <c r="S331" s="140">
        <f ca="1">IF(ISNUMBER(MATCH(DATEVALUE($A331),'recurring1_based on steps'!S$1:S$400,0)),S$2,)</f>
        <v>0</v>
      </c>
      <c r="T331" s="140">
        <f ca="1">IF(ISNUMBER(MATCH(DATEVALUE($A331),'recurring1_based on steps'!T$1:T$400,0)),T$2,)</f>
        <v>0</v>
      </c>
      <c r="U331" s="140">
        <f ca="1">IF(ISNUMBER(MATCH(DATEVALUE($A331),'recurring1_based on steps'!U$1:U$400,0)),U$2,)</f>
        <v>0</v>
      </c>
      <c r="V331" s="140">
        <f ca="1">IF(ISNUMBER(MATCH(DATEVALUE($A331),'recurring1_based on steps'!V$1:V$400,0)),V$2,)</f>
        <v>0</v>
      </c>
      <c r="W331" s="140">
        <f ca="1">IF(ISNUMBER(MATCH(DATEVALUE($A331),'recurring1_based on steps'!W$1:W$400,0)),W$2,)</f>
        <v>0</v>
      </c>
      <c r="X331" s="140">
        <f ca="1">IF(ISNUMBER(MATCH(DATEVALUE($A331),'recurring1_based on steps'!X$1:X$400,0)),X$2,)</f>
        <v>0</v>
      </c>
      <c r="Y331" s="140">
        <f ca="1">IF(ISNUMBER(MATCH(DATEVALUE($A331),'recurring1_based on steps'!Y$1:Y$400,0)),Y$2,)</f>
        <v>0</v>
      </c>
      <c r="Z331" s="140">
        <f ca="1">IF(ISNUMBER(MATCH(DATEVALUE($A331),'recurring1_based on steps'!Z$1:Z$400,0)),Z$2,)</f>
        <v>0</v>
      </c>
      <c r="AA331" s="140">
        <f ca="1">IF(ISNUMBER(MATCH(DATEVALUE($A331),'recurring1_based on steps'!AA$1:AA$400,0)),AA$2,)</f>
        <v>0</v>
      </c>
      <c r="AB331" s="140">
        <f ca="1">IF(ISNUMBER(MATCH(DATEVALUE($A331),'recurring1_based on steps'!AB$1:AB$400,0)),AB$2,)</f>
        <v>5.5401662049861494E-2</v>
      </c>
      <c r="AC331" s="140">
        <f ca="1">IF(ISNUMBER(MATCH(DATEVALUE($A331),'recurring1_based on steps'!AC$1:AC$400,0)),AC$2,)</f>
        <v>0</v>
      </c>
      <c r="AD331" s="140">
        <f ca="1">IF(ISNUMBER(MATCH(DATEVALUE($A331),'recurring1_based on steps'!AD$1:AD$400,0)),AD$2,)</f>
        <v>0</v>
      </c>
      <c r="AE331" s="140">
        <f ca="1">IF(ISNUMBER(MATCH(DATEVALUE($A331),'recurring1_based on steps'!AE$1:AE$400,0)),AE$2,)</f>
        <v>0</v>
      </c>
      <c r="AF331" s="140">
        <f ca="1">IF(ISNUMBER(MATCH(DATEVALUE($A331),'recurring1_based on steps'!AF$1:AF$400,0)),AF$2,)</f>
        <v>0</v>
      </c>
      <c r="AG331" s="140">
        <f ca="1">IF(ISNUMBER(MATCH(DATEVALUE($A331),'recurring1_based on steps'!AG$1:AG$400,0)),AG$2,)</f>
        <v>0</v>
      </c>
      <c r="AH331" s="140">
        <f ca="1">IF(ISNUMBER(MATCH(DATEVALUE($A331),'recurring1_based on steps'!AH$1:AH$400,0)),AH$2,)</f>
        <v>0</v>
      </c>
      <c r="AI331" s="140">
        <f ca="1">IF(ISNUMBER(MATCH(DATEVALUE($A331),'recurring1_based on steps'!AI$1:AI$400,0)),AI$2,)</f>
        <v>0</v>
      </c>
      <c r="AJ331" s="140">
        <f ca="1">IF(ISNUMBER(MATCH(DATEVALUE($A331),'recurring1_based on steps'!AJ$1:AJ$400,0)),AJ$2,)</f>
        <v>0</v>
      </c>
      <c r="AK331" s="140">
        <f ca="1">IF(ISNUMBER(MATCH(DATEVALUE($A331),'recurring1_based on steps'!AK$1:AK$400,0)),AK$2,)</f>
        <v>0</v>
      </c>
      <c r="AL331" s="140">
        <f ca="1">IF(ISNUMBER(MATCH(DATEVALUE($A331),'recurring1_based on steps'!AL$1:AL$400,0)),AL$2,)</f>
        <v>0</v>
      </c>
      <c r="AM331" s="140">
        <f ca="1">IF(ISNUMBER(MATCH(DATEVALUE($A331),'recurring1_based on steps'!AM$1:AM$400,0)),AM$2,)</f>
        <v>0</v>
      </c>
      <c r="AN331" s="140">
        <f ca="1">IF(ISNUMBER(MATCH(DATEVALUE($A331),'recurring1_based on steps'!AN$1:AN$400,0)),AN$2,)</f>
        <v>0</v>
      </c>
      <c r="AO331" s="140">
        <f ca="1">IF(ISNUMBER(MATCH(DATEVALUE($A331),'recurring1_based on steps'!AO$1:AO$400,0)),AO$2,)</f>
        <v>0</v>
      </c>
      <c r="AP331" s="140">
        <f ca="1">IF(ISNUMBER(MATCH(DATEVALUE($A331),'recurring1_based on steps'!AP$1:AP$400,0)),AP$2,)</f>
        <v>0</v>
      </c>
      <c r="AQ331" s="140">
        <f ca="1">IF(ISNUMBER(MATCH(DATEVALUE($A331),'recurring1_based on steps'!AQ$1:AQ$400,0)),AQ$2,)</f>
        <v>0</v>
      </c>
      <c r="AR331" s="140">
        <f ca="1">IF(ISNUMBER(MATCH(DATEVALUE($A331),'recurring1_based on steps'!AR$1:AR$400,0)),AR$2,)</f>
        <v>0</v>
      </c>
      <c r="AS331" s="140">
        <f ca="1">IF(ISNUMBER(MATCH(DATEVALUE($A331),'recurring1_based on steps'!AS$1:AS$400,0)),AS$2,)</f>
        <v>0</v>
      </c>
      <c r="AT331" s="140">
        <f ca="1">IF(ISNUMBER(MATCH(DATEVALUE($A331),'recurring1_based on steps'!AT$1:AT$400,0)),AT$2,)</f>
        <v>0</v>
      </c>
      <c r="AU331" s="140">
        <f ca="1">IF(ISNUMBER(MATCH(DATEVALUE($A331),'recurring1_based on steps'!AU$1:AU$400,0)),AU$2,)</f>
        <v>0</v>
      </c>
      <c r="AV331" s="140">
        <f ca="1">IF(ISNUMBER(MATCH(DATEVALUE($A331),'recurring1_based on steps'!AV$1:AV$400,0)),AV$2,)</f>
        <v>0</v>
      </c>
      <c r="AW331" s="140">
        <f ca="1">IF(ISNUMBER(MATCH(DATEVALUE($A331),'recurring1_based on steps'!AW$1:AW$400,0)),AW$2,)</f>
        <v>0</v>
      </c>
      <c r="AX331" s="140">
        <f ca="1">IF(ISNUMBER(MATCH(DATEVALUE($A331),'recurring1_based on steps'!AX$1:AX$400,0)),AX$2,)</f>
        <v>0</v>
      </c>
      <c r="AY331" s="140">
        <f ca="1">IF(ISNUMBER(MATCH(DATEVALUE($A331),'recurring1_based on steps'!AY$1:AY$400,0)),AY$2,)</f>
        <v>0</v>
      </c>
    </row>
    <row r="332" spans="1:51" x14ac:dyDescent="0.2">
      <c r="A332" s="29" t="str">
        <f t="shared" ca="1" si="5"/>
        <v>2026-02-19</v>
      </c>
      <c r="B332" s="140">
        <f ca="1">IF(ISNUMBER(MATCH(DATEVALUE($A332),'recurring1_based on steps'!B$1:B$400,0)),B$2,)</f>
        <v>0</v>
      </c>
      <c r="C332" s="140">
        <f ca="1">IF(ISNUMBER(MATCH(DATEVALUE($A332),'recurring1_based on steps'!C$1:C$400,0)),C$2,)</f>
        <v>0</v>
      </c>
      <c r="D332" s="140">
        <f ca="1">IF(ISNUMBER(MATCH(DATEVALUE($A332),'recurring1_based on steps'!D$1:D$400,0)),D$2,)</f>
        <v>0</v>
      </c>
      <c r="E332" s="140">
        <f ca="1">IF(ISNUMBER(MATCH(DATEVALUE($A332),'recurring1_based on steps'!E$1:E$400,0)),E$2,)</f>
        <v>0</v>
      </c>
      <c r="F332" s="140">
        <f ca="1">IF(ISNUMBER(MATCH(DATEVALUE($A332),'recurring1_based on steps'!F$1:F$400,0)),F$2,)</f>
        <v>0</v>
      </c>
      <c r="G332" s="140">
        <f ca="1">IF(ISNUMBER(MATCH(DATEVALUE($A332),'recurring1_based on steps'!G$1:G$400,0)),G$2,)</f>
        <v>0</v>
      </c>
      <c r="H332" s="140">
        <f ca="1">IF(ISNUMBER(MATCH(DATEVALUE($A332),'recurring1_based on steps'!H$1:H$400,0)),H$2,)</f>
        <v>0</v>
      </c>
      <c r="I332" s="140">
        <f ca="1">IF(ISNUMBER(MATCH(DATEVALUE($A332),'recurring1_based on steps'!I$1:I$400,0)),I$2,)</f>
        <v>0</v>
      </c>
      <c r="J332" s="140">
        <f ca="1">IF(ISNUMBER(MATCH(DATEVALUE($A332),'recurring1_based on steps'!J$1:J$400,0)),J$2,)</f>
        <v>0</v>
      </c>
      <c r="K332" s="140">
        <f ca="1">IF(ISNUMBER(MATCH(DATEVALUE($A332),'recurring1_based on steps'!K$1:K$400,0)),K$2,)</f>
        <v>0</v>
      </c>
      <c r="L332" s="140">
        <f ca="1">IF(ISNUMBER(MATCH(DATEVALUE($A332),'recurring1_based on steps'!L$1:L$400,0)),L$2,)</f>
        <v>0</v>
      </c>
      <c r="M332" s="140">
        <f ca="1">IF(ISNUMBER(MATCH(DATEVALUE($A332),'recurring1_based on steps'!M$1:M$400,0)),M$2,)</f>
        <v>0</v>
      </c>
      <c r="N332" s="140">
        <f ca="1">IF(ISNUMBER(MATCH(DATEVALUE($A332),'recurring1_based on steps'!N$1:N$400,0)),N$2,)</f>
        <v>0</v>
      </c>
      <c r="O332" s="140">
        <f ca="1">IF(ISNUMBER(MATCH(DATEVALUE($A332),'recurring1_based on steps'!O$1:O$400,0)),O$2,)</f>
        <v>0</v>
      </c>
      <c r="P332" s="140">
        <f ca="1">IF(ISNUMBER(MATCH(DATEVALUE($A332),'recurring1_based on steps'!P$1:P$400,0)),P$2,)</f>
        <v>0</v>
      </c>
      <c r="Q332" s="140">
        <f ca="1">IF(ISNUMBER(MATCH(DATEVALUE($A332),'recurring1_based on steps'!Q$1:Q$400,0)),Q$2,)</f>
        <v>0</v>
      </c>
      <c r="R332" s="140">
        <f ca="1">IF(ISNUMBER(MATCH(DATEVALUE($A332),'recurring1_based on steps'!R$1:R$400,0)),R$2,)</f>
        <v>0</v>
      </c>
      <c r="S332" s="140">
        <f ca="1">IF(ISNUMBER(MATCH(DATEVALUE($A332),'recurring1_based on steps'!S$1:S$400,0)),S$2,)</f>
        <v>0</v>
      </c>
      <c r="T332" s="140">
        <f ca="1">IF(ISNUMBER(MATCH(DATEVALUE($A332),'recurring1_based on steps'!T$1:T$400,0)),T$2,)</f>
        <v>0</v>
      </c>
      <c r="U332" s="140">
        <f ca="1">IF(ISNUMBER(MATCH(DATEVALUE($A332),'recurring1_based on steps'!U$1:U$400,0)),U$2,)</f>
        <v>0</v>
      </c>
      <c r="V332" s="140">
        <f ca="1">IF(ISNUMBER(MATCH(DATEVALUE($A332),'recurring1_based on steps'!V$1:V$400,0)),V$2,)</f>
        <v>0</v>
      </c>
      <c r="W332" s="140">
        <f ca="1">IF(ISNUMBER(MATCH(DATEVALUE($A332),'recurring1_based on steps'!W$1:W$400,0)),W$2,)</f>
        <v>0</v>
      </c>
      <c r="X332" s="140">
        <f ca="1">IF(ISNUMBER(MATCH(DATEVALUE($A332),'recurring1_based on steps'!X$1:X$400,0)),X$2,)</f>
        <v>0</v>
      </c>
      <c r="Y332" s="140">
        <f ca="1">IF(ISNUMBER(MATCH(DATEVALUE($A332),'recurring1_based on steps'!Y$1:Y$400,0)),Y$2,)</f>
        <v>0</v>
      </c>
      <c r="Z332" s="140">
        <f ca="1">IF(ISNUMBER(MATCH(DATEVALUE($A332),'recurring1_based on steps'!Z$1:Z$400,0)),Z$2,)</f>
        <v>0</v>
      </c>
      <c r="AA332" s="140">
        <f ca="1">IF(ISNUMBER(MATCH(DATEVALUE($A332),'recurring1_based on steps'!AA$1:AA$400,0)),AA$2,)</f>
        <v>0</v>
      </c>
      <c r="AB332" s="140">
        <f ca="1">IF(ISNUMBER(MATCH(DATEVALUE($A332),'recurring1_based on steps'!AB$1:AB$400,0)),AB$2,)</f>
        <v>5.5401662049861494E-2</v>
      </c>
      <c r="AC332" s="140">
        <f ca="1">IF(ISNUMBER(MATCH(DATEVALUE($A332),'recurring1_based on steps'!AC$1:AC$400,0)),AC$2,)</f>
        <v>0</v>
      </c>
      <c r="AD332" s="140">
        <f ca="1">IF(ISNUMBER(MATCH(DATEVALUE($A332),'recurring1_based on steps'!AD$1:AD$400,0)),AD$2,)</f>
        <v>0</v>
      </c>
      <c r="AE332" s="140">
        <f ca="1">IF(ISNUMBER(MATCH(DATEVALUE($A332),'recurring1_based on steps'!AE$1:AE$400,0)),AE$2,)</f>
        <v>0</v>
      </c>
      <c r="AF332" s="140">
        <f ca="1">IF(ISNUMBER(MATCH(DATEVALUE($A332),'recurring1_based on steps'!AF$1:AF$400,0)),AF$2,)</f>
        <v>0</v>
      </c>
      <c r="AG332" s="140">
        <f ca="1">IF(ISNUMBER(MATCH(DATEVALUE($A332),'recurring1_based on steps'!AG$1:AG$400,0)),AG$2,)</f>
        <v>0</v>
      </c>
      <c r="AH332" s="140">
        <f ca="1">IF(ISNUMBER(MATCH(DATEVALUE($A332),'recurring1_based on steps'!AH$1:AH$400,0)),AH$2,)</f>
        <v>0</v>
      </c>
      <c r="AI332" s="140">
        <f ca="1">IF(ISNUMBER(MATCH(DATEVALUE($A332),'recurring1_based on steps'!AI$1:AI$400,0)),AI$2,)</f>
        <v>0</v>
      </c>
      <c r="AJ332" s="140">
        <f ca="1">IF(ISNUMBER(MATCH(DATEVALUE($A332),'recurring1_based on steps'!AJ$1:AJ$400,0)),AJ$2,)</f>
        <v>0</v>
      </c>
      <c r="AK332" s="140">
        <f ca="1">IF(ISNUMBER(MATCH(DATEVALUE($A332),'recurring1_based on steps'!AK$1:AK$400,0)),AK$2,)</f>
        <v>0</v>
      </c>
      <c r="AL332" s="140">
        <f ca="1">IF(ISNUMBER(MATCH(DATEVALUE($A332),'recurring1_based on steps'!AL$1:AL$400,0)),AL$2,)</f>
        <v>0</v>
      </c>
      <c r="AM332" s="140">
        <f ca="1">IF(ISNUMBER(MATCH(DATEVALUE($A332),'recurring1_based on steps'!AM$1:AM$400,0)),AM$2,)</f>
        <v>0</v>
      </c>
      <c r="AN332" s="140">
        <f ca="1">IF(ISNUMBER(MATCH(DATEVALUE($A332),'recurring1_based on steps'!AN$1:AN$400,0)),AN$2,)</f>
        <v>0</v>
      </c>
      <c r="AO332" s="140">
        <f ca="1">IF(ISNUMBER(MATCH(DATEVALUE($A332),'recurring1_based on steps'!AO$1:AO$400,0)),AO$2,)</f>
        <v>0</v>
      </c>
      <c r="AP332" s="140">
        <f ca="1">IF(ISNUMBER(MATCH(DATEVALUE($A332),'recurring1_based on steps'!AP$1:AP$400,0)),AP$2,)</f>
        <v>0</v>
      </c>
      <c r="AQ332" s="140">
        <f ca="1">IF(ISNUMBER(MATCH(DATEVALUE($A332),'recurring1_based on steps'!AQ$1:AQ$400,0)),AQ$2,)</f>
        <v>0</v>
      </c>
      <c r="AR332" s="140">
        <f ca="1">IF(ISNUMBER(MATCH(DATEVALUE($A332),'recurring1_based on steps'!AR$1:AR$400,0)),AR$2,)</f>
        <v>0</v>
      </c>
      <c r="AS332" s="140">
        <f ca="1">IF(ISNUMBER(MATCH(DATEVALUE($A332),'recurring1_based on steps'!AS$1:AS$400,0)),AS$2,)</f>
        <v>0</v>
      </c>
      <c r="AT332" s="140">
        <f ca="1">IF(ISNUMBER(MATCH(DATEVALUE($A332),'recurring1_based on steps'!AT$1:AT$400,0)),AT$2,)</f>
        <v>0</v>
      </c>
      <c r="AU332" s="140">
        <f ca="1">IF(ISNUMBER(MATCH(DATEVALUE($A332),'recurring1_based on steps'!AU$1:AU$400,0)),AU$2,)</f>
        <v>0</v>
      </c>
      <c r="AV332" s="140">
        <f ca="1">IF(ISNUMBER(MATCH(DATEVALUE($A332),'recurring1_based on steps'!AV$1:AV$400,0)),AV$2,)</f>
        <v>0</v>
      </c>
      <c r="AW332" s="140">
        <f ca="1">IF(ISNUMBER(MATCH(DATEVALUE($A332),'recurring1_based on steps'!AW$1:AW$400,0)),AW$2,)</f>
        <v>0</v>
      </c>
      <c r="AX332" s="140">
        <f ca="1">IF(ISNUMBER(MATCH(DATEVALUE($A332),'recurring1_based on steps'!AX$1:AX$400,0)),AX$2,)</f>
        <v>0</v>
      </c>
      <c r="AY332" s="140">
        <f ca="1">IF(ISNUMBER(MATCH(DATEVALUE($A332),'recurring1_based on steps'!AY$1:AY$400,0)),AY$2,)</f>
        <v>0</v>
      </c>
    </row>
    <row r="333" spans="1:51" x14ac:dyDescent="0.2">
      <c r="A333" s="29" t="str">
        <f t="shared" ca="1" si="5"/>
        <v>2026-02-20</v>
      </c>
      <c r="B333" s="140">
        <f ca="1">IF(ISNUMBER(MATCH(DATEVALUE($A333),'recurring1_based on steps'!B$1:B$400,0)),B$2,)</f>
        <v>4000</v>
      </c>
      <c r="C333" s="140">
        <f ca="1">IF(ISNUMBER(MATCH(DATEVALUE($A333),'recurring1_based on steps'!C$1:C$400,0)),C$2,)</f>
        <v>200</v>
      </c>
      <c r="D333" s="140">
        <f ca="1">IF(ISNUMBER(MATCH(DATEVALUE($A333),'recurring1_based on steps'!D$1:D$400,0)),D$2,)</f>
        <v>2</v>
      </c>
      <c r="E333" s="140">
        <f ca="1">IF(ISNUMBER(MATCH(DATEVALUE($A333),'recurring1_based on steps'!E$1:E$400,0)),E$2,)</f>
        <v>40</v>
      </c>
      <c r="F333" s="140">
        <f ca="1">IF(ISNUMBER(MATCH(DATEVALUE($A333),'recurring1_based on steps'!F$1:F$400,0)),F$2,)</f>
        <v>50</v>
      </c>
      <c r="G333" s="140">
        <f ca="1">IF(ISNUMBER(MATCH(DATEVALUE($A333),'recurring1_based on steps'!G$1:G$400,0)),G$2,)</f>
        <v>4</v>
      </c>
      <c r="H333" s="140">
        <f ca="1">IF(ISNUMBER(MATCH(DATEVALUE($A333),'recurring1_based on steps'!H$1:H$400,0)),H$2,)</f>
        <v>0</v>
      </c>
      <c r="I333" s="140">
        <f ca="1">IF(ISNUMBER(MATCH(DATEVALUE($A333),'recurring1_based on steps'!I$1:I$400,0)),I$2,)</f>
        <v>0</v>
      </c>
      <c r="J333" s="140">
        <f ca="1">IF(ISNUMBER(MATCH(DATEVALUE($A333),'recurring1_based on steps'!J$1:J$400,0)),J$2,)</f>
        <v>0</v>
      </c>
      <c r="K333" s="140">
        <f ca="1">IF(ISNUMBER(MATCH(DATEVALUE($A333),'recurring1_based on steps'!K$1:K$400,0)),K$2,)</f>
        <v>0</v>
      </c>
      <c r="L333" s="140">
        <f ca="1">IF(ISNUMBER(MATCH(DATEVALUE($A333),'recurring1_based on steps'!L$1:L$400,0)),L$2,)</f>
        <v>0</v>
      </c>
      <c r="M333" s="140">
        <f ca="1">IF(ISNUMBER(MATCH(DATEVALUE($A333),'recurring1_based on steps'!M$1:M$400,0)),M$2,)</f>
        <v>0</v>
      </c>
      <c r="N333" s="140">
        <f ca="1">IF(ISNUMBER(MATCH(DATEVALUE($A333),'recurring1_based on steps'!N$1:N$400,0)),N$2,)</f>
        <v>0</v>
      </c>
      <c r="O333" s="140">
        <f ca="1">IF(ISNUMBER(MATCH(DATEVALUE($A333),'recurring1_based on steps'!O$1:O$400,0)),O$2,)</f>
        <v>0</v>
      </c>
      <c r="P333" s="140">
        <f ca="1">IF(ISNUMBER(MATCH(DATEVALUE($A333),'recurring1_based on steps'!P$1:P$400,0)),P$2,)</f>
        <v>0</v>
      </c>
      <c r="Q333" s="140">
        <f ca="1">IF(ISNUMBER(MATCH(DATEVALUE($A333),'recurring1_based on steps'!Q$1:Q$400,0)),Q$2,)</f>
        <v>0</v>
      </c>
      <c r="R333" s="140">
        <f ca="1">IF(ISNUMBER(MATCH(DATEVALUE($A333),'recurring1_based on steps'!R$1:R$400,0)),R$2,)</f>
        <v>0</v>
      </c>
      <c r="S333" s="140">
        <f ca="1">IF(ISNUMBER(MATCH(DATEVALUE($A333),'recurring1_based on steps'!S$1:S$400,0)),S$2,)</f>
        <v>0</v>
      </c>
      <c r="T333" s="140">
        <f ca="1">IF(ISNUMBER(MATCH(DATEVALUE($A333),'recurring1_based on steps'!T$1:T$400,0)),T$2,)</f>
        <v>0</v>
      </c>
      <c r="U333" s="140">
        <f ca="1">IF(ISNUMBER(MATCH(DATEVALUE($A333),'recurring1_based on steps'!U$1:U$400,0)),U$2,)</f>
        <v>0</v>
      </c>
      <c r="V333" s="140">
        <f ca="1">IF(ISNUMBER(MATCH(DATEVALUE($A333),'recurring1_based on steps'!V$1:V$400,0)),V$2,)</f>
        <v>0</v>
      </c>
      <c r="W333" s="140">
        <f ca="1">IF(ISNUMBER(MATCH(DATEVALUE($A333),'recurring1_based on steps'!W$1:W$400,0)),W$2,)</f>
        <v>0</v>
      </c>
      <c r="X333" s="140">
        <f ca="1">IF(ISNUMBER(MATCH(DATEVALUE($A333),'recurring1_based on steps'!X$1:X$400,0)),X$2,)</f>
        <v>50</v>
      </c>
      <c r="Y333" s="140">
        <f ca="1">IF(ISNUMBER(MATCH(DATEVALUE($A333),'recurring1_based on steps'!Y$1:Y$400,0)),Y$2,)</f>
        <v>50</v>
      </c>
      <c r="Z333" s="140">
        <f ca="1">IF(ISNUMBER(MATCH(DATEVALUE($A333),'recurring1_based on steps'!Z$1:Z$400,0)),Z$2,)</f>
        <v>20</v>
      </c>
      <c r="AA333" s="140">
        <f ca="1">IF(ISNUMBER(MATCH(DATEVALUE($A333),'recurring1_based on steps'!AA$1:AA$400,0)),AA$2,)</f>
        <v>5.8171745152354575</v>
      </c>
      <c r="AB333" s="140">
        <f ca="1">IF(ISNUMBER(MATCH(DATEVALUE($A333),'recurring1_based on steps'!AB$1:AB$400,0)),AB$2,)</f>
        <v>5.5401662049861494E-2</v>
      </c>
      <c r="AC333" s="140">
        <f ca="1">IF(ISNUMBER(MATCH(DATEVALUE($A333),'recurring1_based on steps'!AC$1:AC$400,0)),AC$2,)</f>
        <v>0</v>
      </c>
      <c r="AD333" s="140">
        <f ca="1">IF(ISNUMBER(MATCH(DATEVALUE($A333),'recurring1_based on steps'!AD$1:AD$400,0)),AD$2,)</f>
        <v>0</v>
      </c>
      <c r="AE333" s="140">
        <f ca="1">IF(ISNUMBER(MATCH(DATEVALUE($A333),'recurring1_based on steps'!AE$1:AE$400,0)),AE$2,)</f>
        <v>0</v>
      </c>
      <c r="AF333" s="140">
        <f ca="1">IF(ISNUMBER(MATCH(DATEVALUE($A333),'recurring1_based on steps'!AF$1:AF$400,0)),AF$2,)</f>
        <v>0</v>
      </c>
      <c r="AG333" s="140">
        <f ca="1">IF(ISNUMBER(MATCH(DATEVALUE($A333),'recurring1_based on steps'!AG$1:AG$400,0)),AG$2,)</f>
        <v>0</v>
      </c>
      <c r="AH333" s="140">
        <f ca="1">IF(ISNUMBER(MATCH(DATEVALUE($A333),'recurring1_based on steps'!AH$1:AH$400,0)),AH$2,)</f>
        <v>0</v>
      </c>
      <c r="AI333" s="140">
        <f ca="1">IF(ISNUMBER(MATCH(DATEVALUE($A333),'recurring1_based on steps'!AI$1:AI$400,0)),AI$2,)</f>
        <v>0</v>
      </c>
      <c r="AJ333" s="140">
        <f ca="1">IF(ISNUMBER(MATCH(DATEVALUE($A333),'recurring1_based on steps'!AJ$1:AJ$400,0)),AJ$2,)</f>
        <v>0</v>
      </c>
      <c r="AK333" s="140">
        <f ca="1">IF(ISNUMBER(MATCH(DATEVALUE($A333),'recurring1_based on steps'!AK$1:AK$400,0)),AK$2,)</f>
        <v>0</v>
      </c>
      <c r="AL333" s="140">
        <f ca="1">IF(ISNUMBER(MATCH(DATEVALUE($A333),'recurring1_based on steps'!AL$1:AL$400,0)),AL$2,)</f>
        <v>0</v>
      </c>
      <c r="AM333" s="140">
        <f ca="1">IF(ISNUMBER(MATCH(DATEVALUE($A333),'recurring1_based on steps'!AM$1:AM$400,0)),AM$2,)</f>
        <v>0</v>
      </c>
      <c r="AN333" s="140">
        <f ca="1">IF(ISNUMBER(MATCH(DATEVALUE($A333),'recurring1_based on steps'!AN$1:AN$400,0)),AN$2,)</f>
        <v>0</v>
      </c>
      <c r="AO333" s="140">
        <f ca="1">IF(ISNUMBER(MATCH(DATEVALUE($A333),'recurring1_based on steps'!AO$1:AO$400,0)),AO$2,)</f>
        <v>0</v>
      </c>
      <c r="AP333" s="140">
        <f ca="1">IF(ISNUMBER(MATCH(DATEVALUE($A333),'recurring1_based on steps'!AP$1:AP$400,0)),AP$2,)</f>
        <v>0</v>
      </c>
      <c r="AQ333" s="140">
        <f ca="1">IF(ISNUMBER(MATCH(DATEVALUE($A333),'recurring1_based on steps'!AQ$1:AQ$400,0)),AQ$2,)</f>
        <v>0</v>
      </c>
      <c r="AR333" s="140">
        <f ca="1">IF(ISNUMBER(MATCH(DATEVALUE($A333),'recurring1_based on steps'!AR$1:AR$400,0)),AR$2,)</f>
        <v>0</v>
      </c>
      <c r="AS333" s="140">
        <f ca="1">IF(ISNUMBER(MATCH(DATEVALUE($A333),'recurring1_based on steps'!AS$1:AS$400,0)),AS$2,)</f>
        <v>0</v>
      </c>
      <c r="AT333" s="140">
        <f ca="1">IF(ISNUMBER(MATCH(DATEVALUE($A333),'recurring1_based on steps'!AT$1:AT$400,0)),AT$2,)</f>
        <v>0</v>
      </c>
      <c r="AU333" s="140">
        <f ca="1">IF(ISNUMBER(MATCH(DATEVALUE($A333),'recurring1_based on steps'!AU$1:AU$400,0)),AU$2,)</f>
        <v>0</v>
      </c>
      <c r="AV333" s="140">
        <f ca="1">IF(ISNUMBER(MATCH(DATEVALUE($A333),'recurring1_based on steps'!AV$1:AV$400,0)),AV$2,)</f>
        <v>0</v>
      </c>
      <c r="AW333" s="140">
        <f ca="1">IF(ISNUMBER(MATCH(DATEVALUE($A333),'recurring1_based on steps'!AW$1:AW$400,0)),AW$2,)</f>
        <v>0</v>
      </c>
      <c r="AX333" s="140">
        <f ca="1">IF(ISNUMBER(MATCH(DATEVALUE($A333),'recurring1_based on steps'!AX$1:AX$400,0)),AX$2,)</f>
        <v>0</v>
      </c>
      <c r="AY333" s="140">
        <f ca="1">IF(ISNUMBER(MATCH(DATEVALUE($A333),'recurring1_based on steps'!AY$1:AY$400,0)),AY$2,)</f>
        <v>0</v>
      </c>
    </row>
    <row r="334" spans="1:51" x14ac:dyDescent="0.2">
      <c r="A334" s="29" t="str">
        <f t="shared" ca="1" si="5"/>
        <v>2026-02-21</v>
      </c>
      <c r="B334" s="140">
        <f ca="1">IF(ISNUMBER(MATCH(DATEVALUE($A334),'recurring1_based on steps'!B$1:B$400,0)),B$2,)</f>
        <v>0</v>
      </c>
      <c r="C334" s="140">
        <f ca="1">IF(ISNUMBER(MATCH(DATEVALUE($A334),'recurring1_based on steps'!C$1:C$400,0)),C$2,)</f>
        <v>0</v>
      </c>
      <c r="D334" s="140">
        <f ca="1">IF(ISNUMBER(MATCH(DATEVALUE($A334),'recurring1_based on steps'!D$1:D$400,0)),D$2,)</f>
        <v>0</v>
      </c>
      <c r="E334" s="140">
        <f ca="1">IF(ISNUMBER(MATCH(DATEVALUE($A334),'recurring1_based on steps'!E$1:E$400,0)),E$2,)</f>
        <v>0</v>
      </c>
      <c r="F334" s="140">
        <f ca="1">IF(ISNUMBER(MATCH(DATEVALUE($A334),'recurring1_based on steps'!F$1:F$400,0)),F$2,)</f>
        <v>0</v>
      </c>
      <c r="G334" s="140">
        <f ca="1">IF(ISNUMBER(MATCH(DATEVALUE($A334),'recurring1_based on steps'!G$1:G$400,0)),G$2,)</f>
        <v>0</v>
      </c>
      <c r="H334" s="140">
        <f ca="1">IF(ISNUMBER(MATCH(DATEVALUE($A334),'recurring1_based on steps'!H$1:H$400,0)),H$2,)</f>
        <v>0</v>
      </c>
      <c r="I334" s="140">
        <f ca="1">IF(ISNUMBER(MATCH(DATEVALUE($A334),'recurring1_based on steps'!I$1:I$400,0)),I$2,)</f>
        <v>0</v>
      </c>
      <c r="J334" s="140">
        <f ca="1">IF(ISNUMBER(MATCH(DATEVALUE($A334),'recurring1_based on steps'!J$1:J$400,0)),J$2,)</f>
        <v>0</v>
      </c>
      <c r="K334" s="140">
        <f ca="1">IF(ISNUMBER(MATCH(DATEVALUE($A334),'recurring1_based on steps'!K$1:K$400,0)),K$2,)</f>
        <v>0</v>
      </c>
      <c r="L334" s="140">
        <f ca="1">IF(ISNUMBER(MATCH(DATEVALUE($A334),'recurring1_based on steps'!L$1:L$400,0)),L$2,)</f>
        <v>0</v>
      </c>
      <c r="M334" s="140">
        <f ca="1">IF(ISNUMBER(MATCH(DATEVALUE($A334),'recurring1_based on steps'!M$1:M$400,0)),M$2,)</f>
        <v>0</v>
      </c>
      <c r="N334" s="140">
        <f ca="1">IF(ISNUMBER(MATCH(DATEVALUE($A334),'recurring1_based on steps'!N$1:N$400,0)),N$2,)</f>
        <v>0</v>
      </c>
      <c r="O334" s="140">
        <f ca="1">IF(ISNUMBER(MATCH(DATEVALUE($A334),'recurring1_based on steps'!O$1:O$400,0)),O$2,)</f>
        <v>0</v>
      </c>
      <c r="P334" s="140">
        <f ca="1">IF(ISNUMBER(MATCH(DATEVALUE($A334),'recurring1_based on steps'!P$1:P$400,0)),P$2,)</f>
        <v>0</v>
      </c>
      <c r="Q334" s="140">
        <f ca="1">IF(ISNUMBER(MATCH(DATEVALUE($A334),'recurring1_based on steps'!Q$1:Q$400,0)),Q$2,)</f>
        <v>100</v>
      </c>
      <c r="R334" s="140">
        <f ca="1">IF(ISNUMBER(MATCH(DATEVALUE($A334),'recurring1_based on steps'!R$1:R$400,0)),R$2,)</f>
        <v>100</v>
      </c>
      <c r="S334" s="140">
        <f ca="1">IF(ISNUMBER(MATCH(DATEVALUE($A334),'recurring1_based on steps'!S$1:S$400,0)),S$2,)</f>
        <v>0</v>
      </c>
      <c r="T334" s="140">
        <f ca="1">IF(ISNUMBER(MATCH(DATEVALUE($A334),'recurring1_based on steps'!T$1:T$400,0)),T$2,)</f>
        <v>0</v>
      </c>
      <c r="U334" s="140">
        <f ca="1">IF(ISNUMBER(MATCH(DATEVALUE($A334),'recurring1_based on steps'!U$1:U$400,0)),U$2,)</f>
        <v>0</v>
      </c>
      <c r="V334" s="140">
        <f ca="1">IF(ISNUMBER(MATCH(DATEVALUE($A334),'recurring1_based on steps'!V$1:V$400,0)),V$2,)</f>
        <v>0</v>
      </c>
      <c r="W334" s="140">
        <f ca="1">IF(ISNUMBER(MATCH(DATEVALUE($A334),'recurring1_based on steps'!W$1:W$400,0)),W$2,)</f>
        <v>0</v>
      </c>
      <c r="X334" s="140">
        <f ca="1">IF(ISNUMBER(MATCH(DATEVALUE($A334),'recurring1_based on steps'!X$1:X$400,0)),X$2,)</f>
        <v>0</v>
      </c>
      <c r="Y334" s="140">
        <f ca="1">IF(ISNUMBER(MATCH(DATEVALUE($A334),'recurring1_based on steps'!Y$1:Y$400,0)),Y$2,)</f>
        <v>0</v>
      </c>
      <c r="Z334" s="140">
        <f ca="1">IF(ISNUMBER(MATCH(DATEVALUE($A334),'recurring1_based on steps'!Z$1:Z$400,0)),Z$2,)</f>
        <v>0</v>
      </c>
      <c r="AA334" s="140">
        <f ca="1">IF(ISNUMBER(MATCH(DATEVALUE($A334),'recurring1_based on steps'!AA$1:AA$400,0)),AA$2,)</f>
        <v>0</v>
      </c>
      <c r="AB334" s="140">
        <f ca="1">IF(ISNUMBER(MATCH(DATEVALUE($A334),'recurring1_based on steps'!AB$1:AB$400,0)),AB$2,)</f>
        <v>5.5401662049861494E-2</v>
      </c>
      <c r="AC334" s="140">
        <f ca="1">IF(ISNUMBER(MATCH(DATEVALUE($A334),'recurring1_based on steps'!AC$1:AC$400,0)),AC$2,)</f>
        <v>0</v>
      </c>
      <c r="AD334" s="140">
        <f ca="1">IF(ISNUMBER(MATCH(DATEVALUE($A334),'recurring1_based on steps'!AD$1:AD$400,0)),AD$2,)</f>
        <v>0</v>
      </c>
      <c r="AE334" s="140">
        <f ca="1">IF(ISNUMBER(MATCH(DATEVALUE($A334),'recurring1_based on steps'!AE$1:AE$400,0)),AE$2,)</f>
        <v>0</v>
      </c>
      <c r="AF334" s="140">
        <f ca="1">IF(ISNUMBER(MATCH(DATEVALUE($A334),'recurring1_based on steps'!AF$1:AF$400,0)),AF$2,)</f>
        <v>0</v>
      </c>
      <c r="AG334" s="140">
        <f ca="1">IF(ISNUMBER(MATCH(DATEVALUE($A334),'recurring1_based on steps'!AG$1:AG$400,0)),AG$2,)</f>
        <v>0</v>
      </c>
      <c r="AH334" s="140">
        <f ca="1">IF(ISNUMBER(MATCH(DATEVALUE($A334),'recurring1_based on steps'!AH$1:AH$400,0)),AH$2,)</f>
        <v>0</v>
      </c>
      <c r="AI334" s="140">
        <f ca="1">IF(ISNUMBER(MATCH(DATEVALUE($A334),'recurring1_based on steps'!AI$1:AI$400,0)),AI$2,)</f>
        <v>0</v>
      </c>
      <c r="AJ334" s="140">
        <f ca="1">IF(ISNUMBER(MATCH(DATEVALUE($A334),'recurring1_based on steps'!AJ$1:AJ$400,0)),AJ$2,)</f>
        <v>0</v>
      </c>
      <c r="AK334" s="140">
        <f ca="1">IF(ISNUMBER(MATCH(DATEVALUE($A334),'recurring1_based on steps'!AK$1:AK$400,0)),AK$2,)</f>
        <v>0</v>
      </c>
      <c r="AL334" s="140">
        <f ca="1">IF(ISNUMBER(MATCH(DATEVALUE($A334),'recurring1_based on steps'!AL$1:AL$400,0)),AL$2,)</f>
        <v>0</v>
      </c>
      <c r="AM334" s="140">
        <f ca="1">IF(ISNUMBER(MATCH(DATEVALUE($A334),'recurring1_based on steps'!AM$1:AM$400,0)),AM$2,)</f>
        <v>0</v>
      </c>
      <c r="AN334" s="140">
        <f ca="1">IF(ISNUMBER(MATCH(DATEVALUE($A334),'recurring1_based on steps'!AN$1:AN$400,0)),AN$2,)</f>
        <v>0</v>
      </c>
      <c r="AO334" s="140">
        <f ca="1">IF(ISNUMBER(MATCH(DATEVALUE($A334),'recurring1_based on steps'!AO$1:AO$400,0)),AO$2,)</f>
        <v>0</v>
      </c>
      <c r="AP334" s="140">
        <f ca="1">IF(ISNUMBER(MATCH(DATEVALUE($A334),'recurring1_based on steps'!AP$1:AP$400,0)),AP$2,)</f>
        <v>0</v>
      </c>
      <c r="AQ334" s="140">
        <f ca="1">IF(ISNUMBER(MATCH(DATEVALUE($A334),'recurring1_based on steps'!AQ$1:AQ$400,0)),AQ$2,)</f>
        <v>0</v>
      </c>
      <c r="AR334" s="140">
        <f ca="1">IF(ISNUMBER(MATCH(DATEVALUE($A334),'recurring1_based on steps'!AR$1:AR$400,0)),AR$2,)</f>
        <v>0</v>
      </c>
      <c r="AS334" s="140">
        <f ca="1">IF(ISNUMBER(MATCH(DATEVALUE($A334),'recurring1_based on steps'!AS$1:AS$400,0)),AS$2,)</f>
        <v>0</v>
      </c>
      <c r="AT334" s="140">
        <f ca="1">IF(ISNUMBER(MATCH(DATEVALUE($A334),'recurring1_based on steps'!AT$1:AT$400,0)),AT$2,)</f>
        <v>0</v>
      </c>
      <c r="AU334" s="140">
        <f ca="1">IF(ISNUMBER(MATCH(DATEVALUE($A334),'recurring1_based on steps'!AU$1:AU$400,0)),AU$2,)</f>
        <v>0</v>
      </c>
      <c r="AV334" s="140">
        <f ca="1">IF(ISNUMBER(MATCH(DATEVALUE($A334),'recurring1_based on steps'!AV$1:AV$400,0)),AV$2,)</f>
        <v>0</v>
      </c>
      <c r="AW334" s="140">
        <f ca="1">IF(ISNUMBER(MATCH(DATEVALUE($A334),'recurring1_based on steps'!AW$1:AW$400,0)),AW$2,)</f>
        <v>0</v>
      </c>
      <c r="AX334" s="140">
        <f ca="1">IF(ISNUMBER(MATCH(DATEVALUE($A334),'recurring1_based on steps'!AX$1:AX$400,0)),AX$2,)</f>
        <v>0</v>
      </c>
      <c r="AY334" s="140">
        <f ca="1">IF(ISNUMBER(MATCH(DATEVALUE($A334),'recurring1_based on steps'!AY$1:AY$400,0)),AY$2,)</f>
        <v>0</v>
      </c>
    </row>
    <row r="335" spans="1:51" x14ac:dyDescent="0.2">
      <c r="A335" s="29" t="str">
        <f t="shared" ca="1" si="5"/>
        <v>2026-02-22</v>
      </c>
      <c r="B335" s="140">
        <f ca="1">IF(ISNUMBER(MATCH(DATEVALUE($A335),'recurring1_based on steps'!B$1:B$400,0)),B$2,)</f>
        <v>0</v>
      </c>
      <c r="C335" s="140">
        <f ca="1">IF(ISNUMBER(MATCH(DATEVALUE($A335),'recurring1_based on steps'!C$1:C$400,0)),C$2,)</f>
        <v>0</v>
      </c>
      <c r="D335" s="140">
        <f ca="1">IF(ISNUMBER(MATCH(DATEVALUE($A335),'recurring1_based on steps'!D$1:D$400,0)),D$2,)</f>
        <v>0</v>
      </c>
      <c r="E335" s="140">
        <f ca="1">IF(ISNUMBER(MATCH(DATEVALUE($A335),'recurring1_based on steps'!E$1:E$400,0)),E$2,)</f>
        <v>0</v>
      </c>
      <c r="F335" s="140">
        <f ca="1">IF(ISNUMBER(MATCH(DATEVALUE($A335),'recurring1_based on steps'!F$1:F$400,0)),F$2,)</f>
        <v>0</v>
      </c>
      <c r="G335" s="140">
        <f ca="1">IF(ISNUMBER(MATCH(DATEVALUE($A335),'recurring1_based on steps'!G$1:G$400,0)),G$2,)</f>
        <v>0</v>
      </c>
      <c r="H335" s="140">
        <f ca="1">IF(ISNUMBER(MATCH(DATEVALUE($A335),'recurring1_based on steps'!H$1:H$400,0)),H$2,)</f>
        <v>0</v>
      </c>
      <c r="I335" s="140">
        <f ca="1">IF(ISNUMBER(MATCH(DATEVALUE($A335),'recurring1_based on steps'!I$1:I$400,0)),I$2,)</f>
        <v>0</v>
      </c>
      <c r="J335" s="140">
        <f ca="1">IF(ISNUMBER(MATCH(DATEVALUE($A335),'recurring1_based on steps'!J$1:J$400,0)),J$2,)</f>
        <v>0</v>
      </c>
      <c r="K335" s="140">
        <f ca="1">IF(ISNUMBER(MATCH(DATEVALUE($A335),'recurring1_based on steps'!K$1:K$400,0)),K$2,)</f>
        <v>50</v>
      </c>
      <c r="L335" s="140">
        <f ca="1">IF(ISNUMBER(MATCH(DATEVALUE($A335),'recurring1_based on steps'!L$1:L$400,0)),L$2,)</f>
        <v>0</v>
      </c>
      <c r="M335" s="140">
        <f ca="1">IF(ISNUMBER(MATCH(DATEVALUE($A335),'recurring1_based on steps'!M$1:M$400,0)),M$2,)</f>
        <v>0</v>
      </c>
      <c r="N335" s="140">
        <f ca="1">IF(ISNUMBER(MATCH(DATEVALUE($A335),'recurring1_based on steps'!N$1:N$400,0)),N$2,)</f>
        <v>0</v>
      </c>
      <c r="O335" s="140">
        <f ca="1">IF(ISNUMBER(MATCH(DATEVALUE($A335),'recurring1_based on steps'!O$1:O$400,0)),O$2,)</f>
        <v>0</v>
      </c>
      <c r="P335" s="140">
        <f ca="1">IF(ISNUMBER(MATCH(DATEVALUE($A335),'recurring1_based on steps'!P$1:P$400,0)),P$2,)</f>
        <v>0</v>
      </c>
      <c r="Q335" s="140">
        <f ca="1">IF(ISNUMBER(MATCH(DATEVALUE($A335),'recurring1_based on steps'!Q$1:Q$400,0)),Q$2,)</f>
        <v>0</v>
      </c>
      <c r="R335" s="140">
        <f ca="1">IF(ISNUMBER(MATCH(DATEVALUE($A335),'recurring1_based on steps'!R$1:R$400,0)),R$2,)</f>
        <v>0</v>
      </c>
      <c r="S335" s="140">
        <f ca="1">IF(ISNUMBER(MATCH(DATEVALUE($A335),'recurring1_based on steps'!S$1:S$400,0)),S$2,)</f>
        <v>100</v>
      </c>
      <c r="T335" s="140">
        <f ca="1">IF(ISNUMBER(MATCH(DATEVALUE($A335),'recurring1_based on steps'!T$1:T$400,0)),T$2,)</f>
        <v>0</v>
      </c>
      <c r="U335" s="140">
        <f ca="1">IF(ISNUMBER(MATCH(DATEVALUE($A335),'recurring1_based on steps'!U$1:U$400,0)),U$2,)</f>
        <v>0</v>
      </c>
      <c r="V335" s="140">
        <f ca="1">IF(ISNUMBER(MATCH(DATEVALUE($A335),'recurring1_based on steps'!V$1:V$400,0)),V$2,)</f>
        <v>0</v>
      </c>
      <c r="W335" s="140">
        <f ca="1">IF(ISNUMBER(MATCH(DATEVALUE($A335),'recurring1_based on steps'!W$1:W$400,0)),W$2,)</f>
        <v>0</v>
      </c>
      <c r="X335" s="140">
        <f ca="1">IF(ISNUMBER(MATCH(DATEVALUE($A335),'recurring1_based on steps'!X$1:X$400,0)),X$2,)</f>
        <v>0</v>
      </c>
      <c r="Y335" s="140">
        <f ca="1">IF(ISNUMBER(MATCH(DATEVALUE($A335),'recurring1_based on steps'!Y$1:Y$400,0)),Y$2,)</f>
        <v>0</v>
      </c>
      <c r="Z335" s="140">
        <f ca="1">IF(ISNUMBER(MATCH(DATEVALUE($A335),'recurring1_based on steps'!Z$1:Z$400,0)),Z$2,)</f>
        <v>0</v>
      </c>
      <c r="AA335" s="140">
        <f ca="1">IF(ISNUMBER(MATCH(DATEVALUE($A335),'recurring1_based on steps'!AA$1:AA$400,0)),AA$2,)</f>
        <v>0</v>
      </c>
      <c r="AB335" s="140">
        <f ca="1">IF(ISNUMBER(MATCH(DATEVALUE($A335),'recurring1_based on steps'!AB$1:AB$400,0)),AB$2,)</f>
        <v>5.5401662049861494E-2</v>
      </c>
      <c r="AC335" s="140">
        <f ca="1">IF(ISNUMBER(MATCH(DATEVALUE($A335),'recurring1_based on steps'!AC$1:AC$400,0)),AC$2,)</f>
        <v>0</v>
      </c>
      <c r="AD335" s="140">
        <f ca="1">IF(ISNUMBER(MATCH(DATEVALUE($A335),'recurring1_based on steps'!AD$1:AD$400,0)),AD$2,)</f>
        <v>0</v>
      </c>
      <c r="AE335" s="140">
        <f ca="1">IF(ISNUMBER(MATCH(DATEVALUE($A335),'recurring1_based on steps'!AE$1:AE$400,0)),AE$2,)</f>
        <v>0</v>
      </c>
      <c r="AF335" s="140">
        <f ca="1">IF(ISNUMBER(MATCH(DATEVALUE($A335),'recurring1_based on steps'!AF$1:AF$400,0)),AF$2,)</f>
        <v>0</v>
      </c>
      <c r="AG335" s="140">
        <f ca="1">IF(ISNUMBER(MATCH(DATEVALUE($A335),'recurring1_based on steps'!AG$1:AG$400,0)),AG$2,)</f>
        <v>0</v>
      </c>
      <c r="AH335" s="140">
        <f ca="1">IF(ISNUMBER(MATCH(DATEVALUE($A335),'recurring1_based on steps'!AH$1:AH$400,0)),AH$2,)</f>
        <v>0</v>
      </c>
      <c r="AI335" s="140">
        <f ca="1">IF(ISNUMBER(MATCH(DATEVALUE($A335),'recurring1_based on steps'!AI$1:AI$400,0)),AI$2,)</f>
        <v>0</v>
      </c>
      <c r="AJ335" s="140">
        <f ca="1">IF(ISNUMBER(MATCH(DATEVALUE($A335),'recurring1_based on steps'!AJ$1:AJ$400,0)),AJ$2,)</f>
        <v>0</v>
      </c>
      <c r="AK335" s="140">
        <f ca="1">IF(ISNUMBER(MATCH(DATEVALUE($A335),'recurring1_based on steps'!AK$1:AK$400,0)),AK$2,)</f>
        <v>0</v>
      </c>
      <c r="AL335" s="140">
        <f ca="1">IF(ISNUMBER(MATCH(DATEVALUE($A335),'recurring1_based on steps'!AL$1:AL$400,0)),AL$2,)</f>
        <v>0</v>
      </c>
      <c r="AM335" s="140">
        <f ca="1">IF(ISNUMBER(MATCH(DATEVALUE($A335),'recurring1_based on steps'!AM$1:AM$400,0)),AM$2,)</f>
        <v>0</v>
      </c>
      <c r="AN335" s="140">
        <f ca="1">IF(ISNUMBER(MATCH(DATEVALUE($A335),'recurring1_based on steps'!AN$1:AN$400,0)),AN$2,)</f>
        <v>0</v>
      </c>
      <c r="AO335" s="140">
        <f ca="1">IF(ISNUMBER(MATCH(DATEVALUE($A335),'recurring1_based on steps'!AO$1:AO$400,0)),AO$2,)</f>
        <v>0</v>
      </c>
      <c r="AP335" s="140">
        <f ca="1">IF(ISNUMBER(MATCH(DATEVALUE($A335),'recurring1_based on steps'!AP$1:AP$400,0)),AP$2,)</f>
        <v>0</v>
      </c>
      <c r="AQ335" s="140">
        <f ca="1">IF(ISNUMBER(MATCH(DATEVALUE($A335),'recurring1_based on steps'!AQ$1:AQ$400,0)),AQ$2,)</f>
        <v>0</v>
      </c>
      <c r="AR335" s="140">
        <f ca="1">IF(ISNUMBER(MATCH(DATEVALUE($A335),'recurring1_based on steps'!AR$1:AR$400,0)),AR$2,)</f>
        <v>0</v>
      </c>
      <c r="AS335" s="140">
        <f ca="1">IF(ISNUMBER(MATCH(DATEVALUE($A335),'recurring1_based on steps'!AS$1:AS$400,0)),AS$2,)</f>
        <v>0</v>
      </c>
      <c r="AT335" s="140">
        <f ca="1">IF(ISNUMBER(MATCH(DATEVALUE($A335),'recurring1_based on steps'!AT$1:AT$400,0)),AT$2,)</f>
        <v>0</v>
      </c>
      <c r="AU335" s="140">
        <f ca="1">IF(ISNUMBER(MATCH(DATEVALUE($A335),'recurring1_based on steps'!AU$1:AU$400,0)),AU$2,)</f>
        <v>0</v>
      </c>
      <c r="AV335" s="140">
        <f ca="1">IF(ISNUMBER(MATCH(DATEVALUE($A335),'recurring1_based on steps'!AV$1:AV$400,0)),AV$2,)</f>
        <v>0</v>
      </c>
      <c r="AW335" s="140">
        <f ca="1">IF(ISNUMBER(MATCH(DATEVALUE($A335),'recurring1_based on steps'!AW$1:AW$400,0)),AW$2,)</f>
        <v>0</v>
      </c>
      <c r="AX335" s="140">
        <f ca="1">IF(ISNUMBER(MATCH(DATEVALUE($A335),'recurring1_based on steps'!AX$1:AX$400,0)),AX$2,)</f>
        <v>0</v>
      </c>
      <c r="AY335" s="140">
        <f ca="1">IF(ISNUMBER(MATCH(DATEVALUE($A335),'recurring1_based on steps'!AY$1:AY$400,0)),AY$2,)</f>
        <v>0</v>
      </c>
    </row>
    <row r="336" spans="1:51" x14ac:dyDescent="0.2">
      <c r="A336" s="29" t="str">
        <f t="shared" ca="1" si="5"/>
        <v>2026-02-23</v>
      </c>
      <c r="B336" s="140">
        <f ca="1">IF(ISNUMBER(MATCH(DATEVALUE($A336),'recurring1_based on steps'!B$1:B$400,0)),B$2,)</f>
        <v>0</v>
      </c>
      <c r="C336" s="140">
        <f ca="1">IF(ISNUMBER(MATCH(DATEVALUE($A336),'recurring1_based on steps'!C$1:C$400,0)),C$2,)</f>
        <v>0</v>
      </c>
      <c r="D336" s="140">
        <f ca="1">IF(ISNUMBER(MATCH(DATEVALUE($A336),'recurring1_based on steps'!D$1:D$400,0)),D$2,)</f>
        <v>0</v>
      </c>
      <c r="E336" s="140">
        <f ca="1">IF(ISNUMBER(MATCH(DATEVALUE($A336),'recurring1_based on steps'!E$1:E$400,0)),E$2,)</f>
        <v>0</v>
      </c>
      <c r="F336" s="140">
        <f ca="1">IF(ISNUMBER(MATCH(DATEVALUE($A336),'recurring1_based on steps'!F$1:F$400,0)),F$2,)</f>
        <v>0</v>
      </c>
      <c r="G336" s="140">
        <f ca="1">IF(ISNUMBER(MATCH(DATEVALUE($A336),'recurring1_based on steps'!G$1:G$400,0)),G$2,)</f>
        <v>0</v>
      </c>
      <c r="H336" s="140">
        <f ca="1">IF(ISNUMBER(MATCH(DATEVALUE($A336),'recurring1_based on steps'!H$1:H$400,0)),H$2,)</f>
        <v>0</v>
      </c>
      <c r="I336" s="140">
        <f ca="1">IF(ISNUMBER(MATCH(DATEVALUE($A336),'recurring1_based on steps'!I$1:I$400,0)),I$2,)</f>
        <v>0</v>
      </c>
      <c r="J336" s="140">
        <f ca="1">IF(ISNUMBER(MATCH(DATEVALUE($A336),'recurring1_based on steps'!J$1:J$400,0)),J$2,)</f>
        <v>0</v>
      </c>
      <c r="K336" s="140">
        <f ca="1">IF(ISNUMBER(MATCH(DATEVALUE($A336),'recurring1_based on steps'!K$1:K$400,0)),K$2,)</f>
        <v>0</v>
      </c>
      <c r="L336" s="140">
        <f ca="1">IF(ISNUMBER(MATCH(DATEVALUE($A336),'recurring1_based on steps'!L$1:L$400,0)),L$2,)</f>
        <v>0</v>
      </c>
      <c r="M336" s="140">
        <f ca="1">IF(ISNUMBER(MATCH(DATEVALUE($A336),'recurring1_based on steps'!M$1:M$400,0)),M$2,)</f>
        <v>0</v>
      </c>
      <c r="N336" s="140">
        <f ca="1">IF(ISNUMBER(MATCH(DATEVALUE($A336),'recurring1_based on steps'!N$1:N$400,0)),N$2,)</f>
        <v>0</v>
      </c>
      <c r="O336" s="140">
        <f ca="1">IF(ISNUMBER(MATCH(DATEVALUE($A336),'recurring1_based on steps'!O$1:O$400,0)),O$2,)</f>
        <v>0</v>
      </c>
      <c r="P336" s="140">
        <f ca="1">IF(ISNUMBER(MATCH(DATEVALUE($A336),'recurring1_based on steps'!P$1:P$400,0)),P$2,)</f>
        <v>0</v>
      </c>
      <c r="Q336" s="140">
        <f ca="1">IF(ISNUMBER(MATCH(DATEVALUE($A336),'recurring1_based on steps'!Q$1:Q$400,0)),Q$2,)</f>
        <v>0</v>
      </c>
      <c r="R336" s="140">
        <f ca="1">IF(ISNUMBER(MATCH(DATEVALUE($A336),'recurring1_based on steps'!R$1:R$400,0)),R$2,)</f>
        <v>0</v>
      </c>
      <c r="S336" s="140">
        <f ca="1">IF(ISNUMBER(MATCH(DATEVALUE($A336),'recurring1_based on steps'!S$1:S$400,0)),S$2,)</f>
        <v>0</v>
      </c>
      <c r="T336" s="140">
        <f ca="1">IF(ISNUMBER(MATCH(DATEVALUE($A336),'recurring1_based on steps'!T$1:T$400,0)),T$2,)</f>
        <v>0</v>
      </c>
      <c r="U336" s="140">
        <f ca="1">IF(ISNUMBER(MATCH(DATEVALUE($A336),'recurring1_based on steps'!U$1:U$400,0)),U$2,)</f>
        <v>0</v>
      </c>
      <c r="V336" s="140">
        <f ca="1">IF(ISNUMBER(MATCH(DATEVALUE($A336),'recurring1_based on steps'!V$1:V$400,0)),V$2,)</f>
        <v>0</v>
      </c>
      <c r="W336" s="140">
        <f ca="1">IF(ISNUMBER(MATCH(DATEVALUE($A336),'recurring1_based on steps'!W$1:W$400,0)),W$2,)</f>
        <v>0</v>
      </c>
      <c r="X336" s="140">
        <f ca="1">IF(ISNUMBER(MATCH(DATEVALUE($A336),'recurring1_based on steps'!X$1:X$400,0)),X$2,)</f>
        <v>0</v>
      </c>
      <c r="Y336" s="140">
        <f ca="1">IF(ISNUMBER(MATCH(DATEVALUE($A336),'recurring1_based on steps'!Y$1:Y$400,0)),Y$2,)</f>
        <v>0</v>
      </c>
      <c r="Z336" s="140">
        <f ca="1">IF(ISNUMBER(MATCH(DATEVALUE($A336),'recurring1_based on steps'!Z$1:Z$400,0)),Z$2,)</f>
        <v>0</v>
      </c>
      <c r="AA336" s="140">
        <f ca="1">IF(ISNUMBER(MATCH(DATEVALUE($A336),'recurring1_based on steps'!AA$1:AA$400,0)),AA$2,)</f>
        <v>0</v>
      </c>
      <c r="AB336" s="140">
        <f ca="1">IF(ISNUMBER(MATCH(DATEVALUE($A336),'recurring1_based on steps'!AB$1:AB$400,0)),AB$2,)</f>
        <v>5.5401662049861494E-2</v>
      </c>
      <c r="AC336" s="140">
        <f ca="1">IF(ISNUMBER(MATCH(DATEVALUE($A336),'recurring1_based on steps'!AC$1:AC$400,0)),AC$2,)</f>
        <v>0</v>
      </c>
      <c r="AD336" s="140">
        <f ca="1">IF(ISNUMBER(MATCH(DATEVALUE($A336),'recurring1_based on steps'!AD$1:AD$400,0)),AD$2,)</f>
        <v>0</v>
      </c>
      <c r="AE336" s="140">
        <f ca="1">IF(ISNUMBER(MATCH(DATEVALUE($A336),'recurring1_based on steps'!AE$1:AE$400,0)),AE$2,)</f>
        <v>0</v>
      </c>
      <c r="AF336" s="140">
        <f ca="1">IF(ISNUMBER(MATCH(DATEVALUE($A336),'recurring1_based on steps'!AF$1:AF$400,0)),AF$2,)</f>
        <v>0</v>
      </c>
      <c r="AG336" s="140">
        <f ca="1">IF(ISNUMBER(MATCH(DATEVALUE($A336),'recurring1_based on steps'!AG$1:AG$400,0)),AG$2,)</f>
        <v>0</v>
      </c>
      <c r="AH336" s="140">
        <f ca="1">IF(ISNUMBER(MATCH(DATEVALUE($A336),'recurring1_based on steps'!AH$1:AH$400,0)),AH$2,)</f>
        <v>0</v>
      </c>
      <c r="AI336" s="140">
        <f ca="1">IF(ISNUMBER(MATCH(DATEVALUE($A336),'recurring1_based on steps'!AI$1:AI$400,0)),AI$2,)</f>
        <v>0</v>
      </c>
      <c r="AJ336" s="140">
        <f ca="1">IF(ISNUMBER(MATCH(DATEVALUE($A336),'recurring1_based on steps'!AJ$1:AJ$400,0)),AJ$2,)</f>
        <v>0</v>
      </c>
      <c r="AK336" s="140">
        <f ca="1">IF(ISNUMBER(MATCH(DATEVALUE($A336),'recurring1_based on steps'!AK$1:AK$400,0)),AK$2,)</f>
        <v>0</v>
      </c>
      <c r="AL336" s="140">
        <f ca="1">IF(ISNUMBER(MATCH(DATEVALUE($A336),'recurring1_based on steps'!AL$1:AL$400,0)),AL$2,)</f>
        <v>0</v>
      </c>
      <c r="AM336" s="140">
        <f ca="1">IF(ISNUMBER(MATCH(DATEVALUE($A336),'recurring1_based on steps'!AM$1:AM$400,0)),AM$2,)</f>
        <v>0</v>
      </c>
      <c r="AN336" s="140">
        <f ca="1">IF(ISNUMBER(MATCH(DATEVALUE($A336),'recurring1_based on steps'!AN$1:AN$400,0)),AN$2,)</f>
        <v>0</v>
      </c>
      <c r="AO336" s="140">
        <f ca="1">IF(ISNUMBER(MATCH(DATEVALUE($A336),'recurring1_based on steps'!AO$1:AO$400,0)),AO$2,)</f>
        <v>0</v>
      </c>
      <c r="AP336" s="140">
        <f ca="1">IF(ISNUMBER(MATCH(DATEVALUE($A336),'recurring1_based on steps'!AP$1:AP$400,0)),AP$2,)</f>
        <v>0</v>
      </c>
      <c r="AQ336" s="140">
        <f ca="1">IF(ISNUMBER(MATCH(DATEVALUE($A336),'recurring1_based on steps'!AQ$1:AQ$400,0)),AQ$2,)</f>
        <v>0</v>
      </c>
      <c r="AR336" s="140">
        <f ca="1">IF(ISNUMBER(MATCH(DATEVALUE($A336),'recurring1_based on steps'!AR$1:AR$400,0)),AR$2,)</f>
        <v>0</v>
      </c>
      <c r="AS336" s="140">
        <f ca="1">IF(ISNUMBER(MATCH(DATEVALUE($A336),'recurring1_based on steps'!AS$1:AS$400,0)),AS$2,)</f>
        <v>0</v>
      </c>
      <c r="AT336" s="140">
        <f ca="1">IF(ISNUMBER(MATCH(DATEVALUE($A336),'recurring1_based on steps'!AT$1:AT$400,0)),AT$2,)</f>
        <v>0</v>
      </c>
      <c r="AU336" s="140">
        <f ca="1">IF(ISNUMBER(MATCH(DATEVALUE($A336),'recurring1_based on steps'!AU$1:AU$400,0)),AU$2,)</f>
        <v>0</v>
      </c>
      <c r="AV336" s="140">
        <f ca="1">IF(ISNUMBER(MATCH(DATEVALUE($A336),'recurring1_based on steps'!AV$1:AV$400,0)),AV$2,)</f>
        <v>0</v>
      </c>
      <c r="AW336" s="140">
        <f ca="1">IF(ISNUMBER(MATCH(DATEVALUE($A336),'recurring1_based on steps'!AW$1:AW$400,0)),AW$2,)</f>
        <v>0</v>
      </c>
      <c r="AX336" s="140">
        <f ca="1">IF(ISNUMBER(MATCH(DATEVALUE($A336),'recurring1_based on steps'!AX$1:AX$400,0)),AX$2,)</f>
        <v>0</v>
      </c>
      <c r="AY336" s="140">
        <f ca="1">IF(ISNUMBER(MATCH(DATEVALUE($A336),'recurring1_based on steps'!AY$1:AY$400,0)),AY$2,)</f>
        <v>0</v>
      </c>
    </row>
    <row r="337" spans="1:51" x14ac:dyDescent="0.2">
      <c r="A337" s="29" t="str">
        <f t="shared" ca="1" si="5"/>
        <v>2026-02-24</v>
      </c>
      <c r="B337" s="140">
        <f ca="1">IF(ISNUMBER(MATCH(DATEVALUE($A337),'recurring1_based on steps'!B$1:B$400,0)),B$2,)</f>
        <v>0</v>
      </c>
      <c r="C337" s="140">
        <f ca="1">IF(ISNUMBER(MATCH(DATEVALUE($A337),'recurring1_based on steps'!C$1:C$400,0)),C$2,)</f>
        <v>0</v>
      </c>
      <c r="D337" s="140">
        <f ca="1">IF(ISNUMBER(MATCH(DATEVALUE($A337),'recurring1_based on steps'!D$1:D$400,0)),D$2,)</f>
        <v>0</v>
      </c>
      <c r="E337" s="140">
        <f ca="1">IF(ISNUMBER(MATCH(DATEVALUE($A337),'recurring1_based on steps'!E$1:E$400,0)),E$2,)</f>
        <v>0</v>
      </c>
      <c r="F337" s="140">
        <f ca="1">IF(ISNUMBER(MATCH(DATEVALUE($A337),'recurring1_based on steps'!F$1:F$400,0)),F$2,)</f>
        <v>0</v>
      </c>
      <c r="G337" s="140">
        <f ca="1">IF(ISNUMBER(MATCH(DATEVALUE($A337),'recurring1_based on steps'!G$1:G$400,0)),G$2,)</f>
        <v>0</v>
      </c>
      <c r="H337" s="140">
        <f ca="1">IF(ISNUMBER(MATCH(DATEVALUE($A337),'recurring1_based on steps'!H$1:H$400,0)),H$2,)</f>
        <v>0</v>
      </c>
      <c r="I337" s="140">
        <f ca="1">IF(ISNUMBER(MATCH(DATEVALUE($A337),'recurring1_based on steps'!I$1:I$400,0)),I$2,)</f>
        <v>0</v>
      </c>
      <c r="J337" s="140">
        <f ca="1">IF(ISNUMBER(MATCH(DATEVALUE($A337),'recurring1_based on steps'!J$1:J$400,0)),J$2,)</f>
        <v>0</v>
      </c>
      <c r="K337" s="140">
        <f ca="1">IF(ISNUMBER(MATCH(DATEVALUE($A337),'recurring1_based on steps'!K$1:K$400,0)),K$2,)</f>
        <v>0</v>
      </c>
      <c r="L337" s="140">
        <f ca="1">IF(ISNUMBER(MATCH(DATEVALUE($A337),'recurring1_based on steps'!L$1:L$400,0)),L$2,)</f>
        <v>0</v>
      </c>
      <c r="M337" s="140">
        <f ca="1">IF(ISNUMBER(MATCH(DATEVALUE($A337),'recurring1_based on steps'!M$1:M$400,0)),M$2,)</f>
        <v>0</v>
      </c>
      <c r="N337" s="140">
        <f ca="1">IF(ISNUMBER(MATCH(DATEVALUE($A337),'recurring1_based on steps'!N$1:N$400,0)),N$2,)</f>
        <v>0</v>
      </c>
      <c r="O337" s="140">
        <f ca="1">IF(ISNUMBER(MATCH(DATEVALUE($A337),'recurring1_based on steps'!O$1:O$400,0)),O$2,)</f>
        <v>0</v>
      </c>
      <c r="P337" s="140">
        <f ca="1">IF(ISNUMBER(MATCH(DATEVALUE($A337),'recurring1_based on steps'!P$1:P$400,0)),P$2,)</f>
        <v>0</v>
      </c>
      <c r="Q337" s="140">
        <f ca="1">IF(ISNUMBER(MATCH(DATEVALUE($A337),'recurring1_based on steps'!Q$1:Q$400,0)),Q$2,)</f>
        <v>0</v>
      </c>
      <c r="R337" s="140">
        <f ca="1">IF(ISNUMBER(MATCH(DATEVALUE($A337),'recurring1_based on steps'!R$1:R$400,0)),R$2,)</f>
        <v>0</v>
      </c>
      <c r="S337" s="140">
        <f ca="1">IF(ISNUMBER(MATCH(DATEVALUE($A337),'recurring1_based on steps'!S$1:S$400,0)),S$2,)</f>
        <v>0</v>
      </c>
      <c r="T337" s="140">
        <f ca="1">IF(ISNUMBER(MATCH(DATEVALUE($A337),'recurring1_based on steps'!T$1:T$400,0)),T$2,)</f>
        <v>0</v>
      </c>
      <c r="U337" s="140">
        <f ca="1">IF(ISNUMBER(MATCH(DATEVALUE($A337),'recurring1_based on steps'!U$1:U$400,0)),U$2,)</f>
        <v>0</v>
      </c>
      <c r="V337" s="140">
        <f ca="1">IF(ISNUMBER(MATCH(DATEVALUE($A337),'recurring1_based on steps'!V$1:V$400,0)),V$2,)</f>
        <v>0</v>
      </c>
      <c r="W337" s="140">
        <f ca="1">IF(ISNUMBER(MATCH(DATEVALUE($A337),'recurring1_based on steps'!W$1:W$400,0)),W$2,)</f>
        <v>0</v>
      </c>
      <c r="X337" s="140">
        <f ca="1">IF(ISNUMBER(MATCH(DATEVALUE($A337),'recurring1_based on steps'!X$1:X$400,0)),X$2,)</f>
        <v>0</v>
      </c>
      <c r="Y337" s="140">
        <f ca="1">IF(ISNUMBER(MATCH(DATEVALUE($A337),'recurring1_based on steps'!Y$1:Y$400,0)),Y$2,)</f>
        <v>0</v>
      </c>
      <c r="Z337" s="140">
        <f ca="1">IF(ISNUMBER(MATCH(DATEVALUE($A337),'recurring1_based on steps'!Z$1:Z$400,0)),Z$2,)</f>
        <v>0</v>
      </c>
      <c r="AA337" s="140">
        <f ca="1">IF(ISNUMBER(MATCH(DATEVALUE($A337),'recurring1_based on steps'!AA$1:AA$400,0)),AA$2,)</f>
        <v>0</v>
      </c>
      <c r="AB337" s="140">
        <f ca="1">IF(ISNUMBER(MATCH(DATEVALUE($A337),'recurring1_based on steps'!AB$1:AB$400,0)),AB$2,)</f>
        <v>5.5401662049861494E-2</v>
      </c>
      <c r="AC337" s="140">
        <f ca="1">IF(ISNUMBER(MATCH(DATEVALUE($A337),'recurring1_based on steps'!AC$1:AC$400,0)),AC$2,)</f>
        <v>0</v>
      </c>
      <c r="AD337" s="140">
        <f ca="1">IF(ISNUMBER(MATCH(DATEVALUE($A337),'recurring1_based on steps'!AD$1:AD$400,0)),AD$2,)</f>
        <v>0</v>
      </c>
      <c r="AE337" s="140">
        <f ca="1">IF(ISNUMBER(MATCH(DATEVALUE($A337),'recurring1_based on steps'!AE$1:AE$400,0)),AE$2,)</f>
        <v>0</v>
      </c>
      <c r="AF337" s="140">
        <f ca="1">IF(ISNUMBER(MATCH(DATEVALUE($A337),'recurring1_based on steps'!AF$1:AF$400,0)),AF$2,)</f>
        <v>0</v>
      </c>
      <c r="AG337" s="140">
        <f ca="1">IF(ISNUMBER(MATCH(DATEVALUE($A337),'recurring1_based on steps'!AG$1:AG$400,0)),AG$2,)</f>
        <v>0</v>
      </c>
      <c r="AH337" s="140">
        <f ca="1">IF(ISNUMBER(MATCH(DATEVALUE($A337),'recurring1_based on steps'!AH$1:AH$400,0)),AH$2,)</f>
        <v>0</v>
      </c>
      <c r="AI337" s="140">
        <f ca="1">IF(ISNUMBER(MATCH(DATEVALUE($A337),'recurring1_based on steps'!AI$1:AI$400,0)),AI$2,)</f>
        <v>0</v>
      </c>
      <c r="AJ337" s="140">
        <f ca="1">IF(ISNUMBER(MATCH(DATEVALUE($A337),'recurring1_based on steps'!AJ$1:AJ$400,0)),AJ$2,)</f>
        <v>0</v>
      </c>
      <c r="AK337" s="140">
        <f ca="1">IF(ISNUMBER(MATCH(DATEVALUE($A337),'recurring1_based on steps'!AK$1:AK$400,0)),AK$2,)</f>
        <v>0</v>
      </c>
      <c r="AL337" s="140">
        <f ca="1">IF(ISNUMBER(MATCH(DATEVALUE($A337),'recurring1_based on steps'!AL$1:AL$400,0)),AL$2,)</f>
        <v>0</v>
      </c>
      <c r="AM337" s="140">
        <f ca="1">IF(ISNUMBER(MATCH(DATEVALUE($A337),'recurring1_based on steps'!AM$1:AM$400,0)),AM$2,)</f>
        <v>0</v>
      </c>
      <c r="AN337" s="140">
        <f ca="1">IF(ISNUMBER(MATCH(DATEVALUE($A337),'recurring1_based on steps'!AN$1:AN$400,0)),AN$2,)</f>
        <v>0</v>
      </c>
      <c r="AO337" s="140">
        <f ca="1">IF(ISNUMBER(MATCH(DATEVALUE($A337),'recurring1_based on steps'!AO$1:AO$400,0)),AO$2,)</f>
        <v>0</v>
      </c>
      <c r="AP337" s="140">
        <f ca="1">IF(ISNUMBER(MATCH(DATEVALUE($A337),'recurring1_based on steps'!AP$1:AP$400,0)),AP$2,)</f>
        <v>0</v>
      </c>
      <c r="AQ337" s="140">
        <f ca="1">IF(ISNUMBER(MATCH(DATEVALUE($A337),'recurring1_based on steps'!AQ$1:AQ$400,0)),AQ$2,)</f>
        <v>0</v>
      </c>
      <c r="AR337" s="140">
        <f ca="1">IF(ISNUMBER(MATCH(DATEVALUE($A337),'recurring1_based on steps'!AR$1:AR$400,0)),AR$2,)</f>
        <v>0</v>
      </c>
      <c r="AS337" s="140">
        <f ca="1">IF(ISNUMBER(MATCH(DATEVALUE($A337),'recurring1_based on steps'!AS$1:AS$400,0)),AS$2,)</f>
        <v>0</v>
      </c>
      <c r="AT337" s="140">
        <f ca="1">IF(ISNUMBER(MATCH(DATEVALUE($A337),'recurring1_based on steps'!AT$1:AT$400,0)),AT$2,)</f>
        <v>0</v>
      </c>
      <c r="AU337" s="140">
        <f ca="1">IF(ISNUMBER(MATCH(DATEVALUE($A337),'recurring1_based on steps'!AU$1:AU$400,0)),AU$2,)</f>
        <v>0</v>
      </c>
      <c r="AV337" s="140">
        <f ca="1">IF(ISNUMBER(MATCH(DATEVALUE($A337),'recurring1_based on steps'!AV$1:AV$400,0)),AV$2,)</f>
        <v>0</v>
      </c>
      <c r="AW337" s="140">
        <f ca="1">IF(ISNUMBER(MATCH(DATEVALUE($A337),'recurring1_based on steps'!AW$1:AW$400,0)),AW$2,)</f>
        <v>0</v>
      </c>
      <c r="AX337" s="140">
        <f ca="1">IF(ISNUMBER(MATCH(DATEVALUE($A337),'recurring1_based on steps'!AX$1:AX$400,0)),AX$2,)</f>
        <v>0</v>
      </c>
      <c r="AY337" s="140">
        <f ca="1">IF(ISNUMBER(MATCH(DATEVALUE($A337),'recurring1_based on steps'!AY$1:AY$400,0)),AY$2,)</f>
        <v>0</v>
      </c>
    </row>
    <row r="338" spans="1:51" x14ac:dyDescent="0.2">
      <c r="A338" s="29" t="str">
        <f t="shared" ca="1" si="5"/>
        <v>2026-02-25</v>
      </c>
      <c r="B338" s="140">
        <f ca="1">IF(ISNUMBER(MATCH(DATEVALUE($A338),'recurring1_based on steps'!B$1:B$400,0)),B$2,)</f>
        <v>0</v>
      </c>
      <c r="C338" s="140">
        <f ca="1">IF(ISNUMBER(MATCH(DATEVALUE($A338),'recurring1_based on steps'!C$1:C$400,0)),C$2,)</f>
        <v>0</v>
      </c>
      <c r="D338" s="140">
        <f ca="1">IF(ISNUMBER(MATCH(DATEVALUE($A338),'recurring1_based on steps'!D$1:D$400,0)),D$2,)</f>
        <v>0</v>
      </c>
      <c r="E338" s="140">
        <f ca="1">IF(ISNUMBER(MATCH(DATEVALUE($A338),'recurring1_based on steps'!E$1:E$400,0)),E$2,)</f>
        <v>0</v>
      </c>
      <c r="F338" s="140">
        <f ca="1">IF(ISNUMBER(MATCH(DATEVALUE($A338),'recurring1_based on steps'!F$1:F$400,0)),F$2,)</f>
        <v>0</v>
      </c>
      <c r="G338" s="140">
        <f ca="1">IF(ISNUMBER(MATCH(DATEVALUE($A338),'recurring1_based on steps'!G$1:G$400,0)),G$2,)</f>
        <v>0</v>
      </c>
      <c r="H338" s="140">
        <f ca="1">IF(ISNUMBER(MATCH(DATEVALUE($A338),'recurring1_based on steps'!H$1:H$400,0)),H$2,)</f>
        <v>0</v>
      </c>
      <c r="I338" s="140">
        <f ca="1">IF(ISNUMBER(MATCH(DATEVALUE($A338),'recurring1_based on steps'!I$1:I$400,0)),I$2,)</f>
        <v>0</v>
      </c>
      <c r="J338" s="140">
        <f ca="1">IF(ISNUMBER(MATCH(DATEVALUE($A338),'recurring1_based on steps'!J$1:J$400,0)),J$2,)</f>
        <v>0</v>
      </c>
      <c r="K338" s="140">
        <f ca="1">IF(ISNUMBER(MATCH(DATEVALUE($A338),'recurring1_based on steps'!K$1:K$400,0)),K$2,)</f>
        <v>0</v>
      </c>
      <c r="L338" s="140">
        <f ca="1">IF(ISNUMBER(MATCH(DATEVALUE($A338),'recurring1_based on steps'!L$1:L$400,0)),L$2,)</f>
        <v>0</v>
      </c>
      <c r="M338" s="140">
        <f ca="1">IF(ISNUMBER(MATCH(DATEVALUE($A338),'recurring1_based on steps'!M$1:M$400,0)),M$2,)</f>
        <v>0</v>
      </c>
      <c r="N338" s="140">
        <f ca="1">IF(ISNUMBER(MATCH(DATEVALUE($A338),'recurring1_based on steps'!N$1:N$400,0)),N$2,)</f>
        <v>0</v>
      </c>
      <c r="O338" s="140">
        <f ca="1">IF(ISNUMBER(MATCH(DATEVALUE($A338),'recurring1_based on steps'!O$1:O$400,0)),O$2,)</f>
        <v>0</v>
      </c>
      <c r="P338" s="140">
        <f ca="1">IF(ISNUMBER(MATCH(DATEVALUE($A338),'recurring1_based on steps'!P$1:P$400,0)),P$2,)</f>
        <v>0</v>
      </c>
      <c r="Q338" s="140">
        <f ca="1">IF(ISNUMBER(MATCH(DATEVALUE($A338),'recurring1_based on steps'!Q$1:Q$400,0)),Q$2,)</f>
        <v>0</v>
      </c>
      <c r="R338" s="140">
        <f ca="1">IF(ISNUMBER(MATCH(DATEVALUE($A338),'recurring1_based on steps'!R$1:R$400,0)),R$2,)</f>
        <v>0</v>
      </c>
      <c r="S338" s="140">
        <f ca="1">IF(ISNUMBER(MATCH(DATEVALUE($A338),'recurring1_based on steps'!S$1:S$400,0)),S$2,)</f>
        <v>0</v>
      </c>
      <c r="T338" s="140">
        <f ca="1">IF(ISNUMBER(MATCH(DATEVALUE($A338),'recurring1_based on steps'!T$1:T$400,0)),T$2,)</f>
        <v>0</v>
      </c>
      <c r="U338" s="140">
        <f ca="1">IF(ISNUMBER(MATCH(DATEVALUE($A338),'recurring1_based on steps'!U$1:U$400,0)),U$2,)</f>
        <v>0</v>
      </c>
      <c r="V338" s="140">
        <f ca="1">IF(ISNUMBER(MATCH(DATEVALUE($A338),'recurring1_based on steps'!V$1:V$400,0)),V$2,)</f>
        <v>0</v>
      </c>
      <c r="W338" s="140">
        <f ca="1">IF(ISNUMBER(MATCH(DATEVALUE($A338),'recurring1_based on steps'!W$1:W$400,0)),W$2,)</f>
        <v>0</v>
      </c>
      <c r="X338" s="140">
        <f ca="1">IF(ISNUMBER(MATCH(DATEVALUE($A338),'recurring1_based on steps'!X$1:X$400,0)),X$2,)</f>
        <v>0</v>
      </c>
      <c r="Y338" s="140">
        <f ca="1">IF(ISNUMBER(MATCH(DATEVALUE($A338),'recurring1_based on steps'!Y$1:Y$400,0)),Y$2,)</f>
        <v>0</v>
      </c>
      <c r="Z338" s="140">
        <f ca="1">IF(ISNUMBER(MATCH(DATEVALUE($A338),'recurring1_based on steps'!Z$1:Z$400,0)),Z$2,)</f>
        <v>0</v>
      </c>
      <c r="AA338" s="140">
        <f ca="1">IF(ISNUMBER(MATCH(DATEVALUE($A338),'recurring1_based on steps'!AA$1:AA$400,0)),AA$2,)</f>
        <v>0</v>
      </c>
      <c r="AB338" s="140">
        <f ca="1">IF(ISNUMBER(MATCH(DATEVALUE($A338),'recurring1_based on steps'!AB$1:AB$400,0)),AB$2,)</f>
        <v>5.5401662049861494E-2</v>
      </c>
      <c r="AC338" s="140">
        <f ca="1">IF(ISNUMBER(MATCH(DATEVALUE($A338),'recurring1_based on steps'!AC$1:AC$400,0)),AC$2,)</f>
        <v>0</v>
      </c>
      <c r="AD338" s="140">
        <f ca="1">IF(ISNUMBER(MATCH(DATEVALUE($A338),'recurring1_based on steps'!AD$1:AD$400,0)),AD$2,)</f>
        <v>0</v>
      </c>
      <c r="AE338" s="140">
        <f ca="1">IF(ISNUMBER(MATCH(DATEVALUE($A338),'recurring1_based on steps'!AE$1:AE$400,0)),AE$2,)</f>
        <v>0</v>
      </c>
      <c r="AF338" s="140">
        <f ca="1">IF(ISNUMBER(MATCH(DATEVALUE($A338),'recurring1_based on steps'!AF$1:AF$400,0)),AF$2,)</f>
        <v>0</v>
      </c>
      <c r="AG338" s="140">
        <f ca="1">IF(ISNUMBER(MATCH(DATEVALUE($A338),'recurring1_based on steps'!AG$1:AG$400,0)),AG$2,)</f>
        <v>0</v>
      </c>
      <c r="AH338" s="140">
        <f ca="1">IF(ISNUMBER(MATCH(DATEVALUE($A338),'recurring1_based on steps'!AH$1:AH$400,0)),AH$2,)</f>
        <v>0</v>
      </c>
      <c r="AI338" s="140">
        <f ca="1">IF(ISNUMBER(MATCH(DATEVALUE($A338),'recurring1_based on steps'!AI$1:AI$400,0)),AI$2,)</f>
        <v>0</v>
      </c>
      <c r="AJ338" s="140">
        <f ca="1">IF(ISNUMBER(MATCH(DATEVALUE($A338),'recurring1_based on steps'!AJ$1:AJ$400,0)),AJ$2,)</f>
        <v>0</v>
      </c>
      <c r="AK338" s="140">
        <f ca="1">IF(ISNUMBER(MATCH(DATEVALUE($A338),'recurring1_based on steps'!AK$1:AK$400,0)),AK$2,)</f>
        <v>0</v>
      </c>
      <c r="AL338" s="140">
        <f ca="1">IF(ISNUMBER(MATCH(DATEVALUE($A338),'recurring1_based on steps'!AL$1:AL$400,0)),AL$2,)</f>
        <v>0</v>
      </c>
      <c r="AM338" s="140">
        <f ca="1">IF(ISNUMBER(MATCH(DATEVALUE($A338),'recurring1_based on steps'!AM$1:AM$400,0)),AM$2,)</f>
        <v>0</v>
      </c>
      <c r="AN338" s="140">
        <f ca="1">IF(ISNUMBER(MATCH(DATEVALUE($A338),'recurring1_based on steps'!AN$1:AN$400,0)),AN$2,)</f>
        <v>0</v>
      </c>
      <c r="AO338" s="140">
        <f ca="1">IF(ISNUMBER(MATCH(DATEVALUE($A338),'recurring1_based on steps'!AO$1:AO$400,0)),AO$2,)</f>
        <v>0</v>
      </c>
      <c r="AP338" s="140">
        <f ca="1">IF(ISNUMBER(MATCH(DATEVALUE($A338),'recurring1_based on steps'!AP$1:AP$400,0)),AP$2,)</f>
        <v>0</v>
      </c>
      <c r="AQ338" s="140">
        <f ca="1">IF(ISNUMBER(MATCH(DATEVALUE($A338),'recurring1_based on steps'!AQ$1:AQ$400,0)),AQ$2,)</f>
        <v>0</v>
      </c>
      <c r="AR338" s="140">
        <f ca="1">IF(ISNUMBER(MATCH(DATEVALUE($A338),'recurring1_based on steps'!AR$1:AR$400,0)),AR$2,)</f>
        <v>0</v>
      </c>
      <c r="AS338" s="140">
        <f ca="1">IF(ISNUMBER(MATCH(DATEVALUE($A338),'recurring1_based on steps'!AS$1:AS$400,0)),AS$2,)</f>
        <v>0</v>
      </c>
      <c r="AT338" s="140">
        <f ca="1">IF(ISNUMBER(MATCH(DATEVALUE($A338),'recurring1_based on steps'!AT$1:AT$400,0)),AT$2,)</f>
        <v>0</v>
      </c>
      <c r="AU338" s="140">
        <f ca="1">IF(ISNUMBER(MATCH(DATEVALUE($A338),'recurring1_based on steps'!AU$1:AU$400,0)),AU$2,)</f>
        <v>0</v>
      </c>
      <c r="AV338" s="140">
        <f ca="1">IF(ISNUMBER(MATCH(DATEVALUE($A338),'recurring1_based on steps'!AV$1:AV$400,0)),AV$2,)</f>
        <v>0</v>
      </c>
      <c r="AW338" s="140">
        <f ca="1">IF(ISNUMBER(MATCH(DATEVALUE($A338),'recurring1_based on steps'!AW$1:AW$400,0)),AW$2,)</f>
        <v>0</v>
      </c>
      <c r="AX338" s="140">
        <f ca="1">IF(ISNUMBER(MATCH(DATEVALUE($A338),'recurring1_based on steps'!AX$1:AX$400,0)),AX$2,)</f>
        <v>0</v>
      </c>
      <c r="AY338" s="140">
        <f ca="1">IF(ISNUMBER(MATCH(DATEVALUE($A338),'recurring1_based on steps'!AY$1:AY$400,0)),AY$2,)</f>
        <v>0</v>
      </c>
    </row>
    <row r="339" spans="1:51" x14ac:dyDescent="0.2">
      <c r="A339" s="29" t="str">
        <f t="shared" ca="1" si="5"/>
        <v>2026-02-26</v>
      </c>
      <c r="B339" s="140">
        <f ca="1">IF(ISNUMBER(MATCH(DATEVALUE($A339),'recurring1_based on steps'!B$1:B$400,0)),B$2,)</f>
        <v>0</v>
      </c>
      <c r="C339" s="140">
        <f ca="1">IF(ISNUMBER(MATCH(DATEVALUE($A339),'recurring1_based on steps'!C$1:C$400,0)),C$2,)</f>
        <v>0</v>
      </c>
      <c r="D339" s="140">
        <f ca="1">IF(ISNUMBER(MATCH(DATEVALUE($A339),'recurring1_based on steps'!D$1:D$400,0)),D$2,)</f>
        <v>0</v>
      </c>
      <c r="E339" s="140">
        <f ca="1">IF(ISNUMBER(MATCH(DATEVALUE($A339),'recurring1_based on steps'!E$1:E$400,0)),E$2,)</f>
        <v>0</v>
      </c>
      <c r="F339" s="140">
        <f ca="1">IF(ISNUMBER(MATCH(DATEVALUE($A339),'recurring1_based on steps'!F$1:F$400,0)),F$2,)</f>
        <v>0</v>
      </c>
      <c r="G339" s="140">
        <f ca="1">IF(ISNUMBER(MATCH(DATEVALUE($A339),'recurring1_based on steps'!G$1:G$400,0)),G$2,)</f>
        <v>0</v>
      </c>
      <c r="H339" s="140">
        <f ca="1">IF(ISNUMBER(MATCH(DATEVALUE($A339),'recurring1_based on steps'!H$1:H$400,0)),H$2,)</f>
        <v>0</v>
      </c>
      <c r="I339" s="140">
        <f ca="1">IF(ISNUMBER(MATCH(DATEVALUE($A339),'recurring1_based on steps'!I$1:I$400,0)),I$2,)</f>
        <v>0</v>
      </c>
      <c r="J339" s="140">
        <f ca="1">IF(ISNUMBER(MATCH(DATEVALUE($A339),'recurring1_based on steps'!J$1:J$400,0)),J$2,)</f>
        <v>0</v>
      </c>
      <c r="K339" s="140">
        <f ca="1">IF(ISNUMBER(MATCH(DATEVALUE($A339),'recurring1_based on steps'!K$1:K$400,0)),K$2,)</f>
        <v>0</v>
      </c>
      <c r="L339" s="140">
        <f ca="1">IF(ISNUMBER(MATCH(DATEVALUE($A339),'recurring1_based on steps'!L$1:L$400,0)),L$2,)</f>
        <v>0</v>
      </c>
      <c r="M339" s="140">
        <f ca="1">IF(ISNUMBER(MATCH(DATEVALUE($A339),'recurring1_based on steps'!M$1:M$400,0)),M$2,)</f>
        <v>0</v>
      </c>
      <c r="N339" s="140">
        <f ca="1">IF(ISNUMBER(MATCH(DATEVALUE($A339),'recurring1_based on steps'!N$1:N$400,0)),N$2,)</f>
        <v>0</v>
      </c>
      <c r="O339" s="140">
        <f ca="1">IF(ISNUMBER(MATCH(DATEVALUE($A339),'recurring1_based on steps'!O$1:O$400,0)),O$2,)</f>
        <v>0</v>
      </c>
      <c r="P339" s="140">
        <f ca="1">IF(ISNUMBER(MATCH(DATEVALUE($A339),'recurring1_based on steps'!P$1:P$400,0)),P$2,)</f>
        <v>0</v>
      </c>
      <c r="Q339" s="140">
        <f ca="1">IF(ISNUMBER(MATCH(DATEVALUE($A339),'recurring1_based on steps'!Q$1:Q$400,0)),Q$2,)</f>
        <v>0</v>
      </c>
      <c r="R339" s="140">
        <f ca="1">IF(ISNUMBER(MATCH(DATEVALUE($A339),'recurring1_based on steps'!R$1:R$400,0)),R$2,)</f>
        <v>0</v>
      </c>
      <c r="S339" s="140">
        <f ca="1">IF(ISNUMBER(MATCH(DATEVALUE($A339),'recurring1_based on steps'!S$1:S$400,0)),S$2,)</f>
        <v>0</v>
      </c>
      <c r="T339" s="140">
        <f ca="1">IF(ISNUMBER(MATCH(DATEVALUE($A339),'recurring1_based on steps'!T$1:T$400,0)),T$2,)</f>
        <v>0</v>
      </c>
      <c r="U339" s="140">
        <f ca="1">IF(ISNUMBER(MATCH(DATEVALUE($A339),'recurring1_based on steps'!U$1:U$400,0)),U$2,)</f>
        <v>0</v>
      </c>
      <c r="V339" s="140">
        <f ca="1">IF(ISNUMBER(MATCH(DATEVALUE($A339),'recurring1_based on steps'!V$1:V$400,0)),V$2,)</f>
        <v>0</v>
      </c>
      <c r="W339" s="140">
        <f ca="1">IF(ISNUMBER(MATCH(DATEVALUE($A339),'recurring1_based on steps'!W$1:W$400,0)),W$2,)</f>
        <v>0</v>
      </c>
      <c r="X339" s="140">
        <f ca="1">IF(ISNUMBER(MATCH(DATEVALUE($A339),'recurring1_based on steps'!X$1:X$400,0)),X$2,)</f>
        <v>0</v>
      </c>
      <c r="Y339" s="140">
        <f ca="1">IF(ISNUMBER(MATCH(DATEVALUE($A339),'recurring1_based on steps'!Y$1:Y$400,0)),Y$2,)</f>
        <v>0</v>
      </c>
      <c r="Z339" s="140">
        <f ca="1">IF(ISNUMBER(MATCH(DATEVALUE($A339),'recurring1_based on steps'!Z$1:Z$400,0)),Z$2,)</f>
        <v>0</v>
      </c>
      <c r="AA339" s="140">
        <f ca="1">IF(ISNUMBER(MATCH(DATEVALUE($A339),'recurring1_based on steps'!AA$1:AA$400,0)),AA$2,)</f>
        <v>0</v>
      </c>
      <c r="AB339" s="140">
        <f ca="1">IF(ISNUMBER(MATCH(DATEVALUE($A339),'recurring1_based on steps'!AB$1:AB$400,0)),AB$2,)</f>
        <v>5.5401662049861494E-2</v>
      </c>
      <c r="AC339" s="140">
        <f ca="1">IF(ISNUMBER(MATCH(DATEVALUE($A339),'recurring1_based on steps'!AC$1:AC$400,0)),AC$2,)</f>
        <v>0</v>
      </c>
      <c r="AD339" s="140">
        <f ca="1">IF(ISNUMBER(MATCH(DATEVALUE($A339),'recurring1_based on steps'!AD$1:AD$400,0)),AD$2,)</f>
        <v>0</v>
      </c>
      <c r="AE339" s="140">
        <f ca="1">IF(ISNUMBER(MATCH(DATEVALUE($A339),'recurring1_based on steps'!AE$1:AE$400,0)),AE$2,)</f>
        <v>0</v>
      </c>
      <c r="AF339" s="140">
        <f ca="1">IF(ISNUMBER(MATCH(DATEVALUE($A339),'recurring1_based on steps'!AF$1:AF$400,0)),AF$2,)</f>
        <v>0</v>
      </c>
      <c r="AG339" s="140">
        <f ca="1">IF(ISNUMBER(MATCH(DATEVALUE($A339),'recurring1_based on steps'!AG$1:AG$400,0)),AG$2,)</f>
        <v>0</v>
      </c>
      <c r="AH339" s="140">
        <f ca="1">IF(ISNUMBER(MATCH(DATEVALUE($A339),'recurring1_based on steps'!AH$1:AH$400,0)),AH$2,)</f>
        <v>0</v>
      </c>
      <c r="AI339" s="140">
        <f ca="1">IF(ISNUMBER(MATCH(DATEVALUE($A339),'recurring1_based on steps'!AI$1:AI$400,0)),AI$2,)</f>
        <v>0</v>
      </c>
      <c r="AJ339" s="140">
        <f ca="1">IF(ISNUMBER(MATCH(DATEVALUE($A339),'recurring1_based on steps'!AJ$1:AJ$400,0)),AJ$2,)</f>
        <v>0</v>
      </c>
      <c r="AK339" s="140">
        <f ca="1">IF(ISNUMBER(MATCH(DATEVALUE($A339),'recurring1_based on steps'!AK$1:AK$400,0)),AK$2,)</f>
        <v>0</v>
      </c>
      <c r="AL339" s="140">
        <f ca="1">IF(ISNUMBER(MATCH(DATEVALUE($A339),'recurring1_based on steps'!AL$1:AL$400,0)),AL$2,)</f>
        <v>0</v>
      </c>
      <c r="AM339" s="140">
        <f ca="1">IF(ISNUMBER(MATCH(DATEVALUE($A339),'recurring1_based on steps'!AM$1:AM$400,0)),AM$2,)</f>
        <v>0</v>
      </c>
      <c r="AN339" s="140">
        <f ca="1">IF(ISNUMBER(MATCH(DATEVALUE($A339),'recurring1_based on steps'!AN$1:AN$400,0)),AN$2,)</f>
        <v>0</v>
      </c>
      <c r="AO339" s="140">
        <f ca="1">IF(ISNUMBER(MATCH(DATEVALUE($A339),'recurring1_based on steps'!AO$1:AO$400,0)),AO$2,)</f>
        <v>0</v>
      </c>
      <c r="AP339" s="140">
        <f ca="1">IF(ISNUMBER(MATCH(DATEVALUE($A339),'recurring1_based on steps'!AP$1:AP$400,0)),AP$2,)</f>
        <v>0</v>
      </c>
      <c r="AQ339" s="140">
        <f ca="1">IF(ISNUMBER(MATCH(DATEVALUE($A339),'recurring1_based on steps'!AQ$1:AQ$400,0)),AQ$2,)</f>
        <v>0</v>
      </c>
      <c r="AR339" s="140">
        <f ca="1">IF(ISNUMBER(MATCH(DATEVALUE($A339),'recurring1_based on steps'!AR$1:AR$400,0)),AR$2,)</f>
        <v>0</v>
      </c>
      <c r="AS339" s="140">
        <f ca="1">IF(ISNUMBER(MATCH(DATEVALUE($A339),'recurring1_based on steps'!AS$1:AS$400,0)),AS$2,)</f>
        <v>0</v>
      </c>
      <c r="AT339" s="140">
        <f ca="1">IF(ISNUMBER(MATCH(DATEVALUE($A339),'recurring1_based on steps'!AT$1:AT$400,0)),AT$2,)</f>
        <v>0</v>
      </c>
      <c r="AU339" s="140">
        <f ca="1">IF(ISNUMBER(MATCH(DATEVALUE($A339),'recurring1_based on steps'!AU$1:AU$400,0)),AU$2,)</f>
        <v>0</v>
      </c>
      <c r="AV339" s="140">
        <f ca="1">IF(ISNUMBER(MATCH(DATEVALUE($A339),'recurring1_based on steps'!AV$1:AV$400,0)),AV$2,)</f>
        <v>0</v>
      </c>
      <c r="AW339" s="140">
        <f ca="1">IF(ISNUMBER(MATCH(DATEVALUE($A339),'recurring1_based on steps'!AW$1:AW$400,0)),AW$2,)</f>
        <v>0</v>
      </c>
      <c r="AX339" s="140">
        <f ca="1">IF(ISNUMBER(MATCH(DATEVALUE($A339),'recurring1_based on steps'!AX$1:AX$400,0)),AX$2,)</f>
        <v>0</v>
      </c>
      <c r="AY339" s="140">
        <f ca="1">IF(ISNUMBER(MATCH(DATEVALUE($A339),'recurring1_based on steps'!AY$1:AY$400,0)),AY$2,)</f>
        <v>0</v>
      </c>
    </row>
    <row r="340" spans="1:51" x14ac:dyDescent="0.2">
      <c r="A340" s="29" t="str">
        <f t="shared" ca="1" si="5"/>
        <v>2026-02-27</v>
      </c>
      <c r="B340" s="140">
        <f ca="1">IF(ISNUMBER(MATCH(DATEVALUE($A340),'recurring1_based on steps'!B$1:B$400,0)),B$2,)</f>
        <v>0</v>
      </c>
      <c r="C340" s="140">
        <f ca="1">IF(ISNUMBER(MATCH(DATEVALUE($A340),'recurring1_based on steps'!C$1:C$400,0)),C$2,)</f>
        <v>0</v>
      </c>
      <c r="D340" s="140">
        <f ca="1">IF(ISNUMBER(MATCH(DATEVALUE($A340),'recurring1_based on steps'!D$1:D$400,0)),D$2,)</f>
        <v>0</v>
      </c>
      <c r="E340" s="140">
        <f ca="1">IF(ISNUMBER(MATCH(DATEVALUE($A340),'recurring1_based on steps'!E$1:E$400,0)),E$2,)</f>
        <v>0</v>
      </c>
      <c r="F340" s="140">
        <f ca="1">IF(ISNUMBER(MATCH(DATEVALUE($A340),'recurring1_based on steps'!F$1:F$400,0)),F$2,)</f>
        <v>0</v>
      </c>
      <c r="G340" s="140">
        <f ca="1">IF(ISNUMBER(MATCH(DATEVALUE($A340),'recurring1_based on steps'!G$1:G$400,0)),G$2,)</f>
        <v>0</v>
      </c>
      <c r="H340" s="140">
        <f ca="1">IF(ISNUMBER(MATCH(DATEVALUE($A340),'recurring1_based on steps'!H$1:H$400,0)),H$2,)</f>
        <v>0</v>
      </c>
      <c r="I340" s="140">
        <f ca="1">IF(ISNUMBER(MATCH(DATEVALUE($A340),'recurring1_based on steps'!I$1:I$400,0)),I$2,)</f>
        <v>0</v>
      </c>
      <c r="J340" s="140">
        <f ca="1">IF(ISNUMBER(MATCH(DATEVALUE($A340),'recurring1_based on steps'!J$1:J$400,0)),J$2,)</f>
        <v>0</v>
      </c>
      <c r="K340" s="140">
        <f ca="1">IF(ISNUMBER(MATCH(DATEVALUE($A340),'recurring1_based on steps'!K$1:K$400,0)),K$2,)</f>
        <v>0</v>
      </c>
      <c r="L340" s="140">
        <f ca="1">IF(ISNUMBER(MATCH(DATEVALUE($A340),'recurring1_based on steps'!L$1:L$400,0)),L$2,)</f>
        <v>0</v>
      </c>
      <c r="M340" s="140">
        <f ca="1">IF(ISNUMBER(MATCH(DATEVALUE($A340),'recurring1_based on steps'!M$1:M$400,0)),M$2,)</f>
        <v>0</v>
      </c>
      <c r="N340" s="140">
        <f ca="1">IF(ISNUMBER(MATCH(DATEVALUE($A340),'recurring1_based on steps'!N$1:N$400,0)),N$2,)</f>
        <v>0</v>
      </c>
      <c r="O340" s="140">
        <f ca="1">IF(ISNUMBER(MATCH(DATEVALUE($A340),'recurring1_based on steps'!O$1:O$400,0)),O$2,)</f>
        <v>0</v>
      </c>
      <c r="P340" s="140">
        <f ca="1">IF(ISNUMBER(MATCH(DATEVALUE($A340),'recurring1_based on steps'!P$1:P$400,0)),P$2,)</f>
        <v>2.99</v>
      </c>
      <c r="Q340" s="140">
        <f ca="1">IF(ISNUMBER(MATCH(DATEVALUE($A340),'recurring1_based on steps'!Q$1:Q$400,0)),Q$2,)</f>
        <v>0</v>
      </c>
      <c r="R340" s="140">
        <f ca="1">IF(ISNUMBER(MATCH(DATEVALUE($A340),'recurring1_based on steps'!R$1:R$400,0)),R$2,)</f>
        <v>0</v>
      </c>
      <c r="S340" s="140">
        <f ca="1">IF(ISNUMBER(MATCH(DATEVALUE($A340),'recurring1_based on steps'!S$1:S$400,0)),S$2,)</f>
        <v>0</v>
      </c>
      <c r="T340" s="140">
        <f ca="1">IF(ISNUMBER(MATCH(DATEVALUE($A340),'recurring1_based on steps'!T$1:T$400,0)),T$2,)</f>
        <v>0</v>
      </c>
      <c r="U340" s="140">
        <f ca="1">IF(ISNUMBER(MATCH(DATEVALUE($A340),'recurring1_based on steps'!U$1:U$400,0)),U$2,)</f>
        <v>0</v>
      </c>
      <c r="V340" s="140">
        <f ca="1">IF(ISNUMBER(MATCH(DATEVALUE($A340),'recurring1_based on steps'!V$1:V$400,0)),V$2,)</f>
        <v>0</v>
      </c>
      <c r="W340" s="140">
        <f ca="1">IF(ISNUMBER(MATCH(DATEVALUE($A340),'recurring1_based on steps'!W$1:W$400,0)),W$2,)</f>
        <v>0</v>
      </c>
      <c r="X340" s="140">
        <f ca="1">IF(ISNUMBER(MATCH(DATEVALUE($A340),'recurring1_based on steps'!X$1:X$400,0)),X$2,)</f>
        <v>0</v>
      </c>
      <c r="Y340" s="140">
        <f ca="1">IF(ISNUMBER(MATCH(DATEVALUE($A340),'recurring1_based on steps'!Y$1:Y$400,0)),Y$2,)</f>
        <v>0</v>
      </c>
      <c r="Z340" s="140">
        <f ca="1">IF(ISNUMBER(MATCH(DATEVALUE($A340),'recurring1_based on steps'!Z$1:Z$400,0)),Z$2,)</f>
        <v>0</v>
      </c>
      <c r="AA340" s="140">
        <f ca="1">IF(ISNUMBER(MATCH(DATEVALUE($A340),'recurring1_based on steps'!AA$1:AA$400,0)),AA$2,)</f>
        <v>0</v>
      </c>
      <c r="AB340" s="140">
        <f ca="1">IF(ISNUMBER(MATCH(DATEVALUE($A340),'recurring1_based on steps'!AB$1:AB$400,0)),AB$2,)</f>
        <v>5.5401662049861494E-2</v>
      </c>
      <c r="AC340" s="140">
        <f ca="1">IF(ISNUMBER(MATCH(DATEVALUE($A340),'recurring1_based on steps'!AC$1:AC$400,0)),AC$2,)</f>
        <v>0</v>
      </c>
      <c r="AD340" s="140">
        <f ca="1">IF(ISNUMBER(MATCH(DATEVALUE($A340),'recurring1_based on steps'!AD$1:AD$400,0)),AD$2,)</f>
        <v>0</v>
      </c>
      <c r="AE340" s="140">
        <f ca="1">IF(ISNUMBER(MATCH(DATEVALUE($A340),'recurring1_based on steps'!AE$1:AE$400,0)),AE$2,)</f>
        <v>0</v>
      </c>
      <c r="AF340" s="140">
        <f ca="1">IF(ISNUMBER(MATCH(DATEVALUE($A340),'recurring1_based on steps'!AF$1:AF$400,0)),AF$2,)</f>
        <v>0</v>
      </c>
      <c r="AG340" s="140">
        <f ca="1">IF(ISNUMBER(MATCH(DATEVALUE($A340),'recurring1_based on steps'!AG$1:AG$400,0)),AG$2,)</f>
        <v>0</v>
      </c>
      <c r="AH340" s="140">
        <f ca="1">IF(ISNUMBER(MATCH(DATEVALUE($A340),'recurring1_based on steps'!AH$1:AH$400,0)),AH$2,)</f>
        <v>0</v>
      </c>
      <c r="AI340" s="140">
        <f ca="1">IF(ISNUMBER(MATCH(DATEVALUE($A340),'recurring1_based on steps'!AI$1:AI$400,0)),AI$2,)</f>
        <v>0</v>
      </c>
      <c r="AJ340" s="140">
        <f ca="1">IF(ISNUMBER(MATCH(DATEVALUE($A340),'recurring1_based on steps'!AJ$1:AJ$400,0)),AJ$2,)</f>
        <v>0</v>
      </c>
      <c r="AK340" s="140">
        <f ca="1">IF(ISNUMBER(MATCH(DATEVALUE($A340),'recurring1_based on steps'!AK$1:AK$400,0)),AK$2,)</f>
        <v>0</v>
      </c>
      <c r="AL340" s="140">
        <f ca="1">IF(ISNUMBER(MATCH(DATEVALUE($A340),'recurring1_based on steps'!AL$1:AL$400,0)),AL$2,)</f>
        <v>0</v>
      </c>
      <c r="AM340" s="140">
        <f ca="1">IF(ISNUMBER(MATCH(DATEVALUE($A340),'recurring1_based on steps'!AM$1:AM$400,0)),AM$2,)</f>
        <v>0</v>
      </c>
      <c r="AN340" s="140">
        <f ca="1">IF(ISNUMBER(MATCH(DATEVALUE($A340),'recurring1_based on steps'!AN$1:AN$400,0)),AN$2,)</f>
        <v>0</v>
      </c>
      <c r="AO340" s="140">
        <f ca="1">IF(ISNUMBER(MATCH(DATEVALUE($A340),'recurring1_based on steps'!AO$1:AO$400,0)),AO$2,)</f>
        <v>0</v>
      </c>
      <c r="AP340" s="140">
        <f ca="1">IF(ISNUMBER(MATCH(DATEVALUE($A340),'recurring1_based on steps'!AP$1:AP$400,0)),AP$2,)</f>
        <v>0</v>
      </c>
      <c r="AQ340" s="140">
        <f ca="1">IF(ISNUMBER(MATCH(DATEVALUE($A340),'recurring1_based on steps'!AQ$1:AQ$400,0)),AQ$2,)</f>
        <v>0</v>
      </c>
      <c r="AR340" s="140">
        <f ca="1">IF(ISNUMBER(MATCH(DATEVALUE($A340),'recurring1_based on steps'!AR$1:AR$400,0)),AR$2,)</f>
        <v>0</v>
      </c>
      <c r="AS340" s="140">
        <f ca="1">IF(ISNUMBER(MATCH(DATEVALUE($A340),'recurring1_based on steps'!AS$1:AS$400,0)),AS$2,)</f>
        <v>0</v>
      </c>
      <c r="AT340" s="140">
        <f ca="1">IF(ISNUMBER(MATCH(DATEVALUE($A340),'recurring1_based on steps'!AT$1:AT$400,0)),AT$2,)</f>
        <v>0</v>
      </c>
      <c r="AU340" s="140">
        <f ca="1">IF(ISNUMBER(MATCH(DATEVALUE($A340),'recurring1_based on steps'!AU$1:AU$400,0)),AU$2,)</f>
        <v>0</v>
      </c>
      <c r="AV340" s="140">
        <f ca="1">IF(ISNUMBER(MATCH(DATEVALUE($A340),'recurring1_based on steps'!AV$1:AV$400,0)),AV$2,)</f>
        <v>0</v>
      </c>
      <c r="AW340" s="140">
        <f ca="1">IF(ISNUMBER(MATCH(DATEVALUE($A340),'recurring1_based on steps'!AW$1:AW$400,0)),AW$2,)</f>
        <v>0</v>
      </c>
      <c r="AX340" s="140">
        <f ca="1">IF(ISNUMBER(MATCH(DATEVALUE($A340),'recurring1_based on steps'!AX$1:AX$400,0)),AX$2,)</f>
        <v>0</v>
      </c>
      <c r="AY340" s="140">
        <f ca="1">IF(ISNUMBER(MATCH(DATEVALUE($A340),'recurring1_based on steps'!AY$1:AY$400,0)),AY$2,)</f>
        <v>0</v>
      </c>
    </row>
    <row r="341" spans="1:51" x14ac:dyDescent="0.2">
      <c r="A341" s="29" t="str">
        <f t="shared" ca="1" si="5"/>
        <v>2026-02-28</v>
      </c>
      <c r="B341" s="140">
        <f ca="1">IF(ISNUMBER(MATCH(DATEVALUE($A341),'recurring1_based on steps'!B$1:B$400,0)),B$2,)</f>
        <v>0</v>
      </c>
      <c r="C341" s="140">
        <f ca="1">IF(ISNUMBER(MATCH(DATEVALUE($A341),'recurring1_based on steps'!C$1:C$400,0)),C$2,)</f>
        <v>0</v>
      </c>
      <c r="D341" s="140">
        <f ca="1">IF(ISNUMBER(MATCH(DATEVALUE($A341),'recurring1_based on steps'!D$1:D$400,0)),D$2,)</f>
        <v>0</v>
      </c>
      <c r="E341" s="140">
        <f ca="1">IF(ISNUMBER(MATCH(DATEVALUE($A341),'recurring1_based on steps'!E$1:E$400,0)),E$2,)</f>
        <v>0</v>
      </c>
      <c r="F341" s="140">
        <f ca="1">IF(ISNUMBER(MATCH(DATEVALUE($A341),'recurring1_based on steps'!F$1:F$400,0)),F$2,)</f>
        <v>0</v>
      </c>
      <c r="G341" s="140">
        <f ca="1">IF(ISNUMBER(MATCH(DATEVALUE($A341),'recurring1_based on steps'!G$1:G$400,0)),G$2,)</f>
        <v>0</v>
      </c>
      <c r="H341" s="140">
        <f ca="1">IF(ISNUMBER(MATCH(DATEVALUE($A341),'recurring1_based on steps'!H$1:H$400,0)),H$2,)</f>
        <v>40</v>
      </c>
      <c r="I341" s="140">
        <f ca="1">IF(ISNUMBER(MATCH(DATEVALUE($A341),'recurring1_based on steps'!I$1:I$400,0)),I$2,)</f>
        <v>0</v>
      </c>
      <c r="J341" s="140">
        <f ca="1">IF(ISNUMBER(MATCH(DATEVALUE($A341),'recurring1_based on steps'!J$1:J$400,0)),J$2,)</f>
        <v>0</v>
      </c>
      <c r="K341" s="140">
        <f ca="1">IF(ISNUMBER(MATCH(DATEVALUE($A341),'recurring1_based on steps'!K$1:K$400,0)),K$2,)</f>
        <v>0</v>
      </c>
      <c r="L341" s="140">
        <f ca="1">IF(ISNUMBER(MATCH(DATEVALUE($A341),'recurring1_based on steps'!L$1:L$400,0)),L$2,)</f>
        <v>0</v>
      </c>
      <c r="M341" s="140">
        <f ca="1">IF(ISNUMBER(MATCH(DATEVALUE($A341),'recurring1_based on steps'!M$1:M$400,0)),M$2,)</f>
        <v>0</v>
      </c>
      <c r="N341" s="140">
        <f ca="1">IF(ISNUMBER(MATCH(DATEVALUE($A341),'recurring1_based on steps'!N$1:N$400,0)),N$2,)</f>
        <v>0</v>
      </c>
      <c r="O341" s="140">
        <f ca="1">IF(ISNUMBER(MATCH(DATEVALUE($A341),'recurring1_based on steps'!O$1:O$400,0)),O$2,)</f>
        <v>0</v>
      </c>
      <c r="P341" s="140">
        <f ca="1">IF(ISNUMBER(MATCH(DATEVALUE($A341),'recurring1_based on steps'!P$1:P$400,0)),P$2,)</f>
        <v>0</v>
      </c>
      <c r="Q341" s="140">
        <f ca="1">IF(ISNUMBER(MATCH(DATEVALUE($A341),'recurring1_based on steps'!Q$1:Q$400,0)),Q$2,)</f>
        <v>100</v>
      </c>
      <c r="R341" s="140">
        <f ca="1">IF(ISNUMBER(MATCH(DATEVALUE($A341),'recurring1_based on steps'!R$1:R$400,0)),R$2,)</f>
        <v>100</v>
      </c>
      <c r="S341" s="140">
        <f ca="1">IF(ISNUMBER(MATCH(DATEVALUE($A341),'recurring1_based on steps'!S$1:S$400,0)),S$2,)</f>
        <v>0</v>
      </c>
      <c r="T341" s="140">
        <f ca="1">IF(ISNUMBER(MATCH(DATEVALUE($A341),'recurring1_based on steps'!T$1:T$400,0)),T$2,)</f>
        <v>0</v>
      </c>
      <c r="U341" s="140">
        <f ca="1">IF(ISNUMBER(MATCH(DATEVALUE($A341),'recurring1_based on steps'!U$1:U$400,0)),U$2,)</f>
        <v>0</v>
      </c>
      <c r="V341" s="140">
        <f ca="1">IF(ISNUMBER(MATCH(DATEVALUE($A341),'recurring1_based on steps'!V$1:V$400,0)),V$2,)</f>
        <v>0</v>
      </c>
      <c r="W341" s="140">
        <f ca="1">IF(ISNUMBER(MATCH(DATEVALUE($A341),'recurring1_based on steps'!W$1:W$400,0)),W$2,)</f>
        <v>100</v>
      </c>
      <c r="X341" s="140">
        <f ca="1">IF(ISNUMBER(MATCH(DATEVALUE($A341),'recurring1_based on steps'!X$1:X$400,0)),X$2,)</f>
        <v>0</v>
      </c>
      <c r="Y341" s="140">
        <f ca="1">IF(ISNUMBER(MATCH(DATEVALUE($A341),'recurring1_based on steps'!Y$1:Y$400,0)),Y$2,)</f>
        <v>0</v>
      </c>
      <c r="Z341" s="140">
        <f ca="1">IF(ISNUMBER(MATCH(DATEVALUE($A341),'recurring1_based on steps'!Z$1:Z$400,0)),Z$2,)</f>
        <v>0</v>
      </c>
      <c r="AA341" s="140">
        <f ca="1">IF(ISNUMBER(MATCH(DATEVALUE($A341),'recurring1_based on steps'!AA$1:AA$400,0)),AA$2,)</f>
        <v>0</v>
      </c>
      <c r="AB341" s="140">
        <f ca="1">IF(ISNUMBER(MATCH(DATEVALUE($A341),'recurring1_based on steps'!AB$1:AB$400,0)),AB$2,)</f>
        <v>5.5401662049861494E-2</v>
      </c>
      <c r="AC341" s="140">
        <f ca="1">IF(ISNUMBER(MATCH(DATEVALUE($A341),'recurring1_based on steps'!AC$1:AC$400,0)),AC$2,)</f>
        <v>0</v>
      </c>
      <c r="AD341" s="140">
        <f ca="1">IF(ISNUMBER(MATCH(DATEVALUE($A341),'recurring1_based on steps'!AD$1:AD$400,0)),AD$2,)</f>
        <v>0</v>
      </c>
      <c r="AE341" s="140">
        <f ca="1">IF(ISNUMBER(MATCH(DATEVALUE($A341),'recurring1_based on steps'!AE$1:AE$400,0)),AE$2,)</f>
        <v>0</v>
      </c>
      <c r="AF341" s="140">
        <f ca="1">IF(ISNUMBER(MATCH(DATEVALUE($A341),'recurring1_based on steps'!AF$1:AF$400,0)),AF$2,)</f>
        <v>0</v>
      </c>
      <c r="AG341" s="140">
        <f ca="1">IF(ISNUMBER(MATCH(DATEVALUE($A341),'recurring1_based on steps'!AG$1:AG$400,0)),AG$2,)</f>
        <v>0</v>
      </c>
      <c r="AH341" s="140">
        <f ca="1">IF(ISNUMBER(MATCH(DATEVALUE($A341),'recurring1_based on steps'!AH$1:AH$400,0)),AH$2,)</f>
        <v>0</v>
      </c>
      <c r="AI341" s="140">
        <f ca="1">IF(ISNUMBER(MATCH(DATEVALUE($A341),'recurring1_based on steps'!AI$1:AI$400,0)),AI$2,)</f>
        <v>0</v>
      </c>
      <c r="AJ341" s="140">
        <f ca="1">IF(ISNUMBER(MATCH(DATEVALUE($A341),'recurring1_based on steps'!AJ$1:AJ$400,0)),AJ$2,)</f>
        <v>0</v>
      </c>
      <c r="AK341" s="140">
        <f ca="1">IF(ISNUMBER(MATCH(DATEVALUE($A341),'recurring1_based on steps'!AK$1:AK$400,0)),AK$2,)</f>
        <v>0</v>
      </c>
      <c r="AL341" s="140">
        <f ca="1">IF(ISNUMBER(MATCH(DATEVALUE($A341),'recurring1_based on steps'!AL$1:AL$400,0)),AL$2,)</f>
        <v>0</v>
      </c>
      <c r="AM341" s="140">
        <f ca="1">IF(ISNUMBER(MATCH(DATEVALUE($A341),'recurring1_based on steps'!AM$1:AM$400,0)),AM$2,)</f>
        <v>0</v>
      </c>
      <c r="AN341" s="140">
        <f ca="1">IF(ISNUMBER(MATCH(DATEVALUE($A341),'recurring1_based on steps'!AN$1:AN$400,0)),AN$2,)</f>
        <v>0</v>
      </c>
      <c r="AO341" s="140">
        <f ca="1">IF(ISNUMBER(MATCH(DATEVALUE($A341),'recurring1_based on steps'!AO$1:AO$400,0)),AO$2,)</f>
        <v>0</v>
      </c>
      <c r="AP341" s="140">
        <f ca="1">IF(ISNUMBER(MATCH(DATEVALUE($A341),'recurring1_based on steps'!AP$1:AP$400,0)),AP$2,)</f>
        <v>0</v>
      </c>
      <c r="AQ341" s="140">
        <f ca="1">IF(ISNUMBER(MATCH(DATEVALUE($A341),'recurring1_based on steps'!AQ$1:AQ$400,0)),AQ$2,)</f>
        <v>0</v>
      </c>
      <c r="AR341" s="140">
        <f ca="1">IF(ISNUMBER(MATCH(DATEVALUE($A341),'recurring1_based on steps'!AR$1:AR$400,0)),AR$2,)</f>
        <v>0</v>
      </c>
      <c r="AS341" s="140">
        <f ca="1">IF(ISNUMBER(MATCH(DATEVALUE($A341),'recurring1_based on steps'!AS$1:AS$400,0)),AS$2,)</f>
        <v>0</v>
      </c>
      <c r="AT341" s="140">
        <f ca="1">IF(ISNUMBER(MATCH(DATEVALUE($A341),'recurring1_based on steps'!AT$1:AT$400,0)),AT$2,)</f>
        <v>0</v>
      </c>
      <c r="AU341" s="140">
        <f ca="1">IF(ISNUMBER(MATCH(DATEVALUE($A341),'recurring1_based on steps'!AU$1:AU$400,0)),AU$2,)</f>
        <v>0</v>
      </c>
      <c r="AV341" s="140">
        <f ca="1">IF(ISNUMBER(MATCH(DATEVALUE($A341),'recurring1_based on steps'!AV$1:AV$400,0)),AV$2,)</f>
        <v>0</v>
      </c>
      <c r="AW341" s="140">
        <f ca="1">IF(ISNUMBER(MATCH(DATEVALUE($A341),'recurring1_based on steps'!AW$1:AW$400,0)),AW$2,)</f>
        <v>0</v>
      </c>
      <c r="AX341" s="140">
        <f ca="1">IF(ISNUMBER(MATCH(DATEVALUE($A341),'recurring1_based on steps'!AX$1:AX$400,0)),AX$2,)</f>
        <v>0</v>
      </c>
      <c r="AY341" s="140">
        <f ca="1">IF(ISNUMBER(MATCH(DATEVALUE($A341),'recurring1_based on steps'!AY$1:AY$400,0)),AY$2,)</f>
        <v>0</v>
      </c>
    </row>
    <row r="342" spans="1:51" x14ac:dyDescent="0.2">
      <c r="A342" s="29" t="str">
        <f t="shared" ca="1" si="5"/>
        <v>2026-03-01</v>
      </c>
      <c r="B342" s="140">
        <f ca="1">IF(ISNUMBER(MATCH(DATEVALUE($A342),'recurring1_based on steps'!B$1:B$400,0)),B$2,)</f>
        <v>0</v>
      </c>
      <c r="C342" s="140">
        <f ca="1">IF(ISNUMBER(MATCH(DATEVALUE($A342),'recurring1_based on steps'!C$1:C$400,0)),C$2,)</f>
        <v>0</v>
      </c>
      <c r="D342" s="140">
        <f ca="1">IF(ISNUMBER(MATCH(DATEVALUE($A342),'recurring1_based on steps'!D$1:D$400,0)),D$2,)</f>
        <v>0</v>
      </c>
      <c r="E342" s="140">
        <f ca="1">IF(ISNUMBER(MATCH(DATEVALUE($A342),'recurring1_based on steps'!E$1:E$400,0)),E$2,)</f>
        <v>0</v>
      </c>
      <c r="F342" s="140">
        <f ca="1">IF(ISNUMBER(MATCH(DATEVALUE($A342),'recurring1_based on steps'!F$1:F$400,0)),F$2,)</f>
        <v>0</v>
      </c>
      <c r="G342" s="140">
        <f ca="1">IF(ISNUMBER(MATCH(DATEVALUE($A342),'recurring1_based on steps'!G$1:G$400,0)),G$2,)</f>
        <v>0</v>
      </c>
      <c r="H342" s="140">
        <f ca="1">IF(ISNUMBER(MATCH(DATEVALUE($A342),'recurring1_based on steps'!H$1:H$400,0)),H$2,)</f>
        <v>0</v>
      </c>
      <c r="I342" s="140">
        <f ca="1">IF(ISNUMBER(MATCH(DATEVALUE($A342),'recurring1_based on steps'!I$1:I$400,0)),I$2,)</f>
        <v>0</v>
      </c>
      <c r="J342" s="140">
        <f ca="1">IF(ISNUMBER(MATCH(DATEVALUE($A342),'recurring1_based on steps'!J$1:J$400,0)),J$2,)</f>
        <v>0</v>
      </c>
      <c r="K342" s="140">
        <f ca="1">IF(ISNUMBER(MATCH(DATEVALUE($A342),'recurring1_based on steps'!K$1:K$400,0)),K$2,)</f>
        <v>50</v>
      </c>
      <c r="L342" s="140">
        <f ca="1">IF(ISNUMBER(MATCH(DATEVALUE($A342),'recurring1_based on steps'!L$1:L$400,0)),L$2,)</f>
        <v>0</v>
      </c>
      <c r="M342" s="140">
        <f ca="1">IF(ISNUMBER(MATCH(DATEVALUE($A342),'recurring1_based on steps'!M$1:M$400,0)),M$2,)</f>
        <v>0</v>
      </c>
      <c r="N342" s="140">
        <f ca="1">IF(ISNUMBER(MATCH(DATEVALUE($A342),'recurring1_based on steps'!N$1:N$400,0)),N$2,)</f>
        <v>0</v>
      </c>
      <c r="O342" s="140">
        <f ca="1">IF(ISNUMBER(MATCH(DATEVALUE($A342),'recurring1_based on steps'!O$1:O$400,0)),O$2,)</f>
        <v>0</v>
      </c>
      <c r="P342" s="140">
        <f ca="1">IF(ISNUMBER(MATCH(DATEVALUE($A342),'recurring1_based on steps'!P$1:P$400,0)),P$2,)</f>
        <v>0</v>
      </c>
      <c r="Q342" s="140">
        <f ca="1">IF(ISNUMBER(MATCH(DATEVALUE($A342),'recurring1_based on steps'!Q$1:Q$400,0)),Q$2,)</f>
        <v>0</v>
      </c>
      <c r="R342" s="140">
        <f ca="1">IF(ISNUMBER(MATCH(DATEVALUE($A342),'recurring1_based on steps'!R$1:R$400,0)),R$2,)</f>
        <v>0</v>
      </c>
      <c r="S342" s="140">
        <f ca="1">IF(ISNUMBER(MATCH(DATEVALUE($A342),'recurring1_based on steps'!S$1:S$400,0)),S$2,)</f>
        <v>100</v>
      </c>
      <c r="T342" s="140">
        <f ca="1">IF(ISNUMBER(MATCH(DATEVALUE($A342),'recurring1_based on steps'!T$1:T$400,0)),T$2,)</f>
        <v>0</v>
      </c>
      <c r="U342" s="140">
        <f ca="1">IF(ISNUMBER(MATCH(DATEVALUE($A342),'recurring1_based on steps'!U$1:U$400,0)),U$2,)</f>
        <v>0</v>
      </c>
      <c r="V342" s="140">
        <f ca="1">IF(ISNUMBER(MATCH(DATEVALUE($A342),'recurring1_based on steps'!V$1:V$400,0)),V$2,)</f>
        <v>0</v>
      </c>
      <c r="W342" s="140">
        <f ca="1">IF(ISNUMBER(MATCH(DATEVALUE($A342),'recurring1_based on steps'!W$1:W$400,0)),W$2,)</f>
        <v>0</v>
      </c>
      <c r="X342" s="140">
        <f ca="1">IF(ISNUMBER(MATCH(DATEVALUE($A342),'recurring1_based on steps'!X$1:X$400,0)),X$2,)</f>
        <v>0</v>
      </c>
      <c r="Y342" s="140">
        <f ca="1">IF(ISNUMBER(MATCH(DATEVALUE($A342),'recurring1_based on steps'!Y$1:Y$400,0)),Y$2,)</f>
        <v>0</v>
      </c>
      <c r="Z342" s="140">
        <f ca="1">IF(ISNUMBER(MATCH(DATEVALUE($A342),'recurring1_based on steps'!Z$1:Z$400,0)),Z$2,)</f>
        <v>0</v>
      </c>
      <c r="AA342" s="140">
        <f ca="1">IF(ISNUMBER(MATCH(DATEVALUE($A342),'recurring1_based on steps'!AA$1:AA$400,0)),AA$2,)</f>
        <v>0</v>
      </c>
      <c r="AB342" s="140">
        <f ca="1">IF(ISNUMBER(MATCH(DATEVALUE($A342),'recurring1_based on steps'!AB$1:AB$400,0)),AB$2,)</f>
        <v>5.5401662049861494E-2</v>
      </c>
      <c r="AC342" s="140">
        <f ca="1">IF(ISNUMBER(MATCH(DATEVALUE($A342),'recurring1_based on steps'!AC$1:AC$400,0)),AC$2,)</f>
        <v>0</v>
      </c>
      <c r="AD342" s="140">
        <f ca="1">IF(ISNUMBER(MATCH(DATEVALUE($A342),'recurring1_based on steps'!AD$1:AD$400,0)),AD$2,)</f>
        <v>0</v>
      </c>
      <c r="AE342" s="140">
        <f ca="1">IF(ISNUMBER(MATCH(DATEVALUE($A342),'recurring1_based on steps'!AE$1:AE$400,0)),AE$2,)</f>
        <v>0</v>
      </c>
      <c r="AF342" s="140">
        <f ca="1">IF(ISNUMBER(MATCH(DATEVALUE($A342),'recurring1_based on steps'!AF$1:AF$400,0)),AF$2,)</f>
        <v>0</v>
      </c>
      <c r="AG342" s="140">
        <f ca="1">IF(ISNUMBER(MATCH(DATEVALUE($A342),'recurring1_based on steps'!AG$1:AG$400,0)),AG$2,)</f>
        <v>0</v>
      </c>
      <c r="AH342" s="140">
        <f ca="1">IF(ISNUMBER(MATCH(DATEVALUE($A342),'recurring1_based on steps'!AH$1:AH$400,0)),AH$2,)</f>
        <v>0</v>
      </c>
      <c r="AI342" s="140">
        <f ca="1">IF(ISNUMBER(MATCH(DATEVALUE($A342),'recurring1_based on steps'!AI$1:AI$400,0)),AI$2,)</f>
        <v>0</v>
      </c>
      <c r="AJ342" s="140">
        <f ca="1">IF(ISNUMBER(MATCH(DATEVALUE($A342),'recurring1_based on steps'!AJ$1:AJ$400,0)),AJ$2,)</f>
        <v>0</v>
      </c>
      <c r="AK342" s="140">
        <f ca="1">IF(ISNUMBER(MATCH(DATEVALUE($A342),'recurring1_based on steps'!AK$1:AK$400,0)),AK$2,)</f>
        <v>0</v>
      </c>
      <c r="AL342" s="140">
        <f ca="1">IF(ISNUMBER(MATCH(DATEVALUE($A342),'recurring1_based on steps'!AL$1:AL$400,0)),AL$2,)</f>
        <v>0</v>
      </c>
      <c r="AM342" s="140">
        <f ca="1">IF(ISNUMBER(MATCH(DATEVALUE($A342),'recurring1_based on steps'!AM$1:AM$400,0)),AM$2,)</f>
        <v>0</v>
      </c>
      <c r="AN342" s="140">
        <f ca="1">IF(ISNUMBER(MATCH(DATEVALUE($A342),'recurring1_based on steps'!AN$1:AN$400,0)),AN$2,)</f>
        <v>0</v>
      </c>
      <c r="AO342" s="140">
        <f ca="1">IF(ISNUMBER(MATCH(DATEVALUE($A342),'recurring1_based on steps'!AO$1:AO$400,0)),AO$2,)</f>
        <v>0</v>
      </c>
      <c r="AP342" s="140">
        <f ca="1">IF(ISNUMBER(MATCH(DATEVALUE($A342),'recurring1_based on steps'!AP$1:AP$400,0)),AP$2,)</f>
        <v>0</v>
      </c>
      <c r="AQ342" s="140">
        <f ca="1">IF(ISNUMBER(MATCH(DATEVALUE($A342),'recurring1_based on steps'!AQ$1:AQ$400,0)),AQ$2,)</f>
        <v>0</v>
      </c>
      <c r="AR342" s="140">
        <f ca="1">IF(ISNUMBER(MATCH(DATEVALUE($A342),'recurring1_based on steps'!AR$1:AR$400,0)),AR$2,)</f>
        <v>0</v>
      </c>
      <c r="AS342" s="140">
        <f ca="1">IF(ISNUMBER(MATCH(DATEVALUE($A342),'recurring1_based on steps'!AS$1:AS$400,0)),AS$2,)</f>
        <v>0</v>
      </c>
      <c r="AT342" s="140">
        <f ca="1">IF(ISNUMBER(MATCH(DATEVALUE($A342),'recurring1_based on steps'!AT$1:AT$400,0)),AT$2,)</f>
        <v>0</v>
      </c>
      <c r="AU342" s="140">
        <f ca="1">IF(ISNUMBER(MATCH(DATEVALUE($A342),'recurring1_based on steps'!AU$1:AU$400,0)),AU$2,)</f>
        <v>0</v>
      </c>
      <c r="AV342" s="140">
        <f ca="1">IF(ISNUMBER(MATCH(DATEVALUE($A342),'recurring1_based on steps'!AV$1:AV$400,0)),AV$2,)</f>
        <v>0</v>
      </c>
      <c r="AW342" s="140">
        <f ca="1">IF(ISNUMBER(MATCH(DATEVALUE($A342),'recurring1_based on steps'!AW$1:AW$400,0)),AW$2,)</f>
        <v>0</v>
      </c>
      <c r="AX342" s="140">
        <f ca="1">IF(ISNUMBER(MATCH(DATEVALUE($A342),'recurring1_based on steps'!AX$1:AX$400,0)),AX$2,)</f>
        <v>0</v>
      </c>
      <c r="AY342" s="140">
        <f ca="1">IF(ISNUMBER(MATCH(DATEVALUE($A342),'recurring1_based on steps'!AY$1:AY$400,0)),AY$2,)</f>
        <v>0</v>
      </c>
    </row>
    <row r="343" spans="1:51" x14ac:dyDescent="0.2">
      <c r="A343" s="29" t="str">
        <f t="shared" ca="1" si="5"/>
        <v>2026-03-02</v>
      </c>
      <c r="B343" s="140">
        <f ca="1">IF(ISNUMBER(MATCH(DATEVALUE($A343),'recurring1_based on steps'!B$1:B$400,0)),B$2,)</f>
        <v>0</v>
      </c>
      <c r="C343" s="140">
        <f ca="1">IF(ISNUMBER(MATCH(DATEVALUE($A343),'recurring1_based on steps'!C$1:C$400,0)),C$2,)</f>
        <v>0</v>
      </c>
      <c r="D343" s="140">
        <f ca="1">IF(ISNUMBER(MATCH(DATEVALUE($A343),'recurring1_based on steps'!D$1:D$400,0)),D$2,)</f>
        <v>0</v>
      </c>
      <c r="E343" s="140">
        <f ca="1">IF(ISNUMBER(MATCH(DATEVALUE($A343),'recurring1_based on steps'!E$1:E$400,0)),E$2,)</f>
        <v>0</v>
      </c>
      <c r="F343" s="140">
        <f ca="1">IF(ISNUMBER(MATCH(DATEVALUE($A343),'recurring1_based on steps'!F$1:F$400,0)),F$2,)</f>
        <v>0</v>
      </c>
      <c r="G343" s="140">
        <f ca="1">IF(ISNUMBER(MATCH(DATEVALUE($A343),'recurring1_based on steps'!G$1:G$400,0)),G$2,)</f>
        <v>0</v>
      </c>
      <c r="H343" s="140">
        <f ca="1">IF(ISNUMBER(MATCH(DATEVALUE($A343),'recurring1_based on steps'!H$1:H$400,0)),H$2,)</f>
        <v>0</v>
      </c>
      <c r="I343" s="140">
        <f ca="1">IF(ISNUMBER(MATCH(DATEVALUE($A343),'recurring1_based on steps'!I$1:I$400,0)),I$2,)</f>
        <v>0</v>
      </c>
      <c r="J343" s="140">
        <f ca="1">IF(ISNUMBER(MATCH(DATEVALUE($A343),'recurring1_based on steps'!J$1:J$400,0)),J$2,)</f>
        <v>0</v>
      </c>
      <c r="K343" s="140">
        <f ca="1">IF(ISNUMBER(MATCH(DATEVALUE($A343),'recurring1_based on steps'!K$1:K$400,0)),K$2,)</f>
        <v>0</v>
      </c>
      <c r="L343" s="140">
        <f ca="1">IF(ISNUMBER(MATCH(DATEVALUE($A343),'recurring1_based on steps'!L$1:L$400,0)),L$2,)</f>
        <v>0</v>
      </c>
      <c r="M343" s="140">
        <f ca="1">IF(ISNUMBER(MATCH(DATEVALUE($A343),'recurring1_based on steps'!M$1:M$400,0)),M$2,)</f>
        <v>0</v>
      </c>
      <c r="N343" s="140">
        <f ca="1">IF(ISNUMBER(MATCH(DATEVALUE($A343),'recurring1_based on steps'!N$1:N$400,0)),N$2,)</f>
        <v>0</v>
      </c>
      <c r="O343" s="140">
        <f ca="1">IF(ISNUMBER(MATCH(DATEVALUE($A343),'recurring1_based on steps'!O$1:O$400,0)),O$2,)</f>
        <v>0</v>
      </c>
      <c r="P343" s="140">
        <f ca="1">IF(ISNUMBER(MATCH(DATEVALUE($A343),'recurring1_based on steps'!P$1:P$400,0)),P$2,)</f>
        <v>0</v>
      </c>
      <c r="Q343" s="140">
        <f ca="1">IF(ISNUMBER(MATCH(DATEVALUE($A343),'recurring1_based on steps'!Q$1:Q$400,0)),Q$2,)</f>
        <v>0</v>
      </c>
      <c r="R343" s="140">
        <f ca="1">IF(ISNUMBER(MATCH(DATEVALUE($A343),'recurring1_based on steps'!R$1:R$400,0)),R$2,)</f>
        <v>0</v>
      </c>
      <c r="S343" s="140">
        <f ca="1">IF(ISNUMBER(MATCH(DATEVALUE($A343),'recurring1_based on steps'!S$1:S$400,0)),S$2,)</f>
        <v>0</v>
      </c>
      <c r="T343" s="140">
        <f ca="1">IF(ISNUMBER(MATCH(DATEVALUE($A343),'recurring1_based on steps'!T$1:T$400,0)),T$2,)</f>
        <v>0</v>
      </c>
      <c r="U343" s="140">
        <f ca="1">IF(ISNUMBER(MATCH(DATEVALUE($A343),'recurring1_based on steps'!U$1:U$400,0)),U$2,)</f>
        <v>0</v>
      </c>
      <c r="V343" s="140">
        <f ca="1">IF(ISNUMBER(MATCH(DATEVALUE($A343),'recurring1_based on steps'!V$1:V$400,0)),V$2,)</f>
        <v>0</v>
      </c>
      <c r="W343" s="140">
        <f ca="1">IF(ISNUMBER(MATCH(DATEVALUE($A343),'recurring1_based on steps'!W$1:W$400,0)),W$2,)</f>
        <v>0</v>
      </c>
      <c r="X343" s="140">
        <f ca="1">IF(ISNUMBER(MATCH(DATEVALUE($A343),'recurring1_based on steps'!X$1:X$400,0)),X$2,)</f>
        <v>0</v>
      </c>
      <c r="Y343" s="140">
        <f ca="1">IF(ISNUMBER(MATCH(DATEVALUE($A343),'recurring1_based on steps'!Y$1:Y$400,0)),Y$2,)</f>
        <v>0</v>
      </c>
      <c r="Z343" s="140">
        <f ca="1">IF(ISNUMBER(MATCH(DATEVALUE($A343),'recurring1_based on steps'!Z$1:Z$400,0)),Z$2,)</f>
        <v>0</v>
      </c>
      <c r="AA343" s="140">
        <f ca="1">IF(ISNUMBER(MATCH(DATEVALUE($A343),'recurring1_based on steps'!AA$1:AA$400,0)),AA$2,)</f>
        <v>0</v>
      </c>
      <c r="AB343" s="140">
        <f ca="1">IF(ISNUMBER(MATCH(DATEVALUE($A343),'recurring1_based on steps'!AB$1:AB$400,0)),AB$2,)</f>
        <v>5.5401662049861494E-2</v>
      </c>
      <c r="AC343" s="140">
        <f ca="1">IF(ISNUMBER(MATCH(DATEVALUE($A343),'recurring1_based on steps'!AC$1:AC$400,0)),AC$2,)</f>
        <v>0</v>
      </c>
      <c r="AD343" s="140">
        <f ca="1">IF(ISNUMBER(MATCH(DATEVALUE($A343),'recurring1_based on steps'!AD$1:AD$400,0)),AD$2,)</f>
        <v>0</v>
      </c>
      <c r="AE343" s="140">
        <f ca="1">IF(ISNUMBER(MATCH(DATEVALUE($A343),'recurring1_based on steps'!AE$1:AE$400,0)),AE$2,)</f>
        <v>0</v>
      </c>
      <c r="AF343" s="140">
        <f ca="1">IF(ISNUMBER(MATCH(DATEVALUE($A343),'recurring1_based on steps'!AF$1:AF$400,0)),AF$2,)</f>
        <v>0</v>
      </c>
      <c r="AG343" s="140">
        <f ca="1">IF(ISNUMBER(MATCH(DATEVALUE($A343),'recurring1_based on steps'!AG$1:AG$400,0)),AG$2,)</f>
        <v>0</v>
      </c>
      <c r="AH343" s="140">
        <f ca="1">IF(ISNUMBER(MATCH(DATEVALUE($A343),'recurring1_based on steps'!AH$1:AH$400,0)),AH$2,)</f>
        <v>0</v>
      </c>
      <c r="AI343" s="140">
        <f ca="1">IF(ISNUMBER(MATCH(DATEVALUE($A343),'recurring1_based on steps'!AI$1:AI$400,0)),AI$2,)</f>
        <v>0</v>
      </c>
      <c r="AJ343" s="140">
        <f ca="1">IF(ISNUMBER(MATCH(DATEVALUE($A343),'recurring1_based on steps'!AJ$1:AJ$400,0)),AJ$2,)</f>
        <v>0</v>
      </c>
      <c r="AK343" s="140">
        <f ca="1">IF(ISNUMBER(MATCH(DATEVALUE($A343),'recurring1_based on steps'!AK$1:AK$400,0)),AK$2,)</f>
        <v>0</v>
      </c>
      <c r="AL343" s="140">
        <f ca="1">IF(ISNUMBER(MATCH(DATEVALUE($A343),'recurring1_based on steps'!AL$1:AL$400,0)),AL$2,)</f>
        <v>0</v>
      </c>
      <c r="AM343" s="140">
        <f ca="1">IF(ISNUMBER(MATCH(DATEVALUE($A343),'recurring1_based on steps'!AM$1:AM$400,0)),AM$2,)</f>
        <v>0</v>
      </c>
      <c r="AN343" s="140">
        <f ca="1">IF(ISNUMBER(MATCH(DATEVALUE($A343),'recurring1_based on steps'!AN$1:AN$400,0)),AN$2,)</f>
        <v>0</v>
      </c>
      <c r="AO343" s="140">
        <f ca="1">IF(ISNUMBER(MATCH(DATEVALUE($A343),'recurring1_based on steps'!AO$1:AO$400,0)),AO$2,)</f>
        <v>0</v>
      </c>
      <c r="AP343" s="140">
        <f ca="1">IF(ISNUMBER(MATCH(DATEVALUE($A343),'recurring1_based on steps'!AP$1:AP$400,0)),AP$2,)</f>
        <v>0</v>
      </c>
      <c r="AQ343" s="140">
        <f ca="1">IF(ISNUMBER(MATCH(DATEVALUE($A343),'recurring1_based on steps'!AQ$1:AQ$400,0)),AQ$2,)</f>
        <v>0</v>
      </c>
      <c r="AR343" s="140">
        <f ca="1">IF(ISNUMBER(MATCH(DATEVALUE($A343),'recurring1_based on steps'!AR$1:AR$400,0)),AR$2,)</f>
        <v>0</v>
      </c>
      <c r="AS343" s="140">
        <f ca="1">IF(ISNUMBER(MATCH(DATEVALUE($A343),'recurring1_based on steps'!AS$1:AS$400,0)),AS$2,)</f>
        <v>0</v>
      </c>
      <c r="AT343" s="140">
        <f ca="1">IF(ISNUMBER(MATCH(DATEVALUE($A343),'recurring1_based on steps'!AT$1:AT$400,0)),AT$2,)</f>
        <v>0</v>
      </c>
      <c r="AU343" s="140">
        <f ca="1">IF(ISNUMBER(MATCH(DATEVALUE($A343),'recurring1_based on steps'!AU$1:AU$400,0)),AU$2,)</f>
        <v>0</v>
      </c>
      <c r="AV343" s="140">
        <f ca="1">IF(ISNUMBER(MATCH(DATEVALUE($A343),'recurring1_based on steps'!AV$1:AV$400,0)),AV$2,)</f>
        <v>0</v>
      </c>
      <c r="AW343" s="140">
        <f ca="1">IF(ISNUMBER(MATCH(DATEVALUE($A343),'recurring1_based on steps'!AW$1:AW$400,0)),AW$2,)</f>
        <v>0</v>
      </c>
      <c r="AX343" s="140">
        <f ca="1">IF(ISNUMBER(MATCH(DATEVALUE($A343),'recurring1_based on steps'!AX$1:AX$400,0)),AX$2,)</f>
        <v>0</v>
      </c>
      <c r="AY343" s="140">
        <f ca="1">IF(ISNUMBER(MATCH(DATEVALUE($A343),'recurring1_based on steps'!AY$1:AY$400,0)),AY$2,)</f>
        <v>0</v>
      </c>
    </row>
    <row r="344" spans="1:51" x14ac:dyDescent="0.2">
      <c r="A344" s="29" t="str">
        <f t="shared" ca="1" si="5"/>
        <v>2026-03-03</v>
      </c>
      <c r="B344" s="140">
        <f ca="1">IF(ISNUMBER(MATCH(DATEVALUE($A344),'recurring1_based on steps'!B$1:B$400,0)),B$2,)</f>
        <v>0</v>
      </c>
      <c r="C344" s="140">
        <f ca="1">IF(ISNUMBER(MATCH(DATEVALUE($A344),'recurring1_based on steps'!C$1:C$400,0)),C$2,)</f>
        <v>0</v>
      </c>
      <c r="D344" s="140">
        <f ca="1">IF(ISNUMBER(MATCH(DATEVALUE($A344),'recurring1_based on steps'!D$1:D$400,0)),D$2,)</f>
        <v>0</v>
      </c>
      <c r="E344" s="140">
        <f ca="1">IF(ISNUMBER(MATCH(DATEVALUE($A344),'recurring1_based on steps'!E$1:E$400,0)),E$2,)</f>
        <v>0</v>
      </c>
      <c r="F344" s="140">
        <f ca="1">IF(ISNUMBER(MATCH(DATEVALUE($A344),'recurring1_based on steps'!F$1:F$400,0)),F$2,)</f>
        <v>0</v>
      </c>
      <c r="G344" s="140">
        <f ca="1">IF(ISNUMBER(MATCH(DATEVALUE($A344),'recurring1_based on steps'!G$1:G$400,0)),G$2,)</f>
        <v>0</v>
      </c>
      <c r="H344" s="140">
        <f ca="1">IF(ISNUMBER(MATCH(DATEVALUE($A344),'recurring1_based on steps'!H$1:H$400,0)),H$2,)</f>
        <v>0</v>
      </c>
      <c r="I344" s="140">
        <f ca="1">IF(ISNUMBER(MATCH(DATEVALUE($A344),'recurring1_based on steps'!I$1:I$400,0)),I$2,)</f>
        <v>0</v>
      </c>
      <c r="J344" s="140">
        <f ca="1">IF(ISNUMBER(MATCH(DATEVALUE($A344),'recurring1_based on steps'!J$1:J$400,0)),J$2,)</f>
        <v>0</v>
      </c>
      <c r="K344" s="140">
        <f ca="1">IF(ISNUMBER(MATCH(DATEVALUE($A344),'recurring1_based on steps'!K$1:K$400,0)),K$2,)</f>
        <v>0</v>
      </c>
      <c r="L344" s="140">
        <f ca="1">IF(ISNUMBER(MATCH(DATEVALUE($A344),'recurring1_based on steps'!L$1:L$400,0)),L$2,)</f>
        <v>0</v>
      </c>
      <c r="M344" s="140">
        <f ca="1">IF(ISNUMBER(MATCH(DATEVALUE($A344),'recurring1_based on steps'!M$1:M$400,0)),M$2,)</f>
        <v>0</v>
      </c>
      <c r="N344" s="140">
        <f ca="1">IF(ISNUMBER(MATCH(DATEVALUE($A344),'recurring1_based on steps'!N$1:N$400,0)),N$2,)</f>
        <v>0</v>
      </c>
      <c r="O344" s="140">
        <f ca="1">IF(ISNUMBER(MATCH(DATEVALUE($A344),'recurring1_based on steps'!O$1:O$400,0)),O$2,)</f>
        <v>0</v>
      </c>
      <c r="P344" s="140">
        <f ca="1">IF(ISNUMBER(MATCH(DATEVALUE($A344),'recurring1_based on steps'!P$1:P$400,0)),P$2,)</f>
        <v>0</v>
      </c>
      <c r="Q344" s="140">
        <f ca="1">IF(ISNUMBER(MATCH(DATEVALUE($A344),'recurring1_based on steps'!Q$1:Q$400,0)),Q$2,)</f>
        <v>0</v>
      </c>
      <c r="R344" s="140">
        <f ca="1">IF(ISNUMBER(MATCH(DATEVALUE($A344),'recurring1_based on steps'!R$1:R$400,0)),R$2,)</f>
        <v>0</v>
      </c>
      <c r="S344" s="140">
        <f ca="1">IF(ISNUMBER(MATCH(DATEVALUE($A344),'recurring1_based on steps'!S$1:S$400,0)),S$2,)</f>
        <v>0</v>
      </c>
      <c r="T344" s="140">
        <f ca="1">IF(ISNUMBER(MATCH(DATEVALUE($A344),'recurring1_based on steps'!T$1:T$400,0)),T$2,)</f>
        <v>0</v>
      </c>
      <c r="U344" s="140">
        <f ca="1">IF(ISNUMBER(MATCH(DATEVALUE($A344),'recurring1_based on steps'!U$1:U$400,0)),U$2,)</f>
        <v>0</v>
      </c>
      <c r="V344" s="140">
        <f ca="1">IF(ISNUMBER(MATCH(DATEVALUE($A344),'recurring1_based on steps'!V$1:V$400,0)),V$2,)</f>
        <v>0</v>
      </c>
      <c r="W344" s="140">
        <f ca="1">IF(ISNUMBER(MATCH(DATEVALUE($A344),'recurring1_based on steps'!W$1:W$400,0)),W$2,)</f>
        <v>0</v>
      </c>
      <c r="X344" s="140">
        <f ca="1">IF(ISNUMBER(MATCH(DATEVALUE($A344),'recurring1_based on steps'!X$1:X$400,0)),X$2,)</f>
        <v>0</v>
      </c>
      <c r="Y344" s="140">
        <f ca="1">IF(ISNUMBER(MATCH(DATEVALUE($A344),'recurring1_based on steps'!Y$1:Y$400,0)),Y$2,)</f>
        <v>0</v>
      </c>
      <c r="Z344" s="140">
        <f ca="1">IF(ISNUMBER(MATCH(DATEVALUE($A344),'recurring1_based on steps'!Z$1:Z$400,0)),Z$2,)</f>
        <v>0</v>
      </c>
      <c r="AA344" s="140">
        <f ca="1">IF(ISNUMBER(MATCH(DATEVALUE($A344),'recurring1_based on steps'!AA$1:AA$400,0)),AA$2,)</f>
        <v>0</v>
      </c>
      <c r="AB344" s="140">
        <f ca="1">IF(ISNUMBER(MATCH(DATEVALUE($A344),'recurring1_based on steps'!AB$1:AB$400,0)),AB$2,)</f>
        <v>5.5401662049861494E-2</v>
      </c>
      <c r="AC344" s="140">
        <f ca="1">IF(ISNUMBER(MATCH(DATEVALUE($A344),'recurring1_based on steps'!AC$1:AC$400,0)),AC$2,)</f>
        <v>0</v>
      </c>
      <c r="AD344" s="140">
        <f ca="1">IF(ISNUMBER(MATCH(DATEVALUE($A344),'recurring1_based on steps'!AD$1:AD$400,0)),AD$2,)</f>
        <v>0</v>
      </c>
      <c r="AE344" s="140">
        <f ca="1">IF(ISNUMBER(MATCH(DATEVALUE($A344),'recurring1_based on steps'!AE$1:AE$400,0)),AE$2,)</f>
        <v>0</v>
      </c>
      <c r="AF344" s="140">
        <f ca="1">IF(ISNUMBER(MATCH(DATEVALUE($A344),'recurring1_based on steps'!AF$1:AF$400,0)),AF$2,)</f>
        <v>0</v>
      </c>
      <c r="AG344" s="140">
        <f ca="1">IF(ISNUMBER(MATCH(DATEVALUE($A344),'recurring1_based on steps'!AG$1:AG$400,0)),AG$2,)</f>
        <v>0</v>
      </c>
      <c r="AH344" s="140">
        <f ca="1">IF(ISNUMBER(MATCH(DATEVALUE($A344),'recurring1_based on steps'!AH$1:AH$400,0)),AH$2,)</f>
        <v>0</v>
      </c>
      <c r="AI344" s="140">
        <f ca="1">IF(ISNUMBER(MATCH(DATEVALUE($A344),'recurring1_based on steps'!AI$1:AI$400,0)),AI$2,)</f>
        <v>0</v>
      </c>
      <c r="AJ344" s="140">
        <f ca="1">IF(ISNUMBER(MATCH(DATEVALUE($A344),'recurring1_based on steps'!AJ$1:AJ$400,0)),AJ$2,)</f>
        <v>0</v>
      </c>
      <c r="AK344" s="140">
        <f ca="1">IF(ISNUMBER(MATCH(DATEVALUE($A344),'recurring1_based on steps'!AK$1:AK$400,0)),AK$2,)</f>
        <v>0</v>
      </c>
      <c r="AL344" s="140">
        <f ca="1">IF(ISNUMBER(MATCH(DATEVALUE($A344),'recurring1_based on steps'!AL$1:AL$400,0)),AL$2,)</f>
        <v>0</v>
      </c>
      <c r="AM344" s="140">
        <f ca="1">IF(ISNUMBER(MATCH(DATEVALUE($A344),'recurring1_based on steps'!AM$1:AM$400,0)),AM$2,)</f>
        <v>0</v>
      </c>
      <c r="AN344" s="140">
        <f ca="1">IF(ISNUMBER(MATCH(DATEVALUE($A344),'recurring1_based on steps'!AN$1:AN$400,0)),AN$2,)</f>
        <v>0</v>
      </c>
      <c r="AO344" s="140">
        <f ca="1">IF(ISNUMBER(MATCH(DATEVALUE($A344),'recurring1_based on steps'!AO$1:AO$400,0)),AO$2,)</f>
        <v>0</v>
      </c>
      <c r="AP344" s="140">
        <f ca="1">IF(ISNUMBER(MATCH(DATEVALUE($A344),'recurring1_based on steps'!AP$1:AP$400,0)),AP$2,)</f>
        <v>0</v>
      </c>
      <c r="AQ344" s="140">
        <f ca="1">IF(ISNUMBER(MATCH(DATEVALUE($A344),'recurring1_based on steps'!AQ$1:AQ$400,0)),AQ$2,)</f>
        <v>0</v>
      </c>
      <c r="AR344" s="140">
        <f ca="1">IF(ISNUMBER(MATCH(DATEVALUE($A344),'recurring1_based on steps'!AR$1:AR$400,0)),AR$2,)</f>
        <v>0</v>
      </c>
      <c r="AS344" s="140">
        <f ca="1">IF(ISNUMBER(MATCH(DATEVALUE($A344),'recurring1_based on steps'!AS$1:AS$400,0)),AS$2,)</f>
        <v>0</v>
      </c>
      <c r="AT344" s="140">
        <f ca="1">IF(ISNUMBER(MATCH(DATEVALUE($A344),'recurring1_based on steps'!AT$1:AT$400,0)),AT$2,)</f>
        <v>0</v>
      </c>
      <c r="AU344" s="140">
        <f ca="1">IF(ISNUMBER(MATCH(DATEVALUE($A344),'recurring1_based on steps'!AU$1:AU$400,0)),AU$2,)</f>
        <v>0</v>
      </c>
      <c r="AV344" s="140">
        <f ca="1">IF(ISNUMBER(MATCH(DATEVALUE($A344),'recurring1_based on steps'!AV$1:AV$400,0)),AV$2,)</f>
        <v>0</v>
      </c>
      <c r="AW344" s="140">
        <f ca="1">IF(ISNUMBER(MATCH(DATEVALUE($A344),'recurring1_based on steps'!AW$1:AW$400,0)),AW$2,)</f>
        <v>0</v>
      </c>
      <c r="AX344" s="140">
        <f ca="1">IF(ISNUMBER(MATCH(DATEVALUE($A344),'recurring1_based on steps'!AX$1:AX$400,0)),AX$2,)</f>
        <v>0</v>
      </c>
      <c r="AY344" s="140">
        <f ca="1">IF(ISNUMBER(MATCH(DATEVALUE($A344),'recurring1_based on steps'!AY$1:AY$400,0)),AY$2,)</f>
        <v>0</v>
      </c>
    </row>
    <row r="345" spans="1:51" x14ac:dyDescent="0.2">
      <c r="A345" s="29" t="str">
        <f t="shared" ca="1" si="5"/>
        <v>2026-03-04</v>
      </c>
      <c r="B345" s="140">
        <f ca="1">IF(ISNUMBER(MATCH(DATEVALUE($A345),'recurring1_based on steps'!B$1:B$400,0)),B$2,)</f>
        <v>0</v>
      </c>
      <c r="C345" s="140">
        <f ca="1">IF(ISNUMBER(MATCH(DATEVALUE($A345),'recurring1_based on steps'!C$1:C$400,0)),C$2,)</f>
        <v>0</v>
      </c>
      <c r="D345" s="140">
        <f ca="1">IF(ISNUMBER(MATCH(DATEVALUE($A345),'recurring1_based on steps'!D$1:D$400,0)),D$2,)</f>
        <v>0</v>
      </c>
      <c r="E345" s="140">
        <f ca="1">IF(ISNUMBER(MATCH(DATEVALUE($A345),'recurring1_based on steps'!E$1:E$400,0)),E$2,)</f>
        <v>0</v>
      </c>
      <c r="F345" s="140">
        <f ca="1">IF(ISNUMBER(MATCH(DATEVALUE($A345),'recurring1_based on steps'!F$1:F$400,0)),F$2,)</f>
        <v>0</v>
      </c>
      <c r="G345" s="140">
        <f ca="1">IF(ISNUMBER(MATCH(DATEVALUE($A345),'recurring1_based on steps'!G$1:G$400,0)),G$2,)</f>
        <v>0</v>
      </c>
      <c r="H345" s="140">
        <f ca="1">IF(ISNUMBER(MATCH(DATEVALUE($A345),'recurring1_based on steps'!H$1:H$400,0)),H$2,)</f>
        <v>0</v>
      </c>
      <c r="I345" s="140">
        <f ca="1">IF(ISNUMBER(MATCH(DATEVALUE($A345),'recurring1_based on steps'!I$1:I$400,0)),I$2,)</f>
        <v>0</v>
      </c>
      <c r="J345" s="140">
        <f ca="1">IF(ISNUMBER(MATCH(DATEVALUE($A345),'recurring1_based on steps'!J$1:J$400,0)),J$2,)</f>
        <v>0</v>
      </c>
      <c r="K345" s="140">
        <f ca="1">IF(ISNUMBER(MATCH(DATEVALUE($A345),'recurring1_based on steps'!K$1:K$400,0)),K$2,)</f>
        <v>0</v>
      </c>
      <c r="L345" s="140">
        <f ca="1">IF(ISNUMBER(MATCH(DATEVALUE($A345),'recurring1_based on steps'!L$1:L$400,0)),L$2,)</f>
        <v>0</v>
      </c>
      <c r="M345" s="140">
        <f ca="1">IF(ISNUMBER(MATCH(DATEVALUE($A345),'recurring1_based on steps'!M$1:M$400,0)),M$2,)</f>
        <v>0</v>
      </c>
      <c r="N345" s="140">
        <f ca="1">IF(ISNUMBER(MATCH(DATEVALUE($A345),'recurring1_based on steps'!N$1:N$400,0)),N$2,)</f>
        <v>0</v>
      </c>
      <c r="O345" s="140">
        <f ca="1">IF(ISNUMBER(MATCH(DATEVALUE($A345),'recurring1_based on steps'!O$1:O$400,0)),O$2,)</f>
        <v>0</v>
      </c>
      <c r="P345" s="140">
        <f ca="1">IF(ISNUMBER(MATCH(DATEVALUE($A345),'recurring1_based on steps'!P$1:P$400,0)),P$2,)</f>
        <v>0</v>
      </c>
      <c r="Q345" s="140">
        <f ca="1">IF(ISNUMBER(MATCH(DATEVALUE($A345),'recurring1_based on steps'!Q$1:Q$400,0)),Q$2,)</f>
        <v>0</v>
      </c>
      <c r="R345" s="140">
        <f ca="1">IF(ISNUMBER(MATCH(DATEVALUE($A345),'recurring1_based on steps'!R$1:R$400,0)),R$2,)</f>
        <v>0</v>
      </c>
      <c r="S345" s="140">
        <f ca="1">IF(ISNUMBER(MATCH(DATEVALUE($A345),'recurring1_based on steps'!S$1:S$400,0)),S$2,)</f>
        <v>0</v>
      </c>
      <c r="T345" s="140">
        <f ca="1">IF(ISNUMBER(MATCH(DATEVALUE($A345),'recurring1_based on steps'!T$1:T$400,0)),T$2,)</f>
        <v>0</v>
      </c>
      <c r="U345" s="140">
        <f ca="1">IF(ISNUMBER(MATCH(DATEVALUE($A345),'recurring1_based on steps'!U$1:U$400,0)),U$2,)</f>
        <v>0</v>
      </c>
      <c r="V345" s="140">
        <f ca="1">IF(ISNUMBER(MATCH(DATEVALUE($A345),'recurring1_based on steps'!V$1:V$400,0)),V$2,)</f>
        <v>0</v>
      </c>
      <c r="W345" s="140">
        <f ca="1">IF(ISNUMBER(MATCH(DATEVALUE($A345),'recurring1_based on steps'!W$1:W$400,0)),W$2,)</f>
        <v>0</v>
      </c>
      <c r="X345" s="140">
        <f ca="1">IF(ISNUMBER(MATCH(DATEVALUE($A345),'recurring1_based on steps'!X$1:X$400,0)),X$2,)</f>
        <v>0</v>
      </c>
      <c r="Y345" s="140">
        <f ca="1">IF(ISNUMBER(MATCH(DATEVALUE($A345),'recurring1_based on steps'!Y$1:Y$400,0)),Y$2,)</f>
        <v>0</v>
      </c>
      <c r="Z345" s="140">
        <f ca="1">IF(ISNUMBER(MATCH(DATEVALUE($A345),'recurring1_based on steps'!Z$1:Z$400,0)),Z$2,)</f>
        <v>0</v>
      </c>
      <c r="AA345" s="140">
        <f ca="1">IF(ISNUMBER(MATCH(DATEVALUE($A345),'recurring1_based on steps'!AA$1:AA$400,0)),AA$2,)</f>
        <v>0</v>
      </c>
      <c r="AB345" s="140">
        <f ca="1">IF(ISNUMBER(MATCH(DATEVALUE($A345),'recurring1_based on steps'!AB$1:AB$400,0)),AB$2,)</f>
        <v>5.5401662049861494E-2</v>
      </c>
      <c r="AC345" s="140">
        <f ca="1">IF(ISNUMBER(MATCH(DATEVALUE($A345),'recurring1_based on steps'!AC$1:AC$400,0)),AC$2,)</f>
        <v>0</v>
      </c>
      <c r="AD345" s="140">
        <f ca="1">IF(ISNUMBER(MATCH(DATEVALUE($A345),'recurring1_based on steps'!AD$1:AD$400,0)),AD$2,)</f>
        <v>0</v>
      </c>
      <c r="AE345" s="140">
        <f ca="1">IF(ISNUMBER(MATCH(DATEVALUE($A345),'recurring1_based on steps'!AE$1:AE$400,0)),AE$2,)</f>
        <v>0</v>
      </c>
      <c r="AF345" s="140">
        <f ca="1">IF(ISNUMBER(MATCH(DATEVALUE($A345),'recurring1_based on steps'!AF$1:AF$400,0)),AF$2,)</f>
        <v>0</v>
      </c>
      <c r="AG345" s="140">
        <f ca="1">IF(ISNUMBER(MATCH(DATEVALUE($A345),'recurring1_based on steps'!AG$1:AG$400,0)),AG$2,)</f>
        <v>0</v>
      </c>
      <c r="AH345" s="140">
        <f ca="1">IF(ISNUMBER(MATCH(DATEVALUE($A345),'recurring1_based on steps'!AH$1:AH$400,0)),AH$2,)</f>
        <v>0</v>
      </c>
      <c r="AI345" s="140">
        <f ca="1">IF(ISNUMBER(MATCH(DATEVALUE($A345),'recurring1_based on steps'!AI$1:AI$400,0)),AI$2,)</f>
        <v>0</v>
      </c>
      <c r="AJ345" s="140">
        <f ca="1">IF(ISNUMBER(MATCH(DATEVALUE($A345),'recurring1_based on steps'!AJ$1:AJ$400,0)),AJ$2,)</f>
        <v>0</v>
      </c>
      <c r="AK345" s="140">
        <f ca="1">IF(ISNUMBER(MATCH(DATEVALUE($A345),'recurring1_based on steps'!AK$1:AK$400,0)),AK$2,)</f>
        <v>0</v>
      </c>
      <c r="AL345" s="140">
        <f ca="1">IF(ISNUMBER(MATCH(DATEVALUE($A345),'recurring1_based on steps'!AL$1:AL$400,0)),AL$2,)</f>
        <v>0</v>
      </c>
      <c r="AM345" s="140">
        <f ca="1">IF(ISNUMBER(MATCH(DATEVALUE($A345),'recurring1_based on steps'!AM$1:AM$400,0)),AM$2,)</f>
        <v>0</v>
      </c>
      <c r="AN345" s="140">
        <f ca="1">IF(ISNUMBER(MATCH(DATEVALUE($A345),'recurring1_based on steps'!AN$1:AN$400,0)),AN$2,)</f>
        <v>0</v>
      </c>
      <c r="AO345" s="140">
        <f ca="1">IF(ISNUMBER(MATCH(DATEVALUE($A345),'recurring1_based on steps'!AO$1:AO$400,0)),AO$2,)</f>
        <v>0</v>
      </c>
      <c r="AP345" s="140">
        <f ca="1">IF(ISNUMBER(MATCH(DATEVALUE($A345),'recurring1_based on steps'!AP$1:AP$400,0)),AP$2,)</f>
        <v>0</v>
      </c>
      <c r="AQ345" s="140">
        <f ca="1">IF(ISNUMBER(MATCH(DATEVALUE($A345),'recurring1_based on steps'!AQ$1:AQ$400,0)),AQ$2,)</f>
        <v>0</v>
      </c>
      <c r="AR345" s="140">
        <f ca="1">IF(ISNUMBER(MATCH(DATEVALUE($A345),'recurring1_based on steps'!AR$1:AR$400,0)),AR$2,)</f>
        <v>0</v>
      </c>
      <c r="AS345" s="140">
        <f ca="1">IF(ISNUMBER(MATCH(DATEVALUE($A345),'recurring1_based on steps'!AS$1:AS$400,0)),AS$2,)</f>
        <v>0</v>
      </c>
      <c r="AT345" s="140">
        <f ca="1">IF(ISNUMBER(MATCH(DATEVALUE($A345),'recurring1_based on steps'!AT$1:AT$400,0)),AT$2,)</f>
        <v>0</v>
      </c>
      <c r="AU345" s="140">
        <f ca="1">IF(ISNUMBER(MATCH(DATEVALUE($A345),'recurring1_based on steps'!AU$1:AU$400,0)),AU$2,)</f>
        <v>0</v>
      </c>
      <c r="AV345" s="140">
        <f ca="1">IF(ISNUMBER(MATCH(DATEVALUE($A345),'recurring1_based on steps'!AV$1:AV$400,0)),AV$2,)</f>
        <v>0</v>
      </c>
      <c r="AW345" s="140">
        <f ca="1">IF(ISNUMBER(MATCH(DATEVALUE($A345),'recurring1_based on steps'!AW$1:AW$400,0)),AW$2,)</f>
        <v>0</v>
      </c>
      <c r="AX345" s="140">
        <f ca="1">IF(ISNUMBER(MATCH(DATEVALUE($A345),'recurring1_based on steps'!AX$1:AX$400,0)),AX$2,)</f>
        <v>0</v>
      </c>
      <c r="AY345" s="140">
        <f ca="1">IF(ISNUMBER(MATCH(DATEVALUE($A345),'recurring1_based on steps'!AY$1:AY$400,0)),AY$2,)</f>
        <v>0</v>
      </c>
    </row>
    <row r="346" spans="1:51" x14ac:dyDescent="0.2">
      <c r="A346" s="29" t="str">
        <f t="shared" ca="1" si="5"/>
        <v>2026-03-05</v>
      </c>
      <c r="B346" s="140">
        <f ca="1">IF(ISNUMBER(MATCH(DATEVALUE($A346),'recurring1_based on steps'!B$1:B$400,0)),B$2,)</f>
        <v>0</v>
      </c>
      <c r="C346" s="140">
        <f ca="1">IF(ISNUMBER(MATCH(DATEVALUE($A346),'recurring1_based on steps'!C$1:C$400,0)),C$2,)</f>
        <v>0</v>
      </c>
      <c r="D346" s="140">
        <f ca="1">IF(ISNUMBER(MATCH(DATEVALUE($A346),'recurring1_based on steps'!D$1:D$400,0)),D$2,)</f>
        <v>0</v>
      </c>
      <c r="E346" s="140">
        <f ca="1">IF(ISNUMBER(MATCH(DATEVALUE($A346),'recurring1_based on steps'!E$1:E$400,0)),E$2,)</f>
        <v>0</v>
      </c>
      <c r="F346" s="140">
        <f ca="1">IF(ISNUMBER(MATCH(DATEVALUE($A346),'recurring1_based on steps'!F$1:F$400,0)),F$2,)</f>
        <v>0</v>
      </c>
      <c r="G346" s="140">
        <f ca="1">IF(ISNUMBER(MATCH(DATEVALUE($A346),'recurring1_based on steps'!G$1:G$400,0)),G$2,)</f>
        <v>0</v>
      </c>
      <c r="H346" s="140">
        <f ca="1">IF(ISNUMBER(MATCH(DATEVALUE($A346),'recurring1_based on steps'!H$1:H$400,0)),H$2,)</f>
        <v>0</v>
      </c>
      <c r="I346" s="140">
        <f ca="1">IF(ISNUMBER(MATCH(DATEVALUE($A346),'recurring1_based on steps'!I$1:I$400,0)),I$2,)</f>
        <v>0</v>
      </c>
      <c r="J346" s="140">
        <f ca="1">IF(ISNUMBER(MATCH(DATEVALUE($A346),'recurring1_based on steps'!J$1:J$400,0)),J$2,)</f>
        <v>0</v>
      </c>
      <c r="K346" s="140">
        <f ca="1">IF(ISNUMBER(MATCH(DATEVALUE($A346),'recurring1_based on steps'!K$1:K$400,0)),K$2,)</f>
        <v>0</v>
      </c>
      <c r="L346" s="140">
        <f ca="1">IF(ISNUMBER(MATCH(DATEVALUE($A346),'recurring1_based on steps'!L$1:L$400,0)),L$2,)</f>
        <v>0</v>
      </c>
      <c r="M346" s="140">
        <f ca="1">IF(ISNUMBER(MATCH(DATEVALUE($A346),'recurring1_based on steps'!M$1:M$400,0)),M$2,)</f>
        <v>0</v>
      </c>
      <c r="N346" s="140">
        <f ca="1">IF(ISNUMBER(MATCH(DATEVALUE($A346),'recurring1_based on steps'!N$1:N$400,0)),N$2,)</f>
        <v>0</v>
      </c>
      <c r="O346" s="140">
        <f ca="1">IF(ISNUMBER(MATCH(DATEVALUE($A346),'recurring1_based on steps'!O$1:O$400,0)),O$2,)</f>
        <v>0</v>
      </c>
      <c r="P346" s="140">
        <f ca="1">IF(ISNUMBER(MATCH(DATEVALUE($A346),'recurring1_based on steps'!P$1:P$400,0)),P$2,)</f>
        <v>0</v>
      </c>
      <c r="Q346" s="140">
        <f ca="1">IF(ISNUMBER(MATCH(DATEVALUE($A346),'recurring1_based on steps'!Q$1:Q$400,0)),Q$2,)</f>
        <v>0</v>
      </c>
      <c r="R346" s="140">
        <f ca="1">IF(ISNUMBER(MATCH(DATEVALUE($A346),'recurring1_based on steps'!R$1:R$400,0)),R$2,)</f>
        <v>0</v>
      </c>
      <c r="S346" s="140">
        <f ca="1">IF(ISNUMBER(MATCH(DATEVALUE($A346),'recurring1_based on steps'!S$1:S$400,0)),S$2,)</f>
        <v>0</v>
      </c>
      <c r="T346" s="140">
        <f ca="1">IF(ISNUMBER(MATCH(DATEVALUE($A346),'recurring1_based on steps'!T$1:T$400,0)),T$2,)</f>
        <v>0</v>
      </c>
      <c r="U346" s="140">
        <f ca="1">IF(ISNUMBER(MATCH(DATEVALUE($A346),'recurring1_based on steps'!U$1:U$400,0)),U$2,)</f>
        <v>0</v>
      </c>
      <c r="V346" s="140">
        <f ca="1">IF(ISNUMBER(MATCH(DATEVALUE($A346),'recurring1_based on steps'!V$1:V$400,0)),V$2,)</f>
        <v>0</v>
      </c>
      <c r="W346" s="140">
        <f ca="1">IF(ISNUMBER(MATCH(DATEVALUE($A346),'recurring1_based on steps'!W$1:W$400,0)),W$2,)</f>
        <v>0</v>
      </c>
      <c r="X346" s="140">
        <f ca="1">IF(ISNUMBER(MATCH(DATEVALUE($A346),'recurring1_based on steps'!X$1:X$400,0)),X$2,)</f>
        <v>0</v>
      </c>
      <c r="Y346" s="140">
        <f ca="1">IF(ISNUMBER(MATCH(DATEVALUE($A346),'recurring1_based on steps'!Y$1:Y$400,0)),Y$2,)</f>
        <v>0</v>
      </c>
      <c r="Z346" s="140">
        <f ca="1">IF(ISNUMBER(MATCH(DATEVALUE($A346),'recurring1_based on steps'!Z$1:Z$400,0)),Z$2,)</f>
        <v>0</v>
      </c>
      <c r="AA346" s="140">
        <f ca="1">IF(ISNUMBER(MATCH(DATEVALUE($A346),'recurring1_based on steps'!AA$1:AA$400,0)),AA$2,)</f>
        <v>0</v>
      </c>
      <c r="AB346" s="140">
        <f ca="1">IF(ISNUMBER(MATCH(DATEVALUE($A346),'recurring1_based on steps'!AB$1:AB$400,0)),AB$2,)</f>
        <v>5.5401662049861494E-2</v>
      </c>
      <c r="AC346" s="140">
        <f ca="1">IF(ISNUMBER(MATCH(DATEVALUE($A346),'recurring1_based on steps'!AC$1:AC$400,0)),AC$2,)</f>
        <v>0</v>
      </c>
      <c r="AD346" s="140">
        <f ca="1">IF(ISNUMBER(MATCH(DATEVALUE($A346),'recurring1_based on steps'!AD$1:AD$400,0)),AD$2,)</f>
        <v>0</v>
      </c>
      <c r="AE346" s="140">
        <f ca="1">IF(ISNUMBER(MATCH(DATEVALUE($A346),'recurring1_based on steps'!AE$1:AE$400,0)),AE$2,)</f>
        <v>0</v>
      </c>
      <c r="AF346" s="140">
        <f ca="1">IF(ISNUMBER(MATCH(DATEVALUE($A346),'recurring1_based on steps'!AF$1:AF$400,0)),AF$2,)</f>
        <v>0</v>
      </c>
      <c r="AG346" s="140">
        <f ca="1">IF(ISNUMBER(MATCH(DATEVALUE($A346),'recurring1_based on steps'!AG$1:AG$400,0)),AG$2,)</f>
        <v>0</v>
      </c>
      <c r="AH346" s="140">
        <f ca="1">IF(ISNUMBER(MATCH(DATEVALUE($A346),'recurring1_based on steps'!AH$1:AH$400,0)),AH$2,)</f>
        <v>0</v>
      </c>
      <c r="AI346" s="140">
        <f ca="1">IF(ISNUMBER(MATCH(DATEVALUE($A346),'recurring1_based on steps'!AI$1:AI$400,0)),AI$2,)</f>
        <v>0</v>
      </c>
      <c r="AJ346" s="140">
        <f ca="1">IF(ISNUMBER(MATCH(DATEVALUE($A346),'recurring1_based on steps'!AJ$1:AJ$400,0)),AJ$2,)</f>
        <v>0</v>
      </c>
      <c r="AK346" s="140">
        <f ca="1">IF(ISNUMBER(MATCH(DATEVALUE($A346),'recurring1_based on steps'!AK$1:AK$400,0)),AK$2,)</f>
        <v>0</v>
      </c>
      <c r="AL346" s="140">
        <f ca="1">IF(ISNUMBER(MATCH(DATEVALUE($A346),'recurring1_based on steps'!AL$1:AL$400,0)),AL$2,)</f>
        <v>0</v>
      </c>
      <c r="AM346" s="140">
        <f ca="1">IF(ISNUMBER(MATCH(DATEVALUE($A346),'recurring1_based on steps'!AM$1:AM$400,0)),AM$2,)</f>
        <v>0</v>
      </c>
      <c r="AN346" s="140">
        <f ca="1">IF(ISNUMBER(MATCH(DATEVALUE($A346),'recurring1_based on steps'!AN$1:AN$400,0)),AN$2,)</f>
        <v>0</v>
      </c>
      <c r="AO346" s="140">
        <f ca="1">IF(ISNUMBER(MATCH(DATEVALUE($A346),'recurring1_based on steps'!AO$1:AO$400,0)),AO$2,)</f>
        <v>0</v>
      </c>
      <c r="AP346" s="140">
        <f ca="1">IF(ISNUMBER(MATCH(DATEVALUE($A346),'recurring1_based on steps'!AP$1:AP$400,0)),AP$2,)</f>
        <v>0</v>
      </c>
      <c r="AQ346" s="140">
        <f ca="1">IF(ISNUMBER(MATCH(DATEVALUE($A346),'recurring1_based on steps'!AQ$1:AQ$400,0)),AQ$2,)</f>
        <v>0</v>
      </c>
      <c r="AR346" s="140">
        <f ca="1">IF(ISNUMBER(MATCH(DATEVALUE($A346),'recurring1_based on steps'!AR$1:AR$400,0)),AR$2,)</f>
        <v>0</v>
      </c>
      <c r="AS346" s="140">
        <f ca="1">IF(ISNUMBER(MATCH(DATEVALUE($A346),'recurring1_based on steps'!AS$1:AS$400,0)),AS$2,)</f>
        <v>0</v>
      </c>
      <c r="AT346" s="140">
        <f ca="1">IF(ISNUMBER(MATCH(DATEVALUE($A346),'recurring1_based on steps'!AT$1:AT$400,0)),AT$2,)</f>
        <v>0</v>
      </c>
      <c r="AU346" s="140">
        <f ca="1">IF(ISNUMBER(MATCH(DATEVALUE($A346),'recurring1_based on steps'!AU$1:AU$400,0)),AU$2,)</f>
        <v>0</v>
      </c>
      <c r="AV346" s="140">
        <f ca="1">IF(ISNUMBER(MATCH(DATEVALUE($A346),'recurring1_based on steps'!AV$1:AV$400,0)),AV$2,)</f>
        <v>0</v>
      </c>
      <c r="AW346" s="140">
        <f ca="1">IF(ISNUMBER(MATCH(DATEVALUE($A346),'recurring1_based on steps'!AW$1:AW$400,0)),AW$2,)</f>
        <v>0</v>
      </c>
      <c r="AX346" s="140">
        <f ca="1">IF(ISNUMBER(MATCH(DATEVALUE($A346),'recurring1_based on steps'!AX$1:AX$400,0)),AX$2,)</f>
        <v>0</v>
      </c>
      <c r="AY346" s="140">
        <f ca="1">IF(ISNUMBER(MATCH(DATEVALUE($A346),'recurring1_based on steps'!AY$1:AY$400,0)),AY$2,)</f>
        <v>0</v>
      </c>
    </row>
    <row r="347" spans="1:51" x14ac:dyDescent="0.2">
      <c r="A347" s="29" t="str">
        <f t="shared" ca="1" si="5"/>
        <v>2026-03-06</v>
      </c>
      <c r="B347" s="140">
        <f ca="1">IF(ISNUMBER(MATCH(DATEVALUE($A347),'recurring1_based on steps'!B$1:B$400,0)),B$2,)</f>
        <v>4000</v>
      </c>
      <c r="C347" s="140">
        <f ca="1">IF(ISNUMBER(MATCH(DATEVALUE($A347),'recurring1_based on steps'!C$1:C$400,0)),C$2,)</f>
        <v>200</v>
      </c>
      <c r="D347" s="140">
        <f ca="1">IF(ISNUMBER(MATCH(DATEVALUE($A347),'recurring1_based on steps'!D$1:D$400,0)),D$2,)</f>
        <v>2</v>
      </c>
      <c r="E347" s="140">
        <f ca="1">IF(ISNUMBER(MATCH(DATEVALUE($A347),'recurring1_based on steps'!E$1:E$400,0)),E$2,)</f>
        <v>40</v>
      </c>
      <c r="F347" s="140">
        <f ca="1">IF(ISNUMBER(MATCH(DATEVALUE($A347),'recurring1_based on steps'!F$1:F$400,0)),F$2,)</f>
        <v>50</v>
      </c>
      <c r="G347" s="140">
        <f ca="1">IF(ISNUMBER(MATCH(DATEVALUE($A347),'recurring1_based on steps'!G$1:G$400,0)),G$2,)</f>
        <v>4</v>
      </c>
      <c r="H347" s="140">
        <f ca="1">IF(ISNUMBER(MATCH(DATEVALUE($A347),'recurring1_based on steps'!H$1:H$400,0)),H$2,)</f>
        <v>0</v>
      </c>
      <c r="I347" s="140">
        <f ca="1">IF(ISNUMBER(MATCH(DATEVALUE($A347),'recurring1_based on steps'!I$1:I$400,0)),I$2,)</f>
        <v>0</v>
      </c>
      <c r="J347" s="140">
        <f ca="1">IF(ISNUMBER(MATCH(DATEVALUE($A347),'recurring1_based on steps'!J$1:J$400,0)),J$2,)</f>
        <v>0</v>
      </c>
      <c r="K347" s="140">
        <f ca="1">IF(ISNUMBER(MATCH(DATEVALUE($A347),'recurring1_based on steps'!K$1:K$400,0)),K$2,)</f>
        <v>0</v>
      </c>
      <c r="L347" s="140">
        <f ca="1">IF(ISNUMBER(MATCH(DATEVALUE($A347),'recurring1_based on steps'!L$1:L$400,0)),L$2,)</f>
        <v>0</v>
      </c>
      <c r="M347" s="140">
        <f ca="1">IF(ISNUMBER(MATCH(DATEVALUE($A347),'recurring1_based on steps'!M$1:M$400,0)),M$2,)</f>
        <v>0</v>
      </c>
      <c r="N347" s="140">
        <f ca="1">IF(ISNUMBER(MATCH(DATEVALUE($A347),'recurring1_based on steps'!N$1:N$400,0)),N$2,)</f>
        <v>0</v>
      </c>
      <c r="O347" s="140">
        <f ca="1">IF(ISNUMBER(MATCH(DATEVALUE($A347),'recurring1_based on steps'!O$1:O$400,0)),O$2,)</f>
        <v>0</v>
      </c>
      <c r="P347" s="140">
        <f ca="1">IF(ISNUMBER(MATCH(DATEVALUE($A347),'recurring1_based on steps'!P$1:P$400,0)),P$2,)</f>
        <v>0</v>
      </c>
      <c r="Q347" s="140">
        <f ca="1">IF(ISNUMBER(MATCH(DATEVALUE($A347),'recurring1_based on steps'!Q$1:Q$400,0)),Q$2,)</f>
        <v>0</v>
      </c>
      <c r="R347" s="140">
        <f ca="1">IF(ISNUMBER(MATCH(DATEVALUE($A347),'recurring1_based on steps'!R$1:R$400,0)),R$2,)</f>
        <v>0</v>
      </c>
      <c r="S347" s="140">
        <f ca="1">IF(ISNUMBER(MATCH(DATEVALUE($A347),'recurring1_based on steps'!S$1:S$400,0)),S$2,)</f>
        <v>0</v>
      </c>
      <c r="T347" s="140">
        <f ca="1">IF(ISNUMBER(MATCH(DATEVALUE($A347),'recurring1_based on steps'!T$1:T$400,0)),T$2,)</f>
        <v>0</v>
      </c>
      <c r="U347" s="140">
        <f ca="1">IF(ISNUMBER(MATCH(DATEVALUE($A347),'recurring1_based on steps'!U$1:U$400,0)),U$2,)</f>
        <v>0</v>
      </c>
      <c r="V347" s="140">
        <f ca="1">IF(ISNUMBER(MATCH(DATEVALUE($A347),'recurring1_based on steps'!V$1:V$400,0)),V$2,)</f>
        <v>0</v>
      </c>
      <c r="W347" s="140">
        <f ca="1">IF(ISNUMBER(MATCH(DATEVALUE($A347),'recurring1_based on steps'!W$1:W$400,0)),W$2,)</f>
        <v>0</v>
      </c>
      <c r="X347" s="140">
        <f ca="1">IF(ISNUMBER(MATCH(DATEVALUE($A347),'recurring1_based on steps'!X$1:X$400,0)),X$2,)</f>
        <v>50</v>
      </c>
      <c r="Y347" s="140">
        <f ca="1">IF(ISNUMBER(MATCH(DATEVALUE($A347),'recurring1_based on steps'!Y$1:Y$400,0)),Y$2,)</f>
        <v>50</v>
      </c>
      <c r="Z347" s="140">
        <f ca="1">IF(ISNUMBER(MATCH(DATEVALUE($A347),'recurring1_based on steps'!Z$1:Z$400,0)),Z$2,)</f>
        <v>0</v>
      </c>
      <c r="AA347" s="140">
        <f ca="1">IF(ISNUMBER(MATCH(DATEVALUE($A347),'recurring1_based on steps'!AA$1:AA$400,0)),AA$2,)</f>
        <v>0</v>
      </c>
      <c r="AB347" s="140">
        <f ca="1">IF(ISNUMBER(MATCH(DATEVALUE($A347),'recurring1_based on steps'!AB$1:AB$400,0)),AB$2,)</f>
        <v>5.5401662049861494E-2</v>
      </c>
      <c r="AC347" s="140">
        <f ca="1">IF(ISNUMBER(MATCH(DATEVALUE($A347),'recurring1_based on steps'!AC$1:AC$400,0)),AC$2,)</f>
        <v>0</v>
      </c>
      <c r="AD347" s="140">
        <f ca="1">IF(ISNUMBER(MATCH(DATEVALUE($A347),'recurring1_based on steps'!AD$1:AD$400,0)),AD$2,)</f>
        <v>0</v>
      </c>
      <c r="AE347" s="140">
        <f ca="1">IF(ISNUMBER(MATCH(DATEVALUE($A347),'recurring1_based on steps'!AE$1:AE$400,0)),AE$2,)</f>
        <v>0</v>
      </c>
      <c r="AF347" s="140">
        <f ca="1">IF(ISNUMBER(MATCH(DATEVALUE($A347),'recurring1_based on steps'!AF$1:AF$400,0)),AF$2,)</f>
        <v>0</v>
      </c>
      <c r="AG347" s="140">
        <f ca="1">IF(ISNUMBER(MATCH(DATEVALUE($A347),'recurring1_based on steps'!AG$1:AG$400,0)),AG$2,)</f>
        <v>0</v>
      </c>
      <c r="AH347" s="140">
        <f ca="1">IF(ISNUMBER(MATCH(DATEVALUE($A347),'recurring1_based on steps'!AH$1:AH$400,0)),AH$2,)</f>
        <v>0</v>
      </c>
      <c r="AI347" s="140">
        <f ca="1">IF(ISNUMBER(MATCH(DATEVALUE($A347),'recurring1_based on steps'!AI$1:AI$400,0)),AI$2,)</f>
        <v>0</v>
      </c>
      <c r="AJ347" s="140">
        <f ca="1">IF(ISNUMBER(MATCH(DATEVALUE($A347),'recurring1_based on steps'!AJ$1:AJ$400,0)),AJ$2,)</f>
        <v>0</v>
      </c>
      <c r="AK347" s="140">
        <f ca="1">IF(ISNUMBER(MATCH(DATEVALUE($A347),'recurring1_based on steps'!AK$1:AK$400,0)),AK$2,)</f>
        <v>0</v>
      </c>
      <c r="AL347" s="140">
        <f ca="1">IF(ISNUMBER(MATCH(DATEVALUE($A347),'recurring1_based on steps'!AL$1:AL$400,0)),AL$2,)</f>
        <v>0</v>
      </c>
      <c r="AM347" s="140">
        <f ca="1">IF(ISNUMBER(MATCH(DATEVALUE($A347),'recurring1_based on steps'!AM$1:AM$400,0)),AM$2,)</f>
        <v>0</v>
      </c>
      <c r="AN347" s="140">
        <f ca="1">IF(ISNUMBER(MATCH(DATEVALUE($A347),'recurring1_based on steps'!AN$1:AN$400,0)),AN$2,)</f>
        <v>0</v>
      </c>
      <c r="AO347" s="140">
        <f ca="1">IF(ISNUMBER(MATCH(DATEVALUE($A347),'recurring1_based on steps'!AO$1:AO$400,0)),AO$2,)</f>
        <v>0</v>
      </c>
      <c r="AP347" s="140">
        <f ca="1">IF(ISNUMBER(MATCH(DATEVALUE($A347),'recurring1_based on steps'!AP$1:AP$400,0)),AP$2,)</f>
        <v>0</v>
      </c>
      <c r="AQ347" s="140">
        <f ca="1">IF(ISNUMBER(MATCH(DATEVALUE($A347),'recurring1_based on steps'!AQ$1:AQ$400,0)),AQ$2,)</f>
        <v>0</v>
      </c>
      <c r="AR347" s="140">
        <f ca="1">IF(ISNUMBER(MATCH(DATEVALUE($A347),'recurring1_based on steps'!AR$1:AR$400,0)),AR$2,)</f>
        <v>0</v>
      </c>
      <c r="AS347" s="140">
        <f ca="1">IF(ISNUMBER(MATCH(DATEVALUE($A347),'recurring1_based on steps'!AS$1:AS$400,0)),AS$2,)</f>
        <v>0</v>
      </c>
      <c r="AT347" s="140">
        <f ca="1">IF(ISNUMBER(MATCH(DATEVALUE($A347),'recurring1_based on steps'!AT$1:AT$400,0)),AT$2,)</f>
        <v>0</v>
      </c>
      <c r="AU347" s="140">
        <f ca="1">IF(ISNUMBER(MATCH(DATEVALUE($A347),'recurring1_based on steps'!AU$1:AU$400,0)),AU$2,)</f>
        <v>0</v>
      </c>
      <c r="AV347" s="140">
        <f ca="1">IF(ISNUMBER(MATCH(DATEVALUE($A347),'recurring1_based on steps'!AV$1:AV$400,0)),AV$2,)</f>
        <v>0</v>
      </c>
      <c r="AW347" s="140">
        <f ca="1">IF(ISNUMBER(MATCH(DATEVALUE($A347),'recurring1_based on steps'!AW$1:AW$400,0)),AW$2,)</f>
        <v>0</v>
      </c>
      <c r="AX347" s="140">
        <f ca="1">IF(ISNUMBER(MATCH(DATEVALUE($A347),'recurring1_based on steps'!AX$1:AX$400,0)),AX$2,)</f>
        <v>0</v>
      </c>
      <c r="AY347" s="140">
        <f ca="1">IF(ISNUMBER(MATCH(DATEVALUE($A347),'recurring1_based on steps'!AY$1:AY$400,0)),AY$2,)</f>
        <v>0</v>
      </c>
    </row>
    <row r="348" spans="1:51" x14ac:dyDescent="0.2">
      <c r="A348" s="29" t="str">
        <f t="shared" ca="1" si="5"/>
        <v>2026-03-07</v>
      </c>
      <c r="B348" s="140">
        <f ca="1">IF(ISNUMBER(MATCH(DATEVALUE($A348),'recurring1_based on steps'!B$1:B$400,0)),B$2,)</f>
        <v>0</v>
      </c>
      <c r="C348" s="140">
        <f ca="1">IF(ISNUMBER(MATCH(DATEVALUE($A348),'recurring1_based on steps'!C$1:C$400,0)),C$2,)</f>
        <v>0</v>
      </c>
      <c r="D348" s="140">
        <f ca="1">IF(ISNUMBER(MATCH(DATEVALUE($A348),'recurring1_based on steps'!D$1:D$400,0)),D$2,)</f>
        <v>0</v>
      </c>
      <c r="E348" s="140">
        <f ca="1">IF(ISNUMBER(MATCH(DATEVALUE($A348),'recurring1_based on steps'!E$1:E$400,0)),E$2,)</f>
        <v>0</v>
      </c>
      <c r="F348" s="140">
        <f ca="1">IF(ISNUMBER(MATCH(DATEVALUE($A348),'recurring1_based on steps'!F$1:F$400,0)),F$2,)</f>
        <v>0</v>
      </c>
      <c r="G348" s="140">
        <f ca="1">IF(ISNUMBER(MATCH(DATEVALUE($A348),'recurring1_based on steps'!G$1:G$400,0)),G$2,)</f>
        <v>0</v>
      </c>
      <c r="H348" s="140">
        <f ca="1">IF(ISNUMBER(MATCH(DATEVALUE($A348),'recurring1_based on steps'!H$1:H$400,0)),H$2,)</f>
        <v>0</v>
      </c>
      <c r="I348" s="140">
        <f ca="1">IF(ISNUMBER(MATCH(DATEVALUE($A348),'recurring1_based on steps'!I$1:I$400,0)),I$2,)</f>
        <v>0</v>
      </c>
      <c r="J348" s="140">
        <f ca="1">IF(ISNUMBER(MATCH(DATEVALUE($A348),'recurring1_based on steps'!J$1:J$400,0)),J$2,)</f>
        <v>0</v>
      </c>
      <c r="K348" s="140">
        <f ca="1">IF(ISNUMBER(MATCH(DATEVALUE($A348),'recurring1_based on steps'!K$1:K$400,0)),K$2,)</f>
        <v>0</v>
      </c>
      <c r="L348" s="140">
        <f ca="1">IF(ISNUMBER(MATCH(DATEVALUE($A348),'recurring1_based on steps'!L$1:L$400,0)),L$2,)</f>
        <v>0</v>
      </c>
      <c r="M348" s="140">
        <f ca="1">IF(ISNUMBER(MATCH(DATEVALUE($A348),'recurring1_based on steps'!M$1:M$400,0)),M$2,)</f>
        <v>0</v>
      </c>
      <c r="N348" s="140">
        <f ca="1">IF(ISNUMBER(MATCH(DATEVALUE($A348),'recurring1_based on steps'!N$1:N$400,0)),N$2,)</f>
        <v>0</v>
      </c>
      <c r="O348" s="140">
        <f ca="1">IF(ISNUMBER(MATCH(DATEVALUE($A348),'recurring1_based on steps'!O$1:O$400,0)),O$2,)</f>
        <v>0</v>
      </c>
      <c r="P348" s="140">
        <f ca="1">IF(ISNUMBER(MATCH(DATEVALUE($A348),'recurring1_based on steps'!P$1:P$400,0)),P$2,)</f>
        <v>0</v>
      </c>
      <c r="Q348" s="140">
        <f ca="1">IF(ISNUMBER(MATCH(DATEVALUE($A348),'recurring1_based on steps'!Q$1:Q$400,0)),Q$2,)</f>
        <v>100</v>
      </c>
      <c r="R348" s="140">
        <f ca="1">IF(ISNUMBER(MATCH(DATEVALUE($A348),'recurring1_based on steps'!R$1:R$400,0)),R$2,)</f>
        <v>100</v>
      </c>
      <c r="S348" s="140">
        <f ca="1">IF(ISNUMBER(MATCH(DATEVALUE($A348),'recurring1_based on steps'!S$1:S$400,0)),S$2,)</f>
        <v>0</v>
      </c>
      <c r="T348" s="140">
        <f ca="1">IF(ISNUMBER(MATCH(DATEVALUE($A348),'recurring1_based on steps'!T$1:T$400,0)),T$2,)</f>
        <v>0</v>
      </c>
      <c r="U348" s="140">
        <f ca="1">IF(ISNUMBER(MATCH(DATEVALUE($A348),'recurring1_based on steps'!U$1:U$400,0)),U$2,)</f>
        <v>0</v>
      </c>
      <c r="V348" s="140">
        <f ca="1">IF(ISNUMBER(MATCH(DATEVALUE($A348),'recurring1_based on steps'!V$1:V$400,0)),V$2,)</f>
        <v>0</v>
      </c>
      <c r="W348" s="140">
        <f ca="1">IF(ISNUMBER(MATCH(DATEVALUE($A348),'recurring1_based on steps'!W$1:W$400,0)),W$2,)</f>
        <v>0</v>
      </c>
      <c r="X348" s="140">
        <f ca="1">IF(ISNUMBER(MATCH(DATEVALUE($A348),'recurring1_based on steps'!X$1:X$400,0)),X$2,)</f>
        <v>0</v>
      </c>
      <c r="Y348" s="140">
        <f ca="1">IF(ISNUMBER(MATCH(DATEVALUE($A348),'recurring1_based on steps'!Y$1:Y$400,0)),Y$2,)</f>
        <v>0</v>
      </c>
      <c r="Z348" s="140">
        <f ca="1">IF(ISNUMBER(MATCH(DATEVALUE($A348),'recurring1_based on steps'!Z$1:Z$400,0)),Z$2,)</f>
        <v>0</v>
      </c>
      <c r="AA348" s="140">
        <f ca="1">IF(ISNUMBER(MATCH(DATEVALUE($A348),'recurring1_based on steps'!AA$1:AA$400,0)),AA$2,)</f>
        <v>0</v>
      </c>
      <c r="AB348" s="140">
        <f ca="1">IF(ISNUMBER(MATCH(DATEVALUE($A348),'recurring1_based on steps'!AB$1:AB$400,0)),AB$2,)</f>
        <v>5.5401662049861494E-2</v>
      </c>
      <c r="AC348" s="140">
        <f ca="1">IF(ISNUMBER(MATCH(DATEVALUE($A348),'recurring1_based on steps'!AC$1:AC$400,0)),AC$2,)</f>
        <v>0</v>
      </c>
      <c r="AD348" s="140">
        <f ca="1">IF(ISNUMBER(MATCH(DATEVALUE($A348),'recurring1_based on steps'!AD$1:AD$400,0)),AD$2,)</f>
        <v>0</v>
      </c>
      <c r="AE348" s="140">
        <f ca="1">IF(ISNUMBER(MATCH(DATEVALUE($A348),'recurring1_based on steps'!AE$1:AE$400,0)),AE$2,)</f>
        <v>0</v>
      </c>
      <c r="AF348" s="140">
        <f ca="1">IF(ISNUMBER(MATCH(DATEVALUE($A348),'recurring1_based on steps'!AF$1:AF$400,0)),AF$2,)</f>
        <v>0</v>
      </c>
      <c r="AG348" s="140">
        <f ca="1">IF(ISNUMBER(MATCH(DATEVALUE($A348),'recurring1_based on steps'!AG$1:AG$400,0)),AG$2,)</f>
        <v>0</v>
      </c>
      <c r="AH348" s="140">
        <f ca="1">IF(ISNUMBER(MATCH(DATEVALUE($A348),'recurring1_based on steps'!AH$1:AH$400,0)),AH$2,)</f>
        <v>0</v>
      </c>
      <c r="AI348" s="140">
        <f ca="1">IF(ISNUMBER(MATCH(DATEVALUE($A348),'recurring1_based on steps'!AI$1:AI$400,0)),AI$2,)</f>
        <v>0</v>
      </c>
      <c r="AJ348" s="140">
        <f ca="1">IF(ISNUMBER(MATCH(DATEVALUE($A348),'recurring1_based on steps'!AJ$1:AJ$400,0)),AJ$2,)</f>
        <v>0</v>
      </c>
      <c r="AK348" s="140">
        <f ca="1">IF(ISNUMBER(MATCH(DATEVALUE($A348),'recurring1_based on steps'!AK$1:AK$400,0)),AK$2,)</f>
        <v>0</v>
      </c>
      <c r="AL348" s="140">
        <f ca="1">IF(ISNUMBER(MATCH(DATEVALUE($A348),'recurring1_based on steps'!AL$1:AL$400,0)),AL$2,)</f>
        <v>0</v>
      </c>
      <c r="AM348" s="140">
        <f ca="1">IF(ISNUMBER(MATCH(DATEVALUE($A348),'recurring1_based on steps'!AM$1:AM$400,0)),AM$2,)</f>
        <v>0</v>
      </c>
      <c r="AN348" s="140">
        <f ca="1">IF(ISNUMBER(MATCH(DATEVALUE($A348),'recurring1_based on steps'!AN$1:AN$400,0)),AN$2,)</f>
        <v>0</v>
      </c>
      <c r="AO348" s="140">
        <f ca="1">IF(ISNUMBER(MATCH(DATEVALUE($A348),'recurring1_based on steps'!AO$1:AO$400,0)),AO$2,)</f>
        <v>0</v>
      </c>
      <c r="AP348" s="140">
        <f ca="1">IF(ISNUMBER(MATCH(DATEVALUE($A348),'recurring1_based on steps'!AP$1:AP$400,0)),AP$2,)</f>
        <v>0</v>
      </c>
      <c r="AQ348" s="140">
        <f ca="1">IF(ISNUMBER(MATCH(DATEVALUE($A348),'recurring1_based on steps'!AQ$1:AQ$400,0)),AQ$2,)</f>
        <v>0</v>
      </c>
      <c r="AR348" s="140">
        <f ca="1">IF(ISNUMBER(MATCH(DATEVALUE($A348),'recurring1_based on steps'!AR$1:AR$400,0)),AR$2,)</f>
        <v>0</v>
      </c>
      <c r="AS348" s="140">
        <f ca="1">IF(ISNUMBER(MATCH(DATEVALUE($A348),'recurring1_based on steps'!AS$1:AS$400,0)),AS$2,)</f>
        <v>0</v>
      </c>
      <c r="AT348" s="140">
        <f ca="1">IF(ISNUMBER(MATCH(DATEVALUE($A348),'recurring1_based on steps'!AT$1:AT$400,0)),AT$2,)</f>
        <v>0</v>
      </c>
      <c r="AU348" s="140">
        <f ca="1">IF(ISNUMBER(MATCH(DATEVALUE($A348),'recurring1_based on steps'!AU$1:AU$400,0)),AU$2,)</f>
        <v>0</v>
      </c>
      <c r="AV348" s="140">
        <f ca="1">IF(ISNUMBER(MATCH(DATEVALUE($A348),'recurring1_based on steps'!AV$1:AV$400,0)),AV$2,)</f>
        <v>0</v>
      </c>
      <c r="AW348" s="140">
        <f ca="1">IF(ISNUMBER(MATCH(DATEVALUE($A348),'recurring1_based on steps'!AW$1:AW$400,0)),AW$2,)</f>
        <v>0</v>
      </c>
      <c r="AX348" s="140">
        <f ca="1">IF(ISNUMBER(MATCH(DATEVALUE($A348),'recurring1_based on steps'!AX$1:AX$400,0)),AX$2,)</f>
        <v>0</v>
      </c>
      <c r="AY348" s="140">
        <f ca="1">IF(ISNUMBER(MATCH(DATEVALUE($A348),'recurring1_based on steps'!AY$1:AY$400,0)),AY$2,)</f>
        <v>0</v>
      </c>
    </row>
    <row r="349" spans="1:51" x14ac:dyDescent="0.2">
      <c r="A349" s="29" t="str">
        <f t="shared" ca="1" si="5"/>
        <v>2026-03-08</v>
      </c>
      <c r="B349" s="140">
        <f ca="1">IF(ISNUMBER(MATCH(DATEVALUE($A349),'recurring1_based on steps'!B$1:B$400,0)),B$2,)</f>
        <v>0</v>
      </c>
      <c r="C349" s="140">
        <f ca="1">IF(ISNUMBER(MATCH(DATEVALUE($A349),'recurring1_based on steps'!C$1:C$400,0)),C$2,)</f>
        <v>0</v>
      </c>
      <c r="D349" s="140">
        <f ca="1">IF(ISNUMBER(MATCH(DATEVALUE($A349),'recurring1_based on steps'!D$1:D$400,0)),D$2,)</f>
        <v>0</v>
      </c>
      <c r="E349" s="140">
        <f ca="1">IF(ISNUMBER(MATCH(DATEVALUE($A349),'recurring1_based on steps'!E$1:E$400,0)),E$2,)</f>
        <v>0</v>
      </c>
      <c r="F349" s="140">
        <f ca="1">IF(ISNUMBER(MATCH(DATEVALUE($A349),'recurring1_based on steps'!F$1:F$400,0)),F$2,)</f>
        <v>0</v>
      </c>
      <c r="G349" s="140">
        <f ca="1">IF(ISNUMBER(MATCH(DATEVALUE($A349),'recurring1_based on steps'!G$1:G$400,0)),G$2,)</f>
        <v>0</v>
      </c>
      <c r="H349" s="140">
        <f ca="1">IF(ISNUMBER(MATCH(DATEVALUE($A349),'recurring1_based on steps'!H$1:H$400,0)),H$2,)</f>
        <v>0</v>
      </c>
      <c r="I349" s="140">
        <f ca="1">IF(ISNUMBER(MATCH(DATEVALUE($A349),'recurring1_based on steps'!I$1:I$400,0)),I$2,)</f>
        <v>0</v>
      </c>
      <c r="J349" s="140">
        <f ca="1">IF(ISNUMBER(MATCH(DATEVALUE($A349),'recurring1_based on steps'!J$1:J$400,0)),J$2,)</f>
        <v>0</v>
      </c>
      <c r="K349" s="140">
        <f ca="1">IF(ISNUMBER(MATCH(DATEVALUE($A349),'recurring1_based on steps'!K$1:K$400,0)),K$2,)</f>
        <v>50</v>
      </c>
      <c r="L349" s="140">
        <f ca="1">IF(ISNUMBER(MATCH(DATEVALUE($A349),'recurring1_based on steps'!L$1:L$400,0)),L$2,)</f>
        <v>0</v>
      </c>
      <c r="M349" s="140">
        <f ca="1">IF(ISNUMBER(MATCH(DATEVALUE($A349),'recurring1_based on steps'!M$1:M$400,0)),M$2,)</f>
        <v>0</v>
      </c>
      <c r="N349" s="140">
        <f ca="1">IF(ISNUMBER(MATCH(DATEVALUE($A349),'recurring1_based on steps'!N$1:N$400,0)),N$2,)</f>
        <v>0</v>
      </c>
      <c r="O349" s="140">
        <f ca="1">IF(ISNUMBER(MATCH(DATEVALUE($A349),'recurring1_based on steps'!O$1:O$400,0)),O$2,)</f>
        <v>0</v>
      </c>
      <c r="P349" s="140">
        <f ca="1">IF(ISNUMBER(MATCH(DATEVALUE($A349),'recurring1_based on steps'!P$1:P$400,0)),P$2,)</f>
        <v>0</v>
      </c>
      <c r="Q349" s="140">
        <f ca="1">IF(ISNUMBER(MATCH(DATEVALUE($A349),'recurring1_based on steps'!Q$1:Q$400,0)),Q$2,)</f>
        <v>0</v>
      </c>
      <c r="R349" s="140">
        <f ca="1">IF(ISNUMBER(MATCH(DATEVALUE($A349),'recurring1_based on steps'!R$1:R$400,0)),R$2,)</f>
        <v>0</v>
      </c>
      <c r="S349" s="140">
        <f ca="1">IF(ISNUMBER(MATCH(DATEVALUE($A349),'recurring1_based on steps'!S$1:S$400,0)),S$2,)</f>
        <v>100</v>
      </c>
      <c r="T349" s="140">
        <f ca="1">IF(ISNUMBER(MATCH(DATEVALUE($A349),'recurring1_based on steps'!T$1:T$400,0)),T$2,)</f>
        <v>0</v>
      </c>
      <c r="U349" s="140">
        <f ca="1">IF(ISNUMBER(MATCH(DATEVALUE($A349),'recurring1_based on steps'!U$1:U$400,0)),U$2,)</f>
        <v>0</v>
      </c>
      <c r="V349" s="140">
        <f ca="1">IF(ISNUMBER(MATCH(DATEVALUE($A349),'recurring1_based on steps'!V$1:V$400,0)),V$2,)</f>
        <v>0</v>
      </c>
      <c r="W349" s="140">
        <f ca="1">IF(ISNUMBER(MATCH(DATEVALUE($A349),'recurring1_based on steps'!W$1:W$400,0)),W$2,)</f>
        <v>0</v>
      </c>
      <c r="X349" s="140">
        <f ca="1">IF(ISNUMBER(MATCH(DATEVALUE($A349),'recurring1_based on steps'!X$1:X$400,0)),X$2,)</f>
        <v>0</v>
      </c>
      <c r="Y349" s="140">
        <f ca="1">IF(ISNUMBER(MATCH(DATEVALUE($A349),'recurring1_based on steps'!Y$1:Y$400,0)),Y$2,)</f>
        <v>0</v>
      </c>
      <c r="Z349" s="140">
        <f ca="1">IF(ISNUMBER(MATCH(DATEVALUE($A349),'recurring1_based on steps'!Z$1:Z$400,0)),Z$2,)</f>
        <v>0</v>
      </c>
      <c r="AA349" s="140">
        <f ca="1">IF(ISNUMBER(MATCH(DATEVALUE($A349),'recurring1_based on steps'!AA$1:AA$400,0)),AA$2,)</f>
        <v>0</v>
      </c>
      <c r="AB349" s="140">
        <f ca="1">IF(ISNUMBER(MATCH(DATEVALUE($A349),'recurring1_based on steps'!AB$1:AB$400,0)),AB$2,)</f>
        <v>5.5401662049861494E-2</v>
      </c>
      <c r="AC349" s="140">
        <f ca="1">IF(ISNUMBER(MATCH(DATEVALUE($A349),'recurring1_based on steps'!AC$1:AC$400,0)),AC$2,)</f>
        <v>0</v>
      </c>
      <c r="AD349" s="140">
        <f ca="1">IF(ISNUMBER(MATCH(DATEVALUE($A349),'recurring1_based on steps'!AD$1:AD$400,0)),AD$2,)</f>
        <v>0</v>
      </c>
      <c r="AE349" s="140">
        <f ca="1">IF(ISNUMBER(MATCH(DATEVALUE($A349),'recurring1_based on steps'!AE$1:AE$400,0)),AE$2,)</f>
        <v>0</v>
      </c>
      <c r="AF349" s="140">
        <f ca="1">IF(ISNUMBER(MATCH(DATEVALUE($A349),'recurring1_based on steps'!AF$1:AF$400,0)),AF$2,)</f>
        <v>0</v>
      </c>
      <c r="AG349" s="140">
        <f ca="1">IF(ISNUMBER(MATCH(DATEVALUE($A349),'recurring1_based on steps'!AG$1:AG$400,0)),AG$2,)</f>
        <v>0</v>
      </c>
      <c r="AH349" s="140">
        <f ca="1">IF(ISNUMBER(MATCH(DATEVALUE($A349),'recurring1_based on steps'!AH$1:AH$400,0)),AH$2,)</f>
        <v>0</v>
      </c>
      <c r="AI349" s="140">
        <f ca="1">IF(ISNUMBER(MATCH(DATEVALUE($A349),'recurring1_based on steps'!AI$1:AI$400,0)),AI$2,)</f>
        <v>0</v>
      </c>
      <c r="AJ349" s="140">
        <f ca="1">IF(ISNUMBER(MATCH(DATEVALUE($A349),'recurring1_based on steps'!AJ$1:AJ$400,0)),AJ$2,)</f>
        <v>0</v>
      </c>
      <c r="AK349" s="140">
        <f ca="1">IF(ISNUMBER(MATCH(DATEVALUE($A349),'recurring1_based on steps'!AK$1:AK$400,0)),AK$2,)</f>
        <v>0</v>
      </c>
      <c r="AL349" s="140">
        <f ca="1">IF(ISNUMBER(MATCH(DATEVALUE($A349),'recurring1_based on steps'!AL$1:AL$400,0)),AL$2,)</f>
        <v>0</v>
      </c>
      <c r="AM349" s="140">
        <f ca="1">IF(ISNUMBER(MATCH(DATEVALUE($A349),'recurring1_based on steps'!AM$1:AM$400,0)),AM$2,)</f>
        <v>0</v>
      </c>
      <c r="AN349" s="140">
        <f ca="1">IF(ISNUMBER(MATCH(DATEVALUE($A349),'recurring1_based on steps'!AN$1:AN$400,0)),AN$2,)</f>
        <v>0</v>
      </c>
      <c r="AO349" s="140">
        <f ca="1">IF(ISNUMBER(MATCH(DATEVALUE($A349),'recurring1_based on steps'!AO$1:AO$400,0)),AO$2,)</f>
        <v>0</v>
      </c>
      <c r="AP349" s="140">
        <f ca="1">IF(ISNUMBER(MATCH(DATEVALUE($A349),'recurring1_based on steps'!AP$1:AP$400,0)),AP$2,)</f>
        <v>0</v>
      </c>
      <c r="AQ349" s="140">
        <f ca="1">IF(ISNUMBER(MATCH(DATEVALUE($A349),'recurring1_based on steps'!AQ$1:AQ$400,0)),AQ$2,)</f>
        <v>0</v>
      </c>
      <c r="AR349" s="140">
        <f ca="1">IF(ISNUMBER(MATCH(DATEVALUE($A349),'recurring1_based on steps'!AR$1:AR$400,0)),AR$2,)</f>
        <v>0</v>
      </c>
      <c r="AS349" s="140">
        <f ca="1">IF(ISNUMBER(MATCH(DATEVALUE($A349),'recurring1_based on steps'!AS$1:AS$400,0)),AS$2,)</f>
        <v>0</v>
      </c>
      <c r="AT349" s="140">
        <f ca="1">IF(ISNUMBER(MATCH(DATEVALUE($A349),'recurring1_based on steps'!AT$1:AT$400,0)),AT$2,)</f>
        <v>0</v>
      </c>
      <c r="AU349" s="140">
        <f ca="1">IF(ISNUMBER(MATCH(DATEVALUE($A349),'recurring1_based on steps'!AU$1:AU$400,0)),AU$2,)</f>
        <v>0</v>
      </c>
      <c r="AV349" s="140">
        <f ca="1">IF(ISNUMBER(MATCH(DATEVALUE($A349),'recurring1_based on steps'!AV$1:AV$400,0)),AV$2,)</f>
        <v>0</v>
      </c>
      <c r="AW349" s="140">
        <f ca="1">IF(ISNUMBER(MATCH(DATEVALUE($A349),'recurring1_based on steps'!AW$1:AW$400,0)),AW$2,)</f>
        <v>0</v>
      </c>
      <c r="AX349" s="140">
        <f ca="1">IF(ISNUMBER(MATCH(DATEVALUE($A349),'recurring1_based on steps'!AX$1:AX$400,0)),AX$2,)</f>
        <v>0</v>
      </c>
      <c r="AY349" s="140">
        <f ca="1">IF(ISNUMBER(MATCH(DATEVALUE($A349),'recurring1_based on steps'!AY$1:AY$400,0)),AY$2,)</f>
        <v>0</v>
      </c>
    </row>
    <row r="350" spans="1:51" x14ac:dyDescent="0.2">
      <c r="A350" s="29" t="str">
        <f t="shared" ca="1" si="5"/>
        <v>2026-03-09</v>
      </c>
      <c r="B350" s="140">
        <f ca="1">IF(ISNUMBER(MATCH(DATEVALUE($A350),'recurring1_based on steps'!B$1:B$400,0)),B$2,)</f>
        <v>0</v>
      </c>
      <c r="C350" s="140">
        <f ca="1">IF(ISNUMBER(MATCH(DATEVALUE($A350),'recurring1_based on steps'!C$1:C$400,0)),C$2,)</f>
        <v>0</v>
      </c>
      <c r="D350" s="140">
        <f ca="1">IF(ISNUMBER(MATCH(DATEVALUE($A350),'recurring1_based on steps'!D$1:D$400,0)),D$2,)</f>
        <v>0</v>
      </c>
      <c r="E350" s="140">
        <f ca="1">IF(ISNUMBER(MATCH(DATEVALUE($A350),'recurring1_based on steps'!E$1:E$400,0)),E$2,)</f>
        <v>0</v>
      </c>
      <c r="F350" s="140">
        <f ca="1">IF(ISNUMBER(MATCH(DATEVALUE($A350),'recurring1_based on steps'!F$1:F$400,0)),F$2,)</f>
        <v>0</v>
      </c>
      <c r="G350" s="140">
        <f ca="1">IF(ISNUMBER(MATCH(DATEVALUE($A350),'recurring1_based on steps'!G$1:G$400,0)),G$2,)</f>
        <v>0</v>
      </c>
      <c r="H350" s="140">
        <f ca="1">IF(ISNUMBER(MATCH(DATEVALUE($A350),'recurring1_based on steps'!H$1:H$400,0)),H$2,)</f>
        <v>0</v>
      </c>
      <c r="I350" s="140">
        <f ca="1">IF(ISNUMBER(MATCH(DATEVALUE($A350),'recurring1_based on steps'!I$1:I$400,0)),I$2,)</f>
        <v>0</v>
      </c>
      <c r="J350" s="140">
        <f ca="1">IF(ISNUMBER(MATCH(DATEVALUE($A350),'recurring1_based on steps'!J$1:J$400,0)),J$2,)</f>
        <v>0</v>
      </c>
      <c r="K350" s="140">
        <f ca="1">IF(ISNUMBER(MATCH(DATEVALUE($A350),'recurring1_based on steps'!K$1:K$400,0)),K$2,)</f>
        <v>0</v>
      </c>
      <c r="L350" s="140">
        <f ca="1">IF(ISNUMBER(MATCH(DATEVALUE($A350),'recurring1_based on steps'!L$1:L$400,0)),L$2,)</f>
        <v>0</v>
      </c>
      <c r="M350" s="140">
        <f ca="1">IF(ISNUMBER(MATCH(DATEVALUE($A350),'recurring1_based on steps'!M$1:M$400,0)),M$2,)</f>
        <v>0</v>
      </c>
      <c r="N350" s="140">
        <f ca="1">IF(ISNUMBER(MATCH(DATEVALUE($A350),'recurring1_based on steps'!N$1:N$400,0)),N$2,)</f>
        <v>0</v>
      </c>
      <c r="O350" s="140">
        <f ca="1">IF(ISNUMBER(MATCH(DATEVALUE($A350),'recurring1_based on steps'!O$1:O$400,0)),O$2,)</f>
        <v>0</v>
      </c>
      <c r="P350" s="140">
        <f ca="1">IF(ISNUMBER(MATCH(DATEVALUE($A350),'recurring1_based on steps'!P$1:P$400,0)),P$2,)</f>
        <v>0</v>
      </c>
      <c r="Q350" s="140">
        <f ca="1">IF(ISNUMBER(MATCH(DATEVALUE($A350),'recurring1_based on steps'!Q$1:Q$400,0)),Q$2,)</f>
        <v>0</v>
      </c>
      <c r="R350" s="140">
        <f ca="1">IF(ISNUMBER(MATCH(DATEVALUE($A350),'recurring1_based on steps'!R$1:R$400,0)),R$2,)</f>
        <v>0</v>
      </c>
      <c r="S350" s="140">
        <f ca="1">IF(ISNUMBER(MATCH(DATEVALUE($A350),'recurring1_based on steps'!S$1:S$400,0)),S$2,)</f>
        <v>0</v>
      </c>
      <c r="T350" s="140">
        <f ca="1">IF(ISNUMBER(MATCH(DATEVALUE($A350),'recurring1_based on steps'!T$1:T$400,0)),T$2,)</f>
        <v>50</v>
      </c>
      <c r="U350" s="140">
        <f ca="1">IF(ISNUMBER(MATCH(DATEVALUE($A350),'recurring1_based on steps'!U$1:U$400,0)),U$2,)</f>
        <v>0</v>
      </c>
      <c r="V350" s="140">
        <f ca="1">IF(ISNUMBER(MATCH(DATEVALUE($A350),'recurring1_based on steps'!V$1:V$400,0)),V$2,)</f>
        <v>0</v>
      </c>
      <c r="W350" s="140">
        <f ca="1">IF(ISNUMBER(MATCH(DATEVALUE($A350),'recurring1_based on steps'!W$1:W$400,0)),W$2,)</f>
        <v>0</v>
      </c>
      <c r="X350" s="140">
        <f ca="1">IF(ISNUMBER(MATCH(DATEVALUE($A350),'recurring1_based on steps'!X$1:X$400,0)),X$2,)</f>
        <v>0</v>
      </c>
      <c r="Y350" s="140">
        <f ca="1">IF(ISNUMBER(MATCH(DATEVALUE($A350),'recurring1_based on steps'!Y$1:Y$400,0)),Y$2,)</f>
        <v>0</v>
      </c>
      <c r="Z350" s="140">
        <f ca="1">IF(ISNUMBER(MATCH(DATEVALUE($A350),'recurring1_based on steps'!Z$1:Z$400,0)),Z$2,)</f>
        <v>0</v>
      </c>
      <c r="AA350" s="140">
        <f ca="1">IF(ISNUMBER(MATCH(DATEVALUE($A350),'recurring1_based on steps'!AA$1:AA$400,0)),AA$2,)</f>
        <v>0</v>
      </c>
      <c r="AB350" s="140">
        <f ca="1">IF(ISNUMBER(MATCH(DATEVALUE($A350),'recurring1_based on steps'!AB$1:AB$400,0)),AB$2,)</f>
        <v>5.5401662049861494E-2</v>
      </c>
      <c r="AC350" s="140">
        <f ca="1">IF(ISNUMBER(MATCH(DATEVALUE($A350),'recurring1_based on steps'!AC$1:AC$400,0)),AC$2,)</f>
        <v>0</v>
      </c>
      <c r="AD350" s="140">
        <f ca="1">IF(ISNUMBER(MATCH(DATEVALUE($A350),'recurring1_based on steps'!AD$1:AD$400,0)),AD$2,)</f>
        <v>0</v>
      </c>
      <c r="AE350" s="140">
        <f ca="1">IF(ISNUMBER(MATCH(DATEVALUE($A350),'recurring1_based on steps'!AE$1:AE$400,0)),AE$2,)</f>
        <v>0</v>
      </c>
      <c r="AF350" s="140">
        <f ca="1">IF(ISNUMBER(MATCH(DATEVALUE($A350),'recurring1_based on steps'!AF$1:AF$400,0)),AF$2,)</f>
        <v>0</v>
      </c>
      <c r="AG350" s="140">
        <f ca="1">IF(ISNUMBER(MATCH(DATEVALUE($A350),'recurring1_based on steps'!AG$1:AG$400,0)),AG$2,)</f>
        <v>0</v>
      </c>
      <c r="AH350" s="140">
        <f ca="1">IF(ISNUMBER(MATCH(DATEVALUE($A350),'recurring1_based on steps'!AH$1:AH$400,0)),AH$2,)</f>
        <v>0</v>
      </c>
      <c r="AI350" s="140">
        <f ca="1">IF(ISNUMBER(MATCH(DATEVALUE($A350),'recurring1_based on steps'!AI$1:AI$400,0)),AI$2,)</f>
        <v>0</v>
      </c>
      <c r="AJ350" s="140">
        <f ca="1">IF(ISNUMBER(MATCH(DATEVALUE($A350),'recurring1_based on steps'!AJ$1:AJ$400,0)),AJ$2,)</f>
        <v>0</v>
      </c>
      <c r="AK350" s="140">
        <f ca="1">IF(ISNUMBER(MATCH(DATEVALUE($A350),'recurring1_based on steps'!AK$1:AK$400,0)),AK$2,)</f>
        <v>0</v>
      </c>
      <c r="AL350" s="140">
        <f ca="1">IF(ISNUMBER(MATCH(DATEVALUE($A350),'recurring1_based on steps'!AL$1:AL$400,0)),AL$2,)</f>
        <v>0</v>
      </c>
      <c r="AM350" s="140">
        <f ca="1">IF(ISNUMBER(MATCH(DATEVALUE($A350),'recurring1_based on steps'!AM$1:AM$400,0)),AM$2,)</f>
        <v>0</v>
      </c>
      <c r="AN350" s="140">
        <f ca="1">IF(ISNUMBER(MATCH(DATEVALUE($A350),'recurring1_based on steps'!AN$1:AN$400,0)),AN$2,)</f>
        <v>0</v>
      </c>
      <c r="AO350" s="140">
        <f ca="1">IF(ISNUMBER(MATCH(DATEVALUE($A350),'recurring1_based on steps'!AO$1:AO$400,0)),AO$2,)</f>
        <v>0</v>
      </c>
      <c r="AP350" s="140">
        <f ca="1">IF(ISNUMBER(MATCH(DATEVALUE($A350),'recurring1_based on steps'!AP$1:AP$400,0)),AP$2,)</f>
        <v>0</v>
      </c>
      <c r="AQ350" s="140">
        <f ca="1">IF(ISNUMBER(MATCH(DATEVALUE($A350),'recurring1_based on steps'!AQ$1:AQ$400,0)),AQ$2,)</f>
        <v>0</v>
      </c>
      <c r="AR350" s="140">
        <f ca="1">IF(ISNUMBER(MATCH(DATEVALUE($A350),'recurring1_based on steps'!AR$1:AR$400,0)),AR$2,)</f>
        <v>0</v>
      </c>
      <c r="AS350" s="140">
        <f ca="1">IF(ISNUMBER(MATCH(DATEVALUE($A350),'recurring1_based on steps'!AS$1:AS$400,0)),AS$2,)</f>
        <v>0</v>
      </c>
      <c r="AT350" s="140">
        <f ca="1">IF(ISNUMBER(MATCH(DATEVALUE($A350),'recurring1_based on steps'!AT$1:AT$400,0)),AT$2,)</f>
        <v>0</v>
      </c>
      <c r="AU350" s="140">
        <f ca="1">IF(ISNUMBER(MATCH(DATEVALUE($A350),'recurring1_based on steps'!AU$1:AU$400,0)),AU$2,)</f>
        <v>0</v>
      </c>
      <c r="AV350" s="140">
        <f ca="1">IF(ISNUMBER(MATCH(DATEVALUE($A350),'recurring1_based on steps'!AV$1:AV$400,0)),AV$2,)</f>
        <v>0</v>
      </c>
      <c r="AW350" s="140">
        <f ca="1">IF(ISNUMBER(MATCH(DATEVALUE($A350),'recurring1_based on steps'!AW$1:AW$400,0)),AW$2,)</f>
        <v>0</v>
      </c>
      <c r="AX350" s="140">
        <f ca="1">IF(ISNUMBER(MATCH(DATEVALUE($A350),'recurring1_based on steps'!AX$1:AX$400,0)),AX$2,)</f>
        <v>0</v>
      </c>
      <c r="AY350" s="140">
        <f ca="1">IF(ISNUMBER(MATCH(DATEVALUE($A350),'recurring1_based on steps'!AY$1:AY$400,0)),AY$2,)</f>
        <v>0</v>
      </c>
    </row>
    <row r="351" spans="1:51" x14ac:dyDescent="0.2">
      <c r="A351" s="29" t="str">
        <f t="shared" ca="1" si="5"/>
        <v>2026-03-10</v>
      </c>
      <c r="B351" s="140">
        <f ca="1">IF(ISNUMBER(MATCH(DATEVALUE($A351),'recurring1_based on steps'!B$1:B$400,0)),B$2,)</f>
        <v>0</v>
      </c>
      <c r="C351" s="140">
        <f ca="1">IF(ISNUMBER(MATCH(DATEVALUE($A351),'recurring1_based on steps'!C$1:C$400,0)),C$2,)</f>
        <v>0</v>
      </c>
      <c r="D351" s="140">
        <f ca="1">IF(ISNUMBER(MATCH(DATEVALUE($A351),'recurring1_based on steps'!D$1:D$400,0)),D$2,)</f>
        <v>0</v>
      </c>
      <c r="E351" s="140">
        <f ca="1">IF(ISNUMBER(MATCH(DATEVALUE($A351),'recurring1_based on steps'!E$1:E$400,0)),E$2,)</f>
        <v>0</v>
      </c>
      <c r="F351" s="140">
        <f ca="1">IF(ISNUMBER(MATCH(DATEVALUE($A351),'recurring1_based on steps'!F$1:F$400,0)),F$2,)</f>
        <v>0</v>
      </c>
      <c r="G351" s="140">
        <f ca="1">IF(ISNUMBER(MATCH(DATEVALUE($A351),'recurring1_based on steps'!G$1:G$400,0)),G$2,)</f>
        <v>0</v>
      </c>
      <c r="H351" s="140">
        <f ca="1">IF(ISNUMBER(MATCH(DATEVALUE($A351),'recurring1_based on steps'!H$1:H$400,0)),H$2,)</f>
        <v>0</v>
      </c>
      <c r="I351" s="140">
        <f ca="1">IF(ISNUMBER(MATCH(DATEVALUE($A351),'recurring1_based on steps'!I$1:I$400,0)),I$2,)</f>
        <v>0</v>
      </c>
      <c r="J351" s="140">
        <f ca="1">IF(ISNUMBER(MATCH(DATEVALUE($A351),'recurring1_based on steps'!J$1:J$400,0)),J$2,)</f>
        <v>0</v>
      </c>
      <c r="K351" s="140">
        <f ca="1">IF(ISNUMBER(MATCH(DATEVALUE($A351),'recurring1_based on steps'!K$1:K$400,0)),K$2,)</f>
        <v>0</v>
      </c>
      <c r="L351" s="140">
        <f ca="1">IF(ISNUMBER(MATCH(DATEVALUE($A351),'recurring1_based on steps'!L$1:L$400,0)),L$2,)</f>
        <v>0</v>
      </c>
      <c r="M351" s="140">
        <f ca="1">IF(ISNUMBER(MATCH(DATEVALUE($A351),'recurring1_based on steps'!M$1:M$400,0)),M$2,)</f>
        <v>0</v>
      </c>
      <c r="N351" s="140">
        <f ca="1">IF(ISNUMBER(MATCH(DATEVALUE($A351),'recurring1_based on steps'!N$1:N$400,0)),N$2,)</f>
        <v>0</v>
      </c>
      <c r="O351" s="140">
        <f ca="1">IF(ISNUMBER(MATCH(DATEVALUE($A351),'recurring1_based on steps'!O$1:O$400,0)),O$2,)</f>
        <v>0</v>
      </c>
      <c r="P351" s="140">
        <f ca="1">IF(ISNUMBER(MATCH(DATEVALUE($A351),'recurring1_based on steps'!P$1:P$400,0)),P$2,)</f>
        <v>0</v>
      </c>
      <c r="Q351" s="140">
        <f ca="1">IF(ISNUMBER(MATCH(DATEVALUE($A351),'recurring1_based on steps'!Q$1:Q$400,0)),Q$2,)</f>
        <v>0</v>
      </c>
      <c r="R351" s="140">
        <f ca="1">IF(ISNUMBER(MATCH(DATEVALUE($A351),'recurring1_based on steps'!R$1:R$400,0)),R$2,)</f>
        <v>0</v>
      </c>
      <c r="S351" s="140">
        <f ca="1">IF(ISNUMBER(MATCH(DATEVALUE($A351),'recurring1_based on steps'!S$1:S$400,0)),S$2,)</f>
        <v>0</v>
      </c>
      <c r="T351" s="140">
        <f ca="1">IF(ISNUMBER(MATCH(DATEVALUE($A351),'recurring1_based on steps'!T$1:T$400,0)),T$2,)</f>
        <v>0</v>
      </c>
      <c r="U351" s="140">
        <f ca="1">IF(ISNUMBER(MATCH(DATEVALUE($A351),'recurring1_based on steps'!U$1:U$400,0)),U$2,)</f>
        <v>0</v>
      </c>
      <c r="V351" s="140">
        <f ca="1">IF(ISNUMBER(MATCH(DATEVALUE($A351),'recurring1_based on steps'!V$1:V$400,0)),V$2,)</f>
        <v>0</v>
      </c>
      <c r="W351" s="140">
        <f ca="1">IF(ISNUMBER(MATCH(DATEVALUE($A351),'recurring1_based on steps'!W$1:W$400,0)),W$2,)</f>
        <v>0</v>
      </c>
      <c r="X351" s="140">
        <f ca="1">IF(ISNUMBER(MATCH(DATEVALUE($A351),'recurring1_based on steps'!X$1:X$400,0)),X$2,)</f>
        <v>0</v>
      </c>
      <c r="Y351" s="140">
        <f ca="1">IF(ISNUMBER(MATCH(DATEVALUE($A351),'recurring1_based on steps'!Y$1:Y$400,0)),Y$2,)</f>
        <v>0</v>
      </c>
      <c r="Z351" s="140">
        <f ca="1">IF(ISNUMBER(MATCH(DATEVALUE($A351),'recurring1_based on steps'!Z$1:Z$400,0)),Z$2,)</f>
        <v>0</v>
      </c>
      <c r="AA351" s="140">
        <f ca="1">IF(ISNUMBER(MATCH(DATEVALUE($A351),'recurring1_based on steps'!AA$1:AA$400,0)),AA$2,)</f>
        <v>0</v>
      </c>
      <c r="AB351" s="140">
        <f ca="1">IF(ISNUMBER(MATCH(DATEVALUE($A351),'recurring1_based on steps'!AB$1:AB$400,0)),AB$2,)</f>
        <v>5.5401662049861494E-2</v>
      </c>
      <c r="AC351" s="140">
        <f ca="1">IF(ISNUMBER(MATCH(DATEVALUE($A351),'recurring1_based on steps'!AC$1:AC$400,0)),AC$2,)</f>
        <v>0</v>
      </c>
      <c r="AD351" s="140">
        <f ca="1">IF(ISNUMBER(MATCH(DATEVALUE($A351),'recurring1_based on steps'!AD$1:AD$400,0)),AD$2,)</f>
        <v>0</v>
      </c>
      <c r="AE351" s="140">
        <f ca="1">IF(ISNUMBER(MATCH(DATEVALUE($A351),'recurring1_based on steps'!AE$1:AE$400,0)),AE$2,)</f>
        <v>0</v>
      </c>
      <c r="AF351" s="140">
        <f ca="1">IF(ISNUMBER(MATCH(DATEVALUE($A351),'recurring1_based on steps'!AF$1:AF$400,0)),AF$2,)</f>
        <v>0</v>
      </c>
      <c r="AG351" s="140">
        <f ca="1">IF(ISNUMBER(MATCH(DATEVALUE($A351),'recurring1_based on steps'!AG$1:AG$400,0)),AG$2,)</f>
        <v>0</v>
      </c>
      <c r="AH351" s="140">
        <f ca="1">IF(ISNUMBER(MATCH(DATEVALUE($A351),'recurring1_based on steps'!AH$1:AH$400,0)),AH$2,)</f>
        <v>0</v>
      </c>
      <c r="AI351" s="140">
        <f ca="1">IF(ISNUMBER(MATCH(DATEVALUE($A351),'recurring1_based on steps'!AI$1:AI$400,0)),AI$2,)</f>
        <v>0</v>
      </c>
      <c r="AJ351" s="140">
        <f ca="1">IF(ISNUMBER(MATCH(DATEVALUE($A351),'recurring1_based on steps'!AJ$1:AJ$400,0)),AJ$2,)</f>
        <v>0</v>
      </c>
      <c r="AK351" s="140">
        <f ca="1">IF(ISNUMBER(MATCH(DATEVALUE($A351),'recurring1_based on steps'!AK$1:AK$400,0)),AK$2,)</f>
        <v>0</v>
      </c>
      <c r="AL351" s="140">
        <f ca="1">IF(ISNUMBER(MATCH(DATEVALUE($A351),'recurring1_based on steps'!AL$1:AL$400,0)),AL$2,)</f>
        <v>0</v>
      </c>
      <c r="AM351" s="140">
        <f ca="1">IF(ISNUMBER(MATCH(DATEVALUE($A351),'recurring1_based on steps'!AM$1:AM$400,0)),AM$2,)</f>
        <v>0</v>
      </c>
      <c r="AN351" s="140">
        <f ca="1">IF(ISNUMBER(MATCH(DATEVALUE($A351),'recurring1_based on steps'!AN$1:AN$400,0)),AN$2,)</f>
        <v>0</v>
      </c>
      <c r="AO351" s="140">
        <f ca="1">IF(ISNUMBER(MATCH(DATEVALUE($A351),'recurring1_based on steps'!AO$1:AO$400,0)),AO$2,)</f>
        <v>0</v>
      </c>
      <c r="AP351" s="140">
        <f ca="1">IF(ISNUMBER(MATCH(DATEVALUE($A351),'recurring1_based on steps'!AP$1:AP$400,0)),AP$2,)</f>
        <v>0</v>
      </c>
      <c r="AQ351" s="140">
        <f ca="1">IF(ISNUMBER(MATCH(DATEVALUE($A351),'recurring1_based on steps'!AQ$1:AQ$400,0)),AQ$2,)</f>
        <v>0</v>
      </c>
      <c r="AR351" s="140">
        <f ca="1">IF(ISNUMBER(MATCH(DATEVALUE($A351),'recurring1_based on steps'!AR$1:AR$400,0)),AR$2,)</f>
        <v>0</v>
      </c>
      <c r="AS351" s="140">
        <f ca="1">IF(ISNUMBER(MATCH(DATEVALUE($A351),'recurring1_based on steps'!AS$1:AS$400,0)),AS$2,)</f>
        <v>0</v>
      </c>
      <c r="AT351" s="140">
        <f ca="1">IF(ISNUMBER(MATCH(DATEVALUE($A351),'recurring1_based on steps'!AT$1:AT$400,0)),AT$2,)</f>
        <v>0</v>
      </c>
      <c r="AU351" s="140">
        <f ca="1">IF(ISNUMBER(MATCH(DATEVALUE($A351),'recurring1_based on steps'!AU$1:AU$400,0)),AU$2,)</f>
        <v>0</v>
      </c>
      <c r="AV351" s="140">
        <f ca="1">IF(ISNUMBER(MATCH(DATEVALUE($A351),'recurring1_based on steps'!AV$1:AV$400,0)),AV$2,)</f>
        <v>0</v>
      </c>
      <c r="AW351" s="140">
        <f ca="1">IF(ISNUMBER(MATCH(DATEVALUE($A351),'recurring1_based on steps'!AW$1:AW$400,0)),AW$2,)</f>
        <v>0</v>
      </c>
      <c r="AX351" s="140">
        <f ca="1">IF(ISNUMBER(MATCH(DATEVALUE($A351),'recurring1_based on steps'!AX$1:AX$400,0)),AX$2,)</f>
        <v>0</v>
      </c>
      <c r="AY351" s="140">
        <f ca="1">IF(ISNUMBER(MATCH(DATEVALUE($A351),'recurring1_based on steps'!AY$1:AY$400,0)),AY$2,)</f>
        <v>0</v>
      </c>
    </row>
    <row r="352" spans="1:51" x14ac:dyDescent="0.2">
      <c r="A352" s="29" t="str">
        <f t="shared" ca="1" si="5"/>
        <v>2026-03-11</v>
      </c>
      <c r="B352" s="140">
        <f ca="1">IF(ISNUMBER(MATCH(DATEVALUE($A352),'recurring1_based on steps'!B$1:B$400,0)),B$2,)</f>
        <v>0</v>
      </c>
      <c r="C352" s="140">
        <f ca="1">IF(ISNUMBER(MATCH(DATEVALUE($A352),'recurring1_based on steps'!C$1:C$400,0)),C$2,)</f>
        <v>0</v>
      </c>
      <c r="D352" s="140">
        <f ca="1">IF(ISNUMBER(MATCH(DATEVALUE($A352),'recurring1_based on steps'!D$1:D$400,0)),D$2,)</f>
        <v>0</v>
      </c>
      <c r="E352" s="140">
        <f ca="1">IF(ISNUMBER(MATCH(DATEVALUE($A352),'recurring1_based on steps'!E$1:E$400,0)),E$2,)</f>
        <v>0</v>
      </c>
      <c r="F352" s="140">
        <f ca="1">IF(ISNUMBER(MATCH(DATEVALUE($A352),'recurring1_based on steps'!F$1:F$400,0)),F$2,)</f>
        <v>0</v>
      </c>
      <c r="G352" s="140">
        <f ca="1">IF(ISNUMBER(MATCH(DATEVALUE($A352),'recurring1_based on steps'!G$1:G$400,0)),G$2,)</f>
        <v>0</v>
      </c>
      <c r="H352" s="140">
        <f ca="1">IF(ISNUMBER(MATCH(DATEVALUE($A352),'recurring1_based on steps'!H$1:H$400,0)),H$2,)</f>
        <v>0</v>
      </c>
      <c r="I352" s="140">
        <f ca="1">IF(ISNUMBER(MATCH(DATEVALUE($A352),'recurring1_based on steps'!I$1:I$400,0)),I$2,)</f>
        <v>0</v>
      </c>
      <c r="J352" s="140">
        <f ca="1">IF(ISNUMBER(MATCH(DATEVALUE($A352),'recurring1_based on steps'!J$1:J$400,0)),J$2,)</f>
        <v>0</v>
      </c>
      <c r="K352" s="140">
        <f ca="1">IF(ISNUMBER(MATCH(DATEVALUE($A352),'recurring1_based on steps'!K$1:K$400,0)),K$2,)</f>
        <v>0</v>
      </c>
      <c r="L352" s="140">
        <f ca="1">IF(ISNUMBER(MATCH(DATEVALUE($A352),'recurring1_based on steps'!L$1:L$400,0)),L$2,)</f>
        <v>69</v>
      </c>
      <c r="M352" s="140">
        <f ca="1">IF(ISNUMBER(MATCH(DATEVALUE($A352),'recurring1_based on steps'!M$1:M$400,0)),M$2,)</f>
        <v>0</v>
      </c>
      <c r="N352" s="140">
        <f ca="1">IF(ISNUMBER(MATCH(DATEVALUE($A352),'recurring1_based on steps'!N$1:N$400,0)),N$2,)</f>
        <v>0</v>
      </c>
      <c r="O352" s="140">
        <f ca="1">IF(ISNUMBER(MATCH(DATEVALUE($A352),'recurring1_based on steps'!O$1:O$400,0)),O$2,)</f>
        <v>0</v>
      </c>
      <c r="P352" s="140">
        <f ca="1">IF(ISNUMBER(MATCH(DATEVALUE($A352),'recurring1_based on steps'!P$1:P$400,0)),P$2,)</f>
        <v>0</v>
      </c>
      <c r="Q352" s="140">
        <f ca="1">IF(ISNUMBER(MATCH(DATEVALUE($A352),'recurring1_based on steps'!Q$1:Q$400,0)),Q$2,)</f>
        <v>0</v>
      </c>
      <c r="R352" s="140">
        <f ca="1">IF(ISNUMBER(MATCH(DATEVALUE($A352),'recurring1_based on steps'!R$1:R$400,0)),R$2,)</f>
        <v>0</v>
      </c>
      <c r="S352" s="140">
        <f ca="1">IF(ISNUMBER(MATCH(DATEVALUE($A352),'recurring1_based on steps'!S$1:S$400,0)),S$2,)</f>
        <v>0</v>
      </c>
      <c r="T352" s="140">
        <f ca="1">IF(ISNUMBER(MATCH(DATEVALUE($A352),'recurring1_based on steps'!T$1:T$400,0)),T$2,)</f>
        <v>0</v>
      </c>
      <c r="U352" s="140">
        <f ca="1">IF(ISNUMBER(MATCH(DATEVALUE($A352),'recurring1_based on steps'!U$1:U$400,0)),U$2,)</f>
        <v>0</v>
      </c>
      <c r="V352" s="140">
        <f ca="1">IF(ISNUMBER(MATCH(DATEVALUE($A352),'recurring1_based on steps'!V$1:V$400,0)),V$2,)</f>
        <v>0</v>
      </c>
      <c r="W352" s="140">
        <f ca="1">IF(ISNUMBER(MATCH(DATEVALUE($A352),'recurring1_based on steps'!W$1:W$400,0)),W$2,)</f>
        <v>0</v>
      </c>
      <c r="X352" s="140">
        <f ca="1">IF(ISNUMBER(MATCH(DATEVALUE($A352),'recurring1_based on steps'!X$1:X$400,0)),X$2,)</f>
        <v>0</v>
      </c>
      <c r="Y352" s="140">
        <f ca="1">IF(ISNUMBER(MATCH(DATEVALUE($A352),'recurring1_based on steps'!Y$1:Y$400,0)),Y$2,)</f>
        <v>0</v>
      </c>
      <c r="Z352" s="140">
        <f ca="1">IF(ISNUMBER(MATCH(DATEVALUE($A352),'recurring1_based on steps'!Z$1:Z$400,0)),Z$2,)</f>
        <v>0</v>
      </c>
      <c r="AA352" s="140">
        <f ca="1">IF(ISNUMBER(MATCH(DATEVALUE($A352),'recurring1_based on steps'!AA$1:AA$400,0)),AA$2,)</f>
        <v>0</v>
      </c>
      <c r="AB352" s="140">
        <f ca="1">IF(ISNUMBER(MATCH(DATEVALUE($A352),'recurring1_based on steps'!AB$1:AB$400,0)),AB$2,)</f>
        <v>5.5401662049861494E-2</v>
      </c>
      <c r="AC352" s="140">
        <f ca="1">IF(ISNUMBER(MATCH(DATEVALUE($A352),'recurring1_based on steps'!AC$1:AC$400,0)),AC$2,)</f>
        <v>0</v>
      </c>
      <c r="AD352" s="140">
        <f ca="1">IF(ISNUMBER(MATCH(DATEVALUE($A352),'recurring1_based on steps'!AD$1:AD$400,0)),AD$2,)</f>
        <v>0</v>
      </c>
      <c r="AE352" s="140">
        <f ca="1">IF(ISNUMBER(MATCH(DATEVALUE($A352),'recurring1_based on steps'!AE$1:AE$400,0)),AE$2,)</f>
        <v>0</v>
      </c>
      <c r="AF352" s="140">
        <f ca="1">IF(ISNUMBER(MATCH(DATEVALUE($A352),'recurring1_based on steps'!AF$1:AF$400,0)),AF$2,)</f>
        <v>0</v>
      </c>
      <c r="AG352" s="140">
        <f ca="1">IF(ISNUMBER(MATCH(DATEVALUE($A352),'recurring1_based on steps'!AG$1:AG$400,0)),AG$2,)</f>
        <v>0</v>
      </c>
      <c r="AH352" s="140">
        <f ca="1">IF(ISNUMBER(MATCH(DATEVALUE($A352),'recurring1_based on steps'!AH$1:AH$400,0)),AH$2,)</f>
        <v>0</v>
      </c>
      <c r="AI352" s="140">
        <f ca="1">IF(ISNUMBER(MATCH(DATEVALUE($A352),'recurring1_based on steps'!AI$1:AI$400,0)),AI$2,)</f>
        <v>0</v>
      </c>
      <c r="AJ352" s="140">
        <f ca="1">IF(ISNUMBER(MATCH(DATEVALUE($A352),'recurring1_based on steps'!AJ$1:AJ$400,0)),AJ$2,)</f>
        <v>0</v>
      </c>
      <c r="AK352" s="140">
        <f ca="1">IF(ISNUMBER(MATCH(DATEVALUE($A352),'recurring1_based on steps'!AK$1:AK$400,0)),AK$2,)</f>
        <v>0</v>
      </c>
      <c r="AL352" s="140">
        <f ca="1">IF(ISNUMBER(MATCH(DATEVALUE($A352),'recurring1_based on steps'!AL$1:AL$400,0)),AL$2,)</f>
        <v>0</v>
      </c>
      <c r="AM352" s="140">
        <f ca="1">IF(ISNUMBER(MATCH(DATEVALUE($A352),'recurring1_based on steps'!AM$1:AM$400,0)),AM$2,)</f>
        <v>0</v>
      </c>
      <c r="AN352" s="140">
        <f ca="1">IF(ISNUMBER(MATCH(DATEVALUE($A352),'recurring1_based on steps'!AN$1:AN$400,0)),AN$2,)</f>
        <v>0</v>
      </c>
      <c r="AO352" s="140">
        <f ca="1">IF(ISNUMBER(MATCH(DATEVALUE($A352),'recurring1_based on steps'!AO$1:AO$400,0)),AO$2,)</f>
        <v>0</v>
      </c>
      <c r="AP352" s="140">
        <f ca="1">IF(ISNUMBER(MATCH(DATEVALUE($A352),'recurring1_based on steps'!AP$1:AP$400,0)),AP$2,)</f>
        <v>0</v>
      </c>
      <c r="AQ352" s="140">
        <f ca="1">IF(ISNUMBER(MATCH(DATEVALUE($A352),'recurring1_based on steps'!AQ$1:AQ$400,0)),AQ$2,)</f>
        <v>0</v>
      </c>
      <c r="AR352" s="140">
        <f ca="1">IF(ISNUMBER(MATCH(DATEVALUE($A352),'recurring1_based on steps'!AR$1:AR$400,0)),AR$2,)</f>
        <v>0</v>
      </c>
      <c r="AS352" s="140">
        <f ca="1">IF(ISNUMBER(MATCH(DATEVALUE($A352),'recurring1_based on steps'!AS$1:AS$400,0)),AS$2,)</f>
        <v>0</v>
      </c>
      <c r="AT352" s="140">
        <f ca="1">IF(ISNUMBER(MATCH(DATEVALUE($A352),'recurring1_based on steps'!AT$1:AT$400,0)),AT$2,)</f>
        <v>0</v>
      </c>
      <c r="AU352" s="140">
        <f ca="1">IF(ISNUMBER(MATCH(DATEVALUE($A352),'recurring1_based on steps'!AU$1:AU$400,0)),AU$2,)</f>
        <v>0</v>
      </c>
      <c r="AV352" s="140">
        <f ca="1">IF(ISNUMBER(MATCH(DATEVALUE($A352),'recurring1_based on steps'!AV$1:AV$400,0)),AV$2,)</f>
        <v>0</v>
      </c>
      <c r="AW352" s="140">
        <f ca="1">IF(ISNUMBER(MATCH(DATEVALUE($A352),'recurring1_based on steps'!AW$1:AW$400,0)),AW$2,)</f>
        <v>0</v>
      </c>
      <c r="AX352" s="140">
        <f ca="1">IF(ISNUMBER(MATCH(DATEVALUE($A352),'recurring1_based on steps'!AX$1:AX$400,0)),AX$2,)</f>
        <v>0</v>
      </c>
      <c r="AY352" s="140">
        <f ca="1">IF(ISNUMBER(MATCH(DATEVALUE($A352),'recurring1_based on steps'!AY$1:AY$400,0)),AY$2,)</f>
        <v>0</v>
      </c>
    </row>
    <row r="353" spans="1:51" x14ac:dyDescent="0.2">
      <c r="A353" s="29" t="str">
        <f t="shared" ca="1" si="5"/>
        <v>2026-03-12</v>
      </c>
      <c r="B353" s="140">
        <f ca="1">IF(ISNUMBER(MATCH(DATEVALUE($A353),'recurring1_based on steps'!B$1:B$400,0)),B$2,)</f>
        <v>0</v>
      </c>
      <c r="C353" s="140">
        <f ca="1">IF(ISNUMBER(MATCH(DATEVALUE($A353),'recurring1_based on steps'!C$1:C$400,0)),C$2,)</f>
        <v>0</v>
      </c>
      <c r="D353" s="140">
        <f ca="1">IF(ISNUMBER(MATCH(DATEVALUE($A353),'recurring1_based on steps'!D$1:D$400,0)),D$2,)</f>
        <v>0</v>
      </c>
      <c r="E353" s="140">
        <f ca="1">IF(ISNUMBER(MATCH(DATEVALUE($A353),'recurring1_based on steps'!E$1:E$400,0)),E$2,)</f>
        <v>0</v>
      </c>
      <c r="F353" s="140">
        <f ca="1">IF(ISNUMBER(MATCH(DATEVALUE($A353),'recurring1_based on steps'!F$1:F$400,0)),F$2,)</f>
        <v>0</v>
      </c>
      <c r="G353" s="140">
        <f ca="1">IF(ISNUMBER(MATCH(DATEVALUE($A353),'recurring1_based on steps'!G$1:G$400,0)),G$2,)</f>
        <v>0</v>
      </c>
      <c r="H353" s="140">
        <f ca="1">IF(ISNUMBER(MATCH(DATEVALUE($A353),'recurring1_based on steps'!H$1:H$400,0)),H$2,)</f>
        <v>0</v>
      </c>
      <c r="I353" s="140">
        <f ca="1">IF(ISNUMBER(MATCH(DATEVALUE($A353),'recurring1_based on steps'!I$1:I$400,0)),I$2,)</f>
        <v>0</v>
      </c>
      <c r="J353" s="140">
        <f ca="1">IF(ISNUMBER(MATCH(DATEVALUE($A353),'recurring1_based on steps'!J$1:J$400,0)),J$2,)</f>
        <v>0</v>
      </c>
      <c r="K353" s="140">
        <f ca="1">IF(ISNUMBER(MATCH(DATEVALUE($A353),'recurring1_based on steps'!K$1:K$400,0)),K$2,)</f>
        <v>0</v>
      </c>
      <c r="L353" s="140">
        <f ca="1">IF(ISNUMBER(MATCH(DATEVALUE($A353),'recurring1_based on steps'!L$1:L$400,0)),L$2,)</f>
        <v>0</v>
      </c>
      <c r="M353" s="140">
        <f ca="1">IF(ISNUMBER(MATCH(DATEVALUE($A353),'recurring1_based on steps'!M$1:M$400,0)),M$2,)</f>
        <v>0</v>
      </c>
      <c r="N353" s="140">
        <f ca="1">IF(ISNUMBER(MATCH(DATEVALUE($A353),'recurring1_based on steps'!N$1:N$400,0)),N$2,)</f>
        <v>0</v>
      </c>
      <c r="O353" s="140">
        <f ca="1">IF(ISNUMBER(MATCH(DATEVALUE($A353),'recurring1_based on steps'!O$1:O$400,0)),O$2,)</f>
        <v>0</v>
      </c>
      <c r="P353" s="140">
        <f ca="1">IF(ISNUMBER(MATCH(DATEVALUE($A353),'recurring1_based on steps'!P$1:P$400,0)),P$2,)</f>
        <v>0</v>
      </c>
      <c r="Q353" s="140">
        <f ca="1">IF(ISNUMBER(MATCH(DATEVALUE($A353),'recurring1_based on steps'!Q$1:Q$400,0)),Q$2,)</f>
        <v>0</v>
      </c>
      <c r="R353" s="140">
        <f ca="1">IF(ISNUMBER(MATCH(DATEVALUE($A353),'recurring1_based on steps'!R$1:R$400,0)),R$2,)</f>
        <v>0</v>
      </c>
      <c r="S353" s="140">
        <f ca="1">IF(ISNUMBER(MATCH(DATEVALUE($A353),'recurring1_based on steps'!S$1:S$400,0)),S$2,)</f>
        <v>0</v>
      </c>
      <c r="T353" s="140">
        <f ca="1">IF(ISNUMBER(MATCH(DATEVALUE($A353),'recurring1_based on steps'!T$1:T$400,0)),T$2,)</f>
        <v>0</v>
      </c>
      <c r="U353" s="140">
        <f ca="1">IF(ISNUMBER(MATCH(DATEVALUE($A353),'recurring1_based on steps'!U$1:U$400,0)),U$2,)</f>
        <v>0</v>
      </c>
      <c r="V353" s="140">
        <f ca="1">IF(ISNUMBER(MATCH(DATEVALUE($A353),'recurring1_based on steps'!V$1:V$400,0)),V$2,)</f>
        <v>0</v>
      </c>
      <c r="W353" s="140">
        <f ca="1">IF(ISNUMBER(MATCH(DATEVALUE($A353),'recurring1_based on steps'!W$1:W$400,0)),W$2,)</f>
        <v>0</v>
      </c>
      <c r="X353" s="140">
        <f ca="1">IF(ISNUMBER(MATCH(DATEVALUE($A353),'recurring1_based on steps'!X$1:X$400,0)),X$2,)</f>
        <v>0</v>
      </c>
      <c r="Y353" s="140">
        <f ca="1">IF(ISNUMBER(MATCH(DATEVALUE($A353),'recurring1_based on steps'!Y$1:Y$400,0)),Y$2,)</f>
        <v>0</v>
      </c>
      <c r="Z353" s="140">
        <f ca="1">IF(ISNUMBER(MATCH(DATEVALUE($A353),'recurring1_based on steps'!Z$1:Z$400,0)),Z$2,)</f>
        <v>0</v>
      </c>
      <c r="AA353" s="140">
        <f ca="1">IF(ISNUMBER(MATCH(DATEVALUE($A353),'recurring1_based on steps'!AA$1:AA$400,0)),AA$2,)</f>
        <v>0</v>
      </c>
      <c r="AB353" s="140">
        <f ca="1">IF(ISNUMBER(MATCH(DATEVALUE($A353),'recurring1_based on steps'!AB$1:AB$400,0)),AB$2,)</f>
        <v>5.5401662049861494E-2</v>
      </c>
      <c r="AC353" s="140">
        <f ca="1">IF(ISNUMBER(MATCH(DATEVALUE($A353),'recurring1_based on steps'!AC$1:AC$400,0)),AC$2,)</f>
        <v>0</v>
      </c>
      <c r="AD353" s="140">
        <f ca="1">IF(ISNUMBER(MATCH(DATEVALUE($A353),'recurring1_based on steps'!AD$1:AD$400,0)),AD$2,)</f>
        <v>0</v>
      </c>
      <c r="AE353" s="140">
        <f ca="1">IF(ISNUMBER(MATCH(DATEVALUE($A353),'recurring1_based on steps'!AE$1:AE$400,0)),AE$2,)</f>
        <v>0</v>
      </c>
      <c r="AF353" s="140">
        <f ca="1">IF(ISNUMBER(MATCH(DATEVALUE($A353),'recurring1_based on steps'!AF$1:AF$400,0)),AF$2,)</f>
        <v>0</v>
      </c>
      <c r="AG353" s="140">
        <f ca="1">IF(ISNUMBER(MATCH(DATEVALUE($A353),'recurring1_based on steps'!AG$1:AG$400,0)),AG$2,)</f>
        <v>0</v>
      </c>
      <c r="AH353" s="140">
        <f ca="1">IF(ISNUMBER(MATCH(DATEVALUE($A353),'recurring1_based on steps'!AH$1:AH$400,0)),AH$2,)</f>
        <v>0</v>
      </c>
      <c r="AI353" s="140">
        <f ca="1">IF(ISNUMBER(MATCH(DATEVALUE($A353),'recurring1_based on steps'!AI$1:AI$400,0)),AI$2,)</f>
        <v>0</v>
      </c>
      <c r="AJ353" s="140">
        <f ca="1">IF(ISNUMBER(MATCH(DATEVALUE($A353),'recurring1_based on steps'!AJ$1:AJ$400,0)),AJ$2,)</f>
        <v>0</v>
      </c>
      <c r="AK353" s="140">
        <f ca="1">IF(ISNUMBER(MATCH(DATEVALUE($A353),'recurring1_based on steps'!AK$1:AK$400,0)),AK$2,)</f>
        <v>0</v>
      </c>
      <c r="AL353" s="140">
        <f ca="1">IF(ISNUMBER(MATCH(DATEVALUE($A353),'recurring1_based on steps'!AL$1:AL$400,0)),AL$2,)</f>
        <v>0</v>
      </c>
      <c r="AM353" s="140">
        <f ca="1">IF(ISNUMBER(MATCH(DATEVALUE($A353),'recurring1_based on steps'!AM$1:AM$400,0)),AM$2,)</f>
        <v>0</v>
      </c>
      <c r="AN353" s="140">
        <f ca="1">IF(ISNUMBER(MATCH(DATEVALUE($A353),'recurring1_based on steps'!AN$1:AN$400,0)),AN$2,)</f>
        <v>0</v>
      </c>
      <c r="AO353" s="140">
        <f ca="1">IF(ISNUMBER(MATCH(DATEVALUE($A353),'recurring1_based on steps'!AO$1:AO$400,0)),AO$2,)</f>
        <v>0</v>
      </c>
      <c r="AP353" s="140">
        <f ca="1">IF(ISNUMBER(MATCH(DATEVALUE($A353),'recurring1_based on steps'!AP$1:AP$400,0)),AP$2,)</f>
        <v>0</v>
      </c>
      <c r="AQ353" s="140">
        <f ca="1">IF(ISNUMBER(MATCH(DATEVALUE($A353),'recurring1_based on steps'!AQ$1:AQ$400,0)),AQ$2,)</f>
        <v>0</v>
      </c>
      <c r="AR353" s="140">
        <f ca="1">IF(ISNUMBER(MATCH(DATEVALUE($A353),'recurring1_based on steps'!AR$1:AR$400,0)),AR$2,)</f>
        <v>0</v>
      </c>
      <c r="AS353" s="140">
        <f ca="1">IF(ISNUMBER(MATCH(DATEVALUE($A353),'recurring1_based on steps'!AS$1:AS$400,0)),AS$2,)</f>
        <v>0</v>
      </c>
      <c r="AT353" s="140">
        <f ca="1">IF(ISNUMBER(MATCH(DATEVALUE($A353),'recurring1_based on steps'!AT$1:AT$400,0)),AT$2,)</f>
        <v>0</v>
      </c>
      <c r="AU353" s="140">
        <f ca="1">IF(ISNUMBER(MATCH(DATEVALUE($A353),'recurring1_based on steps'!AU$1:AU$400,0)),AU$2,)</f>
        <v>0</v>
      </c>
      <c r="AV353" s="140">
        <f ca="1">IF(ISNUMBER(MATCH(DATEVALUE($A353),'recurring1_based on steps'!AV$1:AV$400,0)),AV$2,)</f>
        <v>0</v>
      </c>
      <c r="AW353" s="140">
        <f ca="1">IF(ISNUMBER(MATCH(DATEVALUE($A353),'recurring1_based on steps'!AW$1:AW$400,0)),AW$2,)</f>
        <v>0</v>
      </c>
      <c r="AX353" s="140">
        <f ca="1">IF(ISNUMBER(MATCH(DATEVALUE($A353),'recurring1_based on steps'!AX$1:AX$400,0)),AX$2,)</f>
        <v>0</v>
      </c>
      <c r="AY353" s="140">
        <f ca="1">IF(ISNUMBER(MATCH(DATEVALUE($A353),'recurring1_based on steps'!AY$1:AY$400,0)),AY$2,)</f>
        <v>0</v>
      </c>
    </row>
    <row r="354" spans="1:51" x14ac:dyDescent="0.2">
      <c r="A354" s="29" t="str">
        <f t="shared" ca="1" si="5"/>
        <v>2026-03-13</v>
      </c>
      <c r="B354" s="140">
        <f ca="1">IF(ISNUMBER(MATCH(DATEVALUE($A354),'recurring1_based on steps'!B$1:B$400,0)),B$2,)</f>
        <v>0</v>
      </c>
      <c r="C354" s="140">
        <f ca="1">IF(ISNUMBER(MATCH(DATEVALUE($A354),'recurring1_based on steps'!C$1:C$400,0)),C$2,)</f>
        <v>0</v>
      </c>
      <c r="D354" s="140">
        <f ca="1">IF(ISNUMBER(MATCH(DATEVALUE($A354),'recurring1_based on steps'!D$1:D$400,0)),D$2,)</f>
        <v>0</v>
      </c>
      <c r="E354" s="140">
        <f ca="1">IF(ISNUMBER(MATCH(DATEVALUE($A354),'recurring1_based on steps'!E$1:E$400,0)),E$2,)</f>
        <v>0</v>
      </c>
      <c r="F354" s="140">
        <f ca="1">IF(ISNUMBER(MATCH(DATEVALUE($A354),'recurring1_based on steps'!F$1:F$400,0)),F$2,)</f>
        <v>0</v>
      </c>
      <c r="G354" s="140">
        <f ca="1">IF(ISNUMBER(MATCH(DATEVALUE($A354),'recurring1_based on steps'!G$1:G$400,0)),G$2,)</f>
        <v>0</v>
      </c>
      <c r="H354" s="140">
        <f ca="1">IF(ISNUMBER(MATCH(DATEVALUE($A354),'recurring1_based on steps'!H$1:H$400,0)),H$2,)</f>
        <v>0</v>
      </c>
      <c r="I354" s="140">
        <f ca="1">IF(ISNUMBER(MATCH(DATEVALUE($A354),'recurring1_based on steps'!I$1:I$400,0)),I$2,)</f>
        <v>0</v>
      </c>
      <c r="J354" s="140">
        <f ca="1">IF(ISNUMBER(MATCH(DATEVALUE($A354),'recurring1_based on steps'!J$1:J$400,0)),J$2,)</f>
        <v>0</v>
      </c>
      <c r="K354" s="140">
        <f ca="1">IF(ISNUMBER(MATCH(DATEVALUE($A354),'recurring1_based on steps'!K$1:K$400,0)),K$2,)</f>
        <v>0</v>
      </c>
      <c r="L354" s="140">
        <f ca="1">IF(ISNUMBER(MATCH(DATEVALUE($A354),'recurring1_based on steps'!L$1:L$400,0)),L$2,)</f>
        <v>0</v>
      </c>
      <c r="M354" s="140">
        <f ca="1">IF(ISNUMBER(MATCH(DATEVALUE($A354),'recurring1_based on steps'!M$1:M$400,0)),M$2,)</f>
        <v>0</v>
      </c>
      <c r="N354" s="140">
        <f ca="1">IF(ISNUMBER(MATCH(DATEVALUE($A354),'recurring1_based on steps'!N$1:N$400,0)),N$2,)</f>
        <v>0</v>
      </c>
      <c r="O354" s="140">
        <f ca="1">IF(ISNUMBER(MATCH(DATEVALUE($A354),'recurring1_based on steps'!O$1:O$400,0)),O$2,)</f>
        <v>0</v>
      </c>
      <c r="P354" s="140">
        <f ca="1">IF(ISNUMBER(MATCH(DATEVALUE($A354),'recurring1_based on steps'!P$1:P$400,0)),P$2,)</f>
        <v>0</v>
      </c>
      <c r="Q354" s="140">
        <f ca="1">IF(ISNUMBER(MATCH(DATEVALUE($A354),'recurring1_based on steps'!Q$1:Q$400,0)),Q$2,)</f>
        <v>0</v>
      </c>
      <c r="R354" s="140">
        <f ca="1">IF(ISNUMBER(MATCH(DATEVALUE($A354),'recurring1_based on steps'!R$1:R$400,0)),R$2,)</f>
        <v>0</v>
      </c>
      <c r="S354" s="140">
        <f ca="1">IF(ISNUMBER(MATCH(DATEVALUE($A354),'recurring1_based on steps'!S$1:S$400,0)),S$2,)</f>
        <v>0</v>
      </c>
      <c r="T354" s="140">
        <f ca="1">IF(ISNUMBER(MATCH(DATEVALUE($A354),'recurring1_based on steps'!T$1:T$400,0)),T$2,)</f>
        <v>0</v>
      </c>
      <c r="U354" s="140">
        <f ca="1">IF(ISNUMBER(MATCH(DATEVALUE($A354),'recurring1_based on steps'!U$1:U$400,0)),U$2,)</f>
        <v>0</v>
      </c>
      <c r="V354" s="140">
        <f ca="1">IF(ISNUMBER(MATCH(DATEVALUE($A354),'recurring1_based on steps'!V$1:V$400,0)),V$2,)</f>
        <v>0</v>
      </c>
      <c r="W354" s="140">
        <f ca="1">IF(ISNUMBER(MATCH(DATEVALUE($A354),'recurring1_based on steps'!W$1:W$400,0)),W$2,)</f>
        <v>0</v>
      </c>
      <c r="X354" s="140">
        <f ca="1">IF(ISNUMBER(MATCH(DATEVALUE($A354),'recurring1_based on steps'!X$1:X$400,0)),X$2,)</f>
        <v>0</v>
      </c>
      <c r="Y354" s="140">
        <f ca="1">IF(ISNUMBER(MATCH(DATEVALUE($A354),'recurring1_based on steps'!Y$1:Y$400,0)),Y$2,)</f>
        <v>0</v>
      </c>
      <c r="Z354" s="140">
        <f ca="1">IF(ISNUMBER(MATCH(DATEVALUE($A354),'recurring1_based on steps'!Z$1:Z$400,0)),Z$2,)</f>
        <v>0</v>
      </c>
      <c r="AA354" s="140">
        <f ca="1">IF(ISNUMBER(MATCH(DATEVALUE($A354),'recurring1_based on steps'!AA$1:AA$400,0)),AA$2,)</f>
        <v>0</v>
      </c>
      <c r="AB354" s="140">
        <f ca="1">IF(ISNUMBER(MATCH(DATEVALUE($A354),'recurring1_based on steps'!AB$1:AB$400,0)),AB$2,)</f>
        <v>5.5401662049861494E-2</v>
      </c>
      <c r="AC354" s="140">
        <f ca="1">IF(ISNUMBER(MATCH(DATEVALUE($A354),'recurring1_based on steps'!AC$1:AC$400,0)),AC$2,)</f>
        <v>0</v>
      </c>
      <c r="AD354" s="140">
        <f ca="1">IF(ISNUMBER(MATCH(DATEVALUE($A354),'recurring1_based on steps'!AD$1:AD$400,0)),AD$2,)</f>
        <v>0</v>
      </c>
      <c r="AE354" s="140">
        <f ca="1">IF(ISNUMBER(MATCH(DATEVALUE($A354),'recurring1_based on steps'!AE$1:AE$400,0)),AE$2,)</f>
        <v>0</v>
      </c>
      <c r="AF354" s="140">
        <f ca="1">IF(ISNUMBER(MATCH(DATEVALUE($A354),'recurring1_based on steps'!AF$1:AF$400,0)),AF$2,)</f>
        <v>0</v>
      </c>
      <c r="AG354" s="140">
        <f ca="1">IF(ISNUMBER(MATCH(DATEVALUE($A354),'recurring1_based on steps'!AG$1:AG$400,0)),AG$2,)</f>
        <v>0</v>
      </c>
      <c r="AH354" s="140">
        <f ca="1">IF(ISNUMBER(MATCH(DATEVALUE($A354),'recurring1_based on steps'!AH$1:AH$400,0)),AH$2,)</f>
        <v>0</v>
      </c>
      <c r="AI354" s="140">
        <f ca="1">IF(ISNUMBER(MATCH(DATEVALUE($A354),'recurring1_based on steps'!AI$1:AI$400,0)),AI$2,)</f>
        <v>0</v>
      </c>
      <c r="AJ354" s="140">
        <f ca="1">IF(ISNUMBER(MATCH(DATEVALUE($A354),'recurring1_based on steps'!AJ$1:AJ$400,0)),AJ$2,)</f>
        <v>0</v>
      </c>
      <c r="AK354" s="140">
        <f ca="1">IF(ISNUMBER(MATCH(DATEVALUE($A354),'recurring1_based on steps'!AK$1:AK$400,0)),AK$2,)</f>
        <v>0</v>
      </c>
      <c r="AL354" s="140">
        <f ca="1">IF(ISNUMBER(MATCH(DATEVALUE($A354),'recurring1_based on steps'!AL$1:AL$400,0)),AL$2,)</f>
        <v>0</v>
      </c>
      <c r="AM354" s="140">
        <f ca="1">IF(ISNUMBER(MATCH(DATEVALUE($A354),'recurring1_based on steps'!AM$1:AM$400,0)),AM$2,)</f>
        <v>0</v>
      </c>
      <c r="AN354" s="140">
        <f ca="1">IF(ISNUMBER(MATCH(DATEVALUE($A354),'recurring1_based on steps'!AN$1:AN$400,0)),AN$2,)</f>
        <v>0</v>
      </c>
      <c r="AO354" s="140">
        <f ca="1">IF(ISNUMBER(MATCH(DATEVALUE($A354),'recurring1_based on steps'!AO$1:AO$400,0)),AO$2,)</f>
        <v>0</v>
      </c>
      <c r="AP354" s="140">
        <f ca="1">IF(ISNUMBER(MATCH(DATEVALUE($A354),'recurring1_based on steps'!AP$1:AP$400,0)),AP$2,)</f>
        <v>0</v>
      </c>
      <c r="AQ354" s="140">
        <f ca="1">IF(ISNUMBER(MATCH(DATEVALUE($A354),'recurring1_based on steps'!AQ$1:AQ$400,0)),AQ$2,)</f>
        <v>0</v>
      </c>
      <c r="AR354" s="140">
        <f ca="1">IF(ISNUMBER(MATCH(DATEVALUE($A354),'recurring1_based on steps'!AR$1:AR$400,0)),AR$2,)</f>
        <v>0</v>
      </c>
      <c r="AS354" s="140">
        <f ca="1">IF(ISNUMBER(MATCH(DATEVALUE($A354),'recurring1_based on steps'!AS$1:AS$400,0)),AS$2,)</f>
        <v>0</v>
      </c>
      <c r="AT354" s="140">
        <f ca="1">IF(ISNUMBER(MATCH(DATEVALUE($A354),'recurring1_based on steps'!AT$1:AT$400,0)),AT$2,)</f>
        <v>0</v>
      </c>
      <c r="AU354" s="140">
        <f ca="1">IF(ISNUMBER(MATCH(DATEVALUE($A354),'recurring1_based on steps'!AU$1:AU$400,0)),AU$2,)</f>
        <v>0</v>
      </c>
      <c r="AV354" s="140">
        <f ca="1">IF(ISNUMBER(MATCH(DATEVALUE($A354),'recurring1_based on steps'!AV$1:AV$400,0)),AV$2,)</f>
        <v>0</v>
      </c>
      <c r="AW354" s="140">
        <f ca="1">IF(ISNUMBER(MATCH(DATEVALUE($A354),'recurring1_based on steps'!AW$1:AW$400,0)),AW$2,)</f>
        <v>0</v>
      </c>
      <c r="AX354" s="140">
        <f ca="1">IF(ISNUMBER(MATCH(DATEVALUE($A354),'recurring1_based on steps'!AX$1:AX$400,0)),AX$2,)</f>
        <v>0</v>
      </c>
      <c r="AY354" s="140">
        <f ca="1">IF(ISNUMBER(MATCH(DATEVALUE($A354),'recurring1_based on steps'!AY$1:AY$400,0)),AY$2,)</f>
        <v>0</v>
      </c>
    </row>
    <row r="355" spans="1:51" x14ac:dyDescent="0.2">
      <c r="A355" s="29" t="str">
        <f t="shared" ca="1" si="5"/>
        <v>2026-03-14</v>
      </c>
      <c r="B355" s="140">
        <f ca="1">IF(ISNUMBER(MATCH(DATEVALUE($A355),'recurring1_based on steps'!B$1:B$400,0)),B$2,)</f>
        <v>0</v>
      </c>
      <c r="C355" s="140">
        <f ca="1">IF(ISNUMBER(MATCH(DATEVALUE($A355),'recurring1_based on steps'!C$1:C$400,0)),C$2,)</f>
        <v>0</v>
      </c>
      <c r="D355" s="140">
        <f ca="1">IF(ISNUMBER(MATCH(DATEVALUE($A355),'recurring1_based on steps'!D$1:D$400,0)),D$2,)</f>
        <v>0</v>
      </c>
      <c r="E355" s="140">
        <f ca="1">IF(ISNUMBER(MATCH(DATEVALUE($A355),'recurring1_based on steps'!E$1:E$400,0)),E$2,)</f>
        <v>0</v>
      </c>
      <c r="F355" s="140">
        <f ca="1">IF(ISNUMBER(MATCH(DATEVALUE($A355),'recurring1_based on steps'!F$1:F$400,0)),F$2,)</f>
        <v>0</v>
      </c>
      <c r="G355" s="140">
        <f ca="1">IF(ISNUMBER(MATCH(DATEVALUE($A355),'recurring1_based on steps'!G$1:G$400,0)),G$2,)</f>
        <v>0</v>
      </c>
      <c r="H355" s="140">
        <f ca="1">IF(ISNUMBER(MATCH(DATEVALUE($A355),'recurring1_based on steps'!H$1:H$400,0)),H$2,)</f>
        <v>0</v>
      </c>
      <c r="I355" s="140">
        <f ca="1">IF(ISNUMBER(MATCH(DATEVALUE($A355),'recurring1_based on steps'!I$1:I$400,0)),I$2,)</f>
        <v>0</v>
      </c>
      <c r="J355" s="140">
        <f ca="1">IF(ISNUMBER(MATCH(DATEVALUE($A355),'recurring1_based on steps'!J$1:J$400,0)),J$2,)</f>
        <v>0</v>
      </c>
      <c r="K355" s="140">
        <f ca="1">IF(ISNUMBER(MATCH(DATEVALUE($A355),'recurring1_based on steps'!K$1:K$400,0)),K$2,)</f>
        <v>0</v>
      </c>
      <c r="L355" s="140">
        <f ca="1">IF(ISNUMBER(MATCH(DATEVALUE($A355),'recurring1_based on steps'!L$1:L$400,0)),L$2,)</f>
        <v>0</v>
      </c>
      <c r="M355" s="140">
        <f ca="1">IF(ISNUMBER(MATCH(DATEVALUE($A355),'recurring1_based on steps'!M$1:M$400,0)),M$2,)</f>
        <v>0</v>
      </c>
      <c r="N355" s="140">
        <f ca="1">IF(ISNUMBER(MATCH(DATEVALUE($A355),'recurring1_based on steps'!N$1:N$400,0)),N$2,)</f>
        <v>0</v>
      </c>
      <c r="O355" s="140">
        <f ca="1">IF(ISNUMBER(MATCH(DATEVALUE($A355),'recurring1_based on steps'!O$1:O$400,0)),O$2,)</f>
        <v>0</v>
      </c>
      <c r="P355" s="140">
        <f ca="1">IF(ISNUMBER(MATCH(DATEVALUE($A355),'recurring1_based on steps'!P$1:P$400,0)),P$2,)</f>
        <v>0</v>
      </c>
      <c r="Q355" s="140">
        <f ca="1">IF(ISNUMBER(MATCH(DATEVALUE($A355),'recurring1_based on steps'!Q$1:Q$400,0)),Q$2,)</f>
        <v>100</v>
      </c>
      <c r="R355" s="140">
        <f ca="1">IF(ISNUMBER(MATCH(DATEVALUE($A355),'recurring1_based on steps'!R$1:R$400,0)),R$2,)</f>
        <v>100</v>
      </c>
      <c r="S355" s="140">
        <f ca="1">IF(ISNUMBER(MATCH(DATEVALUE($A355),'recurring1_based on steps'!S$1:S$400,0)),S$2,)</f>
        <v>0</v>
      </c>
      <c r="T355" s="140">
        <f ca="1">IF(ISNUMBER(MATCH(DATEVALUE($A355),'recurring1_based on steps'!T$1:T$400,0)),T$2,)</f>
        <v>0</v>
      </c>
      <c r="U355" s="140">
        <f ca="1">IF(ISNUMBER(MATCH(DATEVALUE($A355),'recurring1_based on steps'!U$1:U$400,0)),U$2,)</f>
        <v>0</v>
      </c>
      <c r="V355" s="140">
        <f ca="1">IF(ISNUMBER(MATCH(DATEVALUE($A355),'recurring1_based on steps'!V$1:V$400,0)),V$2,)</f>
        <v>0</v>
      </c>
      <c r="W355" s="140">
        <f ca="1">IF(ISNUMBER(MATCH(DATEVALUE($A355),'recurring1_based on steps'!W$1:W$400,0)),W$2,)</f>
        <v>0</v>
      </c>
      <c r="X355" s="140">
        <f ca="1">IF(ISNUMBER(MATCH(DATEVALUE($A355),'recurring1_based on steps'!X$1:X$400,0)),X$2,)</f>
        <v>0</v>
      </c>
      <c r="Y355" s="140">
        <f ca="1">IF(ISNUMBER(MATCH(DATEVALUE($A355),'recurring1_based on steps'!Y$1:Y$400,0)),Y$2,)</f>
        <v>0</v>
      </c>
      <c r="Z355" s="140">
        <f ca="1">IF(ISNUMBER(MATCH(DATEVALUE($A355),'recurring1_based on steps'!Z$1:Z$400,0)),Z$2,)</f>
        <v>0</v>
      </c>
      <c r="AA355" s="140">
        <f ca="1">IF(ISNUMBER(MATCH(DATEVALUE($A355),'recurring1_based on steps'!AA$1:AA$400,0)),AA$2,)</f>
        <v>0</v>
      </c>
      <c r="AB355" s="140">
        <f ca="1">IF(ISNUMBER(MATCH(DATEVALUE($A355),'recurring1_based on steps'!AB$1:AB$400,0)),AB$2,)</f>
        <v>5.5401662049861494E-2</v>
      </c>
      <c r="AC355" s="140">
        <f ca="1">IF(ISNUMBER(MATCH(DATEVALUE($A355),'recurring1_based on steps'!AC$1:AC$400,0)),AC$2,)</f>
        <v>0</v>
      </c>
      <c r="AD355" s="140">
        <f ca="1">IF(ISNUMBER(MATCH(DATEVALUE($A355),'recurring1_based on steps'!AD$1:AD$400,0)),AD$2,)</f>
        <v>0</v>
      </c>
      <c r="AE355" s="140">
        <f ca="1">IF(ISNUMBER(MATCH(DATEVALUE($A355),'recurring1_based on steps'!AE$1:AE$400,0)),AE$2,)</f>
        <v>0</v>
      </c>
      <c r="AF355" s="140">
        <f ca="1">IF(ISNUMBER(MATCH(DATEVALUE($A355),'recurring1_based on steps'!AF$1:AF$400,0)),AF$2,)</f>
        <v>0</v>
      </c>
      <c r="AG355" s="140">
        <f ca="1">IF(ISNUMBER(MATCH(DATEVALUE($A355),'recurring1_based on steps'!AG$1:AG$400,0)),AG$2,)</f>
        <v>0</v>
      </c>
      <c r="AH355" s="140">
        <f ca="1">IF(ISNUMBER(MATCH(DATEVALUE($A355),'recurring1_based on steps'!AH$1:AH$400,0)),AH$2,)</f>
        <v>0</v>
      </c>
      <c r="AI355" s="140">
        <f ca="1">IF(ISNUMBER(MATCH(DATEVALUE($A355),'recurring1_based on steps'!AI$1:AI$400,0)),AI$2,)</f>
        <v>0</v>
      </c>
      <c r="AJ355" s="140">
        <f ca="1">IF(ISNUMBER(MATCH(DATEVALUE($A355),'recurring1_based on steps'!AJ$1:AJ$400,0)),AJ$2,)</f>
        <v>0</v>
      </c>
      <c r="AK355" s="140">
        <f ca="1">IF(ISNUMBER(MATCH(DATEVALUE($A355),'recurring1_based on steps'!AK$1:AK$400,0)),AK$2,)</f>
        <v>0</v>
      </c>
      <c r="AL355" s="140">
        <f ca="1">IF(ISNUMBER(MATCH(DATEVALUE($A355),'recurring1_based on steps'!AL$1:AL$400,0)),AL$2,)</f>
        <v>0</v>
      </c>
      <c r="AM355" s="140">
        <f ca="1">IF(ISNUMBER(MATCH(DATEVALUE($A355),'recurring1_based on steps'!AM$1:AM$400,0)),AM$2,)</f>
        <v>0</v>
      </c>
      <c r="AN355" s="140">
        <f ca="1">IF(ISNUMBER(MATCH(DATEVALUE($A355),'recurring1_based on steps'!AN$1:AN$400,0)),AN$2,)</f>
        <v>0</v>
      </c>
      <c r="AO355" s="140">
        <f ca="1">IF(ISNUMBER(MATCH(DATEVALUE($A355),'recurring1_based on steps'!AO$1:AO$400,0)),AO$2,)</f>
        <v>0</v>
      </c>
      <c r="AP355" s="140">
        <f ca="1">IF(ISNUMBER(MATCH(DATEVALUE($A355),'recurring1_based on steps'!AP$1:AP$400,0)),AP$2,)</f>
        <v>0</v>
      </c>
      <c r="AQ355" s="140">
        <f ca="1">IF(ISNUMBER(MATCH(DATEVALUE($A355),'recurring1_based on steps'!AQ$1:AQ$400,0)),AQ$2,)</f>
        <v>0</v>
      </c>
      <c r="AR355" s="140">
        <f ca="1">IF(ISNUMBER(MATCH(DATEVALUE($A355),'recurring1_based on steps'!AR$1:AR$400,0)),AR$2,)</f>
        <v>0</v>
      </c>
      <c r="AS355" s="140">
        <f ca="1">IF(ISNUMBER(MATCH(DATEVALUE($A355),'recurring1_based on steps'!AS$1:AS$400,0)),AS$2,)</f>
        <v>0</v>
      </c>
      <c r="AT355" s="140">
        <f ca="1">IF(ISNUMBER(MATCH(DATEVALUE($A355),'recurring1_based on steps'!AT$1:AT$400,0)),AT$2,)</f>
        <v>0</v>
      </c>
      <c r="AU355" s="140">
        <f ca="1">IF(ISNUMBER(MATCH(DATEVALUE($A355),'recurring1_based on steps'!AU$1:AU$400,0)),AU$2,)</f>
        <v>0</v>
      </c>
      <c r="AV355" s="140">
        <f ca="1">IF(ISNUMBER(MATCH(DATEVALUE($A355),'recurring1_based on steps'!AV$1:AV$400,0)),AV$2,)</f>
        <v>0</v>
      </c>
      <c r="AW355" s="140">
        <f ca="1">IF(ISNUMBER(MATCH(DATEVALUE($A355),'recurring1_based on steps'!AW$1:AW$400,0)),AW$2,)</f>
        <v>0</v>
      </c>
      <c r="AX355" s="140">
        <f ca="1">IF(ISNUMBER(MATCH(DATEVALUE($A355),'recurring1_based on steps'!AX$1:AX$400,0)),AX$2,)</f>
        <v>0</v>
      </c>
      <c r="AY355" s="140">
        <f ca="1">IF(ISNUMBER(MATCH(DATEVALUE($A355),'recurring1_based on steps'!AY$1:AY$400,0)),AY$2,)</f>
        <v>0</v>
      </c>
    </row>
    <row r="356" spans="1:51" x14ac:dyDescent="0.2">
      <c r="A356" s="29" t="str">
        <f t="shared" ca="1" si="5"/>
        <v>2026-03-15</v>
      </c>
      <c r="B356" s="140">
        <f ca="1">IF(ISNUMBER(MATCH(DATEVALUE($A356),'recurring1_based on steps'!B$1:B$400,0)),B$2,)</f>
        <v>0</v>
      </c>
      <c r="C356" s="140">
        <f ca="1">IF(ISNUMBER(MATCH(DATEVALUE($A356),'recurring1_based on steps'!C$1:C$400,0)),C$2,)</f>
        <v>0</v>
      </c>
      <c r="D356" s="140">
        <f ca="1">IF(ISNUMBER(MATCH(DATEVALUE($A356),'recurring1_based on steps'!D$1:D$400,0)),D$2,)</f>
        <v>0</v>
      </c>
      <c r="E356" s="140">
        <f ca="1">IF(ISNUMBER(MATCH(DATEVALUE($A356),'recurring1_based on steps'!E$1:E$400,0)),E$2,)</f>
        <v>0</v>
      </c>
      <c r="F356" s="140">
        <f ca="1">IF(ISNUMBER(MATCH(DATEVALUE($A356),'recurring1_based on steps'!F$1:F$400,0)),F$2,)</f>
        <v>0</v>
      </c>
      <c r="G356" s="140">
        <f ca="1">IF(ISNUMBER(MATCH(DATEVALUE($A356),'recurring1_based on steps'!G$1:G$400,0)),G$2,)</f>
        <v>0</v>
      </c>
      <c r="H356" s="140">
        <f ca="1">IF(ISNUMBER(MATCH(DATEVALUE($A356),'recurring1_based on steps'!H$1:H$400,0)),H$2,)</f>
        <v>0</v>
      </c>
      <c r="I356" s="140">
        <f ca="1">IF(ISNUMBER(MATCH(DATEVALUE($A356),'recurring1_based on steps'!I$1:I$400,0)),I$2,)</f>
        <v>0</v>
      </c>
      <c r="J356" s="140">
        <f ca="1">IF(ISNUMBER(MATCH(DATEVALUE($A356),'recurring1_based on steps'!J$1:J$400,0)),J$2,)</f>
        <v>0</v>
      </c>
      <c r="K356" s="140">
        <f ca="1">IF(ISNUMBER(MATCH(DATEVALUE($A356),'recurring1_based on steps'!K$1:K$400,0)),K$2,)</f>
        <v>50</v>
      </c>
      <c r="L356" s="140">
        <f ca="1">IF(ISNUMBER(MATCH(DATEVALUE($A356),'recurring1_based on steps'!L$1:L$400,0)),L$2,)</f>
        <v>0</v>
      </c>
      <c r="M356" s="140">
        <f ca="1">IF(ISNUMBER(MATCH(DATEVALUE($A356),'recurring1_based on steps'!M$1:M$400,0)),M$2,)</f>
        <v>0</v>
      </c>
      <c r="N356" s="140">
        <f ca="1">IF(ISNUMBER(MATCH(DATEVALUE($A356),'recurring1_based on steps'!N$1:N$400,0)),N$2,)</f>
        <v>0</v>
      </c>
      <c r="O356" s="140">
        <f ca="1">IF(ISNUMBER(MATCH(DATEVALUE($A356),'recurring1_based on steps'!O$1:O$400,0)),O$2,)</f>
        <v>0</v>
      </c>
      <c r="P356" s="140">
        <f ca="1">IF(ISNUMBER(MATCH(DATEVALUE($A356),'recurring1_based on steps'!P$1:P$400,0)),P$2,)</f>
        <v>0</v>
      </c>
      <c r="Q356" s="140">
        <f ca="1">IF(ISNUMBER(MATCH(DATEVALUE($A356),'recurring1_based on steps'!Q$1:Q$400,0)),Q$2,)</f>
        <v>0</v>
      </c>
      <c r="R356" s="140">
        <f ca="1">IF(ISNUMBER(MATCH(DATEVALUE($A356),'recurring1_based on steps'!R$1:R$400,0)),R$2,)</f>
        <v>0</v>
      </c>
      <c r="S356" s="140">
        <f ca="1">IF(ISNUMBER(MATCH(DATEVALUE($A356),'recurring1_based on steps'!S$1:S$400,0)),S$2,)</f>
        <v>100</v>
      </c>
      <c r="T356" s="140">
        <f ca="1">IF(ISNUMBER(MATCH(DATEVALUE($A356),'recurring1_based on steps'!T$1:T$400,0)),T$2,)</f>
        <v>0</v>
      </c>
      <c r="U356" s="140">
        <f ca="1">IF(ISNUMBER(MATCH(DATEVALUE($A356),'recurring1_based on steps'!U$1:U$400,0)),U$2,)</f>
        <v>0</v>
      </c>
      <c r="V356" s="140">
        <f ca="1">IF(ISNUMBER(MATCH(DATEVALUE($A356),'recurring1_based on steps'!V$1:V$400,0)),V$2,)</f>
        <v>0</v>
      </c>
      <c r="W356" s="140">
        <f ca="1">IF(ISNUMBER(MATCH(DATEVALUE($A356),'recurring1_based on steps'!W$1:W$400,0)),W$2,)</f>
        <v>0</v>
      </c>
      <c r="X356" s="140">
        <f ca="1">IF(ISNUMBER(MATCH(DATEVALUE($A356),'recurring1_based on steps'!X$1:X$400,0)),X$2,)</f>
        <v>0</v>
      </c>
      <c r="Y356" s="140">
        <f ca="1">IF(ISNUMBER(MATCH(DATEVALUE($A356),'recurring1_based on steps'!Y$1:Y$400,0)),Y$2,)</f>
        <v>0</v>
      </c>
      <c r="Z356" s="140">
        <f ca="1">IF(ISNUMBER(MATCH(DATEVALUE($A356),'recurring1_based on steps'!Z$1:Z$400,0)),Z$2,)</f>
        <v>0</v>
      </c>
      <c r="AA356" s="140">
        <f ca="1">IF(ISNUMBER(MATCH(DATEVALUE($A356),'recurring1_based on steps'!AA$1:AA$400,0)),AA$2,)</f>
        <v>0</v>
      </c>
      <c r="AB356" s="140">
        <f ca="1">IF(ISNUMBER(MATCH(DATEVALUE($A356),'recurring1_based on steps'!AB$1:AB$400,0)),AB$2,)</f>
        <v>5.5401662049861494E-2</v>
      </c>
      <c r="AC356" s="140">
        <f ca="1">IF(ISNUMBER(MATCH(DATEVALUE($A356),'recurring1_based on steps'!AC$1:AC$400,0)),AC$2,)</f>
        <v>0</v>
      </c>
      <c r="AD356" s="140">
        <f ca="1">IF(ISNUMBER(MATCH(DATEVALUE($A356),'recurring1_based on steps'!AD$1:AD$400,0)),AD$2,)</f>
        <v>0</v>
      </c>
      <c r="AE356" s="140">
        <f ca="1">IF(ISNUMBER(MATCH(DATEVALUE($A356),'recurring1_based on steps'!AE$1:AE$400,0)),AE$2,)</f>
        <v>0</v>
      </c>
      <c r="AF356" s="140">
        <f ca="1">IF(ISNUMBER(MATCH(DATEVALUE($A356),'recurring1_based on steps'!AF$1:AF$400,0)),AF$2,)</f>
        <v>0</v>
      </c>
      <c r="AG356" s="140">
        <f ca="1">IF(ISNUMBER(MATCH(DATEVALUE($A356),'recurring1_based on steps'!AG$1:AG$400,0)),AG$2,)</f>
        <v>0</v>
      </c>
      <c r="AH356" s="140">
        <f ca="1">IF(ISNUMBER(MATCH(DATEVALUE($A356),'recurring1_based on steps'!AH$1:AH$400,0)),AH$2,)</f>
        <v>0</v>
      </c>
      <c r="AI356" s="140">
        <f ca="1">IF(ISNUMBER(MATCH(DATEVALUE($A356),'recurring1_based on steps'!AI$1:AI$400,0)),AI$2,)</f>
        <v>0</v>
      </c>
      <c r="AJ356" s="140">
        <f ca="1">IF(ISNUMBER(MATCH(DATEVALUE($A356),'recurring1_based on steps'!AJ$1:AJ$400,0)),AJ$2,)</f>
        <v>0</v>
      </c>
      <c r="AK356" s="140">
        <f ca="1">IF(ISNUMBER(MATCH(DATEVALUE($A356),'recurring1_based on steps'!AK$1:AK$400,0)),AK$2,)</f>
        <v>0</v>
      </c>
      <c r="AL356" s="140">
        <f ca="1">IF(ISNUMBER(MATCH(DATEVALUE($A356),'recurring1_based on steps'!AL$1:AL$400,0)),AL$2,)</f>
        <v>0</v>
      </c>
      <c r="AM356" s="140">
        <f ca="1">IF(ISNUMBER(MATCH(DATEVALUE($A356),'recurring1_based on steps'!AM$1:AM$400,0)),AM$2,)</f>
        <v>0</v>
      </c>
      <c r="AN356" s="140">
        <f ca="1">IF(ISNUMBER(MATCH(DATEVALUE($A356),'recurring1_based on steps'!AN$1:AN$400,0)),AN$2,)</f>
        <v>0</v>
      </c>
      <c r="AO356" s="140">
        <f ca="1">IF(ISNUMBER(MATCH(DATEVALUE($A356),'recurring1_based on steps'!AO$1:AO$400,0)),AO$2,)</f>
        <v>0</v>
      </c>
      <c r="AP356" s="140">
        <f ca="1">IF(ISNUMBER(MATCH(DATEVALUE($A356),'recurring1_based on steps'!AP$1:AP$400,0)),AP$2,)</f>
        <v>0</v>
      </c>
      <c r="AQ356" s="140">
        <f ca="1">IF(ISNUMBER(MATCH(DATEVALUE($A356),'recurring1_based on steps'!AQ$1:AQ$400,0)),AQ$2,)</f>
        <v>0</v>
      </c>
      <c r="AR356" s="140">
        <f ca="1">IF(ISNUMBER(MATCH(DATEVALUE($A356),'recurring1_based on steps'!AR$1:AR$400,0)),AR$2,)</f>
        <v>0</v>
      </c>
      <c r="AS356" s="140">
        <f ca="1">IF(ISNUMBER(MATCH(DATEVALUE($A356),'recurring1_based on steps'!AS$1:AS$400,0)),AS$2,)</f>
        <v>0</v>
      </c>
      <c r="AT356" s="140">
        <f ca="1">IF(ISNUMBER(MATCH(DATEVALUE($A356),'recurring1_based on steps'!AT$1:AT$400,0)),AT$2,)</f>
        <v>0</v>
      </c>
      <c r="AU356" s="140">
        <f ca="1">IF(ISNUMBER(MATCH(DATEVALUE($A356),'recurring1_based on steps'!AU$1:AU$400,0)),AU$2,)</f>
        <v>0</v>
      </c>
      <c r="AV356" s="140">
        <f ca="1">IF(ISNUMBER(MATCH(DATEVALUE($A356),'recurring1_based on steps'!AV$1:AV$400,0)),AV$2,)</f>
        <v>0</v>
      </c>
      <c r="AW356" s="140">
        <f ca="1">IF(ISNUMBER(MATCH(DATEVALUE($A356),'recurring1_based on steps'!AW$1:AW$400,0)),AW$2,)</f>
        <v>0</v>
      </c>
      <c r="AX356" s="140">
        <f ca="1">IF(ISNUMBER(MATCH(DATEVALUE($A356),'recurring1_based on steps'!AX$1:AX$400,0)),AX$2,)</f>
        <v>0</v>
      </c>
      <c r="AY356" s="140">
        <f ca="1">IF(ISNUMBER(MATCH(DATEVALUE($A356),'recurring1_based on steps'!AY$1:AY$400,0)),AY$2,)</f>
        <v>0</v>
      </c>
    </row>
    <row r="357" spans="1:51" x14ac:dyDescent="0.2">
      <c r="A357" s="29" t="str">
        <f t="shared" ca="1" si="5"/>
        <v>2026-03-16</v>
      </c>
      <c r="B357" s="140">
        <f ca="1">IF(ISNUMBER(MATCH(DATEVALUE($A357),'recurring1_based on steps'!B$1:B$400,0)),B$2,)</f>
        <v>0</v>
      </c>
      <c r="C357" s="140">
        <f ca="1">IF(ISNUMBER(MATCH(DATEVALUE($A357),'recurring1_based on steps'!C$1:C$400,0)),C$2,)</f>
        <v>0</v>
      </c>
      <c r="D357" s="140">
        <f ca="1">IF(ISNUMBER(MATCH(DATEVALUE($A357),'recurring1_based on steps'!D$1:D$400,0)),D$2,)</f>
        <v>0</v>
      </c>
      <c r="E357" s="140">
        <f ca="1">IF(ISNUMBER(MATCH(DATEVALUE($A357),'recurring1_based on steps'!E$1:E$400,0)),E$2,)</f>
        <v>0</v>
      </c>
      <c r="F357" s="140">
        <f ca="1">IF(ISNUMBER(MATCH(DATEVALUE($A357),'recurring1_based on steps'!F$1:F$400,0)),F$2,)</f>
        <v>0</v>
      </c>
      <c r="G357" s="140">
        <f ca="1">IF(ISNUMBER(MATCH(DATEVALUE($A357),'recurring1_based on steps'!G$1:G$400,0)),G$2,)</f>
        <v>0</v>
      </c>
      <c r="H357" s="140">
        <f ca="1">IF(ISNUMBER(MATCH(DATEVALUE($A357),'recurring1_based on steps'!H$1:H$400,0)),H$2,)</f>
        <v>0</v>
      </c>
      <c r="I357" s="140">
        <f ca="1">IF(ISNUMBER(MATCH(DATEVALUE($A357),'recurring1_based on steps'!I$1:I$400,0)),I$2,)</f>
        <v>0</v>
      </c>
      <c r="J357" s="140">
        <f ca="1">IF(ISNUMBER(MATCH(DATEVALUE($A357),'recurring1_based on steps'!J$1:J$400,0)),J$2,)</f>
        <v>0</v>
      </c>
      <c r="K357" s="140">
        <f ca="1">IF(ISNUMBER(MATCH(DATEVALUE($A357),'recurring1_based on steps'!K$1:K$400,0)),K$2,)</f>
        <v>0</v>
      </c>
      <c r="L357" s="140">
        <f ca="1">IF(ISNUMBER(MATCH(DATEVALUE($A357),'recurring1_based on steps'!L$1:L$400,0)),L$2,)</f>
        <v>0</v>
      </c>
      <c r="M357" s="140">
        <f ca="1">IF(ISNUMBER(MATCH(DATEVALUE($A357),'recurring1_based on steps'!M$1:M$400,0)),M$2,)</f>
        <v>0</v>
      </c>
      <c r="N357" s="140">
        <f ca="1">IF(ISNUMBER(MATCH(DATEVALUE($A357),'recurring1_based on steps'!N$1:N$400,0)),N$2,)</f>
        <v>0</v>
      </c>
      <c r="O357" s="140">
        <f ca="1">IF(ISNUMBER(MATCH(DATEVALUE($A357),'recurring1_based on steps'!O$1:O$400,0)),O$2,)</f>
        <v>0</v>
      </c>
      <c r="P357" s="140">
        <f ca="1">IF(ISNUMBER(MATCH(DATEVALUE($A357),'recurring1_based on steps'!P$1:P$400,0)),P$2,)</f>
        <v>0</v>
      </c>
      <c r="Q357" s="140">
        <f ca="1">IF(ISNUMBER(MATCH(DATEVALUE($A357),'recurring1_based on steps'!Q$1:Q$400,0)),Q$2,)</f>
        <v>0</v>
      </c>
      <c r="R357" s="140">
        <f ca="1">IF(ISNUMBER(MATCH(DATEVALUE($A357),'recurring1_based on steps'!R$1:R$400,0)),R$2,)</f>
        <v>0</v>
      </c>
      <c r="S357" s="140">
        <f ca="1">IF(ISNUMBER(MATCH(DATEVALUE($A357),'recurring1_based on steps'!S$1:S$400,0)),S$2,)</f>
        <v>0</v>
      </c>
      <c r="T357" s="140">
        <f ca="1">IF(ISNUMBER(MATCH(DATEVALUE($A357),'recurring1_based on steps'!T$1:T$400,0)),T$2,)</f>
        <v>0</v>
      </c>
      <c r="U357" s="140">
        <f ca="1">IF(ISNUMBER(MATCH(DATEVALUE($A357),'recurring1_based on steps'!U$1:U$400,0)),U$2,)</f>
        <v>0</v>
      </c>
      <c r="V357" s="140">
        <f ca="1">IF(ISNUMBER(MATCH(DATEVALUE($A357),'recurring1_based on steps'!V$1:V$400,0)),V$2,)</f>
        <v>0</v>
      </c>
      <c r="W357" s="140">
        <f ca="1">IF(ISNUMBER(MATCH(DATEVALUE($A357),'recurring1_based on steps'!W$1:W$400,0)),W$2,)</f>
        <v>0</v>
      </c>
      <c r="X357" s="140">
        <f ca="1">IF(ISNUMBER(MATCH(DATEVALUE($A357),'recurring1_based on steps'!X$1:X$400,0)),X$2,)</f>
        <v>0</v>
      </c>
      <c r="Y357" s="140">
        <f ca="1">IF(ISNUMBER(MATCH(DATEVALUE($A357),'recurring1_based on steps'!Y$1:Y$400,0)),Y$2,)</f>
        <v>0</v>
      </c>
      <c r="Z357" s="140">
        <f ca="1">IF(ISNUMBER(MATCH(DATEVALUE($A357),'recurring1_based on steps'!Z$1:Z$400,0)),Z$2,)</f>
        <v>0</v>
      </c>
      <c r="AA357" s="140">
        <f ca="1">IF(ISNUMBER(MATCH(DATEVALUE($A357),'recurring1_based on steps'!AA$1:AA$400,0)),AA$2,)</f>
        <v>0</v>
      </c>
      <c r="AB357" s="140">
        <f ca="1">IF(ISNUMBER(MATCH(DATEVALUE($A357),'recurring1_based on steps'!AB$1:AB$400,0)),AB$2,)</f>
        <v>5.5401662049861494E-2</v>
      </c>
      <c r="AC357" s="140">
        <f ca="1">IF(ISNUMBER(MATCH(DATEVALUE($A357),'recurring1_based on steps'!AC$1:AC$400,0)),AC$2,)</f>
        <v>0</v>
      </c>
      <c r="AD357" s="140">
        <f ca="1">IF(ISNUMBER(MATCH(DATEVALUE($A357),'recurring1_based on steps'!AD$1:AD$400,0)),AD$2,)</f>
        <v>0</v>
      </c>
      <c r="AE357" s="140">
        <f ca="1">IF(ISNUMBER(MATCH(DATEVALUE($A357),'recurring1_based on steps'!AE$1:AE$400,0)),AE$2,)</f>
        <v>0</v>
      </c>
      <c r="AF357" s="140">
        <f ca="1">IF(ISNUMBER(MATCH(DATEVALUE($A357),'recurring1_based on steps'!AF$1:AF$400,0)),AF$2,)</f>
        <v>0</v>
      </c>
      <c r="AG357" s="140">
        <f ca="1">IF(ISNUMBER(MATCH(DATEVALUE($A357),'recurring1_based on steps'!AG$1:AG$400,0)),AG$2,)</f>
        <v>0</v>
      </c>
      <c r="AH357" s="140">
        <f ca="1">IF(ISNUMBER(MATCH(DATEVALUE($A357),'recurring1_based on steps'!AH$1:AH$400,0)),AH$2,)</f>
        <v>0</v>
      </c>
      <c r="AI357" s="140">
        <f ca="1">IF(ISNUMBER(MATCH(DATEVALUE($A357),'recurring1_based on steps'!AI$1:AI$400,0)),AI$2,)</f>
        <v>0</v>
      </c>
      <c r="AJ357" s="140">
        <f ca="1">IF(ISNUMBER(MATCH(DATEVALUE($A357),'recurring1_based on steps'!AJ$1:AJ$400,0)),AJ$2,)</f>
        <v>0</v>
      </c>
      <c r="AK357" s="140">
        <f ca="1">IF(ISNUMBER(MATCH(DATEVALUE($A357),'recurring1_based on steps'!AK$1:AK$400,0)),AK$2,)</f>
        <v>0</v>
      </c>
      <c r="AL357" s="140">
        <f ca="1">IF(ISNUMBER(MATCH(DATEVALUE($A357),'recurring1_based on steps'!AL$1:AL$400,0)),AL$2,)</f>
        <v>0</v>
      </c>
      <c r="AM357" s="140">
        <f ca="1">IF(ISNUMBER(MATCH(DATEVALUE($A357),'recurring1_based on steps'!AM$1:AM$400,0)),AM$2,)</f>
        <v>0</v>
      </c>
      <c r="AN357" s="140">
        <f ca="1">IF(ISNUMBER(MATCH(DATEVALUE($A357),'recurring1_based on steps'!AN$1:AN$400,0)),AN$2,)</f>
        <v>0</v>
      </c>
      <c r="AO357" s="140">
        <f ca="1">IF(ISNUMBER(MATCH(DATEVALUE($A357),'recurring1_based on steps'!AO$1:AO$400,0)),AO$2,)</f>
        <v>0</v>
      </c>
      <c r="AP357" s="140">
        <f ca="1">IF(ISNUMBER(MATCH(DATEVALUE($A357),'recurring1_based on steps'!AP$1:AP$400,0)),AP$2,)</f>
        <v>0</v>
      </c>
      <c r="AQ357" s="140">
        <f ca="1">IF(ISNUMBER(MATCH(DATEVALUE($A357),'recurring1_based on steps'!AQ$1:AQ$400,0)),AQ$2,)</f>
        <v>0</v>
      </c>
      <c r="AR357" s="140">
        <f ca="1">IF(ISNUMBER(MATCH(DATEVALUE($A357),'recurring1_based on steps'!AR$1:AR$400,0)),AR$2,)</f>
        <v>0</v>
      </c>
      <c r="AS357" s="140">
        <f ca="1">IF(ISNUMBER(MATCH(DATEVALUE($A357),'recurring1_based on steps'!AS$1:AS$400,0)),AS$2,)</f>
        <v>0</v>
      </c>
      <c r="AT357" s="140">
        <f ca="1">IF(ISNUMBER(MATCH(DATEVALUE($A357),'recurring1_based on steps'!AT$1:AT$400,0)),AT$2,)</f>
        <v>0</v>
      </c>
      <c r="AU357" s="140">
        <f ca="1">IF(ISNUMBER(MATCH(DATEVALUE($A357),'recurring1_based on steps'!AU$1:AU$400,0)),AU$2,)</f>
        <v>0</v>
      </c>
      <c r="AV357" s="140">
        <f ca="1">IF(ISNUMBER(MATCH(DATEVALUE($A357),'recurring1_based on steps'!AV$1:AV$400,0)),AV$2,)</f>
        <v>0</v>
      </c>
      <c r="AW357" s="140">
        <f ca="1">IF(ISNUMBER(MATCH(DATEVALUE($A357),'recurring1_based on steps'!AW$1:AW$400,0)),AW$2,)</f>
        <v>0</v>
      </c>
      <c r="AX357" s="140">
        <f ca="1">IF(ISNUMBER(MATCH(DATEVALUE($A357),'recurring1_based on steps'!AX$1:AX$400,0)),AX$2,)</f>
        <v>0</v>
      </c>
      <c r="AY357" s="140">
        <f ca="1">IF(ISNUMBER(MATCH(DATEVALUE($A357),'recurring1_based on steps'!AY$1:AY$400,0)),AY$2,)</f>
        <v>0</v>
      </c>
    </row>
    <row r="358" spans="1:51" x14ac:dyDescent="0.2">
      <c r="A358" s="29" t="str">
        <f t="shared" ca="1" si="5"/>
        <v>2026-03-17</v>
      </c>
      <c r="B358" s="140">
        <f ca="1">IF(ISNUMBER(MATCH(DATEVALUE($A358),'recurring1_based on steps'!B$1:B$400,0)),B$2,)</f>
        <v>0</v>
      </c>
      <c r="C358" s="140">
        <f ca="1">IF(ISNUMBER(MATCH(DATEVALUE($A358),'recurring1_based on steps'!C$1:C$400,0)),C$2,)</f>
        <v>0</v>
      </c>
      <c r="D358" s="140">
        <f ca="1">IF(ISNUMBER(MATCH(DATEVALUE($A358),'recurring1_based on steps'!D$1:D$400,0)),D$2,)</f>
        <v>0</v>
      </c>
      <c r="E358" s="140">
        <f ca="1">IF(ISNUMBER(MATCH(DATEVALUE($A358),'recurring1_based on steps'!E$1:E$400,0)),E$2,)</f>
        <v>0</v>
      </c>
      <c r="F358" s="140">
        <f ca="1">IF(ISNUMBER(MATCH(DATEVALUE($A358),'recurring1_based on steps'!F$1:F$400,0)),F$2,)</f>
        <v>0</v>
      </c>
      <c r="G358" s="140">
        <f ca="1">IF(ISNUMBER(MATCH(DATEVALUE($A358),'recurring1_based on steps'!G$1:G$400,0)),G$2,)</f>
        <v>0</v>
      </c>
      <c r="H358" s="140">
        <f ca="1">IF(ISNUMBER(MATCH(DATEVALUE($A358),'recurring1_based on steps'!H$1:H$400,0)),H$2,)</f>
        <v>0</v>
      </c>
      <c r="I358" s="140">
        <f ca="1">IF(ISNUMBER(MATCH(DATEVALUE($A358),'recurring1_based on steps'!I$1:I$400,0)),I$2,)</f>
        <v>0</v>
      </c>
      <c r="J358" s="140">
        <f ca="1">IF(ISNUMBER(MATCH(DATEVALUE($A358),'recurring1_based on steps'!J$1:J$400,0)),J$2,)</f>
        <v>0</v>
      </c>
      <c r="K358" s="140">
        <f ca="1">IF(ISNUMBER(MATCH(DATEVALUE($A358),'recurring1_based on steps'!K$1:K$400,0)),K$2,)</f>
        <v>0</v>
      </c>
      <c r="L358" s="140">
        <f ca="1">IF(ISNUMBER(MATCH(DATEVALUE($A358),'recurring1_based on steps'!L$1:L$400,0)),L$2,)</f>
        <v>0</v>
      </c>
      <c r="M358" s="140">
        <f ca="1">IF(ISNUMBER(MATCH(DATEVALUE($A358),'recurring1_based on steps'!M$1:M$400,0)),M$2,)</f>
        <v>0</v>
      </c>
      <c r="N358" s="140">
        <f ca="1">IF(ISNUMBER(MATCH(DATEVALUE($A358),'recurring1_based on steps'!N$1:N$400,0)),N$2,)</f>
        <v>0</v>
      </c>
      <c r="O358" s="140">
        <f ca="1">IF(ISNUMBER(MATCH(DATEVALUE($A358),'recurring1_based on steps'!O$1:O$400,0)),O$2,)</f>
        <v>0</v>
      </c>
      <c r="P358" s="140">
        <f ca="1">IF(ISNUMBER(MATCH(DATEVALUE($A358),'recurring1_based on steps'!P$1:P$400,0)),P$2,)</f>
        <v>0</v>
      </c>
      <c r="Q358" s="140">
        <f ca="1">IF(ISNUMBER(MATCH(DATEVALUE($A358),'recurring1_based on steps'!Q$1:Q$400,0)),Q$2,)</f>
        <v>0</v>
      </c>
      <c r="R358" s="140">
        <f ca="1">IF(ISNUMBER(MATCH(DATEVALUE($A358),'recurring1_based on steps'!R$1:R$400,0)),R$2,)</f>
        <v>0</v>
      </c>
      <c r="S358" s="140">
        <f ca="1">IF(ISNUMBER(MATCH(DATEVALUE($A358),'recurring1_based on steps'!S$1:S$400,0)),S$2,)</f>
        <v>0</v>
      </c>
      <c r="T358" s="140">
        <f ca="1">IF(ISNUMBER(MATCH(DATEVALUE($A358),'recurring1_based on steps'!T$1:T$400,0)),T$2,)</f>
        <v>0</v>
      </c>
      <c r="U358" s="140">
        <f ca="1">IF(ISNUMBER(MATCH(DATEVALUE($A358),'recurring1_based on steps'!U$1:U$400,0)),U$2,)</f>
        <v>0</v>
      </c>
      <c r="V358" s="140">
        <f ca="1">IF(ISNUMBER(MATCH(DATEVALUE($A358),'recurring1_based on steps'!V$1:V$400,0)),V$2,)</f>
        <v>0</v>
      </c>
      <c r="W358" s="140">
        <f ca="1">IF(ISNUMBER(MATCH(DATEVALUE($A358),'recurring1_based on steps'!W$1:W$400,0)),W$2,)</f>
        <v>0</v>
      </c>
      <c r="X358" s="140">
        <f ca="1">IF(ISNUMBER(MATCH(DATEVALUE($A358),'recurring1_based on steps'!X$1:X$400,0)),X$2,)</f>
        <v>0</v>
      </c>
      <c r="Y358" s="140">
        <f ca="1">IF(ISNUMBER(MATCH(DATEVALUE($A358),'recurring1_based on steps'!Y$1:Y$400,0)),Y$2,)</f>
        <v>0</v>
      </c>
      <c r="Z358" s="140">
        <f ca="1">IF(ISNUMBER(MATCH(DATEVALUE($A358),'recurring1_based on steps'!Z$1:Z$400,0)),Z$2,)</f>
        <v>0</v>
      </c>
      <c r="AA358" s="140">
        <f ca="1">IF(ISNUMBER(MATCH(DATEVALUE($A358),'recurring1_based on steps'!AA$1:AA$400,0)),AA$2,)</f>
        <v>0</v>
      </c>
      <c r="AB358" s="140">
        <f ca="1">IF(ISNUMBER(MATCH(DATEVALUE($A358),'recurring1_based on steps'!AB$1:AB$400,0)),AB$2,)</f>
        <v>5.5401662049861494E-2</v>
      </c>
      <c r="AC358" s="140">
        <f ca="1">IF(ISNUMBER(MATCH(DATEVALUE($A358),'recurring1_based on steps'!AC$1:AC$400,0)),AC$2,)</f>
        <v>0</v>
      </c>
      <c r="AD358" s="140">
        <f ca="1">IF(ISNUMBER(MATCH(DATEVALUE($A358),'recurring1_based on steps'!AD$1:AD$400,0)),AD$2,)</f>
        <v>0</v>
      </c>
      <c r="AE358" s="140">
        <f ca="1">IF(ISNUMBER(MATCH(DATEVALUE($A358),'recurring1_based on steps'!AE$1:AE$400,0)),AE$2,)</f>
        <v>0</v>
      </c>
      <c r="AF358" s="140">
        <f ca="1">IF(ISNUMBER(MATCH(DATEVALUE($A358),'recurring1_based on steps'!AF$1:AF$400,0)),AF$2,)</f>
        <v>0</v>
      </c>
      <c r="AG358" s="140">
        <f ca="1">IF(ISNUMBER(MATCH(DATEVALUE($A358),'recurring1_based on steps'!AG$1:AG$400,0)),AG$2,)</f>
        <v>0</v>
      </c>
      <c r="AH358" s="140">
        <f ca="1">IF(ISNUMBER(MATCH(DATEVALUE($A358),'recurring1_based on steps'!AH$1:AH$400,0)),AH$2,)</f>
        <v>0</v>
      </c>
      <c r="AI358" s="140">
        <f ca="1">IF(ISNUMBER(MATCH(DATEVALUE($A358),'recurring1_based on steps'!AI$1:AI$400,0)),AI$2,)</f>
        <v>0</v>
      </c>
      <c r="AJ358" s="140">
        <f ca="1">IF(ISNUMBER(MATCH(DATEVALUE($A358),'recurring1_based on steps'!AJ$1:AJ$400,0)),AJ$2,)</f>
        <v>0</v>
      </c>
      <c r="AK358" s="140">
        <f ca="1">IF(ISNUMBER(MATCH(DATEVALUE($A358),'recurring1_based on steps'!AK$1:AK$400,0)),AK$2,)</f>
        <v>0</v>
      </c>
      <c r="AL358" s="140">
        <f ca="1">IF(ISNUMBER(MATCH(DATEVALUE($A358),'recurring1_based on steps'!AL$1:AL$400,0)),AL$2,)</f>
        <v>0</v>
      </c>
      <c r="AM358" s="140">
        <f ca="1">IF(ISNUMBER(MATCH(DATEVALUE($A358),'recurring1_based on steps'!AM$1:AM$400,0)),AM$2,)</f>
        <v>0</v>
      </c>
      <c r="AN358" s="140">
        <f ca="1">IF(ISNUMBER(MATCH(DATEVALUE($A358),'recurring1_based on steps'!AN$1:AN$400,0)),AN$2,)</f>
        <v>0</v>
      </c>
      <c r="AO358" s="140">
        <f ca="1">IF(ISNUMBER(MATCH(DATEVALUE($A358),'recurring1_based on steps'!AO$1:AO$400,0)),AO$2,)</f>
        <v>0</v>
      </c>
      <c r="AP358" s="140">
        <f ca="1">IF(ISNUMBER(MATCH(DATEVALUE($A358),'recurring1_based on steps'!AP$1:AP$400,0)),AP$2,)</f>
        <v>0</v>
      </c>
      <c r="AQ358" s="140">
        <f ca="1">IF(ISNUMBER(MATCH(DATEVALUE($A358),'recurring1_based on steps'!AQ$1:AQ$400,0)),AQ$2,)</f>
        <v>0</v>
      </c>
      <c r="AR358" s="140">
        <f ca="1">IF(ISNUMBER(MATCH(DATEVALUE($A358),'recurring1_based on steps'!AR$1:AR$400,0)),AR$2,)</f>
        <v>0</v>
      </c>
      <c r="AS358" s="140">
        <f ca="1">IF(ISNUMBER(MATCH(DATEVALUE($A358),'recurring1_based on steps'!AS$1:AS$400,0)),AS$2,)</f>
        <v>0</v>
      </c>
      <c r="AT358" s="140">
        <f ca="1">IF(ISNUMBER(MATCH(DATEVALUE($A358),'recurring1_based on steps'!AT$1:AT$400,0)),AT$2,)</f>
        <v>0</v>
      </c>
      <c r="AU358" s="140">
        <f ca="1">IF(ISNUMBER(MATCH(DATEVALUE($A358),'recurring1_based on steps'!AU$1:AU$400,0)),AU$2,)</f>
        <v>0</v>
      </c>
      <c r="AV358" s="140">
        <f ca="1">IF(ISNUMBER(MATCH(DATEVALUE($A358),'recurring1_based on steps'!AV$1:AV$400,0)),AV$2,)</f>
        <v>0</v>
      </c>
      <c r="AW358" s="140">
        <f ca="1">IF(ISNUMBER(MATCH(DATEVALUE($A358),'recurring1_based on steps'!AW$1:AW$400,0)),AW$2,)</f>
        <v>0</v>
      </c>
      <c r="AX358" s="140">
        <f ca="1">IF(ISNUMBER(MATCH(DATEVALUE($A358),'recurring1_based on steps'!AX$1:AX$400,0)),AX$2,)</f>
        <v>0</v>
      </c>
      <c r="AY358" s="140">
        <f ca="1">IF(ISNUMBER(MATCH(DATEVALUE($A358),'recurring1_based on steps'!AY$1:AY$400,0)),AY$2,)</f>
        <v>0</v>
      </c>
    </row>
    <row r="359" spans="1:51" x14ac:dyDescent="0.2">
      <c r="A359" s="29" t="str">
        <f t="shared" ca="1" si="5"/>
        <v>2026-03-18</v>
      </c>
      <c r="B359" s="140">
        <f ca="1">IF(ISNUMBER(MATCH(DATEVALUE($A359),'recurring1_based on steps'!B$1:B$400,0)),B$2,)</f>
        <v>0</v>
      </c>
      <c r="C359" s="140">
        <f ca="1">IF(ISNUMBER(MATCH(DATEVALUE($A359),'recurring1_based on steps'!C$1:C$400,0)),C$2,)</f>
        <v>0</v>
      </c>
      <c r="D359" s="140">
        <f ca="1">IF(ISNUMBER(MATCH(DATEVALUE($A359),'recurring1_based on steps'!D$1:D$400,0)),D$2,)</f>
        <v>0</v>
      </c>
      <c r="E359" s="140">
        <f ca="1">IF(ISNUMBER(MATCH(DATEVALUE($A359),'recurring1_based on steps'!E$1:E$400,0)),E$2,)</f>
        <v>0</v>
      </c>
      <c r="F359" s="140">
        <f ca="1">IF(ISNUMBER(MATCH(DATEVALUE($A359),'recurring1_based on steps'!F$1:F$400,0)),F$2,)</f>
        <v>0</v>
      </c>
      <c r="G359" s="140">
        <f ca="1">IF(ISNUMBER(MATCH(DATEVALUE($A359),'recurring1_based on steps'!G$1:G$400,0)),G$2,)</f>
        <v>0</v>
      </c>
      <c r="H359" s="140">
        <f ca="1">IF(ISNUMBER(MATCH(DATEVALUE($A359),'recurring1_based on steps'!H$1:H$400,0)),H$2,)</f>
        <v>0</v>
      </c>
      <c r="I359" s="140">
        <f ca="1">IF(ISNUMBER(MATCH(DATEVALUE($A359),'recurring1_based on steps'!I$1:I$400,0)),I$2,)</f>
        <v>0</v>
      </c>
      <c r="J359" s="140">
        <f ca="1">IF(ISNUMBER(MATCH(DATEVALUE($A359),'recurring1_based on steps'!J$1:J$400,0)),J$2,)</f>
        <v>0</v>
      </c>
      <c r="K359" s="140">
        <f ca="1">IF(ISNUMBER(MATCH(DATEVALUE($A359),'recurring1_based on steps'!K$1:K$400,0)),K$2,)</f>
        <v>0</v>
      </c>
      <c r="L359" s="140">
        <f ca="1">IF(ISNUMBER(MATCH(DATEVALUE($A359),'recurring1_based on steps'!L$1:L$400,0)),L$2,)</f>
        <v>0</v>
      </c>
      <c r="M359" s="140">
        <f ca="1">IF(ISNUMBER(MATCH(DATEVALUE($A359),'recurring1_based on steps'!M$1:M$400,0)),M$2,)</f>
        <v>0</v>
      </c>
      <c r="N359" s="140">
        <f ca="1">IF(ISNUMBER(MATCH(DATEVALUE($A359),'recurring1_based on steps'!N$1:N$400,0)),N$2,)</f>
        <v>0</v>
      </c>
      <c r="O359" s="140">
        <f ca="1">IF(ISNUMBER(MATCH(DATEVALUE($A359),'recurring1_based on steps'!O$1:O$400,0)),O$2,)</f>
        <v>0</v>
      </c>
      <c r="P359" s="140">
        <f ca="1">IF(ISNUMBER(MATCH(DATEVALUE($A359),'recurring1_based on steps'!P$1:P$400,0)),P$2,)</f>
        <v>0</v>
      </c>
      <c r="Q359" s="140">
        <f ca="1">IF(ISNUMBER(MATCH(DATEVALUE($A359),'recurring1_based on steps'!Q$1:Q$400,0)),Q$2,)</f>
        <v>0</v>
      </c>
      <c r="R359" s="140">
        <f ca="1">IF(ISNUMBER(MATCH(DATEVALUE($A359),'recurring1_based on steps'!R$1:R$400,0)),R$2,)</f>
        <v>0</v>
      </c>
      <c r="S359" s="140">
        <f ca="1">IF(ISNUMBER(MATCH(DATEVALUE($A359),'recurring1_based on steps'!S$1:S$400,0)),S$2,)</f>
        <v>0</v>
      </c>
      <c r="T359" s="140">
        <f ca="1">IF(ISNUMBER(MATCH(DATEVALUE($A359),'recurring1_based on steps'!T$1:T$400,0)),T$2,)</f>
        <v>0</v>
      </c>
      <c r="U359" s="140">
        <f ca="1">IF(ISNUMBER(MATCH(DATEVALUE($A359),'recurring1_based on steps'!U$1:U$400,0)),U$2,)</f>
        <v>0</v>
      </c>
      <c r="V359" s="140">
        <f ca="1">IF(ISNUMBER(MATCH(DATEVALUE($A359),'recurring1_based on steps'!V$1:V$400,0)),V$2,)</f>
        <v>0</v>
      </c>
      <c r="W359" s="140">
        <f ca="1">IF(ISNUMBER(MATCH(DATEVALUE($A359),'recurring1_based on steps'!W$1:W$400,0)),W$2,)</f>
        <v>0</v>
      </c>
      <c r="X359" s="140">
        <f ca="1">IF(ISNUMBER(MATCH(DATEVALUE($A359),'recurring1_based on steps'!X$1:X$400,0)),X$2,)</f>
        <v>0</v>
      </c>
      <c r="Y359" s="140">
        <f ca="1">IF(ISNUMBER(MATCH(DATEVALUE($A359),'recurring1_based on steps'!Y$1:Y$400,0)),Y$2,)</f>
        <v>0</v>
      </c>
      <c r="Z359" s="140">
        <f ca="1">IF(ISNUMBER(MATCH(DATEVALUE($A359),'recurring1_based on steps'!Z$1:Z$400,0)),Z$2,)</f>
        <v>0</v>
      </c>
      <c r="AA359" s="140">
        <f ca="1">IF(ISNUMBER(MATCH(DATEVALUE($A359),'recurring1_based on steps'!AA$1:AA$400,0)),AA$2,)</f>
        <v>0</v>
      </c>
      <c r="AB359" s="140">
        <f ca="1">IF(ISNUMBER(MATCH(DATEVALUE($A359),'recurring1_based on steps'!AB$1:AB$400,0)),AB$2,)</f>
        <v>5.5401662049861494E-2</v>
      </c>
      <c r="AC359" s="140">
        <f ca="1">IF(ISNUMBER(MATCH(DATEVALUE($A359),'recurring1_based on steps'!AC$1:AC$400,0)),AC$2,)</f>
        <v>0</v>
      </c>
      <c r="AD359" s="140">
        <f ca="1">IF(ISNUMBER(MATCH(DATEVALUE($A359),'recurring1_based on steps'!AD$1:AD$400,0)),AD$2,)</f>
        <v>0</v>
      </c>
      <c r="AE359" s="140">
        <f ca="1">IF(ISNUMBER(MATCH(DATEVALUE($A359),'recurring1_based on steps'!AE$1:AE$400,0)),AE$2,)</f>
        <v>0</v>
      </c>
      <c r="AF359" s="140">
        <f ca="1">IF(ISNUMBER(MATCH(DATEVALUE($A359),'recurring1_based on steps'!AF$1:AF$400,0)),AF$2,)</f>
        <v>0</v>
      </c>
      <c r="AG359" s="140">
        <f ca="1">IF(ISNUMBER(MATCH(DATEVALUE($A359),'recurring1_based on steps'!AG$1:AG$400,0)),AG$2,)</f>
        <v>0</v>
      </c>
      <c r="AH359" s="140">
        <f ca="1">IF(ISNUMBER(MATCH(DATEVALUE($A359),'recurring1_based on steps'!AH$1:AH$400,0)),AH$2,)</f>
        <v>0</v>
      </c>
      <c r="AI359" s="140">
        <f ca="1">IF(ISNUMBER(MATCH(DATEVALUE($A359),'recurring1_based on steps'!AI$1:AI$400,0)),AI$2,)</f>
        <v>0</v>
      </c>
      <c r="AJ359" s="140">
        <f ca="1">IF(ISNUMBER(MATCH(DATEVALUE($A359),'recurring1_based on steps'!AJ$1:AJ$400,0)),AJ$2,)</f>
        <v>0</v>
      </c>
      <c r="AK359" s="140">
        <f ca="1">IF(ISNUMBER(MATCH(DATEVALUE($A359),'recurring1_based on steps'!AK$1:AK$400,0)),AK$2,)</f>
        <v>0</v>
      </c>
      <c r="AL359" s="140">
        <f ca="1">IF(ISNUMBER(MATCH(DATEVALUE($A359),'recurring1_based on steps'!AL$1:AL$400,0)),AL$2,)</f>
        <v>0</v>
      </c>
      <c r="AM359" s="140">
        <f ca="1">IF(ISNUMBER(MATCH(DATEVALUE($A359),'recurring1_based on steps'!AM$1:AM$400,0)),AM$2,)</f>
        <v>0</v>
      </c>
      <c r="AN359" s="140">
        <f ca="1">IF(ISNUMBER(MATCH(DATEVALUE($A359),'recurring1_based on steps'!AN$1:AN$400,0)),AN$2,)</f>
        <v>0</v>
      </c>
      <c r="AO359" s="140">
        <f ca="1">IF(ISNUMBER(MATCH(DATEVALUE($A359),'recurring1_based on steps'!AO$1:AO$400,0)),AO$2,)</f>
        <v>0</v>
      </c>
      <c r="AP359" s="140">
        <f ca="1">IF(ISNUMBER(MATCH(DATEVALUE($A359),'recurring1_based on steps'!AP$1:AP$400,0)),AP$2,)</f>
        <v>0</v>
      </c>
      <c r="AQ359" s="140">
        <f ca="1">IF(ISNUMBER(MATCH(DATEVALUE($A359),'recurring1_based on steps'!AQ$1:AQ$400,0)),AQ$2,)</f>
        <v>0</v>
      </c>
      <c r="AR359" s="140">
        <f ca="1">IF(ISNUMBER(MATCH(DATEVALUE($A359),'recurring1_based on steps'!AR$1:AR$400,0)),AR$2,)</f>
        <v>0</v>
      </c>
      <c r="AS359" s="140">
        <f ca="1">IF(ISNUMBER(MATCH(DATEVALUE($A359),'recurring1_based on steps'!AS$1:AS$400,0)),AS$2,)</f>
        <v>0</v>
      </c>
      <c r="AT359" s="140">
        <f ca="1">IF(ISNUMBER(MATCH(DATEVALUE($A359),'recurring1_based on steps'!AT$1:AT$400,0)),AT$2,)</f>
        <v>0</v>
      </c>
      <c r="AU359" s="140">
        <f ca="1">IF(ISNUMBER(MATCH(DATEVALUE($A359),'recurring1_based on steps'!AU$1:AU$400,0)),AU$2,)</f>
        <v>0</v>
      </c>
      <c r="AV359" s="140">
        <f ca="1">IF(ISNUMBER(MATCH(DATEVALUE($A359),'recurring1_based on steps'!AV$1:AV$400,0)),AV$2,)</f>
        <v>0</v>
      </c>
      <c r="AW359" s="140">
        <f ca="1">IF(ISNUMBER(MATCH(DATEVALUE($A359),'recurring1_based on steps'!AW$1:AW$400,0)),AW$2,)</f>
        <v>0</v>
      </c>
      <c r="AX359" s="140">
        <f ca="1">IF(ISNUMBER(MATCH(DATEVALUE($A359),'recurring1_based on steps'!AX$1:AX$400,0)),AX$2,)</f>
        <v>0</v>
      </c>
      <c r="AY359" s="140">
        <f ca="1">IF(ISNUMBER(MATCH(DATEVALUE($A359),'recurring1_based on steps'!AY$1:AY$400,0)),AY$2,)</f>
        <v>0</v>
      </c>
    </row>
    <row r="360" spans="1:51" x14ac:dyDescent="0.2">
      <c r="A360" s="29" t="str">
        <f t="shared" ca="1" si="5"/>
        <v>2026-03-19</v>
      </c>
      <c r="B360" s="140">
        <f ca="1">IF(ISNUMBER(MATCH(DATEVALUE($A360),'recurring1_based on steps'!B$1:B$400,0)),B$2,)</f>
        <v>0</v>
      </c>
      <c r="C360" s="140">
        <f ca="1">IF(ISNUMBER(MATCH(DATEVALUE($A360),'recurring1_based on steps'!C$1:C$400,0)),C$2,)</f>
        <v>0</v>
      </c>
      <c r="D360" s="140">
        <f ca="1">IF(ISNUMBER(MATCH(DATEVALUE($A360),'recurring1_based on steps'!D$1:D$400,0)),D$2,)</f>
        <v>0</v>
      </c>
      <c r="E360" s="140">
        <f ca="1">IF(ISNUMBER(MATCH(DATEVALUE($A360),'recurring1_based on steps'!E$1:E$400,0)),E$2,)</f>
        <v>0</v>
      </c>
      <c r="F360" s="140">
        <f ca="1">IF(ISNUMBER(MATCH(DATEVALUE($A360),'recurring1_based on steps'!F$1:F$400,0)),F$2,)</f>
        <v>0</v>
      </c>
      <c r="G360" s="140">
        <f ca="1">IF(ISNUMBER(MATCH(DATEVALUE($A360),'recurring1_based on steps'!G$1:G$400,0)),G$2,)</f>
        <v>0</v>
      </c>
      <c r="H360" s="140">
        <f ca="1">IF(ISNUMBER(MATCH(DATEVALUE($A360),'recurring1_based on steps'!H$1:H$400,0)),H$2,)</f>
        <v>0</v>
      </c>
      <c r="I360" s="140">
        <f ca="1">IF(ISNUMBER(MATCH(DATEVALUE($A360),'recurring1_based on steps'!I$1:I$400,0)),I$2,)</f>
        <v>0</v>
      </c>
      <c r="J360" s="140">
        <f ca="1">IF(ISNUMBER(MATCH(DATEVALUE($A360),'recurring1_based on steps'!J$1:J$400,0)),J$2,)</f>
        <v>0</v>
      </c>
      <c r="K360" s="140">
        <f ca="1">IF(ISNUMBER(MATCH(DATEVALUE($A360),'recurring1_based on steps'!K$1:K$400,0)),K$2,)</f>
        <v>0</v>
      </c>
      <c r="L360" s="140">
        <f ca="1">IF(ISNUMBER(MATCH(DATEVALUE($A360),'recurring1_based on steps'!L$1:L$400,0)),L$2,)</f>
        <v>0</v>
      </c>
      <c r="M360" s="140">
        <f ca="1">IF(ISNUMBER(MATCH(DATEVALUE($A360),'recurring1_based on steps'!M$1:M$400,0)),M$2,)</f>
        <v>0</v>
      </c>
      <c r="N360" s="140">
        <f ca="1">IF(ISNUMBER(MATCH(DATEVALUE($A360),'recurring1_based on steps'!N$1:N$400,0)),N$2,)</f>
        <v>0</v>
      </c>
      <c r="O360" s="140">
        <f ca="1">IF(ISNUMBER(MATCH(DATEVALUE($A360),'recurring1_based on steps'!O$1:O$400,0)),O$2,)</f>
        <v>0</v>
      </c>
      <c r="P360" s="140">
        <f ca="1">IF(ISNUMBER(MATCH(DATEVALUE($A360),'recurring1_based on steps'!P$1:P$400,0)),P$2,)</f>
        <v>0</v>
      </c>
      <c r="Q360" s="140">
        <f ca="1">IF(ISNUMBER(MATCH(DATEVALUE($A360),'recurring1_based on steps'!Q$1:Q$400,0)),Q$2,)</f>
        <v>0</v>
      </c>
      <c r="R360" s="140">
        <f ca="1">IF(ISNUMBER(MATCH(DATEVALUE($A360),'recurring1_based on steps'!R$1:R$400,0)),R$2,)</f>
        <v>0</v>
      </c>
      <c r="S360" s="140">
        <f ca="1">IF(ISNUMBER(MATCH(DATEVALUE($A360),'recurring1_based on steps'!S$1:S$400,0)),S$2,)</f>
        <v>0</v>
      </c>
      <c r="T360" s="140">
        <f ca="1">IF(ISNUMBER(MATCH(DATEVALUE($A360),'recurring1_based on steps'!T$1:T$400,0)),T$2,)</f>
        <v>0</v>
      </c>
      <c r="U360" s="140">
        <f ca="1">IF(ISNUMBER(MATCH(DATEVALUE($A360),'recurring1_based on steps'!U$1:U$400,0)),U$2,)</f>
        <v>0</v>
      </c>
      <c r="V360" s="140">
        <f ca="1">IF(ISNUMBER(MATCH(DATEVALUE($A360),'recurring1_based on steps'!V$1:V$400,0)),V$2,)</f>
        <v>0</v>
      </c>
      <c r="W360" s="140">
        <f ca="1">IF(ISNUMBER(MATCH(DATEVALUE($A360),'recurring1_based on steps'!W$1:W$400,0)),W$2,)</f>
        <v>0</v>
      </c>
      <c r="X360" s="140">
        <f ca="1">IF(ISNUMBER(MATCH(DATEVALUE($A360),'recurring1_based on steps'!X$1:X$400,0)),X$2,)</f>
        <v>0</v>
      </c>
      <c r="Y360" s="140">
        <f ca="1">IF(ISNUMBER(MATCH(DATEVALUE($A360),'recurring1_based on steps'!Y$1:Y$400,0)),Y$2,)</f>
        <v>0</v>
      </c>
      <c r="Z360" s="140">
        <f ca="1">IF(ISNUMBER(MATCH(DATEVALUE($A360),'recurring1_based on steps'!Z$1:Z$400,0)),Z$2,)</f>
        <v>0</v>
      </c>
      <c r="AA360" s="140">
        <f ca="1">IF(ISNUMBER(MATCH(DATEVALUE($A360),'recurring1_based on steps'!AA$1:AA$400,0)),AA$2,)</f>
        <v>0</v>
      </c>
      <c r="AB360" s="140">
        <f ca="1">IF(ISNUMBER(MATCH(DATEVALUE($A360),'recurring1_based on steps'!AB$1:AB$400,0)),AB$2,)</f>
        <v>5.5401662049861494E-2</v>
      </c>
      <c r="AC360" s="140">
        <f ca="1">IF(ISNUMBER(MATCH(DATEVALUE($A360),'recurring1_based on steps'!AC$1:AC$400,0)),AC$2,)</f>
        <v>0</v>
      </c>
      <c r="AD360" s="140">
        <f ca="1">IF(ISNUMBER(MATCH(DATEVALUE($A360),'recurring1_based on steps'!AD$1:AD$400,0)),AD$2,)</f>
        <v>0</v>
      </c>
      <c r="AE360" s="140">
        <f ca="1">IF(ISNUMBER(MATCH(DATEVALUE($A360),'recurring1_based on steps'!AE$1:AE$400,0)),AE$2,)</f>
        <v>0</v>
      </c>
      <c r="AF360" s="140">
        <f ca="1">IF(ISNUMBER(MATCH(DATEVALUE($A360),'recurring1_based on steps'!AF$1:AF$400,0)),AF$2,)</f>
        <v>0</v>
      </c>
      <c r="AG360" s="140">
        <f ca="1">IF(ISNUMBER(MATCH(DATEVALUE($A360),'recurring1_based on steps'!AG$1:AG$400,0)),AG$2,)</f>
        <v>0</v>
      </c>
      <c r="AH360" s="140">
        <f ca="1">IF(ISNUMBER(MATCH(DATEVALUE($A360),'recurring1_based on steps'!AH$1:AH$400,0)),AH$2,)</f>
        <v>0</v>
      </c>
      <c r="AI360" s="140">
        <f ca="1">IF(ISNUMBER(MATCH(DATEVALUE($A360),'recurring1_based on steps'!AI$1:AI$400,0)),AI$2,)</f>
        <v>0</v>
      </c>
      <c r="AJ360" s="140">
        <f ca="1">IF(ISNUMBER(MATCH(DATEVALUE($A360),'recurring1_based on steps'!AJ$1:AJ$400,0)),AJ$2,)</f>
        <v>0</v>
      </c>
      <c r="AK360" s="140">
        <f ca="1">IF(ISNUMBER(MATCH(DATEVALUE($A360),'recurring1_based on steps'!AK$1:AK$400,0)),AK$2,)</f>
        <v>0</v>
      </c>
      <c r="AL360" s="140">
        <f ca="1">IF(ISNUMBER(MATCH(DATEVALUE($A360),'recurring1_based on steps'!AL$1:AL$400,0)),AL$2,)</f>
        <v>0</v>
      </c>
      <c r="AM360" s="140">
        <f ca="1">IF(ISNUMBER(MATCH(DATEVALUE($A360),'recurring1_based on steps'!AM$1:AM$400,0)),AM$2,)</f>
        <v>0</v>
      </c>
      <c r="AN360" s="140">
        <f ca="1">IF(ISNUMBER(MATCH(DATEVALUE($A360),'recurring1_based on steps'!AN$1:AN$400,0)),AN$2,)</f>
        <v>0</v>
      </c>
      <c r="AO360" s="140">
        <f ca="1">IF(ISNUMBER(MATCH(DATEVALUE($A360),'recurring1_based on steps'!AO$1:AO$400,0)),AO$2,)</f>
        <v>0</v>
      </c>
      <c r="AP360" s="140">
        <f ca="1">IF(ISNUMBER(MATCH(DATEVALUE($A360),'recurring1_based on steps'!AP$1:AP$400,0)),AP$2,)</f>
        <v>0</v>
      </c>
      <c r="AQ360" s="140">
        <f ca="1">IF(ISNUMBER(MATCH(DATEVALUE($A360),'recurring1_based on steps'!AQ$1:AQ$400,0)),AQ$2,)</f>
        <v>0</v>
      </c>
      <c r="AR360" s="140">
        <f ca="1">IF(ISNUMBER(MATCH(DATEVALUE($A360),'recurring1_based on steps'!AR$1:AR$400,0)),AR$2,)</f>
        <v>0</v>
      </c>
      <c r="AS360" s="140">
        <f ca="1">IF(ISNUMBER(MATCH(DATEVALUE($A360),'recurring1_based on steps'!AS$1:AS$400,0)),AS$2,)</f>
        <v>0</v>
      </c>
      <c r="AT360" s="140">
        <f ca="1">IF(ISNUMBER(MATCH(DATEVALUE($A360),'recurring1_based on steps'!AT$1:AT$400,0)),AT$2,)</f>
        <v>0</v>
      </c>
      <c r="AU360" s="140">
        <f ca="1">IF(ISNUMBER(MATCH(DATEVALUE($A360),'recurring1_based on steps'!AU$1:AU$400,0)),AU$2,)</f>
        <v>0</v>
      </c>
      <c r="AV360" s="140">
        <f ca="1">IF(ISNUMBER(MATCH(DATEVALUE($A360),'recurring1_based on steps'!AV$1:AV$400,0)),AV$2,)</f>
        <v>0</v>
      </c>
      <c r="AW360" s="140">
        <f ca="1">IF(ISNUMBER(MATCH(DATEVALUE($A360),'recurring1_based on steps'!AW$1:AW$400,0)),AW$2,)</f>
        <v>0</v>
      </c>
      <c r="AX360" s="140">
        <f ca="1">IF(ISNUMBER(MATCH(DATEVALUE($A360),'recurring1_based on steps'!AX$1:AX$400,0)),AX$2,)</f>
        <v>0</v>
      </c>
      <c r="AY360" s="140">
        <f ca="1">IF(ISNUMBER(MATCH(DATEVALUE($A360),'recurring1_based on steps'!AY$1:AY$400,0)),AY$2,)</f>
        <v>0</v>
      </c>
    </row>
    <row r="361" spans="1:51" x14ac:dyDescent="0.2">
      <c r="A361" s="29" t="str">
        <f t="shared" ca="1" si="5"/>
        <v>2026-03-20</v>
      </c>
      <c r="B361" s="140">
        <f ca="1">IF(ISNUMBER(MATCH(DATEVALUE($A361),'recurring1_based on steps'!B$1:B$400,0)),B$2,)</f>
        <v>4000</v>
      </c>
      <c r="C361" s="140">
        <f ca="1">IF(ISNUMBER(MATCH(DATEVALUE($A361),'recurring1_based on steps'!C$1:C$400,0)),C$2,)</f>
        <v>200</v>
      </c>
      <c r="D361" s="140">
        <f ca="1">IF(ISNUMBER(MATCH(DATEVALUE($A361),'recurring1_based on steps'!D$1:D$400,0)),D$2,)</f>
        <v>2</v>
      </c>
      <c r="E361" s="140">
        <f ca="1">IF(ISNUMBER(MATCH(DATEVALUE($A361),'recurring1_based on steps'!E$1:E$400,0)),E$2,)</f>
        <v>40</v>
      </c>
      <c r="F361" s="140">
        <f ca="1">IF(ISNUMBER(MATCH(DATEVALUE($A361),'recurring1_based on steps'!F$1:F$400,0)),F$2,)</f>
        <v>50</v>
      </c>
      <c r="G361" s="140">
        <f ca="1">IF(ISNUMBER(MATCH(DATEVALUE($A361),'recurring1_based on steps'!G$1:G$400,0)),G$2,)</f>
        <v>4</v>
      </c>
      <c r="H361" s="140">
        <f ca="1">IF(ISNUMBER(MATCH(DATEVALUE($A361),'recurring1_based on steps'!H$1:H$400,0)),H$2,)</f>
        <v>0</v>
      </c>
      <c r="I361" s="140">
        <f ca="1">IF(ISNUMBER(MATCH(DATEVALUE($A361),'recurring1_based on steps'!I$1:I$400,0)),I$2,)</f>
        <v>0</v>
      </c>
      <c r="J361" s="140">
        <f ca="1">IF(ISNUMBER(MATCH(DATEVALUE($A361),'recurring1_based on steps'!J$1:J$400,0)),J$2,)</f>
        <v>0</v>
      </c>
      <c r="K361" s="140">
        <f ca="1">IF(ISNUMBER(MATCH(DATEVALUE($A361),'recurring1_based on steps'!K$1:K$400,0)),K$2,)</f>
        <v>0</v>
      </c>
      <c r="L361" s="140">
        <f ca="1">IF(ISNUMBER(MATCH(DATEVALUE($A361),'recurring1_based on steps'!L$1:L$400,0)),L$2,)</f>
        <v>0</v>
      </c>
      <c r="M361" s="140">
        <f ca="1">IF(ISNUMBER(MATCH(DATEVALUE($A361),'recurring1_based on steps'!M$1:M$400,0)),M$2,)</f>
        <v>0</v>
      </c>
      <c r="N361" s="140">
        <f ca="1">IF(ISNUMBER(MATCH(DATEVALUE($A361),'recurring1_based on steps'!N$1:N$400,0)),N$2,)</f>
        <v>0</v>
      </c>
      <c r="O361" s="140">
        <f ca="1">IF(ISNUMBER(MATCH(DATEVALUE($A361),'recurring1_based on steps'!O$1:O$400,0)),O$2,)</f>
        <v>0</v>
      </c>
      <c r="P361" s="140">
        <f ca="1">IF(ISNUMBER(MATCH(DATEVALUE($A361),'recurring1_based on steps'!P$1:P$400,0)),P$2,)</f>
        <v>0</v>
      </c>
      <c r="Q361" s="140">
        <f ca="1">IF(ISNUMBER(MATCH(DATEVALUE($A361),'recurring1_based on steps'!Q$1:Q$400,0)),Q$2,)</f>
        <v>0</v>
      </c>
      <c r="R361" s="140">
        <f ca="1">IF(ISNUMBER(MATCH(DATEVALUE($A361),'recurring1_based on steps'!R$1:R$400,0)),R$2,)</f>
        <v>0</v>
      </c>
      <c r="S361" s="140">
        <f ca="1">IF(ISNUMBER(MATCH(DATEVALUE($A361),'recurring1_based on steps'!S$1:S$400,0)),S$2,)</f>
        <v>0</v>
      </c>
      <c r="T361" s="140">
        <f ca="1">IF(ISNUMBER(MATCH(DATEVALUE($A361),'recurring1_based on steps'!T$1:T$400,0)),T$2,)</f>
        <v>0</v>
      </c>
      <c r="U361" s="140">
        <f ca="1">IF(ISNUMBER(MATCH(DATEVALUE($A361),'recurring1_based on steps'!U$1:U$400,0)),U$2,)</f>
        <v>0</v>
      </c>
      <c r="V361" s="140">
        <f ca="1">IF(ISNUMBER(MATCH(DATEVALUE($A361),'recurring1_based on steps'!V$1:V$400,0)),V$2,)</f>
        <v>0</v>
      </c>
      <c r="W361" s="140">
        <f ca="1">IF(ISNUMBER(MATCH(DATEVALUE($A361),'recurring1_based on steps'!W$1:W$400,0)),W$2,)</f>
        <v>0</v>
      </c>
      <c r="X361" s="140">
        <f ca="1">IF(ISNUMBER(MATCH(DATEVALUE($A361),'recurring1_based on steps'!X$1:X$400,0)),X$2,)</f>
        <v>50</v>
      </c>
      <c r="Y361" s="140">
        <f ca="1">IF(ISNUMBER(MATCH(DATEVALUE($A361),'recurring1_based on steps'!Y$1:Y$400,0)),Y$2,)</f>
        <v>50</v>
      </c>
      <c r="Z361" s="140">
        <f ca="1">IF(ISNUMBER(MATCH(DATEVALUE($A361),'recurring1_based on steps'!Z$1:Z$400,0)),Z$2,)</f>
        <v>0</v>
      </c>
      <c r="AA361" s="140">
        <f ca="1">IF(ISNUMBER(MATCH(DATEVALUE($A361),'recurring1_based on steps'!AA$1:AA$400,0)),AA$2,)</f>
        <v>0</v>
      </c>
      <c r="AB361" s="140">
        <f ca="1">IF(ISNUMBER(MATCH(DATEVALUE($A361),'recurring1_based on steps'!AB$1:AB$400,0)),AB$2,)</f>
        <v>5.5401662049861494E-2</v>
      </c>
      <c r="AC361" s="140">
        <f ca="1">IF(ISNUMBER(MATCH(DATEVALUE($A361),'recurring1_based on steps'!AC$1:AC$400,0)),AC$2,)</f>
        <v>0</v>
      </c>
      <c r="AD361" s="140">
        <f ca="1">IF(ISNUMBER(MATCH(DATEVALUE($A361),'recurring1_based on steps'!AD$1:AD$400,0)),AD$2,)</f>
        <v>0</v>
      </c>
      <c r="AE361" s="140">
        <f ca="1">IF(ISNUMBER(MATCH(DATEVALUE($A361),'recurring1_based on steps'!AE$1:AE$400,0)),AE$2,)</f>
        <v>0</v>
      </c>
      <c r="AF361" s="140">
        <f ca="1">IF(ISNUMBER(MATCH(DATEVALUE($A361),'recurring1_based on steps'!AF$1:AF$400,0)),AF$2,)</f>
        <v>0</v>
      </c>
      <c r="AG361" s="140">
        <f ca="1">IF(ISNUMBER(MATCH(DATEVALUE($A361),'recurring1_based on steps'!AG$1:AG$400,0)),AG$2,)</f>
        <v>0</v>
      </c>
      <c r="AH361" s="140">
        <f ca="1">IF(ISNUMBER(MATCH(DATEVALUE($A361),'recurring1_based on steps'!AH$1:AH$400,0)),AH$2,)</f>
        <v>0</v>
      </c>
      <c r="AI361" s="140">
        <f ca="1">IF(ISNUMBER(MATCH(DATEVALUE($A361),'recurring1_based on steps'!AI$1:AI$400,0)),AI$2,)</f>
        <v>0</v>
      </c>
      <c r="AJ361" s="140">
        <f ca="1">IF(ISNUMBER(MATCH(DATEVALUE($A361),'recurring1_based on steps'!AJ$1:AJ$400,0)),AJ$2,)</f>
        <v>0</v>
      </c>
      <c r="AK361" s="140">
        <f ca="1">IF(ISNUMBER(MATCH(DATEVALUE($A361),'recurring1_based on steps'!AK$1:AK$400,0)),AK$2,)</f>
        <v>0</v>
      </c>
      <c r="AL361" s="140">
        <f ca="1">IF(ISNUMBER(MATCH(DATEVALUE($A361),'recurring1_based on steps'!AL$1:AL$400,0)),AL$2,)</f>
        <v>0</v>
      </c>
      <c r="AM361" s="140">
        <f ca="1">IF(ISNUMBER(MATCH(DATEVALUE($A361),'recurring1_based on steps'!AM$1:AM$400,0)),AM$2,)</f>
        <v>0</v>
      </c>
      <c r="AN361" s="140">
        <f ca="1">IF(ISNUMBER(MATCH(DATEVALUE($A361),'recurring1_based on steps'!AN$1:AN$400,0)),AN$2,)</f>
        <v>0</v>
      </c>
      <c r="AO361" s="140">
        <f ca="1">IF(ISNUMBER(MATCH(DATEVALUE($A361),'recurring1_based on steps'!AO$1:AO$400,0)),AO$2,)</f>
        <v>0</v>
      </c>
      <c r="AP361" s="140">
        <f ca="1">IF(ISNUMBER(MATCH(DATEVALUE($A361),'recurring1_based on steps'!AP$1:AP$400,0)),AP$2,)</f>
        <v>0</v>
      </c>
      <c r="AQ361" s="140">
        <f ca="1">IF(ISNUMBER(MATCH(DATEVALUE($A361),'recurring1_based on steps'!AQ$1:AQ$400,0)),AQ$2,)</f>
        <v>0</v>
      </c>
      <c r="AR361" s="140">
        <f ca="1">IF(ISNUMBER(MATCH(DATEVALUE($A361),'recurring1_based on steps'!AR$1:AR$400,0)),AR$2,)</f>
        <v>0</v>
      </c>
      <c r="AS361" s="140">
        <f ca="1">IF(ISNUMBER(MATCH(DATEVALUE($A361),'recurring1_based on steps'!AS$1:AS$400,0)),AS$2,)</f>
        <v>0</v>
      </c>
      <c r="AT361" s="140">
        <f ca="1">IF(ISNUMBER(MATCH(DATEVALUE($A361),'recurring1_based on steps'!AT$1:AT$400,0)),AT$2,)</f>
        <v>0</v>
      </c>
      <c r="AU361" s="140">
        <f ca="1">IF(ISNUMBER(MATCH(DATEVALUE($A361),'recurring1_based on steps'!AU$1:AU$400,0)),AU$2,)</f>
        <v>0</v>
      </c>
      <c r="AV361" s="140">
        <f ca="1">IF(ISNUMBER(MATCH(DATEVALUE($A361),'recurring1_based on steps'!AV$1:AV$400,0)),AV$2,)</f>
        <v>0</v>
      </c>
      <c r="AW361" s="140">
        <f ca="1">IF(ISNUMBER(MATCH(DATEVALUE($A361),'recurring1_based on steps'!AW$1:AW$400,0)),AW$2,)</f>
        <v>0</v>
      </c>
      <c r="AX361" s="140">
        <f ca="1">IF(ISNUMBER(MATCH(DATEVALUE($A361),'recurring1_based on steps'!AX$1:AX$400,0)),AX$2,)</f>
        <v>0</v>
      </c>
      <c r="AY361" s="140">
        <f ca="1">IF(ISNUMBER(MATCH(DATEVALUE($A361),'recurring1_based on steps'!AY$1:AY$400,0)),AY$2,)</f>
        <v>0</v>
      </c>
    </row>
    <row r="362" spans="1:51" x14ac:dyDescent="0.2">
      <c r="A362" s="29" t="str">
        <f t="shared" ca="1" si="5"/>
        <v>2026-03-21</v>
      </c>
      <c r="B362" s="140">
        <f ca="1">IF(ISNUMBER(MATCH(DATEVALUE($A362),'recurring1_based on steps'!B$1:B$400,0)),B$2,)</f>
        <v>0</v>
      </c>
      <c r="C362" s="140">
        <f ca="1">IF(ISNUMBER(MATCH(DATEVALUE($A362),'recurring1_based on steps'!C$1:C$400,0)),C$2,)</f>
        <v>0</v>
      </c>
      <c r="D362" s="140">
        <f ca="1">IF(ISNUMBER(MATCH(DATEVALUE($A362),'recurring1_based on steps'!D$1:D$400,0)),D$2,)</f>
        <v>0</v>
      </c>
      <c r="E362" s="140">
        <f ca="1">IF(ISNUMBER(MATCH(DATEVALUE($A362),'recurring1_based on steps'!E$1:E$400,0)),E$2,)</f>
        <v>0</v>
      </c>
      <c r="F362" s="140">
        <f ca="1">IF(ISNUMBER(MATCH(DATEVALUE($A362),'recurring1_based on steps'!F$1:F$400,0)),F$2,)</f>
        <v>0</v>
      </c>
      <c r="G362" s="140">
        <f ca="1">IF(ISNUMBER(MATCH(DATEVALUE($A362),'recurring1_based on steps'!G$1:G$400,0)),G$2,)</f>
        <v>0</v>
      </c>
      <c r="H362" s="140">
        <f ca="1">IF(ISNUMBER(MATCH(DATEVALUE($A362),'recurring1_based on steps'!H$1:H$400,0)),H$2,)</f>
        <v>0</v>
      </c>
      <c r="I362" s="140">
        <f ca="1">IF(ISNUMBER(MATCH(DATEVALUE($A362),'recurring1_based on steps'!I$1:I$400,0)),I$2,)</f>
        <v>0</v>
      </c>
      <c r="J362" s="140">
        <f ca="1">IF(ISNUMBER(MATCH(DATEVALUE($A362),'recurring1_based on steps'!J$1:J$400,0)),J$2,)</f>
        <v>0</v>
      </c>
      <c r="K362" s="140">
        <f ca="1">IF(ISNUMBER(MATCH(DATEVALUE($A362),'recurring1_based on steps'!K$1:K$400,0)),K$2,)</f>
        <v>0</v>
      </c>
      <c r="L362" s="140">
        <f ca="1">IF(ISNUMBER(MATCH(DATEVALUE($A362),'recurring1_based on steps'!L$1:L$400,0)),L$2,)</f>
        <v>0</v>
      </c>
      <c r="M362" s="140">
        <f ca="1">IF(ISNUMBER(MATCH(DATEVALUE($A362),'recurring1_based on steps'!M$1:M$400,0)),M$2,)</f>
        <v>0</v>
      </c>
      <c r="N362" s="140">
        <f ca="1">IF(ISNUMBER(MATCH(DATEVALUE($A362),'recurring1_based on steps'!N$1:N$400,0)),N$2,)</f>
        <v>0</v>
      </c>
      <c r="O362" s="140">
        <f ca="1">IF(ISNUMBER(MATCH(DATEVALUE($A362),'recurring1_based on steps'!O$1:O$400,0)),O$2,)</f>
        <v>0</v>
      </c>
      <c r="P362" s="140">
        <f ca="1">IF(ISNUMBER(MATCH(DATEVALUE($A362),'recurring1_based on steps'!P$1:P$400,0)),P$2,)</f>
        <v>0</v>
      </c>
      <c r="Q362" s="140">
        <f ca="1">IF(ISNUMBER(MATCH(DATEVALUE($A362),'recurring1_based on steps'!Q$1:Q$400,0)),Q$2,)</f>
        <v>100</v>
      </c>
      <c r="R362" s="140">
        <f ca="1">IF(ISNUMBER(MATCH(DATEVALUE($A362),'recurring1_based on steps'!R$1:R$400,0)),R$2,)</f>
        <v>100</v>
      </c>
      <c r="S362" s="140">
        <f ca="1">IF(ISNUMBER(MATCH(DATEVALUE($A362),'recurring1_based on steps'!S$1:S$400,0)),S$2,)</f>
        <v>0</v>
      </c>
      <c r="T362" s="140">
        <f ca="1">IF(ISNUMBER(MATCH(DATEVALUE($A362),'recurring1_based on steps'!T$1:T$400,0)),T$2,)</f>
        <v>0</v>
      </c>
      <c r="U362" s="140">
        <f ca="1">IF(ISNUMBER(MATCH(DATEVALUE($A362),'recurring1_based on steps'!U$1:U$400,0)),U$2,)</f>
        <v>0</v>
      </c>
      <c r="V362" s="140">
        <f ca="1">IF(ISNUMBER(MATCH(DATEVALUE($A362),'recurring1_based on steps'!V$1:V$400,0)),V$2,)</f>
        <v>0</v>
      </c>
      <c r="W362" s="140">
        <f ca="1">IF(ISNUMBER(MATCH(DATEVALUE($A362),'recurring1_based on steps'!W$1:W$400,0)),W$2,)</f>
        <v>0</v>
      </c>
      <c r="X362" s="140">
        <f ca="1">IF(ISNUMBER(MATCH(DATEVALUE($A362),'recurring1_based on steps'!X$1:X$400,0)),X$2,)</f>
        <v>0</v>
      </c>
      <c r="Y362" s="140">
        <f ca="1">IF(ISNUMBER(MATCH(DATEVALUE($A362),'recurring1_based on steps'!Y$1:Y$400,0)),Y$2,)</f>
        <v>0</v>
      </c>
      <c r="Z362" s="140">
        <f ca="1">IF(ISNUMBER(MATCH(DATEVALUE($A362),'recurring1_based on steps'!Z$1:Z$400,0)),Z$2,)</f>
        <v>0</v>
      </c>
      <c r="AA362" s="140">
        <f ca="1">IF(ISNUMBER(MATCH(DATEVALUE($A362),'recurring1_based on steps'!AA$1:AA$400,0)),AA$2,)</f>
        <v>0</v>
      </c>
      <c r="AB362" s="140">
        <f ca="1">IF(ISNUMBER(MATCH(DATEVALUE($A362),'recurring1_based on steps'!AB$1:AB$400,0)),AB$2,)</f>
        <v>5.5401662049861494E-2</v>
      </c>
      <c r="AC362" s="140">
        <f ca="1">IF(ISNUMBER(MATCH(DATEVALUE($A362),'recurring1_based on steps'!AC$1:AC$400,0)),AC$2,)</f>
        <v>0</v>
      </c>
      <c r="AD362" s="140">
        <f ca="1">IF(ISNUMBER(MATCH(DATEVALUE($A362),'recurring1_based on steps'!AD$1:AD$400,0)),AD$2,)</f>
        <v>0</v>
      </c>
      <c r="AE362" s="140">
        <f ca="1">IF(ISNUMBER(MATCH(DATEVALUE($A362),'recurring1_based on steps'!AE$1:AE$400,0)),AE$2,)</f>
        <v>0</v>
      </c>
      <c r="AF362" s="140">
        <f ca="1">IF(ISNUMBER(MATCH(DATEVALUE($A362),'recurring1_based on steps'!AF$1:AF$400,0)),AF$2,)</f>
        <v>0</v>
      </c>
      <c r="AG362" s="140">
        <f ca="1">IF(ISNUMBER(MATCH(DATEVALUE($A362),'recurring1_based on steps'!AG$1:AG$400,0)),AG$2,)</f>
        <v>0</v>
      </c>
      <c r="AH362" s="140">
        <f ca="1">IF(ISNUMBER(MATCH(DATEVALUE($A362),'recurring1_based on steps'!AH$1:AH$400,0)),AH$2,)</f>
        <v>0</v>
      </c>
      <c r="AI362" s="140">
        <f ca="1">IF(ISNUMBER(MATCH(DATEVALUE($A362),'recurring1_based on steps'!AI$1:AI$400,0)),AI$2,)</f>
        <v>0</v>
      </c>
      <c r="AJ362" s="140">
        <f ca="1">IF(ISNUMBER(MATCH(DATEVALUE($A362),'recurring1_based on steps'!AJ$1:AJ$400,0)),AJ$2,)</f>
        <v>0</v>
      </c>
      <c r="AK362" s="140">
        <f ca="1">IF(ISNUMBER(MATCH(DATEVALUE($A362),'recurring1_based on steps'!AK$1:AK$400,0)),AK$2,)</f>
        <v>0</v>
      </c>
      <c r="AL362" s="140">
        <f ca="1">IF(ISNUMBER(MATCH(DATEVALUE($A362),'recurring1_based on steps'!AL$1:AL$400,0)),AL$2,)</f>
        <v>0</v>
      </c>
      <c r="AM362" s="140">
        <f ca="1">IF(ISNUMBER(MATCH(DATEVALUE($A362),'recurring1_based on steps'!AM$1:AM$400,0)),AM$2,)</f>
        <v>0</v>
      </c>
      <c r="AN362" s="140">
        <f ca="1">IF(ISNUMBER(MATCH(DATEVALUE($A362),'recurring1_based on steps'!AN$1:AN$400,0)),AN$2,)</f>
        <v>0</v>
      </c>
      <c r="AO362" s="140">
        <f ca="1">IF(ISNUMBER(MATCH(DATEVALUE($A362),'recurring1_based on steps'!AO$1:AO$400,0)),AO$2,)</f>
        <v>0</v>
      </c>
      <c r="AP362" s="140">
        <f ca="1">IF(ISNUMBER(MATCH(DATEVALUE($A362),'recurring1_based on steps'!AP$1:AP$400,0)),AP$2,)</f>
        <v>0</v>
      </c>
      <c r="AQ362" s="140">
        <f ca="1">IF(ISNUMBER(MATCH(DATEVALUE($A362),'recurring1_based on steps'!AQ$1:AQ$400,0)),AQ$2,)</f>
        <v>0</v>
      </c>
      <c r="AR362" s="140">
        <f ca="1">IF(ISNUMBER(MATCH(DATEVALUE($A362),'recurring1_based on steps'!AR$1:AR$400,0)),AR$2,)</f>
        <v>0</v>
      </c>
      <c r="AS362" s="140">
        <f ca="1">IF(ISNUMBER(MATCH(DATEVALUE($A362),'recurring1_based on steps'!AS$1:AS$400,0)),AS$2,)</f>
        <v>0</v>
      </c>
      <c r="AT362" s="140">
        <f ca="1">IF(ISNUMBER(MATCH(DATEVALUE($A362),'recurring1_based on steps'!AT$1:AT$400,0)),AT$2,)</f>
        <v>0</v>
      </c>
      <c r="AU362" s="140">
        <f ca="1">IF(ISNUMBER(MATCH(DATEVALUE($A362),'recurring1_based on steps'!AU$1:AU$400,0)),AU$2,)</f>
        <v>0</v>
      </c>
      <c r="AV362" s="140">
        <f ca="1">IF(ISNUMBER(MATCH(DATEVALUE($A362),'recurring1_based on steps'!AV$1:AV$400,0)),AV$2,)</f>
        <v>0</v>
      </c>
      <c r="AW362" s="140">
        <f ca="1">IF(ISNUMBER(MATCH(DATEVALUE($A362),'recurring1_based on steps'!AW$1:AW$400,0)),AW$2,)</f>
        <v>0</v>
      </c>
      <c r="AX362" s="140">
        <f ca="1">IF(ISNUMBER(MATCH(DATEVALUE($A362),'recurring1_based on steps'!AX$1:AX$400,0)),AX$2,)</f>
        <v>0</v>
      </c>
      <c r="AY362" s="140">
        <f ca="1">IF(ISNUMBER(MATCH(DATEVALUE($A362),'recurring1_based on steps'!AY$1:AY$400,0)),AY$2,)</f>
        <v>0</v>
      </c>
    </row>
    <row r="363" spans="1:51" x14ac:dyDescent="0.2">
      <c r="A363" s="29" t="str">
        <f t="shared" ca="1" si="5"/>
        <v>2026-03-22</v>
      </c>
      <c r="B363" s="140">
        <f ca="1">IF(ISNUMBER(MATCH(DATEVALUE($A363),'recurring1_based on steps'!B$1:B$400,0)),B$2,)</f>
        <v>0</v>
      </c>
      <c r="C363" s="140">
        <f ca="1">IF(ISNUMBER(MATCH(DATEVALUE($A363),'recurring1_based on steps'!C$1:C$400,0)),C$2,)</f>
        <v>0</v>
      </c>
      <c r="D363" s="140">
        <f ca="1">IF(ISNUMBER(MATCH(DATEVALUE($A363),'recurring1_based on steps'!D$1:D$400,0)),D$2,)</f>
        <v>0</v>
      </c>
      <c r="E363" s="140">
        <f ca="1">IF(ISNUMBER(MATCH(DATEVALUE($A363),'recurring1_based on steps'!E$1:E$400,0)),E$2,)</f>
        <v>0</v>
      </c>
      <c r="F363" s="140">
        <f ca="1">IF(ISNUMBER(MATCH(DATEVALUE($A363),'recurring1_based on steps'!F$1:F$400,0)),F$2,)</f>
        <v>0</v>
      </c>
      <c r="G363" s="140">
        <f ca="1">IF(ISNUMBER(MATCH(DATEVALUE($A363),'recurring1_based on steps'!G$1:G$400,0)),G$2,)</f>
        <v>0</v>
      </c>
      <c r="H363" s="140">
        <f ca="1">IF(ISNUMBER(MATCH(DATEVALUE($A363),'recurring1_based on steps'!H$1:H$400,0)),H$2,)</f>
        <v>0</v>
      </c>
      <c r="I363" s="140">
        <f ca="1">IF(ISNUMBER(MATCH(DATEVALUE($A363),'recurring1_based on steps'!I$1:I$400,0)),I$2,)</f>
        <v>0</v>
      </c>
      <c r="J363" s="140">
        <f ca="1">IF(ISNUMBER(MATCH(DATEVALUE($A363),'recurring1_based on steps'!J$1:J$400,0)),J$2,)</f>
        <v>0</v>
      </c>
      <c r="K363" s="140">
        <f ca="1">IF(ISNUMBER(MATCH(DATEVALUE($A363),'recurring1_based on steps'!K$1:K$400,0)),K$2,)</f>
        <v>50</v>
      </c>
      <c r="L363" s="140">
        <f ca="1">IF(ISNUMBER(MATCH(DATEVALUE($A363),'recurring1_based on steps'!L$1:L$400,0)),L$2,)</f>
        <v>0</v>
      </c>
      <c r="M363" s="140">
        <f ca="1">IF(ISNUMBER(MATCH(DATEVALUE($A363),'recurring1_based on steps'!M$1:M$400,0)),M$2,)</f>
        <v>0</v>
      </c>
      <c r="N363" s="140">
        <f ca="1">IF(ISNUMBER(MATCH(DATEVALUE($A363),'recurring1_based on steps'!N$1:N$400,0)),N$2,)</f>
        <v>0</v>
      </c>
      <c r="O363" s="140">
        <f ca="1">IF(ISNUMBER(MATCH(DATEVALUE($A363),'recurring1_based on steps'!O$1:O$400,0)),O$2,)</f>
        <v>0</v>
      </c>
      <c r="P363" s="140">
        <f ca="1">IF(ISNUMBER(MATCH(DATEVALUE($A363),'recurring1_based on steps'!P$1:P$400,0)),P$2,)</f>
        <v>0</v>
      </c>
      <c r="Q363" s="140">
        <f ca="1">IF(ISNUMBER(MATCH(DATEVALUE($A363),'recurring1_based on steps'!Q$1:Q$400,0)),Q$2,)</f>
        <v>0</v>
      </c>
      <c r="R363" s="140">
        <f ca="1">IF(ISNUMBER(MATCH(DATEVALUE($A363),'recurring1_based on steps'!R$1:R$400,0)),R$2,)</f>
        <v>0</v>
      </c>
      <c r="S363" s="140">
        <f ca="1">IF(ISNUMBER(MATCH(DATEVALUE($A363),'recurring1_based on steps'!S$1:S$400,0)),S$2,)</f>
        <v>100</v>
      </c>
      <c r="T363" s="140">
        <f ca="1">IF(ISNUMBER(MATCH(DATEVALUE($A363),'recurring1_based on steps'!T$1:T$400,0)),T$2,)</f>
        <v>0</v>
      </c>
      <c r="U363" s="140">
        <f ca="1">IF(ISNUMBER(MATCH(DATEVALUE($A363),'recurring1_based on steps'!U$1:U$400,0)),U$2,)</f>
        <v>0</v>
      </c>
      <c r="V363" s="140">
        <f ca="1">IF(ISNUMBER(MATCH(DATEVALUE($A363),'recurring1_based on steps'!V$1:V$400,0)),V$2,)</f>
        <v>0</v>
      </c>
      <c r="W363" s="140">
        <f ca="1">IF(ISNUMBER(MATCH(DATEVALUE($A363),'recurring1_based on steps'!W$1:W$400,0)),W$2,)</f>
        <v>0</v>
      </c>
      <c r="X363" s="140">
        <f ca="1">IF(ISNUMBER(MATCH(DATEVALUE($A363),'recurring1_based on steps'!X$1:X$400,0)),X$2,)</f>
        <v>0</v>
      </c>
      <c r="Y363" s="140">
        <f ca="1">IF(ISNUMBER(MATCH(DATEVALUE($A363),'recurring1_based on steps'!Y$1:Y$400,0)),Y$2,)</f>
        <v>0</v>
      </c>
      <c r="Z363" s="140">
        <f ca="1">IF(ISNUMBER(MATCH(DATEVALUE($A363),'recurring1_based on steps'!Z$1:Z$400,0)),Z$2,)</f>
        <v>0</v>
      </c>
      <c r="AA363" s="140">
        <f ca="1">IF(ISNUMBER(MATCH(DATEVALUE($A363),'recurring1_based on steps'!AA$1:AA$400,0)),AA$2,)</f>
        <v>0</v>
      </c>
      <c r="AB363" s="140">
        <f ca="1">IF(ISNUMBER(MATCH(DATEVALUE($A363),'recurring1_based on steps'!AB$1:AB$400,0)),AB$2,)</f>
        <v>5.5401662049861494E-2</v>
      </c>
      <c r="AC363" s="140">
        <f ca="1">IF(ISNUMBER(MATCH(DATEVALUE($A363),'recurring1_based on steps'!AC$1:AC$400,0)),AC$2,)</f>
        <v>0</v>
      </c>
      <c r="AD363" s="140">
        <f ca="1">IF(ISNUMBER(MATCH(DATEVALUE($A363),'recurring1_based on steps'!AD$1:AD$400,0)),AD$2,)</f>
        <v>0</v>
      </c>
      <c r="AE363" s="140">
        <f ca="1">IF(ISNUMBER(MATCH(DATEVALUE($A363),'recurring1_based on steps'!AE$1:AE$400,0)),AE$2,)</f>
        <v>0</v>
      </c>
      <c r="AF363" s="140">
        <f ca="1">IF(ISNUMBER(MATCH(DATEVALUE($A363),'recurring1_based on steps'!AF$1:AF$400,0)),AF$2,)</f>
        <v>0</v>
      </c>
      <c r="AG363" s="140">
        <f ca="1">IF(ISNUMBER(MATCH(DATEVALUE($A363),'recurring1_based on steps'!AG$1:AG$400,0)),AG$2,)</f>
        <v>0</v>
      </c>
      <c r="AH363" s="140">
        <f ca="1">IF(ISNUMBER(MATCH(DATEVALUE($A363),'recurring1_based on steps'!AH$1:AH$400,0)),AH$2,)</f>
        <v>0</v>
      </c>
      <c r="AI363" s="140">
        <f ca="1">IF(ISNUMBER(MATCH(DATEVALUE($A363),'recurring1_based on steps'!AI$1:AI$400,0)),AI$2,)</f>
        <v>0</v>
      </c>
      <c r="AJ363" s="140">
        <f ca="1">IF(ISNUMBER(MATCH(DATEVALUE($A363),'recurring1_based on steps'!AJ$1:AJ$400,0)),AJ$2,)</f>
        <v>0</v>
      </c>
      <c r="AK363" s="140">
        <f ca="1">IF(ISNUMBER(MATCH(DATEVALUE($A363),'recurring1_based on steps'!AK$1:AK$400,0)),AK$2,)</f>
        <v>0</v>
      </c>
      <c r="AL363" s="140">
        <f ca="1">IF(ISNUMBER(MATCH(DATEVALUE($A363),'recurring1_based on steps'!AL$1:AL$400,0)),AL$2,)</f>
        <v>0</v>
      </c>
      <c r="AM363" s="140">
        <f ca="1">IF(ISNUMBER(MATCH(DATEVALUE($A363),'recurring1_based on steps'!AM$1:AM$400,0)),AM$2,)</f>
        <v>0</v>
      </c>
      <c r="AN363" s="140">
        <f ca="1">IF(ISNUMBER(MATCH(DATEVALUE($A363),'recurring1_based on steps'!AN$1:AN$400,0)),AN$2,)</f>
        <v>0</v>
      </c>
      <c r="AO363" s="140">
        <f ca="1">IF(ISNUMBER(MATCH(DATEVALUE($A363),'recurring1_based on steps'!AO$1:AO$400,0)),AO$2,)</f>
        <v>0</v>
      </c>
      <c r="AP363" s="140">
        <f ca="1">IF(ISNUMBER(MATCH(DATEVALUE($A363),'recurring1_based on steps'!AP$1:AP$400,0)),AP$2,)</f>
        <v>0</v>
      </c>
      <c r="AQ363" s="140">
        <f ca="1">IF(ISNUMBER(MATCH(DATEVALUE($A363),'recurring1_based on steps'!AQ$1:AQ$400,0)),AQ$2,)</f>
        <v>0</v>
      </c>
      <c r="AR363" s="140">
        <f ca="1">IF(ISNUMBER(MATCH(DATEVALUE($A363),'recurring1_based on steps'!AR$1:AR$400,0)),AR$2,)</f>
        <v>0</v>
      </c>
      <c r="AS363" s="140">
        <f ca="1">IF(ISNUMBER(MATCH(DATEVALUE($A363),'recurring1_based on steps'!AS$1:AS$400,0)),AS$2,)</f>
        <v>0</v>
      </c>
      <c r="AT363" s="140">
        <f ca="1">IF(ISNUMBER(MATCH(DATEVALUE($A363),'recurring1_based on steps'!AT$1:AT$400,0)),AT$2,)</f>
        <v>0</v>
      </c>
      <c r="AU363" s="140">
        <f ca="1">IF(ISNUMBER(MATCH(DATEVALUE($A363),'recurring1_based on steps'!AU$1:AU$400,0)),AU$2,)</f>
        <v>0</v>
      </c>
      <c r="AV363" s="140">
        <f ca="1">IF(ISNUMBER(MATCH(DATEVALUE($A363),'recurring1_based on steps'!AV$1:AV$400,0)),AV$2,)</f>
        <v>0</v>
      </c>
      <c r="AW363" s="140">
        <f ca="1">IF(ISNUMBER(MATCH(DATEVALUE($A363),'recurring1_based on steps'!AW$1:AW$400,0)),AW$2,)</f>
        <v>0</v>
      </c>
      <c r="AX363" s="140">
        <f ca="1">IF(ISNUMBER(MATCH(DATEVALUE($A363),'recurring1_based on steps'!AX$1:AX$400,0)),AX$2,)</f>
        <v>0</v>
      </c>
      <c r="AY363" s="140">
        <f ca="1">IF(ISNUMBER(MATCH(DATEVALUE($A363),'recurring1_based on steps'!AY$1:AY$400,0)),AY$2,)</f>
        <v>0</v>
      </c>
    </row>
    <row r="364" spans="1:51" x14ac:dyDescent="0.2">
      <c r="A364" s="29" t="str">
        <f t="shared" ca="1" si="5"/>
        <v>2026-03-23</v>
      </c>
      <c r="B364" s="140">
        <f ca="1">IF(ISNUMBER(MATCH(DATEVALUE($A364),'recurring1_based on steps'!B$1:B$400,0)),B$2,)</f>
        <v>0</v>
      </c>
      <c r="C364" s="140">
        <f ca="1">IF(ISNUMBER(MATCH(DATEVALUE($A364),'recurring1_based on steps'!C$1:C$400,0)),C$2,)</f>
        <v>0</v>
      </c>
      <c r="D364" s="140">
        <f ca="1">IF(ISNUMBER(MATCH(DATEVALUE($A364),'recurring1_based on steps'!D$1:D$400,0)),D$2,)</f>
        <v>0</v>
      </c>
      <c r="E364" s="140">
        <f ca="1">IF(ISNUMBER(MATCH(DATEVALUE($A364),'recurring1_based on steps'!E$1:E$400,0)),E$2,)</f>
        <v>0</v>
      </c>
      <c r="F364" s="140">
        <f ca="1">IF(ISNUMBER(MATCH(DATEVALUE($A364),'recurring1_based on steps'!F$1:F$400,0)),F$2,)</f>
        <v>0</v>
      </c>
      <c r="G364" s="140">
        <f ca="1">IF(ISNUMBER(MATCH(DATEVALUE($A364),'recurring1_based on steps'!G$1:G$400,0)),G$2,)</f>
        <v>0</v>
      </c>
      <c r="H364" s="140">
        <f ca="1">IF(ISNUMBER(MATCH(DATEVALUE($A364),'recurring1_based on steps'!H$1:H$400,0)),H$2,)</f>
        <v>0</v>
      </c>
      <c r="I364" s="140">
        <f ca="1">IF(ISNUMBER(MATCH(DATEVALUE($A364),'recurring1_based on steps'!I$1:I$400,0)),I$2,)</f>
        <v>0</v>
      </c>
      <c r="J364" s="140">
        <f ca="1">IF(ISNUMBER(MATCH(DATEVALUE($A364),'recurring1_based on steps'!J$1:J$400,0)),J$2,)</f>
        <v>0</v>
      </c>
      <c r="K364" s="140">
        <f ca="1">IF(ISNUMBER(MATCH(DATEVALUE($A364),'recurring1_based on steps'!K$1:K$400,0)),K$2,)</f>
        <v>0</v>
      </c>
      <c r="L364" s="140">
        <f ca="1">IF(ISNUMBER(MATCH(DATEVALUE($A364),'recurring1_based on steps'!L$1:L$400,0)),L$2,)</f>
        <v>0</v>
      </c>
      <c r="M364" s="140">
        <f ca="1">IF(ISNUMBER(MATCH(DATEVALUE($A364),'recurring1_based on steps'!M$1:M$400,0)),M$2,)</f>
        <v>0</v>
      </c>
      <c r="N364" s="140">
        <f ca="1">IF(ISNUMBER(MATCH(DATEVALUE($A364),'recurring1_based on steps'!N$1:N$400,0)),N$2,)</f>
        <v>0</v>
      </c>
      <c r="O364" s="140">
        <f ca="1">IF(ISNUMBER(MATCH(DATEVALUE($A364),'recurring1_based on steps'!O$1:O$400,0)),O$2,)</f>
        <v>0</v>
      </c>
      <c r="P364" s="140">
        <f ca="1">IF(ISNUMBER(MATCH(DATEVALUE($A364),'recurring1_based on steps'!P$1:P$400,0)),P$2,)</f>
        <v>0</v>
      </c>
      <c r="Q364" s="140">
        <f ca="1">IF(ISNUMBER(MATCH(DATEVALUE($A364),'recurring1_based on steps'!Q$1:Q$400,0)),Q$2,)</f>
        <v>0</v>
      </c>
      <c r="R364" s="140">
        <f ca="1">IF(ISNUMBER(MATCH(DATEVALUE($A364),'recurring1_based on steps'!R$1:R$400,0)),R$2,)</f>
        <v>0</v>
      </c>
      <c r="S364" s="140">
        <f ca="1">IF(ISNUMBER(MATCH(DATEVALUE($A364),'recurring1_based on steps'!S$1:S$400,0)),S$2,)</f>
        <v>0</v>
      </c>
      <c r="T364" s="140">
        <f ca="1">IF(ISNUMBER(MATCH(DATEVALUE($A364),'recurring1_based on steps'!T$1:T$400,0)),T$2,)</f>
        <v>0</v>
      </c>
      <c r="U364" s="140">
        <f ca="1">IF(ISNUMBER(MATCH(DATEVALUE($A364),'recurring1_based on steps'!U$1:U$400,0)),U$2,)</f>
        <v>0</v>
      </c>
      <c r="V364" s="140">
        <f ca="1">IF(ISNUMBER(MATCH(DATEVALUE($A364),'recurring1_based on steps'!V$1:V$400,0)),V$2,)</f>
        <v>0</v>
      </c>
      <c r="W364" s="140">
        <f ca="1">IF(ISNUMBER(MATCH(DATEVALUE($A364),'recurring1_based on steps'!W$1:W$400,0)),W$2,)</f>
        <v>0</v>
      </c>
      <c r="X364" s="140">
        <f ca="1">IF(ISNUMBER(MATCH(DATEVALUE($A364),'recurring1_based on steps'!X$1:X$400,0)),X$2,)</f>
        <v>0</v>
      </c>
      <c r="Y364" s="140">
        <f ca="1">IF(ISNUMBER(MATCH(DATEVALUE($A364),'recurring1_based on steps'!Y$1:Y$400,0)),Y$2,)</f>
        <v>0</v>
      </c>
      <c r="Z364" s="140">
        <f ca="1">IF(ISNUMBER(MATCH(DATEVALUE($A364),'recurring1_based on steps'!Z$1:Z$400,0)),Z$2,)</f>
        <v>0</v>
      </c>
      <c r="AA364" s="140">
        <f ca="1">IF(ISNUMBER(MATCH(DATEVALUE($A364),'recurring1_based on steps'!AA$1:AA$400,0)),AA$2,)</f>
        <v>0</v>
      </c>
      <c r="AB364" s="140">
        <f ca="1">IF(ISNUMBER(MATCH(DATEVALUE($A364),'recurring1_based on steps'!AB$1:AB$400,0)),AB$2,)</f>
        <v>5.5401662049861494E-2</v>
      </c>
      <c r="AC364" s="140">
        <f ca="1">IF(ISNUMBER(MATCH(DATEVALUE($A364),'recurring1_based on steps'!AC$1:AC$400,0)),AC$2,)</f>
        <v>0</v>
      </c>
      <c r="AD364" s="140">
        <f ca="1">IF(ISNUMBER(MATCH(DATEVALUE($A364),'recurring1_based on steps'!AD$1:AD$400,0)),AD$2,)</f>
        <v>0</v>
      </c>
      <c r="AE364" s="140">
        <f ca="1">IF(ISNUMBER(MATCH(DATEVALUE($A364),'recurring1_based on steps'!AE$1:AE$400,0)),AE$2,)</f>
        <v>0</v>
      </c>
      <c r="AF364" s="140">
        <f ca="1">IF(ISNUMBER(MATCH(DATEVALUE($A364),'recurring1_based on steps'!AF$1:AF$400,0)),AF$2,)</f>
        <v>0</v>
      </c>
      <c r="AG364" s="140">
        <f ca="1">IF(ISNUMBER(MATCH(DATEVALUE($A364),'recurring1_based on steps'!AG$1:AG$400,0)),AG$2,)</f>
        <v>0</v>
      </c>
      <c r="AH364" s="140">
        <f ca="1">IF(ISNUMBER(MATCH(DATEVALUE($A364),'recurring1_based on steps'!AH$1:AH$400,0)),AH$2,)</f>
        <v>0</v>
      </c>
      <c r="AI364" s="140">
        <f ca="1">IF(ISNUMBER(MATCH(DATEVALUE($A364),'recurring1_based on steps'!AI$1:AI$400,0)),AI$2,)</f>
        <v>0</v>
      </c>
      <c r="AJ364" s="140">
        <f ca="1">IF(ISNUMBER(MATCH(DATEVALUE($A364),'recurring1_based on steps'!AJ$1:AJ$400,0)),AJ$2,)</f>
        <v>0</v>
      </c>
      <c r="AK364" s="140">
        <f ca="1">IF(ISNUMBER(MATCH(DATEVALUE($A364),'recurring1_based on steps'!AK$1:AK$400,0)),AK$2,)</f>
        <v>0</v>
      </c>
      <c r="AL364" s="140">
        <f ca="1">IF(ISNUMBER(MATCH(DATEVALUE($A364),'recurring1_based on steps'!AL$1:AL$400,0)),AL$2,)</f>
        <v>0</v>
      </c>
      <c r="AM364" s="140">
        <f ca="1">IF(ISNUMBER(MATCH(DATEVALUE($A364),'recurring1_based on steps'!AM$1:AM$400,0)),AM$2,)</f>
        <v>0</v>
      </c>
      <c r="AN364" s="140">
        <f ca="1">IF(ISNUMBER(MATCH(DATEVALUE($A364),'recurring1_based on steps'!AN$1:AN$400,0)),AN$2,)</f>
        <v>0</v>
      </c>
      <c r="AO364" s="140">
        <f ca="1">IF(ISNUMBER(MATCH(DATEVALUE($A364),'recurring1_based on steps'!AO$1:AO$400,0)),AO$2,)</f>
        <v>0</v>
      </c>
      <c r="AP364" s="140">
        <f ca="1">IF(ISNUMBER(MATCH(DATEVALUE($A364),'recurring1_based on steps'!AP$1:AP$400,0)),AP$2,)</f>
        <v>0</v>
      </c>
      <c r="AQ364" s="140">
        <f ca="1">IF(ISNUMBER(MATCH(DATEVALUE($A364),'recurring1_based on steps'!AQ$1:AQ$400,0)),AQ$2,)</f>
        <v>0</v>
      </c>
      <c r="AR364" s="140">
        <f ca="1">IF(ISNUMBER(MATCH(DATEVALUE($A364),'recurring1_based on steps'!AR$1:AR$400,0)),AR$2,)</f>
        <v>0</v>
      </c>
      <c r="AS364" s="140">
        <f ca="1">IF(ISNUMBER(MATCH(DATEVALUE($A364),'recurring1_based on steps'!AS$1:AS$400,0)),AS$2,)</f>
        <v>0</v>
      </c>
      <c r="AT364" s="140">
        <f ca="1">IF(ISNUMBER(MATCH(DATEVALUE($A364),'recurring1_based on steps'!AT$1:AT$400,0)),AT$2,)</f>
        <v>0</v>
      </c>
      <c r="AU364" s="140">
        <f ca="1">IF(ISNUMBER(MATCH(DATEVALUE($A364),'recurring1_based on steps'!AU$1:AU$400,0)),AU$2,)</f>
        <v>0</v>
      </c>
      <c r="AV364" s="140">
        <f ca="1">IF(ISNUMBER(MATCH(DATEVALUE($A364),'recurring1_based on steps'!AV$1:AV$400,0)),AV$2,)</f>
        <v>0</v>
      </c>
      <c r="AW364" s="140">
        <f ca="1">IF(ISNUMBER(MATCH(DATEVALUE($A364),'recurring1_based on steps'!AW$1:AW$400,0)),AW$2,)</f>
        <v>0</v>
      </c>
      <c r="AX364" s="140">
        <f ca="1">IF(ISNUMBER(MATCH(DATEVALUE($A364),'recurring1_based on steps'!AX$1:AX$400,0)),AX$2,)</f>
        <v>0</v>
      </c>
      <c r="AY364" s="140">
        <f ca="1">IF(ISNUMBER(MATCH(DATEVALUE($A364),'recurring1_based on steps'!AY$1:AY$400,0)),AY$2,)</f>
        <v>0</v>
      </c>
    </row>
    <row r="365" spans="1:51" x14ac:dyDescent="0.2">
      <c r="A365" s="29" t="str">
        <f t="shared" ca="1" si="5"/>
        <v>2026-03-24</v>
      </c>
      <c r="B365" s="140">
        <f ca="1">IF(ISNUMBER(MATCH(DATEVALUE($A365),'recurring1_based on steps'!B$1:B$400,0)),B$2,)</f>
        <v>0</v>
      </c>
      <c r="C365" s="140">
        <f ca="1">IF(ISNUMBER(MATCH(DATEVALUE($A365),'recurring1_based on steps'!C$1:C$400,0)),C$2,)</f>
        <v>0</v>
      </c>
      <c r="D365" s="140">
        <f ca="1">IF(ISNUMBER(MATCH(DATEVALUE($A365),'recurring1_based on steps'!D$1:D$400,0)),D$2,)</f>
        <v>0</v>
      </c>
      <c r="E365" s="140">
        <f ca="1">IF(ISNUMBER(MATCH(DATEVALUE($A365),'recurring1_based on steps'!E$1:E$400,0)),E$2,)</f>
        <v>0</v>
      </c>
      <c r="F365" s="140">
        <f ca="1">IF(ISNUMBER(MATCH(DATEVALUE($A365),'recurring1_based on steps'!F$1:F$400,0)),F$2,)</f>
        <v>0</v>
      </c>
      <c r="G365" s="140">
        <f ca="1">IF(ISNUMBER(MATCH(DATEVALUE($A365),'recurring1_based on steps'!G$1:G$400,0)),G$2,)</f>
        <v>0</v>
      </c>
      <c r="H365" s="140">
        <f ca="1">IF(ISNUMBER(MATCH(DATEVALUE($A365),'recurring1_based on steps'!H$1:H$400,0)),H$2,)</f>
        <v>0</v>
      </c>
      <c r="I365" s="140">
        <f ca="1">IF(ISNUMBER(MATCH(DATEVALUE($A365),'recurring1_based on steps'!I$1:I$400,0)),I$2,)</f>
        <v>0</v>
      </c>
      <c r="J365" s="140">
        <f ca="1">IF(ISNUMBER(MATCH(DATEVALUE($A365),'recurring1_based on steps'!J$1:J$400,0)),J$2,)</f>
        <v>0</v>
      </c>
      <c r="K365" s="140">
        <f ca="1">IF(ISNUMBER(MATCH(DATEVALUE($A365),'recurring1_based on steps'!K$1:K$400,0)),K$2,)</f>
        <v>0</v>
      </c>
      <c r="L365" s="140">
        <f ca="1">IF(ISNUMBER(MATCH(DATEVALUE($A365),'recurring1_based on steps'!L$1:L$400,0)),L$2,)</f>
        <v>0</v>
      </c>
      <c r="M365" s="140">
        <f ca="1">IF(ISNUMBER(MATCH(DATEVALUE($A365),'recurring1_based on steps'!M$1:M$400,0)),M$2,)</f>
        <v>0</v>
      </c>
      <c r="N365" s="140">
        <f ca="1">IF(ISNUMBER(MATCH(DATEVALUE($A365),'recurring1_based on steps'!N$1:N$400,0)),N$2,)</f>
        <v>0</v>
      </c>
      <c r="O365" s="140">
        <f ca="1">IF(ISNUMBER(MATCH(DATEVALUE($A365),'recurring1_based on steps'!O$1:O$400,0)),O$2,)</f>
        <v>0</v>
      </c>
      <c r="P365" s="140">
        <f ca="1">IF(ISNUMBER(MATCH(DATEVALUE($A365),'recurring1_based on steps'!P$1:P$400,0)),P$2,)</f>
        <v>0</v>
      </c>
      <c r="Q365" s="140">
        <f ca="1">IF(ISNUMBER(MATCH(DATEVALUE($A365),'recurring1_based on steps'!Q$1:Q$400,0)),Q$2,)</f>
        <v>0</v>
      </c>
      <c r="R365" s="140">
        <f ca="1">IF(ISNUMBER(MATCH(DATEVALUE($A365),'recurring1_based on steps'!R$1:R$400,0)),R$2,)</f>
        <v>0</v>
      </c>
      <c r="S365" s="140">
        <f ca="1">IF(ISNUMBER(MATCH(DATEVALUE($A365),'recurring1_based on steps'!S$1:S$400,0)),S$2,)</f>
        <v>0</v>
      </c>
      <c r="T365" s="140">
        <f ca="1">IF(ISNUMBER(MATCH(DATEVALUE($A365),'recurring1_based on steps'!T$1:T$400,0)),T$2,)</f>
        <v>0</v>
      </c>
      <c r="U365" s="140">
        <f ca="1">IF(ISNUMBER(MATCH(DATEVALUE($A365),'recurring1_based on steps'!U$1:U$400,0)),U$2,)</f>
        <v>50</v>
      </c>
      <c r="V365" s="140">
        <f ca="1">IF(ISNUMBER(MATCH(DATEVALUE($A365),'recurring1_based on steps'!V$1:V$400,0)),V$2,)</f>
        <v>0</v>
      </c>
      <c r="W365" s="140">
        <f ca="1">IF(ISNUMBER(MATCH(DATEVALUE($A365),'recurring1_based on steps'!W$1:W$400,0)),W$2,)</f>
        <v>0</v>
      </c>
      <c r="X365" s="140">
        <f ca="1">IF(ISNUMBER(MATCH(DATEVALUE($A365),'recurring1_based on steps'!X$1:X$400,0)),X$2,)</f>
        <v>0</v>
      </c>
      <c r="Y365" s="140">
        <f ca="1">IF(ISNUMBER(MATCH(DATEVALUE($A365),'recurring1_based on steps'!Y$1:Y$400,0)),Y$2,)</f>
        <v>0</v>
      </c>
      <c r="Z365" s="140">
        <f ca="1">IF(ISNUMBER(MATCH(DATEVALUE($A365),'recurring1_based on steps'!Z$1:Z$400,0)),Z$2,)</f>
        <v>0</v>
      </c>
      <c r="AA365" s="140">
        <f ca="1">IF(ISNUMBER(MATCH(DATEVALUE($A365),'recurring1_based on steps'!AA$1:AA$400,0)),AA$2,)</f>
        <v>0</v>
      </c>
      <c r="AB365" s="140">
        <f ca="1">IF(ISNUMBER(MATCH(DATEVALUE($A365),'recurring1_based on steps'!AB$1:AB$400,0)),AB$2,)</f>
        <v>5.5401662049861494E-2</v>
      </c>
      <c r="AC365" s="140">
        <f ca="1">IF(ISNUMBER(MATCH(DATEVALUE($A365),'recurring1_based on steps'!AC$1:AC$400,0)),AC$2,)</f>
        <v>0</v>
      </c>
      <c r="AD365" s="140">
        <f ca="1">IF(ISNUMBER(MATCH(DATEVALUE($A365),'recurring1_based on steps'!AD$1:AD$400,0)),AD$2,)</f>
        <v>0</v>
      </c>
      <c r="AE365" s="140">
        <f ca="1">IF(ISNUMBER(MATCH(DATEVALUE($A365),'recurring1_based on steps'!AE$1:AE$400,0)),AE$2,)</f>
        <v>0</v>
      </c>
      <c r="AF365" s="140">
        <f ca="1">IF(ISNUMBER(MATCH(DATEVALUE($A365),'recurring1_based on steps'!AF$1:AF$400,0)),AF$2,)</f>
        <v>0</v>
      </c>
      <c r="AG365" s="140">
        <f ca="1">IF(ISNUMBER(MATCH(DATEVALUE($A365),'recurring1_based on steps'!AG$1:AG$400,0)),AG$2,)</f>
        <v>0</v>
      </c>
      <c r="AH365" s="140">
        <f ca="1">IF(ISNUMBER(MATCH(DATEVALUE($A365),'recurring1_based on steps'!AH$1:AH$400,0)),AH$2,)</f>
        <v>0</v>
      </c>
      <c r="AI365" s="140">
        <f ca="1">IF(ISNUMBER(MATCH(DATEVALUE($A365),'recurring1_based on steps'!AI$1:AI$400,0)),AI$2,)</f>
        <v>0</v>
      </c>
      <c r="AJ365" s="140">
        <f ca="1">IF(ISNUMBER(MATCH(DATEVALUE($A365),'recurring1_based on steps'!AJ$1:AJ$400,0)),AJ$2,)</f>
        <v>0</v>
      </c>
      <c r="AK365" s="140">
        <f ca="1">IF(ISNUMBER(MATCH(DATEVALUE($A365),'recurring1_based on steps'!AK$1:AK$400,0)),AK$2,)</f>
        <v>0</v>
      </c>
      <c r="AL365" s="140">
        <f ca="1">IF(ISNUMBER(MATCH(DATEVALUE($A365),'recurring1_based on steps'!AL$1:AL$400,0)),AL$2,)</f>
        <v>0</v>
      </c>
      <c r="AM365" s="140">
        <f ca="1">IF(ISNUMBER(MATCH(DATEVALUE($A365),'recurring1_based on steps'!AM$1:AM$400,0)),AM$2,)</f>
        <v>0</v>
      </c>
      <c r="AN365" s="140">
        <f ca="1">IF(ISNUMBER(MATCH(DATEVALUE($A365),'recurring1_based on steps'!AN$1:AN$400,0)),AN$2,)</f>
        <v>0</v>
      </c>
      <c r="AO365" s="140">
        <f ca="1">IF(ISNUMBER(MATCH(DATEVALUE($A365),'recurring1_based on steps'!AO$1:AO$400,0)),AO$2,)</f>
        <v>0</v>
      </c>
      <c r="AP365" s="140">
        <f ca="1">IF(ISNUMBER(MATCH(DATEVALUE($A365),'recurring1_based on steps'!AP$1:AP$400,0)),AP$2,)</f>
        <v>0</v>
      </c>
      <c r="AQ365" s="140">
        <f ca="1">IF(ISNUMBER(MATCH(DATEVALUE($A365),'recurring1_based on steps'!AQ$1:AQ$400,0)),AQ$2,)</f>
        <v>0</v>
      </c>
      <c r="AR365" s="140">
        <f ca="1">IF(ISNUMBER(MATCH(DATEVALUE($A365),'recurring1_based on steps'!AR$1:AR$400,0)),AR$2,)</f>
        <v>0</v>
      </c>
      <c r="AS365" s="140">
        <f ca="1">IF(ISNUMBER(MATCH(DATEVALUE($A365),'recurring1_based on steps'!AS$1:AS$400,0)),AS$2,)</f>
        <v>0</v>
      </c>
      <c r="AT365" s="140">
        <f ca="1">IF(ISNUMBER(MATCH(DATEVALUE($A365),'recurring1_based on steps'!AT$1:AT$400,0)),AT$2,)</f>
        <v>0</v>
      </c>
      <c r="AU365" s="140">
        <f ca="1">IF(ISNUMBER(MATCH(DATEVALUE($A365),'recurring1_based on steps'!AU$1:AU$400,0)),AU$2,)</f>
        <v>0</v>
      </c>
      <c r="AV365" s="140">
        <f ca="1">IF(ISNUMBER(MATCH(DATEVALUE($A365),'recurring1_based on steps'!AV$1:AV$400,0)),AV$2,)</f>
        <v>0</v>
      </c>
      <c r="AW365" s="140">
        <f ca="1">IF(ISNUMBER(MATCH(DATEVALUE($A365),'recurring1_based on steps'!AW$1:AW$400,0)),AW$2,)</f>
        <v>0</v>
      </c>
      <c r="AX365" s="140">
        <f ca="1">IF(ISNUMBER(MATCH(DATEVALUE($A365),'recurring1_based on steps'!AX$1:AX$400,0)),AX$2,)</f>
        <v>0</v>
      </c>
      <c r="AY365" s="140">
        <f ca="1">IF(ISNUMBER(MATCH(DATEVALUE($A365),'recurring1_based on steps'!AY$1:AY$400,0)),AY$2,)</f>
        <v>0</v>
      </c>
    </row>
    <row r="366" spans="1:51" x14ac:dyDescent="0.2">
      <c r="A366" s="29" t="str">
        <f t="shared" ca="1" si="5"/>
        <v>2026-03-25</v>
      </c>
      <c r="B366" s="140">
        <f ca="1">IF(ISNUMBER(MATCH(DATEVALUE($A366),'recurring1_based on steps'!B$1:B$400,0)),B$2,)</f>
        <v>0</v>
      </c>
      <c r="C366" s="140">
        <f ca="1">IF(ISNUMBER(MATCH(DATEVALUE($A366),'recurring1_based on steps'!C$1:C$400,0)),C$2,)</f>
        <v>0</v>
      </c>
      <c r="D366" s="140">
        <f ca="1">IF(ISNUMBER(MATCH(DATEVALUE($A366),'recurring1_based on steps'!D$1:D$400,0)),D$2,)</f>
        <v>0</v>
      </c>
      <c r="E366" s="140">
        <f ca="1">IF(ISNUMBER(MATCH(DATEVALUE($A366),'recurring1_based on steps'!E$1:E$400,0)),E$2,)</f>
        <v>0</v>
      </c>
      <c r="F366" s="140">
        <f ca="1">IF(ISNUMBER(MATCH(DATEVALUE($A366),'recurring1_based on steps'!F$1:F$400,0)),F$2,)</f>
        <v>0</v>
      </c>
      <c r="G366" s="140">
        <f ca="1">IF(ISNUMBER(MATCH(DATEVALUE($A366),'recurring1_based on steps'!G$1:G$400,0)),G$2,)</f>
        <v>0</v>
      </c>
      <c r="H366" s="140">
        <f ca="1">IF(ISNUMBER(MATCH(DATEVALUE($A366),'recurring1_based on steps'!H$1:H$400,0)),H$2,)</f>
        <v>0</v>
      </c>
      <c r="I366" s="140">
        <f ca="1">IF(ISNUMBER(MATCH(DATEVALUE($A366),'recurring1_based on steps'!I$1:I$400,0)),I$2,)</f>
        <v>0</v>
      </c>
      <c r="J366" s="140">
        <f ca="1">IF(ISNUMBER(MATCH(DATEVALUE($A366),'recurring1_based on steps'!J$1:J$400,0)),J$2,)</f>
        <v>0</v>
      </c>
      <c r="K366" s="140">
        <f ca="1">IF(ISNUMBER(MATCH(DATEVALUE($A366),'recurring1_based on steps'!K$1:K$400,0)),K$2,)</f>
        <v>0</v>
      </c>
      <c r="L366" s="140">
        <f ca="1">IF(ISNUMBER(MATCH(DATEVALUE($A366),'recurring1_based on steps'!L$1:L$400,0)),L$2,)</f>
        <v>0</v>
      </c>
      <c r="M366" s="140">
        <f ca="1">IF(ISNUMBER(MATCH(DATEVALUE($A366),'recurring1_based on steps'!M$1:M$400,0)),M$2,)</f>
        <v>0</v>
      </c>
      <c r="N366" s="140">
        <f ca="1">IF(ISNUMBER(MATCH(DATEVALUE($A366),'recurring1_based on steps'!N$1:N$400,0)),N$2,)</f>
        <v>0</v>
      </c>
      <c r="O366" s="140">
        <f ca="1">IF(ISNUMBER(MATCH(DATEVALUE($A366),'recurring1_based on steps'!O$1:O$400,0)),O$2,)</f>
        <v>0</v>
      </c>
      <c r="P366" s="140">
        <f ca="1">IF(ISNUMBER(MATCH(DATEVALUE($A366),'recurring1_based on steps'!P$1:P$400,0)),P$2,)</f>
        <v>0</v>
      </c>
      <c r="Q366" s="140">
        <f ca="1">IF(ISNUMBER(MATCH(DATEVALUE($A366),'recurring1_based on steps'!Q$1:Q$400,0)),Q$2,)</f>
        <v>0</v>
      </c>
      <c r="R366" s="140">
        <f ca="1">IF(ISNUMBER(MATCH(DATEVALUE($A366),'recurring1_based on steps'!R$1:R$400,0)),R$2,)</f>
        <v>0</v>
      </c>
      <c r="S366" s="140">
        <f ca="1">IF(ISNUMBER(MATCH(DATEVALUE($A366),'recurring1_based on steps'!S$1:S$400,0)),S$2,)</f>
        <v>0</v>
      </c>
      <c r="T366" s="140">
        <f ca="1">IF(ISNUMBER(MATCH(DATEVALUE($A366),'recurring1_based on steps'!T$1:T$400,0)),T$2,)</f>
        <v>0</v>
      </c>
      <c r="U366" s="140">
        <f ca="1">IF(ISNUMBER(MATCH(DATEVALUE($A366),'recurring1_based on steps'!U$1:U$400,0)),U$2,)</f>
        <v>0</v>
      </c>
      <c r="V366" s="140">
        <f ca="1">IF(ISNUMBER(MATCH(DATEVALUE($A366),'recurring1_based on steps'!V$1:V$400,0)),V$2,)</f>
        <v>0</v>
      </c>
      <c r="W366" s="140">
        <f ca="1">IF(ISNUMBER(MATCH(DATEVALUE($A366),'recurring1_based on steps'!W$1:W$400,0)),W$2,)</f>
        <v>0</v>
      </c>
      <c r="X366" s="140">
        <f ca="1">IF(ISNUMBER(MATCH(DATEVALUE($A366),'recurring1_based on steps'!X$1:X$400,0)),X$2,)</f>
        <v>0</v>
      </c>
      <c r="Y366" s="140">
        <f ca="1">IF(ISNUMBER(MATCH(DATEVALUE($A366),'recurring1_based on steps'!Y$1:Y$400,0)),Y$2,)</f>
        <v>0</v>
      </c>
      <c r="Z366" s="140">
        <f ca="1">IF(ISNUMBER(MATCH(DATEVALUE($A366),'recurring1_based on steps'!Z$1:Z$400,0)),Z$2,)</f>
        <v>0</v>
      </c>
      <c r="AA366" s="140">
        <f ca="1">IF(ISNUMBER(MATCH(DATEVALUE($A366),'recurring1_based on steps'!AA$1:AA$400,0)),AA$2,)</f>
        <v>0</v>
      </c>
      <c r="AB366" s="140">
        <f ca="1">IF(ISNUMBER(MATCH(DATEVALUE($A366),'recurring1_based on steps'!AB$1:AB$400,0)),AB$2,)</f>
        <v>5.5401662049861494E-2</v>
      </c>
      <c r="AC366" s="140">
        <f ca="1">IF(ISNUMBER(MATCH(DATEVALUE($A366),'recurring1_based on steps'!AC$1:AC$400,0)),AC$2,)</f>
        <v>0</v>
      </c>
      <c r="AD366" s="140">
        <f ca="1">IF(ISNUMBER(MATCH(DATEVALUE($A366),'recurring1_based on steps'!AD$1:AD$400,0)),AD$2,)</f>
        <v>0</v>
      </c>
      <c r="AE366" s="140">
        <f ca="1">IF(ISNUMBER(MATCH(DATEVALUE($A366),'recurring1_based on steps'!AE$1:AE$400,0)),AE$2,)</f>
        <v>0</v>
      </c>
      <c r="AF366" s="140">
        <f ca="1">IF(ISNUMBER(MATCH(DATEVALUE($A366),'recurring1_based on steps'!AF$1:AF$400,0)),AF$2,)</f>
        <v>0</v>
      </c>
      <c r="AG366" s="140">
        <f ca="1">IF(ISNUMBER(MATCH(DATEVALUE($A366),'recurring1_based on steps'!AG$1:AG$400,0)),AG$2,)</f>
        <v>0</v>
      </c>
      <c r="AH366" s="140">
        <f ca="1">IF(ISNUMBER(MATCH(DATEVALUE($A366),'recurring1_based on steps'!AH$1:AH$400,0)),AH$2,)</f>
        <v>0</v>
      </c>
      <c r="AI366" s="140">
        <f ca="1">IF(ISNUMBER(MATCH(DATEVALUE($A366),'recurring1_based on steps'!AI$1:AI$400,0)),AI$2,)</f>
        <v>0</v>
      </c>
      <c r="AJ366" s="140">
        <f ca="1">IF(ISNUMBER(MATCH(DATEVALUE($A366),'recurring1_based on steps'!AJ$1:AJ$400,0)),AJ$2,)</f>
        <v>0</v>
      </c>
      <c r="AK366" s="140">
        <f ca="1">IF(ISNUMBER(MATCH(DATEVALUE($A366),'recurring1_based on steps'!AK$1:AK$400,0)),AK$2,)</f>
        <v>0</v>
      </c>
      <c r="AL366" s="140">
        <f ca="1">IF(ISNUMBER(MATCH(DATEVALUE($A366),'recurring1_based on steps'!AL$1:AL$400,0)),AL$2,)</f>
        <v>0</v>
      </c>
      <c r="AM366" s="140">
        <f ca="1">IF(ISNUMBER(MATCH(DATEVALUE($A366),'recurring1_based on steps'!AM$1:AM$400,0)),AM$2,)</f>
        <v>0</v>
      </c>
      <c r="AN366" s="140">
        <f ca="1">IF(ISNUMBER(MATCH(DATEVALUE($A366),'recurring1_based on steps'!AN$1:AN$400,0)),AN$2,)</f>
        <v>0</v>
      </c>
      <c r="AO366" s="140">
        <f ca="1">IF(ISNUMBER(MATCH(DATEVALUE($A366),'recurring1_based on steps'!AO$1:AO$400,0)),AO$2,)</f>
        <v>0</v>
      </c>
      <c r="AP366" s="140">
        <f ca="1">IF(ISNUMBER(MATCH(DATEVALUE($A366),'recurring1_based on steps'!AP$1:AP$400,0)),AP$2,)</f>
        <v>0</v>
      </c>
      <c r="AQ366" s="140">
        <f ca="1">IF(ISNUMBER(MATCH(DATEVALUE($A366),'recurring1_based on steps'!AQ$1:AQ$400,0)),AQ$2,)</f>
        <v>0</v>
      </c>
      <c r="AR366" s="140">
        <f ca="1">IF(ISNUMBER(MATCH(DATEVALUE($A366),'recurring1_based on steps'!AR$1:AR$400,0)),AR$2,)</f>
        <v>0</v>
      </c>
      <c r="AS366" s="140">
        <f ca="1">IF(ISNUMBER(MATCH(DATEVALUE($A366),'recurring1_based on steps'!AS$1:AS$400,0)),AS$2,)</f>
        <v>0</v>
      </c>
      <c r="AT366" s="140">
        <f ca="1">IF(ISNUMBER(MATCH(DATEVALUE($A366),'recurring1_based on steps'!AT$1:AT$400,0)),AT$2,)</f>
        <v>0</v>
      </c>
      <c r="AU366" s="140">
        <f ca="1">IF(ISNUMBER(MATCH(DATEVALUE($A366),'recurring1_based on steps'!AU$1:AU$400,0)),AU$2,)</f>
        <v>0</v>
      </c>
      <c r="AV366" s="140">
        <f ca="1">IF(ISNUMBER(MATCH(DATEVALUE($A366),'recurring1_based on steps'!AV$1:AV$400,0)),AV$2,)</f>
        <v>0</v>
      </c>
      <c r="AW366" s="140">
        <f ca="1">IF(ISNUMBER(MATCH(DATEVALUE($A366),'recurring1_based on steps'!AW$1:AW$400,0)),AW$2,)</f>
        <v>0</v>
      </c>
      <c r="AX366" s="140">
        <f ca="1">IF(ISNUMBER(MATCH(DATEVALUE($A366),'recurring1_based on steps'!AX$1:AX$400,0)),AX$2,)</f>
        <v>0</v>
      </c>
      <c r="AY366" s="140">
        <f ca="1">IF(ISNUMBER(MATCH(DATEVALUE($A366),'recurring1_based on steps'!AY$1:AY$400,0)),AY$2,)</f>
        <v>0</v>
      </c>
    </row>
    <row r="367" spans="1:51" x14ac:dyDescent="0.2">
      <c r="A367" s="29" t="str">
        <f t="shared" ca="1" si="5"/>
        <v>2026-03-26</v>
      </c>
      <c r="B367" s="140">
        <f ca="1">IF(ISNUMBER(MATCH(DATEVALUE($A367),'recurring1_based on steps'!B$1:B$400,0)),B$2,)</f>
        <v>0</v>
      </c>
      <c r="C367" s="140">
        <f ca="1">IF(ISNUMBER(MATCH(DATEVALUE($A367),'recurring1_based on steps'!C$1:C$400,0)),C$2,)</f>
        <v>0</v>
      </c>
      <c r="D367" s="140">
        <f ca="1">IF(ISNUMBER(MATCH(DATEVALUE($A367),'recurring1_based on steps'!D$1:D$400,0)),D$2,)</f>
        <v>0</v>
      </c>
      <c r="E367" s="140">
        <f ca="1">IF(ISNUMBER(MATCH(DATEVALUE($A367),'recurring1_based on steps'!E$1:E$400,0)),E$2,)</f>
        <v>0</v>
      </c>
      <c r="F367" s="140">
        <f ca="1">IF(ISNUMBER(MATCH(DATEVALUE($A367),'recurring1_based on steps'!F$1:F$400,0)),F$2,)</f>
        <v>0</v>
      </c>
      <c r="G367" s="140">
        <f ca="1">IF(ISNUMBER(MATCH(DATEVALUE($A367),'recurring1_based on steps'!G$1:G$400,0)),G$2,)</f>
        <v>0</v>
      </c>
      <c r="H367" s="140">
        <f ca="1">IF(ISNUMBER(MATCH(DATEVALUE($A367),'recurring1_based on steps'!H$1:H$400,0)),H$2,)</f>
        <v>0</v>
      </c>
      <c r="I367" s="140">
        <f ca="1">IF(ISNUMBER(MATCH(DATEVALUE($A367),'recurring1_based on steps'!I$1:I$400,0)),I$2,)</f>
        <v>0</v>
      </c>
      <c r="J367" s="140">
        <f ca="1">IF(ISNUMBER(MATCH(DATEVALUE($A367),'recurring1_based on steps'!J$1:J$400,0)),J$2,)</f>
        <v>0</v>
      </c>
      <c r="K367" s="140">
        <f ca="1">IF(ISNUMBER(MATCH(DATEVALUE($A367),'recurring1_based on steps'!K$1:K$400,0)),K$2,)</f>
        <v>0</v>
      </c>
      <c r="L367" s="140">
        <f ca="1">IF(ISNUMBER(MATCH(DATEVALUE($A367),'recurring1_based on steps'!L$1:L$400,0)),L$2,)</f>
        <v>0</v>
      </c>
      <c r="M367" s="140">
        <f ca="1">IF(ISNUMBER(MATCH(DATEVALUE($A367),'recurring1_based on steps'!M$1:M$400,0)),M$2,)</f>
        <v>0</v>
      </c>
      <c r="N367" s="140">
        <f ca="1">IF(ISNUMBER(MATCH(DATEVALUE($A367),'recurring1_based on steps'!N$1:N$400,0)),N$2,)</f>
        <v>0</v>
      </c>
      <c r="O367" s="140">
        <f ca="1">IF(ISNUMBER(MATCH(DATEVALUE($A367),'recurring1_based on steps'!O$1:O$400,0)),O$2,)</f>
        <v>0</v>
      </c>
      <c r="P367" s="140">
        <f ca="1">IF(ISNUMBER(MATCH(DATEVALUE($A367),'recurring1_based on steps'!P$1:P$400,0)),P$2,)</f>
        <v>0</v>
      </c>
      <c r="Q367" s="140">
        <f ca="1">IF(ISNUMBER(MATCH(DATEVALUE($A367),'recurring1_based on steps'!Q$1:Q$400,0)),Q$2,)</f>
        <v>0</v>
      </c>
      <c r="R367" s="140">
        <f ca="1">IF(ISNUMBER(MATCH(DATEVALUE($A367),'recurring1_based on steps'!R$1:R$400,0)),R$2,)</f>
        <v>0</v>
      </c>
      <c r="S367" s="140">
        <f ca="1">IF(ISNUMBER(MATCH(DATEVALUE($A367),'recurring1_based on steps'!S$1:S$400,0)),S$2,)</f>
        <v>0</v>
      </c>
      <c r="T367" s="140">
        <f ca="1">IF(ISNUMBER(MATCH(DATEVALUE($A367),'recurring1_based on steps'!T$1:T$400,0)),T$2,)</f>
        <v>0</v>
      </c>
      <c r="U367" s="140">
        <f ca="1">IF(ISNUMBER(MATCH(DATEVALUE($A367),'recurring1_based on steps'!U$1:U$400,0)),U$2,)</f>
        <v>0</v>
      </c>
      <c r="V367" s="140">
        <f ca="1">IF(ISNUMBER(MATCH(DATEVALUE($A367),'recurring1_based on steps'!V$1:V$400,0)),V$2,)</f>
        <v>0</v>
      </c>
      <c r="W367" s="140">
        <f ca="1">IF(ISNUMBER(MATCH(DATEVALUE($A367),'recurring1_based on steps'!W$1:W$400,0)),W$2,)</f>
        <v>0</v>
      </c>
      <c r="X367" s="140">
        <f ca="1">IF(ISNUMBER(MATCH(DATEVALUE($A367),'recurring1_based on steps'!X$1:X$400,0)),X$2,)</f>
        <v>0</v>
      </c>
      <c r="Y367" s="140">
        <f ca="1">IF(ISNUMBER(MATCH(DATEVALUE($A367),'recurring1_based on steps'!Y$1:Y$400,0)),Y$2,)</f>
        <v>0</v>
      </c>
      <c r="Z367" s="140">
        <f ca="1">IF(ISNUMBER(MATCH(DATEVALUE($A367),'recurring1_based on steps'!Z$1:Z$400,0)),Z$2,)</f>
        <v>0</v>
      </c>
      <c r="AA367" s="140">
        <f ca="1">IF(ISNUMBER(MATCH(DATEVALUE($A367),'recurring1_based on steps'!AA$1:AA$400,0)),AA$2,)</f>
        <v>0</v>
      </c>
      <c r="AB367" s="140">
        <f ca="1">IF(ISNUMBER(MATCH(DATEVALUE($A367),'recurring1_based on steps'!AB$1:AB$400,0)),AB$2,)</f>
        <v>5.5401662049861494E-2</v>
      </c>
      <c r="AC367" s="140">
        <f ca="1">IF(ISNUMBER(MATCH(DATEVALUE($A367),'recurring1_based on steps'!AC$1:AC$400,0)),AC$2,)</f>
        <v>0</v>
      </c>
      <c r="AD367" s="140">
        <f ca="1">IF(ISNUMBER(MATCH(DATEVALUE($A367),'recurring1_based on steps'!AD$1:AD$400,0)),AD$2,)</f>
        <v>0</v>
      </c>
      <c r="AE367" s="140">
        <f ca="1">IF(ISNUMBER(MATCH(DATEVALUE($A367),'recurring1_based on steps'!AE$1:AE$400,0)),AE$2,)</f>
        <v>0</v>
      </c>
      <c r="AF367" s="140">
        <f ca="1">IF(ISNUMBER(MATCH(DATEVALUE($A367),'recurring1_based on steps'!AF$1:AF$400,0)),AF$2,)</f>
        <v>0</v>
      </c>
      <c r="AG367" s="140">
        <f ca="1">IF(ISNUMBER(MATCH(DATEVALUE($A367),'recurring1_based on steps'!AG$1:AG$400,0)),AG$2,)</f>
        <v>0</v>
      </c>
      <c r="AH367" s="140">
        <f ca="1">IF(ISNUMBER(MATCH(DATEVALUE($A367),'recurring1_based on steps'!AH$1:AH$400,0)),AH$2,)</f>
        <v>0</v>
      </c>
      <c r="AI367" s="140">
        <f ca="1">IF(ISNUMBER(MATCH(DATEVALUE($A367),'recurring1_based on steps'!AI$1:AI$400,0)),AI$2,)</f>
        <v>0</v>
      </c>
      <c r="AJ367" s="140">
        <f ca="1">IF(ISNUMBER(MATCH(DATEVALUE($A367),'recurring1_based on steps'!AJ$1:AJ$400,0)),AJ$2,)</f>
        <v>0</v>
      </c>
      <c r="AK367" s="140">
        <f ca="1">IF(ISNUMBER(MATCH(DATEVALUE($A367),'recurring1_based on steps'!AK$1:AK$400,0)),AK$2,)</f>
        <v>0</v>
      </c>
      <c r="AL367" s="140">
        <f ca="1">IF(ISNUMBER(MATCH(DATEVALUE($A367),'recurring1_based on steps'!AL$1:AL$400,0)),AL$2,)</f>
        <v>0</v>
      </c>
      <c r="AM367" s="140">
        <f ca="1">IF(ISNUMBER(MATCH(DATEVALUE($A367),'recurring1_based on steps'!AM$1:AM$400,0)),AM$2,)</f>
        <v>0</v>
      </c>
      <c r="AN367" s="140">
        <f ca="1">IF(ISNUMBER(MATCH(DATEVALUE($A367),'recurring1_based on steps'!AN$1:AN$400,0)),AN$2,)</f>
        <v>0</v>
      </c>
      <c r="AO367" s="140">
        <f ca="1">IF(ISNUMBER(MATCH(DATEVALUE($A367),'recurring1_based on steps'!AO$1:AO$400,0)),AO$2,)</f>
        <v>0</v>
      </c>
      <c r="AP367" s="140">
        <f ca="1">IF(ISNUMBER(MATCH(DATEVALUE($A367),'recurring1_based on steps'!AP$1:AP$400,0)),AP$2,)</f>
        <v>0</v>
      </c>
      <c r="AQ367" s="140">
        <f ca="1">IF(ISNUMBER(MATCH(DATEVALUE($A367),'recurring1_based on steps'!AQ$1:AQ$400,0)),AQ$2,)</f>
        <v>0</v>
      </c>
      <c r="AR367" s="140">
        <f ca="1">IF(ISNUMBER(MATCH(DATEVALUE($A367),'recurring1_based on steps'!AR$1:AR$400,0)),AR$2,)</f>
        <v>0</v>
      </c>
      <c r="AS367" s="140">
        <f ca="1">IF(ISNUMBER(MATCH(DATEVALUE($A367),'recurring1_based on steps'!AS$1:AS$400,0)),AS$2,)</f>
        <v>0</v>
      </c>
      <c r="AT367" s="140">
        <f ca="1">IF(ISNUMBER(MATCH(DATEVALUE($A367),'recurring1_based on steps'!AT$1:AT$400,0)),AT$2,)</f>
        <v>0</v>
      </c>
      <c r="AU367" s="140">
        <f ca="1">IF(ISNUMBER(MATCH(DATEVALUE($A367),'recurring1_based on steps'!AU$1:AU$400,0)),AU$2,)</f>
        <v>0</v>
      </c>
      <c r="AV367" s="140">
        <f ca="1">IF(ISNUMBER(MATCH(DATEVALUE($A367),'recurring1_based on steps'!AV$1:AV$400,0)),AV$2,)</f>
        <v>0</v>
      </c>
      <c r="AW367" s="140">
        <f ca="1">IF(ISNUMBER(MATCH(DATEVALUE($A367),'recurring1_based on steps'!AW$1:AW$400,0)),AW$2,)</f>
        <v>0</v>
      </c>
      <c r="AX367" s="140">
        <f ca="1">IF(ISNUMBER(MATCH(DATEVALUE($A367),'recurring1_based on steps'!AX$1:AX$400,0)),AX$2,)</f>
        <v>0</v>
      </c>
      <c r="AY367" s="140">
        <f ca="1">IF(ISNUMBER(MATCH(DATEVALUE($A367),'recurring1_based on steps'!AY$1:AY$400,0)),AY$2,)</f>
        <v>0</v>
      </c>
    </row>
    <row r="368" spans="1:51" x14ac:dyDescent="0.2">
      <c r="A368" s="29" t="str">
        <f t="shared" ca="1" si="5"/>
        <v>2026-03-27</v>
      </c>
      <c r="B368" s="140">
        <f ca="1">IF(ISNUMBER(MATCH(DATEVALUE($A368),'recurring1_based on steps'!B$1:B$400,0)),B$2,)</f>
        <v>0</v>
      </c>
      <c r="C368" s="140">
        <f ca="1">IF(ISNUMBER(MATCH(DATEVALUE($A368),'recurring1_based on steps'!C$1:C$400,0)),C$2,)</f>
        <v>0</v>
      </c>
      <c r="D368" s="140">
        <f ca="1">IF(ISNUMBER(MATCH(DATEVALUE($A368),'recurring1_based on steps'!D$1:D$400,0)),D$2,)</f>
        <v>0</v>
      </c>
      <c r="E368" s="140">
        <f ca="1">IF(ISNUMBER(MATCH(DATEVALUE($A368),'recurring1_based on steps'!E$1:E$400,0)),E$2,)</f>
        <v>0</v>
      </c>
      <c r="F368" s="140">
        <f ca="1">IF(ISNUMBER(MATCH(DATEVALUE($A368),'recurring1_based on steps'!F$1:F$400,0)),F$2,)</f>
        <v>0</v>
      </c>
      <c r="G368" s="140">
        <f ca="1">IF(ISNUMBER(MATCH(DATEVALUE($A368),'recurring1_based on steps'!G$1:G$400,0)),G$2,)</f>
        <v>0</v>
      </c>
      <c r="H368" s="140">
        <f ca="1">IF(ISNUMBER(MATCH(DATEVALUE($A368),'recurring1_based on steps'!H$1:H$400,0)),H$2,)</f>
        <v>0</v>
      </c>
      <c r="I368" s="140">
        <f ca="1">IF(ISNUMBER(MATCH(DATEVALUE($A368),'recurring1_based on steps'!I$1:I$400,0)),I$2,)</f>
        <v>0</v>
      </c>
      <c r="J368" s="140">
        <f ca="1">IF(ISNUMBER(MATCH(DATEVALUE($A368),'recurring1_based on steps'!J$1:J$400,0)),J$2,)</f>
        <v>0</v>
      </c>
      <c r="K368" s="140">
        <f ca="1">IF(ISNUMBER(MATCH(DATEVALUE($A368),'recurring1_based on steps'!K$1:K$400,0)),K$2,)</f>
        <v>0</v>
      </c>
      <c r="L368" s="140">
        <f ca="1">IF(ISNUMBER(MATCH(DATEVALUE($A368),'recurring1_based on steps'!L$1:L$400,0)),L$2,)</f>
        <v>0</v>
      </c>
      <c r="M368" s="140">
        <f ca="1">IF(ISNUMBER(MATCH(DATEVALUE($A368),'recurring1_based on steps'!M$1:M$400,0)),M$2,)</f>
        <v>0</v>
      </c>
      <c r="N368" s="140">
        <f ca="1">IF(ISNUMBER(MATCH(DATEVALUE($A368),'recurring1_based on steps'!N$1:N$400,0)),N$2,)</f>
        <v>0</v>
      </c>
      <c r="O368" s="140">
        <f ca="1">IF(ISNUMBER(MATCH(DATEVALUE($A368),'recurring1_based on steps'!O$1:O$400,0)),O$2,)</f>
        <v>0</v>
      </c>
      <c r="P368" s="140">
        <f ca="1">IF(ISNUMBER(MATCH(DATEVALUE($A368),'recurring1_based on steps'!P$1:P$400,0)),P$2,)</f>
        <v>0</v>
      </c>
      <c r="Q368" s="140">
        <f ca="1">IF(ISNUMBER(MATCH(DATEVALUE($A368),'recurring1_based on steps'!Q$1:Q$400,0)),Q$2,)</f>
        <v>0</v>
      </c>
      <c r="R368" s="140">
        <f ca="1">IF(ISNUMBER(MATCH(DATEVALUE($A368),'recurring1_based on steps'!R$1:R$400,0)),R$2,)</f>
        <v>0</v>
      </c>
      <c r="S368" s="140">
        <f ca="1">IF(ISNUMBER(MATCH(DATEVALUE($A368),'recurring1_based on steps'!S$1:S$400,0)),S$2,)</f>
        <v>0</v>
      </c>
      <c r="T368" s="140">
        <f ca="1">IF(ISNUMBER(MATCH(DATEVALUE($A368),'recurring1_based on steps'!T$1:T$400,0)),T$2,)</f>
        <v>0</v>
      </c>
      <c r="U368" s="140">
        <f ca="1">IF(ISNUMBER(MATCH(DATEVALUE($A368),'recurring1_based on steps'!U$1:U$400,0)),U$2,)</f>
        <v>0</v>
      </c>
      <c r="V368" s="140">
        <f ca="1">IF(ISNUMBER(MATCH(DATEVALUE($A368),'recurring1_based on steps'!V$1:V$400,0)),V$2,)</f>
        <v>0</v>
      </c>
      <c r="W368" s="140">
        <f ca="1">IF(ISNUMBER(MATCH(DATEVALUE($A368),'recurring1_based on steps'!W$1:W$400,0)),W$2,)</f>
        <v>0</v>
      </c>
      <c r="X368" s="140">
        <f ca="1">IF(ISNUMBER(MATCH(DATEVALUE($A368),'recurring1_based on steps'!X$1:X$400,0)),X$2,)</f>
        <v>0</v>
      </c>
      <c r="Y368" s="140">
        <f ca="1">IF(ISNUMBER(MATCH(DATEVALUE($A368),'recurring1_based on steps'!Y$1:Y$400,0)),Y$2,)</f>
        <v>0</v>
      </c>
      <c r="Z368" s="140">
        <f ca="1">IF(ISNUMBER(MATCH(DATEVALUE($A368),'recurring1_based on steps'!Z$1:Z$400,0)),Z$2,)</f>
        <v>0</v>
      </c>
      <c r="AA368" s="140">
        <f ca="1">IF(ISNUMBER(MATCH(DATEVALUE($A368),'recurring1_based on steps'!AA$1:AA$400,0)),AA$2,)</f>
        <v>0</v>
      </c>
      <c r="AB368" s="140">
        <f ca="1">IF(ISNUMBER(MATCH(DATEVALUE($A368),'recurring1_based on steps'!AB$1:AB$400,0)),AB$2,)</f>
        <v>5.5401662049861494E-2</v>
      </c>
      <c r="AC368" s="140">
        <f ca="1">IF(ISNUMBER(MATCH(DATEVALUE($A368),'recurring1_based on steps'!AC$1:AC$400,0)),AC$2,)</f>
        <v>0</v>
      </c>
      <c r="AD368" s="140">
        <f ca="1">IF(ISNUMBER(MATCH(DATEVALUE($A368),'recurring1_based on steps'!AD$1:AD$400,0)),AD$2,)</f>
        <v>0</v>
      </c>
      <c r="AE368" s="140">
        <f ca="1">IF(ISNUMBER(MATCH(DATEVALUE($A368),'recurring1_based on steps'!AE$1:AE$400,0)),AE$2,)</f>
        <v>0</v>
      </c>
      <c r="AF368" s="140">
        <f ca="1">IF(ISNUMBER(MATCH(DATEVALUE($A368),'recurring1_based on steps'!AF$1:AF$400,0)),AF$2,)</f>
        <v>0</v>
      </c>
      <c r="AG368" s="140">
        <f ca="1">IF(ISNUMBER(MATCH(DATEVALUE($A368),'recurring1_based on steps'!AG$1:AG$400,0)),AG$2,)</f>
        <v>0</v>
      </c>
      <c r="AH368" s="140">
        <f ca="1">IF(ISNUMBER(MATCH(DATEVALUE($A368),'recurring1_based on steps'!AH$1:AH$400,0)),AH$2,)</f>
        <v>0</v>
      </c>
      <c r="AI368" s="140">
        <f ca="1">IF(ISNUMBER(MATCH(DATEVALUE($A368),'recurring1_based on steps'!AI$1:AI$400,0)),AI$2,)</f>
        <v>0</v>
      </c>
      <c r="AJ368" s="140">
        <f ca="1">IF(ISNUMBER(MATCH(DATEVALUE($A368),'recurring1_based on steps'!AJ$1:AJ$400,0)),AJ$2,)</f>
        <v>0</v>
      </c>
      <c r="AK368" s="140">
        <f ca="1">IF(ISNUMBER(MATCH(DATEVALUE($A368),'recurring1_based on steps'!AK$1:AK$400,0)),AK$2,)</f>
        <v>0</v>
      </c>
      <c r="AL368" s="140">
        <f ca="1">IF(ISNUMBER(MATCH(DATEVALUE($A368),'recurring1_based on steps'!AL$1:AL$400,0)),AL$2,)</f>
        <v>0</v>
      </c>
      <c r="AM368" s="140">
        <f ca="1">IF(ISNUMBER(MATCH(DATEVALUE($A368),'recurring1_based on steps'!AM$1:AM$400,0)),AM$2,)</f>
        <v>0</v>
      </c>
      <c r="AN368" s="140">
        <f ca="1">IF(ISNUMBER(MATCH(DATEVALUE($A368),'recurring1_based on steps'!AN$1:AN$400,0)),AN$2,)</f>
        <v>0</v>
      </c>
      <c r="AO368" s="140">
        <f ca="1">IF(ISNUMBER(MATCH(DATEVALUE($A368),'recurring1_based on steps'!AO$1:AO$400,0)),AO$2,)</f>
        <v>0</v>
      </c>
      <c r="AP368" s="140">
        <f ca="1">IF(ISNUMBER(MATCH(DATEVALUE($A368),'recurring1_based on steps'!AP$1:AP$400,0)),AP$2,)</f>
        <v>0</v>
      </c>
      <c r="AQ368" s="140">
        <f ca="1">IF(ISNUMBER(MATCH(DATEVALUE($A368),'recurring1_based on steps'!AQ$1:AQ$400,0)),AQ$2,)</f>
        <v>0</v>
      </c>
      <c r="AR368" s="140">
        <f ca="1">IF(ISNUMBER(MATCH(DATEVALUE($A368),'recurring1_based on steps'!AR$1:AR$400,0)),AR$2,)</f>
        <v>0</v>
      </c>
      <c r="AS368" s="140">
        <f ca="1">IF(ISNUMBER(MATCH(DATEVALUE($A368),'recurring1_based on steps'!AS$1:AS$400,0)),AS$2,)</f>
        <v>0</v>
      </c>
      <c r="AT368" s="140">
        <f ca="1">IF(ISNUMBER(MATCH(DATEVALUE($A368),'recurring1_based on steps'!AT$1:AT$400,0)),AT$2,)</f>
        <v>0</v>
      </c>
      <c r="AU368" s="140">
        <f ca="1">IF(ISNUMBER(MATCH(DATEVALUE($A368),'recurring1_based on steps'!AU$1:AU$400,0)),AU$2,)</f>
        <v>0</v>
      </c>
      <c r="AV368" s="140">
        <f ca="1">IF(ISNUMBER(MATCH(DATEVALUE($A368),'recurring1_based on steps'!AV$1:AV$400,0)),AV$2,)</f>
        <v>0</v>
      </c>
      <c r="AW368" s="140">
        <f ca="1">IF(ISNUMBER(MATCH(DATEVALUE($A368),'recurring1_based on steps'!AW$1:AW$400,0)),AW$2,)</f>
        <v>0</v>
      </c>
      <c r="AX368" s="140">
        <f ca="1">IF(ISNUMBER(MATCH(DATEVALUE($A368),'recurring1_based on steps'!AX$1:AX$400,0)),AX$2,)</f>
        <v>0</v>
      </c>
      <c r="AY368" s="140">
        <f ca="1">IF(ISNUMBER(MATCH(DATEVALUE($A368),'recurring1_based on steps'!AY$1:AY$400,0)),AY$2,)</f>
        <v>0</v>
      </c>
    </row>
    <row r="369" spans="1:51" x14ac:dyDescent="0.2">
      <c r="A369" s="29" t="str">
        <f t="shared" ca="1" si="5"/>
        <v>2026-03-28</v>
      </c>
      <c r="B369" s="140">
        <f ca="1">IF(ISNUMBER(MATCH(DATEVALUE($A369),'recurring1_based on steps'!B$1:B$400,0)),B$2,)</f>
        <v>0</v>
      </c>
      <c r="C369" s="140">
        <f ca="1">IF(ISNUMBER(MATCH(DATEVALUE($A369),'recurring1_based on steps'!C$1:C$400,0)),C$2,)</f>
        <v>0</v>
      </c>
      <c r="D369" s="140">
        <f ca="1">IF(ISNUMBER(MATCH(DATEVALUE($A369),'recurring1_based on steps'!D$1:D$400,0)),D$2,)</f>
        <v>0</v>
      </c>
      <c r="E369" s="140">
        <f ca="1">IF(ISNUMBER(MATCH(DATEVALUE($A369),'recurring1_based on steps'!E$1:E$400,0)),E$2,)</f>
        <v>0</v>
      </c>
      <c r="F369" s="140">
        <f ca="1">IF(ISNUMBER(MATCH(DATEVALUE($A369),'recurring1_based on steps'!F$1:F$400,0)),F$2,)</f>
        <v>0</v>
      </c>
      <c r="G369" s="140">
        <f ca="1">IF(ISNUMBER(MATCH(DATEVALUE($A369),'recurring1_based on steps'!G$1:G$400,0)),G$2,)</f>
        <v>0</v>
      </c>
      <c r="H369" s="140">
        <f ca="1">IF(ISNUMBER(MATCH(DATEVALUE($A369),'recurring1_based on steps'!H$1:H$400,0)),H$2,)</f>
        <v>0</v>
      </c>
      <c r="I369" s="140">
        <f ca="1">IF(ISNUMBER(MATCH(DATEVALUE($A369),'recurring1_based on steps'!I$1:I$400,0)),I$2,)</f>
        <v>0</v>
      </c>
      <c r="J369" s="140">
        <f ca="1">IF(ISNUMBER(MATCH(DATEVALUE($A369),'recurring1_based on steps'!J$1:J$400,0)),J$2,)</f>
        <v>0</v>
      </c>
      <c r="K369" s="140">
        <f ca="1">IF(ISNUMBER(MATCH(DATEVALUE($A369),'recurring1_based on steps'!K$1:K$400,0)),K$2,)</f>
        <v>0</v>
      </c>
      <c r="L369" s="140">
        <f ca="1">IF(ISNUMBER(MATCH(DATEVALUE($A369),'recurring1_based on steps'!L$1:L$400,0)),L$2,)</f>
        <v>0</v>
      </c>
      <c r="M369" s="140">
        <f ca="1">IF(ISNUMBER(MATCH(DATEVALUE($A369),'recurring1_based on steps'!M$1:M$400,0)),M$2,)</f>
        <v>0</v>
      </c>
      <c r="N369" s="140">
        <f ca="1">IF(ISNUMBER(MATCH(DATEVALUE($A369),'recurring1_based on steps'!N$1:N$400,0)),N$2,)</f>
        <v>0</v>
      </c>
      <c r="O369" s="140">
        <f ca="1">IF(ISNUMBER(MATCH(DATEVALUE($A369),'recurring1_based on steps'!O$1:O$400,0)),O$2,)</f>
        <v>0</v>
      </c>
      <c r="P369" s="140">
        <f ca="1">IF(ISNUMBER(MATCH(DATEVALUE($A369),'recurring1_based on steps'!P$1:P$400,0)),P$2,)</f>
        <v>0</v>
      </c>
      <c r="Q369" s="140">
        <f ca="1">IF(ISNUMBER(MATCH(DATEVALUE($A369),'recurring1_based on steps'!Q$1:Q$400,0)),Q$2,)</f>
        <v>0</v>
      </c>
      <c r="R369" s="140">
        <f ca="1">IF(ISNUMBER(MATCH(DATEVALUE($A369),'recurring1_based on steps'!R$1:R$400,0)),R$2,)</f>
        <v>0</v>
      </c>
      <c r="S369" s="140">
        <f ca="1">IF(ISNUMBER(MATCH(DATEVALUE($A369),'recurring1_based on steps'!S$1:S$400,0)),S$2,)</f>
        <v>0</v>
      </c>
      <c r="T369" s="140">
        <f ca="1">IF(ISNUMBER(MATCH(DATEVALUE($A369),'recurring1_based on steps'!T$1:T$400,0)),T$2,)</f>
        <v>0</v>
      </c>
      <c r="U369" s="140">
        <f ca="1">IF(ISNUMBER(MATCH(DATEVALUE($A369),'recurring1_based on steps'!U$1:U$400,0)),U$2,)</f>
        <v>0</v>
      </c>
      <c r="V369" s="140">
        <f ca="1">IF(ISNUMBER(MATCH(DATEVALUE($A369),'recurring1_based on steps'!V$1:V$400,0)),V$2,)</f>
        <v>0</v>
      </c>
      <c r="W369" s="140">
        <f ca="1">IF(ISNUMBER(MATCH(DATEVALUE($A369),'recurring1_based on steps'!W$1:W$400,0)),W$2,)</f>
        <v>0</v>
      </c>
      <c r="X369" s="140">
        <f ca="1">IF(ISNUMBER(MATCH(DATEVALUE($A369),'recurring1_based on steps'!X$1:X$400,0)),X$2,)</f>
        <v>0</v>
      </c>
      <c r="Y369" s="140">
        <f ca="1">IF(ISNUMBER(MATCH(DATEVALUE($A369),'recurring1_based on steps'!Y$1:Y$400,0)),Y$2,)</f>
        <v>0</v>
      </c>
      <c r="Z369" s="140">
        <f ca="1">IF(ISNUMBER(MATCH(DATEVALUE($A369),'recurring1_based on steps'!Z$1:Z$400,0)),Z$2,)</f>
        <v>0</v>
      </c>
      <c r="AA369" s="140">
        <f ca="1">IF(ISNUMBER(MATCH(DATEVALUE($A369),'recurring1_based on steps'!AA$1:AA$400,0)),AA$2,)</f>
        <v>0</v>
      </c>
      <c r="AB369" s="140">
        <f ca="1">IF(ISNUMBER(MATCH(DATEVALUE($A369),'recurring1_based on steps'!AB$1:AB$400,0)),AB$2,)</f>
        <v>0</v>
      </c>
      <c r="AC369" s="140">
        <f ca="1">IF(ISNUMBER(MATCH(DATEVALUE($A369),'recurring1_based on steps'!AC$1:AC$400,0)),AC$2,)</f>
        <v>0</v>
      </c>
      <c r="AD369" s="140">
        <f ca="1">IF(ISNUMBER(MATCH(DATEVALUE($A369),'recurring1_based on steps'!AD$1:AD$400,0)),AD$2,)</f>
        <v>0</v>
      </c>
      <c r="AE369" s="140">
        <f ca="1">IF(ISNUMBER(MATCH(DATEVALUE($A369),'recurring1_based on steps'!AE$1:AE$400,0)),AE$2,)</f>
        <v>0</v>
      </c>
      <c r="AF369" s="140">
        <f ca="1">IF(ISNUMBER(MATCH(DATEVALUE($A369),'recurring1_based on steps'!AF$1:AF$400,0)),AF$2,)</f>
        <v>0</v>
      </c>
      <c r="AG369" s="140">
        <f ca="1">IF(ISNUMBER(MATCH(DATEVALUE($A369),'recurring1_based on steps'!AG$1:AG$400,0)),AG$2,)</f>
        <v>0</v>
      </c>
      <c r="AH369" s="140">
        <f ca="1">IF(ISNUMBER(MATCH(DATEVALUE($A369),'recurring1_based on steps'!AH$1:AH$400,0)),AH$2,)</f>
        <v>0</v>
      </c>
      <c r="AI369" s="140">
        <f ca="1">IF(ISNUMBER(MATCH(DATEVALUE($A369),'recurring1_based on steps'!AI$1:AI$400,0)),AI$2,)</f>
        <v>0</v>
      </c>
      <c r="AJ369" s="140">
        <f ca="1">IF(ISNUMBER(MATCH(DATEVALUE($A369),'recurring1_based on steps'!AJ$1:AJ$400,0)),AJ$2,)</f>
        <v>0</v>
      </c>
      <c r="AK369" s="140">
        <f ca="1">IF(ISNUMBER(MATCH(DATEVALUE($A369),'recurring1_based on steps'!AK$1:AK$400,0)),AK$2,)</f>
        <v>0</v>
      </c>
      <c r="AL369" s="140">
        <f ca="1">IF(ISNUMBER(MATCH(DATEVALUE($A369),'recurring1_based on steps'!AL$1:AL$400,0)),AL$2,)</f>
        <v>0</v>
      </c>
      <c r="AM369" s="140">
        <f ca="1">IF(ISNUMBER(MATCH(DATEVALUE($A369),'recurring1_based on steps'!AM$1:AM$400,0)),AM$2,)</f>
        <v>0</v>
      </c>
      <c r="AN369" s="140">
        <f ca="1">IF(ISNUMBER(MATCH(DATEVALUE($A369),'recurring1_based on steps'!AN$1:AN$400,0)),AN$2,)</f>
        <v>0</v>
      </c>
      <c r="AO369" s="140">
        <f ca="1">IF(ISNUMBER(MATCH(DATEVALUE($A369),'recurring1_based on steps'!AO$1:AO$400,0)),AO$2,)</f>
        <v>0</v>
      </c>
      <c r="AP369" s="140">
        <f ca="1">IF(ISNUMBER(MATCH(DATEVALUE($A369),'recurring1_based on steps'!AP$1:AP$400,0)),AP$2,)</f>
        <v>0</v>
      </c>
      <c r="AQ369" s="140">
        <f ca="1">IF(ISNUMBER(MATCH(DATEVALUE($A369),'recurring1_based on steps'!AQ$1:AQ$400,0)),AQ$2,)</f>
        <v>0</v>
      </c>
      <c r="AR369" s="140">
        <f ca="1">IF(ISNUMBER(MATCH(DATEVALUE($A369),'recurring1_based on steps'!AR$1:AR$400,0)),AR$2,)</f>
        <v>0</v>
      </c>
      <c r="AS369" s="140">
        <f ca="1">IF(ISNUMBER(MATCH(DATEVALUE($A369),'recurring1_based on steps'!AS$1:AS$400,0)),AS$2,)</f>
        <v>0</v>
      </c>
      <c r="AT369" s="140">
        <f ca="1">IF(ISNUMBER(MATCH(DATEVALUE($A369),'recurring1_based on steps'!AT$1:AT$400,0)),AT$2,)</f>
        <v>0</v>
      </c>
      <c r="AU369" s="140">
        <f ca="1">IF(ISNUMBER(MATCH(DATEVALUE($A369),'recurring1_based on steps'!AU$1:AU$400,0)),AU$2,)</f>
        <v>0</v>
      </c>
      <c r="AV369" s="140">
        <f ca="1">IF(ISNUMBER(MATCH(DATEVALUE($A369),'recurring1_based on steps'!AV$1:AV$400,0)),AV$2,)</f>
        <v>0</v>
      </c>
      <c r="AW369" s="140">
        <f ca="1">IF(ISNUMBER(MATCH(DATEVALUE($A369),'recurring1_based on steps'!AW$1:AW$400,0)),AW$2,)</f>
        <v>0</v>
      </c>
      <c r="AX369" s="140">
        <f ca="1">IF(ISNUMBER(MATCH(DATEVALUE($A369),'recurring1_based on steps'!AX$1:AX$400,0)),AX$2,)</f>
        <v>0</v>
      </c>
      <c r="AY369" s="140">
        <f ca="1">IF(ISNUMBER(MATCH(DATEVALUE($A369),'recurring1_based on steps'!AY$1:AY$400,0)),AY$2,)</f>
        <v>0</v>
      </c>
    </row>
    <row r="370" spans="1:51" x14ac:dyDescent="0.2">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spans="1:51" x14ac:dyDescent="0.2">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spans="1:51" x14ac:dyDescent="0.2">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spans="1:51" x14ac:dyDescent="0.2">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spans="1:51" x14ac:dyDescent="0.2">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spans="1:51" x14ac:dyDescent="0.2">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spans="1:51" x14ac:dyDescent="0.2">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spans="1:51" x14ac:dyDescent="0.2">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spans="1:51" x14ac:dyDescent="0.2">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spans="1:51" x14ac:dyDescent="0.2">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spans="1:51" x14ac:dyDescent="0.2">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spans="1:51" x14ac:dyDescent="0.2">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spans="1:51" x14ac:dyDescent="0.2">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spans="1:51" x14ac:dyDescent="0.2">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spans="1:51" x14ac:dyDescent="0.2">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spans="2:26" x14ac:dyDescent="0.2">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spans="2:26" x14ac:dyDescent="0.2">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spans="2:26" x14ac:dyDescent="0.2">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spans="2:26" x14ac:dyDescent="0.2">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spans="2:26" x14ac:dyDescent="0.2">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spans="2:26" x14ac:dyDescent="0.2">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spans="2:26" x14ac:dyDescent="0.2">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spans="2:26" x14ac:dyDescent="0.2">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spans="2:26" x14ac:dyDescent="0.2">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spans="2:26" x14ac:dyDescent="0.2">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spans="2:26" x14ac:dyDescent="0.2">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spans="2:26" x14ac:dyDescent="0.2">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spans="2:26" x14ac:dyDescent="0.2">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spans="2:26" x14ac:dyDescent="0.2">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spans="2:26" x14ac:dyDescent="0.2">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spans="2:26" x14ac:dyDescent="0.2">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spans="2:26" x14ac:dyDescent="0.2">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spans="2:26" x14ac:dyDescent="0.2">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spans="2:26" x14ac:dyDescent="0.2">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spans="2:26" x14ac:dyDescent="0.2">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spans="2:26" x14ac:dyDescent="0.2">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spans="2:26" x14ac:dyDescent="0.2">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spans="2:26" x14ac:dyDescent="0.2">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spans="2:26" x14ac:dyDescent="0.2">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spans="2:26" x14ac:dyDescent="0.2">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spans="2:26" x14ac:dyDescent="0.2">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spans="2:26" x14ac:dyDescent="0.2">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spans="2:26" x14ac:dyDescent="0.2">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spans="2:26" x14ac:dyDescent="0.2">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spans="2:26" x14ac:dyDescent="0.2">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spans="2:26" x14ac:dyDescent="0.2">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spans="2:26" x14ac:dyDescent="0.2">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spans="2:26" x14ac:dyDescent="0.2">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spans="2:26" x14ac:dyDescent="0.2">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spans="2:26" x14ac:dyDescent="0.2">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spans="2:26" x14ac:dyDescent="0.2">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spans="2:26" x14ac:dyDescent="0.2">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spans="2:26" x14ac:dyDescent="0.2">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spans="2:26" x14ac:dyDescent="0.2">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spans="2:26" x14ac:dyDescent="0.2">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spans="2:26" x14ac:dyDescent="0.2">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spans="2:26" x14ac:dyDescent="0.2">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spans="2:26" x14ac:dyDescent="0.2">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spans="2:26" x14ac:dyDescent="0.2">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spans="2:26" x14ac:dyDescent="0.2">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spans="2:26" x14ac:dyDescent="0.2">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spans="2:26" x14ac:dyDescent="0.2">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spans="2:26" x14ac:dyDescent="0.2">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spans="2:26" x14ac:dyDescent="0.2">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spans="2:26" x14ac:dyDescent="0.2">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spans="2:26" x14ac:dyDescent="0.2">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spans="2:26" x14ac:dyDescent="0.2">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spans="2:26" x14ac:dyDescent="0.2">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spans="2:26" x14ac:dyDescent="0.2">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spans="2:26" x14ac:dyDescent="0.2">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spans="2:26" x14ac:dyDescent="0.2">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spans="2:26" x14ac:dyDescent="0.2">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spans="2:26" x14ac:dyDescent="0.2">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spans="2:26" x14ac:dyDescent="0.2">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spans="2:26" x14ac:dyDescent="0.2">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spans="2:26" x14ac:dyDescent="0.2">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spans="2:26" x14ac:dyDescent="0.2">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spans="2:26" x14ac:dyDescent="0.2">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spans="2:26" x14ac:dyDescent="0.2">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spans="2:26" x14ac:dyDescent="0.2">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spans="2:26" x14ac:dyDescent="0.2">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spans="2:26" x14ac:dyDescent="0.2">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spans="2:26" x14ac:dyDescent="0.2">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spans="2:26" x14ac:dyDescent="0.2">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spans="2:26" x14ac:dyDescent="0.2">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spans="2:26" x14ac:dyDescent="0.2">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spans="2:26" x14ac:dyDescent="0.2">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spans="2:26" x14ac:dyDescent="0.2">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spans="2:26" x14ac:dyDescent="0.2">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spans="2:26" x14ac:dyDescent="0.2">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spans="2:26" x14ac:dyDescent="0.2">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spans="2:26" x14ac:dyDescent="0.2">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spans="2:26" x14ac:dyDescent="0.2">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spans="2:26" x14ac:dyDescent="0.2">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spans="2:26" x14ac:dyDescent="0.2">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spans="2:26" x14ac:dyDescent="0.2">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spans="2:26" x14ac:dyDescent="0.2">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spans="2:26" x14ac:dyDescent="0.2">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spans="2:26" x14ac:dyDescent="0.2">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spans="2:26" x14ac:dyDescent="0.2">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spans="2:26" x14ac:dyDescent="0.2">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spans="2:26" x14ac:dyDescent="0.2">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spans="2:26" x14ac:dyDescent="0.2">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spans="2:26" x14ac:dyDescent="0.2">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spans="2:26" x14ac:dyDescent="0.2">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spans="2:26" x14ac:dyDescent="0.2">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spans="2:26" x14ac:dyDescent="0.2">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spans="2:26" x14ac:dyDescent="0.2">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spans="2:26" x14ac:dyDescent="0.2">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spans="2:26" x14ac:dyDescent="0.2">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spans="2:26" x14ac:dyDescent="0.2">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spans="2:26" x14ac:dyDescent="0.2">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spans="2:26" x14ac:dyDescent="0.2">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spans="2:26" x14ac:dyDescent="0.2">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spans="2:26" x14ac:dyDescent="0.2">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spans="2:26" x14ac:dyDescent="0.2">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spans="2:26" x14ac:dyDescent="0.2">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spans="2:26" x14ac:dyDescent="0.2">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spans="2:26" x14ac:dyDescent="0.2">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spans="2:26" x14ac:dyDescent="0.2">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spans="2:26" x14ac:dyDescent="0.2">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spans="2:26" x14ac:dyDescent="0.2">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spans="2:26" x14ac:dyDescent="0.2">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spans="2:26" x14ac:dyDescent="0.2">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spans="2:26" x14ac:dyDescent="0.2">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spans="2:26" x14ac:dyDescent="0.2">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spans="2:26" x14ac:dyDescent="0.2">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spans="2:26" x14ac:dyDescent="0.2">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spans="2:26" x14ac:dyDescent="0.2">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spans="2:26" x14ac:dyDescent="0.2">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spans="2:26" x14ac:dyDescent="0.2">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spans="2:26" x14ac:dyDescent="0.2">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spans="2:26" x14ac:dyDescent="0.2">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spans="2:26" x14ac:dyDescent="0.2">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spans="2:26" x14ac:dyDescent="0.2">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spans="2:26" x14ac:dyDescent="0.2">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spans="2:26" x14ac:dyDescent="0.2">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spans="2:26" x14ac:dyDescent="0.2">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spans="2:26" x14ac:dyDescent="0.2">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spans="2:26" x14ac:dyDescent="0.2">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spans="2:26" x14ac:dyDescent="0.2">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spans="2:26" x14ac:dyDescent="0.2">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spans="2:26" x14ac:dyDescent="0.2">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spans="2:26" x14ac:dyDescent="0.2">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spans="2:26" x14ac:dyDescent="0.2">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spans="2:26" x14ac:dyDescent="0.2">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spans="2:26" x14ac:dyDescent="0.2">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spans="2:26" x14ac:dyDescent="0.2">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spans="2:26" x14ac:dyDescent="0.2">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spans="2:26" x14ac:dyDescent="0.2">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spans="2:26" x14ac:dyDescent="0.2">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spans="2:26" x14ac:dyDescent="0.2">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spans="2:26" x14ac:dyDescent="0.2">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spans="2:26" x14ac:dyDescent="0.2">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spans="2:26" x14ac:dyDescent="0.2">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spans="2:26" x14ac:dyDescent="0.2">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spans="2:26" x14ac:dyDescent="0.2">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spans="2:26" x14ac:dyDescent="0.2">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spans="2:26" x14ac:dyDescent="0.2">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spans="2:26" x14ac:dyDescent="0.2">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spans="2:26" x14ac:dyDescent="0.2">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spans="2:26" x14ac:dyDescent="0.2">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spans="2:26" x14ac:dyDescent="0.2">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spans="2:26" x14ac:dyDescent="0.2">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spans="2:26" x14ac:dyDescent="0.2">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spans="2:26" x14ac:dyDescent="0.2">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spans="2:26" x14ac:dyDescent="0.2">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spans="2:26" x14ac:dyDescent="0.2">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spans="2:26" x14ac:dyDescent="0.2">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spans="2:26" x14ac:dyDescent="0.2">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spans="2:26" x14ac:dyDescent="0.2">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spans="2:26" x14ac:dyDescent="0.2">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spans="2:26" x14ac:dyDescent="0.2">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spans="2:26" x14ac:dyDescent="0.2">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spans="2:26" x14ac:dyDescent="0.2">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spans="2:26" x14ac:dyDescent="0.2">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spans="2:26" x14ac:dyDescent="0.2">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spans="2:26" x14ac:dyDescent="0.2">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spans="2:26" x14ac:dyDescent="0.2">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spans="2:26" x14ac:dyDescent="0.2">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spans="2:26" x14ac:dyDescent="0.2">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spans="2:26" x14ac:dyDescent="0.2">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spans="2:26" x14ac:dyDescent="0.2">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spans="2:26" x14ac:dyDescent="0.2">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spans="2:26" x14ac:dyDescent="0.2">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spans="2:26" x14ac:dyDescent="0.2">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spans="2:26" x14ac:dyDescent="0.2">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spans="2:26" x14ac:dyDescent="0.2">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spans="2:26" x14ac:dyDescent="0.2">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spans="2:26" x14ac:dyDescent="0.2">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spans="2:26" x14ac:dyDescent="0.2">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spans="2:26" x14ac:dyDescent="0.2">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spans="2:26" x14ac:dyDescent="0.2">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spans="2:26" x14ac:dyDescent="0.2">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spans="2:26" x14ac:dyDescent="0.2">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spans="2:26" x14ac:dyDescent="0.2">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spans="2:26" x14ac:dyDescent="0.2">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spans="2:26" x14ac:dyDescent="0.2">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6EF3-0F27-4A2C-A824-871E4302F699}">
  <sheetPr codeName="Sheet35">
    <tabColor theme="9"/>
  </sheetPr>
  <dimension ref="A1:U573"/>
  <sheetViews>
    <sheetView workbookViewId="0">
      <selection activeCell="G34" sqref="G34"/>
    </sheetView>
  </sheetViews>
  <sheetFormatPr defaultColWidth="8" defaultRowHeight="11.25" x14ac:dyDescent="0.2"/>
  <cols>
    <col min="1" max="1" width="17.28515625" style="142" bestFit="1" customWidth="1"/>
    <col min="2" max="21" width="15.28515625" style="142" customWidth="1"/>
    <col min="22" max="16384" width="8" style="142"/>
  </cols>
  <sheetData>
    <row r="1" spans="1:21" x14ac:dyDescent="0.2">
      <c r="B1" s="142">
        <v>1</v>
      </c>
      <c r="C1" s="142">
        <f>B1+1</f>
        <v>2</v>
      </c>
      <c r="D1" s="142">
        <f t="shared" ref="D1:U1" si="0">C1+1</f>
        <v>3</v>
      </c>
      <c r="E1" s="142">
        <f t="shared" si="0"/>
        <v>4</v>
      </c>
      <c r="F1" s="142">
        <f t="shared" si="0"/>
        <v>5</v>
      </c>
      <c r="G1" s="142">
        <f t="shared" si="0"/>
        <v>6</v>
      </c>
      <c r="H1" s="142">
        <f t="shared" si="0"/>
        <v>7</v>
      </c>
      <c r="I1" s="142">
        <f t="shared" si="0"/>
        <v>8</v>
      </c>
      <c r="J1" s="142">
        <f t="shared" si="0"/>
        <v>9</v>
      </c>
      <c r="K1" s="142">
        <f t="shared" si="0"/>
        <v>10</v>
      </c>
      <c r="L1" s="142">
        <f t="shared" si="0"/>
        <v>11</v>
      </c>
      <c r="M1" s="142">
        <f t="shared" si="0"/>
        <v>12</v>
      </c>
      <c r="N1" s="142">
        <f t="shared" si="0"/>
        <v>13</v>
      </c>
      <c r="O1" s="142">
        <f t="shared" si="0"/>
        <v>14</v>
      </c>
      <c r="P1" s="142">
        <f t="shared" si="0"/>
        <v>15</v>
      </c>
      <c r="Q1" s="142">
        <f t="shared" si="0"/>
        <v>16</v>
      </c>
      <c r="R1" s="142">
        <f t="shared" si="0"/>
        <v>17</v>
      </c>
      <c r="S1" s="142">
        <f t="shared" si="0"/>
        <v>18</v>
      </c>
      <c r="T1" s="142">
        <f t="shared" si="0"/>
        <v>19</v>
      </c>
      <c r="U1" s="142">
        <f t="shared" si="0"/>
        <v>20</v>
      </c>
    </row>
    <row r="2" spans="1:21" x14ac:dyDescent="0.2">
      <c r="A2" s="142" t="s">
        <v>148</v>
      </c>
      <c r="B2" s="158" t="e" cm="1">
        <f t="array" ref="B2">TRANSPOSE(_xlfn._xlws.FILTER(#REF!,ISNUMBER(#REF!)))</f>
        <v>#REF!</v>
      </c>
    </row>
    <row r="3" spans="1:21" x14ac:dyDescent="0.2">
      <c r="A3" s="142" t="s">
        <v>208</v>
      </c>
      <c r="B3" s="143" t="e" cm="1">
        <f t="array" ref="B3">TRANSPOSE(_xlfn._xlws.FILTER(#REF!,ISNUMBER(#REF!)))</f>
        <v>#REF!</v>
      </c>
    </row>
    <row r="4" spans="1:21" s="144" customFormat="1" x14ac:dyDescent="0.2">
      <c r="A4" s="144" t="s">
        <v>209</v>
      </c>
      <c r="B4" s="145" t="e" cm="1">
        <f t="array" ref="B4">TRANSPOSE(_xlfn._xlws.FILTER(#REF!,ISNUMBER(#REF!)))</f>
        <v>#REF!</v>
      </c>
    </row>
    <row r="5" spans="1:21" s="146" customFormat="1" x14ac:dyDescent="0.2">
      <c r="A5" s="146" t="s">
        <v>149</v>
      </c>
      <c r="B5" s="147" t="e" cm="1">
        <f t="array" ref="B5">TRANSPOSE(_xlfn._xlws.FILTER(#REF!,ISNUMBER(#REF!)))</f>
        <v>#REF!</v>
      </c>
    </row>
    <row r="6" spans="1:21" s="146" customFormat="1" x14ac:dyDescent="0.2"/>
    <row r="7" spans="1:21" s="146" customFormat="1" x14ac:dyDescent="0.2">
      <c r="A7" s="146" t="s">
        <v>150</v>
      </c>
      <c r="B7" s="148"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48"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48"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48"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48"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48"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48"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48"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48"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48"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48"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48"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48"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48"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48"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48"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48"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48"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48"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48"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21" s="146" customFormat="1" x14ac:dyDescent="0.2">
      <c r="B8" s="149"/>
      <c r="C8" s="149"/>
      <c r="D8" s="149"/>
      <c r="E8" s="149"/>
      <c r="F8" s="149"/>
      <c r="G8" s="149"/>
    </row>
    <row r="9" spans="1:21" s="146" customFormat="1" x14ac:dyDescent="0.2"/>
    <row r="10" spans="1:21" s="146" customFormat="1" x14ac:dyDescent="0.2"/>
    <row r="11" spans="1:21" s="146" customFormat="1" x14ac:dyDescent="0.2"/>
    <row r="12" spans="1:21" s="146" customFormat="1" x14ac:dyDescent="0.2">
      <c r="G12" s="150"/>
    </row>
    <row r="13" spans="1:21" s="146" customFormat="1" x14ac:dyDescent="0.2"/>
    <row r="14" spans="1:21" s="146" customFormat="1" x14ac:dyDescent="0.2"/>
    <row r="15" spans="1:21" s="146" customFormat="1" x14ac:dyDescent="0.2"/>
    <row r="16" spans="1:21" s="146" customFormat="1" x14ac:dyDescent="0.2"/>
    <row r="17" s="146" customFormat="1" x14ac:dyDescent="0.2"/>
    <row r="18" s="146" customFormat="1" x14ac:dyDescent="0.2"/>
    <row r="19" s="146" customFormat="1" x14ac:dyDescent="0.2"/>
    <row r="20" s="146" customFormat="1" x14ac:dyDescent="0.2"/>
    <row r="21" s="146" customFormat="1" x14ac:dyDescent="0.2"/>
    <row r="22" s="146" customFormat="1" x14ac:dyDescent="0.2"/>
    <row r="23" s="146" customFormat="1" x14ac:dyDescent="0.2"/>
    <row r="24" s="146" customFormat="1" x14ac:dyDescent="0.2"/>
    <row r="25" s="146" customFormat="1" x14ac:dyDescent="0.2"/>
    <row r="26" s="146" customFormat="1" x14ac:dyDescent="0.2"/>
    <row r="27" s="146" customFormat="1" x14ac:dyDescent="0.2"/>
    <row r="28" s="146" customFormat="1" x14ac:dyDescent="0.2"/>
    <row r="29" s="146" customFormat="1" x14ac:dyDescent="0.2"/>
    <row r="30" s="146" customFormat="1" x14ac:dyDescent="0.2"/>
    <row r="31" s="146" customFormat="1" x14ac:dyDescent="0.2"/>
    <row r="32" s="146" customFormat="1" x14ac:dyDescent="0.2"/>
    <row r="33" s="146" customFormat="1" x14ac:dyDescent="0.2"/>
    <row r="34" s="146" customFormat="1" x14ac:dyDescent="0.2"/>
    <row r="35" s="146" customFormat="1" x14ac:dyDescent="0.2"/>
    <row r="36" s="146" customFormat="1" x14ac:dyDescent="0.2"/>
    <row r="37" s="146" customFormat="1" x14ac:dyDescent="0.2"/>
    <row r="38" s="146" customFormat="1" x14ac:dyDescent="0.2"/>
    <row r="39" s="146" customFormat="1" x14ac:dyDescent="0.2"/>
    <row r="40" s="146" customFormat="1" x14ac:dyDescent="0.2"/>
    <row r="41" s="146" customFormat="1" x14ac:dyDescent="0.2"/>
    <row r="42" s="146" customFormat="1" x14ac:dyDescent="0.2"/>
    <row r="43" s="146" customFormat="1" x14ac:dyDescent="0.2"/>
    <row r="44" s="146" customFormat="1" x14ac:dyDescent="0.2"/>
    <row r="45" s="146" customFormat="1" x14ac:dyDescent="0.2"/>
    <row r="46" s="146" customFormat="1" x14ac:dyDescent="0.2"/>
    <row r="47" s="146" customFormat="1" x14ac:dyDescent="0.2"/>
    <row r="48" s="146" customFormat="1" x14ac:dyDescent="0.2"/>
    <row r="49" s="146" customFormat="1" x14ac:dyDescent="0.2"/>
    <row r="50" s="146" customFormat="1" x14ac:dyDescent="0.2"/>
    <row r="51" s="146" customFormat="1" x14ac:dyDescent="0.2"/>
    <row r="52" s="146" customFormat="1" x14ac:dyDescent="0.2"/>
    <row r="53" s="146" customFormat="1" x14ac:dyDescent="0.2"/>
    <row r="54" s="146" customFormat="1" x14ac:dyDescent="0.2"/>
    <row r="55" s="146" customFormat="1" x14ac:dyDescent="0.2"/>
    <row r="56" s="146" customFormat="1" x14ac:dyDescent="0.2"/>
    <row r="57" s="146" customFormat="1" x14ac:dyDescent="0.2"/>
    <row r="58" s="146" customFormat="1" x14ac:dyDescent="0.2"/>
    <row r="59" s="146" customFormat="1" x14ac:dyDescent="0.2"/>
    <row r="60" s="146" customFormat="1" x14ac:dyDescent="0.2"/>
    <row r="61" s="146" customFormat="1" x14ac:dyDescent="0.2"/>
    <row r="62" s="146" customFormat="1" x14ac:dyDescent="0.2"/>
    <row r="63" s="146" customFormat="1" x14ac:dyDescent="0.2"/>
    <row r="64" s="146" customFormat="1" x14ac:dyDescent="0.2"/>
    <row r="65" s="146" customFormat="1" x14ac:dyDescent="0.2"/>
    <row r="66" s="146" customFormat="1" x14ac:dyDescent="0.2"/>
    <row r="67" s="146" customFormat="1" x14ac:dyDescent="0.2"/>
    <row r="68" s="146" customFormat="1" x14ac:dyDescent="0.2"/>
    <row r="69" s="146" customFormat="1" x14ac:dyDescent="0.2"/>
    <row r="70" s="146" customFormat="1" x14ac:dyDescent="0.2"/>
    <row r="71" s="146" customFormat="1" x14ac:dyDescent="0.2"/>
    <row r="72" s="146" customFormat="1" x14ac:dyDescent="0.2"/>
    <row r="73" s="146" customFormat="1" x14ac:dyDescent="0.2"/>
    <row r="74" s="146" customFormat="1" x14ac:dyDescent="0.2"/>
    <row r="75" s="146" customFormat="1" x14ac:dyDescent="0.2"/>
    <row r="76" s="146" customFormat="1" x14ac:dyDescent="0.2"/>
    <row r="77" s="146" customFormat="1" x14ac:dyDescent="0.2"/>
    <row r="78" s="146" customFormat="1" x14ac:dyDescent="0.2"/>
    <row r="79" s="146" customFormat="1" x14ac:dyDescent="0.2"/>
    <row r="80" s="146" customFormat="1" x14ac:dyDescent="0.2"/>
    <row r="81" s="146" customFormat="1" x14ac:dyDescent="0.2"/>
    <row r="82" s="146" customFormat="1" x14ac:dyDescent="0.2"/>
    <row r="83" s="146" customFormat="1" x14ac:dyDescent="0.2"/>
    <row r="84" s="146" customFormat="1" x14ac:dyDescent="0.2"/>
    <row r="85" s="146" customFormat="1" x14ac:dyDescent="0.2"/>
    <row r="86" s="146" customFormat="1" x14ac:dyDescent="0.2"/>
    <row r="87" s="146" customFormat="1" x14ac:dyDescent="0.2"/>
    <row r="88" s="146" customFormat="1" x14ac:dyDescent="0.2"/>
    <row r="89" s="146" customFormat="1" x14ac:dyDescent="0.2"/>
    <row r="90" s="146" customFormat="1" x14ac:dyDescent="0.2"/>
    <row r="91" s="146" customFormat="1" x14ac:dyDescent="0.2"/>
    <row r="92" s="146" customFormat="1" x14ac:dyDescent="0.2"/>
    <row r="93" s="146" customFormat="1" x14ac:dyDescent="0.2"/>
    <row r="94" s="146" customFormat="1" x14ac:dyDescent="0.2"/>
    <row r="95" s="146" customFormat="1" x14ac:dyDescent="0.2"/>
    <row r="96" s="146" customFormat="1" x14ac:dyDescent="0.2"/>
    <row r="97" s="146" customFormat="1" x14ac:dyDescent="0.2"/>
    <row r="98" s="146" customFormat="1" x14ac:dyDescent="0.2"/>
    <row r="99" s="146" customFormat="1" x14ac:dyDescent="0.2"/>
    <row r="100" s="146" customFormat="1" x14ac:dyDescent="0.2"/>
    <row r="101" s="146" customFormat="1" x14ac:dyDescent="0.2"/>
    <row r="102" s="146" customFormat="1" x14ac:dyDescent="0.2"/>
    <row r="103" s="146" customFormat="1" x14ac:dyDescent="0.2"/>
    <row r="104" s="146" customFormat="1" x14ac:dyDescent="0.2"/>
    <row r="105" s="146" customFormat="1" x14ac:dyDescent="0.2"/>
    <row r="106" s="146" customFormat="1" x14ac:dyDescent="0.2"/>
    <row r="107" s="146" customFormat="1" x14ac:dyDescent="0.2"/>
    <row r="108" s="146" customFormat="1" x14ac:dyDescent="0.2"/>
    <row r="109" s="146" customFormat="1" x14ac:dyDescent="0.2"/>
    <row r="110" s="146" customFormat="1" x14ac:dyDescent="0.2"/>
    <row r="111" s="146" customFormat="1" x14ac:dyDescent="0.2"/>
    <row r="112" s="146" customFormat="1" x14ac:dyDescent="0.2"/>
    <row r="113" s="146" customFormat="1" x14ac:dyDescent="0.2"/>
    <row r="114" s="146" customFormat="1" x14ac:dyDescent="0.2"/>
    <row r="115" s="146" customFormat="1" x14ac:dyDescent="0.2"/>
    <row r="116" s="146" customFormat="1" x14ac:dyDescent="0.2"/>
    <row r="117" s="146" customFormat="1" x14ac:dyDescent="0.2"/>
    <row r="118" s="146" customFormat="1" x14ac:dyDescent="0.2"/>
    <row r="119" s="146" customFormat="1" x14ac:dyDescent="0.2"/>
    <row r="120" s="146" customFormat="1" x14ac:dyDescent="0.2"/>
    <row r="121" s="146" customFormat="1" x14ac:dyDescent="0.2"/>
    <row r="122" s="146" customFormat="1" x14ac:dyDescent="0.2"/>
    <row r="123" s="146" customFormat="1" x14ac:dyDescent="0.2"/>
    <row r="124" s="146" customFormat="1" x14ac:dyDescent="0.2"/>
    <row r="125" s="146" customFormat="1" x14ac:dyDescent="0.2"/>
    <row r="126" s="146" customFormat="1" x14ac:dyDescent="0.2"/>
    <row r="127" s="146" customFormat="1" x14ac:dyDescent="0.2"/>
    <row r="128" s="146" customFormat="1" x14ac:dyDescent="0.2"/>
    <row r="129" s="146" customFormat="1" x14ac:dyDescent="0.2"/>
    <row r="130" s="146" customFormat="1" x14ac:dyDescent="0.2"/>
    <row r="131" s="146" customFormat="1" x14ac:dyDescent="0.2"/>
    <row r="132" s="146" customFormat="1" x14ac:dyDescent="0.2"/>
    <row r="133" s="146" customFormat="1" x14ac:dyDescent="0.2"/>
    <row r="134" s="146" customFormat="1" x14ac:dyDescent="0.2"/>
    <row r="135" s="146" customFormat="1" x14ac:dyDescent="0.2"/>
    <row r="136" s="146" customFormat="1" x14ac:dyDescent="0.2"/>
    <row r="137" s="146" customFormat="1" x14ac:dyDescent="0.2"/>
    <row r="138" s="146" customFormat="1" x14ac:dyDescent="0.2"/>
    <row r="139" s="146" customFormat="1" x14ac:dyDescent="0.2"/>
    <row r="140" s="146" customFormat="1" x14ac:dyDescent="0.2"/>
    <row r="141" s="146" customFormat="1" x14ac:dyDescent="0.2"/>
    <row r="142" s="146" customFormat="1" x14ac:dyDescent="0.2"/>
    <row r="143" s="146" customFormat="1" x14ac:dyDescent="0.2"/>
    <row r="144" s="146" customFormat="1" x14ac:dyDescent="0.2"/>
    <row r="145" s="146" customFormat="1" x14ac:dyDescent="0.2"/>
    <row r="146" s="146" customFormat="1" x14ac:dyDescent="0.2"/>
    <row r="147" s="146" customFormat="1" x14ac:dyDescent="0.2"/>
    <row r="148" s="146" customFormat="1" x14ac:dyDescent="0.2"/>
    <row r="149" s="146" customFormat="1" x14ac:dyDescent="0.2"/>
    <row r="150" s="146" customFormat="1" x14ac:dyDescent="0.2"/>
    <row r="151" s="146" customFormat="1" x14ac:dyDescent="0.2"/>
    <row r="152" s="146" customFormat="1" x14ac:dyDescent="0.2"/>
    <row r="153" s="146" customFormat="1" x14ac:dyDescent="0.2"/>
    <row r="154" s="146" customFormat="1" x14ac:dyDescent="0.2"/>
    <row r="155" s="146" customFormat="1" x14ac:dyDescent="0.2"/>
    <row r="156" s="146" customFormat="1" x14ac:dyDescent="0.2"/>
    <row r="157" s="146" customFormat="1" x14ac:dyDescent="0.2"/>
    <row r="158" s="146" customFormat="1" x14ac:dyDescent="0.2"/>
    <row r="159" s="146" customFormat="1" x14ac:dyDescent="0.2"/>
    <row r="160" s="146" customFormat="1" x14ac:dyDescent="0.2"/>
    <row r="161" s="146" customFormat="1" x14ac:dyDescent="0.2"/>
    <row r="162" s="146" customFormat="1" x14ac:dyDescent="0.2"/>
    <row r="163" s="146" customFormat="1" x14ac:dyDescent="0.2"/>
    <row r="164" s="146" customFormat="1" x14ac:dyDescent="0.2"/>
    <row r="165" s="146" customFormat="1" x14ac:dyDescent="0.2"/>
    <row r="166" s="146" customFormat="1" x14ac:dyDescent="0.2"/>
    <row r="167" s="146" customFormat="1" x14ac:dyDescent="0.2"/>
    <row r="168" s="146" customFormat="1" x14ac:dyDescent="0.2"/>
    <row r="169" s="146" customFormat="1" x14ac:dyDescent="0.2"/>
    <row r="170" s="146" customFormat="1" x14ac:dyDescent="0.2"/>
    <row r="171" s="146" customFormat="1" x14ac:dyDescent="0.2"/>
    <row r="172" s="146" customFormat="1" x14ac:dyDescent="0.2"/>
    <row r="173" s="146" customFormat="1" x14ac:dyDescent="0.2"/>
    <row r="174" s="146" customFormat="1" x14ac:dyDescent="0.2"/>
    <row r="175" s="146" customFormat="1" x14ac:dyDescent="0.2"/>
    <row r="176" s="146" customFormat="1" x14ac:dyDescent="0.2"/>
    <row r="177" s="146" customFormat="1" x14ac:dyDescent="0.2"/>
    <row r="178" s="146" customFormat="1" x14ac:dyDescent="0.2"/>
    <row r="179" s="146" customFormat="1" x14ac:dyDescent="0.2"/>
    <row r="180" s="146" customFormat="1" x14ac:dyDescent="0.2"/>
    <row r="181" s="146" customFormat="1" x14ac:dyDescent="0.2"/>
    <row r="182" s="146" customFormat="1" x14ac:dyDescent="0.2"/>
    <row r="183" s="146" customFormat="1" x14ac:dyDescent="0.2"/>
    <row r="184" s="146" customFormat="1" x14ac:dyDescent="0.2"/>
    <row r="185" s="146" customFormat="1" x14ac:dyDescent="0.2"/>
    <row r="186" s="146" customFormat="1" x14ac:dyDescent="0.2"/>
    <row r="187" s="146" customFormat="1" x14ac:dyDescent="0.2"/>
    <row r="188" s="146" customFormat="1" x14ac:dyDescent="0.2"/>
    <row r="189" s="146" customFormat="1" x14ac:dyDescent="0.2"/>
    <row r="190" s="146" customFormat="1" x14ac:dyDescent="0.2"/>
    <row r="191" s="146" customFormat="1" x14ac:dyDescent="0.2"/>
    <row r="192" s="146" customFormat="1" x14ac:dyDescent="0.2"/>
    <row r="193" s="146" customFormat="1" x14ac:dyDescent="0.2"/>
    <row r="194" s="146" customFormat="1" x14ac:dyDescent="0.2"/>
    <row r="195" s="146" customFormat="1" x14ac:dyDescent="0.2"/>
    <row r="196" s="146" customFormat="1" x14ac:dyDescent="0.2"/>
    <row r="197" s="146" customFormat="1" x14ac:dyDescent="0.2"/>
    <row r="198" s="146" customFormat="1" x14ac:dyDescent="0.2"/>
    <row r="199" s="146" customFormat="1" x14ac:dyDescent="0.2"/>
    <row r="200" s="146" customFormat="1" x14ac:dyDescent="0.2"/>
    <row r="201" s="146" customFormat="1" x14ac:dyDescent="0.2"/>
    <row r="202" s="146" customFormat="1" x14ac:dyDescent="0.2"/>
    <row r="203" s="146" customFormat="1" x14ac:dyDescent="0.2"/>
    <row r="204" s="146" customFormat="1" x14ac:dyDescent="0.2"/>
    <row r="205" s="146" customFormat="1" x14ac:dyDescent="0.2"/>
    <row r="206" s="146" customFormat="1" x14ac:dyDescent="0.2"/>
    <row r="207" s="146" customFormat="1" x14ac:dyDescent="0.2"/>
    <row r="208" s="146" customFormat="1" x14ac:dyDescent="0.2"/>
    <row r="209" s="146" customFormat="1" x14ac:dyDescent="0.2"/>
    <row r="210" s="146" customFormat="1" x14ac:dyDescent="0.2"/>
    <row r="211" s="146" customFormat="1" x14ac:dyDescent="0.2"/>
    <row r="212" s="146" customFormat="1" x14ac:dyDescent="0.2"/>
    <row r="213" s="146" customFormat="1" x14ac:dyDescent="0.2"/>
    <row r="214" s="146" customFormat="1" x14ac:dyDescent="0.2"/>
    <row r="215" s="146" customFormat="1" x14ac:dyDescent="0.2"/>
    <row r="216" s="146" customFormat="1" x14ac:dyDescent="0.2"/>
    <row r="217" s="146" customFormat="1" x14ac:dyDescent="0.2"/>
    <row r="218" s="146" customFormat="1" x14ac:dyDescent="0.2"/>
    <row r="219" s="146" customFormat="1" x14ac:dyDescent="0.2"/>
    <row r="220" s="146" customFormat="1" x14ac:dyDescent="0.2"/>
    <row r="221" s="146" customFormat="1" x14ac:dyDescent="0.2"/>
    <row r="222" s="146" customFormat="1" x14ac:dyDescent="0.2"/>
    <row r="223" s="146" customFormat="1" x14ac:dyDescent="0.2"/>
    <row r="224" s="146" customFormat="1" x14ac:dyDescent="0.2"/>
    <row r="225" s="146" customFormat="1" x14ac:dyDescent="0.2"/>
    <row r="226" s="146" customFormat="1" x14ac:dyDescent="0.2"/>
    <row r="227" s="146" customFormat="1" x14ac:dyDescent="0.2"/>
    <row r="228" s="146" customFormat="1" x14ac:dyDescent="0.2"/>
    <row r="229" s="146" customFormat="1" x14ac:dyDescent="0.2"/>
    <row r="230" s="146" customFormat="1" x14ac:dyDescent="0.2"/>
    <row r="231" s="146" customFormat="1" x14ac:dyDescent="0.2"/>
    <row r="232" s="146" customFormat="1" x14ac:dyDescent="0.2"/>
    <row r="233" s="146" customFormat="1" x14ac:dyDescent="0.2"/>
    <row r="234" s="146" customFormat="1" x14ac:dyDescent="0.2"/>
    <row r="235" s="146" customFormat="1" x14ac:dyDescent="0.2"/>
    <row r="236" s="146" customFormat="1" x14ac:dyDescent="0.2"/>
    <row r="237" s="146" customFormat="1" x14ac:dyDescent="0.2"/>
    <row r="238" s="146" customFormat="1" x14ac:dyDescent="0.2"/>
    <row r="239" s="146" customFormat="1" x14ac:dyDescent="0.2"/>
    <row r="240" s="146" customFormat="1" x14ac:dyDescent="0.2"/>
    <row r="241" s="146" customFormat="1" x14ac:dyDescent="0.2"/>
    <row r="242" s="146" customFormat="1" x14ac:dyDescent="0.2"/>
    <row r="243" s="146" customFormat="1" x14ac:dyDescent="0.2"/>
    <row r="244" s="146" customFormat="1" x14ac:dyDescent="0.2"/>
    <row r="245" s="146" customFormat="1" x14ac:dyDescent="0.2"/>
    <row r="246" s="146" customFormat="1" x14ac:dyDescent="0.2"/>
    <row r="247" s="146" customFormat="1" x14ac:dyDescent="0.2"/>
    <row r="248" s="146" customFormat="1" x14ac:dyDescent="0.2"/>
    <row r="249" s="146" customFormat="1" x14ac:dyDescent="0.2"/>
    <row r="250" s="146" customFormat="1" x14ac:dyDescent="0.2"/>
    <row r="251" s="146" customFormat="1" x14ac:dyDescent="0.2"/>
    <row r="252" s="146" customFormat="1" x14ac:dyDescent="0.2"/>
    <row r="253" s="146" customFormat="1" x14ac:dyDescent="0.2"/>
    <row r="254" s="146" customFormat="1" x14ac:dyDescent="0.2"/>
    <row r="255" s="146" customFormat="1" x14ac:dyDescent="0.2"/>
    <row r="256" s="146" customFormat="1" x14ac:dyDescent="0.2"/>
    <row r="257" s="146" customFormat="1" x14ac:dyDescent="0.2"/>
    <row r="258" s="146" customFormat="1" x14ac:dyDescent="0.2"/>
    <row r="259" s="146" customFormat="1" x14ac:dyDescent="0.2"/>
    <row r="260" s="146" customFormat="1" x14ac:dyDescent="0.2"/>
    <row r="261" s="146" customFormat="1" x14ac:dyDescent="0.2"/>
    <row r="262" s="146" customFormat="1" x14ac:dyDescent="0.2"/>
    <row r="263" s="146" customFormat="1" x14ac:dyDescent="0.2"/>
    <row r="264" s="146" customFormat="1" x14ac:dyDescent="0.2"/>
    <row r="265" s="146" customFormat="1" x14ac:dyDescent="0.2"/>
    <row r="266" s="146" customFormat="1" x14ac:dyDescent="0.2"/>
    <row r="267" s="146" customFormat="1" x14ac:dyDescent="0.2"/>
    <row r="268" s="146" customFormat="1" x14ac:dyDescent="0.2"/>
    <row r="269" s="146" customFormat="1" x14ac:dyDescent="0.2"/>
    <row r="270" s="146" customFormat="1" x14ac:dyDescent="0.2"/>
    <row r="271" s="146" customFormat="1" x14ac:dyDescent="0.2"/>
    <row r="272" s="146" customFormat="1" x14ac:dyDescent="0.2"/>
    <row r="273" s="146" customFormat="1" x14ac:dyDescent="0.2"/>
    <row r="274" s="146" customFormat="1" x14ac:dyDescent="0.2"/>
    <row r="275" s="146" customFormat="1" x14ac:dyDescent="0.2"/>
    <row r="276" s="146" customFormat="1" x14ac:dyDescent="0.2"/>
    <row r="277" s="146" customFormat="1" x14ac:dyDescent="0.2"/>
    <row r="278" s="146" customFormat="1" x14ac:dyDescent="0.2"/>
    <row r="279" s="146" customFormat="1" x14ac:dyDescent="0.2"/>
    <row r="280" s="146" customFormat="1" x14ac:dyDescent="0.2"/>
    <row r="281" s="146" customFormat="1" x14ac:dyDescent="0.2"/>
    <row r="282" s="146" customFormat="1" x14ac:dyDescent="0.2"/>
    <row r="283" s="146" customFormat="1" x14ac:dyDescent="0.2"/>
    <row r="284" s="146" customFormat="1" x14ac:dyDescent="0.2"/>
    <row r="285" s="146" customFormat="1" x14ac:dyDescent="0.2"/>
    <row r="286" s="146" customFormat="1" x14ac:dyDescent="0.2"/>
    <row r="287" s="146" customFormat="1" x14ac:dyDescent="0.2"/>
    <row r="288" s="146" customFormat="1" x14ac:dyDescent="0.2"/>
    <row r="289" s="146" customFormat="1" x14ac:dyDescent="0.2"/>
    <row r="290" s="146" customFormat="1" x14ac:dyDescent="0.2"/>
    <row r="291" s="146" customFormat="1" x14ac:dyDescent="0.2"/>
    <row r="292" s="146" customFormat="1" x14ac:dyDescent="0.2"/>
    <row r="293" s="146" customFormat="1" x14ac:dyDescent="0.2"/>
    <row r="294" s="146" customFormat="1" x14ac:dyDescent="0.2"/>
    <row r="295" s="146" customFormat="1" x14ac:dyDescent="0.2"/>
    <row r="296" s="146" customFormat="1" x14ac:dyDescent="0.2"/>
    <row r="297" s="146" customFormat="1" x14ac:dyDescent="0.2"/>
    <row r="298" s="146" customFormat="1" x14ac:dyDescent="0.2"/>
    <row r="299" s="146" customFormat="1" x14ac:dyDescent="0.2"/>
    <row r="300" s="146" customFormat="1" x14ac:dyDescent="0.2"/>
    <row r="301" s="146" customFormat="1" x14ac:dyDescent="0.2"/>
    <row r="302" s="146" customFormat="1" x14ac:dyDescent="0.2"/>
    <row r="303" s="146" customFormat="1" x14ac:dyDescent="0.2"/>
    <row r="304" s="146" customFormat="1" x14ac:dyDescent="0.2"/>
    <row r="305" s="146" customFormat="1" x14ac:dyDescent="0.2"/>
    <row r="306" s="146" customFormat="1" x14ac:dyDescent="0.2"/>
    <row r="307" s="146" customFormat="1" x14ac:dyDescent="0.2"/>
    <row r="308" s="146" customFormat="1" x14ac:dyDescent="0.2"/>
    <row r="309" s="146" customFormat="1" x14ac:dyDescent="0.2"/>
    <row r="310" s="146" customFormat="1" x14ac:dyDescent="0.2"/>
    <row r="311" s="146" customFormat="1" x14ac:dyDescent="0.2"/>
    <row r="312" s="146" customFormat="1" x14ac:dyDescent="0.2"/>
    <row r="313" s="146" customFormat="1" x14ac:dyDescent="0.2"/>
    <row r="314" s="146" customFormat="1" x14ac:dyDescent="0.2"/>
    <row r="315" s="146" customFormat="1" x14ac:dyDescent="0.2"/>
    <row r="316" s="146" customFormat="1" x14ac:dyDescent="0.2"/>
    <row r="317" s="146" customFormat="1" x14ac:dyDescent="0.2"/>
    <row r="318" s="146" customFormat="1" x14ac:dyDescent="0.2"/>
    <row r="319" s="146" customFormat="1" x14ac:dyDescent="0.2"/>
    <row r="320" s="146" customFormat="1" x14ac:dyDescent="0.2"/>
    <row r="321" s="146" customFormat="1" x14ac:dyDescent="0.2"/>
    <row r="322" s="146" customFormat="1" x14ac:dyDescent="0.2"/>
    <row r="323" s="146" customFormat="1" x14ac:dyDescent="0.2"/>
    <row r="324" s="146" customFormat="1" x14ac:dyDescent="0.2"/>
    <row r="325" s="146" customFormat="1" x14ac:dyDescent="0.2"/>
    <row r="326" s="146" customFormat="1" x14ac:dyDescent="0.2"/>
    <row r="327" s="146" customFormat="1" x14ac:dyDescent="0.2"/>
    <row r="328" s="146" customFormat="1" x14ac:dyDescent="0.2"/>
    <row r="329" s="146" customFormat="1" x14ac:dyDescent="0.2"/>
    <row r="330" s="146" customFormat="1" x14ac:dyDescent="0.2"/>
    <row r="331" s="146" customFormat="1" x14ac:dyDescent="0.2"/>
    <row r="332" s="146" customFormat="1" x14ac:dyDescent="0.2"/>
    <row r="333" s="146" customFormat="1" x14ac:dyDescent="0.2"/>
    <row r="334" s="146" customFormat="1" x14ac:dyDescent="0.2"/>
    <row r="335" s="146" customFormat="1" x14ac:dyDescent="0.2"/>
    <row r="336" s="146" customFormat="1" x14ac:dyDescent="0.2"/>
    <row r="337" s="146" customFormat="1" x14ac:dyDescent="0.2"/>
    <row r="338" s="146" customFormat="1" x14ac:dyDescent="0.2"/>
    <row r="339" s="146" customFormat="1" x14ac:dyDescent="0.2"/>
    <row r="340" s="146" customFormat="1" x14ac:dyDescent="0.2"/>
    <row r="341" s="146" customFormat="1" x14ac:dyDescent="0.2"/>
    <row r="342" s="146" customFormat="1" x14ac:dyDescent="0.2"/>
    <row r="343" s="146" customFormat="1" x14ac:dyDescent="0.2"/>
    <row r="344" s="146" customFormat="1" x14ac:dyDescent="0.2"/>
    <row r="345" s="146" customFormat="1" x14ac:dyDescent="0.2"/>
    <row r="346" s="146" customFormat="1" x14ac:dyDescent="0.2"/>
    <row r="347" s="146" customFormat="1" x14ac:dyDescent="0.2"/>
    <row r="348" s="146" customFormat="1" x14ac:dyDescent="0.2"/>
    <row r="349" s="146" customFormat="1" x14ac:dyDescent="0.2"/>
    <row r="350" s="146" customFormat="1" x14ac:dyDescent="0.2"/>
    <row r="351" s="146" customFormat="1" x14ac:dyDescent="0.2"/>
    <row r="352" s="146" customFormat="1" x14ac:dyDescent="0.2"/>
    <row r="353" s="146" customFormat="1" x14ac:dyDescent="0.2"/>
    <row r="354" s="146" customFormat="1" x14ac:dyDescent="0.2"/>
    <row r="355" s="146" customFormat="1" x14ac:dyDescent="0.2"/>
    <row r="356" s="146" customFormat="1" x14ac:dyDescent="0.2"/>
    <row r="357" s="146" customFormat="1" x14ac:dyDescent="0.2"/>
    <row r="358" s="146" customFormat="1" x14ac:dyDescent="0.2"/>
    <row r="359" s="146" customFormat="1" x14ac:dyDescent="0.2"/>
    <row r="360" s="146" customFormat="1" x14ac:dyDescent="0.2"/>
    <row r="361" s="146" customFormat="1" x14ac:dyDescent="0.2"/>
    <row r="362" s="146" customFormat="1" x14ac:dyDescent="0.2"/>
    <row r="363" s="146" customFormat="1" x14ac:dyDescent="0.2"/>
    <row r="364" s="146" customFormat="1" x14ac:dyDescent="0.2"/>
    <row r="365" s="146" customFormat="1" x14ac:dyDescent="0.2"/>
    <row r="366" s="146" customFormat="1" x14ac:dyDescent="0.2"/>
    <row r="367" s="146" customFormat="1" x14ac:dyDescent="0.2"/>
    <row r="368" s="146" customFormat="1" x14ac:dyDescent="0.2"/>
    <row r="369" spans="2:16" s="146" customFormat="1" x14ac:dyDescent="0.2"/>
    <row r="370" spans="2:16" s="146" customFormat="1" x14ac:dyDescent="0.2"/>
    <row r="371" spans="2:16" s="146" customFormat="1" x14ac:dyDescent="0.2"/>
    <row r="372" spans="2:16" s="146" customFormat="1" x14ac:dyDescent="0.2"/>
    <row r="373" spans="2:16" x14ac:dyDescent="0.2">
      <c r="B373" s="146"/>
      <c r="C373" s="146"/>
      <c r="D373" s="146"/>
      <c r="E373" s="146"/>
      <c r="F373" s="146"/>
      <c r="G373" s="146"/>
      <c r="H373" s="146"/>
      <c r="I373" s="146"/>
      <c r="J373" s="146"/>
      <c r="K373" s="146"/>
      <c r="L373" s="146"/>
      <c r="M373" s="146"/>
      <c r="N373" s="146"/>
      <c r="O373" s="146"/>
      <c r="P373" s="146"/>
    </row>
    <row r="374" spans="2:16" x14ac:dyDescent="0.2">
      <c r="B374" s="146"/>
      <c r="C374" s="146"/>
      <c r="D374" s="146"/>
      <c r="E374" s="146"/>
      <c r="F374" s="146"/>
      <c r="G374" s="146"/>
      <c r="H374" s="146"/>
      <c r="I374" s="146"/>
      <c r="J374" s="146"/>
      <c r="K374" s="146"/>
      <c r="L374" s="146"/>
      <c r="M374" s="146"/>
      <c r="N374" s="146"/>
      <c r="O374" s="146"/>
      <c r="P374" s="146"/>
    </row>
    <row r="375" spans="2:16" x14ac:dyDescent="0.2">
      <c r="B375" s="146"/>
      <c r="C375" s="146"/>
      <c r="D375" s="146"/>
      <c r="E375" s="146"/>
      <c r="F375" s="146"/>
      <c r="G375" s="146"/>
      <c r="H375" s="146"/>
      <c r="I375" s="146"/>
      <c r="J375" s="146"/>
      <c r="K375" s="146"/>
      <c r="L375" s="146"/>
      <c r="M375" s="146"/>
      <c r="N375" s="146"/>
      <c r="O375" s="146"/>
      <c r="P375" s="146"/>
    </row>
    <row r="376" spans="2:16" x14ac:dyDescent="0.2">
      <c r="B376" s="146"/>
      <c r="C376" s="146"/>
      <c r="D376" s="146"/>
      <c r="E376" s="146"/>
      <c r="F376" s="146"/>
      <c r="G376" s="146"/>
      <c r="H376" s="146"/>
      <c r="I376" s="146"/>
      <c r="J376" s="146"/>
      <c r="K376" s="146"/>
      <c r="L376" s="146"/>
      <c r="M376" s="146"/>
      <c r="N376" s="146"/>
      <c r="O376" s="146"/>
      <c r="P376" s="146"/>
    </row>
    <row r="377" spans="2:16" x14ac:dyDescent="0.2">
      <c r="B377" s="146"/>
      <c r="C377" s="146"/>
      <c r="D377" s="146"/>
      <c r="E377" s="146"/>
      <c r="F377" s="146"/>
      <c r="G377" s="146"/>
      <c r="H377" s="146"/>
      <c r="I377" s="146"/>
      <c r="J377" s="146"/>
      <c r="K377" s="146"/>
      <c r="L377" s="146"/>
      <c r="M377" s="146"/>
      <c r="N377" s="146"/>
      <c r="O377" s="146"/>
      <c r="P377" s="146"/>
    </row>
    <row r="378" spans="2:16" x14ac:dyDescent="0.2">
      <c r="B378" s="146"/>
      <c r="C378" s="146"/>
      <c r="D378" s="146"/>
      <c r="E378" s="146"/>
      <c r="F378" s="146"/>
      <c r="G378" s="146"/>
      <c r="H378" s="146"/>
      <c r="I378" s="146"/>
      <c r="J378" s="146"/>
      <c r="K378" s="146"/>
      <c r="L378" s="146"/>
      <c r="M378" s="146"/>
      <c r="N378" s="146"/>
      <c r="O378" s="146"/>
      <c r="P378" s="146"/>
    </row>
    <row r="379" spans="2:16" x14ac:dyDescent="0.2">
      <c r="B379" s="146"/>
      <c r="C379" s="146"/>
      <c r="D379" s="146"/>
      <c r="E379" s="146"/>
      <c r="F379" s="146"/>
      <c r="G379" s="146"/>
      <c r="H379" s="146"/>
      <c r="I379" s="146"/>
      <c r="J379" s="146"/>
      <c r="K379" s="146"/>
      <c r="L379" s="146"/>
      <c r="M379" s="146"/>
      <c r="N379" s="146"/>
      <c r="O379" s="146"/>
      <c r="P379" s="146"/>
    </row>
    <row r="380" spans="2:16" x14ac:dyDescent="0.2">
      <c r="B380" s="146"/>
      <c r="C380" s="146"/>
      <c r="D380" s="146"/>
      <c r="E380" s="146"/>
      <c r="F380" s="146"/>
      <c r="G380" s="146"/>
      <c r="H380" s="146"/>
      <c r="I380" s="146"/>
      <c r="J380" s="146"/>
      <c r="K380" s="146"/>
      <c r="L380" s="146"/>
      <c r="M380" s="146"/>
      <c r="N380" s="146"/>
      <c r="O380" s="146"/>
      <c r="P380" s="146"/>
    </row>
    <row r="381" spans="2:16" x14ac:dyDescent="0.2">
      <c r="B381" s="146"/>
      <c r="C381" s="146"/>
      <c r="D381" s="146"/>
      <c r="E381" s="146"/>
      <c r="F381" s="146"/>
      <c r="G381" s="146"/>
      <c r="H381" s="146"/>
      <c r="I381" s="146"/>
      <c r="J381" s="146"/>
      <c r="K381" s="146"/>
      <c r="L381" s="146"/>
      <c r="M381" s="146"/>
      <c r="N381" s="146"/>
      <c r="O381" s="146"/>
      <c r="P381" s="146"/>
    </row>
    <row r="382" spans="2:16" x14ac:dyDescent="0.2">
      <c r="B382" s="146"/>
      <c r="C382" s="146"/>
      <c r="D382" s="146"/>
      <c r="E382" s="146"/>
      <c r="F382" s="146"/>
      <c r="G382" s="146"/>
      <c r="H382" s="146"/>
      <c r="I382" s="146"/>
      <c r="J382" s="146"/>
      <c r="K382" s="146"/>
      <c r="L382" s="146"/>
      <c r="M382" s="146"/>
      <c r="N382" s="146"/>
      <c r="O382" s="146"/>
      <c r="P382" s="146"/>
    </row>
    <row r="383" spans="2:16" x14ac:dyDescent="0.2">
      <c r="B383" s="146"/>
      <c r="C383" s="146"/>
      <c r="D383" s="146"/>
      <c r="E383" s="146"/>
      <c r="F383" s="146"/>
      <c r="G383" s="146"/>
      <c r="H383" s="146"/>
      <c r="I383" s="146"/>
      <c r="J383" s="146"/>
      <c r="K383" s="146"/>
      <c r="L383" s="146"/>
      <c r="M383" s="146"/>
      <c r="N383" s="146"/>
      <c r="O383" s="146"/>
      <c r="P383" s="146"/>
    </row>
    <row r="384" spans="2:16" x14ac:dyDescent="0.2">
      <c r="B384" s="146"/>
      <c r="C384" s="146"/>
      <c r="D384" s="146"/>
      <c r="E384" s="146"/>
      <c r="F384" s="146"/>
      <c r="G384" s="146"/>
      <c r="H384" s="146"/>
      <c r="I384" s="146"/>
      <c r="J384" s="146"/>
      <c r="K384" s="146"/>
      <c r="L384" s="146"/>
      <c r="M384" s="146"/>
      <c r="N384" s="146"/>
      <c r="O384" s="146"/>
      <c r="P384" s="146"/>
    </row>
    <row r="385" spans="2:16" x14ac:dyDescent="0.2">
      <c r="B385" s="146"/>
      <c r="C385" s="146"/>
      <c r="D385" s="146"/>
      <c r="E385" s="146"/>
      <c r="F385" s="146"/>
      <c r="G385" s="146"/>
      <c r="H385" s="146"/>
      <c r="I385" s="146"/>
      <c r="J385" s="146"/>
      <c r="K385" s="146"/>
      <c r="L385" s="146"/>
      <c r="M385" s="146"/>
      <c r="N385" s="146"/>
      <c r="O385" s="146"/>
      <c r="P385" s="146"/>
    </row>
    <row r="386" spans="2:16" x14ac:dyDescent="0.2">
      <c r="B386" s="146"/>
      <c r="C386" s="146"/>
      <c r="D386" s="146"/>
      <c r="E386" s="146"/>
      <c r="F386" s="146"/>
      <c r="G386" s="146"/>
      <c r="H386" s="146"/>
      <c r="I386" s="146"/>
      <c r="J386" s="146"/>
      <c r="K386" s="146"/>
      <c r="L386" s="146"/>
      <c r="M386" s="146"/>
      <c r="N386" s="146"/>
      <c r="O386" s="146"/>
      <c r="P386" s="146"/>
    </row>
    <row r="387" spans="2:16" x14ac:dyDescent="0.2">
      <c r="B387" s="146"/>
      <c r="C387" s="146"/>
      <c r="D387" s="146"/>
      <c r="E387" s="146"/>
      <c r="F387" s="146"/>
      <c r="G387" s="146"/>
      <c r="H387" s="146"/>
      <c r="I387" s="146"/>
      <c r="J387" s="146"/>
      <c r="K387" s="146"/>
      <c r="L387" s="146"/>
      <c r="M387" s="146"/>
      <c r="N387" s="146"/>
      <c r="O387" s="146"/>
      <c r="P387" s="146"/>
    </row>
    <row r="388" spans="2:16" x14ac:dyDescent="0.2">
      <c r="B388" s="146"/>
      <c r="C388" s="146"/>
      <c r="D388" s="146"/>
      <c r="E388" s="146"/>
      <c r="F388" s="146"/>
      <c r="G388" s="146"/>
      <c r="H388" s="146"/>
      <c r="I388" s="146"/>
      <c r="J388" s="146"/>
      <c r="K388" s="146"/>
      <c r="L388" s="146"/>
      <c r="M388" s="146"/>
      <c r="N388" s="146"/>
      <c r="O388" s="146"/>
      <c r="P388" s="146"/>
    </row>
    <row r="389" spans="2:16" x14ac:dyDescent="0.2">
      <c r="B389" s="146"/>
      <c r="C389" s="146"/>
      <c r="D389" s="146"/>
      <c r="E389" s="146"/>
      <c r="F389" s="146"/>
      <c r="G389" s="146"/>
      <c r="H389" s="146"/>
      <c r="I389" s="146"/>
      <c r="J389" s="146"/>
      <c r="K389" s="146"/>
      <c r="L389" s="146"/>
      <c r="M389" s="146"/>
      <c r="N389" s="146"/>
      <c r="O389" s="146"/>
      <c r="P389" s="146"/>
    </row>
    <row r="390" spans="2:16" x14ac:dyDescent="0.2">
      <c r="B390" s="146"/>
      <c r="C390" s="146"/>
      <c r="D390" s="146"/>
      <c r="E390" s="146"/>
      <c r="F390" s="146"/>
      <c r="G390" s="146"/>
      <c r="H390" s="146"/>
      <c r="I390" s="146"/>
      <c r="J390" s="146"/>
      <c r="K390" s="146"/>
      <c r="L390" s="146"/>
      <c r="M390" s="146"/>
      <c r="N390" s="146"/>
      <c r="O390" s="146"/>
      <c r="P390" s="146"/>
    </row>
    <row r="391" spans="2:16" x14ac:dyDescent="0.2">
      <c r="B391" s="146"/>
      <c r="C391" s="146"/>
      <c r="D391" s="146"/>
      <c r="E391" s="146"/>
      <c r="F391" s="146"/>
      <c r="G391" s="146"/>
      <c r="H391" s="146"/>
      <c r="I391" s="146"/>
      <c r="J391" s="146"/>
      <c r="K391" s="146"/>
      <c r="L391" s="146"/>
      <c r="M391" s="146"/>
      <c r="N391" s="146"/>
      <c r="O391" s="146"/>
      <c r="P391" s="146"/>
    </row>
    <row r="392" spans="2:16" x14ac:dyDescent="0.2">
      <c r="B392" s="146"/>
      <c r="C392" s="146"/>
      <c r="D392" s="146"/>
      <c r="E392" s="146"/>
      <c r="F392" s="146"/>
      <c r="G392" s="146"/>
      <c r="H392" s="146"/>
      <c r="I392" s="146"/>
      <c r="J392" s="146"/>
      <c r="K392" s="146"/>
      <c r="L392" s="146"/>
      <c r="M392" s="146"/>
      <c r="N392" s="146"/>
      <c r="O392" s="146"/>
      <c r="P392" s="146"/>
    </row>
    <row r="393" spans="2:16" x14ac:dyDescent="0.2">
      <c r="B393" s="146"/>
      <c r="C393" s="146"/>
      <c r="D393" s="146"/>
      <c r="E393" s="146"/>
      <c r="F393" s="146"/>
      <c r="G393" s="146"/>
      <c r="H393" s="146"/>
      <c r="I393" s="146"/>
      <c r="J393" s="146"/>
      <c r="K393" s="146"/>
      <c r="L393" s="146"/>
      <c r="M393" s="146"/>
      <c r="N393" s="146"/>
      <c r="O393" s="146"/>
      <c r="P393" s="146"/>
    </row>
    <row r="394" spans="2:16" x14ac:dyDescent="0.2">
      <c r="B394" s="146"/>
      <c r="C394" s="146"/>
      <c r="D394" s="146"/>
      <c r="E394" s="146"/>
      <c r="F394" s="146"/>
      <c r="G394" s="146"/>
      <c r="H394" s="146"/>
      <c r="I394" s="146"/>
      <c r="J394" s="146"/>
      <c r="K394" s="146"/>
      <c r="L394" s="146"/>
      <c r="M394" s="146"/>
      <c r="N394" s="146"/>
      <c r="O394" s="146"/>
      <c r="P394" s="146"/>
    </row>
    <row r="395" spans="2:16" x14ac:dyDescent="0.2">
      <c r="B395" s="146"/>
      <c r="C395" s="146"/>
      <c r="D395" s="146"/>
      <c r="E395" s="146"/>
      <c r="F395" s="146"/>
      <c r="G395" s="146"/>
      <c r="H395" s="146"/>
      <c r="I395" s="146"/>
      <c r="J395" s="146"/>
      <c r="K395" s="146"/>
      <c r="L395" s="146"/>
      <c r="M395" s="146"/>
      <c r="N395" s="146"/>
      <c r="O395" s="146"/>
      <c r="P395" s="146"/>
    </row>
    <row r="396" spans="2:16" x14ac:dyDescent="0.2">
      <c r="B396" s="146"/>
      <c r="C396" s="146"/>
      <c r="D396" s="146"/>
      <c r="E396" s="146"/>
      <c r="F396" s="146"/>
      <c r="G396" s="146"/>
      <c r="H396" s="146"/>
      <c r="I396" s="146"/>
      <c r="J396" s="146"/>
      <c r="K396" s="146"/>
      <c r="L396" s="146"/>
      <c r="M396" s="146"/>
      <c r="N396" s="146"/>
      <c r="O396" s="146"/>
      <c r="P396" s="146"/>
    </row>
    <row r="397" spans="2:16" x14ac:dyDescent="0.2">
      <c r="B397" s="146"/>
      <c r="C397" s="146"/>
      <c r="D397" s="146"/>
      <c r="E397" s="146"/>
      <c r="F397" s="146"/>
      <c r="G397" s="146"/>
      <c r="H397" s="146"/>
      <c r="I397" s="146"/>
      <c r="J397" s="146"/>
      <c r="K397" s="146"/>
      <c r="L397" s="146"/>
      <c r="M397" s="146"/>
      <c r="N397" s="146"/>
      <c r="O397" s="146"/>
      <c r="P397" s="146"/>
    </row>
    <row r="398" spans="2:16" x14ac:dyDescent="0.2">
      <c r="B398" s="146"/>
      <c r="C398" s="146"/>
      <c r="D398" s="146"/>
      <c r="E398" s="146"/>
      <c r="F398" s="146"/>
      <c r="G398" s="146"/>
      <c r="H398" s="146"/>
      <c r="I398" s="146"/>
      <c r="J398" s="146"/>
      <c r="K398" s="146"/>
      <c r="L398" s="146"/>
      <c r="M398" s="146"/>
      <c r="N398" s="146"/>
      <c r="O398" s="146"/>
      <c r="P398" s="146"/>
    </row>
    <row r="399" spans="2:16" x14ac:dyDescent="0.2">
      <c r="B399" s="146"/>
      <c r="C399" s="146"/>
      <c r="D399" s="146"/>
      <c r="E399" s="146"/>
      <c r="F399" s="146"/>
      <c r="G399" s="146"/>
      <c r="H399" s="146"/>
      <c r="I399" s="146"/>
      <c r="J399" s="146"/>
      <c r="K399" s="146"/>
      <c r="L399" s="146"/>
      <c r="M399" s="146"/>
      <c r="N399" s="146"/>
      <c r="O399" s="146"/>
      <c r="P399" s="146"/>
    </row>
    <row r="400" spans="2:16" x14ac:dyDescent="0.2">
      <c r="B400" s="146"/>
      <c r="C400" s="146"/>
      <c r="D400" s="146"/>
      <c r="E400" s="146"/>
      <c r="F400" s="146"/>
      <c r="G400" s="146"/>
      <c r="H400" s="146"/>
      <c r="I400" s="146"/>
      <c r="J400" s="146"/>
      <c r="K400" s="146"/>
      <c r="L400" s="146"/>
      <c r="M400" s="146"/>
      <c r="N400" s="146"/>
      <c r="O400" s="146"/>
      <c r="P400" s="146"/>
    </row>
    <row r="401" spans="2:16" x14ac:dyDescent="0.2">
      <c r="B401" s="146"/>
      <c r="C401" s="146"/>
      <c r="D401" s="146"/>
      <c r="E401" s="146"/>
      <c r="F401" s="146"/>
      <c r="G401" s="146"/>
      <c r="H401" s="146"/>
      <c r="I401" s="146"/>
      <c r="J401" s="146"/>
      <c r="K401" s="146"/>
      <c r="L401" s="146"/>
      <c r="M401" s="146"/>
      <c r="N401" s="146"/>
      <c r="O401" s="146"/>
      <c r="P401" s="146"/>
    </row>
    <row r="402" spans="2:16" x14ac:dyDescent="0.2">
      <c r="B402" s="146"/>
      <c r="C402" s="146"/>
      <c r="D402" s="146"/>
      <c r="E402" s="146"/>
      <c r="F402" s="146"/>
      <c r="G402" s="146"/>
      <c r="H402" s="146"/>
      <c r="I402" s="146"/>
      <c r="J402" s="146"/>
      <c r="K402" s="146"/>
      <c r="L402" s="146"/>
      <c r="M402" s="146"/>
      <c r="N402" s="146"/>
      <c r="O402" s="146"/>
      <c r="P402" s="146"/>
    </row>
    <row r="403" spans="2:16" x14ac:dyDescent="0.2">
      <c r="B403" s="146"/>
      <c r="C403" s="146"/>
      <c r="D403" s="146"/>
      <c r="E403" s="146"/>
      <c r="F403" s="146"/>
      <c r="G403" s="146"/>
      <c r="H403" s="146"/>
      <c r="I403" s="146"/>
      <c r="J403" s="146"/>
      <c r="K403" s="146"/>
      <c r="L403" s="146"/>
      <c r="M403" s="146"/>
      <c r="N403" s="146"/>
      <c r="O403" s="146"/>
      <c r="P403" s="146"/>
    </row>
    <row r="404" spans="2:16" x14ac:dyDescent="0.2">
      <c r="B404" s="146"/>
      <c r="C404" s="146"/>
      <c r="D404" s="146"/>
      <c r="E404" s="146"/>
      <c r="F404" s="146"/>
      <c r="G404" s="146"/>
      <c r="H404" s="146"/>
      <c r="I404" s="146"/>
      <c r="J404" s="146"/>
      <c r="K404" s="146"/>
      <c r="L404" s="146"/>
      <c r="M404" s="146"/>
      <c r="N404" s="146"/>
      <c r="O404" s="146"/>
      <c r="P404" s="146"/>
    </row>
    <row r="405" spans="2:16" x14ac:dyDescent="0.2">
      <c r="B405" s="146"/>
      <c r="C405" s="146"/>
      <c r="D405" s="146"/>
      <c r="E405" s="146"/>
      <c r="F405" s="146"/>
      <c r="G405" s="146"/>
      <c r="H405" s="146"/>
      <c r="I405" s="146"/>
      <c r="J405" s="146"/>
      <c r="K405" s="146"/>
      <c r="L405" s="146"/>
      <c r="M405" s="146"/>
      <c r="N405" s="146"/>
      <c r="O405" s="146"/>
      <c r="P405" s="146"/>
    </row>
    <row r="406" spans="2:16" x14ac:dyDescent="0.2">
      <c r="B406" s="146"/>
      <c r="C406" s="146"/>
      <c r="D406" s="146"/>
      <c r="E406" s="146"/>
      <c r="F406" s="146"/>
      <c r="G406" s="146"/>
      <c r="H406" s="146"/>
      <c r="I406" s="146"/>
      <c r="J406" s="146"/>
      <c r="K406" s="146"/>
      <c r="L406" s="146"/>
      <c r="M406" s="146"/>
      <c r="N406" s="146"/>
      <c r="O406" s="146"/>
      <c r="P406" s="146"/>
    </row>
    <row r="407" spans="2:16" x14ac:dyDescent="0.2">
      <c r="B407" s="146"/>
      <c r="C407" s="146"/>
      <c r="D407" s="146"/>
      <c r="E407" s="146"/>
      <c r="F407" s="146"/>
      <c r="G407" s="146"/>
      <c r="H407" s="146"/>
      <c r="I407" s="146"/>
      <c r="J407" s="146"/>
      <c r="K407" s="146"/>
      <c r="L407" s="146"/>
      <c r="M407" s="146"/>
      <c r="N407" s="146"/>
      <c r="O407" s="146"/>
      <c r="P407" s="146"/>
    </row>
    <row r="408" spans="2:16" x14ac:dyDescent="0.2">
      <c r="B408" s="146"/>
      <c r="C408" s="146"/>
      <c r="D408" s="146"/>
      <c r="E408" s="146"/>
      <c r="F408" s="146"/>
      <c r="G408" s="146"/>
      <c r="H408" s="146"/>
      <c r="I408" s="146"/>
      <c r="J408" s="146"/>
      <c r="K408" s="146"/>
      <c r="L408" s="146"/>
      <c r="M408" s="146"/>
      <c r="N408" s="146"/>
      <c r="O408" s="146"/>
      <c r="P408" s="146"/>
    </row>
    <row r="409" spans="2:16" x14ac:dyDescent="0.2">
      <c r="B409" s="146"/>
      <c r="C409" s="146"/>
      <c r="D409" s="146"/>
      <c r="E409" s="146"/>
      <c r="F409" s="146"/>
      <c r="G409" s="146"/>
      <c r="H409" s="146"/>
      <c r="I409" s="146"/>
      <c r="J409" s="146"/>
      <c r="K409" s="146"/>
      <c r="L409" s="146"/>
      <c r="M409" s="146"/>
      <c r="N409" s="146"/>
      <c r="O409" s="146"/>
      <c r="P409" s="146"/>
    </row>
    <row r="410" spans="2:16" x14ac:dyDescent="0.2">
      <c r="B410" s="146"/>
      <c r="C410" s="146"/>
      <c r="D410" s="146"/>
      <c r="E410" s="146"/>
      <c r="F410" s="146"/>
      <c r="G410" s="146"/>
      <c r="H410" s="146"/>
      <c r="I410" s="146"/>
      <c r="J410" s="146"/>
      <c r="K410" s="146"/>
      <c r="L410" s="146"/>
      <c r="M410" s="146"/>
      <c r="N410" s="146"/>
      <c r="O410" s="146"/>
      <c r="P410" s="146"/>
    </row>
    <row r="411" spans="2:16" x14ac:dyDescent="0.2">
      <c r="B411" s="146"/>
      <c r="C411" s="146"/>
      <c r="D411" s="146"/>
      <c r="E411" s="146"/>
      <c r="F411" s="146"/>
      <c r="G411" s="146"/>
      <c r="H411" s="146"/>
      <c r="I411" s="146"/>
      <c r="J411" s="146"/>
      <c r="K411" s="146"/>
      <c r="L411" s="146"/>
      <c r="M411" s="146"/>
      <c r="N411" s="146"/>
      <c r="O411" s="146"/>
      <c r="P411" s="146"/>
    </row>
    <row r="412" spans="2:16" x14ac:dyDescent="0.2">
      <c r="B412" s="146"/>
      <c r="C412" s="146"/>
      <c r="D412" s="146"/>
      <c r="E412" s="146"/>
      <c r="F412" s="146"/>
      <c r="G412" s="146"/>
      <c r="H412" s="146"/>
      <c r="I412" s="146"/>
      <c r="J412" s="146"/>
      <c r="K412" s="146"/>
      <c r="L412" s="146"/>
      <c r="M412" s="146"/>
      <c r="N412" s="146"/>
      <c r="O412" s="146"/>
      <c r="P412" s="146"/>
    </row>
    <row r="413" spans="2:16" x14ac:dyDescent="0.2">
      <c r="B413" s="146"/>
      <c r="C413" s="146"/>
      <c r="D413" s="146"/>
      <c r="E413" s="146"/>
      <c r="F413" s="146"/>
      <c r="G413" s="146"/>
      <c r="H413" s="146"/>
      <c r="I413" s="146"/>
      <c r="J413" s="146"/>
      <c r="K413" s="146"/>
      <c r="L413" s="146"/>
      <c r="M413" s="146"/>
      <c r="N413" s="146"/>
      <c r="O413" s="146"/>
      <c r="P413" s="146"/>
    </row>
    <row r="414" spans="2:16" x14ac:dyDescent="0.2">
      <c r="B414" s="146"/>
      <c r="C414" s="146"/>
      <c r="D414" s="146"/>
      <c r="E414" s="146"/>
      <c r="F414" s="146"/>
      <c r="G414" s="146"/>
      <c r="H414" s="146"/>
      <c r="I414" s="146"/>
      <c r="J414" s="146"/>
      <c r="K414" s="146"/>
      <c r="L414" s="146"/>
      <c r="M414" s="146"/>
      <c r="N414" s="146"/>
      <c r="O414" s="146"/>
      <c r="P414" s="146"/>
    </row>
    <row r="415" spans="2:16" x14ac:dyDescent="0.2">
      <c r="B415" s="146"/>
      <c r="C415" s="146"/>
      <c r="D415" s="146"/>
      <c r="E415" s="146"/>
      <c r="F415" s="146"/>
      <c r="G415" s="146"/>
      <c r="H415" s="146"/>
      <c r="I415" s="146"/>
      <c r="J415" s="146"/>
      <c r="K415" s="146"/>
      <c r="L415" s="146"/>
      <c r="M415" s="146"/>
      <c r="N415" s="146"/>
      <c r="O415" s="146"/>
      <c r="P415" s="146"/>
    </row>
    <row r="416" spans="2:16" x14ac:dyDescent="0.2">
      <c r="B416" s="146"/>
      <c r="C416" s="146"/>
      <c r="D416" s="146"/>
      <c r="E416" s="146"/>
      <c r="F416" s="146"/>
      <c r="G416" s="146"/>
      <c r="H416" s="146"/>
      <c r="I416" s="146"/>
      <c r="J416" s="146"/>
      <c r="K416" s="146"/>
      <c r="L416" s="146"/>
      <c r="M416" s="146"/>
      <c r="N416" s="146"/>
      <c r="O416" s="146"/>
      <c r="P416" s="146"/>
    </row>
    <row r="417" spans="2:16" x14ac:dyDescent="0.2">
      <c r="B417" s="146"/>
      <c r="C417" s="146"/>
      <c r="D417" s="146"/>
      <c r="E417" s="146"/>
      <c r="F417" s="146"/>
      <c r="G417" s="146"/>
      <c r="H417" s="146"/>
      <c r="I417" s="146"/>
      <c r="J417" s="146"/>
      <c r="K417" s="146"/>
      <c r="L417" s="146"/>
      <c r="M417" s="146"/>
      <c r="N417" s="146"/>
      <c r="O417" s="146"/>
      <c r="P417" s="146"/>
    </row>
    <row r="418" spans="2:16" x14ac:dyDescent="0.2">
      <c r="B418" s="146"/>
      <c r="C418" s="146"/>
      <c r="D418" s="146"/>
      <c r="E418" s="146"/>
      <c r="F418" s="146"/>
      <c r="G418" s="146"/>
      <c r="H418" s="146"/>
      <c r="I418" s="146"/>
      <c r="J418" s="146"/>
      <c r="K418" s="146"/>
      <c r="L418" s="146"/>
      <c r="M418" s="146"/>
      <c r="N418" s="146"/>
      <c r="O418" s="146"/>
      <c r="P418" s="146"/>
    </row>
    <row r="419" spans="2:16" x14ac:dyDescent="0.2">
      <c r="B419" s="146"/>
      <c r="C419" s="146"/>
      <c r="D419" s="146"/>
      <c r="E419" s="146"/>
      <c r="F419" s="146"/>
      <c r="G419" s="146"/>
      <c r="H419" s="146"/>
      <c r="I419" s="146"/>
      <c r="J419" s="146"/>
      <c r="K419" s="146"/>
      <c r="L419" s="146"/>
      <c r="M419" s="146"/>
      <c r="N419" s="146"/>
      <c r="O419" s="146"/>
      <c r="P419" s="146"/>
    </row>
    <row r="420" spans="2:16" x14ac:dyDescent="0.2">
      <c r="B420" s="146"/>
      <c r="C420" s="146"/>
      <c r="D420" s="146"/>
      <c r="E420" s="146"/>
      <c r="F420" s="146"/>
      <c r="G420" s="146"/>
      <c r="H420" s="146"/>
      <c r="I420" s="146"/>
      <c r="J420" s="146"/>
      <c r="K420" s="146"/>
      <c r="L420" s="146"/>
      <c r="M420" s="146"/>
      <c r="N420" s="146"/>
      <c r="O420" s="146"/>
      <c r="P420" s="146"/>
    </row>
    <row r="421" spans="2:16" x14ac:dyDescent="0.2">
      <c r="B421" s="146"/>
      <c r="C421" s="146"/>
      <c r="D421" s="146"/>
      <c r="E421" s="146"/>
      <c r="F421" s="146"/>
      <c r="G421" s="146"/>
      <c r="H421" s="146"/>
      <c r="I421" s="146"/>
      <c r="J421" s="146"/>
      <c r="K421" s="146"/>
      <c r="L421" s="146"/>
      <c r="M421" s="146"/>
      <c r="N421" s="146"/>
      <c r="O421" s="146"/>
      <c r="P421" s="146"/>
    </row>
    <row r="422" spans="2:16" x14ac:dyDescent="0.2">
      <c r="B422" s="146"/>
      <c r="C422" s="146"/>
      <c r="D422" s="146"/>
      <c r="E422" s="146"/>
      <c r="F422" s="146"/>
      <c r="G422" s="146"/>
      <c r="H422" s="146"/>
      <c r="I422" s="146"/>
      <c r="J422" s="146"/>
      <c r="K422" s="146"/>
      <c r="L422" s="146"/>
      <c r="M422" s="146"/>
      <c r="N422" s="146"/>
      <c r="O422" s="146"/>
      <c r="P422" s="146"/>
    </row>
    <row r="423" spans="2:16" x14ac:dyDescent="0.2">
      <c r="B423" s="146"/>
      <c r="C423" s="146"/>
      <c r="D423" s="146"/>
      <c r="E423" s="146"/>
      <c r="F423" s="146"/>
      <c r="G423" s="146"/>
      <c r="H423" s="146"/>
      <c r="I423" s="146"/>
      <c r="J423" s="146"/>
      <c r="K423" s="146"/>
      <c r="L423" s="146"/>
      <c r="M423" s="146"/>
      <c r="N423" s="146"/>
      <c r="O423" s="146"/>
      <c r="P423" s="146"/>
    </row>
    <row r="424" spans="2:16" x14ac:dyDescent="0.2">
      <c r="B424" s="146"/>
      <c r="C424" s="146"/>
      <c r="D424" s="146"/>
      <c r="E424" s="146"/>
      <c r="F424" s="146"/>
      <c r="G424" s="146"/>
      <c r="H424" s="146"/>
      <c r="I424" s="146"/>
      <c r="J424" s="146"/>
      <c r="K424" s="146"/>
      <c r="L424" s="146"/>
      <c r="M424" s="146"/>
      <c r="N424" s="146"/>
      <c r="O424" s="146"/>
      <c r="P424" s="146"/>
    </row>
    <row r="425" spans="2:16" x14ac:dyDescent="0.2">
      <c r="B425" s="146"/>
      <c r="C425" s="146"/>
      <c r="D425" s="146"/>
      <c r="E425" s="146"/>
      <c r="F425" s="146"/>
      <c r="G425" s="146"/>
      <c r="H425" s="146"/>
      <c r="I425" s="146"/>
      <c r="J425" s="146"/>
      <c r="K425" s="146"/>
      <c r="L425" s="146"/>
      <c r="M425" s="146"/>
      <c r="N425" s="146"/>
      <c r="O425" s="146"/>
      <c r="P425" s="146"/>
    </row>
    <row r="426" spans="2:16" x14ac:dyDescent="0.2">
      <c r="B426" s="146"/>
      <c r="C426" s="146"/>
      <c r="D426" s="146"/>
      <c r="E426" s="146"/>
      <c r="F426" s="146"/>
      <c r="G426" s="146"/>
      <c r="H426" s="146"/>
      <c r="I426" s="146"/>
      <c r="J426" s="146"/>
      <c r="K426" s="146"/>
      <c r="L426" s="146"/>
      <c r="M426" s="146"/>
      <c r="N426" s="146"/>
      <c r="O426" s="146"/>
      <c r="P426" s="146"/>
    </row>
    <row r="427" spans="2:16" x14ac:dyDescent="0.2">
      <c r="B427" s="146"/>
      <c r="C427" s="146"/>
      <c r="D427" s="146"/>
      <c r="E427" s="146"/>
      <c r="F427" s="146"/>
      <c r="G427" s="146"/>
      <c r="H427" s="146"/>
      <c r="I427" s="146"/>
      <c r="J427" s="146"/>
      <c r="K427" s="146"/>
      <c r="L427" s="146"/>
      <c r="M427" s="146"/>
      <c r="N427" s="146"/>
      <c r="O427" s="146"/>
      <c r="P427" s="146"/>
    </row>
    <row r="428" spans="2:16" x14ac:dyDescent="0.2">
      <c r="B428" s="146"/>
      <c r="C428" s="146"/>
      <c r="D428" s="146"/>
      <c r="E428" s="146"/>
      <c r="F428" s="146"/>
      <c r="G428" s="146"/>
      <c r="H428" s="146"/>
      <c r="I428" s="146"/>
      <c r="J428" s="146"/>
      <c r="K428" s="146"/>
      <c r="L428" s="146"/>
      <c r="M428" s="146"/>
      <c r="N428" s="146"/>
      <c r="O428" s="146"/>
      <c r="P428" s="146"/>
    </row>
    <row r="429" spans="2:16" x14ac:dyDescent="0.2">
      <c r="B429" s="146"/>
      <c r="C429" s="146"/>
      <c r="D429" s="146"/>
      <c r="E429" s="146"/>
      <c r="F429" s="146"/>
      <c r="G429" s="146"/>
      <c r="H429" s="146"/>
      <c r="I429" s="146"/>
      <c r="J429" s="146"/>
      <c r="K429" s="146"/>
      <c r="L429" s="146"/>
      <c r="M429" s="146"/>
      <c r="N429" s="146"/>
      <c r="O429" s="146"/>
      <c r="P429" s="146"/>
    </row>
    <row r="430" spans="2:16" x14ac:dyDescent="0.2">
      <c r="B430" s="146"/>
      <c r="C430" s="146"/>
      <c r="D430" s="146"/>
      <c r="E430" s="146"/>
      <c r="F430" s="146"/>
      <c r="G430" s="146"/>
      <c r="H430" s="146"/>
      <c r="I430" s="146"/>
      <c r="J430" s="146"/>
      <c r="K430" s="146"/>
      <c r="L430" s="146"/>
      <c r="M430" s="146"/>
      <c r="N430" s="146"/>
      <c r="O430" s="146"/>
      <c r="P430" s="146"/>
    </row>
    <row r="431" spans="2:16" x14ac:dyDescent="0.2">
      <c r="B431" s="146"/>
      <c r="C431" s="146"/>
      <c r="D431" s="146"/>
      <c r="E431" s="146"/>
      <c r="F431" s="146"/>
      <c r="G431" s="146"/>
      <c r="H431" s="146"/>
      <c r="I431" s="146"/>
      <c r="J431" s="146"/>
      <c r="K431" s="146"/>
      <c r="L431" s="146"/>
      <c r="M431" s="146"/>
      <c r="N431" s="146"/>
      <c r="O431" s="146"/>
      <c r="P431" s="146"/>
    </row>
    <row r="432" spans="2:16" x14ac:dyDescent="0.2">
      <c r="B432" s="146"/>
      <c r="C432" s="146"/>
      <c r="D432" s="146"/>
      <c r="E432" s="146"/>
      <c r="F432" s="146"/>
      <c r="G432" s="146"/>
      <c r="H432" s="146"/>
      <c r="I432" s="146"/>
      <c r="J432" s="146"/>
      <c r="K432" s="146"/>
      <c r="L432" s="146"/>
      <c r="M432" s="146"/>
      <c r="N432" s="146"/>
      <c r="O432" s="146"/>
      <c r="P432" s="146"/>
    </row>
    <row r="433" spans="2:16" x14ac:dyDescent="0.2">
      <c r="B433" s="146"/>
      <c r="C433" s="146"/>
      <c r="D433" s="146"/>
      <c r="E433" s="146"/>
      <c r="F433" s="146"/>
      <c r="G433" s="146"/>
      <c r="H433" s="146"/>
      <c r="I433" s="146"/>
      <c r="J433" s="146"/>
      <c r="K433" s="146"/>
      <c r="L433" s="146"/>
      <c r="M433" s="146"/>
      <c r="N433" s="146"/>
      <c r="O433" s="146"/>
      <c r="P433" s="146"/>
    </row>
    <row r="434" spans="2:16" x14ac:dyDescent="0.2">
      <c r="B434" s="146"/>
      <c r="C434" s="146"/>
      <c r="D434" s="146"/>
      <c r="E434" s="146"/>
      <c r="F434" s="146"/>
      <c r="G434" s="146"/>
      <c r="H434" s="146"/>
      <c r="I434" s="146"/>
      <c r="J434" s="146"/>
      <c r="K434" s="146"/>
      <c r="L434" s="146"/>
      <c r="M434" s="146"/>
      <c r="N434" s="146"/>
      <c r="O434" s="146"/>
      <c r="P434" s="146"/>
    </row>
    <row r="435" spans="2:16" x14ac:dyDescent="0.2">
      <c r="B435" s="146"/>
      <c r="C435" s="146"/>
      <c r="D435" s="146"/>
      <c r="E435" s="146"/>
      <c r="F435" s="146"/>
      <c r="G435" s="146"/>
      <c r="H435" s="146"/>
      <c r="I435" s="146"/>
      <c r="J435" s="146"/>
      <c r="K435" s="146"/>
      <c r="L435" s="146"/>
      <c r="M435" s="146"/>
      <c r="N435" s="146"/>
      <c r="O435" s="146"/>
      <c r="P435" s="146"/>
    </row>
    <row r="436" spans="2:16" x14ac:dyDescent="0.2">
      <c r="B436" s="146"/>
      <c r="C436" s="146"/>
      <c r="D436" s="146"/>
      <c r="E436" s="146"/>
      <c r="F436" s="146"/>
      <c r="G436" s="146"/>
      <c r="H436" s="146"/>
      <c r="I436" s="146"/>
      <c r="J436" s="146"/>
      <c r="K436" s="146"/>
      <c r="L436" s="146"/>
      <c r="M436" s="146"/>
      <c r="N436" s="146"/>
      <c r="O436" s="146"/>
      <c r="P436" s="146"/>
    </row>
    <row r="437" spans="2:16" x14ac:dyDescent="0.2">
      <c r="B437" s="146"/>
      <c r="C437" s="146"/>
      <c r="D437" s="146"/>
      <c r="E437" s="146"/>
      <c r="F437" s="146"/>
      <c r="G437" s="146"/>
      <c r="H437" s="146"/>
      <c r="I437" s="146"/>
      <c r="J437" s="146"/>
      <c r="K437" s="146"/>
      <c r="L437" s="146"/>
      <c r="M437" s="146"/>
      <c r="N437" s="146"/>
      <c r="O437" s="146"/>
      <c r="P437" s="146"/>
    </row>
    <row r="438" spans="2:16" x14ac:dyDescent="0.2">
      <c r="B438" s="146"/>
      <c r="C438" s="146"/>
      <c r="D438" s="146"/>
      <c r="E438" s="146"/>
      <c r="F438" s="146"/>
      <c r="G438" s="146"/>
      <c r="H438" s="146"/>
      <c r="I438" s="146"/>
      <c r="J438" s="146"/>
      <c r="K438" s="146"/>
      <c r="L438" s="146"/>
      <c r="M438" s="146"/>
      <c r="N438" s="146"/>
      <c r="O438" s="146"/>
      <c r="P438" s="146"/>
    </row>
    <row r="439" spans="2:16" x14ac:dyDescent="0.2">
      <c r="B439" s="146"/>
      <c r="C439" s="146"/>
      <c r="D439" s="146"/>
      <c r="E439" s="146"/>
      <c r="F439" s="146"/>
      <c r="G439" s="146"/>
      <c r="H439" s="146"/>
      <c r="I439" s="146"/>
      <c r="J439" s="146"/>
      <c r="K439" s="146"/>
      <c r="L439" s="146"/>
      <c r="M439" s="146"/>
      <c r="N439" s="146"/>
      <c r="O439" s="146"/>
      <c r="P439" s="146"/>
    </row>
    <row r="440" spans="2:16" x14ac:dyDescent="0.2">
      <c r="B440" s="146"/>
      <c r="C440" s="146"/>
      <c r="D440" s="146"/>
      <c r="E440" s="146"/>
      <c r="F440" s="146"/>
      <c r="G440" s="146"/>
      <c r="H440" s="146"/>
      <c r="I440" s="146"/>
      <c r="J440" s="146"/>
      <c r="K440" s="146"/>
      <c r="L440" s="146"/>
      <c r="M440" s="146"/>
      <c r="N440" s="146"/>
      <c r="O440" s="146"/>
      <c r="P440" s="146"/>
    </row>
    <row r="441" spans="2:16" x14ac:dyDescent="0.2">
      <c r="B441" s="146"/>
      <c r="C441" s="146"/>
      <c r="D441" s="146"/>
      <c r="E441" s="146"/>
      <c r="F441" s="146"/>
      <c r="G441" s="146"/>
      <c r="H441" s="146"/>
      <c r="I441" s="146"/>
      <c r="J441" s="146"/>
      <c r="K441" s="146"/>
      <c r="L441" s="146"/>
      <c r="M441" s="146"/>
      <c r="N441" s="146"/>
      <c r="O441" s="146"/>
      <c r="P441" s="146"/>
    </row>
    <row r="442" spans="2:16" x14ac:dyDescent="0.2">
      <c r="B442" s="146"/>
      <c r="C442" s="146"/>
      <c r="D442" s="146"/>
      <c r="E442" s="146"/>
      <c r="F442" s="146"/>
      <c r="G442" s="146"/>
      <c r="H442" s="146"/>
      <c r="I442" s="146"/>
      <c r="J442" s="146"/>
      <c r="K442" s="146"/>
      <c r="L442" s="146"/>
      <c r="M442" s="146"/>
      <c r="N442" s="146"/>
      <c r="O442" s="146"/>
      <c r="P442" s="146"/>
    </row>
    <row r="443" spans="2:16" x14ac:dyDescent="0.2">
      <c r="B443" s="146"/>
      <c r="C443" s="146"/>
      <c r="D443" s="146"/>
      <c r="E443" s="146"/>
      <c r="F443" s="146"/>
      <c r="G443" s="146"/>
      <c r="H443" s="146"/>
      <c r="I443" s="146"/>
      <c r="J443" s="146"/>
      <c r="K443" s="146"/>
      <c r="L443" s="146"/>
      <c r="M443" s="146"/>
      <c r="N443" s="146"/>
      <c r="O443" s="146"/>
      <c r="P443" s="146"/>
    </row>
    <row r="444" spans="2:16" x14ac:dyDescent="0.2">
      <c r="B444" s="146"/>
      <c r="C444" s="146"/>
      <c r="D444" s="146"/>
      <c r="E444" s="146"/>
      <c r="F444" s="146"/>
      <c r="G444" s="146"/>
      <c r="H444" s="146"/>
      <c r="I444" s="146"/>
      <c r="J444" s="146"/>
      <c r="K444" s="146"/>
      <c r="L444" s="146"/>
      <c r="M444" s="146"/>
      <c r="N444" s="146"/>
      <c r="O444" s="146"/>
      <c r="P444" s="146"/>
    </row>
    <row r="445" spans="2:16" x14ac:dyDescent="0.2">
      <c r="B445" s="146"/>
      <c r="C445" s="146"/>
      <c r="D445" s="146"/>
      <c r="E445" s="146"/>
      <c r="F445" s="146"/>
      <c r="G445" s="146"/>
      <c r="H445" s="146"/>
      <c r="I445" s="146"/>
      <c r="J445" s="146"/>
      <c r="K445" s="146"/>
      <c r="L445" s="146"/>
      <c r="M445" s="146"/>
      <c r="N445" s="146"/>
      <c r="O445" s="146"/>
      <c r="P445" s="146"/>
    </row>
    <row r="446" spans="2:16" x14ac:dyDescent="0.2">
      <c r="B446" s="146"/>
      <c r="C446" s="146"/>
      <c r="D446" s="146"/>
      <c r="E446" s="146"/>
      <c r="F446" s="146"/>
      <c r="G446" s="146"/>
      <c r="H446" s="146"/>
      <c r="I446" s="146"/>
      <c r="J446" s="146"/>
      <c r="K446" s="146"/>
      <c r="L446" s="146"/>
      <c r="M446" s="146"/>
      <c r="N446" s="146"/>
      <c r="O446" s="146"/>
      <c r="P446" s="146"/>
    </row>
    <row r="447" spans="2:16" x14ac:dyDescent="0.2">
      <c r="B447" s="146"/>
      <c r="C447" s="146"/>
      <c r="D447" s="146"/>
      <c r="E447" s="146"/>
      <c r="F447" s="146"/>
      <c r="G447" s="146"/>
      <c r="H447" s="146"/>
      <c r="I447" s="146"/>
      <c r="J447" s="146"/>
      <c r="K447" s="146"/>
      <c r="L447" s="146"/>
      <c r="M447" s="146"/>
      <c r="N447" s="146"/>
      <c r="O447" s="146"/>
      <c r="P447" s="146"/>
    </row>
    <row r="448" spans="2:16" x14ac:dyDescent="0.2">
      <c r="B448" s="146"/>
      <c r="C448" s="146"/>
      <c r="D448" s="146"/>
      <c r="E448" s="146"/>
      <c r="F448" s="146"/>
      <c r="G448" s="146"/>
      <c r="H448" s="146"/>
      <c r="I448" s="146"/>
      <c r="J448" s="146"/>
      <c r="K448" s="146"/>
      <c r="L448" s="146"/>
      <c r="M448" s="146"/>
      <c r="N448" s="146"/>
      <c r="O448" s="146"/>
      <c r="P448" s="146"/>
    </row>
    <row r="449" spans="2:16" x14ac:dyDescent="0.2">
      <c r="B449" s="146"/>
      <c r="C449" s="146"/>
      <c r="D449" s="146"/>
      <c r="E449" s="146"/>
      <c r="F449" s="146"/>
      <c r="G449" s="146"/>
      <c r="H449" s="146"/>
      <c r="I449" s="146"/>
      <c r="J449" s="146"/>
      <c r="K449" s="146"/>
      <c r="L449" s="146"/>
      <c r="M449" s="146"/>
      <c r="N449" s="146"/>
      <c r="O449" s="146"/>
      <c r="P449" s="146"/>
    </row>
    <row r="450" spans="2:16" x14ac:dyDescent="0.2">
      <c r="B450" s="146"/>
      <c r="C450" s="146"/>
      <c r="D450" s="146"/>
      <c r="E450" s="146"/>
      <c r="F450" s="146"/>
      <c r="G450" s="146"/>
      <c r="H450" s="146"/>
      <c r="I450" s="146"/>
      <c r="J450" s="146"/>
      <c r="K450" s="146"/>
      <c r="L450" s="146"/>
      <c r="M450" s="146"/>
      <c r="N450" s="146"/>
      <c r="O450" s="146"/>
      <c r="P450" s="146"/>
    </row>
    <row r="451" spans="2:16" x14ac:dyDescent="0.2">
      <c r="B451" s="146"/>
      <c r="C451" s="146"/>
      <c r="D451" s="146"/>
      <c r="E451" s="146"/>
      <c r="F451" s="146"/>
      <c r="G451" s="146"/>
      <c r="H451" s="146"/>
      <c r="I451" s="146"/>
      <c r="J451" s="146"/>
      <c r="K451" s="146"/>
      <c r="L451" s="146"/>
      <c r="M451" s="146"/>
      <c r="N451" s="146"/>
      <c r="O451" s="146"/>
      <c r="P451" s="146"/>
    </row>
    <row r="452" spans="2:16" x14ac:dyDescent="0.2">
      <c r="B452" s="146"/>
      <c r="C452" s="146"/>
      <c r="D452" s="146"/>
      <c r="E452" s="146"/>
      <c r="F452" s="146"/>
      <c r="G452" s="146"/>
      <c r="H452" s="146"/>
      <c r="I452" s="146"/>
      <c r="J452" s="146"/>
      <c r="K452" s="146"/>
      <c r="L452" s="146"/>
      <c r="M452" s="146"/>
      <c r="N452" s="146"/>
      <c r="O452" s="146"/>
      <c r="P452" s="146"/>
    </row>
    <row r="453" spans="2:16" x14ac:dyDescent="0.2">
      <c r="B453" s="146"/>
      <c r="C453" s="146"/>
      <c r="D453" s="146"/>
      <c r="E453" s="146"/>
      <c r="F453" s="146"/>
      <c r="G453" s="146"/>
      <c r="H453" s="146"/>
      <c r="I453" s="146"/>
      <c r="J453" s="146"/>
      <c r="K453" s="146"/>
      <c r="L453" s="146"/>
      <c r="M453" s="146"/>
      <c r="N453" s="146"/>
      <c r="O453" s="146"/>
      <c r="P453" s="146"/>
    </row>
    <row r="454" spans="2:16" x14ac:dyDescent="0.2">
      <c r="B454" s="146"/>
      <c r="C454" s="146"/>
      <c r="D454" s="146"/>
      <c r="E454" s="146"/>
      <c r="F454" s="146"/>
      <c r="G454" s="146"/>
      <c r="H454" s="146"/>
      <c r="I454" s="146"/>
      <c r="J454" s="146"/>
      <c r="K454" s="146"/>
      <c r="L454" s="146"/>
      <c r="M454" s="146"/>
      <c r="N454" s="146"/>
      <c r="O454" s="146"/>
      <c r="P454" s="146"/>
    </row>
    <row r="455" spans="2:16" x14ac:dyDescent="0.2">
      <c r="B455" s="146"/>
      <c r="C455" s="146"/>
      <c r="D455" s="146"/>
      <c r="E455" s="146"/>
      <c r="F455" s="146"/>
      <c r="G455" s="146"/>
      <c r="H455" s="146"/>
      <c r="I455" s="146"/>
      <c r="J455" s="146"/>
      <c r="K455" s="146"/>
      <c r="L455" s="146"/>
      <c r="M455" s="146"/>
      <c r="N455" s="146"/>
      <c r="O455" s="146"/>
      <c r="P455" s="146"/>
    </row>
    <row r="456" spans="2:16" x14ac:dyDescent="0.2">
      <c r="B456" s="146"/>
      <c r="C456" s="146"/>
      <c r="D456" s="146"/>
      <c r="E456" s="146"/>
      <c r="F456" s="146"/>
      <c r="G456" s="146"/>
      <c r="H456" s="146"/>
      <c r="I456" s="146"/>
      <c r="J456" s="146"/>
      <c r="K456" s="146"/>
      <c r="L456" s="146"/>
      <c r="M456" s="146"/>
      <c r="N456" s="146"/>
      <c r="O456" s="146"/>
      <c r="P456" s="146"/>
    </row>
    <row r="457" spans="2:16" x14ac:dyDescent="0.2">
      <c r="B457" s="146"/>
      <c r="C457" s="146"/>
      <c r="D457" s="146"/>
      <c r="E457" s="146"/>
      <c r="F457" s="146"/>
      <c r="G457" s="146"/>
      <c r="H457" s="146"/>
      <c r="I457" s="146"/>
      <c r="J457" s="146"/>
      <c r="K457" s="146"/>
      <c r="L457" s="146"/>
      <c r="M457" s="146"/>
      <c r="N457" s="146"/>
      <c r="O457" s="146"/>
      <c r="P457" s="146"/>
    </row>
    <row r="458" spans="2:16" x14ac:dyDescent="0.2">
      <c r="B458" s="146"/>
      <c r="C458" s="146"/>
      <c r="D458" s="146"/>
      <c r="E458" s="146"/>
      <c r="F458" s="146"/>
      <c r="G458" s="146"/>
      <c r="H458" s="146"/>
      <c r="I458" s="146"/>
      <c r="J458" s="146"/>
      <c r="K458" s="146"/>
      <c r="L458" s="146"/>
      <c r="M458" s="146"/>
      <c r="N458" s="146"/>
      <c r="O458" s="146"/>
      <c r="P458" s="146"/>
    </row>
    <row r="459" spans="2:16" x14ac:dyDescent="0.2">
      <c r="B459" s="146"/>
      <c r="C459" s="146"/>
      <c r="D459" s="146"/>
      <c r="E459" s="146"/>
      <c r="F459" s="146"/>
      <c r="G459" s="146"/>
      <c r="H459" s="146"/>
      <c r="I459" s="146"/>
      <c r="J459" s="146"/>
      <c r="K459" s="146"/>
      <c r="L459" s="146"/>
      <c r="M459" s="146"/>
      <c r="N459" s="146"/>
      <c r="O459" s="146"/>
      <c r="P459" s="146"/>
    </row>
    <row r="460" spans="2:16" x14ac:dyDescent="0.2">
      <c r="B460" s="146"/>
      <c r="C460" s="146"/>
      <c r="D460" s="146"/>
      <c r="E460" s="146"/>
      <c r="F460" s="146"/>
      <c r="G460" s="146"/>
      <c r="H460" s="146"/>
      <c r="I460" s="146"/>
      <c r="J460" s="146"/>
      <c r="K460" s="146"/>
      <c r="L460" s="146"/>
      <c r="M460" s="146"/>
      <c r="N460" s="146"/>
      <c r="O460" s="146"/>
      <c r="P460" s="146"/>
    </row>
    <row r="461" spans="2:16" x14ac:dyDescent="0.2">
      <c r="B461" s="146"/>
      <c r="C461" s="146"/>
      <c r="D461" s="146"/>
      <c r="E461" s="146"/>
      <c r="F461" s="146"/>
      <c r="G461" s="146"/>
      <c r="H461" s="146"/>
      <c r="I461" s="146"/>
      <c r="J461" s="146"/>
      <c r="K461" s="146"/>
      <c r="L461" s="146"/>
      <c r="M461" s="146"/>
      <c r="N461" s="146"/>
      <c r="O461" s="146"/>
      <c r="P461" s="146"/>
    </row>
    <row r="462" spans="2:16" x14ac:dyDescent="0.2">
      <c r="B462" s="146"/>
      <c r="C462" s="146"/>
      <c r="D462" s="146"/>
      <c r="E462" s="146"/>
      <c r="F462" s="146"/>
      <c r="G462" s="146"/>
      <c r="H462" s="146"/>
      <c r="I462" s="146"/>
      <c r="J462" s="146"/>
      <c r="K462" s="146"/>
      <c r="L462" s="146"/>
      <c r="M462" s="146"/>
      <c r="N462" s="146"/>
      <c r="O462" s="146"/>
      <c r="P462" s="146"/>
    </row>
    <row r="463" spans="2:16" x14ac:dyDescent="0.2">
      <c r="B463" s="146"/>
      <c r="C463" s="146"/>
      <c r="D463" s="146"/>
      <c r="E463" s="146"/>
      <c r="F463" s="146"/>
      <c r="G463" s="146"/>
      <c r="H463" s="146"/>
      <c r="I463" s="146"/>
      <c r="J463" s="146"/>
      <c r="K463" s="146"/>
      <c r="L463" s="146"/>
      <c r="M463" s="146"/>
      <c r="N463" s="146"/>
      <c r="O463" s="146"/>
      <c r="P463" s="146"/>
    </row>
    <row r="464" spans="2:16" x14ac:dyDescent="0.2">
      <c r="B464" s="146"/>
      <c r="C464" s="146"/>
      <c r="D464" s="146"/>
      <c r="E464" s="146"/>
      <c r="F464" s="146"/>
      <c r="G464" s="146"/>
      <c r="H464" s="146"/>
      <c r="I464" s="146"/>
      <c r="J464" s="146"/>
      <c r="K464" s="146"/>
      <c r="L464" s="146"/>
      <c r="M464" s="146"/>
      <c r="N464" s="146"/>
      <c r="O464" s="146"/>
      <c r="P464" s="146"/>
    </row>
    <row r="465" spans="2:16" x14ac:dyDescent="0.2">
      <c r="B465" s="146"/>
      <c r="C465" s="146"/>
      <c r="D465" s="146"/>
      <c r="E465" s="146"/>
      <c r="F465" s="146"/>
      <c r="G465" s="146"/>
      <c r="H465" s="146"/>
      <c r="I465" s="146"/>
      <c r="J465" s="146"/>
      <c r="K465" s="146"/>
      <c r="L465" s="146"/>
      <c r="M465" s="146"/>
      <c r="N465" s="146"/>
      <c r="O465" s="146"/>
      <c r="P465" s="146"/>
    </row>
    <row r="466" spans="2:16" x14ac:dyDescent="0.2">
      <c r="B466" s="146"/>
      <c r="C466" s="146"/>
      <c r="D466" s="146"/>
      <c r="E466" s="146"/>
      <c r="F466" s="146"/>
      <c r="G466" s="146"/>
      <c r="H466" s="146"/>
      <c r="I466" s="146"/>
      <c r="J466" s="146"/>
      <c r="K466" s="146"/>
      <c r="L466" s="146"/>
      <c r="M466" s="146"/>
      <c r="N466" s="146"/>
      <c r="O466" s="146"/>
      <c r="P466" s="146"/>
    </row>
    <row r="467" spans="2:16" x14ac:dyDescent="0.2">
      <c r="B467" s="146"/>
      <c r="C467" s="146"/>
      <c r="D467" s="146"/>
      <c r="E467" s="146"/>
      <c r="F467" s="146"/>
      <c r="G467" s="146"/>
      <c r="H467" s="146"/>
      <c r="I467" s="146"/>
      <c r="J467" s="146"/>
      <c r="K467" s="146"/>
      <c r="L467" s="146"/>
      <c r="M467" s="146"/>
      <c r="N467" s="146"/>
      <c r="O467" s="146"/>
      <c r="P467" s="146"/>
    </row>
    <row r="468" spans="2:16" x14ac:dyDescent="0.2">
      <c r="B468" s="146"/>
      <c r="C468" s="146"/>
      <c r="D468" s="146"/>
      <c r="E468" s="146"/>
      <c r="F468" s="146"/>
      <c r="G468" s="146"/>
      <c r="H468" s="146"/>
      <c r="I468" s="146"/>
      <c r="J468" s="146"/>
      <c r="K468" s="146"/>
      <c r="L468" s="146"/>
      <c r="M468" s="146"/>
      <c r="N468" s="146"/>
      <c r="O468" s="146"/>
      <c r="P468" s="146"/>
    </row>
    <row r="469" spans="2:16" x14ac:dyDescent="0.2">
      <c r="B469" s="146"/>
      <c r="C469" s="146"/>
      <c r="D469" s="146"/>
      <c r="E469" s="146"/>
      <c r="F469" s="146"/>
      <c r="G469" s="146"/>
      <c r="H469" s="146"/>
      <c r="I469" s="146"/>
      <c r="J469" s="146"/>
      <c r="K469" s="146"/>
      <c r="L469" s="146"/>
      <c r="M469" s="146"/>
      <c r="N469" s="146"/>
      <c r="O469" s="146"/>
      <c r="P469" s="146"/>
    </row>
    <row r="470" spans="2:16" x14ac:dyDescent="0.2">
      <c r="B470" s="146"/>
      <c r="C470" s="146"/>
      <c r="D470" s="146"/>
      <c r="E470" s="146"/>
      <c r="F470" s="146"/>
      <c r="G470" s="146"/>
      <c r="H470" s="146"/>
      <c r="I470" s="146"/>
      <c r="J470" s="146"/>
      <c r="K470" s="146"/>
      <c r="L470" s="146"/>
      <c r="M470" s="146"/>
      <c r="N470" s="146"/>
      <c r="O470" s="146"/>
      <c r="P470" s="146"/>
    </row>
    <row r="471" spans="2:16" x14ac:dyDescent="0.2">
      <c r="B471" s="146"/>
      <c r="C471" s="146"/>
      <c r="D471" s="146"/>
      <c r="E471" s="146"/>
      <c r="F471" s="146"/>
      <c r="G471" s="146"/>
      <c r="H471" s="146"/>
      <c r="I471" s="146"/>
      <c r="J471" s="146"/>
      <c r="K471" s="146"/>
      <c r="L471" s="146"/>
      <c r="M471" s="146"/>
      <c r="N471" s="146"/>
      <c r="O471" s="146"/>
      <c r="P471" s="146"/>
    </row>
    <row r="472" spans="2:16" x14ac:dyDescent="0.2">
      <c r="B472" s="146"/>
      <c r="C472" s="146"/>
      <c r="D472" s="146"/>
      <c r="E472" s="146"/>
      <c r="F472" s="146"/>
      <c r="G472" s="146"/>
      <c r="H472" s="146"/>
      <c r="I472" s="146"/>
      <c r="J472" s="146"/>
      <c r="K472" s="146"/>
      <c r="L472" s="146"/>
      <c r="M472" s="146"/>
      <c r="N472" s="146"/>
      <c r="O472" s="146"/>
      <c r="P472" s="146"/>
    </row>
    <row r="473" spans="2:16" x14ac:dyDescent="0.2">
      <c r="B473" s="146"/>
      <c r="C473" s="146"/>
      <c r="D473" s="146"/>
      <c r="E473" s="146"/>
      <c r="F473" s="146"/>
      <c r="G473" s="146"/>
      <c r="H473" s="146"/>
      <c r="I473" s="146"/>
      <c r="J473" s="146"/>
      <c r="K473" s="146"/>
      <c r="L473" s="146"/>
      <c r="M473" s="146"/>
      <c r="N473" s="146"/>
      <c r="O473" s="146"/>
      <c r="P473" s="146"/>
    </row>
    <row r="474" spans="2:16" x14ac:dyDescent="0.2">
      <c r="B474" s="146"/>
      <c r="C474" s="146"/>
      <c r="D474" s="146"/>
      <c r="E474" s="146"/>
      <c r="F474" s="146"/>
      <c r="G474" s="146"/>
      <c r="H474" s="146"/>
      <c r="I474" s="146"/>
      <c r="J474" s="146"/>
      <c r="K474" s="146"/>
      <c r="L474" s="146"/>
      <c r="M474" s="146"/>
      <c r="N474" s="146"/>
      <c r="O474" s="146"/>
      <c r="P474" s="146"/>
    </row>
    <row r="475" spans="2:16" x14ac:dyDescent="0.2">
      <c r="B475" s="146"/>
      <c r="C475" s="146"/>
      <c r="D475" s="146"/>
      <c r="E475" s="146"/>
      <c r="F475" s="146"/>
      <c r="G475" s="146"/>
      <c r="H475" s="146"/>
      <c r="I475" s="146"/>
      <c r="J475" s="146"/>
      <c r="K475" s="146"/>
      <c r="L475" s="146"/>
      <c r="M475" s="146"/>
      <c r="N475" s="146"/>
      <c r="O475" s="146"/>
      <c r="P475" s="146"/>
    </row>
    <row r="476" spans="2:16" x14ac:dyDescent="0.2">
      <c r="B476" s="146"/>
      <c r="C476" s="146"/>
      <c r="D476" s="146"/>
      <c r="E476" s="146"/>
      <c r="F476" s="146"/>
      <c r="G476" s="146"/>
      <c r="H476" s="146"/>
      <c r="I476" s="146"/>
      <c r="J476" s="146"/>
      <c r="K476" s="146"/>
      <c r="L476" s="146"/>
      <c r="M476" s="146"/>
      <c r="N476" s="146"/>
      <c r="O476" s="146"/>
      <c r="P476" s="146"/>
    </row>
    <row r="477" spans="2:16" x14ac:dyDescent="0.2">
      <c r="B477" s="146"/>
      <c r="C477" s="146"/>
      <c r="D477" s="146"/>
      <c r="E477" s="146"/>
      <c r="F477" s="146"/>
      <c r="G477" s="146"/>
      <c r="H477" s="146"/>
      <c r="I477" s="146"/>
      <c r="J477" s="146"/>
      <c r="K477" s="146"/>
      <c r="L477" s="146"/>
      <c r="M477" s="146"/>
      <c r="N477" s="146"/>
      <c r="O477" s="146"/>
      <c r="P477" s="146"/>
    </row>
    <row r="478" spans="2:16" x14ac:dyDescent="0.2">
      <c r="B478" s="146"/>
      <c r="C478" s="146"/>
      <c r="D478" s="146"/>
      <c r="E478" s="146"/>
      <c r="F478" s="146"/>
      <c r="G478" s="146"/>
      <c r="H478" s="146"/>
      <c r="I478" s="146"/>
      <c r="J478" s="146"/>
      <c r="K478" s="146"/>
      <c r="L478" s="146"/>
      <c r="M478" s="146"/>
      <c r="N478" s="146"/>
      <c r="O478" s="146"/>
      <c r="P478" s="146"/>
    </row>
    <row r="479" spans="2:16" x14ac:dyDescent="0.2">
      <c r="B479" s="146"/>
      <c r="C479" s="146"/>
      <c r="D479" s="146"/>
      <c r="E479" s="146"/>
      <c r="F479" s="146"/>
      <c r="G479" s="146"/>
      <c r="H479" s="146"/>
      <c r="I479" s="146"/>
      <c r="J479" s="146"/>
      <c r="K479" s="146"/>
      <c r="L479" s="146"/>
      <c r="M479" s="146"/>
      <c r="N479" s="146"/>
      <c r="O479" s="146"/>
      <c r="P479" s="146"/>
    </row>
    <row r="480" spans="2:16" x14ac:dyDescent="0.2">
      <c r="B480" s="146"/>
      <c r="C480" s="146"/>
      <c r="D480" s="146"/>
      <c r="E480" s="146"/>
      <c r="F480" s="146"/>
      <c r="G480" s="146"/>
      <c r="H480" s="146"/>
      <c r="I480" s="146"/>
      <c r="J480" s="146"/>
      <c r="K480" s="146"/>
      <c r="L480" s="146"/>
      <c r="M480" s="146"/>
      <c r="N480" s="146"/>
      <c r="O480" s="146"/>
      <c r="P480" s="146"/>
    </row>
    <row r="481" spans="2:16" x14ac:dyDescent="0.2">
      <c r="B481" s="146"/>
      <c r="C481" s="146"/>
      <c r="D481" s="146"/>
      <c r="E481" s="146"/>
      <c r="F481" s="146"/>
      <c r="G481" s="146"/>
      <c r="H481" s="146"/>
      <c r="I481" s="146"/>
      <c r="J481" s="146"/>
      <c r="K481" s="146"/>
      <c r="L481" s="146"/>
      <c r="M481" s="146"/>
      <c r="N481" s="146"/>
      <c r="O481" s="146"/>
      <c r="P481" s="146"/>
    </row>
    <row r="482" spans="2:16" x14ac:dyDescent="0.2">
      <c r="B482" s="146"/>
      <c r="C482" s="146"/>
      <c r="D482" s="146"/>
      <c r="E482" s="146"/>
      <c r="F482" s="146"/>
      <c r="G482" s="146"/>
      <c r="H482" s="146"/>
      <c r="I482" s="146"/>
      <c r="J482" s="146"/>
      <c r="K482" s="146"/>
      <c r="L482" s="146"/>
      <c r="M482" s="146"/>
      <c r="N482" s="146"/>
      <c r="O482" s="146"/>
      <c r="P482" s="146"/>
    </row>
    <row r="483" spans="2:16" x14ac:dyDescent="0.2">
      <c r="B483" s="146"/>
      <c r="C483" s="146"/>
      <c r="D483" s="146"/>
      <c r="E483" s="146"/>
      <c r="F483" s="146"/>
      <c r="G483" s="146"/>
      <c r="H483" s="146"/>
      <c r="I483" s="146"/>
      <c r="J483" s="146"/>
      <c r="K483" s="146"/>
      <c r="L483" s="146"/>
      <c r="M483" s="146"/>
      <c r="N483" s="146"/>
      <c r="O483" s="146"/>
      <c r="P483" s="146"/>
    </row>
    <row r="484" spans="2:16" x14ac:dyDescent="0.2">
      <c r="B484" s="146"/>
      <c r="C484" s="146"/>
      <c r="D484" s="146"/>
      <c r="E484" s="146"/>
      <c r="F484" s="146"/>
      <c r="G484" s="146"/>
      <c r="H484" s="146"/>
      <c r="I484" s="146"/>
      <c r="J484" s="146"/>
      <c r="K484" s="146"/>
      <c r="L484" s="146"/>
      <c r="M484" s="146"/>
      <c r="N484" s="146"/>
      <c r="O484" s="146"/>
      <c r="P484" s="146"/>
    </row>
    <row r="485" spans="2:16" x14ac:dyDescent="0.2">
      <c r="B485" s="146"/>
      <c r="C485" s="146"/>
      <c r="D485" s="146"/>
      <c r="E485" s="146"/>
      <c r="F485" s="146"/>
      <c r="G485" s="146"/>
      <c r="H485" s="146"/>
      <c r="I485" s="146"/>
      <c r="J485" s="146"/>
      <c r="K485" s="146"/>
      <c r="L485" s="146"/>
      <c r="M485" s="146"/>
      <c r="N485" s="146"/>
      <c r="O485" s="146"/>
      <c r="P485" s="146"/>
    </row>
    <row r="486" spans="2:16" x14ac:dyDescent="0.2">
      <c r="B486" s="146"/>
      <c r="C486" s="146"/>
      <c r="D486" s="146"/>
      <c r="E486" s="146"/>
      <c r="F486" s="146"/>
      <c r="G486" s="146"/>
      <c r="H486" s="146"/>
      <c r="I486" s="146"/>
      <c r="J486" s="146"/>
      <c r="K486" s="146"/>
      <c r="L486" s="146"/>
      <c r="M486" s="146"/>
      <c r="N486" s="146"/>
      <c r="O486" s="146"/>
      <c r="P486" s="146"/>
    </row>
    <row r="487" spans="2:16" x14ac:dyDescent="0.2">
      <c r="B487" s="146"/>
      <c r="C487" s="146"/>
      <c r="D487" s="146"/>
      <c r="E487" s="146"/>
      <c r="F487" s="146"/>
      <c r="G487" s="146"/>
      <c r="H487" s="146"/>
      <c r="I487" s="146"/>
      <c r="J487" s="146"/>
      <c r="K487" s="146"/>
      <c r="L487" s="146"/>
      <c r="M487" s="146"/>
      <c r="N487" s="146"/>
      <c r="O487" s="146"/>
      <c r="P487" s="146"/>
    </row>
    <row r="488" spans="2:16" x14ac:dyDescent="0.2">
      <c r="B488" s="146"/>
      <c r="C488" s="146"/>
      <c r="D488" s="146"/>
      <c r="E488" s="146"/>
      <c r="F488" s="146"/>
      <c r="G488" s="146"/>
      <c r="H488" s="146"/>
      <c r="I488" s="146"/>
      <c r="J488" s="146"/>
      <c r="K488" s="146"/>
      <c r="L488" s="146"/>
      <c r="M488" s="146"/>
      <c r="N488" s="146"/>
      <c r="O488" s="146"/>
      <c r="P488" s="146"/>
    </row>
    <row r="489" spans="2:16" x14ac:dyDescent="0.2">
      <c r="B489" s="146"/>
      <c r="C489" s="146"/>
      <c r="D489" s="146"/>
      <c r="E489" s="146"/>
      <c r="F489" s="146"/>
      <c r="G489" s="146"/>
      <c r="H489" s="146"/>
      <c r="I489" s="146"/>
      <c r="J489" s="146"/>
      <c r="K489" s="146"/>
      <c r="L489" s="146"/>
      <c r="M489" s="146"/>
      <c r="N489" s="146"/>
      <c r="O489" s="146"/>
      <c r="P489" s="146"/>
    </row>
    <row r="490" spans="2:16" x14ac:dyDescent="0.2">
      <c r="B490" s="146"/>
      <c r="C490" s="146"/>
      <c r="D490" s="146"/>
      <c r="E490" s="146"/>
      <c r="F490" s="146"/>
      <c r="G490" s="146"/>
      <c r="H490" s="146"/>
      <c r="I490" s="146"/>
      <c r="J490" s="146"/>
      <c r="K490" s="146"/>
      <c r="L490" s="146"/>
      <c r="M490" s="146"/>
      <c r="N490" s="146"/>
      <c r="O490" s="146"/>
      <c r="P490" s="146"/>
    </row>
    <row r="491" spans="2:16" x14ac:dyDescent="0.2">
      <c r="B491" s="146"/>
      <c r="C491" s="146"/>
      <c r="D491" s="146"/>
      <c r="E491" s="146"/>
      <c r="F491" s="146"/>
      <c r="G491" s="146"/>
      <c r="H491" s="146"/>
      <c r="I491" s="146"/>
      <c r="J491" s="146"/>
      <c r="K491" s="146"/>
      <c r="L491" s="146"/>
      <c r="M491" s="146"/>
      <c r="N491" s="146"/>
      <c r="O491" s="146"/>
      <c r="P491" s="146"/>
    </row>
    <row r="492" spans="2:16" x14ac:dyDescent="0.2">
      <c r="B492" s="146"/>
      <c r="C492" s="146"/>
      <c r="D492" s="146"/>
      <c r="E492" s="146"/>
      <c r="F492" s="146"/>
      <c r="G492" s="146"/>
      <c r="H492" s="146"/>
      <c r="I492" s="146"/>
      <c r="J492" s="146"/>
      <c r="K492" s="146"/>
      <c r="L492" s="146"/>
      <c r="M492" s="146"/>
      <c r="N492" s="146"/>
      <c r="O492" s="146"/>
      <c r="P492" s="146"/>
    </row>
    <row r="493" spans="2:16" x14ac:dyDescent="0.2">
      <c r="B493" s="146"/>
      <c r="C493" s="146"/>
      <c r="D493" s="146"/>
      <c r="E493" s="146"/>
      <c r="F493" s="146"/>
      <c r="G493" s="146"/>
      <c r="H493" s="146"/>
      <c r="I493" s="146"/>
      <c r="J493" s="146"/>
      <c r="K493" s="146"/>
      <c r="L493" s="146"/>
      <c r="M493" s="146"/>
      <c r="N493" s="146"/>
      <c r="O493" s="146"/>
      <c r="P493" s="146"/>
    </row>
    <row r="494" spans="2:16" x14ac:dyDescent="0.2">
      <c r="B494" s="146"/>
      <c r="C494" s="146"/>
      <c r="D494" s="146"/>
      <c r="E494" s="146"/>
      <c r="F494" s="146"/>
      <c r="G494" s="146"/>
      <c r="H494" s="146"/>
      <c r="I494" s="146"/>
      <c r="J494" s="146"/>
      <c r="K494" s="146"/>
      <c r="L494" s="146"/>
      <c r="M494" s="146"/>
      <c r="N494" s="146"/>
      <c r="O494" s="146"/>
      <c r="P494" s="146"/>
    </row>
    <row r="495" spans="2:16" x14ac:dyDescent="0.2">
      <c r="B495" s="146"/>
      <c r="C495" s="146"/>
      <c r="D495" s="146"/>
      <c r="E495" s="146"/>
      <c r="F495" s="146"/>
      <c r="G495" s="146"/>
      <c r="H495" s="146"/>
      <c r="I495" s="146"/>
      <c r="J495" s="146"/>
      <c r="K495" s="146"/>
      <c r="L495" s="146"/>
      <c r="M495" s="146"/>
      <c r="N495" s="146"/>
      <c r="O495" s="146"/>
      <c r="P495" s="146"/>
    </row>
    <row r="496" spans="2:16" x14ac:dyDescent="0.2">
      <c r="B496" s="146"/>
      <c r="C496" s="146"/>
      <c r="D496" s="146"/>
      <c r="E496" s="146"/>
      <c r="F496" s="146"/>
      <c r="G496" s="146"/>
      <c r="H496" s="146"/>
      <c r="I496" s="146"/>
      <c r="J496" s="146"/>
      <c r="K496" s="146"/>
      <c r="L496" s="146"/>
      <c r="M496" s="146"/>
      <c r="N496" s="146"/>
      <c r="O496" s="146"/>
      <c r="P496" s="146"/>
    </row>
    <row r="497" spans="2:16" x14ac:dyDescent="0.2">
      <c r="B497" s="146"/>
      <c r="C497" s="146"/>
      <c r="D497" s="146"/>
      <c r="E497" s="146"/>
      <c r="F497" s="146"/>
      <c r="G497" s="146"/>
      <c r="H497" s="146"/>
      <c r="I497" s="146"/>
      <c r="J497" s="146"/>
      <c r="K497" s="146"/>
      <c r="L497" s="146"/>
      <c r="M497" s="146"/>
      <c r="N497" s="146"/>
      <c r="O497" s="146"/>
      <c r="P497" s="146"/>
    </row>
    <row r="498" spans="2:16" x14ac:dyDescent="0.2">
      <c r="B498" s="146"/>
      <c r="C498" s="146"/>
      <c r="D498" s="146"/>
      <c r="E498" s="146"/>
      <c r="F498" s="146"/>
      <c r="G498" s="146"/>
      <c r="H498" s="146"/>
      <c r="I498" s="146"/>
      <c r="J498" s="146"/>
      <c r="K498" s="146"/>
      <c r="L498" s="146"/>
      <c r="M498" s="146"/>
      <c r="N498" s="146"/>
      <c r="O498" s="146"/>
      <c r="P498" s="146"/>
    </row>
    <row r="499" spans="2:16" x14ac:dyDescent="0.2">
      <c r="B499" s="146"/>
      <c r="C499" s="146"/>
      <c r="D499" s="146"/>
      <c r="E499" s="146"/>
      <c r="F499" s="146"/>
      <c r="G499" s="146"/>
      <c r="H499" s="146"/>
      <c r="I499" s="146"/>
      <c r="J499" s="146"/>
      <c r="K499" s="146"/>
      <c r="L499" s="146"/>
      <c r="M499" s="146"/>
      <c r="N499" s="146"/>
      <c r="O499" s="146"/>
      <c r="P499" s="146"/>
    </row>
    <row r="500" spans="2:16" x14ac:dyDescent="0.2">
      <c r="B500" s="146"/>
      <c r="C500" s="146"/>
      <c r="D500" s="146"/>
      <c r="E500" s="146"/>
      <c r="F500" s="146"/>
      <c r="G500" s="146"/>
      <c r="H500" s="146"/>
      <c r="I500" s="146"/>
      <c r="J500" s="146"/>
      <c r="K500" s="146"/>
      <c r="L500" s="146"/>
      <c r="M500" s="146"/>
      <c r="N500" s="146"/>
      <c r="O500" s="146"/>
      <c r="P500" s="146"/>
    </row>
    <row r="501" spans="2:16" x14ac:dyDescent="0.2">
      <c r="B501" s="146"/>
      <c r="C501" s="146"/>
      <c r="D501" s="146"/>
      <c r="E501" s="146"/>
      <c r="F501" s="146"/>
      <c r="G501" s="146"/>
      <c r="H501" s="146"/>
      <c r="I501" s="146"/>
      <c r="J501" s="146"/>
      <c r="K501" s="146"/>
      <c r="L501" s="146"/>
      <c r="M501" s="146"/>
      <c r="N501" s="146"/>
      <c r="O501" s="146"/>
      <c r="P501" s="146"/>
    </row>
    <row r="502" spans="2:16" x14ac:dyDescent="0.2">
      <c r="B502" s="146"/>
      <c r="C502" s="146"/>
      <c r="D502" s="146"/>
      <c r="E502" s="146"/>
      <c r="F502" s="146"/>
      <c r="G502" s="146"/>
      <c r="H502" s="146"/>
      <c r="I502" s="146"/>
      <c r="J502" s="146"/>
      <c r="K502" s="146"/>
      <c r="L502" s="146"/>
      <c r="M502" s="146"/>
      <c r="N502" s="146"/>
      <c r="O502" s="146"/>
      <c r="P502" s="146"/>
    </row>
    <row r="503" spans="2:16" x14ac:dyDescent="0.2">
      <c r="B503" s="146"/>
      <c r="C503" s="146"/>
      <c r="D503" s="146"/>
      <c r="E503" s="146"/>
      <c r="F503" s="146"/>
      <c r="G503" s="146"/>
      <c r="H503" s="146"/>
      <c r="I503" s="146"/>
      <c r="J503" s="146"/>
      <c r="K503" s="146"/>
      <c r="L503" s="146"/>
      <c r="M503" s="146"/>
      <c r="N503" s="146"/>
      <c r="O503" s="146"/>
      <c r="P503" s="146"/>
    </row>
    <row r="504" spans="2:16" x14ac:dyDescent="0.2">
      <c r="B504" s="146"/>
      <c r="C504" s="146"/>
      <c r="D504" s="146"/>
      <c r="E504" s="146"/>
      <c r="F504" s="146"/>
      <c r="G504" s="146"/>
      <c r="H504" s="146"/>
      <c r="I504" s="146"/>
      <c r="J504" s="146"/>
      <c r="K504" s="146"/>
      <c r="L504" s="146"/>
      <c r="M504" s="146"/>
      <c r="N504" s="146"/>
      <c r="O504" s="146"/>
      <c r="P504" s="146"/>
    </row>
    <row r="505" spans="2:16" x14ac:dyDescent="0.2">
      <c r="B505" s="146"/>
      <c r="C505" s="146"/>
      <c r="D505" s="146"/>
      <c r="E505" s="146"/>
      <c r="F505" s="146"/>
      <c r="G505" s="146"/>
      <c r="H505" s="146"/>
      <c r="I505" s="146"/>
      <c r="J505" s="146"/>
      <c r="K505" s="146"/>
      <c r="L505" s="146"/>
      <c r="M505" s="146"/>
      <c r="N505" s="146"/>
      <c r="O505" s="146"/>
      <c r="P505" s="146"/>
    </row>
    <row r="506" spans="2:16" x14ac:dyDescent="0.2">
      <c r="B506" s="146"/>
      <c r="C506" s="146"/>
      <c r="D506" s="146"/>
      <c r="E506" s="146"/>
      <c r="F506" s="146"/>
      <c r="G506" s="146"/>
      <c r="H506" s="146"/>
      <c r="I506" s="146"/>
      <c r="J506" s="146"/>
      <c r="K506" s="146"/>
      <c r="L506" s="146"/>
      <c r="M506" s="146"/>
      <c r="N506" s="146"/>
      <c r="O506" s="146"/>
      <c r="P506" s="146"/>
    </row>
    <row r="507" spans="2:16" x14ac:dyDescent="0.2">
      <c r="B507" s="146"/>
      <c r="C507" s="146"/>
      <c r="D507" s="146"/>
      <c r="E507" s="146"/>
      <c r="F507" s="146"/>
      <c r="G507" s="146"/>
      <c r="H507" s="146"/>
      <c r="I507" s="146"/>
      <c r="J507" s="146"/>
      <c r="K507" s="146"/>
      <c r="L507" s="146"/>
      <c r="M507" s="146"/>
      <c r="N507" s="146"/>
      <c r="O507" s="146"/>
      <c r="P507" s="146"/>
    </row>
    <row r="508" spans="2:16" x14ac:dyDescent="0.2">
      <c r="B508" s="146"/>
      <c r="C508" s="146"/>
      <c r="D508" s="146"/>
      <c r="E508" s="146"/>
      <c r="F508" s="146"/>
      <c r="G508" s="146"/>
      <c r="H508" s="146"/>
      <c r="I508" s="146"/>
      <c r="J508" s="146"/>
      <c r="K508" s="146"/>
      <c r="L508" s="146"/>
      <c r="M508" s="146"/>
      <c r="N508" s="146"/>
      <c r="O508" s="146"/>
      <c r="P508" s="146"/>
    </row>
    <row r="509" spans="2:16" x14ac:dyDescent="0.2">
      <c r="B509" s="146"/>
      <c r="C509" s="146"/>
      <c r="D509" s="146"/>
      <c r="E509" s="146"/>
      <c r="F509" s="146"/>
      <c r="G509" s="146"/>
      <c r="H509" s="146"/>
      <c r="I509" s="146"/>
      <c r="J509" s="146"/>
      <c r="K509" s="146"/>
      <c r="L509" s="146"/>
      <c r="M509" s="146"/>
      <c r="N509" s="146"/>
      <c r="O509" s="146"/>
      <c r="P509" s="146"/>
    </row>
    <row r="510" spans="2:16" x14ac:dyDescent="0.2">
      <c r="B510" s="146"/>
      <c r="C510" s="146"/>
      <c r="D510" s="146"/>
      <c r="E510" s="146"/>
      <c r="F510" s="146"/>
      <c r="G510" s="146"/>
      <c r="H510" s="146"/>
      <c r="I510" s="146"/>
      <c r="J510" s="146"/>
      <c r="K510" s="146"/>
      <c r="L510" s="146"/>
      <c r="M510" s="146"/>
      <c r="N510" s="146"/>
      <c r="O510" s="146"/>
      <c r="P510" s="146"/>
    </row>
    <row r="511" spans="2:16" x14ac:dyDescent="0.2">
      <c r="B511" s="146"/>
      <c r="C511" s="146"/>
      <c r="D511" s="146"/>
      <c r="E511" s="146"/>
      <c r="F511" s="146"/>
      <c r="G511" s="146"/>
      <c r="H511" s="146"/>
      <c r="I511" s="146"/>
      <c r="J511" s="146"/>
      <c r="K511" s="146"/>
      <c r="L511" s="146"/>
      <c r="M511" s="146"/>
      <c r="N511" s="146"/>
      <c r="O511" s="146"/>
      <c r="P511" s="146"/>
    </row>
    <row r="512" spans="2:16" x14ac:dyDescent="0.2">
      <c r="B512" s="146"/>
      <c r="C512" s="146"/>
      <c r="D512" s="146"/>
      <c r="E512" s="146"/>
      <c r="F512" s="146"/>
      <c r="G512" s="146"/>
      <c r="H512" s="146"/>
      <c r="I512" s="146"/>
      <c r="J512" s="146"/>
      <c r="K512" s="146"/>
      <c r="L512" s="146"/>
      <c r="M512" s="146"/>
      <c r="N512" s="146"/>
      <c r="O512" s="146"/>
      <c r="P512" s="146"/>
    </row>
    <row r="513" spans="2:16" x14ac:dyDescent="0.2">
      <c r="B513" s="146"/>
      <c r="C513" s="146"/>
      <c r="D513" s="146"/>
      <c r="E513" s="146"/>
      <c r="F513" s="146"/>
      <c r="G513" s="146"/>
      <c r="H513" s="146"/>
      <c r="I513" s="146"/>
      <c r="J513" s="146"/>
      <c r="K513" s="146"/>
      <c r="L513" s="146"/>
      <c r="M513" s="146"/>
      <c r="N513" s="146"/>
      <c r="O513" s="146"/>
      <c r="P513" s="146"/>
    </row>
    <row r="514" spans="2:16" x14ac:dyDescent="0.2">
      <c r="B514" s="146"/>
      <c r="C514" s="146"/>
      <c r="D514" s="146"/>
      <c r="E514" s="146"/>
      <c r="F514" s="146"/>
      <c r="G514" s="146"/>
      <c r="H514" s="146"/>
      <c r="I514" s="146"/>
      <c r="J514" s="146"/>
      <c r="K514" s="146"/>
      <c r="L514" s="146"/>
      <c r="M514" s="146"/>
      <c r="N514" s="146"/>
      <c r="O514" s="146"/>
      <c r="P514" s="146"/>
    </row>
    <row r="515" spans="2:16" x14ac:dyDescent="0.2">
      <c r="B515" s="146"/>
      <c r="C515" s="146"/>
      <c r="D515" s="146"/>
      <c r="E515" s="146"/>
      <c r="F515" s="146"/>
      <c r="G515" s="146"/>
      <c r="H515" s="146"/>
      <c r="I515" s="146"/>
      <c r="J515" s="146"/>
      <c r="K515" s="146"/>
      <c r="L515" s="146"/>
      <c r="M515" s="146"/>
      <c r="N515" s="146"/>
      <c r="O515" s="146"/>
      <c r="P515" s="146"/>
    </row>
    <row r="516" spans="2:16" x14ac:dyDescent="0.2">
      <c r="B516" s="146"/>
      <c r="C516" s="146"/>
      <c r="D516" s="146"/>
      <c r="E516" s="146"/>
      <c r="F516" s="146"/>
      <c r="G516" s="146"/>
      <c r="H516" s="146"/>
      <c r="I516" s="146"/>
      <c r="J516" s="146"/>
      <c r="K516" s="146"/>
      <c r="L516" s="146"/>
      <c r="M516" s="146"/>
      <c r="N516" s="146"/>
      <c r="O516" s="146"/>
      <c r="P516" s="146"/>
    </row>
    <row r="517" spans="2:16" x14ac:dyDescent="0.2">
      <c r="B517" s="146"/>
      <c r="C517" s="146"/>
      <c r="D517" s="146"/>
      <c r="E517" s="146"/>
      <c r="F517" s="146"/>
      <c r="G517" s="146"/>
      <c r="H517" s="146"/>
      <c r="I517" s="146"/>
      <c r="J517" s="146"/>
      <c r="K517" s="146"/>
      <c r="L517" s="146"/>
      <c r="M517" s="146"/>
      <c r="N517" s="146"/>
      <c r="O517" s="146"/>
      <c r="P517" s="146"/>
    </row>
    <row r="518" spans="2:16" x14ac:dyDescent="0.2">
      <c r="B518" s="146"/>
      <c r="C518" s="146"/>
      <c r="D518" s="146"/>
      <c r="E518" s="146"/>
      <c r="F518" s="146"/>
      <c r="G518" s="146"/>
      <c r="H518" s="146"/>
      <c r="I518" s="146"/>
      <c r="J518" s="146"/>
      <c r="K518" s="146"/>
      <c r="L518" s="146"/>
      <c r="M518" s="146"/>
      <c r="N518" s="146"/>
      <c r="O518" s="146"/>
      <c r="P518" s="146"/>
    </row>
    <row r="519" spans="2:16" x14ac:dyDescent="0.2">
      <c r="B519" s="146"/>
      <c r="C519" s="146"/>
      <c r="D519" s="146"/>
      <c r="E519" s="146"/>
      <c r="F519" s="146"/>
      <c r="G519" s="146"/>
      <c r="H519" s="146"/>
      <c r="I519" s="146"/>
      <c r="J519" s="146"/>
      <c r="K519" s="146"/>
      <c r="L519" s="146"/>
      <c r="M519" s="146"/>
      <c r="N519" s="146"/>
      <c r="O519" s="146"/>
      <c r="P519" s="146"/>
    </row>
    <row r="520" spans="2:16" x14ac:dyDescent="0.2">
      <c r="B520" s="146"/>
      <c r="C520" s="146"/>
      <c r="D520" s="146"/>
      <c r="E520" s="146"/>
      <c r="F520" s="146"/>
      <c r="G520" s="146"/>
      <c r="H520" s="146"/>
      <c r="I520" s="146"/>
      <c r="J520" s="146"/>
      <c r="K520" s="146"/>
      <c r="L520" s="146"/>
      <c r="M520" s="146"/>
      <c r="N520" s="146"/>
      <c r="O520" s="146"/>
      <c r="P520" s="146"/>
    </row>
    <row r="521" spans="2:16" x14ac:dyDescent="0.2">
      <c r="B521" s="146"/>
      <c r="C521" s="146"/>
      <c r="D521" s="146"/>
      <c r="E521" s="146"/>
      <c r="F521" s="146"/>
      <c r="G521" s="146"/>
      <c r="H521" s="146"/>
      <c r="I521" s="146"/>
      <c r="J521" s="146"/>
      <c r="K521" s="146"/>
      <c r="L521" s="146"/>
      <c r="M521" s="146"/>
      <c r="N521" s="146"/>
      <c r="O521" s="146"/>
      <c r="P521" s="146"/>
    </row>
    <row r="522" spans="2:16" x14ac:dyDescent="0.2">
      <c r="B522" s="146"/>
      <c r="C522" s="146"/>
      <c r="D522" s="146"/>
      <c r="E522" s="146"/>
      <c r="F522" s="146"/>
      <c r="G522" s="146"/>
      <c r="H522" s="146"/>
      <c r="I522" s="146"/>
      <c r="J522" s="146"/>
      <c r="K522" s="146"/>
      <c r="L522" s="146"/>
      <c r="M522" s="146"/>
      <c r="N522" s="146"/>
      <c r="O522" s="146"/>
      <c r="P522" s="146"/>
    </row>
    <row r="523" spans="2:16" x14ac:dyDescent="0.2">
      <c r="B523" s="146"/>
      <c r="C523" s="146"/>
      <c r="D523" s="146"/>
      <c r="E523" s="146"/>
      <c r="F523" s="146"/>
      <c r="G523" s="146"/>
      <c r="H523" s="146"/>
      <c r="I523" s="146"/>
      <c r="J523" s="146"/>
      <c r="K523" s="146"/>
      <c r="L523" s="146"/>
      <c r="M523" s="146"/>
      <c r="N523" s="146"/>
      <c r="O523" s="146"/>
      <c r="P523" s="146"/>
    </row>
    <row r="524" spans="2:16" x14ac:dyDescent="0.2">
      <c r="B524" s="146"/>
      <c r="C524" s="146"/>
      <c r="D524" s="146"/>
      <c r="E524" s="146"/>
      <c r="F524" s="146"/>
      <c r="G524" s="146"/>
      <c r="H524" s="146"/>
      <c r="I524" s="146"/>
      <c r="J524" s="146"/>
      <c r="K524" s="146"/>
      <c r="L524" s="146"/>
      <c r="M524" s="146"/>
      <c r="N524" s="146"/>
      <c r="O524" s="146"/>
      <c r="P524" s="146"/>
    </row>
    <row r="525" spans="2:16" x14ac:dyDescent="0.2">
      <c r="B525" s="146"/>
      <c r="C525" s="146"/>
      <c r="D525" s="146"/>
      <c r="E525" s="146"/>
      <c r="F525" s="146"/>
      <c r="G525" s="146"/>
      <c r="H525" s="146"/>
      <c r="I525" s="146"/>
      <c r="J525" s="146"/>
      <c r="K525" s="146"/>
      <c r="L525" s="146"/>
      <c r="M525" s="146"/>
      <c r="N525" s="146"/>
      <c r="O525" s="146"/>
      <c r="P525" s="146"/>
    </row>
    <row r="526" spans="2:16" x14ac:dyDescent="0.2">
      <c r="B526" s="146"/>
      <c r="C526" s="146"/>
      <c r="D526" s="146"/>
      <c r="E526" s="146"/>
      <c r="F526" s="146"/>
      <c r="G526" s="146"/>
      <c r="H526" s="146"/>
      <c r="I526" s="146"/>
      <c r="J526" s="146"/>
      <c r="K526" s="146"/>
      <c r="L526" s="146"/>
      <c r="M526" s="146"/>
      <c r="N526" s="146"/>
      <c r="O526" s="146"/>
      <c r="P526" s="146"/>
    </row>
    <row r="527" spans="2:16" x14ac:dyDescent="0.2">
      <c r="B527" s="146"/>
      <c r="C527" s="146"/>
      <c r="D527" s="146"/>
      <c r="E527" s="146"/>
      <c r="F527" s="146"/>
      <c r="G527" s="146"/>
      <c r="H527" s="146"/>
      <c r="I527" s="146"/>
      <c r="J527" s="146"/>
      <c r="K527" s="146"/>
      <c r="L527" s="146"/>
      <c r="M527" s="146"/>
      <c r="N527" s="146"/>
      <c r="O527" s="146"/>
      <c r="P527" s="146"/>
    </row>
    <row r="528" spans="2:16" x14ac:dyDescent="0.2">
      <c r="B528" s="146"/>
      <c r="C528" s="146"/>
      <c r="D528" s="146"/>
      <c r="E528" s="146"/>
      <c r="F528" s="146"/>
      <c r="G528" s="146"/>
      <c r="H528" s="146"/>
      <c r="I528" s="146"/>
      <c r="J528" s="146"/>
      <c r="K528" s="146"/>
      <c r="L528" s="146"/>
      <c r="M528" s="146"/>
      <c r="N528" s="146"/>
      <c r="O528" s="146"/>
      <c r="P528" s="146"/>
    </row>
    <row r="529" spans="2:16" x14ac:dyDescent="0.2">
      <c r="B529" s="146"/>
      <c r="C529" s="146"/>
      <c r="D529" s="146"/>
      <c r="E529" s="146"/>
      <c r="F529" s="146"/>
      <c r="G529" s="146"/>
      <c r="H529" s="146"/>
      <c r="I529" s="146"/>
      <c r="J529" s="146"/>
      <c r="K529" s="146"/>
      <c r="L529" s="146"/>
      <c r="M529" s="146"/>
      <c r="N529" s="146"/>
      <c r="O529" s="146"/>
      <c r="P529" s="146"/>
    </row>
    <row r="530" spans="2:16" x14ac:dyDescent="0.2">
      <c r="B530" s="146"/>
      <c r="C530" s="146"/>
      <c r="D530" s="146"/>
      <c r="E530" s="146"/>
      <c r="F530" s="146"/>
      <c r="G530" s="146"/>
      <c r="H530" s="146"/>
      <c r="I530" s="146"/>
      <c r="J530" s="146"/>
      <c r="K530" s="146"/>
      <c r="L530" s="146"/>
      <c r="M530" s="146"/>
      <c r="N530" s="146"/>
      <c r="O530" s="146"/>
      <c r="P530" s="146"/>
    </row>
    <row r="531" spans="2:16" x14ac:dyDescent="0.2">
      <c r="B531" s="146"/>
      <c r="C531" s="146"/>
      <c r="D531" s="146"/>
      <c r="E531" s="146"/>
      <c r="F531" s="146"/>
      <c r="G531" s="146"/>
      <c r="H531" s="146"/>
      <c r="I531" s="146"/>
      <c r="J531" s="146"/>
      <c r="K531" s="146"/>
      <c r="L531" s="146"/>
      <c r="M531" s="146"/>
      <c r="N531" s="146"/>
      <c r="O531" s="146"/>
      <c r="P531" s="146"/>
    </row>
    <row r="532" spans="2:16" x14ac:dyDescent="0.2">
      <c r="B532" s="146"/>
      <c r="C532" s="146"/>
      <c r="D532" s="146"/>
      <c r="E532" s="146"/>
      <c r="F532" s="146"/>
      <c r="G532" s="146"/>
      <c r="H532" s="146"/>
      <c r="I532" s="146"/>
      <c r="J532" s="146"/>
      <c r="K532" s="146"/>
      <c r="L532" s="146"/>
      <c r="M532" s="146"/>
      <c r="N532" s="146"/>
      <c r="O532" s="146"/>
      <c r="P532" s="146"/>
    </row>
    <row r="533" spans="2:16" x14ac:dyDescent="0.2">
      <c r="B533" s="146"/>
      <c r="C533" s="146"/>
      <c r="D533" s="146"/>
      <c r="E533" s="146"/>
      <c r="F533" s="146"/>
      <c r="G533" s="146"/>
      <c r="H533" s="146"/>
      <c r="I533" s="146"/>
      <c r="J533" s="146"/>
      <c r="K533" s="146"/>
      <c r="L533" s="146"/>
      <c r="M533" s="146"/>
      <c r="N533" s="146"/>
      <c r="O533" s="146"/>
      <c r="P533" s="146"/>
    </row>
    <row r="534" spans="2:16" x14ac:dyDescent="0.2">
      <c r="B534" s="146"/>
      <c r="C534" s="146"/>
      <c r="D534" s="146"/>
      <c r="E534" s="146"/>
      <c r="F534" s="146"/>
      <c r="G534" s="146"/>
      <c r="H534" s="146"/>
      <c r="I534" s="146"/>
      <c r="J534" s="146"/>
      <c r="K534" s="146"/>
      <c r="L534" s="146"/>
      <c r="M534" s="146"/>
      <c r="N534" s="146"/>
      <c r="O534" s="146"/>
      <c r="P534" s="146"/>
    </row>
    <row r="535" spans="2:16" x14ac:dyDescent="0.2">
      <c r="B535" s="146"/>
      <c r="C535" s="146"/>
      <c r="D535" s="146"/>
      <c r="E535" s="146"/>
      <c r="F535" s="146"/>
      <c r="G535" s="146"/>
      <c r="H535" s="146"/>
      <c r="I535" s="146"/>
      <c r="J535" s="146"/>
      <c r="K535" s="146"/>
      <c r="L535" s="146"/>
      <c r="M535" s="146"/>
      <c r="N535" s="146"/>
      <c r="O535" s="146"/>
      <c r="P535" s="146"/>
    </row>
    <row r="536" spans="2:16" x14ac:dyDescent="0.2">
      <c r="B536" s="146"/>
      <c r="C536" s="146"/>
      <c r="D536" s="146"/>
      <c r="E536" s="146"/>
      <c r="F536" s="146"/>
      <c r="G536" s="146"/>
      <c r="H536" s="146"/>
      <c r="I536" s="146"/>
      <c r="J536" s="146"/>
      <c r="K536" s="146"/>
      <c r="L536" s="146"/>
      <c r="M536" s="146"/>
      <c r="N536" s="146"/>
      <c r="O536" s="146"/>
      <c r="P536" s="146"/>
    </row>
    <row r="537" spans="2:16" x14ac:dyDescent="0.2">
      <c r="B537" s="146"/>
      <c r="C537" s="146"/>
      <c r="D537" s="146"/>
      <c r="E537" s="146"/>
      <c r="F537" s="146"/>
      <c r="G537" s="146"/>
      <c r="H537" s="146"/>
      <c r="I537" s="146"/>
      <c r="J537" s="146"/>
      <c r="K537" s="146"/>
      <c r="L537" s="146"/>
      <c r="M537" s="146"/>
      <c r="N537" s="146"/>
      <c r="O537" s="146"/>
      <c r="P537" s="146"/>
    </row>
    <row r="538" spans="2:16" x14ac:dyDescent="0.2">
      <c r="B538" s="146"/>
      <c r="C538" s="146"/>
      <c r="D538" s="146"/>
      <c r="E538" s="146"/>
      <c r="F538" s="146"/>
      <c r="G538" s="146"/>
      <c r="H538" s="146"/>
      <c r="I538" s="146"/>
      <c r="J538" s="146"/>
      <c r="K538" s="146"/>
      <c r="L538" s="146"/>
      <c r="M538" s="146"/>
      <c r="N538" s="146"/>
      <c r="O538" s="146"/>
      <c r="P538" s="146"/>
    </row>
    <row r="539" spans="2:16" x14ac:dyDescent="0.2">
      <c r="B539" s="146"/>
      <c r="C539" s="146"/>
      <c r="D539" s="146"/>
      <c r="E539" s="146"/>
      <c r="F539" s="146"/>
      <c r="G539" s="146"/>
      <c r="H539" s="146"/>
      <c r="I539" s="146"/>
      <c r="J539" s="146"/>
      <c r="K539" s="146"/>
      <c r="L539" s="146"/>
      <c r="M539" s="146"/>
      <c r="N539" s="146"/>
      <c r="O539" s="146"/>
      <c r="P539" s="146"/>
    </row>
    <row r="540" spans="2:16" x14ac:dyDescent="0.2">
      <c r="B540" s="146"/>
      <c r="C540" s="146"/>
      <c r="D540" s="146"/>
      <c r="E540" s="146"/>
      <c r="F540" s="146"/>
      <c r="G540" s="146"/>
      <c r="H540" s="146"/>
      <c r="I540" s="146"/>
      <c r="J540" s="146"/>
      <c r="K540" s="146"/>
      <c r="L540" s="146"/>
      <c r="M540" s="146"/>
      <c r="N540" s="146"/>
      <c r="O540" s="146"/>
      <c r="P540" s="146"/>
    </row>
    <row r="541" spans="2:16" x14ac:dyDescent="0.2">
      <c r="B541" s="146"/>
      <c r="C541" s="146"/>
      <c r="D541" s="146"/>
      <c r="E541" s="146"/>
      <c r="F541" s="146"/>
      <c r="G541" s="146"/>
      <c r="H541" s="146"/>
      <c r="I541" s="146"/>
      <c r="J541" s="146"/>
      <c r="K541" s="146"/>
      <c r="L541" s="146"/>
      <c r="M541" s="146"/>
      <c r="N541" s="146"/>
      <c r="O541" s="146"/>
      <c r="P541" s="146"/>
    </row>
    <row r="542" spans="2:16" x14ac:dyDescent="0.2">
      <c r="B542" s="146"/>
      <c r="C542" s="146"/>
      <c r="D542" s="146"/>
      <c r="E542" s="146"/>
      <c r="F542" s="146"/>
      <c r="G542" s="146"/>
      <c r="H542" s="146"/>
      <c r="I542" s="146"/>
      <c r="J542" s="146"/>
      <c r="K542" s="146"/>
      <c r="L542" s="146"/>
      <c r="M542" s="146"/>
      <c r="N542" s="146"/>
      <c r="O542" s="146"/>
      <c r="P542" s="146"/>
    </row>
    <row r="543" spans="2:16" x14ac:dyDescent="0.2">
      <c r="B543" s="146"/>
      <c r="C543" s="146"/>
      <c r="D543" s="146"/>
      <c r="E543" s="146"/>
      <c r="F543" s="146"/>
      <c r="G543" s="146"/>
      <c r="H543" s="146"/>
      <c r="I543" s="146"/>
      <c r="J543" s="146"/>
      <c r="K543" s="146"/>
      <c r="L543" s="146"/>
      <c r="M543" s="146"/>
      <c r="N543" s="146"/>
      <c r="O543" s="146"/>
      <c r="P543" s="146"/>
    </row>
    <row r="544" spans="2:16" x14ac:dyDescent="0.2">
      <c r="B544" s="146"/>
      <c r="C544" s="146"/>
      <c r="D544" s="146"/>
      <c r="E544" s="146"/>
      <c r="F544" s="146"/>
      <c r="G544" s="146"/>
      <c r="H544" s="146"/>
      <c r="I544" s="146"/>
      <c r="J544" s="146"/>
      <c r="K544" s="146"/>
      <c r="L544" s="146"/>
      <c r="M544" s="146"/>
      <c r="N544" s="146"/>
      <c r="O544" s="146"/>
      <c r="P544" s="146"/>
    </row>
    <row r="545" spans="2:16" x14ac:dyDescent="0.2">
      <c r="B545" s="146"/>
      <c r="C545" s="146"/>
      <c r="D545" s="146"/>
      <c r="E545" s="146"/>
      <c r="F545" s="146"/>
      <c r="G545" s="146"/>
      <c r="H545" s="146"/>
      <c r="I545" s="146"/>
      <c r="J545" s="146"/>
      <c r="K545" s="146"/>
      <c r="L545" s="146"/>
      <c r="M545" s="146"/>
      <c r="N545" s="146"/>
      <c r="O545" s="146"/>
      <c r="P545" s="146"/>
    </row>
    <row r="546" spans="2:16" x14ac:dyDescent="0.2">
      <c r="B546" s="146"/>
      <c r="C546" s="146"/>
      <c r="D546" s="146"/>
      <c r="E546" s="146"/>
      <c r="F546" s="146"/>
      <c r="G546" s="146"/>
      <c r="H546" s="146"/>
      <c r="I546" s="146"/>
      <c r="J546" s="146"/>
      <c r="K546" s="146"/>
      <c r="L546" s="146"/>
      <c r="M546" s="146"/>
      <c r="N546" s="146"/>
      <c r="O546" s="146"/>
      <c r="P546" s="146"/>
    </row>
    <row r="547" spans="2:16" x14ac:dyDescent="0.2">
      <c r="B547" s="146"/>
      <c r="C547" s="146"/>
      <c r="D547" s="146"/>
      <c r="E547" s="146"/>
      <c r="F547" s="146"/>
      <c r="G547" s="146"/>
      <c r="H547" s="146"/>
      <c r="I547" s="146"/>
      <c r="J547" s="146"/>
      <c r="K547" s="146"/>
      <c r="L547" s="146"/>
      <c r="M547" s="146"/>
      <c r="N547" s="146"/>
      <c r="O547" s="146"/>
      <c r="P547" s="146"/>
    </row>
    <row r="548" spans="2:16" x14ac:dyDescent="0.2">
      <c r="B548" s="146"/>
      <c r="C548" s="146"/>
      <c r="D548" s="146"/>
      <c r="E548" s="146"/>
      <c r="F548" s="146"/>
      <c r="G548" s="146"/>
      <c r="H548" s="146"/>
      <c r="I548" s="146"/>
      <c r="J548" s="146"/>
      <c r="K548" s="146"/>
      <c r="L548" s="146"/>
      <c r="M548" s="146"/>
      <c r="N548" s="146"/>
      <c r="O548" s="146"/>
      <c r="P548" s="146"/>
    </row>
    <row r="549" spans="2:16" x14ac:dyDescent="0.2">
      <c r="B549" s="146"/>
      <c r="C549" s="146"/>
      <c r="D549" s="146"/>
      <c r="E549" s="146"/>
      <c r="F549" s="146"/>
      <c r="G549" s="146"/>
      <c r="H549" s="146"/>
      <c r="I549" s="146"/>
      <c r="J549" s="146"/>
      <c r="K549" s="146"/>
      <c r="L549" s="146"/>
      <c r="M549" s="146"/>
      <c r="N549" s="146"/>
      <c r="O549" s="146"/>
      <c r="P549" s="146"/>
    </row>
    <row r="550" spans="2:16" x14ac:dyDescent="0.2">
      <c r="B550" s="146"/>
      <c r="C550" s="146"/>
      <c r="D550" s="146"/>
      <c r="E550" s="146"/>
      <c r="F550" s="146"/>
      <c r="G550" s="146"/>
      <c r="H550" s="146"/>
      <c r="I550" s="146"/>
      <c r="J550" s="146"/>
      <c r="K550" s="146"/>
      <c r="L550" s="146"/>
      <c r="M550" s="146"/>
      <c r="N550" s="146"/>
      <c r="O550" s="146"/>
      <c r="P550" s="146"/>
    </row>
    <row r="551" spans="2:16" x14ac:dyDescent="0.2">
      <c r="B551" s="146"/>
      <c r="C551" s="146"/>
      <c r="D551" s="146"/>
      <c r="E551" s="146"/>
      <c r="F551" s="146"/>
      <c r="G551" s="146"/>
      <c r="H551" s="146"/>
      <c r="I551" s="146"/>
      <c r="J551" s="146"/>
      <c r="K551" s="146"/>
      <c r="L551" s="146"/>
      <c r="M551" s="146"/>
      <c r="N551" s="146"/>
      <c r="O551" s="146"/>
      <c r="P551" s="146"/>
    </row>
    <row r="552" spans="2:16" x14ac:dyDescent="0.2">
      <c r="B552" s="146"/>
      <c r="C552" s="146"/>
      <c r="D552" s="146"/>
      <c r="E552" s="146"/>
      <c r="F552" s="146"/>
      <c r="G552" s="146"/>
      <c r="H552" s="146"/>
      <c r="I552" s="146"/>
      <c r="J552" s="146"/>
      <c r="K552" s="146"/>
      <c r="L552" s="146"/>
      <c r="M552" s="146"/>
      <c r="N552" s="146"/>
      <c r="O552" s="146"/>
      <c r="P552" s="146"/>
    </row>
    <row r="553" spans="2:16" x14ac:dyDescent="0.2">
      <c r="B553" s="146"/>
      <c r="C553" s="146"/>
      <c r="D553" s="146"/>
      <c r="E553" s="146"/>
      <c r="F553" s="146"/>
      <c r="G553" s="146"/>
      <c r="H553" s="146"/>
      <c r="I553" s="146"/>
      <c r="J553" s="146"/>
      <c r="K553" s="146"/>
      <c r="L553" s="146"/>
      <c r="M553" s="146"/>
      <c r="N553" s="146"/>
      <c r="O553" s="146"/>
      <c r="P553" s="146"/>
    </row>
    <row r="554" spans="2:16" x14ac:dyDescent="0.2">
      <c r="B554" s="146"/>
      <c r="C554" s="146"/>
      <c r="D554" s="146"/>
      <c r="E554" s="146"/>
      <c r="F554" s="146"/>
      <c r="G554" s="146"/>
      <c r="H554" s="146"/>
      <c r="I554" s="146"/>
      <c r="J554" s="146"/>
      <c r="K554" s="146"/>
      <c r="L554" s="146"/>
      <c r="M554" s="146"/>
      <c r="N554" s="146"/>
      <c r="O554" s="146"/>
      <c r="P554" s="146"/>
    </row>
    <row r="555" spans="2:16" x14ac:dyDescent="0.2">
      <c r="B555" s="146"/>
      <c r="C555" s="146"/>
      <c r="D555" s="146"/>
      <c r="E555" s="146"/>
      <c r="F555" s="146"/>
      <c r="G555" s="146"/>
      <c r="H555" s="146"/>
      <c r="I555" s="146"/>
      <c r="J555" s="146"/>
      <c r="K555" s="146"/>
      <c r="L555" s="146"/>
      <c r="M555" s="146"/>
      <c r="N555" s="146"/>
      <c r="O555" s="146"/>
      <c r="P555" s="146"/>
    </row>
    <row r="556" spans="2:16" x14ac:dyDescent="0.2">
      <c r="B556" s="146"/>
      <c r="C556" s="146"/>
      <c r="D556" s="146"/>
      <c r="E556" s="146"/>
      <c r="F556" s="146"/>
      <c r="G556" s="146"/>
      <c r="H556" s="146"/>
      <c r="I556" s="146"/>
      <c r="J556" s="146"/>
      <c r="K556" s="146"/>
      <c r="L556" s="146"/>
      <c r="M556" s="146"/>
      <c r="N556" s="146"/>
      <c r="O556" s="146"/>
      <c r="P556" s="146"/>
    </row>
    <row r="557" spans="2:16" x14ac:dyDescent="0.2">
      <c r="B557" s="146"/>
      <c r="C557" s="146"/>
      <c r="D557" s="146"/>
      <c r="E557" s="146"/>
      <c r="F557" s="146"/>
      <c r="G557" s="146"/>
      <c r="H557" s="146"/>
      <c r="I557" s="146"/>
      <c r="J557" s="146"/>
      <c r="K557" s="146"/>
      <c r="L557" s="146"/>
      <c r="M557" s="146"/>
      <c r="N557" s="146"/>
      <c r="O557" s="146"/>
      <c r="P557" s="146"/>
    </row>
    <row r="558" spans="2:16" x14ac:dyDescent="0.2">
      <c r="B558" s="146"/>
      <c r="C558" s="146"/>
      <c r="D558" s="146"/>
      <c r="E558" s="146"/>
      <c r="F558" s="146"/>
      <c r="G558" s="146"/>
      <c r="H558" s="146"/>
      <c r="I558" s="146"/>
      <c r="J558" s="146"/>
      <c r="K558" s="146"/>
      <c r="L558" s="146"/>
      <c r="M558" s="146"/>
      <c r="N558" s="146"/>
      <c r="O558" s="146"/>
      <c r="P558" s="146"/>
    </row>
    <row r="559" spans="2:16" x14ac:dyDescent="0.2">
      <c r="B559" s="146"/>
      <c r="C559" s="146"/>
      <c r="D559" s="146"/>
      <c r="E559" s="146"/>
      <c r="F559" s="146"/>
      <c r="G559" s="146"/>
      <c r="H559" s="146"/>
      <c r="I559" s="146"/>
      <c r="J559" s="146"/>
      <c r="K559" s="146"/>
      <c r="L559" s="146"/>
      <c r="M559" s="146"/>
      <c r="N559" s="146"/>
      <c r="O559" s="146"/>
      <c r="P559" s="146"/>
    </row>
    <row r="560" spans="2:16" x14ac:dyDescent="0.2">
      <c r="B560" s="146"/>
      <c r="C560" s="146"/>
      <c r="D560" s="146"/>
      <c r="E560" s="146"/>
      <c r="F560" s="146"/>
      <c r="G560" s="146"/>
      <c r="H560" s="146"/>
      <c r="I560" s="146"/>
      <c r="J560" s="146"/>
      <c r="K560" s="146"/>
      <c r="L560" s="146"/>
      <c r="M560" s="146"/>
      <c r="N560" s="146"/>
      <c r="O560" s="146"/>
      <c r="P560" s="146"/>
    </row>
    <row r="561" spans="2:16" x14ac:dyDescent="0.2">
      <c r="B561" s="146"/>
      <c r="C561" s="146"/>
      <c r="D561" s="146"/>
      <c r="E561" s="146"/>
      <c r="F561" s="146"/>
      <c r="G561" s="146"/>
      <c r="H561" s="146"/>
      <c r="I561" s="146"/>
      <c r="J561" s="146"/>
      <c r="K561" s="146"/>
      <c r="L561" s="146"/>
      <c r="M561" s="146"/>
      <c r="N561" s="146"/>
      <c r="O561" s="146"/>
      <c r="P561" s="146"/>
    </row>
    <row r="562" spans="2:16" x14ac:dyDescent="0.2">
      <c r="B562" s="146"/>
      <c r="C562" s="146"/>
      <c r="D562" s="146"/>
      <c r="E562" s="146"/>
      <c r="F562" s="146"/>
      <c r="G562" s="146"/>
      <c r="H562" s="146"/>
      <c r="I562" s="146"/>
      <c r="J562" s="146"/>
      <c r="K562" s="146"/>
      <c r="L562" s="146"/>
      <c r="M562" s="146"/>
      <c r="N562" s="146"/>
      <c r="O562" s="146"/>
      <c r="P562" s="146"/>
    </row>
    <row r="563" spans="2:16" x14ac:dyDescent="0.2">
      <c r="B563" s="146"/>
      <c r="C563" s="146"/>
      <c r="D563" s="146"/>
      <c r="E563" s="146"/>
      <c r="F563" s="146"/>
      <c r="G563" s="146"/>
      <c r="H563" s="146"/>
      <c r="I563" s="146"/>
      <c r="J563" s="146"/>
      <c r="K563" s="146"/>
      <c r="L563" s="146"/>
      <c r="M563" s="146"/>
      <c r="N563" s="146"/>
      <c r="O563" s="146"/>
      <c r="P563" s="146"/>
    </row>
    <row r="564" spans="2:16" x14ac:dyDescent="0.2">
      <c r="B564" s="146"/>
      <c r="C564" s="146"/>
      <c r="D564" s="146"/>
      <c r="E564" s="146"/>
      <c r="F564" s="146"/>
      <c r="G564" s="146"/>
      <c r="H564" s="146"/>
      <c r="I564" s="146"/>
      <c r="J564" s="146"/>
      <c r="K564" s="146"/>
      <c r="L564" s="146"/>
      <c r="M564" s="146"/>
      <c r="N564" s="146"/>
      <c r="O564" s="146"/>
      <c r="P564" s="146"/>
    </row>
    <row r="565" spans="2:16" x14ac:dyDescent="0.2">
      <c r="B565" s="146"/>
      <c r="C565" s="146"/>
      <c r="D565" s="146"/>
      <c r="E565" s="146"/>
      <c r="F565" s="146"/>
      <c r="G565" s="146"/>
      <c r="H565" s="146"/>
      <c r="I565" s="146"/>
      <c r="J565" s="146"/>
      <c r="K565" s="146"/>
      <c r="L565" s="146"/>
      <c r="M565" s="146"/>
      <c r="N565" s="146"/>
      <c r="O565" s="146"/>
      <c r="P565" s="146"/>
    </row>
    <row r="566" spans="2:16" x14ac:dyDescent="0.2">
      <c r="B566" s="146"/>
      <c r="C566" s="146"/>
      <c r="D566" s="146"/>
      <c r="E566" s="146"/>
      <c r="F566" s="146"/>
      <c r="G566" s="146"/>
      <c r="H566" s="146"/>
      <c r="I566" s="146"/>
      <c r="J566" s="146"/>
      <c r="K566" s="146"/>
      <c r="L566" s="146"/>
      <c r="M566" s="146"/>
      <c r="N566" s="146"/>
      <c r="O566" s="146"/>
      <c r="P566" s="146"/>
    </row>
    <row r="567" spans="2:16" x14ac:dyDescent="0.2">
      <c r="B567" s="146"/>
      <c r="C567" s="146"/>
      <c r="D567" s="146"/>
      <c r="E567" s="146"/>
      <c r="F567" s="146"/>
      <c r="G567" s="146"/>
      <c r="H567" s="146"/>
      <c r="I567" s="146"/>
      <c r="J567" s="146"/>
      <c r="K567" s="146"/>
      <c r="L567" s="146"/>
      <c r="M567" s="146"/>
      <c r="N567" s="146"/>
      <c r="O567" s="146"/>
      <c r="P567" s="146"/>
    </row>
    <row r="568" spans="2:16" x14ac:dyDescent="0.2">
      <c r="B568" s="146"/>
      <c r="C568" s="146"/>
      <c r="D568" s="146"/>
      <c r="E568" s="146"/>
      <c r="F568" s="146"/>
      <c r="G568" s="146"/>
      <c r="H568" s="146"/>
      <c r="I568" s="146"/>
      <c r="J568" s="146"/>
      <c r="K568" s="146"/>
      <c r="L568" s="146"/>
      <c r="M568" s="146"/>
      <c r="N568" s="146"/>
      <c r="O568" s="146"/>
      <c r="P568" s="146"/>
    </row>
    <row r="569" spans="2:16" x14ac:dyDescent="0.2">
      <c r="B569" s="146"/>
      <c r="C569" s="146"/>
      <c r="D569" s="146"/>
      <c r="E569" s="146"/>
      <c r="F569" s="146"/>
      <c r="G569" s="146"/>
      <c r="H569" s="146"/>
      <c r="I569" s="146"/>
      <c r="J569" s="146"/>
      <c r="K569" s="146"/>
      <c r="L569" s="146"/>
      <c r="M569" s="146"/>
      <c r="N569" s="146"/>
      <c r="O569" s="146"/>
      <c r="P569" s="146"/>
    </row>
    <row r="570" spans="2:16" x14ac:dyDescent="0.2">
      <c r="B570" s="146"/>
      <c r="C570" s="146"/>
      <c r="D570" s="146"/>
      <c r="E570" s="146"/>
      <c r="F570" s="146"/>
      <c r="G570" s="146"/>
      <c r="H570" s="146"/>
      <c r="I570" s="146"/>
      <c r="J570" s="146"/>
      <c r="K570" s="146"/>
      <c r="L570" s="146"/>
      <c r="M570" s="146"/>
      <c r="N570" s="146"/>
      <c r="O570" s="146"/>
      <c r="P570" s="146"/>
    </row>
    <row r="571" spans="2:16" x14ac:dyDescent="0.2">
      <c r="B571" s="146"/>
      <c r="C571" s="146"/>
      <c r="D571" s="146"/>
      <c r="E571" s="146"/>
      <c r="F571" s="146"/>
      <c r="G571" s="146"/>
      <c r="H571" s="146"/>
      <c r="I571" s="146"/>
      <c r="J571" s="146"/>
      <c r="K571" s="146"/>
      <c r="L571" s="146"/>
      <c r="M571" s="146"/>
      <c r="N571" s="146"/>
      <c r="O571" s="146"/>
      <c r="P571" s="146"/>
    </row>
    <row r="572" spans="2:16" x14ac:dyDescent="0.2">
      <c r="B572" s="146"/>
      <c r="C572" s="146"/>
      <c r="D572" s="146"/>
      <c r="E572" s="146"/>
      <c r="F572" s="146"/>
      <c r="G572" s="146"/>
      <c r="H572" s="146"/>
      <c r="I572" s="146"/>
      <c r="J572" s="146"/>
      <c r="K572" s="146"/>
      <c r="L572" s="146"/>
      <c r="M572" s="146"/>
      <c r="N572" s="146"/>
      <c r="O572" s="146"/>
      <c r="P572" s="146"/>
    </row>
    <row r="573" spans="2:16" x14ac:dyDescent="0.2">
      <c r="B573" s="146"/>
      <c r="C573" s="146"/>
      <c r="D573" s="146"/>
      <c r="E573" s="146"/>
      <c r="F573" s="146"/>
      <c r="G573" s="146"/>
      <c r="H573" s="146"/>
      <c r="I573" s="146"/>
      <c r="J573" s="146"/>
      <c r="K573" s="146"/>
      <c r="L573" s="146"/>
      <c r="M573" s="146"/>
      <c r="N573" s="146"/>
      <c r="O573" s="146"/>
      <c r="P573" s="146"/>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E703D-FF14-4185-9D34-747099C817D0}">
  <sheetPr codeName="Sheet39">
    <tabColor theme="9"/>
  </sheetPr>
  <dimension ref="A1:CW569"/>
  <sheetViews>
    <sheetView workbookViewId="0"/>
  </sheetViews>
  <sheetFormatPr defaultColWidth="8" defaultRowHeight="12.75" x14ac:dyDescent="0.2"/>
  <cols>
    <col min="1" max="26" width="10.140625" style="30" bestFit="1" customWidth="1"/>
    <col min="27" max="16384" width="8" style="30"/>
  </cols>
  <sheetData>
    <row r="1" spans="1:101" x14ac:dyDescent="0.2">
      <c r="B1" s="30" t="e" cm="1">
        <f t="array" ref="B1">TRANSPOSE(_xlfn._xlws.FILTER(#REF!,ISNUMBER(#REF!)))</f>
        <v>#REF!</v>
      </c>
    </row>
    <row r="2" spans="1:101" s="140" customFormat="1" x14ac:dyDescent="0.2">
      <c r="B2" s="140" t="e" cm="1">
        <f t="array" ref="B2">TRANSPOSE(_xlfn._xlws.FILTER(#REF!,ISNUMBER(#REF!)))</f>
        <v>#REF!</v>
      </c>
    </row>
    <row r="3" spans="1:101" x14ac:dyDescent="0.2">
      <c r="A3" s="29" t="str">
        <f ca="1">TEXT(TODAY(),"yyyy-mm-dd")</f>
        <v>2025-03-27</v>
      </c>
      <c r="B3" s="140">
        <f ca="1">IF(ISNUMBER(MATCH(DATEVALUE($A3),'changes1_based on steps'!B$1:B$400,0)),B$2,)</f>
        <v>0</v>
      </c>
      <c r="C3" s="140">
        <f ca="1">IF(ISNUMBER(MATCH(DATEVALUE($A3),'changes1_based on steps'!C$1:C$400,0)),C$2,)</f>
        <v>0</v>
      </c>
      <c r="D3" s="140">
        <f ca="1">IF(ISNUMBER(MATCH(DATEVALUE($A3),'changes1_based on steps'!D$1:D$400,0)),D$2,)</f>
        <v>0</v>
      </c>
      <c r="E3" s="140">
        <f ca="1">IF(ISNUMBER(MATCH(DATEVALUE($A3),'changes1_based on steps'!E$1:E$400,0)),E$2,)</f>
        <v>0</v>
      </c>
      <c r="F3" s="140">
        <f ca="1">IF(ISNUMBER(MATCH(DATEVALUE($A3),'changes1_based on steps'!F$1:F$400,0)),F$2,)</f>
        <v>0</v>
      </c>
      <c r="G3" s="140">
        <f ca="1">IF(ISNUMBER(MATCH(DATEVALUE($A3),'changes1_based on steps'!G$1:G$400,0)),G$2,)</f>
        <v>0</v>
      </c>
      <c r="H3" s="140">
        <f ca="1">IF(ISNUMBER(MATCH(DATEVALUE($A3),'changes1_based on steps'!H$1:H$400,0)),H$2,)</f>
        <v>0</v>
      </c>
      <c r="I3" s="140">
        <f ca="1">IF(ISNUMBER(MATCH(DATEVALUE($A3),'changes1_based on steps'!I$1:I$400,0)),I$2,)</f>
        <v>0</v>
      </c>
      <c r="J3" s="140">
        <f ca="1">IF(ISNUMBER(MATCH(DATEVALUE($A3),'changes1_based on steps'!J$1:J$400,0)),J$2,)</f>
        <v>0</v>
      </c>
      <c r="K3" s="140">
        <f ca="1">IF(ISNUMBER(MATCH(DATEVALUE($A3),'changes1_based on steps'!K$1:K$400,0)),K$2,)</f>
        <v>0</v>
      </c>
      <c r="L3" s="140">
        <f ca="1">IF(ISNUMBER(MATCH(DATEVALUE($A3),'changes1_based on steps'!L$1:L$400,0)),L$2,)</f>
        <v>0</v>
      </c>
      <c r="M3" s="140">
        <f ca="1">IF(ISNUMBER(MATCH(DATEVALUE($A3),'changes1_based on steps'!M$1:M$400,0)),M$2,)</f>
        <v>0</v>
      </c>
      <c r="N3" s="140">
        <f ca="1">IF(ISNUMBER(MATCH(DATEVALUE($A3),'changes1_based on steps'!N$1:N$400,0)),N$2,)</f>
        <v>0</v>
      </c>
      <c r="O3" s="140">
        <f ca="1">IF(ISNUMBER(MATCH(DATEVALUE($A3),'changes1_based on steps'!O$1:O$400,0)),O$2,)</f>
        <v>0</v>
      </c>
      <c r="P3" s="140">
        <f ca="1">IF(ISNUMBER(MATCH(DATEVALUE($A3),'changes1_based on steps'!P$1:P$400,0)),P$2,)</f>
        <v>0</v>
      </c>
      <c r="Q3" s="140">
        <f ca="1">IF(ISNUMBER(MATCH(DATEVALUE($A3),'changes1_based on steps'!Q$1:Q$400,0)),Q$2,)</f>
        <v>0</v>
      </c>
      <c r="R3" s="140">
        <f ca="1">IF(ISNUMBER(MATCH(DATEVALUE($A3),'changes1_based on steps'!R$1:R$400,0)),R$2,)</f>
        <v>0</v>
      </c>
      <c r="S3" s="140">
        <f ca="1">IF(ISNUMBER(MATCH(DATEVALUE($A3),'changes1_based on steps'!S$1:S$400,0)),S$2,)</f>
        <v>0</v>
      </c>
      <c r="T3" s="140">
        <f ca="1">IF(ISNUMBER(MATCH(DATEVALUE($A3),'changes1_based on steps'!T$1:T$400,0)),T$2,)</f>
        <v>0</v>
      </c>
      <c r="U3" s="140">
        <f ca="1">IF(ISNUMBER(MATCH(DATEVALUE($A3),'changes1_based on steps'!U$1:U$400,0)),U$2,)</f>
        <v>0</v>
      </c>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row>
    <row r="4" spans="1:101" x14ac:dyDescent="0.2">
      <c r="A4" s="29" t="str">
        <f ca="1">TEXT(DATEVALUE(A3)+1,"yyyy-mm-dd")</f>
        <v>2025-03-28</v>
      </c>
      <c r="B4" s="140">
        <f ca="1">IF(ISNUMBER(MATCH(DATEVALUE($A4),'changes1_based on steps'!B$1:B$400,0)),B$2,)</f>
        <v>0</v>
      </c>
      <c r="C4" s="140">
        <f ca="1">IF(ISNUMBER(MATCH(DATEVALUE($A4),'changes1_based on steps'!C$1:C$400,0)),C$2,)</f>
        <v>0</v>
      </c>
      <c r="D4" s="140">
        <f ca="1">IF(ISNUMBER(MATCH(DATEVALUE($A4),'changes1_based on steps'!D$1:D$400,0)),D$2,)</f>
        <v>0</v>
      </c>
      <c r="E4" s="140">
        <f ca="1">IF(ISNUMBER(MATCH(DATEVALUE($A4),'changes1_based on steps'!E$1:E$400,0)),E$2,)</f>
        <v>0</v>
      </c>
      <c r="F4" s="140">
        <f ca="1">IF(ISNUMBER(MATCH(DATEVALUE($A4),'changes1_based on steps'!F$1:F$400,0)),F$2,)</f>
        <v>0</v>
      </c>
      <c r="G4" s="140">
        <f ca="1">IF(ISNUMBER(MATCH(DATEVALUE($A4),'changes1_based on steps'!G$1:G$400,0)),G$2,)</f>
        <v>0</v>
      </c>
      <c r="H4" s="140">
        <f ca="1">IF(ISNUMBER(MATCH(DATEVALUE($A4),'changes1_based on steps'!H$1:H$400,0)),H$2,)</f>
        <v>0</v>
      </c>
      <c r="I4" s="140">
        <f ca="1">IF(ISNUMBER(MATCH(DATEVALUE($A4),'changes1_based on steps'!I$1:I$400,0)),I$2,)</f>
        <v>0</v>
      </c>
      <c r="J4" s="140">
        <f ca="1">IF(ISNUMBER(MATCH(DATEVALUE($A4),'changes1_based on steps'!J$1:J$400,0)),J$2,)</f>
        <v>0</v>
      </c>
      <c r="K4" s="140">
        <f ca="1">IF(ISNUMBER(MATCH(DATEVALUE($A4),'changes1_based on steps'!K$1:K$400,0)),K$2,)</f>
        <v>0</v>
      </c>
      <c r="L4" s="140">
        <f ca="1">IF(ISNUMBER(MATCH(DATEVALUE($A4),'changes1_based on steps'!L$1:L$400,0)),L$2,)</f>
        <v>0</v>
      </c>
      <c r="M4" s="140">
        <f ca="1">IF(ISNUMBER(MATCH(DATEVALUE($A4),'changes1_based on steps'!M$1:M$400,0)),M$2,)</f>
        <v>0</v>
      </c>
      <c r="N4" s="140">
        <f ca="1">IF(ISNUMBER(MATCH(DATEVALUE($A4),'changes1_based on steps'!N$1:N$400,0)),N$2,)</f>
        <v>0</v>
      </c>
      <c r="O4" s="140">
        <f ca="1">IF(ISNUMBER(MATCH(DATEVALUE($A4),'changes1_based on steps'!O$1:O$400,0)),O$2,)</f>
        <v>0</v>
      </c>
      <c r="P4" s="140">
        <f ca="1">IF(ISNUMBER(MATCH(DATEVALUE($A4),'changes1_based on steps'!P$1:P$400,0)),P$2,)</f>
        <v>0</v>
      </c>
      <c r="Q4" s="140">
        <f ca="1">IF(ISNUMBER(MATCH(DATEVALUE($A4),'changes1_based on steps'!Q$1:Q$400,0)),Q$2,)</f>
        <v>0</v>
      </c>
      <c r="R4" s="140">
        <f ca="1">IF(ISNUMBER(MATCH(DATEVALUE($A4),'changes1_based on steps'!R$1:R$400,0)),R$2,)</f>
        <v>0</v>
      </c>
      <c r="S4" s="140">
        <f ca="1">IF(ISNUMBER(MATCH(DATEVALUE($A4),'changes1_based on steps'!S$1:S$400,0)),S$2,)</f>
        <v>0</v>
      </c>
      <c r="T4" s="140">
        <f ca="1">IF(ISNUMBER(MATCH(DATEVALUE($A4),'changes1_based on steps'!T$1:T$400,0)),T$2,)</f>
        <v>0</v>
      </c>
      <c r="U4" s="140">
        <f ca="1">IF(ISNUMBER(MATCH(DATEVALUE($A4),'changes1_based on steps'!U$1:U$400,0)),U$2,)</f>
        <v>0</v>
      </c>
      <c r="V4" s="140"/>
      <c r="W4" s="140"/>
      <c r="X4" s="140"/>
      <c r="Y4" s="140"/>
      <c r="Z4" s="140"/>
      <c r="AA4" s="140"/>
      <c r="AB4" s="140"/>
      <c r="AC4" s="140"/>
      <c r="AD4" s="140"/>
      <c r="AE4" s="140"/>
      <c r="AF4" s="140"/>
      <c r="AG4" s="140"/>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40"/>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row>
    <row r="5" spans="1:101" x14ac:dyDescent="0.2">
      <c r="A5" s="29" t="str">
        <f t="shared" ref="A5:A68" ca="1" si="0">TEXT(DATEVALUE(A4)+1,"yyyy-mm-dd")</f>
        <v>2025-03-29</v>
      </c>
      <c r="B5" s="140">
        <f ca="1">IF(ISNUMBER(MATCH(DATEVALUE($A5),'changes1_based on steps'!B$1:B$400,0)),B$2,)</f>
        <v>0</v>
      </c>
      <c r="C5" s="140">
        <f ca="1">IF(ISNUMBER(MATCH(DATEVALUE($A5),'changes1_based on steps'!C$1:C$400,0)),C$2,)</f>
        <v>0</v>
      </c>
      <c r="D5" s="140">
        <f ca="1">IF(ISNUMBER(MATCH(DATEVALUE($A5),'changes1_based on steps'!D$1:D$400,0)),D$2,)</f>
        <v>0</v>
      </c>
      <c r="E5" s="140">
        <f ca="1">IF(ISNUMBER(MATCH(DATEVALUE($A5),'changes1_based on steps'!E$1:E$400,0)),E$2,)</f>
        <v>0</v>
      </c>
      <c r="F5" s="140">
        <f ca="1">IF(ISNUMBER(MATCH(DATEVALUE($A5),'changes1_based on steps'!F$1:F$400,0)),F$2,)</f>
        <v>0</v>
      </c>
      <c r="G5" s="140">
        <f ca="1">IF(ISNUMBER(MATCH(DATEVALUE($A5),'changes1_based on steps'!G$1:G$400,0)),G$2,)</f>
        <v>0</v>
      </c>
      <c r="H5" s="140">
        <f ca="1">IF(ISNUMBER(MATCH(DATEVALUE($A5),'changes1_based on steps'!H$1:H$400,0)),H$2,)</f>
        <v>0</v>
      </c>
      <c r="I5" s="140">
        <f ca="1">IF(ISNUMBER(MATCH(DATEVALUE($A5),'changes1_based on steps'!I$1:I$400,0)),I$2,)</f>
        <v>0</v>
      </c>
      <c r="J5" s="140">
        <f ca="1">IF(ISNUMBER(MATCH(DATEVALUE($A5),'changes1_based on steps'!J$1:J$400,0)),J$2,)</f>
        <v>0</v>
      </c>
      <c r="K5" s="140">
        <f ca="1">IF(ISNUMBER(MATCH(DATEVALUE($A5),'changes1_based on steps'!K$1:K$400,0)),K$2,)</f>
        <v>0</v>
      </c>
      <c r="L5" s="140">
        <f ca="1">IF(ISNUMBER(MATCH(DATEVALUE($A5),'changes1_based on steps'!L$1:L$400,0)),L$2,)</f>
        <v>0</v>
      </c>
      <c r="M5" s="140">
        <f ca="1">IF(ISNUMBER(MATCH(DATEVALUE($A5),'changes1_based on steps'!M$1:M$400,0)),M$2,)</f>
        <v>0</v>
      </c>
      <c r="N5" s="140">
        <f ca="1">IF(ISNUMBER(MATCH(DATEVALUE($A5),'changes1_based on steps'!N$1:N$400,0)),N$2,)</f>
        <v>0</v>
      </c>
      <c r="O5" s="140">
        <f ca="1">IF(ISNUMBER(MATCH(DATEVALUE($A5),'changes1_based on steps'!O$1:O$400,0)),O$2,)</f>
        <v>0</v>
      </c>
      <c r="P5" s="140">
        <f ca="1">IF(ISNUMBER(MATCH(DATEVALUE($A5),'changes1_based on steps'!P$1:P$400,0)),P$2,)</f>
        <v>0</v>
      </c>
      <c r="Q5" s="140">
        <f ca="1">IF(ISNUMBER(MATCH(DATEVALUE($A5),'changes1_based on steps'!Q$1:Q$400,0)),Q$2,)</f>
        <v>0</v>
      </c>
      <c r="R5" s="140">
        <f ca="1">IF(ISNUMBER(MATCH(DATEVALUE($A5),'changes1_based on steps'!R$1:R$400,0)),R$2,)</f>
        <v>0</v>
      </c>
      <c r="S5" s="140">
        <f ca="1">IF(ISNUMBER(MATCH(DATEVALUE($A5),'changes1_based on steps'!S$1:S$400,0)),S$2,)</f>
        <v>0</v>
      </c>
      <c r="T5" s="140">
        <f ca="1">IF(ISNUMBER(MATCH(DATEVALUE($A5),'changes1_based on steps'!T$1:T$400,0)),T$2,)</f>
        <v>0</v>
      </c>
      <c r="U5" s="140">
        <f ca="1">IF(ISNUMBER(MATCH(DATEVALUE($A5),'changes1_based on steps'!U$1:U$400,0)),U$2,)</f>
        <v>0</v>
      </c>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row>
    <row r="6" spans="1:101" x14ac:dyDescent="0.2">
      <c r="A6" s="29" t="str">
        <f t="shared" ca="1" si="0"/>
        <v>2025-03-30</v>
      </c>
      <c r="B6" s="140">
        <f ca="1">IF(ISNUMBER(MATCH(DATEVALUE($A6),'changes1_based on steps'!B$1:B$400,0)),B$2,)</f>
        <v>0</v>
      </c>
      <c r="C6" s="140">
        <f ca="1">IF(ISNUMBER(MATCH(DATEVALUE($A6),'changes1_based on steps'!C$1:C$400,0)),C$2,)</f>
        <v>0</v>
      </c>
      <c r="D6" s="140">
        <f ca="1">IF(ISNUMBER(MATCH(DATEVALUE($A6),'changes1_based on steps'!D$1:D$400,0)),D$2,)</f>
        <v>0</v>
      </c>
      <c r="E6" s="140">
        <f ca="1">IF(ISNUMBER(MATCH(DATEVALUE($A6),'changes1_based on steps'!E$1:E$400,0)),E$2,)</f>
        <v>0</v>
      </c>
      <c r="F6" s="140">
        <f ca="1">IF(ISNUMBER(MATCH(DATEVALUE($A6),'changes1_based on steps'!F$1:F$400,0)),F$2,)</f>
        <v>0</v>
      </c>
      <c r="G6" s="140">
        <f ca="1">IF(ISNUMBER(MATCH(DATEVALUE($A6),'changes1_based on steps'!G$1:G$400,0)),G$2,)</f>
        <v>0</v>
      </c>
      <c r="H6" s="140">
        <f ca="1">IF(ISNUMBER(MATCH(DATEVALUE($A6),'changes1_based on steps'!H$1:H$400,0)),H$2,)</f>
        <v>0</v>
      </c>
      <c r="I6" s="140">
        <f ca="1">IF(ISNUMBER(MATCH(DATEVALUE($A6),'changes1_based on steps'!I$1:I$400,0)),I$2,)</f>
        <v>0</v>
      </c>
      <c r="J6" s="140">
        <f ca="1">IF(ISNUMBER(MATCH(DATEVALUE($A6),'changes1_based on steps'!J$1:J$400,0)),J$2,)</f>
        <v>0</v>
      </c>
      <c r="K6" s="140">
        <f ca="1">IF(ISNUMBER(MATCH(DATEVALUE($A6),'changes1_based on steps'!K$1:K$400,0)),K$2,)</f>
        <v>0</v>
      </c>
      <c r="L6" s="140">
        <f ca="1">IF(ISNUMBER(MATCH(DATEVALUE($A6),'changes1_based on steps'!L$1:L$400,0)),L$2,)</f>
        <v>0</v>
      </c>
      <c r="M6" s="140">
        <f ca="1">IF(ISNUMBER(MATCH(DATEVALUE($A6),'changes1_based on steps'!M$1:M$400,0)),M$2,)</f>
        <v>0</v>
      </c>
      <c r="N6" s="140">
        <f ca="1">IF(ISNUMBER(MATCH(DATEVALUE($A6),'changes1_based on steps'!N$1:N$400,0)),N$2,)</f>
        <v>0</v>
      </c>
      <c r="O6" s="140">
        <f ca="1">IF(ISNUMBER(MATCH(DATEVALUE($A6),'changes1_based on steps'!O$1:O$400,0)),O$2,)</f>
        <v>0</v>
      </c>
      <c r="P6" s="140">
        <f ca="1">IF(ISNUMBER(MATCH(DATEVALUE($A6),'changes1_based on steps'!P$1:P$400,0)),P$2,)</f>
        <v>0</v>
      </c>
      <c r="Q6" s="140">
        <f ca="1">IF(ISNUMBER(MATCH(DATEVALUE($A6),'changes1_based on steps'!Q$1:Q$400,0)),Q$2,)</f>
        <v>0</v>
      </c>
      <c r="R6" s="140">
        <f ca="1">IF(ISNUMBER(MATCH(DATEVALUE($A6),'changes1_based on steps'!R$1:R$400,0)),R$2,)</f>
        <v>0</v>
      </c>
      <c r="S6" s="140">
        <f ca="1">IF(ISNUMBER(MATCH(DATEVALUE($A6),'changes1_based on steps'!S$1:S$400,0)),S$2,)</f>
        <v>0</v>
      </c>
      <c r="T6" s="140">
        <f ca="1">IF(ISNUMBER(MATCH(DATEVALUE($A6),'changes1_based on steps'!T$1:T$400,0)),T$2,)</f>
        <v>0</v>
      </c>
      <c r="U6" s="140">
        <f ca="1">IF(ISNUMBER(MATCH(DATEVALUE($A6),'changes1_based on steps'!U$1:U$400,0)),U$2,)</f>
        <v>0</v>
      </c>
      <c r="V6" s="140"/>
      <c r="W6" s="140"/>
      <c r="X6" s="140"/>
      <c r="Y6" s="140"/>
      <c r="Z6" s="140"/>
      <c r="AA6" s="140"/>
      <c r="AB6" s="140"/>
      <c r="AC6" s="140"/>
      <c r="AD6" s="140"/>
      <c r="AE6" s="140"/>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row>
    <row r="7" spans="1:101" x14ac:dyDescent="0.2">
      <c r="A7" s="29" t="str">
        <f t="shared" ca="1" si="0"/>
        <v>2025-03-31</v>
      </c>
      <c r="B7" s="140">
        <f ca="1">IF(ISNUMBER(MATCH(DATEVALUE($A7),'changes1_based on steps'!B$1:B$400,0)),B$2,)</f>
        <v>0</v>
      </c>
      <c r="C7" s="140">
        <f ca="1">IF(ISNUMBER(MATCH(DATEVALUE($A7),'changes1_based on steps'!C$1:C$400,0)),C$2,)</f>
        <v>0</v>
      </c>
      <c r="D7" s="140">
        <f ca="1">IF(ISNUMBER(MATCH(DATEVALUE($A7),'changes1_based on steps'!D$1:D$400,0)),D$2,)</f>
        <v>0</v>
      </c>
      <c r="E7" s="140">
        <f ca="1">IF(ISNUMBER(MATCH(DATEVALUE($A7),'changes1_based on steps'!E$1:E$400,0)),E$2,)</f>
        <v>0</v>
      </c>
      <c r="F7" s="140">
        <f ca="1">IF(ISNUMBER(MATCH(DATEVALUE($A7),'changes1_based on steps'!F$1:F$400,0)),F$2,)</f>
        <v>0</v>
      </c>
      <c r="G7" s="140">
        <f ca="1">IF(ISNUMBER(MATCH(DATEVALUE($A7),'changes1_based on steps'!G$1:G$400,0)),G$2,)</f>
        <v>0</v>
      </c>
      <c r="H7" s="140">
        <f ca="1">IF(ISNUMBER(MATCH(DATEVALUE($A7),'changes1_based on steps'!H$1:H$400,0)),H$2,)</f>
        <v>0</v>
      </c>
      <c r="I7" s="140">
        <f ca="1">IF(ISNUMBER(MATCH(DATEVALUE($A7),'changes1_based on steps'!I$1:I$400,0)),I$2,)</f>
        <v>0</v>
      </c>
      <c r="J7" s="140">
        <f ca="1">IF(ISNUMBER(MATCH(DATEVALUE($A7),'changes1_based on steps'!J$1:J$400,0)),J$2,)</f>
        <v>0</v>
      </c>
      <c r="K7" s="140">
        <f ca="1">IF(ISNUMBER(MATCH(DATEVALUE($A7),'changes1_based on steps'!K$1:K$400,0)),K$2,)</f>
        <v>0</v>
      </c>
      <c r="L7" s="140">
        <f ca="1">IF(ISNUMBER(MATCH(DATEVALUE($A7),'changes1_based on steps'!L$1:L$400,0)),L$2,)</f>
        <v>0</v>
      </c>
      <c r="M7" s="140">
        <f ca="1">IF(ISNUMBER(MATCH(DATEVALUE($A7),'changes1_based on steps'!M$1:M$400,0)),M$2,)</f>
        <v>0</v>
      </c>
      <c r="N7" s="140">
        <f ca="1">IF(ISNUMBER(MATCH(DATEVALUE($A7),'changes1_based on steps'!N$1:N$400,0)),N$2,)</f>
        <v>0</v>
      </c>
      <c r="O7" s="140">
        <f ca="1">IF(ISNUMBER(MATCH(DATEVALUE($A7),'changes1_based on steps'!O$1:O$400,0)),O$2,)</f>
        <v>0</v>
      </c>
      <c r="P7" s="140">
        <f ca="1">IF(ISNUMBER(MATCH(DATEVALUE($A7),'changes1_based on steps'!P$1:P$400,0)),P$2,)</f>
        <v>0</v>
      </c>
      <c r="Q7" s="140">
        <f ca="1">IF(ISNUMBER(MATCH(DATEVALUE($A7),'changes1_based on steps'!Q$1:Q$400,0)),Q$2,)</f>
        <v>0</v>
      </c>
      <c r="R7" s="140">
        <f ca="1">IF(ISNUMBER(MATCH(DATEVALUE($A7),'changes1_based on steps'!R$1:R$400,0)),R$2,)</f>
        <v>0</v>
      </c>
      <c r="S7" s="140">
        <f ca="1">IF(ISNUMBER(MATCH(DATEVALUE($A7),'changes1_based on steps'!S$1:S$400,0)),S$2,)</f>
        <v>0</v>
      </c>
      <c r="T7" s="140">
        <f ca="1">IF(ISNUMBER(MATCH(DATEVALUE($A7),'changes1_based on steps'!T$1:T$400,0)),T$2,)</f>
        <v>0</v>
      </c>
      <c r="U7" s="140">
        <f ca="1">IF(ISNUMBER(MATCH(DATEVALUE($A7),'changes1_based on steps'!U$1:U$400,0)),U$2,)</f>
        <v>0</v>
      </c>
      <c r="V7" s="140"/>
      <c r="W7" s="140"/>
      <c r="X7" s="140"/>
      <c r="Y7" s="140"/>
      <c r="Z7" s="140"/>
      <c r="AA7" s="140"/>
      <c r="AB7" s="140"/>
      <c r="AC7" s="140"/>
      <c r="AD7" s="140"/>
      <c r="AE7" s="140"/>
      <c r="AF7" s="140"/>
      <c r="AG7" s="140"/>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40"/>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row>
    <row r="8" spans="1:101" x14ac:dyDescent="0.2">
      <c r="A8" s="29" t="str">
        <f t="shared" ca="1" si="0"/>
        <v>2025-04-01</v>
      </c>
      <c r="B8" s="140">
        <f ca="1">IF(ISNUMBER(MATCH(DATEVALUE($A8),'changes1_based on steps'!B$1:B$400,0)),B$2,)</f>
        <v>0</v>
      </c>
      <c r="C8" s="140">
        <f ca="1">IF(ISNUMBER(MATCH(DATEVALUE($A8),'changes1_based on steps'!C$1:C$400,0)),C$2,)</f>
        <v>0</v>
      </c>
      <c r="D8" s="140">
        <f ca="1">IF(ISNUMBER(MATCH(DATEVALUE($A8),'changes1_based on steps'!D$1:D$400,0)),D$2,)</f>
        <v>0</v>
      </c>
      <c r="E8" s="140">
        <f ca="1">IF(ISNUMBER(MATCH(DATEVALUE($A8),'changes1_based on steps'!E$1:E$400,0)),E$2,)</f>
        <v>0</v>
      </c>
      <c r="F8" s="140">
        <f ca="1">IF(ISNUMBER(MATCH(DATEVALUE($A8),'changes1_based on steps'!F$1:F$400,0)),F$2,)</f>
        <v>0</v>
      </c>
      <c r="G8" s="140">
        <f ca="1">IF(ISNUMBER(MATCH(DATEVALUE($A8),'changes1_based on steps'!G$1:G$400,0)),G$2,)</f>
        <v>0</v>
      </c>
      <c r="H8" s="140">
        <f ca="1">IF(ISNUMBER(MATCH(DATEVALUE($A8),'changes1_based on steps'!H$1:H$400,0)),H$2,)</f>
        <v>0</v>
      </c>
      <c r="I8" s="140">
        <f ca="1">IF(ISNUMBER(MATCH(DATEVALUE($A8),'changes1_based on steps'!I$1:I$400,0)),I$2,)</f>
        <v>0</v>
      </c>
      <c r="J8" s="140">
        <f ca="1">IF(ISNUMBER(MATCH(DATEVALUE($A8),'changes1_based on steps'!J$1:J$400,0)),J$2,)</f>
        <v>0</v>
      </c>
      <c r="K8" s="140">
        <f ca="1">IF(ISNUMBER(MATCH(DATEVALUE($A8),'changes1_based on steps'!K$1:K$400,0)),K$2,)</f>
        <v>0</v>
      </c>
      <c r="L8" s="140">
        <f ca="1">IF(ISNUMBER(MATCH(DATEVALUE($A8),'changes1_based on steps'!L$1:L$400,0)),L$2,)</f>
        <v>0</v>
      </c>
      <c r="M8" s="140">
        <f ca="1">IF(ISNUMBER(MATCH(DATEVALUE($A8),'changes1_based on steps'!M$1:M$400,0)),M$2,)</f>
        <v>0</v>
      </c>
      <c r="N8" s="140">
        <f ca="1">IF(ISNUMBER(MATCH(DATEVALUE($A8),'changes1_based on steps'!N$1:N$400,0)),N$2,)</f>
        <v>0</v>
      </c>
      <c r="O8" s="140">
        <f ca="1">IF(ISNUMBER(MATCH(DATEVALUE($A8),'changes1_based on steps'!O$1:O$400,0)),O$2,)</f>
        <v>0</v>
      </c>
      <c r="P8" s="140">
        <f ca="1">IF(ISNUMBER(MATCH(DATEVALUE($A8),'changes1_based on steps'!P$1:P$400,0)),P$2,)</f>
        <v>0</v>
      </c>
      <c r="Q8" s="140">
        <f ca="1">IF(ISNUMBER(MATCH(DATEVALUE($A8),'changes1_based on steps'!Q$1:Q$400,0)),Q$2,)</f>
        <v>0</v>
      </c>
      <c r="R8" s="140">
        <f ca="1">IF(ISNUMBER(MATCH(DATEVALUE($A8),'changes1_based on steps'!R$1:R$400,0)),R$2,)</f>
        <v>0</v>
      </c>
      <c r="S8" s="140">
        <f ca="1">IF(ISNUMBER(MATCH(DATEVALUE($A8),'changes1_based on steps'!S$1:S$400,0)),S$2,)</f>
        <v>0</v>
      </c>
      <c r="T8" s="140">
        <f ca="1">IF(ISNUMBER(MATCH(DATEVALUE($A8),'changes1_based on steps'!T$1:T$400,0)),T$2,)</f>
        <v>0</v>
      </c>
      <c r="U8" s="140">
        <f ca="1">IF(ISNUMBER(MATCH(DATEVALUE($A8),'changes1_based on steps'!U$1:U$400,0)),U$2,)</f>
        <v>0</v>
      </c>
      <c r="V8" s="140"/>
      <c r="W8" s="140"/>
      <c r="X8" s="140"/>
      <c r="Y8" s="140"/>
      <c r="Z8" s="140"/>
      <c r="AA8" s="140"/>
      <c r="AB8" s="140"/>
      <c r="AC8" s="140"/>
      <c r="AD8" s="140"/>
      <c r="AE8" s="140"/>
      <c r="AF8" s="140"/>
      <c r="AG8" s="140"/>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40"/>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row>
    <row r="9" spans="1:101" x14ac:dyDescent="0.2">
      <c r="A9" s="29" t="str">
        <f t="shared" ca="1" si="0"/>
        <v>2025-04-02</v>
      </c>
      <c r="B9" s="140">
        <f ca="1">IF(ISNUMBER(MATCH(DATEVALUE($A9),'changes1_based on steps'!B$1:B$400,0)),B$2,)</f>
        <v>0</v>
      </c>
      <c r="C9" s="140">
        <f ca="1">IF(ISNUMBER(MATCH(DATEVALUE($A9),'changes1_based on steps'!C$1:C$400,0)),C$2,)</f>
        <v>0</v>
      </c>
      <c r="D9" s="140">
        <f ca="1">IF(ISNUMBER(MATCH(DATEVALUE($A9),'changes1_based on steps'!D$1:D$400,0)),D$2,)</f>
        <v>0</v>
      </c>
      <c r="E9" s="140">
        <f ca="1">IF(ISNUMBER(MATCH(DATEVALUE($A9),'changes1_based on steps'!E$1:E$400,0)),E$2,)</f>
        <v>0</v>
      </c>
      <c r="F9" s="140">
        <f ca="1">IF(ISNUMBER(MATCH(DATEVALUE($A9),'changes1_based on steps'!F$1:F$400,0)),F$2,)</f>
        <v>0</v>
      </c>
      <c r="G9" s="140">
        <f ca="1">IF(ISNUMBER(MATCH(DATEVALUE($A9),'changes1_based on steps'!G$1:G$400,0)),G$2,)</f>
        <v>0</v>
      </c>
      <c r="H9" s="140">
        <f ca="1">IF(ISNUMBER(MATCH(DATEVALUE($A9),'changes1_based on steps'!H$1:H$400,0)),H$2,)</f>
        <v>0</v>
      </c>
      <c r="I9" s="140">
        <f ca="1">IF(ISNUMBER(MATCH(DATEVALUE($A9),'changes1_based on steps'!I$1:I$400,0)),I$2,)</f>
        <v>0</v>
      </c>
      <c r="J9" s="140">
        <f ca="1">IF(ISNUMBER(MATCH(DATEVALUE($A9),'changes1_based on steps'!J$1:J$400,0)),J$2,)</f>
        <v>0</v>
      </c>
      <c r="K9" s="140">
        <f ca="1">IF(ISNUMBER(MATCH(DATEVALUE($A9),'changes1_based on steps'!K$1:K$400,0)),K$2,)</f>
        <v>0</v>
      </c>
      <c r="L9" s="140">
        <f ca="1">IF(ISNUMBER(MATCH(DATEVALUE($A9),'changes1_based on steps'!L$1:L$400,0)),L$2,)</f>
        <v>0</v>
      </c>
      <c r="M9" s="140">
        <f ca="1">IF(ISNUMBER(MATCH(DATEVALUE($A9),'changes1_based on steps'!M$1:M$400,0)),M$2,)</f>
        <v>0</v>
      </c>
      <c r="N9" s="140">
        <f ca="1">IF(ISNUMBER(MATCH(DATEVALUE($A9),'changes1_based on steps'!N$1:N$400,0)),N$2,)</f>
        <v>0</v>
      </c>
      <c r="O9" s="140">
        <f ca="1">IF(ISNUMBER(MATCH(DATEVALUE($A9),'changes1_based on steps'!O$1:O$400,0)),O$2,)</f>
        <v>0</v>
      </c>
      <c r="P9" s="140">
        <f ca="1">IF(ISNUMBER(MATCH(DATEVALUE($A9),'changes1_based on steps'!P$1:P$400,0)),P$2,)</f>
        <v>0</v>
      </c>
      <c r="Q9" s="140">
        <f ca="1">IF(ISNUMBER(MATCH(DATEVALUE($A9),'changes1_based on steps'!Q$1:Q$400,0)),Q$2,)</f>
        <v>0</v>
      </c>
      <c r="R9" s="140">
        <f ca="1">IF(ISNUMBER(MATCH(DATEVALUE($A9),'changes1_based on steps'!R$1:R$400,0)),R$2,)</f>
        <v>0</v>
      </c>
      <c r="S9" s="140">
        <f ca="1">IF(ISNUMBER(MATCH(DATEVALUE($A9),'changes1_based on steps'!S$1:S$400,0)),S$2,)</f>
        <v>0</v>
      </c>
      <c r="T9" s="140">
        <f ca="1">IF(ISNUMBER(MATCH(DATEVALUE($A9),'changes1_based on steps'!T$1:T$400,0)),T$2,)</f>
        <v>0</v>
      </c>
      <c r="U9" s="140">
        <f ca="1">IF(ISNUMBER(MATCH(DATEVALUE($A9),'changes1_based on steps'!U$1:U$400,0)),U$2,)</f>
        <v>0</v>
      </c>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row>
    <row r="10" spans="1:101" x14ac:dyDescent="0.2">
      <c r="A10" s="29" t="str">
        <f t="shared" ca="1" si="0"/>
        <v>2025-04-03</v>
      </c>
      <c r="B10" s="140">
        <f ca="1">IF(ISNUMBER(MATCH(DATEVALUE($A10),'changes1_based on steps'!B$1:B$400,0)),B$2,)</f>
        <v>0</v>
      </c>
      <c r="C10" s="140">
        <f ca="1">IF(ISNUMBER(MATCH(DATEVALUE($A10),'changes1_based on steps'!C$1:C$400,0)),C$2,)</f>
        <v>0</v>
      </c>
      <c r="D10" s="140">
        <f ca="1">IF(ISNUMBER(MATCH(DATEVALUE($A10),'changes1_based on steps'!D$1:D$400,0)),D$2,)</f>
        <v>0</v>
      </c>
      <c r="E10" s="140">
        <f ca="1">IF(ISNUMBER(MATCH(DATEVALUE($A10),'changes1_based on steps'!E$1:E$400,0)),E$2,)</f>
        <v>0</v>
      </c>
      <c r="F10" s="140">
        <f ca="1">IF(ISNUMBER(MATCH(DATEVALUE($A10),'changes1_based on steps'!F$1:F$400,0)),F$2,)</f>
        <v>0</v>
      </c>
      <c r="G10" s="140">
        <f ca="1">IF(ISNUMBER(MATCH(DATEVALUE($A10),'changes1_based on steps'!G$1:G$400,0)),G$2,)</f>
        <v>0</v>
      </c>
      <c r="H10" s="140">
        <f ca="1">IF(ISNUMBER(MATCH(DATEVALUE($A10),'changes1_based on steps'!H$1:H$400,0)),H$2,)</f>
        <v>0</v>
      </c>
      <c r="I10" s="140">
        <f ca="1">IF(ISNUMBER(MATCH(DATEVALUE($A10),'changes1_based on steps'!I$1:I$400,0)),I$2,)</f>
        <v>0</v>
      </c>
      <c r="J10" s="140">
        <f ca="1">IF(ISNUMBER(MATCH(DATEVALUE($A10),'changes1_based on steps'!J$1:J$400,0)),J$2,)</f>
        <v>0</v>
      </c>
      <c r="K10" s="140">
        <f ca="1">IF(ISNUMBER(MATCH(DATEVALUE($A10),'changes1_based on steps'!K$1:K$400,0)),K$2,)</f>
        <v>0</v>
      </c>
      <c r="L10" s="140">
        <f ca="1">IF(ISNUMBER(MATCH(DATEVALUE($A10),'changes1_based on steps'!L$1:L$400,0)),L$2,)</f>
        <v>0</v>
      </c>
      <c r="M10" s="140">
        <f ca="1">IF(ISNUMBER(MATCH(DATEVALUE($A10),'changes1_based on steps'!M$1:M$400,0)),M$2,)</f>
        <v>0</v>
      </c>
      <c r="N10" s="140">
        <f ca="1">IF(ISNUMBER(MATCH(DATEVALUE($A10),'changes1_based on steps'!N$1:N$400,0)),N$2,)</f>
        <v>0</v>
      </c>
      <c r="O10" s="140">
        <f ca="1">IF(ISNUMBER(MATCH(DATEVALUE($A10),'changes1_based on steps'!O$1:O$400,0)),O$2,)</f>
        <v>0</v>
      </c>
      <c r="P10" s="140">
        <f ca="1">IF(ISNUMBER(MATCH(DATEVALUE($A10),'changes1_based on steps'!P$1:P$400,0)),P$2,)</f>
        <v>0</v>
      </c>
      <c r="Q10" s="140">
        <f ca="1">IF(ISNUMBER(MATCH(DATEVALUE($A10),'changes1_based on steps'!Q$1:Q$400,0)),Q$2,)</f>
        <v>0</v>
      </c>
      <c r="R10" s="140">
        <f ca="1">IF(ISNUMBER(MATCH(DATEVALUE($A10),'changes1_based on steps'!R$1:R$400,0)),R$2,)</f>
        <v>0</v>
      </c>
      <c r="S10" s="140">
        <f ca="1">IF(ISNUMBER(MATCH(DATEVALUE($A10),'changes1_based on steps'!S$1:S$400,0)),S$2,)</f>
        <v>0</v>
      </c>
      <c r="T10" s="140">
        <f ca="1">IF(ISNUMBER(MATCH(DATEVALUE($A10),'changes1_based on steps'!T$1:T$400,0)),T$2,)</f>
        <v>0</v>
      </c>
      <c r="U10" s="140">
        <f ca="1">IF(ISNUMBER(MATCH(DATEVALUE($A10),'changes1_based on steps'!U$1:U$400,0)),U$2,)</f>
        <v>0</v>
      </c>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row>
    <row r="11" spans="1:101" x14ac:dyDescent="0.2">
      <c r="A11" s="29" t="str">
        <f t="shared" ca="1" si="0"/>
        <v>2025-04-04</v>
      </c>
      <c r="B11" s="140">
        <f ca="1">IF(ISNUMBER(MATCH(DATEVALUE($A11),'changes1_based on steps'!B$1:B$400,0)),B$2,)</f>
        <v>0</v>
      </c>
      <c r="C11" s="140">
        <f ca="1">IF(ISNUMBER(MATCH(DATEVALUE($A11),'changes1_based on steps'!C$1:C$400,0)),C$2,)</f>
        <v>0</v>
      </c>
      <c r="D11" s="140">
        <f ca="1">IF(ISNUMBER(MATCH(DATEVALUE($A11),'changes1_based on steps'!D$1:D$400,0)),D$2,)</f>
        <v>0</v>
      </c>
      <c r="E11" s="140">
        <f ca="1">IF(ISNUMBER(MATCH(DATEVALUE($A11),'changes1_based on steps'!E$1:E$400,0)),E$2,)</f>
        <v>0</v>
      </c>
      <c r="F11" s="140">
        <f ca="1">IF(ISNUMBER(MATCH(DATEVALUE($A11),'changes1_based on steps'!F$1:F$400,0)),F$2,)</f>
        <v>0</v>
      </c>
      <c r="G11" s="140">
        <f ca="1">IF(ISNUMBER(MATCH(DATEVALUE($A11),'changes1_based on steps'!G$1:G$400,0)),G$2,)</f>
        <v>0</v>
      </c>
      <c r="H11" s="140">
        <f ca="1">IF(ISNUMBER(MATCH(DATEVALUE($A11),'changes1_based on steps'!H$1:H$400,0)),H$2,)</f>
        <v>0</v>
      </c>
      <c r="I11" s="140">
        <f ca="1">IF(ISNUMBER(MATCH(DATEVALUE($A11),'changes1_based on steps'!I$1:I$400,0)),I$2,)</f>
        <v>0</v>
      </c>
      <c r="J11" s="140">
        <f ca="1">IF(ISNUMBER(MATCH(DATEVALUE($A11),'changes1_based on steps'!J$1:J$400,0)),J$2,)</f>
        <v>0</v>
      </c>
      <c r="K11" s="140">
        <f ca="1">IF(ISNUMBER(MATCH(DATEVALUE($A11),'changes1_based on steps'!K$1:K$400,0)),K$2,)</f>
        <v>0</v>
      </c>
      <c r="L11" s="140">
        <f ca="1">IF(ISNUMBER(MATCH(DATEVALUE($A11),'changes1_based on steps'!L$1:L$400,0)),L$2,)</f>
        <v>0</v>
      </c>
      <c r="M11" s="140">
        <f ca="1">IF(ISNUMBER(MATCH(DATEVALUE($A11),'changes1_based on steps'!M$1:M$400,0)),M$2,)</f>
        <v>0</v>
      </c>
      <c r="N11" s="140">
        <f ca="1">IF(ISNUMBER(MATCH(DATEVALUE($A11),'changes1_based on steps'!N$1:N$400,0)),N$2,)</f>
        <v>0</v>
      </c>
      <c r="O11" s="140">
        <f ca="1">IF(ISNUMBER(MATCH(DATEVALUE($A11),'changes1_based on steps'!O$1:O$400,0)),O$2,)</f>
        <v>0</v>
      </c>
      <c r="P11" s="140">
        <f ca="1">IF(ISNUMBER(MATCH(DATEVALUE($A11),'changes1_based on steps'!P$1:P$400,0)),P$2,)</f>
        <v>0</v>
      </c>
      <c r="Q11" s="140">
        <f ca="1">IF(ISNUMBER(MATCH(DATEVALUE($A11),'changes1_based on steps'!Q$1:Q$400,0)),Q$2,)</f>
        <v>0</v>
      </c>
      <c r="R11" s="140">
        <f ca="1">IF(ISNUMBER(MATCH(DATEVALUE($A11),'changes1_based on steps'!R$1:R$400,0)),R$2,)</f>
        <v>0</v>
      </c>
      <c r="S11" s="140">
        <f ca="1">IF(ISNUMBER(MATCH(DATEVALUE($A11),'changes1_based on steps'!S$1:S$400,0)),S$2,)</f>
        <v>0</v>
      </c>
      <c r="T11" s="140">
        <f ca="1">IF(ISNUMBER(MATCH(DATEVALUE($A11),'changes1_based on steps'!T$1:T$400,0)),T$2,)</f>
        <v>0</v>
      </c>
      <c r="U11" s="140">
        <f ca="1">IF(ISNUMBER(MATCH(DATEVALUE($A11),'changes1_based on steps'!U$1:U$400,0)),U$2,)</f>
        <v>0</v>
      </c>
      <c r="V11" s="140"/>
      <c r="W11" s="140"/>
      <c r="X11" s="140"/>
      <c r="Y11" s="140"/>
      <c r="Z11" s="140"/>
      <c r="AA11" s="140"/>
      <c r="AB11" s="140"/>
      <c r="AC11" s="140"/>
      <c r="AD11" s="140"/>
      <c r="AE11" s="140"/>
      <c r="AF11" s="140"/>
      <c r="AG11" s="140"/>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row>
    <row r="12" spans="1:101" x14ac:dyDescent="0.2">
      <c r="A12" s="29" t="str">
        <f t="shared" ca="1" si="0"/>
        <v>2025-04-05</v>
      </c>
      <c r="B12" s="140">
        <f ca="1">IF(ISNUMBER(MATCH(DATEVALUE($A12),'changes1_based on steps'!B$1:B$400,0)),B$2,)</f>
        <v>0</v>
      </c>
      <c r="C12" s="140">
        <f ca="1">IF(ISNUMBER(MATCH(DATEVALUE($A12),'changes1_based on steps'!C$1:C$400,0)),C$2,)</f>
        <v>0</v>
      </c>
      <c r="D12" s="140">
        <f ca="1">IF(ISNUMBER(MATCH(DATEVALUE($A12),'changes1_based on steps'!D$1:D$400,0)),D$2,)</f>
        <v>0</v>
      </c>
      <c r="E12" s="140">
        <f ca="1">IF(ISNUMBER(MATCH(DATEVALUE($A12),'changes1_based on steps'!E$1:E$400,0)),E$2,)</f>
        <v>0</v>
      </c>
      <c r="F12" s="140">
        <f ca="1">IF(ISNUMBER(MATCH(DATEVALUE($A12),'changes1_based on steps'!F$1:F$400,0)),F$2,)</f>
        <v>0</v>
      </c>
      <c r="G12" s="140">
        <f ca="1">IF(ISNUMBER(MATCH(DATEVALUE($A12),'changes1_based on steps'!G$1:G$400,0)),G$2,)</f>
        <v>0</v>
      </c>
      <c r="H12" s="140">
        <f ca="1">IF(ISNUMBER(MATCH(DATEVALUE($A12),'changes1_based on steps'!H$1:H$400,0)),H$2,)</f>
        <v>0</v>
      </c>
      <c r="I12" s="140">
        <f ca="1">IF(ISNUMBER(MATCH(DATEVALUE($A12),'changes1_based on steps'!I$1:I$400,0)),I$2,)</f>
        <v>0</v>
      </c>
      <c r="J12" s="140">
        <f ca="1">IF(ISNUMBER(MATCH(DATEVALUE($A12),'changes1_based on steps'!J$1:J$400,0)),J$2,)</f>
        <v>0</v>
      </c>
      <c r="K12" s="140">
        <f ca="1">IF(ISNUMBER(MATCH(DATEVALUE($A12),'changes1_based on steps'!K$1:K$400,0)),K$2,)</f>
        <v>0</v>
      </c>
      <c r="L12" s="140">
        <f ca="1">IF(ISNUMBER(MATCH(DATEVALUE($A12),'changes1_based on steps'!L$1:L$400,0)),L$2,)</f>
        <v>0</v>
      </c>
      <c r="M12" s="140">
        <f ca="1">IF(ISNUMBER(MATCH(DATEVALUE($A12),'changes1_based on steps'!M$1:M$400,0)),M$2,)</f>
        <v>0</v>
      </c>
      <c r="N12" s="140">
        <f ca="1">IF(ISNUMBER(MATCH(DATEVALUE($A12),'changes1_based on steps'!N$1:N$400,0)),N$2,)</f>
        <v>0</v>
      </c>
      <c r="O12" s="140">
        <f ca="1">IF(ISNUMBER(MATCH(DATEVALUE($A12),'changes1_based on steps'!O$1:O$400,0)),O$2,)</f>
        <v>0</v>
      </c>
      <c r="P12" s="140">
        <f ca="1">IF(ISNUMBER(MATCH(DATEVALUE($A12),'changes1_based on steps'!P$1:P$400,0)),P$2,)</f>
        <v>0</v>
      </c>
      <c r="Q12" s="140">
        <f ca="1">IF(ISNUMBER(MATCH(DATEVALUE($A12),'changes1_based on steps'!Q$1:Q$400,0)),Q$2,)</f>
        <v>0</v>
      </c>
      <c r="R12" s="140">
        <f ca="1">IF(ISNUMBER(MATCH(DATEVALUE($A12),'changes1_based on steps'!R$1:R$400,0)),R$2,)</f>
        <v>0</v>
      </c>
      <c r="S12" s="140">
        <f ca="1">IF(ISNUMBER(MATCH(DATEVALUE($A12),'changes1_based on steps'!S$1:S$400,0)),S$2,)</f>
        <v>0</v>
      </c>
      <c r="T12" s="140">
        <f ca="1">IF(ISNUMBER(MATCH(DATEVALUE($A12),'changes1_based on steps'!T$1:T$400,0)),T$2,)</f>
        <v>0</v>
      </c>
      <c r="U12" s="140">
        <f ca="1">IF(ISNUMBER(MATCH(DATEVALUE($A12),'changes1_based on steps'!U$1:U$400,0)),U$2,)</f>
        <v>0</v>
      </c>
      <c r="V12" s="140"/>
      <c r="W12" s="140"/>
      <c r="X12" s="140"/>
      <c r="Y12" s="140"/>
      <c r="Z12" s="140"/>
      <c r="AA12" s="140"/>
      <c r="AB12" s="140"/>
      <c r="AC12" s="140"/>
      <c r="AD12" s="140"/>
      <c r="AE12" s="140"/>
      <c r="AF12" s="140"/>
      <c r="AG12" s="140"/>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row>
    <row r="13" spans="1:101" x14ac:dyDescent="0.2">
      <c r="A13" s="29" t="str">
        <f t="shared" ca="1" si="0"/>
        <v>2025-04-06</v>
      </c>
      <c r="B13" s="140">
        <f ca="1">IF(ISNUMBER(MATCH(DATEVALUE($A13),'changes1_based on steps'!B$1:B$400,0)),B$2,)</f>
        <v>0</v>
      </c>
      <c r="C13" s="140">
        <f ca="1">IF(ISNUMBER(MATCH(DATEVALUE($A13),'changes1_based on steps'!C$1:C$400,0)),C$2,)</f>
        <v>0</v>
      </c>
      <c r="D13" s="140">
        <f ca="1">IF(ISNUMBER(MATCH(DATEVALUE($A13),'changes1_based on steps'!D$1:D$400,0)),D$2,)</f>
        <v>0</v>
      </c>
      <c r="E13" s="140">
        <f ca="1">IF(ISNUMBER(MATCH(DATEVALUE($A13),'changes1_based on steps'!E$1:E$400,0)),E$2,)</f>
        <v>0</v>
      </c>
      <c r="F13" s="140">
        <f ca="1">IF(ISNUMBER(MATCH(DATEVALUE($A13),'changes1_based on steps'!F$1:F$400,0)),F$2,)</f>
        <v>0</v>
      </c>
      <c r="G13" s="140">
        <f ca="1">IF(ISNUMBER(MATCH(DATEVALUE($A13),'changes1_based on steps'!G$1:G$400,0)),G$2,)</f>
        <v>0</v>
      </c>
      <c r="H13" s="140">
        <f ca="1">IF(ISNUMBER(MATCH(DATEVALUE($A13),'changes1_based on steps'!H$1:H$400,0)),H$2,)</f>
        <v>0</v>
      </c>
      <c r="I13" s="140">
        <f ca="1">IF(ISNUMBER(MATCH(DATEVALUE($A13),'changes1_based on steps'!I$1:I$400,0)),I$2,)</f>
        <v>0</v>
      </c>
      <c r="J13" s="140">
        <f ca="1">IF(ISNUMBER(MATCH(DATEVALUE($A13),'changes1_based on steps'!J$1:J$400,0)),J$2,)</f>
        <v>0</v>
      </c>
      <c r="K13" s="140">
        <f ca="1">IF(ISNUMBER(MATCH(DATEVALUE($A13),'changes1_based on steps'!K$1:K$400,0)),K$2,)</f>
        <v>0</v>
      </c>
      <c r="L13" s="140">
        <f ca="1">IF(ISNUMBER(MATCH(DATEVALUE($A13),'changes1_based on steps'!L$1:L$400,0)),L$2,)</f>
        <v>0</v>
      </c>
      <c r="M13" s="140">
        <f ca="1">IF(ISNUMBER(MATCH(DATEVALUE($A13),'changes1_based on steps'!M$1:M$400,0)),M$2,)</f>
        <v>0</v>
      </c>
      <c r="N13" s="140">
        <f ca="1">IF(ISNUMBER(MATCH(DATEVALUE($A13),'changes1_based on steps'!N$1:N$400,0)),N$2,)</f>
        <v>0</v>
      </c>
      <c r="O13" s="140">
        <f ca="1">IF(ISNUMBER(MATCH(DATEVALUE($A13),'changes1_based on steps'!O$1:O$400,0)),O$2,)</f>
        <v>0</v>
      </c>
      <c r="P13" s="140">
        <f ca="1">IF(ISNUMBER(MATCH(DATEVALUE($A13),'changes1_based on steps'!P$1:P$400,0)),P$2,)</f>
        <v>0</v>
      </c>
      <c r="Q13" s="140">
        <f ca="1">IF(ISNUMBER(MATCH(DATEVALUE($A13),'changes1_based on steps'!Q$1:Q$400,0)),Q$2,)</f>
        <v>0</v>
      </c>
      <c r="R13" s="140">
        <f ca="1">IF(ISNUMBER(MATCH(DATEVALUE($A13),'changes1_based on steps'!R$1:R$400,0)),R$2,)</f>
        <v>0</v>
      </c>
      <c r="S13" s="140">
        <f ca="1">IF(ISNUMBER(MATCH(DATEVALUE($A13),'changes1_based on steps'!S$1:S$400,0)),S$2,)</f>
        <v>0</v>
      </c>
      <c r="T13" s="140">
        <f ca="1">IF(ISNUMBER(MATCH(DATEVALUE($A13),'changes1_based on steps'!T$1:T$400,0)),T$2,)</f>
        <v>0</v>
      </c>
      <c r="U13" s="140">
        <f ca="1">IF(ISNUMBER(MATCH(DATEVALUE($A13),'changes1_based on steps'!U$1:U$400,0)),U$2,)</f>
        <v>0</v>
      </c>
      <c r="V13" s="140"/>
      <c r="W13" s="140"/>
      <c r="X13" s="140"/>
      <c r="Y13" s="140"/>
      <c r="Z13" s="140"/>
      <c r="AA13" s="140"/>
      <c r="AB13" s="140"/>
      <c r="AC13" s="140"/>
      <c r="AD13" s="140"/>
      <c r="AE13" s="140"/>
      <c r="AF13" s="140"/>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row>
    <row r="14" spans="1:101" x14ac:dyDescent="0.2">
      <c r="A14" s="29" t="str">
        <f t="shared" ca="1" si="0"/>
        <v>2025-04-07</v>
      </c>
      <c r="B14" s="140">
        <f ca="1">IF(ISNUMBER(MATCH(DATEVALUE($A14),'changes1_based on steps'!B$1:B$400,0)),B$2,)</f>
        <v>0</v>
      </c>
      <c r="C14" s="140">
        <f ca="1">IF(ISNUMBER(MATCH(DATEVALUE($A14),'changes1_based on steps'!C$1:C$400,0)),C$2,)</f>
        <v>0</v>
      </c>
      <c r="D14" s="140">
        <f ca="1">IF(ISNUMBER(MATCH(DATEVALUE($A14),'changes1_based on steps'!D$1:D$400,0)),D$2,)</f>
        <v>0</v>
      </c>
      <c r="E14" s="140">
        <f ca="1">IF(ISNUMBER(MATCH(DATEVALUE($A14),'changes1_based on steps'!E$1:E$400,0)),E$2,)</f>
        <v>0</v>
      </c>
      <c r="F14" s="140">
        <f ca="1">IF(ISNUMBER(MATCH(DATEVALUE($A14),'changes1_based on steps'!F$1:F$400,0)),F$2,)</f>
        <v>0</v>
      </c>
      <c r="G14" s="140">
        <f ca="1">IF(ISNUMBER(MATCH(DATEVALUE($A14),'changes1_based on steps'!G$1:G$400,0)),G$2,)</f>
        <v>0</v>
      </c>
      <c r="H14" s="140">
        <f ca="1">IF(ISNUMBER(MATCH(DATEVALUE($A14),'changes1_based on steps'!H$1:H$400,0)),H$2,)</f>
        <v>0</v>
      </c>
      <c r="I14" s="140">
        <f ca="1">IF(ISNUMBER(MATCH(DATEVALUE($A14),'changes1_based on steps'!I$1:I$400,0)),I$2,)</f>
        <v>0</v>
      </c>
      <c r="J14" s="140">
        <f ca="1">IF(ISNUMBER(MATCH(DATEVALUE($A14),'changes1_based on steps'!J$1:J$400,0)),J$2,)</f>
        <v>0</v>
      </c>
      <c r="K14" s="140">
        <f ca="1">IF(ISNUMBER(MATCH(DATEVALUE($A14),'changes1_based on steps'!K$1:K$400,0)),K$2,)</f>
        <v>0</v>
      </c>
      <c r="L14" s="140">
        <f ca="1">IF(ISNUMBER(MATCH(DATEVALUE($A14),'changes1_based on steps'!L$1:L$400,0)),L$2,)</f>
        <v>0</v>
      </c>
      <c r="M14" s="140">
        <f ca="1">IF(ISNUMBER(MATCH(DATEVALUE($A14),'changes1_based on steps'!M$1:M$400,0)),M$2,)</f>
        <v>0</v>
      </c>
      <c r="N14" s="140">
        <f ca="1">IF(ISNUMBER(MATCH(DATEVALUE($A14),'changes1_based on steps'!N$1:N$400,0)),N$2,)</f>
        <v>0</v>
      </c>
      <c r="O14" s="140">
        <f ca="1">IF(ISNUMBER(MATCH(DATEVALUE($A14),'changes1_based on steps'!O$1:O$400,0)),O$2,)</f>
        <v>0</v>
      </c>
      <c r="P14" s="140">
        <f ca="1">IF(ISNUMBER(MATCH(DATEVALUE($A14),'changes1_based on steps'!P$1:P$400,0)),P$2,)</f>
        <v>0</v>
      </c>
      <c r="Q14" s="140">
        <f ca="1">IF(ISNUMBER(MATCH(DATEVALUE($A14),'changes1_based on steps'!Q$1:Q$400,0)),Q$2,)</f>
        <v>0</v>
      </c>
      <c r="R14" s="140">
        <f ca="1">IF(ISNUMBER(MATCH(DATEVALUE($A14),'changes1_based on steps'!R$1:R$400,0)),R$2,)</f>
        <v>0</v>
      </c>
      <c r="S14" s="140">
        <f ca="1">IF(ISNUMBER(MATCH(DATEVALUE($A14),'changes1_based on steps'!S$1:S$400,0)),S$2,)</f>
        <v>0</v>
      </c>
      <c r="T14" s="140">
        <f ca="1">IF(ISNUMBER(MATCH(DATEVALUE($A14),'changes1_based on steps'!T$1:T$400,0)),T$2,)</f>
        <v>0</v>
      </c>
      <c r="U14" s="140">
        <f ca="1">IF(ISNUMBER(MATCH(DATEVALUE($A14),'changes1_based on steps'!U$1:U$400,0)),U$2,)</f>
        <v>0</v>
      </c>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row>
    <row r="15" spans="1:101" x14ac:dyDescent="0.2">
      <c r="A15" s="29" t="str">
        <f t="shared" ca="1" si="0"/>
        <v>2025-04-08</v>
      </c>
      <c r="B15" s="140">
        <f ca="1">IF(ISNUMBER(MATCH(DATEVALUE($A15),'changes1_based on steps'!B$1:B$400,0)),B$2,)</f>
        <v>0</v>
      </c>
      <c r="C15" s="140">
        <f ca="1">IF(ISNUMBER(MATCH(DATEVALUE($A15),'changes1_based on steps'!C$1:C$400,0)),C$2,)</f>
        <v>0</v>
      </c>
      <c r="D15" s="140">
        <f ca="1">IF(ISNUMBER(MATCH(DATEVALUE($A15),'changes1_based on steps'!D$1:D$400,0)),D$2,)</f>
        <v>0</v>
      </c>
      <c r="E15" s="140">
        <f ca="1">IF(ISNUMBER(MATCH(DATEVALUE($A15),'changes1_based on steps'!E$1:E$400,0)),E$2,)</f>
        <v>0</v>
      </c>
      <c r="F15" s="140">
        <f ca="1">IF(ISNUMBER(MATCH(DATEVALUE($A15),'changes1_based on steps'!F$1:F$400,0)),F$2,)</f>
        <v>0</v>
      </c>
      <c r="G15" s="140">
        <f ca="1">IF(ISNUMBER(MATCH(DATEVALUE($A15),'changes1_based on steps'!G$1:G$400,0)),G$2,)</f>
        <v>0</v>
      </c>
      <c r="H15" s="140">
        <f ca="1">IF(ISNUMBER(MATCH(DATEVALUE($A15),'changes1_based on steps'!H$1:H$400,0)),H$2,)</f>
        <v>0</v>
      </c>
      <c r="I15" s="140">
        <f ca="1">IF(ISNUMBER(MATCH(DATEVALUE($A15),'changes1_based on steps'!I$1:I$400,0)),I$2,)</f>
        <v>0</v>
      </c>
      <c r="J15" s="140">
        <f ca="1">IF(ISNUMBER(MATCH(DATEVALUE($A15),'changes1_based on steps'!J$1:J$400,0)),J$2,)</f>
        <v>0</v>
      </c>
      <c r="K15" s="140">
        <f ca="1">IF(ISNUMBER(MATCH(DATEVALUE($A15),'changes1_based on steps'!K$1:K$400,0)),K$2,)</f>
        <v>0</v>
      </c>
      <c r="L15" s="140">
        <f ca="1">IF(ISNUMBER(MATCH(DATEVALUE($A15),'changes1_based on steps'!L$1:L$400,0)),L$2,)</f>
        <v>0</v>
      </c>
      <c r="M15" s="140">
        <f ca="1">IF(ISNUMBER(MATCH(DATEVALUE($A15),'changes1_based on steps'!M$1:M$400,0)),M$2,)</f>
        <v>0</v>
      </c>
      <c r="N15" s="140">
        <f ca="1">IF(ISNUMBER(MATCH(DATEVALUE($A15),'changes1_based on steps'!N$1:N$400,0)),N$2,)</f>
        <v>0</v>
      </c>
      <c r="O15" s="140">
        <f ca="1">IF(ISNUMBER(MATCH(DATEVALUE($A15),'changes1_based on steps'!O$1:O$400,0)),O$2,)</f>
        <v>0</v>
      </c>
      <c r="P15" s="140">
        <f ca="1">IF(ISNUMBER(MATCH(DATEVALUE($A15),'changes1_based on steps'!P$1:P$400,0)),P$2,)</f>
        <v>0</v>
      </c>
      <c r="Q15" s="140">
        <f ca="1">IF(ISNUMBER(MATCH(DATEVALUE($A15),'changes1_based on steps'!Q$1:Q$400,0)),Q$2,)</f>
        <v>0</v>
      </c>
      <c r="R15" s="140">
        <f ca="1">IF(ISNUMBER(MATCH(DATEVALUE($A15),'changes1_based on steps'!R$1:R$400,0)),R$2,)</f>
        <v>0</v>
      </c>
      <c r="S15" s="140">
        <f ca="1">IF(ISNUMBER(MATCH(DATEVALUE($A15),'changes1_based on steps'!S$1:S$400,0)),S$2,)</f>
        <v>0</v>
      </c>
      <c r="T15" s="140">
        <f ca="1">IF(ISNUMBER(MATCH(DATEVALUE($A15),'changes1_based on steps'!T$1:T$400,0)),T$2,)</f>
        <v>0</v>
      </c>
      <c r="U15" s="140">
        <f ca="1">IF(ISNUMBER(MATCH(DATEVALUE($A15),'changes1_based on steps'!U$1:U$400,0)),U$2,)</f>
        <v>0</v>
      </c>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row>
    <row r="16" spans="1:101" x14ac:dyDescent="0.2">
      <c r="A16" s="29" t="str">
        <f t="shared" ca="1" si="0"/>
        <v>2025-04-09</v>
      </c>
      <c r="B16" s="140">
        <f ca="1">IF(ISNUMBER(MATCH(DATEVALUE($A16),'changes1_based on steps'!B$1:B$400,0)),B$2,)</f>
        <v>0</v>
      </c>
      <c r="C16" s="140">
        <f ca="1">IF(ISNUMBER(MATCH(DATEVALUE($A16),'changes1_based on steps'!C$1:C$400,0)),C$2,)</f>
        <v>0</v>
      </c>
      <c r="D16" s="140">
        <f ca="1">IF(ISNUMBER(MATCH(DATEVALUE($A16),'changes1_based on steps'!D$1:D$400,0)),D$2,)</f>
        <v>0</v>
      </c>
      <c r="E16" s="140">
        <f ca="1">IF(ISNUMBER(MATCH(DATEVALUE($A16),'changes1_based on steps'!E$1:E$400,0)),E$2,)</f>
        <v>0</v>
      </c>
      <c r="F16" s="140">
        <f ca="1">IF(ISNUMBER(MATCH(DATEVALUE($A16),'changes1_based on steps'!F$1:F$400,0)),F$2,)</f>
        <v>0</v>
      </c>
      <c r="G16" s="140">
        <f ca="1">IF(ISNUMBER(MATCH(DATEVALUE($A16),'changes1_based on steps'!G$1:G$400,0)),G$2,)</f>
        <v>0</v>
      </c>
      <c r="H16" s="140">
        <f ca="1">IF(ISNUMBER(MATCH(DATEVALUE($A16),'changes1_based on steps'!H$1:H$400,0)),H$2,)</f>
        <v>0</v>
      </c>
      <c r="I16" s="140">
        <f ca="1">IF(ISNUMBER(MATCH(DATEVALUE($A16),'changes1_based on steps'!I$1:I$400,0)),I$2,)</f>
        <v>0</v>
      </c>
      <c r="J16" s="140">
        <f ca="1">IF(ISNUMBER(MATCH(DATEVALUE($A16),'changes1_based on steps'!J$1:J$400,0)),J$2,)</f>
        <v>0</v>
      </c>
      <c r="K16" s="140">
        <f ca="1">IF(ISNUMBER(MATCH(DATEVALUE($A16),'changes1_based on steps'!K$1:K$400,0)),K$2,)</f>
        <v>0</v>
      </c>
      <c r="L16" s="140">
        <f ca="1">IF(ISNUMBER(MATCH(DATEVALUE($A16),'changes1_based on steps'!L$1:L$400,0)),L$2,)</f>
        <v>0</v>
      </c>
      <c r="M16" s="140">
        <f ca="1">IF(ISNUMBER(MATCH(DATEVALUE($A16),'changes1_based on steps'!M$1:M$400,0)),M$2,)</f>
        <v>0</v>
      </c>
      <c r="N16" s="140">
        <f ca="1">IF(ISNUMBER(MATCH(DATEVALUE($A16),'changes1_based on steps'!N$1:N$400,0)),N$2,)</f>
        <v>0</v>
      </c>
      <c r="O16" s="140">
        <f ca="1">IF(ISNUMBER(MATCH(DATEVALUE($A16),'changes1_based on steps'!O$1:O$400,0)),O$2,)</f>
        <v>0</v>
      </c>
      <c r="P16" s="140">
        <f ca="1">IF(ISNUMBER(MATCH(DATEVALUE($A16),'changes1_based on steps'!P$1:P$400,0)),P$2,)</f>
        <v>0</v>
      </c>
      <c r="Q16" s="140">
        <f ca="1">IF(ISNUMBER(MATCH(DATEVALUE($A16),'changes1_based on steps'!Q$1:Q$400,0)),Q$2,)</f>
        <v>0</v>
      </c>
      <c r="R16" s="140">
        <f ca="1">IF(ISNUMBER(MATCH(DATEVALUE($A16),'changes1_based on steps'!R$1:R$400,0)),R$2,)</f>
        <v>0</v>
      </c>
      <c r="S16" s="140">
        <f ca="1">IF(ISNUMBER(MATCH(DATEVALUE($A16),'changes1_based on steps'!S$1:S$400,0)),S$2,)</f>
        <v>0</v>
      </c>
      <c r="T16" s="140">
        <f ca="1">IF(ISNUMBER(MATCH(DATEVALUE($A16),'changes1_based on steps'!T$1:T$400,0)),T$2,)</f>
        <v>0</v>
      </c>
      <c r="U16" s="140">
        <f ca="1">IF(ISNUMBER(MATCH(DATEVALUE($A16),'changes1_based on steps'!U$1:U$400,0)),U$2,)</f>
        <v>0</v>
      </c>
      <c r="V16" s="140"/>
      <c r="W16" s="140"/>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row>
    <row r="17" spans="1:101" x14ac:dyDescent="0.2">
      <c r="A17" s="29" t="str">
        <f t="shared" ca="1" si="0"/>
        <v>2025-04-10</v>
      </c>
      <c r="B17" s="140">
        <f ca="1">IF(ISNUMBER(MATCH(DATEVALUE($A17),'changes1_based on steps'!B$1:B$400,0)),B$2,)</f>
        <v>0</v>
      </c>
      <c r="C17" s="140">
        <f ca="1">IF(ISNUMBER(MATCH(DATEVALUE($A17),'changes1_based on steps'!C$1:C$400,0)),C$2,)</f>
        <v>0</v>
      </c>
      <c r="D17" s="140">
        <f ca="1">IF(ISNUMBER(MATCH(DATEVALUE($A17),'changes1_based on steps'!D$1:D$400,0)),D$2,)</f>
        <v>0</v>
      </c>
      <c r="E17" s="140">
        <f ca="1">IF(ISNUMBER(MATCH(DATEVALUE($A17),'changes1_based on steps'!E$1:E$400,0)),E$2,)</f>
        <v>0</v>
      </c>
      <c r="F17" s="140">
        <f ca="1">IF(ISNUMBER(MATCH(DATEVALUE($A17),'changes1_based on steps'!F$1:F$400,0)),F$2,)</f>
        <v>0</v>
      </c>
      <c r="G17" s="140">
        <f ca="1">IF(ISNUMBER(MATCH(DATEVALUE($A17),'changes1_based on steps'!G$1:G$400,0)),G$2,)</f>
        <v>0</v>
      </c>
      <c r="H17" s="140">
        <f ca="1">IF(ISNUMBER(MATCH(DATEVALUE($A17),'changes1_based on steps'!H$1:H$400,0)),H$2,)</f>
        <v>0</v>
      </c>
      <c r="I17" s="140">
        <f ca="1">IF(ISNUMBER(MATCH(DATEVALUE($A17),'changes1_based on steps'!I$1:I$400,0)),I$2,)</f>
        <v>0</v>
      </c>
      <c r="J17" s="140">
        <f ca="1">IF(ISNUMBER(MATCH(DATEVALUE($A17),'changes1_based on steps'!J$1:J$400,0)),J$2,)</f>
        <v>0</v>
      </c>
      <c r="K17" s="140">
        <f ca="1">IF(ISNUMBER(MATCH(DATEVALUE($A17),'changes1_based on steps'!K$1:K$400,0)),K$2,)</f>
        <v>0</v>
      </c>
      <c r="L17" s="140">
        <f ca="1">IF(ISNUMBER(MATCH(DATEVALUE($A17),'changes1_based on steps'!L$1:L$400,0)),L$2,)</f>
        <v>0</v>
      </c>
      <c r="M17" s="140">
        <f ca="1">IF(ISNUMBER(MATCH(DATEVALUE($A17),'changes1_based on steps'!M$1:M$400,0)),M$2,)</f>
        <v>0</v>
      </c>
      <c r="N17" s="140">
        <f ca="1">IF(ISNUMBER(MATCH(DATEVALUE($A17),'changes1_based on steps'!N$1:N$400,0)),N$2,)</f>
        <v>0</v>
      </c>
      <c r="O17" s="140">
        <f ca="1">IF(ISNUMBER(MATCH(DATEVALUE($A17),'changes1_based on steps'!O$1:O$400,0)),O$2,)</f>
        <v>0</v>
      </c>
      <c r="P17" s="140">
        <f ca="1">IF(ISNUMBER(MATCH(DATEVALUE($A17),'changes1_based on steps'!P$1:P$400,0)),P$2,)</f>
        <v>0</v>
      </c>
      <c r="Q17" s="140">
        <f ca="1">IF(ISNUMBER(MATCH(DATEVALUE($A17),'changes1_based on steps'!Q$1:Q$400,0)),Q$2,)</f>
        <v>0</v>
      </c>
      <c r="R17" s="140">
        <f ca="1">IF(ISNUMBER(MATCH(DATEVALUE($A17),'changes1_based on steps'!R$1:R$400,0)),R$2,)</f>
        <v>0</v>
      </c>
      <c r="S17" s="140">
        <f ca="1">IF(ISNUMBER(MATCH(DATEVALUE($A17),'changes1_based on steps'!S$1:S$400,0)),S$2,)</f>
        <v>0</v>
      </c>
      <c r="T17" s="140">
        <f ca="1">IF(ISNUMBER(MATCH(DATEVALUE($A17),'changes1_based on steps'!T$1:T$400,0)),T$2,)</f>
        <v>0</v>
      </c>
      <c r="U17" s="140">
        <f ca="1">IF(ISNUMBER(MATCH(DATEVALUE($A17),'changes1_based on steps'!U$1:U$400,0)),U$2,)</f>
        <v>0</v>
      </c>
      <c r="V17" s="140"/>
      <c r="W17" s="140"/>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row>
    <row r="18" spans="1:101" x14ac:dyDescent="0.2">
      <c r="A18" s="29" t="str">
        <f t="shared" ca="1" si="0"/>
        <v>2025-04-11</v>
      </c>
      <c r="B18" s="140">
        <f ca="1">IF(ISNUMBER(MATCH(DATEVALUE($A18),'changes1_based on steps'!B$1:B$400,0)),B$2,)</f>
        <v>0</v>
      </c>
      <c r="C18" s="140">
        <f ca="1">IF(ISNUMBER(MATCH(DATEVALUE($A18),'changes1_based on steps'!C$1:C$400,0)),C$2,)</f>
        <v>0</v>
      </c>
      <c r="D18" s="140">
        <f ca="1">IF(ISNUMBER(MATCH(DATEVALUE($A18),'changes1_based on steps'!D$1:D$400,0)),D$2,)</f>
        <v>0</v>
      </c>
      <c r="E18" s="140">
        <f ca="1">IF(ISNUMBER(MATCH(DATEVALUE($A18),'changes1_based on steps'!E$1:E$400,0)),E$2,)</f>
        <v>0</v>
      </c>
      <c r="F18" s="140">
        <f ca="1">IF(ISNUMBER(MATCH(DATEVALUE($A18),'changes1_based on steps'!F$1:F$400,0)),F$2,)</f>
        <v>0</v>
      </c>
      <c r="G18" s="140">
        <f ca="1">IF(ISNUMBER(MATCH(DATEVALUE($A18),'changes1_based on steps'!G$1:G$400,0)),G$2,)</f>
        <v>0</v>
      </c>
      <c r="H18" s="140">
        <f ca="1">IF(ISNUMBER(MATCH(DATEVALUE($A18),'changes1_based on steps'!H$1:H$400,0)),H$2,)</f>
        <v>0</v>
      </c>
      <c r="I18" s="140">
        <f ca="1">IF(ISNUMBER(MATCH(DATEVALUE($A18),'changes1_based on steps'!I$1:I$400,0)),I$2,)</f>
        <v>0</v>
      </c>
      <c r="J18" s="140">
        <f ca="1">IF(ISNUMBER(MATCH(DATEVALUE($A18),'changes1_based on steps'!J$1:J$400,0)),J$2,)</f>
        <v>0</v>
      </c>
      <c r="K18" s="140">
        <f ca="1">IF(ISNUMBER(MATCH(DATEVALUE($A18),'changes1_based on steps'!K$1:K$400,0)),K$2,)</f>
        <v>0</v>
      </c>
      <c r="L18" s="140">
        <f ca="1">IF(ISNUMBER(MATCH(DATEVALUE($A18),'changes1_based on steps'!L$1:L$400,0)),L$2,)</f>
        <v>0</v>
      </c>
      <c r="M18" s="140">
        <f ca="1">IF(ISNUMBER(MATCH(DATEVALUE($A18),'changes1_based on steps'!M$1:M$400,0)),M$2,)</f>
        <v>0</v>
      </c>
      <c r="N18" s="140">
        <f ca="1">IF(ISNUMBER(MATCH(DATEVALUE($A18),'changes1_based on steps'!N$1:N$400,0)),N$2,)</f>
        <v>0</v>
      </c>
      <c r="O18" s="140">
        <f ca="1">IF(ISNUMBER(MATCH(DATEVALUE($A18),'changes1_based on steps'!O$1:O$400,0)),O$2,)</f>
        <v>0</v>
      </c>
      <c r="P18" s="140">
        <f ca="1">IF(ISNUMBER(MATCH(DATEVALUE($A18),'changes1_based on steps'!P$1:P$400,0)),P$2,)</f>
        <v>0</v>
      </c>
      <c r="Q18" s="140">
        <f ca="1">IF(ISNUMBER(MATCH(DATEVALUE($A18),'changes1_based on steps'!Q$1:Q$400,0)),Q$2,)</f>
        <v>0</v>
      </c>
      <c r="R18" s="140">
        <f ca="1">IF(ISNUMBER(MATCH(DATEVALUE($A18),'changes1_based on steps'!R$1:R$400,0)),R$2,)</f>
        <v>0</v>
      </c>
      <c r="S18" s="140">
        <f ca="1">IF(ISNUMBER(MATCH(DATEVALUE($A18),'changes1_based on steps'!S$1:S$400,0)),S$2,)</f>
        <v>0</v>
      </c>
      <c r="T18" s="140">
        <f ca="1">IF(ISNUMBER(MATCH(DATEVALUE($A18),'changes1_based on steps'!T$1:T$400,0)),T$2,)</f>
        <v>0</v>
      </c>
      <c r="U18" s="140">
        <f ca="1">IF(ISNUMBER(MATCH(DATEVALUE($A18),'changes1_based on steps'!U$1:U$400,0)),U$2,)</f>
        <v>0</v>
      </c>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row>
    <row r="19" spans="1:101" x14ac:dyDescent="0.2">
      <c r="A19" s="29" t="str">
        <f t="shared" ca="1" si="0"/>
        <v>2025-04-12</v>
      </c>
      <c r="B19" s="140">
        <f ca="1">IF(ISNUMBER(MATCH(DATEVALUE($A19),'changes1_based on steps'!B$1:B$400,0)),B$2,)</f>
        <v>0</v>
      </c>
      <c r="C19" s="140">
        <f ca="1">IF(ISNUMBER(MATCH(DATEVALUE($A19),'changes1_based on steps'!C$1:C$400,0)),C$2,)</f>
        <v>0</v>
      </c>
      <c r="D19" s="140">
        <f ca="1">IF(ISNUMBER(MATCH(DATEVALUE($A19),'changes1_based on steps'!D$1:D$400,0)),D$2,)</f>
        <v>0</v>
      </c>
      <c r="E19" s="140">
        <f ca="1">IF(ISNUMBER(MATCH(DATEVALUE($A19),'changes1_based on steps'!E$1:E$400,0)),E$2,)</f>
        <v>0</v>
      </c>
      <c r="F19" s="140">
        <f ca="1">IF(ISNUMBER(MATCH(DATEVALUE($A19),'changes1_based on steps'!F$1:F$400,0)),F$2,)</f>
        <v>0</v>
      </c>
      <c r="G19" s="140">
        <f ca="1">IF(ISNUMBER(MATCH(DATEVALUE($A19),'changes1_based on steps'!G$1:G$400,0)),G$2,)</f>
        <v>0</v>
      </c>
      <c r="H19" s="140">
        <f ca="1">IF(ISNUMBER(MATCH(DATEVALUE($A19),'changes1_based on steps'!H$1:H$400,0)),H$2,)</f>
        <v>0</v>
      </c>
      <c r="I19" s="140">
        <f ca="1">IF(ISNUMBER(MATCH(DATEVALUE($A19),'changes1_based on steps'!I$1:I$400,0)),I$2,)</f>
        <v>0</v>
      </c>
      <c r="J19" s="140">
        <f ca="1">IF(ISNUMBER(MATCH(DATEVALUE($A19),'changes1_based on steps'!J$1:J$400,0)),J$2,)</f>
        <v>0</v>
      </c>
      <c r="K19" s="140">
        <f ca="1">IF(ISNUMBER(MATCH(DATEVALUE($A19),'changes1_based on steps'!K$1:K$400,0)),K$2,)</f>
        <v>0</v>
      </c>
      <c r="L19" s="140">
        <f ca="1">IF(ISNUMBER(MATCH(DATEVALUE($A19),'changes1_based on steps'!L$1:L$400,0)),L$2,)</f>
        <v>0</v>
      </c>
      <c r="M19" s="140">
        <f ca="1">IF(ISNUMBER(MATCH(DATEVALUE($A19),'changes1_based on steps'!M$1:M$400,0)),M$2,)</f>
        <v>0</v>
      </c>
      <c r="N19" s="140">
        <f ca="1">IF(ISNUMBER(MATCH(DATEVALUE($A19),'changes1_based on steps'!N$1:N$400,0)),N$2,)</f>
        <v>0</v>
      </c>
      <c r="O19" s="140">
        <f ca="1">IF(ISNUMBER(MATCH(DATEVALUE($A19),'changes1_based on steps'!O$1:O$400,0)),O$2,)</f>
        <v>0</v>
      </c>
      <c r="P19" s="140">
        <f ca="1">IF(ISNUMBER(MATCH(DATEVALUE($A19),'changes1_based on steps'!P$1:P$400,0)),P$2,)</f>
        <v>0</v>
      </c>
      <c r="Q19" s="140">
        <f ca="1">IF(ISNUMBER(MATCH(DATEVALUE($A19),'changes1_based on steps'!Q$1:Q$400,0)),Q$2,)</f>
        <v>0</v>
      </c>
      <c r="R19" s="140">
        <f ca="1">IF(ISNUMBER(MATCH(DATEVALUE($A19),'changes1_based on steps'!R$1:R$400,0)),R$2,)</f>
        <v>0</v>
      </c>
      <c r="S19" s="140">
        <f ca="1">IF(ISNUMBER(MATCH(DATEVALUE($A19),'changes1_based on steps'!S$1:S$400,0)),S$2,)</f>
        <v>0</v>
      </c>
      <c r="T19" s="140">
        <f ca="1">IF(ISNUMBER(MATCH(DATEVALUE($A19),'changes1_based on steps'!T$1:T$400,0)),T$2,)</f>
        <v>0</v>
      </c>
      <c r="U19" s="140">
        <f ca="1">IF(ISNUMBER(MATCH(DATEVALUE($A19),'changes1_based on steps'!U$1:U$400,0)),U$2,)</f>
        <v>0</v>
      </c>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row>
    <row r="20" spans="1:101" x14ac:dyDescent="0.2">
      <c r="A20" s="29" t="str">
        <f t="shared" ca="1" si="0"/>
        <v>2025-04-13</v>
      </c>
      <c r="B20" s="140">
        <f ca="1">IF(ISNUMBER(MATCH(DATEVALUE($A20),'changes1_based on steps'!B$1:B$400,0)),B$2,)</f>
        <v>0</v>
      </c>
      <c r="C20" s="140">
        <f ca="1">IF(ISNUMBER(MATCH(DATEVALUE($A20),'changes1_based on steps'!C$1:C$400,0)),C$2,)</f>
        <v>0</v>
      </c>
      <c r="D20" s="140">
        <f ca="1">IF(ISNUMBER(MATCH(DATEVALUE($A20),'changes1_based on steps'!D$1:D$400,0)),D$2,)</f>
        <v>0</v>
      </c>
      <c r="E20" s="140">
        <f ca="1">IF(ISNUMBER(MATCH(DATEVALUE($A20),'changes1_based on steps'!E$1:E$400,0)),E$2,)</f>
        <v>0</v>
      </c>
      <c r="F20" s="140">
        <f ca="1">IF(ISNUMBER(MATCH(DATEVALUE($A20),'changes1_based on steps'!F$1:F$400,0)),F$2,)</f>
        <v>0</v>
      </c>
      <c r="G20" s="140">
        <f ca="1">IF(ISNUMBER(MATCH(DATEVALUE($A20),'changes1_based on steps'!G$1:G$400,0)),G$2,)</f>
        <v>0</v>
      </c>
      <c r="H20" s="140">
        <f ca="1">IF(ISNUMBER(MATCH(DATEVALUE($A20),'changes1_based on steps'!H$1:H$400,0)),H$2,)</f>
        <v>0</v>
      </c>
      <c r="I20" s="140">
        <f ca="1">IF(ISNUMBER(MATCH(DATEVALUE($A20),'changes1_based on steps'!I$1:I$400,0)),I$2,)</f>
        <v>0</v>
      </c>
      <c r="J20" s="140">
        <f ca="1">IF(ISNUMBER(MATCH(DATEVALUE($A20),'changes1_based on steps'!J$1:J$400,0)),J$2,)</f>
        <v>0</v>
      </c>
      <c r="K20" s="140">
        <f ca="1">IF(ISNUMBER(MATCH(DATEVALUE($A20),'changes1_based on steps'!K$1:K$400,0)),K$2,)</f>
        <v>0</v>
      </c>
      <c r="L20" s="140">
        <f ca="1">IF(ISNUMBER(MATCH(DATEVALUE($A20),'changes1_based on steps'!L$1:L$400,0)),L$2,)</f>
        <v>0</v>
      </c>
      <c r="M20" s="140">
        <f ca="1">IF(ISNUMBER(MATCH(DATEVALUE($A20),'changes1_based on steps'!M$1:M$400,0)),M$2,)</f>
        <v>0</v>
      </c>
      <c r="N20" s="140">
        <f ca="1">IF(ISNUMBER(MATCH(DATEVALUE($A20),'changes1_based on steps'!N$1:N$400,0)),N$2,)</f>
        <v>0</v>
      </c>
      <c r="O20" s="140">
        <f ca="1">IF(ISNUMBER(MATCH(DATEVALUE($A20),'changes1_based on steps'!O$1:O$400,0)),O$2,)</f>
        <v>0</v>
      </c>
      <c r="P20" s="140">
        <f ca="1">IF(ISNUMBER(MATCH(DATEVALUE($A20),'changes1_based on steps'!P$1:P$400,0)),P$2,)</f>
        <v>0</v>
      </c>
      <c r="Q20" s="140">
        <f ca="1">IF(ISNUMBER(MATCH(DATEVALUE($A20),'changes1_based on steps'!Q$1:Q$400,0)),Q$2,)</f>
        <v>0</v>
      </c>
      <c r="R20" s="140">
        <f ca="1">IF(ISNUMBER(MATCH(DATEVALUE($A20),'changes1_based on steps'!R$1:R$400,0)),R$2,)</f>
        <v>0</v>
      </c>
      <c r="S20" s="140">
        <f ca="1">IF(ISNUMBER(MATCH(DATEVALUE($A20),'changes1_based on steps'!S$1:S$400,0)),S$2,)</f>
        <v>0</v>
      </c>
      <c r="T20" s="140">
        <f ca="1">IF(ISNUMBER(MATCH(DATEVALUE($A20),'changes1_based on steps'!T$1:T$400,0)),T$2,)</f>
        <v>0</v>
      </c>
      <c r="U20" s="140">
        <f ca="1">IF(ISNUMBER(MATCH(DATEVALUE($A20),'changes1_based on steps'!U$1:U$400,0)),U$2,)</f>
        <v>0</v>
      </c>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row>
    <row r="21" spans="1:101" x14ac:dyDescent="0.2">
      <c r="A21" s="29" t="str">
        <f t="shared" ca="1" si="0"/>
        <v>2025-04-14</v>
      </c>
      <c r="B21" s="140">
        <f ca="1">IF(ISNUMBER(MATCH(DATEVALUE($A21),'changes1_based on steps'!B$1:B$400,0)),B$2,)</f>
        <v>0</v>
      </c>
      <c r="C21" s="140">
        <f ca="1">IF(ISNUMBER(MATCH(DATEVALUE($A21),'changes1_based on steps'!C$1:C$400,0)),C$2,)</f>
        <v>0</v>
      </c>
      <c r="D21" s="140">
        <f ca="1">IF(ISNUMBER(MATCH(DATEVALUE($A21),'changes1_based on steps'!D$1:D$400,0)),D$2,)</f>
        <v>0</v>
      </c>
      <c r="E21" s="140">
        <f ca="1">IF(ISNUMBER(MATCH(DATEVALUE($A21),'changes1_based on steps'!E$1:E$400,0)),E$2,)</f>
        <v>0</v>
      </c>
      <c r="F21" s="140">
        <f ca="1">IF(ISNUMBER(MATCH(DATEVALUE($A21),'changes1_based on steps'!F$1:F$400,0)),F$2,)</f>
        <v>0</v>
      </c>
      <c r="G21" s="140">
        <f ca="1">IF(ISNUMBER(MATCH(DATEVALUE($A21),'changes1_based on steps'!G$1:G$400,0)),G$2,)</f>
        <v>0</v>
      </c>
      <c r="H21" s="140">
        <f ca="1">IF(ISNUMBER(MATCH(DATEVALUE($A21),'changes1_based on steps'!H$1:H$400,0)),H$2,)</f>
        <v>0</v>
      </c>
      <c r="I21" s="140">
        <f ca="1">IF(ISNUMBER(MATCH(DATEVALUE($A21),'changes1_based on steps'!I$1:I$400,0)),I$2,)</f>
        <v>0</v>
      </c>
      <c r="J21" s="140">
        <f ca="1">IF(ISNUMBER(MATCH(DATEVALUE($A21),'changes1_based on steps'!J$1:J$400,0)),J$2,)</f>
        <v>0</v>
      </c>
      <c r="K21" s="140">
        <f ca="1">IF(ISNUMBER(MATCH(DATEVALUE($A21),'changes1_based on steps'!K$1:K$400,0)),K$2,)</f>
        <v>0</v>
      </c>
      <c r="L21" s="140">
        <f ca="1">IF(ISNUMBER(MATCH(DATEVALUE($A21),'changes1_based on steps'!L$1:L$400,0)),L$2,)</f>
        <v>0</v>
      </c>
      <c r="M21" s="140">
        <f ca="1">IF(ISNUMBER(MATCH(DATEVALUE($A21),'changes1_based on steps'!M$1:M$400,0)),M$2,)</f>
        <v>0</v>
      </c>
      <c r="N21" s="140">
        <f ca="1">IF(ISNUMBER(MATCH(DATEVALUE($A21),'changes1_based on steps'!N$1:N$400,0)),N$2,)</f>
        <v>0</v>
      </c>
      <c r="O21" s="140">
        <f ca="1">IF(ISNUMBER(MATCH(DATEVALUE($A21),'changes1_based on steps'!O$1:O$400,0)),O$2,)</f>
        <v>0</v>
      </c>
      <c r="P21" s="140">
        <f ca="1">IF(ISNUMBER(MATCH(DATEVALUE($A21),'changes1_based on steps'!P$1:P$400,0)),P$2,)</f>
        <v>0</v>
      </c>
      <c r="Q21" s="140">
        <f ca="1">IF(ISNUMBER(MATCH(DATEVALUE($A21),'changes1_based on steps'!Q$1:Q$400,0)),Q$2,)</f>
        <v>0</v>
      </c>
      <c r="R21" s="140">
        <f ca="1">IF(ISNUMBER(MATCH(DATEVALUE($A21),'changes1_based on steps'!R$1:R$400,0)),R$2,)</f>
        <v>0</v>
      </c>
      <c r="S21" s="140">
        <f ca="1">IF(ISNUMBER(MATCH(DATEVALUE($A21),'changes1_based on steps'!S$1:S$400,0)),S$2,)</f>
        <v>0</v>
      </c>
      <c r="T21" s="140">
        <f ca="1">IF(ISNUMBER(MATCH(DATEVALUE($A21),'changes1_based on steps'!T$1:T$400,0)),T$2,)</f>
        <v>0</v>
      </c>
      <c r="U21" s="140">
        <f ca="1">IF(ISNUMBER(MATCH(DATEVALUE($A21),'changes1_based on steps'!U$1:U$400,0)),U$2,)</f>
        <v>0</v>
      </c>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40"/>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row>
    <row r="22" spans="1:101" x14ac:dyDescent="0.2">
      <c r="A22" s="29" t="str">
        <f t="shared" ca="1" si="0"/>
        <v>2025-04-15</v>
      </c>
      <c r="B22" s="140">
        <f ca="1">IF(ISNUMBER(MATCH(DATEVALUE($A22),'changes1_based on steps'!B$1:B$400,0)),B$2,)</f>
        <v>0</v>
      </c>
      <c r="C22" s="140">
        <f ca="1">IF(ISNUMBER(MATCH(DATEVALUE($A22),'changes1_based on steps'!C$1:C$400,0)),C$2,)</f>
        <v>0</v>
      </c>
      <c r="D22" s="140">
        <f ca="1">IF(ISNUMBER(MATCH(DATEVALUE($A22),'changes1_based on steps'!D$1:D$400,0)),D$2,)</f>
        <v>0</v>
      </c>
      <c r="E22" s="140">
        <f ca="1">IF(ISNUMBER(MATCH(DATEVALUE($A22),'changes1_based on steps'!E$1:E$400,0)),E$2,)</f>
        <v>0</v>
      </c>
      <c r="F22" s="140">
        <f ca="1">IF(ISNUMBER(MATCH(DATEVALUE($A22),'changes1_based on steps'!F$1:F$400,0)),F$2,)</f>
        <v>0</v>
      </c>
      <c r="G22" s="140">
        <f ca="1">IF(ISNUMBER(MATCH(DATEVALUE($A22),'changes1_based on steps'!G$1:G$400,0)),G$2,)</f>
        <v>0</v>
      </c>
      <c r="H22" s="140">
        <f ca="1">IF(ISNUMBER(MATCH(DATEVALUE($A22),'changes1_based on steps'!H$1:H$400,0)),H$2,)</f>
        <v>0</v>
      </c>
      <c r="I22" s="140">
        <f ca="1">IF(ISNUMBER(MATCH(DATEVALUE($A22),'changes1_based on steps'!I$1:I$400,0)),I$2,)</f>
        <v>0</v>
      </c>
      <c r="J22" s="140">
        <f ca="1">IF(ISNUMBER(MATCH(DATEVALUE($A22),'changes1_based on steps'!J$1:J$400,0)),J$2,)</f>
        <v>0</v>
      </c>
      <c r="K22" s="140">
        <f ca="1">IF(ISNUMBER(MATCH(DATEVALUE($A22),'changes1_based on steps'!K$1:K$400,0)),K$2,)</f>
        <v>0</v>
      </c>
      <c r="L22" s="140">
        <f ca="1">IF(ISNUMBER(MATCH(DATEVALUE($A22),'changes1_based on steps'!L$1:L$400,0)),L$2,)</f>
        <v>0</v>
      </c>
      <c r="M22" s="140">
        <f ca="1">IF(ISNUMBER(MATCH(DATEVALUE($A22),'changes1_based on steps'!M$1:M$400,0)),M$2,)</f>
        <v>0</v>
      </c>
      <c r="N22" s="140">
        <f ca="1">IF(ISNUMBER(MATCH(DATEVALUE($A22),'changes1_based on steps'!N$1:N$400,0)),N$2,)</f>
        <v>0</v>
      </c>
      <c r="O22" s="140">
        <f ca="1">IF(ISNUMBER(MATCH(DATEVALUE($A22),'changes1_based on steps'!O$1:O$400,0)),O$2,)</f>
        <v>0</v>
      </c>
      <c r="P22" s="140">
        <f ca="1">IF(ISNUMBER(MATCH(DATEVALUE($A22),'changes1_based on steps'!P$1:P$400,0)),P$2,)</f>
        <v>0</v>
      </c>
      <c r="Q22" s="140">
        <f ca="1">IF(ISNUMBER(MATCH(DATEVALUE($A22),'changes1_based on steps'!Q$1:Q$400,0)),Q$2,)</f>
        <v>0</v>
      </c>
      <c r="R22" s="140">
        <f ca="1">IF(ISNUMBER(MATCH(DATEVALUE($A22),'changes1_based on steps'!R$1:R$400,0)),R$2,)</f>
        <v>0</v>
      </c>
      <c r="S22" s="140">
        <f ca="1">IF(ISNUMBER(MATCH(DATEVALUE($A22),'changes1_based on steps'!S$1:S$400,0)),S$2,)</f>
        <v>0</v>
      </c>
      <c r="T22" s="140">
        <f ca="1">IF(ISNUMBER(MATCH(DATEVALUE($A22),'changes1_based on steps'!T$1:T$400,0)),T$2,)</f>
        <v>0</v>
      </c>
      <c r="U22" s="140">
        <f ca="1">IF(ISNUMBER(MATCH(DATEVALUE($A22),'changes1_based on steps'!U$1:U$400,0)),U$2,)</f>
        <v>0</v>
      </c>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40"/>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row>
    <row r="23" spans="1:101" x14ac:dyDescent="0.2">
      <c r="A23" s="29" t="str">
        <f t="shared" ca="1" si="0"/>
        <v>2025-04-16</v>
      </c>
      <c r="B23" s="140">
        <f ca="1">IF(ISNUMBER(MATCH(DATEVALUE($A23),'changes1_based on steps'!B$1:B$400,0)),B$2,)</f>
        <v>0</v>
      </c>
      <c r="C23" s="140">
        <f ca="1">IF(ISNUMBER(MATCH(DATEVALUE($A23),'changes1_based on steps'!C$1:C$400,0)),C$2,)</f>
        <v>0</v>
      </c>
      <c r="D23" s="140">
        <f ca="1">IF(ISNUMBER(MATCH(DATEVALUE($A23),'changes1_based on steps'!D$1:D$400,0)),D$2,)</f>
        <v>0</v>
      </c>
      <c r="E23" s="140">
        <f ca="1">IF(ISNUMBER(MATCH(DATEVALUE($A23),'changes1_based on steps'!E$1:E$400,0)),E$2,)</f>
        <v>0</v>
      </c>
      <c r="F23" s="140">
        <f ca="1">IF(ISNUMBER(MATCH(DATEVALUE($A23),'changes1_based on steps'!F$1:F$400,0)),F$2,)</f>
        <v>0</v>
      </c>
      <c r="G23" s="140">
        <f ca="1">IF(ISNUMBER(MATCH(DATEVALUE($A23),'changes1_based on steps'!G$1:G$400,0)),G$2,)</f>
        <v>0</v>
      </c>
      <c r="H23" s="140">
        <f ca="1">IF(ISNUMBER(MATCH(DATEVALUE($A23),'changes1_based on steps'!H$1:H$400,0)),H$2,)</f>
        <v>0</v>
      </c>
      <c r="I23" s="140">
        <f ca="1">IF(ISNUMBER(MATCH(DATEVALUE($A23),'changes1_based on steps'!I$1:I$400,0)),I$2,)</f>
        <v>0</v>
      </c>
      <c r="J23" s="140">
        <f ca="1">IF(ISNUMBER(MATCH(DATEVALUE($A23),'changes1_based on steps'!J$1:J$400,0)),J$2,)</f>
        <v>0</v>
      </c>
      <c r="K23" s="140">
        <f ca="1">IF(ISNUMBER(MATCH(DATEVALUE($A23),'changes1_based on steps'!K$1:K$400,0)),K$2,)</f>
        <v>0</v>
      </c>
      <c r="L23" s="140">
        <f ca="1">IF(ISNUMBER(MATCH(DATEVALUE($A23),'changes1_based on steps'!L$1:L$400,0)),L$2,)</f>
        <v>0</v>
      </c>
      <c r="M23" s="140">
        <f ca="1">IF(ISNUMBER(MATCH(DATEVALUE($A23),'changes1_based on steps'!M$1:M$400,0)),M$2,)</f>
        <v>0</v>
      </c>
      <c r="N23" s="140">
        <f ca="1">IF(ISNUMBER(MATCH(DATEVALUE($A23),'changes1_based on steps'!N$1:N$400,0)),N$2,)</f>
        <v>0</v>
      </c>
      <c r="O23" s="140">
        <f ca="1">IF(ISNUMBER(MATCH(DATEVALUE($A23),'changes1_based on steps'!O$1:O$400,0)),O$2,)</f>
        <v>0</v>
      </c>
      <c r="P23" s="140">
        <f ca="1">IF(ISNUMBER(MATCH(DATEVALUE($A23),'changes1_based on steps'!P$1:P$400,0)),P$2,)</f>
        <v>0</v>
      </c>
      <c r="Q23" s="140">
        <f ca="1">IF(ISNUMBER(MATCH(DATEVALUE($A23),'changes1_based on steps'!Q$1:Q$400,0)),Q$2,)</f>
        <v>0</v>
      </c>
      <c r="R23" s="140">
        <f ca="1">IF(ISNUMBER(MATCH(DATEVALUE($A23),'changes1_based on steps'!R$1:R$400,0)),R$2,)</f>
        <v>0</v>
      </c>
      <c r="S23" s="140">
        <f ca="1">IF(ISNUMBER(MATCH(DATEVALUE($A23),'changes1_based on steps'!S$1:S$400,0)),S$2,)</f>
        <v>0</v>
      </c>
      <c r="T23" s="140">
        <f ca="1">IF(ISNUMBER(MATCH(DATEVALUE($A23),'changes1_based on steps'!T$1:T$400,0)),T$2,)</f>
        <v>0</v>
      </c>
      <c r="U23" s="140">
        <f ca="1">IF(ISNUMBER(MATCH(DATEVALUE($A23),'changes1_based on steps'!U$1:U$400,0)),U$2,)</f>
        <v>0</v>
      </c>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40"/>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row>
    <row r="24" spans="1:101" x14ac:dyDescent="0.2">
      <c r="A24" s="29" t="str">
        <f t="shared" ca="1" si="0"/>
        <v>2025-04-17</v>
      </c>
      <c r="B24" s="140">
        <f ca="1">IF(ISNUMBER(MATCH(DATEVALUE($A24),'changes1_based on steps'!B$1:B$400,0)),B$2,)</f>
        <v>0</v>
      </c>
      <c r="C24" s="140">
        <f ca="1">IF(ISNUMBER(MATCH(DATEVALUE($A24),'changes1_based on steps'!C$1:C$400,0)),C$2,)</f>
        <v>0</v>
      </c>
      <c r="D24" s="140">
        <f ca="1">IF(ISNUMBER(MATCH(DATEVALUE($A24),'changes1_based on steps'!D$1:D$400,0)),D$2,)</f>
        <v>0</v>
      </c>
      <c r="E24" s="140">
        <f ca="1">IF(ISNUMBER(MATCH(DATEVALUE($A24),'changes1_based on steps'!E$1:E$400,0)),E$2,)</f>
        <v>0</v>
      </c>
      <c r="F24" s="140">
        <f ca="1">IF(ISNUMBER(MATCH(DATEVALUE($A24),'changes1_based on steps'!F$1:F$400,0)),F$2,)</f>
        <v>0</v>
      </c>
      <c r="G24" s="140">
        <f ca="1">IF(ISNUMBER(MATCH(DATEVALUE($A24),'changes1_based on steps'!G$1:G$400,0)),G$2,)</f>
        <v>0</v>
      </c>
      <c r="H24" s="140">
        <f ca="1">IF(ISNUMBER(MATCH(DATEVALUE($A24),'changes1_based on steps'!H$1:H$400,0)),H$2,)</f>
        <v>0</v>
      </c>
      <c r="I24" s="140">
        <f ca="1">IF(ISNUMBER(MATCH(DATEVALUE($A24),'changes1_based on steps'!I$1:I$400,0)),I$2,)</f>
        <v>0</v>
      </c>
      <c r="J24" s="140">
        <f ca="1">IF(ISNUMBER(MATCH(DATEVALUE($A24),'changes1_based on steps'!J$1:J$400,0)),J$2,)</f>
        <v>0</v>
      </c>
      <c r="K24" s="140">
        <f ca="1">IF(ISNUMBER(MATCH(DATEVALUE($A24),'changes1_based on steps'!K$1:K$400,0)),K$2,)</f>
        <v>0</v>
      </c>
      <c r="L24" s="140">
        <f ca="1">IF(ISNUMBER(MATCH(DATEVALUE($A24),'changes1_based on steps'!L$1:L$400,0)),L$2,)</f>
        <v>0</v>
      </c>
      <c r="M24" s="140">
        <f ca="1">IF(ISNUMBER(MATCH(DATEVALUE($A24),'changes1_based on steps'!M$1:M$400,0)),M$2,)</f>
        <v>0</v>
      </c>
      <c r="N24" s="140">
        <f ca="1">IF(ISNUMBER(MATCH(DATEVALUE($A24),'changes1_based on steps'!N$1:N$400,0)),N$2,)</f>
        <v>0</v>
      </c>
      <c r="O24" s="140">
        <f ca="1">IF(ISNUMBER(MATCH(DATEVALUE($A24),'changes1_based on steps'!O$1:O$400,0)),O$2,)</f>
        <v>0</v>
      </c>
      <c r="P24" s="140">
        <f ca="1">IF(ISNUMBER(MATCH(DATEVALUE($A24),'changes1_based on steps'!P$1:P$400,0)),P$2,)</f>
        <v>0</v>
      </c>
      <c r="Q24" s="140">
        <f ca="1">IF(ISNUMBER(MATCH(DATEVALUE($A24),'changes1_based on steps'!Q$1:Q$400,0)),Q$2,)</f>
        <v>0</v>
      </c>
      <c r="R24" s="140">
        <f ca="1">IF(ISNUMBER(MATCH(DATEVALUE($A24),'changes1_based on steps'!R$1:R$400,0)),R$2,)</f>
        <v>0</v>
      </c>
      <c r="S24" s="140">
        <f ca="1">IF(ISNUMBER(MATCH(DATEVALUE($A24),'changes1_based on steps'!S$1:S$400,0)),S$2,)</f>
        <v>0</v>
      </c>
      <c r="T24" s="140">
        <f ca="1">IF(ISNUMBER(MATCH(DATEVALUE($A24),'changes1_based on steps'!T$1:T$400,0)),T$2,)</f>
        <v>0</v>
      </c>
      <c r="U24" s="140">
        <f ca="1">IF(ISNUMBER(MATCH(DATEVALUE($A24),'changes1_based on steps'!U$1:U$400,0)),U$2,)</f>
        <v>0</v>
      </c>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row>
    <row r="25" spans="1:101" x14ac:dyDescent="0.2">
      <c r="A25" s="29" t="str">
        <f t="shared" ca="1" si="0"/>
        <v>2025-04-18</v>
      </c>
      <c r="B25" s="140">
        <f ca="1">IF(ISNUMBER(MATCH(DATEVALUE($A25),'changes1_based on steps'!B$1:B$400,0)),B$2,)</f>
        <v>0</v>
      </c>
      <c r="C25" s="140">
        <f ca="1">IF(ISNUMBER(MATCH(DATEVALUE($A25),'changes1_based on steps'!C$1:C$400,0)),C$2,)</f>
        <v>0</v>
      </c>
      <c r="D25" s="140">
        <f ca="1">IF(ISNUMBER(MATCH(DATEVALUE($A25),'changes1_based on steps'!D$1:D$400,0)),D$2,)</f>
        <v>0</v>
      </c>
      <c r="E25" s="140">
        <f ca="1">IF(ISNUMBER(MATCH(DATEVALUE($A25),'changes1_based on steps'!E$1:E$400,0)),E$2,)</f>
        <v>0</v>
      </c>
      <c r="F25" s="140">
        <f ca="1">IF(ISNUMBER(MATCH(DATEVALUE($A25),'changes1_based on steps'!F$1:F$400,0)),F$2,)</f>
        <v>0</v>
      </c>
      <c r="G25" s="140">
        <f ca="1">IF(ISNUMBER(MATCH(DATEVALUE($A25),'changes1_based on steps'!G$1:G$400,0)),G$2,)</f>
        <v>0</v>
      </c>
      <c r="H25" s="140">
        <f ca="1">IF(ISNUMBER(MATCH(DATEVALUE($A25),'changes1_based on steps'!H$1:H$400,0)),H$2,)</f>
        <v>0</v>
      </c>
      <c r="I25" s="140">
        <f ca="1">IF(ISNUMBER(MATCH(DATEVALUE($A25),'changes1_based on steps'!I$1:I$400,0)),I$2,)</f>
        <v>0</v>
      </c>
      <c r="J25" s="140">
        <f ca="1">IF(ISNUMBER(MATCH(DATEVALUE($A25),'changes1_based on steps'!J$1:J$400,0)),J$2,)</f>
        <v>0</v>
      </c>
      <c r="K25" s="140">
        <f ca="1">IF(ISNUMBER(MATCH(DATEVALUE($A25),'changes1_based on steps'!K$1:K$400,0)),K$2,)</f>
        <v>0</v>
      </c>
      <c r="L25" s="140">
        <f ca="1">IF(ISNUMBER(MATCH(DATEVALUE($A25),'changes1_based on steps'!L$1:L$400,0)),L$2,)</f>
        <v>0</v>
      </c>
      <c r="M25" s="140">
        <f ca="1">IF(ISNUMBER(MATCH(DATEVALUE($A25),'changes1_based on steps'!M$1:M$400,0)),M$2,)</f>
        <v>0</v>
      </c>
      <c r="N25" s="140">
        <f ca="1">IF(ISNUMBER(MATCH(DATEVALUE($A25),'changes1_based on steps'!N$1:N$400,0)),N$2,)</f>
        <v>0</v>
      </c>
      <c r="O25" s="140">
        <f ca="1">IF(ISNUMBER(MATCH(DATEVALUE($A25),'changes1_based on steps'!O$1:O$400,0)),O$2,)</f>
        <v>0</v>
      </c>
      <c r="P25" s="140">
        <f ca="1">IF(ISNUMBER(MATCH(DATEVALUE($A25),'changes1_based on steps'!P$1:P$400,0)),P$2,)</f>
        <v>0</v>
      </c>
      <c r="Q25" s="140">
        <f ca="1">IF(ISNUMBER(MATCH(DATEVALUE($A25),'changes1_based on steps'!Q$1:Q$400,0)),Q$2,)</f>
        <v>0</v>
      </c>
      <c r="R25" s="140">
        <f ca="1">IF(ISNUMBER(MATCH(DATEVALUE($A25),'changes1_based on steps'!R$1:R$400,0)),R$2,)</f>
        <v>0</v>
      </c>
      <c r="S25" s="140">
        <f ca="1">IF(ISNUMBER(MATCH(DATEVALUE($A25),'changes1_based on steps'!S$1:S$400,0)),S$2,)</f>
        <v>0</v>
      </c>
      <c r="T25" s="140">
        <f ca="1">IF(ISNUMBER(MATCH(DATEVALUE($A25),'changes1_based on steps'!T$1:T$400,0)),T$2,)</f>
        <v>0</v>
      </c>
      <c r="U25" s="140">
        <f ca="1">IF(ISNUMBER(MATCH(DATEVALUE($A25),'changes1_based on steps'!U$1:U$400,0)),U$2,)</f>
        <v>0</v>
      </c>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40"/>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row>
    <row r="26" spans="1:101" x14ac:dyDescent="0.2">
      <c r="A26" s="29" t="str">
        <f t="shared" ca="1" si="0"/>
        <v>2025-04-19</v>
      </c>
      <c r="B26" s="140">
        <f ca="1">IF(ISNUMBER(MATCH(DATEVALUE($A26),'changes1_based on steps'!B$1:B$400,0)),B$2,)</f>
        <v>0</v>
      </c>
      <c r="C26" s="140">
        <f ca="1">IF(ISNUMBER(MATCH(DATEVALUE($A26),'changes1_based on steps'!C$1:C$400,0)),C$2,)</f>
        <v>0</v>
      </c>
      <c r="D26" s="140">
        <f ca="1">IF(ISNUMBER(MATCH(DATEVALUE($A26),'changes1_based on steps'!D$1:D$400,0)),D$2,)</f>
        <v>0</v>
      </c>
      <c r="E26" s="140">
        <f ca="1">IF(ISNUMBER(MATCH(DATEVALUE($A26),'changes1_based on steps'!E$1:E$400,0)),E$2,)</f>
        <v>0</v>
      </c>
      <c r="F26" s="140">
        <f ca="1">IF(ISNUMBER(MATCH(DATEVALUE($A26),'changes1_based on steps'!F$1:F$400,0)),F$2,)</f>
        <v>0</v>
      </c>
      <c r="G26" s="140">
        <f ca="1">IF(ISNUMBER(MATCH(DATEVALUE($A26),'changes1_based on steps'!G$1:G$400,0)),G$2,)</f>
        <v>0</v>
      </c>
      <c r="H26" s="140">
        <f ca="1">IF(ISNUMBER(MATCH(DATEVALUE($A26),'changes1_based on steps'!H$1:H$400,0)),H$2,)</f>
        <v>0</v>
      </c>
      <c r="I26" s="140">
        <f ca="1">IF(ISNUMBER(MATCH(DATEVALUE($A26),'changes1_based on steps'!I$1:I$400,0)),I$2,)</f>
        <v>0</v>
      </c>
      <c r="J26" s="140">
        <f ca="1">IF(ISNUMBER(MATCH(DATEVALUE($A26),'changes1_based on steps'!J$1:J$400,0)),J$2,)</f>
        <v>0</v>
      </c>
      <c r="K26" s="140">
        <f ca="1">IF(ISNUMBER(MATCH(DATEVALUE($A26),'changes1_based on steps'!K$1:K$400,0)),K$2,)</f>
        <v>0</v>
      </c>
      <c r="L26" s="140">
        <f ca="1">IF(ISNUMBER(MATCH(DATEVALUE($A26),'changes1_based on steps'!L$1:L$400,0)),L$2,)</f>
        <v>0</v>
      </c>
      <c r="M26" s="140">
        <f ca="1">IF(ISNUMBER(MATCH(DATEVALUE($A26),'changes1_based on steps'!M$1:M$400,0)),M$2,)</f>
        <v>0</v>
      </c>
      <c r="N26" s="140">
        <f ca="1">IF(ISNUMBER(MATCH(DATEVALUE($A26),'changes1_based on steps'!N$1:N$400,0)),N$2,)</f>
        <v>0</v>
      </c>
      <c r="O26" s="140">
        <f ca="1">IF(ISNUMBER(MATCH(DATEVALUE($A26),'changes1_based on steps'!O$1:O$400,0)),O$2,)</f>
        <v>0</v>
      </c>
      <c r="P26" s="140">
        <f ca="1">IF(ISNUMBER(MATCH(DATEVALUE($A26),'changes1_based on steps'!P$1:P$400,0)),P$2,)</f>
        <v>0</v>
      </c>
      <c r="Q26" s="140">
        <f ca="1">IF(ISNUMBER(MATCH(DATEVALUE($A26),'changes1_based on steps'!Q$1:Q$400,0)),Q$2,)</f>
        <v>0</v>
      </c>
      <c r="R26" s="140">
        <f ca="1">IF(ISNUMBER(MATCH(DATEVALUE($A26),'changes1_based on steps'!R$1:R$400,0)),R$2,)</f>
        <v>0</v>
      </c>
      <c r="S26" s="140">
        <f ca="1">IF(ISNUMBER(MATCH(DATEVALUE($A26),'changes1_based on steps'!S$1:S$400,0)),S$2,)</f>
        <v>0</v>
      </c>
      <c r="T26" s="140">
        <f ca="1">IF(ISNUMBER(MATCH(DATEVALUE($A26),'changes1_based on steps'!T$1:T$400,0)),T$2,)</f>
        <v>0</v>
      </c>
      <c r="U26" s="140">
        <f ca="1">IF(ISNUMBER(MATCH(DATEVALUE($A26),'changes1_based on steps'!U$1:U$400,0)),U$2,)</f>
        <v>0</v>
      </c>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40"/>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row>
    <row r="27" spans="1:101" x14ac:dyDescent="0.2">
      <c r="A27" s="29" t="str">
        <f t="shared" ca="1" si="0"/>
        <v>2025-04-20</v>
      </c>
      <c r="B27" s="140">
        <f ca="1">IF(ISNUMBER(MATCH(DATEVALUE($A27),'changes1_based on steps'!B$1:B$400,0)),B$2,)</f>
        <v>0</v>
      </c>
      <c r="C27" s="140">
        <f ca="1">IF(ISNUMBER(MATCH(DATEVALUE($A27),'changes1_based on steps'!C$1:C$400,0)),C$2,)</f>
        <v>0</v>
      </c>
      <c r="D27" s="140">
        <f ca="1">IF(ISNUMBER(MATCH(DATEVALUE($A27),'changes1_based on steps'!D$1:D$400,0)),D$2,)</f>
        <v>0</v>
      </c>
      <c r="E27" s="140">
        <f ca="1">IF(ISNUMBER(MATCH(DATEVALUE($A27),'changes1_based on steps'!E$1:E$400,0)),E$2,)</f>
        <v>0</v>
      </c>
      <c r="F27" s="140">
        <f ca="1">IF(ISNUMBER(MATCH(DATEVALUE($A27),'changes1_based on steps'!F$1:F$400,0)),F$2,)</f>
        <v>0</v>
      </c>
      <c r="G27" s="140">
        <f ca="1">IF(ISNUMBER(MATCH(DATEVALUE($A27),'changes1_based on steps'!G$1:G$400,0)),G$2,)</f>
        <v>0</v>
      </c>
      <c r="H27" s="140">
        <f ca="1">IF(ISNUMBER(MATCH(DATEVALUE($A27),'changes1_based on steps'!H$1:H$400,0)),H$2,)</f>
        <v>0</v>
      </c>
      <c r="I27" s="140">
        <f ca="1">IF(ISNUMBER(MATCH(DATEVALUE($A27),'changes1_based on steps'!I$1:I$400,0)),I$2,)</f>
        <v>0</v>
      </c>
      <c r="J27" s="140">
        <f ca="1">IF(ISNUMBER(MATCH(DATEVALUE($A27),'changes1_based on steps'!J$1:J$400,0)),J$2,)</f>
        <v>0</v>
      </c>
      <c r="K27" s="140">
        <f ca="1">IF(ISNUMBER(MATCH(DATEVALUE($A27),'changes1_based on steps'!K$1:K$400,0)),K$2,)</f>
        <v>0</v>
      </c>
      <c r="L27" s="140">
        <f ca="1">IF(ISNUMBER(MATCH(DATEVALUE($A27),'changes1_based on steps'!L$1:L$400,0)),L$2,)</f>
        <v>0</v>
      </c>
      <c r="M27" s="140">
        <f ca="1">IF(ISNUMBER(MATCH(DATEVALUE($A27),'changes1_based on steps'!M$1:M$400,0)),M$2,)</f>
        <v>0</v>
      </c>
      <c r="N27" s="140">
        <f ca="1">IF(ISNUMBER(MATCH(DATEVALUE($A27),'changes1_based on steps'!N$1:N$400,0)),N$2,)</f>
        <v>0</v>
      </c>
      <c r="O27" s="140">
        <f ca="1">IF(ISNUMBER(MATCH(DATEVALUE($A27),'changes1_based on steps'!O$1:O$400,0)),O$2,)</f>
        <v>0</v>
      </c>
      <c r="P27" s="140">
        <f ca="1">IF(ISNUMBER(MATCH(DATEVALUE($A27),'changes1_based on steps'!P$1:P$400,0)),P$2,)</f>
        <v>0</v>
      </c>
      <c r="Q27" s="140">
        <f ca="1">IF(ISNUMBER(MATCH(DATEVALUE($A27),'changes1_based on steps'!Q$1:Q$400,0)),Q$2,)</f>
        <v>0</v>
      </c>
      <c r="R27" s="140">
        <f ca="1">IF(ISNUMBER(MATCH(DATEVALUE($A27),'changes1_based on steps'!R$1:R$400,0)),R$2,)</f>
        <v>0</v>
      </c>
      <c r="S27" s="140">
        <f ca="1">IF(ISNUMBER(MATCH(DATEVALUE($A27),'changes1_based on steps'!S$1:S$400,0)),S$2,)</f>
        <v>0</v>
      </c>
      <c r="T27" s="140">
        <f ca="1">IF(ISNUMBER(MATCH(DATEVALUE($A27),'changes1_based on steps'!T$1:T$400,0)),T$2,)</f>
        <v>0</v>
      </c>
      <c r="U27" s="140">
        <f ca="1">IF(ISNUMBER(MATCH(DATEVALUE($A27),'changes1_based on steps'!U$1:U$400,0)),U$2,)</f>
        <v>0</v>
      </c>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40"/>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row>
    <row r="28" spans="1:101" x14ac:dyDescent="0.2">
      <c r="A28" s="29" t="str">
        <f t="shared" ca="1" si="0"/>
        <v>2025-04-21</v>
      </c>
      <c r="B28" s="140">
        <f ca="1">IF(ISNUMBER(MATCH(DATEVALUE($A28),'changes1_based on steps'!B$1:B$400,0)),B$2,)</f>
        <v>0</v>
      </c>
      <c r="C28" s="140">
        <f ca="1">IF(ISNUMBER(MATCH(DATEVALUE($A28),'changes1_based on steps'!C$1:C$400,0)),C$2,)</f>
        <v>0</v>
      </c>
      <c r="D28" s="140">
        <f ca="1">IF(ISNUMBER(MATCH(DATEVALUE($A28),'changes1_based on steps'!D$1:D$400,0)),D$2,)</f>
        <v>0</v>
      </c>
      <c r="E28" s="140">
        <f ca="1">IF(ISNUMBER(MATCH(DATEVALUE($A28),'changes1_based on steps'!E$1:E$400,0)),E$2,)</f>
        <v>0</v>
      </c>
      <c r="F28" s="140">
        <f ca="1">IF(ISNUMBER(MATCH(DATEVALUE($A28),'changes1_based on steps'!F$1:F$400,0)),F$2,)</f>
        <v>0</v>
      </c>
      <c r="G28" s="140">
        <f ca="1">IF(ISNUMBER(MATCH(DATEVALUE($A28),'changes1_based on steps'!G$1:G$400,0)),G$2,)</f>
        <v>0</v>
      </c>
      <c r="H28" s="140">
        <f ca="1">IF(ISNUMBER(MATCH(DATEVALUE($A28),'changes1_based on steps'!H$1:H$400,0)),H$2,)</f>
        <v>0</v>
      </c>
      <c r="I28" s="140">
        <f ca="1">IF(ISNUMBER(MATCH(DATEVALUE($A28),'changes1_based on steps'!I$1:I$400,0)),I$2,)</f>
        <v>0</v>
      </c>
      <c r="J28" s="140">
        <f ca="1">IF(ISNUMBER(MATCH(DATEVALUE($A28),'changes1_based on steps'!J$1:J$400,0)),J$2,)</f>
        <v>0</v>
      </c>
      <c r="K28" s="140">
        <f ca="1">IF(ISNUMBER(MATCH(DATEVALUE($A28),'changes1_based on steps'!K$1:K$400,0)),K$2,)</f>
        <v>0</v>
      </c>
      <c r="L28" s="140">
        <f ca="1">IF(ISNUMBER(MATCH(DATEVALUE($A28),'changes1_based on steps'!L$1:L$400,0)),L$2,)</f>
        <v>0</v>
      </c>
      <c r="M28" s="140">
        <f ca="1">IF(ISNUMBER(MATCH(DATEVALUE($A28),'changes1_based on steps'!M$1:M$400,0)),M$2,)</f>
        <v>0</v>
      </c>
      <c r="N28" s="140">
        <f ca="1">IF(ISNUMBER(MATCH(DATEVALUE($A28),'changes1_based on steps'!N$1:N$400,0)),N$2,)</f>
        <v>0</v>
      </c>
      <c r="O28" s="140">
        <f ca="1">IF(ISNUMBER(MATCH(DATEVALUE($A28),'changes1_based on steps'!O$1:O$400,0)),O$2,)</f>
        <v>0</v>
      </c>
      <c r="P28" s="140">
        <f ca="1">IF(ISNUMBER(MATCH(DATEVALUE($A28),'changes1_based on steps'!P$1:P$400,0)),P$2,)</f>
        <v>0</v>
      </c>
      <c r="Q28" s="140">
        <f ca="1">IF(ISNUMBER(MATCH(DATEVALUE($A28),'changes1_based on steps'!Q$1:Q$400,0)),Q$2,)</f>
        <v>0</v>
      </c>
      <c r="R28" s="140">
        <f ca="1">IF(ISNUMBER(MATCH(DATEVALUE($A28),'changes1_based on steps'!R$1:R$400,0)),R$2,)</f>
        <v>0</v>
      </c>
      <c r="S28" s="140">
        <f ca="1">IF(ISNUMBER(MATCH(DATEVALUE($A28),'changes1_based on steps'!S$1:S$400,0)),S$2,)</f>
        <v>0</v>
      </c>
      <c r="T28" s="140">
        <f ca="1">IF(ISNUMBER(MATCH(DATEVALUE($A28),'changes1_based on steps'!T$1:T$400,0)),T$2,)</f>
        <v>0</v>
      </c>
      <c r="U28" s="140">
        <f ca="1">IF(ISNUMBER(MATCH(DATEVALUE($A28),'changes1_based on steps'!U$1:U$400,0)),U$2,)</f>
        <v>0</v>
      </c>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40"/>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row>
    <row r="29" spans="1:101" x14ac:dyDescent="0.2">
      <c r="A29" s="29" t="str">
        <f t="shared" ca="1" si="0"/>
        <v>2025-04-22</v>
      </c>
      <c r="B29" s="140">
        <f ca="1">IF(ISNUMBER(MATCH(DATEVALUE($A29),'changes1_based on steps'!B$1:B$400,0)),B$2,)</f>
        <v>0</v>
      </c>
      <c r="C29" s="140">
        <f ca="1">IF(ISNUMBER(MATCH(DATEVALUE($A29),'changes1_based on steps'!C$1:C$400,0)),C$2,)</f>
        <v>0</v>
      </c>
      <c r="D29" s="140">
        <f ca="1">IF(ISNUMBER(MATCH(DATEVALUE($A29),'changes1_based on steps'!D$1:D$400,0)),D$2,)</f>
        <v>0</v>
      </c>
      <c r="E29" s="140">
        <f ca="1">IF(ISNUMBER(MATCH(DATEVALUE($A29),'changes1_based on steps'!E$1:E$400,0)),E$2,)</f>
        <v>0</v>
      </c>
      <c r="F29" s="140">
        <f ca="1">IF(ISNUMBER(MATCH(DATEVALUE($A29),'changes1_based on steps'!F$1:F$400,0)),F$2,)</f>
        <v>0</v>
      </c>
      <c r="G29" s="140">
        <f ca="1">IF(ISNUMBER(MATCH(DATEVALUE($A29),'changes1_based on steps'!G$1:G$400,0)),G$2,)</f>
        <v>0</v>
      </c>
      <c r="H29" s="140">
        <f ca="1">IF(ISNUMBER(MATCH(DATEVALUE($A29),'changes1_based on steps'!H$1:H$400,0)),H$2,)</f>
        <v>0</v>
      </c>
      <c r="I29" s="140">
        <f ca="1">IF(ISNUMBER(MATCH(DATEVALUE($A29),'changes1_based on steps'!I$1:I$400,0)),I$2,)</f>
        <v>0</v>
      </c>
      <c r="J29" s="140">
        <f ca="1">IF(ISNUMBER(MATCH(DATEVALUE($A29),'changes1_based on steps'!J$1:J$400,0)),J$2,)</f>
        <v>0</v>
      </c>
      <c r="K29" s="140">
        <f ca="1">IF(ISNUMBER(MATCH(DATEVALUE($A29),'changes1_based on steps'!K$1:K$400,0)),K$2,)</f>
        <v>0</v>
      </c>
      <c r="L29" s="140">
        <f ca="1">IF(ISNUMBER(MATCH(DATEVALUE($A29),'changes1_based on steps'!L$1:L$400,0)),L$2,)</f>
        <v>0</v>
      </c>
      <c r="M29" s="140">
        <f ca="1">IF(ISNUMBER(MATCH(DATEVALUE($A29),'changes1_based on steps'!M$1:M$400,0)),M$2,)</f>
        <v>0</v>
      </c>
      <c r="N29" s="140">
        <f ca="1">IF(ISNUMBER(MATCH(DATEVALUE($A29),'changes1_based on steps'!N$1:N$400,0)),N$2,)</f>
        <v>0</v>
      </c>
      <c r="O29" s="140">
        <f ca="1">IF(ISNUMBER(MATCH(DATEVALUE($A29),'changes1_based on steps'!O$1:O$400,0)),O$2,)</f>
        <v>0</v>
      </c>
      <c r="P29" s="140">
        <f ca="1">IF(ISNUMBER(MATCH(DATEVALUE($A29),'changes1_based on steps'!P$1:P$400,0)),P$2,)</f>
        <v>0</v>
      </c>
      <c r="Q29" s="140">
        <f ca="1">IF(ISNUMBER(MATCH(DATEVALUE($A29),'changes1_based on steps'!Q$1:Q$400,0)),Q$2,)</f>
        <v>0</v>
      </c>
      <c r="R29" s="140">
        <f ca="1">IF(ISNUMBER(MATCH(DATEVALUE($A29),'changes1_based on steps'!R$1:R$400,0)),R$2,)</f>
        <v>0</v>
      </c>
      <c r="S29" s="140">
        <f ca="1">IF(ISNUMBER(MATCH(DATEVALUE($A29),'changes1_based on steps'!S$1:S$400,0)),S$2,)</f>
        <v>0</v>
      </c>
      <c r="T29" s="140">
        <f ca="1">IF(ISNUMBER(MATCH(DATEVALUE($A29),'changes1_based on steps'!T$1:T$400,0)),T$2,)</f>
        <v>0</v>
      </c>
      <c r="U29" s="140">
        <f ca="1">IF(ISNUMBER(MATCH(DATEVALUE($A29),'changes1_based on steps'!U$1:U$400,0)),U$2,)</f>
        <v>0</v>
      </c>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row>
    <row r="30" spans="1:101" x14ac:dyDescent="0.2">
      <c r="A30" s="29" t="str">
        <f t="shared" ca="1" si="0"/>
        <v>2025-04-23</v>
      </c>
      <c r="B30" s="140">
        <f ca="1">IF(ISNUMBER(MATCH(DATEVALUE($A30),'changes1_based on steps'!B$1:B$400,0)),B$2,)</f>
        <v>0</v>
      </c>
      <c r="C30" s="140">
        <f ca="1">IF(ISNUMBER(MATCH(DATEVALUE($A30),'changes1_based on steps'!C$1:C$400,0)),C$2,)</f>
        <v>0</v>
      </c>
      <c r="D30" s="140">
        <f ca="1">IF(ISNUMBER(MATCH(DATEVALUE($A30),'changes1_based on steps'!D$1:D$400,0)),D$2,)</f>
        <v>0</v>
      </c>
      <c r="E30" s="140">
        <f ca="1">IF(ISNUMBER(MATCH(DATEVALUE($A30),'changes1_based on steps'!E$1:E$400,0)),E$2,)</f>
        <v>0</v>
      </c>
      <c r="F30" s="140">
        <f ca="1">IF(ISNUMBER(MATCH(DATEVALUE($A30),'changes1_based on steps'!F$1:F$400,0)),F$2,)</f>
        <v>0</v>
      </c>
      <c r="G30" s="140">
        <f ca="1">IF(ISNUMBER(MATCH(DATEVALUE($A30),'changes1_based on steps'!G$1:G$400,0)),G$2,)</f>
        <v>0</v>
      </c>
      <c r="H30" s="140">
        <f ca="1">IF(ISNUMBER(MATCH(DATEVALUE($A30),'changes1_based on steps'!H$1:H$400,0)),H$2,)</f>
        <v>0</v>
      </c>
      <c r="I30" s="140">
        <f ca="1">IF(ISNUMBER(MATCH(DATEVALUE($A30),'changes1_based on steps'!I$1:I$400,0)),I$2,)</f>
        <v>0</v>
      </c>
      <c r="J30" s="140">
        <f ca="1">IF(ISNUMBER(MATCH(DATEVALUE($A30),'changes1_based on steps'!J$1:J$400,0)),J$2,)</f>
        <v>0</v>
      </c>
      <c r="K30" s="140">
        <f ca="1">IF(ISNUMBER(MATCH(DATEVALUE($A30),'changes1_based on steps'!K$1:K$400,0)),K$2,)</f>
        <v>0</v>
      </c>
      <c r="L30" s="140">
        <f ca="1">IF(ISNUMBER(MATCH(DATEVALUE($A30),'changes1_based on steps'!L$1:L$400,0)),L$2,)</f>
        <v>0</v>
      </c>
      <c r="M30" s="140">
        <f ca="1">IF(ISNUMBER(MATCH(DATEVALUE($A30),'changes1_based on steps'!M$1:M$400,0)),M$2,)</f>
        <v>0</v>
      </c>
      <c r="N30" s="140">
        <f ca="1">IF(ISNUMBER(MATCH(DATEVALUE($A30),'changes1_based on steps'!N$1:N$400,0)),N$2,)</f>
        <v>0</v>
      </c>
      <c r="O30" s="140">
        <f ca="1">IF(ISNUMBER(MATCH(DATEVALUE($A30),'changes1_based on steps'!O$1:O$400,0)),O$2,)</f>
        <v>0</v>
      </c>
      <c r="P30" s="140">
        <f ca="1">IF(ISNUMBER(MATCH(DATEVALUE($A30),'changes1_based on steps'!P$1:P$400,0)),P$2,)</f>
        <v>0</v>
      </c>
      <c r="Q30" s="140">
        <f ca="1">IF(ISNUMBER(MATCH(DATEVALUE($A30),'changes1_based on steps'!Q$1:Q$400,0)),Q$2,)</f>
        <v>0</v>
      </c>
      <c r="R30" s="140">
        <f ca="1">IF(ISNUMBER(MATCH(DATEVALUE($A30),'changes1_based on steps'!R$1:R$400,0)),R$2,)</f>
        <v>0</v>
      </c>
      <c r="S30" s="140">
        <f ca="1">IF(ISNUMBER(MATCH(DATEVALUE($A30),'changes1_based on steps'!S$1:S$400,0)),S$2,)</f>
        <v>0</v>
      </c>
      <c r="T30" s="140">
        <f ca="1">IF(ISNUMBER(MATCH(DATEVALUE($A30),'changes1_based on steps'!T$1:T$400,0)),T$2,)</f>
        <v>0</v>
      </c>
      <c r="U30" s="140">
        <f ca="1">IF(ISNUMBER(MATCH(DATEVALUE($A30),'changes1_based on steps'!U$1:U$400,0)),U$2,)</f>
        <v>0</v>
      </c>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40"/>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row>
    <row r="31" spans="1:101" x14ac:dyDescent="0.2">
      <c r="A31" s="29" t="str">
        <f t="shared" ca="1" si="0"/>
        <v>2025-04-24</v>
      </c>
      <c r="B31" s="140">
        <f ca="1">IF(ISNUMBER(MATCH(DATEVALUE($A31),'changes1_based on steps'!B$1:B$400,0)),B$2,)</f>
        <v>0</v>
      </c>
      <c r="C31" s="140">
        <f ca="1">IF(ISNUMBER(MATCH(DATEVALUE($A31),'changes1_based on steps'!C$1:C$400,0)),C$2,)</f>
        <v>0</v>
      </c>
      <c r="D31" s="140">
        <f ca="1">IF(ISNUMBER(MATCH(DATEVALUE($A31),'changes1_based on steps'!D$1:D$400,0)),D$2,)</f>
        <v>0</v>
      </c>
      <c r="E31" s="140">
        <f ca="1">IF(ISNUMBER(MATCH(DATEVALUE($A31),'changes1_based on steps'!E$1:E$400,0)),E$2,)</f>
        <v>0</v>
      </c>
      <c r="F31" s="140">
        <f ca="1">IF(ISNUMBER(MATCH(DATEVALUE($A31),'changes1_based on steps'!F$1:F$400,0)),F$2,)</f>
        <v>0</v>
      </c>
      <c r="G31" s="140">
        <f ca="1">IF(ISNUMBER(MATCH(DATEVALUE($A31),'changes1_based on steps'!G$1:G$400,0)),G$2,)</f>
        <v>0</v>
      </c>
      <c r="H31" s="140">
        <f ca="1">IF(ISNUMBER(MATCH(DATEVALUE($A31),'changes1_based on steps'!H$1:H$400,0)),H$2,)</f>
        <v>0</v>
      </c>
      <c r="I31" s="140">
        <f ca="1">IF(ISNUMBER(MATCH(DATEVALUE($A31),'changes1_based on steps'!I$1:I$400,0)),I$2,)</f>
        <v>0</v>
      </c>
      <c r="J31" s="140">
        <f ca="1">IF(ISNUMBER(MATCH(DATEVALUE($A31),'changes1_based on steps'!J$1:J$400,0)),J$2,)</f>
        <v>0</v>
      </c>
      <c r="K31" s="140">
        <f ca="1">IF(ISNUMBER(MATCH(DATEVALUE($A31),'changes1_based on steps'!K$1:K$400,0)),K$2,)</f>
        <v>0</v>
      </c>
      <c r="L31" s="140">
        <f ca="1">IF(ISNUMBER(MATCH(DATEVALUE($A31),'changes1_based on steps'!L$1:L$400,0)),L$2,)</f>
        <v>0</v>
      </c>
      <c r="M31" s="140">
        <f ca="1">IF(ISNUMBER(MATCH(DATEVALUE($A31),'changes1_based on steps'!M$1:M$400,0)),M$2,)</f>
        <v>0</v>
      </c>
      <c r="N31" s="140">
        <f ca="1">IF(ISNUMBER(MATCH(DATEVALUE($A31),'changes1_based on steps'!N$1:N$400,0)),N$2,)</f>
        <v>0</v>
      </c>
      <c r="O31" s="140">
        <f ca="1">IF(ISNUMBER(MATCH(DATEVALUE($A31),'changes1_based on steps'!O$1:O$400,0)),O$2,)</f>
        <v>0</v>
      </c>
      <c r="P31" s="140">
        <f ca="1">IF(ISNUMBER(MATCH(DATEVALUE($A31),'changes1_based on steps'!P$1:P$400,0)),P$2,)</f>
        <v>0</v>
      </c>
      <c r="Q31" s="140">
        <f ca="1">IF(ISNUMBER(MATCH(DATEVALUE($A31),'changes1_based on steps'!Q$1:Q$400,0)),Q$2,)</f>
        <v>0</v>
      </c>
      <c r="R31" s="140">
        <f ca="1">IF(ISNUMBER(MATCH(DATEVALUE($A31),'changes1_based on steps'!R$1:R$400,0)),R$2,)</f>
        <v>0</v>
      </c>
      <c r="S31" s="140">
        <f ca="1">IF(ISNUMBER(MATCH(DATEVALUE($A31),'changes1_based on steps'!S$1:S$400,0)),S$2,)</f>
        <v>0</v>
      </c>
      <c r="T31" s="140">
        <f ca="1">IF(ISNUMBER(MATCH(DATEVALUE($A31),'changes1_based on steps'!T$1:T$400,0)),T$2,)</f>
        <v>0</v>
      </c>
      <c r="U31" s="140">
        <f ca="1">IF(ISNUMBER(MATCH(DATEVALUE($A31),'changes1_based on steps'!U$1:U$400,0)),U$2,)</f>
        <v>0</v>
      </c>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row>
    <row r="32" spans="1:101" x14ac:dyDescent="0.2">
      <c r="A32" s="29" t="str">
        <f t="shared" ca="1" si="0"/>
        <v>2025-04-25</v>
      </c>
      <c r="B32" s="140">
        <f ca="1">IF(ISNUMBER(MATCH(DATEVALUE($A32),'changes1_based on steps'!B$1:B$400,0)),B$2,)</f>
        <v>0</v>
      </c>
      <c r="C32" s="140">
        <f ca="1">IF(ISNUMBER(MATCH(DATEVALUE($A32),'changes1_based on steps'!C$1:C$400,0)),C$2,)</f>
        <v>0</v>
      </c>
      <c r="D32" s="140">
        <f ca="1">IF(ISNUMBER(MATCH(DATEVALUE($A32),'changes1_based on steps'!D$1:D$400,0)),D$2,)</f>
        <v>0</v>
      </c>
      <c r="E32" s="140">
        <f ca="1">IF(ISNUMBER(MATCH(DATEVALUE($A32),'changes1_based on steps'!E$1:E$400,0)),E$2,)</f>
        <v>0</v>
      </c>
      <c r="F32" s="140">
        <f ca="1">IF(ISNUMBER(MATCH(DATEVALUE($A32),'changes1_based on steps'!F$1:F$400,0)),F$2,)</f>
        <v>0</v>
      </c>
      <c r="G32" s="140">
        <f ca="1">IF(ISNUMBER(MATCH(DATEVALUE($A32),'changes1_based on steps'!G$1:G$400,0)),G$2,)</f>
        <v>0</v>
      </c>
      <c r="H32" s="140">
        <f ca="1">IF(ISNUMBER(MATCH(DATEVALUE($A32),'changes1_based on steps'!H$1:H$400,0)),H$2,)</f>
        <v>0</v>
      </c>
      <c r="I32" s="140">
        <f ca="1">IF(ISNUMBER(MATCH(DATEVALUE($A32),'changes1_based on steps'!I$1:I$400,0)),I$2,)</f>
        <v>0</v>
      </c>
      <c r="J32" s="140">
        <f ca="1">IF(ISNUMBER(MATCH(DATEVALUE($A32),'changes1_based on steps'!J$1:J$400,0)),J$2,)</f>
        <v>0</v>
      </c>
      <c r="K32" s="140">
        <f ca="1">IF(ISNUMBER(MATCH(DATEVALUE($A32),'changes1_based on steps'!K$1:K$400,0)),K$2,)</f>
        <v>0</v>
      </c>
      <c r="L32" s="140">
        <f ca="1">IF(ISNUMBER(MATCH(DATEVALUE($A32),'changes1_based on steps'!L$1:L$400,0)),L$2,)</f>
        <v>0</v>
      </c>
      <c r="M32" s="140">
        <f ca="1">IF(ISNUMBER(MATCH(DATEVALUE($A32),'changes1_based on steps'!M$1:M$400,0)),M$2,)</f>
        <v>0</v>
      </c>
      <c r="N32" s="140">
        <f ca="1">IF(ISNUMBER(MATCH(DATEVALUE($A32),'changes1_based on steps'!N$1:N$400,0)),N$2,)</f>
        <v>0</v>
      </c>
      <c r="O32" s="140">
        <f ca="1">IF(ISNUMBER(MATCH(DATEVALUE($A32),'changes1_based on steps'!O$1:O$400,0)),O$2,)</f>
        <v>0</v>
      </c>
      <c r="P32" s="140">
        <f ca="1">IF(ISNUMBER(MATCH(DATEVALUE($A32),'changes1_based on steps'!P$1:P$400,0)),P$2,)</f>
        <v>0</v>
      </c>
      <c r="Q32" s="140">
        <f ca="1">IF(ISNUMBER(MATCH(DATEVALUE($A32),'changes1_based on steps'!Q$1:Q$400,0)),Q$2,)</f>
        <v>0</v>
      </c>
      <c r="R32" s="140">
        <f ca="1">IF(ISNUMBER(MATCH(DATEVALUE($A32),'changes1_based on steps'!R$1:R$400,0)),R$2,)</f>
        <v>0</v>
      </c>
      <c r="S32" s="140">
        <f ca="1">IF(ISNUMBER(MATCH(DATEVALUE($A32),'changes1_based on steps'!S$1:S$400,0)),S$2,)</f>
        <v>0</v>
      </c>
      <c r="T32" s="140">
        <f ca="1">IF(ISNUMBER(MATCH(DATEVALUE($A32),'changes1_based on steps'!T$1:T$400,0)),T$2,)</f>
        <v>0</v>
      </c>
      <c r="U32" s="140">
        <f ca="1">IF(ISNUMBER(MATCH(DATEVALUE($A32),'changes1_based on steps'!U$1:U$400,0)),U$2,)</f>
        <v>0</v>
      </c>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row>
    <row r="33" spans="1:101" x14ac:dyDescent="0.2">
      <c r="A33" s="29" t="str">
        <f t="shared" ca="1" si="0"/>
        <v>2025-04-26</v>
      </c>
      <c r="B33" s="140">
        <f ca="1">IF(ISNUMBER(MATCH(DATEVALUE($A33),'changes1_based on steps'!B$1:B$400,0)),B$2,)</f>
        <v>0</v>
      </c>
      <c r="C33" s="140">
        <f ca="1">IF(ISNUMBER(MATCH(DATEVALUE($A33),'changes1_based on steps'!C$1:C$400,0)),C$2,)</f>
        <v>0</v>
      </c>
      <c r="D33" s="140">
        <f ca="1">IF(ISNUMBER(MATCH(DATEVALUE($A33),'changes1_based on steps'!D$1:D$400,0)),D$2,)</f>
        <v>0</v>
      </c>
      <c r="E33" s="140">
        <f ca="1">IF(ISNUMBER(MATCH(DATEVALUE($A33),'changes1_based on steps'!E$1:E$400,0)),E$2,)</f>
        <v>0</v>
      </c>
      <c r="F33" s="140">
        <f ca="1">IF(ISNUMBER(MATCH(DATEVALUE($A33),'changes1_based on steps'!F$1:F$400,0)),F$2,)</f>
        <v>0</v>
      </c>
      <c r="G33" s="140">
        <f ca="1">IF(ISNUMBER(MATCH(DATEVALUE($A33),'changes1_based on steps'!G$1:G$400,0)),G$2,)</f>
        <v>0</v>
      </c>
      <c r="H33" s="140">
        <f ca="1">IF(ISNUMBER(MATCH(DATEVALUE($A33),'changes1_based on steps'!H$1:H$400,0)),H$2,)</f>
        <v>0</v>
      </c>
      <c r="I33" s="140">
        <f ca="1">IF(ISNUMBER(MATCH(DATEVALUE($A33),'changes1_based on steps'!I$1:I$400,0)),I$2,)</f>
        <v>0</v>
      </c>
      <c r="J33" s="140">
        <f ca="1">IF(ISNUMBER(MATCH(DATEVALUE($A33),'changes1_based on steps'!J$1:J$400,0)),J$2,)</f>
        <v>0</v>
      </c>
      <c r="K33" s="140">
        <f ca="1">IF(ISNUMBER(MATCH(DATEVALUE($A33),'changes1_based on steps'!K$1:K$400,0)),K$2,)</f>
        <v>0</v>
      </c>
      <c r="L33" s="140">
        <f ca="1">IF(ISNUMBER(MATCH(DATEVALUE($A33),'changes1_based on steps'!L$1:L$400,0)),L$2,)</f>
        <v>0</v>
      </c>
      <c r="M33" s="140">
        <f ca="1">IF(ISNUMBER(MATCH(DATEVALUE($A33),'changes1_based on steps'!M$1:M$400,0)),M$2,)</f>
        <v>0</v>
      </c>
      <c r="N33" s="140">
        <f ca="1">IF(ISNUMBER(MATCH(DATEVALUE($A33),'changes1_based on steps'!N$1:N$400,0)),N$2,)</f>
        <v>0</v>
      </c>
      <c r="O33" s="140">
        <f ca="1">IF(ISNUMBER(MATCH(DATEVALUE($A33),'changes1_based on steps'!O$1:O$400,0)),O$2,)</f>
        <v>0</v>
      </c>
      <c r="P33" s="140">
        <f ca="1">IF(ISNUMBER(MATCH(DATEVALUE($A33),'changes1_based on steps'!P$1:P$400,0)),P$2,)</f>
        <v>0</v>
      </c>
      <c r="Q33" s="140">
        <f ca="1">IF(ISNUMBER(MATCH(DATEVALUE($A33),'changes1_based on steps'!Q$1:Q$400,0)),Q$2,)</f>
        <v>0</v>
      </c>
      <c r="R33" s="140">
        <f ca="1">IF(ISNUMBER(MATCH(DATEVALUE($A33),'changes1_based on steps'!R$1:R$400,0)),R$2,)</f>
        <v>0</v>
      </c>
      <c r="S33" s="140">
        <f ca="1">IF(ISNUMBER(MATCH(DATEVALUE($A33),'changes1_based on steps'!S$1:S$400,0)),S$2,)</f>
        <v>0</v>
      </c>
      <c r="T33" s="140">
        <f ca="1">IF(ISNUMBER(MATCH(DATEVALUE($A33),'changes1_based on steps'!T$1:T$400,0)),T$2,)</f>
        <v>0</v>
      </c>
      <c r="U33" s="140">
        <f ca="1">IF(ISNUMBER(MATCH(DATEVALUE($A33),'changes1_based on steps'!U$1:U$400,0)),U$2,)</f>
        <v>0</v>
      </c>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40"/>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row>
    <row r="34" spans="1:101" x14ac:dyDescent="0.2">
      <c r="A34" s="29" t="str">
        <f t="shared" ca="1" si="0"/>
        <v>2025-04-27</v>
      </c>
      <c r="B34" s="140">
        <f ca="1">IF(ISNUMBER(MATCH(DATEVALUE($A34),'changes1_based on steps'!B$1:B$400,0)),B$2,)</f>
        <v>0</v>
      </c>
      <c r="C34" s="140">
        <f ca="1">IF(ISNUMBER(MATCH(DATEVALUE($A34),'changes1_based on steps'!C$1:C$400,0)),C$2,)</f>
        <v>0</v>
      </c>
      <c r="D34" s="140">
        <f ca="1">IF(ISNUMBER(MATCH(DATEVALUE($A34),'changes1_based on steps'!D$1:D$400,0)),D$2,)</f>
        <v>0</v>
      </c>
      <c r="E34" s="140">
        <f ca="1">IF(ISNUMBER(MATCH(DATEVALUE($A34),'changes1_based on steps'!E$1:E$400,0)),E$2,)</f>
        <v>0</v>
      </c>
      <c r="F34" s="140">
        <f ca="1">IF(ISNUMBER(MATCH(DATEVALUE($A34),'changes1_based on steps'!F$1:F$400,0)),F$2,)</f>
        <v>0</v>
      </c>
      <c r="G34" s="140">
        <f ca="1">IF(ISNUMBER(MATCH(DATEVALUE($A34),'changes1_based on steps'!G$1:G$400,0)),G$2,)</f>
        <v>0</v>
      </c>
      <c r="H34" s="140">
        <f ca="1">IF(ISNUMBER(MATCH(DATEVALUE($A34),'changes1_based on steps'!H$1:H$400,0)),H$2,)</f>
        <v>0</v>
      </c>
      <c r="I34" s="140">
        <f ca="1">IF(ISNUMBER(MATCH(DATEVALUE($A34),'changes1_based on steps'!I$1:I$400,0)),I$2,)</f>
        <v>0</v>
      </c>
      <c r="J34" s="140">
        <f ca="1">IF(ISNUMBER(MATCH(DATEVALUE($A34),'changes1_based on steps'!J$1:J$400,0)),J$2,)</f>
        <v>0</v>
      </c>
      <c r="K34" s="140">
        <f ca="1">IF(ISNUMBER(MATCH(DATEVALUE($A34),'changes1_based on steps'!K$1:K$400,0)),K$2,)</f>
        <v>0</v>
      </c>
      <c r="L34" s="140">
        <f ca="1">IF(ISNUMBER(MATCH(DATEVALUE($A34),'changes1_based on steps'!L$1:L$400,0)),L$2,)</f>
        <v>0</v>
      </c>
      <c r="M34" s="140">
        <f ca="1">IF(ISNUMBER(MATCH(DATEVALUE($A34),'changes1_based on steps'!M$1:M$400,0)),M$2,)</f>
        <v>0</v>
      </c>
      <c r="N34" s="140">
        <f ca="1">IF(ISNUMBER(MATCH(DATEVALUE($A34),'changes1_based on steps'!N$1:N$400,0)),N$2,)</f>
        <v>0</v>
      </c>
      <c r="O34" s="140">
        <f ca="1">IF(ISNUMBER(MATCH(DATEVALUE($A34),'changes1_based on steps'!O$1:O$400,0)),O$2,)</f>
        <v>0</v>
      </c>
      <c r="P34" s="140">
        <f ca="1">IF(ISNUMBER(MATCH(DATEVALUE($A34),'changes1_based on steps'!P$1:P$400,0)),P$2,)</f>
        <v>0</v>
      </c>
      <c r="Q34" s="140">
        <f ca="1">IF(ISNUMBER(MATCH(DATEVALUE($A34),'changes1_based on steps'!Q$1:Q$400,0)),Q$2,)</f>
        <v>0</v>
      </c>
      <c r="R34" s="140">
        <f ca="1">IF(ISNUMBER(MATCH(DATEVALUE($A34),'changes1_based on steps'!R$1:R$400,0)),R$2,)</f>
        <v>0</v>
      </c>
      <c r="S34" s="140">
        <f ca="1">IF(ISNUMBER(MATCH(DATEVALUE($A34),'changes1_based on steps'!S$1:S$400,0)),S$2,)</f>
        <v>0</v>
      </c>
      <c r="T34" s="140">
        <f ca="1">IF(ISNUMBER(MATCH(DATEVALUE($A34),'changes1_based on steps'!T$1:T$400,0)),T$2,)</f>
        <v>0</v>
      </c>
      <c r="U34" s="140">
        <f ca="1">IF(ISNUMBER(MATCH(DATEVALUE($A34),'changes1_based on steps'!U$1:U$400,0)),U$2,)</f>
        <v>0</v>
      </c>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40"/>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row>
    <row r="35" spans="1:101" x14ac:dyDescent="0.2">
      <c r="A35" s="29" t="str">
        <f t="shared" ca="1" si="0"/>
        <v>2025-04-28</v>
      </c>
      <c r="B35" s="140">
        <f ca="1">IF(ISNUMBER(MATCH(DATEVALUE($A35),'changes1_based on steps'!B$1:B$400,0)),B$2,)</f>
        <v>0</v>
      </c>
      <c r="C35" s="140">
        <f ca="1">IF(ISNUMBER(MATCH(DATEVALUE($A35),'changes1_based on steps'!C$1:C$400,0)),C$2,)</f>
        <v>0</v>
      </c>
      <c r="D35" s="140">
        <f ca="1">IF(ISNUMBER(MATCH(DATEVALUE($A35),'changes1_based on steps'!D$1:D$400,0)),D$2,)</f>
        <v>0</v>
      </c>
      <c r="E35" s="140">
        <f ca="1">IF(ISNUMBER(MATCH(DATEVALUE($A35),'changes1_based on steps'!E$1:E$400,0)),E$2,)</f>
        <v>0</v>
      </c>
      <c r="F35" s="140">
        <f ca="1">IF(ISNUMBER(MATCH(DATEVALUE($A35),'changes1_based on steps'!F$1:F$400,0)),F$2,)</f>
        <v>0</v>
      </c>
      <c r="G35" s="140">
        <f ca="1">IF(ISNUMBER(MATCH(DATEVALUE($A35),'changes1_based on steps'!G$1:G$400,0)),G$2,)</f>
        <v>0</v>
      </c>
      <c r="H35" s="140">
        <f ca="1">IF(ISNUMBER(MATCH(DATEVALUE($A35),'changes1_based on steps'!H$1:H$400,0)),H$2,)</f>
        <v>0</v>
      </c>
      <c r="I35" s="140">
        <f ca="1">IF(ISNUMBER(MATCH(DATEVALUE($A35),'changes1_based on steps'!I$1:I$400,0)),I$2,)</f>
        <v>0</v>
      </c>
      <c r="J35" s="140">
        <f ca="1">IF(ISNUMBER(MATCH(DATEVALUE($A35),'changes1_based on steps'!J$1:J$400,0)),J$2,)</f>
        <v>0</v>
      </c>
      <c r="K35" s="140">
        <f ca="1">IF(ISNUMBER(MATCH(DATEVALUE($A35),'changes1_based on steps'!K$1:K$400,0)),K$2,)</f>
        <v>0</v>
      </c>
      <c r="L35" s="140">
        <f ca="1">IF(ISNUMBER(MATCH(DATEVALUE($A35),'changes1_based on steps'!L$1:L$400,0)),L$2,)</f>
        <v>0</v>
      </c>
      <c r="M35" s="140">
        <f ca="1">IF(ISNUMBER(MATCH(DATEVALUE($A35),'changes1_based on steps'!M$1:M$400,0)),M$2,)</f>
        <v>0</v>
      </c>
      <c r="N35" s="140">
        <f ca="1">IF(ISNUMBER(MATCH(DATEVALUE($A35),'changes1_based on steps'!N$1:N$400,0)),N$2,)</f>
        <v>0</v>
      </c>
      <c r="O35" s="140">
        <f ca="1">IF(ISNUMBER(MATCH(DATEVALUE($A35),'changes1_based on steps'!O$1:O$400,0)),O$2,)</f>
        <v>0</v>
      </c>
      <c r="P35" s="140">
        <f ca="1">IF(ISNUMBER(MATCH(DATEVALUE($A35),'changes1_based on steps'!P$1:P$400,0)),P$2,)</f>
        <v>0</v>
      </c>
      <c r="Q35" s="140">
        <f ca="1">IF(ISNUMBER(MATCH(DATEVALUE($A35),'changes1_based on steps'!Q$1:Q$400,0)),Q$2,)</f>
        <v>0</v>
      </c>
      <c r="R35" s="140">
        <f ca="1">IF(ISNUMBER(MATCH(DATEVALUE($A35),'changes1_based on steps'!R$1:R$400,0)),R$2,)</f>
        <v>0</v>
      </c>
      <c r="S35" s="140">
        <f ca="1">IF(ISNUMBER(MATCH(DATEVALUE($A35),'changes1_based on steps'!S$1:S$400,0)),S$2,)</f>
        <v>0</v>
      </c>
      <c r="T35" s="140">
        <f ca="1">IF(ISNUMBER(MATCH(DATEVALUE($A35),'changes1_based on steps'!T$1:T$400,0)),T$2,)</f>
        <v>0</v>
      </c>
      <c r="U35" s="140">
        <f ca="1">IF(ISNUMBER(MATCH(DATEVALUE($A35),'changes1_based on steps'!U$1:U$400,0)),U$2,)</f>
        <v>0</v>
      </c>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40"/>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row>
    <row r="36" spans="1:101" x14ac:dyDescent="0.2">
      <c r="A36" s="29" t="str">
        <f t="shared" ca="1" si="0"/>
        <v>2025-04-29</v>
      </c>
      <c r="B36" s="140">
        <f ca="1">IF(ISNUMBER(MATCH(DATEVALUE($A36),'changes1_based on steps'!B$1:B$400,0)),B$2,)</f>
        <v>0</v>
      </c>
      <c r="C36" s="140">
        <f ca="1">IF(ISNUMBER(MATCH(DATEVALUE($A36),'changes1_based on steps'!C$1:C$400,0)),C$2,)</f>
        <v>0</v>
      </c>
      <c r="D36" s="140">
        <f ca="1">IF(ISNUMBER(MATCH(DATEVALUE($A36),'changes1_based on steps'!D$1:D$400,0)),D$2,)</f>
        <v>0</v>
      </c>
      <c r="E36" s="140">
        <f ca="1">IF(ISNUMBER(MATCH(DATEVALUE($A36),'changes1_based on steps'!E$1:E$400,0)),E$2,)</f>
        <v>0</v>
      </c>
      <c r="F36" s="140">
        <f ca="1">IF(ISNUMBER(MATCH(DATEVALUE($A36),'changes1_based on steps'!F$1:F$400,0)),F$2,)</f>
        <v>0</v>
      </c>
      <c r="G36" s="140">
        <f ca="1">IF(ISNUMBER(MATCH(DATEVALUE($A36),'changes1_based on steps'!G$1:G$400,0)),G$2,)</f>
        <v>0</v>
      </c>
      <c r="H36" s="140">
        <f ca="1">IF(ISNUMBER(MATCH(DATEVALUE($A36),'changes1_based on steps'!H$1:H$400,0)),H$2,)</f>
        <v>0</v>
      </c>
      <c r="I36" s="140">
        <f ca="1">IF(ISNUMBER(MATCH(DATEVALUE($A36),'changes1_based on steps'!I$1:I$400,0)),I$2,)</f>
        <v>0</v>
      </c>
      <c r="J36" s="140">
        <f ca="1">IF(ISNUMBER(MATCH(DATEVALUE($A36),'changes1_based on steps'!J$1:J$400,0)),J$2,)</f>
        <v>0</v>
      </c>
      <c r="K36" s="140">
        <f ca="1">IF(ISNUMBER(MATCH(DATEVALUE($A36),'changes1_based on steps'!K$1:K$400,0)),K$2,)</f>
        <v>0</v>
      </c>
      <c r="L36" s="140">
        <f ca="1">IF(ISNUMBER(MATCH(DATEVALUE($A36),'changes1_based on steps'!L$1:L$400,0)),L$2,)</f>
        <v>0</v>
      </c>
      <c r="M36" s="140">
        <f ca="1">IF(ISNUMBER(MATCH(DATEVALUE($A36),'changes1_based on steps'!M$1:M$400,0)),M$2,)</f>
        <v>0</v>
      </c>
      <c r="N36" s="140">
        <f ca="1">IF(ISNUMBER(MATCH(DATEVALUE($A36),'changes1_based on steps'!N$1:N$400,0)),N$2,)</f>
        <v>0</v>
      </c>
      <c r="O36" s="140">
        <f ca="1">IF(ISNUMBER(MATCH(DATEVALUE($A36),'changes1_based on steps'!O$1:O$400,0)),O$2,)</f>
        <v>0</v>
      </c>
      <c r="P36" s="140">
        <f ca="1">IF(ISNUMBER(MATCH(DATEVALUE($A36),'changes1_based on steps'!P$1:P$400,0)),P$2,)</f>
        <v>0</v>
      </c>
      <c r="Q36" s="140">
        <f ca="1">IF(ISNUMBER(MATCH(DATEVALUE($A36),'changes1_based on steps'!Q$1:Q$400,0)),Q$2,)</f>
        <v>0</v>
      </c>
      <c r="R36" s="140">
        <f ca="1">IF(ISNUMBER(MATCH(DATEVALUE($A36),'changes1_based on steps'!R$1:R$400,0)),R$2,)</f>
        <v>0</v>
      </c>
      <c r="S36" s="140">
        <f ca="1">IF(ISNUMBER(MATCH(DATEVALUE($A36),'changes1_based on steps'!S$1:S$400,0)),S$2,)</f>
        <v>0</v>
      </c>
      <c r="T36" s="140">
        <f ca="1">IF(ISNUMBER(MATCH(DATEVALUE($A36),'changes1_based on steps'!T$1:T$400,0)),T$2,)</f>
        <v>0</v>
      </c>
      <c r="U36" s="140">
        <f ca="1">IF(ISNUMBER(MATCH(DATEVALUE($A36),'changes1_based on steps'!U$1:U$400,0)),U$2,)</f>
        <v>0</v>
      </c>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40"/>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row>
    <row r="37" spans="1:101" x14ac:dyDescent="0.2">
      <c r="A37" s="29" t="str">
        <f t="shared" ca="1" si="0"/>
        <v>2025-04-30</v>
      </c>
      <c r="B37" s="140">
        <f ca="1">IF(ISNUMBER(MATCH(DATEVALUE($A37),'changes1_based on steps'!B$1:B$400,0)),B$2,)</f>
        <v>0</v>
      </c>
      <c r="C37" s="140">
        <f ca="1">IF(ISNUMBER(MATCH(DATEVALUE($A37),'changes1_based on steps'!C$1:C$400,0)),C$2,)</f>
        <v>0</v>
      </c>
      <c r="D37" s="140">
        <f ca="1">IF(ISNUMBER(MATCH(DATEVALUE($A37),'changes1_based on steps'!D$1:D$400,0)),D$2,)</f>
        <v>0</v>
      </c>
      <c r="E37" s="140">
        <f ca="1">IF(ISNUMBER(MATCH(DATEVALUE($A37),'changes1_based on steps'!E$1:E$400,0)),E$2,)</f>
        <v>0</v>
      </c>
      <c r="F37" s="140">
        <f ca="1">IF(ISNUMBER(MATCH(DATEVALUE($A37),'changes1_based on steps'!F$1:F$400,0)),F$2,)</f>
        <v>0</v>
      </c>
      <c r="G37" s="140">
        <f ca="1">IF(ISNUMBER(MATCH(DATEVALUE($A37),'changes1_based on steps'!G$1:G$400,0)),G$2,)</f>
        <v>0</v>
      </c>
      <c r="H37" s="140">
        <f ca="1">IF(ISNUMBER(MATCH(DATEVALUE($A37),'changes1_based on steps'!H$1:H$400,0)),H$2,)</f>
        <v>0</v>
      </c>
      <c r="I37" s="140">
        <f ca="1">IF(ISNUMBER(MATCH(DATEVALUE($A37),'changes1_based on steps'!I$1:I$400,0)),I$2,)</f>
        <v>0</v>
      </c>
      <c r="J37" s="140">
        <f ca="1">IF(ISNUMBER(MATCH(DATEVALUE($A37),'changes1_based on steps'!J$1:J$400,0)),J$2,)</f>
        <v>0</v>
      </c>
      <c r="K37" s="140">
        <f ca="1">IF(ISNUMBER(MATCH(DATEVALUE($A37),'changes1_based on steps'!K$1:K$400,0)),K$2,)</f>
        <v>0</v>
      </c>
      <c r="L37" s="140">
        <f ca="1">IF(ISNUMBER(MATCH(DATEVALUE($A37),'changes1_based on steps'!L$1:L$400,0)),L$2,)</f>
        <v>0</v>
      </c>
      <c r="M37" s="140">
        <f ca="1">IF(ISNUMBER(MATCH(DATEVALUE($A37),'changes1_based on steps'!M$1:M$400,0)),M$2,)</f>
        <v>0</v>
      </c>
      <c r="N37" s="140">
        <f ca="1">IF(ISNUMBER(MATCH(DATEVALUE($A37),'changes1_based on steps'!N$1:N$400,0)),N$2,)</f>
        <v>0</v>
      </c>
      <c r="O37" s="140">
        <f ca="1">IF(ISNUMBER(MATCH(DATEVALUE($A37),'changes1_based on steps'!O$1:O$400,0)),O$2,)</f>
        <v>0</v>
      </c>
      <c r="P37" s="140">
        <f ca="1">IF(ISNUMBER(MATCH(DATEVALUE($A37),'changes1_based on steps'!P$1:P$400,0)),P$2,)</f>
        <v>0</v>
      </c>
      <c r="Q37" s="140">
        <f ca="1">IF(ISNUMBER(MATCH(DATEVALUE($A37),'changes1_based on steps'!Q$1:Q$400,0)),Q$2,)</f>
        <v>0</v>
      </c>
      <c r="R37" s="140">
        <f ca="1">IF(ISNUMBER(MATCH(DATEVALUE($A37),'changes1_based on steps'!R$1:R$400,0)),R$2,)</f>
        <v>0</v>
      </c>
      <c r="S37" s="140">
        <f ca="1">IF(ISNUMBER(MATCH(DATEVALUE($A37),'changes1_based on steps'!S$1:S$400,0)),S$2,)</f>
        <v>0</v>
      </c>
      <c r="T37" s="140">
        <f ca="1">IF(ISNUMBER(MATCH(DATEVALUE($A37),'changes1_based on steps'!T$1:T$400,0)),T$2,)</f>
        <v>0</v>
      </c>
      <c r="U37" s="140">
        <f ca="1">IF(ISNUMBER(MATCH(DATEVALUE($A37),'changes1_based on steps'!U$1:U$400,0)),U$2,)</f>
        <v>0</v>
      </c>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row>
    <row r="38" spans="1:101" x14ac:dyDescent="0.2">
      <c r="A38" s="29" t="str">
        <f t="shared" ca="1" si="0"/>
        <v>2025-05-01</v>
      </c>
      <c r="B38" s="140">
        <f ca="1">IF(ISNUMBER(MATCH(DATEVALUE($A38),'changes1_based on steps'!B$1:B$400,0)),B$2,)</f>
        <v>0</v>
      </c>
      <c r="C38" s="140">
        <f ca="1">IF(ISNUMBER(MATCH(DATEVALUE($A38),'changes1_based on steps'!C$1:C$400,0)),C$2,)</f>
        <v>0</v>
      </c>
      <c r="D38" s="140">
        <f ca="1">IF(ISNUMBER(MATCH(DATEVALUE($A38),'changes1_based on steps'!D$1:D$400,0)),D$2,)</f>
        <v>0</v>
      </c>
      <c r="E38" s="140">
        <f ca="1">IF(ISNUMBER(MATCH(DATEVALUE($A38),'changes1_based on steps'!E$1:E$400,0)),E$2,)</f>
        <v>0</v>
      </c>
      <c r="F38" s="140">
        <f ca="1">IF(ISNUMBER(MATCH(DATEVALUE($A38),'changes1_based on steps'!F$1:F$400,0)),F$2,)</f>
        <v>0</v>
      </c>
      <c r="G38" s="140">
        <f ca="1">IF(ISNUMBER(MATCH(DATEVALUE($A38),'changes1_based on steps'!G$1:G$400,0)),G$2,)</f>
        <v>0</v>
      </c>
      <c r="H38" s="140">
        <f ca="1">IF(ISNUMBER(MATCH(DATEVALUE($A38),'changes1_based on steps'!H$1:H$400,0)),H$2,)</f>
        <v>0</v>
      </c>
      <c r="I38" s="140">
        <f ca="1">IF(ISNUMBER(MATCH(DATEVALUE($A38),'changes1_based on steps'!I$1:I$400,0)),I$2,)</f>
        <v>0</v>
      </c>
      <c r="J38" s="140">
        <f ca="1">IF(ISNUMBER(MATCH(DATEVALUE($A38),'changes1_based on steps'!J$1:J$400,0)),J$2,)</f>
        <v>0</v>
      </c>
      <c r="K38" s="140">
        <f ca="1">IF(ISNUMBER(MATCH(DATEVALUE($A38),'changes1_based on steps'!K$1:K$400,0)),K$2,)</f>
        <v>0</v>
      </c>
      <c r="L38" s="140">
        <f ca="1">IF(ISNUMBER(MATCH(DATEVALUE($A38),'changes1_based on steps'!L$1:L$400,0)),L$2,)</f>
        <v>0</v>
      </c>
      <c r="M38" s="140">
        <f ca="1">IF(ISNUMBER(MATCH(DATEVALUE($A38),'changes1_based on steps'!M$1:M$400,0)),M$2,)</f>
        <v>0</v>
      </c>
      <c r="N38" s="140">
        <f ca="1">IF(ISNUMBER(MATCH(DATEVALUE($A38),'changes1_based on steps'!N$1:N$400,0)),N$2,)</f>
        <v>0</v>
      </c>
      <c r="O38" s="140">
        <f ca="1">IF(ISNUMBER(MATCH(DATEVALUE($A38),'changes1_based on steps'!O$1:O$400,0)),O$2,)</f>
        <v>0</v>
      </c>
      <c r="P38" s="140">
        <f ca="1">IF(ISNUMBER(MATCH(DATEVALUE($A38),'changes1_based on steps'!P$1:P$400,0)),P$2,)</f>
        <v>0</v>
      </c>
      <c r="Q38" s="140">
        <f ca="1">IF(ISNUMBER(MATCH(DATEVALUE($A38),'changes1_based on steps'!Q$1:Q$400,0)),Q$2,)</f>
        <v>0</v>
      </c>
      <c r="R38" s="140">
        <f ca="1">IF(ISNUMBER(MATCH(DATEVALUE($A38),'changes1_based on steps'!R$1:R$400,0)),R$2,)</f>
        <v>0</v>
      </c>
      <c r="S38" s="140">
        <f ca="1">IF(ISNUMBER(MATCH(DATEVALUE($A38),'changes1_based on steps'!S$1:S$400,0)),S$2,)</f>
        <v>0</v>
      </c>
      <c r="T38" s="140">
        <f ca="1">IF(ISNUMBER(MATCH(DATEVALUE($A38),'changes1_based on steps'!T$1:T$400,0)),T$2,)</f>
        <v>0</v>
      </c>
      <c r="U38" s="140">
        <f ca="1">IF(ISNUMBER(MATCH(DATEVALUE($A38),'changes1_based on steps'!U$1:U$400,0)),U$2,)</f>
        <v>0</v>
      </c>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row>
    <row r="39" spans="1:101" x14ac:dyDescent="0.2">
      <c r="A39" s="29" t="str">
        <f t="shared" ca="1" si="0"/>
        <v>2025-05-02</v>
      </c>
      <c r="B39" s="140">
        <f ca="1">IF(ISNUMBER(MATCH(DATEVALUE($A39),'changes1_based on steps'!B$1:B$400,0)),B$2,)</f>
        <v>0</v>
      </c>
      <c r="C39" s="140">
        <f ca="1">IF(ISNUMBER(MATCH(DATEVALUE($A39),'changes1_based on steps'!C$1:C$400,0)),C$2,)</f>
        <v>0</v>
      </c>
      <c r="D39" s="140">
        <f ca="1">IF(ISNUMBER(MATCH(DATEVALUE($A39),'changes1_based on steps'!D$1:D$400,0)),D$2,)</f>
        <v>0</v>
      </c>
      <c r="E39" s="140">
        <f ca="1">IF(ISNUMBER(MATCH(DATEVALUE($A39),'changes1_based on steps'!E$1:E$400,0)),E$2,)</f>
        <v>0</v>
      </c>
      <c r="F39" s="140">
        <f ca="1">IF(ISNUMBER(MATCH(DATEVALUE($A39),'changes1_based on steps'!F$1:F$400,0)),F$2,)</f>
        <v>0</v>
      </c>
      <c r="G39" s="140">
        <f ca="1">IF(ISNUMBER(MATCH(DATEVALUE($A39),'changes1_based on steps'!G$1:G$400,0)),G$2,)</f>
        <v>0</v>
      </c>
      <c r="H39" s="140">
        <f ca="1">IF(ISNUMBER(MATCH(DATEVALUE($A39),'changes1_based on steps'!H$1:H$400,0)),H$2,)</f>
        <v>0</v>
      </c>
      <c r="I39" s="140">
        <f ca="1">IF(ISNUMBER(MATCH(DATEVALUE($A39),'changes1_based on steps'!I$1:I$400,0)),I$2,)</f>
        <v>0</v>
      </c>
      <c r="J39" s="140">
        <f ca="1">IF(ISNUMBER(MATCH(DATEVALUE($A39),'changes1_based on steps'!J$1:J$400,0)),J$2,)</f>
        <v>0</v>
      </c>
      <c r="K39" s="140">
        <f ca="1">IF(ISNUMBER(MATCH(DATEVALUE($A39),'changes1_based on steps'!K$1:K$400,0)),K$2,)</f>
        <v>0</v>
      </c>
      <c r="L39" s="140">
        <f ca="1">IF(ISNUMBER(MATCH(DATEVALUE($A39),'changes1_based on steps'!L$1:L$400,0)),L$2,)</f>
        <v>0</v>
      </c>
      <c r="M39" s="140">
        <f ca="1">IF(ISNUMBER(MATCH(DATEVALUE($A39),'changes1_based on steps'!M$1:M$400,0)),M$2,)</f>
        <v>0</v>
      </c>
      <c r="N39" s="140">
        <f ca="1">IF(ISNUMBER(MATCH(DATEVALUE($A39),'changes1_based on steps'!N$1:N$400,0)),N$2,)</f>
        <v>0</v>
      </c>
      <c r="O39" s="140">
        <f ca="1">IF(ISNUMBER(MATCH(DATEVALUE($A39),'changes1_based on steps'!O$1:O$400,0)),O$2,)</f>
        <v>0</v>
      </c>
      <c r="P39" s="140">
        <f ca="1">IF(ISNUMBER(MATCH(DATEVALUE($A39),'changes1_based on steps'!P$1:P$400,0)),P$2,)</f>
        <v>0</v>
      </c>
      <c r="Q39" s="140">
        <f ca="1">IF(ISNUMBER(MATCH(DATEVALUE($A39),'changes1_based on steps'!Q$1:Q$400,0)),Q$2,)</f>
        <v>0</v>
      </c>
      <c r="R39" s="140">
        <f ca="1">IF(ISNUMBER(MATCH(DATEVALUE($A39),'changes1_based on steps'!R$1:R$400,0)),R$2,)</f>
        <v>0</v>
      </c>
      <c r="S39" s="140">
        <f ca="1">IF(ISNUMBER(MATCH(DATEVALUE($A39),'changes1_based on steps'!S$1:S$400,0)),S$2,)</f>
        <v>0</v>
      </c>
      <c r="T39" s="140">
        <f ca="1">IF(ISNUMBER(MATCH(DATEVALUE($A39),'changes1_based on steps'!T$1:T$400,0)),T$2,)</f>
        <v>0</v>
      </c>
      <c r="U39" s="140">
        <f ca="1">IF(ISNUMBER(MATCH(DATEVALUE($A39),'changes1_based on steps'!U$1:U$400,0)),U$2,)</f>
        <v>0</v>
      </c>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row>
    <row r="40" spans="1:101" x14ac:dyDescent="0.2">
      <c r="A40" s="29" t="str">
        <f t="shared" ca="1" si="0"/>
        <v>2025-05-03</v>
      </c>
      <c r="B40" s="140">
        <f ca="1">IF(ISNUMBER(MATCH(DATEVALUE($A40),'changes1_based on steps'!B$1:B$400,0)),B$2,)</f>
        <v>0</v>
      </c>
      <c r="C40" s="140">
        <f ca="1">IF(ISNUMBER(MATCH(DATEVALUE($A40),'changes1_based on steps'!C$1:C$400,0)),C$2,)</f>
        <v>0</v>
      </c>
      <c r="D40" s="140">
        <f ca="1">IF(ISNUMBER(MATCH(DATEVALUE($A40),'changes1_based on steps'!D$1:D$400,0)),D$2,)</f>
        <v>0</v>
      </c>
      <c r="E40" s="140">
        <f ca="1">IF(ISNUMBER(MATCH(DATEVALUE($A40),'changes1_based on steps'!E$1:E$400,0)),E$2,)</f>
        <v>0</v>
      </c>
      <c r="F40" s="140">
        <f ca="1">IF(ISNUMBER(MATCH(DATEVALUE($A40),'changes1_based on steps'!F$1:F$400,0)),F$2,)</f>
        <v>0</v>
      </c>
      <c r="G40" s="140">
        <f ca="1">IF(ISNUMBER(MATCH(DATEVALUE($A40),'changes1_based on steps'!G$1:G$400,0)),G$2,)</f>
        <v>0</v>
      </c>
      <c r="H40" s="140">
        <f ca="1">IF(ISNUMBER(MATCH(DATEVALUE($A40),'changes1_based on steps'!H$1:H$400,0)),H$2,)</f>
        <v>0</v>
      </c>
      <c r="I40" s="140">
        <f ca="1">IF(ISNUMBER(MATCH(DATEVALUE($A40),'changes1_based on steps'!I$1:I$400,0)),I$2,)</f>
        <v>0</v>
      </c>
      <c r="J40" s="140">
        <f ca="1">IF(ISNUMBER(MATCH(DATEVALUE($A40),'changes1_based on steps'!J$1:J$400,0)),J$2,)</f>
        <v>0</v>
      </c>
      <c r="K40" s="140">
        <f ca="1">IF(ISNUMBER(MATCH(DATEVALUE($A40),'changes1_based on steps'!K$1:K$400,0)),K$2,)</f>
        <v>0</v>
      </c>
      <c r="L40" s="140">
        <f ca="1">IF(ISNUMBER(MATCH(DATEVALUE($A40),'changes1_based on steps'!L$1:L$400,0)),L$2,)</f>
        <v>0</v>
      </c>
      <c r="M40" s="140">
        <f ca="1">IF(ISNUMBER(MATCH(DATEVALUE($A40),'changes1_based on steps'!M$1:M$400,0)),M$2,)</f>
        <v>0</v>
      </c>
      <c r="N40" s="140">
        <f ca="1">IF(ISNUMBER(MATCH(DATEVALUE($A40),'changes1_based on steps'!N$1:N$400,0)),N$2,)</f>
        <v>0</v>
      </c>
      <c r="O40" s="140">
        <f ca="1">IF(ISNUMBER(MATCH(DATEVALUE($A40),'changes1_based on steps'!O$1:O$400,0)),O$2,)</f>
        <v>0</v>
      </c>
      <c r="P40" s="140">
        <f ca="1">IF(ISNUMBER(MATCH(DATEVALUE($A40),'changes1_based on steps'!P$1:P$400,0)),P$2,)</f>
        <v>0</v>
      </c>
      <c r="Q40" s="140">
        <f ca="1">IF(ISNUMBER(MATCH(DATEVALUE($A40),'changes1_based on steps'!Q$1:Q$400,0)),Q$2,)</f>
        <v>0</v>
      </c>
      <c r="R40" s="140">
        <f ca="1">IF(ISNUMBER(MATCH(DATEVALUE($A40),'changes1_based on steps'!R$1:R$400,0)),R$2,)</f>
        <v>0</v>
      </c>
      <c r="S40" s="140">
        <f ca="1">IF(ISNUMBER(MATCH(DATEVALUE($A40),'changes1_based on steps'!S$1:S$400,0)),S$2,)</f>
        <v>0</v>
      </c>
      <c r="T40" s="140">
        <f ca="1">IF(ISNUMBER(MATCH(DATEVALUE($A40),'changes1_based on steps'!T$1:T$400,0)),T$2,)</f>
        <v>0</v>
      </c>
      <c r="U40" s="140">
        <f ca="1">IF(ISNUMBER(MATCH(DATEVALUE($A40),'changes1_based on steps'!U$1:U$400,0)),U$2,)</f>
        <v>0</v>
      </c>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row>
    <row r="41" spans="1:101" x14ac:dyDescent="0.2">
      <c r="A41" s="29" t="str">
        <f t="shared" ca="1" si="0"/>
        <v>2025-05-04</v>
      </c>
      <c r="B41" s="140">
        <f ca="1">IF(ISNUMBER(MATCH(DATEVALUE($A41),'changes1_based on steps'!B$1:B$400,0)),B$2,)</f>
        <v>0</v>
      </c>
      <c r="C41" s="140">
        <f ca="1">IF(ISNUMBER(MATCH(DATEVALUE($A41),'changes1_based on steps'!C$1:C$400,0)),C$2,)</f>
        <v>0</v>
      </c>
      <c r="D41" s="140">
        <f ca="1">IF(ISNUMBER(MATCH(DATEVALUE($A41),'changes1_based on steps'!D$1:D$400,0)),D$2,)</f>
        <v>0</v>
      </c>
      <c r="E41" s="140">
        <f ca="1">IF(ISNUMBER(MATCH(DATEVALUE($A41),'changes1_based on steps'!E$1:E$400,0)),E$2,)</f>
        <v>0</v>
      </c>
      <c r="F41" s="140">
        <f ca="1">IF(ISNUMBER(MATCH(DATEVALUE($A41),'changes1_based on steps'!F$1:F$400,0)),F$2,)</f>
        <v>0</v>
      </c>
      <c r="G41" s="140">
        <f ca="1">IF(ISNUMBER(MATCH(DATEVALUE($A41),'changes1_based on steps'!G$1:G$400,0)),G$2,)</f>
        <v>0</v>
      </c>
      <c r="H41" s="140">
        <f ca="1">IF(ISNUMBER(MATCH(DATEVALUE($A41),'changes1_based on steps'!H$1:H$400,0)),H$2,)</f>
        <v>0</v>
      </c>
      <c r="I41" s="140">
        <f ca="1">IF(ISNUMBER(MATCH(DATEVALUE($A41),'changes1_based on steps'!I$1:I$400,0)),I$2,)</f>
        <v>0</v>
      </c>
      <c r="J41" s="140">
        <f ca="1">IF(ISNUMBER(MATCH(DATEVALUE($A41),'changes1_based on steps'!J$1:J$400,0)),J$2,)</f>
        <v>0</v>
      </c>
      <c r="K41" s="140">
        <f ca="1">IF(ISNUMBER(MATCH(DATEVALUE($A41),'changes1_based on steps'!K$1:K$400,0)),K$2,)</f>
        <v>0</v>
      </c>
      <c r="L41" s="140">
        <f ca="1">IF(ISNUMBER(MATCH(DATEVALUE($A41),'changes1_based on steps'!L$1:L$400,0)),L$2,)</f>
        <v>0</v>
      </c>
      <c r="M41" s="140">
        <f ca="1">IF(ISNUMBER(MATCH(DATEVALUE($A41),'changes1_based on steps'!M$1:M$400,0)),M$2,)</f>
        <v>0</v>
      </c>
      <c r="N41" s="140">
        <f ca="1">IF(ISNUMBER(MATCH(DATEVALUE($A41),'changes1_based on steps'!N$1:N$400,0)),N$2,)</f>
        <v>0</v>
      </c>
      <c r="O41" s="140">
        <f ca="1">IF(ISNUMBER(MATCH(DATEVALUE($A41),'changes1_based on steps'!O$1:O$400,0)),O$2,)</f>
        <v>0</v>
      </c>
      <c r="P41" s="140">
        <f ca="1">IF(ISNUMBER(MATCH(DATEVALUE($A41),'changes1_based on steps'!P$1:P$400,0)),P$2,)</f>
        <v>0</v>
      </c>
      <c r="Q41" s="140">
        <f ca="1">IF(ISNUMBER(MATCH(DATEVALUE($A41),'changes1_based on steps'!Q$1:Q$400,0)),Q$2,)</f>
        <v>0</v>
      </c>
      <c r="R41" s="140">
        <f ca="1">IF(ISNUMBER(MATCH(DATEVALUE($A41),'changes1_based on steps'!R$1:R$400,0)),R$2,)</f>
        <v>0</v>
      </c>
      <c r="S41" s="140">
        <f ca="1">IF(ISNUMBER(MATCH(DATEVALUE($A41),'changes1_based on steps'!S$1:S$400,0)),S$2,)</f>
        <v>0</v>
      </c>
      <c r="T41" s="140">
        <f ca="1">IF(ISNUMBER(MATCH(DATEVALUE($A41),'changes1_based on steps'!T$1:T$400,0)),T$2,)</f>
        <v>0</v>
      </c>
      <c r="U41" s="140">
        <f ca="1">IF(ISNUMBER(MATCH(DATEVALUE($A41),'changes1_based on steps'!U$1:U$400,0)),U$2,)</f>
        <v>0</v>
      </c>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row>
    <row r="42" spans="1:101" x14ac:dyDescent="0.2">
      <c r="A42" s="29" t="str">
        <f t="shared" ca="1" si="0"/>
        <v>2025-05-05</v>
      </c>
      <c r="B42" s="140">
        <f ca="1">IF(ISNUMBER(MATCH(DATEVALUE($A42),'changes1_based on steps'!B$1:B$400,0)),B$2,)</f>
        <v>0</v>
      </c>
      <c r="C42" s="140">
        <f ca="1">IF(ISNUMBER(MATCH(DATEVALUE($A42),'changes1_based on steps'!C$1:C$400,0)),C$2,)</f>
        <v>0</v>
      </c>
      <c r="D42" s="140">
        <f ca="1">IF(ISNUMBER(MATCH(DATEVALUE($A42),'changes1_based on steps'!D$1:D$400,0)),D$2,)</f>
        <v>0</v>
      </c>
      <c r="E42" s="140">
        <f ca="1">IF(ISNUMBER(MATCH(DATEVALUE($A42),'changes1_based on steps'!E$1:E$400,0)),E$2,)</f>
        <v>0</v>
      </c>
      <c r="F42" s="140">
        <f ca="1">IF(ISNUMBER(MATCH(DATEVALUE($A42),'changes1_based on steps'!F$1:F$400,0)),F$2,)</f>
        <v>0</v>
      </c>
      <c r="G42" s="140">
        <f ca="1">IF(ISNUMBER(MATCH(DATEVALUE($A42),'changes1_based on steps'!G$1:G$400,0)),G$2,)</f>
        <v>0</v>
      </c>
      <c r="H42" s="140">
        <f ca="1">IF(ISNUMBER(MATCH(DATEVALUE($A42),'changes1_based on steps'!H$1:H$400,0)),H$2,)</f>
        <v>0</v>
      </c>
      <c r="I42" s="140">
        <f ca="1">IF(ISNUMBER(MATCH(DATEVALUE($A42),'changes1_based on steps'!I$1:I$400,0)),I$2,)</f>
        <v>0</v>
      </c>
      <c r="J42" s="140">
        <f ca="1">IF(ISNUMBER(MATCH(DATEVALUE($A42),'changes1_based on steps'!J$1:J$400,0)),J$2,)</f>
        <v>0</v>
      </c>
      <c r="K42" s="140">
        <f ca="1">IF(ISNUMBER(MATCH(DATEVALUE($A42),'changes1_based on steps'!K$1:K$400,0)),K$2,)</f>
        <v>0</v>
      </c>
      <c r="L42" s="140">
        <f ca="1">IF(ISNUMBER(MATCH(DATEVALUE($A42),'changes1_based on steps'!L$1:L$400,0)),L$2,)</f>
        <v>0</v>
      </c>
      <c r="M42" s="140">
        <f ca="1">IF(ISNUMBER(MATCH(DATEVALUE($A42),'changes1_based on steps'!M$1:M$400,0)),M$2,)</f>
        <v>0</v>
      </c>
      <c r="N42" s="140">
        <f ca="1">IF(ISNUMBER(MATCH(DATEVALUE($A42),'changes1_based on steps'!N$1:N$400,0)),N$2,)</f>
        <v>0</v>
      </c>
      <c r="O42" s="140">
        <f ca="1">IF(ISNUMBER(MATCH(DATEVALUE($A42),'changes1_based on steps'!O$1:O$400,0)),O$2,)</f>
        <v>0</v>
      </c>
      <c r="P42" s="140">
        <f ca="1">IF(ISNUMBER(MATCH(DATEVALUE($A42),'changes1_based on steps'!P$1:P$400,0)),P$2,)</f>
        <v>0</v>
      </c>
      <c r="Q42" s="140">
        <f ca="1">IF(ISNUMBER(MATCH(DATEVALUE($A42),'changes1_based on steps'!Q$1:Q$400,0)),Q$2,)</f>
        <v>0</v>
      </c>
      <c r="R42" s="140">
        <f ca="1">IF(ISNUMBER(MATCH(DATEVALUE($A42),'changes1_based on steps'!R$1:R$400,0)),R$2,)</f>
        <v>0</v>
      </c>
      <c r="S42" s="140">
        <f ca="1">IF(ISNUMBER(MATCH(DATEVALUE($A42),'changes1_based on steps'!S$1:S$400,0)),S$2,)</f>
        <v>0</v>
      </c>
      <c r="T42" s="140">
        <f ca="1">IF(ISNUMBER(MATCH(DATEVALUE($A42),'changes1_based on steps'!T$1:T$400,0)),T$2,)</f>
        <v>0</v>
      </c>
      <c r="U42" s="140">
        <f ca="1">IF(ISNUMBER(MATCH(DATEVALUE($A42),'changes1_based on steps'!U$1:U$400,0)),U$2,)</f>
        <v>0</v>
      </c>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row>
    <row r="43" spans="1:101" x14ac:dyDescent="0.2">
      <c r="A43" s="29" t="str">
        <f t="shared" ca="1" si="0"/>
        <v>2025-05-06</v>
      </c>
      <c r="B43" s="140">
        <f ca="1">IF(ISNUMBER(MATCH(DATEVALUE($A43),'changes1_based on steps'!B$1:B$400,0)),B$2,)</f>
        <v>0</v>
      </c>
      <c r="C43" s="140">
        <f ca="1">IF(ISNUMBER(MATCH(DATEVALUE($A43),'changes1_based on steps'!C$1:C$400,0)),C$2,)</f>
        <v>0</v>
      </c>
      <c r="D43" s="140">
        <f ca="1">IF(ISNUMBER(MATCH(DATEVALUE($A43),'changes1_based on steps'!D$1:D$400,0)),D$2,)</f>
        <v>0</v>
      </c>
      <c r="E43" s="140">
        <f ca="1">IF(ISNUMBER(MATCH(DATEVALUE($A43),'changes1_based on steps'!E$1:E$400,0)),E$2,)</f>
        <v>0</v>
      </c>
      <c r="F43" s="140">
        <f ca="1">IF(ISNUMBER(MATCH(DATEVALUE($A43),'changes1_based on steps'!F$1:F$400,0)),F$2,)</f>
        <v>0</v>
      </c>
      <c r="G43" s="140">
        <f ca="1">IF(ISNUMBER(MATCH(DATEVALUE($A43),'changes1_based on steps'!G$1:G$400,0)),G$2,)</f>
        <v>0</v>
      </c>
      <c r="H43" s="140">
        <f ca="1">IF(ISNUMBER(MATCH(DATEVALUE($A43),'changes1_based on steps'!H$1:H$400,0)),H$2,)</f>
        <v>0</v>
      </c>
      <c r="I43" s="140">
        <f ca="1">IF(ISNUMBER(MATCH(DATEVALUE($A43),'changes1_based on steps'!I$1:I$400,0)),I$2,)</f>
        <v>0</v>
      </c>
      <c r="J43" s="140">
        <f ca="1">IF(ISNUMBER(MATCH(DATEVALUE($A43),'changes1_based on steps'!J$1:J$400,0)),J$2,)</f>
        <v>0</v>
      </c>
      <c r="K43" s="140">
        <f ca="1">IF(ISNUMBER(MATCH(DATEVALUE($A43),'changes1_based on steps'!K$1:K$400,0)),K$2,)</f>
        <v>0</v>
      </c>
      <c r="L43" s="140">
        <f ca="1">IF(ISNUMBER(MATCH(DATEVALUE($A43),'changes1_based on steps'!L$1:L$400,0)),L$2,)</f>
        <v>0</v>
      </c>
      <c r="M43" s="140">
        <f ca="1">IF(ISNUMBER(MATCH(DATEVALUE($A43),'changes1_based on steps'!M$1:M$400,0)),M$2,)</f>
        <v>0</v>
      </c>
      <c r="N43" s="140">
        <f ca="1">IF(ISNUMBER(MATCH(DATEVALUE($A43),'changes1_based on steps'!N$1:N$400,0)),N$2,)</f>
        <v>0</v>
      </c>
      <c r="O43" s="140">
        <f ca="1">IF(ISNUMBER(MATCH(DATEVALUE($A43),'changes1_based on steps'!O$1:O$400,0)),O$2,)</f>
        <v>0</v>
      </c>
      <c r="P43" s="140">
        <f ca="1">IF(ISNUMBER(MATCH(DATEVALUE($A43),'changes1_based on steps'!P$1:P$400,0)),P$2,)</f>
        <v>0</v>
      </c>
      <c r="Q43" s="140">
        <f ca="1">IF(ISNUMBER(MATCH(DATEVALUE($A43),'changes1_based on steps'!Q$1:Q$400,0)),Q$2,)</f>
        <v>0</v>
      </c>
      <c r="R43" s="140">
        <f ca="1">IF(ISNUMBER(MATCH(DATEVALUE($A43),'changes1_based on steps'!R$1:R$400,0)),R$2,)</f>
        <v>0</v>
      </c>
      <c r="S43" s="140">
        <f ca="1">IF(ISNUMBER(MATCH(DATEVALUE($A43),'changes1_based on steps'!S$1:S$400,0)),S$2,)</f>
        <v>0</v>
      </c>
      <c r="T43" s="140">
        <f ca="1">IF(ISNUMBER(MATCH(DATEVALUE($A43),'changes1_based on steps'!T$1:T$400,0)),T$2,)</f>
        <v>0</v>
      </c>
      <c r="U43" s="140">
        <f ca="1">IF(ISNUMBER(MATCH(DATEVALUE($A43),'changes1_based on steps'!U$1:U$400,0)),U$2,)</f>
        <v>0</v>
      </c>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row>
    <row r="44" spans="1:101" x14ac:dyDescent="0.2">
      <c r="A44" s="29" t="str">
        <f t="shared" ca="1" si="0"/>
        <v>2025-05-07</v>
      </c>
      <c r="B44" s="140">
        <f ca="1">IF(ISNUMBER(MATCH(DATEVALUE($A44),'changes1_based on steps'!B$1:B$400,0)),B$2,)</f>
        <v>0</v>
      </c>
      <c r="C44" s="140">
        <f ca="1">IF(ISNUMBER(MATCH(DATEVALUE($A44),'changes1_based on steps'!C$1:C$400,0)),C$2,)</f>
        <v>0</v>
      </c>
      <c r="D44" s="140">
        <f ca="1">IF(ISNUMBER(MATCH(DATEVALUE($A44),'changes1_based on steps'!D$1:D$400,0)),D$2,)</f>
        <v>0</v>
      </c>
      <c r="E44" s="140">
        <f ca="1">IF(ISNUMBER(MATCH(DATEVALUE($A44),'changes1_based on steps'!E$1:E$400,0)),E$2,)</f>
        <v>0</v>
      </c>
      <c r="F44" s="140">
        <f ca="1">IF(ISNUMBER(MATCH(DATEVALUE($A44),'changes1_based on steps'!F$1:F$400,0)),F$2,)</f>
        <v>0</v>
      </c>
      <c r="G44" s="140">
        <f ca="1">IF(ISNUMBER(MATCH(DATEVALUE($A44),'changes1_based on steps'!G$1:G$400,0)),G$2,)</f>
        <v>0</v>
      </c>
      <c r="H44" s="140">
        <f ca="1">IF(ISNUMBER(MATCH(DATEVALUE($A44),'changes1_based on steps'!H$1:H$400,0)),H$2,)</f>
        <v>0</v>
      </c>
      <c r="I44" s="140">
        <f ca="1">IF(ISNUMBER(MATCH(DATEVALUE($A44),'changes1_based on steps'!I$1:I$400,0)),I$2,)</f>
        <v>0</v>
      </c>
      <c r="J44" s="140">
        <f ca="1">IF(ISNUMBER(MATCH(DATEVALUE($A44),'changes1_based on steps'!J$1:J$400,0)),J$2,)</f>
        <v>0</v>
      </c>
      <c r="K44" s="140">
        <f ca="1">IF(ISNUMBER(MATCH(DATEVALUE($A44),'changes1_based on steps'!K$1:K$400,0)),K$2,)</f>
        <v>0</v>
      </c>
      <c r="L44" s="140">
        <f ca="1">IF(ISNUMBER(MATCH(DATEVALUE($A44),'changes1_based on steps'!L$1:L$400,0)),L$2,)</f>
        <v>0</v>
      </c>
      <c r="M44" s="140">
        <f ca="1">IF(ISNUMBER(MATCH(DATEVALUE($A44),'changes1_based on steps'!M$1:M$400,0)),M$2,)</f>
        <v>0</v>
      </c>
      <c r="N44" s="140">
        <f ca="1">IF(ISNUMBER(MATCH(DATEVALUE($A44),'changes1_based on steps'!N$1:N$400,0)),N$2,)</f>
        <v>0</v>
      </c>
      <c r="O44" s="140">
        <f ca="1">IF(ISNUMBER(MATCH(DATEVALUE($A44),'changes1_based on steps'!O$1:O$400,0)),O$2,)</f>
        <v>0</v>
      </c>
      <c r="P44" s="140">
        <f ca="1">IF(ISNUMBER(MATCH(DATEVALUE($A44),'changes1_based on steps'!P$1:P$400,0)),P$2,)</f>
        <v>0</v>
      </c>
      <c r="Q44" s="140">
        <f ca="1">IF(ISNUMBER(MATCH(DATEVALUE($A44),'changes1_based on steps'!Q$1:Q$400,0)),Q$2,)</f>
        <v>0</v>
      </c>
      <c r="R44" s="140">
        <f ca="1">IF(ISNUMBER(MATCH(DATEVALUE($A44),'changes1_based on steps'!R$1:R$400,0)),R$2,)</f>
        <v>0</v>
      </c>
      <c r="S44" s="140">
        <f ca="1">IF(ISNUMBER(MATCH(DATEVALUE($A44),'changes1_based on steps'!S$1:S$400,0)),S$2,)</f>
        <v>0</v>
      </c>
      <c r="T44" s="140">
        <f ca="1">IF(ISNUMBER(MATCH(DATEVALUE($A44),'changes1_based on steps'!T$1:T$400,0)),T$2,)</f>
        <v>0</v>
      </c>
      <c r="U44" s="140">
        <f ca="1">IF(ISNUMBER(MATCH(DATEVALUE($A44),'changes1_based on steps'!U$1:U$400,0)),U$2,)</f>
        <v>0</v>
      </c>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row>
    <row r="45" spans="1:101" x14ac:dyDescent="0.2">
      <c r="A45" s="29" t="str">
        <f t="shared" ca="1" si="0"/>
        <v>2025-05-08</v>
      </c>
      <c r="B45" s="140">
        <f ca="1">IF(ISNUMBER(MATCH(DATEVALUE($A45),'changes1_based on steps'!B$1:B$400,0)),B$2,)</f>
        <v>0</v>
      </c>
      <c r="C45" s="140">
        <f ca="1">IF(ISNUMBER(MATCH(DATEVALUE($A45),'changes1_based on steps'!C$1:C$400,0)),C$2,)</f>
        <v>0</v>
      </c>
      <c r="D45" s="140">
        <f ca="1">IF(ISNUMBER(MATCH(DATEVALUE($A45),'changes1_based on steps'!D$1:D$400,0)),D$2,)</f>
        <v>0</v>
      </c>
      <c r="E45" s="140">
        <f ca="1">IF(ISNUMBER(MATCH(DATEVALUE($A45),'changes1_based on steps'!E$1:E$400,0)),E$2,)</f>
        <v>0</v>
      </c>
      <c r="F45" s="140">
        <f ca="1">IF(ISNUMBER(MATCH(DATEVALUE($A45),'changes1_based on steps'!F$1:F$400,0)),F$2,)</f>
        <v>0</v>
      </c>
      <c r="G45" s="140">
        <f ca="1">IF(ISNUMBER(MATCH(DATEVALUE($A45),'changes1_based on steps'!G$1:G$400,0)),G$2,)</f>
        <v>0</v>
      </c>
      <c r="H45" s="140">
        <f ca="1">IF(ISNUMBER(MATCH(DATEVALUE($A45),'changes1_based on steps'!H$1:H$400,0)),H$2,)</f>
        <v>0</v>
      </c>
      <c r="I45" s="140">
        <f ca="1">IF(ISNUMBER(MATCH(DATEVALUE($A45),'changes1_based on steps'!I$1:I$400,0)),I$2,)</f>
        <v>0</v>
      </c>
      <c r="J45" s="140">
        <f ca="1">IF(ISNUMBER(MATCH(DATEVALUE($A45),'changes1_based on steps'!J$1:J$400,0)),J$2,)</f>
        <v>0</v>
      </c>
      <c r="K45" s="140">
        <f ca="1">IF(ISNUMBER(MATCH(DATEVALUE($A45),'changes1_based on steps'!K$1:K$400,0)),K$2,)</f>
        <v>0</v>
      </c>
      <c r="L45" s="140">
        <f ca="1">IF(ISNUMBER(MATCH(DATEVALUE($A45),'changes1_based on steps'!L$1:L$400,0)),L$2,)</f>
        <v>0</v>
      </c>
      <c r="M45" s="140">
        <f ca="1">IF(ISNUMBER(MATCH(DATEVALUE($A45),'changes1_based on steps'!M$1:M$400,0)),M$2,)</f>
        <v>0</v>
      </c>
      <c r="N45" s="140">
        <f ca="1">IF(ISNUMBER(MATCH(DATEVALUE($A45),'changes1_based on steps'!N$1:N$400,0)),N$2,)</f>
        <v>0</v>
      </c>
      <c r="O45" s="140">
        <f ca="1">IF(ISNUMBER(MATCH(DATEVALUE($A45),'changes1_based on steps'!O$1:O$400,0)),O$2,)</f>
        <v>0</v>
      </c>
      <c r="P45" s="140">
        <f ca="1">IF(ISNUMBER(MATCH(DATEVALUE($A45),'changes1_based on steps'!P$1:P$400,0)),P$2,)</f>
        <v>0</v>
      </c>
      <c r="Q45" s="140">
        <f ca="1">IF(ISNUMBER(MATCH(DATEVALUE($A45),'changes1_based on steps'!Q$1:Q$400,0)),Q$2,)</f>
        <v>0</v>
      </c>
      <c r="R45" s="140">
        <f ca="1">IF(ISNUMBER(MATCH(DATEVALUE($A45),'changes1_based on steps'!R$1:R$400,0)),R$2,)</f>
        <v>0</v>
      </c>
      <c r="S45" s="140">
        <f ca="1">IF(ISNUMBER(MATCH(DATEVALUE($A45),'changes1_based on steps'!S$1:S$400,0)),S$2,)</f>
        <v>0</v>
      </c>
      <c r="T45" s="140">
        <f ca="1">IF(ISNUMBER(MATCH(DATEVALUE($A45),'changes1_based on steps'!T$1:T$400,0)),T$2,)</f>
        <v>0</v>
      </c>
      <c r="U45" s="140">
        <f ca="1">IF(ISNUMBER(MATCH(DATEVALUE($A45),'changes1_based on steps'!U$1:U$400,0)),U$2,)</f>
        <v>0</v>
      </c>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row>
    <row r="46" spans="1:101" x14ac:dyDescent="0.2">
      <c r="A46" s="29" t="str">
        <f t="shared" ca="1" si="0"/>
        <v>2025-05-09</v>
      </c>
      <c r="B46" s="140">
        <f ca="1">IF(ISNUMBER(MATCH(DATEVALUE($A46),'changes1_based on steps'!B$1:B$400,0)),B$2,)</f>
        <v>0</v>
      </c>
      <c r="C46" s="140">
        <f ca="1">IF(ISNUMBER(MATCH(DATEVALUE($A46),'changes1_based on steps'!C$1:C$400,0)),C$2,)</f>
        <v>0</v>
      </c>
      <c r="D46" s="140">
        <f ca="1">IF(ISNUMBER(MATCH(DATEVALUE($A46),'changes1_based on steps'!D$1:D$400,0)),D$2,)</f>
        <v>0</v>
      </c>
      <c r="E46" s="140">
        <f ca="1">IF(ISNUMBER(MATCH(DATEVALUE($A46),'changes1_based on steps'!E$1:E$400,0)),E$2,)</f>
        <v>0</v>
      </c>
      <c r="F46" s="140">
        <f ca="1">IF(ISNUMBER(MATCH(DATEVALUE($A46),'changes1_based on steps'!F$1:F$400,0)),F$2,)</f>
        <v>0</v>
      </c>
      <c r="G46" s="140">
        <f ca="1">IF(ISNUMBER(MATCH(DATEVALUE($A46),'changes1_based on steps'!G$1:G$400,0)),G$2,)</f>
        <v>0</v>
      </c>
      <c r="H46" s="140">
        <f ca="1">IF(ISNUMBER(MATCH(DATEVALUE($A46),'changes1_based on steps'!H$1:H$400,0)),H$2,)</f>
        <v>0</v>
      </c>
      <c r="I46" s="140">
        <f ca="1">IF(ISNUMBER(MATCH(DATEVALUE($A46),'changes1_based on steps'!I$1:I$400,0)),I$2,)</f>
        <v>0</v>
      </c>
      <c r="J46" s="140">
        <f ca="1">IF(ISNUMBER(MATCH(DATEVALUE($A46),'changes1_based on steps'!J$1:J$400,0)),J$2,)</f>
        <v>0</v>
      </c>
      <c r="K46" s="140">
        <f ca="1">IF(ISNUMBER(MATCH(DATEVALUE($A46),'changes1_based on steps'!K$1:K$400,0)),K$2,)</f>
        <v>0</v>
      </c>
      <c r="L46" s="140">
        <f ca="1">IF(ISNUMBER(MATCH(DATEVALUE($A46),'changes1_based on steps'!L$1:L$400,0)),L$2,)</f>
        <v>0</v>
      </c>
      <c r="M46" s="140">
        <f ca="1">IF(ISNUMBER(MATCH(DATEVALUE($A46),'changes1_based on steps'!M$1:M$400,0)),M$2,)</f>
        <v>0</v>
      </c>
      <c r="N46" s="140">
        <f ca="1">IF(ISNUMBER(MATCH(DATEVALUE($A46),'changes1_based on steps'!N$1:N$400,0)),N$2,)</f>
        <v>0</v>
      </c>
      <c r="O46" s="140">
        <f ca="1">IF(ISNUMBER(MATCH(DATEVALUE($A46),'changes1_based on steps'!O$1:O$400,0)),O$2,)</f>
        <v>0</v>
      </c>
      <c r="P46" s="140">
        <f ca="1">IF(ISNUMBER(MATCH(DATEVALUE($A46),'changes1_based on steps'!P$1:P$400,0)),P$2,)</f>
        <v>0</v>
      </c>
      <c r="Q46" s="140">
        <f ca="1">IF(ISNUMBER(MATCH(DATEVALUE($A46),'changes1_based on steps'!Q$1:Q$400,0)),Q$2,)</f>
        <v>0</v>
      </c>
      <c r="R46" s="140">
        <f ca="1">IF(ISNUMBER(MATCH(DATEVALUE($A46),'changes1_based on steps'!R$1:R$400,0)),R$2,)</f>
        <v>0</v>
      </c>
      <c r="S46" s="140">
        <f ca="1">IF(ISNUMBER(MATCH(DATEVALUE($A46),'changes1_based on steps'!S$1:S$400,0)),S$2,)</f>
        <v>0</v>
      </c>
      <c r="T46" s="140">
        <f ca="1">IF(ISNUMBER(MATCH(DATEVALUE($A46),'changes1_based on steps'!T$1:T$400,0)),T$2,)</f>
        <v>0</v>
      </c>
      <c r="U46" s="140">
        <f ca="1">IF(ISNUMBER(MATCH(DATEVALUE($A46),'changes1_based on steps'!U$1:U$400,0)),U$2,)</f>
        <v>0</v>
      </c>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row>
    <row r="47" spans="1:101" x14ac:dyDescent="0.2">
      <c r="A47" s="29" t="str">
        <f t="shared" ca="1" si="0"/>
        <v>2025-05-10</v>
      </c>
      <c r="B47" s="140">
        <f ca="1">IF(ISNUMBER(MATCH(DATEVALUE($A47),'changes1_based on steps'!B$1:B$400,0)),B$2,)</f>
        <v>0</v>
      </c>
      <c r="C47" s="140">
        <f ca="1">IF(ISNUMBER(MATCH(DATEVALUE($A47),'changes1_based on steps'!C$1:C$400,0)),C$2,)</f>
        <v>0</v>
      </c>
      <c r="D47" s="140">
        <f ca="1">IF(ISNUMBER(MATCH(DATEVALUE($A47),'changes1_based on steps'!D$1:D$400,0)),D$2,)</f>
        <v>0</v>
      </c>
      <c r="E47" s="140">
        <f ca="1">IF(ISNUMBER(MATCH(DATEVALUE($A47),'changes1_based on steps'!E$1:E$400,0)),E$2,)</f>
        <v>0</v>
      </c>
      <c r="F47" s="140">
        <f ca="1">IF(ISNUMBER(MATCH(DATEVALUE($A47),'changes1_based on steps'!F$1:F$400,0)),F$2,)</f>
        <v>0</v>
      </c>
      <c r="G47" s="140">
        <f ca="1">IF(ISNUMBER(MATCH(DATEVALUE($A47),'changes1_based on steps'!G$1:G$400,0)),G$2,)</f>
        <v>0</v>
      </c>
      <c r="H47" s="140">
        <f ca="1">IF(ISNUMBER(MATCH(DATEVALUE($A47),'changes1_based on steps'!H$1:H$400,0)),H$2,)</f>
        <v>0</v>
      </c>
      <c r="I47" s="140">
        <f ca="1">IF(ISNUMBER(MATCH(DATEVALUE($A47),'changes1_based on steps'!I$1:I$400,0)),I$2,)</f>
        <v>0</v>
      </c>
      <c r="J47" s="140">
        <f ca="1">IF(ISNUMBER(MATCH(DATEVALUE($A47),'changes1_based on steps'!J$1:J$400,0)),J$2,)</f>
        <v>0</v>
      </c>
      <c r="K47" s="140">
        <f ca="1">IF(ISNUMBER(MATCH(DATEVALUE($A47),'changes1_based on steps'!K$1:K$400,0)),K$2,)</f>
        <v>0</v>
      </c>
      <c r="L47" s="140">
        <f ca="1">IF(ISNUMBER(MATCH(DATEVALUE($A47),'changes1_based on steps'!L$1:L$400,0)),L$2,)</f>
        <v>0</v>
      </c>
      <c r="M47" s="140">
        <f ca="1">IF(ISNUMBER(MATCH(DATEVALUE($A47),'changes1_based on steps'!M$1:M$400,0)),M$2,)</f>
        <v>0</v>
      </c>
      <c r="N47" s="140">
        <f ca="1">IF(ISNUMBER(MATCH(DATEVALUE($A47),'changes1_based on steps'!N$1:N$400,0)),N$2,)</f>
        <v>0</v>
      </c>
      <c r="O47" s="140">
        <f ca="1">IF(ISNUMBER(MATCH(DATEVALUE($A47),'changes1_based on steps'!O$1:O$400,0)),O$2,)</f>
        <v>0</v>
      </c>
      <c r="P47" s="140">
        <f ca="1">IF(ISNUMBER(MATCH(DATEVALUE($A47),'changes1_based on steps'!P$1:P$400,0)),P$2,)</f>
        <v>0</v>
      </c>
      <c r="Q47" s="140">
        <f ca="1">IF(ISNUMBER(MATCH(DATEVALUE($A47),'changes1_based on steps'!Q$1:Q$400,0)),Q$2,)</f>
        <v>0</v>
      </c>
      <c r="R47" s="140">
        <f ca="1">IF(ISNUMBER(MATCH(DATEVALUE($A47),'changes1_based on steps'!R$1:R$400,0)),R$2,)</f>
        <v>0</v>
      </c>
      <c r="S47" s="140">
        <f ca="1">IF(ISNUMBER(MATCH(DATEVALUE($A47),'changes1_based on steps'!S$1:S$400,0)),S$2,)</f>
        <v>0</v>
      </c>
      <c r="T47" s="140">
        <f ca="1">IF(ISNUMBER(MATCH(DATEVALUE($A47),'changes1_based on steps'!T$1:T$400,0)),T$2,)</f>
        <v>0</v>
      </c>
      <c r="U47" s="140">
        <f ca="1">IF(ISNUMBER(MATCH(DATEVALUE($A47),'changes1_based on steps'!U$1:U$400,0)),U$2,)</f>
        <v>0</v>
      </c>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row>
    <row r="48" spans="1:101" x14ac:dyDescent="0.2">
      <c r="A48" s="29" t="str">
        <f t="shared" ca="1" si="0"/>
        <v>2025-05-11</v>
      </c>
      <c r="B48" s="140">
        <f ca="1">IF(ISNUMBER(MATCH(DATEVALUE($A48),'changes1_based on steps'!B$1:B$400,0)),B$2,)</f>
        <v>0</v>
      </c>
      <c r="C48" s="140">
        <f ca="1">IF(ISNUMBER(MATCH(DATEVALUE($A48),'changes1_based on steps'!C$1:C$400,0)),C$2,)</f>
        <v>0</v>
      </c>
      <c r="D48" s="140">
        <f ca="1">IF(ISNUMBER(MATCH(DATEVALUE($A48),'changes1_based on steps'!D$1:D$400,0)),D$2,)</f>
        <v>0</v>
      </c>
      <c r="E48" s="140">
        <f ca="1">IF(ISNUMBER(MATCH(DATEVALUE($A48),'changes1_based on steps'!E$1:E$400,0)),E$2,)</f>
        <v>0</v>
      </c>
      <c r="F48" s="140">
        <f ca="1">IF(ISNUMBER(MATCH(DATEVALUE($A48),'changes1_based on steps'!F$1:F$400,0)),F$2,)</f>
        <v>0</v>
      </c>
      <c r="G48" s="140">
        <f ca="1">IF(ISNUMBER(MATCH(DATEVALUE($A48),'changes1_based on steps'!G$1:G$400,0)),G$2,)</f>
        <v>0</v>
      </c>
      <c r="H48" s="140">
        <f ca="1">IF(ISNUMBER(MATCH(DATEVALUE($A48),'changes1_based on steps'!H$1:H$400,0)),H$2,)</f>
        <v>0</v>
      </c>
      <c r="I48" s="140">
        <f ca="1">IF(ISNUMBER(MATCH(DATEVALUE($A48),'changes1_based on steps'!I$1:I$400,0)),I$2,)</f>
        <v>0</v>
      </c>
      <c r="J48" s="140">
        <f ca="1">IF(ISNUMBER(MATCH(DATEVALUE($A48),'changes1_based on steps'!J$1:J$400,0)),J$2,)</f>
        <v>0</v>
      </c>
      <c r="K48" s="140">
        <f ca="1">IF(ISNUMBER(MATCH(DATEVALUE($A48),'changes1_based on steps'!K$1:K$400,0)),K$2,)</f>
        <v>0</v>
      </c>
      <c r="L48" s="140">
        <f ca="1">IF(ISNUMBER(MATCH(DATEVALUE($A48),'changes1_based on steps'!L$1:L$400,0)),L$2,)</f>
        <v>0</v>
      </c>
      <c r="M48" s="140">
        <f ca="1">IF(ISNUMBER(MATCH(DATEVALUE($A48),'changes1_based on steps'!M$1:M$400,0)),M$2,)</f>
        <v>0</v>
      </c>
      <c r="N48" s="140">
        <f ca="1">IF(ISNUMBER(MATCH(DATEVALUE($A48),'changes1_based on steps'!N$1:N$400,0)),N$2,)</f>
        <v>0</v>
      </c>
      <c r="O48" s="140">
        <f ca="1">IF(ISNUMBER(MATCH(DATEVALUE($A48),'changes1_based on steps'!O$1:O$400,0)),O$2,)</f>
        <v>0</v>
      </c>
      <c r="P48" s="140">
        <f ca="1">IF(ISNUMBER(MATCH(DATEVALUE($A48),'changes1_based on steps'!P$1:P$400,0)),P$2,)</f>
        <v>0</v>
      </c>
      <c r="Q48" s="140">
        <f ca="1">IF(ISNUMBER(MATCH(DATEVALUE($A48),'changes1_based on steps'!Q$1:Q$400,0)),Q$2,)</f>
        <v>0</v>
      </c>
      <c r="R48" s="140">
        <f ca="1">IF(ISNUMBER(MATCH(DATEVALUE($A48),'changes1_based on steps'!R$1:R$400,0)),R$2,)</f>
        <v>0</v>
      </c>
      <c r="S48" s="140">
        <f ca="1">IF(ISNUMBER(MATCH(DATEVALUE($A48),'changes1_based on steps'!S$1:S$400,0)),S$2,)</f>
        <v>0</v>
      </c>
      <c r="T48" s="140">
        <f ca="1">IF(ISNUMBER(MATCH(DATEVALUE($A48),'changes1_based on steps'!T$1:T$400,0)),T$2,)</f>
        <v>0</v>
      </c>
      <c r="U48" s="140">
        <f ca="1">IF(ISNUMBER(MATCH(DATEVALUE($A48),'changes1_based on steps'!U$1:U$400,0)),U$2,)</f>
        <v>0</v>
      </c>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row>
    <row r="49" spans="1:101" x14ac:dyDescent="0.2">
      <c r="A49" s="29" t="str">
        <f t="shared" ca="1" si="0"/>
        <v>2025-05-12</v>
      </c>
      <c r="B49" s="140">
        <f ca="1">IF(ISNUMBER(MATCH(DATEVALUE($A49),'changes1_based on steps'!B$1:B$400,0)),B$2,)</f>
        <v>0</v>
      </c>
      <c r="C49" s="140">
        <f ca="1">IF(ISNUMBER(MATCH(DATEVALUE($A49),'changes1_based on steps'!C$1:C$400,0)),C$2,)</f>
        <v>0</v>
      </c>
      <c r="D49" s="140">
        <f ca="1">IF(ISNUMBER(MATCH(DATEVALUE($A49),'changes1_based on steps'!D$1:D$400,0)),D$2,)</f>
        <v>0</v>
      </c>
      <c r="E49" s="140">
        <f ca="1">IF(ISNUMBER(MATCH(DATEVALUE($A49),'changes1_based on steps'!E$1:E$400,0)),E$2,)</f>
        <v>0</v>
      </c>
      <c r="F49" s="140">
        <f ca="1">IF(ISNUMBER(MATCH(DATEVALUE($A49),'changes1_based on steps'!F$1:F$400,0)),F$2,)</f>
        <v>0</v>
      </c>
      <c r="G49" s="140">
        <f ca="1">IF(ISNUMBER(MATCH(DATEVALUE($A49),'changes1_based on steps'!G$1:G$400,0)),G$2,)</f>
        <v>0</v>
      </c>
      <c r="H49" s="140">
        <f ca="1">IF(ISNUMBER(MATCH(DATEVALUE($A49),'changes1_based on steps'!H$1:H$400,0)),H$2,)</f>
        <v>0</v>
      </c>
      <c r="I49" s="140">
        <f ca="1">IF(ISNUMBER(MATCH(DATEVALUE($A49),'changes1_based on steps'!I$1:I$400,0)),I$2,)</f>
        <v>0</v>
      </c>
      <c r="J49" s="140">
        <f ca="1">IF(ISNUMBER(MATCH(DATEVALUE($A49),'changes1_based on steps'!J$1:J$400,0)),J$2,)</f>
        <v>0</v>
      </c>
      <c r="K49" s="140">
        <f ca="1">IF(ISNUMBER(MATCH(DATEVALUE($A49),'changes1_based on steps'!K$1:K$400,0)),K$2,)</f>
        <v>0</v>
      </c>
      <c r="L49" s="140">
        <f ca="1">IF(ISNUMBER(MATCH(DATEVALUE($A49),'changes1_based on steps'!L$1:L$400,0)),L$2,)</f>
        <v>0</v>
      </c>
      <c r="M49" s="140">
        <f ca="1">IF(ISNUMBER(MATCH(DATEVALUE($A49),'changes1_based on steps'!M$1:M$400,0)),M$2,)</f>
        <v>0</v>
      </c>
      <c r="N49" s="140">
        <f ca="1">IF(ISNUMBER(MATCH(DATEVALUE($A49),'changes1_based on steps'!N$1:N$400,0)),N$2,)</f>
        <v>0</v>
      </c>
      <c r="O49" s="140">
        <f ca="1">IF(ISNUMBER(MATCH(DATEVALUE($A49),'changes1_based on steps'!O$1:O$400,0)),O$2,)</f>
        <v>0</v>
      </c>
      <c r="P49" s="140">
        <f ca="1">IF(ISNUMBER(MATCH(DATEVALUE($A49),'changes1_based on steps'!P$1:P$400,0)),P$2,)</f>
        <v>0</v>
      </c>
      <c r="Q49" s="140">
        <f ca="1">IF(ISNUMBER(MATCH(DATEVALUE($A49),'changes1_based on steps'!Q$1:Q$400,0)),Q$2,)</f>
        <v>0</v>
      </c>
      <c r="R49" s="140">
        <f ca="1">IF(ISNUMBER(MATCH(DATEVALUE($A49),'changes1_based on steps'!R$1:R$400,0)),R$2,)</f>
        <v>0</v>
      </c>
      <c r="S49" s="140">
        <f ca="1">IF(ISNUMBER(MATCH(DATEVALUE($A49),'changes1_based on steps'!S$1:S$400,0)),S$2,)</f>
        <v>0</v>
      </c>
      <c r="T49" s="140">
        <f ca="1">IF(ISNUMBER(MATCH(DATEVALUE($A49),'changes1_based on steps'!T$1:T$400,0)),T$2,)</f>
        <v>0</v>
      </c>
      <c r="U49" s="140">
        <f ca="1">IF(ISNUMBER(MATCH(DATEVALUE($A49),'changes1_based on steps'!U$1:U$400,0)),U$2,)</f>
        <v>0</v>
      </c>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row>
    <row r="50" spans="1:101" x14ac:dyDescent="0.2">
      <c r="A50" s="29" t="str">
        <f t="shared" ca="1" si="0"/>
        <v>2025-05-13</v>
      </c>
      <c r="B50" s="140">
        <f ca="1">IF(ISNUMBER(MATCH(DATEVALUE($A50),'changes1_based on steps'!B$1:B$400,0)),B$2,)</f>
        <v>0</v>
      </c>
      <c r="C50" s="140">
        <f ca="1">IF(ISNUMBER(MATCH(DATEVALUE($A50),'changes1_based on steps'!C$1:C$400,0)),C$2,)</f>
        <v>0</v>
      </c>
      <c r="D50" s="140">
        <f ca="1">IF(ISNUMBER(MATCH(DATEVALUE($A50),'changes1_based on steps'!D$1:D$400,0)),D$2,)</f>
        <v>0</v>
      </c>
      <c r="E50" s="140">
        <f ca="1">IF(ISNUMBER(MATCH(DATEVALUE($A50),'changes1_based on steps'!E$1:E$400,0)),E$2,)</f>
        <v>0</v>
      </c>
      <c r="F50" s="140">
        <f ca="1">IF(ISNUMBER(MATCH(DATEVALUE($A50),'changes1_based on steps'!F$1:F$400,0)),F$2,)</f>
        <v>0</v>
      </c>
      <c r="G50" s="140">
        <f ca="1">IF(ISNUMBER(MATCH(DATEVALUE($A50),'changes1_based on steps'!G$1:G$400,0)),G$2,)</f>
        <v>0</v>
      </c>
      <c r="H50" s="140">
        <f ca="1">IF(ISNUMBER(MATCH(DATEVALUE($A50),'changes1_based on steps'!H$1:H$400,0)),H$2,)</f>
        <v>0</v>
      </c>
      <c r="I50" s="140">
        <f ca="1">IF(ISNUMBER(MATCH(DATEVALUE($A50),'changes1_based on steps'!I$1:I$400,0)),I$2,)</f>
        <v>0</v>
      </c>
      <c r="J50" s="140">
        <f ca="1">IF(ISNUMBER(MATCH(DATEVALUE($A50),'changes1_based on steps'!J$1:J$400,0)),J$2,)</f>
        <v>0</v>
      </c>
      <c r="K50" s="140">
        <f ca="1">IF(ISNUMBER(MATCH(DATEVALUE($A50),'changes1_based on steps'!K$1:K$400,0)),K$2,)</f>
        <v>0</v>
      </c>
      <c r="L50" s="140">
        <f ca="1">IF(ISNUMBER(MATCH(DATEVALUE($A50),'changes1_based on steps'!L$1:L$400,0)),L$2,)</f>
        <v>0</v>
      </c>
      <c r="M50" s="140">
        <f ca="1">IF(ISNUMBER(MATCH(DATEVALUE($A50),'changes1_based on steps'!M$1:M$400,0)),M$2,)</f>
        <v>0</v>
      </c>
      <c r="N50" s="140">
        <f ca="1">IF(ISNUMBER(MATCH(DATEVALUE($A50),'changes1_based on steps'!N$1:N$400,0)),N$2,)</f>
        <v>0</v>
      </c>
      <c r="O50" s="140">
        <f ca="1">IF(ISNUMBER(MATCH(DATEVALUE($A50),'changes1_based on steps'!O$1:O$400,0)),O$2,)</f>
        <v>0</v>
      </c>
      <c r="P50" s="140">
        <f ca="1">IF(ISNUMBER(MATCH(DATEVALUE($A50),'changes1_based on steps'!P$1:P$400,0)),P$2,)</f>
        <v>0</v>
      </c>
      <c r="Q50" s="140">
        <f ca="1">IF(ISNUMBER(MATCH(DATEVALUE($A50),'changes1_based on steps'!Q$1:Q$400,0)),Q$2,)</f>
        <v>0</v>
      </c>
      <c r="R50" s="140">
        <f ca="1">IF(ISNUMBER(MATCH(DATEVALUE($A50),'changes1_based on steps'!R$1:R$400,0)),R$2,)</f>
        <v>0</v>
      </c>
      <c r="S50" s="140">
        <f ca="1">IF(ISNUMBER(MATCH(DATEVALUE($A50),'changes1_based on steps'!S$1:S$400,0)),S$2,)</f>
        <v>0</v>
      </c>
      <c r="T50" s="140">
        <f ca="1">IF(ISNUMBER(MATCH(DATEVALUE($A50),'changes1_based on steps'!T$1:T$400,0)),T$2,)</f>
        <v>0</v>
      </c>
      <c r="U50" s="140">
        <f ca="1">IF(ISNUMBER(MATCH(DATEVALUE($A50),'changes1_based on steps'!U$1:U$400,0)),U$2,)</f>
        <v>0</v>
      </c>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row>
    <row r="51" spans="1:101" x14ac:dyDescent="0.2">
      <c r="A51" s="29" t="str">
        <f t="shared" ca="1" si="0"/>
        <v>2025-05-14</v>
      </c>
      <c r="B51" s="140">
        <f ca="1">IF(ISNUMBER(MATCH(DATEVALUE($A51),'changes1_based on steps'!B$1:B$400,0)),B$2,)</f>
        <v>0</v>
      </c>
      <c r="C51" s="140">
        <f ca="1">IF(ISNUMBER(MATCH(DATEVALUE($A51),'changes1_based on steps'!C$1:C$400,0)),C$2,)</f>
        <v>0</v>
      </c>
      <c r="D51" s="140">
        <f ca="1">IF(ISNUMBER(MATCH(DATEVALUE($A51),'changes1_based on steps'!D$1:D$400,0)),D$2,)</f>
        <v>0</v>
      </c>
      <c r="E51" s="140">
        <f ca="1">IF(ISNUMBER(MATCH(DATEVALUE($A51),'changes1_based on steps'!E$1:E$400,0)),E$2,)</f>
        <v>0</v>
      </c>
      <c r="F51" s="140">
        <f ca="1">IF(ISNUMBER(MATCH(DATEVALUE($A51),'changes1_based on steps'!F$1:F$400,0)),F$2,)</f>
        <v>0</v>
      </c>
      <c r="G51" s="140">
        <f ca="1">IF(ISNUMBER(MATCH(DATEVALUE($A51),'changes1_based on steps'!G$1:G$400,0)),G$2,)</f>
        <v>0</v>
      </c>
      <c r="H51" s="140">
        <f ca="1">IF(ISNUMBER(MATCH(DATEVALUE($A51),'changes1_based on steps'!H$1:H$400,0)),H$2,)</f>
        <v>0</v>
      </c>
      <c r="I51" s="140">
        <f ca="1">IF(ISNUMBER(MATCH(DATEVALUE($A51),'changes1_based on steps'!I$1:I$400,0)),I$2,)</f>
        <v>0</v>
      </c>
      <c r="J51" s="140">
        <f ca="1">IF(ISNUMBER(MATCH(DATEVALUE($A51),'changes1_based on steps'!J$1:J$400,0)),J$2,)</f>
        <v>0</v>
      </c>
      <c r="K51" s="140">
        <f ca="1">IF(ISNUMBER(MATCH(DATEVALUE($A51),'changes1_based on steps'!K$1:K$400,0)),K$2,)</f>
        <v>0</v>
      </c>
      <c r="L51" s="140">
        <f ca="1">IF(ISNUMBER(MATCH(DATEVALUE($A51),'changes1_based on steps'!L$1:L$400,0)),L$2,)</f>
        <v>0</v>
      </c>
      <c r="M51" s="140">
        <f ca="1">IF(ISNUMBER(MATCH(DATEVALUE($A51),'changes1_based on steps'!M$1:M$400,0)),M$2,)</f>
        <v>0</v>
      </c>
      <c r="N51" s="140">
        <f ca="1">IF(ISNUMBER(MATCH(DATEVALUE($A51),'changes1_based on steps'!N$1:N$400,0)),N$2,)</f>
        <v>0</v>
      </c>
      <c r="O51" s="140">
        <f ca="1">IF(ISNUMBER(MATCH(DATEVALUE($A51),'changes1_based on steps'!O$1:O$400,0)),O$2,)</f>
        <v>0</v>
      </c>
      <c r="P51" s="140">
        <f ca="1">IF(ISNUMBER(MATCH(DATEVALUE($A51),'changes1_based on steps'!P$1:P$400,0)),P$2,)</f>
        <v>0</v>
      </c>
      <c r="Q51" s="140">
        <f ca="1">IF(ISNUMBER(MATCH(DATEVALUE($A51),'changes1_based on steps'!Q$1:Q$400,0)),Q$2,)</f>
        <v>0</v>
      </c>
      <c r="R51" s="140">
        <f ca="1">IF(ISNUMBER(MATCH(DATEVALUE($A51),'changes1_based on steps'!R$1:R$400,0)),R$2,)</f>
        <v>0</v>
      </c>
      <c r="S51" s="140">
        <f ca="1">IF(ISNUMBER(MATCH(DATEVALUE($A51),'changes1_based on steps'!S$1:S$400,0)),S$2,)</f>
        <v>0</v>
      </c>
      <c r="T51" s="140">
        <f ca="1">IF(ISNUMBER(MATCH(DATEVALUE($A51),'changes1_based on steps'!T$1:T$400,0)),T$2,)</f>
        <v>0</v>
      </c>
      <c r="U51" s="140">
        <f ca="1">IF(ISNUMBER(MATCH(DATEVALUE($A51),'changes1_based on steps'!U$1:U$400,0)),U$2,)</f>
        <v>0</v>
      </c>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c r="CH51" s="140"/>
      <c r="CI51" s="140"/>
      <c r="CJ51" s="140"/>
      <c r="CK51" s="140"/>
      <c r="CL51" s="140"/>
      <c r="CM51" s="140"/>
      <c r="CN51" s="140"/>
      <c r="CO51" s="140"/>
      <c r="CP51" s="140"/>
      <c r="CQ51" s="140"/>
      <c r="CR51" s="140"/>
      <c r="CS51" s="140"/>
      <c r="CT51" s="140"/>
      <c r="CU51" s="140"/>
      <c r="CV51" s="140"/>
      <c r="CW51" s="140"/>
    </row>
    <row r="52" spans="1:101" x14ac:dyDescent="0.2">
      <c r="A52" s="29" t="str">
        <f t="shared" ca="1" si="0"/>
        <v>2025-05-15</v>
      </c>
      <c r="B52" s="140">
        <f ca="1">IF(ISNUMBER(MATCH(DATEVALUE($A52),'changes1_based on steps'!B$1:B$400,0)),B$2,)</f>
        <v>0</v>
      </c>
      <c r="C52" s="140">
        <f ca="1">IF(ISNUMBER(MATCH(DATEVALUE($A52),'changes1_based on steps'!C$1:C$400,0)),C$2,)</f>
        <v>0</v>
      </c>
      <c r="D52" s="140">
        <f ca="1">IF(ISNUMBER(MATCH(DATEVALUE($A52),'changes1_based on steps'!D$1:D$400,0)),D$2,)</f>
        <v>0</v>
      </c>
      <c r="E52" s="140">
        <f ca="1">IF(ISNUMBER(MATCH(DATEVALUE($A52),'changes1_based on steps'!E$1:E$400,0)),E$2,)</f>
        <v>0</v>
      </c>
      <c r="F52" s="140">
        <f ca="1">IF(ISNUMBER(MATCH(DATEVALUE($A52),'changes1_based on steps'!F$1:F$400,0)),F$2,)</f>
        <v>0</v>
      </c>
      <c r="G52" s="140">
        <f ca="1">IF(ISNUMBER(MATCH(DATEVALUE($A52),'changes1_based on steps'!G$1:G$400,0)),G$2,)</f>
        <v>0</v>
      </c>
      <c r="H52" s="140">
        <f ca="1">IF(ISNUMBER(MATCH(DATEVALUE($A52),'changes1_based on steps'!H$1:H$400,0)),H$2,)</f>
        <v>0</v>
      </c>
      <c r="I52" s="140">
        <f ca="1">IF(ISNUMBER(MATCH(DATEVALUE($A52),'changes1_based on steps'!I$1:I$400,0)),I$2,)</f>
        <v>0</v>
      </c>
      <c r="J52" s="140">
        <f ca="1">IF(ISNUMBER(MATCH(DATEVALUE($A52),'changes1_based on steps'!J$1:J$400,0)),J$2,)</f>
        <v>0</v>
      </c>
      <c r="K52" s="140">
        <f ca="1">IF(ISNUMBER(MATCH(DATEVALUE($A52),'changes1_based on steps'!K$1:K$400,0)),K$2,)</f>
        <v>0</v>
      </c>
      <c r="L52" s="140">
        <f ca="1">IF(ISNUMBER(MATCH(DATEVALUE($A52),'changes1_based on steps'!L$1:L$400,0)),L$2,)</f>
        <v>0</v>
      </c>
      <c r="M52" s="140">
        <f ca="1">IF(ISNUMBER(MATCH(DATEVALUE($A52),'changes1_based on steps'!M$1:M$400,0)),M$2,)</f>
        <v>0</v>
      </c>
      <c r="N52" s="140">
        <f ca="1">IF(ISNUMBER(MATCH(DATEVALUE($A52),'changes1_based on steps'!N$1:N$400,0)),N$2,)</f>
        <v>0</v>
      </c>
      <c r="O52" s="140">
        <f ca="1">IF(ISNUMBER(MATCH(DATEVALUE($A52),'changes1_based on steps'!O$1:O$400,0)),O$2,)</f>
        <v>0</v>
      </c>
      <c r="P52" s="140">
        <f ca="1">IF(ISNUMBER(MATCH(DATEVALUE($A52),'changes1_based on steps'!P$1:P$400,0)),P$2,)</f>
        <v>0</v>
      </c>
      <c r="Q52" s="140">
        <f ca="1">IF(ISNUMBER(MATCH(DATEVALUE($A52),'changes1_based on steps'!Q$1:Q$400,0)),Q$2,)</f>
        <v>0</v>
      </c>
      <c r="R52" s="140">
        <f ca="1">IF(ISNUMBER(MATCH(DATEVALUE($A52),'changes1_based on steps'!R$1:R$400,0)),R$2,)</f>
        <v>0</v>
      </c>
      <c r="S52" s="140">
        <f ca="1">IF(ISNUMBER(MATCH(DATEVALUE($A52),'changes1_based on steps'!S$1:S$400,0)),S$2,)</f>
        <v>0</v>
      </c>
      <c r="T52" s="140">
        <f ca="1">IF(ISNUMBER(MATCH(DATEVALUE($A52),'changes1_based on steps'!T$1:T$400,0)),T$2,)</f>
        <v>0</v>
      </c>
      <c r="U52" s="140">
        <f ca="1">IF(ISNUMBER(MATCH(DATEVALUE($A52),'changes1_based on steps'!U$1:U$400,0)),U$2,)</f>
        <v>0</v>
      </c>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c r="CA52" s="140"/>
      <c r="CB52" s="140"/>
      <c r="CC52" s="140"/>
      <c r="CD52" s="140"/>
      <c r="CE52" s="140"/>
      <c r="CF52" s="140"/>
      <c r="CG52" s="140"/>
      <c r="CH52" s="140"/>
      <c r="CI52" s="140"/>
      <c r="CJ52" s="140"/>
      <c r="CK52" s="140"/>
      <c r="CL52" s="140"/>
      <c r="CM52" s="140"/>
      <c r="CN52" s="140"/>
      <c r="CO52" s="140"/>
      <c r="CP52" s="140"/>
      <c r="CQ52" s="140"/>
      <c r="CR52" s="140"/>
      <c r="CS52" s="140"/>
      <c r="CT52" s="140"/>
      <c r="CU52" s="140"/>
      <c r="CV52" s="140"/>
      <c r="CW52" s="140"/>
    </row>
    <row r="53" spans="1:101" x14ac:dyDescent="0.2">
      <c r="A53" s="29" t="str">
        <f t="shared" ca="1" si="0"/>
        <v>2025-05-16</v>
      </c>
      <c r="B53" s="140">
        <f ca="1">IF(ISNUMBER(MATCH(DATEVALUE($A53),'changes1_based on steps'!B$1:B$400,0)),B$2,)</f>
        <v>0</v>
      </c>
      <c r="C53" s="140">
        <f ca="1">IF(ISNUMBER(MATCH(DATEVALUE($A53),'changes1_based on steps'!C$1:C$400,0)),C$2,)</f>
        <v>0</v>
      </c>
      <c r="D53" s="140">
        <f ca="1">IF(ISNUMBER(MATCH(DATEVALUE($A53),'changes1_based on steps'!D$1:D$400,0)),D$2,)</f>
        <v>0</v>
      </c>
      <c r="E53" s="140">
        <f ca="1">IF(ISNUMBER(MATCH(DATEVALUE($A53),'changes1_based on steps'!E$1:E$400,0)),E$2,)</f>
        <v>0</v>
      </c>
      <c r="F53" s="140">
        <f ca="1">IF(ISNUMBER(MATCH(DATEVALUE($A53),'changes1_based on steps'!F$1:F$400,0)),F$2,)</f>
        <v>0</v>
      </c>
      <c r="G53" s="140">
        <f ca="1">IF(ISNUMBER(MATCH(DATEVALUE($A53),'changes1_based on steps'!G$1:G$400,0)),G$2,)</f>
        <v>0</v>
      </c>
      <c r="H53" s="140">
        <f ca="1">IF(ISNUMBER(MATCH(DATEVALUE($A53),'changes1_based on steps'!H$1:H$400,0)),H$2,)</f>
        <v>0</v>
      </c>
      <c r="I53" s="140">
        <f ca="1">IF(ISNUMBER(MATCH(DATEVALUE($A53),'changes1_based on steps'!I$1:I$400,0)),I$2,)</f>
        <v>0</v>
      </c>
      <c r="J53" s="140">
        <f ca="1">IF(ISNUMBER(MATCH(DATEVALUE($A53),'changes1_based on steps'!J$1:J$400,0)),J$2,)</f>
        <v>0</v>
      </c>
      <c r="K53" s="140">
        <f ca="1">IF(ISNUMBER(MATCH(DATEVALUE($A53),'changes1_based on steps'!K$1:K$400,0)),K$2,)</f>
        <v>0</v>
      </c>
      <c r="L53" s="140">
        <f ca="1">IF(ISNUMBER(MATCH(DATEVALUE($A53),'changes1_based on steps'!L$1:L$400,0)),L$2,)</f>
        <v>0</v>
      </c>
      <c r="M53" s="140">
        <f ca="1">IF(ISNUMBER(MATCH(DATEVALUE($A53),'changes1_based on steps'!M$1:M$400,0)),M$2,)</f>
        <v>0</v>
      </c>
      <c r="N53" s="140">
        <f ca="1">IF(ISNUMBER(MATCH(DATEVALUE($A53),'changes1_based on steps'!N$1:N$400,0)),N$2,)</f>
        <v>0</v>
      </c>
      <c r="O53" s="140">
        <f ca="1">IF(ISNUMBER(MATCH(DATEVALUE($A53),'changes1_based on steps'!O$1:O$400,0)),O$2,)</f>
        <v>0</v>
      </c>
      <c r="P53" s="140">
        <f ca="1">IF(ISNUMBER(MATCH(DATEVALUE($A53),'changes1_based on steps'!P$1:P$400,0)),P$2,)</f>
        <v>0</v>
      </c>
      <c r="Q53" s="140">
        <f ca="1">IF(ISNUMBER(MATCH(DATEVALUE($A53),'changes1_based on steps'!Q$1:Q$400,0)),Q$2,)</f>
        <v>0</v>
      </c>
      <c r="R53" s="140">
        <f ca="1">IF(ISNUMBER(MATCH(DATEVALUE($A53),'changes1_based on steps'!R$1:R$400,0)),R$2,)</f>
        <v>0</v>
      </c>
      <c r="S53" s="140">
        <f ca="1">IF(ISNUMBER(MATCH(DATEVALUE($A53),'changes1_based on steps'!S$1:S$400,0)),S$2,)</f>
        <v>0</v>
      </c>
      <c r="T53" s="140">
        <f ca="1">IF(ISNUMBER(MATCH(DATEVALUE($A53),'changes1_based on steps'!T$1:T$400,0)),T$2,)</f>
        <v>0</v>
      </c>
      <c r="U53" s="140">
        <f ca="1">IF(ISNUMBER(MATCH(DATEVALUE($A53),'changes1_based on steps'!U$1:U$400,0)),U$2,)</f>
        <v>0</v>
      </c>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c r="BO53" s="140"/>
      <c r="BP53" s="140"/>
      <c r="BQ53" s="140"/>
      <c r="BR53" s="140"/>
      <c r="BS53" s="140"/>
      <c r="BT53" s="140"/>
      <c r="BU53" s="140"/>
      <c r="BV53" s="140"/>
      <c r="BW53" s="140"/>
      <c r="BX53" s="140"/>
      <c r="BY53" s="140"/>
      <c r="BZ53" s="140"/>
      <c r="CA53" s="140"/>
      <c r="CB53" s="140"/>
      <c r="CC53" s="140"/>
      <c r="CD53" s="140"/>
      <c r="CE53" s="140"/>
      <c r="CF53" s="140"/>
      <c r="CG53" s="140"/>
      <c r="CH53" s="140"/>
      <c r="CI53" s="140"/>
      <c r="CJ53" s="140"/>
      <c r="CK53" s="140"/>
      <c r="CL53" s="140"/>
      <c r="CM53" s="140"/>
      <c r="CN53" s="140"/>
      <c r="CO53" s="140"/>
      <c r="CP53" s="140"/>
      <c r="CQ53" s="140"/>
      <c r="CR53" s="140"/>
      <c r="CS53" s="140"/>
      <c r="CT53" s="140"/>
      <c r="CU53" s="140"/>
      <c r="CV53" s="140"/>
      <c r="CW53" s="140"/>
    </row>
    <row r="54" spans="1:101" x14ac:dyDescent="0.2">
      <c r="A54" s="29" t="str">
        <f t="shared" ca="1" si="0"/>
        <v>2025-05-17</v>
      </c>
      <c r="B54" s="140">
        <f ca="1">IF(ISNUMBER(MATCH(DATEVALUE($A54),'changes1_based on steps'!B$1:B$400,0)),B$2,)</f>
        <v>0</v>
      </c>
      <c r="C54" s="140">
        <f ca="1">IF(ISNUMBER(MATCH(DATEVALUE($A54),'changes1_based on steps'!C$1:C$400,0)),C$2,)</f>
        <v>0</v>
      </c>
      <c r="D54" s="140">
        <f ca="1">IF(ISNUMBER(MATCH(DATEVALUE($A54),'changes1_based on steps'!D$1:D$400,0)),D$2,)</f>
        <v>0</v>
      </c>
      <c r="E54" s="140">
        <f ca="1">IF(ISNUMBER(MATCH(DATEVALUE($A54),'changes1_based on steps'!E$1:E$400,0)),E$2,)</f>
        <v>0</v>
      </c>
      <c r="F54" s="140">
        <f ca="1">IF(ISNUMBER(MATCH(DATEVALUE($A54),'changes1_based on steps'!F$1:F$400,0)),F$2,)</f>
        <v>0</v>
      </c>
      <c r="G54" s="140">
        <f ca="1">IF(ISNUMBER(MATCH(DATEVALUE($A54),'changes1_based on steps'!G$1:G$400,0)),G$2,)</f>
        <v>0</v>
      </c>
      <c r="H54" s="140">
        <f ca="1">IF(ISNUMBER(MATCH(DATEVALUE($A54),'changes1_based on steps'!H$1:H$400,0)),H$2,)</f>
        <v>0</v>
      </c>
      <c r="I54" s="140">
        <f ca="1">IF(ISNUMBER(MATCH(DATEVALUE($A54),'changes1_based on steps'!I$1:I$400,0)),I$2,)</f>
        <v>0</v>
      </c>
      <c r="J54" s="140">
        <f ca="1">IF(ISNUMBER(MATCH(DATEVALUE($A54),'changes1_based on steps'!J$1:J$400,0)),J$2,)</f>
        <v>0</v>
      </c>
      <c r="K54" s="140">
        <f ca="1">IF(ISNUMBER(MATCH(DATEVALUE($A54),'changes1_based on steps'!K$1:K$400,0)),K$2,)</f>
        <v>0</v>
      </c>
      <c r="L54" s="140">
        <f ca="1">IF(ISNUMBER(MATCH(DATEVALUE($A54),'changes1_based on steps'!L$1:L$400,0)),L$2,)</f>
        <v>0</v>
      </c>
      <c r="M54" s="140">
        <f ca="1">IF(ISNUMBER(MATCH(DATEVALUE($A54),'changes1_based on steps'!M$1:M$400,0)),M$2,)</f>
        <v>0</v>
      </c>
      <c r="N54" s="140">
        <f ca="1">IF(ISNUMBER(MATCH(DATEVALUE($A54),'changes1_based on steps'!N$1:N$400,0)),N$2,)</f>
        <v>0</v>
      </c>
      <c r="O54" s="140">
        <f ca="1">IF(ISNUMBER(MATCH(DATEVALUE($A54),'changes1_based on steps'!O$1:O$400,0)),O$2,)</f>
        <v>0</v>
      </c>
      <c r="P54" s="140">
        <f ca="1">IF(ISNUMBER(MATCH(DATEVALUE($A54),'changes1_based on steps'!P$1:P$400,0)),P$2,)</f>
        <v>0</v>
      </c>
      <c r="Q54" s="140">
        <f ca="1">IF(ISNUMBER(MATCH(DATEVALUE($A54),'changes1_based on steps'!Q$1:Q$400,0)),Q$2,)</f>
        <v>0</v>
      </c>
      <c r="R54" s="140">
        <f ca="1">IF(ISNUMBER(MATCH(DATEVALUE($A54),'changes1_based on steps'!R$1:R$400,0)),R$2,)</f>
        <v>0</v>
      </c>
      <c r="S54" s="140">
        <f ca="1">IF(ISNUMBER(MATCH(DATEVALUE($A54),'changes1_based on steps'!S$1:S$400,0)),S$2,)</f>
        <v>0</v>
      </c>
      <c r="T54" s="140">
        <f ca="1">IF(ISNUMBER(MATCH(DATEVALUE($A54),'changes1_based on steps'!T$1:T$400,0)),T$2,)</f>
        <v>0</v>
      </c>
      <c r="U54" s="140">
        <f ca="1">IF(ISNUMBER(MATCH(DATEVALUE($A54),'changes1_based on steps'!U$1:U$400,0)),U$2,)</f>
        <v>0</v>
      </c>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c r="BS54" s="140"/>
      <c r="BT54" s="140"/>
      <c r="BU54" s="140"/>
      <c r="BV54" s="140"/>
      <c r="BW54" s="140"/>
      <c r="BX54" s="140"/>
      <c r="BY54" s="140"/>
      <c r="BZ54" s="140"/>
      <c r="CA54" s="140"/>
      <c r="CB54" s="140"/>
      <c r="CC54" s="140"/>
      <c r="CD54" s="140"/>
      <c r="CE54" s="140"/>
      <c r="CF54" s="140"/>
      <c r="CG54" s="140"/>
      <c r="CH54" s="140"/>
      <c r="CI54" s="140"/>
      <c r="CJ54" s="140"/>
      <c r="CK54" s="140"/>
      <c r="CL54" s="140"/>
      <c r="CM54" s="140"/>
      <c r="CN54" s="140"/>
      <c r="CO54" s="140"/>
      <c r="CP54" s="140"/>
      <c r="CQ54" s="140"/>
      <c r="CR54" s="140"/>
      <c r="CS54" s="140"/>
      <c r="CT54" s="140"/>
      <c r="CU54" s="140"/>
      <c r="CV54" s="140"/>
      <c r="CW54" s="140"/>
    </row>
    <row r="55" spans="1:101" x14ac:dyDescent="0.2">
      <c r="A55" s="29" t="str">
        <f t="shared" ca="1" si="0"/>
        <v>2025-05-18</v>
      </c>
      <c r="B55" s="140">
        <f ca="1">IF(ISNUMBER(MATCH(DATEVALUE($A55),'changes1_based on steps'!B$1:B$400,0)),B$2,)</f>
        <v>0</v>
      </c>
      <c r="C55" s="140">
        <f ca="1">IF(ISNUMBER(MATCH(DATEVALUE($A55),'changes1_based on steps'!C$1:C$400,0)),C$2,)</f>
        <v>0</v>
      </c>
      <c r="D55" s="140">
        <f ca="1">IF(ISNUMBER(MATCH(DATEVALUE($A55),'changes1_based on steps'!D$1:D$400,0)),D$2,)</f>
        <v>0</v>
      </c>
      <c r="E55" s="140">
        <f ca="1">IF(ISNUMBER(MATCH(DATEVALUE($A55),'changes1_based on steps'!E$1:E$400,0)),E$2,)</f>
        <v>0</v>
      </c>
      <c r="F55" s="140">
        <f ca="1">IF(ISNUMBER(MATCH(DATEVALUE($A55),'changes1_based on steps'!F$1:F$400,0)),F$2,)</f>
        <v>0</v>
      </c>
      <c r="G55" s="140">
        <f ca="1">IF(ISNUMBER(MATCH(DATEVALUE($A55),'changes1_based on steps'!G$1:G$400,0)),G$2,)</f>
        <v>0</v>
      </c>
      <c r="H55" s="140">
        <f ca="1">IF(ISNUMBER(MATCH(DATEVALUE($A55),'changes1_based on steps'!H$1:H$400,0)),H$2,)</f>
        <v>0</v>
      </c>
      <c r="I55" s="140">
        <f ca="1">IF(ISNUMBER(MATCH(DATEVALUE($A55),'changes1_based on steps'!I$1:I$400,0)),I$2,)</f>
        <v>0</v>
      </c>
      <c r="J55" s="140">
        <f ca="1">IF(ISNUMBER(MATCH(DATEVALUE($A55),'changes1_based on steps'!J$1:J$400,0)),J$2,)</f>
        <v>0</v>
      </c>
      <c r="K55" s="140">
        <f ca="1">IF(ISNUMBER(MATCH(DATEVALUE($A55),'changes1_based on steps'!K$1:K$400,0)),K$2,)</f>
        <v>0</v>
      </c>
      <c r="L55" s="140">
        <f ca="1">IF(ISNUMBER(MATCH(DATEVALUE($A55),'changes1_based on steps'!L$1:L$400,0)),L$2,)</f>
        <v>0</v>
      </c>
      <c r="M55" s="140">
        <f ca="1">IF(ISNUMBER(MATCH(DATEVALUE($A55),'changes1_based on steps'!M$1:M$400,0)),M$2,)</f>
        <v>0</v>
      </c>
      <c r="N55" s="140">
        <f ca="1">IF(ISNUMBER(MATCH(DATEVALUE($A55),'changes1_based on steps'!N$1:N$400,0)),N$2,)</f>
        <v>0</v>
      </c>
      <c r="O55" s="140">
        <f ca="1">IF(ISNUMBER(MATCH(DATEVALUE($A55),'changes1_based on steps'!O$1:O$400,0)),O$2,)</f>
        <v>0</v>
      </c>
      <c r="P55" s="140">
        <f ca="1">IF(ISNUMBER(MATCH(DATEVALUE($A55),'changes1_based on steps'!P$1:P$400,0)),P$2,)</f>
        <v>0</v>
      </c>
      <c r="Q55" s="140">
        <f ca="1">IF(ISNUMBER(MATCH(DATEVALUE($A55),'changes1_based on steps'!Q$1:Q$400,0)),Q$2,)</f>
        <v>0</v>
      </c>
      <c r="R55" s="140">
        <f ca="1">IF(ISNUMBER(MATCH(DATEVALUE($A55),'changes1_based on steps'!R$1:R$400,0)),R$2,)</f>
        <v>0</v>
      </c>
      <c r="S55" s="140">
        <f ca="1">IF(ISNUMBER(MATCH(DATEVALUE($A55),'changes1_based on steps'!S$1:S$400,0)),S$2,)</f>
        <v>0</v>
      </c>
      <c r="T55" s="140">
        <f ca="1">IF(ISNUMBER(MATCH(DATEVALUE($A55),'changes1_based on steps'!T$1:T$400,0)),T$2,)</f>
        <v>0</v>
      </c>
      <c r="U55" s="140">
        <f ca="1">IF(ISNUMBER(MATCH(DATEVALUE($A55),'changes1_based on steps'!U$1:U$400,0)),U$2,)</f>
        <v>0</v>
      </c>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c r="CH55" s="140"/>
      <c r="CI55" s="140"/>
      <c r="CJ55" s="140"/>
      <c r="CK55" s="140"/>
      <c r="CL55" s="140"/>
      <c r="CM55" s="140"/>
      <c r="CN55" s="140"/>
      <c r="CO55" s="140"/>
      <c r="CP55" s="140"/>
      <c r="CQ55" s="140"/>
      <c r="CR55" s="140"/>
      <c r="CS55" s="140"/>
      <c r="CT55" s="140"/>
      <c r="CU55" s="140"/>
      <c r="CV55" s="140"/>
      <c r="CW55" s="140"/>
    </row>
    <row r="56" spans="1:101" x14ac:dyDescent="0.2">
      <c r="A56" s="29" t="str">
        <f t="shared" ca="1" si="0"/>
        <v>2025-05-19</v>
      </c>
      <c r="B56" s="140">
        <f ca="1">IF(ISNUMBER(MATCH(DATEVALUE($A56),'changes1_based on steps'!B$1:B$400,0)),B$2,)</f>
        <v>0</v>
      </c>
      <c r="C56" s="140">
        <f ca="1">IF(ISNUMBER(MATCH(DATEVALUE($A56),'changes1_based on steps'!C$1:C$400,0)),C$2,)</f>
        <v>0</v>
      </c>
      <c r="D56" s="140">
        <f ca="1">IF(ISNUMBER(MATCH(DATEVALUE($A56),'changes1_based on steps'!D$1:D$400,0)),D$2,)</f>
        <v>0</v>
      </c>
      <c r="E56" s="140">
        <f ca="1">IF(ISNUMBER(MATCH(DATEVALUE($A56),'changes1_based on steps'!E$1:E$400,0)),E$2,)</f>
        <v>0</v>
      </c>
      <c r="F56" s="140">
        <f ca="1">IF(ISNUMBER(MATCH(DATEVALUE($A56),'changes1_based on steps'!F$1:F$400,0)),F$2,)</f>
        <v>0</v>
      </c>
      <c r="G56" s="140">
        <f ca="1">IF(ISNUMBER(MATCH(DATEVALUE($A56),'changes1_based on steps'!G$1:G$400,0)),G$2,)</f>
        <v>0</v>
      </c>
      <c r="H56" s="140">
        <f ca="1">IF(ISNUMBER(MATCH(DATEVALUE($A56),'changes1_based on steps'!H$1:H$400,0)),H$2,)</f>
        <v>0</v>
      </c>
      <c r="I56" s="140">
        <f ca="1">IF(ISNUMBER(MATCH(DATEVALUE($A56),'changes1_based on steps'!I$1:I$400,0)),I$2,)</f>
        <v>0</v>
      </c>
      <c r="J56" s="140">
        <f ca="1">IF(ISNUMBER(MATCH(DATEVALUE($A56),'changes1_based on steps'!J$1:J$400,0)),J$2,)</f>
        <v>0</v>
      </c>
      <c r="K56" s="140">
        <f ca="1">IF(ISNUMBER(MATCH(DATEVALUE($A56),'changes1_based on steps'!K$1:K$400,0)),K$2,)</f>
        <v>0</v>
      </c>
      <c r="L56" s="140">
        <f ca="1">IF(ISNUMBER(MATCH(DATEVALUE($A56),'changes1_based on steps'!L$1:L$400,0)),L$2,)</f>
        <v>0</v>
      </c>
      <c r="M56" s="140">
        <f ca="1">IF(ISNUMBER(MATCH(DATEVALUE($A56),'changes1_based on steps'!M$1:M$400,0)),M$2,)</f>
        <v>0</v>
      </c>
      <c r="N56" s="140">
        <f ca="1">IF(ISNUMBER(MATCH(DATEVALUE($A56),'changes1_based on steps'!N$1:N$400,0)),N$2,)</f>
        <v>0</v>
      </c>
      <c r="O56" s="140">
        <f ca="1">IF(ISNUMBER(MATCH(DATEVALUE($A56),'changes1_based on steps'!O$1:O$400,0)),O$2,)</f>
        <v>0</v>
      </c>
      <c r="P56" s="140">
        <f ca="1">IF(ISNUMBER(MATCH(DATEVALUE($A56),'changes1_based on steps'!P$1:P$400,0)),P$2,)</f>
        <v>0</v>
      </c>
      <c r="Q56" s="140">
        <f ca="1">IF(ISNUMBER(MATCH(DATEVALUE($A56),'changes1_based on steps'!Q$1:Q$400,0)),Q$2,)</f>
        <v>0</v>
      </c>
      <c r="R56" s="140">
        <f ca="1">IF(ISNUMBER(MATCH(DATEVALUE($A56),'changes1_based on steps'!R$1:R$400,0)),R$2,)</f>
        <v>0</v>
      </c>
      <c r="S56" s="140">
        <f ca="1">IF(ISNUMBER(MATCH(DATEVALUE($A56),'changes1_based on steps'!S$1:S$400,0)),S$2,)</f>
        <v>0</v>
      </c>
      <c r="T56" s="140">
        <f ca="1">IF(ISNUMBER(MATCH(DATEVALUE($A56),'changes1_based on steps'!T$1:T$400,0)),T$2,)</f>
        <v>0</v>
      </c>
      <c r="U56" s="140">
        <f ca="1">IF(ISNUMBER(MATCH(DATEVALUE($A56),'changes1_based on steps'!U$1:U$400,0)),U$2,)</f>
        <v>0</v>
      </c>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c r="BT56" s="140"/>
      <c r="BU56" s="140"/>
      <c r="BV56" s="140"/>
      <c r="BW56" s="140"/>
      <c r="BX56" s="140"/>
      <c r="BY56" s="140"/>
      <c r="BZ56" s="140"/>
      <c r="CA56" s="140"/>
      <c r="CB56" s="140"/>
      <c r="CC56" s="140"/>
      <c r="CD56" s="140"/>
      <c r="CE56" s="140"/>
      <c r="CF56" s="140"/>
      <c r="CG56" s="140"/>
      <c r="CH56" s="140"/>
      <c r="CI56" s="140"/>
      <c r="CJ56" s="140"/>
      <c r="CK56" s="140"/>
      <c r="CL56" s="140"/>
      <c r="CM56" s="140"/>
      <c r="CN56" s="140"/>
      <c r="CO56" s="140"/>
      <c r="CP56" s="140"/>
      <c r="CQ56" s="140"/>
      <c r="CR56" s="140"/>
      <c r="CS56" s="140"/>
      <c r="CT56" s="140"/>
      <c r="CU56" s="140"/>
      <c r="CV56" s="140"/>
      <c r="CW56" s="140"/>
    </row>
    <row r="57" spans="1:101" x14ac:dyDescent="0.2">
      <c r="A57" s="29" t="str">
        <f t="shared" ca="1" si="0"/>
        <v>2025-05-20</v>
      </c>
      <c r="B57" s="140">
        <f ca="1">IF(ISNUMBER(MATCH(DATEVALUE($A57),'changes1_based on steps'!B$1:B$400,0)),B$2,)</f>
        <v>0</v>
      </c>
      <c r="C57" s="140">
        <f ca="1">IF(ISNUMBER(MATCH(DATEVALUE($A57),'changes1_based on steps'!C$1:C$400,0)),C$2,)</f>
        <v>0</v>
      </c>
      <c r="D57" s="140">
        <f ca="1">IF(ISNUMBER(MATCH(DATEVALUE($A57),'changes1_based on steps'!D$1:D$400,0)),D$2,)</f>
        <v>0</v>
      </c>
      <c r="E57" s="140">
        <f ca="1">IF(ISNUMBER(MATCH(DATEVALUE($A57),'changes1_based on steps'!E$1:E$400,0)),E$2,)</f>
        <v>0</v>
      </c>
      <c r="F57" s="140">
        <f ca="1">IF(ISNUMBER(MATCH(DATEVALUE($A57),'changes1_based on steps'!F$1:F$400,0)),F$2,)</f>
        <v>0</v>
      </c>
      <c r="G57" s="140">
        <f ca="1">IF(ISNUMBER(MATCH(DATEVALUE($A57),'changes1_based on steps'!G$1:G$400,0)),G$2,)</f>
        <v>0</v>
      </c>
      <c r="H57" s="140">
        <f ca="1">IF(ISNUMBER(MATCH(DATEVALUE($A57),'changes1_based on steps'!H$1:H$400,0)),H$2,)</f>
        <v>0</v>
      </c>
      <c r="I57" s="140">
        <f ca="1">IF(ISNUMBER(MATCH(DATEVALUE($A57),'changes1_based on steps'!I$1:I$400,0)),I$2,)</f>
        <v>0</v>
      </c>
      <c r="J57" s="140">
        <f ca="1">IF(ISNUMBER(MATCH(DATEVALUE($A57),'changes1_based on steps'!J$1:J$400,0)),J$2,)</f>
        <v>0</v>
      </c>
      <c r="K57" s="140">
        <f ca="1">IF(ISNUMBER(MATCH(DATEVALUE($A57),'changes1_based on steps'!K$1:K$400,0)),K$2,)</f>
        <v>0</v>
      </c>
      <c r="L57" s="140">
        <f ca="1">IF(ISNUMBER(MATCH(DATEVALUE($A57),'changes1_based on steps'!L$1:L$400,0)),L$2,)</f>
        <v>0</v>
      </c>
      <c r="M57" s="140">
        <f ca="1">IF(ISNUMBER(MATCH(DATEVALUE($A57),'changes1_based on steps'!M$1:M$400,0)),M$2,)</f>
        <v>0</v>
      </c>
      <c r="N57" s="140">
        <f ca="1">IF(ISNUMBER(MATCH(DATEVALUE($A57),'changes1_based on steps'!N$1:N$400,0)),N$2,)</f>
        <v>0</v>
      </c>
      <c r="O57" s="140">
        <f ca="1">IF(ISNUMBER(MATCH(DATEVALUE($A57),'changes1_based on steps'!O$1:O$400,0)),O$2,)</f>
        <v>0</v>
      </c>
      <c r="P57" s="140">
        <f ca="1">IF(ISNUMBER(MATCH(DATEVALUE($A57),'changes1_based on steps'!P$1:P$400,0)),P$2,)</f>
        <v>0</v>
      </c>
      <c r="Q57" s="140">
        <f ca="1">IF(ISNUMBER(MATCH(DATEVALUE($A57),'changes1_based on steps'!Q$1:Q$400,0)),Q$2,)</f>
        <v>0</v>
      </c>
      <c r="R57" s="140">
        <f ca="1">IF(ISNUMBER(MATCH(DATEVALUE($A57),'changes1_based on steps'!R$1:R$400,0)),R$2,)</f>
        <v>0</v>
      </c>
      <c r="S57" s="140">
        <f ca="1">IF(ISNUMBER(MATCH(DATEVALUE($A57),'changes1_based on steps'!S$1:S$400,0)),S$2,)</f>
        <v>0</v>
      </c>
      <c r="T57" s="140">
        <f ca="1">IF(ISNUMBER(MATCH(DATEVALUE($A57),'changes1_based on steps'!T$1:T$400,0)),T$2,)</f>
        <v>0</v>
      </c>
      <c r="U57" s="140">
        <f ca="1">IF(ISNUMBER(MATCH(DATEVALUE($A57),'changes1_based on steps'!U$1:U$400,0)),U$2,)</f>
        <v>0</v>
      </c>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140"/>
      <c r="BK57" s="140"/>
      <c r="BL57" s="140"/>
      <c r="BM57" s="140"/>
      <c r="BN57" s="140"/>
      <c r="BO57" s="140"/>
      <c r="BP57" s="140"/>
      <c r="BQ57" s="140"/>
      <c r="BR57" s="140"/>
      <c r="BS57" s="140"/>
      <c r="BT57" s="140"/>
      <c r="BU57" s="140"/>
      <c r="BV57" s="140"/>
      <c r="BW57" s="140"/>
      <c r="BX57" s="140"/>
      <c r="BY57" s="140"/>
      <c r="BZ57" s="140"/>
      <c r="CA57" s="140"/>
      <c r="CB57" s="140"/>
      <c r="CC57" s="140"/>
      <c r="CD57" s="140"/>
      <c r="CE57" s="140"/>
      <c r="CF57" s="140"/>
      <c r="CG57" s="140"/>
      <c r="CH57" s="140"/>
      <c r="CI57" s="140"/>
      <c r="CJ57" s="140"/>
      <c r="CK57" s="140"/>
      <c r="CL57" s="140"/>
      <c r="CM57" s="140"/>
      <c r="CN57" s="140"/>
      <c r="CO57" s="140"/>
      <c r="CP57" s="140"/>
      <c r="CQ57" s="140"/>
      <c r="CR57" s="140"/>
      <c r="CS57" s="140"/>
      <c r="CT57" s="140"/>
      <c r="CU57" s="140"/>
      <c r="CV57" s="140"/>
      <c r="CW57" s="140"/>
    </row>
    <row r="58" spans="1:101" x14ac:dyDescent="0.2">
      <c r="A58" s="29" t="str">
        <f t="shared" ca="1" si="0"/>
        <v>2025-05-21</v>
      </c>
      <c r="B58" s="140">
        <f ca="1">IF(ISNUMBER(MATCH(DATEVALUE($A58),'changes1_based on steps'!B$1:B$400,0)),B$2,)</f>
        <v>0</v>
      </c>
      <c r="C58" s="140">
        <f ca="1">IF(ISNUMBER(MATCH(DATEVALUE($A58),'changes1_based on steps'!C$1:C$400,0)),C$2,)</f>
        <v>0</v>
      </c>
      <c r="D58" s="140">
        <f ca="1">IF(ISNUMBER(MATCH(DATEVALUE($A58),'changes1_based on steps'!D$1:D$400,0)),D$2,)</f>
        <v>0</v>
      </c>
      <c r="E58" s="140">
        <f ca="1">IF(ISNUMBER(MATCH(DATEVALUE($A58),'changes1_based on steps'!E$1:E$400,0)),E$2,)</f>
        <v>0</v>
      </c>
      <c r="F58" s="140">
        <f ca="1">IF(ISNUMBER(MATCH(DATEVALUE($A58),'changes1_based on steps'!F$1:F$400,0)),F$2,)</f>
        <v>0</v>
      </c>
      <c r="G58" s="140">
        <f ca="1">IF(ISNUMBER(MATCH(DATEVALUE($A58),'changes1_based on steps'!G$1:G$400,0)),G$2,)</f>
        <v>0</v>
      </c>
      <c r="H58" s="140">
        <f ca="1">IF(ISNUMBER(MATCH(DATEVALUE($A58),'changes1_based on steps'!H$1:H$400,0)),H$2,)</f>
        <v>0</v>
      </c>
      <c r="I58" s="140">
        <f ca="1">IF(ISNUMBER(MATCH(DATEVALUE($A58),'changes1_based on steps'!I$1:I$400,0)),I$2,)</f>
        <v>0</v>
      </c>
      <c r="J58" s="140">
        <f ca="1">IF(ISNUMBER(MATCH(DATEVALUE($A58),'changes1_based on steps'!J$1:J$400,0)),J$2,)</f>
        <v>0</v>
      </c>
      <c r="K58" s="140">
        <f ca="1">IF(ISNUMBER(MATCH(DATEVALUE($A58),'changes1_based on steps'!K$1:K$400,0)),K$2,)</f>
        <v>0</v>
      </c>
      <c r="L58" s="140">
        <f ca="1">IF(ISNUMBER(MATCH(DATEVALUE($A58),'changes1_based on steps'!L$1:L$400,0)),L$2,)</f>
        <v>0</v>
      </c>
      <c r="M58" s="140">
        <f ca="1">IF(ISNUMBER(MATCH(DATEVALUE($A58),'changes1_based on steps'!M$1:M$400,0)),M$2,)</f>
        <v>0</v>
      </c>
      <c r="N58" s="140">
        <f ca="1">IF(ISNUMBER(MATCH(DATEVALUE($A58),'changes1_based on steps'!N$1:N$400,0)),N$2,)</f>
        <v>0</v>
      </c>
      <c r="O58" s="140">
        <f ca="1">IF(ISNUMBER(MATCH(DATEVALUE($A58),'changes1_based on steps'!O$1:O$400,0)),O$2,)</f>
        <v>0</v>
      </c>
      <c r="P58" s="140">
        <f ca="1">IF(ISNUMBER(MATCH(DATEVALUE($A58),'changes1_based on steps'!P$1:P$400,0)),P$2,)</f>
        <v>0</v>
      </c>
      <c r="Q58" s="140">
        <f ca="1">IF(ISNUMBER(MATCH(DATEVALUE($A58),'changes1_based on steps'!Q$1:Q$400,0)),Q$2,)</f>
        <v>0</v>
      </c>
      <c r="R58" s="140">
        <f ca="1">IF(ISNUMBER(MATCH(DATEVALUE($A58),'changes1_based on steps'!R$1:R$400,0)),R$2,)</f>
        <v>0</v>
      </c>
      <c r="S58" s="140">
        <f ca="1">IF(ISNUMBER(MATCH(DATEVALUE($A58),'changes1_based on steps'!S$1:S$400,0)),S$2,)</f>
        <v>0</v>
      </c>
      <c r="T58" s="140">
        <f ca="1">IF(ISNUMBER(MATCH(DATEVALUE($A58),'changes1_based on steps'!T$1:T$400,0)),T$2,)</f>
        <v>0</v>
      </c>
      <c r="U58" s="140">
        <f ca="1">IF(ISNUMBER(MATCH(DATEVALUE($A58),'changes1_based on steps'!U$1:U$400,0)),U$2,)</f>
        <v>0</v>
      </c>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c r="CF58" s="140"/>
      <c r="CG58" s="140"/>
      <c r="CH58" s="140"/>
      <c r="CI58" s="140"/>
      <c r="CJ58" s="140"/>
      <c r="CK58" s="140"/>
      <c r="CL58" s="140"/>
      <c r="CM58" s="140"/>
      <c r="CN58" s="140"/>
      <c r="CO58" s="140"/>
      <c r="CP58" s="140"/>
      <c r="CQ58" s="140"/>
      <c r="CR58" s="140"/>
      <c r="CS58" s="140"/>
      <c r="CT58" s="140"/>
      <c r="CU58" s="140"/>
      <c r="CV58" s="140"/>
      <c r="CW58" s="140"/>
    </row>
    <row r="59" spans="1:101" x14ac:dyDescent="0.2">
      <c r="A59" s="29" t="str">
        <f t="shared" ca="1" si="0"/>
        <v>2025-05-22</v>
      </c>
      <c r="B59" s="140">
        <f ca="1">IF(ISNUMBER(MATCH(DATEVALUE($A59),'changes1_based on steps'!B$1:B$400,0)),B$2,)</f>
        <v>0</v>
      </c>
      <c r="C59" s="140">
        <f ca="1">IF(ISNUMBER(MATCH(DATEVALUE($A59),'changes1_based on steps'!C$1:C$400,0)),C$2,)</f>
        <v>0</v>
      </c>
      <c r="D59" s="140">
        <f ca="1">IF(ISNUMBER(MATCH(DATEVALUE($A59),'changes1_based on steps'!D$1:D$400,0)),D$2,)</f>
        <v>0</v>
      </c>
      <c r="E59" s="140">
        <f ca="1">IF(ISNUMBER(MATCH(DATEVALUE($A59),'changes1_based on steps'!E$1:E$400,0)),E$2,)</f>
        <v>0</v>
      </c>
      <c r="F59" s="140">
        <f ca="1">IF(ISNUMBER(MATCH(DATEVALUE($A59),'changes1_based on steps'!F$1:F$400,0)),F$2,)</f>
        <v>0</v>
      </c>
      <c r="G59" s="140">
        <f ca="1">IF(ISNUMBER(MATCH(DATEVALUE($A59),'changes1_based on steps'!G$1:G$400,0)),G$2,)</f>
        <v>0</v>
      </c>
      <c r="H59" s="140">
        <f ca="1">IF(ISNUMBER(MATCH(DATEVALUE($A59),'changes1_based on steps'!H$1:H$400,0)),H$2,)</f>
        <v>0</v>
      </c>
      <c r="I59" s="140">
        <f ca="1">IF(ISNUMBER(MATCH(DATEVALUE($A59),'changes1_based on steps'!I$1:I$400,0)),I$2,)</f>
        <v>0</v>
      </c>
      <c r="J59" s="140">
        <f ca="1">IF(ISNUMBER(MATCH(DATEVALUE($A59),'changes1_based on steps'!J$1:J$400,0)),J$2,)</f>
        <v>0</v>
      </c>
      <c r="K59" s="140">
        <f ca="1">IF(ISNUMBER(MATCH(DATEVALUE($A59),'changes1_based on steps'!K$1:K$400,0)),K$2,)</f>
        <v>0</v>
      </c>
      <c r="L59" s="140">
        <f ca="1">IF(ISNUMBER(MATCH(DATEVALUE($A59),'changes1_based on steps'!L$1:L$400,0)),L$2,)</f>
        <v>0</v>
      </c>
      <c r="M59" s="140">
        <f ca="1">IF(ISNUMBER(MATCH(DATEVALUE($A59),'changes1_based on steps'!M$1:M$400,0)),M$2,)</f>
        <v>0</v>
      </c>
      <c r="N59" s="140">
        <f ca="1">IF(ISNUMBER(MATCH(DATEVALUE($A59),'changes1_based on steps'!N$1:N$400,0)),N$2,)</f>
        <v>0</v>
      </c>
      <c r="O59" s="140">
        <f ca="1">IF(ISNUMBER(MATCH(DATEVALUE($A59),'changes1_based on steps'!O$1:O$400,0)),O$2,)</f>
        <v>0</v>
      </c>
      <c r="P59" s="140">
        <f ca="1">IF(ISNUMBER(MATCH(DATEVALUE($A59),'changes1_based on steps'!P$1:P$400,0)),P$2,)</f>
        <v>0</v>
      </c>
      <c r="Q59" s="140">
        <f ca="1">IF(ISNUMBER(MATCH(DATEVALUE($A59),'changes1_based on steps'!Q$1:Q$400,0)),Q$2,)</f>
        <v>0</v>
      </c>
      <c r="R59" s="140">
        <f ca="1">IF(ISNUMBER(MATCH(DATEVALUE($A59),'changes1_based on steps'!R$1:R$400,0)),R$2,)</f>
        <v>0</v>
      </c>
      <c r="S59" s="140">
        <f ca="1">IF(ISNUMBER(MATCH(DATEVALUE($A59),'changes1_based on steps'!S$1:S$400,0)),S$2,)</f>
        <v>0</v>
      </c>
      <c r="T59" s="140">
        <f ca="1">IF(ISNUMBER(MATCH(DATEVALUE($A59),'changes1_based on steps'!T$1:T$400,0)),T$2,)</f>
        <v>0</v>
      </c>
      <c r="U59" s="140">
        <f ca="1">IF(ISNUMBER(MATCH(DATEVALUE($A59),'changes1_based on steps'!U$1:U$400,0)),U$2,)</f>
        <v>0</v>
      </c>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c r="CG59" s="140"/>
      <c r="CH59" s="140"/>
      <c r="CI59" s="140"/>
      <c r="CJ59" s="140"/>
      <c r="CK59" s="140"/>
      <c r="CL59" s="140"/>
      <c r="CM59" s="140"/>
      <c r="CN59" s="140"/>
      <c r="CO59" s="140"/>
      <c r="CP59" s="140"/>
      <c r="CQ59" s="140"/>
      <c r="CR59" s="140"/>
      <c r="CS59" s="140"/>
      <c r="CT59" s="140"/>
      <c r="CU59" s="140"/>
      <c r="CV59" s="140"/>
      <c r="CW59" s="140"/>
    </row>
    <row r="60" spans="1:101" x14ac:dyDescent="0.2">
      <c r="A60" s="29" t="str">
        <f t="shared" ca="1" si="0"/>
        <v>2025-05-23</v>
      </c>
      <c r="B60" s="140">
        <f ca="1">IF(ISNUMBER(MATCH(DATEVALUE($A60),'changes1_based on steps'!B$1:B$400,0)),B$2,)</f>
        <v>0</v>
      </c>
      <c r="C60" s="140">
        <f ca="1">IF(ISNUMBER(MATCH(DATEVALUE($A60),'changes1_based on steps'!C$1:C$400,0)),C$2,)</f>
        <v>0</v>
      </c>
      <c r="D60" s="140">
        <f ca="1">IF(ISNUMBER(MATCH(DATEVALUE($A60),'changes1_based on steps'!D$1:D$400,0)),D$2,)</f>
        <v>0</v>
      </c>
      <c r="E60" s="140">
        <f ca="1">IF(ISNUMBER(MATCH(DATEVALUE($A60),'changes1_based on steps'!E$1:E$400,0)),E$2,)</f>
        <v>0</v>
      </c>
      <c r="F60" s="140">
        <f ca="1">IF(ISNUMBER(MATCH(DATEVALUE($A60),'changes1_based on steps'!F$1:F$400,0)),F$2,)</f>
        <v>0</v>
      </c>
      <c r="G60" s="140">
        <f ca="1">IF(ISNUMBER(MATCH(DATEVALUE($A60),'changes1_based on steps'!G$1:G$400,0)),G$2,)</f>
        <v>0</v>
      </c>
      <c r="H60" s="140">
        <f ca="1">IF(ISNUMBER(MATCH(DATEVALUE($A60),'changes1_based on steps'!H$1:H$400,0)),H$2,)</f>
        <v>0</v>
      </c>
      <c r="I60" s="140">
        <f ca="1">IF(ISNUMBER(MATCH(DATEVALUE($A60),'changes1_based on steps'!I$1:I$400,0)),I$2,)</f>
        <v>0</v>
      </c>
      <c r="J60" s="140">
        <f ca="1">IF(ISNUMBER(MATCH(DATEVALUE($A60),'changes1_based on steps'!J$1:J$400,0)),J$2,)</f>
        <v>0</v>
      </c>
      <c r="K60" s="140">
        <f ca="1">IF(ISNUMBER(MATCH(DATEVALUE($A60),'changes1_based on steps'!K$1:K$400,0)),K$2,)</f>
        <v>0</v>
      </c>
      <c r="L60" s="140">
        <f ca="1">IF(ISNUMBER(MATCH(DATEVALUE($A60),'changes1_based on steps'!L$1:L$400,0)),L$2,)</f>
        <v>0</v>
      </c>
      <c r="M60" s="140">
        <f ca="1">IF(ISNUMBER(MATCH(DATEVALUE($A60),'changes1_based on steps'!M$1:M$400,0)),M$2,)</f>
        <v>0</v>
      </c>
      <c r="N60" s="140">
        <f ca="1">IF(ISNUMBER(MATCH(DATEVALUE($A60),'changes1_based on steps'!N$1:N$400,0)),N$2,)</f>
        <v>0</v>
      </c>
      <c r="O60" s="140">
        <f ca="1">IF(ISNUMBER(MATCH(DATEVALUE($A60),'changes1_based on steps'!O$1:O$400,0)),O$2,)</f>
        <v>0</v>
      </c>
      <c r="P60" s="140">
        <f ca="1">IF(ISNUMBER(MATCH(DATEVALUE($A60),'changes1_based on steps'!P$1:P$400,0)),P$2,)</f>
        <v>0</v>
      </c>
      <c r="Q60" s="140">
        <f ca="1">IF(ISNUMBER(MATCH(DATEVALUE($A60),'changes1_based on steps'!Q$1:Q$400,0)),Q$2,)</f>
        <v>0</v>
      </c>
      <c r="R60" s="140">
        <f ca="1">IF(ISNUMBER(MATCH(DATEVALUE($A60),'changes1_based on steps'!R$1:R$400,0)),R$2,)</f>
        <v>0</v>
      </c>
      <c r="S60" s="140">
        <f ca="1">IF(ISNUMBER(MATCH(DATEVALUE($A60),'changes1_based on steps'!S$1:S$400,0)),S$2,)</f>
        <v>0</v>
      </c>
      <c r="T60" s="140">
        <f ca="1">IF(ISNUMBER(MATCH(DATEVALUE($A60),'changes1_based on steps'!T$1:T$400,0)),T$2,)</f>
        <v>0</v>
      </c>
      <c r="U60" s="140">
        <f ca="1">IF(ISNUMBER(MATCH(DATEVALUE($A60),'changes1_based on steps'!U$1:U$400,0)),U$2,)</f>
        <v>0</v>
      </c>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c r="CH60" s="140"/>
      <c r="CI60" s="140"/>
      <c r="CJ60" s="140"/>
      <c r="CK60" s="140"/>
      <c r="CL60" s="140"/>
      <c r="CM60" s="140"/>
      <c r="CN60" s="140"/>
      <c r="CO60" s="140"/>
      <c r="CP60" s="140"/>
      <c r="CQ60" s="140"/>
      <c r="CR60" s="140"/>
      <c r="CS60" s="140"/>
      <c r="CT60" s="140"/>
      <c r="CU60" s="140"/>
      <c r="CV60" s="140"/>
      <c r="CW60" s="140"/>
    </row>
    <row r="61" spans="1:101" x14ac:dyDescent="0.2">
      <c r="A61" s="29" t="str">
        <f t="shared" ca="1" si="0"/>
        <v>2025-05-24</v>
      </c>
      <c r="B61" s="140">
        <f ca="1">IF(ISNUMBER(MATCH(DATEVALUE($A61),'changes1_based on steps'!B$1:B$400,0)),B$2,)</f>
        <v>0</v>
      </c>
      <c r="C61" s="140">
        <f ca="1">IF(ISNUMBER(MATCH(DATEVALUE($A61),'changes1_based on steps'!C$1:C$400,0)),C$2,)</f>
        <v>0</v>
      </c>
      <c r="D61" s="140">
        <f ca="1">IF(ISNUMBER(MATCH(DATEVALUE($A61),'changes1_based on steps'!D$1:D$400,0)),D$2,)</f>
        <v>0</v>
      </c>
      <c r="E61" s="140">
        <f ca="1">IF(ISNUMBER(MATCH(DATEVALUE($A61),'changes1_based on steps'!E$1:E$400,0)),E$2,)</f>
        <v>0</v>
      </c>
      <c r="F61" s="140">
        <f ca="1">IF(ISNUMBER(MATCH(DATEVALUE($A61),'changes1_based on steps'!F$1:F$400,0)),F$2,)</f>
        <v>0</v>
      </c>
      <c r="G61" s="140">
        <f ca="1">IF(ISNUMBER(MATCH(DATEVALUE($A61),'changes1_based on steps'!G$1:G$400,0)),G$2,)</f>
        <v>0</v>
      </c>
      <c r="H61" s="140">
        <f ca="1">IF(ISNUMBER(MATCH(DATEVALUE($A61),'changes1_based on steps'!H$1:H$400,0)),H$2,)</f>
        <v>0</v>
      </c>
      <c r="I61" s="140">
        <f ca="1">IF(ISNUMBER(MATCH(DATEVALUE($A61),'changes1_based on steps'!I$1:I$400,0)),I$2,)</f>
        <v>0</v>
      </c>
      <c r="J61" s="140">
        <f ca="1">IF(ISNUMBER(MATCH(DATEVALUE($A61),'changes1_based on steps'!J$1:J$400,0)),J$2,)</f>
        <v>0</v>
      </c>
      <c r="K61" s="140">
        <f ca="1">IF(ISNUMBER(MATCH(DATEVALUE($A61),'changes1_based on steps'!K$1:K$400,0)),K$2,)</f>
        <v>0</v>
      </c>
      <c r="L61" s="140">
        <f ca="1">IF(ISNUMBER(MATCH(DATEVALUE($A61),'changes1_based on steps'!L$1:L$400,0)),L$2,)</f>
        <v>0</v>
      </c>
      <c r="M61" s="140">
        <f ca="1">IF(ISNUMBER(MATCH(DATEVALUE($A61),'changes1_based on steps'!M$1:M$400,0)),M$2,)</f>
        <v>0</v>
      </c>
      <c r="N61" s="140">
        <f ca="1">IF(ISNUMBER(MATCH(DATEVALUE($A61),'changes1_based on steps'!N$1:N$400,0)),N$2,)</f>
        <v>0</v>
      </c>
      <c r="O61" s="140">
        <f ca="1">IF(ISNUMBER(MATCH(DATEVALUE($A61),'changes1_based on steps'!O$1:O$400,0)),O$2,)</f>
        <v>0</v>
      </c>
      <c r="P61" s="140">
        <f ca="1">IF(ISNUMBER(MATCH(DATEVALUE($A61),'changes1_based on steps'!P$1:P$400,0)),P$2,)</f>
        <v>0</v>
      </c>
      <c r="Q61" s="140">
        <f ca="1">IF(ISNUMBER(MATCH(DATEVALUE($A61),'changes1_based on steps'!Q$1:Q$400,0)),Q$2,)</f>
        <v>0</v>
      </c>
      <c r="R61" s="140">
        <f ca="1">IF(ISNUMBER(MATCH(DATEVALUE($A61),'changes1_based on steps'!R$1:R$400,0)),R$2,)</f>
        <v>0</v>
      </c>
      <c r="S61" s="140">
        <f ca="1">IF(ISNUMBER(MATCH(DATEVALUE($A61),'changes1_based on steps'!S$1:S$400,0)),S$2,)</f>
        <v>0</v>
      </c>
      <c r="T61" s="140">
        <f ca="1">IF(ISNUMBER(MATCH(DATEVALUE($A61),'changes1_based on steps'!T$1:T$400,0)),T$2,)</f>
        <v>0</v>
      </c>
      <c r="U61" s="140">
        <f ca="1">IF(ISNUMBER(MATCH(DATEVALUE($A61),'changes1_based on steps'!U$1:U$400,0)),U$2,)</f>
        <v>0</v>
      </c>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c r="CH61" s="140"/>
      <c r="CI61" s="140"/>
      <c r="CJ61" s="140"/>
      <c r="CK61" s="140"/>
      <c r="CL61" s="140"/>
      <c r="CM61" s="140"/>
      <c r="CN61" s="140"/>
      <c r="CO61" s="140"/>
      <c r="CP61" s="140"/>
      <c r="CQ61" s="140"/>
      <c r="CR61" s="140"/>
      <c r="CS61" s="140"/>
      <c r="CT61" s="140"/>
      <c r="CU61" s="140"/>
      <c r="CV61" s="140"/>
      <c r="CW61" s="140"/>
    </row>
    <row r="62" spans="1:101" x14ac:dyDescent="0.2">
      <c r="A62" s="29" t="str">
        <f t="shared" ca="1" si="0"/>
        <v>2025-05-25</v>
      </c>
      <c r="B62" s="140">
        <f ca="1">IF(ISNUMBER(MATCH(DATEVALUE($A62),'changes1_based on steps'!B$1:B$400,0)),B$2,)</f>
        <v>0</v>
      </c>
      <c r="C62" s="140">
        <f ca="1">IF(ISNUMBER(MATCH(DATEVALUE($A62),'changes1_based on steps'!C$1:C$400,0)),C$2,)</f>
        <v>0</v>
      </c>
      <c r="D62" s="140">
        <f ca="1">IF(ISNUMBER(MATCH(DATEVALUE($A62),'changes1_based on steps'!D$1:D$400,0)),D$2,)</f>
        <v>0</v>
      </c>
      <c r="E62" s="140">
        <f ca="1">IF(ISNUMBER(MATCH(DATEVALUE($A62),'changes1_based on steps'!E$1:E$400,0)),E$2,)</f>
        <v>0</v>
      </c>
      <c r="F62" s="140">
        <f ca="1">IF(ISNUMBER(MATCH(DATEVALUE($A62),'changes1_based on steps'!F$1:F$400,0)),F$2,)</f>
        <v>0</v>
      </c>
      <c r="G62" s="140">
        <f ca="1">IF(ISNUMBER(MATCH(DATEVALUE($A62),'changes1_based on steps'!G$1:G$400,0)),G$2,)</f>
        <v>0</v>
      </c>
      <c r="H62" s="140">
        <f ca="1">IF(ISNUMBER(MATCH(DATEVALUE($A62),'changes1_based on steps'!H$1:H$400,0)),H$2,)</f>
        <v>0</v>
      </c>
      <c r="I62" s="140">
        <f ca="1">IF(ISNUMBER(MATCH(DATEVALUE($A62),'changes1_based on steps'!I$1:I$400,0)),I$2,)</f>
        <v>0</v>
      </c>
      <c r="J62" s="140">
        <f ca="1">IF(ISNUMBER(MATCH(DATEVALUE($A62),'changes1_based on steps'!J$1:J$400,0)),J$2,)</f>
        <v>0</v>
      </c>
      <c r="K62" s="140">
        <f ca="1">IF(ISNUMBER(MATCH(DATEVALUE($A62),'changes1_based on steps'!K$1:K$400,0)),K$2,)</f>
        <v>0</v>
      </c>
      <c r="L62" s="140">
        <f ca="1">IF(ISNUMBER(MATCH(DATEVALUE($A62),'changes1_based on steps'!L$1:L$400,0)),L$2,)</f>
        <v>0</v>
      </c>
      <c r="M62" s="140">
        <f ca="1">IF(ISNUMBER(MATCH(DATEVALUE($A62),'changes1_based on steps'!M$1:M$400,0)),M$2,)</f>
        <v>0</v>
      </c>
      <c r="N62" s="140">
        <f ca="1">IF(ISNUMBER(MATCH(DATEVALUE($A62),'changes1_based on steps'!N$1:N$400,0)),N$2,)</f>
        <v>0</v>
      </c>
      <c r="O62" s="140">
        <f ca="1">IF(ISNUMBER(MATCH(DATEVALUE($A62),'changes1_based on steps'!O$1:O$400,0)),O$2,)</f>
        <v>0</v>
      </c>
      <c r="P62" s="140">
        <f ca="1">IF(ISNUMBER(MATCH(DATEVALUE($A62),'changes1_based on steps'!P$1:P$400,0)),P$2,)</f>
        <v>0</v>
      </c>
      <c r="Q62" s="140">
        <f ca="1">IF(ISNUMBER(MATCH(DATEVALUE($A62),'changes1_based on steps'!Q$1:Q$400,0)),Q$2,)</f>
        <v>0</v>
      </c>
      <c r="R62" s="140">
        <f ca="1">IF(ISNUMBER(MATCH(DATEVALUE($A62),'changes1_based on steps'!R$1:R$400,0)),R$2,)</f>
        <v>0</v>
      </c>
      <c r="S62" s="140">
        <f ca="1">IF(ISNUMBER(MATCH(DATEVALUE($A62),'changes1_based on steps'!S$1:S$400,0)),S$2,)</f>
        <v>0</v>
      </c>
      <c r="T62" s="140">
        <f ca="1">IF(ISNUMBER(MATCH(DATEVALUE($A62),'changes1_based on steps'!T$1:T$400,0)),T$2,)</f>
        <v>0</v>
      </c>
      <c r="U62" s="140">
        <f ca="1">IF(ISNUMBER(MATCH(DATEVALUE($A62),'changes1_based on steps'!U$1:U$400,0)),U$2,)</f>
        <v>0</v>
      </c>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c r="CH62" s="140"/>
      <c r="CI62" s="140"/>
      <c r="CJ62" s="140"/>
      <c r="CK62" s="140"/>
      <c r="CL62" s="140"/>
      <c r="CM62" s="140"/>
      <c r="CN62" s="140"/>
      <c r="CO62" s="140"/>
      <c r="CP62" s="140"/>
      <c r="CQ62" s="140"/>
      <c r="CR62" s="140"/>
      <c r="CS62" s="140"/>
      <c r="CT62" s="140"/>
      <c r="CU62" s="140"/>
      <c r="CV62" s="140"/>
      <c r="CW62" s="140"/>
    </row>
    <row r="63" spans="1:101" x14ac:dyDescent="0.2">
      <c r="A63" s="29" t="str">
        <f t="shared" ca="1" si="0"/>
        <v>2025-05-26</v>
      </c>
      <c r="B63" s="140">
        <f ca="1">IF(ISNUMBER(MATCH(DATEVALUE($A63),'changes1_based on steps'!B$1:B$400,0)),B$2,)</f>
        <v>0</v>
      </c>
      <c r="C63" s="140">
        <f ca="1">IF(ISNUMBER(MATCH(DATEVALUE($A63),'changes1_based on steps'!C$1:C$400,0)),C$2,)</f>
        <v>0</v>
      </c>
      <c r="D63" s="140">
        <f ca="1">IF(ISNUMBER(MATCH(DATEVALUE($A63),'changes1_based on steps'!D$1:D$400,0)),D$2,)</f>
        <v>0</v>
      </c>
      <c r="E63" s="140">
        <f ca="1">IF(ISNUMBER(MATCH(DATEVALUE($A63),'changes1_based on steps'!E$1:E$400,0)),E$2,)</f>
        <v>0</v>
      </c>
      <c r="F63" s="140">
        <f ca="1">IF(ISNUMBER(MATCH(DATEVALUE($A63),'changes1_based on steps'!F$1:F$400,0)),F$2,)</f>
        <v>0</v>
      </c>
      <c r="G63" s="140">
        <f ca="1">IF(ISNUMBER(MATCH(DATEVALUE($A63),'changes1_based on steps'!G$1:G$400,0)),G$2,)</f>
        <v>0</v>
      </c>
      <c r="H63" s="140">
        <f ca="1">IF(ISNUMBER(MATCH(DATEVALUE($A63),'changes1_based on steps'!H$1:H$400,0)),H$2,)</f>
        <v>0</v>
      </c>
      <c r="I63" s="140">
        <f ca="1">IF(ISNUMBER(MATCH(DATEVALUE($A63),'changes1_based on steps'!I$1:I$400,0)),I$2,)</f>
        <v>0</v>
      </c>
      <c r="J63" s="140">
        <f ca="1">IF(ISNUMBER(MATCH(DATEVALUE($A63),'changes1_based on steps'!J$1:J$400,0)),J$2,)</f>
        <v>0</v>
      </c>
      <c r="K63" s="140">
        <f ca="1">IF(ISNUMBER(MATCH(DATEVALUE($A63),'changes1_based on steps'!K$1:K$400,0)),K$2,)</f>
        <v>0</v>
      </c>
      <c r="L63" s="140">
        <f ca="1">IF(ISNUMBER(MATCH(DATEVALUE($A63),'changes1_based on steps'!L$1:L$400,0)),L$2,)</f>
        <v>0</v>
      </c>
      <c r="M63" s="140">
        <f ca="1">IF(ISNUMBER(MATCH(DATEVALUE($A63),'changes1_based on steps'!M$1:M$400,0)),M$2,)</f>
        <v>0</v>
      </c>
      <c r="N63" s="140">
        <f ca="1">IF(ISNUMBER(MATCH(DATEVALUE($A63),'changes1_based on steps'!N$1:N$400,0)),N$2,)</f>
        <v>0</v>
      </c>
      <c r="O63" s="140">
        <f ca="1">IF(ISNUMBER(MATCH(DATEVALUE($A63),'changes1_based on steps'!O$1:O$400,0)),O$2,)</f>
        <v>0</v>
      </c>
      <c r="P63" s="140">
        <f ca="1">IF(ISNUMBER(MATCH(DATEVALUE($A63),'changes1_based on steps'!P$1:P$400,0)),P$2,)</f>
        <v>0</v>
      </c>
      <c r="Q63" s="140">
        <f ca="1">IF(ISNUMBER(MATCH(DATEVALUE($A63),'changes1_based on steps'!Q$1:Q$400,0)),Q$2,)</f>
        <v>0</v>
      </c>
      <c r="R63" s="140">
        <f ca="1">IF(ISNUMBER(MATCH(DATEVALUE($A63),'changes1_based on steps'!R$1:R$400,0)),R$2,)</f>
        <v>0</v>
      </c>
      <c r="S63" s="140">
        <f ca="1">IF(ISNUMBER(MATCH(DATEVALUE($A63),'changes1_based on steps'!S$1:S$400,0)),S$2,)</f>
        <v>0</v>
      </c>
      <c r="T63" s="140">
        <f ca="1">IF(ISNUMBER(MATCH(DATEVALUE($A63),'changes1_based on steps'!T$1:T$400,0)),T$2,)</f>
        <v>0</v>
      </c>
      <c r="U63" s="140">
        <f ca="1">IF(ISNUMBER(MATCH(DATEVALUE($A63),'changes1_based on steps'!U$1:U$400,0)),U$2,)</f>
        <v>0</v>
      </c>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c r="CH63" s="140"/>
      <c r="CI63" s="140"/>
      <c r="CJ63" s="140"/>
      <c r="CK63" s="140"/>
      <c r="CL63" s="140"/>
      <c r="CM63" s="140"/>
      <c r="CN63" s="140"/>
      <c r="CO63" s="140"/>
      <c r="CP63" s="140"/>
      <c r="CQ63" s="140"/>
      <c r="CR63" s="140"/>
      <c r="CS63" s="140"/>
      <c r="CT63" s="140"/>
      <c r="CU63" s="140"/>
      <c r="CV63" s="140"/>
      <c r="CW63" s="140"/>
    </row>
    <row r="64" spans="1:101" x14ac:dyDescent="0.2">
      <c r="A64" s="29" t="str">
        <f t="shared" ca="1" si="0"/>
        <v>2025-05-27</v>
      </c>
      <c r="B64" s="140">
        <f ca="1">IF(ISNUMBER(MATCH(DATEVALUE($A64),'changes1_based on steps'!B$1:B$400,0)),B$2,)</f>
        <v>0</v>
      </c>
      <c r="C64" s="140">
        <f ca="1">IF(ISNUMBER(MATCH(DATEVALUE($A64),'changes1_based on steps'!C$1:C$400,0)),C$2,)</f>
        <v>0</v>
      </c>
      <c r="D64" s="140">
        <f ca="1">IF(ISNUMBER(MATCH(DATEVALUE($A64),'changes1_based on steps'!D$1:D$400,0)),D$2,)</f>
        <v>0</v>
      </c>
      <c r="E64" s="140">
        <f ca="1">IF(ISNUMBER(MATCH(DATEVALUE($A64),'changes1_based on steps'!E$1:E$400,0)),E$2,)</f>
        <v>0</v>
      </c>
      <c r="F64" s="140">
        <f ca="1">IF(ISNUMBER(MATCH(DATEVALUE($A64),'changes1_based on steps'!F$1:F$400,0)),F$2,)</f>
        <v>0</v>
      </c>
      <c r="G64" s="140">
        <f ca="1">IF(ISNUMBER(MATCH(DATEVALUE($A64),'changes1_based on steps'!G$1:G$400,0)),G$2,)</f>
        <v>0</v>
      </c>
      <c r="H64" s="140">
        <f ca="1">IF(ISNUMBER(MATCH(DATEVALUE($A64),'changes1_based on steps'!H$1:H$400,0)),H$2,)</f>
        <v>0</v>
      </c>
      <c r="I64" s="140">
        <f ca="1">IF(ISNUMBER(MATCH(DATEVALUE($A64),'changes1_based on steps'!I$1:I$400,0)),I$2,)</f>
        <v>0</v>
      </c>
      <c r="J64" s="140">
        <f ca="1">IF(ISNUMBER(MATCH(DATEVALUE($A64),'changes1_based on steps'!J$1:J$400,0)),J$2,)</f>
        <v>0</v>
      </c>
      <c r="K64" s="140">
        <f ca="1">IF(ISNUMBER(MATCH(DATEVALUE($A64),'changes1_based on steps'!K$1:K$400,0)),K$2,)</f>
        <v>0</v>
      </c>
      <c r="L64" s="140">
        <f ca="1">IF(ISNUMBER(MATCH(DATEVALUE($A64),'changes1_based on steps'!L$1:L$400,0)),L$2,)</f>
        <v>0</v>
      </c>
      <c r="M64" s="140">
        <f ca="1">IF(ISNUMBER(MATCH(DATEVALUE($A64),'changes1_based on steps'!M$1:M$400,0)),M$2,)</f>
        <v>0</v>
      </c>
      <c r="N64" s="140">
        <f ca="1">IF(ISNUMBER(MATCH(DATEVALUE($A64),'changes1_based on steps'!N$1:N$400,0)),N$2,)</f>
        <v>0</v>
      </c>
      <c r="O64" s="140">
        <f ca="1">IF(ISNUMBER(MATCH(DATEVALUE($A64),'changes1_based on steps'!O$1:O$400,0)),O$2,)</f>
        <v>0</v>
      </c>
      <c r="P64" s="140">
        <f ca="1">IF(ISNUMBER(MATCH(DATEVALUE($A64),'changes1_based on steps'!P$1:P$400,0)),P$2,)</f>
        <v>0</v>
      </c>
      <c r="Q64" s="140">
        <f ca="1">IF(ISNUMBER(MATCH(DATEVALUE($A64),'changes1_based on steps'!Q$1:Q$400,0)),Q$2,)</f>
        <v>0</v>
      </c>
      <c r="R64" s="140">
        <f ca="1">IF(ISNUMBER(MATCH(DATEVALUE($A64),'changes1_based on steps'!R$1:R$400,0)),R$2,)</f>
        <v>0</v>
      </c>
      <c r="S64" s="140">
        <f ca="1">IF(ISNUMBER(MATCH(DATEVALUE($A64),'changes1_based on steps'!S$1:S$400,0)),S$2,)</f>
        <v>0</v>
      </c>
      <c r="T64" s="140">
        <f ca="1">IF(ISNUMBER(MATCH(DATEVALUE($A64),'changes1_based on steps'!T$1:T$400,0)),T$2,)</f>
        <v>0</v>
      </c>
      <c r="U64" s="140">
        <f ca="1">IF(ISNUMBER(MATCH(DATEVALUE($A64),'changes1_based on steps'!U$1:U$400,0)),U$2,)</f>
        <v>0</v>
      </c>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c r="CH64" s="140"/>
      <c r="CI64" s="140"/>
      <c r="CJ64" s="140"/>
      <c r="CK64" s="140"/>
      <c r="CL64" s="140"/>
      <c r="CM64" s="140"/>
      <c r="CN64" s="140"/>
      <c r="CO64" s="140"/>
      <c r="CP64" s="140"/>
      <c r="CQ64" s="140"/>
      <c r="CR64" s="140"/>
      <c r="CS64" s="140"/>
      <c r="CT64" s="140"/>
      <c r="CU64" s="140"/>
      <c r="CV64" s="140"/>
      <c r="CW64" s="140"/>
    </row>
    <row r="65" spans="1:101" x14ac:dyDescent="0.2">
      <c r="A65" s="29" t="str">
        <f t="shared" ca="1" si="0"/>
        <v>2025-05-28</v>
      </c>
      <c r="B65" s="140">
        <f ca="1">IF(ISNUMBER(MATCH(DATEVALUE($A65),'changes1_based on steps'!B$1:B$400,0)),B$2,)</f>
        <v>0</v>
      </c>
      <c r="C65" s="140">
        <f ca="1">IF(ISNUMBER(MATCH(DATEVALUE($A65),'changes1_based on steps'!C$1:C$400,0)),C$2,)</f>
        <v>0</v>
      </c>
      <c r="D65" s="140">
        <f ca="1">IF(ISNUMBER(MATCH(DATEVALUE($A65),'changes1_based on steps'!D$1:D$400,0)),D$2,)</f>
        <v>0</v>
      </c>
      <c r="E65" s="140">
        <f ca="1">IF(ISNUMBER(MATCH(DATEVALUE($A65),'changes1_based on steps'!E$1:E$400,0)),E$2,)</f>
        <v>0</v>
      </c>
      <c r="F65" s="140">
        <f ca="1">IF(ISNUMBER(MATCH(DATEVALUE($A65),'changes1_based on steps'!F$1:F$400,0)),F$2,)</f>
        <v>0</v>
      </c>
      <c r="G65" s="140">
        <f ca="1">IF(ISNUMBER(MATCH(DATEVALUE($A65),'changes1_based on steps'!G$1:G$400,0)),G$2,)</f>
        <v>0</v>
      </c>
      <c r="H65" s="140">
        <f ca="1">IF(ISNUMBER(MATCH(DATEVALUE($A65),'changes1_based on steps'!H$1:H$400,0)),H$2,)</f>
        <v>0</v>
      </c>
      <c r="I65" s="140">
        <f ca="1">IF(ISNUMBER(MATCH(DATEVALUE($A65),'changes1_based on steps'!I$1:I$400,0)),I$2,)</f>
        <v>0</v>
      </c>
      <c r="J65" s="140">
        <f ca="1">IF(ISNUMBER(MATCH(DATEVALUE($A65),'changes1_based on steps'!J$1:J$400,0)),J$2,)</f>
        <v>0</v>
      </c>
      <c r="K65" s="140">
        <f ca="1">IF(ISNUMBER(MATCH(DATEVALUE($A65),'changes1_based on steps'!K$1:K$400,0)),K$2,)</f>
        <v>0</v>
      </c>
      <c r="L65" s="140">
        <f ca="1">IF(ISNUMBER(MATCH(DATEVALUE($A65),'changes1_based on steps'!L$1:L$400,0)),L$2,)</f>
        <v>0</v>
      </c>
      <c r="M65" s="140">
        <f ca="1">IF(ISNUMBER(MATCH(DATEVALUE($A65),'changes1_based on steps'!M$1:M$400,0)),M$2,)</f>
        <v>0</v>
      </c>
      <c r="N65" s="140">
        <f ca="1">IF(ISNUMBER(MATCH(DATEVALUE($A65),'changes1_based on steps'!N$1:N$400,0)),N$2,)</f>
        <v>0</v>
      </c>
      <c r="O65" s="140">
        <f ca="1">IF(ISNUMBER(MATCH(DATEVALUE($A65),'changes1_based on steps'!O$1:O$400,0)),O$2,)</f>
        <v>0</v>
      </c>
      <c r="P65" s="140">
        <f ca="1">IF(ISNUMBER(MATCH(DATEVALUE($A65),'changes1_based on steps'!P$1:P$400,0)),P$2,)</f>
        <v>0</v>
      </c>
      <c r="Q65" s="140">
        <f ca="1">IF(ISNUMBER(MATCH(DATEVALUE($A65),'changes1_based on steps'!Q$1:Q$400,0)),Q$2,)</f>
        <v>0</v>
      </c>
      <c r="R65" s="140">
        <f ca="1">IF(ISNUMBER(MATCH(DATEVALUE($A65),'changes1_based on steps'!R$1:R$400,0)),R$2,)</f>
        <v>0</v>
      </c>
      <c r="S65" s="140">
        <f ca="1">IF(ISNUMBER(MATCH(DATEVALUE($A65),'changes1_based on steps'!S$1:S$400,0)),S$2,)</f>
        <v>0</v>
      </c>
      <c r="T65" s="140">
        <f ca="1">IF(ISNUMBER(MATCH(DATEVALUE($A65),'changes1_based on steps'!T$1:T$400,0)),T$2,)</f>
        <v>0</v>
      </c>
      <c r="U65" s="140">
        <f ca="1">IF(ISNUMBER(MATCH(DATEVALUE($A65),'changes1_based on steps'!U$1:U$400,0)),U$2,)</f>
        <v>0</v>
      </c>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c r="CH65" s="140"/>
      <c r="CI65" s="140"/>
      <c r="CJ65" s="140"/>
      <c r="CK65" s="140"/>
      <c r="CL65" s="140"/>
      <c r="CM65" s="140"/>
      <c r="CN65" s="140"/>
      <c r="CO65" s="140"/>
      <c r="CP65" s="140"/>
      <c r="CQ65" s="140"/>
      <c r="CR65" s="140"/>
      <c r="CS65" s="140"/>
      <c r="CT65" s="140"/>
      <c r="CU65" s="140"/>
      <c r="CV65" s="140"/>
      <c r="CW65" s="140"/>
    </row>
    <row r="66" spans="1:101" x14ac:dyDescent="0.2">
      <c r="A66" s="29" t="str">
        <f t="shared" ca="1" si="0"/>
        <v>2025-05-29</v>
      </c>
      <c r="B66" s="140">
        <f ca="1">IF(ISNUMBER(MATCH(DATEVALUE($A66),'changes1_based on steps'!B$1:B$400,0)),B$2,)</f>
        <v>0</v>
      </c>
      <c r="C66" s="140">
        <f ca="1">IF(ISNUMBER(MATCH(DATEVALUE($A66),'changes1_based on steps'!C$1:C$400,0)),C$2,)</f>
        <v>0</v>
      </c>
      <c r="D66" s="140">
        <f ca="1">IF(ISNUMBER(MATCH(DATEVALUE($A66),'changes1_based on steps'!D$1:D$400,0)),D$2,)</f>
        <v>0</v>
      </c>
      <c r="E66" s="140">
        <f ca="1">IF(ISNUMBER(MATCH(DATEVALUE($A66),'changes1_based on steps'!E$1:E$400,0)),E$2,)</f>
        <v>0</v>
      </c>
      <c r="F66" s="140">
        <f ca="1">IF(ISNUMBER(MATCH(DATEVALUE($A66),'changes1_based on steps'!F$1:F$400,0)),F$2,)</f>
        <v>0</v>
      </c>
      <c r="G66" s="140">
        <f ca="1">IF(ISNUMBER(MATCH(DATEVALUE($A66),'changes1_based on steps'!G$1:G$400,0)),G$2,)</f>
        <v>0</v>
      </c>
      <c r="H66" s="140">
        <f ca="1">IF(ISNUMBER(MATCH(DATEVALUE($A66),'changes1_based on steps'!H$1:H$400,0)),H$2,)</f>
        <v>0</v>
      </c>
      <c r="I66" s="140">
        <f ca="1">IF(ISNUMBER(MATCH(DATEVALUE($A66),'changes1_based on steps'!I$1:I$400,0)),I$2,)</f>
        <v>0</v>
      </c>
      <c r="J66" s="140">
        <f ca="1">IF(ISNUMBER(MATCH(DATEVALUE($A66),'changes1_based on steps'!J$1:J$400,0)),J$2,)</f>
        <v>0</v>
      </c>
      <c r="K66" s="140">
        <f ca="1">IF(ISNUMBER(MATCH(DATEVALUE($A66),'changes1_based on steps'!K$1:K$400,0)),K$2,)</f>
        <v>0</v>
      </c>
      <c r="L66" s="140">
        <f ca="1">IF(ISNUMBER(MATCH(DATEVALUE($A66),'changes1_based on steps'!L$1:L$400,0)),L$2,)</f>
        <v>0</v>
      </c>
      <c r="M66" s="140">
        <f ca="1">IF(ISNUMBER(MATCH(DATEVALUE($A66),'changes1_based on steps'!M$1:M$400,0)),M$2,)</f>
        <v>0</v>
      </c>
      <c r="N66" s="140">
        <f ca="1">IF(ISNUMBER(MATCH(DATEVALUE($A66),'changes1_based on steps'!N$1:N$400,0)),N$2,)</f>
        <v>0</v>
      </c>
      <c r="O66" s="140">
        <f ca="1">IF(ISNUMBER(MATCH(DATEVALUE($A66),'changes1_based on steps'!O$1:O$400,0)),O$2,)</f>
        <v>0</v>
      </c>
      <c r="P66" s="140">
        <f ca="1">IF(ISNUMBER(MATCH(DATEVALUE($A66),'changes1_based on steps'!P$1:P$400,0)),P$2,)</f>
        <v>0</v>
      </c>
      <c r="Q66" s="140">
        <f ca="1">IF(ISNUMBER(MATCH(DATEVALUE($A66),'changes1_based on steps'!Q$1:Q$400,0)),Q$2,)</f>
        <v>0</v>
      </c>
      <c r="R66" s="140">
        <f ca="1">IF(ISNUMBER(MATCH(DATEVALUE($A66),'changes1_based on steps'!R$1:R$400,0)),R$2,)</f>
        <v>0</v>
      </c>
      <c r="S66" s="140">
        <f ca="1">IF(ISNUMBER(MATCH(DATEVALUE($A66),'changes1_based on steps'!S$1:S$400,0)),S$2,)</f>
        <v>0</v>
      </c>
      <c r="T66" s="140">
        <f ca="1">IF(ISNUMBER(MATCH(DATEVALUE($A66),'changes1_based on steps'!T$1:T$400,0)),T$2,)</f>
        <v>0</v>
      </c>
      <c r="U66" s="140">
        <f ca="1">IF(ISNUMBER(MATCH(DATEVALUE($A66),'changes1_based on steps'!U$1:U$400,0)),U$2,)</f>
        <v>0</v>
      </c>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c r="CH66" s="140"/>
      <c r="CI66" s="140"/>
      <c r="CJ66" s="140"/>
      <c r="CK66" s="140"/>
      <c r="CL66" s="140"/>
      <c r="CM66" s="140"/>
      <c r="CN66" s="140"/>
      <c r="CO66" s="140"/>
      <c r="CP66" s="140"/>
      <c r="CQ66" s="140"/>
      <c r="CR66" s="140"/>
      <c r="CS66" s="140"/>
      <c r="CT66" s="140"/>
      <c r="CU66" s="140"/>
      <c r="CV66" s="140"/>
      <c r="CW66" s="140"/>
    </row>
    <row r="67" spans="1:101" x14ac:dyDescent="0.2">
      <c r="A67" s="29" t="str">
        <f t="shared" ca="1" si="0"/>
        <v>2025-05-30</v>
      </c>
      <c r="B67" s="140">
        <f ca="1">IF(ISNUMBER(MATCH(DATEVALUE($A67),'changes1_based on steps'!B$1:B$400,0)),B$2,)</f>
        <v>0</v>
      </c>
      <c r="C67" s="140">
        <f ca="1">IF(ISNUMBER(MATCH(DATEVALUE($A67),'changes1_based on steps'!C$1:C$400,0)),C$2,)</f>
        <v>0</v>
      </c>
      <c r="D67" s="140">
        <f ca="1">IF(ISNUMBER(MATCH(DATEVALUE($A67),'changes1_based on steps'!D$1:D$400,0)),D$2,)</f>
        <v>0</v>
      </c>
      <c r="E67" s="140">
        <f ca="1">IF(ISNUMBER(MATCH(DATEVALUE($A67),'changes1_based on steps'!E$1:E$400,0)),E$2,)</f>
        <v>0</v>
      </c>
      <c r="F67" s="140">
        <f ca="1">IF(ISNUMBER(MATCH(DATEVALUE($A67),'changes1_based on steps'!F$1:F$400,0)),F$2,)</f>
        <v>0</v>
      </c>
      <c r="G67" s="140">
        <f ca="1">IF(ISNUMBER(MATCH(DATEVALUE($A67),'changes1_based on steps'!G$1:G$400,0)),G$2,)</f>
        <v>0</v>
      </c>
      <c r="H67" s="140">
        <f ca="1">IF(ISNUMBER(MATCH(DATEVALUE($A67),'changes1_based on steps'!H$1:H$400,0)),H$2,)</f>
        <v>0</v>
      </c>
      <c r="I67" s="140">
        <f ca="1">IF(ISNUMBER(MATCH(DATEVALUE($A67),'changes1_based on steps'!I$1:I$400,0)),I$2,)</f>
        <v>0</v>
      </c>
      <c r="J67" s="140">
        <f ca="1">IF(ISNUMBER(MATCH(DATEVALUE($A67),'changes1_based on steps'!J$1:J$400,0)),J$2,)</f>
        <v>0</v>
      </c>
      <c r="K67" s="140">
        <f ca="1">IF(ISNUMBER(MATCH(DATEVALUE($A67),'changes1_based on steps'!K$1:K$400,0)),K$2,)</f>
        <v>0</v>
      </c>
      <c r="L67" s="140">
        <f ca="1">IF(ISNUMBER(MATCH(DATEVALUE($A67),'changes1_based on steps'!L$1:L$400,0)),L$2,)</f>
        <v>0</v>
      </c>
      <c r="M67" s="140">
        <f ca="1">IF(ISNUMBER(MATCH(DATEVALUE($A67),'changes1_based on steps'!M$1:M$400,0)),M$2,)</f>
        <v>0</v>
      </c>
      <c r="N67" s="140">
        <f ca="1">IF(ISNUMBER(MATCH(DATEVALUE($A67),'changes1_based on steps'!N$1:N$400,0)),N$2,)</f>
        <v>0</v>
      </c>
      <c r="O67" s="140">
        <f ca="1">IF(ISNUMBER(MATCH(DATEVALUE($A67),'changes1_based on steps'!O$1:O$400,0)),O$2,)</f>
        <v>0</v>
      </c>
      <c r="P67" s="140">
        <f ca="1">IF(ISNUMBER(MATCH(DATEVALUE($A67),'changes1_based on steps'!P$1:P$400,0)),P$2,)</f>
        <v>0</v>
      </c>
      <c r="Q67" s="140">
        <f ca="1">IF(ISNUMBER(MATCH(DATEVALUE($A67),'changes1_based on steps'!Q$1:Q$400,0)),Q$2,)</f>
        <v>0</v>
      </c>
      <c r="R67" s="140">
        <f ca="1">IF(ISNUMBER(MATCH(DATEVALUE($A67),'changes1_based on steps'!R$1:R$400,0)),R$2,)</f>
        <v>0</v>
      </c>
      <c r="S67" s="140">
        <f ca="1">IF(ISNUMBER(MATCH(DATEVALUE($A67),'changes1_based on steps'!S$1:S$400,0)),S$2,)</f>
        <v>0</v>
      </c>
      <c r="T67" s="140">
        <f ca="1">IF(ISNUMBER(MATCH(DATEVALUE($A67),'changes1_based on steps'!T$1:T$400,0)),T$2,)</f>
        <v>0</v>
      </c>
      <c r="U67" s="140">
        <f ca="1">IF(ISNUMBER(MATCH(DATEVALUE($A67),'changes1_based on steps'!U$1:U$400,0)),U$2,)</f>
        <v>0</v>
      </c>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c r="CG67" s="140"/>
      <c r="CH67" s="140"/>
      <c r="CI67" s="140"/>
      <c r="CJ67" s="140"/>
      <c r="CK67" s="140"/>
      <c r="CL67" s="140"/>
      <c r="CM67" s="140"/>
      <c r="CN67" s="140"/>
      <c r="CO67" s="140"/>
      <c r="CP67" s="140"/>
      <c r="CQ67" s="140"/>
      <c r="CR67" s="140"/>
      <c r="CS67" s="140"/>
      <c r="CT67" s="140"/>
      <c r="CU67" s="140"/>
      <c r="CV67" s="140"/>
      <c r="CW67" s="140"/>
    </row>
    <row r="68" spans="1:101" x14ac:dyDescent="0.2">
      <c r="A68" s="29" t="str">
        <f t="shared" ca="1" si="0"/>
        <v>2025-05-31</v>
      </c>
      <c r="B68" s="140">
        <f ca="1">IF(ISNUMBER(MATCH(DATEVALUE($A68),'changes1_based on steps'!B$1:B$400,0)),B$2,)</f>
        <v>0</v>
      </c>
      <c r="C68" s="140">
        <f ca="1">IF(ISNUMBER(MATCH(DATEVALUE($A68),'changes1_based on steps'!C$1:C$400,0)),C$2,)</f>
        <v>0</v>
      </c>
      <c r="D68" s="140">
        <f ca="1">IF(ISNUMBER(MATCH(DATEVALUE($A68),'changes1_based on steps'!D$1:D$400,0)),D$2,)</f>
        <v>0</v>
      </c>
      <c r="E68" s="140">
        <f ca="1">IF(ISNUMBER(MATCH(DATEVALUE($A68),'changes1_based on steps'!E$1:E$400,0)),E$2,)</f>
        <v>0</v>
      </c>
      <c r="F68" s="140">
        <f ca="1">IF(ISNUMBER(MATCH(DATEVALUE($A68),'changes1_based on steps'!F$1:F$400,0)),F$2,)</f>
        <v>0</v>
      </c>
      <c r="G68" s="140">
        <f ca="1">IF(ISNUMBER(MATCH(DATEVALUE($A68),'changes1_based on steps'!G$1:G$400,0)),G$2,)</f>
        <v>0</v>
      </c>
      <c r="H68" s="140">
        <f ca="1">IF(ISNUMBER(MATCH(DATEVALUE($A68),'changes1_based on steps'!H$1:H$400,0)),H$2,)</f>
        <v>0</v>
      </c>
      <c r="I68" s="140">
        <f ca="1">IF(ISNUMBER(MATCH(DATEVALUE($A68),'changes1_based on steps'!I$1:I$400,0)),I$2,)</f>
        <v>0</v>
      </c>
      <c r="J68" s="140">
        <f ca="1">IF(ISNUMBER(MATCH(DATEVALUE($A68),'changes1_based on steps'!J$1:J$400,0)),J$2,)</f>
        <v>0</v>
      </c>
      <c r="K68" s="140">
        <f ca="1">IF(ISNUMBER(MATCH(DATEVALUE($A68),'changes1_based on steps'!K$1:K$400,0)),K$2,)</f>
        <v>0</v>
      </c>
      <c r="L68" s="140">
        <f ca="1">IF(ISNUMBER(MATCH(DATEVALUE($A68),'changes1_based on steps'!L$1:L$400,0)),L$2,)</f>
        <v>0</v>
      </c>
      <c r="M68" s="140">
        <f ca="1">IF(ISNUMBER(MATCH(DATEVALUE($A68),'changes1_based on steps'!M$1:M$400,0)),M$2,)</f>
        <v>0</v>
      </c>
      <c r="N68" s="140">
        <f ca="1">IF(ISNUMBER(MATCH(DATEVALUE($A68),'changes1_based on steps'!N$1:N$400,0)),N$2,)</f>
        <v>0</v>
      </c>
      <c r="O68" s="140">
        <f ca="1">IF(ISNUMBER(MATCH(DATEVALUE($A68),'changes1_based on steps'!O$1:O$400,0)),O$2,)</f>
        <v>0</v>
      </c>
      <c r="P68" s="140">
        <f ca="1">IF(ISNUMBER(MATCH(DATEVALUE($A68),'changes1_based on steps'!P$1:P$400,0)),P$2,)</f>
        <v>0</v>
      </c>
      <c r="Q68" s="140">
        <f ca="1">IF(ISNUMBER(MATCH(DATEVALUE($A68),'changes1_based on steps'!Q$1:Q$400,0)),Q$2,)</f>
        <v>0</v>
      </c>
      <c r="R68" s="140">
        <f ca="1">IF(ISNUMBER(MATCH(DATEVALUE($A68),'changes1_based on steps'!R$1:R$400,0)),R$2,)</f>
        <v>0</v>
      </c>
      <c r="S68" s="140">
        <f ca="1">IF(ISNUMBER(MATCH(DATEVALUE($A68),'changes1_based on steps'!S$1:S$400,0)),S$2,)</f>
        <v>0</v>
      </c>
      <c r="T68" s="140">
        <f ca="1">IF(ISNUMBER(MATCH(DATEVALUE($A68),'changes1_based on steps'!T$1:T$400,0)),T$2,)</f>
        <v>0</v>
      </c>
      <c r="U68" s="140">
        <f ca="1">IF(ISNUMBER(MATCH(DATEVALUE($A68),'changes1_based on steps'!U$1:U$400,0)),U$2,)</f>
        <v>0</v>
      </c>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c r="CC68" s="140"/>
      <c r="CD68" s="140"/>
      <c r="CE68" s="140"/>
      <c r="CF68" s="140"/>
      <c r="CG68" s="140"/>
      <c r="CH68" s="140"/>
      <c r="CI68" s="140"/>
      <c r="CJ68" s="140"/>
      <c r="CK68" s="140"/>
      <c r="CL68" s="140"/>
      <c r="CM68" s="140"/>
      <c r="CN68" s="140"/>
      <c r="CO68" s="140"/>
      <c r="CP68" s="140"/>
      <c r="CQ68" s="140"/>
      <c r="CR68" s="140"/>
      <c r="CS68" s="140"/>
      <c r="CT68" s="140"/>
      <c r="CU68" s="140"/>
      <c r="CV68" s="140"/>
      <c r="CW68" s="140"/>
    </row>
    <row r="69" spans="1:101" x14ac:dyDescent="0.2">
      <c r="A69" s="29" t="str">
        <f t="shared" ref="A69:A132" ca="1" si="1">TEXT(DATEVALUE(A68)+1,"yyyy-mm-dd")</f>
        <v>2025-06-01</v>
      </c>
      <c r="B69" s="140">
        <f ca="1">IF(ISNUMBER(MATCH(DATEVALUE($A69),'changes1_based on steps'!B$1:B$400,0)),B$2,)</f>
        <v>0</v>
      </c>
      <c r="C69" s="140">
        <f ca="1">IF(ISNUMBER(MATCH(DATEVALUE($A69),'changes1_based on steps'!C$1:C$400,0)),C$2,)</f>
        <v>0</v>
      </c>
      <c r="D69" s="140">
        <f ca="1">IF(ISNUMBER(MATCH(DATEVALUE($A69),'changes1_based on steps'!D$1:D$400,0)),D$2,)</f>
        <v>0</v>
      </c>
      <c r="E69" s="140">
        <f ca="1">IF(ISNUMBER(MATCH(DATEVALUE($A69),'changes1_based on steps'!E$1:E$400,0)),E$2,)</f>
        <v>0</v>
      </c>
      <c r="F69" s="140">
        <f ca="1">IF(ISNUMBER(MATCH(DATEVALUE($A69),'changes1_based on steps'!F$1:F$400,0)),F$2,)</f>
        <v>0</v>
      </c>
      <c r="G69" s="140">
        <f ca="1">IF(ISNUMBER(MATCH(DATEVALUE($A69),'changes1_based on steps'!G$1:G$400,0)),G$2,)</f>
        <v>0</v>
      </c>
      <c r="H69" s="140">
        <f ca="1">IF(ISNUMBER(MATCH(DATEVALUE($A69),'changes1_based on steps'!H$1:H$400,0)),H$2,)</f>
        <v>0</v>
      </c>
      <c r="I69" s="140">
        <f ca="1">IF(ISNUMBER(MATCH(DATEVALUE($A69),'changes1_based on steps'!I$1:I$400,0)),I$2,)</f>
        <v>0</v>
      </c>
      <c r="J69" s="140">
        <f ca="1">IF(ISNUMBER(MATCH(DATEVALUE($A69),'changes1_based on steps'!J$1:J$400,0)),J$2,)</f>
        <v>0</v>
      </c>
      <c r="K69" s="140">
        <f ca="1">IF(ISNUMBER(MATCH(DATEVALUE($A69),'changes1_based on steps'!K$1:K$400,0)),K$2,)</f>
        <v>0</v>
      </c>
      <c r="L69" s="140">
        <f ca="1">IF(ISNUMBER(MATCH(DATEVALUE($A69),'changes1_based on steps'!L$1:L$400,0)),L$2,)</f>
        <v>0</v>
      </c>
      <c r="M69" s="140">
        <f ca="1">IF(ISNUMBER(MATCH(DATEVALUE($A69),'changes1_based on steps'!M$1:M$400,0)),M$2,)</f>
        <v>0</v>
      </c>
      <c r="N69" s="140">
        <f ca="1">IF(ISNUMBER(MATCH(DATEVALUE($A69),'changes1_based on steps'!N$1:N$400,0)),N$2,)</f>
        <v>0</v>
      </c>
      <c r="O69" s="140">
        <f ca="1">IF(ISNUMBER(MATCH(DATEVALUE($A69),'changes1_based on steps'!O$1:O$400,0)),O$2,)</f>
        <v>0</v>
      </c>
      <c r="P69" s="140">
        <f ca="1">IF(ISNUMBER(MATCH(DATEVALUE($A69),'changes1_based on steps'!P$1:P$400,0)),P$2,)</f>
        <v>0</v>
      </c>
      <c r="Q69" s="140">
        <f ca="1">IF(ISNUMBER(MATCH(DATEVALUE($A69),'changes1_based on steps'!Q$1:Q$400,0)),Q$2,)</f>
        <v>0</v>
      </c>
      <c r="R69" s="140">
        <f ca="1">IF(ISNUMBER(MATCH(DATEVALUE($A69),'changes1_based on steps'!R$1:R$400,0)),R$2,)</f>
        <v>0</v>
      </c>
      <c r="S69" s="140">
        <f ca="1">IF(ISNUMBER(MATCH(DATEVALUE($A69),'changes1_based on steps'!S$1:S$400,0)),S$2,)</f>
        <v>0</v>
      </c>
      <c r="T69" s="140">
        <f ca="1">IF(ISNUMBER(MATCH(DATEVALUE($A69),'changes1_based on steps'!T$1:T$400,0)),T$2,)</f>
        <v>0</v>
      </c>
      <c r="U69" s="140">
        <f ca="1">IF(ISNUMBER(MATCH(DATEVALUE($A69),'changes1_based on steps'!U$1:U$400,0)),U$2,)</f>
        <v>0</v>
      </c>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c r="CC69" s="140"/>
      <c r="CD69" s="140"/>
      <c r="CE69" s="140"/>
      <c r="CF69" s="140"/>
      <c r="CG69" s="140"/>
      <c r="CH69" s="140"/>
      <c r="CI69" s="140"/>
      <c r="CJ69" s="140"/>
      <c r="CK69" s="140"/>
      <c r="CL69" s="140"/>
      <c r="CM69" s="140"/>
      <c r="CN69" s="140"/>
      <c r="CO69" s="140"/>
      <c r="CP69" s="140"/>
      <c r="CQ69" s="140"/>
      <c r="CR69" s="140"/>
      <c r="CS69" s="140"/>
      <c r="CT69" s="140"/>
      <c r="CU69" s="140"/>
      <c r="CV69" s="140"/>
      <c r="CW69" s="140"/>
    </row>
    <row r="70" spans="1:101" x14ac:dyDescent="0.2">
      <c r="A70" s="29" t="str">
        <f t="shared" ca="1" si="1"/>
        <v>2025-06-02</v>
      </c>
      <c r="B70" s="140">
        <f ca="1">IF(ISNUMBER(MATCH(DATEVALUE($A70),'changes1_based on steps'!B$1:B$400,0)),B$2,)</f>
        <v>0</v>
      </c>
      <c r="C70" s="140">
        <f ca="1">IF(ISNUMBER(MATCH(DATEVALUE($A70),'changes1_based on steps'!C$1:C$400,0)),C$2,)</f>
        <v>0</v>
      </c>
      <c r="D70" s="140">
        <f ca="1">IF(ISNUMBER(MATCH(DATEVALUE($A70),'changes1_based on steps'!D$1:D$400,0)),D$2,)</f>
        <v>0</v>
      </c>
      <c r="E70" s="140">
        <f ca="1">IF(ISNUMBER(MATCH(DATEVALUE($A70),'changes1_based on steps'!E$1:E$400,0)),E$2,)</f>
        <v>0</v>
      </c>
      <c r="F70" s="140">
        <f ca="1">IF(ISNUMBER(MATCH(DATEVALUE($A70),'changes1_based on steps'!F$1:F$400,0)),F$2,)</f>
        <v>0</v>
      </c>
      <c r="G70" s="140">
        <f ca="1">IF(ISNUMBER(MATCH(DATEVALUE($A70),'changes1_based on steps'!G$1:G$400,0)),G$2,)</f>
        <v>0</v>
      </c>
      <c r="H70" s="140">
        <f ca="1">IF(ISNUMBER(MATCH(DATEVALUE($A70),'changes1_based on steps'!H$1:H$400,0)),H$2,)</f>
        <v>0</v>
      </c>
      <c r="I70" s="140">
        <f ca="1">IF(ISNUMBER(MATCH(DATEVALUE($A70),'changes1_based on steps'!I$1:I$400,0)),I$2,)</f>
        <v>0</v>
      </c>
      <c r="J70" s="140">
        <f ca="1">IF(ISNUMBER(MATCH(DATEVALUE($A70),'changes1_based on steps'!J$1:J$400,0)),J$2,)</f>
        <v>0</v>
      </c>
      <c r="K70" s="140">
        <f ca="1">IF(ISNUMBER(MATCH(DATEVALUE($A70),'changes1_based on steps'!K$1:K$400,0)),K$2,)</f>
        <v>0</v>
      </c>
      <c r="L70" s="140">
        <f ca="1">IF(ISNUMBER(MATCH(DATEVALUE($A70),'changes1_based on steps'!L$1:L$400,0)),L$2,)</f>
        <v>0</v>
      </c>
      <c r="M70" s="140">
        <f ca="1">IF(ISNUMBER(MATCH(DATEVALUE($A70),'changes1_based on steps'!M$1:M$400,0)),M$2,)</f>
        <v>0</v>
      </c>
      <c r="N70" s="140">
        <f ca="1">IF(ISNUMBER(MATCH(DATEVALUE($A70),'changes1_based on steps'!N$1:N$400,0)),N$2,)</f>
        <v>0</v>
      </c>
      <c r="O70" s="140">
        <f ca="1">IF(ISNUMBER(MATCH(DATEVALUE($A70),'changes1_based on steps'!O$1:O$400,0)),O$2,)</f>
        <v>0</v>
      </c>
      <c r="P70" s="140">
        <f ca="1">IF(ISNUMBER(MATCH(DATEVALUE($A70),'changes1_based on steps'!P$1:P$400,0)),P$2,)</f>
        <v>0</v>
      </c>
      <c r="Q70" s="140">
        <f ca="1">IF(ISNUMBER(MATCH(DATEVALUE($A70),'changes1_based on steps'!Q$1:Q$400,0)),Q$2,)</f>
        <v>0</v>
      </c>
      <c r="R70" s="140">
        <f ca="1">IF(ISNUMBER(MATCH(DATEVALUE($A70),'changes1_based on steps'!R$1:R$400,0)),R$2,)</f>
        <v>0</v>
      </c>
      <c r="S70" s="140">
        <f ca="1">IF(ISNUMBER(MATCH(DATEVALUE($A70),'changes1_based on steps'!S$1:S$400,0)),S$2,)</f>
        <v>0</v>
      </c>
      <c r="T70" s="140">
        <f ca="1">IF(ISNUMBER(MATCH(DATEVALUE($A70),'changes1_based on steps'!T$1:T$400,0)),T$2,)</f>
        <v>0</v>
      </c>
      <c r="U70" s="140">
        <f ca="1">IF(ISNUMBER(MATCH(DATEVALUE($A70),'changes1_based on steps'!U$1:U$400,0)),U$2,)</f>
        <v>0</v>
      </c>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c r="BC70" s="140"/>
      <c r="BD70" s="140"/>
      <c r="BE70" s="140"/>
      <c r="BF70" s="140"/>
      <c r="BG70" s="140"/>
      <c r="BH70" s="140"/>
      <c r="BI70" s="140"/>
      <c r="BJ70" s="140"/>
      <c r="BK70" s="140"/>
      <c r="BL70" s="140"/>
      <c r="BM70" s="140"/>
      <c r="BN70" s="140"/>
      <c r="BO70" s="140"/>
      <c r="BP70" s="140"/>
      <c r="BQ70" s="140"/>
      <c r="BR70" s="140"/>
      <c r="BS70" s="140"/>
      <c r="BT70" s="140"/>
      <c r="BU70" s="140"/>
      <c r="BV70" s="140"/>
      <c r="BW70" s="140"/>
      <c r="BX70" s="140"/>
      <c r="BY70" s="140"/>
      <c r="BZ70" s="140"/>
      <c r="CA70" s="140"/>
      <c r="CB70" s="140"/>
      <c r="CC70" s="140"/>
      <c r="CD70" s="140"/>
      <c r="CE70" s="140"/>
      <c r="CF70" s="140"/>
      <c r="CG70" s="140"/>
      <c r="CH70" s="140"/>
      <c r="CI70" s="140"/>
      <c r="CJ70" s="140"/>
      <c r="CK70" s="140"/>
      <c r="CL70" s="140"/>
      <c r="CM70" s="140"/>
      <c r="CN70" s="140"/>
      <c r="CO70" s="140"/>
      <c r="CP70" s="140"/>
      <c r="CQ70" s="140"/>
      <c r="CR70" s="140"/>
      <c r="CS70" s="140"/>
      <c r="CT70" s="140"/>
      <c r="CU70" s="140"/>
      <c r="CV70" s="140"/>
      <c r="CW70" s="140"/>
    </row>
    <row r="71" spans="1:101" x14ac:dyDescent="0.2">
      <c r="A71" s="29" t="str">
        <f t="shared" ca="1" si="1"/>
        <v>2025-06-03</v>
      </c>
      <c r="B71" s="140">
        <f ca="1">IF(ISNUMBER(MATCH(DATEVALUE($A71),'changes1_based on steps'!B$1:B$400,0)),B$2,)</f>
        <v>0</v>
      </c>
      <c r="C71" s="140">
        <f ca="1">IF(ISNUMBER(MATCH(DATEVALUE($A71),'changes1_based on steps'!C$1:C$400,0)),C$2,)</f>
        <v>0</v>
      </c>
      <c r="D71" s="140">
        <f ca="1">IF(ISNUMBER(MATCH(DATEVALUE($A71),'changes1_based on steps'!D$1:D$400,0)),D$2,)</f>
        <v>0</v>
      </c>
      <c r="E71" s="140">
        <f ca="1">IF(ISNUMBER(MATCH(DATEVALUE($A71),'changes1_based on steps'!E$1:E$400,0)),E$2,)</f>
        <v>0</v>
      </c>
      <c r="F71" s="140">
        <f ca="1">IF(ISNUMBER(MATCH(DATEVALUE($A71),'changes1_based on steps'!F$1:F$400,0)),F$2,)</f>
        <v>0</v>
      </c>
      <c r="G71" s="140">
        <f ca="1">IF(ISNUMBER(MATCH(DATEVALUE($A71),'changes1_based on steps'!G$1:G$400,0)),G$2,)</f>
        <v>0</v>
      </c>
      <c r="H71" s="140">
        <f ca="1">IF(ISNUMBER(MATCH(DATEVALUE($A71),'changes1_based on steps'!H$1:H$400,0)),H$2,)</f>
        <v>0</v>
      </c>
      <c r="I71" s="140">
        <f ca="1">IF(ISNUMBER(MATCH(DATEVALUE($A71),'changes1_based on steps'!I$1:I$400,0)),I$2,)</f>
        <v>0</v>
      </c>
      <c r="J71" s="140">
        <f ca="1">IF(ISNUMBER(MATCH(DATEVALUE($A71),'changes1_based on steps'!J$1:J$400,0)),J$2,)</f>
        <v>0</v>
      </c>
      <c r="K71" s="140">
        <f ca="1">IF(ISNUMBER(MATCH(DATEVALUE($A71),'changes1_based on steps'!K$1:K$400,0)),K$2,)</f>
        <v>0</v>
      </c>
      <c r="L71" s="140">
        <f ca="1">IF(ISNUMBER(MATCH(DATEVALUE($A71),'changes1_based on steps'!L$1:L$400,0)),L$2,)</f>
        <v>0</v>
      </c>
      <c r="M71" s="140">
        <f ca="1">IF(ISNUMBER(MATCH(DATEVALUE($A71),'changes1_based on steps'!M$1:M$400,0)),M$2,)</f>
        <v>0</v>
      </c>
      <c r="N71" s="140">
        <f ca="1">IF(ISNUMBER(MATCH(DATEVALUE($A71),'changes1_based on steps'!N$1:N$400,0)),N$2,)</f>
        <v>0</v>
      </c>
      <c r="O71" s="140">
        <f ca="1">IF(ISNUMBER(MATCH(DATEVALUE($A71),'changes1_based on steps'!O$1:O$400,0)),O$2,)</f>
        <v>0</v>
      </c>
      <c r="P71" s="140">
        <f ca="1">IF(ISNUMBER(MATCH(DATEVALUE($A71),'changes1_based on steps'!P$1:P$400,0)),P$2,)</f>
        <v>0</v>
      </c>
      <c r="Q71" s="140">
        <f ca="1">IF(ISNUMBER(MATCH(DATEVALUE($A71),'changes1_based on steps'!Q$1:Q$400,0)),Q$2,)</f>
        <v>0</v>
      </c>
      <c r="R71" s="140">
        <f ca="1">IF(ISNUMBER(MATCH(DATEVALUE($A71),'changes1_based on steps'!R$1:R$400,0)),R$2,)</f>
        <v>0</v>
      </c>
      <c r="S71" s="140">
        <f ca="1">IF(ISNUMBER(MATCH(DATEVALUE($A71),'changes1_based on steps'!S$1:S$400,0)),S$2,)</f>
        <v>0</v>
      </c>
      <c r="T71" s="140">
        <f ca="1">IF(ISNUMBER(MATCH(DATEVALUE($A71),'changes1_based on steps'!T$1:T$400,0)),T$2,)</f>
        <v>0</v>
      </c>
      <c r="U71" s="140">
        <f ca="1">IF(ISNUMBER(MATCH(DATEVALUE($A71),'changes1_based on steps'!U$1:U$400,0)),U$2,)</f>
        <v>0</v>
      </c>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c r="BS71" s="140"/>
      <c r="BT71" s="140"/>
      <c r="BU71" s="140"/>
      <c r="BV71" s="140"/>
      <c r="BW71" s="140"/>
      <c r="BX71" s="140"/>
      <c r="BY71" s="140"/>
      <c r="BZ71" s="140"/>
      <c r="CA71" s="140"/>
      <c r="CB71" s="140"/>
      <c r="CC71" s="140"/>
      <c r="CD71" s="140"/>
      <c r="CE71" s="140"/>
      <c r="CF71" s="140"/>
      <c r="CG71" s="140"/>
      <c r="CH71" s="140"/>
      <c r="CI71" s="140"/>
      <c r="CJ71" s="140"/>
      <c r="CK71" s="140"/>
      <c r="CL71" s="140"/>
      <c r="CM71" s="140"/>
      <c r="CN71" s="140"/>
      <c r="CO71" s="140"/>
      <c r="CP71" s="140"/>
      <c r="CQ71" s="140"/>
      <c r="CR71" s="140"/>
      <c r="CS71" s="140"/>
      <c r="CT71" s="140"/>
      <c r="CU71" s="140"/>
      <c r="CV71" s="140"/>
      <c r="CW71" s="140"/>
    </row>
    <row r="72" spans="1:101" x14ac:dyDescent="0.2">
      <c r="A72" s="29" t="str">
        <f t="shared" ca="1" si="1"/>
        <v>2025-06-04</v>
      </c>
      <c r="B72" s="140">
        <f ca="1">IF(ISNUMBER(MATCH(DATEVALUE($A72),'changes1_based on steps'!B$1:B$400,0)),B$2,)</f>
        <v>0</v>
      </c>
      <c r="C72" s="140">
        <f ca="1">IF(ISNUMBER(MATCH(DATEVALUE($A72),'changes1_based on steps'!C$1:C$400,0)),C$2,)</f>
        <v>0</v>
      </c>
      <c r="D72" s="140">
        <f ca="1">IF(ISNUMBER(MATCH(DATEVALUE($A72),'changes1_based on steps'!D$1:D$400,0)),D$2,)</f>
        <v>0</v>
      </c>
      <c r="E72" s="140">
        <f ca="1">IF(ISNUMBER(MATCH(DATEVALUE($A72),'changes1_based on steps'!E$1:E$400,0)),E$2,)</f>
        <v>0</v>
      </c>
      <c r="F72" s="140">
        <f ca="1">IF(ISNUMBER(MATCH(DATEVALUE($A72),'changes1_based on steps'!F$1:F$400,0)),F$2,)</f>
        <v>0</v>
      </c>
      <c r="G72" s="140">
        <f ca="1">IF(ISNUMBER(MATCH(DATEVALUE($A72),'changes1_based on steps'!G$1:G$400,0)),G$2,)</f>
        <v>0</v>
      </c>
      <c r="H72" s="140">
        <f ca="1">IF(ISNUMBER(MATCH(DATEVALUE($A72),'changes1_based on steps'!H$1:H$400,0)),H$2,)</f>
        <v>0</v>
      </c>
      <c r="I72" s="140">
        <f ca="1">IF(ISNUMBER(MATCH(DATEVALUE($A72),'changes1_based on steps'!I$1:I$400,0)),I$2,)</f>
        <v>0</v>
      </c>
      <c r="J72" s="140">
        <f ca="1">IF(ISNUMBER(MATCH(DATEVALUE($A72),'changes1_based on steps'!J$1:J$400,0)),J$2,)</f>
        <v>0</v>
      </c>
      <c r="K72" s="140">
        <f ca="1">IF(ISNUMBER(MATCH(DATEVALUE($A72),'changes1_based on steps'!K$1:K$400,0)),K$2,)</f>
        <v>0</v>
      </c>
      <c r="L72" s="140">
        <f ca="1">IF(ISNUMBER(MATCH(DATEVALUE($A72),'changes1_based on steps'!L$1:L$400,0)),L$2,)</f>
        <v>0</v>
      </c>
      <c r="M72" s="140">
        <f ca="1">IF(ISNUMBER(MATCH(DATEVALUE($A72),'changes1_based on steps'!M$1:M$400,0)),M$2,)</f>
        <v>0</v>
      </c>
      <c r="N72" s="140">
        <f ca="1">IF(ISNUMBER(MATCH(DATEVALUE($A72),'changes1_based on steps'!N$1:N$400,0)),N$2,)</f>
        <v>0</v>
      </c>
      <c r="O72" s="140">
        <f ca="1">IF(ISNUMBER(MATCH(DATEVALUE($A72),'changes1_based on steps'!O$1:O$400,0)),O$2,)</f>
        <v>0</v>
      </c>
      <c r="P72" s="140">
        <f ca="1">IF(ISNUMBER(MATCH(DATEVALUE($A72),'changes1_based on steps'!P$1:P$400,0)),P$2,)</f>
        <v>0</v>
      </c>
      <c r="Q72" s="140">
        <f ca="1">IF(ISNUMBER(MATCH(DATEVALUE($A72),'changes1_based on steps'!Q$1:Q$400,0)),Q$2,)</f>
        <v>0</v>
      </c>
      <c r="R72" s="140">
        <f ca="1">IF(ISNUMBER(MATCH(DATEVALUE($A72),'changes1_based on steps'!R$1:R$400,0)),R$2,)</f>
        <v>0</v>
      </c>
      <c r="S72" s="140">
        <f ca="1">IF(ISNUMBER(MATCH(DATEVALUE($A72),'changes1_based on steps'!S$1:S$400,0)),S$2,)</f>
        <v>0</v>
      </c>
      <c r="T72" s="140">
        <f ca="1">IF(ISNUMBER(MATCH(DATEVALUE($A72),'changes1_based on steps'!T$1:T$400,0)),T$2,)</f>
        <v>0</v>
      </c>
      <c r="U72" s="140">
        <f ca="1">IF(ISNUMBER(MATCH(DATEVALUE($A72),'changes1_based on steps'!U$1:U$400,0)),U$2,)</f>
        <v>0</v>
      </c>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c r="CG72" s="140"/>
      <c r="CH72" s="140"/>
      <c r="CI72" s="140"/>
      <c r="CJ72" s="140"/>
      <c r="CK72" s="140"/>
      <c r="CL72" s="140"/>
      <c r="CM72" s="140"/>
      <c r="CN72" s="140"/>
      <c r="CO72" s="140"/>
      <c r="CP72" s="140"/>
      <c r="CQ72" s="140"/>
      <c r="CR72" s="140"/>
      <c r="CS72" s="140"/>
      <c r="CT72" s="140"/>
      <c r="CU72" s="140"/>
      <c r="CV72" s="140"/>
      <c r="CW72" s="140"/>
    </row>
    <row r="73" spans="1:101" x14ac:dyDescent="0.2">
      <c r="A73" s="29" t="str">
        <f t="shared" ca="1" si="1"/>
        <v>2025-06-05</v>
      </c>
      <c r="B73" s="140">
        <f ca="1">IF(ISNUMBER(MATCH(DATEVALUE($A73),'changes1_based on steps'!B$1:B$400,0)),B$2,)</f>
        <v>0</v>
      </c>
      <c r="C73" s="140">
        <f ca="1">IF(ISNUMBER(MATCH(DATEVALUE($A73),'changes1_based on steps'!C$1:C$400,0)),C$2,)</f>
        <v>0</v>
      </c>
      <c r="D73" s="140">
        <f ca="1">IF(ISNUMBER(MATCH(DATEVALUE($A73),'changes1_based on steps'!D$1:D$400,0)),D$2,)</f>
        <v>0</v>
      </c>
      <c r="E73" s="140">
        <f ca="1">IF(ISNUMBER(MATCH(DATEVALUE($A73),'changes1_based on steps'!E$1:E$400,0)),E$2,)</f>
        <v>0</v>
      </c>
      <c r="F73" s="140">
        <f ca="1">IF(ISNUMBER(MATCH(DATEVALUE($A73),'changes1_based on steps'!F$1:F$400,0)),F$2,)</f>
        <v>0</v>
      </c>
      <c r="G73" s="140">
        <f ca="1">IF(ISNUMBER(MATCH(DATEVALUE($A73),'changes1_based on steps'!G$1:G$400,0)),G$2,)</f>
        <v>0</v>
      </c>
      <c r="H73" s="140">
        <f ca="1">IF(ISNUMBER(MATCH(DATEVALUE($A73),'changes1_based on steps'!H$1:H$400,0)),H$2,)</f>
        <v>0</v>
      </c>
      <c r="I73" s="140">
        <f ca="1">IF(ISNUMBER(MATCH(DATEVALUE($A73),'changes1_based on steps'!I$1:I$400,0)),I$2,)</f>
        <v>0</v>
      </c>
      <c r="J73" s="140">
        <f ca="1">IF(ISNUMBER(MATCH(DATEVALUE($A73),'changes1_based on steps'!J$1:J$400,0)),J$2,)</f>
        <v>0</v>
      </c>
      <c r="K73" s="140">
        <f ca="1">IF(ISNUMBER(MATCH(DATEVALUE($A73),'changes1_based on steps'!K$1:K$400,0)),K$2,)</f>
        <v>0</v>
      </c>
      <c r="L73" s="140">
        <f ca="1">IF(ISNUMBER(MATCH(DATEVALUE($A73),'changes1_based on steps'!L$1:L$400,0)),L$2,)</f>
        <v>0</v>
      </c>
      <c r="M73" s="140">
        <f ca="1">IF(ISNUMBER(MATCH(DATEVALUE($A73),'changes1_based on steps'!M$1:M$400,0)),M$2,)</f>
        <v>0</v>
      </c>
      <c r="N73" s="140">
        <f ca="1">IF(ISNUMBER(MATCH(DATEVALUE($A73),'changes1_based on steps'!N$1:N$400,0)),N$2,)</f>
        <v>0</v>
      </c>
      <c r="O73" s="140">
        <f ca="1">IF(ISNUMBER(MATCH(DATEVALUE($A73),'changes1_based on steps'!O$1:O$400,0)),O$2,)</f>
        <v>0</v>
      </c>
      <c r="P73" s="140">
        <f ca="1">IF(ISNUMBER(MATCH(DATEVALUE($A73),'changes1_based on steps'!P$1:P$400,0)),P$2,)</f>
        <v>0</v>
      </c>
      <c r="Q73" s="140">
        <f ca="1">IF(ISNUMBER(MATCH(DATEVALUE($A73),'changes1_based on steps'!Q$1:Q$400,0)),Q$2,)</f>
        <v>0</v>
      </c>
      <c r="R73" s="140">
        <f ca="1">IF(ISNUMBER(MATCH(DATEVALUE($A73),'changes1_based on steps'!R$1:R$400,0)),R$2,)</f>
        <v>0</v>
      </c>
      <c r="S73" s="140">
        <f ca="1">IF(ISNUMBER(MATCH(DATEVALUE($A73),'changes1_based on steps'!S$1:S$400,0)),S$2,)</f>
        <v>0</v>
      </c>
      <c r="T73" s="140">
        <f ca="1">IF(ISNUMBER(MATCH(DATEVALUE($A73),'changes1_based on steps'!T$1:T$400,0)),T$2,)</f>
        <v>0</v>
      </c>
      <c r="U73" s="140">
        <f ca="1">IF(ISNUMBER(MATCH(DATEVALUE($A73),'changes1_based on steps'!U$1:U$400,0)),U$2,)</f>
        <v>0</v>
      </c>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c r="CJ73" s="140"/>
      <c r="CK73" s="140"/>
      <c r="CL73" s="140"/>
      <c r="CM73" s="140"/>
      <c r="CN73" s="140"/>
      <c r="CO73" s="140"/>
      <c r="CP73" s="140"/>
      <c r="CQ73" s="140"/>
      <c r="CR73" s="140"/>
      <c r="CS73" s="140"/>
      <c r="CT73" s="140"/>
      <c r="CU73" s="140"/>
      <c r="CV73" s="140"/>
      <c r="CW73" s="140"/>
    </row>
    <row r="74" spans="1:101" x14ac:dyDescent="0.2">
      <c r="A74" s="29" t="str">
        <f t="shared" ca="1" si="1"/>
        <v>2025-06-06</v>
      </c>
      <c r="B74" s="140">
        <f ca="1">IF(ISNUMBER(MATCH(DATEVALUE($A74),'changes1_based on steps'!B$1:B$400,0)),B$2,)</f>
        <v>0</v>
      </c>
      <c r="C74" s="140">
        <f ca="1">IF(ISNUMBER(MATCH(DATEVALUE($A74),'changes1_based on steps'!C$1:C$400,0)),C$2,)</f>
        <v>0</v>
      </c>
      <c r="D74" s="140">
        <f ca="1">IF(ISNUMBER(MATCH(DATEVALUE($A74),'changes1_based on steps'!D$1:D$400,0)),D$2,)</f>
        <v>0</v>
      </c>
      <c r="E74" s="140">
        <f ca="1">IF(ISNUMBER(MATCH(DATEVALUE($A74),'changes1_based on steps'!E$1:E$400,0)),E$2,)</f>
        <v>0</v>
      </c>
      <c r="F74" s="140">
        <f ca="1">IF(ISNUMBER(MATCH(DATEVALUE($A74),'changes1_based on steps'!F$1:F$400,0)),F$2,)</f>
        <v>0</v>
      </c>
      <c r="G74" s="140">
        <f ca="1">IF(ISNUMBER(MATCH(DATEVALUE($A74),'changes1_based on steps'!G$1:G$400,0)),G$2,)</f>
        <v>0</v>
      </c>
      <c r="H74" s="140">
        <f ca="1">IF(ISNUMBER(MATCH(DATEVALUE($A74),'changes1_based on steps'!H$1:H$400,0)),H$2,)</f>
        <v>0</v>
      </c>
      <c r="I74" s="140">
        <f ca="1">IF(ISNUMBER(MATCH(DATEVALUE($A74),'changes1_based on steps'!I$1:I$400,0)),I$2,)</f>
        <v>0</v>
      </c>
      <c r="J74" s="140">
        <f ca="1">IF(ISNUMBER(MATCH(DATEVALUE($A74),'changes1_based on steps'!J$1:J$400,0)),J$2,)</f>
        <v>0</v>
      </c>
      <c r="K74" s="140">
        <f ca="1">IF(ISNUMBER(MATCH(DATEVALUE($A74),'changes1_based on steps'!K$1:K$400,0)),K$2,)</f>
        <v>0</v>
      </c>
      <c r="L74" s="140">
        <f ca="1">IF(ISNUMBER(MATCH(DATEVALUE($A74),'changes1_based on steps'!L$1:L$400,0)),L$2,)</f>
        <v>0</v>
      </c>
      <c r="M74" s="140">
        <f ca="1">IF(ISNUMBER(MATCH(DATEVALUE($A74),'changes1_based on steps'!M$1:M$400,0)),M$2,)</f>
        <v>0</v>
      </c>
      <c r="N74" s="140">
        <f ca="1">IF(ISNUMBER(MATCH(DATEVALUE($A74),'changes1_based on steps'!N$1:N$400,0)),N$2,)</f>
        <v>0</v>
      </c>
      <c r="O74" s="140">
        <f ca="1">IF(ISNUMBER(MATCH(DATEVALUE($A74),'changes1_based on steps'!O$1:O$400,0)),O$2,)</f>
        <v>0</v>
      </c>
      <c r="P74" s="140">
        <f ca="1">IF(ISNUMBER(MATCH(DATEVALUE($A74),'changes1_based on steps'!P$1:P$400,0)),P$2,)</f>
        <v>0</v>
      </c>
      <c r="Q74" s="140">
        <f ca="1">IF(ISNUMBER(MATCH(DATEVALUE($A74),'changes1_based on steps'!Q$1:Q$400,0)),Q$2,)</f>
        <v>0</v>
      </c>
      <c r="R74" s="140">
        <f ca="1">IF(ISNUMBER(MATCH(DATEVALUE($A74),'changes1_based on steps'!R$1:R$400,0)),R$2,)</f>
        <v>0</v>
      </c>
      <c r="S74" s="140">
        <f ca="1">IF(ISNUMBER(MATCH(DATEVALUE($A74),'changes1_based on steps'!S$1:S$400,0)),S$2,)</f>
        <v>0</v>
      </c>
      <c r="T74" s="140">
        <f ca="1">IF(ISNUMBER(MATCH(DATEVALUE($A74),'changes1_based on steps'!T$1:T$400,0)),T$2,)</f>
        <v>0</v>
      </c>
      <c r="U74" s="140">
        <f ca="1">IF(ISNUMBER(MATCH(DATEVALUE($A74),'changes1_based on steps'!U$1:U$400,0)),U$2,)</f>
        <v>0</v>
      </c>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c r="CG74" s="140"/>
      <c r="CH74" s="140"/>
      <c r="CI74" s="140"/>
      <c r="CJ74" s="140"/>
      <c r="CK74" s="140"/>
      <c r="CL74" s="140"/>
      <c r="CM74" s="140"/>
      <c r="CN74" s="140"/>
      <c r="CO74" s="140"/>
      <c r="CP74" s="140"/>
      <c r="CQ74" s="140"/>
      <c r="CR74" s="140"/>
      <c r="CS74" s="140"/>
      <c r="CT74" s="140"/>
      <c r="CU74" s="140"/>
      <c r="CV74" s="140"/>
      <c r="CW74" s="140"/>
    </row>
    <row r="75" spans="1:101" x14ac:dyDescent="0.2">
      <c r="A75" s="29" t="str">
        <f t="shared" ca="1" si="1"/>
        <v>2025-06-07</v>
      </c>
      <c r="B75" s="140">
        <f ca="1">IF(ISNUMBER(MATCH(DATEVALUE($A75),'changes1_based on steps'!B$1:B$400,0)),B$2,)</f>
        <v>0</v>
      </c>
      <c r="C75" s="140">
        <f ca="1">IF(ISNUMBER(MATCH(DATEVALUE($A75),'changes1_based on steps'!C$1:C$400,0)),C$2,)</f>
        <v>0</v>
      </c>
      <c r="D75" s="140">
        <f ca="1">IF(ISNUMBER(MATCH(DATEVALUE($A75),'changes1_based on steps'!D$1:D$400,0)),D$2,)</f>
        <v>0</v>
      </c>
      <c r="E75" s="140">
        <f ca="1">IF(ISNUMBER(MATCH(DATEVALUE($A75),'changes1_based on steps'!E$1:E$400,0)),E$2,)</f>
        <v>0</v>
      </c>
      <c r="F75" s="140">
        <f ca="1">IF(ISNUMBER(MATCH(DATEVALUE($A75),'changes1_based on steps'!F$1:F$400,0)),F$2,)</f>
        <v>0</v>
      </c>
      <c r="G75" s="140">
        <f ca="1">IF(ISNUMBER(MATCH(DATEVALUE($A75),'changes1_based on steps'!G$1:G$400,0)),G$2,)</f>
        <v>0</v>
      </c>
      <c r="H75" s="140">
        <f ca="1">IF(ISNUMBER(MATCH(DATEVALUE($A75),'changes1_based on steps'!H$1:H$400,0)),H$2,)</f>
        <v>0</v>
      </c>
      <c r="I75" s="140">
        <f ca="1">IF(ISNUMBER(MATCH(DATEVALUE($A75),'changes1_based on steps'!I$1:I$400,0)),I$2,)</f>
        <v>0</v>
      </c>
      <c r="J75" s="140">
        <f ca="1">IF(ISNUMBER(MATCH(DATEVALUE($A75),'changes1_based on steps'!J$1:J$400,0)),J$2,)</f>
        <v>0</v>
      </c>
      <c r="K75" s="140">
        <f ca="1">IF(ISNUMBER(MATCH(DATEVALUE($A75),'changes1_based on steps'!K$1:K$400,0)),K$2,)</f>
        <v>0</v>
      </c>
      <c r="L75" s="140">
        <f ca="1">IF(ISNUMBER(MATCH(DATEVALUE($A75),'changes1_based on steps'!L$1:L$400,0)),L$2,)</f>
        <v>0</v>
      </c>
      <c r="M75" s="140">
        <f ca="1">IF(ISNUMBER(MATCH(DATEVALUE($A75),'changes1_based on steps'!M$1:M$400,0)),M$2,)</f>
        <v>0</v>
      </c>
      <c r="N75" s="140">
        <f ca="1">IF(ISNUMBER(MATCH(DATEVALUE($A75),'changes1_based on steps'!N$1:N$400,0)),N$2,)</f>
        <v>0</v>
      </c>
      <c r="O75" s="140">
        <f ca="1">IF(ISNUMBER(MATCH(DATEVALUE($A75),'changes1_based on steps'!O$1:O$400,0)),O$2,)</f>
        <v>0</v>
      </c>
      <c r="P75" s="140">
        <f ca="1">IF(ISNUMBER(MATCH(DATEVALUE($A75),'changes1_based on steps'!P$1:P$400,0)),P$2,)</f>
        <v>0</v>
      </c>
      <c r="Q75" s="140">
        <f ca="1">IF(ISNUMBER(MATCH(DATEVALUE($A75),'changes1_based on steps'!Q$1:Q$400,0)),Q$2,)</f>
        <v>0</v>
      </c>
      <c r="R75" s="140">
        <f ca="1">IF(ISNUMBER(MATCH(DATEVALUE($A75),'changes1_based on steps'!R$1:R$400,0)),R$2,)</f>
        <v>0</v>
      </c>
      <c r="S75" s="140">
        <f ca="1">IF(ISNUMBER(MATCH(DATEVALUE($A75),'changes1_based on steps'!S$1:S$400,0)),S$2,)</f>
        <v>0</v>
      </c>
      <c r="T75" s="140">
        <f ca="1">IF(ISNUMBER(MATCH(DATEVALUE($A75),'changes1_based on steps'!T$1:T$400,0)),T$2,)</f>
        <v>0</v>
      </c>
      <c r="U75" s="140">
        <f ca="1">IF(ISNUMBER(MATCH(DATEVALUE($A75),'changes1_based on steps'!U$1:U$400,0)),U$2,)</f>
        <v>0</v>
      </c>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c r="CH75" s="140"/>
      <c r="CI75" s="140"/>
      <c r="CJ75" s="140"/>
      <c r="CK75" s="140"/>
      <c r="CL75" s="140"/>
      <c r="CM75" s="140"/>
      <c r="CN75" s="140"/>
      <c r="CO75" s="140"/>
      <c r="CP75" s="140"/>
      <c r="CQ75" s="140"/>
      <c r="CR75" s="140"/>
      <c r="CS75" s="140"/>
      <c r="CT75" s="140"/>
      <c r="CU75" s="140"/>
      <c r="CV75" s="140"/>
      <c r="CW75" s="140"/>
    </row>
    <row r="76" spans="1:101" x14ac:dyDescent="0.2">
      <c r="A76" s="29" t="str">
        <f t="shared" ca="1" si="1"/>
        <v>2025-06-08</v>
      </c>
      <c r="B76" s="140">
        <f ca="1">IF(ISNUMBER(MATCH(DATEVALUE($A76),'changes1_based on steps'!B$1:B$400,0)),B$2,)</f>
        <v>0</v>
      </c>
      <c r="C76" s="140">
        <f ca="1">IF(ISNUMBER(MATCH(DATEVALUE($A76),'changes1_based on steps'!C$1:C$400,0)),C$2,)</f>
        <v>0</v>
      </c>
      <c r="D76" s="140">
        <f ca="1">IF(ISNUMBER(MATCH(DATEVALUE($A76),'changes1_based on steps'!D$1:D$400,0)),D$2,)</f>
        <v>0</v>
      </c>
      <c r="E76" s="140">
        <f ca="1">IF(ISNUMBER(MATCH(DATEVALUE($A76),'changes1_based on steps'!E$1:E$400,0)),E$2,)</f>
        <v>0</v>
      </c>
      <c r="F76" s="140">
        <f ca="1">IF(ISNUMBER(MATCH(DATEVALUE($A76),'changes1_based on steps'!F$1:F$400,0)),F$2,)</f>
        <v>0</v>
      </c>
      <c r="G76" s="140">
        <f ca="1">IF(ISNUMBER(MATCH(DATEVALUE($A76),'changes1_based on steps'!G$1:G$400,0)),G$2,)</f>
        <v>0</v>
      </c>
      <c r="H76" s="140">
        <f ca="1">IF(ISNUMBER(MATCH(DATEVALUE($A76),'changes1_based on steps'!H$1:H$400,0)),H$2,)</f>
        <v>0</v>
      </c>
      <c r="I76" s="140">
        <f ca="1">IF(ISNUMBER(MATCH(DATEVALUE($A76),'changes1_based on steps'!I$1:I$400,0)),I$2,)</f>
        <v>0</v>
      </c>
      <c r="J76" s="140">
        <f ca="1">IF(ISNUMBER(MATCH(DATEVALUE($A76),'changes1_based on steps'!J$1:J$400,0)),J$2,)</f>
        <v>0</v>
      </c>
      <c r="K76" s="140">
        <f ca="1">IF(ISNUMBER(MATCH(DATEVALUE($A76),'changes1_based on steps'!K$1:K$400,0)),K$2,)</f>
        <v>0</v>
      </c>
      <c r="L76" s="140">
        <f ca="1">IF(ISNUMBER(MATCH(DATEVALUE($A76),'changes1_based on steps'!L$1:L$400,0)),L$2,)</f>
        <v>0</v>
      </c>
      <c r="M76" s="140">
        <f ca="1">IF(ISNUMBER(MATCH(DATEVALUE($A76),'changes1_based on steps'!M$1:M$400,0)),M$2,)</f>
        <v>0</v>
      </c>
      <c r="N76" s="140">
        <f ca="1">IF(ISNUMBER(MATCH(DATEVALUE($A76),'changes1_based on steps'!N$1:N$400,0)),N$2,)</f>
        <v>0</v>
      </c>
      <c r="O76" s="140">
        <f ca="1">IF(ISNUMBER(MATCH(DATEVALUE($A76),'changes1_based on steps'!O$1:O$400,0)),O$2,)</f>
        <v>0</v>
      </c>
      <c r="P76" s="140">
        <f ca="1">IF(ISNUMBER(MATCH(DATEVALUE($A76),'changes1_based on steps'!P$1:P$400,0)),P$2,)</f>
        <v>0</v>
      </c>
      <c r="Q76" s="140">
        <f ca="1">IF(ISNUMBER(MATCH(DATEVALUE($A76),'changes1_based on steps'!Q$1:Q$400,0)),Q$2,)</f>
        <v>0</v>
      </c>
      <c r="R76" s="140">
        <f ca="1">IF(ISNUMBER(MATCH(DATEVALUE($A76),'changes1_based on steps'!R$1:R$400,0)),R$2,)</f>
        <v>0</v>
      </c>
      <c r="S76" s="140">
        <f ca="1">IF(ISNUMBER(MATCH(DATEVALUE($A76),'changes1_based on steps'!S$1:S$400,0)),S$2,)</f>
        <v>0</v>
      </c>
      <c r="T76" s="140">
        <f ca="1">IF(ISNUMBER(MATCH(DATEVALUE($A76),'changes1_based on steps'!T$1:T$400,0)),T$2,)</f>
        <v>0</v>
      </c>
      <c r="U76" s="140">
        <f ca="1">IF(ISNUMBER(MATCH(DATEVALUE($A76),'changes1_based on steps'!U$1:U$400,0)),U$2,)</f>
        <v>0</v>
      </c>
      <c r="V76" s="140"/>
      <c r="W76" s="140"/>
      <c r="X76" s="140"/>
      <c r="Y76" s="140"/>
      <c r="Z76" s="140"/>
      <c r="AA76" s="140"/>
      <c r="AB76" s="140"/>
      <c r="AC76" s="140"/>
      <c r="AD76" s="140"/>
      <c r="AE76" s="140"/>
      <c r="AF76" s="140"/>
      <c r="AG76" s="140"/>
      <c r="AH76" s="140"/>
      <c r="AI76" s="140"/>
      <c r="AJ76" s="140"/>
      <c r="AK76" s="140"/>
      <c r="AL76" s="140"/>
      <c r="AM76" s="140"/>
      <c r="AN76" s="140"/>
      <c r="AO76" s="140"/>
      <c r="AP76" s="140"/>
      <c r="AQ76" s="140"/>
      <c r="AR76" s="140"/>
      <c r="AS76" s="140"/>
      <c r="AT76" s="140"/>
      <c r="AU76" s="140"/>
      <c r="AV76" s="140"/>
      <c r="AW76" s="140"/>
      <c r="AX76" s="140"/>
      <c r="AY76" s="140"/>
      <c r="AZ76" s="140"/>
      <c r="BA76" s="140"/>
      <c r="BB76" s="140"/>
      <c r="BC76" s="140"/>
      <c r="BD76" s="140"/>
      <c r="BE76" s="140"/>
      <c r="BF76" s="140"/>
      <c r="BG76" s="140"/>
      <c r="BH76" s="140"/>
      <c r="BI76" s="140"/>
      <c r="BJ76" s="140"/>
      <c r="BK76" s="140"/>
      <c r="BL76" s="140"/>
      <c r="BM76" s="140"/>
      <c r="BN76" s="140"/>
      <c r="BO76" s="140"/>
      <c r="BP76" s="140"/>
      <c r="BQ76" s="140"/>
      <c r="BR76" s="140"/>
      <c r="BS76" s="140"/>
      <c r="BT76" s="140"/>
      <c r="BU76" s="140"/>
      <c r="BV76" s="140"/>
      <c r="BW76" s="140"/>
      <c r="BX76" s="140"/>
      <c r="BY76" s="140"/>
      <c r="BZ76" s="140"/>
      <c r="CA76" s="140"/>
      <c r="CB76" s="140"/>
      <c r="CC76" s="140"/>
      <c r="CD76" s="140"/>
      <c r="CE76" s="140"/>
      <c r="CF76" s="140"/>
      <c r="CG76" s="140"/>
      <c r="CH76" s="140"/>
      <c r="CI76" s="140"/>
      <c r="CJ76" s="140"/>
      <c r="CK76" s="140"/>
      <c r="CL76" s="140"/>
      <c r="CM76" s="140"/>
      <c r="CN76" s="140"/>
      <c r="CO76" s="140"/>
      <c r="CP76" s="140"/>
      <c r="CQ76" s="140"/>
      <c r="CR76" s="140"/>
      <c r="CS76" s="140"/>
      <c r="CT76" s="140"/>
      <c r="CU76" s="140"/>
      <c r="CV76" s="140"/>
      <c r="CW76" s="140"/>
    </row>
    <row r="77" spans="1:101" x14ac:dyDescent="0.2">
      <c r="A77" s="29" t="str">
        <f t="shared" ca="1" si="1"/>
        <v>2025-06-09</v>
      </c>
      <c r="B77" s="140">
        <f ca="1">IF(ISNUMBER(MATCH(DATEVALUE($A77),'changes1_based on steps'!B$1:B$400,0)),B$2,)</f>
        <v>0</v>
      </c>
      <c r="C77" s="140">
        <f ca="1">IF(ISNUMBER(MATCH(DATEVALUE($A77),'changes1_based on steps'!C$1:C$400,0)),C$2,)</f>
        <v>0</v>
      </c>
      <c r="D77" s="140">
        <f ca="1">IF(ISNUMBER(MATCH(DATEVALUE($A77),'changes1_based on steps'!D$1:D$400,0)),D$2,)</f>
        <v>0</v>
      </c>
      <c r="E77" s="140">
        <f ca="1">IF(ISNUMBER(MATCH(DATEVALUE($A77),'changes1_based on steps'!E$1:E$400,0)),E$2,)</f>
        <v>0</v>
      </c>
      <c r="F77" s="140">
        <f ca="1">IF(ISNUMBER(MATCH(DATEVALUE($A77),'changes1_based on steps'!F$1:F$400,0)),F$2,)</f>
        <v>0</v>
      </c>
      <c r="G77" s="140">
        <f ca="1">IF(ISNUMBER(MATCH(DATEVALUE($A77),'changes1_based on steps'!G$1:G$400,0)),G$2,)</f>
        <v>0</v>
      </c>
      <c r="H77" s="140">
        <f ca="1">IF(ISNUMBER(MATCH(DATEVALUE($A77),'changes1_based on steps'!H$1:H$400,0)),H$2,)</f>
        <v>0</v>
      </c>
      <c r="I77" s="140">
        <f ca="1">IF(ISNUMBER(MATCH(DATEVALUE($A77),'changes1_based on steps'!I$1:I$400,0)),I$2,)</f>
        <v>0</v>
      </c>
      <c r="J77" s="140">
        <f ca="1">IF(ISNUMBER(MATCH(DATEVALUE($A77),'changes1_based on steps'!J$1:J$400,0)),J$2,)</f>
        <v>0</v>
      </c>
      <c r="K77" s="140">
        <f ca="1">IF(ISNUMBER(MATCH(DATEVALUE($A77),'changes1_based on steps'!K$1:K$400,0)),K$2,)</f>
        <v>0</v>
      </c>
      <c r="L77" s="140">
        <f ca="1">IF(ISNUMBER(MATCH(DATEVALUE($A77),'changes1_based on steps'!L$1:L$400,0)),L$2,)</f>
        <v>0</v>
      </c>
      <c r="M77" s="140">
        <f ca="1">IF(ISNUMBER(MATCH(DATEVALUE($A77),'changes1_based on steps'!M$1:M$400,0)),M$2,)</f>
        <v>0</v>
      </c>
      <c r="N77" s="140">
        <f ca="1">IF(ISNUMBER(MATCH(DATEVALUE($A77),'changes1_based on steps'!N$1:N$400,0)),N$2,)</f>
        <v>0</v>
      </c>
      <c r="O77" s="140">
        <f ca="1">IF(ISNUMBER(MATCH(DATEVALUE($A77),'changes1_based on steps'!O$1:O$400,0)),O$2,)</f>
        <v>0</v>
      </c>
      <c r="P77" s="140">
        <f ca="1">IF(ISNUMBER(MATCH(DATEVALUE($A77),'changes1_based on steps'!P$1:P$400,0)),P$2,)</f>
        <v>0</v>
      </c>
      <c r="Q77" s="140">
        <f ca="1">IF(ISNUMBER(MATCH(DATEVALUE($A77),'changes1_based on steps'!Q$1:Q$400,0)),Q$2,)</f>
        <v>0</v>
      </c>
      <c r="R77" s="140">
        <f ca="1">IF(ISNUMBER(MATCH(DATEVALUE($A77),'changes1_based on steps'!R$1:R$400,0)),R$2,)</f>
        <v>0</v>
      </c>
      <c r="S77" s="140">
        <f ca="1">IF(ISNUMBER(MATCH(DATEVALUE($A77),'changes1_based on steps'!S$1:S$400,0)),S$2,)</f>
        <v>0</v>
      </c>
      <c r="T77" s="140">
        <f ca="1">IF(ISNUMBER(MATCH(DATEVALUE($A77),'changes1_based on steps'!T$1:T$400,0)),T$2,)</f>
        <v>0</v>
      </c>
      <c r="U77" s="140">
        <f ca="1">IF(ISNUMBER(MATCH(DATEVALUE($A77),'changes1_based on steps'!U$1:U$400,0)),U$2,)</f>
        <v>0</v>
      </c>
      <c r="V77" s="140"/>
      <c r="W77" s="140"/>
      <c r="X77" s="140"/>
      <c r="Y77" s="140"/>
      <c r="Z77" s="140"/>
      <c r="AA77" s="140"/>
      <c r="AB77" s="140"/>
      <c r="AC77" s="140"/>
      <c r="AD77" s="140"/>
      <c r="AE77" s="140"/>
      <c r="AF77" s="140"/>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c r="BC77" s="140"/>
      <c r="BD77" s="140"/>
      <c r="BE77" s="140"/>
      <c r="BF77" s="140"/>
      <c r="BG77" s="140"/>
      <c r="BH77" s="140"/>
      <c r="BI77" s="140"/>
      <c r="BJ77" s="140"/>
      <c r="BK77" s="140"/>
      <c r="BL77" s="140"/>
      <c r="BM77" s="140"/>
      <c r="BN77" s="140"/>
      <c r="BO77" s="140"/>
      <c r="BP77" s="140"/>
      <c r="BQ77" s="140"/>
      <c r="BR77" s="140"/>
      <c r="BS77" s="140"/>
      <c r="BT77" s="140"/>
      <c r="BU77" s="140"/>
      <c r="BV77" s="140"/>
      <c r="BW77" s="140"/>
      <c r="BX77" s="140"/>
      <c r="BY77" s="140"/>
      <c r="BZ77" s="140"/>
      <c r="CA77" s="140"/>
      <c r="CB77" s="140"/>
      <c r="CC77" s="140"/>
      <c r="CD77" s="140"/>
      <c r="CE77" s="140"/>
      <c r="CF77" s="140"/>
      <c r="CG77" s="140"/>
      <c r="CH77" s="140"/>
      <c r="CI77" s="140"/>
      <c r="CJ77" s="140"/>
      <c r="CK77" s="140"/>
      <c r="CL77" s="140"/>
      <c r="CM77" s="140"/>
      <c r="CN77" s="140"/>
      <c r="CO77" s="140"/>
      <c r="CP77" s="140"/>
      <c r="CQ77" s="140"/>
      <c r="CR77" s="140"/>
      <c r="CS77" s="140"/>
      <c r="CT77" s="140"/>
      <c r="CU77" s="140"/>
      <c r="CV77" s="140"/>
      <c r="CW77" s="140"/>
    </row>
    <row r="78" spans="1:101" x14ac:dyDescent="0.2">
      <c r="A78" s="29" t="str">
        <f t="shared" ca="1" si="1"/>
        <v>2025-06-10</v>
      </c>
      <c r="B78" s="140">
        <f ca="1">IF(ISNUMBER(MATCH(DATEVALUE($A78),'changes1_based on steps'!B$1:B$400,0)),B$2,)</f>
        <v>0</v>
      </c>
      <c r="C78" s="140">
        <f ca="1">IF(ISNUMBER(MATCH(DATEVALUE($A78),'changes1_based on steps'!C$1:C$400,0)),C$2,)</f>
        <v>0</v>
      </c>
      <c r="D78" s="140">
        <f ca="1">IF(ISNUMBER(MATCH(DATEVALUE($A78),'changes1_based on steps'!D$1:D$400,0)),D$2,)</f>
        <v>0</v>
      </c>
      <c r="E78" s="140">
        <f ca="1">IF(ISNUMBER(MATCH(DATEVALUE($A78),'changes1_based on steps'!E$1:E$400,0)),E$2,)</f>
        <v>0</v>
      </c>
      <c r="F78" s="140">
        <f ca="1">IF(ISNUMBER(MATCH(DATEVALUE($A78),'changes1_based on steps'!F$1:F$400,0)),F$2,)</f>
        <v>0</v>
      </c>
      <c r="G78" s="140">
        <f ca="1">IF(ISNUMBER(MATCH(DATEVALUE($A78),'changes1_based on steps'!G$1:G$400,0)),G$2,)</f>
        <v>0</v>
      </c>
      <c r="H78" s="140">
        <f ca="1">IF(ISNUMBER(MATCH(DATEVALUE($A78),'changes1_based on steps'!H$1:H$400,0)),H$2,)</f>
        <v>0</v>
      </c>
      <c r="I78" s="140">
        <f ca="1">IF(ISNUMBER(MATCH(DATEVALUE($A78),'changes1_based on steps'!I$1:I$400,0)),I$2,)</f>
        <v>0</v>
      </c>
      <c r="J78" s="140">
        <f ca="1">IF(ISNUMBER(MATCH(DATEVALUE($A78),'changes1_based on steps'!J$1:J$400,0)),J$2,)</f>
        <v>0</v>
      </c>
      <c r="K78" s="140">
        <f ca="1">IF(ISNUMBER(MATCH(DATEVALUE($A78),'changes1_based on steps'!K$1:K$400,0)),K$2,)</f>
        <v>0</v>
      </c>
      <c r="L78" s="140">
        <f ca="1">IF(ISNUMBER(MATCH(DATEVALUE($A78),'changes1_based on steps'!L$1:L$400,0)),L$2,)</f>
        <v>0</v>
      </c>
      <c r="M78" s="140">
        <f ca="1">IF(ISNUMBER(MATCH(DATEVALUE($A78),'changes1_based on steps'!M$1:M$400,0)),M$2,)</f>
        <v>0</v>
      </c>
      <c r="N78" s="140">
        <f ca="1">IF(ISNUMBER(MATCH(DATEVALUE($A78),'changes1_based on steps'!N$1:N$400,0)),N$2,)</f>
        <v>0</v>
      </c>
      <c r="O78" s="140">
        <f ca="1">IF(ISNUMBER(MATCH(DATEVALUE($A78),'changes1_based on steps'!O$1:O$400,0)),O$2,)</f>
        <v>0</v>
      </c>
      <c r="P78" s="140">
        <f ca="1">IF(ISNUMBER(MATCH(DATEVALUE($A78),'changes1_based on steps'!P$1:P$400,0)),P$2,)</f>
        <v>0</v>
      </c>
      <c r="Q78" s="140">
        <f ca="1">IF(ISNUMBER(MATCH(DATEVALUE($A78),'changes1_based on steps'!Q$1:Q$400,0)),Q$2,)</f>
        <v>0</v>
      </c>
      <c r="R78" s="140">
        <f ca="1">IF(ISNUMBER(MATCH(DATEVALUE($A78),'changes1_based on steps'!R$1:R$400,0)),R$2,)</f>
        <v>0</v>
      </c>
      <c r="S78" s="140">
        <f ca="1">IF(ISNUMBER(MATCH(DATEVALUE($A78),'changes1_based on steps'!S$1:S$400,0)),S$2,)</f>
        <v>0</v>
      </c>
      <c r="T78" s="140">
        <f ca="1">IF(ISNUMBER(MATCH(DATEVALUE($A78),'changes1_based on steps'!T$1:T$400,0)),T$2,)</f>
        <v>0</v>
      </c>
      <c r="U78" s="140">
        <f ca="1">IF(ISNUMBER(MATCH(DATEVALUE($A78),'changes1_based on steps'!U$1:U$400,0)),U$2,)</f>
        <v>0</v>
      </c>
      <c r="V78" s="140"/>
      <c r="W78" s="140"/>
      <c r="X78" s="140"/>
      <c r="Y78" s="140"/>
      <c r="Z78" s="140"/>
      <c r="AA78" s="140"/>
      <c r="AB78" s="140"/>
      <c r="AC78" s="140"/>
      <c r="AD78" s="140"/>
      <c r="AE78" s="140"/>
      <c r="AF78" s="140"/>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c r="BC78" s="140"/>
      <c r="BD78" s="140"/>
      <c r="BE78" s="140"/>
      <c r="BF78" s="140"/>
      <c r="BG78" s="140"/>
      <c r="BH78" s="140"/>
      <c r="BI78" s="140"/>
      <c r="BJ78" s="140"/>
      <c r="BK78" s="140"/>
      <c r="BL78" s="140"/>
      <c r="BM78" s="140"/>
      <c r="BN78" s="140"/>
      <c r="BO78" s="140"/>
      <c r="BP78" s="140"/>
      <c r="BQ78" s="140"/>
      <c r="BR78" s="140"/>
      <c r="BS78" s="140"/>
      <c r="BT78" s="140"/>
      <c r="BU78" s="140"/>
      <c r="BV78" s="140"/>
      <c r="BW78" s="140"/>
      <c r="BX78" s="140"/>
      <c r="BY78" s="140"/>
      <c r="BZ78" s="140"/>
      <c r="CA78" s="140"/>
      <c r="CB78" s="140"/>
      <c r="CC78" s="140"/>
      <c r="CD78" s="140"/>
      <c r="CE78" s="140"/>
      <c r="CF78" s="140"/>
      <c r="CG78" s="140"/>
      <c r="CH78" s="140"/>
      <c r="CI78" s="140"/>
      <c r="CJ78" s="140"/>
      <c r="CK78" s="140"/>
      <c r="CL78" s="140"/>
      <c r="CM78" s="140"/>
      <c r="CN78" s="140"/>
      <c r="CO78" s="140"/>
      <c r="CP78" s="140"/>
      <c r="CQ78" s="140"/>
      <c r="CR78" s="140"/>
      <c r="CS78" s="140"/>
      <c r="CT78" s="140"/>
      <c r="CU78" s="140"/>
      <c r="CV78" s="140"/>
      <c r="CW78" s="140"/>
    </row>
    <row r="79" spans="1:101" x14ac:dyDescent="0.2">
      <c r="A79" s="29" t="str">
        <f t="shared" ca="1" si="1"/>
        <v>2025-06-11</v>
      </c>
      <c r="B79" s="140">
        <f ca="1">IF(ISNUMBER(MATCH(DATEVALUE($A79),'changes1_based on steps'!B$1:B$400,0)),B$2,)</f>
        <v>0</v>
      </c>
      <c r="C79" s="140">
        <f ca="1">IF(ISNUMBER(MATCH(DATEVALUE($A79),'changes1_based on steps'!C$1:C$400,0)),C$2,)</f>
        <v>0</v>
      </c>
      <c r="D79" s="140">
        <f ca="1">IF(ISNUMBER(MATCH(DATEVALUE($A79),'changes1_based on steps'!D$1:D$400,0)),D$2,)</f>
        <v>0</v>
      </c>
      <c r="E79" s="140">
        <f ca="1">IF(ISNUMBER(MATCH(DATEVALUE($A79),'changes1_based on steps'!E$1:E$400,0)),E$2,)</f>
        <v>0</v>
      </c>
      <c r="F79" s="140">
        <f ca="1">IF(ISNUMBER(MATCH(DATEVALUE($A79),'changes1_based on steps'!F$1:F$400,0)),F$2,)</f>
        <v>0</v>
      </c>
      <c r="G79" s="140">
        <f ca="1">IF(ISNUMBER(MATCH(DATEVALUE($A79),'changes1_based on steps'!G$1:G$400,0)),G$2,)</f>
        <v>0</v>
      </c>
      <c r="H79" s="140">
        <f ca="1">IF(ISNUMBER(MATCH(DATEVALUE($A79),'changes1_based on steps'!H$1:H$400,0)),H$2,)</f>
        <v>0</v>
      </c>
      <c r="I79" s="140">
        <f ca="1">IF(ISNUMBER(MATCH(DATEVALUE($A79),'changes1_based on steps'!I$1:I$400,0)),I$2,)</f>
        <v>0</v>
      </c>
      <c r="J79" s="140">
        <f ca="1">IF(ISNUMBER(MATCH(DATEVALUE($A79),'changes1_based on steps'!J$1:J$400,0)),J$2,)</f>
        <v>0</v>
      </c>
      <c r="K79" s="140">
        <f ca="1">IF(ISNUMBER(MATCH(DATEVALUE($A79),'changes1_based on steps'!K$1:K$400,0)),K$2,)</f>
        <v>0</v>
      </c>
      <c r="L79" s="140">
        <f ca="1">IF(ISNUMBER(MATCH(DATEVALUE($A79),'changes1_based on steps'!L$1:L$400,0)),L$2,)</f>
        <v>0</v>
      </c>
      <c r="M79" s="140">
        <f ca="1">IF(ISNUMBER(MATCH(DATEVALUE($A79),'changes1_based on steps'!M$1:M$400,0)),M$2,)</f>
        <v>0</v>
      </c>
      <c r="N79" s="140">
        <f ca="1">IF(ISNUMBER(MATCH(DATEVALUE($A79),'changes1_based on steps'!N$1:N$400,0)),N$2,)</f>
        <v>0</v>
      </c>
      <c r="O79" s="140">
        <f ca="1">IF(ISNUMBER(MATCH(DATEVALUE($A79),'changes1_based on steps'!O$1:O$400,0)),O$2,)</f>
        <v>0</v>
      </c>
      <c r="P79" s="140">
        <f ca="1">IF(ISNUMBER(MATCH(DATEVALUE($A79),'changes1_based on steps'!P$1:P$400,0)),P$2,)</f>
        <v>0</v>
      </c>
      <c r="Q79" s="140">
        <f ca="1">IF(ISNUMBER(MATCH(DATEVALUE($A79),'changes1_based on steps'!Q$1:Q$400,0)),Q$2,)</f>
        <v>0</v>
      </c>
      <c r="R79" s="140">
        <f ca="1">IF(ISNUMBER(MATCH(DATEVALUE($A79),'changes1_based on steps'!R$1:R$400,0)),R$2,)</f>
        <v>0</v>
      </c>
      <c r="S79" s="140">
        <f ca="1">IF(ISNUMBER(MATCH(DATEVALUE($A79),'changes1_based on steps'!S$1:S$400,0)),S$2,)</f>
        <v>0</v>
      </c>
      <c r="T79" s="140">
        <f ca="1">IF(ISNUMBER(MATCH(DATEVALUE($A79),'changes1_based on steps'!T$1:T$400,0)),T$2,)</f>
        <v>0</v>
      </c>
      <c r="U79" s="140">
        <f ca="1">IF(ISNUMBER(MATCH(DATEVALUE($A79),'changes1_based on steps'!U$1:U$400,0)),U$2,)</f>
        <v>0</v>
      </c>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c r="CG79" s="140"/>
      <c r="CH79" s="140"/>
      <c r="CI79" s="140"/>
      <c r="CJ79" s="140"/>
      <c r="CK79" s="140"/>
      <c r="CL79" s="140"/>
      <c r="CM79" s="140"/>
      <c r="CN79" s="140"/>
      <c r="CO79" s="140"/>
      <c r="CP79" s="140"/>
      <c r="CQ79" s="140"/>
      <c r="CR79" s="140"/>
      <c r="CS79" s="140"/>
      <c r="CT79" s="140"/>
      <c r="CU79" s="140"/>
      <c r="CV79" s="140"/>
      <c r="CW79" s="140"/>
    </row>
    <row r="80" spans="1:101" x14ac:dyDescent="0.2">
      <c r="A80" s="29" t="str">
        <f t="shared" ca="1" si="1"/>
        <v>2025-06-12</v>
      </c>
      <c r="B80" s="140">
        <f ca="1">IF(ISNUMBER(MATCH(DATEVALUE($A80),'changes1_based on steps'!B$1:B$400,0)),B$2,)</f>
        <v>0</v>
      </c>
      <c r="C80" s="140">
        <f ca="1">IF(ISNUMBER(MATCH(DATEVALUE($A80),'changes1_based on steps'!C$1:C$400,0)),C$2,)</f>
        <v>0</v>
      </c>
      <c r="D80" s="140">
        <f ca="1">IF(ISNUMBER(MATCH(DATEVALUE($A80),'changes1_based on steps'!D$1:D$400,0)),D$2,)</f>
        <v>0</v>
      </c>
      <c r="E80" s="140">
        <f ca="1">IF(ISNUMBER(MATCH(DATEVALUE($A80),'changes1_based on steps'!E$1:E$400,0)),E$2,)</f>
        <v>0</v>
      </c>
      <c r="F80" s="140">
        <f ca="1">IF(ISNUMBER(MATCH(DATEVALUE($A80),'changes1_based on steps'!F$1:F$400,0)),F$2,)</f>
        <v>0</v>
      </c>
      <c r="G80" s="140">
        <f ca="1">IF(ISNUMBER(MATCH(DATEVALUE($A80),'changes1_based on steps'!G$1:G$400,0)),G$2,)</f>
        <v>0</v>
      </c>
      <c r="H80" s="140">
        <f ca="1">IF(ISNUMBER(MATCH(DATEVALUE($A80),'changes1_based on steps'!H$1:H$400,0)),H$2,)</f>
        <v>0</v>
      </c>
      <c r="I80" s="140">
        <f ca="1">IF(ISNUMBER(MATCH(DATEVALUE($A80),'changes1_based on steps'!I$1:I$400,0)),I$2,)</f>
        <v>0</v>
      </c>
      <c r="J80" s="140">
        <f ca="1">IF(ISNUMBER(MATCH(DATEVALUE($A80),'changes1_based on steps'!J$1:J$400,0)),J$2,)</f>
        <v>0</v>
      </c>
      <c r="K80" s="140">
        <f ca="1">IF(ISNUMBER(MATCH(DATEVALUE($A80),'changes1_based on steps'!K$1:K$400,0)),K$2,)</f>
        <v>0</v>
      </c>
      <c r="L80" s="140">
        <f ca="1">IF(ISNUMBER(MATCH(DATEVALUE($A80),'changes1_based on steps'!L$1:L$400,0)),L$2,)</f>
        <v>0</v>
      </c>
      <c r="M80" s="140">
        <f ca="1">IF(ISNUMBER(MATCH(DATEVALUE($A80),'changes1_based on steps'!M$1:M$400,0)),M$2,)</f>
        <v>0</v>
      </c>
      <c r="N80" s="140">
        <f ca="1">IF(ISNUMBER(MATCH(DATEVALUE($A80),'changes1_based on steps'!N$1:N$400,0)),N$2,)</f>
        <v>0</v>
      </c>
      <c r="O80" s="140">
        <f ca="1">IF(ISNUMBER(MATCH(DATEVALUE($A80),'changes1_based on steps'!O$1:O$400,0)),O$2,)</f>
        <v>0</v>
      </c>
      <c r="P80" s="140">
        <f ca="1">IF(ISNUMBER(MATCH(DATEVALUE($A80),'changes1_based on steps'!P$1:P$400,0)),P$2,)</f>
        <v>0</v>
      </c>
      <c r="Q80" s="140">
        <f ca="1">IF(ISNUMBER(MATCH(DATEVALUE($A80),'changes1_based on steps'!Q$1:Q$400,0)),Q$2,)</f>
        <v>0</v>
      </c>
      <c r="R80" s="140">
        <f ca="1">IF(ISNUMBER(MATCH(DATEVALUE($A80),'changes1_based on steps'!R$1:R$400,0)),R$2,)</f>
        <v>0</v>
      </c>
      <c r="S80" s="140">
        <f ca="1">IF(ISNUMBER(MATCH(DATEVALUE($A80),'changes1_based on steps'!S$1:S$400,0)),S$2,)</f>
        <v>0</v>
      </c>
      <c r="T80" s="140">
        <f ca="1">IF(ISNUMBER(MATCH(DATEVALUE($A80),'changes1_based on steps'!T$1:T$400,0)),T$2,)</f>
        <v>0</v>
      </c>
      <c r="U80" s="140">
        <f ca="1">IF(ISNUMBER(MATCH(DATEVALUE($A80),'changes1_based on steps'!U$1:U$400,0)),U$2,)</f>
        <v>0</v>
      </c>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c r="CG80" s="140"/>
      <c r="CH80" s="140"/>
      <c r="CI80" s="140"/>
      <c r="CJ80" s="140"/>
      <c r="CK80" s="140"/>
      <c r="CL80" s="140"/>
      <c r="CM80" s="140"/>
      <c r="CN80" s="140"/>
      <c r="CO80" s="140"/>
      <c r="CP80" s="140"/>
      <c r="CQ80" s="140"/>
      <c r="CR80" s="140"/>
      <c r="CS80" s="140"/>
      <c r="CT80" s="140"/>
      <c r="CU80" s="140"/>
      <c r="CV80" s="140"/>
      <c r="CW80" s="140"/>
    </row>
    <row r="81" spans="1:101" x14ac:dyDescent="0.2">
      <c r="A81" s="29" t="str">
        <f t="shared" ca="1" si="1"/>
        <v>2025-06-13</v>
      </c>
      <c r="B81" s="140">
        <f ca="1">IF(ISNUMBER(MATCH(DATEVALUE($A81),'changes1_based on steps'!B$1:B$400,0)),B$2,)</f>
        <v>0</v>
      </c>
      <c r="C81" s="140">
        <f ca="1">IF(ISNUMBER(MATCH(DATEVALUE($A81),'changes1_based on steps'!C$1:C$400,0)),C$2,)</f>
        <v>0</v>
      </c>
      <c r="D81" s="140">
        <f ca="1">IF(ISNUMBER(MATCH(DATEVALUE($A81),'changes1_based on steps'!D$1:D$400,0)),D$2,)</f>
        <v>0</v>
      </c>
      <c r="E81" s="140">
        <f ca="1">IF(ISNUMBER(MATCH(DATEVALUE($A81),'changes1_based on steps'!E$1:E$400,0)),E$2,)</f>
        <v>0</v>
      </c>
      <c r="F81" s="140">
        <f ca="1">IF(ISNUMBER(MATCH(DATEVALUE($A81),'changes1_based on steps'!F$1:F$400,0)),F$2,)</f>
        <v>0</v>
      </c>
      <c r="G81" s="140">
        <f ca="1">IF(ISNUMBER(MATCH(DATEVALUE($A81),'changes1_based on steps'!G$1:G$400,0)),G$2,)</f>
        <v>0</v>
      </c>
      <c r="H81" s="140">
        <f ca="1">IF(ISNUMBER(MATCH(DATEVALUE($A81),'changes1_based on steps'!H$1:H$400,0)),H$2,)</f>
        <v>0</v>
      </c>
      <c r="I81" s="140">
        <f ca="1">IF(ISNUMBER(MATCH(DATEVALUE($A81),'changes1_based on steps'!I$1:I$400,0)),I$2,)</f>
        <v>0</v>
      </c>
      <c r="J81" s="140">
        <f ca="1">IF(ISNUMBER(MATCH(DATEVALUE($A81),'changes1_based on steps'!J$1:J$400,0)),J$2,)</f>
        <v>0</v>
      </c>
      <c r="K81" s="140">
        <f ca="1">IF(ISNUMBER(MATCH(DATEVALUE($A81),'changes1_based on steps'!K$1:K$400,0)),K$2,)</f>
        <v>0</v>
      </c>
      <c r="L81" s="140">
        <f ca="1">IF(ISNUMBER(MATCH(DATEVALUE($A81),'changes1_based on steps'!L$1:L$400,0)),L$2,)</f>
        <v>0</v>
      </c>
      <c r="M81" s="140">
        <f ca="1">IF(ISNUMBER(MATCH(DATEVALUE($A81),'changes1_based on steps'!M$1:M$400,0)),M$2,)</f>
        <v>0</v>
      </c>
      <c r="N81" s="140">
        <f ca="1">IF(ISNUMBER(MATCH(DATEVALUE($A81),'changes1_based on steps'!N$1:N$400,0)),N$2,)</f>
        <v>0</v>
      </c>
      <c r="O81" s="140">
        <f ca="1">IF(ISNUMBER(MATCH(DATEVALUE($A81),'changes1_based on steps'!O$1:O$400,0)),O$2,)</f>
        <v>0</v>
      </c>
      <c r="P81" s="140">
        <f ca="1">IF(ISNUMBER(MATCH(DATEVALUE($A81),'changes1_based on steps'!P$1:P$400,0)),P$2,)</f>
        <v>0</v>
      </c>
      <c r="Q81" s="140">
        <f ca="1">IF(ISNUMBER(MATCH(DATEVALUE($A81),'changes1_based on steps'!Q$1:Q$400,0)),Q$2,)</f>
        <v>0</v>
      </c>
      <c r="R81" s="140">
        <f ca="1">IF(ISNUMBER(MATCH(DATEVALUE($A81),'changes1_based on steps'!R$1:R$400,0)),R$2,)</f>
        <v>0</v>
      </c>
      <c r="S81" s="140">
        <f ca="1">IF(ISNUMBER(MATCH(DATEVALUE($A81),'changes1_based on steps'!S$1:S$400,0)),S$2,)</f>
        <v>0</v>
      </c>
      <c r="T81" s="140">
        <f ca="1">IF(ISNUMBER(MATCH(DATEVALUE($A81),'changes1_based on steps'!T$1:T$400,0)),T$2,)</f>
        <v>0</v>
      </c>
      <c r="U81" s="140">
        <f ca="1">IF(ISNUMBER(MATCH(DATEVALUE($A81),'changes1_based on steps'!U$1:U$400,0)),U$2,)</f>
        <v>0</v>
      </c>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c r="CG81" s="140"/>
      <c r="CH81" s="140"/>
      <c r="CI81" s="140"/>
      <c r="CJ81" s="140"/>
      <c r="CK81" s="140"/>
      <c r="CL81" s="140"/>
      <c r="CM81" s="140"/>
      <c r="CN81" s="140"/>
      <c r="CO81" s="140"/>
      <c r="CP81" s="140"/>
      <c r="CQ81" s="140"/>
      <c r="CR81" s="140"/>
      <c r="CS81" s="140"/>
      <c r="CT81" s="140"/>
      <c r="CU81" s="140"/>
      <c r="CV81" s="140"/>
      <c r="CW81" s="140"/>
    </row>
    <row r="82" spans="1:101" x14ac:dyDescent="0.2">
      <c r="A82" s="29" t="str">
        <f t="shared" ca="1" si="1"/>
        <v>2025-06-14</v>
      </c>
      <c r="B82" s="140">
        <f ca="1">IF(ISNUMBER(MATCH(DATEVALUE($A82),'changes1_based on steps'!B$1:B$400,0)),B$2,)</f>
        <v>0</v>
      </c>
      <c r="C82" s="140">
        <f ca="1">IF(ISNUMBER(MATCH(DATEVALUE($A82),'changes1_based on steps'!C$1:C$400,0)),C$2,)</f>
        <v>0</v>
      </c>
      <c r="D82" s="140">
        <f ca="1">IF(ISNUMBER(MATCH(DATEVALUE($A82),'changes1_based on steps'!D$1:D$400,0)),D$2,)</f>
        <v>0</v>
      </c>
      <c r="E82" s="140">
        <f ca="1">IF(ISNUMBER(MATCH(DATEVALUE($A82),'changes1_based on steps'!E$1:E$400,0)),E$2,)</f>
        <v>0</v>
      </c>
      <c r="F82" s="140">
        <f ca="1">IF(ISNUMBER(MATCH(DATEVALUE($A82),'changes1_based on steps'!F$1:F$400,0)),F$2,)</f>
        <v>0</v>
      </c>
      <c r="G82" s="140">
        <f ca="1">IF(ISNUMBER(MATCH(DATEVALUE($A82),'changes1_based on steps'!G$1:G$400,0)),G$2,)</f>
        <v>0</v>
      </c>
      <c r="H82" s="140">
        <f ca="1">IF(ISNUMBER(MATCH(DATEVALUE($A82),'changes1_based on steps'!H$1:H$400,0)),H$2,)</f>
        <v>0</v>
      </c>
      <c r="I82" s="140">
        <f ca="1">IF(ISNUMBER(MATCH(DATEVALUE($A82),'changes1_based on steps'!I$1:I$400,0)),I$2,)</f>
        <v>0</v>
      </c>
      <c r="J82" s="140">
        <f ca="1">IF(ISNUMBER(MATCH(DATEVALUE($A82),'changes1_based on steps'!J$1:J$400,0)),J$2,)</f>
        <v>0</v>
      </c>
      <c r="K82" s="140">
        <f ca="1">IF(ISNUMBER(MATCH(DATEVALUE($A82),'changes1_based on steps'!K$1:K$400,0)),K$2,)</f>
        <v>0</v>
      </c>
      <c r="L82" s="140">
        <f ca="1">IF(ISNUMBER(MATCH(DATEVALUE($A82),'changes1_based on steps'!L$1:L$400,0)),L$2,)</f>
        <v>0</v>
      </c>
      <c r="M82" s="140">
        <f ca="1">IF(ISNUMBER(MATCH(DATEVALUE($A82),'changes1_based on steps'!M$1:M$400,0)),M$2,)</f>
        <v>0</v>
      </c>
      <c r="N82" s="140">
        <f ca="1">IF(ISNUMBER(MATCH(DATEVALUE($A82),'changes1_based on steps'!N$1:N$400,0)),N$2,)</f>
        <v>0</v>
      </c>
      <c r="O82" s="140">
        <f ca="1">IF(ISNUMBER(MATCH(DATEVALUE($A82),'changes1_based on steps'!O$1:O$400,0)),O$2,)</f>
        <v>0</v>
      </c>
      <c r="P82" s="140">
        <f ca="1">IF(ISNUMBER(MATCH(DATEVALUE($A82),'changes1_based on steps'!P$1:P$400,0)),P$2,)</f>
        <v>0</v>
      </c>
      <c r="Q82" s="140">
        <f ca="1">IF(ISNUMBER(MATCH(DATEVALUE($A82),'changes1_based on steps'!Q$1:Q$400,0)),Q$2,)</f>
        <v>0</v>
      </c>
      <c r="R82" s="140">
        <f ca="1">IF(ISNUMBER(MATCH(DATEVALUE($A82),'changes1_based on steps'!R$1:R$400,0)),R$2,)</f>
        <v>0</v>
      </c>
      <c r="S82" s="140">
        <f ca="1">IF(ISNUMBER(MATCH(DATEVALUE($A82),'changes1_based on steps'!S$1:S$400,0)),S$2,)</f>
        <v>0</v>
      </c>
      <c r="T82" s="140">
        <f ca="1">IF(ISNUMBER(MATCH(DATEVALUE($A82),'changes1_based on steps'!T$1:T$400,0)),T$2,)</f>
        <v>0</v>
      </c>
      <c r="U82" s="140">
        <f ca="1">IF(ISNUMBER(MATCH(DATEVALUE($A82),'changes1_based on steps'!U$1:U$400,0)),U$2,)</f>
        <v>0</v>
      </c>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c r="CC82" s="140"/>
      <c r="CD82" s="140"/>
      <c r="CE82" s="140"/>
      <c r="CF82" s="140"/>
      <c r="CG82" s="140"/>
      <c r="CH82" s="140"/>
      <c r="CI82" s="140"/>
      <c r="CJ82" s="140"/>
      <c r="CK82" s="140"/>
      <c r="CL82" s="140"/>
      <c r="CM82" s="140"/>
      <c r="CN82" s="140"/>
      <c r="CO82" s="140"/>
      <c r="CP82" s="140"/>
      <c r="CQ82" s="140"/>
      <c r="CR82" s="140"/>
      <c r="CS82" s="140"/>
      <c r="CT82" s="140"/>
      <c r="CU82" s="140"/>
      <c r="CV82" s="140"/>
      <c r="CW82" s="140"/>
    </row>
    <row r="83" spans="1:101" x14ac:dyDescent="0.2">
      <c r="A83" s="29" t="str">
        <f t="shared" ca="1" si="1"/>
        <v>2025-06-15</v>
      </c>
      <c r="B83" s="140">
        <f ca="1">IF(ISNUMBER(MATCH(DATEVALUE($A83),'changes1_based on steps'!B$1:B$400,0)),B$2,)</f>
        <v>0</v>
      </c>
      <c r="C83" s="140">
        <f ca="1">IF(ISNUMBER(MATCH(DATEVALUE($A83),'changes1_based on steps'!C$1:C$400,0)),C$2,)</f>
        <v>0</v>
      </c>
      <c r="D83" s="140">
        <f ca="1">IF(ISNUMBER(MATCH(DATEVALUE($A83),'changes1_based on steps'!D$1:D$400,0)),D$2,)</f>
        <v>0</v>
      </c>
      <c r="E83" s="140">
        <f ca="1">IF(ISNUMBER(MATCH(DATEVALUE($A83),'changes1_based on steps'!E$1:E$400,0)),E$2,)</f>
        <v>0</v>
      </c>
      <c r="F83" s="140">
        <f ca="1">IF(ISNUMBER(MATCH(DATEVALUE($A83),'changes1_based on steps'!F$1:F$400,0)),F$2,)</f>
        <v>0</v>
      </c>
      <c r="G83" s="140">
        <f ca="1">IF(ISNUMBER(MATCH(DATEVALUE($A83),'changes1_based on steps'!G$1:G$400,0)),G$2,)</f>
        <v>0</v>
      </c>
      <c r="H83" s="140">
        <f ca="1">IF(ISNUMBER(MATCH(DATEVALUE($A83),'changes1_based on steps'!H$1:H$400,0)),H$2,)</f>
        <v>0</v>
      </c>
      <c r="I83" s="140">
        <f ca="1">IF(ISNUMBER(MATCH(DATEVALUE($A83),'changes1_based on steps'!I$1:I$400,0)),I$2,)</f>
        <v>0</v>
      </c>
      <c r="J83" s="140">
        <f ca="1">IF(ISNUMBER(MATCH(DATEVALUE($A83),'changes1_based on steps'!J$1:J$400,0)),J$2,)</f>
        <v>0</v>
      </c>
      <c r="K83" s="140">
        <f ca="1">IF(ISNUMBER(MATCH(DATEVALUE($A83),'changes1_based on steps'!K$1:K$400,0)),K$2,)</f>
        <v>0</v>
      </c>
      <c r="L83" s="140">
        <f ca="1">IF(ISNUMBER(MATCH(DATEVALUE($A83),'changes1_based on steps'!L$1:L$400,0)),L$2,)</f>
        <v>0</v>
      </c>
      <c r="M83" s="140">
        <f ca="1">IF(ISNUMBER(MATCH(DATEVALUE($A83),'changes1_based on steps'!M$1:M$400,0)),M$2,)</f>
        <v>0</v>
      </c>
      <c r="N83" s="140">
        <f ca="1">IF(ISNUMBER(MATCH(DATEVALUE($A83),'changes1_based on steps'!N$1:N$400,0)),N$2,)</f>
        <v>0</v>
      </c>
      <c r="O83" s="140">
        <f ca="1">IF(ISNUMBER(MATCH(DATEVALUE($A83),'changes1_based on steps'!O$1:O$400,0)),O$2,)</f>
        <v>0</v>
      </c>
      <c r="P83" s="140">
        <f ca="1">IF(ISNUMBER(MATCH(DATEVALUE($A83),'changes1_based on steps'!P$1:P$400,0)),P$2,)</f>
        <v>0</v>
      </c>
      <c r="Q83" s="140">
        <f ca="1">IF(ISNUMBER(MATCH(DATEVALUE($A83),'changes1_based on steps'!Q$1:Q$400,0)),Q$2,)</f>
        <v>0</v>
      </c>
      <c r="R83" s="140">
        <f ca="1">IF(ISNUMBER(MATCH(DATEVALUE($A83),'changes1_based on steps'!R$1:R$400,0)),R$2,)</f>
        <v>0</v>
      </c>
      <c r="S83" s="140">
        <f ca="1">IF(ISNUMBER(MATCH(DATEVALUE($A83),'changes1_based on steps'!S$1:S$400,0)),S$2,)</f>
        <v>0</v>
      </c>
      <c r="T83" s="140">
        <f ca="1">IF(ISNUMBER(MATCH(DATEVALUE($A83),'changes1_based on steps'!T$1:T$400,0)),T$2,)</f>
        <v>0</v>
      </c>
      <c r="U83" s="140">
        <f ca="1">IF(ISNUMBER(MATCH(DATEVALUE($A83),'changes1_based on steps'!U$1:U$400,0)),U$2,)</f>
        <v>0</v>
      </c>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c r="BC83" s="140"/>
      <c r="BD83" s="140"/>
      <c r="BE83" s="140"/>
      <c r="BF83" s="140"/>
      <c r="BG83" s="140"/>
      <c r="BH83" s="140"/>
      <c r="BI83" s="140"/>
      <c r="BJ83" s="140"/>
      <c r="BK83" s="140"/>
      <c r="BL83" s="140"/>
      <c r="BM83" s="140"/>
      <c r="BN83" s="140"/>
      <c r="BO83" s="140"/>
      <c r="BP83" s="140"/>
      <c r="BQ83" s="140"/>
      <c r="BR83" s="140"/>
      <c r="BS83" s="140"/>
      <c r="BT83" s="140"/>
      <c r="BU83" s="140"/>
      <c r="BV83" s="140"/>
      <c r="BW83" s="140"/>
      <c r="BX83" s="140"/>
      <c r="BY83" s="140"/>
      <c r="BZ83" s="140"/>
      <c r="CA83" s="140"/>
      <c r="CB83" s="140"/>
      <c r="CC83" s="140"/>
      <c r="CD83" s="140"/>
      <c r="CE83" s="140"/>
      <c r="CF83" s="140"/>
      <c r="CG83" s="140"/>
      <c r="CH83" s="140"/>
      <c r="CI83" s="140"/>
      <c r="CJ83" s="140"/>
      <c r="CK83" s="140"/>
      <c r="CL83" s="140"/>
      <c r="CM83" s="140"/>
      <c r="CN83" s="140"/>
      <c r="CO83" s="140"/>
      <c r="CP83" s="140"/>
      <c r="CQ83" s="140"/>
      <c r="CR83" s="140"/>
      <c r="CS83" s="140"/>
      <c r="CT83" s="140"/>
      <c r="CU83" s="140"/>
      <c r="CV83" s="140"/>
      <c r="CW83" s="140"/>
    </row>
    <row r="84" spans="1:101" x14ac:dyDescent="0.2">
      <c r="A84" s="29" t="str">
        <f t="shared" ca="1" si="1"/>
        <v>2025-06-16</v>
      </c>
      <c r="B84" s="140">
        <f ca="1">IF(ISNUMBER(MATCH(DATEVALUE($A84),'changes1_based on steps'!B$1:B$400,0)),B$2,)</f>
        <v>0</v>
      </c>
      <c r="C84" s="140">
        <f ca="1">IF(ISNUMBER(MATCH(DATEVALUE($A84),'changes1_based on steps'!C$1:C$400,0)),C$2,)</f>
        <v>0</v>
      </c>
      <c r="D84" s="140">
        <f ca="1">IF(ISNUMBER(MATCH(DATEVALUE($A84),'changes1_based on steps'!D$1:D$400,0)),D$2,)</f>
        <v>0</v>
      </c>
      <c r="E84" s="140">
        <f ca="1">IF(ISNUMBER(MATCH(DATEVALUE($A84),'changes1_based on steps'!E$1:E$400,0)),E$2,)</f>
        <v>0</v>
      </c>
      <c r="F84" s="140">
        <f ca="1">IF(ISNUMBER(MATCH(DATEVALUE($A84),'changes1_based on steps'!F$1:F$400,0)),F$2,)</f>
        <v>0</v>
      </c>
      <c r="G84" s="140">
        <f ca="1">IF(ISNUMBER(MATCH(DATEVALUE($A84),'changes1_based on steps'!G$1:G$400,0)),G$2,)</f>
        <v>0</v>
      </c>
      <c r="H84" s="140">
        <f ca="1">IF(ISNUMBER(MATCH(DATEVALUE($A84),'changes1_based on steps'!H$1:H$400,0)),H$2,)</f>
        <v>0</v>
      </c>
      <c r="I84" s="140">
        <f ca="1">IF(ISNUMBER(MATCH(DATEVALUE($A84),'changes1_based on steps'!I$1:I$400,0)),I$2,)</f>
        <v>0</v>
      </c>
      <c r="J84" s="140">
        <f ca="1">IF(ISNUMBER(MATCH(DATEVALUE($A84),'changes1_based on steps'!J$1:J$400,0)),J$2,)</f>
        <v>0</v>
      </c>
      <c r="K84" s="140">
        <f ca="1">IF(ISNUMBER(MATCH(DATEVALUE($A84),'changes1_based on steps'!K$1:K$400,0)),K$2,)</f>
        <v>0</v>
      </c>
      <c r="L84" s="140">
        <f ca="1">IF(ISNUMBER(MATCH(DATEVALUE($A84),'changes1_based on steps'!L$1:L$400,0)),L$2,)</f>
        <v>0</v>
      </c>
      <c r="M84" s="140">
        <f ca="1">IF(ISNUMBER(MATCH(DATEVALUE($A84),'changes1_based on steps'!M$1:M$400,0)),M$2,)</f>
        <v>0</v>
      </c>
      <c r="N84" s="140">
        <f ca="1">IF(ISNUMBER(MATCH(DATEVALUE($A84),'changes1_based on steps'!N$1:N$400,0)),N$2,)</f>
        <v>0</v>
      </c>
      <c r="O84" s="140">
        <f ca="1">IF(ISNUMBER(MATCH(DATEVALUE($A84),'changes1_based on steps'!O$1:O$400,0)),O$2,)</f>
        <v>0</v>
      </c>
      <c r="P84" s="140">
        <f ca="1">IF(ISNUMBER(MATCH(DATEVALUE($A84),'changes1_based on steps'!P$1:P$400,0)),P$2,)</f>
        <v>0</v>
      </c>
      <c r="Q84" s="140">
        <f ca="1">IF(ISNUMBER(MATCH(DATEVALUE($A84),'changes1_based on steps'!Q$1:Q$400,0)),Q$2,)</f>
        <v>0</v>
      </c>
      <c r="R84" s="140">
        <f ca="1">IF(ISNUMBER(MATCH(DATEVALUE($A84),'changes1_based on steps'!R$1:R$400,0)),R$2,)</f>
        <v>0</v>
      </c>
      <c r="S84" s="140">
        <f ca="1">IF(ISNUMBER(MATCH(DATEVALUE($A84),'changes1_based on steps'!S$1:S$400,0)),S$2,)</f>
        <v>0</v>
      </c>
      <c r="T84" s="140">
        <f ca="1">IF(ISNUMBER(MATCH(DATEVALUE($A84),'changes1_based on steps'!T$1:T$400,0)),T$2,)</f>
        <v>0</v>
      </c>
      <c r="U84" s="140">
        <f ca="1">IF(ISNUMBER(MATCH(DATEVALUE($A84),'changes1_based on steps'!U$1:U$400,0)),U$2,)</f>
        <v>0</v>
      </c>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c r="BE84" s="140"/>
      <c r="BF84" s="140"/>
      <c r="BG84" s="140"/>
      <c r="BH84" s="140"/>
      <c r="BI84" s="140"/>
      <c r="BJ84" s="140"/>
      <c r="BK84" s="140"/>
      <c r="BL84" s="140"/>
      <c r="BM84" s="140"/>
      <c r="BN84" s="140"/>
      <c r="BO84" s="140"/>
      <c r="BP84" s="140"/>
      <c r="BQ84" s="140"/>
      <c r="BR84" s="140"/>
      <c r="BS84" s="140"/>
      <c r="BT84" s="140"/>
      <c r="BU84" s="140"/>
      <c r="BV84" s="140"/>
      <c r="BW84" s="140"/>
      <c r="BX84" s="140"/>
      <c r="BY84" s="140"/>
      <c r="BZ84" s="140"/>
      <c r="CA84" s="140"/>
      <c r="CB84" s="140"/>
      <c r="CC84" s="140"/>
      <c r="CD84" s="140"/>
      <c r="CE84" s="140"/>
      <c r="CF84" s="140"/>
      <c r="CG84" s="140"/>
      <c r="CH84" s="140"/>
      <c r="CI84" s="140"/>
      <c r="CJ84" s="140"/>
      <c r="CK84" s="140"/>
      <c r="CL84" s="140"/>
      <c r="CM84" s="140"/>
      <c r="CN84" s="140"/>
      <c r="CO84" s="140"/>
      <c r="CP84" s="140"/>
      <c r="CQ84" s="140"/>
      <c r="CR84" s="140"/>
      <c r="CS84" s="140"/>
      <c r="CT84" s="140"/>
      <c r="CU84" s="140"/>
      <c r="CV84" s="140"/>
      <c r="CW84" s="140"/>
    </row>
    <row r="85" spans="1:101" x14ac:dyDescent="0.2">
      <c r="A85" s="29" t="str">
        <f t="shared" ca="1" si="1"/>
        <v>2025-06-17</v>
      </c>
      <c r="B85" s="140">
        <f ca="1">IF(ISNUMBER(MATCH(DATEVALUE($A85),'changes1_based on steps'!B$1:B$400,0)),B$2,)</f>
        <v>0</v>
      </c>
      <c r="C85" s="140">
        <f ca="1">IF(ISNUMBER(MATCH(DATEVALUE($A85),'changes1_based on steps'!C$1:C$400,0)),C$2,)</f>
        <v>0</v>
      </c>
      <c r="D85" s="140">
        <f ca="1">IF(ISNUMBER(MATCH(DATEVALUE($A85),'changes1_based on steps'!D$1:D$400,0)),D$2,)</f>
        <v>0</v>
      </c>
      <c r="E85" s="140">
        <f ca="1">IF(ISNUMBER(MATCH(DATEVALUE($A85),'changes1_based on steps'!E$1:E$400,0)),E$2,)</f>
        <v>0</v>
      </c>
      <c r="F85" s="140">
        <f ca="1">IF(ISNUMBER(MATCH(DATEVALUE($A85),'changes1_based on steps'!F$1:F$400,0)),F$2,)</f>
        <v>0</v>
      </c>
      <c r="G85" s="140">
        <f ca="1">IF(ISNUMBER(MATCH(DATEVALUE($A85),'changes1_based on steps'!G$1:G$400,0)),G$2,)</f>
        <v>0</v>
      </c>
      <c r="H85" s="140">
        <f ca="1">IF(ISNUMBER(MATCH(DATEVALUE($A85),'changes1_based on steps'!H$1:H$400,0)),H$2,)</f>
        <v>0</v>
      </c>
      <c r="I85" s="140">
        <f ca="1">IF(ISNUMBER(MATCH(DATEVALUE($A85),'changes1_based on steps'!I$1:I$400,0)),I$2,)</f>
        <v>0</v>
      </c>
      <c r="J85" s="140">
        <f ca="1">IF(ISNUMBER(MATCH(DATEVALUE($A85),'changes1_based on steps'!J$1:J$400,0)),J$2,)</f>
        <v>0</v>
      </c>
      <c r="K85" s="140">
        <f ca="1">IF(ISNUMBER(MATCH(DATEVALUE($A85),'changes1_based on steps'!K$1:K$400,0)),K$2,)</f>
        <v>0</v>
      </c>
      <c r="L85" s="140">
        <f ca="1">IF(ISNUMBER(MATCH(DATEVALUE($A85),'changes1_based on steps'!L$1:L$400,0)),L$2,)</f>
        <v>0</v>
      </c>
      <c r="M85" s="140">
        <f ca="1">IF(ISNUMBER(MATCH(DATEVALUE($A85),'changes1_based on steps'!M$1:M$400,0)),M$2,)</f>
        <v>0</v>
      </c>
      <c r="N85" s="140">
        <f ca="1">IF(ISNUMBER(MATCH(DATEVALUE($A85),'changes1_based on steps'!N$1:N$400,0)),N$2,)</f>
        <v>0</v>
      </c>
      <c r="O85" s="140">
        <f ca="1">IF(ISNUMBER(MATCH(DATEVALUE($A85),'changes1_based on steps'!O$1:O$400,0)),O$2,)</f>
        <v>0</v>
      </c>
      <c r="P85" s="140">
        <f ca="1">IF(ISNUMBER(MATCH(DATEVALUE($A85),'changes1_based on steps'!P$1:P$400,0)),P$2,)</f>
        <v>0</v>
      </c>
      <c r="Q85" s="140">
        <f ca="1">IF(ISNUMBER(MATCH(DATEVALUE($A85),'changes1_based on steps'!Q$1:Q$400,0)),Q$2,)</f>
        <v>0</v>
      </c>
      <c r="R85" s="140">
        <f ca="1">IF(ISNUMBER(MATCH(DATEVALUE($A85),'changes1_based on steps'!R$1:R$400,0)),R$2,)</f>
        <v>0</v>
      </c>
      <c r="S85" s="140">
        <f ca="1">IF(ISNUMBER(MATCH(DATEVALUE($A85),'changes1_based on steps'!S$1:S$400,0)),S$2,)</f>
        <v>0</v>
      </c>
      <c r="T85" s="140">
        <f ca="1">IF(ISNUMBER(MATCH(DATEVALUE($A85),'changes1_based on steps'!T$1:T$400,0)),T$2,)</f>
        <v>0</v>
      </c>
      <c r="U85" s="140">
        <f ca="1">IF(ISNUMBER(MATCH(DATEVALUE($A85),'changes1_based on steps'!U$1:U$400,0)),U$2,)</f>
        <v>0</v>
      </c>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c r="BP85" s="140"/>
      <c r="BQ85" s="140"/>
      <c r="BR85" s="140"/>
      <c r="BS85" s="140"/>
      <c r="BT85" s="140"/>
      <c r="BU85" s="140"/>
      <c r="BV85" s="140"/>
      <c r="BW85" s="140"/>
      <c r="BX85" s="140"/>
      <c r="BY85" s="140"/>
      <c r="BZ85" s="140"/>
      <c r="CA85" s="140"/>
      <c r="CB85" s="140"/>
      <c r="CC85" s="140"/>
      <c r="CD85" s="140"/>
      <c r="CE85" s="140"/>
      <c r="CF85" s="140"/>
      <c r="CG85" s="140"/>
      <c r="CH85" s="140"/>
      <c r="CI85" s="140"/>
      <c r="CJ85" s="140"/>
      <c r="CK85" s="140"/>
      <c r="CL85" s="140"/>
      <c r="CM85" s="140"/>
      <c r="CN85" s="140"/>
      <c r="CO85" s="140"/>
      <c r="CP85" s="140"/>
      <c r="CQ85" s="140"/>
      <c r="CR85" s="140"/>
      <c r="CS85" s="140"/>
      <c r="CT85" s="140"/>
      <c r="CU85" s="140"/>
      <c r="CV85" s="140"/>
      <c r="CW85" s="140"/>
    </row>
    <row r="86" spans="1:101" x14ac:dyDescent="0.2">
      <c r="A86" s="29" t="str">
        <f t="shared" ca="1" si="1"/>
        <v>2025-06-18</v>
      </c>
      <c r="B86" s="140">
        <f ca="1">IF(ISNUMBER(MATCH(DATEVALUE($A86),'changes1_based on steps'!B$1:B$400,0)),B$2,)</f>
        <v>0</v>
      </c>
      <c r="C86" s="140">
        <f ca="1">IF(ISNUMBER(MATCH(DATEVALUE($A86),'changes1_based on steps'!C$1:C$400,0)),C$2,)</f>
        <v>0</v>
      </c>
      <c r="D86" s="140">
        <f ca="1">IF(ISNUMBER(MATCH(DATEVALUE($A86),'changes1_based on steps'!D$1:D$400,0)),D$2,)</f>
        <v>0</v>
      </c>
      <c r="E86" s="140">
        <f ca="1">IF(ISNUMBER(MATCH(DATEVALUE($A86),'changes1_based on steps'!E$1:E$400,0)),E$2,)</f>
        <v>0</v>
      </c>
      <c r="F86" s="140">
        <f ca="1">IF(ISNUMBER(MATCH(DATEVALUE($A86),'changes1_based on steps'!F$1:F$400,0)),F$2,)</f>
        <v>0</v>
      </c>
      <c r="G86" s="140">
        <f ca="1">IF(ISNUMBER(MATCH(DATEVALUE($A86),'changes1_based on steps'!G$1:G$400,0)),G$2,)</f>
        <v>0</v>
      </c>
      <c r="H86" s="140">
        <f ca="1">IF(ISNUMBER(MATCH(DATEVALUE($A86),'changes1_based on steps'!H$1:H$400,0)),H$2,)</f>
        <v>0</v>
      </c>
      <c r="I86" s="140">
        <f ca="1">IF(ISNUMBER(MATCH(DATEVALUE($A86),'changes1_based on steps'!I$1:I$400,0)),I$2,)</f>
        <v>0</v>
      </c>
      <c r="J86" s="140">
        <f ca="1">IF(ISNUMBER(MATCH(DATEVALUE($A86),'changes1_based on steps'!J$1:J$400,0)),J$2,)</f>
        <v>0</v>
      </c>
      <c r="K86" s="140">
        <f ca="1">IF(ISNUMBER(MATCH(DATEVALUE($A86),'changes1_based on steps'!K$1:K$400,0)),K$2,)</f>
        <v>0</v>
      </c>
      <c r="L86" s="140">
        <f ca="1">IF(ISNUMBER(MATCH(DATEVALUE($A86),'changes1_based on steps'!L$1:L$400,0)),L$2,)</f>
        <v>0</v>
      </c>
      <c r="M86" s="140">
        <f ca="1">IF(ISNUMBER(MATCH(DATEVALUE($A86),'changes1_based on steps'!M$1:M$400,0)),M$2,)</f>
        <v>0</v>
      </c>
      <c r="N86" s="140">
        <f ca="1">IF(ISNUMBER(MATCH(DATEVALUE($A86),'changes1_based on steps'!N$1:N$400,0)),N$2,)</f>
        <v>0</v>
      </c>
      <c r="O86" s="140">
        <f ca="1">IF(ISNUMBER(MATCH(DATEVALUE($A86),'changes1_based on steps'!O$1:O$400,0)),O$2,)</f>
        <v>0</v>
      </c>
      <c r="P86" s="140">
        <f ca="1">IF(ISNUMBER(MATCH(DATEVALUE($A86),'changes1_based on steps'!P$1:P$400,0)),P$2,)</f>
        <v>0</v>
      </c>
      <c r="Q86" s="140">
        <f ca="1">IF(ISNUMBER(MATCH(DATEVALUE($A86),'changes1_based on steps'!Q$1:Q$400,0)),Q$2,)</f>
        <v>0</v>
      </c>
      <c r="R86" s="140">
        <f ca="1">IF(ISNUMBER(MATCH(DATEVALUE($A86),'changes1_based on steps'!R$1:R$400,0)),R$2,)</f>
        <v>0</v>
      </c>
      <c r="S86" s="140">
        <f ca="1">IF(ISNUMBER(MATCH(DATEVALUE($A86),'changes1_based on steps'!S$1:S$400,0)),S$2,)</f>
        <v>0</v>
      </c>
      <c r="T86" s="140">
        <f ca="1">IF(ISNUMBER(MATCH(DATEVALUE($A86),'changes1_based on steps'!T$1:T$400,0)),T$2,)</f>
        <v>0</v>
      </c>
      <c r="U86" s="140">
        <f ca="1">IF(ISNUMBER(MATCH(DATEVALUE($A86),'changes1_based on steps'!U$1:U$400,0)),U$2,)</f>
        <v>0</v>
      </c>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row>
    <row r="87" spans="1:101" x14ac:dyDescent="0.2">
      <c r="A87" s="29" t="str">
        <f t="shared" ca="1" si="1"/>
        <v>2025-06-19</v>
      </c>
      <c r="B87" s="140">
        <f ca="1">IF(ISNUMBER(MATCH(DATEVALUE($A87),'changes1_based on steps'!B$1:B$400,0)),B$2,)</f>
        <v>0</v>
      </c>
      <c r="C87" s="140">
        <f ca="1">IF(ISNUMBER(MATCH(DATEVALUE($A87),'changes1_based on steps'!C$1:C$400,0)),C$2,)</f>
        <v>0</v>
      </c>
      <c r="D87" s="140">
        <f ca="1">IF(ISNUMBER(MATCH(DATEVALUE($A87),'changes1_based on steps'!D$1:D$400,0)),D$2,)</f>
        <v>0</v>
      </c>
      <c r="E87" s="140">
        <f ca="1">IF(ISNUMBER(MATCH(DATEVALUE($A87),'changes1_based on steps'!E$1:E$400,0)),E$2,)</f>
        <v>0</v>
      </c>
      <c r="F87" s="140">
        <f ca="1">IF(ISNUMBER(MATCH(DATEVALUE($A87),'changes1_based on steps'!F$1:F$400,0)),F$2,)</f>
        <v>0</v>
      </c>
      <c r="G87" s="140">
        <f ca="1">IF(ISNUMBER(MATCH(DATEVALUE($A87),'changes1_based on steps'!G$1:G$400,0)),G$2,)</f>
        <v>0</v>
      </c>
      <c r="H87" s="140">
        <f ca="1">IF(ISNUMBER(MATCH(DATEVALUE($A87),'changes1_based on steps'!H$1:H$400,0)),H$2,)</f>
        <v>0</v>
      </c>
      <c r="I87" s="140">
        <f ca="1">IF(ISNUMBER(MATCH(DATEVALUE($A87),'changes1_based on steps'!I$1:I$400,0)),I$2,)</f>
        <v>0</v>
      </c>
      <c r="J87" s="140">
        <f ca="1">IF(ISNUMBER(MATCH(DATEVALUE($A87),'changes1_based on steps'!J$1:J$400,0)),J$2,)</f>
        <v>0</v>
      </c>
      <c r="K87" s="140">
        <f ca="1">IF(ISNUMBER(MATCH(DATEVALUE($A87),'changes1_based on steps'!K$1:K$400,0)),K$2,)</f>
        <v>0</v>
      </c>
      <c r="L87" s="140">
        <f ca="1">IF(ISNUMBER(MATCH(DATEVALUE($A87),'changes1_based on steps'!L$1:L$400,0)),L$2,)</f>
        <v>0</v>
      </c>
      <c r="M87" s="140">
        <f ca="1">IF(ISNUMBER(MATCH(DATEVALUE($A87),'changes1_based on steps'!M$1:M$400,0)),M$2,)</f>
        <v>0</v>
      </c>
      <c r="N87" s="140">
        <f ca="1">IF(ISNUMBER(MATCH(DATEVALUE($A87),'changes1_based on steps'!N$1:N$400,0)),N$2,)</f>
        <v>0</v>
      </c>
      <c r="O87" s="140">
        <f ca="1">IF(ISNUMBER(MATCH(DATEVALUE($A87),'changes1_based on steps'!O$1:O$400,0)),O$2,)</f>
        <v>0</v>
      </c>
      <c r="P87" s="140">
        <f ca="1">IF(ISNUMBER(MATCH(DATEVALUE($A87),'changes1_based on steps'!P$1:P$400,0)),P$2,)</f>
        <v>0</v>
      </c>
      <c r="Q87" s="140">
        <f ca="1">IF(ISNUMBER(MATCH(DATEVALUE($A87),'changes1_based on steps'!Q$1:Q$400,0)),Q$2,)</f>
        <v>0</v>
      </c>
      <c r="R87" s="140">
        <f ca="1">IF(ISNUMBER(MATCH(DATEVALUE($A87),'changes1_based on steps'!R$1:R$400,0)),R$2,)</f>
        <v>0</v>
      </c>
      <c r="S87" s="140">
        <f ca="1">IF(ISNUMBER(MATCH(DATEVALUE($A87),'changes1_based on steps'!S$1:S$400,0)),S$2,)</f>
        <v>0</v>
      </c>
      <c r="T87" s="140">
        <f ca="1">IF(ISNUMBER(MATCH(DATEVALUE($A87),'changes1_based on steps'!T$1:T$400,0)),T$2,)</f>
        <v>0</v>
      </c>
      <c r="U87" s="140">
        <f ca="1">IF(ISNUMBER(MATCH(DATEVALUE($A87),'changes1_based on steps'!U$1:U$400,0)),U$2,)</f>
        <v>0</v>
      </c>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c r="BC87" s="140"/>
      <c r="BD87" s="140"/>
      <c r="BE87" s="140"/>
      <c r="BF87" s="140"/>
      <c r="BG87" s="140"/>
      <c r="BH87" s="140"/>
      <c r="BI87" s="140"/>
      <c r="BJ87" s="140"/>
      <c r="BK87" s="140"/>
      <c r="BL87" s="140"/>
      <c r="BM87" s="140"/>
      <c r="BN87" s="140"/>
      <c r="BO87" s="140"/>
      <c r="BP87" s="140"/>
      <c r="BQ87" s="140"/>
      <c r="BR87" s="140"/>
      <c r="BS87" s="140"/>
      <c r="BT87" s="140"/>
      <c r="BU87" s="140"/>
      <c r="BV87" s="140"/>
      <c r="BW87" s="140"/>
      <c r="BX87" s="140"/>
      <c r="BY87" s="140"/>
      <c r="BZ87" s="140"/>
      <c r="CA87" s="140"/>
      <c r="CB87" s="140"/>
      <c r="CC87" s="140"/>
      <c r="CD87" s="140"/>
      <c r="CE87" s="140"/>
      <c r="CF87" s="140"/>
      <c r="CG87" s="140"/>
      <c r="CH87" s="140"/>
      <c r="CI87" s="140"/>
      <c r="CJ87" s="140"/>
      <c r="CK87" s="140"/>
      <c r="CL87" s="140"/>
      <c r="CM87" s="140"/>
      <c r="CN87" s="140"/>
      <c r="CO87" s="140"/>
      <c r="CP87" s="140"/>
      <c r="CQ87" s="140"/>
      <c r="CR87" s="140"/>
      <c r="CS87" s="140"/>
      <c r="CT87" s="140"/>
      <c r="CU87" s="140"/>
      <c r="CV87" s="140"/>
      <c r="CW87" s="140"/>
    </row>
    <row r="88" spans="1:101" x14ac:dyDescent="0.2">
      <c r="A88" s="29" t="str">
        <f t="shared" ca="1" si="1"/>
        <v>2025-06-20</v>
      </c>
      <c r="B88" s="140">
        <f ca="1">IF(ISNUMBER(MATCH(DATEVALUE($A88),'changes1_based on steps'!B$1:B$400,0)),B$2,)</f>
        <v>0</v>
      </c>
      <c r="C88" s="140">
        <f ca="1">IF(ISNUMBER(MATCH(DATEVALUE($A88),'changes1_based on steps'!C$1:C$400,0)),C$2,)</f>
        <v>0</v>
      </c>
      <c r="D88" s="140">
        <f ca="1">IF(ISNUMBER(MATCH(DATEVALUE($A88),'changes1_based on steps'!D$1:D$400,0)),D$2,)</f>
        <v>0</v>
      </c>
      <c r="E88" s="140">
        <f ca="1">IF(ISNUMBER(MATCH(DATEVALUE($A88),'changes1_based on steps'!E$1:E$400,0)),E$2,)</f>
        <v>0</v>
      </c>
      <c r="F88" s="140">
        <f ca="1">IF(ISNUMBER(MATCH(DATEVALUE($A88),'changes1_based on steps'!F$1:F$400,0)),F$2,)</f>
        <v>0</v>
      </c>
      <c r="G88" s="140">
        <f ca="1">IF(ISNUMBER(MATCH(DATEVALUE($A88),'changes1_based on steps'!G$1:G$400,0)),G$2,)</f>
        <v>0</v>
      </c>
      <c r="H88" s="140">
        <f ca="1">IF(ISNUMBER(MATCH(DATEVALUE($A88),'changes1_based on steps'!H$1:H$400,0)),H$2,)</f>
        <v>0</v>
      </c>
      <c r="I88" s="140">
        <f ca="1">IF(ISNUMBER(MATCH(DATEVALUE($A88),'changes1_based on steps'!I$1:I$400,0)),I$2,)</f>
        <v>0</v>
      </c>
      <c r="J88" s="140">
        <f ca="1">IF(ISNUMBER(MATCH(DATEVALUE($A88),'changes1_based on steps'!J$1:J$400,0)),J$2,)</f>
        <v>0</v>
      </c>
      <c r="K88" s="140">
        <f ca="1">IF(ISNUMBER(MATCH(DATEVALUE($A88),'changes1_based on steps'!K$1:K$400,0)),K$2,)</f>
        <v>0</v>
      </c>
      <c r="L88" s="140">
        <f ca="1">IF(ISNUMBER(MATCH(DATEVALUE($A88),'changes1_based on steps'!L$1:L$400,0)),L$2,)</f>
        <v>0</v>
      </c>
      <c r="M88" s="140">
        <f ca="1">IF(ISNUMBER(MATCH(DATEVALUE($A88),'changes1_based on steps'!M$1:M$400,0)),M$2,)</f>
        <v>0</v>
      </c>
      <c r="N88" s="140">
        <f ca="1">IF(ISNUMBER(MATCH(DATEVALUE($A88),'changes1_based on steps'!N$1:N$400,0)),N$2,)</f>
        <v>0</v>
      </c>
      <c r="O88" s="140">
        <f ca="1">IF(ISNUMBER(MATCH(DATEVALUE($A88),'changes1_based on steps'!O$1:O$400,0)),O$2,)</f>
        <v>0</v>
      </c>
      <c r="P88" s="140">
        <f ca="1">IF(ISNUMBER(MATCH(DATEVALUE($A88),'changes1_based on steps'!P$1:P$400,0)),P$2,)</f>
        <v>0</v>
      </c>
      <c r="Q88" s="140">
        <f ca="1">IF(ISNUMBER(MATCH(DATEVALUE($A88),'changes1_based on steps'!Q$1:Q$400,0)),Q$2,)</f>
        <v>0</v>
      </c>
      <c r="R88" s="140">
        <f ca="1">IF(ISNUMBER(MATCH(DATEVALUE($A88),'changes1_based on steps'!R$1:R$400,0)),R$2,)</f>
        <v>0</v>
      </c>
      <c r="S88" s="140">
        <f ca="1">IF(ISNUMBER(MATCH(DATEVALUE($A88),'changes1_based on steps'!S$1:S$400,0)),S$2,)</f>
        <v>0</v>
      </c>
      <c r="T88" s="140">
        <f ca="1">IF(ISNUMBER(MATCH(DATEVALUE($A88),'changes1_based on steps'!T$1:T$400,0)),T$2,)</f>
        <v>0</v>
      </c>
      <c r="U88" s="140">
        <f ca="1">IF(ISNUMBER(MATCH(DATEVALUE($A88),'changes1_based on steps'!U$1:U$400,0)),U$2,)</f>
        <v>0</v>
      </c>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c r="CG88" s="140"/>
      <c r="CH88" s="140"/>
      <c r="CI88" s="140"/>
      <c r="CJ88" s="140"/>
      <c r="CK88" s="140"/>
      <c r="CL88" s="140"/>
      <c r="CM88" s="140"/>
      <c r="CN88" s="140"/>
      <c r="CO88" s="140"/>
      <c r="CP88" s="140"/>
      <c r="CQ88" s="140"/>
      <c r="CR88" s="140"/>
      <c r="CS88" s="140"/>
      <c r="CT88" s="140"/>
      <c r="CU88" s="140"/>
      <c r="CV88" s="140"/>
      <c r="CW88" s="140"/>
    </row>
    <row r="89" spans="1:101" x14ac:dyDescent="0.2">
      <c r="A89" s="29" t="str">
        <f t="shared" ca="1" si="1"/>
        <v>2025-06-21</v>
      </c>
      <c r="B89" s="140">
        <f ca="1">IF(ISNUMBER(MATCH(DATEVALUE($A89),'changes1_based on steps'!B$1:B$400,0)),B$2,)</f>
        <v>0</v>
      </c>
      <c r="C89" s="140">
        <f ca="1">IF(ISNUMBER(MATCH(DATEVALUE($A89),'changes1_based on steps'!C$1:C$400,0)),C$2,)</f>
        <v>0</v>
      </c>
      <c r="D89" s="140">
        <f ca="1">IF(ISNUMBER(MATCH(DATEVALUE($A89),'changes1_based on steps'!D$1:D$400,0)),D$2,)</f>
        <v>0</v>
      </c>
      <c r="E89" s="140">
        <f ca="1">IF(ISNUMBER(MATCH(DATEVALUE($A89),'changes1_based on steps'!E$1:E$400,0)),E$2,)</f>
        <v>0</v>
      </c>
      <c r="F89" s="140">
        <f ca="1">IF(ISNUMBER(MATCH(DATEVALUE($A89),'changes1_based on steps'!F$1:F$400,0)),F$2,)</f>
        <v>0</v>
      </c>
      <c r="G89" s="140">
        <f ca="1">IF(ISNUMBER(MATCH(DATEVALUE($A89),'changes1_based on steps'!G$1:G$400,0)),G$2,)</f>
        <v>0</v>
      </c>
      <c r="H89" s="140">
        <f ca="1">IF(ISNUMBER(MATCH(DATEVALUE($A89),'changes1_based on steps'!H$1:H$400,0)),H$2,)</f>
        <v>0</v>
      </c>
      <c r="I89" s="140">
        <f ca="1">IF(ISNUMBER(MATCH(DATEVALUE($A89),'changes1_based on steps'!I$1:I$400,0)),I$2,)</f>
        <v>0</v>
      </c>
      <c r="J89" s="140">
        <f ca="1">IF(ISNUMBER(MATCH(DATEVALUE($A89),'changes1_based on steps'!J$1:J$400,0)),J$2,)</f>
        <v>0</v>
      </c>
      <c r="K89" s="140">
        <f ca="1">IF(ISNUMBER(MATCH(DATEVALUE($A89),'changes1_based on steps'!K$1:K$400,0)),K$2,)</f>
        <v>0</v>
      </c>
      <c r="L89" s="140">
        <f ca="1">IF(ISNUMBER(MATCH(DATEVALUE($A89),'changes1_based on steps'!L$1:L$400,0)),L$2,)</f>
        <v>0</v>
      </c>
      <c r="M89" s="140">
        <f ca="1">IF(ISNUMBER(MATCH(DATEVALUE($A89),'changes1_based on steps'!M$1:M$400,0)),M$2,)</f>
        <v>0</v>
      </c>
      <c r="N89" s="140">
        <f ca="1">IF(ISNUMBER(MATCH(DATEVALUE($A89),'changes1_based on steps'!N$1:N$400,0)),N$2,)</f>
        <v>0</v>
      </c>
      <c r="O89" s="140">
        <f ca="1">IF(ISNUMBER(MATCH(DATEVALUE($A89),'changes1_based on steps'!O$1:O$400,0)),O$2,)</f>
        <v>0</v>
      </c>
      <c r="P89" s="140">
        <f ca="1">IF(ISNUMBER(MATCH(DATEVALUE($A89),'changes1_based on steps'!P$1:P$400,0)),P$2,)</f>
        <v>0</v>
      </c>
      <c r="Q89" s="140">
        <f ca="1">IF(ISNUMBER(MATCH(DATEVALUE($A89),'changes1_based on steps'!Q$1:Q$400,0)),Q$2,)</f>
        <v>0</v>
      </c>
      <c r="R89" s="140">
        <f ca="1">IF(ISNUMBER(MATCH(DATEVALUE($A89),'changes1_based on steps'!R$1:R$400,0)),R$2,)</f>
        <v>0</v>
      </c>
      <c r="S89" s="140">
        <f ca="1">IF(ISNUMBER(MATCH(DATEVALUE($A89),'changes1_based on steps'!S$1:S$400,0)),S$2,)</f>
        <v>0</v>
      </c>
      <c r="T89" s="140">
        <f ca="1">IF(ISNUMBER(MATCH(DATEVALUE($A89),'changes1_based on steps'!T$1:T$400,0)),T$2,)</f>
        <v>0</v>
      </c>
      <c r="U89" s="140">
        <f ca="1">IF(ISNUMBER(MATCH(DATEVALUE($A89),'changes1_based on steps'!U$1:U$400,0)),U$2,)</f>
        <v>0</v>
      </c>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c r="BC89" s="140"/>
      <c r="BD89" s="140"/>
      <c r="BE89" s="140"/>
      <c r="BF89" s="140"/>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c r="CG89" s="140"/>
      <c r="CH89" s="140"/>
      <c r="CI89" s="140"/>
      <c r="CJ89" s="140"/>
      <c r="CK89" s="140"/>
      <c r="CL89" s="140"/>
      <c r="CM89" s="140"/>
      <c r="CN89" s="140"/>
      <c r="CO89" s="140"/>
      <c r="CP89" s="140"/>
      <c r="CQ89" s="140"/>
      <c r="CR89" s="140"/>
      <c r="CS89" s="140"/>
      <c r="CT89" s="140"/>
      <c r="CU89" s="140"/>
      <c r="CV89" s="140"/>
      <c r="CW89" s="140"/>
    </row>
    <row r="90" spans="1:101" x14ac:dyDescent="0.2">
      <c r="A90" s="29" t="str">
        <f t="shared" ca="1" si="1"/>
        <v>2025-06-22</v>
      </c>
      <c r="B90" s="140">
        <f ca="1">IF(ISNUMBER(MATCH(DATEVALUE($A90),'changes1_based on steps'!B$1:B$400,0)),B$2,)</f>
        <v>0</v>
      </c>
      <c r="C90" s="140">
        <f ca="1">IF(ISNUMBER(MATCH(DATEVALUE($A90),'changes1_based on steps'!C$1:C$400,0)),C$2,)</f>
        <v>0</v>
      </c>
      <c r="D90" s="140">
        <f ca="1">IF(ISNUMBER(MATCH(DATEVALUE($A90),'changes1_based on steps'!D$1:D$400,0)),D$2,)</f>
        <v>0</v>
      </c>
      <c r="E90" s="140">
        <f ca="1">IF(ISNUMBER(MATCH(DATEVALUE($A90),'changes1_based on steps'!E$1:E$400,0)),E$2,)</f>
        <v>0</v>
      </c>
      <c r="F90" s="140">
        <f ca="1">IF(ISNUMBER(MATCH(DATEVALUE($A90),'changes1_based on steps'!F$1:F$400,0)),F$2,)</f>
        <v>0</v>
      </c>
      <c r="G90" s="140">
        <f ca="1">IF(ISNUMBER(MATCH(DATEVALUE($A90),'changes1_based on steps'!G$1:G$400,0)),G$2,)</f>
        <v>0</v>
      </c>
      <c r="H90" s="140">
        <f ca="1">IF(ISNUMBER(MATCH(DATEVALUE($A90),'changes1_based on steps'!H$1:H$400,0)),H$2,)</f>
        <v>0</v>
      </c>
      <c r="I90" s="140">
        <f ca="1">IF(ISNUMBER(MATCH(DATEVALUE($A90),'changes1_based on steps'!I$1:I$400,0)),I$2,)</f>
        <v>0</v>
      </c>
      <c r="J90" s="140">
        <f ca="1">IF(ISNUMBER(MATCH(DATEVALUE($A90),'changes1_based on steps'!J$1:J$400,0)),J$2,)</f>
        <v>0</v>
      </c>
      <c r="K90" s="140">
        <f ca="1">IF(ISNUMBER(MATCH(DATEVALUE($A90),'changes1_based on steps'!K$1:K$400,0)),K$2,)</f>
        <v>0</v>
      </c>
      <c r="L90" s="140">
        <f ca="1">IF(ISNUMBER(MATCH(DATEVALUE($A90),'changes1_based on steps'!L$1:L$400,0)),L$2,)</f>
        <v>0</v>
      </c>
      <c r="M90" s="140">
        <f ca="1">IF(ISNUMBER(MATCH(DATEVALUE($A90),'changes1_based on steps'!M$1:M$400,0)),M$2,)</f>
        <v>0</v>
      </c>
      <c r="N90" s="140">
        <f ca="1">IF(ISNUMBER(MATCH(DATEVALUE($A90),'changes1_based on steps'!N$1:N$400,0)),N$2,)</f>
        <v>0</v>
      </c>
      <c r="O90" s="140">
        <f ca="1">IF(ISNUMBER(MATCH(DATEVALUE($A90),'changes1_based on steps'!O$1:O$400,0)),O$2,)</f>
        <v>0</v>
      </c>
      <c r="P90" s="140">
        <f ca="1">IF(ISNUMBER(MATCH(DATEVALUE($A90),'changes1_based on steps'!P$1:P$400,0)),P$2,)</f>
        <v>0</v>
      </c>
      <c r="Q90" s="140">
        <f ca="1">IF(ISNUMBER(MATCH(DATEVALUE($A90),'changes1_based on steps'!Q$1:Q$400,0)),Q$2,)</f>
        <v>0</v>
      </c>
      <c r="R90" s="140">
        <f ca="1">IF(ISNUMBER(MATCH(DATEVALUE($A90),'changes1_based on steps'!R$1:R$400,0)),R$2,)</f>
        <v>0</v>
      </c>
      <c r="S90" s="140">
        <f ca="1">IF(ISNUMBER(MATCH(DATEVALUE($A90),'changes1_based on steps'!S$1:S$400,0)),S$2,)</f>
        <v>0</v>
      </c>
      <c r="T90" s="140">
        <f ca="1">IF(ISNUMBER(MATCH(DATEVALUE($A90),'changes1_based on steps'!T$1:T$400,0)),T$2,)</f>
        <v>0</v>
      </c>
      <c r="U90" s="140">
        <f ca="1">IF(ISNUMBER(MATCH(DATEVALUE($A90),'changes1_based on steps'!U$1:U$400,0)),U$2,)</f>
        <v>0</v>
      </c>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c r="BC90" s="140"/>
      <c r="BD90" s="140"/>
      <c r="BE90" s="140"/>
      <c r="BF90" s="140"/>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c r="CG90" s="140"/>
      <c r="CH90" s="140"/>
      <c r="CI90" s="140"/>
      <c r="CJ90" s="140"/>
      <c r="CK90" s="140"/>
      <c r="CL90" s="140"/>
      <c r="CM90" s="140"/>
      <c r="CN90" s="140"/>
      <c r="CO90" s="140"/>
      <c r="CP90" s="140"/>
      <c r="CQ90" s="140"/>
      <c r="CR90" s="140"/>
      <c r="CS90" s="140"/>
      <c r="CT90" s="140"/>
      <c r="CU90" s="140"/>
      <c r="CV90" s="140"/>
      <c r="CW90" s="140"/>
    </row>
    <row r="91" spans="1:101" x14ac:dyDescent="0.2">
      <c r="A91" s="29" t="str">
        <f t="shared" ca="1" si="1"/>
        <v>2025-06-23</v>
      </c>
      <c r="B91" s="140">
        <f ca="1">IF(ISNUMBER(MATCH(DATEVALUE($A91),'changes1_based on steps'!B$1:B$400,0)),B$2,)</f>
        <v>0</v>
      </c>
      <c r="C91" s="140">
        <f ca="1">IF(ISNUMBER(MATCH(DATEVALUE($A91),'changes1_based on steps'!C$1:C$400,0)),C$2,)</f>
        <v>0</v>
      </c>
      <c r="D91" s="140">
        <f ca="1">IF(ISNUMBER(MATCH(DATEVALUE($A91),'changes1_based on steps'!D$1:D$400,0)),D$2,)</f>
        <v>0</v>
      </c>
      <c r="E91" s="140">
        <f ca="1">IF(ISNUMBER(MATCH(DATEVALUE($A91),'changes1_based on steps'!E$1:E$400,0)),E$2,)</f>
        <v>0</v>
      </c>
      <c r="F91" s="140">
        <f ca="1">IF(ISNUMBER(MATCH(DATEVALUE($A91),'changes1_based on steps'!F$1:F$400,0)),F$2,)</f>
        <v>0</v>
      </c>
      <c r="G91" s="140">
        <f ca="1">IF(ISNUMBER(MATCH(DATEVALUE($A91),'changes1_based on steps'!G$1:G$400,0)),G$2,)</f>
        <v>0</v>
      </c>
      <c r="H91" s="140">
        <f ca="1">IF(ISNUMBER(MATCH(DATEVALUE($A91),'changes1_based on steps'!H$1:H$400,0)),H$2,)</f>
        <v>0</v>
      </c>
      <c r="I91" s="140">
        <f ca="1">IF(ISNUMBER(MATCH(DATEVALUE($A91),'changes1_based on steps'!I$1:I$400,0)),I$2,)</f>
        <v>0</v>
      </c>
      <c r="J91" s="140">
        <f ca="1">IF(ISNUMBER(MATCH(DATEVALUE($A91),'changes1_based on steps'!J$1:J$400,0)),J$2,)</f>
        <v>0</v>
      </c>
      <c r="K91" s="140">
        <f ca="1">IF(ISNUMBER(MATCH(DATEVALUE($A91),'changes1_based on steps'!K$1:K$400,0)),K$2,)</f>
        <v>0</v>
      </c>
      <c r="L91" s="140">
        <f ca="1">IF(ISNUMBER(MATCH(DATEVALUE($A91),'changes1_based on steps'!L$1:L$400,0)),L$2,)</f>
        <v>0</v>
      </c>
      <c r="M91" s="140">
        <f ca="1">IF(ISNUMBER(MATCH(DATEVALUE($A91),'changes1_based on steps'!M$1:M$400,0)),M$2,)</f>
        <v>0</v>
      </c>
      <c r="N91" s="140">
        <f ca="1">IF(ISNUMBER(MATCH(DATEVALUE($A91),'changes1_based on steps'!N$1:N$400,0)),N$2,)</f>
        <v>0</v>
      </c>
      <c r="O91" s="140">
        <f ca="1">IF(ISNUMBER(MATCH(DATEVALUE($A91),'changes1_based on steps'!O$1:O$400,0)),O$2,)</f>
        <v>0</v>
      </c>
      <c r="P91" s="140">
        <f ca="1">IF(ISNUMBER(MATCH(DATEVALUE($A91),'changes1_based on steps'!P$1:P$400,0)),P$2,)</f>
        <v>0</v>
      </c>
      <c r="Q91" s="140">
        <f ca="1">IF(ISNUMBER(MATCH(DATEVALUE($A91),'changes1_based on steps'!Q$1:Q$400,0)),Q$2,)</f>
        <v>0</v>
      </c>
      <c r="R91" s="140">
        <f ca="1">IF(ISNUMBER(MATCH(DATEVALUE($A91),'changes1_based on steps'!R$1:R$400,0)),R$2,)</f>
        <v>0</v>
      </c>
      <c r="S91" s="140">
        <f ca="1">IF(ISNUMBER(MATCH(DATEVALUE($A91),'changes1_based on steps'!S$1:S$400,0)),S$2,)</f>
        <v>0</v>
      </c>
      <c r="T91" s="140">
        <f ca="1">IF(ISNUMBER(MATCH(DATEVALUE($A91),'changes1_based on steps'!T$1:T$400,0)),T$2,)</f>
        <v>0</v>
      </c>
      <c r="U91" s="140">
        <f ca="1">IF(ISNUMBER(MATCH(DATEVALUE($A91),'changes1_based on steps'!U$1:U$400,0)),U$2,)</f>
        <v>0</v>
      </c>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c r="BE91" s="140"/>
      <c r="BF91" s="140"/>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c r="CG91" s="140"/>
      <c r="CH91" s="140"/>
      <c r="CI91" s="140"/>
      <c r="CJ91" s="140"/>
      <c r="CK91" s="140"/>
      <c r="CL91" s="140"/>
      <c r="CM91" s="140"/>
      <c r="CN91" s="140"/>
      <c r="CO91" s="140"/>
      <c r="CP91" s="140"/>
      <c r="CQ91" s="140"/>
      <c r="CR91" s="140"/>
      <c r="CS91" s="140"/>
      <c r="CT91" s="140"/>
      <c r="CU91" s="140"/>
      <c r="CV91" s="140"/>
      <c r="CW91" s="140"/>
    </row>
    <row r="92" spans="1:101" x14ac:dyDescent="0.2">
      <c r="A92" s="29" t="str">
        <f t="shared" ca="1" si="1"/>
        <v>2025-06-24</v>
      </c>
      <c r="B92" s="140">
        <f ca="1">IF(ISNUMBER(MATCH(DATEVALUE($A92),'changes1_based on steps'!B$1:B$400,0)),B$2,)</f>
        <v>0</v>
      </c>
      <c r="C92" s="140">
        <f ca="1">IF(ISNUMBER(MATCH(DATEVALUE($A92),'changes1_based on steps'!C$1:C$400,0)),C$2,)</f>
        <v>0</v>
      </c>
      <c r="D92" s="140">
        <f ca="1">IF(ISNUMBER(MATCH(DATEVALUE($A92),'changes1_based on steps'!D$1:D$400,0)),D$2,)</f>
        <v>0</v>
      </c>
      <c r="E92" s="140">
        <f ca="1">IF(ISNUMBER(MATCH(DATEVALUE($A92),'changes1_based on steps'!E$1:E$400,0)),E$2,)</f>
        <v>0</v>
      </c>
      <c r="F92" s="140">
        <f ca="1">IF(ISNUMBER(MATCH(DATEVALUE($A92),'changes1_based on steps'!F$1:F$400,0)),F$2,)</f>
        <v>0</v>
      </c>
      <c r="G92" s="140">
        <f ca="1">IF(ISNUMBER(MATCH(DATEVALUE($A92),'changes1_based on steps'!G$1:G$400,0)),G$2,)</f>
        <v>0</v>
      </c>
      <c r="H92" s="140">
        <f ca="1">IF(ISNUMBER(MATCH(DATEVALUE($A92),'changes1_based on steps'!H$1:H$400,0)),H$2,)</f>
        <v>0</v>
      </c>
      <c r="I92" s="140">
        <f ca="1">IF(ISNUMBER(MATCH(DATEVALUE($A92),'changes1_based on steps'!I$1:I$400,0)),I$2,)</f>
        <v>0</v>
      </c>
      <c r="J92" s="140">
        <f ca="1">IF(ISNUMBER(MATCH(DATEVALUE($A92),'changes1_based on steps'!J$1:J$400,0)),J$2,)</f>
        <v>0</v>
      </c>
      <c r="K92" s="140">
        <f ca="1">IF(ISNUMBER(MATCH(DATEVALUE($A92),'changes1_based on steps'!K$1:K$400,0)),K$2,)</f>
        <v>0</v>
      </c>
      <c r="L92" s="140">
        <f ca="1">IF(ISNUMBER(MATCH(DATEVALUE($A92),'changes1_based on steps'!L$1:L$400,0)),L$2,)</f>
        <v>0</v>
      </c>
      <c r="M92" s="140">
        <f ca="1">IF(ISNUMBER(MATCH(DATEVALUE($A92),'changes1_based on steps'!M$1:M$400,0)),M$2,)</f>
        <v>0</v>
      </c>
      <c r="N92" s="140">
        <f ca="1">IF(ISNUMBER(MATCH(DATEVALUE($A92),'changes1_based on steps'!N$1:N$400,0)),N$2,)</f>
        <v>0</v>
      </c>
      <c r="O92" s="140">
        <f ca="1">IF(ISNUMBER(MATCH(DATEVALUE($A92),'changes1_based on steps'!O$1:O$400,0)),O$2,)</f>
        <v>0</v>
      </c>
      <c r="P92" s="140">
        <f ca="1">IF(ISNUMBER(MATCH(DATEVALUE($A92),'changes1_based on steps'!P$1:P$400,0)),P$2,)</f>
        <v>0</v>
      </c>
      <c r="Q92" s="140">
        <f ca="1">IF(ISNUMBER(MATCH(DATEVALUE($A92),'changes1_based on steps'!Q$1:Q$400,0)),Q$2,)</f>
        <v>0</v>
      </c>
      <c r="R92" s="140">
        <f ca="1">IF(ISNUMBER(MATCH(DATEVALUE($A92),'changes1_based on steps'!R$1:R$400,0)),R$2,)</f>
        <v>0</v>
      </c>
      <c r="S92" s="140">
        <f ca="1">IF(ISNUMBER(MATCH(DATEVALUE($A92),'changes1_based on steps'!S$1:S$400,0)),S$2,)</f>
        <v>0</v>
      </c>
      <c r="T92" s="140">
        <f ca="1">IF(ISNUMBER(MATCH(DATEVALUE($A92),'changes1_based on steps'!T$1:T$400,0)),T$2,)</f>
        <v>0</v>
      </c>
      <c r="U92" s="140">
        <f ca="1">IF(ISNUMBER(MATCH(DATEVALUE($A92),'changes1_based on steps'!U$1:U$400,0)),U$2,)</f>
        <v>0</v>
      </c>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c r="BC92" s="140"/>
      <c r="BD92" s="140"/>
      <c r="BE92" s="140"/>
      <c r="BF92" s="140"/>
      <c r="BG92" s="140"/>
      <c r="BH92" s="140"/>
      <c r="BI92" s="140"/>
      <c r="BJ92" s="140"/>
      <c r="BK92" s="140"/>
      <c r="BL92" s="140"/>
      <c r="BM92" s="140"/>
      <c r="BN92" s="140"/>
      <c r="BO92" s="140"/>
      <c r="BP92" s="140"/>
      <c r="BQ92" s="140"/>
      <c r="BR92" s="140"/>
      <c r="BS92" s="140"/>
      <c r="BT92" s="140"/>
      <c r="BU92" s="140"/>
      <c r="BV92" s="140"/>
      <c r="BW92" s="140"/>
      <c r="BX92" s="140"/>
      <c r="BY92" s="140"/>
      <c r="BZ92" s="140"/>
      <c r="CA92" s="140"/>
      <c r="CB92" s="140"/>
      <c r="CC92" s="140"/>
      <c r="CD92" s="140"/>
      <c r="CE92" s="140"/>
      <c r="CF92" s="140"/>
      <c r="CG92" s="140"/>
      <c r="CH92" s="140"/>
      <c r="CI92" s="140"/>
      <c r="CJ92" s="140"/>
      <c r="CK92" s="140"/>
      <c r="CL92" s="140"/>
      <c r="CM92" s="140"/>
      <c r="CN92" s="140"/>
      <c r="CO92" s="140"/>
      <c r="CP92" s="140"/>
      <c r="CQ92" s="140"/>
      <c r="CR92" s="140"/>
      <c r="CS92" s="140"/>
      <c r="CT92" s="140"/>
      <c r="CU92" s="140"/>
      <c r="CV92" s="140"/>
      <c r="CW92" s="140"/>
    </row>
    <row r="93" spans="1:101" x14ac:dyDescent="0.2">
      <c r="A93" s="29" t="str">
        <f t="shared" ca="1" si="1"/>
        <v>2025-06-25</v>
      </c>
      <c r="B93" s="140">
        <f ca="1">IF(ISNUMBER(MATCH(DATEVALUE($A93),'changes1_based on steps'!B$1:B$400,0)),B$2,)</f>
        <v>0</v>
      </c>
      <c r="C93" s="140">
        <f ca="1">IF(ISNUMBER(MATCH(DATEVALUE($A93),'changes1_based on steps'!C$1:C$400,0)),C$2,)</f>
        <v>0</v>
      </c>
      <c r="D93" s="140">
        <f ca="1">IF(ISNUMBER(MATCH(DATEVALUE($A93),'changes1_based on steps'!D$1:D$400,0)),D$2,)</f>
        <v>0</v>
      </c>
      <c r="E93" s="140">
        <f ca="1">IF(ISNUMBER(MATCH(DATEVALUE($A93),'changes1_based on steps'!E$1:E$400,0)),E$2,)</f>
        <v>0</v>
      </c>
      <c r="F93" s="140">
        <f ca="1">IF(ISNUMBER(MATCH(DATEVALUE($A93),'changes1_based on steps'!F$1:F$400,0)),F$2,)</f>
        <v>0</v>
      </c>
      <c r="G93" s="140">
        <f ca="1">IF(ISNUMBER(MATCH(DATEVALUE($A93),'changes1_based on steps'!G$1:G$400,0)),G$2,)</f>
        <v>0</v>
      </c>
      <c r="H93" s="140">
        <f ca="1">IF(ISNUMBER(MATCH(DATEVALUE($A93),'changes1_based on steps'!H$1:H$400,0)),H$2,)</f>
        <v>0</v>
      </c>
      <c r="I93" s="140">
        <f ca="1">IF(ISNUMBER(MATCH(DATEVALUE($A93),'changes1_based on steps'!I$1:I$400,0)),I$2,)</f>
        <v>0</v>
      </c>
      <c r="J93" s="140">
        <f ca="1">IF(ISNUMBER(MATCH(DATEVALUE($A93),'changes1_based on steps'!J$1:J$400,0)),J$2,)</f>
        <v>0</v>
      </c>
      <c r="K93" s="140">
        <f ca="1">IF(ISNUMBER(MATCH(DATEVALUE($A93),'changes1_based on steps'!K$1:K$400,0)),K$2,)</f>
        <v>0</v>
      </c>
      <c r="L93" s="140">
        <f ca="1">IF(ISNUMBER(MATCH(DATEVALUE($A93),'changes1_based on steps'!L$1:L$400,0)),L$2,)</f>
        <v>0</v>
      </c>
      <c r="M93" s="140">
        <f ca="1">IF(ISNUMBER(MATCH(DATEVALUE($A93),'changes1_based on steps'!M$1:M$400,0)),M$2,)</f>
        <v>0</v>
      </c>
      <c r="N93" s="140">
        <f ca="1">IF(ISNUMBER(MATCH(DATEVALUE($A93),'changes1_based on steps'!N$1:N$400,0)),N$2,)</f>
        <v>0</v>
      </c>
      <c r="O93" s="140">
        <f ca="1">IF(ISNUMBER(MATCH(DATEVALUE($A93),'changes1_based on steps'!O$1:O$400,0)),O$2,)</f>
        <v>0</v>
      </c>
      <c r="P93" s="140">
        <f ca="1">IF(ISNUMBER(MATCH(DATEVALUE($A93),'changes1_based on steps'!P$1:P$400,0)),P$2,)</f>
        <v>0</v>
      </c>
      <c r="Q93" s="140">
        <f ca="1">IF(ISNUMBER(MATCH(DATEVALUE($A93),'changes1_based on steps'!Q$1:Q$400,0)),Q$2,)</f>
        <v>0</v>
      </c>
      <c r="R93" s="140">
        <f ca="1">IF(ISNUMBER(MATCH(DATEVALUE($A93),'changes1_based on steps'!R$1:R$400,0)),R$2,)</f>
        <v>0</v>
      </c>
      <c r="S93" s="140">
        <f ca="1">IF(ISNUMBER(MATCH(DATEVALUE($A93),'changes1_based on steps'!S$1:S$400,0)),S$2,)</f>
        <v>0</v>
      </c>
      <c r="T93" s="140">
        <f ca="1">IF(ISNUMBER(MATCH(DATEVALUE($A93),'changes1_based on steps'!T$1:T$400,0)),T$2,)</f>
        <v>0</v>
      </c>
      <c r="U93" s="140">
        <f ca="1">IF(ISNUMBER(MATCH(DATEVALUE($A93),'changes1_based on steps'!U$1:U$400,0)),U$2,)</f>
        <v>0</v>
      </c>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c r="BC93" s="140"/>
      <c r="BD93" s="140"/>
      <c r="BE93" s="140"/>
      <c r="BF93" s="140"/>
      <c r="BG93" s="140"/>
      <c r="BH93" s="140"/>
      <c r="BI93" s="140"/>
      <c r="BJ93" s="140"/>
      <c r="BK93" s="140"/>
      <c r="BL93" s="140"/>
      <c r="BM93" s="140"/>
      <c r="BN93" s="140"/>
      <c r="BO93" s="140"/>
      <c r="BP93" s="140"/>
      <c r="BQ93" s="140"/>
      <c r="BR93" s="140"/>
      <c r="BS93" s="140"/>
      <c r="BT93" s="140"/>
      <c r="BU93" s="140"/>
      <c r="BV93" s="140"/>
      <c r="BW93" s="140"/>
      <c r="BX93" s="140"/>
      <c r="BY93" s="140"/>
      <c r="BZ93" s="140"/>
      <c r="CA93" s="140"/>
      <c r="CB93" s="140"/>
      <c r="CC93" s="140"/>
      <c r="CD93" s="140"/>
      <c r="CE93" s="140"/>
      <c r="CF93" s="140"/>
      <c r="CG93" s="140"/>
      <c r="CH93" s="140"/>
      <c r="CI93" s="140"/>
      <c r="CJ93" s="140"/>
      <c r="CK93" s="140"/>
      <c r="CL93" s="140"/>
      <c r="CM93" s="140"/>
      <c r="CN93" s="140"/>
      <c r="CO93" s="140"/>
      <c r="CP93" s="140"/>
      <c r="CQ93" s="140"/>
      <c r="CR93" s="140"/>
      <c r="CS93" s="140"/>
      <c r="CT93" s="140"/>
      <c r="CU93" s="140"/>
      <c r="CV93" s="140"/>
      <c r="CW93" s="140"/>
    </row>
    <row r="94" spans="1:101" x14ac:dyDescent="0.2">
      <c r="A94" s="29" t="str">
        <f t="shared" ca="1" si="1"/>
        <v>2025-06-26</v>
      </c>
      <c r="B94" s="140">
        <f ca="1">IF(ISNUMBER(MATCH(DATEVALUE($A94),'changes1_based on steps'!B$1:B$400,0)),B$2,)</f>
        <v>0</v>
      </c>
      <c r="C94" s="140">
        <f ca="1">IF(ISNUMBER(MATCH(DATEVALUE($A94),'changes1_based on steps'!C$1:C$400,0)),C$2,)</f>
        <v>0</v>
      </c>
      <c r="D94" s="140">
        <f ca="1">IF(ISNUMBER(MATCH(DATEVALUE($A94),'changes1_based on steps'!D$1:D$400,0)),D$2,)</f>
        <v>0</v>
      </c>
      <c r="E94" s="140">
        <f ca="1">IF(ISNUMBER(MATCH(DATEVALUE($A94),'changes1_based on steps'!E$1:E$400,0)),E$2,)</f>
        <v>0</v>
      </c>
      <c r="F94" s="140">
        <f ca="1">IF(ISNUMBER(MATCH(DATEVALUE($A94),'changes1_based on steps'!F$1:F$400,0)),F$2,)</f>
        <v>0</v>
      </c>
      <c r="G94" s="140">
        <f ca="1">IF(ISNUMBER(MATCH(DATEVALUE($A94),'changes1_based on steps'!G$1:G$400,0)),G$2,)</f>
        <v>0</v>
      </c>
      <c r="H94" s="140">
        <f ca="1">IF(ISNUMBER(MATCH(DATEVALUE($A94),'changes1_based on steps'!H$1:H$400,0)),H$2,)</f>
        <v>0</v>
      </c>
      <c r="I94" s="140">
        <f ca="1">IF(ISNUMBER(MATCH(DATEVALUE($A94),'changes1_based on steps'!I$1:I$400,0)),I$2,)</f>
        <v>0</v>
      </c>
      <c r="J94" s="140">
        <f ca="1">IF(ISNUMBER(MATCH(DATEVALUE($A94),'changes1_based on steps'!J$1:J$400,0)),J$2,)</f>
        <v>0</v>
      </c>
      <c r="K94" s="140">
        <f ca="1">IF(ISNUMBER(MATCH(DATEVALUE($A94),'changes1_based on steps'!K$1:K$400,0)),K$2,)</f>
        <v>0</v>
      </c>
      <c r="L94" s="140">
        <f ca="1">IF(ISNUMBER(MATCH(DATEVALUE($A94),'changes1_based on steps'!L$1:L$400,0)),L$2,)</f>
        <v>0</v>
      </c>
      <c r="M94" s="140">
        <f ca="1">IF(ISNUMBER(MATCH(DATEVALUE($A94),'changes1_based on steps'!M$1:M$400,0)),M$2,)</f>
        <v>0</v>
      </c>
      <c r="N94" s="140">
        <f ca="1">IF(ISNUMBER(MATCH(DATEVALUE($A94),'changes1_based on steps'!N$1:N$400,0)),N$2,)</f>
        <v>0</v>
      </c>
      <c r="O94" s="140">
        <f ca="1">IF(ISNUMBER(MATCH(DATEVALUE($A94),'changes1_based on steps'!O$1:O$400,0)),O$2,)</f>
        <v>0</v>
      </c>
      <c r="P94" s="140">
        <f ca="1">IF(ISNUMBER(MATCH(DATEVALUE($A94),'changes1_based on steps'!P$1:P$400,0)),P$2,)</f>
        <v>0</v>
      </c>
      <c r="Q94" s="140">
        <f ca="1">IF(ISNUMBER(MATCH(DATEVALUE($A94),'changes1_based on steps'!Q$1:Q$400,0)),Q$2,)</f>
        <v>0</v>
      </c>
      <c r="R94" s="140">
        <f ca="1">IF(ISNUMBER(MATCH(DATEVALUE($A94),'changes1_based on steps'!R$1:R$400,0)),R$2,)</f>
        <v>0</v>
      </c>
      <c r="S94" s="140">
        <f ca="1">IF(ISNUMBER(MATCH(DATEVALUE($A94),'changes1_based on steps'!S$1:S$400,0)),S$2,)</f>
        <v>0</v>
      </c>
      <c r="T94" s="140">
        <f ca="1">IF(ISNUMBER(MATCH(DATEVALUE($A94),'changes1_based on steps'!T$1:T$400,0)),T$2,)</f>
        <v>0</v>
      </c>
      <c r="U94" s="140">
        <f ca="1">IF(ISNUMBER(MATCH(DATEVALUE($A94),'changes1_based on steps'!U$1:U$400,0)),U$2,)</f>
        <v>0</v>
      </c>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c r="BC94" s="140"/>
      <c r="BD94" s="140"/>
      <c r="BE94" s="140"/>
      <c r="BF94" s="140"/>
      <c r="BG94" s="140"/>
      <c r="BH94" s="140"/>
      <c r="BI94" s="140"/>
      <c r="BJ94" s="140"/>
      <c r="BK94" s="140"/>
      <c r="BL94" s="140"/>
      <c r="BM94" s="140"/>
      <c r="BN94" s="140"/>
      <c r="BO94" s="140"/>
      <c r="BP94" s="140"/>
      <c r="BQ94" s="140"/>
      <c r="BR94" s="140"/>
      <c r="BS94" s="140"/>
      <c r="BT94" s="140"/>
      <c r="BU94" s="140"/>
      <c r="BV94" s="140"/>
      <c r="BW94" s="140"/>
      <c r="BX94" s="140"/>
      <c r="BY94" s="140"/>
      <c r="BZ94" s="140"/>
      <c r="CA94" s="140"/>
      <c r="CB94" s="140"/>
      <c r="CC94" s="140"/>
      <c r="CD94" s="140"/>
      <c r="CE94" s="140"/>
      <c r="CF94" s="140"/>
      <c r="CG94" s="140"/>
      <c r="CH94" s="140"/>
      <c r="CI94" s="140"/>
      <c r="CJ94" s="140"/>
      <c r="CK94" s="140"/>
      <c r="CL94" s="140"/>
      <c r="CM94" s="140"/>
      <c r="CN94" s="140"/>
      <c r="CO94" s="140"/>
      <c r="CP94" s="140"/>
      <c r="CQ94" s="140"/>
      <c r="CR94" s="140"/>
      <c r="CS94" s="140"/>
      <c r="CT94" s="140"/>
      <c r="CU94" s="140"/>
      <c r="CV94" s="140"/>
      <c r="CW94" s="140"/>
    </row>
    <row r="95" spans="1:101" x14ac:dyDescent="0.2">
      <c r="A95" s="29" t="str">
        <f t="shared" ca="1" si="1"/>
        <v>2025-06-27</v>
      </c>
      <c r="B95" s="140">
        <f ca="1">IF(ISNUMBER(MATCH(DATEVALUE($A95),'changes1_based on steps'!B$1:B$400,0)),B$2,)</f>
        <v>0</v>
      </c>
      <c r="C95" s="140">
        <f ca="1">IF(ISNUMBER(MATCH(DATEVALUE($A95),'changes1_based on steps'!C$1:C$400,0)),C$2,)</f>
        <v>0</v>
      </c>
      <c r="D95" s="140">
        <f ca="1">IF(ISNUMBER(MATCH(DATEVALUE($A95),'changes1_based on steps'!D$1:D$400,0)),D$2,)</f>
        <v>0</v>
      </c>
      <c r="E95" s="140">
        <f ca="1">IF(ISNUMBER(MATCH(DATEVALUE($A95),'changes1_based on steps'!E$1:E$400,0)),E$2,)</f>
        <v>0</v>
      </c>
      <c r="F95" s="140">
        <f ca="1">IF(ISNUMBER(MATCH(DATEVALUE($A95),'changes1_based on steps'!F$1:F$400,0)),F$2,)</f>
        <v>0</v>
      </c>
      <c r="G95" s="140">
        <f ca="1">IF(ISNUMBER(MATCH(DATEVALUE($A95),'changes1_based on steps'!G$1:G$400,0)),G$2,)</f>
        <v>0</v>
      </c>
      <c r="H95" s="140">
        <f ca="1">IF(ISNUMBER(MATCH(DATEVALUE($A95),'changes1_based on steps'!H$1:H$400,0)),H$2,)</f>
        <v>0</v>
      </c>
      <c r="I95" s="140">
        <f ca="1">IF(ISNUMBER(MATCH(DATEVALUE($A95),'changes1_based on steps'!I$1:I$400,0)),I$2,)</f>
        <v>0</v>
      </c>
      <c r="J95" s="140">
        <f ca="1">IF(ISNUMBER(MATCH(DATEVALUE($A95),'changes1_based on steps'!J$1:J$400,0)),J$2,)</f>
        <v>0</v>
      </c>
      <c r="K95" s="140">
        <f ca="1">IF(ISNUMBER(MATCH(DATEVALUE($A95),'changes1_based on steps'!K$1:K$400,0)),K$2,)</f>
        <v>0</v>
      </c>
      <c r="L95" s="140">
        <f ca="1">IF(ISNUMBER(MATCH(DATEVALUE($A95),'changes1_based on steps'!L$1:L$400,0)),L$2,)</f>
        <v>0</v>
      </c>
      <c r="M95" s="140">
        <f ca="1">IF(ISNUMBER(MATCH(DATEVALUE($A95),'changes1_based on steps'!M$1:M$400,0)),M$2,)</f>
        <v>0</v>
      </c>
      <c r="N95" s="140">
        <f ca="1">IF(ISNUMBER(MATCH(DATEVALUE($A95),'changes1_based on steps'!N$1:N$400,0)),N$2,)</f>
        <v>0</v>
      </c>
      <c r="O95" s="140">
        <f ca="1">IF(ISNUMBER(MATCH(DATEVALUE($A95),'changes1_based on steps'!O$1:O$400,0)),O$2,)</f>
        <v>0</v>
      </c>
      <c r="P95" s="140">
        <f ca="1">IF(ISNUMBER(MATCH(DATEVALUE($A95),'changes1_based on steps'!P$1:P$400,0)),P$2,)</f>
        <v>0</v>
      </c>
      <c r="Q95" s="140">
        <f ca="1">IF(ISNUMBER(MATCH(DATEVALUE($A95),'changes1_based on steps'!Q$1:Q$400,0)),Q$2,)</f>
        <v>0</v>
      </c>
      <c r="R95" s="140">
        <f ca="1">IF(ISNUMBER(MATCH(DATEVALUE($A95),'changes1_based on steps'!R$1:R$400,0)),R$2,)</f>
        <v>0</v>
      </c>
      <c r="S95" s="140">
        <f ca="1">IF(ISNUMBER(MATCH(DATEVALUE($A95),'changes1_based on steps'!S$1:S$400,0)),S$2,)</f>
        <v>0</v>
      </c>
      <c r="T95" s="140">
        <f ca="1">IF(ISNUMBER(MATCH(DATEVALUE($A95),'changes1_based on steps'!T$1:T$400,0)),T$2,)</f>
        <v>0</v>
      </c>
      <c r="U95" s="140">
        <f ca="1">IF(ISNUMBER(MATCH(DATEVALUE($A95),'changes1_based on steps'!U$1:U$400,0)),U$2,)</f>
        <v>0</v>
      </c>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c r="BC95" s="140"/>
      <c r="BD95" s="140"/>
      <c r="BE95" s="140"/>
      <c r="BF95" s="140"/>
      <c r="BG95" s="140"/>
      <c r="BH95" s="140"/>
      <c r="BI95" s="140"/>
      <c r="BJ95" s="140"/>
      <c r="BK95" s="140"/>
      <c r="BL95" s="140"/>
      <c r="BM95" s="140"/>
      <c r="BN95" s="140"/>
      <c r="BO95" s="140"/>
      <c r="BP95" s="140"/>
      <c r="BQ95" s="140"/>
      <c r="BR95" s="140"/>
      <c r="BS95" s="140"/>
      <c r="BT95" s="140"/>
      <c r="BU95" s="140"/>
      <c r="BV95" s="140"/>
      <c r="BW95" s="140"/>
      <c r="BX95" s="140"/>
      <c r="BY95" s="140"/>
      <c r="BZ95" s="140"/>
      <c r="CA95" s="140"/>
      <c r="CB95" s="140"/>
      <c r="CC95" s="140"/>
      <c r="CD95" s="140"/>
      <c r="CE95" s="140"/>
      <c r="CF95" s="140"/>
      <c r="CG95" s="140"/>
      <c r="CH95" s="140"/>
      <c r="CI95" s="140"/>
      <c r="CJ95" s="140"/>
      <c r="CK95" s="140"/>
      <c r="CL95" s="140"/>
      <c r="CM95" s="140"/>
      <c r="CN95" s="140"/>
      <c r="CO95" s="140"/>
      <c r="CP95" s="140"/>
      <c r="CQ95" s="140"/>
      <c r="CR95" s="140"/>
      <c r="CS95" s="140"/>
      <c r="CT95" s="140"/>
      <c r="CU95" s="140"/>
      <c r="CV95" s="140"/>
      <c r="CW95" s="140"/>
    </row>
    <row r="96" spans="1:101" x14ac:dyDescent="0.2">
      <c r="A96" s="29" t="str">
        <f t="shared" ca="1" si="1"/>
        <v>2025-06-28</v>
      </c>
      <c r="B96" s="140">
        <f ca="1">IF(ISNUMBER(MATCH(DATEVALUE($A96),'changes1_based on steps'!B$1:B$400,0)),B$2,)</f>
        <v>0</v>
      </c>
      <c r="C96" s="140">
        <f ca="1">IF(ISNUMBER(MATCH(DATEVALUE($A96),'changes1_based on steps'!C$1:C$400,0)),C$2,)</f>
        <v>0</v>
      </c>
      <c r="D96" s="140">
        <f ca="1">IF(ISNUMBER(MATCH(DATEVALUE($A96),'changes1_based on steps'!D$1:D$400,0)),D$2,)</f>
        <v>0</v>
      </c>
      <c r="E96" s="140">
        <f ca="1">IF(ISNUMBER(MATCH(DATEVALUE($A96),'changes1_based on steps'!E$1:E$400,0)),E$2,)</f>
        <v>0</v>
      </c>
      <c r="F96" s="140">
        <f ca="1">IF(ISNUMBER(MATCH(DATEVALUE($A96),'changes1_based on steps'!F$1:F$400,0)),F$2,)</f>
        <v>0</v>
      </c>
      <c r="G96" s="140">
        <f ca="1">IF(ISNUMBER(MATCH(DATEVALUE($A96),'changes1_based on steps'!G$1:G$400,0)),G$2,)</f>
        <v>0</v>
      </c>
      <c r="H96" s="140">
        <f ca="1">IF(ISNUMBER(MATCH(DATEVALUE($A96),'changes1_based on steps'!H$1:H$400,0)),H$2,)</f>
        <v>0</v>
      </c>
      <c r="I96" s="140">
        <f ca="1">IF(ISNUMBER(MATCH(DATEVALUE($A96),'changes1_based on steps'!I$1:I$400,0)),I$2,)</f>
        <v>0</v>
      </c>
      <c r="J96" s="140">
        <f ca="1">IF(ISNUMBER(MATCH(DATEVALUE($A96),'changes1_based on steps'!J$1:J$400,0)),J$2,)</f>
        <v>0</v>
      </c>
      <c r="K96" s="140">
        <f ca="1">IF(ISNUMBER(MATCH(DATEVALUE($A96),'changes1_based on steps'!K$1:K$400,0)),K$2,)</f>
        <v>0</v>
      </c>
      <c r="L96" s="140">
        <f ca="1">IF(ISNUMBER(MATCH(DATEVALUE($A96),'changes1_based on steps'!L$1:L$400,0)),L$2,)</f>
        <v>0</v>
      </c>
      <c r="M96" s="140">
        <f ca="1">IF(ISNUMBER(MATCH(DATEVALUE($A96),'changes1_based on steps'!M$1:M$400,0)),M$2,)</f>
        <v>0</v>
      </c>
      <c r="N96" s="140">
        <f ca="1">IF(ISNUMBER(MATCH(DATEVALUE($A96),'changes1_based on steps'!N$1:N$400,0)),N$2,)</f>
        <v>0</v>
      </c>
      <c r="O96" s="140">
        <f ca="1">IF(ISNUMBER(MATCH(DATEVALUE($A96),'changes1_based on steps'!O$1:O$400,0)),O$2,)</f>
        <v>0</v>
      </c>
      <c r="P96" s="140">
        <f ca="1">IF(ISNUMBER(MATCH(DATEVALUE($A96),'changes1_based on steps'!P$1:P$400,0)),P$2,)</f>
        <v>0</v>
      </c>
      <c r="Q96" s="140">
        <f ca="1">IF(ISNUMBER(MATCH(DATEVALUE($A96),'changes1_based on steps'!Q$1:Q$400,0)),Q$2,)</f>
        <v>0</v>
      </c>
      <c r="R96" s="140">
        <f ca="1">IF(ISNUMBER(MATCH(DATEVALUE($A96),'changes1_based on steps'!R$1:R$400,0)),R$2,)</f>
        <v>0</v>
      </c>
      <c r="S96" s="140">
        <f ca="1">IF(ISNUMBER(MATCH(DATEVALUE($A96),'changes1_based on steps'!S$1:S$400,0)),S$2,)</f>
        <v>0</v>
      </c>
      <c r="T96" s="140">
        <f ca="1">IF(ISNUMBER(MATCH(DATEVALUE($A96),'changes1_based on steps'!T$1:T$400,0)),T$2,)</f>
        <v>0</v>
      </c>
      <c r="U96" s="140">
        <f ca="1">IF(ISNUMBER(MATCH(DATEVALUE($A96),'changes1_based on steps'!U$1:U$400,0)),U$2,)</f>
        <v>0</v>
      </c>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c r="BC96" s="140"/>
      <c r="BD96" s="140"/>
      <c r="BE96" s="140"/>
      <c r="BF96" s="140"/>
      <c r="BG96" s="140"/>
      <c r="BH96" s="140"/>
      <c r="BI96" s="140"/>
      <c r="BJ96" s="140"/>
      <c r="BK96" s="140"/>
      <c r="BL96" s="140"/>
      <c r="BM96" s="140"/>
      <c r="BN96" s="140"/>
      <c r="BO96" s="140"/>
      <c r="BP96" s="140"/>
      <c r="BQ96" s="140"/>
      <c r="BR96" s="140"/>
      <c r="BS96" s="140"/>
      <c r="BT96" s="140"/>
      <c r="BU96" s="140"/>
      <c r="BV96" s="140"/>
      <c r="BW96" s="140"/>
      <c r="BX96" s="140"/>
      <c r="BY96" s="140"/>
      <c r="BZ96" s="140"/>
      <c r="CA96" s="140"/>
      <c r="CB96" s="140"/>
      <c r="CC96" s="140"/>
      <c r="CD96" s="140"/>
      <c r="CE96" s="140"/>
      <c r="CF96" s="140"/>
      <c r="CG96" s="140"/>
      <c r="CH96" s="140"/>
      <c r="CI96" s="140"/>
      <c r="CJ96" s="140"/>
      <c r="CK96" s="140"/>
      <c r="CL96" s="140"/>
      <c r="CM96" s="140"/>
      <c r="CN96" s="140"/>
      <c r="CO96" s="140"/>
      <c r="CP96" s="140"/>
      <c r="CQ96" s="140"/>
      <c r="CR96" s="140"/>
      <c r="CS96" s="140"/>
      <c r="CT96" s="140"/>
      <c r="CU96" s="140"/>
      <c r="CV96" s="140"/>
      <c r="CW96" s="140"/>
    </row>
    <row r="97" spans="1:101" x14ac:dyDescent="0.2">
      <c r="A97" s="29" t="str">
        <f t="shared" ca="1" si="1"/>
        <v>2025-06-29</v>
      </c>
      <c r="B97" s="140">
        <f ca="1">IF(ISNUMBER(MATCH(DATEVALUE($A97),'changes1_based on steps'!B$1:B$400,0)),B$2,)</f>
        <v>0</v>
      </c>
      <c r="C97" s="140">
        <f ca="1">IF(ISNUMBER(MATCH(DATEVALUE($A97),'changes1_based on steps'!C$1:C$400,0)),C$2,)</f>
        <v>0</v>
      </c>
      <c r="D97" s="140">
        <f ca="1">IF(ISNUMBER(MATCH(DATEVALUE($A97),'changes1_based on steps'!D$1:D$400,0)),D$2,)</f>
        <v>0</v>
      </c>
      <c r="E97" s="140">
        <f ca="1">IF(ISNUMBER(MATCH(DATEVALUE($A97),'changes1_based on steps'!E$1:E$400,0)),E$2,)</f>
        <v>0</v>
      </c>
      <c r="F97" s="140">
        <f ca="1">IF(ISNUMBER(MATCH(DATEVALUE($A97),'changes1_based on steps'!F$1:F$400,0)),F$2,)</f>
        <v>0</v>
      </c>
      <c r="G97" s="140">
        <f ca="1">IF(ISNUMBER(MATCH(DATEVALUE($A97),'changes1_based on steps'!G$1:G$400,0)),G$2,)</f>
        <v>0</v>
      </c>
      <c r="H97" s="140">
        <f ca="1">IF(ISNUMBER(MATCH(DATEVALUE($A97),'changes1_based on steps'!H$1:H$400,0)),H$2,)</f>
        <v>0</v>
      </c>
      <c r="I97" s="140">
        <f ca="1">IF(ISNUMBER(MATCH(DATEVALUE($A97),'changes1_based on steps'!I$1:I$400,0)),I$2,)</f>
        <v>0</v>
      </c>
      <c r="J97" s="140">
        <f ca="1">IF(ISNUMBER(MATCH(DATEVALUE($A97),'changes1_based on steps'!J$1:J$400,0)),J$2,)</f>
        <v>0</v>
      </c>
      <c r="K97" s="140">
        <f ca="1">IF(ISNUMBER(MATCH(DATEVALUE($A97),'changes1_based on steps'!K$1:K$400,0)),K$2,)</f>
        <v>0</v>
      </c>
      <c r="L97" s="140">
        <f ca="1">IF(ISNUMBER(MATCH(DATEVALUE($A97),'changes1_based on steps'!L$1:L$400,0)),L$2,)</f>
        <v>0</v>
      </c>
      <c r="M97" s="140">
        <f ca="1">IF(ISNUMBER(MATCH(DATEVALUE($A97),'changes1_based on steps'!M$1:M$400,0)),M$2,)</f>
        <v>0</v>
      </c>
      <c r="N97" s="140">
        <f ca="1">IF(ISNUMBER(MATCH(DATEVALUE($A97),'changes1_based on steps'!N$1:N$400,0)),N$2,)</f>
        <v>0</v>
      </c>
      <c r="O97" s="140">
        <f ca="1">IF(ISNUMBER(MATCH(DATEVALUE($A97),'changes1_based on steps'!O$1:O$400,0)),O$2,)</f>
        <v>0</v>
      </c>
      <c r="P97" s="140">
        <f ca="1">IF(ISNUMBER(MATCH(DATEVALUE($A97),'changes1_based on steps'!P$1:P$400,0)),P$2,)</f>
        <v>0</v>
      </c>
      <c r="Q97" s="140">
        <f ca="1">IF(ISNUMBER(MATCH(DATEVALUE($A97),'changes1_based on steps'!Q$1:Q$400,0)),Q$2,)</f>
        <v>0</v>
      </c>
      <c r="R97" s="140">
        <f ca="1">IF(ISNUMBER(MATCH(DATEVALUE($A97),'changes1_based on steps'!R$1:R$400,0)),R$2,)</f>
        <v>0</v>
      </c>
      <c r="S97" s="140">
        <f ca="1">IF(ISNUMBER(MATCH(DATEVALUE($A97),'changes1_based on steps'!S$1:S$400,0)),S$2,)</f>
        <v>0</v>
      </c>
      <c r="T97" s="140">
        <f ca="1">IF(ISNUMBER(MATCH(DATEVALUE($A97),'changes1_based on steps'!T$1:T$400,0)),T$2,)</f>
        <v>0</v>
      </c>
      <c r="U97" s="140">
        <f ca="1">IF(ISNUMBER(MATCH(DATEVALUE($A97),'changes1_based on steps'!U$1:U$400,0)),U$2,)</f>
        <v>0</v>
      </c>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c r="BC97" s="140"/>
      <c r="BD97" s="140"/>
      <c r="BE97" s="140"/>
      <c r="BF97" s="140"/>
      <c r="BG97" s="140"/>
      <c r="BH97" s="140"/>
      <c r="BI97" s="140"/>
      <c r="BJ97" s="140"/>
      <c r="BK97" s="140"/>
      <c r="BL97" s="140"/>
      <c r="BM97" s="140"/>
      <c r="BN97" s="140"/>
      <c r="BO97" s="140"/>
      <c r="BP97" s="140"/>
      <c r="BQ97" s="140"/>
      <c r="BR97" s="140"/>
      <c r="BS97" s="140"/>
      <c r="BT97" s="140"/>
      <c r="BU97" s="140"/>
      <c r="BV97" s="140"/>
      <c r="BW97" s="140"/>
      <c r="BX97" s="140"/>
      <c r="BY97" s="140"/>
      <c r="BZ97" s="140"/>
      <c r="CA97" s="140"/>
      <c r="CB97" s="140"/>
      <c r="CC97" s="140"/>
      <c r="CD97" s="140"/>
      <c r="CE97" s="140"/>
      <c r="CF97" s="140"/>
      <c r="CG97" s="140"/>
      <c r="CH97" s="140"/>
      <c r="CI97" s="140"/>
      <c r="CJ97" s="140"/>
      <c r="CK97" s="140"/>
      <c r="CL97" s="140"/>
      <c r="CM97" s="140"/>
      <c r="CN97" s="140"/>
      <c r="CO97" s="140"/>
      <c r="CP97" s="140"/>
      <c r="CQ97" s="140"/>
      <c r="CR97" s="140"/>
      <c r="CS97" s="140"/>
      <c r="CT97" s="140"/>
      <c r="CU97" s="140"/>
      <c r="CV97" s="140"/>
      <c r="CW97" s="140"/>
    </row>
    <row r="98" spans="1:101" x14ac:dyDescent="0.2">
      <c r="A98" s="29" t="str">
        <f t="shared" ca="1" si="1"/>
        <v>2025-06-30</v>
      </c>
      <c r="B98" s="140">
        <f ca="1">IF(ISNUMBER(MATCH(DATEVALUE($A98),'changes1_based on steps'!B$1:B$400,0)),B$2,)</f>
        <v>0</v>
      </c>
      <c r="C98" s="140">
        <f ca="1">IF(ISNUMBER(MATCH(DATEVALUE($A98),'changes1_based on steps'!C$1:C$400,0)),C$2,)</f>
        <v>0</v>
      </c>
      <c r="D98" s="140">
        <f ca="1">IF(ISNUMBER(MATCH(DATEVALUE($A98),'changes1_based on steps'!D$1:D$400,0)),D$2,)</f>
        <v>0</v>
      </c>
      <c r="E98" s="140">
        <f ca="1">IF(ISNUMBER(MATCH(DATEVALUE($A98),'changes1_based on steps'!E$1:E$400,0)),E$2,)</f>
        <v>0</v>
      </c>
      <c r="F98" s="140">
        <f ca="1">IF(ISNUMBER(MATCH(DATEVALUE($A98),'changes1_based on steps'!F$1:F$400,0)),F$2,)</f>
        <v>0</v>
      </c>
      <c r="G98" s="140">
        <f ca="1">IF(ISNUMBER(MATCH(DATEVALUE($A98),'changes1_based on steps'!G$1:G$400,0)),G$2,)</f>
        <v>0</v>
      </c>
      <c r="H98" s="140">
        <f ca="1">IF(ISNUMBER(MATCH(DATEVALUE($A98),'changes1_based on steps'!H$1:H$400,0)),H$2,)</f>
        <v>0</v>
      </c>
      <c r="I98" s="140">
        <f ca="1">IF(ISNUMBER(MATCH(DATEVALUE($A98),'changes1_based on steps'!I$1:I$400,0)),I$2,)</f>
        <v>0</v>
      </c>
      <c r="J98" s="140">
        <f ca="1">IF(ISNUMBER(MATCH(DATEVALUE($A98),'changes1_based on steps'!J$1:J$400,0)),J$2,)</f>
        <v>0</v>
      </c>
      <c r="K98" s="140">
        <f ca="1">IF(ISNUMBER(MATCH(DATEVALUE($A98),'changes1_based on steps'!K$1:K$400,0)),K$2,)</f>
        <v>0</v>
      </c>
      <c r="L98" s="140">
        <f ca="1">IF(ISNUMBER(MATCH(DATEVALUE($A98),'changes1_based on steps'!L$1:L$400,0)),L$2,)</f>
        <v>0</v>
      </c>
      <c r="M98" s="140">
        <f ca="1">IF(ISNUMBER(MATCH(DATEVALUE($A98),'changes1_based on steps'!M$1:M$400,0)),M$2,)</f>
        <v>0</v>
      </c>
      <c r="N98" s="140">
        <f ca="1">IF(ISNUMBER(MATCH(DATEVALUE($A98),'changes1_based on steps'!N$1:N$400,0)),N$2,)</f>
        <v>0</v>
      </c>
      <c r="O98" s="140">
        <f ca="1">IF(ISNUMBER(MATCH(DATEVALUE($A98),'changes1_based on steps'!O$1:O$400,0)),O$2,)</f>
        <v>0</v>
      </c>
      <c r="P98" s="140">
        <f ca="1">IF(ISNUMBER(MATCH(DATEVALUE($A98),'changes1_based on steps'!P$1:P$400,0)),P$2,)</f>
        <v>0</v>
      </c>
      <c r="Q98" s="140">
        <f ca="1">IF(ISNUMBER(MATCH(DATEVALUE($A98),'changes1_based on steps'!Q$1:Q$400,0)),Q$2,)</f>
        <v>0</v>
      </c>
      <c r="R98" s="140">
        <f ca="1">IF(ISNUMBER(MATCH(DATEVALUE($A98),'changes1_based on steps'!R$1:R$400,0)),R$2,)</f>
        <v>0</v>
      </c>
      <c r="S98" s="140">
        <f ca="1">IF(ISNUMBER(MATCH(DATEVALUE($A98),'changes1_based on steps'!S$1:S$400,0)),S$2,)</f>
        <v>0</v>
      </c>
      <c r="T98" s="140">
        <f ca="1">IF(ISNUMBER(MATCH(DATEVALUE($A98),'changes1_based on steps'!T$1:T$400,0)),T$2,)</f>
        <v>0</v>
      </c>
      <c r="U98" s="140">
        <f ca="1">IF(ISNUMBER(MATCH(DATEVALUE($A98),'changes1_based on steps'!U$1:U$400,0)),U$2,)</f>
        <v>0</v>
      </c>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c r="BC98" s="140"/>
      <c r="BD98" s="140"/>
      <c r="BE98" s="140"/>
      <c r="BF98" s="140"/>
      <c r="BG98" s="140"/>
      <c r="BH98" s="140"/>
      <c r="BI98" s="140"/>
      <c r="BJ98" s="140"/>
      <c r="BK98" s="140"/>
      <c r="BL98" s="140"/>
      <c r="BM98" s="140"/>
      <c r="BN98" s="140"/>
      <c r="BO98" s="140"/>
      <c r="BP98" s="140"/>
      <c r="BQ98" s="140"/>
      <c r="BR98" s="140"/>
      <c r="BS98" s="140"/>
      <c r="BT98" s="140"/>
      <c r="BU98" s="140"/>
      <c r="BV98" s="140"/>
      <c r="BW98" s="140"/>
      <c r="BX98" s="140"/>
      <c r="BY98" s="140"/>
      <c r="BZ98" s="140"/>
      <c r="CA98" s="140"/>
      <c r="CB98" s="140"/>
      <c r="CC98" s="140"/>
      <c r="CD98" s="140"/>
      <c r="CE98" s="140"/>
      <c r="CF98" s="140"/>
      <c r="CG98" s="140"/>
      <c r="CH98" s="140"/>
      <c r="CI98" s="140"/>
      <c r="CJ98" s="140"/>
      <c r="CK98" s="140"/>
      <c r="CL98" s="140"/>
      <c r="CM98" s="140"/>
      <c r="CN98" s="140"/>
      <c r="CO98" s="140"/>
      <c r="CP98" s="140"/>
      <c r="CQ98" s="140"/>
      <c r="CR98" s="140"/>
      <c r="CS98" s="140"/>
      <c r="CT98" s="140"/>
      <c r="CU98" s="140"/>
      <c r="CV98" s="140"/>
      <c r="CW98" s="140"/>
    </row>
    <row r="99" spans="1:101" x14ac:dyDescent="0.2">
      <c r="A99" s="29" t="str">
        <f t="shared" ca="1" si="1"/>
        <v>2025-07-01</v>
      </c>
      <c r="B99" s="140">
        <f ca="1">IF(ISNUMBER(MATCH(DATEVALUE($A99),'changes1_based on steps'!B$1:B$400,0)),B$2,)</f>
        <v>0</v>
      </c>
      <c r="C99" s="140">
        <f ca="1">IF(ISNUMBER(MATCH(DATEVALUE($A99),'changes1_based on steps'!C$1:C$400,0)),C$2,)</f>
        <v>0</v>
      </c>
      <c r="D99" s="140">
        <f ca="1">IF(ISNUMBER(MATCH(DATEVALUE($A99),'changes1_based on steps'!D$1:D$400,0)),D$2,)</f>
        <v>0</v>
      </c>
      <c r="E99" s="140">
        <f ca="1">IF(ISNUMBER(MATCH(DATEVALUE($A99),'changes1_based on steps'!E$1:E$400,0)),E$2,)</f>
        <v>0</v>
      </c>
      <c r="F99" s="140">
        <f ca="1">IF(ISNUMBER(MATCH(DATEVALUE($A99),'changes1_based on steps'!F$1:F$400,0)),F$2,)</f>
        <v>0</v>
      </c>
      <c r="G99" s="140">
        <f ca="1">IF(ISNUMBER(MATCH(DATEVALUE($A99),'changes1_based on steps'!G$1:G$400,0)),G$2,)</f>
        <v>0</v>
      </c>
      <c r="H99" s="140">
        <f ca="1">IF(ISNUMBER(MATCH(DATEVALUE($A99),'changes1_based on steps'!H$1:H$400,0)),H$2,)</f>
        <v>0</v>
      </c>
      <c r="I99" s="140">
        <f ca="1">IF(ISNUMBER(MATCH(DATEVALUE($A99),'changes1_based on steps'!I$1:I$400,0)),I$2,)</f>
        <v>0</v>
      </c>
      <c r="J99" s="140">
        <f ca="1">IF(ISNUMBER(MATCH(DATEVALUE($A99),'changes1_based on steps'!J$1:J$400,0)),J$2,)</f>
        <v>0</v>
      </c>
      <c r="K99" s="140">
        <f ca="1">IF(ISNUMBER(MATCH(DATEVALUE($A99),'changes1_based on steps'!K$1:K$400,0)),K$2,)</f>
        <v>0</v>
      </c>
      <c r="L99" s="140">
        <f ca="1">IF(ISNUMBER(MATCH(DATEVALUE($A99),'changes1_based on steps'!L$1:L$400,0)),L$2,)</f>
        <v>0</v>
      </c>
      <c r="M99" s="140">
        <f ca="1">IF(ISNUMBER(MATCH(DATEVALUE($A99),'changes1_based on steps'!M$1:M$400,0)),M$2,)</f>
        <v>0</v>
      </c>
      <c r="N99" s="140">
        <f ca="1">IF(ISNUMBER(MATCH(DATEVALUE($A99),'changes1_based on steps'!N$1:N$400,0)),N$2,)</f>
        <v>0</v>
      </c>
      <c r="O99" s="140">
        <f ca="1">IF(ISNUMBER(MATCH(DATEVALUE($A99),'changes1_based on steps'!O$1:O$400,0)),O$2,)</f>
        <v>0</v>
      </c>
      <c r="P99" s="140">
        <f ca="1">IF(ISNUMBER(MATCH(DATEVALUE($A99),'changes1_based on steps'!P$1:P$400,0)),P$2,)</f>
        <v>0</v>
      </c>
      <c r="Q99" s="140">
        <f ca="1">IF(ISNUMBER(MATCH(DATEVALUE($A99),'changes1_based on steps'!Q$1:Q$400,0)),Q$2,)</f>
        <v>0</v>
      </c>
      <c r="R99" s="140">
        <f ca="1">IF(ISNUMBER(MATCH(DATEVALUE($A99),'changes1_based on steps'!R$1:R$400,0)),R$2,)</f>
        <v>0</v>
      </c>
      <c r="S99" s="140">
        <f ca="1">IF(ISNUMBER(MATCH(DATEVALUE($A99),'changes1_based on steps'!S$1:S$400,0)),S$2,)</f>
        <v>0</v>
      </c>
      <c r="T99" s="140">
        <f ca="1">IF(ISNUMBER(MATCH(DATEVALUE($A99),'changes1_based on steps'!T$1:T$400,0)),T$2,)</f>
        <v>0</v>
      </c>
      <c r="U99" s="140">
        <f ca="1">IF(ISNUMBER(MATCH(DATEVALUE($A99),'changes1_based on steps'!U$1:U$400,0)),U$2,)</f>
        <v>0</v>
      </c>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c r="BC99" s="140"/>
      <c r="BD99" s="140"/>
      <c r="BE99" s="140"/>
      <c r="BF99" s="140"/>
      <c r="BG99" s="140"/>
      <c r="BH99" s="140"/>
      <c r="BI99" s="140"/>
      <c r="BJ99" s="140"/>
      <c r="BK99" s="140"/>
      <c r="BL99" s="140"/>
      <c r="BM99" s="140"/>
      <c r="BN99" s="140"/>
      <c r="BO99" s="140"/>
      <c r="BP99" s="140"/>
      <c r="BQ99" s="140"/>
      <c r="BR99" s="140"/>
      <c r="BS99" s="140"/>
      <c r="BT99" s="140"/>
      <c r="BU99" s="140"/>
      <c r="BV99" s="140"/>
      <c r="BW99" s="140"/>
      <c r="BX99" s="140"/>
      <c r="BY99" s="140"/>
      <c r="BZ99" s="140"/>
      <c r="CA99" s="140"/>
      <c r="CB99" s="140"/>
      <c r="CC99" s="140"/>
      <c r="CD99" s="140"/>
      <c r="CE99" s="140"/>
      <c r="CF99" s="140"/>
      <c r="CG99" s="140"/>
      <c r="CH99" s="140"/>
      <c r="CI99" s="140"/>
      <c r="CJ99" s="140"/>
      <c r="CK99" s="140"/>
      <c r="CL99" s="140"/>
      <c r="CM99" s="140"/>
      <c r="CN99" s="140"/>
      <c r="CO99" s="140"/>
      <c r="CP99" s="140"/>
      <c r="CQ99" s="140"/>
      <c r="CR99" s="140"/>
      <c r="CS99" s="140"/>
      <c r="CT99" s="140"/>
      <c r="CU99" s="140"/>
      <c r="CV99" s="140"/>
      <c r="CW99" s="140"/>
    </row>
    <row r="100" spans="1:101" x14ac:dyDescent="0.2">
      <c r="A100" s="29" t="str">
        <f t="shared" ca="1" si="1"/>
        <v>2025-07-02</v>
      </c>
      <c r="B100" s="140">
        <f ca="1">IF(ISNUMBER(MATCH(DATEVALUE($A100),'changes1_based on steps'!B$1:B$400,0)),B$2,)</f>
        <v>0</v>
      </c>
      <c r="C100" s="140">
        <f ca="1">IF(ISNUMBER(MATCH(DATEVALUE($A100),'changes1_based on steps'!C$1:C$400,0)),C$2,)</f>
        <v>0</v>
      </c>
      <c r="D100" s="140">
        <f ca="1">IF(ISNUMBER(MATCH(DATEVALUE($A100),'changes1_based on steps'!D$1:D$400,0)),D$2,)</f>
        <v>0</v>
      </c>
      <c r="E100" s="140">
        <f ca="1">IF(ISNUMBER(MATCH(DATEVALUE($A100),'changes1_based on steps'!E$1:E$400,0)),E$2,)</f>
        <v>0</v>
      </c>
      <c r="F100" s="140">
        <f ca="1">IF(ISNUMBER(MATCH(DATEVALUE($A100),'changes1_based on steps'!F$1:F$400,0)),F$2,)</f>
        <v>0</v>
      </c>
      <c r="G100" s="140">
        <f ca="1">IF(ISNUMBER(MATCH(DATEVALUE($A100),'changes1_based on steps'!G$1:G$400,0)),G$2,)</f>
        <v>0</v>
      </c>
      <c r="H100" s="140">
        <f ca="1">IF(ISNUMBER(MATCH(DATEVALUE($A100),'changes1_based on steps'!H$1:H$400,0)),H$2,)</f>
        <v>0</v>
      </c>
      <c r="I100" s="140">
        <f ca="1">IF(ISNUMBER(MATCH(DATEVALUE($A100),'changes1_based on steps'!I$1:I$400,0)),I$2,)</f>
        <v>0</v>
      </c>
      <c r="J100" s="140">
        <f ca="1">IF(ISNUMBER(MATCH(DATEVALUE($A100),'changes1_based on steps'!J$1:J$400,0)),J$2,)</f>
        <v>0</v>
      </c>
      <c r="K100" s="140">
        <f ca="1">IF(ISNUMBER(MATCH(DATEVALUE($A100),'changes1_based on steps'!K$1:K$400,0)),K$2,)</f>
        <v>0</v>
      </c>
      <c r="L100" s="140">
        <f ca="1">IF(ISNUMBER(MATCH(DATEVALUE($A100),'changes1_based on steps'!L$1:L$400,0)),L$2,)</f>
        <v>0</v>
      </c>
      <c r="M100" s="140">
        <f ca="1">IF(ISNUMBER(MATCH(DATEVALUE($A100),'changes1_based on steps'!M$1:M$400,0)),M$2,)</f>
        <v>0</v>
      </c>
      <c r="N100" s="140">
        <f ca="1">IF(ISNUMBER(MATCH(DATEVALUE($A100),'changes1_based on steps'!N$1:N$400,0)),N$2,)</f>
        <v>0</v>
      </c>
      <c r="O100" s="140">
        <f ca="1">IF(ISNUMBER(MATCH(DATEVALUE($A100),'changes1_based on steps'!O$1:O$400,0)),O$2,)</f>
        <v>0</v>
      </c>
      <c r="P100" s="140">
        <f ca="1">IF(ISNUMBER(MATCH(DATEVALUE($A100),'changes1_based on steps'!P$1:P$400,0)),P$2,)</f>
        <v>0</v>
      </c>
      <c r="Q100" s="140">
        <f ca="1">IF(ISNUMBER(MATCH(DATEVALUE($A100),'changes1_based on steps'!Q$1:Q$400,0)),Q$2,)</f>
        <v>0</v>
      </c>
      <c r="R100" s="140">
        <f ca="1">IF(ISNUMBER(MATCH(DATEVALUE($A100),'changes1_based on steps'!R$1:R$400,0)),R$2,)</f>
        <v>0</v>
      </c>
      <c r="S100" s="140">
        <f ca="1">IF(ISNUMBER(MATCH(DATEVALUE($A100),'changes1_based on steps'!S$1:S$400,0)),S$2,)</f>
        <v>0</v>
      </c>
      <c r="T100" s="140">
        <f ca="1">IF(ISNUMBER(MATCH(DATEVALUE($A100),'changes1_based on steps'!T$1:T$400,0)),T$2,)</f>
        <v>0</v>
      </c>
      <c r="U100" s="140">
        <f ca="1">IF(ISNUMBER(MATCH(DATEVALUE($A100),'changes1_based on steps'!U$1:U$400,0)),U$2,)</f>
        <v>0</v>
      </c>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c r="BC100" s="140"/>
      <c r="BD100" s="140"/>
      <c r="BE100" s="140"/>
      <c r="BF100" s="140"/>
      <c r="BG100" s="140"/>
      <c r="BH100" s="140"/>
      <c r="BI100" s="140"/>
      <c r="BJ100" s="140"/>
      <c r="BK100" s="140"/>
      <c r="BL100" s="140"/>
      <c r="BM100" s="140"/>
      <c r="BN100" s="140"/>
      <c r="BO100" s="140"/>
      <c r="BP100" s="140"/>
      <c r="BQ100" s="140"/>
      <c r="BR100" s="140"/>
      <c r="BS100" s="140"/>
      <c r="BT100" s="140"/>
      <c r="BU100" s="140"/>
      <c r="BV100" s="140"/>
      <c r="BW100" s="140"/>
      <c r="BX100" s="140"/>
      <c r="BY100" s="140"/>
      <c r="BZ100" s="140"/>
      <c r="CA100" s="140"/>
      <c r="CB100" s="140"/>
      <c r="CC100" s="140"/>
      <c r="CD100" s="140"/>
      <c r="CE100" s="140"/>
      <c r="CF100" s="140"/>
      <c r="CG100" s="140"/>
      <c r="CH100" s="140"/>
      <c r="CI100" s="140"/>
      <c r="CJ100" s="140"/>
      <c r="CK100" s="140"/>
      <c r="CL100" s="140"/>
      <c r="CM100" s="140"/>
      <c r="CN100" s="140"/>
      <c r="CO100" s="140"/>
      <c r="CP100" s="140"/>
      <c r="CQ100" s="140"/>
      <c r="CR100" s="140"/>
      <c r="CS100" s="140"/>
      <c r="CT100" s="140"/>
      <c r="CU100" s="140"/>
      <c r="CV100" s="140"/>
      <c r="CW100" s="140"/>
    </row>
    <row r="101" spans="1:101" x14ac:dyDescent="0.2">
      <c r="A101" s="29" t="str">
        <f t="shared" ca="1" si="1"/>
        <v>2025-07-03</v>
      </c>
      <c r="B101" s="140">
        <f ca="1">IF(ISNUMBER(MATCH(DATEVALUE($A101),'changes1_based on steps'!B$1:B$400,0)),B$2,)</f>
        <v>0</v>
      </c>
      <c r="C101" s="140">
        <f ca="1">IF(ISNUMBER(MATCH(DATEVALUE($A101),'changes1_based on steps'!C$1:C$400,0)),C$2,)</f>
        <v>0</v>
      </c>
      <c r="D101" s="140">
        <f ca="1">IF(ISNUMBER(MATCH(DATEVALUE($A101),'changes1_based on steps'!D$1:D$400,0)),D$2,)</f>
        <v>0</v>
      </c>
      <c r="E101" s="140">
        <f ca="1">IF(ISNUMBER(MATCH(DATEVALUE($A101),'changes1_based on steps'!E$1:E$400,0)),E$2,)</f>
        <v>0</v>
      </c>
      <c r="F101" s="140">
        <f ca="1">IF(ISNUMBER(MATCH(DATEVALUE($A101),'changes1_based on steps'!F$1:F$400,0)),F$2,)</f>
        <v>0</v>
      </c>
      <c r="G101" s="140">
        <f ca="1">IF(ISNUMBER(MATCH(DATEVALUE($A101),'changes1_based on steps'!G$1:G$400,0)),G$2,)</f>
        <v>0</v>
      </c>
      <c r="H101" s="140">
        <f ca="1">IF(ISNUMBER(MATCH(DATEVALUE($A101),'changes1_based on steps'!H$1:H$400,0)),H$2,)</f>
        <v>0</v>
      </c>
      <c r="I101" s="140">
        <f ca="1">IF(ISNUMBER(MATCH(DATEVALUE($A101),'changes1_based on steps'!I$1:I$400,0)),I$2,)</f>
        <v>0</v>
      </c>
      <c r="J101" s="140">
        <f ca="1">IF(ISNUMBER(MATCH(DATEVALUE($A101),'changes1_based on steps'!J$1:J$400,0)),J$2,)</f>
        <v>0</v>
      </c>
      <c r="K101" s="140">
        <f ca="1">IF(ISNUMBER(MATCH(DATEVALUE($A101),'changes1_based on steps'!K$1:K$400,0)),K$2,)</f>
        <v>0</v>
      </c>
      <c r="L101" s="140">
        <f ca="1">IF(ISNUMBER(MATCH(DATEVALUE($A101),'changes1_based on steps'!L$1:L$400,0)),L$2,)</f>
        <v>0</v>
      </c>
      <c r="M101" s="140">
        <f ca="1">IF(ISNUMBER(MATCH(DATEVALUE($A101),'changes1_based on steps'!M$1:M$400,0)),M$2,)</f>
        <v>0</v>
      </c>
      <c r="N101" s="140">
        <f ca="1">IF(ISNUMBER(MATCH(DATEVALUE($A101),'changes1_based on steps'!N$1:N$400,0)),N$2,)</f>
        <v>0</v>
      </c>
      <c r="O101" s="140">
        <f ca="1">IF(ISNUMBER(MATCH(DATEVALUE($A101),'changes1_based on steps'!O$1:O$400,0)),O$2,)</f>
        <v>0</v>
      </c>
      <c r="P101" s="140">
        <f ca="1">IF(ISNUMBER(MATCH(DATEVALUE($A101),'changes1_based on steps'!P$1:P$400,0)),P$2,)</f>
        <v>0</v>
      </c>
      <c r="Q101" s="140">
        <f ca="1">IF(ISNUMBER(MATCH(DATEVALUE($A101),'changes1_based on steps'!Q$1:Q$400,0)),Q$2,)</f>
        <v>0</v>
      </c>
      <c r="R101" s="140">
        <f ca="1">IF(ISNUMBER(MATCH(DATEVALUE($A101),'changes1_based on steps'!R$1:R$400,0)),R$2,)</f>
        <v>0</v>
      </c>
      <c r="S101" s="140">
        <f ca="1">IF(ISNUMBER(MATCH(DATEVALUE($A101),'changes1_based on steps'!S$1:S$400,0)),S$2,)</f>
        <v>0</v>
      </c>
      <c r="T101" s="140">
        <f ca="1">IF(ISNUMBER(MATCH(DATEVALUE($A101),'changes1_based on steps'!T$1:T$400,0)),T$2,)</f>
        <v>0</v>
      </c>
      <c r="U101" s="140">
        <f ca="1">IF(ISNUMBER(MATCH(DATEVALUE($A101),'changes1_based on steps'!U$1:U$400,0)),U$2,)</f>
        <v>0</v>
      </c>
      <c r="V101" s="140"/>
      <c r="W101" s="140"/>
      <c r="X101" s="140"/>
      <c r="Y101" s="140"/>
      <c r="Z101" s="140"/>
      <c r="AA101" s="140"/>
      <c r="AB101" s="140"/>
      <c r="AC101" s="140"/>
      <c r="AD101" s="140"/>
      <c r="AE101" s="140"/>
      <c r="AF101" s="140"/>
      <c r="AG101" s="140"/>
      <c r="AH101" s="140"/>
      <c r="AI101" s="140"/>
      <c r="AJ101" s="140"/>
      <c r="AK101" s="140"/>
      <c r="AL101" s="140"/>
      <c r="AM101" s="140"/>
      <c r="AN101" s="140"/>
      <c r="AO101" s="140"/>
      <c r="AP101" s="140"/>
      <c r="AQ101" s="140"/>
      <c r="AR101" s="140"/>
      <c r="AS101" s="140"/>
      <c r="AT101" s="140"/>
      <c r="AU101" s="140"/>
      <c r="AV101" s="140"/>
      <c r="AW101" s="140"/>
      <c r="AX101" s="140"/>
      <c r="AY101" s="140"/>
      <c r="AZ101" s="140"/>
      <c r="BA101" s="140"/>
      <c r="BB101" s="140"/>
      <c r="BC101" s="140"/>
      <c r="BD101" s="140"/>
      <c r="BE101" s="140"/>
      <c r="BF101" s="140"/>
      <c r="BG101" s="140"/>
      <c r="BH101" s="140"/>
      <c r="BI101" s="140"/>
      <c r="BJ101" s="140"/>
      <c r="BK101" s="140"/>
      <c r="BL101" s="140"/>
      <c r="BM101" s="140"/>
      <c r="BN101" s="140"/>
      <c r="BO101" s="140"/>
      <c r="BP101" s="140"/>
      <c r="BQ101" s="140"/>
      <c r="BR101" s="140"/>
      <c r="BS101" s="140"/>
      <c r="BT101" s="140"/>
      <c r="BU101" s="140"/>
      <c r="BV101" s="140"/>
      <c r="BW101" s="140"/>
      <c r="BX101" s="140"/>
      <c r="BY101" s="140"/>
      <c r="BZ101" s="140"/>
      <c r="CA101" s="140"/>
      <c r="CB101" s="140"/>
      <c r="CC101" s="140"/>
      <c r="CD101" s="140"/>
      <c r="CE101" s="140"/>
      <c r="CF101" s="140"/>
      <c r="CG101" s="140"/>
      <c r="CH101" s="140"/>
      <c r="CI101" s="140"/>
      <c r="CJ101" s="140"/>
      <c r="CK101" s="140"/>
      <c r="CL101" s="140"/>
      <c r="CM101" s="140"/>
      <c r="CN101" s="140"/>
      <c r="CO101" s="140"/>
      <c r="CP101" s="140"/>
      <c r="CQ101" s="140"/>
      <c r="CR101" s="140"/>
      <c r="CS101" s="140"/>
      <c r="CT101" s="140"/>
      <c r="CU101" s="140"/>
      <c r="CV101" s="140"/>
      <c r="CW101" s="140"/>
    </row>
    <row r="102" spans="1:101" x14ac:dyDescent="0.2">
      <c r="A102" s="29" t="str">
        <f t="shared" ca="1" si="1"/>
        <v>2025-07-04</v>
      </c>
      <c r="B102" s="140">
        <f ca="1">IF(ISNUMBER(MATCH(DATEVALUE($A102),'changes1_based on steps'!B$1:B$400,0)),B$2,)</f>
        <v>0</v>
      </c>
      <c r="C102" s="140">
        <f ca="1">IF(ISNUMBER(MATCH(DATEVALUE($A102),'changes1_based on steps'!C$1:C$400,0)),C$2,)</f>
        <v>0</v>
      </c>
      <c r="D102" s="140">
        <f ca="1">IF(ISNUMBER(MATCH(DATEVALUE($A102),'changes1_based on steps'!D$1:D$400,0)),D$2,)</f>
        <v>0</v>
      </c>
      <c r="E102" s="140">
        <f ca="1">IF(ISNUMBER(MATCH(DATEVALUE($A102),'changes1_based on steps'!E$1:E$400,0)),E$2,)</f>
        <v>0</v>
      </c>
      <c r="F102" s="140">
        <f ca="1">IF(ISNUMBER(MATCH(DATEVALUE($A102),'changes1_based on steps'!F$1:F$400,0)),F$2,)</f>
        <v>0</v>
      </c>
      <c r="G102" s="140">
        <f ca="1">IF(ISNUMBER(MATCH(DATEVALUE($A102),'changes1_based on steps'!G$1:G$400,0)),G$2,)</f>
        <v>0</v>
      </c>
      <c r="H102" s="140">
        <f ca="1">IF(ISNUMBER(MATCH(DATEVALUE($A102),'changes1_based on steps'!H$1:H$400,0)),H$2,)</f>
        <v>0</v>
      </c>
      <c r="I102" s="140">
        <f ca="1">IF(ISNUMBER(MATCH(DATEVALUE($A102),'changes1_based on steps'!I$1:I$400,0)),I$2,)</f>
        <v>0</v>
      </c>
      <c r="J102" s="140">
        <f ca="1">IF(ISNUMBER(MATCH(DATEVALUE($A102),'changes1_based on steps'!J$1:J$400,0)),J$2,)</f>
        <v>0</v>
      </c>
      <c r="K102" s="140">
        <f ca="1">IF(ISNUMBER(MATCH(DATEVALUE($A102),'changes1_based on steps'!K$1:K$400,0)),K$2,)</f>
        <v>0</v>
      </c>
      <c r="L102" s="140">
        <f ca="1">IF(ISNUMBER(MATCH(DATEVALUE($A102),'changes1_based on steps'!L$1:L$400,0)),L$2,)</f>
        <v>0</v>
      </c>
      <c r="M102" s="140">
        <f ca="1">IF(ISNUMBER(MATCH(DATEVALUE($A102),'changes1_based on steps'!M$1:M$400,0)),M$2,)</f>
        <v>0</v>
      </c>
      <c r="N102" s="140">
        <f ca="1">IF(ISNUMBER(MATCH(DATEVALUE($A102),'changes1_based on steps'!N$1:N$400,0)),N$2,)</f>
        <v>0</v>
      </c>
      <c r="O102" s="140">
        <f ca="1">IF(ISNUMBER(MATCH(DATEVALUE($A102),'changes1_based on steps'!O$1:O$400,0)),O$2,)</f>
        <v>0</v>
      </c>
      <c r="P102" s="140">
        <f ca="1">IF(ISNUMBER(MATCH(DATEVALUE($A102),'changes1_based on steps'!P$1:P$400,0)),P$2,)</f>
        <v>0</v>
      </c>
      <c r="Q102" s="140">
        <f ca="1">IF(ISNUMBER(MATCH(DATEVALUE($A102),'changes1_based on steps'!Q$1:Q$400,0)),Q$2,)</f>
        <v>0</v>
      </c>
      <c r="R102" s="140">
        <f ca="1">IF(ISNUMBER(MATCH(DATEVALUE($A102),'changes1_based on steps'!R$1:R$400,0)),R$2,)</f>
        <v>0</v>
      </c>
      <c r="S102" s="140">
        <f ca="1">IF(ISNUMBER(MATCH(DATEVALUE($A102),'changes1_based on steps'!S$1:S$400,0)),S$2,)</f>
        <v>0</v>
      </c>
      <c r="T102" s="140">
        <f ca="1">IF(ISNUMBER(MATCH(DATEVALUE($A102),'changes1_based on steps'!T$1:T$400,0)),T$2,)</f>
        <v>0</v>
      </c>
      <c r="U102" s="140">
        <f ca="1">IF(ISNUMBER(MATCH(DATEVALUE($A102),'changes1_based on steps'!U$1:U$400,0)),U$2,)</f>
        <v>0</v>
      </c>
      <c r="V102" s="140"/>
      <c r="W102" s="140"/>
      <c r="X102" s="140"/>
      <c r="Y102" s="140"/>
      <c r="Z102" s="140"/>
      <c r="AA102" s="140"/>
      <c r="AB102" s="140"/>
      <c r="AC102" s="140"/>
      <c r="AD102" s="140"/>
      <c r="AE102" s="140"/>
      <c r="AF102" s="140"/>
      <c r="AG102" s="140"/>
      <c r="AH102" s="140"/>
      <c r="AI102" s="140"/>
      <c r="AJ102" s="140"/>
      <c r="AK102" s="140"/>
      <c r="AL102" s="140"/>
      <c r="AM102" s="140"/>
      <c r="AN102" s="140"/>
      <c r="AO102" s="140"/>
      <c r="AP102" s="140"/>
      <c r="AQ102" s="140"/>
      <c r="AR102" s="140"/>
      <c r="AS102" s="140"/>
      <c r="AT102" s="140"/>
      <c r="AU102" s="140"/>
      <c r="AV102" s="140"/>
      <c r="AW102" s="140"/>
      <c r="AX102" s="140"/>
      <c r="AY102" s="140"/>
      <c r="AZ102" s="140"/>
      <c r="BA102" s="140"/>
      <c r="BB102" s="140"/>
      <c r="BC102" s="140"/>
      <c r="BD102" s="140"/>
      <c r="BE102" s="140"/>
      <c r="BF102" s="140"/>
      <c r="BG102" s="140"/>
      <c r="BH102" s="140"/>
      <c r="BI102" s="140"/>
      <c r="BJ102" s="140"/>
      <c r="BK102" s="140"/>
      <c r="BL102" s="140"/>
      <c r="BM102" s="140"/>
      <c r="BN102" s="140"/>
      <c r="BO102" s="140"/>
      <c r="BP102" s="140"/>
      <c r="BQ102" s="140"/>
      <c r="BR102" s="140"/>
      <c r="BS102" s="140"/>
      <c r="BT102" s="140"/>
      <c r="BU102" s="140"/>
      <c r="BV102" s="140"/>
      <c r="BW102" s="140"/>
      <c r="BX102" s="140"/>
      <c r="BY102" s="140"/>
      <c r="BZ102" s="140"/>
      <c r="CA102" s="140"/>
      <c r="CB102" s="140"/>
      <c r="CC102" s="140"/>
      <c r="CD102" s="140"/>
      <c r="CE102" s="140"/>
      <c r="CF102" s="140"/>
      <c r="CG102" s="140"/>
      <c r="CH102" s="140"/>
      <c r="CI102" s="140"/>
      <c r="CJ102" s="140"/>
      <c r="CK102" s="140"/>
      <c r="CL102" s="140"/>
      <c r="CM102" s="140"/>
      <c r="CN102" s="140"/>
      <c r="CO102" s="140"/>
      <c r="CP102" s="140"/>
      <c r="CQ102" s="140"/>
      <c r="CR102" s="140"/>
      <c r="CS102" s="140"/>
      <c r="CT102" s="140"/>
      <c r="CU102" s="140"/>
      <c r="CV102" s="140"/>
      <c r="CW102" s="140"/>
    </row>
    <row r="103" spans="1:101" x14ac:dyDescent="0.2">
      <c r="A103" s="29" t="str">
        <f t="shared" ca="1" si="1"/>
        <v>2025-07-05</v>
      </c>
      <c r="B103" s="140">
        <f ca="1">IF(ISNUMBER(MATCH(DATEVALUE($A103),'changes1_based on steps'!B$1:B$400,0)),B$2,)</f>
        <v>0</v>
      </c>
      <c r="C103" s="140">
        <f ca="1">IF(ISNUMBER(MATCH(DATEVALUE($A103),'changes1_based on steps'!C$1:C$400,0)),C$2,)</f>
        <v>0</v>
      </c>
      <c r="D103" s="140">
        <f ca="1">IF(ISNUMBER(MATCH(DATEVALUE($A103),'changes1_based on steps'!D$1:D$400,0)),D$2,)</f>
        <v>0</v>
      </c>
      <c r="E103" s="140">
        <f ca="1">IF(ISNUMBER(MATCH(DATEVALUE($A103),'changes1_based on steps'!E$1:E$400,0)),E$2,)</f>
        <v>0</v>
      </c>
      <c r="F103" s="140">
        <f ca="1">IF(ISNUMBER(MATCH(DATEVALUE($A103),'changes1_based on steps'!F$1:F$400,0)),F$2,)</f>
        <v>0</v>
      </c>
      <c r="G103" s="140">
        <f ca="1">IF(ISNUMBER(MATCH(DATEVALUE($A103),'changes1_based on steps'!G$1:G$400,0)),G$2,)</f>
        <v>0</v>
      </c>
      <c r="H103" s="140">
        <f ca="1">IF(ISNUMBER(MATCH(DATEVALUE($A103),'changes1_based on steps'!H$1:H$400,0)),H$2,)</f>
        <v>0</v>
      </c>
      <c r="I103" s="140">
        <f ca="1">IF(ISNUMBER(MATCH(DATEVALUE($A103),'changes1_based on steps'!I$1:I$400,0)),I$2,)</f>
        <v>0</v>
      </c>
      <c r="J103" s="140">
        <f ca="1">IF(ISNUMBER(MATCH(DATEVALUE($A103),'changes1_based on steps'!J$1:J$400,0)),J$2,)</f>
        <v>0</v>
      </c>
      <c r="K103" s="140">
        <f ca="1">IF(ISNUMBER(MATCH(DATEVALUE($A103),'changes1_based on steps'!K$1:K$400,0)),K$2,)</f>
        <v>0</v>
      </c>
      <c r="L103" s="140">
        <f ca="1">IF(ISNUMBER(MATCH(DATEVALUE($A103),'changes1_based on steps'!L$1:L$400,0)),L$2,)</f>
        <v>0</v>
      </c>
      <c r="M103" s="140">
        <f ca="1">IF(ISNUMBER(MATCH(DATEVALUE($A103),'changes1_based on steps'!M$1:M$400,0)),M$2,)</f>
        <v>0</v>
      </c>
      <c r="N103" s="140">
        <f ca="1">IF(ISNUMBER(MATCH(DATEVALUE($A103),'changes1_based on steps'!N$1:N$400,0)),N$2,)</f>
        <v>0</v>
      </c>
      <c r="O103" s="140">
        <f ca="1">IF(ISNUMBER(MATCH(DATEVALUE($A103),'changes1_based on steps'!O$1:O$400,0)),O$2,)</f>
        <v>0</v>
      </c>
      <c r="P103" s="140">
        <f ca="1">IF(ISNUMBER(MATCH(DATEVALUE($A103),'changes1_based on steps'!P$1:P$400,0)),P$2,)</f>
        <v>0</v>
      </c>
      <c r="Q103" s="140">
        <f ca="1">IF(ISNUMBER(MATCH(DATEVALUE($A103),'changes1_based on steps'!Q$1:Q$400,0)),Q$2,)</f>
        <v>0</v>
      </c>
      <c r="R103" s="140">
        <f ca="1">IF(ISNUMBER(MATCH(DATEVALUE($A103),'changes1_based on steps'!R$1:R$400,0)),R$2,)</f>
        <v>0</v>
      </c>
      <c r="S103" s="140">
        <f ca="1">IF(ISNUMBER(MATCH(DATEVALUE($A103),'changes1_based on steps'!S$1:S$400,0)),S$2,)</f>
        <v>0</v>
      </c>
      <c r="T103" s="140">
        <f ca="1">IF(ISNUMBER(MATCH(DATEVALUE($A103),'changes1_based on steps'!T$1:T$400,0)),T$2,)</f>
        <v>0</v>
      </c>
      <c r="U103" s="140">
        <f ca="1">IF(ISNUMBER(MATCH(DATEVALUE($A103),'changes1_based on steps'!U$1:U$400,0)),U$2,)</f>
        <v>0</v>
      </c>
      <c r="V103" s="140"/>
      <c r="W103" s="140"/>
      <c r="X103" s="140"/>
      <c r="Y103" s="140"/>
      <c r="Z103" s="140"/>
      <c r="AA103" s="140"/>
      <c r="AB103" s="140"/>
      <c r="AC103" s="140"/>
      <c r="AD103" s="140"/>
      <c r="AE103" s="140"/>
      <c r="AF103" s="140"/>
      <c r="AG103" s="140"/>
      <c r="AH103" s="140"/>
      <c r="AI103" s="140"/>
      <c r="AJ103" s="140"/>
      <c r="AK103" s="140"/>
      <c r="AL103" s="140"/>
      <c r="AM103" s="140"/>
      <c r="AN103" s="140"/>
      <c r="AO103" s="140"/>
      <c r="AP103" s="140"/>
      <c r="AQ103" s="140"/>
      <c r="AR103" s="140"/>
      <c r="AS103" s="140"/>
      <c r="AT103" s="140"/>
      <c r="AU103" s="140"/>
      <c r="AV103" s="140"/>
      <c r="AW103" s="140"/>
      <c r="AX103" s="140"/>
      <c r="AY103" s="140"/>
      <c r="AZ103" s="140"/>
      <c r="BA103" s="140"/>
      <c r="BB103" s="140"/>
      <c r="BC103" s="140"/>
      <c r="BD103" s="140"/>
      <c r="BE103" s="140"/>
      <c r="BF103" s="140"/>
      <c r="BG103" s="140"/>
      <c r="BH103" s="140"/>
      <c r="BI103" s="140"/>
      <c r="BJ103" s="140"/>
      <c r="BK103" s="140"/>
      <c r="BL103" s="140"/>
      <c r="BM103" s="140"/>
      <c r="BN103" s="140"/>
      <c r="BO103" s="140"/>
      <c r="BP103" s="140"/>
      <c r="BQ103" s="140"/>
      <c r="BR103" s="140"/>
      <c r="BS103" s="140"/>
      <c r="BT103" s="140"/>
      <c r="BU103" s="140"/>
      <c r="BV103" s="140"/>
      <c r="BW103" s="140"/>
      <c r="BX103" s="140"/>
      <c r="BY103" s="140"/>
      <c r="BZ103" s="140"/>
      <c r="CA103" s="140"/>
      <c r="CB103" s="140"/>
      <c r="CC103" s="140"/>
      <c r="CD103" s="140"/>
      <c r="CE103" s="140"/>
      <c r="CF103" s="140"/>
      <c r="CG103" s="140"/>
      <c r="CH103" s="140"/>
      <c r="CI103" s="140"/>
      <c r="CJ103" s="140"/>
      <c r="CK103" s="140"/>
      <c r="CL103" s="140"/>
      <c r="CM103" s="140"/>
      <c r="CN103" s="140"/>
      <c r="CO103" s="140"/>
      <c r="CP103" s="140"/>
      <c r="CQ103" s="140"/>
      <c r="CR103" s="140"/>
      <c r="CS103" s="140"/>
      <c r="CT103" s="140"/>
      <c r="CU103" s="140"/>
      <c r="CV103" s="140"/>
      <c r="CW103" s="140"/>
    </row>
    <row r="104" spans="1:101" x14ac:dyDescent="0.2">
      <c r="A104" s="29" t="str">
        <f t="shared" ca="1" si="1"/>
        <v>2025-07-06</v>
      </c>
      <c r="B104" s="140">
        <f ca="1">IF(ISNUMBER(MATCH(DATEVALUE($A104),'changes1_based on steps'!B$1:B$400,0)),B$2,)</f>
        <v>0</v>
      </c>
      <c r="C104" s="140">
        <f ca="1">IF(ISNUMBER(MATCH(DATEVALUE($A104),'changes1_based on steps'!C$1:C$400,0)),C$2,)</f>
        <v>0</v>
      </c>
      <c r="D104" s="140">
        <f ca="1">IF(ISNUMBER(MATCH(DATEVALUE($A104),'changes1_based on steps'!D$1:D$400,0)),D$2,)</f>
        <v>0</v>
      </c>
      <c r="E104" s="140">
        <f ca="1">IF(ISNUMBER(MATCH(DATEVALUE($A104),'changes1_based on steps'!E$1:E$400,0)),E$2,)</f>
        <v>0</v>
      </c>
      <c r="F104" s="140">
        <f ca="1">IF(ISNUMBER(MATCH(DATEVALUE($A104),'changes1_based on steps'!F$1:F$400,0)),F$2,)</f>
        <v>0</v>
      </c>
      <c r="G104" s="140">
        <f ca="1">IF(ISNUMBER(MATCH(DATEVALUE($A104),'changes1_based on steps'!G$1:G$400,0)),G$2,)</f>
        <v>0</v>
      </c>
      <c r="H104" s="140">
        <f ca="1">IF(ISNUMBER(MATCH(DATEVALUE($A104),'changes1_based on steps'!H$1:H$400,0)),H$2,)</f>
        <v>0</v>
      </c>
      <c r="I104" s="140">
        <f ca="1">IF(ISNUMBER(MATCH(DATEVALUE($A104),'changes1_based on steps'!I$1:I$400,0)),I$2,)</f>
        <v>0</v>
      </c>
      <c r="J104" s="140">
        <f ca="1">IF(ISNUMBER(MATCH(DATEVALUE($A104),'changes1_based on steps'!J$1:J$400,0)),J$2,)</f>
        <v>0</v>
      </c>
      <c r="K104" s="140">
        <f ca="1">IF(ISNUMBER(MATCH(DATEVALUE($A104),'changes1_based on steps'!K$1:K$400,0)),K$2,)</f>
        <v>0</v>
      </c>
      <c r="L104" s="140">
        <f ca="1">IF(ISNUMBER(MATCH(DATEVALUE($A104),'changes1_based on steps'!L$1:L$400,0)),L$2,)</f>
        <v>0</v>
      </c>
      <c r="M104" s="140">
        <f ca="1">IF(ISNUMBER(MATCH(DATEVALUE($A104),'changes1_based on steps'!M$1:M$400,0)),M$2,)</f>
        <v>0</v>
      </c>
      <c r="N104" s="140">
        <f ca="1">IF(ISNUMBER(MATCH(DATEVALUE($A104),'changes1_based on steps'!N$1:N$400,0)),N$2,)</f>
        <v>0</v>
      </c>
      <c r="O104" s="140">
        <f ca="1">IF(ISNUMBER(MATCH(DATEVALUE($A104),'changes1_based on steps'!O$1:O$400,0)),O$2,)</f>
        <v>0</v>
      </c>
      <c r="P104" s="140">
        <f ca="1">IF(ISNUMBER(MATCH(DATEVALUE($A104),'changes1_based on steps'!P$1:P$400,0)),P$2,)</f>
        <v>0</v>
      </c>
      <c r="Q104" s="140">
        <f ca="1">IF(ISNUMBER(MATCH(DATEVALUE($A104),'changes1_based on steps'!Q$1:Q$400,0)),Q$2,)</f>
        <v>0</v>
      </c>
      <c r="R104" s="140">
        <f ca="1">IF(ISNUMBER(MATCH(DATEVALUE($A104),'changes1_based on steps'!R$1:R$400,0)),R$2,)</f>
        <v>0</v>
      </c>
      <c r="S104" s="140">
        <f ca="1">IF(ISNUMBER(MATCH(DATEVALUE($A104),'changes1_based on steps'!S$1:S$400,0)),S$2,)</f>
        <v>0</v>
      </c>
      <c r="T104" s="140">
        <f ca="1">IF(ISNUMBER(MATCH(DATEVALUE($A104),'changes1_based on steps'!T$1:T$400,0)),T$2,)</f>
        <v>0</v>
      </c>
      <c r="U104" s="140">
        <f ca="1">IF(ISNUMBER(MATCH(DATEVALUE($A104),'changes1_based on steps'!U$1:U$400,0)),U$2,)</f>
        <v>0</v>
      </c>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c r="BW104" s="140"/>
      <c r="BX104" s="140"/>
      <c r="BY104" s="140"/>
      <c r="BZ104" s="140"/>
      <c r="CA104" s="140"/>
      <c r="CB104" s="140"/>
      <c r="CC104" s="140"/>
      <c r="CD104" s="140"/>
      <c r="CE104" s="140"/>
      <c r="CF104" s="140"/>
      <c r="CG104" s="140"/>
      <c r="CH104" s="140"/>
      <c r="CI104" s="140"/>
      <c r="CJ104" s="140"/>
      <c r="CK104" s="140"/>
      <c r="CL104" s="140"/>
      <c r="CM104" s="140"/>
      <c r="CN104" s="140"/>
      <c r="CO104" s="140"/>
      <c r="CP104" s="140"/>
      <c r="CQ104" s="140"/>
      <c r="CR104" s="140"/>
      <c r="CS104" s="140"/>
      <c r="CT104" s="140"/>
      <c r="CU104" s="140"/>
      <c r="CV104" s="140"/>
      <c r="CW104" s="140"/>
    </row>
    <row r="105" spans="1:101" x14ac:dyDescent="0.2">
      <c r="A105" s="29" t="str">
        <f t="shared" ca="1" si="1"/>
        <v>2025-07-07</v>
      </c>
      <c r="B105" s="140">
        <f ca="1">IF(ISNUMBER(MATCH(DATEVALUE($A105),'changes1_based on steps'!B$1:B$400,0)),B$2,)</f>
        <v>0</v>
      </c>
      <c r="C105" s="140">
        <f ca="1">IF(ISNUMBER(MATCH(DATEVALUE($A105),'changes1_based on steps'!C$1:C$400,0)),C$2,)</f>
        <v>0</v>
      </c>
      <c r="D105" s="140">
        <f ca="1">IF(ISNUMBER(MATCH(DATEVALUE($A105),'changes1_based on steps'!D$1:D$400,0)),D$2,)</f>
        <v>0</v>
      </c>
      <c r="E105" s="140">
        <f ca="1">IF(ISNUMBER(MATCH(DATEVALUE($A105),'changes1_based on steps'!E$1:E$400,0)),E$2,)</f>
        <v>0</v>
      </c>
      <c r="F105" s="140">
        <f ca="1">IF(ISNUMBER(MATCH(DATEVALUE($A105),'changes1_based on steps'!F$1:F$400,0)),F$2,)</f>
        <v>0</v>
      </c>
      <c r="G105" s="140">
        <f ca="1">IF(ISNUMBER(MATCH(DATEVALUE($A105),'changes1_based on steps'!G$1:G$400,0)),G$2,)</f>
        <v>0</v>
      </c>
      <c r="H105" s="140">
        <f ca="1">IF(ISNUMBER(MATCH(DATEVALUE($A105),'changes1_based on steps'!H$1:H$400,0)),H$2,)</f>
        <v>0</v>
      </c>
      <c r="I105" s="140">
        <f ca="1">IF(ISNUMBER(MATCH(DATEVALUE($A105),'changes1_based on steps'!I$1:I$400,0)),I$2,)</f>
        <v>0</v>
      </c>
      <c r="J105" s="140">
        <f ca="1">IF(ISNUMBER(MATCH(DATEVALUE($A105),'changes1_based on steps'!J$1:J$400,0)),J$2,)</f>
        <v>0</v>
      </c>
      <c r="K105" s="140">
        <f ca="1">IF(ISNUMBER(MATCH(DATEVALUE($A105),'changes1_based on steps'!K$1:K$400,0)),K$2,)</f>
        <v>0</v>
      </c>
      <c r="L105" s="140">
        <f ca="1">IF(ISNUMBER(MATCH(DATEVALUE($A105),'changes1_based on steps'!L$1:L$400,0)),L$2,)</f>
        <v>0</v>
      </c>
      <c r="M105" s="140">
        <f ca="1">IF(ISNUMBER(MATCH(DATEVALUE($A105),'changes1_based on steps'!M$1:M$400,0)),M$2,)</f>
        <v>0</v>
      </c>
      <c r="N105" s="140">
        <f ca="1">IF(ISNUMBER(MATCH(DATEVALUE($A105),'changes1_based on steps'!N$1:N$400,0)),N$2,)</f>
        <v>0</v>
      </c>
      <c r="O105" s="140">
        <f ca="1">IF(ISNUMBER(MATCH(DATEVALUE($A105),'changes1_based on steps'!O$1:O$400,0)),O$2,)</f>
        <v>0</v>
      </c>
      <c r="P105" s="140">
        <f ca="1">IF(ISNUMBER(MATCH(DATEVALUE($A105),'changes1_based on steps'!P$1:P$400,0)),P$2,)</f>
        <v>0</v>
      </c>
      <c r="Q105" s="140">
        <f ca="1">IF(ISNUMBER(MATCH(DATEVALUE($A105),'changes1_based on steps'!Q$1:Q$400,0)),Q$2,)</f>
        <v>0</v>
      </c>
      <c r="R105" s="140">
        <f ca="1">IF(ISNUMBER(MATCH(DATEVALUE($A105),'changes1_based on steps'!R$1:R$400,0)),R$2,)</f>
        <v>0</v>
      </c>
      <c r="S105" s="140">
        <f ca="1">IF(ISNUMBER(MATCH(DATEVALUE($A105),'changes1_based on steps'!S$1:S$400,0)),S$2,)</f>
        <v>0</v>
      </c>
      <c r="T105" s="140">
        <f ca="1">IF(ISNUMBER(MATCH(DATEVALUE($A105),'changes1_based on steps'!T$1:T$400,0)),T$2,)</f>
        <v>0</v>
      </c>
      <c r="U105" s="140">
        <f ca="1">IF(ISNUMBER(MATCH(DATEVALUE($A105),'changes1_based on steps'!U$1:U$400,0)),U$2,)</f>
        <v>0</v>
      </c>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c r="BY105" s="140"/>
      <c r="BZ105" s="140"/>
      <c r="CA105" s="140"/>
      <c r="CB105" s="140"/>
      <c r="CC105" s="140"/>
      <c r="CD105" s="140"/>
      <c r="CE105" s="140"/>
      <c r="CF105" s="140"/>
      <c r="CG105" s="140"/>
      <c r="CH105" s="140"/>
      <c r="CI105" s="140"/>
      <c r="CJ105" s="140"/>
      <c r="CK105" s="140"/>
      <c r="CL105" s="140"/>
      <c r="CM105" s="140"/>
      <c r="CN105" s="140"/>
      <c r="CO105" s="140"/>
      <c r="CP105" s="140"/>
      <c r="CQ105" s="140"/>
      <c r="CR105" s="140"/>
      <c r="CS105" s="140"/>
      <c r="CT105" s="140"/>
      <c r="CU105" s="140"/>
      <c r="CV105" s="140"/>
      <c r="CW105" s="140"/>
    </row>
    <row r="106" spans="1:101" x14ac:dyDescent="0.2">
      <c r="A106" s="29" t="str">
        <f t="shared" ca="1" si="1"/>
        <v>2025-07-08</v>
      </c>
      <c r="B106" s="140">
        <f ca="1">IF(ISNUMBER(MATCH(DATEVALUE($A106),'changes1_based on steps'!B$1:B$400,0)),B$2,)</f>
        <v>0</v>
      </c>
      <c r="C106" s="140">
        <f ca="1">IF(ISNUMBER(MATCH(DATEVALUE($A106),'changes1_based on steps'!C$1:C$400,0)),C$2,)</f>
        <v>0</v>
      </c>
      <c r="D106" s="140">
        <f ca="1">IF(ISNUMBER(MATCH(DATEVALUE($A106),'changes1_based on steps'!D$1:D$400,0)),D$2,)</f>
        <v>0</v>
      </c>
      <c r="E106" s="140">
        <f ca="1">IF(ISNUMBER(MATCH(DATEVALUE($A106),'changes1_based on steps'!E$1:E$400,0)),E$2,)</f>
        <v>0</v>
      </c>
      <c r="F106" s="140">
        <f ca="1">IF(ISNUMBER(MATCH(DATEVALUE($A106),'changes1_based on steps'!F$1:F$400,0)),F$2,)</f>
        <v>0</v>
      </c>
      <c r="G106" s="140">
        <f ca="1">IF(ISNUMBER(MATCH(DATEVALUE($A106),'changes1_based on steps'!G$1:G$400,0)),G$2,)</f>
        <v>0</v>
      </c>
      <c r="H106" s="140">
        <f ca="1">IF(ISNUMBER(MATCH(DATEVALUE($A106),'changes1_based on steps'!H$1:H$400,0)),H$2,)</f>
        <v>0</v>
      </c>
      <c r="I106" s="140">
        <f ca="1">IF(ISNUMBER(MATCH(DATEVALUE($A106),'changes1_based on steps'!I$1:I$400,0)),I$2,)</f>
        <v>0</v>
      </c>
      <c r="J106" s="140">
        <f ca="1">IF(ISNUMBER(MATCH(DATEVALUE($A106),'changes1_based on steps'!J$1:J$400,0)),J$2,)</f>
        <v>0</v>
      </c>
      <c r="K106" s="140">
        <f ca="1">IF(ISNUMBER(MATCH(DATEVALUE($A106),'changes1_based on steps'!K$1:K$400,0)),K$2,)</f>
        <v>0</v>
      </c>
      <c r="L106" s="140">
        <f ca="1">IF(ISNUMBER(MATCH(DATEVALUE($A106),'changes1_based on steps'!L$1:L$400,0)),L$2,)</f>
        <v>0</v>
      </c>
      <c r="M106" s="140">
        <f ca="1">IF(ISNUMBER(MATCH(DATEVALUE($A106),'changes1_based on steps'!M$1:M$400,0)),M$2,)</f>
        <v>0</v>
      </c>
      <c r="N106" s="140">
        <f ca="1">IF(ISNUMBER(MATCH(DATEVALUE($A106),'changes1_based on steps'!N$1:N$400,0)),N$2,)</f>
        <v>0</v>
      </c>
      <c r="O106" s="140">
        <f ca="1">IF(ISNUMBER(MATCH(DATEVALUE($A106),'changes1_based on steps'!O$1:O$400,0)),O$2,)</f>
        <v>0</v>
      </c>
      <c r="P106" s="140">
        <f ca="1">IF(ISNUMBER(MATCH(DATEVALUE($A106),'changes1_based on steps'!P$1:P$400,0)),P$2,)</f>
        <v>0</v>
      </c>
      <c r="Q106" s="140">
        <f ca="1">IF(ISNUMBER(MATCH(DATEVALUE($A106),'changes1_based on steps'!Q$1:Q$400,0)),Q$2,)</f>
        <v>0</v>
      </c>
      <c r="R106" s="140">
        <f ca="1">IF(ISNUMBER(MATCH(DATEVALUE($A106),'changes1_based on steps'!R$1:R$400,0)),R$2,)</f>
        <v>0</v>
      </c>
      <c r="S106" s="140">
        <f ca="1">IF(ISNUMBER(MATCH(DATEVALUE($A106),'changes1_based on steps'!S$1:S$400,0)),S$2,)</f>
        <v>0</v>
      </c>
      <c r="T106" s="140">
        <f ca="1">IF(ISNUMBER(MATCH(DATEVALUE($A106),'changes1_based on steps'!T$1:T$400,0)),T$2,)</f>
        <v>0</v>
      </c>
      <c r="U106" s="140">
        <f ca="1">IF(ISNUMBER(MATCH(DATEVALUE($A106),'changes1_based on steps'!U$1:U$400,0)),U$2,)</f>
        <v>0</v>
      </c>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c r="CA106" s="140"/>
      <c r="CB106" s="140"/>
      <c r="CC106" s="140"/>
      <c r="CD106" s="140"/>
      <c r="CE106" s="140"/>
      <c r="CF106" s="140"/>
      <c r="CG106" s="140"/>
      <c r="CH106" s="140"/>
      <c r="CI106" s="140"/>
      <c r="CJ106" s="140"/>
      <c r="CK106" s="140"/>
      <c r="CL106" s="140"/>
      <c r="CM106" s="140"/>
      <c r="CN106" s="140"/>
      <c r="CO106" s="140"/>
      <c r="CP106" s="140"/>
      <c r="CQ106" s="140"/>
      <c r="CR106" s="140"/>
      <c r="CS106" s="140"/>
      <c r="CT106" s="140"/>
      <c r="CU106" s="140"/>
      <c r="CV106" s="140"/>
      <c r="CW106" s="140"/>
    </row>
    <row r="107" spans="1:101" x14ac:dyDescent="0.2">
      <c r="A107" s="29" t="str">
        <f t="shared" ca="1" si="1"/>
        <v>2025-07-09</v>
      </c>
      <c r="B107" s="140">
        <f ca="1">IF(ISNUMBER(MATCH(DATEVALUE($A107),'changes1_based on steps'!B$1:B$400,0)),B$2,)</f>
        <v>0</v>
      </c>
      <c r="C107" s="140">
        <f ca="1">IF(ISNUMBER(MATCH(DATEVALUE($A107),'changes1_based on steps'!C$1:C$400,0)),C$2,)</f>
        <v>0</v>
      </c>
      <c r="D107" s="140">
        <f ca="1">IF(ISNUMBER(MATCH(DATEVALUE($A107),'changes1_based on steps'!D$1:D$400,0)),D$2,)</f>
        <v>0</v>
      </c>
      <c r="E107" s="140">
        <f ca="1">IF(ISNUMBER(MATCH(DATEVALUE($A107),'changes1_based on steps'!E$1:E$400,0)),E$2,)</f>
        <v>0</v>
      </c>
      <c r="F107" s="140">
        <f ca="1">IF(ISNUMBER(MATCH(DATEVALUE($A107),'changes1_based on steps'!F$1:F$400,0)),F$2,)</f>
        <v>0</v>
      </c>
      <c r="G107" s="140">
        <f ca="1">IF(ISNUMBER(MATCH(DATEVALUE($A107),'changes1_based on steps'!G$1:G$400,0)),G$2,)</f>
        <v>0</v>
      </c>
      <c r="H107" s="140">
        <f ca="1">IF(ISNUMBER(MATCH(DATEVALUE($A107),'changes1_based on steps'!H$1:H$400,0)),H$2,)</f>
        <v>0</v>
      </c>
      <c r="I107" s="140">
        <f ca="1">IF(ISNUMBER(MATCH(DATEVALUE($A107),'changes1_based on steps'!I$1:I$400,0)),I$2,)</f>
        <v>0</v>
      </c>
      <c r="J107" s="140">
        <f ca="1">IF(ISNUMBER(MATCH(DATEVALUE($A107),'changes1_based on steps'!J$1:J$400,0)),J$2,)</f>
        <v>0</v>
      </c>
      <c r="K107" s="140">
        <f ca="1">IF(ISNUMBER(MATCH(DATEVALUE($A107),'changes1_based on steps'!K$1:K$400,0)),K$2,)</f>
        <v>0</v>
      </c>
      <c r="L107" s="140">
        <f ca="1">IF(ISNUMBER(MATCH(DATEVALUE($A107),'changes1_based on steps'!L$1:L$400,0)),L$2,)</f>
        <v>0</v>
      </c>
      <c r="M107" s="140">
        <f ca="1">IF(ISNUMBER(MATCH(DATEVALUE($A107),'changes1_based on steps'!M$1:M$400,0)),M$2,)</f>
        <v>0</v>
      </c>
      <c r="N107" s="140">
        <f ca="1">IF(ISNUMBER(MATCH(DATEVALUE($A107),'changes1_based on steps'!N$1:N$400,0)),N$2,)</f>
        <v>0</v>
      </c>
      <c r="O107" s="140">
        <f ca="1">IF(ISNUMBER(MATCH(DATEVALUE($A107),'changes1_based on steps'!O$1:O$400,0)),O$2,)</f>
        <v>0</v>
      </c>
      <c r="P107" s="140">
        <f ca="1">IF(ISNUMBER(MATCH(DATEVALUE($A107),'changes1_based on steps'!P$1:P$400,0)),P$2,)</f>
        <v>0</v>
      </c>
      <c r="Q107" s="140">
        <f ca="1">IF(ISNUMBER(MATCH(DATEVALUE($A107),'changes1_based on steps'!Q$1:Q$400,0)),Q$2,)</f>
        <v>0</v>
      </c>
      <c r="R107" s="140">
        <f ca="1">IF(ISNUMBER(MATCH(DATEVALUE($A107),'changes1_based on steps'!R$1:R$400,0)),R$2,)</f>
        <v>0</v>
      </c>
      <c r="S107" s="140">
        <f ca="1">IF(ISNUMBER(MATCH(DATEVALUE($A107),'changes1_based on steps'!S$1:S$400,0)),S$2,)</f>
        <v>0</v>
      </c>
      <c r="T107" s="140">
        <f ca="1">IF(ISNUMBER(MATCH(DATEVALUE($A107),'changes1_based on steps'!T$1:T$400,0)),T$2,)</f>
        <v>0</v>
      </c>
      <c r="U107" s="140">
        <f ca="1">IF(ISNUMBER(MATCH(DATEVALUE($A107),'changes1_based on steps'!U$1:U$400,0)),U$2,)</f>
        <v>0</v>
      </c>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c r="BC107" s="140"/>
      <c r="BD107" s="140"/>
      <c r="BE107" s="140"/>
      <c r="BF107" s="140"/>
      <c r="BG107" s="140"/>
      <c r="BH107" s="140"/>
      <c r="BI107" s="140"/>
      <c r="BJ107" s="140"/>
      <c r="BK107" s="140"/>
      <c r="BL107" s="140"/>
      <c r="BM107" s="140"/>
      <c r="BN107" s="140"/>
      <c r="BO107" s="140"/>
      <c r="BP107" s="140"/>
      <c r="BQ107" s="140"/>
      <c r="BR107" s="140"/>
      <c r="BS107" s="140"/>
      <c r="BT107" s="140"/>
      <c r="BU107" s="140"/>
      <c r="BV107" s="140"/>
      <c r="BW107" s="140"/>
      <c r="BX107" s="140"/>
      <c r="BY107" s="140"/>
      <c r="BZ107" s="140"/>
      <c r="CA107" s="140"/>
      <c r="CB107" s="140"/>
      <c r="CC107" s="140"/>
      <c r="CD107" s="140"/>
      <c r="CE107" s="140"/>
      <c r="CF107" s="140"/>
      <c r="CG107" s="140"/>
      <c r="CH107" s="140"/>
      <c r="CI107" s="140"/>
      <c r="CJ107" s="140"/>
      <c r="CK107" s="140"/>
      <c r="CL107" s="140"/>
      <c r="CM107" s="140"/>
      <c r="CN107" s="140"/>
      <c r="CO107" s="140"/>
      <c r="CP107" s="140"/>
      <c r="CQ107" s="140"/>
      <c r="CR107" s="140"/>
      <c r="CS107" s="140"/>
      <c r="CT107" s="140"/>
      <c r="CU107" s="140"/>
      <c r="CV107" s="140"/>
      <c r="CW107" s="140"/>
    </row>
    <row r="108" spans="1:101" x14ac:dyDescent="0.2">
      <c r="A108" s="29" t="str">
        <f t="shared" ca="1" si="1"/>
        <v>2025-07-10</v>
      </c>
      <c r="B108" s="140">
        <f ca="1">IF(ISNUMBER(MATCH(DATEVALUE($A108),'changes1_based on steps'!B$1:B$400,0)),B$2,)</f>
        <v>0</v>
      </c>
      <c r="C108" s="140">
        <f ca="1">IF(ISNUMBER(MATCH(DATEVALUE($A108),'changes1_based on steps'!C$1:C$400,0)),C$2,)</f>
        <v>0</v>
      </c>
      <c r="D108" s="140">
        <f ca="1">IF(ISNUMBER(MATCH(DATEVALUE($A108),'changes1_based on steps'!D$1:D$400,0)),D$2,)</f>
        <v>0</v>
      </c>
      <c r="E108" s="140">
        <f ca="1">IF(ISNUMBER(MATCH(DATEVALUE($A108),'changes1_based on steps'!E$1:E$400,0)),E$2,)</f>
        <v>0</v>
      </c>
      <c r="F108" s="140">
        <f ca="1">IF(ISNUMBER(MATCH(DATEVALUE($A108),'changes1_based on steps'!F$1:F$400,0)),F$2,)</f>
        <v>0</v>
      </c>
      <c r="G108" s="140">
        <f ca="1">IF(ISNUMBER(MATCH(DATEVALUE($A108),'changes1_based on steps'!G$1:G$400,0)),G$2,)</f>
        <v>0</v>
      </c>
      <c r="H108" s="140">
        <f ca="1">IF(ISNUMBER(MATCH(DATEVALUE($A108),'changes1_based on steps'!H$1:H$400,0)),H$2,)</f>
        <v>0</v>
      </c>
      <c r="I108" s="140">
        <f ca="1">IF(ISNUMBER(MATCH(DATEVALUE($A108),'changes1_based on steps'!I$1:I$400,0)),I$2,)</f>
        <v>0</v>
      </c>
      <c r="J108" s="140">
        <f ca="1">IF(ISNUMBER(MATCH(DATEVALUE($A108),'changes1_based on steps'!J$1:J$400,0)),J$2,)</f>
        <v>0</v>
      </c>
      <c r="K108" s="140">
        <f ca="1">IF(ISNUMBER(MATCH(DATEVALUE($A108),'changes1_based on steps'!K$1:K$400,0)),K$2,)</f>
        <v>0</v>
      </c>
      <c r="L108" s="140">
        <f ca="1">IF(ISNUMBER(MATCH(DATEVALUE($A108),'changes1_based on steps'!L$1:L$400,0)),L$2,)</f>
        <v>0</v>
      </c>
      <c r="M108" s="140">
        <f ca="1">IF(ISNUMBER(MATCH(DATEVALUE($A108),'changes1_based on steps'!M$1:M$400,0)),M$2,)</f>
        <v>0</v>
      </c>
      <c r="N108" s="140">
        <f ca="1">IF(ISNUMBER(MATCH(DATEVALUE($A108),'changes1_based on steps'!N$1:N$400,0)),N$2,)</f>
        <v>0</v>
      </c>
      <c r="O108" s="140">
        <f ca="1">IF(ISNUMBER(MATCH(DATEVALUE($A108),'changes1_based on steps'!O$1:O$400,0)),O$2,)</f>
        <v>0</v>
      </c>
      <c r="P108" s="140">
        <f ca="1">IF(ISNUMBER(MATCH(DATEVALUE($A108),'changes1_based on steps'!P$1:P$400,0)),P$2,)</f>
        <v>0</v>
      </c>
      <c r="Q108" s="140">
        <f ca="1">IF(ISNUMBER(MATCH(DATEVALUE($A108),'changes1_based on steps'!Q$1:Q$400,0)),Q$2,)</f>
        <v>0</v>
      </c>
      <c r="R108" s="140">
        <f ca="1">IF(ISNUMBER(MATCH(DATEVALUE($A108),'changes1_based on steps'!R$1:R$400,0)),R$2,)</f>
        <v>0</v>
      </c>
      <c r="S108" s="140">
        <f ca="1">IF(ISNUMBER(MATCH(DATEVALUE($A108),'changes1_based on steps'!S$1:S$400,0)),S$2,)</f>
        <v>0</v>
      </c>
      <c r="T108" s="140">
        <f ca="1">IF(ISNUMBER(MATCH(DATEVALUE($A108),'changes1_based on steps'!T$1:T$400,0)),T$2,)</f>
        <v>0</v>
      </c>
      <c r="U108" s="140">
        <f ca="1">IF(ISNUMBER(MATCH(DATEVALUE($A108),'changes1_based on steps'!U$1:U$400,0)),U$2,)</f>
        <v>0</v>
      </c>
      <c r="V108" s="140"/>
      <c r="W108" s="140"/>
      <c r="X108" s="140"/>
      <c r="Y108" s="140"/>
      <c r="Z108" s="140"/>
      <c r="AA108" s="140"/>
      <c r="AB108" s="140"/>
      <c r="AC108" s="140"/>
      <c r="AD108" s="140"/>
      <c r="AE108" s="140"/>
      <c r="AF108" s="140"/>
      <c r="AG108" s="140"/>
      <c r="AH108" s="140"/>
      <c r="AI108" s="140"/>
      <c r="AJ108" s="140"/>
      <c r="AK108" s="140"/>
      <c r="AL108" s="140"/>
      <c r="AM108" s="140"/>
      <c r="AN108" s="140"/>
      <c r="AO108" s="140"/>
      <c r="AP108" s="140"/>
      <c r="AQ108" s="140"/>
      <c r="AR108" s="140"/>
      <c r="AS108" s="140"/>
      <c r="AT108" s="140"/>
      <c r="AU108" s="140"/>
      <c r="AV108" s="140"/>
      <c r="AW108" s="140"/>
      <c r="AX108" s="140"/>
      <c r="AY108" s="140"/>
      <c r="AZ108" s="140"/>
      <c r="BA108" s="140"/>
      <c r="BB108" s="140"/>
      <c r="BC108" s="140"/>
      <c r="BD108" s="140"/>
      <c r="BE108" s="140"/>
      <c r="BF108" s="140"/>
      <c r="BG108" s="140"/>
      <c r="BH108" s="140"/>
      <c r="BI108" s="140"/>
      <c r="BJ108" s="140"/>
      <c r="BK108" s="140"/>
      <c r="BL108" s="140"/>
      <c r="BM108" s="140"/>
      <c r="BN108" s="140"/>
      <c r="BO108" s="140"/>
      <c r="BP108" s="140"/>
      <c r="BQ108" s="140"/>
      <c r="BR108" s="140"/>
      <c r="BS108" s="140"/>
      <c r="BT108" s="140"/>
      <c r="BU108" s="140"/>
      <c r="BV108" s="140"/>
      <c r="BW108" s="140"/>
      <c r="BX108" s="140"/>
      <c r="BY108" s="140"/>
      <c r="BZ108" s="140"/>
      <c r="CA108" s="140"/>
      <c r="CB108" s="140"/>
      <c r="CC108" s="140"/>
      <c r="CD108" s="140"/>
      <c r="CE108" s="140"/>
      <c r="CF108" s="140"/>
      <c r="CG108" s="140"/>
      <c r="CH108" s="140"/>
      <c r="CI108" s="140"/>
      <c r="CJ108" s="140"/>
      <c r="CK108" s="140"/>
      <c r="CL108" s="140"/>
      <c r="CM108" s="140"/>
      <c r="CN108" s="140"/>
      <c r="CO108" s="140"/>
      <c r="CP108" s="140"/>
      <c r="CQ108" s="140"/>
      <c r="CR108" s="140"/>
      <c r="CS108" s="140"/>
      <c r="CT108" s="140"/>
      <c r="CU108" s="140"/>
      <c r="CV108" s="140"/>
      <c r="CW108" s="140"/>
    </row>
    <row r="109" spans="1:101" x14ac:dyDescent="0.2">
      <c r="A109" s="29" t="str">
        <f t="shared" ca="1" si="1"/>
        <v>2025-07-11</v>
      </c>
      <c r="B109" s="140">
        <f ca="1">IF(ISNUMBER(MATCH(DATEVALUE($A109),'changes1_based on steps'!B$1:B$400,0)),B$2,)</f>
        <v>0</v>
      </c>
      <c r="C109" s="140">
        <f ca="1">IF(ISNUMBER(MATCH(DATEVALUE($A109),'changes1_based on steps'!C$1:C$400,0)),C$2,)</f>
        <v>0</v>
      </c>
      <c r="D109" s="140">
        <f ca="1">IF(ISNUMBER(MATCH(DATEVALUE($A109),'changes1_based on steps'!D$1:D$400,0)),D$2,)</f>
        <v>0</v>
      </c>
      <c r="E109" s="140">
        <f ca="1">IF(ISNUMBER(MATCH(DATEVALUE($A109),'changes1_based on steps'!E$1:E$400,0)),E$2,)</f>
        <v>0</v>
      </c>
      <c r="F109" s="140">
        <f ca="1">IF(ISNUMBER(MATCH(DATEVALUE($A109),'changes1_based on steps'!F$1:F$400,0)),F$2,)</f>
        <v>0</v>
      </c>
      <c r="G109" s="140">
        <f ca="1">IF(ISNUMBER(MATCH(DATEVALUE($A109),'changes1_based on steps'!G$1:G$400,0)),G$2,)</f>
        <v>0</v>
      </c>
      <c r="H109" s="140">
        <f ca="1">IF(ISNUMBER(MATCH(DATEVALUE($A109),'changes1_based on steps'!H$1:H$400,0)),H$2,)</f>
        <v>0</v>
      </c>
      <c r="I109" s="140">
        <f ca="1">IF(ISNUMBER(MATCH(DATEVALUE($A109),'changes1_based on steps'!I$1:I$400,0)),I$2,)</f>
        <v>0</v>
      </c>
      <c r="J109" s="140">
        <f ca="1">IF(ISNUMBER(MATCH(DATEVALUE($A109),'changes1_based on steps'!J$1:J$400,0)),J$2,)</f>
        <v>0</v>
      </c>
      <c r="K109" s="140">
        <f ca="1">IF(ISNUMBER(MATCH(DATEVALUE($A109),'changes1_based on steps'!K$1:K$400,0)),K$2,)</f>
        <v>0</v>
      </c>
      <c r="L109" s="140">
        <f ca="1">IF(ISNUMBER(MATCH(DATEVALUE($A109),'changes1_based on steps'!L$1:L$400,0)),L$2,)</f>
        <v>0</v>
      </c>
      <c r="M109" s="140">
        <f ca="1">IF(ISNUMBER(MATCH(DATEVALUE($A109),'changes1_based on steps'!M$1:M$400,0)),M$2,)</f>
        <v>0</v>
      </c>
      <c r="N109" s="140">
        <f ca="1">IF(ISNUMBER(MATCH(DATEVALUE($A109),'changes1_based on steps'!N$1:N$400,0)),N$2,)</f>
        <v>0</v>
      </c>
      <c r="O109" s="140">
        <f ca="1">IF(ISNUMBER(MATCH(DATEVALUE($A109),'changes1_based on steps'!O$1:O$400,0)),O$2,)</f>
        <v>0</v>
      </c>
      <c r="P109" s="140">
        <f ca="1">IF(ISNUMBER(MATCH(DATEVALUE($A109),'changes1_based on steps'!P$1:P$400,0)),P$2,)</f>
        <v>0</v>
      </c>
      <c r="Q109" s="140">
        <f ca="1">IF(ISNUMBER(MATCH(DATEVALUE($A109),'changes1_based on steps'!Q$1:Q$400,0)),Q$2,)</f>
        <v>0</v>
      </c>
      <c r="R109" s="140">
        <f ca="1">IF(ISNUMBER(MATCH(DATEVALUE($A109),'changes1_based on steps'!R$1:R$400,0)),R$2,)</f>
        <v>0</v>
      </c>
      <c r="S109" s="140">
        <f ca="1">IF(ISNUMBER(MATCH(DATEVALUE($A109),'changes1_based on steps'!S$1:S$400,0)),S$2,)</f>
        <v>0</v>
      </c>
      <c r="T109" s="140">
        <f ca="1">IF(ISNUMBER(MATCH(DATEVALUE($A109),'changes1_based on steps'!T$1:T$400,0)),T$2,)</f>
        <v>0</v>
      </c>
      <c r="U109" s="140">
        <f ca="1">IF(ISNUMBER(MATCH(DATEVALUE($A109),'changes1_based on steps'!U$1:U$400,0)),U$2,)</f>
        <v>0</v>
      </c>
      <c r="V109" s="140"/>
      <c r="W109" s="140"/>
      <c r="X109" s="140"/>
      <c r="Y109" s="140"/>
      <c r="Z109" s="140"/>
      <c r="AA109" s="140"/>
      <c r="AB109" s="140"/>
      <c r="AC109" s="140"/>
      <c r="AD109" s="140"/>
      <c r="AE109" s="140"/>
      <c r="AF109" s="140"/>
      <c r="AG109" s="140"/>
      <c r="AH109" s="140"/>
      <c r="AI109" s="140"/>
      <c r="AJ109" s="140"/>
      <c r="AK109" s="140"/>
      <c r="AL109" s="140"/>
      <c r="AM109" s="140"/>
      <c r="AN109" s="140"/>
      <c r="AO109" s="140"/>
      <c r="AP109" s="140"/>
      <c r="AQ109" s="140"/>
      <c r="AR109" s="140"/>
      <c r="AS109" s="140"/>
      <c r="AT109" s="140"/>
      <c r="AU109" s="140"/>
      <c r="AV109" s="140"/>
      <c r="AW109" s="140"/>
      <c r="AX109" s="140"/>
      <c r="AY109" s="140"/>
      <c r="AZ109" s="140"/>
      <c r="BA109" s="140"/>
      <c r="BB109" s="140"/>
      <c r="BC109" s="140"/>
      <c r="BD109" s="140"/>
      <c r="BE109" s="140"/>
      <c r="BF109" s="140"/>
      <c r="BG109" s="140"/>
      <c r="BH109" s="140"/>
      <c r="BI109" s="140"/>
      <c r="BJ109" s="140"/>
      <c r="BK109" s="140"/>
      <c r="BL109" s="140"/>
      <c r="BM109" s="140"/>
      <c r="BN109" s="140"/>
      <c r="BO109" s="140"/>
      <c r="BP109" s="140"/>
      <c r="BQ109" s="140"/>
      <c r="BR109" s="140"/>
      <c r="BS109" s="140"/>
      <c r="BT109" s="140"/>
      <c r="BU109" s="140"/>
      <c r="BV109" s="140"/>
      <c r="BW109" s="140"/>
      <c r="BX109" s="140"/>
      <c r="BY109" s="140"/>
      <c r="BZ109" s="140"/>
      <c r="CA109" s="140"/>
      <c r="CB109" s="140"/>
      <c r="CC109" s="140"/>
      <c r="CD109" s="140"/>
      <c r="CE109" s="140"/>
      <c r="CF109" s="140"/>
      <c r="CG109" s="140"/>
      <c r="CH109" s="140"/>
      <c r="CI109" s="140"/>
      <c r="CJ109" s="140"/>
      <c r="CK109" s="140"/>
      <c r="CL109" s="140"/>
      <c r="CM109" s="140"/>
      <c r="CN109" s="140"/>
      <c r="CO109" s="140"/>
      <c r="CP109" s="140"/>
      <c r="CQ109" s="140"/>
      <c r="CR109" s="140"/>
      <c r="CS109" s="140"/>
      <c r="CT109" s="140"/>
      <c r="CU109" s="140"/>
      <c r="CV109" s="140"/>
      <c r="CW109" s="140"/>
    </row>
    <row r="110" spans="1:101" x14ac:dyDescent="0.2">
      <c r="A110" s="29" t="str">
        <f t="shared" ca="1" si="1"/>
        <v>2025-07-12</v>
      </c>
      <c r="B110" s="140">
        <f ca="1">IF(ISNUMBER(MATCH(DATEVALUE($A110),'changes1_based on steps'!B$1:B$400,0)),B$2,)</f>
        <v>0</v>
      </c>
      <c r="C110" s="140">
        <f ca="1">IF(ISNUMBER(MATCH(DATEVALUE($A110),'changes1_based on steps'!C$1:C$400,0)),C$2,)</f>
        <v>0</v>
      </c>
      <c r="D110" s="140">
        <f ca="1">IF(ISNUMBER(MATCH(DATEVALUE($A110),'changes1_based on steps'!D$1:D$400,0)),D$2,)</f>
        <v>0</v>
      </c>
      <c r="E110" s="140">
        <f ca="1">IF(ISNUMBER(MATCH(DATEVALUE($A110),'changes1_based on steps'!E$1:E$400,0)),E$2,)</f>
        <v>0</v>
      </c>
      <c r="F110" s="140">
        <f ca="1">IF(ISNUMBER(MATCH(DATEVALUE($A110),'changes1_based on steps'!F$1:F$400,0)),F$2,)</f>
        <v>0</v>
      </c>
      <c r="G110" s="140">
        <f ca="1">IF(ISNUMBER(MATCH(DATEVALUE($A110),'changes1_based on steps'!G$1:G$400,0)),G$2,)</f>
        <v>0</v>
      </c>
      <c r="H110" s="140">
        <f ca="1">IF(ISNUMBER(MATCH(DATEVALUE($A110),'changes1_based on steps'!H$1:H$400,0)),H$2,)</f>
        <v>0</v>
      </c>
      <c r="I110" s="140">
        <f ca="1">IF(ISNUMBER(MATCH(DATEVALUE($A110),'changes1_based on steps'!I$1:I$400,0)),I$2,)</f>
        <v>0</v>
      </c>
      <c r="J110" s="140">
        <f ca="1">IF(ISNUMBER(MATCH(DATEVALUE($A110),'changes1_based on steps'!J$1:J$400,0)),J$2,)</f>
        <v>0</v>
      </c>
      <c r="K110" s="140">
        <f ca="1">IF(ISNUMBER(MATCH(DATEVALUE($A110),'changes1_based on steps'!K$1:K$400,0)),K$2,)</f>
        <v>0</v>
      </c>
      <c r="L110" s="140">
        <f ca="1">IF(ISNUMBER(MATCH(DATEVALUE($A110),'changes1_based on steps'!L$1:L$400,0)),L$2,)</f>
        <v>0</v>
      </c>
      <c r="M110" s="140">
        <f ca="1">IF(ISNUMBER(MATCH(DATEVALUE($A110),'changes1_based on steps'!M$1:M$400,0)),M$2,)</f>
        <v>0</v>
      </c>
      <c r="N110" s="140">
        <f ca="1">IF(ISNUMBER(MATCH(DATEVALUE($A110),'changes1_based on steps'!N$1:N$400,0)),N$2,)</f>
        <v>0</v>
      </c>
      <c r="O110" s="140">
        <f ca="1">IF(ISNUMBER(MATCH(DATEVALUE($A110),'changes1_based on steps'!O$1:O$400,0)),O$2,)</f>
        <v>0</v>
      </c>
      <c r="P110" s="140">
        <f ca="1">IF(ISNUMBER(MATCH(DATEVALUE($A110),'changes1_based on steps'!P$1:P$400,0)),P$2,)</f>
        <v>0</v>
      </c>
      <c r="Q110" s="140">
        <f ca="1">IF(ISNUMBER(MATCH(DATEVALUE($A110),'changes1_based on steps'!Q$1:Q$400,0)),Q$2,)</f>
        <v>0</v>
      </c>
      <c r="R110" s="140">
        <f ca="1">IF(ISNUMBER(MATCH(DATEVALUE($A110),'changes1_based on steps'!R$1:R$400,0)),R$2,)</f>
        <v>0</v>
      </c>
      <c r="S110" s="140">
        <f ca="1">IF(ISNUMBER(MATCH(DATEVALUE($A110),'changes1_based on steps'!S$1:S$400,0)),S$2,)</f>
        <v>0</v>
      </c>
      <c r="T110" s="140">
        <f ca="1">IF(ISNUMBER(MATCH(DATEVALUE($A110),'changes1_based on steps'!T$1:T$400,0)),T$2,)</f>
        <v>0</v>
      </c>
      <c r="U110" s="140">
        <f ca="1">IF(ISNUMBER(MATCH(DATEVALUE($A110),'changes1_based on steps'!U$1:U$400,0)),U$2,)</f>
        <v>0</v>
      </c>
      <c r="V110" s="140"/>
      <c r="W110" s="140"/>
      <c r="X110" s="140"/>
      <c r="Y110" s="140"/>
      <c r="Z110" s="140"/>
      <c r="AA110" s="140"/>
      <c r="AB110" s="140"/>
      <c r="AC110" s="140"/>
      <c r="AD110" s="140"/>
      <c r="AE110" s="140"/>
      <c r="AF110" s="140"/>
      <c r="AG110" s="140"/>
      <c r="AH110" s="140"/>
      <c r="AI110" s="140"/>
      <c r="AJ110" s="140"/>
      <c r="AK110" s="140"/>
      <c r="AL110" s="140"/>
      <c r="AM110" s="140"/>
      <c r="AN110" s="140"/>
      <c r="AO110" s="140"/>
      <c r="AP110" s="140"/>
      <c r="AQ110" s="140"/>
      <c r="AR110" s="140"/>
      <c r="AS110" s="140"/>
      <c r="AT110" s="140"/>
      <c r="AU110" s="140"/>
      <c r="AV110" s="140"/>
      <c r="AW110" s="140"/>
      <c r="AX110" s="140"/>
      <c r="AY110" s="140"/>
      <c r="AZ110" s="140"/>
      <c r="BA110" s="140"/>
      <c r="BB110" s="140"/>
      <c r="BC110" s="140"/>
      <c r="BD110" s="140"/>
      <c r="BE110" s="140"/>
      <c r="BF110" s="140"/>
      <c r="BG110" s="140"/>
      <c r="BH110" s="140"/>
      <c r="BI110" s="140"/>
      <c r="BJ110" s="140"/>
      <c r="BK110" s="140"/>
      <c r="BL110" s="140"/>
      <c r="BM110" s="140"/>
      <c r="BN110" s="140"/>
      <c r="BO110" s="140"/>
      <c r="BP110" s="140"/>
      <c r="BQ110" s="140"/>
      <c r="BR110" s="140"/>
      <c r="BS110" s="140"/>
      <c r="BT110" s="140"/>
      <c r="BU110" s="140"/>
      <c r="BV110" s="140"/>
      <c r="BW110" s="140"/>
      <c r="BX110" s="140"/>
      <c r="BY110" s="140"/>
      <c r="BZ110" s="140"/>
      <c r="CA110" s="140"/>
      <c r="CB110" s="140"/>
      <c r="CC110" s="140"/>
      <c r="CD110" s="140"/>
      <c r="CE110" s="140"/>
      <c r="CF110" s="140"/>
      <c r="CG110" s="140"/>
      <c r="CH110" s="140"/>
      <c r="CI110" s="140"/>
      <c r="CJ110" s="140"/>
      <c r="CK110" s="140"/>
      <c r="CL110" s="140"/>
      <c r="CM110" s="140"/>
      <c r="CN110" s="140"/>
      <c r="CO110" s="140"/>
      <c r="CP110" s="140"/>
      <c r="CQ110" s="140"/>
      <c r="CR110" s="140"/>
      <c r="CS110" s="140"/>
      <c r="CT110" s="140"/>
      <c r="CU110" s="140"/>
      <c r="CV110" s="140"/>
      <c r="CW110" s="140"/>
    </row>
    <row r="111" spans="1:101" x14ac:dyDescent="0.2">
      <c r="A111" s="29" t="str">
        <f t="shared" ca="1" si="1"/>
        <v>2025-07-13</v>
      </c>
      <c r="B111" s="140">
        <f ca="1">IF(ISNUMBER(MATCH(DATEVALUE($A111),'changes1_based on steps'!B$1:B$400,0)),B$2,)</f>
        <v>0</v>
      </c>
      <c r="C111" s="140">
        <f ca="1">IF(ISNUMBER(MATCH(DATEVALUE($A111),'changes1_based on steps'!C$1:C$400,0)),C$2,)</f>
        <v>0</v>
      </c>
      <c r="D111" s="140">
        <f ca="1">IF(ISNUMBER(MATCH(DATEVALUE($A111),'changes1_based on steps'!D$1:D$400,0)),D$2,)</f>
        <v>0</v>
      </c>
      <c r="E111" s="140">
        <f ca="1">IF(ISNUMBER(MATCH(DATEVALUE($A111),'changes1_based on steps'!E$1:E$400,0)),E$2,)</f>
        <v>0</v>
      </c>
      <c r="F111" s="140">
        <f ca="1">IF(ISNUMBER(MATCH(DATEVALUE($A111),'changes1_based on steps'!F$1:F$400,0)),F$2,)</f>
        <v>0</v>
      </c>
      <c r="G111" s="140">
        <f ca="1">IF(ISNUMBER(MATCH(DATEVALUE($A111),'changes1_based on steps'!G$1:G$400,0)),G$2,)</f>
        <v>0</v>
      </c>
      <c r="H111" s="140">
        <f ca="1">IF(ISNUMBER(MATCH(DATEVALUE($A111),'changes1_based on steps'!H$1:H$400,0)),H$2,)</f>
        <v>0</v>
      </c>
      <c r="I111" s="140">
        <f ca="1">IF(ISNUMBER(MATCH(DATEVALUE($A111),'changes1_based on steps'!I$1:I$400,0)),I$2,)</f>
        <v>0</v>
      </c>
      <c r="J111" s="140">
        <f ca="1">IF(ISNUMBER(MATCH(DATEVALUE($A111),'changes1_based on steps'!J$1:J$400,0)),J$2,)</f>
        <v>0</v>
      </c>
      <c r="K111" s="140">
        <f ca="1">IF(ISNUMBER(MATCH(DATEVALUE($A111),'changes1_based on steps'!K$1:K$400,0)),K$2,)</f>
        <v>0</v>
      </c>
      <c r="L111" s="140">
        <f ca="1">IF(ISNUMBER(MATCH(DATEVALUE($A111),'changes1_based on steps'!L$1:L$400,0)),L$2,)</f>
        <v>0</v>
      </c>
      <c r="M111" s="140">
        <f ca="1">IF(ISNUMBER(MATCH(DATEVALUE($A111),'changes1_based on steps'!M$1:M$400,0)),M$2,)</f>
        <v>0</v>
      </c>
      <c r="N111" s="140">
        <f ca="1">IF(ISNUMBER(MATCH(DATEVALUE($A111),'changes1_based on steps'!N$1:N$400,0)),N$2,)</f>
        <v>0</v>
      </c>
      <c r="O111" s="140">
        <f ca="1">IF(ISNUMBER(MATCH(DATEVALUE($A111),'changes1_based on steps'!O$1:O$400,0)),O$2,)</f>
        <v>0</v>
      </c>
      <c r="P111" s="140">
        <f ca="1">IF(ISNUMBER(MATCH(DATEVALUE($A111),'changes1_based on steps'!P$1:P$400,0)),P$2,)</f>
        <v>0</v>
      </c>
      <c r="Q111" s="140">
        <f ca="1">IF(ISNUMBER(MATCH(DATEVALUE($A111),'changes1_based on steps'!Q$1:Q$400,0)),Q$2,)</f>
        <v>0</v>
      </c>
      <c r="R111" s="140">
        <f ca="1">IF(ISNUMBER(MATCH(DATEVALUE($A111),'changes1_based on steps'!R$1:R$400,0)),R$2,)</f>
        <v>0</v>
      </c>
      <c r="S111" s="140">
        <f ca="1">IF(ISNUMBER(MATCH(DATEVALUE($A111),'changes1_based on steps'!S$1:S$400,0)),S$2,)</f>
        <v>0</v>
      </c>
      <c r="T111" s="140">
        <f ca="1">IF(ISNUMBER(MATCH(DATEVALUE($A111),'changes1_based on steps'!T$1:T$400,0)),T$2,)</f>
        <v>0</v>
      </c>
      <c r="U111" s="140">
        <f ca="1">IF(ISNUMBER(MATCH(DATEVALUE($A111),'changes1_based on steps'!U$1:U$400,0)),U$2,)</f>
        <v>0</v>
      </c>
      <c r="V111" s="140"/>
      <c r="W111" s="140"/>
      <c r="X111" s="140"/>
      <c r="Y111" s="140"/>
      <c r="Z111" s="140"/>
      <c r="AA111" s="140"/>
      <c r="AB111" s="140"/>
      <c r="AC111" s="140"/>
      <c r="AD111" s="140"/>
      <c r="AE111" s="140"/>
      <c r="AF111" s="140"/>
      <c r="AG111" s="140"/>
      <c r="AH111" s="140"/>
      <c r="AI111" s="140"/>
      <c r="AJ111" s="140"/>
      <c r="AK111" s="140"/>
      <c r="AL111" s="140"/>
      <c r="AM111" s="140"/>
      <c r="AN111" s="140"/>
      <c r="AO111" s="140"/>
      <c r="AP111" s="140"/>
      <c r="AQ111" s="140"/>
      <c r="AR111" s="140"/>
      <c r="AS111" s="140"/>
      <c r="AT111" s="140"/>
      <c r="AU111" s="140"/>
      <c r="AV111" s="140"/>
      <c r="AW111" s="140"/>
      <c r="AX111" s="140"/>
      <c r="AY111" s="140"/>
      <c r="AZ111" s="140"/>
      <c r="BA111" s="140"/>
      <c r="BB111" s="140"/>
      <c r="BC111" s="140"/>
      <c r="BD111" s="140"/>
      <c r="BE111" s="140"/>
      <c r="BF111" s="140"/>
      <c r="BG111" s="140"/>
      <c r="BH111" s="140"/>
      <c r="BI111" s="140"/>
      <c r="BJ111" s="140"/>
      <c r="BK111" s="140"/>
      <c r="BL111" s="140"/>
      <c r="BM111" s="140"/>
      <c r="BN111" s="140"/>
      <c r="BO111" s="140"/>
      <c r="BP111" s="140"/>
      <c r="BQ111" s="140"/>
      <c r="BR111" s="140"/>
      <c r="BS111" s="140"/>
      <c r="BT111" s="140"/>
      <c r="BU111" s="140"/>
      <c r="BV111" s="140"/>
      <c r="BW111" s="140"/>
      <c r="BX111" s="140"/>
      <c r="BY111" s="140"/>
      <c r="BZ111" s="140"/>
      <c r="CA111" s="140"/>
      <c r="CB111" s="140"/>
      <c r="CC111" s="140"/>
      <c r="CD111" s="140"/>
      <c r="CE111" s="140"/>
      <c r="CF111" s="140"/>
      <c r="CG111" s="140"/>
      <c r="CH111" s="140"/>
      <c r="CI111" s="140"/>
      <c r="CJ111" s="140"/>
      <c r="CK111" s="140"/>
      <c r="CL111" s="140"/>
      <c r="CM111" s="140"/>
      <c r="CN111" s="140"/>
      <c r="CO111" s="140"/>
      <c r="CP111" s="140"/>
      <c r="CQ111" s="140"/>
      <c r="CR111" s="140"/>
      <c r="CS111" s="140"/>
      <c r="CT111" s="140"/>
      <c r="CU111" s="140"/>
      <c r="CV111" s="140"/>
      <c r="CW111" s="140"/>
    </row>
    <row r="112" spans="1:101" x14ac:dyDescent="0.2">
      <c r="A112" s="29" t="str">
        <f t="shared" ca="1" si="1"/>
        <v>2025-07-14</v>
      </c>
      <c r="B112" s="140">
        <f ca="1">IF(ISNUMBER(MATCH(DATEVALUE($A112),'changes1_based on steps'!B$1:B$400,0)),B$2,)</f>
        <v>0</v>
      </c>
      <c r="C112" s="140">
        <f ca="1">IF(ISNUMBER(MATCH(DATEVALUE($A112),'changes1_based on steps'!C$1:C$400,0)),C$2,)</f>
        <v>0</v>
      </c>
      <c r="D112" s="140">
        <f ca="1">IF(ISNUMBER(MATCH(DATEVALUE($A112),'changes1_based on steps'!D$1:D$400,0)),D$2,)</f>
        <v>0</v>
      </c>
      <c r="E112" s="140">
        <f ca="1">IF(ISNUMBER(MATCH(DATEVALUE($A112),'changes1_based on steps'!E$1:E$400,0)),E$2,)</f>
        <v>0</v>
      </c>
      <c r="F112" s="140">
        <f ca="1">IF(ISNUMBER(MATCH(DATEVALUE($A112),'changes1_based on steps'!F$1:F$400,0)),F$2,)</f>
        <v>0</v>
      </c>
      <c r="G112" s="140">
        <f ca="1">IF(ISNUMBER(MATCH(DATEVALUE($A112),'changes1_based on steps'!G$1:G$400,0)),G$2,)</f>
        <v>0</v>
      </c>
      <c r="H112" s="140">
        <f ca="1">IF(ISNUMBER(MATCH(DATEVALUE($A112),'changes1_based on steps'!H$1:H$400,0)),H$2,)</f>
        <v>0</v>
      </c>
      <c r="I112" s="140">
        <f ca="1">IF(ISNUMBER(MATCH(DATEVALUE($A112),'changes1_based on steps'!I$1:I$400,0)),I$2,)</f>
        <v>0</v>
      </c>
      <c r="J112" s="140">
        <f ca="1">IF(ISNUMBER(MATCH(DATEVALUE($A112),'changes1_based on steps'!J$1:J$400,0)),J$2,)</f>
        <v>0</v>
      </c>
      <c r="K112" s="140">
        <f ca="1">IF(ISNUMBER(MATCH(DATEVALUE($A112),'changes1_based on steps'!K$1:K$400,0)),K$2,)</f>
        <v>0</v>
      </c>
      <c r="L112" s="140">
        <f ca="1">IF(ISNUMBER(MATCH(DATEVALUE($A112),'changes1_based on steps'!L$1:L$400,0)),L$2,)</f>
        <v>0</v>
      </c>
      <c r="M112" s="140">
        <f ca="1">IF(ISNUMBER(MATCH(DATEVALUE($A112),'changes1_based on steps'!M$1:M$400,0)),M$2,)</f>
        <v>0</v>
      </c>
      <c r="N112" s="140">
        <f ca="1">IF(ISNUMBER(MATCH(DATEVALUE($A112),'changes1_based on steps'!N$1:N$400,0)),N$2,)</f>
        <v>0</v>
      </c>
      <c r="O112" s="140">
        <f ca="1">IF(ISNUMBER(MATCH(DATEVALUE($A112),'changes1_based on steps'!O$1:O$400,0)),O$2,)</f>
        <v>0</v>
      </c>
      <c r="P112" s="140">
        <f ca="1">IF(ISNUMBER(MATCH(DATEVALUE($A112),'changes1_based on steps'!P$1:P$400,0)),P$2,)</f>
        <v>0</v>
      </c>
      <c r="Q112" s="140">
        <f ca="1">IF(ISNUMBER(MATCH(DATEVALUE($A112),'changes1_based on steps'!Q$1:Q$400,0)),Q$2,)</f>
        <v>0</v>
      </c>
      <c r="R112" s="140">
        <f ca="1">IF(ISNUMBER(MATCH(DATEVALUE($A112),'changes1_based on steps'!R$1:R$400,0)),R$2,)</f>
        <v>0</v>
      </c>
      <c r="S112" s="140">
        <f ca="1">IF(ISNUMBER(MATCH(DATEVALUE($A112),'changes1_based on steps'!S$1:S$400,0)),S$2,)</f>
        <v>0</v>
      </c>
      <c r="T112" s="140">
        <f ca="1">IF(ISNUMBER(MATCH(DATEVALUE($A112),'changes1_based on steps'!T$1:T$400,0)),T$2,)</f>
        <v>0</v>
      </c>
      <c r="U112" s="140">
        <f ca="1">IF(ISNUMBER(MATCH(DATEVALUE($A112),'changes1_based on steps'!U$1:U$400,0)),U$2,)</f>
        <v>0</v>
      </c>
      <c r="V112" s="140"/>
      <c r="W112" s="140"/>
      <c r="X112" s="140"/>
      <c r="Y112" s="140"/>
      <c r="Z112" s="140"/>
      <c r="AA112" s="140"/>
      <c r="AB112" s="140"/>
      <c r="AC112" s="140"/>
      <c r="AD112" s="140"/>
      <c r="AE112" s="140"/>
      <c r="AF112" s="140"/>
      <c r="AG112" s="140"/>
      <c r="AH112" s="140"/>
      <c r="AI112" s="140"/>
      <c r="AJ112" s="140"/>
      <c r="AK112" s="140"/>
      <c r="AL112" s="140"/>
      <c r="AM112" s="140"/>
      <c r="AN112" s="140"/>
      <c r="AO112" s="140"/>
      <c r="AP112" s="140"/>
      <c r="AQ112" s="140"/>
      <c r="AR112" s="140"/>
      <c r="AS112" s="140"/>
      <c r="AT112" s="140"/>
      <c r="AU112" s="140"/>
      <c r="AV112" s="140"/>
      <c r="AW112" s="140"/>
      <c r="AX112" s="140"/>
      <c r="AY112" s="140"/>
      <c r="AZ112" s="140"/>
      <c r="BA112" s="140"/>
      <c r="BB112" s="140"/>
      <c r="BC112" s="140"/>
      <c r="BD112" s="140"/>
      <c r="BE112" s="140"/>
      <c r="BF112" s="140"/>
      <c r="BG112" s="140"/>
      <c r="BH112" s="140"/>
      <c r="BI112" s="140"/>
      <c r="BJ112" s="140"/>
      <c r="BK112" s="140"/>
      <c r="BL112" s="140"/>
      <c r="BM112" s="140"/>
      <c r="BN112" s="140"/>
      <c r="BO112" s="140"/>
      <c r="BP112" s="140"/>
      <c r="BQ112" s="140"/>
      <c r="BR112" s="140"/>
      <c r="BS112" s="140"/>
      <c r="BT112" s="140"/>
      <c r="BU112" s="140"/>
      <c r="BV112" s="140"/>
      <c r="BW112" s="140"/>
      <c r="BX112" s="140"/>
      <c r="BY112" s="140"/>
      <c r="BZ112" s="140"/>
      <c r="CA112" s="140"/>
      <c r="CB112" s="140"/>
      <c r="CC112" s="140"/>
      <c r="CD112" s="140"/>
      <c r="CE112" s="140"/>
      <c r="CF112" s="140"/>
      <c r="CG112" s="140"/>
      <c r="CH112" s="140"/>
      <c r="CI112" s="140"/>
      <c r="CJ112" s="140"/>
      <c r="CK112" s="140"/>
      <c r="CL112" s="140"/>
      <c r="CM112" s="140"/>
      <c r="CN112" s="140"/>
      <c r="CO112" s="140"/>
      <c r="CP112" s="140"/>
      <c r="CQ112" s="140"/>
      <c r="CR112" s="140"/>
      <c r="CS112" s="140"/>
      <c r="CT112" s="140"/>
      <c r="CU112" s="140"/>
      <c r="CV112" s="140"/>
      <c r="CW112" s="140"/>
    </row>
    <row r="113" spans="1:101" x14ac:dyDescent="0.2">
      <c r="A113" s="29" t="str">
        <f t="shared" ca="1" si="1"/>
        <v>2025-07-15</v>
      </c>
      <c r="B113" s="140">
        <f ca="1">IF(ISNUMBER(MATCH(DATEVALUE($A113),'changes1_based on steps'!B$1:B$400,0)),B$2,)</f>
        <v>0</v>
      </c>
      <c r="C113" s="140">
        <f ca="1">IF(ISNUMBER(MATCH(DATEVALUE($A113),'changes1_based on steps'!C$1:C$400,0)),C$2,)</f>
        <v>0</v>
      </c>
      <c r="D113" s="140">
        <f ca="1">IF(ISNUMBER(MATCH(DATEVALUE($A113),'changes1_based on steps'!D$1:D$400,0)),D$2,)</f>
        <v>0</v>
      </c>
      <c r="E113" s="140">
        <f ca="1">IF(ISNUMBER(MATCH(DATEVALUE($A113),'changes1_based on steps'!E$1:E$400,0)),E$2,)</f>
        <v>0</v>
      </c>
      <c r="F113" s="140">
        <f ca="1">IF(ISNUMBER(MATCH(DATEVALUE($A113),'changes1_based on steps'!F$1:F$400,0)),F$2,)</f>
        <v>0</v>
      </c>
      <c r="G113" s="140">
        <f ca="1">IF(ISNUMBER(MATCH(DATEVALUE($A113),'changes1_based on steps'!G$1:G$400,0)),G$2,)</f>
        <v>0</v>
      </c>
      <c r="H113" s="140">
        <f ca="1">IF(ISNUMBER(MATCH(DATEVALUE($A113),'changes1_based on steps'!H$1:H$400,0)),H$2,)</f>
        <v>0</v>
      </c>
      <c r="I113" s="140">
        <f ca="1">IF(ISNUMBER(MATCH(DATEVALUE($A113),'changes1_based on steps'!I$1:I$400,0)),I$2,)</f>
        <v>0</v>
      </c>
      <c r="J113" s="140">
        <f ca="1">IF(ISNUMBER(MATCH(DATEVALUE($A113),'changes1_based on steps'!J$1:J$400,0)),J$2,)</f>
        <v>0</v>
      </c>
      <c r="K113" s="140">
        <f ca="1">IF(ISNUMBER(MATCH(DATEVALUE($A113),'changes1_based on steps'!K$1:K$400,0)),K$2,)</f>
        <v>0</v>
      </c>
      <c r="L113" s="140">
        <f ca="1">IF(ISNUMBER(MATCH(DATEVALUE($A113),'changes1_based on steps'!L$1:L$400,0)),L$2,)</f>
        <v>0</v>
      </c>
      <c r="M113" s="140">
        <f ca="1">IF(ISNUMBER(MATCH(DATEVALUE($A113),'changes1_based on steps'!M$1:M$400,0)),M$2,)</f>
        <v>0</v>
      </c>
      <c r="N113" s="140">
        <f ca="1">IF(ISNUMBER(MATCH(DATEVALUE($A113),'changes1_based on steps'!N$1:N$400,0)),N$2,)</f>
        <v>0</v>
      </c>
      <c r="O113" s="140">
        <f ca="1">IF(ISNUMBER(MATCH(DATEVALUE($A113),'changes1_based on steps'!O$1:O$400,0)),O$2,)</f>
        <v>0</v>
      </c>
      <c r="P113" s="140">
        <f ca="1">IF(ISNUMBER(MATCH(DATEVALUE($A113),'changes1_based on steps'!P$1:P$400,0)),P$2,)</f>
        <v>0</v>
      </c>
      <c r="Q113" s="140">
        <f ca="1">IF(ISNUMBER(MATCH(DATEVALUE($A113),'changes1_based on steps'!Q$1:Q$400,0)),Q$2,)</f>
        <v>0</v>
      </c>
      <c r="R113" s="140">
        <f ca="1">IF(ISNUMBER(MATCH(DATEVALUE($A113),'changes1_based on steps'!R$1:R$400,0)),R$2,)</f>
        <v>0</v>
      </c>
      <c r="S113" s="140">
        <f ca="1">IF(ISNUMBER(MATCH(DATEVALUE($A113),'changes1_based on steps'!S$1:S$400,0)),S$2,)</f>
        <v>0</v>
      </c>
      <c r="T113" s="140">
        <f ca="1">IF(ISNUMBER(MATCH(DATEVALUE($A113),'changes1_based on steps'!T$1:T$400,0)),T$2,)</f>
        <v>0</v>
      </c>
      <c r="U113" s="140">
        <f ca="1">IF(ISNUMBER(MATCH(DATEVALUE($A113),'changes1_based on steps'!U$1:U$400,0)),U$2,)</f>
        <v>0</v>
      </c>
      <c r="V113" s="140"/>
      <c r="W113" s="140"/>
      <c r="X113" s="140"/>
      <c r="Y113" s="140"/>
      <c r="Z113" s="140"/>
      <c r="AA113" s="140"/>
      <c r="AB113" s="140"/>
      <c r="AC113" s="140"/>
      <c r="AD113" s="140"/>
      <c r="AE113" s="140"/>
      <c r="AF113" s="140"/>
      <c r="AG113" s="140"/>
      <c r="AH113" s="140"/>
      <c r="AI113" s="140"/>
      <c r="AJ113" s="140"/>
      <c r="AK113" s="140"/>
      <c r="AL113" s="140"/>
      <c r="AM113" s="140"/>
      <c r="AN113" s="140"/>
      <c r="AO113" s="140"/>
      <c r="AP113" s="140"/>
      <c r="AQ113" s="140"/>
      <c r="AR113" s="140"/>
      <c r="AS113" s="140"/>
      <c r="AT113" s="140"/>
      <c r="AU113" s="140"/>
      <c r="AV113" s="140"/>
      <c r="AW113" s="140"/>
      <c r="AX113" s="140"/>
      <c r="AY113" s="140"/>
      <c r="AZ113" s="140"/>
      <c r="BA113" s="140"/>
      <c r="BB113" s="140"/>
      <c r="BC113" s="140"/>
      <c r="BD113" s="140"/>
      <c r="BE113" s="140"/>
      <c r="BF113" s="140"/>
      <c r="BG113" s="140"/>
      <c r="BH113" s="140"/>
      <c r="BI113" s="140"/>
      <c r="BJ113" s="140"/>
      <c r="BK113" s="140"/>
      <c r="BL113" s="140"/>
      <c r="BM113" s="140"/>
      <c r="BN113" s="140"/>
      <c r="BO113" s="140"/>
      <c r="BP113" s="140"/>
      <c r="BQ113" s="140"/>
      <c r="BR113" s="140"/>
      <c r="BS113" s="140"/>
      <c r="BT113" s="140"/>
      <c r="BU113" s="140"/>
      <c r="BV113" s="140"/>
      <c r="BW113" s="140"/>
      <c r="BX113" s="140"/>
      <c r="BY113" s="140"/>
      <c r="BZ113" s="140"/>
      <c r="CA113" s="140"/>
      <c r="CB113" s="140"/>
      <c r="CC113" s="140"/>
      <c r="CD113" s="140"/>
      <c r="CE113" s="140"/>
      <c r="CF113" s="140"/>
      <c r="CG113" s="140"/>
      <c r="CH113" s="140"/>
      <c r="CI113" s="140"/>
      <c r="CJ113" s="140"/>
      <c r="CK113" s="140"/>
      <c r="CL113" s="140"/>
      <c r="CM113" s="140"/>
      <c r="CN113" s="140"/>
      <c r="CO113" s="140"/>
      <c r="CP113" s="140"/>
      <c r="CQ113" s="140"/>
      <c r="CR113" s="140"/>
      <c r="CS113" s="140"/>
      <c r="CT113" s="140"/>
      <c r="CU113" s="140"/>
      <c r="CV113" s="140"/>
      <c r="CW113" s="140"/>
    </row>
    <row r="114" spans="1:101" x14ac:dyDescent="0.2">
      <c r="A114" s="29" t="str">
        <f t="shared" ca="1" si="1"/>
        <v>2025-07-16</v>
      </c>
      <c r="B114" s="140">
        <f ca="1">IF(ISNUMBER(MATCH(DATEVALUE($A114),'changes1_based on steps'!B$1:B$400,0)),B$2,)</f>
        <v>0</v>
      </c>
      <c r="C114" s="140">
        <f ca="1">IF(ISNUMBER(MATCH(DATEVALUE($A114),'changes1_based on steps'!C$1:C$400,0)),C$2,)</f>
        <v>0</v>
      </c>
      <c r="D114" s="140">
        <f ca="1">IF(ISNUMBER(MATCH(DATEVALUE($A114),'changes1_based on steps'!D$1:D$400,0)),D$2,)</f>
        <v>0</v>
      </c>
      <c r="E114" s="140">
        <f ca="1">IF(ISNUMBER(MATCH(DATEVALUE($A114),'changes1_based on steps'!E$1:E$400,0)),E$2,)</f>
        <v>0</v>
      </c>
      <c r="F114" s="140">
        <f ca="1">IF(ISNUMBER(MATCH(DATEVALUE($A114),'changes1_based on steps'!F$1:F$400,0)),F$2,)</f>
        <v>0</v>
      </c>
      <c r="G114" s="140">
        <f ca="1">IF(ISNUMBER(MATCH(DATEVALUE($A114),'changes1_based on steps'!G$1:G$400,0)),G$2,)</f>
        <v>0</v>
      </c>
      <c r="H114" s="140">
        <f ca="1">IF(ISNUMBER(MATCH(DATEVALUE($A114),'changes1_based on steps'!H$1:H$400,0)),H$2,)</f>
        <v>0</v>
      </c>
      <c r="I114" s="140">
        <f ca="1">IF(ISNUMBER(MATCH(DATEVALUE($A114),'changes1_based on steps'!I$1:I$400,0)),I$2,)</f>
        <v>0</v>
      </c>
      <c r="J114" s="140">
        <f ca="1">IF(ISNUMBER(MATCH(DATEVALUE($A114),'changes1_based on steps'!J$1:J$400,0)),J$2,)</f>
        <v>0</v>
      </c>
      <c r="K114" s="140">
        <f ca="1">IF(ISNUMBER(MATCH(DATEVALUE($A114),'changes1_based on steps'!K$1:K$400,0)),K$2,)</f>
        <v>0</v>
      </c>
      <c r="L114" s="140">
        <f ca="1">IF(ISNUMBER(MATCH(DATEVALUE($A114),'changes1_based on steps'!L$1:L$400,0)),L$2,)</f>
        <v>0</v>
      </c>
      <c r="M114" s="140">
        <f ca="1">IF(ISNUMBER(MATCH(DATEVALUE($A114),'changes1_based on steps'!M$1:M$400,0)),M$2,)</f>
        <v>0</v>
      </c>
      <c r="N114" s="140">
        <f ca="1">IF(ISNUMBER(MATCH(DATEVALUE($A114),'changes1_based on steps'!N$1:N$400,0)),N$2,)</f>
        <v>0</v>
      </c>
      <c r="O114" s="140">
        <f ca="1">IF(ISNUMBER(MATCH(DATEVALUE($A114),'changes1_based on steps'!O$1:O$400,0)),O$2,)</f>
        <v>0</v>
      </c>
      <c r="P114" s="140">
        <f ca="1">IF(ISNUMBER(MATCH(DATEVALUE($A114),'changes1_based on steps'!P$1:P$400,0)),P$2,)</f>
        <v>0</v>
      </c>
      <c r="Q114" s="140">
        <f ca="1">IF(ISNUMBER(MATCH(DATEVALUE($A114),'changes1_based on steps'!Q$1:Q$400,0)),Q$2,)</f>
        <v>0</v>
      </c>
      <c r="R114" s="140">
        <f ca="1">IF(ISNUMBER(MATCH(DATEVALUE($A114),'changes1_based on steps'!R$1:R$400,0)),R$2,)</f>
        <v>0</v>
      </c>
      <c r="S114" s="140">
        <f ca="1">IF(ISNUMBER(MATCH(DATEVALUE($A114),'changes1_based on steps'!S$1:S$400,0)),S$2,)</f>
        <v>0</v>
      </c>
      <c r="T114" s="140">
        <f ca="1">IF(ISNUMBER(MATCH(DATEVALUE($A114),'changes1_based on steps'!T$1:T$400,0)),T$2,)</f>
        <v>0</v>
      </c>
      <c r="U114" s="140">
        <f ca="1">IF(ISNUMBER(MATCH(DATEVALUE($A114),'changes1_based on steps'!U$1:U$400,0)),U$2,)</f>
        <v>0</v>
      </c>
      <c r="V114" s="140"/>
      <c r="W114" s="140"/>
      <c r="X114" s="140"/>
      <c r="Y114" s="140"/>
      <c r="Z114" s="140"/>
      <c r="AA114" s="140"/>
      <c r="AB114" s="140"/>
      <c r="AC114" s="140"/>
      <c r="AD114" s="140"/>
      <c r="AE114" s="140"/>
      <c r="AF114" s="140"/>
      <c r="AG114" s="140"/>
      <c r="AH114" s="140"/>
      <c r="AI114" s="140"/>
      <c r="AJ114" s="140"/>
      <c r="AK114" s="140"/>
      <c r="AL114" s="140"/>
      <c r="AM114" s="140"/>
      <c r="AN114" s="140"/>
      <c r="AO114" s="140"/>
      <c r="AP114" s="140"/>
      <c r="AQ114" s="140"/>
      <c r="AR114" s="140"/>
      <c r="AS114" s="140"/>
      <c r="AT114" s="140"/>
      <c r="AU114" s="140"/>
      <c r="AV114" s="140"/>
      <c r="AW114" s="140"/>
      <c r="AX114" s="140"/>
      <c r="AY114" s="140"/>
      <c r="AZ114" s="140"/>
      <c r="BA114" s="140"/>
      <c r="BB114" s="140"/>
      <c r="BC114" s="140"/>
      <c r="BD114" s="140"/>
      <c r="BE114" s="140"/>
      <c r="BF114" s="140"/>
      <c r="BG114" s="140"/>
      <c r="BH114" s="140"/>
      <c r="BI114" s="140"/>
      <c r="BJ114" s="140"/>
      <c r="BK114" s="140"/>
      <c r="BL114" s="140"/>
      <c r="BM114" s="140"/>
      <c r="BN114" s="140"/>
      <c r="BO114" s="140"/>
      <c r="BP114" s="140"/>
      <c r="BQ114" s="140"/>
      <c r="BR114" s="140"/>
      <c r="BS114" s="140"/>
      <c r="BT114" s="140"/>
      <c r="BU114" s="140"/>
      <c r="BV114" s="140"/>
      <c r="BW114" s="140"/>
      <c r="BX114" s="140"/>
      <c r="BY114" s="140"/>
      <c r="BZ114" s="140"/>
      <c r="CA114" s="140"/>
      <c r="CB114" s="140"/>
      <c r="CC114" s="140"/>
      <c r="CD114" s="140"/>
      <c r="CE114" s="140"/>
      <c r="CF114" s="140"/>
      <c r="CG114" s="140"/>
      <c r="CH114" s="140"/>
      <c r="CI114" s="140"/>
      <c r="CJ114" s="140"/>
      <c r="CK114" s="140"/>
      <c r="CL114" s="140"/>
      <c r="CM114" s="140"/>
      <c r="CN114" s="140"/>
      <c r="CO114" s="140"/>
      <c r="CP114" s="140"/>
      <c r="CQ114" s="140"/>
      <c r="CR114" s="140"/>
      <c r="CS114" s="140"/>
      <c r="CT114" s="140"/>
      <c r="CU114" s="140"/>
      <c r="CV114" s="140"/>
      <c r="CW114" s="140"/>
    </row>
    <row r="115" spans="1:101" x14ac:dyDescent="0.2">
      <c r="A115" s="29" t="str">
        <f t="shared" ca="1" si="1"/>
        <v>2025-07-17</v>
      </c>
      <c r="B115" s="140">
        <f ca="1">IF(ISNUMBER(MATCH(DATEVALUE($A115),'changes1_based on steps'!B$1:B$400,0)),B$2,)</f>
        <v>0</v>
      </c>
      <c r="C115" s="140">
        <f ca="1">IF(ISNUMBER(MATCH(DATEVALUE($A115),'changes1_based on steps'!C$1:C$400,0)),C$2,)</f>
        <v>0</v>
      </c>
      <c r="D115" s="140">
        <f ca="1">IF(ISNUMBER(MATCH(DATEVALUE($A115),'changes1_based on steps'!D$1:D$400,0)),D$2,)</f>
        <v>0</v>
      </c>
      <c r="E115" s="140">
        <f ca="1">IF(ISNUMBER(MATCH(DATEVALUE($A115),'changes1_based on steps'!E$1:E$400,0)),E$2,)</f>
        <v>0</v>
      </c>
      <c r="F115" s="140">
        <f ca="1">IF(ISNUMBER(MATCH(DATEVALUE($A115),'changes1_based on steps'!F$1:F$400,0)),F$2,)</f>
        <v>0</v>
      </c>
      <c r="G115" s="140">
        <f ca="1">IF(ISNUMBER(MATCH(DATEVALUE($A115),'changes1_based on steps'!G$1:G$400,0)),G$2,)</f>
        <v>0</v>
      </c>
      <c r="H115" s="140">
        <f ca="1">IF(ISNUMBER(MATCH(DATEVALUE($A115),'changes1_based on steps'!H$1:H$400,0)),H$2,)</f>
        <v>0</v>
      </c>
      <c r="I115" s="140">
        <f ca="1">IF(ISNUMBER(MATCH(DATEVALUE($A115),'changes1_based on steps'!I$1:I$400,0)),I$2,)</f>
        <v>0</v>
      </c>
      <c r="J115" s="140">
        <f ca="1">IF(ISNUMBER(MATCH(DATEVALUE($A115),'changes1_based on steps'!J$1:J$400,0)),J$2,)</f>
        <v>0</v>
      </c>
      <c r="K115" s="140">
        <f ca="1">IF(ISNUMBER(MATCH(DATEVALUE($A115),'changes1_based on steps'!K$1:K$400,0)),K$2,)</f>
        <v>0</v>
      </c>
      <c r="L115" s="140">
        <f ca="1">IF(ISNUMBER(MATCH(DATEVALUE($A115),'changes1_based on steps'!L$1:L$400,0)),L$2,)</f>
        <v>0</v>
      </c>
      <c r="M115" s="140">
        <f ca="1">IF(ISNUMBER(MATCH(DATEVALUE($A115),'changes1_based on steps'!M$1:M$400,0)),M$2,)</f>
        <v>0</v>
      </c>
      <c r="N115" s="140">
        <f ca="1">IF(ISNUMBER(MATCH(DATEVALUE($A115),'changes1_based on steps'!N$1:N$400,0)),N$2,)</f>
        <v>0</v>
      </c>
      <c r="O115" s="140">
        <f ca="1">IF(ISNUMBER(MATCH(DATEVALUE($A115),'changes1_based on steps'!O$1:O$400,0)),O$2,)</f>
        <v>0</v>
      </c>
      <c r="P115" s="140">
        <f ca="1">IF(ISNUMBER(MATCH(DATEVALUE($A115),'changes1_based on steps'!P$1:P$400,0)),P$2,)</f>
        <v>0</v>
      </c>
      <c r="Q115" s="140">
        <f ca="1">IF(ISNUMBER(MATCH(DATEVALUE($A115),'changes1_based on steps'!Q$1:Q$400,0)),Q$2,)</f>
        <v>0</v>
      </c>
      <c r="R115" s="140">
        <f ca="1">IF(ISNUMBER(MATCH(DATEVALUE($A115),'changes1_based on steps'!R$1:R$400,0)),R$2,)</f>
        <v>0</v>
      </c>
      <c r="S115" s="140">
        <f ca="1">IF(ISNUMBER(MATCH(DATEVALUE($A115),'changes1_based on steps'!S$1:S$400,0)),S$2,)</f>
        <v>0</v>
      </c>
      <c r="T115" s="140">
        <f ca="1">IF(ISNUMBER(MATCH(DATEVALUE($A115),'changes1_based on steps'!T$1:T$400,0)),T$2,)</f>
        <v>0</v>
      </c>
      <c r="U115" s="140">
        <f ca="1">IF(ISNUMBER(MATCH(DATEVALUE($A115),'changes1_based on steps'!U$1:U$400,0)),U$2,)</f>
        <v>0</v>
      </c>
      <c r="V115" s="140"/>
      <c r="W115" s="140"/>
      <c r="X115" s="140"/>
      <c r="Y115" s="140"/>
      <c r="Z115" s="140"/>
      <c r="AA115" s="140"/>
      <c r="AB115" s="140"/>
      <c r="AC115" s="140"/>
      <c r="AD115" s="140"/>
      <c r="AE115" s="140"/>
      <c r="AF115" s="140"/>
      <c r="AG115" s="140"/>
      <c r="AH115" s="140"/>
      <c r="AI115" s="140"/>
      <c r="AJ115" s="140"/>
      <c r="AK115" s="140"/>
      <c r="AL115" s="140"/>
      <c r="AM115" s="140"/>
      <c r="AN115" s="140"/>
      <c r="AO115" s="140"/>
      <c r="AP115" s="140"/>
      <c r="AQ115" s="140"/>
      <c r="AR115" s="140"/>
      <c r="AS115" s="140"/>
      <c r="AT115" s="140"/>
      <c r="AU115" s="140"/>
      <c r="AV115" s="140"/>
      <c r="AW115" s="140"/>
      <c r="AX115" s="140"/>
      <c r="AY115" s="140"/>
      <c r="AZ115" s="140"/>
      <c r="BA115" s="140"/>
      <c r="BB115" s="140"/>
      <c r="BC115" s="140"/>
      <c r="BD115" s="140"/>
      <c r="BE115" s="140"/>
      <c r="BF115" s="140"/>
      <c r="BG115" s="140"/>
      <c r="BH115" s="140"/>
      <c r="BI115" s="140"/>
      <c r="BJ115" s="140"/>
      <c r="BK115" s="140"/>
      <c r="BL115" s="140"/>
      <c r="BM115" s="140"/>
      <c r="BN115" s="140"/>
      <c r="BO115" s="140"/>
      <c r="BP115" s="140"/>
      <c r="BQ115" s="140"/>
      <c r="BR115" s="140"/>
      <c r="BS115" s="140"/>
      <c r="BT115" s="140"/>
      <c r="BU115" s="140"/>
      <c r="BV115" s="140"/>
      <c r="BW115" s="140"/>
      <c r="BX115" s="140"/>
      <c r="BY115" s="140"/>
      <c r="BZ115" s="140"/>
      <c r="CA115" s="140"/>
      <c r="CB115" s="140"/>
      <c r="CC115" s="140"/>
      <c r="CD115" s="140"/>
      <c r="CE115" s="140"/>
      <c r="CF115" s="140"/>
      <c r="CG115" s="140"/>
      <c r="CH115" s="140"/>
      <c r="CI115" s="140"/>
      <c r="CJ115" s="140"/>
      <c r="CK115" s="140"/>
      <c r="CL115" s="140"/>
      <c r="CM115" s="140"/>
      <c r="CN115" s="140"/>
      <c r="CO115" s="140"/>
      <c r="CP115" s="140"/>
      <c r="CQ115" s="140"/>
      <c r="CR115" s="140"/>
      <c r="CS115" s="140"/>
      <c r="CT115" s="140"/>
      <c r="CU115" s="140"/>
      <c r="CV115" s="140"/>
      <c r="CW115" s="140"/>
    </row>
    <row r="116" spans="1:101" x14ac:dyDescent="0.2">
      <c r="A116" s="29" t="str">
        <f t="shared" ca="1" si="1"/>
        <v>2025-07-18</v>
      </c>
      <c r="B116" s="140">
        <f ca="1">IF(ISNUMBER(MATCH(DATEVALUE($A116),'changes1_based on steps'!B$1:B$400,0)),B$2,)</f>
        <v>0</v>
      </c>
      <c r="C116" s="140">
        <f ca="1">IF(ISNUMBER(MATCH(DATEVALUE($A116),'changes1_based on steps'!C$1:C$400,0)),C$2,)</f>
        <v>0</v>
      </c>
      <c r="D116" s="140">
        <f ca="1">IF(ISNUMBER(MATCH(DATEVALUE($A116),'changes1_based on steps'!D$1:D$400,0)),D$2,)</f>
        <v>0</v>
      </c>
      <c r="E116" s="140">
        <f ca="1">IF(ISNUMBER(MATCH(DATEVALUE($A116),'changes1_based on steps'!E$1:E$400,0)),E$2,)</f>
        <v>0</v>
      </c>
      <c r="F116" s="140">
        <f ca="1">IF(ISNUMBER(MATCH(DATEVALUE($A116),'changes1_based on steps'!F$1:F$400,0)),F$2,)</f>
        <v>0</v>
      </c>
      <c r="G116" s="140">
        <f ca="1">IF(ISNUMBER(MATCH(DATEVALUE($A116),'changes1_based on steps'!G$1:G$400,0)),G$2,)</f>
        <v>0</v>
      </c>
      <c r="H116" s="140">
        <f ca="1">IF(ISNUMBER(MATCH(DATEVALUE($A116),'changes1_based on steps'!H$1:H$400,0)),H$2,)</f>
        <v>0</v>
      </c>
      <c r="I116" s="140">
        <f ca="1">IF(ISNUMBER(MATCH(DATEVALUE($A116),'changes1_based on steps'!I$1:I$400,0)),I$2,)</f>
        <v>0</v>
      </c>
      <c r="J116" s="140">
        <f ca="1">IF(ISNUMBER(MATCH(DATEVALUE($A116),'changes1_based on steps'!J$1:J$400,0)),J$2,)</f>
        <v>0</v>
      </c>
      <c r="K116" s="140">
        <f ca="1">IF(ISNUMBER(MATCH(DATEVALUE($A116),'changes1_based on steps'!K$1:K$400,0)),K$2,)</f>
        <v>0</v>
      </c>
      <c r="L116" s="140">
        <f ca="1">IF(ISNUMBER(MATCH(DATEVALUE($A116),'changes1_based on steps'!L$1:L$400,0)),L$2,)</f>
        <v>0</v>
      </c>
      <c r="M116" s="140">
        <f ca="1">IF(ISNUMBER(MATCH(DATEVALUE($A116),'changes1_based on steps'!M$1:M$400,0)),M$2,)</f>
        <v>0</v>
      </c>
      <c r="N116" s="140">
        <f ca="1">IF(ISNUMBER(MATCH(DATEVALUE($A116),'changes1_based on steps'!N$1:N$400,0)),N$2,)</f>
        <v>0</v>
      </c>
      <c r="O116" s="140">
        <f ca="1">IF(ISNUMBER(MATCH(DATEVALUE($A116),'changes1_based on steps'!O$1:O$400,0)),O$2,)</f>
        <v>0</v>
      </c>
      <c r="P116" s="140">
        <f ca="1">IF(ISNUMBER(MATCH(DATEVALUE($A116),'changes1_based on steps'!P$1:P$400,0)),P$2,)</f>
        <v>0</v>
      </c>
      <c r="Q116" s="140">
        <f ca="1">IF(ISNUMBER(MATCH(DATEVALUE($A116),'changes1_based on steps'!Q$1:Q$400,0)),Q$2,)</f>
        <v>0</v>
      </c>
      <c r="R116" s="140">
        <f ca="1">IF(ISNUMBER(MATCH(DATEVALUE($A116),'changes1_based on steps'!R$1:R$400,0)),R$2,)</f>
        <v>0</v>
      </c>
      <c r="S116" s="140">
        <f ca="1">IF(ISNUMBER(MATCH(DATEVALUE($A116),'changes1_based on steps'!S$1:S$400,0)),S$2,)</f>
        <v>0</v>
      </c>
      <c r="T116" s="140">
        <f ca="1">IF(ISNUMBER(MATCH(DATEVALUE($A116),'changes1_based on steps'!T$1:T$400,0)),T$2,)</f>
        <v>0</v>
      </c>
      <c r="U116" s="140">
        <f ca="1">IF(ISNUMBER(MATCH(DATEVALUE($A116),'changes1_based on steps'!U$1:U$400,0)),U$2,)</f>
        <v>0</v>
      </c>
      <c r="V116" s="140"/>
      <c r="W116" s="140"/>
      <c r="X116" s="140"/>
      <c r="Y116" s="140"/>
      <c r="Z116" s="140"/>
      <c r="AA116" s="140"/>
      <c r="AB116" s="140"/>
      <c r="AC116" s="140"/>
      <c r="AD116" s="140"/>
      <c r="AE116" s="140"/>
      <c r="AF116" s="140"/>
      <c r="AG116" s="140"/>
      <c r="AH116" s="140"/>
      <c r="AI116" s="140"/>
      <c r="AJ116" s="140"/>
      <c r="AK116" s="140"/>
      <c r="AL116" s="140"/>
      <c r="AM116" s="140"/>
      <c r="AN116" s="140"/>
      <c r="AO116" s="140"/>
      <c r="AP116" s="140"/>
      <c r="AQ116" s="140"/>
      <c r="AR116" s="140"/>
      <c r="AS116" s="140"/>
      <c r="AT116" s="140"/>
      <c r="AU116" s="140"/>
      <c r="AV116" s="140"/>
      <c r="AW116" s="140"/>
      <c r="AX116" s="140"/>
      <c r="AY116" s="140"/>
      <c r="AZ116" s="140"/>
      <c r="BA116" s="140"/>
      <c r="BB116" s="140"/>
      <c r="BC116" s="140"/>
      <c r="BD116" s="140"/>
      <c r="BE116" s="140"/>
      <c r="BF116" s="140"/>
      <c r="BG116" s="140"/>
      <c r="BH116" s="140"/>
      <c r="BI116" s="140"/>
      <c r="BJ116" s="140"/>
      <c r="BK116" s="140"/>
      <c r="BL116" s="140"/>
      <c r="BM116" s="140"/>
      <c r="BN116" s="140"/>
      <c r="BO116" s="140"/>
      <c r="BP116" s="140"/>
      <c r="BQ116" s="140"/>
      <c r="BR116" s="140"/>
      <c r="BS116" s="140"/>
      <c r="BT116" s="140"/>
      <c r="BU116" s="140"/>
      <c r="BV116" s="140"/>
      <c r="BW116" s="140"/>
      <c r="BX116" s="140"/>
      <c r="BY116" s="140"/>
      <c r="BZ116" s="140"/>
      <c r="CA116" s="140"/>
      <c r="CB116" s="140"/>
      <c r="CC116" s="140"/>
      <c r="CD116" s="140"/>
      <c r="CE116" s="140"/>
      <c r="CF116" s="140"/>
      <c r="CG116" s="140"/>
      <c r="CH116" s="140"/>
      <c r="CI116" s="140"/>
      <c r="CJ116" s="140"/>
      <c r="CK116" s="140"/>
      <c r="CL116" s="140"/>
      <c r="CM116" s="140"/>
      <c r="CN116" s="140"/>
      <c r="CO116" s="140"/>
      <c r="CP116" s="140"/>
      <c r="CQ116" s="140"/>
      <c r="CR116" s="140"/>
      <c r="CS116" s="140"/>
      <c r="CT116" s="140"/>
      <c r="CU116" s="140"/>
      <c r="CV116" s="140"/>
      <c r="CW116" s="140"/>
    </row>
    <row r="117" spans="1:101" x14ac:dyDescent="0.2">
      <c r="A117" s="29" t="str">
        <f t="shared" ca="1" si="1"/>
        <v>2025-07-19</v>
      </c>
      <c r="B117" s="140">
        <f ca="1">IF(ISNUMBER(MATCH(DATEVALUE($A117),'changes1_based on steps'!B$1:B$400,0)),B$2,)</f>
        <v>0</v>
      </c>
      <c r="C117" s="140">
        <f ca="1">IF(ISNUMBER(MATCH(DATEVALUE($A117),'changes1_based on steps'!C$1:C$400,0)),C$2,)</f>
        <v>0</v>
      </c>
      <c r="D117" s="140">
        <f ca="1">IF(ISNUMBER(MATCH(DATEVALUE($A117),'changes1_based on steps'!D$1:D$400,0)),D$2,)</f>
        <v>0</v>
      </c>
      <c r="E117" s="140">
        <f ca="1">IF(ISNUMBER(MATCH(DATEVALUE($A117),'changes1_based on steps'!E$1:E$400,0)),E$2,)</f>
        <v>0</v>
      </c>
      <c r="F117" s="140">
        <f ca="1">IF(ISNUMBER(MATCH(DATEVALUE($A117),'changes1_based on steps'!F$1:F$400,0)),F$2,)</f>
        <v>0</v>
      </c>
      <c r="G117" s="140">
        <f ca="1">IF(ISNUMBER(MATCH(DATEVALUE($A117),'changes1_based on steps'!G$1:G$400,0)),G$2,)</f>
        <v>0</v>
      </c>
      <c r="H117" s="140">
        <f ca="1">IF(ISNUMBER(MATCH(DATEVALUE($A117),'changes1_based on steps'!H$1:H$400,0)),H$2,)</f>
        <v>0</v>
      </c>
      <c r="I117" s="140">
        <f ca="1">IF(ISNUMBER(MATCH(DATEVALUE($A117),'changes1_based on steps'!I$1:I$400,0)),I$2,)</f>
        <v>0</v>
      </c>
      <c r="J117" s="140">
        <f ca="1">IF(ISNUMBER(MATCH(DATEVALUE($A117),'changes1_based on steps'!J$1:J$400,0)),J$2,)</f>
        <v>0</v>
      </c>
      <c r="K117" s="140">
        <f ca="1">IF(ISNUMBER(MATCH(DATEVALUE($A117),'changes1_based on steps'!K$1:K$400,0)),K$2,)</f>
        <v>0</v>
      </c>
      <c r="L117" s="140">
        <f ca="1">IF(ISNUMBER(MATCH(DATEVALUE($A117),'changes1_based on steps'!L$1:L$400,0)),L$2,)</f>
        <v>0</v>
      </c>
      <c r="M117" s="140">
        <f ca="1">IF(ISNUMBER(MATCH(DATEVALUE($A117),'changes1_based on steps'!M$1:M$400,0)),M$2,)</f>
        <v>0</v>
      </c>
      <c r="N117" s="140">
        <f ca="1">IF(ISNUMBER(MATCH(DATEVALUE($A117),'changes1_based on steps'!N$1:N$400,0)),N$2,)</f>
        <v>0</v>
      </c>
      <c r="O117" s="140">
        <f ca="1">IF(ISNUMBER(MATCH(DATEVALUE($A117),'changes1_based on steps'!O$1:O$400,0)),O$2,)</f>
        <v>0</v>
      </c>
      <c r="P117" s="140">
        <f ca="1">IF(ISNUMBER(MATCH(DATEVALUE($A117),'changes1_based on steps'!P$1:P$400,0)),P$2,)</f>
        <v>0</v>
      </c>
      <c r="Q117" s="140">
        <f ca="1">IF(ISNUMBER(MATCH(DATEVALUE($A117),'changes1_based on steps'!Q$1:Q$400,0)),Q$2,)</f>
        <v>0</v>
      </c>
      <c r="R117" s="140">
        <f ca="1">IF(ISNUMBER(MATCH(DATEVALUE($A117),'changes1_based on steps'!R$1:R$400,0)),R$2,)</f>
        <v>0</v>
      </c>
      <c r="S117" s="140">
        <f ca="1">IF(ISNUMBER(MATCH(DATEVALUE($A117),'changes1_based on steps'!S$1:S$400,0)),S$2,)</f>
        <v>0</v>
      </c>
      <c r="T117" s="140">
        <f ca="1">IF(ISNUMBER(MATCH(DATEVALUE($A117),'changes1_based on steps'!T$1:T$400,0)),T$2,)</f>
        <v>0</v>
      </c>
      <c r="U117" s="140">
        <f ca="1">IF(ISNUMBER(MATCH(DATEVALUE($A117),'changes1_based on steps'!U$1:U$400,0)),U$2,)</f>
        <v>0</v>
      </c>
      <c r="V117" s="140"/>
      <c r="W117" s="140"/>
      <c r="X117" s="140"/>
      <c r="Y117" s="140"/>
      <c r="Z117" s="140"/>
      <c r="AA117" s="140"/>
      <c r="AB117" s="140"/>
      <c r="AC117" s="140"/>
      <c r="AD117" s="140"/>
      <c r="AE117" s="140"/>
      <c r="AF117" s="140"/>
      <c r="AG117" s="140"/>
      <c r="AH117" s="140"/>
      <c r="AI117" s="140"/>
      <c r="AJ117" s="140"/>
      <c r="AK117" s="140"/>
      <c r="AL117" s="140"/>
      <c r="AM117" s="140"/>
      <c r="AN117" s="140"/>
      <c r="AO117" s="140"/>
      <c r="AP117" s="140"/>
      <c r="AQ117" s="140"/>
      <c r="AR117" s="140"/>
      <c r="AS117" s="140"/>
      <c r="AT117" s="140"/>
      <c r="AU117" s="140"/>
      <c r="AV117" s="140"/>
      <c r="AW117" s="140"/>
      <c r="AX117" s="140"/>
      <c r="AY117" s="140"/>
      <c r="AZ117" s="140"/>
      <c r="BA117" s="140"/>
      <c r="BB117" s="140"/>
      <c r="BC117" s="140"/>
      <c r="BD117" s="140"/>
      <c r="BE117" s="140"/>
      <c r="BF117" s="140"/>
      <c r="BG117" s="140"/>
      <c r="BH117" s="140"/>
      <c r="BI117" s="140"/>
      <c r="BJ117" s="140"/>
      <c r="BK117" s="140"/>
      <c r="BL117" s="140"/>
      <c r="BM117" s="140"/>
      <c r="BN117" s="140"/>
      <c r="BO117" s="140"/>
      <c r="BP117" s="140"/>
      <c r="BQ117" s="140"/>
      <c r="BR117" s="140"/>
      <c r="BS117" s="140"/>
      <c r="BT117" s="140"/>
      <c r="BU117" s="140"/>
      <c r="BV117" s="140"/>
      <c r="BW117" s="140"/>
      <c r="BX117" s="140"/>
      <c r="BY117" s="140"/>
      <c r="BZ117" s="140"/>
      <c r="CA117" s="140"/>
      <c r="CB117" s="140"/>
      <c r="CC117" s="140"/>
      <c r="CD117" s="140"/>
      <c r="CE117" s="140"/>
      <c r="CF117" s="140"/>
      <c r="CG117" s="140"/>
      <c r="CH117" s="140"/>
      <c r="CI117" s="140"/>
      <c r="CJ117" s="140"/>
      <c r="CK117" s="140"/>
      <c r="CL117" s="140"/>
      <c r="CM117" s="140"/>
      <c r="CN117" s="140"/>
      <c r="CO117" s="140"/>
      <c r="CP117" s="140"/>
      <c r="CQ117" s="140"/>
      <c r="CR117" s="140"/>
      <c r="CS117" s="140"/>
      <c r="CT117" s="140"/>
      <c r="CU117" s="140"/>
      <c r="CV117" s="140"/>
      <c r="CW117" s="140"/>
    </row>
    <row r="118" spans="1:101" x14ac:dyDescent="0.2">
      <c r="A118" s="29" t="str">
        <f t="shared" ca="1" si="1"/>
        <v>2025-07-20</v>
      </c>
      <c r="B118" s="140">
        <f ca="1">IF(ISNUMBER(MATCH(DATEVALUE($A118),'changes1_based on steps'!B$1:B$400,0)),B$2,)</f>
        <v>0</v>
      </c>
      <c r="C118" s="140">
        <f ca="1">IF(ISNUMBER(MATCH(DATEVALUE($A118),'changes1_based on steps'!C$1:C$400,0)),C$2,)</f>
        <v>0</v>
      </c>
      <c r="D118" s="140">
        <f ca="1">IF(ISNUMBER(MATCH(DATEVALUE($A118),'changes1_based on steps'!D$1:D$400,0)),D$2,)</f>
        <v>0</v>
      </c>
      <c r="E118" s="140">
        <f ca="1">IF(ISNUMBER(MATCH(DATEVALUE($A118),'changes1_based on steps'!E$1:E$400,0)),E$2,)</f>
        <v>0</v>
      </c>
      <c r="F118" s="140">
        <f ca="1">IF(ISNUMBER(MATCH(DATEVALUE($A118),'changes1_based on steps'!F$1:F$400,0)),F$2,)</f>
        <v>0</v>
      </c>
      <c r="G118" s="140">
        <f ca="1">IF(ISNUMBER(MATCH(DATEVALUE($A118),'changes1_based on steps'!G$1:G$400,0)),G$2,)</f>
        <v>0</v>
      </c>
      <c r="H118" s="140">
        <f ca="1">IF(ISNUMBER(MATCH(DATEVALUE($A118),'changes1_based on steps'!H$1:H$400,0)),H$2,)</f>
        <v>0</v>
      </c>
      <c r="I118" s="140">
        <f ca="1">IF(ISNUMBER(MATCH(DATEVALUE($A118),'changes1_based on steps'!I$1:I$400,0)),I$2,)</f>
        <v>0</v>
      </c>
      <c r="J118" s="140">
        <f ca="1">IF(ISNUMBER(MATCH(DATEVALUE($A118),'changes1_based on steps'!J$1:J$400,0)),J$2,)</f>
        <v>0</v>
      </c>
      <c r="K118" s="140">
        <f ca="1">IF(ISNUMBER(MATCH(DATEVALUE($A118),'changes1_based on steps'!K$1:K$400,0)),K$2,)</f>
        <v>0</v>
      </c>
      <c r="L118" s="140">
        <f ca="1">IF(ISNUMBER(MATCH(DATEVALUE($A118),'changes1_based on steps'!L$1:L$400,0)),L$2,)</f>
        <v>0</v>
      </c>
      <c r="M118" s="140">
        <f ca="1">IF(ISNUMBER(MATCH(DATEVALUE($A118),'changes1_based on steps'!M$1:M$400,0)),M$2,)</f>
        <v>0</v>
      </c>
      <c r="N118" s="140">
        <f ca="1">IF(ISNUMBER(MATCH(DATEVALUE($A118),'changes1_based on steps'!N$1:N$400,0)),N$2,)</f>
        <v>0</v>
      </c>
      <c r="O118" s="140">
        <f ca="1">IF(ISNUMBER(MATCH(DATEVALUE($A118),'changes1_based on steps'!O$1:O$400,0)),O$2,)</f>
        <v>0</v>
      </c>
      <c r="P118" s="140">
        <f ca="1">IF(ISNUMBER(MATCH(DATEVALUE($A118),'changes1_based on steps'!P$1:P$400,0)),P$2,)</f>
        <v>0</v>
      </c>
      <c r="Q118" s="140">
        <f ca="1">IF(ISNUMBER(MATCH(DATEVALUE($A118),'changes1_based on steps'!Q$1:Q$400,0)),Q$2,)</f>
        <v>0</v>
      </c>
      <c r="R118" s="140">
        <f ca="1">IF(ISNUMBER(MATCH(DATEVALUE($A118),'changes1_based on steps'!R$1:R$400,0)),R$2,)</f>
        <v>0</v>
      </c>
      <c r="S118" s="140">
        <f ca="1">IF(ISNUMBER(MATCH(DATEVALUE($A118),'changes1_based on steps'!S$1:S$400,0)),S$2,)</f>
        <v>0</v>
      </c>
      <c r="T118" s="140">
        <f ca="1">IF(ISNUMBER(MATCH(DATEVALUE($A118),'changes1_based on steps'!T$1:T$400,0)),T$2,)</f>
        <v>0</v>
      </c>
      <c r="U118" s="140">
        <f ca="1">IF(ISNUMBER(MATCH(DATEVALUE($A118),'changes1_based on steps'!U$1:U$400,0)),U$2,)</f>
        <v>0</v>
      </c>
      <c r="V118" s="140"/>
      <c r="W118" s="140"/>
      <c r="X118" s="140"/>
      <c r="Y118" s="140"/>
      <c r="Z118" s="140"/>
      <c r="AA118" s="140"/>
      <c r="AB118" s="140"/>
      <c r="AC118" s="140"/>
      <c r="AD118" s="140"/>
      <c r="AE118" s="140"/>
      <c r="AF118" s="140"/>
      <c r="AG118" s="140"/>
      <c r="AH118" s="140"/>
      <c r="AI118" s="140"/>
      <c r="AJ118" s="140"/>
      <c r="AK118" s="140"/>
      <c r="AL118" s="140"/>
      <c r="AM118" s="140"/>
      <c r="AN118" s="140"/>
      <c r="AO118" s="140"/>
      <c r="AP118" s="140"/>
      <c r="AQ118" s="140"/>
      <c r="AR118" s="140"/>
      <c r="AS118" s="140"/>
      <c r="AT118" s="140"/>
      <c r="AU118" s="140"/>
      <c r="AV118" s="140"/>
      <c r="AW118" s="140"/>
      <c r="AX118" s="140"/>
      <c r="AY118" s="140"/>
      <c r="AZ118" s="140"/>
      <c r="BA118" s="140"/>
      <c r="BB118" s="140"/>
      <c r="BC118" s="140"/>
      <c r="BD118" s="140"/>
      <c r="BE118" s="140"/>
      <c r="BF118" s="140"/>
      <c r="BG118" s="140"/>
      <c r="BH118" s="140"/>
      <c r="BI118" s="140"/>
      <c r="BJ118" s="140"/>
      <c r="BK118" s="140"/>
      <c r="BL118" s="140"/>
      <c r="BM118" s="140"/>
      <c r="BN118" s="140"/>
      <c r="BO118" s="140"/>
      <c r="BP118" s="140"/>
      <c r="BQ118" s="140"/>
      <c r="BR118" s="140"/>
      <c r="BS118" s="140"/>
      <c r="BT118" s="140"/>
      <c r="BU118" s="140"/>
      <c r="BV118" s="140"/>
      <c r="BW118" s="140"/>
      <c r="BX118" s="140"/>
      <c r="BY118" s="140"/>
      <c r="BZ118" s="140"/>
      <c r="CA118" s="140"/>
      <c r="CB118" s="140"/>
      <c r="CC118" s="140"/>
      <c r="CD118" s="140"/>
      <c r="CE118" s="140"/>
      <c r="CF118" s="140"/>
      <c r="CG118" s="140"/>
      <c r="CH118" s="140"/>
      <c r="CI118" s="140"/>
      <c r="CJ118" s="140"/>
      <c r="CK118" s="140"/>
      <c r="CL118" s="140"/>
      <c r="CM118" s="140"/>
      <c r="CN118" s="140"/>
      <c r="CO118" s="140"/>
      <c r="CP118" s="140"/>
      <c r="CQ118" s="140"/>
      <c r="CR118" s="140"/>
      <c r="CS118" s="140"/>
      <c r="CT118" s="140"/>
      <c r="CU118" s="140"/>
      <c r="CV118" s="140"/>
      <c r="CW118" s="140"/>
    </row>
    <row r="119" spans="1:101" x14ac:dyDescent="0.2">
      <c r="A119" s="29" t="str">
        <f t="shared" ca="1" si="1"/>
        <v>2025-07-21</v>
      </c>
      <c r="B119" s="140">
        <f ca="1">IF(ISNUMBER(MATCH(DATEVALUE($A119),'changes1_based on steps'!B$1:B$400,0)),B$2,)</f>
        <v>0</v>
      </c>
      <c r="C119" s="140">
        <f ca="1">IF(ISNUMBER(MATCH(DATEVALUE($A119),'changes1_based on steps'!C$1:C$400,0)),C$2,)</f>
        <v>0</v>
      </c>
      <c r="D119" s="140">
        <f ca="1">IF(ISNUMBER(MATCH(DATEVALUE($A119),'changes1_based on steps'!D$1:D$400,0)),D$2,)</f>
        <v>0</v>
      </c>
      <c r="E119" s="140">
        <f ca="1">IF(ISNUMBER(MATCH(DATEVALUE($A119),'changes1_based on steps'!E$1:E$400,0)),E$2,)</f>
        <v>0</v>
      </c>
      <c r="F119" s="140">
        <f ca="1">IF(ISNUMBER(MATCH(DATEVALUE($A119),'changes1_based on steps'!F$1:F$400,0)),F$2,)</f>
        <v>0</v>
      </c>
      <c r="G119" s="140">
        <f ca="1">IF(ISNUMBER(MATCH(DATEVALUE($A119),'changes1_based on steps'!G$1:G$400,0)),G$2,)</f>
        <v>0</v>
      </c>
      <c r="H119" s="140">
        <f ca="1">IF(ISNUMBER(MATCH(DATEVALUE($A119),'changes1_based on steps'!H$1:H$400,0)),H$2,)</f>
        <v>0</v>
      </c>
      <c r="I119" s="140">
        <f ca="1">IF(ISNUMBER(MATCH(DATEVALUE($A119),'changes1_based on steps'!I$1:I$400,0)),I$2,)</f>
        <v>0</v>
      </c>
      <c r="J119" s="140">
        <f ca="1">IF(ISNUMBER(MATCH(DATEVALUE($A119),'changes1_based on steps'!J$1:J$400,0)),J$2,)</f>
        <v>0</v>
      </c>
      <c r="K119" s="140">
        <f ca="1">IF(ISNUMBER(MATCH(DATEVALUE($A119),'changes1_based on steps'!K$1:K$400,0)),K$2,)</f>
        <v>0</v>
      </c>
      <c r="L119" s="140">
        <f ca="1">IF(ISNUMBER(MATCH(DATEVALUE($A119),'changes1_based on steps'!L$1:L$400,0)),L$2,)</f>
        <v>0</v>
      </c>
      <c r="M119" s="140">
        <f ca="1">IF(ISNUMBER(MATCH(DATEVALUE($A119),'changes1_based on steps'!M$1:M$400,0)),M$2,)</f>
        <v>0</v>
      </c>
      <c r="N119" s="140">
        <f ca="1">IF(ISNUMBER(MATCH(DATEVALUE($A119),'changes1_based on steps'!N$1:N$400,0)),N$2,)</f>
        <v>0</v>
      </c>
      <c r="O119" s="140">
        <f ca="1">IF(ISNUMBER(MATCH(DATEVALUE($A119),'changes1_based on steps'!O$1:O$400,0)),O$2,)</f>
        <v>0</v>
      </c>
      <c r="P119" s="140">
        <f ca="1">IF(ISNUMBER(MATCH(DATEVALUE($A119),'changes1_based on steps'!P$1:P$400,0)),P$2,)</f>
        <v>0</v>
      </c>
      <c r="Q119" s="140">
        <f ca="1">IF(ISNUMBER(MATCH(DATEVALUE($A119),'changes1_based on steps'!Q$1:Q$400,0)),Q$2,)</f>
        <v>0</v>
      </c>
      <c r="R119" s="140">
        <f ca="1">IF(ISNUMBER(MATCH(DATEVALUE($A119),'changes1_based on steps'!R$1:R$400,0)),R$2,)</f>
        <v>0</v>
      </c>
      <c r="S119" s="140">
        <f ca="1">IF(ISNUMBER(MATCH(DATEVALUE($A119),'changes1_based on steps'!S$1:S$400,0)),S$2,)</f>
        <v>0</v>
      </c>
      <c r="T119" s="140">
        <f ca="1">IF(ISNUMBER(MATCH(DATEVALUE($A119),'changes1_based on steps'!T$1:T$400,0)),T$2,)</f>
        <v>0</v>
      </c>
      <c r="U119" s="140">
        <f ca="1">IF(ISNUMBER(MATCH(DATEVALUE($A119),'changes1_based on steps'!U$1:U$400,0)),U$2,)</f>
        <v>0</v>
      </c>
      <c r="V119" s="140"/>
      <c r="W119" s="140"/>
      <c r="X119" s="140"/>
      <c r="Y119" s="140"/>
      <c r="Z119" s="140"/>
      <c r="AA119" s="140"/>
      <c r="AB119" s="140"/>
      <c r="AC119" s="140"/>
      <c r="AD119" s="140"/>
      <c r="AE119" s="140"/>
      <c r="AF119" s="140"/>
      <c r="AG119" s="140"/>
      <c r="AH119" s="140"/>
      <c r="AI119" s="140"/>
      <c r="AJ119" s="140"/>
      <c r="AK119" s="140"/>
      <c r="AL119" s="140"/>
      <c r="AM119" s="140"/>
      <c r="AN119" s="140"/>
      <c r="AO119" s="140"/>
      <c r="AP119" s="140"/>
      <c r="AQ119" s="140"/>
      <c r="AR119" s="140"/>
      <c r="AS119" s="140"/>
      <c r="AT119" s="140"/>
      <c r="AU119" s="140"/>
      <c r="AV119" s="140"/>
      <c r="AW119" s="140"/>
      <c r="AX119" s="140"/>
      <c r="AY119" s="140"/>
      <c r="AZ119" s="140"/>
      <c r="BA119" s="140"/>
      <c r="BB119" s="140"/>
      <c r="BC119" s="140"/>
      <c r="BD119" s="140"/>
      <c r="BE119" s="140"/>
      <c r="BF119" s="140"/>
      <c r="BG119" s="140"/>
      <c r="BH119" s="140"/>
      <c r="BI119" s="140"/>
      <c r="BJ119" s="140"/>
      <c r="BK119" s="140"/>
      <c r="BL119" s="140"/>
      <c r="BM119" s="140"/>
      <c r="BN119" s="140"/>
      <c r="BO119" s="140"/>
      <c r="BP119" s="140"/>
      <c r="BQ119" s="140"/>
      <c r="BR119" s="140"/>
      <c r="BS119" s="140"/>
      <c r="BT119" s="140"/>
      <c r="BU119" s="140"/>
      <c r="BV119" s="140"/>
      <c r="BW119" s="140"/>
      <c r="BX119" s="140"/>
      <c r="BY119" s="140"/>
      <c r="BZ119" s="140"/>
      <c r="CA119" s="140"/>
      <c r="CB119" s="140"/>
      <c r="CC119" s="140"/>
      <c r="CD119" s="140"/>
      <c r="CE119" s="140"/>
      <c r="CF119" s="140"/>
      <c r="CG119" s="140"/>
      <c r="CH119" s="140"/>
      <c r="CI119" s="140"/>
      <c r="CJ119" s="140"/>
      <c r="CK119" s="140"/>
      <c r="CL119" s="140"/>
      <c r="CM119" s="140"/>
      <c r="CN119" s="140"/>
      <c r="CO119" s="140"/>
      <c r="CP119" s="140"/>
      <c r="CQ119" s="140"/>
      <c r="CR119" s="140"/>
      <c r="CS119" s="140"/>
      <c r="CT119" s="140"/>
      <c r="CU119" s="140"/>
      <c r="CV119" s="140"/>
      <c r="CW119" s="140"/>
    </row>
    <row r="120" spans="1:101" x14ac:dyDescent="0.2">
      <c r="A120" s="29" t="str">
        <f t="shared" ca="1" si="1"/>
        <v>2025-07-22</v>
      </c>
      <c r="B120" s="140">
        <f ca="1">IF(ISNUMBER(MATCH(DATEVALUE($A120),'changes1_based on steps'!B$1:B$400,0)),B$2,)</f>
        <v>0</v>
      </c>
      <c r="C120" s="140">
        <f ca="1">IF(ISNUMBER(MATCH(DATEVALUE($A120),'changes1_based on steps'!C$1:C$400,0)),C$2,)</f>
        <v>0</v>
      </c>
      <c r="D120" s="140">
        <f ca="1">IF(ISNUMBER(MATCH(DATEVALUE($A120),'changes1_based on steps'!D$1:D$400,0)),D$2,)</f>
        <v>0</v>
      </c>
      <c r="E120" s="140">
        <f ca="1">IF(ISNUMBER(MATCH(DATEVALUE($A120),'changes1_based on steps'!E$1:E$400,0)),E$2,)</f>
        <v>0</v>
      </c>
      <c r="F120" s="140">
        <f ca="1">IF(ISNUMBER(MATCH(DATEVALUE($A120),'changes1_based on steps'!F$1:F$400,0)),F$2,)</f>
        <v>0</v>
      </c>
      <c r="G120" s="140">
        <f ca="1">IF(ISNUMBER(MATCH(DATEVALUE($A120),'changes1_based on steps'!G$1:G$400,0)),G$2,)</f>
        <v>0</v>
      </c>
      <c r="H120" s="140">
        <f ca="1">IF(ISNUMBER(MATCH(DATEVALUE($A120),'changes1_based on steps'!H$1:H$400,0)),H$2,)</f>
        <v>0</v>
      </c>
      <c r="I120" s="140">
        <f ca="1">IF(ISNUMBER(MATCH(DATEVALUE($A120),'changes1_based on steps'!I$1:I$400,0)),I$2,)</f>
        <v>0</v>
      </c>
      <c r="J120" s="140">
        <f ca="1">IF(ISNUMBER(MATCH(DATEVALUE($A120),'changes1_based on steps'!J$1:J$400,0)),J$2,)</f>
        <v>0</v>
      </c>
      <c r="K120" s="140">
        <f ca="1">IF(ISNUMBER(MATCH(DATEVALUE($A120),'changes1_based on steps'!K$1:K$400,0)),K$2,)</f>
        <v>0</v>
      </c>
      <c r="L120" s="140">
        <f ca="1">IF(ISNUMBER(MATCH(DATEVALUE($A120),'changes1_based on steps'!L$1:L$400,0)),L$2,)</f>
        <v>0</v>
      </c>
      <c r="M120" s="140">
        <f ca="1">IF(ISNUMBER(MATCH(DATEVALUE($A120),'changes1_based on steps'!M$1:M$400,0)),M$2,)</f>
        <v>0</v>
      </c>
      <c r="N120" s="140">
        <f ca="1">IF(ISNUMBER(MATCH(DATEVALUE($A120),'changes1_based on steps'!N$1:N$400,0)),N$2,)</f>
        <v>0</v>
      </c>
      <c r="O120" s="140">
        <f ca="1">IF(ISNUMBER(MATCH(DATEVALUE($A120),'changes1_based on steps'!O$1:O$400,0)),O$2,)</f>
        <v>0</v>
      </c>
      <c r="P120" s="140">
        <f ca="1">IF(ISNUMBER(MATCH(DATEVALUE($A120),'changes1_based on steps'!P$1:P$400,0)),P$2,)</f>
        <v>0</v>
      </c>
      <c r="Q120" s="140">
        <f ca="1">IF(ISNUMBER(MATCH(DATEVALUE($A120),'changes1_based on steps'!Q$1:Q$400,0)),Q$2,)</f>
        <v>0</v>
      </c>
      <c r="R120" s="140">
        <f ca="1">IF(ISNUMBER(MATCH(DATEVALUE($A120),'changes1_based on steps'!R$1:R$400,0)),R$2,)</f>
        <v>0</v>
      </c>
      <c r="S120" s="140">
        <f ca="1">IF(ISNUMBER(MATCH(DATEVALUE($A120),'changes1_based on steps'!S$1:S$400,0)),S$2,)</f>
        <v>0</v>
      </c>
      <c r="T120" s="140">
        <f ca="1">IF(ISNUMBER(MATCH(DATEVALUE($A120),'changes1_based on steps'!T$1:T$400,0)),T$2,)</f>
        <v>0</v>
      </c>
      <c r="U120" s="140">
        <f ca="1">IF(ISNUMBER(MATCH(DATEVALUE($A120),'changes1_based on steps'!U$1:U$400,0)),U$2,)</f>
        <v>0</v>
      </c>
      <c r="V120" s="140"/>
      <c r="W120" s="140"/>
      <c r="X120" s="140"/>
      <c r="Y120" s="140"/>
      <c r="Z120" s="140"/>
      <c r="AA120" s="140"/>
      <c r="AB120" s="140"/>
      <c r="AC120" s="140"/>
      <c r="AD120" s="140"/>
      <c r="AE120" s="140"/>
      <c r="AF120" s="140"/>
      <c r="AG120" s="140"/>
      <c r="AH120" s="140"/>
      <c r="AI120" s="140"/>
      <c r="AJ120" s="140"/>
      <c r="AK120" s="140"/>
      <c r="AL120" s="140"/>
      <c r="AM120" s="140"/>
      <c r="AN120" s="140"/>
      <c r="AO120" s="140"/>
      <c r="AP120" s="140"/>
      <c r="AQ120" s="140"/>
      <c r="AR120" s="140"/>
      <c r="AS120" s="140"/>
      <c r="AT120" s="140"/>
      <c r="AU120" s="140"/>
      <c r="AV120" s="140"/>
      <c r="AW120" s="140"/>
      <c r="AX120" s="140"/>
      <c r="AY120" s="140"/>
      <c r="AZ120" s="140"/>
      <c r="BA120" s="140"/>
      <c r="BB120" s="140"/>
      <c r="BC120" s="140"/>
      <c r="BD120" s="140"/>
      <c r="BE120" s="140"/>
      <c r="BF120" s="140"/>
      <c r="BG120" s="140"/>
      <c r="BH120" s="140"/>
      <c r="BI120" s="140"/>
      <c r="BJ120" s="140"/>
      <c r="BK120" s="140"/>
      <c r="BL120" s="140"/>
      <c r="BM120" s="140"/>
      <c r="BN120" s="140"/>
      <c r="BO120" s="140"/>
      <c r="BP120" s="140"/>
      <c r="BQ120" s="140"/>
      <c r="BR120" s="140"/>
      <c r="BS120" s="140"/>
      <c r="BT120" s="140"/>
      <c r="BU120" s="140"/>
      <c r="BV120" s="140"/>
      <c r="BW120" s="140"/>
      <c r="BX120" s="140"/>
      <c r="BY120" s="140"/>
      <c r="BZ120" s="140"/>
      <c r="CA120" s="140"/>
      <c r="CB120" s="140"/>
      <c r="CC120" s="140"/>
      <c r="CD120" s="140"/>
      <c r="CE120" s="140"/>
      <c r="CF120" s="140"/>
      <c r="CG120" s="140"/>
      <c r="CH120" s="140"/>
      <c r="CI120" s="140"/>
      <c r="CJ120" s="140"/>
      <c r="CK120" s="140"/>
      <c r="CL120" s="140"/>
      <c r="CM120" s="140"/>
      <c r="CN120" s="140"/>
      <c r="CO120" s="140"/>
      <c r="CP120" s="140"/>
      <c r="CQ120" s="140"/>
      <c r="CR120" s="140"/>
      <c r="CS120" s="140"/>
      <c r="CT120" s="140"/>
      <c r="CU120" s="140"/>
      <c r="CV120" s="140"/>
      <c r="CW120" s="140"/>
    </row>
    <row r="121" spans="1:101" x14ac:dyDescent="0.2">
      <c r="A121" s="29" t="str">
        <f t="shared" ca="1" si="1"/>
        <v>2025-07-23</v>
      </c>
      <c r="B121" s="140">
        <f ca="1">IF(ISNUMBER(MATCH(DATEVALUE($A121),'changes1_based on steps'!B$1:B$400,0)),B$2,)</f>
        <v>0</v>
      </c>
      <c r="C121" s="140">
        <f ca="1">IF(ISNUMBER(MATCH(DATEVALUE($A121),'changes1_based on steps'!C$1:C$400,0)),C$2,)</f>
        <v>0</v>
      </c>
      <c r="D121" s="140">
        <f ca="1">IF(ISNUMBER(MATCH(DATEVALUE($A121),'changes1_based on steps'!D$1:D$400,0)),D$2,)</f>
        <v>0</v>
      </c>
      <c r="E121" s="140">
        <f ca="1">IF(ISNUMBER(MATCH(DATEVALUE($A121),'changes1_based on steps'!E$1:E$400,0)),E$2,)</f>
        <v>0</v>
      </c>
      <c r="F121" s="140">
        <f ca="1">IF(ISNUMBER(MATCH(DATEVALUE($A121),'changes1_based on steps'!F$1:F$400,0)),F$2,)</f>
        <v>0</v>
      </c>
      <c r="G121" s="140">
        <f ca="1">IF(ISNUMBER(MATCH(DATEVALUE($A121),'changes1_based on steps'!G$1:G$400,0)),G$2,)</f>
        <v>0</v>
      </c>
      <c r="H121" s="140">
        <f ca="1">IF(ISNUMBER(MATCH(DATEVALUE($A121),'changes1_based on steps'!H$1:H$400,0)),H$2,)</f>
        <v>0</v>
      </c>
      <c r="I121" s="140">
        <f ca="1">IF(ISNUMBER(MATCH(DATEVALUE($A121),'changes1_based on steps'!I$1:I$400,0)),I$2,)</f>
        <v>0</v>
      </c>
      <c r="J121" s="140">
        <f ca="1">IF(ISNUMBER(MATCH(DATEVALUE($A121),'changes1_based on steps'!J$1:J$400,0)),J$2,)</f>
        <v>0</v>
      </c>
      <c r="K121" s="140">
        <f ca="1">IF(ISNUMBER(MATCH(DATEVALUE($A121),'changes1_based on steps'!K$1:K$400,0)),K$2,)</f>
        <v>0</v>
      </c>
      <c r="L121" s="140">
        <f ca="1">IF(ISNUMBER(MATCH(DATEVALUE($A121),'changes1_based on steps'!L$1:L$400,0)),L$2,)</f>
        <v>0</v>
      </c>
      <c r="M121" s="140">
        <f ca="1">IF(ISNUMBER(MATCH(DATEVALUE($A121),'changes1_based on steps'!M$1:M$400,0)),M$2,)</f>
        <v>0</v>
      </c>
      <c r="N121" s="140">
        <f ca="1">IF(ISNUMBER(MATCH(DATEVALUE($A121),'changes1_based on steps'!N$1:N$400,0)),N$2,)</f>
        <v>0</v>
      </c>
      <c r="O121" s="140">
        <f ca="1">IF(ISNUMBER(MATCH(DATEVALUE($A121),'changes1_based on steps'!O$1:O$400,0)),O$2,)</f>
        <v>0</v>
      </c>
      <c r="P121" s="140">
        <f ca="1">IF(ISNUMBER(MATCH(DATEVALUE($A121),'changes1_based on steps'!P$1:P$400,0)),P$2,)</f>
        <v>0</v>
      </c>
      <c r="Q121" s="140">
        <f ca="1">IF(ISNUMBER(MATCH(DATEVALUE($A121),'changes1_based on steps'!Q$1:Q$400,0)),Q$2,)</f>
        <v>0</v>
      </c>
      <c r="R121" s="140">
        <f ca="1">IF(ISNUMBER(MATCH(DATEVALUE($A121),'changes1_based on steps'!R$1:R$400,0)),R$2,)</f>
        <v>0</v>
      </c>
      <c r="S121" s="140">
        <f ca="1">IF(ISNUMBER(MATCH(DATEVALUE($A121),'changes1_based on steps'!S$1:S$400,0)),S$2,)</f>
        <v>0</v>
      </c>
      <c r="T121" s="140">
        <f ca="1">IF(ISNUMBER(MATCH(DATEVALUE($A121),'changes1_based on steps'!T$1:T$400,0)),T$2,)</f>
        <v>0</v>
      </c>
      <c r="U121" s="140">
        <f ca="1">IF(ISNUMBER(MATCH(DATEVALUE($A121),'changes1_based on steps'!U$1:U$400,0)),U$2,)</f>
        <v>0</v>
      </c>
      <c r="V121" s="140"/>
      <c r="W121" s="140"/>
      <c r="X121" s="140"/>
      <c r="Y121" s="140"/>
      <c r="Z121" s="140"/>
      <c r="AA121" s="140"/>
      <c r="AB121" s="140"/>
      <c r="AC121" s="140"/>
      <c r="AD121" s="140"/>
      <c r="AE121" s="140"/>
      <c r="AF121" s="140"/>
      <c r="AG121" s="140"/>
      <c r="AH121" s="140"/>
      <c r="AI121" s="140"/>
      <c r="AJ121" s="140"/>
      <c r="AK121" s="140"/>
      <c r="AL121" s="140"/>
      <c r="AM121" s="140"/>
      <c r="AN121" s="140"/>
      <c r="AO121" s="140"/>
      <c r="AP121" s="140"/>
      <c r="AQ121" s="140"/>
      <c r="AR121" s="140"/>
      <c r="AS121" s="140"/>
      <c r="AT121" s="140"/>
      <c r="AU121" s="140"/>
      <c r="AV121" s="140"/>
      <c r="AW121" s="140"/>
      <c r="AX121" s="140"/>
      <c r="AY121" s="140"/>
      <c r="AZ121" s="140"/>
      <c r="BA121" s="140"/>
      <c r="BB121" s="140"/>
      <c r="BC121" s="140"/>
      <c r="BD121" s="140"/>
      <c r="BE121" s="140"/>
      <c r="BF121" s="140"/>
      <c r="BG121" s="140"/>
      <c r="BH121" s="140"/>
      <c r="BI121" s="140"/>
      <c r="BJ121" s="140"/>
      <c r="BK121" s="140"/>
      <c r="BL121" s="140"/>
      <c r="BM121" s="140"/>
      <c r="BN121" s="140"/>
      <c r="BO121" s="140"/>
      <c r="BP121" s="140"/>
      <c r="BQ121" s="140"/>
      <c r="BR121" s="140"/>
      <c r="BS121" s="140"/>
      <c r="BT121" s="140"/>
      <c r="BU121" s="140"/>
      <c r="BV121" s="140"/>
      <c r="BW121" s="140"/>
      <c r="BX121" s="140"/>
      <c r="BY121" s="140"/>
      <c r="BZ121" s="140"/>
      <c r="CA121" s="140"/>
      <c r="CB121" s="140"/>
      <c r="CC121" s="140"/>
      <c r="CD121" s="140"/>
      <c r="CE121" s="140"/>
      <c r="CF121" s="140"/>
      <c r="CG121" s="140"/>
      <c r="CH121" s="140"/>
      <c r="CI121" s="140"/>
      <c r="CJ121" s="140"/>
      <c r="CK121" s="140"/>
      <c r="CL121" s="140"/>
      <c r="CM121" s="140"/>
      <c r="CN121" s="140"/>
      <c r="CO121" s="140"/>
      <c r="CP121" s="140"/>
      <c r="CQ121" s="140"/>
      <c r="CR121" s="140"/>
      <c r="CS121" s="140"/>
      <c r="CT121" s="140"/>
      <c r="CU121" s="140"/>
      <c r="CV121" s="140"/>
      <c r="CW121" s="140"/>
    </row>
    <row r="122" spans="1:101" x14ac:dyDescent="0.2">
      <c r="A122" s="29" t="str">
        <f t="shared" ca="1" si="1"/>
        <v>2025-07-24</v>
      </c>
      <c r="B122" s="140">
        <f ca="1">IF(ISNUMBER(MATCH(DATEVALUE($A122),'changes1_based on steps'!B$1:B$400,0)),B$2,)</f>
        <v>0</v>
      </c>
      <c r="C122" s="140">
        <f ca="1">IF(ISNUMBER(MATCH(DATEVALUE($A122),'changes1_based on steps'!C$1:C$400,0)),C$2,)</f>
        <v>0</v>
      </c>
      <c r="D122" s="140">
        <f ca="1">IF(ISNUMBER(MATCH(DATEVALUE($A122),'changes1_based on steps'!D$1:D$400,0)),D$2,)</f>
        <v>0</v>
      </c>
      <c r="E122" s="140">
        <f ca="1">IF(ISNUMBER(MATCH(DATEVALUE($A122),'changes1_based on steps'!E$1:E$400,0)),E$2,)</f>
        <v>0</v>
      </c>
      <c r="F122" s="140">
        <f ca="1">IF(ISNUMBER(MATCH(DATEVALUE($A122),'changes1_based on steps'!F$1:F$400,0)),F$2,)</f>
        <v>0</v>
      </c>
      <c r="G122" s="140">
        <f ca="1">IF(ISNUMBER(MATCH(DATEVALUE($A122),'changes1_based on steps'!G$1:G$400,0)),G$2,)</f>
        <v>0</v>
      </c>
      <c r="H122" s="140">
        <f ca="1">IF(ISNUMBER(MATCH(DATEVALUE($A122),'changes1_based on steps'!H$1:H$400,0)),H$2,)</f>
        <v>0</v>
      </c>
      <c r="I122" s="140">
        <f ca="1">IF(ISNUMBER(MATCH(DATEVALUE($A122),'changes1_based on steps'!I$1:I$400,0)),I$2,)</f>
        <v>0</v>
      </c>
      <c r="J122" s="140">
        <f ca="1">IF(ISNUMBER(MATCH(DATEVALUE($A122),'changes1_based on steps'!J$1:J$400,0)),J$2,)</f>
        <v>0</v>
      </c>
      <c r="K122" s="140">
        <f ca="1">IF(ISNUMBER(MATCH(DATEVALUE($A122),'changes1_based on steps'!K$1:K$400,0)),K$2,)</f>
        <v>0</v>
      </c>
      <c r="L122" s="140">
        <f ca="1">IF(ISNUMBER(MATCH(DATEVALUE($A122),'changes1_based on steps'!L$1:L$400,0)),L$2,)</f>
        <v>0</v>
      </c>
      <c r="M122" s="140">
        <f ca="1">IF(ISNUMBER(MATCH(DATEVALUE($A122),'changes1_based on steps'!M$1:M$400,0)),M$2,)</f>
        <v>0</v>
      </c>
      <c r="N122" s="140">
        <f ca="1">IF(ISNUMBER(MATCH(DATEVALUE($A122),'changes1_based on steps'!N$1:N$400,0)),N$2,)</f>
        <v>0</v>
      </c>
      <c r="O122" s="140">
        <f ca="1">IF(ISNUMBER(MATCH(DATEVALUE($A122),'changes1_based on steps'!O$1:O$400,0)),O$2,)</f>
        <v>0</v>
      </c>
      <c r="P122" s="140">
        <f ca="1">IF(ISNUMBER(MATCH(DATEVALUE($A122),'changes1_based on steps'!P$1:P$400,0)),P$2,)</f>
        <v>0</v>
      </c>
      <c r="Q122" s="140">
        <f ca="1">IF(ISNUMBER(MATCH(DATEVALUE($A122),'changes1_based on steps'!Q$1:Q$400,0)),Q$2,)</f>
        <v>0</v>
      </c>
      <c r="R122" s="140">
        <f ca="1">IF(ISNUMBER(MATCH(DATEVALUE($A122),'changes1_based on steps'!R$1:R$400,0)),R$2,)</f>
        <v>0</v>
      </c>
      <c r="S122" s="140">
        <f ca="1">IF(ISNUMBER(MATCH(DATEVALUE($A122),'changes1_based on steps'!S$1:S$400,0)),S$2,)</f>
        <v>0</v>
      </c>
      <c r="T122" s="140">
        <f ca="1">IF(ISNUMBER(MATCH(DATEVALUE($A122),'changes1_based on steps'!T$1:T$400,0)),T$2,)</f>
        <v>0</v>
      </c>
      <c r="U122" s="140">
        <f ca="1">IF(ISNUMBER(MATCH(DATEVALUE($A122),'changes1_based on steps'!U$1:U$400,0)),U$2,)</f>
        <v>0</v>
      </c>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c r="BS122" s="140"/>
      <c r="BT122" s="140"/>
      <c r="BU122" s="140"/>
      <c r="BV122" s="140"/>
      <c r="BW122" s="140"/>
      <c r="BX122" s="140"/>
      <c r="BY122" s="140"/>
      <c r="BZ122" s="140"/>
      <c r="CA122" s="140"/>
      <c r="CB122" s="140"/>
      <c r="CC122" s="140"/>
      <c r="CD122" s="140"/>
      <c r="CE122" s="140"/>
      <c r="CF122" s="140"/>
      <c r="CG122" s="140"/>
      <c r="CH122" s="140"/>
      <c r="CI122" s="140"/>
      <c r="CJ122" s="140"/>
      <c r="CK122" s="140"/>
      <c r="CL122" s="140"/>
      <c r="CM122" s="140"/>
      <c r="CN122" s="140"/>
      <c r="CO122" s="140"/>
      <c r="CP122" s="140"/>
      <c r="CQ122" s="140"/>
      <c r="CR122" s="140"/>
      <c r="CS122" s="140"/>
      <c r="CT122" s="140"/>
      <c r="CU122" s="140"/>
      <c r="CV122" s="140"/>
      <c r="CW122" s="140"/>
    </row>
    <row r="123" spans="1:101" x14ac:dyDescent="0.2">
      <c r="A123" s="29" t="str">
        <f t="shared" ca="1" si="1"/>
        <v>2025-07-25</v>
      </c>
      <c r="B123" s="140">
        <f ca="1">IF(ISNUMBER(MATCH(DATEVALUE($A123),'changes1_based on steps'!B$1:B$400,0)),B$2,)</f>
        <v>0</v>
      </c>
      <c r="C123" s="140">
        <f ca="1">IF(ISNUMBER(MATCH(DATEVALUE($A123),'changes1_based on steps'!C$1:C$400,0)),C$2,)</f>
        <v>0</v>
      </c>
      <c r="D123" s="140">
        <f ca="1">IF(ISNUMBER(MATCH(DATEVALUE($A123),'changes1_based on steps'!D$1:D$400,0)),D$2,)</f>
        <v>0</v>
      </c>
      <c r="E123" s="140">
        <f ca="1">IF(ISNUMBER(MATCH(DATEVALUE($A123),'changes1_based on steps'!E$1:E$400,0)),E$2,)</f>
        <v>0</v>
      </c>
      <c r="F123" s="140">
        <f ca="1">IF(ISNUMBER(MATCH(DATEVALUE($A123),'changes1_based on steps'!F$1:F$400,0)),F$2,)</f>
        <v>0</v>
      </c>
      <c r="G123" s="140">
        <f ca="1">IF(ISNUMBER(MATCH(DATEVALUE($A123),'changes1_based on steps'!G$1:G$400,0)),G$2,)</f>
        <v>0</v>
      </c>
      <c r="H123" s="140">
        <f ca="1">IF(ISNUMBER(MATCH(DATEVALUE($A123),'changes1_based on steps'!H$1:H$400,0)),H$2,)</f>
        <v>0</v>
      </c>
      <c r="I123" s="140">
        <f ca="1">IF(ISNUMBER(MATCH(DATEVALUE($A123),'changes1_based on steps'!I$1:I$400,0)),I$2,)</f>
        <v>0</v>
      </c>
      <c r="J123" s="140">
        <f ca="1">IF(ISNUMBER(MATCH(DATEVALUE($A123),'changes1_based on steps'!J$1:J$400,0)),J$2,)</f>
        <v>0</v>
      </c>
      <c r="K123" s="140">
        <f ca="1">IF(ISNUMBER(MATCH(DATEVALUE($A123),'changes1_based on steps'!K$1:K$400,0)),K$2,)</f>
        <v>0</v>
      </c>
      <c r="L123" s="140">
        <f ca="1">IF(ISNUMBER(MATCH(DATEVALUE($A123),'changes1_based on steps'!L$1:L$400,0)),L$2,)</f>
        <v>0</v>
      </c>
      <c r="M123" s="140">
        <f ca="1">IF(ISNUMBER(MATCH(DATEVALUE($A123),'changes1_based on steps'!M$1:M$400,0)),M$2,)</f>
        <v>0</v>
      </c>
      <c r="N123" s="140">
        <f ca="1">IF(ISNUMBER(MATCH(DATEVALUE($A123),'changes1_based on steps'!N$1:N$400,0)),N$2,)</f>
        <v>0</v>
      </c>
      <c r="O123" s="140">
        <f ca="1">IF(ISNUMBER(MATCH(DATEVALUE($A123),'changes1_based on steps'!O$1:O$400,0)),O$2,)</f>
        <v>0</v>
      </c>
      <c r="P123" s="140">
        <f ca="1">IF(ISNUMBER(MATCH(DATEVALUE($A123),'changes1_based on steps'!P$1:P$400,0)),P$2,)</f>
        <v>0</v>
      </c>
      <c r="Q123" s="140">
        <f ca="1">IF(ISNUMBER(MATCH(DATEVALUE($A123),'changes1_based on steps'!Q$1:Q$400,0)),Q$2,)</f>
        <v>0</v>
      </c>
      <c r="R123" s="140">
        <f ca="1">IF(ISNUMBER(MATCH(DATEVALUE($A123),'changes1_based on steps'!R$1:R$400,0)),R$2,)</f>
        <v>0</v>
      </c>
      <c r="S123" s="140">
        <f ca="1">IF(ISNUMBER(MATCH(DATEVALUE($A123),'changes1_based on steps'!S$1:S$400,0)),S$2,)</f>
        <v>0</v>
      </c>
      <c r="T123" s="140">
        <f ca="1">IF(ISNUMBER(MATCH(DATEVALUE($A123),'changes1_based on steps'!T$1:T$400,0)),T$2,)</f>
        <v>0</v>
      </c>
      <c r="U123" s="140">
        <f ca="1">IF(ISNUMBER(MATCH(DATEVALUE($A123),'changes1_based on steps'!U$1:U$400,0)),U$2,)</f>
        <v>0</v>
      </c>
      <c r="V123" s="140"/>
      <c r="W123" s="140"/>
      <c r="X123" s="140"/>
      <c r="Y123" s="140"/>
      <c r="Z123" s="140"/>
      <c r="AA123" s="140"/>
      <c r="AB123" s="140"/>
      <c r="AC123" s="140"/>
      <c r="AD123" s="140"/>
      <c r="AE123" s="140"/>
      <c r="AF123" s="140"/>
      <c r="AG123" s="140"/>
      <c r="AH123" s="140"/>
      <c r="AI123" s="140"/>
      <c r="AJ123" s="140"/>
      <c r="AK123" s="140"/>
      <c r="AL123" s="140"/>
      <c r="AM123" s="140"/>
      <c r="AN123" s="140"/>
      <c r="AO123" s="140"/>
      <c r="AP123" s="140"/>
      <c r="AQ123" s="140"/>
      <c r="AR123" s="140"/>
      <c r="AS123" s="140"/>
      <c r="AT123" s="140"/>
      <c r="AU123" s="140"/>
      <c r="AV123" s="140"/>
      <c r="AW123" s="140"/>
      <c r="AX123" s="140"/>
      <c r="AY123" s="140"/>
      <c r="AZ123" s="140"/>
      <c r="BA123" s="140"/>
      <c r="BB123" s="140"/>
      <c r="BC123" s="140"/>
      <c r="BD123" s="140"/>
      <c r="BE123" s="140"/>
      <c r="BF123" s="140"/>
      <c r="BG123" s="140"/>
      <c r="BH123" s="140"/>
      <c r="BI123" s="140"/>
      <c r="BJ123" s="140"/>
      <c r="BK123" s="140"/>
      <c r="BL123" s="140"/>
      <c r="BM123" s="140"/>
      <c r="BN123" s="140"/>
      <c r="BO123" s="140"/>
      <c r="BP123" s="140"/>
      <c r="BQ123" s="140"/>
      <c r="BR123" s="140"/>
      <c r="BS123" s="140"/>
      <c r="BT123" s="140"/>
      <c r="BU123" s="140"/>
      <c r="BV123" s="140"/>
      <c r="BW123" s="140"/>
      <c r="BX123" s="140"/>
      <c r="BY123" s="140"/>
      <c r="BZ123" s="140"/>
      <c r="CA123" s="140"/>
      <c r="CB123" s="140"/>
      <c r="CC123" s="140"/>
      <c r="CD123" s="140"/>
      <c r="CE123" s="140"/>
      <c r="CF123" s="140"/>
      <c r="CG123" s="140"/>
      <c r="CH123" s="140"/>
      <c r="CI123" s="140"/>
      <c r="CJ123" s="140"/>
      <c r="CK123" s="140"/>
      <c r="CL123" s="140"/>
      <c r="CM123" s="140"/>
      <c r="CN123" s="140"/>
      <c r="CO123" s="140"/>
      <c r="CP123" s="140"/>
      <c r="CQ123" s="140"/>
      <c r="CR123" s="140"/>
      <c r="CS123" s="140"/>
      <c r="CT123" s="140"/>
      <c r="CU123" s="140"/>
      <c r="CV123" s="140"/>
      <c r="CW123" s="140"/>
    </row>
    <row r="124" spans="1:101" x14ac:dyDescent="0.2">
      <c r="A124" s="29" t="str">
        <f t="shared" ca="1" si="1"/>
        <v>2025-07-26</v>
      </c>
      <c r="B124" s="140">
        <f ca="1">IF(ISNUMBER(MATCH(DATEVALUE($A124),'changes1_based on steps'!B$1:B$400,0)),B$2,)</f>
        <v>0</v>
      </c>
      <c r="C124" s="140">
        <f ca="1">IF(ISNUMBER(MATCH(DATEVALUE($A124),'changes1_based on steps'!C$1:C$400,0)),C$2,)</f>
        <v>0</v>
      </c>
      <c r="D124" s="140">
        <f ca="1">IF(ISNUMBER(MATCH(DATEVALUE($A124),'changes1_based on steps'!D$1:D$400,0)),D$2,)</f>
        <v>0</v>
      </c>
      <c r="E124" s="140">
        <f ca="1">IF(ISNUMBER(MATCH(DATEVALUE($A124),'changes1_based on steps'!E$1:E$400,0)),E$2,)</f>
        <v>0</v>
      </c>
      <c r="F124" s="140">
        <f ca="1">IF(ISNUMBER(MATCH(DATEVALUE($A124),'changes1_based on steps'!F$1:F$400,0)),F$2,)</f>
        <v>0</v>
      </c>
      <c r="G124" s="140">
        <f ca="1">IF(ISNUMBER(MATCH(DATEVALUE($A124),'changes1_based on steps'!G$1:G$400,0)),G$2,)</f>
        <v>0</v>
      </c>
      <c r="H124" s="140">
        <f ca="1">IF(ISNUMBER(MATCH(DATEVALUE($A124),'changes1_based on steps'!H$1:H$400,0)),H$2,)</f>
        <v>0</v>
      </c>
      <c r="I124" s="140">
        <f ca="1">IF(ISNUMBER(MATCH(DATEVALUE($A124),'changes1_based on steps'!I$1:I$400,0)),I$2,)</f>
        <v>0</v>
      </c>
      <c r="J124" s="140">
        <f ca="1">IF(ISNUMBER(MATCH(DATEVALUE($A124),'changes1_based on steps'!J$1:J$400,0)),J$2,)</f>
        <v>0</v>
      </c>
      <c r="K124" s="140">
        <f ca="1">IF(ISNUMBER(MATCH(DATEVALUE($A124),'changes1_based on steps'!K$1:K$400,0)),K$2,)</f>
        <v>0</v>
      </c>
      <c r="L124" s="140">
        <f ca="1">IF(ISNUMBER(MATCH(DATEVALUE($A124),'changes1_based on steps'!L$1:L$400,0)),L$2,)</f>
        <v>0</v>
      </c>
      <c r="M124" s="140">
        <f ca="1">IF(ISNUMBER(MATCH(DATEVALUE($A124),'changes1_based on steps'!M$1:M$400,0)),M$2,)</f>
        <v>0</v>
      </c>
      <c r="N124" s="140">
        <f ca="1">IF(ISNUMBER(MATCH(DATEVALUE($A124),'changes1_based on steps'!N$1:N$400,0)),N$2,)</f>
        <v>0</v>
      </c>
      <c r="O124" s="140">
        <f ca="1">IF(ISNUMBER(MATCH(DATEVALUE($A124),'changes1_based on steps'!O$1:O$400,0)),O$2,)</f>
        <v>0</v>
      </c>
      <c r="P124" s="140">
        <f ca="1">IF(ISNUMBER(MATCH(DATEVALUE($A124),'changes1_based on steps'!P$1:P$400,0)),P$2,)</f>
        <v>0</v>
      </c>
      <c r="Q124" s="140">
        <f ca="1">IF(ISNUMBER(MATCH(DATEVALUE($A124),'changes1_based on steps'!Q$1:Q$400,0)),Q$2,)</f>
        <v>0</v>
      </c>
      <c r="R124" s="140">
        <f ca="1">IF(ISNUMBER(MATCH(DATEVALUE($A124),'changes1_based on steps'!R$1:R$400,0)),R$2,)</f>
        <v>0</v>
      </c>
      <c r="S124" s="140">
        <f ca="1">IF(ISNUMBER(MATCH(DATEVALUE($A124),'changes1_based on steps'!S$1:S$400,0)),S$2,)</f>
        <v>0</v>
      </c>
      <c r="T124" s="140">
        <f ca="1">IF(ISNUMBER(MATCH(DATEVALUE($A124),'changes1_based on steps'!T$1:T$400,0)),T$2,)</f>
        <v>0</v>
      </c>
      <c r="U124" s="140">
        <f ca="1">IF(ISNUMBER(MATCH(DATEVALUE($A124),'changes1_based on steps'!U$1:U$400,0)),U$2,)</f>
        <v>0</v>
      </c>
      <c r="V124" s="140"/>
      <c r="W124" s="140"/>
      <c r="X124" s="140"/>
      <c r="Y124" s="140"/>
      <c r="Z124" s="140"/>
      <c r="AA124" s="140"/>
      <c r="AB124" s="140"/>
      <c r="AC124" s="140"/>
      <c r="AD124" s="140"/>
      <c r="AE124" s="140"/>
      <c r="AF124" s="140"/>
      <c r="AG124" s="140"/>
      <c r="AH124" s="140"/>
      <c r="AI124" s="140"/>
      <c r="AJ124" s="140"/>
      <c r="AK124" s="140"/>
      <c r="AL124" s="140"/>
      <c r="AM124" s="140"/>
      <c r="AN124" s="140"/>
      <c r="AO124" s="140"/>
      <c r="AP124" s="140"/>
      <c r="AQ124" s="140"/>
      <c r="AR124" s="140"/>
      <c r="AS124" s="140"/>
      <c r="AT124" s="140"/>
      <c r="AU124" s="140"/>
      <c r="AV124" s="140"/>
      <c r="AW124" s="140"/>
      <c r="AX124" s="140"/>
      <c r="AY124" s="140"/>
      <c r="AZ124" s="140"/>
      <c r="BA124" s="140"/>
      <c r="BB124" s="140"/>
      <c r="BC124" s="140"/>
      <c r="BD124" s="140"/>
      <c r="BE124" s="140"/>
      <c r="BF124" s="140"/>
      <c r="BG124" s="140"/>
      <c r="BH124" s="140"/>
      <c r="BI124" s="140"/>
      <c r="BJ124" s="140"/>
      <c r="BK124" s="140"/>
      <c r="BL124" s="140"/>
      <c r="BM124" s="140"/>
      <c r="BN124" s="140"/>
      <c r="BO124" s="140"/>
      <c r="BP124" s="140"/>
      <c r="BQ124" s="140"/>
      <c r="BR124" s="140"/>
      <c r="BS124" s="140"/>
      <c r="BT124" s="140"/>
      <c r="BU124" s="140"/>
      <c r="BV124" s="140"/>
      <c r="BW124" s="140"/>
      <c r="BX124" s="140"/>
      <c r="BY124" s="140"/>
      <c r="BZ124" s="140"/>
      <c r="CA124" s="140"/>
      <c r="CB124" s="140"/>
      <c r="CC124" s="140"/>
      <c r="CD124" s="140"/>
      <c r="CE124" s="140"/>
      <c r="CF124" s="140"/>
      <c r="CG124" s="140"/>
      <c r="CH124" s="140"/>
      <c r="CI124" s="140"/>
      <c r="CJ124" s="140"/>
      <c r="CK124" s="140"/>
      <c r="CL124" s="140"/>
      <c r="CM124" s="140"/>
      <c r="CN124" s="140"/>
      <c r="CO124" s="140"/>
      <c r="CP124" s="140"/>
      <c r="CQ124" s="140"/>
      <c r="CR124" s="140"/>
      <c r="CS124" s="140"/>
      <c r="CT124" s="140"/>
      <c r="CU124" s="140"/>
      <c r="CV124" s="140"/>
      <c r="CW124" s="140"/>
    </row>
    <row r="125" spans="1:101" x14ac:dyDescent="0.2">
      <c r="A125" s="29" t="str">
        <f t="shared" ca="1" si="1"/>
        <v>2025-07-27</v>
      </c>
      <c r="B125" s="140">
        <f ca="1">IF(ISNUMBER(MATCH(DATEVALUE($A125),'changes1_based on steps'!B$1:B$400,0)),B$2,)</f>
        <v>0</v>
      </c>
      <c r="C125" s="140">
        <f ca="1">IF(ISNUMBER(MATCH(DATEVALUE($A125),'changes1_based on steps'!C$1:C$400,0)),C$2,)</f>
        <v>0</v>
      </c>
      <c r="D125" s="140">
        <f ca="1">IF(ISNUMBER(MATCH(DATEVALUE($A125),'changes1_based on steps'!D$1:D$400,0)),D$2,)</f>
        <v>0</v>
      </c>
      <c r="E125" s="140">
        <f ca="1">IF(ISNUMBER(MATCH(DATEVALUE($A125),'changes1_based on steps'!E$1:E$400,0)),E$2,)</f>
        <v>0</v>
      </c>
      <c r="F125" s="140">
        <f ca="1">IF(ISNUMBER(MATCH(DATEVALUE($A125),'changes1_based on steps'!F$1:F$400,0)),F$2,)</f>
        <v>0</v>
      </c>
      <c r="G125" s="140">
        <f ca="1">IF(ISNUMBER(MATCH(DATEVALUE($A125),'changes1_based on steps'!G$1:G$400,0)),G$2,)</f>
        <v>0</v>
      </c>
      <c r="H125" s="140">
        <f ca="1">IF(ISNUMBER(MATCH(DATEVALUE($A125),'changes1_based on steps'!H$1:H$400,0)),H$2,)</f>
        <v>0</v>
      </c>
      <c r="I125" s="140">
        <f ca="1">IF(ISNUMBER(MATCH(DATEVALUE($A125),'changes1_based on steps'!I$1:I$400,0)),I$2,)</f>
        <v>0</v>
      </c>
      <c r="J125" s="140">
        <f ca="1">IF(ISNUMBER(MATCH(DATEVALUE($A125),'changes1_based on steps'!J$1:J$400,0)),J$2,)</f>
        <v>0</v>
      </c>
      <c r="K125" s="140">
        <f ca="1">IF(ISNUMBER(MATCH(DATEVALUE($A125),'changes1_based on steps'!K$1:K$400,0)),K$2,)</f>
        <v>0</v>
      </c>
      <c r="L125" s="140">
        <f ca="1">IF(ISNUMBER(MATCH(DATEVALUE($A125),'changes1_based on steps'!L$1:L$400,0)),L$2,)</f>
        <v>0</v>
      </c>
      <c r="M125" s="140">
        <f ca="1">IF(ISNUMBER(MATCH(DATEVALUE($A125),'changes1_based on steps'!M$1:M$400,0)),M$2,)</f>
        <v>0</v>
      </c>
      <c r="N125" s="140">
        <f ca="1">IF(ISNUMBER(MATCH(DATEVALUE($A125),'changes1_based on steps'!N$1:N$400,0)),N$2,)</f>
        <v>0</v>
      </c>
      <c r="O125" s="140">
        <f ca="1">IF(ISNUMBER(MATCH(DATEVALUE($A125),'changes1_based on steps'!O$1:O$400,0)),O$2,)</f>
        <v>0</v>
      </c>
      <c r="P125" s="140">
        <f ca="1">IF(ISNUMBER(MATCH(DATEVALUE($A125),'changes1_based on steps'!P$1:P$400,0)),P$2,)</f>
        <v>0</v>
      </c>
      <c r="Q125" s="140">
        <f ca="1">IF(ISNUMBER(MATCH(DATEVALUE($A125),'changes1_based on steps'!Q$1:Q$400,0)),Q$2,)</f>
        <v>0</v>
      </c>
      <c r="R125" s="140">
        <f ca="1">IF(ISNUMBER(MATCH(DATEVALUE($A125),'changes1_based on steps'!R$1:R$400,0)),R$2,)</f>
        <v>0</v>
      </c>
      <c r="S125" s="140">
        <f ca="1">IF(ISNUMBER(MATCH(DATEVALUE($A125),'changes1_based on steps'!S$1:S$400,0)),S$2,)</f>
        <v>0</v>
      </c>
      <c r="T125" s="140">
        <f ca="1">IF(ISNUMBER(MATCH(DATEVALUE($A125),'changes1_based on steps'!T$1:T$400,0)),T$2,)</f>
        <v>0</v>
      </c>
      <c r="U125" s="140">
        <f ca="1">IF(ISNUMBER(MATCH(DATEVALUE($A125),'changes1_based on steps'!U$1:U$400,0)),U$2,)</f>
        <v>0</v>
      </c>
      <c r="V125" s="140"/>
      <c r="W125" s="140"/>
      <c r="X125" s="140"/>
      <c r="Y125" s="140"/>
      <c r="Z125" s="140"/>
      <c r="AA125" s="140"/>
      <c r="AB125" s="140"/>
      <c r="AC125" s="140"/>
      <c r="AD125" s="140"/>
      <c r="AE125" s="140"/>
      <c r="AF125" s="140"/>
      <c r="AG125" s="140"/>
      <c r="AH125" s="140"/>
      <c r="AI125" s="140"/>
      <c r="AJ125" s="140"/>
      <c r="AK125" s="140"/>
      <c r="AL125" s="140"/>
      <c r="AM125" s="140"/>
      <c r="AN125" s="140"/>
      <c r="AO125" s="140"/>
      <c r="AP125" s="140"/>
      <c r="AQ125" s="140"/>
      <c r="AR125" s="140"/>
      <c r="AS125" s="140"/>
      <c r="AT125" s="140"/>
      <c r="AU125" s="140"/>
      <c r="AV125" s="140"/>
      <c r="AW125" s="140"/>
      <c r="AX125" s="140"/>
      <c r="AY125" s="140"/>
      <c r="AZ125" s="140"/>
      <c r="BA125" s="140"/>
      <c r="BB125" s="140"/>
      <c r="BC125" s="140"/>
      <c r="BD125" s="140"/>
      <c r="BE125" s="140"/>
      <c r="BF125" s="140"/>
      <c r="BG125" s="140"/>
      <c r="BH125" s="140"/>
      <c r="BI125" s="140"/>
      <c r="BJ125" s="140"/>
      <c r="BK125" s="140"/>
      <c r="BL125" s="140"/>
      <c r="BM125" s="140"/>
      <c r="BN125" s="140"/>
      <c r="BO125" s="140"/>
      <c r="BP125" s="140"/>
      <c r="BQ125" s="140"/>
      <c r="BR125" s="140"/>
      <c r="BS125" s="140"/>
      <c r="BT125" s="140"/>
      <c r="BU125" s="140"/>
      <c r="BV125" s="140"/>
      <c r="BW125" s="140"/>
      <c r="BX125" s="140"/>
      <c r="BY125" s="140"/>
      <c r="BZ125" s="140"/>
      <c r="CA125" s="140"/>
      <c r="CB125" s="140"/>
      <c r="CC125" s="140"/>
      <c r="CD125" s="140"/>
      <c r="CE125" s="140"/>
      <c r="CF125" s="140"/>
      <c r="CG125" s="140"/>
      <c r="CH125" s="140"/>
      <c r="CI125" s="140"/>
      <c r="CJ125" s="140"/>
      <c r="CK125" s="140"/>
      <c r="CL125" s="140"/>
      <c r="CM125" s="140"/>
      <c r="CN125" s="140"/>
      <c r="CO125" s="140"/>
      <c r="CP125" s="140"/>
      <c r="CQ125" s="140"/>
      <c r="CR125" s="140"/>
      <c r="CS125" s="140"/>
      <c r="CT125" s="140"/>
      <c r="CU125" s="140"/>
      <c r="CV125" s="140"/>
      <c r="CW125" s="140"/>
    </row>
    <row r="126" spans="1:101" x14ac:dyDescent="0.2">
      <c r="A126" s="29" t="str">
        <f t="shared" ca="1" si="1"/>
        <v>2025-07-28</v>
      </c>
      <c r="B126" s="140">
        <f ca="1">IF(ISNUMBER(MATCH(DATEVALUE($A126),'changes1_based on steps'!B$1:B$400,0)),B$2,)</f>
        <v>0</v>
      </c>
      <c r="C126" s="140">
        <f ca="1">IF(ISNUMBER(MATCH(DATEVALUE($A126),'changes1_based on steps'!C$1:C$400,0)),C$2,)</f>
        <v>0</v>
      </c>
      <c r="D126" s="140">
        <f ca="1">IF(ISNUMBER(MATCH(DATEVALUE($A126),'changes1_based on steps'!D$1:D$400,0)),D$2,)</f>
        <v>0</v>
      </c>
      <c r="E126" s="140">
        <f ca="1">IF(ISNUMBER(MATCH(DATEVALUE($A126),'changes1_based on steps'!E$1:E$400,0)),E$2,)</f>
        <v>0</v>
      </c>
      <c r="F126" s="140">
        <f ca="1">IF(ISNUMBER(MATCH(DATEVALUE($A126),'changes1_based on steps'!F$1:F$400,0)),F$2,)</f>
        <v>0</v>
      </c>
      <c r="G126" s="140">
        <f ca="1">IF(ISNUMBER(MATCH(DATEVALUE($A126),'changes1_based on steps'!G$1:G$400,0)),G$2,)</f>
        <v>0</v>
      </c>
      <c r="H126" s="140">
        <f ca="1">IF(ISNUMBER(MATCH(DATEVALUE($A126),'changes1_based on steps'!H$1:H$400,0)),H$2,)</f>
        <v>0</v>
      </c>
      <c r="I126" s="140">
        <f ca="1">IF(ISNUMBER(MATCH(DATEVALUE($A126),'changes1_based on steps'!I$1:I$400,0)),I$2,)</f>
        <v>0</v>
      </c>
      <c r="J126" s="140">
        <f ca="1">IF(ISNUMBER(MATCH(DATEVALUE($A126),'changes1_based on steps'!J$1:J$400,0)),J$2,)</f>
        <v>0</v>
      </c>
      <c r="K126" s="140">
        <f ca="1">IF(ISNUMBER(MATCH(DATEVALUE($A126),'changes1_based on steps'!K$1:K$400,0)),K$2,)</f>
        <v>0</v>
      </c>
      <c r="L126" s="140">
        <f ca="1">IF(ISNUMBER(MATCH(DATEVALUE($A126),'changes1_based on steps'!L$1:L$400,0)),L$2,)</f>
        <v>0</v>
      </c>
      <c r="M126" s="140">
        <f ca="1">IF(ISNUMBER(MATCH(DATEVALUE($A126),'changes1_based on steps'!M$1:M$400,0)),M$2,)</f>
        <v>0</v>
      </c>
      <c r="N126" s="140">
        <f ca="1">IF(ISNUMBER(MATCH(DATEVALUE($A126),'changes1_based on steps'!N$1:N$400,0)),N$2,)</f>
        <v>0</v>
      </c>
      <c r="O126" s="140">
        <f ca="1">IF(ISNUMBER(MATCH(DATEVALUE($A126),'changes1_based on steps'!O$1:O$400,0)),O$2,)</f>
        <v>0</v>
      </c>
      <c r="P126" s="140">
        <f ca="1">IF(ISNUMBER(MATCH(DATEVALUE($A126),'changes1_based on steps'!P$1:P$400,0)),P$2,)</f>
        <v>0</v>
      </c>
      <c r="Q126" s="140">
        <f ca="1">IF(ISNUMBER(MATCH(DATEVALUE($A126),'changes1_based on steps'!Q$1:Q$400,0)),Q$2,)</f>
        <v>0</v>
      </c>
      <c r="R126" s="140">
        <f ca="1">IF(ISNUMBER(MATCH(DATEVALUE($A126),'changes1_based on steps'!R$1:R$400,0)),R$2,)</f>
        <v>0</v>
      </c>
      <c r="S126" s="140">
        <f ca="1">IF(ISNUMBER(MATCH(DATEVALUE($A126),'changes1_based on steps'!S$1:S$400,0)),S$2,)</f>
        <v>0</v>
      </c>
      <c r="T126" s="140">
        <f ca="1">IF(ISNUMBER(MATCH(DATEVALUE($A126),'changes1_based on steps'!T$1:T$400,0)),T$2,)</f>
        <v>0</v>
      </c>
      <c r="U126" s="140">
        <f ca="1">IF(ISNUMBER(MATCH(DATEVALUE($A126),'changes1_based on steps'!U$1:U$400,0)),U$2,)</f>
        <v>0</v>
      </c>
      <c r="V126" s="140"/>
      <c r="W126" s="140"/>
      <c r="X126" s="140"/>
      <c r="Y126" s="140"/>
      <c r="Z126" s="140"/>
      <c r="AA126" s="140"/>
      <c r="AB126" s="140"/>
      <c r="AC126" s="140"/>
      <c r="AD126" s="140"/>
      <c r="AE126" s="140"/>
      <c r="AF126" s="140"/>
      <c r="AG126" s="140"/>
      <c r="AH126" s="140"/>
      <c r="AI126" s="140"/>
      <c r="AJ126" s="140"/>
      <c r="AK126" s="140"/>
      <c r="AL126" s="140"/>
      <c r="AM126" s="140"/>
      <c r="AN126" s="140"/>
      <c r="AO126" s="140"/>
      <c r="AP126" s="140"/>
      <c r="AQ126" s="140"/>
      <c r="AR126" s="140"/>
      <c r="AS126" s="140"/>
      <c r="AT126" s="140"/>
      <c r="AU126" s="140"/>
      <c r="AV126" s="140"/>
      <c r="AW126" s="140"/>
      <c r="AX126" s="140"/>
      <c r="AY126" s="140"/>
      <c r="AZ126" s="140"/>
      <c r="BA126" s="140"/>
      <c r="BB126" s="140"/>
      <c r="BC126" s="140"/>
      <c r="BD126" s="140"/>
      <c r="BE126" s="140"/>
      <c r="BF126" s="140"/>
      <c r="BG126" s="140"/>
      <c r="BH126" s="140"/>
      <c r="BI126" s="140"/>
      <c r="BJ126" s="140"/>
      <c r="BK126" s="140"/>
      <c r="BL126" s="140"/>
      <c r="BM126" s="140"/>
      <c r="BN126" s="140"/>
      <c r="BO126" s="140"/>
      <c r="BP126" s="140"/>
      <c r="BQ126" s="140"/>
      <c r="BR126" s="140"/>
      <c r="BS126" s="140"/>
      <c r="BT126" s="140"/>
      <c r="BU126" s="140"/>
      <c r="BV126" s="140"/>
      <c r="BW126" s="140"/>
      <c r="BX126" s="140"/>
      <c r="BY126" s="140"/>
      <c r="BZ126" s="140"/>
      <c r="CA126" s="140"/>
      <c r="CB126" s="140"/>
      <c r="CC126" s="140"/>
      <c r="CD126" s="140"/>
      <c r="CE126" s="140"/>
      <c r="CF126" s="140"/>
      <c r="CG126" s="140"/>
      <c r="CH126" s="140"/>
      <c r="CI126" s="140"/>
      <c r="CJ126" s="140"/>
      <c r="CK126" s="140"/>
      <c r="CL126" s="140"/>
      <c r="CM126" s="140"/>
      <c r="CN126" s="140"/>
      <c r="CO126" s="140"/>
      <c r="CP126" s="140"/>
      <c r="CQ126" s="140"/>
      <c r="CR126" s="140"/>
      <c r="CS126" s="140"/>
      <c r="CT126" s="140"/>
      <c r="CU126" s="140"/>
      <c r="CV126" s="140"/>
      <c r="CW126" s="140"/>
    </row>
    <row r="127" spans="1:101" x14ac:dyDescent="0.2">
      <c r="A127" s="29" t="str">
        <f t="shared" ca="1" si="1"/>
        <v>2025-07-29</v>
      </c>
      <c r="B127" s="140">
        <f ca="1">IF(ISNUMBER(MATCH(DATEVALUE($A127),'changes1_based on steps'!B$1:B$400,0)),B$2,)</f>
        <v>0</v>
      </c>
      <c r="C127" s="140">
        <f ca="1">IF(ISNUMBER(MATCH(DATEVALUE($A127),'changes1_based on steps'!C$1:C$400,0)),C$2,)</f>
        <v>0</v>
      </c>
      <c r="D127" s="140">
        <f ca="1">IF(ISNUMBER(MATCH(DATEVALUE($A127),'changes1_based on steps'!D$1:D$400,0)),D$2,)</f>
        <v>0</v>
      </c>
      <c r="E127" s="140">
        <f ca="1">IF(ISNUMBER(MATCH(DATEVALUE($A127),'changes1_based on steps'!E$1:E$400,0)),E$2,)</f>
        <v>0</v>
      </c>
      <c r="F127" s="140">
        <f ca="1">IF(ISNUMBER(MATCH(DATEVALUE($A127),'changes1_based on steps'!F$1:F$400,0)),F$2,)</f>
        <v>0</v>
      </c>
      <c r="G127" s="140">
        <f ca="1">IF(ISNUMBER(MATCH(DATEVALUE($A127),'changes1_based on steps'!G$1:G$400,0)),G$2,)</f>
        <v>0</v>
      </c>
      <c r="H127" s="140">
        <f ca="1">IF(ISNUMBER(MATCH(DATEVALUE($A127),'changes1_based on steps'!H$1:H$400,0)),H$2,)</f>
        <v>0</v>
      </c>
      <c r="I127" s="140">
        <f ca="1">IF(ISNUMBER(MATCH(DATEVALUE($A127),'changes1_based on steps'!I$1:I$400,0)),I$2,)</f>
        <v>0</v>
      </c>
      <c r="J127" s="140">
        <f ca="1">IF(ISNUMBER(MATCH(DATEVALUE($A127),'changes1_based on steps'!J$1:J$400,0)),J$2,)</f>
        <v>0</v>
      </c>
      <c r="K127" s="140">
        <f ca="1">IF(ISNUMBER(MATCH(DATEVALUE($A127),'changes1_based on steps'!K$1:K$400,0)),K$2,)</f>
        <v>0</v>
      </c>
      <c r="L127" s="140">
        <f ca="1">IF(ISNUMBER(MATCH(DATEVALUE($A127),'changes1_based on steps'!L$1:L$400,0)),L$2,)</f>
        <v>0</v>
      </c>
      <c r="M127" s="140">
        <f ca="1">IF(ISNUMBER(MATCH(DATEVALUE($A127),'changes1_based on steps'!M$1:M$400,0)),M$2,)</f>
        <v>0</v>
      </c>
      <c r="N127" s="140">
        <f ca="1">IF(ISNUMBER(MATCH(DATEVALUE($A127),'changes1_based on steps'!N$1:N$400,0)),N$2,)</f>
        <v>0</v>
      </c>
      <c r="O127" s="140">
        <f ca="1">IF(ISNUMBER(MATCH(DATEVALUE($A127),'changes1_based on steps'!O$1:O$400,0)),O$2,)</f>
        <v>0</v>
      </c>
      <c r="P127" s="140">
        <f ca="1">IF(ISNUMBER(MATCH(DATEVALUE($A127),'changes1_based on steps'!P$1:P$400,0)),P$2,)</f>
        <v>0</v>
      </c>
      <c r="Q127" s="140">
        <f ca="1">IF(ISNUMBER(MATCH(DATEVALUE($A127),'changes1_based on steps'!Q$1:Q$400,0)),Q$2,)</f>
        <v>0</v>
      </c>
      <c r="R127" s="140">
        <f ca="1">IF(ISNUMBER(MATCH(DATEVALUE($A127),'changes1_based on steps'!R$1:R$400,0)),R$2,)</f>
        <v>0</v>
      </c>
      <c r="S127" s="140">
        <f ca="1">IF(ISNUMBER(MATCH(DATEVALUE($A127),'changes1_based on steps'!S$1:S$400,0)),S$2,)</f>
        <v>0</v>
      </c>
      <c r="T127" s="140">
        <f ca="1">IF(ISNUMBER(MATCH(DATEVALUE($A127),'changes1_based on steps'!T$1:T$400,0)),T$2,)</f>
        <v>0</v>
      </c>
      <c r="U127" s="140">
        <f ca="1">IF(ISNUMBER(MATCH(DATEVALUE($A127),'changes1_based on steps'!U$1:U$400,0)),U$2,)</f>
        <v>0</v>
      </c>
      <c r="V127" s="140"/>
      <c r="W127" s="140"/>
      <c r="X127" s="140"/>
      <c r="Y127" s="140"/>
      <c r="Z127" s="140"/>
      <c r="AA127" s="140"/>
      <c r="AB127" s="140"/>
      <c r="AC127" s="140"/>
      <c r="AD127" s="140"/>
      <c r="AE127" s="140"/>
      <c r="AF127" s="140"/>
      <c r="AG127" s="140"/>
      <c r="AH127" s="140"/>
      <c r="AI127" s="140"/>
      <c r="AJ127" s="140"/>
      <c r="AK127" s="140"/>
      <c r="AL127" s="140"/>
      <c r="AM127" s="140"/>
      <c r="AN127" s="140"/>
      <c r="AO127" s="140"/>
      <c r="AP127" s="140"/>
      <c r="AQ127" s="140"/>
      <c r="AR127" s="140"/>
      <c r="AS127" s="140"/>
      <c r="AT127" s="140"/>
      <c r="AU127" s="140"/>
      <c r="AV127" s="140"/>
      <c r="AW127" s="140"/>
      <c r="AX127" s="140"/>
      <c r="AY127" s="140"/>
      <c r="AZ127" s="140"/>
      <c r="BA127" s="140"/>
      <c r="BB127" s="140"/>
      <c r="BC127" s="140"/>
      <c r="BD127" s="140"/>
      <c r="BE127" s="140"/>
      <c r="BF127" s="140"/>
      <c r="BG127" s="140"/>
      <c r="BH127" s="140"/>
      <c r="BI127" s="140"/>
      <c r="BJ127" s="140"/>
      <c r="BK127" s="140"/>
      <c r="BL127" s="140"/>
      <c r="BM127" s="140"/>
      <c r="BN127" s="140"/>
      <c r="BO127" s="140"/>
      <c r="BP127" s="140"/>
      <c r="BQ127" s="140"/>
      <c r="BR127" s="140"/>
      <c r="BS127" s="140"/>
      <c r="BT127" s="140"/>
      <c r="BU127" s="140"/>
      <c r="BV127" s="140"/>
      <c r="BW127" s="140"/>
      <c r="BX127" s="140"/>
      <c r="BY127" s="140"/>
      <c r="BZ127" s="140"/>
      <c r="CA127" s="140"/>
      <c r="CB127" s="140"/>
      <c r="CC127" s="140"/>
      <c r="CD127" s="140"/>
      <c r="CE127" s="140"/>
      <c r="CF127" s="140"/>
      <c r="CG127" s="140"/>
      <c r="CH127" s="140"/>
      <c r="CI127" s="140"/>
      <c r="CJ127" s="140"/>
      <c r="CK127" s="140"/>
      <c r="CL127" s="140"/>
      <c r="CM127" s="140"/>
      <c r="CN127" s="140"/>
      <c r="CO127" s="140"/>
      <c r="CP127" s="140"/>
      <c r="CQ127" s="140"/>
      <c r="CR127" s="140"/>
      <c r="CS127" s="140"/>
      <c r="CT127" s="140"/>
      <c r="CU127" s="140"/>
      <c r="CV127" s="140"/>
      <c r="CW127" s="140"/>
    </row>
    <row r="128" spans="1:101" x14ac:dyDescent="0.2">
      <c r="A128" s="29" t="str">
        <f t="shared" ca="1" si="1"/>
        <v>2025-07-30</v>
      </c>
      <c r="B128" s="140">
        <f ca="1">IF(ISNUMBER(MATCH(DATEVALUE($A128),'changes1_based on steps'!B$1:B$400,0)),B$2,)</f>
        <v>0</v>
      </c>
      <c r="C128" s="140">
        <f ca="1">IF(ISNUMBER(MATCH(DATEVALUE($A128),'changes1_based on steps'!C$1:C$400,0)),C$2,)</f>
        <v>0</v>
      </c>
      <c r="D128" s="140">
        <f ca="1">IF(ISNUMBER(MATCH(DATEVALUE($A128),'changes1_based on steps'!D$1:D$400,0)),D$2,)</f>
        <v>0</v>
      </c>
      <c r="E128" s="140">
        <f ca="1">IF(ISNUMBER(MATCH(DATEVALUE($A128),'changes1_based on steps'!E$1:E$400,0)),E$2,)</f>
        <v>0</v>
      </c>
      <c r="F128" s="140">
        <f ca="1">IF(ISNUMBER(MATCH(DATEVALUE($A128),'changes1_based on steps'!F$1:F$400,0)),F$2,)</f>
        <v>0</v>
      </c>
      <c r="G128" s="140">
        <f ca="1">IF(ISNUMBER(MATCH(DATEVALUE($A128),'changes1_based on steps'!G$1:G$400,0)),G$2,)</f>
        <v>0</v>
      </c>
      <c r="H128" s="140">
        <f ca="1">IF(ISNUMBER(MATCH(DATEVALUE($A128),'changes1_based on steps'!H$1:H$400,0)),H$2,)</f>
        <v>0</v>
      </c>
      <c r="I128" s="140">
        <f ca="1">IF(ISNUMBER(MATCH(DATEVALUE($A128),'changes1_based on steps'!I$1:I$400,0)),I$2,)</f>
        <v>0</v>
      </c>
      <c r="J128" s="140">
        <f ca="1">IF(ISNUMBER(MATCH(DATEVALUE($A128),'changes1_based on steps'!J$1:J$400,0)),J$2,)</f>
        <v>0</v>
      </c>
      <c r="K128" s="140">
        <f ca="1">IF(ISNUMBER(MATCH(DATEVALUE($A128),'changes1_based on steps'!K$1:K$400,0)),K$2,)</f>
        <v>0</v>
      </c>
      <c r="L128" s="140">
        <f ca="1">IF(ISNUMBER(MATCH(DATEVALUE($A128),'changes1_based on steps'!L$1:L$400,0)),L$2,)</f>
        <v>0</v>
      </c>
      <c r="M128" s="140">
        <f ca="1">IF(ISNUMBER(MATCH(DATEVALUE($A128),'changes1_based on steps'!M$1:M$400,0)),M$2,)</f>
        <v>0</v>
      </c>
      <c r="N128" s="140">
        <f ca="1">IF(ISNUMBER(MATCH(DATEVALUE($A128),'changes1_based on steps'!N$1:N$400,0)),N$2,)</f>
        <v>0</v>
      </c>
      <c r="O128" s="140">
        <f ca="1">IF(ISNUMBER(MATCH(DATEVALUE($A128),'changes1_based on steps'!O$1:O$400,0)),O$2,)</f>
        <v>0</v>
      </c>
      <c r="P128" s="140">
        <f ca="1">IF(ISNUMBER(MATCH(DATEVALUE($A128),'changes1_based on steps'!P$1:P$400,0)),P$2,)</f>
        <v>0</v>
      </c>
      <c r="Q128" s="140">
        <f ca="1">IF(ISNUMBER(MATCH(DATEVALUE($A128),'changes1_based on steps'!Q$1:Q$400,0)),Q$2,)</f>
        <v>0</v>
      </c>
      <c r="R128" s="140">
        <f ca="1">IF(ISNUMBER(MATCH(DATEVALUE($A128),'changes1_based on steps'!R$1:R$400,0)),R$2,)</f>
        <v>0</v>
      </c>
      <c r="S128" s="140">
        <f ca="1">IF(ISNUMBER(MATCH(DATEVALUE($A128),'changes1_based on steps'!S$1:S$400,0)),S$2,)</f>
        <v>0</v>
      </c>
      <c r="T128" s="140">
        <f ca="1">IF(ISNUMBER(MATCH(DATEVALUE($A128),'changes1_based on steps'!T$1:T$400,0)),T$2,)</f>
        <v>0</v>
      </c>
      <c r="U128" s="140">
        <f ca="1">IF(ISNUMBER(MATCH(DATEVALUE($A128),'changes1_based on steps'!U$1:U$400,0)),U$2,)</f>
        <v>0</v>
      </c>
      <c r="V128" s="140"/>
      <c r="W128" s="140"/>
      <c r="X128" s="140"/>
      <c r="Y128" s="140"/>
      <c r="Z128" s="140"/>
      <c r="AA128" s="140"/>
      <c r="AB128" s="140"/>
      <c r="AC128" s="140"/>
      <c r="AD128" s="140"/>
      <c r="AE128" s="140"/>
      <c r="AF128" s="140"/>
      <c r="AG128" s="140"/>
      <c r="AH128" s="140"/>
      <c r="AI128" s="140"/>
      <c r="AJ128" s="140"/>
      <c r="AK128" s="140"/>
      <c r="AL128" s="140"/>
      <c r="AM128" s="140"/>
      <c r="AN128" s="140"/>
      <c r="AO128" s="140"/>
      <c r="AP128" s="140"/>
      <c r="AQ128" s="140"/>
      <c r="AR128" s="140"/>
      <c r="AS128" s="140"/>
      <c r="AT128" s="140"/>
      <c r="AU128" s="140"/>
      <c r="AV128" s="140"/>
      <c r="AW128" s="140"/>
      <c r="AX128" s="140"/>
      <c r="AY128" s="140"/>
      <c r="AZ128" s="140"/>
      <c r="BA128" s="140"/>
      <c r="BB128" s="140"/>
      <c r="BC128" s="140"/>
      <c r="BD128" s="140"/>
      <c r="BE128" s="140"/>
      <c r="BF128" s="140"/>
      <c r="BG128" s="140"/>
      <c r="BH128" s="140"/>
      <c r="BI128" s="140"/>
      <c r="BJ128" s="140"/>
      <c r="BK128" s="140"/>
      <c r="BL128" s="140"/>
      <c r="BM128" s="140"/>
      <c r="BN128" s="140"/>
      <c r="BO128" s="140"/>
      <c r="BP128" s="140"/>
      <c r="BQ128" s="140"/>
      <c r="BR128" s="140"/>
      <c r="BS128" s="140"/>
      <c r="BT128" s="140"/>
      <c r="BU128" s="140"/>
      <c r="BV128" s="140"/>
      <c r="BW128" s="140"/>
      <c r="BX128" s="140"/>
      <c r="BY128" s="140"/>
      <c r="BZ128" s="140"/>
      <c r="CA128" s="140"/>
      <c r="CB128" s="140"/>
      <c r="CC128" s="140"/>
      <c r="CD128" s="140"/>
      <c r="CE128" s="140"/>
      <c r="CF128" s="140"/>
      <c r="CG128" s="140"/>
      <c r="CH128" s="140"/>
      <c r="CI128" s="140"/>
      <c r="CJ128" s="140"/>
      <c r="CK128" s="140"/>
      <c r="CL128" s="140"/>
      <c r="CM128" s="140"/>
      <c r="CN128" s="140"/>
      <c r="CO128" s="140"/>
      <c r="CP128" s="140"/>
      <c r="CQ128" s="140"/>
      <c r="CR128" s="140"/>
      <c r="CS128" s="140"/>
      <c r="CT128" s="140"/>
      <c r="CU128" s="140"/>
      <c r="CV128" s="140"/>
      <c r="CW128" s="140"/>
    </row>
    <row r="129" spans="1:101" x14ac:dyDescent="0.2">
      <c r="A129" s="29" t="str">
        <f t="shared" ca="1" si="1"/>
        <v>2025-07-31</v>
      </c>
      <c r="B129" s="140">
        <f ca="1">IF(ISNUMBER(MATCH(DATEVALUE($A129),'changes1_based on steps'!B$1:B$400,0)),B$2,)</f>
        <v>0</v>
      </c>
      <c r="C129" s="140">
        <f ca="1">IF(ISNUMBER(MATCH(DATEVALUE($A129),'changes1_based on steps'!C$1:C$400,0)),C$2,)</f>
        <v>0</v>
      </c>
      <c r="D129" s="140">
        <f ca="1">IF(ISNUMBER(MATCH(DATEVALUE($A129),'changes1_based on steps'!D$1:D$400,0)),D$2,)</f>
        <v>0</v>
      </c>
      <c r="E129" s="140">
        <f ca="1">IF(ISNUMBER(MATCH(DATEVALUE($A129),'changes1_based on steps'!E$1:E$400,0)),E$2,)</f>
        <v>0</v>
      </c>
      <c r="F129" s="140">
        <f ca="1">IF(ISNUMBER(MATCH(DATEVALUE($A129),'changes1_based on steps'!F$1:F$400,0)),F$2,)</f>
        <v>0</v>
      </c>
      <c r="G129" s="140">
        <f ca="1">IF(ISNUMBER(MATCH(DATEVALUE($A129),'changes1_based on steps'!G$1:G$400,0)),G$2,)</f>
        <v>0</v>
      </c>
      <c r="H129" s="140">
        <f ca="1">IF(ISNUMBER(MATCH(DATEVALUE($A129),'changes1_based on steps'!H$1:H$400,0)),H$2,)</f>
        <v>0</v>
      </c>
      <c r="I129" s="140">
        <f ca="1">IF(ISNUMBER(MATCH(DATEVALUE($A129),'changes1_based on steps'!I$1:I$400,0)),I$2,)</f>
        <v>0</v>
      </c>
      <c r="J129" s="140">
        <f ca="1">IF(ISNUMBER(MATCH(DATEVALUE($A129),'changes1_based on steps'!J$1:J$400,0)),J$2,)</f>
        <v>0</v>
      </c>
      <c r="K129" s="140">
        <f ca="1">IF(ISNUMBER(MATCH(DATEVALUE($A129),'changes1_based on steps'!K$1:K$400,0)),K$2,)</f>
        <v>0</v>
      </c>
      <c r="L129" s="140">
        <f ca="1">IF(ISNUMBER(MATCH(DATEVALUE($A129),'changes1_based on steps'!L$1:L$400,0)),L$2,)</f>
        <v>0</v>
      </c>
      <c r="M129" s="140">
        <f ca="1">IF(ISNUMBER(MATCH(DATEVALUE($A129),'changes1_based on steps'!M$1:M$400,0)),M$2,)</f>
        <v>0</v>
      </c>
      <c r="N129" s="140">
        <f ca="1">IF(ISNUMBER(MATCH(DATEVALUE($A129),'changes1_based on steps'!N$1:N$400,0)),N$2,)</f>
        <v>0</v>
      </c>
      <c r="O129" s="140">
        <f ca="1">IF(ISNUMBER(MATCH(DATEVALUE($A129),'changes1_based on steps'!O$1:O$400,0)),O$2,)</f>
        <v>0</v>
      </c>
      <c r="P129" s="140">
        <f ca="1">IF(ISNUMBER(MATCH(DATEVALUE($A129),'changes1_based on steps'!P$1:P$400,0)),P$2,)</f>
        <v>0</v>
      </c>
      <c r="Q129" s="140">
        <f ca="1">IF(ISNUMBER(MATCH(DATEVALUE($A129),'changes1_based on steps'!Q$1:Q$400,0)),Q$2,)</f>
        <v>0</v>
      </c>
      <c r="R129" s="140">
        <f ca="1">IF(ISNUMBER(MATCH(DATEVALUE($A129),'changes1_based on steps'!R$1:R$400,0)),R$2,)</f>
        <v>0</v>
      </c>
      <c r="S129" s="140">
        <f ca="1">IF(ISNUMBER(MATCH(DATEVALUE($A129),'changes1_based on steps'!S$1:S$400,0)),S$2,)</f>
        <v>0</v>
      </c>
      <c r="T129" s="140">
        <f ca="1">IF(ISNUMBER(MATCH(DATEVALUE($A129),'changes1_based on steps'!T$1:T$400,0)),T$2,)</f>
        <v>0</v>
      </c>
      <c r="U129" s="140">
        <f ca="1">IF(ISNUMBER(MATCH(DATEVALUE($A129),'changes1_based on steps'!U$1:U$400,0)),U$2,)</f>
        <v>0</v>
      </c>
      <c r="V129" s="140"/>
      <c r="W129" s="140"/>
      <c r="X129" s="140"/>
      <c r="Y129" s="140"/>
      <c r="Z129" s="140"/>
      <c r="AA129" s="140"/>
      <c r="AB129" s="140"/>
      <c r="AC129" s="140"/>
      <c r="AD129" s="140"/>
      <c r="AE129" s="140"/>
      <c r="AF129" s="140"/>
      <c r="AG129" s="140"/>
      <c r="AH129" s="140"/>
      <c r="AI129" s="140"/>
      <c r="AJ129" s="140"/>
      <c r="AK129" s="140"/>
      <c r="AL129" s="140"/>
      <c r="AM129" s="140"/>
      <c r="AN129" s="140"/>
      <c r="AO129" s="140"/>
      <c r="AP129" s="140"/>
      <c r="AQ129" s="140"/>
      <c r="AR129" s="140"/>
      <c r="AS129" s="140"/>
      <c r="AT129" s="140"/>
      <c r="AU129" s="140"/>
      <c r="AV129" s="140"/>
      <c r="AW129" s="140"/>
      <c r="AX129" s="140"/>
      <c r="AY129" s="140"/>
      <c r="AZ129" s="140"/>
      <c r="BA129" s="140"/>
      <c r="BB129" s="140"/>
      <c r="BC129" s="140"/>
      <c r="BD129" s="140"/>
      <c r="BE129" s="140"/>
      <c r="BF129" s="140"/>
      <c r="BG129" s="140"/>
      <c r="BH129" s="140"/>
      <c r="BI129" s="140"/>
      <c r="BJ129" s="140"/>
      <c r="BK129" s="140"/>
      <c r="BL129" s="140"/>
      <c r="BM129" s="140"/>
      <c r="BN129" s="140"/>
      <c r="BO129" s="140"/>
      <c r="BP129" s="140"/>
      <c r="BQ129" s="140"/>
      <c r="BR129" s="140"/>
      <c r="BS129" s="140"/>
      <c r="BT129" s="140"/>
      <c r="BU129" s="140"/>
      <c r="BV129" s="140"/>
      <c r="BW129" s="140"/>
      <c r="BX129" s="140"/>
      <c r="BY129" s="140"/>
      <c r="BZ129" s="140"/>
      <c r="CA129" s="140"/>
      <c r="CB129" s="140"/>
      <c r="CC129" s="140"/>
      <c r="CD129" s="140"/>
      <c r="CE129" s="140"/>
      <c r="CF129" s="140"/>
      <c r="CG129" s="140"/>
      <c r="CH129" s="140"/>
      <c r="CI129" s="140"/>
      <c r="CJ129" s="140"/>
      <c r="CK129" s="140"/>
      <c r="CL129" s="140"/>
      <c r="CM129" s="140"/>
      <c r="CN129" s="140"/>
      <c r="CO129" s="140"/>
      <c r="CP129" s="140"/>
      <c r="CQ129" s="140"/>
      <c r="CR129" s="140"/>
      <c r="CS129" s="140"/>
      <c r="CT129" s="140"/>
      <c r="CU129" s="140"/>
      <c r="CV129" s="140"/>
      <c r="CW129" s="140"/>
    </row>
    <row r="130" spans="1:101" x14ac:dyDescent="0.2">
      <c r="A130" s="29" t="str">
        <f t="shared" ca="1" si="1"/>
        <v>2025-08-01</v>
      </c>
      <c r="B130" s="140">
        <f ca="1">IF(ISNUMBER(MATCH(DATEVALUE($A130),'changes1_based on steps'!B$1:B$400,0)),B$2,)</f>
        <v>0</v>
      </c>
      <c r="C130" s="140">
        <f ca="1">IF(ISNUMBER(MATCH(DATEVALUE($A130),'changes1_based on steps'!C$1:C$400,0)),C$2,)</f>
        <v>0</v>
      </c>
      <c r="D130" s="140">
        <f ca="1">IF(ISNUMBER(MATCH(DATEVALUE($A130),'changes1_based on steps'!D$1:D$400,0)),D$2,)</f>
        <v>0</v>
      </c>
      <c r="E130" s="140">
        <f ca="1">IF(ISNUMBER(MATCH(DATEVALUE($A130),'changes1_based on steps'!E$1:E$400,0)),E$2,)</f>
        <v>0</v>
      </c>
      <c r="F130" s="140">
        <f ca="1">IF(ISNUMBER(MATCH(DATEVALUE($A130),'changes1_based on steps'!F$1:F$400,0)),F$2,)</f>
        <v>0</v>
      </c>
      <c r="G130" s="140">
        <f ca="1">IF(ISNUMBER(MATCH(DATEVALUE($A130),'changes1_based on steps'!G$1:G$400,0)),G$2,)</f>
        <v>0</v>
      </c>
      <c r="H130" s="140">
        <f ca="1">IF(ISNUMBER(MATCH(DATEVALUE($A130),'changes1_based on steps'!H$1:H$400,0)),H$2,)</f>
        <v>0</v>
      </c>
      <c r="I130" s="140">
        <f ca="1">IF(ISNUMBER(MATCH(DATEVALUE($A130),'changes1_based on steps'!I$1:I$400,0)),I$2,)</f>
        <v>0</v>
      </c>
      <c r="J130" s="140">
        <f ca="1">IF(ISNUMBER(MATCH(DATEVALUE($A130),'changes1_based on steps'!J$1:J$400,0)),J$2,)</f>
        <v>0</v>
      </c>
      <c r="K130" s="140">
        <f ca="1">IF(ISNUMBER(MATCH(DATEVALUE($A130),'changes1_based on steps'!K$1:K$400,0)),K$2,)</f>
        <v>0</v>
      </c>
      <c r="L130" s="140">
        <f ca="1">IF(ISNUMBER(MATCH(DATEVALUE($A130),'changes1_based on steps'!L$1:L$400,0)),L$2,)</f>
        <v>0</v>
      </c>
      <c r="M130" s="140">
        <f ca="1">IF(ISNUMBER(MATCH(DATEVALUE($A130),'changes1_based on steps'!M$1:M$400,0)),M$2,)</f>
        <v>0</v>
      </c>
      <c r="N130" s="140">
        <f ca="1">IF(ISNUMBER(MATCH(DATEVALUE($A130),'changes1_based on steps'!N$1:N$400,0)),N$2,)</f>
        <v>0</v>
      </c>
      <c r="O130" s="140">
        <f ca="1">IF(ISNUMBER(MATCH(DATEVALUE($A130),'changes1_based on steps'!O$1:O$400,0)),O$2,)</f>
        <v>0</v>
      </c>
      <c r="P130" s="140">
        <f ca="1">IF(ISNUMBER(MATCH(DATEVALUE($A130),'changes1_based on steps'!P$1:P$400,0)),P$2,)</f>
        <v>0</v>
      </c>
      <c r="Q130" s="140">
        <f ca="1">IF(ISNUMBER(MATCH(DATEVALUE($A130),'changes1_based on steps'!Q$1:Q$400,0)),Q$2,)</f>
        <v>0</v>
      </c>
      <c r="R130" s="140">
        <f ca="1">IF(ISNUMBER(MATCH(DATEVALUE($A130),'changes1_based on steps'!R$1:R$400,0)),R$2,)</f>
        <v>0</v>
      </c>
      <c r="S130" s="140">
        <f ca="1">IF(ISNUMBER(MATCH(DATEVALUE($A130),'changes1_based on steps'!S$1:S$400,0)),S$2,)</f>
        <v>0</v>
      </c>
      <c r="T130" s="140">
        <f ca="1">IF(ISNUMBER(MATCH(DATEVALUE($A130),'changes1_based on steps'!T$1:T$400,0)),T$2,)</f>
        <v>0</v>
      </c>
      <c r="U130" s="140">
        <f ca="1">IF(ISNUMBER(MATCH(DATEVALUE($A130),'changes1_based on steps'!U$1:U$400,0)),U$2,)</f>
        <v>0</v>
      </c>
      <c r="V130" s="140"/>
      <c r="W130" s="140"/>
      <c r="X130" s="140"/>
      <c r="Y130" s="140"/>
      <c r="Z130" s="140"/>
      <c r="AA130" s="140"/>
      <c r="AB130" s="140"/>
      <c r="AC130" s="140"/>
      <c r="AD130" s="140"/>
      <c r="AE130" s="140"/>
      <c r="AF130" s="140"/>
      <c r="AG130" s="140"/>
      <c r="AH130" s="140"/>
      <c r="AI130" s="140"/>
      <c r="AJ130" s="140"/>
      <c r="AK130" s="140"/>
      <c r="AL130" s="140"/>
      <c r="AM130" s="140"/>
      <c r="AN130" s="140"/>
      <c r="AO130" s="140"/>
      <c r="AP130" s="140"/>
      <c r="AQ130" s="140"/>
      <c r="AR130" s="140"/>
      <c r="AS130" s="140"/>
      <c r="AT130" s="140"/>
      <c r="AU130" s="140"/>
      <c r="AV130" s="140"/>
      <c r="AW130" s="140"/>
      <c r="AX130" s="140"/>
      <c r="AY130" s="140"/>
      <c r="AZ130" s="140"/>
      <c r="BA130" s="140"/>
      <c r="BB130" s="140"/>
      <c r="BC130" s="140"/>
      <c r="BD130" s="140"/>
      <c r="BE130" s="140"/>
      <c r="BF130" s="140"/>
      <c r="BG130" s="140"/>
      <c r="BH130" s="140"/>
      <c r="BI130" s="140"/>
      <c r="BJ130" s="140"/>
      <c r="BK130" s="140"/>
      <c r="BL130" s="140"/>
      <c r="BM130" s="140"/>
      <c r="BN130" s="140"/>
      <c r="BO130" s="140"/>
      <c r="BP130" s="140"/>
      <c r="BQ130" s="140"/>
      <c r="BR130" s="140"/>
      <c r="BS130" s="140"/>
      <c r="BT130" s="140"/>
      <c r="BU130" s="140"/>
      <c r="BV130" s="140"/>
      <c r="BW130" s="140"/>
      <c r="BX130" s="140"/>
      <c r="BY130" s="140"/>
      <c r="BZ130" s="140"/>
      <c r="CA130" s="140"/>
      <c r="CB130" s="140"/>
      <c r="CC130" s="140"/>
      <c r="CD130" s="140"/>
      <c r="CE130" s="140"/>
      <c r="CF130" s="140"/>
      <c r="CG130" s="140"/>
      <c r="CH130" s="140"/>
      <c r="CI130" s="140"/>
      <c r="CJ130" s="140"/>
      <c r="CK130" s="140"/>
      <c r="CL130" s="140"/>
      <c r="CM130" s="140"/>
      <c r="CN130" s="140"/>
      <c r="CO130" s="140"/>
      <c r="CP130" s="140"/>
      <c r="CQ130" s="140"/>
      <c r="CR130" s="140"/>
      <c r="CS130" s="140"/>
      <c r="CT130" s="140"/>
      <c r="CU130" s="140"/>
      <c r="CV130" s="140"/>
      <c r="CW130" s="140"/>
    </row>
    <row r="131" spans="1:101" x14ac:dyDescent="0.2">
      <c r="A131" s="29" t="str">
        <f t="shared" ca="1" si="1"/>
        <v>2025-08-02</v>
      </c>
      <c r="B131" s="140">
        <f ca="1">IF(ISNUMBER(MATCH(DATEVALUE($A131),'changes1_based on steps'!B$1:B$400,0)),B$2,)</f>
        <v>0</v>
      </c>
      <c r="C131" s="140">
        <f ca="1">IF(ISNUMBER(MATCH(DATEVALUE($A131),'changes1_based on steps'!C$1:C$400,0)),C$2,)</f>
        <v>0</v>
      </c>
      <c r="D131" s="140">
        <f ca="1">IF(ISNUMBER(MATCH(DATEVALUE($A131),'changes1_based on steps'!D$1:D$400,0)),D$2,)</f>
        <v>0</v>
      </c>
      <c r="E131" s="140">
        <f ca="1">IF(ISNUMBER(MATCH(DATEVALUE($A131),'changes1_based on steps'!E$1:E$400,0)),E$2,)</f>
        <v>0</v>
      </c>
      <c r="F131" s="140">
        <f ca="1">IF(ISNUMBER(MATCH(DATEVALUE($A131),'changes1_based on steps'!F$1:F$400,0)),F$2,)</f>
        <v>0</v>
      </c>
      <c r="G131" s="140">
        <f ca="1">IF(ISNUMBER(MATCH(DATEVALUE($A131),'changes1_based on steps'!G$1:G$400,0)),G$2,)</f>
        <v>0</v>
      </c>
      <c r="H131" s="140">
        <f ca="1">IF(ISNUMBER(MATCH(DATEVALUE($A131),'changes1_based on steps'!H$1:H$400,0)),H$2,)</f>
        <v>0</v>
      </c>
      <c r="I131" s="140">
        <f ca="1">IF(ISNUMBER(MATCH(DATEVALUE($A131),'changes1_based on steps'!I$1:I$400,0)),I$2,)</f>
        <v>0</v>
      </c>
      <c r="J131" s="140">
        <f ca="1">IF(ISNUMBER(MATCH(DATEVALUE($A131),'changes1_based on steps'!J$1:J$400,0)),J$2,)</f>
        <v>0</v>
      </c>
      <c r="K131" s="140">
        <f ca="1">IF(ISNUMBER(MATCH(DATEVALUE($A131),'changes1_based on steps'!K$1:K$400,0)),K$2,)</f>
        <v>0</v>
      </c>
      <c r="L131" s="140">
        <f ca="1">IF(ISNUMBER(MATCH(DATEVALUE($A131),'changes1_based on steps'!L$1:L$400,0)),L$2,)</f>
        <v>0</v>
      </c>
      <c r="M131" s="140">
        <f ca="1">IF(ISNUMBER(MATCH(DATEVALUE($A131),'changes1_based on steps'!M$1:M$400,0)),M$2,)</f>
        <v>0</v>
      </c>
      <c r="N131" s="140">
        <f ca="1">IF(ISNUMBER(MATCH(DATEVALUE($A131),'changes1_based on steps'!N$1:N$400,0)),N$2,)</f>
        <v>0</v>
      </c>
      <c r="O131" s="140">
        <f ca="1">IF(ISNUMBER(MATCH(DATEVALUE($A131),'changes1_based on steps'!O$1:O$400,0)),O$2,)</f>
        <v>0</v>
      </c>
      <c r="P131" s="140">
        <f ca="1">IF(ISNUMBER(MATCH(DATEVALUE($A131),'changes1_based on steps'!P$1:P$400,0)),P$2,)</f>
        <v>0</v>
      </c>
      <c r="Q131" s="140">
        <f ca="1">IF(ISNUMBER(MATCH(DATEVALUE($A131),'changes1_based on steps'!Q$1:Q$400,0)),Q$2,)</f>
        <v>0</v>
      </c>
      <c r="R131" s="140">
        <f ca="1">IF(ISNUMBER(MATCH(DATEVALUE($A131),'changes1_based on steps'!R$1:R$400,0)),R$2,)</f>
        <v>0</v>
      </c>
      <c r="S131" s="140">
        <f ca="1">IF(ISNUMBER(MATCH(DATEVALUE($A131),'changes1_based on steps'!S$1:S$400,0)),S$2,)</f>
        <v>0</v>
      </c>
      <c r="T131" s="140">
        <f ca="1">IF(ISNUMBER(MATCH(DATEVALUE($A131),'changes1_based on steps'!T$1:T$400,0)),T$2,)</f>
        <v>0</v>
      </c>
      <c r="U131" s="140">
        <f ca="1">IF(ISNUMBER(MATCH(DATEVALUE($A131),'changes1_based on steps'!U$1:U$400,0)),U$2,)</f>
        <v>0</v>
      </c>
      <c r="V131" s="140"/>
      <c r="W131" s="140"/>
      <c r="X131" s="140"/>
      <c r="Y131" s="140"/>
      <c r="Z131" s="140"/>
      <c r="AA131" s="140"/>
      <c r="AB131" s="140"/>
      <c r="AC131" s="140"/>
      <c r="AD131" s="140"/>
      <c r="AE131" s="140"/>
      <c r="AF131" s="140"/>
      <c r="AG131" s="140"/>
      <c r="AH131" s="140"/>
      <c r="AI131" s="140"/>
      <c r="AJ131" s="140"/>
      <c r="AK131" s="140"/>
      <c r="AL131" s="140"/>
      <c r="AM131" s="140"/>
      <c r="AN131" s="140"/>
      <c r="AO131" s="140"/>
      <c r="AP131" s="140"/>
      <c r="AQ131" s="140"/>
      <c r="AR131" s="140"/>
      <c r="AS131" s="140"/>
      <c r="AT131" s="140"/>
      <c r="AU131" s="140"/>
      <c r="AV131" s="140"/>
      <c r="AW131" s="140"/>
      <c r="AX131" s="140"/>
      <c r="AY131" s="140"/>
      <c r="AZ131" s="140"/>
      <c r="BA131" s="140"/>
      <c r="BB131" s="140"/>
      <c r="BC131" s="140"/>
      <c r="BD131" s="140"/>
      <c r="BE131" s="140"/>
      <c r="BF131" s="140"/>
      <c r="BG131" s="140"/>
      <c r="BH131" s="140"/>
      <c r="BI131" s="140"/>
      <c r="BJ131" s="140"/>
      <c r="BK131" s="140"/>
      <c r="BL131" s="140"/>
      <c r="BM131" s="140"/>
      <c r="BN131" s="140"/>
      <c r="BO131" s="140"/>
      <c r="BP131" s="140"/>
      <c r="BQ131" s="140"/>
      <c r="BR131" s="140"/>
      <c r="BS131" s="140"/>
      <c r="BT131" s="140"/>
      <c r="BU131" s="140"/>
      <c r="BV131" s="140"/>
      <c r="BW131" s="140"/>
      <c r="BX131" s="140"/>
      <c r="BY131" s="140"/>
      <c r="BZ131" s="140"/>
      <c r="CA131" s="140"/>
      <c r="CB131" s="140"/>
      <c r="CC131" s="140"/>
      <c r="CD131" s="140"/>
      <c r="CE131" s="140"/>
      <c r="CF131" s="140"/>
      <c r="CG131" s="140"/>
      <c r="CH131" s="140"/>
      <c r="CI131" s="140"/>
      <c r="CJ131" s="140"/>
      <c r="CK131" s="140"/>
      <c r="CL131" s="140"/>
      <c r="CM131" s="140"/>
      <c r="CN131" s="140"/>
      <c r="CO131" s="140"/>
      <c r="CP131" s="140"/>
      <c r="CQ131" s="140"/>
      <c r="CR131" s="140"/>
      <c r="CS131" s="140"/>
      <c r="CT131" s="140"/>
      <c r="CU131" s="140"/>
      <c r="CV131" s="140"/>
      <c r="CW131" s="140"/>
    </row>
    <row r="132" spans="1:101" x14ac:dyDescent="0.2">
      <c r="A132" s="29" t="str">
        <f t="shared" ca="1" si="1"/>
        <v>2025-08-03</v>
      </c>
      <c r="B132" s="140">
        <f ca="1">IF(ISNUMBER(MATCH(DATEVALUE($A132),'changes1_based on steps'!B$1:B$400,0)),B$2,)</f>
        <v>0</v>
      </c>
      <c r="C132" s="140">
        <f ca="1">IF(ISNUMBER(MATCH(DATEVALUE($A132),'changes1_based on steps'!C$1:C$400,0)),C$2,)</f>
        <v>0</v>
      </c>
      <c r="D132" s="140">
        <f ca="1">IF(ISNUMBER(MATCH(DATEVALUE($A132),'changes1_based on steps'!D$1:D$400,0)),D$2,)</f>
        <v>0</v>
      </c>
      <c r="E132" s="140">
        <f ca="1">IF(ISNUMBER(MATCH(DATEVALUE($A132),'changes1_based on steps'!E$1:E$400,0)),E$2,)</f>
        <v>0</v>
      </c>
      <c r="F132" s="140">
        <f ca="1">IF(ISNUMBER(MATCH(DATEVALUE($A132),'changes1_based on steps'!F$1:F$400,0)),F$2,)</f>
        <v>0</v>
      </c>
      <c r="G132" s="140">
        <f ca="1">IF(ISNUMBER(MATCH(DATEVALUE($A132),'changes1_based on steps'!G$1:G$400,0)),G$2,)</f>
        <v>0</v>
      </c>
      <c r="H132" s="140">
        <f ca="1">IF(ISNUMBER(MATCH(DATEVALUE($A132),'changes1_based on steps'!H$1:H$400,0)),H$2,)</f>
        <v>0</v>
      </c>
      <c r="I132" s="140">
        <f ca="1">IF(ISNUMBER(MATCH(DATEVALUE($A132),'changes1_based on steps'!I$1:I$400,0)),I$2,)</f>
        <v>0</v>
      </c>
      <c r="J132" s="140">
        <f ca="1">IF(ISNUMBER(MATCH(DATEVALUE($A132),'changes1_based on steps'!J$1:J$400,0)),J$2,)</f>
        <v>0</v>
      </c>
      <c r="K132" s="140">
        <f ca="1">IF(ISNUMBER(MATCH(DATEVALUE($A132),'changes1_based on steps'!K$1:K$400,0)),K$2,)</f>
        <v>0</v>
      </c>
      <c r="L132" s="140">
        <f ca="1">IF(ISNUMBER(MATCH(DATEVALUE($A132),'changes1_based on steps'!L$1:L$400,0)),L$2,)</f>
        <v>0</v>
      </c>
      <c r="M132" s="140">
        <f ca="1">IF(ISNUMBER(MATCH(DATEVALUE($A132),'changes1_based on steps'!M$1:M$400,0)),M$2,)</f>
        <v>0</v>
      </c>
      <c r="N132" s="140">
        <f ca="1">IF(ISNUMBER(MATCH(DATEVALUE($A132),'changes1_based on steps'!N$1:N$400,0)),N$2,)</f>
        <v>0</v>
      </c>
      <c r="O132" s="140">
        <f ca="1">IF(ISNUMBER(MATCH(DATEVALUE($A132),'changes1_based on steps'!O$1:O$400,0)),O$2,)</f>
        <v>0</v>
      </c>
      <c r="P132" s="140">
        <f ca="1">IF(ISNUMBER(MATCH(DATEVALUE($A132),'changes1_based on steps'!P$1:P$400,0)),P$2,)</f>
        <v>0</v>
      </c>
      <c r="Q132" s="140">
        <f ca="1">IF(ISNUMBER(MATCH(DATEVALUE($A132),'changes1_based on steps'!Q$1:Q$400,0)),Q$2,)</f>
        <v>0</v>
      </c>
      <c r="R132" s="140">
        <f ca="1">IF(ISNUMBER(MATCH(DATEVALUE($A132),'changes1_based on steps'!R$1:R$400,0)),R$2,)</f>
        <v>0</v>
      </c>
      <c r="S132" s="140">
        <f ca="1">IF(ISNUMBER(MATCH(DATEVALUE($A132),'changes1_based on steps'!S$1:S$400,0)),S$2,)</f>
        <v>0</v>
      </c>
      <c r="T132" s="140">
        <f ca="1">IF(ISNUMBER(MATCH(DATEVALUE($A132),'changes1_based on steps'!T$1:T$400,0)),T$2,)</f>
        <v>0</v>
      </c>
      <c r="U132" s="140">
        <f ca="1">IF(ISNUMBER(MATCH(DATEVALUE($A132),'changes1_based on steps'!U$1:U$400,0)),U$2,)</f>
        <v>0</v>
      </c>
      <c r="V132" s="140"/>
      <c r="W132" s="140"/>
      <c r="X132" s="140"/>
      <c r="Y132" s="140"/>
      <c r="Z132" s="140"/>
      <c r="AA132" s="140"/>
      <c r="AB132" s="140"/>
      <c r="AC132" s="140"/>
      <c r="AD132" s="140"/>
      <c r="AE132" s="140"/>
      <c r="AF132" s="140"/>
      <c r="AG132" s="140"/>
      <c r="AH132" s="140"/>
      <c r="AI132" s="140"/>
      <c r="AJ132" s="140"/>
      <c r="AK132" s="140"/>
      <c r="AL132" s="140"/>
      <c r="AM132" s="140"/>
      <c r="AN132" s="140"/>
      <c r="AO132" s="140"/>
      <c r="AP132" s="140"/>
      <c r="AQ132" s="140"/>
      <c r="AR132" s="140"/>
      <c r="AS132" s="140"/>
      <c r="AT132" s="140"/>
      <c r="AU132" s="140"/>
      <c r="AV132" s="140"/>
      <c r="AW132" s="140"/>
      <c r="AX132" s="140"/>
      <c r="AY132" s="140"/>
      <c r="AZ132" s="140"/>
      <c r="BA132" s="140"/>
      <c r="BB132" s="140"/>
      <c r="BC132" s="140"/>
      <c r="BD132" s="140"/>
      <c r="BE132" s="140"/>
      <c r="BF132" s="140"/>
      <c r="BG132" s="140"/>
      <c r="BH132" s="140"/>
      <c r="BI132" s="140"/>
      <c r="BJ132" s="140"/>
      <c r="BK132" s="140"/>
      <c r="BL132" s="140"/>
      <c r="BM132" s="140"/>
      <c r="BN132" s="140"/>
      <c r="BO132" s="140"/>
      <c r="BP132" s="140"/>
      <c r="BQ132" s="140"/>
      <c r="BR132" s="140"/>
      <c r="BS132" s="140"/>
      <c r="BT132" s="140"/>
      <c r="BU132" s="140"/>
      <c r="BV132" s="140"/>
      <c r="BW132" s="140"/>
      <c r="BX132" s="140"/>
      <c r="BY132" s="140"/>
      <c r="BZ132" s="140"/>
      <c r="CA132" s="140"/>
      <c r="CB132" s="140"/>
      <c r="CC132" s="140"/>
      <c r="CD132" s="140"/>
      <c r="CE132" s="140"/>
      <c r="CF132" s="140"/>
      <c r="CG132" s="140"/>
      <c r="CH132" s="140"/>
      <c r="CI132" s="140"/>
      <c r="CJ132" s="140"/>
      <c r="CK132" s="140"/>
      <c r="CL132" s="140"/>
      <c r="CM132" s="140"/>
      <c r="CN132" s="140"/>
      <c r="CO132" s="140"/>
      <c r="CP132" s="140"/>
      <c r="CQ132" s="140"/>
      <c r="CR132" s="140"/>
      <c r="CS132" s="140"/>
      <c r="CT132" s="140"/>
      <c r="CU132" s="140"/>
      <c r="CV132" s="140"/>
      <c r="CW132" s="140"/>
    </row>
    <row r="133" spans="1:101" x14ac:dyDescent="0.2">
      <c r="A133" s="29" t="str">
        <f t="shared" ref="A133:A196" ca="1" si="2">TEXT(DATEVALUE(A132)+1,"yyyy-mm-dd")</f>
        <v>2025-08-04</v>
      </c>
      <c r="B133" s="140">
        <f ca="1">IF(ISNUMBER(MATCH(DATEVALUE($A133),'changes1_based on steps'!B$1:B$400,0)),B$2,)</f>
        <v>0</v>
      </c>
      <c r="C133" s="140">
        <f ca="1">IF(ISNUMBER(MATCH(DATEVALUE($A133),'changes1_based on steps'!C$1:C$400,0)),C$2,)</f>
        <v>0</v>
      </c>
      <c r="D133" s="140">
        <f ca="1">IF(ISNUMBER(MATCH(DATEVALUE($A133),'changes1_based on steps'!D$1:D$400,0)),D$2,)</f>
        <v>0</v>
      </c>
      <c r="E133" s="140">
        <f ca="1">IF(ISNUMBER(MATCH(DATEVALUE($A133),'changes1_based on steps'!E$1:E$400,0)),E$2,)</f>
        <v>0</v>
      </c>
      <c r="F133" s="140">
        <f ca="1">IF(ISNUMBER(MATCH(DATEVALUE($A133),'changes1_based on steps'!F$1:F$400,0)),F$2,)</f>
        <v>0</v>
      </c>
      <c r="G133" s="140">
        <f ca="1">IF(ISNUMBER(MATCH(DATEVALUE($A133),'changes1_based on steps'!G$1:G$400,0)),G$2,)</f>
        <v>0</v>
      </c>
      <c r="H133" s="140">
        <f ca="1">IF(ISNUMBER(MATCH(DATEVALUE($A133),'changes1_based on steps'!H$1:H$400,0)),H$2,)</f>
        <v>0</v>
      </c>
      <c r="I133" s="140">
        <f ca="1">IF(ISNUMBER(MATCH(DATEVALUE($A133),'changes1_based on steps'!I$1:I$400,0)),I$2,)</f>
        <v>0</v>
      </c>
      <c r="J133" s="140">
        <f ca="1">IF(ISNUMBER(MATCH(DATEVALUE($A133),'changes1_based on steps'!J$1:J$400,0)),J$2,)</f>
        <v>0</v>
      </c>
      <c r="K133" s="140">
        <f ca="1">IF(ISNUMBER(MATCH(DATEVALUE($A133),'changes1_based on steps'!K$1:K$400,0)),K$2,)</f>
        <v>0</v>
      </c>
      <c r="L133" s="140">
        <f ca="1">IF(ISNUMBER(MATCH(DATEVALUE($A133),'changes1_based on steps'!L$1:L$400,0)),L$2,)</f>
        <v>0</v>
      </c>
      <c r="M133" s="140">
        <f ca="1">IF(ISNUMBER(MATCH(DATEVALUE($A133),'changes1_based on steps'!M$1:M$400,0)),M$2,)</f>
        <v>0</v>
      </c>
      <c r="N133" s="140">
        <f ca="1">IF(ISNUMBER(MATCH(DATEVALUE($A133),'changes1_based on steps'!N$1:N$400,0)),N$2,)</f>
        <v>0</v>
      </c>
      <c r="O133" s="140">
        <f ca="1">IF(ISNUMBER(MATCH(DATEVALUE($A133),'changes1_based on steps'!O$1:O$400,0)),O$2,)</f>
        <v>0</v>
      </c>
      <c r="P133" s="140">
        <f ca="1">IF(ISNUMBER(MATCH(DATEVALUE($A133),'changes1_based on steps'!P$1:P$400,0)),P$2,)</f>
        <v>0</v>
      </c>
      <c r="Q133" s="140">
        <f ca="1">IF(ISNUMBER(MATCH(DATEVALUE($A133),'changes1_based on steps'!Q$1:Q$400,0)),Q$2,)</f>
        <v>0</v>
      </c>
      <c r="R133" s="140">
        <f ca="1">IF(ISNUMBER(MATCH(DATEVALUE($A133),'changes1_based on steps'!R$1:R$400,0)),R$2,)</f>
        <v>0</v>
      </c>
      <c r="S133" s="140">
        <f ca="1">IF(ISNUMBER(MATCH(DATEVALUE($A133),'changes1_based on steps'!S$1:S$400,0)),S$2,)</f>
        <v>0</v>
      </c>
      <c r="T133" s="140">
        <f ca="1">IF(ISNUMBER(MATCH(DATEVALUE($A133),'changes1_based on steps'!T$1:T$400,0)),T$2,)</f>
        <v>0</v>
      </c>
      <c r="U133" s="140">
        <f ca="1">IF(ISNUMBER(MATCH(DATEVALUE($A133),'changes1_based on steps'!U$1:U$400,0)),U$2,)</f>
        <v>0</v>
      </c>
      <c r="V133" s="140"/>
      <c r="W133" s="140"/>
      <c r="X133" s="140"/>
      <c r="Y133" s="140"/>
      <c r="Z133" s="140"/>
      <c r="AA133" s="140"/>
      <c r="AB133" s="140"/>
      <c r="AC133" s="140"/>
      <c r="AD133" s="140"/>
      <c r="AE133" s="140"/>
      <c r="AF133" s="140"/>
      <c r="AG133" s="140"/>
      <c r="AH133" s="140"/>
      <c r="AI133" s="140"/>
      <c r="AJ133" s="140"/>
      <c r="AK133" s="140"/>
      <c r="AL133" s="140"/>
      <c r="AM133" s="140"/>
      <c r="AN133" s="140"/>
      <c r="AO133" s="140"/>
      <c r="AP133" s="140"/>
      <c r="AQ133" s="140"/>
      <c r="AR133" s="140"/>
      <c r="AS133" s="140"/>
      <c r="AT133" s="140"/>
      <c r="AU133" s="140"/>
      <c r="AV133" s="140"/>
      <c r="AW133" s="140"/>
      <c r="AX133" s="140"/>
      <c r="AY133" s="140"/>
      <c r="AZ133" s="140"/>
      <c r="BA133" s="140"/>
      <c r="BB133" s="140"/>
      <c r="BC133" s="140"/>
      <c r="BD133" s="140"/>
      <c r="BE133" s="140"/>
      <c r="BF133" s="140"/>
      <c r="BG133" s="140"/>
      <c r="BH133" s="140"/>
      <c r="BI133" s="140"/>
      <c r="BJ133" s="140"/>
      <c r="BK133" s="140"/>
      <c r="BL133" s="140"/>
      <c r="BM133" s="140"/>
      <c r="BN133" s="140"/>
      <c r="BO133" s="140"/>
      <c r="BP133" s="140"/>
      <c r="BQ133" s="140"/>
      <c r="BR133" s="140"/>
      <c r="BS133" s="140"/>
      <c r="BT133" s="140"/>
      <c r="BU133" s="140"/>
      <c r="BV133" s="140"/>
      <c r="BW133" s="140"/>
      <c r="BX133" s="140"/>
      <c r="BY133" s="140"/>
      <c r="BZ133" s="140"/>
      <c r="CA133" s="140"/>
      <c r="CB133" s="140"/>
      <c r="CC133" s="140"/>
      <c r="CD133" s="140"/>
      <c r="CE133" s="140"/>
      <c r="CF133" s="140"/>
      <c r="CG133" s="140"/>
      <c r="CH133" s="140"/>
      <c r="CI133" s="140"/>
      <c r="CJ133" s="140"/>
      <c r="CK133" s="140"/>
      <c r="CL133" s="140"/>
      <c r="CM133" s="140"/>
      <c r="CN133" s="140"/>
      <c r="CO133" s="140"/>
      <c r="CP133" s="140"/>
      <c r="CQ133" s="140"/>
      <c r="CR133" s="140"/>
      <c r="CS133" s="140"/>
      <c r="CT133" s="140"/>
      <c r="CU133" s="140"/>
      <c r="CV133" s="140"/>
      <c r="CW133" s="140"/>
    </row>
    <row r="134" spans="1:101" x14ac:dyDescent="0.2">
      <c r="A134" s="29" t="str">
        <f t="shared" ca="1" si="2"/>
        <v>2025-08-05</v>
      </c>
      <c r="B134" s="140">
        <f ca="1">IF(ISNUMBER(MATCH(DATEVALUE($A134),'changes1_based on steps'!B$1:B$400,0)),B$2,)</f>
        <v>0</v>
      </c>
      <c r="C134" s="140">
        <f ca="1">IF(ISNUMBER(MATCH(DATEVALUE($A134),'changes1_based on steps'!C$1:C$400,0)),C$2,)</f>
        <v>0</v>
      </c>
      <c r="D134" s="140">
        <f ca="1">IF(ISNUMBER(MATCH(DATEVALUE($A134),'changes1_based on steps'!D$1:D$400,0)),D$2,)</f>
        <v>0</v>
      </c>
      <c r="E134" s="140">
        <f ca="1">IF(ISNUMBER(MATCH(DATEVALUE($A134),'changes1_based on steps'!E$1:E$400,0)),E$2,)</f>
        <v>0</v>
      </c>
      <c r="F134" s="140">
        <f ca="1">IF(ISNUMBER(MATCH(DATEVALUE($A134),'changes1_based on steps'!F$1:F$400,0)),F$2,)</f>
        <v>0</v>
      </c>
      <c r="G134" s="140">
        <f ca="1">IF(ISNUMBER(MATCH(DATEVALUE($A134),'changes1_based on steps'!G$1:G$400,0)),G$2,)</f>
        <v>0</v>
      </c>
      <c r="H134" s="140">
        <f ca="1">IF(ISNUMBER(MATCH(DATEVALUE($A134),'changes1_based on steps'!H$1:H$400,0)),H$2,)</f>
        <v>0</v>
      </c>
      <c r="I134" s="140">
        <f ca="1">IF(ISNUMBER(MATCH(DATEVALUE($A134),'changes1_based on steps'!I$1:I$400,0)),I$2,)</f>
        <v>0</v>
      </c>
      <c r="J134" s="140">
        <f ca="1">IF(ISNUMBER(MATCH(DATEVALUE($A134),'changes1_based on steps'!J$1:J$400,0)),J$2,)</f>
        <v>0</v>
      </c>
      <c r="K134" s="140">
        <f ca="1">IF(ISNUMBER(MATCH(DATEVALUE($A134),'changes1_based on steps'!K$1:K$400,0)),K$2,)</f>
        <v>0</v>
      </c>
      <c r="L134" s="140">
        <f ca="1">IF(ISNUMBER(MATCH(DATEVALUE($A134),'changes1_based on steps'!L$1:L$400,0)),L$2,)</f>
        <v>0</v>
      </c>
      <c r="M134" s="140">
        <f ca="1">IF(ISNUMBER(MATCH(DATEVALUE($A134),'changes1_based on steps'!M$1:M$400,0)),M$2,)</f>
        <v>0</v>
      </c>
      <c r="N134" s="140">
        <f ca="1">IF(ISNUMBER(MATCH(DATEVALUE($A134),'changes1_based on steps'!N$1:N$400,0)),N$2,)</f>
        <v>0</v>
      </c>
      <c r="O134" s="140">
        <f ca="1">IF(ISNUMBER(MATCH(DATEVALUE($A134),'changes1_based on steps'!O$1:O$400,0)),O$2,)</f>
        <v>0</v>
      </c>
      <c r="P134" s="140">
        <f ca="1">IF(ISNUMBER(MATCH(DATEVALUE($A134),'changes1_based on steps'!P$1:P$400,0)),P$2,)</f>
        <v>0</v>
      </c>
      <c r="Q134" s="140">
        <f ca="1">IF(ISNUMBER(MATCH(DATEVALUE($A134),'changes1_based on steps'!Q$1:Q$400,0)),Q$2,)</f>
        <v>0</v>
      </c>
      <c r="R134" s="140">
        <f ca="1">IF(ISNUMBER(MATCH(DATEVALUE($A134),'changes1_based on steps'!R$1:R$400,0)),R$2,)</f>
        <v>0</v>
      </c>
      <c r="S134" s="140">
        <f ca="1">IF(ISNUMBER(MATCH(DATEVALUE($A134),'changes1_based on steps'!S$1:S$400,0)),S$2,)</f>
        <v>0</v>
      </c>
      <c r="T134" s="140">
        <f ca="1">IF(ISNUMBER(MATCH(DATEVALUE($A134),'changes1_based on steps'!T$1:T$400,0)),T$2,)</f>
        <v>0</v>
      </c>
      <c r="U134" s="140">
        <f ca="1">IF(ISNUMBER(MATCH(DATEVALUE($A134),'changes1_based on steps'!U$1:U$400,0)),U$2,)</f>
        <v>0</v>
      </c>
      <c r="V134" s="140"/>
      <c r="W134" s="140"/>
      <c r="X134" s="140"/>
      <c r="Y134" s="140"/>
      <c r="Z134" s="140"/>
      <c r="AA134" s="140"/>
      <c r="AB134" s="140"/>
      <c r="AC134" s="140"/>
      <c r="AD134" s="140"/>
      <c r="AE134" s="140"/>
      <c r="AF134" s="140"/>
      <c r="AG134" s="140"/>
      <c r="AH134" s="140"/>
      <c r="AI134" s="140"/>
      <c r="AJ134" s="140"/>
      <c r="AK134" s="140"/>
      <c r="AL134" s="140"/>
      <c r="AM134" s="140"/>
      <c r="AN134" s="140"/>
      <c r="AO134" s="140"/>
      <c r="AP134" s="140"/>
      <c r="AQ134" s="140"/>
      <c r="AR134" s="140"/>
      <c r="AS134" s="140"/>
      <c r="AT134" s="140"/>
      <c r="AU134" s="140"/>
      <c r="AV134" s="140"/>
      <c r="AW134" s="140"/>
      <c r="AX134" s="140"/>
      <c r="AY134" s="140"/>
      <c r="AZ134" s="140"/>
      <c r="BA134" s="140"/>
      <c r="BB134" s="140"/>
      <c r="BC134" s="140"/>
      <c r="BD134" s="140"/>
      <c r="BE134" s="140"/>
      <c r="BF134" s="140"/>
      <c r="BG134" s="140"/>
      <c r="BH134" s="140"/>
      <c r="BI134" s="140"/>
      <c r="BJ134" s="140"/>
      <c r="BK134" s="140"/>
      <c r="BL134" s="140"/>
      <c r="BM134" s="140"/>
      <c r="BN134" s="140"/>
      <c r="BO134" s="140"/>
      <c r="BP134" s="140"/>
      <c r="BQ134" s="140"/>
      <c r="BR134" s="140"/>
      <c r="BS134" s="140"/>
      <c r="BT134" s="140"/>
      <c r="BU134" s="140"/>
      <c r="BV134" s="140"/>
      <c r="BW134" s="140"/>
      <c r="BX134" s="140"/>
      <c r="BY134" s="140"/>
      <c r="BZ134" s="140"/>
      <c r="CA134" s="140"/>
      <c r="CB134" s="140"/>
      <c r="CC134" s="140"/>
      <c r="CD134" s="140"/>
      <c r="CE134" s="140"/>
      <c r="CF134" s="140"/>
      <c r="CG134" s="140"/>
      <c r="CH134" s="140"/>
      <c r="CI134" s="140"/>
      <c r="CJ134" s="140"/>
      <c r="CK134" s="140"/>
      <c r="CL134" s="140"/>
      <c r="CM134" s="140"/>
      <c r="CN134" s="140"/>
      <c r="CO134" s="140"/>
      <c r="CP134" s="140"/>
      <c r="CQ134" s="140"/>
      <c r="CR134" s="140"/>
      <c r="CS134" s="140"/>
      <c r="CT134" s="140"/>
      <c r="CU134" s="140"/>
      <c r="CV134" s="140"/>
      <c r="CW134" s="140"/>
    </row>
    <row r="135" spans="1:101" x14ac:dyDescent="0.2">
      <c r="A135" s="29" t="str">
        <f t="shared" ca="1" si="2"/>
        <v>2025-08-06</v>
      </c>
      <c r="B135" s="140">
        <f ca="1">IF(ISNUMBER(MATCH(DATEVALUE($A135),'changes1_based on steps'!B$1:B$400,0)),B$2,)</f>
        <v>0</v>
      </c>
      <c r="C135" s="140">
        <f ca="1">IF(ISNUMBER(MATCH(DATEVALUE($A135),'changes1_based on steps'!C$1:C$400,0)),C$2,)</f>
        <v>0</v>
      </c>
      <c r="D135" s="140">
        <f ca="1">IF(ISNUMBER(MATCH(DATEVALUE($A135),'changes1_based on steps'!D$1:D$400,0)),D$2,)</f>
        <v>0</v>
      </c>
      <c r="E135" s="140">
        <f ca="1">IF(ISNUMBER(MATCH(DATEVALUE($A135),'changes1_based on steps'!E$1:E$400,0)),E$2,)</f>
        <v>0</v>
      </c>
      <c r="F135" s="140">
        <f ca="1">IF(ISNUMBER(MATCH(DATEVALUE($A135),'changes1_based on steps'!F$1:F$400,0)),F$2,)</f>
        <v>0</v>
      </c>
      <c r="G135" s="140">
        <f ca="1">IF(ISNUMBER(MATCH(DATEVALUE($A135),'changes1_based on steps'!G$1:G$400,0)),G$2,)</f>
        <v>0</v>
      </c>
      <c r="H135" s="140">
        <f ca="1">IF(ISNUMBER(MATCH(DATEVALUE($A135),'changes1_based on steps'!H$1:H$400,0)),H$2,)</f>
        <v>0</v>
      </c>
      <c r="I135" s="140">
        <f ca="1">IF(ISNUMBER(MATCH(DATEVALUE($A135),'changes1_based on steps'!I$1:I$400,0)),I$2,)</f>
        <v>0</v>
      </c>
      <c r="J135" s="140">
        <f ca="1">IF(ISNUMBER(MATCH(DATEVALUE($A135),'changes1_based on steps'!J$1:J$400,0)),J$2,)</f>
        <v>0</v>
      </c>
      <c r="K135" s="140">
        <f ca="1">IF(ISNUMBER(MATCH(DATEVALUE($A135),'changes1_based on steps'!K$1:K$400,0)),K$2,)</f>
        <v>0</v>
      </c>
      <c r="L135" s="140">
        <f ca="1">IF(ISNUMBER(MATCH(DATEVALUE($A135),'changes1_based on steps'!L$1:L$400,0)),L$2,)</f>
        <v>0</v>
      </c>
      <c r="M135" s="140">
        <f ca="1">IF(ISNUMBER(MATCH(DATEVALUE($A135),'changes1_based on steps'!M$1:M$400,0)),M$2,)</f>
        <v>0</v>
      </c>
      <c r="N135" s="140">
        <f ca="1">IF(ISNUMBER(MATCH(DATEVALUE($A135),'changes1_based on steps'!N$1:N$400,0)),N$2,)</f>
        <v>0</v>
      </c>
      <c r="O135" s="140">
        <f ca="1">IF(ISNUMBER(MATCH(DATEVALUE($A135),'changes1_based on steps'!O$1:O$400,0)),O$2,)</f>
        <v>0</v>
      </c>
      <c r="P135" s="140">
        <f ca="1">IF(ISNUMBER(MATCH(DATEVALUE($A135),'changes1_based on steps'!P$1:P$400,0)),P$2,)</f>
        <v>0</v>
      </c>
      <c r="Q135" s="140">
        <f ca="1">IF(ISNUMBER(MATCH(DATEVALUE($A135),'changes1_based on steps'!Q$1:Q$400,0)),Q$2,)</f>
        <v>0</v>
      </c>
      <c r="R135" s="140">
        <f ca="1">IF(ISNUMBER(MATCH(DATEVALUE($A135),'changes1_based on steps'!R$1:R$400,0)),R$2,)</f>
        <v>0</v>
      </c>
      <c r="S135" s="140">
        <f ca="1">IF(ISNUMBER(MATCH(DATEVALUE($A135),'changes1_based on steps'!S$1:S$400,0)),S$2,)</f>
        <v>0</v>
      </c>
      <c r="T135" s="140">
        <f ca="1">IF(ISNUMBER(MATCH(DATEVALUE($A135),'changes1_based on steps'!T$1:T$400,0)),T$2,)</f>
        <v>0</v>
      </c>
      <c r="U135" s="140">
        <f ca="1">IF(ISNUMBER(MATCH(DATEVALUE($A135),'changes1_based on steps'!U$1:U$400,0)),U$2,)</f>
        <v>0</v>
      </c>
      <c r="V135" s="140"/>
      <c r="W135" s="140"/>
      <c r="X135" s="140"/>
      <c r="Y135" s="140"/>
      <c r="Z135" s="140"/>
      <c r="AA135" s="140"/>
      <c r="AB135" s="140"/>
      <c r="AC135" s="140"/>
      <c r="AD135" s="140"/>
      <c r="AE135" s="140"/>
      <c r="AF135" s="140"/>
      <c r="AG135" s="140"/>
      <c r="AH135" s="140"/>
      <c r="AI135" s="140"/>
      <c r="AJ135" s="140"/>
      <c r="AK135" s="140"/>
      <c r="AL135" s="140"/>
      <c r="AM135" s="140"/>
      <c r="AN135" s="140"/>
      <c r="AO135" s="140"/>
      <c r="AP135" s="140"/>
      <c r="AQ135" s="140"/>
      <c r="AR135" s="140"/>
      <c r="AS135" s="140"/>
      <c r="AT135" s="140"/>
      <c r="AU135" s="140"/>
      <c r="AV135" s="140"/>
      <c r="AW135" s="140"/>
      <c r="AX135" s="140"/>
      <c r="AY135" s="140"/>
      <c r="AZ135" s="140"/>
      <c r="BA135" s="140"/>
      <c r="BB135" s="140"/>
      <c r="BC135" s="140"/>
      <c r="BD135" s="140"/>
      <c r="BE135" s="140"/>
      <c r="BF135" s="140"/>
      <c r="BG135" s="140"/>
      <c r="BH135" s="140"/>
      <c r="BI135" s="140"/>
      <c r="BJ135" s="140"/>
      <c r="BK135" s="140"/>
      <c r="BL135" s="140"/>
      <c r="BM135" s="140"/>
      <c r="BN135" s="140"/>
      <c r="BO135" s="140"/>
      <c r="BP135" s="140"/>
      <c r="BQ135" s="140"/>
      <c r="BR135" s="140"/>
      <c r="BS135" s="140"/>
      <c r="BT135" s="140"/>
      <c r="BU135" s="140"/>
      <c r="BV135" s="140"/>
      <c r="BW135" s="140"/>
      <c r="BX135" s="140"/>
      <c r="BY135" s="140"/>
      <c r="BZ135" s="140"/>
      <c r="CA135" s="140"/>
      <c r="CB135" s="140"/>
      <c r="CC135" s="140"/>
      <c r="CD135" s="140"/>
      <c r="CE135" s="140"/>
      <c r="CF135" s="140"/>
      <c r="CG135" s="140"/>
      <c r="CH135" s="140"/>
      <c r="CI135" s="140"/>
      <c r="CJ135" s="140"/>
      <c r="CK135" s="140"/>
      <c r="CL135" s="140"/>
      <c r="CM135" s="140"/>
      <c r="CN135" s="140"/>
      <c r="CO135" s="140"/>
      <c r="CP135" s="140"/>
      <c r="CQ135" s="140"/>
      <c r="CR135" s="140"/>
      <c r="CS135" s="140"/>
      <c r="CT135" s="140"/>
      <c r="CU135" s="140"/>
      <c r="CV135" s="140"/>
      <c r="CW135" s="140"/>
    </row>
    <row r="136" spans="1:101" x14ac:dyDescent="0.2">
      <c r="A136" s="29" t="str">
        <f t="shared" ca="1" si="2"/>
        <v>2025-08-07</v>
      </c>
      <c r="B136" s="140">
        <f ca="1">IF(ISNUMBER(MATCH(DATEVALUE($A136),'changes1_based on steps'!B$1:B$400,0)),B$2,)</f>
        <v>0</v>
      </c>
      <c r="C136" s="140">
        <f ca="1">IF(ISNUMBER(MATCH(DATEVALUE($A136),'changes1_based on steps'!C$1:C$400,0)),C$2,)</f>
        <v>0</v>
      </c>
      <c r="D136" s="140">
        <f ca="1">IF(ISNUMBER(MATCH(DATEVALUE($A136),'changes1_based on steps'!D$1:D$400,0)),D$2,)</f>
        <v>0</v>
      </c>
      <c r="E136" s="140">
        <f ca="1">IF(ISNUMBER(MATCH(DATEVALUE($A136),'changes1_based on steps'!E$1:E$400,0)),E$2,)</f>
        <v>0</v>
      </c>
      <c r="F136" s="140">
        <f ca="1">IF(ISNUMBER(MATCH(DATEVALUE($A136),'changes1_based on steps'!F$1:F$400,0)),F$2,)</f>
        <v>0</v>
      </c>
      <c r="G136" s="140">
        <f ca="1">IF(ISNUMBER(MATCH(DATEVALUE($A136),'changes1_based on steps'!G$1:G$400,0)),G$2,)</f>
        <v>0</v>
      </c>
      <c r="H136" s="140">
        <f ca="1">IF(ISNUMBER(MATCH(DATEVALUE($A136),'changes1_based on steps'!H$1:H$400,0)),H$2,)</f>
        <v>0</v>
      </c>
      <c r="I136" s="140">
        <f ca="1">IF(ISNUMBER(MATCH(DATEVALUE($A136),'changes1_based on steps'!I$1:I$400,0)),I$2,)</f>
        <v>0</v>
      </c>
      <c r="J136" s="140">
        <f ca="1">IF(ISNUMBER(MATCH(DATEVALUE($A136),'changes1_based on steps'!J$1:J$400,0)),J$2,)</f>
        <v>0</v>
      </c>
      <c r="K136" s="140">
        <f ca="1">IF(ISNUMBER(MATCH(DATEVALUE($A136),'changes1_based on steps'!K$1:K$400,0)),K$2,)</f>
        <v>0</v>
      </c>
      <c r="L136" s="140">
        <f ca="1">IF(ISNUMBER(MATCH(DATEVALUE($A136),'changes1_based on steps'!L$1:L$400,0)),L$2,)</f>
        <v>0</v>
      </c>
      <c r="M136" s="140">
        <f ca="1">IF(ISNUMBER(MATCH(DATEVALUE($A136),'changes1_based on steps'!M$1:M$400,0)),M$2,)</f>
        <v>0</v>
      </c>
      <c r="N136" s="140">
        <f ca="1">IF(ISNUMBER(MATCH(DATEVALUE($A136),'changes1_based on steps'!N$1:N$400,0)),N$2,)</f>
        <v>0</v>
      </c>
      <c r="O136" s="140">
        <f ca="1">IF(ISNUMBER(MATCH(DATEVALUE($A136),'changes1_based on steps'!O$1:O$400,0)),O$2,)</f>
        <v>0</v>
      </c>
      <c r="P136" s="140">
        <f ca="1">IF(ISNUMBER(MATCH(DATEVALUE($A136),'changes1_based on steps'!P$1:P$400,0)),P$2,)</f>
        <v>0</v>
      </c>
      <c r="Q136" s="140">
        <f ca="1">IF(ISNUMBER(MATCH(DATEVALUE($A136),'changes1_based on steps'!Q$1:Q$400,0)),Q$2,)</f>
        <v>0</v>
      </c>
      <c r="R136" s="140">
        <f ca="1">IF(ISNUMBER(MATCH(DATEVALUE($A136),'changes1_based on steps'!R$1:R$400,0)),R$2,)</f>
        <v>0</v>
      </c>
      <c r="S136" s="140">
        <f ca="1">IF(ISNUMBER(MATCH(DATEVALUE($A136),'changes1_based on steps'!S$1:S$400,0)),S$2,)</f>
        <v>0</v>
      </c>
      <c r="T136" s="140">
        <f ca="1">IF(ISNUMBER(MATCH(DATEVALUE($A136),'changes1_based on steps'!T$1:T$400,0)),T$2,)</f>
        <v>0</v>
      </c>
      <c r="U136" s="140">
        <f ca="1">IF(ISNUMBER(MATCH(DATEVALUE($A136),'changes1_based on steps'!U$1:U$400,0)),U$2,)</f>
        <v>0</v>
      </c>
      <c r="V136" s="140"/>
      <c r="W136" s="140"/>
      <c r="X136" s="140"/>
      <c r="Y136" s="140"/>
      <c r="Z136" s="140"/>
      <c r="AA136" s="140"/>
      <c r="AB136" s="140"/>
      <c r="AC136" s="140"/>
      <c r="AD136" s="140"/>
      <c r="AE136" s="140"/>
      <c r="AF136" s="140"/>
      <c r="AG136" s="140"/>
      <c r="AH136" s="140"/>
      <c r="AI136" s="140"/>
      <c r="AJ136" s="140"/>
      <c r="AK136" s="140"/>
      <c r="AL136" s="140"/>
      <c r="AM136" s="140"/>
      <c r="AN136" s="140"/>
      <c r="AO136" s="140"/>
      <c r="AP136" s="140"/>
      <c r="AQ136" s="140"/>
      <c r="AR136" s="140"/>
      <c r="AS136" s="140"/>
      <c r="AT136" s="140"/>
      <c r="AU136" s="140"/>
      <c r="AV136" s="140"/>
      <c r="AW136" s="140"/>
      <c r="AX136" s="140"/>
      <c r="AY136" s="140"/>
      <c r="AZ136" s="140"/>
      <c r="BA136" s="140"/>
      <c r="BB136" s="140"/>
      <c r="BC136" s="140"/>
      <c r="BD136" s="140"/>
      <c r="BE136" s="140"/>
      <c r="BF136" s="140"/>
      <c r="BG136" s="140"/>
      <c r="BH136" s="140"/>
      <c r="BI136" s="140"/>
      <c r="BJ136" s="140"/>
      <c r="BK136" s="140"/>
      <c r="BL136" s="140"/>
      <c r="BM136" s="140"/>
      <c r="BN136" s="140"/>
      <c r="BO136" s="140"/>
      <c r="BP136" s="140"/>
      <c r="BQ136" s="140"/>
      <c r="BR136" s="140"/>
      <c r="BS136" s="140"/>
      <c r="BT136" s="140"/>
      <c r="BU136" s="140"/>
      <c r="BV136" s="140"/>
      <c r="BW136" s="140"/>
      <c r="BX136" s="140"/>
      <c r="BY136" s="140"/>
      <c r="BZ136" s="140"/>
      <c r="CA136" s="140"/>
      <c r="CB136" s="140"/>
      <c r="CC136" s="140"/>
      <c r="CD136" s="140"/>
      <c r="CE136" s="140"/>
      <c r="CF136" s="140"/>
      <c r="CG136" s="140"/>
      <c r="CH136" s="140"/>
      <c r="CI136" s="140"/>
      <c r="CJ136" s="140"/>
      <c r="CK136" s="140"/>
      <c r="CL136" s="140"/>
      <c r="CM136" s="140"/>
      <c r="CN136" s="140"/>
      <c r="CO136" s="140"/>
      <c r="CP136" s="140"/>
      <c r="CQ136" s="140"/>
      <c r="CR136" s="140"/>
      <c r="CS136" s="140"/>
      <c r="CT136" s="140"/>
      <c r="CU136" s="140"/>
      <c r="CV136" s="140"/>
      <c r="CW136" s="140"/>
    </row>
    <row r="137" spans="1:101" x14ac:dyDescent="0.2">
      <c r="A137" s="29" t="str">
        <f t="shared" ca="1" si="2"/>
        <v>2025-08-08</v>
      </c>
      <c r="B137" s="140">
        <f ca="1">IF(ISNUMBER(MATCH(DATEVALUE($A137),'changes1_based on steps'!B$1:B$400,0)),B$2,)</f>
        <v>0</v>
      </c>
      <c r="C137" s="140">
        <f ca="1">IF(ISNUMBER(MATCH(DATEVALUE($A137),'changes1_based on steps'!C$1:C$400,0)),C$2,)</f>
        <v>0</v>
      </c>
      <c r="D137" s="140">
        <f ca="1">IF(ISNUMBER(MATCH(DATEVALUE($A137),'changes1_based on steps'!D$1:D$400,0)),D$2,)</f>
        <v>0</v>
      </c>
      <c r="E137" s="140">
        <f ca="1">IF(ISNUMBER(MATCH(DATEVALUE($A137),'changes1_based on steps'!E$1:E$400,0)),E$2,)</f>
        <v>0</v>
      </c>
      <c r="F137" s="140">
        <f ca="1">IF(ISNUMBER(MATCH(DATEVALUE($A137),'changes1_based on steps'!F$1:F$400,0)),F$2,)</f>
        <v>0</v>
      </c>
      <c r="G137" s="140">
        <f ca="1">IF(ISNUMBER(MATCH(DATEVALUE($A137),'changes1_based on steps'!G$1:G$400,0)),G$2,)</f>
        <v>0</v>
      </c>
      <c r="H137" s="140">
        <f ca="1">IF(ISNUMBER(MATCH(DATEVALUE($A137),'changes1_based on steps'!H$1:H$400,0)),H$2,)</f>
        <v>0</v>
      </c>
      <c r="I137" s="140">
        <f ca="1">IF(ISNUMBER(MATCH(DATEVALUE($A137),'changes1_based on steps'!I$1:I$400,0)),I$2,)</f>
        <v>0</v>
      </c>
      <c r="J137" s="140">
        <f ca="1">IF(ISNUMBER(MATCH(DATEVALUE($A137),'changes1_based on steps'!J$1:J$400,0)),J$2,)</f>
        <v>0</v>
      </c>
      <c r="K137" s="140">
        <f ca="1">IF(ISNUMBER(MATCH(DATEVALUE($A137),'changes1_based on steps'!K$1:K$400,0)),K$2,)</f>
        <v>0</v>
      </c>
      <c r="L137" s="140">
        <f ca="1">IF(ISNUMBER(MATCH(DATEVALUE($A137),'changes1_based on steps'!L$1:L$400,0)),L$2,)</f>
        <v>0</v>
      </c>
      <c r="M137" s="140">
        <f ca="1">IF(ISNUMBER(MATCH(DATEVALUE($A137),'changes1_based on steps'!M$1:M$400,0)),M$2,)</f>
        <v>0</v>
      </c>
      <c r="N137" s="140">
        <f ca="1">IF(ISNUMBER(MATCH(DATEVALUE($A137),'changes1_based on steps'!N$1:N$400,0)),N$2,)</f>
        <v>0</v>
      </c>
      <c r="O137" s="140">
        <f ca="1">IF(ISNUMBER(MATCH(DATEVALUE($A137),'changes1_based on steps'!O$1:O$400,0)),O$2,)</f>
        <v>0</v>
      </c>
      <c r="P137" s="140">
        <f ca="1">IF(ISNUMBER(MATCH(DATEVALUE($A137),'changes1_based on steps'!P$1:P$400,0)),P$2,)</f>
        <v>0</v>
      </c>
      <c r="Q137" s="140">
        <f ca="1">IF(ISNUMBER(MATCH(DATEVALUE($A137),'changes1_based on steps'!Q$1:Q$400,0)),Q$2,)</f>
        <v>0</v>
      </c>
      <c r="R137" s="140">
        <f ca="1">IF(ISNUMBER(MATCH(DATEVALUE($A137),'changes1_based on steps'!R$1:R$400,0)),R$2,)</f>
        <v>0</v>
      </c>
      <c r="S137" s="140">
        <f ca="1">IF(ISNUMBER(MATCH(DATEVALUE($A137),'changes1_based on steps'!S$1:S$400,0)),S$2,)</f>
        <v>0</v>
      </c>
      <c r="T137" s="140">
        <f ca="1">IF(ISNUMBER(MATCH(DATEVALUE($A137),'changes1_based on steps'!T$1:T$400,0)),T$2,)</f>
        <v>0</v>
      </c>
      <c r="U137" s="140">
        <f ca="1">IF(ISNUMBER(MATCH(DATEVALUE($A137),'changes1_based on steps'!U$1:U$400,0)),U$2,)</f>
        <v>0</v>
      </c>
      <c r="V137" s="140"/>
      <c r="W137" s="140"/>
      <c r="X137" s="140"/>
      <c r="Y137" s="140"/>
      <c r="Z137" s="140"/>
      <c r="AA137" s="140"/>
      <c r="AB137" s="140"/>
      <c r="AC137" s="140"/>
      <c r="AD137" s="140"/>
      <c r="AE137" s="140"/>
      <c r="AF137" s="140"/>
      <c r="AG137" s="140"/>
      <c r="AH137" s="140"/>
      <c r="AI137" s="140"/>
      <c r="AJ137" s="140"/>
      <c r="AK137" s="140"/>
      <c r="AL137" s="140"/>
      <c r="AM137" s="140"/>
      <c r="AN137" s="140"/>
      <c r="AO137" s="140"/>
      <c r="AP137" s="140"/>
      <c r="AQ137" s="140"/>
      <c r="AR137" s="140"/>
      <c r="AS137" s="140"/>
      <c r="AT137" s="140"/>
      <c r="AU137" s="140"/>
      <c r="AV137" s="140"/>
      <c r="AW137" s="140"/>
      <c r="AX137" s="140"/>
      <c r="AY137" s="140"/>
      <c r="AZ137" s="140"/>
      <c r="BA137" s="140"/>
      <c r="BB137" s="140"/>
      <c r="BC137" s="140"/>
      <c r="BD137" s="140"/>
      <c r="BE137" s="140"/>
      <c r="BF137" s="140"/>
      <c r="BG137" s="140"/>
      <c r="BH137" s="140"/>
      <c r="BI137" s="140"/>
      <c r="BJ137" s="140"/>
      <c r="BK137" s="140"/>
      <c r="BL137" s="140"/>
      <c r="BM137" s="140"/>
      <c r="BN137" s="140"/>
      <c r="BO137" s="140"/>
      <c r="BP137" s="140"/>
      <c r="BQ137" s="140"/>
      <c r="BR137" s="140"/>
      <c r="BS137" s="140"/>
      <c r="BT137" s="140"/>
      <c r="BU137" s="140"/>
      <c r="BV137" s="140"/>
      <c r="BW137" s="140"/>
      <c r="BX137" s="140"/>
      <c r="BY137" s="140"/>
      <c r="BZ137" s="140"/>
      <c r="CA137" s="140"/>
      <c r="CB137" s="140"/>
      <c r="CC137" s="140"/>
      <c r="CD137" s="140"/>
      <c r="CE137" s="140"/>
      <c r="CF137" s="140"/>
      <c r="CG137" s="140"/>
      <c r="CH137" s="140"/>
      <c r="CI137" s="140"/>
      <c r="CJ137" s="140"/>
      <c r="CK137" s="140"/>
      <c r="CL137" s="140"/>
      <c r="CM137" s="140"/>
      <c r="CN137" s="140"/>
      <c r="CO137" s="140"/>
      <c r="CP137" s="140"/>
      <c r="CQ137" s="140"/>
      <c r="CR137" s="140"/>
      <c r="CS137" s="140"/>
      <c r="CT137" s="140"/>
      <c r="CU137" s="140"/>
      <c r="CV137" s="140"/>
      <c r="CW137" s="140"/>
    </row>
    <row r="138" spans="1:101" x14ac:dyDescent="0.2">
      <c r="A138" s="29" t="str">
        <f t="shared" ca="1" si="2"/>
        <v>2025-08-09</v>
      </c>
      <c r="B138" s="140">
        <f ca="1">IF(ISNUMBER(MATCH(DATEVALUE($A138),'changes1_based on steps'!B$1:B$400,0)),B$2,)</f>
        <v>0</v>
      </c>
      <c r="C138" s="140">
        <f ca="1">IF(ISNUMBER(MATCH(DATEVALUE($A138),'changes1_based on steps'!C$1:C$400,0)),C$2,)</f>
        <v>0</v>
      </c>
      <c r="D138" s="140">
        <f ca="1">IF(ISNUMBER(MATCH(DATEVALUE($A138),'changes1_based on steps'!D$1:D$400,0)),D$2,)</f>
        <v>0</v>
      </c>
      <c r="E138" s="140">
        <f ca="1">IF(ISNUMBER(MATCH(DATEVALUE($A138),'changes1_based on steps'!E$1:E$400,0)),E$2,)</f>
        <v>0</v>
      </c>
      <c r="F138" s="140">
        <f ca="1">IF(ISNUMBER(MATCH(DATEVALUE($A138),'changes1_based on steps'!F$1:F$400,0)),F$2,)</f>
        <v>0</v>
      </c>
      <c r="G138" s="140">
        <f ca="1">IF(ISNUMBER(MATCH(DATEVALUE($A138),'changes1_based on steps'!G$1:G$400,0)),G$2,)</f>
        <v>0</v>
      </c>
      <c r="H138" s="140">
        <f ca="1">IF(ISNUMBER(MATCH(DATEVALUE($A138),'changes1_based on steps'!H$1:H$400,0)),H$2,)</f>
        <v>0</v>
      </c>
      <c r="I138" s="140">
        <f ca="1">IF(ISNUMBER(MATCH(DATEVALUE($A138),'changes1_based on steps'!I$1:I$400,0)),I$2,)</f>
        <v>0</v>
      </c>
      <c r="J138" s="140">
        <f ca="1">IF(ISNUMBER(MATCH(DATEVALUE($A138),'changes1_based on steps'!J$1:J$400,0)),J$2,)</f>
        <v>0</v>
      </c>
      <c r="K138" s="140">
        <f ca="1">IF(ISNUMBER(MATCH(DATEVALUE($A138),'changes1_based on steps'!K$1:K$400,0)),K$2,)</f>
        <v>0</v>
      </c>
      <c r="L138" s="140">
        <f ca="1">IF(ISNUMBER(MATCH(DATEVALUE($A138),'changes1_based on steps'!L$1:L$400,0)),L$2,)</f>
        <v>0</v>
      </c>
      <c r="M138" s="140">
        <f ca="1">IF(ISNUMBER(MATCH(DATEVALUE($A138),'changes1_based on steps'!M$1:M$400,0)),M$2,)</f>
        <v>0</v>
      </c>
      <c r="N138" s="140">
        <f ca="1">IF(ISNUMBER(MATCH(DATEVALUE($A138),'changes1_based on steps'!N$1:N$400,0)),N$2,)</f>
        <v>0</v>
      </c>
      <c r="O138" s="140">
        <f ca="1">IF(ISNUMBER(MATCH(DATEVALUE($A138),'changes1_based on steps'!O$1:O$400,0)),O$2,)</f>
        <v>0</v>
      </c>
      <c r="P138" s="140">
        <f ca="1">IF(ISNUMBER(MATCH(DATEVALUE($A138),'changes1_based on steps'!P$1:P$400,0)),P$2,)</f>
        <v>0</v>
      </c>
      <c r="Q138" s="140">
        <f ca="1">IF(ISNUMBER(MATCH(DATEVALUE($A138),'changes1_based on steps'!Q$1:Q$400,0)),Q$2,)</f>
        <v>0</v>
      </c>
      <c r="R138" s="140">
        <f ca="1">IF(ISNUMBER(MATCH(DATEVALUE($A138),'changes1_based on steps'!R$1:R$400,0)),R$2,)</f>
        <v>0</v>
      </c>
      <c r="S138" s="140">
        <f ca="1">IF(ISNUMBER(MATCH(DATEVALUE($A138),'changes1_based on steps'!S$1:S$400,0)),S$2,)</f>
        <v>0</v>
      </c>
      <c r="T138" s="140">
        <f ca="1">IF(ISNUMBER(MATCH(DATEVALUE($A138),'changes1_based on steps'!T$1:T$400,0)),T$2,)</f>
        <v>0</v>
      </c>
      <c r="U138" s="140">
        <f ca="1">IF(ISNUMBER(MATCH(DATEVALUE($A138),'changes1_based on steps'!U$1:U$400,0)),U$2,)</f>
        <v>0</v>
      </c>
      <c r="V138" s="140"/>
      <c r="W138" s="140"/>
      <c r="X138" s="140"/>
      <c r="Y138" s="140"/>
      <c r="Z138" s="140"/>
      <c r="AA138" s="140"/>
      <c r="AB138" s="140"/>
      <c r="AC138" s="140"/>
      <c r="AD138" s="140"/>
      <c r="AE138" s="140"/>
      <c r="AF138" s="140"/>
      <c r="AG138" s="140"/>
      <c r="AH138" s="140"/>
      <c r="AI138" s="140"/>
      <c r="AJ138" s="140"/>
      <c r="AK138" s="140"/>
      <c r="AL138" s="140"/>
      <c r="AM138" s="140"/>
      <c r="AN138" s="140"/>
      <c r="AO138" s="140"/>
      <c r="AP138" s="140"/>
      <c r="AQ138" s="140"/>
      <c r="AR138" s="140"/>
      <c r="AS138" s="140"/>
      <c r="AT138" s="140"/>
      <c r="AU138" s="140"/>
      <c r="AV138" s="140"/>
      <c r="AW138" s="140"/>
      <c r="AX138" s="140"/>
      <c r="AY138" s="140"/>
      <c r="AZ138" s="140"/>
      <c r="BA138" s="140"/>
      <c r="BB138" s="140"/>
      <c r="BC138" s="140"/>
      <c r="BD138" s="140"/>
      <c r="BE138" s="140"/>
      <c r="BF138" s="140"/>
      <c r="BG138" s="140"/>
      <c r="BH138" s="140"/>
      <c r="BI138" s="140"/>
      <c r="BJ138" s="140"/>
      <c r="BK138" s="140"/>
      <c r="BL138" s="140"/>
      <c r="BM138" s="140"/>
      <c r="BN138" s="140"/>
      <c r="BO138" s="140"/>
      <c r="BP138" s="140"/>
      <c r="BQ138" s="140"/>
      <c r="BR138" s="140"/>
      <c r="BS138" s="140"/>
      <c r="BT138" s="140"/>
      <c r="BU138" s="140"/>
      <c r="BV138" s="140"/>
      <c r="BW138" s="140"/>
      <c r="BX138" s="140"/>
      <c r="BY138" s="140"/>
      <c r="BZ138" s="140"/>
      <c r="CA138" s="140"/>
      <c r="CB138" s="140"/>
      <c r="CC138" s="140"/>
      <c r="CD138" s="140"/>
      <c r="CE138" s="140"/>
      <c r="CF138" s="140"/>
      <c r="CG138" s="140"/>
      <c r="CH138" s="140"/>
      <c r="CI138" s="140"/>
      <c r="CJ138" s="140"/>
      <c r="CK138" s="140"/>
      <c r="CL138" s="140"/>
      <c r="CM138" s="140"/>
      <c r="CN138" s="140"/>
      <c r="CO138" s="140"/>
      <c r="CP138" s="140"/>
      <c r="CQ138" s="140"/>
      <c r="CR138" s="140"/>
      <c r="CS138" s="140"/>
      <c r="CT138" s="140"/>
      <c r="CU138" s="140"/>
      <c r="CV138" s="140"/>
      <c r="CW138" s="140"/>
    </row>
    <row r="139" spans="1:101" x14ac:dyDescent="0.2">
      <c r="A139" s="29" t="str">
        <f t="shared" ca="1" si="2"/>
        <v>2025-08-10</v>
      </c>
      <c r="B139" s="140">
        <f ca="1">IF(ISNUMBER(MATCH(DATEVALUE($A139),'changes1_based on steps'!B$1:B$400,0)),B$2,)</f>
        <v>0</v>
      </c>
      <c r="C139" s="140">
        <f ca="1">IF(ISNUMBER(MATCH(DATEVALUE($A139),'changes1_based on steps'!C$1:C$400,0)),C$2,)</f>
        <v>0</v>
      </c>
      <c r="D139" s="140">
        <f ca="1">IF(ISNUMBER(MATCH(DATEVALUE($A139),'changes1_based on steps'!D$1:D$400,0)),D$2,)</f>
        <v>0</v>
      </c>
      <c r="E139" s="140">
        <f ca="1">IF(ISNUMBER(MATCH(DATEVALUE($A139),'changes1_based on steps'!E$1:E$400,0)),E$2,)</f>
        <v>0</v>
      </c>
      <c r="F139" s="140">
        <f ca="1">IF(ISNUMBER(MATCH(DATEVALUE($A139),'changes1_based on steps'!F$1:F$400,0)),F$2,)</f>
        <v>0</v>
      </c>
      <c r="G139" s="140">
        <f ca="1">IF(ISNUMBER(MATCH(DATEVALUE($A139),'changes1_based on steps'!G$1:G$400,0)),G$2,)</f>
        <v>0</v>
      </c>
      <c r="H139" s="140">
        <f ca="1">IF(ISNUMBER(MATCH(DATEVALUE($A139),'changes1_based on steps'!H$1:H$400,0)),H$2,)</f>
        <v>0</v>
      </c>
      <c r="I139" s="140">
        <f ca="1">IF(ISNUMBER(MATCH(DATEVALUE($A139),'changes1_based on steps'!I$1:I$400,0)),I$2,)</f>
        <v>0</v>
      </c>
      <c r="J139" s="140">
        <f ca="1">IF(ISNUMBER(MATCH(DATEVALUE($A139),'changes1_based on steps'!J$1:J$400,0)),J$2,)</f>
        <v>0</v>
      </c>
      <c r="K139" s="140">
        <f ca="1">IF(ISNUMBER(MATCH(DATEVALUE($A139),'changes1_based on steps'!K$1:K$400,0)),K$2,)</f>
        <v>0</v>
      </c>
      <c r="L139" s="140">
        <f ca="1">IF(ISNUMBER(MATCH(DATEVALUE($A139),'changes1_based on steps'!L$1:L$400,0)),L$2,)</f>
        <v>0</v>
      </c>
      <c r="M139" s="140">
        <f ca="1">IF(ISNUMBER(MATCH(DATEVALUE($A139),'changes1_based on steps'!M$1:M$400,0)),M$2,)</f>
        <v>0</v>
      </c>
      <c r="N139" s="140">
        <f ca="1">IF(ISNUMBER(MATCH(DATEVALUE($A139),'changes1_based on steps'!N$1:N$400,0)),N$2,)</f>
        <v>0</v>
      </c>
      <c r="O139" s="140">
        <f ca="1">IF(ISNUMBER(MATCH(DATEVALUE($A139),'changes1_based on steps'!O$1:O$400,0)),O$2,)</f>
        <v>0</v>
      </c>
      <c r="P139" s="140">
        <f ca="1">IF(ISNUMBER(MATCH(DATEVALUE($A139),'changes1_based on steps'!P$1:P$400,0)),P$2,)</f>
        <v>0</v>
      </c>
      <c r="Q139" s="140">
        <f ca="1">IF(ISNUMBER(MATCH(DATEVALUE($A139),'changes1_based on steps'!Q$1:Q$400,0)),Q$2,)</f>
        <v>0</v>
      </c>
      <c r="R139" s="140">
        <f ca="1">IF(ISNUMBER(MATCH(DATEVALUE($A139),'changes1_based on steps'!R$1:R$400,0)),R$2,)</f>
        <v>0</v>
      </c>
      <c r="S139" s="140">
        <f ca="1">IF(ISNUMBER(MATCH(DATEVALUE($A139),'changes1_based on steps'!S$1:S$400,0)),S$2,)</f>
        <v>0</v>
      </c>
      <c r="T139" s="140">
        <f ca="1">IF(ISNUMBER(MATCH(DATEVALUE($A139),'changes1_based on steps'!T$1:T$400,0)),T$2,)</f>
        <v>0</v>
      </c>
      <c r="U139" s="140">
        <f ca="1">IF(ISNUMBER(MATCH(DATEVALUE($A139),'changes1_based on steps'!U$1:U$400,0)),U$2,)</f>
        <v>0</v>
      </c>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c r="BC139" s="140"/>
      <c r="BD139" s="140"/>
      <c r="BE139" s="140"/>
      <c r="BF139" s="140"/>
      <c r="BG139" s="140"/>
      <c r="BH139" s="140"/>
      <c r="BI139" s="140"/>
      <c r="BJ139" s="140"/>
      <c r="BK139" s="140"/>
      <c r="BL139" s="140"/>
      <c r="BM139" s="140"/>
      <c r="BN139" s="140"/>
      <c r="BO139" s="140"/>
      <c r="BP139" s="140"/>
      <c r="BQ139" s="140"/>
      <c r="BR139" s="140"/>
      <c r="BS139" s="140"/>
      <c r="BT139" s="140"/>
      <c r="BU139" s="140"/>
      <c r="BV139" s="140"/>
      <c r="BW139" s="140"/>
      <c r="BX139" s="140"/>
      <c r="BY139" s="140"/>
      <c r="BZ139" s="140"/>
      <c r="CA139" s="140"/>
      <c r="CB139" s="140"/>
      <c r="CC139" s="140"/>
      <c r="CD139" s="140"/>
      <c r="CE139" s="140"/>
      <c r="CF139" s="140"/>
      <c r="CG139" s="140"/>
      <c r="CH139" s="140"/>
      <c r="CI139" s="140"/>
      <c r="CJ139" s="140"/>
      <c r="CK139" s="140"/>
      <c r="CL139" s="140"/>
      <c r="CM139" s="140"/>
      <c r="CN139" s="140"/>
      <c r="CO139" s="140"/>
      <c r="CP139" s="140"/>
      <c r="CQ139" s="140"/>
      <c r="CR139" s="140"/>
      <c r="CS139" s="140"/>
      <c r="CT139" s="140"/>
      <c r="CU139" s="140"/>
      <c r="CV139" s="140"/>
      <c r="CW139" s="140"/>
    </row>
    <row r="140" spans="1:101" x14ac:dyDescent="0.2">
      <c r="A140" s="29" t="str">
        <f t="shared" ca="1" si="2"/>
        <v>2025-08-11</v>
      </c>
      <c r="B140" s="140">
        <f ca="1">IF(ISNUMBER(MATCH(DATEVALUE($A140),'changes1_based on steps'!B$1:B$400,0)),B$2,)</f>
        <v>0</v>
      </c>
      <c r="C140" s="140">
        <f ca="1">IF(ISNUMBER(MATCH(DATEVALUE($A140),'changes1_based on steps'!C$1:C$400,0)),C$2,)</f>
        <v>0</v>
      </c>
      <c r="D140" s="140">
        <f ca="1">IF(ISNUMBER(MATCH(DATEVALUE($A140),'changes1_based on steps'!D$1:D$400,0)),D$2,)</f>
        <v>0</v>
      </c>
      <c r="E140" s="140">
        <f ca="1">IF(ISNUMBER(MATCH(DATEVALUE($A140),'changes1_based on steps'!E$1:E$400,0)),E$2,)</f>
        <v>0</v>
      </c>
      <c r="F140" s="140">
        <f ca="1">IF(ISNUMBER(MATCH(DATEVALUE($A140),'changes1_based on steps'!F$1:F$400,0)),F$2,)</f>
        <v>0</v>
      </c>
      <c r="G140" s="140">
        <f ca="1">IF(ISNUMBER(MATCH(DATEVALUE($A140),'changes1_based on steps'!G$1:G$400,0)),G$2,)</f>
        <v>0</v>
      </c>
      <c r="H140" s="140">
        <f ca="1">IF(ISNUMBER(MATCH(DATEVALUE($A140),'changes1_based on steps'!H$1:H$400,0)),H$2,)</f>
        <v>0</v>
      </c>
      <c r="I140" s="140">
        <f ca="1">IF(ISNUMBER(MATCH(DATEVALUE($A140),'changes1_based on steps'!I$1:I$400,0)),I$2,)</f>
        <v>0</v>
      </c>
      <c r="J140" s="140">
        <f ca="1">IF(ISNUMBER(MATCH(DATEVALUE($A140),'changes1_based on steps'!J$1:J$400,0)),J$2,)</f>
        <v>0</v>
      </c>
      <c r="K140" s="140">
        <f ca="1">IF(ISNUMBER(MATCH(DATEVALUE($A140),'changes1_based on steps'!K$1:K$400,0)),K$2,)</f>
        <v>0</v>
      </c>
      <c r="L140" s="140">
        <f ca="1">IF(ISNUMBER(MATCH(DATEVALUE($A140),'changes1_based on steps'!L$1:L$400,0)),L$2,)</f>
        <v>0</v>
      </c>
      <c r="M140" s="140">
        <f ca="1">IF(ISNUMBER(MATCH(DATEVALUE($A140),'changes1_based on steps'!M$1:M$400,0)),M$2,)</f>
        <v>0</v>
      </c>
      <c r="N140" s="140">
        <f ca="1">IF(ISNUMBER(MATCH(DATEVALUE($A140),'changes1_based on steps'!N$1:N$400,0)),N$2,)</f>
        <v>0</v>
      </c>
      <c r="O140" s="140">
        <f ca="1">IF(ISNUMBER(MATCH(DATEVALUE($A140),'changes1_based on steps'!O$1:O$400,0)),O$2,)</f>
        <v>0</v>
      </c>
      <c r="P140" s="140">
        <f ca="1">IF(ISNUMBER(MATCH(DATEVALUE($A140),'changes1_based on steps'!P$1:P$400,0)),P$2,)</f>
        <v>0</v>
      </c>
      <c r="Q140" s="140">
        <f ca="1">IF(ISNUMBER(MATCH(DATEVALUE($A140),'changes1_based on steps'!Q$1:Q$400,0)),Q$2,)</f>
        <v>0</v>
      </c>
      <c r="R140" s="140">
        <f ca="1">IF(ISNUMBER(MATCH(DATEVALUE($A140),'changes1_based on steps'!R$1:R$400,0)),R$2,)</f>
        <v>0</v>
      </c>
      <c r="S140" s="140">
        <f ca="1">IF(ISNUMBER(MATCH(DATEVALUE($A140),'changes1_based on steps'!S$1:S$400,0)),S$2,)</f>
        <v>0</v>
      </c>
      <c r="T140" s="140">
        <f ca="1">IF(ISNUMBER(MATCH(DATEVALUE($A140),'changes1_based on steps'!T$1:T$400,0)),T$2,)</f>
        <v>0</v>
      </c>
      <c r="U140" s="140">
        <f ca="1">IF(ISNUMBER(MATCH(DATEVALUE($A140),'changes1_based on steps'!U$1:U$400,0)),U$2,)</f>
        <v>0</v>
      </c>
      <c r="V140" s="140"/>
      <c r="W140" s="140"/>
      <c r="X140" s="140"/>
      <c r="Y140" s="140"/>
      <c r="Z140" s="140"/>
      <c r="AA140" s="140"/>
      <c r="AB140" s="140"/>
      <c r="AC140" s="140"/>
      <c r="AD140" s="140"/>
      <c r="AE140" s="140"/>
      <c r="AF140" s="140"/>
      <c r="AG140" s="140"/>
      <c r="AH140" s="140"/>
      <c r="AI140" s="140"/>
      <c r="AJ140" s="140"/>
      <c r="AK140" s="140"/>
      <c r="AL140" s="140"/>
      <c r="AM140" s="140"/>
      <c r="AN140" s="140"/>
      <c r="AO140" s="140"/>
      <c r="AP140" s="140"/>
      <c r="AQ140" s="140"/>
      <c r="AR140" s="140"/>
      <c r="AS140" s="140"/>
      <c r="AT140" s="140"/>
      <c r="AU140" s="140"/>
      <c r="AV140" s="140"/>
      <c r="AW140" s="140"/>
      <c r="AX140" s="140"/>
      <c r="AY140" s="140"/>
      <c r="AZ140" s="140"/>
      <c r="BA140" s="140"/>
      <c r="BB140" s="140"/>
      <c r="BC140" s="140"/>
      <c r="BD140" s="140"/>
      <c r="BE140" s="140"/>
      <c r="BF140" s="140"/>
      <c r="BG140" s="140"/>
      <c r="BH140" s="140"/>
      <c r="BI140" s="140"/>
      <c r="BJ140" s="140"/>
      <c r="BK140" s="140"/>
      <c r="BL140" s="140"/>
      <c r="BM140" s="140"/>
      <c r="BN140" s="140"/>
      <c r="BO140" s="140"/>
      <c r="BP140" s="140"/>
      <c r="BQ140" s="140"/>
      <c r="BR140" s="140"/>
      <c r="BS140" s="140"/>
      <c r="BT140" s="140"/>
      <c r="BU140" s="140"/>
      <c r="BV140" s="140"/>
      <c r="BW140" s="140"/>
      <c r="BX140" s="140"/>
      <c r="BY140" s="140"/>
      <c r="BZ140" s="140"/>
      <c r="CA140" s="140"/>
      <c r="CB140" s="140"/>
      <c r="CC140" s="140"/>
      <c r="CD140" s="140"/>
      <c r="CE140" s="140"/>
      <c r="CF140" s="140"/>
      <c r="CG140" s="140"/>
      <c r="CH140" s="140"/>
      <c r="CI140" s="140"/>
      <c r="CJ140" s="140"/>
      <c r="CK140" s="140"/>
      <c r="CL140" s="140"/>
      <c r="CM140" s="140"/>
      <c r="CN140" s="140"/>
      <c r="CO140" s="140"/>
      <c r="CP140" s="140"/>
      <c r="CQ140" s="140"/>
      <c r="CR140" s="140"/>
      <c r="CS140" s="140"/>
      <c r="CT140" s="140"/>
      <c r="CU140" s="140"/>
      <c r="CV140" s="140"/>
      <c r="CW140" s="140"/>
    </row>
    <row r="141" spans="1:101" x14ac:dyDescent="0.2">
      <c r="A141" s="29" t="str">
        <f t="shared" ca="1" si="2"/>
        <v>2025-08-12</v>
      </c>
      <c r="B141" s="140">
        <f ca="1">IF(ISNUMBER(MATCH(DATEVALUE($A141),'changes1_based on steps'!B$1:B$400,0)),B$2,)</f>
        <v>0</v>
      </c>
      <c r="C141" s="140">
        <f ca="1">IF(ISNUMBER(MATCH(DATEVALUE($A141),'changes1_based on steps'!C$1:C$400,0)),C$2,)</f>
        <v>0</v>
      </c>
      <c r="D141" s="140">
        <f ca="1">IF(ISNUMBER(MATCH(DATEVALUE($A141),'changes1_based on steps'!D$1:D$400,0)),D$2,)</f>
        <v>0</v>
      </c>
      <c r="E141" s="140">
        <f ca="1">IF(ISNUMBER(MATCH(DATEVALUE($A141),'changes1_based on steps'!E$1:E$400,0)),E$2,)</f>
        <v>0</v>
      </c>
      <c r="F141" s="140">
        <f ca="1">IF(ISNUMBER(MATCH(DATEVALUE($A141),'changes1_based on steps'!F$1:F$400,0)),F$2,)</f>
        <v>0</v>
      </c>
      <c r="G141" s="140">
        <f ca="1">IF(ISNUMBER(MATCH(DATEVALUE($A141),'changes1_based on steps'!G$1:G$400,0)),G$2,)</f>
        <v>0</v>
      </c>
      <c r="H141" s="140">
        <f ca="1">IF(ISNUMBER(MATCH(DATEVALUE($A141),'changes1_based on steps'!H$1:H$400,0)),H$2,)</f>
        <v>0</v>
      </c>
      <c r="I141" s="140">
        <f ca="1">IF(ISNUMBER(MATCH(DATEVALUE($A141),'changes1_based on steps'!I$1:I$400,0)),I$2,)</f>
        <v>0</v>
      </c>
      <c r="J141" s="140">
        <f ca="1">IF(ISNUMBER(MATCH(DATEVALUE($A141),'changes1_based on steps'!J$1:J$400,0)),J$2,)</f>
        <v>0</v>
      </c>
      <c r="K141" s="140">
        <f ca="1">IF(ISNUMBER(MATCH(DATEVALUE($A141),'changes1_based on steps'!K$1:K$400,0)),K$2,)</f>
        <v>0</v>
      </c>
      <c r="L141" s="140">
        <f ca="1">IF(ISNUMBER(MATCH(DATEVALUE($A141),'changes1_based on steps'!L$1:L$400,0)),L$2,)</f>
        <v>0</v>
      </c>
      <c r="M141" s="140">
        <f ca="1">IF(ISNUMBER(MATCH(DATEVALUE($A141),'changes1_based on steps'!M$1:M$400,0)),M$2,)</f>
        <v>0</v>
      </c>
      <c r="N141" s="140">
        <f ca="1">IF(ISNUMBER(MATCH(DATEVALUE($A141),'changes1_based on steps'!N$1:N$400,0)),N$2,)</f>
        <v>0</v>
      </c>
      <c r="O141" s="140">
        <f ca="1">IF(ISNUMBER(MATCH(DATEVALUE($A141),'changes1_based on steps'!O$1:O$400,0)),O$2,)</f>
        <v>0</v>
      </c>
      <c r="P141" s="140">
        <f ca="1">IF(ISNUMBER(MATCH(DATEVALUE($A141),'changes1_based on steps'!P$1:P$400,0)),P$2,)</f>
        <v>0</v>
      </c>
      <c r="Q141" s="140">
        <f ca="1">IF(ISNUMBER(MATCH(DATEVALUE($A141),'changes1_based on steps'!Q$1:Q$400,0)),Q$2,)</f>
        <v>0</v>
      </c>
      <c r="R141" s="140">
        <f ca="1">IF(ISNUMBER(MATCH(DATEVALUE($A141),'changes1_based on steps'!R$1:R$400,0)),R$2,)</f>
        <v>0</v>
      </c>
      <c r="S141" s="140">
        <f ca="1">IF(ISNUMBER(MATCH(DATEVALUE($A141),'changes1_based on steps'!S$1:S$400,0)),S$2,)</f>
        <v>0</v>
      </c>
      <c r="T141" s="140">
        <f ca="1">IF(ISNUMBER(MATCH(DATEVALUE($A141),'changes1_based on steps'!T$1:T$400,0)),T$2,)</f>
        <v>0</v>
      </c>
      <c r="U141" s="140">
        <f ca="1">IF(ISNUMBER(MATCH(DATEVALUE($A141),'changes1_based on steps'!U$1:U$400,0)),U$2,)</f>
        <v>0</v>
      </c>
      <c r="V141" s="140"/>
      <c r="W141" s="140"/>
      <c r="X141" s="140"/>
      <c r="Y141" s="140"/>
      <c r="Z141" s="140"/>
      <c r="AA141" s="140"/>
      <c r="AB141" s="140"/>
      <c r="AC141" s="140"/>
      <c r="AD141" s="140"/>
      <c r="AE141" s="140"/>
      <c r="AF141" s="140"/>
      <c r="AG141" s="140"/>
      <c r="AH141" s="140"/>
      <c r="AI141" s="140"/>
      <c r="AJ141" s="140"/>
      <c r="AK141" s="140"/>
      <c r="AL141" s="140"/>
      <c r="AM141" s="140"/>
      <c r="AN141" s="140"/>
      <c r="AO141" s="140"/>
      <c r="AP141" s="140"/>
      <c r="AQ141" s="140"/>
      <c r="AR141" s="140"/>
      <c r="AS141" s="140"/>
      <c r="AT141" s="140"/>
      <c r="AU141" s="140"/>
      <c r="AV141" s="140"/>
      <c r="AW141" s="140"/>
      <c r="AX141" s="140"/>
      <c r="AY141" s="140"/>
      <c r="AZ141" s="140"/>
      <c r="BA141" s="140"/>
      <c r="BB141" s="140"/>
      <c r="BC141" s="140"/>
      <c r="BD141" s="140"/>
      <c r="BE141" s="140"/>
      <c r="BF141" s="140"/>
      <c r="BG141" s="140"/>
      <c r="BH141" s="140"/>
      <c r="BI141" s="140"/>
      <c r="BJ141" s="140"/>
      <c r="BK141" s="140"/>
      <c r="BL141" s="140"/>
      <c r="BM141" s="140"/>
      <c r="BN141" s="140"/>
      <c r="BO141" s="140"/>
      <c r="BP141" s="140"/>
      <c r="BQ141" s="140"/>
      <c r="BR141" s="140"/>
      <c r="BS141" s="140"/>
      <c r="BT141" s="140"/>
      <c r="BU141" s="140"/>
      <c r="BV141" s="140"/>
      <c r="BW141" s="140"/>
      <c r="BX141" s="140"/>
      <c r="BY141" s="140"/>
      <c r="BZ141" s="140"/>
      <c r="CA141" s="140"/>
      <c r="CB141" s="140"/>
      <c r="CC141" s="140"/>
      <c r="CD141" s="140"/>
      <c r="CE141" s="140"/>
      <c r="CF141" s="140"/>
      <c r="CG141" s="140"/>
      <c r="CH141" s="140"/>
      <c r="CI141" s="140"/>
      <c r="CJ141" s="140"/>
      <c r="CK141" s="140"/>
      <c r="CL141" s="140"/>
      <c r="CM141" s="140"/>
      <c r="CN141" s="140"/>
      <c r="CO141" s="140"/>
      <c r="CP141" s="140"/>
      <c r="CQ141" s="140"/>
      <c r="CR141" s="140"/>
      <c r="CS141" s="140"/>
      <c r="CT141" s="140"/>
      <c r="CU141" s="140"/>
      <c r="CV141" s="140"/>
      <c r="CW141" s="140"/>
    </row>
    <row r="142" spans="1:101" x14ac:dyDescent="0.2">
      <c r="A142" s="29" t="str">
        <f t="shared" ca="1" si="2"/>
        <v>2025-08-13</v>
      </c>
      <c r="B142" s="140">
        <f ca="1">IF(ISNUMBER(MATCH(DATEVALUE($A142),'changes1_based on steps'!B$1:B$400,0)),B$2,)</f>
        <v>0</v>
      </c>
      <c r="C142" s="140">
        <f ca="1">IF(ISNUMBER(MATCH(DATEVALUE($A142),'changes1_based on steps'!C$1:C$400,0)),C$2,)</f>
        <v>0</v>
      </c>
      <c r="D142" s="140">
        <f ca="1">IF(ISNUMBER(MATCH(DATEVALUE($A142),'changes1_based on steps'!D$1:D$400,0)),D$2,)</f>
        <v>0</v>
      </c>
      <c r="E142" s="140">
        <f ca="1">IF(ISNUMBER(MATCH(DATEVALUE($A142),'changes1_based on steps'!E$1:E$400,0)),E$2,)</f>
        <v>0</v>
      </c>
      <c r="F142" s="140">
        <f ca="1">IF(ISNUMBER(MATCH(DATEVALUE($A142),'changes1_based on steps'!F$1:F$400,0)),F$2,)</f>
        <v>0</v>
      </c>
      <c r="G142" s="140">
        <f ca="1">IF(ISNUMBER(MATCH(DATEVALUE($A142),'changes1_based on steps'!G$1:G$400,0)),G$2,)</f>
        <v>0</v>
      </c>
      <c r="H142" s="140">
        <f ca="1">IF(ISNUMBER(MATCH(DATEVALUE($A142),'changes1_based on steps'!H$1:H$400,0)),H$2,)</f>
        <v>0</v>
      </c>
      <c r="I142" s="140">
        <f ca="1">IF(ISNUMBER(MATCH(DATEVALUE($A142),'changes1_based on steps'!I$1:I$400,0)),I$2,)</f>
        <v>0</v>
      </c>
      <c r="J142" s="140">
        <f ca="1">IF(ISNUMBER(MATCH(DATEVALUE($A142),'changes1_based on steps'!J$1:J$400,0)),J$2,)</f>
        <v>0</v>
      </c>
      <c r="K142" s="140">
        <f ca="1">IF(ISNUMBER(MATCH(DATEVALUE($A142),'changes1_based on steps'!K$1:K$400,0)),K$2,)</f>
        <v>0</v>
      </c>
      <c r="L142" s="140">
        <f ca="1">IF(ISNUMBER(MATCH(DATEVALUE($A142),'changes1_based on steps'!L$1:L$400,0)),L$2,)</f>
        <v>0</v>
      </c>
      <c r="M142" s="140">
        <f ca="1">IF(ISNUMBER(MATCH(DATEVALUE($A142),'changes1_based on steps'!M$1:M$400,0)),M$2,)</f>
        <v>0</v>
      </c>
      <c r="N142" s="140">
        <f ca="1">IF(ISNUMBER(MATCH(DATEVALUE($A142),'changes1_based on steps'!N$1:N$400,0)),N$2,)</f>
        <v>0</v>
      </c>
      <c r="O142" s="140">
        <f ca="1">IF(ISNUMBER(MATCH(DATEVALUE($A142),'changes1_based on steps'!O$1:O$400,0)),O$2,)</f>
        <v>0</v>
      </c>
      <c r="P142" s="140">
        <f ca="1">IF(ISNUMBER(MATCH(DATEVALUE($A142),'changes1_based on steps'!P$1:P$400,0)),P$2,)</f>
        <v>0</v>
      </c>
      <c r="Q142" s="140">
        <f ca="1">IF(ISNUMBER(MATCH(DATEVALUE($A142),'changes1_based on steps'!Q$1:Q$400,0)),Q$2,)</f>
        <v>0</v>
      </c>
      <c r="R142" s="140">
        <f ca="1">IF(ISNUMBER(MATCH(DATEVALUE($A142),'changes1_based on steps'!R$1:R$400,0)),R$2,)</f>
        <v>0</v>
      </c>
      <c r="S142" s="140">
        <f ca="1">IF(ISNUMBER(MATCH(DATEVALUE($A142),'changes1_based on steps'!S$1:S$400,0)),S$2,)</f>
        <v>0</v>
      </c>
      <c r="T142" s="140">
        <f ca="1">IF(ISNUMBER(MATCH(DATEVALUE($A142),'changes1_based on steps'!T$1:T$400,0)),T$2,)</f>
        <v>0</v>
      </c>
      <c r="U142" s="140">
        <f ca="1">IF(ISNUMBER(MATCH(DATEVALUE($A142),'changes1_based on steps'!U$1:U$400,0)),U$2,)</f>
        <v>0</v>
      </c>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c r="AR142" s="140"/>
      <c r="AS142" s="140"/>
      <c r="AT142" s="140"/>
      <c r="AU142" s="140"/>
      <c r="AV142" s="140"/>
      <c r="AW142" s="140"/>
      <c r="AX142" s="140"/>
      <c r="AY142" s="140"/>
      <c r="AZ142" s="140"/>
      <c r="BA142" s="140"/>
      <c r="BB142" s="140"/>
      <c r="BC142" s="140"/>
      <c r="BD142" s="140"/>
      <c r="BE142" s="140"/>
      <c r="BF142" s="140"/>
      <c r="BG142" s="140"/>
      <c r="BH142" s="140"/>
      <c r="BI142" s="140"/>
      <c r="BJ142" s="140"/>
      <c r="BK142" s="140"/>
      <c r="BL142" s="140"/>
      <c r="BM142" s="140"/>
      <c r="BN142" s="140"/>
      <c r="BO142" s="140"/>
      <c r="BP142" s="140"/>
      <c r="BQ142" s="140"/>
      <c r="BR142" s="140"/>
      <c r="BS142" s="140"/>
      <c r="BT142" s="140"/>
      <c r="BU142" s="140"/>
      <c r="BV142" s="140"/>
      <c r="BW142" s="140"/>
      <c r="BX142" s="140"/>
      <c r="BY142" s="140"/>
      <c r="BZ142" s="140"/>
      <c r="CA142" s="140"/>
      <c r="CB142" s="140"/>
      <c r="CC142" s="140"/>
      <c r="CD142" s="140"/>
      <c r="CE142" s="140"/>
      <c r="CF142" s="140"/>
      <c r="CG142" s="140"/>
      <c r="CH142" s="140"/>
      <c r="CI142" s="140"/>
      <c r="CJ142" s="140"/>
      <c r="CK142" s="140"/>
      <c r="CL142" s="140"/>
      <c r="CM142" s="140"/>
      <c r="CN142" s="140"/>
      <c r="CO142" s="140"/>
      <c r="CP142" s="140"/>
      <c r="CQ142" s="140"/>
      <c r="CR142" s="140"/>
      <c r="CS142" s="140"/>
      <c r="CT142" s="140"/>
      <c r="CU142" s="140"/>
      <c r="CV142" s="140"/>
      <c r="CW142" s="140"/>
    </row>
    <row r="143" spans="1:101" x14ac:dyDescent="0.2">
      <c r="A143" s="29" t="str">
        <f t="shared" ca="1" si="2"/>
        <v>2025-08-14</v>
      </c>
      <c r="B143" s="140">
        <f ca="1">IF(ISNUMBER(MATCH(DATEVALUE($A143),'changes1_based on steps'!B$1:B$400,0)),B$2,)</f>
        <v>0</v>
      </c>
      <c r="C143" s="140">
        <f ca="1">IF(ISNUMBER(MATCH(DATEVALUE($A143),'changes1_based on steps'!C$1:C$400,0)),C$2,)</f>
        <v>0</v>
      </c>
      <c r="D143" s="140">
        <f ca="1">IF(ISNUMBER(MATCH(DATEVALUE($A143),'changes1_based on steps'!D$1:D$400,0)),D$2,)</f>
        <v>0</v>
      </c>
      <c r="E143" s="140">
        <f ca="1">IF(ISNUMBER(MATCH(DATEVALUE($A143),'changes1_based on steps'!E$1:E$400,0)),E$2,)</f>
        <v>0</v>
      </c>
      <c r="F143" s="140">
        <f ca="1">IF(ISNUMBER(MATCH(DATEVALUE($A143),'changes1_based on steps'!F$1:F$400,0)),F$2,)</f>
        <v>0</v>
      </c>
      <c r="G143" s="140">
        <f ca="1">IF(ISNUMBER(MATCH(DATEVALUE($A143),'changes1_based on steps'!G$1:G$400,0)),G$2,)</f>
        <v>0</v>
      </c>
      <c r="H143" s="140">
        <f ca="1">IF(ISNUMBER(MATCH(DATEVALUE($A143),'changes1_based on steps'!H$1:H$400,0)),H$2,)</f>
        <v>0</v>
      </c>
      <c r="I143" s="140">
        <f ca="1">IF(ISNUMBER(MATCH(DATEVALUE($A143),'changes1_based on steps'!I$1:I$400,0)),I$2,)</f>
        <v>0</v>
      </c>
      <c r="J143" s="140">
        <f ca="1">IF(ISNUMBER(MATCH(DATEVALUE($A143),'changes1_based on steps'!J$1:J$400,0)),J$2,)</f>
        <v>0</v>
      </c>
      <c r="K143" s="140">
        <f ca="1">IF(ISNUMBER(MATCH(DATEVALUE($A143),'changes1_based on steps'!K$1:K$400,0)),K$2,)</f>
        <v>0</v>
      </c>
      <c r="L143" s="140">
        <f ca="1">IF(ISNUMBER(MATCH(DATEVALUE($A143),'changes1_based on steps'!L$1:L$400,0)),L$2,)</f>
        <v>0</v>
      </c>
      <c r="M143" s="140">
        <f ca="1">IF(ISNUMBER(MATCH(DATEVALUE($A143),'changes1_based on steps'!M$1:M$400,0)),M$2,)</f>
        <v>0</v>
      </c>
      <c r="N143" s="140">
        <f ca="1">IF(ISNUMBER(MATCH(DATEVALUE($A143),'changes1_based on steps'!N$1:N$400,0)),N$2,)</f>
        <v>0</v>
      </c>
      <c r="O143" s="140">
        <f ca="1">IF(ISNUMBER(MATCH(DATEVALUE($A143),'changes1_based on steps'!O$1:O$400,0)),O$2,)</f>
        <v>0</v>
      </c>
      <c r="P143" s="140">
        <f ca="1">IF(ISNUMBER(MATCH(DATEVALUE($A143),'changes1_based on steps'!P$1:P$400,0)),P$2,)</f>
        <v>0</v>
      </c>
      <c r="Q143" s="140">
        <f ca="1">IF(ISNUMBER(MATCH(DATEVALUE($A143),'changes1_based on steps'!Q$1:Q$400,0)),Q$2,)</f>
        <v>0</v>
      </c>
      <c r="R143" s="140">
        <f ca="1">IF(ISNUMBER(MATCH(DATEVALUE($A143),'changes1_based on steps'!R$1:R$400,0)),R$2,)</f>
        <v>0</v>
      </c>
      <c r="S143" s="140">
        <f ca="1">IF(ISNUMBER(MATCH(DATEVALUE($A143),'changes1_based on steps'!S$1:S$400,0)),S$2,)</f>
        <v>0</v>
      </c>
      <c r="T143" s="140">
        <f ca="1">IF(ISNUMBER(MATCH(DATEVALUE($A143),'changes1_based on steps'!T$1:T$400,0)),T$2,)</f>
        <v>0</v>
      </c>
      <c r="U143" s="140">
        <f ca="1">IF(ISNUMBER(MATCH(DATEVALUE($A143),'changes1_based on steps'!U$1:U$400,0)),U$2,)</f>
        <v>0</v>
      </c>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c r="BH143" s="140"/>
      <c r="BI143" s="140"/>
      <c r="BJ143" s="140"/>
      <c r="BK143" s="140"/>
      <c r="BL143" s="140"/>
      <c r="BM143" s="140"/>
      <c r="BN143" s="140"/>
      <c r="BO143" s="140"/>
      <c r="BP143" s="140"/>
      <c r="BQ143" s="140"/>
      <c r="BR143" s="140"/>
      <c r="BS143" s="140"/>
      <c r="BT143" s="140"/>
      <c r="BU143" s="140"/>
      <c r="BV143" s="140"/>
      <c r="BW143" s="140"/>
      <c r="BX143" s="140"/>
      <c r="BY143" s="140"/>
      <c r="BZ143" s="140"/>
      <c r="CA143" s="140"/>
      <c r="CB143" s="140"/>
      <c r="CC143" s="140"/>
      <c r="CD143" s="140"/>
      <c r="CE143" s="140"/>
      <c r="CF143" s="140"/>
      <c r="CG143" s="140"/>
      <c r="CH143" s="140"/>
      <c r="CI143" s="140"/>
      <c r="CJ143" s="140"/>
      <c r="CK143" s="140"/>
      <c r="CL143" s="140"/>
      <c r="CM143" s="140"/>
      <c r="CN143" s="140"/>
      <c r="CO143" s="140"/>
      <c r="CP143" s="140"/>
      <c r="CQ143" s="140"/>
      <c r="CR143" s="140"/>
      <c r="CS143" s="140"/>
      <c r="CT143" s="140"/>
      <c r="CU143" s="140"/>
      <c r="CV143" s="140"/>
      <c r="CW143" s="140"/>
    </row>
    <row r="144" spans="1:101" x14ac:dyDescent="0.2">
      <c r="A144" s="29" t="str">
        <f t="shared" ca="1" si="2"/>
        <v>2025-08-15</v>
      </c>
      <c r="B144" s="140">
        <f ca="1">IF(ISNUMBER(MATCH(DATEVALUE($A144),'changes1_based on steps'!B$1:B$400,0)),B$2,)</f>
        <v>0</v>
      </c>
      <c r="C144" s="140">
        <f ca="1">IF(ISNUMBER(MATCH(DATEVALUE($A144),'changes1_based on steps'!C$1:C$400,0)),C$2,)</f>
        <v>0</v>
      </c>
      <c r="D144" s="140">
        <f ca="1">IF(ISNUMBER(MATCH(DATEVALUE($A144),'changes1_based on steps'!D$1:D$400,0)),D$2,)</f>
        <v>0</v>
      </c>
      <c r="E144" s="140">
        <f ca="1">IF(ISNUMBER(MATCH(DATEVALUE($A144),'changes1_based on steps'!E$1:E$400,0)),E$2,)</f>
        <v>0</v>
      </c>
      <c r="F144" s="140">
        <f ca="1">IF(ISNUMBER(MATCH(DATEVALUE($A144),'changes1_based on steps'!F$1:F$400,0)),F$2,)</f>
        <v>0</v>
      </c>
      <c r="G144" s="140">
        <f ca="1">IF(ISNUMBER(MATCH(DATEVALUE($A144),'changes1_based on steps'!G$1:G$400,0)),G$2,)</f>
        <v>0</v>
      </c>
      <c r="H144" s="140">
        <f ca="1">IF(ISNUMBER(MATCH(DATEVALUE($A144),'changes1_based on steps'!H$1:H$400,0)),H$2,)</f>
        <v>0</v>
      </c>
      <c r="I144" s="140">
        <f ca="1">IF(ISNUMBER(MATCH(DATEVALUE($A144),'changes1_based on steps'!I$1:I$400,0)),I$2,)</f>
        <v>0</v>
      </c>
      <c r="J144" s="140">
        <f ca="1">IF(ISNUMBER(MATCH(DATEVALUE($A144),'changes1_based on steps'!J$1:J$400,0)),J$2,)</f>
        <v>0</v>
      </c>
      <c r="K144" s="140">
        <f ca="1">IF(ISNUMBER(MATCH(DATEVALUE($A144),'changes1_based on steps'!K$1:K$400,0)),K$2,)</f>
        <v>0</v>
      </c>
      <c r="L144" s="140">
        <f ca="1">IF(ISNUMBER(MATCH(DATEVALUE($A144),'changes1_based on steps'!L$1:L$400,0)),L$2,)</f>
        <v>0</v>
      </c>
      <c r="M144" s="140">
        <f ca="1">IF(ISNUMBER(MATCH(DATEVALUE($A144),'changes1_based on steps'!M$1:M$400,0)),M$2,)</f>
        <v>0</v>
      </c>
      <c r="N144" s="140">
        <f ca="1">IF(ISNUMBER(MATCH(DATEVALUE($A144),'changes1_based on steps'!N$1:N$400,0)),N$2,)</f>
        <v>0</v>
      </c>
      <c r="O144" s="140">
        <f ca="1">IF(ISNUMBER(MATCH(DATEVALUE($A144),'changes1_based on steps'!O$1:O$400,0)),O$2,)</f>
        <v>0</v>
      </c>
      <c r="P144" s="140">
        <f ca="1">IF(ISNUMBER(MATCH(DATEVALUE($A144),'changes1_based on steps'!P$1:P$400,0)),P$2,)</f>
        <v>0</v>
      </c>
      <c r="Q144" s="140">
        <f ca="1">IF(ISNUMBER(MATCH(DATEVALUE($A144),'changes1_based on steps'!Q$1:Q$400,0)),Q$2,)</f>
        <v>0</v>
      </c>
      <c r="R144" s="140">
        <f ca="1">IF(ISNUMBER(MATCH(DATEVALUE($A144),'changes1_based on steps'!R$1:R$400,0)),R$2,)</f>
        <v>0</v>
      </c>
      <c r="S144" s="140">
        <f ca="1">IF(ISNUMBER(MATCH(DATEVALUE($A144),'changes1_based on steps'!S$1:S$400,0)),S$2,)</f>
        <v>0</v>
      </c>
      <c r="T144" s="140">
        <f ca="1">IF(ISNUMBER(MATCH(DATEVALUE($A144),'changes1_based on steps'!T$1:T$400,0)),T$2,)</f>
        <v>0</v>
      </c>
      <c r="U144" s="140">
        <f ca="1">IF(ISNUMBER(MATCH(DATEVALUE($A144),'changes1_based on steps'!U$1:U$400,0)),U$2,)</f>
        <v>0</v>
      </c>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c r="BH144" s="140"/>
      <c r="BI144" s="140"/>
      <c r="BJ144" s="140"/>
      <c r="BK144" s="140"/>
      <c r="BL144" s="140"/>
      <c r="BM144" s="140"/>
      <c r="BN144" s="140"/>
      <c r="BO144" s="140"/>
      <c r="BP144" s="140"/>
      <c r="BQ144" s="140"/>
      <c r="BR144" s="140"/>
      <c r="BS144" s="140"/>
      <c r="BT144" s="140"/>
      <c r="BU144" s="140"/>
      <c r="BV144" s="140"/>
      <c r="BW144" s="140"/>
      <c r="BX144" s="140"/>
      <c r="BY144" s="140"/>
      <c r="BZ144" s="140"/>
      <c r="CA144" s="140"/>
      <c r="CB144" s="140"/>
      <c r="CC144" s="140"/>
      <c r="CD144" s="140"/>
      <c r="CE144" s="140"/>
      <c r="CF144" s="140"/>
      <c r="CG144" s="140"/>
      <c r="CH144" s="140"/>
      <c r="CI144" s="140"/>
      <c r="CJ144" s="140"/>
      <c r="CK144" s="140"/>
      <c r="CL144" s="140"/>
      <c r="CM144" s="140"/>
      <c r="CN144" s="140"/>
      <c r="CO144" s="140"/>
      <c r="CP144" s="140"/>
      <c r="CQ144" s="140"/>
      <c r="CR144" s="140"/>
      <c r="CS144" s="140"/>
      <c r="CT144" s="140"/>
      <c r="CU144" s="140"/>
      <c r="CV144" s="140"/>
      <c r="CW144" s="140"/>
    </row>
    <row r="145" spans="1:101" x14ac:dyDescent="0.2">
      <c r="A145" s="29" t="str">
        <f t="shared" ca="1" si="2"/>
        <v>2025-08-16</v>
      </c>
      <c r="B145" s="140">
        <f ca="1">IF(ISNUMBER(MATCH(DATEVALUE($A145),'changes1_based on steps'!B$1:B$400,0)),B$2,)</f>
        <v>0</v>
      </c>
      <c r="C145" s="140">
        <f ca="1">IF(ISNUMBER(MATCH(DATEVALUE($A145),'changes1_based on steps'!C$1:C$400,0)),C$2,)</f>
        <v>0</v>
      </c>
      <c r="D145" s="140">
        <f ca="1">IF(ISNUMBER(MATCH(DATEVALUE($A145),'changes1_based on steps'!D$1:D$400,0)),D$2,)</f>
        <v>0</v>
      </c>
      <c r="E145" s="140">
        <f ca="1">IF(ISNUMBER(MATCH(DATEVALUE($A145),'changes1_based on steps'!E$1:E$400,0)),E$2,)</f>
        <v>0</v>
      </c>
      <c r="F145" s="140">
        <f ca="1">IF(ISNUMBER(MATCH(DATEVALUE($A145),'changes1_based on steps'!F$1:F$400,0)),F$2,)</f>
        <v>0</v>
      </c>
      <c r="G145" s="140">
        <f ca="1">IF(ISNUMBER(MATCH(DATEVALUE($A145),'changes1_based on steps'!G$1:G$400,0)),G$2,)</f>
        <v>0</v>
      </c>
      <c r="H145" s="140">
        <f ca="1">IF(ISNUMBER(MATCH(DATEVALUE($A145),'changes1_based on steps'!H$1:H$400,0)),H$2,)</f>
        <v>0</v>
      </c>
      <c r="I145" s="140">
        <f ca="1">IF(ISNUMBER(MATCH(DATEVALUE($A145),'changes1_based on steps'!I$1:I$400,0)),I$2,)</f>
        <v>0</v>
      </c>
      <c r="J145" s="140">
        <f ca="1">IF(ISNUMBER(MATCH(DATEVALUE($A145),'changes1_based on steps'!J$1:J$400,0)),J$2,)</f>
        <v>0</v>
      </c>
      <c r="K145" s="140">
        <f ca="1">IF(ISNUMBER(MATCH(DATEVALUE($A145),'changes1_based on steps'!K$1:K$400,0)),K$2,)</f>
        <v>0</v>
      </c>
      <c r="L145" s="140">
        <f ca="1">IF(ISNUMBER(MATCH(DATEVALUE($A145),'changes1_based on steps'!L$1:L$400,0)),L$2,)</f>
        <v>0</v>
      </c>
      <c r="M145" s="140">
        <f ca="1">IF(ISNUMBER(MATCH(DATEVALUE($A145),'changes1_based on steps'!M$1:M$400,0)),M$2,)</f>
        <v>0</v>
      </c>
      <c r="N145" s="140">
        <f ca="1">IF(ISNUMBER(MATCH(DATEVALUE($A145),'changes1_based on steps'!N$1:N$400,0)),N$2,)</f>
        <v>0</v>
      </c>
      <c r="O145" s="140">
        <f ca="1">IF(ISNUMBER(MATCH(DATEVALUE($A145),'changes1_based on steps'!O$1:O$400,0)),O$2,)</f>
        <v>0</v>
      </c>
      <c r="P145" s="140">
        <f ca="1">IF(ISNUMBER(MATCH(DATEVALUE($A145),'changes1_based on steps'!P$1:P$400,0)),P$2,)</f>
        <v>0</v>
      </c>
      <c r="Q145" s="140">
        <f ca="1">IF(ISNUMBER(MATCH(DATEVALUE($A145),'changes1_based on steps'!Q$1:Q$400,0)),Q$2,)</f>
        <v>0</v>
      </c>
      <c r="R145" s="140">
        <f ca="1">IF(ISNUMBER(MATCH(DATEVALUE($A145),'changes1_based on steps'!R$1:R$400,0)),R$2,)</f>
        <v>0</v>
      </c>
      <c r="S145" s="140">
        <f ca="1">IF(ISNUMBER(MATCH(DATEVALUE($A145),'changes1_based on steps'!S$1:S$400,0)),S$2,)</f>
        <v>0</v>
      </c>
      <c r="T145" s="140">
        <f ca="1">IF(ISNUMBER(MATCH(DATEVALUE($A145),'changes1_based on steps'!T$1:T$400,0)),T$2,)</f>
        <v>0</v>
      </c>
      <c r="U145" s="140">
        <f ca="1">IF(ISNUMBER(MATCH(DATEVALUE($A145),'changes1_based on steps'!U$1:U$400,0)),U$2,)</f>
        <v>0</v>
      </c>
      <c r="V145" s="140"/>
      <c r="W145" s="140"/>
      <c r="X145" s="140"/>
      <c r="Y145" s="140"/>
      <c r="Z145" s="140"/>
      <c r="AA145" s="140"/>
      <c r="AB145" s="140"/>
      <c r="AC145" s="140"/>
      <c r="AD145" s="140"/>
      <c r="AE145" s="140"/>
      <c r="AF145" s="140"/>
      <c r="AG145" s="140"/>
      <c r="AH145" s="140"/>
      <c r="AI145" s="140"/>
      <c r="AJ145" s="140"/>
      <c r="AK145" s="140"/>
      <c r="AL145" s="140"/>
      <c r="AM145" s="140"/>
      <c r="AN145" s="140"/>
      <c r="AO145" s="140"/>
      <c r="AP145" s="140"/>
      <c r="AQ145" s="140"/>
      <c r="AR145" s="140"/>
      <c r="AS145" s="140"/>
      <c r="AT145" s="140"/>
      <c r="AU145" s="140"/>
      <c r="AV145" s="140"/>
      <c r="AW145" s="140"/>
      <c r="AX145" s="140"/>
      <c r="AY145" s="140"/>
      <c r="AZ145" s="140"/>
      <c r="BA145" s="140"/>
      <c r="BB145" s="140"/>
      <c r="BC145" s="140"/>
      <c r="BD145" s="140"/>
      <c r="BE145" s="140"/>
      <c r="BF145" s="140"/>
      <c r="BG145" s="140"/>
      <c r="BH145" s="140"/>
      <c r="BI145" s="140"/>
      <c r="BJ145" s="140"/>
      <c r="BK145" s="140"/>
      <c r="BL145" s="140"/>
      <c r="BM145" s="140"/>
      <c r="BN145" s="140"/>
      <c r="BO145" s="140"/>
      <c r="BP145" s="140"/>
      <c r="BQ145" s="140"/>
      <c r="BR145" s="140"/>
      <c r="BS145" s="140"/>
      <c r="BT145" s="140"/>
      <c r="BU145" s="140"/>
      <c r="BV145" s="140"/>
      <c r="BW145" s="140"/>
      <c r="BX145" s="140"/>
      <c r="BY145" s="140"/>
      <c r="BZ145" s="140"/>
      <c r="CA145" s="140"/>
      <c r="CB145" s="140"/>
      <c r="CC145" s="140"/>
      <c r="CD145" s="140"/>
      <c r="CE145" s="140"/>
      <c r="CF145" s="140"/>
      <c r="CG145" s="140"/>
      <c r="CH145" s="140"/>
      <c r="CI145" s="140"/>
      <c r="CJ145" s="140"/>
      <c r="CK145" s="140"/>
      <c r="CL145" s="140"/>
      <c r="CM145" s="140"/>
      <c r="CN145" s="140"/>
      <c r="CO145" s="140"/>
      <c r="CP145" s="140"/>
      <c r="CQ145" s="140"/>
      <c r="CR145" s="140"/>
      <c r="CS145" s="140"/>
      <c r="CT145" s="140"/>
      <c r="CU145" s="140"/>
      <c r="CV145" s="140"/>
      <c r="CW145" s="140"/>
    </row>
    <row r="146" spans="1:101" x14ac:dyDescent="0.2">
      <c r="A146" s="29" t="str">
        <f t="shared" ca="1" si="2"/>
        <v>2025-08-17</v>
      </c>
      <c r="B146" s="140">
        <f ca="1">IF(ISNUMBER(MATCH(DATEVALUE($A146),'changes1_based on steps'!B$1:B$400,0)),B$2,)</f>
        <v>0</v>
      </c>
      <c r="C146" s="140">
        <f ca="1">IF(ISNUMBER(MATCH(DATEVALUE($A146),'changes1_based on steps'!C$1:C$400,0)),C$2,)</f>
        <v>0</v>
      </c>
      <c r="D146" s="140">
        <f ca="1">IF(ISNUMBER(MATCH(DATEVALUE($A146),'changes1_based on steps'!D$1:D$400,0)),D$2,)</f>
        <v>0</v>
      </c>
      <c r="E146" s="140">
        <f ca="1">IF(ISNUMBER(MATCH(DATEVALUE($A146),'changes1_based on steps'!E$1:E$400,0)),E$2,)</f>
        <v>0</v>
      </c>
      <c r="F146" s="140">
        <f ca="1">IF(ISNUMBER(MATCH(DATEVALUE($A146),'changes1_based on steps'!F$1:F$400,0)),F$2,)</f>
        <v>0</v>
      </c>
      <c r="G146" s="140">
        <f ca="1">IF(ISNUMBER(MATCH(DATEVALUE($A146),'changes1_based on steps'!G$1:G$400,0)),G$2,)</f>
        <v>0</v>
      </c>
      <c r="H146" s="140">
        <f ca="1">IF(ISNUMBER(MATCH(DATEVALUE($A146),'changes1_based on steps'!H$1:H$400,0)),H$2,)</f>
        <v>0</v>
      </c>
      <c r="I146" s="140">
        <f ca="1">IF(ISNUMBER(MATCH(DATEVALUE($A146),'changes1_based on steps'!I$1:I$400,0)),I$2,)</f>
        <v>0</v>
      </c>
      <c r="J146" s="140">
        <f ca="1">IF(ISNUMBER(MATCH(DATEVALUE($A146),'changes1_based on steps'!J$1:J$400,0)),J$2,)</f>
        <v>0</v>
      </c>
      <c r="K146" s="140">
        <f ca="1">IF(ISNUMBER(MATCH(DATEVALUE($A146),'changes1_based on steps'!K$1:K$400,0)),K$2,)</f>
        <v>0</v>
      </c>
      <c r="L146" s="140">
        <f ca="1">IF(ISNUMBER(MATCH(DATEVALUE($A146),'changes1_based on steps'!L$1:L$400,0)),L$2,)</f>
        <v>0</v>
      </c>
      <c r="M146" s="140">
        <f ca="1">IF(ISNUMBER(MATCH(DATEVALUE($A146),'changes1_based on steps'!M$1:M$400,0)),M$2,)</f>
        <v>0</v>
      </c>
      <c r="N146" s="140">
        <f ca="1">IF(ISNUMBER(MATCH(DATEVALUE($A146),'changes1_based on steps'!N$1:N$400,0)),N$2,)</f>
        <v>0</v>
      </c>
      <c r="O146" s="140">
        <f ca="1">IF(ISNUMBER(MATCH(DATEVALUE($A146),'changes1_based on steps'!O$1:O$400,0)),O$2,)</f>
        <v>0</v>
      </c>
      <c r="P146" s="140">
        <f ca="1">IF(ISNUMBER(MATCH(DATEVALUE($A146),'changes1_based on steps'!P$1:P$400,0)),P$2,)</f>
        <v>0</v>
      </c>
      <c r="Q146" s="140">
        <f ca="1">IF(ISNUMBER(MATCH(DATEVALUE($A146),'changes1_based on steps'!Q$1:Q$400,0)),Q$2,)</f>
        <v>0</v>
      </c>
      <c r="R146" s="140">
        <f ca="1">IF(ISNUMBER(MATCH(DATEVALUE($A146),'changes1_based on steps'!R$1:R$400,0)),R$2,)</f>
        <v>0</v>
      </c>
      <c r="S146" s="140">
        <f ca="1">IF(ISNUMBER(MATCH(DATEVALUE($A146),'changes1_based on steps'!S$1:S$400,0)),S$2,)</f>
        <v>0</v>
      </c>
      <c r="T146" s="140">
        <f ca="1">IF(ISNUMBER(MATCH(DATEVALUE($A146),'changes1_based on steps'!T$1:T$400,0)),T$2,)</f>
        <v>0</v>
      </c>
      <c r="U146" s="140">
        <f ca="1">IF(ISNUMBER(MATCH(DATEVALUE($A146),'changes1_based on steps'!U$1:U$400,0)),U$2,)</f>
        <v>0</v>
      </c>
      <c r="V146" s="140"/>
      <c r="W146" s="140"/>
      <c r="X146" s="140"/>
      <c r="Y146" s="140"/>
      <c r="Z146" s="140"/>
      <c r="AA146" s="140"/>
      <c r="AB146" s="140"/>
      <c r="AC146" s="140"/>
      <c r="AD146" s="140"/>
      <c r="AE146" s="140"/>
      <c r="AF146" s="140"/>
      <c r="AG146" s="140"/>
      <c r="AH146" s="140"/>
      <c r="AI146" s="140"/>
      <c r="AJ146" s="140"/>
      <c r="AK146" s="140"/>
      <c r="AL146" s="140"/>
      <c r="AM146" s="140"/>
      <c r="AN146" s="140"/>
      <c r="AO146" s="140"/>
      <c r="AP146" s="140"/>
      <c r="AQ146" s="140"/>
      <c r="AR146" s="140"/>
      <c r="AS146" s="140"/>
      <c r="AT146" s="140"/>
      <c r="AU146" s="140"/>
      <c r="AV146" s="140"/>
      <c r="AW146" s="140"/>
      <c r="AX146" s="140"/>
      <c r="AY146" s="140"/>
      <c r="AZ146" s="140"/>
      <c r="BA146" s="140"/>
      <c r="BB146" s="140"/>
      <c r="BC146" s="140"/>
      <c r="BD146" s="140"/>
      <c r="BE146" s="140"/>
      <c r="BF146" s="140"/>
      <c r="BG146" s="140"/>
      <c r="BH146" s="140"/>
      <c r="BI146" s="140"/>
      <c r="BJ146" s="140"/>
      <c r="BK146" s="140"/>
      <c r="BL146" s="140"/>
      <c r="BM146" s="140"/>
      <c r="BN146" s="140"/>
      <c r="BO146" s="140"/>
      <c r="BP146" s="140"/>
      <c r="BQ146" s="140"/>
      <c r="BR146" s="140"/>
      <c r="BS146" s="140"/>
      <c r="BT146" s="140"/>
      <c r="BU146" s="140"/>
      <c r="BV146" s="140"/>
      <c r="BW146" s="140"/>
      <c r="BX146" s="140"/>
      <c r="BY146" s="140"/>
      <c r="BZ146" s="140"/>
      <c r="CA146" s="140"/>
      <c r="CB146" s="140"/>
      <c r="CC146" s="140"/>
      <c r="CD146" s="140"/>
      <c r="CE146" s="140"/>
      <c r="CF146" s="140"/>
      <c r="CG146" s="140"/>
      <c r="CH146" s="140"/>
      <c r="CI146" s="140"/>
      <c r="CJ146" s="140"/>
      <c r="CK146" s="140"/>
      <c r="CL146" s="140"/>
      <c r="CM146" s="140"/>
      <c r="CN146" s="140"/>
      <c r="CO146" s="140"/>
      <c r="CP146" s="140"/>
      <c r="CQ146" s="140"/>
      <c r="CR146" s="140"/>
      <c r="CS146" s="140"/>
      <c r="CT146" s="140"/>
      <c r="CU146" s="140"/>
      <c r="CV146" s="140"/>
      <c r="CW146" s="140"/>
    </row>
    <row r="147" spans="1:101" x14ac:dyDescent="0.2">
      <c r="A147" s="29" t="str">
        <f t="shared" ca="1" si="2"/>
        <v>2025-08-18</v>
      </c>
      <c r="B147" s="140">
        <f ca="1">IF(ISNUMBER(MATCH(DATEVALUE($A147),'changes1_based on steps'!B$1:B$400,0)),B$2,)</f>
        <v>0</v>
      </c>
      <c r="C147" s="140">
        <f ca="1">IF(ISNUMBER(MATCH(DATEVALUE($A147),'changes1_based on steps'!C$1:C$400,0)),C$2,)</f>
        <v>0</v>
      </c>
      <c r="D147" s="140">
        <f ca="1">IF(ISNUMBER(MATCH(DATEVALUE($A147),'changes1_based on steps'!D$1:D$400,0)),D$2,)</f>
        <v>0</v>
      </c>
      <c r="E147" s="140">
        <f ca="1">IF(ISNUMBER(MATCH(DATEVALUE($A147),'changes1_based on steps'!E$1:E$400,0)),E$2,)</f>
        <v>0</v>
      </c>
      <c r="F147" s="140">
        <f ca="1">IF(ISNUMBER(MATCH(DATEVALUE($A147),'changes1_based on steps'!F$1:F$400,0)),F$2,)</f>
        <v>0</v>
      </c>
      <c r="G147" s="140">
        <f ca="1">IF(ISNUMBER(MATCH(DATEVALUE($A147),'changes1_based on steps'!G$1:G$400,0)),G$2,)</f>
        <v>0</v>
      </c>
      <c r="H147" s="140">
        <f ca="1">IF(ISNUMBER(MATCH(DATEVALUE($A147),'changes1_based on steps'!H$1:H$400,0)),H$2,)</f>
        <v>0</v>
      </c>
      <c r="I147" s="140">
        <f ca="1">IF(ISNUMBER(MATCH(DATEVALUE($A147),'changes1_based on steps'!I$1:I$400,0)),I$2,)</f>
        <v>0</v>
      </c>
      <c r="J147" s="140">
        <f ca="1">IF(ISNUMBER(MATCH(DATEVALUE($A147),'changes1_based on steps'!J$1:J$400,0)),J$2,)</f>
        <v>0</v>
      </c>
      <c r="K147" s="140">
        <f ca="1">IF(ISNUMBER(MATCH(DATEVALUE($A147),'changes1_based on steps'!K$1:K$400,0)),K$2,)</f>
        <v>0</v>
      </c>
      <c r="L147" s="140">
        <f ca="1">IF(ISNUMBER(MATCH(DATEVALUE($A147),'changes1_based on steps'!L$1:L$400,0)),L$2,)</f>
        <v>0</v>
      </c>
      <c r="M147" s="140">
        <f ca="1">IF(ISNUMBER(MATCH(DATEVALUE($A147),'changes1_based on steps'!M$1:M$400,0)),M$2,)</f>
        <v>0</v>
      </c>
      <c r="N147" s="140">
        <f ca="1">IF(ISNUMBER(MATCH(DATEVALUE($A147),'changes1_based on steps'!N$1:N$400,0)),N$2,)</f>
        <v>0</v>
      </c>
      <c r="O147" s="140">
        <f ca="1">IF(ISNUMBER(MATCH(DATEVALUE($A147),'changes1_based on steps'!O$1:O$400,0)),O$2,)</f>
        <v>0</v>
      </c>
      <c r="P147" s="140">
        <f ca="1">IF(ISNUMBER(MATCH(DATEVALUE($A147),'changes1_based on steps'!P$1:P$400,0)),P$2,)</f>
        <v>0</v>
      </c>
      <c r="Q147" s="140">
        <f ca="1">IF(ISNUMBER(MATCH(DATEVALUE($A147),'changes1_based on steps'!Q$1:Q$400,0)),Q$2,)</f>
        <v>0</v>
      </c>
      <c r="R147" s="140">
        <f ca="1">IF(ISNUMBER(MATCH(DATEVALUE($A147),'changes1_based on steps'!R$1:R$400,0)),R$2,)</f>
        <v>0</v>
      </c>
      <c r="S147" s="140">
        <f ca="1">IF(ISNUMBER(MATCH(DATEVALUE($A147),'changes1_based on steps'!S$1:S$400,0)),S$2,)</f>
        <v>0</v>
      </c>
      <c r="T147" s="140">
        <f ca="1">IF(ISNUMBER(MATCH(DATEVALUE($A147),'changes1_based on steps'!T$1:T$400,0)),T$2,)</f>
        <v>0</v>
      </c>
      <c r="U147" s="140">
        <f ca="1">IF(ISNUMBER(MATCH(DATEVALUE($A147),'changes1_based on steps'!U$1:U$400,0)),U$2,)</f>
        <v>0</v>
      </c>
      <c r="V147" s="140"/>
      <c r="W147" s="140"/>
      <c r="X147" s="140"/>
      <c r="Y147" s="140"/>
      <c r="Z147" s="140"/>
      <c r="AA147" s="140"/>
      <c r="AB147" s="140"/>
      <c r="AC147" s="140"/>
      <c r="AD147" s="140"/>
      <c r="AE147" s="140"/>
      <c r="AF147" s="140"/>
      <c r="AG147" s="140"/>
      <c r="AH147" s="140"/>
      <c r="AI147" s="140"/>
      <c r="AJ147" s="140"/>
      <c r="AK147" s="140"/>
      <c r="AL147" s="140"/>
      <c r="AM147" s="140"/>
      <c r="AN147" s="140"/>
      <c r="AO147" s="140"/>
      <c r="AP147" s="140"/>
      <c r="AQ147" s="140"/>
      <c r="AR147" s="140"/>
      <c r="AS147" s="140"/>
      <c r="AT147" s="140"/>
      <c r="AU147" s="140"/>
      <c r="AV147" s="140"/>
      <c r="AW147" s="140"/>
      <c r="AX147" s="140"/>
      <c r="AY147" s="140"/>
      <c r="AZ147" s="140"/>
      <c r="BA147" s="140"/>
      <c r="BB147" s="140"/>
      <c r="BC147" s="140"/>
      <c r="BD147" s="140"/>
      <c r="BE147" s="140"/>
      <c r="BF147" s="140"/>
      <c r="BG147" s="140"/>
      <c r="BH147" s="140"/>
      <c r="BI147" s="140"/>
      <c r="BJ147" s="140"/>
      <c r="BK147" s="140"/>
      <c r="BL147" s="140"/>
      <c r="BM147" s="140"/>
      <c r="BN147" s="140"/>
      <c r="BO147" s="140"/>
      <c r="BP147" s="140"/>
      <c r="BQ147" s="140"/>
      <c r="BR147" s="140"/>
      <c r="BS147" s="140"/>
      <c r="BT147" s="140"/>
      <c r="BU147" s="140"/>
      <c r="BV147" s="140"/>
      <c r="BW147" s="140"/>
      <c r="BX147" s="140"/>
      <c r="BY147" s="140"/>
      <c r="BZ147" s="140"/>
      <c r="CA147" s="140"/>
      <c r="CB147" s="140"/>
      <c r="CC147" s="140"/>
      <c r="CD147" s="140"/>
      <c r="CE147" s="140"/>
      <c r="CF147" s="140"/>
      <c r="CG147" s="140"/>
      <c r="CH147" s="140"/>
      <c r="CI147" s="140"/>
      <c r="CJ147" s="140"/>
      <c r="CK147" s="140"/>
      <c r="CL147" s="140"/>
      <c r="CM147" s="140"/>
      <c r="CN147" s="140"/>
      <c r="CO147" s="140"/>
      <c r="CP147" s="140"/>
      <c r="CQ147" s="140"/>
      <c r="CR147" s="140"/>
      <c r="CS147" s="140"/>
      <c r="CT147" s="140"/>
      <c r="CU147" s="140"/>
      <c r="CV147" s="140"/>
      <c r="CW147" s="140"/>
    </row>
    <row r="148" spans="1:101" x14ac:dyDescent="0.2">
      <c r="A148" s="29" t="str">
        <f t="shared" ca="1" si="2"/>
        <v>2025-08-19</v>
      </c>
      <c r="B148" s="140">
        <f ca="1">IF(ISNUMBER(MATCH(DATEVALUE($A148),'changes1_based on steps'!B$1:B$400,0)),B$2,)</f>
        <v>0</v>
      </c>
      <c r="C148" s="140">
        <f ca="1">IF(ISNUMBER(MATCH(DATEVALUE($A148),'changes1_based on steps'!C$1:C$400,0)),C$2,)</f>
        <v>0</v>
      </c>
      <c r="D148" s="140">
        <f ca="1">IF(ISNUMBER(MATCH(DATEVALUE($A148),'changes1_based on steps'!D$1:D$400,0)),D$2,)</f>
        <v>0</v>
      </c>
      <c r="E148" s="140">
        <f ca="1">IF(ISNUMBER(MATCH(DATEVALUE($A148),'changes1_based on steps'!E$1:E$400,0)),E$2,)</f>
        <v>0</v>
      </c>
      <c r="F148" s="140">
        <f ca="1">IF(ISNUMBER(MATCH(DATEVALUE($A148),'changes1_based on steps'!F$1:F$400,0)),F$2,)</f>
        <v>0</v>
      </c>
      <c r="G148" s="140">
        <f ca="1">IF(ISNUMBER(MATCH(DATEVALUE($A148),'changes1_based on steps'!G$1:G$400,0)),G$2,)</f>
        <v>0</v>
      </c>
      <c r="H148" s="140">
        <f ca="1">IF(ISNUMBER(MATCH(DATEVALUE($A148),'changes1_based on steps'!H$1:H$400,0)),H$2,)</f>
        <v>0</v>
      </c>
      <c r="I148" s="140">
        <f ca="1">IF(ISNUMBER(MATCH(DATEVALUE($A148),'changes1_based on steps'!I$1:I$400,0)),I$2,)</f>
        <v>0</v>
      </c>
      <c r="J148" s="140">
        <f ca="1">IF(ISNUMBER(MATCH(DATEVALUE($A148),'changes1_based on steps'!J$1:J$400,0)),J$2,)</f>
        <v>0</v>
      </c>
      <c r="K148" s="140">
        <f ca="1">IF(ISNUMBER(MATCH(DATEVALUE($A148),'changes1_based on steps'!K$1:K$400,0)),K$2,)</f>
        <v>0</v>
      </c>
      <c r="L148" s="140">
        <f ca="1">IF(ISNUMBER(MATCH(DATEVALUE($A148),'changes1_based on steps'!L$1:L$400,0)),L$2,)</f>
        <v>0</v>
      </c>
      <c r="M148" s="140">
        <f ca="1">IF(ISNUMBER(MATCH(DATEVALUE($A148),'changes1_based on steps'!M$1:M$400,0)),M$2,)</f>
        <v>0</v>
      </c>
      <c r="N148" s="140">
        <f ca="1">IF(ISNUMBER(MATCH(DATEVALUE($A148),'changes1_based on steps'!N$1:N$400,0)),N$2,)</f>
        <v>0</v>
      </c>
      <c r="O148" s="140">
        <f ca="1">IF(ISNUMBER(MATCH(DATEVALUE($A148),'changes1_based on steps'!O$1:O$400,0)),O$2,)</f>
        <v>0</v>
      </c>
      <c r="P148" s="140">
        <f ca="1">IF(ISNUMBER(MATCH(DATEVALUE($A148),'changes1_based on steps'!P$1:P$400,0)),P$2,)</f>
        <v>0</v>
      </c>
      <c r="Q148" s="140">
        <f ca="1">IF(ISNUMBER(MATCH(DATEVALUE($A148),'changes1_based on steps'!Q$1:Q$400,0)),Q$2,)</f>
        <v>0</v>
      </c>
      <c r="R148" s="140">
        <f ca="1">IF(ISNUMBER(MATCH(DATEVALUE($A148),'changes1_based on steps'!R$1:R$400,0)),R$2,)</f>
        <v>0</v>
      </c>
      <c r="S148" s="140">
        <f ca="1">IF(ISNUMBER(MATCH(DATEVALUE($A148),'changes1_based on steps'!S$1:S$400,0)),S$2,)</f>
        <v>0</v>
      </c>
      <c r="T148" s="140">
        <f ca="1">IF(ISNUMBER(MATCH(DATEVALUE($A148),'changes1_based on steps'!T$1:T$400,0)),T$2,)</f>
        <v>0</v>
      </c>
      <c r="U148" s="140">
        <f ca="1">IF(ISNUMBER(MATCH(DATEVALUE($A148),'changes1_based on steps'!U$1:U$400,0)),U$2,)</f>
        <v>0</v>
      </c>
      <c r="V148" s="140"/>
      <c r="W148" s="140"/>
      <c r="X148" s="140"/>
      <c r="Y148" s="140"/>
      <c r="Z148" s="140"/>
      <c r="AA148" s="140"/>
      <c r="AB148" s="140"/>
      <c r="AC148" s="140"/>
      <c r="AD148" s="140"/>
      <c r="AE148" s="140"/>
      <c r="AF148" s="140"/>
      <c r="AG148" s="140"/>
      <c r="AH148" s="140"/>
      <c r="AI148" s="140"/>
      <c r="AJ148" s="140"/>
      <c r="AK148" s="140"/>
      <c r="AL148" s="140"/>
      <c r="AM148" s="140"/>
      <c r="AN148" s="140"/>
      <c r="AO148" s="140"/>
      <c r="AP148" s="140"/>
      <c r="AQ148" s="140"/>
      <c r="AR148" s="140"/>
      <c r="AS148" s="140"/>
      <c r="AT148" s="140"/>
      <c r="AU148" s="140"/>
      <c r="AV148" s="140"/>
      <c r="AW148" s="140"/>
      <c r="AX148" s="140"/>
      <c r="AY148" s="140"/>
      <c r="AZ148" s="140"/>
      <c r="BA148" s="140"/>
      <c r="BB148" s="140"/>
      <c r="BC148" s="140"/>
      <c r="BD148" s="140"/>
      <c r="BE148" s="140"/>
      <c r="BF148" s="140"/>
      <c r="BG148" s="140"/>
      <c r="BH148" s="140"/>
      <c r="BI148" s="140"/>
      <c r="BJ148" s="140"/>
      <c r="BK148" s="140"/>
      <c r="BL148" s="140"/>
      <c r="BM148" s="140"/>
      <c r="BN148" s="140"/>
      <c r="BO148" s="140"/>
      <c r="BP148" s="140"/>
      <c r="BQ148" s="140"/>
      <c r="BR148" s="140"/>
      <c r="BS148" s="140"/>
      <c r="BT148" s="140"/>
      <c r="BU148" s="140"/>
      <c r="BV148" s="140"/>
      <c r="BW148" s="140"/>
      <c r="BX148" s="140"/>
      <c r="BY148" s="140"/>
      <c r="BZ148" s="140"/>
      <c r="CA148" s="140"/>
      <c r="CB148" s="140"/>
      <c r="CC148" s="140"/>
      <c r="CD148" s="140"/>
      <c r="CE148" s="140"/>
      <c r="CF148" s="140"/>
      <c r="CG148" s="140"/>
      <c r="CH148" s="140"/>
      <c r="CI148" s="140"/>
      <c r="CJ148" s="140"/>
      <c r="CK148" s="140"/>
      <c r="CL148" s="140"/>
      <c r="CM148" s="140"/>
      <c r="CN148" s="140"/>
      <c r="CO148" s="140"/>
      <c r="CP148" s="140"/>
      <c r="CQ148" s="140"/>
      <c r="CR148" s="140"/>
      <c r="CS148" s="140"/>
      <c r="CT148" s="140"/>
      <c r="CU148" s="140"/>
      <c r="CV148" s="140"/>
      <c r="CW148" s="140"/>
    </row>
    <row r="149" spans="1:101" x14ac:dyDescent="0.2">
      <c r="A149" s="29" t="str">
        <f t="shared" ca="1" si="2"/>
        <v>2025-08-20</v>
      </c>
      <c r="B149" s="140">
        <f ca="1">IF(ISNUMBER(MATCH(DATEVALUE($A149),'changes1_based on steps'!B$1:B$400,0)),B$2,)</f>
        <v>0</v>
      </c>
      <c r="C149" s="140">
        <f ca="1">IF(ISNUMBER(MATCH(DATEVALUE($A149),'changes1_based on steps'!C$1:C$400,0)),C$2,)</f>
        <v>0</v>
      </c>
      <c r="D149" s="140">
        <f ca="1">IF(ISNUMBER(MATCH(DATEVALUE($A149),'changes1_based on steps'!D$1:D$400,0)),D$2,)</f>
        <v>0</v>
      </c>
      <c r="E149" s="140">
        <f ca="1">IF(ISNUMBER(MATCH(DATEVALUE($A149),'changes1_based on steps'!E$1:E$400,0)),E$2,)</f>
        <v>0</v>
      </c>
      <c r="F149" s="140">
        <f ca="1">IF(ISNUMBER(MATCH(DATEVALUE($A149),'changes1_based on steps'!F$1:F$400,0)),F$2,)</f>
        <v>0</v>
      </c>
      <c r="G149" s="140">
        <f ca="1">IF(ISNUMBER(MATCH(DATEVALUE($A149),'changes1_based on steps'!G$1:G$400,0)),G$2,)</f>
        <v>0</v>
      </c>
      <c r="H149" s="140">
        <f ca="1">IF(ISNUMBER(MATCH(DATEVALUE($A149),'changes1_based on steps'!H$1:H$400,0)),H$2,)</f>
        <v>0</v>
      </c>
      <c r="I149" s="140">
        <f ca="1">IF(ISNUMBER(MATCH(DATEVALUE($A149),'changes1_based on steps'!I$1:I$400,0)),I$2,)</f>
        <v>0</v>
      </c>
      <c r="J149" s="140">
        <f ca="1">IF(ISNUMBER(MATCH(DATEVALUE($A149),'changes1_based on steps'!J$1:J$400,0)),J$2,)</f>
        <v>0</v>
      </c>
      <c r="K149" s="140">
        <f ca="1">IF(ISNUMBER(MATCH(DATEVALUE($A149),'changes1_based on steps'!K$1:K$400,0)),K$2,)</f>
        <v>0</v>
      </c>
      <c r="L149" s="140">
        <f ca="1">IF(ISNUMBER(MATCH(DATEVALUE($A149),'changes1_based on steps'!L$1:L$400,0)),L$2,)</f>
        <v>0</v>
      </c>
      <c r="M149" s="140">
        <f ca="1">IF(ISNUMBER(MATCH(DATEVALUE($A149),'changes1_based on steps'!M$1:M$400,0)),M$2,)</f>
        <v>0</v>
      </c>
      <c r="N149" s="140">
        <f ca="1">IF(ISNUMBER(MATCH(DATEVALUE($A149),'changes1_based on steps'!N$1:N$400,0)),N$2,)</f>
        <v>0</v>
      </c>
      <c r="O149" s="140">
        <f ca="1">IF(ISNUMBER(MATCH(DATEVALUE($A149),'changes1_based on steps'!O$1:O$400,0)),O$2,)</f>
        <v>0</v>
      </c>
      <c r="P149" s="140">
        <f ca="1">IF(ISNUMBER(MATCH(DATEVALUE($A149),'changes1_based on steps'!P$1:P$400,0)),P$2,)</f>
        <v>0</v>
      </c>
      <c r="Q149" s="140">
        <f ca="1">IF(ISNUMBER(MATCH(DATEVALUE($A149),'changes1_based on steps'!Q$1:Q$400,0)),Q$2,)</f>
        <v>0</v>
      </c>
      <c r="R149" s="140">
        <f ca="1">IF(ISNUMBER(MATCH(DATEVALUE($A149),'changes1_based on steps'!R$1:R$400,0)),R$2,)</f>
        <v>0</v>
      </c>
      <c r="S149" s="140">
        <f ca="1">IF(ISNUMBER(MATCH(DATEVALUE($A149),'changes1_based on steps'!S$1:S$400,0)),S$2,)</f>
        <v>0</v>
      </c>
      <c r="T149" s="140">
        <f ca="1">IF(ISNUMBER(MATCH(DATEVALUE($A149),'changes1_based on steps'!T$1:T$400,0)),T$2,)</f>
        <v>0</v>
      </c>
      <c r="U149" s="140">
        <f ca="1">IF(ISNUMBER(MATCH(DATEVALUE($A149),'changes1_based on steps'!U$1:U$400,0)),U$2,)</f>
        <v>0</v>
      </c>
      <c r="V149" s="140"/>
      <c r="W149" s="140"/>
      <c r="X149" s="140"/>
      <c r="Y149" s="140"/>
      <c r="Z149" s="140"/>
      <c r="AA149" s="140"/>
      <c r="AB149" s="140"/>
      <c r="AC149" s="140"/>
      <c r="AD149" s="140"/>
      <c r="AE149" s="140"/>
      <c r="AF149" s="140"/>
      <c r="AG149" s="140"/>
      <c r="AH149" s="140"/>
      <c r="AI149" s="140"/>
      <c r="AJ149" s="140"/>
      <c r="AK149" s="140"/>
      <c r="AL149" s="140"/>
      <c r="AM149" s="140"/>
      <c r="AN149" s="140"/>
      <c r="AO149" s="140"/>
      <c r="AP149" s="140"/>
      <c r="AQ149" s="140"/>
      <c r="AR149" s="140"/>
      <c r="AS149" s="140"/>
      <c r="AT149" s="140"/>
      <c r="AU149" s="140"/>
      <c r="AV149" s="140"/>
      <c r="AW149" s="140"/>
      <c r="AX149" s="140"/>
      <c r="AY149" s="140"/>
      <c r="AZ149" s="140"/>
      <c r="BA149" s="140"/>
      <c r="BB149" s="140"/>
      <c r="BC149" s="140"/>
      <c r="BD149" s="140"/>
      <c r="BE149" s="140"/>
      <c r="BF149" s="140"/>
      <c r="BG149" s="140"/>
      <c r="BH149" s="140"/>
      <c r="BI149" s="140"/>
      <c r="BJ149" s="140"/>
      <c r="BK149" s="140"/>
      <c r="BL149" s="140"/>
      <c r="BM149" s="140"/>
      <c r="BN149" s="140"/>
      <c r="BO149" s="140"/>
      <c r="BP149" s="140"/>
      <c r="BQ149" s="140"/>
      <c r="BR149" s="140"/>
      <c r="BS149" s="140"/>
      <c r="BT149" s="140"/>
      <c r="BU149" s="140"/>
      <c r="BV149" s="140"/>
      <c r="BW149" s="140"/>
      <c r="BX149" s="140"/>
      <c r="BY149" s="140"/>
      <c r="BZ149" s="140"/>
      <c r="CA149" s="140"/>
      <c r="CB149" s="140"/>
      <c r="CC149" s="140"/>
      <c r="CD149" s="140"/>
      <c r="CE149" s="140"/>
      <c r="CF149" s="140"/>
      <c r="CG149" s="140"/>
      <c r="CH149" s="140"/>
      <c r="CI149" s="140"/>
      <c r="CJ149" s="140"/>
      <c r="CK149" s="140"/>
      <c r="CL149" s="140"/>
      <c r="CM149" s="140"/>
      <c r="CN149" s="140"/>
      <c r="CO149" s="140"/>
      <c r="CP149" s="140"/>
      <c r="CQ149" s="140"/>
      <c r="CR149" s="140"/>
      <c r="CS149" s="140"/>
      <c r="CT149" s="140"/>
      <c r="CU149" s="140"/>
      <c r="CV149" s="140"/>
      <c r="CW149" s="140"/>
    </row>
    <row r="150" spans="1:101" x14ac:dyDescent="0.2">
      <c r="A150" s="29" t="str">
        <f t="shared" ca="1" si="2"/>
        <v>2025-08-21</v>
      </c>
      <c r="B150" s="140">
        <f ca="1">IF(ISNUMBER(MATCH(DATEVALUE($A150),'changes1_based on steps'!B$1:B$400,0)),B$2,)</f>
        <v>0</v>
      </c>
      <c r="C150" s="140">
        <f ca="1">IF(ISNUMBER(MATCH(DATEVALUE($A150),'changes1_based on steps'!C$1:C$400,0)),C$2,)</f>
        <v>0</v>
      </c>
      <c r="D150" s="140">
        <f ca="1">IF(ISNUMBER(MATCH(DATEVALUE($A150),'changes1_based on steps'!D$1:D$400,0)),D$2,)</f>
        <v>0</v>
      </c>
      <c r="E150" s="140">
        <f ca="1">IF(ISNUMBER(MATCH(DATEVALUE($A150),'changes1_based on steps'!E$1:E$400,0)),E$2,)</f>
        <v>0</v>
      </c>
      <c r="F150" s="140">
        <f ca="1">IF(ISNUMBER(MATCH(DATEVALUE($A150),'changes1_based on steps'!F$1:F$400,0)),F$2,)</f>
        <v>0</v>
      </c>
      <c r="G150" s="140">
        <f ca="1">IF(ISNUMBER(MATCH(DATEVALUE($A150),'changes1_based on steps'!G$1:G$400,0)),G$2,)</f>
        <v>0</v>
      </c>
      <c r="H150" s="140">
        <f ca="1">IF(ISNUMBER(MATCH(DATEVALUE($A150),'changes1_based on steps'!H$1:H$400,0)),H$2,)</f>
        <v>0</v>
      </c>
      <c r="I150" s="140">
        <f ca="1">IF(ISNUMBER(MATCH(DATEVALUE($A150),'changes1_based on steps'!I$1:I$400,0)),I$2,)</f>
        <v>0</v>
      </c>
      <c r="J150" s="140">
        <f ca="1">IF(ISNUMBER(MATCH(DATEVALUE($A150),'changes1_based on steps'!J$1:J$400,0)),J$2,)</f>
        <v>0</v>
      </c>
      <c r="K150" s="140">
        <f ca="1">IF(ISNUMBER(MATCH(DATEVALUE($A150),'changes1_based on steps'!K$1:K$400,0)),K$2,)</f>
        <v>0</v>
      </c>
      <c r="L150" s="140">
        <f ca="1">IF(ISNUMBER(MATCH(DATEVALUE($A150),'changes1_based on steps'!L$1:L$400,0)),L$2,)</f>
        <v>0</v>
      </c>
      <c r="M150" s="140">
        <f ca="1">IF(ISNUMBER(MATCH(DATEVALUE($A150),'changes1_based on steps'!M$1:M$400,0)),M$2,)</f>
        <v>0</v>
      </c>
      <c r="N150" s="140">
        <f ca="1">IF(ISNUMBER(MATCH(DATEVALUE($A150),'changes1_based on steps'!N$1:N$400,0)),N$2,)</f>
        <v>0</v>
      </c>
      <c r="O150" s="140">
        <f ca="1">IF(ISNUMBER(MATCH(DATEVALUE($A150),'changes1_based on steps'!O$1:O$400,0)),O$2,)</f>
        <v>0</v>
      </c>
      <c r="P150" s="140">
        <f ca="1">IF(ISNUMBER(MATCH(DATEVALUE($A150),'changes1_based on steps'!P$1:P$400,0)),P$2,)</f>
        <v>0</v>
      </c>
      <c r="Q150" s="140">
        <f ca="1">IF(ISNUMBER(MATCH(DATEVALUE($A150),'changes1_based on steps'!Q$1:Q$400,0)),Q$2,)</f>
        <v>0</v>
      </c>
      <c r="R150" s="140">
        <f ca="1">IF(ISNUMBER(MATCH(DATEVALUE($A150),'changes1_based on steps'!R$1:R$400,0)),R$2,)</f>
        <v>0</v>
      </c>
      <c r="S150" s="140">
        <f ca="1">IF(ISNUMBER(MATCH(DATEVALUE($A150),'changes1_based on steps'!S$1:S$400,0)),S$2,)</f>
        <v>0</v>
      </c>
      <c r="T150" s="140">
        <f ca="1">IF(ISNUMBER(MATCH(DATEVALUE($A150),'changes1_based on steps'!T$1:T$400,0)),T$2,)</f>
        <v>0</v>
      </c>
      <c r="U150" s="140">
        <f ca="1">IF(ISNUMBER(MATCH(DATEVALUE($A150),'changes1_based on steps'!U$1:U$400,0)),U$2,)</f>
        <v>0</v>
      </c>
      <c r="V150" s="140"/>
      <c r="W150" s="140"/>
      <c r="X150" s="140"/>
      <c r="Y150" s="140"/>
      <c r="Z150" s="140"/>
      <c r="AA150" s="140"/>
      <c r="AB150" s="140"/>
      <c r="AC150" s="140"/>
      <c r="AD150" s="140"/>
      <c r="AE150" s="140"/>
      <c r="AF150" s="140"/>
      <c r="AG150" s="140"/>
      <c r="AH150" s="140"/>
      <c r="AI150" s="140"/>
      <c r="AJ150" s="140"/>
      <c r="AK150" s="140"/>
      <c r="AL150" s="140"/>
      <c r="AM150" s="140"/>
      <c r="AN150" s="140"/>
      <c r="AO150" s="140"/>
      <c r="AP150" s="140"/>
      <c r="AQ150" s="140"/>
      <c r="AR150" s="140"/>
      <c r="AS150" s="140"/>
      <c r="AT150" s="140"/>
      <c r="AU150" s="140"/>
      <c r="AV150" s="140"/>
      <c r="AW150" s="140"/>
      <c r="AX150" s="140"/>
      <c r="AY150" s="140"/>
      <c r="AZ150" s="140"/>
      <c r="BA150" s="140"/>
      <c r="BB150" s="140"/>
      <c r="BC150" s="140"/>
      <c r="BD150" s="140"/>
      <c r="BE150" s="140"/>
      <c r="BF150" s="140"/>
      <c r="BG150" s="140"/>
      <c r="BH150" s="140"/>
      <c r="BI150" s="140"/>
      <c r="BJ150" s="140"/>
      <c r="BK150" s="140"/>
      <c r="BL150" s="140"/>
      <c r="BM150" s="140"/>
      <c r="BN150" s="140"/>
      <c r="BO150" s="140"/>
      <c r="BP150" s="140"/>
      <c r="BQ150" s="140"/>
      <c r="BR150" s="140"/>
      <c r="BS150" s="140"/>
      <c r="BT150" s="140"/>
      <c r="BU150" s="140"/>
      <c r="BV150" s="140"/>
      <c r="BW150" s="140"/>
      <c r="BX150" s="140"/>
      <c r="BY150" s="140"/>
      <c r="BZ150" s="140"/>
      <c r="CA150" s="140"/>
      <c r="CB150" s="140"/>
      <c r="CC150" s="140"/>
      <c r="CD150" s="140"/>
      <c r="CE150" s="140"/>
      <c r="CF150" s="140"/>
      <c r="CG150" s="140"/>
      <c r="CH150" s="140"/>
      <c r="CI150" s="140"/>
      <c r="CJ150" s="140"/>
      <c r="CK150" s="140"/>
      <c r="CL150" s="140"/>
      <c r="CM150" s="140"/>
      <c r="CN150" s="140"/>
      <c r="CO150" s="140"/>
      <c r="CP150" s="140"/>
      <c r="CQ150" s="140"/>
      <c r="CR150" s="140"/>
      <c r="CS150" s="140"/>
      <c r="CT150" s="140"/>
      <c r="CU150" s="140"/>
      <c r="CV150" s="140"/>
      <c r="CW150" s="140"/>
    </row>
    <row r="151" spans="1:101" x14ac:dyDescent="0.2">
      <c r="A151" s="29" t="str">
        <f t="shared" ca="1" si="2"/>
        <v>2025-08-22</v>
      </c>
      <c r="B151" s="140">
        <f ca="1">IF(ISNUMBER(MATCH(DATEVALUE($A151),'changes1_based on steps'!B$1:B$400,0)),B$2,)</f>
        <v>0</v>
      </c>
      <c r="C151" s="140">
        <f ca="1">IF(ISNUMBER(MATCH(DATEVALUE($A151),'changes1_based on steps'!C$1:C$400,0)),C$2,)</f>
        <v>0</v>
      </c>
      <c r="D151" s="140">
        <f ca="1">IF(ISNUMBER(MATCH(DATEVALUE($A151),'changes1_based on steps'!D$1:D$400,0)),D$2,)</f>
        <v>0</v>
      </c>
      <c r="E151" s="140">
        <f ca="1">IF(ISNUMBER(MATCH(DATEVALUE($A151),'changes1_based on steps'!E$1:E$400,0)),E$2,)</f>
        <v>0</v>
      </c>
      <c r="F151" s="140">
        <f ca="1">IF(ISNUMBER(MATCH(DATEVALUE($A151),'changes1_based on steps'!F$1:F$400,0)),F$2,)</f>
        <v>0</v>
      </c>
      <c r="G151" s="140">
        <f ca="1">IF(ISNUMBER(MATCH(DATEVALUE($A151),'changes1_based on steps'!G$1:G$400,0)),G$2,)</f>
        <v>0</v>
      </c>
      <c r="H151" s="140">
        <f ca="1">IF(ISNUMBER(MATCH(DATEVALUE($A151),'changes1_based on steps'!H$1:H$400,0)),H$2,)</f>
        <v>0</v>
      </c>
      <c r="I151" s="140">
        <f ca="1">IF(ISNUMBER(MATCH(DATEVALUE($A151),'changes1_based on steps'!I$1:I$400,0)),I$2,)</f>
        <v>0</v>
      </c>
      <c r="J151" s="140">
        <f ca="1">IF(ISNUMBER(MATCH(DATEVALUE($A151),'changes1_based on steps'!J$1:J$400,0)),J$2,)</f>
        <v>0</v>
      </c>
      <c r="K151" s="140">
        <f ca="1">IF(ISNUMBER(MATCH(DATEVALUE($A151),'changes1_based on steps'!K$1:K$400,0)),K$2,)</f>
        <v>0</v>
      </c>
      <c r="L151" s="140">
        <f ca="1">IF(ISNUMBER(MATCH(DATEVALUE($A151),'changes1_based on steps'!L$1:L$400,0)),L$2,)</f>
        <v>0</v>
      </c>
      <c r="M151" s="140">
        <f ca="1">IF(ISNUMBER(MATCH(DATEVALUE($A151),'changes1_based on steps'!M$1:M$400,0)),M$2,)</f>
        <v>0</v>
      </c>
      <c r="N151" s="140">
        <f ca="1">IF(ISNUMBER(MATCH(DATEVALUE($A151),'changes1_based on steps'!N$1:N$400,0)),N$2,)</f>
        <v>0</v>
      </c>
      <c r="O151" s="140">
        <f ca="1">IF(ISNUMBER(MATCH(DATEVALUE($A151),'changes1_based on steps'!O$1:O$400,0)),O$2,)</f>
        <v>0</v>
      </c>
      <c r="P151" s="140">
        <f ca="1">IF(ISNUMBER(MATCH(DATEVALUE($A151),'changes1_based on steps'!P$1:P$400,0)),P$2,)</f>
        <v>0</v>
      </c>
      <c r="Q151" s="140">
        <f ca="1">IF(ISNUMBER(MATCH(DATEVALUE($A151),'changes1_based on steps'!Q$1:Q$400,0)),Q$2,)</f>
        <v>0</v>
      </c>
      <c r="R151" s="140">
        <f ca="1">IF(ISNUMBER(MATCH(DATEVALUE($A151),'changes1_based on steps'!R$1:R$400,0)),R$2,)</f>
        <v>0</v>
      </c>
      <c r="S151" s="140">
        <f ca="1">IF(ISNUMBER(MATCH(DATEVALUE($A151),'changes1_based on steps'!S$1:S$400,0)),S$2,)</f>
        <v>0</v>
      </c>
      <c r="T151" s="140">
        <f ca="1">IF(ISNUMBER(MATCH(DATEVALUE($A151),'changes1_based on steps'!T$1:T$400,0)),T$2,)</f>
        <v>0</v>
      </c>
      <c r="U151" s="140">
        <f ca="1">IF(ISNUMBER(MATCH(DATEVALUE($A151),'changes1_based on steps'!U$1:U$400,0)),U$2,)</f>
        <v>0</v>
      </c>
      <c r="V151" s="140"/>
      <c r="W151" s="140"/>
      <c r="X151" s="140"/>
      <c r="Y151" s="140"/>
      <c r="Z151" s="140"/>
      <c r="AA151" s="140"/>
      <c r="AB151" s="140"/>
      <c r="AC151" s="140"/>
      <c r="AD151" s="140"/>
      <c r="AE151" s="140"/>
      <c r="AF151" s="140"/>
      <c r="AG151" s="140"/>
      <c r="AH151" s="140"/>
      <c r="AI151" s="140"/>
      <c r="AJ151" s="140"/>
      <c r="AK151" s="140"/>
      <c r="AL151" s="140"/>
      <c r="AM151" s="140"/>
      <c r="AN151" s="140"/>
      <c r="AO151" s="140"/>
      <c r="AP151" s="140"/>
      <c r="AQ151" s="140"/>
      <c r="AR151" s="140"/>
      <c r="AS151" s="140"/>
      <c r="AT151" s="140"/>
      <c r="AU151" s="140"/>
      <c r="AV151" s="140"/>
      <c r="AW151" s="140"/>
      <c r="AX151" s="140"/>
      <c r="AY151" s="140"/>
      <c r="AZ151" s="140"/>
      <c r="BA151" s="140"/>
      <c r="BB151" s="140"/>
      <c r="BC151" s="140"/>
      <c r="BD151" s="140"/>
      <c r="BE151" s="140"/>
      <c r="BF151" s="140"/>
      <c r="BG151" s="140"/>
      <c r="BH151" s="140"/>
      <c r="BI151" s="140"/>
      <c r="BJ151" s="140"/>
      <c r="BK151" s="140"/>
      <c r="BL151" s="140"/>
      <c r="BM151" s="140"/>
      <c r="BN151" s="140"/>
      <c r="BO151" s="140"/>
      <c r="BP151" s="140"/>
      <c r="BQ151" s="140"/>
      <c r="BR151" s="140"/>
      <c r="BS151" s="140"/>
      <c r="BT151" s="140"/>
      <c r="BU151" s="140"/>
      <c r="BV151" s="140"/>
      <c r="BW151" s="140"/>
      <c r="BX151" s="140"/>
      <c r="BY151" s="140"/>
      <c r="BZ151" s="140"/>
      <c r="CA151" s="140"/>
      <c r="CB151" s="140"/>
      <c r="CC151" s="140"/>
      <c r="CD151" s="140"/>
      <c r="CE151" s="140"/>
      <c r="CF151" s="140"/>
      <c r="CG151" s="140"/>
      <c r="CH151" s="140"/>
      <c r="CI151" s="140"/>
      <c r="CJ151" s="140"/>
      <c r="CK151" s="140"/>
      <c r="CL151" s="140"/>
      <c r="CM151" s="140"/>
      <c r="CN151" s="140"/>
      <c r="CO151" s="140"/>
      <c r="CP151" s="140"/>
      <c r="CQ151" s="140"/>
      <c r="CR151" s="140"/>
      <c r="CS151" s="140"/>
      <c r="CT151" s="140"/>
      <c r="CU151" s="140"/>
      <c r="CV151" s="140"/>
      <c r="CW151" s="140"/>
    </row>
    <row r="152" spans="1:101" x14ac:dyDescent="0.2">
      <c r="A152" s="29" t="str">
        <f t="shared" ca="1" si="2"/>
        <v>2025-08-23</v>
      </c>
      <c r="B152" s="140">
        <f ca="1">IF(ISNUMBER(MATCH(DATEVALUE($A152),'changes1_based on steps'!B$1:B$400,0)),B$2,)</f>
        <v>0</v>
      </c>
      <c r="C152" s="140">
        <f ca="1">IF(ISNUMBER(MATCH(DATEVALUE($A152),'changes1_based on steps'!C$1:C$400,0)),C$2,)</f>
        <v>0</v>
      </c>
      <c r="D152" s="140">
        <f ca="1">IF(ISNUMBER(MATCH(DATEVALUE($A152),'changes1_based on steps'!D$1:D$400,0)),D$2,)</f>
        <v>0</v>
      </c>
      <c r="E152" s="140">
        <f ca="1">IF(ISNUMBER(MATCH(DATEVALUE($A152),'changes1_based on steps'!E$1:E$400,0)),E$2,)</f>
        <v>0</v>
      </c>
      <c r="F152" s="140">
        <f ca="1">IF(ISNUMBER(MATCH(DATEVALUE($A152),'changes1_based on steps'!F$1:F$400,0)),F$2,)</f>
        <v>0</v>
      </c>
      <c r="G152" s="140">
        <f ca="1">IF(ISNUMBER(MATCH(DATEVALUE($A152),'changes1_based on steps'!G$1:G$400,0)),G$2,)</f>
        <v>0</v>
      </c>
      <c r="H152" s="140">
        <f ca="1">IF(ISNUMBER(MATCH(DATEVALUE($A152),'changes1_based on steps'!H$1:H$400,0)),H$2,)</f>
        <v>0</v>
      </c>
      <c r="I152" s="140">
        <f ca="1">IF(ISNUMBER(MATCH(DATEVALUE($A152),'changes1_based on steps'!I$1:I$400,0)),I$2,)</f>
        <v>0</v>
      </c>
      <c r="J152" s="140">
        <f ca="1">IF(ISNUMBER(MATCH(DATEVALUE($A152),'changes1_based on steps'!J$1:J$400,0)),J$2,)</f>
        <v>0</v>
      </c>
      <c r="K152" s="140">
        <f ca="1">IF(ISNUMBER(MATCH(DATEVALUE($A152),'changes1_based on steps'!K$1:K$400,0)),K$2,)</f>
        <v>0</v>
      </c>
      <c r="L152" s="140">
        <f ca="1">IF(ISNUMBER(MATCH(DATEVALUE($A152),'changes1_based on steps'!L$1:L$400,0)),L$2,)</f>
        <v>0</v>
      </c>
      <c r="M152" s="140">
        <f ca="1">IF(ISNUMBER(MATCH(DATEVALUE($A152),'changes1_based on steps'!M$1:M$400,0)),M$2,)</f>
        <v>0</v>
      </c>
      <c r="N152" s="140">
        <f ca="1">IF(ISNUMBER(MATCH(DATEVALUE($A152),'changes1_based on steps'!N$1:N$400,0)),N$2,)</f>
        <v>0</v>
      </c>
      <c r="O152" s="140">
        <f ca="1">IF(ISNUMBER(MATCH(DATEVALUE($A152),'changes1_based on steps'!O$1:O$400,0)),O$2,)</f>
        <v>0</v>
      </c>
      <c r="P152" s="140">
        <f ca="1">IF(ISNUMBER(MATCH(DATEVALUE($A152),'changes1_based on steps'!P$1:P$400,0)),P$2,)</f>
        <v>0</v>
      </c>
      <c r="Q152" s="140">
        <f ca="1">IF(ISNUMBER(MATCH(DATEVALUE($A152),'changes1_based on steps'!Q$1:Q$400,0)),Q$2,)</f>
        <v>0</v>
      </c>
      <c r="R152" s="140">
        <f ca="1">IF(ISNUMBER(MATCH(DATEVALUE($A152),'changes1_based on steps'!R$1:R$400,0)),R$2,)</f>
        <v>0</v>
      </c>
      <c r="S152" s="140">
        <f ca="1">IF(ISNUMBER(MATCH(DATEVALUE($A152),'changes1_based on steps'!S$1:S$400,0)),S$2,)</f>
        <v>0</v>
      </c>
      <c r="T152" s="140">
        <f ca="1">IF(ISNUMBER(MATCH(DATEVALUE($A152),'changes1_based on steps'!T$1:T$400,0)),T$2,)</f>
        <v>0</v>
      </c>
      <c r="U152" s="140">
        <f ca="1">IF(ISNUMBER(MATCH(DATEVALUE($A152),'changes1_based on steps'!U$1:U$400,0)),U$2,)</f>
        <v>0</v>
      </c>
      <c r="V152" s="140"/>
      <c r="W152" s="140"/>
      <c r="X152" s="140"/>
      <c r="Y152" s="140"/>
      <c r="Z152" s="140"/>
      <c r="AA152" s="140"/>
      <c r="AB152" s="140"/>
      <c r="AC152" s="140"/>
      <c r="AD152" s="140"/>
      <c r="AE152" s="140"/>
      <c r="AF152" s="140"/>
      <c r="AG152" s="140"/>
      <c r="AH152" s="140"/>
      <c r="AI152" s="140"/>
      <c r="AJ152" s="140"/>
      <c r="AK152" s="140"/>
      <c r="AL152" s="140"/>
      <c r="AM152" s="140"/>
      <c r="AN152" s="140"/>
      <c r="AO152" s="140"/>
      <c r="AP152" s="140"/>
      <c r="AQ152" s="140"/>
      <c r="AR152" s="140"/>
      <c r="AS152" s="140"/>
      <c r="AT152" s="140"/>
      <c r="AU152" s="140"/>
      <c r="AV152" s="140"/>
      <c r="AW152" s="140"/>
      <c r="AX152" s="140"/>
      <c r="AY152" s="140"/>
      <c r="AZ152" s="140"/>
      <c r="BA152" s="140"/>
      <c r="BB152" s="140"/>
      <c r="BC152" s="140"/>
      <c r="BD152" s="140"/>
      <c r="BE152" s="140"/>
      <c r="BF152" s="140"/>
      <c r="BG152" s="140"/>
      <c r="BH152" s="140"/>
      <c r="BI152" s="140"/>
      <c r="BJ152" s="140"/>
      <c r="BK152" s="140"/>
      <c r="BL152" s="140"/>
      <c r="BM152" s="140"/>
      <c r="BN152" s="140"/>
      <c r="BO152" s="140"/>
      <c r="BP152" s="140"/>
      <c r="BQ152" s="140"/>
      <c r="BR152" s="140"/>
      <c r="BS152" s="140"/>
      <c r="BT152" s="140"/>
      <c r="BU152" s="140"/>
      <c r="BV152" s="140"/>
      <c r="BW152" s="140"/>
      <c r="BX152" s="140"/>
      <c r="BY152" s="140"/>
      <c r="BZ152" s="140"/>
      <c r="CA152" s="140"/>
      <c r="CB152" s="140"/>
      <c r="CC152" s="140"/>
      <c r="CD152" s="140"/>
      <c r="CE152" s="140"/>
      <c r="CF152" s="140"/>
      <c r="CG152" s="140"/>
      <c r="CH152" s="140"/>
      <c r="CI152" s="140"/>
      <c r="CJ152" s="140"/>
      <c r="CK152" s="140"/>
      <c r="CL152" s="140"/>
      <c r="CM152" s="140"/>
      <c r="CN152" s="140"/>
      <c r="CO152" s="140"/>
      <c r="CP152" s="140"/>
      <c r="CQ152" s="140"/>
      <c r="CR152" s="140"/>
      <c r="CS152" s="140"/>
      <c r="CT152" s="140"/>
      <c r="CU152" s="140"/>
      <c r="CV152" s="140"/>
      <c r="CW152" s="140"/>
    </row>
    <row r="153" spans="1:101" x14ac:dyDescent="0.2">
      <c r="A153" s="29" t="str">
        <f t="shared" ca="1" si="2"/>
        <v>2025-08-24</v>
      </c>
      <c r="B153" s="140">
        <f ca="1">IF(ISNUMBER(MATCH(DATEVALUE($A153),'changes1_based on steps'!B$1:B$400,0)),B$2,)</f>
        <v>0</v>
      </c>
      <c r="C153" s="140">
        <f ca="1">IF(ISNUMBER(MATCH(DATEVALUE($A153),'changes1_based on steps'!C$1:C$400,0)),C$2,)</f>
        <v>0</v>
      </c>
      <c r="D153" s="140">
        <f ca="1">IF(ISNUMBER(MATCH(DATEVALUE($A153),'changes1_based on steps'!D$1:D$400,0)),D$2,)</f>
        <v>0</v>
      </c>
      <c r="E153" s="140">
        <f ca="1">IF(ISNUMBER(MATCH(DATEVALUE($A153),'changes1_based on steps'!E$1:E$400,0)),E$2,)</f>
        <v>0</v>
      </c>
      <c r="F153" s="140">
        <f ca="1">IF(ISNUMBER(MATCH(DATEVALUE($A153),'changes1_based on steps'!F$1:F$400,0)),F$2,)</f>
        <v>0</v>
      </c>
      <c r="G153" s="140">
        <f ca="1">IF(ISNUMBER(MATCH(DATEVALUE($A153),'changes1_based on steps'!G$1:G$400,0)),G$2,)</f>
        <v>0</v>
      </c>
      <c r="H153" s="140">
        <f ca="1">IF(ISNUMBER(MATCH(DATEVALUE($A153),'changes1_based on steps'!H$1:H$400,0)),H$2,)</f>
        <v>0</v>
      </c>
      <c r="I153" s="140">
        <f ca="1">IF(ISNUMBER(MATCH(DATEVALUE($A153),'changes1_based on steps'!I$1:I$400,0)),I$2,)</f>
        <v>0</v>
      </c>
      <c r="J153" s="140">
        <f ca="1">IF(ISNUMBER(MATCH(DATEVALUE($A153),'changes1_based on steps'!J$1:J$400,0)),J$2,)</f>
        <v>0</v>
      </c>
      <c r="K153" s="140">
        <f ca="1">IF(ISNUMBER(MATCH(DATEVALUE($A153),'changes1_based on steps'!K$1:K$400,0)),K$2,)</f>
        <v>0</v>
      </c>
      <c r="L153" s="140">
        <f ca="1">IF(ISNUMBER(MATCH(DATEVALUE($A153),'changes1_based on steps'!L$1:L$400,0)),L$2,)</f>
        <v>0</v>
      </c>
      <c r="M153" s="140">
        <f ca="1">IF(ISNUMBER(MATCH(DATEVALUE($A153),'changes1_based on steps'!M$1:M$400,0)),M$2,)</f>
        <v>0</v>
      </c>
      <c r="N153" s="140">
        <f ca="1">IF(ISNUMBER(MATCH(DATEVALUE($A153),'changes1_based on steps'!N$1:N$400,0)),N$2,)</f>
        <v>0</v>
      </c>
      <c r="O153" s="140">
        <f ca="1">IF(ISNUMBER(MATCH(DATEVALUE($A153),'changes1_based on steps'!O$1:O$400,0)),O$2,)</f>
        <v>0</v>
      </c>
      <c r="P153" s="140">
        <f ca="1">IF(ISNUMBER(MATCH(DATEVALUE($A153),'changes1_based on steps'!P$1:P$400,0)),P$2,)</f>
        <v>0</v>
      </c>
      <c r="Q153" s="140">
        <f ca="1">IF(ISNUMBER(MATCH(DATEVALUE($A153),'changes1_based on steps'!Q$1:Q$400,0)),Q$2,)</f>
        <v>0</v>
      </c>
      <c r="R153" s="140">
        <f ca="1">IF(ISNUMBER(MATCH(DATEVALUE($A153),'changes1_based on steps'!R$1:R$400,0)),R$2,)</f>
        <v>0</v>
      </c>
      <c r="S153" s="140">
        <f ca="1">IF(ISNUMBER(MATCH(DATEVALUE($A153),'changes1_based on steps'!S$1:S$400,0)),S$2,)</f>
        <v>0</v>
      </c>
      <c r="T153" s="140">
        <f ca="1">IF(ISNUMBER(MATCH(DATEVALUE($A153),'changes1_based on steps'!T$1:T$400,0)),T$2,)</f>
        <v>0</v>
      </c>
      <c r="U153" s="140">
        <f ca="1">IF(ISNUMBER(MATCH(DATEVALUE($A153),'changes1_based on steps'!U$1:U$400,0)),U$2,)</f>
        <v>0</v>
      </c>
      <c r="V153" s="140"/>
      <c r="W153" s="140"/>
      <c r="X153" s="140"/>
      <c r="Y153" s="140"/>
      <c r="Z153" s="140"/>
      <c r="AA153" s="140"/>
      <c r="AB153" s="140"/>
      <c r="AC153" s="140"/>
      <c r="AD153" s="140"/>
      <c r="AE153" s="140"/>
      <c r="AF153" s="140"/>
      <c r="AG153" s="140"/>
      <c r="AH153" s="140"/>
      <c r="AI153" s="140"/>
      <c r="AJ153" s="140"/>
      <c r="AK153" s="140"/>
      <c r="AL153" s="140"/>
      <c r="AM153" s="140"/>
      <c r="AN153" s="140"/>
      <c r="AO153" s="140"/>
      <c r="AP153" s="140"/>
      <c r="AQ153" s="140"/>
      <c r="AR153" s="140"/>
      <c r="AS153" s="140"/>
      <c r="AT153" s="140"/>
      <c r="AU153" s="140"/>
      <c r="AV153" s="140"/>
      <c r="AW153" s="140"/>
      <c r="AX153" s="140"/>
      <c r="AY153" s="140"/>
      <c r="AZ153" s="140"/>
      <c r="BA153" s="140"/>
      <c r="BB153" s="140"/>
      <c r="BC153" s="140"/>
      <c r="BD153" s="140"/>
      <c r="BE153" s="140"/>
      <c r="BF153" s="140"/>
      <c r="BG153" s="140"/>
      <c r="BH153" s="140"/>
      <c r="BI153" s="140"/>
      <c r="BJ153" s="140"/>
      <c r="BK153" s="140"/>
      <c r="BL153" s="140"/>
      <c r="BM153" s="140"/>
      <c r="BN153" s="140"/>
      <c r="BO153" s="140"/>
      <c r="BP153" s="140"/>
      <c r="BQ153" s="140"/>
      <c r="BR153" s="140"/>
      <c r="BS153" s="140"/>
      <c r="BT153" s="140"/>
      <c r="BU153" s="140"/>
      <c r="BV153" s="140"/>
      <c r="BW153" s="140"/>
      <c r="BX153" s="140"/>
      <c r="BY153" s="140"/>
      <c r="BZ153" s="140"/>
      <c r="CA153" s="140"/>
      <c r="CB153" s="140"/>
      <c r="CC153" s="140"/>
      <c r="CD153" s="140"/>
      <c r="CE153" s="140"/>
      <c r="CF153" s="140"/>
      <c r="CG153" s="140"/>
      <c r="CH153" s="140"/>
      <c r="CI153" s="140"/>
      <c r="CJ153" s="140"/>
      <c r="CK153" s="140"/>
      <c r="CL153" s="140"/>
      <c r="CM153" s="140"/>
      <c r="CN153" s="140"/>
      <c r="CO153" s="140"/>
      <c r="CP153" s="140"/>
      <c r="CQ153" s="140"/>
      <c r="CR153" s="140"/>
      <c r="CS153" s="140"/>
      <c r="CT153" s="140"/>
      <c r="CU153" s="140"/>
      <c r="CV153" s="140"/>
      <c r="CW153" s="140"/>
    </row>
    <row r="154" spans="1:101" x14ac:dyDescent="0.2">
      <c r="A154" s="29" t="str">
        <f t="shared" ca="1" si="2"/>
        <v>2025-08-25</v>
      </c>
      <c r="B154" s="140">
        <f ca="1">IF(ISNUMBER(MATCH(DATEVALUE($A154),'changes1_based on steps'!B$1:B$400,0)),B$2,)</f>
        <v>0</v>
      </c>
      <c r="C154" s="140">
        <f ca="1">IF(ISNUMBER(MATCH(DATEVALUE($A154),'changes1_based on steps'!C$1:C$400,0)),C$2,)</f>
        <v>0</v>
      </c>
      <c r="D154" s="140">
        <f ca="1">IF(ISNUMBER(MATCH(DATEVALUE($A154),'changes1_based on steps'!D$1:D$400,0)),D$2,)</f>
        <v>0</v>
      </c>
      <c r="E154" s="140">
        <f ca="1">IF(ISNUMBER(MATCH(DATEVALUE($A154),'changes1_based on steps'!E$1:E$400,0)),E$2,)</f>
        <v>0</v>
      </c>
      <c r="F154" s="140">
        <f ca="1">IF(ISNUMBER(MATCH(DATEVALUE($A154),'changes1_based on steps'!F$1:F$400,0)),F$2,)</f>
        <v>0</v>
      </c>
      <c r="G154" s="140">
        <f ca="1">IF(ISNUMBER(MATCH(DATEVALUE($A154),'changes1_based on steps'!G$1:G$400,0)),G$2,)</f>
        <v>0</v>
      </c>
      <c r="H154" s="140">
        <f ca="1">IF(ISNUMBER(MATCH(DATEVALUE($A154),'changes1_based on steps'!H$1:H$400,0)),H$2,)</f>
        <v>0</v>
      </c>
      <c r="I154" s="140">
        <f ca="1">IF(ISNUMBER(MATCH(DATEVALUE($A154),'changes1_based on steps'!I$1:I$400,0)),I$2,)</f>
        <v>0</v>
      </c>
      <c r="J154" s="140">
        <f ca="1">IF(ISNUMBER(MATCH(DATEVALUE($A154),'changes1_based on steps'!J$1:J$400,0)),J$2,)</f>
        <v>0</v>
      </c>
      <c r="K154" s="140">
        <f ca="1">IF(ISNUMBER(MATCH(DATEVALUE($A154),'changes1_based on steps'!K$1:K$400,0)),K$2,)</f>
        <v>0</v>
      </c>
      <c r="L154" s="140">
        <f ca="1">IF(ISNUMBER(MATCH(DATEVALUE($A154),'changes1_based on steps'!L$1:L$400,0)),L$2,)</f>
        <v>0</v>
      </c>
      <c r="M154" s="140">
        <f ca="1">IF(ISNUMBER(MATCH(DATEVALUE($A154),'changes1_based on steps'!M$1:M$400,0)),M$2,)</f>
        <v>0</v>
      </c>
      <c r="N154" s="140">
        <f ca="1">IF(ISNUMBER(MATCH(DATEVALUE($A154),'changes1_based on steps'!N$1:N$400,0)),N$2,)</f>
        <v>0</v>
      </c>
      <c r="O154" s="140">
        <f ca="1">IF(ISNUMBER(MATCH(DATEVALUE($A154),'changes1_based on steps'!O$1:O$400,0)),O$2,)</f>
        <v>0</v>
      </c>
      <c r="P154" s="140">
        <f ca="1">IF(ISNUMBER(MATCH(DATEVALUE($A154),'changes1_based on steps'!P$1:P$400,0)),P$2,)</f>
        <v>0</v>
      </c>
      <c r="Q154" s="140">
        <f ca="1">IF(ISNUMBER(MATCH(DATEVALUE($A154),'changes1_based on steps'!Q$1:Q$400,0)),Q$2,)</f>
        <v>0</v>
      </c>
      <c r="R154" s="140">
        <f ca="1">IF(ISNUMBER(MATCH(DATEVALUE($A154),'changes1_based on steps'!R$1:R$400,0)),R$2,)</f>
        <v>0</v>
      </c>
      <c r="S154" s="140">
        <f ca="1">IF(ISNUMBER(MATCH(DATEVALUE($A154),'changes1_based on steps'!S$1:S$400,0)),S$2,)</f>
        <v>0</v>
      </c>
      <c r="T154" s="140">
        <f ca="1">IF(ISNUMBER(MATCH(DATEVALUE($A154),'changes1_based on steps'!T$1:T$400,0)),T$2,)</f>
        <v>0</v>
      </c>
      <c r="U154" s="140">
        <f ca="1">IF(ISNUMBER(MATCH(DATEVALUE($A154),'changes1_based on steps'!U$1:U$400,0)),U$2,)</f>
        <v>0</v>
      </c>
      <c r="V154" s="140"/>
      <c r="W154" s="140"/>
      <c r="X154" s="140"/>
      <c r="Y154" s="140"/>
      <c r="Z154" s="140"/>
      <c r="AA154" s="140"/>
      <c r="AB154" s="140"/>
      <c r="AC154" s="140"/>
      <c r="AD154" s="140"/>
      <c r="AE154" s="140"/>
      <c r="AF154" s="140"/>
      <c r="AG154" s="140"/>
      <c r="AH154" s="140"/>
      <c r="AI154" s="140"/>
      <c r="AJ154" s="140"/>
      <c r="AK154" s="140"/>
      <c r="AL154" s="140"/>
      <c r="AM154" s="140"/>
      <c r="AN154" s="140"/>
      <c r="AO154" s="140"/>
      <c r="AP154" s="140"/>
      <c r="AQ154" s="140"/>
      <c r="AR154" s="140"/>
      <c r="AS154" s="140"/>
      <c r="AT154" s="140"/>
      <c r="AU154" s="140"/>
      <c r="AV154" s="140"/>
      <c r="AW154" s="140"/>
      <c r="AX154" s="140"/>
      <c r="AY154" s="140"/>
      <c r="AZ154" s="140"/>
      <c r="BA154" s="140"/>
      <c r="BB154" s="140"/>
      <c r="BC154" s="140"/>
      <c r="BD154" s="140"/>
      <c r="BE154" s="140"/>
      <c r="BF154" s="140"/>
      <c r="BG154" s="140"/>
      <c r="BH154" s="140"/>
      <c r="BI154" s="140"/>
      <c r="BJ154" s="140"/>
      <c r="BK154" s="140"/>
      <c r="BL154" s="140"/>
      <c r="BM154" s="140"/>
      <c r="BN154" s="140"/>
      <c r="BO154" s="140"/>
      <c r="BP154" s="140"/>
      <c r="BQ154" s="140"/>
      <c r="BR154" s="140"/>
      <c r="BS154" s="140"/>
      <c r="BT154" s="140"/>
      <c r="BU154" s="140"/>
      <c r="BV154" s="140"/>
      <c r="BW154" s="140"/>
      <c r="BX154" s="140"/>
      <c r="BY154" s="140"/>
      <c r="BZ154" s="140"/>
      <c r="CA154" s="140"/>
      <c r="CB154" s="140"/>
      <c r="CC154" s="140"/>
      <c r="CD154" s="140"/>
      <c r="CE154" s="140"/>
      <c r="CF154" s="140"/>
      <c r="CG154" s="140"/>
      <c r="CH154" s="140"/>
      <c r="CI154" s="140"/>
      <c r="CJ154" s="140"/>
      <c r="CK154" s="140"/>
      <c r="CL154" s="140"/>
      <c r="CM154" s="140"/>
      <c r="CN154" s="140"/>
      <c r="CO154" s="140"/>
      <c r="CP154" s="140"/>
      <c r="CQ154" s="140"/>
      <c r="CR154" s="140"/>
      <c r="CS154" s="140"/>
      <c r="CT154" s="140"/>
      <c r="CU154" s="140"/>
      <c r="CV154" s="140"/>
      <c r="CW154" s="140"/>
    </row>
    <row r="155" spans="1:101" x14ac:dyDescent="0.2">
      <c r="A155" s="29" t="str">
        <f t="shared" ca="1" si="2"/>
        <v>2025-08-26</v>
      </c>
      <c r="B155" s="140">
        <f ca="1">IF(ISNUMBER(MATCH(DATEVALUE($A155),'changes1_based on steps'!B$1:B$400,0)),B$2,)</f>
        <v>0</v>
      </c>
      <c r="C155" s="140">
        <f ca="1">IF(ISNUMBER(MATCH(DATEVALUE($A155),'changes1_based on steps'!C$1:C$400,0)),C$2,)</f>
        <v>0</v>
      </c>
      <c r="D155" s="140">
        <f ca="1">IF(ISNUMBER(MATCH(DATEVALUE($A155),'changes1_based on steps'!D$1:D$400,0)),D$2,)</f>
        <v>0</v>
      </c>
      <c r="E155" s="140">
        <f ca="1">IF(ISNUMBER(MATCH(DATEVALUE($A155),'changes1_based on steps'!E$1:E$400,0)),E$2,)</f>
        <v>0</v>
      </c>
      <c r="F155" s="140">
        <f ca="1">IF(ISNUMBER(MATCH(DATEVALUE($A155),'changes1_based on steps'!F$1:F$400,0)),F$2,)</f>
        <v>0</v>
      </c>
      <c r="G155" s="140">
        <f ca="1">IF(ISNUMBER(MATCH(DATEVALUE($A155),'changes1_based on steps'!G$1:G$400,0)),G$2,)</f>
        <v>0</v>
      </c>
      <c r="H155" s="140">
        <f ca="1">IF(ISNUMBER(MATCH(DATEVALUE($A155),'changes1_based on steps'!H$1:H$400,0)),H$2,)</f>
        <v>0</v>
      </c>
      <c r="I155" s="140">
        <f ca="1">IF(ISNUMBER(MATCH(DATEVALUE($A155),'changes1_based on steps'!I$1:I$400,0)),I$2,)</f>
        <v>0</v>
      </c>
      <c r="J155" s="140">
        <f ca="1">IF(ISNUMBER(MATCH(DATEVALUE($A155),'changes1_based on steps'!J$1:J$400,0)),J$2,)</f>
        <v>0</v>
      </c>
      <c r="K155" s="140">
        <f ca="1">IF(ISNUMBER(MATCH(DATEVALUE($A155),'changes1_based on steps'!K$1:K$400,0)),K$2,)</f>
        <v>0</v>
      </c>
      <c r="L155" s="140">
        <f ca="1">IF(ISNUMBER(MATCH(DATEVALUE($A155),'changes1_based on steps'!L$1:L$400,0)),L$2,)</f>
        <v>0</v>
      </c>
      <c r="M155" s="140">
        <f ca="1">IF(ISNUMBER(MATCH(DATEVALUE($A155),'changes1_based on steps'!M$1:M$400,0)),M$2,)</f>
        <v>0</v>
      </c>
      <c r="N155" s="140">
        <f ca="1">IF(ISNUMBER(MATCH(DATEVALUE($A155),'changes1_based on steps'!N$1:N$400,0)),N$2,)</f>
        <v>0</v>
      </c>
      <c r="O155" s="140">
        <f ca="1">IF(ISNUMBER(MATCH(DATEVALUE($A155),'changes1_based on steps'!O$1:O$400,0)),O$2,)</f>
        <v>0</v>
      </c>
      <c r="P155" s="140">
        <f ca="1">IF(ISNUMBER(MATCH(DATEVALUE($A155),'changes1_based on steps'!P$1:P$400,0)),P$2,)</f>
        <v>0</v>
      </c>
      <c r="Q155" s="140">
        <f ca="1">IF(ISNUMBER(MATCH(DATEVALUE($A155),'changes1_based on steps'!Q$1:Q$400,0)),Q$2,)</f>
        <v>0</v>
      </c>
      <c r="R155" s="140">
        <f ca="1">IF(ISNUMBER(MATCH(DATEVALUE($A155),'changes1_based on steps'!R$1:R$400,0)),R$2,)</f>
        <v>0</v>
      </c>
      <c r="S155" s="140">
        <f ca="1">IF(ISNUMBER(MATCH(DATEVALUE($A155),'changes1_based on steps'!S$1:S$400,0)),S$2,)</f>
        <v>0</v>
      </c>
      <c r="T155" s="140">
        <f ca="1">IF(ISNUMBER(MATCH(DATEVALUE($A155),'changes1_based on steps'!T$1:T$400,0)),T$2,)</f>
        <v>0</v>
      </c>
      <c r="U155" s="140">
        <f ca="1">IF(ISNUMBER(MATCH(DATEVALUE($A155),'changes1_based on steps'!U$1:U$400,0)),U$2,)</f>
        <v>0</v>
      </c>
      <c r="V155" s="140"/>
      <c r="W155" s="140"/>
      <c r="X155" s="140"/>
      <c r="Y155" s="140"/>
      <c r="Z155" s="140"/>
      <c r="AA155" s="140"/>
      <c r="AB155" s="140"/>
      <c r="AC155" s="140"/>
      <c r="AD155" s="140"/>
      <c r="AE155" s="140"/>
      <c r="AF155" s="140"/>
      <c r="AG155" s="140"/>
      <c r="AH155" s="140"/>
      <c r="AI155" s="140"/>
      <c r="AJ155" s="140"/>
      <c r="AK155" s="140"/>
      <c r="AL155" s="140"/>
      <c r="AM155" s="140"/>
      <c r="AN155" s="140"/>
      <c r="AO155" s="140"/>
      <c r="AP155" s="140"/>
      <c r="AQ155" s="140"/>
      <c r="AR155" s="140"/>
      <c r="AS155" s="140"/>
      <c r="AT155" s="140"/>
      <c r="AU155" s="140"/>
      <c r="AV155" s="140"/>
      <c r="AW155" s="140"/>
      <c r="AX155" s="140"/>
      <c r="AY155" s="140"/>
      <c r="AZ155" s="140"/>
      <c r="BA155" s="140"/>
      <c r="BB155" s="140"/>
      <c r="BC155" s="140"/>
      <c r="BD155" s="140"/>
      <c r="BE155" s="140"/>
      <c r="BF155" s="140"/>
      <c r="BG155" s="140"/>
      <c r="BH155" s="140"/>
      <c r="BI155" s="140"/>
      <c r="BJ155" s="140"/>
      <c r="BK155" s="140"/>
      <c r="BL155" s="140"/>
      <c r="BM155" s="140"/>
      <c r="BN155" s="140"/>
      <c r="BO155" s="140"/>
      <c r="BP155" s="140"/>
      <c r="BQ155" s="140"/>
      <c r="BR155" s="140"/>
      <c r="BS155" s="140"/>
      <c r="BT155" s="140"/>
      <c r="BU155" s="140"/>
      <c r="BV155" s="140"/>
      <c r="BW155" s="140"/>
      <c r="BX155" s="140"/>
      <c r="BY155" s="140"/>
      <c r="BZ155" s="140"/>
      <c r="CA155" s="140"/>
      <c r="CB155" s="140"/>
      <c r="CC155" s="140"/>
      <c r="CD155" s="140"/>
      <c r="CE155" s="140"/>
      <c r="CF155" s="140"/>
      <c r="CG155" s="140"/>
      <c r="CH155" s="140"/>
      <c r="CI155" s="140"/>
      <c r="CJ155" s="140"/>
      <c r="CK155" s="140"/>
      <c r="CL155" s="140"/>
      <c r="CM155" s="140"/>
      <c r="CN155" s="140"/>
      <c r="CO155" s="140"/>
      <c r="CP155" s="140"/>
      <c r="CQ155" s="140"/>
      <c r="CR155" s="140"/>
      <c r="CS155" s="140"/>
      <c r="CT155" s="140"/>
      <c r="CU155" s="140"/>
      <c r="CV155" s="140"/>
      <c r="CW155" s="140"/>
    </row>
    <row r="156" spans="1:101" x14ac:dyDescent="0.2">
      <c r="A156" s="29" t="str">
        <f t="shared" ca="1" si="2"/>
        <v>2025-08-27</v>
      </c>
      <c r="B156" s="140">
        <f ca="1">IF(ISNUMBER(MATCH(DATEVALUE($A156),'changes1_based on steps'!B$1:B$400,0)),B$2,)</f>
        <v>0</v>
      </c>
      <c r="C156" s="140">
        <f ca="1">IF(ISNUMBER(MATCH(DATEVALUE($A156),'changes1_based on steps'!C$1:C$400,0)),C$2,)</f>
        <v>0</v>
      </c>
      <c r="D156" s="140">
        <f ca="1">IF(ISNUMBER(MATCH(DATEVALUE($A156),'changes1_based on steps'!D$1:D$400,0)),D$2,)</f>
        <v>0</v>
      </c>
      <c r="E156" s="140">
        <f ca="1">IF(ISNUMBER(MATCH(DATEVALUE($A156),'changes1_based on steps'!E$1:E$400,0)),E$2,)</f>
        <v>0</v>
      </c>
      <c r="F156" s="140">
        <f ca="1">IF(ISNUMBER(MATCH(DATEVALUE($A156),'changes1_based on steps'!F$1:F$400,0)),F$2,)</f>
        <v>0</v>
      </c>
      <c r="G156" s="140">
        <f ca="1">IF(ISNUMBER(MATCH(DATEVALUE($A156),'changes1_based on steps'!G$1:G$400,0)),G$2,)</f>
        <v>0</v>
      </c>
      <c r="H156" s="140">
        <f ca="1">IF(ISNUMBER(MATCH(DATEVALUE($A156),'changes1_based on steps'!H$1:H$400,0)),H$2,)</f>
        <v>0</v>
      </c>
      <c r="I156" s="140">
        <f ca="1">IF(ISNUMBER(MATCH(DATEVALUE($A156),'changes1_based on steps'!I$1:I$400,0)),I$2,)</f>
        <v>0</v>
      </c>
      <c r="J156" s="140">
        <f ca="1">IF(ISNUMBER(MATCH(DATEVALUE($A156),'changes1_based on steps'!J$1:J$400,0)),J$2,)</f>
        <v>0</v>
      </c>
      <c r="K156" s="140">
        <f ca="1">IF(ISNUMBER(MATCH(DATEVALUE($A156),'changes1_based on steps'!K$1:K$400,0)),K$2,)</f>
        <v>0</v>
      </c>
      <c r="L156" s="140">
        <f ca="1">IF(ISNUMBER(MATCH(DATEVALUE($A156),'changes1_based on steps'!L$1:L$400,0)),L$2,)</f>
        <v>0</v>
      </c>
      <c r="M156" s="140">
        <f ca="1">IF(ISNUMBER(MATCH(DATEVALUE($A156),'changes1_based on steps'!M$1:M$400,0)),M$2,)</f>
        <v>0</v>
      </c>
      <c r="N156" s="140">
        <f ca="1">IF(ISNUMBER(MATCH(DATEVALUE($A156),'changes1_based on steps'!N$1:N$400,0)),N$2,)</f>
        <v>0</v>
      </c>
      <c r="O156" s="140">
        <f ca="1">IF(ISNUMBER(MATCH(DATEVALUE($A156),'changes1_based on steps'!O$1:O$400,0)),O$2,)</f>
        <v>0</v>
      </c>
      <c r="P156" s="140">
        <f ca="1">IF(ISNUMBER(MATCH(DATEVALUE($A156),'changes1_based on steps'!P$1:P$400,0)),P$2,)</f>
        <v>0</v>
      </c>
      <c r="Q156" s="140">
        <f ca="1">IF(ISNUMBER(MATCH(DATEVALUE($A156),'changes1_based on steps'!Q$1:Q$400,0)),Q$2,)</f>
        <v>0</v>
      </c>
      <c r="R156" s="140">
        <f ca="1">IF(ISNUMBER(MATCH(DATEVALUE($A156),'changes1_based on steps'!R$1:R$400,0)),R$2,)</f>
        <v>0</v>
      </c>
      <c r="S156" s="140">
        <f ca="1">IF(ISNUMBER(MATCH(DATEVALUE($A156),'changes1_based on steps'!S$1:S$400,0)),S$2,)</f>
        <v>0</v>
      </c>
      <c r="T156" s="140">
        <f ca="1">IF(ISNUMBER(MATCH(DATEVALUE($A156),'changes1_based on steps'!T$1:T$400,0)),T$2,)</f>
        <v>0</v>
      </c>
      <c r="U156" s="140">
        <f ca="1">IF(ISNUMBER(MATCH(DATEVALUE($A156),'changes1_based on steps'!U$1:U$400,0)),U$2,)</f>
        <v>0</v>
      </c>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c r="BS156" s="140"/>
      <c r="BT156" s="140"/>
      <c r="BU156" s="140"/>
      <c r="BV156" s="140"/>
      <c r="BW156" s="140"/>
      <c r="BX156" s="140"/>
      <c r="BY156" s="140"/>
      <c r="BZ156" s="140"/>
      <c r="CA156" s="140"/>
      <c r="CB156" s="140"/>
      <c r="CC156" s="140"/>
      <c r="CD156" s="140"/>
      <c r="CE156" s="140"/>
      <c r="CF156" s="140"/>
      <c r="CG156" s="140"/>
      <c r="CH156" s="140"/>
      <c r="CI156" s="140"/>
      <c r="CJ156" s="140"/>
      <c r="CK156" s="140"/>
      <c r="CL156" s="140"/>
      <c r="CM156" s="140"/>
      <c r="CN156" s="140"/>
      <c r="CO156" s="140"/>
      <c r="CP156" s="140"/>
      <c r="CQ156" s="140"/>
      <c r="CR156" s="140"/>
      <c r="CS156" s="140"/>
      <c r="CT156" s="140"/>
      <c r="CU156" s="140"/>
      <c r="CV156" s="140"/>
      <c r="CW156" s="140"/>
    </row>
    <row r="157" spans="1:101" x14ac:dyDescent="0.2">
      <c r="A157" s="29" t="str">
        <f t="shared" ca="1" si="2"/>
        <v>2025-08-28</v>
      </c>
      <c r="B157" s="140">
        <f ca="1">IF(ISNUMBER(MATCH(DATEVALUE($A157),'changes1_based on steps'!B$1:B$400,0)),B$2,)</f>
        <v>0</v>
      </c>
      <c r="C157" s="140">
        <f ca="1">IF(ISNUMBER(MATCH(DATEVALUE($A157),'changes1_based on steps'!C$1:C$400,0)),C$2,)</f>
        <v>0</v>
      </c>
      <c r="D157" s="140">
        <f ca="1">IF(ISNUMBER(MATCH(DATEVALUE($A157),'changes1_based on steps'!D$1:D$400,0)),D$2,)</f>
        <v>0</v>
      </c>
      <c r="E157" s="140">
        <f ca="1">IF(ISNUMBER(MATCH(DATEVALUE($A157),'changes1_based on steps'!E$1:E$400,0)),E$2,)</f>
        <v>0</v>
      </c>
      <c r="F157" s="140">
        <f ca="1">IF(ISNUMBER(MATCH(DATEVALUE($A157),'changes1_based on steps'!F$1:F$400,0)),F$2,)</f>
        <v>0</v>
      </c>
      <c r="G157" s="140">
        <f ca="1">IF(ISNUMBER(MATCH(DATEVALUE($A157),'changes1_based on steps'!G$1:G$400,0)),G$2,)</f>
        <v>0</v>
      </c>
      <c r="H157" s="140">
        <f ca="1">IF(ISNUMBER(MATCH(DATEVALUE($A157),'changes1_based on steps'!H$1:H$400,0)),H$2,)</f>
        <v>0</v>
      </c>
      <c r="I157" s="140">
        <f ca="1">IF(ISNUMBER(MATCH(DATEVALUE($A157),'changes1_based on steps'!I$1:I$400,0)),I$2,)</f>
        <v>0</v>
      </c>
      <c r="J157" s="140">
        <f ca="1">IF(ISNUMBER(MATCH(DATEVALUE($A157),'changes1_based on steps'!J$1:J$400,0)),J$2,)</f>
        <v>0</v>
      </c>
      <c r="K157" s="140">
        <f ca="1">IF(ISNUMBER(MATCH(DATEVALUE($A157),'changes1_based on steps'!K$1:K$400,0)),K$2,)</f>
        <v>0</v>
      </c>
      <c r="L157" s="140">
        <f ca="1">IF(ISNUMBER(MATCH(DATEVALUE($A157),'changes1_based on steps'!L$1:L$400,0)),L$2,)</f>
        <v>0</v>
      </c>
      <c r="M157" s="140">
        <f ca="1">IF(ISNUMBER(MATCH(DATEVALUE($A157),'changes1_based on steps'!M$1:M$400,0)),M$2,)</f>
        <v>0</v>
      </c>
      <c r="N157" s="140">
        <f ca="1">IF(ISNUMBER(MATCH(DATEVALUE($A157),'changes1_based on steps'!N$1:N$400,0)),N$2,)</f>
        <v>0</v>
      </c>
      <c r="O157" s="140">
        <f ca="1">IF(ISNUMBER(MATCH(DATEVALUE($A157),'changes1_based on steps'!O$1:O$400,0)),O$2,)</f>
        <v>0</v>
      </c>
      <c r="P157" s="140">
        <f ca="1">IF(ISNUMBER(MATCH(DATEVALUE($A157),'changes1_based on steps'!P$1:P$400,0)),P$2,)</f>
        <v>0</v>
      </c>
      <c r="Q157" s="140">
        <f ca="1">IF(ISNUMBER(MATCH(DATEVALUE($A157),'changes1_based on steps'!Q$1:Q$400,0)),Q$2,)</f>
        <v>0</v>
      </c>
      <c r="R157" s="140">
        <f ca="1">IF(ISNUMBER(MATCH(DATEVALUE($A157),'changes1_based on steps'!R$1:R$400,0)),R$2,)</f>
        <v>0</v>
      </c>
      <c r="S157" s="140">
        <f ca="1">IF(ISNUMBER(MATCH(DATEVALUE($A157),'changes1_based on steps'!S$1:S$400,0)),S$2,)</f>
        <v>0</v>
      </c>
      <c r="T157" s="140">
        <f ca="1">IF(ISNUMBER(MATCH(DATEVALUE($A157),'changes1_based on steps'!T$1:T$400,0)),T$2,)</f>
        <v>0</v>
      </c>
      <c r="U157" s="140">
        <f ca="1">IF(ISNUMBER(MATCH(DATEVALUE($A157),'changes1_based on steps'!U$1:U$400,0)),U$2,)</f>
        <v>0</v>
      </c>
      <c r="V157" s="140"/>
      <c r="W157" s="140"/>
      <c r="X157" s="140"/>
      <c r="Y157" s="140"/>
      <c r="Z157" s="140"/>
      <c r="AA157" s="140"/>
      <c r="AB157" s="140"/>
      <c r="AC157" s="140"/>
      <c r="AD157" s="140"/>
      <c r="AE157" s="140"/>
      <c r="AF157" s="140"/>
      <c r="AG157" s="140"/>
      <c r="AH157" s="140"/>
      <c r="AI157" s="140"/>
      <c r="AJ157" s="140"/>
      <c r="AK157" s="140"/>
      <c r="AL157" s="140"/>
      <c r="AM157" s="140"/>
      <c r="AN157" s="140"/>
      <c r="AO157" s="140"/>
      <c r="AP157" s="140"/>
      <c r="AQ157" s="140"/>
      <c r="AR157" s="140"/>
      <c r="AS157" s="140"/>
      <c r="AT157" s="140"/>
      <c r="AU157" s="140"/>
      <c r="AV157" s="140"/>
      <c r="AW157" s="140"/>
      <c r="AX157" s="140"/>
      <c r="AY157" s="140"/>
      <c r="AZ157" s="140"/>
      <c r="BA157" s="140"/>
      <c r="BB157" s="140"/>
      <c r="BC157" s="140"/>
      <c r="BD157" s="140"/>
      <c r="BE157" s="140"/>
      <c r="BF157" s="140"/>
      <c r="BG157" s="140"/>
      <c r="BH157" s="140"/>
      <c r="BI157" s="140"/>
      <c r="BJ157" s="140"/>
      <c r="BK157" s="140"/>
      <c r="BL157" s="140"/>
      <c r="BM157" s="140"/>
      <c r="BN157" s="140"/>
      <c r="BO157" s="140"/>
      <c r="BP157" s="140"/>
      <c r="BQ157" s="140"/>
      <c r="BR157" s="140"/>
      <c r="BS157" s="140"/>
      <c r="BT157" s="140"/>
      <c r="BU157" s="140"/>
      <c r="BV157" s="140"/>
      <c r="BW157" s="140"/>
      <c r="BX157" s="140"/>
      <c r="BY157" s="140"/>
      <c r="BZ157" s="140"/>
      <c r="CA157" s="140"/>
      <c r="CB157" s="140"/>
      <c r="CC157" s="140"/>
      <c r="CD157" s="140"/>
      <c r="CE157" s="140"/>
      <c r="CF157" s="140"/>
      <c r="CG157" s="140"/>
      <c r="CH157" s="140"/>
      <c r="CI157" s="140"/>
      <c r="CJ157" s="140"/>
      <c r="CK157" s="140"/>
      <c r="CL157" s="140"/>
      <c r="CM157" s="140"/>
      <c r="CN157" s="140"/>
      <c r="CO157" s="140"/>
      <c r="CP157" s="140"/>
      <c r="CQ157" s="140"/>
      <c r="CR157" s="140"/>
      <c r="CS157" s="140"/>
      <c r="CT157" s="140"/>
      <c r="CU157" s="140"/>
      <c r="CV157" s="140"/>
      <c r="CW157" s="140"/>
    </row>
    <row r="158" spans="1:101" x14ac:dyDescent="0.2">
      <c r="A158" s="29" t="str">
        <f t="shared" ca="1" si="2"/>
        <v>2025-08-29</v>
      </c>
      <c r="B158" s="140">
        <f ca="1">IF(ISNUMBER(MATCH(DATEVALUE($A158),'changes1_based on steps'!B$1:B$400,0)),B$2,)</f>
        <v>0</v>
      </c>
      <c r="C158" s="140">
        <f ca="1">IF(ISNUMBER(MATCH(DATEVALUE($A158),'changes1_based on steps'!C$1:C$400,0)),C$2,)</f>
        <v>0</v>
      </c>
      <c r="D158" s="140">
        <f ca="1">IF(ISNUMBER(MATCH(DATEVALUE($A158),'changes1_based on steps'!D$1:D$400,0)),D$2,)</f>
        <v>0</v>
      </c>
      <c r="E158" s="140">
        <f ca="1">IF(ISNUMBER(MATCH(DATEVALUE($A158),'changes1_based on steps'!E$1:E$400,0)),E$2,)</f>
        <v>0</v>
      </c>
      <c r="F158" s="140">
        <f ca="1">IF(ISNUMBER(MATCH(DATEVALUE($A158),'changes1_based on steps'!F$1:F$400,0)),F$2,)</f>
        <v>0</v>
      </c>
      <c r="G158" s="140">
        <f ca="1">IF(ISNUMBER(MATCH(DATEVALUE($A158),'changes1_based on steps'!G$1:G$400,0)),G$2,)</f>
        <v>0</v>
      </c>
      <c r="H158" s="140">
        <f ca="1">IF(ISNUMBER(MATCH(DATEVALUE($A158),'changes1_based on steps'!H$1:H$400,0)),H$2,)</f>
        <v>0</v>
      </c>
      <c r="I158" s="140">
        <f ca="1">IF(ISNUMBER(MATCH(DATEVALUE($A158),'changes1_based on steps'!I$1:I$400,0)),I$2,)</f>
        <v>0</v>
      </c>
      <c r="J158" s="140">
        <f ca="1">IF(ISNUMBER(MATCH(DATEVALUE($A158),'changes1_based on steps'!J$1:J$400,0)),J$2,)</f>
        <v>0</v>
      </c>
      <c r="K158" s="140">
        <f ca="1">IF(ISNUMBER(MATCH(DATEVALUE($A158),'changes1_based on steps'!K$1:K$400,0)),K$2,)</f>
        <v>0</v>
      </c>
      <c r="L158" s="140">
        <f ca="1">IF(ISNUMBER(MATCH(DATEVALUE($A158),'changes1_based on steps'!L$1:L$400,0)),L$2,)</f>
        <v>0</v>
      </c>
      <c r="M158" s="140">
        <f ca="1">IF(ISNUMBER(MATCH(DATEVALUE($A158),'changes1_based on steps'!M$1:M$400,0)),M$2,)</f>
        <v>0</v>
      </c>
      <c r="N158" s="140">
        <f ca="1">IF(ISNUMBER(MATCH(DATEVALUE($A158),'changes1_based on steps'!N$1:N$400,0)),N$2,)</f>
        <v>0</v>
      </c>
      <c r="O158" s="140">
        <f ca="1">IF(ISNUMBER(MATCH(DATEVALUE($A158),'changes1_based on steps'!O$1:O$400,0)),O$2,)</f>
        <v>0</v>
      </c>
      <c r="P158" s="140">
        <f ca="1">IF(ISNUMBER(MATCH(DATEVALUE($A158),'changes1_based on steps'!P$1:P$400,0)),P$2,)</f>
        <v>0</v>
      </c>
      <c r="Q158" s="140">
        <f ca="1">IF(ISNUMBER(MATCH(DATEVALUE($A158),'changes1_based on steps'!Q$1:Q$400,0)),Q$2,)</f>
        <v>0</v>
      </c>
      <c r="R158" s="140">
        <f ca="1">IF(ISNUMBER(MATCH(DATEVALUE($A158),'changes1_based on steps'!R$1:R$400,0)),R$2,)</f>
        <v>0</v>
      </c>
      <c r="S158" s="140">
        <f ca="1">IF(ISNUMBER(MATCH(DATEVALUE($A158),'changes1_based on steps'!S$1:S$400,0)),S$2,)</f>
        <v>0</v>
      </c>
      <c r="T158" s="140">
        <f ca="1">IF(ISNUMBER(MATCH(DATEVALUE($A158),'changes1_based on steps'!T$1:T$400,0)),T$2,)</f>
        <v>0</v>
      </c>
      <c r="U158" s="140">
        <f ca="1">IF(ISNUMBER(MATCH(DATEVALUE($A158),'changes1_based on steps'!U$1:U$400,0)),U$2,)</f>
        <v>0</v>
      </c>
      <c r="V158" s="140"/>
      <c r="W158" s="140"/>
      <c r="X158" s="140"/>
      <c r="Y158" s="140"/>
      <c r="Z158" s="140"/>
      <c r="AA158" s="140"/>
      <c r="AB158" s="140"/>
      <c r="AC158" s="140"/>
      <c r="AD158" s="140"/>
      <c r="AE158" s="140"/>
      <c r="AF158" s="140"/>
      <c r="AG158" s="140"/>
      <c r="AH158" s="140"/>
      <c r="AI158" s="140"/>
      <c r="AJ158" s="140"/>
      <c r="AK158" s="140"/>
      <c r="AL158" s="140"/>
      <c r="AM158" s="140"/>
      <c r="AN158" s="140"/>
      <c r="AO158" s="140"/>
      <c r="AP158" s="140"/>
      <c r="AQ158" s="140"/>
      <c r="AR158" s="140"/>
      <c r="AS158" s="140"/>
      <c r="AT158" s="140"/>
      <c r="AU158" s="140"/>
      <c r="AV158" s="140"/>
      <c r="AW158" s="140"/>
      <c r="AX158" s="140"/>
      <c r="AY158" s="140"/>
      <c r="AZ158" s="140"/>
      <c r="BA158" s="140"/>
      <c r="BB158" s="140"/>
      <c r="BC158" s="140"/>
      <c r="BD158" s="140"/>
      <c r="BE158" s="140"/>
      <c r="BF158" s="140"/>
      <c r="BG158" s="140"/>
      <c r="BH158" s="140"/>
      <c r="BI158" s="140"/>
      <c r="BJ158" s="140"/>
      <c r="BK158" s="140"/>
      <c r="BL158" s="140"/>
      <c r="BM158" s="140"/>
      <c r="BN158" s="140"/>
      <c r="BO158" s="140"/>
      <c r="BP158" s="140"/>
      <c r="BQ158" s="140"/>
      <c r="BR158" s="140"/>
      <c r="BS158" s="140"/>
      <c r="BT158" s="140"/>
      <c r="BU158" s="140"/>
      <c r="BV158" s="140"/>
      <c r="BW158" s="140"/>
      <c r="BX158" s="140"/>
      <c r="BY158" s="140"/>
      <c r="BZ158" s="140"/>
      <c r="CA158" s="140"/>
      <c r="CB158" s="140"/>
      <c r="CC158" s="140"/>
      <c r="CD158" s="140"/>
      <c r="CE158" s="140"/>
      <c r="CF158" s="140"/>
      <c r="CG158" s="140"/>
      <c r="CH158" s="140"/>
      <c r="CI158" s="140"/>
      <c r="CJ158" s="140"/>
      <c r="CK158" s="140"/>
      <c r="CL158" s="140"/>
      <c r="CM158" s="140"/>
      <c r="CN158" s="140"/>
      <c r="CO158" s="140"/>
      <c r="CP158" s="140"/>
      <c r="CQ158" s="140"/>
      <c r="CR158" s="140"/>
      <c r="CS158" s="140"/>
      <c r="CT158" s="140"/>
      <c r="CU158" s="140"/>
      <c r="CV158" s="140"/>
      <c r="CW158" s="140"/>
    </row>
    <row r="159" spans="1:101" x14ac:dyDescent="0.2">
      <c r="A159" s="29" t="str">
        <f t="shared" ca="1" si="2"/>
        <v>2025-08-30</v>
      </c>
      <c r="B159" s="140">
        <f ca="1">IF(ISNUMBER(MATCH(DATEVALUE($A159),'changes1_based on steps'!B$1:B$400,0)),B$2,)</f>
        <v>0</v>
      </c>
      <c r="C159" s="140">
        <f ca="1">IF(ISNUMBER(MATCH(DATEVALUE($A159),'changes1_based on steps'!C$1:C$400,0)),C$2,)</f>
        <v>0</v>
      </c>
      <c r="D159" s="140">
        <f ca="1">IF(ISNUMBER(MATCH(DATEVALUE($A159),'changes1_based on steps'!D$1:D$400,0)),D$2,)</f>
        <v>0</v>
      </c>
      <c r="E159" s="140">
        <f ca="1">IF(ISNUMBER(MATCH(DATEVALUE($A159),'changes1_based on steps'!E$1:E$400,0)),E$2,)</f>
        <v>0</v>
      </c>
      <c r="F159" s="140">
        <f ca="1">IF(ISNUMBER(MATCH(DATEVALUE($A159),'changes1_based on steps'!F$1:F$400,0)),F$2,)</f>
        <v>0</v>
      </c>
      <c r="G159" s="140">
        <f ca="1">IF(ISNUMBER(MATCH(DATEVALUE($A159),'changes1_based on steps'!G$1:G$400,0)),G$2,)</f>
        <v>0</v>
      </c>
      <c r="H159" s="140">
        <f ca="1">IF(ISNUMBER(MATCH(DATEVALUE($A159),'changes1_based on steps'!H$1:H$400,0)),H$2,)</f>
        <v>0</v>
      </c>
      <c r="I159" s="140">
        <f ca="1">IF(ISNUMBER(MATCH(DATEVALUE($A159),'changes1_based on steps'!I$1:I$400,0)),I$2,)</f>
        <v>0</v>
      </c>
      <c r="J159" s="140">
        <f ca="1">IF(ISNUMBER(MATCH(DATEVALUE($A159),'changes1_based on steps'!J$1:J$400,0)),J$2,)</f>
        <v>0</v>
      </c>
      <c r="K159" s="140">
        <f ca="1">IF(ISNUMBER(MATCH(DATEVALUE($A159),'changes1_based on steps'!K$1:K$400,0)),K$2,)</f>
        <v>0</v>
      </c>
      <c r="L159" s="140">
        <f ca="1">IF(ISNUMBER(MATCH(DATEVALUE($A159),'changes1_based on steps'!L$1:L$400,0)),L$2,)</f>
        <v>0</v>
      </c>
      <c r="M159" s="140">
        <f ca="1">IF(ISNUMBER(MATCH(DATEVALUE($A159),'changes1_based on steps'!M$1:M$400,0)),M$2,)</f>
        <v>0</v>
      </c>
      <c r="N159" s="140">
        <f ca="1">IF(ISNUMBER(MATCH(DATEVALUE($A159),'changes1_based on steps'!N$1:N$400,0)),N$2,)</f>
        <v>0</v>
      </c>
      <c r="O159" s="140">
        <f ca="1">IF(ISNUMBER(MATCH(DATEVALUE($A159),'changes1_based on steps'!O$1:O$400,0)),O$2,)</f>
        <v>0</v>
      </c>
      <c r="P159" s="140">
        <f ca="1">IF(ISNUMBER(MATCH(DATEVALUE($A159),'changes1_based on steps'!P$1:P$400,0)),P$2,)</f>
        <v>0</v>
      </c>
      <c r="Q159" s="140">
        <f ca="1">IF(ISNUMBER(MATCH(DATEVALUE($A159),'changes1_based on steps'!Q$1:Q$400,0)),Q$2,)</f>
        <v>0</v>
      </c>
      <c r="R159" s="140">
        <f ca="1">IF(ISNUMBER(MATCH(DATEVALUE($A159),'changes1_based on steps'!R$1:R$400,0)),R$2,)</f>
        <v>0</v>
      </c>
      <c r="S159" s="140">
        <f ca="1">IF(ISNUMBER(MATCH(DATEVALUE($A159),'changes1_based on steps'!S$1:S$400,0)),S$2,)</f>
        <v>0</v>
      </c>
      <c r="T159" s="140">
        <f ca="1">IF(ISNUMBER(MATCH(DATEVALUE($A159),'changes1_based on steps'!T$1:T$400,0)),T$2,)</f>
        <v>0</v>
      </c>
      <c r="U159" s="140">
        <f ca="1">IF(ISNUMBER(MATCH(DATEVALUE($A159),'changes1_based on steps'!U$1:U$400,0)),U$2,)</f>
        <v>0</v>
      </c>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c r="AR159" s="140"/>
      <c r="AS159" s="140"/>
      <c r="AT159" s="140"/>
      <c r="AU159" s="140"/>
      <c r="AV159" s="140"/>
      <c r="AW159" s="140"/>
      <c r="AX159" s="140"/>
      <c r="AY159" s="140"/>
      <c r="AZ159" s="140"/>
      <c r="BA159" s="140"/>
      <c r="BB159" s="140"/>
      <c r="BC159" s="140"/>
      <c r="BD159" s="140"/>
      <c r="BE159" s="140"/>
      <c r="BF159" s="140"/>
      <c r="BG159" s="140"/>
      <c r="BH159" s="140"/>
      <c r="BI159" s="140"/>
      <c r="BJ159" s="140"/>
      <c r="BK159" s="140"/>
      <c r="BL159" s="140"/>
      <c r="BM159" s="140"/>
      <c r="BN159" s="140"/>
      <c r="BO159" s="140"/>
      <c r="BP159" s="140"/>
      <c r="BQ159" s="140"/>
      <c r="BR159" s="140"/>
      <c r="BS159" s="140"/>
      <c r="BT159" s="140"/>
      <c r="BU159" s="140"/>
      <c r="BV159" s="140"/>
      <c r="BW159" s="140"/>
      <c r="BX159" s="140"/>
      <c r="BY159" s="140"/>
      <c r="BZ159" s="140"/>
      <c r="CA159" s="140"/>
      <c r="CB159" s="140"/>
      <c r="CC159" s="140"/>
      <c r="CD159" s="140"/>
      <c r="CE159" s="140"/>
      <c r="CF159" s="140"/>
      <c r="CG159" s="140"/>
      <c r="CH159" s="140"/>
      <c r="CI159" s="140"/>
      <c r="CJ159" s="140"/>
      <c r="CK159" s="140"/>
      <c r="CL159" s="140"/>
      <c r="CM159" s="140"/>
      <c r="CN159" s="140"/>
      <c r="CO159" s="140"/>
      <c r="CP159" s="140"/>
      <c r="CQ159" s="140"/>
      <c r="CR159" s="140"/>
      <c r="CS159" s="140"/>
      <c r="CT159" s="140"/>
      <c r="CU159" s="140"/>
      <c r="CV159" s="140"/>
      <c r="CW159" s="140"/>
    </row>
    <row r="160" spans="1:101" x14ac:dyDescent="0.2">
      <c r="A160" s="29" t="str">
        <f t="shared" ca="1" si="2"/>
        <v>2025-08-31</v>
      </c>
      <c r="B160" s="140">
        <f ca="1">IF(ISNUMBER(MATCH(DATEVALUE($A160),'changes1_based on steps'!B$1:B$400,0)),B$2,)</f>
        <v>0</v>
      </c>
      <c r="C160" s="140">
        <f ca="1">IF(ISNUMBER(MATCH(DATEVALUE($A160),'changes1_based on steps'!C$1:C$400,0)),C$2,)</f>
        <v>0</v>
      </c>
      <c r="D160" s="140">
        <f ca="1">IF(ISNUMBER(MATCH(DATEVALUE($A160),'changes1_based on steps'!D$1:D$400,0)),D$2,)</f>
        <v>0</v>
      </c>
      <c r="E160" s="140">
        <f ca="1">IF(ISNUMBER(MATCH(DATEVALUE($A160),'changes1_based on steps'!E$1:E$400,0)),E$2,)</f>
        <v>0</v>
      </c>
      <c r="F160" s="140">
        <f ca="1">IF(ISNUMBER(MATCH(DATEVALUE($A160),'changes1_based on steps'!F$1:F$400,0)),F$2,)</f>
        <v>0</v>
      </c>
      <c r="G160" s="140">
        <f ca="1">IF(ISNUMBER(MATCH(DATEVALUE($A160),'changes1_based on steps'!G$1:G$400,0)),G$2,)</f>
        <v>0</v>
      </c>
      <c r="H160" s="140">
        <f ca="1">IF(ISNUMBER(MATCH(DATEVALUE($A160),'changes1_based on steps'!H$1:H$400,0)),H$2,)</f>
        <v>0</v>
      </c>
      <c r="I160" s="140">
        <f ca="1">IF(ISNUMBER(MATCH(DATEVALUE($A160),'changes1_based on steps'!I$1:I$400,0)),I$2,)</f>
        <v>0</v>
      </c>
      <c r="J160" s="140">
        <f ca="1">IF(ISNUMBER(MATCH(DATEVALUE($A160),'changes1_based on steps'!J$1:J$400,0)),J$2,)</f>
        <v>0</v>
      </c>
      <c r="K160" s="140">
        <f ca="1">IF(ISNUMBER(MATCH(DATEVALUE($A160),'changes1_based on steps'!K$1:K$400,0)),K$2,)</f>
        <v>0</v>
      </c>
      <c r="L160" s="140">
        <f ca="1">IF(ISNUMBER(MATCH(DATEVALUE($A160),'changes1_based on steps'!L$1:L$400,0)),L$2,)</f>
        <v>0</v>
      </c>
      <c r="M160" s="140">
        <f ca="1">IF(ISNUMBER(MATCH(DATEVALUE($A160),'changes1_based on steps'!M$1:M$400,0)),M$2,)</f>
        <v>0</v>
      </c>
      <c r="N160" s="140">
        <f ca="1">IF(ISNUMBER(MATCH(DATEVALUE($A160),'changes1_based on steps'!N$1:N$400,0)),N$2,)</f>
        <v>0</v>
      </c>
      <c r="O160" s="140">
        <f ca="1">IF(ISNUMBER(MATCH(DATEVALUE($A160),'changes1_based on steps'!O$1:O$400,0)),O$2,)</f>
        <v>0</v>
      </c>
      <c r="P160" s="140">
        <f ca="1">IF(ISNUMBER(MATCH(DATEVALUE($A160),'changes1_based on steps'!P$1:P$400,0)),P$2,)</f>
        <v>0</v>
      </c>
      <c r="Q160" s="140">
        <f ca="1">IF(ISNUMBER(MATCH(DATEVALUE($A160),'changes1_based on steps'!Q$1:Q$400,0)),Q$2,)</f>
        <v>0</v>
      </c>
      <c r="R160" s="140">
        <f ca="1">IF(ISNUMBER(MATCH(DATEVALUE($A160),'changes1_based on steps'!R$1:R$400,0)),R$2,)</f>
        <v>0</v>
      </c>
      <c r="S160" s="140">
        <f ca="1">IF(ISNUMBER(MATCH(DATEVALUE($A160),'changes1_based on steps'!S$1:S$400,0)),S$2,)</f>
        <v>0</v>
      </c>
      <c r="T160" s="140">
        <f ca="1">IF(ISNUMBER(MATCH(DATEVALUE($A160),'changes1_based on steps'!T$1:T$400,0)),T$2,)</f>
        <v>0</v>
      </c>
      <c r="U160" s="140">
        <f ca="1">IF(ISNUMBER(MATCH(DATEVALUE($A160),'changes1_based on steps'!U$1:U$400,0)),U$2,)</f>
        <v>0</v>
      </c>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c r="AR160" s="140"/>
      <c r="AS160" s="140"/>
      <c r="AT160" s="140"/>
      <c r="AU160" s="140"/>
      <c r="AV160" s="140"/>
      <c r="AW160" s="140"/>
      <c r="AX160" s="140"/>
      <c r="AY160" s="140"/>
      <c r="AZ160" s="140"/>
      <c r="BA160" s="140"/>
      <c r="BB160" s="140"/>
      <c r="BC160" s="140"/>
      <c r="BD160" s="140"/>
      <c r="BE160" s="140"/>
      <c r="BF160" s="140"/>
      <c r="BG160" s="140"/>
      <c r="BH160" s="140"/>
      <c r="BI160" s="140"/>
      <c r="BJ160" s="140"/>
      <c r="BK160" s="140"/>
      <c r="BL160" s="140"/>
      <c r="BM160" s="140"/>
      <c r="BN160" s="140"/>
      <c r="BO160" s="140"/>
      <c r="BP160" s="140"/>
      <c r="BQ160" s="140"/>
      <c r="BR160" s="140"/>
      <c r="BS160" s="140"/>
      <c r="BT160" s="140"/>
      <c r="BU160" s="140"/>
      <c r="BV160" s="140"/>
      <c r="BW160" s="140"/>
      <c r="BX160" s="140"/>
      <c r="BY160" s="140"/>
      <c r="BZ160" s="140"/>
      <c r="CA160" s="140"/>
      <c r="CB160" s="140"/>
      <c r="CC160" s="140"/>
      <c r="CD160" s="140"/>
      <c r="CE160" s="140"/>
      <c r="CF160" s="140"/>
      <c r="CG160" s="140"/>
      <c r="CH160" s="140"/>
      <c r="CI160" s="140"/>
      <c r="CJ160" s="140"/>
      <c r="CK160" s="140"/>
      <c r="CL160" s="140"/>
      <c r="CM160" s="140"/>
      <c r="CN160" s="140"/>
      <c r="CO160" s="140"/>
      <c r="CP160" s="140"/>
      <c r="CQ160" s="140"/>
      <c r="CR160" s="140"/>
      <c r="CS160" s="140"/>
      <c r="CT160" s="140"/>
      <c r="CU160" s="140"/>
      <c r="CV160" s="140"/>
      <c r="CW160" s="140"/>
    </row>
    <row r="161" spans="1:101" x14ac:dyDescent="0.2">
      <c r="A161" s="29" t="str">
        <f t="shared" ca="1" si="2"/>
        <v>2025-09-01</v>
      </c>
      <c r="B161" s="140">
        <f ca="1">IF(ISNUMBER(MATCH(DATEVALUE($A161),'changes1_based on steps'!B$1:B$400,0)),B$2,)</f>
        <v>0</v>
      </c>
      <c r="C161" s="140">
        <f ca="1">IF(ISNUMBER(MATCH(DATEVALUE($A161),'changes1_based on steps'!C$1:C$400,0)),C$2,)</f>
        <v>0</v>
      </c>
      <c r="D161" s="140">
        <f ca="1">IF(ISNUMBER(MATCH(DATEVALUE($A161),'changes1_based on steps'!D$1:D$400,0)),D$2,)</f>
        <v>0</v>
      </c>
      <c r="E161" s="140">
        <f ca="1">IF(ISNUMBER(MATCH(DATEVALUE($A161),'changes1_based on steps'!E$1:E$400,0)),E$2,)</f>
        <v>0</v>
      </c>
      <c r="F161" s="140">
        <f ca="1">IF(ISNUMBER(MATCH(DATEVALUE($A161),'changes1_based on steps'!F$1:F$400,0)),F$2,)</f>
        <v>0</v>
      </c>
      <c r="G161" s="140">
        <f ca="1">IF(ISNUMBER(MATCH(DATEVALUE($A161),'changes1_based on steps'!G$1:G$400,0)),G$2,)</f>
        <v>0</v>
      </c>
      <c r="H161" s="140">
        <f ca="1">IF(ISNUMBER(MATCH(DATEVALUE($A161),'changes1_based on steps'!H$1:H$400,0)),H$2,)</f>
        <v>0</v>
      </c>
      <c r="I161" s="140">
        <f ca="1">IF(ISNUMBER(MATCH(DATEVALUE($A161),'changes1_based on steps'!I$1:I$400,0)),I$2,)</f>
        <v>0</v>
      </c>
      <c r="J161" s="140">
        <f ca="1">IF(ISNUMBER(MATCH(DATEVALUE($A161),'changes1_based on steps'!J$1:J$400,0)),J$2,)</f>
        <v>0</v>
      </c>
      <c r="K161" s="140">
        <f ca="1">IF(ISNUMBER(MATCH(DATEVALUE($A161),'changes1_based on steps'!K$1:K$400,0)),K$2,)</f>
        <v>0</v>
      </c>
      <c r="L161" s="140">
        <f ca="1">IF(ISNUMBER(MATCH(DATEVALUE($A161),'changes1_based on steps'!L$1:L$400,0)),L$2,)</f>
        <v>0</v>
      </c>
      <c r="M161" s="140">
        <f ca="1">IF(ISNUMBER(MATCH(DATEVALUE($A161),'changes1_based on steps'!M$1:M$400,0)),M$2,)</f>
        <v>0</v>
      </c>
      <c r="N161" s="140">
        <f ca="1">IF(ISNUMBER(MATCH(DATEVALUE($A161),'changes1_based on steps'!N$1:N$400,0)),N$2,)</f>
        <v>0</v>
      </c>
      <c r="O161" s="140">
        <f ca="1">IF(ISNUMBER(MATCH(DATEVALUE($A161),'changes1_based on steps'!O$1:O$400,0)),O$2,)</f>
        <v>0</v>
      </c>
      <c r="P161" s="140">
        <f ca="1">IF(ISNUMBER(MATCH(DATEVALUE($A161),'changes1_based on steps'!P$1:P$400,0)),P$2,)</f>
        <v>0</v>
      </c>
      <c r="Q161" s="140">
        <f ca="1">IF(ISNUMBER(MATCH(DATEVALUE($A161),'changes1_based on steps'!Q$1:Q$400,0)),Q$2,)</f>
        <v>0</v>
      </c>
      <c r="R161" s="140">
        <f ca="1">IF(ISNUMBER(MATCH(DATEVALUE($A161),'changes1_based on steps'!R$1:R$400,0)),R$2,)</f>
        <v>0</v>
      </c>
      <c r="S161" s="140">
        <f ca="1">IF(ISNUMBER(MATCH(DATEVALUE($A161),'changes1_based on steps'!S$1:S$400,0)),S$2,)</f>
        <v>0</v>
      </c>
      <c r="T161" s="140">
        <f ca="1">IF(ISNUMBER(MATCH(DATEVALUE($A161),'changes1_based on steps'!T$1:T$400,0)),T$2,)</f>
        <v>0</v>
      </c>
      <c r="U161" s="140">
        <f ca="1">IF(ISNUMBER(MATCH(DATEVALUE($A161),'changes1_based on steps'!U$1:U$400,0)),U$2,)</f>
        <v>0</v>
      </c>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0"/>
      <c r="AW161" s="140"/>
      <c r="AX161" s="140"/>
      <c r="AY161" s="140"/>
      <c r="AZ161" s="140"/>
      <c r="BA161" s="140"/>
      <c r="BB161" s="140"/>
      <c r="BC161" s="140"/>
      <c r="BD161" s="140"/>
      <c r="BE161" s="140"/>
      <c r="BF161" s="140"/>
      <c r="BG161" s="140"/>
      <c r="BH161" s="140"/>
      <c r="BI161" s="140"/>
      <c r="BJ161" s="140"/>
      <c r="BK161" s="140"/>
      <c r="BL161" s="140"/>
      <c r="BM161" s="140"/>
      <c r="BN161" s="140"/>
      <c r="BO161" s="140"/>
      <c r="BP161" s="140"/>
      <c r="BQ161" s="140"/>
      <c r="BR161" s="140"/>
      <c r="BS161" s="140"/>
      <c r="BT161" s="140"/>
      <c r="BU161" s="140"/>
      <c r="BV161" s="140"/>
      <c r="BW161" s="140"/>
      <c r="BX161" s="140"/>
      <c r="BY161" s="140"/>
      <c r="BZ161" s="140"/>
      <c r="CA161" s="140"/>
      <c r="CB161" s="140"/>
      <c r="CC161" s="140"/>
      <c r="CD161" s="140"/>
      <c r="CE161" s="140"/>
      <c r="CF161" s="140"/>
      <c r="CG161" s="140"/>
      <c r="CH161" s="140"/>
      <c r="CI161" s="140"/>
      <c r="CJ161" s="140"/>
      <c r="CK161" s="140"/>
      <c r="CL161" s="140"/>
      <c r="CM161" s="140"/>
      <c r="CN161" s="140"/>
      <c r="CO161" s="140"/>
      <c r="CP161" s="140"/>
      <c r="CQ161" s="140"/>
      <c r="CR161" s="140"/>
      <c r="CS161" s="140"/>
      <c r="CT161" s="140"/>
      <c r="CU161" s="140"/>
      <c r="CV161" s="140"/>
      <c r="CW161" s="140"/>
    </row>
    <row r="162" spans="1:101" x14ac:dyDescent="0.2">
      <c r="A162" s="29" t="str">
        <f t="shared" ca="1" si="2"/>
        <v>2025-09-02</v>
      </c>
      <c r="B162" s="140">
        <f ca="1">IF(ISNUMBER(MATCH(DATEVALUE($A162),'changes1_based on steps'!B$1:B$400,0)),B$2,)</f>
        <v>0</v>
      </c>
      <c r="C162" s="140">
        <f ca="1">IF(ISNUMBER(MATCH(DATEVALUE($A162),'changes1_based on steps'!C$1:C$400,0)),C$2,)</f>
        <v>0</v>
      </c>
      <c r="D162" s="140">
        <f ca="1">IF(ISNUMBER(MATCH(DATEVALUE($A162),'changes1_based on steps'!D$1:D$400,0)),D$2,)</f>
        <v>0</v>
      </c>
      <c r="E162" s="140">
        <f ca="1">IF(ISNUMBER(MATCH(DATEVALUE($A162),'changes1_based on steps'!E$1:E$400,0)),E$2,)</f>
        <v>0</v>
      </c>
      <c r="F162" s="140">
        <f ca="1">IF(ISNUMBER(MATCH(DATEVALUE($A162),'changes1_based on steps'!F$1:F$400,0)),F$2,)</f>
        <v>0</v>
      </c>
      <c r="G162" s="140">
        <f ca="1">IF(ISNUMBER(MATCH(DATEVALUE($A162),'changes1_based on steps'!G$1:G$400,0)),G$2,)</f>
        <v>0</v>
      </c>
      <c r="H162" s="140">
        <f ca="1">IF(ISNUMBER(MATCH(DATEVALUE($A162),'changes1_based on steps'!H$1:H$400,0)),H$2,)</f>
        <v>0</v>
      </c>
      <c r="I162" s="140">
        <f ca="1">IF(ISNUMBER(MATCH(DATEVALUE($A162),'changes1_based on steps'!I$1:I$400,0)),I$2,)</f>
        <v>0</v>
      </c>
      <c r="J162" s="140">
        <f ca="1">IF(ISNUMBER(MATCH(DATEVALUE($A162),'changes1_based on steps'!J$1:J$400,0)),J$2,)</f>
        <v>0</v>
      </c>
      <c r="K162" s="140">
        <f ca="1">IF(ISNUMBER(MATCH(DATEVALUE($A162),'changes1_based on steps'!K$1:K$400,0)),K$2,)</f>
        <v>0</v>
      </c>
      <c r="L162" s="140">
        <f ca="1">IF(ISNUMBER(MATCH(DATEVALUE($A162),'changes1_based on steps'!L$1:L$400,0)),L$2,)</f>
        <v>0</v>
      </c>
      <c r="M162" s="140">
        <f ca="1">IF(ISNUMBER(MATCH(DATEVALUE($A162),'changes1_based on steps'!M$1:M$400,0)),M$2,)</f>
        <v>0</v>
      </c>
      <c r="N162" s="140">
        <f ca="1">IF(ISNUMBER(MATCH(DATEVALUE($A162),'changes1_based on steps'!N$1:N$400,0)),N$2,)</f>
        <v>0</v>
      </c>
      <c r="O162" s="140">
        <f ca="1">IF(ISNUMBER(MATCH(DATEVALUE($A162),'changes1_based on steps'!O$1:O$400,0)),O$2,)</f>
        <v>0</v>
      </c>
      <c r="P162" s="140">
        <f ca="1">IF(ISNUMBER(MATCH(DATEVALUE($A162),'changes1_based on steps'!P$1:P$400,0)),P$2,)</f>
        <v>0</v>
      </c>
      <c r="Q162" s="140">
        <f ca="1">IF(ISNUMBER(MATCH(DATEVALUE($A162),'changes1_based on steps'!Q$1:Q$400,0)),Q$2,)</f>
        <v>0</v>
      </c>
      <c r="R162" s="140">
        <f ca="1">IF(ISNUMBER(MATCH(DATEVALUE($A162),'changes1_based on steps'!R$1:R$400,0)),R$2,)</f>
        <v>0</v>
      </c>
      <c r="S162" s="140">
        <f ca="1">IF(ISNUMBER(MATCH(DATEVALUE($A162),'changes1_based on steps'!S$1:S$400,0)),S$2,)</f>
        <v>0</v>
      </c>
      <c r="T162" s="140">
        <f ca="1">IF(ISNUMBER(MATCH(DATEVALUE($A162),'changes1_based on steps'!T$1:T$400,0)),T$2,)</f>
        <v>0</v>
      </c>
      <c r="U162" s="140">
        <f ca="1">IF(ISNUMBER(MATCH(DATEVALUE($A162),'changes1_based on steps'!U$1:U$400,0)),U$2,)</f>
        <v>0</v>
      </c>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0"/>
      <c r="AW162" s="140"/>
      <c r="AX162" s="140"/>
      <c r="AY162" s="140"/>
      <c r="AZ162" s="140"/>
      <c r="BA162" s="140"/>
      <c r="BB162" s="140"/>
      <c r="BC162" s="140"/>
      <c r="BD162" s="140"/>
      <c r="BE162" s="140"/>
      <c r="BF162" s="140"/>
      <c r="BG162" s="140"/>
      <c r="BH162" s="140"/>
      <c r="BI162" s="140"/>
      <c r="BJ162" s="140"/>
      <c r="BK162" s="140"/>
      <c r="BL162" s="140"/>
      <c r="BM162" s="140"/>
      <c r="BN162" s="140"/>
      <c r="BO162" s="140"/>
      <c r="BP162" s="140"/>
      <c r="BQ162" s="140"/>
      <c r="BR162" s="140"/>
      <c r="BS162" s="140"/>
      <c r="BT162" s="140"/>
      <c r="BU162" s="140"/>
      <c r="BV162" s="140"/>
      <c r="BW162" s="140"/>
      <c r="BX162" s="140"/>
      <c r="BY162" s="140"/>
      <c r="BZ162" s="140"/>
      <c r="CA162" s="140"/>
      <c r="CB162" s="140"/>
      <c r="CC162" s="140"/>
      <c r="CD162" s="140"/>
      <c r="CE162" s="140"/>
      <c r="CF162" s="140"/>
      <c r="CG162" s="140"/>
      <c r="CH162" s="140"/>
      <c r="CI162" s="140"/>
      <c r="CJ162" s="140"/>
      <c r="CK162" s="140"/>
      <c r="CL162" s="140"/>
      <c r="CM162" s="140"/>
      <c r="CN162" s="140"/>
      <c r="CO162" s="140"/>
      <c r="CP162" s="140"/>
      <c r="CQ162" s="140"/>
      <c r="CR162" s="140"/>
      <c r="CS162" s="140"/>
      <c r="CT162" s="140"/>
      <c r="CU162" s="140"/>
      <c r="CV162" s="140"/>
      <c r="CW162" s="140"/>
    </row>
    <row r="163" spans="1:101" x14ac:dyDescent="0.2">
      <c r="A163" s="29" t="str">
        <f t="shared" ca="1" si="2"/>
        <v>2025-09-03</v>
      </c>
      <c r="B163" s="140">
        <f ca="1">IF(ISNUMBER(MATCH(DATEVALUE($A163),'changes1_based on steps'!B$1:B$400,0)),B$2,)</f>
        <v>0</v>
      </c>
      <c r="C163" s="140">
        <f ca="1">IF(ISNUMBER(MATCH(DATEVALUE($A163),'changes1_based on steps'!C$1:C$400,0)),C$2,)</f>
        <v>0</v>
      </c>
      <c r="D163" s="140">
        <f ca="1">IF(ISNUMBER(MATCH(DATEVALUE($A163),'changes1_based on steps'!D$1:D$400,0)),D$2,)</f>
        <v>0</v>
      </c>
      <c r="E163" s="140">
        <f ca="1">IF(ISNUMBER(MATCH(DATEVALUE($A163),'changes1_based on steps'!E$1:E$400,0)),E$2,)</f>
        <v>0</v>
      </c>
      <c r="F163" s="140">
        <f ca="1">IF(ISNUMBER(MATCH(DATEVALUE($A163),'changes1_based on steps'!F$1:F$400,0)),F$2,)</f>
        <v>0</v>
      </c>
      <c r="G163" s="140">
        <f ca="1">IF(ISNUMBER(MATCH(DATEVALUE($A163),'changes1_based on steps'!G$1:G$400,0)),G$2,)</f>
        <v>0</v>
      </c>
      <c r="H163" s="140">
        <f ca="1">IF(ISNUMBER(MATCH(DATEVALUE($A163),'changes1_based on steps'!H$1:H$400,0)),H$2,)</f>
        <v>0</v>
      </c>
      <c r="I163" s="140">
        <f ca="1">IF(ISNUMBER(MATCH(DATEVALUE($A163),'changes1_based on steps'!I$1:I$400,0)),I$2,)</f>
        <v>0</v>
      </c>
      <c r="J163" s="140">
        <f ca="1">IF(ISNUMBER(MATCH(DATEVALUE($A163),'changes1_based on steps'!J$1:J$400,0)),J$2,)</f>
        <v>0</v>
      </c>
      <c r="K163" s="140">
        <f ca="1">IF(ISNUMBER(MATCH(DATEVALUE($A163),'changes1_based on steps'!K$1:K$400,0)),K$2,)</f>
        <v>0</v>
      </c>
      <c r="L163" s="140">
        <f ca="1">IF(ISNUMBER(MATCH(DATEVALUE($A163),'changes1_based on steps'!L$1:L$400,0)),L$2,)</f>
        <v>0</v>
      </c>
      <c r="M163" s="140">
        <f ca="1">IF(ISNUMBER(MATCH(DATEVALUE($A163),'changes1_based on steps'!M$1:M$400,0)),M$2,)</f>
        <v>0</v>
      </c>
      <c r="N163" s="140">
        <f ca="1">IF(ISNUMBER(MATCH(DATEVALUE($A163),'changes1_based on steps'!N$1:N$400,0)),N$2,)</f>
        <v>0</v>
      </c>
      <c r="O163" s="140">
        <f ca="1">IF(ISNUMBER(MATCH(DATEVALUE($A163),'changes1_based on steps'!O$1:O$400,0)),O$2,)</f>
        <v>0</v>
      </c>
      <c r="P163" s="140">
        <f ca="1">IF(ISNUMBER(MATCH(DATEVALUE($A163),'changes1_based on steps'!P$1:P$400,0)),P$2,)</f>
        <v>0</v>
      </c>
      <c r="Q163" s="140">
        <f ca="1">IF(ISNUMBER(MATCH(DATEVALUE($A163),'changes1_based on steps'!Q$1:Q$400,0)),Q$2,)</f>
        <v>0</v>
      </c>
      <c r="R163" s="140">
        <f ca="1">IF(ISNUMBER(MATCH(DATEVALUE($A163),'changes1_based on steps'!R$1:R$400,0)),R$2,)</f>
        <v>0</v>
      </c>
      <c r="S163" s="140">
        <f ca="1">IF(ISNUMBER(MATCH(DATEVALUE($A163),'changes1_based on steps'!S$1:S$400,0)),S$2,)</f>
        <v>0</v>
      </c>
      <c r="T163" s="140">
        <f ca="1">IF(ISNUMBER(MATCH(DATEVALUE($A163),'changes1_based on steps'!T$1:T$400,0)),T$2,)</f>
        <v>0</v>
      </c>
      <c r="U163" s="140">
        <f ca="1">IF(ISNUMBER(MATCH(DATEVALUE($A163),'changes1_based on steps'!U$1:U$400,0)),U$2,)</f>
        <v>0</v>
      </c>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c r="AW163" s="140"/>
      <c r="AX163" s="140"/>
      <c r="AY163" s="140"/>
      <c r="AZ163" s="140"/>
      <c r="BA163" s="140"/>
      <c r="BB163" s="140"/>
      <c r="BC163" s="140"/>
      <c r="BD163" s="140"/>
      <c r="BE163" s="140"/>
      <c r="BF163" s="140"/>
      <c r="BG163" s="140"/>
      <c r="BH163" s="140"/>
      <c r="BI163" s="140"/>
      <c r="BJ163" s="140"/>
      <c r="BK163" s="140"/>
      <c r="BL163" s="140"/>
      <c r="BM163" s="140"/>
      <c r="BN163" s="140"/>
      <c r="BO163" s="140"/>
      <c r="BP163" s="140"/>
      <c r="BQ163" s="140"/>
      <c r="BR163" s="140"/>
      <c r="BS163" s="140"/>
      <c r="BT163" s="140"/>
      <c r="BU163" s="140"/>
      <c r="BV163" s="140"/>
      <c r="BW163" s="140"/>
      <c r="BX163" s="140"/>
      <c r="BY163" s="140"/>
      <c r="BZ163" s="140"/>
      <c r="CA163" s="140"/>
      <c r="CB163" s="140"/>
      <c r="CC163" s="140"/>
      <c r="CD163" s="140"/>
      <c r="CE163" s="140"/>
      <c r="CF163" s="140"/>
      <c r="CG163" s="140"/>
      <c r="CH163" s="140"/>
      <c r="CI163" s="140"/>
      <c r="CJ163" s="140"/>
      <c r="CK163" s="140"/>
      <c r="CL163" s="140"/>
      <c r="CM163" s="140"/>
      <c r="CN163" s="140"/>
      <c r="CO163" s="140"/>
      <c r="CP163" s="140"/>
      <c r="CQ163" s="140"/>
      <c r="CR163" s="140"/>
      <c r="CS163" s="140"/>
      <c r="CT163" s="140"/>
      <c r="CU163" s="140"/>
      <c r="CV163" s="140"/>
      <c r="CW163" s="140"/>
    </row>
    <row r="164" spans="1:101" x14ac:dyDescent="0.2">
      <c r="A164" s="29" t="str">
        <f t="shared" ca="1" si="2"/>
        <v>2025-09-04</v>
      </c>
      <c r="B164" s="140">
        <f ca="1">IF(ISNUMBER(MATCH(DATEVALUE($A164),'changes1_based on steps'!B$1:B$400,0)),B$2,)</f>
        <v>0</v>
      </c>
      <c r="C164" s="140">
        <f ca="1">IF(ISNUMBER(MATCH(DATEVALUE($A164),'changes1_based on steps'!C$1:C$400,0)),C$2,)</f>
        <v>0</v>
      </c>
      <c r="D164" s="140">
        <f ca="1">IF(ISNUMBER(MATCH(DATEVALUE($A164),'changes1_based on steps'!D$1:D$400,0)),D$2,)</f>
        <v>0</v>
      </c>
      <c r="E164" s="140">
        <f ca="1">IF(ISNUMBER(MATCH(DATEVALUE($A164),'changes1_based on steps'!E$1:E$400,0)),E$2,)</f>
        <v>0</v>
      </c>
      <c r="F164" s="140">
        <f ca="1">IF(ISNUMBER(MATCH(DATEVALUE($A164),'changes1_based on steps'!F$1:F$400,0)),F$2,)</f>
        <v>0</v>
      </c>
      <c r="G164" s="140">
        <f ca="1">IF(ISNUMBER(MATCH(DATEVALUE($A164),'changes1_based on steps'!G$1:G$400,0)),G$2,)</f>
        <v>0</v>
      </c>
      <c r="H164" s="140">
        <f ca="1">IF(ISNUMBER(MATCH(DATEVALUE($A164),'changes1_based on steps'!H$1:H$400,0)),H$2,)</f>
        <v>0</v>
      </c>
      <c r="I164" s="140">
        <f ca="1">IF(ISNUMBER(MATCH(DATEVALUE($A164),'changes1_based on steps'!I$1:I$400,0)),I$2,)</f>
        <v>0</v>
      </c>
      <c r="J164" s="140">
        <f ca="1">IF(ISNUMBER(MATCH(DATEVALUE($A164),'changes1_based on steps'!J$1:J$400,0)),J$2,)</f>
        <v>0</v>
      </c>
      <c r="K164" s="140">
        <f ca="1">IF(ISNUMBER(MATCH(DATEVALUE($A164),'changes1_based on steps'!K$1:K$400,0)),K$2,)</f>
        <v>0</v>
      </c>
      <c r="L164" s="140">
        <f ca="1">IF(ISNUMBER(MATCH(DATEVALUE($A164),'changes1_based on steps'!L$1:L$400,0)),L$2,)</f>
        <v>0</v>
      </c>
      <c r="M164" s="140">
        <f ca="1">IF(ISNUMBER(MATCH(DATEVALUE($A164),'changes1_based on steps'!M$1:M$400,0)),M$2,)</f>
        <v>0</v>
      </c>
      <c r="N164" s="140">
        <f ca="1">IF(ISNUMBER(MATCH(DATEVALUE($A164),'changes1_based on steps'!N$1:N$400,0)),N$2,)</f>
        <v>0</v>
      </c>
      <c r="O164" s="140">
        <f ca="1">IF(ISNUMBER(MATCH(DATEVALUE($A164),'changes1_based on steps'!O$1:O$400,0)),O$2,)</f>
        <v>0</v>
      </c>
      <c r="P164" s="140">
        <f ca="1">IF(ISNUMBER(MATCH(DATEVALUE($A164),'changes1_based on steps'!P$1:P$400,0)),P$2,)</f>
        <v>0</v>
      </c>
      <c r="Q164" s="140">
        <f ca="1">IF(ISNUMBER(MATCH(DATEVALUE($A164),'changes1_based on steps'!Q$1:Q$400,0)),Q$2,)</f>
        <v>0</v>
      </c>
      <c r="R164" s="140">
        <f ca="1">IF(ISNUMBER(MATCH(DATEVALUE($A164),'changes1_based on steps'!R$1:R$400,0)),R$2,)</f>
        <v>0</v>
      </c>
      <c r="S164" s="140">
        <f ca="1">IF(ISNUMBER(MATCH(DATEVALUE($A164),'changes1_based on steps'!S$1:S$400,0)),S$2,)</f>
        <v>0</v>
      </c>
      <c r="T164" s="140">
        <f ca="1">IF(ISNUMBER(MATCH(DATEVALUE($A164),'changes1_based on steps'!T$1:T$400,0)),T$2,)</f>
        <v>0</v>
      </c>
      <c r="U164" s="140">
        <f ca="1">IF(ISNUMBER(MATCH(DATEVALUE($A164),'changes1_based on steps'!U$1:U$400,0)),U$2,)</f>
        <v>0</v>
      </c>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c r="AW164" s="140"/>
      <c r="AX164" s="140"/>
      <c r="AY164" s="140"/>
      <c r="AZ164" s="140"/>
      <c r="BA164" s="140"/>
      <c r="BB164" s="140"/>
      <c r="BC164" s="140"/>
      <c r="BD164" s="140"/>
      <c r="BE164" s="140"/>
      <c r="BF164" s="140"/>
      <c r="BG164" s="140"/>
      <c r="BH164" s="140"/>
      <c r="BI164" s="140"/>
      <c r="BJ164" s="140"/>
      <c r="BK164" s="140"/>
      <c r="BL164" s="140"/>
      <c r="BM164" s="140"/>
      <c r="BN164" s="140"/>
      <c r="BO164" s="140"/>
      <c r="BP164" s="140"/>
      <c r="BQ164" s="140"/>
      <c r="BR164" s="140"/>
      <c r="BS164" s="140"/>
      <c r="BT164" s="140"/>
      <c r="BU164" s="140"/>
      <c r="BV164" s="140"/>
      <c r="BW164" s="140"/>
      <c r="BX164" s="140"/>
      <c r="BY164" s="140"/>
      <c r="BZ164" s="140"/>
      <c r="CA164" s="140"/>
      <c r="CB164" s="140"/>
      <c r="CC164" s="140"/>
      <c r="CD164" s="140"/>
      <c r="CE164" s="140"/>
      <c r="CF164" s="140"/>
      <c r="CG164" s="140"/>
      <c r="CH164" s="140"/>
      <c r="CI164" s="140"/>
      <c r="CJ164" s="140"/>
      <c r="CK164" s="140"/>
      <c r="CL164" s="140"/>
      <c r="CM164" s="140"/>
      <c r="CN164" s="140"/>
      <c r="CO164" s="140"/>
      <c r="CP164" s="140"/>
      <c r="CQ164" s="140"/>
      <c r="CR164" s="140"/>
      <c r="CS164" s="140"/>
      <c r="CT164" s="140"/>
      <c r="CU164" s="140"/>
      <c r="CV164" s="140"/>
      <c r="CW164" s="140"/>
    </row>
    <row r="165" spans="1:101" x14ac:dyDescent="0.2">
      <c r="A165" s="29" t="str">
        <f t="shared" ca="1" si="2"/>
        <v>2025-09-05</v>
      </c>
      <c r="B165" s="140">
        <f ca="1">IF(ISNUMBER(MATCH(DATEVALUE($A165),'changes1_based on steps'!B$1:B$400,0)),B$2,)</f>
        <v>0</v>
      </c>
      <c r="C165" s="140">
        <f ca="1">IF(ISNUMBER(MATCH(DATEVALUE($A165),'changes1_based on steps'!C$1:C$400,0)),C$2,)</f>
        <v>0</v>
      </c>
      <c r="D165" s="140">
        <f ca="1">IF(ISNUMBER(MATCH(DATEVALUE($A165),'changes1_based on steps'!D$1:D$400,0)),D$2,)</f>
        <v>0</v>
      </c>
      <c r="E165" s="140">
        <f ca="1">IF(ISNUMBER(MATCH(DATEVALUE($A165),'changes1_based on steps'!E$1:E$400,0)),E$2,)</f>
        <v>0</v>
      </c>
      <c r="F165" s="140">
        <f ca="1">IF(ISNUMBER(MATCH(DATEVALUE($A165),'changes1_based on steps'!F$1:F$400,0)),F$2,)</f>
        <v>0</v>
      </c>
      <c r="G165" s="140">
        <f ca="1">IF(ISNUMBER(MATCH(DATEVALUE($A165),'changes1_based on steps'!G$1:G$400,0)),G$2,)</f>
        <v>0</v>
      </c>
      <c r="H165" s="140">
        <f ca="1">IF(ISNUMBER(MATCH(DATEVALUE($A165),'changes1_based on steps'!H$1:H$400,0)),H$2,)</f>
        <v>0</v>
      </c>
      <c r="I165" s="140">
        <f ca="1">IF(ISNUMBER(MATCH(DATEVALUE($A165),'changes1_based on steps'!I$1:I$400,0)),I$2,)</f>
        <v>0</v>
      </c>
      <c r="J165" s="140">
        <f ca="1">IF(ISNUMBER(MATCH(DATEVALUE($A165),'changes1_based on steps'!J$1:J$400,0)),J$2,)</f>
        <v>0</v>
      </c>
      <c r="K165" s="140">
        <f ca="1">IF(ISNUMBER(MATCH(DATEVALUE($A165),'changes1_based on steps'!K$1:K$400,0)),K$2,)</f>
        <v>0</v>
      </c>
      <c r="L165" s="140">
        <f ca="1">IF(ISNUMBER(MATCH(DATEVALUE($A165),'changes1_based on steps'!L$1:L$400,0)),L$2,)</f>
        <v>0</v>
      </c>
      <c r="M165" s="140">
        <f ca="1">IF(ISNUMBER(MATCH(DATEVALUE($A165),'changes1_based on steps'!M$1:M$400,0)),M$2,)</f>
        <v>0</v>
      </c>
      <c r="N165" s="140">
        <f ca="1">IF(ISNUMBER(MATCH(DATEVALUE($A165),'changes1_based on steps'!N$1:N$400,0)),N$2,)</f>
        <v>0</v>
      </c>
      <c r="O165" s="140">
        <f ca="1">IF(ISNUMBER(MATCH(DATEVALUE($A165),'changes1_based on steps'!O$1:O$400,0)),O$2,)</f>
        <v>0</v>
      </c>
      <c r="P165" s="140">
        <f ca="1">IF(ISNUMBER(MATCH(DATEVALUE($A165),'changes1_based on steps'!P$1:P$400,0)),P$2,)</f>
        <v>0</v>
      </c>
      <c r="Q165" s="140">
        <f ca="1">IF(ISNUMBER(MATCH(DATEVALUE($A165),'changes1_based on steps'!Q$1:Q$400,0)),Q$2,)</f>
        <v>0</v>
      </c>
      <c r="R165" s="140">
        <f ca="1">IF(ISNUMBER(MATCH(DATEVALUE($A165),'changes1_based on steps'!R$1:R$400,0)),R$2,)</f>
        <v>0</v>
      </c>
      <c r="S165" s="140">
        <f ca="1">IF(ISNUMBER(MATCH(DATEVALUE($A165),'changes1_based on steps'!S$1:S$400,0)),S$2,)</f>
        <v>0</v>
      </c>
      <c r="T165" s="140">
        <f ca="1">IF(ISNUMBER(MATCH(DATEVALUE($A165),'changes1_based on steps'!T$1:T$400,0)),T$2,)</f>
        <v>0</v>
      </c>
      <c r="U165" s="140">
        <f ca="1">IF(ISNUMBER(MATCH(DATEVALUE($A165),'changes1_based on steps'!U$1:U$400,0)),U$2,)</f>
        <v>0</v>
      </c>
      <c r="V165" s="140"/>
      <c r="W165" s="140"/>
      <c r="X165" s="140"/>
      <c r="Y165" s="140"/>
      <c r="Z165" s="140"/>
      <c r="AA165" s="140"/>
      <c r="AB165" s="140"/>
      <c r="AC165" s="140"/>
      <c r="AD165" s="140"/>
      <c r="AE165" s="140"/>
      <c r="AF165" s="140"/>
      <c r="AG165" s="140"/>
      <c r="AH165" s="140"/>
      <c r="AI165" s="140"/>
      <c r="AJ165" s="140"/>
      <c r="AK165" s="140"/>
      <c r="AL165" s="140"/>
      <c r="AM165" s="140"/>
      <c r="AN165" s="140"/>
      <c r="AO165" s="140"/>
      <c r="AP165" s="140"/>
      <c r="AQ165" s="140"/>
      <c r="AR165" s="140"/>
      <c r="AS165" s="140"/>
      <c r="AT165" s="140"/>
      <c r="AU165" s="140"/>
      <c r="AV165" s="140"/>
      <c r="AW165" s="140"/>
      <c r="AX165" s="140"/>
      <c r="AY165" s="140"/>
      <c r="AZ165" s="140"/>
      <c r="BA165" s="140"/>
      <c r="BB165" s="140"/>
      <c r="BC165" s="140"/>
      <c r="BD165" s="140"/>
      <c r="BE165" s="140"/>
      <c r="BF165" s="140"/>
      <c r="BG165" s="140"/>
      <c r="BH165" s="140"/>
      <c r="BI165" s="140"/>
      <c r="BJ165" s="140"/>
      <c r="BK165" s="140"/>
      <c r="BL165" s="140"/>
      <c r="BM165" s="140"/>
      <c r="BN165" s="140"/>
      <c r="BO165" s="140"/>
      <c r="BP165" s="140"/>
      <c r="BQ165" s="140"/>
      <c r="BR165" s="140"/>
      <c r="BS165" s="140"/>
      <c r="BT165" s="140"/>
      <c r="BU165" s="140"/>
      <c r="BV165" s="140"/>
      <c r="BW165" s="140"/>
      <c r="BX165" s="140"/>
      <c r="BY165" s="140"/>
      <c r="BZ165" s="140"/>
      <c r="CA165" s="140"/>
      <c r="CB165" s="140"/>
      <c r="CC165" s="140"/>
      <c r="CD165" s="140"/>
      <c r="CE165" s="140"/>
      <c r="CF165" s="140"/>
      <c r="CG165" s="140"/>
      <c r="CH165" s="140"/>
      <c r="CI165" s="140"/>
      <c r="CJ165" s="140"/>
      <c r="CK165" s="140"/>
      <c r="CL165" s="140"/>
      <c r="CM165" s="140"/>
      <c r="CN165" s="140"/>
      <c r="CO165" s="140"/>
      <c r="CP165" s="140"/>
      <c r="CQ165" s="140"/>
      <c r="CR165" s="140"/>
      <c r="CS165" s="140"/>
      <c r="CT165" s="140"/>
      <c r="CU165" s="140"/>
      <c r="CV165" s="140"/>
      <c r="CW165" s="140"/>
    </row>
    <row r="166" spans="1:101" x14ac:dyDescent="0.2">
      <c r="A166" s="29" t="str">
        <f t="shared" ca="1" si="2"/>
        <v>2025-09-06</v>
      </c>
      <c r="B166" s="140">
        <f ca="1">IF(ISNUMBER(MATCH(DATEVALUE($A166),'changes1_based on steps'!B$1:B$400,0)),B$2,)</f>
        <v>0</v>
      </c>
      <c r="C166" s="140">
        <f ca="1">IF(ISNUMBER(MATCH(DATEVALUE($A166),'changes1_based on steps'!C$1:C$400,0)),C$2,)</f>
        <v>0</v>
      </c>
      <c r="D166" s="140">
        <f ca="1">IF(ISNUMBER(MATCH(DATEVALUE($A166),'changes1_based on steps'!D$1:D$400,0)),D$2,)</f>
        <v>0</v>
      </c>
      <c r="E166" s="140">
        <f ca="1">IF(ISNUMBER(MATCH(DATEVALUE($A166),'changes1_based on steps'!E$1:E$400,0)),E$2,)</f>
        <v>0</v>
      </c>
      <c r="F166" s="140">
        <f ca="1">IF(ISNUMBER(MATCH(DATEVALUE($A166),'changes1_based on steps'!F$1:F$400,0)),F$2,)</f>
        <v>0</v>
      </c>
      <c r="G166" s="140">
        <f ca="1">IF(ISNUMBER(MATCH(DATEVALUE($A166),'changes1_based on steps'!G$1:G$400,0)),G$2,)</f>
        <v>0</v>
      </c>
      <c r="H166" s="140">
        <f ca="1">IF(ISNUMBER(MATCH(DATEVALUE($A166),'changes1_based on steps'!H$1:H$400,0)),H$2,)</f>
        <v>0</v>
      </c>
      <c r="I166" s="140">
        <f ca="1">IF(ISNUMBER(MATCH(DATEVALUE($A166),'changes1_based on steps'!I$1:I$400,0)),I$2,)</f>
        <v>0</v>
      </c>
      <c r="J166" s="140">
        <f ca="1">IF(ISNUMBER(MATCH(DATEVALUE($A166),'changes1_based on steps'!J$1:J$400,0)),J$2,)</f>
        <v>0</v>
      </c>
      <c r="K166" s="140">
        <f ca="1">IF(ISNUMBER(MATCH(DATEVALUE($A166),'changes1_based on steps'!K$1:K$400,0)),K$2,)</f>
        <v>0</v>
      </c>
      <c r="L166" s="140">
        <f ca="1">IF(ISNUMBER(MATCH(DATEVALUE($A166),'changes1_based on steps'!L$1:L$400,0)),L$2,)</f>
        <v>0</v>
      </c>
      <c r="M166" s="140">
        <f ca="1">IF(ISNUMBER(MATCH(DATEVALUE($A166),'changes1_based on steps'!M$1:M$400,0)),M$2,)</f>
        <v>0</v>
      </c>
      <c r="N166" s="140">
        <f ca="1">IF(ISNUMBER(MATCH(DATEVALUE($A166),'changes1_based on steps'!N$1:N$400,0)),N$2,)</f>
        <v>0</v>
      </c>
      <c r="O166" s="140">
        <f ca="1">IF(ISNUMBER(MATCH(DATEVALUE($A166),'changes1_based on steps'!O$1:O$400,0)),O$2,)</f>
        <v>0</v>
      </c>
      <c r="P166" s="140">
        <f ca="1">IF(ISNUMBER(MATCH(DATEVALUE($A166),'changes1_based on steps'!P$1:P$400,0)),P$2,)</f>
        <v>0</v>
      </c>
      <c r="Q166" s="140">
        <f ca="1">IF(ISNUMBER(MATCH(DATEVALUE($A166),'changes1_based on steps'!Q$1:Q$400,0)),Q$2,)</f>
        <v>0</v>
      </c>
      <c r="R166" s="140">
        <f ca="1">IF(ISNUMBER(MATCH(DATEVALUE($A166),'changes1_based on steps'!R$1:R$400,0)),R$2,)</f>
        <v>0</v>
      </c>
      <c r="S166" s="140">
        <f ca="1">IF(ISNUMBER(MATCH(DATEVALUE($A166),'changes1_based on steps'!S$1:S$400,0)),S$2,)</f>
        <v>0</v>
      </c>
      <c r="T166" s="140">
        <f ca="1">IF(ISNUMBER(MATCH(DATEVALUE($A166),'changes1_based on steps'!T$1:T$400,0)),T$2,)</f>
        <v>0</v>
      </c>
      <c r="U166" s="140">
        <f ca="1">IF(ISNUMBER(MATCH(DATEVALUE($A166),'changes1_based on steps'!U$1:U$400,0)),U$2,)</f>
        <v>0</v>
      </c>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c r="AW166" s="140"/>
      <c r="AX166" s="140"/>
      <c r="AY166" s="140"/>
      <c r="AZ166" s="140"/>
      <c r="BA166" s="140"/>
      <c r="BB166" s="140"/>
      <c r="BC166" s="140"/>
      <c r="BD166" s="140"/>
      <c r="BE166" s="140"/>
      <c r="BF166" s="140"/>
      <c r="BG166" s="140"/>
      <c r="BH166" s="140"/>
      <c r="BI166" s="140"/>
      <c r="BJ166" s="140"/>
      <c r="BK166" s="140"/>
      <c r="BL166" s="140"/>
      <c r="BM166" s="140"/>
      <c r="BN166" s="140"/>
      <c r="BO166" s="140"/>
      <c r="BP166" s="140"/>
      <c r="BQ166" s="140"/>
      <c r="BR166" s="140"/>
      <c r="BS166" s="140"/>
      <c r="BT166" s="140"/>
      <c r="BU166" s="140"/>
      <c r="BV166" s="140"/>
      <c r="BW166" s="140"/>
      <c r="BX166" s="140"/>
      <c r="BY166" s="140"/>
      <c r="BZ166" s="140"/>
      <c r="CA166" s="140"/>
      <c r="CB166" s="140"/>
      <c r="CC166" s="140"/>
      <c r="CD166" s="140"/>
      <c r="CE166" s="140"/>
      <c r="CF166" s="140"/>
      <c r="CG166" s="140"/>
      <c r="CH166" s="140"/>
      <c r="CI166" s="140"/>
      <c r="CJ166" s="140"/>
      <c r="CK166" s="140"/>
      <c r="CL166" s="140"/>
      <c r="CM166" s="140"/>
      <c r="CN166" s="140"/>
      <c r="CO166" s="140"/>
      <c r="CP166" s="140"/>
      <c r="CQ166" s="140"/>
      <c r="CR166" s="140"/>
      <c r="CS166" s="140"/>
      <c r="CT166" s="140"/>
      <c r="CU166" s="140"/>
      <c r="CV166" s="140"/>
      <c r="CW166" s="140"/>
    </row>
    <row r="167" spans="1:101" x14ac:dyDescent="0.2">
      <c r="A167" s="29" t="str">
        <f t="shared" ca="1" si="2"/>
        <v>2025-09-07</v>
      </c>
      <c r="B167" s="140">
        <f ca="1">IF(ISNUMBER(MATCH(DATEVALUE($A167),'changes1_based on steps'!B$1:B$400,0)),B$2,)</f>
        <v>0</v>
      </c>
      <c r="C167" s="140">
        <f ca="1">IF(ISNUMBER(MATCH(DATEVALUE($A167),'changes1_based on steps'!C$1:C$400,0)),C$2,)</f>
        <v>0</v>
      </c>
      <c r="D167" s="140">
        <f ca="1">IF(ISNUMBER(MATCH(DATEVALUE($A167),'changes1_based on steps'!D$1:D$400,0)),D$2,)</f>
        <v>0</v>
      </c>
      <c r="E167" s="140">
        <f ca="1">IF(ISNUMBER(MATCH(DATEVALUE($A167),'changes1_based on steps'!E$1:E$400,0)),E$2,)</f>
        <v>0</v>
      </c>
      <c r="F167" s="140">
        <f ca="1">IF(ISNUMBER(MATCH(DATEVALUE($A167),'changes1_based on steps'!F$1:F$400,0)),F$2,)</f>
        <v>0</v>
      </c>
      <c r="G167" s="140">
        <f ca="1">IF(ISNUMBER(MATCH(DATEVALUE($A167),'changes1_based on steps'!G$1:G$400,0)),G$2,)</f>
        <v>0</v>
      </c>
      <c r="H167" s="140">
        <f ca="1">IF(ISNUMBER(MATCH(DATEVALUE($A167),'changes1_based on steps'!H$1:H$400,0)),H$2,)</f>
        <v>0</v>
      </c>
      <c r="I167" s="140">
        <f ca="1">IF(ISNUMBER(MATCH(DATEVALUE($A167),'changes1_based on steps'!I$1:I$400,0)),I$2,)</f>
        <v>0</v>
      </c>
      <c r="J167" s="140">
        <f ca="1">IF(ISNUMBER(MATCH(DATEVALUE($A167),'changes1_based on steps'!J$1:J$400,0)),J$2,)</f>
        <v>0</v>
      </c>
      <c r="K167" s="140">
        <f ca="1">IF(ISNUMBER(MATCH(DATEVALUE($A167),'changes1_based on steps'!K$1:K$400,0)),K$2,)</f>
        <v>0</v>
      </c>
      <c r="L167" s="140">
        <f ca="1">IF(ISNUMBER(MATCH(DATEVALUE($A167),'changes1_based on steps'!L$1:L$400,0)),L$2,)</f>
        <v>0</v>
      </c>
      <c r="M167" s="140">
        <f ca="1">IF(ISNUMBER(MATCH(DATEVALUE($A167),'changes1_based on steps'!M$1:M$400,0)),M$2,)</f>
        <v>0</v>
      </c>
      <c r="N167" s="140">
        <f ca="1">IF(ISNUMBER(MATCH(DATEVALUE($A167),'changes1_based on steps'!N$1:N$400,0)),N$2,)</f>
        <v>0</v>
      </c>
      <c r="O167" s="140">
        <f ca="1">IF(ISNUMBER(MATCH(DATEVALUE($A167),'changes1_based on steps'!O$1:O$400,0)),O$2,)</f>
        <v>0</v>
      </c>
      <c r="P167" s="140">
        <f ca="1">IF(ISNUMBER(MATCH(DATEVALUE($A167),'changes1_based on steps'!P$1:P$400,0)),P$2,)</f>
        <v>0</v>
      </c>
      <c r="Q167" s="140">
        <f ca="1">IF(ISNUMBER(MATCH(DATEVALUE($A167),'changes1_based on steps'!Q$1:Q$400,0)),Q$2,)</f>
        <v>0</v>
      </c>
      <c r="R167" s="140">
        <f ca="1">IF(ISNUMBER(MATCH(DATEVALUE($A167),'changes1_based on steps'!R$1:R$400,0)),R$2,)</f>
        <v>0</v>
      </c>
      <c r="S167" s="140">
        <f ca="1">IF(ISNUMBER(MATCH(DATEVALUE($A167),'changes1_based on steps'!S$1:S$400,0)),S$2,)</f>
        <v>0</v>
      </c>
      <c r="T167" s="140">
        <f ca="1">IF(ISNUMBER(MATCH(DATEVALUE($A167),'changes1_based on steps'!T$1:T$400,0)),T$2,)</f>
        <v>0</v>
      </c>
      <c r="U167" s="140">
        <f ca="1">IF(ISNUMBER(MATCH(DATEVALUE($A167),'changes1_based on steps'!U$1:U$400,0)),U$2,)</f>
        <v>0</v>
      </c>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c r="AW167" s="140"/>
      <c r="AX167" s="140"/>
      <c r="AY167" s="140"/>
      <c r="AZ167" s="140"/>
      <c r="BA167" s="140"/>
      <c r="BB167" s="140"/>
      <c r="BC167" s="140"/>
      <c r="BD167" s="140"/>
      <c r="BE167" s="140"/>
      <c r="BF167" s="140"/>
      <c r="BG167" s="140"/>
      <c r="BH167" s="140"/>
      <c r="BI167" s="140"/>
      <c r="BJ167" s="140"/>
      <c r="BK167" s="140"/>
      <c r="BL167" s="140"/>
      <c r="BM167" s="140"/>
      <c r="BN167" s="140"/>
      <c r="BO167" s="140"/>
      <c r="BP167" s="140"/>
      <c r="BQ167" s="140"/>
      <c r="BR167" s="140"/>
      <c r="BS167" s="140"/>
      <c r="BT167" s="140"/>
      <c r="BU167" s="140"/>
      <c r="BV167" s="140"/>
      <c r="BW167" s="140"/>
      <c r="BX167" s="140"/>
      <c r="BY167" s="140"/>
      <c r="BZ167" s="140"/>
      <c r="CA167" s="140"/>
      <c r="CB167" s="140"/>
      <c r="CC167" s="140"/>
      <c r="CD167" s="140"/>
      <c r="CE167" s="140"/>
      <c r="CF167" s="140"/>
      <c r="CG167" s="140"/>
      <c r="CH167" s="140"/>
      <c r="CI167" s="140"/>
      <c r="CJ167" s="140"/>
      <c r="CK167" s="140"/>
      <c r="CL167" s="140"/>
      <c r="CM167" s="140"/>
      <c r="CN167" s="140"/>
      <c r="CO167" s="140"/>
      <c r="CP167" s="140"/>
      <c r="CQ167" s="140"/>
      <c r="CR167" s="140"/>
      <c r="CS167" s="140"/>
      <c r="CT167" s="140"/>
      <c r="CU167" s="140"/>
      <c r="CV167" s="140"/>
      <c r="CW167" s="140"/>
    </row>
    <row r="168" spans="1:101" x14ac:dyDescent="0.2">
      <c r="A168" s="29" t="str">
        <f t="shared" ca="1" si="2"/>
        <v>2025-09-08</v>
      </c>
      <c r="B168" s="140">
        <f ca="1">IF(ISNUMBER(MATCH(DATEVALUE($A168),'changes1_based on steps'!B$1:B$400,0)),B$2,)</f>
        <v>0</v>
      </c>
      <c r="C168" s="140">
        <f ca="1">IF(ISNUMBER(MATCH(DATEVALUE($A168),'changes1_based on steps'!C$1:C$400,0)),C$2,)</f>
        <v>0</v>
      </c>
      <c r="D168" s="140">
        <f ca="1">IF(ISNUMBER(MATCH(DATEVALUE($A168),'changes1_based on steps'!D$1:D$400,0)),D$2,)</f>
        <v>0</v>
      </c>
      <c r="E168" s="140">
        <f ca="1">IF(ISNUMBER(MATCH(DATEVALUE($A168),'changes1_based on steps'!E$1:E$400,0)),E$2,)</f>
        <v>0</v>
      </c>
      <c r="F168" s="140">
        <f ca="1">IF(ISNUMBER(MATCH(DATEVALUE($A168),'changes1_based on steps'!F$1:F$400,0)),F$2,)</f>
        <v>0</v>
      </c>
      <c r="G168" s="140">
        <f ca="1">IF(ISNUMBER(MATCH(DATEVALUE($A168),'changes1_based on steps'!G$1:G$400,0)),G$2,)</f>
        <v>0</v>
      </c>
      <c r="H168" s="140">
        <f ca="1">IF(ISNUMBER(MATCH(DATEVALUE($A168),'changes1_based on steps'!H$1:H$400,0)),H$2,)</f>
        <v>0</v>
      </c>
      <c r="I168" s="140">
        <f ca="1">IF(ISNUMBER(MATCH(DATEVALUE($A168),'changes1_based on steps'!I$1:I$400,0)),I$2,)</f>
        <v>0</v>
      </c>
      <c r="J168" s="140">
        <f ca="1">IF(ISNUMBER(MATCH(DATEVALUE($A168),'changes1_based on steps'!J$1:J$400,0)),J$2,)</f>
        <v>0</v>
      </c>
      <c r="K168" s="140">
        <f ca="1">IF(ISNUMBER(MATCH(DATEVALUE($A168),'changes1_based on steps'!K$1:K$400,0)),K$2,)</f>
        <v>0</v>
      </c>
      <c r="L168" s="140">
        <f ca="1">IF(ISNUMBER(MATCH(DATEVALUE($A168),'changes1_based on steps'!L$1:L$400,0)),L$2,)</f>
        <v>0</v>
      </c>
      <c r="M168" s="140">
        <f ca="1">IF(ISNUMBER(MATCH(DATEVALUE($A168),'changes1_based on steps'!M$1:M$400,0)),M$2,)</f>
        <v>0</v>
      </c>
      <c r="N168" s="140">
        <f ca="1">IF(ISNUMBER(MATCH(DATEVALUE($A168),'changes1_based on steps'!N$1:N$400,0)),N$2,)</f>
        <v>0</v>
      </c>
      <c r="O168" s="140">
        <f ca="1">IF(ISNUMBER(MATCH(DATEVALUE($A168),'changes1_based on steps'!O$1:O$400,0)),O$2,)</f>
        <v>0</v>
      </c>
      <c r="P168" s="140">
        <f ca="1">IF(ISNUMBER(MATCH(DATEVALUE($A168),'changes1_based on steps'!P$1:P$400,0)),P$2,)</f>
        <v>0</v>
      </c>
      <c r="Q168" s="140">
        <f ca="1">IF(ISNUMBER(MATCH(DATEVALUE($A168),'changes1_based on steps'!Q$1:Q$400,0)),Q$2,)</f>
        <v>0</v>
      </c>
      <c r="R168" s="140">
        <f ca="1">IF(ISNUMBER(MATCH(DATEVALUE($A168),'changes1_based on steps'!R$1:R$400,0)),R$2,)</f>
        <v>0</v>
      </c>
      <c r="S168" s="140">
        <f ca="1">IF(ISNUMBER(MATCH(DATEVALUE($A168),'changes1_based on steps'!S$1:S$400,0)),S$2,)</f>
        <v>0</v>
      </c>
      <c r="T168" s="140">
        <f ca="1">IF(ISNUMBER(MATCH(DATEVALUE($A168),'changes1_based on steps'!T$1:T$400,0)),T$2,)</f>
        <v>0</v>
      </c>
      <c r="U168" s="140">
        <f ca="1">IF(ISNUMBER(MATCH(DATEVALUE($A168),'changes1_based on steps'!U$1:U$400,0)),U$2,)</f>
        <v>0</v>
      </c>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c r="AW168" s="140"/>
      <c r="AX168" s="140"/>
      <c r="AY168" s="140"/>
      <c r="AZ168" s="140"/>
      <c r="BA168" s="140"/>
      <c r="BB168" s="140"/>
      <c r="BC168" s="140"/>
      <c r="BD168" s="140"/>
      <c r="BE168" s="140"/>
      <c r="BF168" s="140"/>
      <c r="BG168" s="140"/>
      <c r="BH168" s="140"/>
      <c r="BI168" s="140"/>
      <c r="BJ168" s="140"/>
      <c r="BK168" s="140"/>
      <c r="BL168" s="140"/>
      <c r="BM168" s="140"/>
      <c r="BN168" s="140"/>
      <c r="BO168" s="140"/>
      <c r="BP168" s="140"/>
      <c r="BQ168" s="140"/>
      <c r="BR168" s="140"/>
      <c r="BS168" s="140"/>
      <c r="BT168" s="140"/>
      <c r="BU168" s="140"/>
      <c r="BV168" s="140"/>
      <c r="BW168" s="140"/>
      <c r="BX168" s="140"/>
      <c r="BY168" s="140"/>
      <c r="BZ168" s="140"/>
      <c r="CA168" s="140"/>
      <c r="CB168" s="140"/>
      <c r="CC168" s="140"/>
      <c r="CD168" s="140"/>
      <c r="CE168" s="140"/>
      <c r="CF168" s="140"/>
      <c r="CG168" s="140"/>
      <c r="CH168" s="140"/>
      <c r="CI168" s="140"/>
      <c r="CJ168" s="140"/>
      <c r="CK168" s="140"/>
      <c r="CL168" s="140"/>
      <c r="CM168" s="140"/>
      <c r="CN168" s="140"/>
      <c r="CO168" s="140"/>
      <c r="CP168" s="140"/>
      <c r="CQ168" s="140"/>
      <c r="CR168" s="140"/>
      <c r="CS168" s="140"/>
      <c r="CT168" s="140"/>
      <c r="CU168" s="140"/>
      <c r="CV168" s="140"/>
      <c r="CW168" s="140"/>
    </row>
    <row r="169" spans="1:101" x14ac:dyDescent="0.2">
      <c r="A169" s="29" t="str">
        <f t="shared" ca="1" si="2"/>
        <v>2025-09-09</v>
      </c>
      <c r="B169" s="140">
        <f ca="1">IF(ISNUMBER(MATCH(DATEVALUE($A169),'changes1_based on steps'!B$1:B$400,0)),B$2,)</f>
        <v>0</v>
      </c>
      <c r="C169" s="140">
        <f ca="1">IF(ISNUMBER(MATCH(DATEVALUE($A169),'changes1_based on steps'!C$1:C$400,0)),C$2,)</f>
        <v>0</v>
      </c>
      <c r="D169" s="140">
        <f ca="1">IF(ISNUMBER(MATCH(DATEVALUE($A169),'changes1_based on steps'!D$1:D$400,0)),D$2,)</f>
        <v>0</v>
      </c>
      <c r="E169" s="140">
        <f ca="1">IF(ISNUMBER(MATCH(DATEVALUE($A169),'changes1_based on steps'!E$1:E$400,0)),E$2,)</f>
        <v>0</v>
      </c>
      <c r="F169" s="140">
        <f ca="1">IF(ISNUMBER(MATCH(DATEVALUE($A169),'changes1_based on steps'!F$1:F$400,0)),F$2,)</f>
        <v>0</v>
      </c>
      <c r="G169" s="140">
        <f ca="1">IF(ISNUMBER(MATCH(DATEVALUE($A169),'changes1_based on steps'!G$1:G$400,0)),G$2,)</f>
        <v>0</v>
      </c>
      <c r="H169" s="140">
        <f ca="1">IF(ISNUMBER(MATCH(DATEVALUE($A169),'changes1_based on steps'!H$1:H$400,0)),H$2,)</f>
        <v>0</v>
      </c>
      <c r="I169" s="140">
        <f ca="1">IF(ISNUMBER(MATCH(DATEVALUE($A169),'changes1_based on steps'!I$1:I$400,0)),I$2,)</f>
        <v>0</v>
      </c>
      <c r="J169" s="140">
        <f ca="1">IF(ISNUMBER(MATCH(DATEVALUE($A169),'changes1_based on steps'!J$1:J$400,0)),J$2,)</f>
        <v>0</v>
      </c>
      <c r="K169" s="140">
        <f ca="1">IF(ISNUMBER(MATCH(DATEVALUE($A169),'changes1_based on steps'!K$1:K$400,0)),K$2,)</f>
        <v>0</v>
      </c>
      <c r="L169" s="140">
        <f ca="1">IF(ISNUMBER(MATCH(DATEVALUE($A169),'changes1_based on steps'!L$1:L$400,0)),L$2,)</f>
        <v>0</v>
      </c>
      <c r="M169" s="140">
        <f ca="1">IF(ISNUMBER(MATCH(DATEVALUE($A169),'changes1_based on steps'!M$1:M$400,0)),M$2,)</f>
        <v>0</v>
      </c>
      <c r="N169" s="140">
        <f ca="1">IF(ISNUMBER(MATCH(DATEVALUE($A169),'changes1_based on steps'!N$1:N$400,0)),N$2,)</f>
        <v>0</v>
      </c>
      <c r="O169" s="140">
        <f ca="1">IF(ISNUMBER(MATCH(DATEVALUE($A169),'changes1_based on steps'!O$1:O$400,0)),O$2,)</f>
        <v>0</v>
      </c>
      <c r="P169" s="140">
        <f ca="1">IF(ISNUMBER(MATCH(DATEVALUE($A169),'changes1_based on steps'!P$1:P$400,0)),P$2,)</f>
        <v>0</v>
      </c>
      <c r="Q169" s="140">
        <f ca="1">IF(ISNUMBER(MATCH(DATEVALUE($A169),'changes1_based on steps'!Q$1:Q$400,0)),Q$2,)</f>
        <v>0</v>
      </c>
      <c r="R169" s="140">
        <f ca="1">IF(ISNUMBER(MATCH(DATEVALUE($A169),'changes1_based on steps'!R$1:R$400,0)),R$2,)</f>
        <v>0</v>
      </c>
      <c r="S169" s="140">
        <f ca="1">IF(ISNUMBER(MATCH(DATEVALUE($A169),'changes1_based on steps'!S$1:S$400,0)),S$2,)</f>
        <v>0</v>
      </c>
      <c r="T169" s="140">
        <f ca="1">IF(ISNUMBER(MATCH(DATEVALUE($A169),'changes1_based on steps'!T$1:T$400,0)),T$2,)</f>
        <v>0</v>
      </c>
      <c r="U169" s="140">
        <f ca="1">IF(ISNUMBER(MATCH(DATEVALUE($A169),'changes1_based on steps'!U$1:U$400,0)),U$2,)</f>
        <v>0</v>
      </c>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c r="AW169" s="140"/>
      <c r="AX169" s="140"/>
      <c r="AY169" s="140"/>
      <c r="AZ169" s="140"/>
      <c r="BA169" s="140"/>
      <c r="BB169" s="140"/>
      <c r="BC169" s="140"/>
      <c r="BD169" s="140"/>
      <c r="BE169" s="140"/>
      <c r="BF169" s="140"/>
      <c r="BG169" s="140"/>
      <c r="BH169" s="140"/>
      <c r="BI169" s="140"/>
      <c r="BJ169" s="140"/>
      <c r="BK169" s="140"/>
      <c r="BL169" s="140"/>
      <c r="BM169" s="140"/>
      <c r="BN169" s="140"/>
      <c r="BO169" s="140"/>
      <c r="BP169" s="140"/>
      <c r="BQ169" s="140"/>
      <c r="BR169" s="140"/>
      <c r="BS169" s="140"/>
      <c r="BT169" s="140"/>
      <c r="BU169" s="140"/>
      <c r="BV169" s="140"/>
      <c r="BW169" s="140"/>
      <c r="BX169" s="140"/>
      <c r="BY169" s="140"/>
      <c r="BZ169" s="140"/>
      <c r="CA169" s="140"/>
      <c r="CB169" s="140"/>
      <c r="CC169" s="140"/>
      <c r="CD169" s="140"/>
      <c r="CE169" s="140"/>
      <c r="CF169" s="140"/>
      <c r="CG169" s="140"/>
      <c r="CH169" s="140"/>
      <c r="CI169" s="140"/>
      <c r="CJ169" s="140"/>
      <c r="CK169" s="140"/>
      <c r="CL169" s="140"/>
      <c r="CM169" s="140"/>
      <c r="CN169" s="140"/>
      <c r="CO169" s="140"/>
      <c r="CP169" s="140"/>
      <c r="CQ169" s="140"/>
      <c r="CR169" s="140"/>
      <c r="CS169" s="140"/>
      <c r="CT169" s="140"/>
      <c r="CU169" s="140"/>
      <c r="CV169" s="140"/>
      <c r="CW169" s="140"/>
    </row>
    <row r="170" spans="1:101" x14ac:dyDescent="0.2">
      <c r="A170" s="29" t="str">
        <f t="shared" ca="1" si="2"/>
        <v>2025-09-10</v>
      </c>
      <c r="B170" s="140">
        <f ca="1">IF(ISNUMBER(MATCH(DATEVALUE($A170),'changes1_based on steps'!B$1:B$400,0)),B$2,)</f>
        <v>0</v>
      </c>
      <c r="C170" s="140">
        <f ca="1">IF(ISNUMBER(MATCH(DATEVALUE($A170),'changes1_based on steps'!C$1:C$400,0)),C$2,)</f>
        <v>0</v>
      </c>
      <c r="D170" s="140">
        <f ca="1">IF(ISNUMBER(MATCH(DATEVALUE($A170),'changes1_based on steps'!D$1:D$400,0)),D$2,)</f>
        <v>0</v>
      </c>
      <c r="E170" s="140">
        <f ca="1">IF(ISNUMBER(MATCH(DATEVALUE($A170),'changes1_based on steps'!E$1:E$400,0)),E$2,)</f>
        <v>0</v>
      </c>
      <c r="F170" s="140">
        <f ca="1">IF(ISNUMBER(MATCH(DATEVALUE($A170),'changes1_based on steps'!F$1:F$400,0)),F$2,)</f>
        <v>0</v>
      </c>
      <c r="G170" s="140">
        <f ca="1">IF(ISNUMBER(MATCH(DATEVALUE($A170),'changes1_based on steps'!G$1:G$400,0)),G$2,)</f>
        <v>0</v>
      </c>
      <c r="H170" s="140">
        <f ca="1">IF(ISNUMBER(MATCH(DATEVALUE($A170),'changes1_based on steps'!H$1:H$400,0)),H$2,)</f>
        <v>0</v>
      </c>
      <c r="I170" s="140">
        <f ca="1">IF(ISNUMBER(MATCH(DATEVALUE($A170),'changes1_based on steps'!I$1:I$400,0)),I$2,)</f>
        <v>0</v>
      </c>
      <c r="J170" s="140">
        <f ca="1">IF(ISNUMBER(MATCH(DATEVALUE($A170),'changes1_based on steps'!J$1:J$400,0)),J$2,)</f>
        <v>0</v>
      </c>
      <c r="K170" s="140">
        <f ca="1">IF(ISNUMBER(MATCH(DATEVALUE($A170),'changes1_based on steps'!K$1:K$400,0)),K$2,)</f>
        <v>0</v>
      </c>
      <c r="L170" s="140">
        <f ca="1">IF(ISNUMBER(MATCH(DATEVALUE($A170),'changes1_based on steps'!L$1:L$400,0)),L$2,)</f>
        <v>0</v>
      </c>
      <c r="M170" s="140">
        <f ca="1">IF(ISNUMBER(MATCH(DATEVALUE($A170),'changes1_based on steps'!M$1:M$400,0)),M$2,)</f>
        <v>0</v>
      </c>
      <c r="N170" s="140">
        <f ca="1">IF(ISNUMBER(MATCH(DATEVALUE($A170),'changes1_based on steps'!N$1:N$400,0)),N$2,)</f>
        <v>0</v>
      </c>
      <c r="O170" s="140">
        <f ca="1">IF(ISNUMBER(MATCH(DATEVALUE($A170),'changes1_based on steps'!O$1:O$400,0)),O$2,)</f>
        <v>0</v>
      </c>
      <c r="P170" s="140">
        <f ca="1">IF(ISNUMBER(MATCH(DATEVALUE($A170),'changes1_based on steps'!P$1:P$400,0)),P$2,)</f>
        <v>0</v>
      </c>
      <c r="Q170" s="140">
        <f ca="1">IF(ISNUMBER(MATCH(DATEVALUE($A170),'changes1_based on steps'!Q$1:Q$400,0)),Q$2,)</f>
        <v>0</v>
      </c>
      <c r="R170" s="140">
        <f ca="1">IF(ISNUMBER(MATCH(DATEVALUE($A170),'changes1_based on steps'!R$1:R$400,0)),R$2,)</f>
        <v>0</v>
      </c>
      <c r="S170" s="140">
        <f ca="1">IF(ISNUMBER(MATCH(DATEVALUE($A170),'changes1_based on steps'!S$1:S$400,0)),S$2,)</f>
        <v>0</v>
      </c>
      <c r="T170" s="140">
        <f ca="1">IF(ISNUMBER(MATCH(DATEVALUE($A170),'changes1_based on steps'!T$1:T$400,0)),T$2,)</f>
        <v>0</v>
      </c>
      <c r="U170" s="140">
        <f ca="1">IF(ISNUMBER(MATCH(DATEVALUE($A170),'changes1_based on steps'!U$1:U$400,0)),U$2,)</f>
        <v>0</v>
      </c>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c r="AW170" s="140"/>
      <c r="AX170" s="140"/>
      <c r="AY170" s="140"/>
      <c r="AZ170" s="140"/>
      <c r="BA170" s="140"/>
      <c r="BB170" s="140"/>
      <c r="BC170" s="140"/>
      <c r="BD170" s="140"/>
      <c r="BE170" s="140"/>
      <c r="BF170" s="140"/>
      <c r="BG170" s="140"/>
      <c r="BH170" s="140"/>
      <c r="BI170" s="140"/>
      <c r="BJ170" s="140"/>
      <c r="BK170" s="140"/>
      <c r="BL170" s="140"/>
      <c r="BM170" s="140"/>
      <c r="BN170" s="140"/>
      <c r="BO170" s="140"/>
      <c r="BP170" s="140"/>
      <c r="BQ170" s="140"/>
      <c r="BR170" s="140"/>
      <c r="BS170" s="140"/>
      <c r="BT170" s="140"/>
      <c r="BU170" s="140"/>
      <c r="BV170" s="140"/>
      <c r="BW170" s="140"/>
      <c r="BX170" s="140"/>
      <c r="BY170" s="140"/>
      <c r="BZ170" s="140"/>
      <c r="CA170" s="140"/>
      <c r="CB170" s="140"/>
      <c r="CC170" s="140"/>
      <c r="CD170" s="140"/>
      <c r="CE170" s="140"/>
      <c r="CF170" s="140"/>
      <c r="CG170" s="140"/>
      <c r="CH170" s="140"/>
      <c r="CI170" s="140"/>
      <c r="CJ170" s="140"/>
      <c r="CK170" s="140"/>
      <c r="CL170" s="140"/>
      <c r="CM170" s="140"/>
      <c r="CN170" s="140"/>
      <c r="CO170" s="140"/>
      <c r="CP170" s="140"/>
      <c r="CQ170" s="140"/>
      <c r="CR170" s="140"/>
      <c r="CS170" s="140"/>
      <c r="CT170" s="140"/>
      <c r="CU170" s="140"/>
      <c r="CV170" s="140"/>
      <c r="CW170" s="140"/>
    </row>
    <row r="171" spans="1:101" x14ac:dyDescent="0.2">
      <c r="A171" s="29" t="str">
        <f t="shared" ca="1" si="2"/>
        <v>2025-09-11</v>
      </c>
      <c r="B171" s="140">
        <f ca="1">IF(ISNUMBER(MATCH(DATEVALUE($A171),'changes1_based on steps'!B$1:B$400,0)),B$2,)</f>
        <v>0</v>
      </c>
      <c r="C171" s="140">
        <f ca="1">IF(ISNUMBER(MATCH(DATEVALUE($A171),'changes1_based on steps'!C$1:C$400,0)),C$2,)</f>
        <v>0</v>
      </c>
      <c r="D171" s="140">
        <f ca="1">IF(ISNUMBER(MATCH(DATEVALUE($A171),'changes1_based on steps'!D$1:D$400,0)),D$2,)</f>
        <v>0</v>
      </c>
      <c r="E171" s="140">
        <f ca="1">IF(ISNUMBER(MATCH(DATEVALUE($A171),'changes1_based on steps'!E$1:E$400,0)),E$2,)</f>
        <v>0</v>
      </c>
      <c r="F171" s="140">
        <f ca="1">IF(ISNUMBER(MATCH(DATEVALUE($A171),'changes1_based on steps'!F$1:F$400,0)),F$2,)</f>
        <v>0</v>
      </c>
      <c r="G171" s="140">
        <f ca="1">IF(ISNUMBER(MATCH(DATEVALUE($A171),'changes1_based on steps'!G$1:G$400,0)),G$2,)</f>
        <v>0</v>
      </c>
      <c r="H171" s="140">
        <f ca="1">IF(ISNUMBER(MATCH(DATEVALUE($A171),'changes1_based on steps'!H$1:H$400,0)),H$2,)</f>
        <v>0</v>
      </c>
      <c r="I171" s="140">
        <f ca="1">IF(ISNUMBER(MATCH(DATEVALUE($A171),'changes1_based on steps'!I$1:I$400,0)),I$2,)</f>
        <v>0</v>
      </c>
      <c r="J171" s="140">
        <f ca="1">IF(ISNUMBER(MATCH(DATEVALUE($A171),'changes1_based on steps'!J$1:J$400,0)),J$2,)</f>
        <v>0</v>
      </c>
      <c r="K171" s="140">
        <f ca="1">IF(ISNUMBER(MATCH(DATEVALUE($A171),'changes1_based on steps'!K$1:K$400,0)),K$2,)</f>
        <v>0</v>
      </c>
      <c r="L171" s="140">
        <f ca="1">IF(ISNUMBER(MATCH(DATEVALUE($A171),'changes1_based on steps'!L$1:L$400,0)),L$2,)</f>
        <v>0</v>
      </c>
      <c r="M171" s="140">
        <f ca="1">IF(ISNUMBER(MATCH(DATEVALUE($A171),'changes1_based on steps'!M$1:M$400,0)),M$2,)</f>
        <v>0</v>
      </c>
      <c r="N171" s="140">
        <f ca="1">IF(ISNUMBER(MATCH(DATEVALUE($A171),'changes1_based on steps'!N$1:N$400,0)),N$2,)</f>
        <v>0</v>
      </c>
      <c r="O171" s="140">
        <f ca="1">IF(ISNUMBER(MATCH(DATEVALUE($A171),'changes1_based on steps'!O$1:O$400,0)),O$2,)</f>
        <v>0</v>
      </c>
      <c r="P171" s="140">
        <f ca="1">IF(ISNUMBER(MATCH(DATEVALUE($A171),'changes1_based on steps'!P$1:P$400,0)),P$2,)</f>
        <v>0</v>
      </c>
      <c r="Q171" s="140">
        <f ca="1">IF(ISNUMBER(MATCH(DATEVALUE($A171),'changes1_based on steps'!Q$1:Q$400,0)),Q$2,)</f>
        <v>0</v>
      </c>
      <c r="R171" s="140">
        <f ca="1">IF(ISNUMBER(MATCH(DATEVALUE($A171),'changes1_based on steps'!R$1:R$400,0)),R$2,)</f>
        <v>0</v>
      </c>
      <c r="S171" s="140">
        <f ca="1">IF(ISNUMBER(MATCH(DATEVALUE($A171),'changes1_based on steps'!S$1:S$400,0)),S$2,)</f>
        <v>0</v>
      </c>
      <c r="T171" s="140">
        <f ca="1">IF(ISNUMBER(MATCH(DATEVALUE($A171),'changes1_based on steps'!T$1:T$400,0)),T$2,)</f>
        <v>0</v>
      </c>
      <c r="U171" s="140">
        <f ca="1">IF(ISNUMBER(MATCH(DATEVALUE($A171),'changes1_based on steps'!U$1:U$400,0)),U$2,)</f>
        <v>0</v>
      </c>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c r="AW171" s="140"/>
      <c r="AX171" s="140"/>
      <c r="AY171" s="140"/>
      <c r="AZ171" s="140"/>
      <c r="BA171" s="140"/>
      <c r="BB171" s="140"/>
      <c r="BC171" s="140"/>
      <c r="BD171" s="140"/>
      <c r="BE171" s="140"/>
      <c r="BF171" s="140"/>
      <c r="BG171" s="140"/>
      <c r="BH171" s="140"/>
      <c r="BI171" s="140"/>
      <c r="BJ171" s="140"/>
      <c r="BK171" s="140"/>
      <c r="BL171" s="140"/>
      <c r="BM171" s="140"/>
      <c r="BN171" s="140"/>
      <c r="BO171" s="140"/>
      <c r="BP171" s="140"/>
      <c r="BQ171" s="140"/>
      <c r="BR171" s="140"/>
      <c r="BS171" s="140"/>
      <c r="BT171" s="140"/>
      <c r="BU171" s="140"/>
      <c r="BV171" s="140"/>
      <c r="BW171" s="140"/>
      <c r="BX171" s="140"/>
      <c r="BY171" s="140"/>
      <c r="BZ171" s="140"/>
      <c r="CA171" s="140"/>
      <c r="CB171" s="140"/>
      <c r="CC171" s="140"/>
      <c r="CD171" s="140"/>
      <c r="CE171" s="140"/>
      <c r="CF171" s="140"/>
      <c r="CG171" s="140"/>
      <c r="CH171" s="140"/>
      <c r="CI171" s="140"/>
      <c r="CJ171" s="140"/>
      <c r="CK171" s="140"/>
      <c r="CL171" s="140"/>
      <c r="CM171" s="140"/>
      <c r="CN171" s="140"/>
      <c r="CO171" s="140"/>
      <c r="CP171" s="140"/>
      <c r="CQ171" s="140"/>
      <c r="CR171" s="140"/>
      <c r="CS171" s="140"/>
      <c r="CT171" s="140"/>
      <c r="CU171" s="140"/>
      <c r="CV171" s="140"/>
      <c r="CW171" s="140"/>
    </row>
    <row r="172" spans="1:101" x14ac:dyDescent="0.2">
      <c r="A172" s="29" t="str">
        <f t="shared" ca="1" si="2"/>
        <v>2025-09-12</v>
      </c>
      <c r="B172" s="140">
        <f ca="1">IF(ISNUMBER(MATCH(DATEVALUE($A172),'changes1_based on steps'!B$1:B$400,0)),B$2,)</f>
        <v>0</v>
      </c>
      <c r="C172" s="140">
        <f ca="1">IF(ISNUMBER(MATCH(DATEVALUE($A172),'changes1_based on steps'!C$1:C$400,0)),C$2,)</f>
        <v>0</v>
      </c>
      <c r="D172" s="140">
        <f ca="1">IF(ISNUMBER(MATCH(DATEVALUE($A172),'changes1_based on steps'!D$1:D$400,0)),D$2,)</f>
        <v>0</v>
      </c>
      <c r="E172" s="140">
        <f ca="1">IF(ISNUMBER(MATCH(DATEVALUE($A172),'changes1_based on steps'!E$1:E$400,0)),E$2,)</f>
        <v>0</v>
      </c>
      <c r="F172" s="140">
        <f ca="1">IF(ISNUMBER(MATCH(DATEVALUE($A172),'changes1_based on steps'!F$1:F$400,0)),F$2,)</f>
        <v>0</v>
      </c>
      <c r="G172" s="140">
        <f ca="1">IF(ISNUMBER(MATCH(DATEVALUE($A172),'changes1_based on steps'!G$1:G$400,0)),G$2,)</f>
        <v>0</v>
      </c>
      <c r="H172" s="140">
        <f ca="1">IF(ISNUMBER(MATCH(DATEVALUE($A172),'changes1_based on steps'!H$1:H$400,0)),H$2,)</f>
        <v>0</v>
      </c>
      <c r="I172" s="140">
        <f ca="1">IF(ISNUMBER(MATCH(DATEVALUE($A172),'changes1_based on steps'!I$1:I$400,0)),I$2,)</f>
        <v>0</v>
      </c>
      <c r="J172" s="140">
        <f ca="1">IF(ISNUMBER(MATCH(DATEVALUE($A172),'changes1_based on steps'!J$1:J$400,0)),J$2,)</f>
        <v>0</v>
      </c>
      <c r="K172" s="140">
        <f ca="1">IF(ISNUMBER(MATCH(DATEVALUE($A172),'changes1_based on steps'!K$1:K$400,0)),K$2,)</f>
        <v>0</v>
      </c>
      <c r="L172" s="140">
        <f ca="1">IF(ISNUMBER(MATCH(DATEVALUE($A172),'changes1_based on steps'!L$1:L$400,0)),L$2,)</f>
        <v>0</v>
      </c>
      <c r="M172" s="140">
        <f ca="1">IF(ISNUMBER(MATCH(DATEVALUE($A172),'changes1_based on steps'!M$1:M$400,0)),M$2,)</f>
        <v>0</v>
      </c>
      <c r="N172" s="140">
        <f ca="1">IF(ISNUMBER(MATCH(DATEVALUE($A172),'changes1_based on steps'!N$1:N$400,0)),N$2,)</f>
        <v>0</v>
      </c>
      <c r="O172" s="140">
        <f ca="1">IF(ISNUMBER(MATCH(DATEVALUE($A172),'changes1_based on steps'!O$1:O$400,0)),O$2,)</f>
        <v>0</v>
      </c>
      <c r="P172" s="140">
        <f ca="1">IF(ISNUMBER(MATCH(DATEVALUE($A172),'changes1_based on steps'!P$1:P$400,0)),P$2,)</f>
        <v>0</v>
      </c>
      <c r="Q172" s="140">
        <f ca="1">IF(ISNUMBER(MATCH(DATEVALUE($A172),'changes1_based on steps'!Q$1:Q$400,0)),Q$2,)</f>
        <v>0</v>
      </c>
      <c r="R172" s="140">
        <f ca="1">IF(ISNUMBER(MATCH(DATEVALUE($A172),'changes1_based on steps'!R$1:R$400,0)),R$2,)</f>
        <v>0</v>
      </c>
      <c r="S172" s="140">
        <f ca="1">IF(ISNUMBER(MATCH(DATEVALUE($A172),'changes1_based on steps'!S$1:S$400,0)),S$2,)</f>
        <v>0</v>
      </c>
      <c r="T172" s="140">
        <f ca="1">IF(ISNUMBER(MATCH(DATEVALUE($A172),'changes1_based on steps'!T$1:T$400,0)),T$2,)</f>
        <v>0</v>
      </c>
      <c r="U172" s="140">
        <f ca="1">IF(ISNUMBER(MATCH(DATEVALUE($A172),'changes1_based on steps'!U$1:U$400,0)),U$2,)</f>
        <v>0</v>
      </c>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c r="AW172" s="140"/>
      <c r="AX172" s="140"/>
      <c r="AY172" s="140"/>
      <c r="AZ172" s="140"/>
      <c r="BA172" s="140"/>
      <c r="BB172" s="140"/>
      <c r="BC172" s="140"/>
      <c r="BD172" s="140"/>
      <c r="BE172" s="140"/>
      <c r="BF172" s="140"/>
      <c r="BG172" s="140"/>
      <c r="BH172" s="140"/>
      <c r="BI172" s="140"/>
      <c r="BJ172" s="140"/>
      <c r="BK172" s="140"/>
      <c r="BL172" s="140"/>
      <c r="BM172" s="140"/>
      <c r="BN172" s="140"/>
      <c r="BO172" s="140"/>
      <c r="BP172" s="140"/>
      <c r="BQ172" s="140"/>
      <c r="BR172" s="140"/>
      <c r="BS172" s="140"/>
      <c r="BT172" s="140"/>
      <c r="BU172" s="140"/>
      <c r="BV172" s="140"/>
      <c r="BW172" s="140"/>
      <c r="BX172" s="140"/>
      <c r="BY172" s="140"/>
      <c r="BZ172" s="140"/>
      <c r="CA172" s="140"/>
      <c r="CB172" s="140"/>
      <c r="CC172" s="140"/>
      <c r="CD172" s="140"/>
      <c r="CE172" s="140"/>
      <c r="CF172" s="140"/>
      <c r="CG172" s="140"/>
      <c r="CH172" s="140"/>
      <c r="CI172" s="140"/>
      <c r="CJ172" s="140"/>
      <c r="CK172" s="140"/>
      <c r="CL172" s="140"/>
      <c r="CM172" s="140"/>
      <c r="CN172" s="140"/>
      <c r="CO172" s="140"/>
      <c r="CP172" s="140"/>
      <c r="CQ172" s="140"/>
      <c r="CR172" s="140"/>
      <c r="CS172" s="140"/>
      <c r="CT172" s="140"/>
      <c r="CU172" s="140"/>
      <c r="CV172" s="140"/>
      <c r="CW172" s="140"/>
    </row>
    <row r="173" spans="1:101" x14ac:dyDescent="0.2">
      <c r="A173" s="29" t="str">
        <f t="shared" ca="1" si="2"/>
        <v>2025-09-13</v>
      </c>
      <c r="B173" s="140">
        <f ca="1">IF(ISNUMBER(MATCH(DATEVALUE($A173),'changes1_based on steps'!B$1:B$400,0)),B$2,)</f>
        <v>0</v>
      </c>
      <c r="C173" s="140">
        <f ca="1">IF(ISNUMBER(MATCH(DATEVALUE($A173),'changes1_based on steps'!C$1:C$400,0)),C$2,)</f>
        <v>0</v>
      </c>
      <c r="D173" s="140">
        <f ca="1">IF(ISNUMBER(MATCH(DATEVALUE($A173),'changes1_based on steps'!D$1:D$400,0)),D$2,)</f>
        <v>0</v>
      </c>
      <c r="E173" s="140">
        <f ca="1">IF(ISNUMBER(MATCH(DATEVALUE($A173),'changes1_based on steps'!E$1:E$400,0)),E$2,)</f>
        <v>0</v>
      </c>
      <c r="F173" s="140">
        <f ca="1">IF(ISNUMBER(MATCH(DATEVALUE($A173),'changes1_based on steps'!F$1:F$400,0)),F$2,)</f>
        <v>0</v>
      </c>
      <c r="G173" s="140">
        <f ca="1">IF(ISNUMBER(MATCH(DATEVALUE($A173),'changes1_based on steps'!G$1:G$400,0)),G$2,)</f>
        <v>0</v>
      </c>
      <c r="H173" s="140">
        <f ca="1">IF(ISNUMBER(MATCH(DATEVALUE($A173),'changes1_based on steps'!H$1:H$400,0)),H$2,)</f>
        <v>0</v>
      </c>
      <c r="I173" s="140">
        <f ca="1">IF(ISNUMBER(MATCH(DATEVALUE($A173),'changes1_based on steps'!I$1:I$400,0)),I$2,)</f>
        <v>0</v>
      </c>
      <c r="J173" s="140">
        <f ca="1">IF(ISNUMBER(MATCH(DATEVALUE($A173),'changes1_based on steps'!J$1:J$400,0)),J$2,)</f>
        <v>0</v>
      </c>
      <c r="K173" s="140">
        <f ca="1">IF(ISNUMBER(MATCH(DATEVALUE($A173),'changes1_based on steps'!K$1:K$400,0)),K$2,)</f>
        <v>0</v>
      </c>
      <c r="L173" s="140">
        <f ca="1">IF(ISNUMBER(MATCH(DATEVALUE($A173),'changes1_based on steps'!L$1:L$400,0)),L$2,)</f>
        <v>0</v>
      </c>
      <c r="M173" s="140">
        <f ca="1">IF(ISNUMBER(MATCH(DATEVALUE($A173),'changes1_based on steps'!M$1:M$400,0)),M$2,)</f>
        <v>0</v>
      </c>
      <c r="N173" s="140">
        <f ca="1">IF(ISNUMBER(MATCH(DATEVALUE($A173),'changes1_based on steps'!N$1:N$400,0)),N$2,)</f>
        <v>0</v>
      </c>
      <c r="O173" s="140">
        <f ca="1">IF(ISNUMBER(MATCH(DATEVALUE($A173),'changes1_based on steps'!O$1:O$400,0)),O$2,)</f>
        <v>0</v>
      </c>
      <c r="P173" s="140">
        <f ca="1">IF(ISNUMBER(MATCH(DATEVALUE($A173),'changes1_based on steps'!P$1:P$400,0)),P$2,)</f>
        <v>0</v>
      </c>
      <c r="Q173" s="140">
        <f ca="1">IF(ISNUMBER(MATCH(DATEVALUE($A173),'changes1_based on steps'!Q$1:Q$400,0)),Q$2,)</f>
        <v>0</v>
      </c>
      <c r="R173" s="140">
        <f ca="1">IF(ISNUMBER(MATCH(DATEVALUE($A173),'changes1_based on steps'!R$1:R$400,0)),R$2,)</f>
        <v>0</v>
      </c>
      <c r="S173" s="140">
        <f ca="1">IF(ISNUMBER(MATCH(DATEVALUE($A173),'changes1_based on steps'!S$1:S$400,0)),S$2,)</f>
        <v>0</v>
      </c>
      <c r="T173" s="140">
        <f ca="1">IF(ISNUMBER(MATCH(DATEVALUE($A173),'changes1_based on steps'!T$1:T$400,0)),T$2,)</f>
        <v>0</v>
      </c>
      <c r="U173" s="140">
        <f ca="1">IF(ISNUMBER(MATCH(DATEVALUE($A173),'changes1_based on steps'!U$1:U$400,0)),U$2,)</f>
        <v>0</v>
      </c>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c r="BS173" s="140"/>
      <c r="BT173" s="140"/>
      <c r="BU173" s="140"/>
      <c r="BV173" s="140"/>
      <c r="BW173" s="140"/>
      <c r="BX173" s="140"/>
      <c r="BY173" s="140"/>
      <c r="BZ173" s="140"/>
      <c r="CA173" s="140"/>
      <c r="CB173" s="140"/>
      <c r="CC173" s="140"/>
      <c r="CD173" s="140"/>
      <c r="CE173" s="140"/>
      <c r="CF173" s="140"/>
      <c r="CG173" s="140"/>
      <c r="CH173" s="140"/>
      <c r="CI173" s="140"/>
      <c r="CJ173" s="140"/>
      <c r="CK173" s="140"/>
      <c r="CL173" s="140"/>
      <c r="CM173" s="140"/>
      <c r="CN173" s="140"/>
      <c r="CO173" s="140"/>
      <c r="CP173" s="140"/>
      <c r="CQ173" s="140"/>
      <c r="CR173" s="140"/>
      <c r="CS173" s="140"/>
      <c r="CT173" s="140"/>
      <c r="CU173" s="140"/>
      <c r="CV173" s="140"/>
      <c r="CW173" s="140"/>
    </row>
    <row r="174" spans="1:101" x14ac:dyDescent="0.2">
      <c r="A174" s="29" t="str">
        <f t="shared" ca="1" si="2"/>
        <v>2025-09-14</v>
      </c>
      <c r="B174" s="140">
        <f ca="1">IF(ISNUMBER(MATCH(DATEVALUE($A174),'changes1_based on steps'!B$1:B$400,0)),B$2,)</f>
        <v>0</v>
      </c>
      <c r="C174" s="140">
        <f ca="1">IF(ISNUMBER(MATCH(DATEVALUE($A174),'changes1_based on steps'!C$1:C$400,0)),C$2,)</f>
        <v>0</v>
      </c>
      <c r="D174" s="140">
        <f ca="1">IF(ISNUMBER(MATCH(DATEVALUE($A174),'changes1_based on steps'!D$1:D$400,0)),D$2,)</f>
        <v>0</v>
      </c>
      <c r="E174" s="140">
        <f ca="1">IF(ISNUMBER(MATCH(DATEVALUE($A174),'changes1_based on steps'!E$1:E$400,0)),E$2,)</f>
        <v>0</v>
      </c>
      <c r="F174" s="140">
        <f ca="1">IF(ISNUMBER(MATCH(DATEVALUE($A174),'changes1_based on steps'!F$1:F$400,0)),F$2,)</f>
        <v>0</v>
      </c>
      <c r="G174" s="140">
        <f ca="1">IF(ISNUMBER(MATCH(DATEVALUE($A174),'changes1_based on steps'!G$1:G$400,0)),G$2,)</f>
        <v>0</v>
      </c>
      <c r="H174" s="140">
        <f ca="1">IF(ISNUMBER(MATCH(DATEVALUE($A174),'changes1_based on steps'!H$1:H$400,0)),H$2,)</f>
        <v>0</v>
      </c>
      <c r="I174" s="140">
        <f ca="1">IF(ISNUMBER(MATCH(DATEVALUE($A174),'changes1_based on steps'!I$1:I$400,0)),I$2,)</f>
        <v>0</v>
      </c>
      <c r="J174" s="140">
        <f ca="1">IF(ISNUMBER(MATCH(DATEVALUE($A174),'changes1_based on steps'!J$1:J$400,0)),J$2,)</f>
        <v>0</v>
      </c>
      <c r="K174" s="140">
        <f ca="1">IF(ISNUMBER(MATCH(DATEVALUE($A174),'changes1_based on steps'!K$1:K$400,0)),K$2,)</f>
        <v>0</v>
      </c>
      <c r="L174" s="140">
        <f ca="1">IF(ISNUMBER(MATCH(DATEVALUE($A174),'changes1_based on steps'!L$1:L$400,0)),L$2,)</f>
        <v>0</v>
      </c>
      <c r="M174" s="140">
        <f ca="1">IF(ISNUMBER(MATCH(DATEVALUE($A174),'changes1_based on steps'!M$1:M$400,0)),M$2,)</f>
        <v>0</v>
      </c>
      <c r="N174" s="140">
        <f ca="1">IF(ISNUMBER(MATCH(DATEVALUE($A174),'changes1_based on steps'!N$1:N$400,0)),N$2,)</f>
        <v>0</v>
      </c>
      <c r="O174" s="140">
        <f ca="1">IF(ISNUMBER(MATCH(DATEVALUE($A174),'changes1_based on steps'!O$1:O$400,0)),O$2,)</f>
        <v>0</v>
      </c>
      <c r="P174" s="140">
        <f ca="1">IF(ISNUMBER(MATCH(DATEVALUE($A174),'changes1_based on steps'!P$1:P$400,0)),P$2,)</f>
        <v>0</v>
      </c>
      <c r="Q174" s="140">
        <f ca="1">IF(ISNUMBER(MATCH(DATEVALUE($A174),'changes1_based on steps'!Q$1:Q$400,0)),Q$2,)</f>
        <v>0</v>
      </c>
      <c r="R174" s="140">
        <f ca="1">IF(ISNUMBER(MATCH(DATEVALUE($A174),'changes1_based on steps'!R$1:R$400,0)),R$2,)</f>
        <v>0</v>
      </c>
      <c r="S174" s="140">
        <f ca="1">IF(ISNUMBER(MATCH(DATEVALUE($A174),'changes1_based on steps'!S$1:S$400,0)),S$2,)</f>
        <v>0</v>
      </c>
      <c r="T174" s="140">
        <f ca="1">IF(ISNUMBER(MATCH(DATEVALUE($A174),'changes1_based on steps'!T$1:T$400,0)),T$2,)</f>
        <v>0</v>
      </c>
      <c r="U174" s="140">
        <f ca="1">IF(ISNUMBER(MATCH(DATEVALUE($A174),'changes1_based on steps'!U$1:U$400,0)),U$2,)</f>
        <v>0</v>
      </c>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c r="AW174" s="140"/>
      <c r="AX174" s="140"/>
      <c r="AY174" s="140"/>
      <c r="AZ174" s="140"/>
      <c r="BA174" s="140"/>
      <c r="BB174" s="140"/>
      <c r="BC174" s="140"/>
      <c r="BD174" s="140"/>
      <c r="BE174" s="140"/>
      <c r="BF174" s="140"/>
      <c r="BG174" s="140"/>
      <c r="BH174" s="140"/>
      <c r="BI174" s="140"/>
      <c r="BJ174" s="140"/>
      <c r="BK174" s="140"/>
      <c r="BL174" s="140"/>
      <c r="BM174" s="140"/>
      <c r="BN174" s="140"/>
      <c r="BO174" s="140"/>
      <c r="BP174" s="140"/>
      <c r="BQ174" s="140"/>
      <c r="BR174" s="140"/>
      <c r="BS174" s="140"/>
      <c r="BT174" s="140"/>
      <c r="BU174" s="140"/>
      <c r="BV174" s="140"/>
      <c r="BW174" s="140"/>
      <c r="BX174" s="140"/>
      <c r="BY174" s="140"/>
      <c r="BZ174" s="140"/>
      <c r="CA174" s="140"/>
      <c r="CB174" s="140"/>
      <c r="CC174" s="140"/>
      <c r="CD174" s="140"/>
      <c r="CE174" s="140"/>
      <c r="CF174" s="140"/>
      <c r="CG174" s="140"/>
      <c r="CH174" s="140"/>
      <c r="CI174" s="140"/>
      <c r="CJ174" s="140"/>
      <c r="CK174" s="140"/>
      <c r="CL174" s="140"/>
      <c r="CM174" s="140"/>
      <c r="CN174" s="140"/>
      <c r="CO174" s="140"/>
      <c r="CP174" s="140"/>
      <c r="CQ174" s="140"/>
      <c r="CR174" s="140"/>
      <c r="CS174" s="140"/>
      <c r="CT174" s="140"/>
      <c r="CU174" s="140"/>
      <c r="CV174" s="140"/>
      <c r="CW174" s="140"/>
    </row>
    <row r="175" spans="1:101" x14ac:dyDescent="0.2">
      <c r="A175" s="29" t="str">
        <f t="shared" ca="1" si="2"/>
        <v>2025-09-15</v>
      </c>
      <c r="B175" s="140">
        <f ca="1">IF(ISNUMBER(MATCH(DATEVALUE($A175),'changes1_based on steps'!B$1:B$400,0)),B$2,)</f>
        <v>0</v>
      </c>
      <c r="C175" s="140">
        <f ca="1">IF(ISNUMBER(MATCH(DATEVALUE($A175),'changes1_based on steps'!C$1:C$400,0)),C$2,)</f>
        <v>0</v>
      </c>
      <c r="D175" s="140">
        <f ca="1">IF(ISNUMBER(MATCH(DATEVALUE($A175),'changes1_based on steps'!D$1:D$400,0)),D$2,)</f>
        <v>0</v>
      </c>
      <c r="E175" s="140">
        <f ca="1">IF(ISNUMBER(MATCH(DATEVALUE($A175),'changes1_based on steps'!E$1:E$400,0)),E$2,)</f>
        <v>0</v>
      </c>
      <c r="F175" s="140">
        <f ca="1">IF(ISNUMBER(MATCH(DATEVALUE($A175),'changes1_based on steps'!F$1:F$400,0)),F$2,)</f>
        <v>0</v>
      </c>
      <c r="G175" s="140">
        <f ca="1">IF(ISNUMBER(MATCH(DATEVALUE($A175),'changes1_based on steps'!G$1:G$400,0)),G$2,)</f>
        <v>0</v>
      </c>
      <c r="H175" s="140">
        <f ca="1">IF(ISNUMBER(MATCH(DATEVALUE($A175),'changes1_based on steps'!H$1:H$400,0)),H$2,)</f>
        <v>0</v>
      </c>
      <c r="I175" s="140">
        <f ca="1">IF(ISNUMBER(MATCH(DATEVALUE($A175),'changes1_based on steps'!I$1:I$400,0)),I$2,)</f>
        <v>0</v>
      </c>
      <c r="J175" s="140">
        <f ca="1">IF(ISNUMBER(MATCH(DATEVALUE($A175),'changes1_based on steps'!J$1:J$400,0)),J$2,)</f>
        <v>0</v>
      </c>
      <c r="K175" s="140">
        <f ca="1">IF(ISNUMBER(MATCH(DATEVALUE($A175),'changes1_based on steps'!K$1:K$400,0)),K$2,)</f>
        <v>0</v>
      </c>
      <c r="L175" s="140">
        <f ca="1">IF(ISNUMBER(MATCH(DATEVALUE($A175),'changes1_based on steps'!L$1:L$400,0)),L$2,)</f>
        <v>0</v>
      </c>
      <c r="M175" s="140">
        <f ca="1">IF(ISNUMBER(MATCH(DATEVALUE($A175),'changes1_based on steps'!M$1:M$400,0)),M$2,)</f>
        <v>0</v>
      </c>
      <c r="N175" s="140">
        <f ca="1">IF(ISNUMBER(MATCH(DATEVALUE($A175),'changes1_based on steps'!N$1:N$400,0)),N$2,)</f>
        <v>0</v>
      </c>
      <c r="O175" s="140">
        <f ca="1">IF(ISNUMBER(MATCH(DATEVALUE($A175),'changes1_based on steps'!O$1:O$400,0)),O$2,)</f>
        <v>0</v>
      </c>
      <c r="P175" s="140">
        <f ca="1">IF(ISNUMBER(MATCH(DATEVALUE($A175),'changes1_based on steps'!P$1:P$400,0)),P$2,)</f>
        <v>0</v>
      </c>
      <c r="Q175" s="140">
        <f ca="1">IF(ISNUMBER(MATCH(DATEVALUE($A175),'changes1_based on steps'!Q$1:Q$400,0)),Q$2,)</f>
        <v>0</v>
      </c>
      <c r="R175" s="140">
        <f ca="1">IF(ISNUMBER(MATCH(DATEVALUE($A175),'changes1_based on steps'!R$1:R$400,0)),R$2,)</f>
        <v>0</v>
      </c>
      <c r="S175" s="140">
        <f ca="1">IF(ISNUMBER(MATCH(DATEVALUE($A175),'changes1_based on steps'!S$1:S$400,0)),S$2,)</f>
        <v>0</v>
      </c>
      <c r="T175" s="140">
        <f ca="1">IF(ISNUMBER(MATCH(DATEVALUE($A175),'changes1_based on steps'!T$1:T$400,0)),T$2,)</f>
        <v>0</v>
      </c>
      <c r="U175" s="140">
        <f ca="1">IF(ISNUMBER(MATCH(DATEVALUE($A175),'changes1_based on steps'!U$1:U$400,0)),U$2,)</f>
        <v>0</v>
      </c>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c r="AR175" s="140"/>
      <c r="AS175" s="140"/>
      <c r="AT175" s="140"/>
      <c r="AU175" s="140"/>
      <c r="AV175" s="140"/>
      <c r="AW175" s="140"/>
      <c r="AX175" s="140"/>
      <c r="AY175" s="140"/>
      <c r="AZ175" s="140"/>
      <c r="BA175" s="140"/>
      <c r="BB175" s="140"/>
      <c r="BC175" s="140"/>
      <c r="BD175" s="140"/>
      <c r="BE175" s="140"/>
      <c r="BF175" s="140"/>
      <c r="BG175" s="140"/>
      <c r="BH175" s="140"/>
      <c r="BI175" s="140"/>
      <c r="BJ175" s="140"/>
      <c r="BK175" s="140"/>
      <c r="BL175" s="140"/>
      <c r="BM175" s="140"/>
      <c r="BN175" s="140"/>
      <c r="BO175" s="140"/>
      <c r="BP175" s="140"/>
      <c r="BQ175" s="140"/>
      <c r="BR175" s="140"/>
      <c r="BS175" s="140"/>
      <c r="BT175" s="140"/>
      <c r="BU175" s="140"/>
      <c r="BV175" s="140"/>
      <c r="BW175" s="140"/>
      <c r="BX175" s="140"/>
      <c r="BY175" s="140"/>
      <c r="BZ175" s="140"/>
      <c r="CA175" s="140"/>
      <c r="CB175" s="140"/>
      <c r="CC175" s="140"/>
      <c r="CD175" s="140"/>
      <c r="CE175" s="140"/>
      <c r="CF175" s="140"/>
      <c r="CG175" s="140"/>
      <c r="CH175" s="140"/>
      <c r="CI175" s="140"/>
      <c r="CJ175" s="140"/>
      <c r="CK175" s="140"/>
      <c r="CL175" s="140"/>
      <c r="CM175" s="140"/>
      <c r="CN175" s="140"/>
      <c r="CO175" s="140"/>
      <c r="CP175" s="140"/>
      <c r="CQ175" s="140"/>
      <c r="CR175" s="140"/>
      <c r="CS175" s="140"/>
      <c r="CT175" s="140"/>
      <c r="CU175" s="140"/>
      <c r="CV175" s="140"/>
      <c r="CW175" s="140"/>
    </row>
    <row r="176" spans="1:101" x14ac:dyDescent="0.2">
      <c r="A176" s="29" t="str">
        <f t="shared" ca="1" si="2"/>
        <v>2025-09-16</v>
      </c>
      <c r="B176" s="140">
        <f ca="1">IF(ISNUMBER(MATCH(DATEVALUE($A176),'changes1_based on steps'!B$1:B$400,0)),B$2,)</f>
        <v>0</v>
      </c>
      <c r="C176" s="140">
        <f ca="1">IF(ISNUMBER(MATCH(DATEVALUE($A176),'changes1_based on steps'!C$1:C$400,0)),C$2,)</f>
        <v>0</v>
      </c>
      <c r="D176" s="140">
        <f ca="1">IF(ISNUMBER(MATCH(DATEVALUE($A176),'changes1_based on steps'!D$1:D$400,0)),D$2,)</f>
        <v>0</v>
      </c>
      <c r="E176" s="140">
        <f ca="1">IF(ISNUMBER(MATCH(DATEVALUE($A176),'changes1_based on steps'!E$1:E$400,0)),E$2,)</f>
        <v>0</v>
      </c>
      <c r="F176" s="140">
        <f ca="1">IF(ISNUMBER(MATCH(DATEVALUE($A176),'changes1_based on steps'!F$1:F$400,0)),F$2,)</f>
        <v>0</v>
      </c>
      <c r="G176" s="140">
        <f ca="1">IF(ISNUMBER(MATCH(DATEVALUE($A176),'changes1_based on steps'!G$1:G$400,0)),G$2,)</f>
        <v>0</v>
      </c>
      <c r="H176" s="140">
        <f ca="1">IF(ISNUMBER(MATCH(DATEVALUE($A176),'changes1_based on steps'!H$1:H$400,0)),H$2,)</f>
        <v>0</v>
      </c>
      <c r="I176" s="140">
        <f ca="1">IF(ISNUMBER(MATCH(DATEVALUE($A176),'changes1_based on steps'!I$1:I$400,0)),I$2,)</f>
        <v>0</v>
      </c>
      <c r="J176" s="140">
        <f ca="1">IF(ISNUMBER(MATCH(DATEVALUE($A176),'changes1_based on steps'!J$1:J$400,0)),J$2,)</f>
        <v>0</v>
      </c>
      <c r="K176" s="140">
        <f ca="1">IF(ISNUMBER(MATCH(DATEVALUE($A176),'changes1_based on steps'!K$1:K$400,0)),K$2,)</f>
        <v>0</v>
      </c>
      <c r="L176" s="140">
        <f ca="1">IF(ISNUMBER(MATCH(DATEVALUE($A176),'changes1_based on steps'!L$1:L$400,0)),L$2,)</f>
        <v>0</v>
      </c>
      <c r="M176" s="140">
        <f ca="1">IF(ISNUMBER(MATCH(DATEVALUE($A176),'changes1_based on steps'!M$1:M$400,0)),M$2,)</f>
        <v>0</v>
      </c>
      <c r="N176" s="140">
        <f ca="1">IF(ISNUMBER(MATCH(DATEVALUE($A176),'changes1_based on steps'!N$1:N$400,0)),N$2,)</f>
        <v>0</v>
      </c>
      <c r="O176" s="140">
        <f ca="1">IF(ISNUMBER(MATCH(DATEVALUE($A176),'changes1_based on steps'!O$1:O$400,0)),O$2,)</f>
        <v>0</v>
      </c>
      <c r="P176" s="140">
        <f ca="1">IF(ISNUMBER(MATCH(DATEVALUE($A176),'changes1_based on steps'!P$1:P$400,0)),P$2,)</f>
        <v>0</v>
      </c>
      <c r="Q176" s="140">
        <f ca="1">IF(ISNUMBER(MATCH(DATEVALUE($A176),'changes1_based on steps'!Q$1:Q$400,0)),Q$2,)</f>
        <v>0</v>
      </c>
      <c r="R176" s="140">
        <f ca="1">IF(ISNUMBER(MATCH(DATEVALUE($A176),'changes1_based on steps'!R$1:R$400,0)),R$2,)</f>
        <v>0</v>
      </c>
      <c r="S176" s="140">
        <f ca="1">IF(ISNUMBER(MATCH(DATEVALUE($A176),'changes1_based on steps'!S$1:S$400,0)),S$2,)</f>
        <v>0</v>
      </c>
      <c r="T176" s="140">
        <f ca="1">IF(ISNUMBER(MATCH(DATEVALUE($A176),'changes1_based on steps'!T$1:T$400,0)),T$2,)</f>
        <v>0</v>
      </c>
      <c r="U176" s="140">
        <f ca="1">IF(ISNUMBER(MATCH(DATEVALUE($A176),'changes1_based on steps'!U$1:U$400,0)),U$2,)</f>
        <v>0</v>
      </c>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c r="AR176" s="140"/>
      <c r="AS176" s="140"/>
      <c r="AT176" s="140"/>
      <c r="AU176" s="140"/>
      <c r="AV176" s="140"/>
      <c r="AW176" s="140"/>
      <c r="AX176" s="140"/>
      <c r="AY176" s="140"/>
      <c r="AZ176" s="140"/>
      <c r="BA176" s="140"/>
      <c r="BB176" s="140"/>
      <c r="BC176" s="140"/>
      <c r="BD176" s="140"/>
      <c r="BE176" s="140"/>
      <c r="BF176" s="140"/>
      <c r="BG176" s="140"/>
      <c r="BH176" s="140"/>
      <c r="BI176" s="140"/>
      <c r="BJ176" s="140"/>
      <c r="BK176" s="140"/>
      <c r="BL176" s="140"/>
      <c r="BM176" s="140"/>
      <c r="BN176" s="140"/>
      <c r="BO176" s="140"/>
      <c r="BP176" s="140"/>
      <c r="BQ176" s="140"/>
      <c r="BR176" s="140"/>
      <c r="BS176" s="140"/>
      <c r="BT176" s="140"/>
      <c r="BU176" s="140"/>
      <c r="BV176" s="140"/>
      <c r="BW176" s="140"/>
      <c r="BX176" s="140"/>
      <c r="BY176" s="140"/>
      <c r="BZ176" s="140"/>
      <c r="CA176" s="140"/>
      <c r="CB176" s="140"/>
      <c r="CC176" s="140"/>
      <c r="CD176" s="140"/>
      <c r="CE176" s="140"/>
      <c r="CF176" s="140"/>
      <c r="CG176" s="140"/>
      <c r="CH176" s="140"/>
      <c r="CI176" s="140"/>
      <c r="CJ176" s="140"/>
      <c r="CK176" s="140"/>
      <c r="CL176" s="140"/>
      <c r="CM176" s="140"/>
      <c r="CN176" s="140"/>
      <c r="CO176" s="140"/>
      <c r="CP176" s="140"/>
      <c r="CQ176" s="140"/>
      <c r="CR176" s="140"/>
      <c r="CS176" s="140"/>
      <c r="CT176" s="140"/>
      <c r="CU176" s="140"/>
      <c r="CV176" s="140"/>
      <c r="CW176" s="140"/>
    </row>
    <row r="177" spans="1:101" x14ac:dyDescent="0.2">
      <c r="A177" s="29" t="str">
        <f t="shared" ca="1" si="2"/>
        <v>2025-09-17</v>
      </c>
      <c r="B177" s="140">
        <f ca="1">IF(ISNUMBER(MATCH(DATEVALUE($A177),'changes1_based on steps'!B$1:B$400,0)),B$2,)</f>
        <v>0</v>
      </c>
      <c r="C177" s="140">
        <f ca="1">IF(ISNUMBER(MATCH(DATEVALUE($A177),'changes1_based on steps'!C$1:C$400,0)),C$2,)</f>
        <v>0</v>
      </c>
      <c r="D177" s="140">
        <f ca="1">IF(ISNUMBER(MATCH(DATEVALUE($A177),'changes1_based on steps'!D$1:D$400,0)),D$2,)</f>
        <v>0</v>
      </c>
      <c r="E177" s="140">
        <f ca="1">IF(ISNUMBER(MATCH(DATEVALUE($A177),'changes1_based on steps'!E$1:E$400,0)),E$2,)</f>
        <v>0</v>
      </c>
      <c r="F177" s="140">
        <f ca="1">IF(ISNUMBER(MATCH(DATEVALUE($A177),'changes1_based on steps'!F$1:F$400,0)),F$2,)</f>
        <v>0</v>
      </c>
      <c r="G177" s="140">
        <f ca="1">IF(ISNUMBER(MATCH(DATEVALUE($A177),'changes1_based on steps'!G$1:G$400,0)),G$2,)</f>
        <v>0</v>
      </c>
      <c r="H177" s="140">
        <f ca="1">IF(ISNUMBER(MATCH(DATEVALUE($A177),'changes1_based on steps'!H$1:H$400,0)),H$2,)</f>
        <v>0</v>
      </c>
      <c r="I177" s="140">
        <f ca="1">IF(ISNUMBER(MATCH(DATEVALUE($A177),'changes1_based on steps'!I$1:I$400,0)),I$2,)</f>
        <v>0</v>
      </c>
      <c r="J177" s="140">
        <f ca="1">IF(ISNUMBER(MATCH(DATEVALUE($A177),'changes1_based on steps'!J$1:J$400,0)),J$2,)</f>
        <v>0</v>
      </c>
      <c r="K177" s="140">
        <f ca="1">IF(ISNUMBER(MATCH(DATEVALUE($A177),'changes1_based on steps'!K$1:K$400,0)),K$2,)</f>
        <v>0</v>
      </c>
      <c r="L177" s="140">
        <f ca="1">IF(ISNUMBER(MATCH(DATEVALUE($A177),'changes1_based on steps'!L$1:L$400,0)),L$2,)</f>
        <v>0</v>
      </c>
      <c r="M177" s="140">
        <f ca="1">IF(ISNUMBER(MATCH(DATEVALUE($A177),'changes1_based on steps'!M$1:M$400,0)),M$2,)</f>
        <v>0</v>
      </c>
      <c r="N177" s="140">
        <f ca="1">IF(ISNUMBER(MATCH(DATEVALUE($A177),'changes1_based on steps'!N$1:N$400,0)),N$2,)</f>
        <v>0</v>
      </c>
      <c r="O177" s="140">
        <f ca="1">IF(ISNUMBER(MATCH(DATEVALUE($A177),'changes1_based on steps'!O$1:O$400,0)),O$2,)</f>
        <v>0</v>
      </c>
      <c r="P177" s="140">
        <f ca="1">IF(ISNUMBER(MATCH(DATEVALUE($A177),'changes1_based on steps'!P$1:P$400,0)),P$2,)</f>
        <v>0</v>
      </c>
      <c r="Q177" s="140">
        <f ca="1">IF(ISNUMBER(MATCH(DATEVALUE($A177),'changes1_based on steps'!Q$1:Q$400,0)),Q$2,)</f>
        <v>0</v>
      </c>
      <c r="R177" s="140">
        <f ca="1">IF(ISNUMBER(MATCH(DATEVALUE($A177),'changes1_based on steps'!R$1:R$400,0)),R$2,)</f>
        <v>0</v>
      </c>
      <c r="S177" s="140">
        <f ca="1">IF(ISNUMBER(MATCH(DATEVALUE($A177),'changes1_based on steps'!S$1:S$400,0)),S$2,)</f>
        <v>0</v>
      </c>
      <c r="T177" s="140">
        <f ca="1">IF(ISNUMBER(MATCH(DATEVALUE($A177),'changes1_based on steps'!T$1:T$400,0)),T$2,)</f>
        <v>0</v>
      </c>
      <c r="U177" s="140">
        <f ca="1">IF(ISNUMBER(MATCH(DATEVALUE($A177),'changes1_based on steps'!U$1:U$400,0)),U$2,)</f>
        <v>0</v>
      </c>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c r="AR177" s="140"/>
      <c r="AS177" s="140"/>
      <c r="AT177" s="140"/>
      <c r="AU177" s="140"/>
      <c r="AV177" s="140"/>
      <c r="AW177" s="140"/>
      <c r="AX177" s="140"/>
      <c r="AY177" s="140"/>
      <c r="AZ177" s="140"/>
      <c r="BA177" s="140"/>
      <c r="BB177" s="140"/>
      <c r="BC177" s="140"/>
      <c r="BD177" s="140"/>
      <c r="BE177" s="140"/>
      <c r="BF177" s="140"/>
      <c r="BG177" s="140"/>
      <c r="BH177" s="140"/>
      <c r="BI177" s="140"/>
      <c r="BJ177" s="140"/>
      <c r="BK177" s="140"/>
      <c r="BL177" s="140"/>
      <c r="BM177" s="140"/>
      <c r="BN177" s="140"/>
      <c r="BO177" s="140"/>
      <c r="BP177" s="140"/>
      <c r="BQ177" s="140"/>
      <c r="BR177" s="140"/>
      <c r="BS177" s="140"/>
      <c r="BT177" s="140"/>
      <c r="BU177" s="140"/>
      <c r="BV177" s="140"/>
      <c r="BW177" s="140"/>
      <c r="BX177" s="140"/>
      <c r="BY177" s="140"/>
      <c r="BZ177" s="140"/>
      <c r="CA177" s="140"/>
      <c r="CB177" s="140"/>
      <c r="CC177" s="140"/>
      <c r="CD177" s="140"/>
      <c r="CE177" s="140"/>
      <c r="CF177" s="140"/>
      <c r="CG177" s="140"/>
      <c r="CH177" s="140"/>
      <c r="CI177" s="140"/>
      <c r="CJ177" s="140"/>
      <c r="CK177" s="140"/>
      <c r="CL177" s="140"/>
      <c r="CM177" s="140"/>
      <c r="CN177" s="140"/>
      <c r="CO177" s="140"/>
      <c r="CP177" s="140"/>
      <c r="CQ177" s="140"/>
      <c r="CR177" s="140"/>
      <c r="CS177" s="140"/>
      <c r="CT177" s="140"/>
      <c r="CU177" s="140"/>
      <c r="CV177" s="140"/>
      <c r="CW177" s="140"/>
    </row>
    <row r="178" spans="1:101" x14ac:dyDescent="0.2">
      <c r="A178" s="29" t="str">
        <f t="shared" ca="1" si="2"/>
        <v>2025-09-18</v>
      </c>
      <c r="B178" s="140">
        <f ca="1">IF(ISNUMBER(MATCH(DATEVALUE($A178),'changes1_based on steps'!B$1:B$400,0)),B$2,)</f>
        <v>0</v>
      </c>
      <c r="C178" s="140">
        <f ca="1">IF(ISNUMBER(MATCH(DATEVALUE($A178),'changes1_based on steps'!C$1:C$400,0)),C$2,)</f>
        <v>0</v>
      </c>
      <c r="D178" s="140">
        <f ca="1">IF(ISNUMBER(MATCH(DATEVALUE($A178),'changes1_based on steps'!D$1:D$400,0)),D$2,)</f>
        <v>0</v>
      </c>
      <c r="E178" s="140">
        <f ca="1">IF(ISNUMBER(MATCH(DATEVALUE($A178),'changes1_based on steps'!E$1:E$400,0)),E$2,)</f>
        <v>0</v>
      </c>
      <c r="F178" s="140">
        <f ca="1">IF(ISNUMBER(MATCH(DATEVALUE($A178),'changes1_based on steps'!F$1:F$400,0)),F$2,)</f>
        <v>0</v>
      </c>
      <c r="G178" s="140">
        <f ca="1">IF(ISNUMBER(MATCH(DATEVALUE($A178),'changes1_based on steps'!G$1:G$400,0)),G$2,)</f>
        <v>0</v>
      </c>
      <c r="H178" s="140">
        <f ca="1">IF(ISNUMBER(MATCH(DATEVALUE($A178),'changes1_based on steps'!H$1:H$400,0)),H$2,)</f>
        <v>0</v>
      </c>
      <c r="I178" s="140">
        <f ca="1">IF(ISNUMBER(MATCH(DATEVALUE($A178),'changes1_based on steps'!I$1:I$400,0)),I$2,)</f>
        <v>0</v>
      </c>
      <c r="J178" s="140">
        <f ca="1">IF(ISNUMBER(MATCH(DATEVALUE($A178),'changes1_based on steps'!J$1:J$400,0)),J$2,)</f>
        <v>0</v>
      </c>
      <c r="K178" s="140">
        <f ca="1">IF(ISNUMBER(MATCH(DATEVALUE($A178),'changes1_based on steps'!K$1:K$400,0)),K$2,)</f>
        <v>0</v>
      </c>
      <c r="L178" s="140">
        <f ca="1">IF(ISNUMBER(MATCH(DATEVALUE($A178),'changes1_based on steps'!L$1:L$400,0)),L$2,)</f>
        <v>0</v>
      </c>
      <c r="M178" s="140">
        <f ca="1">IF(ISNUMBER(MATCH(DATEVALUE($A178),'changes1_based on steps'!M$1:M$400,0)),M$2,)</f>
        <v>0</v>
      </c>
      <c r="N178" s="140">
        <f ca="1">IF(ISNUMBER(MATCH(DATEVALUE($A178),'changes1_based on steps'!N$1:N$400,0)),N$2,)</f>
        <v>0</v>
      </c>
      <c r="O178" s="140">
        <f ca="1">IF(ISNUMBER(MATCH(DATEVALUE($A178),'changes1_based on steps'!O$1:O$400,0)),O$2,)</f>
        <v>0</v>
      </c>
      <c r="P178" s="140">
        <f ca="1">IF(ISNUMBER(MATCH(DATEVALUE($A178),'changes1_based on steps'!P$1:P$400,0)),P$2,)</f>
        <v>0</v>
      </c>
      <c r="Q178" s="140">
        <f ca="1">IF(ISNUMBER(MATCH(DATEVALUE($A178),'changes1_based on steps'!Q$1:Q$400,0)),Q$2,)</f>
        <v>0</v>
      </c>
      <c r="R178" s="140">
        <f ca="1">IF(ISNUMBER(MATCH(DATEVALUE($A178),'changes1_based on steps'!R$1:R$400,0)),R$2,)</f>
        <v>0</v>
      </c>
      <c r="S178" s="140">
        <f ca="1">IF(ISNUMBER(MATCH(DATEVALUE($A178),'changes1_based on steps'!S$1:S$400,0)),S$2,)</f>
        <v>0</v>
      </c>
      <c r="T178" s="140">
        <f ca="1">IF(ISNUMBER(MATCH(DATEVALUE($A178),'changes1_based on steps'!T$1:T$400,0)),T$2,)</f>
        <v>0</v>
      </c>
      <c r="U178" s="140">
        <f ca="1">IF(ISNUMBER(MATCH(DATEVALUE($A178),'changes1_based on steps'!U$1:U$400,0)),U$2,)</f>
        <v>0</v>
      </c>
      <c r="V178" s="140"/>
      <c r="W178" s="140"/>
      <c r="X178" s="140"/>
      <c r="Y178" s="140"/>
      <c r="Z178" s="140"/>
      <c r="AA178" s="140"/>
      <c r="AB178" s="140"/>
      <c r="AC178" s="140"/>
      <c r="AD178" s="140"/>
      <c r="AE178" s="140"/>
      <c r="AF178" s="140"/>
      <c r="AG178" s="140"/>
      <c r="AH178" s="140"/>
      <c r="AI178" s="140"/>
      <c r="AJ178" s="140"/>
      <c r="AK178" s="140"/>
      <c r="AL178" s="140"/>
      <c r="AM178" s="140"/>
      <c r="AN178" s="140"/>
      <c r="AO178" s="140"/>
      <c r="AP178" s="140"/>
      <c r="AQ178" s="140"/>
      <c r="AR178" s="140"/>
      <c r="AS178" s="140"/>
      <c r="AT178" s="140"/>
      <c r="AU178" s="140"/>
      <c r="AV178" s="140"/>
      <c r="AW178" s="140"/>
      <c r="AX178" s="140"/>
      <c r="AY178" s="140"/>
      <c r="AZ178" s="140"/>
      <c r="BA178" s="140"/>
      <c r="BB178" s="140"/>
      <c r="BC178" s="140"/>
      <c r="BD178" s="140"/>
      <c r="BE178" s="140"/>
      <c r="BF178" s="140"/>
      <c r="BG178" s="140"/>
      <c r="BH178" s="140"/>
      <c r="BI178" s="140"/>
      <c r="BJ178" s="140"/>
      <c r="BK178" s="140"/>
      <c r="BL178" s="140"/>
      <c r="BM178" s="140"/>
      <c r="BN178" s="140"/>
      <c r="BO178" s="140"/>
      <c r="BP178" s="140"/>
      <c r="BQ178" s="140"/>
      <c r="BR178" s="140"/>
      <c r="BS178" s="140"/>
      <c r="BT178" s="140"/>
      <c r="BU178" s="140"/>
      <c r="BV178" s="140"/>
      <c r="BW178" s="140"/>
      <c r="BX178" s="140"/>
      <c r="BY178" s="140"/>
      <c r="BZ178" s="140"/>
      <c r="CA178" s="140"/>
      <c r="CB178" s="140"/>
      <c r="CC178" s="140"/>
      <c r="CD178" s="140"/>
      <c r="CE178" s="140"/>
      <c r="CF178" s="140"/>
      <c r="CG178" s="140"/>
      <c r="CH178" s="140"/>
      <c r="CI178" s="140"/>
      <c r="CJ178" s="140"/>
      <c r="CK178" s="140"/>
      <c r="CL178" s="140"/>
      <c r="CM178" s="140"/>
      <c r="CN178" s="140"/>
      <c r="CO178" s="140"/>
      <c r="CP178" s="140"/>
      <c r="CQ178" s="140"/>
      <c r="CR178" s="140"/>
      <c r="CS178" s="140"/>
      <c r="CT178" s="140"/>
      <c r="CU178" s="140"/>
      <c r="CV178" s="140"/>
      <c r="CW178" s="140"/>
    </row>
    <row r="179" spans="1:101" x14ac:dyDescent="0.2">
      <c r="A179" s="29" t="str">
        <f t="shared" ca="1" si="2"/>
        <v>2025-09-19</v>
      </c>
      <c r="B179" s="140">
        <f ca="1">IF(ISNUMBER(MATCH(DATEVALUE($A179),'changes1_based on steps'!B$1:B$400,0)),B$2,)</f>
        <v>0</v>
      </c>
      <c r="C179" s="140">
        <f ca="1">IF(ISNUMBER(MATCH(DATEVALUE($A179),'changes1_based on steps'!C$1:C$400,0)),C$2,)</f>
        <v>0</v>
      </c>
      <c r="D179" s="140">
        <f ca="1">IF(ISNUMBER(MATCH(DATEVALUE($A179),'changes1_based on steps'!D$1:D$400,0)),D$2,)</f>
        <v>0</v>
      </c>
      <c r="E179" s="140">
        <f ca="1">IF(ISNUMBER(MATCH(DATEVALUE($A179),'changes1_based on steps'!E$1:E$400,0)),E$2,)</f>
        <v>0</v>
      </c>
      <c r="F179" s="140">
        <f ca="1">IF(ISNUMBER(MATCH(DATEVALUE($A179),'changes1_based on steps'!F$1:F$400,0)),F$2,)</f>
        <v>0</v>
      </c>
      <c r="G179" s="140">
        <f ca="1">IF(ISNUMBER(MATCH(DATEVALUE($A179),'changes1_based on steps'!G$1:G$400,0)),G$2,)</f>
        <v>0</v>
      </c>
      <c r="H179" s="140">
        <f ca="1">IF(ISNUMBER(MATCH(DATEVALUE($A179),'changes1_based on steps'!H$1:H$400,0)),H$2,)</f>
        <v>0</v>
      </c>
      <c r="I179" s="140">
        <f ca="1">IF(ISNUMBER(MATCH(DATEVALUE($A179),'changes1_based on steps'!I$1:I$400,0)),I$2,)</f>
        <v>0</v>
      </c>
      <c r="J179" s="140">
        <f ca="1">IF(ISNUMBER(MATCH(DATEVALUE($A179),'changes1_based on steps'!J$1:J$400,0)),J$2,)</f>
        <v>0</v>
      </c>
      <c r="K179" s="140">
        <f ca="1">IF(ISNUMBER(MATCH(DATEVALUE($A179),'changes1_based on steps'!K$1:K$400,0)),K$2,)</f>
        <v>0</v>
      </c>
      <c r="L179" s="140">
        <f ca="1">IF(ISNUMBER(MATCH(DATEVALUE($A179),'changes1_based on steps'!L$1:L$400,0)),L$2,)</f>
        <v>0</v>
      </c>
      <c r="M179" s="140">
        <f ca="1">IF(ISNUMBER(MATCH(DATEVALUE($A179),'changes1_based on steps'!M$1:M$400,0)),M$2,)</f>
        <v>0</v>
      </c>
      <c r="N179" s="140">
        <f ca="1">IF(ISNUMBER(MATCH(DATEVALUE($A179),'changes1_based on steps'!N$1:N$400,0)),N$2,)</f>
        <v>0</v>
      </c>
      <c r="O179" s="140">
        <f ca="1">IF(ISNUMBER(MATCH(DATEVALUE($A179),'changes1_based on steps'!O$1:O$400,0)),O$2,)</f>
        <v>0</v>
      </c>
      <c r="P179" s="140">
        <f ca="1">IF(ISNUMBER(MATCH(DATEVALUE($A179),'changes1_based on steps'!P$1:P$400,0)),P$2,)</f>
        <v>0</v>
      </c>
      <c r="Q179" s="140">
        <f ca="1">IF(ISNUMBER(MATCH(DATEVALUE($A179),'changes1_based on steps'!Q$1:Q$400,0)),Q$2,)</f>
        <v>0</v>
      </c>
      <c r="R179" s="140">
        <f ca="1">IF(ISNUMBER(MATCH(DATEVALUE($A179),'changes1_based on steps'!R$1:R$400,0)),R$2,)</f>
        <v>0</v>
      </c>
      <c r="S179" s="140">
        <f ca="1">IF(ISNUMBER(MATCH(DATEVALUE($A179),'changes1_based on steps'!S$1:S$400,0)),S$2,)</f>
        <v>0</v>
      </c>
      <c r="T179" s="140">
        <f ca="1">IF(ISNUMBER(MATCH(DATEVALUE($A179),'changes1_based on steps'!T$1:T$400,0)),T$2,)</f>
        <v>0</v>
      </c>
      <c r="U179" s="140">
        <f ca="1">IF(ISNUMBER(MATCH(DATEVALUE($A179),'changes1_based on steps'!U$1:U$400,0)),U$2,)</f>
        <v>0</v>
      </c>
      <c r="V179" s="140"/>
      <c r="W179" s="140"/>
      <c r="X179" s="140"/>
      <c r="Y179" s="140"/>
      <c r="Z179" s="140"/>
      <c r="AA179" s="140"/>
      <c r="AB179" s="140"/>
      <c r="AC179" s="140"/>
      <c r="AD179" s="140"/>
      <c r="AE179" s="140"/>
      <c r="AF179" s="140"/>
      <c r="AG179" s="140"/>
      <c r="AH179" s="140"/>
      <c r="AI179" s="140"/>
      <c r="AJ179" s="140"/>
      <c r="AK179" s="140"/>
      <c r="AL179" s="140"/>
      <c r="AM179" s="140"/>
      <c r="AN179" s="140"/>
      <c r="AO179" s="140"/>
      <c r="AP179" s="140"/>
      <c r="AQ179" s="140"/>
      <c r="AR179" s="140"/>
      <c r="AS179" s="140"/>
      <c r="AT179" s="140"/>
      <c r="AU179" s="140"/>
      <c r="AV179" s="140"/>
      <c r="AW179" s="140"/>
      <c r="AX179" s="140"/>
      <c r="AY179" s="140"/>
      <c r="AZ179" s="140"/>
      <c r="BA179" s="140"/>
      <c r="BB179" s="140"/>
      <c r="BC179" s="140"/>
      <c r="BD179" s="140"/>
      <c r="BE179" s="140"/>
      <c r="BF179" s="140"/>
      <c r="BG179" s="140"/>
      <c r="BH179" s="140"/>
      <c r="BI179" s="140"/>
      <c r="BJ179" s="140"/>
      <c r="BK179" s="140"/>
      <c r="BL179" s="140"/>
      <c r="BM179" s="140"/>
      <c r="BN179" s="140"/>
      <c r="BO179" s="140"/>
      <c r="BP179" s="140"/>
      <c r="BQ179" s="140"/>
      <c r="BR179" s="140"/>
      <c r="BS179" s="140"/>
      <c r="BT179" s="140"/>
      <c r="BU179" s="140"/>
      <c r="BV179" s="140"/>
      <c r="BW179" s="140"/>
      <c r="BX179" s="140"/>
      <c r="BY179" s="140"/>
      <c r="BZ179" s="140"/>
      <c r="CA179" s="140"/>
      <c r="CB179" s="140"/>
      <c r="CC179" s="140"/>
      <c r="CD179" s="140"/>
      <c r="CE179" s="140"/>
      <c r="CF179" s="140"/>
      <c r="CG179" s="140"/>
      <c r="CH179" s="140"/>
      <c r="CI179" s="140"/>
      <c r="CJ179" s="140"/>
      <c r="CK179" s="140"/>
      <c r="CL179" s="140"/>
      <c r="CM179" s="140"/>
      <c r="CN179" s="140"/>
      <c r="CO179" s="140"/>
      <c r="CP179" s="140"/>
      <c r="CQ179" s="140"/>
      <c r="CR179" s="140"/>
      <c r="CS179" s="140"/>
      <c r="CT179" s="140"/>
      <c r="CU179" s="140"/>
      <c r="CV179" s="140"/>
      <c r="CW179" s="140"/>
    </row>
    <row r="180" spans="1:101" x14ac:dyDescent="0.2">
      <c r="A180" s="29" t="str">
        <f t="shared" ca="1" si="2"/>
        <v>2025-09-20</v>
      </c>
      <c r="B180" s="140">
        <f ca="1">IF(ISNUMBER(MATCH(DATEVALUE($A180),'changes1_based on steps'!B$1:B$400,0)),B$2,)</f>
        <v>0</v>
      </c>
      <c r="C180" s="140">
        <f ca="1">IF(ISNUMBER(MATCH(DATEVALUE($A180),'changes1_based on steps'!C$1:C$400,0)),C$2,)</f>
        <v>0</v>
      </c>
      <c r="D180" s="140">
        <f ca="1">IF(ISNUMBER(MATCH(DATEVALUE($A180),'changes1_based on steps'!D$1:D$400,0)),D$2,)</f>
        <v>0</v>
      </c>
      <c r="E180" s="140">
        <f ca="1">IF(ISNUMBER(MATCH(DATEVALUE($A180),'changes1_based on steps'!E$1:E$400,0)),E$2,)</f>
        <v>0</v>
      </c>
      <c r="F180" s="140">
        <f ca="1">IF(ISNUMBER(MATCH(DATEVALUE($A180),'changes1_based on steps'!F$1:F$400,0)),F$2,)</f>
        <v>0</v>
      </c>
      <c r="G180" s="140">
        <f ca="1">IF(ISNUMBER(MATCH(DATEVALUE($A180),'changes1_based on steps'!G$1:G$400,0)),G$2,)</f>
        <v>0</v>
      </c>
      <c r="H180" s="140">
        <f ca="1">IF(ISNUMBER(MATCH(DATEVALUE($A180),'changes1_based on steps'!H$1:H$400,0)),H$2,)</f>
        <v>0</v>
      </c>
      <c r="I180" s="140">
        <f ca="1">IF(ISNUMBER(MATCH(DATEVALUE($A180),'changes1_based on steps'!I$1:I$400,0)),I$2,)</f>
        <v>0</v>
      </c>
      <c r="J180" s="140">
        <f ca="1">IF(ISNUMBER(MATCH(DATEVALUE($A180),'changes1_based on steps'!J$1:J$400,0)),J$2,)</f>
        <v>0</v>
      </c>
      <c r="K180" s="140">
        <f ca="1">IF(ISNUMBER(MATCH(DATEVALUE($A180),'changes1_based on steps'!K$1:K$400,0)),K$2,)</f>
        <v>0</v>
      </c>
      <c r="L180" s="140">
        <f ca="1">IF(ISNUMBER(MATCH(DATEVALUE($A180),'changes1_based on steps'!L$1:L$400,0)),L$2,)</f>
        <v>0</v>
      </c>
      <c r="M180" s="140">
        <f ca="1">IF(ISNUMBER(MATCH(DATEVALUE($A180),'changes1_based on steps'!M$1:M$400,0)),M$2,)</f>
        <v>0</v>
      </c>
      <c r="N180" s="140">
        <f ca="1">IF(ISNUMBER(MATCH(DATEVALUE($A180),'changes1_based on steps'!N$1:N$400,0)),N$2,)</f>
        <v>0</v>
      </c>
      <c r="O180" s="140">
        <f ca="1">IF(ISNUMBER(MATCH(DATEVALUE($A180),'changes1_based on steps'!O$1:O$400,0)),O$2,)</f>
        <v>0</v>
      </c>
      <c r="P180" s="140">
        <f ca="1">IF(ISNUMBER(MATCH(DATEVALUE($A180),'changes1_based on steps'!P$1:P$400,0)),P$2,)</f>
        <v>0</v>
      </c>
      <c r="Q180" s="140">
        <f ca="1">IF(ISNUMBER(MATCH(DATEVALUE($A180),'changes1_based on steps'!Q$1:Q$400,0)),Q$2,)</f>
        <v>0</v>
      </c>
      <c r="R180" s="140">
        <f ca="1">IF(ISNUMBER(MATCH(DATEVALUE($A180),'changes1_based on steps'!R$1:R$400,0)),R$2,)</f>
        <v>0</v>
      </c>
      <c r="S180" s="140">
        <f ca="1">IF(ISNUMBER(MATCH(DATEVALUE($A180),'changes1_based on steps'!S$1:S$400,0)),S$2,)</f>
        <v>0</v>
      </c>
      <c r="T180" s="140">
        <f ca="1">IF(ISNUMBER(MATCH(DATEVALUE($A180),'changes1_based on steps'!T$1:T$400,0)),T$2,)</f>
        <v>0</v>
      </c>
      <c r="U180" s="140">
        <f ca="1">IF(ISNUMBER(MATCH(DATEVALUE($A180),'changes1_based on steps'!U$1:U$400,0)),U$2,)</f>
        <v>0</v>
      </c>
      <c r="V180" s="140"/>
      <c r="W180" s="140"/>
      <c r="X180" s="140"/>
      <c r="Y180" s="140"/>
      <c r="Z180" s="140"/>
      <c r="AA180" s="140"/>
      <c r="AB180" s="140"/>
      <c r="AC180" s="140"/>
      <c r="AD180" s="140"/>
      <c r="AE180" s="140"/>
      <c r="AF180" s="140"/>
      <c r="AG180" s="140"/>
      <c r="AH180" s="140"/>
      <c r="AI180" s="140"/>
      <c r="AJ180" s="140"/>
      <c r="AK180" s="140"/>
      <c r="AL180" s="140"/>
      <c r="AM180" s="140"/>
      <c r="AN180" s="140"/>
      <c r="AO180" s="140"/>
      <c r="AP180" s="140"/>
      <c r="AQ180" s="140"/>
      <c r="AR180" s="140"/>
      <c r="AS180" s="140"/>
      <c r="AT180" s="140"/>
      <c r="AU180" s="140"/>
      <c r="AV180" s="140"/>
      <c r="AW180" s="140"/>
      <c r="AX180" s="140"/>
      <c r="AY180" s="140"/>
      <c r="AZ180" s="140"/>
      <c r="BA180" s="140"/>
      <c r="BB180" s="140"/>
      <c r="BC180" s="140"/>
      <c r="BD180" s="140"/>
      <c r="BE180" s="140"/>
      <c r="BF180" s="140"/>
      <c r="BG180" s="140"/>
      <c r="BH180" s="140"/>
      <c r="BI180" s="140"/>
      <c r="BJ180" s="140"/>
      <c r="BK180" s="140"/>
      <c r="BL180" s="140"/>
      <c r="BM180" s="140"/>
      <c r="BN180" s="140"/>
      <c r="BO180" s="140"/>
      <c r="BP180" s="140"/>
      <c r="BQ180" s="140"/>
      <c r="BR180" s="140"/>
      <c r="BS180" s="140"/>
      <c r="BT180" s="140"/>
      <c r="BU180" s="140"/>
      <c r="BV180" s="140"/>
      <c r="BW180" s="140"/>
      <c r="BX180" s="140"/>
      <c r="BY180" s="140"/>
      <c r="BZ180" s="140"/>
      <c r="CA180" s="140"/>
      <c r="CB180" s="140"/>
      <c r="CC180" s="140"/>
      <c r="CD180" s="140"/>
      <c r="CE180" s="140"/>
      <c r="CF180" s="140"/>
      <c r="CG180" s="140"/>
      <c r="CH180" s="140"/>
      <c r="CI180" s="140"/>
      <c r="CJ180" s="140"/>
      <c r="CK180" s="140"/>
      <c r="CL180" s="140"/>
      <c r="CM180" s="140"/>
      <c r="CN180" s="140"/>
      <c r="CO180" s="140"/>
      <c r="CP180" s="140"/>
      <c r="CQ180" s="140"/>
      <c r="CR180" s="140"/>
      <c r="CS180" s="140"/>
      <c r="CT180" s="140"/>
      <c r="CU180" s="140"/>
      <c r="CV180" s="140"/>
      <c r="CW180" s="140"/>
    </row>
    <row r="181" spans="1:101" x14ac:dyDescent="0.2">
      <c r="A181" s="29" t="str">
        <f t="shared" ca="1" si="2"/>
        <v>2025-09-21</v>
      </c>
      <c r="B181" s="140">
        <f ca="1">IF(ISNUMBER(MATCH(DATEVALUE($A181),'changes1_based on steps'!B$1:B$400,0)),B$2,)</f>
        <v>0</v>
      </c>
      <c r="C181" s="140">
        <f ca="1">IF(ISNUMBER(MATCH(DATEVALUE($A181),'changes1_based on steps'!C$1:C$400,0)),C$2,)</f>
        <v>0</v>
      </c>
      <c r="D181" s="140">
        <f ca="1">IF(ISNUMBER(MATCH(DATEVALUE($A181),'changes1_based on steps'!D$1:D$400,0)),D$2,)</f>
        <v>0</v>
      </c>
      <c r="E181" s="140">
        <f ca="1">IF(ISNUMBER(MATCH(DATEVALUE($A181),'changes1_based on steps'!E$1:E$400,0)),E$2,)</f>
        <v>0</v>
      </c>
      <c r="F181" s="140">
        <f ca="1">IF(ISNUMBER(MATCH(DATEVALUE($A181),'changes1_based on steps'!F$1:F$400,0)),F$2,)</f>
        <v>0</v>
      </c>
      <c r="G181" s="140">
        <f ca="1">IF(ISNUMBER(MATCH(DATEVALUE($A181),'changes1_based on steps'!G$1:G$400,0)),G$2,)</f>
        <v>0</v>
      </c>
      <c r="H181" s="140">
        <f ca="1">IF(ISNUMBER(MATCH(DATEVALUE($A181),'changes1_based on steps'!H$1:H$400,0)),H$2,)</f>
        <v>0</v>
      </c>
      <c r="I181" s="140">
        <f ca="1">IF(ISNUMBER(MATCH(DATEVALUE($A181),'changes1_based on steps'!I$1:I$400,0)),I$2,)</f>
        <v>0</v>
      </c>
      <c r="J181" s="140">
        <f ca="1">IF(ISNUMBER(MATCH(DATEVALUE($A181),'changes1_based on steps'!J$1:J$400,0)),J$2,)</f>
        <v>0</v>
      </c>
      <c r="K181" s="140">
        <f ca="1">IF(ISNUMBER(MATCH(DATEVALUE($A181),'changes1_based on steps'!K$1:K$400,0)),K$2,)</f>
        <v>0</v>
      </c>
      <c r="L181" s="140">
        <f ca="1">IF(ISNUMBER(MATCH(DATEVALUE($A181),'changes1_based on steps'!L$1:L$400,0)),L$2,)</f>
        <v>0</v>
      </c>
      <c r="M181" s="140">
        <f ca="1">IF(ISNUMBER(MATCH(DATEVALUE($A181),'changes1_based on steps'!M$1:M$400,0)),M$2,)</f>
        <v>0</v>
      </c>
      <c r="N181" s="140">
        <f ca="1">IF(ISNUMBER(MATCH(DATEVALUE($A181),'changes1_based on steps'!N$1:N$400,0)),N$2,)</f>
        <v>0</v>
      </c>
      <c r="O181" s="140">
        <f ca="1">IF(ISNUMBER(MATCH(DATEVALUE($A181),'changes1_based on steps'!O$1:O$400,0)),O$2,)</f>
        <v>0</v>
      </c>
      <c r="P181" s="140">
        <f ca="1">IF(ISNUMBER(MATCH(DATEVALUE($A181),'changes1_based on steps'!P$1:P$400,0)),P$2,)</f>
        <v>0</v>
      </c>
      <c r="Q181" s="140">
        <f ca="1">IF(ISNUMBER(MATCH(DATEVALUE($A181),'changes1_based on steps'!Q$1:Q$400,0)),Q$2,)</f>
        <v>0</v>
      </c>
      <c r="R181" s="140">
        <f ca="1">IF(ISNUMBER(MATCH(DATEVALUE($A181),'changes1_based on steps'!R$1:R$400,0)),R$2,)</f>
        <v>0</v>
      </c>
      <c r="S181" s="140">
        <f ca="1">IF(ISNUMBER(MATCH(DATEVALUE($A181),'changes1_based on steps'!S$1:S$400,0)),S$2,)</f>
        <v>0</v>
      </c>
      <c r="T181" s="140">
        <f ca="1">IF(ISNUMBER(MATCH(DATEVALUE($A181),'changes1_based on steps'!T$1:T$400,0)),T$2,)</f>
        <v>0</v>
      </c>
      <c r="U181" s="140">
        <f ca="1">IF(ISNUMBER(MATCH(DATEVALUE($A181),'changes1_based on steps'!U$1:U$400,0)),U$2,)</f>
        <v>0</v>
      </c>
      <c r="V181" s="140"/>
      <c r="W181" s="140"/>
      <c r="X181" s="140"/>
      <c r="Y181" s="140"/>
      <c r="Z181" s="140"/>
      <c r="AA181" s="140"/>
      <c r="AB181" s="140"/>
      <c r="AC181" s="140"/>
      <c r="AD181" s="140"/>
      <c r="AE181" s="140"/>
      <c r="AF181" s="140"/>
      <c r="AG181" s="140"/>
      <c r="AH181" s="140"/>
      <c r="AI181" s="140"/>
      <c r="AJ181" s="140"/>
      <c r="AK181" s="140"/>
      <c r="AL181" s="140"/>
      <c r="AM181" s="140"/>
      <c r="AN181" s="140"/>
      <c r="AO181" s="140"/>
      <c r="AP181" s="140"/>
      <c r="AQ181" s="140"/>
      <c r="AR181" s="140"/>
      <c r="AS181" s="140"/>
      <c r="AT181" s="140"/>
      <c r="AU181" s="140"/>
      <c r="AV181" s="140"/>
      <c r="AW181" s="140"/>
      <c r="AX181" s="140"/>
      <c r="AY181" s="140"/>
      <c r="AZ181" s="140"/>
      <c r="BA181" s="140"/>
      <c r="BB181" s="140"/>
      <c r="BC181" s="140"/>
      <c r="BD181" s="140"/>
      <c r="BE181" s="140"/>
      <c r="BF181" s="140"/>
      <c r="BG181" s="140"/>
      <c r="BH181" s="140"/>
      <c r="BI181" s="140"/>
      <c r="BJ181" s="140"/>
      <c r="BK181" s="140"/>
      <c r="BL181" s="140"/>
      <c r="BM181" s="140"/>
      <c r="BN181" s="140"/>
      <c r="BO181" s="140"/>
      <c r="BP181" s="140"/>
      <c r="BQ181" s="140"/>
      <c r="BR181" s="140"/>
      <c r="BS181" s="140"/>
      <c r="BT181" s="140"/>
      <c r="BU181" s="140"/>
      <c r="BV181" s="140"/>
      <c r="BW181" s="140"/>
      <c r="BX181" s="140"/>
      <c r="BY181" s="140"/>
      <c r="BZ181" s="140"/>
      <c r="CA181" s="140"/>
      <c r="CB181" s="140"/>
      <c r="CC181" s="140"/>
      <c r="CD181" s="140"/>
      <c r="CE181" s="140"/>
      <c r="CF181" s="140"/>
      <c r="CG181" s="140"/>
      <c r="CH181" s="140"/>
      <c r="CI181" s="140"/>
      <c r="CJ181" s="140"/>
      <c r="CK181" s="140"/>
      <c r="CL181" s="140"/>
      <c r="CM181" s="140"/>
      <c r="CN181" s="140"/>
      <c r="CO181" s="140"/>
      <c r="CP181" s="140"/>
      <c r="CQ181" s="140"/>
      <c r="CR181" s="140"/>
      <c r="CS181" s="140"/>
      <c r="CT181" s="140"/>
      <c r="CU181" s="140"/>
      <c r="CV181" s="140"/>
      <c r="CW181" s="140"/>
    </row>
    <row r="182" spans="1:101" x14ac:dyDescent="0.2">
      <c r="A182" s="29" t="str">
        <f t="shared" ca="1" si="2"/>
        <v>2025-09-22</v>
      </c>
      <c r="B182" s="140">
        <f ca="1">IF(ISNUMBER(MATCH(DATEVALUE($A182),'changes1_based on steps'!B$1:B$400,0)),B$2,)</f>
        <v>0</v>
      </c>
      <c r="C182" s="140">
        <f ca="1">IF(ISNUMBER(MATCH(DATEVALUE($A182),'changes1_based on steps'!C$1:C$400,0)),C$2,)</f>
        <v>0</v>
      </c>
      <c r="D182" s="140">
        <f ca="1">IF(ISNUMBER(MATCH(DATEVALUE($A182),'changes1_based on steps'!D$1:D$400,0)),D$2,)</f>
        <v>0</v>
      </c>
      <c r="E182" s="140">
        <f ca="1">IF(ISNUMBER(MATCH(DATEVALUE($A182),'changes1_based on steps'!E$1:E$400,0)),E$2,)</f>
        <v>0</v>
      </c>
      <c r="F182" s="140">
        <f ca="1">IF(ISNUMBER(MATCH(DATEVALUE($A182),'changes1_based on steps'!F$1:F$400,0)),F$2,)</f>
        <v>0</v>
      </c>
      <c r="G182" s="140">
        <f ca="1">IF(ISNUMBER(MATCH(DATEVALUE($A182),'changes1_based on steps'!G$1:G$400,0)),G$2,)</f>
        <v>0</v>
      </c>
      <c r="H182" s="140">
        <f ca="1">IF(ISNUMBER(MATCH(DATEVALUE($A182),'changes1_based on steps'!H$1:H$400,0)),H$2,)</f>
        <v>0</v>
      </c>
      <c r="I182" s="140">
        <f ca="1">IF(ISNUMBER(MATCH(DATEVALUE($A182),'changes1_based on steps'!I$1:I$400,0)),I$2,)</f>
        <v>0</v>
      </c>
      <c r="J182" s="140">
        <f ca="1">IF(ISNUMBER(MATCH(DATEVALUE($A182),'changes1_based on steps'!J$1:J$400,0)),J$2,)</f>
        <v>0</v>
      </c>
      <c r="K182" s="140">
        <f ca="1">IF(ISNUMBER(MATCH(DATEVALUE($A182),'changes1_based on steps'!K$1:K$400,0)),K$2,)</f>
        <v>0</v>
      </c>
      <c r="L182" s="140">
        <f ca="1">IF(ISNUMBER(MATCH(DATEVALUE($A182),'changes1_based on steps'!L$1:L$400,0)),L$2,)</f>
        <v>0</v>
      </c>
      <c r="M182" s="140">
        <f ca="1">IF(ISNUMBER(MATCH(DATEVALUE($A182),'changes1_based on steps'!M$1:M$400,0)),M$2,)</f>
        <v>0</v>
      </c>
      <c r="N182" s="140">
        <f ca="1">IF(ISNUMBER(MATCH(DATEVALUE($A182),'changes1_based on steps'!N$1:N$400,0)),N$2,)</f>
        <v>0</v>
      </c>
      <c r="O182" s="140">
        <f ca="1">IF(ISNUMBER(MATCH(DATEVALUE($A182),'changes1_based on steps'!O$1:O$400,0)),O$2,)</f>
        <v>0</v>
      </c>
      <c r="P182" s="140">
        <f ca="1">IF(ISNUMBER(MATCH(DATEVALUE($A182),'changes1_based on steps'!P$1:P$400,0)),P$2,)</f>
        <v>0</v>
      </c>
      <c r="Q182" s="140">
        <f ca="1">IF(ISNUMBER(MATCH(DATEVALUE($A182),'changes1_based on steps'!Q$1:Q$400,0)),Q$2,)</f>
        <v>0</v>
      </c>
      <c r="R182" s="140">
        <f ca="1">IF(ISNUMBER(MATCH(DATEVALUE($A182),'changes1_based on steps'!R$1:R$400,0)),R$2,)</f>
        <v>0</v>
      </c>
      <c r="S182" s="140">
        <f ca="1">IF(ISNUMBER(MATCH(DATEVALUE($A182),'changes1_based on steps'!S$1:S$400,0)),S$2,)</f>
        <v>0</v>
      </c>
      <c r="T182" s="140">
        <f ca="1">IF(ISNUMBER(MATCH(DATEVALUE($A182),'changes1_based on steps'!T$1:T$400,0)),T$2,)</f>
        <v>0</v>
      </c>
      <c r="U182" s="140">
        <f ca="1">IF(ISNUMBER(MATCH(DATEVALUE($A182),'changes1_based on steps'!U$1:U$400,0)),U$2,)</f>
        <v>0</v>
      </c>
      <c r="V182" s="140"/>
      <c r="W182" s="140"/>
      <c r="X182" s="140"/>
      <c r="Y182" s="140"/>
      <c r="Z182" s="140"/>
      <c r="AA182" s="140"/>
      <c r="AB182" s="140"/>
      <c r="AC182" s="140"/>
      <c r="AD182" s="140"/>
      <c r="AE182" s="140"/>
      <c r="AF182" s="140"/>
      <c r="AG182" s="140"/>
      <c r="AH182" s="140"/>
      <c r="AI182" s="140"/>
      <c r="AJ182" s="140"/>
      <c r="AK182" s="140"/>
      <c r="AL182" s="140"/>
      <c r="AM182" s="140"/>
      <c r="AN182" s="140"/>
      <c r="AO182" s="140"/>
      <c r="AP182" s="140"/>
      <c r="AQ182" s="140"/>
      <c r="AR182" s="140"/>
      <c r="AS182" s="140"/>
      <c r="AT182" s="140"/>
      <c r="AU182" s="140"/>
      <c r="AV182" s="140"/>
      <c r="AW182" s="140"/>
      <c r="AX182" s="140"/>
      <c r="AY182" s="140"/>
      <c r="AZ182" s="140"/>
      <c r="BA182" s="140"/>
      <c r="BB182" s="140"/>
      <c r="BC182" s="140"/>
      <c r="BD182" s="140"/>
      <c r="BE182" s="140"/>
      <c r="BF182" s="140"/>
      <c r="BG182" s="140"/>
      <c r="BH182" s="140"/>
      <c r="BI182" s="140"/>
      <c r="BJ182" s="140"/>
      <c r="BK182" s="140"/>
      <c r="BL182" s="140"/>
      <c r="BM182" s="140"/>
      <c r="BN182" s="140"/>
      <c r="BO182" s="140"/>
      <c r="BP182" s="140"/>
      <c r="BQ182" s="140"/>
      <c r="BR182" s="140"/>
      <c r="BS182" s="140"/>
      <c r="BT182" s="140"/>
      <c r="BU182" s="140"/>
      <c r="BV182" s="140"/>
      <c r="BW182" s="140"/>
      <c r="BX182" s="140"/>
      <c r="BY182" s="140"/>
      <c r="BZ182" s="140"/>
      <c r="CA182" s="140"/>
      <c r="CB182" s="140"/>
      <c r="CC182" s="140"/>
      <c r="CD182" s="140"/>
      <c r="CE182" s="140"/>
      <c r="CF182" s="140"/>
      <c r="CG182" s="140"/>
      <c r="CH182" s="140"/>
      <c r="CI182" s="140"/>
      <c r="CJ182" s="140"/>
      <c r="CK182" s="140"/>
      <c r="CL182" s="140"/>
      <c r="CM182" s="140"/>
      <c r="CN182" s="140"/>
      <c r="CO182" s="140"/>
      <c r="CP182" s="140"/>
      <c r="CQ182" s="140"/>
      <c r="CR182" s="140"/>
      <c r="CS182" s="140"/>
      <c r="CT182" s="140"/>
      <c r="CU182" s="140"/>
      <c r="CV182" s="140"/>
      <c r="CW182" s="140"/>
    </row>
    <row r="183" spans="1:101" x14ac:dyDescent="0.2">
      <c r="A183" s="29" t="str">
        <f t="shared" ca="1" si="2"/>
        <v>2025-09-23</v>
      </c>
      <c r="B183" s="140">
        <f ca="1">IF(ISNUMBER(MATCH(DATEVALUE($A183),'changes1_based on steps'!B$1:B$400,0)),B$2,)</f>
        <v>0</v>
      </c>
      <c r="C183" s="140">
        <f ca="1">IF(ISNUMBER(MATCH(DATEVALUE($A183),'changes1_based on steps'!C$1:C$400,0)),C$2,)</f>
        <v>0</v>
      </c>
      <c r="D183" s="140">
        <f ca="1">IF(ISNUMBER(MATCH(DATEVALUE($A183),'changes1_based on steps'!D$1:D$400,0)),D$2,)</f>
        <v>0</v>
      </c>
      <c r="E183" s="140">
        <f ca="1">IF(ISNUMBER(MATCH(DATEVALUE($A183),'changes1_based on steps'!E$1:E$400,0)),E$2,)</f>
        <v>0</v>
      </c>
      <c r="F183" s="140">
        <f ca="1">IF(ISNUMBER(MATCH(DATEVALUE($A183),'changes1_based on steps'!F$1:F$400,0)),F$2,)</f>
        <v>0</v>
      </c>
      <c r="G183" s="140">
        <f ca="1">IF(ISNUMBER(MATCH(DATEVALUE($A183),'changes1_based on steps'!G$1:G$400,0)),G$2,)</f>
        <v>0</v>
      </c>
      <c r="H183" s="140">
        <f ca="1">IF(ISNUMBER(MATCH(DATEVALUE($A183),'changes1_based on steps'!H$1:H$400,0)),H$2,)</f>
        <v>0</v>
      </c>
      <c r="I183" s="140">
        <f ca="1">IF(ISNUMBER(MATCH(DATEVALUE($A183),'changes1_based on steps'!I$1:I$400,0)),I$2,)</f>
        <v>0</v>
      </c>
      <c r="J183" s="140">
        <f ca="1">IF(ISNUMBER(MATCH(DATEVALUE($A183),'changes1_based on steps'!J$1:J$400,0)),J$2,)</f>
        <v>0</v>
      </c>
      <c r="K183" s="140">
        <f ca="1">IF(ISNUMBER(MATCH(DATEVALUE($A183),'changes1_based on steps'!K$1:K$400,0)),K$2,)</f>
        <v>0</v>
      </c>
      <c r="L183" s="140">
        <f ca="1">IF(ISNUMBER(MATCH(DATEVALUE($A183),'changes1_based on steps'!L$1:L$400,0)),L$2,)</f>
        <v>0</v>
      </c>
      <c r="M183" s="140">
        <f ca="1">IF(ISNUMBER(MATCH(DATEVALUE($A183),'changes1_based on steps'!M$1:M$400,0)),M$2,)</f>
        <v>0</v>
      </c>
      <c r="N183" s="140">
        <f ca="1">IF(ISNUMBER(MATCH(DATEVALUE($A183),'changes1_based on steps'!N$1:N$400,0)),N$2,)</f>
        <v>0</v>
      </c>
      <c r="O183" s="140">
        <f ca="1">IF(ISNUMBER(MATCH(DATEVALUE($A183),'changes1_based on steps'!O$1:O$400,0)),O$2,)</f>
        <v>0</v>
      </c>
      <c r="P183" s="140">
        <f ca="1">IF(ISNUMBER(MATCH(DATEVALUE($A183),'changes1_based on steps'!P$1:P$400,0)),P$2,)</f>
        <v>0</v>
      </c>
      <c r="Q183" s="140">
        <f ca="1">IF(ISNUMBER(MATCH(DATEVALUE($A183),'changes1_based on steps'!Q$1:Q$400,0)),Q$2,)</f>
        <v>0</v>
      </c>
      <c r="R183" s="140">
        <f ca="1">IF(ISNUMBER(MATCH(DATEVALUE($A183),'changes1_based on steps'!R$1:R$400,0)),R$2,)</f>
        <v>0</v>
      </c>
      <c r="S183" s="140">
        <f ca="1">IF(ISNUMBER(MATCH(DATEVALUE($A183),'changes1_based on steps'!S$1:S$400,0)),S$2,)</f>
        <v>0</v>
      </c>
      <c r="T183" s="140">
        <f ca="1">IF(ISNUMBER(MATCH(DATEVALUE($A183),'changes1_based on steps'!T$1:T$400,0)),T$2,)</f>
        <v>0</v>
      </c>
      <c r="U183" s="140">
        <f ca="1">IF(ISNUMBER(MATCH(DATEVALUE($A183),'changes1_based on steps'!U$1:U$400,0)),U$2,)</f>
        <v>0</v>
      </c>
      <c r="V183" s="140"/>
      <c r="W183" s="140"/>
      <c r="X183" s="140"/>
      <c r="Y183" s="140"/>
      <c r="Z183" s="140"/>
      <c r="AA183" s="140"/>
      <c r="AB183" s="140"/>
      <c r="AC183" s="140"/>
      <c r="AD183" s="140"/>
      <c r="AE183" s="140"/>
      <c r="AF183" s="140"/>
      <c r="AG183" s="140"/>
      <c r="AH183" s="140"/>
      <c r="AI183" s="140"/>
      <c r="AJ183" s="140"/>
      <c r="AK183" s="140"/>
      <c r="AL183" s="140"/>
      <c r="AM183" s="140"/>
      <c r="AN183" s="140"/>
      <c r="AO183" s="140"/>
      <c r="AP183" s="140"/>
      <c r="AQ183" s="140"/>
      <c r="AR183" s="140"/>
      <c r="AS183" s="140"/>
      <c r="AT183" s="140"/>
      <c r="AU183" s="140"/>
      <c r="AV183" s="140"/>
      <c r="AW183" s="140"/>
      <c r="AX183" s="140"/>
      <c r="AY183" s="140"/>
      <c r="AZ183" s="140"/>
      <c r="BA183" s="140"/>
      <c r="BB183" s="140"/>
      <c r="BC183" s="140"/>
      <c r="BD183" s="140"/>
      <c r="BE183" s="140"/>
      <c r="BF183" s="140"/>
      <c r="BG183" s="140"/>
      <c r="BH183" s="140"/>
      <c r="BI183" s="140"/>
      <c r="BJ183" s="140"/>
      <c r="BK183" s="140"/>
      <c r="BL183" s="140"/>
      <c r="BM183" s="140"/>
      <c r="BN183" s="140"/>
      <c r="BO183" s="140"/>
      <c r="BP183" s="140"/>
      <c r="BQ183" s="140"/>
      <c r="BR183" s="140"/>
      <c r="BS183" s="140"/>
      <c r="BT183" s="140"/>
      <c r="BU183" s="140"/>
      <c r="BV183" s="140"/>
      <c r="BW183" s="140"/>
      <c r="BX183" s="140"/>
      <c r="BY183" s="140"/>
      <c r="BZ183" s="140"/>
      <c r="CA183" s="140"/>
      <c r="CB183" s="140"/>
      <c r="CC183" s="140"/>
      <c r="CD183" s="140"/>
      <c r="CE183" s="140"/>
      <c r="CF183" s="140"/>
      <c r="CG183" s="140"/>
      <c r="CH183" s="140"/>
      <c r="CI183" s="140"/>
      <c r="CJ183" s="140"/>
      <c r="CK183" s="140"/>
      <c r="CL183" s="140"/>
      <c r="CM183" s="140"/>
      <c r="CN183" s="140"/>
      <c r="CO183" s="140"/>
      <c r="CP183" s="140"/>
      <c r="CQ183" s="140"/>
      <c r="CR183" s="140"/>
      <c r="CS183" s="140"/>
      <c r="CT183" s="140"/>
      <c r="CU183" s="140"/>
      <c r="CV183" s="140"/>
      <c r="CW183" s="140"/>
    </row>
    <row r="184" spans="1:101" x14ac:dyDescent="0.2">
      <c r="A184" s="29" t="str">
        <f t="shared" ca="1" si="2"/>
        <v>2025-09-24</v>
      </c>
      <c r="B184" s="140">
        <f ca="1">IF(ISNUMBER(MATCH(DATEVALUE($A184),'changes1_based on steps'!B$1:B$400,0)),B$2,)</f>
        <v>0</v>
      </c>
      <c r="C184" s="140">
        <f ca="1">IF(ISNUMBER(MATCH(DATEVALUE($A184),'changes1_based on steps'!C$1:C$400,0)),C$2,)</f>
        <v>0</v>
      </c>
      <c r="D184" s="140">
        <f ca="1">IF(ISNUMBER(MATCH(DATEVALUE($A184),'changes1_based on steps'!D$1:D$400,0)),D$2,)</f>
        <v>0</v>
      </c>
      <c r="E184" s="140">
        <f ca="1">IF(ISNUMBER(MATCH(DATEVALUE($A184),'changes1_based on steps'!E$1:E$400,0)),E$2,)</f>
        <v>0</v>
      </c>
      <c r="F184" s="140">
        <f ca="1">IF(ISNUMBER(MATCH(DATEVALUE($A184),'changes1_based on steps'!F$1:F$400,0)),F$2,)</f>
        <v>0</v>
      </c>
      <c r="G184" s="140">
        <f ca="1">IF(ISNUMBER(MATCH(DATEVALUE($A184),'changes1_based on steps'!G$1:G$400,0)),G$2,)</f>
        <v>0</v>
      </c>
      <c r="H184" s="140">
        <f ca="1">IF(ISNUMBER(MATCH(DATEVALUE($A184),'changes1_based on steps'!H$1:H$400,0)),H$2,)</f>
        <v>0</v>
      </c>
      <c r="I184" s="140">
        <f ca="1">IF(ISNUMBER(MATCH(DATEVALUE($A184),'changes1_based on steps'!I$1:I$400,0)),I$2,)</f>
        <v>0</v>
      </c>
      <c r="J184" s="140">
        <f ca="1">IF(ISNUMBER(MATCH(DATEVALUE($A184),'changes1_based on steps'!J$1:J$400,0)),J$2,)</f>
        <v>0</v>
      </c>
      <c r="K184" s="140">
        <f ca="1">IF(ISNUMBER(MATCH(DATEVALUE($A184),'changes1_based on steps'!K$1:K$400,0)),K$2,)</f>
        <v>0</v>
      </c>
      <c r="L184" s="140">
        <f ca="1">IF(ISNUMBER(MATCH(DATEVALUE($A184),'changes1_based on steps'!L$1:L$400,0)),L$2,)</f>
        <v>0</v>
      </c>
      <c r="M184" s="140">
        <f ca="1">IF(ISNUMBER(MATCH(DATEVALUE($A184),'changes1_based on steps'!M$1:M$400,0)),M$2,)</f>
        <v>0</v>
      </c>
      <c r="N184" s="140">
        <f ca="1">IF(ISNUMBER(MATCH(DATEVALUE($A184),'changes1_based on steps'!N$1:N$400,0)),N$2,)</f>
        <v>0</v>
      </c>
      <c r="O184" s="140">
        <f ca="1">IF(ISNUMBER(MATCH(DATEVALUE($A184),'changes1_based on steps'!O$1:O$400,0)),O$2,)</f>
        <v>0</v>
      </c>
      <c r="P184" s="140">
        <f ca="1">IF(ISNUMBER(MATCH(DATEVALUE($A184),'changes1_based on steps'!P$1:P$400,0)),P$2,)</f>
        <v>0</v>
      </c>
      <c r="Q184" s="140">
        <f ca="1">IF(ISNUMBER(MATCH(DATEVALUE($A184),'changes1_based on steps'!Q$1:Q$400,0)),Q$2,)</f>
        <v>0</v>
      </c>
      <c r="R184" s="140">
        <f ca="1">IF(ISNUMBER(MATCH(DATEVALUE($A184),'changes1_based on steps'!R$1:R$400,0)),R$2,)</f>
        <v>0</v>
      </c>
      <c r="S184" s="140">
        <f ca="1">IF(ISNUMBER(MATCH(DATEVALUE($A184),'changes1_based on steps'!S$1:S$400,0)),S$2,)</f>
        <v>0</v>
      </c>
      <c r="T184" s="140">
        <f ca="1">IF(ISNUMBER(MATCH(DATEVALUE($A184),'changes1_based on steps'!T$1:T$400,0)),T$2,)</f>
        <v>0</v>
      </c>
      <c r="U184" s="140">
        <f ca="1">IF(ISNUMBER(MATCH(DATEVALUE($A184),'changes1_based on steps'!U$1:U$400,0)),U$2,)</f>
        <v>0</v>
      </c>
      <c r="V184" s="140"/>
      <c r="W184" s="140"/>
      <c r="X184" s="140"/>
      <c r="Y184" s="140"/>
      <c r="Z184" s="140"/>
      <c r="AA184" s="140"/>
      <c r="AB184" s="140"/>
      <c r="AC184" s="140"/>
      <c r="AD184" s="140"/>
      <c r="AE184" s="140"/>
      <c r="AF184" s="140"/>
      <c r="AG184" s="140"/>
      <c r="AH184" s="140"/>
      <c r="AI184" s="140"/>
      <c r="AJ184" s="140"/>
      <c r="AK184" s="140"/>
      <c r="AL184" s="140"/>
      <c r="AM184" s="140"/>
      <c r="AN184" s="140"/>
      <c r="AO184" s="140"/>
      <c r="AP184" s="140"/>
      <c r="AQ184" s="140"/>
      <c r="AR184" s="140"/>
      <c r="AS184" s="140"/>
      <c r="AT184" s="140"/>
      <c r="AU184" s="140"/>
      <c r="AV184" s="140"/>
      <c r="AW184" s="140"/>
      <c r="AX184" s="140"/>
      <c r="AY184" s="140"/>
      <c r="AZ184" s="140"/>
      <c r="BA184" s="140"/>
      <c r="BB184" s="140"/>
      <c r="BC184" s="140"/>
      <c r="BD184" s="140"/>
      <c r="BE184" s="140"/>
      <c r="BF184" s="140"/>
      <c r="BG184" s="140"/>
      <c r="BH184" s="140"/>
      <c r="BI184" s="140"/>
      <c r="BJ184" s="140"/>
      <c r="BK184" s="140"/>
      <c r="BL184" s="140"/>
      <c r="BM184" s="140"/>
      <c r="BN184" s="140"/>
      <c r="BO184" s="140"/>
      <c r="BP184" s="140"/>
      <c r="BQ184" s="140"/>
      <c r="BR184" s="140"/>
      <c r="BS184" s="140"/>
      <c r="BT184" s="140"/>
      <c r="BU184" s="140"/>
      <c r="BV184" s="140"/>
      <c r="BW184" s="140"/>
      <c r="BX184" s="140"/>
      <c r="BY184" s="140"/>
      <c r="BZ184" s="140"/>
      <c r="CA184" s="140"/>
      <c r="CB184" s="140"/>
      <c r="CC184" s="140"/>
      <c r="CD184" s="140"/>
      <c r="CE184" s="140"/>
      <c r="CF184" s="140"/>
      <c r="CG184" s="140"/>
      <c r="CH184" s="140"/>
      <c r="CI184" s="140"/>
      <c r="CJ184" s="140"/>
      <c r="CK184" s="140"/>
      <c r="CL184" s="140"/>
      <c r="CM184" s="140"/>
      <c r="CN184" s="140"/>
      <c r="CO184" s="140"/>
      <c r="CP184" s="140"/>
      <c r="CQ184" s="140"/>
      <c r="CR184" s="140"/>
      <c r="CS184" s="140"/>
      <c r="CT184" s="140"/>
      <c r="CU184" s="140"/>
      <c r="CV184" s="140"/>
      <c r="CW184" s="140"/>
    </row>
    <row r="185" spans="1:101" x14ac:dyDescent="0.2">
      <c r="A185" s="29" t="str">
        <f t="shared" ca="1" si="2"/>
        <v>2025-09-25</v>
      </c>
      <c r="B185" s="140">
        <f ca="1">IF(ISNUMBER(MATCH(DATEVALUE($A185),'changes1_based on steps'!B$1:B$400,0)),B$2,)</f>
        <v>0</v>
      </c>
      <c r="C185" s="140">
        <f ca="1">IF(ISNUMBER(MATCH(DATEVALUE($A185),'changes1_based on steps'!C$1:C$400,0)),C$2,)</f>
        <v>0</v>
      </c>
      <c r="D185" s="140">
        <f ca="1">IF(ISNUMBER(MATCH(DATEVALUE($A185),'changes1_based on steps'!D$1:D$400,0)),D$2,)</f>
        <v>0</v>
      </c>
      <c r="E185" s="140">
        <f ca="1">IF(ISNUMBER(MATCH(DATEVALUE($A185),'changes1_based on steps'!E$1:E$400,0)),E$2,)</f>
        <v>0</v>
      </c>
      <c r="F185" s="140">
        <f ca="1">IF(ISNUMBER(MATCH(DATEVALUE($A185),'changes1_based on steps'!F$1:F$400,0)),F$2,)</f>
        <v>0</v>
      </c>
      <c r="G185" s="140">
        <f ca="1">IF(ISNUMBER(MATCH(DATEVALUE($A185),'changes1_based on steps'!G$1:G$400,0)),G$2,)</f>
        <v>0</v>
      </c>
      <c r="H185" s="140">
        <f ca="1">IF(ISNUMBER(MATCH(DATEVALUE($A185),'changes1_based on steps'!H$1:H$400,0)),H$2,)</f>
        <v>0</v>
      </c>
      <c r="I185" s="140">
        <f ca="1">IF(ISNUMBER(MATCH(DATEVALUE($A185),'changes1_based on steps'!I$1:I$400,0)),I$2,)</f>
        <v>0</v>
      </c>
      <c r="J185" s="140">
        <f ca="1">IF(ISNUMBER(MATCH(DATEVALUE($A185),'changes1_based on steps'!J$1:J$400,0)),J$2,)</f>
        <v>0</v>
      </c>
      <c r="K185" s="140">
        <f ca="1">IF(ISNUMBER(MATCH(DATEVALUE($A185),'changes1_based on steps'!K$1:K$400,0)),K$2,)</f>
        <v>0</v>
      </c>
      <c r="L185" s="140">
        <f ca="1">IF(ISNUMBER(MATCH(DATEVALUE($A185),'changes1_based on steps'!L$1:L$400,0)),L$2,)</f>
        <v>0</v>
      </c>
      <c r="M185" s="140">
        <f ca="1">IF(ISNUMBER(MATCH(DATEVALUE($A185),'changes1_based on steps'!M$1:M$400,0)),M$2,)</f>
        <v>0</v>
      </c>
      <c r="N185" s="140">
        <f ca="1">IF(ISNUMBER(MATCH(DATEVALUE($A185),'changes1_based on steps'!N$1:N$400,0)),N$2,)</f>
        <v>0</v>
      </c>
      <c r="O185" s="140">
        <f ca="1">IF(ISNUMBER(MATCH(DATEVALUE($A185),'changes1_based on steps'!O$1:O$400,0)),O$2,)</f>
        <v>0</v>
      </c>
      <c r="P185" s="140">
        <f ca="1">IF(ISNUMBER(MATCH(DATEVALUE($A185),'changes1_based on steps'!P$1:P$400,0)),P$2,)</f>
        <v>0</v>
      </c>
      <c r="Q185" s="140">
        <f ca="1">IF(ISNUMBER(MATCH(DATEVALUE($A185),'changes1_based on steps'!Q$1:Q$400,0)),Q$2,)</f>
        <v>0</v>
      </c>
      <c r="R185" s="140">
        <f ca="1">IF(ISNUMBER(MATCH(DATEVALUE($A185),'changes1_based on steps'!R$1:R$400,0)),R$2,)</f>
        <v>0</v>
      </c>
      <c r="S185" s="140">
        <f ca="1">IF(ISNUMBER(MATCH(DATEVALUE($A185),'changes1_based on steps'!S$1:S$400,0)),S$2,)</f>
        <v>0</v>
      </c>
      <c r="T185" s="140">
        <f ca="1">IF(ISNUMBER(MATCH(DATEVALUE($A185),'changes1_based on steps'!T$1:T$400,0)),T$2,)</f>
        <v>0</v>
      </c>
      <c r="U185" s="140">
        <f ca="1">IF(ISNUMBER(MATCH(DATEVALUE($A185),'changes1_based on steps'!U$1:U$400,0)),U$2,)</f>
        <v>0</v>
      </c>
      <c r="V185" s="140"/>
      <c r="W185" s="140"/>
      <c r="X185" s="140"/>
      <c r="Y185" s="140"/>
      <c r="Z185" s="140"/>
      <c r="AA185" s="140"/>
      <c r="AB185" s="140"/>
      <c r="AC185" s="140"/>
      <c r="AD185" s="140"/>
      <c r="AE185" s="140"/>
      <c r="AF185" s="140"/>
      <c r="AG185" s="140"/>
      <c r="AH185" s="140"/>
      <c r="AI185" s="140"/>
      <c r="AJ185" s="140"/>
      <c r="AK185" s="140"/>
      <c r="AL185" s="140"/>
      <c r="AM185" s="140"/>
      <c r="AN185" s="140"/>
      <c r="AO185" s="140"/>
      <c r="AP185" s="140"/>
      <c r="AQ185" s="140"/>
      <c r="AR185" s="140"/>
      <c r="AS185" s="140"/>
      <c r="AT185" s="140"/>
      <c r="AU185" s="140"/>
      <c r="AV185" s="140"/>
      <c r="AW185" s="140"/>
      <c r="AX185" s="140"/>
      <c r="AY185" s="140"/>
      <c r="AZ185" s="140"/>
      <c r="BA185" s="140"/>
      <c r="BB185" s="140"/>
      <c r="BC185" s="140"/>
      <c r="BD185" s="140"/>
      <c r="BE185" s="140"/>
      <c r="BF185" s="140"/>
      <c r="BG185" s="140"/>
      <c r="BH185" s="140"/>
      <c r="BI185" s="140"/>
      <c r="BJ185" s="140"/>
      <c r="BK185" s="140"/>
      <c r="BL185" s="140"/>
      <c r="BM185" s="140"/>
      <c r="BN185" s="140"/>
      <c r="BO185" s="140"/>
      <c r="BP185" s="140"/>
      <c r="BQ185" s="140"/>
      <c r="BR185" s="140"/>
      <c r="BS185" s="140"/>
      <c r="BT185" s="140"/>
      <c r="BU185" s="140"/>
      <c r="BV185" s="140"/>
      <c r="BW185" s="140"/>
      <c r="BX185" s="140"/>
      <c r="BY185" s="140"/>
      <c r="BZ185" s="140"/>
      <c r="CA185" s="140"/>
      <c r="CB185" s="140"/>
      <c r="CC185" s="140"/>
      <c r="CD185" s="140"/>
      <c r="CE185" s="140"/>
      <c r="CF185" s="140"/>
      <c r="CG185" s="140"/>
      <c r="CH185" s="140"/>
      <c r="CI185" s="140"/>
      <c r="CJ185" s="140"/>
      <c r="CK185" s="140"/>
      <c r="CL185" s="140"/>
      <c r="CM185" s="140"/>
      <c r="CN185" s="140"/>
      <c r="CO185" s="140"/>
      <c r="CP185" s="140"/>
      <c r="CQ185" s="140"/>
      <c r="CR185" s="140"/>
      <c r="CS185" s="140"/>
      <c r="CT185" s="140"/>
      <c r="CU185" s="140"/>
      <c r="CV185" s="140"/>
      <c r="CW185" s="140"/>
    </row>
    <row r="186" spans="1:101" x14ac:dyDescent="0.2">
      <c r="A186" s="29" t="str">
        <f t="shared" ca="1" si="2"/>
        <v>2025-09-26</v>
      </c>
      <c r="B186" s="140">
        <f ca="1">IF(ISNUMBER(MATCH(DATEVALUE($A186),'changes1_based on steps'!B$1:B$400,0)),B$2,)</f>
        <v>0</v>
      </c>
      <c r="C186" s="140">
        <f ca="1">IF(ISNUMBER(MATCH(DATEVALUE($A186),'changes1_based on steps'!C$1:C$400,0)),C$2,)</f>
        <v>0</v>
      </c>
      <c r="D186" s="140">
        <f ca="1">IF(ISNUMBER(MATCH(DATEVALUE($A186),'changes1_based on steps'!D$1:D$400,0)),D$2,)</f>
        <v>0</v>
      </c>
      <c r="E186" s="140">
        <f ca="1">IF(ISNUMBER(MATCH(DATEVALUE($A186),'changes1_based on steps'!E$1:E$400,0)),E$2,)</f>
        <v>0</v>
      </c>
      <c r="F186" s="140">
        <f ca="1">IF(ISNUMBER(MATCH(DATEVALUE($A186),'changes1_based on steps'!F$1:F$400,0)),F$2,)</f>
        <v>0</v>
      </c>
      <c r="G186" s="140">
        <f ca="1">IF(ISNUMBER(MATCH(DATEVALUE($A186),'changes1_based on steps'!G$1:G$400,0)),G$2,)</f>
        <v>0</v>
      </c>
      <c r="H186" s="140">
        <f ca="1">IF(ISNUMBER(MATCH(DATEVALUE($A186),'changes1_based on steps'!H$1:H$400,0)),H$2,)</f>
        <v>0</v>
      </c>
      <c r="I186" s="140">
        <f ca="1">IF(ISNUMBER(MATCH(DATEVALUE($A186),'changes1_based on steps'!I$1:I$400,0)),I$2,)</f>
        <v>0</v>
      </c>
      <c r="J186" s="140">
        <f ca="1">IF(ISNUMBER(MATCH(DATEVALUE($A186),'changes1_based on steps'!J$1:J$400,0)),J$2,)</f>
        <v>0</v>
      </c>
      <c r="K186" s="140">
        <f ca="1">IF(ISNUMBER(MATCH(DATEVALUE($A186),'changes1_based on steps'!K$1:K$400,0)),K$2,)</f>
        <v>0</v>
      </c>
      <c r="L186" s="140">
        <f ca="1">IF(ISNUMBER(MATCH(DATEVALUE($A186),'changes1_based on steps'!L$1:L$400,0)),L$2,)</f>
        <v>0</v>
      </c>
      <c r="M186" s="140">
        <f ca="1">IF(ISNUMBER(MATCH(DATEVALUE($A186),'changes1_based on steps'!M$1:M$400,0)),M$2,)</f>
        <v>0</v>
      </c>
      <c r="N186" s="140">
        <f ca="1">IF(ISNUMBER(MATCH(DATEVALUE($A186),'changes1_based on steps'!N$1:N$400,0)),N$2,)</f>
        <v>0</v>
      </c>
      <c r="O186" s="140">
        <f ca="1">IF(ISNUMBER(MATCH(DATEVALUE($A186),'changes1_based on steps'!O$1:O$400,0)),O$2,)</f>
        <v>0</v>
      </c>
      <c r="P186" s="140">
        <f ca="1">IF(ISNUMBER(MATCH(DATEVALUE($A186),'changes1_based on steps'!P$1:P$400,0)),P$2,)</f>
        <v>0</v>
      </c>
      <c r="Q186" s="140">
        <f ca="1">IF(ISNUMBER(MATCH(DATEVALUE($A186),'changes1_based on steps'!Q$1:Q$400,0)),Q$2,)</f>
        <v>0</v>
      </c>
      <c r="R186" s="140">
        <f ca="1">IF(ISNUMBER(MATCH(DATEVALUE($A186),'changes1_based on steps'!R$1:R$400,0)),R$2,)</f>
        <v>0</v>
      </c>
      <c r="S186" s="140">
        <f ca="1">IF(ISNUMBER(MATCH(DATEVALUE($A186),'changes1_based on steps'!S$1:S$400,0)),S$2,)</f>
        <v>0</v>
      </c>
      <c r="T186" s="140">
        <f ca="1">IF(ISNUMBER(MATCH(DATEVALUE($A186),'changes1_based on steps'!T$1:T$400,0)),T$2,)</f>
        <v>0</v>
      </c>
      <c r="U186" s="140">
        <f ca="1">IF(ISNUMBER(MATCH(DATEVALUE($A186),'changes1_based on steps'!U$1:U$400,0)),U$2,)</f>
        <v>0</v>
      </c>
      <c r="V186" s="140"/>
      <c r="W186" s="140"/>
      <c r="X186" s="140"/>
      <c r="Y186" s="140"/>
      <c r="Z186" s="140"/>
      <c r="AA186" s="140"/>
      <c r="AB186" s="140"/>
      <c r="AC186" s="140"/>
      <c r="AD186" s="140"/>
      <c r="AE186" s="140"/>
      <c r="AF186" s="140"/>
      <c r="AG186" s="140"/>
      <c r="AH186" s="140"/>
      <c r="AI186" s="140"/>
      <c r="AJ186" s="140"/>
      <c r="AK186" s="140"/>
      <c r="AL186" s="140"/>
      <c r="AM186" s="140"/>
      <c r="AN186" s="140"/>
      <c r="AO186" s="140"/>
      <c r="AP186" s="140"/>
      <c r="AQ186" s="140"/>
      <c r="AR186" s="140"/>
      <c r="AS186" s="140"/>
      <c r="AT186" s="140"/>
      <c r="AU186" s="140"/>
      <c r="AV186" s="140"/>
      <c r="AW186" s="140"/>
      <c r="AX186" s="140"/>
      <c r="AY186" s="140"/>
      <c r="AZ186" s="140"/>
      <c r="BA186" s="140"/>
      <c r="BB186" s="140"/>
      <c r="BC186" s="140"/>
      <c r="BD186" s="140"/>
      <c r="BE186" s="140"/>
      <c r="BF186" s="140"/>
      <c r="BG186" s="140"/>
      <c r="BH186" s="140"/>
      <c r="BI186" s="140"/>
      <c r="BJ186" s="140"/>
      <c r="BK186" s="140"/>
      <c r="BL186" s="140"/>
      <c r="BM186" s="140"/>
      <c r="BN186" s="140"/>
      <c r="BO186" s="140"/>
      <c r="BP186" s="140"/>
      <c r="BQ186" s="140"/>
      <c r="BR186" s="140"/>
      <c r="BS186" s="140"/>
      <c r="BT186" s="140"/>
      <c r="BU186" s="140"/>
      <c r="BV186" s="140"/>
      <c r="BW186" s="140"/>
      <c r="BX186" s="140"/>
      <c r="BY186" s="140"/>
      <c r="BZ186" s="140"/>
      <c r="CA186" s="140"/>
      <c r="CB186" s="140"/>
      <c r="CC186" s="140"/>
      <c r="CD186" s="140"/>
      <c r="CE186" s="140"/>
      <c r="CF186" s="140"/>
      <c r="CG186" s="140"/>
      <c r="CH186" s="140"/>
      <c r="CI186" s="140"/>
      <c r="CJ186" s="140"/>
      <c r="CK186" s="140"/>
      <c r="CL186" s="140"/>
      <c r="CM186" s="140"/>
      <c r="CN186" s="140"/>
      <c r="CO186" s="140"/>
      <c r="CP186" s="140"/>
      <c r="CQ186" s="140"/>
      <c r="CR186" s="140"/>
      <c r="CS186" s="140"/>
      <c r="CT186" s="140"/>
      <c r="CU186" s="140"/>
      <c r="CV186" s="140"/>
      <c r="CW186" s="140"/>
    </row>
    <row r="187" spans="1:101" x14ac:dyDescent="0.2">
      <c r="A187" s="29" t="str">
        <f t="shared" ca="1" si="2"/>
        <v>2025-09-27</v>
      </c>
      <c r="B187" s="140">
        <f ca="1">IF(ISNUMBER(MATCH(DATEVALUE($A187),'changes1_based on steps'!B$1:B$400,0)),B$2,)</f>
        <v>0</v>
      </c>
      <c r="C187" s="140">
        <f ca="1">IF(ISNUMBER(MATCH(DATEVALUE($A187),'changes1_based on steps'!C$1:C$400,0)),C$2,)</f>
        <v>0</v>
      </c>
      <c r="D187" s="140">
        <f ca="1">IF(ISNUMBER(MATCH(DATEVALUE($A187),'changes1_based on steps'!D$1:D$400,0)),D$2,)</f>
        <v>0</v>
      </c>
      <c r="E187" s="140">
        <f ca="1">IF(ISNUMBER(MATCH(DATEVALUE($A187),'changes1_based on steps'!E$1:E$400,0)),E$2,)</f>
        <v>0</v>
      </c>
      <c r="F187" s="140">
        <f ca="1">IF(ISNUMBER(MATCH(DATEVALUE($A187),'changes1_based on steps'!F$1:F$400,0)),F$2,)</f>
        <v>0</v>
      </c>
      <c r="G187" s="140">
        <f ca="1">IF(ISNUMBER(MATCH(DATEVALUE($A187),'changes1_based on steps'!G$1:G$400,0)),G$2,)</f>
        <v>0</v>
      </c>
      <c r="H187" s="140">
        <f ca="1">IF(ISNUMBER(MATCH(DATEVALUE($A187),'changes1_based on steps'!H$1:H$400,0)),H$2,)</f>
        <v>0</v>
      </c>
      <c r="I187" s="140">
        <f ca="1">IF(ISNUMBER(MATCH(DATEVALUE($A187),'changes1_based on steps'!I$1:I$400,0)),I$2,)</f>
        <v>0</v>
      </c>
      <c r="J187" s="140">
        <f ca="1">IF(ISNUMBER(MATCH(DATEVALUE($A187),'changes1_based on steps'!J$1:J$400,0)),J$2,)</f>
        <v>0</v>
      </c>
      <c r="K187" s="140">
        <f ca="1">IF(ISNUMBER(MATCH(DATEVALUE($A187),'changes1_based on steps'!K$1:K$400,0)),K$2,)</f>
        <v>0</v>
      </c>
      <c r="L187" s="140">
        <f ca="1">IF(ISNUMBER(MATCH(DATEVALUE($A187),'changes1_based on steps'!L$1:L$400,0)),L$2,)</f>
        <v>0</v>
      </c>
      <c r="M187" s="140">
        <f ca="1">IF(ISNUMBER(MATCH(DATEVALUE($A187),'changes1_based on steps'!M$1:M$400,0)),M$2,)</f>
        <v>0</v>
      </c>
      <c r="N187" s="140">
        <f ca="1">IF(ISNUMBER(MATCH(DATEVALUE($A187),'changes1_based on steps'!N$1:N$400,0)),N$2,)</f>
        <v>0</v>
      </c>
      <c r="O187" s="140">
        <f ca="1">IF(ISNUMBER(MATCH(DATEVALUE($A187),'changes1_based on steps'!O$1:O$400,0)),O$2,)</f>
        <v>0</v>
      </c>
      <c r="P187" s="140">
        <f ca="1">IF(ISNUMBER(MATCH(DATEVALUE($A187),'changes1_based on steps'!P$1:P$400,0)),P$2,)</f>
        <v>0</v>
      </c>
      <c r="Q187" s="140">
        <f ca="1">IF(ISNUMBER(MATCH(DATEVALUE($A187),'changes1_based on steps'!Q$1:Q$400,0)),Q$2,)</f>
        <v>0</v>
      </c>
      <c r="R187" s="140">
        <f ca="1">IF(ISNUMBER(MATCH(DATEVALUE($A187),'changes1_based on steps'!R$1:R$400,0)),R$2,)</f>
        <v>0</v>
      </c>
      <c r="S187" s="140">
        <f ca="1">IF(ISNUMBER(MATCH(DATEVALUE($A187),'changes1_based on steps'!S$1:S$400,0)),S$2,)</f>
        <v>0</v>
      </c>
      <c r="T187" s="140">
        <f ca="1">IF(ISNUMBER(MATCH(DATEVALUE($A187),'changes1_based on steps'!T$1:T$400,0)),T$2,)</f>
        <v>0</v>
      </c>
      <c r="U187" s="140">
        <f ca="1">IF(ISNUMBER(MATCH(DATEVALUE($A187),'changes1_based on steps'!U$1:U$400,0)),U$2,)</f>
        <v>0</v>
      </c>
      <c r="V187" s="140"/>
      <c r="W187" s="140"/>
      <c r="X187" s="140"/>
      <c r="Y187" s="140"/>
      <c r="Z187" s="140"/>
      <c r="AA187" s="140"/>
      <c r="AB187" s="140"/>
      <c r="AC187" s="140"/>
      <c r="AD187" s="140"/>
      <c r="AE187" s="140"/>
      <c r="AF187" s="140"/>
      <c r="AG187" s="140"/>
      <c r="AH187" s="140"/>
      <c r="AI187" s="140"/>
      <c r="AJ187" s="140"/>
      <c r="AK187" s="140"/>
      <c r="AL187" s="140"/>
      <c r="AM187" s="140"/>
      <c r="AN187" s="140"/>
      <c r="AO187" s="140"/>
      <c r="AP187" s="140"/>
      <c r="AQ187" s="140"/>
      <c r="AR187" s="140"/>
      <c r="AS187" s="140"/>
      <c r="AT187" s="140"/>
      <c r="AU187" s="140"/>
      <c r="AV187" s="140"/>
      <c r="AW187" s="140"/>
      <c r="AX187" s="140"/>
      <c r="AY187" s="140"/>
      <c r="AZ187" s="140"/>
      <c r="BA187" s="140"/>
      <c r="BB187" s="140"/>
      <c r="BC187" s="140"/>
      <c r="BD187" s="140"/>
      <c r="BE187" s="140"/>
      <c r="BF187" s="140"/>
      <c r="BG187" s="140"/>
      <c r="BH187" s="140"/>
      <c r="BI187" s="140"/>
      <c r="BJ187" s="140"/>
      <c r="BK187" s="140"/>
      <c r="BL187" s="140"/>
      <c r="BM187" s="140"/>
      <c r="BN187" s="140"/>
      <c r="BO187" s="140"/>
      <c r="BP187" s="140"/>
      <c r="BQ187" s="140"/>
      <c r="BR187" s="140"/>
      <c r="BS187" s="140"/>
      <c r="BT187" s="140"/>
      <c r="BU187" s="140"/>
      <c r="BV187" s="140"/>
      <c r="BW187" s="140"/>
      <c r="BX187" s="140"/>
      <c r="BY187" s="140"/>
      <c r="BZ187" s="140"/>
      <c r="CA187" s="140"/>
      <c r="CB187" s="140"/>
      <c r="CC187" s="140"/>
      <c r="CD187" s="140"/>
      <c r="CE187" s="140"/>
      <c r="CF187" s="140"/>
      <c r="CG187" s="140"/>
      <c r="CH187" s="140"/>
      <c r="CI187" s="140"/>
      <c r="CJ187" s="140"/>
      <c r="CK187" s="140"/>
      <c r="CL187" s="140"/>
      <c r="CM187" s="140"/>
      <c r="CN187" s="140"/>
      <c r="CO187" s="140"/>
      <c r="CP187" s="140"/>
      <c r="CQ187" s="140"/>
      <c r="CR187" s="140"/>
      <c r="CS187" s="140"/>
      <c r="CT187" s="140"/>
      <c r="CU187" s="140"/>
      <c r="CV187" s="140"/>
      <c r="CW187" s="140"/>
    </row>
    <row r="188" spans="1:101" x14ac:dyDescent="0.2">
      <c r="A188" s="29" t="str">
        <f t="shared" ca="1" si="2"/>
        <v>2025-09-28</v>
      </c>
      <c r="B188" s="140">
        <f ca="1">IF(ISNUMBER(MATCH(DATEVALUE($A188),'changes1_based on steps'!B$1:B$400,0)),B$2,)</f>
        <v>0</v>
      </c>
      <c r="C188" s="140">
        <f ca="1">IF(ISNUMBER(MATCH(DATEVALUE($A188),'changes1_based on steps'!C$1:C$400,0)),C$2,)</f>
        <v>0</v>
      </c>
      <c r="D188" s="140">
        <f ca="1">IF(ISNUMBER(MATCH(DATEVALUE($A188),'changes1_based on steps'!D$1:D$400,0)),D$2,)</f>
        <v>0</v>
      </c>
      <c r="E188" s="140">
        <f ca="1">IF(ISNUMBER(MATCH(DATEVALUE($A188),'changes1_based on steps'!E$1:E$400,0)),E$2,)</f>
        <v>0</v>
      </c>
      <c r="F188" s="140">
        <f ca="1">IF(ISNUMBER(MATCH(DATEVALUE($A188),'changes1_based on steps'!F$1:F$400,0)),F$2,)</f>
        <v>0</v>
      </c>
      <c r="G188" s="140">
        <f ca="1">IF(ISNUMBER(MATCH(DATEVALUE($A188),'changes1_based on steps'!G$1:G$400,0)),G$2,)</f>
        <v>0</v>
      </c>
      <c r="H188" s="140">
        <f ca="1">IF(ISNUMBER(MATCH(DATEVALUE($A188),'changes1_based on steps'!H$1:H$400,0)),H$2,)</f>
        <v>0</v>
      </c>
      <c r="I188" s="140">
        <f ca="1">IF(ISNUMBER(MATCH(DATEVALUE($A188),'changes1_based on steps'!I$1:I$400,0)),I$2,)</f>
        <v>0</v>
      </c>
      <c r="J188" s="140">
        <f ca="1">IF(ISNUMBER(MATCH(DATEVALUE($A188),'changes1_based on steps'!J$1:J$400,0)),J$2,)</f>
        <v>0</v>
      </c>
      <c r="K188" s="140">
        <f ca="1">IF(ISNUMBER(MATCH(DATEVALUE($A188),'changes1_based on steps'!K$1:K$400,0)),K$2,)</f>
        <v>0</v>
      </c>
      <c r="L188" s="140">
        <f ca="1">IF(ISNUMBER(MATCH(DATEVALUE($A188),'changes1_based on steps'!L$1:L$400,0)),L$2,)</f>
        <v>0</v>
      </c>
      <c r="M188" s="140">
        <f ca="1">IF(ISNUMBER(MATCH(DATEVALUE($A188),'changes1_based on steps'!M$1:M$400,0)),M$2,)</f>
        <v>0</v>
      </c>
      <c r="N188" s="140">
        <f ca="1">IF(ISNUMBER(MATCH(DATEVALUE($A188),'changes1_based on steps'!N$1:N$400,0)),N$2,)</f>
        <v>0</v>
      </c>
      <c r="O188" s="140">
        <f ca="1">IF(ISNUMBER(MATCH(DATEVALUE($A188),'changes1_based on steps'!O$1:O$400,0)),O$2,)</f>
        <v>0</v>
      </c>
      <c r="P188" s="140">
        <f ca="1">IF(ISNUMBER(MATCH(DATEVALUE($A188),'changes1_based on steps'!P$1:P$400,0)),P$2,)</f>
        <v>0</v>
      </c>
      <c r="Q188" s="140">
        <f ca="1">IF(ISNUMBER(MATCH(DATEVALUE($A188),'changes1_based on steps'!Q$1:Q$400,0)),Q$2,)</f>
        <v>0</v>
      </c>
      <c r="R188" s="140">
        <f ca="1">IF(ISNUMBER(MATCH(DATEVALUE($A188),'changes1_based on steps'!R$1:R$400,0)),R$2,)</f>
        <v>0</v>
      </c>
      <c r="S188" s="140">
        <f ca="1">IF(ISNUMBER(MATCH(DATEVALUE($A188),'changes1_based on steps'!S$1:S$400,0)),S$2,)</f>
        <v>0</v>
      </c>
      <c r="T188" s="140">
        <f ca="1">IF(ISNUMBER(MATCH(DATEVALUE($A188),'changes1_based on steps'!T$1:T$400,0)),T$2,)</f>
        <v>0</v>
      </c>
      <c r="U188" s="140">
        <f ca="1">IF(ISNUMBER(MATCH(DATEVALUE($A188),'changes1_based on steps'!U$1:U$400,0)),U$2,)</f>
        <v>0</v>
      </c>
      <c r="V188" s="140"/>
      <c r="W188" s="140"/>
      <c r="X188" s="140"/>
      <c r="Y188" s="140"/>
      <c r="Z188" s="140"/>
      <c r="AA188" s="140"/>
      <c r="AB188" s="140"/>
      <c r="AC188" s="140"/>
      <c r="AD188" s="140"/>
      <c r="AE188" s="140"/>
      <c r="AF188" s="140"/>
      <c r="AG188" s="140"/>
      <c r="AH188" s="140"/>
      <c r="AI188" s="140"/>
      <c r="AJ188" s="140"/>
      <c r="AK188" s="140"/>
      <c r="AL188" s="140"/>
      <c r="AM188" s="140"/>
      <c r="AN188" s="140"/>
      <c r="AO188" s="140"/>
      <c r="AP188" s="140"/>
      <c r="AQ188" s="140"/>
      <c r="AR188" s="140"/>
      <c r="AS188" s="140"/>
      <c r="AT188" s="140"/>
      <c r="AU188" s="140"/>
      <c r="AV188" s="140"/>
      <c r="AW188" s="140"/>
      <c r="AX188" s="140"/>
      <c r="AY188" s="140"/>
      <c r="AZ188" s="140"/>
      <c r="BA188" s="140"/>
      <c r="BB188" s="140"/>
      <c r="BC188" s="140"/>
      <c r="BD188" s="140"/>
      <c r="BE188" s="140"/>
      <c r="BF188" s="140"/>
      <c r="BG188" s="140"/>
      <c r="BH188" s="140"/>
      <c r="BI188" s="140"/>
      <c r="BJ188" s="140"/>
      <c r="BK188" s="140"/>
      <c r="BL188" s="140"/>
      <c r="BM188" s="140"/>
      <c r="BN188" s="140"/>
      <c r="BO188" s="140"/>
      <c r="BP188" s="140"/>
      <c r="BQ188" s="140"/>
      <c r="BR188" s="140"/>
      <c r="BS188" s="140"/>
      <c r="BT188" s="140"/>
      <c r="BU188" s="140"/>
      <c r="BV188" s="140"/>
      <c r="BW188" s="140"/>
      <c r="BX188" s="140"/>
      <c r="BY188" s="140"/>
      <c r="BZ188" s="140"/>
      <c r="CA188" s="140"/>
      <c r="CB188" s="140"/>
      <c r="CC188" s="140"/>
      <c r="CD188" s="140"/>
      <c r="CE188" s="140"/>
      <c r="CF188" s="140"/>
      <c r="CG188" s="140"/>
      <c r="CH188" s="140"/>
      <c r="CI188" s="140"/>
      <c r="CJ188" s="140"/>
      <c r="CK188" s="140"/>
      <c r="CL188" s="140"/>
      <c r="CM188" s="140"/>
      <c r="CN188" s="140"/>
      <c r="CO188" s="140"/>
      <c r="CP188" s="140"/>
      <c r="CQ188" s="140"/>
      <c r="CR188" s="140"/>
      <c r="CS188" s="140"/>
      <c r="CT188" s="140"/>
      <c r="CU188" s="140"/>
      <c r="CV188" s="140"/>
      <c r="CW188" s="140"/>
    </row>
    <row r="189" spans="1:101" x14ac:dyDescent="0.2">
      <c r="A189" s="29" t="str">
        <f t="shared" ca="1" si="2"/>
        <v>2025-09-29</v>
      </c>
      <c r="B189" s="140">
        <f ca="1">IF(ISNUMBER(MATCH(DATEVALUE($A189),'changes1_based on steps'!B$1:B$400,0)),B$2,)</f>
        <v>0</v>
      </c>
      <c r="C189" s="140">
        <f ca="1">IF(ISNUMBER(MATCH(DATEVALUE($A189),'changes1_based on steps'!C$1:C$400,0)),C$2,)</f>
        <v>0</v>
      </c>
      <c r="D189" s="140">
        <f ca="1">IF(ISNUMBER(MATCH(DATEVALUE($A189),'changes1_based on steps'!D$1:D$400,0)),D$2,)</f>
        <v>0</v>
      </c>
      <c r="E189" s="140">
        <f ca="1">IF(ISNUMBER(MATCH(DATEVALUE($A189),'changes1_based on steps'!E$1:E$400,0)),E$2,)</f>
        <v>0</v>
      </c>
      <c r="F189" s="140">
        <f ca="1">IF(ISNUMBER(MATCH(DATEVALUE($A189),'changes1_based on steps'!F$1:F$400,0)),F$2,)</f>
        <v>0</v>
      </c>
      <c r="G189" s="140">
        <f ca="1">IF(ISNUMBER(MATCH(DATEVALUE($A189),'changes1_based on steps'!G$1:G$400,0)),G$2,)</f>
        <v>0</v>
      </c>
      <c r="H189" s="140">
        <f ca="1">IF(ISNUMBER(MATCH(DATEVALUE($A189),'changes1_based on steps'!H$1:H$400,0)),H$2,)</f>
        <v>0</v>
      </c>
      <c r="I189" s="140">
        <f ca="1">IF(ISNUMBER(MATCH(DATEVALUE($A189),'changes1_based on steps'!I$1:I$400,0)),I$2,)</f>
        <v>0</v>
      </c>
      <c r="J189" s="140">
        <f ca="1">IF(ISNUMBER(MATCH(DATEVALUE($A189),'changes1_based on steps'!J$1:J$400,0)),J$2,)</f>
        <v>0</v>
      </c>
      <c r="K189" s="140">
        <f ca="1">IF(ISNUMBER(MATCH(DATEVALUE($A189),'changes1_based on steps'!K$1:K$400,0)),K$2,)</f>
        <v>0</v>
      </c>
      <c r="L189" s="140">
        <f ca="1">IF(ISNUMBER(MATCH(DATEVALUE($A189),'changes1_based on steps'!L$1:L$400,0)),L$2,)</f>
        <v>0</v>
      </c>
      <c r="M189" s="140">
        <f ca="1">IF(ISNUMBER(MATCH(DATEVALUE($A189),'changes1_based on steps'!M$1:M$400,0)),M$2,)</f>
        <v>0</v>
      </c>
      <c r="N189" s="140">
        <f ca="1">IF(ISNUMBER(MATCH(DATEVALUE($A189),'changes1_based on steps'!N$1:N$400,0)),N$2,)</f>
        <v>0</v>
      </c>
      <c r="O189" s="140">
        <f ca="1">IF(ISNUMBER(MATCH(DATEVALUE($A189),'changes1_based on steps'!O$1:O$400,0)),O$2,)</f>
        <v>0</v>
      </c>
      <c r="P189" s="140">
        <f ca="1">IF(ISNUMBER(MATCH(DATEVALUE($A189),'changes1_based on steps'!P$1:P$400,0)),P$2,)</f>
        <v>0</v>
      </c>
      <c r="Q189" s="140">
        <f ca="1">IF(ISNUMBER(MATCH(DATEVALUE($A189),'changes1_based on steps'!Q$1:Q$400,0)),Q$2,)</f>
        <v>0</v>
      </c>
      <c r="R189" s="140">
        <f ca="1">IF(ISNUMBER(MATCH(DATEVALUE($A189),'changes1_based on steps'!R$1:R$400,0)),R$2,)</f>
        <v>0</v>
      </c>
      <c r="S189" s="140">
        <f ca="1">IF(ISNUMBER(MATCH(DATEVALUE($A189),'changes1_based on steps'!S$1:S$400,0)),S$2,)</f>
        <v>0</v>
      </c>
      <c r="T189" s="140">
        <f ca="1">IF(ISNUMBER(MATCH(DATEVALUE($A189),'changes1_based on steps'!T$1:T$400,0)),T$2,)</f>
        <v>0</v>
      </c>
      <c r="U189" s="140">
        <f ca="1">IF(ISNUMBER(MATCH(DATEVALUE($A189),'changes1_based on steps'!U$1:U$400,0)),U$2,)</f>
        <v>0</v>
      </c>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c r="AR189" s="140"/>
      <c r="AS189" s="140"/>
      <c r="AT189" s="140"/>
      <c r="AU189" s="140"/>
      <c r="AV189" s="140"/>
      <c r="AW189" s="140"/>
      <c r="AX189" s="140"/>
      <c r="AY189" s="140"/>
      <c r="AZ189" s="140"/>
      <c r="BA189" s="140"/>
      <c r="BB189" s="140"/>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c r="CE189" s="140"/>
      <c r="CF189" s="140"/>
      <c r="CG189" s="140"/>
      <c r="CH189" s="140"/>
      <c r="CI189" s="140"/>
      <c r="CJ189" s="140"/>
      <c r="CK189" s="140"/>
      <c r="CL189" s="140"/>
      <c r="CM189" s="140"/>
      <c r="CN189" s="140"/>
      <c r="CO189" s="140"/>
      <c r="CP189" s="140"/>
      <c r="CQ189" s="140"/>
      <c r="CR189" s="140"/>
      <c r="CS189" s="140"/>
      <c r="CT189" s="140"/>
      <c r="CU189" s="140"/>
      <c r="CV189" s="140"/>
      <c r="CW189" s="140"/>
    </row>
    <row r="190" spans="1:101" x14ac:dyDescent="0.2">
      <c r="A190" s="29" t="str">
        <f t="shared" ca="1" si="2"/>
        <v>2025-09-30</v>
      </c>
      <c r="B190" s="140">
        <f ca="1">IF(ISNUMBER(MATCH(DATEVALUE($A190),'changes1_based on steps'!B$1:B$400,0)),B$2,)</f>
        <v>0</v>
      </c>
      <c r="C190" s="140">
        <f ca="1">IF(ISNUMBER(MATCH(DATEVALUE($A190),'changes1_based on steps'!C$1:C$400,0)),C$2,)</f>
        <v>0</v>
      </c>
      <c r="D190" s="140">
        <f ca="1">IF(ISNUMBER(MATCH(DATEVALUE($A190),'changes1_based on steps'!D$1:D$400,0)),D$2,)</f>
        <v>0</v>
      </c>
      <c r="E190" s="140">
        <f ca="1">IF(ISNUMBER(MATCH(DATEVALUE($A190),'changes1_based on steps'!E$1:E$400,0)),E$2,)</f>
        <v>0</v>
      </c>
      <c r="F190" s="140">
        <f ca="1">IF(ISNUMBER(MATCH(DATEVALUE($A190),'changes1_based on steps'!F$1:F$400,0)),F$2,)</f>
        <v>0</v>
      </c>
      <c r="G190" s="140">
        <f ca="1">IF(ISNUMBER(MATCH(DATEVALUE($A190),'changes1_based on steps'!G$1:G$400,0)),G$2,)</f>
        <v>0</v>
      </c>
      <c r="H190" s="140">
        <f ca="1">IF(ISNUMBER(MATCH(DATEVALUE($A190),'changes1_based on steps'!H$1:H$400,0)),H$2,)</f>
        <v>0</v>
      </c>
      <c r="I190" s="140">
        <f ca="1">IF(ISNUMBER(MATCH(DATEVALUE($A190),'changes1_based on steps'!I$1:I$400,0)),I$2,)</f>
        <v>0</v>
      </c>
      <c r="J190" s="140">
        <f ca="1">IF(ISNUMBER(MATCH(DATEVALUE($A190),'changes1_based on steps'!J$1:J$400,0)),J$2,)</f>
        <v>0</v>
      </c>
      <c r="K190" s="140">
        <f ca="1">IF(ISNUMBER(MATCH(DATEVALUE($A190),'changes1_based on steps'!K$1:K$400,0)),K$2,)</f>
        <v>0</v>
      </c>
      <c r="L190" s="140">
        <f ca="1">IF(ISNUMBER(MATCH(DATEVALUE($A190),'changes1_based on steps'!L$1:L$400,0)),L$2,)</f>
        <v>0</v>
      </c>
      <c r="M190" s="140">
        <f ca="1">IF(ISNUMBER(MATCH(DATEVALUE($A190),'changes1_based on steps'!M$1:M$400,0)),M$2,)</f>
        <v>0</v>
      </c>
      <c r="N190" s="140">
        <f ca="1">IF(ISNUMBER(MATCH(DATEVALUE($A190),'changes1_based on steps'!N$1:N$400,0)),N$2,)</f>
        <v>0</v>
      </c>
      <c r="O190" s="140">
        <f ca="1">IF(ISNUMBER(MATCH(DATEVALUE($A190),'changes1_based on steps'!O$1:O$400,0)),O$2,)</f>
        <v>0</v>
      </c>
      <c r="P190" s="140">
        <f ca="1">IF(ISNUMBER(MATCH(DATEVALUE($A190),'changes1_based on steps'!P$1:P$400,0)),P$2,)</f>
        <v>0</v>
      </c>
      <c r="Q190" s="140">
        <f ca="1">IF(ISNUMBER(MATCH(DATEVALUE($A190),'changes1_based on steps'!Q$1:Q$400,0)),Q$2,)</f>
        <v>0</v>
      </c>
      <c r="R190" s="140">
        <f ca="1">IF(ISNUMBER(MATCH(DATEVALUE($A190),'changes1_based on steps'!R$1:R$400,0)),R$2,)</f>
        <v>0</v>
      </c>
      <c r="S190" s="140">
        <f ca="1">IF(ISNUMBER(MATCH(DATEVALUE($A190),'changes1_based on steps'!S$1:S$400,0)),S$2,)</f>
        <v>0</v>
      </c>
      <c r="T190" s="140">
        <f ca="1">IF(ISNUMBER(MATCH(DATEVALUE($A190),'changes1_based on steps'!T$1:T$400,0)),T$2,)</f>
        <v>0</v>
      </c>
      <c r="U190" s="140">
        <f ca="1">IF(ISNUMBER(MATCH(DATEVALUE($A190),'changes1_based on steps'!U$1:U$400,0)),U$2,)</f>
        <v>0</v>
      </c>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c r="BS190" s="140"/>
      <c r="BT190" s="140"/>
      <c r="BU190" s="140"/>
      <c r="BV190" s="140"/>
      <c r="BW190" s="140"/>
      <c r="BX190" s="140"/>
      <c r="BY190" s="140"/>
      <c r="BZ190" s="140"/>
      <c r="CA190" s="140"/>
      <c r="CB190" s="140"/>
      <c r="CC190" s="140"/>
      <c r="CD190" s="140"/>
      <c r="CE190" s="140"/>
      <c r="CF190" s="140"/>
      <c r="CG190" s="140"/>
      <c r="CH190" s="140"/>
      <c r="CI190" s="140"/>
      <c r="CJ190" s="140"/>
      <c r="CK190" s="140"/>
      <c r="CL190" s="140"/>
      <c r="CM190" s="140"/>
      <c r="CN190" s="140"/>
      <c r="CO190" s="140"/>
      <c r="CP190" s="140"/>
      <c r="CQ190" s="140"/>
      <c r="CR190" s="140"/>
      <c r="CS190" s="140"/>
      <c r="CT190" s="140"/>
      <c r="CU190" s="140"/>
      <c r="CV190" s="140"/>
      <c r="CW190" s="140"/>
    </row>
    <row r="191" spans="1:101" x14ac:dyDescent="0.2">
      <c r="A191" s="29" t="str">
        <f t="shared" ca="1" si="2"/>
        <v>2025-10-01</v>
      </c>
      <c r="B191" s="140">
        <f ca="1">IF(ISNUMBER(MATCH(DATEVALUE($A191),'changes1_based on steps'!B$1:B$400,0)),B$2,)</f>
        <v>0</v>
      </c>
      <c r="C191" s="140">
        <f ca="1">IF(ISNUMBER(MATCH(DATEVALUE($A191),'changes1_based on steps'!C$1:C$400,0)),C$2,)</f>
        <v>0</v>
      </c>
      <c r="D191" s="140">
        <f ca="1">IF(ISNUMBER(MATCH(DATEVALUE($A191),'changes1_based on steps'!D$1:D$400,0)),D$2,)</f>
        <v>0</v>
      </c>
      <c r="E191" s="140">
        <f ca="1">IF(ISNUMBER(MATCH(DATEVALUE($A191),'changes1_based on steps'!E$1:E$400,0)),E$2,)</f>
        <v>0</v>
      </c>
      <c r="F191" s="140">
        <f ca="1">IF(ISNUMBER(MATCH(DATEVALUE($A191),'changes1_based on steps'!F$1:F$400,0)),F$2,)</f>
        <v>0</v>
      </c>
      <c r="G191" s="140">
        <f ca="1">IF(ISNUMBER(MATCH(DATEVALUE($A191),'changes1_based on steps'!G$1:G$400,0)),G$2,)</f>
        <v>0</v>
      </c>
      <c r="H191" s="140">
        <f ca="1">IF(ISNUMBER(MATCH(DATEVALUE($A191),'changes1_based on steps'!H$1:H$400,0)),H$2,)</f>
        <v>0</v>
      </c>
      <c r="I191" s="140">
        <f ca="1">IF(ISNUMBER(MATCH(DATEVALUE($A191),'changes1_based on steps'!I$1:I$400,0)),I$2,)</f>
        <v>0</v>
      </c>
      <c r="J191" s="140">
        <f ca="1">IF(ISNUMBER(MATCH(DATEVALUE($A191),'changes1_based on steps'!J$1:J$400,0)),J$2,)</f>
        <v>0</v>
      </c>
      <c r="K191" s="140">
        <f ca="1">IF(ISNUMBER(MATCH(DATEVALUE($A191),'changes1_based on steps'!K$1:K$400,0)),K$2,)</f>
        <v>0</v>
      </c>
      <c r="L191" s="140">
        <f ca="1">IF(ISNUMBER(MATCH(DATEVALUE($A191),'changes1_based on steps'!L$1:L$400,0)),L$2,)</f>
        <v>0</v>
      </c>
      <c r="M191" s="140">
        <f ca="1">IF(ISNUMBER(MATCH(DATEVALUE($A191),'changes1_based on steps'!M$1:M$400,0)),M$2,)</f>
        <v>0</v>
      </c>
      <c r="N191" s="140">
        <f ca="1">IF(ISNUMBER(MATCH(DATEVALUE($A191),'changes1_based on steps'!N$1:N$400,0)),N$2,)</f>
        <v>0</v>
      </c>
      <c r="O191" s="140">
        <f ca="1">IF(ISNUMBER(MATCH(DATEVALUE($A191),'changes1_based on steps'!O$1:O$400,0)),O$2,)</f>
        <v>0</v>
      </c>
      <c r="P191" s="140">
        <f ca="1">IF(ISNUMBER(MATCH(DATEVALUE($A191),'changes1_based on steps'!P$1:P$400,0)),P$2,)</f>
        <v>0</v>
      </c>
      <c r="Q191" s="140">
        <f ca="1">IF(ISNUMBER(MATCH(DATEVALUE($A191),'changes1_based on steps'!Q$1:Q$400,0)),Q$2,)</f>
        <v>0</v>
      </c>
      <c r="R191" s="140">
        <f ca="1">IF(ISNUMBER(MATCH(DATEVALUE($A191),'changes1_based on steps'!R$1:R$400,0)),R$2,)</f>
        <v>0</v>
      </c>
      <c r="S191" s="140">
        <f ca="1">IF(ISNUMBER(MATCH(DATEVALUE($A191),'changes1_based on steps'!S$1:S$400,0)),S$2,)</f>
        <v>0</v>
      </c>
      <c r="T191" s="140">
        <f ca="1">IF(ISNUMBER(MATCH(DATEVALUE($A191),'changes1_based on steps'!T$1:T$400,0)),T$2,)</f>
        <v>0</v>
      </c>
      <c r="U191" s="140">
        <f ca="1">IF(ISNUMBER(MATCH(DATEVALUE($A191),'changes1_based on steps'!U$1:U$400,0)),U$2,)</f>
        <v>0</v>
      </c>
      <c r="V191" s="140"/>
      <c r="W191" s="140"/>
      <c r="X191" s="140"/>
      <c r="Y191" s="140"/>
      <c r="Z191" s="140"/>
      <c r="AA191" s="140"/>
      <c r="AB191" s="140"/>
      <c r="AC191" s="140"/>
      <c r="AD191" s="140"/>
      <c r="AE191" s="140"/>
      <c r="AF191" s="140"/>
      <c r="AG191" s="140"/>
      <c r="AH191" s="140"/>
      <c r="AI191" s="140"/>
      <c r="AJ191" s="140"/>
      <c r="AK191" s="140"/>
      <c r="AL191" s="140"/>
      <c r="AM191" s="140"/>
      <c r="AN191" s="140"/>
      <c r="AO191" s="140"/>
      <c r="AP191" s="140"/>
      <c r="AQ191" s="140"/>
      <c r="AR191" s="140"/>
      <c r="AS191" s="140"/>
      <c r="AT191" s="140"/>
      <c r="AU191" s="140"/>
      <c r="AV191" s="140"/>
      <c r="AW191" s="140"/>
      <c r="AX191" s="140"/>
      <c r="AY191" s="140"/>
      <c r="AZ191" s="140"/>
      <c r="BA191" s="140"/>
      <c r="BB191" s="140"/>
      <c r="BC191" s="140"/>
      <c r="BD191" s="140"/>
      <c r="BE191" s="140"/>
      <c r="BF191" s="140"/>
      <c r="BG191" s="140"/>
      <c r="BH191" s="140"/>
      <c r="BI191" s="140"/>
      <c r="BJ191" s="140"/>
      <c r="BK191" s="140"/>
      <c r="BL191" s="140"/>
      <c r="BM191" s="140"/>
      <c r="BN191" s="140"/>
      <c r="BO191" s="140"/>
      <c r="BP191" s="140"/>
      <c r="BQ191" s="140"/>
      <c r="BR191" s="140"/>
      <c r="BS191" s="140"/>
      <c r="BT191" s="140"/>
      <c r="BU191" s="140"/>
      <c r="BV191" s="140"/>
      <c r="BW191" s="140"/>
      <c r="BX191" s="140"/>
      <c r="BY191" s="140"/>
      <c r="BZ191" s="140"/>
      <c r="CA191" s="140"/>
      <c r="CB191" s="140"/>
      <c r="CC191" s="140"/>
      <c r="CD191" s="140"/>
      <c r="CE191" s="140"/>
      <c r="CF191" s="140"/>
      <c r="CG191" s="140"/>
      <c r="CH191" s="140"/>
      <c r="CI191" s="140"/>
      <c r="CJ191" s="140"/>
      <c r="CK191" s="140"/>
      <c r="CL191" s="140"/>
      <c r="CM191" s="140"/>
      <c r="CN191" s="140"/>
      <c r="CO191" s="140"/>
      <c r="CP191" s="140"/>
      <c r="CQ191" s="140"/>
      <c r="CR191" s="140"/>
      <c r="CS191" s="140"/>
      <c r="CT191" s="140"/>
      <c r="CU191" s="140"/>
      <c r="CV191" s="140"/>
      <c r="CW191" s="140"/>
    </row>
    <row r="192" spans="1:101" x14ac:dyDescent="0.2">
      <c r="A192" s="29" t="str">
        <f t="shared" ca="1" si="2"/>
        <v>2025-10-02</v>
      </c>
      <c r="B192" s="140">
        <f ca="1">IF(ISNUMBER(MATCH(DATEVALUE($A192),'changes1_based on steps'!B$1:B$400,0)),B$2,)</f>
        <v>0</v>
      </c>
      <c r="C192" s="140">
        <f ca="1">IF(ISNUMBER(MATCH(DATEVALUE($A192),'changes1_based on steps'!C$1:C$400,0)),C$2,)</f>
        <v>0</v>
      </c>
      <c r="D192" s="140">
        <f ca="1">IF(ISNUMBER(MATCH(DATEVALUE($A192),'changes1_based on steps'!D$1:D$400,0)),D$2,)</f>
        <v>0</v>
      </c>
      <c r="E192" s="140">
        <f ca="1">IF(ISNUMBER(MATCH(DATEVALUE($A192),'changes1_based on steps'!E$1:E$400,0)),E$2,)</f>
        <v>0</v>
      </c>
      <c r="F192" s="140">
        <f ca="1">IF(ISNUMBER(MATCH(DATEVALUE($A192),'changes1_based on steps'!F$1:F$400,0)),F$2,)</f>
        <v>0</v>
      </c>
      <c r="G192" s="140">
        <f ca="1">IF(ISNUMBER(MATCH(DATEVALUE($A192),'changes1_based on steps'!G$1:G$400,0)),G$2,)</f>
        <v>0</v>
      </c>
      <c r="H192" s="140">
        <f ca="1">IF(ISNUMBER(MATCH(DATEVALUE($A192),'changes1_based on steps'!H$1:H$400,0)),H$2,)</f>
        <v>0</v>
      </c>
      <c r="I192" s="140">
        <f ca="1">IF(ISNUMBER(MATCH(DATEVALUE($A192),'changes1_based on steps'!I$1:I$400,0)),I$2,)</f>
        <v>0</v>
      </c>
      <c r="J192" s="140">
        <f ca="1">IF(ISNUMBER(MATCH(DATEVALUE($A192),'changes1_based on steps'!J$1:J$400,0)),J$2,)</f>
        <v>0</v>
      </c>
      <c r="K192" s="140">
        <f ca="1">IF(ISNUMBER(MATCH(DATEVALUE($A192),'changes1_based on steps'!K$1:K$400,0)),K$2,)</f>
        <v>0</v>
      </c>
      <c r="L192" s="140">
        <f ca="1">IF(ISNUMBER(MATCH(DATEVALUE($A192),'changes1_based on steps'!L$1:L$400,0)),L$2,)</f>
        <v>0</v>
      </c>
      <c r="M192" s="140">
        <f ca="1">IF(ISNUMBER(MATCH(DATEVALUE($A192),'changes1_based on steps'!M$1:M$400,0)),M$2,)</f>
        <v>0</v>
      </c>
      <c r="N192" s="140">
        <f ca="1">IF(ISNUMBER(MATCH(DATEVALUE($A192),'changes1_based on steps'!N$1:N$400,0)),N$2,)</f>
        <v>0</v>
      </c>
      <c r="O192" s="140">
        <f ca="1">IF(ISNUMBER(MATCH(DATEVALUE($A192),'changes1_based on steps'!O$1:O$400,0)),O$2,)</f>
        <v>0</v>
      </c>
      <c r="P192" s="140">
        <f ca="1">IF(ISNUMBER(MATCH(DATEVALUE($A192),'changes1_based on steps'!P$1:P$400,0)),P$2,)</f>
        <v>0</v>
      </c>
      <c r="Q192" s="140">
        <f ca="1">IF(ISNUMBER(MATCH(DATEVALUE($A192),'changes1_based on steps'!Q$1:Q$400,0)),Q$2,)</f>
        <v>0</v>
      </c>
      <c r="R192" s="140">
        <f ca="1">IF(ISNUMBER(MATCH(DATEVALUE($A192),'changes1_based on steps'!R$1:R$400,0)),R$2,)</f>
        <v>0</v>
      </c>
      <c r="S192" s="140">
        <f ca="1">IF(ISNUMBER(MATCH(DATEVALUE($A192),'changes1_based on steps'!S$1:S$400,0)),S$2,)</f>
        <v>0</v>
      </c>
      <c r="T192" s="140">
        <f ca="1">IF(ISNUMBER(MATCH(DATEVALUE($A192),'changes1_based on steps'!T$1:T$400,0)),T$2,)</f>
        <v>0</v>
      </c>
      <c r="U192" s="140">
        <f ca="1">IF(ISNUMBER(MATCH(DATEVALUE($A192),'changes1_based on steps'!U$1:U$400,0)),U$2,)</f>
        <v>0</v>
      </c>
      <c r="V192" s="140"/>
      <c r="W192" s="140"/>
      <c r="X192" s="140"/>
      <c r="Y192" s="140"/>
      <c r="Z192" s="140"/>
      <c r="AA192" s="140"/>
      <c r="AB192" s="140"/>
      <c r="AC192" s="140"/>
      <c r="AD192" s="140"/>
      <c r="AE192" s="140"/>
      <c r="AF192" s="140"/>
      <c r="AG192" s="140"/>
      <c r="AH192" s="140"/>
      <c r="AI192" s="140"/>
      <c r="AJ192" s="140"/>
      <c r="AK192" s="140"/>
      <c r="AL192" s="140"/>
      <c r="AM192" s="140"/>
      <c r="AN192" s="140"/>
      <c r="AO192" s="140"/>
      <c r="AP192" s="140"/>
      <c r="AQ192" s="140"/>
      <c r="AR192" s="140"/>
      <c r="AS192" s="140"/>
      <c r="AT192" s="140"/>
      <c r="AU192" s="140"/>
      <c r="AV192" s="140"/>
      <c r="AW192" s="140"/>
      <c r="AX192" s="140"/>
      <c r="AY192" s="140"/>
      <c r="AZ192" s="140"/>
      <c r="BA192" s="140"/>
      <c r="BB192" s="140"/>
      <c r="BC192" s="140"/>
      <c r="BD192" s="140"/>
      <c r="BE192" s="140"/>
      <c r="BF192" s="140"/>
      <c r="BG192" s="140"/>
      <c r="BH192" s="140"/>
      <c r="BI192" s="140"/>
      <c r="BJ192" s="140"/>
      <c r="BK192" s="140"/>
      <c r="BL192" s="140"/>
      <c r="BM192" s="140"/>
      <c r="BN192" s="140"/>
      <c r="BO192" s="140"/>
      <c r="BP192" s="140"/>
      <c r="BQ192" s="140"/>
      <c r="BR192" s="140"/>
      <c r="BS192" s="140"/>
      <c r="BT192" s="140"/>
      <c r="BU192" s="140"/>
      <c r="BV192" s="140"/>
      <c r="BW192" s="140"/>
      <c r="BX192" s="140"/>
      <c r="BY192" s="140"/>
      <c r="BZ192" s="140"/>
      <c r="CA192" s="140"/>
      <c r="CB192" s="140"/>
      <c r="CC192" s="140"/>
      <c r="CD192" s="140"/>
      <c r="CE192" s="140"/>
      <c r="CF192" s="140"/>
      <c r="CG192" s="140"/>
      <c r="CH192" s="140"/>
      <c r="CI192" s="140"/>
      <c r="CJ192" s="140"/>
      <c r="CK192" s="140"/>
      <c r="CL192" s="140"/>
      <c r="CM192" s="140"/>
      <c r="CN192" s="140"/>
      <c r="CO192" s="140"/>
      <c r="CP192" s="140"/>
      <c r="CQ192" s="140"/>
      <c r="CR192" s="140"/>
      <c r="CS192" s="140"/>
      <c r="CT192" s="140"/>
      <c r="CU192" s="140"/>
      <c r="CV192" s="140"/>
      <c r="CW192" s="140"/>
    </row>
    <row r="193" spans="1:101" x14ac:dyDescent="0.2">
      <c r="A193" s="29" t="str">
        <f t="shared" ca="1" si="2"/>
        <v>2025-10-03</v>
      </c>
      <c r="B193" s="140">
        <f ca="1">IF(ISNUMBER(MATCH(DATEVALUE($A193),'changes1_based on steps'!B$1:B$400,0)),B$2,)</f>
        <v>0</v>
      </c>
      <c r="C193" s="140">
        <f ca="1">IF(ISNUMBER(MATCH(DATEVALUE($A193),'changes1_based on steps'!C$1:C$400,0)),C$2,)</f>
        <v>0</v>
      </c>
      <c r="D193" s="140">
        <f ca="1">IF(ISNUMBER(MATCH(DATEVALUE($A193),'changes1_based on steps'!D$1:D$400,0)),D$2,)</f>
        <v>0</v>
      </c>
      <c r="E193" s="140">
        <f ca="1">IF(ISNUMBER(MATCH(DATEVALUE($A193),'changes1_based on steps'!E$1:E$400,0)),E$2,)</f>
        <v>0</v>
      </c>
      <c r="F193" s="140">
        <f ca="1">IF(ISNUMBER(MATCH(DATEVALUE($A193),'changes1_based on steps'!F$1:F$400,0)),F$2,)</f>
        <v>0</v>
      </c>
      <c r="G193" s="140">
        <f ca="1">IF(ISNUMBER(MATCH(DATEVALUE($A193),'changes1_based on steps'!G$1:G$400,0)),G$2,)</f>
        <v>0</v>
      </c>
      <c r="H193" s="140">
        <f ca="1">IF(ISNUMBER(MATCH(DATEVALUE($A193),'changes1_based on steps'!H$1:H$400,0)),H$2,)</f>
        <v>0</v>
      </c>
      <c r="I193" s="140">
        <f ca="1">IF(ISNUMBER(MATCH(DATEVALUE($A193),'changes1_based on steps'!I$1:I$400,0)),I$2,)</f>
        <v>0</v>
      </c>
      <c r="J193" s="140">
        <f ca="1">IF(ISNUMBER(MATCH(DATEVALUE($A193),'changes1_based on steps'!J$1:J$400,0)),J$2,)</f>
        <v>0</v>
      </c>
      <c r="K193" s="140">
        <f ca="1">IF(ISNUMBER(MATCH(DATEVALUE($A193),'changes1_based on steps'!K$1:K$400,0)),K$2,)</f>
        <v>0</v>
      </c>
      <c r="L193" s="140">
        <f ca="1">IF(ISNUMBER(MATCH(DATEVALUE($A193),'changes1_based on steps'!L$1:L$400,0)),L$2,)</f>
        <v>0</v>
      </c>
      <c r="M193" s="140">
        <f ca="1">IF(ISNUMBER(MATCH(DATEVALUE($A193),'changes1_based on steps'!M$1:M$400,0)),M$2,)</f>
        <v>0</v>
      </c>
      <c r="N193" s="140">
        <f ca="1">IF(ISNUMBER(MATCH(DATEVALUE($A193),'changes1_based on steps'!N$1:N$400,0)),N$2,)</f>
        <v>0</v>
      </c>
      <c r="O193" s="140">
        <f ca="1">IF(ISNUMBER(MATCH(DATEVALUE($A193),'changes1_based on steps'!O$1:O$400,0)),O$2,)</f>
        <v>0</v>
      </c>
      <c r="P193" s="140">
        <f ca="1">IF(ISNUMBER(MATCH(DATEVALUE($A193),'changes1_based on steps'!P$1:P$400,0)),P$2,)</f>
        <v>0</v>
      </c>
      <c r="Q193" s="140">
        <f ca="1">IF(ISNUMBER(MATCH(DATEVALUE($A193),'changes1_based on steps'!Q$1:Q$400,0)),Q$2,)</f>
        <v>0</v>
      </c>
      <c r="R193" s="140">
        <f ca="1">IF(ISNUMBER(MATCH(DATEVALUE($A193),'changes1_based on steps'!R$1:R$400,0)),R$2,)</f>
        <v>0</v>
      </c>
      <c r="S193" s="140">
        <f ca="1">IF(ISNUMBER(MATCH(DATEVALUE($A193),'changes1_based on steps'!S$1:S$400,0)),S$2,)</f>
        <v>0</v>
      </c>
      <c r="T193" s="140">
        <f ca="1">IF(ISNUMBER(MATCH(DATEVALUE($A193),'changes1_based on steps'!T$1:T$400,0)),T$2,)</f>
        <v>0</v>
      </c>
      <c r="U193" s="140">
        <f ca="1">IF(ISNUMBER(MATCH(DATEVALUE($A193),'changes1_based on steps'!U$1:U$400,0)),U$2,)</f>
        <v>0</v>
      </c>
      <c r="V193" s="140"/>
      <c r="W193" s="140"/>
      <c r="X193" s="140"/>
      <c r="Y193" s="140"/>
      <c r="Z193" s="140"/>
      <c r="AA193" s="140"/>
      <c r="AB193" s="140"/>
      <c r="AC193" s="140"/>
      <c r="AD193" s="140"/>
      <c r="AE193" s="140"/>
      <c r="AF193" s="140"/>
      <c r="AG193" s="140"/>
      <c r="AH193" s="140"/>
      <c r="AI193" s="140"/>
      <c r="AJ193" s="140"/>
      <c r="AK193" s="140"/>
      <c r="AL193" s="140"/>
      <c r="AM193" s="140"/>
      <c r="AN193" s="140"/>
      <c r="AO193" s="140"/>
      <c r="AP193" s="140"/>
      <c r="AQ193" s="140"/>
      <c r="AR193" s="140"/>
      <c r="AS193" s="140"/>
      <c r="AT193" s="140"/>
      <c r="AU193" s="140"/>
      <c r="AV193" s="140"/>
      <c r="AW193" s="140"/>
      <c r="AX193" s="140"/>
      <c r="AY193" s="140"/>
      <c r="AZ193" s="140"/>
      <c r="BA193" s="140"/>
      <c r="BB193" s="140"/>
      <c r="BC193" s="140"/>
      <c r="BD193" s="140"/>
      <c r="BE193" s="140"/>
      <c r="BF193" s="140"/>
      <c r="BG193" s="140"/>
      <c r="BH193" s="140"/>
      <c r="BI193" s="140"/>
      <c r="BJ193" s="140"/>
      <c r="BK193" s="140"/>
      <c r="BL193" s="140"/>
      <c r="BM193" s="140"/>
      <c r="BN193" s="140"/>
      <c r="BO193" s="140"/>
      <c r="BP193" s="140"/>
      <c r="BQ193" s="140"/>
      <c r="BR193" s="140"/>
      <c r="BS193" s="140"/>
      <c r="BT193" s="140"/>
      <c r="BU193" s="140"/>
      <c r="BV193" s="140"/>
      <c r="BW193" s="140"/>
      <c r="BX193" s="140"/>
      <c r="BY193" s="140"/>
      <c r="BZ193" s="140"/>
      <c r="CA193" s="140"/>
      <c r="CB193" s="140"/>
      <c r="CC193" s="140"/>
      <c r="CD193" s="140"/>
      <c r="CE193" s="140"/>
      <c r="CF193" s="140"/>
      <c r="CG193" s="140"/>
      <c r="CH193" s="140"/>
      <c r="CI193" s="140"/>
      <c r="CJ193" s="140"/>
      <c r="CK193" s="140"/>
      <c r="CL193" s="140"/>
      <c r="CM193" s="140"/>
      <c r="CN193" s="140"/>
      <c r="CO193" s="140"/>
      <c r="CP193" s="140"/>
      <c r="CQ193" s="140"/>
      <c r="CR193" s="140"/>
      <c r="CS193" s="140"/>
      <c r="CT193" s="140"/>
      <c r="CU193" s="140"/>
      <c r="CV193" s="140"/>
      <c r="CW193" s="140"/>
    </row>
    <row r="194" spans="1:101" x14ac:dyDescent="0.2">
      <c r="A194" s="29" t="str">
        <f t="shared" ca="1" si="2"/>
        <v>2025-10-04</v>
      </c>
      <c r="B194" s="140">
        <f ca="1">IF(ISNUMBER(MATCH(DATEVALUE($A194),'changes1_based on steps'!B$1:B$400,0)),B$2,)</f>
        <v>0</v>
      </c>
      <c r="C194" s="140">
        <f ca="1">IF(ISNUMBER(MATCH(DATEVALUE($A194),'changes1_based on steps'!C$1:C$400,0)),C$2,)</f>
        <v>0</v>
      </c>
      <c r="D194" s="140">
        <f ca="1">IF(ISNUMBER(MATCH(DATEVALUE($A194),'changes1_based on steps'!D$1:D$400,0)),D$2,)</f>
        <v>0</v>
      </c>
      <c r="E194" s="140">
        <f ca="1">IF(ISNUMBER(MATCH(DATEVALUE($A194),'changes1_based on steps'!E$1:E$400,0)),E$2,)</f>
        <v>0</v>
      </c>
      <c r="F194" s="140">
        <f ca="1">IF(ISNUMBER(MATCH(DATEVALUE($A194),'changes1_based on steps'!F$1:F$400,0)),F$2,)</f>
        <v>0</v>
      </c>
      <c r="G194" s="140">
        <f ca="1">IF(ISNUMBER(MATCH(DATEVALUE($A194),'changes1_based on steps'!G$1:G$400,0)),G$2,)</f>
        <v>0</v>
      </c>
      <c r="H194" s="140">
        <f ca="1">IF(ISNUMBER(MATCH(DATEVALUE($A194),'changes1_based on steps'!H$1:H$400,0)),H$2,)</f>
        <v>0</v>
      </c>
      <c r="I194" s="140">
        <f ca="1">IF(ISNUMBER(MATCH(DATEVALUE($A194),'changes1_based on steps'!I$1:I$400,0)),I$2,)</f>
        <v>0</v>
      </c>
      <c r="J194" s="140">
        <f ca="1">IF(ISNUMBER(MATCH(DATEVALUE($A194),'changes1_based on steps'!J$1:J$400,0)),J$2,)</f>
        <v>0</v>
      </c>
      <c r="K194" s="140">
        <f ca="1">IF(ISNUMBER(MATCH(DATEVALUE($A194),'changes1_based on steps'!K$1:K$400,0)),K$2,)</f>
        <v>0</v>
      </c>
      <c r="L194" s="140">
        <f ca="1">IF(ISNUMBER(MATCH(DATEVALUE($A194),'changes1_based on steps'!L$1:L$400,0)),L$2,)</f>
        <v>0</v>
      </c>
      <c r="M194" s="140">
        <f ca="1">IF(ISNUMBER(MATCH(DATEVALUE($A194),'changes1_based on steps'!M$1:M$400,0)),M$2,)</f>
        <v>0</v>
      </c>
      <c r="N194" s="140">
        <f ca="1">IF(ISNUMBER(MATCH(DATEVALUE($A194),'changes1_based on steps'!N$1:N$400,0)),N$2,)</f>
        <v>0</v>
      </c>
      <c r="O194" s="140">
        <f ca="1">IF(ISNUMBER(MATCH(DATEVALUE($A194),'changes1_based on steps'!O$1:O$400,0)),O$2,)</f>
        <v>0</v>
      </c>
      <c r="P194" s="140">
        <f ca="1">IF(ISNUMBER(MATCH(DATEVALUE($A194),'changes1_based on steps'!P$1:P$400,0)),P$2,)</f>
        <v>0</v>
      </c>
      <c r="Q194" s="140">
        <f ca="1">IF(ISNUMBER(MATCH(DATEVALUE($A194),'changes1_based on steps'!Q$1:Q$400,0)),Q$2,)</f>
        <v>0</v>
      </c>
      <c r="R194" s="140">
        <f ca="1">IF(ISNUMBER(MATCH(DATEVALUE($A194),'changes1_based on steps'!R$1:R$400,0)),R$2,)</f>
        <v>0</v>
      </c>
      <c r="S194" s="140">
        <f ca="1">IF(ISNUMBER(MATCH(DATEVALUE($A194),'changes1_based on steps'!S$1:S$400,0)),S$2,)</f>
        <v>0</v>
      </c>
      <c r="T194" s="140">
        <f ca="1">IF(ISNUMBER(MATCH(DATEVALUE($A194),'changes1_based on steps'!T$1:T$400,0)),T$2,)</f>
        <v>0</v>
      </c>
      <c r="U194" s="140">
        <f ca="1">IF(ISNUMBER(MATCH(DATEVALUE($A194),'changes1_based on steps'!U$1:U$400,0)),U$2,)</f>
        <v>0</v>
      </c>
      <c r="V194" s="140"/>
      <c r="W194" s="140"/>
      <c r="X194" s="140"/>
      <c r="Y194" s="140"/>
      <c r="Z194" s="140"/>
      <c r="AA194" s="140"/>
      <c r="AB194" s="140"/>
      <c r="AC194" s="140"/>
      <c r="AD194" s="140"/>
      <c r="AE194" s="140"/>
      <c r="AF194" s="140"/>
      <c r="AG194" s="140"/>
      <c r="AH194" s="140"/>
      <c r="AI194" s="140"/>
      <c r="AJ194" s="140"/>
      <c r="AK194" s="140"/>
      <c r="AL194" s="140"/>
      <c r="AM194" s="140"/>
      <c r="AN194" s="140"/>
      <c r="AO194" s="140"/>
      <c r="AP194" s="140"/>
      <c r="AQ194" s="140"/>
      <c r="AR194" s="140"/>
      <c r="AS194" s="140"/>
      <c r="AT194" s="140"/>
      <c r="AU194" s="140"/>
      <c r="AV194" s="140"/>
      <c r="AW194" s="140"/>
      <c r="AX194" s="140"/>
      <c r="AY194" s="140"/>
      <c r="AZ194" s="140"/>
      <c r="BA194" s="140"/>
      <c r="BB194" s="140"/>
      <c r="BC194" s="140"/>
      <c r="BD194" s="140"/>
      <c r="BE194" s="140"/>
      <c r="BF194" s="140"/>
      <c r="BG194" s="140"/>
      <c r="BH194" s="140"/>
      <c r="BI194" s="140"/>
      <c r="BJ194" s="140"/>
      <c r="BK194" s="140"/>
      <c r="BL194" s="140"/>
      <c r="BM194" s="140"/>
      <c r="BN194" s="140"/>
      <c r="BO194" s="140"/>
      <c r="BP194" s="140"/>
      <c r="BQ194" s="140"/>
      <c r="BR194" s="140"/>
      <c r="BS194" s="140"/>
      <c r="BT194" s="140"/>
      <c r="BU194" s="140"/>
      <c r="BV194" s="140"/>
      <c r="BW194" s="140"/>
      <c r="BX194" s="140"/>
      <c r="BY194" s="140"/>
      <c r="BZ194" s="140"/>
      <c r="CA194" s="140"/>
      <c r="CB194" s="140"/>
      <c r="CC194" s="140"/>
      <c r="CD194" s="140"/>
      <c r="CE194" s="140"/>
      <c r="CF194" s="140"/>
      <c r="CG194" s="140"/>
      <c r="CH194" s="140"/>
      <c r="CI194" s="140"/>
      <c r="CJ194" s="140"/>
      <c r="CK194" s="140"/>
      <c r="CL194" s="140"/>
      <c r="CM194" s="140"/>
      <c r="CN194" s="140"/>
      <c r="CO194" s="140"/>
      <c r="CP194" s="140"/>
      <c r="CQ194" s="140"/>
      <c r="CR194" s="140"/>
      <c r="CS194" s="140"/>
      <c r="CT194" s="140"/>
      <c r="CU194" s="140"/>
      <c r="CV194" s="140"/>
      <c r="CW194" s="140"/>
    </row>
    <row r="195" spans="1:101" x14ac:dyDescent="0.2">
      <c r="A195" s="29" t="str">
        <f t="shared" ca="1" si="2"/>
        <v>2025-10-05</v>
      </c>
      <c r="B195" s="140">
        <f ca="1">IF(ISNUMBER(MATCH(DATEVALUE($A195),'changes1_based on steps'!B$1:B$400,0)),B$2,)</f>
        <v>0</v>
      </c>
      <c r="C195" s="140">
        <f ca="1">IF(ISNUMBER(MATCH(DATEVALUE($A195),'changes1_based on steps'!C$1:C$400,0)),C$2,)</f>
        <v>0</v>
      </c>
      <c r="D195" s="140">
        <f ca="1">IF(ISNUMBER(MATCH(DATEVALUE($A195),'changes1_based on steps'!D$1:D$400,0)),D$2,)</f>
        <v>0</v>
      </c>
      <c r="E195" s="140">
        <f ca="1">IF(ISNUMBER(MATCH(DATEVALUE($A195),'changes1_based on steps'!E$1:E$400,0)),E$2,)</f>
        <v>0</v>
      </c>
      <c r="F195" s="140">
        <f ca="1">IF(ISNUMBER(MATCH(DATEVALUE($A195),'changes1_based on steps'!F$1:F$400,0)),F$2,)</f>
        <v>0</v>
      </c>
      <c r="G195" s="140">
        <f ca="1">IF(ISNUMBER(MATCH(DATEVALUE($A195),'changes1_based on steps'!G$1:G$400,0)),G$2,)</f>
        <v>0</v>
      </c>
      <c r="H195" s="140">
        <f ca="1">IF(ISNUMBER(MATCH(DATEVALUE($A195),'changes1_based on steps'!H$1:H$400,0)),H$2,)</f>
        <v>0</v>
      </c>
      <c r="I195" s="140">
        <f ca="1">IF(ISNUMBER(MATCH(DATEVALUE($A195),'changes1_based on steps'!I$1:I$400,0)),I$2,)</f>
        <v>0</v>
      </c>
      <c r="J195" s="140">
        <f ca="1">IF(ISNUMBER(MATCH(DATEVALUE($A195),'changes1_based on steps'!J$1:J$400,0)),J$2,)</f>
        <v>0</v>
      </c>
      <c r="K195" s="140">
        <f ca="1">IF(ISNUMBER(MATCH(DATEVALUE($A195),'changes1_based on steps'!K$1:K$400,0)),K$2,)</f>
        <v>0</v>
      </c>
      <c r="L195" s="140">
        <f ca="1">IF(ISNUMBER(MATCH(DATEVALUE($A195),'changes1_based on steps'!L$1:L$400,0)),L$2,)</f>
        <v>0</v>
      </c>
      <c r="M195" s="140">
        <f ca="1">IF(ISNUMBER(MATCH(DATEVALUE($A195),'changes1_based on steps'!M$1:M$400,0)),M$2,)</f>
        <v>0</v>
      </c>
      <c r="N195" s="140">
        <f ca="1">IF(ISNUMBER(MATCH(DATEVALUE($A195),'changes1_based on steps'!N$1:N$400,0)),N$2,)</f>
        <v>0</v>
      </c>
      <c r="O195" s="140">
        <f ca="1">IF(ISNUMBER(MATCH(DATEVALUE($A195),'changes1_based on steps'!O$1:O$400,0)),O$2,)</f>
        <v>0</v>
      </c>
      <c r="P195" s="140">
        <f ca="1">IF(ISNUMBER(MATCH(DATEVALUE($A195),'changes1_based on steps'!P$1:P$400,0)),P$2,)</f>
        <v>0</v>
      </c>
      <c r="Q195" s="140">
        <f ca="1">IF(ISNUMBER(MATCH(DATEVALUE($A195),'changes1_based on steps'!Q$1:Q$400,0)),Q$2,)</f>
        <v>0</v>
      </c>
      <c r="R195" s="140">
        <f ca="1">IF(ISNUMBER(MATCH(DATEVALUE($A195),'changes1_based on steps'!R$1:R$400,0)),R$2,)</f>
        <v>0</v>
      </c>
      <c r="S195" s="140">
        <f ca="1">IF(ISNUMBER(MATCH(DATEVALUE($A195),'changes1_based on steps'!S$1:S$400,0)),S$2,)</f>
        <v>0</v>
      </c>
      <c r="T195" s="140">
        <f ca="1">IF(ISNUMBER(MATCH(DATEVALUE($A195),'changes1_based on steps'!T$1:T$400,0)),T$2,)</f>
        <v>0</v>
      </c>
      <c r="U195" s="140">
        <f ca="1">IF(ISNUMBER(MATCH(DATEVALUE($A195),'changes1_based on steps'!U$1:U$400,0)),U$2,)</f>
        <v>0</v>
      </c>
      <c r="V195" s="140"/>
      <c r="W195" s="140"/>
      <c r="X195" s="140"/>
      <c r="Y195" s="140"/>
      <c r="Z195" s="140"/>
      <c r="AA195" s="140"/>
      <c r="AB195" s="140"/>
      <c r="AC195" s="140"/>
      <c r="AD195" s="140"/>
      <c r="AE195" s="140"/>
      <c r="AF195" s="140"/>
      <c r="AG195" s="140"/>
      <c r="AH195" s="140"/>
      <c r="AI195" s="140"/>
      <c r="AJ195" s="140"/>
      <c r="AK195" s="140"/>
      <c r="AL195" s="140"/>
      <c r="AM195" s="140"/>
      <c r="AN195" s="140"/>
      <c r="AO195" s="140"/>
      <c r="AP195" s="140"/>
      <c r="AQ195" s="140"/>
      <c r="AR195" s="140"/>
      <c r="AS195" s="140"/>
      <c r="AT195" s="140"/>
      <c r="AU195" s="140"/>
      <c r="AV195" s="140"/>
      <c r="AW195" s="140"/>
      <c r="AX195" s="140"/>
      <c r="AY195" s="140"/>
      <c r="AZ195" s="140"/>
      <c r="BA195" s="140"/>
      <c r="BB195" s="140"/>
      <c r="BC195" s="140"/>
      <c r="BD195" s="140"/>
      <c r="BE195" s="140"/>
      <c r="BF195" s="140"/>
      <c r="BG195" s="140"/>
      <c r="BH195" s="140"/>
      <c r="BI195" s="140"/>
      <c r="BJ195" s="140"/>
      <c r="BK195" s="140"/>
      <c r="BL195" s="140"/>
      <c r="BM195" s="140"/>
      <c r="BN195" s="140"/>
      <c r="BO195" s="140"/>
      <c r="BP195" s="140"/>
      <c r="BQ195" s="140"/>
      <c r="BR195" s="140"/>
      <c r="BS195" s="140"/>
      <c r="BT195" s="140"/>
      <c r="BU195" s="140"/>
      <c r="BV195" s="140"/>
      <c r="BW195" s="140"/>
      <c r="BX195" s="140"/>
      <c r="BY195" s="140"/>
      <c r="BZ195" s="140"/>
      <c r="CA195" s="140"/>
      <c r="CB195" s="140"/>
      <c r="CC195" s="140"/>
      <c r="CD195" s="140"/>
      <c r="CE195" s="140"/>
      <c r="CF195" s="140"/>
      <c r="CG195" s="140"/>
      <c r="CH195" s="140"/>
      <c r="CI195" s="140"/>
      <c r="CJ195" s="140"/>
      <c r="CK195" s="140"/>
      <c r="CL195" s="140"/>
      <c r="CM195" s="140"/>
      <c r="CN195" s="140"/>
      <c r="CO195" s="140"/>
      <c r="CP195" s="140"/>
      <c r="CQ195" s="140"/>
      <c r="CR195" s="140"/>
      <c r="CS195" s="140"/>
      <c r="CT195" s="140"/>
      <c r="CU195" s="140"/>
      <c r="CV195" s="140"/>
      <c r="CW195" s="140"/>
    </row>
    <row r="196" spans="1:101" x14ac:dyDescent="0.2">
      <c r="A196" s="29" t="str">
        <f t="shared" ca="1" si="2"/>
        <v>2025-10-06</v>
      </c>
      <c r="B196" s="140">
        <f ca="1">IF(ISNUMBER(MATCH(DATEVALUE($A196),'changes1_based on steps'!B$1:B$400,0)),B$2,)</f>
        <v>0</v>
      </c>
      <c r="C196" s="140">
        <f ca="1">IF(ISNUMBER(MATCH(DATEVALUE($A196),'changes1_based on steps'!C$1:C$400,0)),C$2,)</f>
        <v>0</v>
      </c>
      <c r="D196" s="140">
        <f ca="1">IF(ISNUMBER(MATCH(DATEVALUE($A196),'changes1_based on steps'!D$1:D$400,0)),D$2,)</f>
        <v>0</v>
      </c>
      <c r="E196" s="140">
        <f ca="1">IF(ISNUMBER(MATCH(DATEVALUE($A196),'changes1_based on steps'!E$1:E$400,0)),E$2,)</f>
        <v>0</v>
      </c>
      <c r="F196" s="140">
        <f ca="1">IF(ISNUMBER(MATCH(DATEVALUE($A196),'changes1_based on steps'!F$1:F$400,0)),F$2,)</f>
        <v>0</v>
      </c>
      <c r="G196" s="140">
        <f ca="1">IF(ISNUMBER(MATCH(DATEVALUE($A196),'changes1_based on steps'!G$1:G$400,0)),G$2,)</f>
        <v>0</v>
      </c>
      <c r="H196" s="140">
        <f ca="1">IF(ISNUMBER(MATCH(DATEVALUE($A196),'changes1_based on steps'!H$1:H$400,0)),H$2,)</f>
        <v>0</v>
      </c>
      <c r="I196" s="140">
        <f ca="1">IF(ISNUMBER(MATCH(DATEVALUE($A196),'changes1_based on steps'!I$1:I$400,0)),I$2,)</f>
        <v>0</v>
      </c>
      <c r="J196" s="140">
        <f ca="1">IF(ISNUMBER(MATCH(DATEVALUE($A196),'changes1_based on steps'!J$1:J$400,0)),J$2,)</f>
        <v>0</v>
      </c>
      <c r="K196" s="140">
        <f ca="1">IF(ISNUMBER(MATCH(DATEVALUE($A196),'changes1_based on steps'!K$1:K$400,0)),K$2,)</f>
        <v>0</v>
      </c>
      <c r="L196" s="140">
        <f ca="1">IF(ISNUMBER(MATCH(DATEVALUE($A196),'changes1_based on steps'!L$1:L$400,0)),L$2,)</f>
        <v>0</v>
      </c>
      <c r="M196" s="140">
        <f ca="1">IF(ISNUMBER(MATCH(DATEVALUE($A196),'changes1_based on steps'!M$1:M$400,0)),M$2,)</f>
        <v>0</v>
      </c>
      <c r="N196" s="140">
        <f ca="1">IF(ISNUMBER(MATCH(DATEVALUE($A196),'changes1_based on steps'!N$1:N$400,0)),N$2,)</f>
        <v>0</v>
      </c>
      <c r="O196" s="140">
        <f ca="1">IF(ISNUMBER(MATCH(DATEVALUE($A196),'changes1_based on steps'!O$1:O$400,0)),O$2,)</f>
        <v>0</v>
      </c>
      <c r="P196" s="140">
        <f ca="1">IF(ISNUMBER(MATCH(DATEVALUE($A196),'changes1_based on steps'!P$1:P$400,0)),P$2,)</f>
        <v>0</v>
      </c>
      <c r="Q196" s="140">
        <f ca="1">IF(ISNUMBER(MATCH(DATEVALUE($A196),'changes1_based on steps'!Q$1:Q$400,0)),Q$2,)</f>
        <v>0</v>
      </c>
      <c r="R196" s="140">
        <f ca="1">IF(ISNUMBER(MATCH(DATEVALUE($A196),'changes1_based on steps'!R$1:R$400,0)),R$2,)</f>
        <v>0</v>
      </c>
      <c r="S196" s="140">
        <f ca="1">IF(ISNUMBER(MATCH(DATEVALUE($A196),'changes1_based on steps'!S$1:S$400,0)),S$2,)</f>
        <v>0</v>
      </c>
      <c r="T196" s="140">
        <f ca="1">IF(ISNUMBER(MATCH(DATEVALUE($A196),'changes1_based on steps'!T$1:T$400,0)),T$2,)</f>
        <v>0</v>
      </c>
      <c r="U196" s="140">
        <f ca="1">IF(ISNUMBER(MATCH(DATEVALUE($A196),'changes1_based on steps'!U$1:U$400,0)),U$2,)</f>
        <v>0</v>
      </c>
      <c r="V196" s="140"/>
      <c r="W196" s="140"/>
      <c r="X196" s="140"/>
      <c r="Y196" s="140"/>
      <c r="Z196" s="140"/>
      <c r="AA196" s="140"/>
      <c r="AB196" s="140"/>
      <c r="AC196" s="140"/>
      <c r="AD196" s="140"/>
      <c r="AE196" s="140"/>
      <c r="AF196" s="140"/>
      <c r="AG196" s="140"/>
      <c r="AH196" s="140"/>
      <c r="AI196" s="140"/>
      <c r="AJ196" s="140"/>
      <c r="AK196" s="140"/>
      <c r="AL196" s="140"/>
      <c r="AM196" s="140"/>
      <c r="AN196" s="140"/>
      <c r="AO196" s="140"/>
      <c r="AP196" s="140"/>
      <c r="AQ196" s="140"/>
      <c r="AR196" s="140"/>
      <c r="AS196" s="140"/>
      <c r="AT196" s="140"/>
      <c r="AU196" s="140"/>
      <c r="AV196" s="140"/>
      <c r="AW196" s="140"/>
      <c r="AX196" s="140"/>
      <c r="AY196" s="140"/>
      <c r="AZ196" s="140"/>
      <c r="BA196" s="140"/>
      <c r="BB196" s="140"/>
      <c r="BC196" s="140"/>
      <c r="BD196" s="140"/>
      <c r="BE196" s="140"/>
      <c r="BF196" s="140"/>
      <c r="BG196" s="140"/>
      <c r="BH196" s="140"/>
      <c r="BI196" s="140"/>
      <c r="BJ196" s="140"/>
      <c r="BK196" s="140"/>
      <c r="BL196" s="140"/>
      <c r="BM196" s="140"/>
      <c r="BN196" s="140"/>
      <c r="BO196" s="140"/>
      <c r="BP196" s="140"/>
      <c r="BQ196" s="140"/>
      <c r="BR196" s="140"/>
      <c r="BS196" s="140"/>
      <c r="BT196" s="140"/>
      <c r="BU196" s="140"/>
      <c r="BV196" s="140"/>
      <c r="BW196" s="140"/>
      <c r="BX196" s="140"/>
      <c r="BY196" s="140"/>
      <c r="BZ196" s="140"/>
      <c r="CA196" s="140"/>
      <c r="CB196" s="140"/>
      <c r="CC196" s="140"/>
      <c r="CD196" s="140"/>
      <c r="CE196" s="140"/>
      <c r="CF196" s="140"/>
      <c r="CG196" s="140"/>
      <c r="CH196" s="140"/>
      <c r="CI196" s="140"/>
      <c r="CJ196" s="140"/>
      <c r="CK196" s="140"/>
      <c r="CL196" s="140"/>
      <c r="CM196" s="140"/>
      <c r="CN196" s="140"/>
      <c r="CO196" s="140"/>
      <c r="CP196" s="140"/>
      <c r="CQ196" s="140"/>
      <c r="CR196" s="140"/>
      <c r="CS196" s="140"/>
      <c r="CT196" s="140"/>
      <c r="CU196" s="140"/>
      <c r="CV196" s="140"/>
      <c r="CW196" s="140"/>
    </row>
    <row r="197" spans="1:101" x14ac:dyDescent="0.2">
      <c r="A197" s="29" t="str">
        <f t="shared" ref="A197:A260" ca="1" si="3">TEXT(DATEVALUE(A196)+1,"yyyy-mm-dd")</f>
        <v>2025-10-07</v>
      </c>
      <c r="B197" s="140">
        <f ca="1">IF(ISNUMBER(MATCH(DATEVALUE($A197),'changes1_based on steps'!B$1:B$400,0)),B$2,)</f>
        <v>0</v>
      </c>
      <c r="C197" s="140">
        <f ca="1">IF(ISNUMBER(MATCH(DATEVALUE($A197),'changes1_based on steps'!C$1:C$400,0)),C$2,)</f>
        <v>0</v>
      </c>
      <c r="D197" s="140">
        <f ca="1">IF(ISNUMBER(MATCH(DATEVALUE($A197),'changes1_based on steps'!D$1:D$400,0)),D$2,)</f>
        <v>0</v>
      </c>
      <c r="E197" s="140">
        <f ca="1">IF(ISNUMBER(MATCH(DATEVALUE($A197),'changes1_based on steps'!E$1:E$400,0)),E$2,)</f>
        <v>0</v>
      </c>
      <c r="F197" s="140">
        <f ca="1">IF(ISNUMBER(MATCH(DATEVALUE($A197),'changes1_based on steps'!F$1:F$400,0)),F$2,)</f>
        <v>0</v>
      </c>
      <c r="G197" s="140">
        <f ca="1">IF(ISNUMBER(MATCH(DATEVALUE($A197),'changes1_based on steps'!G$1:G$400,0)),G$2,)</f>
        <v>0</v>
      </c>
      <c r="H197" s="140">
        <f ca="1">IF(ISNUMBER(MATCH(DATEVALUE($A197),'changes1_based on steps'!H$1:H$400,0)),H$2,)</f>
        <v>0</v>
      </c>
      <c r="I197" s="140">
        <f ca="1">IF(ISNUMBER(MATCH(DATEVALUE($A197),'changes1_based on steps'!I$1:I$400,0)),I$2,)</f>
        <v>0</v>
      </c>
      <c r="J197" s="140">
        <f ca="1">IF(ISNUMBER(MATCH(DATEVALUE($A197),'changes1_based on steps'!J$1:J$400,0)),J$2,)</f>
        <v>0</v>
      </c>
      <c r="K197" s="140">
        <f ca="1">IF(ISNUMBER(MATCH(DATEVALUE($A197),'changes1_based on steps'!K$1:K$400,0)),K$2,)</f>
        <v>0</v>
      </c>
      <c r="L197" s="140">
        <f ca="1">IF(ISNUMBER(MATCH(DATEVALUE($A197),'changes1_based on steps'!L$1:L$400,0)),L$2,)</f>
        <v>0</v>
      </c>
      <c r="M197" s="140">
        <f ca="1">IF(ISNUMBER(MATCH(DATEVALUE($A197),'changes1_based on steps'!M$1:M$400,0)),M$2,)</f>
        <v>0</v>
      </c>
      <c r="N197" s="140">
        <f ca="1">IF(ISNUMBER(MATCH(DATEVALUE($A197),'changes1_based on steps'!N$1:N$400,0)),N$2,)</f>
        <v>0</v>
      </c>
      <c r="O197" s="140">
        <f ca="1">IF(ISNUMBER(MATCH(DATEVALUE($A197),'changes1_based on steps'!O$1:O$400,0)),O$2,)</f>
        <v>0</v>
      </c>
      <c r="P197" s="140">
        <f ca="1">IF(ISNUMBER(MATCH(DATEVALUE($A197),'changes1_based on steps'!P$1:P$400,0)),P$2,)</f>
        <v>0</v>
      </c>
      <c r="Q197" s="140">
        <f ca="1">IF(ISNUMBER(MATCH(DATEVALUE($A197),'changes1_based on steps'!Q$1:Q$400,0)),Q$2,)</f>
        <v>0</v>
      </c>
      <c r="R197" s="140">
        <f ca="1">IF(ISNUMBER(MATCH(DATEVALUE($A197),'changes1_based on steps'!R$1:R$400,0)),R$2,)</f>
        <v>0</v>
      </c>
      <c r="S197" s="140">
        <f ca="1">IF(ISNUMBER(MATCH(DATEVALUE($A197),'changes1_based on steps'!S$1:S$400,0)),S$2,)</f>
        <v>0</v>
      </c>
      <c r="T197" s="140">
        <f ca="1">IF(ISNUMBER(MATCH(DATEVALUE($A197),'changes1_based on steps'!T$1:T$400,0)),T$2,)</f>
        <v>0</v>
      </c>
      <c r="U197" s="140">
        <f ca="1">IF(ISNUMBER(MATCH(DATEVALUE($A197),'changes1_based on steps'!U$1:U$400,0)),U$2,)</f>
        <v>0</v>
      </c>
      <c r="V197" s="140"/>
      <c r="W197" s="140"/>
      <c r="X197" s="140"/>
      <c r="Y197" s="140"/>
      <c r="Z197" s="140"/>
      <c r="AA197" s="140"/>
      <c r="AB197" s="140"/>
      <c r="AC197" s="140"/>
      <c r="AD197" s="140"/>
      <c r="AE197" s="140"/>
      <c r="AF197" s="140"/>
      <c r="AG197" s="140"/>
      <c r="AH197" s="140"/>
      <c r="AI197" s="140"/>
      <c r="AJ197" s="140"/>
      <c r="AK197" s="140"/>
      <c r="AL197" s="140"/>
      <c r="AM197" s="140"/>
      <c r="AN197" s="140"/>
      <c r="AO197" s="140"/>
      <c r="AP197" s="140"/>
      <c r="AQ197" s="140"/>
      <c r="AR197" s="140"/>
      <c r="AS197" s="140"/>
      <c r="AT197" s="140"/>
      <c r="AU197" s="140"/>
      <c r="AV197" s="140"/>
      <c r="AW197" s="140"/>
      <c r="AX197" s="140"/>
      <c r="AY197" s="140"/>
      <c r="AZ197" s="140"/>
      <c r="BA197" s="140"/>
      <c r="BB197" s="140"/>
      <c r="BC197" s="140"/>
      <c r="BD197" s="140"/>
      <c r="BE197" s="140"/>
      <c r="BF197" s="140"/>
      <c r="BG197" s="140"/>
      <c r="BH197" s="140"/>
      <c r="BI197" s="140"/>
      <c r="BJ197" s="140"/>
      <c r="BK197" s="140"/>
      <c r="BL197" s="140"/>
      <c r="BM197" s="140"/>
      <c r="BN197" s="140"/>
      <c r="BO197" s="140"/>
      <c r="BP197" s="140"/>
      <c r="BQ197" s="140"/>
      <c r="BR197" s="140"/>
      <c r="BS197" s="140"/>
      <c r="BT197" s="140"/>
      <c r="BU197" s="140"/>
      <c r="BV197" s="140"/>
      <c r="BW197" s="140"/>
      <c r="BX197" s="140"/>
      <c r="BY197" s="140"/>
      <c r="BZ197" s="140"/>
      <c r="CA197" s="140"/>
      <c r="CB197" s="140"/>
      <c r="CC197" s="140"/>
      <c r="CD197" s="140"/>
      <c r="CE197" s="140"/>
      <c r="CF197" s="140"/>
      <c r="CG197" s="140"/>
      <c r="CH197" s="140"/>
      <c r="CI197" s="140"/>
      <c r="CJ197" s="140"/>
      <c r="CK197" s="140"/>
      <c r="CL197" s="140"/>
      <c r="CM197" s="140"/>
      <c r="CN197" s="140"/>
      <c r="CO197" s="140"/>
      <c r="CP197" s="140"/>
      <c r="CQ197" s="140"/>
      <c r="CR197" s="140"/>
      <c r="CS197" s="140"/>
      <c r="CT197" s="140"/>
      <c r="CU197" s="140"/>
      <c r="CV197" s="140"/>
      <c r="CW197" s="140"/>
    </row>
    <row r="198" spans="1:101" x14ac:dyDescent="0.2">
      <c r="A198" s="29" t="str">
        <f t="shared" ca="1" si="3"/>
        <v>2025-10-08</v>
      </c>
      <c r="B198" s="140">
        <f ca="1">IF(ISNUMBER(MATCH(DATEVALUE($A198),'changes1_based on steps'!B$1:B$400,0)),B$2,)</f>
        <v>0</v>
      </c>
      <c r="C198" s="140">
        <f ca="1">IF(ISNUMBER(MATCH(DATEVALUE($A198),'changes1_based on steps'!C$1:C$400,0)),C$2,)</f>
        <v>0</v>
      </c>
      <c r="D198" s="140">
        <f ca="1">IF(ISNUMBER(MATCH(DATEVALUE($A198),'changes1_based on steps'!D$1:D$400,0)),D$2,)</f>
        <v>0</v>
      </c>
      <c r="E198" s="140">
        <f ca="1">IF(ISNUMBER(MATCH(DATEVALUE($A198),'changes1_based on steps'!E$1:E$400,0)),E$2,)</f>
        <v>0</v>
      </c>
      <c r="F198" s="140">
        <f ca="1">IF(ISNUMBER(MATCH(DATEVALUE($A198),'changes1_based on steps'!F$1:F$400,0)),F$2,)</f>
        <v>0</v>
      </c>
      <c r="G198" s="140">
        <f ca="1">IF(ISNUMBER(MATCH(DATEVALUE($A198),'changes1_based on steps'!G$1:G$400,0)),G$2,)</f>
        <v>0</v>
      </c>
      <c r="H198" s="140">
        <f ca="1">IF(ISNUMBER(MATCH(DATEVALUE($A198),'changes1_based on steps'!H$1:H$400,0)),H$2,)</f>
        <v>0</v>
      </c>
      <c r="I198" s="140">
        <f ca="1">IF(ISNUMBER(MATCH(DATEVALUE($A198),'changes1_based on steps'!I$1:I$400,0)),I$2,)</f>
        <v>0</v>
      </c>
      <c r="J198" s="140">
        <f ca="1">IF(ISNUMBER(MATCH(DATEVALUE($A198),'changes1_based on steps'!J$1:J$400,0)),J$2,)</f>
        <v>0</v>
      </c>
      <c r="K198" s="140">
        <f ca="1">IF(ISNUMBER(MATCH(DATEVALUE($A198),'changes1_based on steps'!K$1:K$400,0)),K$2,)</f>
        <v>0</v>
      </c>
      <c r="L198" s="140">
        <f ca="1">IF(ISNUMBER(MATCH(DATEVALUE($A198),'changes1_based on steps'!L$1:L$400,0)),L$2,)</f>
        <v>0</v>
      </c>
      <c r="M198" s="140">
        <f ca="1">IF(ISNUMBER(MATCH(DATEVALUE($A198),'changes1_based on steps'!M$1:M$400,0)),M$2,)</f>
        <v>0</v>
      </c>
      <c r="N198" s="140">
        <f ca="1">IF(ISNUMBER(MATCH(DATEVALUE($A198),'changes1_based on steps'!N$1:N$400,0)),N$2,)</f>
        <v>0</v>
      </c>
      <c r="O198" s="140">
        <f ca="1">IF(ISNUMBER(MATCH(DATEVALUE($A198),'changes1_based on steps'!O$1:O$400,0)),O$2,)</f>
        <v>0</v>
      </c>
      <c r="P198" s="140">
        <f ca="1">IF(ISNUMBER(MATCH(DATEVALUE($A198),'changes1_based on steps'!P$1:P$400,0)),P$2,)</f>
        <v>0</v>
      </c>
      <c r="Q198" s="140">
        <f ca="1">IF(ISNUMBER(MATCH(DATEVALUE($A198),'changes1_based on steps'!Q$1:Q$400,0)),Q$2,)</f>
        <v>0</v>
      </c>
      <c r="R198" s="140">
        <f ca="1">IF(ISNUMBER(MATCH(DATEVALUE($A198),'changes1_based on steps'!R$1:R$400,0)),R$2,)</f>
        <v>0</v>
      </c>
      <c r="S198" s="140">
        <f ca="1">IF(ISNUMBER(MATCH(DATEVALUE($A198),'changes1_based on steps'!S$1:S$400,0)),S$2,)</f>
        <v>0</v>
      </c>
      <c r="T198" s="140">
        <f ca="1">IF(ISNUMBER(MATCH(DATEVALUE($A198),'changes1_based on steps'!T$1:T$400,0)),T$2,)</f>
        <v>0</v>
      </c>
      <c r="U198" s="140">
        <f ca="1">IF(ISNUMBER(MATCH(DATEVALUE($A198),'changes1_based on steps'!U$1:U$400,0)),U$2,)</f>
        <v>0</v>
      </c>
      <c r="V198" s="140"/>
      <c r="W198" s="140"/>
      <c r="X198" s="140"/>
      <c r="Y198" s="140"/>
      <c r="Z198" s="140"/>
      <c r="AA198" s="140"/>
      <c r="AB198" s="140"/>
      <c r="AC198" s="140"/>
      <c r="AD198" s="140"/>
      <c r="AE198" s="140"/>
      <c r="AF198" s="140"/>
      <c r="AG198" s="140"/>
      <c r="AH198" s="140"/>
      <c r="AI198" s="140"/>
      <c r="AJ198" s="140"/>
      <c r="AK198" s="140"/>
      <c r="AL198" s="140"/>
      <c r="AM198" s="140"/>
      <c r="AN198" s="140"/>
      <c r="AO198" s="140"/>
      <c r="AP198" s="140"/>
      <c r="AQ198" s="140"/>
      <c r="AR198" s="140"/>
      <c r="AS198" s="140"/>
      <c r="AT198" s="140"/>
      <c r="AU198" s="140"/>
      <c r="AV198" s="140"/>
      <c r="AW198" s="140"/>
      <c r="AX198" s="140"/>
      <c r="AY198" s="140"/>
      <c r="AZ198" s="140"/>
      <c r="BA198" s="140"/>
      <c r="BB198" s="140"/>
      <c r="BC198" s="140"/>
      <c r="BD198" s="140"/>
      <c r="BE198" s="140"/>
      <c r="BF198" s="140"/>
      <c r="BG198" s="140"/>
      <c r="BH198" s="140"/>
      <c r="BI198" s="140"/>
      <c r="BJ198" s="140"/>
      <c r="BK198" s="140"/>
      <c r="BL198" s="140"/>
      <c r="BM198" s="140"/>
      <c r="BN198" s="140"/>
      <c r="BO198" s="140"/>
      <c r="BP198" s="140"/>
      <c r="BQ198" s="140"/>
      <c r="BR198" s="140"/>
      <c r="BS198" s="140"/>
      <c r="BT198" s="140"/>
      <c r="BU198" s="140"/>
      <c r="BV198" s="140"/>
      <c r="BW198" s="140"/>
      <c r="BX198" s="140"/>
      <c r="BY198" s="140"/>
      <c r="BZ198" s="140"/>
      <c r="CA198" s="140"/>
      <c r="CB198" s="140"/>
      <c r="CC198" s="140"/>
      <c r="CD198" s="140"/>
      <c r="CE198" s="140"/>
      <c r="CF198" s="140"/>
      <c r="CG198" s="140"/>
      <c r="CH198" s="140"/>
      <c r="CI198" s="140"/>
      <c r="CJ198" s="140"/>
      <c r="CK198" s="140"/>
      <c r="CL198" s="140"/>
      <c r="CM198" s="140"/>
      <c r="CN198" s="140"/>
      <c r="CO198" s="140"/>
      <c r="CP198" s="140"/>
      <c r="CQ198" s="140"/>
      <c r="CR198" s="140"/>
      <c r="CS198" s="140"/>
      <c r="CT198" s="140"/>
      <c r="CU198" s="140"/>
      <c r="CV198" s="140"/>
      <c r="CW198" s="140"/>
    </row>
    <row r="199" spans="1:101" x14ac:dyDescent="0.2">
      <c r="A199" s="29" t="str">
        <f t="shared" ca="1" si="3"/>
        <v>2025-10-09</v>
      </c>
      <c r="B199" s="140">
        <f ca="1">IF(ISNUMBER(MATCH(DATEVALUE($A199),'changes1_based on steps'!B$1:B$400,0)),B$2,)</f>
        <v>0</v>
      </c>
      <c r="C199" s="140">
        <f ca="1">IF(ISNUMBER(MATCH(DATEVALUE($A199),'changes1_based on steps'!C$1:C$400,0)),C$2,)</f>
        <v>0</v>
      </c>
      <c r="D199" s="140">
        <f ca="1">IF(ISNUMBER(MATCH(DATEVALUE($A199),'changes1_based on steps'!D$1:D$400,0)),D$2,)</f>
        <v>0</v>
      </c>
      <c r="E199" s="140">
        <f ca="1">IF(ISNUMBER(MATCH(DATEVALUE($A199),'changes1_based on steps'!E$1:E$400,0)),E$2,)</f>
        <v>0</v>
      </c>
      <c r="F199" s="140">
        <f ca="1">IF(ISNUMBER(MATCH(DATEVALUE($A199),'changes1_based on steps'!F$1:F$400,0)),F$2,)</f>
        <v>0</v>
      </c>
      <c r="G199" s="140">
        <f ca="1">IF(ISNUMBER(MATCH(DATEVALUE($A199),'changes1_based on steps'!G$1:G$400,0)),G$2,)</f>
        <v>0</v>
      </c>
      <c r="H199" s="140">
        <f ca="1">IF(ISNUMBER(MATCH(DATEVALUE($A199),'changes1_based on steps'!H$1:H$400,0)),H$2,)</f>
        <v>0</v>
      </c>
      <c r="I199" s="140">
        <f ca="1">IF(ISNUMBER(MATCH(DATEVALUE($A199),'changes1_based on steps'!I$1:I$400,0)),I$2,)</f>
        <v>0</v>
      </c>
      <c r="J199" s="140">
        <f ca="1">IF(ISNUMBER(MATCH(DATEVALUE($A199),'changes1_based on steps'!J$1:J$400,0)),J$2,)</f>
        <v>0</v>
      </c>
      <c r="K199" s="140">
        <f ca="1">IF(ISNUMBER(MATCH(DATEVALUE($A199),'changes1_based on steps'!K$1:K$400,0)),K$2,)</f>
        <v>0</v>
      </c>
      <c r="L199" s="140">
        <f ca="1">IF(ISNUMBER(MATCH(DATEVALUE($A199),'changes1_based on steps'!L$1:L$400,0)),L$2,)</f>
        <v>0</v>
      </c>
      <c r="M199" s="140">
        <f ca="1">IF(ISNUMBER(MATCH(DATEVALUE($A199),'changes1_based on steps'!M$1:M$400,0)),M$2,)</f>
        <v>0</v>
      </c>
      <c r="N199" s="140">
        <f ca="1">IF(ISNUMBER(MATCH(DATEVALUE($A199),'changes1_based on steps'!N$1:N$400,0)),N$2,)</f>
        <v>0</v>
      </c>
      <c r="O199" s="140">
        <f ca="1">IF(ISNUMBER(MATCH(DATEVALUE($A199),'changes1_based on steps'!O$1:O$400,0)),O$2,)</f>
        <v>0</v>
      </c>
      <c r="P199" s="140">
        <f ca="1">IF(ISNUMBER(MATCH(DATEVALUE($A199),'changes1_based on steps'!P$1:P$400,0)),P$2,)</f>
        <v>0</v>
      </c>
      <c r="Q199" s="140">
        <f ca="1">IF(ISNUMBER(MATCH(DATEVALUE($A199),'changes1_based on steps'!Q$1:Q$400,0)),Q$2,)</f>
        <v>0</v>
      </c>
      <c r="R199" s="140">
        <f ca="1">IF(ISNUMBER(MATCH(DATEVALUE($A199),'changes1_based on steps'!R$1:R$400,0)),R$2,)</f>
        <v>0</v>
      </c>
      <c r="S199" s="140">
        <f ca="1">IF(ISNUMBER(MATCH(DATEVALUE($A199),'changes1_based on steps'!S$1:S$400,0)),S$2,)</f>
        <v>0</v>
      </c>
      <c r="T199" s="140">
        <f ca="1">IF(ISNUMBER(MATCH(DATEVALUE($A199),'changes1_based on steps'!T$1:T$400,0)),T$2,)</f>
        <v>0</v>
      </c>
      <c r="U199" s="140">
        <f ca="1">IF(ISNUMBER(MATCH(DATEVALUE($A199),'changes1_based on steps'!U$1:U$400,0)),U$2,)</f>
        <v>0</v>
      </c>
      <c r="V199" s="140"/>
      <c r="W199" s="140"/>
      <c r="X199" s="140"/>
      <c r="Y199" s="140"/>
      <c r="Z199" s="140"/>
      <c r="AA199" s="140"/>
      <c r="AB199" s="140"/>
      <c r="AC199" s="140"/>
      <c r="AD199" s="140"/>
      <c r="AE199" s="140"/>
      <c r="AF199" s="140"/>
      <c r="AG199" s="140"/>
      <c r="AH199" s="140"/>
      <c r="AI199" s="140"/>
      <c r="AJ199" s="140"/>
      <c r="AK199" s="140"/>
      <c r="AL199" s="140"/>
      <c r="AM199" s="140"/>
      <c r="AN199" s="140"/>
      <c r="AO199" s="140"/>
      <c r="AP199" s="140"/>
      <c r="AQ199" s="140"/>
      <c r="AR199" s="140"/>
      <c r="AS199" s="140"/>
      <c r="AT199" s="140"/>
      <c r="AU199" s="140"/>
      <c r="AV199" s="140"/>
      <c r="AW199" s="140"/>
      <c r="AX199" s="140"/>
      <c r="AY199" s="140"/>
      <c r="AZ199" s="140"/>
      <c r="BA199" s="140"/>
      <c r="BB199" s="140"/>
      <c r="BC199" s="140"/>
      <c r="BD199" s="140"/>
      <c r="BE199" s="140"/>
      <c r="BF199" s="140"/>
      <c r="BG199" s="140"/>
      <c r="BH199" s="140"/>
      <c r="BI199" s="140"/>
      <c r="BJ199" s="140"/>
      <c r="BK199" s="140"/>
      <c r="BL199" s="140"/>
      <c r="BM199" s="140"/>
      <c r="BN199" s="140"/>
      <c r="BO199" s="140"/>
      <c r="BP199" s="140"/>
      <c r="BQ199" s="140"/>
      <c r="BR199" s="140"/>
      <c r="BS199" s="140"/>
      <c r="BT199" s="140"/>
      <c r="BU199" s="140"/>
      <c r="BV199" s="140"/>
      <c r="BW199" s="140"/>
      <c r="BX199" s="140"/>
      <c r="BY199" s="140"/>
      <c r="BZ199" s="140"/>
      <c r="CA199" s="140"/>
      <c r="CB199" s="140"/>
      <c r="CC199" s="140"/>
      <c r="CD199" s="140"/>
      <c r="CE199" s="140"/>
      <c r="CF199" s="140"/>
      <c r="CG199" s="140"/>
      <c r="CH199" s="140"/>
      <c r="CI199" s="140"/>
      <c r="CJ199" s="140"/>
      <c r="CK199" s="140"/>
      <c r="CL199" s="140"/>
      <c r="CM199" s="140"/>
      <c r="CN199" s="140"/>
      <c r="CO199" s="140"/>
      <c r="CP199" s="140"/>
      <c r="CQ199" s="140"/>
      <c r="CR199" s="140"/>
      <c r="CS199" s="140"/>
      <c r="CT199" s="140"/>
      <c r="CU199" s="140"/>
      <c r="CV199" s="140"/>
      <c r="CW199" s="140"/>
    </row>
    <row r="200" spans="1:101" x14ac:dyDescent="0.2">
      <c r="A200" s="29" t="str">
        <f t="shared" ca="1" si="3"/>
        <v>2025-10-10</v>
      </c>
      <c r="B200" s="140">
        <f ca="1">IF(ISNUMBER(MATCH(DATEVALUE($A200),'changes1_based on steps'!B$1:B$400,0)),B$2,)</f>
        <v>0</v>
      </c>
      <c r="C200" s="140">
        <f ca="1">IF(ISNUMBER(MATCH(DATEVALUE($A200),'changes1_based on steps'!C$1:C$400,0)),C$2,)</f>
        <v>0</v>
      </c>
      <c r="D200" s="140">
        <f ca="1">IF(ISNUMBER(MATCH(DATEVALUE($A200),'changes1_based on steps'!D$1:D$400,0)),D$2,)</f>
        <v>0</v>
      </c>
      <c r="E200" s="140">
        <f ca="1">IF(ISNUMBER(MATCH(DATEVALUE($A200),'changes1_based on steps'!E$1:E$400,0)),E$2,)</f>
        <v>0</v>
      </c>
      <c r="F200" s="140">
        <f ca="1">IF(ISNUMBER(MATCH(DATEVALUE($A200),'changes1_based on steps'!F$1:F$400,0)),F$2,)</f>
        <v>0</v>
      </c>
      <c r="G200" s="140">
        <f ca="1">IF(ISNUMBER(MATCH(DATEVALUE($A200),'changes1_based on steps'!G$1:G$400,0)),G$2,)</f>
        <v>0</v>
      </c>
      <c r="H200" s="140">
        <f ca="1">IF(ISNUMBER(MATCH(DATEVALUE($A200),'changes1_based on steps'!H$1:H$400,0)),H$2,)</f>
        <v>0</v>
      </c>
      <c r="I200" s="140">
        <f ca="1">IF(ISNUMBER(MATCH(DATEVALUE($A200),'changes1_based on steps'!I$1:I$400,0)),I$2,)</f>
        <v>0</v>
      </c>
      <c r="J200" s="140">
        <f ca="1">IF(ISNUMBER(MATCH(DATEVALUE($A200),'changes1_based on steps'!J$1:J$400,0)),J$2,)</f>
        <v>0</v>
      </c>
      <c r="K200" s="140">
        <f ca="1">IF(ISNUMBER(MATCH(DATEVALUE($A200),'changes1_based on steps'!K$1:K$400,0)),K$2,)</f>
        <v>0</v>
      </c>
      <c r="L200" s="140">
        <f ca="1">IF(ISNUMBER(MATCH(DATEVALUE($A200),'changes1_based on steps'!L$1:L$400,0)),L$2,)</f>
        <v>0</v>
      </c>
      <c r="M200" s="140">
        <f ca="1">IF(ISNUMBER(MATCH(DATEVALUE($A200),'changes1_based on steps'!M$1:M$400,0)),M$2,)</f>
        <v>0</v>
      </c>
      <c r="N200" s="140">
        <f ca="1">IF(ISNUMBER(MATCH(DATEVALUE($A200),'changes1_based on steps'!N$1:N$400,0)),N$2,)</f>
        <v>0</v>
      </c>
      <c r="O200" s="140">
        <f ca="1">IF(ISNUMBER(MATCH(DATEVALUE($A200),'changes1_based on steps'!O$1:O$400,0)),O$2,)</f>
        <v>0</v>
      </c>
      <c r="P200" s="140">
        <f ca="1">IF(ISNUMBER(MATCH(DATEVALUE($A200),'changes1_based on steps'!P$1:P$400,0)),P$2,)</f>
        <v>0</v>
      </c>
      <c r="Q200" s="140">
        <f ca="1">IF(ISNUMBER(MATCH(DATEVALUE($A200),'changes1_based on steps'!Q$1:Q$400,0)),Q$2,)</f>
        <v>0</v>
      </c>
      <c r="R200" s="140">
        <f ca="1">IF(ISNUMBER(MATCH(DATEVALUE($A200),'changes1_based on steps'!R$1:R$400,0)),R$2,)</f>
        <v>0</v>
      </c>
      <c r="S200" s="140">
        <f ca="1">IF(ISNUMBER(MATCH(DATEVALUE($A200),'changes1_based on steps'!S$1:S$400,0)),S$2,)</f>
        <v>0</v>
      </c>
      <c r="T200" s="140">
        <f ca="1">IF(ISNUMBER(MATCH(DATEVALUE($A200),'changes1_based on steps'!T$1:T$400,0)),T$2,)</f>
        <v>0</v>
      </c>
      <c r="U200" s="140">
        <f ca="1">IF(ISNUMBER(MATCH(DATEVALUE($A200),'changes1_based on steps'!U$1:U$400,0)),U$2,)</f>
        <v>0</v>
      </c>
      <c r="V200" s="140"/>
      <c r="W200" s="140"/>
      <c r="X200" s="140"/>
      <c r="Y200" s="140"/>
      <c r="Z200" s="140"/>
      <c r="AA200" s="140"/>
      <c r="AB200" s="140"/>
      <c r="AC200" s="140"/>
      <c r="AD200" s="140"/>
      <c r="AE200" s="140"/>
      <c r="AF200" s="140"/>
      <c r="AG200" s="140"/>
      <c r="AH200" s="140"/>
      <c r="AI200" s="140"/>
      <c r="AJ200" s="140"/>
      <c r="AK200" s="140"/>
      <c r="AL200" s="140"/>
      <c r="AM200" s="140"/>
      <c r="AN200" s="140"/>
      <c r="AO200" s="140"/>
      <c r="AP200" s="140"/>
      <c r="AQ200" s="140"/>
      <c r="AR200" s="140"/>
      <c r="AS200" s="140"/>
      <c r="AT200" s="140"/>
      <c r="AU200" s="140"/>
      <c r="AV200" s="140"/>
      <c r="AW200" s="140"/>
      <c r="AX200" s="140"/>
      <c r="AY200" s="140"/>
      <c r="AZ200" s="140"/>
      <c r="BA200" s="140"/>
      <c r="BB200" s="140"/>
      <c r="BC200" s="140"/>
      <c r="BD200" s="140"/>
      <c r="BE200" s="140"/>
      <c r="BF200" s="140"/>
      <c r="BG200" s="140"/>
      <c r="BH200" s="140"/>
      <c r="BI200" s="140"/>
      <c r="BJ200" s="140"/>
      <c r="BK200" s="140"/>
      <c r="BL200" s="140"/>
      <c r="BM200" s="140"/>
      <c r="BN200" s="140"/>
      <c r="BO200" s="140"/>
      <c r="BP200" s="140"/>
      <c r="BQ200" s="140"/>
      <c r="BR200" s="140"/>
      <c r="BS200" s="140"/>
      <c r="BT200" s="140"/>
      <c r="BU200" s="140"/>
      <c r="BV200" s="140"/>
      <c r="BW200" s="140"/>
      <c r="BX200" s="140"/>
      <c r="BY200" s="140"/>
      <c r="BZ200" s="140"/>
      <c r="CA200" s="140"/>
      <c r="CB200" s="140"/>
      <c r="CC200" s="140"/>
      <c r="CD200" s="140"/>
      <c r="CE200" s="140"/>
      <c r="CF200" s="140"/>
      <c r="CG200" s="140"/>
      <c r="CH200" s="140"/>
      <c r="CI200" s="140"/>
      <c r="CJ200" s="140"/>
      <c r="CK200" s="140"/>
      <c r="CL200" s="140"/>
      <c r="CM200" s="140"/>
      <c r="CN200" s="140"/>
      <c r="CO200" s="140"/>
      <c r="CP200" s="140"/>
      <c r="CQ200" s="140"/>
      <c r="CR200" s="140"/>
      <c r="CS200" s="140"/>
      <c r="CT200" s="140"/>
      <c r="CU200" s="140"/>
      <c r="CV200" s="140"/>
      <c r="CW200" s="140"/>
    </row>
    <row r="201" spans="1:101" x14ac:dyDescent="0.2">
      <c r="A201" s="29" t="str">
        <f t="shared" ca="1" si="3"/>
        <v>2025-10-11</v>
      </c>
      <c r="B201" s="140">
        <f ca="1">IF(ISNUMBER(MATCH(DATEVALUE($A201),'changes1_based on steps'!B$1:B$400,0)),B$2,)</f>
        <v>0</v>
      </c>
      <c r="C201" s="140">
        <f ca="1">IF(ISNUMBER(MATCH(DATEVALUE($A201),'changes1_based on steps'!C$1:C$400,0)),C$2,)</f>
        <v>0</v>
      </c>
      <c r="D201" s="140">
        <f ca="1">IF(ISNUMBER(MATCH(DATEVALUE($A201),'changes1_based on steps'!D$1:D$400,0)),D$2,)</f>
        <v>0</v>
      </c>
      <c r="E201" s="140">
        <f ca="1">IF(ISNUMBER(MATCH(DATEVALUE($A201),'changes1_based on steps'!E$1:E$400,0)),E$2,)</f>
        <v>0</v>
      </c>
      <c r="F201" s="140">
        <f ca="1">IF(ISNUMBER(MATCH(DATEVALUE($A201),'changes1_based on steps'!F$1:F$400,0)),F$2,)</f>
        <v>0</v>
      </c>
      <c r="G201" s="140">
        <f ca="1">IF(ISNUMBER(MATCH(DATEVALUE($A201),'changes1_based on steps'!G$1:G$400,0)),G$2,)</f>
        <v>0</v>
      </c>
      <c r="H201" s="140">
        <f ca="1">IF(ISNUMBER(MATCH(DATEVALUE($A201),'changes1_based on steps'!H$1:H$400,0)),H$2,)</f>
        <v>0</v>
      </c>
      <c r="I201" s="140">
        <f ca="1">IF(ISNUMBER(MATCH(DATEVALUE($A201),'changes1_based on steps'!I$1:I$400,0)),I$2,)</f>
        <v>0</v>
      </c>
      <c r="J201" s="140">
        <f ca="1">IF(ISNUMBER(MATCH(DATEVALUE($A201),'changes1_based on steps'!J$1:J$400,0)),J$2,)</f>
        <v>0</v>
      </c>
      <c r="K201" s="140">
        <f ca="1">IF(ISNUMBER(MATCH(DATEVALUE($A201),'changes1_based on steps'!K$1:K$400,0)),K$2,)</f>
        <v>0</v>
      </c>
      <c r="L201" s="140">
        <f ca="1">IF(ISNUMBER(MATCH(DATEVALUE($A201),'changes1_based on steps'!L$1:L$400,0)),L$2,)</f>
        <v>0</v>
      </c>
      <c r="M201" s="140">
        <f ca="1">IF(ISNUMBER(MATCH(DATEVALUE($A201),'changes1_based on steps'!M$1:M$400,0)),M$2,)</f>
        <v>0</v>
      </c>
      <c r="N201" s="140">
        <f ca="1">IF(ISNUMBER(MATCH(DATEVALUE($A201),'changes1_based on steps'!N$1:N$400,0)),N$2,)</f>
        <v>0</v>
      </c>
      <c r="O201" s="140">
        <f ca="1">IF(ISNUMBER(MATCH(DATEVALUE($A201),'changes1_based on steps'!O$1:O$400,0)),O$2,)</f>
        <v>0</v>
      </c>
      <c r="P201" s="140">
        <f ca="1">IF(ISNUMBER(MATCH(DATEVALUE($A201),'changes1_based on steps'!P$1:P$400,0)),P$2,)</f>
        <v>0</v>
      </c>
      <c r="Q201" s="140">
        <f ca="1">IF(ISNUMBER(MATCH(DATEVALUE($A201),'changes1_based on steps'!Q$1:Q$400,0)),Q$2,)</f>
        <v>0</v>
      </c>
      <c r="R201" s="140">
        <f ca="1">IF(ISNUMBER(MATCH(DATEVALUE($A201),'changes1_based on steps'!R$1:R$400,0)),R$2,)</f>
        <v>0</v>
      </c>
      <c r="S201" s="140">
        <f ca="1">IF(ISNUMBER(MATCH(DATEVALUE($A201),'changes1_based on steps'!S$1:S$400,0)),S$2,)</f>
        <v>0</v>
      </c>
      <c r="T201" s="140">
        <f ca="1">IF(ISNUMBER(MATCH(DATEVALUE($A201),'changes1_based on steps'!T$1:T$400,0)),T$2,)</f>
        <v>0</v>
      </c>
      <c r="U201" s="140">
        <f ca="1">IF(ISNUMBER(MATCH(DATEVALUE($A201),'changes1_based on steps'!U$1:U$400,0)),U$2,)</f>
        <v>0</v>
      </c>
      <c r="V201" s="140"/>
      <c r="W201" s="140"/>
      <c r="X201" s="140"/>
      <c r="Y201" s="140"/>
      <c r="Z201" s="140"/>
      <c r="AA201" s="140"/>
      <c r="AB201" s="140"/>
      <c r="AC201" s="140"/>
      <c r="AD201" s="140"/>
      <c r="AE201" s="140"/>
      <c r="AF201" s="140"/>
      <c r="AG201" s="140"/>
      <c r="AH201" s="140"/>
      <c r="AI201" s="140"/>
      <c r="AJ201" s="140"/>
      <c r="AK201" s="140"/>
      <c r="AL201" s="140"/>
      <c r="AM201" s="140"/>
      <c r="AN201" s="140"/>
      <c r="AO201" s="140"/>
      <c r="AP201" s="140"/>
      <c r="AQ201" s="140"/>
      <c r="AR201" s="140"/>
      <c r="AS201" s="140"/>
      <c r="AT201" s="140"/>
      <c r="AU201" s="140"/>
      <c r="AV201" s="140"/>
      <c r="AW201" s="140"/>
      <c r="AX201" s="140"/>
      <c r="AY201" s="140"/>
      <c r="AZ201" s="140"/>
      <c r="BA201" s="140"/>
      <c r="BB201" s="140"/>
      <c r="BC201" s="140"/>
      <c r="BD201" s="140"/>
      <c r="BE201" s="140"/>
      <c r="BF201" s="140"/>
      <c r="BG201" s="140"/>
      <c r="BH201" s="140"/>
      <c r="BI201" s="140"/>
      <c r="BJ201" s="140"/>
      <c r="BK201" s="140"/>
      <c r="BL201" s="140"/>
      <c r="BM201" s="140"/>
      <c r="BN201" s="140"/>
      <c r="BO201" s="140"/>
      <c r="BP201" s="140"/>
      <c r="BQ201" s="140"/>
      <c r="BR201" s="140"/>
      <c r="BS201" s="140"/>
      <c r="BT201" s="140"/>
      <c r="BU201" s="140"/>
      <c r="BV201" s="140"/>
      <c r="BW201" s="140"/>
      <c r="BX201" s="140"/>
      <c r="BY201" s="140"/>
      <c r="BZ201" s="140"/>
      <c r="CA201" s="140"/>
      <c r="CB201" s="140"/>
      <c r="CC201" s="140"/>
      <c r="CD201" s="140"/>
      <c r="CE201" s="140"/>
      <c r="CF201" s="140"/>
      <c r="CG201" s="140"/>
      <c r="CH201" s="140"/>
      <c r="CI201" s="140"/>
      <c r="CJ201" s="140"/>
      <c r="CK201" s="140"/>
      <c r="CL201" s="140"/>
      <c r="CM201" s="140"/>
      <c r="CN201" s="140"/>
      <c r="CO201" s="140"/>
      <c r="CP201" s="140"/>
      <c r="CQ201" s="140"/>
      <c r="CR201" s="140"/>
      <c r="CS201" s="140"/>
      <c r="CT201" s="140"/>
      <c r="CU201" s="140"/>
      <c r="CV201" s="140"/>
      <c r="CW201" s="140"/>
    </row>
    <row r="202" spans="1:101" x14ac:dyDescent="0.2">
      <c r="A202" s="29" t="str">
        <f t="shared" ca="1" si="3"/>
        <v>2025-10-12</v>
      </c>
      <c r="B202" s="140">
        <f ca="1">IF(ISNUMBER(MATCH(DATEVALUE($A202),'changes1_based on steps'!B$1:B$400,0)),B$2,)</f>
        <v>0</v>
      </c>
      <c r="C202" s="140">
        <f ca="1">IF(ISNUMBER(MATCH(DATEVALUE($A202),'changes1_based on steps'!C$1:C$400,0)),C$2,)</f>
        <v>0</v>
      </c>
      <c r="D202" s="140">
        <f ca="1">IF(ISNUMBER(MATCH(DATEVALUE($A202),'changes1_based on steps'!D$1:D$400,0)),D$2,)</f>
        <v>0</v>
      </c>
      <c r="E202" s="140">
        <f ca="1">IF(ISNUMBER(MATCH(DATEVALUE($A202),'changes1_based on steps'!E$1:E$400,0)),E$2,)</f>
        <v>0</v>
      </c>
      <c r="F202" s="140">
        <f ca="1">IF(ISNUMBER(MATCH(DATEVALUE($A202),'changes1_based on steps'!F$1:F$400,0)),F$2,)</f>
        <v>0</v>
      </c>
      <c r="G202" s="140">
        <f ca="1">IF(ISNUMBER(MATCH(DATEVALUE($A202),'changes1_based on steps'!G$1:G$400,0)),G$2,)</f>
        <v>0</v>
      </c>
      <c r="H202" s="140">
        <f ca="1">IF(ISNUMBER(MATCH(DATEVALUE($A202),'changes1_based on steps'!H$1:H$400,0)),H$2,)</f>
        <v>0</v>
      </c>
      <c r="I202" s="140">
        <f ca="1">IF(ISNUMBER(MATCH(DATEVALUE($A202),'changes1_based on steps'!I$1:I$400,0)),I$2,)</f>
        <v>0</v>
      </c>
      <c r="J202" s="140">
        <f ca="1">IF(ISNUMBER(MATCH(DATEVALUE($A202),'changes1_based on steps'!J$1:J$400,0)),J$2,)</f>
        <v>0</v>
      </c>
      <c r="K202" s="140">
        <f ca="1">IF(ISNUMBER(MATCH(DATEVALUE($A202),'changes1_based on steps'!K$1:K$400,0)),K$2,)</f>
        <v>0</v>
      </c>
      <c r="L202" s="140">
        <f ca="1">IF(ISNUMBER(MATCH(DATEVALUE($A202),'changes1_based on steps'!L$1:L$400,0)),L$2,)</f>
        <v>0</v>
      </c>
      <c r="M202" s="140">
        <f ca="1">IF(ISNUMBER(MATCH(DATEVALUE($A202),'changes1_based on steps'!M$1:M$400,0)),M$2,)</f>
        <v>0</v>
      </c>
      <c r="N202" s="140">
        <f ca="1">IF(ISNUMBER(MATCH(DATEVALUE($A202),'changes1_based on steps'!N$1:N$400,0)),N$2,)</f>
        <v>0</v>
      </c>
      <c r="O202" s="140">
        <f ca="1">IF(ISNUMBER(MATCH(DATEVALUE($A202),'changes1_based on steps'!O$1:O$400,0)),O$2,)</f>
        <v>0</v>
      </c>
      <c r="P202" s="140">
        <f ca="1">IF(ISNUMBER(MATCH(DATEVALUE($A202),'changes1_based on steps'!P$1:P$400,0)),P$2,)</f>
        <v>0</v>
      </c>
      <c r="Q202" s="140">
        <f ca="1">IF(ISNUMBER(MATCH(DATEVALUE($A202),'changes1_based on steps'!Q$1:Q$400,0)),Q$2,)</f>
        <v>0</v>
      </c>
      <c r="R202" s="140">
        <f ca="1">IF(ISNUMBER(MATCH(DATEVALUE($A202),'changes1_based on steps'!R$1:R$400,0)),R$2,)</f>
        <v>0</v>
      </c>
      <c r="S202" s="140">
        <f ca="1">IF(ISNUMBER(MATCH(DATEVALUE($A202),'changes1_based on steps'!S$1:S$400,0)),S$2,)</f>
        <v>0</v>
      </c>
      <c r="T202" s="140">
        <f ca="1">IF(ISNUMBER(MATCH(DATEVALUE($A202),'changes1_based on steps'!T$1:T$400,0)),T$2,)</f>
        <v>0</v>
      </c>
      <c r="U202" s="140">
        <f ca="1">IF(ISNUMBER(MATCH(DATEVALUE($A202),'changes1_based on steps'!U$1:U$400,0)),U$2,)</f>
        <v>0</v>
      </c>
      <c r="V202" s="140"/>
      <c r="W202" s="140"/>
      <c r="X202" s="140"/>
      <c r="Y202" s="140"/>
      <c r="Z202" s="140"/>
      <c r="AA202" s="140"/>
      <c r="AB202" s="140"/>
      <c r="AC202" s="140"/>
      <c r="AD202" s="140"/>
      <c r="AE202" s="140"/>
      <c r="AF202" s="140"/>
      <c r="AG202" s="140"/>
      <c r="AH202" s="140"/>
      <c r="AI202" s="140"/>
      <c r="AJ202" s="140"/>
      <c r="AK202" s="140"/>
      <c r="AL202" s="140"/>
      <c r="AM202" s="140"/>
      <c r="AN202" s="140"/>
      <c r="AO202" s="140"/>
      <c r="AP202" s="140"/>
      <c r="AQ202" s="140"/>
      <c r="AR202" s="140"/>
      <c r="AS202" s="140"/>
      <c r="AT202" s="140"/>
      <c r="AU202" s="140"/>
      <c r="AV202" s="140"/>
      <c r="AW202" s="140"/>
      <c r="AX202" s="140"/>
      <c r="AY202" s="140"/>
      <c r="AZ202" s="140"/>
      <c r="BA202" s="140"/>
      <c r="BB202" s="140"/>
      <c r="BC202" s="140"/>
      <c r="BD202" s="140"/>
      <c r="BE202" s="140"/>
      <c r="BF202" s="140"/>
      <c r="BG202" s="140"/>
      <c r="BH202" s="140"/>
      <c r="BI202" s="140"/>
      <c r="BJ202" s="140"/>
      <c r="BK202" s="140"/>
      <c r="BL202" s="140"/>
      <c r="BM202" s="140"/>
      <c r="BN202" s="140"/>
      <c r="BO202" s="140"/>
      <c r="BP202" s="140"/>
      <c r="BQ202" s="140"/>
      <c r="BR202" s="140"/>
      <c r="BS202" s="140"/>
      <c r="BT202" s="140"/>
      <c r="BU202" s="140"/>
      <c r="BV202" s="140"/>
      <c r="BW202" s="140"/>
      <c r="BX202" s="140"/>
      <c r="BY202" s="140"/>
      <c r="BZ202" s="140"/>
      <c r="CA202" s="140"/>
      <c r="CB202" s="140"/>
      <c r="CC202" s="140"/>
      <c r="CD202" s="140"/>
      <c r="CE202" s="140"/>
      <c r="CF202" s="140"/>
      <c r="CG202" s="140"/>
      <c r="CH202" s="140"/>
      <c r="CI202" s="140"/>
      <c r="CJ202" s="140"/>
      <c r="CK202" s="140"/>
      <c r="CL202" s="140"/>
      <c r="CM202" s="140"/>
      <c r="CN202" s="140"/>
      <c r="CO202" s="140"/>
      <c r="CP202" s="140"/>
      <c r="CQ202" s="140"/>
      <c r="CR202" s="140"/>
      <c r="CS202" s="140"/>
      <c r="CT202" s="140"/>
      <c r="CU202" s="140"/>
      <c r="CV202" s="140"/>
      <c r="CW202" s="140"/>
    </row>
    <row r="203" spans="1:101" x14ac:dyDescent="0.2">
      <c r="A203" s="29" t="str">
        <f t="shared" ca="1" si="3"/>
        <v>2025-10-13</v>
      </c>
      <c r="B203" s="140">
        <f ca="1">IF(ISNUMBER(MATCH(DATEVALUE($A203),'changes1_based on steps'!B$1:B$400,0)),B$2,)</f>
        <v>0</v>
      </c>
      <c r="C203" s="140">
        <f ca="1">IF(ISNUMBER(MATCH(DATEVALUE($A203),'changes1_based on steps'!C$1:C$400,0)),C$2,)</f>
        <v>0</v>
      </c>
      <c r="D203" s="140">
        <f ca="1">IF(ISNUMBER(MATCH(DATEVALUE($A203),'changes1_based on steps'!D$1:D$400,0)),D$2,)</f>
        <v>0</v>
      </c>
      <c r="E203" s="140">
        <f ca="1">IF(ISNUMBER(MATCH(DATEVALUE($A203),'changes1_based on steps'!E$1:E$400,0)),E$2,)</f>
        <v>0</v>
      </c>
      <c r="F203" s="140">
        <f ca="1">IF(ISNUMBER(MATCH(DATEVALUE($A203),'changes1_based on steps'!F$1:F$400,0)),F$2,)</f>
        <v>0</v>
      </c>
      <c r="G203" s="140">
        <f ca="1">IF(ISNUMBER(MATCH(DATEVALUE($A203),'changes1_based on steps'!G$1:G$400,0)),G$2,)</f>
        <v>0</v>
      </c>
      <c r="H203" s="140">
        <f ca="1">IF(ISNUMBER(MATCH(DATEVALUE($A203),'changes1_based on steps'!H$1:H$400,0)),H$2,)</f>
        <v>0</v>
      </c>
      <c r="I203" s="140">
        <f ca="1">IF(ISNUMBER(MATCH(DATEVALUE($A203),'changes1_based on steps'!I$1:I$400,0)),I$2,)</f>
        <v>0</v>
      </c>
      <c r="J203" s="140">
        <f ca="1">IF(ISNUMBER(MATCH(DATEVALUE($A203),'changes1_based on steps'!J$1:J$400,0)),J$2,)</f>
        <v>0</v>
      </c>
      <c r="K203" s="140">
        <f ca="1">IF(ISNUMBER(MATCH(DATEVALUE($A203),'changes1_based on steps'!K$1:K$400,0)),K$2,)</f>
        <v>0</v>
      </c>
      <c r="L203" s="140">
        <f ca="1">IF(ISNUMBER(MATCH(DATEVALUE($A203),'changes1_based on steps'!L$1:L$400,0)),L$2,)</f>
        <v>0</v>
      </c>
      <c r="M203" s="140">
        <f ca="1">IF(ISNUMBER(MATCH(DATEVALUE($A203),'changes1_based on steps'!M$1:M$400,0)),M$2,)</f>
        <v>0</v>
      </c>
      <c r="N203" s="140">
        <f ca="1">IF(ISNUMBER(MATCH(DATEVALUE($A203),'changes1_based on steps'!N$1:N$400,0)),N$2,)</f>
        <v>0</v>
      </c>
      <c r="O203" s="140">
        <f ca="1">IF(ISNUMBER(MATCH(DATEVALUE($A203),'changes1_based on steps'!O$1:O$400,0)),O$2,)</f>
        <v>0</v>
      </c>
      <c r="P203" s="140">
        <f ca="1">IF(ISNUMBER(MATCH(DATEVALUE($A203),'changes1_based on steps'!P$1:P$400,0)),P$2,)</f>
        <v>0</v>
      </c>
      <c r="Q203" s="140">
        <f ca="1">IF(ISNUMBER(MATCH(DATEVALUE($A203),'changes1_based on steps'!Q$1:Q$400,0)),Q$2,)</f>
        <v>0</v>
      </c>
      <c r="R203" s="140">
        <f ca="1">IF(ISNUMBER(MATCH(DATEVALUE($A203),'changes1_based on steps'!R$1:R$400,0)),R$2,)</f>
        <v>0</v>
      </c>
      <c r="S203" s="140">
        <f ca="1">IF(ISNUMBER(MATCH(DATEVALUE($A203),'changes1_based on steps'!S$1:S$400,0)),S$2,)</f>
        <v>0</v>
      </c>
      <c r="T203" s="140">
        <f ca="1">IF(ISNUMBER(MATCH(DATEVALUE($A203),'changes1_based on steps'!T$1:T$400,0)),T$2,)</f>
        <v>0</v>
      </c>
      <c r="U203" s="140">
        <f ca="1">IF(ISNUMBER(MATCH(DATEVALUE($A203),'changes1_based on steps'!U$1:U$400,0)),U$2,)</f>
        <v>0</v>
      </c>
      <c r="V203" s="140"/>
      <c r="W203" s="140"/>
      <c r="X203" s="140"/>
      <c r="Y203" s="140"/>
      <c r="Z203" s="140"/>
      <c r="AA203" s="140"/>
      <c r="AB203" s="140"/>
      <c r="AC203" s="140"/>
      <c r="AD203" s="140"/>
      <c r="AE203" s="140"/>
      <c r="AF203" s="140"/>
      <c r="AG203" s="140"/>
      <c r="AH203" s="140"/>
      <c r="AI203" s="140"/>
      <c r="AJ203" s="140"/>
      <c r="AK203" s="140"/>
      <c r="AL203" s="140"/>
      <c r="AM203" s="140"/>
      <c r="AN203" s="140"/>
      <c r="AO203" s="140"/>
      <c r="AP203" s="140"/>
      <c r="AQ203" s="140"/>
      <c r="AR203" s="140"/>
      <c r="AS203" s="140"/>
      <c r="AT203" s="140"/>
      <c r="AU203" s="140"/>
      <c r="AV203" s="140"/>
      <c r="AW203" s="140"/>
      <c r="AX203" s="140"/>
      <c r="AY203" s="140"/>
      <c r="AZ203" s="140"/>
      <c r="BA203" s="140"/>
      <c r="BB203" s="140"/>
      <c r="BC203" s="140"/>
      <c r="BD203" s="140"/>
      <c r="BE203" s="140"/>
      <c r="BF203" s="140"/>
      <c r="BG203" s="140"/>
      <c r="BH203" s="140"/>
      <c r="BI203" s="140"/>
      <c r="BJ203" s="140"/>
      <c r="BK203" s="140"/>
      <c r="BL203" s="140"/>
      <c r="BM203" s="140"/>
      <c r="BN203" s="140"/>
      <c r="BO203" s="140"/>
      <c r="BP203" s="140"/>
      <c r="BQ203" s="140"/>
      <c r="BR203" s="140"/>
      <c r="BS203" s="140"/>
      <c r="BT203" s="140"/>
      <c r="BU203" s="140"/>
      <c r="BV203" s="140"/>
      <c r="BW203" s="140"/>
      <c r="BX203" s="140"/>
      <c r="BY203" s="140"/>
      <c r="BZ203" s="140"/>
      <c r="CA203" s="140"/>
      <c r="CB203" s="140"/>
      <c r="CC203" s="140"/>
      <c r="CD203" s="140"/>
      <c r="CE203" s="140"/>
      <c r="CF203" s="140"/>
      <c r="CG203" s="140"/>
      <c r="CH203" s="140"/>
      <c r="CI203" s="140"/>
      <c r="CJ203" s="140"/>
      <c r="CK203" s="140"/>
      <c r="CL203" s="140"/>
      <c r="CM203" s="140"/>
      <c r="CN203" s="140"/>
      <c r="CO203" s="140"/>
      <c r="CP203" s="140"/>
      <c r="CQ203" s="140"/>
      <c r="CR203" s="140"/>
      <c r="CS203" s="140"/>
      <c r="CT203" s="140"/>
      <c r="CU203" s="140"/>
      <c r="CV203" s="140"/>
      <c r="CW203" s="140"/>
    </row>
    <row r="204" spans="1:101" x14ac:dyDescent="0.2">
      <c r="A204" s="29" t="str">
        <f t="shared" ca="1" si="3"/>
        <v>2025-10-14</v>
      </c>
      <c r="B204" s="140">
        <f ca="1">IF(ISNUMBER(MATCH(DATEVALUE($A204),'changes1_based on steps'!B$1:B$400,0)),B$2,)</f>
        <v>0</v>
      </c>
      <c r="C204" s="140">
        <f ca="1">IF(ISNUMBER(MATCH(DATEVALUE($A204),'changes1_based on steps'!C$1:C$400,0)),C$2,)</f>
        <v>0</v>
      </c>
      <c r="D204" s="140">
        <f ca="1">IF(ISNUMBER(MATCH(DATEVALUE($A204),'changes1_based on steps'!D$1:D$400,0)),D$2,)</f>
        <v>0</v>
      </c>
      <c r="E204" s="140">
        <f ca="1">IF(ISNUMBER(MATCH(DATEVALUE($A204),'changes1_based on steps'!E$1:E$400,0)),E$2,)</f>
        <v>0</v>
      </c>
      <c r="F204" s="140">
        <f ca="1">IF(ISNUMBER(MATCH(DATEVALUE($A204),'changes1_based on steps'!F$1:F$400,0)),F$2,)</f>
        <v>0</v>
      </c>
      <c r="G204" s="140">
        <f ca="1">IF(ISNUMBER(MATCH(DATEVALUE($A204),'changes1_based on steps'!G$1:G$400,0)),G$2,)</f>
        <v>0</v>
      </c>
      <c r="H204" s="140">
        <f ca="1">IF(ISNUMBER(MATCH(DATEVALUE($A204),'changes1_based on steps'!H$1:H$400,0)),H$2,)</f>
        <v>0</v>
      </c>
      <c r="I204" s="140">
        <f ca="1">IF(ISNUMBER(MATCH(DATEVALUE($A204),'changes1_based on steps'!I$1:I$400,0)),I$2,)</f>
        <v>0</v>
      </c>
      <c r="J204" s="140">
        <f ca="1">IF(ISNUMBER(MATCH(DATEVALUE($A204),'changes1_based on steps'!J$1:J$400,0)),J$2,)</f>
        <v>0</v>
      </c>
      <c r="K204" s="140">
        <f ca="1">IF(ISNUMBER(MATCH(DATEVALUE($A204),'changes1_based on steps'!K$1:K$400,0)),K$2,)</f>
        <v>0</v>
      </c>
      <c r="L204" s="140">
        <f ca="1">IF(ISNUMBER(MATCH(DATEVALUE($A204),'changes1_based on steps'!L$1:L$400,0)),L$2,)</f>
        <v>0</v>
      </c>
      <c r="M204" s="140">
        <f ca="1">IF(ISNUMBER(MATCH(DATEVALUE($A204),'changes1_based on steps'!M$1:M$400,0)),M$2,)</f>
        <v>0</v>
      </c>
      <c r="N204" s="140">
        <f ca="1">IF(ISNUMBER(MATCH(DATEVALUE($A204),'changes1_based on steps'!N$1:N$400,0)),N$2,)</f>
        <v>0</v>
      </c>
      <c r="O204" s="140">
        <f ca="1">IF(ISNUMBER(MATCH(DATEVALUE($A204),'changes1_based on steps'!O$1:O$400,0)),O$2,)</f>
        <v>0</v>
      </c>
      <c r="P204" s="140">
        <f ca="1">IF(ISNUMBER(MATCH(DATEVALUE($A204),'changes1_based on steps'!P$1:P$400,0)),P$2,)</f>
        <v>0</v>
      </c>
      <c r="Q204" s="140">
        <f ca="1">IF(ISNUMBER(MATCH(DATEVALUE($A204),'changes1_based on steps'!Q$1:Q$400,0)),Q$2,)</f>
        <v>0</v>
      </c>
      <c r="R204" s="140">
        <f ca="1">IF(ISNUMBER(MATCH(DATEVALUE($A204),'changes1_based on steps'!R$1:R$400,0)),R$2,)</f>
        <v>0</v>
      </c>
      <c r="S204" s="140">
        <f ca="1">IF(ISNUMBER(MATCH(DATEVALUE($A204),'changes1_based on steps'!S$1:S$400,0)),S$2,)</f>
        <v>0</v>
      </c>
      <c r="T204" s="140">
        <f ca="1">IF(ISNUMBER(MATCH(DATEVALUE($A204),'changes1_based on steps'!T$1:T$400,0)),T$2,)</f>
        <v>0</v>
      </c>
      <c r="U204" s="140">
        <f ca="1">IF(ISNUMBER(MATCH(DATEVALUE($A204),'changes1_based on steps'!U$1:U$400,0)),U$2,)</f>
        <v>0</v>
      </c>
      <c r="V204" s="140"/>
      <c r="W204" s="140"/>
      <c r="X204" s="140"/>
      <c r="Y204" s="140"/>
      <c r="Z204" s="140"/>
      <c r="AA204" s="140"/>
      <c r="AB204" s="140"/>
      <c r="AC204" s="140"/>
      <c r="AD204" s="140"/>
      <c r="AE204" s="140"/>
      <c r="AF204" s="140"/>
      <c r="AG204" s="140"/>
      <c r="AH204" s="140"/>
      <c r="AI204" s="140"/>
      <c r="AJ204" s="140"/>
      <c r="AK204" s="140"/>
      <c r="AL204" s="140"/>
      <c r="AM204" s="140"/>
      <c r="AN204" s="140"/>
      <c r="AO204" s="140"/>
      <c r="AP204" s="140"/>
      <c r="AQ204" s="140"/>
      <c r="AR204" s="140"/>
      <c r="AS204" s="140"/>
      <c r="AT204" s="140"/>
      <c r="AU204" s="140"/>
      <c r="AV204" s="140"/>
      <c r="AW204" s="140"/>
      <c r="AX204" s="140"/>
      <c r="AY204" s="140"/>
      <c r="AZ204" s="140"/>
      <c r="BA204" s="140"/>
      <c r="BB204" s="140"/>
      <c r="BC204" s="140"/>
      <c r="BD204" s="140"/>
      <c r="BE204" s="140"/>
      <c r="BF204" s="140"/>
      <c r="BG204" s="140"/>
      <c r="BH204" s="140"/>
      <c r="BI204" s="140"/>
      <c r="BJ204" s="140"/>
      <c r="BK204" s="140"/>
      <c r="BL204" s="140"/>
      <c r="BM204" s="140"/>
      <c r="BN204" s="140"/>
      <c r="BO204" s="140"/>
      <c r="BP204" s="140"/>
      <c r="BQ204" s="140"/>
      <c r="BR204" s="140"/>
      <c r="BS204" s="140"/>
      <c r="BT204" s="140"/>
      <c r="BU204" s="140"/>
      <c r="BV204" s="140"/>
      <c r="BW204" s="140"/>
      <c r="BX204" s="140"/>
      <c r="BY204" s="140"/>
      <c r="BZ204" s="140"/>
      <c r="CA204" s="140"/>
      <c r="CB204" s="140"/>
      <c r="CC204" s="140"/>
      <c r="CD204" s="140"/>
      <c r="CE204" s="140"/>
      <c r="CF204" s="140"/>
      <c r="CG204" s="140"/>
      <c r="CH204" s="140"/>
      <c r="CI204" s="140"/>
      <c r="CJ204" s="140"/>
      <c r="CK204" s="140"/>
      <c r="CL204" s="140"/>
      <c r="CM204" s="140"/>
      <c r="CN204" s="140"/>
      <c r="CO204" s="140"/>
      <c r="CP204" s="140"/>
      <c r="CQ204" s="140"/>
      <c r="CR204" s="140"/>
      <c r="CS204" s="140"/>
      <c r="CT204" s="140"/>
      <c r="CU204" s="140"/>
      <c r="CV204" s="140"/>
      <c r="CW204" s="140"/>
    </row>
    <row r="205" spans="1:101" x14ac:dyDescent="0.2">
      <c r="A205" s="29" t="str">
        <f t="shared" ca="1" si="3"/>
        <v>2025-10-15</v>
      </c>
      <c r="B205" s="140">
        <f ca="1">IF(ISNUMBER(MATCH(DATEVALUE($A205),'changes1_based on steps'!B$1:B$400,0)),B$2,)</f>
        <v>0</v>
      </c>
      <c r="C205" s="140">
        <f ca="1">IF(ISNUMBER(MATCH(DATEVALUE($A205),'changes1_based on steps'!C$1:C$400,0)),C$2,)</f>
        <v>0</v>
      </c>
      <c r="D205" s="140">
        <f ca="1">IF(ISNUMBER(MATCH(DATEVALUE($A205),'changes1_based on steps'!D$1:D$400,0)),D$2,)</f>
        <v>0</v>
      </c>
      <c r="E205" s="140">
        <f ca="1">IF(ISNUMBER(MATCH(DATEVALUE($A205),'changes1_based on steps'!E$1:E$400,0)),E$2,)</f>
        <v>0</v>
      </c>
      <c r="F205" s="140">
        <f ca="1">IF(ISNUMBER(MATCH(DATEVALUE($A205),'changes1_based on steps'!F$1:F$400,0)),F$2,)</f>
        <v>0</v>
      </c>
      <c r="G205" s="140">
        <f ca="1">IF(ISNUMBER(MATCH(DATEVALUE($A205),'changes1_based on steps'!G$1:G$400,0)),G$2,)</f>
        <v>0</v>
      </c>
      <c r="H205" s="140">
        <f ca="1">IF(ISNUMBER(MATCH(DATEVALUE($A205),'changes1_based on steps'!H$1:H$400,0)),H$2,)</f>
        <v>0</v>
      </c>
      <c r="I205" s="140">
        <f ca="1">IF(ISNUMBER(MATCH(DATEVALUE($A205),'changes1_based on steps'!I$1:I$400,0)),I$2,)</f>
        <v>0</v>
      </c>
      <c r="J205" s="140">
        <f ca="1">IF(ISNUMBER(MATCH(DATEVALUE($A205),'changes1_based on steps'!J$1:J$400,0)),J$2,)</f>
        <v>0</v>
      </c>
      <c r="K205" s="140">
        <f ca="1">IF(ISNUMBER(MATCH(DATEVALUE($A205),'changes1_based on steps'!K$1:K$400,0)),K$2,)</f>
        <v>0</v>
      </c>
      <c r="L205" s="140">
        <f ca="1">IF(ISNUMBER(MATCH(DATEVALUE($A205),'changes1_based on steps'!L$1:L$400,0)),L$2,)</f>
        <v>0</v>
      </c>
      <c r="M205" s="140">
        <f ca="1">IF(ISNUMBER(MATCH(DATEVALUE($A205),'changes1_based on steps'!M$1:M$400,0)),M$2,)</f>
        <v>0</v>
      </c>
      <c r="N205" s="140">
        <f ca="1">IF(ISNUMBER(MATCH(DATEVALUE($A205),'changes1_based on steps'!N$1:N$400,0)),N$2,)</f>
        <v>0</v>
      </c>
      <c r="O205" s="140">
        <f ca="1">IF(ISNUMBER(MATCH(DATEVALUE($A205),'changes1_based on steps'!O$1:O$400,0)),O$2,)</f>
        <v>0</v>
      </c>
      <c r="P205" s="140">
        <f ca="1">IF(ISNUMBER(MATCH(DATEVALUE($A205),'changes1_based on steps'!P$1:P$400,0)),P$2,)</f>
        <v>0</v>
      </c>
      <c r="Q205" s="140">
        <f ca="1">IF(ISNUMBER(MATCH(DATEVALUE($A205),'changes1_based on steps'!Q$1:Q$400,0)),Q$2,)</f>
        <v>0</v>
      </c>
      <c r="R205" s="140">
        <f ca="1">IF(ISNUMBER(MATCH(DATEVALUE($A205),'changes1_based on steps'!R$1:R$400,0)),R$2,)</f>
        <v>0</v>
      </c>
      <c r="S205" s="140">
        <f ca="1">IF(ISNUMBER(MATCH(DATEVALUE($A205),'changes1_based on steps'!S$1:S$400,0)),S$2,)</f>
        <v>0</v>
      </c>
      <c r="T205" s="140">
        <f ca="1">IF(ISNUMBER(MATCH(DATEVALUE($A205),'changes1_based on steps'!T$1:T$400,0)),T$2,)</f>
        <v>0</v>
      </c>
      <c r="U205" s="140">
        <f ca="1">IF(ISNUMBER(MATCH(DATEVALUE($A205),'changes1_based on steps'!U$1:U$400,0)),U$2,)</f>
        <v>0</v>
      </c>
      <c r="V205" s="140"/>
      <c r="W205" s="140"/>
      <c r="X205" s="140"/>
      <c r="Y205" s="140"/>
      <c r="Z205" s="140"/>
      <c r="AA205" s="140"/>
      <c r="AB205" s="140"/>
      <c r="AC205" s="140"/>
      <c r="AD205" s="140"/>
      <c r="AE205" s="140"/>
      <c r="AF205" s="140"/>
      <c r="AG205" s="140"/>
      <c r="AH205" s="140"/>
      <c r="AI205" s="140"/>
      <c r="AJ205" s="140"/>
      <c r="AK205" s="140"/>
      <c r="AL205" s="140"/>
      <c r="AM205" s="140"/>
      <c r="AN205" s="140"/>
      <c r="AO205" s="140"/>
      <c r="AP205" s="140"/>
      <c r="AQ205" s="140"/>
      <c r="AR205" s="140"/>
      <c r="AS205" s="140"/>
      <c r="AT205" s="140"/>
      <c r="AU205" s="140"/>
      <c r="AV205" s="140"/>
      <c r="AW205" s="140"/>
      <c r="AX205" s="140"/>
      <c r="AY205" s="140"/>
      <c r="AZ205" s="140"/>
      <c r="BA205" s="140"/>
      <c r="BB205" s="140"/>
      <c r="BC205" s="140"/>
      <c r="BD205" s="140"/>
      <c r="BE205" s="140"/>
      <c r="BF205" s="140"/>
      <c r="BG205" s="140"/>
      <c r="BH205" s="140"/>
      <c r="BI205" s="140"/>
      <c r="BJ205" s="140"/>
      <c r="BK205" s="140"/>
      <c r="BL205" s="140"/>
      <c r="BM205" s="140"/>
      <c r="BN205" s="140"/>
      <c r="BO205" s="140"/>
      <c r="BP205" s="140"/>
      <c r="BQ205" s="140"/>
      <c r="BR205" s="140"/>
      <c r="BS205" s="140"/>
      <c r="BT205" s="140"/>
      <c r="BU205" s="140"/>
      <c r="BV205" s="140"/>
      <c r="BW205" s="140"/>
      <c r="BX205" s="140"/>
      <c r="BY205" s="140"/>
      <c r="BZ205" s="140"/>
      <c r="CA205" s="140"/>
      <c r="CB205" s="140"/>
      <c r="CC205" s="140"/>
      <c r="CD205" s="140"/>
      <c r="CE205" s="140"/>
      <c r="CF205" s="140"/>
      <c r="CG205" s="140"/>
      <c r="CH205" s="140"/>
      <c r="CI205" s="140"/>
      <c r="CJ205" s="140"/>
      <c r="CK205" s="140"/>
      <c r="CL205" s="140"/>
      <c r="CM205" s="140"/>
      <c r="CN205" s="140"/>
      <c r="CO205" s="140"/>
      <c r="CP205" s="140"/>
      <c r="CQ205" s="140"/>
      <c r="CR205" s="140"/>
      <c r="CS205" s="140"/>
      <c r="CT205" s="140"/>
      <c r="CU205" s="140"/>
      <c r="CV205" s="140"/>
      <c r="CW205" s="140"/>
    </row>
    <row r="206" spans="1:101" x14ac:dyDescent="0.2">
      <c r="A206" s="29" t="str">
        <f t="shared" ca="1" si="3"/>
        <v>2025-10-16</v>
      </c>
      <c r="B206" s="140">
        <f ca="1">IF(ISNUMBER(MATCH(DATEVALUE($A206),'changes1_based on steps'!B$1:B$400,0)),B$2,)</f>
        <v>0</v>
      </c>
      <c r="C206" s="140">
        <f ca="1">IF(ISNUMBER(MATCH(DATEVALUE($A206),'changes1_based on steps'!C$1:C$400,0)),C$2,)</f>
        <v>0</v>
      </c>
      <c r="D206" s="140">
        <f ca="1">IF(ISNUMBER(MATCH(DATEVALUE($A206),'changes1_based on steps'!D$1:D$400,0)),D$2,)</f>
        <v>0</v>
      </c>
      <c r="E206" s="140">
        <f ca="1">IF(ISNUMBER(MATCH(DATEVALUE($A206),'changes1_based on steps'!E$1:E$400,0)),E$2,)</f>
        <v>0</v>
      </c>
      <c r="F206" s="140">
        <f ca="1">IF(ISNUMBER(MATCH(DATEVALUE($A206),'changes1_based on steps'!F$1:F$400,0)),F$2,)</f>
        <v>0</v>
      </c>
      <c r="G206" s="140">
        <f ca="1">IF(ISNUMBER(MATCH(DATEVALUE($A206),'changes1_based on steps'!G$1:G$400,0)),G$2,)</f>
        <v>0</v>
      </c>
      <c r="H206" s="140">
        <f ca="1">IF(ISNUMBER(MATCH(DATEVALUE($A206),'changes1_based on steps'!H$1:H$400,0)),H$2,)</f>
        <v>0</v>
      </c>
      <c r="I206" s="140">
        <f ca="1">IF(ISNUMBER(MATCH(DATEVALUE($A206),'changes1_based on steps'!I$1:I$400,0)),I$2,)</f>
        <v>0</v>
      </c>
      <c r="J206" s="140">
        <f ca="1">IF(ISNUMBER(MATCH(DATEVALUE($A206),'changes1_based on steps'!J$1:J$400,0)),J$2,)</f>
        <v>0</v>
      </c>
      <c r="K206" s="140">
        <f ca="1">IF(ISNUMBER(MATCH(DATEVALUE($A206),'changes1_based on steps'!K$1:K$400,0)),K$2,)</f>
        <v>0</v>
      </c>
      <c r="L206" s="140">
        <f ca="1">IF(ISNUMBER(MATCH(DATEVALUE($A206),'changes1_based on steps'!L$1:L$400,0)),L$2,)</f>
        <v>0</v>
      </c>
      <c r="M206" s="140">
        <f ca="1">IF(ISNUMBER(MATCH(DATEVALUE($A206),'changes1_based on steps'!M$1:M$400,0)),M$2,)</f>
        <v>0</v>
      </c>
      <c r="N206" s="140">
        <f ca="1">IF(ISNUMBER(MATCH(DATEVALUE($A206),'changes1_based on steps'!N$1:N$400,0)),N$2,)</f>
        <v>0</v>
      </c>
      <c r="O206" s="140">
        <f ca="1">IF(ISNUMBER(MATCH(DATEVALUE($A206),'changes1_based on steps'!O$1:O$400,0)),O$2,)</f>
        <v>0</v>
      </c>
      <c r="P206" s="140">
        <f ca="1">IF(ISNUMBER(MATCH(DATEVALUE($A206),'changes1_based on steps'!P$1:P$400,0)),P$2,)</f>
        <v>0</v>
      </c>
      <c r="Q206" s="140">
        <f ca="1">IF(ISNUMBER(MATCH(DATEVALUE($A206),'changes1_based on steps'!Q$1:Q$400,0)),Q$2,)</f>
        <v>0</v>
      </c>
      <c r="R206" s="140">
        <f ca="1">IF(ISNUMBER(MATCH(DATEVALUE($A206),'changes1_based on steps'!R$1:R$400,0)),R$2,)</f>
        <v>0</v>
      </c>
      <c r="S206" s="140">
        <f ca="1">IF(ISNUMBER(MATCH(DATEVALUE($A206),'changes1_based on steps'!S$1:S$400,0)),S$2,)</f>
        <v>0</v>
      </c>
      <c r="T206" s="140">
        <f ca="1">IF(ISNUMBER(MATCH(DATEVALUE($A206),'changes1_based on steps'!T$1:T$400,0)),T$2,)</f>
        <v>0</v>
      </c>
      <c r="U206" s="140">
        <f ca="1">IF(ISNUMBER(MATCH(DATEVALUE($A206),'changes1_based on steps'!U$1:U$400,0)),U$2,)</f>
        <v>0</v>
      </c>
      <c r="V206" s="140"/>
      <c r="W206" s="140"/>
      <c r="X206" s="140"/>
      <c r="Y206" s="140"/>
      <c r="Z206" s="140"/>
      <c r="AA206" s="140"/>
      <c r="AB206" s="140"/>
      <c r="AC206" s="140"/>
      <c r="AD206" s="140"/>
      <c r="AE206" s="140"/>
      <c r="AF206" s="140"/>
      <c r="AG206" s="140"/>
      <c r="AH206" s="140"/>
      <c r="AI206" s="140"/>
      <c r="AJ206" s="140"/>
      <c r="AK206" s="140"/>
      <c r="AL206" s="140"/>
      <c r="AM206" s="140"/>
      <c r="AN206" s="140"/>
      <c r="AO206" s="140"/>
      <c r="AP206" s="140"/>
      <c r="AQ206" s="140"/>
      <c r="AR206" s="140"/>
      <c r="AS206" s="140"/>
      <c r="AT206" s="140"/>
      <c r="AU206" s="140"/>
      <c r="AV206" s="140"/>
      <c r="AW206" s="140"/>
      <c r="AX206" s="140"/>
      <c r="AY206" s="140"/>
      <c r="AZ206" s="140"/>
      <c r="BA206" s="140"/>
      <c r="BB206" s="140"/>
      <c r="BC206" s="140"/>
      <c r="BD206" s="140"/>
      <c r="BE206" s="140"/>
      <c r="BF206" s="140"/>
      <c r="BG206" s="140"/>
      <c r="BH206" s="140"/>
      <c r="BI206" s="140"/>
      <c r="BJ206" s="140"/>
      <c r="BK206" s="140"/>
      <c r="BL206" s="140"/>
      <c r="BM206" s="140"/>
      <c r="BN206" s="140"/>
      <c r="BO206" s="140"/>
      <c r="BP206" s="140"/>
      <c r="BQ206" s="140"/>
      <c r="BR206" s="140"/>
      <c r="BS206" s="140"/>
      <c r="BT206" s="140"/>
      <c r="BU206" s="140"/>
      <c r="BV206" s="140"/>
      <c r="BW206" s="140"/>
      <c r="BX206" s="140"/>
      <c r="BY206" s="140"/>
      <c r="BZ206" s="140"/>
      <c r="CA206" s="140"/>
      <c r="CB206" s="140"/>
      <c r="CC206" s="140"/>
      <c r="CD206" s="140"/>
      <c r="CE206" s="140"/>
      <c r="CF206" s="140"/>
      <c r="CG206" s="140"/>
      <c r="CH206" s="140"/>
      <c r="CI206" s="140"/>
      <c r="CJ206" s="140"/>
      <c r="CK206" s="140"/>
      <c r="CL206" s="140"/>
      <c r="CM206" s="140"/>
      <c r="CN206" s="140"/>
      <c r="CO206" s="140"/>
      <c r="CP206" s="140"/>
      <c r="CQ206" s="140"/>
      <c r="CR206" s="140"/>
      <c r="CS206" s="140"/>
      <c r="CT206" s="140"/>
      <c r="CU206" s="140"/>
      <c r="CV206" s="140"/>
      <c r="CW206" s="140"/>
    </row>
    <row r="207" spans="1:101" x14ac:dyDescent="0.2">
      <c r="A207" s="29" t="str">
        <f t="shared" ca="1" si="3"/>
        <v>2025-10-17</v>
      </c>
      <c r="B207" s="140">
        <f ca="1">IF(ISNUMBER(MATCH(DATEVALUE($A207),'changes1_based on steps'!B$1:B$400,0)),B$2,)</f>
        <v>0</v>
      </c>
      <c r="C207" s="140">
        <f ca="1">IF(ISNUMBER(MATCH(DATEVALUE($A207),'changes1_based on steps'!C$1:C$400,0)),C$2,)</f>
        <v>0</v>
      </c>
      <c r="D207" s="140">
        <f ca="1">IF(ISNUMBER(MATCH(DATEVALUE($A207),'changes1_based on steps'!D$1:D$400,0)),D$2,)</f>
        <v>0</v>
      </c>
      <c r="E207" s="140">
        <f ca="1">IF(ISNUMBER(MATCH(DATEVALUE($A207),'changes1_based on steps'!E$1:E$400,0)),E$2,)</f>
        <v>0</v>
      </c>
      <c r="F207" s="140">
        <f ca="1">IF(ISNUMBER(MATCH(DATEVALUE($A207),'changes1_based on steps'!F$1:F$400,0)),F$2,)</f>
        <v>0</v>
      </c>
      <c r="G207" s="140">
        <f ca="1">IF(ISNUMBER(MATCH(DATEVALUE($A207),'changes1_based on steps'!G$1:G$400,0)),G$2,)</f>
        <v>0</v>
      </c>
      <c r="H207" s="140">
        <f ca="1">IF(ISNUMBER(MATCH(DATEVALUE($A207),'changes1_based on steps'!H$1:H$400,0)),H$2,)</f>
        <v>0</v>
      </c>
      <c r="I207" s="140">
        <f ca="1">IF(ISNUMBER(MATCH(DATEVALUE($A207),'changes1_based on steps'!I$1:I$400,0)),I$2,)</f>
        <v>0</v>
      </c>
      <c r="J207" s="140">
        <f ca="1">IF(ISNUMBER(MATCH(DATEVALUE($A207),'changes1_based on steps'!J$1:J$400,0)),J$2,)</f>
        <v>0</v>
      </c>
      <c r="K207" s="140">
        <f ca="1">IF(ISNUMBER(MATCH(DATEVALUE($A207),'changes1_based on steps'!K$1:K$400,0)),K$2,)</f>
        <v>0</v>
      </c>
      <c r="L207" s="140">
        <f ca="1">IF(ISNUMBER(MATCH(DATEVALUE($A207),'changes1_based on steps'!L$1:L$400,0)),L$2,)</f>
        <v>0</v>
      </c>
      <c r="M207" s="140">
        <f ca="1">IF(ISNUMBER(MATCH(DATEVALUE($A207),'changes1_based on steps'!M$1:M$400,0)),M$2,)</f>
        <v>0</v>
      </c>
      <c r="N207" s="140">
        <f ca="1">IF(ISNUMBER(MATCH(DATEVALUE($A207),'changes1_based on steps'!N$1:N$400,0)),N$2,)</f>
        <v>0</v>
      </c>
      <c r="O207" s="140">
        <f ca="1">IF(ISNUMBER(MATCH(DATEVALUE($A207),'changes1_based on steps'!O$1:O$400,0)),O$2,)</f>
        <v>0</v>
      </c>
      <c r="P207" s="140">
        <f ca="1">IF(ISNUMBER(MATCH(DATEVALUE($A207),'changes1_based on steps'!P$1:P$400,0)),P$2,)</f>
        <v>0</v>
      </c>
      <c r="Q207" s="140">
        <f ca="1">IF(ISNUMBER(MATCH(DATEVALUE($A207),'changes1_based on steps'!Q$1:Q$400,0)),Q$2,)</f>
        <v>0</v>
      </c>
      <c r="R207" s="140">
        <f ca="1">IF(ISNUMBER(MATCH(DATEVALUE($A207),'changes1_based on steps'!R$1:R$400,0)),R$2,)</f>
        <v>0</v>
      </c>
      <c r="S207" s="140">
        <f ca="1">IF(ISNUMBER(MATCH(DATEVALUE($A207),'changes1_based on steps'!S$1:S$400,0)),S$2,)</f>
        <v>0</v>
      </c>
      <c r="T207" s="140">
        <f ca="1">IF(ISNUMBER(MATCH(DATEVALUE($A207),'changes1_based on steps'!T$1:T$400,0)),T$2,)</f>
        <v>0</v>
      </c>
      <c r="U207" s="140">
        <f ca="1">IF(ISNUMBER(MATCH(DATEVALUE($A207),'changes1_based on steps'!U$1:U$400,0)),U$2,)</f>
        <v>0</v>
      </c>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c r="CU207" s="140"/>
      <c r="CV207" s="140"/>
      <c r="CW207" s="140"/>
    </row>
    <row r="208" spans="1:101" x14ac:dyDescent="0.2">
      <c r="A208" s="29" t="str">
        <f t="shared" ca="1" si="3"/>
        <v>2025-10-18</v>
      </c>
      <c r="B208" s="140">
        <f ca="1">IF(ISNUMBER(MATCH(DATEVALUE($A208),'changes1_based on steps'!B$1:B$400,0)),B$2,)</f>
        <v>0</v>
      </c>
      <c r="C208" s="140">
        <f ca="1">IF(ISNUMBER(MATCH(DATEVALUE($A208),'changes1_based on steps'!C$1:C$400,0)),C$2,)</f>
        <v>0</v>
      </c>
      <c r="D208" s="140">
        <f ca="1">IF(ISNUMBER(MATCH(DATEVALUE($A208),'changes1_based on steps'!D$1:D$400,0)),D$2,)</f>
        <v>0</v>
      </c>
      <c r="E208" s="140">
        <f ca="1">IF(ISNUMBER(MATCH(DATEVALUE($A208),'changes1_based on steps'!E$1:E$400,0)),E$2,)</f>
        <v>0</v>
      </c>
      <c r="F208" s="140">
        <f ca="1">IF(ISNUMBER(MATCH(DATEVALUE($A208),'changes1_based on steps'!F$1:F$400,0)),F$2,)</f>
        <v>0</v>
      </c>
      <c r="G208" s="140">
        <f ca="1">IF(ISNUMBER(MATCH(DATEVALUE($A208),'changes1_based on steps'!G$1:G$400,0)),G$2,)</f>
        <v>0</v>
      </c>
      <c r="H208" s="140">
        <f ca="1">IF(ISNUMBER(MATCH(DATEVALUE($A208),'changes1_based on steps'!H$1:H$400,0)),H$2,)</f>
        <v>0</v>
      </c>
      <c r="I208" s="140">
        <f ca="1">IF(ISNUMBER(MATCH(DATEVALUE($A208),'changes1_based on steps'!I$1:I$400,0)),I$2,)</f>
        <v>0</v>
      </c>
      <c r="J208" s="140">
        <f ca="1">IF(ISNUMBER(MATCH(DATEVALUE($A208),'changes1_based on steps'!J$1:J$400,0)),J$2,)</f>
        <v>0</v>
      </c>
      <c r="K208" s="140">
        <f ca="1">IF(ISNUMBER(MATCH(DATEVALUE($A208),'changes1_based on steps'!K$1:K$400,0)),K$2,)</f>
        <v>0</v>
      </c>
      <c r="L208" s="140">
        <f ca="1">IF(ISNUMBER(MATCH(DATEVALUE($A208),'changes1_based on steps'!L$1:L$400,0)),L$2,)</f>
        <v>0</v>
      </c>
      <c r="M208" s="140">
        <f ca="1">IF(ISNUMBER(MATCH(DATEVALUE($A208),'changes1_based on steps'!M$1:M$400,0)),M$2,)</f>
        <v>0</v>
      </c>
      <c r="N208" s="140">
        <f ca="1">IF(ISNUMBER(MATCH(DATEVALUE($A208),'changes1_based on steps'!N$1:N$400,0)),N$2,)</f>
        <v>0</v>
      </c>
      <c r="O208" s="140">
        <f ca="1">IF(ISNUMBER(MATCH(DATEVALUE($A208),'changes1_based on steps'!O$1:O$400,0)),O$2,)</f>
        <v>0</v>
      </c>
      <c r="P208" s="140">
        <f ca="1">IF(ISNUMBER(MATCH(DATEVALUE($A208),'changes1_based on steps'!P$1:P$400,0)),P$2,)</f>
        <v>0</v>
      </c>
      <c r="Q208" s="140">
        <f ca="1">IF(ISNUMBER(MATCH(DATEVALUE($A208),'changes1_based on steps'!Q$1:Q$400,0)),Q$2,)</f>
        <v>0</v>
      </c>
      <c r="R208" s="140">
        <f ca="1">IF(ISNUMBER(MATCH(DATEVALUE($A208),'changes1_based on steps'!R$1:R$400,0)),R$2,)</f>
        <v>0</v>
      </c>
      <c r="S208" s="140">
        <f ca="1">IF(ISNUMBER(MATCH(DATEVALUE($A208),'changes1_based on steps'!S$1:S$400,0)),S$2,)</f>
        <v>0</v>
      </c>
      <c r="T208" s="140">
        <f ca="1">IF(ISNUMBER(MATCH(DATEVALUE($A208),'changes1_based on steps'!T$1:T$400,0)),T$2,)</f>
        <v>0</v>
      </c>
      <c r="U208" s="140">
        <f ca="1">IF(ISNUMBER(MATCH(DATEVALUE($A208),'changes1_based on steps'!U$1:U$400,0)),U$2,)</f>
        <v>0</v>
      </c>
      <c r="V208" s="140"/>
      <c r="W208" s="140"/>
      <c r="X208" s="140"/>
      <c r="Y208" s="140"/>
      <c r="Z208" s="140"/>
      <c r="AA208" s="140"/>
      <c r="AB208" s="140"/>
      <c r="AC208" s="140"/>
      <c r="AD208" s="140"/>
      <c r="AE208" s="140"/>
      <c r="AF208" s="140"/>
      <c r="AG208" s="140"/>
      <c r="AH208" s="140"/>
      <c r="AI208" s="140"/>
      <c r="AJ208" s="140"/>
      <c r="AK208" s="140"/>
      <c r="AL208" s="140"/>
      <c r="AM208" s="140"/>
      <c r="AN208" s="140"/>
      <c r="AO208" s="140"/>
      <c r="AP208" s="140"/>
      <c r="AQ208" s="140"/>
      <c r="AR208" s="140"/>
      <c r="AS208" s="140"/>
      <c r="AT208" s="140"/>
      <c r="AU208" s="140"/>
      <c r="AV208" s="140"/>
      <c r="AW208" s="140"/>
      <c r="AX208" s="140"/>
      <c r="AY208" s="140"/>
      <c r="AZ208" s="140"/>
      <c r="BA208" s="140"/>
      <c r="BB208" s="140"/>
      <c r="BC208" s="140"/>
      <c r="BD208" s="140"/>
      <c r="BE208" s="140"/>
      <c r="BF208" s="140"/>
      <c r="BG208" s="140"/>
      <c r="BH208" s="140"/>
      <c r="BI208" s="140"/>
      <c r="BJ208" s="140"/>
      <c r="BK208" s="140"/>
      <c r="BL208" s="140"/>
      <c r="BM208" s="140"/>
      <c r="BN208" s="140"/>
      <c r="BO208" s="140"/>
      <c r="BP208" s="140"/>
      <c r="BQ208" s="140"/>
      <c r="BR208" s="140"/>
      <c r="BS208" s="140"/>
      <c r="BT208" s="140"/>
      <c r="BU208" s="140"/>
      <c r="BV208" s="140"/>
      <c r="BW208" s="140"/>
      <c r="BX208" s="140"/>
      <c r="BY208" s="140"/>
      <c r="BZ208" s="140"/>
      <c r="CA208" s="140"/>
      <c r="CB208" s="140"/>
      <c r="CC208" s="140"/>
      <c r="CD208" s="140"/>
      <c r="CE208" s="140"/>
      <c r="CF208" s="140"/>
      <c r="CG208" s="140"/>
      <c r="CH208" s="140"/>
      <c r="CI208" s="140"/>
      <c r="CJ208" s="140"/>
      <c r="CK208" s="140"/>
      <c r="CL208" s="140"/>
      <c r="CM208" s="140"/>
      <c r="CN208" s="140"/>
      <c r="CO208" s="140"/>
      <c r="CP208" s="140"/>
      <c r="CQ208" s="140"/>
      <c r="CR208" s="140"/>
      <c r="CS208" s="140"/>
      <c r="CT208" s="140"/>
      <c r="CU208" s="140"/>
      <c r="CV208" s="140"/>
      <c r="CW208" s="140"/>
    </row>
    <row r="209" spans="1:101" x14ac:dyDescent="0.2">
      <c r="A209" s="29" t="str">
        <f t="shared" ca="1" si="3"/>
        <v>2025-10-19</v>
      </c>
      <c r="B209" s="140">
        <f ca="1">IF(ISNUMBER(MATCH(DATEVALUE($A209),'changes1_based on steps'!B$1:B$400,0)),B$2,)</f>
        <v>0</v>
      </c>
      <c r="C209" s="140">
        <f ca="1">IF(ISNUMBER(MATCH(DATEVALUE($A209),'changes1_based on steps'!C$1:C$400,0)),C$2,)</f>
        <v>0</v>
      </c>
      <c r="D209" s="140">
        <f ca="1">IF(ISNUMBER(MATCH(DATEVALUE($A209),'changes1_based on steps'!D$1:D$400,0)),D$2,)</f>
        <v>0</v>
      </c>
      <c r="E209" s="140">
        <f ca="1">IF(ISNUMBER(MATCH(DATEVALUE($A209),'changes1_based on steps'!E$1:E$400,0)),E$2,)</f>
        <v>0</v>
      </c>
      <c r="F209" s="140">
        <f ca="1">IF(ISNUMBER(MATCH(DATEVALUE($A209),'changes1_based on steps'!F$1:F$400,0)),F$2,)</f>
        <v>0</v>
      </c>
      <c r="G209" s="140">
        <f ca="1">IF(ISNUMBER(MATCH(DATEVALUE($A209),'changes1_based on steps'!G$1:G$400,0)),G$2,)</f>
        <v>0</v>
      </c>
      <c r="H209" s="140">
        <f ca="1">IF(ISNUMBER(MATCH(DATEVALUE($A209),'changes1_based on steps'!H$1:H$400,0)),H$2,)</f>
        <v>0</v>
      </c>
      <c r="I209" s="140">
        <f ca="1">IF(ISNUMBER(MATCH(DATEVALUE($A209),'changes1_based on steps'!I$1:I$400,0)),I$2,)</f>
        <v>0</v>
      </c>
      <c r="J209" s="140">
        <f ca="1">IF(ISNUMBER(MATCH(DATEVALUE($A209),'changes1_based on steps'!J$1:J$400,0)),J$2,)</f>
        <v>0</v>
      </c>
      <c r="K209" s="140">
        <f ca="1">IF(ISNUMBER(MATCH(DATEVALUE($A209),'changes1_based on steps'!K$1:K$400,0)),K$2,)</f>
        <v>0</v>
      </c>
      <c r="L209" s="140">
        <f ca="1">IF(ISNUMBER(MATCH(DATEVALUE($A209),'changes1_based on steps'!L$1:L$400,0)),L$2,)</f>
        <v>0</v>
      </c>
      <c r="M209" s="140">
        <f ca="1">IF(ISNUMBER(MATCH(DATEVALUE($A209),'changes1_based on steps'!M$1:M$400,0)),M$2,)</f>
        <v>0</v>
      </c>
      <c r="N209" s="140">
        <f ca="1">IF(ISNUMBER(MATCH(DATEVALUE($A209),'changes1_based on steps'!N$1:N$400,0)),N$2,)</f>
        <v>0</v>
      </c>
      <c r="O209" s="140">
        <f ca="1">IF(ISNUMBER(MATCH(DATEVALUE($A209),'changes1_based on steps'!O$1:O$400,0)),O$2,)</f>
        <v>0</v>
      </c>
      <c r="P209" s="140">
        <f ca="1">IF(ISNUMBER(MATCH(DATEVALUE($A209),'changes1_based on steps'!P$1:P$400,0)),P$2,)</f>
        <v>0</v>
      </c>
      <c r="Q209" s="140">
        <f ca="1">IF(ISNUMBER(MATCH(DATEVALUE($A209),'changes1_based on steps'!Q$1:Q$400,0)),Q$2,)</f>
        <v>0</v>
      </c>
      <c r="R209" s="140">
        <f ca="1">IF(ISNUMBER(MATCH(DATEVALUE($A209),'changes1_based on steps'!R$1:R$400,0)),R$2,)</f>
        <v>0</v>
      </c>
      <c r="S209" s="140">
        <f ca="1">IF(ISNUMBER(MATCH(DATEVALUE($A209),'changes1_based on steps'!S$1:S$400,0)),S$2,)</f>
        <v>0</v>
      </c>
      <c r="T209" s="140">
        <f ca="1">IF(ISNUMBER(MATCH(DATEVALUE($A209),'changes1_based on steps'!T$1:T$400,0)),T$2,)</f>
        <v>0</v>
      </c>
      <c r="U209" s="140">
        <f ca="1">IF(ISNUMBER(MATCH(DATEVALUE($A209),'changes1_based on steps'!U$1:U$400,0)),U$2,)</f>
        <v>0</v>
      </c>
      <c r="V209" s="140"/>
      <c r="W209" s="140"/>
      <c r="X209" s="140"/>
      <c r="Y209" s="140"/>
      <c r="Z209" s="140"/>
      <c r="AA209" s="140"/>
      <c r="AB209" s="140"/>
      <c r="AC209" s="140"/>
      <c r="AD209" s="140"/>
      <c r="AE209" s="140"/>
      <c r="AF209" s="140"/>
      <c r="AG209" s="140"/>
      <c r="AH209" s="140"/>
      <c r="AI209" s="140"/>
      <c r="AJ209" s="140"/>
      <c r="AK209" s="140"/>
      <c r="AL209" s="140"/>
      <c r="AM209" s="140"/>
      <c r="AN209" s="140"/>
      <c r="AO209" s="140"/>
      <c r="AP209" s="140"/>
      <c r="AQ209" s="140"/>
      <c r="AR209" s="140"/>
      <c r="AS209" s="140"/>
      <c r="AT209" s="140"/>
      <c r="AU209" s="140"/>
      <c r="AV209" s="140"/>
      <c r="AW209" s="140"/>
      <c r="AX209" s="140"/>
      <c r="AY209" s="140"/>
      <c r="AZ209" s="140"/>
      <c r="BA209" s="140"/>
      <c r="BB209" s="140"/>
      <c r="BC209" s="140"/>
      <c r="BD209" s="140"/>
      <c r="BE209" s="140"/>
      <c r="BF209" s="140"/>
      <c r="BG209" s="140"/>
      <c r="BH209" s="140"/>
      <c r="BI209" s="140"/>
      <c r="BJ209" s="140"/>
      <c r="BK209" s="140"/>
      <c r="BL209" s="140"/>
      <c r="BM209" s="140"/>
      <c r="BN209" s="140"/>
      <c r="BO209" s="140"/>
      <c r="BP209" s="140"/>
      <c r="BQ209" s="140"/>
      <c r="BR209" s="140"/>
      <c r="BS209" s="140"/>
      <c r="BT209" s="140"/>
      <c r="BU209" s="140"/>
      <c r="BV209" s="140"/>
      <c r="BW209" s="140"/>
      <c r="BX209" s="140"/>
      <c r="BY209" s="140"/>
      <c r="BZ209" s="140"/>
      <c r="CA209" s="140"/>
      <c r="CB209" s="140"/>
      <c r="CC209" s="140"/>
      <c r="CD209" s="140"/>
      <c r="CE209" s="140"/>
      <c r="CF209" s="140"/>
      <c r="CG209" s="140"/>
      <c r="CH209" s="140"/>
      <c r="CI209" s="140"/>
      <c r="CJ209" s="140"/>
      <c r="CK209" s="140"/>
      <c r="CL209" s="140"/>
      <c r="CM209" s="140"/>
      <c r="CN209" s="140"/>
      <c r="CO209" s="140"/>
      <c r="CP209" s="140"/>
      <c r="CQ209" s="140"/>
      <c r="CR209" s="140"/>
      <c r="CS209" s="140"/>
      <c r="CT209" s="140"/>
      <c r="CU209" s="140"/>
      <c r="CV209" s="140"/>
      <c r="CW209" s="140"/>
    </row>
    <row r="210" spans="1:101" x14ac:dyDescent="0.2">
      <c r="A210" s="29" t="str">
        <f t="shared" ca="1" si="3"/>
        <v>2025-10-20</v>
      </c>
      <c r="B210" s="140">
        <f ca="1">IF(ISNUMBER(MATCH(DATEVALUE($A210),'changes1_based on steps'!B$1:B$400,0)),B$2,)</f>
        <v>0</v>
      </c>
      <c r="C210" s="140">
        <f ca="1">IF(ISNUMBER(MATCH(DATEVALUE($A210),'changes1_based on steps'!C$1:C$400,0)),C$2,)</f>
        <v>0</v>
      </c>
      <c r="D210" s="140">
        <f ca="1">IF(ISNUMBER(MATCH(DATEVALUE($A210),'changes1_based on steps'!D$1:D$400,0)),D$2,)</f>
        <v>0</v>
      </c>
      <c r="E210" s="140">
        <f ca="1">IF(ISNUMBER(MATCH(DATEVALUE($A210),'changes1_based on steps'!E$1:E$400,0)),E$2,)</f>
        <v>0</v>
      </c>
      <c r="F210" s="140">
        <f ca="1">IF(ISNUMBER(MATCH(DATEVALUE($A210),'changes1_based on steps'!F$1:F$400,0)),F$2,)</f>
        <v>0</v>
      </c>
      <c r="G210" s="140">
        <f ca="1">IF(ISNUMBER(MATCH(DATEVALUE($A210),'changes1_based on steps'!G$1:G$400,0)),G$2,)</f>
        <v>0</v>
      </c>
      <c r="H210" s="140">
        <f ca="1">IF(ISNUMBER(MATCH(DATEVALUE($A210),'changes1_based on steps'!H$1:H$400,0)),H$2,)</f>
        <v>0</v>
      </c>
      <c r="I210" s="140">
        <f ca="1">IF(ISNUMBER(MATCH(DATEVALUE($A210),'changes1_based on steps'!I$1:I$400,0)),I$2,)</f>
        <v>0</v>
      </c>
      <c r="J210" s="140">
        <f ca="1">IF(ISNUMBER(MATCH(DATEVALUE($A210),'changes1_based on steps'!J$1:J$400,0)),J$2,)</f>
        <v>0</v>
      </c>
      <c r="K210" s="140">
        <f ca="1">IF(ISNUMBER(MATCH(DATEVALUE($A210),'changes1_based on steps'!K$1:K$400,0)),K$2,)</f>
        <v>0</v>
      </c>
      <c r="L210" s="140">
        <f ca="1">IF(ISNUMBER(MATCH(DATEVALUE($A210),'changes1_based on steps'!L$1:L$400,0)),L$2,)</f>
        <v>0</v>
      </c>
      <c r="M210" s="140">
        <f ca="1">IF(ISNUMBER(MATCH(DATEVALUE($A210),'changes1_based on steps'!M$1:M$400,0)),M$2,)</f>
        <v>0</v>
      </c>
      <c r="N210" s="140">
        <f ca="1">IF(ISNUMBER(MATCH(DATEVALUE($A210),'changes1_based on steps'!N$1:N$400,0)),N$2,)</f>
        <v>0</v>
      </c>
      <c r="O210" s="140">
        <f ca="1">IF(ISNUMBER(MATCH(DATEVALUE($A210),'changes1_based on steps'!O$1:O$400,0)),O$2,)</f>
        <v>0</v>
      </c>
      <c r="P210" s="140">
        <f ca="1">IF(ISNUMBER(MATCH(DATEVALUE($A210),'changes1_based on steps'!P$1:P$400,0)),P$2,)</f>
        <v>0</v>
      </c>
      <c r="Q210" s="140">
        <f ca="1">IF(ISNUMBER(MATCH(DATEVALUE($A210),'changes1_based on steps'!Q$1:Q$400,0)),Q$2,)</f>
        <v>0</v>
      </c>
      <c r="R210" s="140">
        <f ca="1">IF(ISNUMBER(MATCH(DATEVALUE($A210),'changes1_based on steps'!R$1:R$400,0)),R$2,)</f>
        <v>0</v>
      </c>
      <c r="S210" s="140">
        <f ca="1">IF(ISNUMBER(MATCH(DATEVALUE($A210),'changes1_based on steps'!S$1:S$400,0)),S$2,)</f>
        <v>0</v>
      </c>
      <c r="T210" s="140">
        <f ca="1">IF(ISNUMBER(MATCH(DATEVALUE($A210),'changes1_based on steps'!T$1:T$400,0)),T$2,)</f>
        <v>0</v>
      </c>
      <c r="U210" s="140">
        <f ca="1">IF(ISNUMBER(MATCH(DATEVALUE($A210),'changes1_based on steps'!U$1:U$400,0)),U$2,)</f>
        <v>0</v>
      </c>
      <c r="V210" s="140"/>
      <c r="W210" s="140"/>
      <c r="X210" s="140"/>
      <c r="Y210" s="140"/>
      <c r="Z210" s="140"/>
      <c r="AA210" s="140"/>
      <c r="AB210" s="140"/>
      <c r="AC210" s="140"/>
      <c r="AD210" s="140"/>
      <c r="AE210" s="140"/>
      <c r="AF210" s="140"/>
      <c r="AG210" s="140"/>
      <c r="AH210" s="140"/>
      <c r="AI210" s="140"/>
      <c r="AJ210" s="140"/>
      <c r="AK210" s="140"/>
      <c r="AL210" s="140"/>
      <c r="AM210" s="140"/>
      <c r="AN210" s="140"/>
      <c r="AO210" s="140"/>
      <c r="AP210" s="140"/>
      <c r="AQ210" s="140"/>
      <c r="AR210" s="140"/>
      <c r="AS210" s="140"/>
      <c r="AT210" s="140"/>
      <c r="AU210" s="140"/>
      <c r="AV210" s="140"/>
      <c r="AW210" s="140"/>
      <c r="AX210" s="140"/>
      <c r="AY210" s="140"/>
      <c r="AZ210" s="140"/>
      <c r="BA210" s="140"/>
      <c r="BB210" s="140"/>
      <c r="BC210" s="140"/>
      <c r="BD210" s="140"/>
      <c r="BE210" s="140"/>
      <c r="BF210" s="140"/>
      <c r="BG210" s="140"/>
      <c r="BH210" s="140"/>
      <c r="BI210" s="140"/>
      <c r="BJ210" s="140"/>
      <c r="BK210" s="140"/>
      <c r="BL210" s="140"/>
      <c r="BM210" s="140"/>
      <c r="BN210" s="140"/>
      <c r="BO210" s="140"/>
      <c r="BP210" s="140"/>
      <c r="BQ210" s="140"/>
      <c r="BR210" s="140"/>
      <c r="BS210" s="140"/>
      <c r="BT210" s="140"/>
      <c r="BU210" s="140"/>
      <c r="BV210" s="140"/>
      <c r="BW210" s="140"/>
      <c r="BX210" s="140"/>
      <c r="BY210" s="140"/>
      <c r="BZ210" s="140"/>
      <c r="CA210" s="140"/>
      <c r="CB210" s="140"/>
      <c r="CC210" s="140"/>
      <c r="CD210" s="140"/>
      <c r="CE210" s="140"/>
      <c r="CF210" s="140"/>
      <c r="CG210" s="140"/>
      <c r="CH210" s="140"/>
      <c r="CI210" s="140"/>
      <c r="CJ210" s="140"/>
      <c r="CK210" s="140"/>
      <c r="CL210" s="140"/>
      <c r="CM210" s="140"/>
      <c r="CN210" s="140"/>
      <c r="CO210" s="140"/>
      <c r="CP210" s="140"/>
      <c r="CQ210" s="140"/>
      <c r="CR210" s="140"/>
      <c r="CS210" s="140"/>
      <c r="CT210" s="140"/>
      <c r="CU210" s="140"/>
      <c r="CV210" s="140"/>
      <c r="CW210" s="140"/>
    </row>
    <row r="211" spans="1:101" x14ac:dyDescent="0.2">
      <c r="A211" s="29" t="str">
        <f t="shared" ca="1" si="3"/>
        <v>2025-10-21</v>
      </c>
      <c r="B211" s="140">
        <f ca="1">IF(ISNUMBER(MATCH(DATEVALUE($A211),'changes1_based on steps'!B$1:B$400,0)),B$2,)</f>
        <v>0</v>
      </c>
      <c r="C211" s="140">
        <f ca="1">IF(ISNUMBER(MATCH(DATEVALUE($A211),'changes1_based on steps'!C$1:C$400,0)),C$2,)</f>
        <v>0</v>
      </c>
      <c r="D211" s="140">
        <f ca="1">IF(ISNUMBER(MATCH(DATEVALUE($A211),'changes1_based on steps'!D$1:D$400,0)),D$2,)</f>
        <v>0</v>
      </c>
      <c r="E211" s="140">
        <f ca="1">IF(ISNUMBER(MATCH(DATEVALUE($A211),'changes1_based on steps'!E$1:E$400,0)),E$2,)</f>
        <v>0</v>
      </c>
      <c r="F211" s="140">
        <f ca="1">IF(ISNUMBER(MATCH(DATEVALUE($A211),'changes1_based on steps'!F$1:F$400,0)),F$2,)</f>
        <v>0</v>
      </c>
      <c r="G211" s="140">
        <f ca="1">IF(ISNUMBER(MATCH(DATEVALUE($A211),'changes1_based on steps'!G$1:G$400,0)),G$2,)</f>
        <v>0</v>
      </c>
      <c r="H211" s="140">
        <f ca="1">IF(ISNUMBER(MATCH(DATEVALUE($A211),'changes1_based on steps'!H$1:H$400,0)),H$2,)</f>
        <v>0</v>
      </c>
      <c r="I211" s="140">
        <f ca="1">IF(ISNUMBER(MATCH(DATEVALUE($A211),'changes1_based on steps'!I$1:I$400,0)),I$2,)</f>
        <v>0</v>
      </c>
      <c r="J211" s="140">
        <f ca="1">IF(ISNUMBER(MATCH(DATEVALUE($A211),'changes1_based on steps'!J$1:J$400,0)),J$2,)</f>
        <v>0</v>
      </c>
      <c r="K211" s="140">
        <f ca="1">IF(ISNUMBER(MATCH(DATEVALUE($A211),'changes1_based on steps'!K$1:K$400,0)),K$2,)</f>
        <v>0</v>
      </c>
      <c r="L211" s="140">
        <f ca="1">IF(ISNUMBER(MATCH(DATEVALUE($A211),'changes1_based on steps'!L$1:L$400,0)),L$2,)</f>
        <v>0</v>
      </c>
      <c r="M211" s="140">
        <f ca="1">IF(ISNUMBER(MATCH(DATEVALUE($A211),'changes1_based on steps'!M$1:M$400,0)),M$2,)</f>
        <v>0</v>
      </c>
      <c r="N211" s="140">
        <f ca="1">IF(ISNUMBER(MATCH(DATEVALUE($A211),'changes1_based on steps'!N$1:N$400,0)),N$2,)</f>
        <v>0</v>
      </c>
      <c r="O211" s="140">
        <f ca="1">IF(ISNUMBER(MATCH(DATEVALUE($A211),'changes1_based on steps'!O$1:O$400,0)),O$2,)</f>
        <v>0</v>
      </c>
      <c r="P211" s="140">
        <f ca="1">IF(ISNUMBER(MATCH(DATEVALUE($A211),'changes1_based on steps'!P$1:P$400,0)),P$2,)</f>
        <v>0</v>
      </c>
      <c r="Q211" s="140">
        <f ca="1">IF(ISNUMBER(MATCH(DATEVALUE($A211),'changes1_based on steps'!Q$1:Q$400,0)),Q$2,)</f>
        <v>0</v>
      </c>
      <c r="R211" s="140">
        <f ca="1">IF(ISNUMBER(MATCH(DATEVALUE($A211),'changes1_based on steps'!R$1:R$400,0)),R$2,)</f>
        <v>0</v>
      </c>
      <c r="S211" s="140">
        <f ca="1">IF(ISNUMBER(MATCH(DATEVALUE($A211),'changes1_based on steps'!S$1:S$400,0)),S$2,)</f>
        <v>0</v>
      </c>
      <c r="T211" s="140">
        <f ca="1">IF(ISNUMBER(MATCH(DATEVALUE($A211),'changes1_based on steps'!T$1:T$400,0)),T$2,)</f>
        <v>0</v>
      </c>
      <c r="U211" s="140">
        <f ca="1">IF(ISNUMBER(MATCH(DATEVALUE($A211),'changes1_based on steps'!U$1:U$400,0)),U$2,)</f>
        <v>0</v>
      </c>
      <c r="V211" s="140"/>
      <c r="W211" s="140"/>
      <c r="X211" s="140"/>
      <c r="Y211" s="140"/>
      <c r="Z211" s="140"/>
      <c r="AA211" s="140"/>
      <c r="AB211" s="140"/>
      <c r="AC211" s="140"/>
      <c r="AD211" s="140"/>
      <c r="AE211" s="140"/>
      <c r="AF211" s="140"/>
      <c r="AG211" s="140"/>
      <c r="AH211" s="140"/>
      <c r="AI211" s="140"/>
      <c r="AJ211" s="140"/>
      <c r="AK211" s="140"/>
      <c r="AL211" s="140"/>
      <c r="AM211" s="140"/>
      <c r="AN211" s="140"/>
      <c r="AO211" s="140"/>
      <c r="AP211" s="140"/>
      <c r="AQ211" s="140"/>
      <c r="AR211" s="140"/>
      <c r="AS211" s="140"/>
      <c r="AT211" s="140"/>
      <c r="AU211" s="140"/>
      <c r="AV211" s="140"/>
      <c r="AW211" s="140"/>
      <c r="AX211" s="140"/>
      <c r="AY211" s="140"/>
      <c r="AZ211" s="140"/>
      <c r="BA211" s="140"/>
      <c r="BB211" s="140"/>
      <c r="BC211" s="140"/>
      <c r="BD211" s="140"/>
      <c r="BE211" s="140"/>
      <c r="BF211" s="140"/>
      <c r="BG211" s="140"/>
      <c r="BH211" s="140"/>
      <c r="BI211" s="140"/>
      <c r="BJ211" s="140"/>
      <c r="BK211" s="140"/>
      <c r="BL211" s="140"/>
      <c r="BM211" s="140"/>
      <c r="BN211" s="140"/>
      <c r="BO211" s="140"/>
      <c r="BP211" s="140"/>
      <c r="BQ211" s="140"/>
      <c r="BR211" s="140"/>
      <c r="BS211" s="140"/>
      <c r="BT211" s="140"/>
      <c r="BU211" s="140"/>
      <c r="BV211" s="140"/>
      <c r="BW211" s="140"/>
      <c r="BX211" s="140"/>
      <c r="BY211" s="140"/>
      <c r="BZ211" s="140"/>
      <c r="CA211" s="140"/>
      <c r="CB211" s="140"/>
      <c r="CC211" s="140"/>
      <c r="CD211" s="140"/>
      <c r="CE211" s="140"/>
      <c r="CF211" s="140"/>
      <c r="CG211" s="140"/>
      <c r="CH211" s="140"/>
      <c r="CI211" s="140"/>
      <c r="CJ211" s="140"/>
      <c r="CK211" s="140"/>
      <c r="CL211" s="140"/>
      <c r="CM211" s="140"/>
      <c r="CN211" s="140"/>
      <c r="CO211" s="140"/>
      <c r="CP211" s="140"/>
      <c r="CQ211" s="140"/>
      <c r="CR211" s="140"/>
      <c r="CS211" s="140"/>
      <c r="CT211" s="140"/>
      <c r="CU211" s="140"/>
      <c r="CV211" s="140"/>
      <c r="CW211" s="140"/>
    </row>
    <row r="212" spans="1:101" x14ac:dyDescent="0.2">
      <c r="A212" s="29" t="str">
        <f t="shared" ca="1" si="3"/>
        <v>2025-10-22</v>
      </c>
      <c r="B212" s="140">
        <f ca="1">IF(ISNUMBER(MATCH(DATEVALUE($A212),'changes1_based on steps'!B$1:B$400,0)),B$2,)</f>
        <v>0</v>
      </c>
      <c r="C212" s="140">
        <f ca="1">IF(ISNUMBER(MATCH(DATEVALUE($A212),'changes1_based on steps'!C$1:C$400,0)),C$2,)</f>
        <v>0</v>
      </c>
      <c r="D212" s="140">
        <f ca="1">IF(ISNUMBER(MATCH(DATEVALUE($A212),'changes1_based on steps'!D$1:D$400,0)),D$2,)</f>
        <v>0</v>
      </c>
      <c r="E212" s="140">
        <f ca="1">IF(ISNUMBER(MATCH(DATEVALUE($A212),'changes1_based on steps'!E$1:E$400,0)),E$2,)</f>
        <v>0</v>
      </c>
      <c r="F212" s="140">
        <f ca="1">IF(ISNUMBER(MATCH(DATEVALUE($A212),'changes1_based on steps'!F$1:F$400,0)),F$2,)</f>
        <v>0</v>
      </c>
      <c r="G212" s="140">
        <f ca="1">IF(ISNUMBER(MATCH(DATEVALUE($A212),'changes1_based on steps'!G$1:G$400,0)),G$2,)</f>
        <v>0</v>
      </c>
      <c r="H212" s="140">
        <f ca="1">IF(ISNUMBER(MATCH(DATEVALUE($A212),'changes1_based on steps'!H$1:H$400,0)),H$2,)</f>
        <v>0</v>
      </c>
      <c r="I212" s="140">
        <f ca="1">IF(ISNUMBER(MATCH(DATEVALUE($A212),'changes1_based on steps'!I$1:I$400,0)),I$2,)</f>
        <v>0</v>
      </c>
      <c r="J212" s="140">
        <f ca="1">IF(ISNUMBER(MATCH(DATEVALUE($A212),'changes1_based on steps'!J$1:J$400,0)),J$2,)</f>
        <v>0</v>
      </c>
      <c r="K212" s="140">
        <f ca="1">IF(ISNUMBER(MATCH(DATEVALUE($A212),'changes1_based on steps'!K$1:K$400,0)),K$2,)</f>
        <v>0</v>
      </c>
      <c r="L212" s="140">
        <f ca="1">IF(ISNUMBER(MATCH(DATEVALUE($A212),'changes1_based on steps'!L$1:L$400,0)),L$2,)</f>
        <v>0</v>
      </c>
      <c r="M212" s="140">
        <f ca="1">IF(ISNUMBER(MATCH(DATEVALUE($A212),'changes1_based on steps'!M$1:M$400,0)),M$2,)</f>
        <v>0</v>
      </c>
      <c r="N212" s="140">
        <f ca="1">IF(ISNUMBER(MATCH(DATEVALUE($A212),'changes1_based on steps'!N$1:N$400,0)),N$2,)</f>
        <v>0</v>
      </c>
      <c r="O212" s="140">
        <f ca="1">IF(ISNUMBER(MATCH(DATEVALUE($A212),'changes1_based on steps'!O$1:O$400,0)),O$2,)</f>
        <v>0</v>
      </c>
      <c r="P212" s="140">
        <f ca="1">IF(ISNUMBER(MATCH(DATEVALUE($A212),'changes1_based on steps'!P$1:P$400,0)),P$2,)</f>
        <v>0</v>
      </c>
      <c r="Q212" s="140">
        <f ca="1">IF(ISNUMBER(MATCH(DATEVALUE($A212),'changes1_based on steps'!Q$1:Q$400,0)),Q$2,)</f>
        <v>0</v>
      </c>
      <c r="R212" s="140">
        <f ca="1">IF(ISNUMBER(MATCH(DATEVALUE($A212),'changes1_based on steps'!R$1:R$400,0)),R$2,)</f>
        <v>0</v>
      </c>
      <c r="S212" s="140">
        <f ca="1">IF(ISNUMBER(MATCH(DATEVALUE($A212),'changes1_based on steps'!S$1:S$400,0)),S$2,)</f>
        <v>0</v>
      </c>
      <c r="T212" s="140">
        <f ca="1">IF(ISNUMBER(MATCH(DATEVALUE($A212),'changes1_based on steps'!T$1:T$400,0)),T$2,)</f>
        <v>0</v>
      </c>
      <c r="U212" s="140">
        <f ca="1">IF(ISNUMBER(MATCH(DATEVALUE($A212),'changes1_based on steps'!U$1:U$400,0)),U$2,)</f>
        <v>0</v>
      </c>
      <c r="V212" s="140"/>
      <c r="W212" s="140"/>
      <c r="X212" s="140"/>
      <c r="Y212" s="140"/>
      <c r="Z212" s="140"/>
      <c r="AA212" s="140"/>
      <c r="AB212" s="140"/>
      <c r="AC212" s="140"/>
      <c r="AD212" s="140"/>
      <c r="AE212" s="140"/>
      <c r="AF212" s="140"/>
      <c r="AG212" s="140"/>
      <c r="AH212" s="140"/>
      <c r="AI212" s="140"/>
      <c r="AJ212" s="140"/>
      <c r="AK212" s="140"/>
      <c r="AL212" s="140"/>
      <c r="AM212" s="140"/>
      <c r="AN212" s="140"/>
      <c r="AO212" s="140"/>
      <c r="AP212" s="140"/>
      <c r="AQ212" s="140"/>
      <c r="AR212" s="140"/>
      <c r="AS212" s="140"/>
      <c r="AT212" s="140"/>
      <c r="AU212" s="140"/>
      <c r="AV212" s="140"/>
      <c r="AW212" s="140"/>
      <c r="AX212" s="140"/>
      <c r="AY212" s="140"/>
      <c r="AZ212" s="140"/>
      <c r="BA212" s="140"/>
      <c r="BB212" s="140"/>
      <c r="BC212" s="140"/>
      <c r="BD212" s="140"/>
      <c r="BE212" s="140"/>
      <c r="BF212" s="140"/>
      <c r="BG212" s="140"/>
      <c r="BH212" s="140"/>
      <c r="BI212" s="140"/>
      <c r="BJ212" s="140"/>
      <c r="BK212" s="140"/>
      <c r="BL212" s="140"/>
      <c r="BM212" s="140"/>
      <c r="BN212" s="140"/>
      <c r="BO212" s="140"/>
      <c r="BP212" s="140"/>
      <c r="BQ212" s="140"/>
      <c r="BR212" s="140"/>
      <c r="BS212" s="140"/>
      <c r="BT212" s="140"/>
      <c r="BU212" s="140"/>
      <c r="BV212" s="140"/>
      <c r="BW212" s="140"/>
      <c r="BX212" s="140"/>
      <c r="BY212" s="140"/>
      <c r="BZ212" s="140"/>
      <c r="CA212" s="140"/>
      <c r="CB212" s="140"/>
      <c r="CC212" s="140"/>
      <c r="CD212" s="140"/>
      <c r="CE212" s="140"/>
      <c r="CF212" s="140"/>
      <c r="CG212" s="140"/>
      <c r="CH212" s="140"/>
      <c r="CI212" s="140"/>
      <c r="CJ212" s="140"/>
      <c r="CK212" s="140"/>
      <c r="CL212" s="140"/>
      <c r="CM212" s="140"/>
      <c r="CN212" s="140"/>
      <c r="CO212" s="140"/>
      <c r="CP212" s="140"/>
      <c r="CQ212" s="140"/>
      <c r="CR212" s="140"/>
      <c r="CS212" s="140"/>
      <c r="CT212" s="140"/>
      <c r="CU212" s="140"/>
      <c r="CV212" s="140"/>
      <c r="CW212" s="140"/>
    </row>
    <row r="213" spans="1:101" x14ac:dyDescent="0.2">
      <c r="A213" s="29" t="str">
        <f t="shared" ca="1" si="3"/>
        <v>2025-10-23</v>
      </c>
      <c r="B213" s="140">
        <f ca="1">IF(ISNUMBER(MATCH(DATEVALUE($A213),'changes1_based on steps'!B$1:B$400,0)),B$2,)</f>
        <v>0</v>
      </c>
      <c r="C213" s="140">
        <f ca="1">IF(ISNUMBER(MATCH(DATEVALUE($A213),'changes1_based on steps'!C$1:C$400,0)),C$2,)</f>
        <v>0</v>
      </c>
      <c r="D213" s="140">
        <f ca="1">IF(ISNUMBER(MATCH(DATEVALUE($A213),'changes1_based on steps'!D$1:D$400,0)),D$2,)</f>
        <v>0</v>
      </c>
      <c r="E213" s="140">
        <f ca="1">IF(ISNUMBER(MATCH(DATEVALUE($A213),'changes1_based on steps'!E$1:E$400,0)),E$2,)</f>
        <v>0</v>
      </c>
      <c r="F213" s="140">
        <f ca="1">IF(ISNUMBER(MATCH(DATEVALUE($A213),'changes1_based on steps'!F$1:F$400,0)),F$2,)</f>
        <v>0</v>
      </c>
      <c r="G213" s="140">
        <f ca="1">IF(ISNUMBER(MATCH(DATEVALUE($A213),'changes1_based on steps'!G$1:G$400,0)),G$2,)</f>
        <v>0</v>
      </c>
      <c r="H213" s="140">
        <f ca="1">IF(ISNUMBER(MATCH(DATEVALUE($A213),'changes1_based on steps'!H$1:H$400,0)),H$2,)</f>
        <v>0</v>
      </c>
      <c r="I213" s="140">
        <f ca="1">IF(ISNUMBER(MATCH(DATEVALUE($A213),'changes1_based on steps'!I$1:I$400,0)),I$2,)</f>
        <v>0</v>
      </c>
      <c r="J213" s="140">
        <f ca="1">IF(ISNUMBER(MATCH(DATEVALUE($A213),'changes1_based on steps'!J$1:J$400,0)),J$2,)</f>
        <v>0</v>
      </c>
      <c r="K213" s="140">
        <f ca="1">IF(ISNUMBER(MATCH(DATEVALUE($A213),'changes1_based on steps'!K$1:K$400,0)),K$2,)</f>
        <v>0</v>
      </c>
      <c r="L213" s="140">
        <f ca="1">IF(ISNUMBER(MATCH(DATEVALUE($A213),'changes1_based on steps'!L$1:L$400,0)),L$2,)</f>
        <v>0</v>
      </c>
      <c r="M213" s="140">
        <f ca="1">IF(ISNUMBER(MATCH(DATEVALUE($A213),'changes1_based on steps'!M$1:M$400,0)),M$2,)</f>
        <v>0</v>
      </c>
      <c r="N213" s="140">
        <f ca="1">IF(ISNUMBER(MATCH(DATEVALUE($A213),'changes1_based on steps'!N$1:N$400,0)),N$2,)</f>
        <v>0</v>
      </c>
      <c r="O213" s="140">
        <f ca="1">IF(ISNUMBER(MATCH(DATEVALUE($A213),'changes1_based on steps'!O$1:O$400,0)),O$2,)</f>
        <v>0</v>
      </c>
      <c r="P213" s="140">
        <f ca="1">IF(ISNUMBER(MATCH(DATEVALUE($A213),'changes1_based on steps'!P$1:P$400,0)),P$2,)</f>
        <v>0</v>
      </c>
      <c r="Q213" s="140">
        <f ca="1">IF(ISNUMBER(MATCH(DATEVALUE($A213),'changes1_based on steps'!Q$1:Q$400,0)),Q$2,)</f>
        <v>0</v>
      </c>
      <c r="R213" s="140">
        <f ca="1">IF(ISNUMBER(MATCH(DATEVALUE($A213),'changes1_based on steps'!R$1:R$400,0)),R$2,)</f>
        <v>0</v>
      </c>
      <c r="S213" s="140">
        <f ca="1">IF(ISNUMBER(MATCH(DATEVALUE($A213),'changes1_based on steps'!S$1:S$400,0)),S$2,)</f>
        <v>0</v>
      </c>
      <c r="T213" s="140">
        <f ca="1">IF(ISNUMBER(MATCH(DATEVALUE($A213),'changes1_based on steps'!T$1:T$400,0)),T$2,)</f>
        <v>0</v>
      </c>
      <c r="U213" s="140">
        <f ca="1">IF(ISNUMBER(MATCH(DATEVALUE($A213),'changes1_based on steps'!U$1:U$400,0)),U$2,)</f>
        <v>0</v>
      </c>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c r="AR213" s="140"/>
      <c r="AS213" s="140"/>
      <c r="AT213" s="140"/>
      <c r="AU213" s="140"/>
      <c r="AV213" s="140"/>
      <c r="AW213" s="140"/>
      <c r="AX213" s="140"/>
      <c r="AY213" s="140"/>
      <c r="AZ213" s="140"/>
      <c r="BA213" s="140"/>
      <c r="BB213" s="140"/>
      <c r="BC213" s="140"/>
      <c r="BD213" s="140"/>
      <c r="BE213" s="140"/>
      <c r="BF213" s="140"/>
      <c r="BG213" s="140"/>
      <c r="BH213" s="140"/>
      <c r="BI213" s="140"/>
      <c r="BJ213" s="140"/>
      <c r="BK213" s="140"/>
      <c r="BL213" s="140"/>
      <c r="BM213" s="140"/>
      <c r="BN213" s="140"/>
      <c r="BO213" s="140"/>
      <c r="BP213" s="140"/>
      <c r="BQ213" s="140"/>
      <c r="BR213" s="140"/>
      <c r="BS213" s="140"/>
      <c r="BT213" s="140"/>
      <c r="BU213" s="140"/>
      <c r="BV213" s="140"/>
      <c r="BW213" s="140"/>
      <c r="BX213" s="140"/>
      <c r="BY213" s="140"/>
      <c r="BZ213" s="140"/>
      <c r="CA213" s="140"/>
      <c r="CB213" s="140"/>
      <c r="CC213" s="140"/>
      <c r="CD213" s="140"/>
      <c r="CE213" s="140"/>
      <c r="CF213" s="140"/>
      <c r="CG213" s="140"/>
      <c r="CH213" s="140"/>
      <c r="CI213" s="140"/>
      <c r="CJ213" s="140"/>
      <c r="CK213" s="140"/>
      <c r="CL213" s="140"/>
      <c r="CM213" s="140"/>
      <c r="CN213" s="140"/>
      <c r="CO213" s="140"/>
      <c r="CP213" s="140"/>
      <c r="CQ213" s="140"/>
      <c r="CR213" s="140"/>
      <c r="CS213" s="140"/>
      <c r="CT213" s="140"/>
      <c r="CU213" s="140"/>
      <c r="CV213" s="140"/>
      <c r="CW213" s="140"/>
    </row>
    <row r="214" spans="1:101" x14ac:dyDescent="0.2">
      <c r="A214" s="29" t="str">
        <f t="shared" ca="1" si="3"/>
        <v>2025-10-24</v>
      </c>
      <c r="B214" s="140">
        <f ca="1">IF(ISNUMBER(MATCH(DATEVALUE($A214),'changes1_based on steps'!B$1:B$400,0)),B$2,)</f>
        <v>0</v>
      </c>
      <c r="C214" s="140">
        <f ca="1">IF(ISNUMBER(MATCH(DATEVALUE($A214),'changes1_based on steps'!C$1:C$400,0)),C$2,)</f>
        <v>0</v>
      </c>
      <c r="D214" s="140">
        <f ca="1">IF(ISNUMBER(MATCH(DATEVALUE($A214),'changes1_based on steps'!D$1:D$400,0)),D$2,)</f>
        <v>0</v>
      </c>
      <c r="E214" s="140">
        <f ca="1">IF(ISNUMBER(MATCH(DATEVALUE($A214),'changes1_based on steps'!E$1:E$400,0)),E$2,)</f>
        <v>0</v>
      </c>
      <c r="F214" s="140">
        <f ca="1">IF(ISNUMBER(MATCH(DATEVALUE($A214),'changes1_based on steps'!F$1:F$400,0)),F$2,)</f>
        <v>0</v>
      </c>
      <c r="G214" s="140">
        <f ca="1">IF(ISNUMBER(MATCH(DATEVALUE($A214),'changes1_based on steps'!G$1:G$400,0)),G$2,)</f>
        <v>0</v>
      </c>
      <c r="H214" s="140">
        <f ca="1">IF(ISNUMBER(MATCH(DATEVALUE($A214),'changes1_based on steps'!H$1:H$400,0)),H$2,)</f>
        <v>0</v>
      </c>
      <c r="I214" s="140">
        <f ca="1">IF(ISNUMBER(MATCH(DATEVALUE($A214),'changes1_based on steps'!I$1:I$400,0)),I$2,)</f>
        <v>0</v>
      </c>
      <c r="J214" s="140">
        <f ca="1">IF(ISNUMBER(MATCH(DATEVALUE($A214),'changes1_based on steps'!J$1:J$400,0)),J$2,)</f>
        <v>0</v>
      </c>
      <c r="K214" s="140">
        <f ca="1">IF(ISNUMBER(MATCH(DATEVALUE($A214),'changes1_based on steps'!K$1:K$400,0)),K$2,)</f>
        <v>0</v>
      </c>
      <c r="L214" s="140">
        <f ca="1">IF(ISNUMBER(MATCH(DATEVALUE($A214),'changes1_based on steps'!L$1:L$400,0)),L$2,)</f>
        <v>0</v>
      </c>
      <c r="M214" s="140">
        <f ca="1">IF(ISNUMBER(MATCH(DATEVALUE($A214),'changes1_based on steps'!M$1:M$400,0)),M$2,)</f>
        <v>0</v>
      </c>
      <c r="N214" s="140">
        <f ca="1">IF(ISNUMBER(MATCH(DATEVALUE($A214),'changes1_based on steps'!N$1:N$400,0)),N$2,)</f>
        <v>0</v>
      </c>
      <c r="O214" s="140">
        <f ca="1">IF(ISNUMBER(MATCH(DATEVALUE($A214),'changes1_based on steps'!O$1:O$400,0)),O$2,)</f>
        <v>0</v>
      </c>
      <c r="P214" s="140">
        <f ca="1">IF(ISNUMBER(MATCH(DATEVALUE($A214),'changes1_based on steps'!P$1:P$400,0)),P$2,)</f>
        <v>0</v>
      </c>
      <c r="Q214" s="140">
        <f ca="1">IF(ISNUMBER(MATCH(DATEVALUE($A214),'changes1_based on steps'!Q$1:Q$400,0)),Q$2,)</f>
        <v>0</v>
      </c>
      <c r="R214" s="140">
        <f ca="1">IF(ISNUMBER(MATCH(DATEVALUE($A214),'changes1_based on steps'!R$1:R$400,0)),R$2,)</f>
        <v>0</v>
      </c>
      <c r="S214" s="140">
        <f ca="1">IF(ISNUMBER(MATCH(DATEVALUE($A214),'changes1_based on steps'!S$1:S$400,0)),S$2,)</f>
        <v>0</v>
      </c>
      <c r="T214" s="140">
        <f ca="1">IF(ISNUMBER(MATCH(DATEVALUE($A214),'changes1_based on steps'!T$1:T$400,0)),T$2,)</f>
        <v>0</v>
      </c>
      <c r="U214" s="140">
        <f ca="1">IF(ISNUMBER(MATCH(DATEVALUE($A214),'changes1_based on steps'!U$1:U$400,0)),U$2,)</f>
        <v>0</v>
      </c>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c r="AR214" s="140"/>
      <c r="AS214" s="140"/>
      <c r="AT214" s="140"/>
      <c r="AU214" s="140"/>
      <c r="AV214" s="140"/>
      <c r="AW214" s="140"/>
      <c r="AX214" s="140"/>
      <c r="AY214" s="140"/>
      <c r="AZ214" s="140"/>
      <c r="BA214" s="140"/>
      <c r="BB214" s="140"/>
      <c r="BC214" s="140"/>
      <c r="BD214" s="140"/>
      <c r="BE214" s="140"/>
      <c r="BF214" s="140"/>
      <c r="BG214" s="140"/>
      <c r="BH214" s="140"/>
      <c r="BI214" s="140"/>
      <c r="BJ214" s="140"/>
      <c r="BK214" s="140"/>
      <c r="BL214" s="140"/>
      <c r="BM214" s="140"/>
      <c r="BN214" s="140"/>
      <c r="BO214" s="140"/>
      <c r="BP214" s="140"/>
      <c r="BQ214" s="140"/>
      <c r="BR214" s="140"/>
      <c r="BS214" s="140"/>
      <c r="BT214" s="140"/>
      <c r="BU214" s="140"/>
      <c r="BV214" s="140"/>
      <c r="BW214" s="140"/>
      <c r="BX214" s="140"/>
      <c r="BY214" s="140"/>
      <c r="BZ214" s="140"/>
      <c r="CA214" s="140"/>
      <c r="CB214" s="140"/>
      <c r="CC214" s="140"/>
      <c r="CD214" s="140"/>
      <c r="CE214" s="140"/>
      <c r="CF214" s="140"/>
      <c r="CG214" s="140"/>
      <c r="CH214" s="140"/>
      <c r="CI214" s="140"/>
      <c r="CJ214" s="140"/>
      <c r="CK214" s="140"/>
      <c r="CL214" s="140"/>
      <c r="CM214" s="140"/>
      <c r="CN214" s="140"/>
      <c r="CO214" s="140"/>
      <c r="CP214" s="140"/>
      <c r="CQ214" s="140"/>
      <c r="CR214" s="140"/>
      <c r="CS214" s="140"/>
      <c r="CT214" s="140"/>
      <c r="CU214" s="140"/>
      <c r="CV214" s="140"/>
      <c r="CW214" s="140"/>
    </row>
    <row r="215" spans="1:101" x14ac:dyDescent="0.2">
      <c r="A215" s="29" t="str">
        <f t="shared" ca="1" si="3"/>
        <v>2025-10-25</v>
      </c>
      <c r="B215" s="140">
        <f ca="1">IF(ISNUMBER(MATCH(DATEVALUE($A215),'changes1_based on steps'!B$1:B$400,0)),B$2,)</f>
        <v>0</v>
      </c>
      <c r="C215" s="140">
        <f ca="1">IF(ISNUMBER(MATCH(DATEVALUE($A215),'changes1_based on steps'!C$1:C$400,0)),C$2,)</f>
        <v>0</v>
      </c>
      <c r="D215" s="140">
        <f ca="1">IF(ISNUMBER(MATCH(DATEVALUE($A215),'changes1_based on steps'!D$1:D$400,0)),D$2,)</f>
        <v>0</v>
      </c>
      <c r="E215" s="140">
        <f ca="1">IF(ISNUMBER(MATCH(DATEVALUE($A215),'changes1_based on steps'!E$1:E$400,0)),E$2,)</f>
        <v>0</v>
      </c>
      <c r="F215" s="140">
        <f ca="1">IF(ISNUMBER(MATCH(DATEVALUE($A215),'changes1_based on steps'!F$1:F$400,0)),F$2,)</f>
        <v>0</v>
      </c>
      <c r="G215" s="140">
        <f ca="1">IF(ISNUMBER(MATCH(DATEVALUE($A215),'changes1_based on steps'!G$1:G$400,0)),G$2,)</f>
        <v>0</v>
      </c>
      <c r="H215" s="140">
        <f ca="1">IF(ISNUMBER(MATCH(DATEVALUE($A215),'changes1_based on steps'!H$1:H$400,0)),H$2,)</f>
        <v>0</v>
      </c>
      <c r="I215" s="140">
        <f ca="1">IF(ISNUMBER(MATCH(DATEVALUE($A215),'changes1_based on steps'!I$1:I$400,0)),I$2,)</f>
        <v>0</v>
      </c>
      <c r="J215" s="140">
        <f ca="1">IF(ISNUMBER(MATCH(DATEVALUE($A215),'changes1_based on steps'!J$1:J$400,0)),J$2,)</f>
        <v>0</v>
      </c>
      <c r="K215" s="140">
        <f ca="1">IF(ISNUMBER(MATCH(DATEVALUE($A215),'changes1_based on steps'!K$1:K$400,0)),K$2,)</f>
        <v>0</v>
      </c>
      <c r="L215" s="140">
        <f ca="1">IF(ISNUMBER(MATCH(DATEVALUE($A215),'changes1_based on steps'!L$1:L$400,0)),L$2,)</f>
        <v>0</v>
      </c>
      <c r="M215" s="140">
        <f ca="1">IF(ISNUMBER(MATCH(DATEVALUE($A215),'changes1_based on steps'!M$1:M$400,0)),M$2,)</f>
        <v>0</v>
      </c>
      <c r="N215" s="140">
        <f ca="1">IF(ISNUMBER(MATCH(DATEVALUE($A215),'changes1_based on steps'!N$1:N$400,0)),N$2,)</f>
        <v>0</v>
      </c>
      <c r="O215" s="140">
        <f ca="1">IF(ISNUMBER(MATCH(DATEVALUE($A215),'changes1_based on steps'!O$1:O$400,0)),O$2,)</f>
        <v>0</v>
      </c>
      <c r="P215" s="140">
        <f ca="1">IF(ISNUMBER(MATCH(DATEVALUE($A215),'changes1_based on steps'!P$1:P$400,0)),P$2,)</f>
        <v>0</v>
      </c>
      <c r="Q215" s="140">
        <f ca="1">IF(ISNUMBER(MATCH(DATEVALUE($A215),'changes1_based on steps'!Q$1:Q$400,0)),Q$2,)</f>
        <v>0</v>
      </c>
      <c r="R215" s="140">
        <f ca="1">IF(ISNUMBER(MATCH(DATEVALUE($A215),'changes1_based on steps'!R$1:R$400,0)),R$2,)</f>
        <v>0</v>
      </c>
      <c r="S215" s="140">
        <f ca="1">IF(ISNUMBER(MATCH(DATEVALUE($A215),'changes1_based on steps'!S$1:S$400,0)),S$2,)</f>
        <v>0</v>
      </c>
      <c r="T215" s="140">
        <f ca="1">IF(ISNUMBER(MATCH(DATEVALUE($A215),'changes1_based on steps'!T$1:T$400,0)),T$2,)</f>
        <v>0</v>
      </c>
      <c r="U215" s="140">
        <f ca="1">IF(ISNUMBER(MATCH(DATEVALUE($A215),'changes1_based on steps'!U$1:U$400,0)),U$2,)</f>
        <v>0</v>
      </c>
      <c r="V215" s="140"/>
      <c r="W215" s="140"/>
      <c r="X215" s="140"/>
      <c r="Y215" s="140"/>
      <c r="Z215" s="140"/>
      <c r="AA215" s="140"/>
      <c r="AB215" s="140"/>
      <c r="AC215" s="140"/>
      <c r="AD215" s="140"/>
      <c r="AE215" s="140"/>
      <c r="AF215" s="140"/>
      <c r="AG215" s="140"/>
      <c r="AH215" s="140"/>
      <c r="AI215" s="140"/>
      <c r="AJ215" s="140"/>
      <c r="AK215" s="140"/>
      <c r="AL215" s="140"/>
      <c r="AM215" s="140"/>
      <c r="AN215" s="140"/>
      <c r="AO215" s="140"/>
      <c r="AP215" s="140"/>
      <c r="AQ215" s="140"/>
      <c r="AR215" s="140"/>
      <c r="AS215" s="140"/>
      <c r="AT215" s="140"/>
      <c r="AU215" s="140"/>
      <c r="AV215" s="140"/>
      <c r="AW215" s="140"/>
      <c r="AX215" s="140"/>
      <c r="AY215" s="140"/>
      <c r="AZ215" s="140"/>
      <c r="BA215" s="140"/>
      <c r="BB215" s="140"/>
      <c r="BC215" s="140"/>
      <c r="BD215" s="140"/>
      <c r="BE215" s="140"/>
      <c r="BF215" s="140"/>
      <c r="BG215" s="140"/>
      <c r="BH215" s="140"/>
      <c r="BI215" s="140"/>
      <c r="BJ215" s="140"/>
      <c r="BK215" s="140"/>
      <c r="BL215" s="140"/>
      <c r="BM215" s="140"/>
      <c r="BN215" s="140"/>
      <c r="BO215" s="140"/>
      <c r="BP215" s="140"/>
      <c r="BQ215" s="140"/>
      <c r="BR215" s="140"/>
      <c r="BS215" s="140"/>
      <c r="BT215" s="140"/>
      <c r="BU215" s="140"/>
      <c r="BV215" s="140"/>
      <c r="BW215" s="140"/>
      <c r="BX215" s="140"/>
      <c r="BY215" s="140"/>
      <c r="BZ215" s="140"/>
      <c r="CA215" s="140"/>
      <c r="CB215" s="140"/>
      <c r="CC215" s="140"/>
      <c r="CD215" s="140"/>
      <c r="CE215" s="140"/>
      <c r="CF215" s="140"/>
      <c r="CG215" s="140"/>
      <c r="CH215" s="140"/>
      <c r="CI215" s="140"/>
      <c r="CJ215" s="140"/>
      <c r="CK215" s="140"/>
      <c r="CL215" s="140"/>
      <c r="CM215" s="140"/>
      <c r="CN215" s="140"/>
      <c r="CO215" s="140"/>
      <c r="CP215" s="140"/>
      <c r="CQ215" s="140"/>
      <c r="CR215" s="140"/>
      <c r="CS215" s="140"/>
      <c r="CT215" s="140"/>
      <c r="CU215" s="140"/>
      <c r="CV215" s="140"/>
      <c r="CW215" s="140"/>
    </row>
    <row r="216" spans="1:101" x14ac:dyDescent="0.2">
      <c r="A216" s="29" t="str">
        <f t="shared" ca="1" si="3"/>
        <v>2025-10-26</v>
      </c>
      <c r="B216" s="140">
        <f ca="1">IF(ISNUMBER(MATCH(DATEVALUE($A216),'changes1_based on steps'!B$1:B$400,0)),B$2,)</f>
        <v>0</v>
      </c>
      <c r="C216" s="140">
        <f ca="1">IF(ISNUMBER(MATCH(DATEVALUE($A216),'changes1_based on steps'!C$1:C$400,0)),C$2,)</f>
        <v>0</v>
      </c>
      <c r="D216" s="140">
        <f ca="1">IF(ISNUMBER(MATCH(DATEVALUE($A216),'changes1_based on steps'!D$1:D$400,0)),D$2,)</f>
        <v>0</v>
      </c>
      <c r="E216" s="140">
        <f ca="1">IF(ISNUMBER(MATCH(DATEVALUE($A216),'changes1_based on steps'!E$1:E$400,0)),E$2,)</f>
        <v>0</v>
      </c>
      <c r="F216" s="140">
        <f ca="1">IF(ISNUMBER(MATCH(DATEVALUE($A216),'changes1_based on steps'!F$1:F$400,0)),F$2,)</f>
        <v>0</v>
      </c>
      <c r="G216" s="140">
        <f ca="1">IF(ISNUMBER(MATCH(DATEVALUE($A216),'changes1_based on steps'!G$1:G$400,0)),G$2,)</f>
        <v>0</v>
      </c>
      <c r="H216" s="140">
        <f ca="1">IF(ISNUMBER(MATCH(DATEVALUE($A216),'changes1_based on steps'!H$1:H$400,0)),H$2,)</f>
        <v>0</v>
      </c>
      <c r="I216" s="140">
        <f ca="1">IF(ISNUMBER(MATCH(DATEVALUE($A216),'changes1_based on steps'!I$1:I$400,0)),I$2,)</f>
        <v>0</v>
      </c>
      <c r="J216" s="140">
        <f ca="1">IF(ISNUMBER(MATCH(DATEVALUE($A216),'changes1_based on steps'!J$1:J$400,0)),J$2,)</f>
        <v>0</v>
      </c>
      <c r="K216" s="140">
        <f ca="1">IF(ISNUMBER(MATCH(DATEVALUE($A216),'changes1_based on steps'!K$1:K$400,0)),K$2,)</f>
        <v>0</v>
      </c>
      <c r="L216" s="140">
        <f ca="1">IF(ISNUMBER(MATCH(DATEVALUE($A216),'changes1_based on steps'!L$1:L$400,0)),L$2,)</f>
        <v>0</v>
      </c>
      <c r="M216" s="140">
        <f ca="1">IF(ISNUMBER(MATCH(DATEVALUE($A216),'changes1_based on steps'!M$1:M$400,0)),M$2,)</f>
        <v>0</v>
      </c>
      <c r="N216" s="140">
        <f ca="1">IF(ISNUMBER(MATCH(DATEVALUE($A216),'changes1_based on steps'!N$1:N$400,0)),N$2,)</f>
        <v>0</v>
      </c>
      <c r="O216" s="140">
        <f ca="1">IF(ISNUMBER(MATCH(DATEVALUE($A216),'changes1_based on steps'!O$1:O$400,0)),O$2,)</f>
        <v>0</v>
      </c>
      <c r="P216" s="140">
        <f ca="1">IF(ISNUMBER(MATCH(DATEVALUE($A216),'changes1_based on steps'!P$1:P$400,0)),P$2,)</f>
        <v>0</v>
      </c>
      <c r="Q216" s="140">
        <f ca="1">IF(ISNUMBER(MATCH(DATEVALUE($A216),'changes1_based on steps'!Q$1:Q$400,0)),Q$2,)</f>
        <v>0</v>
      </c>
      <c r="R216" s="140">
        <f ca="1">IF(ISNUMBER(MATCH(DATEVALUE($A216),'changes1_based on steps'!R$1:R$400,0)),R$2,)</f>
        <v>0</v>
      </c>
      <c r="S216" s="140">
        <f ca="1">IF(ISNUMBER(MATCH(DATEVALUE($A216),'changes1_based on steps'!S$1:S$400,0)),S$2,)</f>
        <v>0</v>
      </c>
      <c r="T216" s="140">
        <f ca="1">IF(ISNUMBER(MATCH(DATEVALUE($A216),'changes1_based on steps'!T$1:T$400,0)),T$2,)</f>
        <v>0</v>
      </c>
      <c r="U216" s="140">
        <f ca="1">IF(ISNUMBER(MATCH(DATEVALUE($A216),'changes1_based on steps'!U$1:U$400,0)),U$2,)</f>
        <v>0</v>
      </c>
      <c r="V216" s="140"/>
      <c r="W216" s="140"/>
      <c r="X216" s="140"/>
      <c r="Y216" s="140"/>
      <c r="Z216" s="140"/>
      <c r="AA216" s="140"/>
      <c r="AB216" s="140"/>
      <c r="AC216" s="140"/>
      <c r="AD216" s="140"/>
      <c r="AE216" s="140"/>
      <c r="AF216" s="140"/>
      <c r="AG216" s="140"/>
      <c r="AH216" s="140"/>
      <c r="AI216" s="140"/>
      <c r="AJ216" s="140"/>
      <c r="AK216" s="140"/>
      <c r="AL216" s="140"/>
      <c r="AM216" s="140"/>
      <c r="AN216" s="140"/>
      <c r="AO216" s="140"/>
      <c r="AP216" s="140"/>
      <c r="AQ216" s="140"/>
      <c r="AR216" s="140"/>
      <c r="AS216" s="140"/>
      <c r="AT216" s="140"/>
      <c r="AU216" s="140"/>
      <c r="AV216" s="140"/>
      <c r="AW216" s="140"/>
      <c r="AX216" s="140"/>
      <c r="AY216" s="140"/>
      <c r="AZ216" s="140"/>
      <c r="BA216" s="140"/>
      <c r="BB216" s="140"/>
      <c r="BC216" s="140"/>
      <c r="BD216" s="140"/>
      <c r="BE216" s="140"/>
      <c r="BF216" s="140"/>
      <c r="BG216" s="140"/>
      <c r="BH216" s="140"/>
      <c r="BI216" s="140"/>
      <c r="BJ216" s="140"/>
      <c r="BK216" s="140"/>
      <c r="BL216" s="140"/>
      <c r="BM216" s="140"/>
      <c r="BN216" s="140"/>
      <c r="BO216" s="140"/>
      <c r="BP216" s="140"/>
      <c r="BQ216" s="140"/>
      <c r="BR216" s="140"/>
      <c r="BS216" s="140"/>
      <c r="BT216" s="140"/>
      <c r="BU216" s="140"/>
      <c r="BV216" s="140"/>
      <c r="BW216" s="140"/>
      <c r="BX216" s="140"/>
      <c r="BY216" s="140"/>
      <c r="BZ216" s="140"/>
      <c r="CA216" s="140"/>
      <c r="CB216" s="140"/>
      <c r="CC216" s="140"/>
      <c r="CD216" s="140"/>
      <c r="CE216" s="140"/>
      <c r="CF216" s="140"/>
      <c r="CG216" s="140"/>
      <c r="CH216" s="140"/>
      <c r="CI216" s="140"/>
      <c r="CJ216" s="140"/>
      <c r="CK216" s="140"/>
      <c r="CL216" s="140"/>
      <c r="CM216" s="140"/>
      <c r="CN216" s="140"/>
      <c r="CO216" s="140"/>
      <c r="CP216" s="140"/>
      <c r="CQ216" s="140"/>
      <c r="CR216" s="140"/>
      <c r="CS216" s="140"/>
      <c r="CT216" s="140"/>
      <c r="CU216" s="140"/>
      <c r="CV216" s="140"/>
      <c r="CW216" s="140"/>
    </row>
    <row r="217" spans="1:101" x14ac:dyDescent="0.2">
      <c r="A217" s="29" t="str">
        <f t="shared" ca="1" si="3"/>
        <v>2025-10-27</v>
      </c>
      <c r="B217" s="140">
        <f ca="1">IF(ISNUMBER(MATCH(DATEVALUE($A217),'changes1_based on steps'!B$1:B$400,0)),B$2,)</f>
        <v>0</v>
      </c>
      <c r="C217" s="140">
        <f ca="1">IF(ISNUMBER(MATCH(DATEVALUE($A217),'changes1_based on steps'!C$1:C$400,0)),C$2,)</f>
        <v>0</v>
      </c>
      <c r="D217" s="140">
        <f ca="1">IF(ISNUMBER(MATCH(DATEVALUE($A217),'changes1_based on steps'!D$1:D$400,0)),D$2,)</f>
        <v>0</v>
      </c>
      <c r="E217" s="140">
        <f ca="1">IF(ISNUMBER(MATCH(DATEVALUE($A217),'changes1_based on steps'!E$1:E$400,0)),E$2,)</f>
        <v>0</v>
      </c>
      <c r="F217" s="140">
        <f ca="1">IF(ISNUMBER(MATCH(DATEVALUE($A217),'changes1_based on steps'!F$1:F$400,0)),F$2,)</f>
        <v>0</v>
      </c>
      <c r="G217" s="140">
        <f ca="1">IF(ISNUMBER(MATCH(DATEVALUE($A217),'changes1_based on steps'!G$1:G$400,0)),G$2,)</f>
        <v>0</v>
      </c>
      <c r="H217" s="140">
        <f ca="1">IF(ISNUMBER(MATCH(DATEVALUE($A217),'changes1_based on steps'!H$1:H$400,0)),H$2,)</f>
        <v>0</v>
      </c>
      <c r="I217" s="140">
        <f ca="1">IF(ISNUMBER(MATCH(DATEVALUE($A217),'changes1_based on steps'!I$1:I$400,0)),I$2,)</f>
        <v>0</v>
      </c>
      <c r="J217" s="140">
        <f ca="1">IF(ISNUMBER(MATCH(DATEVALUE($A217),'changes1_based on steps'!J$1:J$400,0)),J$2,)</f>
        <v>0</v>
      </c>
      <c r="K217" s="140">
        <f ca="1">IF(ISNUMBER(MATCH(DATEVALUE($A217),'changes1_based on steps'!K$1:K$400,0)),K$2,)</f>
        <v>0</v>
      </c>
      <c r="L217" s="140">
        <f ca="1">IF(ISNUMBER(MATCH(DATEVALUE($A217),'changes1_based on steps'!L$1:L$400,0)),L$2,)</f>
        <v>0</v>
      </c>
      <c r="M217" s="140">
        <f ca="1">IF(ISNUMBER(MATCH(DATEVALUE($A217),'changes1_based on steps'!M$1:M$400,0)),M$2,)</f>
        <v>0</v>
      </c>
      <c r="N217" s="140">
        <f ca="1">IF(ISNUMBER(MATCH(DATEVALUE($A217),'changes1_based on steps'!N$1:N$400,0)),N$2,)</f>
        <v>0</v>
      </c>
      <c r="O217" s="140">
        <f ca="1">IF(ISNUMBER(MATCH(DATEVALUE($A217),'changes1_based on steps'!O$1:O$400,0)),O$2,)</f>
        <v>0</v>
      </c>
      <c r="P217" s="140">
        <f ca="1">IF(ISNUMBER(MATCH(DATEVALUE($A217),'changes1_based on steps'!P$1:P$400,0)),P$2,)</f>
        <v>0</v>
      </c>
      <c r="Q217" s="140">
        <f ca="1">IF(ISNUMBER(MATCH(DATEVALUE($A217),'changes1_based on steps'!Q$1:Q$400,0)),Q$2,)</f>
        <v>0</v>
      </c>
      <c r="R217" s="140">
        <f ca="1">IF(ISNUMBER(MATCH(DATEVALUE($A217),'changes1_based on steps'!R$1:R$400,0)),R$2,)</f>
        <v>0</v>
      </c>
      <c r="S217" s="140">
        <f ca="1">IF(ISNUMBER(MATCH(DATEVALUE($A217),'changes1_based on steps'!S$1:S$400,0)),S$2,)</f>
        <v>0</v>
      </c>
      <c r="T217" s="140">
        <f ca="1">IF(ISNUMBER(MATCH(DATEVALUE($A217),'changes1_based on steps'!T$1:T$400,0)),T$2,)</f>
        <v>0</v>
      </c>
      <c r="U217" s="140">
        <f ca="1">IF(ISNUMBER(MATCH(DATEVALUE($A217),'changes1_based on steps'!U$1:U$400,0)),U$2,)</f>
        <v>0</v>
      </c>
      <c r="V217" s="140"/>
      <c r="W217" s="140"/>
      <c r="X217" s="140"/>
      <c r="Y217" s="140"/>
      <c r="Z217" s="140"/>
      <c r="AA217" s="140"/>
      <c r="AB217" s="140"/>
      <c r="AC217" s="140"/>
      <c r="AD217" s="140"/>
      <c r="AE217" s="140"/>
      <c r="AF217" s="140"/>
      <c r="AG217" s="140"/>
      <c r="AH217" s="140"/>
      <c r="AI217" s="140"/>
      <c r="AJ217" s="140"/>
      <c r="AK217" s="140"/>
      <c r="AL217" s="140"/>
      <c r="AM217" s="140"/>
      <c r="AN217" s="140"/>
      <c r="AO217" s="140"/>
      <c r="AP217" s="140"/>
      <c r="AQ217" s="140"/>
      <c r="AR217" s="140"/>
      <c r="AS217" s="140"/>
      <c r="AT217" s="140"/>
      <c r="AU217" s="140"/>
      <c r="AV217" s="140"/>
      <c r="AW217" s="140"/>
      <c r="AX217" s="140"/>
      <c r="AY217" s="140"/>
      <c r="AZ217" s="140"/>
      <c r="BA217" s="140"/>
      <c r="BB217" s="140"/>
      <c r="BC217" s="140"/>
      <c r="BD217" s="140"/>
      <c r="BE217" s="140"/>
      <c r="BF217" s="140"/>
      <c r="BG217" s="140"/>
      <c r="BH217" s="140"/>
      <c r="BI217" s="140"/>
      <c r="BJ217" s="140"/>
      <c r="BK217" s="140"/>
      <c r="BL217" s="140"/>
      <c r="BM217" s="140"/>
      <c r="BN217" s="140"/>
      <c r="BO217" s="140"/>
      <c r="BP217" s="140"/>
      <c r="BQ217" s="140"/>
      <c r="BR217" s="140"/>
      <c r="BS217" s="140"/>
      <c r="BT217" s="140"/>
      <c r="BU217" s="140"/>
      <c r="BV217" s="140"/>
      <c r="BW217" s="140"/>
      <c r="BX217" s="140"/>
      <c r="BY217" s="140"/>
      <c r="BZ217" s="140"/>
      <c r="CA217" s="140"/>
      <c r="CB217" s="140"/>
      <c r="CC217" s="140"/>
      <c r="CD217" s="140"/>
      <c r="CE217" s="140"/>
      <c r="CF217" s="140"/>
      <c r="CG217" s="140"/>
      <c r="CH217" s="140"/>
      <c r="CI217" s="140"/>
      <c r="CJ217" s="140"/>
      <c r="CK217" s="140"/>
      <c r="CL217" s="140"/>
      <c r="CM217" s="140"/>
      <c r="CN217" s="140"/>
      <c r="CO217" s="140"/>
      <c r="CP217" s="140"/>
      <c r="CQ217" s="140"/>
      <c r="CR217" s="140"/>
      <c r="CS217" s="140"/>
      <c r="CT217" s="140"/>
      <c r="CU217" s="140"/>
      <c r="CV217" s="140"/>
      <c r="CW217" s="140"/>
    </row>
    <row r="218" spans="1:101" x14ac:dyDescent="0.2">
      <c r="A218" s="29" t="str">
        <f t="shared" ca="1" si="3"/>
        <v>2025-10-28</v>
      </c>
      <c r="B218" s="140">
        <f ca="1">IF(ISNUMBER(MATCH(DATEVALUE($A218),'changes1_based on steps'!B$1:B$400,0)),B$2,)</f>
        <v>0</v>
      </c>
      <c r="C218" s="140">
        <f ca="1">IF(ISNUMBER(MATCH(DATEVALUE($A218),'changes1_based on steps'!C$1:C$400,0)),C$2,)</f>
        <v>0</v>
      </c>
      <c r="D218" s="140">
        <f ca="1">IF(ISNUMBER(MATCH(DATEVALUE($A218),'changes1_based on steps'!D$1:D$400,0)),D$2,)</f>
        <v>0</v>
      </c>
      <c r="E218" s="140">
        <f ca="1">IF(ISNUMBER(MATCH(DATEVALUE($A218),'changes1_based on steps'!E$1:E$400,0)),E$2,)</f>
        <v>0</v>
      </c>
      <c r="F218" s="140">
        <f ca="1">IF(ISNUMBER(MATCH(DATEVALUE($A218),'changes1_based on steps'!F$1:F$400,0)),F$2,)</f>
        <v>0</v>
      </c>
      <c r="G218" s="140">
        <f ca="1">IF(ISNUMBER(MATCH(DATEVALUE($A218),'changes1_based on steps'!G$1:G$400,0)),G$2,)</f>
        <v>0</v>
      </c>
      <c r="H218" s="140">
        <f ca="1">IF(ISNUMBER(MATCH(DATEVALUE($A218),'changes1_based on steps'!H$1:H$400,0)),H$2,)</f>
        <v>0</v>
      </c>
      <c r="I218" s="140">
        <f ca="1">IF(ISNUMBER(MATCH(DATEVALUE($A218),'changes1_based on steps'!I$1:I$400,0)),I$2,)</f>
        <v>0</v>
      </c>
      <c r="J218" s="140">
        <f ca="1">IF(ISNUMBER(MATCH(DATEVALUE($A218),'changes1_based on steps'!J$1:J$400,0)),J$2,)</f>
        <v>0</v>
      </c>
      <c r="K218" s="140">
        <f ca="1">IF(ISNUMBER(MATCH(DATEVALUE($A218),'changes1_based on steps'!K$1:K$400,0)),K$2,)</f>
        <v>0</v>
      </c>
      <c r="L218" s="140">
        <f ca="1">IF(ISNUMBER(MATCH(DATEVALUE($A218),'changes1_based on steps'!L$1:L$400,0)),L$2,)</f>
        <v>0</v>
      </c>
      <c r="M218" s="140">
        <f ca="1">IF(ISNUMBER(MATCH(DATEVALUE($A218),'changes1_based on steps'!M$1:M$400,0)),M$2,)</f>
        <v>0</v>
      </c>
      <c r="N218" s="140">
        <f ca="1">IF(ISNUMBER(MATCH(DATEVALUE($A218),'changes1_based on steps'!N$1:N$400,0)),N$2,)</f>
        <v>0</v>
      </c>
      <c r="O218" s="140">
        <f ca="1">IF(ISNUMBER(MATCH(DATEVALUE($A218),'changes1_based on steps'!O$1:O$400,0)),O$2,)</f>
        <v>0</v>
      </c>
      <c r="P218" s="140">
        <f ca="1">IF(ISNUMBER(MATCH(DATEVALUE($A218),'changes1_based on steps'!P$1:P$400,0)),P$2,)</f>
        <v>0</v>
      </c>
      <c r="Q218" s="140">
        <f ca="1">IF(ISNUMBER(MATCH(DATEVALUE($A218),'changes1_based on steps'!Q$1:Q$400,0)),Q$2,)</f>
        <v>0</v>
      </c>
      <c r="R218" s="140">
        <f ca="1">IF(ISNUMBER(MATCH(DATEVALUE($A218),'changes1_based on steps'!R$1:R$400,0)),R$2,)</f>
        <v>0</v>
      </c>
      <c r="S218" s="140">
        <f ca="1">IF(ISNUMBER(MATCH(DATEVALUE($A218),'changes1_based on steps'!S$1:S$400,0)),S$2,)</f>
        <v>0</v>
      </c>
      <c r="T218" s="140">
        <f ca="1">IF(ISNUMBER(MATCH(DATEVALUE($A218),'changes1_based on steps'!T$1:T$400,0)),T$2,)</f>
        <v>0</v>
      </c>
      <c r="U218" s="140">
        <f ca="1">IF(ISNUMBER(MATCH(DATEVALUE($A218),'changes1_based on steps'!U$1:U$400,0)),U$2,)</f>
        <v>0</v>
      </c>
      <c r="V218" s="140"/>
      <c r="W218" s="140"/>
      <c r="X218" s="140"/>
      <c r="Y218" s="140"/>
      <c r="Z218" s="140"/>
      <c r="AA218" s="140"/>
      <c r="AB218" s="140"/>
      <c r="AC218" s="140"/>
      <c r="AD218" s="140"/>
      <c r="AE218" s="140"/>
      <c r="AF218" s="140"/>
      <c r="AG218" s="140"/>
      <c r="AH218" s="140"/>
      <c r="AI218" s="140"/>
      <c r="AJ218" s="140"/>
      <c r="AK218" s="140"/>
      <c r="AL218" s="140"/>
      <c r="AM218" s="140"/>
      <c r="AN218" s="140"/>
      <c r="AO218" s="140"/>
      <c r="AP218" s="140"/>
      <c r="AQ218" s="140"/>
      <c r="AR218" s="140"/>
      <c r="AS218" s="140"/>
      <c r="AT218" s="140"/>
      <c r="AU218" s="140"/>
      <c r="AV218" s="140"/>
      <c r="AW218" s="140"/>
      <c r="AX218" s="140"/>
      <c r="AY218" s="140"/>
      <c r="AZ218" s="140"/>
      <c r="BA218" s="140"/>
      <c r="BB218" s="140"/>
      <c r="BC218" s="140"/>
      <c r="BD218" s="140"/>
      <c r="BE218" s="140"/>
      <c r="BF218" s="140"/>
      <c r="BG218" s="140"/>
      <c r="BH218" s="140"/>
      <c r="BI218" s="140"/>
      <c r="BJ218" s="140"/>
      <c r="BK218" s="140"/>
      <c r="BL218" s="140"/>
      <c r="BM218" s="140"/>
      <c r="BN218" s="140"/>
      <c r="BO218" s="140"/>
      <c r="BP218" s="140"/>
      <c r="BQ218" s="140"/>
      <c r="BR218" s="140"/>
      <c r="BS218" s="140"/>
      <c r="BT218" s="140"/>
      <c r="BU218" s="140"/>
      <c r="BV218" s="140"/>
      <c r="BW218" s="140"/>
      <c r="BX218" s="140"/>
      <c r="BY218" s="140"/>
      <c r="BZ218" s="140"/>
      <c r="CA218" s="140"/>
      <c r="CB218" s="140"/>
      <c r="CC218" s="140"/>
      <c r="CD218" s="140"/>
      <c r="CE218" s="140"/>
      <c r="CF218" s="140"/>
      <c r="CG218" s="140"/>
      <c r="CH218" s="140"/>
      <c r="CI218" s="140"/>
      <c r="CJ218" s="140"/>
      <c r="CK218" s="140"/>
      <c r="CL218" s="140"/>
      <c r="CM218" s="140"/>
      <c r="CN218" s="140"/>
      <c r="CO218" s="140"/>
      <c r="CP218" s="140"/>
      <c r="CQ218" s="140"/>
      <c r="CR218" s="140"/>
      <c r="CS218" s="140"/>
      <c r="CT218" s="140"/>
      <c r="CU218" s="140"/>
      <c r="CV218" s="140"/>
      <c r="CW218" s="140"/>
    </row>
    <row r="219" spans="1:101" x14ac:dyDescent="0.2">
      <c r="A219" s="29" t="str">
        <f t="shared" ca="1" si="3"/>
        <v>2025-10-29</v>
      </c>
      <c r="B219" s="140">
        <f ca="1">IF(ISNUMBER(MATCH(DATEVALUE($A219),'changes1_based on steps'!B$1:B$400,0)),B$2,)</f>
        <v>0</v>
      </c>
      <c r="C219" s="140">
        <f ca="1">IF(ISNUMBER(MATCH(DATEVALUE($A219),'changes1_based on steps'!C$1:C$400,0)),C$2,)</f>
        <v>0</v>
      </c>
      <c r="D219" s="140">
        <f ca="1">IF(ISNUMBER(MATCH(DATEVALUE($A219),'changes1_based on steps'!D$1:D$400,0)),D$2,)</f>
        <v>0</v>
      </c>
      <c r="E219" s="140">
        <f ca="1">IF(ISNUMBER(MATCH(DATEVALUE($A219),'changes1_based on steps'!E$1:E$400,0)),E$2,)</f>
        <v>0</v>
      </c>
      <c r="F219" s="140">
        <f ca="1">IF(ISNUMBER(MATCH(DATEVALUE($A219),'changes1_based on steps'!F$1:F$400,0)),F$2,)</f>
        <v>0</v>
      </c>
      <c r="G219" s="140">
        <f ca="1">IF(ISNUMBER(MATCH(DATEVALUE($A219),'changes1_based on steps'!G$1:G$400,0)),G$2,)</f>
        <v>0</v>
      </c>
      <c r="H219" s="140">
        <f ca="1">IF(ISNUMBER(MATCH(DATEVALUE($A219),'changes1_based on steps'!H$1:H$400,0)),H$2,)</f>
        <v>0</v>
      </c>
      <c r="I219" s="140">
        <f ca="1">IF(ISNUMBER(MATCH(DATEVALUE($A219),'changes1_based on steps'!I$1:I$400,0)),I$2,)</f>
        <v>0</v>
      </c>
      <c r="J219" s="140">
        <f ca="1">IF(ISNUMBER(MATCH(DATEVALUE($A219),'changes1_based on steps'!J$1:J$400,0)),J$2,)</f>
        <v>0</v>
      </c>
      <c r="K219" s="140">
        <f ca="1">IF(ISNUMBER(MATCH(DATEVALUE($A219),'changes1_based on steps'!K$1:K$400,0)),K$2,)</f>
        <v>0</v>
      </c>
      <c r="L219" s="140">
        <f ca="1">IF(ISNUMBER(MATCH(DATEVALUE($A219),'changes1_based on steps'!L$1:L$400,0)),L$2,)</f>
        <v>0</v>
      </c>
      <c r="M219" s="140">
        <f ca="1">IF(ISNUMBER(MATCH(DATEVALUE($A219),'changes1_based on steps'!M$1:M$400,0)),M$2,)</f>
        <v>0</v>
      </c>
      <c r="N219" s="140">
        <f ca="1">IF(ISNUMBER(MATCH(DATEVALUE($A219),'changes1_based on steps'!N$1:N$400,0)),N$2,)</f>
        <v>0</v>
      </c>
      <c r="O219" s="140">
        <f ca="1">IF(ISNUMBER(MATCH(DATEVALUE($A219),'changes1_based on steps'!O$1:O$400,0)),O$2,)</f>
        <v>0</v>
      </c>
      <c r="P219" s="140">
        <f ca="1">IF(ISNUMBER(MATCH(DATEVALUE($A219),'changes1_based on steps'!P$1:P$400,0)),P$2,)</f>
        <v>0</v>
      </c>
      <c r="Q219" s="140">
        <f ca="1">IF(ISNUMBER(MATCH(DATEVALUE($A219),'changes1_based on steps'!Q$1:Q$400,0)),Q$2,)</f>
        <v>0</v>
      </c>
      <c r="R219" s="140">
        <f ca="1">IF(ISNUMBER(MATCH(DATEVALUE($A219),'changes1_based on steps'!R$1:R$400,0)),R$2,)</f>
        <v>0</v>
      </c>
      <c r="S219" s="140">
        <f ca="1">IF(ISNUMBER(MATCH(DATEVALUE($A219),'changes1_based on steps'!S$1:S$400,0)),S$2,)</f>
        <v>0</v>
      </c>
      <c r="T219" s="140">
        <f ca="1">IF(ISNUMBER(MATCH(DATEVALUE($A219),'changes1_based on steps'!T$1:T$400,0)),T$2,)</f>
        <v>0</v>
      </c>
      <c r="U219" s="140">
        <f ca="1">IF(ISNUMBER(MATCH(DATEVALUE($A219),'changes1_based on steps'!U$1:U$400,0)),U$2,)</f>
        <v>0</v>
      </c>
      <c r="V219" s="140"/>
      <c r="W219" s="140"/>
      <c r="X219" s="140"/>
      <c r="Y219" s="140"/>
      <c r="Z219" s="140"/>
      <c r="AA219" s="140"/>
      <c r="AB219" s="140"/>
      <c r="AC219" s="140"/>
      <c r="AD219" s="140"/>
      <c r="AE219" s="140"/>
      <c r="AF219" s="140"/>
      <c r="AG219" s="140"/>
      <c r="AH219" s="140"/>
      <c r="AI219" s="140"/>
      <c r="AJ219" s="140"/>
      <c r="AK219" s="140"/>
      <c r="AL219" s="140"/>
      <c r="AM219" s="140"/>
      <c r="AN219" s="140"/>
      <c r="AO219" s="140"/>
      <c r="AP219" s="140"/>
      <c r="AQ219" s="140"/>
      <c r="AR219" s="140"/>
      <c r="AS219" s="140"/>
      <c r="AT219" s="140"/>
      <c r="AU219" s="140"/>
      <c r="AV219" s="140"/>
      <c r="AW219" s="140"/>
      <c r="AX219" s="140"/>
      <c r="AY219" s="140"/>
      <c r="AZ219" s="140"/>
      <c r="BA219" s="140"/>
      <c r="BB219" s="140"/>
      <c r="BC219" s="140"/>
      <c r="BD219" s="140"/>
      <c r="BE219" s="140"/>
      <c r="BF219" s="140"/>
      <c r="BG219" s="140"/>
      <c r="BH219" s="140"/>
      <c r="BI219" s="140"/>
      <c r="BJ219" s="140"/>
      <c r="BK219" s="140"/>
      <c r="BL219" s="140"/>
      <c r="BM219" s="140"/>
      <c r="BN219" s="140"/>
      <c r="BO219" s="140"/>
      <c r="BP219" s="140"/>
      <c r="BQ219" s="140"/>
      <c r="BR219" s="140"/>
      <c r="BS219" s="140"/>
      <c r="BT219" s="140"/>
      <c r="BU219" s="140"/>
      <c r="BV219" s="140"/>
      <c r="BW219" s="140"/>
      <c r="BX219" s="140"/>
      <c r="BY219" s="140"/>
      <c r="BZ219" s="140"/>
      <c r="CA219" s="140"/>
      <c r="CB219" s="140"/>
      <c r="CC219" s="140"/>
      <c r="CD219" s="140"/>
      <c r="CE219" s="140"/>
      <c r="CF219" s="140"/>
      <c r="CG219" s="140"/>
      <c r="CH219" s="140"/>
      <c r="CI219" s="140"/>
      <c r="CJ219" s="140"/>
      <c r="CK219" s="140"/>
      <c r="CL219" s="140"/>
      <c r="CM219" s="140"/>
      <c r="CN219" s="140"/>
      <c r="CO219" s="140"/>
      <c r="CP219" s="140"/>
      <c r="CQ219" s="140"/>
      <c r="CR219" s="140"/>
      <c r="CS219" s="140"/>
      <c r="CT219" s="140"/>
      <c r="CU219" s="140"/>
      <c r="CV219" s="140"/>
      <c r="CW219" s="140"/>
    </row>
    <row r="220" spans="1:101" x14ac:dyDescent="0.2">
      <c r="A220" s="29" t="str">
        <f t="shared" ca="1" si="3"/>
        <v>2025-10-30</v>
      </c>
      <c r="B220" s="140">
        <f ca="1">IF(ISNUMBER(MATCH(DATEVALUE($A220),'changes1_based on steps'!B$1:B$400,0)),B$2,)</f>
        <v>0</v>
      </c>
      <c r="C220" s="140">
        <f ca="1">IF(ISNUMBER(MATCH(DATEVALUE($A220),'changes1_based on steps'!C$1:C$400,0)),C$2,)</f>
        <v>0</v>
      </c>
      <c r="D220" s="140">
        <f ca="1">IF(ISNUMBER(MATCH(DATEVALUE($A220),'changes1_based on steps'!D$1:D$400,0)),D$2,)</f>
        <v>0</v>
      </c>
      <c r="E220" s="140">
        <f ca="1">IF(ISNUMBER(MATCH(DATEVALUE($A220),'changes1_based on steps'!E$1:E$400,0)),E$2,)</f>
        <v>0</v>
      </c>
      <c r="F220" s="140">
        <f ca="1">IF(ISNUMBER(MATCH(DATEVALUE($A220),'changes1_based on steps'!F$1:F$400,0)),F$2,)</f>
        <v>0</v>
      </c>
      <c r="G220" s="140">
        <f ca="1">IF(ISNUMBER(MATCH(DATEVALUE($A220),'changes1_based on steps'!G$1:G$400,0)),G$2,)</f>
        <v>0</v>
      </c>
      <c r="H220" s="140">
        <f ca="1">IF(ISNUMBER(MATCH(DATEVALUE($A220),'changes1_based on steps'!H$1:H$400,0)),H$2,)</f>
        <v>0</v>
      </c>
      <c r="I220" s="140">
        <f ca="1">IF(ISNUMBER(MATCH(DATEVALUE($A220),'changes1_based on steps'!I$1:I$400,0)),I$2,)</f>
        <v>0</v>
      </c>
      <c r="J220" s="140">
        <f ca="1">IF(ISNUMBER(MATCH(DATEVALUE($A220),'changes1_based on steps'!J$1:J$400,0)),J$2,)</f>
        <v>0</v>
      </c>
      <c r="K220" s="140">
        <f ca="1">IF(ISNUMBER(MATCH(DATEVALUE($A220),'changes1_based on steps'!K$1:K$400,0)),K$2,)</f>
        <v>0</v>
      </c>
      <c r="L220" s="140">
        <f ca="1">IF(ISNUMBER(MATCH(DATEVALUE($A220),'changes1_based on steps'!L$1:L$400,0)),L$2,)</f>
        <v>0</v>
      </c>
      <c r="M220" s="140">
        <f ca="1">IF(ISNUMBER(MATCH(DATEVALUE($A220),'changes1_based on steps'!M$1:M$400,0)),M$2,)</f>
        <v>0</v>
      </c>
      <c r="N220" s="140">
        <f ca="1">IF(ISNUMBER(MATCH(DATEVALUE($A220),'changes1_based on steps'!N$1:N$400,0)),N$2,)</f>
        <v>0</v>
      </c>
      <c r="O220" s="140">
        <f ca="1">IF(ISNUMBER(MATCH(DATEVALUE($A220),'changes1_based on steps'!O$1:O$400,0)),O$2,)</f>
        <v>0</v>
      </c>
      <c r="P220" s="140">
        <f ca="1">IF(ISNUMBER(MATCH(DATEVALUE($A220),'changes1_based on steps'!P$1:P$400,0)),P$2,)</f>
        <v>0</v>
      </c>
      <c r="Q220" s="140">
        <f ca="1">IF(ISNUMBER(MATCH(DATEVALUE($A220),'changes1_based on steps'!Q$1:Q$400,0)),Q$2,)</f>
        <v>0</v>
      </c>
      <c r="R220" s="140">
        <f ca="1">IF(ISNUMBER(MATCH(DATEVALUE($A220),'changes1_based on steps'!R$1:R$400,0)),R$2,)</f>
        <v>0</v>
      </c>
      <c r="S220" s="140">
        <f ca="1">IF(ISNUMBER(MATCH(DATEVALUE($A220),'changes1_based on steps'!S$1:S$400,0)),S$2,)</f>
        <v>0</v>
      </c>
      <c r="T220" s="140">
        <f ca="1">IF(ISNUMBER(MATCH(DATEVALUE($A220),'changes1_based on steps'!T$1:T$400,0)),T$2,)</f>
        <v>0</v>
      </c>
      <c r="U220" s="140">
        <f ca="1">IF(ISNUMBER(MATCH(DATEVALUE($A220),'changes1_based on steps'!U$1:U$400,0)),U$2,)</f>
        <v>0</v>
      </c>
      <c r="V220" s="140"/>
      <c r="W220" s="140"/>
      <c r="X220" s="140"/>
      <c r="Y220" s="140"/>
      <c r="Z220" s="140"/>
      <c r="AA220" s="140"/>
      <c r="AB220" s="140"/>
      <c r="AC220" s="140"/>
      <c r="AD220" s="140"/>
      <c r="AE220" s="140"/>
      <c r="AF220" s="140"/>
      <c r="AG220" s="140"/>
      <c r="AH220" s="140"/>
      <c r="AI220" s="140"/>
      <c r="AJ220" s="140"/>
      <c r="AK220" s="140"/>
      <c r="AL220" s="140"/>
      <c r="AM220" s="140"/>
      <c r="AN220" s="140"/>
      <c r="AO220" s="140"/>
      <c r="AP220" s="140"/>
      <c r="AQ220" s="140"/>
      <c r="AR220" s="140"/>
      <c r="AS220" s="140"/>
      <c r="AT220" s="140"/>
      <c r="AU220" s="140"/>
      <c r="AV220" s="140"/>
      <c r="AW220" s="140"/>
      <c r="AX220" s="140"/>
      <c r="AY220" s="140"/>
      <c r="AZ220" s="140"/>
      <c r="BA220" s="140"/>
      <c r="BB220" s="140"/>
      <c r="BC220" s="140"/>
      <c r="BD220" s="140"/>
      <c r="BE220" s="140"/>
      <c r="BF220" s="140"/>
      <c r="BG220" s="140"/>
      <c r="BH220" s="140"/>
      <c r="BI220" s="140"/>
      <c r="BJ220" s="140"/>
      <c r="BK220" s="140"/>
      <c r="BL220" s="140"/>
      <c r="BM220" s="140"/>
      <c r="BN220" s="140"/>
      <c r="BO220" s="140"/>
      <c r="BP220" s="140"/>
      <c r="BQ220" s="140"/>
      <c r="BR220" s="140"/>
      <c r="BS220" s="140"/>
      <c r="BT220" s="140"/>
      <c r="BU220" s="140"/>
      <c r="BV220" s="140"/>
      <c r="BW220" s="140"/>
      <c r="BX220" s="140"/>
      <c r="BY220" s="140"/>
      <c r="BZ220" s="140"/>
      <c r="CA220" s="140"/>
      <c r="CB220" s="140"/>
      <c r="CC220" s="140"/>
      <c r="CD220" s="140"/>
      <c r="CE220" s="140"/>
      <c r="CF220" s="140"/>
      <c r="CG220" s="140"/>
      <c r="CH220" s="140"/>
      <c r="CI220" s="140"/>
      <c r="CJ220" s="140"/>
      <c r="CK220" s="140"/>
      <c r="CL220" s="140"/>
      <c r="CM220" s="140"/>
      <c r="CN220" s="140"/>
      <c r="CO220" s="140"/>
      <c r="CP220" s="140"/>
      <c r="CQ220" s="140"/>
      <c r="CR220" s="140"/>
      <c r="CS220" s="140"/>
      <c r="CT220" s="140"/>
      <c r="CU220" s="140"/>
      <c r="CV220" s="140"/>
      <c r="CW220" s="140"/>
    </row>
    <row r="221" spans="1:101" x14ac:dyDescent="0.2">
      <c r="A221" s="29" t="str">
        <f t="shared" ca="1" si="3"/>
        <v>2025-10-31</v>
      </c>
      <c r="B221" s="140">
        <f ca="1">IF(ISNUMBER(MATCH(DATEVALUE($A221),'changes1_based on steps'!B$1:B$400,0)),B$2,)</f>
        <v>0</v>
      </c>
      <c r="C221" s="140">
        <f ca="1">IF(ISNUMBER(MATCH(DATEVALUE($A221),'changes1_based on steps'!C$1:C$400,0)),C$2,)</f>
        <v>0</v>
      </c>
      <c r="D221" s="140">
        <f ca="1">IF(ISNUMBER(MATCH(DATEVALUE($A221),'changes1_based on steps'!D$1:D$400,0)),D$2,)</f>
        <v>0</v>
      </c>
      <c r="E221" s="140">
        <f ca="1">IF(ISNUMBER(MATCH(DATEVALUE($A221),'changes1_based on steps'!E$1:E$400,0)),E$2,)</f>
        <v>0</v>
      </c>
      <c r="F221" s="140">
        <f ca="1">IF(ISNUMBER(MATCH(DATEVALUE($A221),'changes1_based on steps'!F$1:F$400,0)),F$2,)</f>
        <v>0</v>
      </c>
      <c r="G221" s="140">
        <f ca="1">IF(ISNUMBER(MATCH(DATEVALUE($A221),'changes1_based on steps'!G$1:G$400,0)),G$2,)</f>
        <v>0</v>
      </c>
      <c r="H221" s="140">
        <f ca="1">IF(ISNUMBER(MATCH(DATEVALUE($A221),'changes1_based on steps'!H$1:H$400,0)),H$2,)</f>
        <v>0</v>
      </c>
      <c r="I221" s="140">
        <f ca="1">IF(ISNUMBER(MATCH(DATEVALUE($A221),'changes1_based on steps'!I$1:I$400,0)),I$2,)</f>
        <v>0</v>
      </c>
      <c r="J221" s="140">
        <f ca="1">IF(ISNUMBER(MATCH(DATEVALUE($A221),'changes1_based on steps'!J$1:J$400,0)),J$2,)</f>
        <v>0</v>
      </c>
      <c r="K221" s="140">
        <f ca="1">IF(ISNUMBER(MATCH(DATEVALUE($A221),'changes1_based on steps'!K$1:K$400,0)),K$2,)</f>
        <v>0</v>
      </c>
      <c r="L221" s="140">
        <f ca="1">IF(ISNUMBER(MATCH(DATEVALUE($A221),'changes1_based on steps'!L$1:L$400,0)),L$2,)</f>
        <v>0</v>
      </c>
      <c r="M221" s="140">
        <f ca="1">IF(ISNUMBER(MATCH(DATEVALUE($A221),'changes1_based on steps'!M$1:M$400,0)),M$2,)</f>
        <v>0</v>
      </c>
      <c r="N221" s="140">
        <f ca="1">IF(ISNUMBER(MATCH(DATEVALUE($A221),'changes1_based on steps'!N$1:N$400,0)),N$2,)</f>
        <v>0</v>
      </c>
      <c r="O221" s="140">
        <f ca="1">IF(ISNUMBER(MATCH(DATEVALUE($A221),'changes1_based on steps'!O$1:O$400,0)),O$2,)</f>
        <v>0</v>
      </c>
      <c r="P221" s="140">
        <f ca="1">IF(ISNUMBER(MATCH(DATEVALUE($A221),'changes1_based on steps'!P$1:P$400,0)),P$2,)</f>
        <v>0</v>
      </c>
      <c r="Q221" s="140">
        <f ca="1">IF(ISNUMBER(MATCH(DATEVALUE($A221),'changes1_based on steps'!Q$1:Q$400,0)),Q$2,)</f>
        <v>0</v>
      </c>
      <c r="R221" s="140">
        <f ca="1">IF(ISNUMBER(MATCH(DATEVALUE($A221),'changes1_based on steps'!R$1:R$400,0)),R$2,)</f>
        <v>0</v>
      </c>
      <c r="S221" s="140">
        <f ca="1">IF(ISNUMBER(MATCH(DATEVALUE($A221),'changes1_based on steps'!S$1:S$400,0)),S$2,)</f>
        <v>0</v>
      </c>
      <c r="T221" s="140">
        <f ca="1">IF(ISNUMBER(MATCH(DATEVALUE($A221),'changes1_based on steps'!T$1:T$400,0)),T$2,)</f>
        <v>0</v>
      </c>
      <c r="U221" s="140">
        <f ca="1">IF(ISNUMBER(MATCH(DATEVALUE($A221),'changes1_based on steps'!U$1:U$400,0)),U$2,)</f>
        <v>0</v>
      </c>
      <c r="V221" s="140"/>
      <c r="W221" s="140"/>
      <c r="X221" s="140"/>
      <c r="Y221" s="140"/>
      <c r="Z221" s="140"/>
      <c r="AA221" s="140"/>
      <c r="AB221" s="140"/>
      <c r="AC221" s="140"/>
      <c r="AD221" s="140"/>
      <c r="AE221" s="140"/>
      <c r="AF221" s="140"/>
      <c r="AG221" s="140"/>
      <c r="AH221" s="140"/>
      <c r="AI221" s="140"/>
      <c r="AJ221" s="140"/>
      <c r="AK221" s="140"/>
      <c r="AL221" s="140"/>
      <c r="AM221" s="140"/>
      <c r="AN221" s="140"/>
      <c r="AO221" s="140"/>
      <c r="AP221" s="140"/>
      <c r="AQ221" s="140"/>
      <c r="AR221" s="140"/>
      <c r="AS221" s="140"/>
      <c r="AT221" s="140"/>
      <c r="AU221" s="140"/>
      <c r="AV221" s="140"/>
      <c r="AW221" s="140"/>
      <c r="AX221" s="140"/>
      <c r="AY221" s="140"/>
      <c r="AZ221" s="140"/>
      <c r="BA221" s="140"/>
      <c r="BB221" s="140"/>
      <c r="BC221" s="140"/>
      <c r="BD221" s="140"/>
      <c r="BE221" s="140"/>
      <c r="BF221" s="140"/>
      <c r="BG221" s="140"/>
      <c r="BH221" s="140"/>
      <c r="BI221" s="140"/>
      <c r="BJ221" s="140"/>
      <c r="BK221" s="140"/>
      <c r="BL221" s="140"/>
      <c r="BM221" s="140"/>
      <c r="BN221" s="140"/>
      <c r="BO221" s="140"/>
      <c r="BP221" s="140"/>
      <c r="BQ221" s="140"/>
      <c r="BR221" s="140"/>
      <c r="BS221" s="140"/>
      <c r="BT221" s="140"/>
      <c r="BU221" s="140"/>
      <c r="BV221" s="140"/>
      <c r="BW221" s="140"/>
      <c r="BX221" s="140"/>
      <c r="BY221" s="140"/>
      <c r="BZ221" s="140"/>
      <c r="CA221" s="140"/>
      <c r="CB221" s="140"/>
      <c r="CC221" s="140"/>
      <c r="CD221" s="140"/>
      <c r="CE221" s="140"/>
      <c r="CF221" s="140"/>
      <c r="CG221" s="140"/>
      <c r="CH221" s="140"/>
      <c r="CI221" s="140"/>
      <c r="CJ221" s="140"/>
      <c r="CK221" s="140"/>
      <c r="CL221" s="140"/>
      <c r="CM221" s="140"/>
      <c r="CN221" s="140"/>
      <c r="CO221" s="140"/>
      <c r="CP221" s="140"/>
      <c r="CQ221" s="140"/>
      <c r="CR221" s="140"/>
      <c r="CS221" s="140"/>
      <c r="CT221" s="140"/>
      <c r="CU221" s="140"/>
      <c r="CV221" s="140"/>
      <c r="CW221" s="140"/>
    </row>
    <row r="222" spans="1:101" x14ac:dyDescent="0.2">
      <c r="A222" s="29" t="str">
        <f t="shared" ca="1" si="3"/>
        <v>2025-11-01</v>
      </c>
      <c r="B222" s="140">
        <f ca="1">IF(ISNUMBER(MATCH(DATEVALUE($A222),'changes1_based on steps'!B$1:B$400,0)),B$2,)</f>
        <v>0</v>
      </c>
      <c r="C222" s="140">
        <f ca="1">IF(ISNUMBER(MATCH(DATEVALUE($A222),'changes1_based on steps'!C$1:C$400,0)),C$2,)</f>
        <v>0</v>
      </c>
      <c r="D222" s="140">
        <f ca="1">IF(ISNUMBER(MATCH(DATEVALUE($A222),'changes1_based on steps'!D$1:D$400,0)),D$2,)</f>
        <v>0</v>
      </c>
      <c r="E222" s="140">
        <f ca="1">IF(ISNUMBER(MATCH(DATEVALUE($A222),'changes1_based on steps'!E$1:E$400,0)),E$2,)</f>
        <v>0</v>
      </c>
      <c r="F222" s="140">
        <f ca="1">IF(ISNUMBER(MATCH(DATEVALUE($A222),'changes1_based on steps'!F$1:F$400,0)),F$2,)</f>
        <v>0</v>
      </c>
      <c r="G222" s="140">
        <f ca="1">IF(ISNUMBER(MATCH(DATEVALUE($A222),'changes1_based on steps'!G$1:G$400,0)),G$2,)</f>
        <v>0</v>
      </c>
      <c r="H222" s="140">
        <f ca="1">IF(ISNUMBER(MATCH(DATEVALUE($A222),'changes1_based on steps'!H$1:H$400,0)),H$2,)</f>
        <v>0</v>
      </c>
      <c r="I222" s="140">
        <f ca="1">IF(ISNUMBER(MATCH(DATEVALUE($A222),'changes1_based on steps'!I$1:I$400,0)),I$2,)</f>
        <v>0</v>
      </c>
      <c r="J222" s="140">
        <f ca="1">IF(ISNUMBER(MATCH(DATEVALUE($A222),'changes1_based on steps'!J$1:J$400,0)),J$2,)</f>
        <v>0</v>
      </c>
      <c r="K222" s="140">
        <f ca="1">IF(ISNUMBER(MATCH(DATEVALUE($A222),'changes1_based on steps'!K$1:K$400,0)),K$2,)</f>
        <v>0</v>
      </c>
      <c r="L222" s="140">
        <f ca="1">IF(ISNUMBER(MATCH(DATEVALUE($A222),'changes1_based on steps'!L$1:L$400,0)),L$2,)</f>
        <v>0</v>
      </c>
      <c r="M222" s="140">
        <f ca="1">IF(ISNUMBER(MATCH(DATEVALUE($A222),'changes1_based on steps'!M$1:M$400,0)),M$2,)</f>
        <v>0</v>
      </c>
      <c r="N222" s="140">
        <f ca="1">IF(ISNUMBER(MATCH(DATEVALUE($A222),'changes1_based on steps'!N$1:N$400,0)),N$2,)</f>
        <v>0</v>
      </c>
      <c r="O222" s="140">
        <f ca="1">IF(ISNUMBER(MATCH(DATEVALUE($A222),'changes1_based on steps'!O$1:O$400,0)),O$2,)</f>
        <v>0</v>
      </c>
      <c r="P222" s="140">
        <f ca="1">IF(ISNUMBER(MATCH(DATEVALUE($A222),'changes1_based on steps'!P$1:P$400,0)),P$2,)</f>
        <v>0</v>
      </c>
      <c r="Q222" s="140">
        <f ca="1">IF(ISNUMBER(MATCH(DATEVALUE($A222),'changes1_based on steps'!Q$1:Q$400,0)),Q$2,)</f>
        <v>0</v>
      </c>
      <c r="R222" s="140">
        <f ca="1">IF(ISNUMBER(MATCH(DATEVALUE($A222),'changes1_based on steps'!R$1:R$400,0)),R$2,)</f>
        <v>0</v>
      </c>
      <c r="S222" s="140">
        <f ca="1">IF(ISNUMBER(MATCH(DATEVALUE($A222),'changes1_based on steps'!S$1:S$400,0)),S$2,)</f>
        <v>0</v>
      </c>
      <c r="T222" s="140">
        <f ca="1">IF(ISNUMBER(MATCH(DATEVALUE($A222),'changes1_based on steps'!T$1:T$400,0)),T$2,)</f>
        <v>0</v>
      </c>
      <c r="U222" s="140">
        <f ca="1">IF(ISNUMBER(MATCH(DATEVALUE($A222),'changes1_based on steps'!U$1:U$400,0)),U$2,)</f>
        <v>0</v>
      </c>
      <c r="V222" s="140"/>
      <c r="W222" s="140"/>
      <c r="X222" s="140"/>
      <c r="Y222" s="140"/>
      <c r="Z222" s="140"/>
      <c r="AA222" s="140"/>
      <c r="AB222" s="140"/>
      <c r="AC222" s="140"/>
      <c r="AD222" s="140"/>
      <c r="AE222" s="140"/>
      <c r="AF222" s="140"/>
      <c r="AG222" s="140"/>
      <c r="AH222" s="140"/>
      <c r="AI222" s="140"/>
      <c r="AJ222" s="140"/>
      <c r="AK222" s="140"/>
      <c r="AL222" s="140"/>
      <c r="AM222" s="140"/>
      <c r="AN222" s="140"/>
      <c r="AO222" s="140"/>
      <c r="AP222" s="140"/>
      <c r="AQ222" s="140"/>
      <c r="AR222" s="140"/>
      <c r="AS222" s="140"/>
      <c r="AT222" s="140"/>
      <c r="AU222" s="140"/>
      <c r="AV222" s="140"/>
      <c r="AW222" s="140"/>
      <c r="AX222" s="140"/>
      <c r="AY222" s="140"/>
      <c r="AZ222" s="140"/>
      <c r="BA222" s="140"/>
      <c r="BB222" s="140"/>
      <c r="BC222" s="140"/>
      <c r="BD222" s="140"/>
      <c r="BE222" s="140"/>
      <c r="BF222" s="140"/>
      <c r="BG222" s="140"/>
      <c r="BH222" s="140"/>
      <c r="BI222" s="140"/>
      <c r="BJ222" s="140"/>
      <c r="BK222" s="140"/>
      <c r="BL222" s="140"/>
      <c r="BM222" s="140"/>
      <c r="BN222" s="140"/>
      <c r="BO222" s="140"/>
      <c r="BP222" s="140"/>
      <c r="BQ222" s="140"/>
      <c r="BR222" s="140"/>
      <c r="BS222" s="140"/>
      <c r="BT222" s="140"/>
      <c r="BU222" s="140"/>
      <c r="BV222" s="140"/>
      <c r="BW222" s="140"/>
      <c r="BX222" s="140"/>
      <c r="BY222" s="140"/>
      <c r="BZ222" s="140"/>
      <c r="CA222" s="140"/>
      <c r="CB222" s="140"/>
      <c r="CC222" s="140"/>
      <c r="CD222" s="140"/>
      <c r="CE222" s="140"/>
      <c r="CF222" s="140"/>
      <c r="CG222" s="140"/>
      <c r="CH222" s="140"/>
      <c r="CI222" s="140"/>
      <c r="CJ222" s="140"/>
      <c r="CK222" s="140"/>
      <c r="CL222" s="140"/>
      <c r="CM222" s="140"/>
      <c r="CN222" s="140"/>
      <c r="CO222" s="140"/>
      <c r="CP222" s="140"/>
      <c r="CQ222" s="140"/>
      <c r="CR222" s="140"/>
      <c r="CS222" s="140"/>
      <c r="CT222" s="140"/>
      <c r="CU222" s="140"/>
      <c r="CV222" s="140"/>
      <c r="CW222" s="140"/>
    </row>
    <row r="223" spans="1:101" x14ac:dyDescent="0.2">
      <c r="A223" s="29" t="str">
        <f t="shared" ca="1" si="3"/>
        <v>2025-11-02</v>
      </c>
      <c r="B223" s="140">
        <f ca="1">IF(ISNUMBER(MATCH(DATEVALUE($A223),'changes1_based on steps'!B$1:B$400,0)),B$2,)</f>
        <v>0</v>
      </c>
      <c r="C223" s="140">
        <f ca="1">IF(ISNUMBER(MATCH(DATEVALUE($A223),'changes1_based on steps'!C$1:C$400,0)),C$2,)</f>
        <v>0</v>
      </c>
      <c r="D223" s="140">
        <f ca="1">IF(ISNUMBER(MATCH(DATEVALUE($A223),'changes1_based on steps'!D$1:D$400,0)),D$2,)</f>
        <v>0</v>
      </c>
      <c r="E223" s="140">
        <f ca="1">IF(ISNUMBER(MATCH(DATEVALUE($A223),'changes1_based on steps'!E$1:E$400,0)),E$2,)</f>
        <v>0</v>
      </c>
      <c r="F223" s="140">
        <f ca="1">IF(ISNUMBER(MATCH(DATEVALUE($A223),'changes1_based on steps'!F$1:F$400,0)),F$2,)</f>
        <v>0</v>
      </c>
      <c r="G223" s="140">
        <f ca="1">IF(ISNUMBER(MATCH(DATEVALUE($A223),'changes1_based on steps'!G$1:G$400,0)),G$2,)</f>
        <v>0</v>
      </c>
      <c r="H223" s="140">
        <f ca="1">IF(ISNUMBER(MATCH(DATEVALUE($A223),'changes1_based on steps'!H$1:H$400,0)),H$2,)</f>
        <v>0</v>
      </c>
      <c r="I223" s="140">
        <f ca="1">IF(ISNUMBER(MATCH(DATEVALUE($A223),'changes1_based on steps'!I$1:I$400,0)),I$2,)</f>
        <v>0</v>
      </c>
      <c r="J223" s="140">
        <f ca="1">IF(ISNUMBER(MATCH(DATEVALUE($A223),'changes1_based on steps'!J$1:J$400,0)),J$2,)</f>
        <v>0</v>
      </c>
      <c r="K223" s="140">
        <f ca="1">IF(ISNUMBER(MATCH(DATEVALUE($A223),'changes1_based on steps'!K$1:K$400,0)),K$2,)</f>
        <v>0</v>
      </c>
      <c r="L223" s="140">
        <f ca="1">IF(ISNUMBER(MATCH(DATEVALUE($A223),'changes1_based on steps'!L$1:L$400,0)),L$2,)</f>
        <v>0</v>
      </c>
      <c r="M223" s="140">
        <f ca="1">IF(ISNUMBER(MATCH(DATEVALUE($A223),'changes1_based on steps'!M$1:M$400,0)),M$2,)</f>
        <v>0</v>
      </c>
      <c r="N223" s="140">
        <f ca="1">IF(ISNUMBER(MATCH(DATEVALUE($A223),'changes1_based on steps'!N$1:N$400,0)),N$2,)</f>
        <v>0</v>
      </c>
      <c r="O223" s="140">
        <f ca="1">IF(ISNUMBER(MATCH(DATEVALUE($A223),'changes1_based on steps'!O$1:O$400,0)),O$2,)</f>
        <v>0</v>
      </c>
      <c r="P223" s="140">
        <f ca="1">IF(ISNUMBER(MATCH(DATEVALUE($A223),'changes1_based on steps'!P$1:P$400,0)),P$2,)</f>
        <v>0</v>
      </c>
      <c r="Q223" s="140">
        <f ca="1">IF(ISNUMBER(MATCH(DATEVALUE($A223),'changes1_based on steps'!Q$1:Q$400,0)),Q$2,)</f>
        <v>0</v>
      </c>
      <c r="R223" s="140">
        <f ca="1">IF(ISNUMBER(MATCH(DATEVALUE($A223),'changes1_based on steps'!R$1:R$400,0)),R$2,)</f>
        <v>0</v>
      </c>
      <c r="S223" s="140">
        <f ca="1">IF(ISNUMBER(MATCH(DATEVALUE($A223),'changes1_based on steps'!S$1:S$400,0)),S$2,)</f>
        <v>0</v>
      </c>
      <c r="T223" s="140">
        <f ca="1">IF(ISNUMBER(MATCH(DATEVALUE($A223),'changes1_based on steps'!T$1:T$400,0)),T$2,)</f>
        <v>0</v>
      </c>
      <c r="U223" s="140">
        <f ca="1">IF(ISNUMBER(MATCH(DATEVALUE($A223),'changes1_based on steps'!U$1:U$400,0)),U$2,)</f>
        <v>0</v>
      </c>
      <c r="V223" s="140"/>
      <c r="W223" s="140"/>
      <c r="X223" s="140"/>
      <c r="Y223" s="140"/>
      <c r="Z223" s="140"/>
      <c r="AA223" s="140"/>
      <c r="AB223" s="140"/>
      <c r="AC223" s="140"/>
      <c r="AD223" s="140"/>
      <c r="AE223" s="140"/>
      <c r="AF223" s="140"/>
      <c r="AG223" s="140"/>
      <c r="AH223" s="140"/>
      <c r="AI223" s="140"/>
      <c r="AJ223" s="140"/>
      <c r="AK223" s="140"/>
      <c r="AL223" s="140"/>
      <c r="AM223" s="140"/>
      <c r="AN223" s="140"/>
      <c r="AO223" s="140"/>
      <c r="AP223" s="140"/>
      <c r="AQ223" s="140"/>
      <c r="AR223" s="140"/>
      <c r="AS223" s="140"/>
      <c r="AT223" s="140"/>
      <c r="AU223" s="140"/>
      <c r="AV223" s="140"/>
      <c r="AW223" s="140"/>
      <c r="AX223" s="140"/>
      <c r="AY223" s="140"/>
      <c r="AZ223" s="140"/>
      <c r="BA223" s="140"/>
      <c r="BB223" s="140"/>
      <c r="BC223" s="140"/>
      <c r="BD223" s="140"/>
      <c r="BE223" s="140"/>
      <c r="BF223" s="140"/>
      <c r="BG223" s="140"/>
      <c r="BH223" s="140"/>
      <c r="BI223" s="140"/>
      <c r="BJ223" s="140"/>
      <c r="BK223" s="140"/>
      <c r="BL223" s="140"/>
      <c r="BM223" s="140"/>
      <c r="BN223" s="140"/>
      <c r="BO223" s="140"/>
      <c r="BP223" s="140"/>
      <c r="BQ223" s="140"/>
      <c r="BR223" s="140"/>
      <c r="BS223" s="140"/>
      <c r="BT223" s="140"/>
      <c r="BU223" s="140"/>
      <c r="BV223" s="140"/>
      <c r="BW223" s="140"/>
      <c r="BX223" s="140"/>
      <c r="BY223" s="140"/>
      <c r="BZ223" s="140"/>
      <c r="CA223" s="140"/>
      <c r="CB223" s="140"/>
      <c r="CC223" s="140"/>
      <c r="CD223" s="140"/>
      <c r="CE223" s="140"/>
      <c r="CF223" s="140"/>
      <c r="CG223" s="140"/>
      <c r="CH223" s="140"/>
      <c r="CI223" s="140"/>
      <c r="CJ223" s="140"/>
      <c r="CK223" s="140"/>
      <c r="CL223" s="140"/>
      <c r="CM223" s="140"/>
      <c r="CN223" s="140"/>
      <c r="CO223" s="140"/>
      <c r="CP223" s="140"/>
      <c r="CQ223" s="140"/>
      <c r="CR223" s="140"/>
      <c r="CS223" s="140"/>
      <c r="CT223" s="140"/>
      <c r="CU223" s="140"/>
      <c r="CV223" s="140"/>
      <c r="CW223" s="140"/>
    </row>
    <row r="224" spans="1:101" x14ac:dyDescent="0.2">
      <c r="A224" s="29" t="str">
        <f t="shared" ca="1" si="3"/>
        <v>2025-11-03</v>
      </c>
      <c r="B224" s="140">
        <f ca="1">IF(ISNUMBER(MATCH(DATEVALUE($A224),'changes1_based on steps'!B$1:B$400,0)),B$2,)</f>
        <v>0</v>
      </c>
      <c r="C224" s="140">
        <f ca="1">IF(ISNUMBER(MATCH(DATEVALUE($A224),'changes1_based on steps'!C$1:C$400,0)),C$2,)</f>
        <v>0</v>
      </c>
      <c r="D224" s="140">
        <f ca="1">IF(ISNUMBER(MATCH(DATEVALUE($A224),'changes1_based on steps'!D$1:D$400,0)),D$2,)</f>
        <v>0</v>
      </c>
      <c r="E224" s="140">
        <f ca="1">IF(ISNUMBER(MATCH(DATEVALUE($A224),'changes1_based on steps'!E$1:E$400,0)),E$2,)</f>
        <v>0</v>
      </c>
      <c r="F224" s="140">
        <f ca="1">IF(ISNUMBER(MATCH(DATEVALUE($A224),'changes1_based on steps'!F$1:F$400,0)),F$2,)</f>
        <v>0</v>
      </c>
      <c r="G224" s="140">
        <f ca="1">IF(ISNUMBER(MATCH(DATEVALUE($A224),'changes1_based on steps'!G$1:G$400,0)),G$2,)</f>
        <v>0</v>
      </c>
      <c r="H224" s="140">
        <f ca="1">IF(ISNUMBER(MATCH(DATEVALUE($A224),'changes1_based on steps'!H$1:H$400,0)),H$2,)</f>
        <v>0</v>
      </c>
      <c r="I224" s="140">
        <f ca="1">IF(ISNUMBER(MATCH(DATEVALUE($A224),'changes1_based on steps'!I$1:I$400,0)),I$2,)</f>
        <v>0</v>
      </c>
      <c r="J224" s="140">
        <f ca="1">IF(ISNUMBER(MATCH(DATEVALUE($A224),'changes1_based on steps'!J$1:J$400,0)),J$2,)</f>
        <v>0</v>
      </c>
      <c r="K224" s="140">
        <f ca="1">IF(ISNUMBER(MATCH(DATEVALUE($A224),'changes1_based on steps'!K$1:K$400,0)),K$2,)</f>
        <v>0</v>
      </c>
      <c r="L224" s="140">
        <f ca="1">IF(ISNUMBER(MATCH(DATEVALUE($A224),'changes1_based on steps'!L$1:L$400,0)),L$2,)</f>
        <v>0</v>
      </c>
      <c r="M224" s="140">
        <f ca="1">IF(ISNUMBER(MATCH(DATEVALUE($A224),'changes1_based on steps'!M$1:M$400,0)),M$2,)</f>
        <v>0</v>
      </c>
      <c r="N224" s="140">
        <f ca="1">IF(ISNUMBER(MATCH(DATEVALUE($A224),'changes1_based on steps'!N$1:N$400,0)),N$2,)</f>
        <v>0</v>
      </c>
      <c r="O224" s="140">
        <f ca="1">IF(ISNUMBER(MATCH(DATEVALUE($A224),'changes1_based on steps'!O$1:O$400,0)),O$2,)</f>
        <v>0</v>
      </c>
      <c r="P224" s="140">
        <f ca="1">IF(ISNUMBER(MATCH(DATEVALUE($A224),'changes1_based on steps'!P$1:P$400,0)),P$2,)</f>
        <v>0</v>
      </c>
      <c r="Q224" s="140">
        <f ca="1">IF(ISNUMBER(MATCH(DATEVALUE($A224),'changes1_based on steps'!Q$1:Q$400,0)),Q$2,)</f>
        <v>0</v>
      </c>
      <c r="R224" s="140">
        <f ca="1">IF(ISNUMBER(MATCH(DATEVALUE($A224),'changes1_based on steps'!R$1:R$400,0)),R$2,)</f>
        <v>0</v>
      </c>
      <c r="S224" s="140">
        <f ca="1">IF(ISNUMBER(MATCH(DATEVALUE($A224),'changes1_based on steps'!S$1:S$400,0)),S$2,)</f>
        <v>0</v>
      </c>
      <c r="T224" s="140">
        <f ca="1">IF(ISNUMBER(MATCH(DATEVALUE($A224),'changes1_based on steps'!T$1:T$400,0)),T$2,)</f>
        <v>0</v>
      </c>
      <c r="U224" s="140">
        <f ca="1">IF(ISNUMBER(MATCH(DATEVALUE($A224),'changes1_based on steps'!U$1:U$400,0)),U$2,)</f>
        <v>0</v>
      </c>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c r="BH224" s="140"/>
      <c r="BI224" s="140"/>
      <c r="BJ224" s="140"/>
      <c r="BK224" s="140"/>
      <c r="BL224" s="140"/>
      <c r="BM224" s="140"/>
      <c r="BN224" s="140"/>
      <c r="BO224" s="140"/>
      <c r="BP224" s="140"/>
      <c r="BQ224" s="140"/>
      <c r="BR224" s="140"/>
      <c r="BS224" s="140"/>
      <c r="BT224" s="140"/>
      <c r="BU224" s="140"/>
      <c r="BV224" s="140"/>
      <c r="BW224" s="140"/>
      <c r="BX224" s="140"/>
      <c r="BY224" s="140"/>
      <c r="BZ224" s="140"/>
      <c r="CA224" s="140"/>
      <c r="CB224" s="140"/>
      <c r="CC224" s="140"/>
      <c r="CD224" s="140"/>
      <c r="CE224" s="140"/>
      <c r="CF224" s="140"/>
      <c r="CG224" s="140"/>
      <c r="CH224" s="140"/>
      <c r="CI224" s="140"/>
      <c r="CJ224" s="140"/>
      <c r="CK224" s="140"/>
      <c r="CL224" s="140"/>
      <c r="CM224" s="140"/>
      <c r="CN224" s="140"/>
      <c r="CO224" s="140"/>
      <c r="CP224" s="140"/>
      <c r="CQ224" s="140"/>
      <c r="CR224" s="140"/>
      <c r="CS224" s="140"/>
      <c r="CT224" s="140"/>
      <c r="CU224" s="140"/>
      <c r="CV224" s="140"/>
      <c r="CW224" s="140"/>
    </row>
    <row r="225" spans="1:101" x14ac:dyDescent="0.2">
      <c r="A225" s="29" t="str">
        <f t="shared" ca="1" si="3"/>
        <v>2025-11-04</v>
      </c>
      <c r="B225" s="140">
        <f ca="1">IF(ISNUMBER(MATCH(DATEVALUE($A225),'changes1_based on steps'!B$1:B$400,0)),B$2,)</f>
        <v>0</v>
      </c>
      <c r="C225" s="140">
        <f ca="1">IF(ISNUMBER(MATCH(DATEVALUE($A225),'changes1_based on steps'!C$1:C$400,0)),C$2,)</f>
        <v>0</v>
      </c>
      <c r="D225" s="140">
        <f ca="1">IF(ISNUMBER(MATCH(DATEVALUE($A225),'changes1_based on steps'!D$1:D$400,0)),D$2,)</f>
        <v>0</v>
      </c>
      <c r="E225" s="140">
        <f ca="1">IF(ISNUMBER(MATCH(DATEVALUE($A225),'changes1_based on steps'!E$1:E$400,0)),E$2,)</f>
        <v>0</v>
      </c>
      <c r="F225" s="140">
        <f ca="1">IF(ISNUMBER(MATCH(DATEVALUE($A225),'changes1_based on steps'!F$1:F$400,0)),F$2,)</f>
        <v>0</v>
      </c>
      <c r="G225" s="140">
        <f ca="1">IF(ISNUMBER(MATCH(DATEVALUE($A225),'changes1_based on steps'!G$1:G$400,0)),G$2,)</f>
        <v>0</v>
      </c>
      <c r="H225" s="140">
        <f ca="1">IF(ISNUMBER(MATCH(DATEVALUE($A225),'changes1_based on steps'!H$1:H$400,0)),H$2,)</f>
        <v>0</v>
      </c>
      <c r="I225" s="140">
        <f ca="1">IF(ISNUMBER(MATCH(DATEVALUE($A225),'changes1_based on steps'!I$1:I$400,0)),I$2,)</f>
        <v>0</v>
      </c>
      <c r="J225" s="140">
        <f ca="1">IF(ISNUMBER(MATCH(DATEVALUE($A225),'changes1_based on steps'!J$1:J$400,0)),J$2,)</f>
        <v>0</v>
      </c>
      <c r="K225" s="140">
        <f ca="1">IF(ISNUMBER(MATCH(DATEVALUE($A225),'changes1_based on steps'!K$1:K$400,0)),K$2,)</f>
        <v>0</v>
      </c>
      <c r="L225" s="140">
        <f ca="1">IF(ISNUMBER(MATCH(DATEVALUE($A225),'changes1_based on steps'!L$1:L$400,0)),L$2,)</f>
        <v>0</v>
      </c>
      <c r="M225" s="140">
        <f ca="1">IF(ISNUMBER(MATCH(DATEVALUE($A225),'changes1_based on steps'!M$1:M$400,0)),M$2,)</f>
        <v>0</v>
      </c>
      <c r="N225" s="140">
        <f ca="1">IF(ISNUMBER(MATCH(DATEVALUE($A225),'changes1_based on steps'!N$1:N$400,0)),N$2,)</f>
        <v>0</v>
      </c>
      <c r="O225" s="140">
        <f ca="1">IF(ISNUMBER(MATCH(DATEVALUE($A225),'changes1_based on steps'!O$1:O$400,0)),O$2,)</f>
        <v>0</v>
      </c>
      <c r="P225" s="140">
        <f ca="1">IF(ISNUMBER(MATCH(DATEVALUE($A225),'changes1_based on steps'!P$1:P$400,0)),P$2,)</f>
        <v>0</v>
      </c>
      <c r="Q225" s="140">
        <f ca="1">IF(ISNUMBER(MATCH(DATEVALUE($A225),'changes1_based on steps'!Q$1:Q$400,0)),Q$2,)</f>
        <v>0</v>
      </c>
      <c r="R225" s="140">
        <f ca="1">IF(ISNUMBER(MATCH(DATEVALUE($A225),'changes1_based on steps'!R$1:R$400,0)),R$2,)</f>
        <v>0</v>
      </c>
      <c r="S225" s="140">
        <f ca="1">IF(ISNUMBER(MATCH(DATEVALUE($A225),'changes1_based on steps'!S$1:S$400,0)),S$2,)</f>
        <v>0</v>
      </c>
      <c r="T225" s="140">
        <f ca="1">IF(ISNUMBER(MATCH(DATEVALUE($A225),'changes1_based on steps'!T$1:T$400,0)),T$2,)</f>
        <v>0</v>
      </c>
      <c r="U225" s="140">
        <f ca="1">IF(ISNUMBER(MATCH(DATEVALUE($A225),'changes1_based on steps'!U$1:U$400,0)),U$2,)</f>
        <v>0</v>
      </c>
      <c r="V225" s="140"/>
      <c r="W225" s="140"/>
      <c r="X225" s="140"/>
      <c r="Y225" s="140"/>
      <c r="Z225" s="140"/>
      <c r="AA225" s="140"/>
      <c r="AB225" s="140"/>
      <c r="AC225" s="140"/>
      <c r="AD225" s="140"/>
      <c r="AE225" s="140"/>
      <c r="AF225" s="140"/>
      <c r="AG225" s="140"/>
      <c r="AH225" s="140"/>
      <c r="AI225" s="140"/>
      <c r="AJ225" s="140"/>
      <c r="AK225" s="140"/>
      <c r="AL225" s="140"/>
      <c r="AM225" s="140"/>
      <c r="AN225" s="140"/>
      <c r="AO225" s="140"/>
      <c r="AP225" s="140"/>
      <c r="AQ225" s="140"/>
      <c r="AR225" s="140"/>
      <c r="AS225" s="140"/>
      <c r="AT225" s="140"/>
      <c r="AU225" s="140"/>
      <c r="AV225" s="140"/>
      <c r="AW225" s="140"/>
      <c r="AX225" s="140"/>
      <c r="AY225" s="140"/>
      <c r="AZ225" s="140"/>
      <c r="BA225" s="140"/>
      <c r="BB225" s="140"/>
      <c r="BC225" s="140"/>
      <c r="BD225" s="140"/>
      <c r="BE225" s="140"/>
      <c r="BF225" s="140"/>
      <c r="BG225" s="140"/>
      <c r="BH225" s="140"/>
      <c r="BI225" s="140"/>
      <c r="BJ225" s="140"/>
      <c r="BK225" s="140"/>
      <c r="BL225" s="140"/>
      <c r="BM225" s="140"/>
      <c r="BN225" s="140"/>
      <c r="BO225" s="140"/>
      <c r="BP225" s="140"/>
      <c r="BQ225" s="140"/>
      <c r="BR225" s="140"/>
      <c r="BS225" s="140"/>
      <c r="BT225" s="140"/>
      <c r="BU225" s="140"/>
      <c r="BV225" s="140"/>
      <c r="BW225" s="140"/>
      <c r="BX225" s="140"/>
      <c r="BY225" s="140"/>
      <c r="BZ225" s="140"/>
      <c r="CA225" s="140"/>
      <c r="CB225" s="140"/>
      <c r="CC225" s="140"/>
      <c r="CD225" s="140"/>
      <c r="CE225" s="140"/>
      <c r="CF225" s="140"/>
      <c r="CG225" s="140"/>
      <c r="CH225" s="140"/>
      <c r="CI225" s="140"/>
      <c r="CJ225" s="140"/>
      <c r="CK225" s="140"/>
      <c r="CL225" s="140"/>
      <c r="CM225" s="140"/>
      <c r="CN225" s="140"/>
      <c r="CO225" s="140"/>
      <c r="CP225" s="140"/>
      <c r="CQ225" s="140"/>
      <c r="CR225" s="140"/>
      <c r="CS225" s="140"/>
      <c r="CT225" s="140"/>
      <c r="CU225" s="140"/>
      <c r="CV225" s="140"/>
      <c r="CW225" s="140"/>
    </row>
    <row r="226" spans="1:101" x14ac:dyDescent="0.2">
      <c r="A226" s="29" t="str">
        <f t="shared" ca="1" si="3"/>
        <v>2025-11-05</v>
      </c>
      <c r="B226" s="140">
        <f ca="1">IF(ISNUMBER(MATCH(DATEVALUE($A226),'changes1_based on steps'!B$1:B$400,0)),B$2,)</f>
        <v>0</v>
      </c>
      <c r="C226" s="140">
        <f ca="1">IF(ISNUMBER(MATCH(DATEVALUE($A226),'changes1_based on steps'!C$1:C$400,0)),C$2,)</f>
        <v>0</v>
      </c>
      <c r="D226" s="140">
        <f ca="1">IF(ISNUMBER(MATCH(DATEVALUE($A226),'changes1_based on steps'!D$1:D$400,0)),D$2,)</f>
        <v>0</v>
      </c>
      <c r="E226" s="140">
        <f ca="1">IF(ISNUMBER(MATCH(DATEVALUE($A226),'changes1_based on steps'!E$1:E$400,0)),E$2,)</f>
        <v>0</v>
      </c>
      <c r="F226" s="140">
        <f ca="1">IF(ISNUMBER(MATCH(DATEVALUE($A226),'changes1_based on steps'!F$1:F$400,0)),F$2,)</f>
        <v>0</v>
      </c>
      <c r="G226" s="140">
        <f ca="1">IF(ISNUMBER(MATCH(DATEVALUE($A226),'changes1_based on steps'!G$1:G$400,0)),G$2,)</f>
        <v>0</v>
      </c>
      <c r="H226" s="140">
        <f ca="1">IF(ISNUMBER(MATCH(DATEVALUE($A226),'changes1_based on steps'!H$1:H$400,0)),H$2,)</f>
        <v>0</v>
      </c>
      <c r="I226" s="140">
        <f ca="1">IF(ISNUMBER(MATCH(DATEVALUE($A226),'changes1_based on steps'!I$1:I$400,0)),I$2,)</f>
        <v>0</v>
      </c>
      <c r="J226" s="140">
        <f ca="1">IF(ISNUMBER(MATCH(DATEVALUE($A226),'changes1_based on steps'!J$1:J$400,0)),J$2,)</f>
        <v>0</v>
      </c>
      <c r="K226" s="140">
        <f ca="1">IF(ISNUMBER(MATCH(DATEVALUE($A226),'changes1_based on steps'!K$1:K$400,0)),K$2,)</f>
        <v>0</v>
      </c>
      <c r="L226" s="140">
        <f ca="1">IF(ISNUMBER(MATCH(DATEVALUE($A226),'changes1_based on steps'!L$1:L$400,0)),L$2,)</f>
        <v>0</v>
      </c>
      <c r="M226" s="140">
        <f ca="1">IF(ISNUMBER(MATCH(DATEVALUE($A226),'changes1_based on steps'!M$1:M$400,0)),M$2,)</f>
        <v>0</v>
      </c>
      <c r="N226" s="140">
        <f ca="1">IF(ISNUMBER(MATCH(DATEVALUE($A226),'changes1_based on steps'!N$1:N$400,0)),N$2,)</f>
        <v>0</v>
      </c>
      <c r="O226" s="140">
        <f ca="1">IF(ISNUMBER(MATCH(DATEVALUE($A226),'changes1_based on steps'!O$1:O$400,0)),O$2,)</f>
        <v>0</v>
      </c>
      <c r="P226" s="140">
        <f ca="1">IF(ISNUMBER(MATCH(DATEVALUE($A226),'changes1_based on steps'!P$1:P$400,0)),P$2,)</f>
        <v>0</v>
      </c>
      <c r="Q226" s="140">
        <f ca="1">IF(ISNUMBER(MATCH(DATEVALUE($A226),'changes1_based on steps'!Q$1:Q$400,0)),Q$2,)</f>
        <v>0</v>
      </c>
      <c r="R226" s="140">
        <f ca="1">IF(ISNUMBER(MATCH(DATEVALUE($A226),'changes1_based on steps'!R$1:R$400,0)),R$2,)</f>
        <v>0</v>
      </c>
      <c r="S226" s="140">
        <f ca="1">IF(ISNUMBER(MATCH(DATEVALUE($A226),'changes1_based on steps'!S$1:S$400,0)),S$2,)</f>
        <v>0</v>
      </c>
      <c r="T226" s="140">
        <f ca="1">IF(ISNUMBER(MATCH(DATEVALUE($A226),'changes1_based on steps'!T$1:T$400,0)),T$2,)</f>
        <v>0</v>
      </c>
      <c r="U226" s="140">
        <f ca="1">IF(ISNUMBER(MATCH(DATEVALUE($A226),'changes1_based on steps'!U$1:U$400,0)),U$2,)</f>
        <v>0</v>
      </c>
      <c r="V226" s="140"/>
      <c r="W226" s="140"/>
      <c r="X226" s="140"/>
      <c r="Y226" s="140"/>
      <c r="Z226" s="140"/>
      <c r="AA226" s="140"/>
      <c r="AB226" s="140"/>
      <c r="AC226" s="140"/>
      <c r="AD226" s="140"/>
      <c r="AE226" s="140"/>
      <c r="AF226" s="140"/>
      <c r="AG226" s="140"/>
      <c r="AH226" s="140"/>
      <c r="AI226" s="140"/>
      <c r="AJ226" s="140"/>
      <c r="AK226" s="140"/>
      <c r="AL226" s="140"/>
      <c r="AM226" s="140"/>
      <c r="AN226" s="140"/>
      <c r="AO226" s="140"/>
      <c r="AP226" s="140"/>
      <c r="AQ226" s="140"/>
      <c r="AR226" s="140"/>
      <c r="AS226" s="140"/>
      <c r="AT226" s="140"/>
      <c r="AU226" s="140"/>
      <c r="AV226" s="140"/>
      <c r="AW226" s="140"/>
      <c r="AX226" s="140"/>
      <c r="AY226" s="140"/>
      <c r="AZ226" s="140"/>
      <c r="BA226" s="140"/>
      <c r="BB226" s="140"/>
      <c r="BC226" s="140"/>
      <c r="BD226" s="140"/>
      <c r="BE226" s="140"/>
      <c r="BF226" s="140"/>
      <c r="BG226" s="140"/>
      <c r="BH226" s="140"/>
      <c r="BI226" s="140"/>
      <c r="BJ226" s="140"/>
      <c r="BK226" s="140"/>
      <c r="BL226" s="140"/>
      <c r="BM226" s="140"/>
      <c r="BN226" s="140"/>
      <c r="BO226" s="140"/>
      <c r="BP226" s="140"/>
      <c r="BQ226" s="140"/>
      <c r="BR226" s="140"/>
      <c r="BS226" s="140"/>
      <c r="BT226" s="140"/>
      <c r="BU226" s="140"/>
      <c r="BV226" s="140"/>
      <c r="BW226" s="140"/>
      <c r="BX226" s="140"/>
      <c r="BY226" s="140"/>
      <c r="BZ226" s="140"/>
      <c r="CA226" s="140"/>
      <c r="CB226" s="140"/>
      <c r="CC226" s="140"/>
      <c r="CD226" s="140"/>
      <c r="CE226" s="140"/>
      <c r="CF226" s="140"/>
      <c r="CG226" s="140"/>
      <c r="CH226" s="140"/>
      <c r="CI226" s="140"/>
      <c r="CJ226" s="140"/>
      <c r="CK226" s="140"/>
      <c r="CL226" s="140"/>
      <c r="CM226" s="140"/>
      <c r="CN226" s="140"/>
      <c r="CO226" s="140"/>
      <c r="CP226" s="140"/>
      <c r="CQ226" s="140"/>
      <c r="CR226" s="140"/>
      <c r="CS226" s="140"/>
      <c r="CT226" s="140"/>
      <c r="CU226" s="140"/>
      <c r="CV226" s="140"/>
      <c r="CW226" s="140"/>
    </row>
    <row r="227" spans="1:101" x14ac:dyDescent="0.2">
      <c r="A227" s="29" t="str">
        <f t="shared" ca="1" si="3"/>
        <v>2025-11-06</v>
      </c>
      <c r="B227" s="140">
        <f ca="1">IF(ISNUMBER(MATCH(DATEVALUE($A227),'changes1_based on steps'!B$1:B$400,0)),B$2,)</f>
        <v>0</v>
      </c>
      <c r="C227" s="140">
        <f ca="1">IF(ISNUMBER(MATCH(DATEVALUE($A227),'changes1_based on steps'!C$1:C$400,0)),C$2,)</f>
        <v>0</v>
      </c>
      <c r="D227" s="140">
        <f ca="1">IF(ISNUMBER(MATCH(DATEVALUE($A227),'changes1_based on steps'!D$1:D$400,0)),D$2,)</f>
        <v>0</v>
      </c>
      <c r="E227" s="140">
        <f ca="1">IF(ISNUMBER(MATCH(DATEVALUE($A227),'changes1_based on steps'!E$1:E$400,0)),E$2,)</f>
        <v>0</v>
      </c>
      <c r="F227" s="140">
        <f ca="1">IF(ISNUMBER(MATCH(DATEVALUE($A227),'changes1_based on steps'!F$1:F$400,0)),F$2,)</f>
        <v>0</v>
      </c>
      <c r="G227" s="140">
        <f ca="1">IF(ISNUMBER(MATCH(DATEVALUE($A227),'changes1_based on steps'!G$1:G$400,0)),G$2,)</f>
        <v>0</v>
      </c>
      <c r="H227" s="140">
        <f ca="1">IF(ISNUMBER(MATCH(DATEVALUE($A227),'changes1_based on steps'!H$1:H$400,0)),H$2,)</f>
        <v>0</v>
      </c>
      <c r="I227" s="140">
        <f ca="1">IF(ISNUMBER(MATCH(DATEVALUE($A227),'changes1_based on steps'!I$1:I$400,0)),I$2,)</f>
        <v>0</v>
      </c>
      <c r="J227" s="140">
        <f ca="1">IF(ISNUMBER(MATCH(DATEVALUE($A227),'changes1_based on steps'!J$1:J$400,0)),J$2,)</f>
        <v>0</v>
      </c>
      <c r="K227" s="140">
        <f ca="1">IF(ISNUMBER(MATCH(DATEVALUE($A227),'changes1_based on steps'!K$1:K$400,0)),K$2,)</f>
        <v>0</v>
      </c>
      <c r="L227" s="140">
        <f ca="1">IF(ISNUMBER(MATCH(DATEVALUE($A227),'changes1_based on steps'!L$1:L$400,0)),L$2,)</f>
        <v>0</v>
      </c>
      <c r="M227" s="140">
        <f ca="1">IF(ISNUMBER(MATCH(DATEVALUE($A227),'changes1_based on steps'!M$1:M$400,0)),M$2,)</f>
        <v>0</v>
      </c>
      <c r="N227" s="140">
        <f ca="1">IF(ISNUMBER(MATCH(DATEVALUE($A227),'changes1_based on steps'!N$1:N$400,0)),N$2,)</f>
        <v>0</v>
      </c>
      <c r="O227" s="140">
        <f ca="1">IF(ISNUMBER(MATCH(DATEVALUE($A227),'changes1_based on steps'!O$1:O$400,0)),O$2,)</f>
        <v>0</v>
      </c>
      <c r="P227" s="140">
        <f ca="1">IF(ISNUMBER(MATCH(DATEVALUE($A227),'changes1_based on steps'!P$1:P$400,0)),P$2,)</f>
        <v>0</v>
      </c>
      <c r="Q227" s="140">
        <f ca="1">IF(ISNUMBER(MATCH(DATEVALUE($A227),'changes1_based on steps'!Q$1:Q$400,0)),Q$2,)</f>
        <v>0</v>
      </c>
      <c r="R227" s="140">
        <f ca="1">IF(ISNUMBER(MATCH(DATEVALUE($A227),'changes1_based on steps'!R$1:R$400,0)),R$2,)</f>
        <v>0</v>
      </c>
      <c r="S227" s="140">
        <f ca="1">IF(ISNUMBER(MATCH(DATEVALUE($A227),'changes1_based on steps'!S$1:S$400,0)),S$2,)</f>
        <v>0</v>
      </c>
      <c r="T227" s="140">
        <f ca="1">IF(ISNUMBER(MATCH(DATEVALUE($A227),'changes1_based on steps'!T$1:T$400,0)),T$2,)</f>
        <v>0</v>
      </c>
      <c r="U227" s="140">
        <f ca="1">IF(ISNUMBER(MATCH(DATEVALUE($A227),'changes1_based on steps'!U$1:U$400,0)),U$2,)</f>
        <v>0</v>
      </c>
      <c r="V227" s="140"/>
      <c r="W227" s="140"/>
      <c r="X227" s="140"/>
      <c r="Y227" s="140"/>
      <c r="Z227" s="140"/>
      <c r="AA227" s="140"/>
      <c r="AB227" s="140"/>
      <c r="AC227" s="140"/>
      <c r="AD227" s="140"/>
      <c r="AE227" s="140"/>
      <c r="AF227" s="140"/>
      <c r="AG227" s="140"/>
      <c r="AH227" s="140"/>
      <c r="AI227" s="140"/>
      <c r="AJ227" s="140"/>
      <c r="AK227" s="140"/>
      <c r="AL227" s="140"/>
      <c r="AM227" s="140"/>
      <c r="AN227" s="140"/>
      <c r="AO227" s="140"/>
      <c r="AP227" s="140"/>
      <c r="AQ227" s="140"/>
      <c r="AR227" s="140"/>
      <c r="AS227" s="140"/>
      <c r="AT227" s="140"/>
      <c r="AU227" s="140"/>
      <c r="AV227" s="140"/>
      <c r="AW227" s="140"/>
      <c r="AX227" s="140"/>
      <c r="AY227" s="140"/>
      <c r="AZ227" s="140"/>
      <c r="BA227" s="140"/>
      <c r="BB227" s="140"/>
      <c r="BC227" s="140"/>
      <c r="BD227" s="140"/>
      <c r="BE227" s="140"/>
      <c r="BF227" s="140"/>
      <c r="BG227" s="140"/>
      <c r="BH227" s="140"/>
      <c r="BI227" s="140"/>
      <c r="BJ227" s="140"/>
      <c r="BK227" s="140"/>
      <c r="BL227" s="140"/>
      <c r="BM227" s="140"/>
      <c r="BN227" s="140"/>
      <c r="BO227" s="140"/>
      <c r="BP227" s="140"/>
      <c r="BQ227" s="140"/>
      <c r="BR227" s="140"/>
      <c r="BS227" s="140"/>
      <c r="BT227" s="140"/>
      <c r="BU227" s="140"/>
      <c r="BV227" s="140"/>
      <c r="BW227" s="140"/>
      <c r="BX227" s="140"/>
      <c r="BY227" s="140"/>
      <c r="BZ227" s="140"/>
      <c r="CA227" s="140"/>
      <c r="CB227" s="140"/>
      <c r="CC227" s="140"/>
      <c r="CD227" s="140"/>
      <c r="CE227" s="140"/>
      <c r="CF227" s="140"/>
      <c r="CG227" s="140"/>
      <c r="CH227" s="140"/>
      <c r="CI227" s="140"/>
      <c r="CJ227" s="140"/>
      <c r="CK227" s="140"/>
      <c r="CL227" s="140"/>
      <c r="CM227" s="140"/>
      <c r="CN227" s="140"/>
      <c r="CO227" s="140"/>
      <c r="CP227" s="140"/>
      <c r="CQ227" s="140"/>
      <c r="CR227" s="140"/>
      <c r="CS227" s="140"/>
      <c r="CT227" s="140"/>
      <c r="CU227" s="140"/>
      <c r="CV227" s="140"/>
      <c r="CW227" s="140"/>
    </row>
    <row r="228" spans="1:101" x14ac:dyDescent="0.2">
      <c r="A228" s="29" t="str">
        <f t="shared" ca="1" si="3"/>
        <v>2025-11-07</v>
      </c>
      <c r="B228" s="140">
        <f ca="1">IF(ISNUMBER(MATCH(DATEVALUE($A228),'changes1_based on steps'!B$1:B$400,0)),B$2,)</f>
        <v>0</v>
      </c>
      <c r="C228" s="140">
        <f ca="1">IF(ISNUMBER(MATCH(DATEVALUE($A228),'changes1_based on steps'!C$1:C$400,0)),C$2,)</f>
        <v>0</v>
      </c>
      <c r="D228" s="140">
        <f ca="1">IF(ISNUMBER(MATCH(DATEVALUE($A228),'changes1_based on steps'!D$1:D$400,0)),D$2,)</f>
        <v>0</v>
      </c>
      <c r="E228" s="140">
        <f ca="1">IF(ISNUMBER(MATCH(DATEVALUE($A228),'changes1_based on steps'!E$1:E$400,0)),E$2,)</f>
        <v>0</v>
      </c>
      <c r="F228" s="140">
        <f ca="1">IF(ISNUMBER(MATCH(DATEVALUE($A228),'changes1_based on steps'!F$1:F$400,0)),F$2,)</f>
        <v>0</v>
      </c>
      <c r="G228" s="140">
        <f ca="1">IF(ISNUMBER(MATCH(DATEVALUE($A228),'changes1_based on steps'!G$1:G$400,0)),G$2,)</f>
        <v>0</v>
      </c>
      <c r="H228" s="140">
        <f ca="1">IF(ISNUMBER(MATCH(DATEVALUE($A228),'changes1_based on steps'!H$1:H$400,0)),H$2,)</f>
        <v>0</v>
      </c>
      <c r="I228" s="140">
        <f ca="1">IF(ISNUMBER(MATCH(DATEVALUE($A228),'changes1_based on steps'!I$1:I$400,0)),I$2,)</f>
        <v>0</v>
      </c>
      <c r="J228" s="140">
        <f ca="1">IF(ISNUMBER(MATCH(DATEVALUE($A228),'changes1_based on steps'!J$1:J$400,0)),J$2,)</f>
        <v>0</v>
      </c>
      <c r="K228" s="140">
        <f ca="1">IF(ISNUMBER(MATCH(DATEVALUE($A228),'changes1_based on steps'!K$1:K$400,0)),K$2,)</f>
        <v>0</v>
      </c>
      <c r="L228" s="140">
        <f ca="1">IF(ISNUMBER(MATCH(DATEVALUE($A228),'changes1_based on steps'!L$1:L$400,0)),L$2,)</f>
        <v>0</v>
      </c>
      <c r="M228" s="140">
        <f ca="1">IF(ISNUMBER(MATCH(DATEVALUE($A228),'changes1_based on steps'!M$1:M$400,0)),M$2,)</f>
        <v>0</v>
      </c>
      <c r="N228" s="140">
        <f ca="1">IF(ISNUMBER(MATCH(DATEVALUE($A228),'changes1_based on steps'!N$1:N$400,0)),N$2,)</f>
        <v>0</v>
      </c>
      <c r="O228" s="140">
        <f ca="1">IF(ISNUMBER(MATCH(DATEVALUE($A228),'changes1_based on steps'!O$1:O$400,0)),O$2,)</f>
        <v>0</v>
      </c>
      <c r="P228" s="140">
        <f ca="1">IF(ISNUMBER(MATCH(DATEVALUE($A228),'changes1_based on steps'!P$1:P$400,0)),P$2,)</f>
        <v>0</v>
      </c>
      <c r="Q228" s="140">
        <f ca="1">IF(ISNUMBER(MATCH(DATEVALUE($A228),'changes1_based on steps'!Q$1:Q$400,0)),Q$2,)</f>
        <v>0</v>
      </c>
      <c r="R228" s="140">
        <f ca="1">IF(ISNUMBER(MATCH(DATEVALUE($A228),'changes1_based on steps'!R$1:R$400,0)),R$2,)</f>
        <v>0</v>
      </c>
      <c r="S228" s="140">
        <f ca="1">IF(ISNUMBER(MATCH(DATEVALUE($A228),'changes1_based on steps'!S$1:S$400,0)),S$2,)</f>
        <v>0</v>
      </c>
      <c r="T228" s="140">
        <f ca="1">IF(ISNUMBER(MATCH(DATEVALUE($A228),'changes1_based on steps'!T$1:T$400,0)),T$2,)</f>
        <v>0</v>
      </c>
      <c r="U228" s="140">
        <f ca="1">IF(ISNUMBER(MATCH(DATEVALUE($A228),'changes1_based on steps'!U$1:U$400,0)),U$2,)</f>
        <v>0</v>
      </c>
      <c r="V228" s="140"/>
      <c r="W228" s="140"/>
      <c r="X228" s="140"/>
      <c r="Y228" s="140"/>
      <c r="Z228" s="140"/>
      <c r="AA228" s="140"/>
      <c r="AB228" s="140"/>
      <c r="AC228" s="140"/>
      <c r="AD228" s="140"/>
      <c r="AE228" s="140"/>
      <c r="AF228" s="140"/>
      <c r="AG228" s="140"/>
      <c r="AH228" s="140"/>
      <c r="AI228" s="140"/>
      <c r="AJ228" s="140"/>
      <c r="AK228" s="140"/>
      <c r="AL228" s="140"/>
      <c r="AM228" s="140"/>
      <c r="AN228" s="140"/>
      <c r="AO228" s="140"/>
      <c r="AP228" s="140"/>
      <c r="AQ228" s="140"/>
      <c r="AR228" s="140"/>
      <c r="AS228" s="140"/>
      <c r="AT228" s="140"/>
      <c r="AU228" s="140"/>
      <c r="AV228" s="140"/>
      <c r="AW228" s="140"/>
      <c r="AX228" s="140"/>
      <c r="AY228" s="140"/>
      <c r="AZ228" s="140"/>
      <c r="BA228" s="140"/>
      <c r="BB228" s="140"/>
      <c r="BC228" s="140"/>
      <c r="BD228" s="140"/>
      <c r="BE228" s="140"/>
      <c r="BF228" s="140"/>
      <c r="BG228" s="140"/>
      <c r="BH228" s="140"/>
      <c r="BI228" s="140"/>
      <c r="BJ228" s="140"/>
      <c r="BK228" s="140"/>
      <c r="BL228" s="140"/>
      <c r="BM228" s="140"/>
      <c r="BN228" s="140"/>
      <c r="BO228" s="140"/>
      <c r="BP228" s="140"/>
      <c r="BQ228" s="140"/>
      <c r="BR228" s="140"/>
      <c r="BS228" s="140"/>
      <c r="BT228" s="140"/>
      <c r="BU228" s="140"/>
      <c r="BV228" s="140"/>
      <c r="BW228" s="140"/>
      <c r="BX228" s="140"/>
      <c r="BY228" s="140"/>
      <c r="BZ228" s="140"/>
      <c r="CA228" s="140"/>
      <c r="CB228" s="140"/>
      <c r="CC228" s="140"/>
      <c r="CD228" s="140"/>
      <c r="CE228" s="140"/>
      <c r="CF228" s="140"/>
      <c r="CG228" s="140"/>
      <c r="CH228" s="140"/>
      <c r="CI228" s="140"/>
      <c r="CJ228" s="140"/>
      <c r="CK228" s="140"/>
      <c r="CL228" s="140"/>
      <c r="CM228" s="140"/>
      <c r="CN228" s="140"/>
      <c r="CO228" s="140"/>
      <c r="CP228" s="140"/>
      <c r="CQ228" s="140"/>
      <c r="CR228" s="140"/>
      <c r="CS228" s="140"/>
      <c r="CT228" s="140"/>
      <c r="CU228" s="140"/>
      <c r="CV228" s="140"/>
      <c r="CW228" s="140"/>
    </row>
    <row r="229" spans="1:101" x14ac:dyDescent="0.2">
      <c r="A229" s="29" t="str">
        <f t="shared" ca="1" si="3"/>
        <v>2025-11-08</v>
      </c>
      <c r="B229" s="140">
        <f ca="1">IF(ISNUMBER(MATCH(DATEVALUE($A229),'changes1_based on steps'!B$1:B$400,0)),B$2,)</f>
        <v>0</v>
      </c>
      <c r="C229" s="140">
        <f ca="1">IF(ISNUMBER(MATCH(DATEVALUE($A229),'changes1_based on steps'!C$1:C$400,0)),C$2,)</f>
        <v>0</v>
      </c>
      <c r="D229" s="140">
        <f ca="1">IF(ISNUMBER(MATCH(DATEVALUE($A229),'changes1_based on steps'!D$1:D$400,0)),D$2,)</f>
        <v>0</v>
      </c>
      <c r="E229" s="140">
        <f ca="1">IF(ISNUMBER(MATCH(DATEVALUE($A229),'changes1_based on steps'!E$1:E$400,0)),E$2,)</f>
        <v>0</v>
      </c>
      <c r="F229" s="140">
        <f ca="1">IF(ISNUMBER(MATCH(DATEVALUE($A229),'changes1_based on steps'!F$1:F$400,0)),F$2,)</f>
        <v>0</v>
      </c>
      <c r="G229" s="140">
        <f ca="1">IF(ISNUMBER(MATCH(DATEVALUE($A229),'changes1_based on steps'!G$1:G$400,0)),G$2,)</f>
        <v>0</v>
      </c>
      <c r="H229" s="140">
        <f ca="1">IF(ISNUMBER(MATCH(DATEVALUE($A229),'changes1_based on steps'!H$1:H$400,0)),H$2,)</f>
        <v>0</v>
      </c>
      <c r="I229" s="140">
        <f ca="1">IF(ISNUMBER(MATCH(DATEVALUE($A229),'changes1_based on steps'!I$1:I$400,0)),I$2,)</f>
        <v>0</v>
      </c>
      <c r="J229" s="140">
        <f ca="1">IF(ISNUMBER(MATCH(DATEVALUE($A229),'changes1_based on steps'!J$1:J$400,0)),J$2,)</f>
        <v>0</v>
      </c>
      <c r="K229" s="140">
        <f ca="1">IF(ISNUMBER(MATCH(DATEVALUE($A229),'changes1_based on steps'!K$1:K$400,0)),K$2,)</f>
        <v>0</v>
      </c>
      <c r="L229" s="140">
        <f ca="1">IF(ISNUMBER(MATCH(DATEVALUE($A229),'changes1_based on steps'!L$1:L$400,0)),L$2,)</f>
        <v>0</v>
      </c>
      <c r="M229" s="140">
        <f ca="1">IF(ISNUMBER(MATCH(DATEVALUE($A229),'changes1_based on steps'!M$1:M$400,0)),M$2,)</f>
        <v>0</v>
      </c>
      <c r="N229" s="140">
        <f ca="1">IF(ISNUMBER(MATCH(DATEVALUE($A229),'changes1_based on steps'!N$1:N$400,0)),N$2,)</f>
        <v>0</v>
      </c>
      <c r="O229" s="140">
        <f ca="1">IF(ISNUMBER(MATCH(DATEVALUE($A229),'changes1_based on steps'!O$1:O$400,0)),O$2,)</f>
        <v>0</v>
      </c>
      <c r="P229" s="140">
        <f ca="1">IF(ISNUMBER(MATCH(DATEVALUE($A229),'changes1_based on steps'!P$1:P$400,0)),P$2,)</f>
        <v>0</v>
      </c>
      <c r="Q229" s="140">
        <f ca="1">IF(ISNUMBER(MATCH(DATEVALUE($A229),'changes1_based on steps'!Q$1:Q$400,0)),Q$2,)</f>
        <v>0</v>
      </c>
      <c r="R229" s="140">
        <f ca="1">IF(ISNUMBER(MATCH(DATEVALUE($A229),'changes1_based on steps'!R$1:R$400,0)),R$2,)</f>
        <v>0</v>
      </c>
      <c r="S229" s="140">
        <f ca="1">IF(ISNUMBER(MATCH(DATEVALUE($A229),'changes1_based on steps'!S$1:S$400,0)),S$2,)</f>
        <v>0</v>
      </c>
      <c r="T229" s="140">
        <f ca="1">IF(ISNUMBER(MATCH(DATEVALUE($A229),'changes1_based on steps'!T$1:T$400,0)),T$2,)</f>
        <v>0</v>
      </c>
      <c r="U229" s="140">
        <f ca="1">IF(ISNUMBER(MATCH(DATEVALUE($A229),'changes1_based on steps'!U$1:U$400,0)),U$2,)</f>
        <v>0</v>
      </c>
      <c r="V229" s="140"/>
      <c r="W229" s="140"/>
      <c r="X229" s="140"/>
      <c r="Y229" s="140"/>
      <c r="Z229" s="140"/>
      <c r="AA229" s="140"/>
      <c r="AB229" s="140"/>
      <c r="AC229" s="140"/>
      <c r="AD229" s="140"/>
      <c r="AE229" s="140"/>
      <c r="AF229" s="140"/>
      <c r="AG229" s="140"/>
      <c r="AH229" s="140"/>
      <c r="AI229" s="140"/>
      <c r="AJ229" s="140"/>
      <c r="AK229" s="140"/>
      <c r="AL229" s="140"/>
      <c r="AM229" s="140"/>
      <c r="AN229" s="140"/>
      <c r="AO229" s="140"/>
      <c r="AP229" s="140"/>
      <c r="AQ229" s="140"/>
      <c r="AR229" s="140"/>
      <c r="AS229" s="140"/>
      <c r="AT229" s="140"/>
      <c r="AU229" s="140"/>
      <c r="AV229" s="140"/>
      <c r="AW229" s="140"/>
      <c r="AX229" s="140"/>
      <c r="AY229" s="140"/>
      <c r="AZ229" s="140"/>
      <c r="BA229" s="140"/>
      <c r="BB229" s="140"/>
      <c r="BC229" s="140"/>
      <c r="BD229" s="140"/>
      <c r="BE229" s="140"/>
      <c r="BF229" s="140"/>
      <c r="BG229" s="140"/>
      <c r="BH229" s="140"/>
      <c r="BI229" s="140"/>
      <c r="BJ229" s="140"/>
      <c r="BK229" s="140"/>
      <c r="BL229" s="140"/>
      <c r="BM229" s="140"/>
      <c r="BN229" s="140"/>
      <c r="BO229" s="140"/>
      <c r="BP229" s="140"/>
      <c r="BQ229" s="140"/>
      <c r="BR229" s="140"/>
      <c r="BS229" s="140"/>
      <c r="BT229" s="140"/>
      <c r="BU229" s="140"/>
      <c r="BV229" s="140"/>
      <c r="BW229" s="140"/>
      <c r="BX229" s="140"/>
      <c r="BY229" s="140"/>
      <c r="BZ229" s="140"/>
      <c r="CA229" s="140"/>
      <c r="CB229" s="140"/>
      <c r="CC229" s="140"/>
      <c r="CD229" s="140"/>
      <c r="CE229" s="140"/>
      <c r="CF229" s="140"/>
      <c r="CG229" s="140"/>
      <c r="CH229" s="140"/>
      <c r="CI229" s="140"/>
      <c r="CJ229" s="140"/>
      <c r="CK229" s="140"/>
      <c r="CL229" s="140"/>
      <c r="CM229" s="140"/>
      <c r="CN229" s="140"/>
      <c r="CO229" s="140"/>
      <c r="CP229" s="140"/>
      <c r="CQ229" s="140"/>
      <c r="CR229" s="140"/>
      <c r="CS229" s="140"/>
      <c r="CT229" s="140"/>
      <c r="CU229" s="140"/>
      <c r="CV229" s="140"/>
      <c r="CW229" s="140"/>
    </row>
    <row r="230" spans="1:101" x14ac:dyDescent="0.2">
      <c r="A230" s="29" t="str">
        <f t="shared" ca="1" si="3"/>
        <v>2025-11-09</v>
      </c>
      <c r="B230" s="140">
        <f ca="1">IF(ISNUMBER(MATCH(DATEVALUE($A230),'changes1_based on steps'!B$1:B$400,0)),B$2,)</f>
        <v>0</v>
      </c>
      <c r="C230" s="140">
        <f ca="1">IF(ISNUMBER(MATCH(DATEVALUE($A230),'changes1_based on steps'!C$1:C$400,0)),C$2,)</f>
        <v>0</v>
      </c>
      <c r="D230" s="140">
        <f ca="1">IF(ISNUMBER(MATCH(DATEVALUE($A230),'changes1_based on steps'!D$1:D$400,0)),D$2,)</f>
        <v>0</v>
      </c>
      <c r="E230" s="140">
        <f ca="1">IF(ISNUMBER(MATCH(DATEVALUE($A230),'changes1_based on steps'!E$1:E$400,0)),E$2,)</f>
        <v>0</v>
      </c>
      <c r="F230" s="140">
        <f ca="1">IF(ISNUMBER(MATCH(DATEVALUE($A230),'changes1_based on steps'!F$1:F$400,0)),F$2,)</f>
        <v>0</v>
      </c>
      <c r="G230" s="140">
        <f ca="1">IF(ISNUMBER(MATCH(DATEVALUE($A230),'changes1_based on steps'!G$1:G$400,0)),G$2,)</f>
        <v>0</v>
      </c>
      <c r="H230" s="140">
        <f ca="1">IF(ISNUMBER(MATCH(DATEVALUE($A230),'changes1_based on steps'!H$1:H$400,0)),H$2,)</f>
        <v>0</v>
      </c>
      <c r="I230" s="140">
        <f ca="1">IF(ISNUMBER(MATCH(DATEVALUE($A230),'changes1_based on steps'!I$1:I$400,0)),I$2,)</f>
        <v>0</v>
      </c>
      <c r="J230" s="140">
        <f ca="1">IF(ISNUMBER(MATCH(DATEVALUE($A230),'changes1_based on steps'!J$1:J$400,0)),J$2,)</f>
        <v>0</v>
      </c>
      <c r="K230" s="140">
        <f ca="1">IF(ISNUMBER(MATCH(DATEVALUE($A230),'changes1_based on steps'!K$1:K$400,0)),K$2,)</f>
        <v>0</v>
      </c>
      <c r="L230" s="140">
        <f ca="1">IF(ISNUMBER(MATCH(DATEVALUE($A230),'changes1_based on steps'!L$1:L$400,0)),L$2,)</f>
        <v>0</v>
      </c>
      <c r="M230" s="140">
        <f ca="1">IF(ISNUMBER(MATCH(DATEVALUE($A230),'changes1_based on steps'!M$1:M$400,0)),M$2,)</f>
        <v>0</v>
      </c>
      <c r="N230" s="140">
        <f ca="1">IF(ISNUMBER(MATCH(DATEVALUE($A230),'changes1_based on steps'!N$1:N$400,0)),N$2,)</f>
        <v>0</v>
      </c>
      <c r="O230" s="140">
        <f ca="1">IF(ISNUMBER(MATCH(DATEVALUE($A230),'changes1_based on steps'!O$1:O$400,0)),O$2,)</f>
        <v>0</v>
      </c>
      <c r="P230" s="140">
        <f ca="1">IF(ISNUMBER(MATCH(DATEVALUE($A230),'changes1_based on steps'!P$1:P$400,0)),P$2,)</f>
        <v>0</v>
      </c>
      <c r="Q230" s="140">
        <f ca="1">IF(ISNUMBER(MATCH(DATEVALUE($A230),'changes1_based on steps'!Q$1:Q$400,0)),Q$2,)</f>
        <v>0</v>
      </c>
      <c r="R230" s="140">
        <f ca="1">IF(ISNUMBER(MATCH(DATEVALUE($A230),'changes1_based on steps'!R$1:R$400,0)),R$2,)</f>
        <v>0</v>
      </c>
      <c r="S230" s="140">
        <f ca="1">IF(ISNUMBER(MATCH(DATEVALUE($A230),'changes1_based on steps'!S$1:S$400,0)),S$2,)</f>
        <v>0</v>
      </c>
      <c r="T230" s="140">
        <f ca="1">IF(ISNUMBER(MATCH(DATEVALUE($A230),'changes1_based on steps'!T$1:T$400,0)),T$2,)</f>
        <v>0</v>
      </c>
      <c r="U230" s="140">
        <f ca="1">IF(ISNUMBER(MATCH(DATEVALUE($A230),'changes1_based on steps'!U$1:U$400,0)),U$2,)</f>
        <v>0</v>
      </c>
      <c r="V230" s="140"/>
      <c r="W230" s="140"/>
      <c r="X230" s="140"/>
      <c r="Y230" s="140"/>
      <c r="Z230" s="140"/>
      <c r="AA230" s="140"/>
      <c r="AB230" s="140"/>
      <c r="AC230" s="140"/>
      <c r="AD230" s="140"/>
      <c r="AE230" s="140"/>
      <c r="AF230" s="140"/>
      <c r="AG230" s="140"/>
      <c r="AH230" s="140"/>
      <c r="AI230" s="140"/>
      <c r="AJ230" s="140"/>
      <c r="AK230" s="140"/>
      <c r="AL230" s="140"/>
      <c r="AM230" s="140"/>
      <c r="AN230" s="140"/>
      <c r="AO230" s="140"/>
      <c r="AP230" s="140"/>
      <c r="AQ230" s="140"/>
      <c r="AR230" s="140"/>
      <c r="AS230" s="140"/>
      <c r="AT230" s="140"/>
      <c r="AU230" s="140"/>
      <c r="AV230" s="140"/>
      <c r="AW230" s="140"/>
      <c r="AX230" s="140"/>
      <c r="AY230" s="140"/>
      <c r="AZ230" s="140"/>
      <c r="BA230" s="140"/>
      <c r="BB230" s="140"/>
      <c r="BC230" s="140"/>
      <c r="BD230" s="140"/>
      <c r="BE230" s="140"/>
      <c r="BF230" s="140"/>
      <c r="BG230" s="140"/>
      <c r="BH230" s="140"/>
      <c r="BI230" s="140"/>
      <c r="BJ230" s="140"/>
      <c r="BK230" s="140"/>
      <c r="BL230" s="140"/>
      <c r="BM230" s="140"/>
      <c r="BN230" s="140"/>
      <c r="BO230" s="140"/>
      <c r="BP230" s="140"/>
      <c r="BQ230" s="140"/>
      <c r="BR230" s="140"/>
      <c r="BS230" s="140"/>
      <c r="BT230" s="140"/>
      <c r="BU230" s="140"/>
      <c r="BV230" s="140"/>
      <c r="BW230" s="140"/>
      <c r="BX230" s="140"/>
      <c r="BY230" s="140"/>
      <c r="BZ230" s="140"/>
      <c r="CA230" s="140"/>
      <c r="CB230" s="140"/>
      <c r="CC230" s="140"/>
      <c r="CD230" s="140"/>
      <c r="CE230" s="140"/>
      <c r="CF230" s="140"/>
      <c r="CG230" s="140"/>
      <c r="CH230" s="140"/>
      <c r="CI230" s="140"/>
      <c r="CJ230" s="140"/>
      <c r="CK230" s="140"/>
      <c r="CL230" s="140"/>
      <c r="CM230" s="140"/>
      <c r="CN230" s="140"/>
      <c r="CO230" s="140"/>
      <c r="CP230" s="140"/>
      <c r="CQ230" s="140"/>
      <c r="CR230" s="140"/>
      <c r="CS230" s="140"/>
      <c r="CT230" s="140"/>
      <c r="CU230" s="140"/>
      <c r="CV230" s="140"/>
      <c r="CW230" s="140"/>
    </row>
    <row r="231" spans="1:101" x14ac:dyDescent="0.2">
      <c r="A231" s="29" t="str">
        <f t="shared" ca="1" si="3"/>
        <v>2025-11-10</v>
      </c>
      <c r="B231" s="140">
        <f ca="1">IF(ISNUMBER(MATCH(DATEVALUE($A231),'changes1_based on steps'!B$1:B$400,0)),B$2,)</f>
        <v>0</v>
      </c>
      <c r="C231" s="140">
        <f ca="1">IF(ISNUMBER(MATCH(DATEVALUE($A231),'changes1_based on steps'!C$1:C$400,0)),C$2,)</f>
        <v>0</v>
      </c>
      <c r="D231" s="140">
        <f ca="1">IF(ISNUMBER(MATCH(DATEVALUE($A231),'changes1_based on steps'!D$1:D$400,0)),D$2,)</f>
        <v>0</v>
      </c>
      <c r="E231" s="140">
        <f ca="1">IF(ISNUMBER(MATCH(DATEVALUE($A231),'changes1_based on steps'!E$1:E$400,0)),E$2,)</f>
        <v>0</v>
      </c>
      <c r="F231" s="140">
        <f ca="1">IF(ISNUMBER(MATCH(DATEVALUE($A231),'changes1_based on steps'!F$1:F$400,0)),F$2,)</f>
        <v>0</v>
      </c>
      <c r="G231" s="140">
        <f ca="1">IF(ISNUMBER(MATCH(DATEVALUE($A231),'changes1_based on steps'!G$1:G$400,0)),G$2,)</f>
        <v>0</v>
      </c>
      <c r="H231" s="140">
        <f ca="1">IF(ISNUMBER(MATCH(DATEVALUE($A231),'changes1_based on steps'!H$1:H$400,0)),H$2,)</f>
        <v>0</v>
      </c>
      <c r="I231" s="140">
        <f ca="1">IF(ISNUMBER(MATCH(DATEVALUE($A231),'changes1_based on steps'!I$1:I$400,0)),I$2,)</f>
        <v>0</v>
      </c>
      <c r="J231" s="140">
        <f ca="1">IF(ISNUMBER(MATCH(DATEVALUE($A231),'changes1_based on steps'!J$1:J$400,0)),J$2,)</f>
        <v>0</v>
      </c>
      <c r="K231" s="140">
        <f ca="1">IF(ISNUMBER(MATCH(DATEVALUE($A231),'changes1_based on steps'!K$1:K$400,0)),K$2,)</f>
        <v>0</v>
      </c>
      <c r="L231" s="140">
        <f ca="1">IF(ISNUMBER(MATCH(DATEVALUE($A231),'changes1_based on steps'!L$1:L$400,0)),L$2,)</f>
        <v>0</v>
      </c>
      <c r="M231" s="140">
        <f ca="1">IF(ISNUMBER(MATCH(DATEVALUE($A231),'changes1_based on steps'!M$1:M$400,0)),M$2,)</f>
        <v>0</v>
      </c>
      <c r="N231" s="140">
        <f ca="1">IF(ISNUMBER(MATCH(DATEVALUE($A231),'changes1_based on steps'!N$1:N$400,0)),N$2,)</f>
        <v>0</v>
      </c>
      <c r="O231" s="140">
        <f ca="1">IF(ISNUMBER(MATCH(DATEVALUE($A231),'changes1_based on steps'!O$1:O$400,0)),O$2,)</f>
        <v>0</v>
      </c>
      <c r="P231" s="140">
        <f ca="1">IF(ISNUMBER(MATCH(DATEVALUE($A231),'changes1_based on steps'!P$1:P$400,0)),P$2,)</f>
        <v>0</v>
      </c>
      <c r="Q231" s="140">
        <f ca="1">IF(ISNUMBER(MATCH(DATEVALUE($A231),'changes1_based on steps'!Q$1:Q$400,0)),Q$2,)</f>
        <v>0</v>
      </c>
      <c r="R231" s="140">
        <f ca="1">IF(ISNUMBER(MATCH(DATEVALUE($A231),'changes1_based on steps'!R$1:R$400,0)),R$2,)</f>
        <v>0</v>
      </c>
      <c r="S231" s="140">
        <f ca="1">IF(ISNUMBER(MATCH(DATEVALUE($A231),'changes1_based on steps'!S$1:S$400,0)),S$2,)</f>
        <v>0</v>
      </c>
      <c r="T231" s="140">
        <f ca="1">IF(ISNUMBER(MATCH(DATEVALUE($A231),'changes1_based on steps'!T$1:T$400,0)),T$2,)</f>
        <v>0</v>
      </c>
      <c r="U231" s="140">
        <f ca="1">IF(ISNUMBER(MATCH(DATEVALUE($A231),'changes1_based on steps'!U$1:U$400,0)),U$2,)</f>
        <v>0</v>
      </c>
      <c r="V231" s="140"/>
      <c r="W231" s="140"/>
      <c r="X231" s="140"/>
      <c r="Y231" s="140"/>
      <c r="Z231" s="140"/>
      <c r="AA231" s="140"/>
      <c r="AB231" s="140"/>
      <c r="AC231" s="140"/>
      <c r="AD231" s="140"/>
      <c r="AE231" s="140"/>
      <c r="AF231" s="140"/>
      <c r="AG231" s="140"/>
      <c r="AH231" s="140"/>
      <c r="AI231" s="140"/>
      <c r="AJ231" s="140"/>
      <c r="AK231" s="140"/>
      <c r="AL231" s="140"/>
      <c r="AM231" s="140"/>
      <c r="AN231" s="140"/>
      <c r="AO231" s="140"/>
      <c r="AP231" s="140"/>
      <c r="AQ231" s="140"/>
      <c r="AR231" s="140"/>
      <c r="AS231" s="140"/>
      <c r="AT231" s="140"/>
      <c r="AU231" s="140"/>
      <c r="AV231" s="140"/>
      <c r="AW231" s="140"/>
      <c r="AX231" s="140"/>
      <c r="AY231" s="140"/>
      <c r="AZ231" s="140"/>
      <c r="BA231" s="140"/>
      <c r="BB231" s="140"/>
      <c r="BC231" s="140"/>
      <c r="BD231" s="140"/>
      <c r="BE231" s="140"/>
      <c r="BF231" s="140"/>
      <c r="BG231" s="140"/>
      <c r="BH231" s="140"/>
      <c r="BI231" s="140"/>
      <c r="BJ231" s="140"/>
      <c r="BK231" s="140"/>
      <c r="BL231" s="140"/>
      <c r="BM231" s="140"/>
      <c r="BN231" s="140"/>
      <c r="BO231" s="140"/>
      <c r="BP231" s="140"/>
      <c r="BQ231" s="140"/>
      <c r="BR231" s="140"/>
      <c r="BS231" s="140"/>
      <c r="BT231" s="140"/>
      <c r="BU231" s="140"/>
      <c r="BV231" s="140"/>
      <c r="BW231" s="140"/>
      <c r="BX231" s="140"/>
      <c r="BY231" s="140"/>
      <c r="BZ231" s="140"/>
      <c r="CA231" s="140"/>
      <c r="CB231" s="140"/>
      <c r="CC231" s="140"/>
      <c r="CD231" s="140"/>
      <c r="CE231" s="140"/>
      <c r="CF231" s="140"/>
      <c r="CG231" s="140"/>
      <c r="CH231" s="140"/>
      <c r="CI231" s="140"/>
      <c r="CJ231" s="140"/>
      <c r="CK231" s="140"/>
      <c r="CL231" s="140"/>
      <c r="CM231" s="140"/>
      <c r="CN231" s="140"/>
      <c r="CO231" s="140"/>
      <c r="CP231" s="140"/>
      <c r="CQ231" s="140"/>
      <c r="CR231" s="140"/>
      <c r="CS231" s="140"/>
      <c r="CT231" s="140"/>
      <c r="CU231" s="140"/>
      <c r="CV231" s="140"/>
      <c r="CW231" s="140"/>
    </row>
    <row r="232" spans="1:101" x14ac:dyDescent="0.2">
      <c r="A232" s="29" t="str">
        <f t="shared" ca="1" si="3"/>
        <v>2025-11-11</v>
      </c>
      <c r="B232" s="140">
        <f ca="1">IF(ISNUMBER(MATCH(DATEVALUE($A232),'changes1_based on steps'!B$1:B$400,0)),B$2,)</f>
        <v>0</v>
      </c>
      <c r="C232" s="140">
        <f ca="1">IF(ISNUMBER(MATCH(DATEVALUE($A232),'changes1_based on steps'!C$1:C$400,0)),C$2,)</f>
        <v>0</v>
      </c>
      <c r="D232" s="140">
        <f ca="1">IF(ISNUMBER(MATCH(DATEVALUE($A232),'changes1_based on steps'!D$1:D$400,0)),D$2,)</f>
        <v>0</v>
      </c>
      <c r="E232" s="140">
        <f ca="1">IF(ISNUMBER(MATCH(DATEVALUE($A232),'changes1_based on steps'!E$1:E$400,0)),E$2,)</f>
        <v>0</v>
      </c>
      <c r="F232" s="140">
        <f ca="1">IF(ISNUMBER(MATCH(DATEVALUE($A232),'changes1_based on steps'!F$1:F$400,0)),F$2,)</f>
        <v>0</v>
      </c>
      <c r="G232" s="140">
        <f ca="1">IF(ISNUMBER(MATCH(DATEVALUE($A232),'changes1_based on steps'!G$1:G$400,0)),G$2,)</f>
        <v>0</v>
      </c>
      <c r="H232" s="140">
        <f ca="1">IF(ISNUMBER(MATCH(DATEVALUE($A232),'changes1_based on steps'!H$1:H$400,0)),H$2,)</f>
        <v>0</v>
      </c>
      <c r="I232" s="140">
        <f ca="1">IF(ISNUMBER(MATCH(DATEVALUE($A232),'changes1_based on steps'!I$1:I$400,0)),I$2,)</f>
        <v>0</v>
      </c>
      <c r="J232" s="140">
        <f ca="1">IF(ISNUMBER(MATCH(DATEVALUE($A232),'changes1_based on steps'!J$1:J$400,0)),J$2,)</f>
        <v>0</v>
      </c>
      <c r="K232" s="140">
        <f ca="1">IF(ISNUMBER(MATCH(DATEVALUE($A232),'changes1_based on steps'!K$1:K$400,0)),K$2,)</f>
        <v>0</v>
      </c>
      <c r="L232" s="140">
        <f ca="1">IF(ISNUMBER(MATCH(DATEVALUE($A232),'changes1_based on steps'!L$1:L$400,0)),L$2,)</f>
        <v>0</v>
      </c>
      <c r="M232" s="140">
        <f ca="1">IF(ISNUMBER(MATCH(DATEVALUE($A232),'changes1_based on steps'!M$1:M$400,0)),M$2,)</f>
        <v>0</v>
      </c>
      <c r="N232" s="140">
        <f ca="1">IF(ISNUMBER(MATCH(DATEVALUE($A232),'changes1_based on steps'!N$1:N$400,0)),N$2,)</f>
        <v>0</v>
      </c>
      <c r="O232" s="140">
        <f ca="1">IF(ISNUMBER(MATCH(DATEVALUE($A232),'changes1_based on steps'!O$1:O$400,0)),O$2,)</f>
        <v>0</v>
      </c>
      <c r="P232" s="140">
        <f ca="1">IF(ISNUMBER(MATCH(DATEVALUE($A232),'changes1_based on steps'!P$1:P$400,0)),P$2,)</f>
        <v>0</v>
      </c>
      <c r="Q232" s="140">
        <f ca="1">IF(ISNUMBER(MATCH(DATEVALUE($A232),'changes1_based on steps'!Q$1:Q$400,0)),Q$2,)</f>
        <v>0</v>
      </c>
      <c r="R232" s="140">
        <f ca="1">IF(ISNUMBER(MATCH(DATEVALUE($A232),'changes1_based on steps'!R$1:R$400,0)),R$2,)</f>
        <v>0</v>
      </c>
      <c r="S232" s="140">
        <f ca="1">IF(ISNUMBER(MATCH(DATEVALUE($A232),'changes1_based on steps'!S$1:S$400,0)),S$2,)</f>
        <v>0</v>
      </c>
      <c r="T232" s="140">
        <f ca="1">IF(ISNUMBER(MATCH(DATEVALUE($A232),'changes1_based on steps'!T$1:T$400,0)),T$2,)</f>
        <v>0</v>
      </c>
      <c r="U232" s="140">
        <f ca="1">IF(ISNUMBER(MATCH(DATEVALUE($A232),'changes1_based on steps'!U$1:U$400,0)),U$2,)</f>
        <v>0</v>
      </c>
      <c r="V232" s="140"/>
      <c r="W232" s="140"/>
      <c r="X232" s="140"/>
      <c r="Y232" s="140"/>
      <c r="Z232" s="140"/>
      <c r="AA232" s="140"/>
      <c r="AB232" s="140"/>
      <c r="AC232" s="140"/>
      <c r="AD232" s="140"/>
      <c r="AE232" s="140"/>
      <c r="AF232" s="140"/>
      <c r="AG232" s="140"/>
      <c r="AH232" s="140"/>
      <c r="AI232" s="140"/>
      <c r="AJ232" s="140"/>
      <c r="AK232" s="140"/>
      <c r="AL232" s="140"/>
      <c r="AM232" s="140"/>
      <c r="AN232" s="140"/>
      <c r="AO232" s="140"/>
      <c r="AP232" s="140"/>
      <c r="AQ232" s="140"/>
      <c r="AR232" s="140"/>
      <c r="AS232" s="140"/>
      <c r="AT232" s="140"/>
      <c r="AU232" s="140"/>
      <c r="AV232" s="140"/>
      <c r="AW232" s="140"/>
      <c r="AX232" s="140"/>
      <c r="AY232" s="140"/>
      <c r="AZ232" s="140"/>
      <c r="BA232" s="140"/>
      <c r="BB232" s="140"/>
      <c r="BC232" s="140"/>
      <c r="BD232" s="140"/>
      <c r="BE232" s="140"/>
      <c r="BF232" s="140"/>
      <c r="BG232" s="140"/>
      <c r="BH232" s="140"/>
      <c r="BI232" s="140"/>
      <c r="BJ232" s="140"/>
      <c r="BK232" s="140"/>
      <c r="BL232" s="140"/>
      <c r="BM232" s="140"/>
      <c r="BN232" s="140"/>
      <c r="BO232" s="140"/>
      <c r="BP232" s="140"/>
      <c r="BQ232" s="140"/>
      <c r="BR232" s="140"/>
      <c r="BS232" s="140"/>
      <c r="BT232" s="140"/>
      <c r="BU232" s="140"/>
      <c r="BV232" s="140"/>
      <c r="BW232" s="140"/>
      <c r="BX232" s="140"/>
      <c r="BY232" s="140"/>
      <c r="BZ232" s="140"/>
      <c r="CA232" s="140"/>
      <c r="CB232" s="140"/>
      <c r="CC232" s="140"/>
      <c r="CD232" s="140"/>
      <c r="CE232" s="140"/>
      <c r="CF232" s="140"/>
      <c r="CG232" s="140"/>
      <c r="CH232" s="140"/>
      <c r="CI232" s="140"/>
      <c r="CJ232" s="140"/>
      <c r="CK232" s="140"/>
      <c r="CL232" s="140"/>
      <c r="CM232" s="140"/>
      <c r="CN232" s="140"/>
      <c r="CO232" s="140"/>
      <c r="CP232" s="140"/>
      <c r="CQ232" s="140"/>
      <c r="CR232" s="140"/>
      <c r="CS232" s="140"/>
      <c r="CT232" s="140"/>
      <c r="CU232" s="140"/>
      <c r="CV232" s="140"/>
      <c r="CW232" s="140"/>
    </row>
    <row r="233" spans="1:101" x14ac:dyDescent="0.2">
      <c r="A233" s="29" t="str">
        <f t="shared" ca="1" si="3"/>
        <v>2025-11-12</v>
      </c>
      <c r="B233" s="140">
        <f ca="1">IF(ISNUMBER(MATCH(DATEVALUE($A233),'changes1_based on steps'!B$1:B$400,0)),B$2,)</f>
        <v>0</v>
      </c>
      <c r="C233" s="140">
        <f ca="1">IF(ISNUMBER(MATCH(DATEVALUE($A233),'changes1_based on steps'!C$1:C$400,0)),C$2,)</f>
        <v>0</v>
      </c>
      <c r="D233" s="140">
        <f ca="1">IF(ISNUMBER(MATCH(DATEVALUE($A233),'changes1_based on steps'!D$1:D$400,0)),D$2,)</f>
        <v>0</v>
      </c>
      <c r="E233" s="140">
        <f ca="1">IF(ISNUMBER(MATCH(DATEVALUE($A233),'changes1_based on steps'!E$1:E$400,0)),E$2,)</f>
        <v>0</v>
      </c>
      <c r="F233" s="140">
        <f ca="1">IF(ISNUMBER(MATCH(DATEVALUE($A233),'changes1_based on steps'!F$1:F$400,0)),F$2,)</f>
        <v>0</v>
      </c>
      <c r="G233" s="140">
        <f ca="1">IF(ISNUMBER(MATCH(DATEVALUE($A233),'changes1_based on steps'!G$1:G$400,0)),G$2,)</f>
        <v>0</v>
      </c>
      <c r="H233" s="140">
        <f ca="1">IF(ISNUMBER(MATCH(DATEVALUE($A233),'changes1_based on steps'!H$1:H$400,0)),H$2,)</f>
        <v>0</v>
      </c>
      <c r="I233" s="140">
        <f ca="1">IF(ISNUMBER(MATCH(DATEVALUE($A233),'changes1_based on steps'!I$1:I$400,0)),I$2,)</f>
        <v>0</v>
      </c>
      <c r="J233" s="140">
        <f ca="1">IF(ISNUMBER(MATCH(DATEVALUE($A233),'changes1_based on steps'!J$1:J$400,0)),J$2,)</f>
        <v>0</v>
      </c>
      <c r="K233" s="140">
        <f ca="1">IF(ISNUMBER(MATCH(DATEVALUE($A233),'changes1_based on steps'!K$1:K$400,0)),K$2,)</f>
        <v>0</v>
      </c>
      <c r="L233" s="140">
        <f ca="1">IF(ISNUMBER(MATCH(DATEVALUE($A233),'changes1_based on steps'!L$1:L$400,0)),L$2,)</f>
        <v>0</v>
      </c>
      <c r="M233" s="140">
        <f ca="1">IF(ISNUMBER(MATCH(DATEVALUE($A233),'changes1_based on steps'!M$1:M$400,0)),M$2,)</f>
        <v>0</v>
      </c>
      <c r="N233" s="140">
        <f ca="1">IF(ISNUMBER(MATCH(DATEVALUE($A233),'changes1_based on steps'!N$1:N$400,0)),N$2,)</f>
        <v>0</v>
      </c>
      <c r="O233" s="140">
        <f ca="1">IF(ISNUMBER(MATCH(DATEVALUE($A233),'changes1_based on steps'!O$1:O$400,0)),O$2,)</f>
        <v>0</v>
      </c>
      <c r="P233" s="140">
        <f ca="1">IF(ISNUMBER(MATCH(DATEVALUE($A233),'changes1_based on steps'!P$1:P$400,0)),P$2,)</f>
        <v>0</v>
      </c>
      <c r="Q233" s="140">
        <f ca="1">IF(ISNUMBER(MATCH(DATEVALUE($A233),'changes1_based on steps'!Q$1:Q$400,0)),Q$2,)</f>
        <v>0</v>
      </c>
      <c r="R233" s="140">
        <f ca="1">IF(ISNUMBER(MATCH(DATEVALUE($A233),'changes1_based on steps'!R$1:R$400,0)),R$2,)</f>
        <v>0</v>
      </c>
      <c r="S233" s="140">
        <f ca="1">IF(ISNUMBER(MATCH(DATEVALUE($A233),'changes1_based on steps'!S$1:S$400,0)),S$2,)</f>
        <v>0</v>
      </c>
      <c r="T233" s="140">
        <f ca="1">IF(ISNUMBER(MATCH(DATEVALUE($A233),'changes1_based on steps'!T$1:T$400,0)),T$2,)</f>
        <v>0</v>
      </c>
      <c r="U233" s="140">
        <f ca="1">IF(ISNUMBER(MATCH(DATEVALUE($A233),'changes1_based on steps'!U$1:U$400,0)),U$2,)</f>
        <v>0</v>
      </c>
      <c r="V233" s="140"/>
      <c r="W233" s="140"/>
      <c r="X233" s="140"/>
      <c r="Y233" s="140"/>
      <c r="Z233" s="140"/>
      <c r="AA233" s="140"/>
      <c r="AB233" s="140"/>
      <c r="AC233" s="140"/>
      <c r="AD233" s="140"/>
      <c r="AE233" s="140"/>
      <c r="AF233" s="140"/>
      <c r="AG233" s="140"/>
      <c r="AH233" s="140"/>
      <c r="AI233" s="140"/>
      <c r="AJ233" s="140"/>
      <c r="AK233" s="140"/>
      <c r="AL233" s="140"/>
      <c r="AM233" s="140"/>
      <c r="AN233" s="140"/>
      <c r="AO233" s="140"/>
      <c r="AP233" s="140"/>
      <c r="AQ233" s="140"/>
      <c r="AR233" s="140"/>
      <c r="AS233" s="140"/>
      <c r="AT233" s="140"/>
      <c r="AU233" s="140"/>
      <c r="AV233" s="140"/>
      <c r="AW233" s="140"/>
      <c r="AX233" s="140"/>
      <c r="AY233" s="140"/>
      <c r="AZ233" s="140"/>
      <c r="BA233" s="140"/>
      <c r="BB233" s="140"/>
      <c r="BC233" s="140"/>
      <c r="BD233" s="140"/>
      <c r="BE233" s="140"/>
      <c r="BF233" s="140"/>
      <c r="BG233" s="140"/>
      <c r="BH233" s="140"/>
      <c r="BI233" s="140"/>
      <c r="BJ233" s="140"/>
      <c r="BK233" s="140"/>
      <c r="BL233" s="140"/>
      <c r="BM233" s="140"/>
      <c r="BN233" s="140"/>
      <c r="BO233" s="140"/>
      <c r="BP233" s="140"/>
      <c r="BQ233" s="140"/>
      <c r="BR233" s="140"/>
      <c r="BS233" s="140"/>
      <c r="BT233" s="140"/>
      <c r="BU233" s="140"/>
      <c r="BV233" s="140"/>
      <c r="BW233" s="140"/>
      <c r="BX233" s="140"/>
      <c r="BY233" s="140"/>
      <c r="BZ233" s="140"/>
      <c r="CA233" s="140"/>
      <c r="CB233" s="140"/>
      <c r="CC233" s="140"/>
      <c r="CD233" s="140"/>
      <c r="CE233" s="140"/>
      <c r="CF233" s="140"/>
      <c r="CG233" s="140"/>
      <c r="CH233" s="140"/>
      <c r="CI233" s="140"/>
      <c r="CJ233" s="140"/>
      <c r="CK233" s="140"/>
      <c r="CL233" s="140"/>
      <c r="CM233" s="140"/>
      <c r="CN233" s="140"/>
      <c r="CO233" s="140"/>
      <c r="CP233" s="140"/>
      <c r="CQ233" s="140"/>
      <c r="CR233" s="140"/>
      <c r="CS233" s="140"/>
      <c r="CT233" s="140"/>
      <c r="CU233" s="140"/>
      <c r="CV233" s="140"/>
      <c r="CW233" s="140"/>
    </row>
    <row r="234" spans="1:101" x14ac:dyDescent="0.2">
      <c r="A234" s="29" t="str">
        <f t="shared" ca="1" si="3"/>
        <v>2025-11-13</v>
      </c>
      <c r="B234" s="140">
        <f ca="1">IF(ISNUMBER(MATCH(DATEVALUE($A234),'changes1_based on steps'!B$1:B$400,0)),B$2,)</f>
        <v>0</v>
      </c>
      <c r="C234" s="140">
        <f ca="1">IF(ISNUMBER(MATCH(DATEVALUE($A234),'changes1_based on steps'!C$1:C$400,0)),C$2,)</f>
        <v>0</v>
      </c>
      <c r="D234" s="140">
        <f ca="1">IF(ISNUMBER(MATCH(DATEVALUE($A234),'changes1_based on steps'!D$1:D$400,0)),D$2,)</f>
        <v>0</v>
      </c>
      <c r="E234" s="140">
        <f ca="1">IF(ISNUMBER(MATCH(DATEVALUE($A234),'changes1_based on steps'!E$1:E$400,0)),E$2,)</f>
        <v>0</v>
      </c>
      <c r="F234" s="140">
        <f ca="1">IF(ISNUMBER(MATCH(DATEVALUE($A234),'changes1_based on steps'!F$1:F$400,0)),F$2,)</f>
        <v>0</v>
      </c>
      <c r="G234" s="140">
        <f ca="1">IF(ISNUMBER(MATCH(DATEVALUE($A234),'changes1_based on steps'!G$1:G$400,0)),G$2,)</f>
        <v>0</v>
      </c>
      <c r="H234" s="140">
        <f ca="1">IF(ISNUMBER(MATCH(DATEVALUE($A234),'changes1_based on steps'!H$1:H$400,0)),H$2,)</f>
        <v>0</v>
      </c>
      <c r="I234" s="140">
        <f ca="1">IF(ISNUMBER(MATCH(DATEVALUE($A234),'changes1_based on steps'!I$1:I$400,0)),I$2,)</f>
        <v>0</v>
      </c>
      <c r="J234" s="140">
        <f ca="1">IF(ISNUMBER(MATCH(DATEVALUE($A234),'changes1_based on steps'!J$1:J$400,0)),J$2,)</f>
        <v>0</v>
      </c>
      <c r="K234" s="140">
        <f ca="1">IF(ISNUMBER(MATCH(DATEVALUE($A234),'changes1_based on steps'!K$1:K$400,0)),K$2,)</f>
        <v>0</v>
      </c>
      <c r="L234" s="140">
        <f ca="1">IF(ISNUMBER(MATCH(DATEVALUE($A234),'changes1_based on steps'!L$1:L$400,0)),L$2,)</f>
        <v>0</v>
      </c>
      <c r="M234" s="140">
        <f ca="1">IF(ISNUMBER(MATCH(DATEVALUE($A234),'changes1_based on steps'!M$1:M$400,0)),M$2,)</f>
        <v>0</v>
      </c>
      <c r="N234" s="140">
        <f ca="1">IF(ISNUMBER(MATCH(DATEVALUE($A234),'changes1_based on steps'!N$1:N$400,0)),N$2,)</f>
        <v>0</v>
      </c>
      <c r="O234" s="140">
        <f ca="1">IF(ISNUMBER(MATCH(DATEVALUE($A234),'changes1_based on steps'!O$1:O$400,0)),O$2,)</f>
        <v>0</v>
      </c>
      <c r="P234" s="140">
        <f ca="1">IF(ISNUMBER(MATCH(DATEVALUE($A234),'changes1_based on steps'!P$1:P$400,0)),P$2,)</f>
        <v>0</v>
      </c>
      <c r="Q234" s="140">
        <f ca="1">IF(ISNUMBER(MATCH(DATEVALUE($A234),'changes1_based on steps'!Q$1:Q$400,0)),Q$2,)</f>
        <v>0</v>
      </c>
      <c r="R234" s="140">
        <f ca="1">IF(ISNUMBER(MATCH(DATEVALUE($A234),'changes1_based on steps'!R$1:R$400,0)),R$2,)</f>
        <v>0</v>
      </c>
      <c r="S234" s="140">
        <f ca="1">IF(ISNUMBER(MATCH(DATEVALUE($A234),'changes1_based on steps'!S$1:S$400,0)),S$2,)</f>
        <v>0</v>
      </c>
      <c r="T234" s="140">
        <f ca="1">IF(ISNUMBER(MATCH(DATEVALUE($A234),'changes1_based on steps'!T$1:T$400,0)),T$2,)</f>
        <v>0</v>
      </c>
      <c r="U234" s="140">
        <f ca="1">IF(ISNUMBER(MATCH(DATEVALUE($A234),'changes1_based on steps'!U$1:U$400,0)),U$2,)</f>
        <v>0</v>
      </c>
      <c r="V234" s="140"/>
      <c r="W234" s="140"/>
      <c r="X234" s="140"/>
      <c r="Y234" s="140"/>
      <c r="Z234" s="140"/>
      <c r="AA234" s="140"/>
      <c r="AB234" s="140"/>
      <c r="AC234" s="140"/>
      <c r="AD234" s="140"/>
      <c r="AE234" s="140"/>
      <c r="AF234" s="140"/>
      <c r="AG234" s="140"/>
      <c r="AH234" s="140"/>
      <c r="AI234" s="140"/>
      <c r="AJ234" s="140"/>
      <c r="AK234" s="140"/>
      <c r="AL234" s="140"/>
      <c r="AM234" s="140"/>
      <c r="AN234" s="140"/>
      <c r="AO234" s="140"/>
      <c r="AP234" s="140"/>
      <c r="AQ234" s="140"/>
      <c r="AR234" s="140"/>
      <c r="AS234" s="140"/>
      <c r="AT234" s="140"/>
      <c r="AU234" s="140"/>
      <c r="AV234" s="140"/>
      <c r="AW234" s="140"/>
      <c r="AX234" s="140"/>
      <c r="AY234" s="140"/>
      <c r="AZ234" s="140"/>
      <c r="BA234" s="140"/>
      <c r="BB234" s="140"/>
      <c r="BC234" s="140"/>
      <c r="BD234" s="140"/>
      <c r="BE234" s="140"/>
      <c r="BF234" s="140"/>
      <c r="BG234" s="140"/>
      <c r="BH234" s="140"/>
      <c r="BI234" s="140"/>
      <c r="BJ234" s="140"/>
      <c r="BK234" s="140"/>
      <c r="BL234" s="140"/>
      <c r="BM234" s="140"/>
      <c r="BN234" s="140"/>
      <c r="BO234" s="140"/>
      <c r="BP234" s="140"/>
      <c r="BQ234" s="140"/>
      <c r="BR234" s="140"/>
      <c r="BS234" s="140"/>
      <c r="BT234" s="140"/>
      <c r="BU234" s="140"/>
      <c r="BV234" s="140"/>
      <c r="BW234" s="140"/>
      <c r="BX234" s="140"/>
      <c r="BY234" s="140"/>
      <c r="BZ234" s="140"/>
      <c r="CA234" s="140"/>
      <c r="CB234" s="140"/>
      <c r="CC234" s="140"/>
      <c r="CD234" s="140"/>
      <c r="CE234" s="140"/>
      <c r="CF234" s="140"/>
      <c r="CG234" s="140"/>
      <c r="CH234" s="140"/>
      <c r="CI234" s="140"/>
      <c r="CJ234" s="140"/>
      <c r="CK234" s="140"/>
      <c r="CL234" s="140"/>
      <c r="CM234" s="140"/>
      <c r="CN234" s="140"/>
      <c r="CO234" s="140"/>
      <c r="CP234" s="140"/>
      <c r="CQ234" s="140"/>
      <c r="CR234" s="140"/>
      <c r="CS234" s="140"/>
      <c r="CT234" s="140"/>
      <c r="CU234" s="140"/>
      <c r="CV234" s="140"/>
      <c r="CW234" s="140"/>
    </row>
    <row r="235" spans="1:101" x14ac:dyDescent="0.2">
      <c r="A235" s="29" t="str">
        <f t="shared" ca="1" si="3"/>
        <v>2025-11-14</v>
      </c>
      <c r="B235" s="140">
        <f ca="1">IF(ISNUMBER(MATCH(DATEVALUE($A235),'changes1_based on steps'!B$1:B$400,0)),B$2,)</f>
        <v>0</v>
      </c>
      <c r="C235" s="140">
        <f ca="1">IF(ISNUMBER(MATCH(DATEVALUE($A235),'changes1_based on steps'!C$1:C$400,0)),C$2,)</f>
        <v>0</v>
      </c>
      <c r="D235" s="140">
        <f ca="1">IF(ISNUMBER(MATCH(DATEVALUE($A235),'changes1_based on steps'!D$1:D$400,0)),D$2,)</f>
        <v>0</v>
      </c>
      <c r="E235" s="140">
        <f ca="1">IF(ISNUMBER(MATCH(DATEVALUE($A235),'changes1_based on steps'!E$1:E$400,0)),E$2,)</f>
        <v>0</v>
      </c>
      <c r="F235" s="140">
        <f ca="1">IF(ISNUMBER(MATCH(DATEVALUE($A235),'changes1_based on steps'!F$1:F$400,0)),F$2,)</f>
        <v>0</v>
      </c>
      <c r="G235" s="140">
        <f ca="1">IF(ISNUMBER(MATCH(DATEVALUE($A235),'changes1_based on steps'!G$1:G$400,0)),G$2,)</f>
        <v>0</v>
      </c>
      <c r="H235" s="140">
        <f ca="1">IF(ISNUMBER(MATCH(DATEVALUE($A235),'changes1_based on steps'!H$1:H$400,0)),H$2,)</f>
        <v>0</v>
      </c>
      <c r="I235" s="140">
        <f ca="1">IF(ISNUMBER(MATCH(DATEVALUE($A235),'changes1_based on steps'!I$1:I$400,0)),I$2,)</f>
        <v>0</v>
      </c>
      <c r="J235" s="140">
        <f ca="1">IF(ISNUMBER(MATCH(DATEVALUE($A235),'changes1_based on steps'!J$1:J$400,0)),J$2,)</f>
        <v>0</v>
      </c>
      <c r="K235" s="140">
        <f ca="1">IF(ISNUMBER(MATCH(DATEVALUE($A235),'changes1_based on steps'!K$1:K$400,0)),K$2,)</f>
        <v>0</v>
      </c>
      <c r="L235" s="140">
        <f ca="1">IF(ISNUMBER(MATCH(DATEVALUE($A235),'changes1_based on steps'!L$1:L$400,0)),L$2,)</f>
        <v>0</v>
      </c>
      <c r="M235" s="140">
        <f ca="1">IF(ISNUMBER(MATCH(DATEVALUE($A235),'changes1_based on steps'!M$1:M$400,0)),M$2,)</f>
        <v>0</v>
      </c>
      <c r="N235" s="140">
        <f ca="1">IF(ISNUMBER(MATCH(DATEVALUE($A235),'changes1_based on steps'!N$1:N$400,0)),N$2,)</f>
        <v>0</v>
      </c>
      <c r="O235" s="140">
        <f ca="1">IF(ISNUMBER(MATCH(DATEVALUE($A235),'changes1_based on steps'!O$1:O$400,0)),O$2,)</f>
        <v>0</v>
      </c>
      <c r="P235" s="140">
        <f ca="1">IF(ISNUMBER(MATCH(DATEVALUE($A235),'changes1_based on steps'!P$1:P$400,0)),P$2,)</f>
        <v>0</v>
      </c>
      <c r="Q235" s="140">
        <f ca="1">IF(ISNUMBER(MATCH(DATEVALUE($A235),'changes1_based on steps'!Q$1:Q$400,0)),Q$2,)</f>
        <v>0</v>
      </c>
      <c r="R235" s="140">
        <f ca="1">IF(ISNUMBER(MATCH(DATEVALUE($A235),'changes1_based on steps'!R$1:R$400,0)),R$2,)</f>
        <v>0</v>
      </c>
      <c r="S235" s="140">
        <f ca="1">IF(ISNUMBER(MATCH(DATEVALUE($A235),'changes1_based on steps'!S$1:S$400,0)),S$2,)</f>
        <v>0</v>
      </c>
      <c r="T235" s="140">
        <f ca="1">IF(ISNUMBER(MATCH(DATEVALUE($A235),'changes1_based on steps'!T$1:T$400,0)),T$2,)</f>
        <v>0</v>
      </c>
      <c r="U235" s="140">
        <f ca="1">IF(ISNUMBER(MATCH(DATEVALUE($A235),'changes1_based on steps'!U$1:U$400,0)),U$2,)</f>
        <v>0</v>
      </c>
      <c r="V235" s="140"/>
      <c r="W235" s="140"/>
      <c r="X235" s="140"/>
      <c r="Y235" s="140"/>
      <c r="Z235" s="140"/>
      <c r="AA235" s="140"/>
      <c r="AB235" s="140"/>
      <c r="AC235" s="140"/>
      <c r="AD235" s="140"/>
      <c r="AE235" s="140"/>
      <c r="AF235" s="140"/>
      <c r="AG235" s="140"/>
      <c r="AH235" s="140"/>
      <c r="AI235" s="140"/>
      <c r="AJ235" s="140"/>
      <c r="AK235" s="140"/>
      <c r="AL235" s="140"/>
      <c r="AM235" s="140"/>
      <c r="AN235" s="140"/>
      <c r="AO235" s="140"/>
      <c r="AP235" s="140"/>
      <c r="AQ235" s="140"/>
      <c r="AR235" s="140"/>
      <c r="AS235" s="140"/>
      <c r="AT235" s="140"/>
      <c r="AU235" s="140"/>
      <c r="AV235" s="140"/>
      <c r="AW235" s="140"/>
      <c r="AX235" s="140"/>
      <c r="AY235" s="140"/>
      <c r="AZ235" s="140"/>
      <c r="BA235" s="140"/>
      <c r="BB235" s="140"/>
      <c r="BC235" s="140"/>
      <c r="BD235" s="140"/>
      <c r="BE235" s="140"/>
      <c r="BF235" s="140"/>
      <c r="BG235" s="140"/>
      <c r="BH235" s="140"/>
      <c r="BI235" s="140"/>
      <c r="BJ235" s="140"/>
      <c r="BK235" s="140"/>
      <c r="BL235" s="140"/>
      <c r="BM235" s="140"/>
      <c r="BN235" s="140"/>
      <c r="BO235" s="140"/>
      <c r="BP235" s="140"/>
      <c r="BQ235" s="140"/>
      <c r="BR235" s="140"/>
      <c r="BS235" s="140"/>
      <c r="BT235" s="140"/>
      <c r="BU235" s="140"/>
      <c r="BV235" s="140"/>
      <c r="BW235" s="140"/>
      <c r="BX235" s="140"/>
      <c r="BY235" s="140"/>
      <c r="BZ235" s="140"/>
      <c r="CA235" s="140"/>
      <c r="CB235" s="140"/>
      <c r="CC235" s="140"/>
      <c r="CD235" s="140"/>
      <c r="CE235" s="140"/>
      <c r="CF235" s="140"/>
      <c r="CG235" s="140"/>
      <c r="CH235" s="140"/>
      <c r="CI235" s="140"/>
      <c r="CJ235" s="140"/>
      <c r="CK235" s="140"/>
      <c r="CL235" s="140"/>
      <c r="CM235" s="140"/>
      <c r="CN235" s="140"/>
      <c r="CO235" s="140"/>
      <c r="CP235" s="140"/>
      <c r="CQ235" s="140"/>
      <c r="CR235" s="140"/>
      <c r="CS235" s="140"/>
      <c r="CT235" s="140"/>
      <c r="CU235" s="140"/>
      <c r="CV235" s="140"/>
      <c r="CW235" s="140"/>
    </row>
    <row r="236" spans="1:101" x14ac:dyDescent="0.2">
      <c r="A236" s="29" t="str">
        <f t="shared" ca="1" si="3"/>
        <v>2025-11-15</v>
      </c>
      <c r="B236" s="140">
        <f ca="1">IF(ISNUMBER(MATCH(DATEVALUE($A236),'changes1_based on steps'!B$1:B$400,0)),B$2,)</f>
        <v>0</v>
      </c>
      <c r="C236" s="140">
        <f ca="1">IF(ISNUMBER(MATCH(DATEVALUE($A236),'changes1_based on steps'!C$1:C$400,0)),C$2,)</f>
        <v>0</v>
      </c>
      <c r="D236" s="140">
        <f ca="1">IF(ISNUMBER(MATCH(DATEVALUE($A236),'changes1_based on steps'!D$1:D$400,0)),D$2,)</f>
        <v>0</v>
      </c>
      <c r="E236" s="140">
        <f ca="1">IF(ISNUMBER(MATCH(DATEVALUE($A236),'changes1_based on steps'!E$1:E$400,0)),E$2,)</f>
        <v>0</v>
      </c>
      <c r="F236" s="140">
        <f ca="1">IF(ISNUMBER(MATCH(DATEVALUE($A236),'changes1_based on steps'!F$1:F$400,0)),F$2,)</f>
        <v>0</v>
      </c>
      <c r="G236" s="140">
        <f ca="1">IF(ISNUMBER(MATCH(DATEVALUE($A236),'changes1_based on steps'!G$1:G$400,0)),G$2,)</f>
        <v>0</v>
      </c>
      <c r="H236" s="140">
        <f ca="1">IF(ISNUMBER(MATCH(DATEVALUE($A236),'changes1_based on steps'!H$1:H$400,0)),H$2,)</f>
        <v>0</v>
      </c>
      <c r="I236" s="140">
        <f ca="1">IF(ISNUMBER(MATCH(DATEVALUE($A236),'changes1_based on steps'!I$1:I$400,0)),I$2,)</f>
        <v>0</v>
      </c>
      <c r="J236" s="140">
        <f ca="1">IF(ISNUMBER(MATCH(DATEVALUE($A236),'changes1_based on steps'!J$1:J$400,0)),J$2,)</f>
        <v>0</v>
      </c>
      <c r="K236" s="140">
        <f ca="1">IF(ISNUMBER(MATCH(DATEVALUE($A236),'changes1_based on steps'!K$1:K$400,0)),K$2,)</f>
        <v>0</v>
      </c>
      <c r="L236" s="140">
        <f ca="1">IF(ISNUMBER(MATCH(DATEVALUE($A236),'changes1_based on steps'!L$1:L$400,0)),L$2,)</f>
        <v>0</v>
      </c>
      <c r="M236" s="140">
        <f ca="1">IF(ISNUMBER(MATCH(DATEVALUE($A236),'changes1_based on steps'!M$1:M$400,0)),M$2,)</f>
        <v>0</v>
      </c>
      <c r="N236" s="140">
        <f ca="1">IF(ISNUMBER(MATCH(DATEVALUE($A236),'changes1_based on steps'!N$1:N$400,0)),N$2,)</f>
        <v>0</v>
      </c>
      <c r="O236" s="140">
        <f ca="1">IF(ISNUMBER(MATCH(DATEVALUE($A236),'changes1_based on steps'!O$1:O$400,0)),O$2,)</f>
        <v>0</v>
      </c>
      <c r="P236" s="140">
        <f ca="1">IF(ISNUMBER(MATCH(DATEVALUE($A236),'changes1_based on steps'!P$1:P$400,0)),P$2,)</f>
        <v>0</v>
      </c>
      <c r="Q236" s="140">
        <f ca="1">IF(ISNUMBER(MATCH(DATEVALUE($A236),'changes1_based on steps'!Q$1:Q$400,0)),Q$2,)</f>
        <v>0</v>
      </c>
      <c r="R236" s="140">
        <f ca="1">IF(ISNUMBER(MATCH(DATEVALUE($A236),'changes1_based on steps'!R$1:R$400,0)),R$2,)</f>
        <v>0</v>
      </c>
      <c r="S236" s="140">
        <f ca="1">IF(ISNUMBER(MATCH(DATEVALUE($A236),'changes1_based on steps'!S$1:S$400,0)),S$2,)</f>
        <v>0</v>
      </c>
      <c r="T236" s="140">
        <f ca="1">IF(ISNUMBER(MATCH(DATEVALUE($A236),'changes1_based on steps'!T$1:T$400,0)),T$2,)</f>
        <v>0</v>
      </c>
      <c r="U236" s="140">
        <f ca="1">IF(ISNUMBER(MATCH(DATEVALUE($A236),'changes1_based on steps'!U$1:U$400,0)),U$2,)</f>
        <v>0</v>
      </c>
      <c r="V236" s="140"/>
      <c r="W236" s="140"/>
      <c r="X236" s="140"/>
      <c r="Y236" s="140"/>
      <c r="Z236" s="140"/>
      <c r="AA236" s="140"/>
      <c r="AB236" s="140"/>
      <c r="AC236" s="140"/>
      <c r="AD236" s="140"/>
      <c r="AE236" s="140"/>
      <c r="AF236" s="140"/>
      <c r="AG236" s="140"/>
      <c r="AH236" s="140"/>
      <c r="AI236" s="140"/>
      <c r="AJ236" s="140"/>
      <c r="AK236" s="140"/>
      <c r="AL236" s="140"/>
      <c r="AM236" s="140"/>
      <c r="AN236" s="140"/>
      <c r="AO236" s="140"/>
      <c r="AP236" s="140"/>
      <c r="AQ236" s="140"/>
      <c r="AR236" s="140"/>
      <c r="AS236" s="140"/>
      <c r="AT236" s="140"/>
      <c r="AU236" s="140"/>
      <c r="AV236" s="140"/>
      <c r="AW236" s="140"/>
      <c r="AX236" s="140"/>
      <c r="AY236" s="140"/>
      <c r="AZ236" s="140"/>
      <c r="BA236" s="140"/>
      <c r="BB236" s="140"/>
      <c r="BC236" s="140"/>
      <c r="BD236" s="140"/>
      <c r="BE236" s="140"/>
      <c r="BF236" s="140"/>
      <c r="BG236" s="140"/>
      <c r="BH236" s="140"/>
      <c r="BI236" s="140"/>
      <c r="BJ236" s="140"/>
      <c r="BK236" s="140"/>
      <c r="BL236" s="140"/>
      <c r="BM236" s="140"/>
      <c r="BN236" s="140"/>
      <c r="BO236" s="140"/>
      <c r="BP236" s="140"/>
      <c r="BQ236" s="140"/>
      <c r="BR236" s="140"/>
      <c r="BS236" s="140"/>
      <c r="BT236" s="140"/>
      <c r="BU236" s="140"/>
      <c r="BV236" s="140"/>
      <c r="BW236" s="140"/>
      <c r="BX236" s="140"/>
      <c r="BY236" s="140"/>
      <c r="BZ236" s="140"/>
      <c r="CA236" s="140"/>
      <c r="CB236" s="140"/>
      <c r="CC236" s="140"/>
      <c r="CD236" s="140"/>
      <c r="CE236" s="140"/>
      <c r="CF236" s="140"/>
      <c r="CG236" s="140"/>
      <c r="CH236" s="140"/>
      <c r="CI236" s="140"/>
      <c r="CJ236" s="140"/>
      <c r="CK236" s="140"/>
      <c r="CL236" s="140"/>
      <c r="CM236" s="140"/>
      <c r="CN236" s="140"/>
      <c r="CO236" s="140"/>
      <c r="CP236" s="140"/>
      <c r="CQ236" s="140"/>
      <c r="CR236" s="140"/>
      <c r="CS236" s="140"/>
      <c r="CT236" s="140"/>
      <c r="CU236" s="140"/>
      <c r="CV236" s="140"/>
      <c r="CW236" s="140"/>
    </row>
    <row r="237" spans="1:101" x14ac:dyDescent="0.2">
      <c r="A237" s="29" t="str">
        <f t="shared" ca="1" si="3"/>
        <v>2025-11-16</v>
      </c>
      <c r="B237" s="140">
        <f ca="1">IF(ISNUMBER(MATCH(DATEVALUE($A237),'changes1_based on steps'!B$1:B$400,0)),B$2,)</f>
        <v>0</v>
      </c>
      <c r="C237" s="140">
        <f ca="1">IF(ISNUMBER(MATCH(DATEVALUE($A237),'changes1_based on steps'!C$1:C$400,0)),C$2,)</f>
        <v>0</v>
      </c>
      <c r="D237" s="140">
        <f ca="1">IF(ISNUMBER(MATCH(DATEVALUE($A237),'changes1_based on steps'!D$1:D$400,0)),D$2,)</f>
        <v>0</v>
      </c>
      <c r="E237" s="140">
        <f ca="1">IF(ISNUMBER(MATCH(DATEVALUE($A237),'changes1_based on steps'!E$1:E$400,0)),E$2,)</f>
        <v>0</v>
      </c>
      <c r="F237" s="140">
        <f ca="1">IF(ISNUMBER(MATCH(DATEVALUE($A237),'changes1_based on steps'!F$1:F$400,0)),F$2,)</f>
        <v>0</v>
      </c>
      <c r="G237" s="140">
        <f ca="1">IF(ISNUMBER(MATCH(DATEVALUE($A237),'changes1_based on steps'!G$1:G$400,0)),G$2,)</f>
        <v>0</v>
      </c>
      <c r="H237" s="140">
        <f ca="1">IF(ISNUMBER(MATCH(DATEVALUE($A237),'changes1_based on steps'!H$1:H$400,0)),H$2,)</f>
        <v>0</v>
      </c>
      <c r="I237" s="140">
        <f ca="1">IF(ISNUMBER(MATCH(DATEVALUE($A237),'changes1_based on steps'!I$1:I$400,0)),I$2,)</f>
        <v>0</v>
      </c>
      <c r="J237" s="140">
        <f ca="1">IF(ISNUMBER(MATCH(DATEVALUE($A237),'changes1_based on steps'!J$1:J$400,0)),J$2,)</f>
        <v>0</v>
      </c>
      <c r="K237" s="140">
        <f ca="1">IF(ISNUMBER(MATCH(DATEVALUE($A237),'changes1_based on steps'!K$1:K$400,0)),K$2,)</f>
        <v>0</v>
      </c>
      <c r="L237" s="140">
        <f ca="1">IF(ISNUMBER(MATCH(DATEVALUE($A237),'changes1_based on steps'!L$1:L$400,0)),L$2,)</f>
        <v>0</v>
      </c>
      <c r="M237" s="140">
        <f ca="1">IF(ISNUMBER(MATCH(DATEVALUE($A237),'changes1_based on steps'!M$1:M$400,0)),M$2,)</f>
        <v>0</v>
      </c>
      <c r="N237" s="140">
        <f ca="1">IF(ISNUMBER(MATCH(DATEVALUE($A237),'changes1_based on steps'!N$1:N$400,0)),N$2,)</f>
        <v>0</v>
      </c>
      <c r="O237" s="140">
        <f ca="1">IF(ISNUMBER(MATCH(DATEVALUE($A237),'changes1_based on steps'!O$1:O$400,0)),O$2,)</f>
        <v>0</v>
      </c>
      <c r="P237" s="140">
        <f ca="1">IF(ISNUMBER(MATCH(DATEVALUE($A237),'changes1_based on steps'!P$1:P$400,0)),P$2,)</f>
        <v>0</v>
      </c>
      <c r="Q237" s="140">
        <f ca="1">IF(ISNUMBER(MATCH(DATEVALUE($A237),'changes1_based on steps'!Q$1:Q$400,0)),Q$2,)</f>
        <v>0</v>
      </c>
      <c r="R237" s="140">
        <f ca="1">IF(ISNUMBER(MATCH(DATEVALUE($A237),'changes1_based on steps'!R$1:R$400,0)),R$2,)</f>
        <v>0</v>
      </c>
      <c r="S237" s="140">
        <f ca="1">IF(ISNUMBER(MATCH(DATEVALUE($A237),'changes1_based on steps'!S$1:S$400,0)),S$2,)</f>
        <v>0</v>
      </c>
      <c r="T237" s="140">
        <f ca="1">IF(ISNUMBER(MATCH(DATEVALUE($A237),'changes1_based on steps'!T$1:T$400,0)),T$2,)</f>
        <v>0</v>
      </c>
      <c r="U237" s="140">
        <f ca="1">IF(ISNUMBER(MATCH(DATEVALUE($A237),'changes1_based on steps'!U$1:U$400,0)),U$2,)</f>
        <v>0</v>
      </c>
      <c r="V237" s="140"/>
      <c r="W237" s="140"/>
      <c r="X237" s="140"/>
      <c r="Y237" s="140"/>
      <c r="Z237" s="140"/>
      <c r="AA237" s="140"/>
      <c r="AB237" s="140"/>
      <c r="AC237" s="140"/>
      <c r="AD237" s="140"/>
      <c r="AE237" s="140"/>
      <c r="AF237" s="140"/>
      <c r="AG237" s="140"/>
      <c r="AH237" s="140"/>
      <c r="AI237" s="140"/>
      <c r="AJ237" s="140"/>
      <c r="AK237" s="140"/>
      <c r="AL237" s="140"/>
      <c r="AM237" s="140"/>
      <c r="AN237" s="140"/>
      <c r="AO237" s="140"/>
      <c r="AP237" s="140"/>
      <c r="AQ237" s="140"/>
      <c r="AR237" s="140"/>
      <c r="AS237" s="140"/>
      <c r="AT237" s="140"/>
      <c r="AU237" s="140"/>
      <c r="AV237" s="140"/>
      <c r="AW237" s="140"/>
      <c r="AX237" s="140"/>
      <c r="AY237" s="140"/>
      <c r="AZ237" s="140"/>
      <c r="BA237" s="140"/>
      <c r="BB237" s="140"/>
      <c r="BC237" s="140"/>
      <c r="BD237" s="140"/>
      <c r="BE237" s="140"/>
      <c r="BF237" s="140"/>
      <c r="BG237" s="140"/>
      <c r="BH237" s="140"/>
      <c r="BI237" s="140"/>
      <c r="BJ237" s="140"/>
      <c r="BK237" s="140"/>
      <c r="BL237" s="140"/>
      <c r="BM237" s="140"/>
      <c r="BN237" s="140"/>
      <c r="BO237" s="140"/>
      <c r="BP237" s="140"/>
      <c r="BQ237" s="140"/>
      <c r="BR237" s="140"/>
      <c r="BS237" s="140"/>
      <c r="BT237" s="140"/>
      <c r="BU237" s="140"/>
      <c r="BV237" s="140"/>
      <c r="BW237" s="140"/>
      <c r="BX237" s="140"/>
      <c r="BY237" s="140"/>
      <c r="BZ237" s="140"/>
      <c r="CA237" s="140"/>
      <c r="CB237" s="140"/>
      <c r="CC237" s="140"/>
      <c r="CD237" s="140"/>
      <c r="CE237" s="140"/>
      <c r="CF237" s="140"/>
      <c r="CG237" s="140"/>
      <c r="CH237" s="140"/>
      <c r="CI237" s="140"/>
      <c r="CJ237" s="140"/>
      <c r="CK237" s="140"/>
      <c r="CL237" s="140"/>
      <c r="CM237" s="140"/>
      <c r="CN237" s="140"/>
      <c r="CO237" s="140"/>
      <c r="CP237" s="140"/>
      <c r="CQ237" s="140"/>
      <c r="CR237" s="140"/>
      <c r="CS237" s="140"/>
      <c r="CT237" s="140"/>
      <c r="CU237" s="140"/>
      <c r="CV237" s="140"/>
      <c r="CW237" s="140"/>
    </row>
    <row r="238" spans="1:101" x14ac:dyDescent="0.2">
      <c r="A238" s="29" t="str">
        <f t="shared" ca="1" si="3"/>
        <v>2025-11-17</v>
      </c>
      <c r="B238" s="140">
        <f ca="1">IF(ISNUMBER(MATCH(DATEVALUE($A238),'changes1_based on steps'!B$1:B$400,0)),B$2,)</f>
        <v>0</v>
      </c>
      <c r="C238" s="140">
        <f ca="1">IF(ISNUMBER(MATCH(DATEVALUE($A238),'changes1_based on steps'!C$1:C$400,0)),C$2,)</f>
        <v>0</v>
      </c>
      <c r="D238" s="140">
        <f ca="1">IF(ISNUMBER(MATCH(DATEVALUE($A238),'changes1_based on steps'!D$1:D$400,0)),D$2,)</f>
        <v>0</v>
      </c>
      <c r="E238" s="140">
        <f ca="1">IF(ISNUMBER(MATCH(DATEVALUE($A238),'changes1_based on steps'!E$1:E$400,0)),E$2,)</f>
        <v>0</v>
      </c>
      <c r="F238" s="140">
        <f ca="1">IF(ISNUMBER(MATCH(DATEVALUE($A238),'changes1_based on steps'!F$1:F$400,0)),F$2,)</f>
        <v>0</v>
      </c>
      <c r="G238" s="140">
        <f ca="1">IF(ISNUMBER(MATCH(DATEVALUE($A238),'changes1_based on steps'!G$1:G$400,0)),G$2,)</f>
        <v>0</v>
      </c>
      <c r="H238" s="140">
        <f ca="1">IF(ISNUMBER(MATCH(DATEVALUE($A238),'changes1_based on steps'!H$1:H$400,0)),H$2,)</f>
        <v>0</v>
      </c>
      <c r="I238" s="140">
        <f ca="1">IF(ISNUMBER(MATCH(DATEVALUE($A238),'changes1_based on steps'!I$1:I$400,0)),I$2,)</f>
        <v>0</v>
      </c>
      <c r="J238" s="140">
        <f ca="1">IF(ISNUMBER(MATCH(DATEVALUE($A238),'changes1_based on steps'!J$1:J$400,0)),J$2,)</f>
        <v>0</v>
      </c>
      <c r="K238" s="140">
        <f ca="1">IF(ISNUMBER(MATCH(DATEVALUE($A238),'changes1_based on steps'!K$1:K$400,0)),K$2,)</f>
        <v>0</v>
      </c>
      <c r="L238" s="140">
        <f ca="1">IF(ISNUMBER(MATCH(DATEVALUE($A238),'changes1_based on steps'!L$1:L$400,0)),L$2,)</f>
        <v>0</v>
      </c>
      <c r="M238" s="140">
        <f ca="1">IF(ISNUMBER(MATCH(DATEVALUE($A238),'changes1_based on steps'!M$1:M$400,0)),M$2,)</f>
        <v>0</v>
      </c>
      <c r="N238" s="140">
        <f ca="1">IF(ISNUMBER(MATCH(DATEVALUE($A238),'changes1_based on steps'!N$1:N$400,0)),N$2,)</f>
        <v>0</v>
      </c>
      <c r="O238" s="140">
        <f ca="1">IF(ISNUMBER(MATCH(DATEVALUE($A238),'changes1_based on steps'!O$1:O$400,0)),O$2,)</f>
        <v>0</v>
      </c>
      <c r="P238" s="140">
        <f ca="1">IF(ISNUMBER(MATCH(DATEVALUE($A238),'changes1_based on steps'!P$1:P$400,0)),P$2,)</f>
        <v>0</v>
      </c>
      <c r="Q238" s="140">
        <f ca="1">IF(ISNUMBER(MATCH(DATEVALUE($A238),'changes1_based on steps'!Q$1:Q$400,0)),Q$2,)</f>
        <v>0</v>
      </c>
      <c r="R238" s="140">
        <f ca="1">IF(ISNUMBER(MATCH(DATEVALUE($A238),'changes1_based on steps'!R$1:R$400,0)),R$2,)</f>
        <v>0</v>
      </c>
      <c r="S238" s="140">
        <f ca="1">IF(ISNUMBER(MATCH(DATEVALUE($A238),'changes1_based on steps'!S$1:S$400,0)),S$2,)</f>
        <v>0</v>
      </c>
      <c r="T238" s="140">
        <f ca="1">IF(ISNUMBER(MATCH(DATEVALUE($A238),'changes1_based on steps'!T$1:T$400,0)),T$2,)</f>
        <v>0</v>
      </c>
      <c r="U238" s="140">
        <f ca="1">IF(ISNUMBER(MATCH(DATEVALUE($A238),'changes1_based on steps'!U$1:U$400,0)),U$2,)</f>
        <v>0</v>
      </c>
      <c r="V238" s="140"/>
      <c r="W238" s="140"/>
      <c r="X238" s="140"/>
      <c r="Y238" s="140"/>
      <c r="Z238" s="140"/>
      <c r="AA238" s="140"/>
      <c r="AB238" s="140"/>
      <c r="AC238" s="140"/>
      <c r="AD238" s="140"/>
      <c r="AE238" s="140"/>
      <c r="AF238" s="140"/>
      <c r="AG238" s="140"/>
      <c r="AH238" s="140"/>
      <c r="AI238" s="140"/>
      <c r="AJ238" s="140"/>
      <c r="AK238" s="140"/>
      <c r="AL238" s="140"/>
      <c r="AM238" s="140"/>
      <c r="AN238" s="140"/>
      <c r="AO238" s="140"/>
      <c r="AP238" s="140"/>
      <c r="AQ238" s="140"/>
      <c r="AR238" s="140"/>
      <c r="AS238" s="140"/>
      <c r="AT238" s="140"/>
      <c r="AU238" s="140"/>
      <c r="AV238" s="140"/>
      <c r="AW238" s="140"/>
      <c r="AX238" s="140"/>
      <c r="AY238" s="140"/>
      <c r="AZ238" s="140"/>
      <c r="BA238" s="140"/>
      <c r="BB238" s="140"/>
      <c r="BC238" s="140"/>
      <c r="BD238" s="140"/>
      <c r="BE238" s="140"/>
      <c r="BF238" s="140"/>
      <c r="BG238" s="140"/>
      <c r="BH238" s="140"/>
      <c r="BI238" s="140"/>
      <c r="BJ238" s="140"/>
      <c r="BK238" s="140"/>
      <c r="BL238" s="140"/>
      <c r="BM238" s="140"/>
      <c r="BN238" s="140"/>
      <c r="BO238" s="140"/>
      <c r="BP238" s="140"/>
      <c r="BQ238" s="140"/>
      <c r="BR238" s="140"/>
      <c r="BS238" s="140"/>
      <c r="BT238" s="140"/>
      <c r="BU238" s="140"/>
      <c r="BV238" s="140"/>
      <c r="BW238" s="140"/>
      <c r="BX238" s="140"/>
      <c r="BY238" s="140"/>
      <c r="BZ238" s="140"/>
      <c r="CA238" s="140"/>
      <c r="CB238" s="140"/>
      <c r="CC238" s="140"/>
      <c r="CD238" s="140"/>
      <c r="CE238" s="140"/>
      <c r="CF238" s="140"/>
      <c r="CG238" s="140"/>
      <c r="CH238" s="140"/>
      <c r="CI238" s="140"/>
      <c r="CJ238" s="140"/>
      <c r="CK238" s="140"/>
      <c r="CL238" s="140"/>
      <c r="CM238" s="140"/>
      <c r="CN238" s="140"/>
      <c r="CO238" s="140"/>
      <c r="CP238" s="140"/>
      <c r="CQ238" s="140"/>
      <c r="CR238" s="140"/>
      <c r="CS238" s="140"/>
      <c r="CT238" s="140"/>
      <c r="CU238" s="140"/>
      <c r="CV238" s="140"/>
      <c r="CW238" s="140"/>
    </row>
    <row r="239" spans="1:101" x14ac:dyDescent="0.2">
      <c r="A239" s="29" t="str">
        <f t="shared" ca="1" si="3"/>
        <v>2025-11-18</v>
      </c>
      <c r="B239" s="140">
        <f ca="1">IF(ISNUMBER(MATCH(DATEVALUE($A239),'changes1_based on steps'!B$1:B$400,0)),B$2,)</f>
        <v>0</v>
      </c>
      <c r="C239" s="140">
        <f ca="1">IF(ISNUMBER(MATCH(DATEVALUE($A239),'changes1_based on steps'!C$1:C$400,0)),C$2,)</f>
        <v>0</v>
      </c>
      <c r="D239" s="140">
        <f ca="1">IF(ISNUMBER(MATCH(DATEVALUE($A239),'changes1_based on steps'!D$1:D$400,0)),D$2,)</f>
        <v>0</v>
      </c>
      <c r="E239" s="140">
        <f ca="1">IF(ISNUMBER(MATCH(DATEVALUE($A239),'changes1_based on steps'!E$1:E$400,0)),E$2,)</f>
        <v>0</v>
      </c>
      <c r="F239" s="140">
        <f ca="1">IF(ISNUMBER(MATCH(DATEVALUE($A239),'changes1_based on steps'!F$1:F$400,0)),F$2,)</f>
        <v>0</v>
      </c>
      <c r="G239" s="140">
        <f ca="1">IF(ISNUMBER(MATCH(DATEVALUE($A239),'changes1_based on steps'!G$1:G$400,0)),G$2,)</f>
        <v>0</v>
      </c>
      <c r="H239" s="140">
        <f ca="1">IF(ISNUMBER(MATCH(DATEVALUE($A239),'changes1_based on steps'!H$1:H$400,0)),H$2,)</f>
        <v>0</v>
      </c>
      <c r="I239" s="140">
        <f ca="1">IF(ISNUMBER(MATCH(DATEVALUE($A239),'changes1_based on steps'!I$1:I$400,0)),I$2,)</f>
        <v>0</v>
      </c>
      <c r="J239" s="140">
        <f ca="1">IF(ISNUMBER(MATCH(DATEVALUE($A239),'changes1_based on steps'!J$1:J$400,0)),J$2,)</f>
        <v>0</v>
      </c>
      <c r="K239" s="140">
        <f ca="1">IF(ISNUMBER(MATCH(DATEVALUE($A239),'changes1_based on steps'!K$1:K$400,0)),K$2,)</f>
        <v>0</v>
      </c>
      <c r="L239" s="140">
        <f ca="1">IF(ISNUMBER(MATCH(DATEVALUE($A239),'changes1_based on steps'!L$1:L$400,0)),L$2,)</f>
        <v>0</v>
      </c>
      <c r="M239" s="140">
        <f ca="1">IF(ISNUMBER(MATCH(DATEVALUE($A239),'changes1_based on steps'!M$1:M$400,0)),M$2,)</f>
        <v>0</v>
      </c>
      <c r="N239" s="140">
        <f ca="1">IF(ISNUMBER(MATCH(DATEVALUE($A239),'changes1_based on steps'!N$1:N$400,0)),N$2,)</f>
        <v>0</v>
      </c>
      <c r="O239" s="140">
        <f ca="1">IF(ISNUMBER(MATCH(DATEVALUE($A239),'changes1_based on steps'!O$1:O$400,0)),O$2,)</f>
        <v>0</v>
      </c>
      <c r="P239" s="140">
        <f ca="1">IF(ISNUMBER(MATCH(DATEVALUE($A239),'changes1_based on steps'!P$1:P$400,0)),P$2,)</f>
        <v>0</v>
      </c>
      <c r="Q239" s="140">
        <f ca="1">IF(ISNUMBER(MATCH(DATEVALUE($A239),'changes1_based on steps'!Q$1:Q$400,0)),Q$2,)</f>
        <v>0</v>
      </c>
      <c r="R239" s="140">
        <f ca="1">IF(ISNUMBER(MATCH(DATEVALUE($A239),'changes1_based on steps'!R$1:R$400,0)),R$2,)</f>
        <v>0</v>
      </c>
      <c r="S239" s="140">
        <f ca="1">IF(ISNUMBER(MATCH(DATEVALUE($A239),'changes1_based on steps'!S$1:S$400,0)),S$2,)</f>
        <v>0</v>
      </c>
      <c r="T239" s="140">
        <f ca="1">IF(ISNUMBER(MATCH(DATEVALUE($A239),'changes1_based on steps'!T$1:T$400,0)),T$2,)</f>
        <v>0</v>
      </c>
      <c r="U239" s="140">
        <f ca="1">IF(ISNUMBER(MATCH(DATEVALUE($A239),'changes1_based on steps'!U$1:U$400,0)),U$2,)</f>
        <v>0</v>
      </c>
      <c r="V239" s="140"/>
      <c r="W239" s="140"/>
      <c r="X239" s="140"/>
      <c r="Y239" s="140"/>
      <c r="Z239" s="140"/>
      <c r="AA239" s="140"/>
      <c r="AB239" s="140"/>
      <c r="AC239" s="140"/>
      <c r="AD239" s="140"/>
      <c r="AE239" s="140"/>
      <c r="AF239" s="140"/>
      <c r="AG239" s="140"/>
      <c r="AH239" s="140"/>
      <c r="AI239" s="140"/>
      <c r="AJ239" s="140"/>
      <c r="AK239" s="140"/>
      <c r="AL239" s="140"/>
      <c r="AM239" s="140"/>
      <c r="AN239" s="140"/>
      <c r="AO239" s="140"/>
      <c r="AP239" s="140"/>
      <c r="AQ239" s="140"/>
      <c r="AR239" s="140"/>
      <c r="AS239" s="140"/>
      <c r="AT239" s="140"/>
      <c r="AU239" s="140"/>
      <c r="AV239" s="140"/>
      <c r="AW239" s="140"/>
      <c r="AX239" s="140"/>
      <c r="AY239" s="140"/>
      <c r="AZ239" s="140"/>
      <c r="BA239" s="140"/>
      <c r="BB239" s="140"/>
      <c r="BC239" s="140"/>
      <c r="BD239" s="140"/>
      <c r="BE239" s="140"/>
      <c r="BF239" s="140"/>
      <c r="BG239" s="140"/>
      <c r="BH239" s="140"/>
      <c r="BI239" s="140"/>
      <c r="BJ239" s="140"/>
      <c r="BK239" s="140"/>
      <c r="BL239" s="140"/>
      <c r="BM239" s="140"/>
      <c r="BN239" s="140"/>
      <c r="BO239" s="140"/>
      <c r="BP239" s="140"/>
      <c r="BQ239" s="140"/>
      <c r="BR239" s="140"/>
      <c r="BS239" s="140"/>
      <c r="BT239" s="140"/>
      <c r="BU239" s="140"/>
      <c r="BV239" s="140"/>
      <c r="BW239" s="140"/>
      <c r="BX239" s="140"/>
      <c r="BY239" s="140"/>
      <c r="BZ239" s="140"/>
      <c r="CA239" s="140"/>
      <c r="CB239" s="140"/>
      <c r="CC239" s="140"/>
      <c r="CD239" s="140"/>
      <c r="CE239" s="140"/>
      <c r="CF239" s="140"/>
      <c r="CG239" s="140"/>
      <c r="CH239" s="140"/>
      <c r="CI239" s="140"/>
      <c r="CJ239" s="140"/>
      <c r="CK239" s="140"/>
      <c r="CL239" s="140"/>
      <c r="CM239" s="140"/>
      <c r="CN239" s="140"/>
      <c r="CO239" s="140"/>
      <c r="CP239" s="140"/>
      <c r="CQ239" s="140"/>
      <c r="CR239" s="140"/>
      <c r="CS239" s="140"/>
      <c r="CT239" s="140"/>
      <c r="CU239" s="140"/>
      <c r="CV239" s="140"/>
      <c r="CW239" s="140"/>
    </row>
    <row r="240" spans="1:101" x14ac:dyDescent="0.2">
      <c r="A240" s="29" t="str">
        <f t="shared" ca="1" si="3"/>
        <v>2025-11-19</v>
      </c>
      <c r="B240" s="140">
        <f ca="1">IF(ISNUMBER(MATCH(DATEVALUE($A240),'changes1_based on steps'!B$1:B$400,0)),B$2,)</f>
        <v>0</v>
      </c>
      <c r="C240" s="140">
        <f ca="1">IF(ISNUMBER(MATCH(DATEVALUE($A240),'changes1_based on steps'!C$1:C$400,0)),C$2,)</f>
        <v>0</v>
      </c>
      <c r="D240" s="140">
        <f ca="1">IF(ISNUMBER(MATCH(DATEVALUE($A240),'changes1_based on steps'!D$1:D$400,0)),D$2,)</f>
        <v>0</v>
      </c>
      <c r="E240" s="140">
        <f ca="1">IF(ISNUMBER(MATCH(DATEVALUE($A240),'changes1_based on steps'!E$1:E$400,0)),E$2,)</f>
        <v>0</v>
      </c>
      <c r="F240" s="140">
        <f ca="1">IF(ISNUMBER(MATCH(DATEVALUE($A240),'changes1_based on steps'!F$1:F$400,0)),F$2,)</f>
        <v>0</v>
      </c>
      <c r="G240" s="140">
        <f ca="1">IF(ISNUMBER(MATCH(DATEVALUE($A240),'changes1_based on steps'!G$1:G$400,0)),G$2,)</f>
        <v>0</v>
      </c>
      <c r="H240" s="140">
        <f ca="1">IF(ISNUMBER(MATCH(DATEVALUE($A240),'changes1_based on steps'!H$1:H$400,0)),H$2,)</f>
        <v>0</v>
      </c>
      <c r="I240" s="140">
        <f ca="1">IF(ISNUMBER(MATCH(DATEVALUE($A240),'changes1_based on steps'!I$1:I$400,0)),I$2,)</f>
        <v>0</v>
      </c>
      <c r="J240" s="140">
        <f ca="1">IF(ISNUMBER(MATCH(DATEVALUE($A240),'changes1_based on steps'!J$1:J$400,0)),J$2,)</f>
        <v>0</v>
      </c>
      <c r="K240" s="140">
        <f ca="1">IF(ISNUMBER(MATCH(DATEVALUE($A240),'changes1_based on steps'!K$1:K$400,0)),K$2,)</f>
        <v>0</v>
      </c>
      <c r="L240" s="140">
        <f ca="1">IF(ISNUMBER(MATCH(DATEVALUE($A240),'changes1_based on steps'!L$1:L$400,0)),L$2,)</f>
        <v>0</v>
      </c>
      <c r="M240" s="140">
        <f ca="1">IF(ISNUMBER(MATCH(DATEVALUE($A240),'changes1_based on steps'!M$1:M$400,0)),M$2,)</f>
        <v>0</v>
      </c>
      <c r="N240" s="140">
        <f ca="1">IF(ISNUMBER(MATCH(DATEVALUE($A240),'changes1_based on steps'!N$1:N$400,0)),N$2,)</f>
        <v>0</v>
      </c>
      <c r="O240" s="140">
        <f ca="1">IF(ISNUMBER(MATCH(DATEVALUE($A240),'changes1_based on steps'!O$1:O$400,0)),O$2,)</f>
        <v>0</v>
      </c>
      <c r="P240" s="140">
        <f ca="1">IF(ISNUMBER(MATCH(DATEVALUE($A240),'changes1_based on steps'!P$1:P$400,0)),P$2,)</f>
        <v>0</v>
      </c>
      <c r="Q240" s="140">
        <f ca="1">IF(ISNUMBER(MATCH(DATEVALUE($A240),'changes1_based on steps'!Q$1:Q$400,0)),Q$2,)</f>
        <v>0</v>
      </c>
      <c r="R240" s="140">
        <f ca="1">IF(ISNUMBER(MATCH(DATEVALUE($A240),'changes1_based on steps'!R$1:R$400,0)),R$2,)</f>
        <v>0</v>
      </c>
      <c r="S240" s="140">
        <f ca="1">IF(ISNUMBER(MATCH(DATEVALUE($A240),'changes1_based on steps'!S$1:S$400,0)),S$2,)</f>
        <v>0</v>
      </c>
      <c r="T240" s="140">
        <f ca="1">IF(ISNUMBER(MATCH(DATEVALUE($A240),'changes1_based on steps'!T$1:T$400,0)),T$2,)</f>
        <v>0</v>
      </c>
      <c r="U240" s="140">
        <f ca="1">IF(ISNUMBER(MATCH(DATEVALUE($A240),'changes1_based on steps'!U$1:U$400,0)),U$2,)</f>
        <v>0</v>
      </c>
      <c r="V240" s="140"/>
      <c r="W240" s="140"/>
      <c r="X240" s="140"/>
      <c r="Y240" s="140"/>
      <c r="Z240" s="140"/>
      <c r="AA240" s="140"/>
      <c r="AB240" s="140"/>
      <c r="AC240" s="140"/>
      <c r="AD240" s="140"/>
      <c r="AE240" s="140"/>
      <c r="AF240" s="140"/>
      <c r="AG240" s="140"/>
      <c r="AH240" s="140"/>
      <c r="AI240" s="140"/>
      <c r="AJ240" s="140"/>
      <c r="AK240" s="140"/>
      <c r="AL240" s="140"/>
      <c r="AM240" s="140"/>
      <c r="AN240" s="140"/>
      <c r="AO240" s="140"/>
      <c r="AP240" s="140"/>
      <c r="AQ240" s="140"/>
      <c r="AR240" s="140"/>
      <c r="AS240" s="140"/>
      <c r="AT240" s="140"/>
      <c r="AU240" s="140"/>
      <c r="AV240" s="140"/>
      <c r="AW240" s="140"/>
      <c r="AX240" s="140"/>
      <c r="AY240" s="140"/>
      <c r="AZ240" s="140"/>
      <c r="BA240" s="140"/>
      <c r="BB240" s="140"/>
      <c r="BC240" s="140"/>
      <c r="BD240" s="140"/>
      <c r="BE240" s="140"/>
      <c r="BF240" s="140"/>
      <c r="BG240" s="140"/>
      <c r="BH240" s="140"/>
      <c r="BI240" s="140"/>
      <c r="BJ240" s="140"/>
      <c r="BK240" s="140"/>
      <c r="BL240" s="140"/>
      <c r="BM240" s="140"/>
      <c r="BN240" s="140"/>
      <c r="BO240" s="140"/>
      <c r="BP240" s="140"/>
      <c r="BQ240" s="140"/>
      <c r="BR240" s="140"/>
      <c r="BS240" s="140"/>
      <c r="BT240" s="140"/>
      <c r="BU240" s="140"/>
      <c r="BV240" s="140"/>
      <c r="BW240" s="140"/>
      <c r="BX240" s="140"/>
      <c r="BY240" s="140"/>
      <c r="BZ240" s="140"/>
      <c r="CA240" s="140"/>
      <c r="CB240" s="140"/>
      <c r="CC240" s="140"/>
      <c r="CD240" s="140"/>
      <c r="CE240" s="140"/>
      <c r="CF240" s="140"/>
      <c r="CG240" s="140"/>
      <c r="CH240" s="140"/>
      <c r="CI240" s="140"/>
      <c r="CJ240" s="140"/>
      <c r="CK240" s="140"/>
      <c r="CL240" s="140"/>
      <c r="CM240" s="140"/>
      <c r="CN240" s="140"/>
      <c r="CO240" s="140"/>
      <c r="CP240" s="140"/>
      <c r="CQ240" s="140"/>
      <c r="CR240" s="140"/>
      <c r="CS240" s="140"/>
      <c r="CT240" s="140"/>
      <c r="CU240" s="140"/>
      <c r="CV240" s="140"/>
      <c r="CW240" s="140"/>
    </row>
    <row r="241" spans="1:101" x14ac:dyDescent="0.2">
      <c r="A241" s="29" t="str">
        <f t="shared" ca="1" si="3"/>
        <v>2025-11-20</v>
      </c>
      <c r="B241" s="140">
        <f ca="1">IF(ISNUMBER(MATCH(DATEVALUE($A241),'changes1_based on steps'!B$1:B$400,0)),B$2,)</f>
        <v>0</v>
      </c>
      <c r="C241" s="140">
        <f ca="1">IF(ISNUMBER(MATCH(DATEVALUE($A241),'changes1_based on steps'!C$1:C$400,0)),C$2,)</f>
        <v>0</v>
      </c>
      <c r="D241" s="140">
        <f ca="1">IF(ISNUMBER(MATCH(DATEVALUE($A241),'changes1_based on steps'!D$1:D$400,0)),D$2,)</f>
        <v>0</v>
      </c>
      <c r="E241" s="140">
        <f ca="1">IF(ISNUMBER(MATCH(DATEVALUE($A241),'changes1_based on steps'!E$1:E$400,0)),E$2,)</f>
        <v>0</v>
      </c>
      <c r="F241" s="140">
        <f ca="1">IF(ISNUMBER(MATCH(DATEVALUE($A241),'changes1_based on steps'!F$1:F$400,0)),F$2,)</f>
        <v>0</v>
      </c>
      <c r="G241" s="140">
        <f ca="1">IF(ISNUMBER(MATCH(DATEVALUE($A241),'changes1_based on steps'!G$1:G$400,0)),G$2,)</f>
        <v>0</v>
      </c>
      <c r="H241" s="140">
        <f ca="1">IF(ISNUMBER(MATCH(DATEVALUE($A241),'changes1_based on steps'!H$1:H$400,0)),H$2,)</f>
        <v>0</v>
      </c>
      <c r="I241" s="140">
        <f ca="1">IF(ISNUMBER(MATCH(DATEVALUE($A241),'changes1_based on steps'!I$1:I$400,0)),I$2,)</f>
        <v>0</v>
      </c>
      <c r="J241" s="140">
        <f ca="1">IF(ISNUMBER(MATCH(DATEVALUE($A241),'changes1_based on steps'!J$1:J$400,0)),J$2,)</f>
        <v>0</v>
      </c>
      <c r="K241" s="140">
        <f ca="1">IF(ISNUMBER(MATCH(DATEVALUE($A241),'changes1_based on steps'!K$1:K$400,0)),K$2,)</f>
        <v>0</v>
      </c>
      <c r="L241" s="140">
        <f ca="1">IF(ISNUMBER(MATCH(DATEVALUE($A241),'changes1_based on steps'!L$1:L$400,0)),L$2,)</f>
        <v>0</v>
      </c>
      <c r="M241" s="140">
        <f ca="1">IF(ISNUMBER(MATCH(DATEVALUE($A241),'changes1_based on steps'!M$1:M$400,0)),M$2,)</f>
        <v>0</v>
      </c>
      <c r="N241" s="140">
        <f ca="1">IF(ISNUMBER(MATCH(DATEVALUE($A241),'changes1_based on steps'!N$1:N$400,0)),N$2,)</f>
        <v>0</v>
      </c>
      <c r="O241" s="140">
        <f ca="1">IF(ISNUMBER(MATCH(DATEVALUE($A241),'changes1_based on steps'!O$1:O$400,0)),O$2,)</f>
        <v>0</v>
      </c>
      <c r="P241" s="140">
        <f ca="1">IF(ISNUMBER(MATCH(DATEVALUE($A241),'changes1_based on steps'!P$1:P$400,0)),P$2,)</f>
        <v>0</v>
      </c>
      <c r="Q241" s="140">
        <f ca="1">IF(ISNUMBER(MATCH(DATEVALUE($A241),'changes1_based on steps'!Q$1:Q$400,0)),Q$2,)</f>
        <v>0</v>
      </c>
      <c r="R241" s="140">
        <f ca="1">IF(ISNUMBER(MATCH(DATEVALUE($A241),'changes1_based on steps'!R$1:R$400,0)),R$2,)</f>
        <v>0</v>
      </c>
      <c r="S241" s="140">
        <f ca="1">IF(ISNUMBER(MATCH(DATEVALUE($A241),'changes1_based on steps'!S$1:S$400,0)),S$2,)</f>
        <v>0</v>
      </c>
      <c r="T241" s="140">
        <f ca="1">IF(ISNUMBER(MATCH(DATEVALUE($A241),'changes1_based on steps'!T$1:T$400,0)),T$2,)</f>
        <v>0</v>
      </c>
      <c r="U241" s="140">
        <f ca="1">IF(ISNUMBER(MATCH(DATEVALUE($A241),'changes1_based on steps'!U$1:U$400,0)),U$2,)</f>
        <v>0</v>
      </c>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c r="AT241" s="140"/>
      <c r="AU241" s="140"/>
      <c r="AV241" s="140"/>
      <c r="AW241" s="140"/>
      <c r="AX241" s="140"/>
      <c r="AY241" s="140"/>
      <c r="AZ241" s="140"/>
      <c r="BA241" s="140"/>
      <c r="BB241" s="140"/>
      <c r="BC241" s="140"/>
      <c r="BD241" s="140"/>
      <c r="BE241" s="140"/>
      <c r="BF241" s="140"/>
      <c r="BG241" s="140"/>
      <c r="BH241" s="140"/>
      <c r="BI241" s="140"/>
      <c r="BJ241" s="140"/>
      <c r="BK241" s="140"/>
      <c r="BL241" s="140"/>
      <c r="BM241" s="140"/>
      <c r="BN241" s="140"/>
      <c r="BO241" s="140"/>
      <c r="BP241" s="140"/>
      <c r="BQ241" s="140"/>
      <c r="BR241" s="140"/>
      <c r="BS241" s="140"/>
      <c r="BT241" s="140"/>
      <c r="BU241" s="140"/>
      <c r="BV241" s="140"/>
      <c r="BW241" s="140"/>
      <c r="BX241" s="140"/>
      <c r="BY241" s="140"/>
      <c r="BZ241" s="140"/>
      <c r="CA241" s="140"/>
      <c r="CB241" s="140"/>
      <c r="CC241" s="140"/>
      <c r="CD241" s="140"/>
      <c r="CE241" s="140"/>
      <c r="CF241" s="140"/>
      <c r="CG241" s="140"/>
      <c r="CH241" s="140"/>
      <c r="CI241" s="140"/>
      <c r="CJ241" s="140"/>
      <c r="CK241" s="140"/>
      <c r="CL241" s="140"/>
      <c r="CM241" s="140"/>
      <c r="CN241" s="140"/>
      <c r="CO241" s="140"/>
      <c r="CP241" s="140"/>
      <c r="CQ241" s="140"/>
      <c r="CR241" s="140"/>
      <c r="CS241" s="140"/>
      <c r="CT241" s="140"/>
      <c r="CU241" s="140"/>
      <c r="CV241" s="140"/>
      <c r="CW241" s="140"/>
    </row>
    <row r="242" spans="1:101" x14ac:dyDescent="0.2">
      <c r="A242" s="29" t="str">
        <f t="shared" ca="1" si="3"/>
        <v>2025-11-21</v>
      </c>
      <c r="B242" s="140">
        <f ca="1">IF(ISNUMBER(MATCH(DATEVALUE($A242),'changes1_based on steps'!B$1:B$400,0)),B$2,)</f>
        <v>0</v>
      </c>
      <c r="C242" s="140">
        <f ca="1">IF(ISNUMBER(MATCH(DATEVALUE($A242),'changes1_based on steps'!C$1:C$400,0)),C$2,)</f>
        <v>0</v>
      </c>
      <c r="D242" s="140">
        <f ca="1">IF(ISNUMBER(MATCH(DATEVALUE($A242),'changes1_based on steps'!D$1:D$400,0)),D$2,)</f>
        <v>0</v>
      </c>
      <c r="E242" s="140">
        <f ca="1">IF(ISNUMBER(MATCH(DATEVALUE($A242),'changes1_based on steps'!E$1:E$400,0)),E$2,)</f>
        <v>0</v>
      </c>
      <c r="F242" s="140">
        <f ca="1">IF(ISNUMBER(MATCH(DATEVALUE($A242),'changes1_based on steps'!F$1:F$400,0)),F$2,)</f>
        <v>0</v>
      </c>
      <c r="G242" s="140">
        <f ca="1">IF(ISNUMBER(MATCH(DATEVALUE($A242),'changes1_based on steps'!G$1:G$400,0)),G$2,)</f>
        <v>0</v>
      </c>
      <c r="H242" s="140">
        <f ca="1">IF(ISNUMBER(MATCH(DATEVALUE($A242),'changes1_based on steps'!H$1:H$400,0)),H$2,)</f>
        <v>0</v>
      </c>
      <c r="I242" s="140">
        <f ca="1">IF(ISNUMBER(MATCH(DATEVALUE($A242),'changes1_based on steps'!I$1:I$400,0)),I$2,)</f>
        <v>0</v>
      </c>
      <c r="J242" s="140">
        <f ca="1">IF(ISNUMBER(MATCH(DATEVALUE($A242),'changes1_based on steps'!J$1:J$400,0)),J$2,)</f>
        <v>0</v>
      </c>
      <c r="K242" s="140">
        <f ca="1">IF(ISNUMBER(MATCH(DATEVALUE($A242),'changes1_based on steps'!K$1:K$400,0)),K$2,)</f>
        <v>0</v>
      </c>
      <c r="L242" s="140">
        <f ca="1">IF(ISNUMBER(MATCH(DATEVALUE($A242),'changes1_based on steps'!L$1:L$400,0)),L$2,)</f>
        <v>0</v>
      </c>
      <c r="M242" s="140">
        <f ca="1">IF(ISNUMBER(MATCH(DATEVALUE($A242),'changes1_based on steps'!M$1:M$400,0)),M$2,)</f>
        <v>0</v>
      </c>
      <c r="N242" s="140">
        <f ca="1">IF(ISNUMBER(MATCH(DATEVALUE($A242),'changes1_based on steps'!N$1:N$400,0)),N$2,)</f>
        <v>0</v>
      </c>
      <c r="O242" s="140">
        <f ca="1">IF(ISNUMBER(MATCH(DATEVALUE($A242),'changes1_based on steps'!O$1:O$400,0)),O$2,)</f>
        <v>0</v>
      </c>
      <c r="P242" s="140">
        <f ca="1">IF(ISNUMBER(MATCH(DATEVALUE($A242),'changes1_based on steps'!P$1:P$400,0)),P$2,)</f>
        <v>0</v>
      </c>
      <c r="Q242" s="140">
        <f ca="1">IF(ISNUMBER(MATCH(DATEVALUE($A242),'changes1_based on steps'!Q$1:Q$400,0)),Q$2,)</f>
        <v>0</v>
      </c>
      <c r="R242" s="140">
        <f ca="1">IF(ISNUMBER(MATCH(DATEVALUE($A242),'changes1_based on steps'!R$1:R$400,0)),R$2,)</f>
        <v>0</v>
      </c>
      <c r="S242" s="140">
        <f ca="1">IF(ISNUMBER(MATCH(DATEVALUE($A242),'changes1_based on steps'!S$1:S$400,0)),S$2,)</f>
        <v>0</v>
      </c>
      <c r="T242" s="140">
        <f ca="1">IF(ISNUMBER(MATCH(DATEVALUE($A242),'changes1_based on steps'!T$1:T$400,0)),T$2,)</f>
        <v>0</v>
      </c>
      <c r="U242" s="140">
        <f ca="1">IF(ISNUMBER(MATCH(DATEVALUE($A242),'changes1_based on steps'!U$1:U$400,0)),U$2,)</f>
        <v>0</v>
      </c>
      <c r="V242" s="140"/>
      <c r="W242" s="140"/>
      <c r="X242" s="140"/>
      <c r="Y242" s="140"/>
      <c r="Z242" s="140"/>
      <c r="AA242" s="140"/>
      <c r="AB242" s="140"/>
      <c r="AC242" s="140"/>
      <c r="AD242" s="140"/>
      <c r="AE242" s="140"/>
      <c r="AF242" s="140"/>
      <c r="AG242" s="140"/>
      <c r="AH242" s="140"/>
      <c r="AI242" s="140"/>
      <c r="AJ242" s="140"/>
      <c r="AK242" s="140"/>
      <c r="AL242" s="140"/>
      <c r="AM242" s="140"/>
      <c r="AN242" s="140"/>
      <c r="AO242" s="140"/>
      <c r="AP242" s="140"/>
      <c r="AQ242" s="140"/>
      <c r="AR242" s="140"/>
      <c r="AS242" s="140"/>
      <c r="AT242" s="140"/>
      <c r="AU242" s="140"/>
      <c r="AV242" s="140"/>
      <c r="AW242" s="140"/>
      <c r="AX242" s="140"/>
      <c r="AY242" s="140"/>
      <c r="AZ242" s="140"/>
      <c r="BA242" s="140"/>
      <c r="BB242" s="140"/>
      <c r="BC242" s="140"/>
      <c r="BD242" s="140"/>
      <c r="BE242" s="140"/>
      <c r="BF242" s="140"/>
      <c r="BG242" s="140"/>
      <c r="BH242" s="140"/>
      <c r="BI242" s="140"/>
      <c r="BJ242" s="140"/>
      <c r="BK242" s="140"/>
      <c r="BL242" s="140"/>
      <c r="BM242" s="140"/>
      <c r="BN242" s="140"/>
      <c r="BO242" s="140"/>
      <c r="BP242" s="140"/>
      <c r="BQ242" s="140"/>
      <c r="BR242" s="140"/>
      <c r="BS242" s="140"/>
      <c r="BT242" s="140"/>
      <c r="BU242" s="140"/>
      <c r="BV242" s="140"/>
      <c r="BW242" s="140"/>
      <c r="BX242" s="140"/>
      <c r="BY242" s="140"/>
      <c r="BZ242" s="140"/>
      <c r="CA242" s="140"/>
      <c r="CB242" s="140"/>
      <c r="CC242" s="140"/>
      <c r="CD242" s="140"/>
      <c r="CE242" s="140"/>
      <c r="CF242" s="140"/>
      <c r="CG242" s="140"/>
      <c r="CH242" s="140"/>
      <c r="CI242" s="140"/>
      <c r="CJ242" s="140"/>
      <c r="CK242" s="140"/>
      <c r="CL242" s="140"/>
      <c r="CM242" s="140"/>
      <c r="CN242" s="140"/>
      <c r="CO242" s="140"/>
      <c r="CP242" s="140"/>
      <c r="CQ242" s="140"/>
      <c r="CR242" s="140"/>
      <c r="CS242" s="140"/>
      <c r="CT242" s="140"/>
      <c r="CU242" s="140"/>
      <c r="CV242" s="140"/>
      <c r="CW242" s="140"/>
    </row>
    <row r="243" spans="1:101" x14ac:dyDescent="0.2">
      <c r="A243" s="29" t="str">
        <f t="shared" ca="1" si="3"/>
        <v>2025-11-22</v>
      </c>
      <c r="B243" s="140">
        <f ca="1">IF(ISNUMBER(MATCH(DATEVALUE($A243),'changes1_based on steps'!B$1:B$400,0)),B$2,)</f>
        <v>0</v>
      </c>
      <c r="C243" s="140">
        <f ca="1">IF(ISNUMBER(MATCH(DATEVALUE($A243),'changes1_based on steps'!C$1:C$400,0)),C$2,)</f>
        <v>0</v>
      </c>
      <c r="D243" s="140">
        <f ca="1">IF(ISNUMBER(MATCH(DATEVALUE($A243),'changes1_based on steps'!D$1:D$400,0)),D$2,)</f>
        <v>0</v>
      </c>
      <c r="E243" s="140">
        <f ca="1">IF(ISNUMBER(MATCH(DATEVALUE($A243),'changes1_based on steps'!E$1:E$400,0)),E$2,)</f>
        <v>0</v>
      </c>
      <c r="F243" s="140">
        <f ca="1">IF(ISNUMBER(MATCH(DATEVALUE($A243),'changes1_based on steps'!F$1:F$400,0)),F$2,)</f>
        <v>0</v>
      </c>
      <c r="G243" s="140">
        <f ca="1">IF(ISNUMBER(MATCH(DATEVALUE($A243),'changes1_based on steps'!G$1:G$400,0)),G$2,)</f>
        <v>0</v>
      </c>
      <c r="H243" s="140">
        <f ca="1">IF(ISNUMBER(MATCH(DATEVALUE($A243),'changes1_based on steps'!H$1:H$400,0)),H$2,)</f>
        <v>0</v>
      </c>
      <c r="I243" s="140">
        <f ca="1">IF(ISNUMBER(MATCH(DATEVALUE($A243),'changes1_based on steps'!I$1:I$400,0)),I$2,)</f>
        <v>0</v>
      </c>
      <c r="J243" s="140">
        <f ca="1">IF(ISNUMBER(MATCH(DATEVALUE($A243),'changes1_based on steps'!J$1:J$400,0)),J$2,)</f>
        <v>0</v>
      </c>
      <c r="K243" s="140">
        <f ca="1">IF(ISNUMBER(MATCH(DATEVALUE($A243),'changes1_based on steps'!K$1:K$400,0)),K$2,)</f>
        <v>0</v>
      </c>
      <c r="L243" s="140">
        <f ca="1">IF(ISNUMBER(MATCH(DATEVALUE($A243),'changes1_based on steps'!L$1:L$400,0)),L$2,)</f>
        <v>0</v>
      </c>
      <c r="M243" s="140">
        <f ca="1">IF(ISNUMBER(MATCH(DATEVALUE($A243),'changes1_based on steps'!M$1:M$400,0)),M$2,)</f>
        <v>0</v>
      </c>
      <c r="N243" s="140">
        <f ca="1">IF(ISNUMBER(MATCH(DATEVALUE($A243),'changes1_based on steps'!N$1:N$400,0)),N$2,)</f>
        <v>0</v>
      </c>
      <c r="O243" s="140">
        <f ca="1">IF(ISNUMBER(MATCH(DATEVALUE($A243),'changes1_based on steps'!O$1:O$400,0)),O$2,)</f>
        <v>0</v>
      </c>
      <c r="P243" s="140">
        <f ca="1">IF(ISNUMBER(MATCH(DATEVALUE($A243),'changes1_based on steps'!P$1:P$400,0)),P$2,)</f>
        <v>0</v>
      </c>
      <c r="Q243" s="140">
        <f ca="1">IF(ISNUMBER(MATCH(DATEVALUE($A243),'changes1_based on steps'!Q$1:Q$400,0)),Q$2,)</f>
        <v>0</v>
      </c>
      <c r="R243" s="140">
        <f ca="1">IF(ISNUMBER(MATCH(DATEVALUE($A243),'changes1_based on steps'!R$1:R$400,0)),R$2,)</f>
        <v>0</v>
      </c>
      <c r="S243" s="140">
        <f ca="1">IF(ISNUMBER(MATCH(DATEVALUE($A243),'changes1_based on steps'!S$1:S$400,0)),S$2,)</f>
        <v>0</v>
      </c>
      <c r="T243" s="140">
        <f ca="1">IF(ISNUMBER(MATCH(DATEVALUE($A243),'changes1_based on steps'!T$1:T$400,0)),T$2,)</f>
        <v>0</v>
      </c>
      <c r="U243" s="140">
        <f ca="1">IF(ISNUMBER(MATCH(DATEVALUE($A243),'changes1_based on steps'!U$1:U$400,0)),U$2,)</f>
        <v>0</v>
      </c>
      <c r="V243" s="140"/>
      <c r="W243" s="140"/>
      <c r="X243" s="140"/>
      <c r="Y243" s="140"/>
      <c r="Z243" s="140"/>
      <c r="AA243" s="140"/>
      <c r="AB243" s="140"/>
      <c r="AC243" s="140"/>
      <c r="AD243" s="140"/>
      <c r="AE243" s="140"/>
      <c r="AF243" s="140"/>
      <c r="AG243" s="140"/>
      <c r="AH243" s="140"/>
      <c r="AI243" s="140"/>
      <c r="AJ243" s="140"/>
      <c r="AK243" s="140"/>
      <c r="AL243" s="140"/>
      <c r="AM243" s="140"/>
      <c r="AN243" s="140"/>
      <c r="AO243" s="140"/>
      <c r="AP243" s="140"/>
      <c r="AQ243" s="140"/>
      <c r="AR243" s="140"/>
      <c r="AS243" s="140"/>
      <c r="AT243" s="140"/>
      <c r="AU243" s="140"/>
      <c r="AV243" s="140"/>
      <c r="AW243" s="140"/>
      <c r="AX243" s="140"/>
      <c r="AY243" s="140"/>
      <c r="AZ243" s="140"/>
      <c r="BA243" s="140"/>
      <c r="BB243" s="140"/>
      <c r="BC243" s="140"/>
      <c r="BD243" s="140"/>
      <c r="BE243" s="140"/>
      <c r="BF243" s="140"/>
      <c r="BG243" s="140"/>
      <c r="BH243" s="140"/>
      <c r="BI243" s="140"/>
      <c r="BJ243" s="140"/>
      <c r="BK243" s="140"/>
      <c r="BL243" s="140"/>
      <c r="BM243" s="140"/>
      <c r="BN243" s="140"/>
      <c r="BO243" s="140"/>
      <c r="BP243" s="140"/>
      <c r="BQ243" s="140"/>
      <c r="BR243" s="140"/>
      <c r="BS243" s="140"/>
      <c r="BT243" s="140"/>
      <c r="BU243" s="140"/>
      <c r="BV243" s="140"/>
      <c r="BW243" s="140"/>
      <c r="BX243" s="140"/>
      <c r="BY243" s="140"/>
      <c r="BZ243" s="140"/>
      <c r="CA243" s="140"/>
      <c r="CB243" s="140"/>
      <c r="CC243" s="140"/>
      <c r="CD243" s="140"/>
      <c r="CE243" s="140"/>
      <c r="CF243" s="140"/>
      <c r="CG243" s="140"/>
      <c r="CH243" s="140"/>
      <c r="CI243" s="140"/>
      <c r="CJ243" s="140"/>
      <c r="CK243" s="140"/>
      <c r="CL243" s="140"/>
      <c r="CM243" s="140"/>
      <c r="CN243" s="140"/>
      <c r="CO243" s="140"/>
      <c r="CP243" s="140"/>
      <c r="CQ243" s="140"/>
      <c r="CR243" s="140"/>
      <c r="CS243" s="140"/>
      <c r="CT243" s="140"/>
      <c r="CU243" s="140"/>
      <c r="CV243" s="140"/>
      <c r="CW243" s="140"/>
    </row>
    <row r="244" spans="1:101" x14ac:dyDescent="0.2">
      <c r="A244" s="29" t="str">
        <f t="shared" ca="1" si="3"/>
        <v>2025-11-23</v>
      </c>
      <c r="B244" s="140">
        <f ca="1">IF(ISNUMBER(MATCH(DATEVALUE($A244),'changes1_based on steps'!B$1:B$400,0)),B$2,)</f>
        <v>0</v>
      </c>
      <c r="C244" s="140">
        <f ca="1">IF(ISNUMBER(MATCH(DATEVALUE($A244),'changes1_based on steps'!C$1:C$400,0)),C$2,)</f>
        <v>0</v>
      </c>
      <c r="D244" s="140">
        <f ca="1">IF(ISNUMBER(MATCH(DATEVALUE($A244),'changes1_based on steps'!D$1:D$400,0)),D$2,)</f>
        <v>0</v>
      </c>
      <c r="E244" s="140">
        <f ca="1">IF(ISNUMBER(MATCH(DATEVALUE($A244),'changes1_based on steps'!E$1:E$400,0)),E$2,)</f>
        <v>0</v>
      </c>
      <c r="F244" s="140">
        <f ca="1">IF(ISNUMBER(MATCH(DATEVALUE($A244),'changes1_based on steps'!F$1:F$400,0)),F$2,)</f>
        <v>0</v>
      </c>
      <c r="G244" s="140">
        <f ca="1">IF(ISNUMBER(MATCH(DATEVALUE($A244),'changes1_based on steps'!G$1:G$400,0)),G$2,)</f>
        <v>0</v>
      </c>
      <c r="H244" s="140">
        <f ca="1">IF(ISNUMBER(MATCH(DATEVALUE($A244),'changes1_based on steps'!H$1:H$400,0)),H$2,)</f>
        <v>0</v>
      </c>
      <c r="I244" s="140">
        <f ca="1">IF(ISNUMBER(MATCH(DATEVALUE($A244),'changes1_based on steps'!I$1:I$400,0)),I$2,)</f>
        <v>0</v>
      </c>
      <c r="J244" s="140">
        <f ca="1">IF(ISNUMBER(MATCH(DATEVALUE($A244),'changes1_based on steps'!J$1:J$400,0)),J$2,)</f>
        <v>0</v>
      </c>
      <c r="K244" s="140">
        <f ca="1">IF(ISNUMBER(MATCH(DATEVALUE($A244),'changes1_based on steps'!K$1:K$400,0)),K$2,)</f>
        <v>0</v>
      </c>
      <c r="L244" s="140">
        <f ca="1">IF(ISNUMBER(MATCH(DATEVALUE($A244),'changes1_based on steps'!L$1:L$400,0)),L$2,)</f>
        <v>0</v>
      </c>
      <c r="M244" s="140">
        <f ca="1">IF(ISNUMBER(MATCH(DATEVALUE($A244),'changes1_based on steps'!M$1:M$400,0)),M$2,)</f>
        <v>0</v>
      </c>
      <c r="N244" s="140">
        <f ca="1">IF(ISNUMBER(MATCH(DATEVALUE($A244),'changes1_based on steps'!N$1:N$400,0)),N$2,)</f>
        <v>0</v>
      </c>
      <c r="O244" s="140">
        <f ca="1">IF(ISNUMBER(MATCH(DATEVALUE($A244),'changes1_based on steps'!O$1:O$400,0)),O$2,)</f>
        <v>0</v>
      </c>
      <c r="P244" s="140">
        <f ca="1">IF(ISNUMBER(MATCH(DATEVALUE($A244),'changes1_based on steps'!P$1:P$400,0)),P$2,)</f>
        <v>0</v>
      </c>
      <c r="Q244" s="140">
        <f ca="1">IF(ISNUMBER(MATCH(DATEVALUE($A244),'changes1_based on steps'!Q$1:Q$400,0)),Q$2,)</f>
        <v>0</v>
      </c>
      <c r="R244" s="140">
        <f ca="1">IF(ISNUMBER(MATCH(DATEVALUE($A244),'changes1_based on steps'!R$1:R$400,0)),R$2,)</f>
        <v>0</v>
      </c>
      <c r="S244" s="140">
        <f ca="1">IF(ISNUMBER(MATCH(DATEVALUE($A244),'changes1_based on steps'!S$1:S$400,0)),S$2,)</f>
        <v>0</v>
      </c>
      <c r="T244" s="140">
        <f ca="1">IF(ISNUMBER(MATCH(DATEVALUE($A244),'changes1_based on steps'!T$1:T$400,0)),T$2,)</f>
        <v>0</v>
      </c>
      <c r="U244" s="140">
        <f ca="1">IF(ISNUMBER(MATCH(DATEVALUE($A244),'changes1_based on steps'!U$1:U$400,0)),U$2,)</f>
        <v>0</v>
      </c>
      <c r="V244" s="140"/>
      <c r="W244" s="140"/>
      <c r="X244" s="140"/>
      <c r="Y244" s="140"/>
      <c r="Z244" s="140"/>
      <c r="AA244" s="140"/>
      <c r="AB244" s="140"/>
      <c r="AC244" s="140"/>
      <c r="AD244" s="140"/>
      <c r="AE244" s="140"/>
      <c r="AF244" s="140"/>
      <c r="AG244" s="140"/>
      <c r="AH244" s="140"/>
      <c r="AI244" s="140"/>
      <c r="AJ244" s="140"/>
      <c r="AK244" s="140"/>
      <c r="AL244" s="140"/>
      <c r="AM244" s="140"/>
      <c r="AN244" s="140"/>
      <c r="AO244" s="140"/>
      <c r="AP244" s="140"/>
      <c r="AQ244" s="140"/>
      <c r="AR244" s="140"/>
      <c r="AS244" s="140"/>
      <c r="AT244" s="140"/>
      <c r="AU244" s="140"/>
      <c r="AV244" s="140"/>
      <c r="AW244" s="140"/>
      <c r="AX244" s="140"/>
      <c r="AY244" s="140"/>
      <c r="AZ244" s="140"/>
      <c r="BA244" s="140"/>
      <c r="BB244" s="140"/>
      <c r="BC244" s="140"/>
      <c r="BD244" s="140"/>
      <c r="BE244" s="140"/>
      <c r="BF244" s="140"/>
      <c r="BG244" s="140"/>
      <c r="BH244" s="140"/>
      <c r="BI244" s="140"/>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row>
    <row r="245" spans="1:101" x14ac:dyDescent="0.2">
      <c r="A245" s="29" t="str">
        <f t="shared" ca="1" si="3"/>
        <v>2025-11-24</v>
      </c>
      <c r="B245" s="140">
        <f ca="1">IF(ISNUMBER(MATCH(DATEVALUE($A245),'changes1_based on steps'!B$1:B$400,0)),B$2,)</f>
        <v>0</v>
      </c>
      <c r="C245" s="140">
        <f ca="1">IF(ISNUMBER(MATCH(DATEVALUE($A245),'changes1_based on steps'!C$1:C$400,0)),C$2,)</f>
        <v>0</v>
      </c>
      <c r="D245" s="140">
        <f ca="1">IF(ISNUMBER(MATCH(DATEVALUE($A245),'changes1_based on steps'!D$1:D$400,0)),D$2,)</f>
        <v>0</v>
      </c>
      <c r="E245" s="140">
        <f ca="1">IF(ISNUMBER(MATCH(DATEVALUE($A245),'changes1_based on steps'!E$1:E$400,0)),E$2,)</f>
        <v>0</v>
      </c>
      <c r="F245" s="140">
        <f ca="1">IF(ISNUMBER(MATCH(DATEVALUE($A245),'changes1_based on steps'!F$1:F$400,0)),F$2,)</f>
        <v>0</v>
      </c>
      <c r="G245" s="140">
        <f ca="1">IF(ISNUMBER(MATCH(DATEVALUE($A245),'changes1_based on steps'!G$1:G$400,0)),G$2,)</f>
        <v>0</v>
      </c>
      <c r="H245" s="140">
        <f ca="1">IF(ISNUMBER(MATCH(DATEVALUE($A245),'changes1_based on steps'!H$1:H$400,0)),H$2,)</f>
        <v>0</v>
      </c>
      <c r="I245" s="140">
        <f ca="1">IF(ISNUMBER(MATCH(DATEVALUE($A245),'changes1_based on steps'!I$1:I$400,0)),I$2,)</f>
        <v>0</v>
      </c>
      <c r="J245" s="140">
        <f ca="1">IF(ISNUMBER(MATCH(DATEVALUE($A245),'changes1_based on steps'!J$1:J$400,0)),J$2,)</f>
        <v>0</v>
      </c>
      <c r="K245" s="140">
        <f ca="1">IF(ISNUMBER(MATCH(DATEVALUE($A245),'changes1_based on steps'!K$1:K$400,0)),K$2,)</f>
        <v>0</v>
      </c>
      <c r="L245" s="140">
        <f ca="1">IF(ISNUMBER(MATCH(DATEVALUE($A245),'changes1_based on steps'!L$1:L$400,0)),L$2,)</f>
        <v>0</v>
      </c>
      <c r="M245" s="140">
        <f ca="1">IF(ISNUMBER(MATCH(DATEVALUE($A245),'changes1_based on steps'!M$1:M$400,0)),M$2,)</f>
        <v>0</v>
      </c>
      <c r="N245" s="140">
        <f ca="1">IF(ISNUMBER(MATCH(DATEVALUE($A245),'changes1_based on steps'!N$1:N$400,0)),N$2,)</f>
        <v>0</v>
      </c>
      <c r="O245" s="140">
        <f ca="1">IF(ISNUMBER(MATCH(DATEVALUE($A245),'changes1_based on steps'!O$1:O$400,0)),O$2,)</f>
        <v>0</v>
      </c>
      <c r="P245" s="140">
        <f ca="1">IF(ISNUMBER(MATCH(DATEVALUE($A245),'changes1_based on steps'!P$1:P$400,0)),P$2,)</f>
        <v>0</v>
      </c>
      <c r="Q245" s="140">
        <f ca="1">IF(ISNUMBER(MATCH(DATEVALUE($A245),'changes1_based on steps'!Q$1:Q$400,0)),Q$2,)</f>
        <v>0</v>
      </c>
      <c r="R245" s="140">
        <f ca="1">IF(ISNUMBER(MATCH(DATEVALUE($A245),'changes1_based on steps'!R$1:R$400,0)),R$2,)</f>
        <v>0</v>
      </c>
      <c r="S245" s="140">
        <f ca="1">IF(ISNUMBER(MATCH(DATEVALUE($A245),'changes1_based on steps'!S$1:S$400,0)),S$2,)</f>
        <v>0</v>
      </c>
      <c r="T245" s="140">
        <f ca="1">IF(ISNUMBER(MATCH(DATEVALUE($A245),'changes1_based on steps'!T$1:T$400,0)),T$2,)</f>
        <v>0</v>
      </c>
      <c r="U245" s="140">
        <f ca="1">IF(ISNUMBER(MATCH(DATEVALUE($A245),'changes1_based on steps'!U$1:U$400,0)),U$2,)</f>
        <v>0</v>
      </c>
      <c r="V245" s="140"/>
      <c r="W245" s="140"/>
      <c r="X245" s="140"/>
      <c r="Y245" s="140"/>
      <c r="Z245" s="140"/>
      <c r="AA245" s="140"/>
      <c r="AB245" s="140"/>
      <c r="AC245" s="140"/>
      <c r="AD245" s="140"/>
      <c r="AE245" s="140"/>
      <c r="AF245" s="140"/>
      <c r="AG245" s="140"/>
      <c r="AH245" s="140"/>
      <c r="AI245" s="140"/>
      <c r="AJ245" s="140"/>
      <c r="AK245" s="140"/>
      <c r="AL245" s="140"/>
      <c r="AM245" s="140"/>
      <c r="AN245" s="140"/>
      <c r="AO245" s="140"/>
      <c r="AP245" s="140"/>
      <c r="AQ245" s="140"/>
      <c r="AR245" s="140"/>
      <c r="AS245" s="140"/>
      <c r="AT245" s="140"/>
      <c r="AU245" s="140"/>
      <c r="AV245" s="140"/>
      <c r="AW245" s="140"/>
      <c r="AX245" s="140"/>
      <c r="AY245" s="140"/>
      <c r="AZ245" s="140"/>
      <c r="BA245" s="140"/>
      <c r="BB245" s="140"/>
      <c r="BC245" s="140"/>
      <c r="BD245" s="140"/>
      <c r="BE245" s="140"/>
      <c r="BF245" s="140"/>
      <c r="BG245" s="140"/>
      <c r="BH245" s="140"/>
      <c r="BI245" s="140"/>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row>
    <row r="246" spans="1:101" x14ac:dyDescent="0.2">
      <c r="A246" s="29" t="str">
        <f t="shared" ca="1" si="3"/>
        <v>2025-11-25</v>
      </c>
      <c r="B246" s="140">
        <f ca="1">IF(ISNUMBER(MATCH(DATEVALUE($A246),'changes1_based on steps'!B$1:B$400,0)),B$2,)</f>
        <v>0</v>
      </c>
      <c r="C246" s="140">
        <f ca="1">IF(ISNUMBER(MATCH(DATEVALUE($A246),'changes1_based on steps'!C$1:C$400,0)),C$2,)</f>
        <v>0</v>
      </c>
      <c r="D246" s="140">
        <f ca="1">IF(ISNUMBER(MATCH(DATEVALUE($A246),'changes1_based on steps'!D$1:D$400,0)),D$2,)</f>
        <v>0</v>
      </c>
      <c r="E246" s="140">
        <f ca="1">IF(ISNUMBER(MATCH(DATEVALUE($A246),'changes1_based on steps'!E$1:E$400,0)),E$2,)</f>
        <v>0</v>
      </c>
      <c r="F246" s="140">
        <f ca="1">IF(ISNUMBER(MATCH(DATEVALUE($A246),'changes1_based on steps'!F$1:F$400,0)),F$2,)</f>
        <v>0</v>
      </c>
      <c r="G246" s="140">
        <f ca="1">IF(ISNUMBER(MATCH(DATEVALUE($A246),'changes1_based on steps'!G$1:G$400,0)),G$2,)</f>
        <v>0</v>
      </c>
      <c r="H246" s="140">
        <f ca="1">IF(ISNUMBER(MATCH(DATEVALUE($A246),'changes1_based on steps'!H$1:H$400,0)),H$2,)</f>
        <v>0</v>
      </c>
      <c r="I246" s="140">
        <f ca="1">IF(ISNUMBER(MATCH(DATEVALUE($A246),'changes1_based on steps'!I$1:I$400,0)),I$2,)</f>
        <v>0</v>
      </c>
      <c r="J246" s="140">
        <f ca="1">IF(ISNUMBER(MATCH(DATEVALUE($A246),'changes1_based on steps'!J$1:J$400,0)),J$2,)</f>
        <v>0</v>
      </c>
      <c r="K246" s="140">
        <f ca="1">IF(ISNUMBER(MATCH(DATEVALUE($A246),'changes1_based on steps'!K$1:K$400,0)),K$2,)</f>
        <v>0</v>
      </c>
      <c r="L246" s="140">
        <f ca="1">IF(ISNUMBER(MATCH(DATEVALUE($A246),'changes1_based on steps'!L$1:L$400,0)),L$2,)</f>
        <v>0</v>
      </c>
      <c r="M246" s="140">
        <f ca="1">IF(ISNUMBER(MATCH(DATEVALUE($A246),'changes1_based on steps'!M$1:M$400,0)),M$2,)</f>
        <v>0</v>
      </c>
      <c r="N246" s="140">
        <f ca="1">IF(ISNUMBER(MATCH(DATEVALUE($A246),'changes1_based on steps'!N$1:N$400,0)),N$2,)</f>
        <v>0</v>
      </c>
      <c r="O246" s="140">
        <f ca="1">IF(ISNUMBER(MATCH(DATEVALUE($A246),'changes1_based on steps'!O$1:O$400,0)),O$2,)</f>
        <v>0</v>
      </c>
      <c r="P246" s="140">
        <f ca="1">IF(ISNUMBER(MATCH(DATEVALUE($A246),'changes1_based on steps'!P$1:P$400,0)),P$2,)</f>
        <v>0</v>
      </c>
      <c r="Q246" s="140">
        <f ca="1">IF(ISNUMBER(MATCH(DATEVALUE($A246),'changes1_based on steps'!Q$1:Q$400,0)),Q$2,)</f>
        <v>0</v>
      </c>
      <c r="R246" s="140">
        <f ca="1">IF(ISNUMBER(MATCH(DATEVALUE($A246),'changes1_based on steps'!R$1:R$400,0)),R$2,)</f>
        <v>0</v>
      </c>
      <c r="S246" s="140">
        <f ca="1">IF(ISNUMBER(MATCH(DATEVALUE($A246),'changes1_based on steps'!S$1:S$400,0)),S$2,)</f>
        <v>0</v>
      </c>
      <c r="T246" s="140">
        <f ca="1">IF(ISNUMBER(MATCH(DATEVALUE($A246),'changes1_based on steps'!T$1:T$400,0)),T$2,)</f>
        <v>0</v>
      </c>
      <c r="U246" s="140">
        <f ca="1">IF(ISNUMBER(MATCH(DATEVALUE($A246),'changes1_based on steps'!U$1:U$400,0)),U$2,)</f>
        <v>0</v>
      </c>
      <c r="V246" s="140"/>
      <c r="W246" s="140"/>
      <c r="X246" s="140"/>
      <c r="Y246" s="140"/>
      <c r="Z246" s="140"/>
      <c r="AA246" s="140"/>
      <c r="AB246" s="140"/>
      <c r="AC246" s="140"/>
      <c r="AD246" s="140"/>
      <c r="AE246" s="140"/>
      <c r="AF246" s="140"/>
      <c r="AG246" s="140"/>
      <c r="AH246" s="140"/>
      <c r="AI246" s="140"/>
      <c r="AJ246" s="140"/>
      <c r="AK246" s="140"/>
      <c r="AL246" s="140"/>
      <c r="AM246" s="140"/>
      <c r="AN246" s="140"/>
      <c r="AO246" s="140"/>
      <c r="AP246" s="140"/>
      <c r="AQ246" s="140"/>
      <c r="AR246" s="140"/>
      <c r="AS246" s="140"/>
      <c r="AT246" s="140"/>
      <c r="AU246" s="140"/>
      <c r="AV246" s="140"/>
      <c r="AW246" s="140"/>
      <c r="AX246" s="140"/>
      <c r="AY246" s="140"/>
      <c r="AZ246" s="140"/>
      <c r="BA246" s="140"/>
      <c r="BB246" s="140"/>
      <c r="BC246" s="140"/>
      <c r="BD246" s="140"/>
      <c r="BE246" s="140"/>
      <c r="BF246" s="140"/>
      <c r="BG246" s="140"/>
      <c r="BH246" s="140"/>
      <c r="BI246" s="140"/>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row>
    <row r="247" spans="1:101" x14ac:dyDescent="0.2">
      <c r="A247" s="29" t="str">
        <f t="shared" ca="1" si="3"/>
        <v>2025-11-26</v>
      </c>
      <c r="B247" s="140">
        <f ca="1">IF(ISNUMBER(MATCH(DATEVALUE($A247),'changes1_based on steps'!B$1:B$400,0)),B$2,)</f>
        <v>0</v>
      </c>
      <c r="C247" s="140">
        <f ca="1">IF(ISNUMBER(MATCH(DATEVALUE($A247),'changes1_based on steps'!C$1:C$400,0)),C$2,)</f>
        <v>0</v>
      </c>
      <c r="D247" s="140">
        <f ca="1">IF(ISNUMBER(MATCH(DATEVALUE($A247),'changes1_based on steps'!D$1:D$400,0)),D$2,)</f>
        <v>0</v>
      </c>
      <c r="E247" s="140">
        <f ca="1">IF(ISNUMBER(MATCH(DATEVALUE($A247),'changes1_based on steps'!E$1:E$400,0)),E$2,)</f>
        <v>0</v>
      </c>
      <c r="F247" s="140">
        <f ca="1">IF(ISNUMBER(MATCH(DATEVALUE($A247),'changes1_based on steps'!F$1:F$400,0)),F$2,)</f>
        <v>0</v>
      </c>
      <c r="G247" s="140">
        <f ca="1">IF(ISNUMBER(MATCH(DATEVALUE($A247),'changes1_based on steps'!G$1:G$400,0)),G$2,)</f>
        <v>0</v>
      </c>
      <c r="H247" s="140">
        <f ca="1">IF(ISNUMBER(MATCH(DATEVALUE($A247),'changes1_based on steps'!H$1:H$400,0)),H$2,)</f>
        <v>0</v>
      </c>
      <c r="I247" s="140">
        <f ca="1">IF(ISNUMBER(MATCH(DATEVALUE($A247),'changes1_based on steps'!I$1:I$400,0)),I$2,)</f>
        <v>0</v>
      </c>
      <c r="J247" s="140">
        <f ca="1">IF(ISNUMBER(MATCH(DATEVALUE($A247),'changes1_based on steps'!J$1:J$400,0)),J$2,)</f>
        <v>0</v>
      </c>
      <c r="K247" s="140">
        <f ca="1">IF(ISNUMBER(MATCH(DATEVALUE($A247),'changes1_based on steps'!K$1:K$400,0)),K$2,)</f>
        <v>0</v>
      </c>
      <c r="L247" s="140">
        <f ca="1">IF(ISNUMBER(MATCH(DATEVALUE($A247),'changes1_based on steps'!L$1:L$400,0)),L$2,)</f>
        <v>0</v>
      </c>
      <c r="M247" s="140">
        <f ca="1">IF(ISNUMBER(MATCH(DATEVALUE($A247),'changes1_based on steps'!M$1:M$400,0)),M$2,)</f>
        <v>0</v>
      </c>
      <c r="N247" s="140">
        <f ca="1">IF(ISNUMBER(MATCH(DATEVALUE($A247),'changes1_based on steps'!N$1:N$400,0)),N$2,)</f>
        <v>0</v>
      </c>
      <c r="O247" s="140">
        <f ca="1">IF(ISNUMBER(MATCH(DATEVALUE($A247),'changes1_based on steps'!O$1:O$400,0)),O$2,)</f>
        <v>0</v>
      </c>
      <c r="P247" s="140">
        <f ca="1">IF(ISNUMBER(MATCH(DATEVALUE($A247),'changes1_based on steps'!P$1:P$400,0)),P$2,)</f>
        <v>0</v>
      </c>
      <c r="Q247" s="140">
        <f ca="1">IF(ISNUMBER(MATCH(DATEVALUE($A247),'changes1_based on steps'!Q$1:Q$400,0)),Q$2,)</f>
        <v>0</v>
      </c>
      <c r="R247" s="140">
        <f ca="1">IF(ISNUMBER(MATCH(DATEVALUE($A247),'changes1_based on steps'!R$1:R$400,0)),R$2,)</f>
        <v>0</v>
      </c>
      <c r="S247" s="140">
        <f ca="1">IF(ISNUMBER(MATCH(DATEVALUE($A247),'changes1_based on steps'!S$1:S$400,0)),S$2,)</f>
        <v>0</v>
      </c>
      <c r="T247" s="140">
        <f ca="1">IF(ISNUMBER(MATCH(DATEVALUE($A247),'changes1_based on steps'!T$1:T$400,0)),T$2,)</f>
        <v>0</v>
      </c>
      <c r="U247" s="140">
        <f ca="1">IF(ISNUMBER(MATCH(DATEVALUE($A247),'changes1_based on steps'!U$1:U$400,0)),U$2,)</f>
        <v>0</v>
      </c>
      <c r="V247" s="140"/>
      <c r="W247" s="140"/>
      <c r="X247" s="140"/>
      <c r="Y247" s="140"/>
      <c r="Z247" s="140"/>
      <c r="AA247" s="140"/>
      <c r="AB247" s="140"/>
      <c r="AC247" s="140"/>
      <c r="AD247" s="140"/>
      <c r="AE247" s="140"/>
      <c r="AF247" s="140"/>
      <c r="AG247" s="140"/>
      <c r="AH247" s="140"/>
      <c r="AI247" s="140"/>
      <c r="AJ247" s="140"/>
      <c r="AK247" s="140"/>
      <c r="AL247" s="140"/>
      <c r="AM247" s="140"/>
      <c r="AN247" s="140"/>
      <c r="AO247" s="140"/>
      <c r="AP247" s="140"/>
      <c r="AQ247" s="140"/>
      <c r="AR247" s="140"/>
      <c r="AS247" s="140"/>
      <c r="AT247" s="140"/>
      <c r="AU247" s="140"/>
      <c r="AV247" s="140"/>
      <c r="AW247" s="140"/>
      <c r="AX247" s="140"/>
      <c r="AY247" s="140"/>
      <c r="AZ247" s="140"/>
      <c r="BA247" s="140"/>
      <c r="BB247" s="140"/>
      <c r="BC247" s="140"/>
      <c r="BD247" s="140"/>
      <c r="BE247" s="140"/>
      <c r="BF247" s="140"/>
      <c r="BG247" s="140"/>
      <c r="BH247" s="140"/>
      <c r="BI247" s="140"/>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row>
    <row r="248" spans="1:101" x14ac:dyDescent="0.2">
      <c r="A248" s="29" t="str">
        <f t="shared" ca="1" si="3"/>
        <v>2025-11-27</v>
      </c>
      <c r="B248" s="140">
        <f ca="1">IF(ISNUMBER(MATCH(DATEVALUE($A248),'changes1_based on steps'!B$1:B$400,0)),B$2,)</f>
        <v>0</v>
      </c>
      <c r="C248" s="140">
        <f ca="1">IF(ISNUMBER(MATCH(DATEVALUE($A248),'changes1_based on steps'!C$1:C$400,0)),C$2,)</f>
        <v>0</v>
      </c>
      <c r="D248" s="140">
        <f ca="1">IF(ISNUMBER(MATCH(DATEVALUE($A248),'changes1_based on steps'!D$1:D$400,0)),D$2,)</f>
        <v>0</v>
      </c>
      <c r="E248" s="140">
        <f ca="1">IF(ISNUMBER(MATCH(DATEVALUE($A248),'changes1_based on steps'!E$1:E$400,0)),E$2,)</f>
        <v>0</v>
      </c>
      <c r="F248" s="140">
        <f ca="1">IF(ISNUMBER(MATCH(DATEVALUE($A248),'changes1_based on steps'!F$1:F$400,0)),F$2,)</f>
        <v>0</v>
      </c>
      <c r="G248" s="140">
        <f ca="1">IF(ISNUMBER(MATCH(DATEVALUE($A248),'changes1_based on steps'!G$1:G$400,0)),G$2,)</f>
        <v>0</v>
      </c>
      <c r="H248" s="140">
        <f ca="1">IF(ISNUMBER(MATCH(DATEVALUE($A248),'changes1_based on steps'!H$1:H$400,0)),H$2,)</f>
        <v>0</v>
      </c>
      <c r="I248" s="140">
        <f ca="1">IF(ISNUMBER(MATCH(DATEVALUE($A248),'changes1_based on steps'!I$1:I$400,0)),I$2,)</f>
        <v>0</v>
      </c>
      <c r="J248" s="140">
        <f ca="1">IF(ISNUMBER(MATCH(DATEVALUE($A248),'changes1_based on steps'!J$1:J$400,0)),J$2,)</f>
        <v>0</v>
      </c>
      <c r="K248" s="140">
        <f ca="1">IF(ISNUMBER(MATCH(DATEVALUE($A248),'changes1_based on steps'!K$1:K$400,0)),K$2,)</f>
        <v>0</v>
      </c>
      <c r="L248" s="140">
        <f ca="1">IF(ISNUMBER(MATCH(DATEVALUE($A248),'changes1_based on steps'!L$1:L$400,0)),L$2,)</f>
        <v>0</v>
      </c>
      <c r="M248" s="140">
        <f ca="1">IF(ISNUMBER(MATCH(DATEVALUE($A248),'changes1_based on steps'!M$1:M$400,0)),M$2,)</f>
        <v>0</v>
      </c>
      <c r="N248" s="140">
        <f ca="1">IF(ISNUMBER(MATCH(DATEVALUE($A248),'changes1_based on steps'!N$1:N$400,0)),N$2,)</f>
        <v>0</v>
      </c>
      <c r="O248" s="140">
        <f ca="1">IF(ISNUMBER(MATCH(DATEVALUE($A248),'changes1_based on steps'!O$1:O$400,0)),O$2,)</f>
        <v>0</v>
      </c>
      <c r="P248" s="140">
        <f ca="1">IF(ISNUMBER(MATCH(DATEVALUE($A248),'changes1_based on steps'!P$1:P$400,0)),P$2,)</f>
        <v>0</v>
      </c>
      <c r="Q248" s="140">
        <f ca="1">IF(ISNUMBER(MATCH(DATEVALUE($A248),'changes1_based on steps'!Q$1:Q$400,0)),Q$2,)</f>
        <v>0</v>
      </c>
      <c r="R248" s="140">
        <f ca="1">IF(ISNUMBER(MATCH(DATEVALUE($A248),'changes1_based on steps'!R$1:R$400,0)),R$2,)</f>
        <v>0</v>
      </c>
      <c r="S248" s="140">
        <f ca="1">IF(ISNUMBER(MATCH(DATEVALUE($A248),'changes1_based on steps'!S$1:S$400,0)),S$2,)</f>
        <v>0</v>
      </c>
      <c r="T248" s="140">
        <f ca="1">IF(ISNUMBER(MATCH(DATEVALUE($A248),'changes1_based on steps'!T$1:T$400,0)),T$2,)</f>
        <v>0</v>
      </c>
      <c r="U248" s="140">
        <f ca="1">IF(ISNUMBER(MATCH(DATEVALUE($A248),'changes1_based on steps'!U$1:U$400,0)),U$2,)</f>
        <v>0</v>
      </c>
      <c r="V248" s="140"/>
      <c r="W248" s="140"/>
      <c r="X248" s="140"/>
      <c r="Y248" s="140"/>
      <c r="Z248" s="140"/>
      <c r="AA248" s="140"/>
      <c r="AB248" s="140"/>
      <c r="AC248" s="140"/>
      <c r="AD248" s="140"/>
      <c r="AE248" s="140"/>
      <c r="AF248" s="140"/>
      <c r="AG248" s="140"/>
      <c r="AH248" s="140"/>
      <c r="AI248" s="140"/>
      <c r="AJ248" s="140"/>
      <c r="AK248" s="140"/>
      <c r="AL248" s="140"/>
      <c r="AM248" s="140"/>
      <c r="AN248" s="140"/>
      <c r="AO248" s="140"/>
      <c r="AP248" s="140"/>
      <c r="AQ248" s="140"/>
      <c r="AR248" s="140"/>
      <c r="AS248" s="140"/>
      <c r="AT248" s="140"/>
      <c r="AU248" s="140"/>
      <c r="AV248" s="140"/>
      <c r="AW248" s="140"/>
      <c r="AX248" s="140"/>
      <c r="AY248" s="140"/>
      <c r="AZ248" s="140"/>
      <c r="BA248" s="140"/>
      <c r="BB248" s="140"/>
      <c r="BC248" s="140"/>
      <c r="BD248" s="140"/>
      <c r="BE248" s="140"/>
      <c r="BF248" s="140"/>
      <c r="BG248" s="140"/>
      <c r="BH248" s="140"/>
      <c r="BI248" s="140"/>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row>
    <row r="249" spans="1:101" x14ac:dyDescent="0.2">
      <c r="A249" s="29" t="str">
        <f t="shared" ca="1" si="3"/>
        <v>2025-11-28</v>
      </c>
      <c r="B249" s="140">
        <f ca="1">IF(ISNUMBER(MATCH(DATEVALUE($A249),'changes1_based on steps'!B$1:B$400,0)),B$2,)</f>
        <v>0</v>
      </c>
      <c r="C249" s="140">
        <f ca="1">IF(ISNUMBER(MATCH(DATEVALUE($A249),'changes1_based on steps'!C$1:C$400,0)),C$2,)</f>
        <v>0</v>
      </c>
      <c r="D249" s="140">
        <f ca="1">IF(ISNUMBER(MATCH(DATEVALUE($A249),'changes1_based on steps'!D$1:D$400,0)),D$2,)</f>
        <v>0</v>
      </c>
      <c r="E249" s="140">
        <f ca="1">IF(ISNUMBER(MATCH(DATEVALUE($A249),'changes1_based on steps'!E$1:E$400,0)),E$2,)</f>
        <v>0</v>
      </c>
      <c r="F249" s="140">
        <f ca="1">IF(ISNUMBER(MATCH(DATEVALUE($A249),'changes1_based on steps'!F$1:F$400,0)),F$2,)</f>
        <v>0</v>
      </c>
      <c r="G249" s="140">
        <f ca="1">IF(ISNUMBER(MATCH(DATEVALUE($A249),'changes1_based on steps'!G$1:G$400,0)),G$2,)</f>
        <v>0</v>
      </c>
      <c r="H249" s="140">
        <f ca="1">IF(ISNUMBER(MATCH(DATEVALUE($A249),'changes1_based on steps'!H$1:H$400,0)),H$2,)</f>
        <v>0</v>
      </c>
      <c r="I249" s="140">
        <f ca="1">IF(ISNUMBER(MATCH(DATEVALUE($A249),'changes1_based on steps'!I$1:I$400,0)),I$2,)</f>
        <v>0</v>
      </c>
      <c r="J249" s="140">
        <f ca="1">IF(ISNUMBER(MATCH(DATEVALUE($A249),'changes1_based on steps'!J$1:J$400,0)),J$2,)</f>
        <v>0</v>
      </c>
      <c r="K249" s="140">
        <f ca="1">IF(ISNUMBER(MATCH(DATEVALUE($A249),'changes1_based on steps'!K$1:K$400,0)),K$2,)</f>
        <v>0</v>
      </c>
      <c r="L249" s="140">
        <f ca="1">IF(ISNUMBER(MATCH(DATEVALUE($A249),'changes1_based on steps'!L$1:L$400,0)),L$2,)</f>
        <v>0</v>
      </c>
      <c r="M249" s="140">
        <f ca="1">IF(ISNUMBER(MATCH(DATEVALUE($A249),'changes1_based on steps'!M$1:M$400,0)),M$2,)</f>
        <v>0</v>
      </c>
      <c r="N249" s="140">
        <f ca="1">IF(ISNUMBER(MATCH(DATEVALUE($A249),'changes1_based on steps'!N$1:N$400,0)),N$2,)</f>
        <v>0</v>
      </c>
      <c r="O249" s="140">
        <f ca="1">IF(ISNUMBER(MATCH(DATEVALUE($A249),'changes1_based on steps'!O$1:O$400,0)),O$2,)</f>
        <v>0</v>
      </c>
      <c r="P249" s="140">
        <f ca="1">IF(ISNUMBER(MATCH(DATEVALUE($A249),'changes1_based on steps'!P$1:P$400,0)),P$2,)</f>
        <v>0</v>
      </c>
      <c r="Q249" s="140">
        <f ca="1">IF(ISNUMBER(MATCH(DATEVALUE($A249),'changes1_based on steps'!Q$1:Q$400,0)),Q$2,)</f>
        <v>0</v>
      </c>
      <c r="R249" s="140">
        <f ca="1">IF(ISNUMBER(MATCH(DATEVALUE($A249),'changes1_based on steps'!R$1:R$400,0)),R$2,)</f>
        <v>0</v>
      </c>
      <c r="S249" s="140">
        <f ca="1">IF(ISNUMBER(MATCH(DATEVALUE($A249),'changes1_based on steps'!S$1:S$400,0)),S$2,)</f>
        <v>0</v>
      </c>
      <c r="T249" s="140">
        <f ca="1">IF(ISNUMBER(MATCH(DATEVALUE($A249),'changes1_based on steps'!T$1:T$400,0)),T$2,)</f>
        <v>0</v>
      </c>
      <c r="U249" s="140">
        <f ca="1">IF(ISNUMBER(MATCH(DATEVALUE($A249),'changes1_based on steps'!U$1:U$400,0)),U$2,)</f>
        <v>0</v>
      </c>
      <c r="V249" s="140"/>
      <c r="W249" s="140"/>
      <c r="X249" s="140"/>
      <c r="Y249" s="140"/>
      <c r="Z249" s="140"/>
      <c r="AA249" s="140"/>
      <c r="AB249" s="140"/>
      <c r="AC249" s="140"/>
      <c r="AD249" s="140"/>
      <c r="AE249" s="140"/>
      <c r="AF249" s="140"/>
      <c r="AG249" s="140"/>
      <c r="AH249" s="140"/>
      <c r="AI249" s="140"/>
      <c r="AJ249" s="140"/>
      <c r="AK249" s="140"/>
      <c r="AL249" s="140"/>
      <c r="AM249" s="140"/>
      <c r="AN249" s="140"/>
      <c r="AO249" s="140"/>
      <c r="AP249" s="140"/>
      <c r="AQ249" s="140"/>
      <c r="AR249" s="140"/>
      <c r="AS249" s="140"/>
      <c r="AT249" s="140"/>
      <c r="AU249" s="140"/>
      <c r="AV249" s="140"/>
      <c r="AW249" s="140"/>
      <c r="AX249" s="140"/>
      <c r="AY249" s="140"/>
      <c r="AZ249" s="140"/>
      <c r="BA249" s="140"/>
      <c r="BB249" s="140"/>
      <c r="BC249" s="140"/>
      <c r="BD249" s="140"/>
      <c r="BE249" s="140"/>
      <c r="BF249" s="140"/>
      <c r="BG249" s="140"/>
      <c r="BH249" s="140"/>
      <c r="BI249" s="140"/>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row>
    <row r="250" spans="1:101" x14ac:dyDescent="0.2">
      <c r="A250" s="29" t="str">
        <f t="shared" ca="1" si="3"/>
        <v>2025-11-29</v>
      </c>
      <c r="B250" s="140">
        <f ca="1">IF(ISNUMBER(MATCH(DATEVALUE($A250),'changes1_based on steps'!B$1:B$400,0)),B$2,)</f>
        <v>0</v>
      </c>
      <c r="C250" s="140">
        <f ca="1">IF(ISNUMBER(MATCH(DATEVALUE($A250),'changes1_based on steps'!C$1:C$400,0)),C$2,)</f>
        <v>0</v>
      </c>
      <c r="D250" s="140">
        <f ca="1">IF(ISNUMBER(MATCH(DATEVALUE($A250),'changes1_based on steps'!D$1:D$400,0)),D$2,)</f>
        <v>0</v>
      </c>
      <c r="E250" s="140">
        <f ca="1">IF(ISNUMBER(MATCH(DATEVALUE($A250),'changes1_based on steps'!E$1:E$400,0)),E$2,)</f>
        <v>0</v>
      </c>
      <c r="F250" s="140">
        <f ca="1">IF(ISNUMBER(MATCH(DATEVALUE($A250),'changes1_based on steps'!F$1:F$400,0)),F$2,)</f>
        <v>0</v>
      </c>
      <c r="G250" s="140">
        <f ca="1">IF(ISNUMBER(MATCH(DATEVALUE($A250),'changes1_based on steps'!G$1:G$400,0)),G$2,)</f>
        <v>0</v>
      </c>
      <c r="H250" s="140">
        <f ca="1">IF(ISNUMBER(MATCH(DATEVALUE($A250),'changes1_based on steps'!H$1:H$400,0)),H$2,)</f>
        <v>0</v>
      </c>
      <c r="I250" s="140">
        <f ca="1">IF(ISNUMBER(MATCH(DATEVALUE($A250),'changes1_based on steps'!I$1:I$400,0)),I$2,)</f>
        <v>0</v>
      </c>
      <c r="J250" s="140">
        <f ca="1">IF(ISNUMBER(MATCH(DATEVALUE($A250),'changes1_based on steps'!J$1:J$400,0)),J$2,)</f>
        <v>0</v>
      </c>
      <c r="K250" s="140">
        <f ca="1">IF(ISNUMBER(MATCH(DATEVALUE($A250),'changes1_based on steps'!K$1:K$400,0)),K$2,)</f>
        <v>0</v>
      </c>
      <c r="L250" s="140">
        <f ca="1">IF(ISNUMBER(MATCH(DATEVALUE($A250),'changes1_based on steps'!L$1:L$400,0)),L$2,)</f>
        <v>0</v>
      </c>
      <c r="M250" s="140">
        <f ca="1">IF(ISNUMBER(MATCH(DATEVALUE($A250),'changes1_based on steps'!M$1:M$400,0)),M$2,)</f>
        <v>0</v>
      </c>
      <c r="N250" s="140">
        <f ca="1">IF(ISNUMBER(MATCH(DATEVALUE($A250),'changes1_based on steps'!N$1:N$400,0)),N$2,)</f>
        <v>0</v>
      </c>
      <c r="O250" s="140">
        <f ca="1">IF(ISNUMBER(MATCH(DATEVALUE($A250),'changes1_based on steps'!O$1:O$400,0)),O$2,)</f>
        <v>0</v>
      </c>
      <c r="P250" s="140">
        <f ca="1">IF(ISNUMBER(MATCH(DATEVALUE($A250),'changes1_based on steps'!P$1:P$400,0)),P$2,)</f>
        <v>0</v>
      </c>
      <c r="Q250" s="140">
        <f ca="1">IF(ISNUMBER(MATCH(DATEVALUE($A250),'changes1_based on steps'!Q$1:Q$400,0)),Q$2,)</f>
        <v>0</v>
      </c>
      <c r="R250" s="140">
        <f ca="1">IF(ISNUMBER(MATCH(DATEVALUE($A250),'changes1_based on steps'!R$1:R$400,0)),R$2,)</f>
        <v>0</v>
      </c>
      <c r="S250" s="140">
        <f ca="1">IF(ISNUMBER(MATCH(DATEVALUE($A250),'changes1_based on steps'!S$1:S$400,0)),S$2,)</f>
        <v>0</v>
      </c>
      <c r="T250" s="140">
        <f ca="1">IF(ISNUMBER(MATCH(DATEVALUE($A250),'changes1_based on steps'!T$1:T$400,0)),T$2,)</f>
        <v>0</v>
      </c>
      <c r="U250" s="140">
        <f ca="1">IF(ISNUMBER(MATCH(DATEVALUE($A250),'changes1_based on steps'!U$1:U$400,0)),U$2,)</f>
        <v>0</v>
      </c>
      <c r="V250" s="140"/>
      <c r="W250" s="140"/>
      <c r="X250" s="140"/>
      <c r="Y250" s="140"/>
      <c r="Z250" s="140"/>
      <c r="AA250" s="140"/>
      <c r="AB250" s="140"/>
      <c r="AC250" s="140"/>
      <c r="AD250" s="140"/>
      <c r="AE250" s="140"/>
      <c r="AF250" s="140"/>
      <c r="AG250" s="140"/>
      <c r="AH250" s="140"/>
      <c r="AI250" s="140"/>
      <c r="AJ250" s="140"/>
      <c r="AK250" s="140"/>
      <c r="AL250" s="140"/>
      <c r="AM250" s="140"/>
      <c r="AN250" s="140"/>
      <c r="AO250" s="140"/>
      <c r="AP250" s="140"/>
      <c r="AQ250" s="140"/>
      <c r="AR250" s="140"/>
      <c r="AS250" s="140"/>
      <c r="AT250" s="140"/>
      <c r="AU250" s="140"/>
      <c r="AV250" s="140"/>
      <c r="AW250" s="140"/>
      <c r="AX250" s="140"/>
      <c r="AY250" s="140"/>
      <c r="AZ250" s="140"/>
      <c r="BA250" s="140"/>
      <c r="BB250" s="140"/>
      <c r="BC250" s="140"/>
      <c r="BD250" s="140"/>
      <c r="BE250" s="140"/>
      <c r="BF250" s="140"/>
      <c r="BG250" s="140"/>
      <c r="BH250" s="140"/>
      <c r="BI250" s="140"/>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row>
    <row r="251" spans="1:101" x14ac:dyDescent="0.2">
      <c r="A251" s="29" t="str">
        <f t="shared" ca="1" si="3"/>
        <v>2025-11-30</v>
      </c>
      <c r="B251" s="140">
        <f ca="1">IF(ISNUMBER(MATCH(DATEVALUE($A251),'changes1_based on steps'!B$1:B$400,0)),B$2,)</f>
        <v>0</v>
      </c>
      <c r="C251" s="140">
        <f ca="1">IF(ISNUMBER(MATCH(DATEVALUE($A251),'changes1_based on steps'!C$1:C$400,0)),C$2,)</f>
        <v>0</v>
      </c>
      <c r="D251" s="140">
        <f ca="1">IF(ISNUMBER(MATCH(DATEVALUE($A251),'changes1_based on steps'!D$1:D$400,0)),D$2,)</f>
        <v>0</v>
      </c>
      <c r="E251" s="140">
        <f ca="1">IF(ISNUMBER(MATCH(DATEVALUE($A251),'changes1_based on steps'!E$1:E$400,0)),E$2,)</f>
        <v>0</v>
      </c>
      <c r="F251" s="140">
        <f ca="1">IF(ISNUMBER(MATCH(DATEVALUE($A251),'changes1_based on steps'!F$1:F$400,0)),F$2,)</f>
        <v>0</v>
      </c>
      <c r="G251" s="140">
        <f ca="1">IF(ISNUMBER(MATCH(DATEVALUE($A251),'changes1_based on steps'!G$1:G$400,0)),G$2,)</f>
        <v>0</v>
      </c>
      <c r="H251" s="140">
        <f ca="1">IF(ISNUMBER(MATCH(DATEVALUE($A251),'changes1_based on steps'!H$1:H$400,0)),H$2,)</f>
        <v>0</v>
      </c>
      <c r="I251" s="140">
        <f ca="1">IF(ISNUMBER(MATCH(DATEVALUE($A251),'changes1_based on steps'!I$1:I$400,0)),I$2,)</f>
        <v>0</v>
      </c>
      <c r="J251" s="140">
        <f ca="1">IF(ISNUMBER(MATCH(DATEVALUE($A251),'changes1_based on steps'!J$1:J$400,0)),J$2,)</f>
        <v>0</v>
      </c>
      <c r="K251" s="140">
        <f ca="1">IF(ISNUMBER(MATCH(DATEVALUE($A251),'changes1_based on steps'!K$1:K$400,0)),K$2,)</f>
        <v>0</v>
      </c>
      <c r="L251" s="140">
        <f ca="1">IF(ISNUMBER(MATCH(DATEVALUE($A251),'changes1_based on steps'!L$1:L$400,0)),L$2,)</f>
        <v>0</v>
      </c>
      <c r="M251" s="140">
        <f ca="1">IF(ISNUMBER(MATCH(DATEVALUE($A251),'changes1_based on steps'!M$1:M$400,0)),M$2,)</f>
        <v>0</v>
      </c>
      <c r="N251" s="140">
        <f ca="1">IF(ISNUMBER(MATCH(DATEVALUE($A251),'changes1_based on steps'!N$1:N$400,0)),N$2,)</f>
        <v>0</v>
      </c>
      <c r="O251" s="140">
        <f ca="1">IF(ISNUMBER(MATCH(DATEVALUE($A251),'changes1_based on steps'!O$1:O$400,0)),O$2,)</f>
        <v>0</v>
      </c>
      <c r="P251" s="140">
        <f ca="1">IF(ISNUMBER(MATCH(DATEVALUE($A251),'changes1_based on steps'!P$1:P$400,0)),P$2,)</f>
        <v>0</v>
      </c>
      <c r="Q251" s="140">
        <f ca="1">IF(ISNUMBER(MATCH(DATEVALUE($A251),'changes1_based on steps'!Q$1:Q$400,0)),Q$2,)</f>
        <v>0</v>
      </c>
      <c r="R251" s="140">
        <f ca="1">IF(ISNUMBER(MATCH(DATEVALUE($A251),'changes1_based on steps'!R$1:R$400,0)),R$2,)</f>
        <v>0</v>
      </c>
      <c r="S251" s="140">
        <f ca="1">IF(ISNUMBER(MATCH(DATEVALUE($A251),'changes1_based on steps'!S$1:S$400,0)),S$2,)</f>
        <v>0</v>
      </c>
      <c r="T251" s="140">
        <f ca="1">IF(ISNUMBER(MATCH(DATEVALUE($A251),'changes1_based on steps'!T$1:T$400,0)),T$2,)</f>
        <v>0</v>
      </c>
      <c r="U251" s="140">
        <f ca="1">IF(ISNUMBER(MATCH(DATEVALUE($A251),'changes1_based on steps'!U$1:U$400,0)),U$2,)</f>
        <v>0</v>
      </c>
      <c r="V251" s="140"/>
      <c r="W251" s="140"/>
      <c r="X251" s="140"/>
      <c r="Y251" s="140"/>
      <c r="Z251" s="140"/>
      <c r="AA251" s="140"/>
      <c r="AB251" s="140"/>
      <c r="AC251" s="140"/>
      <c r="AD251" s="140"/>
      <c r="AE251" s="140"/>
      <c r="AF251" s="140"/>
      <c r="AG251" s="140"/>
      <c r="AH251" s="140"/>
      <c r="AI251" s="140"/>
      <c r="AJ251" s="140"/>
      <c r="AK251" s="140"/>
      <c r="AL251" s="140"/>
      <c r="AM251" s="140"/>
      <c r="AN251" s="140"/>
      <c r="AO251" s="140"/>
      <c r="AP251" s="140"/>
      <c r="AQ251" s="140"/>
      <c r="AR251" s="140"/>
      <c r="AS251" s="140"/>
      <c r="AT251" s="140"/>
      <c r="AU251" s="140"/>
      <c r="AV251" s="140"/>
      <c r="AW251" s="140"/>
      <c r="AX251" s="140"/>
      <c r="AY251" s="140"/>
      <c r="AZ251" s="140"/>
      <c r="BA251" s="140"/>
      <c r="BB251" s="140"/>
      <c r="BC251" s="140"/>
      <c r="BD251" s="140"/>
      <c r="BE251" s="140"/>
      <c r="BF251" s="140"/>
      <c r="BG251" s="140"/>
      <c r="BH251" s="140"/>
      <c r="BI251" s="140"/>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row>
    <row r="252" spans="1:101" x14ac:dyDescent="0.2">
      <c r="A252" s="29" t="str">
        <f t="shared" ca="1" si="3"/>
        <v>2025-12-01</v>
      </c>
      <c r="B252" s="140">
        <f ca="1">IF(ISNUMBER(MATCH(DATEVALUE($A252),'changes1_based on steps'!B$1:B$400,0)),B$2,)</f>
        <v>0</v>
      </c>
      <c r="C252" s="140">
        <f ca="1">IF(ISNUMBER(MATCH(DATEVALUE($A252),'changes1_based on steps'!C$1:C$400,0)),C$2,)</f>
        <v>0</v>
      </c>
      <c r="D252" s="140">
        <f ca="1">IF(ISNUMBER(MATCH(DATEVALUE($A252),'changes1_based on steps'!D$1:D$400,0)),D$2,)</f>
        <v>0</v>
      </c>
      <c r="E252" s="140">
        <f ca="1">IF(ISNUMBER(MATCH(DATEVALUE($A252),'changes1_based on steps'!E$1:E$400,0)),E$2,)</f>
        <v>0</v>
      </c>
      <c r="F252" s="140">
        <f ca="1">IF(ISNUMBER(MATCH(DATEVALUE($A252),'changes1_based on steps'!F$1:F$400,0)),F$2,)</f>
        <v>0</v>
      </c>
      <c r="G252" s="140">
        <f ca="1">IF(ISNUMBER(MATCH(DATEVALUE($A252),'changes1_based on steps'!G$1:G$400,0)),G$2,)</f>
        <v>0</v>
      </c>
      <c r="H252" s="140">
        <f ca="1">IF(ISNUMBER(MATCH(DATEVALUE($A252),'changes1_based on steps'!H$1:H$400,0)),H$2,)</f>
        <v>0</v>
      </c>
      <c r="I252" s="140">
        <f ca="1">IF(ISNUMBER(MATCH(DATEVALUE($A252),'changes1_based on steps'!I$1:I$400,0)),I$2,)</f>
        <v>0</v>
      </c>
      <c r="J252" s="140">
        <f ca="1">IF(ISNUMBER(MATCH(DATEVALUE($A252),'changes1_based on steps'!J$1:J$400,0)),J$2,)</f>
        <v>0</v>
      </c>
      <c r="K252" s="140">
        <f ca="1">IF(ISNUMBER(MATCH(DATEVALUE($A252),'changes1_based on steps'!K$1:K$400,0)),K$2,)</f>
        <v>0</v>
      </c>
      <c r="L252" s="140">
        <f ca="1">IF(ISNUMBER(MATCH(DATEVALUE($A252),'changes1_based on steps'!L$1:L$400,0)),L$2,)</f>
        <v>0</v>
      </c>
      <c r="M252" s="140">
        <f ca="1">IF(ISNUMBER(MATCH(DATEVALUE($A252),'changes1_based on steps'!M$1:M$400,0)),M$2,)</f>
        <v>0</v>
      </c>
      <c r="N252" s="140">
        <f ca="1">IF(ISNUMBER(MATCH(DATEVALUE($A252),'changes1_based on steps'!N$1:N$400,0)),N$2,)</f>
        <v>0</v>
      </c>
      <c r="O252" s="140">
        <f ca="1">IF(ISNUMBER(MATCH(DATEVALUE($A252),'changes1_based on steps'!O$1:O$400,0)),O$2,)</f>
        <v>0</v>
      </c>
      <c r="P252" s="140">
        <f ca="1">IF(ISNUMBER(MATCH(DATEVALUE($A252),'changes1_based on steps'!P$1:P$400,0)),P$2,)</f>
        <v>0</v>
      </c>
      <c r="Q252" s="140">
        <f ca="1">IF(ISNUMBER(MATCH(DATEVALUE($A252),'changes1_based on steps'!Q$1:Q$400,0)),Q$2,)</f>
        <v>0</v>
      </c>
      <c r="R252" s="140">
        <f ca="1">IF(ISNUMBER(MATCH(DATEVALUE($A252),'changes1_based on steps'!R$1:R$400,0)),R$2,)</f>
        <v>0</v>
      </c>
      <c r="S252" s="140">
        <f ca="1">IF(ISNUMBER(MATCH(DATEVALUE($A252),'changes1_based on steps'!S$1:S$400,0)),S$2,)</f>
        <v>0</v>
      </c>
      <c r="T252" s="140">
        <f ca="1">IF(ISNUMBER(MATCH(DATEVALUE($A252),'changes1_based on steps'!T$1:T$400,0)),T$2,)</f>
        <v>0</v>
      </c>
      <c r="U252" s="140">
        <f ca="1">IF(ISNUMBER(MATCH(DATEVALUE($A252),'changes1_based on steps'!U$1:U$400,0)),U$2,)</f>
        <v>0</v>
      </c>
      <c r="V252" s="140"/>
      <c r="W252" s="140"/>
      <c r="X252" s="140"/>
      <c r="Y252" s="140"/>
      <c r="Z252" s="140"/>
      <c r="AA252" s="140"/>
      <c r="AB252" s="140"/>
      <c r="AC252" s="140"/>
      <c r="AD252" s="140"/>
      <c r="AE252" s="140"/>
      <c r="AF252" s="140"/>
      <c r="AG252" s="140"/>
      <c r="AH252" s="140"/>
      <c r="AI252" s="140"/>
      <c r="AJ252" s="140"/>
      <c r="AK252" s="140"/>
      <c r="AL252" s="140"/>
      <c r="AM252" s="140"/>
      <c r="AN252" s="140"/>
      <c r="AO252" s="140"/>
      <c r="AP252" s="140"/>
      <c r="AQ252" s="140"/>
      <c r="AR252" s="140"/>
      <c r="AS252" s="140"/>
      <c r="AT252" s="140"/>
      <c r="AU252" s="140"/>
      <c r="AV252" s="140"/>
      <c r="AW252" s="140"/>
      <c r="AX252" s="140"/>
      <c r="AY252" s="140"/>
      <c r="AZ252" s="140"/>
      <c r="BA252" s="140"/>
      <c r="BB252" s="140"/>
      <c r="BC252" s="140"/>
      <c r="BD252" s="140"/>
      <c r="BE252" s="140"/>
      <c r="BF252" s="140"/>
      <c r="BG252" s="140"/>
      <c r="BH252" s="140"/>
      <c r="BI252" s="140"/>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row>
    <row r="253" spans="1:101" x14ac:dyDescent="0.2">
      <c r="A253" s="29" t="str">
        <f t="shared" ca="1" si="3"/>
        <v>2025-12-02</v>
      </c>
      <c r="B253" s="140">
        <f ca="1">IF(ISNUMBER(MATCH(DATEVALUE($A253),'changes1_based on steps'!B$1:B$400,0)),B$2,)</f>
        <v>0</v>
      </c>
      <c r="C253" s="140">
        <f ca="1">IF(ISNUMBER(MATCH(DATEVALUE($A253),'changes1_based on steps'!C$1:C$400,0)),C$2,)</f>
        <v>0</v>
      </c>
      <c r="D253" s="140">
        <f ca="1">IF(ISNUMBER(MATCH(DATEVALUE($A253),'changes1_based on steps'!D$1:D$400,0)),D$2,)</f>
        <v>0</v>
      </c>
      <c r="E253" s="140">
        <f ca="1">IF(ISNUMBER(MATCH(DATEVALUE($A253),'changes1_based on steps'!E$1:E$400,0)),E$2,)</f>
        <v>0</v>
      </c>
      <c r="F253" s="140">
        <f ca="1">IF(ISNUMBER(MATCH(DATEVALUE($A253),'changes1_based on steps'!F$1:F$400,0)),F$2,)</f>
        <v>0</v>
      </c>
      <c r="G253" s="140">
        <f ca="1">IF(ISNUMBER(MATCH(DATEVALUE($A253),'changes1_based on steps'!G$1:G$400,0)),G$2,)</f>
        <v>0</v>
      </c>
      <c r="H253" s="140">
        <f ca="1">IF(ISNUMBER(MATCH(DATEVALUE($A253),'changes1_based on steps'!H$1:H$400,0)),H$2,)</f>
        <v>0</v>
      </c>
      <c r="I253" s="140">
        <f ca="1">IF(ISNUMBER(MATCH(DATEVALUE($A253),'changes1_based on steps'!I$1:I$400,0)),I$2,)</f>
        <v>0</v>
      </c>
      <c r="J253" s="140">
        <f ca="1">IF(ISNUMBER(MATCH(DATEVALUE($A253),'changes1_based on steps'!J$1:J$400,0)),J$2,)</f>
        <v>0</v>
      </c>
      <c r="K253" s="140">
        <f ca="1">IF(ISNUMBER(MATCH(DATEVALUE($A253),'changes1_based on steps'!K$1:K$400,0)),K$2,)</f>
        <v>0</v>
      </c>
      <c r="L253" s="140">
        <f ca="1">IF(ISNUMBER(MATCH(DATEVALUE($A253),'changes1_based on steps'!L$1:L$400,0)),L$2,)</f>
        <v>0</v>
      </c>
      <c r="M253" s="140">
        <f ca="1">IF(ISNUMBER(MATCH(DATEVALUE($A253),'changes1_based on steps'!M$1:M$400,0)),M$2,)</f>
        <v>0</v>
      </c>
      <c r="N253" s="140">
        <f ca="1">IF(ISNUMBER(MATCH(DATEVALUE($A253),'changes1_based on steps'!N$1:N$400,0)),N$2,)</f>
        <v>0</v>
      </c>
      <c r="O253" s="140">
        <f ca="1">IF(ISNUMBER(MATCH(DATEVALUE($A253),'changes1_based on steps'!O$1:O$400,0)),O$2,)</f>
        <v>0</v>
      </c>
      <c r="P253" s="140">
        <f ca="1">IF(ISNUMBER(MATCH(DATEVALUE($A253),'changes1_based on steps'!P$1:P$400,0)),P$2,)</f>
        <v>0</v>
      </c>
      <c r="Q253" s="140">
        <f ca="1">IF(ISNUMBER(MATCH(DATEVALUE($A253),'changes1_based on steps'!Q$1:Q$400,0)),Q$2,)</f>
        <v>0</v>
      </c>
      <c r="R253" s="140">
        <f ca="1">IF(ISNUMBER(MATCH(DATEVALUE($A253),'changes1_based on steps'!R$1:R$400,0)),R$2,)</f>
        <v>0</v>
      </c>
      <c r="S253" s="140">
        <f ca="1">IF(ISNUMBER(MATCH(DATEVALUE($A253),'changes1_based on steps'!S$1:S$400,0)),S$2,)</f>
        <v>0</v>
      </c>
      <c r="T253" s="140">
        <f ca="1">IF(ISNUMBER(MATCH(DATEVALUE($A253),'changes1_based on steps'!T$1:T$400,0)),T$2,)</f>
        <v>0</v>
      </c>
      <c r="U253" s="140">
        <f ca="1">IF(ISNUMBER(MATCH(DATEVALUE($A253),'changes1_based on steps'!U$1:U$400,0)),U$2,)</f>
        <v>0</v>
      </c>
      <c r="V253" s="140"/>
      <c r="W253" s="140"/>
      <c r="X253" s="140"/>
      <c r="Y253" s="140"/>
      <c r="Z253" s="140"/>
      <c r="AA253" s="140"/>
      <c r="AB253" s="140"/>
      <c r="AC253" s="140"/>
      <c r="AD253" s="140"/>
      <c r="AE253" s="140"/>
      <c r="AF253" s="140"/>
      <c r="AG253" s="140"/>
      <c r="AH253" s="140"/>
      <c r="AI253" s="140"/>
      <c r="AJ253" s="140"/>
      <c r="AK253" s="140"/>
      <c r="AL253" s="140"/>
      <c r="AM253" s="140"/>
      <c r="AN253" s="140"/>
      <c r="AO253" s="140"/>
      <c r="AP253" s="140"/>
      <c r="AQ253" s="140"/>
      <c r="AR253" s="140"/>
      <c r="AS253" s="140"/>
      <c r="AT253" s="140"/>
      <c r="AU253" s="140"/>
      <c r="AV253" s="140"/>
      <c r="AW253" s="140"/>
      <c r="AX253" s="140"/>
      <c r="AY253" s="140"/>
      <c r="AZ253" s="140"/>
      <c r="BA253" s="140"/>
      <c r="BB253" s="140"/>
      <c r="BC253" s="140"/>
      <c r="BD253" s="140"/>
      <c r="BE253" s="140"/>
      <c r="BF253" s="140"/>
      <c r="BG253" s="140"/>
      <c r="BH253" s="140"/>
      <c r="BI253" s="140"/>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row>
    <row r="254" spans="1:101" x14ac:dyDescent="0.2">
      <c r="A254" s="29" t="str">
        <f t="shared" ca="1" si="3"/>
        <v>2025-12-03</v>
      </c>
      <c r="B254" s="140">
        <f ca="1">IF(ISNUMBER(MATCH(DATEVALUE($A254),'changes1_based on steps'!B$1:B$400,0)),B$2,)</f>
        <v>0</v>
      </c>
      <c r="C254" s="140">
        <f ca="1">IF(ISNUMBER(MATCH(DATEVALUE($A254),'changes1_based on steps'!C$1:C$400,0)),C$2,)</f>
        <v>0</v>
      </c>
      <c r="D254" s="140">
        <f ca="1">IF(ISNUMBER(MATCH(DATEVALUE($A254),'changes1_based on steps'!D$1:D$400,0)),D$2,)</f>
        <v>0</v>
      </c>
      <c r="E254" s="140">
        <f ca="1">IF(ISNUMBER(MATCH(DATEVALUE($A254),'changes1_based on steps'!E$1:E$400,0)),E$2,)</f>
        <v>0</v>
      </c>
      <c r="F254" s="140">
        <f ca="1">IF(ISNUMBER(MATCH(DATEVALUE($A254),'changes1_based on steps'!F$1:F$400,0)),F$2,)</f>
        <v>0</v>
      </c>
      <c r="G254" s="140">
        <f ca="1">IF(ISNUMBER(MATCH(DATEVALUE($A254),'changes1_based on steps'!G$1:G$400,0)),G$2,)</f>
        <v>0</v>
      </c>
      <c r="H254" s="140">
        <f ca="1">IF(ISNUMBER(MATCH(DATEVALUE($A254),'changes1_based on steps'!H$1:H$400,0)),H$2,)</f>
        <v>0</v>
      </c>
      <c r="I254" s="140">
        <f ca="1">IF(ISNUMBER(MATCH(DATEVALUE($A254),'changes1_based on steps'!I$1:I$400,0)),I$2,)</f>
        <v>0</v>
      </c>
      <c r="J254" s="140">
        <f ca="1">IF(ISNUMBER(MATCH(DATEVALUE($A254),'changes1_based on steps'!J$1:J$400,0)),J$2,)</f>
        <v>0</v>
      </c>
      <c r="K254" s="140">
        <f ca="1">IF(ISNUMBER(MATCH(DATEVALUE($A254),'changes1_based on steps'!K$1:K$400,0)),K$2,)</f>
        <v>0</v>
      </c>
      <c r="L254" s="140">
        <f ca="1">IF(ISNUMBER(MATCH(DATEVALUE($A254),'changes1_based on steps'!L$1:L$400,0)),L$2,)</f>
        <v>0</v>
      </c>
      <c r="M254" s="140">
        <f ca="1">IF(ISNUMBER(MATCH(DATEVALUE($A254),'changes1_based on steps'!M$1:M$400,0)),M$2,)</f>
        <v>0</v>
      </c>
      <c r="N254" s="140">
        <f ca="1">IF(ISNUMBER(MATCH(DATEVALUE($A254),'changes1_based on steps'!N$1:N$400,0)),N$2,)</f>
        <v>0</v>
      </c>
      <c r="O254" s="140">
        <f ca="1">IF(ISNUMBER(MATCH(DATEVALUE($A254),'changes1_based on steps'!O$1:O$400,0)),O$2,)</f>
        <v>0</v>
      </c>
      <c r="P254" s="140">
        <f ca="1">IF(ISNUMBER(MATCH(DATEVALUE($A254),'changes1_based on steps'!P$1:P$400,0)),P$2,)</f>
        <v>0</v>
      </c>
      <c r="Q254" s="140">
        <f ca="1">IF(ISNUMBER(MATCH(DATEVALUE($A254),'changes1_based on steps'!Q$1:Q$400,0)),Q$2,)</f>
        <v>0</v>
      </c>
      <c r="R254" s="140">
        <f ca="1">IF(ISNUMBER(MATCH(DATEVALUE($A254),'changes1_based on steps'!R$1:R$400,0)),R$2,)</f>
        <v>0</v>
      </c>
      <c r="S254" s="140">
        <f ca="1">IF(ISNUMBER(MATCH(DATEVALUE($A254),'changes1_based on steps'!S$1:S$400,0)),S$2,)</f>
        <v>0</v>
      </c>
      <c r="T254" s="140">
        <f ca="1">IF(ISNUMBER(MATCH(DATEVALUE($A254),'changes1_based on steps'!T$1:T$400,0)),T$2,)</f>
        <v>0</v>
      </c>
      <c r="U254" s="140">
        <f ca="1">IF(ISNUMBER(MATCH(DATEVALUE($A254),'changes1_based on steps'!U$1:U$400,0)),U$2,)</f>
        <v>0</v>
      </c>
      <c r="V254" s="140"/>
      <c r="W254" s="140"/>
      <c r="X254" s="140"/>
      <c r="Y254" s="140"/>
      <c r="Z254" s="140"/>
      <c r="AA254" s="140"/>
      <c r="AB254" s="140"/>
      <c r="AC254" s="140"/>
      <c r="AD254" s="140"/>
      <c r="AE254" s="140"/>
      <c r="AF254" s="140"/>
      <c r="AG254" s="140"/>
      <c r="AH254" s="140"/>
      <c r="AI254" s="140"/>
      <c r="AJ254" s="140"/>
      <c r="AK254" s="140"/>
      <c r="AL254" s="140"/>
      <c r="AM254" s="140"/>
      <c r="AN254" s="140"/>
      <c r="AO254" s="140"/>
      <c r="AP254" s="140"/>
      <c r="AQ254" s="140"/>
      <c r="AR254" s="140"/>
      <c r="AS254" s="140"/>
      <c r="AT254" s="140"/>
      <c r="AU254" s="140"/>
      <c r="AV254" s="140"/>
      <c r="AW254" s="140"/>
      <c r="AX254" s="140"/>
      <c r="AY254" s="140"/>
      <c r="AZ254" s="140"/>
      <c r="BA254" s="140"/>
      <c r="BB254" s="140"/>
      <c r="BC254" s="140"/>
      <c r="BD254" s="140"/>
      <c r="BE254" s="140"/>
      <c r="BF254" s="140"/>
      <c r="BG254" s="140"/>
      <c r="BH254" s="140"/>
      <c r="BI254" s="140"/>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row>
    <row r="255" spans="1:101" x14ac:dyDescent="0.2">
      <c r="A255" s="29" t="str">
        <f t="shared" ca="1" si="3"/>
        <v>2025-12-04</v>
      </c>
      <c r="B255" s="140">
        <f ca="1">IF(ISNUMBER(MATCH(DATEVALUE($A255),'changes1_based on steps'!B$1:B$400,0)),B$2,)</f>
        <v>0</v>
      </c>
      <c r="C255" s="140">
        <f ca="1">IF(ISNUMBER(MATCH(DATEVALUE($A255),'changes1_based on steps'!C$1:C$400,0)),C$2,)</f>
        <v>0</v>
      </c>
      <c r="D255" s="140">
        <f ca="1">IF(ISNUMBER(MATCH(DATEVALUE($A255),'changes1_based on steps'!D$1:D$400,0)),D$2,)</f>
        <v>0</v>
      </c>
      <c r="E255" s="140">
        <f ca="1">IF(ISNUMBER(MATCH(DATEVALUE($A255),'changes1_based on steps'!E$1:E$400,0)),E$2,)</f>
        <v>0</v>
      </c>
      <c r="F255" s="140">
        <f ca="1">IF(ISNUMBER(MATCH(DATEVALUE($A255),'changes1_based on steps'!F$1:F$400,0)),F$2,)</f>
        <v>0</v>
      </c>
      <c r="G255" s="140">
        <f ca="1">IF(ISNUMBER(MATCH(DATEVALUE($A255),'changes1_based on steps'!G$1:G$400,0)),G$2,)</f>
        <v>0</v>
      </c>
      <c r="H255" s="140">
        <f ca="1">IF(ISNUMBER(MATCH(DATEVALUE($A255),'changes1_based on steps'!H$1:H$400,0)),H$2,)</f>
        <v>0</v>
      </c>
      <c r="I255" s="140">
        <f ca="1">IF(ISNUMBER(MATCH(DATEVALUE($A255),'changes1_based on steps'!I$1:I$400,0)),I$2,)</f>
        <v>0</v>
      </c>
      <c r="J255" s="140">
        <f ca="1">IF(ISNUMBER(MATCH(DATEVALUE($A255),'changes1_based on steps'!J$1:J$400,0)),J$2,)</f>
        <v>0</v>
      </c>
      <c r="K255" s="140">
        <f ca="1">IF(ISNUMBER(MATCH(DATEVALUE($A255),'changes1_based on steps'!K$1:K$400,0)),K$2,)</f>
        <v>0</v>
      </c>
      <c r="L255" s="140">
        <f ca="1">IF(ISNUMBER(MATCH(DATEVALUE($A255),'changes1_based on steps'!L$1:L$400,0)),L$2,)</f>
        <v>0</v>
      </c>
      <c r="M255" s="140">
        <f ca="1">IF(ISNUMBER(MATCH(DATEVALUE($A255),'changes1_based on steps'!M$1:M$400,0)),M$2,)</f>
        <v>0</v>
      </c>
      <c r="N255" s="140">
        <f ca="1">IF(ISNUMBER(MATCH(DATEVALUE($A255),'changes1_based on steps'!N$1:N$400,0)),N$2,)</f>
        <v>0</v>
      </c>
      <c r="O255" s="140">
        <f ca="1">IF(ISNUMBER(MATCH(DATEVALUE($A255),'changes1_based on steps'!O$1:O$400,0)),O$2,)</f>
        <v>0</v>
      </c>
      <c r="P255" s="140">
        <f ca="1">IF(ISNUMBER(MATCH(DATEVALUE($A255),'changes1_based on steps'!P$1:P$400,0)),P$2,)</f>
        <v>0</v>
      </c>
      <c r="Q255" s="140">
        <f ca="1">IF(ISNUMBER(MATCH(DATEVALUE($A255),'changes1_based on steps'!Q$1:Q$400,0)),Q$2,)</f>
        <v>0</v>
      </c>
      <c r="R255" s="140">
        <f ca="1">IF(ISNUMBER(MATCH(DATEVALUE($A255),'changes1_based on steps'!R$1:R$400,0)),R$2,)</f>
        <v>0</v>
      </c>
      <c r="S255" s="140">
        <f ca="1">IF(ISNUMBER(MATCH(DATEVALUE($A255),'changes1_based on steps'!S$1:S$400,0)),S$2,)</f>
        <v>0</v>
      </c>
      <c r="T255" s="140">
        <f ca="1">IF(ISNUMBER(MATCH(DATEVALUE($A255),'changes1_based on steps'!T$1:T$400,0)),T$2,)</f>
        <v>0</v>
      </c>
      <c r="U255" s="140">
        <f ca="1">IF(ISNUMBER(MATCH(DATEVALUE($A255),'changes1_based on steps'!U$1:U$400,0)),U$2,)</f>
        <v>0</v>
      </c>
      <c r="V255" s="140"/>
      <c r="W255" s="140"/>
      <c r="X255" s="140"/>
      <c r="Y255" s="140"/>
      <c r="Z255" s="140"/>
      <c r="AA255" s="140"/>
      <c r="AB255" s="140"/>
      <c r="AC255" s="140"/>
      <c r="AD255" s="140"/>
      <c r="AE255" s="140"/>
      <c r="AF255" s="140"/>
      <c r="AG255" s="140"/>
      <c r="AH255" s="140"/>
      <c r="AI255" s="140"/>
      <c r="AJ255" s="140"/>
      <c r="AK255" s="140"/>
      <c r="AL255" s="140"/>
      <c r="AM255" s="140"/>
      <c r="AN255" s="140"/>
      <c r="AO255" s="140"/>
      <c r="AP255" s="140"/>
      <c r="AQ255" s="140"/>
      <c r="AR255" s="140"/>
      <c r="AS255" s="140"/>
      <c r="AT255" s="140"/>
      <c r="AU255" s="140"/>
      <c r="AV255" s="140"/>
      <c r="AW255" s="140"/>
      <c r="AX255" s="140"/>
      <c r="AY255" s="140"/>
      <c r="AZ255" s="140"/>
      <c r="BA255" s="140"/>
      <c r="BB255" s="140"/>
      <c r="BC255" s="140"/>
      <c r="BD255" s="140"/>
      <c r="BE255" s="140"/>
      <c r="BF255" s="140"/>
      <c r="BG255" s="140"/>
      <c r="BH255" s="140"/>
      <c r="BI255" s="140"/>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row>
    <row r="256" spans="1:101" x14ac:dyDescent="0.2">
      <c r="A256" s="29" t="str">
        <f t="shared" ca="1" si="3"/>
        <v>2025-12-05</v>
      </c>
      <c r="B256" s="140">
        <f ca="1">IF(ISNUMBER(MATCH(DATEVALUE($A256),'changes1_based on steps'!B$1:B$400,0)),B$2,)</f>
        <v>0</v>
      </c>
      <c r="C256" s="140">
        <f ca="1">IF(ISNUMBER(MATCH(DATEVALUE($A256),'changes1_based on steps'!C$1:C$400,0)),C$2,)</f>
        <v>0</v>
      </c>
      <c r="D256" s="140">
        <f ca="1">IF(ISNUMBER(MATCH(DATEVALUE($A256),'changes1_based on steps'!D$1:D$400,0)),D$2,)</f>
        <v>0</v>
      </c>
      <c r="E256" s="140">
        <f ca="1">IF(ISNUMBER(MATCH(DATEVALUE($A256),'changes1_based on steps'!E$1:E$400,0)),E$2,)</f>
        <v>0</v>
      </c>
      <c r="F256" s="140">
        <f ca="1">IF(ISNUMBER(MATCH(DATEVALUE($A256),'changes1_based on steps'!F$1:F$400,0)),F$2,)</f>
        <v>0</v>
      </c>
      <c r="G256" s="140">
        <f ca="1">IF(ISNUMBER(MATCH(DATEVALUE($A256),'changes1_based on steps'!G$1:G$400,0)),G$2,)</f>
        <v>0</v>
      </c>
      <c r="H256" s="140">
        <f ca="1">IF(ISNUMBER(MATCH(DATEVALUE($A256),'changes1_based on steps'!H$1:H$400,0)),H$2,)</f>
        <v>0</v>
      </c>
      <c r="I256" s="140">
        <f ca="1">IF(ISNUMBER(MATCH(DATEVALUE($A256),'changes1_based on steps'!I$1:I$400,0)),I$2,)</f>
        <v>0</v>
      </c>
      <c r="J256" s="140">
        <f ca="1">IF(ISNUMBER(MATCH(DATEVALUE($A256),'changes1_based on steps'!J$1:J$400,0)),J$2,)</f>
        <v>0</v>
      </c>
      <c r="K256" s="140">
        <f ca="1">IF(ISNUMBER(MATCH(DATEVALUE($A256),'changes1_based on steps'!K$1:K$400,0)),K$2,)</f>
        <v>0</v>
      </c>
      <c r="L256" s="140">
        <f ca="1">IF(ISNUMBER(MATCH(DATEVALUE($A256),'changes1_based on steps'!L$1:L$400,0)),L$2,)</f>
        <v>0</v>
      </c>
      <c r="M256" s="140">
        <f ca="1">IF(ISNUMBER(MATCH(DATEVALUE($A256),'changes1_based on steps'!M$1:M$400,0)),M$2,)</f>
        <v>0</v>
      </c>
      <c r="N256" s="140">
        <f ca="1">IF(ISNUMBER(MATCH(DATEVALUE($A256),'changes1_based on steps'!N$1:N$400,0)),N$2,)</f>
        <v>0</v>
      </c>
      <c r="O256" s="140">
        <f ca="1">IF(ISNUMBER(MATCH(DATEVALUE($A256),'changes1_based on steps'!O$1:O$400,0)),O$2,)</f>
        <v>0</v>
      </c>
      <c r="P256" s="140">
        <f ca="1">IF(ISNUMBER(MATCH(DATEVALUE($A256),'changes1_based on steps'!P$1:P$400,0)),P$2,)</f>
        <v>0</v>
      </c>
      <c r="Q256" s="140">
        <f ca="1">IF(ISNUMBER(MATCH(DATEVALUE($A256),'changes1_based on steps'!Q$1:Q$400,0)),Q$2,)</f>
        <v>0</v>
      </c>
      <c r="R256" s="140">
        <f ca="1">IF(ISNUMBER(MATCH(DATEVALUE($A256),'changes1_based on steps'!R$1:R$400,0)),R$2,)</f>
        <v>0</v>
      </c>
      <c r="S256" s="140">
        <f ca="1">IF(ISNUMBER(MATCH(DATEVALUE($A256),'changes1_based on steps'!S$1:S$400,0)),S$2,)</f>
        <v>0</v>
      </c>
      <c r="T256" s="140">
        <f ca="1">IF(ISNUMBER(MATCH(DATEVALUE($A256),'changes1_based on steps'!T$1:T$400,0)),T$2,)</f>
        <v>0</v>
      </c>
      <c r="U256" s="140">
        <f ca="1">IF(ISNUMBER(MATCH(DATEVALUE($A256),'changes1_based on steps'!U$1:U$400,0)),U$2,)</f>
        <v>0</v>
      </c>
      <c r="V256" s="140"/>
      <c r="W256" s="140"/>
      <c r="X256" s="140"/>
      <c r="Y256" s="140"/>
      <c r="Z256" s="140"/>
      <c r="AA256" s="140"/>
      <c r="AB256" s="140"/>
      <c r="AC256" s="140"/>
      <c r="AD256" s="140"/>
      <c r="AE256" s="140"/>
      <c r="AF256" s="140"/>
      <c r="AG256" s="140"/>
      <c r="AH256" s="140"/>
      <c r="AI256" s="140"/>
      <c r="AJ256" s="140"/>
      <c r="AK256" s="140"/>
      <c r="AL256" s="140"/>
      <c r="AM256" s="140"/>
      <c r="AN256" s="140"/>
      <c r="AO256" s="140"/>
      <c r="AP256" s="140"/>
      <c r="AQ256" s="140"/>
      <c r="AR256" s="140"/>
      <c r="AS256" s="140"/>
      <c r="AT256" s="140"/>
      <c r="AU256" s="140"/>
      <c r="AV256" s="140"/>
      <c r="AW256" s="140"/>
      <c r="AX256" s="140"/>
      <c r="AY256" s="140"/>
      <c r="AZ256" s="140"/>
      <c r="BA256" s="140"/>
      <c r="BB256" s="140"/>
      <c r="BC256" s="140"/>
      <c r="BD256" s="140"/>
      <c r="BE256" s="140"/>
      <c r="BF256" s="140"/>
      <c r="BG256" s="140"/>
      <c r="BH256" s="140"/>
      <c r="BI256" s="140"/>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row>
    <row r="257" spans="1:101" x14ac:dyDescent="0.2">
      <c r="A257" s="29" t="str">
        <f t="shared" ca="1" si="3"/>
        <v>2025-12-06</v>
      </c>
      <c r="B257" s="140">
        <f ca="1">IF(ISNUMBER(MATCH(DATEVALUE($A257),'changes1_based on steps'!B$1:B$400,0)),B$2,)</f>
        <v>0</v>
      </c>
      <c r="C257" s="140">
        <f ca="1">IF(ISNUMBER(MATCH(DATEVALUE($A257),'changes1_based on steps'!C$1:C$400,0)),C$2,)</f>
        <v>0</v>
      </c>
      <c r="D257" s="140">
        <f ca="1">IF(ISNUMBER(MATCH(DATEVALUE($A257),'changes1_based on steps'!D$1:D$400,0)),D$2,)</f>
        <v>0</v>
      </c>
      <c r="E257" s="140">
        <f ca="1">IF(ISNUMBER(MATCH(DATEVALUE($A257),'changes1_based on steps'!E$1:E$400,0)),E$2,)</f>
        <v>0</v>
      </c>
      <c r="F257" s="140">
        <f ca="1">IF(ISNUMBER(MATCH(DATEVALUE($A257),'changes1_based on steps'!F$1:F$400,0)),F$2,)</f>
        <v>0</v>
      </c>
      <c r="G257" s="140">
        <f ca="1">IF(ISNUMBER(MATCH(DATEVALUE($A257),'changes1_based on steps'!G$1:G$400,0)),G$2,)</f>
        <v>0</v>
      </c>
      <c r="H257" s="140">
        <f ca="1">IF(ISNUMBER(MATCH(DATEVALUE($A257),'changes1_based on steps'!H$1:H$400,0)),H$2,)</f>
        <v>0</v>
      </c>
      <c r="I257" s="140">
        <f ca="1">IF(ISNUMBER(MATCH(DATEVALUE($A257),'changes1_based on steps'!I$1:I$400,0)),I$2,)</f>
        <v>0</v>
      </c>
      <c r="J257" s="140">
        <f ca="1">IF(ISNUMBER(MATCH(DATEVALUE($A257),'changes1_based on steps'!J$1:J$400,0)),J$2,)</f>
        <v>0</v>
      </c>
      <c r="K257" s="140">
        <f ca="1">IF(ISNUMBER(MATCH(DATEVALUE($A257),'changes1_based on steps'!K$1:K$400,0)),K$2,)</f>
        <v>0</v>
      </c>
      <c r="L257" s="140">
        <f ca="1">IF(ISNUMBER(MATCH(DATEVALUE($A257),'changes1_based on steps'!L$1:L$400,0)),L$2,)</f>
        <v>0</v>
      </c>
      <c r="M257" s="140">
        <f ca="1">IF(ISNUMBER(MATCH(DATEVALUE($A257),'changes1_based on steps'!M$1:M$400,0)),M$2,)</f>
        <v>0</v>
      </c>
      <c r="N257" s="140">
        <f ca="1">IF(ISNUMBER(MATCH(DATEVALUE($A257),'changes1_based on steps'!N$1:N$400,0)),N$2,)</f>
        <v>0</v>
      </c>
      <c r="O257" s="140">
        <f ca="1">IF(ISNUMBER(MATCH(DATEVALUE($A257),'changes1_based on steps'!O$1:O$400,0)),O$2,)</f>
        <v>0</v>
      </c>
      <c r="P257" s="140">
        <f ca="1">IF(ISNUMBER(MATCH(DATEVALUE($A257),'changes1_based on steps'!P$1:P$400,0)),P$2,)</f>
        <v>0</v>
      </c>
      <c r="Q257" s="140">
        <f ca="1">IF(ISNUMBER(MATCH(DATEVALUE($A257),'changes1_based on steps'!Q$1:Q$400,0)),Q$2,)</f>
        <v>0</v>
      </c>
      <c r="R257" s="140">
        <f ca="1">IF(ISNUMBER(MATCH(DATEVALUE($A257),'changes1_based on steps'!R$1:R$400,0)),R$2,)</f>
        <v>0</v>
      </c>
      <c r="S257" s="140">
        <f ca="1">IF(ISNUMBER(MATCH(DATEVALUE($A257),'changes1_based on steps'!S$1:S$400,0)),S$2,)</f>
        <v>0</v>
      </c>
      <c r="T257" s="140">
        <f ca="1">IF(ISNUMBER(MATCH(DATEVALUE($A257),'changes1_based on steps'!T$1:T$400,0)),T$2,)</f>
        <v>0</v>
      </c>
      <c r="U257" s="140">
        <f ca="1">IF(ISNUMBER(MATCH(DATEVALUE($A257),'changes1_based on steps'!U$1:U$400,0)),U$2,)</f>
        <v>0</v>
      </c>
      <c r="V257" s="140"/>
      <c r="W257" s="140"/>
      <c r="X257" s="140"/>
      <c r="Y257" s="140"/>
      <c r="Z257" s="140"/>
      <c r="AA257" s="140"/>
      <c r="AB257" s="140"/>
      <c r="AC257" s="140"/>
      <c r="AD257" s="140"/>
      <c r="AE257" s="140"/>
      <c r="AF257" s="140"/>
      <c r="AG257" s="140"/>
      <c r="AH257" s="140"/>
      <c r="AI257" s="140"/>
      <c r="AJ257" s="140"/>
      <c r="AK257" s="140"/>
      <c r="AL257" s="140"/>
      <c r="AM257" s="140"/>
      <c r="AN257" s="140"/>
      <c r="AO257" s="140"/>
      <c r="AP257" s="140"/>
      <c r="AQ257" s="140"/>
      <c r="AR257" s="140"/>
      <c r="AS257" s="140"/>
      <c r="AT257" s="140"/>
      <c r="AU257" s="140"/>
      <c r="AV257" s="140"/>
      <c r="AW257" s="140"/>
      <c r="AX257" s="140"/>
      <c r="AY257" s="140"/>
      <c r="AZ257" s="140"/>
      <c r="BA257" s="140"/>
      <c r="BB257" s="140"/>
      <c r="BC257" s="140"/>
      <c r="BD257" s="140"/>
      <c r="BE257" s="140"/>
      <c r="BF257" s="140"/>
      <c r="BG257" s="140"/>
      <c r="BH257" s="140"/>
      <c r="BI257" s="140"/>
      <c r="BJ257" s="140"/>
      <c r="BK257" s="140"/>
      <c r="BL257" s="140"/>
      <c r="BM257" s="140"/>
      <c r="BN257" s="140"/>
      <c r="BO257" s="140"/>
      <c r="BP257" s="140"/>
      <c r="BQ257" s="140"/>
      <c r="BR257" s="140"/>
      <c r="BS257" s="140"/>
      <c r="BT257" s="140"/>
      <c r="BU257" s="140"/>
      <c r="BV257" s="140"/>
      <c r="BW257" s="140"/>
      <c r="BX257" s="140"/>
      <c r="BY257" s="140"/>
      <c r="BZ257" s="140"/>
      <c r="CA257" s="140"/>
      <c r="CB257" s="140"/>
      <c r="CC257" s="140"/>
      <c r="CD257" s="140"/>
      <c r="CE257" s="140"/>
      <c r="CF257" s="140"/>
      <c r="CG257" s="140"/>
      <c r="CH257" s="140"/>
      <c r="CI257" s="140"/>
      <c r="CJ257" s="140"/>
      <c r="CK257" s="140"/>
      <c r="CL257" s="140"/>
      <c r="CM257" s="140"/>
      <c r="CN257" s="140"/>
      <c r="CO257" s="140"/>
      <c r="CP257" s="140"/>
      <c r="CQ257" s="140"/>
      <c r="CR257" s="140"/>
      <c r="CS257" s="140"/>
      <c r="CT257" s="140"/>
      <c r="CU257" s="140"/>
      <c r="CV257" s="140"/>
      <c r="CW257" s="140"/>
    </row>
    <row r="258" spans="1:101" x14ac:dyDescent="0.2">
      <c r="A258" s="29" t="str">
        <f t="shared" ca="1" si="3"/>
        <v>2025-12-07</v>
      </c>
      <c r="B258" s="140">
        <f ca="1">IF(ISNUMBER(MATCH(DATEVALUE($A258),'changes1_based on steps'!B$1:B$400,0)),B$2,)</f>
        <v>0</v>
      </c>
      <c r="C258" s="140">
        <f ca="1">IF(ISNUMBER(MATCH(DATEVALUE($A258),'changes1_based on steps'!C$1:C$400,0)),C$2,)</f>
        <v>0</v>
      </c>
      <c r="D258" s="140">
        <f ca="1">IF(ISNUMBER(MATCH(DATEVALUE($A258),'changes1_based on steps'!D$1:D$400,0)),D$2,)</f>
        <v>0</v>
      </c>
      <c r="E258" s="140">
        <f ca="1">IF(ISNUMBER(MATCH(DATEVALUE($A258),'changes1_based on steps'!E$1:E$400,0)),E$2,)</f>
        <v>0</v>
      </c>
      <c r="F258" s="140">
        <f ca="1">IF(ISNUMBER(MATCH(DATEVALUE($A258),'changes1_based on steps'!F$1:F$400,0)),F$2,)</f>
        <v>0</v>
      </c>
      <c r="G258" s="140">
        <f ca="1">IF(ISNUMBER(MATCH(DATEVALUE($A258),'changes1_based on steps'!G$1:G$400,0)),G$2,)</f>
        <v>0</v>
      </c>
      <c r="H258" s="140">
        <f ca="1">IF(ISNUMBER(MATCH(DATEVALUE($A258),'changes1_based on steps'!H$1:H$400,0)),H$2,)</f>
        <v>0</v>
      </c>
      <c r="I258" s="140">
        <f ca="1">IF(ISNUMBER(MATCH(DATEVALUE($A258),'changes1_based on steps'!I$1:I$400,0)),I$2,)</f>
        <v>0</v>
      </c>
      <c r="J258" s="140">
        <f ca="1">IF(ISNUMBER(MATCH(DATEVALUE($A258),'changes1_based on steps'!J$1:J$400,0)),J$2,)</f>
        <v>0</v>
      </c>
      <c r="K258" s="140">
        <f ca="1">IF(ISNUMBER(MATCH(DATEVALUE($A258),'changes1_based on steps'!K$1:K$400,0)),K$2,)</f>
        <v>0</v>
      </c>
      <c r="L258" s="140">
        <f ca="1">IF(ISNUMBER(MATCH(DATEVALUE($A258),'changes1_based on steps'!L$1:L$400,0)),L$2,)</f>
        <v>0</v>
      </c>
      <c r="M258" s="140">
        <f ca="1">IF(ISNUMBER(MATCH(DATEVALUE($A258),'changes1_based on steps'!M$1:M$400,0)),M$2,)</f>
        <v>0</v>
      </c>
      <c r="N258" s="140">
        <f ca="1">IF(ISNUMBER(MATCH(DATEVALUE($A258),'changes1_based on steps'!N$1:N$400,0)),N$2,)</f>
        <v>0</v>
      </c>
      <c r="O258" s="140">
        <f ca="1">IF(ISNUMBER(MATCH(DATEVALUE($A258),'changes1_based on steps'!O$1:O$400,0)),O$2,)</f>
        <v>0</v>
      </c>
      <c r="P258" s="140">
        <f ca="1">IF(ISNUMBER(MATCH(DATEVALUE($A258),'changes1_based on steps'!P$1:P$400,0)),P$2,)</f>
        <v>0</v>
      </c>
      <c r="Q258" s="140">
        <f ca="1">IF(ISNUMBER(MATCH(DATEVALUE($A258),'changes1_based on steps'!Q$1:Q$400,0)),Q$2,)</f>
        <v>0</v>
      </c>
      <c r="R258" s="140">
        <f ca="1">IF(ISNUMBER(MATCH(DATEVALUE($A258),'changes1_based on steps'!R$1:R$400,0)),R$2,)</f>
        <v>0</v>
      </c>
      <c r="S258" s="140">
        <f ca="1">IF(ISNUMBER(MATCH(DATEVALUE($A258),'changes1_based on steps'!S$1:S$400,0)),S$2,)</f>
        <v>0</v>
      </c>
      <c r="T258" s="140">
        <f ca="1">IF(ISNUMBER(MATCH(DATEVALUE($A258),'changes1_based on steps'!T$1:T$400,0)),T$2,)</f>
        <v>0</v>
      </c>
      <c r="U258" s="140">
        <f ca="1">IF(ISNUMBER(MATCH(DATEVALUE($A258),'changes1_based on steps'!U$1:U$400,0)),U$2,)</f>
        <v>0</v>
      </c>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c r="AW258" s="140"/>
      <c r="AX258" s="140"/>
      <c r="AY258" s="140"/>
      <c r="AZ258" s="140"/>
      <c r="BA258" s="140"/>
      <c r="BB258" s="140"/>
      <c r="BC258" s="140"/>
      <c r="BD258" s="140"/>
      <c r="BE258" s="140"/>
      <c r="BF258" s="140"/>
      <c r="BG258" s="140"/>
      <c r="BH258" s="140"/>
      <c r="BI258" s="140"/>
      <c r="BJ258" s="140"/>
      <c r="BK258" s="140"/>
      <c r="BL258" s="140"/>
      <c r="BM258" s="140"/>
      <c r="BN258" s="140"/>
      <c r="BO258" s="140"/>
      <c r="BP258" s="140"/>
      <c r="BQ258" s="140"/>
      <c r="BR258" s="140"/>
      <c r="BS258" s="140"/>
      <c r="BT258" s="140"/>
      <c r="BU258" s="140"/>
      <c r="BV258" s="140"/>
      <c r="BW258" s="140"/>
      <c r="BX258" s="140"/>
      <c r="BY258" s="140"/>
      <c r="BZ258" s="140"/>
      <c r="CA258" s="140"/>
      <c r="CB258" s="140"/>
      <c r="CC258" s="140"/>
      <c r="CD258" s="140"/>
      <c r="CE258" s="140"/>
      <c r="CF258" s="140"/>
      <c r="CG258" s="140"/>
      <c r="CH258" s="140"/>
      <c r="CI258" s="140"/>
      <c r="CJ258" s="140"/>
      <c r="CK258" s="140"/>
      <c r="CL258" s="140"/>
      <c r="CM258" s="140"/>
      <c r="CN258" s="140"/>
      <c r="CO258" s="140"/>
      <c r="CP258" s="140"/>
      <c r="CQ258" s="140"/>
      <c r="CR258" s="140"/>
      <c r="CS258" s="140"/>
      <c r="CT258" s="140"/>
      <c r="CU258" s="140"/>
      <c r="CV258" s="140"/>
      <c r="CW258" s="140"/>
    </row>
    <row r="259" spans="1:101" x14ac:dyDescent="0.2">
      <c r="A259" s="29" t="str">
        <f t="shared" ca="1" si="3"/>
        <v>2025-12-08</v>
      </c>
      <c r="B259" s="140">
        <f ca="1">IF(ISNUMBER(MATCH(DATEVALUE($A259),'changes1_based on steps'!B$1:B$400,0)),B$2,)</f>
        <v>0</v>
      </c>
      <c r="C259" s="140">
        <f ca="1">IF(ISNUMBER(MATCH(DATEVALUE($A259),'changes1_based on steps'!C$1:C$400,0)),C$2,)</f>
        <v>0</v>
      </c>
      <c r="D259" s="140">
        <f ca="1">IF(ISNUMBER(MATCH(DATEVALUE($A259),'changes1_based on steps'!D$1:D$400,0)),D$2,)</f>
        <v>0</v>
      </c>
      <c r="E259" s="140">
        <f ca="1">IF(ISNUMBER(MATCH(DATEVALUE($A259),'changes1_based on steps'!E$1:E$400,0)),E$2,)</f>
        <v>0</v>
      </c>
      <c r="F259" s="140">
        <f ca="1">IF(ISNUMBER(MATCH(DATEVALUE($A259),'changes1_based on steps'!F$1:F$400,0)),F$2,)</f>
        <v>0</v>
      </c>
      <c r="G259" s="140">
        <f ca="1">IF(ISNUMBER(MATCH(DATEVALUE($A259),'changes1_based on steps'!G$1:G$400,0)),G$2,)</f>
        <v>0</v>
      </c>
      <c r="H259" s="140">
        <f ca="1">IF(ISNUMBER(MATCH(DATEVALUE($A259),'changes1_based on steps'!H$1:H$400,0)),H$2,)</f>
        <v>0</v>
      </c>
      <c r="I259" s="140">
        <f ca="1">IF(ISNUMBER(MATCH(DATEVALUE($A259),'changes1_based on steps'!I$1:I$400,0)),I$2,)</f>
        <v>0</v>
      </c>
      <c r="J259" s="140">
        <f ca="1">IF(ISNUMBER(MATCH(DATEVALUE($A259),'changes1_based on steps'!J$1:J$400,0)),J$2,)</f>
        <v>0</v>
      </c>
      <c r="K259" s="140">
        <f ca="1">IF(ISNUMBER(MATCH(DATEVALUE($A259),'changes1_based on steps'!K$1:K$400,0)),K$2,)</f>
        <v>0</v>
      </c>
      <c r="L259" s="140">
        <f ca="1">IF(ISNUMBER(MATCH(DATEVALUE($A259),'changes1_based on steps'!L$1:L$400,0)),L$2,)</f>
        <v>0</v>
      </c>
      <c r="M259" s="140">
        <f ca="1">IF(ISNUMBER(MATCH(DATEVALUE($A259),'changes1_based on steps'!M$1:M$400,0)),M$2,)</f>
        <v>0</v>
      </c>
      <c r="N259" s="140">
        <f ca="1">IF(ISNUMBER(MATCH(DATEVALUE($A259),'changes1_based on steps'!N$1:N$400,0)),N$2,)</f>
        <v>0</v>
      </c>
      <c r="O259" s="140">
        <f ca="1">IF(ISNUMBER(MATCH(DATEVALUE($A259),'changes1_based on steps'!O$1:O$400,0)),O$2,)</f>
        <v>0</v>
      </c>
      <c r="P259" s="140">
        <f ca="1">IF(ISNUMBER(MATCH(DATEVALUE($A259),'changes1_based on steps'!P$1:P$400,0)),P$2,)</f>
        <v>0</v>
      </c>
      <c r="Q259" s="140">
        <f ca="1">IF(ISNUMBER(MATCH(DATEVALUE($A259),'changes1_based on steps'!Q$1:Q$400,0)),Q$2,)</f>
        <v>0</v>
      </c>
      <c r="R259" s="140">
        <f ca="1">IF(ISNUMBER(MATCH(DATEVALUE($A259),'changes1_based on steps'!R$1:R$400,0)),R$2,)</f>
        <v>0</v>
      </c>
      <c r="S259" s="140">
        <f ca="1">IF(ISNUMBER(MATCH(DATEVALUE($A259),'changes1_based on steps'!S$1:S$400,0)),S$2,)</f>
        <v>0</v>
      </c>
      <c r="T259" s="140">
        <f ca="1">IF(ISNUMBER(MATCH(DATEVALUE($A259),'changes1_based on steps'!T$1:T$400,0)),T$2,)</f>
        <v>0</v>
      </c>
      <c r="U259" s="140">
        <f ca="1">IF(ISNUMBER(MATCH(DATEVALUE($A259),'changes1_based on steps'!U$1:U$400,0)),U$2,)</f>
        <v>0</v>
      </c>
      <c r="V259" s="140"/>
      <c r="W259" s="140"/>
      <c r="X259" s="140"/>
      <c r="Y259" s="140"/>
      <c r="Z259" s="140"/>
      <c r="AA259" s="140"/>
      <c r="AB259" s="140"/>
      <c r="AC259" s="140"/>
      <c r="AD259" s="140"/>
      <c r="AE259" s="140"/>
      <c r="AF259" s="140"/>
      <c r="AG259" s="140"/>
      <c r="AH259" s="140"/>
      <c r="AI259" s="140"/>
      <c r="AJ259" s="140"/>
      <c r="AK259" s="140"/>
      <c r="AL259" s="140"/>
      <c r="AM259" s="140"/>
      <c r="AN259" s="140"/>
      <c r="AO259" s="140"/>
      <c r="AP259" s="140"/>
      <c r="AQ259" s="140"/>
      <c r="AR259" s="140"/>
      <c r="AS259" s="140"/>
      <c r="AT259" s="140"/>
      <c r="AU259" s="140"/>
      <c r="AV259" s="140"/>
      <c r="AW259" s="140"/>
      <c r="AX259" s="140"/>
      <c r="AY259" s="140"/>
      <c r="AZ259" s="140"/>
      <c r="BA259" s="140"/>
      <c r="BB259" s="140"/>
      <c r="BC259" s="140"/>
      <c r="BD259" s="140"/>
      <c r="BE259" s="140"/>
      <c r="BF259" s="140"/>
      <c r="BG259" s="140"/>
      <c r="BH259" s="140"/>
      <c r="BI259" s="140"/>
      <c r="BJ259" s="140"/>
      <c r="BK259" s="140"/>
      <c r="BL259" s="140"/>
      <c r="BM259" s="140"/>
      <c r="BN259" s="140"/>
      <c r="BO259" s="140"/>
      <c r="BP259" s="140"/>
      <c r="BQ259" s="140"/>
      <c r="BR259" s="140"/>
      <c r="BS259" s="140"/>
      <c r="BT259" s="140"/>
      <c r="BU259" s="140"/>
      <c r="BV259" s="140"/>
      <c r="BW259" s="140"/>
      <c r="BX259" s="140"/>
      <c r="BY259" s="140"/>
      <c r="BZ259" s="140"/>
      <c r="CA259" s="140"/>
      <c r="CB259" s="140"/>
      <c r="CC259" s="140"/>
      <c r="CD259" s="140"/>
      <c r="CE259" s="140"/>
      <c r="CF259" s="140"/>
      <c r="CG259" s="140"/>
      <c r="CH259" s="140"/>
      <c r="CI259" s="140"/>
      <c r="CJ259" s="140"/>
      <c r="CK259" s="140"/>
      <c r="CL259" s="140"/>
      <c r="CM259" s="140"/>
      <c r="CN259" s="140"/>
      <c r="CO259" s="140"/>
      <c r="CP259" s="140"/>
      <c r="CQ259" s="140"/>
      <c r="CR259" s="140"/>
      <c r="CS259" s="140"/>
      <c r="CT259" s="140"/>
      <c r="CU259" s="140"/>
      <c r="CV259" s="140"/>
      <c r="CW259" s="140"/>
    </row>
    <row r="260" spans="1:101" x14ac:dyDescent="0.2">
      <c r="A260" s="29" t="str">
        <f t="shared" ca="1" si="3"/>
        <v>2025-12-09</v>
      </c>
      <c r="B260" s="140">
        <f ca="1">IF(ISNUMBER(MATCH(DATEVALUE($A260),'changes1_based on steps'!B$1:B$400,0)),B$2,)</f>
        <v>0</v>
      </c>
      <c r="C260" s="140">
        <f ca="1">IF(ISNUMBER(MATCH(DATEVALUE($A260),'changes1_based on steps'!C$1:C$400,0)),C$2,)</f>
        <v>0</v>
      </c>
      <c r="D260" s="140">
        <f ca="1">IF(ISNUMBER(MATCH(DATEVALUE($A260),'changes1_based on steps'!D$1:D$400,0)),D$2,)</f>
        <v>0</v>
      </c>
      <c r="E260" s="140">
        <f ca="1">IF(ISNUMBER(MATCH(DATEVALUE($A260),'changes1_based on steps'!E$1:E$400,0)),E$2,)</f>
        <v>0</v>
      </c>
      <c r="F260" s="140">
        <f ca="1">IF(ISNUMBER(MATCH(DATEVALUE($A260),'changes1_based on steps'!F$1:F$400,0)),F$2,)</f>
        <v>0</v>
      </c>
      <c r="G260" s="140">
        <f ca="1">IF(ISNUMBER(MATCH(DATEVALUE($A260),'changes1_based on steps'!G$1:G$400,0)),G$2,)</f>
        <v>0</v>
      </c>
      <c r="H260" s="140">
        <f ca="1">IF(ISNUMBER(MATCH(DATEVALUE($A260),'changes1_based on steps'!H$1:H$400,0)),H$2,)</f>
        <v>0</v>
      </c>
      <c r="I260" s="140">
        <f ca="1">IF(ISNUMBER(MATCH(DATEVALUE($A260),'changes1_based on steps'!I$1:I$400,0)),I$2,)</f>
        <v>0</v>
      </c>
      <c r="J260" s="140">
        <f ca="1">IF(ISNUMBER(MATCH(DATEVALUE($A260),'changes1_based on steps'!J$1:J$400,0)),J$2,)</f>
        <v>0</v>
      </c>
      <c r="K260" s="140">
        <f ca="1">IF(ISNUMBER(MATCH(DATEVALUE($A260),'changes1_based on steps'!K$1:K$400,0)),K$2,)</f>
        <v>0</v>
      </c>
      <c r="L260" s="140">
        <f ca="1">IF(ISNUMBER(MATCH(DATEVALUE($A260),'changes1_based on steps'!L$1:L$400,0)),L$2,)</f>
        <v>0</v>
      </c>
      <c r="M260" s="140">
        <f ca="1">IF(ISNUMBER(MATCH(DATEVALUE($A260),'changes1_based on steps'!M$1:M$400,0)),M$2,)</f>
        <v>0</v>
      </c>
      <c r="N260" s="140">
        <f ca="1">IF(ISNUMBER(MATCH(DATEVALUE($A260),'changes1_based on steps'!N$1:N$400,0)),N$2,)</f>
        <v>0</v>
      </c>
      <c r="O260" s="140">
        <f ca="1">IF(ISNUMBER(MATCH(DATEVALUE($A260),'changes1_based on steps'!O$1:O$400,0)),O$2,)</f>
        <v>0</v>
      </c>
      <c r="P260" s="140">
        <f ca="1">IF(ISNUMBER(MATCH(DATEVALUE($A260),'changes1_based on steps'!P$1:P$400,0)),P$2,)</f>
        <v>0</v>
      </c>
      <c r="Q260" s="140">
        <f ca="1">IF(ISNUMBER(MATCH(DATEVALUE($A260),'changes1_based on steps'!Q$1:Q$400,0)),Q$2,)</f>
        <v>0</v>
      </c>
      <c r="R260" s="140">
        <f ca="1">IF(ISNUMBER(MATCH(DATEVALUE($A260),'changes1_based on steps'!R$1:R$400,0)),R$2,)</f>
        <v>0</v>
      </c>
      <c r="S260" s="140">
        <f ca="1">IF(ISNUMBER(MATCH(DATEVALUE($A260),'changes1_based on steps'!S$1:S$400,0)),S$2,)</f>
        <v>0</v>
      </c>
      <c r="T260" s="140">
        <f ca="1">IF(ISNUMBER(MATCH(DATEVALUE($A260),'changes1_based on steps'!T$1:T$400,0)),T$2,)</f>
        <v>0</v>
      </c>
      <c r="U260" s="140">
        <f ca="1">IF(ISNUMBER(MATCH(DATEVALUE($A260),'changes1_based on steps'!U$1:U$400,0)),U$2,)</f>
        <v>0</v>
      </c>
      <c r="V260" s="140"/>
      <c r="W260" s="140"/>
      <c r="X260" s="140"/>
      <c r="Y260" s="140"/>
      <c r="Z260" s="140"/>
      <c r="AA260" s="140"/>
      <c r="AB260" s="140"/>
      <c r="AC260" s="140"/>
      <c r="AD260" s="140"/>
      <c r="AE260" s="140"/>
      <c r="AF260" s="140"/>
      <c r="AG260" s="140"/>
      <c r="AH260" s="140"/>
      <c r="AI260" s="140"/>
      <c r="AJ260" s="140"/>
      <c r="AK260" s="140"/>
      <c r="AL260" s="140"/>
      <c r="AM260" s="140"/>
      <c r="AN260" s="140"/>
      <c r="AO260" s="140"/>
      <c r="AP260" s="140"/>
      <c r="AQ260" s="140"/>
      <c r="AR260" s="140"/>
      <c r="AS260" s="140"/>
      <c r="AT260" s="140"/>
      <c r="AU260" s="140"/>
      <c r="AV260" s="140"/>
      <c r="AW260" s="140"/>
      <c r="AX260" s="140"/>
      <c r="AY260" s="140"/>
      <c r="AZ260" s="140"/>
      <c r="BA260" s="140"/>
      <c r="BB260" s="140"/>
      <c r="BC260" s="140"/>
      <c r="BD260" s="140"/>
      <c r="BE260" s="140"/>
      <c r="BF260" s="140"/>
      <c r="BG260" s="140"/>
      <c r="BH260" s="140"/>
      <c r="BI260" s="140"/>
      <c r="BJ260" s="140"/>
      <c r="BK260" s="140"/>
      <c r="BL260" s="140"/>
      <c r="BM260" s="140"/>
      <c r="BN260" s="140"/>
      <c r="BO260" s="140"/>
      <c r="BP260" s="140"/>
      <c r="BQ260" s="140"/>
      <c r="BR260" s="140"/>
      <c r="BS260" s="140"/>
      <c r="BT260" s="140"/>
      <c r="BU260" s="140"/>
      <c r="BV260" s="140"/>
      <c r="BW260" s="140"/>
      <c r="BX260" s="140"/>
      <c r="BY260" s="140"/>
      <c r="BZ260" s="140"/>
      <c r="CA260" s="140"/>
      <c r="CB260" s="140"/>
      <c r="CC260" s="140"/>
      <c r="CD260" s="140"/>
      <c r="CE260" s="140"/>
      <c r="CF260" s="140"/>
      <c r="CG260" s="140"/>
      <c r="CH260" s="140"/>
      <c r="CI260" s="140"/>
      <c r="CJ260" s="140"/>
      <c r="CK260" s="140"/>
      <c r="CL260" s="140"/>
      <c r="CM260" s="140"/>
      <c r="CN260" s="140"/>
      <c r="CO260" s="140"/>
      <c r="CP260" s="140"/>
      <c r="CQ260" s="140"/>
      <c r="CR260" s="140"/>
      <c r="CS260" s="140"/>
      <c r="CT260" s="140"/>
      <c r="CU260" s="140"/>
      <c r="CV260" s="140"/>
      <c r="CW260" s="140"/>
    </row>
    <row r="261" spans="1:101" x14ac:dyDescent="0.2">
      <c r="A261" s="29" t="str">
        <f t="shared" ref="A261:A324" ca="1" si="4">TEXT(DATEVALUE(A260)+1,"yyyy-mm-dd")</f>
        <v>2025-12-10</v>
      </c>
      <c r="B261" s="140">
        <f ca="1">IF(ISNUMBER(MATCH(DATEVALUE($A261),'changes1_based on steps'!B$1:B$400,0)),B$2,)</f>
        <v>0</v>
      </c>
      <c r="C261" s="140">
        <f ca="1">IF(ISNUMBER(MATCH(DATEVALUE($A261),'changes1_based on steps'!C$1:C$400,0)),C$2,)</f>
        <v>0</v>
      </c>
      <c r="D261" s="140">
        <f ca="1">IF(ISNUMBER(MATCH(DATEVALUE($A261),'changes1_based on steps'!D$1:D$400,0)),D$2,)</f>
        <v>0</v>
      </c>
      <c r="E261" s="140">
        <f ca="1">IF(ISNUMBER(MATCH(DATEVALUE($A261),'changes1_based on steps'!E$1:E$400,0)),E$2,)</f>
        <v>0</v>
      </c>
      <c r="F261" s="140">
        <f ca="1">IF(ISNUMBER(MATCH(DATEVALUE($A261),'changes1_based on steps'!F$1:F$400,0)),F$2,)</f>
        <v>0</v>
      </c>
      <c r="G261" s="140">
        <f ca="1">IF(ISNUMBER(MATCH(DATEVALUE($A261),'changes1_based on steps'!G$1:G$400,0)),G$2,)</f>
        <v>0</v>
      </c>
      <c r="H261" s="140">
        <f ca="1">IF(ISNUMBER(MATCH(DATEVALUE($A261),'changes1_based on steps'!H$1:H$400,0)),H$2,)</f>
        <v>0</v>
      </c>
      <c r="I261" s="140">
        <f ca="1">IF(ISNUMBER(MATCH(DATEVALUE($A261),'changes1_based on steps'!I$1:I$400,0)),I$2,)</f>
        <v>0</v>
      </c>
      <c r="J261" s="140">
        <f ca="1">IF(ISNUMBER(MATCH(DATEVALUE($A261),'changes1_based on steps'!J$1:J$400,0)),J$2,)</f>
        <v>0</v>
      </c>
      <c r="K261" s="140">
        <f ca="1">IF(ISNUMBER(MATCH(DATEVALUE($A261),'changes1_based on steps'!K$1:K$400,0)),K$2,)</f>
        <v>0</v>
      </c>
      <c r="L261" s="140">
        <f ca="1">IF(ISNUMBER(MATCH(DATEVALUE($A261),'changes1_based on steps'!L$1:L$400,0)),L$2,)</f>
        <v>0</v>
      </c>
      <c r="M261" s="140">
        <f ca="1">IF(ISNUMBER(MATCH(DATEVALUE($A261),'changes1_based on steps'!M$1:M$400,0)),M$2,)</f>
        <v>0</v>
      </c>
      <c r="N261" s="140">
        <f ca="1">IF(ISNUMBER(MATCH(DATEVALUE($A261),'changes1_based on steps'!N$1:N$400,0)),N$2,)</f>
        <v>0</v>
      </c>
      <c r="O261" s="140">
        <f ca="1">IF(ISNUMBER(MATCH(DATEVALUE($A261),'changes1_based on steps'!O$1:O$400,0)),O$2,)</f>
        <v>0</v>
      </c>
      <c r="P261" s="140">
        <f ca="1">IF(ISNUMBER(MATCH(DATEVALUE($A261),'changes1_based on steps'!P$1:P$400,0)),P$2,)</f>
        <v>0</v>
      </c>
      <c r="Q261" s="140">
        <f ca="1">IF(ISNUMBER(MATCH(DATEVALUE($A261),'changes1_based on steps'!Q$1:Q$400,0)),Q$2,)</f>
        <v>0</v>
      </c>
      <c r="R261" s="140">
        <f ca="1">IF(ISNUMBER(MATCH(DATEVALUE($A261),'changes1_based on steps'!R$1:R$400,0)),R$2,)</f>
        <v>0</v>
      </c>
      <c r="S261" s="140">
        <f ca="1">IF(ISNUMBER(MATCH(DATEVALUE($A261),'changes1_based on steps'!S$1:S$400,0)),S$2,)</f>
        <v>0</v>
      </c>
      <c r="T261" s="140">
        <f ca="1">IF(ISNUMBER(MATCH(DATEVALUE($A261),'changes1_based on steps'!T$1:T$400,0)),T$2,)</f>
        <v>0</v>
      </c>
      <c r="U261" s="140">
        <f ca="1">IF(ISNUMBER(MATCH(DATEVALUE($A261),'changes1_based on steps'!U$1:U$400,0)),U$2,)</f>
        <v>0</v>
      </c>
      <c r="V261" s="140"/>
      <c r="W261" s="140"/>
      <c r="X261" s="140"/>
      <c r="Y261" s="140"/>
      <c r="Z261" s="140"/>
      <c r="AA261" s="140"/>
      <c r="AB261" s="140"/>
      <c r="AC261" s="140"/>
      <c r="AD261" s="140"/>
      <c r="AE261" s="140"/>
      <c r="AF261" s="140"/>
      <c r="AG261" s="140"/>
      <c r="AH261" s="140"/>
      <c r="AI261" s="140"/>
      <c r="AJ261" s="140"/>
      <c r="AK261" s="140"/>
      <c r="AL261" s="140"/>
      <c r="AM261" s="140"/>
      <c r="AN261" s="140"/>
      <c r="AO261" s="140"/>
      <c r="AP261" s="140"/>
      <c r="AQ261" s="140"/>
      <c r="AR261" s="140"/>
      <c r="AS261" s="140"/>
      <c r="AT261" s="140"/>
      <c r="AU261" s="140"/>
      <c r="AV261" s="140"/>
      <c r="AW261" s="140"/>
      <c r="AX261" s="140"/>
      <c r="AY261" s="140"/>
      <c r="AZ261" s="140"/>
      <c r="BA261" s="140"/>
      <c r="BB261" s="140"/>
      <c r="BC261" s="140"/>
      <c r="BD261" s="140"/>
      <c r="BE261" s="140"/>
      <c r="BF261" s="140"/>
      <c r="BG261" s="140"/>
      <c r="BH261" s="140"/>
      <c r="BI261" s="140"/>
      <c r="BJ261" s="140"/>
      <c r="BK261" s="140"/>
      <c r="BL261" s="140"/>
      <c r="BM261" s="140"/>
      <c r="BN261" s="140"/>
      <c r="BO261" s="140"/>
      <c r="BP261" s="140"/>
      <c r="BQ261" s="140"/>
      <c r="BR261" s="140"/>
      <c r="BS261" s="140"/>
      <c r="BT261" s="140"/>
      <c r="BU261" s="140"/>
      <c r="BV261" s="140"/>
      <c r="BW261" s="140"/>
      <c r="BX261" s="140"/>
      <c r="BY261" s="140"/>
      <c r="BZ261" s="140"/>
      <c r="CA261" s="140"/>
      <c r="CB261" s="140"/>
      <c r="CC261" s="140"/>
      <c r="CD261" s="140"/>
      <c r="CE261" s="140"/>
      <c r="CF261" s="140"/>
      <c r="CG261" s="140"/>
      <c r="CH261" s="140"/>
      <c r="CI261" s="140"/>
      <c r="CJ261" s="140"/>
      <c r="CK261" s="140"/>
      <c r="CL261" s="140"/>
      <c r="CM261" s="140"/>
      <c r="CN261" s="140"/>
      <c r="CO261" s="140"/>
      <c r="CP261" s="140"/>
      <c r="CQ261" s="140"/>
      <c r="CR261" s="140"/>
      <c r="CS261" s="140"/>
      <c r="CT261" s="140"/>
      <c r="CU261" s="140"/>
      <c r="CV261" s="140"/>
      <c r="CW261" s="140"/>
    </row>
    <row r="262" spans="1:101" x14ac:dyDescent="0.2">
      <c r="A262" s="29" t="str">
        <f t="shared" ca="1" si="4"/>
        <v>2025-12-11</v>
      </c>
      <c r="B262" s="140">
        <f ca="1">IF(ISNUMBER(MATCH(DATEVALUE($A262),'changes1_based on steps'!B$1:B$400,0)),B$2,)</f>
        <v>0</v>
      </c>
      <c r="C262" s="140">
        <f ca="1">IF(ISNUMBER(MATCH(DATEVALUE($A262),'changes1_based on steps'!C$1:C$400,0)),C$2,)</f>
        <v>0</v>
      </c>
      <c r="D262" s="140">
        <f ca="1">IF(ISNUMBER(MATCH(DATEVALUE($A262),'changes1_based on steps'!D$1:D$400,0)),D$2,)</f>
        <v>0</v>
      </c>
      <c r="E262" s="140">
        <f ca="1">IF(ISNUMBER(MATCH(DATEVALUE($A262),'changes1_based on steps'!E$1:E$400,0)),E$2,)</f>
        <v>0</v>
      </c>
      <c r="F262" s="140">
        <f ca="1">IF(ISNUMBER(MATCH(DATEVALUE($A262),'changes1_based on steps'!F$1:F$400,0)),F$2,)</f>
        <v>0</v>
      </c>
      <c r="G262" s="140">
        <f ca="1">IF(ISNUMBER(MATCH(DATEVALUE($A262),'changes1_based on steps'!G$1:G$400,0)),G$2,)</f>
        <v>0</v>
      </c>
      <c r="H262" s="140">
        <f ca="1">IF(ISNUMBER(MATCH(DATEVALUE($A262),'changes1_based on steps'!H$1:H$400,0)),H$2,)</f>
        <v>0</v>
      </c>
      <c r="I262" s="140">
        <f ca="1">IF(ISNUMBER(MATCH(DATEVALUE($A262),'changes1_based on steps'!I$1:I$400,0)),I$2,)</f>
        <v>0</v>
      </c>
      <c r="J262" s="140">
        <f ca="1">IF(ISNUMBER(MATCH(DATEVALUE($A262),'changes1_based on steps'!J$1:J$400,0)),J$2,)</f>
        <v>0</v>
      </c>
      <c r="K262" s="140">
        <f ca="1">IF(ISNUMBER(MATCH(DATEVALUE($A262),'changes1_based on steps'!K$1:K$400,0)),K$2,)</f>
        <v>0</v>
      </c>
      <c r="L262" s="140">
        <f ca="1">IF(ISNUMBER(MATCH(DATEVALUE($A262),'changes1_based on steps'!L$1:L$400,0)),L$2,)</f>
        <v>0</v>
      </c>
      <c r="M262" s="140">
        <f ca="1">IF(ISNUMBER(MATCH(DATEVALUE($A262),'changes1_based on steps'!M$1:M$400,0)),M$2,)</f>
        <v>0</v>
      </c>
      <c r="N262" s="140">
        <f ca="1">IF(ISNUMBER(MATCH(DATEVALUE($A262),'changes1_based on steps'!N$1:N$400,0)),N$2,)</f>
        <v>0</v>
      </c>
      <c r="O262" s="140">
        <f ca="1">IF(ISNUMBER(MATCH(DATEVALUE($A262),'changes1_based on steps'!O$1:O$400,0)),O$2,)</f>
        <v>0</v>
      </c>
      <c r="P262" s="140">
        <f ca="1">IF(ISNUMBER(MATCH(DATEVALUE($A262),'changes1_based on steps'!P$1:P$400,0)),P$2,)</f>
        <v>0</v>
      </c>
      <c r="Q262" s="140">
        <f ca="1">IF(ISNUMBER(MATCH(DATEVALUE($A262),'changes1_based on steps'!Q$1:Q$400,0)),Q$2,)</f>
        <v>0</v>
      </c>
      <c r="R262" s="140">
        <f ca="1">IF(ISNUMBER(MATCH(DATEVALUE($A262),'changes1_based on steps'!R$1:R$400,0)),R$2,)</f>
        <v>0</v>
      </c>
      <c r="S262" s="140">
        <f ca="1">IF(ISNUMBER(MATCH(DATEVALUE($A262),'changes1_based on steps'!S$1:S$400,0)),S$2,)</f>
        <v>0</v>
      </c>
      <c r="T262" s="140">
        <f ca="1">IF(ISNUMBER(MATCH(DATEVALUE($A262),'changes1_based on steps'!T$1:T$400,0)),T$2,)</f>
        <v>0</v>
      </c>
      <c r="U262" s="140">
        <f ca="1">IF(ISNUMBER(MATCH(DATEVALUE($A262),'changes1_based on steps'!U$1:U$400,0)),U$2,)</f>
        <v>0</v>
      </c>
      <c r="V262" s="140"/>
      <c r="W262" s="140"/>
      <c r="X262" s="140"/>
      <c r="Y262" s="140"/>
      <c r="Z262" s="140"/>
      <c r="AA262" s="140"/>
      <c r="AB262" s="140"/>
      <c r="AC262" s="140"/>
      <c r="AD262" s="140"/>
      <c r="AE262" s="140"/>
      <c r="AF262" s="140"/>
      <c r="AG262" s="140"/>
      <c r="AH262" s="140"/>
      <c r="AI262" s="140"/>
      <c r="AJ262" s="140"/>
      <c r="AK262" s="140"/>
      <c r="AL262" s="140"/>
      <c r="AM262" s="140"/>
      <c r="AN262" s="140"/>
      <c r="AO262" s="140"/>
      <c r="AP262" s="140"/>
      <c r="AQ262" s="140"/>
      <c r="AR262" s="140"/>
      <c r="AS262" s="140"/>
      <c r="AT262" s="140"/>
      <c r="AU262" s="140"/>
      <c r="AV262" s="140"/>
      <c r="AW262" s="140"/>
      <c r="AX262" s="140"/>
      <c r="AY262" s="140"/>
      <c r="AZ262" s="140"/>
      <c r="BA262" s="140"/>
      <c r="BB262" s="140"/>
      <c r="BC262" s="140"/>
      <c r="BD262" s="140"/>
      <c r="BE262" s="140"/>
      <c r="BF262" s="140"/>
      <c r="BG262" s="140"/>
      <c r="BH262" s="140"/>
      <c r="BI262" s="140"/>
      <c r="BJ262" s="140"/>
      <c r="BK262" s="140"/>
      <c r="BL262" s="140"/>
      <c r="BM262" s="140"/>
      <c r="BN262" s="140"/>
      <c r="BO262" s="140"/>
      <c r="BP262" s="140"/>
      <c r="BQ262" s="140"/>
      <c r="BR262" s="140"/>
      <c r="BS262" s="140"/>
      <c r="BT262" s="140"/>
      <c r="BU262" s="140"/>
      <c r="BV262" s="140"/>
      <c r="BW262" s="140"/>
      <c r="BX262" s="140"/>
      <c r="BY262" s="140"/>
      <c r="BZ262" s="140"/>
      <c r="CA262" s="140"/>
      <c r="CB262" s="140"/>
      <c r="CC262" s="140"/>
      <c r="CD262" s="140"/>
      <c r="CE262" s="140"/>
      <c r="CF262" s="140"/>
      <c r="CG262" s="140"/>
      <c r="CH262" s="140"/>
      <c r="CI262" s="140"/>
      <c r="CJ262" s="140"/>
      <c r="CK262" s="140"/>
      <c r="CL262" s="140"/>
      <c r="CM262" s="140"/>
      <c r="CN262" s="140"/>
      <c r="CO262" s="140"/>
      <c r="CP262" s="140"/>
      <c r="CQ262" s="140"/>
      <c r="CR262" s="140"/>
      <c r="CS262" s="140"/>
      <c r="CT262" s="140"/>
      <c r="CU262" s="140"/>
      <c r="CV262" s="140"/>
      <c r="CW262" s="140"/>
    </row>
    <row r="263" spans="1:101" x14ac:dyDescent="0.2">
      <c r="A263" s="29" t="str">
        <f t="shared" ca="1" si="4"/>
        <v>2025-12-12</v>
      </c>
      <c r="B263" s="140">
        <f ca="1">IF(ISNUMBER(MATCH(DATEVALUE($A263),'changes1_based on steps'!B$1:B$400,0)),B$2,)</f>
        <v>0</v>
      </c>
      <c r="C263" s="140">
        <f ca="1">IF(ISNUMBER(MATCH(DATEVALUE($A263),'changes1_based on steps'!C$1:C$400,0)),C$2,)</f>
        <v>0</v>
      </c>
      <c r="D263" s="140">
        <f ca="1">IF(ISNUMBER(MATCH(DATEVALUE($A263),'changes1_based on steps'!D$1:D$400,0)),D$2,)</f>
        <v>0</v>
      </c>
      <c r="E263" s="140">
        <f ca="1">IF(ISNUMBER(MATCH(DATEVALUE($A263),'changes1_based on steps'!E$1:E$400,0)),E$2,)</f>
        <v>0</v>
      </c>
      <c r="F263" s="140">
        <f ca="1">IF(ISNUMBER(MATCH(DATEVALUE($A263),'changes1_based on steps'!F$1:F$400,0)),F$2,)</f>
        <v>0</v>
      </c>
      <c r="G263" s="140">
        <f ca="1">IF(ISNUMBER(MATCH(DATEVALUE($A263),'changes1_based on steps'!G$1:G$400,0)),G$2,)</f>
        <v>0</v>
      </c>
      <c r="H263" s="140">
        <f ca="1">IF(ISNUMBER(MATCH(DATEVALUE($A263),'changes1_based on steps'!H$1:H$400,0)),H$2,)</f>
        <v>0</v>
      </c>
      <c r="I263" s="140">
        <f ca="1">IF(ISNUMBER(MATCH(DATEVALUE($A263),'changes1_based on steps'!I$1:I$400,0)),I$2,)</f>
        <v>0</v>
      </c>
      <c r="J263" s="140">
        <f ca="1">IF(ISNUMBER(MATCH(DATEVALUE($A263),'changes1_based on steps'!J$1:J$400,0)),J$2,)</f>
        <v>0</v>
      </c>
      <c r="K263" s="140">
        <f ca="1">IF(ISNUMBER(MATCH(DATEVALUE($A263),'changes1_based on steps'!K$1:K$400,0)),K$2,)</f>
        <v>0</v>
      </c>
      <c r="L263" s="140">
        <f ca="1">IF(ISNUMBER(MATCH(DATEVALUE($A263),'changes1_based on steps'!L$1:L$400,0)),L$2,)</f>
        <v>0</v>
      </c>
      <c r="M263" s="140">
        <f ca="1">IF(ISNUMBER(MATCH(DATEVALUE($A263),'changes1_based on steps'!M$1:M$400,0)),M$2,)</f>
        <v>0</v>
      </c>
      <c r="N263" s="140">
        <f ca="1">IF(ISNUMBER(MATCH(DATEVALUE($A263),'changes1_based on steps'!N$1:N$400,0)),N$2,)</f>
        <v>0</v>
      </c>
      <c r="O263" s="140">
        <f ca="1">IF(ISNUMBER(MATCH(DATEVALUE($A263),'changes1_based on steps'!O$1:O$400,0)),O$2,)</f>
        <v>0</v>
      </c>
      <c r="P263" s="140">
        <f ca="1">IF(ISNUMBER(MATCH(DATEVALUE($A263),'changes1_based on steps'!P$1:P$400,0)),P$2,)</f>
        <v>0</v>
      </c>
      <c r="Q263" s="140">
        <f ca="1">IF(ISNUMBER(MATCH(DATEVALUE($A263),'changes1_based on steps'!Q$1:Q$400,0)),Q$2,)</f>
        <v>0</v>
      </c>
      <c r="R263" s="140">
        <f ca="1">IF(ISNUMBER(MATCH(DATEVALUE($A263),'changes1_based on steps'!R$1:R$400,0)),R$2,)</f>
        <v>0</v>
      </c>
      <c r="S263" s="140">
        <f ca="1">IF(ISNUMBER(MATCH(DATEVALUE($A263),'changes1_based on steps'!S$1:S$400,0)),S$2,)</f>
        <v>0</v>
      </c>
      <c r="T263" s="140">
        <f ca="1">IF(ISNUMBER(MATCH(DATEVALUE($A263),'changes1_based on steps'!T$1:T$400,0)),T$2,)</f>
        <v>0</v>
      </c>
      <c r="U263" s="140">
        <f ca="1">IF(ISNUMBER(MATCH(DATEVALUE($A263),'changes1_based on steps'!U$1:U$400,0)),U$2,)</f>
        <v>0</v>
      </c>
      <c r="V263" s="140"/>
      <c r="W263" s="140"/>
      <c r="X263" s="140"/>
      <c r="Y263" s="140"/>
      <c r="Z263" s="140"/>
      <c r="AA263" s="140"/>
      <c r="AB263" s="140"/>
      <c r="AC263" s="140"/>
      <c r="AD263" s="140"/>
      <c r="AE263" s="140"/>
      <c r="AF263" s="140"/>
      <c r="AG263" s="140"/>
      <c r="AH263" s="140"/>
      <c r="AI263" s="140"/>
      <c r="AJ263" s="140"/>
      <c r="AK263" s="140"/>
      <c r="AL263" s="140"/>
      <c r="AM263" s="140"/>
      <c r="AN263" s="140"/>
      <c r="AO263" s="140"/>
      <c r="AP263" s="140"/>
      <c r="AQ263" s="140"/>
      <c r="AR263" s="140"/>
      <c r="AS263" s="140"/>
      <c r="AT263" s="140"/>
      <c r="AU263" s="140"/>
      <c r="AV263" s="140"/>
      <c r="AW263" s="140"/>
      <c r="AX263" s="140"/>
      <c r="AY263" s="140"/>
      <c r="AZ263" s="140"/>
      <c r="BA263" s="140"/>
      <c r="BB263" s="140"/>
      <c r="BC263" s="140"/>
      <c r="BD263" s="140"/>
      <c r="BE263" s="140"/>
      <c r="BF263" s="140"/>
      <c r="BG263" s="140"/>
      <c r="BH263" s="140"/>
      <c r="BI263" s="140"/>
      <c r="BJ263" s="140"/>
      <c r="BK263" s="140"/>
      <c r="BL263" s="140"/>
      <c r="BM263" s="140"/>
      <c r="BN263" s="140"/>
      <c r="BO263" s="140"/>
      <c r="BP263" s="140"/>
      <c r="BQ263" s="140"/>
      <c r="BR263" s="140"/>
      <c r="BS263" s="140"/>
      <c r="BT263" s="140"/>
      <c r="BU263" s="140"/>
      <c r="BV263" s="140"/>
      <c r="BW263" s="140"/>
      <c r="BX263" s="140"/>
      <c r="BY263" s="140"/>
      <c r="BZ263" s="140"/>
      <c r="CA263" s="140"/>
      <c r="CB263" s="140"/>
      <c r="CC263" s="140"/>
      <c r="CD263" s="140"/>
      <c r="CE263" s="140"/>
      <c r="CF263" s="140"/>
      <c r="CG263" s="140"/>
      <c r="CH263" s="140"/>
      <c r="CI263" s="140"/>
      <c r="CJ263" s="140"/>
      <c r="CK263" s="140"/>
      <c r="CL263" s="140"/>
      <c r="CM263" s="140"/>
      <c r="CN263" s="140"/>
      <c r="CO263" s="140"/>
      <c r="CP263" s="140"/>
      <c r="CQ263" s="140"/>
      <c r="CR263" s="140"/>
      <c r="CS263" s="140"/>
      <c r="CT263" s="140"/>
      <c r="CU263" s="140"/>
      <c r="CV263" s="140"/>
      <c r="CW263" s="140"/>
    </row>
    <row r="264" spans="1:101" x14ac:dyDescent="0.2">
      <c r="A264" s="29" t="str">
        <f t="shared" ca="1" si="4"/>
        <v>2025-12-13</v>
      </c>
      <c r="B264" s="140">
        <f ca="1">IF(ISNUMBER(MATCH(DATEVALUE($A264),'changes1_based on steps'!B$1:B$400,0)),B$2,)</f>
        <v>0</v>
      </c>
      <c r="C264" s="140">
        <f ca="1">IF(ISNUMBER(MATCH(DATEVALUE($A264),'changes1_based on steps'!C$1:C$400,0)),C$2,)</f>
        <v>0</v>
      </c>
      <c r="D264" s="140">
        <f ca="1">IF(ISNUMBER(MATCH(DATEVALUE($A264),'changes1_based on steps'!D$1:D$400,0)),D$2,)</f>
        <v>0</v>
      </c>
      <c r="E264" s="140">
        <f ca="1">IF(ISNUMBER(MATCH(DATEVALUE($A264),'changes1_based on steps'!E$1:E$400,0)),E$2,)</f>
        <v>0</v>
      </c>
      <c r="F264" s="140">
        <f ca="1">IF(ISNUMBER(MATCH(DATEVALUE($A264),'changes1_based on steps'!F$1:F$400,0)),F$2,)</f>
        <v>0</v>
      </c>
      <c r="G264" s="140">
        <f ca="1">IF(ISNUMBER(MATCH(DATEVALUE($A264),'changes1_based on steps'!G$1:G$400,0)),G$2,)</f>
        <v>0</v>
      </c>
      <c r="H264" s="140">
        <f ca="1">IF(ISNUMBER(MATCH(DATEVALUE($A264),'changes1_based on steps'!H$1:H$400,0)),H$2,)</f>
        <v>0</v>
      </c>
      <c r="I264" s="140">
        <f ca="1">IF(ISNUMBER(MATCH(DATEVALUE($A264),'changes1_based on steps'!I$1:I$400,0)),I$2,)</f>
        <v>0</v>
      </c>
      <c r="J264" s="140">
        <f ca="1">IF(ISNUMBER(MATCH(DATEVALUE($A264),'changes1_based on steps'!J$1:J$400,0)),J$2,)</f>
        <v>0</v>
      </c>
      <c r="K264" s="140">
        <f ca="1">IF(ISNUMBER(MATCH(DATEVALUE($A264),'changes1_based on steps'!K$1:K$400,0)),K$2,)</f>
        <v>0</v>
      </c>
      <c r="L264" s="140">
        <f ca="1">IF(ISNUMBER(MATCH(DATEVALUE($A264),'changes1_based on steps'!L$1:L$400,0)),L$2,)</f>
        <v>0</v>
      </c>
      <c r="M264" s="140">
        <f ca="1">IF(ISNUMBER(MATCH(DATEVALUE($A264),'changes1_based on steps'!M$1:M$400,0)),M$2,)</f>
        <v>0</v>
      </c>
      <c r="N264" s="140">
        <f ca="1">IF(ISNUMBER(MATCH(DATEVALUE($A264),'changes1_based on steps'!N$1:N$400,0)),N$2,)</f>
        <v>0</v>
      </c>
      <c r="O264" s="140">
        <f ca="1">IF(ISNUMBER(MATCH(DATEVALUE($A264),'changes1_based on steps'!O$1:O$400,0)),O$2,)</f>
        <v>0</v>
      </c>
      <c r="P264" s="140">
        <f ca="1">IF(ISNUMBER(MATCH(DATEVALUE($A264),'changes1_based on steps'!P$1:P$400,0)),P$2,)</f>
        <v>0</v>
      </c>
      <c r="Q264" s="140">
        <f ca="1">IF(ISNUMBER(MATCH(DATEVALUE($A264),'changes1_based on steps'!Q$1:Q$400,0)),Q$2,)</f>
        <v>0</v>
      </c>
      <c r="R264" s="140">
        <f ca="1">IF(ISNUMBER(MATCH(DATEVALUE($A264),'changes1_based on steps'!R$1:R$400,0)),R$2,)</f>
        <v>0</v>
      </c>
      <c r="S264" s="140">
        <f ca="1">IF(ISNUMBER(MATCH(DATEVALUE($A264),'changes1_based on steps'!S$1:S$400,0)),S$2,)</f>
        <v>0</v>
      </c>
      <c r="T264" s="140">
        <f ca="1">IF(ISNUMBER(MATCH(DATEVALUE($A264),'changes1_based on steps'!T$1:T$400,0)),T$2,)</f>
        <v>0</v>
      </c>
      <c r="U264" s="140">
        <f ca="1">IF(ISNUMBER(MATCH(DATEVALUE($A264),'changes1_based on steps'!U$1:U$400,0)),U$2,)</f>
        <v>0</v>
      </c>
      <c r="V264" s="140"/>
      <c r="W264" s="140"/>
      <c r="X264" s="140"/>
      <c r="Y264" s="140"/>
      <c r="Z264" s="140"/>
      <c r="AA264" s="140"/>
      <c r="AB264" s="140"/>
      <c r="AC264" s="140"/>
      <c r="AD264" s="140"/>
      <c r="AE264" s="140"/>
      <c r="AF264" s="140"/>
      <c r="AG264" s="140"/>
      <c r="AH264" s="140"/>
      <c r="AI264" s="140"/>
      <c r="AJ264" s="140"/>
      <c r="AK264" s="140"/>
      <c r="AL264" s="140"/>
      <c r="AM264" s="140"/>
      <c r="AN264" s="140"/>
      <c r="AO264" s="140"/>
      <c r="AP264" s="140"/>
      <c r="AQ264" s="140"/>
      <c r="AR264" s="140"/>
      <c r="AS264" s="140"/>
      <c r="AT264" s="140"/>
      <c r="AU264" s="140"/>
      <c r="AV264" s="140"/>
      <c r="AW264" s="140"/>
      <c r="AX264" s="140"/>
      <c r="AY264" s="140"/>
      <c r="AZ264" s="140"/>
      <c r="BA264" s="140"/>
      <c r="BB264" s="140"/>
      <c r="BC264" s="140"/>
      <c r="BD264" s="140"/>
      <c r="BE264" s="140"/>
      <c r="BF264" s="140"/>
      <c r="BG264" s="140"/>
      <c r="BH264" s="140"/>
      <c r="BI264" s="140"/>
      <c r="BJ264" s="140"/>
      <c r="BK264" s="140"/>
      <c r="BL264" s="140"/>
      <c r="BM264" s="140"/>
      <c r="BN264" s="140"/>
      <c r="BO264" s="140"/>
      <c r="BP264" s="140"/>
      <c r="BQ264" s="140"/>
      <c r="BR264" s="140"/>
      <c r="BS264" s="140"/>
      <c r="BT264" s="140"/>
      <c r="BU264" s="140"/>
      <c r="BV264" s="140"/>
      <c r="BW264" s="140"/>
      <c r="BX264" s="140"/>
      <c r="BY264" s="140"/>
      <c r="BZ264" s="140"/>
      <c r="CA264" s="140"/>
      <c r="CB264" s="140"/>
      <c r="CC264" s="140"/>
      <c r="CD264" s="140"/>
      <c r="CE264" s="140"/>
      <c r="CF264" s="140"/>
      <c r="CG264" s="140"/>
      <c r="CH264" s="140"/>
      <c r="CI264" s="140"/>
      <c r="CJ264" s="140"/>
      <c r="CK264" s="140"/>
      <c r="CL264" s="140"/>
      <c r="CM264" s="140"/>
      <c r="CN264" s="140"/>
      <c r="CO264" s="140"/>
      <c r="CP264" s="140"/>
      <c r="CQ264" s="140"/>
      <c r="CR264" s="140"/>
      <c r="CS264" s="140"/>
      <c r="CT264" s="140"/>
      <c r="CU264" s="140"/>
      <c r="CV264" s="140"/>
      <c r="CW264" s="140"/>
    </row>
    <row r="265" spans="1:101" x14ac:dyDescent="0.2">
      <c r="A265" s="29" t="str">
        <f t="shared" ca="1" si="4"/>
        <v>2025-12-14</v>
      </c>
      <c r="B265" s="140">
        <f ca="1">IF(ISNUMBER(MATCH(DATEVALUE($A265),'changes1_based on steps'!B$1:B$400,0)),B$2,)</f>
        <v>0</v>
      </c>
      <c r="C265" s="140">
        <f ca="1">IF(ISNUMBER(MATCH(DATEVALUE($A265),'changes1_based on steps'!C$1:C$400,0)),C$2,)</f>
        <v>0</v>
      </c>
      <c r="D265" s="140">
        <f ca="1">IF(ISNUMBER(MATCH(DATEVALUE($A265),'changes1_based on steps'!D$1:D$400,0)),D$2,)</f>
        <v>0</v>
      </c>
      <c r="E265" s="140">
        <f ca="1">IF(ISNUMBER(MATCH(DATEVALUE($A265),'changes1_based on steps'!E$1:E$400,0)),E$2,)</f>
        <v>0</v>
      </c>
      <c r="F265" s="140">
        <f ca="1">IF(ISNUMBER(MATCH(DATEVALUE($A265),'changes1_based on steps'!F$1:F$400,0)),F$2,)</f>
        <v>0</v>
      </c>
      <c r="G265" s="140">
        <f ca="1">IF(ISNUMBER(MATCH(DATEVALUE($A265),'changes1_based on steps'!G$1:G$400,0)),G$2,)</f>
        <v>0</v>
      </c>
      <c r="H265" s="140">
        <f ca="1">IF(ISNUMBER(MATCH(DATEVALUE($A265),'changes1_based on steps'!H$1:H$400,0)),H$2,)</f>
        <v>0</v>
      </c>
      <c r="I265" s="140">
        <f ca="1">IF(ISNUMBER(MATCH(DATEVALUE($A265),'changes1_based on steps'!I$1:I$400,0)),I$2,)</f>
        <v>0</v>
      </c>
      <c r="J265" s="140">
        <f ca="1">IF(ISNUMBER(MATCH(DATEVALUE($A265),'changes1_based on steps'!J$1:J$400,0)),J$2,)</f>
        <v>0</v>
      </c>
      <c r="K265" s="140">
        <f ca="1">IF(ISNUMBER(MATCH(DATEVALUE($A265),'changes1_based on steps'!K$1:K$400,0)),K$2,)</f>
        <v>0</v>
      </c>
      <c r="L265" s="140">
        <f ca="1">IF(ISNUMBER(MATCH(DATEVALUE($A265),'changes1_based on steps'!L$1:L$400,0)),L$2,)</f>
        <v>0</v>
      </c>
      <c r="M265" s="140">
        <f ca="1">IF(ISNUMBER(MATCH(DATEVALUE($A265),'changes1_based on steps'!M$1:M$400,0)),M$2,)</f>
        <v>0</v>
      </c>
      <c r="N265" s="140">
        <f ca="1">IF(ISNUMBER(MATCH(DATEVALUE($A265),'changes1_based on steps'!N$1:N$400,0)),N$2,)</f>
        <v>0</v>
      </c>
      <c r="O265" s="140">
        <f ca="1">IF(ISNUMBER(MATCH(DATEVALUE($A265),'changes1_based on steps'!O$1:O$400,0)),O$2,)</f>
        <v>0</v>
      </c>
      <c r="P265" s="140">
        <f ca="1">IF(ISNUMBER(MATCH(DATEVALUE($A265),'changes1_based on steps'!P$1:P$400,0)),P$2,)</f>
        <v>0</v>
      </c>
      <c r="Q265" s="140">
        <f ca="1">IF(ISNUMBER(MATCH(DATEVALUE($A265),'changes1_based on steps'!Q$1:Q$400,0)),Q$2,)</f>
        <v>0</v>
      </c>
      <c r="R265" s="140">
        <f ca="1">IF(ISNUMBER(MATCH(DATEVALUE($A265),'changes1_based on steps'!R$1:R$400,0)),R$2,)</f>
        <v>0</v>
      </c>
      <c r="S265" s="140">
        <f ca="1">IF(ISNUMBER(MATCH(DATEVALUE($A265),'changes1_based on steps'!S$1:S$400,0)),S$2,)</f>
        <v>0</v>
      </c>
      <c r="T265" s="140">
        <f ca="1">IF(ISNUMBER(MATCH(DATEVALUE($A265),'changes1_based on steps'!T$1:T$400,0)),T$2,)</f>
        <v>0</v>
      </c>
      <c r="U265" s="140">
        <f ca="1">IF(ISNUMBER(MATCH(DATEVALUE($A265),'changes1_based on steps'!U$1:U$400,0)),U$2,)</f>
        <v>0</v>
      </c>
      <c r="V265" s="140"/>
      <c r="W265" s="140"/>
      <c r="X265" s="140"/>
      <c r="Y265" s="140"/>
      <c r="Z265" s="140"/>
      <c r="AA265" s="140"/>
      <c r="AB265" s="140"/>
      <c r="AC265" s="140"/>
      <c r="AD265" s="140"/>
      <c r="AE265" s="140"/>
      <c r="AF265" s="140"/>
      <c r="AG265" s="140"/>
      <c r="AH265" s="140"/>
      <c r="AI265" s="140"/>
      <c r="AJ265" s="140"/>
      <c r="AK265" s="140"/>
      <c r="AL265" s="140"/>
      <c r="AM265" s="140"/>
      <c r="AN265" s="140"/>
      <c r="AO265" s="140"/>
      <c r="AP265" s="140"/>
      <c r="AQ265" s="140"/>
      <c r="AR265" s="140"/>
      <c r="AS265" s="140"/>
      <c r="AT265" s="140"/>
      <c r="AU265" s="140"/>
      <c r="AV265" s="140"/>
      <c r="AW265" s="140"/>
      <c r="AX265" s="140"/>
      <c r="AY265" s="140"/>
      <c r="AZ265" s="140"/>
      <c r="BA265" s="140"/>
      <c r="BB265" s="140"/>
      <c r="BC265" s="140"/>
      <c r="BD265" s="140"/>
      <c r="BE265" s="140"/>
      <c r="BF265" s="140"/>
      <c r="BG265" s="140"/>
      <c r="BH265" s="140"/>
      <c r="BI265" s="140"/>
      <c r="BJ265" s="140"/>
      <c r="BK265" s="140"/>
      <c r="BL265" s="140"/>
      <c r="BM265" s="140"/>
      <c r="BN265" s="140"/>
      <c r="BO265" s="140"/>
      <c r="BP265" s="140"/>
      <c r="BQ265" s="140"/>
      <c r="BR265" s="140"/>
      <c r="BS265" s="140"/>
      <c r="BT265" s="140"/>
      <c r="BU265" s="140"/>
      <c r="BV265" s="140"/>
      <c r="BW265" s="140"/>
      <c r="BX265" s="140"/>
      <c r="BY265" s="140"/>
      <c r="BZ265" s="140"/>
      <c r="CA265" s="140"/>
      <c r="CB265" s="140"/>
      <c r="CC265" s="140"/>
      <c r="CD265" s="140"/>
      <c r="CE265" s="140"/>
      <c r="CF265" s="140"/>
      <c r="CG265" s="140"/>
      <c r="CH265" s="140"/>
      <c r="CI265" s="140"/>
      <c r="CJ265" s="140"/>
      <c r="CK265" s="140"/>
      <c r="CL265" s="140"/>
      <c r="CM265" s="140"/>
      <c r="CN265" s="140"/>
      <c r="CO265" s="140"/>
      <c r="CP265" s="140"/>
      <c r="CQ265" s="140"/>
      <c r="CR265" s="140"/>
      <c r="CS265" s="140"/>
      <c r="CT265" s="140"/>
      <c r="CU265" s="140"/>
      <c r="CV265" s="140"/>
      <c r="CW265" s="140"/>
    </row>
    <row r="266" spans="1:101" x14ac:dyDescent="0.2">
      <c r="A266" s="29" t="str">
        <f t="shared" ca="1" si="4"/>
        <v>2025-12-15</v>
      </c>
      <c r="B266" s="140">
        <f ca="1">IF(ISNUMBER(MATCH(DATEVALUE($A266),'changes1_based on steps'!B$1:B$400,0)),B$2,)</f>
        <v>0</v>
      </c>
      <c r="C266" s="140">
        <f ca="1">IF(ISNUMBER(MATCH(DATEVALUE($A266),'changes1_based on steps'!C$1:C$400,0)),C$2,)</f>
        <v>0</v>
      </c>
      <c r="D266" s="140">
        <f ca="1">IF(ISNUMBER(MATCH(DATEVALUE($A266),'changes1_based on steps'!D$1:D$400,0)),D$2,)</f>
        <v>0</v>
      </c>
      <c r="E266" s="140">
        <f ca="1">IF(ISNUMBER(MATCH(DATEVALUE($A266),'changes1_based on steps'!E$1:E$400,0)),E$2,)</f>
        <v>0</v>
      </c>
      <c r="F266" s="140">
        <f ca="1">IF(ISNUMBER(MATCH(DATEVALUE($A266),'changes1_based on steps'!F$1:F$400,0)),F$2,)</f>
        <v>0</v>
      </c>
      <c r="G266" s="140">
        <f ca="1">IF(ISNUMBER(MATCH(DATEVALUE($A266),'changes1_based on steps'!G$1:G$400,0)),G$2,)</f>
        <v>0</v>
      </c>
      <c r="H266" s="140">
        <f ca="1">IF(ISNUMBER(MATCH(DATEVALUE($A266),'changes1_based on steps'!H$1:H$400,0)),H$2,)</f>
        <v>0</v>
      </c>
      <c r="I266" s="140">
        <f ca="1">IF(ISNUMBER(MATCH(DATEVALUE($A266),'changes1_based on steps'!I$1:I$400,0)),I$2,)</f>
        <v>0</v>
      </c>
      <c r="J266" s="140">
        <f ca="1">IF(ISNUMBER(MATCH(DATEVALUE($A266),'changes1_based on steps'!J$1:J$400,0)),J$2,)</f>
        <v>0</v>
      </c>
      <c r="K266" s="140">
        <f ca="1">IF(ISNUMBER(MATCH(DATEVALUE($A266),'changes1_based on steps'!K$1:K$400,0)),K$2,)</f>
        <v>0</v>
      </c>
      <c r="L266" s="140">
        <f ca="1">IF(ISNUMBER(MATCH(DATEVALUE($A266),'changes1_based on steps'!L$1:L$400,0)),L$2,)</f>
        <v>0</v>
      </c>
      <c r="M266" s="140">
        <f ca="1">IF(ISNUMBER(MATCH(DATEVALUE($A266),'changes1_based on steps'!M$1:M$400,0)),M$2,)</f>
        <v>0</v>
      </c>
      <c r="N266" s="140">
        <f ca="1">IF(ISNUMBER(MATCH(DATEVALUE($A266),'changes1_based on steps'!N$1:N$400,0)),N$2,)</f>
        <v>0</v>
      </c>
      <c r="O266" s="140">
        <f ca="1">IF(ISNUMBER(MATCH(DATEVALUE($A266),'changes1_based on steps'!O$1:O$400,0)),O$2,)</f>
        <v>0</v>
      </c>
      <c r="P266" s="140">
        <f ca="1">IF(ISNUMBER(MATCH(DATEVALUE($A266),'changes1_based on steps'!P$1:P$400,0)),P$2,)</f>
        <v>0</v>
      </c>
      <c r="Q266" s="140">
        <f ca="1">IF(ISNUMBER(MATCH(DATEVALUE($A266),'changes1_based on steps'!Q$1:Q$400,0)),Q$2,)</f>
        <v>0</v>
      </c>
      <c r="R266" s="140">
        <f ca="1">IF(ISNUMBER(MATCH(DATEVALUE($A266),'changes1_based on steps'!R$1:R$400,0)),R$2,)</f>
        <v>0</v>
      </c>
      <c r="S266" s="140">
        <f ca="1">IF(ISNUMBER(MATCH(DATEVALUE($A266),'changes1_based on steps'!S$1:S$400,0)),S$2,)</f>
        <v>0</v>
      </c>
      <c r="T266" s="140">
        <f ca="1">IF(ISNUMBER(MATCH(DATEVALUE($A266),'changes1_based on steps'!T$1:T$400,0)),T$2,)</f>
        <v>0</v>
      </c>
      <c r="U266" s="140">
        <f ca="1">IF(ISNUMBER(MATCH(DATEVALUE($A266),'changes1_based on steps'!U$1:U$400,0)),U$2,)</f>
        <v>0</v>
      </c>
      <c r="V266" s="140"/>
      <c r="W266" s="140"/>
      <c r="X266" s="140"/>
      <c r="Y266" s="140"/>
      <c r="Z266" s="140"/>
      <c r="AA266" s="140"/>
      <c r="AB266" s="140"/>
      <c r="AC266" s="140"/>
      <c r="AD266" s="140"/>
      <c r="AE266" s="140"/>
      <c r="AF266" s="140"/>
      <c r="AG266" s="140"/>
      <c r="AH266" s="140"/>
      <c r="AI266" s="140"/>
      <c r="AJ266" s="140"/>
      <c r="AK266" s="140"/>
      <c r="AL266" s="140"/>
      <c r="AM266" s="140"/>
      <c r="AN266" s="140"/>
      <c r="AO266" s="140"/>
      <c r="AP266" s="140"/>
      <c r="AQ266" s="140"/>
      <c r="AR266" s="140"/>
      <c r="AS266" s="140"/>
      <c r="AT266" s="140"/>
      <c r="AU266" s="140"/>
      <c r="AV266" s="140"/>
      <c r="AW266" s="140"/>
      <c r="AX266" s="140"/>
      <c r="AY266" s="140"/>
      <c r="AZ266" s="140"/>
      <c r="BA266" s="140"/>
      <c r="BB266" s="140"/>
      <c r="BC266" s="140"/>
      <c r="BD266" s="140"/>
      <c r="BE266" s="140"/>
      <c r="BF266" s="140"/>
      <c r="BG266" s="140"/>
      <c r="BH266" s="140"/>
      <c r="BI266" s="140"/>
      <c r="BJ266" s="140"/>
      <c r="BK266" s="140"/>
      <c r="BL266" s="140"/>
      <c r="BM266" s="140"/>
      <c r="BN266" s="140"/>
      <c r="BO266" s="140"/>
      <c r="BP266" s="140"/>
      <c r="BQ266" s="140"/>
      <c r="BR266" s="140"/>
      <c r="BS266" s="140"/>
      <c r="BT266" s="140"/>
      <c r="BU266" s="140"/>
      <c r="BV266" s="140"/>
      <c r="BW266" s="140"/>
      <c r="BX266" s="140"/>
      <c r="BY266" s="140"/>
      <c r="BZ266" s="140"/>
      <c r="CA266" s="140"/>
      <c r="CB266" s="140"/>
      <c r="CC266" s="140"/>
      <c r="CD266" s="140"/>
      <c r="CE266" s="140"/>
      <c r="CF266" s="140"/>
      <c r="CG266" s="140"/>
      <c r="CH266" s="140"/>
      <c r="CI266" s="140"/>
      <c r="CJ266" s="140"/>
      <c r="CK266" s="140"/>
      <c r="CL266" s="140"/>
      <c r="CM266" s="140"/>
      <c r="CN266" s="140"/>
      <c r="CO266" s="140"/>
      <c r="CP266" s="140"/>
      <c r="CQ266" s="140"/>
      <c r="CR266" s="140"/>
      <c r="CS266" s="140"/>
      <c r="CT266" s="140"/>
      <c r="CU266" s="140"/>
      <c r="CV266" s="140"/>
      <c r="CW266" s="140"/>
    </row>
    <row r="267" spans="1:101" x14ac:dyDescent="0.2">
      <c r="A267" s="29" t="str">
        <f t="shared" ca="1" si="4"/>
        <v>2025-12-16</v>
      </c>
      <c r="B267" s="140">
        <f ca="1">IF(ISNUMBER(MATCH(DATEVALUE($A267),'changes1_based on steps'!B$1:B$400,0)),B$2,)</f>
        <v>0</v>
      </c>
      <c r="C267" s="140">
        <f ca="1">IF(ISNUMBER(MATCH(DATEVALUE($A267),'changes1_based on steps'!C$1:C$400,0)),C$2,)</f>
        <v>0</v>
      </c>
      <c r="D267" s="140">
        <f ca="1">IF(ISNUMBER(MATCH(DATEVALUE($A267),'changes1_based on steps'!D$1:D$400,0)),D$2,)</f>
        <v>0</v>
      </c>
      <c r="E267" s="140">
        <f ca="1">IF(ISNUMBER(MATCH(DATEVALUE($A267),'changes1_based on steps'!E$1:E$400,0)),E$2,)</f>
        <v>0</v>
      </c>
      <c r="F267" s="140">
        <f ca="1">IF(ISNUMBER(MATCH(DATEVALUE($A267),'changes1_based on steps'!F$1:F$400,0)),F$2,)</f>
        <v>0</v>
      </c>
      <c r="G267" s="140">
        <f ca="1">IF(ISNUMBER(MATCH(DATEVALUE($A267),'changes1_based on steps'!G$1:G$400,0)),G$2,)</f>
        <v>0</v>
      </c>
      <c r="H267" s="140">
        <f ca="1">IF(ISNUMBER(MATCH(DATEVALUE($A267),'changes1_based on steps'!H$1:H$400,0)),H$2,)</f>
        <v>0</v>
      </c>
      <c r="I267" s="140">
        <f ca="1">IF(ISNUMBER(MATCH(DATEVALUE($A267),'changes1_based on steps'!I$1:I$400,0)),I$2,)</f>
        <v>0</v>
      </c>
      <c r="J267" s="140">
        <f ca="1">IF(ISNUMBER(MATCH(DATEVALUE($A267),'changes1_based on steps'!J$1:J$400,0)),J$2,)</f>
        <v>0</v>
      </c>
      <c r="K267" s="140">
        <f ca="1">IF(ISNUMBER(MATCH(DATEVALUE($A267),'changes1_based on steps'!K$1:K$400,0)),K$2,)</f>
        <v>0</v>
      </c>
      <c r="L267" s="140">
        <f ca="1">IF(ISNUMBER(MATCH(DATEVALUE($A267),'changes1_based on steps'!L$1:L$400,0)),L$2,)</f>
        <v>0</v>
      </c>
      <c r="M267" s="140">
        <f ca="1">IF(ISNUMBER(MATCH(DATEVALUE($A267),'changes1_based on steps'!M$1:M$400,0)),M$2,)</f>
        <v>0</v>
      </c>
      <c r="N267" s="140">
        <f ca="1">IF(ISNUMBER(MATCH(DATEVALUE($A267),'changes1_based on steps'!N$1:N$400,0)),N$2,)</f>
        <v>0</v>
      </c>
      <c r="O267" s="140">
        <f ca="1">IF(ISNUMBER(MATCH(DATEVALUE($A267),'changes1_based on steps'!O$1:O$400,0)),O$2,)</f>
        <v>0</v>
      </c>
      <c r="P267" s="140">
        <f ca="1">IF(ISNUMBER(MATCH(DATEVALUE($A267),'changes1_based on steps'!P$1:P$400,0)),P$2,)</f>
        <v>0</v>
      </c>
      <c r="Q267" s="140">
        <f ca="1">IF(ISNUMBER(MATCH(DATEVALUE($A267),'changes1_based on steps'!Q$1:Q$400,0)),Q$2,)</f>
        <v>0</v>
      </c>
      <c r="R267" s="140">
        <f ca="1">IF(ISNUMBER(MATCH(DATEVALUE($A267),'changes1_based on steps'!R$1:R$400,0)),R$2,)</f>
        <v>0</v>
      </c>
      <c r="S267" s="140">
        <f ca="1">IF(ISNUMBER(MATCH(DATEVALUE($A267),'changes1_based on steps'!S$1:S$400,0)),S$2,)</f>
        <v>0</v>
      </c>
      <c r="T267" s="140">
        <f ca="1">IF(ISNUMBER(MATCH(DATEVALUE($A267),'changes1_based on steps'!T$1:T$400,0)),T$2,)</f>
        <v>0</v>
      </c>
      <c r="U267" s="140">
        <f ca="1">IF(ISNUMBER(MATCH(DATEVALUE($A267),'changes1_based on steps'!U$1:U$400,0)),U$2,)</f>
        <v>0</v>
      </c>
      <c r="V267" s="140"/>
      <c r="W267" s="140"/>
      <c r="X267" s="140"/>
      <c r="Y267" s="140"/>
      <c r="Z267" s="140"/>
      <c r="AA267" s="140"/>
      <c r="AB267" s="140"/>
      <c r="AC267" s="140"/>
      <c r="AD267" s="140"/>
      <c r="AE267" s="140"/>
      <c r="AF267" s="140"/>
      <c r="AG267" s="140"/>
      <c r="AH267" s="140"/>
      <c r="AI267" s="140"/>
      <c r="AJ267" s="140"/>
      <c r="AK267" s="140"/>
      <c r="AL267" s="140"/>
      <c r="AM267" s="140"/>
      <c r="AN267" s="140"/>
      <c r="AO267" s="140"/>
      <c r="AP267" s="140"/>
      <c r="AQ267" s="140"/>
      <c r="AR267" s="140"/>
      <c r="AS267" s="140"/>
      <c r="AT267" s="140"/>
      <c r="AU267" s="140"/>
      <c r="AV267" s="140"/>
      <c r="AW267" s="140"/>
      <c r="AX267" s="140"/>
      <c r="AY267" s="140"/>
      <c r="AZ267" s="140"/>
      <c r="BA267" s="140"/>
      <c r="BB267" s="140"/>
      <c r="BC267" s="140"/>
      <c r="BD267" s="140"/>
      <c r="BE267" s="140"/>
      <c r="BF267" s="140"/>
      <c r="BG267" s="140"/>
      <c r="BH267" s="140"/>
      <c r="BI267" s="140"/>
      <c r="BJ267" s="140"/>
      <c r="BK267" s="140"/>
      <c r="BL267" s="140"/>
      <c r="BM267" s="140"/>
      <c r="BN267" s="140"/>
      <c r="BO267" s="140"/>
      <c r="BP267" s="140"/>
      <c r="BQ267" s="140"/>
      <c r="BR267" s="140"/>
      <c r="BS267" s="140"/>
      <c r="BT267" s="140"/>
      <c r="BU267" s="140"/>
      <c r="BV267" s="140"/>
      <c r="BW267" s="140"/>
      <c r="BX267" s="140"/>
      <c r="BY267" s="140"/>
      <c r="BZ267" s="140"/>
      <c r="CA267" s="140"/>
      <c r="CB267" s="140"/>
      <c r="CC267" s="140"/>
      <c r="CD267" s="140"/>
      <c r="CE267" s="140"/>
      <c r="CF267" s="140"/>
      <c r="CG267" s="140"/>
      <c r="CH267" s="140"/>
      <c r="CI267" s="140"/>
      <c r="CJ267" s="140"/>
      <c r="CK267" s="140"/>
      <c r="CL267" s="140"/>
      <c r="CM267" s="140"/>
      <c r="CN267" s="140"/>
      <c r="CO267" s="140"/>
      <c r="CP267" s="140"/>
      <c r="CQ267" s="140"/>
      <c r="CR267" s="140"/>
      <c r="CS267" s="140"/>
      <c r="CT267" s="140"/>
      <c r="CU267" s="140"/>
      <c r="CV267" s="140"/>
      <c r="CW267" s="140"/>
    </row>
    <row r="268" spans="1:101" x14ac:dyDescent="0.2">
      <c r="A268" s="29" t="str">
        <f t="shared" ca="1" si="4"/>
        <v>2025-12-17</v>
      </c>
      <c r="B268" s="140">
        <f ca="1">IF(ISNUMBER(MATCH(DATEVALUE($A268),'changes1_based on steps'!B$1:B$400,0)),B$2,)</f>
        <v>0</v>
      </c>
      <c r="C268" s="140">
        <f ca="1">IF(ISNUMBER(MATCH(DATEVALUE($A268),'changes1_based on steps'!C$1:C$400,0)),C$2,)</f>
        <v>0</v>
      </c>
      <c r="D268" s="140">
        <f ca="1">IF(ISNUMBER(MATCH(DATEVALUE($A268),'changes1_based on steps'!D$1:D$400,0)),D$2,)</f>
        <v>0</v>
      </c>
      <c r="E268" s="140">
        <f ca="1">IF(ISNUMBER(MATCH(DATEVALUE($A268),'changes1_based on steps'!E$1:E$400,0)),E$2,)</f>
        <v>0</v>
      </c>
      <c r="F268" s="140">
        <f ca="1">IF(ISNUMBER(MATCH(DATEVALUE($A268),'changes1_based on steps'!F$1:F$400,0)),F$2,)</f>
        <v>0</v>
      </c>
      <c r="G268" s="140">
        <f ca="1">IF(ISNUMBER(MATCH(DATEVALUE($A268),'changes1_based on steps'!G$1:G$400,0)),G$2,)</f>
        <v>0</v>
      </c>
      <c r="H268" s="140">
        <f ca="1">IF(ISNUMBER(MATCH(DATEVALUE($A268),'changes1_based on steps'!H$1:H$400,0)),H$2,)</f>
        <v>0</v>
      </c>
      <c r="I268" s="140">
        <f ca="1">IF(ISNUMBER(MATCH(DATEVALUE($A268),'changes1_based on steps'!I$1:I$400,0)),I$2,)</f>
        <v>0</v>
      </c>
      <c r="J268" s="140">
        <f ca="1">IF(ISNUMBER(MATCH(DATEVALUE($A268),'changes1_based on steps'!J$1:J$400,0)),J$2,)</f>
        <v>0</v>
      </c>
      <c r="K268" s="140">
        <f ca="1">IF(ISNUMBER(MATCH(DATEVALUE($A268),'changes1_based on steps'!K$1:K$400,0)),K$2,)</f>
        <v>0</v>
      </c>
      <c r="L268" s="140">
        <f ca="1">IF(ISNUMBER(MATCH(DATEVALUE($A268),'changes1_based on steps'!L$1:L$400,0)),L$2,)</f>
        <v>0</v>
      </c>
      <c r="M268" s="140">
        <f ca="1">IF(ISNUMBER(MATCH(DATEVALUE($A268),'changes1_based on steps'!M$1:M$400,0)),M$2,)</f>
        <v>0</v>
      </c>
      <c r="N268" s="140">
        <f ca="1">IF(ISNUMBER(MATCH(DATEVALUE($A268),'changes1_based on steps'!N$1:N$400,0)),N$2,)</f>
        <v>0</v>
      </c>
      <c r="O268" s="140">
        <f ca="1">IF(ISNUMBER(MATCH(DATEVALUE($A268),'changes1_based on steps'!O$1:O$400,0)),O$2,)</f>
        <v>0</v>
      </c>
      <c r="P268" s="140">
        <f ca="1">IF(ISNUMBER(MATCH(DATEVALUE($A268),'changes1_based on steps'!P$1:P$400,0)),P$2,)</f>
        <v>0</v>
      </c>
      <c r="Q268" s="140">
        <f ca="1">IF(ISNUMBER(MATCH(DATEVALUE($A268),'changes1_based on steps'!Q$1:Q$400,0)),Q$2,)</f>
        <v>0</v>
      </c>
      <c r="R268" s="140">
        <f ca="1">IF(ISNUMBER(MATCH(DATEVALUE($A268),'changes1_based on steps'!R$1:R$400,0)),R$2,)</f>
        <v>0</v>
      </c>
      <c r="S268" s="140">
        <f ca="1">IF(ISNUMBER(MATCH(DATEVALUE($A268),'changes1_based on steps'!S$1:S$400,0)),S$2,)</f>
        <v>0</v>
      </c>
      <c r="T268" s="140">
        <f ca="1">IF(ISNUMBER(MATCH(DATEVALUE($A268),'changes1_based on steps'!T$1:T$400,0)),T$2,)</f>
        <v>0</v>
      </c>
      <c r="U268" s="140">
        <f ca="1">IF(ISNUMBER(MATCH(DATEVALUE($A268),'changes1_based on steps'!U$1:U$400,0)),U$2,)</f>
        <v>0</v>
      </c>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c r="BK268" s="140"/>
      <c r="BL268" s="140"/>
      <c r="BM268" s="140"/>
      <c r="BN268" s="140"/>
      <c r="BO268" s="140"/>
      <c r="BP268" s="140"/>
      <c r="BQ268" s="140"/>
      <c r="BR268" s="140"/>
      <c r="BS268" s="140"/>
      <c r="BT268" s="140"/>
      <c r="BU268" s="140"/>
      <c r="BV268" s="140"/>
      <c r="BW268" s="140"/>
      <c r="BX268" s="140"/>
      <c r="BY268" s="140"/>
      <c r="BZ268" s="140"/>
      <c r="CA268" s="140"/>
      <c r="CB268" s="140"/>
      <c r="CC268" s="140"/>
      <c r="CD268" s="140"/>
      <c r="CE268" s="140"/>
      <c r="CF268" s="140"/>
      <c r="CG268" s="140"/>
      <c r="CH268" s="140"/>
      <c r="CI268" s="140"/>
      <c r="CJ268" s="140"/>
      <c r="CK268" s="140"/>
      <c r="CL268" s="140"/>
      <c r="CM268" s="140"/>
      <c r="CN268" s="140"/>
      <c r="CO268" s="140"/>
      <c r="CP268" s="140"/>
      <c r="CQ268" s="140"/>
      <c r="CR268" s="140"/>
      <c r="CS268" s="140"/>
      <c r="CT268" s="140"/>
      <c r="CU268" s="140"/>
      <c r="CV268" s="140"/>
      <c r="CW268" s="140"/>
    </row>
    <row r="269" spans="1:101" x14ac:dyDescent="0.2">
      <c r="A269" s="29" t="str">
        <f t="shared" ca="1" si="4"/>
        <v>2025-12-18</v>
      </c>
      <c r="B269" s="140">
        <f ca="1">IF(ISNUMBER(MATCH(DATEVALUE($A269),'changes1_based on steps'!B$1:B$400,0)),B$2,)</f>
        <v>0</v>
      </c>
      <c r="C269" s="140">
        <f ca="1">IF(ISNUMBER(MATCH(DATEVALUE($A269),'changes1_based on steps'!C$1:C$400,0)),C$2,)</f>
        <v>0</v>
      </c>
      <c r="D269" s="140">
        <f ca="1">IF(ISNUMBER(MATCH(DATEVALUE($A269),'changes1_based on steps'!D$1:D$400,0)),D$2,)</f>
        <v>0</v>
      </c>
      <c r="E269" s="140">
        <f ca="1">IF(ISNUMBER(MATCH(DATEVALUE($A269),'changes1_based on steps'!E$1:E$400,0)),E$2,)</f>
        <v>0</v>
      </c>
      <c r="F269" s="140">
        <f ca="1">IF(ISNUMBER(MATCH(DATEVALUE($A269),'changes1_based on steps'!F$1:F$400,0)),F$2,)</f>
        <v>0</v>
      </c>
      <c r="G269" s="140">
        <f ca="1">IF(ISNUMBER(MATCH(DATEVALUE($A269),'changes1_based on steps'!G$1:G$400,0)),G$2,)</f>
        <v>0</v>
      </c>
      <c r="H269" s="140">
        <f ca="1">IF(ISNUMBER(MATCH(DATEVALUE($A269),'changes1_based on steps'!H$1:H$400,0)),H$2,)</f>
        <v>0</v>
      </c>
      <c r="I269" s="140">
        <f ca="1">IF(ISNUMBER(MATCH(DATEVALUE($A269),'changes1_based on steps'!I$1:I$400,0)),I$2,)</f>
        <v>0</v>
      </c>
      <c r="J269" s="140">
        <f ca="1">IF(ISNUMBER(MATCH(DATEVALUE($A269),'changes1_based on steps'!J$1:J$400,0)),J$2,)</f>
        <v>0</v>
      </c>
      <c r="K269" s="140">
        <f ca="1">IF(ISNUMBER(MATCH(DATEVALUE($A269),'changes1_based on steps'!K$1:K$400,0)),K$2,)</f>
        <v>0</v>
      </c>
      <c r="L269" s="140">
        <f ca="1">IF(ISNUMBER(MATCH(DATEVALUE($A269),'changes1_based on steps'!L$1:L$400,0)),L$2,)</f>
        <v>0</v>
      </c>
      <c r="M269" s="140">
        <f ca="1">IF(ISNUMBER(MATCH(DATEVALUE($A269),'changes1_based on steps'!M$1:M$400,0)),M$2,)</f>
        <v>0</v>
      </c>
      <c r="N269" s="140">
        <f ca="1">IF(ISNUMBER(MATCH(DATEVALUE($A269),'changes1_based on steps'!N$1:N$400,0)),N$2,)</f>
        <v>0</v>
      </c>
      <c r="O269" s="140">
        <f ca="1">IF(ISNUMBER(MATCH(DATEVALUE($A269),'changes1_based on steps'!O$1:O$400,0)),O$2,)</f>
        <v>0</v>
      </c>
      <c r="P269" s="140">
        <f ca="1">IF(ISNUMBER(MATCH(DATEVALUE($A269),'changes1_based on steps'!P$1:P$400,0)),P$2,)</f>
        <v>0</v>
      </c>
      <c r="Q269" s="140">
        <f ca="1">IF(ISNUMBER(MATCH(DATEVALUE($A269),'changes1_based on steps'!Q$1:Q$400,0)),Q$2,)</f>
        <v>0</v>
      </c>
      <c r="R269" s="140">
        <f ca="1">IF(ISNUMBER(MATCH(DATEVALUE($A269),'changes1_based on steps'!R$1:R$400,0)),R$2,)</f>
        <v>0</v>
      </c>
      <c r="S269" s="140">
        <f ca="1">IF(ISNUMBER(MATCH(DATEVALUE($A269),'changes1_based on steps'!S$1:S$400,0)),S$2,)</f>
        <v>0</v>
      </c>
      <c r="T269" s="140">
        <f ca="1">IF(ISNUMBER(MATCH(DATEVALUE($A269),'changes1_based on steps'!T$1:T$400,0)),T$2,)</f>
        <v>0</v>
      </c>
      <c r="U269" s="140">
        <f ca="1">IF(ISNUMBER(MATCH(DATEVALUE($A269),'changes1_based on steps'!U$1:U$400,0)),U$2,)</f>
        <v>0</v>
      </c>
      <c r="V269" s="140"/>
      <c r="W269" s="140"/>
      <c r="X269" s="140"/>
      <c r="Y269" s="140"/>
      <c r="Z269" s="140"/>
      <c r="AA269" s="140"/>
      <c r="AB269" s="140"/>
      <c r="AC269" s="140"/>
      <c r="AD269" s="140"/>
      <c r="AE269" s="140"/>
      <c r="AF269" s="140"/>
      <c r="AG269" s="140"/>
      <c r="AH269" s="140"/>
      <c r="AI269" s="140"/>
      <c r="AJ269" s="140"/>
      <c r="AK269" s="140"/>
      <c r="AL269" s="140"/>
      <c r="AM269" s="140"/>
      <c r="AN269" s="140"/>
      <c r="AO269" s="140"/>
      <c r="AP269" s="140"/>
      <c r="AQ269" s="140"/>
      <c r="AR269" s="140"/>
      <c r="AS269" s="140"/>
      <c r="AT269" s="140"/>
      <c r="AU269" s="140"/>
      <c r="AV269" s="140"/>
      <c r="AW269" s="140"/>
      <c r="AX269" s="140"/>
      <c r="AY269" s="140"/>
      <c r="AZ269" s="140"/>
      <c r="BA269" s="140"/>
      <c r="BB269" s="140"/>
      <c r="BC269" s="140"/>
      <c r="BD269" s="140"/>
      <c r="BE269" s="140"/>
      <c r="BF269" s="140"/>
      <c r="BG269" s="140"/>
      <c r="BH269" s="140"/>
      <c r="BI269" s="140"/>
      <c r="BJ269" s="140"/>
      <c r="BK269" s="140"/>
      <c r="BL269" s="140"/>
      <c r="BM269" s="140"/>
      <c r="BN269" s="140"/>
      <c r="BO269" s="140"/>
      <c r="BP269" s="140"/>
      <c r="BQ269" s="140"/>
      <c r="BR269" s="140"/>
      <c r="BS269" s="140"/>
      <c r="BT269" s="140"/>
      <c r="BU269" s="140"/>
      <c r="BV269" s="140"/>
      <c r="BW269" s="140"/>
      <c r="BX269" s="140"/>
      <c r="BY269" s="140"/>
      <c r="BZ269" s="140"/>
      <c r="CA269" s="140"/>
      <c r="CB269" s="140"/>
      <c r="CC269" s="140"/>
      <c r="CD269" s="140"/>
      <c r="CE269" s="140"/>
      <c r="CF269" s="140"/>
      <c r="CG269" s="140"/>
      <c r="CH269" s="140"/>
      <c r="CI269" s="140"/>
      <c r="CJ269" s="140"/>
      <c r="CK269" s="140"/>
      <c r="CL269" s="140"/>
      <c r="CM269" s="140"/>
      <c r="CN269" s="140"/>
      <c r="CO269" s="140"/>
      <c r="CP269" s="140"/>
      <c r="CQ269" s="140"/>
      <c r="CR269" s="140"/>
      <c r="CS269" s="140"/>
      <c r="CT269" s="140"/>
      <c r="CU269" s="140"/>
      <c r="CV269" s="140"/>
      <c r="CW269" s="140"/>
    </row>
    <row r="270" spans="1:101" x14ac:dyDescent="0.2">
      <c r="A270" s="29" t="str">
        <f t="shared" ca="1" si="4"/>
        <v>2025-12-19</v>
      </c>
      <c r="B270" s="140">
        <f ca="1">IF(ISNUMBER(MATCH(DATEVALUE($A270),'changes1_based on steps'!B$1:B$400,0)),B$2,)</f>
        <v>0</v>
      </c>
      <c r="C270" s="140">
        <f ca="1">IF(ISNUMBER(MATCH(DATEVALUE($A270),'changes1_based on steps'!C$1:C$400,0)),C$2,)</f>
        <v>0</v>
      </c>
      <c r="D270" s="140">
        <f ca="1">IF(ISNUMBER(MATCH(DATEVALUE($A270),'changes1_based on steps'!D$1:D$400,0)),D$2,)</f>
        <v>0</v>
      </c>
      <c r="E270" s="140">
        <f ca="1">IF(ISNUMBER(MATCH(DATEVALUE($A270),'changes1_based on steps'!E$1:E$400,0)),E$2,)</f>
        <v>0</v>
      </c>
      <c r="F270" s="140">
        <f ca="1">IF(ISNUMBER(MATCH(DATEVALUE($A270),'changes1_based on steps'!F$1:F$400,0)),F$2,)</f>
        <v>0</v>
      </c>
      <c r="G270" s="140">
        <f ca="1">IF(ISNUMBER(MATCH(DATEVALUE($A270),'changes1_based on steps'!G$1:G$400,0)),G$2,)</f>
        <v>0</v>
      </c>
      <c r="H270" s="140">
        <f ca="1">IF(ISNUMBER(MATCH(DATEVALUE($A270),'changes1_based on steps'!H$1:H$400,0)),H$2,)</f>
        <v>0</v>
      </c>
      <c r="I270" s="140">
        <f ca="1">IF(ISNUMBER(MATCH(DATEVALUE($A270),'changes1_based on steps'!I$1:I$400,0)),I$2,)</f>
        <v>0</v>
      </c>
      <c r="J270" s="140">
        <f ca="1">IF(ISNUMBER(MATCH(DATEVALUE($A270),'changes1_based on steps'!J$1:J$400,0)),J$2,)</f>
        <v>0</v>
      </c>
      <c r="K270" s="140">
        <f ca="1">IF(ISNUMBER(MATCH(DATEVALUE($A270),'changes1_based on steps'!K$1:K$400,0)),K$2,)</f>
        <v>0</v>
      </c>
      <c r="L270" s="140">
        <f ca="1">IF(ISNUMBER(MATCH(DATEVALUE($A270),'changes1_based on steps'!L$1:L$400,0)),L$2,)</f>
        <v>0</v>
      </c>
      <c r="M270" s="140">
        <f ca="1">IF(ISNUMBER(MATCH(DATEVALUE($A270),'changes1_based on steps'!M$1:M$400,0)),M$2,)</f>
        <v>0</v>
      </c>
      <c r="N270" s="140">
        <f ca="1">IF(ISNUMBER(MATCH(DATEVALUE($A270),'changes1_based on steps'!N$1:N$400,0)),N$2,)</f>
        <v>0</v>
      </c>
      <c r="O270" s="140">
        <f ca="1">IF(ISNUMBER(MATCH(DATEVALUE($A270),'changes1_based on steps'!O$1:O$400,0)),O$2,)</f>
        <v>0</v>
      </c>
      <c r="P270" s="140">
        <f ca="1">IF(ISNUMBER(MATCH(DATEVALUE($A270),'changes1_based on steps'!P$1:P$400,0)),P$2,)</f>
        <v>0</v>
      </c>
      <c r="Q270" s="140">
        <f ca="1">IF(ISNUMBER(MATCH(DATEVALUE($A270),'changes1_based on steps'!Q$1:Q$400,0)),Q$2,)</f>
        <v>0</v>
      </c>
      <c r="R270" s="140">
        <f ca="1">IF(ISNUMBER(MATCH(DATEVALUE($A270),'changes1_based on steps'!R$1:R$400,0)),R$2,)</f>
        <v>0</v>
      </c>
      <c r="S270" s="140">
        <f ca="1">IF(ISNUMBER(MATCH(DATEVALUE($A270),'changes1_based on steps'!S$1:S$400,0)),S$2,)</f>
        <v>0</v>
      </c>
      <c r="T270" s="140">
        <f ca="1">IF(ISNUMBER(MATCH(DATEVALUE($A270),'changes1_based on steps'!T$1:T$400,0)),T$2,)</f>
        <v>0</v>
      </c>
      <c r="U270" s="140">
        <f ca="1">IF(ISNUMBER(MATCH(DATEVALUE($A270),'changes1_based on steps'!U$1:U$400,0)),U$2,)</f>
        <v>0</v>
      </c>
      <c r="V270" s="140"/>
      <c r="W270" s="140"/>
      <c r="X270" s="140"/>
      <c r="Y270" s="140"/>
      <c r="Z270" s="140"/>
      <c r="AA270" s="140"/>
      <c r="AB270" s="140"/>
      <c r="AC270" s="140"/>
      <c r="AD270" s="140"/>
      <c r="AE270" s="140"/>
      <c r="AF270" s="140"/>
      <c r="AG270" s="140"/>
      <c r="AH270" s="140"/>
      <c r="AI270" s="140"/>
      <c r="AJ270" s="140"/>
      <c r="AK270" s="140"/>
      <c r="AL270" s="140"/>
      <c r="AM270" s="140"/>
      <c r="AN270" s="140"/>
      <c r="AO270" s="140"/>
      <c r="AP270" s="140"/>
      <c r="AQ270" s="140"/>
      <c r="AR270" s="140"/>
      <c r="AS270" s="140"/>
      <c r="AT270" s="140"/>
      <c r="AU270" s="140"/>
      <c r="AV270" s="140"/>
      <c r="AW270" s="140"/>
      <c r="AX270" s="140"/>
      <c r="AY270" s="140"/>
      <c r="AZ270" s="140"/>
      <c r="BA270" s="140"/>
      <c r="BB270" s="140"/>
      <c r="BC270" s="140"/>
      <c r="BD270" s="140"/>
      <c r="BE270" s="140"/>
      <c r="BF270" s="140"/>
      <c r="BG270" s="140"/>
      <c r="BH270" s="140"/>
      <c r="BI270" s="140"/>
      <c r="BJ270" s="140"/>
      <c r="BK270" s="140"/>
      <c r="BL270" s="140"/>
      <c r="BM270" s="140"/>
      <c r="BN270" s="140"/>
      <c r="BO270" s="140"/>
      <c r="BP270" s="140"/>
      <c r="BQ270" s="140"/>
      <c r="BR270" s="140"/>
      <c r="BS270" s="140"/>
      <c r="BT270" s="140"/>
      <c r="BU270" s="140"/>
      <c r="BV270" s="140"/>
      <c r="BW270" s="140"/>
      <c r="BX270" s="140"/>
      <c r="BY270" s="140"/>
      <c r="BZ270" s="140"/>
      <c r="CA270" s="140"/>
      <c r="CB270" s="140"/>
      <c r="CC270" s="140"/>
      <c r="CD270" s="140"/>
      <c r="CE270" s="140"/>
      <c r="CF270" s="140"/>
      <c r="CG270" s="140"/>
      <c r="CH270" s="140"/>
      <c r="CI270" s="140"/>
      <c r="CJ270" s="140"/>
      <c r="CK270" s="140"/>
      <c r="CL270" s="140"/>
      <c r="CM270" s="140"/>
      <c r="CN270" s="140"/>
      <c r="CO270" s="140"/>
      <c r="CP270" s="140"/>
      <c r="CQ270" s="140"/>
      <c r="CR270" s="140"/>
      <c r="CS270" s="140"/>
      <c r="CT270" s="140"/>
      <c r="CU270" s="140"/>
      <c r="CV270" s="140"/>
      <c r="CW270" s="140"/>
    </row>
    <row r="271" spans="1:101" x14ac:dyDescent="0.2">
      <c r="A271" s="29" t="str">
        <f t="shared" ca="1" si="4"/>
        <v>2025-12-20</v>
      </c>
      <c r="B271" s="140">
        <f ca="1">IF(ISNUMBER(MATCH(DATEVALUE($A271),'changes1_based on steps'!B$1:B$400,0)),B$2,)</f>
        <v>0</v>
      </c>
      <c r="C271" s="140">
        <f ca="1">IF(ISNUMBER(MATCH(DATEVALUE($A271),'changes1_based on steps'!C$1:C$400,0)),C$2,)</f>
        <v>0</v>
      </c>
      <c r="D271" s="140">
        <f ca="1">IF(ISNUMBER(MATCH(DATEVALUE($A271),'changes1_based on steps'!D$1:D$400,0)),D$2,)</f>
        <v>0</v>
      </c>
      <c r="E271" s="140">
        <f ca="1">IF(ISNUMBER(MATCH(DATEVALUE($A271),'changes1_based on steps'!E$1:E$400,0)),E$2,)</f>
        <v>0</v>
      </c>
      <c r="F271" s="140">
        <f ca="1">IF(ISNUMBER(MATCH(DATEVALUE($A271),'changes1_based on steps'!F$1:F$400,0)),F$2,)</f>
        <v>0</v>
      </c>
      <c r="G271" s="140">
        <f ca="1">IF(ISNUMBER(MATCH(DATEVALUE($A271),'changes1_based on steps'!G$1:G$400,0)),G$2,)</f>
        <v>0</v>
      </c>
      <c r="H271" s="140">
        <f ca="1">IF(ISNUMBER(MATCH(DATEVALUE($A271),'changes1_based on steps'!H$1:H$400,0)),H$2,)</f>
        <v>0</v>
      </c>
      <c r="I271" s="140">
        <f ca="1">IF(ISNUMBER(MATCH(DATEVALUE($A271),'changes1_based on steps'!I$1:I$400,0)),I$2,)</f>
        <v>0</v>
      </c>
      <c r="J271" s="140">
        <f ca="1">IF(ISNUMBER(MATCH(DATEVALUE($A271),'changes1_based on steps'!J$1:J$400,0)),J$2,)</f>
        <v>0</v>
      </c>
      <c r="K271" s="140">
        <f ca="1">IF(ISNUMBER(MATCH(DATEVALUE($A271),'changes1_based on steps'!K$1:K$400,0)),K$2,)</f>
        <v>0</v>
      </c>
      <c r="L271" s="140">
        <f ca="1">IF(ISNUMBER(MATCH(DATEVALUE($A271),'changes1_based on steps'!L$1:L$400,0)),L$2,)</f>
        <v>0</v>
      </c>
      <c r="M271" s="140">
        <f ca="1">IF(ISNUMBER(MATCH(DATEVALUE($A271),'changes1_based on steps'!M$1:M$400,0)),M$2,)</f>
        <v>0</v>
      </c>
      <c r="N271" s="140">
        <f ca="1">IF(ISNUMBER(MATCH(DATEVALUE($A271),'changes1_based on steps'!N$1:N$400,0)),N$2,)</f>
        <v>0</v>
      </c>
      <c r="O271" s="140">
        <f ca="1">IF(ISNUMBER(MATCH(DATEVALUE($A271),'changes1_based on steps'!O$1:O$400,0)),O$2,)</f>
        <v>0</v>
      </c>
      <c r="P271" s="140">
        <f ca="1">IF(ISNUMBER(MATCH(DATEVALUE($A271),'changes1_based on steps'!P$1:P$400,0)),P$2,)</f>
        <v>0</v>
      </c>
      <c r="Q271" s="140">
        <f ca="1">IF(ISNUMBER(MATCH(DATEVALUE($A271),'changes1_based on steps'!Q$1:Q$400,0)),Q$2,)</f>
        <v>0</v>
      </c>
      <c r="R271" s="140">
        <f ca="1">IF(ISNUMBER(MATCH(DATEVALUE($A271),'changes1_based on steps'!R$1:R$400,0)),R$2,)</f>
        <v>0</v>
      </c>
      <c r="S271" s="140">
        <f ca="1">IF(ISNUMBER(MATCH(DATEVALUE($A271),'changes1_based on steps'!S$1:S$400,0)),S$2,)</f>
        <v>0</v>
      </c>
      <c r="T271" s="140">
        <f ca="1">IF(ISNUMBER(MATCH(DATEVALUE($A271),'changes1_based on steps'!T$1:T$400,0)),T$2,)</f>
        <v>0</v>
      </c>
      <c r="U271" s="140">
        <f ca="1">IF(ISNUMBER(MATCH(DATEVALUE($A271),'changes1_based on steps'!U$1:U$400,0)),U$2,)</f>
        <v>0</v>
      </c>
      <c r="V271" s="140"/>
      <c r="W271" s="140"/>
      <c r="X271" s="140"/>
      <c r="Y271" s="140"/>
      <c r="Z271" s="140"/>
      <c r="AA271" s="140"/>
      <c r="AB271" s="140"/>
      <c r="AC271" s="140"/>
      <c r="AD271" s="140"/>
      <c r="AE271" s="140"/>
      <c r="AF271" s="140"/>
      <c r="AG271" s="140"/>
      <c r="AH271" s="140"/>
      <c r="AI271" s="140"/>
      <c r="AJ271" s="140"/>
      <c r="AK271" s="140"/>
      <c r="AL271" s="140"/>
      <c r="AM271" s="140"/>
      <c r="AN271" s="140"/>
      <c r="AO271" s="140"/>
      <c r="AP271" s="140"/>
      <c r="AQ271" s="140"/>
      <c r="AR271" s="140"/>
      <c r="AS271" s="140"/>
      <c r="AT271" s="140"/>
      <c r="AU271" s="140"/>
      <c r="AV271" s="140"/>
      <c r="AW271" s="140"/>
      <c r="AX271" s="140"/>
      <c r="AY271" s="140"/>
      <c r="AZ271" s="140"/>
      <c r="BA271" s="140"/>
      <c r="BB271" s="140"/>
      <c r="BC271" s="140"/>
      <c r="BD271" s="140"/>
      <c r="BE271" s="140"/>
      <c r="BF271" s="140"/>
      <c r="BG271" s="140"/>
      <c r="BH271" s="140"/>
      <c r="BI271" s="140"/>
      <c r="BJ271" s="140"/>
      <c r="BK271" s="140"/>
      <c r="BL271" s="140"/>
      <c r="BM271" s="140"/>
      <c r="BN271" s="140"/>
      <c r="BO271" s="140"/>
      <c r="BP271" s="140"/>
      <c r="BQ271" s="140"/>
      <c r="BR271" s="140"/>
      <c r="BS271" s="140"/>
      <c r="BT271" s="140"/>
      <c r="BU271" s="140"/>
      <c r="BV271" s="140"/>
      <c r="BW271" s="140"/>
      <c r="BX271" s="140"/>
      <c r="BY271" s="140"/>
      <c r="BZ271" s="140"/>
      <c r="CA271" s="140"/>
      <c r="CB271" s="140"/>
      <c r="CC271" s="140"/>
      <c r="CD271" s="140"/>
      <c r="CE271" s="140"/>
      <c r="CF271" s="140"/>
      <c r="CG271" s="140"/>
      <c r="CH271" s="140"/>
      <c r="CI271" s="140"/>
      <c r="CJ271" s="140"/>
      <c r="CK271" s="140"/>
      <c r="CL271" s="140"/>
      <c r="CM271" s="140"/>
      <c r="CN271" s="140"/>
      <c r="CO271" s="140"/>
      <c r="CP271" s="140"/>
      <c r="CQ271" s="140"/>
      <c r="CR271" s="140"/>
      <c r="CS271" s="140"/>
      <c r="CT271" s="140"/>
      <c r="CU271" s="140"/>
      <c r="CV271" s="140"/>
      <c r="CW271" s="140"/>
    </row>
    <row r="272" spans="1:101" x14ac:dyDescent="0.2">
      <c r="A272" s="29" t="str">
        <f t="shared" ca="1" si="4"/>
        <v>2025-12-21</v>
      </c>
      <c r="B272" s="140">
        <f ca="1">IF(ISNUMBER(MATCH(DATEVALUE($A272),'changes1_based on steps'!B$1:B$400,0)),B$2,)</f>
        <v>0</v>
      </c>
      <c r="C272" s="140">
        <f ca="1">IF(ISNUMBER(MATCH(DATEVALUE($A272),'changes1_based on steps'!C$1:C$400,0)),C$2,)</f>
        <v>0</v>
      </c>
      <c r="D272" s="140">
        <f ca="1">IF(ISNUMBER(MATCH(DATEVALUE($A272),'changes1_based on steps'!D$1:D$400,0)),D$2,)</f>
        <v>0</v>
      </c>
      <c r="E272" s="140">
        <f ca="1">IF(ISNUMBER(MATCH(DATEVALUE($A272),'changes1_based on steps'!E$1:E$400,0)),E$2,)</f>
        <v>0</v>
      </c>
      <c r="F272" s="140">
        <f ca="1">IF(ISNUMBER(MATCH(DATEVALUE($A272),'changes1_based on steps'!F$1:F$400,0)),F$2,)</f>
        <v>0</v>
      </c>
      <c r="G272" s="140">
        <f ca="1">IF(ISNUMBER(MATCH(DATEVALUE($A272),'changes1_based on steps'!G$1:G$400,0)),G$2,)</f>
        <v>0</v>
      </c>
      <c r="H272" s="140">
        <f ca="1">IF(ISNUMBER(MATCH(DATEVALUE($A272),'changes1_based on steps'!H$1:H$400,0)),H$2,)</f>
        <v>0</v>
      </c>
      <c r="I272" s="140">
        <f ca="1">IF(ISNUMBER(MATCH(DATEVALUE($A272),'changes1_based on steps'!I$1:I$400,0)),I$2,)</f>
        <v>0</v>
      </c>
      <c r="J272" s="140">
        <f ca="1">IF(ISNUMBER(MATCH(DATEVALUE($A272),'changes1_based on steps'!J$1:J$400,0)),J$2,)</f>
        <v>0</v>
      </c>
      <c r="K272" s="140">
        <f ca="1">IF(ISNUMBER(MATCH(DATEVALUE($A272),'changes1_based on steps'!K$1:K$400,0)),K$2,)</f>
        <v>0</v>
      </c>
      <c r="L272" s="140">
        <f ca="1">IF(ISNUMBER(MATCH(DATEVALUE($A272),'changes1_based on steps'!L$1:L$400,0)),L$2,)</f>
        <v>0</v>
      </c>
      <c r="M272" s="140">
        <f ca="1">IF(ISNUMBER(MATCH(DATEVALUE($A272),'changes1_based on steps'!M$1:M$400,0)),M$2,)</f>
        <v>0</v>
      </c>
      <c r="N272" s="140">
        <f ca="1">IF(ISNUMBER(MATCH(DATEVALUE($A272),'changes1_based on steps'!N$1:N$400,0)),N$2,)</f>
        <v>0</v>
      </c>
      <c r="O272" s="140">
        <f ca="1">IF(ISNUMBER(MATCH(DATEVALUE($A272),'changes1_based on steps'!O$1:O$400,0)),O$2,)</f>
        <v>0</v>
      </c>
      <c r="P272" s="140">
        <f ca="1">IF(ISNUMBER(MATCH(DATEVALUE($A272),'changes1_based on steps'!P$1:P$400,0)),P$2,)</f>
        <v>0</v>
      </c>
      <c r="Q272" s="140">
        <f ca="1">IF(ISNUMBER(MATCH(DATEVALUE($A272),'changes1_based on steps'!Q$1:Q$400,0)),Q$2,)</f>
        <v>0</v>
      </c>
      <c r="R272" s="140">
        <f ca="1">IF(ISNUMBER(MATCH(DATEVALUE($A272),'changes1_based on steps'!R$1:R$400,0)),R$2,)</f>
        <v>0</v>
      </c>
      <c r="S272" s="140">
        <f ca="1">IF(ISNUMBER(MATCH(DATEVALUE($A272),'changes1_based on steps'!S$1:S$400,0)),S$2,)</f>
        <v>0</v>
      </c>
      <c r="T272" s="140">
        <f ca="1">IF(ISNUMBER(MATCH(DATEVALUE($A272),'changes1_based on steps'!T$1:T$400,0)),T$2,)</f>
        <v>0</v>
      </c>
      <c r="U272" s="140">
        <f ca="1">IF(ISNUMBER(MATCH(DATEVALUE($A272),'changes1_based on steps'!U$1:U$400,0)),U$2,)</f>
        <v>0</v>
      </c>
      <c r="V272" s="140"/>
      <c r="W272" s="140"/>
      <c r="X272" s="140"/>
      <c r="Y272" s="140"/>
      <c r="Z272" s="140"/>
      <c r="AA272" s="140"/>
      <c r="AB272" s="140"/>
      <c r="AC272" s="140"/>
      <c r="AD272" s="140"/>
      <c r="AE272" s="140"/>
      <c r="AF272" s="140"/>
      <c r="AG272" s="140"/>
      <c r="AH272" s="140"/>
      <c r="AI272" s="140"/>
      <c r="AJ272" s="140"/>
      <c r="AK272" s="140"/>
      <c r="AL272" s="140"/>
      <c r="AM272" s="140"/>
      <c r="AN272" s="140"/>
      <c r="AO272" s="140"/>
      <c r="AP272" s="140"/>
      <c r="AQ272" s="140"/>
      <c r="AR272" s="140"/>
      <c r="AS272" s="140"/>
      <c r="AT272" s="140"/>
      <c r="AU272" s="140"/>
      <c r="AV272" s="140"/>
      <c r="AW272" s="140"/>
      <c r="AX272" s="140"/>
      <c r="AY272" s="140"/>
      <c r="AZ272" s="140"/>
      <c r="BA272" s="140"/>
      <c r="BB272" s="140"/>
      <c r="BC272" s="140"/>
      <c r="BD272" s="140"/>
      <c r="BE272" s="140"/>
      <c r="BF272" s="140"/>
      <c r="BG272" s="140"/>
      <c r="BH272" s="140"/>
      <c r="BI272" s="140"/>
      <c r="BJ272" s="140"/>
      <c r="BK272" s="140"/>
      <c r="BL272" s="140"/>
      <c r="BM272" s="140"/>
      <c r="BN272" s="140"/>
      <c r="BO272" s="140"/>
      <c r="BP272" s="140"/>
      <c r="BQ272" s="140"/>
      <c r="BR272" s="140"/>
      <c r="BS272" s="140"/>
      <c r="BT272" s="140"/>
      <c r="BU272" s="140"/>
      <c r="BV272" s="140"/>
      <c r="BW272" s="140"/>
      <c r="BX272" s="140"/>
      <c r="BY272" s="140"/>
      <c r="BZ272" s="140"/>
      <c r="CA272" s="140"/>
      <c r="CB272" s="140"/>
      <c r="CC272" s="140"/>
      <c r="CD272" s="140"/>
      <c r="CE272" s="140"/>
      <c r="CF272" s="140"/>
      <c r="CG272" s="140"/>
      <c r="CH272" s="140"/>
      <c r="CI272" s="140"/>
      <c r="CJ272" s="140"/>
      <c r="CK272" s="140"/>
      <c r="CL272" s="140"/>
      <c r="CM272" s="140"/>
      <c r="CN272" s="140"/>
      <c r="CO272" s="140"/>
      <c r="CP272" s="140"/>
      <c r="CQ272" s="140"/>
      <c r="CR272" s="140"/>
      <c r="CS272" s="140"/>
      <c r="CT272" s="140"/>
      <c r="CU272" s="140"/>
      <c r="CV272" s="140"/>
      <c r="CW272" s="140"/>
    </row>
    <row r="273" spans="1:101" x14ac:dyDescent="0.2">
      <c r="A273" s="29" t="str">
        <f t="shared" ca="1" si="4"/>
        <v>2025-12-22</v>
      </c>
      <c r="B273" s="140">
        <f ca="1">IF(ISNUMBER(MATCH(DATEVALUE($A273),'changes1_based on steps'!B$1:B$400,0)),B$2,)</f>
        <v>0</v>
      </c>
      <c r="C273" s="140">
        <f ca="1">IF(ISNUMBER(MATCH(DATEVALUE($A273),'changes1_based on steps'!C$1:C$400,0)),C$2,)</f>
        <v>0</v>
      </c>
      <c r="D273" s="140">
        <f ca="1">IF(ISNUMBER(MATCH(DATEVALUE($A273),'changes1_based on steps'!D$1:D$400,0)),D$2,)</f>
        <v>0</v>
      </c>
      <c r="E273" s="140">
        <f ca="1">IF(ISNUMBER(MATCH(DATEVALUE($A273),'changes1_based on steps'!E$1:E$400,0)),E$2,)</f>
        <v>0</v>
      </c>
      <c r="F273" s="140">
        <f ca="1">IF(ISNUMBER(MATCH(DATEVALUE($A273),'changes1_based on steps'!F$1:F$400,0)),F$2,)</f>
        <v>0</v>
      </c>
      <c r="G273" s="140">
        <f ca="1">IF(ISNUMBER(MATCH(DATEVALUE($A273),'changes1_based on steps'!G$1:G$400,0)),G$2,)</f>
        <v>0</v>
      </c>
      <c r="H273" s="140">
        <f ca="1">IF(ISNUMBER(MATCH(DATEVALUE($A273),'changes1_based on steps'!H$1:H$400,0)),H$2,)</f>
        <v>0</v>
      </c>
      <c r="I273" s="140">
        <f ca="1">IF(ISNUMBER(MATCH(DATEVALUE($A273),'changes1_based on steps'!I$1:I$400,0)),I$2,)</f>
        <v>0</v>
      </c>
      <c r="J273" s="140">
        <f ca="1">IF(ISNUMBER(MATCH(DATEVALUE($A273),'changes1_based on steps'!J$1:J$400,0)),J$2,)</f>
        <v>0</v>
      </c>
      <c r="K273" s="140">
        <f ca="1">IF(ISNUMBER(MATCH(DATEVALUE($A273),'changes1_based on steps'!K$1:K$400,0)),K$2,)</f>
        <v>0</v>
      </c>
      <c r="L273" s="140">
        <f ca="1">IF(ISNUMBER(MATCH(DATEVALUE($A273),'changes1_based on steps'!L$1:L$400,0)),L$2,)</f>
        <v>0</v>
      </c>
      <c r="M273" s="140">
        <f ca="1">IF(ISNUMBER(MATCH(DATEVALUE($A273),'changes1_based on steps'!M$1:M$400,0)),M$2,)</f>
        <v>0</v>
      </c>
      <c r="N273" s="140">
        <f ca="1">IF(ISNUMBER(MATCH(DATEVALUE($A273),'changes1_based on steps'!N$1:N$400,0)),N$2,)</f>
        <v>0</v>
      </c>
      <c r="O273" s="140">
        <f ca="1">IF(ISNUMBER(MATCH(DATEVALUE($A273),'changes1_based on steps'!O$1:O$400,0)),O$2,)</f>
        <v>0</v>
      </c>
      <c r="P273" s="140">
        <f ca="1">IF(ISNUMBER(MATCH(DATEVALUE($A273),'changes1_based on steps'!P$1:P$400,0)),P$2,)</f>
        <v>0</v>
      </c>
      <c r="Q273" s="140">
        <f ca="1">IF(ISNUMBER(MATCH(DATEVALUE($A273),'changes1_based on steps'!Q$1:Q$400,0)),Q$2,)</f>
        <v>0</v>
      </c>
      <c r="R273" s="140">
        <f ca="1">IF(ISNUMBER(MATCH(DATEVALUE($A273),'changes1_based on steps'!R$1:R$400,0)),R$2,)</f>
        <v>0</v>
      </c>
      <c r="S273" s="140">
        <f ca="1">IF(ISNUMBER(MATCH(DATEVALUE($A273),'changes1_based on steps'!S$1:S$400,0)),S$2,)</f>
        <v>0</v>
      </c>
      <c r="T273" s="140">
        <f ca="1">IF(ISNUMBER(MATCH(DATEVALUE($A273),'changes1_based on steps'!T$1:T$400,0)),T$2,)</f>
        <v>0</v>
      </c>
      <c r="U273" s="140">
        <f ca="1">IF(ISNUMBER(MATCH(DATEVALUE($A273),'changes1_based on steps'!U$1:U$400,0)),U$2,)</f>
        <v>0</v>
      </c>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c r="BK273" s="140"/>
      <c r="BL273" s="140"/>
      <c r="BM273" s="140"/>
      <c r="BN273" s="140"/>
      <c r="BO273" s="140"/>
      <c r="BP273" s="140"/>
      <c r="BQ273" s="140"/>
      <c r="BR273" s="140"/>
      <c r="BS273" s="140"/>
      <c r="BT273" s="140"/>
      <c r="BU273" s="140"/>
      <c r="BV273" s="140"/>
      <c r="BW273" s="140"/>
      <c r="BX273" s="140"/>
      <c r="BY273" s="140"/>
      <c r="BZ273" s="140"/>
      <c r="CA273" s="140"/>
      <c r="CB273" s="140"/>
      <c r="CC273" s="140"/>
      <c r="CD273" s="140"/>
      <c r="CE273" s="140"/>
      <c r="CF273" s="140"/>
      <c r="CG273" s="140"/>
      <c r="CH273" s="140"/>
      <c r="CI273" s="140"/>
      <c r="CJ273" s="140"/>
      <c r="CK273" s="140"/>
      <c r="CL273" s="140"/>
      <c r="CM273" s="140"/>
      <c r="CN273" s="140"/>
      <c r="CO273" s="140"/>
      <c r="CP273" s="140"/>
      <c r="CQ273" s="140"/>
      <c r="CR273" s="140"/>
      <c r="CS273" s="140"/>
      <c r="CT273" s="140"/>
      <c r="CU273" s="140"/>
      <c r="CV273" s="140"/>
      <c r="CW273" s="140"/>
    </row>
    <row r="274" spans="1:101" x14ac:dyDescent="0.2">
      <c r="A274" s="29" t="str">
        <f t="shared" ca="1" si="4"/>
        <v>2025-12-23</v>
      </c>
      <c r="B274" s="140">
        <f ca="1">IF(ISNUMBER(MATCH(DATEVALUE($A274),'changes1_based on steps'!B$1:B$400,0)),B$2,)</f>
        <v>0</v>
      </c>
      <c r="C274" s="140">
        <f ca="1">IF(ISNUMBER(MATCH(DATEVALUE($A274),'changes1_based on steps'!C$1:C$400,0)),C$2,)</f>
        <v>0</v>
      </c>
      <c r="D274" s="140">
        <f ca="1">IF(ISNUMBER(MATCH(DATEVALUE($A274),'changes1_based on steps'!D$1:D$400,0)),D$2,)</f>
        <v>0</v>
      </c>
      <c r="E274" s="140">
        <f ca="1">IF(ISNUMBER(MATCH(DATEVALUE($A274),'changes1_based on steps'!E$1:E$400,0)),E$2,)</f>
        <v>0</v>
      </c>
      <c r="F274" s="140">
        <f ca="1">IF(ISNUMBER(MATCH(DATEVALUE($A274),'changes1_based on steps'!F$1:F$400,0)),F$2,)</f>
        <v>0</v>
      </c>
      <c r="G274" s="140">
        <f ca="1">IF(ISNUMBER(MATCH(DATEVALUE($A274),'changes1_based on steps'!G$1:G$400,0)),G$2,)</f>
        <v>0</v>
      </c>
      <c r="H274" s="140">
        <f ca="1">IF(ISNUMBER(MATCH(DATEVALUE($A274),'changes1_based on steps'!H$1:H$400,0)),H$2,)</f>
        <v>0</v>
      </c>
      <c r="I274" s="140">
        <f ca="1">IF(ISNUMBER(MATCH(DATEVALUE($A274),'changes1_based on steps'!I$1:I$400,0)),I$2,)</f>
        <v>0</v>
      </c>
      <c r="J274" s="140">
        <f ca="1">IF(ISNUMBER(MATCH(DATEVALUE($A274),'changes1_based on steps'!J$1:J$400,0)),J$2,)</f>
        <v>0</v>
      </c>
      <c r="K274" s="140">
        <f ca="1">IF(ISNUMBER(MATCH(DATEVALUE($A274),'changes1_based on steps'!K$1:K$400,0)),K$2,)</f>
        <v>0</v>
      </c>
      <c r="L274" s="140">
        <f ca="1">IF(ISNUMBER(MATCH(DATEVALUE($A274),'changes1_based on steps'!L$1:L$400,0)),L$2,)</f>
        <v>0</v>
      </c>
      <c r="M274" s="140">
        <f ca="1">IF(ISNUMBER(MATCH(DATEVALUE($A274),'changes1_based on steps'!M$1:M$400,0)),M$2,)</f>
        <v>0</v>
      </c>
      <c r="N274" s="140">
        <f ca="1">IF(ISNUMBER(MATCH(DATEVALUE($A274),'changes1_based on steps'!N$1:N$400,0)),N$2,)</f>
        <v>0</v>
      </c>
      <c r="O274" s="140">
        <f ca="1">IF(ISNUMBER(MATCH(DATEVALUE($A274),'changes1_based on steps'!O$1:O$400,0)),O$2,)</f>
        <v>0</v>
      </c>
      <c r="P274" s="140">
        <f ca="1">IF(ISNUMBER(MATCH(DATEVALUE($A274),'changes1_based on steps'!P$1:P$400,0)),P$2,)</f>
        <v>0</v>
      </c>
      <c r="Q274" s="140">
        <f ca="1">IF(ISNUMBER(MATCH(DATEVALUE($A274),'changes1_based on steps'!Q$1:Q$400,0)),Q$2,)</f>
        <v>0</v>
      </c>
      <c r="R274" s="140">
        <f ca="1">IF(ISNUMBER(MATCH(DATEVALUE($A274),'changes1_based on steps'!R$1:R$400,0)),R$2,)</f>
        <v>0</v>
      </c>
      <c r="S274" s="140">
        <f ca="1">IF(ISNUMBER(MATCH(DATEVALUE($A274),'changes1_based on steps'!S$1:S$400,0)),S$2,)</f>
        <v>0</v>
      </c>
      <c r="T274" s="140">
        <f ca="1">IF(ISNUMBER(MATCH(DATEVALUE($A274),'changes1_based on steps'!T$1:T$400,0)),T$2,)</f>
        <v>0</v>
      </c>
      <c r="U274" s="140">
        <f ca="1">IF(ISNUMBER(MATCH(DATEVALUE($A274),'changes1_based on steps'!U$1:U$400,0)),U$2,)</f>
        <v>0</v>
      </c>
      <c r="V274" s="140"/>
      <c r="W274" s="140"/>
      <c r="X274" s="140"/>
      <c r="Y274" s="140"/>
      <c r="Z274" s="140"/>
      <c r="AA274" s="140"/>
      <c r="AB274" s="140"/>
      <c r="AC274" s="140"/>
      <c r="AD274" s="140"/>
      <c r="AE274" s="140"/>
      <c r="AF274" s="140"/>
      <c r="AG274" s="140"/>
      <c r="AH274" s="140"/>
      <c r="AI274" s="140"/>
      <c r="AJ274" s="140"/>
      <c r="AK274" s="140"/>
      <c r="AL274" s="140"/>
      <c r="AM274" s="140"/>
      <c r="AN274" s="140"/>
      <c r="AO274" s="140"/>
      <c r="AP274" s="140"/>
      <c r="AQ274" s="140"/>
      <c r="AR274" s="140"/>
      <c r="AS274" s="140"/>
      <c r="AT274" s="140"/>
      <c r="AU274" s="140"/>
      <c r="AV274" s="140"/>
      <c r="AW274" s="140"/>
      <c r="AX274" s="140"/>
      <c r="AY274" s="140"/>
      <c r="AZ274" s="140"/>
      <c r="BA274" s="140"/>
      <c r="BB274" s="140"/>
      <c r="BC274" s="140"/>
      <c r="BD274" s="140"/>
      <c r="BE274" s="140"/>
      <c r="BF274" s="140"/>
      <c r="BG274" s="140"/>
      <c r="BH274" s="140"/>
      <c r="BI274" s="140"/>
      <c r="BJ274" s="140"/>
      <c r="BK274" s="140"/>
      <c r="BL274" s="140"/>
      <c r="BM274" s="140"/>
      <c r="BN274" s="140"/>
      <c r="BO274" s="140"/>
      <c r="BP274" s="140"/>
      <c r="BQ274" s="140"/>
      <c r="BR274" s="140"/>
      <c r="BS274" s="140"/>
      <c r="BT274" s="140"/>
      <c r="BU274" s="140"/>
      <c r="BV274" s="140"/>
      <c r="BW274" s="140"/>
      <c r="BX274" s="140"/>
      <c r="BY274" s="140"/>
      <c r="BZ274" s="140"/>
      <c r="CA274" s="140"/>
      <c r="CB274" s="140"/>
      <c r="CC274" s="140"/>
      <c r="CD274" s="140"/>
      <c r="CE274" s="140"/>
      <c r="CF274" s="140"/>
      <c r="CG274" s="140"/>
      <c r="CH274" s="140"/>
      <c r="CI274" s="140"/>
      <c r="CJ274" s="140"/>
      <c r="CK274" s="140"/>
      <c r="CL274" s="140"/>
      <c r="CM274" s="140"/>
      <c r="CN274" s="140"/>
      <c r="CO274" s="140"/>
      <c r="CP274" s="140"/>
      <c r="CQ274" s="140"/>
      <c r="CR274" s="140"/>
      <c r="CS274" s="140"/>
      <c r="CT274" s="140"/>
      <c r="CU274" s="140"/>
      <c r="CV274" s="140"/>
      <c r="CW274" s="140"/>
    </row>
    <row r="275" spans="1:101" x14ac:dyDescent="0.2">
      <c r="A275" s="29" t="str">
        <f t="shared" ca="1" si="4"/>
        <v>2025-12-24</v>
      </c>
      <c r="B275" s="140">
        <f ca="1">IF(ISNUMBER(MATCH(DATEVALUE($A275),'changes1_based on steps'!B$1:B$400,0)),B$2,)</f>
        <v>0</v>
      </c>
      <c r="C275" s="140">
        <f ca="1">IF(ISNUMBER(MATCH(DATEVALUE($A275),'changes1_based on steps'!C$1:C$400,0)),C$2,)</f>
        <v>0</v>
      </c>
      <c r="D275" s="140">
        <f ca="1">IF(ISNUMBER(MATCH(DATEVALUE($A275),'changes1_based on steps'!D$1:D$400,0)),D$2,)</f>
        <v>0</v>
      </c>
      <c r="E275" s="140">
        <f ca="1">IF(ISNUMBER(MATCH(DATEVALUE($A275),'changes1_based on steps'!E$1:E$400,0)),E$2,)</f>
        <v>0</v>
      </c>
      <c r="F275" s="140">
        <f ca="1">IF(ISNUMBER(MATCH(DATEVALUE($A275),'changes1_based on steps'!F$1:F$400,0)),F$2,)</f>
        <v>0</v>
      </c>
      <c r="G275" s="140">
        <f ca="1">IF(ISNUMBER(MATCH(DATEVALUE($A275),'changes1_based on steps'!G$1:G$400,0)),G$2,)</f>
        <v>0</v>
      </c>
      <c r="H275" s="140">
        <f ca="1">IF(ISNUMBER(MATCH(DATEVALUE($A275),'changes1_based on steps'!H$1:H$400,0)),H$2,)</f>
        <v>0</v>
      </c>
      <c r="I275" s="140">
        <f ca="1">IF(ISNUMBER(MATCH(DATEVALUE($A275),'changes1_based on steps'!I$1:I$400,0)),I$2,)</f>
        <v>0</v>
      </c>
      <c r="J275" s="140">
        <f ca="1">IF(ISNUMBER(MATCH(DATEVALUE($A275),'changes1_based on steps'!J$1:J$400,0)),J$2,)</f>
        <v>0</v>
      </c>
      <c r="K275" s="140">
        <f ca="1">IF(ISNUMBER(MATCH(DATEVALUE($A275),'changes1_based on steps'!K$1:K$400,0)),K$2,)</f>
        <v>0</v>
      </c>
      <c r="L275" s="140">
        <f ca="1">IF(ISNUMBER(MATCH(DATEVALUE($A275),'changes1_based on steps'!L$1:L$400,0)),L$2,)</f>
        <v>0</v>
      </c>
      <c r="M275" s="140">
        <f ca="1">IF(ISNUMBER(MATCH(DATEVALUE($A275),'changes1_based on steps'!M$1:M$400,0)),M$2,)</f>
        <v>0</v>
      </c>
      <c r="N275" s="140">
        <f ca="1">IF(ISNUMBER(MATCH(DATEVALUE($A275),'changes1_based on steps'!N$1:N$400,0)),N$2,)</f>
        <v>0</v>
      </c>
      <c r="O275" s="140">
        <f ca="1">IF(ISNUMBER(MATCH(DATEVALUE($A275),'changes1_based on steps'!O$1:O$400,0)),O$2,)</f>
        <v>0</v>
      </c>
      <c r="P275" s="140">
        <f ca="1">IF(ISNUMBER(MATCH(DATEVALUE($A275),'changes1_based on steps'!P$1:P$400,0)),P$2,)</f>
        <v>0</v>
      </c>
      <c r="Q275" s="140">
        <f ca="1">IF(ISNUMBER(MATCH(DATEVALUE($A275),'changes1_based on steps'!Q$1:Q$400,0)),Q$2,)</f>
        <v>0</v>
      </c>
      <c r="R275" s="140">
        <f ca="1">IF(ISNUMBER(MATCH(DATEVALUE($A275),'changes1_based on steps'!R$1:R$400,0)),R$2,)</f>
        <v>0</v>
      </c>
      <c r="S275" s="140">
        <f ca="1">IF(ISNUMBER(MATCH(DATEVALUE($A275),'changes1_based on steps'!S$1:S$400,0)),S$2,)</f>
        <v>0</v>
      </c>
      <c r="T275" s="140">
        <f ca="1">IF(ISNUMBER(MATCH(DATEVALUE($A275),'changes1_based on steps'!T$1:T$400,0)),T$2,)</f>
        <v>0</v>
      </c>
      <c r="U275" s="140">
        <f ca="1">IF(ISNUMBER(MATCH(DATEVALUE($A275),'changes1_based on steps'!U$1:U$400,0)),U$2,)</f>
        <v>0</v>
      </c>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c r="AR275" s="140"/>
      <c r="AS275" s="140"/>
      <c r="AT275" s="140"/>
      <c r="AU275" s="140"/>
      <c r="AV275" s="140"/>
      <c r="AW275" s="140"/>
      <c r="AX275" s="140"/>
      <c r="AY275" s="140"/>
      <c r="AZ275" s="140"/>
      <c r="BA275" s="140"/>
      <c r="BB275" s="140"/>
      <c r="BC275" s="140"/>
      <c r="BD275" s="140"/>
      <c r="BE275" s="140"/>
      <c r="BF275" s="140"/>
      <c r="BG275" s="140"/>
      <c r="BH275" s="140"/>
      <c r="BI275" s="140"/>
      <c r="BJ275" s="140"/>
      <c r="BK275" s="140"/>
      <c r="BL275" s="140"/>
      <c r="BM275" s="140"/>
      <c r="BN275" s="140"/>
      <c r="BO275" s="140"/>
      <c r="BP275" s="140"/>
      <c r="BQ275" s="140"/>
      <c r="BR275" s="140"/>
      <c r="BS275" s="140"/>
      <c r="BT275" s="140"/>
      <c r="BU275" s="140"/>
      <c r="BV275" s="140"/>
      <c r="BW275" s="140"/>
      <c r="BX275" s="140"/>
      <c r="BY275" s="140"/>
      <c r="BZ275" s="140"/>
      <c r="CA275" s="140"/>
      <c r="CB275" s="140"/>
      <c r="CC275" s="140"/>
      <c r="CD275" s="140"/>
      <c r="CE275" s="140"/>
      <c r="CF275" s="140"/>
      <c r="CG275" s="140"/>
      <c r="CH275" s="140"/>
      <c r="CI275" s="140"/>
      <c r="CJ275" s="140"/>
      <c r="CK275" s="140"/>
      <c r="CL275" s="140"/>
      <c r="CM275" s="140"/>
      <c r="CN275" s="140"/>
      <c r="CO275" s="140"/>
      <c r="CP275" s="140"/>
      <c r="CQ275" s="140"/>
      <c r="CR275" s="140"/>
      <c r="CS275" s="140"/>
      <c r="CT275" s="140"/>
      <c r="CU275" s="140"/>
      <c r="CV275" s="140"/>
      <c r="CW275" s="140"/>
    </row>
    <row r="276" spans="1:101" x14ac:dyDescent="0.2">
      <c r="A276" s="29" t="str">
        <f t="shared" ca="1" si="4"/>
        <v>2025-12-25</v>
      </c>
      <c r="B276" s="140">
        <f ca="1">IF(ISNUMBER(MATCH(DATEVALUE($A276),'changes1_based on steps'!B$1:B$400,0)),B$2,)</f>
        <v>0</v>
      </c>
      <c r="C276" s="140">
        <f ca="1">IF(ISNUMBER(MATCH(DATEVALUE($A276),'changes1_based on steps'!C$1:C$400,0)),C$2,)</f>
        <v>0</v>
      </c>
      <c r="D276" s="140">
        <f ca="1">IF(ISNUMBER(MATCH(DATEVALUE($A276),'changes1_based on steps'!D$1:D$400,0)),D$2,)</f>
        <v>0</v>
      </c>
      <c r="E276" s="140">
        <f ca="1">IF(ISNUMBER(MATCH(DATEVALUE($A276),'changes1_based on steps'!E$1:E$400,0)),E$2,)</f>
        <v>0</v>
      </c>
      <c r="F276" s="140">
        <f ca="1">IF(ISNUMBER(MATCH(DATEVALUE($A276),'changes1_based on steps'!F$1:F$400,0)),F$2,)</f>
        <v>0</v>
      </c>
      <c r="G276" s="140">
        <f ca="1">IF(ISNUMBER(MATCH(DATEVALUE($A276),'changes1_based on steps'!G$1:G$400,0)),G$2,)</f>
        <v>0</v>
      </c>
      <c r="H276" s="140">
        <f ca="1">IF(ISNUMBER(MATCH(DATEVALUE($A276),'changes1_based on steps'!H$1:H$400,0)),H$2,)</f>
        <v>0</v>
      </c>
      <c r="I276" s="140">
        <f ca="1">IF(ISNUMBER(MATCH(DATEVALUE($A276),'changes1_based on steps'!I$1:I$400,0)),I$2,)</f>
        <v>0</v>
      </c>
      <c r="J276" s="140">
        <f ca="1">IF(ISNUMBER(MATCH(DATEVALUE($A276),'changes1_based on steps'!J$1:J$400,0)),J$2,)</f>
        <v>0</v>
      </c>
      <c r="K276" s="140">
        <f ca="1">IF(ISNUMBER(MATCH(DATEVALUE($A276),'changes1_based on steps'!K$1:K$400,0)),K$2,)</f>
        <v>0</v>
      </c>
      <c r="L276" s="140">
        <f ca="1">IF(ISNUMBER(MATCH(DATEVALUE($A276),'changes1_based on steps'!L$1:L$400,0)),L$2,)</f>
        <v>0</v>
      </c>
      <c r="M276" s="140">
        <f ca="1">IF(ISNUMBER(MATCH(DATEVALUE($A276),'changes1_based on steps'!M$1:M$400,0)),M$2,)</f>
        <v>0</v>
      </c>
      <c r="N276" s="140">
        <f ca="1">IF(ISNUMBER(MATCH(DATEVALUE($A276),'changes1_based on steps'!N$1:N$400,0)),N$2,)</f>
        <v>0</v>
      </c>
      <c r="O276" s="140">
        <f ca="1">IF(ISNUMBER(MATCH(DATEVALUE($A276),'changes1_based on steps'!O$1:O$400,0)),O$2,)</f>
        <v>0</v>
      </c>
      <c r="P276" s="140">
        <f ca="1">IF(ISNUMBER(MATCH(DATEVALUE($A276),'changes1_based on steps'!P$1:P$400,0)),P$2,)</f>
        <v>0</v>
      </c>
      <c r="Q276" s="140">
        <f ca="1">IF(ISNUMBER(MATCH(DATEVALUE($A276),'changes1_based on steps'!Q$1:Q$400,0)),Q$2,)</f>
        <v>0</v>
      </c>
      <c r="R276" s="140">
        <f ca="1">IF(ISNUMBER(MATCH(DATEVALUE($A276),'changes1_based on steps'!R$1:R$400,0)),R$2,)</f>
        <v>0</v>
      </c>
      <c r="S276" s="140">
        <f ca="1">IF(ISNUMBER(MATCH(DATEVALUE($A276),'changes1_based on steps'!S$1:S$400,0)),S$2,)</f>
        <v>0</v>
      </c>
      <c r="T276" s="140">
        <f ca="1">IF(ISNUMBER(MATCH(DATEVALUE($A276),'changes1_based on steps'!T$1:T$400,0)),T$2,)</f>
        <v>0</v>
      </c>
      <c r="U276" s="140">
        <f ca="1">IF(ISNUMBER(MATCH(DATEVALUE($A276),'changes1_based on steps'!U$1:U$400,0)),U$2,)</f>
        <v>0</v>
      </c>
      <c r="V276" s="140"/>
      <c r="W276" s="140"/>
      <c r="X276" s="140"/>
      <c r="Y276" s="140"/>
      <c r="Z276" s="140"/>
      <c r="AA276" s="140"/>
      <c r="AB276" s="140"/>
      <c r="AC276" s="140"/>
      <c r="AD276" s="140"/>
      <c r="AE276" s="140"/>
      <c r="AF276" s="140"/>
      <c r="AG276" s="140"/>
      <c r="AH276" s="140"/>
      <c r="AI276" s="140"/>
      <c r="AJ276" s="140"/>
      <c r="AK276" s="140"/>
      <c r="AL276" s="140"/>
      <c r="AM276" s="140"/>
      <c r="AN276" s="140"/>
      <c r="AO276" s="140"/>
      <c r="AP276" s="140"/>
      <c r="AQ276" s="140"/>
      <c r="AR276" s="140"/>
      <c r="AS276" s="140"/>
      <c r="AT276" s="140"/>
      <c r="AU276" s="140"/>
      <c r="AV276" s="140"/>
      <c r="AW276" s="140"/>
      <c r="AX276" s="140"/>
      <c r="AY276" s="140"/>
      <c r="AZ276" s="140"/>
      <c r="BA276" s="140"/>
      <c r="BB276" s="140"/>
      <c r="BC276" s="140"/>
      <c r="BD276" s="140"/>
      <c r="BE276" s="140"/>
      <c r="BF276" s="140"/>
      <c r="BG276" s="140"/>
      <c r="BH276" s="140"/>
      <c r="BI276" s="140"/>
      <c r="BJ276" s="140"/>
      <c r="BK276" s="140"/>
      <c r="BL276" s="140"/>
      <c r="BM276" s="140"/>
      <c r="BN276" s="140"/>
      <c r="BO276" s="140"/>
      <c r="BP276" s="140"/>
      <c r="BQ276" s="140"/>
      <c r="BR276" s="140"/>
      <c r="BS276" s="140"/>
      <c r="BT276" s="140"/>
      <c r="BU276" s="140"/>
      <c r="BV276" s="140"/>
      <c r="BW276" s="140"/>
      <c r="BX276" s="140"/>
      <c r="BY276" s="140"/>
      <c r="BZ276" s="140"/>
      <c r="CA276" s="140"/>
      <c r="CB276" s="140"/>
      <c r="CC276" s="140"/>
      <c r="CD276" s="140"/>
      <c r="CE276" s="140"/>
      <c r="CF276" s="140"/>
      <c r="CG276" s="140"/>
      <c r="CH276" s="140"/>
      <c r="CI276" s="140"/>
      <c r="CJ276" s="140"/>
      <c r="CK276" s="140"/>
      <c r="CL276" s="140"/>
      <c r="CM276" s="140"/>
      <c r="CN276" s="140"/>
      <c r="CO276" s="140"/>
      <c r="CP276" s="140"/>
      <c r="CQ276" s="140"/>
      <c r="CR276" s="140"/>
      <c r="CS276" s="140"/>
      <c r="CT276" s="140"/>
      <c r="CU276" s="140"/>
      <c r="CV276" s="140"/>
      <c r="CW276" s="140"/>
    </row>
    <row r="277" spans="1:101" x14ac:dyDescent="0.2">
      <c r="A277" s="29" t="str">
        <f t="shared" ca="1" si="4"/>
        <v>2025-12-26</v>
      </c>
      <c r="B277" s="140">
        <f ca="1">IF(ISNUMBER(MATCH(DATEVALUE($A277),'changes1_based on steps'!B$1:B$400,0)),B$2,)</f>
        <v>0</v>
      </c>
      <c r="C277" s="140">
        <f ca="1">IF(ISNUMBER(MATCH(DATEVALUE($A277),'changes1_based on steps'!C$1:C$400,0)),C$2,)</f>
        <v>0</v>
      </c>
      <c r="D277" s="140">
        <f ca="1">IF(ISNUMBER(MATCH(DATEVALUE($A277),'changes1_based on steps'!D$1:D$400,0)),D$2,)</f>
        <v>0</v>
      </c>
      <c r="E277" s="140">
        <f ca="1">IF(ISNUMBER(MATCH(DATEVALUE($A277),'changes1_based on steps'!E$1:E$400,0)),E$2,)</f>
        <v>0</v>
      </c>
      <c r="F277" s="140">
        <f ca="1">IF(ISNUMBER(MATCH(DATEVALUE($A277),'changes1_based on steps'!F$1:F$400,0)),F$2,)</f>
        <v>0</v>
      </c>
      <c r="G277" s="140">
        <f ca="1">IF(ISNUMBER(MATCH(DATEVALUE($A277),'changes1_based on steps'!G$1:G$400,0)),G$2,)</f>
        <v>0</v>
      </c>
      <c r="H277" s="140">
        <f ca="1">IF(ISNUMBER(MATCH(DATEVALUE($A277),'changes1_based on steps'!H$1:H$400,0)),H$2,)</f>
        <v>0</v>
      </c>
      <c r="I277" s="140">
        <f ca="1">IF(ISNUMBER(MATCH(DATEVALUE($A277),'changes1_based on steps'!I$1:I$400,0)),I$2,)</f>
        <v>0</v>
      </c>
      <c r="J277" s="140">
        <f ca="1">IF(ISNUMBER(MATCH(DATEVALUE($A277),'changes1_based on steps'!J$1:J$400,0)),J$2,)</f>
        <v>0</v>
      </c>
      <c r="K277" s="140">
        <f ca="1">IF(ISNUMBER(MATCH(DATEVALUE($A277),'changes1_based on steps'!K$1:K$400,0)),K$2,)</f>
        <v>0</v>
      </c>
      <c r="L277" s="140">
        <f ca="1">IF(ISNUMBER(MATCH(DATEVALUE($A277),'changes1_based on steps'!L$1:L$400,0)),L$2,)</f>
        <v>0</v>
      </c>
      <c r="M277" s="140">
        <f ca="1">IF(ISNUMBER(MATCH(DATEVALUE($A277),'changes1_based on steps'!M$1:M$400,0)),M$2,)</f>
        <v>0</v>
      </c>
      <c r="N277" s="140">
        <f ca="1">IF(ISNUMBER(MATCH(DATEVALUE($A277),'changes1_based on steps'!N$1:N$400,0)),N$2,)</f>
        <v>0</v>
      </c>
      <c r="O277" s="140">
        <f ca="1">IF(ISNUMBER(MATCH(DATEVALUE($A277),'changes1_based on steps'!O$1:O$400,0)),O$2,)</f>
        <v>0</v>
      </c>
      <c r="P277" s="140">
        <f ca="1">IF(ISNUMBER(MATCH(DATEVALUE($A277),'changes1_based on steps'!P$1:P$400,0)),P$2,)</f>
        <v>0</v>
      </c>
      <c r="Q277" s="140">
        <f ca="1">IF(ISNUMBER(MATCH(DATEVALUE($A277),'changes1_based on steps'!Q$1:Q$400,0)),Q$2,)</f>
        <v>0</v>
      </c>
      <c r="R277" s="140">
        <f ca="1">IF(ISNUMBER(MATCH(DATEVALUE($A277),'changes1_based on steps'!R$1:R$400,0)),R$2,)</f>
        <v>0</v>
      </c>
      <c r="S277" s="140">
        <f ca="1">IF(ISNUMBER(MATCH(DATEVALUE($A277),'changes1_based on steps'!S$1:S$400,0)),S$2,)</f>
        <v>0</v>
      </c>
      <c r="T277" s="140">
        <f ca="1">IF(ISNUMBER(MATCH(DATEVALUE($A277),'changes1_based on steps'!T$1:T$400,0)),T$2,)</f>
        <v>0</v>
      </c>
      <c r="U277" s="140">
        <f ca="1">IF(ISNUMBER(MATCH(DATEVALUE($A277),'changes1_based on steps'!U$1:U$400,0)),U$2,)</f>
        <v>0</v>
      </c>
      <c r="V277" s="140"/>
      <c r="W277" s="140"/>
      <c r="X277" s="140"/>
      <c r="Y277" s="140"/>
      <c r="Z277" s="140"/>
      <c r="AA277" s="140"/>
      <c r="AB277" s="140"/>
      <c r="AC277" s="140"/>
      <c r="AD277" s="140"/>
      <c r="AE277" s="140"/>
      <c r="AF277" s="140"/>
      <c r="AG277" s="140"/>
      <c r="AH277" s="140"/>
      <c r="AI277" s="140"/>
      <c r="AJ277" s="140"/>
      <c r="AK277" s="140"/>
      <c r="AL277" s="140"/>
      <c r="AM277" s="140"/>
      <c r="AN277" s="140"/>
      <c r="AO277" s="140"/>
      <c r="AP277" s="140"/>
      <c r="AQ277" s="140"/>
      <c r="AR277" s="140"/>
      <c r="AS277" s="140"/>
      <c r="AT277" s="140"/>
      <c r="AU277" s="140"/>
      <c r="AV277" s="140"/>
      <c r="AW277" s="140"/>
      <c r="AX277" s="140"/>
      <c r="AY277" s="140"/>
      <c r="AZ277" s="140"/>
      <c r="BA277" s="140"/>
      <c r="BB277" s="140"/>
      <c r="BC277" s="140"/>
      <c r="BD277" s="140"/>
      <c r="BE277" s="140"/>
      <c r="BF277" s="140"/>
      <c r="BG277" s="140"/>
      <c r="BH277" s="140"/>
      <c r="BI277" s="140"/>
      <c r="BJ277" s="140"/>
      <c r="BK277" s="140"/>
      <c r="BL277" s="140"/>
      <c r="BM277" s="140"/>
      <c r="BN277" s="140"/>
      <c r="BO277" s="140"/>
      <c r="BP277" s="140"/>
      <c r="BQ277" s="140"/>
      <c r="BR277" s="140"/>
      <c r="BS277" s="140"/>
      <c r="BT277" s="140"/>
      <c r="BU277" s="140"/>
      <c r="BV277" s="140"/>
      <c r="BW277" s="140"/>
      <c r="BX277" s="140"/>
      <c r="BY277" s="140"/>
      <c r="BZ277" s="140"/>
      <c r="CA277" s="140"/>
      <c r="CB277" s="140"/>
      <c r="CC277" s="140"/>
      <c r="CD277" s="140"/>
      <c r="CE277" s="140"/>
      <c r="CF277" s="140"/>
      <c r="CG277" s="140"/>
      <c r="CH277" s="140"/>
      <c r="CI277" s="140"/>
      <c r="CJ277" s="140"/>
      <c r="CK277" s="140"/>
      <c r="CL277" s="140"/>
      <c r="CM277" s="140"/>
      <c r="CN277" s="140"/>
      <c r="CO277" s="140"/>
      <c r="CP277" s="140"/>
      <c r="CQ277" s="140"/>
      <c r="CR277" s="140"/>
      <c r="CS277" s="140"/>
      <c r="CT277" s="140"/>
      <c r="CU277" s="140"/>
      <c r="CV277" s="140"/>
      <c r="CW277" s="140"/>
    </row>
    <row r="278" spans="1:101" x14ac:dyDescent="0.2">
      <c r="A278" s="29" t="str">
        <f t="shared" ca="1" si="4"/>
        <v>2025-12-27</v>
      </c>
      <c r="B278" s="140">
        <f ca="1">IF(ISNUMBER(MATCH(DATEVALUE($A278),'changes1_based on steps'!B$1:B$400,0)),B$2,)</f>
        <v>0</v>
      </c>
      <c r="C278" s="140">
        <f ca="1">IF(ISNUMBER(MATCH(DATEVALUE($A278),'changes1_based on steps'!C$1:C$400,0)),C$2,)</f>
        <v>0</v>
      </c>
      <c r="D278" s="140">
        <f ca="1">IF(ISNUMBER(MATCH(DATEVALUE($A278),'changes1_based on steps'!D$1:D$400,0)),D$2,)</f>
        <v>0</v>
      </c>
      <c r="E278" s="140">
        <f ca="1">IF(ISNUMBER(MATCH(DATEVALUE($A278),'changes1_based on steps'!E$1:E$400,0)),E$2,)</f>
        <v>0</v>
      </c>
      <c r="F278" s="140">
        <f ca="1">IF(ISNUMBER(MATCH(DATEVALUE($A278),'changes1_based on steps'!F$1:F$400,0)),F$2,)</f>
        <v>0</v>
      </c>
      <c r="G278" s="140">
        <f ca="1">IF(ISNUMBER(MATCH(DATEVALUE($A278),'changes1_based on steps'!G$1:G$400,0)),G$2,)</f>
        <v>0</v>
      </c>
      <c r="H278" s="140">
        <f ca="1">IF(ISNUMBER(MATCH(DATEVALUE($A278),'changes1_based on steps'!H$1:H$400,0)),H$2,)</f>
        <v>0</v>
      </c>
      <c r="I278" s="140">
        <f ca="1">IF(ISNUMBER(MATCH(DATEVALUE($A278),'changes1_based on steps'!I$1:I$400,0)),I$2,)</f>
        <v>0</v>
      </c>
      <c r="J278" s="140">
        <f ca="1">IF(ISNUMBER(MATCH(DATEVALUE($A278),'changes1_based on steps'!J$1:J$400,0)),J$2,)</f>
        <v>0</v>
      </c>
      <c r="K278" s="140">
        <f ca="1">IF(ISNUMBER(MATCH(DATEVALUE($A278),'changes1_based on steps'!K$1:K$400,0)),K$2,)</f>
        <v>0</v>
      </c>
      <c r="L278" s="140">
        <f ca="1">IF(ISNUMBER(MATCH(DATEVALUE($A278),'changes1_based on steps'!L$1:L$400,0)),L$2,)</f>
        <v>0</v>
      </c>
      <c r="M278" s="140">
        <f ca="1">IF(ISNUMBER(MATCH(DATEVALUE($A278),'changes1_based on steps'!M$1:M$400,0)),M$2,)</f>
        <v>0</v>
      </c>
      <c r="N278" s="140">
        <f ca="1">IF(ISNUMBER(MATCH(DATEVALUE($A278),'changes1_based on steps'!N$1:N$400,0)),N$2,)</f>
        <v>0</v>
      </c>
      <c r="O278" s="140">
        <f ca="1">IF(ISNUMBER(MATCH(DATEVALUE($A278),'changes1_based on steps'!O$1:O$400,0)),O$2,)</f>
        <v>0</v>
      </c>
      <c r="P278" s="140">
        <f ca="1">IF(ISNUMBER(MATCH(DATEVALUE($A278),'changes1_based on steps'!P$1:P$400,0)),P$2,)</f>
        <v>0</v>
      </c>
      <c r="Q278" s="140">
        <f ca="1">IF(ISNUMBER(MATCH(DATEVALUE($A278),'changes1_based on steps'!Q$1:Q$400,0)),Q$2,)</f>
        <v>0</v>
      </c>
      <c r="R278" s="140">
        <f ca="1">IF(ISNUMBER(MATCH(DATEVALUE($A278),'changes1_based on steps'!R$1:R$400,0)),R$2,)</f>
        <v>0</v>
      </c>
      <c r="S278" s="140">
        <f ca="1">IF(ISNUMBER(MATCH(DATEVALUE($A278),'changes1_based on steps'!S$1:S$400,0)),S$2,)</f>
        <v>0</v>
      </c>
      <c r="T278" s="140">
        <f ca="1">IF(ISNUMBER(MATCH(DATEVALUE($A278),'changes1_based on steps'!T$1:T$400,0)),T$2,)</f>
        <v>0</v>
      </c>
      <c r="U278" s="140">
        <f ca="1">IF(ISNUMBER(MATCH(DATEVALUE($A278),'changes1_based on steps'!U$1:U$400,0)),U$2,)</f>
        <v>0</v>
      </c>
      <c r="V278" s="140"/>
      <c r="W278" s="140"/>
      <c r="X278" s="140"/>
      <c r="Y278" s="140"/>
      <c r="Z278" s="140"/>
      <c r="AA278" s="140"/>
      <c r="AB278" s="140"/>
      <c r="AC278" s="140"/>
      <c r="AD278" s="140"/>
      <c r="AE278" s="140"/>
      <c r="AF278" s="140"/>
      <c r="AG278" s="140"/>
      <c r="AH278" s="140"/>
      <c r="AI278" s="140"/>
      <c r="AJ278" s="140"/>
      <c r="AK278" s="140"/>
      <c r="AL278" s="140"/>
      <c r="AM278" s="140"/>
      <c r="AN278" s="140"/>
      <c r="AO278" s="140"/>
      <c r="AP278" s="140"/>
      <c r="AQ278" s="140"/>
      <c r="AR278" s="140"/>
      <c r="AS278" s="140"/>
      <c r="AT278" s="140"/>
      <c r="AU278" s="140"/>
      <c r="AV278" s="140"/>
      <c r="AW278" s="140"/>
      <c r="AX278" s="140"/>
      <c r="AY278" s="140"/>
      <c r="AZ278" s="140"/>
      <c r="BA278" s="140"/>
      <c r="BB278" s="140"/>
      <c r="BC278" s="140"/>
      <c r="BD278" s="140"/>
      <c r="BE278" s="140"/>
      <c r="BF278" s="140"/>
      <c r="BG278" s="140"/>
      <c r="BH278" s="140"/>
      <c r="BI278" s="140"/>
      <c r="BJ278" s="140"/>
      <c r="BK278" s="140"/>
      <c r="BL278" s="140"/>
      <c r="BM278" s="140"/>
      <c r="BN278" s="140"/>
      <c r="BO278" s="140"/>
      <c r="BP278" s="140"/>
      <c r="BQ278" s="140"/>
      <c r="BR278" s="140"/>
      <c r="BS278" s="140"/>
      <c r="BT278" s="140"/>
      <c r="BU278" s="140"/>
      <c r="BV278" s="140"/>
      <c r="BW278" s="140"/>
      <c r="BX278" s="140"/>
      <c r="BY278" s="140"/>
      <c r="BZ278" s="140"/>
      <c r="CA278" s="140"/>
      <c r="CB278" s="140"/>
      <c r="CC278" s="140"/>
      <c r="CD278" s="140"/>
      <c r="CE278" s="140"/>
      <c r="CF278" s="140"/>
      <c r="CG278" s="140"/>
      <c r="CH278" s="140"/>
      <c r="CI278" s="140"/>
      <c r="CJ278" s="140"/>
      <c r="CK278" s="140"/>
      <c r="CL278" s="140"/>
      <c r="CM278" s="140"/>
      <c r="CN278" s="140"/>
      <c r="CO278" s="140"/>
      <c r="CP278" s="140"/>
      <c r="CQ278" s="140"/>
      <c r="CR278" s="140"/>
      <c r="CS278" s="140"/>
      <c r="CT278" s="140"/>
      <c r="CU278" s="140"/>
      <c r="CV278" s="140"/>
      <c r="CW278" s="140"/>
    </row>
    <row r="279" spans="1:101" x14ac:dyDescent="0.2">
      <c r="A279" s="29" t="str">
        <f t="shared" ca="1" si="4"/>
        <v>2025-12-28</v>
      </c>
      <c r="B279" s="140">
        <f ca="1">IF(ISNUMBER(MATCH(DATEVALUE($A279),'changes1_based on steps'!B$1:B$400,0)),B$2,)</f>
        <v>0</v>
      </c>
      <c r="C279" s="140">
        <f ca="1">IF(ISNUMBER(MATCH(DATEVALUE($A279),'changes1_based on steps'!C$1:C$400,0)),C$2,)</f>
        <v>0</v>
      </c>
      <c r="D279" s="140">
        <f ca="1">IF(ISNUMBER(MATCH(DATEVALUE($A279),'changes1_based on steps'!D$1:D$400,0)),D$2,)</f>
        <v>0</v>
      </c>
      <c r="E279" s="140">
        <f ca="1">IF(ISNUMBER(MATCH(DATEVALUE($A279),'changes1_based on steps'!E$1:E$400,0)),E$2,)</f>
        <v>0</v>
      </c>
      <c r="F279" s="140">
        <f ca="1">IF(ISNUMBER(MATCH(DATEVALUE($A279),'changes1_based on steps'!F$1:F$400,0)),F$2,)</f>
        <v>0</v>
      </c>
      <c r="G279" s="140">
        <f ca="1">IF(ISNUMBER(MATCH(DATEVALUE($A279),'changes1_based on steps'!G$1:G$400,0)),G$2,)</f>
        <v>0</v>
      </c>
      <c r="H279" s="140">
        <f ca="1">IF(ISNUMBER(MATCH(DATEVALUE($A279),'changes1_based on steps'!H$1:H$400,0)),H$2,)</f>
        <v>0</v>
      </c>
      <c r="I279" s="140">
        <f ca="1">IF(ISNUMBER(MATCH(DATEVALUE($A279),'changes1_based on steps'!I$1:I$400,0)),I$2,)</f>
        <v>0</v>
      </c>
      <c r="J279" s="140">
        <f ca="1">IF(ISNUMBER(MATCH(DATEVALUE($A279),'changes1_based on steps'!J$1:J$400,0)),J$2,)</f>
        <v>0</v>
      </c>
      <c r="K279" s="140">
        <f ca="1">IF(ISNUMBER(MATCH(DATEVALUE($A279),'changes1_based on steps'!K$1:K$400,0)),K$2,)</f>
        <v>0</v>
      </c>
      <c r="L279" s="140">
        <f ca="1">IF(ISNUMBER(MATCH(DATEVALUE($A279),'changes1_based on steps'!L$1:L$400,0)),L$2,)</f>
        <v>0</v>
      </c>
      <c r="M279" s="140">
        <f ca="1">IF(ISNUMBER(MATCH(DATEVALUE($A279),'changes1_based on steps'!M$1:M$400,0)),M$2,)</f>
        <v>0</v>
      </c>
      <c r="N279" s="140">
        <f ca="1">IF(ISNUMBER(MATCH(DATEVALUE($A279),'changes1_based on steps'!N$1:N$400,0)),N$2,)</f>
        <v>0</v>
      </c>
      <c r="O279" s="140">
        <f ca="1">IF(ISNUMBER(MATCH(DATEVALUE($A279),'changes1_based on steps'!O$1:O$400,0)),O$2,)</f>
        <v>0</v>
      </c>
      <c r="P279" s="140">
        <f ca="1">IF(ISNUMBER(MATCH(DATEVALUE($A279),'changes1_based on steps'!P$1:P$400,0)),P$2,)</f>
        <v>0</v>
      </c>
      <c r="Q279" s="140">
        <f ca="1">IF(ISNUMBER(MATCH(DATEVALUE($A279),'changes1_based on steps'!Q$1:Q$400,0)),Q$2,)</f>
        <v>0</v>
      </c>
      <c r="R279" s="140">
        <f ca="1">IF(ISNUMBER(MATCH(DATEVALUE($A279),'changes1_based on steps'!R$1:R$400,0)),R$2,)</f>
        <v>0</v>
      </c>
      <c r="S279" s="140">
        <f ca="1">IF(ISNUMBER(MATCH(DATEVALUE($A279),'changes1_based on steps'!S$1:S$400,0)),S$2,)</f>
        <v>0</v>
      </c>
      <c r="T279" s="140">
        <f ca="1">IF(ISNUMBER(MATCH(DATEVALUE($A279),'changes1_based on steps'!T$1:T$400,0)),T$2,)</f>
        <v>0</v>
      </c>
      <c r="U279" s="140">
        <f ca="1">IF(ISNUMBER(MATCH(DATEVALUE($A279),'changes1_based on steps'!U$1:U$400,0)),U$2,)</f>
        <v>0</v>
      </c>
      <c r="V279" s="140"/>
      <c r="W279" s="140"/>
      <c r="X279" s="140"/>
      <c r="Y279" s="140"/>
      <c r="Z279" s="140"/>
      <c r="AA279" s="140"/>
      <c r="AB279" s="140"/>
      <c r="AC279" s="140"/>
      <c r="AD279" s="140"/>
      <c r="AE279" s="140"/>
      <c r="AF279" s="140"/>
      <c r="AG279" s="140"/>
      <c r="AH279" s="140"/>
      <c r="AI279" s="140"/>
      <c r="AJ279" s="140"/>
      <c r="AK279" s="140"/>
      <c r="AL279" s="140"/>
      <c r="AM279" s="140"/>
      <c r="AN279" s="140"/>
      <c r="AO279" s="140"/>
      <c r="AP279" s="140"/>
      <c r="AQ279" s="140"/>
      <c r="AR279" s="140"/>
      <c r="AS279" s="140"/>
      <c r="AT279" s="140"/>
      <c r="AU279" s="140"/>
      <c r="AV279" s="140"/>
      <c r="AW279" s="140"/>
      <c r="AX279" s="140"/>
      <c r="AY279" s="140"/>
      <c r="AZ279" s="140"/>
      <c r="BA279" s="140"/>
      <c r="BB279" s="140"/>
      <c r="BC279" s="140"/>
      <c r="BD279" s="140"/>
      <c r="BE279" s="140"/>
      <c r="BF279" s="140"/>
      <c r="BG279" s="140"/>
      <c r="BH279" s="140"/>
      <c r="BI279" s="140"/>
      <c r="BJ279" s="140"/>
      <c r="BK279" s="140"/>
      <c r="BL279" s="140"/>
      <c r="BM279" s="140"/>
      <c r="BN279" s="140"/>
      <c r="BO279" s="140"/>
      <c r="BP279" s="140"/>
      <c r="BQ279" s="140"/>
      <c r="BR279" s="140"/>
      <c r="BS279" s="140"/>
      <c r="BT279" s="140"/>
      <c r="BU279" s="140"/>
      <c r="BV279" s="140"/>
      <c r="BW279" s="140"/>
      <c r="BX279" s="140"/>
      <c r="BY279" s="140"/>
      <c r="BZ279" s="140"/>
      <c r="CA279" s="140"/>
      <c r="CB279" s="140"/>
      <c r="CC279" s="140"/>
      <c r="CD279" s="140"/>
      <c r="CE279" s="140"/>
      <c r="CF279" s="140"/>
      <c r="CG279" s="140"/>
      <c r="CH279" s="140"/>
      <c r="CI279" s="140"/>
      <c r="CJ279" s="140"/>
      <c r="CK279" s="140"/>
      <c r="CL279" s="140"/>
      <c r="CM279" s="140"/>
      <c r="CN279" s="140"/>
      <c r="CO279" s="140"/>
      <c r="CP279" s="140"/>
      <c r="CQ279" s="140"/>
      <c r="CR279" s="140"/>
      <c r="CS279" s="140"/>
      <c r="CT279" s="140"/>
      <c r="CU279" s="140"/>
      <c r="CV279" s="140"/>
      <c r="CW279" s="140"/>
    </row>
    <row r="280" spans="1:101" x14ac:dyDescent="0.2">
      <c r="A280" s="29" t="str">
        <f t="shared" ca="1" si="4"/>
        <v>2025-12-29</v>
      </c>
      <c r="B280" s="140">
        <f ca="1">IF(ISNUMBER(MATCH(DATEVALUE($A280),'changes1_based on steps'!B$1:B$400,0)),B$2,)</f>
        <v>0</v>
      </c>
      <c r="C280" s="140">
        <f ca="1">IF(ISNUMBER(MATCH(DATEVALUE($A280),'changes1_based on steps'!C$1:C$400,0)),C$2,)</f>
        <v>0</v>
      </c>
      <c r="D280" s="140">
        <f ca="1">IF(ISNUMBER(MATCH(DATEVALUE($A280),'changes1_based on steps'!D$1:D$400,0)),D$2,)</f>
        <v>0</v>
      </c>
      <c r="E280" s="140">
        <f ca="1">IF(ISNUMBER(MATCH(DATEVALUE($A280),'changes1_based on steps'!E$1:E$400,0)),E$2,)</f>
        <v>0</v>
      </c>
      <c r="F280" s="140">
        <f ca="1">IF(ISNUMBER(MATCH(DATEVALUE($A280),'changes1_based on steps'!F$1:F$400,0)),F$2,)</f>
        <v>0</v>
      </c>
      <c r="G280" s="140">
        <f ca="1">IF(ISNUMBER(MATCH(DATEVALUE($A280),'changes1_based on steps'!G$1:G$400,0)),G$2,)</f>
        <v>0</v>
      </c>
      <c r="H280" s="140">
        <f ca="1">IF(ISNUMBER(MATCH(DATEVALUE($A280),'changes1_based on steps'!H$1:H$400,0)),H$2,)</f>
        <v>0</v>
      </c>
      <c r="I280" s="140">
        <f ca="1">IF(ISNUMBER(MATCH(DATEVALUE($A280),'changes1_based on steps'!I$1:I$400,0)),I$2,)</f>
        <v>0</v>
      </c>
      <c r="J280" s="140">
        <f ca="1">IF(ISNUMBER(MATCH(DATEVALUE($A280),'changes1_based on steps'!J$1:J$400,0)),J$2,)</f>
        <v>0</v>
      </c>
      <c r="K280" s="140">
        <f ca="1">IF(ISNUMBER(MATCH(DATEVALUE($A280),'changes1_based on steps'!K$1:K$400,0)),K$2,)</f>
        <v>0</v>
      </c>
      <c r="L280" s="140">
        <f ca="1">IF(ISNUMBER(MATCH(DATEVALUE($A280),'changes1_based on steps'!L$1:L$400,0)),L$2,)</f>
        <v>0</v>
      </c>
      <c r="M280" s="140">
        <f ca="1">IF(ISNUMBER(MATCH(DATEVALUE($A280),'changes1_based on steps'!M$1:M$400,0)),M$2,)</f>
        <v>0</v>
      </c>
      <c r="N280" s="140">
        <f ca="1">IF(ISNUMBER(MATCH(DATEVALUE($A280),'changes1_based on steps'!N$1:N$400,0)),N$2,)</f>
        <v>0</v>
      </c>
      <c r="O280" s="140">
        <f ca="1">IF(ISNUMBER(MATCH(DATEVALUE($A280),'changes1_based on steps'!O$1:O$400,0)),O$2,)</f>
        <v>0</v>
      </c>
      <c r="P280" s="140">
        <f ca="1">IF(ISNUMBER(MATCH(DATEVALUE($A280),'changes1_based on steps'!P$1:P$400,0)),P$2,)</f>
        <v>0</v>
      </c>
      <c r="Q280" s="140">
        <f ca="1">IF(ISNUMBER(MATCH(DATEVALUE($A280),'changes1_based on steps'!Q$1:Q$400,0)),Q$2,)</f>
        <v>0</v>
      </c>
      <c r="R280" s="140">
        <f ca="1">IF(ISNUMBER(MATCH(DATEVALUE($A280),'changes1_based on steps'!R$1:R$400,0)),R$2,)</f>
        <v>0</v>
      </c>
      <c r="S280" s="140">
        <f ca="1">IF(ISNUMBER(MATCH(DATEVALUE($A280),'changes1_based on steps'!S$1:S$400,0)),S$2,)</f>
        <v>0</v>
      </c>
      <c r="T280" s="140">
        <f ca="1">IF(ISNUMBER(MATCH(DATEVALUE($A280),'changes1_based on steps'!T$1:T$400,0)),T$2,)</f>
        <v>0</v>
      </c>
      <c r="U280" s="140">
        <f ca="1">IF(ISNUMBER(MATCH(DATEVALUE($A280),'changes1_based on steps'!U$1:U$400,0)),U$2,)</f>
        <v>0</v>
      </c>
      <c r="V280" s="140"/>
      <c r="W280" s="140"/>
      <c r="X280" s="140"/>
      <c r="Y280" s="140"/>
      <c r="Z280" s="140"/>
      <c r="AA280" s="140"/>
      <c r="AB280" s="140"/>
      <c r="AC280" s="140"/>
      <c r="AD280" s="140"/>
      <c r="AE280" s="140"/>
      <c r="AF280" s="140"/>
      <c r="AG280" s="140"/>
      <c r="AH280" s="140"/>
      <c r="AI280" s="140"/>
      <c r="AJ280" s="140"/>
      <c r="AK280" s="140"/>
      <c r="AL280" s="140"/>
      <c r="AM280" s="140"/>
      <c r="AN280" s="140"/>
      <c r="AO280" s="140"/>
      <c r="AP280" s="140"/>
      <c r="AQ280" s="140"/>
      <c r="AR280" s="140"/>
      <c r="AS280" s="140"/>
      <c r="AT280" s="140"/>
      <c r="AU280" s="140"/>
      <c r="AV280" s="140"/>
      <c r="AW280" s="140"/>
      <c r="AX280" s="140"/>
      <c r="AY280" s="140"/>
      <c r="AZ280" s="140"/>
      <c r="BA280" s="140"/>
      <c r="BB280" s="140"/>
      <c r="BC280" s="140"/>
      <c r="BD280" s="140"/>
      <c r="BE280" s="140"/>
      <c r="BF280" s="140"/>
      <c r="BG280" s="140"/>
      <c r="BH280" s="140"/>
      <c r="BI280" s="140"/>
      <c r="BJ280" s="140"/>
      <c r="BK280" s="140"/>
      <c r="BL280" s="140"/>
      <c r="BM280" s="140"/>
      <c r="BN280" s="140"/>
      <c r="BO280" s="140"/>
      <c r="BP280" s="140"/>
      <c r="BQ280" s="140"/>
      <c r="BR280" s="140"/>
      <c r="BS280" s="140"/>
      <c r="BT280" s="140"/>
      <c r="BU280" s="140"/>
      <c r="BV280" s="140"/>
      <c r="BW280" s="140"/>
      <c r="BX280" s="140"/>
      <c r="BY280" s="140"/>
      <c r="BZ280" s="140"/>
      <c r="CA280" s="140"/>
      <c r="CB280" s="140"/>
      <c r="CC280" s="140"/>
      <c r="CD280" s="140"/>
      <c r="CE280" s="140"/>
      <c r="CF280" s="140"/>
      <c r="CG280" s="140"/>
      <c r="CH280" s="140"/>
      <c r="CI280" s="140"/>
      <c r="CJ280" s="140"/>
      <c r="CK280" s="140"/>
      <c r="CL280" s="140"/>
      <c r="CM280" s="140"/>
      <c r="CN280" s="140"/>
      <c r="CO280" s="140"/>
      <c r="CP280" s="140"/>
      <c r="CQ280" s="140"/>
      <c r="CR280" s="140"/>
      <c r="CS280" s="140"/>
      <c r="CT280" s="140"/>
      <c r="CU280" s="140"/>
      <c r="CV280" s="140"/>
      <c r="CW280" s="140"/>
    </row>
    <row r="281" spans="1:101" x14ac:dyDescent="0.2">
      <c r="A281" s="29" t="str">
        <f t="shared" ca="1" si="4"/>
        <v>2025-12-30</v>
      </c>
      <c r="B281" s="140">
        <f ca="1">IF(ISNUMBER(MATCH(DATEVALUE($A281),'changes1_based on steps'!B$1:B$400,0)),B$2,)</f>
        <v>0</v>
      </c>
      <c r="C281" s="140">
        <f ca="1">IF(ISNUMBER(MATCH(DATEVALUE($A281),'changes1_based on steps'!C$1:C$400,0)),C$2,)</f>
        <v>0</v>
      </c>
      <c r="D281" s="140">
        <f ca="1">IF(ISNUMBER(MATCH(DATEVALUE($A281),'changes1_based on steps'!D$1:D$400,0)),D$2,)</f>
        <v>0</v>
      </c>
      <c r="E281" s="140">
        <f ca="1">IF(ISNUMBER(MATCH(DATEVALUE($A281),'changes1_based on steps'!E$1:E$400,0)),E$2,)</f>
        <v>0</v>
      </c>
      <c r="F281" s="140">
        <f ca="1">IF(ISNUMBER(MATCH(DATEVALUE($A281),'changes1_based on steps'!F$1:F$400,0)),F$2,)</f>
        <v>0</v>
      </c>
      <c r="G281" s="140">
        <f ca="1">IF(ISNUMBER(MATCH(DATEVALUE($A281),'changes1_based on steps'!G$1:G$400,0)),G$2,)</f>
        <v>0</v>
      </c>
      <c r="H281" s="140">
        <f ca="1">IF(ISNUMBER(MATCH(DATEVALUE($A281),'changes1_based on steps'!H$1:H$400,0)),H$2,)</f>
        <v>0</v>
      </c>
      <c r="I281" s="140">
        <f ca="1">IF(ISNUMBER(MATCH(DATEVALUE($A281),'changes1_based on steps'!I$1:I$400,0)),I$2,)</f>
        <v>0</v>
      </c>
      <c r="J281" s="140">
        <f ca="1">IF(ISNUMBER(MATCH(DATEVALUE($A281),'changes1_based on steps'!J$1:J$400,0)),J$2,)</f>
        <v>0</v>
      </c>
      <c r="K281" s="140">
        <f ca="1">IF(ISNUMBER(MATCH(DATEVALUE($A281),'changes1_based on steps'!K$1:K$400,0)),K$2,)</f>
        <v>0</v>
      </c>
      <c r="L281" s="140">
        <f ca="1">IF(ISNUMBER(MATCH(DATEVALUE($A281),'changes1_based on steps'!L$1:L$400,0)),L$2,)</f>
        <v>0</v>
      </c>
      <c r="M281" s="140">
        <f ca="1">IF(ISNUMBER(MATCH(DATEVALUE($A281),'changes1_based on steps'!M$1:M$400,0)),M$2,)</f>
        <v>0</v>
      </c>
      <c r="N281" s="140">
        <f ca="1">IF(ISNUMBER(MATCH(DATEVALUE($A281),'changes1_based on steps'!N$1:N$400,0)),N$2,)</f>
        <v>0</v>
      </c>
      <c r="O281" s="140">
        <f ca="1">IF(ISNUMBER(MATCH(DATEVALUE($A281),'changes1_based on steps'!O$1:O$400,0)),O$2,)</f>
        <v>0</v>
      </c>
      <c r="P281" s="140">
        <f ca="1">IF(ISNUMBER(MATCH(DATEVALUE($A281),'changes1_based on steps'!P$1:P$400,0)),P$2,)</f>
        <v>0</v>
      </c>
      <c r="Q281" s="140">
        <f ca="1">IF(ISNUMBER(MATCH(DATEVALUE($A281),'changes1_based on steps'!Q$1:Q$400,0)),Q$2,)</f>
        <v>0</v>
      </c>
      <c r="R281" s="140">
        <f ca="1">IF(ISNUMBER(MATCH(DATEVALUE($A281),'changes1_based on steps'!R$1:R$400,0)),R$2,)</f>
        <v>0</v>
      </c>
      <c r="S281" s="140">
        <f ca="1">IF(ISNUMBER(MATCH(DATEVALUE($A281),'changes1_based on steps'!S$1:S$400,0)),S$2,)</f>
        <v>0</v>
      </c>
      <c r="T281" s="140">
        <f ca="1">IF(ISNUMBER(MATCH(DATEVALUE($A281),'changes1_based on steps'!T$1:T$400,0)),T$2,)</f>
        <v>0</v>
      </c>
      <c r="U281" s="140">
        <f ca="1">IF(ISNUMBER(MATCH(DATEVALUE($A281),'changes1_based on steps'!U$1:U$400,0)),U$2,)</f>
        <v>0</v>
      </c>
      <c r="V281" s="140"/>
      <c r="W281" s="140"/>
      <c r="X281" s="140"/>
      <c r="Y281" s="140"/>
      <c r="Z281" s="140"/>
      <c r="AA281" s="140"/>
      <c r="AB281" s="140"/>
      <c r="AC281" s="140"/>
      <c r="AD281" s="140"/>
      <c r="AE281" s="140"/>
      <c r="AF281" s="140"/>
      <c r="AG281" s="140"/>
      <c r="AH281" s="140"/>
      <c r="AI281" s="140"/>
      <c r="AJ281" s="140"/>
      <c r="AK281" s="140"/>
      <c r="AL281" s="140"/>
      <c r="AM281" s="140"/>
      <c r="AN281" s="140"/>
      <c r="AO281" s="140"/>
      <c r="AP281" s="140"/>
      <c r="AQ281" s="140"/>
      <c r="AR281" s="140"/>
      <c r="AS281" s="140"/>
      <c r="AT281" s="140"/>
      <c r="AU281" s="140"/>
      <c r="AV281" s="140"/>
      <c r="AW281" s="140"/>
      <c r="AX281" s="140"/>
      <c r="AY281" s="140"/>
      <c r="AZ281" s="140"/>
      <c r="BA281" s="140"/>
      <c r="BB281" s="140"/>
      <c r="BC281" s="140"/>
      <c r="BD281" s="140"/>
      <c r="BE281" s="140"/>
      <c r="BF281" s="140"/>
      <c r="BG281" s="140"/>
      <c r="BH281" s="140"/>
      <c r="BI281" s="140"/>
      <c r="BJ281" s="140"/>
      <c r="BK281" s="140"/>
      <c r="BL281" s="140"/>
      <c r="BM281" s="140"/>
      <c r="BN281" s="140"/>
      <c r="BO281" s="140"/>
      <c r="BP281" s="140"/>
      <c r="BQ281" s="140"/>
      <c r="BR281" s="140"/>
      <c r="BS281" s="140"/>
      <c r="BT281" s="140"/>
      <c r="BU281" s="140"/>
      <c r="BV281" s="140"/>
      <c r="BW281" s="140"/>
      <c r="BX281" s="140"/>
      <c r="BY281" s="140"/>
      <c r="BZ281" s="140"/>
      <c r="CA281" s="140"/>
      <c r="CB281" s="140"/>
      <c r="CC281" s="140"/>
      <c r="CD281" s="140"/>
      <c r="CE281" s="140"/>
      <c r="CF281" s="140"/>
      <c r="CG281" s="140"/>
      <c r="CH281" s="140"/>
      <c r="CI281" s="140"/>
      <c r="CJ281" s="140"/>
      <c r="CK281" s="140"/>
      <c r="CL281" s="140"/>
      <c r="CM281" s="140"/>
      <c r="CN281" s="140"/>
      <c r="CO281" s="140"/>
      <c r="CP281" s="140"/>
      <c r="CQ281" s="140"/>
      <c r="CR281" s="140"/>
      <c r="CS281" s="140"/>
      <c r="CT281" s="140"/>
      <c r="CU281" s="140"/>
      <c r="CV281" s="140"/>
      <c r="CW281" s="140"/>
    </row>
    <row r="282" spans="1:101" x14ac:dyDescent="0.2">
      <c r="A282" s="29" t="str">
        <f t="shared" ca="1" si="4"/>
        <v>2025-12-31</v>
      </c>
      <c r="B282" s="140">
        <f ca="1">IF(ISNUMBER(MATCH(DATEVALUE($A282),'changes1_based on steps'!B$1:B$400,0)),B$2,)</f>
        <v>0</v>
      </c>
      <c r="C282" s="140">
        <f ca="1">IF(ISNUMBER(MATCH(DATEVALUE($A282),'changes1_based on steps'!C$1:C$400,0)),C$2,)</f>
        <v>0</v>
      </c>
      <c r="D282" s="140">
        <f ca="1">IF(ISNUMBER(MATCH(DATEVALUE($A282),'changes1_based on steps'!D$1:D$400,0)),D$2,)</f>
        <v>0</v>
      </c>
      <c r="E282" s="140">
        <f ca="1">IF(ISNUMBER(MATCH(DATEVALUE($A282),'changes1_based on steps'!E$1:E$400,0)),E$2,)</f>
        <v>0</v>
      </c>
      <c r="F282" s="140">
        <f ca="1">IF(ISNUMBER(MATCH(DATEVALUE($A282),'changes1_based on steps'!F$1:F$400,0)),F$2,)</f>
        <v>0</v>
      </c>
      <c r="G282" s="140">
        <f ca="1">IF(ISNUMBER(MATCH(DATEVALUE($A282),'changes1_based on steps'!G$1:G$400,0)),G$2,)</f>
        <v>0</v>
      </c>
      <c r="H282" s="140">
        <f ca="1">IF(ISNUMBER(MATCH(DATEVALUE($A282),'changes1_based on steps'!H$1:H$400,0)),H$2,)</f>
        <v>0</v>
      </c>
      <c r="I282" s="140">
        <f ca="1">IF(ISNUMBER(MATCH(DATEVALUE($A282),'changes1_based on steps'!I$1:I$400,0)),I$2,)</f>
        <v>0</v>
      </c>
      <c r="J282" s="140">
        <f ca="1">IF(ISNUMBER(MATCH(DATEVALUE($A282),'changes1_based on steps'!J$1:J$400,0)),J$2,)</f>
        <v>0</v>
      </c>
      <c r="K282" s="140">
        <f ca="1">IF(ISNUMBER(MATCH(DATEVALUE($A282),'changes1_based on steps'!K$1:K$400,0)),K$2,)</f>
        <v>0</v>
      </c>
      <c r="L282" s="140">
        <f ca="1">IF(ISNUMBER(MATCH(DATEVALUE($A282),'changes1_based on steps'!L$1:L$400,0)),L$2,)</f>
        <v>0</v>
      </c>
      <c r="M282" s="140">
        <f ca="1">IF(ISNUMBER(MATCH(DATEVALUE($A282),'changes1_based on steps'!M$1:M$400,0)),M$2,)</f>
        <v>0</v>
      </c>
      <c r="N282" s="140">
        <f ca="1">IF(ISNUMBER(MATCH(DATEVALUE($A282),'changes1_based on steps'!N$1:N$400,0)),N$2,)</f>
        <v>0</v>
      </c>
      <c r="O282" s="140">
        <f ca="1">IF(ISNUMBER(MATCH(DATEVALUE($A282),'changes1_based on steps'!O$1:O$400,0)),O$2,)</f>
        <v>0</v>
      </c>
      <c r="P282" s="140">
        <f ca="1">IF(ISNUMBER(MATCH(DATEVALUE($A282),'changes1_based on steps'!P$1:P$400,0)),P$2,)</f>
        <v>0</v>
      </c>
      <c r="Q282" s="140">
        <f ca="1">IF(ISNUMBER(MATCH(DATEVALUE($A282),'changes1_based on steps'!Q$1:Q$400,0)),Q$2,)</f>
        <v>0</v>
      </c>
      <c r="R282" s="140">
        <f ca="1">IF(ISNUMBER(MATCH(DATEVALUE($A282),'changes1_based on steps'!R$1:R$400,0)),R$2,)</f>
        <v>0</v>
      </c>
      <c r="S282" s="140">
        <f ca="1">IF(ISNUMBER(MATCH(DATEVALUE($A282),'changes1_based on steps'!S$1:S$400,0)),S$2,)</f>
        <v>0</v>
      </c>
      <c r="T282" s="140">
        <f ca="1">IF(ISNUMBER(MATCH(DATEVALUE($A282),'changes1_based on steps'!T$1:T$400,0)),T$2,)</f>
        <v>0</v>
      </c>
      <c r="U282" s="140">
        <f ca="1">IF(ISNUMBER(MATCH(DATEVALUE($A282),'changes1_based on steps'!U$1:U$400,0)),U$2,)</f>
        <v>0</v>
      </c>
      <c r="V282" s="140"/>
      <c r="W282" s="140"/>
      <c r="X282" s="140"/>
      <c r="Y282" s="140"/>
      <c r="Z282" s="140"/>
      <c r="AA282" s="140"/>
      <c r="AB282" s="140"/>
      <c r="AC282" s="140"/>
      <c r="AD282" s="140"/>
      <c r="AE282" s="140"/>
      <c r="AF282" s="140"/>
      <c r="AG282" s="140"/>
      <c r="AH282" s="140"/>
      <c r="AI282" s="140"/>
      <c r="AJ282" s="140"/>
      <c r="AK282" s="140"/>
      <c r="AL282" s="140"/>
      <c r="AM282" s="140"/>
      <c r="AN282" s="140"/>
      <c r="AO282" s="140"/>
      <c r="AP282" s="140"/>
      <c r="AQ282" s="140"/>
      <c r="AR282" s="140"/>
      <c r="AS282" s="140"/>
      <c r="AT282" s="140"/>
      <c r="AU282" s="140"/>
      <c r="AV282" s="140"/>
      <c r="AW282" s="140"/>
      <c r="AX282" s="140"/>
      <c r="AY282" s="140"/>
      <c r="AZ282" s="140"/>
      <c r="BA282" s="140"/>
      <c r="BB282" s="140"/>
      <c r="BC282" s="140"/>
      <c r="BD282" s="140"/>
      <c r="BE282" s="140"/>
      <c r="BF282" s="140"/>
      <c r="BG282" s="140"/>
      <c r="BH282" s="140"/>
      <c r="BI282" s="140"/>
      <c r="BJ282" s="140"/>
      <c r="BK282" s="140"/>
      <c r="BL282" s="140"/>
      <c r="BM282" s="140"/>
      <c r="BN282" s="140"/>
      <c r="BO282" s="140"/>
      <c r="BP282" s="140"/>
      <c r="BQ282" s="140"/>
      <c r="BR282" s="140"/>
      <c r="BS282" s="140"/>
      <c r="BT282" s="140"/>
      <c r="BU282" s="140"/>
      <c r="BV282" s="140"/>
      <c r="BW282" s="140"/>
      <c r="BX282" s="140"/>
      <c r="BY282" s="140"/>
      <c r="BZ282" s="140"/>
      <c r="CA282" s="140"/>
      <c r="CB282" s="140"/>
      <c r="CC282" s="140"/>
      <c r="CD282" s="140"/>
      <c r="CE282" s="140"/>
      <c r="CF282" s="140"/>
      <c r="CG282" s="140"/>
      <c r="CH282" s="140"/>
      <c r="CI282" s="140"/>
      <c r="CJ282" s="140"/>
      <c r="CK282" s="140"/>
      <c r="CL282" s="140"/>
      <c r="CM282" s="140"/>
      <c r="CN282" s="140"/>
      <c r="CO282" s="140"/>
      <c r="CP282" s="140"/>
      <c r="CQ282" s="140"/>
      <c r="CR282" s="140"/>
      <c r="CS282" s="140"/>
      <c r="CT282" s="140"/>
      <c r="CU282" s="140"/>
      <c r="CV282" s="140"/>
      <c r="CW282" s="140"/>
    </row>
    <row r="283" spans="1:101" x14ac:dyDescent="0.2">
      <c r="A283" s="29" t="str">
        <f t="shared" ca="1" si="4"/>
        <v>2026-01-01</v>
      </c>
      <c r="B283" s="140">
        <f ca="1">IF(ISNUMBER(MATCH(DATEVALUE($A283),'changes1_based on steps'!B$1:B$400,0)),B$2,)</f>
        <v>0</v>
      </c>
      <c r="C283" s="140">
        <f ca="1">IF(ISNUMBER(MATCH(DATEVALUE($A283),'changes1_based on steps'!C$1:C$400,0)),C$2,)</f>
        <v>0</v>
      </c>
      <c r="D283" s="140">
        <f ca="1">IF(ISNUMBER(MATCH(DATEVALUE($A283),'changes1_based on steps'!D$1:D$400,0)),D$2,)</f>
        <v>0</v>
      </c>
      <c r="E283" s="140">
        <f ca="1">IF(ISNUMBER(MATCH(DATEVALUE($A283),'changes1_based on steps'!E$1:E$400,0)),E$2,)</f>
        <v>0</v>
      </c>
      <c r="F283" s="140">
        <f ca="1">IF(ISNUMBER(MATCH(DATEVALUE($A283),'changes1_based on steps'!F$1:F$400,0)),F$2,)</f>
        <v>0</v>
      </c>
      <c r="G283" s="140">
        <f ca="1">IF(ISNUMBER(MATCH(DATEVALUE($A283),'changes1_based on steps'!G$1:G$400,0)),G$2,)</f>
        <v>0</v>
      </c>
      <c r="H283" s="140">
        <f ca="1">IF(ISNUMBER(MATCH(DATEVALUE($A283),'changes1_based on steps'!H$1:H$400,0)),H$2,)</f>
        <v>0</v>
      </c>
      <c r="I283" s="140">
        <f ca="1">IF(ISNUMBER(MATCH(DATEVALUE($A283),'changes1_based on steps'!I$1:I$400,0)),I$2,)</f>
        <v>0</v>
      </c>
      <c r="J283" s="140">
        <f ca="1">IF(ISNUMBER(MATCH(DATEVALUE($A283),'changes1_based on steps'!J$1:J$400,0)),J$2,)</f>
        <v>0</v>
      </c>
      <c r="K283" s="140">
        <f ca="1">IF(ISNUMBER(MATCH(DATEVALUE($A283),'changes1_based on steps'!K$1:K$400,0)),K$2,)</f>
        <v>0</v>
      </c>
      <c r="L283" s="140">
        <f ca="1">IF(ISNUMBER(MATCH(DATEVALUE($A283),'changes1_based on steps'!L$1:L$400,0)),L$2,)</f>
        <v>0</v>
      </c>
      <c r="M283" s="140">
        <f ca="1">IF(ISNUMBER(MATCH(DATEVALUE($A283),'changes1_based on steps'!M$1:M$400,0)),M$2,)</f>
        <v>0</v>
      </c>
      <c r="N283" s="140">
        <f ca="1">IF(ISNUMBER(MATCH(DATEVALUE($A283),'changes1_based on steps'!N$1:N$400,0)),N$2,)</f>
        <v>0</v>
      </c>
      <c r="O283" s="140">
        <f ca="1">IF(ISNUMBER(MATCH(DATEVALUE($A283),'changes1_based on steps'!O$1:O$400,0)),O$2,)</f>
        <v>0</v>
      </c>
      <c r="P283" s="140">
        <f ca="1">IF(ISNUMBER(MATCH(DATEVALUE($A283),'changes1_based on steps'!P$1:P$400,0)),P$2,)</f>
        <v>0</v>
      </c>
      <c r="Q283" s="140">
        <f ca="1">IF(ISNUMBER(MATCH(DATEVALUE($A283),'changes1_based on steps'!Q$1:Q$400,0)),Q$2,)</f>
        <v>0</v>
      </c>
      <c r="R283" s="140">
        <f ca="1">IF(ISNUMBER(MATCH(DATEVALUE($A283),'changes1_based on steps'!R$1:R$400,0)),R$2,)</f>
        <v>0</v>
      </c>
      <c r="S283" s="140">
        <f ca="1">IF(ISNUMBER(MATCH(DATEVALUE($A283),'changes1_based on steps'!S$1:S$400,0)),S$2,)</f>
        <v>0</v>
      </c>
      <c r="T283" s="140">
        <f ca="1">IF(ISNUMBER(MATCH(DATEVALUE($A283),'changes1_based on steps'!T$1:T$400,0)),T$2,)</f>
        <v>0</v>
      </c>
      <c r="U283" s="140">
        <f ca="1">IF(ISNUMBER(MATCH(DATEVALUE($A283),'changes1_based on steps'!U$1:U$400,0)),U$2,)</f>
        <v>0</v>
      </c>
      <c r="V283" s="140"/>
      <c r="W283" s="140"/>
      <c r="X283" s="140"/>
      <c r="Y283" s="140"/>
      <c r="Z283" s="140"/>
      <c r="AA283" s="140"/>
      <c r="AB283" s="140"/>
      <c r="AC283" s="140"/>
      <c r="AD283" s="140"/>
      <c r="AE283" s="140"/>
      <c r="AF283" s="140"/>
      <c r="AG283" s="140"/>
      <c r="AH283" s="140"/>
      <c r="AI283" s="140"/>
      <c r="AJ283" s="140"/>
      <c r="AK283" s="140"/>
      <c r="AL283" s="140"/>
      <c r="AM283" s="140"/>
      <c r="AN283" s="140"/>
      <c r="AO283" s="140"/>
      <c r="AP283" s="140"/>
      <c r="AQ283" s="140"/>
      <c r="AR283" s="140"/>
      <c r="AS283" s="140"/>
      <c r="AT283" s="140"/>
      <c r="AU283" s="140"/>
      <c r="AV283" s="140"/>
      <c r="AW283" s="140"/>
      <c r="AX283" s="140"/>
      <c r="AY283" s="140"/>
      <c r="AZ283" s="140"/>
      <c r="BA283" s="140"/>
      <c r="BB283" s="140"/>
      <c r="BC283" s="140"/>
      <c r="BD283" s="140"/>
      <c r="BE283" s="140"/>
      <c r="BF283" s="140"/>
      <c r="BG283" s="140"/>
      <c r="BH283" s="140"/>
      <c r="BI283" s="140"/>
      <c r="BJ283" s="140"/>
      <c r="BK283" s="140"/>
      <c r="BL283" s="140"/>
      <c r="BM283" s="140"/>
      <c r="BN283" s="140"/>
      <c r="BO283" s="140"/>
      <c r="BP283" s="140"/>
      <c r="BQ283" s="140"/>
      <c r="BR283" s="140"/>
      <c r="BS283" s="140"/>
      <c r="BT283" s="140"/>
      <c r="BU283" s="140"/>
      <c r="BV283" s="140"/>
      <c r="BW283" s="140"/>
      <c r="BX283" s="140"/>
      <c r="BY283" s="140"/>
      <c r="BZ283" s="140"/>
      <c r="CA283" s="140"/>
      <c r="CB283" s="140"/>
      <c r="CC283" s="140"/>
      <c r="CD283" s="140"/>
      <c r="CE283" s="140"/>
      <c r="CF283" s="140"/>
      <c r="CG283" s="140"/>
      <c r="CH283" s="140"/>
      <c r="CI283" s="140"/>
      <c r="CJ283" s="140"/>
      <c r="CK283" s="140"/>
      <c r="CL283" s="140"/>
      <c r="CM283" s="140"/>
      <c r="CN283" s="140"/>
      <c r="CO283" s="140"/>
      <c r="CP283" s="140"/>
      <c r="CQ283" s="140"/>
      <c r="CR283" s="140"/>
      <c r="CS283" s="140"/>
      <c r="CT283" s="140"/>
      <c r="CU283" s="140"/>
      <c r="CV283" s="140"/>
      <c r="CW283" s="140"/>
    </row>
    <row r="284" spans="1:101" x14ac:dyDescent="0.2">
      <c r="A284" s="29" t="str">
        <f t="shared" ca="1" si="4"/>
        <v>2026-01-02</v>
      </c>
      <c r="B284" s="140">
        <f ca="1">IF(ISNUMBER(MATCH(DATEVALUE($A284),'changes1_based on steps'!B$1:B$400,0)),B$2,)</f>
        <v>0</v>
      </c>
      <c r="C284" s="140">
        <f ca="1">IF(ISNUMBER(MATCH(DATEVALUE($A284),'changes1_based on steps'!C$1:C$400,0)),C$2,)</f>
        <v>0</v>
      </c>
      <c r="D284" s="140">
        <f ca="1">IF(ISNUMBER(MATCH(DATEVALUE($A284),'changes1_based on steps'!D$1:D$400,0)),D$2,)</f>
        <v>0</v>
      </c>
      <c r="E284" s="140">
        <f ca="1">IF(ISNUMBER(MATCH(DATEVALUE($A284),'changes1_based on steps'!E$1:E$400,0)),E$2,)</f>
        <v>0</v>
      </c>
      <c r="F284" s="140">
        <f ca="1">IF(ISNUMBER(MATCH(DATEVALUE($A284),'changes1_based on steps'!F$1:F$400,0)),F$2,)</f>
        <v>0</v>
      </c>
      <c r="G284" s="140">
        <f ca="1">IF(ISNUMBER(MATCH(DATEVALUE($A284),'changes1_based on steps'!G$1:G$400,0)),G$2,)</f>
        <v>0</v>
      </c>
      <c r="H284" s="140">
        <f ca="1">IF(ISNUMBER(MATCH(DATEVALUE($A284),'changes1_based on steps'!H$1:H$400,0)),H$2,)</f>
        <v>0</v>
      </c>
      <c r="I284" s="140">
        <f ca="1">IF(ISNUMBER(MATCH(DATEVALUE($A284),'changes1_based on steps'!I$1:I$400,0)),I$2,)</f>
        <v>0</v>
      </c>
      <c r="J284" s="140">
        <f ca="1">IF(ISNUMBER(MATCH(DATEVALUE($A284),'changes1_based on steps'!J$1:J$400,0)),J$2,)</f>
        <v>0</v>
      </c>
      <c r="K284" s="140">
        <f ca="1">IF(ISNUMBER(MATCH(DATEVALUE($A284),'changes1_based on steps'!K$1:K$400,0)),K$2,)</f>
        <v>0</v>
      </c>
      <c r="L284" s="140">
        <f ca="1">IF(ISNUMBER(MATCH(DATEVALUE($A284),'changes1_based on steps'!L$1:L$400,0)),L$2,)</f>
        <v>0</v>
      </c>
      <c r="M284" s="140">
        <f ca="1">IF(ISNUMBER(MATCH(DATEVALUE($A284),'changes1_based on steps'!M$1:M$400,0)),M$2,)</f>
        <v>0</v>
      </c>
      <c r="N284" s="140">
        <f ca="1">IF(ISNUMBER(MATCH(DATEVALUE($A284),'changes1_based on steps'!N$1:N$400,0)),N$2,)</f>
        <v>0</v>
      </c>
      <c r="O284" s="140">
        <f ca="1">IF(ISNUMBER(MATCH(DATEVALUE($A284),'changes1_based on steps'!O$1:O$400,0)),O$2,)</f>
        <v>0</v>
      </c>
      <c r="P284" s="140">
        <f ca="1">IF(ISNUMBER(MATCH(DATEVALUE($A284),'changes1_based on steps'!P$1:P$400,0)),P$2,)</f>
        <v>0</v>
      </c>
      <c r="Q284" s="140">
        <f ca="1">IF(ISNUMBER(MATCH(DATEVALUE($A284),'changes1_based on steps'!Q$1:Q$400,0)),Q$2,)</f>
        <v>0</v>
      </c>
      <c r="R284" s="140">
        <f ca="1">IF(ISNUMBER(MATCH(DATEVALUE($A284),'changes1_based on steps'!R$1:R$400,0)),R$2,)</f>
        <v>0</v>
      </c>
      <c r="S284" s="140">
        <f ca="1">IF(ISNUMBER(MATCH(DATEVALUE($A284),'changes1_based on steps'!S$1:S$400,0)),S$2,)</f>
        <v>0</v>
      </c>
      <c r="T284" s="140">
        <f ca="1">IF(ISNUMBER(MATCH(DATEVALUE($A284),'changes1_based on steps'!T$1:T$400,0)),T$2,)</f>
        <v>0</v>
      </c>
      <c r="U284" s="140">
        <f ca="1">IF(ISNUMBER(MATCH(DATEVALUE($A284),'changes1_based on steps'!U$1:U$400,0)),U$2,)</f>
        <v>0</v>
      </c>
      <c r="V284" s="140"/>
      <c r="W284" s="140"/>
      <c r="X284" s="140"/>
      <c r="Y284" s="140"/>
      <c r="Z284" s="140"/>
      <c r="AA284" s="140"/>
      <c r="AB284" s="140"/>
      <c r="AC284" s="140"/>
      <c r="AD284" s="140"/>
      <c r="AE284" s="140"/>
      <c r="AF284" s="140"/>
      <c r="AG284" s="140"/>
      <c r="AH284" s="140"/>
      <c r="AI284" s="140"/>
      <c r="AJ284" s="140"/>
      <c r="AK284" s="140"/>
      <c r="AL284" s="140"/>
      <c r="AM284" s="140"/>
      <c r="AN284" s="140"/>
      <c r="AO284" s="140"/>
      <c r="AP284" s="140"/>
      <c r="AQ284" s="140"/>
      <c r="AR284" s="140"/>
      <c r="AS284" s="140"/>
      <c r="AT284" s="140"/>
      <c r="AU284" s="140"/>
      <c r="AV284" s="140"/>
      <c r="AW284" s="140"/>
      <c r="AX284" s="140"/>
      <c r="AY284" s="140"/>
      <c r="AZ284" s="140"/>
      <c r="BA284" s="140"/>
      <c r="BB284" s="140"/>
      <c r="BC284" s="140"/>
      <c r="BD284" s="140"/>
      <c r="BE284" s="140"/>
      <c r="BF284" s="140"/>
      <c r="BG284" s="140"/>
      <c r="BH284" s="140"/>
      <c r="BI284" s="140"/>
      <c r="BJ284" s="140"/>
      <c r="BK284" s="140"/>
      <c r="BL284" s="140"/>
      <c r="BM284" s="140"/>
      <c r="BN284" s="140"/>
      <c r="BO284" s="140"/>
      <c r="BP284" s="140"/>
      <c r="BQ284" s="140"/>
      <c r="BR284" s="140"/>
      <c r="BS284" s="140"/>
      <c r="BT284" s="140"/>
      <c r="BU284" s="140"/>
      <c r="BV284" s="140"/>
      <c r="BW284" s="140"/>
      <c r="BX284" s="140"/>
      <c r="BY284" s="140"/>
      <c r="BZ284" s="140"/>
      <c r="CA284" s="140"/>
      <c r="CB284" s="140"/>
      <c r="CC284" s="140"/>
      <c r="CD284" s="140"/>
      <c r="CE284" s="140"/>
      <c r="CF284" s="140"/>
      <c r="CG284" s="140"/>
      <c r="CH284" s="140"/>
      <c r="CI284" s="140"/>
      <c r="CJ284" s="140"/>
      <c r="CK284" s="140"/>
      <c r="CL284" s="140"/>
      <c r="CM284" s="140"/>
      <c r="CN284" s="140"/>
      <c r="CO284" s="140"/>
      <c r="CP284" s="140"/>
      <c r="CQ284" s="140"/>
      <c r="CR284" s="140"/>
      <c r="CS284" s="140"/>
      <c r="CT284" s="140"/>
      <c r="CU284" s="140"/>
      <c r="CV284" s="140"/>
      <c r="CW284" s="140"/>
    </row>
    <row r="285" spans="1:101" x14ac:dyDescent="0.2">
      <c r="A285" s="29" t="str">
        <f t="shared" ca="1" si="4"/>
        <v>2026-01-03</v>
      </c>
      <c r="B285" s="140">
        <f ca="1">IF(ISNUMBER(MATCH(DATEVALUE($A285),'changes1_based on steps'!B$1:B$400,0)),B$2,)</f>
        <v>0</v>
      </c>
      <c r="C285" s="140">
        <f ca="1">IF(ISNUMBER(MATCH(DATEVALUE($A285),'changes1_based on steps'!C$1:C$400,0)),C$2,)</f>
        <v>0</v>
      </c>
      <c r="D285" s="140">
        <f ca="1">IF(ISNUMBER(MATCH(DATEVALUE($A285),'changes1_based on steps'!D$1:D$400,0)),D$2,)</f>
        <v>0</v>
      </c>
      <c r="E285" s="140">
        <f ca="1">IF(ISNUMBER(MATCH(DATEVALUE($A285),'changes1_based on steps'!E$1:E$400,0)),E$2,)</f>
        <v>0</v>
      </c>
      <c r="F285" s="140">
        <f ca="1">IF(ISNUMBER(MATCH(DATEVALUE($A285),'changes1_based on steps'!F$1:F$400,0)),F$2,)</f>
        <v>0</v>
      </c>
      <c r="G285" s="140">
        <f ca="1">IF(ISNUMBER(MATCH(DATEVALUE($A285),'changes1_based on steps'!G$1:G$400,0)),G$2,)</f>
        <v>0</v>
      </c>
      <c r="H285" s="140">
        <f ca="1">IF(ISNUMBER(MATCH(DATEVALUE($A285),'changes1_based on steps'!H$1:H$400,0)),H$2,)</f>
        <v>0</v>
      </c>
      <c r="I285" s="140">
        <f ca="1">IF(ISNUMBER(MATCH(DATEVALUE($A285),'changes1_based on steps'!I$1:I$400,0)),I$2,)</f>
        <v>0</v>
      </c>
      <c r="J285" s="140">
        <f ca="1">IF(ISNUMBER(MATCH(DATEVALUE($A285),'changes1_based on steps'!J$1:J$400,0)),J$2,)</f>
        <v>0</v>
      </c>
      <c r="K285" s="140">
        <f ca="1">IF(ISNUMBER(MATCH(DATEVALUE($A285),'changes1_based on steps'!K$1:K$400,0)),K$2,)</f>
        <v>0</v>
      </c>
      <c r="L285" s="140">
        <f ca="1">IF(ISNUMBER(MATCH(DATEVALUE($A285),'changes1_based on steps'!L$1:L$400,0)),L$2,)</f>
        <v>0</v>
      </c>
      <c r="M285" s="140">
        <f ca="1">IF(ISNUMBER(MATCH(DATEVALUE($A285),'changes1_based on steps'!M$1:M$400,0)),M$2,)</f>
        <v>0</v>
      </c>
      <c r="N285" s="140">
        <f ca="1">IF(ISNUMBER(MATCH(DATEVALUE($A285),'changes1_based on steps'!N$1:N$400,0)),N$2,)</f>
        <v>0</v>
      </c>
      <c r="O285" s="140">
        <f ca="1">IF(ISNUMBER(MATCH(DATEVALUE($A285),'changes1_based on steps'!O$1:O$400,0)),O$2,)</f>
        <v>0</v>
      </c>
      <c r="P285" s="140">
        <f ca="1">IF(ISNUMBER(MATCH(DATEVALUE($A285),'changes1_based on steps'!P$1:P$400,0)),P$2,)</f>
        <v>0</v>
      </c>
      <c r="Q285" s="140">
        <f ca="1">IF(ISNUMBER(MATCH(DATEVALUE($A285),'changes1_based on steps'!Q$1:Q$400,0)),Q$2,)</f>
        <v>0</v>
      </c>
      <c r="R285" s="140">
        <f ca="1">IF(ISNUMBER(MATCH(DATEVALUE($A285),'changes1_based on steps'!R$1:R$400,0)),R$2,)</f>
        <v>0</v>
      </c>
      <c r="S285" s="140">
        <f ca="1">IF(ISNUMBER(MATCH(DATEVALUE($A285),'changes1_based on steps'!S$1:S$400,0)),S$2,)</f>
        <v>0</v>
      </c>
      <c r="T285" s="140">
        <f ca="1">IF(ISNUMBER(MATCH(DATEVALUE($A285),'changes1_based on steps'!T$1:T$400,0)),T$2,)</f>
        <v>0</v>
      </c>
      <c r="U285" s="140">
        <f ca="1">IF(ISNUMBER(MATCH(DATEVALUE($A285),'changes1_based on steps'!U$1:U$400,0)),U$2,)</f>
        <v>0</v>
      </c>
      <c r="V285" s="140"/>
      <c r="W285" s="140"/>
      <c r="X285" s="140"/>
      <c r="Y285" s="140"/>
      <c r="Z285" s="140"/>
      <c r="AA285" s="140"/>
      <c r="AB285" s="140"/>
      <c r="AC285" s="140"/>
      <c r="AD285" s="140"/>
      <c r="AE285" s="140"/>
      <c r="AF285" s="140"/>
      <c r="AG285" s="140"/>
      <c r="AH285" s="140"/>
      <c r="AI285" s="140"/>
      <c r="AJ285" s="140"/>
      <c r="AK285" s="140"/>
      <c r="AL285" s="140"/>
      <c r="AM285" s="140"/>
      <c r="AN285" s="140"/>
      <c r="AO285" s="140"/>
      <c r="AP285" s="140"/>
      <c r="AQ285" s="140"/>
      <c r="AR285" s="140"/>
      <c r="AS285" s="140"/>
      <c r="AT285" s="140"/>
      <c r="AU285" s="140"/>
      <c r="AV285" s="140"/>
      <c r="AW285" s="140"/>
      <c r="AX285" s="140"/>
      <c r="AY285" s="140"/>
      <c r="AZ285" s="140"/>
      <c r="BA285" s="140"/>
      <c r="BB285" s="140"/>
      <c r="BC285" s="140"/>
      <c r="BD285" s="140"/>
      <c r="BE285" s="140"/>
      <c r="BF285" s="140"/>
      <c r="BG285" s="140"/>
      <c r="BH285" s="140"/>
      <c r="BI285" s="140"/>
      <c r="BJ285" s="140"/>
      <c r="BK285" s="140"/>
      <c r="BL285" s="140"/>
      <c r="BM285" s="140"/>
      <c r="BN285" s="140"/>
      <c r="BO285" s="140"/>
      <c r="BP285" s="140"/>
      <c r="BQ285" s="140"/>
      <c r="BR285" s="140"/>
      <c r="BS285" s="140"/>
      <c r="BT285" s="140"/>
      <c r="BU285" s="140"/>
      <c r="BV285" s="140"/>
      <c r="BW285" s="140"/>
      <c r="BX285" s="140"/>
      <c r="BY285" s="140"/>
      <c r="BZ285" s="140"/>
      <c r="CA285" s="140"/>
      <c r="CB285" s="140"/>
      <c r="CC285" s="140"/>
      <c r="CD285" s="140"/>
      <c r="CE285" s="140"/>
      <c r="CF285" s="140"/>
      <c r="CG285" s="140"/>
      <c r="CH285" s="140"/>
      <c r="CI285" s="140"/>
      <c r="CJ285" s="140"/>
      <c r="CK285" s="140"/>
      <c r="CL285" s="140"/>
      <c r="CM285" s="140"/>
      <c r="CN285" s="140"/>
      <c r="CO285" s="140"/>
      <c r="CP285" s="140"/>
      <c r="CQ285" s="140"/>
      <c r="CR285" s="140"/>
      <c r="CS285" s="140"/>
      <c r="CT285" s="140"/>
      <c r="CU285" s="140"/>
      <c r="CV285" s="140"/>
      <c r="CW285" s="140"/>
    </row>
    <row r="286" spans="1:101" x14ac:dyDescent="0.2">
      <c r="A286" s="29" t="str">
        <f t="shared" ca="1" si="4"/>
        <v>2026-01-04</v>
      </c>
      <c r="B286" s="140">
        <f ca="1">IF(ISNUMBER(MATCH(DATEVALUE($A286),'changes1_based on steps'!B$1:B$400,0)),B$2,)</f>
        <v>0</v>
      </c>
      <c r="C286" s="140">
        <f ca="1">IF(ISNUMBER(MATCH(DATEVALUE($A286),'changes1_based on steps'!C$1:C$400,0)),C$2,)</f>
        <v>0</v>
      </c>
      <c r="D286" s="140">
        <f ca="1">IF(ISNUMBER(MATCH(DATEVALUE($A286),'changes1_based on steps'!D$1:D$400,0)),D$2,)</f>
        <v>0</v>
      </c>
      <c r="E286" s="140">
        <f ca="1">IF(ISNUMBER(MATCH(DATEVALUE($A286),'changes1_based on steps'!E$1:E$400,0)),E$2,)</f>
        <v>0</v>
      </c>
      <c r="F286" s="140">
        <f ca="1">IF(ISNUMBER(MATCH(DATEVALUE($A286),'changes1_based on steps'!F$1:F$400,0)),F$2,)</f>
        <v>0</v>
      </c>
      <c r="G286" s="140">
        <f ca="1">IF(ISNUMBER(MATCH(DATEVALUE($A286),'changes1_based on steps'!G$1:G$400,0)),G$2,)</f>
        <v>0</v>
      </c>
      <c r="H286" s="140">
        <f ca="1">IF(ISNUMBER(MATCH(DATEVALUE($A286),'changes1_based on steps'!H$1:H$400,0)),H$2,)</f>
        <v>0</v>
      </c>
      <c r="I286" s="140">
        <f ca="1">IF(ISNUMBER(MATCH(DATEVALUE($A286),'changes1_based on steps'!I$1:I$400,0)),I$2,)</f>
        <v>0</v>
      </c>
      <c r="J286" s="140">
        <f ca="1">IF(ISNUMBER(MATCH(DATEVALUE($A286),'changes1_based on steps'!J$1:J$400,0)),J$2,)</f>
        <v>0</v>
      </c>
      <c r="K286" s="140">
        <f ca="1">IF(ISNUMBER(MATCH(DATEVALUE($A286),'changes1_based on steps'!K$1:K$400,0)),K$2,)</f>
        <v>0</v>
      </c>
      <c r="L286" s="140">
        <f ca="1">IF(ISNUMBER(MATCH(DATEVALUE($A286),'changes1_based on steps'!L$1:L$400,0)),L$2,)</f>
        <v>0</v>
      </c>
      <c r="M286" s="140">
        <f ca="1">IF(ISNUMBER(MATCH(DATEVALUE($A286),'changes1_based on steps'!M$1:M$400,0)),M$2,)</f>
        <v>0</v>
      </c>
      <c r="N286" s="140">
        <f ca="1">IF(ISNUMBER(MATCH(DATEVALUE($A286),'changes1_based on steps'!N$1:N$400,0)),N$2,)</f>
        <v>0</v>
      </c>
      <c r="O286" s="140">
        <f ca="1">IF(ISNUMBER(MATCH(DATEVALUE($A286),'changes1_based on steps'!O$1:O$400,0)),O$2,)</f>
        <v>0</v>
      </c>
      <c r="P286" s="140">
        <f ca="1">IF(ISNUMBER(MATCH(DATEVALUE($A286),'changes1_based on steps'!P$1:P$400,0)),P$2,)</f>
        <v>0</v>
      </c>
      <c r="Q286" s="140">
        <f ca="1">IF(ISNUMBER(MATCH(DATEVALUE($A286),'changes1_based on steps'!Q$1:Q$400,0)),Q$2,)</f>
        <v>0</v>
      </c>
      <c r="R286" s="140">
        <f ca="1">IF(ISNUMBER(MATCH(DATEVALUE($A286),'changes1_based on steps'!R$1:R$400,0)),R$2,)</f>
        <v>0</v>
      </c>
      <c r="S286" s="140">
        <f ca="1">IF(ISNUMBER(MATCH(DATEVALUE($A286),'changes1_based on steps'!S$1:S$400,0)),S$2,)</f>
        <v>0</v>
      </c>
      <c r="T286" s="140">
        <f ca="1">IF(ISNUMBER(MATCH(DATEVALUE($A286),'changes1_based on steps'!T$1:T$400,0)),T$2,)</f>
        <v>0</v>
      </c>
      <c r="U286" s="140">
        <f ca="1">IF(ISNUMBER(MATCH(DATEVALUE($A286),'changes1_based on steps'!U$1:U$400,0)),U$2,)</f>
        <v>0</v>
      </c>
      <c r="V286" s="140"/>
      <c r="W286" s="140"/>
      <c r="X286" s="140"/>
      <c r="Y286" s="140"/>
      <c r="Z286" s="140"/>
      <c r="AA286" s="140"/>
      <c r="AB286" s="140"/>
      <c r="AC286" s="140"/>
      <c r="AD286" s="140"/>
      <c r="AE286" s="140"/>
      <c r="AF286" s="140"/>
      <c r="AG286" s="140"/>
      <c r="AH286" s="140"/>
      <c r="AI286" s="140"/>
      <c r="AJ286" s="140"/>
      <c r="AK286" s="140"/>
      <c r="AL286" s="140"/>
      <c r="AM286" s="140"/>
      <c r="AN286" s="140"/>
      <c r="AO286" s="140"/>
      <c r="AP286" s="140"/>
      <c r="AQ286" s="140"/>
      <c r="AR286" s="140"/>
      <c r="AS286" s="140"/>
      <c r="AT286" s="140"/>
      <c r="AU286" s="140"/>
      <c r="AV286" s="140"/>
      <c r="AW286" s="140"/>
      <c r="AX286" s="140"/>
      <c r="AY286" s="140"/>
      <c r="AZ286" s="140"/>
      <c r="BA286" s="140"/>
      <c r="BB286" s="140"/>
      <c r="BC286" s="140"/>
      <c r="BD286" s="140"/>
      <c r="BE286" s="140"/>
      <c r="BF286" s="140"/>
      <c r="BG286" s="140"/>
      <c r="BH286" s="140"/>
      <c r="BI286" s="140"/>
      <c r="BJ286" s="140"/>
      <c r="BK286" s="140"/>
      <c r="BL286" s="140"/>
      <c r="BM286" s="140"/>
      <c r="BN286" s="140"/>
      <c r="BO286" s="140"/>
      <c r="BP286" s="140"/>
      <c r="BQ286" s="140"/>
      <c r="BR286" s="140"/>
      <c r="BS286" s="140"/>
      <c r="BT286" s="140"/>
      <c r="BU286" s="140"/>
      <c r="BV286" s="140"/>
      <c r="BW286" s="140"/>
      <c r="BX286" s="140"/>
      <c r="BY286" s="140"/>
      <c r="BZ286" s="140"/>
      <c r="CA286" s="140"/>
      <c r="CB286" s="140"/>
      <c r="CC286" s="140"/>
      <c r="CD286" s="140"/>
      <c r="CE286" s="140"/>
      <c r="CF286" s="140"/>
      <c r="CG286" s="140"/>
      <c r="CH286" s="140"/>
      <c r="CI286" s="140"/>
      <c r="CJ286" s="140"/>
      <c r="CK286" s="140"/>
      <c r="CL286" s="140"/>
      <c r="CM286" s="140"/>
      <c r="CN286" s="140"/>
      <c r="CO286" s="140"/>
      <c r="CP286" s="140"/>
      <c r="CQ286" s="140"/>
      <c r="CR286" s="140"/>
      <c r="CS286" s="140"/>
      <c r="CT286" s="140"/>
      <c r="CU286" s="140"/>
      <c r="CV286" s="140"/>
      <c r="CW286" s="140"/>
    </row>
    <row r="287" spans="1:101" x14ac:dyDescent="0.2">
      <c r="A287" s="29" t="str">
        <f t="shared" ca="1" si="4"/>
        <v>2026-01-05</v>
      </c>
      <c r="B287" s="140">
        <f ca="1">IF(ISNUMBER(MATCH(DATEVALUE($A287),'changes1_based on steps'!B$1:B$400,0)),B$2,)</f>
        <v>0</v>
      </c>
      <c r="C287" s="140">
        <f ca="1">IF(ISNUMBER(MATCH(DATEVALUE($A287),'changes1_based on steps'!C$1:C$400,0)),C$2,)</f>
        <v>0</v>
      </c>
      <c r="D287" s="140">
        <f ca="1">IF(ISNUMBER(MATCH(DATEVALUE($A287),'changes1_based on steps'!D$1:D$400,0)),D$2,)</f>
        <v>0</v>
      </c>
      <c r="E287" s="140">
        <f ca="1">IF(ISNUMBER(MATCH(DATEVALUE($A287),'changes1_based on steps'!E$1:E$400,0)),E$2,)</f>
        <v>0</v>
      </c>
      <c r="F287" s="140">
        <f ca="1">IF(ISNUMBER(MATCH(DATEVALUE($A287),'changes1_based on steps'!F$1:F$400,0)),F$2,)</f>
        <v>0</v>
      </c>
      <c r="G287" s="140">
        <f ca="1">IF(ISNUMBER(MATCH(DATEVALUE($A287),'changes1_based on steps'!G$1:G$400,0)),G$2,)</f>
        <v>0</v>
      </c>
      <c r="H287" s="140">
        <f ca="1">IF(ISNUMBER(MATCH(DATEVALUE($A287),'changes1_based on steps'!H$1:H$400,0)),H$2,)</f>
        <v>0</v>
      </c>
      <c r="I287" s="140">
        <f ca="1">IF(ISNUMBER(MATCH(DATEVALUE($A287),'changes1_based on steps'!I$1:I$400,0)),I$2,)</f>
        <v>0</v>
      </c>
      <c r="J287" s="140">
        <f ca="1">IF(ISNUMBER(MATCH(DATEVALUE($A287),'changes1_based on steps'!J$1:J$400,0)),J$2,)</f>
        <v>0</v>
      </c>
      <c r="K287" s="140">
        <f ca="1">IF(ISNUMBER(MATCH(DATEVALUE($A287),'changes1_based on steps'!K$1:K$400,0)),K$2,)</f>
        <v>0</v>
      </c>
      <c r="L287" s="140">
        <f ca="1">IF(ISNUMBER(MATCH(DATEVALUE($A287),'changes1_based on steps'!L$1:L$400,0)),L$2,)</f>
        <v>0</v>
      </c>
      <c r="M287" s="140">
        <f ca="1">IF(ISNUMBER(MATCH(DATEVALUE($A287),'changes1_based on steps'!M$1:M$400,0)),M$2,)</f>
        <v>0</v>
      </c>
      <c r="N287" s="140">
        <f ca="1">IF(ISNUMBER(MATCH(DATEVALUE($A287),'changes1_based on steps'!N$1:N$400,0)),N$2,)</f>
        <v>0</v>
      </c>
      <c r="O287" s="140">
        <f ca="1">IF(ISNUMBER(MATCH(DATEVALUE($A287),'changes1_based on steps'!O$1:O$400,0)),O$2,)</f>
        <v>0</v>
      </c>
      <c r="P287" s="140">
        <f ca="1">IF(ISNUMBER(MATCH(DATEVALUE($A287),'changes1_based on steps'!P$1:P$400,0)),P$2,)</f>
        <v>0</v>
      </c>
      <c r="Q287" s="140">
        <f ca="1">IF(ISNUMBER(MATCH(DATEVALUE($A287),'changes1_based on steps'!Q$1:Q$400,0)),Q$2,)</f>
        <v>0</v>
      </c>
      <c r="R287" s="140">
        <f ca="1">IF(ISNUMBER(MATCH(DATEVALUE($A287),'changes1_based on steps'!R$1:R$400,0)),R$2,)</f>
        <v>0</v>
      </c>
      <c r="S287" s="140">
        <f ca="1">IF(ISNUMBER(MATCH(DATEVALUE($A287),'changes1_based on steps'!S$1:S$400,0)),S$2,)</f>
        <v>0</v>
      </c>
      <c r="T287" s="140">
        <f ca="1">IF(ISNUMBER(MATCH(DATEVALUE($A287),'changes1_based on steps'!T$1:T$400,0)),T$2,)</f>
        <v>0</v>
      </c>
      <c r="U287" s="140">
        <f ca="1">IF(ISNUMBER(MATCH(DATEVALUE($A287),'changes1_based on steps'!U$1:U$400,0)),U$2,)</f>
        <v>0</v>
      </c>
      <c r="V287" s="140"/>
      <c r="W287" s="140"/>
      <c r="X287" s="140"/>
      <c r="Y287" s="140"/>
      <c r="Z287" s="140"/>
      <c r="AA287" s="140"/>
      <c r="AB287" s="140"/>
      <c r="AC287" s="140"/>
      <c r="AD287" s="140"/>
      <c r="AE287" s="140"/>
      <c r="AF287" s="140"/>
      <c r="AG287" s="140"/>
      <c r="AH287" s="140"/>
      <c r="AI287" s="140"/>
      <c r="AJ287" s="140"/>
      <c r="AK287" s="140"/>
      <c r="AL287" s="140"/>
      <c r="AM287" s="140"/>
      <c r="AN287" s="140"/>
      <c r="AO287" s="140"/>
      <c r="AP287" s="140"/>
      <c r="AQ287" s="140"/>
      <c r="AR287" s="140"/>
      <c r="AS287" s="140"/>
      <c r="AT287" s="140"/>
      <c r="AU287" s="140"/>
      <c r="AV287" s="140"/>
      <c r="AW287" s="140"/>
      <c r="AX287" s="140"/>
      <c r="AY287" s="140"/>
      <c r="AZ287" s="140"/>
      <c r="BA287" s="140"/>
      <c r="BB287" s="140"/>
      <c r="BC287" s="140"/>
      <c r="BD287" s="140"/>
      <c r="BE287" s="140"/>
      <c r="BF287" s="140"/>
      <c r="BG287" s="140"/>
      <c r="BH287" s="140"/>
      <c r="BI287" s="140"/>
      <c r="BJ287" s="140"/>
      <c r="BK287" s="140"/>
      <c r="BL287" s="140"/>
      <c r="BM287" s="140"/>
      <c r="BN287" s="140"/>
      <c r="BO287" s="140"/>
      <c r="BP287" s="140"/>
      <c r="BQ287" s="140"/>
      <c r="BR287" s="140"/>
      <c r="BS287" s="140"/>
      <c r="BT287" s="140"/>
      <c r="BU287" s="140"/>
      <c r="BV287" s="140"/>
      <c r="BW287" s="140"/>
      <c r="BX287" s="140"/>
      <c r="BY287" s="140"/>
      <c r="BZ287" s="140"/>
      <c r="CA287" s="140"/>
      <c r="CB287" s="140"/>
      <c r="CC287" s="140"/>
      <c r="CD287" s="140"/>
      <c r="CE287" s="140"/>
      <c r="CF287" s="140"/>
      <c r="CG287" s="140"/>
      <c r="CH287" s="140"/>
      <c r="CI287" s="140"/>
      <c r="CJ287" s="140"/>
      <c r="CK287" s="140"/>
      <c r="CL287" s="140"/>
      <c r="CM287" s="140"/>
      <c r="CN287" s="140"/>
      <c r="CO287" s="140"/>
      <c r="CP287" s="140"/>
      <c r="CQ287" s="140"/>
      <c r="CR287" s="140"/>
      <c r="CS287" s="140"/>
      <c r="CT287" s="140"/>
      <c r="CU287" s="140"/>
      <c r="CV287" s="140"/>
      <c r="CW287" s="140"/>
    </row>
    <row r="288" spans="1:101" x14ac:dyDescent="0.2">
      <c r="A288" s="29" t="str">
        <f t="shared" ca="1" si="4"/>
        <v>2026-01-06</v>
      </c>
      <c r="B288" s="140">
        <f ca="1">IF(ISNUMBER(MATCH(DATEVALUE($A288),'changes1_based on steps'!B$1:B$400,0)),B$2,)</f>
        <v>0</v>
      </c>
      <c r="C288" s="140">
        <f ca="1">IF(ISNUMBER(MATCH(DATEVALUE($A288),'changes1_based on steps'!C$1:C$400,0)),C$2,)</f>
        <v>0</v>
      </c>
      <c r="D288" s="140">
        <f ca="1">IF(ISNUMBER(MATCH(DATEVALUE($A288),'changes1_based on steps'!D$1:D$400,0)),D$2,)</f>
        <v>0</v>
      </c>
      <c r="E288" s="140">
        <f ca="1">IF(ISNUMBER(MATCH(DATEVALUE($A288),'changes1_based on steps'!E$1:E$400,0)),E$2,)</f>
        <v>0</v>
      </c>
      <c r="F288" s="140">
        <f ca="1">IF(ISNUMBER(MATCH(DATEVALUE($A288),'changes1_based on steps'!F$1:F$400,0)),F$2,)</f>
        <v>0</v>
      </c>
      <c r="G288" s="140">
        <f ca="1">IF(ISNUMBER(MATCH(DATEVALUE($A288),'changes1_based on steps'!G$1:G$400,0)),G$2,)</f>
        <v>0</v>
      </c>
      <c r="H288" s="140">
        <f ca="1">IF(ISNUMBER(MATCH(DATEVALUE($A288),'changes1_based on steps'!H$1:H$400,0)),H$2,)</f>
        <v>0</v>
      </c>
      <c r="I288" s="140">
        <f ca="1">IF(ISNUMBER(MATCH(DATEVALUE($A288),'changes1_based on steps'!I$1:I$400,0)),I$2,)</f>
        <v>0</v>
      </c>
      <c r="J288" s="140">
        <f ca="1">IF(ISNUMBER(MATCH(DATEVALUE($A288),'changes1_based on steps'!J$1:J$400,0)),J$2,)</f>
        <v>0</v>
      </c>
      <c r="K288" s="140">
        <f ca="1">IF(ISNUMBER(MATCH(DATEVALUE($A288),'changes1_based on steps'!K$1:K$400,0)),K$2,)</f>
        <v>0</v>
      </c>
      <c r="L288" s="140">
        <f ca="1">IF(ISNUMBER(MATCH(DATEVALUE($A288),'changes1_based on steps'!L$1:L$400,0)),L$2,)</f>
        <v>0</v>
      </c>
      <c r="M288" s="140">
        <f ca="1">IF(ISNUMBER(MATCH(DATEVALUE($A288),'changes1_based on steps'!M$1:M$400,0)),M$2,)</f>
        <v>0</v>
      </c>
      <c r="N288" s="140">
        <f ca="1">IF(ISNUMBER(MATCH(DATEVALUE($A288),'changes1_based on steps'!N$1:N$400,0)),N$2,)</f>
        <v>0</v>
      </c>
      <c r="O288" s="140">
        <f ca="1">IF(ISNUMBER(MATCH(DATEVALUE($A288),'changes1_based on steps'!O$1:O$400,0)),O$2,)</f>
        <v>0</v>
      </c>
      <c r="P288" s="140">
        <f ca="1">IF(ISNUMBER(MATCH(DATEVALUE($A288),'changes1_based on steps'!P$1:P$400,0)),P$2,)</f>
        <v>0</v>
      </c>
      <c r="Q288" s="140">
        <f ca="1">IF(ISNUMBER(MATCH(DATEVALUE($A288),'changes1_based on steps'!Q$1:Q$400,0)),Q$2,)</f>
        <v>0</v>
      </c>
      <c r="R288" s="140">
        <f ca="1">IF(ISNUMBER(MATCH(DATEVALUE($A288),'changes1_based on steps'!R$1:R$400,0)),R$2,)</f>
        <v>0</v>
      </c>
      <c r="S288" s="140">
        <f ca="1">IF(ISNUMBER(MATCH(DATEVALUE($A288),'changes1_based on steps'!S$1:S$400,0)),S$2,)</f>
        <v>0</v>
      </c>
      <c r="T288" s="140">
        <f ca="1">IF(ISNUMBER(MATCH(DATEVALUE($A288),'changes1_based on steps'!T$1:T$400,0)),T$2,)</f>
        <v>0</v>
      </c>
      <c r="U288" s="140">
        <f ca="1">IF(ISNUMBER(MATCH(DATEVALUE($A288),'changes1_based on steps'!U$1:U$400,0)),U$2,)</f>
        <v>0</v>
      </c>
      <c r="V288" s="140"/>
      <c r="W288" s="140"/>
      <c r="X288" s="140"/>
      <c r="Y288" s="140"/>
      <c r="Z288" s="140"/>
      <c r="AA288" s="140"/>
      <c r="AB288" s="140"/>
      <c r="AC288" s="140"/>
      <c r="AD288" s="140"/>
      <c r="AE288" s="140"/>
      <c r="AF288" s="140"/>
      <c r="AG288" s="140"/>
      <c r="AH288" s="140"/>
      <c r="AI288" s="140"/>
      <c r="AJ288" s="140"/>
      <c r="AK288" s="140"/>
      <c r="AL288" s="140"/>
      <c r="AM288" s="140"/>
      <c r="AN288" s="140"/>
      <c r="AO288" s="140"/>
      <c r="AP288" s="140"/>
      <c r="AQ288" s="140"/>
      <c r="AR288" s="140"/>
      <c r="AS288" s="140"/>
      <c r="AT288" s="140"/>
      <c r="AU288" s="140"/>
      <c r="AV288" s="140"/>
      <c r="AW288" s="140"/>
      <c r="AX288" s="140"/>
      <c r="AY288" s="140"/>
      <c r="AZ288" s="140"/>
      <c r="BA288" s="140"/>
      <c r="BB288" s="140"/>
      <c r="BC288" s="140"/>
      <c r="BD288" s="140"/>
      <c r="BE288" s="140"/>
      <c r="BF288" s="140"/>
      <c r="BG288" s="140"/>
      <c r="BH288" s="140"/>
      <c r="BI288" s="140"/>
      <c r="BJ288" s="140"/>
      <c r="BK288" s="140"/>
      <c r="BL288" s="140"/>
      <c r="BM288" s="140"/>
      <c r="BN288" s="140"/>
      <c r="BO288" s="140"/>
      <c r="BP288" s="140"/>
      <c r="BQ288" s="140"/>
      <c r="BR288" s="140"/>
      <c r="BS288" s="140"/>
      <c r="BT288" s="140"/>
      <c r="BU288" s="140"/>
      <c r="BV288" s="140"/>
      <c r="BW288" s="140"/>
      <c r="BX288" s="140"/>
      <c r="BY288" s="140"/>
      <c r="BZ288" s="140"/>
      <c r="CA288" s="140"/>
      <c r="CB288" s="140"/>
      <c r="CC288" s="140"/>
      <c r="CD288" s="140"/>
      <c r="CE288" s="140"/>
      <c r="CF288" s="140"/>
      <c r="CG288" s="140"/>
      <c r="CH288" s="140"/>
      <c r="CI288" s="140"/>
      <c r="CJ288" s="140"/>
      <c r="CK288" s="140"/>
      <c r="CL288" s="140"/>
      <c r="CM288" s="140"/>
      <c r="CN288" s="140"/>
      <c r="CO288" s="140"/>
      <c r="CP288" s="140"/>
      <c r="CQ288" s="140"/>
      <c r="CR288" s="140"/>
      <c r="CS288" s="140"/>
      <c r="CT288" s="140"/>
      <c r="CU288" s="140"/>
      <c r="CV288" s="140"/>
      <c r="CW288" s="140"/>
    </row>
    <row r="289" spans="1:101" x14ac:dyDescent="0.2">
      <c r="A289" s="29" t="str">
        <f t="shared" ca="1" si="4"/>
        <v>2026-01-07</v>
      </c>
      <c r="B289" s="140">
        <f ca="1">IF(ISNUMBER(MATCH(DATEVALUE($A289),'changes1_based on steps'!B$1:B$400,0)),B$2,)</f>
        <v>0</v>
      </c>
      <c r="C289" s="140">
        <f ca="1">IF(ISNUMBER(MATCH(DATEVALUE($A289),'changes1_based on steps'!C$1:C$400,0)),C$2,)</f>
        <v>0</v>
      </c>
      <c r="D289" s="140">
        <f ca="1">IF(ISNUMBER(MATCH(DATEVALUE($A289),'changes1_based on steps'!D$1:D$400,0)),D$2,)</f>
        <v>0</v>
      </c>
      <c r="E289" s="140">
        <f ca="1">IF(ISNUMBER(MATCH(DATEVALUE($A289),'changes1_based on steps'!E$1:E$400,0)),E$2,)</f>
        <v>0</v>
      </c>
      <c r="F289" s="140">
        <f ca="1">IF(ISNUMBER(MATCH(DATEVALUE($A289),'changes1_based on steps'!F$1:F$400,0)),F$2,)</f>
        <v>0</v>
      </c>
      <c r="G289" s="140">
        <f ca="1">IF(ISNUMBER(MATCH(DATEVALUE($A289),'changes1_based on steps'!G$1:G$400,0)),G$2,)</f>
        <v>0</v>
      </c>
      <c r="H289" s="140">
        <f ca="1">IF(ISNUMBER(MATCH(DATEVALUE($A289),'changes1_based on steps'!H$1:H$400,0)),H$2,)</f>
        <v>0</v>
      </c>
      <c r="I289" s="140">
        <f ca="1">IF(ISNUMBER(MATCH(DATEVALUE($A289),'changes1_based on steps'!I$1:I$400,0)),I$2,)</f>
        <v>0</v>
      </c>
      <c r="J289" s="140">
        <f ca="1">IF(ISNUMBER(MATCH(DATEVALUE($A289),'changes1_based on steps'!J$1:J$400,0)),J$2,)</f>
        <v>0</v>
      </c>
      <c r="K289" s="140">
        <f ca="1">IF(ISNUMBER(MATCH(DATEVALUE($A289),'changes1_based on steps'!K$1:K$400,0)),K$2,)</f>
        <v>0</v>
      </c>
      <c r="L289" s="140">
        <f ca="1">IF(ISNUMBER(MATCH(DATEVALUE($A289),'changes1_based on steps'!L$1:L$400,0)),L$2,)</f>
        <v>0</v>
      </c>
      <c r="M289" s="140">
        <f ca="1">IF(ISNUMBER(MATCH(DATEVALUE($A289),'changes1_based on steps'!M$1:M$400,0)),M$2,)</f>
        <v>0</v>
      </c>
      <c r="N289" s="140">
        <f ca="1">IF(ISNUMBER(MATCH(DATEVALUE($A289),'changes1_based on steps'!N$1:N$400,0)),N$2,)</f>
        <v>0</v>
      </c>
      <c r="O289" s="140">
        <f ca="1">IF(ISNUMBER(MATCH(DATEVALUE($A289),'changes1_based on steps'!O$1:O$400,0)),O$2,)</f>
        <v>0</v>
      </c>
      <c r="P289" s="140">
        <f ca="1">IF(ISNUMBER(MATCH(DATEVALUE($A289),'changes1_based on steps'!P$1:P$400,0)),P$2,)</f>
        <v>0</v>
      </c>
      <c r="Q289" s="140">
        <f ca="1">IF(ISNUMBER(MATCH(DATEVALUE($A289),'changes1_based on steps'!Q$1:Q$400,0)),Q$2,)</f>
        <v>0</v>
      </c>
      <c r="R289" s="140">
        <f ca="1">IF(ISNUMBER(MATCH(DATEVALUE($A289),'changes1_based on steps'!R$1:R$400,0)),R$2,)</f>
        <v>0</v>
      </c>
      <c r="S289" s="140">
        <f ca="1">IF(ISNUMBER(MATCH(DATEVALUE($A289),'changes1_based on steps'!S$1:S$400,0)),S$2,)</f>
        <v>0</v>
      </c>
      <c r="T289" s="140">
        <f ca="1">IF(ISNUMBER(MATCH(DATEVALUE($A289),'changes1_based on steps'!T$1:T$400,0)),T$2,)</f>
        <v>0</v>
      </c>
      <c r="U289" s="140">
        <f ca="1">IF(ISNUMBER(MATCH(DATEVALUE($A289),'changes1_based on steps'!U$1:U$400,0)),U$2,)</f>
        <v>0</v>
      </c>
      <c r="V289" s="140"/>
      <c r="W289" s="140"/>
      <c r="X289" s="140"/>
      <c r="Y289" s="140"/>
      <c r="Z289" s="140"/>
      <c r="AA289" s="140"/>
      <c r="AB289" s="140"/>
      <c r="AC289" s="140"/>
      <c r="AD289" s="140"/>
      <c r="AE289" s="140"/>
      <c r="AF289" s="140"/>
      <c r="AG289" s="140"/>
      <c r="AH289" s="140"/>
      <c r="AI289" s="140"/>
      <c r="AJ289" s="140"/>
      <c r="AK289" s="140"/>
      <c r="AL289" s="140"/>
      <c r="AM289" s="140"/>
      <c r="AN289" s="140"/>
      <c r="AO289" s="140"/>
      <c r="AP289" s="140"/>
      <c r="AQ289" s="140"/>
      <c r="AR289" s="140"/>
      <c r="AS289" s="140"/>
      <c r="AT289" s="140"/>
      <c r="AU289" s="140"/>
      <c r="AV289" s="140"/>
      <c r="AW289" s="140"/>
      <c r="AX289" s="140"/>
      <c r="AY289" s="140"/>
      <c r="AZ289" s="140"/>
      <c r="BA289" s="140"/>
      <c r="BB289" s="140"/>
      <c r="BC289" s="140"/>
      <c r="BD289" s="140"/>
      <c r="BE289" s="140"/>
      <c r="BF289" s="140"/>
      <c r="BG289" s="140"/>
      <c r="BH289" s="140"/>
      <c r="BI289" s="140"/>
      <c r="BJ289" s="140"/>
      <c r="BK289" s="140"/>
      <c r="BL289" s="140"/>
      <c r="BM289" s="140"/>
      <c r="BN289" s="140"/>
      <c r="BO289" s="140"/>
      <c r="BP289" s="140"/>
      <c r="BQ289" s="140"/>
      <c r="BR289" s="140"/>
      <c r="BS289" s="140"/>
      <c r="BT289" s="140"/>
      <c r="BU289" s="140"/>
      <c r="BV289" s="140"/>
      <c r="BW289" s="140"/>
      <c r="BX289" s="140"/>
      <c r="BY289" s="140"/>
      <c r="BZ289" s="140"/>
      <c r="CA289" s="140"/>
      <c r="CB289" s="140"/>
      <c r="CC289" s="140"/>
      <c r="CD289" s="140"/>
      <c r="CE289" s="140"/>
      <c r="CF289" s="140"/>
      <c r="CG289" s="140"/>
      <c r="CH289" s="140"/>
      <c r="CI289" s="140"/>
      <c r="CJ289" s="140"/>
      <c r="CK289" s="140"/>
      <c r="CL289" s="140"/>
      <c r="CM289" s="140"/>
      <c r="CN289" s="140"/>
      <c r="CO289" s="140"/>
      <c r="CP289" s="140"/>
      <c r="CQ289" s="140"/>
      <c r="CR289" s="140"/>
      <c r="CS289" s="140"/>
      <c r="CT289" s="140"/>
      <c r="CU289" s="140"/>
      <c r="CV289" s="140"/>
      <c r="CW289" s="140"/>
    </row>
    <row r="290" spans="1:101" x14ac:dyDescent="0.2">
      <c r="A290" s="29" t="str">
        <f t="shared" ca="1" si="4"/>
        <v>2026-01-08</v>
      </c>
      <c r="B290" s="140">
        <f ca="1">IF(ISNUMBER(MATCH(DATEVALUE($A290),'changes1_based on steps'!B$1:B$400,0)),B$2,)</f>
        <v>0</v>
      </c>
      <c r="C290" s="140">
        <f ca="1">IF(ISNUMBER(MATCH(DATEVALUE($A290),'changes1_based on steps'!C$1:C$400,0)),C$2,)</f>
        <v>0</v>
      </c>
      <c r="D290" s="140">
        <f ca="1">IF(ISNUMBER(MATCH(DATEVALUE($A290),'changes1_based on steps'!D$1:D$400,0)),D$2,)</f>
        <v>0</v>
      </c>
      <c r="E290" s="140">
        <f ca="1">IF(ISNUMBER(MATCH(DATEVALUE($A290),'changes1_based on steps'!E$1:E$400,0)),E$2,)</f>
        <v>0</v>
      </c>
      <c r="F290" s="140">
        <f ca="1">IF(ISNUMBER(MATCH(DATEVALUE($A290),'changes1_based on steps'!F$1:F$400,0)),F$2,)</f>
        <v>0</v>
      </c>
      <c r="G290" s="140">
        <f ca="1">IF(ISNUMBER(MATCH(DATEVALUE($A290),'changes1_based on steps'!G$1:G$400,0)),G$2,)</f>
        <v>0</v>
      </c>
      <c r="H290" s="140">
        <f ca="1">IF(ISNUMBER(MATCH(DATEVALUE($A290),'changes1_based on steps'!H$1:H$400,0)),H$2,)</f>
        <v>0</v>
      </c>
      <c r="I290" s="140">
        <f ca="1">IF(ISNUMBER(MATCH(DATEVALUE($A290),'changes1_based on steps'!I$1:I$400,0)),I$2,)</f>
        <v>0</v>
      </c>
      <c r="J290" s="140">
        <f ca="1">IF(ISNUMBER(MATCH(DATEVALUE($A290),'changes1_based on steps'!J$1:J$400,0)),J$2,)</f>
        <v>0</v>
      </c>
      <c r="K290" s="140">
        <f ca="1">IF(ISNUMBER(MATCH(DATEVALUE($A290),'changes1_based on steps'!K$1:K$400,0)),K$2,)</f>
        <v>0</v>
      </c>
      <c r="L290" s="140">
        <f ca="1">IF(ISNUMBER(MATCH(DATEVALUE($A290),'changes1_based on steps'!L$1:L$400,0)),L$2,)</f>
        <v>0</v>
      </c>
      <c r="M290" s="140">
        <f ca="1">IF(ISNUMBER(MATCH(DATEVALUE($A290),'changes1_based on steps'!M$1:M$400,0)),M$2,)</f>
        <v>0</v>
      </c>
      <c r="N290" s="140">
        <f ca="1">IF(ISNUMBER(MATCH(DATEVALUE($A290),'changes1_based on steps'!N$1:N$400,0)),N$2,)</f>
        <v>0</v>
      </c>
      <c r="O290" s="140">
        <f ca="1">IF(ISNUMBER(MATCH(DATEVALUE($A290),'changes1_based on steps'!O$1:O$400,0)),O$2,)</f>
        <v>0</v>
      </c>
      <c r="P290" s="140">
        <f ca="1">IF(ISNUMBER(MATCH(DATEVALUE($A290),'changes1_based on steps'!P$1:P$400,0)),P$2,)</f>
        <v>0</v>
      </c>
      <c r="Q290" s="140">
        <f ca="1">IF(ISNUMBER(MATCH(DATEVALUE($A290),'changes1_based on steps'!Q$1:Q$400,0)),Q$2,)</f>
        <v>0</v>
      </c>
      <c r="R290" s="140">
        <f ca="1">IF(ISNUMBER(MATCH(DATEVALUE($A290),'changes1_based on steps'!R$1:R$400,0)),R$2,)</f>
        <v>0</v>
      </c>
      <c r="S290" s="140">
        <f ca="1">IF(ISNUMBER(MATCH(DATEVALUE($A290),'changes1_based on steps'!S$1:S$400,0)),S$2,)</f>
        <v>0</v>
      </c>
      <c r="T290" s="140">
        <f ca="1">IF(ISNUMBER(MATCH(DATEVALUE($A290),'changes1_based on steps'!T$1:T$400,0)),T$2,)</f>
        <v>0</v>
      </c>
      <c r="U290" s="140">
        <f ca="1">IF(ISNUMBER(MATCH(DATEVALUE($A290),'changes1_based on steps'!U$1:U$400,0)),U$2,)</f>
        <v>0</v>
      </c>
      <c r="V290" s="140"/>
      <c r="W290" s="140"/>
      <c r="X290" s="140"/>
      <c r="Y290" s="140"/>
      <c r="Z290" s="140"/>
      <c r="AA290" s="140"/>
      <c r="AB290" s="140"/>
      <c r="AC290" s="140"/>
      <c r="AD290" s="140"/>
      <c r="AE290" s="140"/>
      <c r="AF290" s="140"/>
      <c r="AG290" s="140"/>
      <c r="AH290" s="140"/>
      <c r="AI290" s="140"/>
      <c r="AJ290" s="140"/>
      <c r="AK290" s="140"/>
      <c r="AL290" s="140"/>
      <c r="AM290" s="140"/>
      <c r="AN290" s="140"/>
      <c r="AO290" s="140"/>
      <c r="AP290" s="140"/>
      <c r="AQ290" s="140"/>
      <c r="AR290" s="140"/>
      <c r="AS290" s="140"/>
      <c r="AT290" s="140"/>
      <c r="AU290" s="140"/>
      <c r="AV290" s="140"/>
      <c r="AW290" s="140"/>
      <c r="AX290" s="140"/>
      <c r="AY290" s="140"/>
      <c r="AZ290" s="140"/>
      <c r="BA290" s="140"/>
      <c r="BB290" s="140"/>
      <c r="BC290" s="140"/>
      <c r="BD290" s="140"/>
      <c r="BE290" s="140"/>
      <c r="BF290" s="140"/>
      <c r="BG290" s="140"/>
      <c r="BH290" s="140"/>
      <c r="BI290" s="140"/>
      <c r="BJ290" s="140"/>
      <c r="BK290" s="140"/>
      <c r="BL290" s="140"/>
      <c r="BM290" s="140"/>
      <c r="BN290" s="140"/>
      <c r="BO290" s="140"/>
      <c r="BP290" s="140"/>
      <c r="BQ290" s="140"/>
      <c r="BR290" s="140"/>
      <c r="BS290" s="140"/>
      <c r="BT290" s="140"/>
      <c r="BU290" s="140"/>
      <c r="BV290" s="140"/>
      <c r="BW290" s="140"/>
      <c r="BX290" s="140"/>
      <c r="BY290" s="140"/>
      <c r="BZ290" s="140"/>
      <c r="CA290" s="140"/>
      <c r="CB290" s="140"/>
      <c r="CC290" s="140"/>
      <c r="CD290" s="140"/>
      <c r="CE290" s="140"/>
      <c r="CF290" s="140"/>
      <c r="CG290" s="140"/>
      <c r="CH290" s="140"/>
      <c r="CI290" s="140"/>
      <c r="CJ290" s="140"/>
      <c r="CK290" s="140"/>
      <c r="CL290" s="140"/>
      <c r="CM290" s="140"/>
      <c r="CN290" s="140"/>
      <c r="CO290" s="140"/>
      <c r="CP290" s="140"/>
      <c r="CQ290" s="140"/>
      <c r="CR290" s="140"/>
      <c r="CS290" s="140"/>
      <c r="CT290" s="140"/>
      <c r="CU290" s="140"/>
      <c r="CV290" s="140"/>
      <c r="CW290" s="140"/>
    </row>
    <row r="291" spans="1:101" x14ac:dyDescent="0.2">
      <c r="A291" s="29" t="str">
        <f t="shared" ca="1" si="4"/>
        <v>2026-01-09</v>
      </c>
      <c r="B291" s="140">
        <f ca="1">IF(ISNUMBER(MATCH(DATEVALUE($A291),'changes1_based on steps'!B$1:B$400,0)),B$2,)</f>
        <v>0</v>
      </c>
      <c r="C291" s="140">
        <f ca="1">IF(ISNUMBER(MATCH(DATEVALUE($A291),'changes1_based on steps'!C$1:C$400,0)),C$2,)</f>
        <v>0</v>
      </c>
      <c r="D291" s="140">
        <f ca="1">IF(ISNUMBER(MATCH(DATEVALUE($A291),'changes1_based on steps'!D$1:D$400,0)),D$2,)</f>
        <v>0</v>
      </c>
      <c r="E291" s="140">
        <f ca="1">IF(ISNUMBER(MATCH(DATEVALUE($A291),'changes1_based on steps'!E$1:E$400,0)),E$2,)</f>
        <v>0</v>
      </c>
      <c r="F291" s="140">
        <f ca="1">IF(ISNUMBER(MATCH(DATEVALUE($A291),'changes1_based on steps'!F$1:F$400,0)),F$2,)</f>
        <v>0</v>
      </c>
      <c r="G291" s="140">
        <f ca="1">IF(ISNUMBER(MATCH(DATEVALUE($A291),'changes1_based on steps'!G$1:G$400,0)),G$2,)</f>
        <v>0</v>
      </c>
      <c r="H291" s="140">
        <f ca="1">IF(ISNUMBER(MATCH(DATEVALUE($A291),'changes1_based on steps'!H$1:H$400,0)),H$2,)</f>
        <v>0</v>
      </c>
      <c r="I291" s="140">
        <f ca="1">IF(ISNUMBER(MATCH(DATEVALUE($A291),'changes1_based on steps'!I$1:I$400,0)),I$2,)</f>
        <v>0</v>
      </c>
      <c r="J291" s="140">
        <f ca="1">IF(ISNUMBER(MATCH(DATEVALUE($A291),'changes1_based on steps'!J$1:J$400,0)),J$2,)</f>
        <v>0</v>
      </c>
      <c r="K291" s="140">
        <f ca="1">IF(ISNUMBER(MATCH(DATEVALUE($A291),'changes1_based on steps'!K$1:K$400,0)),K$2,)</f>
        <v>0</v>
      </c>
      <c r="L291" s="140">
        <f ca="1">IF(ISNUMBER(MATCH(DATEVALUE($A291),'changes1_based on steps'!L$1:L$400,0)),L$2,)</f>
        <v>0</v>
      </c>
      <c r="M291" s="140">
        <f ca="1">IF(ISNUMBER(MATCH(DATEVALUE($A291),'changes1_based on steps'!M$1:M$400,0)),M$2,)</f>
        <v>0</v>
      </c>
      <c r="N291" s="140">
        <f ca="1">IF(ISNUMBER(MATCH(DATEVALUE($A291),'changes1_based on steps'!N$1:N$400,0)),N$2,)</f>
        <v>0</v>
      </c>
      <c r="O291" s="140">
        <f ca="1">IF(ISNUMBER(MATCH(DATEVALUE($A291),'changes1_based on steps'!O$1:O$400,0)),O$2,)</f>
        <v>0</v>
      </c>
      <c r="P291" s="140">
        <f ca="1">IF(ISNUMBER(MATCH(DATEVALUE($A291),'changes1_based on steps'!P$1:P$400,0)),P$2,)</f>
        <v>0</v>
      </c>
      <c r="Q291" s="140">
        <f ca="1">IF(ISNUMBER(MATCH(DATEVALUE($A291),'changes1_based on steps'!Q$1:Q$400,0)),Q$2,)</f>
        <v>0</v>
      </c>
      <c r="R291" s="140">
        <f ca="1">IF(ISNUMBER(MATCH(DATEVALUE($A291),'changes1_based on steps'!R$1:R$400,0)),R$2,)</f>
        <v>0</v>
      </c>
      <c r="S291" s="140">
        <f ca="1">IF(ISNUMBER(MATCH(DATEVALUE($A291),'changes1_based on steps'!S$1:S$400,0)),S$2,)</f>
        <v>0</v>
      </c>
      <c r="T291" s="140">
        <f ca="1">IF(ISNUMBER(MATCH(DATEVALUE($A291),'changes1_based on steps'!T$1:T$400,0)),T$2,)</f>
        <v>0</v>
      </c>
      <c r="U291" s="140">
        <f ca="1">IF(ISNUMBER(MATCH(DATEVALUE($A291),'changes1_based on steps'!U$1:U$400,0)),U$2,)</f>
        <v>0</v>
      </c>
      <c r="V291" s="140"/>
      <c r="W291" s="140"/>
      <c r="X291" s="140"/>
      <c r="Y291" s="140"/>
      <c r="Z291" s="140"/>
      <c r="AA291" s="140"/>
      <c r="AB291" s="140"/>
      <c r="AC291" s="140"/>
      <c r="AD291" s="140"/>
      <c r="AE291" s="140"/>
      <c r="AF291" s="140"/>
      <c r="AG291" s="140"/>
      <c r="AH291" s="140"/>
      <c r="AI291" s="140"/>
      <c r="AJ291" s="140"/>
      <c r="AK291" s="140"/>
      <c r="AL291" s="140"/>
      <c r="AM291" s="140"/>
      <c r="AN291" s="140"/>
      <c r="AO291" s="140"/>
      <c r="AP291" s="140"/>
      <c r="AQ291" s="140"/>
      <c r="AR291" s="140"/>
      <c r="AS291" s="140"/>
      <c r="AT291" s="140"/>
      <c r="AU291" s="140"/>
      <c r="AV291" s="140"/>
      <c r="AW291" s="140"/>
      <c r="AX291" s="140"/>
      <c r="AY291" s="140"/>
      <c r="AZ291" s="140"/>
      <c r="BA291" s="140"/>
      <c r="BB291" s="140"/>
      <c r="BC291" s="140"/>
      <c r="BD291" s="140"/>
      <c r="BE291" s="140"/>
      <c r="BF291" s="140"/>
      <c r="BG291" s="140"/>
      <c r="BH291" s="140"/>
      <c r="BI291" s="140"/>
      <c r="BJ291" s="140"/>
      <c r="BK291" s="140"/>
      <c r="BL291" s="140"/>
      <c r="BM291" s="140"/>
      <c r="BN291" s="140"/>
      <c r="BO291" s="140"/>
      <c r="BP291" s="140"/>
      <c r="BQ291" s="140"/>
      <c r="BR291" s="140"/>
      <c r="BS291" s="140"/>
      <c r="BT291" s="140"/>
      <c r="BU291" s="140"/>
      <c r="BV291" s="140"/>
      <c r="BW291" s="140"/>
      <c r="BX291" s="140"/>
      <c r="BY291" s="140"/>
      <c r="BZ291" s="140"/>
      <c r="CA291" s="140"/>
      <c r="CB291" s="140"/>
      <c r="CC291" s="140"/>
      <c r="CD291" s="140"/>
      <c r="CE291" s="140"/>
      <c r="CF291" s="140"/>
      <c r="CG291" s="140"/>
      <c r="CH291" s="140"/>
      <c r="CI291" s="140"/>
      <c r="CJ291" s="140"/>
      <c r="CK291" s="140"/>
      <c r="CL291" s="140"/>
      <c r="CM291" s="140"/>
      <c r="CN291" s="140"/>
      <c r="CO291" s="140"/>
      <c r="CP291" s="140"/>
      <c r="CQ291" s="140"/>
      <c r="CR291" s="140"/>
      <c r="CS291" s="140"/>
      <c r="CT291" s="140"/>
      <c r="CU291" s="140"/>
      <c r="CV291" s="140"/>
      <c r="CW291" s="140"/>
    </row>
    <row r="292" spans="1:101" x14ac:dyDescent="0.2">
      <c r="A292" s="29" t="str">
        <f t="shared" ca="1" si="4"/>
        <v>2026-01-10</v>
      </c>
      <c r="B292" s="140">
        <f ca="1">IF(ISNUMBER(MATCH(DATEVALUE($A292),'changes1_based on steps'!B$1:B$400,0)),B$2,)</f>
        <v>0</v>
      </c>
      <c r="C292" s="140">
        <f ca="1">IF(ISNUMBER(MATCH(DATEVALUE($A292),'changes1_based on steps'!C$1:C$400,0)),C$2,)</f>
        <v>0</v>
      </c>
      <c r="D292" s="140">
        <f ca="1">IF(ISNUMBER(MATCH(DATEVALUE($A292),'changes1_based on steps'!D$1:D$400,0)),D$2,)</f>
        <v>0</v>
      </c>
      <c r="E292" s="140">
        <f ca="1">IF(ISNUMBER(MATCH(DATEVALUE($A292),'changes1_based on steps'!E$1:E$400,0)),E$2,)</f>
        <v>0</v>
      </c>
      <c r="F292" s="140">
        <f ca="1">IF(ISNUMBER(MATCH(DATEVALUE($A292),'changes1_based on steps'!F$1:F$400,0)),F$2,)</f>
        <v>0</v>
      </c>
      <c r="G292" s="140">
        <f ca="1">IF(ISNUMBER(MATCH(DATEVALUE($A292),'changes1_based on steps'!G$1:G$400,0)),G$2,)</f>
        <v>0</v>
      </c>
      <c r="H292" s="140">
        <f ca="1">IF(ISNUMBER(MATCH(DATEVALUE($A292),'changes1_based on steps'!H$1:H$400,0)),H$2,)</f>
        <v>0</v>
      </c>
      <c r="I292" s="140">
        <f ca="1">IF(ISNUMBER(MATCH(DATEVALUE($A292),'changes1_based on steps'!I$1:I$400,0)),I$2,)</f>
        <v>0</v>
      </c>
      <c r="J292" s="140">
        <f ca="1">IF(ISNUMBER(MATCH(DATEVALUE($A292),'changes1_based on steps'!J$1:J$400,0)),J$2,)</f>
        <v>0</v>
      </c>
      <c r="K292" s="140">
        <f ca="1">IF(ISNUMBER(MATCH(DATEVALUE($A292),'changes1_based on steps'!K$1:K$400,0)),K$2,)</f>
        <v>0</v>
      </c>
      <c r="L292" s="140">
        <f ca="1">IF(ISNUMBER(MATCH(DATEVALUE($A292),'changes1_based on steps'!L$1:L$400,0)),L$2,)</f>
        <v>0</v>
      </c>
      <c r="M292" s="140">
        <f ca="1">IF(ISNUMBER(MATCH(DATEVALUE($A292),'changes1_based on steps'!M$1:M$400,0)),M$2,)</f>
        <v>0</v>
      </c>
      <c r="N292" s="140">
        <f ca="1">IF(ISNUMBER(MATCH(DATEVALUE($A292),'changes1_based on steps'!N$1:N$400,0)),N$2,)</f>
        <v>0</v>
      </c>
      <c r="O292" s="140">
        <f ca="1">IF(ISNUMBER(MATCH(DATEVALUE($A292),'changes1_based on steps'!O$1:O$400,0)),O$2,)</f>
        <v>0</v>
      </c>
      <c r="P292" s="140">
        <f ca="1">IF(ISNUMBER(MATCH(DATEVALUE($A292),'changes1_based on steps'!P$1:P$400,0)),P$2,)</f>
        <v>0</v>
      </c>
      <c r="Q292" s="140">
        <f ca="1">IF(ISNUMBER(MATCH(DATEVALUE($A292),'changes1_based on steps'!Q$1:Q$400,0)),Q$2,)</f>
        <v>0</v>
      </c>
      <c r="R292" s="140">
        <f ca="1">IF(ISNUMBER(MATCH(DATEVALUE($A292),'changes1_based on steps'!R$1:R$400,0)),R$2,)</f>
        <v>0</v>
      </c>
      <c r="S292" s="140">
        <f ca="1">IF(ISNUMBER(MATCH(DATEVALUE($A292),'changes1_based on steps'!S$1:S$400,0)),S$2,)</f>
        <v>0</v>
      </c>
      <c r="T292" s="140">
        <f ca="1">IF(ISNUMBER(MATCH(DATEVALUE($A292),'changes1_based on steps'!T$1:T$400,0)),T$2,)</f>
        <v>0</v>
      </c>
      <c r="U292" s="140">
        <f ca="1">IF(ISNUMBER(MATCH(DATEVALUE($A292),'changes1_based on steps'!U$1:U$400,0)),U$2,)</f>
        <v>0</v>
      </c>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c r="AR292" s="140"/>
      <c r="AS292" s="140"/>
      <c r="AT292" s="140"/>
      <c r="AU292" s="140"/>
      <c r="AV292" s="140"/>
      <c r="AW292" s="140"/>
      <c r="AX292" s="140"/>
      <c r="AY292" s="140"/>
      <c r="AZ292" s="140"/>
      <c r="BA292" s="140"/>
      <c r="BB292" s="140"/>
      <c r="BC292" s="140"/>
      <c r="BD292" s="140"/>
      <c r="BE292" s="140"/>
      <c r="BF292" s="140"/>
      <c r="BG292" s="140"/>
      <c r="BH292" s="140"/>
      <c r="BI292" s="140"/>
      <c r="BJ292" s="140"/>
      <c r="BK292" s="140"/>
      <c r="BL292" s="140"/>
      <c r="BM292" s="140"/>
      <c r="BN292" s="140"/>
      <c r="BO292" s="140"/>
      <c r="BP292" s="140"/>
      <c r="BQ292" s="140"/>
      <c r="BR292" s="140"/>
      <c r="BS292" s="140"/>
      <c r="BT292" s="140"/>
      <c r="BU292" s="140"/>
      <c r="BV292" s="140"/>
      <c r="BW292" s="140"/>
      <c r="BX292" s="140"/>
      <c r="BY292" s="140"/>
      <c r="BZ292" s="140"/>
      <c r="CA292" s="140"/>
      <c r="CB292" s="140"/>
      <c r="CC292" s="140"/>
      <c r="CD292" s="140"/>
      <c r="CE292" s="140"/>
      <c r="CF292" s="140"/>
      <c r="CG292" s="140"/>
      <c r="CH292" s="140"/>
      <c r="CI292" s="140"/>
      <c r="CJ292" s="140"/>
      <c r="CK292" s="140"/>
      <c r="CL292" s="140"/>
      <c r="CM292" s="140"/>
      <c r="CN292" s="140"/>
      <c r="CO292" s="140"/>
      <c r="CP292" s="140"/>
      <c r="CQ292" s="140"/>
      <c r="CR292" s="140"/>
      <c r="CS292" s="140"/>
      <c r="CT292" s="140"/>
      <c r="CU292" s="140"/>
      <c r="CV292" s="140"/>
      <c r="CW292" s="140"/>
    </row>
    <row r="293" spans="1:101" x14ac:dyDescent="0.2">
      <c r="A293" s="29" t="str">
        <f t="shared" ca="1" si="4"/>
        <v>2026-01-11</v>
      </c>
      <c r="B293" s="140">
        <f ca="1">IF(ISNUMBER(MATCH(DATEVALUE($A293),'changes1_based on steps'!B$1:B$400,0)),B$2,)</f>
        <v>0</v>
      </c>
      <c r="C293" s="140">
        <f ca="1">IF(ISNUMBER(MATCH(DATEVALUE($A293),'changes1_based on steps'!C$1:C$400,0)),C$2,)</f>
        <v>0</v>
      </c>
      <c r="D293" s="140">
        <f ca="1">IF(ISNUMBER(MATCH(DATEVALUE($A293),'changes1_based on steps'!D$1:D$400,0)),D$2,)</f>
        <v>0</v>
      </c>
      <c r="E293" s="140">
        <f ca="1">IF(ISNUMBER(MATCH(DATEVALUE($A293),'changes1_based on steps'!E$1:E$400,0)),E$2,)</f>
        <v>0</v>
      </c>
      <c r="F293" s="140">
        <f ca="1">IF(ISNUMBER(MATCH(DATEVALUE($A293),'changes1_based on steps'!F$1:F$400,0)),F$2,)</f>
        <v>0</v>
      </c>
      <c r="G293" s="140">
        <f ca="1">IF(ISNUMBER(MATCH(DATEVALUE($A293),'changes1_based on steps'!G$1:G$400,0)),G$2,)</f>
        <v>0</v>
      </c>
      <c r="H293" s="140">
        <f ca="1">IF(ISNUMBER(MATCH(DATEVALUE($A293),'changes1_based on steps'!H$1:H$400,0)),H$2,)</f>
        <v>0</v>
      </c>
      <c r="I293" s="140">
        <f ca="1">IF(ISNUMBER(MATCH(DATEVALUE($A293),'changes1_based on steps'!I$1:I$400,0)),I$2,)</f>
        <v>0</v>
      </c>
      <c r="J293" s="140">
        <f ca="1">IF(ISNUMBER(MATCH(DATEVALUE($A293),'changes1_based on steps'!J$1:J$400,0)),J$2,)</f>
        <v>0</v>
      </c>
      <c r="K293" s="140">
        <f ca="1">IF(ISNUMBER(MATCH(DATEVALUE($A293),'changes1_based on steps'!K$1:K$400,0)),K$2,)</f>
        <v>0</v>
      </c>
      <c r="L293" s="140">
        <f ca="1">IF(ISNUMBER(MATCH(DATEVALUE($A293),'changes1_based on steps'!L$1:L$400,0)),L$2,)</f>
        <v>0</v>
      </c>
      <c r="M293" s="140">
        <f ca="1">IF(ISNUMBER(MATCH(DATEVALUE($A293),'changes1_based on steps'!M$1:M$400,0)),M$2,)</f>
        <v>0</v>
      </c>
      <c r="N293" s="140">
        <f ca="1">IF(ISNUMBER(MATCH(DATEVALUE($A293),'changes1_based on steps'!N$1:N$400,0)),N$2,)</f>
        <v>0</v>
      </c>
      <c r="O293" s="140">
        <f ca="1">IF(ISNUMBER(MATCH(DATEVALUE($A293),'changes1_based on steps'!O$1:O$400,0)),O$2,)</f>
        <v>0</v>
      </c>
      <c r="P293" s="140">
        <f ca="1">IF(ISNUMBER(MATCH(DATEVALUE($A293),'changes1_based on steps'!P$1:P$400,0)),P$2,)</f>
        <v>0</v>
      </c>
      <c r="Q293" s="140">
        <f ca="1">IF(ISNUMBER(MATCH(DATEVALUE($A293),'changes1_based on steps'!Q$1:Q$400,0)),Q$2,)</f>
        <v>0</v>
      </c>
      <c r="R293" s="140">
        <f ca="1">IF(ISNUMBER(MATCH(DATEVALUE($A293),'changes1_based on steps'!R$1:R$400,0)),R$2,)</f>
        <v>0</v>
      </c>
      <c r="S293" s="140">
        <f ca="1">IF(ISNUMBER(MATCH(DATEVALUE($A293),'changes1_based on steps'!S$1:S$400,0)),S$2,)</f>
        <v>0</v>
      </c>
      <c r="T293" s="140">
        <f ca="1">IF(ISNUMBER(MATCH(DATEVALUE($A293),'changes1_based on steps'!T$1:T$400,0)),T$2,)</f>
        <v>0</v>
      </c>
      <c r="U293" s="140">
        <f ca="1">IF(ISNUMBER(MATCH(DATEVALUE($A293),'changes1_based on steps'!U$1:U$400,0)),U$2,)</f>
        <v>0</v>
      </c>
      <c r="V293" s="140"/>
      <c r="W293" s="140"/>
      <c r="X293" s="140"/>
      <c r="Y293" s="140"/>
      <c r="Z293" s="140"/>
      <c r="AA293" s="140"/>
      <c r="AB293" s="140"/>
      <c r="AC293" s="140"/>
      <c r="AD293" s="140"/>
      <c r="AE293" s="140"/>
      <c r="AF293" s="140"/>
      <c r="AG293" s="140"/>
      <c r="AH293" s="140"/>
      <c r="AI293" s="140"/>
      <c r="AJ293" s="140"/>
      <c r="AK293" s="140"/>
      <c r="AL293" s="140"/>
      <c r="AM293" s="140"/>
      <c r="AN293" s="140"/>
      <c r="AO293" s="140"/>
      <c r="AP293" s="140"/>
      <c r="AQ293" s="140"/>
      <c r="AR293" s="140"/>
      <c r="AS293" s="140"/>
      <c r="AT293" s="140"/>
      <c r="AU293" s="140"/>
      <c r="AV293" s="140"/>
      <c r="AW293" s="140"/>
      <c r="AX293" s="140"/>
      <c r="AY293" s="140"/>
      <c r="AZ293" s="140"/>
      <c r="BA293" s="140"/>
      <c r="BB293" s="140"/>
      <c r="BC293" s="140"/>
      <c r="BD293" s="140"/>
      <c r="BE293" s="140"/>
      <c r="BF293" s="140"/>
      <c r="BG293" s="140"/>
      <c r="BH293" s="140"/>
      <c r="BI293" s="140"/>
      <c r="BJ293" s="140"/>
      <c r="BK293" s="140"/>
      <c r="BL293" s="140"/>
      <c r="BM293" s="140"/>
      <c r="BN293" s="140"/>
      <c r="BO293" s="140"/>
      <c r="BP293" s="140"/>
      <c r="BQ293" s="140"/>
      <c r="BR293" s="140"/>
      <c r="BS293" s="140"/>
      <c r="BT293" s="140"/>
      <c r="BU293" s="140"/>
      <c r="BV293" s="140"/>
      <c r="BW293" s="140"/>
      <c r="BX293" s="140"/>
      <c r="BY293" s="140"/>
      <c r="BZ293" s="140"/>
      <c r="CA293" s="140"/>
      <c r="CB293" s="140"/>
      <c r="CC293" s="140"/>
      <c r="CD293" s="140"/>
      <c r="CE293" s="140"/>
      <c r="CF293" s="140"/>
      <c r="CG293" s="140"/>
      <c r="CH293" s="140"/>
      <c r="CI293" s="140"/>
      <c r="CJ293" s="140"/>
      <c r="CK293" s="140"/>
      <c r="CL293" s="140"/>
      <c r="CM293" s="140"/>
      <c r="CN293" s="140"/>
      <c r="CO293" s="140"/>
      <c r="CP293" s="140"/>
      <c r="CQ293" s="140"/>
      <c r="CR293" s="140"/>
      <c r="CS293" s="140"/>
      <c r="CT293" s="140"/>
      <c r="CU293" s="140"/>
      <c r="CV293" s="140"/>
      <c r="CW293" s="140"/>
    </row>
    <row r="294" spans="1:101" x14ac:dyDescent="0.2">
      <c r="A294" s="29" t="str">
        <f t="shared" ca="1" si="4"/>
        <v>2026-01-12</v>
      </c>
      <c r="B294" s="140">
        <f ca="1">IF(ISNUMBER(MATCH(DATEVALUE($A294),'changes1_based on steps'!B$1:B$400,0)),B$2,)</f>
        <v>0</v>
      </c>
      <c r="C294" s="140">
        <f ca="1">IF(ISNUMBER(MATCH(DATEVALUE($A294),'changes1_based on steps'!C$1:C$400,0)),C$2,)</f>
        <v>0</v>
      </c>
      <c r="D294" s="140">
        <f ca="1">IF(ISNUMBER(MATCH(DATEVALUE($A294),'changes1_based on steps'!D$1:D$400,0)),D$2,)</f>
        <v>0</v>
      </c>
      <c r="E294" s="140">
        <f ca="1">IF(ISNUMBER(MATCH(DATEVALUE($A294),'changes1_based on steps'!E$1:E$400,0)),E$2,)</f>
        <v>0</v>
      </c>
      <c r="F294" s="140">
        <f ca="1">IF(ISNUMBER(MATCH(DATEVALUE($A294),'changes1_based on steps'!F$1:F$400,0)),F$2,)</f>
        <v>0</v>
      </c>
      <c r="G294" s="140">
        <f ca="1">IF(ISNUMBER(MATCH(DATEVALUE($A294),'changes1_based on steps'!G$1:G$400,0)),G$2,)</f>
        <v>0</v>
      </c>
      <c r="H294" s="140">
        <f ca="1">IF(ISNUMBER(MATCH(DATEVALUE($A294),'changes1_based on steps'!H$1:H$400,0)),H$2,)</f>
        <v>0</v>
      </c>
      <c r="I294" s="140">
        <f ca="1">IF(ISNUMBER(MATCH(DATEVALUE($A294),'changes1_based on steps'!I$1:I$400,0)),I$2,)</f>
        <v>0</v>
      </c>
      <c r="J294" s="140">
        <f ca="1">IF(ISNUMBER(MATCH(DATEVALUE($A294),'changes1_based on steps'!J$1:J$400,0)),J$2,)</f>
        <v>0</v>
      </c>
      <c r="K294" s="140">
        <f ca="1">IF(ISNUMBER(MATCH(DATEVALUE($A294),'changes1_based on steps'!K$1:K$400,0)),K$2,)</f>
        <v>0</v>
      </c>
      <c r="L294" s="140">
        <f ca="1">IF(ISNUMBER(MATCH(DATEVALUE($A294),'changes1_based on steps'!L$1:L$400,0)),L$2,)</f>
        <v>0</v>
      </c>
      <c r="M294" s="140">
        <f ca="1">IF(ISNUMBER(MATCH(DATEVALUE($A294),'changes1_based on steps'!M$1:M$400,0)),M$2,)</f>
        <v>0</v>
      </c>
      <c r="N294" s="140">
        <f ca="1">IF(ISNUMBER(MATCH(DATEVALUE($A294),'changes1_based on steps'!N$1:N$400,0)),N$2,)</f>
        <v>0</v>
      </c>
      <c r="O294" s="140">
        <f ca="1">IF(ISNUMBER(MATCH(DATEVALUE($A294),'changes1_based on steps'!O$1:O$400,0)),O$2,)</f>
        <v>0</v>
      </c>
      <c r="P294" s="140">
        <f ca="1">IF(ISNUMBER(MATCH(DATEVALUE($A294),'changes1_based on steps'!P$1:P$400,0)),P$2,)</f>
        <v>0</v>
      </c>
      <c r="Q294" s="140">
        <f ca="1">IF(ISNUMBER(MATCH(DATEVALUE($A294),'changes1_based on steps'!Q$1:Q$400,0)),Q$2,)</f>
        <v>0</v>
      </c>
      <c r="R294" s="140">
        <f ca="1">IF(ISNUMBER(MATCH(DATEVALUE($A294),'changes1_based on steps'!R$1:R$400,0)),R$2,)</f>
        <v>0</v>
      </c>
      <c r="S294" s="140">
        <f ca="1">IF(ISNUMBER(MATCH(DATEVALUE($A294),'changes1_based on steps'!S$1:S$400,0)),S$2,)</f>
        <v>0</v>
      </c>
      <c r="T294" s="140">
        <f ca="1">IF(ISNUMBER(MATCH(DATEVALUE($A294),'changes1_based on steps'!T$1:T$400,0)),T$2,)</f>
        <v>0</v>
      </c>
      <c r="U294" s="140">
        <f ca="1">IF(ISNUMBER(MATCH(DATEVALUE($A294),'changes1_based on steps'!U$1:U$400,0)),U$2,)</f>
        <v>0</v>
      </c>
      <c r="V294" s="140"/>
      <c r="W294" s="140"/>
      <c r="X294" s="140"/>
      <c r="Y294" s="140"/>
      <c r="Z294" s="140"/>
      <c r="AA294" s="140"/>
      <c r="AB294" s="140"/>
      <c r="AC294" s="140"/>
      <c r="AD294" s="140"/>
      <c r="AE294" s="140"/>
      <c r="AF294" s="140"/>
      <c r="AG294" s="140"/>
      <c r="AH294" s="140"/>
      <c r="AI294" s="140"/>
      <c r="AJ294" s="140"/>
      <c r="AK294" s="140"/>
      <c r="AL294" s="140"/>
      <c r="AM294" s="140"/>
      <c r="AN294" s="140"/>
      <c r="AO294" s="140"/>
      <c r="AP294" s="140"/>
      <c r="AQ294" s="140"/>
      <c r="AR294" s="140"/>
      <c r="AS294" s="140"/>
      <c r="AT294" s="140"/>
      <c r="AU294" s="140"/>
      <c r="AV294" s="140"/>
      <c r="AW294" s="140"/>
      <c r="AX294" s="140"/>
      <c r="AY294" s="140"/>
      <c r="AZ294" s="140"/>
      <c r="BA294" s="140"/>
      <c r="BB294" s="140"/>
      <c r="BC294" s="140"/>
      <c r="BD294" s="140"/>
      <c r="BE294" s="140"/>
      <c r="BF294" s="140"/>
      <c r="BG294" s="140"/>
      <c r="BH294" s="140"/>
      <c r="BI294" s="140"/>
      <c r="BJ294" s="140"/>
      <c r="BK294" s="140"/>
      <c r="BL294" s="140"/>
      <c r="BM294" s="140"/>
      <c r="BN294" s="140"/>
      <c r="BO294" s="140"/>
      <c r="BP294" s="140"/>
      <c r="BQ294" s="140"/>
      <c r="BR294" s="140"/>
      <c r="BS294" s="140"/>
      <c r="BT294" s="140"/>
      <c r="BU294" s="140"/>
      <c r="BV294" s="140"/>
      <c r="BW294" s="140"/>
      <c r="BX294" s="140"/>
      <c r="BY294" s="140"/>
      <c r="BZ294" s="140"/>
      <c r="CA294" s="140"/>
      <c r="CB294" s="140"/>
      <c r="CC294" s="140"/>
      <c r="CD294" s="140"/>
      <c r="CE294" s="140"/>
      <c r="CF294" s="140"/>
      <c r="CG294" s="140"/>
      <c r="CH294" s="140"/>
      <c r="CI294" s="140"/>
      <c r="CJ294" s="140"/>
      <c r="CK294" s="140"/>
      <c r="CL294" s="140"/>
      <c r="CM294" s="140"/>
      <c r="CN294" s="140"/>
      <c r="CO294" s="140"/>
      <c r="CP294" s="140"/>
      <c r="CQ294" s="140"/>
      <c r="CR294" s="140"/>
      <c r="CS294" s="140"/>
      <c r="CT294" s="140"/>
      <c r="CU294" s="140"/>
      <c r="CV294" s="140"/>
      <c r="CW294" s="140"/>
    </row>
    <row r="295" spans="1:101" x14ac:dyDescent="0.2">
      <c r="A295" s="29" t="str">
        <f t="shared" ca="1" si="4"/>
        <v>2026-01-13</v>
      </c>
      <c r="B295" s="140">
        <f ca="1">IF(ISNUMBER(MATCH(DATEVALUE($A295),'changes1_based on steps'!B$1:B$400,0)),B$2,)</f>
        <v>0</v>
      </c>
      <c r="C295" s="140">
        <f ca="1">IF(ISNUMBER(MATCH(DATEVALUE($A295),'changes1_based on steps'!C$1:C$400,0)),C$2,)</f>
        <v>0</v>
      </c>
      <c r="D295" s="140">
        <f ca="1">IF(ISNUMBER(MATCH(DATEVALUE($A295),'changes1_based on steps'!D$1:D$400,0)),D$2,)</f>
        <v>0</v>
      </c>
      <c r="E295" s="140">
        <f ca="1">IF(ISNUMBER(MATCH(DATEVALUE($A295),'changes1_based on steps'!E$1:E$400,0)),E$2,)</f>
        <v>0</v>
      </c>
      <c r="F295" s="140">
        <f ca="1">IF(ISNUMBER(MATCH(DATEVALUE($A295),'changes1_based on steps'!F$1:F$400,0)),F$2,)</f>
        <v>0</v>
      </c>
      <c r="G295" s="140">
        <f ca="1">IF(ISNUMBER(MATCH(DATEVALUE($A295),'changes1_based on steps'!G$1:G$400,0)),G$2,)</f>
        <v>0</v>
      </c>
      <c r="H295" s="140">
        <f ca="1">IF(ISNUMBER(MATCH(DATEVALUE($A295),'changes1_based on steps'!H$1:H$400,0)),H$2,)</f>
        <v>0</v>
      </c>
      <c r="I295" s="140">
        <f ca="1">IF(ISNUMBER(MATCH(DATEVALUE($A295),'changes1_based on steps'!I$1:I$400,0)),I$2,)</f>
        <v>0</v>
      </c>
      <c r="J295" s="140">
        <f ca="1">IF(ISNUMBER(MATCH(DATEVALUE($A295),'changes1_based on steps'!J$1:J$400,0)),J$2,)</f>
        <v>0</v>
      </c>
      <c r="K295" s="140">
        <f ca="1">IF(ISNUMBER(MATCH(DATEVALUE($A295),'changes1_based on steps'!K$1:K$400,0)),K$2,)</f>
        <v>0</v>
      </c>
      <c r="L295" s="140">
        <f ca="1">IF(ISNUMBER(MATCH(DATEVALUE($A295),'changes1_based on steps'!L$1:L$400,0)),L$2,)</f>
        <v>0</v>
      </c>
      <c r="M295" s="140">
        <f ca="1">IF(ISNUMBER(MATCH(DATEVALUE($A295),'changes1_based on steps'!M$1:M$400,0)),M$2,)</f>
        <v>0</v>
      </c>
      <c r="N295" s="140">
        <f ca="1">IF(ISNUMBER(MATCH(DATEVALUE($A295),'changes1_based on steps'!N$1:N$400,0)),N$2,)</f>
        <v>0</v>
      </c>
      <c r="O295" s="140">
        <f ca="1">IF(ISNUMBER(MATCH(DATEVALUE($A295),'changes1_based on steps'!O$1:O$400,0)),O$2,)</f>
        <v>0</v>
      </c>
      <c r="P295" s="140">
        <f ca="1">IF(ISNUMBER(MATCH(DATEVALUE($A295),'changes1_based on steps'!P$1:P$400,0)),P$2,)</f>
        <v>0</v>
      </c>
      <c r="Q295" s="140">
        <f ca="1">IF(ISNUMBER(MATCH(DATEVALUE($A295),'changes1_based on steps'!Q$1:Q$400,0)),Q$2,)</f>
        <v>0</v>
      </c>
      <c r="R295" s="140">
        <f ca="1">IF(ISNUMBER(MATCH(DATEVALUE($A295),'changes1_based on steps'!R$1:R$400,0)),R$2,)</f>
        <v>0</v>
      </c>
      <c r="S295" s="140">
        <f ca="1">IF(ISNUMBER(MATCH(DATEVALUE($A295),'changes1_based on steps'!S$1:S$400,0)),S$2,)</f>
        <v>0</v>
      </c>
      <c r="T295" s="140">
        <f ca="1">IF(ISNUMBER(MATCH(DATEVALUE($A295),'changes1_based on steps'!T$1:T$400,0)),T$2,)</f>
        <v>0</v>
      </c>
      <c r="U295" s="140">
        <f ca="1">IF(ISNUMBER(MATCH(DATEVALUE($A295),'changes1_based on steps'!U$1:U$400,0)),U$2,)</f>
        <v>0</v>
      </c>
      <c r="V295" s="140"/>
      <c r="W295" s="140"/>
      <c r="X295" s="140"/>
      <c r="Y295" s="140"/>
      <c r="Z295" s="140"/>
      <c r="AA295" s="140"/>
      <c r="AB295" s="140"/>
      <c r="AC295" s="140"/>
      <c r="AD295" s="140"/>
      <c r="AE295" s="140"/>
      <c r="AF295" s="140"/>
      <c r="AG295" s="140"/>
      <c r="AH295" s="140"/>
      <c r="AI295" s="140"/>
      <c r="AJ295" s="140"/>
      <c r="AK295" s="140"/>
      <c r="AL295" s="140"/>
      <c r="AM295" s="140"/>
      <c r="AN295" s="140"/>
      <c r="AO295" s="140"/>
      <c r="AP295" s="140"/>
      <c r="AQ295" s="140"/>
      <c r="AR295" s="140"/>
      <c r="AS295" s="140"/>
      <c r="AT295" s="140"/>
      <c r="AU295" s="140"/>
      <c r="AV295" s="140"/>
      <c r="AW295" s="140"/>
      <c r="AX295" s="140"/>
      <c r="AY295" s="140"/>
      <c r="AZ295" s="140"/>
      <c r="BA295" s="140"/>
      <c r="BB295" s="140"/>
      <c r="BC295" s="140"/>
      <c r="BD295" s="140"/>
      <c r="BE295" s="140"/>
      <c r="BF295" s="140"/>
      <c r="BG295" s="140"/>
      <c r="BH295" s="140"/>
      <c r="BI295" s="140"/>
      <c r="BJ295" s="140"/>
      <c r="BK295" s="140"/>
      <c r="BL295" s="140"/>
      <c r="BM295" s="140"/>
      <c r="BN295" s="140"/>
      <c r="BO295" s="140"/>
      <c r="BP295" s="140"/>
      <c r="BQ295" s="140"/>
      <c r="BR295" s="140"/>
      <c r="BS295" s="140"/>
      <c r="BT295" s="140"/>
      <c r="BU295" s="140"/>
      <c r="BV295" s="140"/>
      <c r="BW295" s="140"/>
      <c r="BX295" s="140"/>
      <c r="BY295" s="140"/>
      <c r="BZ295" s="140"/>
      <c r="CA295" s="140"/>
      <c r="CB295" s="140"/>
      <c r="CC295" s="140"/>
      <c r="CD295" s="140"/>
      <c r="CE295" s="140"/>
      <c r="CF295" s="140"/>
      <c r="CG295" s="140"/>
      <c r="CH295" s="140"/>
      <c r="CI295" s="140"/>
      <c r="CJ295" s="140"/>
      <c r="CK295" s="140"/>
      <c r="CL295" s="140"/>
      <c r="CM295" s="140"/>
      <c r="CN295" s="140"/>
      <c r="CO295" s="140"/>
      <c r="CP295" s="140"/>
      <c r="CQ295" s="140"/>
      <c r="CR295" s="140"/>
      <c r="CS295" s="140"/>
      <c r="CT295" s="140"/>
      <c r="CU295" s="140"/>
      <c r="CV295" s="140"/>
      <c r="CW295" s="140"/>
    </row>
    <row r="296" spans="1:101" x14ac:dyDescent="0.2">
      <c r="A296" s="29" t="str">
        <f t="shared" ca="1" si="4"/>
        <v>2026-01-14</v>
      </c>
      <c r="B296" s="140">
        <f ca="1">IF(ISNUMBER(MATCH(DATEVALUE($A296),'changes1_based on steps'!B$1:B$400,0)),B$2,)</f>
        <v>0</v>
      </c>
      <c r="C296" s="140">
        <f ca="1">IF(ISNUMBER(MATCH(DATEVALUE($A296),'changes1_based on steps'!C$1:C$400,0)),C$2,)</f>
        <v>0</v>
      </c>
      <c r="D296" s="140">
        <f ca="1">IF(ISNUMBER(MATCH(DATEVALUE($A296),'changes1_based on steps'!D$1:D$400,0)),D$2,)</f>
        <v>0</v>
      </c>
      <c r="E296" s="140">
        <f ca="1">IF(ISNUMBER(MATCH(DATEVALUE($A296),'changes1_based on steps'!E$1:E$400,0)),E$2,)</f>
        <v>0</v>
      </c>
      <c r="F296" s="140">
        <f ca="1">IF(ISNUMBER(MATCH(DATEVALUE($A296),'changes1_based on steps'!F$1:F$400,0)),F$2,)</f>
        <v>0</v>
      </c>
      <c r="G296" s="140">
        <f ca="1">IF(ISNUMBER(MATCH(DATEVALUE($A296),'changes1_based on steps'!G$1:G$400,0)),G$2,)</f>
        <v>0</v>
      </c>
      <c r="H296" s="140">
        <f ca="1">IF(ISNUMBER(MATCH(DATEVALUE($A296),'changes1_based on steps'!H$1:H$400,0)),H$2,)</f>
        <v>0</v>
      </c>
      <c r="I296" s="140">
        <f ca="1">IF(ISNUMBER(MATCH(DATEVALUE($A296),'changes1_based on steps'!I$1:I$400,0)),I$2,)</f>
        <v>0</v>
      </c>
      <c r="J296" s="140">
        <f ca="1">IF(ISNUMBER(MATCH(DATEVALUE($A296),'changes1_based on steps'!J$1:J$400,0)),J$2,)</f>
        <v>0</v>
      </c>
      <c r="K296" s="140">
        <f ca="1">IF(ISNUMBER(MATCH(DATEVALUE($A296),'changes1_based on steps'!K$1:K$400,0)),K$2,)</f>
        <v>0</v>
      </c>
      <c r="L296" s="140">
        <f ca="1">IF(ISNUMBER(MATCH(DATEVALUE($A296),'changes1_based on steps'!L$1:L$400,0)),L$2,)</f>
        <v>0</v>
      </c>
      <c r="M296" s="140">
        <f ca="1">IF(ISNUMBER(MATCH(DATEVALUE($A296),'changes1_based on steps'!M$1:M$400,0)),M$2,)</f>
        <v>0</v>
      </c>
      <c r="N296" s="140">
        <f ca="1">IF(ISNUMBER(MATCH(DATEVALUE($A296),'changes1_based on steps'!N$1:N$400,0)),N$2,)</f>
        <v>0</v>
      </c>
      <c r="O296" s="140">
        <f ca="1">IF(ISNUMBER(MATCH(DATEVALUE($A296),'changes1_based on steps'!O$1:O$400,0)),O$2,)</f>
        <v>0</v>
      </c>
      <c r="P296" s="140">
        <f ca="1">IF(ISNUMBER(MATCH(DATEVALUE($A296),'changes1_based on steps'!P$1:P$400,0)),P$2,)</f>
        <v>0</v>
      </c>
      <c r="Q296" s="140">
        <f ca="1">IF(ISNUMBER(MATCH(DATEVALUE($A296),'changes1_based on steps'!Q$1:Q$400,0)),Q$2,)</f>
        <v>0</v>
      </c>
      <c r="R296" s="140">
        <f ca="1">IF(ISNUMBER(MATCH(DATEVALUE($A296),'changes1_based on steps'!R$1:R$400,0)),R$2,)</f>
        <v>0</v>
      </c>
      <c r="S296" s="140">
        <f ca="1">IF(ISNUMBER(MATCH(DATEVALUE($A296),'changes1_based on steps'!S$1:S$400,0)),S$2,)</f>
        <v>0</v>
      </c>
      <c r="T296" s="140">
        <f ca="1">IF(ISNUMBER(MATCH(DATEVALUE($A296),'changes1_based on steps'!T$1:T$400,0)),T$2,)</f>
        <v>0</v>
      </c>
      <c r="U296" s="140">
        <f ca="1">IF(ISNUMBER(MATCH(DATEVALUE($A296),'changes1_based on steps'!U$1:U$400,0)),U$2,)</f>
        <v>0</v>
      </c>
      <c r="V296" s="140"/>
      <c r="W296" s="140"/>
      <c r="X296" s="140"/>
      <c r="Y296" s="140"/>
      <c r="Z296" s="140"/>
      <c r="AA296" s="140"/>
      <c r="AB296" s="140"/>
      <c r="AC296" s="140"/>
      <c r="AD296" s="140"/>
      <c r="AE296" s="140"/>
      <c r="AF296" s="140"/>
      <c r="AG296" s="140"/>
      <c r="AH296" s="140"/>
      <c r="AI296" s="140"/>
      <c r="AJ296" s="140"/>
      <c r="AK296" s="140"/>
      <c r="AL296" s="140"/>
      <c r="AM296" s="140"/>
      <c r="AN296" s="140"/>
      <c r="AO296" s="140"/>
      <c r="AP296" s="140"/>
      <c r="AQ296" s="140"/>
      <c r="AR296" s="140"/>
      <c r="AS296" s="140"/>
      <c r="AT296" s="140"/>
      <c r="AU296" s="140"/>
      <c r="AV296" s="140"/>
      <c r="AW296" s="140"/>
      <c r="AX296" s="140"/>
      <c r="AY296" s="140"/>
      <c r="AZ296" s="140"/>
      <c r="BA296" s="140"/>
      <c r="BB296" s="140"/>
      <c r="BC296" s="140"/>
      <c r="BD296" s="140"/>
      <c r="BE296" s="140"/>
      <c r="BF296" s="140"/>
      <c r="BG296" s="140"/>
      <c r="BH296" s="140"/>
      <c r="BI296" s="140"/>
      <c r="BJ296" s="140"/>
      <c r="BK296" s="140"/>
      <c r="BL296" s="140"/>
      <c r="BM296" s="140"/>
      <c r="BN296" s="140"/>
      <c r="BO296" s="140"/>
      <c r="BP296" s="140"/>
      <c r="BQ296" s="140"/>
      <c r="BR296" s="140"/>
      <c r="BS296" s="140"/>
      <c r="BT296" s="140"/>
      <c r="BU296" s="140"/>
      <c r="BV296" s="140"/>
      <c r="BW296" s="140"/>
      <c r="BX296" s="140"/>
      <c r="BY296" s="140"/>
      <c r="BZ296" s="140"/>
      <c r="CA296" s="140"/>
      <c r="CB296" s="140"/>
      <c r="CC296" s="140"/>
      <c r="CD296" s="140"/>
      <c r="CE296" s="140"/>
      <c r="CF296" s="140"/>
      <c r="CG296" s="140"/>
      <c r="CH296" s="140"/>
      <c r="CI296" s="140"/>
      <c r="CJ296" s="140"/>
      <c r="CK296" s="140"/>
      <c r="CL296" s="140"/>
      <c r="CM296" s="140"/>
      <c r="CN296" s="140"/>
      <c r="CO296" s="140"/>
      <c r="CP296" s="140"/>
      <c r="CQ296" s="140"/>
      <c r="CR296" s="140"/>
      <c r="CS296" s="140"/>
      <c r="CT296" s="140"/>
      <c r="CU296" s="140"/>
      <c r="CV296" s="140"/>
      <c r="CW296" s="140"/>
    </row>
    <row r="297" spans="1:101" x14ac:dyDescent="0.2">
      <c r="A297" s="29" t="str">
        <f t="shared" ca="1" si="4"/>
        <v>2026-01-15</v>
      </c>
      <c r="B297" s="140">
        <f ca="1">IF(ISNUMBER(MATCH(DATEVALUE($A297),'changes1_based on steps'!B$1:B$400,0)),B$2,)</f>
        <v>0</v>
      </c>
      <c r="C297" s="140">
        <f ca="1">IF(ISNUMBER(MATCH(DATEVALUE($A297),'changes1_based on steps'!C$1:C$400,0)),C$2,)</f>
        <v>0</v>
      </c>
      <c r="D297" s="140">
        <f ca="1">IF(ISNUMBER(MATCH(DATEVALUE($A297),'changes1_based on steps'!D$1:D$400,0)),D$2,)</f>
        <v>0</v>
      </c>
      <c r="E297" s="140">
        <f ca="1">IF(ISNUMBER(MATCH(DATEVALUE($A297),'changes1_based on steps'!E$1:E$400,0)),E$2,)</f>
        <v>0</v>
      </c>
      <c r="F297" s="140">
        <f ca="1">IF(ISNUMBER(MATCH(DATEVALUE($A297),'changes1_based on steps'!F$1:F$400,0)),F$2,)</f>
        <v>0</v>
      </c>
      <c r="G297" s="140">
        <f ca="1">IF(ISNUMBER(MATCH(DATEVALUE($A297),'changes1_based on steps'!G$1:G$400,0)),G$2,)</f>
        <v>0</v>
      </c>
      <c r="H297" s="140">
        <f ca="1">IF(ISNUMBER(MATCH(DATEVALUE($A297),'changes1_based on steps'!H$1:H$400,0)),H$2,)</f>
        <v>0</v>
      </c>
      <c r="I297" s="140">
        <f ca="1">IF(ISNUMBER(MATCH(DATEVALUE($A297),'changes1_based on steps'!I$1:I$400,0)),I$2,)</f>
        <v>0</v>
      </c>
      <c r="J297" s="140">
        <f ca="1">IF(ISNUMBER(MATCH(DATEVALUE($A297),'changes1_based on steps'!J$1:J$400,0)),J$2,)</f>
        <v>0</v>
      </c>
      <c r="K297" s="140">
        <f ca="1">IF(ISNUMBER(MATCH(DATEVALUE($A297),'changes1_based on steps'!K$1:K$400,0)),K$2,)</f>
        <v>0</v>
      </c>
      <c r="L297" s="140">
        <f ca="1">IF(ISNUMBER(MATCH(DATEVALUE($A297),'changes1_based on steps'!L$1:L$400,0)),L$2,)</f>
        <v>0</v>
      </c>
      <c r="M297" s="140">
        <f ca="1">IF(ISNUMBER(MATCH(DATEVALUE($A297),'changes1_based on steps'!M$1:M$400,0)),M$2,)</f>
        <v>0</v>
      </c>
      <c r="N297" s="140">
        <f ca="1">IF(ISNUMBER(MATCH(DATEVALUE($A297),'changes1_based on steps'!N$1:N$400,0)),N$2,)</f>
        <v>0</v>
      </c>
      <c r="O297" s="140">
        <f ca="1">IF(ISNUMBER(MATCH(DATEVALUE($A297),'changes1_based on steps'!O$1:O$400,0)),O$2,)</f>
        <v>0</v>
      </c>
      <c r="P297" s="140">
        <f ca="1">IF(ISNUMBER(MATCH(DATEVALUE($A297),'changes1_based on steps'!P$1:P$400,0)),P$2,)</f>
        <v>0</v>
      </c>
      <c r="Q297" s="140">
        <f ca="1">IF(ISNUMBER(MATCH(DATEVALUE($A297),'changes1_based on steps'!Q$1:Q$400,0)),Q$2,)</f>
        <v>0</v>
      </c>
      <c r="R297" s="140">
        <f ca="1">IF(ISNUMBER(MATCH(DATEVALUE($A297),'changes1_based on steps'!R$1:R$400,0)),R$2,)</f>
        <v>0</v>
      </c>
      <c r="S297" s="140">
        <f ca="1">IF(ISNUMBER(MATCH(DATEVALUE($A297),'changes1_based on steps'!S$1:S$400,0)),S$2,)</f>
        <v>0</v>
      </c>
      <c r="T297" s="140">
        <f ca="1">IF(ISNUMBER(MATCH(DATEVALUE($A297),'changes1_based on steps'!T$1:T$400,0)),T$2,)</f>
        <v>0</v>
      </c>
      <c r="U297" s="140">
        <f ca="1">IF(ISNUMBER(MATCH(DATEVALUE($A297),'changes1_based on steps'!U$1:U$400,0)),U$2,)</f>
        <v>0</v>
      </c>
      <c r="V297" s="140"/>
      <c r="W297" s="140"/>
      <c r="X297" s="140"/>
      <c r="Y297" s="140"/>
      <c r="Z297" s="140"/>
      <c r="AA297" s="140"/>
      <c r="AB297" s="140"/>
      <c r="AC297" s="140"/>
      <c r="AD297" s="140"/>
      <c r="AE297" s="140"/>
      <c r="AF297" s="140"/>
      <c r="AG297" s="140"/>
      <c r="AH297" s="140"/>
      <c r="AI297" s="140"/>
      <c r="AJ297" s="140"/>
      <c r="AK297" s="140"/>
      <c r="AL297" s="140"/>
      <c r="AM297" s="140"/>
      <c r="AN297" s="140"/>
      <c r="AO297" s="140"/>
      <c r="AP297" s="140"/>
      <c r="AQ297" s="140"/>
      <c r="AR297" s="140"/>
      <c r="AS297" s="140"/>
      <c r="AT297" s="140"/>
      <c r="AU297" s="140"/>
      <c r="AV297" s="140"/>
      <c r="AW297" s="140"/>
      <c r="AX297" s="140"/>
      <c r="AY297" s="140"/>
      <c r="AZ297" s="140"/>
      <c r="BA297" s="140"/>
      <c r="BB297" s="140"/>
      <c r="BC297" s="140"/>
      <c r="BD297" s="140"/>
      <c r="BE297" s="140"/>
      <c r="BF297" s="140"/>
      <c r="BG297" s="140"/>
      <c r="BH297" s="140"/>
      <c r="BI297" s="140"/>
      <c r="BJ297" s="140"/>
      <c r="BK297" s="140"/>
      <c r="BL297" s="140"/>
      <c r="BM297" s="140"/>
      <c r="BN297" s="140"/>
      <c r="BO297" s="140"/>
      <c r="BP297" s="140"/>
      <c r="BQ297" s="140"/>
      <c r="BR297" s="140"/>
      <c r="BS297" s="140"/>
      <c r="BT297" s="140"/>
      <c r="BU297" s="140"/>
      <c r="BV297" s="140"/>
      <c r="BW297" s="140"/>
      <c r="BX297" s="140"/>
      <c r="BY297" s="140"/>
      <c r="BZ297" s="140"/>
      <c r="CA297" s="140"/>
      <c r="CB297" s="140"/>
      <c r="CC297" s="140"/>
      <c r="CD297" s="140"/>
      <c r="CE297" s="140"/>
      <c r="CF297" s="140"/>
      <c r="CG297" s="140"/>
      <c r="CH297" s="140"/>
      <c r="CI297" s="140"/>
      <c r="CJ297" s="140"/>
      <c r="CK297" s="140"/>
      <c r="CL297" s="140"/>
      <c r="CM297" s="140"/>
      <c r="CN297" s="140"/>
      <c r="CO297" s="140"/>
      <c r="CP297" s="140"/>
      <c r="CQ297" s="140"/>
      <c r="CR297" s="140"/>
      <c r="CS297" s="140"/>
      <c r="CT297" s="140"/>
      <c r="CU297" s="140"/>
      <c r="CV297" s="140"/>
      <c r="CW297" s="140"/>
    </row>
    <row r="298" spans="1:101" x14ac:dyDescent="0.2">
      <c r="A298" s="29" t="str">
        <f t="shared" ca="1" si="4"/>
        <v>2026-01-16</v>
      </c>
      <c r="B298" s="140">
        <f ca="1">IF(ISNUMBER(MATCH(DATEVALUE($A298),'changes1_based on steps'!B$1:B$400,0)),B$2,)</f>
        <v>0</v>
      </c>
      <c r="C298" s="140">
        <f ca="1">IF(ISNUMBER(MATCH(DATEVALUE($A298),'changes1_based on steps'!C$1:C$400,0)),C$2,)</f>
        <v>0</v>
      </c>
      <c r="D298" s="140">
        <f ca="1">IF(ISNUMBER(MATCH(DATEVALUE($A298),'changes1_based on steps'!D$1:D$400,0)),D$2,)</f>
        <v>0</v>
      </c>
      <c r="E298" s="140">
        <f ca="1">IF(ISNUMBER(MATCH(DATEVALUE($A298),'changes1_based on steps'!E$1:E$400,0)),E$2,)</f>
        <v>0</v>
      </c>
      <c r="F298" s="140">
        <f ca="1">IF(ISNUMBER(MATCH(DATEVALUE($A298),'changes1_based on steps'!F$1:F$400,0)),F$2,)</f>
        <v>0</v>
      </c>
      <c r="G298" s="140">
        <f ca="1">IF(ISNUMBER(MATCH(DATEVALUE($A298),'changes1_based on steps'!G$1:G$400,0)),G$2,)</f>
        <v>0</v>
      </c>
      <c r="H298" s="140">
        <f ca="1">IF(ISNUMBER(MATCH(DATEVALUE($A298),'changes1_based on steps'!H$1:H$400,0)),H$2,)</f>
        <v>0</v>
      </c>
      <c r="I298" s="140">
        <f ca="1">IF(ISNUMBER(MATCH(DATEVALUE($A298),'changes1_based on steps'!I$1:I$400,0)),I$2,)</f>
        <v>0</v>
      </c>
      <c r="J298" s="140">
        <f ca="1">IF(ISNUMBER(MATCH(DATEVALUE($A298),'changes1_based on steps'!J$1:J$400,0)),J$2,)</f>
        <v>0</v>
      </c>
      <c r="K298" s="140">
        <f ca="1">IF(ISNUMBER(MATCH(DATEVALUE($A298),'changes1_based on steps'!K$1:K$400,0)),K$2,)</f>
        <v>0</v>
      </c>
      <c r="L298" s="140">
        <f ca="1">IF(ISNUMBER(MATCH(DATEVALUE($A298),'changes1_based on steps'!L$1:L$400,0)),L$2,)</f>
        <v>0</v>
      </c>
      <c r="M298" s="140">
        <f ca="1">IF(ISNUMBER(MATCH(DATEVALUE($A298),'changes1_based on steps'!M$1:M$400,0)),M$2,)</f>
        <v>0</v>
      </c>
      <c r="N298" s="140">
        <f ca="1">IF(ISNUMBER(MATCH(DATEVALUE($A298),'changes1_based on steps'!N$1:N$400,0)),N$2,)</f>
        <v>0</v>
      </c>
      <c r="O298" s="140">
        <f ca="1">IF(ISNUMBER(MATCH(DATEVALUE($A298),'changes1_based on steps'!O$1:O$400,0)),O$2,)</f>
        <v>0</v>
      </c>
      <c r="P298" s="140">
        <f ca="1">IF(ISNUMBER(MATCH(DATEVALUE($A298),'changes1_based on steps'!P$1:P$400,0)),P$2,)</f>
        <v>0</v>
      </c>
      <c r="Q298" s="140">
        <f ca="1">IF(ISNUMBER(MATCH(DATEVALUE($A298),'changes1_based on steps'!Q$1:Q$400,0)),Q$2,)</f>
        <v>0</v>
      </c>
      <c r="R298" s="140">
        <f ca="1">IF(ISNUMBER(MATCH(DATEVALUE($A298),'changes1_based on steps'!R$1:R$400,0)),R$2,)</f>
        <v>0</v>
      </c>
      <c r="S298" s="140">
        <f ca="1">IF(ISNUMBER(MATCH(DATEVALUE($A298),'changes1_based on steps'!S$1:S$400,0)),S$2,)</f>
        <v>0</v>
      </c>
      <c r="T298" s="140">
        <f ca="1">IF(ISNUMBER(MATCH(DATEVALUE($A298),'changes1_based on steps'!T$1:T$400,0)),T$2,)</f>
        <v>0</v>
      </c>
      <c r="U298" s="140">
        <f ca="1">IF(ISNUMBER(MATCH(DATEVALUE($A298),'changes1_based on steps'!U$1:U$400,0)),U$2,)</f>
        <v>0</v>
      </c>
      <c r="V298" s="140"/>
      <c r="W298" s="140"/>
      <c r="X298" s="140"/>
      <c r="Y298" s="140"/>
      <c r="Z298" s="140"/>
      <c r="AA298" s="140"/>
      <c r="AB298" s="140"/>
      <c r="AC298" s="140"/>
      <c r="AD298" s="140"/>
      <c r="AE298" s="140"/>
      <c r="AF298" s="140"/>
      <c r="AG298" s="140"/>
      <c r="AH298" s="140"/>
      <c r="AI298" s="140"/>
      <c r="AJ298" s="140"/>
      <c r="AK298" s="140"/>
      <c r="AL298" s="140"/>
      <c r="AM298" s="140"/>
      <c r="AN298" s="140"/>
      <c r="AO298" s="140"/>
      <c r="AP298" s="140"/>
      <c r="AQ298" s="140"/>
      <c r="AR298" s="140"/>
      <c r="AS298" s="140"/>
      <c r="AT298" s="140"/>
      <c r="AU298" s="140"/>
      <c r="AV298" s="140"/>
      <c r="AW298" s="140"/>
      <c r="AX298" s="140"/>
      <c r="AY298" s="140"/>
      <c r="AZ298" s="140"/>
      <c r="BA298" s="140"/>
      <c r="BB298" s="140"/>
      <c r="BC298" s="140"/>
      <c r="BD298" s="140"/>
      <c r="BE298" s="140"/>
      <c r="BF298" s="140"/>
      <c r="BG298" s="140"/>
      <c r="BH298" s="140"/>
      <c r="BI298" s="140"/>
      <c r="BJ298" s="140"/>
      <c r="BK298" s="140"/>
      <c r="BL298" s="140"/>
      <c r="BM298" s="140"/>
      <c r="BN298" s="140"/>
      <c r="BO298" s="140"/>
      <c r="BP298" s="140"/>
      <c r="BQ298" s="140"/>
      <c r="BR298" s="140"/>
      <c r="BS298" s="140"/>
      <c r="BT298" s="140"/>
      <c r="BU298" s="140"/>
      <c r="BV298" s="140"/>
      <c r="BW298" s="140"/>
      <c r="BX298" s="140"/>
      <c r="BY298" s="140"/>
      <c r="BZ298" s="140"/>
      <c r="CA298" s="140"/>
      <c r="CB298" s="140"/>
      <c r="CC298" s="140"/>
      <c r="CD298" s="140"/>
      <c r="CE298" s="140"/>
      <c r="CF298" s="140"/>
      <c r="CG298" s="140"/>
      <c r="CH298" s="140"/>
      <c r="CI298" s="140"/>
      <c r="CJ298" s="140"/>
      <c r="CK298" s="140"/>
      <c r="CL298" s="140"/>
      <c r="CM298" s="140"/>
      <c r="CN298" s="140"/>
      <c r="CO298" s="140"/>
      <c r="CP298" s="140"/>
      <c r="CQ298" s="140"/>
      <c r="CR298" s="140"/>
      <c r="CS298" s="140"/>
      <c r="CT298" s="140"/>
      <c r="CU298" s="140"/>
      <c r="CV298" s="140"/>
      <c r="CW298" s="140"/>
    </row>
    <row r="299" spans="1:101" x14ac:dyDescent="0.2">
      <c r="A299" s="29" t="str">
        <f t="shared" ca="1" si="4"/>
        <v>2026-01-17</v>
      </c>
      <c r="B299" s="140">
        <f ca="1">IF(ISNUMBER(MATCH(DATEVALUE($A299),'changes1_based on steps'!B$1:B$400,0)),B$2,)</f>
        <v>0</v>
      </c>
      <c r="C299" s="140">
        <f ca="1">IF(ISNUMBER(MATCH(DATEVALUE($A299),'changes1_based on steps'!C$1:C$400,0)),C$2,)</f>
        <v>0</v>
      </c>
      <c r="D299" s="140">
        <f ca="1">IF(ISNUMBER(MATCH(DATEVALUE($A299),'changes1_based on steps'!D$1:D$400,0)),D$2,)</f>
        <v>0</v>
      </c>
      <c r="E299" s="140">
        <f ca="1">IF(ISNUMBER(MATCH(DATEVALUE($A299),'changes1_based on steps'!E$1:E$400,0)),E$2,)</f>
        <v>0</v>
      </c>
      <c r="F299" s="140">
        <f ca="1">IF(ISNUMBER(MATCH(DATEVALUE($A299),'changes1_based on steps'!F$1:F$400,0)),F$2,)</f>
        <v>0</v>
      </c>
      <c r="G299" s="140">
        <f ca="1">IF(ISNUMBER(MATCH(DATEVALUE($A299),'changes1_based on steps'!G$1:G$400,0)),G$2,)</f>
        <v>0</v>
      </c>
      <c r="H299" s="140">
        <f ca="1">IF(ISNUMBER(MATCH(DATEVALUE($A299),'changes1_based on steps'!H$1:H$400,0)),H$2,)</f>
        <v>0</v>
      </c>
      <c r="I299" s="140">
        <f ca="1">IF(ISNUMBER(MATCH(DATEVALUE($A299),'changes1_based on steps'!I$1:I$400,0)),I$2,)</f>
        <v>0</v>
      </c>
      <c r="J299" s="140">
        <f ca="1">IF(ISNUMBER(MATCH(DATEVALUE($A299),'changes1_based on steps'!J$1:J$400,0)),J$2,)</f>
        <v>0</v>
      </c>
      <c r="K299" s="140">
        <f ca="1">IF(ISNUMBER(MATCH(DATEVALUE($A299),'changes1_based on steps'!K$1:K$400,0)),K$2,)</f>
        <v>0</v>
      </c>
      <c r="L299" s="140">
        <f ca="1">IF(ISNUMBER(MATCH(DATEVALUE($A299),'changes1_based on steps'!L$1:L$400,0)),L$2,)</f>
        <v>0</v>
      </c>
      <c r="M299" s="140">
        <f ca="1">IF(ISNUMBER(MATCH(DATEVALUE($A299),'changes1_based on steps'!M$1:M$400,0)),M$2,)</f>
        <v>0</v>
      </c>
      <c r="N299" s="140">
        <f ca="1">IF(ISNUMBER(MATCH(DATEVALUE($A299),'changes1_based on steps'!N$1:N$400,0)),N$2,)</f>
        <v>0</v>
      </c>
      <c r="O299" s="140">
        <f ca="1">IF(ISNUMBER(MATCH(DATEVALUE($A299),'changes1_based on steps'!O$1:O$400,0)),O$2,)</f>
        <v>0</v>
      </c>
      <c r="P299" s="140">
        <f ca="1">IF(ISNUMBER(MATCH(DATEVALUE($A299),'changes1_based on steps'!P$1:P$400,0)),P$2,)</f>
        <v>0</v>
      </c>
      <c r="Q299" s="140">
        <f ca="1">IF(ISNUMBER(MATCH(DATEVALUE($A299),'changes1_based on steps'!Q$1:Q$400,0)),Q$2,)</f>
        <v>0</v>
      </c>
      <c r="R299" s="140">
        <f ca="1">IF(ISNUMBER(MATCH(DATEVALUE($A299),'changes1_based on steps'!R$1:R$400,0)),R$2,)</f>
        <v>0</v>
      </c>
      <c r="S299" s="140">
        <f ca="1">IF(ISNUMBER(MATCH(DATEVALUE($A299),'changes1_based on steps'!S$1:S$400,0)),S$2,)</f>
        <v>0</v>
      </c>
      <c r="T299" s="140">
        <f ca="1">IF(ISNUMBER(MATCH(DATEVALUE($A299),'changes1_based on steps'!T$1:T$400,0)),T$2,)</f>
        <v>0</v>
      </c>
      <c r="U299" s="140">
        <f ca="1">IF(ISNUMBER(MATCH(DATEVALUE($A299),'changes1_based on steps'!U$1:U$400,0)),U$2,)</f>
        <v>0</v>
      </c>
      <c r="V299" s="140"/>
      <c r="W299" s="140"/>
      <c r="X299" s="140"/>
      <c r="Y299" s="140"/>
      <c r="Z299" s="140"/>
      <c r="AA299" s="140"/>
      <c r="AB299" s="140"/>
      <c r="AC299" s="140"/>
      <c r="AD299" s="140"/>
      <c r="AE299" s="140"/>
      <c r="AF299" s="140"/>
      <c r="AG299" s="140"/>
      <c r="AH299" s="140"/>
      <c r="AI299" s="140"/>
      <c r="AJ299" s="140"/>
      <c r="AK299" s="140"/>
      <c r="AL299" s="140"/>
      <c r="AM299" s="140"/>
      <c r="AN299" s="140"/>
      <c r="AO299" s="140"/>
      <c r="AP299" s="140"/>
      <c r="AQ299" s="140"/>
      <c r="AR299" s="140"/>
      <c r="AS299" s="140"/>
      <c r="AT299" s="140"/>
      <c r="AU299" s="140"/>
      <c r="AV299" s="140"/>
      <c r="AW299" s="140"/>
      <c r="AX299" s="140"/>
      <c r="AY299" s="140"/>
      <c r="AZ299" s="140"/>
      <c r="BA299" s="140"/>
      <c r="BB299" s="140"/>
      <c r="BC299" s="140"/>
      <c r="BD299" s="140"/>
      <c r="BE299" s="140"/>
      <c r="BF299" s="140"/>
      <c r="BG299" s="140"/>
      <c r="BH299" s="140"/>
      <c r="BI299" s="140"/>
      <c r="BJ299" s="140"/>
      <c r="BK299" s="140"/>
      <c r="BL299" s="140"/>
      <c r="BM299" s="140"/>
      <c r="BN299" s="140"/>
      <c r="BO299" s="140"/>
      <c r="BP299" s="140"/>
      <c r="BQ299" s="140"/>
      <c r="BR299" s="140"/>
      <c r="BS299" s="140"/>
      <c r="BT299" s="140"/>
      <c r="BU299" s="140"/>
      <c r="BV299" s="140"/>
      <c r="BW299" s="140"/>
      <c r="BX299" s="140"/>
      <c r="BY299" s="140"/>
      <c r="BZ299" s="140"/>
      <c r="CA299" s="140"/>
      <c r="CB299" s="140"/>
      <c r="CC299" s="140"/>
      <c r="CD299" s="140"/>
      <c r="CE299" s="140"/>
      <c r="CF299" s="140"/>
      <c r="CG299" s="140"/>
      <c r="CH299" s="140"/>
      <c r="CI299" s="140"/>
      <c r="CJ299" s="140"/>
      <c r="CK299" s="140"/>
      <c r="CL299" s="140"/>
      <c r="CM299" s="140"/>
      <c r="CN299" s="140"/>
      <c r="CO299" s="140"/>
      <c r="CP299" s="140"/>
      <c r="CQ299" s="140"/>
      <c r="CR299" s="140"/>
      <c r="CS299" s="140"/>
      <c r="CT299" s="140"/>
      <c r="CU299" s="140"/>
      <c r="CV299" s="140"/>
      <c r="CW299" s="140"/>
    </row>
    <row r="300" spans="1:101" x14ac:dyDescent="0.2">
      <c r="A300" s="29" t="str">
        <f t="shared" ca="1" si="4"/>
        <v>2026-01-18</v>
      </c>
      <c r="B300" s="140">
        <f ca="1">IF(ISNUMBER(MATCH(DATEVALUE($A300),'changes1_based on steps'!B$1:B$400,0)),B$2,)</f>
        <v>0</v>
      </c>
      <c r="C300" s="140">
        <f ca="1">IF(ISNUMBER(MATCH(DATEVALUE($A300),'changes1_based on steps'!C$1:C$400,0)),C$2,)</f>
        <v>0</v>
      </c>
      <c r="D300" s="140">
        <f ca="1">IF(ISNUMBER(MATCH(DATEVALUE($A300),'changes1_based on steps'!D$1:D$400,0)),D$2,)</f>
        <v>0</v>
      </c>
      <c r="E300" s="140">
        <f ca="1">IF(ISNUMBER(MATCH(DATEVALUE($A300),'changes1_based on steps'!E$1:E$400,0)),E$2,)</f>
        <v>0</v>
      </c>
      <c r="F300" s="140">
        <f ca="1">IF(ISNUMBER(MATCH(DATEVALUE($A300),'changes1_based on steps'!F$1:F$400,0)),F$2,)</f>
        <v>0</v>
      </c>
      <c r="G300" s="140">
        <f ca="1">IF(ISNUMBER(MATCH(DATEVALUE($A300),'changes1_based on steps'!G$1:G$400,0)),G$2,)</f>
        <v>0</v>
      </c>
      <c r="H300" s="140">
        <f ca="1">IF(ISNUMBER(MATCH(DATEVALUE($A300),'changes1_based on steps'!H$1:H$400,0)),H$2,)</f>
        <v>0</v>
      </c>
      <c r="I300" s="140">
        <f ca="1">IF(ISNUMBER(MATCH(DATEVALUE($A300),'changes1_based on steps'!I$1:I$400,0)),I$2,)</f>
        <v>0</v>
      </c>
      <c r="J300" s="140">
        <f ca="1">IF(ISNUMBER(MATCH(DATEVALUE($A300),'changes1_based on steps'!J$1:J$400,0)),J$2,)</f>
        <v>0</v>
      </c>
      <c r="K300" s="140">
        <f ca="1">IF(ISNUMBER(MATCH(DATEVALUE($A300),'changes1_based on steps'!K$1:K$400,0)),K$2,)</f>
        <v>0</v>
      </c>
      <c r="L300" s="140">
        <f ca="1">IF(ISNUMBER(MATCH(DATEVALUE($A300),'changes1_based on steps'!L$1:L$400,0)),L$2,)</f>
        <v>0</v>
      </c>
      <c r="M300" s="140">
        <f ca="1">IF(ISNUMBER(MATCH(DATEVALUE($A300),'changes1_based on steps'!M$1:M$400,0)),M$2,)</f>
        <v>0</v>
      </c>
      <c r="N300" s="140">
        <f ca="1">IF(ISNUMBER(MATCH(DATEVALUE($A300),'changes1_based on steps'!N$1:N$400,0)),N$2,)</f>
        <v>0</v>
      </c>
      <c r="O300" s="140">
        <f ca="1">IF(ISNUMBER(MATCH(DATEVALUE($A300),'changes1_based on steps'!O$1:O$400,0)),O$2,)</f>
        <v>0</v>
      </c>
      <c r="P300" s="140">
        <f ca="1">IF(ISNUMBER(MATCH(DATEVALUE($A300),'changes1_based on steps'!P$1:P$400,0)),P$2,)</f>
        <v>0</v>
      </c>
      <c r="Q300" s="140">
        <f ca="1">IF(ISNUMBER(MATCH(DATEVALUE($A300),'changes1_based on steps'!Q$1:Q$400,0)),Q$2,)</f>
        <v>0</v>
      </c>
      <c r="R300" s="140">
        <f ca="1">IF(ISNUMBER(MATCH(DATEVALUE($A300),'changes1_based on steps'!R$1:R$400,0)),R$2,)</f>
        <v>0</v>
      </c>
      <c r="S300" s="140">
        <f ca="1">IF(ISNUMBER(MATCH(DATEVALUE($A300),'changes1_based on steps'!S$1:S$400,0)),S$2,)</f>
        <v>0</v>
      </c>
      <c r="T300" s="140">
        <f ca="1">IF(ISNUMBER(MATCH(DATEVALUE($A300),'changes1_based on steps'!T$1:T$400,0)),T$2,)</f>
        <v>0</v>
      </c>
      <c r="U300" s="140">
        <f ca="1">IF(ISNUMBER(MATCH(DATEVALUE($A300),'changes1_based on steps'!U$1:U$400,0)),U$2,)</f>
        <v>0</v>
      </c>
      <c r="V300" s="140"/>
      <c r="W300" s="140"/>
      <c r="X300" s="140"/>
      <c r="Y300" s="140"/>
      <c r="Z300" s="140"/>
      <c r="AA300" s="140"/>
      <c r="AB300" s="140"/>
      <c r="AC300" s="140"/>
      <c r="AD300" s="140"/>
      <c r="AE300" s="140"/>
      <c r="AF300" s="140"/>
      <c r="AG300" s="140"/>
      <c r="AH300" s="140"/>
      <c r="AI300" s="140"/>
      <c r="AJ300" s="140"/>
      <c r="AK300" s="140"/>
      <c r="AL300" s="140"/>
      <c r="AM300" s="140"/>
      <c r="AN300" s="140"/>
      <c r="AO300" s="140"/>
      <c r="AP300" s="140"/>
      <c r="AQ300" s="140"/>
      <c r="AR300" s="140"/>
      <c r="AS300" s="140"/>
      <c r="AT300" s="140"/>
      <c r="AU300" s="140"/>
      <c r="AV300" s="140"/>
      <c r="AW300" s="140"/>
      <c r="AX300" s="140"/>
      <c r="AY300" s="140"/>
      <c r="AZ300" s="140"/>
      <c r="BA300" s="140"/>
      <c r="BB300" s="140"/>
      <c r="BC300" s="140"/>
      <c r="BD300" s="140"/>
      <c r="BE300" s="140"/>
      <c r="BF300" s="140"/>
      <c r="BG300" s="140"/>
      <c r="BH300" s="140"/>
      <c r="BI300" s="140"/>
      <c r="BJ300" s="140"/>
      <c r="BK300" s="140"/>
      <c r="BL300" s="140"/>
      <c r="BM300" s="140"/>
      <c r="BN300" s="140"/>
      <c r="BO300" s="140"/>
      <c r="BP300" s="140"/>
      <c r="BQ300" s="140"/>
      <c r="BR300" s="140"/>
      <c r="BS300" s="140"/>
      <c r="BT300" s="140"/>
      <c r="BU300" s="140"/>
      <c r="BV300" s="140"/>
      <c r="BW300" s="140"/>
      <c r="BX300" s="140"/>
      <c r="BY300" s="140"/>
      <c r="BZ300" s="140"/>
      <c r="CA300" s="140"/>
      <c r="CB300" s="140"/>
      <c r="CC300" s="140"/>
      <c r="CD300" s="140"/>
      <c r="CE300" s="140"/>
      <c r="CF300" s="140"/>
      <c r="CG300" s="140"/>
      <c r="CH300" s="140"/>
      <c r="CI300" s="140"/>
      <c r="CJ300" s="140"/>
      <c r="CK300" s="140"/>
      <c r="CL300" s="140"/>
      <c r="CM300" s="140"/>
      <c r="CN300" s="140"/>
      <c r="CO300" s="140"/>
      <c r="CP300" s="140"/>
      <c r="CQ300" s="140"/>
      <c r="CR300" s="140"/>
      <c r="CS300" s="140"/>
      <c r="CT300" s="140"/>
      <c r="CU300" s="140"/>
      <c r="CV300" s="140"/>
      <c r="CW300" s="140"/>
    </row>
    <row r="301" spans="1:101" x14ac:dyDescent="0.2">
      <c r="A301" s="29" t="str">
        <f t="shared" ca="1" si="4"/>
        <v>2026-01-19</v>
      </c>
      <c r="B301" s="140">
        <f ca="1">IF(ISNUMBER(MATCH(DATEVALUE($A301),'changes1_based on steps'!B$1:B$400,0)),B$2,)</f>
        <v>0</v>
      </c>
      <c r="C301" s="140">
        <f ca="1">IF(ISNUMBER(MATCH(DATEVALUE($A301),'changes1_based on steps'!C$1:C$400,0)),C$2,)</f>
        <v>0</v>
      </c>
      <c r="D301" s="140">
        <f ca="1">IF(ISNUMBER(MATCH(DATEVALUE($A301),'changes1_based on steps'!D$1:D$400,0)),D$2,)</f>
        <v>0</v>
      </c>
      <c r="E301" s="140">
        <f ca="1">IF(ISNUMBER(MATCH(DATEVALUE($A301),'changes1_based on steps'!E$1:E$400,0)),E$2,)</f>
        <v>0</v>
      </c>
      <c r="F301" s="140">
        <f ca="1">IF(ISNUMBER(MATCH(DATEVALUE($A301),'changes1_based on steps'!F$1:F$400,0)),F$2,)</f>
        <v>0</v>
      </c>
      <c r="G301" s="140">
        <f ca="1">IF(ISNUMBER(MATCH(DATEVALUE($A301),'changes1_based on steps'!G$1:G$400,0)),G$2,)</f>
        <v>0</v>
      </c>
      <c r="H301" s="140">
        <f ca="1">IF(ISNUMBER(MATCH(DATEVALUE($A301),'changes1_based on steps'!H$1:H$400,0)),H$2,)</f>
        <v>0</v>
      </c>
      <c r="I301" s="140">
        <f ca="1">IF(ISNUMBER(MATCH(DATEVALUE($A301),'changes1_based on steps'!I$1:I$400,0)),I$2,)</f>
        <v>0</v>
      </c>
      <c r="J301" s="140">
        <f ca="1">IF(ISNUMBER(MATCH(DATEVALUE($A301),'changes1_based on steps'!J$1:J$400,0)),J$2,)</f>
        <v>0</v>
      </c>
      <c r="K301" s="140">
        <f ca="1">IF(ISNUMBER(MATCH(DATEVALUE($A301),'changes1_based on steps'!K$1:K$400,0)),K$2,)</f>
        <v>0</v>
      </c>
      <c r="L301" s="140">
        <f ca="1">IF(ISNUMBER(MATCH(DATEVALUE($A301),'changes1_based on steps'!L$1:L$400,0)),L$2,)</f>
        <v>0</v>
      </c>
      <c r="M301" s="140">
        <f ca="1">IF(ISNUMBER(MATCH(DATEVALUE($A301),'changes1_based on steps'!M$1:M$400,0)),M$2,)</f>
        <v>0</v>
      </c>
      <c r="N301" s="140">
        <f ca="1">IF(ISNUMBER(MATCH(DATEVALUE($A301),'changes1_based on steps'!N$1:N$400,0)),N$2,)</f>
        <v>0</v>
      </c>
      <c r="O301" s="140">
        <f ca="1">IF(ISNUMBER(MATCH(DATEVALUE($A301),'changes1_based on steps'!O$1:O$400,0)),O$2,)</f>
        <v>0</v>
      </c>
      <c r="P301" s="140">
        <f ca="1">IF(ISNUMBER(MATCH(DATEVALUE($A301),'changes1_based on steps'!P$1:P$400,0)),P$2,)</f>
        <v>0</v>
      </c>
      <c r="Q301" s="140">
        <f ca="1">IF(ISNUMBER(MATCH(DATEVALUE($A301),'changes1_based on steps'!Q$1:Q$400,0)),Q$2,)</f>
        <v>0</v>
      </c>
      <c r="R301" s="140">
        <f ca="1">IF(ISNUMBER(MATCH(DATEVALUE($A301),'changes1_based on steps'!R$1:R$400,0)),R$2,)</f>
        <v>0</v>
      </c>
      <c r="S301" s="140">
        <f ca="1">IF(ISNUMBER(MATCH(DATEVALUE($A301),'changes1_based on steps'!S$1:S$400,0)),S$2,)</f>
        <v>0</v>
      </c>
      <c r="T301" s="140">
        <f ca="1">IF(ISNUMBER(MATCH(DATEVALUE($A301),'changes1_based on steps'!T$1:T$400,0)),T$2,)</f>
        <v>0</v>
      </c>
      <c r="U301" s="140">
        <f ca="1">IF(ISNUMBER(MATCH(DATEVALUE($A301),'changes1_based on steps'!U$1:U$400,0)),U$2,)</f>
        <v>0</v>
      </c>
      <c r="V301" s="140"/>
      <c r="W301" s="140"/>
      <c r="X301" s="140"/>
      <c r="Y301" s="140"/>
      <c r="Z301" s="140"/>
      <c r="AA301" s="140"/>
      <c r="AB301" s="140"/>
      <c r="AC301" s="140"/>
      <c r="AD301" s="140"/>
      <c r="AE301" s="140"/>
      <c r="AF301" s="140"/>
      <c r="AG301" s="140"/>
      <c r="AH301" s="140"/>
      <c r="AI301" s="140"/>
      <c r="AJ301" s="140"/>
      <c r="AK301" s="140"/>
      <c r="AL301" s="140"/>
      <c r="AM301" s="140"/>
      <c r="AN301" s="140"/>
      <c r="AO301" s="140"/>
      <c r="AP301" s="140"/>
      <c r="AQ301" s="140"/>
      <c r="AR301" s="140"/>
      <c r="AS301" s="140"/>
      <c r="AT301" s="140"/>
      <c r="AU301" s="140"/>
      <c r="AV301" s="140"/>
      <c r="AW301" s="140"/>
      <c r="AX301" s="140"/>
      <c r="AY301" s="140"/>
      <c r="AZ301" s="140"/>
      <c r="BA301" s="140"/>
      <c r="BB301" s="140"/>
      <c r="BC301" s="140"/>
      <c r="BD301" s="140"/>
      <c r="BE301" s="140"/>
      <c r="BF301" s="140"/>
      <c r="BG301" s="140"/>
      <c r="BH301" s="140"/>
      <c r="BI301" s="140"/>
      <c r="BJ301" s="140"/>
      <c r="BK301" s="140"/>
      <c r="BL301" s="140"/>
      <c r="BM301" s="140"/>
      <c r="BN301" s="140"/>
      <c r="BO301" s="140"/>
      <c r="BP301" s="140"/>
      <c r="BQ301" s="140"/>
      <c r="BR301" s="140"/>
      <c r="BS301" s="140"/>
      <c r="BT301" s="140"/>
      <c r="BU301" s="140"/>
      <c r="BV301" s="140"/>
      <c r="BW301" s="140"/>
      <c r="BX301" s="140"/>
      <c r="BY301" s="140"/>
      <c r="BZ301" s="140"/>
      <c r="CA301" s="140"/>
      <c r="CB301" s="140"/>
      <c r="CC301" s="140"/>
      <c r="CD301" s="140"/>
      <c r="CE301" s="140"/>
      <c r="CF301" s="140"/>
      <c r="CG301" s="140"/>
      <c r="CH301" s="140"/>
      <c r="CI301" s="140"/>
      <c r="CJ301" s="140"/>
      <c r="CK301" s="140"/>
      <c r="CL301" s="140"/>
      <c r="CM301" s="140"/>
      <c r="CN301" s="140"/>
      <c r="CO301" s="140"/>
      <c r="CP301" s="140"/>
      <c r="CQ301" s="140"/>
      <c r="CR301" s="140"/>
      <c r="CS301" s="140"/>
      <c r="CT301" s="140"/>
      <c r="CU301" s="140"/>
      <c r="CV301" s="140"/>
      <c r="CW301" s="140"/>
    </row>
    <row r="302" spans="1:101" x14ac:dyDescent="0.2">
      <c r="A302" s="29" t="str">
        <f t="shared" ca="1" si="4"/>
        <v>2026-01-20</v>
      </c>
      <c r="B302" s="140">
        <f ca="1">IF(ISNUMBER(MATCH(DATEVALUE($A302),'changes1_based on steps'!B$1:B$400,0)),B$2,)</f>
        <v>0</v>
      </c>
      <c r="C302" s="140">
        <f ca="1">IF(ISNUMBER(MATCH(DATEVALUE($A302),'changes1_based on steps'!C$1:C$400,0)),C$2,)</f>
        <v>0</v>
      </c>
      <c r="D302" s="140">
        <f ca="1">IF(ISNUMBER(MATCH(DATEVALUE($A302),'changes1_based on steps'!D$1:D$400,0)),D$2,)</f>
        <v>0</v>
      </c>
      <c r="E302" s="140">
        <f ca="1">IF(ISNUMBER(MATCH(DATEVALUE($A302),'changes1_based on steps'!E$1:E$400,0)),E$2,)</f>
        <v>0</v>
      </c>
      <c r="F302" s="140">
        <f ca="1">IF(ISNUMBER(MATCH(DATEVALUE($A302),'changes1_based on steps'!F$1:F$400,0)),F$2,)</f>
        <v>0</v>
      </c>
      <c r="G302" s="140">
        <f ca="1">IF(ISNUMBER(MATCH(DATEVALUE($A302),'changes1_based on steps'!G$1:G$400,0)),G$2,)</f>
        <v>0</v>
      </c>
      <c r="H302" s="140">
        <f ca="1">IF(ISNUMBER(MATCH(DATEVALUE($A302),'changes1_based on steps'!H$1:H$400,0)),H$2,)</f>
        <v>0</v>
      </c>
      <c r="I302" s="140">
        <f ca="1">IF(ISNUMBER(MATCH(DATEVALUE($A302),'changes1_based on steps'!I$1:I$400,0)),I$2,)</f>
        <v>0</v>
      </c>
      <c r="J302" s="140">
        <f ca="1">IF(ISNUMBER(MATCH(DATEVALUE($A302),'changes1_based on steps'!J$1:J$400,0)),J$2,)</f>
        <v>0</v>
      </c>
      <c r="K302" s="140">
        <f ca="1">IF(ISNUMBER(MATCH(DATEVALUE($A302),'changes1_based on steps'!K$1:K$400,0)),K$2,)</f>
        <v>0</v>
      </c>
      <c r="L302" s="140">
        <f ca="1">IF(ISNUMBER(MATCH(DATEVALUE($A302),'changes1_based on steps'!L$1:L$400,0)),L$2,)</f>
        <v>0</v>
      </c>
      <c r="M302" s="140">
        <f ca="1">IF(ISNUMBER(MATCH(DATEVALUE($A302),'changes1_based on steps'!M$1:M$400,0)),M$2,)</f>
        <v>0</v>
      </c>
      <c r="N302" s="140">
        <f ca="1">IF(ISNUMBER(MATCH(DATEVALUE($A302),'changes1_based on steps'!N$1:N$400,0)),N$2,)</f>
        <v>0</v>
      </c>
      <c r="O302" s="140">
        <f ca="1">IF(ISNUMBER(MATCH(DATEVALUE($A302),'changes1_based on steps'!O$1:O$400,0)),O$2,)</f>
        <v>0</v>
      </c>
      <c r="P302" s="140">
        <f ca="1">IF(ISNUMBER(MATCH(DATEVALUE($A302),'changes1_based on steps'!P$1:P$400,0)),P$2,)</f>
        <v>0</v>
      </c>
      <c r="Q302" s="140">
        <f ca="1">IF(ISNUMBER(MATCH(DATEVALUE($A302),'changes1_based on steps'!Q$1:Q$400,0)),Q$2,)</f>
        <v>0</v>
      </c>
      <c r="R302" s="140">
        <f ca="1">IF(ISNUMBER(MATCH(DATEVALUE($A302),'changes1_based on steps'!R$1:R$400,0)),R$2,)</f>
        <v>0</v>
      </c>
      <c r="S302" s="140">
        <f ca="1">IF(ISNUMBER(MATCH(DATEVALUE($A302),'changes1_based on steps'!S$1:S$400,0)),S$2,)</f>
        <v>0</v>
      </c>
      <c r="T302" s="140">
        <f ca="1">IF(ISNUMBER(MATCH(DATEVALUE($A302),'changes1_based on steps'!T$1:T$400,0)),T$2,)</f>
        <v>0</v>
      </c>
      <c r="U302" s="140">
        <f ca="1">IF(ISNUMBER(MATCH(DATEVALUE($A302),'changes1_based on steps'!U$1:U$400,0)),U$2,)</f>
        <v>0</v>
      </c>
      <c r="V302" s="140"/>
      <c r="W302" s="140"/>
      <c r="X302" s="140"/>
      <c r="Y302" s="140"/>
      <c r="Z302" s="140"/>
      <c r="AA302" s="140"/>
      <c r="AB302" s="140"/>
      <c r="AC302" s="140"/>
      <c r="AD302" s="140"/>
      <c r="AE302" s="140"/>
      <c r="AF302" s="140"/>
      <c r="AG302" s="140"/>
      <c r="AH302" s="140"/>
      <c r="AI302" s="140"/>
      <c r="AJ302" s="140"/>
      <c r="AK302" s="140"/>
      <c r="AL302" s="140"/>
      <c r="AM302" s="140"/>
      <c r="AN302" s="140"/>
      <c r="AO302" s="140"/>
      <c r="AP302" s="140"/>
      <c r="AQ302" s="140"/>
      <c r="AR302" s="140"/>
      <c r="AS302" s="140"/>
      <c r="AT302" s="140"/>
      <c r="AU302" s="140"/>
      <c r="AV302" s="140"/>
      <c r="AW302" s="140"/>
      <c r="AX302" s="140"/>
      <c r="AY302" s="140"/>
      <c r="AZ302" s="140"/>
      <c r="BA302" s="140"/>
      <c r="BB302" s="140"/>
      <c r="BC302" s="140"/>
      <c r="BD302" s="140"/>
      <c r="BE302" s="140"/>
      <c r="BF302" s="140"/>
      <c r="BG302" s="140"/>
      <c r="BH302" s="140"/>
      <c r="BI302" s="140"/>
      <c r="BJ302" s="140"/>
      <c r="BK302" s="140"/>
      <c r="BL302" s="140"/>
      <c r="BM302" s="140"/>
      <c r="BN302" s="140"/>
      <c r="BO302" s="140"/>
      <c r="BP302" s="140"/>
      <c r="BQ302" s="140"/>
      <c r="BR302" s="140"/>
      <c r="BS302" s="140"/>
      <c r="BT302" s="140"/>
      <c r="BU302" s="140"/>
      <c r="BV302" s="140"/>
      <c r="BW302" s="140"/>
      <c r="BX302" s="140"/>
      <c r="BY302" s="140"/>
      <c r="BZ302" s="140"/>
      <c r="CA302" s="140"/>
      <c r="CB302" s="140"/>
      <c r="CC302" s="140"/>
      <c r="CD302" s="140"/>
      <c r="CE302" s="140"/>
      <c r="CF302" s="140"/>
      <c r="CG302" s="140"/>
      <c r="CH302" s="140"/>
      <c r="CI302" s="140"/>
      <c r="CJ302" s="140"/>
      <c r="CK302" s="140"/>
      <c r="CL302" s="140"/>
      <c r="CM302" s="140"/>
      <c r="CN302" s="140"/>
      <c r="CO302" s="140"/>
      <c r="CP302" s="140"/>
      <c r="CQ302" s="140"/>
      <c r="CR302" s="140"/>
      <c r="CS302" s="140"/>
      <c r="CT302" s="140"/>
      <c r="CU302" s="140"/>
      <c r="CV302" s="140"/>
      <c r="CW302" s="140"/>
    </row>
    <row r="303" spans="1:101" x14ac:dyDescent="0.2">
      <c r="A303" s="29" t="str">
        <f t="shared" ca="1" si="4"/>
        <v>2026-01-21</v>
      </c>
      <c r="B303" s="140">
        <f ca="1">IF(ISNUMBER(MATCH(DATEVALUE($A303),'changes1_based on steps'!B$1:B$400,0)),B$2,)</f>
        <v>0</v>
      </c>
      <c r="C303" s="140">
        <f ca="1">IF(ISNUMBER(MATCH(DATEVALUE($A303),'changes1_based on steps'!C$1:C$400,0)),C$2,)</f>
        <v>0</v>
      </c>
      <c r="D303" s="140">
        <f ca="1">IF(ISNUMBER(MATCH(DATEVALUE($A303),'changes1_based on steps'!D$1:D$400,0)),D$2,)</f>
        <v>0</v>
      </c>
      <c r="E303" s="140">
        <f ca="1">IF(ISNUMBER(MATCH(DATEVALUE($A303),'changes1_based on steps'!E$1:E$400,0)),E$2,)</f>
        <v>0</v>
      </c>
      <c r="F303" s="140">
        <f ca="1">IF(ISNUMBER(MATCH(DATEVALUE($A303),'changes1_based on steps'!F$1:F$400,0)),F$2,)</f>
        <v>0</v>
      </c>
      <c r="G303" s="140">
        <f ca="1">IF(ISNUMBER(MATCH(DATEVALUE($A303),'changes1_based on steps'!G$1:G$400,0)),G$2,)</f>
        <v>0</v>
      </c>
      <c r="H303" s="140">
        <f ca="1">IF(ISNUMBER(MATCH(DATEVALUE($A303),'changes1_based on steps'!H$1:H$400,0)),H$2,)</f>
        <v>0</v>
      </c>
      <c r="I303" s="140">
        <f ca="1">IF(ISNUMBER(MATCH(DATEVALUE($A303),'changes1_based on steps'!I$1:I$400,0)),I$2,)</f>
        <v>0</v>
      </c>
      <c r="J303" s="140">
        <f ca="1">IF(ISNUMBER(MATCH(DATEVALUE($A303),'changes1_based on steps'!J$1:J$400,0)),J$2,)</f>
        <v>0</v>
      </c>
      <c r="K303" s="140">
        <f ca="1">IF(ISNUMBER(MATCH(DATEVALUE($A303),'changes1_based on steps'!K$1:K$400,0)),K$2,)</f>
        <v>0</v>
      </c>
      <c r="L303" s="140">
        <f ca="1">IF(ISNUMBER(MATCH(DATEVALUE($A303),'changes1_based on steps'!L$1:L$400,0)),L$2,)</f>
        <v>0</v>
      </c>
      <c r="M303" s="140">
        <f ca="1">IF(ISNUMBER(MATCH(DATEVALUE($A303),'changes1_based on steps'!M$1:M$400,0)),M$2,)</f>
        <v>0</v>
      </c>
      <c r="N303" s="140">
        <f ca="1">IF(ISNUMBER(MATCH(DATEVALUE($A303),'changes1_based on steps'!N$1:N$400,0)),N$2,)</f>
        <v>0</v>
      </c>
      <c r="O303" s="140">
        <f ca="1">IF(ISNUMBER(MATCH(DATEVALUE($A303),'changes1_based on steps'!O$1:O$400,0)),O$2,)</f>
        <v>0</v>
      </c>
      <c r="P303" s="140">
        <f ca="1">IF(ISNUMBER(MATCH(DATEVALUE($A303),'changes1_based on steps'!P$1:P$400,0)),P$2,)</f>
        <v>0</v>
      </c>
      <c r="Q303" s="140">
        <f ca="1">IF(ISNUMBER(MATCH(DATEVALUE($A303),'changes1_based on steps'!Q$1:Q$400,0)),Q$2,)</f>
        <v>0</v>
      </c>
      <c r="R303" s="140">
        <f ca="1">IF(ISNUMBER(MATCH(DATEVALUE($A303),'changes1_based on steps'!R$1:R$400,0)),R$2,)</f>
        <v>0</v>
      </c>
      <c r="S303" s="140">
        <f ca="1">IF(ISNUMBER(MATCH(DATEVALUE($A303),'changes1_based on steps'!S$1:S$400,0)),S$2,)</f>
        <v>0</v>
      </c>
      <c r="T303" s="140">
        <f ca="1">IF(ISNUMBER(MATCH(DATEVALUE($A303),'changes1_based on steps'!T$1:T$400,0)),T$2,)</f>
        <v>0</v>
      </c>
      <c r="U303" s="140">
        <f ca="1">IF(ISNUMBER(MATCH(DATEVALUE($A303),'changes1_based on steps'!U$1:U$400,0)),U$2,)</f>
        <v>0</v>
      </c>
      <c r="V303" s="140"/>
      <c r="W303" s="140"/>
      <c r="X303" s="140"/>
      <c r="Y303" s="140"/>
      <c r="Z303" s="140"/>
      <c r="AA303" s="140"/>
      <c r="AB303" s="140"/>
      <c r="AC303" s="140"/>
      <c r="AD303" s="140"/>
      <c r="AE303" s="140"/>
      <c r="AF303" s="140"/>
      <c r="AG303" s="140"/>
      <c r="AH303" s="140"/>
      <c r="AI303" s="140"/>
      <c r="AJ303" s="140"/>
      <c r="AK303" s="140"/>
      <c r="AL303" s="140"/>
      <c r="AM303" s="140"/>
      <c r="AN303" s="140"/>
      <c r="AO303" s="140"/>
      <c r="AP303" s="140"/>
      <c r="AQ303" s="140"/>
      <c r="AR303" s="140"/>
      <c r="AS303" s="140"/>
      <c r="AT303" s="140"/>
      <c r="AU303" s="140"/>
      <c r="AV303" s="140"/>
      <c r="AW303" s="140"/>
      <c r="AX303" s="140"/>
      <c r="AY303" s="140"/>
      <c r="AZ303" s="140"/>
      <c r="BA303" s="140"/>
      <c r="BB303" s="140"/>
      <c r="BC303" s="140"/>
      <c r="BD303" s="140"/>
      <c r="BE303" s="140"/>
      <c r="BF303" s="140"/>
      <c r="BG303" s="140"/>
      <c r="BH303" s="140"/>
      <c r="BI303" s="140"/>
      <c r="BJ303" s="140"/>
      <c r="BK303" s="140"/>
      <c r="BL303" s="140"/>
      <c r="BM303" s="140"/>
      <c r="BN303" s="140"/>
      <c r="BO303" s="140"/>
      <c r="BP303" s="140"/>
      <c r="BQ303" s="140"/>
      <c r="BR303" s="140"/>
      <c r="BS303" s="140"/>
      <c r="BT303" s="140"/>
      <c r="BU303" s="140"/>
      <c r="BV303" s="140"/>
      <c r="BW303" s="140"/>
      <c r="BX303" s="140"/>
      <c r="BY303" s="140"/>
      <c r="BZ303" s="140"/>
      <c r="CA303" s="140"/>
      <c r="CB303" s="140"/>
      <c r="CC303" s="140"/>
      <c r="CD303" s="140"/>
      <c r="CE303" s="140"/>
      <c r="CF303" s="140"/>
      <c r="CG303" s="140"/>
      <c r="CH303" s="140"/>
      <c r="CI303" s="140"/>
      <c r="CJ303" s="140"/>
      <c r="CK303" s="140"/>
      <c r="CL303" s="140"/>
      <c r="CM303" s="140"/>
      <c r="CN303" s="140"/>
      <c r="CO303" s="140"/>
      <c r="CP303" s="140"/>
      <c r="CQ303" s="140"/>
      <c r="CR303" s="140"/>
      <c r="CS303" s="140"/>
      <c r="CT303" s="140"/>
      <c r="CU303" s="140"/>
      <c r="CV303" s="140"/>
      <c r="CW303" s="140"/>
    </row>
    <row r="304" spans="1:101" x14ac:dyDescent="0.2">
      <c r="A304" s="29" t="str">
        <f t="shared" ca="1" si="4"/>
        <v>2026-01-22</v>
      </c>
      <c r="B304" s="140">
        <f ca="1">IF(ISNUMBER(MATCH(DATEVALUE($A304),'changes1_based on steps'!B$1:B$400,0)),B$2,)</f>
        <v>0</v>
      </c>
      <c r="C304" s="140">
        <f ca="1">IF(ISNUMBER(MATCH(DATEVALUE($A304),'changes1_based on steps'!C$1:C$400,0)),C$2,)</f>
        <v>0</v>
      </c>
      <c r="D304" s="140">
        <f ca="1">IF(ISNUMBER(MATCH(DATEVALUE($A304),'changes1_based on steps'!D$1:D$400,0)),D$2,)</f>
        <v>0</v>
      </c>
      <c r="E304" s="140">
        <f ca="1">IF(ISNUMBER(MATCH(DATEVALUE($A304),'changes1_based on steps'!E$1:E$400,0)),E$2,)</f>
        <v>0</v>
      </c>
      <c r="F304" s="140">
        <f ca="1">IF(ISNUMBER(MATCH(DATEVALUE($A304),'changes1_based on steps'!F$1:F$400,0)),F$2,)</f>
        <v>0</v>
      </c>
      <c r="G304" s="140">
        <f ca="1">IF(ISNUMBER(MATCH(DATEVALUE($A304),'changes1_based on steps'!G$1:G$400,0)),G$2,)</f>
        <v>0</v>
      </c>
      <c r="H304" s="140">
        <f ca="1">IF(ISNUMBER(MATCH(DATEVALUE($A304),'changes1_based on steps'!H$1:H$400,0)),H$2,)</f>
        <v>0</v>
      </c>
      <c r="I304" s="140">
        <f ca="1">IF(ISNUMBER(MATCH(DATEVALUE($A304),'changes1_based on steps'!I$1:I$400,0)),I$2,)</f>
        <v>0</v>
      </c>
      <c r="J304" s="140">
        <f ca="1">IF(ISNUMBER(MATCH(DATEVALUE($A304),'changes1_based on steps'!J$1:J$400,0)),J$2,)</f>
        <v>0</v>
      </c>
      <c r="K304" s="140">
        <f ca="1">IF(ISNUMBER(MATCH(DATEVALUE($A304),'changes1_based on steps'!K$1:K$400,0)),K$2,)</f>
        <v>0</v>
      </c>
      <c r="L304" s="140">
        <f ca="1">IF(ISNUMBER(MATCH(DATEVALUE($A304),'changes1_based on steps'!L$1:L$400,0)),L$2,)</f>
        <v>0</v>
      </c>
      <c r="M304" s="140">
        <f ca="1">IF(ISNUMBER(MATCH(DATEVALUE($A304),'changes1_based on steps'!M$1:M$400,0)),M$2,)</f>
        <v>0</v>
      </c>
      <c r="N304" s="140">
        <f ca="1">IF(ISNUMBER(MATCH(DATEVALUE($A304),'changes1_based on steps'!N$1:N$400,0)),N$2,)</f>
        <v>0</v>
      </c>
      <c r="O304" s="140">
        <f ca="1">IF(ISNUMBER(MATCH(DATEVALUE($A304),'changes1_based on steps'!O$1:O$400,0)),O$2,)</f>
        <v>0</v>
      </c>
      <c r="P304" s="140">
        <f ca="1">IF(ISNUMBER(MATCH(DATEVALUE($A304),'changes1_based on steps'!P$1:P$400,0)),P$2,)</f>
        <v>0</v>
      </c>
      <c r="Q304" s="140">
        <f ca="1">IF(ISNUMBER(MATCH(DATEVALUE($A304),'changes1_based on steps'!Q$1:Q$400,0)),Q$2,)</f>
        <v>0</v>
      </c>
      <c r="R304" s="140">
        <f ca="1">IF(ISNUMBER(MATCH(DATEVALUE($A304),'changes1_based on steps'!R$1:R$400,0)),R$2,)</f>
        <v>0</v>
      </c>
      <c r="S304" s="140">
        <f ca="1">IF(ISNUMBER(MATCH(DATEVALUE($A304),'changes1_based on steps'!S$1:S$400,0)),S$2,)</f>
        <v>0</v>
      </c>
      <c r="T304" s="140">
        <f ca="1">IF(ISNUMBER(MATCH(DATEVALUE($A304),'changes1_based on steps'!T$1:T$400,0)),T$2,)</f>
        <v>0</v>
      </c>
      <c r="U304" s="140">
        <f ca="1">IF(ISNUMBER(MATCH(DATEVALUE($A304),'changes1_based on steps'!U$1:U$400,0)),U$2,)</f>
        <v>0</v>
      </c>
      <c r="V304" s="140"/>
      <c r="W304" s="140"/>
      <c r="X304" s="140"/>
      <c r="Y304" s="140"/>
      <c r="Z304" s="140"/>
      <c r="AA304" s="140"/>
      <c r="AB304" s="140"/>
      <c r="AC304" s="140"/>
      <c r="AD304" s="140"/>
      <c r="AE304" s="140"/>
      <c r="AF304" s="140"/>
      <c r="AG304" s="140"/>
      <c r="AH304" s="140"/>
      <c r="AI304" s="140"/>
      <c r="AJ304" s="140"/>
      <c r="AK304" s="140"/>
      <c r="AL304" s="140"/>
      <c r="AM304" s="140"/>
      <c r="AN304" s="140"/>
      <c r="AO304" s="140"/>
      <c r="AP304" s="140"/>
      <c r="AQ304" s="140"/>
      <c r="AR304" s="140"/>
      <c r="AS304" s="140"/>
      <c r="AT304" s="140"/>
      <c r="AU304" s="140"/>
      <c r="AV304" s="140"/>
      <c r="AW304" s="140"/>
      <c r="AX304" s="140"/>
      <c r="AY304" s="140"/>
      <c r="AZ304" s="140"/>
      <c r="BA304" s="140"/>
      <c r="BB304" s="140"/>
      <c r="BC304" s="140"/>
      <c r="BD304" s="140"/>
      <c r="BE304" s="140"/>
      <c r="BF304" s="140"/>
      <c r="BG304" s="140"/>
      <c r="BH304" s="140"/>
      <c r="BI304" s="140"/>
      <c r="BJ304" s="140"/>
      <c r="BK304" s="140"/>
      <c r="BL304" s="140"/>
      <c r="BM304" s="140"/>
      <c r="BN304" s="140"/>
      <c r="BO304" s="140"/>
      <c r="BP304" s="140"/>
      <c r="BQ304" s="140"/>
      <c r="BR304" s="140"/>
      <c r="BS304" s="140"/>
      <c r="BT304" s="140"/>
      <c r="BU304" s="140"/>
      <c r="BV304" s="140"/>
      <c r="BW304" s="140"/>
      <c r="BX304" s="140"/>
      <c r="BY304" s="140"/>
      <c r="BZ304" s="140"/>
      <c r="CA304" s="140"/>
      <c r="CB304" s="140"/>
      <c r="CC304" s="140"/>
      <c r="CD304" s="140"/>
      <c r="CE304" s="140"/>
      <c r="CF304" s="140"/>
      <c r="CG304" s="140"/>
      <c r="CH304" s="140"/>
      <c r="CI304" s="140"/>
      <c r="CJ304" s="140"/>
      <c r="CK304" s="140"/>
      <c r="CL304" s="140"/>
      <c r="CM304" s="140"/>
      <c r="CN304" s="140"/>
      <c r="CO304" s="140"/>
      <c r="CP304" s="140"/>
      <c r="CQ304" s="140"/>
      <c r="CR304" s="140"/>
      <c r="CS304" s="140"/>
      <c r="CT304" s="140"/>
      <c r="CU304" s="140"/>
      <c r="CV304" s="140"/>
      <c r="CW304" s="140"/>
    </row>
    <row r="305" spans="1:101" x14ac:dyDescent="0.2">
      <c r="A305" s="29" t="str">
        <f t="shared" ca="1" si="4"/>
        <v>2026-01-23</v>
      </c>
      <c r="B305" s="140">
        <f ca="1">IF(ISNUMBER(MATCH(DATEVALUE($A305),'changes1_based on steps'!B$1:B$400,0)),B$2,)</f>
        <v>0</v>
      </c>
      <c r="C305" s="140">
        <f ca="1">IF(ISNUMBER(MATCH(DATEVALUE($A305),'changes1_based on steps'!C$1:C$400,0)),C$2,)</f>
        <v>0</v>
      </c>
      <c r="D305" s="140">
        <f ca="1">IF(ISNUMBER(MATCH(DATEVALUE($A305),'changes1_based on steps'!D$1:D$400,0)),D$2,)</f>
        <v>0</v>
      </c>
      <c r="E305" s="140">
        <f ca="1">IF(ISNUMBER(MATCH(DATEVALUE($A305),'changes1_based on steps'!E$1:E$400,0)),E$2,)</f>
        <v>0</v>
      </c>
      <c r="F305" s="140">
        <f ca="1">IF(ISNUMBER(MATCH(DATEVALUE($A305),'changes1_based on steps'!F$1:F$400,0)),F$2,)</f>
        <v>0</v>
      </c>
      <c r="G305" s="140">
        <f ca="1">IF(ISNUMBER(MATCH(DATEVALUE($A305),'changes1_based on steps'!G$1:G$400,0)),G$2,)</f>
        <v>0</v>
      </c>
      <c r="H305" s="140">
        <f ca="1">IF(ISNUMBER(MATCH(DATEVALUE($A305),'changes1_based on steps'!H$1:H$400,0)),H$2,)</f>
        <v>0</v>
      </c>
      <c r="I305" s="140">
        <f ca="1">IF(ISNUMBER(MATCH(DATEVALUE($A305),'changes1_based on steps'!I$1:I$400,0)),I$2,)</f>
        <v>0</v>
      </c>
      <c r="J305" s="140">
        <f ca="1">IF(ISNUMBER(MATCH(DATEVALUE($A305),'changes1_based on steps'!J$1:J$400,0)),J$2,)</f>
        <v>0</v>
      </c>
      <c r="K305" s="140">
        <f ca="1">IF(ISNUMBER(MATCH(DATEVALUE($A305),'changes1_based on steps'!K$1:K$400,0)),K$2,)</f>
        <v>0</v>
      </c>
      <c r="L305" s="140">
        <f ca="1">IF(ISNUMBER(MATCH(DATEVALUE($A305),'changes1_based on steps'!L$1:L$400,0)),L$2,)</f>
        <v>0</v>
      </c>
      <c r="M305" s="140">
        <f ca="1">IF(ISNUMBER(MATCH(DATEVALUE($A305),'changes1_based on steps'!M$1:M$400,0)),M$2,)</f>
        <v>0</v>
      </c>
      <c r="N305" s="140">
        <f ca="1">IF(ISNUMBER(MATCH(DATEVALUE($A305),'changes1_based on steps'!N$1:N$400,0)),N$2,)</f>
        <v>0</v>
      </c>
      <c r="O305" s="140">
        <f ca="1">IF(ISNUMBER(MATCH(DATEVALUE($A305),'changes1_based on steps'!O$1:O$400,0)),O$2,)</f>
        <v>0</v>
      </c>
      <c r="P305" s="140">
        <f ca="1">IF(ISNUMBER(MATCH(DATEVALUE($A305),'changes1_based on steps'!P$1:P$400,0)),P$2,)</f>
        <v>0</v>
      </c>
      <c r="Q305" s="140">
        <f ca="1">IF(ISNUMBER(MATCH(DATEVALUE($A305),'changes1_based on steps'!Q$1:Q$400,0)),Q$2,)</f>
        <v>0</v>
      </c>
      <c r="R305" s="140">
        <f ca="1">IF(ISNUMBER(MATCH(DATEVALUE($A305),'changes1_based on steps'!R$1:R$400,0)),R$2,)</f>
        <v>0</v>
      </c>
      <c r="S305" s="140">
        <f ca="1">IF(ISNUMBER(MATCH(DATEVALUE($A305),'changes1_based on steps'!S$1:S$400,0)),S$2,)</f>
        <v>0</v>
      </c>
      <c r="T305" s="140">
        <f ca="1">IF(ISNUMBER(MATCH(DATEVALUE($A305),'changes1_based on steps'!T$1:T$400,0)),T$2,)</f>
        <v>0</v>
      </c>
      <c r="U305" s="140">
        <f ca="1">IF(ISNUMBER(MATCH(DATEVALUE($A305),'changes1_based on steps'!U$1:U$400,0)),U$2,)</f>
        <v>0</v>
      </c>
      <c r="V305" s="140"/>
      <c r="W305" s="140"/>
      <c r="X305" s="140"/>
      <c r="Y305" s="140"/>
      <c r="Z305" s="140"/>
      <c r="AA305" s="140"/>
      <c r="AB305" s="140"/>
      <c r="AC305" s="140"/>
      <c r="AD305" s="140"/>
      <c r="AE305" s="140"/>
      <c r="AF305" s="140"/>
      <c r="AG305" s="140"/>
      <c r="AH305" s="140"/>
      <c r="AI305" s="140"/>
      <c r="AJ305" s="140"/>
      <c r="AK305" s="140"/>
      <c r="AL305" s="140"/>
      <c r="AM305" s="140"/>
      <c r="AN305" s="140"/>
      <c r="AO305" s="140"/>
      <c r="AP305" s="140"/>
      <c r="AQ305" s="140"/>
      <c r="AR305" s="140"/>
      <c r="AS305" s="140"/>
      <c r="AT305" s="140"/>
      <c r="AU305" s="140"/>
      <c r="AV305" s="140"/>
      <c r="AW305" s="140"/>
      <c r="AX305" s="140"/>
      <c r="AY305" s="140"/>
      <c r="AZ305" s="140"/>
      <c r="BA305" s="140"/>
      <c r="BB305" s="140"/>
      <c r="BC305" s="140"/>
      <c r="BD305" s="140"/>
      <c r="BE305" s="140"/>
      <c r="BF305" s="140"/>
      <c r="BG305" s="140"/>
      <c r="BH305" s="140"/>
      <c r="BI305" s="140"/>
      <c r="BJ305" s="140"/>
      <c r="BK305" s="140"/>
      <c r="BL305" s="140"/>
      <c r="BM305" s="140"/>
      <c r="BN305" s="140"/>
      <c r="BO305" s="140"/>
      <c r="BP305" s="140"/>
      <c r="BQ305" s="140"/>
      <c r="BR305" s="140"/>
      <c r="BS305" s="140"/>
      <c r="BT305" s="140"/>
      <c r="BU305" s="140"/>
      <c r="BV305" s="140"/>
      <c r="BW305" s="140"/>
      <c r="BX305" s="140"/>
      <c r="BY305" s="140"/>
      <c r="BZ305" s="140"/>
      <c r="CA305" s="140"/>
      <c r="CB305" s="140"/>
      <c r="CC305" s="140"/>
      <c r="CD305" s="140"/>
      <c r="CE305" s="140"/>
      <c r="CF305" s="140"/>
      <c r="CG305" s="140"/>
      <c r="CH305" s="140"/>
      <c r="CI305" s="140"/>
      <c r="CJ305" s="140"/>
      <c r="CK305" s="140"/>
      <c r="CL305" s="140"/>
      <c r="CM305" s="140"/>
      <c r="CN305" s="140"/>
      <c r="CO305" s="140"/>
      <c r="CP305" s="140"/>
      <c r="CQ305" s="140"/>
      <c r="CR305" s="140"/>
      <c r="CS305" s="140"/>
      <c r="CT305" s="140"/>
      <c r="CU305" s="140"/>
      <c r="CV305" s="140"/>
      <c r="CW305" s="140"/>
    </row>
    <row r="306" spans="1:101" x14ac:dyDescent="0.2">
      <c r="A306" s="29" t="str">
        <f t="shared" ca="1" si="4"/>
        <v>2026-01-24</v>
      </c>
      <c r="B306" s="140">
        <f ca="1">IF(ISNUMBER(MATCH(DATEVALUE($A306),'changes1_based on steps'!B$1:B$400,0)),B$2,)</f>
        <v>0</v>
      </c>
      <c r="C306" s="140">
        <f ca="1">IF(ISNUMBER(MATCH(DATEVALUE($A306),'changes1_based on steps'!C$1:C$400,0)),C$2,)</f>
        <v>0</v>
      </c>
      <c r="D306" s="140">
        <f ca="1">IF(ISNUMBER(MATCH(DATEVALUE($A306),'changes1_based on steps'!D$1:D$400,0)),D$2,)</f>
        <v>0</v>
      </c>
      <c r="E306" s="140">
        <f ca="1">IF(ISNUMBER(MATCH(DATEVALUE($A306),'changes1_based on steps'!E$1:E$400,0)),E$2,)</f>
        <v>0</v>
      </c>
      <c r="F306" s="140">
        <f ca="1">IF(ISNUMBER(MATCH(DATEVALUE($A306),'changes1_based on steps'!F$1:F$400,0)),F$2,)</f>
        <v>0</v>
      </c>
      <c r="G306" s="140">
        <f ca="1">IF(ISNUMBER(MATCH(DATEVALUE($A306),'changes1_based on steps'!G$1:G$400,0)),G$2,)</f>
        <v>0</v>
      </c>
      <c r="H306" s="140">
        <f ca="1">IF(ISNUMBER(MATCH(DATEVALUE($A306),'changes1_based on steps'!H$1:H$400,0)),H$2,)</f>
        <v>0</v>
      </c>
      <c r="I306" s="140">
        <f ca="1">IF(ISNUMBER(MATCH(DATEVALUE($A306),'changes1_based on steps'!I$1:I$400,0)),I$2,)</f>
        <v>0</v>
      </c>
      <c r="J306" s="140">
        <f ca="1">IF(ISNUMBER(MATCH(DATEVALUE($A306),'changes1_based on steps'!J$1:J$400,0)),J$2,)</f>
        <v>0</v>
      </c>
      <c r="K306" s="140">
        <f ca="1">IF(ISNUMBER(MATCH(DATEVALUE($A306),'changes1_based on steps'!K$1:K$400,0)),K$2,)</f>
        <v>0</v>
      </c>
      <c r="L306" s="140">
        <f ca="1">IF(ISNUMBER(MATCH(DATEVALUE($A306),'changes1_based on steps'!L$1:L$400,0)),L$2,)</f>
        <v>0</v>
      </c>
      <c r="M306" s="140">
        <f ca="1">IF(ISNUMBER(MATCH(DATEVALUE($A306),'changes1_based on steps'!M$1:M$400,0)),M$2,)</f>
        <v>0</v>
      </c>
      <c r="N306" s="140">
        <f ca="1">IF(ISNUMBER(MATCH(DATEVALUE($A306),'changes1_based on steps'!N$1:N$400,0)),N$2,)</f>
        <v>0</v>
      </c>
      <c r="O306" s="140">
        <f ca="1">IF(ISNUMBER(MATCH(DATEVALUE($A306),'changes1_based on steps'!O$1:O$400,0)),O$2,)</f>
        <v>0</v>
      </c>
      <c r="P306" s="140">
        <f ca="1">IF(ISNUMBER(MATCH(DATEVALUE($A306),'changes1_based on steps'!P$1:P$400,0)),P$2,)</f>
        <v>0</v>
      </c>
      <c r="Q306" s="140">
        <f ca="1">IF(ISNUMBER(MATCH(DATEVALUE($A306),'changes1_based on steps'!Q$1:Q$400,0)),Q$2,)</f>
        <v>0</v>
      </c>
      <c r="R306" s="140">
        <f ca="1">IF(ISNUMBER(MATCH(DATEVALUE($A306),'changes1_based on steps'!R$1:R$400,0)),R$2,)</f>
        <v>0</v>
      </c>
      <c r="S306" s="140">
        <f ca="1">IF(ISNUMBER(MATCH(DATEVALUE($A306),'changes1_based on steps'!S$1:S$400,0)),S$2,)</f>
        <v>0</v>
      </c>
      <c r="T306" s="140">
        <f ca="1">IF(ISNUMBER(MATCH(DATEVALUE($A306),'changes1_based on steps'!T$1:T$400,0)),T$2,)</f>
        <v>0</v>
      </c>
      <c r="U306" s="140">
        <f ca="1">IF(ISNUMBER(MATCH(DATEVALUE($A306),'changes1_based on steps'!U$1:U$400,0)),U$2,)</f>
        <v>0</v>
      </c>
      <c r="V306" s="140"/>
      <c r="W306" s="140"/>
      <c r="X306" s="140"/>
      <c r="Y306" s="140"/>
      <c r="Z306" s="140"/>
      <c r="AA306" s="140"/>
      <c r="AB306" s="140"/>
      <c r="AC306" s="140"/>
      <c r="AD306" s="140"/>
      <c r="AE306" s="140"/>
      <c r="AF306" s="140"/>
      <c r="AG306" s="140"/>
      <c r="AH306" s="140"/>
      <c r="AI306" s="140"/>
      <c r="AJ306" s="140"/>
      <c r="AK306" s="140"/>
      <c r="AL306" s="140"/>
      <c r="AM306" s="140"/>
      <c r="AN306" s="140"/>
      <c r="AO306" s="140"/>
      <c r="AP306" s="140"/>
      <c r="AQ306" s="140"/>
      <c r="AR306" s="140"/>
      <c r="AS306" s="140"/>
      <c r="AT306" s="140"/>
      <c r="AU306" s="140"/>
      <c r="AV306" s="140"/>
      <c r="AW306" s="140"/>
      <c r="AX306" s="140"/>
      <c r="AY306" s="140"/>
      <c r="AZ306" s="140"/>
      <c r="BA306" s="140"/>
      <c r="BB306" s="140"/>
      <c r="BC306" s="140"/>
      <c r="BD306" s="140"/>
      <c r="BE306" s="140"/>
      <c r="BF306" s="140"/>
      <c r="BG306" s="140"/>
      <c r="BH306" s="140"/>
      <c r="BI306" s="140"/>
      <c r="BJ306" s="140"/>
      <c r="BK306" s="140"/>
      <c r="BL306" s="140"/>
      <c r="BM306" s="140"/>
      <c r="BN306" s="140"/>
      <c r="BO306" s="140"/>
      <c r="BP306" s="140"/>
      <c r="BQ306" s="140"/>
      <c r="BR306" s="140"/>
      <c r="BS306" s="140"/>
      <c r="BT306" s="140"/>
      <c r="BU306" s="140"/>
      <c r="BV306" s="140"/>
      <c r="BW306" s="140"/>
      <c r="BX306" s="140"/>
      <c r="BY306" s="140"/>
      <c r="BZ306" s="140"/>
      <c r="CA306" s="140"/>
      <c r="CB306" s="140"/>
      <c r="CC306" s="140"/>
      <c r="CD306" s="140"/>
      <c r="CE306" s="140"/>
      <c r="CF306" s="140"/>
      <c r="CG306" s="140"/>
      <c r="CH306" s="140"/>
      <c r="CI306" s="140"/>
      <c r="CJ306" s="140"/>
      <c r="CK306" s="140"/>
      <c r="CL306" s="140"/>
      <c r="CM306" s="140"/>
      <c r="CN306" s="140"/>
      <c r="CO306" s="140"/>
      <c r="CP306" s="140"/>
      <c r="CQ306" s="140"/>
      <c r="CR306" s="140"/>
      <c r="CS306" s="140"/>
      <c r="CT306" s="140"/>
      <c r="CU306" s="140"/>
      <c r="CV306" s="140"/>
      <c r="CW306" s="140"/>
    </row>
    <row r="307" spans="1:101" x14ac:dyDescent="0.2">
      <c r="A307" s="29" t="str">
        <f t="shared" ca="1" si="4"/>
        <v>2026-01-25</v>
      </c>
      <c r="B307" s="140">
        <f ca="1">IF(ISNUMBER(MATCH(DATEVALUE($A307),'changes1_based on steps'!B$1:B$400,0)),B$2,)</f>
        <v>0</v>
      </c>
      <c r="C307" s="140">
        <f ca="1">IF(ISNUMBER(MATCH(DATEVALUE($A307),'changes1_based on steps'!C$1:C$400,0)),C$2,)</f>
        <v>0</v>
      </c>
      <c r="D307" s="140">
        <f ca="1">IF(ISNUMBER(MATCH(DATEVALUE($A307),'changes1_based on steps'!D$1:D$400,0)),D$2,)</f>
        <v>0</v>
      </c>
      <c r="E307" s="140">
        <f ca="1">IF(ISNUMBER(MATCH(DATEVALUE($A307),'changes1_based on steps'!E$1:E$400,0)),E$2,)</f>
        <v>0</v>
      </c>
      <c r="F307" s="140">
        <f ca="1">IF(ISNUMBER(MATCH(DATEVALUE($A307),'changes1_based on steps'!F$1:F$400,0)),F$2,)</f>
        <v>0</v>
      </c>
      <c r="G307" s="140">
        <f ca="1">IF(ISNUMBER(MATCH(DATEVALUE($A307),'changes1_based on steps'!G$1:G$400,0)),G$2,)</f>
        <v>0</v>
      </c>
      <c r="H307" s="140">
        <f ca="1">IF(ISNUMBER(MATCH(DATEVALUE($A307),'changes1_based on steps'!H$1:H$400,0)),H$2,)</f>
        <v>0</v>
      </c>
      <c r="I307" s="140">
        <f ca="1">IF(ISNUMBER(MATCH(DATEVALUE($A307),'changes1_based on steps'!I$1:I$400,0)),I$2,)</f>
        <v>0</v>
      </c>
      <c r="J307" s="140">
        <f ca="1">IF(ISNUMBER(MATCH(DATEVALUE($A307),'changes1_based on steps'!J$1:J$400,0)),J$2,)</f>
        <v>0</v>
      </c>
      <c r="K307" s="140">
        <f ca="1">IF(ISNUMBER(MATCH(DATEVALUE($A307),'changes1_based on steps'!K$1:K$400,0)),K$2,)</f>
        <v>0</v>
      </c>
      <c r="L307" s="140">
        <f ca="1">IF(ISNUMBER(MATCH(DATEVALUE($A307),'changes1_based on steps'!L$1:L$400,0)),L$2,)</f>
        <v>0</v>
      </c>
      <c r="M307" s="140">
        <f ca="1">IF(ISNUMBER(MATCH(DATEVALUE($A307),'changes1_based on steps'!M$1:M$400,0)),M$2,)</f>
        <v>0</v>
      </c>
      <c r="N307" s="140">
        <f ca="1">IF(ISNUMBER(MATCH(DATEVALUE($A307),'changes1_based on steps'!N$1:N$400,0)),N$2,)</f>
        <v>0</v>
      </c>
      <c r="O307" s="140">
        <f ca="1">IF(ISNUMBER(MATCH(DATEVALUE($A307),'changes1_based on steps'!O$1:O$400,0)),O$2,)</f>
        <v>0</v>
      </c>
      <c r="P307" s="140">
        <f ca="1">IF(ISNUMBER(MATCH(DATEVALUE($A307),'changes1_based on steps'!P$1:P$400,0)),P$2,)</f>
        <v>0</v>
      </c>
      <c r="Q307" s="140">
        <f ca="1">IF(ISNUMBER(MATCH(DATEVALUE($A307),'changes1_based on steps'!Q$1:Q$400,0)),Q$2,)</f>
        <v>0</v>
      </c>
      <c r="R307" s="140">
        <f ca="1">IF(ISNUMBER(MATCH(DATEVALUE($A307),'changes1_based on steps'!R$1:R$400,0)),R$2,)</f>
        <v>0</v>
      </c>
      <c r="S307" s="140">
        <f ca="1">IF(ISNUMBER(MATCH(DATEVALUE($A307),'changes1_based on steps'!S$1:S$400,0)),S$2,)</f>
        <v>0</v>
      </c>
      <c r="T307" s="140">
        <f ca="1">IF(ISNUMBER(MATCH(DATEVALUE($A307),'changes1_based on steps'!T$1:T$400,0)),T$2,)</f>
        <v>0</v>
      </c>
      <c r="U307" s="140">
        <f ca="1">IF(ISNUMBER(MATCH(DATEVALUE($A307),'changes1_based on steps'!U$1:U$400,0)),U$2,)</f>
        <v>0</v>
      </c>
      <c r="V307" s="140"/>
      <c r="W307" s="140"/>
      <c r="X307" s="140"/>
      <c r="Y307" s="140"/>
      <c r="Z307" s="140"/>
      <c r="AA307" s="140"/>
      <c r="AB307" s="140"/>
      <c r="AC307" s="140"/>
      <c r="AD307" s="140"/>
      <c r="AE307" s="140"/>
      <c r="AF307" s="140"/>
      <c r="AG307" s="140"/>
      <c r="AH307" s="140"/>
      <c r="AI307" s="140"/>
      <c r="AJ307" s="140"/>
      <c r="AK307" s="140"/>
      <c r="AL307" s="140"/>
      <c r="AM307" s="140"/>
      <c r="AN307" s="140"/>
      <c r="AO307" s="140"/>
      <c r="AP307" s="140"/>
      <c r="AQ307" s="140"/>
      <c r="AR307" s="140"/>
      <c r="AS307" s="140"/>
      <c r="AT307" s="140"/>
      <c r="AU307" s="140"/>
      <c r="AV307" s="140"/>
      <c r="AW307" s="140"/>
      <c r="AX307" s="140"/>
      <c r="AY307" s="140"/>
      <c r="AZ307" s="140"/>
      <c r="BA307" s="140"/>
      <c r="BB307" s="140"/>
      <c r="BC307" s="140"/>
      <c r="BD307" s="140"/>
      <c r="BE307" s="140"/>
      <c r="BF307" s="140"/>
      <c r="BG307" s="140"/>
      <c r="BH307" s="140"/>
      <c r="BI307" s="140"/>
      <c r="BJ307" s="140"/>
      <c r="BK307" s="140"/>
      <c r="BL307" s="140"/>
      <c r="BM307" s="140"/>
      <c r="BN307" s="140"/>
      <c r="BO307" s="140"/>
      <c r="BP307" s="140"/>
      <c r="BQ307" s="140"/>
      <c r="BR307" s="140"/>
      <c r="BS307" s="140"/>
      <c r="BT307" s="140"/>
      <c r="BU307" s="140"/>
      <c r="BV307" s="140"/>
      <c r="BW307" s="140"/>
      <c r="BX307" s="140"/>
      <c r="BY307" s="140"/>
      <c r="BZ307" s="140"/>
      <c r="CA307" s="140"/>
      <c r="CB307" s="140"/>
      <c r="CC307" s="140"/>
      <c r="CD307" s="140"/>
      <c r="CE307" s="140"/>
      <c r="CF307" s="140"/>
      <c r="CG307" s="140"/>
      <c r="CH307" s="140"/>
      <c r="CI307" s="140"/>
      <c r="CJ307" s="140"/>
      <c r="CK307" s="140"/>
      <c r="CL307" s="140"/>
      <c r="CM307" s="140"/>
      <c r="CN307" s="140"/>
      <c r="CO307" s="140"/>
      <c r="CP307" s="140"/>
      <c r="CQ307" s="140"/>
      <c r="CR307" s="140"/>
      <c r="CS307" s="140"/>
      <c r="CT307" s="140"/>
      <c r="CU307" s="140"/>
      <c r="CV307" s="140"/>
      <c r="CW307" s="140"/>
    </row>
    <row r="308" spans="1:101" x14ac:dyDescent="0.2">
      <c r="A308" s="29" t="str">
        <f t="shared" ca="1" si="4"/>
        <v>2026-01-26</v>
      </c>
      <c r="B308" s="140">
        <f ca="1">IF(ISNUMBER(MATCH(DATEVALUE($A308),'changes1_based on steps'!B$1:B$400,0)),B$2,)</f>
        <v>0</v>
      </c>
      <c r="C308" s="140">
        <f ca="1">IF(ISNUMBER(MATCH(DATEVALUE($A308),'changes1_based on steps'!C$1:C$400,0)),C$2,)</f>
        <v>0</v>
      </c>
      <c r="D308" s="140">
        <f ca="1">IF(ISNUMBER(MATCH(DATEVALUE($A308),'changes1_based on steps'!D$1:D$400,0)),D$2,)</f>
        <v>0</v>
      </c>
      <c r="E308" s="140">
        <f ca="1">IF(ISNUMBER(MATCH(DATEVALUE($A308),'changes1_based on steps'!E$1:E$400,0)),E$2,)</f>
        <v>0</v>
      </c>
      <c r="F308" s="140">
        <f ca="1">IF(ISNUMBER(MATCH(DATEVALUE($A308),'changes1_based on steps'!F$1:F$400,0)),F$2,)</f>
        <v>0</v>
      </c>
      <c r="G308" s="140">
        <f ca="1">IF(ISNUMBER(MATCH(DATEVALUE($A308),'changes1_based on steps'!G$1:G$400,0)),G$2,)</f>
        <v>0</v>
      </c>
      <c r="H308" s="140">
        <f ca="1">IF(ISNUMBER(MATCH(DATEVALUE($A308),'changes1_based on steps'!H$1:H$400,0)),H$2,)</f>
        <v>0</v>
      </c>
      <c r="I308" s="140">
        <f ca="1">IF(ISNUMBER(MATCH(DATEVALUE($A308),'changes1_based on steps'!I$1:I$400,0)),I$2,)</f>
        <v>0</v>
      </c>
      <c r="J308" s="140">
        <f ca="1">IF(ISNUMBER(MATCH(DATEVALUE($A308),'changes1_based on steps'!J$1:J$400,0)),J$2,)</f>
        <v>0</v>
      </c>
      <c r="K308" s="140">
        <f ca="1">IF(ISNUMBER(MATCH(DATEVALUE($A308),'changes1_based on steps'!K$1:K$400,0)),K$2,)</f>
        <v>0</v>
      </c>
      <c r="L308" s="140">
        <f ca="1">IF(ISNUMBER(MATCH(DATEVALUE($A308),'changes1_based on steps'!L$1:L$400,0)),L$2,)</f>
        <v>0</v>
      </c>
      <c r="M308" s="140">
        <f ca="1">IF(ISNUMBER(MATCH(DATEVALUE($A308),'changes1_based on steps'!M$1:M$400,0)),M$2,)</f>
        <v>0</v>
      </c>
      <c r="N308" s="140">
        <f ca="1">IF(ISNUMBER(MATCH(DATEVALUE($A308),'changes1_based on steps'!N$1:N$400,0)),N$2,)</f>
        <v>0</v>
      </c>
      <c r="O308" s="140">
        <f ca="1">IF(ISNUMBER(MATCH(DATEVALUE($A308),'changes1_based on steps'!O$1:O$400,0)),O$2,)</f>
        <v>0</v>
      </c>
      <c r="P308" s="140">
        <f ca="1">IF(ISNUMBER(MATCH(DATEVALUE($A308),'changes1_based on steps'!P$1:P$400,0)),P$2,)</f>
        <v>0</v>
      </c>
      <c r="Q308" s="140">
        <f ca="1">IF(ISNUMBER(MATCH(DATEVALUE($A308),'changes1_based on steps'!Q$1:Q$400,0)),Q$2,)</f>
        <v>0</v>
      </c>
      <c r="R308" s="140">
        <f ca="1">IF(ISNUMBER(MATCH(DATEVALUE($A308),'changes1_based on steps'!R$1:R$400,0)),R$2,)</f>
        <v>0</v>
      </c>
      <c r="S308" s="140">
        <f ca="1">IF(ISNUMBER(MATCH(DATEVALUE($A308),'changes1_based on steps'!S$1:S$400,0)),S$2,)</f>
        <v>0</v>
      </c>
      <c r="T308" s="140">
        <f ca="1">IF(ISNUMBER(MATCH(DATEVALUE($A308),'changes1_based on steps'!T$1:T$400,0)),T$2,)</f>
        <v>0</v>
      </c>
      <c r="U308" s="140">
        <f ca="1">IF(ISNUMBER(MATCH(DATEVALUE($A308),'changes1_based on steps'!U$1:U$400,0)),U$2,)</f>
        <v>0</v>
      </c>
      <c r="V308" s="140"/>
      <c r="W308" s="140"/>
      <c r="X308" s="140"/>
      <c r="Y308" s="140"/>
      <c r="Z308" s="140"/>
      <c r="AA308" s="140"/>
      <c r="AB308" s="140"/>
      <c r="AC308" s="140"/>
      <c r="AD308" s="140"/>
      <c r="AE308" s="140"/>
      <c r="AF308" s="140"/>
      <c r="AG308" s="140"/>
      <c r="AH308" s="140"/>
      <c r="AI308" s="140"/>
      <c r="AJ308" s="140"/>
      <c r="AK308" s="140"/>
      <c r="AL308" s="140"/>
      <c r="AM308" s="140"/>
      <c r="AN308" s="140"/>
      <c r="AO308" s="140"/>
      <c r="AP308" s="140"/>
      <c r="AQ308" s="140"/>
      <c r="AR308" s="140"/>
      <c r="AS308" s="140"/>
      <c r="AT308" s="140"/>
      <c r="AU308" s="140"/>
      <c r="AV308" s="140"/>
      <c r="AW308" s="140"/>
      <c r="AX308" s="140"/>
      <c r="AY308" s="140"/>
      <c r="AZ308" s="140"/>
      <c r="BA308" s="140"/>
      <c r="BB308" s="140"/>
      <c r="BC308" s="140"/>
      <c r="BD308" s="140"/>
      <c r="BE308" s="140"/>
      <c r="BF308" s="140"/>
      <c r="BG308" s="140"/>
      <c r="BH308" s="140"/>
      <c r="BI308" s="140"/>
      <c r="BJ308" s="140"/>
      <c r="BK308" s="140"/>
      <c r="BL308" s="140"/>
      <c r="BM308" s="140"/>
      <c r="BN308" s="140"/>
      <c r="BO308" s="140"/>
      <c r="BP308" s="140"/>
      <c r="BQ308" s="140"/>
      <c r="BR308" s="140"/>
      <c r="BS308" s="140"/>
      <c r="BT308" s="140"/>
      <c r="BU308" s="140"/>
      <c r="BV308" s="140"/>
      <c r="BW308" s="140"/>
      <c r="BX308" s="140"/>
      <c r="BY308" s="140"/>
      <c r="BZ308" s="140"/>
      <c r="CA308" s="140"/>
      <c r="CB308" s="140"/>
      <c r="CC308" s="140"/>
      <c r="CD308" s="140"/>
      <c r="CE308" s="140"/>
      <c r="CF308" s="140"/>
      <c r="CG308" s="140"/>
      <c r="CH308" s="140"/>
      <c r="CI308" s="140"/>
      <c r="CJ308" s="140"/>
      <c r="CK308" s="140"/>
      <c r="CL308" s="140"/>
      <c r="CM308" s="140"/>
      <c r="CN308" s="140"/>
      <c r="CO308" s="140"/>
      <c r="CP308" s="140"/>
      <c r="CQ308" s="140"/>
      <c r="CR308" s="140"/>
      <c r="CS308" s="140"/>
      <c r="CT308" s="140"/>
      <c r="CU308" s="140"/>
      <c r="CV308" s="140"/>
      <c r="CW308" s="140"/>
    </row>
    <row r="309" spans="1:101" x14ac:dyDescent="0.2">
      <c r="A309" s="29" t="str">
        <f t="shared" ca="1" si="4"/>
        <v>2026-01-27</v>
      </c>
      <c r="B309" s="140">
        <f ca="1">IF(ISNUMBER(MATCH(DATEVALUE($A309),'changes1_based on steps'!B$1:B$400,0)),B$2,)</f>
        <v>0</v>
      </c>
      <c r="C309" s="140">
        <f ca="1">IF(ISNUMBER(MATCH(DATEVALUE($A309),'changes1_based on steps'!C$1:C$400,0)),C$2,)</f>
        <v>0</v>
      </c>
      <c r="D309" s="140">
        <f ca="1">IF(ISNUMBER(MATCH(DATEVALUE($A309),'changes1_based on steps'!D$1:D$400,0)),D$2,)</f>
        <v>0</v>
      </c>
      <c r="E309" s="140">
        <f ca="1">IF(ISNUMBER(MATCH(DATEVALUE($A309),'changes1_based on steps'!E$1:E$400,0)),E$2,)</f>
        <v>0</v>
      </c>
      <c r="F309" s="140">
        <f ca="1">IF(ISNUMBER(MATCH(DATEVALUE($A309),'changes1_based on steps'!F$1:F$400,0)),F$2,)</f>
        <v>0</v>
      </c>
      <c r="G309" s="140">
        <f ca="1">IF(ISNUMBER(MATCH(DATEVALUE($A309),'changes1_based on steps'!G$1:G$400,0)),G$2,)</f>
        <v>0</v>
      </c>
      <c r="H309" s="140">
        <f ca="1">IF(ISNUMBER(MATCH(DATEVALUE($A309),'changes1_based on steps'!H$1:H$400,0)),H$2,)</f>
        <v>0</v>
      </c>
      <c r="I309" s="140">
        <f ca="1">IF(ISNUMBER(MATCH(DATEVALUE($A309),'changes1_based on steps'!I$1:I$400,0)),I$2,)</f>
        <v>0</v>
      </c>
      <c r="J309" s="140">
        <f ca="1">IF(ISNUMBER(MATCH(DATEVALUE($A309),'changes1_based on steps'!J$1:J$400,0)),J$2,)</f>
        <v>0</v>
      </c>
      <c r="K309" s="140">
        <f ca="1">IF(ISNUMBER(MATCH(DATEVALUE($A309),'changes1_based on steps'!K$1:K$400,0)),K$2,)</f>
        <v>0</v>
      </c>
      <c r="L309" s="140">
        <f ca="1">IF(ISNUMBER(MATCH(DATEVALUE($A309),'changes1_based on steps'!L$1:L$400,0)),L$2,)</f>
        <v>0</v>
      </c>
      <c r="M309" s="140">
        <f ca="1">IF(ISNUMBER(MATCH(DATEVALUE($A309),'changes1_based on steps'!M$1:M$400,0)),M$2,)</f>
        <v>0</v>
      </c>
      <c r="N309" s="140">
        <f ca="1">IF(ISNUMBER(MATCH(DATEVALUE($A309),'changes1_based on steps'!N$1:N$400,0)),N$2,)</f>
        <v>0</v>
      </c>
      <c r="O309" s="140">
        <f ca="1">IF(ISNUMBER(MATCH(DATEVALUE($A309),'changes1_based on steps'!O$1:O$400,0)),O$2,)</f>
        <v>0</v>
      </c>
      <c r="P309" s="140">
        <f ca="1">IF(ISNUMBER(MATCH(DATEVALUE($A309),'changes1_based on steps'!P$1:P$400,0)),P$2,)</f>
        <v>0</v>
      </c>
      <c r="Q309" s="140">
        <f ca="1">IF(ISNUMBER(MATCH(DATEVALUE($A309),'changes1_based on steps'!Q$1:Q$400,0)),Q$2,)</f>
        <v>0</v>
      </c>
      <c r="R309" s="140">
        <f ca="1">IF(ISNUMBER(MATCH(DATEVALUE($A309),'changes1_based on steps'!R$1:R$400,0)),R$2,)</f>
        <v>0</v>
      </c>
      <c r="S309" s="140">
        <f ca="1">IF(ISNUMBER(MATCH(DATEVALUE($A309),'changes1_based on steps'!S$1:S$400,0)),S$2,)</f>
        <v>0</v>
      </c>
      <c r="T309" s="140">
        <f ca="1">IF(ISNUMBER(MATCH(DATEVALUE($A309),'changes1_based on steps'!T$1:T$400,0)),T$2,)</f>
        <v>0</v>
      </c>
      <c r="U309" s="140">
        <f ca="1">IF(ISNUMBER(MATCH(DATEVALUE($A309),'changes1_based on steps'!U$1:U$400,0)),U$2,)</f>
        <v>0</v>
      </c>
      <c r="V309" s="140"/>
      <c r="W309" s="140"/>
      <c r="X309" s="140"/>
      <c r="Y309" s="140"/>
      <c r="Z309" s="140"/>
      <c r="AA309" s="140"/>
      <c r="AB309" s="140"/>
      <c r="AC309" s="140"/>
      <c r="AD309" s="140"/>
      <c r="AE309" s="140"/>
      <c r="AF309" s="140"/>
      <c r="AG309" s="140"/>
      <c r="AH309" s="140"/>
      <c r="AI309" s="140"/>
      <c r="AJ309" s="140"/>
      <c r="AK309" s="140"/>
      <c r="AL309" s="140"/>
      <c r="AM309" s="140"/>
      <c r="AN309" s="140"/>
      <c r="AO309" s="140"/>
      <c r="AP309" s="140"/>
      <c r="AQ309" s="140"/>
      <c r="AR309" s="140"/>
      <c r="AS309" s="140"/>
      <c r="AT309" s="140"/>
      <c r="AU309" s="140"/>
      <c r="AV309" s="140"/>
      <c r="AW309" s="140"/>
      <c r="AX309" s="140"/>
      <c r="AY309" s="140"/>
      <c r="AZ309" s="140"/>
      <c r="BA309" s="140"/>
      <c r="BB309" s="140"/>
      <c r="BC309" s="140"/>
      <c r="BD309" s="140"/>
      <c r="BE309" s="140"/>
      <c r="BF309" s="140"/>
      <c r="BG309" s="140"/>
      <c r="BH309" s="140"/>
      <c r="BI309" s="140"/>
      <c r="BJ309" s="140"/>
      <c r="BK309" s="140"/>
      <c r="BL309" s="140"/>
      <c r="BM309" s="140"/>
      <c r="BN309" s="140"/>
      <c r="BO309" s="140"/>
      <c r="BP309" s="140"/>
      <c r="BQ309" s="140"/>
      <c r="BR309" s="140"/>
      <c r="BS309" s="140"/>
      <c r="BT309" s="140"/>
      <c r="BU309" s="140"/>
      <c r="BV309" s="140"/>
      <c r="BW309" s="140"/>
      <c r="BX309" s="140"/>
      <c r="BY309" s="140"/>
      <c r="BZ309" s="140"/>
      <c r="CA309" s="140"/>
      <c r="CB309" s="140"/>
      <c r="CC309" s="140"/>
      <c r="CD309" s="140"/>
      <c r="CE309" s="140"/>
      <c r="CF309" s="140"/>
      <c r="CG309" s="140"/>
      <c r="CH309" s="140"/>
      <c r="CI309" s="140"/>
      <c r="CJ309" s="140"/>
      <c r="CK309" s="140"/>
      <c r="CL309" s="140"/>
      <c r="CM309" s="140"/>
      <c r="CN309" s="140"/>
      <c r="CO309" s="140"/>
      <c r="CP309" s="140"/>
      <c r="CQ309" s="140"/>
      <c r="CR309" s="140"/>
      <c r="CS309" s="140"/>
      <c r="CT309" s="140"/>
      <c r="CU309" s="140"/>
      <c r="CV309" s="140"/>
      <c r="CW309" s="140"/>
    </row>
    <row r="310" spans="1:101" x14ac:dyDescent="0.2">
      <c r="A310" s="29" t="str">
        <f t="shared" ca="1" si="4"/>
        <v>2026-01-28</v>
      </c>
      <c r="B310" s="140">
        <f ca="1">IF(ISNUMBER(MATCH(DATEVALUE($A310),'changes1_based on steps'!B$1:B$400,0)),B$2,)</f>
        <v>0</v>
      </c>
      <c r="C310" s="140">
        <f ca="1">IF(ISNUMBER(MATCH(DATEVALUE($A310),'changes1_based on steps'!C$1:C$400,0)),C$2,)</f>
        <v>0</v>
      </c>
      <c r="D310" s="140">
        <f ca="1">IF(ISNUMBER(MATCH(DATEVALUE($A310),'changes1_based on steps'!D$1:D$400,0)),D$2,)</f>
        <v>0</v>
      </c>
      <c r="E310" s="140">
        <f ca="1">IF(ISNUMBER(MATCH(DATEVALUE($A310),'changes1_based on steps'!E$1:E$400,0)),E$2,)</f>
        <v>0</v>
      </c>
      <c r="F310" s="140">
        <f ca="1">IF(ISNUMBER(MATCH(DATEVALUE($A310),'changes1_based on steps'!F$1:F$400,0)),F$2,)</f>
        <v>0</v>
      </c>
      <c r="G310" s="140">
        <f ca="1">IF(ISNUMBER(MATCH(DATEVALUE($A310),'changes1_based on steps'!G$1:G$400,0)),G$2,)</f>
        <v>0</v>
      </c>
      <c r="H310" s="140">
        <f ca="1">IF(ISNUMBER(MATCH(DATEVALUE($A310),'changes1_based on steps'!H$1:H$400,0)),H$2,)</f>
        <v>0</v>
      </c>
      <c r="I310" s="140">
        <f ca="1">IF(ISNUMBER(MATCH(DATEVALUE($A310),'changes1_based on steps'!I$1:I$400,0)),I$2,)</f>
        <v>0</v>
      </c>
      <c r="J310" s="140">
        <f ca="1">IF(ISNUMBER(MATCH(DATEVALUE($A310),'changes1_based on steps'!J$1:J$400,0)),J$2,)</f>
        <v>0</v>
      </c>
      <c r="K310" s="140">
        <f ca="1">IF(ISNUMBER(MATCH(DATEVALUE($A310),'changes1_based on steps'!K$1:K$400,0)),K$2,)</f>
        <v>0</v>
      </c>
      <c r="L310" s="140">
        <f ca="1">IF(ISNUMBER(MATCH(DATEVALUE($A310),'changes1_based on steps'!L$1:L$400,0)),L$2,)</f>
        <v>0</v>
      </c>
      <c r="M310" s="140">
        <f ca="1">IF(ISNUMBER(MATCH(DATEVALUE($A310),'changes1_based on steps'!M$1:M$400,0)),M$2,)</f>
        <v>0</v>
      </c>
      <c r="N310" s="140">
        <f ca="1">IF(ISNUMBER(MATCH(DATEVALUE($A310),'changes1_based on steps'!N$1:N$400,0)),N$2,)</f>
        <v>0</v>
      </c>
      <c r="O310" s="140">
        <f ca="1">IF(ISNUMBER(MATCH(DATEVALUE($A310),'changes1_based on steps'!O$1:O$400,0)),O$2,)</f>
        <v>0</v>
      </c>
      <c r="P310" s="140">
        <f ca="1">IF(ISNUMBER(MATCH(DATEVALUE($A310),'changes1_based on steps'!P$1:P$400,0)),P$2,)</f>
        <v>0</v>
      </c>
      <c r="Q310" s="140">
        <f ca="1">IF(ISNUMBER(MATCH(DATEVALUE($A310),'changes1_based on steps'!Q$1:Q$400,0)),Q$2,)</f>
        <v>0</v>
      </c>
      <c r="R310" s="140">
        <f ca="1">IF(ISNUMBER(MATCH(DATEVALUE($A310),'changes1_based on steps'!R$1:R$400,0)),R$2,)</f>
        <v>0</v>
      </c>
      <c r="S310" s="140">
        <f ca="1">IF(ISNUMBER(MATCH(DATEVALUE($A310),'changes1_based on steps'!S$1:S$400,0)),S$2,)</f>
        <v>0</v>
      </c>
      <c r="T310" s="140">
        <f ca="1">IF(ISNUMBER(MATCH(DATEVALUE($A310),'changes1_based on steps'!T$1:T$400,0)),T$2,)</f>
        <v>0</v>
      </c>
      <c r="U310" s="140">
        <f ca="1">IF(ISNUMBER(MATCH(DATEVALUE($A310),'changes1_based on steps'!U$1:U$400,0)),U$2,)</f>
        <v>0</v>
      </c>
      <c r="V310" s="140"/>
      <c r="W310" s="140"/>
      <c r="X310" s="140"/>
      <c r="Y310" s="140"/>
      <c r="Z310" s="140"/>
      <c r="AA310" s="140"/>
      <c r="AB310" s="140"/>
      <c r="AC310" s="140"/>
      <c r="AD310" s="140"/>
      <c r="AE310" s="140"/>
      <c r="AF310" s="140"/>
      <c r="AG310" s="140"/>
      <c r="AH310" s="140"/>
      <c r="AI310" s="140"/>
      <c r="AJ310" s="140"/>
      <c r="AK310" s="140"/>
      <c r="AL310" s="140"/>
      <c r="AM310" s="140"/>
      <c r="AN310" s="140"/>
      <c r="AO310" s="140"/>
      <c r="AP310" s="140"/>
      <c r="AQ310" s="140"/>
      <c r="AR310" s="140"/>
      <c r="AS310" s="140"/>
      <c r="AT310" s="140"/>
      <c r="AU310" s="140"/>
      <c r="AV310" s="140"/>
      <c r="AW310" s="140"/>
      <c r="AX310" s="140"/>
      <c r="AY310" s="140"/>
      <c r="AZ310" s="140"/>
      <c r="BA310" s="140"/>
      <c r="BB310" s="140"/>
      <c r="BC310" s="140"/>
      <c r="BD310" s="140"/>
      <c r="BE310" s="140"/>
      <c r="BF310" s="140"/>
      <c r="BG310" s="140"/>
      <c r="BH310" s="140"/>
      <c r="BI310" s="140"/>
      <c r="BJ310" s="140"/>
      <c r="BK310" s="140"/>
      <c r="BL310" s="140"/>
      <c r="BM310" s="140"/>
      <c r="BN310" s="140"/>
      <c r="BO310" s="140"/>
      <c r="BP310" s="140"/>
      <c r="BQ310" s="140"/>
      <c r="BR310" s="140"/>
      <c r="BS310" s="140"/>
      <c r="BT310" s="140"/>
      <c r="BU310" s="140"/>
      <c r="BV310" s="140"/>
      <c r="BW310" s="140"/>
      <c r="BX310" s="140"/>
      <c r="BY310" s="140"/>
      <c r="BZ310" s="140"/>
      <c r="CA310" s="140"/>
      <c r="CB310" s="140"/>
      <c r="CC310" s="140"/>
      <c r="CD310" s="140"/>
      <c r="CE310" s="140"/>
      <c r="CF310" s="140"/>
      <c r="CG310" s="140"/>
      <c r="CH310" s="140"/>
      <c r="CI310" s="140"/>
      <c r="CJ310" s="140"/>
      <c r="CK310" s="140"/>
      <c r="CL310" s="140"/>
      <c r="CM310" s="140"/>
      <c r="CN310" s="140"/>
      <c r="CO310" s="140"/>
      <c r="CP310" s="140"/>
      <c r="CQ310" s="140"/>
      <c r="CR310" s="140"/>
      <c r="CS310" s="140"/>
      <c r="CT310" s="140"/>
      <c r="CU310" s="140"/>
      <c r="CV310" s="140"/>
      <c r="CW310" s="140"/>
    </row>
    <row r="311" spans="1:101" x14ac:dyDescent="0.2">
      <c r="A311" s="29" t="str">
        <f t="shared" ca="1" si="4"/>
        <v>2026-01-29</v>
      </c>
      <c r="B311" s="140">
        <f ca="1">IF(ISNUMBER(MATCH(DATEVALUE($A311),'changes1_based on steps'!B$1:B$400,0)),B$2,)</f>
        <v>0</v>
      </c>
      <c r="C311" s="140">
        <f ca="1">IF(ISNUMBER(MATCH(DATEVALUE($A311),'changes1_based on steps'!C$1:C$400,0)),C$2,)</f>
        <v>0</v>
      </c>
      <c r="D311" s="140">
        <f ca="1">IF(ISNUMBER(MATCH(DATEVALUE($A311),'changes1_based on steps'!D$1:D$400,0)),D$2,)</f>
        <v>0</v>
      </c>
      <c r="E311" s="140">
        <f ca="1">IF(ISNUMBER(MATCH(DATEVALUE($A311),'changes1_based on steps'!E$1:E$400,0)),E$2,)</f>
        <v>0</v>
      </c>
      <c r="F311" s="140">
        <f ca="1">IF(ISNUMBER(MATCH(DATEVALUE($A311),'changes1_based on steps'!F$1:F$400,0)),F$2,)</f>
        <v>0</v>
      </c>
      <c r="G311" s="140">
        <f ca="1">IF(ISNUMBER(MATCH(DATEVALUE($A311),'changes1_based on steps'!G$1:G$400,0)),G$2,)</f>
        <v>0</v>
      </c>
      <c r="H311" s="140">
        <f ca="1">IF(ISNUMBER(MATCH(DATEVALUE($A311),'changes1_based on steps'!H$1:H$400,0)),H$2,)</f>
        <v>0</v>
      </c>
      <c r="I311" s="140">
        <f ca="1">IF(ISNUMBER(MATCH(DATEVALUE($A311),'changes1_based on steps'!I$1:I$400,0)),I$2,)</f>
        <v>0</v>
      </c>
      <c r="J311" s="140">
        <f ca="1">IF(ISNUMBER(MATCH(DATEVALUE($A311),'changes1_based on steps'!J$1:J$400,0)),J$2,)</f>
        <v>0</v>
      </c>
      <c r="K311" s="140">
        <f ca="1">IF(ISNUMBER(MATCH(DATEVALUE($A311),'changes1_based on steps'!K$1:K$400,0)),K$2,)</f>
        <v>0</v>
      </c>
      <c r="L311" s="140">
        <f ca="1">IF(ISNUMBER(MATCH(DATEVALUE($A311),'changes1_based on steps'!L$1:L$400,0)),L$2,)</f>
        <v>0</v>
      </c>
      <c r="M311" s="140">
        <f ca="1">IF(ISNUMBER(MATCH(DATEVALUE($A311),'changes1_based on steps'!M$1:M$400,0)),M$2,)</f>
        <v>0</v>
      </c>
      <c r="N311" s="140">
        <f ca="1">IF(ISNUMBER(MATCH(DATEVALUE($A311),'changes1_based on steps'!N$1:N$400,0)),N$2,)</f>
        <v>0</v>
      </c>
      <c r="O311" s="140">
        <f ca="1">IF(ISNUMBER(MATCH(DATEVALUE($A311),'changes1_based on steps'!O$1:O$400,0)),O$2,)</f>
        <v>0</v>
      </c>
      <c r="P311" s="140">
        <f ca="1">IF(ISNUMBER(MATCH(DATEVALUE($A311),'changes1_based on steps'!P$1:P$400,0)),P$2,)</f>
        <v>0</v>
      </c>
      <c r="Q311" s="140">
        <f ca="1">IF(ISNUMBER(MATCH(DATEVALUE($A311),'changes1_based on steps'!Q$1:Q$400,0)),Q$2,)</f>
        <v>0</v>
      </c>
      <c r="R311" s="140">
        <f ca="1">IF(ISNUMBER(MATCH(DATEVALUE($A311),'changes1_based on steps'!R$1:R$400,0)),R$2,)</f>
        <v>0</v>
      </c>
      <c r="S311" s="140">
        <f ca="1">IF(ISNUMBER(MATCH(DATEVALUE($A311),'changes1_based on steps'!S$1:S$400,0)),S$2,)</f>
        <v>0</v>
      </c>
      <c r="T311" s="140">
        <f ca="1">IF(ISNUMBER(MATCH(DATEVALUE($A311),'changes1_based on steps'!T$1:T$400,0)),T$2,)</f>
        <v>0</v>
      </c>
      <c r="U311" s="140">
        <f ca="1">IF(ISNUMBER(MATCH(DATEVALUE($A311),'changes1_based on steps'!U$1:U$400,0)),U$2,)</f>
        <v>0</v>
      </c>
      <c r="V311" s="140"/>
      <c r="W311" s="140"/>
      <c r="X311" s="140"/>
      <c r="Y311" s="140"/>
      <c r="Z311" s="140"/>
      <c r="AA311" s="140"/>
      <c r="AB311" s="140"/>
      <c r="AC311" s="140"/>
      <c r="AD311" s="140"/>
      <c r="AE311" s="140"/>
      <c r="AF311" s="140"/>
      <c r="AG311" s="140"/>
      <c r="AH311" s="140"/>
      <c r="AI311" s="140"/>
      <c r="AJ311" s="140"/>
      <c r="AK311" s="140"/>
      <c r="AL311" s="140"/>
      <c r="AM311" s="140"/>
      <c r="AN311" s="140"/>
      <c r="AO311" s="140"/>
      <c r="AP311" s="140"/>
      <c r="AQ311" s="140"/>
      <c r="AR311" s="140"/>
      <c r="AS311" s="140"/>
      <c r="AT311" s="140"/>
      <c r="AU311" s="140"/>
      <c r="AV311" s="140"/>
      <c r="AW311" s="140"/>
      <c r="AX311" s="140"/>
      <c r="AY311" s="140"/>
      <c r="AZ311" s="140"/>
      <c r="BA311" s="140"/>
      <c r="BB311" s="140"/>
      <c r="BC311" s="140"/>
      <c r="BD311" s="140"/>
      <c r="BE311" s="140"/>
      <c r="BF311" s="140"/>
      <c r="BG311" s="140"/>
      <c r="BH311" s="140"/>
      <c r="BI311" s="140"/>
      <c r="BJ311" s="140"/>
      <c r="BK311" s="140"/>
      <c r="BL311" s="140"/>
      <c r="BM311" s="140"/>
      <c r="BN311" s="140"/>
      <c r="BO311" s="140"/>
      <c r="BP311" s="140"/>
      <c r="BQ311" s="140"/>
      <c r="BR311" s="140"/>
      <c r="BS311" s="140"/>
      <c r="BT311" s="140"/>
      <c r="BU311" s="140"/>
      <c r="BV311" s="140"/>
      <c r="BW311" s="140"/>
      <c r="BX311" s="140"/>
      <c r="BY311" s="140"/>
      <c r="BZ311" s="140"/>
      <c r="CA311" s="140"/>
      <c r="CB311" s="140"/>
      <c r="CC311" s="140"/>
      <c r="CD311" s="140"/>
      <c r="CE311" s="140"/>
      <c r="CF311" s="140"/>
      <c r="CG311" s="140"/>
      <c r="CH311" s="140"/>
      <c r="CI311" s="140"/>
      <c r="CJ311" s="140"/>
      <c r="CK311" s="140"/>
      <c r="CL311" s="140"/>
      <c r="CM311" s="140"/>
      <c r="CN311" s="140"/>
      <c r="CO311" s="140"/>
      <c r="CP311" s="140"/>
      <c r="CQ311" s="140"/>
      <c r="CR311" s="140"/>
      <c r="CS311" s="140"/>
      <c r="CT311" s="140"/>
      <c r="CU311" s="140"/>
      <c r="CV311" s="140"/>
      <c r="CW311" s="140"/>
    </row>
    <row r="312" spans="1:101" x14ac:dyDescent="0.2">
      <c r="A312" s="29" t="str">
        <f t="shared" ca="1" si="4"/>
        <v>2026-01-30</v>
      </c>
      <c r="B312" s="140">
        <f ca="1">IF(ISNUMBER(MATCH(DATEVALUE($A312),'changes1_based on steps'!B$1:B$400,0)),B$2,)</f>
        <v>0</v>
      </c>
      <c r="C312" s="140">
        <f ca="1">IF(ISNUMBER(MATCH(DATEVALUE($A312),'changes1_based on steps'!C$1:C$400,0)),C$2,)</f>
        <v>0</v>
      </c>
      <c r="D312" s="140">
        <f ca="1">IF(ISNUMBER(MATCH(DATEVALUE($A312),'changes1_based on steps'!D$1:D$400,0)),D$2,)</f>
        <v>0</v>
      </c>
      <c r="E312" s="140">
        <f ca="1">IF(ISNUMBER(MATCH(DATEVALUE($A312),'changes1_based on steps'!E$1:E$400,0)),E$2,)</f>
        <v>0</v>
      </c>
      <c r="F312" s="140">
        <f ca="1">IF(ISNUMBER(MATCH(DATEVALUE($A312),'changes1_based on steps'!F$1:F$400,0)),F$2,)</f>
        <v>0</v>
      </c>
      <c r="G312" s="140">
        <f ca="1">IF(ISNUMBER(MATCH(DATEVALUE($A312),'changes1_based on steps'!G$1:G$400,0)),G$2,)</f>
        <v>0</v>
      </c>
      <c r="H312" s="140">
        <f ca="1">IF(ISNUMBER(MATCH(DATEVALUE($A312),'changes1_based on steps'!H$1:H$400,0)),H$2,)</f>
        <v>0</v>
      </c>
      <c r="I312" s="140">
        <f ca="1">IF(ISNUMBER(MATCH(DATEVALUE($A312),'changes1_based on steps'!I$1:I$400,0)),I$2,)</f>
        <v>0</v>
      </c>
      <c r="J312" s="140">
        <f ca="1">IF(ISNUMBER(MATCH(DATEVALUE($A312),'changes1_based on steps'!J$1:J$400,0)),J$2,)</f>
        <v>0</v>
      </c>
      <c r="K312" s="140">
        <f ca="1">IF(ISNUMBER(MATCH(DATEVALUE($A312),'changes1_based on steps'!K$1:K$400,0)),K$2,)</f>
        <v>0</v>
      </c>
      <c r="L312" s="140">
        <f ca="1">IF(ISNUMBER(MATCH(DATEVALUE($A312),'changes1_based on steps'!L$1:L$400,0)),L$2,)</f>
        <v>0</v>
      </c>
      <c r="M312" s="140">
        <f ca="1">IF(ISNUMBER(MATCH(DATEVALUE($A312),'changes1_based on steps'!M$1:M$400,0)),M$2,)</f>
        <v>0</v>
      </c>
      <c r="N312" s="140">
        <f ca="1">IF(ISNUMBER(MATCH(DATEVALUE($A312),'changes1_based on steps'!N$1:N$400,0)),N$2,)</f>
        <v>0</v>
      </c>
      <c r="O312" s="140">
        <f ca="1">IF(ISNUMBER(MATCH(DATEVALUE($A312),'changes1_based on steps'!O$1:O$400,0)),O$2,)</f>
        <v>0</v>
      </c>
      <c r="P312" s="140">
        <f ca="1">IF(ISNUMBER(MATCH(DATEVALUE($A312),'changes1_based on steps'!P$1:P$400,0)),P$2,)</f>
        <v>0</v>
      </c>
      <c r="Q312" s="140">
        <f ca="1">IF(ISNUMBER(MATCH(DATEVALUE($A312),'changes1_based on steps'!Q$1:Q$400,0)),Q$2,)</f>
        <v>0</v>
      </c>
      <c r="R312" s="140">
        <f ca="1">IF(ISNUMBER(MATCH(DATEVALUE($A312),'changes1_based on steps'!R$1:R$400,0)),R$2,)</f>
        <v>0</v>
      </c>
      <c r="S312" s="140">
        <f ca="1">IF(ISNUMBER(MATCH(DATEVALUE($A312),'changes1_based on steps'!S$1:S$400,0)),S$2,)</f>
        <v>0</v>
      </c>
      <c r="T312" s="140">
        <f ca="1">IF(ISNUMBER(MATCH(DATEVALUE($A312),'changes1_based on steps'!T$1:T$400,0)),T$2,)</f>
        <v>0</v>
      </c>
      <c r="U312" s="140">
        <f ca="1">IF(ISNUMBER(MATCH(DATEVALUE($A312),'changes1_based on steps'!U$1:U$400,0)),U$2,)</f>
        <v>0</v>
      </c>
      <c r="V312" s="140"/>
      <c r="W312" s="140"/>
      <c r="X312" s="140"/>
      <c r="Y312" s="140"/>
      <c r="Z312" s="140"/>
      <c r="AA312" s="140"/>
      <c r="AB312" s="140"/>
      <c r="AC312" s="140"/>
      <c r="AD312" s="140"/>
      <c r="AE312" s="140"/>
      <c r="AF312" s="140"/>
      <c r="AG312" s="140"/>
      <c r="AH312" s="140"/>
      <c r="AI312" s="140"/>
      <c r="AJ312" s="140"/>
      <c r="AK312" s="140"/>
      <c r="AL312" s="140"/>
      <c r="AM312" s="140"/>
      <c r="AN312" s="140"/>
      <c r="AO312" s="140"/>
      <c r="AP312" s="140"/>
      <c r="AQ312" s="140"/>
      <c r="AR312" s="140"/>
      <c r="AS312" s="140"/>
      <c r="AT312" s="140"/>
      <c r="AU312" s="140"/>
      <c r="AV312" s="140"/>
      <c r="AW312" s="140"/>
      <c r="AX312" s="140"/>
      <c r="AY312" s="140"/>
      <c r="AZ312" s="140"/>
      <c r="BA312" s="140"/>
      <c r="BB312" s="140"/>
      <c r="BC312" s="140"/>
      <c r="BD312" s="140"/>
      <c r="BE312" s="140"/>
      <c r="BF312" s="140"/>
      <c r="BG312" s="140"/>
      <c r="BH312" s="140"/>
      <c r="BI312" s="140"/>
      <c r="BJ312" s="140"/>
      <c r="BK312" s="140"/>
      <c r="BL312" s="140"/>
      <c r="BM312" s="140"/>
      <c r="BN312" s="140"/>
      <c r="BO312" s="140"/>
      <c r="BP312" s="140"/>
      <c r="BQ312" s="140"/>
      <c r="BR312" s="140"/>
      <c r="BS312" s="140"/>
      <c r="BT312" s="140"/>
      <c r="BU312" s="140"/>
      <c r="BV312" s="140"/>
      <c r="BW312" s="140"/>
      <c r="BX312" s="140"/>
      <c r="BY312" s="140"/>
      <c r="BZ312" s="140"/>
      <c r="CA312" s="140"/>
      <c r="CB312" s="140"/>
      <c r="CC312" s="140"/>
      <c r="CD312" s="140"/>
      <c r="CE312" s="140"/>
      <c r="CF312" s="140"/>
      <c r="CG312" s="140"/>
      <c r="CH312" s="140"/>
      <c r="CI312" s="140"/>
      <c r="CJ312" s="140"/>
      <c r="CK312" s="140"/>
      <c r="CL312" s="140"/>
      <c r="CM312" s="140"/>
      <c r="CN312" s="140"/>
      <c r="CO312" s="140"/>
      <c r="CP312" s="140"/>
      <c r="CQ312" s="140"/>
      <c r="CR312" s="140"/>
      <c r="CS312" s="140"/>
      <c r="CT312" s="140"/>
      <c r="CU312" s="140"/>
      <c r="CV312" s="140"/>
      <c r="CW312" s="140"/>
    </row>
    <row r="313" spans="1:101" x14ac:dyDescent="0.2">
      <c r="A313" s="29" t="str">
        <f t="shared" ca="1" si="4"/>
        <v>2026-01-31</v>
      </c>
      <c r="B313" s="140">
        <f ca="1">IF(ISNUMBER(MATCH(DATEVALUE($A313),'changes1_based on steps'!B$1:B$400,0)),B$2,)</f>
        <v>0</v>
      </c>
      <c r="C313" s="140">
        <f ca="1">IF(ISNUMBER(MATCH(DATEVALUE($A313),'changes1_based on steps'!C$1:C$400,0)),C$2,)</f>
        <v>0</v>
      </c>
      <c r="D313" s="140">
        <f ca="1">IF(ISNUMBER(MATCH(DATEVALUE($A313),'changes1_based on steps'!D$1:D$400,0)),D$2,)</f>
        <v>0</v>
      </c>
      <c r="E313" s="140">
        <f ca="1">IF(ISNUMBER(MATCH(DATEVALUE($A313),'changes1_based on steps'!E$1:E$400,0)),E$2,)</f>
        <v>0</v>
      </c>
      <c r="F313" s="140">
        <f ca="1">IF(ISNUMBER(MATCH(DATEVALUE($A313),'changes1_based on steps'!F$1:F$400,0)),F$2,)</f>
        <v>0</v>
      </c>
      <c r="G313" s="140">
        <f ca="1">IF(ISNUMBER(MATCH(DATEVALUE($A313),'changes1_based on steps'!G$1:G$400,0)),G$2,)</f>
        <v>0</v>
      </c>
      <c r="H313" s="140">
        <f ca="1">IF(ISNUMBER(MATCH(DATEVALUE($A313),'changes1_based on steps'!H$1:H$400,0)),H$2,)</f>
        <v>0</v>
      </c>
      <c r="I313" s="140">
        <f ca="1">IF(ISNUMBER(MATCH(DATEVALUE($A313),'changes1_based on steps'!I$1:I$400,0)),I$2,)</f>
        <v>0</v>
      </c>
      <c r="J313" s="140">
        <f ca="1">IF(ISNUMBER(MATCH(DATEVALUE($A313),'changes1_based on steps'!J$1:J$400,0)),J$2,)</f>
        <v>0</v>
      </c>
      <c r="K313" s="140">
        <f ca="1">IF(ISNUMBER(MATCH(DATEVALUE($A313),'changes1_based on steps'!K$1:K$400,0)),K$2,)</f>
        <v>0</v>
      </c>
      <c r="L313" s="140">
        <f ca="1">IF(ISNUMBER(MATCH(DATEVALUE($A313),'changes1_based on steps'!L$1:L$400,0)),L$2,)</f>
        <v>0</v>
      </c>
      <c r="M313" s="140">
        <f ca="1">IF(ISNUMBER(MATCH(DATEVALUE($A313),'changes1_based on steps'!M$1:M$400,0)),M$2,)</f>
        <v>0</v>
      </c>
      <c r="N313" s="140">
        <f ca="1">IF(ISNUMBER(MATCH(DATEVALUE($A313),'changes1_based on steps'!N$1:N$400,0)),N$2,)</f>
        <v>0</v>
      </c>
      <c r="O313" s="140">
        <f ca="1">IF(ISNUMBER(MATCH(DATEVALUE($A313),'changes1_based on steps'!O$1:O$400,0)),O$2,)</f>
        <v>0</v>
      </c>
      <c r="P313" s="140">
        <f ca="1">IF(ISNUMBER(MATCH(DATEVALUE($A313),'changes1_based on steps'!P$1:P$400,0)),P$2,)</f>
        <v>0</v>
      </c>
      <c r="Q313" s="140">
        <f ca="1">IF(ISNUMBER(MATCH(DATEVALUE($A313),'changes1_based on steps'!Q$1:Q$400,0)),Q$2,)</f>
        <v>0</v>
      </c>
      <c r="R313" s="140">
        <f ca="1">IF(ISNUMBER(MATCH(DATEVALUE($A313),'changes1_based on steps'!R$1:R$400,0)),R$2,)</f>
        <v>0</v>
      </c>
      <c r="S313" s="140">
        <f ca="1">IF(ISNUMBER(MATCH(DATEVALUE($A313),'changes1_based on steps'!S$1:S$400,0)),S$2,)</f>
        <v>0</v>
      </c>
      <c r="T313" s="140">
        <f ca="1">IF(ISNUMBER(MATCH(DATEVALUE($A313),'changes1_based on steps'!T$1:T$400,0)),T$2,)</f>
        <v>0</v>
      </c>
      <c r="U313" s="140">
        <f ca="1">IF(ISNUMBER(MATCH(DATEVALUE($A313),'changes1_based on steps'!U$1:U$400,0)),U$2,)</f>
        <v>0</v>
      </c>
      <c r="V313" s="140"/>
      <c r="W313" s="140"/>
      <c r="X313" s="140"/>
      <c r="Y313" s="140"/>
      <c r="Z313" s="140"/>
      <c r="AA313" s="140"/>
      <c r="AB313" s="140"/>
      <c r="AC313" s="140"/>
      <c r="AD313" s="140"/>
      <c r="AE313" s="140"/>
      <c r="AF313" s="140"/>
      <c r="AG313" s="140"/>
      <c r="AH313" s="140"/>
      <c r="AI313" s="140"/>
      <c r="AJ313" s="140"/>
      <c r="AK313" s="140"/>
      <c r="AL313" s="140"/>
      <c r="AM313" s="140"/>
      <c r="AN313" s="140"/>
      <c r="AO313" s="140"/>
      <c r="AP313" s="140"/>
      <c r="AQ313" s="140"/>
      <c r="AR313" s="140"/>
      <c r="AS313" s="140"/>
      <c r="AT313" s="140"/>
      <c r="AU313" s="140"/>
      <c r="AV313" s="140"/>
      <c r="AW313" s="140"/>
      <c r="AX313" s="140"/>
      <c r="AY313" s="140"/>
      <c r="AZ313" s="140"/>
      <c r="BA313" s="140"/>
      <c r="BB313" s="140"/>
      <c r="BC313" s="140"/>
      <c r="BD313" s="140"/>
      <c r="BE313" s="140"/>
      <c r="BF313" s="140"/>
      <c r="BG313" s="140"/>
      <c r="BH313" s="140"/>
      <c r="BI313" s="140"/>
      <c r="BJ313" s="140"/>
      <c r="BK313" s="140"/>
      <c r="BL313" s="140"/>
      <c r="BM313" s="140"/>
      <c r="BN313" s="140"/>
      <c r="BO313" s="140"/>
      <c r="BP313" s="140"/>
      <c r="BQ313" s="140"/>
      <c r="BR313" s="140"/>
      <c r="BS313" s="140"/>
      <c r="BT313" s="140"/>
      <c r="BU313" s="140"/>
      <c r="BV313" s="140"/>
      <c r="BW313" s="140"/>
      <c r="BX313" s="140"/>
      <c r="BY313" s="140"/>
      <c r="BZ313" s="140"/>
      <c r="CA313" s="140"/>
      <c r="CB313" s="140"/>
      <c r="CC313" s="140"/>
      <c r="CD313" s="140"/>
      <c r="CE313" s="140"/>
      <c r="CF313" s="140"/>
      <c r="CG313" s="140"/>
      <c r="CH313" s="140"/>
      <c r="CI313" s="140"/>
      <c r="CJ313" s="140"/>
      <c r="CK313" s="140"/>
      <c r="CL313" s="140"/>
      <c r="CM313" s="140"/>
      <c r="CN313" s="140"/>
      <c r="CO313" s="140"/>
      <c r="CP313" s="140"/>
      <c r="CQ313" s="140"/>
      <c r="CR313" s="140"/>
      <c r="CS313" s="140"/>
      <c r="CT313" s="140"/>
      <c r="CU313" s="140"/>
      <c r="CV313" s="140"/>
      <c r="CW313" s="140"/>
    </row>
    <row r="314" spans="1:101" x14ac:dyDescent="0.2">
      <c r="A314" s="29" t="str">
        <f t="shared" ca="1" si="4"/>
        <v>2026-02-01</v>
      </c>
      <c r="B314" s="140">
        <f ca="1">IF(ISNUMBER(MATCH(DATEVALUE($A314),'changes1_based on steps'!B$1:B$400,0)),B$2,)</f>
        <v>0</v>
      </c>
      <c r="C314" s="140">
        <f ca="1">IF(ISNUMBER(MATCH(DATEVALUE($A314),'changes1_based on steps'!C$1:C$400,0)),C$2,)</f>
        <v>0</v>
      </c>
      <c r="D314" s="140">
        <f ca="1">IF(ISNUMBER(MATCH(DATEVALUE($A314),'changes1_based on steps'!D$1:D$400,0)),D$2,)</f>
        <v>0</v>
      </c>
      <c r="E314" s="140">
        <f ca="1">IF(ISNUMBER(MATCH(DATEVALUE($A314),'changes1_based on steps'!E$1:E$400,0)),E$2,)</f>
        <v>0</v>
      </c>
      <c r="F314" s="140">
        <f ca="1">IF(ISNUMBER(MATCH(DATEVALUE($A314),'changes1_based on steps'!F$1:F$400,0)),F$2,)</f>
        <v>0</v>
      </c>
      <c r="G314" s="140">
        <f ca="1">IF(ISNUMBER(MATCH(DATEVALUE($A314),'changes1_based on steps'!G$1:G$400,0)),G$2,)</f>
        <v>0</v>
      </c>
      <c r="H314" s="140">
        <f ca="1">IF(ISNUMBER(MATCH(DATEVALUE($A314),'changes1_based on steps'!H$1:H$400,0)),H$2,)</f>
        <v>0</v>
      </c>
      <c r="I314" s="140">
        <f ca="1">IF(ISNUMBER(MATCH(DATEVALUE($A314),'changes1_based on steps'!I$1:I$400,0)),I$2,)</f>
        <v>0</v>
      </c>
      <c r="J314" s="140">
        <f ca="1">IF(ISNUMBER(MATCH(DATEVALUE($A314),'changes1_based on steps'!J$1:J$400,0)),J$2,)</f>
        <v>0</v>
      </c>
      <c r="K314" s="140">
        <f ca="1">IF(ISNUMBER(MATCH(DATEVALUE($A314),'changes1_based on steps'!K$1:K$400,0)),K$2,)</f>
        <v>0</v>
      </c>
      <c r="L314" s="140">
        <f ca="1">IF(ISNUMBER(MATCH(DATEVALUE($A314),'changes1_based on steps'!L$1:L$400,0)),L$2,)</f>
        <v>0</v>
      </c>
      <c r="M314" s="140">
        <f ca="1">IF(ISNUMBER(MATCH(DATEVALUE($A314),'changes1_based on steps'!M$1:M$400,0)),M$2,)</f>
        <v>0</v>
      </c>
      <c r="N314" s="140">
        <f ca="1">IF(ISNUMBER(MATCH(DATEVALUE($A314),'changes1_based on steps'!N$1:N$400,0)),N$2,)</f>
        <v>0</v>
      </c>
      <c r="O314" s="140">
        <f ca="1">IF(ISNUMBER(MATCH(DATEVALUE($A314),'changes1_based on steps'!O$1:O$400,0)),O$2,)</f>
        <v>0</v>
      </c>
      <c r="P314" s="140">
        <f ca="1">IF(ISNUMBER(MATCH(DATEVALUE($A314),'changes1_based on steps'!P$1:P$400,0)),P$2,)</f>
        <v>0</v>
      </c>
      <c r="Q314" s="140">
        <f ca="1">IF(ISNUMBER(MATCH(DATEVALUE($A314),'changes1_based on steps'!Q$1:Q$400,0)),Q$2,)</f>
        <v>0</v>
      </c>
      <c r="R314" s="140">
        <f ca="1">IF(ISNUMBER(MATCH(DATEVALUE($A314),'changes1_based on steps'!R$1:R$400,0)),R$2,)</f>
        <v>0</v>
      </c>
      <c r="S314" s="140">
        <f ca="1">IF(ISNUMBER(MATCH(DATEVALUE($A314),'changes1_based on steps'!S$1:S$400,0)),S$2,)</f>
        <v>0</v>
      </c>
      <c r="T314" s="140">
        <f ca="1">IF(ISNUMBER(MATCH(DATEVALUE($A314),'changes1_based on steps'!T$1:T$400,0)),T$2,)</f>
        <v>0</v>
      </c>
      <c r="U314" s="140">
        <f ca="1">IF(ISNUMBER(MATCH(DATEVALUE($A314),'changes1_based on steps'!U$1:U$400,0)),U$2,)</f>
        <v>0</v>
      </c>
      <c r="V314" s="140"/>
      <c r="W314" s="140"/>
      <c r="X314" s="140"/>
      <c r="Y314" s="140"/>
      <c r="Z314" s="140"/>
      <c r="AA314" s="140"/>
      <c r="AB314" s="140"/>
      <c r="AC314" s="140"/>
      <c r="AD314" s="140"/>
      <c r="AE314" s="140"/>
      <c r="AF314" s="140"/>
      <c r="AG314" s="140"/>
      <c r="AH314" s="140"/>
      <c r="AI314" s="140"/>
      <c r="AJ314" s="140"/>
      <c r="AK314" s="140"/>
      <c r="AL314" s="140"/>
      <c r="AM314" s="140"/>
      <c r="AN314" s="140"/>
      <c r="AO314" s="140"/>
      <c r="AP314" s="140"/>
      <c r="AQ314" s="140"/>
      <c r="AR314" s="140"/>
      <c r="AS314" s="140"/>
      <c r="AT314" s="140"/>
      <c r="AU314" s="140"/>
      <c r="AV314" s="140"/>
      <c r="AW314" s="140"/>
      <c r="AX314" s="140"/>
      <c r="AY314" s="140"/>
      <c r="AZ314" s="140"/>
      <c r="BA314" s="140"/>
      <c r="BB314" s="140"/>
      <c r="BC314" s="140"/>
      <c r="BD314" s="140"/>
      <c r="BE314" s="140"/>
      <c r="BF314" s="140"/>
      <c r="BG314" s="140"/>
      <c r="BH314" s="140"/>
      <c r="BI314" s="140"/>
      <c r="BJ314" s="140"/>
      <c r="BK314" s="140"/>
      <c r="BL314" s="140"/>
      <c r="BM314" s="140"/>
      <c r="BN314" s="140"/>
      <c r="BO314" s="140"/>
      <c r="BP314" s="140"/>
      <c r="BQ314" s="140"/>
      <c r="BR314" s="140"/>
      <c r="BS314" s="140"/>
      <c r="BT314" s="140"/>
      <c r="BU314" s="140"/>
      <c r="BV314" s="140"/>
      <c r="BW314" s="140"/>
      <c r="BX314" s="140"/>
      <c r="BY314" s="140"/>
      <c r="BZ314" s="140"/>
      <c r="CA314" s="140"/>
      <c r="CB314" s="140"/>
      <c r="CC314" s="140"/>
      <c r="CD314" s="140"/>
      <c r="CE314" s="140"/>
      <c r="CF314" s="140"/>
      <c r="CG314" s="140"/>
      <c r="CH314" s="140"/>
      <c r="CI314" s="140"/>
      <c r="CJ314" s="140"/>
      <c r="CK314" s="140"/>
      <c r="CL314" s="140"/>
      <c r="CM314" s="140"/>
      <c r="CN314" s="140"/>
      <c r="CO314" s="140"/>
      <c r="CP314" s="140"/>
      <c r="CQ314" s="140"/>
      <c r="CR314" s="140"/>
      <c r="CS314" s="140"/>
      <c r="CT314" s="140"/>
      <c r="CU314" s="140"/>
      <c r="CV314" s="140"/>
      <c r="CW314" s="140"/>
    </row>
    <row r="315" spans="1:101" x14ac:dyDescent="0.2">
      <c r="A315" s="29" t="str">
        <f t="shared" ca="1" si="4"/>
        <v>2026-02-02</v>
      </c>
      <c r="B315" s="140">
        <f ca="1">IF(ISNUMBER(MATCH(DATEVALUE($A315),'changes1_based on steps'!B$1:B$400,0)),B$2,)</f>
        <v>0</v>
      </c>
      <c r="C315" s="140">
        <f ca="1">IF(ISNUMBER(MATCH(DATEVALUE($A315),'changes1_based on steps'!C$1:C$400,0)),C$2,)</f>
        <v>0</v>
      </c>
      <c r="D315" s="140">
        <f ca="1">IF(ISNUMBER(MATCH(DATEVALUE($A315),'changes1_based on steps'!D$1:D$400,0)),D$2,)</f>
        <v>0</v>
      </c>
      <c r="E315" s="140">
        <f ca="1">IF(ISNUMBER(MATCH(DATEVALUE($A315),'changes1_based on steps'!E$1:E$400,0)),E$2,)</f>
        <v>0</v>
      </c>
      <c r="F315" s="140">
        <f ca="1">IF(ISNUMBER(MATCH(DATEVALUE($A315),'changes1_based on steps'!F$1:F$400,0)),F$2,)</f>
        <v>0</v>
      </c>
      <c r="G315" s="140">
        <f ca="1">IF(ISNUMBER(MATCH(DATEVALUE($A315),'changes1_based on steps'!G$1:G$400,0)),G$2,)</f>
        <v>0</v>
      </c>
      <c r="H315" s="140">
        <f ca="1">IF(ISNUMBER(MATCH(DATEVALUE($A315),'changes1_based on steps'!H$1:H$400,0)),H$2,)</f>
        <v>0</v>
      </c>
      <c r="I315" s="140">
        <f ca="1">IF(ISNUMBER(MATCH(DATEVALUE($A315),'changes1_based on steps'!I$1:I$400,0)),I$2,)</f>
        <v>0</v>
      </c>
      <c r="J315" s="140">
        <f ca="1">IF(ISNUMBER(MATCH(DATEVALUE($A315),'changes1_based on steps'!J$1:J$400,0)),J$2,)</f>
        <v>0</v>
      </c>
      <c r="K315" s="140">
        <f ca="1">IF(ISNUMBER(MATCH(DATEVALUE($A315),'changes1_based on steps'!K$1:K$400,0)),K$2,)</f>
        <v>0</v>
      </c>
      <c r="L315" s="140">
        <f ca="1">IF(ISNUMBER(MATCH(DATEVALUE($A315),'changes1_based on steps'!L$1:L$400,0)),L$2,)</f>
        <v>0</v>
      </c>
      <c r="M315" s="140">
        <f ca="1">IF(ISNUMBER(MATCH(DATEVALUE($A315),'changes1_based on steps'!M$1:M$400,0)),M$2,)</f>
        <v>0</v>
      </c>
      <c r="N315" s="140">
        <f ca="1">IF(ISNUMBER(MATCH(DATEVALUE($A315),'changes1_based on steps'!N$1:N$400,0)),N$2,)</f>
        <v>0</v>
      </c>
      <c r="O315" s="140">
        <f ca="1">IF(ISNUMBER(MATCH(DATEVALUE($A315),'changes1_based on steps'!O$1:O$400,0)),O$2,)</f>
        <v>0</v>
      </c>
      <c r="P315" s="140">
        <f ca="1">IF(ISNUMBER(MATCH(DATEVALUE($A315),'changes1_based on steps'!P$1:P$400,0)),P$2,)</f>
        <v>0</v>
      </c>
      <c r="Q315" s="140">
        <f ca="1">IF(ISNUMBER(MATCH(DATEVALUE($A315),'changes1_based on steps'!Q$1:Q$400,0)),Q$2,)</f>
        <v>0</v>
      </c>
      <c r="R315" s="140">
        <f ca="1">IF(ISNUMBER(MATCH(DATEVALUE($A315),'changes1_based on steps'!R$1:R$400,0)),R$2,)</f>
        <v>0</v>
      </c>
      <c r="S315" s="140">
        <f ca="1">IF(ISNUMBER(MATCH(DATEVALUE($A315),'changes1_based on steps'!S$1:S$400,0)),S$2,)</f>
        <v>0</v>
      </c>
      <c r="T315" s="140">
        <f ca="1">IF(ISNUMBER(MATCH(DATEVALUE($A315),'changes1_based on steps'!T$1:T$400,0)),T$2,)</f>
        <v>0</v>
      </c>
      <c r="U315" s="140">
        <f ca="1">IF(ISNUMBER(MATCH(DATEVALUE($A315),'changes1_based on steps'!U$1:U$400,0)),U$2,)</f>
        <v>0</v>
      </c>
      <c r="V315" s="140"/>
      <c r="W315" s="140"/>
      <c r="X315" s="140"/>
      <c r="Y315" s="140"/>
      <c r="Z315" s="140"/>
      <c r="AA315" s="140"/>
      <c r="AB315" s="140"/>
      <c r="AC315" s="140"/>
      <c r="AD315" s="140"/>
      <c r="AE315" s="140"/>
      <c r="AF315" s="140"/>
      <c r="AG315" s="140"/>
      <c r="AH315" s="140"/>
      <c r="AI315" s="140"/>
      <c r="AJ315" s="140"/>
      <c r="AK315" s="140"/>
      <c r="AL315" s="140"/>
      <c r="AM315" s="140"/>
      <c r="AN315" s="140"/>
      <c r="AO315" s="140"/>
      <c r="AP315" s="140"/>
      <c r="AQ315" s="140"/>
      <c r="AR315" s="140"/>
      <c r="AS315" s="140"/>
      <c r="AT315" s="140"/>
      <c r="AU315" s="140"/>
      <c r="AV315" s="140"/>
      <c r="AW315" s="140"/>
      <c r="AX315" s="140"/>
      <c r="AY315" s="140"/>
      <c r="AZ315" s="140"/>
      <c r="BA315" s="140"/>
      <c r="BB315" s="140"/>
      <c r="BC315" s="140"/>
      <c r="BD315" s="140"/>
      <c r="BE315" s="140"/>
      <c r="BF315" s="140"/>
      <c r="BG315" s="140"/>
      <c r="BH315" s="140"/>
      <c r="BI315" s="140"/>
      <c r="BJ315" s="140"/>
      <c r="BK315" s="140"/>
      <c r="BL315" s="140"/>
      <c r="BM315" s="140"/>
      <c r="BN315" s="140"/>
      <c r="BO315" s="140"/>
      <c r="BP315" s="140"/>
      <c r="BQ315" s="140"/>
      <c r="BR315" s="140"/>
      <c r="BS315" s="140"/>
      <c r="BT315" s="140"/>
      <c r="BU315" s="140"/>
      <c r="BV315" s="140"/>
      <c r="BW315" s="140"/>
      <c r="BX315" s="140"/>
      <c r="BY315" s="140"/>
      <c r="BZ315" s="140"/>
      <c r="CA315" s="140"/>
      <c r="CB315" s="140"/>
      <c r="CC315" s="140"/>
      <c r="CD315" s="140"/>
      <c r="CE315" s="140"/>
      <c r="CF315" s="140"/>
      <c r="CG315" s="140"/>
      <c r="CH315" s="140"/>
      <c r="CI315" s="140"/>
      <c r="CJ315" s="140"/>
      <c r="CK315" s="140"/>
      <c r="CL315" s="140"/>
      <c r="CM315" s="140"/>
      <c r="CN315" s="140"/>
      <c r="CO315" s="140"/>
      <c r="CP315" s="140"/>
      <c r="CQ315" s="140"/>
      <c r="CR315" s="140"/>
      <c r="CS315" s="140"/>
      <c r="CT315" s="140"/>
      <c r="CU315" s="140"/>
      <c r="CV315" s="140"/>
      <c r="CW315" s="140"/>
    </row>
    <row r="316" spans="1:101" x14ac:dyDescent="0.2">
      <c r="A316" s="29" t="str">
        <f t="shared" ca="1" si="4"/>
        <v>2026-02-03</v>
      </c>
      <c r="B316" s="140">
        <f ca="1">IF(ISNUMBER(MATCH(DATEVALUE($A316),'changes1_based on steps'!B$1:B$400,0)),B$2,)</f>
        <v>0</v>
      </c>
      <c r="C316" s="140">
        <f ca="1">IF(ISNUMBER(MATCH(DATEVALUE($A316),'changes1_based on steps'!C$1:C$400,0)),C$2,)</f>
        <v>0</v>
      </c>
      <c r="D316" s="140">
        <f ca="1">IF(ISNUMBER(MATCH(DATEVALUE($A316),'changes1_based on steps'!D$1:D$400,0)),D$2,)</f>
        <v>0</v>
      </c>
      <c r="E316" s="140">
        <f ca="1">IF(ISNUMBER(MATCH(DATEVALUE($A316),'changes1_based on steps'!E$1:E$400,0)),E$2,)</f>
        <v>0</v>
      </c>
      <c r="F316" s="140">
        <f ca="1">IF(ISNUMBER(MATCH(DATEVALUE($A316),'changes1_based on steps'!F$1:F$400,0)),F$2,)</f>
        <v>0</v>
      </c>
      <c r="G316" s="140">
        <f ca="1">IF(ISNUMBER(MATCH(DATEVALUE($A316),'changes1_based on steps'!G$1:G$400,0)),G$2,)</f>
        <v>0</v>
      </c>
      <c r="H316" s="140">
        <f ca="1">IF(ISNUMBER(MATCH(DATEVALUE($A316),'changes1_based on steps'!H$1:H$400,0)),H$2,)</f>
        <v>0</v>
      </c>
      <c r="I316" s="140">
        <f ca="1">IF(ISNUMBER(MATCH(DATEVALUE($A316),'changes1_based on steps'!I$1:I$400,0)),I$2,)</f>
        <v>0</v>
      </c>
      <c r="J316" s="140">
        <f ca="1">IF(ISNUMBER(MATCH(DATEVALUE($A316),'changes1_based on steps'!J$1:J$400,0)),J$2,)</f>
        <v>0</v>
      </c>
      <c r="K316" s="140">
        <f ca="1">IF(ISNUMBER(MATCH(DATEVALUE($A316),'changes1_based on steps'!K$1:K$400,0)),K$2,)</f>
        <v>0</v>
      </c>
      <c r="L316" s="140">
        <f ca="1">IF(ISNUMBER(MATCH(DATEVALUE($A316),'changes1_based on steps'!L$1:L$400,0)),L$2,)</f>
        <v>0</v>
      </c>
      <c r="M316" s="140">
        <f ca="1">IF(ISNUMBER(MATCH(DATEVALUE($A316),'changes1_based on steps'!M$1:M$400,0)),M$2,)</f>
        <v>0</v>
      </c>
      <c r="N316" s="140">
        <f ca="1">IF(ISNUMBER(MATCH(DATEVALUE($A316),'changes1_based on steps'!N$1:N$400,0)),N$2,)</f>
        <v>0</v>
      </c>
      <c r="O316" s="140">
        <f ca="1">IF(ISNUMBER(MATCH(DATEVALUE($A316),'changes1_based on steps'!O$1:O$400,0)),O$2,)</f>
        <v>0</v>
      </c>
      <c r="P316" s="140">
        <f ca="1">IF(ISNUMBER(MATCH(DATEVALUE($A316),'changes1_based on steps'!P$1:P$400,0)),P$2,)</f>
        <v>0</v>
      </c>
      <c r="Q316" s="140">
        <f ca="1">IF(ISNUMBER(MATCH(DATEVALUE($A316),'changes1_based on steps'!Q$1:Q$400,0)),Q$2,)</f>
        <v>0</v>
      </c>
      <c r="R316" s="140">
        <f ca="1">IF(ISNUMBER(MATCH(DATEVALUE($A316),'changes1_based on steps'!R$1:R$400,0)),R$2,)</f>
        <v>0</v>
      </c>
      <c r="S316" s="140">
        <f ca="1">IF(ISNUMBER(MATCH(DATEVALUE($A316),'changes1_based on steps'!S$1:S$400,0)),S$2,)</f>
        <v>0</v>
      </c>
      <c r="T316" s="140">
        <f ca="1">IF(ISNUMBER(MATCH(DATEVALUE($A316),'changes1_based on steps'!T$1:T$400,0)),T$2,)</f>
        <v>0</v>
      </c>
      <c r="U316" s="140">
        <f ca="1">IF(ISNUMBER(MATCH(DATEVALUE($A316),'changes1_based on steps'!U$1:U$400,0)),U$2,)</f>
        <v>0</v>
      </c>
      <c r="V316" s="140"/>
      <c r="W316" s="140"/>
      <c r="X316" s="140"/>
      <c r="Y316" s="140"/>
      <c r="Z316" s="140"/>
      <c r="AA316" s="140"/>
      <c r="AB316" s="140"/>
      <c r="AC316" s="140"/>
      <c r="AD316" s="140"/>
      <c r="AE316" s="140"/>
      <c r="AF316" s="140"/>
      <c r="AG316" s="140"/>
      <c r="AH316" s="140"/>
      <c r="AI316" s="140"/>
      <c r="AJ316" s="140"/>
      <c r="AK316" s="140"/>
      <c r="AL316" s="140"/>
      <c r="AM316" s="140"/>
      <c r="AN316" s="140"/>
      <c r="AO316" s="140"/>
      <c r="AP316" s="140"/>
      <c r="AQ316" s="140"/>
      <c r="AR316" s="140"/>
      <c r="AS316" s="140"/>
      <c r="AT316" s="140"/>
      <c r="AU316" s="140"/>
      <c r="AV316" s="140"/>
      <c r="AW316" s="140"/>
      <c r="AX316" s="140"/>
      <c r="AY316" s="140"/>
      <c r="AZ316" s="140"/>
      <c r="BA316" s="140"/>
      <c r="BB316" s="140"/>
      <c r="BC316" s="140"/>
      <c r="BD316" s="140"/>
      <c r="BE316" s="140"/>
      <c r="BF316" s="140"/>
      <c r="BG316" s="140"/>
      <c r="BH316" s="140"/>
      <c r="BI316" s="140"/>
      <c r="BJ316" s="140"/>
      <c r="BK316" s="140"/>
      <c r="BL316" s="140"/>
      <c r="BM316" s="140"/>
      <c r="BN316" s="140"/>
      <c r="BO316" s="140"/>
      <c r="BP316" s="140"/>
      <c r="BQ316" s="140"/>
      <c r="BR316" s="140"/>
      <c r="BS316" s="140"/>
      <c r="BT316" s="140"/>
      <c r="BU316" s="140"/>
      <c r="BV316" s="140"/>
      <c r="BW316" s="140"/>
      <c r="BX316" s="140"/>
      <c r="BY316" s="140"/>
      <c r="BZ316" s="140"/>
      <c r="CA316" s="140"/>
      <c r="CB316" s="140"/>
      <c r="CC316" s="140"/>
      <c r="CD316" s="140"/>
      <c r="CE316" s="140"/>
      <c r="CF316" s="140"/>
      <c r="CG316" s="140"/>
      <c r="CH316" s="140"/>
      <c r="CI316" s="140"/>
      <c r="CJ316" s="140"/>
      <c r="CK316" s="140"/>
      <c r="CL316" s="140"/>
      <c r="CM316" s="140"/>
      <c r="CN316" s="140"/>
      <c r="CO316" s="140"/>
      <c r="CP316" s="140"/>
      <c r="CQ316" s="140"/>
      <c r="CR316" s="140"/>
      <c r="CS316" s="140"/>
      <c r="CT316" s="140"/>
      <c r="CU316" s="140"/>
      <c r="CV316" s="140"/>
      <c r="CW316" s="140"/>
    </row>
    <row r="317" spans="1:101" x14ac:dyDescent="0.2">
      <c r="A317" s="29" t="str">
        <f t="shared" ca="1" si="4"/>
        <v>2026-02-04</v>
      </c>
      <c r="B317" s="140">
        <f ca="1">IF(ISNUMBER(MATCH(DATEVALUE($A317),'changes1_based on steps'!B$1:B$400,0)),B$2,)</f>
        <v>0</v>
      </c>
      <c r="C317" s="140">
        <f ca="1">IF(ISNUMBER(MATCH(DATEVALUE($A317),'changes1_based on steps'!C$1:C$400,0)),C$2,)</f>
        <v>0</v>
      </c>
      <c r="D317" s="140">
        <f ca="1">IF(ISNUMBER(MATCH(DATEVALUE($A317),'changes1_based on steps'!D$1:D$400,0)),D$2,)</f>
        <v>0</v>
      </c>
      <c r="E317" s="140">
        <f ca="1">IF(ISNUMBER(MATCH(DATEVALUE($A317),'changes1_based on steps'!E$1:E$400,0)),E$2,)</f>
        <v>0</v>
      </c>
      <c r="F317" s="140">
        <f ca="1">IF(ISNUMBER(MATCH(DATEVALUE($A317),'changes1_based on steps'!F$1:F$400,0)),F$2,)</f>
        <v>0</v>
      </c>
      <c r="G317" s="140">
        <f ca="1">IF(ISNUMBER(MATCH(DATEVALUE($A317),'changes1_based on steps'!G$1:G$400,0)),G$2,)</f>
        <v>0</v>
      </c>
      <c r="H317" s="140">
        <f ca="1">IF(ISNUMBER(MATCH(DATEVALUE($A317),'changes1_based on steps'!H$1:H$400,0)),H$2,)</f>
        <v>0</v>
      </c>
      <c r="I317" s="140">
        <f ca="1">IF(ISNUMBER(MATCH(DATEVALUE($A317),'changes1_based on steps'!I$1:I$400,0)),I$2,)</f>
        <v>0</v>
      </c>
      <c r="J317" s="140">
        <f ca="1">IF(ISNUMBER(MATCH(DATEVALUE($A317),'changes1_based on steps'!J$1:J$400,0)),J$2,)</f>
        <v>0</v>
      </c>
      <c r="K317" s="140">
        <f ca="1">IF(ISNUMBER(MATCH(DATEVALUE($A317),'changes1_based on steps'!K$1:K$400,0)),K$2,)</f>
        <v>0</v>
      </c>
      <c r="L317" s="140">
        <f ca="1">IF(ISNUMBER(MATCH(DATEVALUE($A317),'changes1_based on steps'!L$1:L$400,0)),L$2,)</f>
        <v>0</v>
      </c>
      <c r="M317" s="140">
        <f ca="1">IF(ISNUMBER(MATCH(DATEVALUE($A317),'changes1_based on steps'!M$1:M$400,0)),M$2,)</f>
        <v>0</v>
      </c>
      <c r="N317" s="140">
        <f ca="1">IF(ISNUMBER(MATCH(DATEVALUE($A317),'changes1_based on steps'!N$1:N$400,0)),N$2,)</f>
        <v>0</v>
      </c>
      <c r="O317" s="140">
        <f ca="1">IF(ISNUMBER(MATCH(DATEVALUE($A317),'changes1_based on steps'!O$1:O$400,0)),O$2,)</f>
        <v>0</v>
      </c>
      <c r="P317" s="140">
        <f ca="1">IF(ISNUMBER(MATCH(DATEVALUE($A317),'changes1_based on steps'!P$1:P$400,0)),P$2,)</f>
        <v>0</v>
      </c>
      <c r="Q317" s="140">
        <f ca="1">IF(ISNUMBER(MATCH(DATEVALUE($A317),'changes1_based on steps'!Q$1:Q$400,0)),Q$2,)</f>
        <v>0</v>
      </c>
      <c r="R317" s="140">
        <f ca="1">IF(ISNUMBER(MATCH(DATEVALUE($A317),'changes1_based on steps'!R$1:R$400,0)),R$2,)</f>
        <v>0</v>
      </c>
      <c r="S317" s="140">
        <f ca="1">IF(ISNUMBER(MATCH(DATEVALUE($A317),'changes1_based on steps'!S$1:S$400,0)),S$2,)</f>
        <v>0</v>
      </c>
      <c r="T317" s="140">
        <f ca="1">IF(ISNUMBER(MATCH(DATEVALUE($A317),'changes1_based on steps'!T$1:T$400,0)),T$2,)</f>
        <v>0</v>
      </c>
      <c r="U317" s="140">
        <f ca="1">IF(ISNUMBER(MATCH(DATEVALUE($A317),'changes1_based on steps'!U$1:U$400,0)),U$2,)</f>
        <v>0</v>
      </c>
      <c r="V317" s="140"/>
      <c r="W317" s="140"/>
      <c r="X317" s="140"/>
      <c r="Y317" s="140"/>
      <c r="Z317" s="140"/>
      <c r="AA317" s="140"/>
      <c r="AB317" s="140"/>
      <c r="AC317" s="140"/>
      <c r="AD317" s="140"/>
      <c r="AE317" s="140"/>
      <c r="AF317" s="140"/>
      <c r="AG317" s="140"/>
      <c r="AH317" s="140"/>
      <c r="AI317" s="140"/>
      <c r="AJ317" s="140"/>
      <c r="AK317" s="140"/>
      <c r="AL317" s="140"/>
      <c r="AM317" s="140"/>
      <c r="AN317" s="140"/>
      <c r="AO317" s="140"/>
      <c r="AP317" s="140"/>
      <c r="AQ317" s="140"/>
      <c r="AR317" s="140"/>
      <c r="AS317" s="140"/>
      <c r="AT317" s="140"/>
      <c r="AU317" s="140"/>
      <c r="AV317" s="140"/>
      <c r="AW317" s="140"/>
      <c r="AX317" s="140"/>
      <c r="AY317" s="140"/>
      <c r="AZ317" s="140"/>
      <c r="BA317" s="140"/>
      <c r="BB317" s="140"/>
      <c r="BC317" s="140"/>
      <c r="BD317" s="140"/>
      <c r="BE317" s="140"/>
      <c r="BF317" s="140"/>
      <c r="BG317" s="140"/>
      <c r="BH317" s="140"/>
      <c r="BI317" s="140"/>
      <c r="BJ317" s="140"/>
      <c r="BK317" s="140"/>
      <c r="BL317" s="140"/>
      <c r="BM317" s="140"/>
      <c r="BN317" s="140"/>
      <c r="BO317" s="140"/>
      <c r="BP317" s="140"/>
      <c r="BQ317" s="140"/>
      <c r="BR317" s="140"/>
      <c r="BS317" s="140"/>
      <c r="BT317" s="140"/>
      <c r="BU317" s="140"/>
      <c r="BV317" s="140"/>
      <c r="BW317" s="140"/>
      <c r="BX317" s="140"/>
      <c r="BY317" s="140"/>
      <c r="BZ317" s="140"/>
      <c r="CA317" s="140"/>
      <c r="CB317" s="140"/>
      <c r="CC317" s="140"/>
      <c r="CD317" s="140"/>
      <c r="CE317" s="140"/>
      <c r="CF317" s="140"/>
      <c r="CG317" s="140"/>
      <c r="CH317" s="140"/>
      <c r="CI317" s="140"/>
      <c r="CJ317" s="140"/>
      <c r="CK317" s="140"/>
      <c r="CL317" s="140"/>
      <c r="CM317" s="140"/>
      <c r="CN317" s="140"/>
      <c r="CO317" s="140"/>
      <c r="CP317" s="140"/>
      <c r="CQ317" s="140"/>
      <c r="CR317" s="140"/>
      <c r="CS317" s="140"/>
      <c r="CT317" s="140"/>
      <c r="CU317" s="140"/>
      <c r="CV317" s="140"/>
      <c r="CW317" s="140"/>
    </row>
    <row r="318" spans="1:101" x14ac:dyDescent="0.2">
      <c r="A318" s="29" t="str">
        <f t="shared" ca="1" si="4"/>
        <v>2026-02-05</v>
      </c>
      <c r="B318" s="140">
        <f ca="1">IF(ISNUMBER(MATCH(DATEVALUE($A318),'changes1_based on steps'!B$1:B$400,0)),B$2,)</f>
        <v>0</v>
      </c>
      <c r="C318" s="140">
        <f ca="1">IF(ISNUMBER(MATCH(DATEVALUE($A318),'changes1_based on steps'!C$1:C$400,0)),C$2,)</f>
        <v>0</v>
      </c>
      <c r="D318" s="140">
        <f ca="1">IF(ISNUMBER(MATCH(DATEVALUE($A318),'changes1_based on steps'!D$1:D$400,0)),D$2,)</f>
        <v>0</v>
      </c>
      <c r="E318" s="140">
        <f ca="1">IF(ISNUMBER(MATCH(DATEVALUE($A318),'changes1_based on steps'!E$1:E$400,0)),E$2,)</f>
        <v>0</v>
      </c>
      <c r="F318" s="140">
        <f ca="1">IF(ISNUMBER(MATCH(DATEVALUE($A318),'changes1_based on steps'!F$1:F$400,0)),F$2,)</f>
        <v>0</v>
      </c>
      <c r="G318" s="140">
        <f ca="1">IF(ISNUMBER(MATCH(DATEVALUE($A318),'changes1_based on steps'!G$1:G$400,0)),G$2,)</f>
        <v>0</v>
      </c>
      <c r="H318" s="140">
        <f ca="1">IF(ISNUMBER(MATCH(DATEVALUE($A318),'changes1_based on steps'!H$1:H$400,0)),H$2,)</f>
        <v>0</v>
      </c>
      <c r="I318" s="140">
        <f ca="1">IF(ISNUMBER(MATCH(DATEVALUE($A318),'changes1_based on steps'!I$1:I$400,0)),I$2,)</f>
        <v>0</v>
      </c>
      <c r="J318" s="140">
        <f ca="1">IF(ISNUMBER(MATCH(DATEVALUE($A318),'changes1_based on steps'!J$1:J$400,0)),J$2,)</f>
        <v>0</v>
      </c>
      <c r="K318" s="140">
        <f ca="1">IF(ISNUMBER(MATCH(DATEVALUE($A318),'changes1_based on steps'!K$1:K$400,0)),K$2,)</f>
        <v>0</v>
      </c>
      <c r="L318" s="140">
        <f ca="1">IF(ISNUMBER(MATCH(DATEVALUE($A318),'changes1_based on steps'!L$1:L$400,0)),L$2,)</f>
        <v>0</v>
      </c>
      <c r="M318" s="140">
        <f ca="1">IF(ISNUMBER(MATCH(DATEVALUE($A318),'changes1_based on steps'!M$1:M$400,0)),M$2,)</f>
        <v>0</v>
      </c>
      <c r="N318" s="140">
        <f ca="1">IF(ISNUMBER(MATCH(DATEVALUE($A318),'changes1_based on steps'!N$1:N$400,0)),N$2,)</f>
        <v>0</v>
      </c>
      <c r="O318" s="140">
        <f ca="1">IF(ISNUMBER(MATCH(DATEVALUE($A318),'changes1_based on steps'!O$1:O$400,0)),O$2,)</f>
        <v>0</v>
      </c>
      <c r="P318" s="140">
        <f ca="1">IF(ISNUMBER(MATCH(DATEVALUE($A318),'changes1_based on steps'!P$1:P$400,0)),P$2,)</f>
        <v>0</v>
      </c>
      <c r="Q318" s="140">
        <f ca="1">IF(ISNUMBER(MATCH(DATEVALUE($A318),'changes1_based on steps'!Q$1:Q$400,0)),Q$2,)</f>
        <v>0</v>
      </c>
      <c r="R318" s="140">
        <f ca="1">IF(ISNUMBER(MATCH(DATEVALUE($A318),'changes1_based on steps'!R$1:R$400,0)),R$2,)</f>
        <v>0</v>
      </c>
      <c r="S318" s="140">
        <f ca="1">IF(ISNUMBER(MATCH(DATEVALUE($A318),'changes1_based on steps'!S$1:S$400,0)),S$2,)</f>
        <v>0</v>
      </c>
      <c r="T318" s="140">
        <f ca="1">IF(ISNUMBER(MATCH(DATEVALUE($A318),'changes1_based on steps'!T$1:T$400,0)),T$2,)</f>
        <v>0</v>
      </c>
      <c r="U318" s="140">
        <f ca="1">IF(ISNUMBER(MATCH(DATEVALUE($A318),'changes1_based on steps'!U$1:U$400,0)),U$2,)</f>
        <v>0</v>
      </c>
      <c r="V318" s="140"/>
      <c r="W318" s="140"/>
      <c r="X318" s="140"/>
      <c r="Y318" s="140"/>
      <c r="Z318" s="140"/>
      <c r="AA318" s="140"/>
      <c r="AB318" s="140"/>
      <c r="AC318" s="140"/>
      <c r="AD318" s="140"/>
      <c r="AE318" s="140"/>
      <c r="AF318" s="140"/>
      <c r="AG318" s="140"/>
      <c r="AH318" s="140"/>
      <c r="AI318" s="140"/>
      <c r="AJ318" s="140"/>
      <c r="AK318" s="140"/>
      <c r="AL318" s="140"/>
      <c r="AM318" s="140"/>
      <c r="AN318" s="140"/>
      <c r="AO318" s="140"/>
      <c r="AP318" s="140"/>
      <c r="AQ318" s="140"/>
      <c r="AR318" s="140"/>
      <c r="AS318" s="140"/>
      <c r="AT318" s="140"/>
      <c r="AU318" s="140"/>
      <c r="AV318" s="140"/>
      <c r="AW318" s="140"/>
      <c r="AX318" s="140"/>
      <c r="AY318" s="140"/>
      <c r="AZ318" s="140"/>
      <c r="BA318" s="140"/>
      <c r="BB318" s="140"/>
      <c r="BC318" s="140"/>
      <c r="BD318" s="140"/>
      <c r="BE318" s="140"/>
      <c r="BF318" s="140"/>
      <c r="BG318" s="140"/>
      <c r="BH318" s="140"/>
      <c r="BI318" s="140"/>
      <c r="BJ318" s="140"/>
      <c r="BK318" s="140"/>
      <c r="BL318" s="140"/>
      <c r="BM318" s="140"/>
      <c r="BN318" s="140"/>
      <c r="BO318" s="140"/>
      <c r="BP318" s="140"/>
      <c r="BQ318" s="140"/>
      <c r="BR318" s="140"/>
      <c r="BS318" s="140"/>
      <c r="BT318" s="140"/>
      <c r="BU318" s="140"/>
      <c r="BV318" s="140"/>
      <c r="BW318" s="140"/>
      <c r="BX318" s="140"/>
      <c r="BY318" s="140"/>
      <c r="BZ318" s="140"/>
      <c r="CA318" s="140"/>
      <c r="CB318" s="140"/>
      <c r="CC318" s="140"/>
      <c r="CD318" s="140"/>
      <c r="CE318" s="140"/>
      <c r="CF318" s="140"/>
      <c r="CG318" s="140"/>
      <c r="CH318" s="140"/>
      <c r="CI318" s="140"/>
      <c r="CJ318" s="140"/>
      <c r="CK318" s="140"/>
      <c r="CL318" s="140"/>
      <c r="CM318" s="140"/>
      <c r="CN318" s="140"/>
      <c r="CO318" s="140"/>
      <c r="CP318" s="140"/>
      <c r="CQ318" s="140"/>
      <c r="CR318" s="140"/>
      <c r="CS318" s="140"/>
      <c r="CT318" s="140"/>
      <c r="CU318" s="140"/>
      <c r="CV318" s="140"/>
      <c r="CW318" s="140"/>
    </row>
    <row r="319" spans="1:101" x14ac:dyDescent="0.2">
      <c r="A319" s="29" t="str">
        <f t="shared" ca="1" si="4"/>
        <v>2026-02-06</v>
      </c>
      <c r="B319" s="140">
        <f ca="1">IF(ISNUMBER(MATCH(DATEVALUE($A319),'changes1_based on steps'!B$1:B$400,0)),B$2,)</f>
        <v>0</v>
      </c>
      <c r="C319" s="140">
        <f ca="1">IF(ISNUMBER(MATCH(DATEVALUE($A319),'changes1_based on steps'!C$1:C$400,0)),C$2,)</f>
        <v>0</v>
      </c>
      <c r="D319" s="140">
        <f ca="1">IF(ISNUMBER(MATCH(DATEVALUE($A319),'changes1_based on steps'!D$1:D$400,0)),D$2,)</f>
        <v>0</v>
      </c>
      <c r="E319" s="140">
        <f ca="1">IF(ISNUMBER(MATCH(DATEVALUE($A319),'changes1_based on steps'!E$1:E$400,0)),E$2,)</f>
        <v>0</v>
      </c>
      <c r="F319" s="140">
        <f ca="1">IF(ISNUMBER(MATCH(DATEVALUE($A319),'changes1_based on steps'!F$1:F$400,0)),F$2,)</f>
        <v>0</v>
      </c>
      <c r="G319" s="140">
        <f ca="1">IF(ISNUMBER(MATCH(DATEVALUE($A319),'changes1_based on steps'!G$1:G$400,0)),G$2,)</f>
        <v>0</v>
      </c>
      <c r="H319" s="140">
        <f ca="1">IF(ISNUMBER(MATCH(DATEVALUE($A319),'changes1_based on steps'!H$1:H$400,0)),H$2,)</f>
        <v>0</v>
      </c>
      <c r="I319" s="140">
        <f ca="1">IF(ISNUMBER(MATCH(DATEVALUE($A319),'changes1_based on steps'!I$1:I$400,0)),I$2,)</f>
        <v>0</v>
      </c>
      <c r="J319" s="140">
        <f ca="1">IF(ISNUMBER(MATCH(DATEVALUE($A319),'changes1_based on steps'!J$1:J$400,0)),J$2,)</f>
        <v>0</v>
      </c>
      <c r="K319" s="140">
        <f ca="1">IF(ISNUMBER(MATCH(DATEVALUE($A319),'changes1_based on steps'!K$1:K$400,0)),K$2,)</f>
        <v>0</v>
      </c>
      <c r="L319" s="140">
        <f ca="1">IF(ISNUMBER(MATCH(DATEVALUE($A319),'changes1_based on steps'!L$1:L$400,0)),L$2,)</f>
        <v>0</v>
      </c>
      <c r="M319" s="140">
        <f ca="1">IF(ISNUMBER(MATCH(DATEVALUE($A319),'changes1_based on steps'!M$1:M$400,0)),M$2,)</f>
        <v>0</v>
      </c>
      <c r="N319" s="140">
        <f ca="1">IF(ISNUMBER(MATCH(DATEVALUE($A319),'changes1_based on steps'!N$1:N$400,0)),N$2,)</f>
        <v>0</v>
      </c>
      <c r="O319" s="140">
        <f ca="1">IF(ISNUMBER(MATCH(DATEVALUE($A319),'changes1_based on steps'!O$1:O$400,0)),O$2,)</f>
        <v>0</v>
      </c>
      <c r="P319" s="140">
        <f ca="1">IF(ISNUMBER(MATCH(DATEVALUE($A319),'changes1_based on steps'!P$1:P$400,0)),P$2,)</f>
        <v>0</v>
      </c>
      <c r="Q319" s="140">
        <f ca="1">IF(ISNUMBER(MATCH(DATEVALUE($A319),'changes1_based on steps'!Q$1:Q$400,0)),Q$2,)</f>
        <v>0</v>
      </c>
      <c r="R319" s="140">
        <f ca="1">IF(ISNUMBER(MATCH(DATEVALUE($A319),'changes1_based on steps'!R$1:R$400,0)),R$2,)</f>
        <v>0</v>
      </c>
      <c r="S319" s="140">
        <f ca="1">IF(ISNUMBER(MATCH(DATEVALUE($A319),'changes1_based on steps'!S$1:S$400,0)),S$2,)</f>
        <v>0</v>
      </c>
      <c r="T319" s="140">
        <f ca="1">IF(ISNUMBER(MATCH(DATEVALUE($A319),'changes1_based on steps'!T$1:T$400,0)),T$2,)</f>
        <v>0</v>
      </c>
      <c r="U319" s="140">
        <f ca="1">IF(ISNUMBER(MATCH(DATEVALUE($A319),'changes1_based on steps'!U$1:U$400,0)),U$2,)</f>
        <v>0</v>
      </c>
      <c r="V319" s="140"/>
      <c r="W319" s="140"/>
      <c r="X319" s="140"/>
      <c r="Y319" s="140"/>
      <c r="Z319" s="140"/>
      <c r="AA319" s="140"/>
      <c r="AB319" s="140"/>
      <c r="AC319" s="140"/>
      <c r="AD319" s="140"/>
      <c r="AE319" s="140"/>
      <c r="AF319" s="140"/>
      <c r="AG319" s="140"/>
      <c r="AH319" s="140"/>
      <c r="AI319" s="140"/>
      <c r="AJ319" s="140"/>
      <c r="AK319" s="140"/>
      <c r="AL319" s="140"/>
      <c r="AM319" s="140"/>
      <c r="AN319" s="140"/>
      <c r="AO319" s="140"/>
      <c r="AP319" s="140"/>
      <c r="AQ319" s="140"/>
      <c r="AR319" s="140"/>
      <c r="AS319" s="140"/>
      <c r="AT319" s="140"/>
      <c r="AU319" s="140"/>
      <c r="AV319" s="140"/>
      <c r="AW319" s="140"/>
      <c r="AX319" s="140"/>
      <c r="AY319" s="140"/>
      <c r="AZ319" s="140"/>
      <c r="BA319" s="140"/>
      <c r="BB319" s="140"/>
      <c r="BC319" s="140"/>
      <c r="BD319" s="140"/>
      <c r="BE319" s="140"/>
      <c r="BF319" s="140"/>
      <c r="BG319" s="140"/>
      <c r="BH319" s="140"/>
      <c r="BI319" s="140"/>
      <c r="BJ319" s="140"/>
      <c r="BK319" s="140"/>
      <c r="BL319" s="140"/>
      <c r="BM319" s="140"/>
      <c r="BN319" s="140"/>
      <c r="BO319" s="140"/>
      <c r="BP319" s="140"/>
      <c r="BQ319" s="140"/>
      <c r="BR319" s="140"/>
      <c r="BS319" s="140"/>
      <c r="BT319" s="140"/>
      <c r="BU319" s="140"/>
      <c r="BV319" s="140"/>
      <c r="BW319" s="140"/>
      <c r="BX319" s="140"/>
      <c r="BY319" s="140"/>
      <c r="BZ319" s="140"/>
      <c r="CA319" s="140"/>
      <c r="CB319" s="140"/>
      <c r="CC319" s="140"/>
      <c r="CD319" s="140"/>
      <c r="CE319" s="140"/>
      <c r="CF319" s="140"/>
      <c r="CG319" s="140"/>
      <c r="CH319" s="140"/>
      <c r="CI319" s="140"/>
      <c r="CJ319" s="140"/>
      <c r="CK319" s="140"/>
      <c r="CL319" s="140"/>
      <c r="CM319" s="140"/>
      <c r="CN319" s="140"/>
      <c r="CO319" s="140"/>
      <c r="CP319" s="140"/>
      <c r="CQ319" s="140"/>
      <c r="CR319" s="140"/>
      <c r="CS319" s="140"/>
      <c r="CT319" s="140"/>
      <c r="CU319" s="140"/>
      <c r="CV319" s="140"/>
      <c r="CW319" s="140"/>
    </row>
    <row r="320" spans="1:101" x14ac:dyDescent="0.2">
      <c r="A320" s="29" t="str">
        <f t="shared" ca="1" si="4"/>
        <v>2026-02-07</v>
      </c>
      <c r="B320" s="140">
        <f ca="1">IF(ISNUMBER(MATCH(DATEVALUE($A320),'changes1_based on steps'!B$1:B$400,0)),B$2,)</f>
        <v>0</v>
      </c>
      <c r="C320" s="140">
        <f ca="1">IF(ISNUMBER(MATCH(DATEVALUE($A320),'changes1_based on steps'!C$1:C$400,0)),C$2,)</f>
        <v>0</v>
      </c>
      <c r="D320" s="140">
        <f ca="1">IF(ISNUMBER(MATCH(DATEVALUE($A320),'changes1_based on steps'!D$1:D$400,0)),D$2,)</f>
        <v>0</v>
      </c>
      <c r="E320" s="140">
        <f ca="1">IF(ISNUMBER(MATCH(DATEVALUE($A320),'changes1_based on steps'!E$1:E$400,0)),E$2,)</f>
        <v>0</v>
      </c>
      <c r="F320" s="140">
        <f ca="1">IF(ISNUMBER(MATCH(DATEVALUE($A320),'changes1_based on steps'!F$1:F$400,0)),F$2,)</f>
        <v>0</v>
      </c>
      <c r="G320" s="140">
        <f ca="1">IF(ISNUMBER(MATCH(DATEVALUE($A320),'changes1_based on steps'!G$1:G$400,0)),G$2,)</f>
        <v>0</v>
      </c>
      <c r="H320" s="140">
        <f ca="1">IF(ISNUMBER(MATCH(DATEVALUE($A320),'changes1_based on steps'!H$1:H$400,0)),H$2,)</f>
        <v>0</v>
      </c>
      <c r="I320" s="140">
        <f ca="1">IF(ISNUMBER(MATCH(DATEVALUE($A320),'changes1_based on steps'!I$1:I$400,0)),I$2,)</f>
        <v>0</v>
      </c>
      <c r="J320" s="140">
        <f ca="1">IF(ISNUMBER(MATCH(DATEVALUE($A320),'changes1_based on steps'!J$1:J$400,0)),J$2,)</f>
        <v>0</v>
      </c>
      <c r="K320" s="140">
        <f ca="1">IF(ISNUMBER(MATCH(DATEVALUE($A320),'changes1_based on steps'!K$1:K$400,0)),K$2,)</f>
        <v>0</v>
      </c>
      <c r="L320" s="140">
        <f ca="1">IF(ISNUMBER(MATCH(DATEVALUE($A320),'changes1_based on steps'!L$1:L$400,0)),L$2,)</f>
        <v>0</v>
      </c>
      <c r="M320" s="140">
        <f ca="1">IF(ISNUMBER(MATCH(DATEVALUE($A320),'changes1_based on steps'!M$1:M$400,0)),M$2,)</f>
        <v>0</v>
      </c>
      <c r="N320" s="140">
        <f ca="1">IF(ISNUMBER(MATCH(DATEVALUE($A320),'changes1_based on steps'!N$1:N$400,0)),N$2,)</f>
        <v>0</v>
      </c>
      <c r="O320" s="140">
        <f ca="1">IF(ISNUMBER(MATCH(DATEVALUE($A320),'changes1_based on steps'!O$1:O$400,0)),O$2,)</f>
        <v>0</v>
      </c>
      <c r="P320" s="140">
        <f ca="1">IF(ISNUMBER(MATCH(DATEVALUE($A320),'changes1_based on steps'!P$1:P$400,0)),P$2,)</f>
        <v>0</v>
      </c>
      <c r="Q320" s="140">
        <f ca="1">IF(ISNUMBER(MATCH(DATEVALUE($A320),'changes1_based on steps'!Q$1:Q$400,0)),Q$2,)</f>
        <v>0</v>
      </c>
      <c r="R320" s="140">
        <f ca="1">IF(ISNUMBER(MATCH(DATEVALUE($A320),'changes1_based on steps'!R$1:R$400,0)),R$2,)</f>
        <v>0</v>
      </c>
      <c r="S320" s="140">
        <f ca="1">IF(ISNUMBER(MATCH(DATEVALUE($A320),'changes1_based on steps'!S$1:S$400,0)),S$2,)</f>
        <v>0</v>
      </c>
      <c r="T320" s="140">
        <f ca="1">IF(ISNUMBER(MATCH(DATEVALUE($A320),'changes1_based on steps'!T$1:T$400,0)),T$2,)</f>
        <v>0</v>
      </c>
      <c r="U320" s="140">
        <f ca="1">IF(ISNUMBER(MATCH(DATEVALUE($A320),'changes1_based on steps'!U$1:U$400,0)),U$2,)</f>
        <v>0</v>
      </c>
      <c r="V320" s="140"/>
      <c r="W320" s="140"/>
      <c r="X320" s="140"/>
      <c r="Y320" s="140"/>
      <c r="Z320" s="140"/>
      <c r="AA320" s="140"/>
      <c r="AB320" s="140"/>
      <c r="AC320" s="140"/>
      <c r="AD320" s="140"/>
      <c r="AE320" s="140"/>
      <c r="AF320" s="140"/>
      <c r="AG320" s="140"/>
      <c r="AH320" s="140"/>
      <c r="AI320" s="140"/>
      <c r="AJ320" s="140"/>
      <c r="AK320" s="140"/>
      <c r="AL320" s="140"/>
      <c r="AM320" s="140"/>
      <c r="AN320" s="140"/>
      <c r="AO320" s="140"/>
      <c r="AP320" s="140"/>
      <c r="AQ320" s="140"/>
      <c r="AR320" s="140"/>
      <c r="AS320" s="140"/>
      <c r="AT320" s="140"/>
      <c r="AU320" s="140"/>
      <c r="AV320" s="140"/>
      <c r="AW320" s="140"/>
      <c r="AX320" s="140"/>
      <c r="AY320" s="140"/>
      <c r="AZ320" s="140"/>
      <c r="BA320" s="140"/>
      <c r="BB320" s="140"/>
      <c r="BC320" s="140"/>
      <c r="BD320" s="140"/>
      <c r="BE320" s="140"/>
      <c r="BF320" s="140"/>
      <c r="BG320" s="140"/>
      <c r="BH320" s="140"/>
      <c r="BI320" s="140"/>
      <c r="BJ320" s="140"/>
      <c r="BK320" s="140"/>
      <c r="BL320" s="140"/>
      <c r="BM320" s="140"/>
      <c r="BN320" s="140"/>
      <c r="BO320" s="140"/>
      <c r="BP320" s="140"/>
      <c r="BQ320" s="140"/>
      <c r="BR320" s="140"/>
      <c r="BS320" s="140"/>
      <c r="BT320" s="140"/>
      <c r="BU320" s="140"/>
      <c r="BV320" s="140"/>
      <c r="BW320" s="140"/>
      <c r="BX320" s="140"/>
      <c r="BY320" s="140"/>
      <c r="BZ320" s="140"/>
      <c r="CA320" s="140"/>
      <c r="CB320" s="140"/>
      <c r="CC320" s="140"/>
      <c r="CD320" s="140"/>
      <c r="CE320" s="140"/>
      <c r="CF320" s="140"/>
      <c r="CG320" s="140"/>
      <c r="CH320" s="140"/>
      <c r="CI320" s="140"/>
      <c r="CJ320" s="140"/>
      <c r="CK320" s="140"/>
      <c r="CL320" s="140"/>
      <c r="CM320" s="140"/>
      <c r="CN320" s="140"/>
      <c r="CO320" s="140"/>
      <c r="CP320" s="140"/>
      <c r="CQ320" s="140"/>
      <c r="CR320" s="140"/>
      <c r="CS320" s="140"/>
      <c r="CT320" s="140"/>
      <c r="CU320" s="140"/>
      <c r="CV320" s="140"/>
      <c r="CW320" s="140"/>
    </row>
    <row r="321" spans="1:101" x14ac:dyDescent="0.2">
      <c r="A321" s="29" t="str">
        <f t="shared" ca="1" si="4"/>
        <v>2026-02-08</v>
      </c>
      <c r="B321" s="140">
        <f ca="1">IF(ISNUMBER(MATCH(DATEVALUE($A321),'changes1_based on steps'!B$1:B$400,0)),B$2,)</f>
        <v>0</v>
      </c>
      <c r="C321" s="140">
        <f ca="1">IF(ISNUMBER(MATCH(DATEVALUE($A321),'changes1_based on steps'!C$1:C$400,0)),C$2,)</f>
        <v>0</v>
      </c>
      <c r="D321" s="140">
        <f ca="1">IF(ISNUMBER(MATCH(DATEVALUE($A321),'changes1_based on steps'!D$1:D$400,0)),D$2,)</f>
        <v>0</v>
      </c>
      <c r="E321" s="140">
        <f ca="1">IF(ISNUMBER(MATCH(DATEVALUE($A321),'changes1_based on steps'!E$1:E$400,0)),E$2,)</f>
        <v>0</v>
      </c>
      <c r="F321" s="140">
        <f ca="1">IF(ISNUMBER(MATCH(DATEVALUE($A321),'changes1_based on steps'!F$1:F$400,0)),F$2,)</f>
        <v>0</v>
      </c>
      <c r="G321" s="140">
        <f ca="1">IF(ISNUMBER(MATCH(DATEVALUE($A321),'changes1_based on steps'!G$1:G$400,0)),G$2,)</f>
        <v>0</v>
      </c>
      <c r="H321" s="140">
        <f ca="1">IF(ISNUMBER(MATCH(DATEVALUE($A321),'changes1_based on steps'!H$1:H$400,0)),H$2,)</f>
        <v>0</v>
      </c>
      <c r="I321" s="140">
        <f ca="1">IF(ISNUMBER(MATCH(DATEVALUE($A321),'changes1_based on steps'!I$1:I$400,0)),I$2,)</f>
        <v>0</v>
      </c>
      <c r="J321" s="140">
        <f ca="1">IF(ISNUMBER(MATCH(DATEVALUE($A321),'changes1_based on steps'!J$1:J$400,0)),J$2,)</f>
        <v>0</v>
      </c>
      <c r="K321" s="140">
        <f ca="1">IF(ISNUMBER(MATCH(DATEVALUE($A321),'changes1_based on steps'!K$1:K$400,0)),K$2,)</f>
        <v>0</v>
      </c>
      <c r="L321" s="140">
        <f ca="1">IF(ISNUMBER(MATCH(DATEVALUE($A321),'changes1_based on steps'!L$1:L$400,0)),L$2,)</f>
        <v>0</v>
      </c>
      <c r="M321" s="140">
        <f ca="1">IF(ISNUMBER(MATCH(DATEVALUE($A321),'changes1_based on steps'!M$1:M$400,0)),M$2,)</f>
        <v>0</v>
      </c>
      <c r="N321" s="140">
        <f ca="1">IF(ISNUMBER(MATCH(DATEVALUE($A321),'changes1_based on steps'!N$1:N$400,0)),N$2,)</f>
        <v>0</v>
      </c>
      <c r="O321" s="140">
        <f ca="1">IF(ISNUMBER(MATCH(DATEVALUE($A321),'changes1_based on steps'!O$1:O$400,0)),O$2,)</f>
        <v>0</v>
      </c>
      <c r="P321" s="140">
        <f ca="1">IF(ISNUMBER(MATCH(DATEVALUE($A321),'changes1_based on steps'!P$1:P$400,0)),P$2,)</f>
        <v>0</v>
      </c>
      <c r="Q321" s="140">
        <f ca="1">IF(ISNUMBER(MATCH(DATEVALUE($A321),'changes1_based on steps'!Q$1:Q$400,0)),Q$2,)</f>
        <v>0</v>
      </c>
      <c r="R321" s="140">
        <f ca="1">IF(ISNUMBER(MATCH(DATEVALUE($A321),'changes1_based on steps'!R$1:R$400,0)),R$2,)</f>
        <v>0</v>
      </c>
      <c r="S321" s="140">
        <f ca="1">IF(ISNUMBER(MATCH(DATEVALUE($A321),'changes1_based on steps'!S$1:S$400,0)),S$2,)</f>
        <v>0</v>
      </c>
      <c r="T321" s="140">
        <f ca="1">IF(ISNUMBER(MATCH(DATEVALUE($A321),'changes1_based on steps'!T$1:T$400,0)),T$2,)</f>
        <v>0</v>
      </c>
      <c r="U321" s="140">
        <f ca="1">IF(ISNUMBER(MATCH(DATEVALUE($A321),'changes1_based on steps'!U$1:U$400,0)),U$2,)</f>
        <v>0</v>
      </c>
      <c r="V321" s="140"/>
      <c r="W321" s="140"/>
      <c r="X321" s="140"/>
      <c r="Y321" s="140"/>
      <c r="Z321" s="140"/>
      <c r="AA321" s="140"/>
      <c r="AB321" s="140"/>
      <c r="AC321" s="140"/>
      <c r="AD321" s="140"/>
      <c r="AE321" s="140"/>
      <c r="AF321" s="140"/>
      <c r="AG321" s="140"/>
      <c r="AH321" s="140"/>
      <c r="AI321" s="140"/>
      <c r="AJ321" s="140"/>
      <c r="AK321" s="140"/>
      <c r="AL321" s="140"/>
      <c r="AM321" s="140"/>
      <c r="AN321" s="140"/>
      <c r="AO321" s="140"/>
      <c r="AP321" s="140"/>
      <c r="AQ321" s="140"/>
      <c r="AR321" s="140"/>
      <c r="AS321" s="140"/>
      <c r="AT321" s="140"/>
      <c r="AU321" s="140"/>
      <c r="AV321" s="140"/>
      <c r="AW321" s="140"/>
      <c r="AX321" s="140"/>
      <c r="AY321" s="140"/>
      <c r="AZ321" s="140"/>
      <c r="BA321" s="140"/>
      <c r="BB321" s="140"/>
      <c r="BC321" s="140"/>
      <c r="BD321" s="140"/>
      <c r="BE321" s="140"/>
      <c r="BF321" s="140"/>
      <c r="BG321" s="140"/>
      <c r="BH321" s="140"/>
      <c r="BI321" s="140"/>
      <c r="BJ321" s="140"/>
      <c r="BK321" s="140"/>
      <c r="BL321" s="140"/>
      <c r="BM321" s="140"/>
      <c r="BN321" s="140"/>
      <c r="BO321" s="140"/>
      <c r="BP321" s="140"/>
      <c r="BQ321" s="140"/>
      <c r="BR321" s="140"/>
      <c r="BS321" s="140"/>
      <c r="BT321" s="140"/>
      <c r="BU321" s="140"/>
      <c r="BV321" s="140"/>
      <c r="BW321" s="140"/>
      <c r="BX321" s="140"/>
      <c r="BY321" s="140"/>
      <c r="BZ321" s="140"/>
      <c r="CA321" s="140"/>
      <c r="CB321" s="140"/>
      <c r="CC321" s="140"/>
      <c r="CD321" s="140"/>
      <c r="CE321" s="140"/>
      <c r="CF321" s="140"/>
      <c r="CG321" s="140"/>
      <c r="CH321" s="140"/>
      <c r="CI321" s="140"/>
      <c r="CJ321" s="140"/>
      <c r="CK321" s="140"/>
      <c r="CL321" s="140"/>
      <c r="CM321" s="140"/>
      <c r="CN321" s="140"/>
      <c r="CO321" s="140"/>
      <c r="CP321" s="140"/>
      <c r="CQ321" s="140"/>
      <c r="CR321" s="140"/>
      <c r="CS321" s="140"/>
      <c r="CT321" s="140"/>
      <c r="CU321" s="140"/>
      <c r="CV321" s="140"/>
      <c r="CW321" s="140"/>
    </row>
    <row r="322" spans="1:101" x14ac:dyDescent="0.2">
      <c r="A322" s="29" t="str">
        <f t="shared" ca="1" si="4"/>
        <v>2026-02-09</v>
      </c>
      <c r="B322" s="140">
        <f ca="1">IF(ISNUMBER(MATCH(DATEVALUE($A322),'changes1_based on steps'!B$1:B$400,0)),B$2,)</f>
        <v>0</v>
      </c>
      <c r="C322" s="140">
        <f ca="1">IF(ISNUMBER(MATCH(DATEVALUE($A322),'changes1_based on steps'!C$1:C$400,0)),C$2,)</f>
        <v>0</v>
      </c>
      <c r="D322" s="140">
        <f ca="1">IF(ISNUMBER(MATCH(DATEVALUE($A322),'changes1_based on steps'!D$1:D$400,0)),D$2,)</f>
        <v>0</v>
      </c>
      <c r="E322" s="140">
        <f ca="1">IF(ISNUMBER(MATCH(DATEVALUE($A322),'changes1_based on steps'!E$1:E$400,0)),E$2,)</f>
        <v>0</v>
      </c>
      <c r="F322" s="140">
        <f ca="1">IF(ISNUMBER(MATCH(DATEVALUE($A322),'changes1_based on steps'!F$1:F$400,0)),F$2,)</f>
        <v>0</v>
      </c>
      <c r="G322" s="140">
        <f ca="1">IF(ISNUMBER(MATCH(DATEVALUE($A322),'changes1_based on steps'!G$1:G$400,0)),G$2,)</f>
        <v>0</v>
      </c>
      <c r="H322" s="140">
        <f ca="1">IF(ISNUMBER(MATCH(DATEVALUE($A322),'changes1_based on steps'!H$1:H$400,0)),H$2,)</f>
        <v>0</v>
      </c>
      <c r="I322" s="140">
        <f ca="1">IF(ISNUMBER(MATCH(DATEVALUE($A322),'changes1_based on steps'!I$1:I$400,0)),I$2,)</f>
        <v>0</v>
      </c>
      <c r="J322" s="140">
        <f ca="1">IF(ISNUMBER(MATCH(DATEVALUE($A322),'changes1_based on steps'!J$1:J$400,0)),J$2,)</f>
        <v>0</v>
      </c>
      <c r="K322" s="140">
        <f ca="1">IF(ISNUMBER(MATCH(DATEVALUE($A322),'changes1_based on steps'!K$1:K$400,0)),K$2,)</f>
        <v>0</v>
      </c>
      <c r="L322" s="140">
        <f ca="1">IF(ISNUMBER(MATCH(DATEVALUE($A322),'changes1_based on steps'!L$1:L$400,0)),L$2,)</f>
        <v>0</v>
      </c>
      <c r="M322" s="140">
        <f ca="1">IF(ISNUMBER(MATCH(DATEVALUE($A322),'changes1_based on steps'!M$1:M$400,0)),M$2,)</f>
        <v>0</v>
      </c>
      <c r="N322" s="140">
        <f ca="1">IF(ISNUMBER(MATCH(DATEVALUE($A322),'changes1_based on steps'!N$1:N$400,0)),N$2,)</f>
        <v>0</v>
      </c>
      <c r="O322" s="140">
        <f ca="1">IF(ISNUMBER(MATCH(DATEVALUE($A322),'changes1_based on steps'!O$1:O$400,0)),O$2,)</f>
        <v>0</v>
      </c>
      <c r="P322" s="140">
        <f ca="1">IF(ISNUMBER(MATCH(DATEVALUE($A322),'changes1_based on steps'!P$1:P$400,0)),P$2,)</f>
        <v>0</v>
      </c>
      <c r="Q322" s="140">
        <f ca="1">IF(ISNUMBER(MATCH(DATEVALUE($A322),'changes1_based on steps'!Q$1:Q$400,0)),Q$2,)</f>
        <v>0</v>
      </c>
      <c r="R322" s="140">
        <f ca="1">IF(ISNUMBER(MATCH(DATEVALUE($A322),'changes1_based on steps'!R$1:R$400,0)),R$2,)</f>
        <v>0</v>
      </c>
      <c r="S322" s="140">
        <f ca="1">IF(ISNUMBER(MATCH(DATEVALUE($A322),'changes1_based on steps'!S$1:S$400,0)),S$2,)</f>
        <v>0</v>
      </c>
      <c r="T322" s="140">
        <f ca="1">IF(ISNUMBER(MATCH(DATEVALUE($A322),'changes1_based on steps'!T$1:T$400,0)),T$2,)</f>
        <v>0</v>
      </c>
      <c r="U322" s="140">
        <f ca="1">IF(ISNUMBER(MATCH(DATEVALUE($A322),'changes1_based on steps'!U$1:U$400,0)),U$2,)</f>
        <v>0</v>
      </c>
      <c r="V322" s="140"/>
      <c r="W322" s="140"/>
      <c r="X322" s="140"/>
      <c r="Y322" s="140"/>
      <c r="Z322" s="140"/>
      <c r="AA322" s="140"/>
      <c r="AB322" s="140"/>
      <c r="AC322" s="140"/>
      <c r="AD322" s="140"/>
      <c r="AE322" s="140"/>
      <c r="AF322" s="140"/>
      <c r="AG322" s="140"/>
      <c r="AH322" s="140"/>
      <c r="AI322" s="140"/>
      <c r="AJ322" s="140"/>
      <c r="AK322" s="140"/>
      <c r="AL322" s="140"/>
      <c r="AM322" s="140"/>
      <c r="AN322" s="140"/>
      <c r="AO322" s="140"/>
      <c r="AP322" s="140"/>
      <c r="AQ322" s="140"/>
      <c r="AR322" s="140"/>
      <c r="AS322" s="140"/>
      <c r="AT322" s="140"/>
      <c r="AU322" s="140"/>
      <c r="AV322" s="140"/>
      <c r="AW322" s="140"/>
      <c r="AX322" s="140"/>
      <c r="AY322" s="140"/>
      <c r="AZ322" s="140"/>
      <c r="BA322" s="140"/>
      <c r="BB322" s="140"/>
      <c r="BC322" s="140"/>
      <c r="BD322" s="140"/>
      <c r="BE322" s="140"/>
      <c r="BF322" s="140"/>
      <c r="BG322" s="140"/>
      <c r="BH322" s="140"/>
      <c r="BI322" s="140"/>
      <c r="BJ322" s="140"/>
      <c r="BK322" s="140"/>
      <c r="BL322" s="140"/>
      <c r="BM322" s="140"/>
      <c r="BN322" s="140"/>
      <c r="BO322" s="140"/>
      <c r="BP322" s="140"/>
      <c r="BQ322" s="140"/>
      <c r="BR322" s="140"/>
      <c r="BS322" s="140"/>
      <c r="BT322" s="140"/>
      <c r="BU322" s="140"/>
      <c r="BV322" s="140"/>
      <c r="BW322" s="140"/>
      <c r="BX322" s="140"/>
      <c r="BY322" s="140"/>
      <c r="BZ322" s="140"/>
      <c r="CA322" s="140"/>
      <c r="CB322" s="140"/>
      <c r="CC322" s="140"/>
      <c r="CD322" s="140"/>
      <c r="CE322" s="140"/>
      <c r="CF322" s="140"/>
      <c r="CG322" s="140"/>
      <c r="CH322" s="140"/>
      <c r="CI322" s="140"/>
      <c r="CJ322" s="140"/>
      <c r="CK322" s="140"/>
      <c r="CL322" s="140"/>
      <c r="CM322" s="140"/>
      <c r="CN322" s="140"/>
      <c r="CO322" s="140"/>
      <c r="CP322" s="140"/>
      <c r="CQ322" s="140"/>
      <c r="CR322" s="140"/>
      <c r="CS322" s="140"/>
      <c r="CT322" s="140"/>
      <c r="CU322" s="140"/>
      <c r="CV322" s="140"/>
      <c r="CW322" s="140"/>
    </row>
    <row r="323" spans="1:101" x14ac:dyDescent="0.2">
      <c r="A323" s="29" t="str">
        <f t="shared" ca="1" si="4"/>
        <v>2026-02-10</v>
      </c>
      <c r="B323" s="140">
        <f ca="1">IF(ISNUMBER(MATCH(DATEVALUE($A323),'changes1_based on steps'!B$1:B$400,0)),B$2,)</f>
        <v>0</v>
      </c>
      <c r="C323" s="140">
        <f ca="1">IF(ISNUMBER(MATCH(DATEVALUE($A323),'changes1_based on steps'!C$1:C$400,0)),C$2,)</f>
        <v>0</v>
      </c>
      <c r="D323" s="140">
        <f ca="1">IF(ISNUMBER(MATCH(DATEVALUE($A323),'changes1_based on steps'!D$1:D$400,0)),D$2,)</f>
        <v>0</v>
      </c>
      <c r="E323" s="140">
        <f ca="1">IF(ISNUMBER(MATCH(DATEVALUE($A323),'changes1_based on steps'!E$1:E$400,0)),E$2,)</f>
        <v>0</v>
      </c>
      <c r="F323" s="140">
        <f ca="1">IF(ISNUMBER(MATCH(DATEVALUE($A323),'changes1_based on steps'!F$1:F$400,0)),F$2,)</f>
        <v>0</v>
      </c>
      <c r="G323" s="140">
        <f ca="1">IF(ISNUMBER(MATCH(DATEVALUE($A323),'changes1_based on steps'!G$1:G$400,0)),G$2,)</f>
        <v>0</v>
      </c>
      <c r="H323" s="140">
        <f ca="1">IF(ISNUMBER(MATCH(DATEVALUE($A323),'changes1_based on steps'!H$1:H$400,0)),H$2,)</f>
        <v>0</v>
      </c>
      <c r="I323" s="140">
        <f ca="1">IF(ISNUMBER(MATCH(DATEVALUE($A323),'changes1_based on steps'!I$1:I$400,0)),I$2,)</f>
        <v>0</v>
      </c>
      <c r="J323" s="140">
        <f ca="1">IF(ISNUMBER(MATCH(DATEVALUE($A323),'changes1_based on steps'!J$1:J$400,0)),J$2,)</f>
        <v>0</v>
      </c>
      <c r="K323" s="140">
        <f ca="1">IF(ISNUMBER(MATCH(DATEVALUE($A323),'changes1_based on steps'!K$1:K$400,0)),K$2,)</f>
        <v>0</v>
      </c>
      <c r="L323" s="140">
        <f ca="1">IF(ISNUMBER(MATCH(DATEVALUE($A323),'changes1_based on steps'!L$1:L$400,0)),L$2,)</f>
        <v>0</v>
      </c>
      <c r="M323" s="140">
        <f ca="1">IF(ISNUMBER(MATCH(DATEVALUE($A323),'changes1_based on steps'!M$1:M$400,0)),M$2,)</f>
        <v>0</v>
      </c>
      <c r="N323" s="140">
        <f ca="1">IF(ISNUMBER(MATCH(DATEVALUE($A323),'changes1_based on steps'!N$1:N$400,0)),N$2,)</f>
        <v>0</v>
      </c>
      <c r="O323" s="140">
        <f ca="1">IF(ISNUMBER(MATCH(DATEVALUE($A323),'changes1_based on steps'!O$1:O$400,0)),O$2,)</f>
        <v>0</v>
      </c>
      <c r="P323" s="140">
        <f ca="1">IF(ISNUMBER(MATCH(DATEVALUE($A323),'changes1_based on steps'!P$1:P$400,0)),P$2,)</f>
        <v>0</v>
      </c>
      <c r="Q323" s="140">
        <f ca="1">IF(ISNUMBER(MATCH(DATEVALUE($A323),'changes1_based on steps'!Q$1:Q$400,0)),Q$2,)</f>
        <v>0</v>
      </c>
      <c r="R323" s="140">
        <f ca="1">IF(ISNUMBER(MATCH(DATEVALUE($A323),'changes1_based on steps'!R$1:R$400,0)),R$2,)</f>
        <v>0</v>
      </c>
      <c r="S323" s="140">
        <f ca="1">IF(ISNUMBER(MATCH(DATEVALUE($A323),'changes1_based on steps'!S$1:S$400,0)),S$2,)</f>
        <v>0</v>
      </c>
      <c r="T323" s="140">
        <f ca="1">IF(ISNUMBER(MATCH(DATEVALUE($A323),'changes1_based on steps'!T$1:T$400,0)),T$2,)</f>
        <v>0</v>
      </c>
      <c r="U323" s="140">
        <f ca="1">IF(ISNUMBER(MATCH(DATEVALUE($A323),'changes1_based on steps'!U$1:U$400,0)),U$2,)</f>
        <v>0</v>
      </c>
      <c r="V323" s="140"/>
      <c r="W323" s="140"/>
      <c r="X323" s="140"/>
      <c r="Y323" s="140"/>
      <c r="Z323" s="140"/>
      <c r="AA323" s="140"/>
      <c r="AB323" s="140"/>
      <c r="AC323" s="140"/>
      <c r="AD323" s="140"/>
      <c r="AE323" s="140"/>
      <c r="AF323" s="140"/>
      <c r="AG323" s="140"/>
      <c r="AH323" s="140"/>
      <c r="AI323" s="140"/>
      <c r="AJ323" s="140"/>
      <c r="AK323" s="140"/>
      <c r="AL323" s="140"/>
      <c r="AM323" s="140"/>
      <c r="AN323" s="140"/>
      <c r="AO323" s="140"/>
      <c r="AP323" s="140"/>
      <c r="AQ323" s="140"/>
      <c r="AR323" s="140"/>
      <c r="AS323" s="140"/>
      <c r="AT323" s="140"/>
      <c r="AU323" s="140"/>
      <c r="AV323" s="140"/>
      <c r="AW323" s="140"/>
      <c r="AX323" s="140"/>
      <c r="AY323" s="140"/>
      <c r="AZ323" s="140"/>
      <c r="BA323" s="140"/>
      <c r="BB323" s="140"/>
      <c r="BC323" s="140"/>
      <c r="BD323" s="140"/>
      <c r="BE323" s="140"/>
      <c r="BF323" s="140"/>
      <c r="BG323" s="140"/>
      <c r="BH323" s="140"/>
      <c r="BI323" s="140"/>
      <c r="BJ323" s="140"/>
      <c r="BK323" s="140"/>
      <c r="BL323" s="140"/>
      <c r="BM323" s="140"/>
      <c r="BN323" s="140"/>
      <c r="BO323" s="140"/>
      <c r="BP323" s="140"/>
      <c r="BQ323" s="140"/>
      <c r="BR323" s="140"/>
      <c r="BS323" s="140"/>
      <c r="BT323" s="140"/>
      <c r="BU323" s="140"/>
      <c r="BV323" s="140"/>
      <c r="BW323" s="140"/>
      <c r="BX323" s="140"/>
      <c r="BY323" s="140"/>
      <c r="BZ323" s="140"/>
      <c r="CA323" s="140"/>
      <c r="CB323" s="140"/>
      <c r="CC323" s="140"/>
      <c r="CD323" s="140"/>
      <c r="CE323" s="140"/>
      <c r="CF323" s="140"/>
      <c r="CG323" s="140"/>
      <c r="CH323" s="140"/>
      <c r="CI323" s="140"/>
      <c r="CJ323" s="140"/>
      <c r="CK323" s="140"/>
      <c r="CL323" s="140"/>
      <c r="CM323" s="140"/>
      <c r="CN323" s="140"/>
      <c r="CO323" s="140"/>
      <c r="CP323" s="140"/>
      <c r="CQ323" s="140"/>
      <c r="CR323" s="140"/>
      <c r="CS323" s="140"/>
      <c r="CT323" s="140"/>
      <c r="CU323" s="140"/>
      <c r="CV323" s="140"/>
      <c r="CW323" s="140"/>
    </row>
    <row r="324" spans="1:101" x14ac:dyDescent="0.2">
      <c r="A324" s="29" t="str">
        <f t="shared" ca="1" si="4"/>
        <v>2026-02-11</v>
      </c>
      <c r="B324" s="140">
        <f ca="1">IF(ISNUMBER(MATCH(DATEVALUE($A324),'changes1_based on steps'!B$1:B$400,0)),B$2,)</f>
        <v>0</v>
      </c>
      <c r="C324" s="140">
        <f ca="1">IF(ISNUMBER(MATCH(DATEVALUE($A324),'changes1_based on steps'!C$1:C$400,0)),C$2,)</f>
        <v>0</v>
      </c>
      <c r="D324" s="140">
        <f ca="1">IF(ISNUMBER(MATCH(DATEVALUE($A324),'changes1_based on steps'!D$1:D$400,0)),D$2,)</f>
        <v>0</v>
      </c>
      <c r="E324" s="140">
        <f ca="1">IF(ISNUMBER(MATCH(DATEVALUE($A324),'changes1_based on steps'!E$1:E$400,0)),E$2,)</f>
        <v>0</v>
      </c>
      <c r="F324" s="140">
        <f ca="1">IF(ISNUMBER(MATCH(DATEVALUE($A324),'changes1_based on steps'!F$1:F$400,0)),F$2,)</f>
        <v>0</v>
      </c>
      <c r="G324" s="140">
        <f ca="1">IF(ISNUMBER(MATCH(DATEVALUE($A324),'changes1_based on steps'!G$1:G$400,0)),G$2,)</f>
        <v>0</v>
      </c>
      <c r="H324" s="140">
        <f ca="1">IF(ISNUMBER(MATCH(DATEVALUE($A324),'changes1_based on steps'!H$1:H$400,0)),H$2,)</f>
        <v>0</v>
      </c>
      <c r="I324" s="140">
        <f ca="1">IF(ISNUMBER(MATCH(DATEVALUE($A324),'changes1_based on steps'!I$1:I$400,0)),I$2,)</f>
        <v>0</v>
      </c>
      <c r="J324" s="140">
        <f ca="1">IF(ISNUMBER(MATCH(DATEVALUE($A324),'changes1_based on steps'!J$1:J$400,0)),J$2,)</f>
        <v>0</v>
      </c>
      <c r="K324" s="140">
        <f ca="1">IF(ISNUMBER(MATCH(DATEVALUE($A324),'changes1_based on steps'!K$1:K$400,0)),K$2,)</f>
        <v>0</v>
      </c>
      <c r="L324" s="140">
        <f ca="1">IF(ISNUMBER(MATCH(DATEVALUE($A324),'changes1_based on steps'!L$1:L$400,0)),L$2,)</f>
        <v>0</v>
      </c>
      <c r="M324" s="140">
        <f ca="1">IF(ISNUMBER(MATCH(DATEVALUE($A324),'changes1_based on steps'!M$1:M$400,0)),M$2,)</f>
        <v>0</v>
      </c>
      <c r="N324" s="140">
        <f ca="1">IF(ISNUMBER(MATCH(DATEVALUE($A324),'changes1_based on steps'!N$1:N$400,0)),N$2,)</f>
        <v>0</v>
      </c>
      <c r="O324" s="140">
        <f ca="1">IF(ISNUMBER(MATCH(DATEVALUE($A324),'changes1_based on steps'!O$1:O$400,0)),O$2,)</f>
        <v>0</v>
      </c>
      <c r="P324" s="140">
        <f ca="1">IF(ISNUMBER(MATCH(DATEVALUE($A324),'changes1_based on steps'!P$1:P$400,0)),P$2,)</f>
        <v>0</v>
      </c>
      <c r="Q324" s="140">
        <f ca="1">IF(ISNUMBER(MATCH(DATEVALUE($A324),'changes1_based on steps'!Q$1:Q$400,0)),Q$2,)</f>
        <v>0</v>
      </c>
      <c r="R324" s="140">
        <f ca="1">IF(ISNUMBER(MATCH(DATEVALUE($A324),'changes1_based on steps'!R$1:R$400,0)),R$2,)</f>
        <v>0</v>
      </c>
      <c r="S324" s="140">
        <f ca="1">IF(ISNUMBER(MATCH(DATEVALUE($A324),'changes1_based on steps'!S$1:S$400,0)),S$2,)</f>
        <v>0</v>
      </c>
      <c r="T324" s="140">
        <f ca="1">IF(ISNUMBER(MATCH(DATEVALUE($A324),'changes1_based on steps'!T$1:T$400,0)),T$2,)</f>
        <v>0</v>
      </c>
      <c r="U324" s="140">
        <f ca="1">IF(ISNUMBER(MATCH(DATEVALUE($A324),'changes1_based on steps'!U$1:U$400,0)),U$2,)</f>
        <v>0</v>
      </c>
      <c r="V324" s="140"/>
      <c r="W324" s="140"/>
      <c r="X324" s="140"/>
      <c r="Y324" s="140"/>
      <c r="Z324" s="140"/>
      <c r="AA324" s="140"/>
      <c r="AB324" s="140"/>
      <c r="AC324" s="140"/>
      <c r="AD324" s="140"/>
      <c r="AE324" s="140"/>
      <c r="AF324" s="140"/>
      <c r="AG324" s="140"/>
      <c r="AH324" s="140"/>
      <c r="AI324" s="140"/>
      <c r="AJ324" s="140"/>
      <c r="AK324" s="140"/>
      <c r="AL324" s="140"/>
      <c r="AM324" s="140"/>
      <c r="AN324" s="140"/>
      <c r="AO324" s="140"/>
      <c r="AP324" s="140"/>
      <c r="AQ324" s="140"/>
      <c r="AR324" s="140"/>
      <c r="AS324" s="140"/>
      <c r="AT324" s="140"/>
      <c r="AU324" s="140"/>
      <c r="AV324" s="140"/>
      <c r="AW324" s="140"/>
      <c r="AX324" s="140"/>
      <c r="AY324" s="140"/>
      <c r="AZ324" s="140"/>
      <c r="BA324" s="140"/>
      <c r="BB324" s="140"/>
      <c r="BC324" s="140"/>
      <c r="BD324" s="140"/>
      <c r="BE324" s="140"/>
      <c r="BF324" s="140"/>
      <c r="BG324" s="140"/>
      <c r="BH324" s="140"/>
      <c r="BI324" s="140"/>
      <c r="BJ324" s="140"/>
      <c r="BK324" s="140"/>
      <c r="BL324" s="140"/>
      <c r="BM324" s="140"/>
      <c r="BN324" s="140"/>
      <c r="BO324" s="140"/>
      <c r="BP324" s="140"/>
      <c r="BQ324" s="140"/>
      <c r="BR324" s="140"/>
      <c r="BS324" s="140"/>
      <c r="BT324" s="140"/>
      <c r="BU324" s="140"/>
      <c r="BV324" s="140"/>
      <c r="BW324" s="140"/>
      <c r="BX324" s="140"/>
      <c r="BY324" s="140"/>
      <c r="BZ324" s="140"/>
      <c r="CA324" s="140"/>
      <c r="CB324" s="140"/>
      <c r="CC324" s="140"/>
      <c r="CD324" s="140"/>
      <c r="CE324" s="140"/>
      <c r="CF324" s="140"/>
      <c r="CG324" s="140"/>
      <c r="CH324" s="140"/>
      <c r="CI324" s="140"/>
      <c r="CJ324" s="140"/>
      <c r="CK324" s="140"/>
      <c r="CL324" s="140"/>
      <c r="CM324" s="140"/>
      <c r="CN324" s="140"/>
      <c r="CO324" s="140"/>
      <c r="CP324" s="140"/>
      <c r="CQ324" s="140"/>
      <c r="CR324" s="140"/>
      <c r="CS324" s="140"/>
      <c r="CT324" s="140"/>
      <c r="CU324" s="140"/>
      <c r="CV324" s="140"/>
      <c r="CW324" s="140"/>
    </row>
    <row r="325" spans="1:101" x14ac:dyDescent="0.2">
      <c r="A325" s="29" t="str">
        <f t="shared" ref="A325:A371" ca="1" si="5">TEXT(DATEVALUE(A324)+1,"yyyy-mm-dd")</f>
        <v>2026-02-12</v>
      </c>
      <c r="B325" s="140">
        <f ca="1">IF(ISNUMBER(MATCH(DATEVALUE($A325),'changes1_based on steps'!B$1:B$400,0)),B$2,)</f>
        <v>0</v>
      </c>
      <c r="C325" s="140">
        <f ca="1">IF(ISNUMBER(MATCH(DATEVALUE($A325),'changes1_based on steps'!C$1:C$400,0)),C$2,)</f>
        <v>0</v>
      </c>
      <c r="D325" s="140">
        <f ca="1">IF(ISNUMBER(MATCH(DATEVALUE($A325),'changes1_based on steps'!D$1:D$400,0)),D$2,)</f>
        <v>0</v>
      </c>
      <c r="E325" s="140">
        <f ca="1">IF(ISNUMBER(MATCH(DATEVALUE($A325),'changes1_based on steps'!E$1:E$400,0)),E$2,)</f>
        <v>0</v>
      </c>
      <c r="F325" s="140">
        <f ca="1">IF(ISNUMBER(MATCH(DATEVALUE($A325),'changes1_based on steps'!F$1:F$400,0)),F$2,)</f>
        <v>0</v>
      </c>
      <c r="G325" s="140">
        <f ca="1">IF(ISNUMBER(MATCH(DATEVALUE($A325),'changes1_based on steps'!G$1:G$400,0)),G$2,)</f>
        <v>0</v>
      </c>
      <c r="H325" s="140">
        <f ca="1">IF(ISNUMBER(MATCH(DATEVALUE($A325),'changes1_based on steps'!H$1:H$400,0)),H$2,)</f>
        <v>0</v>
      </c>
      <c r="I325" s="140">
        <f ca="1">IF(ISNUMBER(MATCH(DATEVALUE($A325),'changes1_based on steps'!I$1:I$400,0)),I$2,)</f>
        <v>0</v>
      </c>
      <c r="J325" s="140">
        <f ca="1">IF(ISNUMBER(MATCH(DATEVALUE($A325),'changes1_based on steps'!J$1:J$400,0)),J$2,)</f>
        <v>0</v>
      </c>
      <c r="K325" s="140">
        <f ca="1">IF(ISNUMBER(MATCH(DATEVALUE($A325),'changes1_based on steps'!K$1:K$400,0)),K$2,)</f>
        <v>0</v>
      </c>
      <c r="L325" s="140">
        <f ca="1">IF(ISNUMBER(MATCH(DATEVALUE($A325),'changes1_based on steps'!L$1:L$400,0)),L$2,)</f>
        <v>0</v>
      </c>
      <c r="M325" s="140">
        <f ca="1">IF(ISNUMBER(MATCH(DATEVALUE($A325),'changes1_based on steps'!M$1:M$400,0)),M$2,)</f>
        <v>0</v>
      </c>
      <c r="N325" s="140">
        <f ca="1">IF(ISNUMBER(MATCH(DATEVALUE($A325),'changes1_based on steps'!N$1:N$400,0)),N$2,)</f>
        <v>0</v>
      </c>
      <c r="O325" s="140">
        <f ca="1">IF(ISNUMBER(MATCH(DATEVALUE($A325),'changes1_based on steps'!O$1:O$400,0)),O$2,)</f>
        <v>0</v>
      </c>
      <c r="P325" s="140">
        <f ca="1">IF(ISNUMBER(MATCH(DATEVALUE($A325),'changes1_based on steps'!P$1:P$400,0)),P$2,)</f>
        <v>0</v>
      </c>
      <c r="Q325" s="140">
        <f ca="1">IF(ISNUMBER(MATCH(DATEVALUE($A325),'changes1_based on steps'!Q$1:Q$400,0)),Q$2,)</f>
        <v>0</v>
      </c>
      <c r="R325" s="140">
        <f ca="1">IF(ISNUMBER(MATCH(DATEVALUE($A325),'changes1_based on steps'!R$1:R$400,0)),R$2,)</f>
        <v>0</v>
      </c>
      <c r="S325" s="140">
        <f ca="1">IF(ISNUMBER(MATCH(DATEVALUE($A325),'changes1_based on steps'!S$1:S$400,0)),S$2,)</f>
        <v>0</v>
      </c>
      <c r="T325" s="140">
        <f ca="1">IF(ISNUMBER(MATCH(DATEVALUE($A325),'changes1_based on steps'!T$1:T$400,0)),T$2,)</f>
        <v>0</v>
      </c>
      <c r="U325" s="140">
        <f ca="1">IF(ISNUMBER(MATCH(DATEVALUE($A325),'changes1_based on steps'!U$1:U$400,0)),U$2,)</f>
        <v>0</v>
      </c>
      <c r="V325" s="140"/>
      <c r="W325" s="140"/>
      <c r="X325" s="140"/>
      <c r="Y325" s="140"/>
      <c r="Z325" s="140"/>
      <c r="AA325" s="140"/>
      <c r="AB325" s="140"/>
      <c r="AC325" s="140"/>
      <c r="AD325" s="140"/>
      <c r="AE325" s="140"/>
      <c r="AF325" s="140"/>
      <c r="AG325" s="140"/>
      <c r="AH325" s="140"/>
      <c r="AI325" s="140"/>
      <c r="AJ325" s="140"/>
      <c r="AK325" s="140"/>
      <c r="AL325" s="140"/>
      <c r="AM325" s="140"/>
      <c r="AN325" s="140"/>
      <c r="AO325" s="140"/>
      <c r="AP325" s="140"/>
      <c r="AQ325" s="140"/>
      <c r="AR325" s="140"/>
      <c r="AS325" s="140"/>
      <c r="AT325" s="140"/>
      <c r="AU325" s="140"/>
      <c r="AV325" s="140"/>
      <c r="AW325" s="140"/>
      <c r="AX325" s="140"/>
      <c r="AY325" s="140"/>
      <c r="AZ325" s="140"/>
      <c r="BA325" s="140"/>
      <c r="BB325" s="140"/>
      <c r="BC325" s="140"/>
      <c r="BD325" s="140"/>
      <c r="BE325" s="140"/>
      <c r="BF325" s="140"/>
      <c r="BG325" s="140"/>
      <c r="BH325" s="140"/>
      <c r="BI325" s="140"/>
      <c r="BJ325" s="140"/>
      <c r="BK325" s="140"/>
      <c r="BL325" s="140"/>
      <c r="BM325" s="140"/>
      <c r="BN325" s="140"/>
      <c r="BO325" s="140"/>
      <c r="BP325" s="140"/>
      <c r="BQ325" s="140"/>
      <c r="BR325" s="140"/>
      <c r="BS325" s="140"/>
      <c r="BT325" s="140"/>
      <c r="BU325" s="140"/>
      <c r="BV325" s="140"/>
      <c r="BW325" s="140"/>
      <c r="BX325" s="140"/>
      <c r="BY325" s="140"/>
      <c r="BZ325" s="140"/>
      <c r="CA325" s="140"/>
      <c r="CB325" s="140"/>
      <c r="CC325" s="140"/>
      <c r="CD325" s="140"/>
      <c r="CE325" s="140"/>
      <c r="CF325" s="140"/>
      <c r="CG325" s="140"/>
      <c r="CH325" s="140"/>
      <c r="CI325" s="140"/>
      <c r="CJ325" s="140"/>
      <c r="CK325" s="140"/>
      <c r="CL325" s="140"/>
      <c r="CM325" s="140"/>
      <c r="CN325" s="140"/>
      <c r="CO325" s="140"/>
      <c r="CP325" s="140"/>
      <c r="CQ325" s="140"/>
      <c r="CR325" s="140"/>
      <c r="CS325" s="140"/>
      <c r="CT325" s="140"/>
      <c r="CU325" s="140"/>
      <c r="CV325" s="140"/>
      <c r="CW325" s="140"/>
    </row>
    <row r="326" spans="1:101" x14ac:dyDescent="0.2">
      <c r="A326" s="29" t="str">
        <f t="shared" ca="1" si="5"/>
        <v>2026-02-13</v>
      </c>
      <c r="B326" s="140">
        <f ca="1">IF(ISNUMBER(MATCH(DATEVALUE($A326),'changes1_based on steps'!B$1:B$400,0)),B$2,)</f>
        <v>0</v>
      </c>
      <c r="C326" s="140">
        <f ca="1">IF(ISNUMBER(MATCH(DATEVALUE($A326),'changes1_based on steps'!C$1:C$400,0)),C$2,)</f>
        <v>0</v>
      </c>
      <c r="D326" s="140">
        <f ca="1">IF(ISNUMBER(MATCH(DATEVALUE($A326),'changes1_based on steps'!D$1:D$400,0)),D$2,)</f>
        <v>0</v>
      </c>
      <c r="E326" s="140">
        <f ca="1">IF(ISNUMBER(MATCH(DATEVALUE($A326),'changes1_based on steps'!E$1:E$400,0)),E$2,)</f>
        <v>0</v>
      </c>
      <c r="F326" s="140">
        <f ca="1">IF(ISNUMBER(MATCH(DATEVALUE($A326),'changes1_based on steps'!F$1:F$400,0)),F$2,)</f>
        <v>0</v>
      </c>
      <c r="G326" s="140">
        <f ca="1">IF(ISNUMBER(MATCH(DATEVALUE($A326),'changes1_based on steps'!G$1:G$400,0)),G$2,)</f>
        <v>0</v>
      </c>
      <c r="H326" s="140">
        <f ca="1">IF(ISNUMBER(MATCH(DATEVALUE($A326),'changes1_based on steps'!H$1:H$400,0)),H$2,)</f>
        <v>0</v>
      </c>
      <c r="I326" s="140">
        <f ca="1">IF(ISNUMBER(MATCH(DATEVALUE($A326),'changes1_based on steps'!I$1:I$400,0)),I$2,)</f>
        <v>0</v>
      </c>
      <c r="J326" s="140">
        <f ca="1">IF(ISNUMBER(MATCH(DATEVALUE($A326),'changes1_based on steps'!J$1:J$400,0)),J$2,)</f>
        <v>0</v>
      </c>
      <c r="K326" s="140">
        <f ca="1">IF(ISNUMBER(MATCH(DATEVALUE($A326),'changes1_based on steps'!K$1:K$400,0)),K$2,)</f>
        <v>0</v>
      </c>
      <c r="L326" s="140">
        <f ca="1">IF(ISNUMBER(MATCH(DATEVALUE($A326),'changes1_based on steps'!L$1:L$400,0)),L$2,)</f>
        <v>0</v>
      </c>
      <c r="M326" s="140">
        <f ca="1">IF(ISNUMBER(MATCH(DATEVALUE($A326),'changes1_based on steps'!M$1:M$400,0)),M$2,)</f>
        <v>0</v>
      </c>
      <c r="N326" s="140">
        <f ca="1">IF(ISNUMBER(MATCH(DATEVALUE($A326),'changes1_based on steps'!N$1:N$400,0)),N$2,)</f>
        <v>0</v>
      </c>
      <c r="O326" s="140">
        <f ca="1">IF(ISNUMBER(MATCH(DATEVALUE($A326),'changes1_based on steps'!O$1:O$400,0)),O$2,)</f>
        <v>0</v>
      </c>
      <c r="P326" s="140">
        <f ca="1">IF(ISNUMBER(MATCH(DATEVALUE($A326),'changes1_based on steps'!P$1:P$400,0)),P$2,)</f>
        <v>0</v>
      </c>
      <c r="Q326" s="140">
        <f ca="1">IF(ISNUMBER(MATCH(DATEVALUE($A326),'changes1_based on steps'!Q$1:Q$400,0)),Q$2,)</f>
        <v>0</v>
      </c>
      <c r="R326" s="140">
        <f ca="1">IF(ISNUMBER(MATCH(DATEVALUE($A326),'changes1_based on steps'!R$1:R$400,0)),R$2,)</f>
        <v>0</v>
      </c>
      <c r="S326" s="140">
        <f ca="1">IF(ISNUMBER(MATCH(DATEVALUE($A326),'changes1_based on steps'!S$1:S$400,0)),S$2,)</f>
        <v>0</v>
      </c>
      <c r="T326" s="140">
        <f ca="1">IF(ISNUMBER(MATCH(DATEVALUE($A326),'changes1_based on steps'!T$1:T$400,0)),T$2,)</f>
        <v>0</v>
      </c>
      <c r="U326" s="140">
        <f ca="1">IF(ISNUMBER(MATCH(DATEVALUE($A326),'changes1_based on steps'!U$1:U$400,0)),U$2,)</f>
        <v>0</v>
      </c>
      <c r="V326" s="140"/>
      <c r="W326" s="140"/>
      <c r="X326" s="140"/>
      <c r="Y326" s="140"/>
      <c r="Z326" s="140"/>
      <c r="AA326" s="140"/>
      <c r="AB326" s="140"/>
      <c r="AC326" s="140"/>
      <c r="AD326" s="140"/>
      <c r="AE326" s="140"/>
      <c r="AF326" s="140"/>
      <c r="AG326" s="140"/>
      <c r="AH326" s="140"/>
      <c r="AI326" s="140"/>
      <c r="AJ326" s="140"/>
      <c r="AK326" s="140"/>
      <c r="AL326" s="140"/>
      <c r="AM326" s="140"/>
      <c r="AN326" s="140"/>
      <c r="AO326" s="140"/>
      <c r="AP326" s="140"/>
      <c r="AQ326" s="140"/>
      <c r="AR326" s="140"/>
      <c r="AS326" s="140"/>
      <c r="AT326" s="140"/>
      <c r="AU326" s="140"/>
      <c r="AV326" s="140"/>
      <c r="AW326" s="140"/>
      <c r="AX326" s="140"/>
      <c r="AY326" s="140"/>
      <c r="AZ326" s="140"/>
      <c r="BA326" s="140"/>
      <c r="BB326" s="140"/>
      <c r="BC326" s="140"/>
      <c r="BD326" s="140"/>
      <c r="BE326" s="140"/>
      <c r="BF326" s="140"/>
      <c r="BG326" s="140"/>
      <c r="BH326" s="140"/>
      <c r="BI326" s="140"/>
      <c r="BJ326" s="140"/>
      <c r="BK326" s="140"/>
      <c r="BL326" s="140"/>
      <c r="BM326" s="140"/>
      <c r="BN326" s="140"/>
      <c r="BO326" s="140"/>
      <c r="BP326" s="140"/>
      <c r="BQ326" s="140"/>
      <c r="BR326" s="140"/>
      <c r="BS326" s="140"/>
      <c r="BT326" s="140"/>
      <c r="BU326" s="140"/>
      <c r="BV326" s="140"/>
      <c r="BW326" s="140"/>
      <c r="BX326" s="140"/>
      <c r="BY326" s="140"/>
      <c r="BZ326" s="140"/>
      <c r="CA326" s="140"/>
      <c r="CB326" s="140"/>
      <c r="CC326" s="140"/>
      <c r="CD326" s="140"/>
      <c r="CE326" s="140"/>
      <c r="CF326" s="140"/>
      <c r="CG326" s="140"/>
      <c r="CH326" s="140"/>
      <c r="CI326" s="140"/>
      <c r="CJ326" s="140"/>
      <c r="CK326" s="140"/>
      <c r="CL326" s="140"/>
      <c r="CM326" s="140"/>
      <c r="CN326" s="140"/>
      <c r="CO326" s="140"/>
      <c r="CP326" s="140"/>
      <c r="CQ326" s="140"/>
      <c r="CR326" s="140"/>
      <c r="CS326" s="140"/>
      <c r="CT326" s="140"/>
      <c r="CU326" s="140"/>
      <c r="CV326" s="140"/>
      <c r="CW326" s="140"/>
    </row>
    <row r="327" spans="1:101" x14ac:dyDescent="0.2">
      <c r="A327" s="29" t="str">
        <f t="shared" ca="1" si="5"/>
        <v>2026-02-14</v>
      </c>
      <c r="B327" s="140">
        <f ca="1">IF(ISNUMBER(MATCH(DATEVALUE($A327),'changes1_based on steps'!B$1:B$400,0)),B$2,)</f>
        <v>0</v>
      </c>
      <c r="C327" s="140">
        <f ca="1">IF(ISNUMBER(MATCH(DATEVALUE($A327),'changes1_based on steps'!C$1:C$400,0)),C$2,)</f>
        <v>0</v>
      </c>
      <c r="D327" s="140">
        <f ca="1">IF(ISNUMBER(MATCH(DATEVALUE($A327),'changes1_based on steps'!D$1:D$400,0)),D$2,)</f>
        <v>0</v>
      </c>
      <c r="E327" s="140">
        <f ca="1">IF(ISNUMBER(MATCH(DATEVALUE($A327),'changes1_based on steps'!E$1:E$400,0)),E$2,)</f>
        <v>0</v>
      </c>
      <c r="F327" s="140">
        <f ca="1">IF(ISNUMBER(MATCH(DATEVALUE($A327),'changes1_based on steps'!F$1:F$400,0)),F$2,)</f>
        <v>0</v>
      </c>
      <c r="G327" s="140">
        <f ca="1">IF(ISNUMBER(MATCH(DATEVALUE($A327),'changes1_based on steps'!G$1:G$400,0)),G$2,)</f>
        <v>0</v>
      </c>
      <c r="H327" s="140">
        <f ca="1">IF(ISNUMBER(MATCH(DATEVALUE($A327),'changes1_based on steps'!H$1:H$400,0)),H$2,)</f>
        <v>0</v>
      </c>
      <c r="I327" s="140">
        <f ca="1">IF(ISNUMBER(MATCH(DATEVALUE($A327),'changes1_based on steps'!I$1:I$400,0)),I$2,)</f>
        <v>0</v>
      </c>
      <c r="J327" s="140">
        <f ca="1">IF(ISNUMBER(MATCH(DATEVALUE($A327),'changes1_based on steps'!J$1:J$400,0)),J$2,)</f>
        <v>0</v>
      </c>
      <c r="K327" s="140">
        <f ca="1">IF(ISNUMBER(MATCH(DATEVALUE($A327),'changes1_based on steps'!K$1:K$400,0)),K$2,)</f>
        <v>0</v>
      </c>
      <c r="L327" s="140">
        <f ca="1">IF(ISNUMBER(MATCH(DATEVALUE($A327),'changes1_based on steps'!L$1:L$400,0)),L$2,)</f>
        <v>0</v>
      </c>
      <c r="M327" s="140">
        <f ca="1">IF(ISNUMBER(MATCH(DATEVALUE($A327),'changes1_based on steps'!M$1:M$400,0)),M$2,)</f>
        <v>0</v>
      </c>
      <c r="N327" s="140">
        <f ca="1">IF(ISNUMBER(MATCH(DATEVALUE($A327),'changes1_based on steps'!N$1:N$400,0)),N$2,)</f>
        <v>0</v>
      </c>
      <c r="O327" s="140">
        <f ca="1">IF(ISNUMBER(MATCH(DATEVALUE($A327),'changes1_based on steps'!O$1:O$400,0)),O$2,)</f>
        <v>0</v>
      </c>
      <c r="P327" s="140">
        <f ca="1">IF(ISNUMBER(MATCH(DATEVALUE($A327),'changes1_based on steps'!P$1:P$400,0)),P$2,)</f>
        <v>0</v>
      </c>
      <c r="Q327" s="140">
        <f ca="1">IF(ISNUMBER(MATCH(DATEVALUE($A327),'changes1_based on steps'!Q$1:Q$400,0)),Q$2,)</f>
        <v>0</v>
      </c>
      <c r="R327" s="140">
        <f ca="1">IF(ISNUMBER(MATCH(DATEVALUE($A327),'changes1_based on steps'!R$1:R$400,0)),R$2,)</f>
        <v>0</v>
      </c>
      <c r="S327" s="140">
        <f ca="1">IF(ISNUMBER(MATCH(DATEVALUE($A327),'changes1_based on steps'!S$1:S$400,0)),S$2,)</f>
        <v>0</v>
      </c>
      <c r="T327" s="140">
        <f ca="1">IF(ISNUMBER(MATCH(DATEVALUE($A327),'changes1_based on steps'!T$1:T$400,0)),T$2,)</f>
        <v>0</v>
      </c>
      <c r="U327" s="140">
        <f ca="1">IF(ISNUMBER(MATCH(DATEVALUE($A327),'changes1_based on steps'!U$1:U$400,0)),U$2,)</f>
        <v>0</v>
      </c>
      <c r="V327" s="140"/>
      <c r="W327" s="140"/>
      <c r="X327" s="140"/>
      <c r="Y327" s="140"/>
      <c r="Z327" s="140"/>
      <c r="AA327" s="140"/>
      <c r="AB327" s="140"/>
      <c r="AC327" s="140"/>
      <c r="AD327" s="140"/>
      <c r="AE327" s="140"/>
      <c r="AF327" s="140"/>
      <c r="AG327" s="140"/>
      <c r="AH327" s="140"/>
      <c r="AI327" s="140"/>
      <c r="AJ327" s="140"/>
      <c r="AK327" s="140"/>
      <c r="AL327" s="140"/>
      <c r="AM327" s="140"/>
      <c r="AN327" s="140"/>
      <c r="AO327" s="140"/>
      <c r="AP327" s="140"/>
      <c r="AQ327" s="140"/>
      <c r="AR327" s="140"/>
      <c r="AS327" s="140"/>
      <c r="AT327" s="140"/>
      <c r="AU327" s="140"/>
      <c r="AV327" s="140"/>
      <c r="AW327" s="140"/>
      <c r="AX327" s="140"/>
      <c r="AY327" s="140"/>
      <c r="AZ327" s="140"/>
      <c r="BA327" s="140"/>
      <c r="BB327" s="140"/>
      <c r="BC327" s="140"/>
      <c r="BD327" s="140"/>
      <c r="BE327" s="140"/>
      <c r="BF327" s="140"/>
      <c r="BG327" s="140"/>
      <c r="BH327" s="140"/>
      <c r="BI327" s="140"/>
      <c r="BJ327" s="140"/>
      <c r="BK327" s="140"/>
      <c r="BL327" s="140"/>
      <c r="BM327" s="140"/>
      <c r="BN327" s="140"/>
      <c r="BO327" s="140"/>
      <c r="BP327" s="140"/>
      <c r="BQ327" s="140"/>
      <c r="BR327" s="140"/>
      <c r="BS327" s="140"/>
      <c r="BT327" s="140"/>
      <c r="BU327" s="140"/>
      <c r="BV327" s="140"/>
      <c r="BW327" s="140"/>
      <c r="BX327" s="140"/>
      <c r="BY327" s="140"/>
      <c r="BZ327" s="140"/>
      <c r="CA327" s="140"/>
      <c r="CB327" s="140"/>
      <c r="CC327" s="140"/>
      <c r="CD327" s="140"/>
      <c r="CE327" s="140"/>
      <c r="CF327" s="140"/>
      <c r="CG327" s="140"/>
      <c r="CH327" s="140"/>
      <c r="CI327" s="140"/>
      <c r="CJ327" s="140"/>
      <c r="CK327" s="140"/>
      <c r="CL327" s="140"/>
      <c r="CM327" s="140"/>
      <c r="CN327" s="140"/>
      <c r="CO327" s="140"/>
      <c r="CP327" s="140"/>
      <c r="CQ327" s="140"/>
      <c r="CR327" s="140"/>
      <c r="CS327" s="140"/>
      <c r="CT327" s="140"/>
      <c r="CU327" s="140"/>
      <c r="CV327" s="140"/>
      <c r="CW327" s="140"/>
    </row>
    <row r="328" spans="1:101" x14ac:dyDescent="0.2">
      <c r="A328" s="29" t="str">
        <f t="shared" ca="1" si="5"/>
        <v>2026-02-15</v>
      </c>
      <c r="B328" s="140">
        <f ca="1">IF(ISNUMBER(MATCH(DATEVALUE($A328),'changes1_based on steps'!B$1:B$400,0)),B$2,)</f>
        <v>0</v>
      </c>
      <c r="C328" s="140">
        <f ca="1">IF(ISNUMBER(MATCH(DATEVALUE($A328),'changes1_based on steps'!C$1:C$400,0)),C$2,)</f>
        <v>0</v>
      </c>
      <c r="D328" s="140">
        <f ca="1">IF(ISNUMBER(MATCH(DATEVALUE($A328),'changes1_based on steps'!D$1:D$400,0)),D$2,)</f>
        <v>0</v>
      </c>
      <c r="E328" s="140">
        <f ca="1">IF(ISNUMBER(MATCH(DATEVALUE($A328),'changes1_based on steps'!E$1:E$400,0)),E$2,)</f>
        <v>0</v>
      </c>
      <c r="F328" s="140">
        <f ca="1">IF(ISNUMBER(MATCH(DATEVALUE($A328),'changes1_based on steps'!F$1:F$400,0)),F$2,)</f>
        <v>0</v>
      </c>
      <c r="G328" s="140">
        <f ca="1">IF(ISNUMBER(MATCH(DATEVALUE($A328),'changes1_based on steps'!G$1:G$400,0)),G$2,)</f>
        <v>0</v>
      </c>
      <c r="H328" s="140">
        <f ca="1">IF(ISNUMBER(MATCH(DATEVALUE($A328),'changes1_based on steps'!H$1:H$400,0)),H$2,)</f>
        <v>0</v>
      </c>
      <c r="I328" s="140">
        <f ca="1">IF(ISNUMBER(MATCH(DATEVALUE($A328),'changes1_based on steps'!I$1:I$400,0)),I$2,)</f>
        <v>0</v>
      </c>
      <c r="J328" s="140">
        <f ca="1">IF(ISNUMBER(MATCH(DATEVALUE($A328),'changes1_based on steps'!J$1:J$400,0)),J$2,)</f>
        <v>0</v>
      </c>
      <c r="K328" s="140">
        <f ca="1">IF(ISNUMBER(MATCH(DATEVALUE($A328),'changes1_based on steps'!K$1:K$400,0)),K$2,)</f>
        <v>0</v>
      </c>
      <c r="L328" s="140">
        <f ca="1">IF(ISNUMBER(MATCH(DATEVALUE($A328),'changes1_based on steps'!L$1:L$400,0)),L$2,)</f>
        <v>0</v>
      </c>
      <c r="M328" s="140">
        <f ca="1">IF(ISNUMBER(MATCH(DATEVALUE($A328),'changes1_based on steps'!M$1:M$400,0)),M$2,)</f>
        <v>0</v>
      </c>
      <c r="N328" s="140">
        <f ca="1">IF(ISNUMBER(MATCH(DATEVALUE($A328),'changes1_based on steps'!N$1:N$400,0)),N$2,)</f>
        <v>0</v>
      </c>
      <c r="O328" s="140">
        <f ca="1">IF(ISNUMBER(MATCH(DATEVALUE($A328),'changes1_based on steps'!O$1:O$400,0)),O$2,)</f>
        <v>0</v>
      </c>
      <c r="P328" s="140">
        <f ca="1">IF(ISNUMBER(MATCH(DATEVALUE($A328),'changes1_based on steps'!P$1:P$400,0)),P$2,)</f>
        <v>0</v>
      </c>
      <c r="Q328" s="140">
        <f ca="1">IF(ISNUMBER(MATCH(DATEVALUE($A328),'changes1_based on steps'!Q$1:Q$400,0)),Q$2,)</f>
        <v>0</v>
      </c>
      <c r="R328" s="140">
        <f ca="1">IF(ISNUMBER(MATCH(DATEVALUE($A328),'changes1_based on steps'!R$1:R$400,0)),R$2,)</f>
        <v>0</v>
      </c>
      <c r="S328" s="140">
        <f ca="1">IF(ISNUMBER(MATCH(DATEVALUE($A328),'changes1_based on steps'!S$1:S$400,0)),S$2,)</f>
        <v>0</v>
      </c>
      <c r="T328" s="140">
        <f ca="1">IF(ISNUMBER(MATCH(DATEVALUE($A328),'changes1_based on steps'!T$1:T$400,0)),T$2,)</f>
        <v>0</v>
      </c>
      <c r="U328" s="140">
        <f ca="1">IF(ISNUMBER(MATCH(DATEVALUE($A328),'changes1_based on steps'!U$1:U$400,0)),U$2,)</f>
        <v>0</v>
      </c>
      <c r="V328" s="140"/>
      <c r="W328" s="140"/>
      <c r="X328" s="140"/>
      <c r="Y328" s="140"/>
      <c r="Z328" s="140"/>
      <c r="AA328" s="140"/>
      <c r="AB328" s="140"/>
      <c r="AC328" s="140"/>
      <c r="AD328" s="140"/>
      <c r="AE328" s="140"/>
      <c r="AF328" s="140"/>
      <c r="AG328" s="140"/>
      <c r="AH328" s="140"/>
      <c r="AI328" s="140"/>
      <c r="AJ328" s="140"/>
      <c r="AK328" s="140"/>
      <c r="AL328" s="140"/>
      <c r="AM328" s="140"/>
      <c r="AN328" s="140"/>
      <c r="AO328" s="140"/>
      <c r="AP328" s="140"/>
      <c r="AQ328" s="140"/>
      <c r="AR328" s="140"/>
      <c r="AS328" s="140"/>
      <c r="AT328" s="140"/>
      <c r="AU328" s="140"/>
      <c r="AV328" s="140"/>
      <c r="AW328" s="140"/>
      <c r="AX328" s="140"/>
      <c r="AY328" s="140"/>
      <c r="AZ328" s="140"/>
      <c r="BA328" s="140"/>
      <c r="BB328" s="140"/>
      <c r="BC328" s="140"/>
      <c r="BD328" s="140"/>
      <c r="BE328" s="140"/>
      <c r="BF328" s="140"/>
      <c r="BG328" s="140"/>
      <c r="BH328" s="140"/>
      <c r="BI328" s="140"/>
      <c r="BJ328" s="140"/>
      <c r="BK328" s="140"/>
      <c r="BL328" s="140"/>
      <c r="BM328" s="140"/>
      <c r="BN328" s="140"/>
      <c r="BO328" s="140"/>
      <c r="BP328" s="140"/>
      <c r="BQ328" s="140"/>
      <c r="BR328" s="140"/>
      <c r="BS328" s="140"/>
      <c r="BT328" s="140"/>
      <c r="BU328" s="140"/>
      <c r="BV328" s="140"/>
      <c r="BW328" s="140"/>
      <c r="BX328" s="140"/>
      <c r="BY328" s="140"/>
      <c r="BZ328" s="140"/>
      <c r="CA328" s="140"/>
      <c r="CB328" s="140"/>
      <c r="CC328" s="140"/>
      <c r="CD328" s="140"/>
      <c r="CE328" s="140"/>
      <c r="CF328" s="140"/>
      <c r="CG328" s="140"/>
      <c r="CH328" s="140"/>
      <c r="CI328" s="140"/>
      <c r="CJ328" s="140"/>
      <c r="CK328" s="140"/>
      <c r="CL328" s="140"/>
      <c r="CM328" s="140"/>
      <c r="CN328" s="140"/>
      <c r="CO328" s="140"/>
      <c r="CP328" s="140"/>
      <c r="CQ328" s="140"/>
      <c r="CR328" s="140"/>
      <c r="CS328" s="140"/>
      <c r="CT328" s="140"/>
      <c r="CU328" s="140"/>
      <c r="CV328" s="140"/>
      <c r="CW328" s="140"/>
    </row>
    <row r="329" spans="1:101" x14ac:dyDescent="0.2">
      <c r="A329" s="29" t="str">
        <f t="shared" ca="1" si="5"/>
        <v>2026-02-16</v>
      </c>
      <c r="B329" s="140">
        <f ca="1">IF(ISNUMBER(MATCH(DATEVALUE($A329),'changes1_based on steps'!B$1:B$400,0)),B$2,)</f>
        <v>0</v>
      </c>
      <c r="C329" s="140">
        <f ca="1">IF(ISNUMBER(MATCH(DATEVALUE($A329),'changes1_based on steps'!C$1:C$400,0)),C$2,)</f>
        <v>0</v>
      </c>
      <c r="D329" s="140">
        <f ca="1">IF(ISNUMBER(MATCH(DATEVALUE($A329),'changes1_based on steps'!D$1:D$400,0)),D$2,)</f>
        <v>0</v>
      </c>
      <c r="E329" s="140">
        <f ca="1">IF(ISNUMBER(MATCH(DATEVALUE($A329),'changes1_based on steps'!E$1:E$400,0)),E$2,)</f>
        <v>0</v>
      </c>
      <c r="F329" s="140">
        <f ca="1">IF(ISNUMBER(MATCH(DATEVALUE($A329),'changes1_based on steps'!F$1:F$400,0)),F$2,)</f>
        <v>0</v>
      </c>
      <c r="G329" s="140">
        <f ca="1">IF(ISNUMBER(MATCH(DATEVALUE($A329),'changes1_based on steps'!G$1:G$400,0)),G$2,)</f>
        <v>0</v>
      </c>
      <c r="H329" s="140">
        <f ca="1">IF(ISNUMBER(MATCH(DATEVALUE($A329),'changes1_based on steps'!H$1:H$400,0)),H$2,)</f>
        <v>0</v>
      </c>
      <c r="I329" s="140">
        <f ca="1">IF(ISNUMBER(MATCH(DATEVALUE($A329),'changes1_based on steps'!I$1:I$400,0)),I$2,)</f>
        <v>0</v>
      </c>
      <c r="J329" s="140">
        <f ca="1">IF(ISNUMBER(MATCH(DATEVALUE($A329),'changes1_based on steps'!J$1:J$400,0)),J$2,)</f>
        <v>0</v>
      </c>
      <c r="K329" s="140">
        <f ca="1">IF(ISNUMBER(MATCH(DATEVALUE($A329),'changes1_based on steps'!K$1:K$400,0)),K$2,)</f>
        <v>0</v>
      </c>
      <c r="L329" s="140">
        <f ca="1">IF(ISNUMBER(MATCH(DATEVALUE($A329),'changes1_based on steps'!L$1:L$400,0)),L$2,)</f>
        <v>0</v>
      </c>
      <c r="M329" s="140">
        <f ca="1">IF(ISNUMBER(MATCH(DATEVALUE($A329),'changes1_based on steps'!M$1:M$400,0)),M$2,)</f>
        <v>0</v>
      </c>
      <c r="N329" s="140">
        <f ca="1">IF(ISNUMBER(MATCH(DATEVALUE($A329),'changes1_based on steps'!N$1:N$400,0)),N$2,)</f>
        <v>0</v>
      </c>
      <c r="O329" s="140">
        <f ca="1">IF(ISNUMBER(MATCH(DATEVALUE($A329),'changes1_based on steps'!O$1:O$400,0)),O$2,)</f>
        <v>0</v>
      </c>
      <c r="P329" s="140">
        <f ca="1">IF(ISNUMBER(MATCH(DATEVALUE($A329),'changes1_based on steps'!P$1:P$400,0)),P$2,)</f>
        <v>0</v>
      </c>
      <c r="Q329" s="140">
        <f ca="1">IF(ISNUMBER(MATCH(DATEVALUE($A329),'changes1_based on steps'!Q$1:Q$400,0)),Q$2,)</f>
        <v>0</v>
      </c>
      <c r="R329" s="140">
        <f ca="1">IF(ISNUMBER(MATCH(DATEVALUE($A329),'changes1_based on steps'!R$1:R$400,0)),R$2,)</f>
        <v>0</v>
      </c>
      <c r="S329" s="140">
        <f ca="1">IF(ISNUMBER(MATCH(DATEVALUE($A329),'changes1_based on steps'!S$1:S$400,0)),S$2,)</f>
        <v>0</v>
      </c>
      <c r="T329" s="140">
        <f ca="1">IF(ISNUMBER(MATCH(DATEVALUE($A329),'changes1_based on steps'!T$1:T$400,0)),T$2,)</f>
        <v>0</v>
      </c>
      <c r="U329" s="140">
        <f ca="1">IF(ISNUMBER(MATCH(DATEVALUE($A329),'changes1_based on steps'!U$1:U$400,0)),U$2,)</f>
        <v>0</v>
      </c>
      <c r="V329" s="140"/>
      <c r="W329" s="140"/>
      <c r="X329" s="140"/>
      <c r="Y329" s="140"/>
      <c r="Z329" s="140"/>
      <c r="AA329" s="140"/>
      <c r="AB329" s="140"/>
      <c r="AC329" s="140"/>
      <c r="AD329" s="140"/>
      <c r="AE329" s="140"/>
      <c r="AF329" s="140"/>
      <c r="AG329" s="140"/>
      <c r="AH329" s="140"/>
      <c r="AI329" s="140"/>
      <c r="AJ329" s="140"/>
      <c r="AK329" s="140"/>
      <c r="AL329" s="140"/>
      <c r="AM329" s="140"/>
      <c r="AN329" s="140"/>
      <c r="AO329" s="140"/>
      <c r="AP329" s="140"/>
      <c r="AQ329" s="140"/>
      <c r="AR329" s="140"/>
      <c r="AS329" s="140"/>
      <c r="AT329" s="140"/>
      <c r="AU329" s="140"/>
      <c r="AV329" s="140"/>
      <c r="AW329" s="140"/>
      <c r="AX329" s="140"/>
      <c r="AY329" s="140"/>
      <c r="AZ329" s="140"/>
      <c r="BA329" s="140"/>
      <c r="BB329" s="140"/>
      <c r="BC329" s="140"/>
      <c r="BD329" s="140"/>
      <c r="BE329" s="140"/>
      <c r="BF329" s="140"/>
      <c r="BG329" s="140"/>
      <c r="BH329" s="140"/>
      <c r="BI329" s="140"/>
      <c r="BJ329" s="140"/>
      <c r="BK329" s="140"/>
      <c r="BL329" s="140"/>
      <c r="BM329" s="140"/>
      <c r="BN329" s="140"/>
      <c r="BO329" s="140"/>
      <c r="BP329" s="140"/>
      <c r="BQ329" s="140"/>
      <c r="BR329" s="140"/>
      <c r="BS329" s="140"/>
      <c r="BT329" s="140"/>
      <c r="BU329" s="140"/>
      <c r="BV329" s="140"/>
      <c r="BW329" s="140"/>
      <c r="BX329" s="140"/>
      <c r="BY329" s="140"/>
      <c r="BZ329" s="140"/>
      <c r="CA329" s="140"/>
      <c r="CB329" s="140"/>
      <c r="CC329" s="140"/>
      <c r="CD329" s="140"/>
      <c r="CE329" s="140"/>
      <c r="CF329" s="140"/>
      <c r="CG329" s="140"/>
      <c r="CH329" s="140"/>
      <c r="CI329" s="140"/>
      <c r="CJ329" s="140"/>
      <c r="CK329" s="140"/>
      <c r="CL329" s="140"/>
      <c r="CM329" s="140"/>
      <c r="CN329" s="140"/>
      <c r="CO329" s="140"/>
      <c r="CP329" s="140"/>
      <c r="CQ329" s="140"/>
      <c r="CR329" s="140"/>
      <c r="CS329" s="140"/>
      <c r="CT329" s="140"/>
      <c r="CU329" s="140"/>
      <c r="CV329" s="140"/>
      <c r="CW329" s="140"/>
    </row>
    <row r="330" spans="1:101" x14ac:dyDescent="0.2">
      <c r="A330" s="29" t="str">
        <f t="shared" ca="1" si="5"/>
        <v>2026-02-17</v>
      </c>
      <c r="B330" s="140">
        <f ca="1">IF(ISNUMBER(MATCH(DATEVALUE($A330),'changes1_based on steps'!B$1:B$400,0)),B$2,)</f>
        <v>0</v>
      </c>
      <c r="C330" s="140">
        <f ca="1">IF(ISNUMBER(MATCH(DATEVALUE($A330),'changes1_based on steps'!C$1:C$400,0)),C$2,)</f>
        <v>0</v>
      </c>
      <c r="D330" s="140">
        <f ca="1">IF(ISNUMBER(MATCH(DATEVALUE($A330),'changes1_based on steps'!D$1:D$400,0)),D$2,)</f>
        <v>0</v>
      </c>
      <c r="E330" s="140">
        <f ca="1">IF(ISNUMBER(MATCH(DATEVALUE($A330),'changes1_based on steps'!E$1:E$400,0)),E$2,)</f>
        <v>0</v>
      </c>
      <c r="F330" s="140">
        <f ca="1">IF(ISNUMBER(MATCH(DATEVALUE($A330),'changes1_based on steps'!F$1:F$400,0)),F$2,)</f>
        <v>0</v>
      </c>
      <c r="G330" s="140">
        <f ca="1">IF(ISNUMBER(MATCH(DATEVALUE($A330),'changes1_based on steps'!G$1:G$400,0)),G$2,)</f>
        <v>0</v>
      </c>
      <c r="H330" s="140">
        <f ca="1">IF(ISNUMBER(MATCH(DATEVALUE($A330),'changes1_based on steps'!H$1:H$400,0)),H$2,)</f>
        <v>0</v>
      </c>
      <c r="I330" s="140">
        <f ca="1">IF(ISNUMBER(MATCH(DATEVALUE($A330),'changes1_based on steps'!I$1:I$400,0)),I$2,)</f>
        <v>0</v>
      </c>
      <c r="J330" s="140">
        <f ca="1">IF(ISNUMBER(MATCH(DATEVALUE($A330),'changes1_based on steps'!J$1:J$400,0)),J$2,)</f>
        <v>0</v>
      </c>
      <c r="K330" s="140">
        <f ca="1">IF(ISNUMBER(MATCH(DATEVALUE($A330),'changes1_based on steps'!K$1:K$400,0)),K$2,)</f>
        <v>0</v>
      </c>
      <c r="L330" s="140">
        <f ca="1">IF(ISNUMBER(MATCH(DATEVALUE($A330),'changes1_based on steps'!L$1:L$400,0)),L$2,)</f>
        <v>0</v>
      </c>
      <c r="M330" s="140">
        <f ca="1">IF(ISNUMBER(MATCH(DATEVALUE($A330),'changes1_based on steps'!M$1:M$400,0)),M$2,)</f>
        <v>0</v>
      </c>
      <c r="N330" s="140">
        <f ca="1">IF(ISNUMBER(MATCH(DATEVALUE($A330),'changes1_based on steps'!N$1:N$400,0)),N$2,)</f>
        <v>0</v>
      </c>
      <c r="O330" s="140">
        <f ca="1">IF(ISNUMBER(MATCH(DATEVALUE($A330),'changes1_based on steps'!O$1:O$400,0)),O$2,)</f>
        <v>0</v>
      </c>
      <c r="P330" s="140">
        <f ca="1">IF(ISNUMBER(MATCH(DATEVALUE($A330),'changes1_based on steps'!P$1:P$400,0)),P$2,)</f>
        <v>0</v>
      </c>
      <c r="Q330" s="140">
        <f ca="1">IF(ISNUMBER(MATCH(DATEVALUE($A330),'changes1_based on steps'!Q$1:Q$400,0)),Q$2,)</f>
        <v>0</v>
      </c>
      <c r="R330" s="140">
        <f ca="1">IF(ISNUMBER(MATCH(DATEVALUE($A330),'changes1_based on steps'!R$1:R$400,0)),R$2,)</f>
        <v>0</v>
      </c>
      <c r="S330" s="140">
        <f ca="1">IF(ISNUMBER(MATCH(DATEVALUE($A330),'changes1_based on steps'!S$1:S$400,0)),S$2,)</f>
        <v>0</v>
      </c>
      <c r="T330" s="140">
        <f ca="1">IF(ISNUMBER(MATCH(DATEVALUE($A330),'changes1_based on steps'!T$1:T$400,0)),T$2,)</f>
        <v>0</v>
      </c>
      <c r="U330" s="140">
        <f ca="1">IF(ISNUMBER(MATCH(DATEVALUE($A330),'changes1_based on steps'!U$1:U$400,0)),U$2,)</f>
        <v>0</v>
      </c>
      <c r="V330" s="140"/>
      <c r="W330" s="140"/>
      <c r="X330" s="140"/>
      <c r="Y330" s="140"/>
      <c r="Z330" s="140"/>
      <c r="AA330" s="140"/>
      <c r="AB330" s="140"/>
      <c r="AC330" s="140"/>
      <c r="AD330" s="140"/>
      <c r="AE330" s="140"/>
      <c r="AF330" s="140"/>
      <c r="AG330" s="140"/>
      <c r="AH330" s="140"/>
      <c r="AI330" s="140"/>
      <c r="AJ330" s="140"/>
      <c r="AK330" s="140"/>
      <c r="AL330" s="140"/>
      <c r="AM330" s="140"/>
      <c r="AN330" s="140"/>
      <c r="AO330" s="140"/>
      <c r="AP330" s="140"/>
      <c r="AQ330" s="140"/>
      <c r="AR330" s="140"/>
      <c r="AS330" s="140"/>
      <c r="AT330" s="140"/>
      <c r="AU330" s="140"/>
      <c r="AV330" s="140"/>
      <c r="AW330" s="140"/>
      <c r="AX330" s="140"/>
      <c r="AY330" s="140"/>
      <c r="AZ330" s="140"/>
      <c r="BA330" s="140"/>
      <c r="BB330" s="140"/>
      <c r="BC330" s="140"/>
      <c r="BD330" s="140"/>
      <c r="BE330" s="140"/>
      <c r="BF330" s="140"/>
      <c r="BG330" s="140"/>
      <c r="BH330" s="140"/>
      <c r="BI330" s="140"/>
      <c r="BJ330" s="140"/>
      <c r="BK330" s="140"/>
      <c r="BL330" s="140"/>
      <c r="BM330" s="140"/>
      <c r="BN330" s="140"/>
      <c r="BO330" s="140"/>
      <c r="BP330" s="140"/>
      <c r="BQ330" s="140"/>
      <c r="BR330" s="140"/>
      <c r="BS330" s="140"/>
      <c r="BT330" s="140"/>
      <c r="BU330" s="140"/>
      <c r="BV330" s="140"/>
      <c r="BW330" s="140"/>
      <c r="BX330" s="140"/>
      <c r="BY330" s="140"/>
      <c r="BZ330" s="140"/>
      <c r="CA330" s="140"/>
      <c r="CB330" s="140"/>
      <c r="CC330" s="140"/>
      <c r="CD330" s="140"/>
      <c r="CE330" s="140"/>
      <c r="CF330" s="140"/>
      <c r="CG330" s="140"/>
      <c r="CH330" s="140"/>
      <c r="CI330" s="140"/>
      <c r="CJ330" s="140"/>
      <c r="CK330" s="140"/>
      <c r="CL330" s="140"/>
      <c r="CM330" s="140"/>
      <c r="CN330" s="140"/>
      <c r="CO330" s="140"/>
      <c r="CP330" s="140"/>
      <c r="CQ330" s="140"/>
      <c r="CR330" s="140"/>
      <c r="CS330" s="140"/>
      <c r="CT330" s="140"/>
      <c r="CU330" s="140"/>
      <c r="CV330" s="140"/>
      <c r="CW330" s="140"/>
    </row>
    <row r="331" spans="1:101" x14ac:dyDescent="0.2">
      <c r="A331" s="29" t="str">
        <f t="shared" ca="1" si="5"/>
        <v>2026-02-18</v>
      </c>
      <c r="B331" s="140">
        <f ca="1">IF(ISNUMBER(MATCH(DATEVALUE($A331),'changes1_based on steps'!B$1:B$400,0)),B$2,)</f>
        <v>0</v>
      </c>
      <c r="C331" s="140">
        <f ca="1">IF(ISNUMBER(MATCH(DATEVALUE($A331),'changes1_based on steps'!C$1:C$400,0)),C$2,)</f>
        <v>0</v>
      </c>
      <c r="D331" s="140">
        <f ca="1">IF(ISNUMBER(MATCH(DATEVALUE($A331),'changes1_based on steps'!D$1:D$400,0)),D$2,)</f>
        <v>0</v>
      </c>
      <c r="E331" s="140">
        <f ca="1">IF(ISNUMBER(MATCH(DATEVALUE($A331),'changes1_based on steps'!E$1:E$400,0)),E$2,)</f>
        <v>0</v>
      </c>
      <c r="F331" s="140">
        <f ca="1">IF(ISNUMBER(MATCH(DATEVALUE($A331),'changes1_based on steps'!F$1:F$400,0)),F$2,)</f>
        <v>0</v>
      </c>
      <c r="G331" s="140">
        <f ca="1">IF(ISNUMBER(MATCH(DATEVALUE($A331),'changes1_based on steps'!G$1:G$400,0)),G$2,)</f>
        <v>0</v>
      </c>
      <c r="H331" s="140">
        <f ca="1">IF(ISNUMBER(MATCH(DATEVALUE($A331),'changes1_based on steps'!H$1:H$400,0)),H$2,)</f>
        <v>0</v>
      </c>
      <c r="I331" s="140">
        <f ca="1">IF(ISNUMBER(MATCH(DATEVALUE($A331),'changes1_based on steps'!I$1:I$400,0)),I$2,)</f>
        <v>0</v>
      </c>
      <c r="J331" s="140">
        <f ca="1">IF(ISNUMBER(MATCH(DATEVALUE($A331),'changes1_based on steps'!J$1:J$400,0)),J$2,)</f>
        <v>0</v>
      </c>
      <c r="K331" s="140">
        <f ca="1">IF(ISNUMBER(MATCH(DATEVALUE($A331),'changes1_based on steps'!K$1:K$400,0)),K$2,)</f>
        <v>0</v>
      </c>
      <c r="L331" s="140">
        <f ca="1">IF(ISNUMBER(MATCH(DATEVALUE($A331),'changes1_based on steps'!L$1:L$400,0)),L$2,)</f>
        <v>0</v>
      </c>
      <c r="M331" s="140">
        <f ca="1">IF(ISNUMBER(MATCH(DATEVALUE($A331),'changes1_based on steps'!M$1:M$400,0)),M$2,)</f>
        <v>0</v>
      </c>
      <c r="N331" s="140">
        <f ca="1">IF(ISNUMBER(MATCH(DATEVALUE($A331),'changes1_based on steps'!N$1:N$400,0)),N$2,)</f>
        <v>0</v>
      </c>
      <c r="O331" s="140">
        <f ca="1">IF(ISNUMBER(MATCH(DATEVALUE($A331),'changes1_based on steps'!O$1:O$400,0)),O$2,)</f>
        <v>0</v>
      </c>
      <c r="P331" s="140">
        <f ca="1">IF(ISNUMBER(MATCH(DATEVALUE($A331),'changes1_based on steps'!P$1:P$400,0)),P$2,)</f>
        <v>0</v>
      </c>
      <c r="Q331" s="140">
        <f ca="1">IF(ISNUMBER(MATCH(DATEVALUE($A331),'changes1_based on steps'!Q$1:Q$400,0)),Q$2,)</f>
        <v>0</v>
      </c>
      <c r="R331" s="140">
        <f ca="1">IF(ISNUMBER(MATCH(DATEVALUE($A331),'changes1_based on steps'!R$1:R$400,0)),R$2,)</f>
        <v>0</v>
      </c>
      <c r="S331" s="140">
        <f ca="1">IF(ISNUMBER(MATCH(DATEVALUE($A331),'changes1_based on steps'!S$1:S$400,0)),S$2,)</f>
        <v>0</v>
      </c>
      <c r="T331" s="140">
        <f ca="1">IF(ISNUMBER(MATCH(DATEVALUE($A331),'changes1_based on steps'!T$1:T$400,0)),T$2,)</f>
        <v>0</v>
      </c>
      <c r="U331" s="140">
        <f ca="1">IF(ISNUMBER(MATCH(DATEVALUE($A331),'changes1_based on steps'!U$1:U$400,0)),U$2,)</f>
        <v>0</v>
      </c>
      <c r="V331" s="140"/>
      <c r="W331" s="140"/>
      <c r="X331" s="140"/>
      <c r="Y331" s="140"/>
      <c r="Z331" s="140"/>
      <c r="AA331" s="140"/>
      <c r="AB331" s="140"/>
      <c r="AC331" s="140"/>
      <c r="AD331" s="140"/>
      <c r="AE331" s="140"/>
      <c r="AF331" s="140"/>
      <c r="AG331" s="140"/>
      <c r="AH331" s="140"/>
      <c r="AI331" s="140"/>
      <c r="AJ331" s="140"/>
      <c r="AK331" s="140"/>
      <c r="AL331" s="140"/>
      <c r="AM331" s="140"/>
      <c r="AN331" s="140"/>
      <c r="AO331" s="140"/>
      <c r="AP331" s="140"/>
      <c r="AQ331" s="140"/>
      <c r="AR331" s="140"/>
      <c r="AS331" s="140"/>
      <c r="AT331" s="140"/>
      <c r="AU331" s="140"/>
      <c r="AV331" s="140"/>
      <c r="AW331" s="140"/>
      <c r="AX331" s="140"/>
      <c r="AY331" s="140"/>
      <c r="AZ331" s="140"/>
      <c r="BA331" s="140"/>
      <c r="BB331" s="140"/>
      <c r="BC331" s="140"/>
      <c r="BD331" s="140"/>
      <c r="BE331" s="140"/>
      <c r="BF331" s="140"/>
      <c r="BG331" s="140"/>
      <c r="BH331" s="140"/>
      <c r="BI331" s="140"/>
      <c r="BJ331" s="140"/>
      <c r="BK331" s="140"/>
      <c r="BL331" s="140"/>
      <c r="BM331" s="140"/>
      <c r="BN331" s="140"/>
      <c r="BO331" s="140"/>
      <c r="BP331" s="140"/>
      <c r="BQ331" s="140"/>
      <c r="BR331" s="140"/>
      <c r="BS331" s="140"/>
      <c r="BT331" s="140"/>
      <c r="BU331" s="140"/>
      <c r="BV331" s="140"/>
      <c r="BW331" s="140"/>
      <c r="BX331" s="140"/>
      <c r="BY331" s="140"/>
      <c r="BZ331" s="140"/>
      <c r="CA331" s="140"/>
      <c r="CB331" s="140"/>
      <c r="CC331" s="140"/>
      <c r="CD331" s="140"/>
      <c r="CE331" s="140"/>
      <c r="CF331" s="140"/>
      <c r="CG331" s="140"/>
      <c r="CH331" s="140"/>
      <c r="CI331" s="140"/>
      <c r="CJ331" s="140"/>
      <c r="CK331" s="140"/>
      <c r="CL331" s="140"/>
      <c r="CM331" s="140"/>
      <c r="CN331" s="140"/>
      <c r="CO331" s="140"/>
      <c r="CP331" s="140"/>
      <c r="CQ331" s="140"/>
      <c r="CR331" s="140"/>
      <c r="CS331" s="140"/>
      <c r="CT331" s="140"/>
      <c r="CU331" s="140"/>
      <c r="CV331" s="140"/>
      <c r="CW331" s="140"/>
    </row>
    <row r="332" spans="1:101" x14ac:dyDescent="0.2">
      <c r="A332" s="29" t="str">
        <f t="shared" ca="1" si="5"/>
        <v>2026-02-19</v>
      </c>
      <c r="B332" s="140">
        <f ca="1">IF(ISNUMBER(MATCH(DATEVALUE($A332),'changes1_based on steps'!B$1:B$400,0)),B$2,)</f>
        <v>0</v>
      </c>
      <c r="C332" s="140">
        <f ca="1">IF(ISNUMBER(MATCH(DATEVALUE($A332),'changes1_based on steps'!C$1:C$400,0)),C$2,)</f>
        <v>0</v>
      </c>
      <c r="D332" s="140">
        <f ca="1">IF(ISNUMBER(MATCH(DATEVALUE($A332),'changes1_based on steps'!D$1:D$400,0)),D$2,)</f>
        <v>0</v>
      </c>
      <c r="E332" s="140">
        <f ca="1">IF(ISNUMBER(MATCH(DATEVALUE($A332),'changes1_based on steps'!E$1:E$400,0)),E$2,)</f>
        <v>0</v>
      </c>
      <c r="F332" s="140">
        <f ca="1">IF(ISNUMBER(MATCH(DATEVALUE($A332),'changes1_based on steps'!F$1:F$400,0)),F$2,)</f>
        <v>0</v>
      </c>
      <c r="G332" s="140">
        <f ca="1">IF(ISNUMBER(MATCH(DATEVALUE($A332),'changes1_based on steps'!G$1:G$400,0)),G$2,)</f>
        <v>0</v>
      </c>
      <c r="H332" s="140">
        <f ca="1">IF(ISNUMBER(MATCH(DATEVALUE($A332),'changes1_based on steps'!H$1:H$400,0)),H$2,)</f>
        <v>0</v>
      </c>
      <c r="I332" s="140">
        <f ca="1">IF(ISNUMBER(MATCH(DATEVALUE($A332),'changes1_based on steps'!I$1:I$400,0)),I$2,)</f>
        <v>0</v>
      </c>
      <c r="J332" s="140">
        <f ca="1">IF(ISNUMBER(MATCH(DATEVALUE($A332),'changes1_based on steps'!J$1:J$400,0)),J$2,)</f>
        <v>0</v>
      </c>
      <c r="K332" s="140">
        <f ca="1">IF(ISNUMBER(MATCH(DATEVALUE($A332),'changes1_based on steps'!K$1:K$400,0)),K$2,)</f>
        <v>0</v>
      </c>
      <c r="L332" s="140">
        <f ca="1">IF(ISNUMBER(MATCH(DATEVALUE($A332),'changes1_based on steps'!L$1:L$400,0)),L$2,)</f>
        <v>0</v>
      </c>
      <c r="M332" s="140">
        <f ca="1">IF(ISNUMBER(MATCH(DATEVALUE($A332),'changes1_based on steps'!M$1:M$400,0)),M$2,)</f>
        <v>0</v>
      </c>
      <c r="N332" s="140">
        <f ca="1">IF(ISNUMBER(MATCH(DATEVALUE($A332),'changes1_based on steps'!N$1:N$400,0)),N$2,)</f>
        <v>0</v>
      </c>
      <c r="O332" s="140">
        <f ca="1">IF(ISNUMBER(MATCH(DATEVALUE($A332),'changes1_based on steps'!O$1:O$400,0)),O$2,)</f>
        <v>0</v>
      </c>
      <c r="P332" s="140">
        <f ca="1">IF(ISNUMBER(MATCH(DATEVALUE($A332),'changes1_based on steps'!P$1:P$400,0)),P$2,)</f>
        <v>0</v>
      </c>
      <c r="Q332" s="140">
        <f ca="1">IF(ISNUMBER(MATCH(DATEVALUE($A332),'changes1_based on steps'!Q$1:Q$400,0)),Q$2,)</f>
        <v>0</v>
      </c>
      <c r="R332" s="140">
        <f ca="1">IF(ISNUMBER(MATCH(DATEVALUE($A332),'changes1_based on steps'!R$1:R$400,0)),R$2,)</f>
        <v>0</v>
      </c>
      <c r="S332" s="140">
        <f ca="1">IF(ISNUMBER(MATCH(DATEVALUE($A332),'changes1_based on steps'!S$1:S$400,0)),S$2,)</f>
        <v>0</v>
      </c>
      <c r="T332" s="140">
        <f ca="1">IF(ISNUMBER(MATCH(DATEVALUE($A332),'changes1_based on steps'!T$1:T$400,0)),T$2,)</f>
        <v>0</v>
      </c>
      <c r="U332" s="140">
        <f ca="1">IF(ISNUMBER(MATCH(DATEVALUE($A332),'changes1_based on steps'!U$1:U$400,0)),U$2,)</f>
        <v>0</v>
      </c>
      <c r="V332" s="140"/>
      <c r="W332" s="140"/>
      <c r="X332" s="140"/>
      <c r="Y332" s="140"/>
      <c r="Z332" s="140"/>
      <c r="AA332" s="140"/>
      <c r="AB332" s="140"/>
      <c r="AC332" s="140"/>
      <c r="AD332" s="140"/>
      <c r="AE332" s="140"/>
      <c r="AF332" s="140"/>
      <c r="AG332" s="140"/>
      <c r="AH332" s="140"/>
      <c r="AI332" s="140"/>
      <c r="AJ332" s="140"/>
      <c r="AK332" s="140"/>
      <c r="AL332" s="140"/>
      <c r="AM332" s="140"/>
      <c r="AN332" s="140"/>
      <c r="AO332" s="140"/>
      <c r="AP332" s="140"/>
      <c r="AQ332" s="140"/>
      <c r="AR332" s="140"/>
      <c r="AS332" s="140"/>
      <c r="AT332" s="140"/>
      <c r="AU332" s="140"/>
      <c r="AV332" s="140"/>
      <c r="AW332" s="140"/>
      <c r="AX332" s="140"/>
      <c r="AY332" s="140"/>
      <c r="AZ332" s="140"/>
      <c r="BA332" s="140"/>
      <c r="BB332" s="140"/>
      <c r="BC332" s="140"/>
      <c r="BD332" s="140"/>
      <c r="BE332" s="140"/>
      <c r="BF332" s="140"/>
      <c r="BG332" s="140"/>
      <c r="BH332" s="140"/>
      <c r="BI332" s="140"/>
      <c r="BJ332" s="140"/>
      <c r="BK332" s="140"/>
      <c r="BL332" s="140"/>
      <c r="BM332" s="140"/>
      <c r="BN332" s="140"/>
      <c r="BO332" s="140"/>
      <c r="BP332" s="140"/>
      <c r="BQ332" s="140"/>
      <c r="BR332" s="140"/>
      <c r="BS332" s="140"/>
      <c r="BT332" s="140"/>
      <c r="BU332" s="140"/>
      <c r="BV332" s="140"/>
      <c r="BW332" s="140"/>
      <c r="BX332" s="140"/>
      <c r="BY332" s="140"/>
      <c r="BZ332" s="140"/>
      <c r="CA332" s="140"/>
      <c r="CB332" s="140"/>
      <c r="CC332" s="140"/>
      <c r="CD332" s="140"/>
      <c r="CE332" s="140"/>
      <c r="CF332" s="140"/>
      <c r="CG332" s="140"/>
      <c r="CH332" s="140"/>
      <c r="CI332" s="140"/>
      <c r="CJ332" s="140"/>
      <c r="CK332" s="140"/>
      <c r="CL332" s="140"/>
      <c r="CM332" s="140"/>
      <c r="CN332" s="140"/>
      <c r="CO332" s="140"/>
      <c r="CP332" s="140"/>
      <c r="CQ332" s="140"/>
      <c r="CR332" s="140"/>
      <c r="CS332" s="140"/>
      <c r="CT332" s="140"/>
      <c r="CU332" s="140"/>
      <c r="CV332" s="140"/>
      <c r="CW332" s="140"/>
    </row>
    <row r="333" spans="1:101" x14ac:dyDescent="0.2">
      <c r="A333" s="29" t="str">
        <f t="shared" ca="1" si="5"/>
        <v>2026-02-20</v>
      </c>
      <c r="B333" s="140">
        <f ca="1">IF(ISNUMBER(MATCH(DATEVALUE($A333),'changes1_based on steps'!B$1:B$400,0)),B$2,)</f>
        <v>0</v>
      </c>
      <c r="C333" s="140">
        <f ca="1">IF(ISNUMBER(MATCH(DATEVALUE($A333),'changes1_based on steps'!C$1:C$400,0)),C$2,)</f>
        <v>0</v>
      </c>
      <c r="D333" s="140">
        <f ca="1">IF(ISNUMBER(MATCH(DATEVALUE($A333),'changes1_based on steps'!D$1:D$400,0)),D$2,)</f>
        <v>0</v>
      </c>
      <c r="E333" s="140">
        <f ca="1">IF(ISNUMBER(MATCH(DATEVALUE($A333),'changes1_based on steps'!E$1:E$400,0)),E$2,)</f>
        <v>0</v>
      </c>
      <c r="F333" s="140">
        <f ca="1">IF(ISNUMBER(MATCH(DATEVALUE($A333),'changes1_based on steps'!F$1:F$400,0)),F$2,)</f>
        <v>0</v>
      </c>
      <c r="G333" s="140">
        <f ca="1">IF(ISNUMBER(MATCH(DATEVALUE($A333),'changes1_based on steps'!G$1:G$400,0)),G$2,)</f>
        <v>0</v>
      </c>
      <c r="H333" s="140">
        <f ca="1">IF(ISNUMBER(MATCH(DATEVALUE($A333),'changes1_based on steps'!H$1:H$400,0)),H$2,)</f>
        <v>0</v>
      </c>
      <c r="I333" s="140">
        <f ca="1">IF(ISNUMBER(MATCH(DATEVALUE($A333),'changes1_based on steps'!I$1:I$400,0)),I$2,)</f>
        <v>0</v>
      </c>
      <c r="J333" s="140">
        <f ca="1">IF(ISNUMBER(MATCH(DATEVALUE($A333),'changes1_based on steps'!J$1:J$400,0)),J$2,)</f>
        <v>0</v>
      </c>
      <c r="K333" s="140">
        <f ca="1">IF(ISNUMBER(MATCH(DATEVALUE($A333),'changes1_based on steps'!K$1:K$400,0)),K$2,)</f>
        <v>0</v>
      </c>
      <c r="L333" s="140">
        <f ca="1">IF(ISNUMBER(MATCH(DATEVALUE($A333),'changes1_based on steps'!L$1:L$400,0)),L$2,)</f>
        <v>0</v>
      </c>
      <c r="M333" s="140">
        <f ca="1">IF(ISNUMBER(MATCH(DATEVALUE($A333),'changes1_based on steps'!M$1:M$400,0)),M$2,)</f>
        <v>0</v>
      </c>
      <c r="N333" s="140">
        <f ca="1">IF(ISNUMBER(MATCH(DATEVALUE($A333),'changes1_based on steps'!N$1:N$400,0)),N$2,)</f>
        <v>0</v>
      </c>
      <c r="O333" s="140">
        <f ca="1">IF(ISNUMBER(MATCH(DATEVALUE($A333),'changes1_based on steps'!O$1:O$400,0)),O$2,)</f>
        <v>0</v>
      </c>
      <c r="P333" s="140">
        <f ca="1">IF(ISNUMBER(MATCH(DATEVALUE($A333),'changes1_based on steps'!P$1:P$400,0)),P$2,)</f>
        <v>0</v>
      </c>
      <c r="Q333" s="140">
        <f ca="1">IF(ISNUMBER(MATCH(DATEVALUE($A333),'changes1_based on steps'!Q$1:Q$400,0)),Q$2,)</f>
        <v>0</v>
      </c>
      <c r="R333" s="140">
        <f ca="1">IF(ISNUMBER(MATCH(DATEVALUE($A333),'changes1_based on steps'!R$1:R$400,0)),R$2,)</f>
        <v>0</v>
      </c>
      <c r="S333" s="140">
        <f ca="1">IF(ISNUMBER(MATCH(DATEVALUE($A333),'changes1_based on steps'!S$1:S$400,0)),S$2,)</f>
        <v>0</v>
      </c>
      <c r="T333" s="140">
        <f ca="1">IF(ISNUMBER(MATCH(DATEVALUE($A333),'changes1_based on steps'!T$1:T$400,0)),T$2,)</f>
        <v>0</v>
      </c>
      <c r="U333" s="140">
        <f ca="1">IF(ISNUMBER(MATCH(DATEVALUE($A333),'changes1_based on steps'!U$1:U$400,0)),U$2,)</f>
        <v>0</v>
      </c>
      <c r="V333" s="140"/>
      <c r="W333" s="140"/>
      <c r="X333" s="140"/>
      <c r="Y333" s="140"/>
      <c r="Z333" s="140"/>
      <c r="AA333" s="140"/>
      <c r="AB333" s="140"/>
      <c r="AC333" s="140"/>
      <c r="AD333" s="140"/>
      <c r="AE333" s="140"/>
      <c r="AF333" s="140"/>
      <c r="AG333" s="140"/>
      <c r="AH333" s="140"/>
      <c r="AI333" s="140"/>
      <c r="AJ333" s="140"/>
      <c r="AK333" s="140"/>
      <c r="AL333" s="140"/>
      <c r="AM333" s="140"/>
      <c r="AN333" s="140"/>
      <c r="AO333" s="140"/>
      <c r="AP333" s="140"/>
      <c r="AQ333" s="140"/>
      <c r="AR333" s="140"/>
      <c r="AS333" s="140"/>
      <c r="AT333" s="140"/>
      <c r="AU333" s="140"/>
      <c r="AV333" s="140"/>
      <c r="AW333" s="140"/>
      <c r="AX333" s="140"/>
      <c r="AY333" s="140"/>
      <c r="AZ333" s="140"/>
      <c r="BA333" s="140"/>
      <c r="BB333" s="140"/>
      <c r="BC333" s="140"/>
      <c r="BD333" s="140"/>
      <c r="BE333" s="140"/>
      <c r="BF333" s="140"/>
      <c r="BG333" s="140"/>
      <c r="BH333" s="140"/>
      <c r="BI333" s="140"/>
      <c r="BJ333" s="140"/>
      <c r="BK333" s="140"/>
      <c r="BL333" s="140"/>
      <c r="BM333" s="140"/>
      <c r="BN333" s="140"/>
      <c r="BO333" s="140"/>
      <c r="BP333" s="140"/>
      <c r="BQ333" s="140"/>
      <c r="BR333" s="140"/>
      <c r="BS333" s="140"/>
      <c r="BT333" s="140"/>
      <c r="BU333" s="140"/>
      <c r="BV333" s="140"/>
      <c r="BW333" s="140"/>
      <c r="BX333" s="140"/>
      <c r="BY333" s="140"/>
      <c r="BZ333" s="140"/>
      <c r="CA333" s="140"/>
      <c r="CB333" s="140"/>
      <c r="CC333" s="140"/>
      <c r="CD333" s="140"/>
      <c r="CE333" s="140"/>
      <c r="CF333" s="140"/>
      <c r="CG333" s="140"/>
      <c r="CH333" s="140"/>
      <c r="CI333" s="140"/>
      <c r="CJ333" s="140"/>
      <c r="CK333" s="140"/>
      <c r="CL333" s="140"/>
      <c r="CM333" s="140"/>
      <c r="CN333" s="140"/>
      <c r="CO333" s="140"/>
      <c r="CP333" s="140"/>
      <c r="CQ333" s="140"/>
      <c r="CR333" s="140"/>
      <c r="CS333" s="140"/>
      <c r="CT333" s="140"/>
      <c r="CU333" s="140"/>
      <c r="CV333" s="140"/>
      <c r="CW333" s="140"/>
    </row>
    <row r="334" spans="1:101" x14ac:dyDescent="0.2">
      <c r="A334" s="29" t="str">
        <f t="shared" ca="1" si="5"/>
        <v>2026-02-21</v>
      </c>
      <c r="B334" s="140">
        <f ca="1">IF(ISNUMBER(MATCH(DATEVALUE($A334),'changes1_based on steps'!B$1:B$400,0)),B$2,)</f>
        <v>0</v>
      </c>
      <c r="C334" s="140">
        <f ca="1">IF(ISNUMBER(MATCH(DATEVALUE($A334),'changes1_based on steps'!C$1:C$400,0)),C$2,)</f>
        <v>0</v>
      </c>
      <c r="D334" s="140">
        <f ca="1">IF(ISNUMBER(MATCH(DATEVALUE($A334),'changes1_based on steps'!D$1:D$400,0)),D$2,)</f>
        <v>0</v>
      </c>
      <c r="E334" s="140">
        <f ca="1">IF(ISNUMBER(MATCH(DATEVALUE($A334),'changes1_based on steps'!E$1:E$400,0)),E$2,)</f>
        <v>0</v>
      </c>
      <c r="F334" s="140">
        <f ca="1">IF(ISNUMBER(MATCH(DATEVALUE($A334),'changes1_based on steps'!F$1:F$400,0)),F$2,)</f>
        <v>0</v>
      </c>
      <c r="G334" s="140">
        <f ca="1">IF(ISNUMBER(MATCH(DATEVALUE($A334),'changes1_based on steps'!G$1:G$400,0)),G$2,)</f>
        <v>0</v>
      </c>
      <c r="H334" s="140">
        <f ca="1">IF(ISNUMBER(MATCH(DATEVALUE($A334),'changes1_based on steps'!H$1:H$400,0)),H$2,)</f>
        <v>0</v>
      </c>
      <c r="I334" s="140">
        <f ca="1">IF(ISNUMBER(MATCH(DATEVALUE($A334),'changes1_based on steps'!I$1:I$400,0)),I$2,)</f>
        <v>0</v>
      </c>
      <c r="J334" s="140">
        <f ca="1">IF(ISNUMBER(MATCH(DATEVALUE($A334),'changes1_based on steps'!J$1:J$400,0)),J$2,)</f>
        <v>0</v>
      </c>
      <c r="K334" s="140">
        <f ca="1">IF(ISNUMBER(MATCH(DATEVALUE($A334),'changes1_based on steps'!K$1:K$400,0)),K$2,)</f>
        <v>0</v>
      </c>
      <c r="L334" s="140">
        <f ca="1">IF(ISNUMBER(MATCH(DATEVALUE($A334),'changes1_based on steps'!L$1:L$400,0)),L$2,)</f>
        <v>0</v>
      </c>
      <c r="M334" s="140">
        <f ca="1">IF(ISNUMBER(MATCH(DATEVALUE($A334),'changes1_based on steps'!M$1:M$400,0)),M$2,)</f>
        <v>0</v>
      </c>
      <c r="N334" s="140">
        <f ca="1">IF(ISNUMBER(MATCH(DATEVALUE($A334),'changes1_based on steps'!N$1:N$400,0)),N$2,)</f>
        <v>0</v>
      </c>
      <c r="O334" s="140">
        <f ca="1">IF(ISNUMBER(MATCH(DATEVALUE($A334),'changes1_based on steps'!O$1:O$400,0)),O$2,)</f>
        <v>0</v>
      </c>
      <c r="P334" s="140">
        <f ca="1">IF(ISNUMBER(MATCH(DATEVALUE($A334),'changes1_based on steps'!P$1:P$400,0)),P$2,)</f>
        <v>0</v>
      </c>
      <c r="Q334" s="140">
        <f ca="1">IF(ISNUMBER(MATCH(DATEVALUE($A334),'changes1_based on steps'!Q$1:Q$400,0)),Q$2,)</f>
        <v>0</v>
      </c>
      <c r="R334" s="140">
        <f ca="1">IF(ISNUMBER(MATCH(DATEVALUE($A334),'changes1_based on steps'!R$1:R$400,0)),R$2,)</f>
        <v>0</v>
      </c>
      <c r="S334" s="140">
        <f ca="1">IF(ISNUMBER(MATCH(DATEVALUE($A334),'changes1_based on steps'!S$1:S$400,0)),S$2,)</f>
        <v>0</v>
      </c>
      <c r="T334" s="140">
        <f ca="1">IF(ISNUMBER(MATCH(DATEVALUE($A334),'changes1_based on steps'!T$1:T$400,0)),T$2,)</f>
        <v>0</v>
      </c>
      <c r="U334" s="140">
        <f ca="1">IF(ISNUMBER(MATCH(DATEVALUE($A334),'changes1_based on steps'!U$1:U$400,0)),U$2,)</f>
        <v>0</v>
      </c>
      <c r="V334" s="140"/>
      <c r="W334" s="140"/>
      <c r="X334" s="140"/>
      <c r="Y334" s="140"/>
      <c r="Z334" s="140"/>
      <c r="AA334" s="140"/>
      <c r="AB334" s="140"/>
      <c r="AC334" s="140"/>
      <c r="AD334" s="140"/>
      <c r="AE334" s="140"/>
      <c r="AF334" s="140"/>
      <c r="AG334" s="140"/>
      <c r="AH334" s="140"/>
      <c r="AI334" s="140"/>
      <c r="AJ334" s="140"/>
      <c r="AK334" s="140"/>
      <c r="AL334" s="140"/>
      <c r="AM334" s="140"/>
      <c r="AN334" s="140"/>
      <c r="AO334" s="140"/>
      <c r="AP334" s="140"/>
      <c r="AQ334" s="140"/>
      <c r="AR334" s="140"/>
      <c r="AS334" s="140"/>
      <c r="AT334" s="140"/>
      <c r="AU334" s="140"/>
      <c r="AV334" s="140"/>
      <c r="AW334" s="140"/>
      <c r="AX334" s="140"/>
      <c r="AY334" s="140"/>
      <c r="AZ334" s="140"/>
      <c r="BA334" s="140"/>
      <c r="BB334" s="140"/>
      <c r="BC334" s="140"/>
      <c r="BD334" s="140"/>
      <c r="BE334" s="140"/>
      <c r="BF334" s="140"/>
      <c r="BG334" s="140"/>
      <c r="BH334" s="140"/>
      <c r="BI334" s="140"/>
      <c r="BJ334" s="140"/>
      <c r="BK334" s="140"/>
      <c r="BL334" s="140"/>
      <c r="BM334" s="140"/>
      <c r="BN334" s="140"/>
      <c r="BO334" s="140"/>
      <c r="BP334" s="140"/>
      <c r="BQ334" s="140"/>
      <c r="BR334" s="140"/>
      <c r="BS334" s="140"/>
      <c r="BT334" s="140"/>
      <c r="BU334" s="140"/>
      <c r="BV334" s="140"/>
      <c r="BW334" s="140"/>
      <c r="BX334" s="140"/>
      <c r="BY334" s="140"/>
      <c r="BZ334" s="140"/>
      <c r="CA334" s="140"/>
      <c r="CB334" s="140"/>
      <c r="CC334" s="140"/>
      <c r="CD334" s="140"/>
      <c r="CE334" s="140"/>
      <c r="CF334" s="140"/>
      <c r="CG334" s="140"/>
      <c r="CH334" s="140"/>
      <c r="CI334" s="140"/>
      <c r="CJ334" s="140"/>
      <c r="CK334" s="140"/>
      <c r="CL334" s="140"/>
      <c r="CM334" s="140"/>
      <c r="CN334" s="140"/>
      <c r="CO334" s="140"/>
      <c r="CP334" s="140"/>
      <c r="CQ334" s="140"/>
      <c r="CR334" s="140"/>
      <c r="CS334" s="140"/>
      <c r="CT334" s="140"/>
      <c r="CU334" s="140"/>
      <c r="CV334" s="140"/>
      <c r="CW334" s="140"/>
    </row>
    <row r="335" spans="1:101" x14ac:dyDescent="0.2">
      <c r="A335" s="29" t="str">
        <f t="shared" ca="1" si="5"/>
        <v>2026-02-22</v>
      </c>
      <c r="B335" s="140">
        <f ca="1">IF(ISNUMBER(MATCH(DATEVALUE($A335),'changes1_based on steps'!B$1:B$400,0)),B$2,)</f>
        <v>0</v>
      </c>
      <c r="C335" s="140">
        <f ca="1">IF(ISNUMBER(MATCH(DATEVALUE($A335),'changes1_based on steps'!C$1:C$400,0)),C$2,)</f>
        <v>0</v>
      </c>
      <c r="D335" s="140">
        <f ca="1">IF(ISNUMBER(MATCH(DATEVALUE($A335),'changes1_based on steps'!D$1:D$400,0)),D$2,)</f>
        <v>0</v>
      </c>
      <c r="E335" s="140">
        <f ca="1">IF(ISNUMBER(MATCH(DATEVALUE($A335),'changes1_based on steps'!E$1:E$400,0)),E$2,)</f>
        <v>0</v>
      </c>
      <c r="F335" s="140">
        <f ca="1">IF(ISNUMBER(MATCH(DATEVALUE($A335),'changes1_based on steps'!F$1:F$400,0)),F$2,)</f>
        <v>0</v>
      </c>
      <c r="G335" s="140">
        <f ca="1">IF(ISNUMBER(MATCH(DATEVALUE($A335),'changes1_based on steps'!G$1:G$400,0)),G$2,)</f>
        <v>0</v>
      </c>
      <c r="H335" s="140">
        <f ca="1">IF(ISNUMBER(MATCH(DATEVALUE($A335),'changes1_based on steps'!H$1:H$400,0)),H$2,)</f>
        <v>0</v>
      </c>
      <c r="I335" s="140">
        <f ca="1">IF(ISNUMBER(MATCH(DATEVALUE($A335),'changes1_based on steps'!I$1:I$400,0)),I$2,)</f>
        <v>0</v>
      </c>
      <c r="J335" s="140">
        <f ca="1">IF(ISNUMBER(MATCH(DATEVALUE($A335),'changes1_based on steps'!J$1:J$400,0)),J$2,)</f>
        <v>0</v>
      </c>
      <c r="K335" s="140">
        <f ca="1">IF(ISNUMBER(MATCH(DATEVALUE($A335),'changes1_based on steps'!K$1:K$400,0)),K$2,)</f>
        <v>0</v>
      </c>
      <c r="L335" s="140">
        <f ca="1">IF(ISNUMBER(MATCH(DATEVALUE($A335),'changes1_based on steps'!L$1:L$400,0)),L$2,)</f>
        <v>0</v>
      </c>
      <c r="M335" s="140">
        <f ca="1">IF(ISNUMBER(MATCH(DATEVALUE($A335),'changes1_based on steps'!M$1:M$400,0)),M$2,)</f>
        <v>0</v>
      </c>
      <c r="N335" s="140">
        <f ca="1">IF(ISNUMBER(MATCH(DATEVALUE($A335),'changes1_based on steps'!N$1:N$400,0)),N$2,)</f>
        <v>0</v>
      </c>
      <c r="O335" s="140">
        <f ca="1">IF(ISNUMBER(MATCH(DATEVALUE($A335),'changes1_based on steps'!O$1:O$400,0)),O$2,)</f>
        <v>0</v>
      </c>
      <c r="P335" s="140">
        <f ca="1">IF(ISNUMBER(MATCH(DATEVALUE($A335),'changes1_based on steps'!P$1:P$400,0)),P$2,)</f>
        <v>0</v>
      </c>
      <c r="Q335" s="140">
        <f ca="1">IF(ISNUMBER(MATCH(DATEVALUE($A335),'changes1_based on steps'!Q$1:Q$400,0)),Q$2,)</f>
        <v>0</v>
      </c>
      <c r="R335" s="140">
        <f ca="1">IF(ISNUMBER(MATCH(DATEVALUE($A335),'changes1_based on steps'!R$1:R$400,0)),R$2,)</f>
        <v>0</v>
      </c>
      <c r="S335" s="140">
        <f ca="1">IF(ISNUMBER(MATCH(DATEVALUE($A335),'changes1_based on steps'!S$1:S$400,0)),S$2,)</f>
        <v>0</v>
      </c>
      <c r="T335" s="140">
        <f ca="1">IF(ISNUMBER(MATCH(DATEVALUE($A335),'changes1_based on steps'!T$1:T$400,0)),T$2,)</f>
        <v>0</v>
      </c>
      <c r="U335" s="140">
        <f ca="1">IF(ISNUMBER(MATCH(DATEVALUE($A335),'changes1_based on steps'!U$1:U$400,0)),U$2,)</f>
        <v>0</v>
      </c>
      <c r="V335" s="140"/>
      <c r="W335" s="140"/>
      <c r="X335" s="140"/>
      <c r="Y335" s="140"/>
      <c r="Z335" s="140"/>
      <c r="AA335" s="140"/>
      <c r="AB335" s="140"/>
      <c r="AC335" s="140"/>
      <c r="AD335" s="140"/>
      <c r="AE335" s="140"/>
      <c r="AF335" s="140"/>
      <c r="AG335" s="140"/>
      <c r="AH335" s="140"/>
      <c r="AI335" s="140"/>
      <c r="AJ335" s="140"/>
      <c r="AK335" s="140"/>
      <c r="AL335" s="140"/>
      <c r="AM335" s="140"/>
      <c r="AN335" s="140"/>
      <c r="AO335" s="140"/>
      <c r="AP335" s="140"/>
      <c r="AQ335" s="140"/>
      <c r="AR335" s="140"/>
      <c r="AS335" s="140"/>
      <c r="AT335" s="140"/>
      <c r="AU335" s="140"/>
      <c r="AV335" s="140"/>
      <c r="AW335" s="140"/>
      <c r="AX335" s="140"/>
      <c r="AY335" s="140"/>
      <c r="AZ335" s="140"/>
      <c r="BA335" s="140"/>
      <c r="BB335" s="140"/>
      <c r="BC335" s="140"/>
      <c r="BD335" s="140"/>
      <c r="BE335" s="140"/>
      <c r="BF335" s="140"/>
      <c r="BG335" s="140"/>
      <c r="BH335" s="140"/>
      <c r="BI335" s="140"/>
      <c r="BJ335" s="140"/>
      <c r="BK335" s="140"/>
      <c r="BL335" s="140"/>
      <c r="BM335" s="140"/>
      <c r="BN335" s="140"/>
      <c r="BO335" s="140"/>
      <c r="BP335" s="140"/>
      <c r="BQ335" s="140"/>
      <c r="BR335" s="140"/>
      <c r="BS335" s="140"/>
      <c r="BT335" s="140"/>
      <c r="BU335" s="140"/>
      <c r="BV335" s="140"/>
      <c r="BW335" s="140"/>
      <c r="BX335" s="140"/>
      <c r="BY335" s="140"/>
      <c r="BZ335" s="140"/>
      <c r="CA335" s="140"/>
      <c r="CB335" s="140"/>
      <c r="CC335" s="140"/>
      <c r="CD335" s="140"/>
      <c r="CE335" s="140"/>
      <c r="CF335" s="140"/>
      <c r="CG335" s="140"/>
      <c r="CH335" s="140"/>
      <c r="CI335" s="140"/>
      <c r="CJ335" s="140"/>
      <c r="CK335" s="140"/>
      <c r="CL335" s="140"/>
      <c r="CM335" s="140"/>
      <c r="CN335" s="140"/>
      <c r="CO335" s="140"/>
      <c r="CP335" s="140"/>
      <c r="CQ335" s="140"/>
      <c r="CR335" s="140"/>
      <c r="CS335" s="140"/>
      <c r="CT335" s="140"/>
      <c r="CU335" s="140"/>
      <c r="CV335" s="140"/>
      <c r="CW335" s="140"/>
    </row>
    <row r="336" spans="1:101" x14ac:dyDescent="0.2">
      <c r="A336" s="29" t="str">
        <f t="shared" ca="1" si="5"/>
        <v>2026-02-23</v>
      </c>
      <c r="B336" s="140">
        <f ca="1">IF(ISNUMBER(MATCH(DATEVALUE($A336),'changes1_based on steps'!B$1:B$400,0)),B$2,)</f>
        <v>0</v>
      </c>
      <c r="C336" s="140">
        <f ca="1">IF(ISNUMBER(MATCH(DATEVALUE($A336),'changes1_based on steps'!C$1:C$400,0)),C$2,)</f>
        <v>0</v>
      </c>
      <c r="D336" s="140">
        <f ca="1">IF(ISNUMBER(MATCH(DATEVALUE($A336),'changes1_based on steps'!D$1:D$400,0)),D$2,)</f>
        <v>0</v>
      </c>
      <c r="E336" s="140">
        <f ca="1">IF(ISNUMBER(MATCH(DATEVALUE($A336),'changes1_based on steps'!E$1:E$400,0)),E$2,)</f>
        <v>0</v>
      </c>
      <c r="F336" s="140">
        <f ca="1">IF(ISNUMBER(MATCH(DATEVALUE($A336),'changes1_based on steps'!F$1:F$400,0)),F$2,)</f>
        <v>0</v>
      </c>
      <c r="G336" s="140">
        <f ca="1">IF(ISNUMBER(MATCH(DATEVALUE($A336),'changes1_based on steps'!G$1:G$400,0)),G$2,)</f>
        <v>0</v>
      </c>
      <c r="H336" s="140">
        <f ca="1">IF(ISNUMBER(MATCH(DATEVALUE($A336),'changes1_based on steps'!H$1:H$400,0)),H$2,)</f>
        <v>0</v>
      </c>
      <c r="I336" s="140">
        <f ca="1">IF(ISNUMBER(MATCH(DATEVALUE($A336),'changes1_based on steps'!I$1:I$400,0)),I$2,)</f>
        <v>0</v>
      </c>
      <c r="J336" s="140">
        <f ca="1">IF(ISNUMBER(MATCH(DATEVALUE($A336),'changes1_based on steps'!J$1:J$400,0)),J$2,)</f>
        <v>0</v>
      </c>
      <c r="K336" s="140">
        <f ca="1">IF(ISNUMBER(MATCH(DATEVALUE($A336),'changes1_based on steps'!K$1:K$400,0)),K$2,)</f>
        <v>0</v>
      </c>
      <c r="L336" s="140">
        <f ca="1">IF(ISNUMBER(MATCH(DATEVALUE($A336),'changes1_based on steps'!L$1:L$400,0)),L$2,)</f>
        <v>0</v>
      </c>
      <c r="M336" s="140">
        <f ca="1">IF(ISNUMBER(MATCH(DATEVALUE($A336),'changes1_based on steps'!M$1:M$400,0)),M$2,)</f>
        <v>0</v>
      </c>
      <c r="N336" s="140">
        <f ca="1">IF(ISNUMBER(MATCH(DATEVALUE($A336),'changes1_based on steps'!N$1:N$400,0)),N$2,)</f>
        <v>0</v>
      </c>
      <c r="O336" s="140">
        <f ca="1">IF(ISNUMBER(MATCH(DATEVALUE($A336),'changes1_based on steps'!O$1:O$400,0)),O$2,)</f>
        <v>0</v>
      </c>
      <c r="P336" s="140">
        <f ca="1">IF(ISNUMBER(MATCH(DATEVALUE($A336),'changes1_based on steps'!P$1:P$400,0)),P$2,)</f>
        <v>0</v>
      </c>
      <c r="Q336" s="140">
        <f ca="1">IF(ISNUMBER(MATCH(DATEVALUE($A336),'changes1_based on steps'!Q$1:Q$400,0)),Q$2,)</f>
        <v>0</v>
      </c>
      <c r="R336" s="140">
        <f ca="1">IF(ISNUMBER(MATCH(DATEVALUE($A336),'changes1_based on steps'!R$1:R$400,0)),R$2,)</f>
        <v>0</v>
      </c>
      <c r="S336" s="140">
        <f ca="1">IF(ISNUMBER(MATCH(DATEVALUE($A336),'changes1_based on steps'!S$1:S$400,0)),S$2,)</f>
        <v>0</v>
      </c>
      <c r="T336" s="140">
        <f ca="1">IF(ISNUMBER(MATCH(DATEVALUE($A336),'changes1_based on steps'!T$1:T$400,0)),T$2,)</f>
        <v>0</v>
      </c>
      <c r="U336" s="140">
        <f ca="1">IF(ISNUMBER(MATCH(DATEVALUE($A336),'changes1_based on steps'!U$1:U$400,0)),U$2,)</f>
        <v>0</v>
      </c>
      <c r="V336" s="140"/>
      <c r="W336" s="140"/>
      <c r="X336" s="140"/>
      <c r="Y336" s="140"/>
      <c r="Z336" s="140"/>
      <c r="AA336" s="140"/>
      <c r="AB336" s="140"/>
      <c r="AC336" s="140"/>
      <c r="AD336" s="140"/>
      <c r="AE336" s="140"/>
      <c r="AF336" s="140"/>
      <c r="AG336" s="140"/>
      <c r="AH336" s="140"/>
      <c r="AI336" s="140"/>
      <c r="AJ336" s="140"/>
      <c r="AK336" s="140"/>
      <c r="AL336" s="140"/>
      <c r="AM336" s="140"/>
      <c r="AN336" s="140"/>
      <c r="AO336" s="140"/>
      <c r="AP336" s="140"/>
      <c r="AQ336" s="140"/>
      <c r="AR336" s="140"/>
      <c r="AS336" s="140"/>
      <c r="AT336" s="140"/>
      <c r="AU336" s="140"/>
      <c r="AV336" s="140"/>
      <c r="AW336" s="140"/>
      <c r="AX336" s="140"/>
      <c r="AY336" s="140"/>
      <c r="AZ336" s="140"/>
      <c r="BA336" s="140"/>
      <c r="BB336" s="140"/>
      <c r="BC336" s="140"/>
      <c r="BD336" s="140"/>
      <c r="BE336" s="140"/>
      <c r="BF336" s="140"/>
      <c r="BG336" s="140"/>
      <c r="BH336" s="140"/>
      <c r="BI336" s="140"/>
      <c r="BJ336" s="140"/>
      <c r="BK336" s="140"/>
      <c r="BL336" s="140"/>
      <c r="BM336" s="140"/>
      <c r="BN336" s="140"/>
      <c r="BO336" s="140"/>
      <c r="BP336" s="140"/>
      <c r="BQ336" s="140"/>
      <c r="BR336" s="140"/>
      <c r="BS336" s="140"/>
      <c r="BT336" s="140"/>
      <c r="BU336" s="140"/>
      <c r="BV336" s="140"/>
      <c r="BW336" s="140"/>
      <c r="BX336" s="140"/>
      <c r="BY336" s="140"/>
      <c r="BZ336" s="140"/>
      <c r="CA336" s="140"/>
      <c r="CB336" s="140"/>
      <c r="CC336" s="140"/>
      <c r="CD336" s="140"/>
      <c r="CE336" s="140"/>
      <c r="CF336" s="140"/>
      <c r="CG336" s="140"/>
      <c r="CH336" s="140"/>
      <c r="CI336" s="140"/>
      <c r="CJ336" s="140"/>
      <c r="CK336" s="140"/>
      <c r="CL336" s="140"/>
      <c r="CM336" s="140"/>
      <c r="CN336" s="140"/>
      <c r="CO336" s="140"/>
      <c r="CP336" s="140"/>
      <c r="CQ336" s="140"/>
      <c r="CR336" s="140"/>
      <c r="CS336" s="140"/>
      <c r="CT336" s="140"/>
      <c r="CU336" s="140"/>
      <c r="CV336" s="140"/>
      <c r="CW336" s="140"/>
    </row>
    <row r="337" spans="1:101" x14ac:dyDescent="0.2">
      <c r="A337" s="29" t="str">
        <f t="shared" ca="1" si="5"/>
        <v>2026-02-24</v>
      </c>
      <c r="B337" s="140">
        <f ca="1">IF(ISNUMBER(MATCH(DATEVALUE($A337),'changes1_based on steps'!B$1:B$400,0)),B$2,)</f>
        <v>0</v>
      </c>
      <c r="C337" s="140">
        <f ca="1">IF(ISNUMBER(MATCH(DATEVALUE($A337),'changes1_based on steps'!C$1:C$400,0)),C$2,)</f>
        <v>0</v>
      </c>
      <c r="D337" s="140">
        <f ca="1">IF(ISNUMBER(MATCH(DATEVALUE($A337),'changes1_based on steps'!D$1:D$400,0)),D$2,)</f>
        <v>0</v>
      </c>
      <c r="E337" s="140">
        <f ca="1">IF(ISNUMBER(MATCH(DATEVALUE($A337),'changes1_based on steps'!E$1:E$400,0)),E$2,)</f>
        <v>0</v>
      </c>
      <c r="F337" s="140">
        <f ca="1">IF(ISNUMBER(MATCH(DATEVALUE($A337),'changes1_based on steps'!F$1:F$400,0)),F$2,)</f>
        <v>0</v>
      </c>
      <c r="G337" s="140">
        <f ca="1">IF(ISNUMBER(MATCH(DATEVALUE($A337),'changes1_based on steps'!G$1:G$400,0)),G$2,)</f>
        <v>0</v>
      </c>
      <c r="H337" s="140">
        <f ca="1">IF(ISNUMBER(MATCH(DATEVALUE($A337),'changes1_based on steps'!H$1:H$400,0)),H$2,)</f>
        <v>0</v>
      </c>
      <c r="I337" s="140">
        <f ca="1">IF(ISNUMBER(MATCH(DATEVALUE($A337),'changes1_based on steps'!I$1:I$400,0)),I$2,)</f>
        <v>0</v>
      </c>
      <c r="J337" s="140">
        <f ca="1">IF(ISNUMBER(MATCH(DATEVALUE($A337),'changes1_based on steps'!J$1:J$400,0)),J$2,)</f>
        <v>0</v>
      </c>
      <c r="K337" s="140">
        <f ca="1">IF(ISNUMBER(MATCH(DATEVALUE($A337),'changes1_based on steps'!K$1:K$400,0)),K$2,)</f>
        <v>0</v>
      </c>
      <c r="L337" s="140">
        <f ca="1">IF(ISNUMBER(MATCH(DATEVALUE($A337),'changes1_based on steps'!L$1:L$400,0)),L$2,)</f>
        <v>0</v>
      </c>
      <c r="M337" s="140">
        <f ca="1">IF(ISNUMBER(MATCH(DATEVALUE($A337),'changes1_based on steps'!M$1:M$400,0)),M$2,)</f>
        <v>0</v>
      </c>
      <c r="N337" s="140">
        <f ca="1">IF(ISNUMBER(MATCH(DATEVALUE($A337),'changes1_based on steps'!N$1:N$400,0)),N$2,)</f>
        <v>0</v>
      </c>
      <c r="O337" s="140">
        <f ca="1">IF(ISNUMBER(MATCH(DATEVALUE($A337),'changes1_based on steps'!O$1:O$400,0)),O$2,)</f>
        <v>0</v>
      </c>
      <c r="P337" s="140">
        <f ca="1">IF(ISNUMBER(MATCH(DATEVALUE($A337),'changes1_based on steps'!P$1:P$400,0)),P$2,)</f>
        <v>0</v>
      </c>
      <c r="Q337" s="140">
        <f ca="1">IF(ISNUMBER(MATCH(DATEVALUE($A337),'changes1_based on steps'!Q$1:Q$400,0)),Q$2,)</f>
        <v>0</v>
      </c>
      <c r="R337" s="140">
        <f ca="1">IF(ISNUMBER(MATCH(DATEVALUE($A337),'changes1_based on steps'!R$1:R$400,0)),R$2,)</f>
        <v>0</v>
      </c>
      <c r="S337" s="140">
        <f ca="1">IF(ISNUMBER(MATCH(DATEVALUE($A337),'changes1_based on steps'!S$1:S$400,0)),S$2,)</f>
        <v>0</v>
      </c>
      <c r="T337" s="140">
        <f ca="1">IF(ISNUMBER(MATCH(DATEVALUE($A337),'changes1_based on steps'!T$1:T$400,0)),T$2,)</f>
        <v>0</v>
      </c>
      <c r="U337" s="140">
        <f ca="1">IF(ISNUMBER(MATCH(DATEVALUE($A337),'changes1_based on steps'!U$1:U$400,0)),U$2,)</f>
        <v>0</v>
      </c>
      <c r="V337" s="140"/>
      <c r="W337" s="140"/>
      <c r="X337" s="140"/>
      <c r="Y337" s="140"/>
      <c r="Z337" s="140"/>
      <c r="AA337" s="140"/>
      <c r="AB337" s="140"/>
      <c r="AC337" s="140"/>
      <c r="AD337" s="140"/>
      <c r="AE337" s="140"/>
      <c r="AF337" s="140"/>
      <c r="AG337" s="140"/>
      <c r="AH337" s="140"/>
      <c r="AI337" s="140"/>
      <c r="AJ337" s="140"/>
      <c r="AK337" s="140"/>
      <c r="AL337" s="140"/>
      <c r="AM337" s="140"/>
      <c r="AN337" s="140"/>
      <c r="AO337" s="140"/>
      <c r="AP337" s="140"/>
      <c r="AQ337" s="140"/>
      <c r="AR337" s="140"/>
      <c r="AS337" s="140"/>
      <c r="AT337" s="140"/>
      <c r="AU337" s="140"/>
      <c r="AV337" s="140"/>
      <c r="AW337" s="140"/>
      <c r="AX337" s="140"/>
      <c r="AY337" s="140"/>
      <c r="AZ337" s="140"/>
      <c r="BA337" s="140"/>
      <c r="BB337" s="140"/>
      <c r="BC337" s="140"/>
      <c r="BD337" s="140"/>
      <c r="BE337" s="140"/>
      <c r="BF337" s="140"/>
      <c r="BG337" s="140"/>
      <c r="BH337" s="140"/>
      <c r="BI337" s="140"/>
      <c r="BJ337" s="140"/>
      <c r="BK337" s="140"/>
      <c r="BL337" s="140"/>
      <c r="BM337" s="140"/>
      <c r="BN337" s="140"/>
      <c r="BO337" s="140"/>
      <c r="BP337" s="140"/>
      <c r="BQ337" s="140"/>
      <c r="BR337" s="140"/>
      <c r="BS337" s="140"/>
      <c r="BT337" s="140"/>
      <c r="BU337" s="140"/>
      <c r="BV337" s="140"/>
      <c r="BW337" s="140"/>
      <c r="BX337" s="140"/>
      <c r="BY337" s="140"/>
      <c r="BZ337" s="140"/>
      <c r="CA337" s="140"/>
      <c r="CB337" s="140"/>
      <c r="CC337" s="140"/>
      <c r="CD337" s="140"/>
      <c r="CE337" s="140"/>
      <c r="CF337" s="140"/>
      <c r="CG337" s="140"/>
      <c r="CH337" s="140"/>
      <c r="CI337" s="140"/>
      <c r="CJ337" s="140"/>
      <c r="CK337" s="140"/>
      <c r="CL337" s="140"/>
      <c r="CM337" s="140"/>
      <c r="CN337" s="140"/>
      <c r="CO337" s="140"/>
      <c r="CP337" s="140"/>
      <c r="CQ337" s="140"/>
      <c r="CR337" s="140"/>
      <c r="CS337" s="140"/>
      <c r="CT337" s="140"/>
      <c r="CU337" s="140"/>
      <c r="CV337" s="140"/>
      <c r="CW337" s="140"/>
    </row>
    <row r="338" spans="1:101" x14ac:dyDescent="0.2">
      <c r="A338" s="29" t="str">
        <f t="shared" ca="1" si="5"/>
        <v>2026-02-25</v>
      </c>
      <c r="B338" s="140">
        <f ca="1">IF(ISNUMBER(MATCH(DATEVALUE($A338),'changes1_based on steps'!B$1:B$400,0)),B$2,)</f>
        <v>0</v>
      </c>
      <c r="C338" s="140">
        <f ca="1">IF(ISNUMBER(MATCH(DATEVALUE($A338),'changes1_based on steps'!C$1:C$400,0)),C$2,)</f>
        <v>0</v>
      </c>
      <c r="D338" s="140">
        <f ca="1">IF(ISNUMBER(MATCH(DATEVALUE($A338),'changes1_based on steps'!D$1:D$400,0)),D$2,)</f>
        <v>0</v>
      </c>
      <c r="E338" s="140">
        <f ca="1">IF(ISNUMBER(MATCH(DATEVALUE($A338),'changes1_based on steps'!E$1:E$400,0)),E$2,)</f>
        <v>0</v>
      </c>
      <c r="F338" s="140">
        <f ca="1">IF(ISNUMBER(MATCH(DATEVALUE($A338),'changes1_based on steps'!F$1:F$400,0)),F$2,)</f>
        <v>0</v>
      </c>
      <c r="G338" s="140">
        <f ca="1">IF(ISNUMBER(MATCH(DATEVALUE($A338),'changes1_based on steps'!G$1:G$400,0)),G$2,)</f>
        <v>0</v>
      </c>
      <c r="H338" s="140">
        <f ca="1">IF(ISNUMBER(MATCH(DATEVALUE($A338),'changes1_based on steps'!H$1:H$400,0)),H$2,)</f>
        <v>0</v>
      </c>
      <c r="I338" s="140">
        <f ca="1">IF(ISNUMBER(MATCH(DATEVALUE($A338),'changes1_based on steps'!I$1:I$400,0)),I$2,)</f>
        <v>0</v>
      </c>
      <c r="J338" s="140">
        <f ca="1">IF(ISNUMBER(MATCH(DATEVALUE($A338),'changes1_based on steps'!J$1:J$400,0)),J$2,)</f>
        <v>0</v>
      </c>
      <c r="K338" s="140">
        <f ca="1">IF(ISNUMBER(MATCH(DATEVALUE($A338),'changes1_based on steps'!K$1:K$400,0)),K$2,)</f>
        <v>0</v>
      </c>
      <c r="L338" s="140">
        <f ca="1">IF(ISNUMBER(MATCH(DATEVALUE($A338),'changes1_based on steps'!L$1:L$400,0)),L$2,)</f>
        <v>0</v>
      </c>
      <c r="M338" s="140">
        <f ca="1">IF(ISNUMBER(MATCH(DATEVALUE($A338),'changes1_based on steps'!M$1:M$400,0)),M$2,)</f>
        <v>0</v>
      </c>
      <c r="N338" s="140">
        <f ca="1">IF(ISNUMBER(MATCH(DATEVALUE($A338),'changes1_based on steps'!N$1:N$400,0)),N$2,)</f>
        <v>0</v>
      </c>
      <c r="O338" s="140">
        <f ca="1">IF(ISNUMBER(MATCH(DATEVALUE($A338),'changes1_based on steps'!O$1:O$400,0)),O$2,)</f>
        <v>0</v>
      </c>
      <c r="P338" s="140">
        <f ca="1">IF(ISNUMBER(MATCH(DATEVALUE($A338),'changes1_based on steps'!P$1:P$400,0)),P$2,)</f>
        <v>0</v>
      </c>
      <c r="Q338" s="140">
        <f ca="1">IF(ISNUMBER(MATCH(DATEVALUE($A338),'changes1_based on steps'!Q$1:Q$400,0)),Q$2,)</f>
        <v>0</v>
      </c>
      <c r="R338" s="140">
        <f ca="1">IF(ISNUMBER(MATCH(DATEVALUE($A338),'changes1_based on steps'!R$1:R$400,0)),R$2,)</f>
        <v>0</v>
      </c>
      <c r="S338" s="140">
        <f ca="1">IF(ISNUMBER(MATCH(DATEVALUE($A338),'changes1_based on steps'!S$1:S$400,0)),S$2,)</f>
        <v>0</v>
      </c>
      <c r="T338" s="140">
        <f ca="1">IF(ISNUMBER(MATCH(DATEVALUE($A338),'changes1_based on steps'!T$1:T$400,0)),T$2,)</f>
        <v>0</v>
      </c>
      <c r="U338" s="140">
        <f ca="1">IF(ISNUMBER(MATCH(DATEVALUE($A338),'changes1_based on steps'!U$1:U$400,0)),U$2,)</f>
        <v>0</v>
      </c>
      <c r="V338" s="140"/>
      <c r="W338" s="140"/>
      <c r="X338" s="140"/>
      <c r="Y338" s="140"/>
      <c r="Z338" s="140"/>
      <c r="AA338" s="140"/>
      <c r="AB338" s="140"/>
      <c r="AC338" s="140"/>
      <c r="AD338" s="140"/>
      <c r="AE338" s="140"/>
      <c r="AF338" s="140"/>
      <c r="AG338" s="140"/>
      <c r="AH338" s="140"/>
      <c r="AI338" s="140"/>
      <c r="AJ338" s="140"/>
      <c r="AK338" s="140"/>
      <c r="AL338" s="140"/>
      <c r="AM338" s="140"/>
      <c r="AN338" s="140"/>
      <c r="AO338" s="140"/>
      <c r="AP338" s="140"/>
      <c r="AQ338" s="140"/>
      <c r="AR338" s="140"/>
      <c r="AS338" s="140"/>
      <c r="AT338" s="140"/>
      <c r="AU338" s="140"/>
      <c r="AV338" s="140"/>
      <c r="AW338" s="140"/>
      <c r="AX338" s="140"/>
      <c r="AY338" s="140"/>
      <c r="AZ338" s="140"/>
      <c r="BA338" s="140"/>
      <c r="BB338" s="140"/>
      <c r="BC338" s="140"/>
      <c r="BD338" s="140"/>
      <c r="BE338" s="140"/>
      <c r="BF338" s="140"/>
      <c r="BG338" s="140"/>
      <c r="BH338" s="140"/>
      <c r="BI338" s="140"/>
      <c r="BJ338" s="140"/>
      <c r="BK338" s="140"/>
      <c r="BL338" s="140"/>
      <c r="BM338" s="140"/>
      <c r="BN338" s="140"/>
      <c r="BO338" s="140"/>
      <c r="BP338" s="140"/>
      <c r="BQ338" s="140"/>
      <c r="BR338" s="140"/>
      <c r="BS338" s="140"/>
      <c r="BT338" s="140"/>
      <c r="BU338" s="140"/>
      <c r="BV338" s="140"/>
      <c r="BW338" s="140"/>
      <c r="BX338" s="140"/>
      <c r="BY338" s="140"/>
      <c r="BZ338" s="140"/>
      <c r="CA338" s="140"/>
      <c r="CB338" s="140"/>
      <c r="CC338" s="140"/>
      <c r="CD338" s="140"/>
      <c r="CE338" s="140"/>
      <c r="CF338" s="140"/>
      <c r="CG338" s="140"/>
      <c r="CH338" s="140"/>
      <c r="CI338" s="140"/>
      <c r="CJ338" s="140"/>
      <c r="CK338" s="140"/>
      <c r="CL338" s="140"/>
      <c r="CM338" s="140"/>
      <c r="CN338" s="140"/>
      <c r="CO338" s="140"/>
      <c r="CP338" s="140"/>
      <c r="CQ338" s="140"/>
      <c r="CR338" s="140"/>
      <c r="CS338" s="140"/>
      <c r="CT338" s="140"/>
      <c r="CU338" s="140"/>
      <c r="CV338" s="140"/>
      <c r="CW338" s="140"/>
    </row>
    <row r="339" spans="1:101" x14ac:dyDescent="0.2">
      <c r="A339" s="29" t="str">
        <f t="shared" ca="1" si="5"/>
        <v>2026-02-26</v>
      </c>
      <c r="B339" s="140">
        <f ca="1">IF(ISNUMBER(MATCH(DATEVALUE($A339),'changes1_based on steps'!B$1:B$400,0)),B$2,)</f>
        <v>0</v>
      </c>
      <c r="C339" s="140">
        <f ca="1">IF(ISNUMBER(MATCH(DATEVALUE($A339),'changes1_based on steps'!C$1:C$400,0)),C$2,)</f>
        <v>0</v>
      </c>
      <c r="D339" s="140">
        <f ca="1">IF(ISNUMBER(MATCH(DATEVALUE($A339),'changes1_based on steps'!D$1:D$400,0)),D$2,)</f>
        <v>0</v>
      </c>
      <c r="E339" s="140">
        <f ca="1">IF(ISNUMBER(MATCH(DATEVALUE($A339),'changes1_based on steps'!E$1:E$400,0)),E$2,)</f>
        <v>0</v>
      </c>
      <c r="F339" s="140">
        <f ca="1">IF(ISNUMBER(MATCH(DATEVALUE($A339),'changes1_based on steps'!F$1:F$400,0)),F$2,)</f>
        <v>0</v>
      </c>
      <c r="G339" s="140">
        <f ca="1">IF(ISNUMBER(MATCH(DATEVALUE($A339),'changes1_based on steps'!G$1:G$400,0)),G$2,)</f>
        <v>0</v>
      </c>
      <c r="H339" s="140">
        <f ca="1">IF(ISNUMBER(MATCH(DATEVALUE($A339),'changes1_based on steps'!H$1:H$400,0)),H$2,)</f>
        <v>0</v>
      </c>
      <c r="I339" s="140">
        <f ca="1">IF(ISNUMBER(MATCH(DATEVALUE($A339),'changes1_based on steps'!I$1:I$400,0)),I$2,)</f>
        <v>0</v>
      </c>
      <c r="J339" s="140">
        <f ca="1">IF(ISNUMBER(MATCH(DATEVALUE($A339),'changes1_based on steps'!J$1:J$400,0)),J$2,)</f>
        <v>0</v>
      </c>
      <c r="K339" s="140">
        <f ca="1">IF(ISNUMBER(MATCH(DATEVALUE($A339),'changes1_based on steps'!K$1:K$400,0)),K$2,)</f>
        <v>0</v>
      </c>
      <c r="L339" s="140">
        <f ca="1">IF(ISNUMBER(MATCH(DATEVALUE($A339),'changes1_based on steps'!L$1:L$400,0)),L$2,)</f>
        <v>0</v>
      </c>
      <c r="M339" s="140">
        <f ca="1">IF(ISNUMBER(MATCH(DATEVALUE($A339),'changes1_based on steps'!M$1:M$400,0)),M$2,)</f>
        <v>0</v>
      </c>
      <c r="N339" s="140">
        <f ca="1">IF(ISNUMBER(MATCH(DATEVALUE($A339),'changes1_based on steps'!N$1:N$400,0)),N$2,)</f>
        <v>0</v>
      </c>
      <c r="O339" s="140">
        <f ca="1">IF(ISNUMBER(MATCH(DATEVALUE($A339),'changes1_based on steps'!O$1:O$400,0)),O$2,)</f>
        <v>0</v>
      </c>
      <c r="P339" s="140">
        <f ca="1">IF(ISNUMBER(MATCH(DATEVALUE($A339),'changes1_based on steps'!P$1:P$400,0)),P$2,)</f>
        <v>0</v>
      </c>
      <c r="Q339" s="140">
        <f ca="1">IF(ISNUMBER(MATCH(DATEVALUE($A339),'changes1_based on steps'!Q$1:Q$400,0)),Q$2,)</f>
        <v>0</v>
      </c>
      <c r="R339" s="140">
        <f ca="1">IF(ISNUMBER(MATCH(DATEVALUE($A339),'changes1_based on steps'!R$1:R$400,0)),R$2,)</f>
        <v>0</v>
      </c>
      <c r="S339" s="140">
        <f ca="1">IF(ISNUMBER(MATCH(DATEVALUE($A339),'changes1_based on steps'!S$1:S$400,0)),S$2,)</f>
        <v>0</v>
      </c>
      <c r="T339" s="140">
        <f ca="1">IF(ISNUMBER(MATCH(DATEVALUE($A339),'changes1_based on steps'!T$1:T$400,0)),T$2,)</f>
        <v>0</v>
      </c>
      <c r="U339" s="140">
        <f ca="1">IF(ISNUMBER(MATCH(DATEVALUE($A339),'changes1_based on steps'!U$1:U$400,0)),U$2,)</f>
        <v>0</v>
      </c>
      <c r="V339" s="140"/>
      <c r="W339" s="140"/>
      <c r="X339" s="140"/>
      <c r="Y339" s="140"/>
      <c r="Z339" s="140"/>
      <c r="AA339" s="140"/>
      <c r="AB339" s="140"/>
      <c r="AC339" s="140"/>
      <c r="AD339" s="140"/>
      <c r="AE339" s="140"/>
      <c r="AF339" s="140"/>
      <c r="AG339" s="140"/>
      <c r="AH339" s="140"/>
      <c r="AI339" s="140"/>
      <c r="AJ339" s="140"/>
      <c r="AK339" s="140"/>
      <c r="AL339" s="140"/>
      <c r="AM339" s="140"/>
      <c r="AN339" s="140"/>
      <c r="AO339" s="140"/>
      <c r="AP339" s="140"/>
      <c r="AQ339" s="140"/>
      <c r="AR339" s="140"/>
      <c r="AS339" s="140"/>
      <c r="AT339" s="140"/>
      <c r="AU339" s="140"/>
      <c r="AV339" s="140"/>
      <c r="AW339" s="140"/>
      <c r="AX339" s="140"/>
      <c r="AY339" s="140"/>
      <c r="AZ339" s="140"/>
      <c r="BA339" s="140"/>
      <c r="BB339" s="140"/>
      <c r="BC339" s="140"/>
      <c r="BD339" s="140"/>
      <c r="BE339" s="140"/>
      <c r="BF339" s="140"/>
      <c r="BG339" s="140"/>
      <c r="BH339" s="140"/>
      <c r="BI339" s="140"/>
      <c r="BJ339" s="140"/>
      <c r="BK339" s="140"/>
      <c r="BL339" s="140"/>
      <c r="BM339" s="140"/>
      <c r="BN339" s="140"/>
      <c r="BO339" s="140"/>
      <c r="BP339" s="140"/>
      <c r="BQ339" s="140"/>
      <c r="BR339" s="140"/>
      <c r="BS339" s="140"/>
      <c r="BT339" s="140"/>
      <c r="BU339" s="140"/>
      <c r="BV339" s="140"/>
      <c r="BW339" s="140"/>
      <c r="BX339" s="140"/>
      <c r="BY339" s="140"/>
      <c r="BZ339" s="140"/>
      <c r="CA339" s="140"/>
      <c r="CB339" s="140"/>
      <c r="CC339" s="140"/>
      <c r="CD339" s="140"/>
      <c r="CE339" s="140"/>
      <c r="CF339" s="140"/>
      <c r="CG339" s="140"/>
      <c r="CH339" s="140"/>
      <c r="CI339" s="140"/>
      <c r="CJ339" s="140"/>
      <c r="CK339" s="140"/>
      <c r="CL339" s="140"/>
      <c r="CM339" s="140"/>
      <c r="CN339" s="140"/>
      <c r="CO339" s="140"/>
      <c r="CP339" s="140"/>
      <c r="CQ339" s="140"/>
      <c r="CR339" s="140"/>
      <c r="CS339" s="140"/>
      <c r="CT339" s="140"/>
      <c r="CU339" s="140"/>
      <c r="CV339" s="140"/>
      <c r="CW339" s="140"/>
    </row>
    <row r="340" spans="1:101" x14ac:dyDescent="0.2">
      <c r="A340" s="29" t="str">
        <f t="shared" ca="1" si="5"/>
        <v>2026-02-27</v>
      </c>
      <c r="B340" s="140">
        <f ca="1">IF(ISNUMBER(MATCH(DATEVALUE($A340),'changes1_based on steps'!B$1:B$400,0)),B$2,)</f>
        <v>0</v>
      </c>
      <c r="C340" s="140">
        <f ca="1">IF(ISNUMBER(MATCH(DATEVALUE($A340),'changes1_based on steps'!C$1:C$400,0)),C$2,)</f>
        <v>0</v>
      </c>
      <c r="D340" s="140">
        <f ca="1">IF(ISNUMBER(MATCH(DATEVALUE($A340),'changes1_based on steps'!D$1:D$400,0)),D$2,)</f>
        <v>0</v>
      </c>
      <c r="E340" s="140">
        <f ca="1">IF(ISNUMBER(MATCH(DATEVALUE($A340),'changes1_based on steps'!E$1:E$400,0)),E$2,)</f>
        <v>0</v>
      </c>
      <c r="F340" s="140">
        <f ca="1">IF(ISNUMBER(MATCH(DATEVALUE($A340),'changes1_based on steps'!F$1:F$400,0)),F$2,)</f>
        <v>0</v>
      </c>
      <c r="G340" s="140">
        <f ca="1">IF(ISNUMBER(MATCH(DATEVALUE($A340),'changes1_based on steps'!G$1:G$400,0)),G$2,)</f>
        <v>0</v>
      </c>
      <c r="H340" s="140">
        <f ca="1">IF(ISNUMBER(MATCH(DATEVALUE($A340),'changes1_based on steps'!H$1:H$400,0)),H$2,)</f>
        <v>0</v>
      </c>
      <c r="I340" s="140">
        <f ca="1">IF(ISNUMBER(MATCH(DATEVALUE($A340),'changes1_based on steps'!I$1:I$400,0)),I$2,)</f>
        <v>0</v>
      </c>
      <c r="J340" s="140">
        <f ca="1">IF(ISNUMBER(MATCH(DATEVALUE($A340),'changes1_based on steps'!J$1:J$400,0)),J$2,)</f>
        <v>0</v>
      </c>
      <c r="K340" s="140">
        <f ca="1">IF(ISNUMBER(MATCH(DATEVALUE($A340),'changes1_based on steps'!K$1:K$400,0)),K$2,)</f>
        <v>0</v>
      </c>
      <c r="L340" s="140">
        <f ca="1">IF(ISNUMBER(MATCH(DATEVALUE($A340),'changes1_based on steps'!L$1:L$400,0)),L$2,)</f>
        <v>0</v>
      </c>
      <c r="M340" s="140">
        <f ca="1">IF(ISNUMBER(MATCH(DATEVALUE($A340),'changes1_based on steps'!M$1:M$400,0)),M$2,)</f>
        <v>0</v>
      </c>
      <c r="N340" s="140">
        <f ca="1">IF(ISNUMBER(MATCH(DATEVALUE($A340),'changes1_based on steps'!N$1:N$400,0)),N$2,)</f>
        <v>0</v>
      </c>
      <c r="O340" s="140">
        <f ca="1">IF(ISNUMBER(MATCH(DATEVALUE($A340),'changes1_based on steps'!O$1:O$400,0)),O$2,)</f>
        <v>0</v>
      </c>
      <c r="P340" s="140">
        <f ca="1">IF(ISNUMBER(MATCH(DATEVALUE($A340),'changes1_based on steps'!P$1:P$400,0)),P$2,)</f>
        <v>0</v>
      </c>
      <c r="Q340" s="140">
        <f ca="1">IF(ISNUMBER(MATCH(DATEVALUE($A340),'changes1_based on steps'!Q$1:Q$400,0)),Q$2,)</f>
        <v>0</v>
      </c>
      <c r="R340" s="140">
        <f ca="1">IF(ISNUMBER(MATCH(DATEVALUE($A340),'changes1_based on steps'!R$1:R$400,0)),R$2,)</f>
        <v>0</v>
      </c>
      <c r="S340" s="140">
        <f ca="1">IF(ISNUMBER(MATCH(DATEVALUE($A340),'changes1_based on steps'!S$1:S$400,0)),S$2,)</f>
        <v>0</v>
      </c>
      <c r="T340" s="140">
        <f ca="1">IF(ISNUMBER(MATCH(DATEVALUE($A340),'changes1_based on steps'!T$1:T$400,0)),T$2,)</f>
        <v>0</v>
      </c>
      <c r="U340" s="140">
        <f ca="1">IF(ISNUMBER(MATCH(DATEVALUE($A340),'changes1_based on steps'!U$1:U$400,0)),U$2,)</f>
        <v>0</v>
      </c>
      <c r="V340" s="140"/>
      <c r="W340" s="140"/>
      <c r="X340" s="140"/>
      <c r="Y340" s="140"/>
      <c r="Z340" s="140"/>
      <c r="AA340" s="140"/>
      <c r="AB340" s="140"/>
      <c r="AC340" s="140"/>
      <c r="AD340" s="140"/>
      <c r="AE340" s="140"/>
      <c r="AF340" s="140"/>
      <c r="AG340" s="140"/>
      <c r="AH340" s="140"/>
      <c r="AI340" s="140"/>
      <c r="AJ340" s="140"/>
      <c r="AK340" s="140"/>
      <c r="AL340" s="140"/>
      <c r="AM340" s="140"/>
      <c r="AN340" s="140"/>
      <c r="AO340" s="140"/>
      <c r="AP340" s="140"/>
      <c r="AQ340" s="140"/>
      <c r="AR340" s="140"/>
      <c r="AS340" s="140"/>
      <c r="AT340" s="140"/>
      <c r="AU340" s="140"/>
      <c r="AV340" s="140"/>
      <c r="AW340" s="140"/>
      <c r="AX340" s="140"/>
      <c r="AY340" s="140"/>
      <c r="AZ340" s="140"/>
      <c r="BA340" s="140"/>
      <c r="BB340" s="140"/>
      <c r="BC340" s="140"/>
      <c r="BD340" s="140"/>
      <c r="BE340" s="140"/>
      <c r="BF340" s="140"/>
      <c r="BG340" s="140"/>
      <c r="BH340" s="140"/>
      <c r="BI340" s="140"/>
      <c r="BJ340" s="140"/>
      <c r="BK340" s="140"/>
      <c r="BL340" s="140"/>
      <c r="BM340" s="140"/>
      <c r="BN340" s="140"/>
      <c r="BO340" s="140"/>
      <c r="BP340" s="140"/>
      <c r="BQ340" s="140"/>
      <c r="BR340" s="140"/>
      <c r="BS340" s="140"/>
      <c r="BT340" s="140"/>
      <c r="BU340" s="140"/>
      <c r="BV340" s="140"/>
      <c r="BW340" s="140"/>
      <c r="BX340" s="140"/>
      <c r="BY340" s="140"/>
      <c r="BZ340" s="140"/>
      <c r="CA340" s="140"/>
      <c r="CB340" s="140"/>
      <c r="CC340" s="140"/>
      <c r="CD340" s="140"/>
      <c r="CE340" s="140"/>
      <c r="CF340" s="140"/>
      <c r="CG340" s="140"/>
      <c r="CH340" s="140"/>
      <c r="CI340" s="140"/>
      <c r="CJ340" s="140"/>
      <c r="CK340" s="140"/>
      <c r="CL340" s="140"/>
      <c r="CM340" s="140"/>
      <c r="CN340" s="140"/>
      <c r="CO340" s="140"/>
      <c r="CP340" s="140"/>
      <c r="CQ340" s="140"/>
      <c r="CR340" s="140"/>
      <c r="CS340" s="140"/>
      <c r="CT340" s="140"/>
      <c r="CU340" s="140"/>
      <c r="CV340" s="140"/>
      <c r="CW340" s="140"/>
    </row>
    <row r="341" spans="1:101" x14ac:dyDescent="0.2">
      <c r="A341" s="29" t="str">
        <f t="shared" ca="1" si="5"/>
        <v>2026-02-28</v>
      </c>
      <c r="B341" s="140">
        <f ca="1">IF(ISNUMBER(MATCH(DATEVALUE($A341),'changes1_based on steps'!B$1:B$400,0)),B$2,)</f>
        <v>0</v>
      </c>
      <c r="C341" s="140">
        <f ca="1">IF(ISNUMBER(MATCH(DATEVALUE($A341),'changes1_based on steps'!C$1:C$400,0)),C$2,)</f>
        <v>0</v>
      </c>
      <c r="D341" s="140">
        <f ca="1">IF(ISNUMBER(MATCH(DATEVALUE($A341),'changes1_based on steps'!D$1:D$400,0)),D$2,)</f>
        <v>0</v>
      </c>
      <c r="E341" s="140">
        <f ca="1">IF(ISNUMBER(MATCH(DATEVALUE($A341),'changes1_based on steps'!E$1:E$400,0)),E$2,)</f>
        <v>0</v>
      </c>
      <c r="F341" s="140">
        <f ca="1">IF(ISNUMBER(MATCH(DATEVALUE($A341),'changes1_based on steps'!F$1:F$400,0)),F$2,)</f>
        <v>0</v>
      </c>
      <c r="G341" s="140">
        <f ca="1">IF(ISNUMBER(MATCH(DATEVALUE($A341),'changes1_based on steps'!G$1:G$400,0)),G$2,)</f>
        <v>0</v>
      </c>
      <c r="H341" s="140">
        <f ca="1">IF(ISNUMBER(MATCH(DATEVALUE($A341),'changes1_based on steps'!H$1:H$400,0)),H$2,)</f>
        <v>0</v>
      </c>
      <c r="I341" s="140">
        <f ca="1">IF(ISNUMBER(MATCH(DATEVALUE($A341),'changes1_based on steps'!I$1:I$400,0)),I$2,)</f>
        <v>0</v>
      </c>
      <c r="J341" s="140">
        <f ca="1">IF(ISNUMBER(MATCH(DATEVALUE($A341),'changes1_based on steps'!J$1:J$400,0)),J$2,)</f>
        <v>0</v>
      </c>
      <c r="K341" s="140">
        <f ca="1">IF(ISNUMBER(MATCH(DATEVALUE($A341),'changes1_based on steps'!K$1:K$400,0)),K$2,)</f>
        <v>0</v>
      </c>
      <c r="L341" s="140">
        <f ca="1">IF(ISNUMBER(MATCH(DATEVALUE($A341),'changes1_based on steps'!L$1:L$400,0)),L$2,)</f>
        <v>0</v>
      </c>
      <c r="M341" s="140">
        <f ca="1">IF(ISNUMBER(MATCH(DATEVALUE($A341),'changes1_based on steps'!M$1:M$400,0)),M$2,)</f>
        <v>0</v>
      </c>
      <c r="N341" s="140">
        <f ca="1">IF(ISNUMBER(MATCH(DATEVALUE($A341),'changes1_based on steps'!N$1:N$400,0)),N$2,)</f>
        <v>0</v>
      </c>
      <c r="O341" s="140">
        <f ca="1">IF(ISNUMBER(MATCH(DATEVALUE($A341),'changes1_based on steps'!O$1:O$400,0)),O$2,)</f>
        <v>0</v>
      </c>
      <c r="P341" s="140">
        <f ca="1">IF(ISNUMBER(MATCH(DATEVALUE($A341),'changes1_based on steps'!P$1:P$400,0)),P$2,)</f>
        <v>0</v>
      </c>
      <c r="Q341" s="140">
        <f ca="1">IF(ISNUMBER(MATCH(DATEVALUE($A341),'changes1_based on steps'!Q$1:Q$400,0)),Q$2,)</f>
        <v>0</v>
      </c>
      <c r="R341" s="140">
        <f ca="1">IF(ISNUMBER(MATCH(DATEVALUE($A341),'changes1_based on steps'!R$1:R$400,0)),R$2,)</f>
        <v>0</v>
      </c>
      <c r="S341" s="140">
        <f ca="1">IF(ISNUMBER(MATCH(DATEVALUE($A341),'changes1_based on steps'!S$1:S$400,0)),S$2,)</f>
        <v>0</v>
      </c>
      <c r="T341" s="140">
        <f ca="1">IF(ISNUMBER(MATCH(DATEVALUE($A341),'changes1_based on steps'!T$1:T$400,0)),T$2,)</f>
        <v>0</v>
      </c>
      <c r="U341" s="140">
        <f ca="1">IF(ISNUMBER(MATCH(DATEVALUE($A341),'changes1_based on steps'!U$1:U$400,0)),U$2,)</f>
        <v>0</v>
      </c>
      <c r="V341" s="140"/>
      <c r="W341" s="140"/>
      <c r="X341" s="140"/>
      <c r="Y341" s="140"/>
      <c r="Z341" s="140"/>
      <c r="AA341" s="140"/>
      <c r="AB341" s="140"/>
      <c r="AC341" s="140"/>
      <c r="AD341" s="140"/>
      <c r="AE341" s="140"/>
      <c r="AF341" s="140"/>
      <c r="AG341" s="140"/>
      <c r="AH341" s="140"/>
      <c r="AI341" s="140"/>
      <c r="AJ341" s="140"/>
      <c r="AK341" s="140"/>
      <c r="AL341" s="140"/>
      <c r="AM341" s="140"/>
      <c r="AN341" s="140"/>
      <c r="AO341" s="140"/>
      <c r="AP341" s="140"/>
      <c r="AQ341" s="140"/>
      <c r="AR341" s="140"/>
      <c r="AS341" s="140"/>
      <c r="AT341" s="140"/>
      <c r="AU341" s="140"/>
      <c r="AV341" s="140"/>
      <c r="AW341" s="140"/>
      <c r="AX341" s="140"/>
      <c r="AY341" s="140"/>
      <c r="AZ341" s="140"/>
      <c r="BA341" s="140"/>
      <c r="BB341" s="140"/>
      <c r="BC341" s="140"/>
      <c r="BD341" s="140"/>
      <c r="BE341" s="140"/>
      <c r="BF341" s="140"/>
      <c r="BG341" s="140"/>
      <c r="BH341" s="140"/>
      <c r="BI341" s="140"/>
      <c r="BJ341" s="140"/>
      <c r="BK341" s="140"/>
      <c r="BL341" s="140"/>
      <c r="BM341" s="140"/>
      <c r="BN341" s="140"/>
      <c r="BO341" s="140"/>
      <c r="BP341" s="140"/>
      <c r="BQ341" s="140"/>
      <c r="BR341" s="140"/>
      <c r="BS341" s="140"/>
      <c r="BT341" s="140"/>
      <c r="BU341" s="140"/>
      <c r="BV341" s="140"/>
      <c r="BW341" s="140"/>
      <c r="BX341" s="140"/>
      <c r="BY341" s="140"/>
      <c r="BZ341" s="140"/>
      <c r="CA341" s="140"/>
      <c r="CB341" s="140"/>
      <c r="CC341" s="140"/>
      <c r="CD341" s="140"/>
      <c r="CE341" s="140"/>
      <c r="CF341" s="140"/>
      <c r="CG341" s="140"/>
      <c r="CH341" s="140"/>
      <c r="CI341" s="140"/>
      <c r="CJ341" s="140"/>
      <c r="CK341" s="140"/>
      <c r="CL341" s="140"/>
      <c r="CM341" s="140"/>
      <c r="CN341" s="140"/>
      <c r="CO341" s="140"/>
      <c r="CP341" s="140"/>
      <c r="CQ341" s="140"/>
      <c r="CR341" s="140"/>
      <c r="CS341" s="140"/>
      <c r="CT341" s="140"/>
      <c r="CU341" s="140"/>
      <c r="CV341" s="140"/>
      <c r="CW341" s="140"/>
    </row>
    <row r="342" spans="1:101" x14ac:dyDescent="0.2">
      <c r="A342" s="29" t="str">
        <f t="shared" ca="1" si="5"/>
        <v>2026-03-01</v>
      </c>
      <c r="B342" s="140">
        <f ca="1">IF(ISNUMBER(MATCH(DATEVALUE($A342),'changes1_based on steps'!B$1:B$400,0)),B$2,)</f>
        <v>0</v>
      </c>
      <c r="C342" s="140">
        <f ca="1">IF(ISNUMBER(MATCH(DATEVALUE($A342),'changes1_based on steps'!C$1:C$400,0)),C$2,)</f>
        <v>0</v>
      </c>
      <c r="D342" s="140">
        <f ca="1">IF(ISNUMBER(MATCH(DATEVALUE($A342),'changes1_based on steps'!D$1:D$400,0)),D$2,)</f>
        <v>0</v>
      </c>
      <c r="E342" s="140">
        <f ca="1">IF(ISNUMBER(MATCH(DATEVALUE($A342),'changes1_based on steps'!E$1:E$400,0)),E$2,)</f>
        <v>0</v>
      </c>
      <c r="F342" s="140">
        <f ca="1">IF(ISNUMBER(MATCH(DATEVALUE($A342),'changes1_based on steps'!F$1:F$400,0)),F$2,)</f>
        <v>0</v>
      </c>
      <c r="G342" s="140">
        <f ca="1">IF(ISNUMBER(MATCH(DATEVALUE($A342),'changes1_based on steps'!G$1:G$400,0)),G$2,)</f>
        <v>0</v>
      </c>
      <c r="H342" s="140">
        <f ca="1">IF(ISNUMBER(MATCH(DATEVALUE($A342),'changes1_based on steps'!H$1:H$400,0)),H$2,)</f>
        <v>0</v>
      </c>
      <c r="I342" s="140">
        <f ca="1">IF(ISNUMBER(MATCH(DATEVALUE($A342),'changes1_based on steps'!I$1:I$400,0)),I$2,)</f>
        <v>0</v>
      </c>
      <c r="J342" s="140">
        <f ca="1">IF(ISNUMBER(MATCH(DATEVALUE($A342),'changes1_based on steps'!J$1:J$400,0)),J$2,)</f>
        <v>0</v>
      </c>
      <c r="K342" s="140">
        <f ca="1">IF(ISNUMBER(MATCH(DATEVALUE($A342),'changes1_based on steps'!K$1:K$400,0)),K$2,)</f>
        <v>0</v>
      </c>
      <c r="L342" s="140">
        <f ca="1">IF(ISNUMBER(MATCH(DATEVALUE($A342),'changes1_based on steps'!L$1:L$400,0)),L$2,)</f>
        <v>0</v>
      </c>
      <c r="M342" s="140">
        <f ca="1">IF(ISNUMBER(MATCH(DATEVALUE($A342),'changes1_based on steps'!M$1:M$400,0)),M$2,)</f>
        <v>0</v>
      </c>
      <c r="N342" s="140">
        <f ca="1">IF(ISNUMBER(MATCH(DATEVALUE($A342),'changes1_based on steps'!N$1:N$400,0)),N$2,)</f>
        <v>0</v>
      </c>
      <c r="O342" s="140">
        <f ca="1">IF(ISNUMBER(MATCH(DATEVALUE($A342),'changes1_based on steps'!O$1:O$400,0)),O$2,)</f>
        <v>0</v>
      </c>
      <c r="P342" s="140">
        <f ca="1">IF(ISNUMBER(MATCH(DATEVALUE($A342),'changes1_based on steps'!P$1:P$400,0)),P$2,)</f>
        <v>0</v>
      </c>
      <c r="Q342" s="140">
        <f ca="1">IF(ISNUMBER(MATCH(DATEVALUE($A342),'changes1_based on steps'!Q$1:Q$400,0)),Q$2,)</f>
        <v>0</v>
      </c>
      <c r="R342" s="140">
        <f ca="1">IF(ISNUMBER(MATCH(DATEVALUE($A342),'changes1_based on steps'!R$1:R$400,0)),R$2,)</f>
        <v>0</v>
      </c>
      <c r="S342" s="140">
        <f ca="1">IF(ISNUMBER(MATCH(DATEVALUE($A342),'changes1_based on steps'!S$1:S$400,0)),S$2,)</f>
        <v>0</v>
      </c>
      <c r="T342" s="140">
        <f ca="1">IF(ISNUMBER(MATCH(DATEVALUE($A342),'changes1_based on steps'!T$1:T$400,0)),T$2,)</f>
        <v>0</v>
      </c>
      <c r="U342" s="140">
        <f ca="1">IF(ISNUMBER(MATCH(DATEVALUE($A342),'changes1_based on steps'!U$1:U$400,0)),U$2,)</f>
        <v>0</v>
      </c>
      <c r="V342" s="140"/>
      <c r="W342" s="140"/>
      <c r="X342" s="140"/>
      <c r="Y342" s="140"/>
      <c r="Z342" s="140"/>
      <c r="AA342" s="140"/>
      <c r="AB342" s="140"/>
      <c r="AC342" s="140"/>
      <c r="AD342" s="140"/>
      <c r="AE342" s="140"/>
      <c r="AF342" s="140"/>
      <c r="AG342" s="140"/>
      <c r="AH342" s="140"/>
      <c r="AI342" s="140"/>
      <c r="AJ342" s="140"/>
      <c r="AK342" s="140"/>
      <c r="AL342" s="140"/>
      <c r="AM342" s="140"/>
      <c r="AN342" s="140"/>
      <c r="AO342" s="140"/>
      <c r="AP342" s="140"/>
      <c r="AQ342" s="140"/>
      <c r="AR342" s="140"/>
      <c r="AS342" s="140"/>
      <c r="AT342" s="140"/>
      <c r="AU342" s="140"/>
      <c r="AV342" s="140"/>
      <c r="AW342" s="140"/>
      <c r="AX342" s="140"/>
      <c r="AY342" s="140"/>
      <c r="AZ342" s="140"/>
      <c r="BA342" s="140"/>
      <c r="BB342" s="140"/>
      <c r="BC342" s="140"/>
      <c r="BD342" s="140"/>
      <c r="BE342" s="140"/>
      <c r="BF342" s="140"/>
      <c r="BG342" s="140"/>
      <c r="BH342" s="140"/>
      <c r="BI342" s="140"/>
      <c r="BJ342" s="140"/>
      <c r="BK342" s="140"/>
      <c r="BL342" s="140"/>
      <c r="BM342" s="140"/>
      <c r="BN342" s="140"/>
      <c r="BO342" s="140"/>
      <c r="BP342" s="140"/>
      <c r="BQ342" s="140"/>
      <c r="BR342" s="140"/>
      <c r="BS342" s="140"/>
      <c r="BT342" s="140"/>
      <c r="BU342" s="140"/>
      <c r="BV342" s="140"/>
      <c r="BW342" s="140"/>
      <c r="BX342" s="140"/>
      <c r="BY342" s="140"/>
      <c r="BZ342" s="140"/>
      <c r="CA342" s="140"/>
      <c r="CB342" s="140"/>
      <c r="CC342" s="140"/>
      <c r="CD342" s="140"/>
      <c r="CE342" s="140"/>
      <c r="CF342" s="140"/>
      <c r="CG342" s="140"/>
      <c r="CH342" s="140"/>
      <c r="CI342" s="140"/>
      <c r="CJ342" s="140"/>
      <c r="CK342" s="140"/>
      <c r="CL342" s="140"/>
      <c r="CM342" s="140"/>
      <c r="CN342" s="140"/>
      <c r="CO342" s="140"/>
      <c r="CP342" s="140"/>
      <c r="CQ342" s="140"/>
      <c r="CR342" s="140"/>
      <c r="CS342" s="140"/>
      <c r="CT342" s="140"/>
      <c r="CU342" s="140"/>
      <c r="CV342" s="140"/>
      <c r="CW342" s="140"/>
    </row>
    <row r="343" spans="1:101" x14ac:dyDescent="0.2">
      <c r="A343" s="29" t="str">
        <f t="shared" ca="1" si="5"/>
        <v>2026-03-02</v>
      </c>
      <c r="B343" s="140">
        <f ca="1">IF(ISNUMBER(MATCH(DATEVALUE($A343),'changes1_based on steps'!B$1:B$400,0)),B$2,)</f>
        <v>0</v>
      </c>
      <c r="C343" s="140">
        <f ca="1">IF(ISNUMBER(MATCH(DATEVALUE($A343),'changes1_based on steps'!C$1:C$400,0)),C$2,)</f>
        <v>0</v>
      </c>
      <c r="D343" s="140">
        <f ca="1">IF(ISNUMBER(MATCH(DATEVALUE($A343),'changes1_based on steps'!D$1:D$400,0)),D$2,)</f>
        <v>0</v>
      </c>
      <c r="E343" s="140">
        <f ca="1">IF(ISNUMBER(MATCH(DATEVALUE($A343),'changes1_based on steps'!E$1:E$400,0)),E$2,)</f>
        <v>0</v>
      </c>
      <c r="F343" s="140">
        <f ca="1">IF(ISNUMBER(MATCH(DATEVALUE($A343),'changes1_based on steps'!F$1:F$400,0)),F$2,)</f>
        <v>0</v>
      </c>
      <c r="G343" s="140">
        <f ca="1">IF(ISNUMBER(MATCH(DATEVALUE($A343),'changes1_based on steps'!G$1:G$400,0)),G$2,)</f>
        <v>0</v>
      </c>
      <c r="H343" s="140">
        <f ca="1">IF(ISNUMBER(MATCH(DATEVALUE($A343),'changes1_based on steps'!H$1:H$400,0)),H$2,)</f>
        <v>0</v>
      </c>
      <c r="I343" s="140">
        <f ca="1">IF(ISNUMBER(MATCH(DATEVALUE($A343),'changes1_based on steps'!I$1:I$400,0)),I$2,)</f>
        <v>0</v>
      </c>
      <c r="J343" s="140">
        <f ca="1">IF(ISNUMBER(MATCH(DATEVALUE($A343),'changes1_based on steps'!J$1:J$400,0)),J$2,)</f>
        <v>0</v>
      </c>
      <c r="K343" s="140">
        <f ca="1">IF(ISNUMBER(MATCH(DATEVALUE($A343),'changes1_based on steps'!K$1:K$400,0)),K$2,)</f>
        <v>0</v>
      </c>
      <c r="L343" s="140">
        <f ca="1">IF(ISNUMBER(MATCH(DATEVALUE($A343),'changes1_based on steps'!L$1:L$400,0)),L$2,)</f>
        <v>0</v>
      </c>
      <c r="M343" s="140">
        <f ca="1">IF(ISNUMBER(MATCH(DATEVALUE($A343),'changes1_based on steps'!M$1:M$400,0)),M$2,)</f>
        <v>0</v>
      </c>
      <c r="N343" s="140">
        <f ca="1">IF(ISNUMBER(MATCH(DATEVALUE($A343),'changes1_based on steps'!N$1:N$400,0)),N$2,)</f>
        <v>0</v>
      </c>
      <c r="O343" s="140">
        <f ca="1">IF(ISNUMBER(MATCH(DATEVALUE($A343),'changes1_based on steps'!O$1:O$400,0)),O$2,)</f>
        <v>0</v>
      </c>
      <c r="P343" s="140">
        <f ca="1">IF(ISNUMBER(MATCH(DATEVALUE($A343),'changes1_based on steps'!P$1:P$400,0)),P$2,)</f>
        <v>0</v>
      </c>
      <c r="Q343" s="140">
        <f ca="1">IF(ISNUMBER(MATCH(DATEVALUE($A343),'changes1_based on steps'!Q$1:Q$400,0)),Q$2,)</f>
        <v>0</v>
      </c>
      <c r="R343" s="140">
        <f ca="1">IF(ISNUMBER(MATCH(DATEVALUE($A343),'changes1_based on steps'!R$1:R$400,0)),R$2,)</f>
        <v>0</v>
      </c>
      <c r="S343" s="140">
        <f ca="1">IF(ISNUMBER(MATCH(DATEVALUE($A343),'changes1_based on steps'!S$1:S$400,0)),S$2,)</f>
        <v>0</v>
      </c>
      <c r="T343" s="140">
        <f ca="1">IF(ISNUMBER(MATCH(DATEVALUE($A343),'changes1_based on steps'!T$1:T$400,0)),T$2,)</f>
        <v>0</v>
      </c>
      <c r="U343" s="140">
        <f ca="1">IF(ISNUMBER(MATCH(DATEVALUE($A343),'changes1_based on steps'!U$1:U$400,0)),U$2,)</f>
        <v>0</v>
      </c>
      <c r="V343" s="140"/>
      <c r="W343" s="140"/>
      <c r="X343" s="140"/>
      <c r="Y343" s="140"/>
      <c r="Z343" s="140"/>
      <c r="AA343" s="140"/>
      <c r="AB343" s="140"/>
      <c r="AC343" s="140"/>
      <c r="AD343" s="140"/>
      <c r="AE343" s="140"/>
      <c r="AF343" s="140"/>
      <c r="AG343" s="140"/>
      <c r="AH343" s="140"/>
      <c r="AI343" s="140"/>
      <c r="AJ343" s="140"/>
      <c r="AK343" s="140"/>
      <c r="AL343" s="140"/>
      <c r="AM343" s="140"/>
      <c r="AN343" s="140"/>
      <c r="AO343" s="140"/>
      <c r="AP343" s="140"/>
      <c r="AQ343" s="140"/>
      <c r="AR343" s="140"/>
      <c r="AS343" s="140"/>
      <c r="AT343" s="140"/>
      <c r="AU343" s="140"/>
      <c r="AV343" s="140"/>
      <c r="AW343" s="140"/>
      <c r="AX343" s="140"/>
      <c r="AY343" s="140"/>
      <c r="AZ343" s="140"/>
      <c r="BA343" s="140"/>
      <c r="BB343" s="140"/>
      <c r="BC343" s="140"/>
      <c r="BD343" s="140"/>
      <c r="BE343" s="140"/>
      <c r="BF343" s="140"/>
      <c r="BG343" s="140"/>
      <c r="BH343" s="140"/>
      <c r="BI343" s="140"/>
      <c r="BJ343" s="140"/>
      <c r="BK343" s="140"/>
      <c r="BL343" s="140"/>
      <c r="BM343" s="140"/>
      <c r="BN343" s="140"/>
      <c r="BO343" s="140"/>
      <c r="BP343" s="140"/>
      <c r="BQ343" s="140"/>
      <c r="BR343" s="140"/>
      <c r="BS343" s="140"/>
      <c r="BT343" s="140"/>
      <c r="BU343" s="140"/>
      <c r="BV343" s="140"/>
      <c r="BW343" s="140"/>
      <c r="BX343" s="140"/>
      <c r="BY343" s="140"/>
      <c r="BZ343" s="140"/>
      <c r="CA343" s="140"/>
      <c r="CB343" s="140"/>
      <c r="CC343" s="140"/>
      <c r="CD343" s="140"/>
      <c r="CE343" s="140"/>
      <c r="CF343" s="140"/>
      <c r="CG343" s="140"/>
      <c r="CH343" s="140"/>
      <c r="CI343" s="140"/>
      <c r="CJ343" s="140"/>
      <c r="CK343" s="140"/>
      <c r="CL343" s="140"/>
      <c r="CM343" s="140"/>
      <c r="CN343" s="140"/>
      <c r="CO343" s="140"/>
      <c r="CP343" s="140"/>
      <c r="CQ343" s="140"/>
      <c r="CR343" s="140"/>
      <c r="CS343" s="140"/>
      <c r="CT343" s="140"/>
      <c r="CU343" s="140"/>
      <c r="CV343" s="140"/>
      <c r="CW343" s="140"/>
    </row>
    <row r="344" spans="1:101" x14ac:dyDescent="0.2">
      <c r="A344" s="29" t="str">
        <f t="shared" ca="1" si="5"/>
        <v>2026-03-03</v>
      </c>
      <c r="B344" s="140">
        <f ca="1">IF(ISNUMBER(MATCH(DATEVALUE($A344),'changes1_based on steps'!B$1:B$400,0)),B$2,)</f>
        <v>0</v>
      </c>
      <c r="C344" s="140">
        <f ca="1">IF(ISNUMBER(MATCH(DATEVALUE($A344),'changes1_based on steps'!C$1:C$400,0)),C$2,)</f>
        <v>0</v>
      </c>
      <c r="D344" s="140">
        <f ca="1">IF(ISNUMBER(MATCH(DATEVALUE($A344),'changes1_based on steps'!D$1:D$400,0)),D$2,)</f>
        <v>0</v>
      </c>
      <c r="E344" s="140">
        <f ca="1">IF(ISNUMBER(MATCH(DATEVALUE($A344),'changes1_based on steps'!E$1:E$400,0)),E$2,)</f>
        <v>0</v>
      </c>
      <c r="F344" s="140">
        <f ca="1">IF(ISNUMBER(MATCH(DATEVALUE($A344),'changes1_based on steps'!F$1:F$400,0)),F$2,)</f>
        <v>0</v>
      </c>
      <c r="G344" s="140">
        <f ca="1">IF(ISNUMBER(MATCH(DATEVALUE($A344),'changes1_based on steps'!G$1:G$400,0)),G$2,)</f>
        <v>0</v>
      </c>
      <c r="H344" s="140">
        <f ca="1">IF(ISNUMBER(MATCH(DATEVALUE($A344),'changes1_based on steps'!H$1:H$400,0)),H$2,)</f>
        <v>0</v>
      </c>
      <c r="I344" s="140">
        <f ca="1">IF(ISNUMBER(MATCH(DATEVALUE($A344),'changes1_based on steps'!I$1:I$400,0)),I$2,)</f>
        <v>0</v>
      </c>
      <c r="J344" s="140">
        <f ca="1">IF(ISNUMBER(MATCH(DATEVALUE($A344),'changes1_based on steps'!J$1:J$400,0)),J$2,)</f>
        <v>0</v>
      </c>
      <c r="K344" s="140">
        <f ca="1">IF(ISNUMBER(MATCH(DATEVALUE($A344),'changes1_based on steps'!K$1:K$400,0)),K$2,)</f>
        <v>0</v>
      </c>
      <c r="L344" s="140">
        <f ca="1">IF(ISNUMBER(MATCH(DATEVALUE($A344),'changes1_based on steps'!L$1:L$400,0)),L$2,)</f>
        <v>0</v>
      </c>
      <c r="M344" s="140">
        <f ca="1">IF(ISNUMBER(MATCH(DATEVALUE($A344),'changes1_based on steps'!M$1:M$400,0)),M$2,)</f>
        <v>0</v>
      </c>
      <c r="N344" s="140">
        <f ca="1">IF(ISNUMBER(MATCH(DATEVALUE($A344),'changes1_based on steps'!N$1:N$400,0)),N$2,)</f>
        <v>0</v>
      </c>
      <c r="O344" s="140">
        <f ca="1">IF(ISNUMBER(MATCH(DATEVALUE($A344),'changes1_based on steps'!O$1:O$400,0)),O$2,)</f>
        <v>0</v>
      </c>
      <c r="P344" s="140">
        <f ca="1">IF(ISNUMBER(MATCH(DATEVALUE($A344),'changes1_based on steps'!P$1:P$400,0)),P$2,)</f>
        <v>0</v>
      </c>
      <c r="Q344" s="140">
        <f ca="1">IF(ISNUMBER(MATCH(DATEVALUE($A344),'changes1_based on steps'!Q$1:Q$400,0)),Q$2,)</f>
        <v>0</v>
      </c>
      <c r="R344" s="140">
        <f ca="1">IF(ISNUMBER(MATCH(DATEVALUE($A344),'changes1_based on steps'!R$1:R$400,0)),R$2,)</f>
        <v>0</v>
      </c>
      <c r="S344" s="140">
        <f ca="1">IF(ISNUMBER(MATCH(DATEVALUE($A344),'changes1_based on steps'!S$1:S$400,0)),S$2,)</f>
        <v>0</v>
      </c>
      <c r="T344" s="140">
        <f ca="1">IF(ISNUMBER(MATCH(DATEVALUE($A344),'changes1_based on steps'!T$1:T$400,0)),T$2,)</f>
        <v>0</v>
      </c>
      <c r="U344" s="140">
        <f ca="1">IF(ISNUMBER(MATCH(DATEVALUE($A344),'changes1_based on steps'!U$1:U$400,0)),U$2,)</f>
        <v>0</v>
      </c>
      <c r="V344" s="140"/>
      <c r="W344" s="140"/>
      <c r="X344" s="140"/>
      <c r="Y344" s="140"/>
      <c r="Z344" s="140"/>
      <c r="AA344" s="140"/>
      <c r="AB344" s="140"/>
      <c r="AC344" s="140"/>
      <c r="AD344" s="140"/>
      <c r="AE344" s="140"/>
      <c r="AF344" s="140"/>
      <c r="AG344" s="140"/>
      <c r="AH344" s="140"/>
      <c r="AI344" s="140"/>
      <c r="AJ344" s="140"/>
      <c r="AK344" s="140"/>
      <c r="AL344" s="140"/>
      <c r="AM344" s="140"/>
      <c r="AN344" s="140"/>
      <c r="AO344" s="140"/>
      <c r="AP344" s="140"/>
      <c r="AQ344" s="140"/>
      <c r="AR344" s="140"/>
      <c r="AS344" s="140"/>
      <c r="AT344" s="140"/>
      <c r="AU344" s="140"/>
      <c r="AV344" s="140"/>
      <c r="AW344" s="140"/>
      <c r="AX344" s="140"/>
      <c r="AY344" s="140"/>
      <c r="AZ344" s="140"/>
      <c r="BA344" s="140"/>
      <c r="BB344" s="140"/>
      <c r="BC344" s="140"/>
      <c r="BD344" s="140"/>
      <c r="BE344" s="140"/>
      <c r="BF344" s="140"/>
      <c r="BG344" s="140"/>
      <c r="BH344" s="140"/>
      <c r="BI344" s="140"/>
      <c r="BJ344" s="140"/>
      <c r="BK344" s="140"/>
      <c r="BL344" s="140"/>
      <c r="BM344" s="140"/>
      <c r="BN344" s="140"/>
      <c r="BO344" s="140"/>
      <c r="BP344" s="140"/>
      <c r="BQ344" s="140"/>
      <c r="BR344" s="140"/>
      <c r="BS344" s="140"/>
      <c r="BT344" s="140"/>
      <c r="BU344" s="140"/>
      <c r="BV344" s="140"/>
      <c r="BW344" s="140"/>
      <c r="BX344" s="140"/>
      <c r="BY344" s="140"/>
      <c r="BZ344" s="140"/>
      <c r="CA344" s="140"/>
      <c r="CB344" s="140"/>
      <c r="CC344" s="140"/>
      <c r="CD344" s="140"/>
      <c r="CE344" s="140"/>
      <c r="CF344" s="140"/>
      <c r="CG344" s="140"/>
      <c r="CH344" s="140"/>
      <c r="CI344" s="140"/>
      <c r="CJ344" s="140"/>
      <c r="CK344" s="140"/>
      <c r="CL344" s="140"/>
      <c r="CM344" s="140"/>
      <c r="CN344" s="140"/>
      <c r="CO344" s="140"/>
      <c r="CP344" s="140"/>
      <c r="CQ344" s="140"/>
      <c r="CR344" s="140"/>
      <c r="CS344" s="140"/>
      <c r="CT344" s="140"/>
      <c r="CU344" s="140"/>
      <c r="CV344" s="140"/>
      <c r="CW344" s="140"/>
    </row>
    <row r="345" spans="1:101" x14ac:dyDescent="0.2">
      <c r="A345" s="29" t="str">
        <f t="shared" ca="1" si="5"/>
        <v>2026-03-04</v>
      </c>
      <c r="B345" s="140">
        <f ca="1">IF(ISNUMBER(MATCH(DATEVALUE($A345),'changes1_based on steps'!B$1:B$400,0)),B$2,)</f>
        <v>0</v>
      </c>
      <c r="C345" s="140">
        <f ca="1">IF(ISNUMBER(MATCH(DATEVALUE($A345),'changes1_based on steps'!C$1:C$400,0)),C$2,)</f>
        <v>0</v>
      </c>
      <c r="D345" s="140">
        <f ca="1">IF(ISNUMBER(MATCH(DATEVALUE($A345),'changes1_based on steps'!D$1:D$400,0)),D$2,)</f>
        <v>0</v>
      </c>
      <c r="E345" s="140">
        <f ca="1">IF(ISNUMBER(MATCH(DATEVALUE($A345),'changes1_based on steps'!E$1:E$400,0)),E$2,)</f>
        <v>0</v>
      </c>
      <c r="F345" s="140">
        <f ca="1">IF(ISNUMBER(MATCH(DATEVALUE($A345),'changes1_based on steps'!F$1:F$400,0)),F$2,)</f>
        <v>0</v>
      </c>
      <c r="G345" s="140">
        <f ca="1">IF(ISNUMBER(MATCH(DATEVALUE($A345),'changes1_based on steps'!G$1:G$400,0)),G$2,)</f>
        <v>0</v>
      </c>
      <c r="H345" s="140">
        <f ca="1">IF(ISNUMBER(MATCH(DATEVALUE($A345),'changes1_based on steps'!H$1:H$400,0)),H$2,)</f>
        <v>0</v>
      </c>
      <c r="I345" s="140">
        <f ca="1">IF(ISNUMBER(MATCH(DATEVALUE($A345),'changes1_based on steps'!I$1:I$400,0)),I$2,)</f>
        <v>0</v>
      </c>
      <c r="J345" s="140">
        <f ca="1">IF(ISNUMBER(MATCH(DATEVALUE($A345),'changes1_based on steps'!J$1:J$400,0)),J$2,)</f>
        <v>0</v>
      </c>
      <c r="K345" s="140">
        <f ca="1">IF(ISNUMBER(MATCH(DATEVALUE($A345),'changes1_based on steps'!K$1:K$400,0)),K$2,)</f>
        <v>0</v>
      </c>
      <c r="L345" s="140">
        <f ca="1">IF(ISNUMBER(MATCH(DATEVALUE($A345),'changes1_based on steps'!L$1:L$400,0)),L$2,)</f>
        <v>0</v>
      </c>
      <c r="M345" s="140">
        <f ca="1">IF(ISNUMBER(MATCH(DATEVALUE($A345),'changes1_based on steps'!M$1:M$400,0)),M$2,)</f>
        <v>0</v>
      </c>
      <c r="N345" s="140">
        <f ca="1">IF(ISNUMBER(MATCH(DATEVALUE($A345),'changes1_based on steps'!N$1:N$400,0)),N$2,)</f>
        <v>0</v>
      </c>
      <c r="O345" s="140">
        <f ca="1">IF(ISNUMBER(MATCH(DATEVALUE($A345),'changes1_based on steps'!O$1:O$400,0)),O$2,)</f>
        <v>0</v>
      </c>
      <c r="P345" s="140">
        <f ca="1">IF(ISNUMBER(MATCH(DATEVALUE($A345),'changes1_based on steps'!P$1:P$400,0)),P$2,)</f>
        <v>0</v>
      </c>
      <c r="Q345" s="140">
        <f ca="1">IF(ISNUMBER(MATCH(DATEVALUE($A345),'changes1_based on steps'!Q$1:Q$400,0)),Q$2,)</f>
        <v>0</v>
      </c>
      <c r="R345" s="140">
        <f ca="1">IF(ISNUMBER(MATCH(DATEVALUE($A345),'changes1_based on steps'!R$1:R$400,0)),R$2,)</f>
        <v>0</v>
      </c>
      <c r="S345" s="140">
        <f ca="1">IF(ISNUMBER(MATCH(DATEVALUE($A345),'changes1_based on steps'!S$1:S$400,0)),S$2,)</f>
        <v>0</v>
      </c>
      <c r="T345" s="140">
        <f ca="1">IF(ISNUMBER(MATCH(DATEVALUE($A345),'changes1_based on steps'!T$1:T$400,0)),T$2,)</f>
        <v>0</v>
      </c>
      <c r="U345" s="140">
        <f ca="1">IF(ISNUMBER(MATCH(DATEVALUE($A345),'changes1_based on steps'!U$1:U$400,0)),U$2,)</f>
        <v>0</v>
      </c>
      <c r="V345" s="140"/>
      <c r="W345" s="140"/>
      <c r="X345" s="140"/>
      <c r="Y345" s="140"/>
      <c r="Z345" s="140"/>
      <c r="AA345" s="140"/>
      <c r="AB345" s="140"/>
      <c r="AC345" s="140"/>
      <c r="AD345" s="140"/>
      <c r="AE345" s="140"/>
      <c r="AF345" s="140"/>
      <c r="AG345" s="140"/>
      <c r="AH345" s="140"/>
      <c r="AI345" s="140"/>
      <c r="AJ345" s="140"/>
      <c r="AK345" s="140"/>
      <c r="AL345" s="140"/>
      <c r="AM345" s="140"/>
      <c r="AN345" s="140"/>
      <c r="AO345" s="140"/>
      <c r="AP345" s="140"/>
      <c r="AQ345" s="140"/>
      <c r="AR345" s="140"/>
      <c r="AS345" s="140"/>
      <c r="AT345" s="140"/>
      <c r="AU345" s="140"/>
      <c r="AV345" s="140"/>
      <c r="AW345" s="140"/>
      <c r="AX345" s="140"/>
      <c r="AY345" s="140"/>
      <c r="AZ345" s="140"/>
      <c r="BA345" s="140"/>
      <c r="BB345" s="140"/>
      <c r="BC345" s="140"/>
      <c r="BD345" s="140"/>
      <c r="BE345" s="140"/>
      <c r="BF345" s="140"/>
      <c r="BG345" s="140"/>
      <c r="BH345" s="140"/>
      <c r="BI345" s="140"/>
      <c r="BJ345" s="140"/>
      <c r="BK345" s="140"/>
      <c r="BL345" s="140"/>
      <c r="BM345" s="140"/>
      <c r="BN345" s="140"/>
      <c r="BO345" s="140"/>
      <c r="BP345" s="140"/>
      <c r="BQ345" s="140"/>
      <c r="BR345" s="140"/>
      <c r="BS345" s="140"/>
      <c r="BT345" s="140"/>
      <c r="BU345" s="140"/>
      <c r="BV345" s="140"/>
      <c r="BW345" s="140"/>
      <c r="BX345" s="140"/>
      <c r="BY345" s="140"/>
      <c r="BZ345" s="140"/>
      <c r="CA345" s="140"/>
      <c r="CB345" s="140"/>
      <c r="CC345" s="140"/>
      <c r="CD345" s="140"/>
      <c r="CE345" s="140"/>
      <c r="CF345" s="140"/>
      <c r="CG345" s="140"/>
      <c r="CH345" s="140"/>
      <c r="CI345" s="140"/>
      <c r="CJ345" s="140"/>
      <c r="CK345" s="140"/>
      <c r="CL345" s="140"/>
      <c r="CM345" s="140"/>
      <c r="CN345" s="140"/>
      <c r="CO345" s="140"/>
      <c r="CP345" s="140"/>
      <c r="CQ345" s="140"/>
      <c r="CR345" s="140"/>
      <c r="CS345" s="140"/>
      <c r="CT345" s="140"/>
      <c r="CU345" s="140"/>
      <c r="CV345" s="140"/>
      <c r="CW345" s="140"/>
    </row>
    <row r="346" spans="1:101" x14ac:dyDescent="0.2">
      <c r="A346" s="29" t="str">
        <f t="shared" ca="1" si="5"/>
        <v>2026-03-05</v>
      </c>
      <c r="B346" s="140">
        <f ca="1">IF(ISNUMBER(MATCH(DATEVALUE($A346),'changes1_based on steps'!B$1:B$400,0)),B$2,)</f>
        <v>0</v>
      </c>
      <c r="C346" s="140">
        <f ca="1">IF(ISNUMBER(MATCH(DATEVALUE($A346),'changes1_based on steps'!C$1:C$400,0)),C$2,)</f>
        <v>0</v>
      </c>
      <c r="D346" s="140">
        <f ca="1">IF(ISNUMBER(MATCH(DATEVALUE($A346),'changes1_based on steps'!D$1:D$400,0)),D$2,)</f>
        <v>0</v>
      </c>
      <c r="E346" s="140">
        <f ca="1">IF(ISNUMBER(MATCH(DATEVALUE($A346),'changes1_based on steps'!E$1:E$400,0)),E$2,)</f>
        <v>0</v>
      </c>
      <c r="F346" s="140">
        <f ca="1">IF(ISNUMBER(MATCH(DATEVALUE($A346),'changes1_based on steps'!F$1:F$400,0)),F$2,)</f>
        <v>0</v>
      </c>
      <c r="G346" s="140">
        <f ca="1">IF(ISNUMBER(MATCH(DATEVALUE($A346),'changes1_based on steps'!G$1:G$400,0)),G$2,)</f>
        <v>0</v>
      </c>
      <c r="H346" s="140">
        <f ca="1">IF(ISNUMBER(MATCH(DATEVALUE($A346),'changes1_based on steps'!H$1:H$400,0)),H$2,)</f>
        <v>0</v>
      </c>
      <c r="I346" s="140">
        <f ca="1">IF(ISNUMBER(MATCH(DATEVALUE($A346),'changes1_based on steps'!I$1:I$400,0)),I$2,)</f>
        <v>0</v>
      </c>
      <c r="J346" s="140">
        <f ca="1">IF(ISNUMBER(MATCH(DATEVALUE($A346),'changes1_based on steps'!J$1:J$400,0)),J$2,)</f>
        <v>0</v>
      </c>
      <c r="K346" s="140">
        <f ca="1">IF(ISNUMBER(MATCH(DATEVALUE($A346),'changes1_based on steps'!K$1:K$400,0)),K$2,)</f>
        <v>0</v>
      </c>
      <c r="L346" s="140">
        <f ca="1">IF(ISNUMBER(MATCH(DATEVALUE($A346),'changes1_based on steps'!L$1:L$400,0)),L$2,)</f>
        <v>0</v>
      </c>
      <c r="M346" s="140">
        <f ca="1">IF(ISNUMBER(MATCH(DATEVALUE($A346),'changes1_based on steps'!M$1:M$400,0)),M$2,)</f>
        <v>0</v>
      </c>
      <c r="N346" s="140">
        <f ca="1">IF(ISNUMBER(MATCH(DATEVALUE($A346),'changes1_based on steps'!N$1:N$400,0)),N$2,)</f>
        <v>0</v>
      </c>
      <c r="O346" s="140">
        <f ca="1">IF(ISNUMBER(MATCH(DATEVALUE($A346),'changes1_based on steps'!O$1:O$400,0)),O$2,)</f>
        <v>0</v>
      </c>
      <c r="P346" s="140">
        <f ca="1">IF(ISNUMBER(MATCH(DATEVALUE($A346),'changes1_based on steps'!P$1:P$400,0)),P$2,)</f>
        <v>0</v>
      </c>
      <c r="Q346" s="140">
        <f ca="1">IF(ISNUMBER(MATCH(DATEVALUE($A346),'changes1_based on steps'!Q$1:Q$400,0)),Q$2,)</f>
        <v>0</v>
      </c>
      <c r="R346" s="140">
        <f ca="1">IF(ISNUMBER(MATCH(DATEVALUE($A346),'changes1_based on steps'!R$1:R$400,0)),R$2,)</f>
        <v>0</v>
      </c>
      <c r="S346" s="140">
        <f ca="1">IF(ISNUMBER(MATCH(DATEVALUE($A346),'changes1_based on steps'!S$1:S$400,0)),S$2,)</f>
        <v>0</v>
      </c>
      <c r="T346" s="140">
        <f ca="1">IF(ISNUMBER(MATCH(DATEVALUE($A346),'changes1_based on steps'!T$1:T$400,0)),T$2,)</f>
        <v>0</v>
      </c>
      <c r="U346" s="140">
        <f ca="1">IF(ISNUMBER(MATCH(DATEVALUE($A346),'changes1_based on steps'!U$1:U$400,0)),U$2,)</f>
        <v>0</v>
      </c>
      <c r="V346" s="140"/>
      <c r="W346" s="140"/>
      <c r="X346" s="140"/>
      <c r="Y346" s="140"/>
      <c r="Z346" s="140"/>
      <c r="AA346" s="140"/>
      <c r="AB346" s="140"/>
      <c r="AC346" s="140"/>
      <c r="AD346" s="140"/>
      <c r="AE346" s="140"/>
      <c r="AF346" s="140"/>
      <c r="AG346" s="140"/>
      <c r="AH346" s="140"/>
      <c r="AI346" s="140"/>
      <c r="AJ346" s="140"/>
      <c r="AK346" s="140"/>
      <c r="AL346" s="140"/>
      <c r="AM346" s="140"/>
      <c r="AN346" s="140"/>
      <c r="AO346" s="140"/>
      <c r="AP346" s="140"/>
      <c r="AQ346" s="140"/>
      <c r="AR346" s="140"/>
      <c r="AS346" s="140"/>
      <c r="AT346" s="140"/>
      <c r="AU346" s="140"/>
      <c r="AV346" s="140"/>
      <c r="AW346" s="140"/>
      <c r="AX346" s="140"/>
      <c r="AY346" s="140"/>
      <c r="AZ346" s="140"/>
      <c r="BA346" s="140"/>
      <c r="BB346" s="140"/>
      <c r="BC346" s="140"/>
      <c r="BD346" s="140"/>
      <c r="BE346" s="140"/>
      <c r="BF346" s="140"/>
      <c r="BG346" s="140"/>
      <c r="BH346" s="140"/>
      <c r="BI346" s="140"/>
      <c r="BJ346" s="140"/>
      <c r="BK346" s="140"/>
      <c r="BL346" s="140"/>
      <c r="BM346" s="140"/>
      <c r="BN346" s="140"/>
      <c r="BO346" s="140"/>
      <c r="BP346" s="140"/>
      <c r="BQ346" s="140"/>
      <c r="BR346" s="140"/>
      <c r="BS346" s="140"/>
      <c r="BT346" s="140"/>
      <c r="BU346" s="140"/>
      <c r="BV346" s="140"/>
      <c r="BW346" s="140"/>
      <c r="BX346" s="140"/>
      <c r="BY346" s="140"/>
      <c r="BZ346" s="140"/>
      <c r="CA346" s="140"/>
      <c r="CB346" s="140"/>
      <c r="CC346" s="140"/>
      <c r="CD346" s="140"/>
      <c r="CE346" s="140"/>
      <c r="CF346" s="140"/>
      <c r="CG346" s="140"/>
      <c r="CH346" s="140"/>
      <c r="CI346" s="140"/>
      <c r="CJ346" s="140"/>
      <c r="CK346" s="140"/>
      <c r="CL346" s="140"/>
      <c r="CM346" s="140"/>
      <c r="CN346" s="140"/>
      <c r="CO346" s="140"/>
      <c r="CP346" s="140"/>
      <c r="CQ346" s="140"/>
      <c r="CR346" s="140"/>
      <c r="CS346" s="140"/>
      <c r="CT346" s="140"/>
      <c r="CU346" s="140"/>
      <c r="CV346" s="140"/>
      <c r="CW346" s="140"/>
    </row>
    <row r="347" spans="1:101" x14ac:dyDescent="0.2">
      <c r="A347" s="29" t="str">
        <f t="shared" ca="1" si="5"/>
        <v>2026-03-06</v>
      </c>
      <c r="B347" s="140">
        <f ca="1">IF(ISNUMBER(MATCH(DATEVALUE($A347),'changes1_based on steps'!B$1:B$400,0)),B$2,)</f>
        <v>0</v>
      </c>
      <c r="C347" s="140">
        <f ca="1">IF(ISNUMBER(MATCH(DATEVALUE($A347),'changes1_based on steps'!C$1:C$400,0)),C$2,)</f>
        <v>0</v>
      </c>
      <c r="D347" s="140">
        <f ca="1">IF(ISNUMBER(MATCH(DATEVALUE($A347),'changes1_based on steps'!D$1:D$400,0)),D$2,)</f>
        <v>0</v>
      </c>
      <c r="E347" s="140">
        <f ca="1">IF(ISNUMBER(MATCH(DATEVALUE($A347),'changes1_based on steps'!E$1:E$400,0)),E$2,)</f>
        <v>0</v>
      </c>
      <c r="F347" s="140">
        <f ca="1">IF(ISNUMBER(MATCH(DATEVALUE($A347),'changes1_based on steps'!F$1:F$400,0)),F$2,)</f>
        <v>0</v>
      </c>
      <c r="G347" s="140">
        <f ca="1">IF(ISNUMBER(MATCH(DATEVALUE($A347),'changes1_based on steps'!G$1:G$400,0)),G$2,)</f>
        <v>0</v>
      </c>
      <c r="H347" s="140">
        <f ca="1">IF(ISNUMBER(MATCH(DATEVALUE($A347),'changes1_based on steps'!H$1:H$400,0)),H$2,)</f>
        <v>0</v>
      </c>
      <c r="I347" s="140">
        <f ca="1">IF(ISNUMBER(MATCH(DATEVALUE($A347),'changes1_based on steps'!I$1:I$400,0)),I$2,)</f>
        <v>0</v>
      </c>
      <c r="J347" s="140">
        <f ca="1">IF(ISNUMBER(MATCH(DATEVALUE($A347),'changes1_based on steps'!J$1:J$400,0)),J$2,)</f>
        <v>0</v>
      </c>
      <c r="K347" s="140">
        <f ca="1">IF(ISNUMBER(MATCH(DATEVALUE($A347),'changes1_based on steps'!K$1:K$400,0)),K$2,)</f>
        <v>0</v>
      </c>
      <c r="L347" s="140">
        <f ca="1">IF(ISNUMBER(MATCH(DATEVALUE($A347),'changes1_based on steps'!L$1:L$400,0)),L$2,)</f>
        <v>0</v>
      </c>
      <c r="M347" s="140">
        <f ca="1">IF(ISNUMBER(MATCH(DATEVALUE($A347),'changes1_based on steps'!M$1:M$400,0)),M$2,)</f>
        <v>0</v>
      </c>
      <c r="N347" s="140">
        <f ca="1">IF(ISNUMBER(MATCH(DATEVALUE($A347),'changes1_based on steps'!N$1:N$400,0)),N$2,)</f>
        <v>0</v>
      </c>
      <c r="O347" s="140">
        <f ca="1">IF(ISNUMBER(MATCH(DATEVALUE($A347),'changes1_based on steps'!O$1:O$400,0)),O$2,)</f>
        <v>0</v>
      </c>
      <c r="P347" s="140">
        <f ca="1">IF(ISNUMBER(MATCH(DATEVALUE($A347),'changes1_based on steps'!P$1:P$400,0)),P$2,)</f>
        <v>0</v>
      </c>
      <c r="Q347" s="140">
        <f ca="1">IF(ISNUMBER(MATCH(DATEVALUE($A347),'changes1_based on steps'!Q$1:Q$400,0)),Q$2,)</f>
        <v>0</v>
      </c>
      <c r="R347" s="140">
        <f ca="1">IF(ISNUMBER(MATCH(DATEVALUE($A347),'changes1_based on steps'!R$1:R$400,0)),R$2,)</f>
        <v>0</v>
      </c>
      <c r="S347" s="140">
        <f ca="1">IF(ISNUMBER(MATCH(DATEVALUE($A347),'changes1_based on steps'!S$1:S$400,0)),S$2,)</f>
        <v>0</v>
      </c>
      <c r="T347" s="140">
        <f ca="1">IF(ISNUMBER(MATCH(DATEVALUE($A347),'changes1_based on steps'!T$1:T$400,0)),T$2,)</f>
        <v>0</v>
      </c>
      <c r="U347" s="140">
        <f ca="1">IF(ISNUMBER(MATCH(DATEVALUE($A347),'changes1_based on steps'!U$1:U$400,0)),U$2,)</f>
        <v>0</v>
      </c>
      <c r="V347" s="140"/>
      <c r="W347" s="140"/>
      <c r="X347" s="140"/>
      <c r="Y347" s="140"/>
      <c r="Z347" s="140"/>
      <c r="AA347" s="140"/>
      <c r="AB347" s="140"/>
      <c r="AC347" s="140"/>
      <c r="AD347" s="140"/>
      <c r="AE347" s="140"/>
      <c r="AF347" s="140"/>
      <c r="AG347" s="140"/>
      <c r="AH347" s="140"/>
      <c r="AI347" s="140"/>
      <c r="AJ347" s="140"/>
      <c r="AK347" s="140"/>
      <c r="AL347" s="140"/>
      <c r="AM347" s="140"/>
      <c r="AN347" s="140"/>
      <c r="AO347" s="140"/>
      <c r="AP347" s="140"/>
      <c r="AQ347" s="140"/>
      <c r="AR347" s="140"/>
      <c r="AS347" s="140"/>
      <c r="AT347" s="140"/>
      <c r="AU347" s="140"/>
      <c r="AV347" s="140"/>
      <c r="AW347" s="140"/>
      <c r="AX347" s="140"/>
      <c r="AY347" s="140"/>
      <c r="AZ347" s="140"/>
      <c r="BA347" s="140"/>
      <c r="BB347" s="140"/>
      <c r="BC347" s="140"/>
      <c r="BD347" s="140"/>
      <c r="BE347" s="140"/>
      <c r="BF347" s="140"/>
      <c r="BG347" s="140"/>
      <c r="BH347" s="140"/>
      <c r="BI347" s="140"/>
      <c r="BJ347" s="140"/>
      <c r="BK347" s="140"/>
      <c r="BL347" s="140"/>
      <c r="BM347" s="140"/>
      <c r="BN347" s="140"/>
      <c r="BO347" s="140"/>
      <c r="BP347" s="140"/>
      <c r="BQ347" s="140"/>
      <c r="BR347" s="140"/>
      <c r="BS347" s="140"/>
      <c r="BT347" s="140"/>
      <c r="BU347" s="140"/>
      <c r="BV347" s="140"/>
      <c r="BW347" s="140"/>
      <c r="BX347" s="140"/>
      <c r="BY347" s="140"/>
      <c r="BZ347" s="140"/>
      <c r="CA347" s="140"/>
      <c r="CB347" s="140"/>
      <c r="CC347" s="140"/>
      <c r="CD347" s="140"/>
      <c r="CE347" s="140"/>
      <c r="CF347" s="140"/>
      <c r="CG347" s="140"/>
      <c r="CH347" s="140"/>
      <c r="CI347" s="140"/>
      <c r="CJ347" s="140"/>
      <c r="CK347" s="140"/>
      <c r="CL347" s="140"/>
      <c r="CM347" s="140"/>
      <c r="CN347" s="140"/>
      <c r="CO347" s="140"/>
      <c r="CP347" s="140"/>
      <c r="CQ347" s="140"/>
      <c r="CR347" s="140"/>
      <c r="CS347" s="140"/>
      <c r="CT347" s="140"/>
      <c r="CU347" s="140"/>
      <c r="CV347" s="140"/>
      <c r="CW347" s="140"/>
    </row>
    <row r="348" spans="1:101" x14ac:dyDescent="0.2">
      <c r="A348" s="29" t="str">
        <f t="shared" ca="1" si="5"/>
        <v>2026-03-07</v>
      </c>
      <c r="B348" s="140">
        <f ca="1">IF(ISNUMBER(MATCH(DATEVALUE($A348),'changes1_based on steps'!B$1:B$400,0)),B$2,)</f>
        <v>0</v>
      </c>
      <c r="C348" s="140">
        <f ca="1">IF(ISNUMBER(MATCH(DATEVALUE($A348),'changes1_based on steps'!C$1:C$400,0)),C$2,)</f>
        <v>0</v>
      </c>
      <c r="D348" s="140">
        <f ca="1">IF(ISNUMBER(MATCH(DATEVALUE($A348),'changes1_based on steps'!D$1:D$400,0)),D$2,)</f>
        <v>0</v>
      </c>
      <c r="E348" s="140">
        <f ca="1">IF(ISNUMBER(MATCH(DATEVALUE($A348),'changes1_based on steps'!E$1:E$400,0)),E$2,)</f>
        <v>0</v>
      </c>
      <c r="F348" s="140">
        <f ca="1">IF(ISNUMBER(MATCH(DATEVALUE($A348),'changes1_based on steps'!F$1:F$400,0)),F$2,)</f>
        <v>0</v>
      </c>
      <c r="G348" s="140">
        <f ca="1">IF(ISNUMBER(MATCH(DATEVALUE($A348),'changes1_based on steps'!G$1:G$400,0)),G$2,)</f>
        <v>0</v>
      </c>
      <c r="H348" s="140">
        <f ca="1">IF(ISNUMBER(MATCH(DATEVALUE($A348),'changes1_based on steps'!H$1:H$400,0)),H$2,)</f>
        <v>0</v>
      </c>
      <c r="I348" s="140">
        <f ca="1">IF(ISNUMBER(MATCH(DATEVALUE($A348),'changes1_based on steps'!I$1:I$400,0)),I$2,)</f>
        <v>0</v>
      </c>
      <c r="J348" s="140">
        <f ca="1">IF(ISNUMBER(MATCH(DATEVALUE($A348),'changes1_based on steps'!J$1:J$400,0)),J$2,)</f>
        <v>0</v>
      </c>
      <c r="K348" s="140">
        <f ca="1">IF(ISNUMBER(MATCH(DATEVALUE($A348),'changes1_based on steps'!K$1:K$400,0)),K$2,)</f>
        <v>0</v>
      </c>
      <c r="L348" s="140">
        <f ca="1">IF(ISNUMBER(MATCH(DATEVALUE($A348),'changes1_based on steps'!L$1:L$400,0)),L$2,)</f>
        <v>0</v>
      </c>
      <c r="M348" s="140">
        <f ca="1">IF(ISNUMBER(MATCH(DATEVALUE($A348),'changes1_based on steps'!M$1:M$400,0)),M$2,)</f>
        <v>0</v>
      </c>
      <c r="N348" s="140">
        <f ca="1">IF(ISNUMBER(MATCH(DATEVALUE($A348),'changes1_based on steps'!N$1:N$400,0)),N$2,)</f>
        <v>0</v>
      </c>
      <c r="O348" s="140">
        <f ca="1">IF(ISNUMBER(MATCH(DATEVALUE($A348),'changes1_based on steps'!O$1:O$400,0)),O$2,)</f>
        <v>0</v>
      </c>
      <c r="P348" s="140">
        <f ca="1">IF(ISNUMBER(MATCH(DATEVALUE($A348),'changes1_based on steps'!P$1:P$400,0)),P$2,)</f>
        <v>0</v>
      </c>
      <c r="Q348" s="140">
        <f ca="1">IF(ISNUMBER(MATCH(DATEVALUE($A348),'changes1_based on steps'!Q$1:Q$400,0)),Q$2,)</f>
        <v>0</v>
      </c>
      <c r="R348" s="140">
        <f ca="1">IF(ISNUMBER(MATCH(DATEVALUE($A348),'changes1_based on steps'!R$1:R$400,0)),R$2,)</f>
        <v>0</v>
      </c>
      <c r="S348" s="140">
        <f ca="1">IF(ISNUMBER(MATCH(DATEVALUE($A348),'changes1_based on steps'!S$1:S$400,0)),S$2,)</f>
        <v>0</v>
      </c>
      <c r="T348" s="140">
        <f ca="1">IF(ISNUMBER(MATCH(DATEVALUE($A348),'changes1_based on steps'!T$1:T$400,0)),T$2,)</f>
        <v>0</v>
      </c>
      <c r="U348" s="140">
        <f ca="1">IF(ISNUMBER(MATCH(DATEVALUE($A348),'changes1_based on steps'!U$1:U$400,0)),U$2,)</f>
        <v>0</v>
      </c>
      <c r="V348" s="140"/>
      <c r="W348" s="140"/>
      <c r="X348" s="140"/>
      <c r="Y348" s="140"/>
      <c r="Z348" s="140"/>
      <c r="AA348" s="140"/>
      <c r="AB348" s="140"/>
      <c r="AC348" s="140"/>
      <c r="AD348" s="140"/>
      <c r="AE348" s="140"/>
      <c r="AF348" s="140"/>
      <c r="AG348" s="140"/>
      <c r="AH348" s="140"/>
      <c r="AI348" s="140"/>
      <c r="AJ348" s="140"/>
      <c r="AK348" s="140"/>
      <c r="AL348" s="140"/>
      <c r="AM348" s="140"/>
      <c r="AN348" s="140"/>
      <c r="AO348" s="140"/>
      <c r="AP348" s="140"/>
      <c r="AQ348" s="140"/>
      <c r="AR348" s="140"/>
      <c r="AS348" s="140"/>
      <c r="AT348" s="140"/>
      <c r="AU348" s="140"/>
      <c r="AV348" s="140"/>
      <c r="AW348" s="140"/>
      <c r="AX348" s="140"/>
      <c r="AY348" s="140"/>
      <c r="AZ348" s="140"/>
      <c r="BA348" s="140"/>
      <c r="BB348" s="140"/>
      <c r="BC348" s="140"/>
      <c r="BD348" s="140"/>
      <c r="BE348" s="140"/>
      <c r="BF348" s="140"/>
      <c r="BG348" s="140"/>
      <c r="BH348" s="140"/>
      <c r="BI348" s="140"/>
      <c r="BJ348" s="140"/>
      <c r="BK348" s="140"/>
      <c r="BL348" s="140"/>
      <c r="BM348" s="140"/>
      <c r="BN348" s="140"/>
      <c r="BO348" s="140"/>
      <c r="BP348" s="140"/>
      <c r="BQ348" s="140"/>
      <c r="BR348" s="140"/>
      <c r="BS348" s="140"/>
      <c r="BT348" s="140"/>
      <c r="BU348" s="140"/>
      <c r="BV348" s="140"/>
      <c r="BW348" s="140"/>
      <c r="BX348" s="140"/>
      <c r="BY348" s="140"/>
      <c r="BZ348" s="140"/>
      <c r="CA348" s="140"/>
      <c r="CB348" s="140"/>
      <c r="CC348" s="140"/>
      <c r="CD348" s="140"/>
      <c r="CE348" s="140"/>
      <c r="CF348" s="140"/>
      <c r="CG348" s="140"/>
      <c r="CH348" s="140"/>
      <c r="CI348" s="140"/>
      <c r="CJ348" s="140"/>
      <c r="CK348" s="140"/>
      <c r="CL348" s="140"/>
      <c r="CM348" s="140"/>
      <c r="CN348" s="140"/>
      <c r="CO348" s="140"/>
      <c r="CP348" s="140"/>
      <c r="CQ348" s="140"/>
      <c r="CR348" s="140"/>
      <c r="CS348" s="140"/>
      <c r="CT348" s="140"/>
      <c r="CU348" s="140"/>
      <c r="CV348" s="140"/>
      <c r="CW348" s="140"/>
    </row>
    <row r="349" spans="1:101" x14ac:dyDescent="0.2">
      <c r="A349" s="29" t="str">
        <f t="shared" ca="1" si="5"/>
        <v>2026-03-08</v>
      </c>
      <c r="B349" s="140">
        <f ca="1">IF(ISNUMBER(MATCH(DATEVALUE($A349),'changes1_based on steps'!B$1:B$400,0)),B$2,)</f>
        <v>0</v>
      </c>
      <c r="C349" s="140">
        <f ca="1">IF(ISNUMBER(MATCH(DATEVALUE($A349),'changes1_based on steps'!C$1:C$400,0)),C$2,)</f>
        <v>0</v>
      </c>
      <c r="D349" s="140">
        <f ca="1">IF(ISNUMBER(MATCH(DATEVALUE($A349),'changes1_based on steps'!D$1:D$400,0)),D$2,)</f>
        <v>0</v>
      </c>
      <c r="E349" s="140">
        <f ca="1">IF(ISNUMBER(MATCH(DATEVALUE($A349),'changes1_based on steps'!E$1:E$400,0)),E$2,)</f>
        <v>0</v>
      </c>
      <c r="F349" s="140">
        <f ca="1">IF(ISNUMBER(MATCH(DATEVALUE($A349),'changes1_based on steps'!F$1:F$400,0)),F$2,)</f>
        <v>0</v>
      </c>
      <c r="G349" s="140">
        <f ca="1">IF(ISNUMBER(MATCH(DATEVALUE($A349),'changes1_based on steps'!G$1:G$400,0)),G$2,)</f>
        <v>0</v>
      </c>
      <c r="H349" s="140">
        <f ca="1">IF(ISNUMBER(MATCH(DATEVALUE($A349),'changes1_based on steps'!H$1:H$400,0)),H$2,)</f>
        <v>0</v>
      </c>
      <c r="I349" s="140">
        <f ca="1">IF(ISNUMBER(MATCH(DATEVALUE($A349),'changes1_based on steps'!I$1:I$400,0)),I$2,)</f>
        <v>0</v>
      </c>
      <c r="J349" s="140">
        <f ca="1">IF(ISNUMBER(MATCH(DATEVALUE($A349),'changes1_based on steps'!J$1:J$400,0)),J$2,)</f>
        <v>0</v>
      </c>
      <c r="K349" s="140">
        <f ca="1">IF(ISNUMBER(MATCH(DATEVALUE($A349),'changes1_based on steps'!K$1:K$400,0)),K$2,)</f>
        <v>0</v>
      </c>
      <c r="L349" s="140">
        <f ca="1">IF(ISNUMBER(MATCH(DATEVALUE($A349),'changes1_based on steps'!L$1:L$400,0)),L$2,)</f>
        <v>0</v>
      </c>
      <c r="M349" s="140">
        <f ca="1">IF(ISNUMBER(MATCH(DATEVALUE($A349),'changes1_based on steps'!M$1:M$400,0)),M$2,)</f>
        <v>0</v>
      </c>
      <c r="N349" s="140">
        <f ca="1">IF(ISNUMBER(MATCH(DATEVALUE($A349),'changes1_based on steps'!N$1:N$400,0)),N$2,)</f>
        <v>0</v>
      </c>
      <c r="O349" s="140">
        <f ca="1">IF(ISNUMBER(MATCH(DATEVALUE($A349),'changes1_based on steps'!O$1:O$400,0)),O$2,)</f>
        <v>0</v>
      </c>
      <c r="P349" s="140">
        <f ca="1">IF(ISNUMBER(MATCH(DATEVALUE($A349),'changes1_based on steps'!P$1:P$400,0)),P$2,)</f>
        <v>0</v>
      </c>
      <c r="Q349" s="140">
        <f ca="1">IF(ISNUMBER(MATCH(DATEVALUE($A349),'changes1_based on steps'!Q$1:Q$400,0)),Q$2,)</f>
        <v>0</v>
      </c>
      <c r="R349" s="140">
        <f ca="1">IF(ISNUMBER(MATCH(DATEVALUE($A349),'changes1_based on steps'!R$1:R$400,0)),R$2,)</f>
        <v>0</v>
      </c>
      <c r="S349" s="140">
        <f ca="1">IF(ISNUMBER(MATCH(DATEVALUE($A349),'changes1_based on steps'!S$1:S$400,0)),S$2,)</f>
        <v>0</v>
      </c>
      <c r="T349" s="140">
        <f ca="1">IF(ISNUMBER(MATCH(DATEVALUE($A349),'changes1_based on steps'!T$1:T$400,0)),T$2,)</f>
        <v>0</v>
      </c>
      <c r="U349" s="140">
        <f ca="1">IF(ISNUMBER(MATCH(DATEVALUE($A349),'changes1_based on steps'!U$1:U$400,0)),U$2,)</f>
        <v>0</v>
      </c>
      <c r="V349" s="140"/>
      <c r="W349" s="140"/>
      <c r="X349" s="140"/>
      <c r="Y349" s="140"/>
      <c r="Z349" s="140"/>
      <c r="AA349" s="140"/>
      <c r="AB349" s="140"/>
      <c r="AC349" s="140"/>
      <c r="AD349" s="140"/>
      <c r="AE349" s="140"/>
      <c r="AF349" s="140"/>
      <c r="AG349" s="140"/>
      <c r="AH349" s="140"/>
      <c r="AI349" s="140"/>
      <c r="AJ349" s="140"/>
      <c r="AK349" s="140"/>
      <c r="AL349" s="140"/>
      <c r="AM349" s="140"/>
      <c r="AN349" s="140"/>
      <c r="AO349" s="140"/>
      <c r="AP349" s="140"/>
      <c r="AQ349" s="140"/>
      <c r="AR349" s="140"/>
      <c r="AS349" s="140"/>
      <c r="AT349" s="140"/>
      <c r="AU349" s="140"/>
      <c r="AV349" s="140"/>
      <c r="AW349" s="140"/>
      <c r="AX349" s="140"/>
      <c r="AY349" s="140"/>
      <c r="AZ349" s="140"/>
      <c r="BA349" s="140"/>
      <c r="BB349" s="140"/>
      <c r="BC349" s="140"/>
      <c r="BD349" s="140"/>
      <c r="BE349" s="140"/>
      <c r="BF349" s="140"/>
      <c r="BG349" s="140"/>
      <c r="BH349" s="140"/>
      <c r="BI349" s="140"/>
      <c r="BJ349" s="140"/>
      <c r="BK349" s="140"/>
      <c r="BL349" s="140"/>
      <c r="BM349" s="140"/>
      <c r="BN349" s="140"/>
      <c r="BO349" s="140"/>
      <c r="BP349" s="140"/>
      <c r="BQ349" s="140"/>
      <c r="BR349" s="140"/>
      <c r="BS349" s="140"/>
      <c r="BT349" s="140"/>
      <c r="BU349" s="140"/>
      <c r="BV349" s="140"/>
      <c r="BW349" s="140"/>
      <c r="BX349" s="140"/>
      <c r="BY349" s="140"/>
      <c r="BZ349" s="140"/>
      <c r="CA349" s="140"/>
      <c r="CB349" s="140"/>
      <c r="CC349" s="140"/>
      <c r="CD349" s="140"/>
      <c r="CE349" s="140"/>
      <c r="CF349" s="140"/>
      <c r="CG349" s="140"/>
      <c r="CH349" s="140"/>
      <c r="CI349" s="140"/>
      <c r="CJ349" s="140"/>
      <c r="CK349" s="140"/>
      <c r="CL349" s="140"/>
      <c r="CM349" s="140"/>
      <c r="CN349" s="140"/>
      <c r="CO349" s="140"/>
      <c r="CP349" s="140"/>
      <c r="CQ349" s="140"/>
      <c r="CR349" s="140"/>
      <c r="CS349" s="140"/>
      <c r="CT349" s="140"/>
      <c r="CU349" s="140"/>
      <c r="CV349" s="140"/>
      <c r="CW349" s="140"/>
    </row>
    <row r="350" spans="1:101" x14ac:dyDescent="0.2">
      <c r="A350" s="29" t="str">
        <f t="shared" ca="1" si="5"/>
        <v>2026-03-09</v>
      </c>
      <c r="B350" s="140">
        <f ca="1">IF(ISNUMBER(MATCH(DATEVALUE($A350),'changes1_based on steps'!B$1:B$400,0)),B$2,)</f>
        <v>0</v>
      </c>
      <c r="C350" s="140">
        <f ca="1">IF(ISNUMBER(MATCH(DATEVALUE($A350),'changes1_based on steps'!C$1:C$400,0)),C$2,)</f>
        <v>0</v>
      </c>
      <c r="D350" s="140">
        <f ca="1">IF(ISNUMBER(MATCH(DATEVALUE($A350),'changes1_based on steps'!D$1:D$400,0)),D$2,)</f>
        <v>0</v>
      </c>
      <c r="E350" s="140">
        <f ca="1">IF(ISNUMBER(MATCH(DATEVALUE($A350),'changes1_based on steps'!E$1:E$400,0)),E$2,)</f>
        <v>0</v>
      </c>
      <c r="F350" s="140">
        <f ca="1">IF(ISNUMBER(MATCH(DATEVALUE($A350),'changes1_based on steps'!F$1:F$400,0)),F$2,)</f>
        <v>0</v>
      </c>
      <c r="G350" s="140">
        <f ca="1">IF(ISNUMBER(MATCH(DATEVALUE($A350),'changes1_based on steps'!G$1:G$400,0)),G$2,)</f>
        <v>0</v>
      </c>
      <c r="H350" s="140">
        <f ca="1">IF(ISNUMBER(MATCH(DATEVALUE($A350),'changes1_based on steps'!H$1:H$400,0)),H$2,)</f>
        <v>0</v>
      </c>
      <c r="I350" s="140">
        <f ca="1">IF(ISNUMBER(MATCH(DATEVALUE($A350),'changes1_based on steps'!I$1:I$400,0)),I$2,)</f>
        <v>0</v>
      </c>
      <c r="J350" s="140">
        <f ca="1">IF(ISNUMBER(MATCH(DATEVALUE($A350),'changes1_based on steps'!J$1:J$400,0)),J$2,)</f>
        <v>0</v>
      </c>
      <c r="K350" s="140">
        <f ca="1">IF(ISNUMBER(MATCH(DATEVALUE($A350),'changes1_based on steps'!K$1:K$400,0)),K$2,)</f>
        <v>0</v>
      </c>
      <c r="L350" s="140">
        <f ca="1">IF(ISNUMBER(MATCH(DATEVALUE($A350),'changes1_based on steps'!L$1:L$400,0)),L$2,)</f>
        <v>0</v>
      </c>
      <c r="M350" s="140">
        <f ca="1">IF(ISNUMBER(MATCH(DATEVALUE($A350),'changes1_based on steps'!M$1:M$400,0)),M$2,)</f>
        <v>0</v>
      </c>
      <c r="N350" s="140">
        <f ca="1">IF(ISNUMBER(MATCH(DATEVALUE($A350),'changes1_based on steps'!N$1:N$400,0)),N$2,)</f>
        <v>0</v>
      </c>
      <c r="O350" s="140">
        <f ca="1">IF(ISNUMBER(MATCH(DATEVALUE($A350),'changes1_based on steps'!O$1:O$400,0)),O$2,)</f>
        <v>0</v>
      </c>
      <c r="P350" s="140">
        <f ca="1">IF(ISNUMBER(MATCH(DATEVALUE($A350),'changes1_based on steps'!P$1:P$400,0)),P$2,)</f>
        <v>0</v>
      </c>
      <c r="Q350" s="140">
        <f ca="1">IF(ISNUMBER(MATCH(DATEVALUE($A350),'changes1_based on steps'!Q$1:Q$400,0)),Q$2,)</f>
        <v>0</v>
      </c>
      <c r="R350" s="140">
        <f ca="1">IF(ISNUMBER(MATCH(DATEVALUE($A350),'changes1_based on steps'!R$1:R$400,0)),R$2,)</f>
        <v>0</v>
      </c>
      <c r="S350" s="140">
        <f ca="1">IF(ISNUMBER(MATCH(DATEVALUE($A350),'changes1_based on steps'!S$1:S$400,0)),S$2,)</f>
        <v>0</v>
      </c>
      <c r="T350" s="140">
        <f ca="1">IF(ISNUMBER(MATCH(DATEVALUE($A350),'changes1_based on steps'!T$1:T$400,0)),T$2,)</f>
        <v>0</v>
      </c>
      <c r="U350" s="140">
        <f ca="1">IF(ISNUMBER(MATCH(DATEVALUE($A350),'changes1_based on steps'!U$1:U$400,0)),U$2,)</f>
        <v>0</v>
      </c>
      <c r="V350" s="140"/>
      <c r="W350" s="140"/>
      <c r="X350" s="140"/>
      <c r="Y350" s="140"/>
      <c r="Z350" s="140"/>
      <c r="AA350" s="140"/>
      <c r="AB350" s="140"/>
      <c r="AC350" s="140"/>
      <c r="AD350" s="140"/>
      <c r="AE350" s="140"/>
      <c r="AF350" s="140"/>
      <c r="AG350" s="140"/>
      <c r="AH350" s="140"/>
      <c r="AI350" s="140"/>
      <c r="AJ350" s="140"/>
      <c r="AK350" s="140"/>
      <c r="AL350" s="140"/>
      <c r="AM350" s="140"/>
      <c r="AN350" s="140"/>
      <c r="AO350" s="140"/>
      <c r="AP350" s="140"/>
      <c r="AQ350" s="140"/>
      <c r="AR350" s="140"/>
      <c r="AS350" s="140"/>
      <c r="AT350" s="140"/>
      <c r="AU350" s="140"/>
      <c r="AV350" s="140"/>
      <c r="AW350" s="140"/>
      <c r="AX350" s="140"/>
      <c r="AY350" s="140"/>
      <c r="AZ350" s="140"/>
      <c r="BA350" s="140"/>
      <c r="BB350" s="140"/>
      <c r="BC350" s="140"/>
      <c r="BD350" s="140"/>
      <c r="BE350" s="140"/>
      <c r="BF350" s="140"/>
      <c r="BG350" s="140"/>
      <c r="BH350" s="140"/>
      <c r="BI350" s="140"/>
      <c r="BJ350" s="140"/>
      <c r="BK350" s="140"/>
      <c r="BL350" s="140"/>
      <c r="BM350" s="140"/>
      <c r="BN350" s="140"/>
      <c r="BO350" s="140"/>
      <c r="BP350" s="140"/>
      <c r="BQ350" s="140"/>
      <c r="BR350" s="140"/>
      <c r="BS350" s="140"/>
      <c r="BT350" s="140"/>
      <c r="BU350" s="140"/>
      <c r="BV350" s="140"/>
      <c r="BW350" s="140"/>
      <c r="BX350" s="140"/>
      <c r="BY350" s="140"/>
      <c r="BZ350" s="140"/>
      <c r="CA350" s="140"/>
      <c r="CB350" s="140"/>
      <c r="CC350" s="140"/>
      <c r="CD350" s="140"/>
      <c r="CE350" s="140"/>
      <c r="CF350" s="140"/>
      <c r="CG350" s="140"/>
      <c r="CH350" s="140"/>
      <c r="CI350" s="140"/>
      <c r="CJ350" s="140"/>
      <c r="CK350" s="140"/>
      <c r="CL350" s="140"/>
      <c r="CM350" s="140"/>
      <c r="CN350" s="140"/>
      <c r="CO350" s="140"/>
      <c r="CP350" s="140"/>
      <c r="CQ350" s="140"/>
      <c r="CR350" s="140"/>
      <c r="CS350" s="140"/>
      <c r="CT350" s="140"/>
      <c r="CU350" s="140"/>
      <c r="CV350" s="140"/>
      <c r="CW350" s="140"/>
    </row>
    <row r="351" spans="1:101" x14ac:dyDescent="0.2">
      <c r="A351" s="29" t="str">
        <f t="shared" ca="1" si="5"/>
        <v>2026-03-10</v>
      </c>
      <c r="B351" s="140">
        <f ca="1">IF(ISNUMBER(MATCH(DATEVALUE($A351),'changes1_based on steps'!B$1:B$400,0)),B$2,)</f>
        <v>0</v>
      </c>
      <c r="C351" s="140">
        <f ca="1">IF(ISNUMBER(MATCH(DATEVALUE($A351),'changes1_based on steps'!C$1:C$400,0)),C$2,)</f>
        <v>0</v>
      </c>
      <c r="D351" s="140">
        <f ca="1">IF(ISNUMBER(MATCH(DATEVALUE($A351),'changes1_based on steps'!D$1:D$400,0)),D$2,)</f>
        <v>0</v>
      </c>
      <c r="E351" s="140">
        <f ca="1">IF(ISNUMBER(MATCH(DATEVALUE($A351),'changes1_based on steps'!E$1:E$400,0)),E$2,)</f>
        <v>0</v>
      </c>
      <c r="F351" s="140">
        <f ca="1">IF(ISNUMBER(MATCH(DATEVALUE($A351),'changes1_based on steps'!F$1:F$400,0)),F$2,)</f>
        <v>0</v>
      </c>
      <c r="G351" s="140">
        <f ca="1">IF(ISNUMBER(MATCH(DATEVALUE($A351),'changes1_based on steps'!G$1:G$400,0)),G$2,)</f>
        <v>0</v>
      </c>
      <c r="H351" s="140">
        <f ca="1">IF(ISNUMBER(MATCH(DATEVALUE($A351),'changes1_based on steps'!H$1:H$400,0)),H$2,)</f>
        <v>0</v>
      </c>
      <c r="I351" s="140">
        <f ca="1">IF(ISNUMBER(MATCH(DATEVALUE($A351),'changes1_based on steps'!I$1:I$400,0)),I$2,)</f>
        <v>0</v>
      </c>
      <c r="J351" s="140">
        <f ca="1">IF(ISNUMBER(MATCH(DATEVALUE($A351),'changes1_based on steps'!J$1:J$400,0)),J$2,)</f>
        <v>0</v>
      </c>
      <c r="K351" s="140">
        <f ca="1">IF(ISNUMBER(MATCH(DATEVALUE($A351),'changes1_based on steps'!K$1:K$400,0)),K$2,)</f>
        <v>0</v>
      </c>
      <c r="L351" s="140">
        <f ca="1">IF(ISNUMBER(MATCH(DATEVALUE($A351),'changes1_based on steps'!L$1:L$400,0)),L$2,)</f>
        <v>0</v>
      </c>
      <c r="M351" s="140">
        <f ca="1">IF(ISNUMBER(MATCH(DATEVALUE($A351),'changes1_based on steps'!M$1:M$400,0)),M$2,)</f>
        <v>0</v>
      </c>
      <c r="N351" s="140">
        <f ca="1">IF(ISNUMBER(MATCH(DATEVALUE($A351),'changes1_based on steps'!N$1:N$400,0)),N$2,)</f>
        <v>0</v>
      </c>
      <c r="O351" s="140">
        <f ca="1">IF(ISNUMBER(MATCH(DATEVALUE($A351),'changes1_based on steps'!O$1:O$400,0)),O$2,)</f>
        <v>0</v>
      </c>
      <c r="P351" s="140">
        <f ca="1">IF(ISNUMBER(MATCH(DATEVALUE($A351),'changes1_based on steps'!P$1:P$400,0)),P$2,)</f>
        <v>0</v>
      </c>
      <c r="Q351" s="140">
        <f ca="1">IF(ISNUMBER(MATCH(DATEVALUE($A351),'changes1_based on steps'!Q$1:Q$400,0)),Q$2,)</f>
        <v>0</v>
      </c>
      <c r="R351" s="140">
        <f ca="1">IF(ISNUMBER(MATCH(DATEVALUE($A351),'changes1_based on steps'!R$1:R$400,0)),R$2,)</f>
        <v>0</v>
      </c>
      <c r="S351" s="140">
        <f ca="1">IF(ISNUMBER(MATCH(DATEVALUE($A351),'changes1_based on steps'!S$1:S$400,0)),S$2,)</f>
        <v>0</v>
      </c>
      <c r="T351" s="140">
        <f ca="1">IF(ISNUMBER(MATCH(DATEVALUE($A351),'changes1_based on steps'!T$1:T$400,0)),T$2,)</f>
        <v>0</v>
      </c>
      <c r="U351" s="140">
        <f ca="1">IF(ISNUMBER(MATCH(DATEVALUE($A351),'changes1_based on steps'!U$1:U$400,0)),U$2,)</f>
        <v>0</v>
      </c>
      <c r="V351" s="140"/>
      <c r="W351" s="140"/>
      <c r="X351" s="140"/>
      <c r="Y351" s="140"/>
      <c r="Z351" s="140"/>
      <c r="AA351" s="140"/>
      <c r="AB351" s="140"/>
      <c r="AC351" s="140"/>
      <c r="AD351" s="140"/>
      <c r="AE351" s="140"/>
      <c r="AF351" s="140"/>
      <c r="AG351" s="140"/>
      <c r="AH351" s="140"/>
      <c r="AI351" s="140"/>
      <c r="AJ351" s="140"/>
      <c r="AK351" s="140"/>
      <c r="AL351" s="140"/>
      <c r="AM351" s="140"/>
      <c r="AN351" s="140"/>
      <c r="AO351" s="140"/>
      <c r="AP351" s="140"/>
      <c r="AQ351" s="140"/>
      <c r="AR351" s="140"/>
      <c r="AS351" s="140"/>
      <c r="AT351" s="140"/>
      <c r="AU351" s="140"/>
      <c r="AV351" s="140"/>
      <c r="AW351" s="140"/>
      <c r="AX351" s="140"/>
      <c r="AY351" s="140"/>
      <c r="AZ351" s="140"/>
      <c r="BA351" s="140"/>
      <c r="BB351" s="140"/>
      <c r="BC351" s="140"/>
      <c r="BD351" s="140"/>
      <c r="BE351" s="140"/>
      <c r="BF351" s="140"/>
      <c r="BG351" s="140"/>
      <c r="BH351" s="140"/>
      <c r="BI351" s="140"/>
      <c r="BJ351" s="140"/>
      <c r="BK351" s="140"/>
      <c r="BL351" s="140"/>
      <c r="BM351" s="140"/>
      <c r="BN351" s="140"/>
      <c r="BO351" s="140"/>
      <c r="BP351" s="140"/>
      <c r="BQ351" s="140"/>
      <c r="BR351" s="140"/>
      <c r="BS351" s="140"/>
      <c r="BT351" s="140"/>
      <c r="BU351" s="140"/>
      <c r="BV351" s="140"/>
      <c r="BW351" s="140"/>
      <c r="BX351" s="140"/>
      <c r="BY351" s="140"/>
      <c r="BZ351" s="140"/>
      <c r="CA351" s="140"/>
      <c r="CB351" s="140"/>
      <c r="CC351" s="140"/>
      <c r="CD351" s="140"/>
      <c r="CE351" s="140"/>
      <c r="CF351" s="140"/>
      <c r="CG351" s="140"/>
      <c r="CH351" s="140"/>
      <c r="CI351" s="140"/>
      <c r="CJ351" s="140"/>
      <c r="CK351" s="140"/>
      <c r="CL351" s="140"/>
      <c r="CM351" s="140"/>
      <c r="CN351" s="140"/>
      <c r="CO351" s="140"/>
      <c r="CP351" s="140"/>
      <c r="CQ351" s="140"/>
      <c r="CR351" s="140"/>
      <c r="CS351" s="140"/>
      <c r="CT351" s="140"/>
      <c r="CU351" s="140"/>
      <c r="CV351" s="140"/>
      <c r="CW351" s="140"/>
    </row>
    <row r="352" spans="1:101" x14ac:dyDescent="0.2">
      <c r="A352" s="29" t="str">
        <f t="shared" ca="1" si="5"/>
        <v>2026-03-11</v>
      </c>
      <c r="B352" s="140">
        <f ca="1">IF(ISNUMBER(MATCH(DATEVALUE($A352),'changes1_based on steps'!B$1:B$400,0)),B$2,)</f>
        <v>0</v>
      </c>
      <c r="C352" s="140">
        <f ca="1">IF(ISNUMBER(MATCH(DATEVALUE($A352),'changes1_based on steps'!C$1:C$400,0)),C$2,)</f>
        <v>0</v>
      </c>
      <c r="D352" s="140">
        <f ca="1">IF(ISNUMBER(MATCH(DATEVALUE($A352),'changes1_based on steps'!D$1:D$400,0)),D$2,)</f>
        <v>0</v>
      </c>
      <c r="E352" s="140">
        <f ca="1">IF(ISNUMBER(MATCH(DATEVALUE($A352),'changes1_based on steps'!E$1:E$400,0)),E$2,)</f>
        <v>0</v>
      </c>
      <c r="F352" s="140">
        <f ca="1">IF(ISNUMBER(MATCH(DATEVALUE($A352),'changes1_based on steps'!F$1:F$400,0)),F$2,)</f>
        <v>0</v>
      </c>
      <c r="G352" s="140">
        <f ca="1">IF(ISNUMBER(MATCH(DATEVALUE($A352),'changes1_based on steps'!G$1:G$400,0)),G$2,)</f>
        <v>0</v>
      </c>
      <c r="H352" s="140">
        <f ca="1">IF(ISNUMBER(MATCH(DATEVALUE($A352),'changes1_based on steps'!H$1:H$400,0)),H$2,)</f>
        <v>0</v>
      </c>
      <c r="I352" s="140">
        <f ca="1">IF(ISNUMBER(MATCH(DATEVALUE($A352),'changes1_based on steps'!I$1:I$400,0)),I$2,)</f>
        <v>0</v>
      </c>
      <c r="J352" s="140">
        <f ca="1">IF(ISNUMBER(MATCH(DATEVALUE($A352),'changes1_based on steps'!J$1:J$400,0)),J$2,)</f>
        <v>0</v>
      </c>
      <c r="K352" s="140">
        <f ca="1">IF(ISNUMBER(MATCH(DATEVALUE($A352),'changes1_based on steps'!K$1:K$400,0)),K$2,)</f>
        <v>0</v>
      </c>
      <c r="L352" s="140">
        <f ca="1">IF(ISNUMBER(MATCH(DATEVALUE($A352),'changes1_based on steps'!L$1:L$400,0)),L$2,)</f>
        <v>0</v>
      </c>
      <c r="M352" s="140">
        <f ca="1">IF(ISNUMBER(MATCH(DATEVALUE($A352),'changes1_based on steps'!M$1:M$400,0)),M$2,)</f>
        <v>0</v>
      </c>
      <c r="N352" s="140">
        <f ca="1">IF(ISNUMBER(MATCH(DATEVALUE($A352),'changes1_based on steps'!N$1:N$400,0)),N$2,)</f>
        <v>0</v>
      </c>
      <c r="O352" s="140">
        <f ca="1">IF(ISNUMBER(MATCH(DATEVALUE($A352),'changes1_based on steps'!O$1:O$400,0)),O$2,)</f>
        <v>0</v>
      </c>
      <c r="P352" s="140">
        <f ca="1">IF(ISNUMBER(MATCH(DATEVALUE($A352),'changes1_based on steps'!P$1:P$400,0)),P$2,)</f>
        <v>0</v>
      </c>
      <c r="Q352" s="140">
        <f ca="1">IF(ISNUMBER(MATCH(DATEVALUE($A352),'changes1_based on steps'!Q$1:Q$400,0)),Q$2,)</f>
        <v>0</v>
      </c>
      <c r="R352" s="140">
        <f ca="1">IF(ISNUMBER(MATCH(DATEVALUE($A352),'changes1_based on steps'!R$1:R$400,0)),R$2,)</f>
        <v>0</v>
      </c>
      <c r="S352" s="140">
        <f ca="1">IF(ISNUMBER(MATCH(DATEVALUE($A352),'changes1_based on steps'!S$1:S$400,0)),S$2,)</f>
        <v>0</v>
      </c>
      <c r="T352" s="140">
        <f ca="1">IF(ISNUMBER(MATCH(DATEVALUE($A352),'changes1_based on steps'!T$1:T$400,0)),T$2,)</f>
        <v>0</v>
      </c>
      <c r="U352" s="140">
        <f ca="1">IF(ISNUMBER(MATCH(DATEVALUE($A352),'changes1_based on steps'!U$1:U$400,0)),U$2,)</f>
        <v>0</v>
      </c>
      <c r="V352" s="140"/>
      <c r="W352" s="140"/>
      <c r="X352" s="140"/>
      <c r="Y352" s="140"/>
      <c r="Z352" s="140"/>
      <c r="AA352" s="140"/>
      <c r="AB352" s="140"/>
      <c r="AC352" s="140"/>
      <c r="AD352" s="140"/>
      <c r="AE352" s="140"/>
      <c r="AF352" s="140"/>
      <c r="AG352" s="140"/>
      <c r="AH352" s="140"/>
      <c r="AI352" s="140"/>
      <c r="AJ352" s="140"/>
      <c r="AK352" s="140"/>
      <c r="AL352" s="140"/>
      <c r="AM352" s="140"/>
      <c r="AN352" s="140"/>
      <c r="AO352" s="140"/>
      <c r="AP352" s="140"/>
      <c r="AQ352" s="140"/>
      <c r="AR352" s="140"/>
      <c r="AS352" s="140"/>
      <c r="AT352" s="140"/>
      <c r="AU352" s="140"/>
      <c r="AV352" s="140"/>
      <c r="AW352" s="140"/>
      <c r="AX352" s="140"/>
      <c r="AY352" s="140"/>
      <c r="AZ352" s="140"/>
      <c r="BA352" s="140"/>
      <c r="BB352" s="140"/>
      <c r="BC352" s="140"/>
      <c r="BD352" s="140"/>
      <c r="BE352" s="140"/>
      <c r="BF352" s="140"/>
      <c r="BG352" s="140"/>
      <c r="BH352" s="140"/>
      <c r="BI352" s="140"/>
      <c r="BJ352" s="140"/>
      <c r="BK352" s="140"/>
      <c r="BL352" s="140"/>
      <c r="BM352" s="140"/>
      <c r="BN352" s="140"/>
      <c r="BO352" s="140"/>
      <c r="BP352" s="140"/>
      <c r="BQ352" s="140"/>
      <c r="BR352" s="140"/>
      <c r="BS352" s="140"/>
      <c r="BT352" s="140"/>
      <c r="BU352" s="140"/>
      <c r="BV352" s="140"/>
      <c r="BW352" s="140"/>
      <c r="BX352" s="140"/>
      <c r="BY352" s="140"/>
      <c r="BZ352" s="140"/>
      <c r="CA352" s="140"/>
      <c r="CB352" s="140"/>
      <c r="CC352" s="140"/>
      <c r="CD352" s="140"/>
      <c r="CE352" s="140"/>
      <c r="CF352" s="140"/>
      <c r="CG352" s="140"/>
      <c r="CH352" s="140"/>
      <c r="CI352" s="140"/>
      <c r="CJ352" s="140"/>
      <c r="CK352" s="140"/>
      <c r="CL352" s="140"/>
      <c r="CM352" s="140"/>
      <c r="CN352" s="140"/>
      <c r="CO352" s="140"/>
      <c r="CP352" s="140"/>
      <c r="CQ352" s="140"/>
      <c r="CR352" s="140"/>
      <c r="CS352" s="140"/>
      <c r="CT352" s="140"/>
      <c r="CU352" s="140"/>
      <c r="CV352" s="140"/>
      <c r="CW352" s="140"/>
    </row>
    <row r="353" spans="1:101" x14ac:dyDescent="0.2">
      <c r="A353" s="29" t="str">
        <f t="shared" ca="1" si="5"/>
        <v>2026-03-12</v>
      </c>
      <c r="B353" s="140">
        <f ca="1">IF(ISNUMBER(MATCH(DATEVALUE($A353),'changes1_based on steps'!B$1:B$400,0)),B$2,)</f>
        <v>0</v>
      </c>
      <c r="C353" s="140">
        <f ca="1">IF(ISNUMBER(MATCH(DATEVALUE($A353),'changes1_based on steps'!C$1:C$400,0)),C$2,)</f>
        <v>0</v>
      </c>
      <c r="D353" s="140">
        <f ca="1">IF(ISNUMBER(MATCH(DATEVALUE($A353),'changes1_based on steps'!D$1:D$400,0)),D$2,)</f>
        <v>0</v>
      </c>
      <c r="E353" s="140">
        <f ca="1">IF(ISNUMBER(MATCH(DATEVALUE($A353),'changes1_based on steps'!E$1:E$400,0)),E$2,)</f>
        <v>0</v>
      </c>
      <c r="F353" s="140">
        <f ca="1">IF(ISNUMBER(MATCH(DATEVALUE($A353),'changes1_based on steps'!F$1:F$400,0)),F$2,)</f>
        <v>0</v>
      </c>
      <c r="G353" s="140">
        <f ca="1">IF(ISNUMBER(MATCH(DATEVALUE($A353),'changes1_based on steps'!G$1:G$400,0)),G$2,)</f>
        <v>0</v>
      </c>
      <c r="H353" s="140">
        <f ca="1">IF(ISNUMBER(MATCH(DATEVALUE($A353),'changes1_based on steps'!H$1:H$400,0)),H$2,)</f>
        <v>0</v>
      </c>
      <c r="I353" s="140">
        <f ca="1">IF(ISNUMBER(MATCH(DATEVALUE($A353),'changes1_based on steps'!I$1:I$400,0)),I$2,)</f>
        <v>0</v>
      </c>
      <c r="J353" s="140">
        <f ca="1">IF(ISNUMBER(MATCH(DATEVALUE($A353),'changes1_based on steps'!J$1:J$400,0)),J$2,)</f>
        <v>0</v>
      </c>
      <c r="K353" s="140">
        <f ca="1">IF(ISNUMBER(MATCH(DATEVALUE($A353),'changes1_based on steps'!K$1:K$400,0)),K$2,)</f>
        <v>0</v>
      </c>
      <c r="L353" s="140">
        <f ca="1">IF(ISNUMBER(MATCH(DATEVALUE($A353),'changes1_based on steps'!L$1:L$400,0)),L$2,)</f>
        <v>0</v>
      </c>
      <c r="M353" s="140">
        <f ca="1">IF(ISNUMBER(MATCH(DATEVALUE($A353),'changes1_based on steps'!M$1:M$400,0)),M$2,)</f>
        <v>0</v>
      </c>
      <c r="N353" s="140">
        <f ca="1">IF(ISNUMBER(MATCH(DATEVALUE($A353),'changes1_based on steps'!N$1:N$400,0)),N$2,)</f>
        <v>0</v>
      </c>
      <c r="O353" s="140">
        <f ca="1">IF(ISNUMBER(MATCH(DATEVALUE($A353),'changes1_based on steps'!O$1:O$400,0)),O$2,)</f>
        <v>0</v>
      </c>
      <c r="P353" s="140">
        <f ca="1">IF(ISNUMBER(MATCH(DATEVALUE($A353),'changes1_based on steps'!P$1:P$400,0)),P$2,)</f>
        <v>0</v>
      </c>
      <c r="Q353" s="140">
        <f ca="1">IF(ISNUMBER(MATCH(DATEVALUE($A353),'changes1_based on steps'!Q$1:Q$400,0)),Q$2,)</f>
        <v>0</v>
      </c>
      <c r="R353" s="140">
        <f ca="1">IF(ISNUMBER(MATCH(DATEVALUE($A353),'changes1_based on steps'!R$1:R$400,0)),R$2,)</f>
        <v>0</v>
      </c>
      <c r="S353" s="140">
        <f ca="1">IF(ISNUMBER(MATCH(DATEVALUE($A353),'changes1_based on steps'!S$1:S$400,0)),S$2,)</f>
        <v>0</v>
      </c>
      <c r="T353" s="140">
        <f ca="1">IF(ISNUMBER(MATCH(DATEVALUE($A353),'changes1_based on steps'!T$1:T$400,0)),T$2,)</f>
        <v>0</v>
      </c>
      <c r="U353" s="140">
        <f ca="1">IF(ISNUMBER(MATCH(DATEVALUE($A353),'changes1_based on steps'!U$1:U$400,0)),U$2,)</f>
        <v>0</v>
      </c>
      <c r="V353" s="140"/>
      <c r="W353" s="140"/>
      <c r="X353" s="140"/>
      <c r="Y353" s="140"/>
      <c r="Z353" s="140"/>
      <c r="AA353" s="140"/>
      <c r="AB353" s="140"/>
      <c r="AC353" s="140"/>
      <c r="AD353" s="140"/>
      <c r="AE353" s="140"/>
      <c r="AF353" s="140"/>
      <c r="AG353" s="140"/>
      <c r="AH353" s="140"/>
      <c r="AI353" s="140"/>
      <c r="AJ353" s="140"/>
      <c r="AK353" s="140"/>
      <c r="AL353" s="140"/>
      <c r="AM353" s="140"/>
      <c r="AN353" s="140"/>
      <c r="AO353" s="140"/>
      <c r="AP353" s="140"/>
      <c r="AQ353" s="140"/>
      <c r="AR353" s="140"/>
      <c r="AS353" s="140"/>
      <c r="AT353" s="140"/>
      <c r="AU353" s="140"/>
      <c r="AV353" s="140"/>
      <c r="AW353" s="140"/>
      <c r="AX353" s="140"/>
      <c r="AY353" s="140"/>
      <c r="AZ353" s="140"/>
      <c r="BA353" s="140"/>
      <c r="BB353" s="140"/>
      <c r="BC353" s="140"/>
      <c r="BD353" s="140"/>
      <c r="BE353" s="140"/>
      <c r="BF353" s="140"/>
      <c r="BG353" s="140"/>
      <c r="BH353" s="140"/>
      <c r="BI353" s="140"/>
      <c r="BJ353" s="140"/>
      <c r="BK353" s="140"/>
      <c r="BL353" s="140"/>
      <c r="BM353" s="140"/>
      <c r="BN353" s="140"/>
      <c r="BO353" s="140"/>
      <c r="BP353" s="140"/>
      <c r="BQ353" s="140"/>
      <c r="BR353" s="140"/>
      <c r="BS353" s="140"/>
      <c r="BT353" s="140"/>
      <c r="BU353" s="140"/>
      <c r="BV353" s="140"/>
      <c r="BW353" s="140"/>
      <c r="BX353" s="140"/>
      <c r="BY353" s="140"/>
      <c r="BZ353" s="140"/>
      <c r="CA353" s="140"/>
      <c r="CB353" s="140"/>
      <c r="CC353" s="140"/>
      <c r="CD353" s="140"/>
      <c r="CE353" s="140"/>
      <c r="CF353" s="140"/>
      <c r="CG353" s="140"/>
      <c r="CH353" s="140"/>
      <c r="CI353" s="140"/>
      <c r="CJ353" s="140"/>
      <c r="CK353" s="140"/>
      <c r="CL353" s="140"/>
      <c r="CM353" s="140"/>
      <c r="CN353" s="140"/>
      <c r="CO353" s="140"/>
      <c r="CP353" s="140"/>
      <c r="CQ353" s="140"/>
      <c r="CR353" s="140"/>
      <c r="CS353" s="140"/>
      <c r="CT353" s="140"/>
      <c r="CU353" s="140"/>
      <c r="CV353" s="140"/>
      <c r="CW353" s="140"/>
    </row>
    <row r="354" spans="1:101" x14ac:dyDescent="0.2">
      <c r="A354" s="29" t="str">
        <f t="shared" ca="1" si="5"/>
        <v>2026-03-13</v>
      </c>
      <c r="B354" s="140">
        <f ca="1">IF(ISNUMBER(MATCH(DATEVALUE($A354),'changes1_based on steps'!B$1:B$400,0)),B$2,)</f>
        <v>0</v>
      </c>
      <c r="C354" s="140">
        <f ca="1">IF(ISNUMBER(MATCH(DATEVALUE($A354),'changes1_based on steps'!C$1:C$400,0)),C$2,)</f>
        <v>0</v>
      </c>
      <c r="D354" s="140">
        <f ca="1">IF(ISNUMBER(MATCH(DATEVALUE($A354),'changes1_based on steps'!D$1:D$400,0)),D$2,)</f>
        <v>0</v>
      </c>
      <c r="E354" s="140">
        <f ca="1">IF(ISNUMBER(MATCH(DATEVALUE($A354),'changes1_based on steps'!E$1:E$400,0)),E$2,)</f>
        <v>0</v>
      </c>
      <c r="F354" s="140">
        <f ca="1">IF(ISNUMBER(MATCH(DATEVALUE($A354),'changes1_based on steps'!F$1:F$400,0)),F$2,)</f>
        <v>0</v>
      </c>
      <c r="G354" s="140">
        <f ca="1">IF(ISNUMBER(MATCH(DATEVALUE($A354),'changes1_based on steps'!G$1:G$400,0)),G$2,)</f>
        <v>0</v>
      </c>
      <c r="H354" s="140">
        <f ca="1">IF(ISNUMBER(MATCH(DATEVALUE($A354),'changes1_based on steps'!H$1:H$400,0)),H$2,)</f>
        <v>0</v>
      </c>
      <c r="I354" s="140">
        <f ca="1">IF(ISNUMBER(MATCH(DATEVALUE($A354),'changes1_based on steps'!I$1:I$400,0)),I$2,)</f>
        <v>0</v>
      </c>
      <c r="J354" s="140">
        <f ca="1">IF(ISNUMBER(MATCH(DATEVALUE($A354),'changes1_based on steps'!J$1:J$400,0)),J$2,)</f>
        <v>0</v>
      </c>
      <c r="K354" s="140">
        <f ca="1">IF(ISNUMBER(MATCH(DATEVALUE($A354),'changes1_based on steps'!K$1:K$400,0)),K$2,)</f>
        <v>0</v>
      </c>
      <c r="L354" s="140">
        <f ca="1">IF(ISNUMBER(MATCH(DATEVALUE($A354),'changes1_based on steps'!L$1:L$400,0)),L$2,)</f>
        <v>0</v>
      </c>
      <c r="M354" s="140">
        <f ca="1">IF(ISNUMBER(MATCH(DATEVALUE($A354),'changes1_based on steps'!M$1:M$400,0)),M$2,)</f>
        <v>0</v>
      </c>
      <c r="N354" s="140">
        <f ca="1">IF(ISNUMBER(MATCH(DATEVALUE($A354),'changes1_based on steps'!N$1:N$400,0)),N$2,)</f>
        <v>0</v>
      </c>
      <c r="O354" s="140">
        <f ca="1">IF(ISNUMBER(MATCH(DATEVALUE($A354),'changes1_based on steps'!O$1:O$400,0)),O$2,)</f>
        <v>0</v>
      </c>
      <c r="P354" s="140">
        <f ca="1">IF(ISNUMBER(MATCH(DATEVALUE($A354),'changes1_based on steps'!P$1:P$400,0)),P$2,)</f>
        <v>0</v>
      </c>
      <c r="Q354" s="140">
        <f ca="1">IF(ISNUMBER(MATCH(DATEVALUE($A354),'changes1_based on steps'!Q$1:Q$400,0)),Q$2,)</f>
        <v>0</v>
      </c>
      <c r="R354" s="140">
        <f ca="1">IF(ISNUMBER(MATCH(DATEVALUE($A354),'changes1_based on steps'!R$1:R$400,0)),R$2,)</f>
        <v>0</v>
      </c>
      <c r="S354" s="140">
        <f ca="1">IF(ISNUMBER(MATCH(DATEVALUE($A354),'changes1_based on steps'!S$1:S$400,0)),S$2,)</f>
        <v>0</v>
      </c>
      <c r="T354" s="140">
        <f ca="1">IF(ISNUMBER(MATCH(DATEVALUE($A354),'changes1_based on steps'!T$1:T$400,0)),T$2,)</f>
        <v>0</v>
      </c>
      <c r="U354" s="140">
        <f ca="1">IF(ISNUMBER(MATCH(DATEVALUE($A354),'changes1_based on steps'!U$1:U$400,0)),U$2,)</f>
        <v>0</v>
      </c>
      <c r="V354" s="140"/>
      <c r="W354" s="140"/>
      <c r="X354" s="140"/>
      <c r="Y354" s="140"/>
      <c r="Z354" s="140"/>
      <c r="AA354" s="140"/>
      <c r="AB354" s="140"/>
      <c r="AC354" s="140"/>
      <c r="AD354" s="140"/>
      <c r="AE354" s="140"/>
      <c r="AF354" s="140"/>
      <c r="AG354" s="140"/>
      <c r="AH354" s="140"/>
      <c r="AI354" s="140"/>
      <c r="AJ354" s="140"/>
      <c r="AK354" s="140"/>
      <c r="AL354" s="140"/>
      <c r="AM354" s="140"/>
      <c r="AN354" s="140"/>
      <c r="AO354" s="140"/>
      <c r="AP354" s="140"/>
      <c r="AQ354" s="140"/>
      <c r="AR354" s="140"/>
      <c r="AS354" s="140"/>
      <c r="AT354" s="140"/>
      <c r="AU354" s="140"/>
      <c r="AV354" s="140"/>
      <c r="AW354" s="140"/>
      <c r="AX354" s="140"/>
      <c r="AY354" s="140"/>
      <c r="AZ354" s="140"/>
      <c r="BA354" s="140"/>
      <c r="BB354" s="140"/>
      <c r="BC354" s="140"/>
      <c r="BD354" s="140"/>
      <c r="BE354" s="140"/>
      <c r="BF354" s="140"/>
      <c r="BG354" s="140"/>
      <c r="BH354" s="140"/>
      <c r="BI354" s="140"/>
      <c r="BJ354" s="140"/>
      <c r="BK354" s="140"/>
      <c r="BL354" s="140"/>
      <c r="BM354" s="140"/>
      <c r="BN354" s="140"/>
      <c r="BO354" s="140"/>
      <c r="BP354" s="140"/>
      <c r="BQ354" s="140"/>
      <c r="BR354" s="140"/>
      <c r="BS354" s="140"/>
      <c r="BT354" s="140"/>
      <c r="BU354" s="140"/>
      <c r="BV354" s="140"/>
      <c r="BW354" s="140"/>
      <c r="BX354" s="140"/>
      <c r="BY354" s="140"/>
      <c r="BZ354" s="140"/>
      <c r="CA354" s="140"/>
      <c r="CB354" s="140"/>
      <c r="CC354" s="140"/>
      <c r="CD354" s="140"/>
      <c r="CE354" s="140"/>
      <c r="CF354" s="140"/>
      <c r="CG354" s="140"/>
      <c r="CH354" s="140"/>
      <c r="CI354" s="140"/>
      <c r="CJ354" s="140"/>
      <c r="CK354" s="140"/>
      <c r="CL354" s="140"/>
      <c r="CM354" s="140"/>
      <c r="CN354" s="140"/>
      <c r="CO354" s="140"/>
      <c r="CP354" s="140"/>
      <c r="CQ354" s="140"/>
      <c r="CR354" s="140"/>
      <c r="CS354" s="140"/>
      <c r="CT354" s="140"/>
      <c r="CU354" s="140"/>
      <c r="CV354" s="140"/>
      <c r="CW354" s="140"/>
    </row>
    <row r="355" spans="1:101" x14ac:dyDescent="0.2">
      <c r="A355" s="29" t="str">
        <f t="shared" ca="1" si="5"/>
        <v>2026-03-14</v>
      </c>
      <c r="B355" s="140">
        <f ca="1">IF(ISNUMBER(MATCH(DATEVALUE($A355),'changes1_based on steps'!B$1:B$400,0)),B$2,)</f>
        <v>0</v>
      </c>
      <c r="C355" s="140">
        <f ca="1">IF(ISNUMBER(MATCH(DATEVALUE($A355),'changes1_based on steps'!C$1:C$400,0)),C$2,)</f>
        <v>0</v>
      </c>
      <c r="D355" s="140">
        <f ca="1">IF(ISNUMBER(MATCH(DATEVALUE($A355),'changes1_based on steps'!D$1:D$400,0)),D$2,)</f>
        <v>0</v>
      </c>
      <c r="E355" s="140">
        <f ca="1">IF(ISNUMBER(MATCH(DATEVALUE($A355),'changes1_based on steps'!E$1:E$400,0)),E$2,)</f>
        <v>0</v>
      </c>
      <c r="F355" s="140">
        <f ca="1">IF(ISNUMBER(MATCH(DATEVALUE($A355),'changes1_based on steps'!F$1:F$400,0)),F$2,)</f>
        <v>0</v>
      </c>
      <c r="G355" s="140">
        <f ca="1">IF(ISNUMBER(MATCH(DATEVALUE($A355),'changes1_based on steps'!G$1:G$400,0)),G$2,)</f>
        <v>0</v>
      </c>
      <c r="H355" s="140">
        <f ca="1">IF(ISNUMBER(MATCH(DATEVALUE($A355),'changes1_based on steps'!H$1:H$400,0)),H$2,)</f>
        <v>0</v>
      </c>
      <c r="I355" s="140">
        <f ca="1">IF(ISNUMBER(MATCH(DATEVALUE($A355),'changes1_based on steps'!I$1:I$400,0)),I$2,)</f>
        <v>0</v>
      </c>
      <c r="J355" s="140">
        <f ca="1">IF(ISNUMBER(MATCH(DATEVALUE($A355),'changes1_based on steps'!J$1:J$400,0)),J$2,)</f>
        <v>0</v>
      </c>
      <c r="K355" s="140">
        <f ca="1">IF(ISNUMBER(MATCH(DATEVALUE($A355),'changes1_based on steps'!K$1:K$400,0)),K$2,)</f>
        <v>0</v>
      </c>
      <c r="L355" s="140">
        <f ca="1">IF(ISNUMBER(MATCH(DATEVALUE($A355),'changes1_based on steps'!L$1:L$400,0)),L$2,)</f>
        <v>0</v>
      </c>
      <c r="M355" s="140">
        <f ca="1">IF(ISNUMBER(MATCH(DATEVALUE($A355),'changes1_based on steps'!M$1:M$400,0)),M$2,)</f>
        <v>0</v>
      </c>
      <c r="N355" s="140">
        <f ca="1">IF(ISNUMBER(MATCH(DATEVALUE($A355),'changes1_based on steps'!N$1:N$400,0)),N$2,)</f>
        <v>0</v>
      </c>
      <c r="O355" s="140">
        <f ca="1">IF(ISNUMBER(MATCH(DATEVALUE($A355),'changes1_based on steps'!O$1:O$400,0)),O$2,)</f>
        <v>0</v>
      </c>
      <c r="P355" s="140">
        <f ca="1">IF(ISNUMBER(MATCH(DATEVALUE($A355),'changes1_based on steps'!P$1:P$400,0)),P$2,)</f>
        <v>0</v>
      </c>
      <c r="Q355" s="140">
        <f ca="1">IF(ISNUMBER(MATCH(DATEVALUE($A355),'changes1_based on steps'!Q$1:Q$400,0)),Q$2,)</f>
        <v>0</v>
      </c>
      <c r="R355" s="140">
        <f ca="1">IF(ISNUMBER(MATCH(DATEVALUE($A355),'changes1_based on steps'!R$1:R$400,0)),R$2,)</f>
        <v>0</v>
      </c>
      <c r="S355" s="140">
        <f ca="1">IF(ISNUMBER(MATCH(DATEVALUE($A355),'changes1_based on steps'!S$1:S$400,0)),S$2,)</f>
        <v>0</v>
      </c>
      <c r="T355" s="140">
        <f ca="1">IF(ISNUMBER(MATCH(DATEVALUE($A355),'changes1_based on steps'!T$1:T$400,0)),T$2,)</f>
        <v>0</v>
      </c>
      <c r="U355" s="140">
        <f ca="1">IF(ISNUMBER(MATCH(DATEVALUE($A355),'changes1_based on steps'!U$1:U$400,0)),U$2,)</f>
        <v>0</v>
      </c>
      <c r="V355" s="140"/>
      <c r="W355" s="140"/>
      <c r="X355" s="140"/>
      <c r="Y355" s="140"/>
      <c r="Z355" s="140"/>
      <c r="AA355" s="140"/>
      <c r="AB355" s="140"/>
      <c r="AC355" s="140"/>
      <c r="AD355" s="140"/>
      <c r="AE355" s="140"/>
      <c r="AF355" s="140"/>
      <c r="AG355" s="140"/>
      <c r="AH355" s="140"/>
      <c r="AI355" s="140"/>
      <c r="AJ355" s="140"/>
      <c r="AK355" s="140"/>
      <c r="AL355" s="140"/>
      <c r="AM355" s="140"/>
      <c r="AN355" s="140"/>
      <c r="AO355" s="140"/>
      <c r="AP355" s="140"/>
      <c r="AQ355" s="140"/>
      <c r="AR355" s="140"/>
      <c r="AS355" s="140"/>
      <c r="AT355" s="140"/>
      <c r="AU355" s="140"/>
      <c r="AV355" s="140"/>
      <c r="AW355" s="140"/>
      <c r="AX355" s="140"/>
      <c r="AY355" s="140"/>
      <c r="AZ355" s="140"/>
      <c r="BA355" s="140"/>
      <c r="BB355" s="140"/>
      <c r="BC355" s="140"/>
      <c r="BD355" s="140"/>
      <c r="BE355" s="140"/>
      <c r="BF355" s="140"/>
      <c r="BG355" s="140"/>
      <c r="BH355" s="140"/>
      <c r="BI355" s="140"/>
      <c r="BJ355" s="140"/>
      <c r="BK355" s="140"/>
      <c r="BL355" s="140"/>
      <c r="BM355" s="140"/>
      <c r="BN355" s="140"/>
      <c r="BO355" s="140"/>
      <c r="BP355" s="140"/>
      <c r="BQ355" s="140"/>
      <c r="BR355" s="140"/>
      <c r="BS355" s="140"/>
      <c r="BT355" s="140"/>
      <c r="BU355" s="140"/>
      <c r="BV355" s="140"/>
      <c r="BW355" s="140"/>
      <c r="BX355" s="140"/>
      <c r="BY355" s="140"/>
      <c r="BZ355" s="140"/>
      <c r="CA355" s="140"/>
      <c r="CB355" s="140"/>
      <c r="CC355" s="140"/>
      <c r="CD355" s="140"/>
      <c r="CE355" s="140"/>
      <c r="CF355" s="140"/>
      <c r="CG355" s="140"/>
      <c r="CH355" s="140"/>
      <c r="CI355" s="140"/>
      <c r="CJ355" s="140"/>
      <c r="CK355" s="140"/>
      <c r="CL355" s="140"/>
      <c r="CM355" s="140"/>
      <c r="CN355" s="140"/>
      <c r="CO355" s="140"/>
      <c r="CP355" s="140"/>
      <c r="CQ355" s="140"/>
      <c r="CR355" s="140"/>
      <c r="CS355" s="140"/>
      <c r="CT355" s="140"/>
      <c r="CU355" s="140"/>
      <c r="CV355" s="140"/>
      <c r="CW355" s="140"/>
    </row>
    <row r="356" spans="1:101" x14ac:dyDescent="0.2">
      <c r="A356" s="29" t="str">
        <f t="shared" ca="1" si="5"/>
        <v>2026-03-15</v>
      </c>
      <c r="B356" s="140">
        <f ca="1">IF(ISNUMBER(MATCH(DATEVALUE($A356),'changes1_based on steps'!B$1:B$400,0)),B$2,)</f>
        <v>0</v>
      </c>
      <c r="C356" s="140">
        <f ca="1">IF(ISNUMBER(MATCH(DATEVALUE($A356),'changes1_based on steps'!C$1:C$400,0)),C$2,)</f>
        <v>0</v>
      </c>
      <c r="D356" s="140">
        <f ca="1">IF(ISNUMBER(MATCH(DATEVALUE($A356),'changes1_based on steps'!D$1:D$400,0)),D$2,)</f>
        <v>0</v>
      </c>
      <c r="E356" s="140">
        <f ca="1">IF(ISNUMBER(MATCH(DATEVALUE($A356),'changes1_based on steps'!E$1:E$400,0)),E$2,)</f>
        <v>0</v>
      </c>
      <c r="F356" s="140">
        <f ca="1">IF(ISNUMBER(MATCH(DATEVALUE($A356),'changes1_based on steps'!F$1:F$400,0)),F$2,)</f>
        <v>0</v>
      </c>
      <c r="G356" s="140">
        <f ca="1">IF(ISNUMBER(MATCH(DATEVALUE($A356),'changes1_based on steps'!G$1:G$400,0)),G$2,)</f>
        <v>0</v>
      </c>
      <c r="H356" s="140">
        <f ca="1">IF(ISNUMBER(MATCH(DATEVALUE($A356),'changes1_based on steps'!H$1:H$400,0)),H$2,)</f>
        <v>0</v>
      </c>
      <c r="I356" s="140">
        <f ca="1">IF(ISNUMBER(MATCH(DATEVALUE($A356),'changes1_based on steps'!I$1:I$400,0)),I$2,)</f>
        <v>0</v>
      </c>
      <c r="J356" s="140">
        <f ca="1">IF(ISNUMBER(MATCH(DATEVALUE($A356),'changes1_based on steps'!J$1:J$400,0)),J$2,)</f>
        <v>0</v>
      </c>
      <c r="K356" s="140">
        <f ca="1">IF(ISNUMBER(MATCH(DATEVALUE($A356),'changes1_based on steps'!K$1:K$400,0)),K$2,)</f>
        <v>0</v>
      </c>
      <c r="L356" s="140">
        <f ca="1">IF(ISNUMBER(MATCH(DATEVALUE($A356),'changes1_based on steps'!L$1:L$400,0)),L$2,)</f>
        <v>0</v>
      </c>
      <c r="M356" s="140">
        <f ca="1">IF(ISNUMBER(MATCH(DATEVALUE($A356),'changes1_based on steps'!M$1:M$400,0)),M$2,)</f>
        <v>0</v>
      </c>
      <c r="N356" s="140">
        <f ca="1">IF(ISNUMBER(MATCH(DATEVALUE($A356),'changes1_based on steps'!N$1:N$400,0)),N$2,)</f>
        <v>0</v>
      </c>
      <c r="O356" s="140">
        <f ca="1">IF(ISNUMBER(MATCH(DATEVALUE($A356),'changes1_based on steps'!O$1:O$400,0)),O$2,)</f>
        <v>0</v>
      </c>
      <c r="P356" s="140">
        <f ca="1">IF(ISNUMBER(MATCH(DATEVALUE($A356),'changes1_based on steps'!P$1:P$400,0)),P$2,)</f>
        <v>0</v>
      </c>
      <c r="Q356" s="140">
        <f ca="1">IF(ISNUMBER(MATCH(DATEVALUE($A356),'changes1_based on steps'!Q$1:Q$400,0)),Q$2,)</f>
        <v>0</v>
      </c>
      <c r="R356" s="140">
        <f ca="1">IF(ISNUMBER(MATCH(DATEVALUE($A356),'changes1_based on steps'!R$1:R$400,0)),R$2,)</f>
        <v>0</v>
      </c>
      <c r="S356" s="140">
        <f ca="1">IF(ISNUMBER(MATCH(DATEVALUE($A356),'changes1_based on steps'!S$1:S$400,0)),S$2,)</f>
        <v>0</v>
      </c>
      <c r="T356" s="140">
        <f ca="1">IF(ISNUMBER(MATCH(DATEVALUE($A356),'changes1_based on steps'!T$1:T$400,0)),T$2,)</f>
        <v>0</v>
      </c>
      <c r="U356" s="140">
        <f ca="1">IF(ISNUMBER(MATCH(DATEVALUE($A356),'changes1_based on steps'!U$1:U$400,0)),U$2,)</f>
        <v>0</v>
      </c>
      <c r="V356" s="140"/>
      <c r="W356" s="140"/>
      <c r="X356" s="140"/>
      <c r="Y356" s="140"/>
      <c r="Z356" s="140"/>
      <c r="AA356" s="140"/>
      <c r="AB356" s="140"/>
      <c r="AC356" s="140"/>
      <c r="AD356" s="140"/>
      <c r="AE356" s="140"/>
      <c r="AF356" s="140"/>
      <c r="AG356" s="140"/>
      <c r="AH356" s="140"/>
      <c r="AI356" s="140"/>
      <c r="AJ356" s="140"/>
      <c r="AK356" s="140"/>
      <c r="AL356" s="140"/>
      <c r="AM356" s="140"/>
      <c r="AN356" s="140"/>
      <c r="AO356" s="140"/>
      <c r="AP356" s="140"/>
      <c r="AQ356" s="140"/>
      <c r="AR356" s="140"/>
      <c r="AS356" s="140"/>
      <c r="AT356" s="140"/>
      <c r="AU356" s="140"/>
      <c r="AV356" s="140"/>
      <c r="AW356" s="140"/>
      <c r="AX356" s="140"/>
      <c r="AY356" s="140"/>
      <c r="AZ356" s="140"/>
      <c r="BA356" s="140"/>
      <c r="BB356" s="140"/>
      <c r="BC356" s="140"/>
      <c r="BD356" s="140"/>
      <c r="BE356" s="140"/>
      <c r="BF356" s="140"/>
      <c r="BG356" s="140"/>
      <c r="BH356" s="140"/>
      <c r="BI356" s="140"/>
      <c r="BJ356" s="140"/>
      <c r="BK356" s="140"/>
      <c r="BL356" s="140"/>
      <c r="BM356" s="140"/>
      <c r="BN356" s="140"/>
      <c r="BO356" s="140"/>
      <c r="BP356" s="140"/>
      <c r="BQ356" s="140"/>
      <c r="BR356" s="140"/>
      <c r="BS356" s="140"/>
      <c r="BT356" s="140"/>
      <c r="BU356" s="140"/>
      <c r="BV356" s="140"/>
      <c r="BW356" s="140"/>
      <c r="BX356" s="140"/>
      <c r="BY356" s="140"/>
      <c r="BZ356" s="140"/>
      <c r="CA356" s="140"/>
      <c r="CB356" s="140"/>
      <c r="CC356" s="140"/>
      <c r="CD356" s="140"/>
      <c r="CE356" s="140"/>
      <c r="CF356" s="140"/>
      <c r="CG356" s="140"/>
      <c r="CH356" s="140"/>
      <c r="CI356" s="140"/>
      <c r="CJ356" s="140"/>
      <c r="CK356" s="140"/>
      <c r="CL356" s="140"/>
      <c r="CM356" s="140"/>
      <c r="CN356" s="140"/>
      <c r="CO356" s="140"/>
      <c r="CP356" s="140"/>
      <c r="CQ356" s="140"/>
      <c r="CR356" s="140"/>
      <c r="CS356" s="140"/>
      <c r="CT356" s="140"/>
      <c r="CU356" s="140"/>
      <c r="CV356" s="140"/>
      <c r="CW356" s="140"/>
    </row>
    <row r="357" spans="1:101" x14ac:dyDescent="0.2">
      <c r="A357" s="29" t="str">
        <f t="shared" ca="1" si="5"/>
        <v>2026-03-16</v>
      </c>
      <c r="B357" s="140">
        <f ca="1">IF(ISNUMBER(MATCH(DATEVALUE($A357),'changes1_based on steps'!B$1:B$400,0)),B$2,)</f>
        <v>0</v>
      </c>
      <c r="C357" s="140">
        <f ca="1">IF(ISNUMBER(MATCH(DATEVALUE($A357),'changes1_based on steps'!C$1:C$400,0)),C$2,)</f>
        <v>0</v>
      </c>
      <c r="D357" s="140">
        <f ca="1">IF(ISNUMBER(MATCH(DATEVALUE($A357),'changes1_based on steps'!D$1:D$400,0)),D$2,)</f>
        <v>0</v>
      </c>
      <c r="E357" s="140">
        <f ca="1">IF(ISNUMBER(MATCH(DATEVALUE($A357),'changes1_based on steps'!E$1:E$400,0)),E$2,)</f>
        <v>0</v>
      </c>
      <c r="F357" s="140">
        <f ca="1">IF(ISNUMBER(MATCH(DATEVALUE($A357),'changes1_based on steps'!F$1:F$400,0)),F$2,)</f>
        <v>0</v>
      </c>
      <c r="G357" s="140">
        <f ca="1">IF(ISNUMBER(MATCH(DATEVALUE($A357),'changes1_based on steps'!G$1:G$400,0)),G$2,)</f>
        <v>0</v>
      </c>
      <c r="H357" s="140">
        <f ca="1">IF(ISNUMBER(MATCH(DATEVALUE($A357),'changes1_based on steps'!H$1:H$400,0)),H$2,)</f>
        <v>0</v>
      </c>
      <c r="I357" s="140">
        <f ca="1">IF(ISNUMBER(MATCH(DATEVALUE($A357),'changes1_based on steps'!I$1:I$400,0)),I$2,)</f>
        <v>0</v>
      </c>
      <c r="J357" s="140">
        <f ca="1">IF(ISNUMBER(MATCH(DATEVALUE($A357),'changes1_based on steps'!J$1:J$400,0)),J$2,)</f>
        <v>0</v>
      </c>
      <c r="K357" s="140">
        <f ca="1">IF(ISNUMBER(MATCH(DATEVALUE($A357),'changes1_based on steps'!K$1:K$400,0)),K$2,)</f>
        <v>0</v>
      </c>
      <c r="L357" s="140">
        <f ca="1">IF(ISNUMBER(MATCH(DATEVALUE($A357),'changes1_based on steps'!L$1:L$400,0)),L$2,)</f>
        <v>0</v>
      </c>
      <c r="M357" s="140">
        <f ca="1">IF(ISNUMBER(MATCH(DATEVALUE($A357),'changes1_based on steps'!M$1:M$400,0)),M$2,)</f>
        <v>0</v>
      </c>
      <c r="N357" s="140">
        <f ca="1">IF(ISNUMBER(MATCH(DATEVALUE($A357),'changes1_based on steps'!N$1:N$400,0)),N$2,)</f>
        <v>0</v>
      </c>
      <c r="O357" s="140">
        <f ca="1">IF(ISNUMBER(MATCH(DATEVALUE($A357),'changes1_based on steps'!O$1:O$400,0)),O$2,)</f>
        <v>0</v>
      </c>
      <c r="P357" s="140">
        <f ca="1">IF(ISNUMBER(MATCH(DATEVALUE($A357),'changes1_based on steps'!P$1:P$400,0)),P$2,)</f>
        <v>0</v>
      </c>
      <c r="Q357" s="140">
        <f ca="1">IF(ISNUMBER(MATCH(DATEVALUE($A357),'changes1_based on steps'!Q$1:Q$400,0)),Q$2,)</f>
        <v>0</v>
      </c>
      <c r="R357" s="140">
        <f ca="1">IF(ISNUMBER(MATCH(DATEVALUE($A357),'changes1_based on steps'!R$1:R$400,0)),R$2,)</f>
        <v>0</v>
      </c>
      <c r="S357" s="140">
        <f ca="1">IF(ISNUMBER(MATCH(DATEVALUE($A357),'changes1_based on steps'!S$1:S$400,0)),S$2,)</f>
        <v>0</v>
      </c>
      <c r="T357" s="140">
        <f ca="1">IF(ISNUMBER(MATCH(DATEVALUE($A357),'changes1_based on steps'!T$1:T$400,0)),T$2,)</f>
        <v>0</v>
      </c>
      <c r="U357" s="140">
        <f ca="1">IF(ISNUMBER(MATCH(DATEVALUE($A357),'changes1_based on steps'!U$1:U$400,0)),U$2,)</f>
        <v>0</v>
      </c>
      <c r="V357" s="140"/>
      <c r="W357" s="140"/>
      <c r="X357" s="140"/>
      <c r="Y357" s="140"/>
      <c r="Z357" s="140"/>
      <c r="AA357" s="140"/>
      <c r="AB357" s="140"/>
      <c r="AC357" s="140"/>
      <c r="AD357" s="140"/>
      <c r="AE357" s="140"/>
      <c r="AF357" s="140"/>
      <c r="AG357" s="140"/>
      <c r="AH357" s="140"/>
      <c r="AI357" s="140"/>
      <c r="AJ357" s="140"/>
      <c r="AK357" s="140"/>
      <c r="AL357" s="140"/>
      <c r="AM357" s="140"/>
      <c r="AN357" s="140"/>
      <c r="AO357" s="140"/>
      <c r="AP357" s="140"/>
      <c r="AQ357" s="140"/>
      <c r="AR357" s="140"/>
      <c r="AS357" s="140"/>
      <c r="AT357" s="140"/>
      <c r="AU357" s="140"/>
      <c r="AV357" s="140"/>
      <c r="AW357" s="140"/>
      <c r="AX357" s="140"/>
      <c r="AY357" s="140"/>
      <c r="AZ357" s="140"/>
      <c r="BA357" s="140"/>
      <c r="BB357" s="140"/>
      <c r="BC357" s="140"/>
      <c r="BD357" s="140"/>
      <c r="BE357" s="140"/>
      <c r="BF357" s="140"/>
      <c r="BG357" s="140"/>
      <c r="BH357" s="140"/>
      <c r="BI357" s="140"/>
      <c r="BJ357" s="140"/>
      <c r="BK357" s="140"/>
      <c r="BL357" s="140"/>
      <c r="BM357" s="140"/>
      <c r="BN357" s="140"/>
      <c r="BO357" s="140"/>
      <c r="BP357" s="140"/>
      <c r="BQ357" s="140"/>
      <c r="BR357" s="140"/>
      <c r="BS357" s="140"/>
      <c r="BT357" s="140"/>
      <c r="BU357" s="140"/>
      <c r="BV357" s="140"/>
      <c r="BW357" s="140"/>
      <c r="BX357" s="140"/>
      <c r="BY357" s="140"/>
      <c r="BZ357" s="140"/>
      <c r="CA357" s="140"/>
      <c r="CB357" s="140"/>
      <c r="CC357" s="140"/>
      <c r="CD357" s="140"/>
      <c r="CE357" s="140"/>
      <c r="CF357" s="140"/>
      <c r="CG357" s="140"/>
      <c r="CH357" s="140"/>
      <c r="CI357" s="140"/>
      <c r="CJ357" s="140"/>
      <c r="CK357" s="140"/>
      <c r="CL357" s="140"/>
      <c r="CM357" s="140"/>
      <c r="CN357" s="140"/>
      <c r="CO357" s="140"/>
      <c r="CP357" s="140"/>
      <c r="CQ357" s="140"/>
      <c r="CR357" s="140"/>
      <c r="CS357" s="140"/>
      <c r="CT357" s="140"/>
      <c r="CU357" s="140"/>
      <c r="CV357" s="140"/>
      <c r="CW357" s="140"/>
    </row>
    <row r="358" spans="1:101" x14ac:dyDescent="0.2">
      <c r="A358" s="29" t="str">
        <f t="shared" ca="1" si="5"/>
        <v>2026-03-17</v>
      </c>
      <c r="B358" s="140">
        <f ca="1">IF(ISNUMBER(MATCH(DATEVALUE($A358),'changes1_based on steps'!B$1:B$400,0)),B$2,)</f>
        <v>0</v>
      </c>
      <c r="C358" s="140">
        <f ca="1">IF(ISNUMBER(MATCH(DATEVALUE($A358),'changes1_based on steps'!C$1:C$400,0)),C$2,)</f>
        <v>0</v>
      </c>
      <c r="D358" s="140">
        <f ca="1">IF(ISNUMBER(MATCH(DATEVALUE($A358),'changes1_based on steps'!D$1:D$400,0)),D$2,)</f>
        <v>0</v>
      </c>
      <c r="E358" s="140">
        <f ca="1">IF(ISNUMBER(MATCH(DATEVALUE($A358),'changes1_based on steps'!E$1:E$400,0)),E$2,)</f>
        <v>0</v>
      </c>
      <c r="F358" s="140">
        <f ca="1">IF(ISNUMBER(MATCH(DATEVALUE($A358),'changes1_based on steps'!F$1:F$400,0)),F$2,)</f>
        <v>0</v>
      </c>
      <c r="G358" s="140">
        <f ca="1">IF(ISNUMBER(MATCH(DATEVALUE($A358),'changes1_based on steps'!G$1:G$400,0)),G$2,)</f>
        <v>0</v>
      </c>
      <c r="H358" s="140">
        <f ca="1">IF(ISNUMBER(MATCH(DATEVALUE($A358),'changes1_based on steps'!H$1:H$400,0)),H$2,)</f>
        <v>0</v>
      </c>
      <c r="I358" s="140">
        <f ca="1">IF(ISNUMBER(MATCH(DATEVALUE($A358),'changes1_based on steps'!I$1:I$400,0)),I$2,)</f>
        <v>0</v>
      </c>
      <c r="J358" s="140">
        <f ca="1">IF(ISNUMBER(MATCH(DATEVALUE($A358),'changes1_based on steps'!J$1:J$400,0)),J$2,)</f>
        <v>0</v>
      </c>
      <c r="K358" s="140">
        <f ca="1">IF(ISNUMBER(MATCH(DATEVALUE($A358),'changes1_based on steps'!K$1:K$400,0)),K$2,)</f>
        <v>0</v>
      </c>
      <c r="L358" s="140">
        <f ca="1">IF(ISNUMBER(MATCH(DATEVALUE($A358),'changes1_based on steps'!L$1:L$400,0)),L$2,)</f>
        <v>0</v>
      </c>
      <c r="M358" s="140">
        <f ca="1">IF(ISNUMBER(MATCH(DATEVALUE($A358),'changes1_based on steps'!M$1:M$400,0)),M$2,)</f>
        <v>0</v>
      </c>
      <c r="N358" s="140">
        <f ca="1">IF(ISNUMBER(MATCH(DATEVALUE($A358),'changes1_based on steps'!N$1:N$400,0)),N$2,)</f>
        <v>0</v>
      </c>
      <c r="O358" s="140">
        <f ca="1">IF(ISNUMBER(MATCH(DATEVALUE($A358),'changes1_based on steps'!O$1:O$400,0)),O$2,)</f>
        <v>0</v>
      </c>
      <c r="P358" s="140">
        <f ca="1">IF(ISNUMBER(MATCH(DATEVALUE($A358),'changes1_based on steps'!P$1:P$400,0)),P$2,)</f>
        <v>0</v>
      </c>
      <c r="Q358" s="140">
        <f ca="1">IF(ISNUMBER(MATCH(DATEVALUE($A358),'changes1_based on steps'!Q$1:Q$400,0)),Q$2,)</f>
        <v>0</v>
      </c>
      <c r="R358" s="140">
        <f ca="1">IF(ISNUMBER(MATCH(DATEVALUE($A358),'changes1_based on steps'!R$1:R$400,0)),R$2,)</f>
        <v>0</v>
      </c>
      <c r="S358" s="140">
        <f ca="1">IF(ISNUMBER(MATCH(DATEVALUE($A358),'changes1_based on steps'!S$1:S$400,0)),S$2,)</f>
        <v>0</v>
      </c>
      <c r="T358" s="140">
        <f ca="1">IF(ISNUMBER(MATCH(DATEVALUE($A358),'changes1_based on steps'!T$1:T$400,0)),T$2,)</f>
        <v>0</v>
      </c>
      <c r="U358" s="140">
        <f ca="1">IF(ISNUMBER(MATCH(DATEVALUE($A358),'changes1_based on steps'!U$1:U$400,0)),U$2,)</f>
        <v>0</v>
      </c>
      <c r="V358" s="140"/>
      <c r="W358" s="140"/>
      <c r="X358" s="140"/>
      <c r="Y358" s="140"/>
      <c r="Z358" s="140"/>
      <c r="AA358" s="140"/>
      <c r="AB358" s="140"/>
      <c r="AC358" s="140"/>
      <c r="AD358" s="140"/>
      <c r="AE358" s="140"/>
      <c r="AF358" s="140"/>
      <c r="AG358" s="140"/>
      <c r="AH358" s="140"/>
      <c r="AI358" s="140"/>
      <c r="AJ358" s="140"/>
      <c r="AK358" s="140"/>
      <c r="AL358" s="140"/>
      <c r="AM358" s="140"/>
      <c r="AN358" s="140"/>
      <c r="AO358" s="140"/>
      <c r="AP358" s="140"/>
      <c r="AQ358" s="140"/>
      <c r="AR358" s="140"/>
      <c r="AS358" s="140"/>
      <c r="AT358" s="140"/>
      <c r="AU358" s="140"/>
      <c r="AV358" s="140"/>
      <c r="AW358" s="140"/>
      <c r="AX358" s="140"/>
      <c r="AY358" s="140"/>
      <c r="AZ358" s="140"/>
      <c r="BA358" s="140"/>
      <c r="BB358" s="140"/>
      <c r="BC358" s="140"/>
      <c r="BD358" s="140"/>
      <c r="BE358" s="140"/>
      <c r="BF358" s="140"/>
      <c r="BG358" s="140"/>
      <c r="BH358" s="140"/>
      <c r="BI358" s="140"/>
      <c r="BJ358" s="140"/>
      <c r="BK358" s="140"/>
      <c r="BL358" s="140"/>
      <c r="BM358" s="140"/>
      <c r="BN358" s="140"/>
      <c r="BO358" s="140"/>
      <c r="BP358" s="140"/>
      <c r="BQ358" s="140"/>
      <c r="BR358" s="140"/>
      <c r="BS358" s="140"/>
      <c r="BT358" s="140"/>
      <c r="BU358" s="140"/>
      <c r="BV358" s="140"/>
      <c r="BW358" s="140"/>
      <c r="BX358" s="140"/>
      <c r="BY358" s="140"/>
      <c r="BZ358" s="140"/>
      <c r="CA358" s="140"/>
      <c r="CB358" s="140"/>
      <c r="CC358" s="140"/>
      <c r="CD358" s="140"/>
      <c r="CE358" s="140"/>
      <c r="CF358" s="140"/>
      <c r="CG358" s="140"/>
      <c r="CH358" s="140"/>
      <c r="CI358" s="140"/>
      <c r="CJ358" s="140"/>
      <c r="CK358" s="140"/>
      <c r="CL358" s="140"/>
      <c r="CM358" s="140"/>
      <c r="CN358" s="140"/>
      <c r="CO358" s="140"/>
      <c r="CP358" s="140"/>
      <c r="CQ358" s="140"/>
      <c r="CR358" s="140"/>
      <c r="CS358" s="140"/>
      <c r="CT358" s="140"/>
      <c r="CU358" s="140"/>
      <c r="CV358" s="140"/>
      <c r="CW358" s="140"/>
    </row>
    <row r="359" spans="1:101" x14ac:dyDescent="0.2">
      <c r="A359" s="29" t="str">
        <f t="shared" ca="1" si="5"/>
        <v>2026-03-18</v>
      </c>
      <c r="B359" s="140">
        <f ca="1">IF(ISNUMBER(MATCH(DATEVALUE($A359),'changes1_based on steps'!B$1:B$400,0)),B$2,)</f>
        <v>0</v>
      </c>
      <c r="C359" s="140">
        <f ca="1">IF(ISNUMBER(MATCH(DATEVALUE($A359),'changes1_based on steps'!C$1:C$400,0)),C$2,)</f>
        <v>0</v>
      </c>
      <c r="D359" s="140">
        <f ca="1">IF(ISNUMBER(MATCH(DATEVALUE($A359),'changes1_based on steps'!D$1:D$400,0)),D$2,)</f>
        <v>0</v>
      </c>
      <c r="E359" s="140">
        <f ca="1">IF(ISNUMBER(MATCH(DATEVALUE($A359),'changes1_based on steps'!E$1:E$400,0)),E$2,)</f>
        <v>0</v>
      </c>
      <c r="F359" s="140">
        <f ca="1">IF(ISNUMBER(MATCH(DATEVALUE($A359),'changes1_based on steps'!F$1:F$400,0)),F$2,)</f>
        <v>0</v>
      </c>
      <c r="G359" s="140">
        <f ca="1">IF(ISNUMBER(MATCH(DATEVALUE($A359),'changes1_based on steps'!G$1:G$400,0)),G$2,)</f>
        <v>0</v>
      </c>
      <c r="H359" s="140">
        <f ca="1">IF(ISNUMBER(MATCH(DATEVALUE($A359),'changes1_based on steps'!H$1:H$400,0)),H$2,)</f>
        <v>0</v>
      </c>
      <c r="I359" s="140">
        <f ca="1">IF(ISNUMBER(MATCH(DATEVALUE($A359),'changes1_based on steps'!I$1:I$400,0)),I$2,)</f>
        <v>0</v>
      </c>
      <c r="J359" s="140">
        <f ca="1">IF(ISNUMBER(MATCH(DATEVALUE($A359),'changes1_based on steps'!J$1:J$400,0)),J$2,)</f>
        <v>0</v>
      </c>
      <c r="K359" s="140">
        <f ca="1">IF(ISNUMBER(MATCH(DATEVALUE($A359),'changes1_based on steps'!K$1:K$400,0)),K$2,)</f>
        <v>0</v>
      </c>
      <c r="L359" s="140">
        <f ca="1">IF(ISNUMBER(MATCH(DATEVALUE($A359),'changes1_based on steps'!L$1:L$400,0)),L$2,)</f>
        <v>0</v>
      </c>
      <c r="M359" s="140">
        <f ca="1">IF(ISNUMBER(MATCH(DATEVALUE($A359),'changes1_based on steps'!M$1:M$400,0)),M$2,)</f>
        <v>0</v>
      </c>
      <c r="N359" s="140">
        <f ca="1">IF(ISNUMBER(MATCH(DATEVALUE($A359),'changes1_based on steps'!N$1:N$400,0)),N$2,)</f>
        <v>0</v>
      </c>
      <c r="O359" s="140">
        <f ca="1">IF(ISNUMBER(MATCH(DATEVALUE($A359),'changes1_based on steps'!O$1:O$400,0)),O$2,)</f>
        <v>0</v>
      </c>
      <c r="P359" s="140">
        <f ca="1">IF(ISNUMBER(MATCH(DATEVALUE($A359),'changes1_based on steps'!P$1:P$400,0)),P$2,)</f>
        <v>0</v>
      </c>
      <c r="Q359" s="140">
        <f ca="1">IF(ISNUMBER(MATCH(DATEVALUE($A359),'changes1_based on steps'!Q$1:Q$400,0)),Q$2,)</f>
        <v>0</v>
      </c>
      <c r="R359" s="140">
        <f ca="1">IF(ISNUMBER(MATCH(DATEVALUE($A359),'changes1_based on steps'!R$1:R$400,0)),R$2,)</f>
        <v>0</v>
      </c>
      <c r="S359" s="140">
        <f ca="1">IF(ISNUMBER(MATCH(DATEVALUE($A359),'changes1_based on steps'!S$1:S$400,0)),S$2,)</f>
        <v>0</v>
      </c>
      <c r="T359" s="140">
        <f ca="1">IF(ISNUMBER(MATCH(DATEVALUE($A359),'changes1_based on steps'!T$1:T$400,0)),T$2,)</f>
        <v>0</v>
      </c>
      <c r="U359" s="140">
        <f ca="1">IF(ISNUMBER(MATCH(DATEVALUE($A359),'changes1_based on steps'!U$1:U$400,0)),U$2,)</f>
        <v>0</v>
      </c>
      <c r="V359" s="140"/>
      <c r="W359" s="140"/>
      <c r="X359" s="140"/>
      <c r="Y359" s="140"/>
      <c r="Z359" s="140"/>
      <c r="AA359" s="140"/>
      <c r="AB359" s="140"/>
      <c r="AC359" s="140"/>
      <c r="AD359" s="140"/>
      <c r="AE359" s="140"/>
      <c r="AF359" s="140"/>
      <c r="AG359" s="140"/>
      <c r="AH359" s="140"/>
      <c r="AI359" s="140"/>
      <c r="AJ359" s="140"/>
      <c r="AK359" s="140"/>
      <c r="AL359" s="140"/>
      <c r="AM359" s="140"/>
      <c r="AN359" s="140"/>
      <c r="AO359" s="140"/>
      <c r="AP359" s="140"/>
      <c r="AQ359" s="140"/>
      <c r="AR359" s="140"/>
      <c r="AS359" s="140"/>
      <c r="AT359" s="140"/>
      <c r="AU359" s="140"/>
      <c r="AV359" s="140"/>
      <c r="AW359" s="140"/>
      <c r="AX359" s="140"/>
      <c r="AY359" s="140"/>
      <c r="AZ359" s="140"/>
      <c r="BA359" s="140"/>
      <c r="BB359" s="140"/>
      <c r="BC359" s="140"/>
      <c r="BD359" s="140"/>
      <c r="BE359" s="140"/>
      <c r="BF359" s="140"/>
      <c r="BG359" s="140"/>
      <c r="BH359" s="140"/>
      <c r="BI359" s="140"/>
      <c r="BJ359" s="140"/>
      <c r="BK359" s="140"/>
      <c r="BL359" s="140"/>
      <c r="BM359" s="140"/>
      <c r="BN359" s="140"/>
      <c r="BO359" s="140"/>
      <c r="BP359" s="140"/>
      <c r="BQ359" s="140"/>
      <c r="BR359" s="140"/>
      <c r="BS359" s="140"/>
      <c r="BT359" s="140"/>
      <c r="BU359" s="140"/>
      <c r="BV359" s="140"/>
      <c r="BW359" s="140"/>
      <c r="BX359" s="140"/>
      <c r="BY359" s="140"/>
      <c r="BZ359" s="140"/>
      <c r="CA359" s="140"/>
      <c r="CB359" s="140"/>
      <c r="CC359" s="140"/>
      <c r="CD359" s="140"/>
      <c r="CE359" s="140"/>
      <c r="CF359" s="140"/>
      <c r="CG359" s="140"/>
      <c r="CH359" s="140"/>
      <c r="CI359" s="140"/>
      <c r="CJ359" s="140"/>
      <c r="CK359" s="140"/>
      <c r="CL359" s="140"/>
      <c r="CM359" s="140"/>
      <c r="CN359" s="140"/>
      <c r="CO359" s="140"/>
      <c r="CP359" s="140"/>
      <c r="CQ359" s="140"/>
      <c r="CR359" s="140"/>
      <c r="CS359" s="140"/>
      <c r="CT359" s="140"/>
      <c r="CU359" s="140"/>
      <c r="CV359" s="140"/>
      <c r="CW359" s="140"/>
    </row>
    <row r="360" spans="1:101" x14ac:dyDescent="0.2">
      <c r="A360" s="29" t="str">
        <f t="shared" ca="1" si="5"/>
        <v>2026-03-19</v>
      </c>
      <c r="B360" s="140">
        <f ca="1">IF(ISNUMBER(MATCH(DATEVALUE($A360),'changes1_based on steps'!B$1:B$400,0)),B$2,)</f>
        <v>0</v>
      </c>
      <c r="C360" s="140">
        <f ca="1">IF(ISNUMBER(MATCH(DATEVALUE($A360),'changes1_based on steps'!C$1:C$400,0)),C$2,)</f>
        <v>0</v>
      </c>
      <c r="D360" s="140">
        <f ca="1">IF(ISNUMBER(MATCH(DATEVALUE($A360),'changes1_based on steps'!D$1:D$400,0)),D$2,)</f>
        <v>0</v>
      </c>
      <c r="E360" s="140">
        <f ca="1">IF(ISNUMBER(MATCH(DATEVALUE($A360),'changes1_based on steps'!E$1:E$400,0)),E$2,)</f>
        <v>0</v>
      </c>
      <c r="F360" s="140">
        <f ca="1">IF(ISNUMBER(MATCH(DATEVALUE($A360),'changes1_based on steps'!F$1:F$400,0)),F$2,)</f>
        <v>0</v>
      </c>
      <c r="G360" s="140">
        <f ca="1">IF(ISNUMBER(MATCH(DATEVALUE($A360),'changes1_based on steps'!G$1:G$400,0)),G$2,)</f>
        <v>0</v>
      </c>
      <c r="H360" s="140">
        <f ca="1">IF(ISNUMBER(MATCH(DATEVALUE($A360),'changes1_based on steps'!H$1:H$400,0)),H$2,)</f>
        <v>0</v>
      </c>
      <c r="I360" s="140">
        <f ca="1">IF(ISNUMBER(MATCH(DATEVALUE($A360),'changes1_based on steps'!I$1:I$400,0)),I$2,)</f>
        <v>0</v>
      </c>
      <c r="J360" s="140">
        <f ca="1">IF(ISNUMBER(MATCH(DATEVALUE($A360),'changes1_based on steps'!J$1:J$400,0)),J$2,)</f>
        <v>0</v>
      </c>
      <c r="K360" s="140">
        <f ca="1">IF(ISNUMBER(MATCH(DATEVALUE($A360),'changes1_based on steps'!K$1:K$400,0)),K$2,)</f>
        <v>0</v>
      </c>
      <c r="L360" s="140">
        <f ca="1">IF(ISNUMBER(MATCH(DATEVALUE($A360),'changes1_based on steps'!L$1:L$400,0)),L$2,)</f>
        <v>0</v>
      </c>
      <c r="M360" s="140">
        <f ca="1">IF(ISNUMBER(MATCH(DATEVALUE($A360),'changes1_based on steps'!M$1:M$400,0)),M$2,)</f>
        <v>0</v>
      </c>
      <c r="N360" s="140">
        <f ca="1">IF(ISNUMBER(MATCH(DATEVALUE($A360),'changes1_based on steps'!N$1:N$400,0)),N$2,)</f>
        <v>0</v>
      </c>
      <c r="O360" s="140">
        <f ca="1">IF(ISNUMBER(MATCH(DATEVALUE($A360),'changes1_based on steps'!O$1:O$400,0)),O$2,)</f>
        <v>0</v>
      </c>
      <c r="P360" s="140">
        <f ca="1">IF(ISNUMBER(MATCH(DATEVALUE($A360),'changes1_based on steps'!P$1:P$400,0)),P$2,)</f>
        <v>0</v>
      </c>
      <c r="Q360" s="140">
        <f ca="1">IF(ISNUMBER(MATCH(DATEVALUE($A360),'changes1_based on steps'!Q$1:Q$400,0)),Q$2,)</f>
        <v>0</v>
      </c>
      <c r="R360" s="140">
        <f ca="1">IF(ISNUMBER(MATCH(DATEVALUE($A360),'changes1_based on steps'!R$1:R$400,0)),R$2,)</f>
        <v>0</v>
      </c>
      <c r="S360" s="140">
        <f ca="1">IF(ISNUMBER(MATCH(DATEVALUE($A360),'changes1_based on steps'!S$1:S$400,0)),S$2,)</f>
        <v>0</v>
      </c>
      <c r="T360" s="140">
        <f ca="1">IF(ISNUMBER(MATCH(DATEVALUE($A360),'changes1_based on steps'!T$1:T$400,0)),T$2,)</f>
        <v>0</v>
      </c>
      <c r="U360" s="140">
        <f ca="1">IF(ISNUMBER(MATCH(DATEVALUE($A360),'changes1_based on steps'!U$1:U$400,0)),U$2,)</f>
        <v>0</v>
      </c>
      <c r="V360" s="140"/>
      <c r="W360" s="140"/>
      <c r="X360" s="140"/>
      <c r="Y360" s="140"/>
      <c r="Z360" s="140"/>
      <c r="AA360" s="140"/>
      <c r="AB360" s="140"/>
      <c r="AC360" s="140"/>
      <c r="AD360" s="140"/>
      <c r="AE360" s="140"/>
      <c r="AF360" s="140"/>
      <c r="AG360" s="140"/>
      <c r="AH360" s="140"/>
      <c r="AI360" s="140"/>
      <c r="AJ360" s="140"/>
      <c r="AK360" s="140"/>
      <c r="AL360" s="140"/>
      <c r="AM360" s="140"/>
      <c r="AN360" s="140"/>
      <c r="AO360" s="140"/>
      <c r="AP360" s="140"/>
      <c r="AQ360" s="140"/>
      <c r="AR360" s="140"/>
      <c r="AS360" s="140"/>
      <c r="AT360" s="140"/>
      <c r="AU360" s="140"/>
      <c r="AV360" s="140"/>
      <c r="AW360" s="140"/>
      <c r="AX360" s="140"/>
      <c r="AY360" s="140"/>
      <c r="AZ360" s="140"/>
      <c r="BA360" s="140"/>
      <c r="BB360" s="140"/>
      <c r="BC360" s="140"/>
      <c r="BD360" s="140"/>
      <c r="BE360" s="140"/>
      <c r="BF360" s="140"/>
      <c r="BG360" s="140"/>
      <c r="BH360" s="140"/>
      <c r="BI360" s="140"/>
      <c r="BJ360" s="140"/>
      <c r="BK360" s="140"/>
      <c r="BL360" s="140"/>
      <c r="BM360" s="140"/>
      <c r="BN360" s="140"/>
      <c r="BO360" s="140"/>
      <c r="BP360" s="140"/>
      <c r="BQ360" s="140"/>
      <c r="BR360" s="140"/>
      <c r="BS360" s="140"/>
      <c r="BT360" s="140"/>
      <c r="BU360" s="140"/>
      <c r="BV360" s="140"/>
      <c r="BW360" s="140"/>
      <c r="BX360" s="140"/>
      <c r="BY360" s="140"/>
      <c r="BZ360" s="140"/>
      <c r="CA360" s="140"/>
      <c r="CB360" s="140"/>
      <c r="CC360" s="140"/>
      <c r="CD360" s="140"/>
      <c r="CE360" s="140"/>
      <c r="CF360" s="140"/>
      <c r="CG360" s="140"/>
      <c r="CH360" s="140"/>
      <c r="CI360" s="140"/>
      <c r="CJ360" s="140"/>
      <c r="CK360" s="140"/>
      <c r="CL360" s="140"/>
      <c r="CM360" s="140"/>
      <c r="CN360" s="140"/>
      <c r="CO360" s="140"/>
      <c r="CP360" s="140"/>
      <c r="CQ360" s="140"/>
      <c r="CR360" s="140"/>
      <c r="CS360" s="140"/>
      <c r="CT360" s="140"/>
      <c r="CU360" s="140"/>
      <c r="CV360" s="140"/>
      <c r="CW360" s="140"/>
    </row>
    <row r="361" spans="1:101" x14ac:dyDescent="0.2">
      <c r="A361" s="29" t="str">
        <f t="shared" ca="1" si="5"/>
        <v>2026-03-20</v>
      </c>
      <c r="B361" s="140">
        <f ca="1">IF(ISNUMBER(MATCH(DATEVALUE($A361),'changes1_based on steps'!B$1:B$400,0)),B$2,)</f>
        <v>0</v>
      </c>
      <c r="C361" s="140">
        <f ca="1">IF(ISNUMBER(MATCH(DATEVALUE($A361),'changes1_based on steps'!C$1:C$400,0)),C$2,)</f>
        <v>0</v>
      </c>
      <c r="D361" s="140">
        <f ca="1">IF(ISNUMBER(MATCH(DATEVALUE($A361),'changes1_based on steps'!D$1:D$400,0)),D$2,)</f>
        <v>0</v>
      </c>
      <c r="E361" s="140">
        <f ca="1">IF(ISNUMBER(MATCH(DATEVALUE($A361),'changes1_based on steps'!E$1:E$400,0)),E$2,)</f>
        <v>0</v>
      </c>
      <c r="F361" s="140">
        <f ca="1">IF(ISNUMBER(MATCH(DATEVALUE($A361),'changes1_based on steps'!F$1:F$400,0)),F$2,)</f>
        <v>0</v>
      </c>
      <c r="G361" s="140">
        <f ca="1">IF(ISNUMBER(MATCH(DATEVALUE($A361),'changes1_based on steps'!G$1:G$400,0)),G$2,)</f>
        <v>0</v>
      </c>
      <c r="H361" s="140">
        <f ca="1">IF(ISNUMBER(MATCH(DATEVALUE($A361),'changes1_based on steps'!H$1:H$400,0)),H$2,)</f>
        <v>0</v>
      </c>
      <c r="I361" s="140">
        <f ca="1">IF(ISNUMBER(MATCH(DATEVALUE($A361),'changes1_based on steps'!I$1:I$400,0)),I$2,)</f>
        <v>0</v>
      </c>
      <c r="J361" s="140">
        <f ca="1">IF(ISNUMBER(MATCH(DATEVALUE($A361),'changes1_based on steps'!J$1:J$400,0)),J$2,)</f>
        <v>0</v>
      </c>
      <c r="K361" s="140">
        <f ca="1">IF(ISNUMBER(MATCH(DATEVALUE($A361),'changes1_based on steps'!K$1:K$400,0)),K$2,)</f>
        <v>0</v>
      </c>
      <c r="L361" s="140">
        <f ca="1">IF(ISNUMBER(MATCH(DATEVALUE($A361),'changes1_based on steps'!L$1:L$400,0)),L$2,)</f>
        <v>0</v>
      </c>
      <c r="M361" s="140">
        <f ca="1">IF(ISNUMBER(MATCH(DATEVALUE($A361),'changes1_based on steps'!M$1:M$400,0)),M$2,)</f>
        <v>0</v>
      </c>
      <c r="N361" s="140">
        <f ca="1">IF(ISNUMBER(MATCH(DATEVALUE($A361),'changes1_based on steps'!N$1:N$400,0)),N$2,)</f>
        <v>0</v>
      </c>
      <c r="O361" s="140">
        <f ca="1">IF(ISNUMBER(MATCH(DATEVALUE($A361),'changes1_based on steps'!O$1:O$400,0)),O$2,)</f>
        <v>0</v>
      </c>
      <c r="P361" s="140">
        <f ca="1">IF(ISNUMBER(MATCH(DATEVALUE($A361),'changes1_based on steps'!P$1:P$400,0)),P$2,)</f>
        <v>0</v>
      </c>
      <c r="Q361" s="140">
        <f ca="1">IF(ISNUMBER(MATCH(DATEVALUE($A361),'changes1_based on steps'!Q$1:Q$400,0)),Q$2,)</f>
        <v>0</v>
      </c>
      <c r="R361" s="140">
        <f ca="1">IF(ISNUMBER(MATCH(DATEVALUE($A361),'changes1_based on steps'!R$1:R$400,0)),R$2,)</f>
        <v>0</v>
      </c>
      <c r="S361" s="140">
        <f ca="1">IF(ISNUMBER(MATCH(DATEVALUE($A361),'changes1_based on steps'!S$1:S$400,0)),S$2,)</f>
        <v>0</v>
      </c>
      <c r="T361" s="140">
        <f ca="1">IF(ISNUMBER(MATCH(DATEVALUE($A361),'changes1_based on steps'!T$1:T$400,0)),T$2,)</f>
        <v>0</v>
      </c>
      <c r="U361" s="140">
        <f ca="1">IF(ISNUMBER(MATCH(DATEVALUE($A361),'changes1_based on steps'!U$1:U$400,0)),U$2,)</f>
        <v>0</v>
      </c>
      <c r="V361" s="140"/>
      <c r="W361" s="140"/>
      <c r="X361" s="140"/>
      <c r="Y361" s="140"/>
      <c r="Z361" s="140"/>
      <c r="AA361" s="140"/>
      <c r="AB361" s="140"/>
      <c r="AC361" s="140"/>
      <c r="AD361" s="140"/>
      <c r="AE361" s="140"/>
      <c r="AF361" s="140"/>
      <c r="AG361" s="140"/>
      <c r="AH361" s="140"/>
      <c r="AI361" s="140"/>
      <c r="AJ361" s="140"/>
      <c r="AK361" s="140"/>
      <c r="AL361" s="140"/>
      <c r="AM361" s="140"/>
      <c r="AN361" s="140"/>
      <c r="AO361" s="140"/>
      <c r="AP361" s="140"/>
      <c r="AQ361" s="140"/>
      <c r="AR361" s="140"/>
      <c r="AS361" s="140"/>
      <c r="AT361" s="140"/>
      <c r="AU361" s="140"/>
      <c r="AV361" s="140"/>
      <c r="AW361" s="140"/>
      <c r="AX361" s="140"/>
      <c r="AY361" s="140"/>
      <c r="AZ361" s="140"/>
      <c r="BA361" s="140"/>
      <c r="BB361" s="140"/>
      <c r="BC361" s="140"/>
      <c r="BD361" s="140"/>
      <c r="BE361" s="140"/>
      <c r="BF361" s="140"/>
      <c r="BG361" s="140"/>
      <c r="BH361" s="140"/>
      <c r="BI361" s="140"/>
      <c r="BJ361" s="140"/>
      <c r="BK361" s="140"/>
      <c r="BL361" s="140"/>
      <c r="BM361" s="140"/>
      <c r="BN361" s="140"/>
      <c r="BO361" s="140"/>
      <c r="BP361" s="140"/>
      <c r="BQ361" s="140"/>
      <c r="BR361" s="140"/>
      <c r="BS361" s="140"/>
      <c r="BT361" s="140"/>
      <c r="BU361" s="140"/>
      <c r="BV361" s="140"/>
      <c r="BW361" s="140"/>
      <c r="BX361" s="140"/>
      <c r="BY361" s="140"/>
      <c r="BZ361" s="140"/>
      <c r="CA361" s="140"/>
      <c r="CB361" s="140"/>
      <c r="CC361" s="140"/>
      <c r="CD361" s="140"/>
      <c r="CE361" s="140"/>
      <c r="CF361" s="140"/>
      <c r="CG361" s="140"/>
      <c r="CH361" s="140"/>
      <c r="CI361" s="140"/>
      <c r="CJ361" s="140"/>
      <c r="CK361" s="140"/>
      <c r="CL361" s="140"/>
      <c r="CM361" s="140"/>
      <c r="CN361" s="140"/>
      <c r="CO361" s="140"/>
      <c r="CP361" s="140"/>
      <c r="CQ361" s="140"/>
      <c r="CR361" s="140"/>
      <c r="CS361" s="140"/>
      <c r="CT361" s="140"/>
      <c r="CU361" s="140"/>
      <c r="CV361" s="140"/>
      <c r="CW361" s="140"/>
    </row>
    <row r="362" spans="1:101" x14ac:dyDescent="0.2">
      <c r="A362" s="29" t="str">
        <f t="shared" ca="1" si="5"/>
        <v>2026-03-21</v>
      </c>
      <c r="B362" s="140">
        <f ca="1">IF(ISNUMBER(MATCH(DATEVALUE($A362),'changes1_based on steps'!B$1:B$400,0)),B$2,)</f>
        <v>0</v>
      </c>
      <c r="C362" s="140">
        <f ca="1">IF(ISNUMBER(MATCH(DATEVALUE($A362),'changes1_based on steps'!C$1:C$400,0)),C$2,)</f>
        <v>0</v>
      </c>
      <c r="D362" s="140">
        <f ca="1">IF(ISNUMBER(MATCH(DATEVALUE($A362),'changes1_based on steps'!D$1:D$400,0)),D$2,)</f>
        <v>0</v>
      </c>
      <c r="E362" s="140">
        <f ca="1">IF(ISNUMBER(MATCH(DATEVALUE($A362),'changes1_based on steps'!E$1:E$400,0)),E$2,)</f>
        <v>0</v>
      </c>
      <c r="F362" s="140">
        <f ca="1">IF(ISNUMBER(MATCH(DATEVALUE($A362),'changes1_based on steps'!F$1:F$400,0)),F$2,)</f>
        <v>0</v>
      </c>
      <c r="G362" s="140">
        <f ca="1">IF(ISNUMBER(MATCH(DATEVALUE($A362),'changes1_based on steps'!G$1:G$400,0)),G$2,)</f>
        <v>0</v>
      </c>
      <c r="H362" s="140">
        <f ca="1">IF(ISNUMBER(MATCH(DATEVALUE($A362),'changes1_based on steps'!H$1:H$400,0)),H$2,)</f>
        <v>0</v>
      </c>
      <c r="I362" s="140">
        <f ca="1">IF(ISNUMBER(MATCH(DATEVALUE($A362),'changes1_based on steps'!I$1:I$400,0)),I$2,)</f>
        <v>0</v>
      </c>
      <c r="J362" s="140">
        <f ca="1">IF(ISNUMBER(MATCH(DATEVALUE($A362),'changes1_based on steps'!J$1:J$400,0)),J$2,)</f>
        <v>0</v>
      </c>
      <c r="K362" s="140">
        <f ca="1">IF(ISNUMBER(MATCH(DATEVALUE($A362),'changes1_based on steps'!K$1:K$400,0)),K$2,)</f>
        <v>0</v>
      </c>
      <c r="L362" s="140">
        <f ca="1">IF(ISNUMBER(MATCH(DATEVALUE($A362),'changes1_based on steps'!L$1:L$400,0)),L$2,)</f>
        <v>0</v>
      </c>
      <c r="M362" s="140">
        <f ca="1">IF(ISNUMBER(MATCH(DATEVALUE($A362),'changes1_based on steps'!M$1:M$400,0)),M$2,)</f>
        <v>0</v>
      </c>
      <c r="N362" s="140">
        <f ca="1">IF(ISNUMBER(MATCH(DATEVALUE($A362),'changes1_based on steps'!N$1:N$400,0)),N$2,)</f>
        <v>0</v>
      </c>
      <c r="O362" s="140">
        <f ca="1">IF(ISNUMBER(MATCH(DATEVALUE($A362),'changes1_based on steps'!O$1:O$400,0)),O$2,)</f>
        <v>0</v>
      </c>
      <c r="P362" s="140">
        <f ca="1">IF(ISNUMBER(MATCH(DATEVALUE($A362),'changes1_based on steps'!P$1:P$400,0)),P$2,)</f>
        <v>0</v>
      </c>
      <c r="Q362" s="140">
        <f ca="1">IF(ISNUMBER(MATCH(DATEVALUE($A362),'changes1_based on steps'!Q$1:Q$400,0)),Q$2,)</f>
        <v>0</v>
      </c>
      <c r="R362" s="140">
        <f ca="1">IF(ISNUMBER(MATCH(DATEVALUE($A362),'changes1_based on steps'!R$1:R$400,0)),R$2,)</f>
        <v>0</v>
      </c>
      <c r="S362" s="140">
        <f ca="1">IF(ISNUMBER(MATCH(DATEVALUE($A362),'changes1_based on steps'!S$1:S$400,0)),S$2,)</f>
        <v>0</v>
      </c>
      <c r="T362" s="140">
        <f ca="1">IF(ISNUMBER(MATCH(DATEVALUE($A362),'changes1_based on steps'!T$1:T$400,0)),T$2,)</f>
        <v>0</v>
      </c>
      <c r="U362" s="140">
        <f ca="1">IF(ISNUMBER(MATCH(DATEVALUE($A362),'changes1_based on steps'!U$1:U$400,0)),U$2,)</f>
        <v>0</v>
      </c>
      <c r="V362" s="140"/>
      <c r="W362" s="140"/>
      <c r="X362" s="140"/>
      <c r="Y362" s="140"/>
      <c r="Z362" s="140"/>
      <c r="AA362" s="140"/>
      <c r="AB362" s="140"/>
      <c r="AC362" s="140"/>
      <c r="AD362" s="140"/>
      <c r="AE362" s="140"/>
      <c r="AF362" s="140"/>
      <c r="AG362" s="140"/>
      <c r="AH362" s="140"/>
      <c r="AI362" s="140"/>
      <c r="AJ362" s="140"/>
      <c r="AK362" s="140"/>
      <c r="AL362" s="140"/>
      <c r="AM362" s="140"/>
      <c r="AN362" s="140"/>
      <c r="AO362" s="140"/>
      <c r="AP362" s="140"/>
      <c r="AQ362" s="140"/>
      <c r="AR362" s="140"/>
      <c r="AS362" s="140"/>
      <c r="AT362" s="140"/>
      <c r="AU362" s="140"/>
      <c r="AV362" s="140"/>
      <c r="AW362" s="140"/>
      <c r="AX362" s="140"/>
      <c r="AY362" s="140"/>
      <c r="AZ362" s="140"/>
      <c r="BA362" s="140"/>
      <c r="BB362" s="140"/>
      <c r="BC362" s="140"/>
      <c r="BD362" s="140"/>
      <c r="BE362" s="140"/>
      <c r="BF362" s="140"/>
      <c r="BG362" s="140"/>
      <c r="BH362" s="140"/>
      <c r="BI362" s="140"/>
      <c r="BJ362" s="140"/>
      <c r="BK362" s="140"/>
      <c r="BL362" s="140"/>
      <c r="BM362" s="140"/>
      <c r="BN362" s="140"/>
      <c r="BO362" s="140"/>
      <c r="BP362" s="140"/>
      <c r="BQ362" s="140"/>
      <c r="BR362" s="140"/>
      <c r="BS362" s="140"/>
      <c r="BT362" s="140"/>
      <c r="BU362" s="140"/>
      <c r="BV362" s="140"/>
      <c r="BW362" s="140"/>
      <c r="BX362" s="140"/>
      <c r="BY362" s="140"/>
      <c r="BZ362" s="140"/>
      <c r="CA362" s="140"/>
      <c r="CB362" s="140"/>
      <c r="CC362" s="140"/>
      <c r="CD362" s="140"/>
      <c r="CE362" s="140"/>
      <c r="CF362" s="140"/>
      <c r="CG362" s="140"/>
      <c r="CH362" s="140"/>
      <c r="CI362" s="140"/>
      <c r="CJ362" s="140"/>
      <c r="CK362" s="140"/>
      <c r="CL362" s="140"/>
      <c r="CM362" s="140"/>
      <c r="CN362" s="140"/>
      <c r="CO362" s="140"/>
      <c r="CP362" s="140"/>
      <c r="CQ362" s="140"/>
      <c r="CR362" s="140"/>
      <c r="CS362" s="140"/>
      <c r="CT362" s="140"/>
      <c r="CU362" s="140"/>
      <c r="CV362" s="140"/>
      <c r="CW362" s="140"/>
    </row>
    <row r="363" spans="1:101" x14ac:dyDescent="0.2">
      <c r="A363" s="29" t="str">
        <f t="shared" ca="1" si="5"/>
        <v>2026-03-22</v>
      </c>
      <c r="B363" s="140">
        <f ca="1">IF(ISNUMBER(MATCH(DATEVALUE($A363),'changes1_based on steps'!B$1:B$400,0)),B$2,)</f>
        <v>0</v>
      </c>
      <c r="C363" s="140">
        <f ca="1">IF(ISNUMBER(MATCH(DATEVALUE($A363),'changes1_based on steps'!C$1:C$400,0)),C$2,)</f>
        <v>0</v>
      </c>
      <c r="D363" s="140">
        <f ca="1">IF(ISNUMBER(MATCH(DATEVALUE($A363),'changes1_based on steps'!D$1:D$400,0)),D$2,)</f>
        <v>0</v>
      </c>
      <c r="E363" s="140">
        <f ca="1">IF(ISNUMBER(MATCH(DATEVALUE($A363),'changes1_based on steps'!E$1:E$400,0)),E$2,)</f>
        <v>0</v>
      </c>
      <c r="F363" s="140">
        <f ca="1">IF(ISNUMBER(MATCH(DATEVALUE($A363),'changes1_based on steps'!F$1:F$400,0)),F$2,)</f>
        <v>0</v>
      </c>
      <c r="G363" s="140">
        <f ca="1">IF(ISNUMBER(MATCH(DATEVALUE($A363),'changes1_based on steps'!G$1:G$400,0)),G$2,)</f>
        <v>0</v>
      </c>
      <c r="H363" s="140">
        <f ca="1">IF(ISNUMBER(MATCH(DATEVALUE($A363),'changes1_based on steps'!H$1:H$400,0)),H$2,)</f>
        <v>0</v>
      </c>
      <c r="I363" s="140">
        <f ca="1">IF(ISNUMBER(MATCH(DATEVALUE($A363),'changes1_based on steps'!I$1:I$400,0)),I$2,)</f>
        <v>0</v>
      </c>
      <c r="J363" s="140">
        <f ca="1">IF(ISNUMBER(MATCH(DATEVALUE($A363),'changes1_based on steps'!J$1:J$400,0)),J$2,)</f>
        <v>0</v>
      </c>
      <c r="K363" s="140">
        <f ca="1">IF(ISNUMBER(MATCH(DATEVALUE($A363),'changes1_based on steps'!K$1:K$400,0)),K$2,)</f>
        <v>0</v>
      </c>
      <c r="L363" s="140">
        <f ca="1">IF(ISNUMBER(MATCH(DATEVALUE($A363),'changes1_based on steps'!L$1:L$400,0)),L$2,)</f>
        <v>0</v>
      </c>
      <c r="M363" s="140">
        <f ca="1">IF(ISNUMBER(MATCH(DATEVALUE($A363),'changes1_based on steps'!M$1:M$400,0)),M$2,)</f>
        <v>0</v>
      </c>
      <c r="N363" s="140">
        <f ca="1">IF(ISNUMBER(MATCH(DATEVALUE($A363),'changes1_based on steps'!N$1:N$400,0)),N$2,)</f>
        <v>0</v>
      </c>
      <c r="O363" s="140">
        <f ca="1">IF(ISNUMBER(MATCH(DATEVALUE($A363),'changes1_based on steps'!O$1:O$400,0)),O$2,)</f>
        <v>0</v>
      </c>
      <c r="P363" s="140">
        <f ca="1">IF(ISNUMBER(MATCH(DATEVALUE($A363),'changes1_based on steps'!P$1:P$400,0)),P$2,)</f>
        <v>0</v>
      </c>
      <c r="Q363" s="140">
        <f ca="1">IF(ISNUMBER(MATCH(DATEVALUE($A363),'changes1_based on steps'!Q$1:Q$400,0)),Q$2,)</f>
        <v>0</v>
      </c>
      <c r="R363" s="140">
        <f ca="1">IF(ISNUMBER(MATCH(DATEVALUE($A363),'changes1_based on steps'!R$1:R$400,0)),R$2,)</f>
        <v>0</v>
      </c>
      <c r="S363" s="140">
        <f ca="1">IF(ISNUMBER(MATCH(DATEVALUE($A363),'changes1_based on steps'!S$1:S$400,0)),S$2,)</f>
        <v>0</v>
      </c>
      <c r="T363" s="140">
        <f ca="1">IF(ISNUMBER(MATCH(DATEVALUE($A363),'changes1_based on steps'!T$1:T$400,0)),T$2,)</f>
        <v>0</v>
      </c>
      <c r="U363" s="140">
        <f ca="1">IF(ISNUMBER(MATCH(DATEVALUE($A363),'changes1_based on steps'!U$1:U$400,0)),U$2,)</f>
        <v>0</v>
      </c>
      <c r="V363" s="140"/>
      <c r="W363" s="140"/>
      <c r="X363" s="140"/>
      <c r="Y363" s="140"/>
      <c r="Z363" s="140"/>
      <c r="AA363" s="140"/>
      <c r="AB363" s="140"/>
      <c r="AC363" s="140"/>
      <c r="AD363" s="140"/>
      <c r="AE363" s="140"/>
      <c r="AF363" s="140"/>
      <c r="AG363" s="140"/>
      <c r="AH363" s="140"/>
      <c r="AI363" s="140"/>
      <c r="AJ363" s="140"/>
      <c r="AK363" s="140"/>
      <c r="AL363" s="140"/>
      <c r="AM363" s="140"/>
      <c r="AN363" s="140"/>
      <c r="AO363" s="140"/>
      <c r="AP363" s="140"/>
      <c r="AQ363" s="140"/>
      <c r="AR363" s="140"/>
      <c r="AS363" s="140"/>
      <c r="AT363" s="140"/>
      <c r="AU363" s="140"/>
      <c r="AV363" s="140"/>
      <c r="AW363" s="140"/>
      <c r="AX363" s="140"/>
      <c r="AY363" s="140"/>
      <c r="AZ363" s="140"/>
      <c r="BA363" s="140"/>
      <c r="BB363" s="140"/>
      <c r="BC363" s="140"/>
      <c r="BD363" s="140"/>
      <c r="BE363" s="140"/>
      <c r="BF363" s="140"/>
      <c r="BG363" s="140"/>
      <c r="BH363" s="140"/>
      <c r="BI363" s="140"/>
      <c r="BJ363" s="140"/>
      <c r="BK363" s="140"/>
      <c r="BL363" s="140"/>
      <c r="BM363" s="140"/>
      <c r="BN363" s="140"/>
      <c r="BO363" s="140"/>
      <c r="BP363" s="140"/>
      <c r="BQ363" s="140"/>
      <c r="BR363" s="140"/>
      <c r="BS363" s="140"/>
      <c r="BT363" s="140"/>
      <c r="BU363" s="140"/>
      <c r="BV363" s="140"/>
      <c r="BW363" s="140"/>
      <c r="BX363" s="140"/>
      <c r="BY363" s="140"/>
      <c r="BZ363" s="140"/>
      <c r="CA363" s="140"/>
      <c r="CB363" s="140"/>
      <c r="CC363" s="140"/>
      <c r="CD363" s="140"/>
      <c r="CE363" s="140"/>
      <c r="CF363" s="140"/>
      <c r="CG363" s="140"/>
      <c r="CH363" s="140"/>
      <c r="CI363" s="140"/>
      <c r="CJ363" s="140"/>
      <c r="CK363" s="140"/>
      <c r="CL363" s="140"/>
      <c r="CM363" s="140"/>
      <c r="CN363" s="140"/>
      <c r="CO363" s="140"/>
      <c r="CP363" s="140"/>
      <c r="CQ363" s="140"/>
      <c r="CR363" s="140"/>
      <c r="CS363" s="140"/>
      <c r="CT363" s="140"/>
      <c r="CU363" s="140"/>
      <c r="CV363" s="140"/>
      <c r="CW363" s="140"/>
    </row>
    <row r="364" spans="1:101" x14ac:dyDescent="0.2">
      <c r="A364" s="29" t="str">
        <f t="shared" ca="1" si="5"/>
        <v>2026-03-23</v>
      </c>
      <c r="B364" s="140">
        <f ca="1">IF(ISNUMBER(MATCH(DATEVALUE($A364),'changes1_based on steps'!B$1:B$400,0)),B$2,)</f>
        <v>0</v>
      </c>
      <c r="C364" s="140">
        <f ca="1">IF(ISNUMBER(MATCH(DATEVALUE($A364),'changes1_based on steps'!C$1:C$400,0)),C$2,)</f>
        <v>0</v>
      </c>
      <c r="D364" s="140">
        <f ca="1">IF(ISNUMBER(MATCH(DATEVALUE($A364),'changes1_based on steps'!D$1:D$400,0)),D$2,)</f>
        <v>0</v>
      </c>
      <c r="E364" s="140">
        <f ca="1">IF(ISNUMBER(MATCH(DATEVALUE($A364),'changes1_based on steps'!E$1:E$400,0)),E$2,)</f>
        <v>0</v>
      </c>
      <c r="F364" s="140">
        <f ca="1">IF(ISNUMBER(MATCH(DATEVALUE($A364),'changes1_based on steps'!F$1:F$400,0)),F$2,)</f>
        <v>0</v>
      </c>
      <c r="G364" s="140">
        <f ca="1">IF(ISNUMBER(MATCH(DATEVALUE($A364),'changes1_based on steps'!G$1:G$400,0)),G$2,)</f>
        <v>0</v>
      </c>
      <c r="H364" s="140">
        <f ca="1">IF(ISNUMBER(MATCH(DATEVALUE($A364),'changes1_based on steps'!H$1:H$400,0)),H$2,)</f>
        <v>0</v>
      </c>
      <c r="I364" s="140">
        <f ca="1">IF(ISNUMBER(MATCH(DATEVALUE($A364),'changes1_based on steps'!I$1:I$400,0)),I$2,)</f>
        <v>0</v>
      </c>
      <c r="J364" s="140">
        <f ca="1">IF(ISNUMBER(MATCH(DATEVALUE($A364),'changes1_based on steps'!J$1:J$400,0)),J$2,)</f>
        <v>0</v>
      </c>
      <c r="K364" s="140">
        <f ca="1">IF(ISNUMBER(MATCH(DATEVALUE($A364),'changes1_based on steps'!K$1:K$400,0)),K$2,)</f>
        <v>0</v>
      </c>
      <c r="L364" s="140">
        <f ca="1">IF(ISNUMBER(MATCH(DATEVALUE($A364),'changes1_based on steps'!L$1:L$400,0)),L$2,)</f>
        <v>0</v>
      </c>
      <c r="M364" s="140">
        <f ca="1">IF(ISNUMBER(MATCH(DATEVALUE($A364),'changes1_based on steps'!M$1:M$400,0)),M$2,)</f>
        <v>0</v>
      </c>
      <c r="N364" s="140">
        <f ca="1">IF(ISNUMBER(MATCH(DATEVALUE($A364),'changes1_based on steps'!N$1:N$400,0)),N$2,)</f>
        <v>0</v>
      </c>
      <c r="O364" s="140">
        <f ca="1">IF(ISNUMBER(MATCH(DATEVALUE($A364),'changes1_based on steps'!O$1:O$400,0)),O$2,)</f>
        <v>0</v>
      </c>
      <c r="P364" s="140">
        <f ca="1">IF(ISNUMBER(MATCH(DATEVALUE($A364),'changes1_based on steps'!P$1:P$400,0)),P$2,)</f>
        <v>0</v>
      </c>
      <c r="Q364" s="140">
        <f ca="1">IF(ISNUMBER(MATCH(DATEVALUE($A364),'changes1_based on steps'!Q$1:Q$400,0)),Q$2,)</f>
        <v>0</v>
      </c>
      <c r="R364" s="140">
        <f ca="1">IF(ISNUMBER(MATCH(DATEVALUE($A364),'changes1_based on steps'!R$1:R$400,0)),R$2,)</f>
        <v>0</v>
      </c>
      <c r="S364" s="140">
        <f ca="1">IF(ISNUMBER(MATCH(DATEVALUE($A364),'changes1_based on steps'!S$1:S$400,0)),S$2,)</f>
        <v>0</v>
      </c>
      <c r="T364" s="140">
        <f ca="1">IF(ISNUMBER(MATCH(DATEVALUE($A364),'changes1_based on steps'!T$1:T$400,0)),T$2,)</f>
        <v>0</v>
      </c>
      <c r="U364" s="140">
        <f ca="1">IF(ISNUMBER(MATCH(DATEVALUE($A364),'changes1_based on steps'!U$1:U$400,0)),U$2,)</f>
        <v>0</v>
      </c>
      <c r="V364" s="140"/>
      <c r="W364" s="140"/>
      <c r="X364" s="140"/>
      <c r="Y364" s="140"/>
      <c r="Z364" s="140"/>
      <c r="AA364" s="140"/>
      <c r="AB364" s="140"/>
      <c r="AC364" s="140"/>
      <c r="AD364" s="140"/>
      <c r="AE364" s="140"/>
      <c r="AF364" s="140"/>
      <c r="AG364" s="140"/>
      <c r="AH364" s="140"/>
      <c r="AI364" s="140"/>
      <c r="AJ364" s="140"/>
      <c r="AK364" s="140"/>
      <c r="AL364" s="140"/>
      <c r="AM364" s="140"/>
      <c r="AN364" s="140"/>
      <c r="AO364" s="140"/>
      <c r="AP364" s="140"/>
      <c r="AQ364" s="140"/>
      <c r="AR364" s="140"/>
      <c r="AS364" s="140"/>
      <c r="AT364" s="140"/>
      <c r="AU364" s="140"/>
      <c r="AV364" s="140"/>
      <c r="AW364" s="140"/>
      <c r="AX364" s="140"/>
      <c r="AY364" s="140"/>
      <c r="AZ364" s="140"/>
      <c r="BA364" s="140"/>
      <c r="BB364" s="140"/>
      <c r="BC364" s="140"/>
      <c r="BD364" s="140"/>
      <c r="BE364" s="140"/>
      <c r="BF364" s="140"/>
      <c r="BG364" s="140"/>
      <c r="BH364" s="140"/>
      <c r="BI364" s="140"/>
      <c r="BJ364" s="140"/>
      <c r="BK364" s="140"/>
      <c r="BL364" s="140"/>
      <c r="BM364" s="140"/>
      <c r="BN364" s="140"/>
      <c r="BO364" s="140"/>
      <c r="BP364" s="140"/>
      <c r="BQ364" s="140"/>
      <c r="BR364" s="140"/>
      <c r="BS364" s="140"/>
      <c r="BT364" s="140"/>
      <c r="BU364" s="140"/>
      <c r="BV364" s="140"/>
      <c r="BW364" s="140"/>
      <c r="BX364" s="140"/>
      <c r="BY364" s="140"/>
      <c r="BZ364" s="140"/>
      <c r="CA364" s="140"/>
      <c r="CB364" s="140"/>
      <c r="CC364" s="140"/>
      <c r="CD364" s="140"/>
      <c r="CE364" s="140"/>
      <c r="CF364" s="140"/>
      <c r="CG364" s="140"/>
      <c r="CH364" s="140"/>
      <c r="CI364" s="140"/>
      <c r="CJ364" s="140"/>
      <c r="CK364" s="140"/>
      <c r="CL364" s="140"/>
      <c r="CM364" s="140"/>
      <c r="CN364" s="140"/>
      <c r="CO364" s="140"/>
      <c r="CP364" s="140"/>
      <c r="CQ364" s="140"/>
      <c r="CR364" s="140"/>
      <c r="CS364" s="140"/>
      <c r="CT364" s="140"/>
      <c r="CU364" s="140"/>
      <c r="CV364" s="140"/>
      <c r="CW364" s="140"/>
    </row>
    <row r="365" spans="1:101" x14ac:dyDescent="0.2">
      <c r="A365" s="29" t="str">
        <f t="shared" ca="1" si="5"/>
        <v>2026-03-24</v>
      </c>
      <c r="B365" s="140">
        <f ca="1">IF(ISNUMBER(MATCH(DATEVALUE($A365),'changes1_based on steps'!B$1:B$400,0)),B$2,)</f>
        <v>0</v>
      </c>
      <c r="C365" s="140">
        <f ca="1">IF(ISNUMBER(MATCH(DATEVALUE($A365),'changes1_based on steps'!C$1:C$400,0)),C$2,)</f>
        <v>0</v>
      </c>
      <c r="D365" s="140">
        <f ca="1">IF(ISNUMBER(MATCH(DATEVALUE($A365),'changes1_based on steps'!D$1:D$400,0)),D$2,)</f>
        <v>0</v>
      </c>
      <c r="E365" s="140">
        <f ca="1">IF(ISNUMBER(MATCH(DATEVALUE($A365),'changes1_based on steps'!E$1:E$400,0)),E$2,)</f>
        <v>0</v>
      </c>
      <c r="F365" s="140">
        <f ca="1">IF(ISNUMBER(MATCH(DATEVALUE($A365),'changes1_based on steps'!F$1:F$400,0)),F$2,)</f>
        <v>0</v>
      </c>
      <c r="G365" s="140">
        <f ca="1">IF(ISNUMBER(MATCH(DATEVALUE($A365),'changes1_based on steps'!G$1:G$400,0)),G$2,)</f>
        <v>0</v>
      </c>
      <c r="H365" s="140">
        <f ca="1">IF(ISNUMBER(MATCH(DATEVALUE($A365),'changes1_based on steps'!H$1:H$400,0)),H$2,)</f>
        <v>0</v>
      </c>
      <c r="I365" s="140">
        <f ca="1">IF(ISNUMBER(MATCH(DATEVALUE($A365),'changes1_based on steps'!I$1:I$400,0)),I$2,)</f>
        <v>0</v>
      </c>
      <c r="J365" s="140">
        <f ca="1">IF(ISNUMBER(MATCH(DATEVALUE($A365),'changes1_based on steps'!J$1:J$400,0)),J$2,)</f>
        <v>0</v>
      </c>
      <c r="K365" s="140">
        <f ca="1">IF(ISNUMBER(MATCH(DATEVALUE($A365),'changes1_based on steps'!K$1:K$400,0)),K$2,)</f>
        <v>0</v>
      </c>
      <c r="L365" s="140">
        <f ca="1">IF(ISNUMBER(MATCH(DATEVALUE($A365),'changes1_based on steps'!L$1:L$400,0)),L$2,)</f>
        <v>0</v>
      </c>
      <c r="M365" s="140">
        <f ca="1">IF(ISNUMBER(MATCH(DATEVALUE($A365),'changes1_based on steps'!M$1:M$400,0)),M$2,)</f>
        <v>0</v>
      </c>
      <c r="N365" s="140">
        <f ca="1">IF(ISNUMBER(MATCH(DATEVALUE($A365),'changes1_based on steps'!N$1:N$400,0)),N$2,)</f>
        <v>0</v>
      </c>
      <c r="O365" s="140">
        <f ca="1">IF(ISNUMBER(MATCH(DATEVALUE($A365),'changes1_based on steps'!O$1:O$400,0)),O$2,)</f>
        <v>0</v>
      </c>
      <c r="P365" s="140">
        <f ca="1">IF(ISNUMBER(MATCH(DATEVALUE($A365),'changes1_based on steps'!P$1:P$400,0)),P$2,)</f>
        <v>0</v>
      </c>
      <c r="Q365" s="140">
        <f ca="1">IF(ISNUMBER(MATCH(DATEVALUE($A365),'changes1_based on steps'!Q$1:Q$400,0)),Q$2,)</f>
        <v>0</v>
      </c>
      <c r="R365" s="140">
        <f ca="1">IF(ISNUMBER(MATCH(DATEVALUE($A365),'changes1_based on steps'!R$1:R$400,0)),R$2,)</f>
        <v>0</v>
      </c>
      <c r="S365" s="140">
        <f ca="1">IF(ISNUMBER(MATCH(DATEVALUE($A365),'changes1_based on steps'!S$1:S$400,0)),S$2,)</f>
        <v>0</v>
      </c>
      <c r="T365" s="140">
        <f ca="1">IF(ISNUMBER(MATCH(DATEVALUE($A365),'changes1_based on steps'!T$1:T$400,0)),T$2,)</f>
        <v>0</v>
      </c>
      <c r="U365" s="140">
        <f ca="1">IF(ISNUMBER(MATCH(DATEVALUE($A365),'changes1_based on steps'!U$1:U$400,0)),U$2,)</f>
        <v>0</v>
      </c>
      <c r="V365" s="140"/>
      <c r="W365" s="140"/>
      <c r="X365" s="140"/>
      <c r="Y365" s="140"/>
      <c r="Z365" s="140"/>
      <c r="AA365" s="140"/>
      <c r="AB365" s="140"/>
      <c r="AC365" s="140"/>
      <c r="AD365" s="140"/>
      <c r="AE365" s="140"/>
      <c r="AF365" s="140"/>
      <c r="AG365" s="140"/>
      <c r="AH365" s="140"/>
      <c r="AI365" s="140"/>
      <c r="AJ365" s="140"/>
      <c r="AK365" s="140"/>
      <c r="AL365" s="140"/>
      <c r="AM365" s="140"/>
      <c r="AN365" s="140"/>
      <c r="AO365" s="140"/>
      <c r="AP365" s="140"/>
      <c r="AQ365" s="140"/>
      <c r="AR365" s="140"/>
      <c r="AS365" s="140"/>
      <c r="AT365" s="140"/>
      <c r="AU365" s="140"/>
      <c r="AV365" s="140"/>
      <c r="AW365" s="140"/>
      <c r="AX365" s="140"/>
      <c r="AY365" s="140"/>
      <c r="AZ365" s="140"/>
      <c r="BA365" s="140"/>
      <c r="BB365" s="140"/>
      <c r="BC365" s="140"/>
      <c r="BD365" s="140"/>
      <c r="BE365" s="140"/>
      <c r="BF365" s="140"/>
      <c r="BG365" s="140"/>
      <c r="BH365" s="140"/>
      <c r="BI365" s="140"/>
      <c r="BJ365" s="140"/>
      <c r="BK365" s="140"/>
      <c r="BL365" s="140"/>
      <c r="BM365" s="140"/>
      <c r="BN365" s="140"/>
      <c r="BO365" s="140"/>
      <c r="BP365" s="140"/>
      <c r="BQ365" s="140"/>
      <c r="BR365" s="140"/>
      <c r="BS365" s="140"/>
      <c r="BT365" s="140"/>
      <c r="BU365" s="140"/>
      <c r="BV365" s="140"/>
      <c r="BW365" s="140"/>
      <c r="BX365" s="140"/>
      <c r="BY365" s="140"/>
      <c r="BZ365" s="140"/>
      <c r="CA365" s="140"/>
      <c r="CB365" s="140"/>
      <c r="CC365" s="140"/>
      <c r="CD365" s="140"/>
      <c r="CE365" s="140"/>
      <c r="CF365" s="140"/>
      <c r="CG365" s="140"/>
      <c r="CH365" s="140"/>
      <c r="CI365" s="140"/>
      <c r="CJ365" s="140"/>
      <c r="CK365" s="140"/>
      <c r="CL365" s="140"/>
      <c r="CM365" s="140"/>
      <c r="CN365" s="140"/>
      <c r="CO365" s="140"/>
      <c r="CP365" s="140"/>
      <c r="CQ365" s="140"/>
      <c r="CR365" s="140"/>
      <c r="CS365" s="140"/>
      <c r="CT365" s="140"/>
      <c r="CU365" s="140"/>
      <c r="CV365" s="140"/>
      <c r="CW365" s="140"/>
    </row>
    <row r="366" spans="1:101" x14ac:dyDescent="0.2">
      <c r="A366" s="29" t="str">
        <f t="shared" ca="1" si="5"/>
        <v>2026-03-25</v>
      </c>
      <c r="B366" s="140">
        <f ca="1">IF(ISNUMBER(MATCH(DATEVALUE($A366),'changes1_based on steps'!B$1:B$400,0)),B$2,)</f>
        <v>0</v>
      </c>
      <c r="C366" s="140">
        <f ca="1">IF(ISNUMBER(MATCH(DATEVALUE($A366),'changes1_based on steps'!C$1:C$400,0)),C$2,)</f>
        <v>0</v>
      </c>
      <c r="D366" s="140">
        <f ca="1">IF(ISNUMBER(MATCH(DATEVALUE($A366),'changes1_based on steps'!D$1:D$400,0)),D$2,)</f>
        <v>0</v>
      </c>
      <c r="E366" s="140">
        <f ca="1">IF(ISNUMBER(MATCH(DATEVALUE($A366),'changes1_based on steps'!E$1:E$400,0)),E$2,)</f>
        <v>0</v>
      </c>
      <c r="F366" s="140">
        <f ca="1">IF(ISNUMBER(MATCH(DATEVALUE($A366),'changes1_based on steps'!F$1:F$400,0)),F$2,)</f>
        <v>0</v>
      </c>
      <c r="G366" s="140">
        <f ca="1">IF(ISNUMBER(MATCH(DATEVALUE($A366),'changes1_based on steps'!G$1:G$400,0)),G$2,)</f>
        <v>0</v>
      </c>
      <c r="H366" s="140">
        <f ca="1">IF(ISNUMBER(MATCH(DATEVALUE($A366),'changes1_based on steps'!H$1:H$400,0)),H$2,)</f>
        <v>0</v>
      </c>
      <c r="I366" s="140">
        <f ca="1">IF(ISNUMBER(MATCH(DATEVALUE($A366),'changes1_based on steps'!I$1:I$400,0)),I$2,)</f>
        <v>0</v>
      </c>
      <c r="J366" s="140">
        <f ca="1">IF(ISNUMBER(MATCH(DATEVALUE($A366),'changes1_based on steps'!J$1:J$400,0)),J$2,)</f>
        <v>0</v>
      </c>
      <c r="K366" s="140">
        <f ca="1">IF(ISNUMBER(MATCH(DATEVALUE($A366),'changes1_based on steps'!K$1:K$400,0)),K$2,)</f>
        <v>0</v>
      </c>
      <c r="L366" s="140">
        <f ca="1">IF(ISNUMBER(MATCH(DATEVALUE($A366),'changes1_based on steps'!L$1:L$400,0)),L$2,)</f>
        <v>0</v>
      </c>
      <c r="M366" s="140">
        <f ca="1">IF(ISNUMBER(MATCH(DATEVALUE($A366),'changes1_based on steps'!M$1:M$400,0)),M$2,)</f>
        <v>0</v>
      </c>
      <c r="N366" s="140">
        <f ca="1">IF(ISNUMBER(MATCH(DATEVALUE($A366),'changes1_based on steps'!N$1:N$400,0)),N$2,)</f>
        <v>0</v>
      </c>
      <c r="O366" s="140">
        <f ca="1">IF(ISNUMBER(MATCH(DATEVALUE($A366),'changes1_based on steps'!O$1:O$400,0)),O$2,)</f>
        <v>0</v>
      </c>
      <c r="P366" s="140">
        <f ca="1">IF(ISNUMBER(MATCH(DATEVALUE($A366),'changes1_based on steps'!P$1:P$400,0)),P$2,)</f>
        <v>0</v>
      </c>
      <c r="Q366" s="140">
        <f ca="1">IF(ISNUMBER(MATCH(DATEVALUE($A366),'changes1_based on steps'!Q$1:Q$400,0)),Q$2,)</f>
        <v>0</v>
      </c>
      <c r="R366" s="140">
        <f ca="1">IF(ISNUMBER(MATCH(DATEVALUE($A366),'changes1_based on steps'!R$1:R$400,0)),R$2,)</f>
        <v>0</v>
      </c>
      <c r="S366" s="140">
        <f ca="1">IF(ISNUMBER(MATCH(DATEVALUE($A366),'changes1_based on steps'!S$1:S$400,0)),S$2,)</f>
        <v>0</v>
      </c>
      <c r="T366" s="140">
        <f ca="1">IF(ISNUMBER(MATCH(DATEVALUE($A366),'changes1_based on steps'!T$1:T$400,0)),T$2,)</f>
        <v>0</v>
      </c>
      <c r="U366" s="140">
        <f ca="1">IF(ISNUMBER(MATCH(DATEVALUE($A366),'changes1_based on steps'!U$1:U$400,0)),U$2,)</f>
        <v>0</v>
      </c>
      <c r="V366" s="140"/>
      <c r="W366" s="140"/>
      <c r="X366" s="140"/>
      <c r="Y366" s="140"/>
      <c r="Z366" s="140"/>
      <c r="AA366" s="140"/>
      <c r="AB366" s="140"/>
      <c r="AC366" s="140"/>
      <c r="AD366" s="140"/>
      <c r="AE366" s="140"/>
      <c r="AF366" s="140"/>
      <c r="AG366" s="140"/>
      <c r="AH366" s="140"/>
      <c r="AI366" s="140"/>
      <c r="AJ366" s="140"/>
      <c r="AK366" s="140"/>
      <c r="AL366" s="140"/>
      <c r="AM366" s="140"/>
      <c r="AN366" s="140"/>
      <c r="AO366" s="140"/>
      <c r="AP366" s="140"/>
      <c r="AQ366" s="140"/>
      <c r="AR366" s="140"/>
      <c r="AS366" s="140"/>
      <c r="AT366" s="140"/>
      <c r="AU366" s="140"/>
      <c r="AV366" s="140"/>
      <c r="AW366" s="140"/>
      <c r="AX366" s="140"/>
      <c r="AY366" s="140"/>
      <c r="AZ366" s="140"/>
      <c r="BA366" s="140"/>
      <c r="BB366" s="140"/>
      <c r="BC366" s="140"/>
      <c r="BD366" s="140"/>
      <c r="BE366" s="140"/>
      <c r="BF366" s="140"/>
      <c r="BG366" s="140"/>
      <c r="BH366" s="140"/>
      <c r="BI366" s="140"/>
      <c r="BJ366" s="140"/>
      <c r="BK366" s="140"/>
      <c r="BL366" s="140"/>
      <c r="BM366" s="140"/>
      <c r="BN366" s="140"/>
      <c r="BO366" s="140"/>
      <c r="BP366" s="140"/>
      <c r="BQ366" s="140"/>
      <c r="BR366" s="140"/>
      <c r="BS366" s="140"/>
      <c r="BT366" s="140"/>
      <c r="BU366" s="140"/>
      <c r="BV366" s="140"/>
      <c r="BW366" s="140"/>
      <c r="BX366" s="140"/>
      <c r="BY366" s="140"/>
      <c r="BZ366" s="140"/>
      <c r="CA366" s="140"/>
      <c r="CB366" s="140"/>
      <c r="CC366" s="140"/>
      <c r="CD366" s="140"/>
      <c r="CE366" s="140"/>
      <c r="CF366" s="140"/>
      <c r="CG366" s="140"/>
      <c r="CH366" s="140"/>
      <c r="CI366" s="140"/>
      <c r="CJ366" s="140"/>
      <c r="CK366" s="140"/>
      <c r="CL366" s="140"/>
      <c r="CM366" s="140"/>
      <c r="CN366" s="140"/>
      <c r="CO366" s="140"/>
      <c r="CP366" s="140"/>
      <c r="CQ366" s="140"/>
      <c r="CR366" s="140"/>
      <c r="CS366" s="140"/>
      <c r="CT366" s="140"/>
      <c r="CU366" s="140"/>
      <c r="CV366" s="140"/>
      <c r="CW366" s="140"/>
    </row>
    <row r="367" spans="1:101" x14ac:dyDescent="0.2">
      <c r="A367" s="29" t="str">
        <f t="shared" ca="1" si="5"/>
        <v>2026-03-26</v>
      </c>
      <c r="B367" s="140">
        <f ca="1">IF(ISNUMBER(MATCH(DATEVALUE($A367),'changes1_based on steps'!B$1:B$400,0)),B$2,)</f>
        <v>0</v>
      </c>
      <c r="C367" s="140">
        <f ca="1">IF(ISNUMBER(MATCH(DATEVALUE($A367),'changes1_based on steps'!C$1:C$400,0)),C$2,)</f>
        <v>0</v>
      </c>
      <c r="D367" s="140">
        <f ca="1">IF(ISNUMBER(MATCH(DATEVALUE($A367),'changes1_based on steps'!D$1:D$400,0)),D$2,)</f>
        <v>0</v>
      </c>
      <c r="E367" s="140">
        <f ca="1">IF(ISNUMBER(MATCH(DATEVALUE($A367),'changes1_based on steps'!E$1:E$400,0)),E$2,)</f>
        <v>0</v>
      </c>
      <c r="F367" s="140">
        <f ca="1">IF(ISNUMBER(MATCH(DATEVALUE($A367),'changes1_based on steps'!F$1:F$400,0)),F$2,)</f>
        <v>0</v>
      </c>
      <c r="G367" s="140">
        <f ca="1">IF(ISNUMBER(MATCH(DATEVALUE($A367),'changes1_based on steps'!G$1:G$400,0)),G$2,)</f>
        <v>0</v>
      </c>
      <c r="H367" s="140">
        <f ca="1">IF(ISNUMBER(MATCH(DATEVALUE($A367),'changes1_based on steps'!H$1:H$400,0)),H$2,)</f>
        <v>0</v>
      </c>
      <c r="I367" s="140">
        <f ca="1">IF(ISNUMBER(MATCH(DATEVALUE($A367),'changes1_based on steps'!I$1:I$400,0)),I$2,)</f>
        <v>0</v>
      </c>
      <c r="J367" s="140">
        <f ca="1">IF(ISNUMBER(MATCH(DATEVALUE($A367),'changes1_based on steps'!J$1:J$400,0)),J$2,)</f>
        <v>0</v>
      </c>
      <c r="K367" s="140">
        <f ca="1">IF(ISNUMBER(MATCH(DATEVALUE($A367),'changes1_based on steps'!K$1:K$400,0)),K$2,)</f>
        <v>0</v>
      </c>
      <c r="L367" s="140">
        <f ca="1">IF(ISNUMBER(MATCH(DATEVALUE($A367),'changes1_based on steps'!L$1:L$400,0)),L$2,)</f>
        <v>0</v>
      </c>
      <c r="M367" s="140">
        <f ca="1">IF(ISNUMBER(MATCH(DATEVALUE($A367),'changes1_based on steps'!M$1:M$400,0)),M$2,)</f>
        <v>0</v>
      </c>
      <c r="N367" s="140">
        <f ca="1">IF(ISNUMBER(MATCH(DATEVALUE($A367),'changes1_based on steps'!N$1:N$400,0)),N$2,)</f>
        <v>0</v>
      </c>
      <c r="O367" s="140">
        <f ca="1">IF(ISNUMBER(MATCH(DATEVALUE($A367),'changes1_based on steps'!O$1:O$400,0)),O$2,)</f>
        <v>0</v>
      </c>
      <c r="P367" s="140">
        <f ca="1">IF(ISNUMBER(MATCH(DATEVALUE($A367),'changes1_based on steps'!P$1:P$400,0)),P$2,)</f>
        <v>0</v>
      </c>
      <c r="Q367" s="140">
        <f ca="1">IF(ISNUMBER(MATCH(DATEVALUE($A367),'changes1_based on steps'!Q$1:Q$400,0)),Q$2,)</f>
        <v>0</v>
      </c>
      <c r="R367" s="140">
        <f ca="1">IF(ISNUMBER(MATCH(DATEVALUE($A367),'changes1_based on steps'!R$1:R$400,0)),R$2,)</f>
        <v>0</v>
      </c>
      <c r="S367" s="140">
        <f ca="1">IF(ISNUMBER(MATCH(DATEVALUE($A367),'changes1_based on steps'!S$1:S$400,0)),S$2,)</f>
        <v>0</v>
      </c>
      <c r="T367" s="140">
        <f ca="1">IF(ISNUMBER(MATCH(DATEVALUE($A367),'changes1_based on steps'!T$1:T$400,0)),T$2,)</f>
        <v>0</v>
      </c>
      <c r="U367" s="140">
        <f ca="1">IF(ISNUMBER(MATCH(DATEVALUE($A367),'changes1_based on steps'!U$1:U$400,0)),U$2,)</f>
        <v>0</v>
      </c>
      <c r="V367" s="140"/>
      <c r="W367" s="140"/>
      <c r="X367" s="140"/>
      <c r="Y367" s="140"/>
      <c r="Z367" s="140"/>
      <c r="AA367" s="140"/>
      <c r="AB367" s="140"/>
      <c r="AC367" s="140"/>
      <c r="AD367" s="140"/>
      <c r="AE367" s="140"/>
      <c r="AF367" s="140"/>
      <c r="AG367" s="140"/>
      <c r="AH367" s="140"/>
      <c r="AI367" s="140"/>
      <c r="AJ367" s="140"/>
      <c r="AK367" s="140"/>
      <c r="AL367" s="140"/>
      <c r="AM367" s="140"/>
      <c r="AN367" s="140"/>
      <c r="AO367" s="140"/>
      <c r="AP367" s="140"/>
      <c r="AQ367" s="140"/>
      <c r="AR367" s="140"/>
      <c r="AS367" s="140"/>
      <c r="AT367" s="140"/>
      <c r="AU367" s="140"/>
      <c r="AV367" s="140"/>
      <c r="AW367" s="140"/>
      <c r="AX367" s="140"/>
      <c r="AY367" s="140"/>
      <c r="AZ367" s="140"/>
      <c r="BA367" s="140"/>
      <c r="BB367" s="140"/>
      <c r="BC367" s="140"/>
      <c r="BD367" s="140"/>
      <c r="BE367" s="140"/>
      <c r="BF367" s="140"/>
      <c r="BG367" s="140"/>
      <c r="BH367" s="140"/>
      <c r="BI367" s="140"/>
      <c r="BJ367" s="140"/>
      <c r="BK367" s="140"/>
      <c r="BL367" s="140"/>
      <c r="BM367" s="140"/>
      <c r="BN367" s="140"/>
      <c r="BO367" s="140"/>
      <c r="BP367" s="140"/>
      <c r="BQ367" s="140"/>
      <c r="BR367" s="140"/>
      <c r="BS367" s="140"/>
      <c r="BT367" s="140"/>
      <c r="BU367" s="140"/>
      <c r="BV367" s="140"/>
      <c r="BW367" s="140"/>
      <c r="BX367" s="140"/>
      <c r="BY367" s="140"/>
      <c r="BZ367" s="140"/>
      <c r="CA367" s="140"/>
      <c r="CB367" s="140"/>
      <c r="CC367" s="140"/>
      <c r="CD367" s="140"/>
      <c r="CE367" s="140"/>
      <c r="CF367" s="140"/>
      <c r="CG367" s="140"/>
      <c r="CH367" s="140"/>
      <c r="CI367" s="140"/>
      <c r="CJ367" s="140"/>
      <c r="CK367" s="140"/>
      <c r="CL367" s="140"/>
      <c r="CM367" s="140"/>
      <c r="CN367" s="140"/>
      <c r="CO367" s="140"/>
      <c r="CP367" s="140"/>
      <c r="CQ367" s="140"/>
      <c r="CR367" s="140"/>
      <c r="CS367" s="140"/>
      <c r="CT367" s="140"/>
      <c r="CU367" s="140"/>
      <c r="CV367" s="140"/>
      <c r="CW367" s="140"/>
    </row>
    <row r="368" spans="1:101" x14ac:dyDescent="0.2">
      <c r="A368" s="29" t="str">
        <f t="shared" ca="1" si="5"/>
        <v>2026-03-27</v>
      </c>
      <c r="B368" s="140">
        <f ca="1">IF(ISNUMBER(MATCH(DATEVALUE($A368),'changes1_based on steps'!B$1:B$400,0)),B$2,)</f>
        <v>0</v>
      </c>
      <c r="C368" s="140">
        <f ca="1">IF(ISNUMBER(MATCH(DATEVALUE($A368),'changes1_based on steps'!C$1:C$400,0)),C$2,)</f>
        <v>0</v>
      </c>
      <c r="D368" s="140">
        <f ca="1">IF(ISNUMBER(MATCH(DATEVALUE($A368),'changes1_based on steps'!D$1:D$400,0)),D$2,)</f>
        <v>0</v>
      </c>
      <c r="E368" s="140">
        <f ca="1">IF(ISNUMBER(MATCH(DATEVALUE($A368),'changes1_based on steps'!E$1:E$400,0)),E$2,)</f>
        <v>0</v>
      </c>
      <c r="F368" s="140">
        <f ca="1">IF(ISNUMBER(MATCH(DATEVALUE($A368),'changes1_based on steps'!F$1:F$400,0)),F$2,)</f>
        <v>0</v>
      </c>
      <c r="G368" s="140">
        <f ca="1">IF(ISNUMBER(MATCH(DATEVALUE($A368),'changes1_based on steps'!G$1:G$400,0)),G$2,)</f>
        <v>0</v>
      </c>
      <c r="H368" s="140">
        <f ca="1">IF(ISNUMBER(MATCH(DATEVALUE($A368),'changes1_based on steps'!H$1:H$400,0)),H$2,)</f>
        <v>0</v>
      </c>
      <c r="I368" s="140">
        <f ca="1">IF(ISNUMBER(MATCH(DATEVALUE($A368),'changes1_based on steps'!I$1:I$400,0)),I$2,)</f>
        <v>0</v>
      </c>
      <c r="J368" s="140">
        <f ca="1">IF(ISNUMBER(MATCH(DATEVALUE($A368),'changes1_based on steps'!J$1:J$400,0)),J$2,)</f>
        <v>0</v>
      </c>
      <c r="K368" s="140">
        <f ca="1">IF(ISNUMBER(MATCH(DATEVALUE($A368),'changes1_based on steps'!K$1:K$400,0)),K$2,)</f>
        <v>0</v>
      </c>
      <c r="L368" s="140">
        <f ca="1">IF(ISNUMBER(MATCH(DATEVALUE($A368),'changes1_based on steps'!L$1:L$400,0)),L$2,)</f>
        <v>0</v>
      </c>
      <c r="M368" s="140">
        <f ca="1">IF(ISNUMBER(MATCH(DATEVALUE($A368),'changes1_based on steps'!M$1:M$400,0)),M$2,)</f>
        <v>0</v>
      </c>
      <c r="N368" s="140">
        <f ca="1">IF(ISNUMBER(MATCH(DATEVALUE($A368),'changes1_based on steps'!N$1:N$400,0)),N$2,)</f>
        <v>0</v>
      </c>
      <c r="O368" s="140">
        <f ca="1">IF(ISNUMBER(MATCH(DATEVALUE($A368),'changes1_based on steps'!O$1:O$400,0)),O$2,)</f>
        <v>0</v>
      </c>
      <c r="P368" s="140">
        <f ca="1">IF(ISNUMBER(MATCH(DATEVALUE($A368),'changes1_based on steps'!P$1:P$400,0)),P$2,)</f>
        <v>0</v>
      </c>
      <c r="Q368" s="140">
        <f ca="1">IF(ISNUMBER(MATCH(DATEVALUE($A368),'changes1_based on steps'!Q$1:Q$400,0)),Q$2,)</f>
        <v>0</v>
      </c>
      <c r="R368" s="140">
        <f ca="1">IF(ISNUMBER(MATCH(DATEVALUE($A368),'changes1_based on steps'!R$1:R$400,0)),R$2,)</f>
        <v>0</v>
      </c>
      <c r="S368" s="140">
        <f ca="1">IF(ISNUMBER(MATCH(DATEVALUE($A368),'changes1_based on steps'!S$1:S$400,0)),S$2,)</f>
        <v>0</v>
      </c>
      <c r="T368" s="140">
        <f ca="1">IF(ISNUMBER(MATCH(DATEVALUE($A368),'changes1_based on steps'!T$1:T$400,0)),T$2,)</f>
        <v>0</v>
      </c>
      <c r="U368" s="140">
        <f ca="1">IF(ISNUMBER(MATCH(DATEVALUE($A368),'changes1_based on steps'!U$1:U$400,0)),U$2,)</f>
        <v>0</v>
      </c>
      <c r="V368" s="140"/>
      <c r="W368" s="140"/>
      <c r="X368" s="140"/>
      <c r="Y368" s="140"/>
      <c r="Z368" s="140"/>
      <c r="AA368" s="140"/>
      <c r="AB368" s="140"/>
      <c r="AC368" s="140"/>
      <c r="AD368" s="140"/>
      <c r="AE368" s="140"/>
      <c r="AF368" s="140"/>
      <c r="AG368" s="140"/>
      <c r="AH368" s="140"/>
      <c r="AI368" s="140"/>
      <c r="AJ368" s="140"/>
      <c r="AK368" s="140"/>
      <c r="AL368" s="140"/>
      <c r="AM368" s="140"/>
      <c r="AN368" s="140"/>
      <c r="AO368" s="140"/>
      <c r="AP368" s="140"/>
      <c r="AQ368" s="140"/>
      <c r="AR368" s="140"/>
      <c r="AS368" s="140"/>
      <c r="AT368" s="140"/>
      <c r="AU368" s="140"/>
      <c r="AV368" s="140"/>
      <c r="AW368" s="140"/>
      <c r="AX368" s="140"/>
      <c r="AY368" s="140"/>
      <c r="AZ368" s="140"/>
      <c r="BA368" s="140"/>
      <c r="BB368" s="140"/>
      <c r="BC368" s="140"/>
      <c r="BD368" s="140"/>
      <c r="BE368" s="140"/>
      <c r="BF368" s="140"/>
      <c r="BG368" s="140"/>
      <c r="BH368" s="140"/>
      <c r="BI368" s="140"/>
      <c r="BJ368" s="140"/>
      <c r="BK368" s="140"/>
      <c r="BL368" s="140"/>
      <c r="BM368" s="140"/>
      <c r="BN368" s="140"/>
      <c r="BO368" s="140"/>
      <c r="BP368" s="140"/>
      <c r="BQ368" s="140"/>
      <c r="BR368" s="140"/>
      <c r="BS368" s="140"/>
      <c r="BT368" s="140"/>
      <c r="BU368" s="140"/>
      <c r="BV368" s="140"/>
      <c r="BW368" s="140"/>
      <c r="BX368" s="140"/>
      <c r="BY368" s="140"/>
      <c r="BZ368" s="140"/>
      <c r="CA368" s="140"/>
      <c r="CB368" s="140"/>
      <c r="CC368" s="140"/>
      <c r="CD368" s="140"/>
      <c r="CE368" s="140"/>
      <c r="CF368" s="140"/>
      <c r="CG368" s="140"/>
      <c r="CH368" s="140"/>
      <c r="CI368" s="140"/>
      <c r="CJ368" s="140"/>
      <c r="CK368" s="140"/>
      <c r="CL368" s="140"/>
      <c r="CM368" s="140"/>
      <c r="CN368" s="140"/>
      <c r="CO368" s="140"/>
      <c r="CP368" s="140"/>
      <c r="CQ368" s="140"/>
      <c r="CR368" s="140"/>
      <c r="CS368" s="140"/>
      <c r="CT368" s="140"/>
      <c r="CU368" s="140"/>
      <c r="CV368" s="140"/>
      <c r="CW368" s="140"/>
    </row>
    <row r="369" spans="1:101" x14ac:dyDescent="0.2">
      <c r="A369" s="29" t="str">
        <f t="shared" ca="1" si="5"/>
        <v>2026-03-28</v>
      </c>
      <c r="B369" s="140">
        <f ca="1">IF(ISNUMBER(MATCH(DATEVALUE($A369),'changes1_based on steps'!B$1:B$400,0)),B$2,)</f>
        <v>0</v>
      </c>
      <c r="C369" s="140">
        <f ca="1">IF(ISNUMBER(MATCH(DATEVALUE($A369),'changes1_based on steps'!C$1:C$400,0)),C$2,)</f>
        <v>0</v>
      </c>
      <c r="D369" s="140">
        <f ca="1">IF(ISNUMBER(MATCH(DATEVALUE($A369),'changes1_based on steps'!D$1:D$400,0)),D$2,)</f>
        <v>0</v>
      </c>
      <c r="E369" s="140">
        <f ca="1">IF(ISNUMBER(MATCH(DATEVALUE($A369),'changes1_based on steps'!E$1:E$400,0)),E$2,)</f>
        <v>0</v>
      </c>
      <c r="F369" s="140">
        <f ca="1">IF(ISNUMBER(MATCH(DATEVALUE($A369),'changes1_based on steps'!F$1:F$400,0)),F$2,)</f>
        <v>0</v>
      </c>
      <c r="G369" s="140">
        <f ca="1">IF(ISNUMBER(MATCH(DATEVALUE($A369),'changes1_based on steps'!G$1:G$400,0)),G$2,)</f>
        <v>0</v>
      </c>
      <c r="H369" s="140">
        <f ca="1">IF(ISNUMBER(MATCH(DATEVALUE($A369),'changes1_based on steps'!H$1:H$400,0)),H$2,)</f>
        <v>0</v>
      </c>
      <c r="I369" s="140">
        <f ca="1">IF(ISNUMBER(MATCH(DATEVALUE($A369),'changes1_based on steps'!I$1:I$400,0)),I$2,)</f>
        <v>0</v>
      </c>
      <c r="J369" s="140">
        <f ca="1">IF(ISNUMBER(MATCH(DATEVALUE($A369),'changes1_based on steps'!J$1:J$400,0)),J$2,)</f>
        <v>0</v>
      </c>
      <c r="K369" s="140">
        <f ca="1">IF(ISNUMBER(MATCH(DATEVALUE($A369),'changes1_based on steps'!K$1:K$400,0)),K$2,)</f>
        <v>0</v>
      </c>
      <c r="L369" s="140">
        <f ca="1">IF(ISNUMBER(MATCH(DATEVALUE($A369),'changes1_based on steps'!L$1:L$400,0)),L$2,)</f>
        <v>0</v>
      </c>
      <c r="M369" s="140">
        <f ca="1">IF(ISNUMBER(MATCH(DATEVALUE($A369),'changes1_based on steps'!M$1:M$400,0)),M$2,)</f>
        <v>0</v>
      </c>
      <c r="N369" s="140">
        <f ca="1">IF(ISNUMBER(MATCH(DATEVALUE($A369),'changes1_based on steps'!N$1:N$400,0)),N$2,)</f>
        <v>0</v>
      </c>
      <c r="O369" s="140">
        <f ca="1">IF(ISNUMBER(MATCH(DATEVALUE($A369),'changes1_based on steps'!O$1:O$400,0)),O$2,)</f>
        <v>0</v>
      </c>
      <c r="P369" s="140">
        <f ca="1">IF(ISNUMBER(MATCH(DATEVALUE($A369),'changes1_based on steps'!P$1:P$400,0)),P$2,)</f>
        <v>0</v>
      </c>
      <c r="Q369" s="140">
        <f ca="1">IF(ISNUMBER(MATCH(DATEVALUE($A369),'changes1_based on steps'!Q$1:Q$400,0)),Q$2,)</f>
        <v>0</v>
      </c>
      <c r="R369" s="140">
        <f ca="1">IF(ISNUMBER(MATCH(DATEVALUE($A369),'changes1_based on steps'!R$1:R$400,0)),R$2,)</f>
        <v>0</v>
      </c>
      <c r="S369" s="140">
        <f ca="1">IF(ISNUMBER(MATCH(DATEVALUE($A369),'changes1_based on steps'!S$1:S$400,0)),S$2,)</f>
        <v>0</v>
      </c>
      <c r="T369" s="140">
        <f ca="1">IF(ISNUMBER(MATCH(DATEVALUE($A369),'changes1_based on steps'!T$1:T$400,0)),T$2,)</f>
        <v>0</v>
      </c>
      <c r="U369" s="140">
        <f ca="1">IF(ISNUMBER(MATCH(DATEVALUE($A369),'changes1_based on steps'!U$1:U$400,0)),U$2,)</f>
        <v>0</v>
      </c>
      <c r="V369" s="140"/>
      <c r="W369" s="140"/>
      <c r="X369" s="140"/>
      <c r="Y369" s="140"/>
      <c r="Z369" s="140"/>
      <c r="AA369" s="140"/>
      <c r="AB369" s="140"/>
      <c r="AC369" s="140"/>
      <c r="AD369" s="140"/>
      <c r="AE369" s="140"/>
      <c r="AF369" s="140"/>
      <c r="AG369" s="140"/>
      <c r="AH369" s="140"/>
      <c r="AI369" s="140"/>
      <c r="AJ369" s="140"/>
      <c r="AK369" s="140"/>
      <c r="AL369" s="140"/>
      <c r="AM369" s="140"/>
      <c r="AN369" s="140"/>
      <c r="AO369" s="140"/>
      <c r="AP369" s="140"/>
      <c r="AQ369" s="140"/>
      <c r="AR369" s="140"/>
      <c r="AS369" s="140"/>
      <c r="AT369" s="140"/>
      <c r="AU369" s="140"/>
      <c r="AV369" s="140"/>
      <c r="AW369" s="140"/>
      <c r="AX369" s="140"/>
      <c r="AY369" s="140"/>
      <c r="AZ369" s="140"/>
      <c r="BA369" s="140"/>
      <c r="BB369" s="140"/>
      <c r="BC369" s="140"/>
      <c r="BD369" s="140"/>
      <c r="BE369" s="140"/>
      <c r="BF369" s="140"/>
      <c r="BG369" s="140"/>
      <c r="BH369" s="140"/>
      <c r="BI369" s="140"/>
      <c r="BJ369" s="140"/>
      <c r="BK369" s="140"/>
      <c r="BL369" s="140"/>
      <c r="BM369" s="140"/>
      <c r="BN369" s="140"/>
      <c r="BO369" s="140"/>
      <c r="BP369" s="140"/>
      <c r="BQ369" s="140"/>
      <c r="BR369" s="140"/>
      <c r="BS369" s="140"/>
      <c r="BT369" s="140"/>
      <c r="BU369" s="140"/>
      <c r="BV369" s="140"/>
      <c r="BW369" s="140"/>
      <c r="BX369" s="140"/>
      <c r="BY369" s="140"/>
      <c r="BZ369" s="140"/>
      <c r="CA369" s="140"/>
      <c r="CB369" s="140"/>
      <c r="CC369" s="140"/>
      <c r="CD369" s="140"/>
      <c r="CE369" s="140"/>
      <c r="CF369" s="140"/>
      <c r="CG369" s="140"/>
      <c r="CH369" s="140"/>
      <c r="CI369" s="140"/>
      <c r="CJ369" s="140"/>
      <c r="CK369" s="140"/>
      <c r="CL369" s="140"/>
      <c r="CM369" s="140"/>
      <c r="CN369" s="140"/>
      <c r="CO369" s="140"/>
      <c r="CP369" s="140"/>
      <c r="CQ369" s="140"/>
      <c r="CR369" s="140"/>
      <c r="CS369" s="140"/>
      <c r="CT369" s="140"/>
      <c r="CU369" s="140"/>
      <c r="CV369" s="140"/>
      <c r="CW369" s="140"/>
    </row>
    <row r="370" spans="1:101" x14ac:dyDescent="0.2">
      <c r="A370" s="29" t="str">
        <f t="shared" ca="1" si="5"/>
        <v>2026-03-29</v>
      </c>
      <c r="B370" s="140">
        <f ca="1">IF(ISNUMBER(MATCH(DATEVALUE($A370),'changes1_based on steps'!B$1:B$400,0)),B$2,)</f>
        <v>0</v>
      </c>
      <c r="C370" s="140">
        <f ca="1">IF(ISNUMBER(MATCH(DATEVALUE($A370),'changes1_based on steps'!C$1:C$400,0)),C$2,)</f>
        <v>0</v>
      </c>
      <c r="D370" s="140">
        <f ca="1">IF(ISNUMBER(MATCH(DATEVALUE($A370),'changes1_based on steps'!D$1:D$400,0)),D$2,)</f>
        <v>0</v>
      </c>
      <c r="E370" s="140">
        <f ca="1">IF(ISNUMBER(MATCH(DATEVALUE($A370),'changes1_based on steps'!E$1:E$400,0)),E$2,)</f>
        <v>0</v>
      </c>
      <c r="F370" s="140">
        <f ca="1">IF(ISNUMBER(MATCH(DATEVALUE($A370),'changes1_based on steps'!F$1:F$400,0)),F$2,)</f>
        <v>0</v>
      </c>
      <c r="G370" s="140">
        <f ca="1">IF(ISNUMBER(MATCH(DATEVALUE($A370),'changes1_based on steps'!G$1:G$400,0)),G$2,)</f>
        <v>0</v>
      </c>
      <c r="H370" s="140">
        <f ca="1">IF(ISNUMBER(MATCH(DATEVALUE($A370),'changes1_based on steps'!H$1:H$400,0)),H$2,)</f>
        <v>0</v>
      </c>
      <c r="I370" s="140">
        <f ca="1">IF(ISNUMBER(MATCH(DATEVALUE($A370),'changes1_based on steps'!I$1:I$400,0)),I$2,)</f>
        <v>0</v>
      </c>
      <c r="J370" s="140">
        <f ca="1">IF(ISNUMBER(MATCH(DATEVALUE($A370),'changes1_based on steps'!J$1:J$400,0)),J$2,)</f>
        <v>0</v>
      </c>
      <c r="K370" s="140">
        <f ca="1">IF(ISNUMBER(MATCH(DATEVALUE($A370),'changes1_based on steps'!K$1:K$400,0)),K$2,)</f>
        <v>0</v>
      </c>
      <c r="L370" s="140">
        <f ca="1">IF(ISNUMBER(MATCH(DATEVALUE($A370),'changes1_based on steps'!L$1:L$400,0)),L$2,)</f>
        <v>0</v>
      </c>
      <c r="M370" s="140">
        <f ca="1">IF(ISNUMBER(MATCH(DATEVALUE($A370),'changes1_based on steps'!M$1:M$400,0)),M$2,)</f>
        <v>0</v>
      </c>
      <c r="N370" s="140">
        <f ca="1">IF(ISNUMBER(MATCH(DATEVALUE($A370),'changes1_based on steps'!N$1:N$400,0)),N$2,)</f>
        <v>0</v>
      </c>
      <c r="O370" s="140">
        <f ca="1">IF(ISNUMBER(MATCH(DATEVALUE($A370),'changes1_based on steps'!O$1:O$400,0)),O$2,)</f>
        <v>0</v>
      </c>
      <c r="P370" s="140">
        <f ca="1">IF(ISNUMBER(MATCH(DATEVALUE($A370),'changes1_based on steps'!P$1:P$400,0)),P$2,)</f>
        <v>0</v>
      </c>
      <c r="Q370" s="140">
        <f ca="1">IF(ISNUMBER(MATCH(DATEVALUE($A370),'changes1_based on steps'!Q$1:Q$400,0)),Q$2,)</f>
        <v>0</v>
      </c>
      <c r="R370" s="140">
        <f ca="1">IF(ISNUMBER(MATCH(DATEVALUE($A370),'changes1_based on steps'!R$1:R$400,0)),R$2,)</f>
        <v>0</v>
      </c>
      <c r="S370" s="140">
        <f ca="1">IF(ISNUMBER(MATCH(DATEVALUE($A370),'changes1_based on steps'!S$1:S$400,0)),S$2,)</f>
        <v>0</v>
      </c>
      <c r="T370" s="140">
        <f ca="1">IF(ISNUMBER(MATCH(DATEVALUE($A370),'changes1_based on steps'!T$1:T$400,0)),T$2,)</f>
        <v>0</v>
      </c>
      <c r="U370" s="140">
        <f ca="1">IF(ISNUMBER(MATCH(DATEVALUE($A370),'changes1_based on steps'!U$1:U$400,0)),U$2,)</f>
        <v>0</v>
      </c>
      <c r="V370" s="140"/>
      <c r="W370" s="140"/>
      <c r="X370" s="140"/>
      <c r="Y370" s="140"/>
      <c r="Z370" s="140"/>
      <c r="AA370" s="140"/>
      <c r="AB370" s="140"/>
      <c r="AC370" s="140"/>
      <c r="AD370" s="140"/>
      <c r="AE370" s="140"/>
      <c r="AF370" s="140"/>
      <c r="AG370" s="140"/>
      <c r="AH370" s="140"/>
      <c r="AI370" s="140"/>
      <c r="AJ370" s="140"/>
      <c r="AK370" s="140"/>
      <c r="AL370" s="140"/>
      <c r="AM370" s="140"/>
      <c r="AN370" s="140"/>
      <c r="AO370" s="140"/>
      <c r="AP370" s="140"/>
      <c r="AQ370" s="140"/>
      <c r="AR370" s="140"/>
      <c r="AS370" s="140"/>
      <c r="AT370" s="140"/>
      <c r="AU370" s="140"/>
      <c r="AV370" s="140"/>
      <c r="AW370" s="140"/>
      <c r="AX370" s="140"/>
      <c r="AY370" s="140"/>
      <c r="AZ370" s="140"/>
      <c r="BA370" s="140"/>
      <c r="BB370" s="140"/>
      <c r="BC370" s="140"/>
      <c r="BD370" s="140"/>
      <c r="BE370" s="140"/>
      <c r="BF370" s="140"/>
      <c r="BG370" s="140"/>
      <c r="BH370" s="140"/>
      <c r="BI370" s="140"/>
      <c r="BJ370" s="140"/>
      <c r="BK370" s="140"/>
      <c r="BL370" s="140"/>
      <c r="BM370" s="140"/>
      <c r="BN370" s="140"/>
      <c r="BO370" s="140"/>
      <c r="BP370" s="140"/>
      <c r="BQ370" s="140"/>
      <c r="BR370" s="140"/>
      <c r="BS370" s="140"/>
      <c r="BT370" s="140"/>
      <c r="BU370" s="140"/>
      <c r="BV370" s="140"/>
      <c r="BW370" s="140"/>
      <c r="BX370" s="140"/>
      <c r="BY370" s="140"/>
      <c r="BZ370" s="140"/>
      <c r="CA370" s="140"/>
      <c r="CB370" s="140"/>
      <c r="CC370" s="140"/>
      <c r="CD370" s="140"/>
      <c r="CE370" s="140"/>
      <c r="CF370" s="140"/>
      <c r="CG370" s="140"/>
      <c r="CH370" s="140"/>
      <c r="CI370" s="140"/>
      <c r="CJ370" s="140"/>
      <c r="CK370" s="140"/>
      <c r="CL370" s="140"/>
      <c r="CM370" s="140"/>
      <c r="CN370" s="140"/>
      <c r="CO370" s="140"/>
      <c r="CP370" s="140"/>
      <c r="CQ370" s="140"/>
      <c r="CR370" s="140"/>
      <c r="CS370" s="140"/>
      <c r="CT370" s="140"/>
      <c r="CU370" s="140"/>
      <c r="CV370" s="140"/>
      <c r="CW370" s="140"/>
    </row>
    <row r="371" spans="1:101" x14ac:dyDescent="0.2">
      <c r="A371" s="29" t="str">
        <f t="shared" ca="1" si="5"/>
        <v>2026-03-30</v>
      </c>
      <c r="B371" s="140">
        <f ca="1">IF(ISNUMBER(MATCH(DATEVALUE($A371),'changes1_based on steps'!B$1:B$400,0)),B$2,)</f>
        <v>0</v>
      </c>
      <c r="C371" s="140">
        <f ca="1">IF(ISNUMBER(MATCH(DATEVALUE($A371),'changes1_based on steps'!C$1:C$400,0)),C$2,)</f>
        <v>0</v>
      </c>
      <c r="D371" s="140">
        <f ca="1">IF(ISNUMBER(MATCH(DATEVALUE($A371),'changes1_based on steps'!D$1:D$400,0)),D$2,)</f>
        <v>0</v>
      </c>
      <c r="E371" s="140">
        <f ca="1">IF(ISNUMBER(MATCH(DATEVALUE($A371),'changes1_based on steps'!E$1:E$400,0)),E$2,)</f>
        <v>0</v>
      </c>
      <c r="F371" s="140">
        <f ca="1">IF(ISNUMBER(MATCH(DATEVALUE($A371),'changes1_based on steps'!F$1:F$400,0)),F$2,)</f>
        <v>0</v>
      </c>
      <c r="G371" s="140">
        <f ca="1">IF(ISNUMBER(MATCH(DATEVALUE($A371),'changes1_based on steps'!G$1:G$400,0)),G$2,)</f>
        <v>0</v>
      </c>
      <c r="H371" s="140">
        <f ca="1">IF(ISNUMBER(MATCH(DATEVALUE($A371),'changes1_based on steps'!H$1:H$400,0)),H$2,)</f>
        <v>0</v>
      </c>
      <c r="I371" s="140">
        <f ca="1">IF(ISNUMBER(MATCH(DATEVALUE($A371),'changes1_based on steps'!I$1:I$400,0)),I$2,)</f>
        <v>0</v>
      </c>
      <c r="J371" s="140">
        <f ca="1">IF(ISNUMBER(MATCH(DATEVALUE($A371),'changes1_based on steps'!J$1:J$400,0)),J$2,)</f>
        <v>0</v>
      </c>
      <c r="K371" s="140">
        <f ca="1">IF(ISNUMBER(MATCH(DATEVALUE($A371),'changes1_based on steps'!K$1:K$400,0)),K$2,)</f>
        <v>0</v>
      </c>
      <c r="L371" s="140">
        <f ca="1">IF(ISNUMBER(MATCH(DATEVALUE($A371),'changes1_based on steps'!L$1:L$400,0)),L$2,)</f>
        <v>0</v>
      </c>
      <c r="M371" s="140">
        <f ca="1">IF(ISNUMBER(MATCH(DATEVALUE($A371),'changes1_based on steps'!M$1:M$400,0)),M$2,)</f>
        <v>0</v>
      </c>
      <c r="N371" s="140">
        <f ca="1">IF(ISNUMBER(MATCH(DATEVALUE($A371),'changes1_based on steps'!N$1:N$400,0)),N$2,)</f>
        <v>0</v>
      </c>
      <c r="O371" s="140">
        <f ca="1">IF(ISNUMBER(MATCH(DATEVALUE($A371),'changes1_based on steps'!O$1:O$400,0)),O$2,)</f>
        <v>0</v>
      </c>
      <c r="P371" s="140">
        <f ca="1">IF(ISNUMBER(MATCH(DATEVALUE($A371),'changes1_based on steps'!P$1:P$400,0)),P$2,)</f>
        <v>0</v>
      </c>
      <c r="Q371" s="140">
        <f ca="1">IF(ISNUMBER(MATCH(DATEVALUE($A371),'changes1_based on steps'!Q$1:Q$400,0)),Q$2,)</f>
        <v>0</v>
      </c>
      <c r="R371" s="140">
        <f ca="1">IF(ISNUMBER(MATCH(DATEVALUE($A371),'changes1_based on steps'!R$1:R$400,0)),R$2,)</f>
        <v>0</v>
      </c>
      <c r="S371" s="140">
        <f ca="1">IF(ISNUMBER(MATCH(DATEVALUE($A371),'changes1_based on steps'!S$1:S$400,0)),S$2,)</f>
        <v>0</v>
      </c>
      <c r="T371" s="140">
        <f ca="1">IF(ISNUMBER(MATCH(DATEVALUE($A371),'changes1_based on steps'!T$1:T$400,0)),T$2,)</f>
        <v>0</v>
      </c>
      <c r="U371" s="140">
        <f ca="1">IF(ISNUMBER(MATCH(DATEVALUE($A371),'changes1_based on steps'!U$1:U$400,0)),U$2,)</f>
        <v>0</v>
      </c>
      <c r="V371" s="140"/>
      <c r="W371" s="140"/>
      <c r="X371" s="140"/>
      <c r="Y371" s="140"/>
      <c r="Z371" s="140"/>
      <c r="AA371" s="140"/>
      <c r="AB371" s="140"/>
      <c r="AC371" s="140"/>
      <c r="AD371" s="140"/>
      <c r="AE371" s="140"/>
      <c r="AF371" s="140"/>
      <c r="AG371" s="140"/>
      <c r="AH371" s="140"/>
      <c r="AI371" s="140"/>
      <c r="AJ371" s="140"/>
      <c r="AK371" s="140"/>
      <c r="AL371" s="140"/>
      <c r="AM371" s="140"/>
      <c r="AN371" s="140"/>
      <c r="AO371" s="140"/>
      <c r="AP371" s="140"/>
      <c r="AQ371" s="140"/>
      <c r="AR371" s="140"/>
      <c r="AS371" s="140"/>
      <c r="AT371" s="140"/>
      <c r="AU371" s="140"/>
      <c r="AV371" s="140"/>
      <c r="AW371" s="140"/>
      <c r="AX371" s="140"/>
      <c r="AY371" s="140"/>
      <c r="AZ371" s="140"/>
      <c r="BA371" s="140"/>
      <c r="BB371" s="140"/>
      <c r="BC371" s="140"/>
      <c r="BD371" s="140"/>
      <c r="BE371" s="140"/>
      <c r="BF371" s="140"/>
      <c r="BG371" s="140"/>
      <c r="BH371" s="140"/>
      <c r="BI371" s="140"/>
      <c r="BJ371" s="140"/>
      <c r="BK371" s="140"/>
      <c r="BL371" s="140"/>
      <c r="BM371" s="140"/>
      <c r="BN371" s="140"/>
      <c r="BO371" s="140"/>
      <c r="BP371" s="140"/>
      <c r="BQ371" s="140"/>
      <c r="BR371" s="140"/>
      <c r="BS371" s="140"/>
      <c r="BT371" s="140"/>
      <c r="BU371" s="140"/>
      <c r="BV371" s="140"/>
      <c r="BW371" s="140"/>
      <c r="BX371" s="140"/>
      <c r="BY371" s="140"/>
      <c r="BZ371" s="140"/>
      <c r="CA371" s="140"/>
      <c r="CB371" s="140"/>
      <c r="CC371" s="140"/>
      <c r="CD371" s="140"/>
      <c r="CE371" s="140"/>
      <c r="CF371" s="140"/>
      <c r="CG371" s="140"/>
      <c r="CH371" s="140"/>
      <c r="CI371" s="140"/>
      <c r="CJ371" s="140"/>
      <c r="CK371" s="140"/>
      <c r="CL371" s="140"/>
      <c r="CM371" s="140"/>
      <c r="CN371" s="140"/>
      <c r="CO371" s="140"/>
      <c r="CP371" s="140"/>
      <c r="CQ371" s="140"/>
      <c r="CR371" s="140"/>
      <c r="CS371" s="140"/>
      <c r="CT371" s="140"/>
      <c r="CU371" s="140"/>
      <c r="CV371" s="140"/>
      <c r="CW371" s="140"/>
    </row>
    <row r="372" spans="1:101" x14ac:dyDescent="0.2">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spans="1:101" x14ac:dyDescent="0.2">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spans="1:101" x14ac:dyDescent="0.2">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spans="1:101" x14ac:dyDescent="0.2">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spans="1:101" x14ac:dyDescent="0.2">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spans="1:101" x14ac:dyDescent="0.2">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spans="1:101" x14ac:dyDescent="0.2">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spans="1:101" x14ac:dyDescent="0.2">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spans="1:101" x14ac:dyDescent="0.2">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spans="1:101" x14ac:dyDescent="0.2">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spans="1:101" x14ac:dyDescent="0.2">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spans="1:101" x14ac:dyDescent="0.2">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spans="1:101" x14ac:dyDescent="0.2">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spans="1:26" x14ac:dyDescent="0.2">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spans="1:26" x14ac:dyDescent="0.2">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spans="1:26" x14ac:dyDescent="0.2">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spans="1:26" x14ac:dyDescent="0.2">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spans="1:26" x14ac:dyDescent="0.2">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spans="1:26" x14ac:dyDescent="0.2">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spans="1:26" x14ac:dyDescent="0.2">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spans="1:26" x14ac:dyDescent="0.2">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spans="1:26" x14ac:dyDescent="0.2">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spans="1:26" x14ac:dyDescent="0.2">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spans="1:26" x14ac:dyDescent="0.2">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spans="1:26" x14ac:dyDescent="0.2">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spans="1:26" x14ac:dyDescent="0.2">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spans="1:26" x14ac:dyDescent="0.2">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spans="1:26" x14ac:dyDescent="0.2">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spans="1:26" x14ac:dyDescent="0.2">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spans="2:26" x14ac:dyDescent="0.2">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spans="2:26" x14ac:dyDescent="0.2">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spans="2:26" x14ac:dyDescent="0.2">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spans="2:26" x14ac:dyDescent="0.2">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spans="2:26" x14ac:dyDescent="0.2">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spans="2:26" x14ac:dyDescent="0.2">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spans="2:26" x14ac:dyDescent="0.2">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spans="2:26" x14ac:dyDescent="0.2">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spans="2:26" x14ac:dyDescent="0.2">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spans="2:26" x14ac:dyDescent="0.2">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spans="2:26" x14ac:dyDescent="0.2">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spans="2:26" x14ac:dyDescent="0.2">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spans="2:26" x14ac:dyDescent="0.2">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spans="2:26" x14ac:dyDescent="0.2">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spans="2:26" x14ac:dyDescent="0.2">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spans="2:26" x14ac:dyDescent="0.2">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spans="2:26" x14ac:dyDescent="0.2">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spans="2:26" x14ac:dyDescent="0.2">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spans="2:26" x14ac:dyDescent="0.2">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spans="2:26" x14ac:dyDescent="0.2">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spans="2:26" x14ac:dyDescent="0.2">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spans="2:26" x14ac:dyDescent="0.2">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spans="2:26" x14ac:dyDescent="0.2">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spans="2:26" x14ac:dyDescent="0.2">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spans="2:26" x14ac:dyDescent="0.2">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spans="2:26" x14ac:dyDescent="0.2">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spans="2:26" x14ac:dyDescent="0.2">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spans="2:26" x14ac:dyDescent="0.2">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spans="2:26" x14ac:dyDescent="0.2">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spans="2:26" x14ac:dyDescent="0.2">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spans="2:26" x14ac:dyDescent="0.2">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spans="2:26" x14ac:dyDescent="0.2">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spans="2:26" x14ac:dyDescent="0.2">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spans="2:26" x14ac:dyDescent="0.2">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spans="2:26" x14ac:dyDescent="0.2">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spans="2:26" x14ac:dyDescent="0.2">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spans="2:26" x14ac:dyDescent="0.2">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spans="2:26" x14ac:dyDescent="0.2">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spans="2:26" x14ac:dyDescent="0.2">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spans="2:26" x14ac:dyDescent="0.2">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spans="2:26" x14ac:dyDescent="0.2">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spans="2:26" x14ac:dyDescent="0.2">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spans="2:26" x14ac:dyDescent="0.2">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spans="2:26" x14ac:dyDescent="0.2">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spans="2:26" x14ac:dyDescent="0.2">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spans="2:26" x14ac:dyDescent="0.2">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spans="2:26" x14ac:dyDescent="0.2">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spans="2:26" x14ac:dyDescent="0.2">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spans="2:26" x14ac:dyDescent="0.2">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spans="2:26" x14ac:dyDescent="0.2">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spans="2:26" x14ac:dyDescent="0.2">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spans="2:26" x14ac:dyDescent="0.2">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spans="2:26" x14ac:dyDescent="0.2">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spans="2:26" x14ac:dyDescent="0.2">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spans="2:26" x14ac:dyDescent="0.2">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spans="2:26" x14ac:dyDescent="0.2">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spans="2:26" x14ac:dyDescent="0.2">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spans="2:26" x14ac:dyDescent="0.2">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spans="2:26" x14ac:dyDescent="0.2">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spans="2:26" x14ac:dyDescent="0.2">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spans="2:26" x14ac:dyDescent="0.2">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spans="2:26" x14ac:dyDescent="0.2">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spans="2:26" x14ac:dyDescent="0.2">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spans="2:26" x14ac:dyDescent="0.2">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spans="2:26" x14ac:dyDescent="0.2">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spans="2:26" x14ac:dyDescent="0.2">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spans="2:26" x14ac:dyDescent="0.2">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spans="2:26" x14ac:dyDescent="0.2">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spans="2:26" x14ac:dyDescent="0.2">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spans="2:26" x14ac:dyDescent="0.2">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spans="2:26" x14ac:dyDescent="0.2">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spans="2:26" x14ac:dyDescent="0.2">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spans="2:26" x14ac:dyDescent="0.2">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spans="2:26" x14ac:dyDescent="0.2">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spans="2:26" x14ac:dyDescent="0.2">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spans="2:26" x14ac:dyDescent="0.2">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spans="2:26" x14ac:dyDescent="0.2">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spans="2:26" x14ac:dyDescent="0.2">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spans="2:26" x14ac:dyDescent="0.2">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spans="2:26" x14ac:dyDescent="0.2">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spans="2:26" x14ac:dyDescent="0.2">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spans="2:26" x14ac:dyDescent="0.2">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spans="2:26" x14ac:dyDescent="0.2">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spans="2:26" x14ac:dyDescent="0.2">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spans="2:26" x14ac:dyDescent="0.2">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spans="2:26" x14ac:dyDescent="0.2">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spans="2:26" x14ac:dyDescent="0.2">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spans="2:26" x14ac:dyDescent="0.2">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spans="2:26" x14ac:dyDescent="0.2">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spans="2:26" x14ac:dyDescent="0.2">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spans="2:26" x14ac:dyDescent="0.2">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spans="2:26" x14ac:dyDescent="0.2">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spans="2:26" x14ac:dyDescent="0.2">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spans="2:26" x14ac:dyDescent="0.2">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spans="2:26" x14ac:dyDescent="0.2">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spans="2:26" x14ac:dyDescent="0.2">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spans="2:26" x14ac:dyDescent="0.2">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spans="2:26" x14ac:dyDescent="0.2">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spans="2:26" x14ac:dyDescent="0.2">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spans="2:26" x14ac:dyDescent="0.2">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spans="2:26" x14ac:dyDescent="0.2">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spans="2:26" x14ac:dyDescent="0.2">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spans="2:26" x14ac:dyDescent="0.2">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spans="2:26" x14ac:dyDescent="0.2">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spans="2:26" x14ac:dyDescent="0.2">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spans="2:26" x14ac:dyDescent="0.2">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spans="2:26" x14ac:dyDescent="0.2">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spans="2:26" x14ac:dyDescent="0.2">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spans="2:26" x14ac:dyDescent="0.2">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spans="2:26" x14ac:dyDescent="0.2">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spans="2:26" x14ac:dyDescent="0.2">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spans="2:26" x14ac:dyDescent="0.2">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spans="2:26" x14ac:dyDescent="0.2">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spans="2:26" x14ac:dyDescent="0.2">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spans="2:26" x14ac:dyDescent="0.2">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spans="2:26" x14ac:dyDescent="0.2">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spans="2:26" x14ac:dyDescent="0.2">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spans="2:26" x14ac:dyDescent="0.2">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spans="2:26" x14ac:dyDescent="0.2">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spans="2:26" x14ac:dyDescent="0.2">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spans="2:26" x14ac:dyDescent="0.2">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spans="2:26" x14ac:dyDescent="0.2">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spans="2:26" x14ac:dyDescent="0.2">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spans="2:26" x14ac:dyDescent="0.2">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spans="2:26" x14ac:dyDescent="0.2">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spans="2:26" x14ac:dyDescent="0.2">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spans="2:26" x14ac:dyDescent="0.2">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spans="2:26" x14ac:dyDescent="0.2">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spans="2:26" x14ac:dyDescent="0.2">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spans="2:26" x14ac:dyDescent="0.2">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spans="2:26" x14ac:dyDescent="0.2">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spans="2:26" x14ac:dyDescent="0.2">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spans="2:26" x14ac:dyDescent="0.2">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spans="2:26" x14ac:dyDescent="0.2">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spans="2:26" x14ac:dyDescent="0.2">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spans="2:26" x14ac:dyDescent="0.2">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spans="2:26" x14ac:dyDescent="0.2">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spans="2:26" x14ac:dyDescent="0.2">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spans="2:26" x14ac:dyDescent="0.2">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spans="2:26" x14ac:dyDescent="0.2">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spans="2:26" x14ac:dyDescent="0.2">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spans="2:26" x14ac:dyDescent="0.2">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spans="2:26" x14ac:dyDescent="0.2">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spans="2:26" x14ac:dyDescent="0.2">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spans="2:26" x14ac:dyDescent="0.2">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spans="2:26" x14ac:dyDescent="0.2">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spans="2:26" x14ac:dyDescent="0.2">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spans="2:26" x14ac:dyDescent="0.2">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spans="2:26" x14ac:dyDescent="0.2">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spans="2:26" x14ac:dyDescent="0.2">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spans="2:26" x14ac:dyDescent="0.2">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spans="2:26" x14ac:dyDescent="0.2">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spans="2:26" x14ac:dyDescent="0.2">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spans="2:26" x14ac:dyDescent="0.2">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spans="2:26" x14ac:dyDescent="0.2">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spans="2:26" x14ac:dyDescent="0.2">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spans="2:26" x14ac:dyDescent="0.2">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spans="2:26" x14ac:dyDescent="0.2">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spans="2:26" x14ac:dyDescent="0.2">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spans="2:26" x14ac:dyDescent="0.2">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spans="2:26" x14ac:dyDescent="0.2">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spans="2:26" x14ac:dyDescent="0.2">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spans="2:26" x14ac:dyDescent="0.2">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spans="2:26" x14ac:dyDescent="0.2">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spans="2:26" x14ac:dyDescent="0.2">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spans="2:26" x14ac:dyDescent="0.2">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spans="2:26" x14ac:dyDescent="0.2">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spans="2:26" x14ac:dyDescent="0.2">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spans="2:26" x14ac:dyDescent="0.2">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55A9-C0EB-4D6C-8525-FD2115A9D13B}">
  <sheetPr codeName="Sheet24">
    <tabColor theme="9"/>
  </sheetPr>
  <dimension ref="A1:AM567"/>
  <sheetViews>
    <sheetView workbookViewId="0"/>
  </sheetViews>
  <sheetFormatPr defaultColWidth="8" defaultRowHeight="12.75" x14ac:dyDescent="0.2"/>
  <cols>
    <col min="1" max="12" width="10.140625" style="30" bestFit="1" customWidth="1"/>
    <col min="13" max="31" width="10.140625" style="30" customWidth="1"/>
    <col min="32" max="38" width="10.140625" style="30" bestFit="1" customWidth="1"/>
    <col min="39" max="16384" width="8" style="30"/>
  </cols>
  <sheetData>
    <row r="1" spans="1:39" x14ac:dyDescent="0.2">
      <c r="B1" s="140" t="str" cm="1">
        <f t="array" ref="B1:AD1">TRANSPOSE(_xlfn.UNIQUE(_xlfn._xlws.FILTER('Categorized Inputs'!$D:$D,'Categorized Inputs'!$A:$A="Cash Flow")))</f>
        <v>Salary &amp; Paychecks</v>
      </c>
      <c r="C1" s="140" t="str">
        <v>Other Earnings</v>
      </c>
      <c r="D1" s="140" t="str">
        <v>Bonus</v>
      </c>
      <c r="E1" s="140" t="str">
        <v>Friend Receivable</v>
      </c>
      <c r="F1" s="140" t="str">
        <v>Selling &amp; Refunds</v>
      </c>
      <c r="G1" s="140" t="str">
        <v>Brokerage Cashout</v>
      </c>
      <c r="H1" s="140" t="str">
        <v>Other</v>
      </c>
      <c r="I1" s="140" t="str">
        <v>Other Inflows</v>
      </c>
      <c r="J1" s="140" t="str">
        <v>Loans</v>
      </c>
      <c r="K1" s="140" t="str">
        <v>Credit Cards</v>
      </c>
      <c r="L1" s="140" t="str">
        <v>Retirement Deductions</v>
      </c>
      <c r="M1" s="140" t="str">
        <v>Events &amp; Entertainment</v>
      </c>
      <c r="N1" s="140" t="str">
        <v>Housing</v>
      </c>
      <c r="O1" s="140" t="str">
        <v>Travel</v>
      </c>
      <c r="P1" s="140" t="str">
        <v>Shopping</v>
      </c>
      <c r="Q1" s="140" t="str">
        <v>Food &amp; Drinks</v>
      </c>
      <c r="R1" s="140" t="str">
        <v>Dues &amp; Subscriptions</v>
      </c>
      <c r="S1" s="140" t="str">
        <v>Other Flexible Outflows</v>
      </c>
      <c r="T1" s="140" t="str">
        <v>Brokerage Contributions</v>
      </c>
      <c r="U1" s="140" t="str">
        <v>Retirement Contributions</v>
      </c>
      <c r="V1" s="140" t="str">
        <v>Employer Retirement Contributions</v>
      </c>
      <c r="W1" s="140" t="str">
        <v>Taxes</v>
      </c>
      <c r="X1" s="140" t="str">
        <v>Other Deductions</v>
      </c>
      <c r="Y1" s="140" t="str">
        <v>Transportation</v>
      </c>
      <c r="Z1" s="140" t="str">
        <v>Friend Payment</v>
      </c>
      <c r="AA1" s="140" t="str">
        <v>Health &amp; Personal Care</v>
      </c>
      <c r="AB1" s="140" t="str">
        <v>Groceries</v>
      </c>
      <c r="AC1" s="140" t="str">
        <v>Medication &amp; Supplements</v>
      </c>
      <c r="AD1" s="140" t="str">
        <v>Other Required Outflows</v>
      </c>
      <c r="AE1" s="140"/>
      <c r="AF1" s="162" t="s">
        <v>160</v>
      </c>
    </row>
    <row r="2" spans="1:39" x14ac:dyDescent="0.2">
      <c r="B2" s="160"/>
      <c r="C2" s="160"/>
      <c r="D2" s="160"/>
      <c r="E2" s="160"/>
      <c r="F2" s="160"/>
      <c r="G2" s="160"/>
      <c r="H2" s="160"/>
      <c r="I2" s="26"/>
      <c r="J2" s="160"/>
      <c r="K2" s="160"/>
      <c r="L2" s="160"/>
      <c r="M2" s="160"/>
      <c r="N2" s="160"/>
      <c r="O2" s="161"/>
      <c r="P2" s="160"/>
      <c r="Q2" s="26"/>
      <c r="R2" s="160"/>
      <c r="S2" s="160"/>
      <c r="T2" s="160"/>
      <c r="U2" s="160"/>
      <c r="V2"/>
      <c r="W2" s="160"/>
      <c r="X2" s="160"/>
      <c r="Y2" s="160"/>
      <c r="Z2" s="160"/>
      <c r="AA2" s="160"/>
      <c r="AB2" s="160"/>
      <c r="AC2" s="160"/>
      <c r="AD2" s="160"/>
      <c r="AE2" s="160"/>
      <c r="AF2" s="162"/>
    </row>
    <row r="3" spans="1:39" x14ac:dyDescent="0.2">
      <c r="A3" s="29">
        <f ca="1">TODAY()</f>
        <v>45743</v>
      </c>
      <c r="B3" s="140">
        <f ca="1">SUMIFS('recurring2_based on steps'!$B3:$AY3,'recurring2_based on steps'!$B$1:$AY$1,B$1)+SUMIFS('changes2_based on steps'!$B3:$U3,'changes2_based on steps'!$B$1:$U$1,B$1)</f>
        <v>0</v>
      </c>
      <c r="C3" s="140">
        <f>SUMIFS('recurring2_based on steps'!$B3:$AY3,'recurring2_based on steps'!$B$1:$AY$1,C$1)+SUMIFS('changes2_based on steps'!$B3:$U3,'changes2_based on steps'!$B$1:$U$1,C$1)</f>
        <v>0</v>
      </c>
      <c r="D3" s="140">
        <f>SUMIFS('recurring2_based on steps'!$B3:$AY3,'recurring2_based on steps'!$B$1:$AY$1,D$1)+SUMIFS('changes2_based on steps'!$B3:$U3,'changes2_based on steps'!$B$1:$U$1,D$1)</f>
        <v>0</v>
      </c>
      <c r="E3" s="140">
        <f>SUMIFS('recurring2_based on steps'!$B3:$AY3,'recurring2_based on steps'!$B$1:$AY$1,E$1)+SUMIFS('changes2_based on steps'!$B3:$U3,'changes2_based on steps'!$B$1:$U$1,E$1)</f>
        <v>0</v>
      </c>
      <c r="F3" s="140">
        <f>SUMIFS('recurring2_based on steps'!$B3:$AY3,'recurring2_based on steps'!$B$1:$AY$1,F$1)+SUMIFS('changes2_based on steps'!$B3:$U3,'changes2_based on steps'!$B$1:$U$1,F$1)</f>
        <v>0</v>
      </c>
      <c r="G3" s="140">
        <f>SUMIFS('recurring2_based on steps'!$B3:$AY3,'recurring2_based on steps'!$B$1:$AY$1,G$1)+SUMIFS('changes2_based on steps'!$B3:$U3,'changes2_based on steps'!$B$1:$U$1,G$1)</f>
        <v>0</v>
      </c>
      <c r="H3" s="140">
        <f>SUMIFS('recurring2_based on steps'!$B3:$AY3,'recurring2_based on steps'!$B$1:$AY$1,H$1)+SUMIFS('changes2_based on steps'!$B3:$U3,'changes2_based on steps'!$B$1:$U$1,H$1)</f>
        <v>0</v>
      </c>
      <c r="I3" s="140">
        <f>SUMIFS('recurring2_based on steps'!$B3:$AY3,'recurring2_based on steps'!$B$1:$AY$1,I$1)+SUMIFS('changes2_based on steps'!$B3:$U3,'changes2_based on steps'!$B$1:$U$1,I$1)</f>
        <v>0</v>
      </c>
      <c r="J3" s="140">
        <f ca="1">SUMIFS('recurring2_based on steps'!$B3:$AY3,'recurring2_based on steps'!$B$1:$AY$1,J$1)+SUMIFS('changes2_based on steps'!$B3:$U3,'changes2_based on steps'!$B$1:$U$1,J$1)</f>
        <v>0</v>
      </c>
      <c r="K3" s="140">
        <f>SUMIFS('recurring2_based on steps'!$B3:$AY3,'recurring2_based on steps'!$B$1:$AY$1,K$1)+SUMIFS('changes2_based on steps'!$B3:$U3,'changes2_based on steps'!$B$1:$U$1,K$1)</f>
        <v>0</v>
      </c>
      <c r="L3" s="140">
        <f>SUMIFS('recurring2_based on steps'!$B3:$AY3,'recurring2_based on steps'!$B$1:$AY$1,L$1)+SUMIFS('changes2_based on steps'!$B3:$U3,'changes2_based on steps'!$B$1:$U$1,L$1)</f>
        <v>0</v>
      </c>
      <c r="M3" s="140">
        <f>SUMIFS('recurring2_based on steps'!$B3:$AY3,'recurring2_based on steps'!$B$1:$AY$1,M$1)+SUMIFS('changes2_based on steps'!$B3:$U3,'changes2_based on steps'!$B$1:$U$1,M$1)</f>
        <v>0</v>
      </c>
      <c r="N3" s="140">
        <f ca="1">SUMIFS('recurring2_based on steps'!$B3:$AY3,'recurring2_based on steps'!$B$1:$AY$1,N$1)+SUMIFS('changes2_based on steps'!$B3:$U3,'changes2_based on steps'!$B$1:$U$1,N$1)</f>
        <v>0</v>
      </c>
      <c r="O3" s="140">
        <f>SUMIFS('recurring2_based on steps'!$B3:$AY3,'recurring2_based on steps'!$B$1:$AY$1,O$1)+SUMIFS('changes2_based on steps'!$B3:$U3,'changes2_based on steps'!$B$1:$U$1,O$1)</f>
        <v>0</v>
      </c>
      <c r="P3" s="140">
        <f ca="1">SUMIFS('recurring2_based on steps'!$B3:$AY3,'recurring2_based on steps'!$B$1:$AY$1,P$1)+SUMIFS('changes2_based on steps'!$B3:$U3,'changes2_based on steps'!$B$1:$U$1,P$1)</f>
        <v>0</v>
      </c>
      <c r="Q3" s="140">
        <f ca="1">SUMIFS('recurring2_based on steps'!$B3:$AY3,'recurring2_based on steps'!$B$1:$AY$1,Q$1)+SUMIFS('changes2_based on steps'!$B3:$U3,'changes2_based on steps'!$B$1:$U$1,Q$1)</f>
        <v>5.5401662049861494E-2</v>
      </c>
      <c r="R3" s="140">
        <f ca="1">SUMIFS('recurring2_based on steps'!$B3:$AY3,'recurring2_based on steps'!$B$1:$AY$1,R$1)+SUMIFS('changes2_based on steps'!$B3:$U3,'changes2_based on steps'!$B$1:$U$1,R$1)</f>
        <v>2.99</v>
      </c>
      <c r="S3" s="140">
        <f>SUMIFS('recurring2_based on steps'!$B3:$AY3,'recurring2_based on steps'!$B$1:$AY$1,S$1)+SUMIFS('changes2_based on steps'!$B3:$U3,'changes2_based on steps'!$B$1:$U$1,S$1)</f>
        <v>0</v>
      </c>
      <c r="T3" s="140">
        <f ca="1">SUMIFS('recurring2_based on steps'!$B3:$AY3,'recurring2_based on steps'!$B$1:$AY$1,T$1)+SUMIFS('changes2_based on steps'!$B3:$U3,'changes2_based on steps'!$B$1:$U$1,T$1)</f>
        <v>0</v>
      </c>
      <c r="U3" s="140">
        <f ca="1">SUMIFS('recurring2_based on steps'!$B3:$AY3,'recurring2_based on steps'!$B$1:$AY$1,U$1)+SUMIFS('changes2_based on steps'!$B3:$U3,'changes2_based on steps'!$B$1:$U$1,U$1)</f>
        <v>0</v>
      </c>
      <c r="V3" s="140">
        <f>SUMIFS('recurring2_based on steps'!$B3:$AY3,'recurring2_based on steps'!$B$1:$AY$1,V$1)+SUMIFS('changes2_based on steps'!$B3:$U3,'changes2_based on steps'!$B$1:$U$1,V$1)</f>
        <v>0</v>
      </c>
      <c r="W3" s="140">
        <f>SUMIFS('recurring2_based on steps'!$B3:$AY3,'recurring2_based on steps'!$B$1:$AY$1,W$1)+SUMIFS('changes2_based on steps'!$B3:$U3,'changes2_based on steps'!$B$1:$U$1,W$1)</f>
        <v>0</v>
      </c>
      <c r="X3" s="140">
        <f ca="1">SUMIFS('recurring2_based on steps'!$B3:$AY3,'recurring2_based on steps'!$B$1:$AY$1,X$1)+SUMIFS('changes2_based on steps'!$B3:$U3,'changes2_based on steps'!$B$1:$U$1,X$1)</f>
        <v>0</v>
      </c>
      <c r="Y3" s="140">
        <f ca="1">SUMIFS('recurring2_based on steps'!$B3:$AY3,'recurring2_based on steps'!$B$1:$AY$1,Y$1)+SUMIFS('changes2_based on steps'!$B3:$U3,'changes2_based on steps'!$B$1:$U$1,Y$1)</f>
        <v>0</v>
      </c>
      <c r="Z3" s="140">
        <f>SUMIFS('recurring2_based on steps'!$B3:$AY3,'recurring2_based on steps'!$B$1:$AY$1,Z$1)+SUMIFS('changes2_based on steps'!$B3:$U3,'changes2_based on steps'!$B$1:$U$1,Z$1)</f>
        <v>0</v>
      </c>
      <c r="AA3" s="140">
        <f ca="1">SUMIFS('recurring2_based on steps'!$B3:$AY3,'recurring2_based on steps'!$B$1:$AY$1,AA$1)+SUMIFS('changes2_based on steps'!$B3:$U3,'changes2_based on steps'!$B$1:$U$1,AA$1)</f>
        <v>0</v>
      </c>
      <c r="AB3" s="140">
        <f ca="1">SUMIFS('recurring2_based on steps'!$B3:$AY3,'recurring2_based on steps'!$B$1:$AY$1,AB$1)+SUMIFS('changes2_based on steps'!$B3:$U3,'changes2_based on steps'!$B$1:$U$1,AB$1)</f>
        <v>0</v>
      </c>
      <c r="AC3" s="140">
        <f ca="1">SUMIFS('recurring2_based on steps'!$B3:$AY3,'recurring2_based on steps'!$B$1:$AY$1,AC$1)+SUMIFS('changes2_based on steps'!$B3:$U3,'changes2_based on steps'!$B$1:$U$1,AC$1)</f>
        <v>0</v>
      </c>
      <c r="AD3" s="140">
        <f ca="1">SUMIFS('recurring2_based on steps'!$B3:$AY3,'recurring2_based on steps'!$B$1:$AY$1,AD$1)+SUMIFS('changes2_based on steps'!$B3:$U3,'changes2_based on steps'!$B$1:$U$1,AD$1)</f>
        <v>0</v>
      </c>
      <c r="AE3" s="140">
        <f>SUMIFS('recurring2_based on steps'!$B3:$AY3,'recurring2_based on steps'!$B$1:$AY$1,AE$1)+SUMIFS('changes2_based on steps'!$B3:$U3,'changes2_based on steps'!$B$1:$U$1,AE$1)</f>
        <v>0</v>
      </c>
      <c r="AF3" s="140"/>
      <c r="AG3" s="140"/>
      <c r="AH3" s="140"/>
      <c r="AI3" s="140"/>
      <c r="AJ3" s="140"/>
      <c r="AK3" s="140"/>
      <c r="AL3" s="140"/>
      <c r="AM3" s="140"/>
    </row>
    <row r="4" spans="1:39" x14ac:dyDescent="0.2">
      <c r="A4" s="29">
        <f ca="1">A3+1</f>
        <v>45744</v>
      </c>
      <c r="B4" s="140">
        <f ca="1">SUMIFS('recurring2_based on steps'!$B4:$AY4,'recurring2_based on steps'!$B$1:$AY$1,B$1)+SUMIFS('changes2_based on steps'!$B4:$U4,'changes2_based on steps'!$B$1:$U$1,B$1)</f>
        <v>0</v>
      </c>
      <c r="C4" s="140">
        <f>SUMIFS('recurring2_based on steps'!$B4:$AY4,'recurring2_based on steps'!$B$1:$AY$1,C$1)+SUMIFS('changes2_based on steps'!$B4:$U4,'changes2_based on steps'!$B$1:$U$1,C$1)</f>
        <v>0</v>
      </c>
      <c r="D4" s="140">
        <f>SUMIFS('recurring2_based on steps'!$B4:$AY4,'recurring2_based on steps'!$B$1:$AY$1,D$1)+SUMIFS('changes2_based on steps'!$B4:$U4,'changes2_based on steps'!$B$1:$U$1,D$1)</f>
        <v>0</v>
      </c>
      <c r="E4" s="140">
        <f>SUMIFS('recurring2_based on steps'!$B4:$AY4,'recurring2_based on steps'!$B$1:$AY$1,E$1)+SUMIFS('changes2_based on steps'!$B4:$U4,'changes2_based on steps'!$B$1:$U$1,E$1)</f>
        <v>0</v>
      </c>
      <c r="F4" s="140">
        <f>SUMIFS('recurring2_based on steps'!$B4:$AY4,'recurring2_based on steps'!$B$1:$AY$1,F$1)+SUMIFS('changes2_based on steps'!$B4:$U4,'changes2_based on steps'!$B$1:$U$1,F$1)</f>
        <v>0</v>
      </c>
      <c r="G4" s="140">
        <f>SUMIFS('recurring2_based on steps'!$B4:$AY4,'recurring2_based on steps'!$B$1:$AY$1,G$1)+SUMIFS('changes2_based on steps'!$B4:$U4,'changes2_based on steps'!$B$1:$U$1,G$1)</f>
        <v>0</v>
      </c>
      <c r="H4" s="140">
        <f>SUMIFS('recurring2_based on steps'!$B4:$AY4,'recurring2_based on steps'!$B$1:$AY$1,H$1)+SUMIFS('changes2_based on steps'!$B4:$U4,'changes2_based on steps'!$B$1:$U$1,H$1)</f>
        <v>0</v>
      </c>
      <c r="I4" s="140">
        <f>SUMIFS('recurring2_based on steps'!$B4:$AY4,'recurring2_based on steps'!$B$1:$AY$1,I$1)+SUMIFS('changes2_based on steps'!$B4:$U4,'changes2_based on steps'!$B$1:$U$1,I$1)</f>
        <v>0</v>
      </c>
      <c r="J4" s="140">
        <f ca="1">SUMIFS('recurring2_based on steps'!$B4:$AY4,'recurring2_based on steps'!$B$1:$AY$1,J$1)+SUMIFS('changes2_based on steps'!$B4:$U4,'changes2_based on steps'!$B$1:$U$1,J$1)</f>
        <v>0</v>
      </c>
      <c r="K4" s="140">
        <f>SUMIFS('recurring2_based on steps'!$B4:$AY4,'recurring2_based on steps'!$B$1:$AY$1,K$1)+SUMIFS('changes2_based on steps'!$B4:$U4,'changes2_based on steps'!$B$1:$U$1,K$1)</f>
        <v>0</v>
      </c>
      <c r="L4" s="140">
        <f>SUMIFS('recurring2_based on steps'!$B4:$AY4,'recurring2_based on steps'!$B$1:$AY$1,L$1)+SUMIFS('changes2_based on steps'!$B4:$U4,'changes2_based on steps'!$B$1:$U$1,L$1)</f>
        <v>0</v>
      </c>
      <c r="M4" s="140">
        <f>SUMIFS('recurring2_based on steps'!$B4:$AY4,'recurring2_based on steps'!$B$1:$AY$1,M$1)+SUMIFS('changes2_based on steps'!$B4:$U4,'changes2_based on steps'!$B$1:$U$1,M$1)</f>
        <v>0</v>
      </c>
      <c r="N4" s="140">
        <f ca="1">SUMIFS('recurring2_based on steps'!$B4:$AY4,'recurring2_based on steps'!$B$1:$AY$1,N$1)+SUMIFS('changes2_based on steps'!$B4:$U4,'changes2_based on steps'!$B$1:$U$1,N$1)</f>
        <v>0</v>
      </c>
      <c r="O4" s="140">
        <f>SUMIFS('recurring2_based on steps'!$B4:$AY4,'recurring2_based on steps'!$B$1:$AY$1,O$1)+SUMIFS('changes2_based on steps'!$B4:$U4,'changes2_based on steps'!$B$1:$U$1,O$1)</f>
        <v>0</v>
      </c>
      <c r="P4" s="140">
        <f ca="1">SUMIFS('recurring2_based on steps'!$B4:$AY4,'recurring2_based on steps'!$B$1:$AY$1,P$1)+SUMIFS('changes2_based on steps'!$B4:$U4,'changes2_based on steps'!$B$1:$U$1,P$1)</f>
        <v>0</v>
      </c>
      <c r="Q4" s="140">
        <f ca="1">SUMIFS('recurring2_based on steps'!$B4:$AY4,'recurring2_based on steps'!$B$1:$AY$1,Q$1)+SUMIFS('changes2_based on steps'!$B4:$U4,'changes2_based on steps'!$B$1:$U$1,Q$1)</f>
        <v>5.5401662049861494E-2</v>
      </c>
      <c r="R4" s="140">
        <f ca="1">SUMIFS('recurring2_based on steps'!$B4:$AY4,'recurring2_based on steps'!$B$1:$AY$1,R$1)+SUMIFS('changes2_based on steps'!$B4:$U4,'changes2_based on steps'!$B$1:$U$1,R$1)</f>
        <v>0</v>
      </c>
      <c r="S4" s="140">
        <f>SUMIFS('recurring2_based on steps'!$B4:$AY4,'recurring2_based on steps'!$B$1:$AY$1,S$1)+SUMIFS('changes2_based on steps'!$B4:$U4,'changes2_based on steps'!$B$1:$U$1,S$1)</f>
        <v>0</v>
      </c>
      <c r="T4" s="140">
        <f ca="1">SUMIFS('recurring2_based on steps'!$B4:$AY4,'recurring2_based on steps'!$B$1:$AY$1,T$1)+SUMIFS('changes2_based on steps'!$B4:$U4,'changes2_based on steps'!$B$1:$U$1,T$1)</f>
        <v>0</v>
      </c>
      <c r="U4" s="140">
        <f ca="1">SUMIFS('recurring2_based on steps'!$B4:$AY4,'recurring2_based on steps'!$B$1:$AY$1,U$1)+SUMIFS('changes2_based on steps'!$B4:$U4,'changes2_based on steps'!$B$1:$U$1,U$1)</f>
        <v>0</v>
      </c>
      <c r="V4" s="140">
        <f>SUMIFS('recurring2_based on steps'!$B4:$AY4,'recurring2_based on steps'!$B$1:$AY$1,V$1)+SUMIFS('changes2_based on steps'!$B4:$U4,'changes2_based on steps'!$B$1:$U$1,V$1)</f>
        <v>0</v>
      </c>
      <c r="W4" s="140">
        <f>SUMIFS('recurring2_based on steps'!$B4:$AY4,'recurring2_based on steps'!$B$1:$AY$1,W$1)+SUMIFS('changes2_based on steps'!$B4:$U4,'changes2_based on steps'!$B$1:$U$1,W$1)</f>
        <v>0</v>
      </c>
      <c r="X4" s="140">
        <f ca="1">SUMIFS('recurring2_based on steps'!$B4:$AY4,'recurring2_based on steps'!$B$1:$AY$1,X$1)+SUMIFS('changes2_based on steps'!$B4:$U4,'changes2_based on steps'!$B$1:$U$1,X$1)</f>
        <v>0</v>
      </c>
      <c r="Y4" s="140">
        <f ca="1">SUMIFS('recurring2_based on steps'!$B4:$AY4,'recurring2_based on steps'!$B$1:$AY$1,Y$1)+SUMIFS('changes2_based on steps'!$B4:$U4,'changes2_based on steps'!$B$1:$U$1,Y$1)</f>
        <v>0</v>
      </c>
      <c r="Z4" s="140">
        <f>SUMIFS('recurring2_based on steps'!$B4:$AY4,'recurring2_based on steps'!$B$1:$AY$1,Z$1)+SUMIFS('changes2_based on steps'!$B4:$U4,'changes2_based on steps'!$B$1:$U$1,Z$1)</f>
        <v>0</v>
      </c>
      <c r="AA4" s="140">
        <f ca="1">SUMIFS('recurring2_based on steps'!$B4:$AY4,'recurring2_based on steps'!$B$1:$AY$1,AA$1)+SUMIFS('changes2_based on steps'!$B4:$U4,'changes2_based on steps'!$B$1:$U$1,AA$1)</f>
        <v>0</v>
      </c>
      <c r="AB4" s="140">
        <f ca="1">SUMIFS('recurring2_based on steps'!$B4:$AY4,'recurring2_based on steps'!$B$1:$AY$1,AB$1)+SUMIFS('changes2_based on steps'!$B4:$U4,'changes2_based on steps'!$B$1:$U$1,AB$1)</f>
        <v>0</v>
      </c>
      <c r="AC4" s="140">
        <f ca="1">SUMIFS('recurring2_based on steps'!$B4:$AY4,'recurring2_based on steps'!$B$1:$AY$1,AC$1)+SUMIFS('changes2_based on steps'!$B4:$U4,'changes2_based on steps'!$B$1:$U$1,AC$1)</f>
        <v>0</v>
      </c>
      <c r="AD4" s="140">
        <f ca="1">SUMIFS('recurring2_based on steps'!$B4:$AY4,'recurring2_based on steps'!$B$1:$AY$1,AD$1)+SUMIFS('changes2_based on steps'!$B4:$U4,'changes2_based on steps'!$B$1:$U$1,AD$1)</f>
        <v>0</v>
      </c>
      <c r="AE4" s="140">
        <f>SUMIFS('recurring2_based on steps'!$B4:$AY4,'recurring2_based on steps'!$B$1:$AY$1,AE$1)+SUMIFS('changes2_based on steps'!$B4:$U4,'changes2_based on steps'!$B$1:$U$1,AE$1)</f>
        <v>0</v>
      </c>
      <c r="AF4" s="140"/>
      <c r="AG4" s="140"/>
      <c r="AH4" s="140"/>
      <c r="AI4" s="140"/>
      <c r="AJ4" s="140"/>
      <c r="AK4" s="140"/>
      <c r="AL4" s="140"/>
      <c r="AM4" s="140"/>
    </row>
    <row r="5" spans="1:39" x14ac:dyDescent="0.2">
      <c r="A5" s="29">
        <f t="shared" ref="A5:A68" ca="1" si="0">A4+1</f>
        <v>45745</v>
      </c>
      <c r="B5" s="140">
        <f ca="1">SUMIFS('recurring2_based on steps'!$B5:$AY5,'recurring2_based on steps'!$B$1:$AY$1,B$1)+SUMIFS('changes2_based on steps'!$B5:$U5,'changes2_based on steps'!$B$1:$U$1,B$1)</f>
        <v>0</v>
      </c>
      <c r="C5" s="140">
        <f>SUMIFS('recurring2_based on steps'!$B5:$AY5,'recurring2_based on steps'!$B$1:$AY$1,C$1)+SUMIFS('changes2_based on steps'!$B5:$U5,'changes2_based on steps'!$B$1:$U$1,C$1)</f>
        <v>0</v>
      </c>
      <c r="D5" s="140">
        <f>SUMIFS('recurring2_based on steps'!$B5:$AY5,'recurring2_based on steps'!$B$1:$AY$1,D$1)+SUMIFS('changes2_based on steps'!$B5:$U5,'changes2_based on steps'!$B$1:$U$1,D$1)</f>
        <v>0</v>
      </c>
      <c r="E5" s="140">
        <f>SUMIFS('recurring2_based on steps'!$B5:$AY5,'recurring2_based on steps'!$B$1:$AY$1,E$1)+SUMIFS('changes2_based on steps'!$B5:$U5,'changes2_based on steps'!$B$1:$U$1,E$1)</f>
        <v>0</v>
      </c>
      <c r="F5" s="140">
        <f>SUMIFS('recurring2_based on steps'!$B5:$AY5,'recurring2_based on steps'!$B$1:$AY$1,F$1)+SUMIFS('changes2_based on steps'!$B5:$U5,'changes2_based on steps'!$B$1:$U$1,F$1)</f>
        <v>0</v>
      </c>
      <c r="G5" s="140">
        <f>SUMIFS('recurring2_based on steps'!$B5:$AY5,'recurring2_based on steps'!$B$1:$AY$1,G$1)+SUMIFS('changes2_based on steps'!$B5:$U5,'changes2_based on steps'!$B$1:$U$1,G$1)</f>
        <v>0</v>
      </c>
      <c r="H5" s="140">
        <f>SUMIFS('recurring2_based on steps'!$B5:$AY5,'recurring2_based on steps'!$B$1:$AY$1,H$1)+SUMIFS('changes2_based on steps'!$B5:$U5,'changes2_based on steps'!$B$1:$U$1,H$1)</f>
        <v>0</v>
      </c>
      <c r="I5" s="140">
        <f>SUMIFS('recurring2_based on steps'!$B5:$AY5,'recurring2_based on steps'!$B$1:$AY$1,I$1)+SUMIFS('changes2_based on steps'!$B5:$U5,'changes2_based on steps'!$B$1:$U$1,I$1)</f>
        <v>0</v>
      </c>
      <c r="J5" s="140">
        <f ca="1">SUMIFS('recurring2_based on steps'!$B5:$AY5,'recurring2_based on steps'!$B$1:$AY$1,J$1)+SUMIFS('changes2_based on steps'!$B5:$U5,'changes2_based on steps'!$B$1:$U$1,J$1)</f>
        <v>0</v>
      </c>
      <c r="K5" s="140">
        <f>SUMIFS('recurring2_based on steps'!$B5:$AY5,'recurring2_based on steps'!$B$1:$AY$1,K$1)+SUMIFS('changes2_based on steps'!$B5:$U5,'changes2_based on steps'!$B$1:$U$1,K$1)</f>
        <v>0</v>
      </c>
      <c r="L5" s="140">
        <f>SUMIFS('recurring2_based on steps'!$B5:$AY5,'recurring2_based on steps'!$B$1:$AY$1,L$1)+SUMIFS('changes2_based on steps'!$B5:$U5,'changes2_based on steps'!$B$1:$U$1,L$1)</f>
        <v>0</v>
      </c>
      <c r="M5" s="140">
        <f>SUMIFS('recurring2_based on steps'!$B5:$AY5,'recurring2_based on steps'!$B$1:$AY$1,M$1)+SUMIFS('changes2_based on steps'!$B5:$U5,'changes2_based on steps'!$B$1:$U$1,M$1)</f>
        <v>0</v>
      </c>
      <c r="N5" s="140">
        <f ca="1">SUMIFS('recurring2_based on steps'!$B5:$AY5,'recurring2_based on steps'!$B$1:$AY$1,N$1)+SUMIFS('changes2_based on steps'!$B5:$U5,'changes2_based on steps'!$B$1:$U$1,N$1)</f>
        <v>0</v>
      </c>
      <c r="O5" s="140">
        <f>SUMIFS('recurring2_based on steps'!$B5:$AY5,'recurring2_based on steps'!$B$1:$AY$1,O$1)+SUMIFS('changes2_based on steps'!$B5:$U5,'changes2_based on steps'!$B$1:$U$1,O$1)</f>
        <v>0</v>
      </c>
      <c r="P5" s="140">
        <f ca="1">SUMIFS('recurring2_based on steps'!$B5:$AY5,'recurring2_based on steps'!$B$1:$AY$1,P$1)+SUMIFS('changes2_based on steps'!$B5:$U5,'changes2_based on steps'!$B$1:$U$1,P$1)</f>
        <v>0</v>
      </c>
      <c r="Q5" s="140">
        <f ca="1">SUMIFS('recurring2_based on steps'!$B5:$AY5,'recurring2_based on steps'!$B$1:$AY$1,Q$1)+SUMIFS('changes2_based on steps'!$B5:$U5,'changes2_based on steps'!$B$1:$U$1,Q$1)</f>
        <v>100.05540166204986</v>
      </c>
      <c r="R5" s="140">
        <f ca="1">SUMIFS('recurring2_based on steps'!$B5:$AY5,'recurring2_based on steps'!$B$1:$AY$1,R$1)+SUMIFS('changes2_based on steps'!$B5:$U5,'changes2_based on steps'!$B$1:$U$1,R$1)</f>
        <v>0</v>
      </c>
      <c r="S5" s="140">
        <f>SUMIFS('recurring2_based on steps'!$B5:$AY5,'recurring2_based on steps'!$B$1:$AY$1,S$1)+SUMIFS('changes2_based on steps'!$B5:$U5,'changes2_based on steps'!$B$1:$U$1,S$1)</f>
        <v>0</v>
      </c>
      <c r="T5" s="140">
        <f ca="1">SUMIFS('recurring2_based on steps'!$B5:$AY5,'recurring2_based on steps'!$B$1:$AY$1,T$1)+SUMIFS('changes2_based on steps'!$B5:$U5,'changes2_based on steps'!$B$1:$U$1,T$1)</f>
        <v>0</v>
      </c>
      <c r="U5" s="140">
        <f ca="1">SUMIFS('recurring2_based on steps'!$B5:$AY5,'recurring2_based on steps'!$B$1:$AY$1,U$1)+SUMIFS('changes2_based on steps'!$B5:$U5,'changes2_based on steps'!$B$1:$U$1,U$1)</f>
        <v>0</v>
      </c>
      <c r="V5" s="140">
        <f>SUMIFS('recurring2_based on steps'!$B5:$AY5,'recurring2_based on steps'!$B$1:$AY$1,V$1)+SUMIFS('changes2_based on steps'!$B5:$U5,'changes2_based on steps'!$B$1:$U$1,V$1)</f>
        <v>0</v>
      </c>
      <c r="W5" s="140">
        <f>SUMIFS('recurring2_based on steps'!$B5:$AY5,'recurring2_based on steps'!$B$1:$AY$1,W$1)+SUMIFS('changes2_based on steps'!$B5:$U5,'changes2_based on steps'!$B$1:$U$1,W$1)</f>
        <v>0</v>
      </c>
      <c r="X5" s="140">
        <f ca="1">SUMIFS('recurring2_based on steps'!$B5:$AY5,'recurring2_based on steps'!$B$1:$AY$1,X$1)+SUMIFS('changes2_based on steps'!$B5:$U5,'changes2_based on steps'!$B$1:$U$1,X$1)</f>
        <v>0</v>
      </c>
      <c r="Y5" s="140">
        <f ca="1">SUMIFS('recurring2_based on steps'!$B5:$AY5,'recurring2_based on steps'!$B$1:$AY$1,Y$1)+SUMIFS('changes2_based on steps'!$B5:$U5,'changes2_based on steps'!$B$1:$U$1,Y$1)</f>
        <v>0</v>
      </c>
      <c r="Z5" s="140">
        <f>SUMIFS('recurring2_based on steps'!$B5:$AY5,'recurring2_based on steps'!$B$1:$AY$1,Z$1)+SUMIFS('changes2_based on steps'!$B5:$U5,'changes2_based on steps'!$B$1:$U$1,Z$1)</f>
        <v>0</v>
      </c>
      <c r="AA5" s="140">
        <f ca="1">SUMIFS('recurring2_based on steps'!$B5:$AY5,'recurring2_based on steps'!$B$1:$AY$1,AA$1)+SUMIFS('changes2_based on steps'!$B5:$U5,'changes2_based on steps'!$B$1:$U$1,AA$1)</f>
        <v>0</v>
      </c>
      <c r="AB5" s="140">
        <f ca="1">SUMIFS('recurring2_based on steps'!$B5:$AY5,'recurring2_based on steps'!$B$1:$AY$1,AB$1)+SUMIFS('changes2_based on steps'!$B5:$U5,'changes2_based on steps'!$B$1:$U$1,AB$1)</f>
        <v>100</v>
      </c>
      <c r="AC5" s="140">
        <f ca="1">SUMIFS('recurring2_based on steps'!$B5:$AY5,'recurring2_based on steps'!$B$1:$AY$1,AC$1)+SUMIFS('changes2_based on steps'!$B5:$U5,'changes2_based on steps'!$B$1:$U$1,AC$1)</f>
        <v>50</v>
      </c>
      <c r="AD5" s="140">
        <f ca="1">SUMIFS('recurring2_based on steps'!$B5:$AY5,'recurring2_based on steps'!$B$1:$AY$1,AD$1)+SUMIFS('changes2_based on steps'!$B5:$U5,'changes2_based on steps'!$B$1:$U$1,AD$1)</f>
        <v>0</v>
      </c>
      <c r="AE5" s="140">
        <f>SUMIFS('recurring2_based on steps'!$B5:$AY5,'recurring2_based on steps'!$B$1:$AY$1,AE$1)+SUMIFS('changes2_based on steps'!$B5:$U5,'changes2_based on steps'!$B$1:$U$1,AE$1)</f>
        <v>0</v>
      </c>
      <c r="AF5" s="140"/>
      <c r="AG5" s="140"/>
      <c r="AH5" s="140"/>
      <c r="AI5" s="140"/>
      <c r="AJ5" s="140"/>
      <c r="AK5" s="140"/>
      <c r="AL5" s="140"/>
      <c r="AM5" s="140"/>
    </row>
    <row r="6" spans="1:39" x14ac:dyDescent="0.2">
      <c r="A6" s="29">
        <f t="shared" ca="1" si="0"/>
        <v>45746</v>
      </c>
      <c r="B6" s="140">
        <f ca="1">SUMIFS('recurring2_based on steps'!$B6:$AY6,'recurring2_based on steps'!$B$1:$AY$1,B$1)+SUMIFS('changes2_based on steps'!$B6:$U6,'changes2_based on steps'!$B$1:$U$1,B$1)</f>
        <v>0</v>
      </c>
      <c r="C6" s="140">
        <f>SUMIFS('recurring2_based on steps'!$B6:$AY6,'recurring2_based on steps'!$B$1:$AY$1,C$1)+SUMIFS('changes2_based on steps'!$B6:$U6,'changes2_based on steps'!$B$1:$U$1,C$1)</f>
        <v>0</v>
      </c>
      <c r="D6" s="140">
        <f>SUMIFS('recurring2_based on steps'!$B6:$AY6,'recurring2_based on steps'!$B$1:$AY$1,D$1)+SUMIFS('changes2_based on steps'!$B6:$U6,'changes2_based on steps'!$B$1:$U$1,D$1)</f>
        <v>0</v>
      </c>
      <c r="E6" s="140">
        <f>SUMIFS('recurring2_based on steps'!$B6:$AY6,'recurring2_based on steps'!$B$1:$AY$1,E$1)+SUMIFS('changes2_based on steps'!$B6:$U6,'changes2_based on steps'!$B$1:$U$1,E$1)</f>
        <v>0</v>
      </c>
      <c r="F6" s="140">
        <f>SUMIFS('recurring2_based on steps'!$B6:$AY6,'recurring2_based on steps'!$B$1:$AY$1,F$1)+SUMIFS('changes2_based on steps'!$B6:$U6,'changes2_based on steps'!$B$1:$U$1,F$1)</f>
        <v>0</v>
      </c>
      <c r="G6" s="140">
        <f>SUMIFS('recurring2_based on steps'!$B6:$AY6,'recurring2_based on steps'!$B$1:$AY$1,G$1)+SUMIFS('changes2_based on steps'!$B6:$U6,'changes2_based on steps'!$B$1:$U$1,G$1)</f>
        <v>0</v>
      </c>
      <c r="H6" s="140">
        <f>SUMIFS('recurring2_based on steps'!$B6:$AY6,'recurring2_based on steps'!$B$1:$AY$1,H$1)+SUMIFS('changes2_based on steps'!$B6:$U6,'changes2_based on steps'!$B$1:$U$1,H$1)</f>
        <v>0</v>
      </c>
      <c r="I6" s="140">
        <f>SUMIFS('recurring2_based on steps'!$B6:$AY6,'recurring2_based on steps'!$B$1:$AY$1,I$1)+SUMIFS('changes2_based on steps'!$B6:$U6,'changes2_based on steps'!$B$1:$U$1,I$1)</f>
        <v>0</v>
      </c>
      <c r="J6" s="140">
        <f ca="1">SUMIFS('recurring2_based on steps'!$B6:$AY6,'recurring2_based on steps'!$B$1:$AY$1,J$1)+SUMIFS('changes2_based on steps'!$B6:$U6,'changes2_based on steps'!$B$1:$U$1,J$1)</f>
        <v>0</v>
      </c>
      <c r="K6" s="140">
        <f>SUMIFS('recurring2_based on steps'!$B6:$AY6,'recurring2_based on steps'!$B$1:$AY$1,K$1)+SUMIFS('changes2_based on steps'!$B6:$U6,'changes2_based on steps'!$B$1:$U$1,K$1)</f>
        <v>0</v>
      </c>
      <c r="L6" s="140">
        <f>SUMIFS('recurring2_based on steps'!$B6:$AY6,'recurring2_based on steps'!$B$1:$AY$1,L$1)+SUMIFS('changes2_based on steps'!$B6:$U6,'changes2_based on steps'!$B$1:$U$1,L$1)</f>
        <v>0</v>
      </c>
      <c r="M6" s="140">
        <f>SUMIFS('recurring2_based on steps'!$B6:$AY6,'recurring2_based on steps'!$B$1:$AY$1,M$1)+SUMIFS('changes2_based on steps'!$B6:$U6,'changes2_based on steps'!$B$1:$U$1,M$1)</f>
        <v>0</v>
      </c>
      <c r="N6" s="140">
        <f ca="1">SUMIFS('recurring2_based on steps'!$B6:$AY6,'recurring2_based on steps'!$B$1:$AY$1,N$1)+SUMIFS('changes2_based on steps'!$B6:$U6,'changes2_based on steps'!$B$1:$U$1,N$1)</f>
        <v>0</v>
      </c>
      <c r="O6" s="140">
        <f>SUMIFS('recurring2_based on steps'!$B6:$AY6,'recurring2_based on steps'!$B$1:$AY$1,O$1)+SUMIFS('changes2_based on steps'!$B6:$U6,'changes2_based on steps'!$B$1:$U$1,O$1)</f>
        <v>0</v>
      </c>
      <c r="P6" s="140">
        <f ca="1">SUMIFS('recurring2_based on steps'!$B6:$AY6,'recurring2_based on steps'!$B$1:$AY$1,P$1)+SUMIFS('changes2_based on steps'!$B6:$U6,'changes2_based on steps'!$B$1:$U$1,P$1)</f>
        <v>0</v>
      </c>
      <c r="Q6" s="140">
        <f ca="1">SUMIFS('recurring2_based on steps'!$B6:$AY6,'recurring2_based on steps'!$B$1:$AY$1,Q$1)+SUMIFS('changes2_based on steps'!$B6:$U6,'changes2_based on steps'!$B$1:$U$1,Q$1)</f>
        <v>100.05540166204986</v>
      </c>
      <c r="R6" s="140">
        <f ca="1">SUMIFS('recurring2_based on steps'!$B6:$AY6,'recurring2_based on steps'!$B$1:$AY$1,R$1)+SUMIFS('changes2_based on steps'!$B6:$U6,'changes2_based on steps'!$B$1:$U$1,R$1)</f>
        <v>0</v>
      </c>
      <c r="S6" s="140">
        <f>SUMIFS('recurring2_based on steps'!$B6:$AY6,'recurring2_based on steps'!$B$1:$AY$1,S$1)+SUMIFS('changes2_based on steps'!$B6:$U6,'changes2_based on steps'!$B$1:$U$1,S$1)</f>
        <v>0</v>
      </c>
      <c r="T6" s="140">
        <f ca="1">SUMIFS('recurring2_based on steps'!$B6:$AY6,'recurring2_based on steps'!$B$1:$AY$1,T$1)+SUMIFS('changes2_based on steps'!$B6:$U6,'changes2_based on steps'!$B$1:$U$1,T$1)</f>
        <v>0</v>
      </c>
      <c r="U6" s="140">
        <f ca="1">SUMIFS('recurring2_based on steps'!$B6:$AY6,'recurring2_based on steps'!$B$1:$AY$1,U$1)+SUMIFS('changes2_based on steps'!$B6:$U6,'changes2_based on steps'!$B$1:$U$1,U$1)</f>
        <v>0</v>
      </c>
      <c r="V6" s="140">
        <f>SUMIFS('recurring2_based on steps'!$B6:$AY6,'recurring2_based on steps'!$B$1:$AY$1,V$1)+SUMIFS('changes2_based on steps'!$B6:$U6,'changes2_based on steps'!$B$1:$U$1,V$1)</f>
        <v>0</v>
      </c>
      <c r="W6" s="140">
        <f>SUMIFS('recurring2_based on steps'!$B6:$AY6,'recurring2_based on steps'!$B$1:$AY$1,W$1)+SUMIFS('changes2_based on steps'!$B6:$U6,'changes2_based on steps'!$B$1:$U$1,W$1)</f>
        <v>0</v>
      </c>
      <c r="X6" s="140">
        <f ca="1">SUMIFS('recurring2_based on steps'!$B6:$AY6,'recurring2_based on steps'!$B$1:$AY$1,X$1)+SUMIFS('changes2_based on steps'!$B6:$U6,'changes2_based on steps'!$B$1:$U$1,X$1)</f>
        <v>0</v>
      </c>
      <c r="Y6" s="140">
        <f ca="1">SUMIFS('recurring2_based on steps'!$B6:$AY6,'recurring2_based on steps'!$B$1:$AY$1,Y$1)+SUMIFS('changes2_based on steps'!$B6:$U6,'changes2_based on steps'!$B$1:$U$1,Y$1)</f>
        <v>50</v>
      </c>
      <c r="Z6" s="140">
        <f>SUMIFS('recurring2_based on steps'!$B6:$AY6,'recurring2_based on steps'!$B$1:$AY$1,Z$1)+SUMIFS('changes2_based on steps'!$B6:$U6,'changes2_based on steps'!$B$1:$U$1,Z$1)</f>
        <v>0</v>
      </c>
      <c r="AA6" s="140">
        <f ca="1">SUMIFS('recurring2_based on steps'!$B6:$AY6,'recurring2_based on steps'!$B$1:$AY$1,AA$1)+SUMIFS('changes2_based on steps'!$B6:$U6,'changes2_based on steps'!$B$1:$U$1,AA$1)</f>
        <v>0</v>
      </c>
      <c r="AB6" s="140">
        <f ca="1">SUMIFS('recurring2_based on steps'!$B6:$AY6,'recurring2_based on steps'!$B$1:$AY$1,AB$1)+SUMIFS('changes2_based on steps'!$B6:$U6,'changes2_based on steps'!$B$1:$U$1,AB$1)</f>
        <v>0</v>
      </c>
      <c r="AC6" s="140">
        <f ca="1">SUMIFS('recurring2_based on steps'!$B6:$AY6,'recurring2_based on steps'!$B$1:$AY$1,AC$1)+SUMIFS('changes2_based on steps'!$B6:$U6,'changes2_based on steps'!$B$1:$U$1,AC$1)</f>
        <v>0</v>
      </c>
      <c r="AD6" s="140">
        <f ca="1">SUMIFS('recurring2_based on steps'!$B6:$AY6,'recurring2_based on steps'!$B$1:$AY$1,AD$1)+SUMIFS('changes2_based on steps'!$B6:$U6,'changes2_based on steps'!$B$1:$U$1,AD$1)</f>
        <v>0</v>
      </c>
      <c r="AE6" s="140">
        <f>SUMIFS('recurring2_based on steps'!$B6:$AY6,'recurring2_based on steps'!$B$1:$AY$1,AE$1)+SUMIFS('changes2_based on steps'!$B6:$U6,'changes2_based on steps'!$B$1:$U$1,AE$1)</f>
        <v>0</v>
      </c>
      <c r="AF6" s="140"/>
      <c r="AG6" s="140"/>
      <c r="AH6" s="140"/>
      <c r="AI6" s="140"/>
      <c r="AJ6" s="140"/>
      <c r="AK6" s="140"/>
      <c r="AL6" s="140"/>
      <c r="AM6" s="140"/>
    </row>
    <row r="7" spans="1:39" x14ac:dyDescent="0.2">
      <c r="A7" s="29">
        <f t="shared" ca="1" si="0"/>
        <v>45747</v>
      </c>
      <c r="B7" s="140">
        <f ca="1">SUMIFS('recurring2_based on steps'!$B7:$AY7,'recurring2_based on steps'!$B$1:$AY$1,B$1)+SUMIFS('changes2_based on steps'!$B7:$U7,'changes2_based on steps'!$B$1:$U$1,B$1)</f>
        <v>0</v>
      </c>
      <c r="C7" s="140">
        <f>SUMIFS('recurring2_based on steps'!$B7:$AY7,'recurring2_based on steps'!$B$1:$AY$1,C$1)+SUMIFS('changes2_based on steps'!$B7:$U7,'changes2_based on steps'!$B$1:$U$1,C$1)</f>
        <v>0</v>
      </c>
      <c r="D7" s="140">
        <f>SUMIFS('recurring2_based on steps'!$B7:$AY7,'recurring2_based on steps'!$B$1:$AY$1,D$1)+SUMIFS('changes2_based on steps'!$B7:$U7,'changes2_based on steps'!$B$1:$U$1,D$1)</f>
        <v>0</v>
      </c>
      <c r="E7" s="140">
        <f>SUMIFS('recurring2_based on steps'!$B7:$AY7,'recurring2_based on steps'!$B$1:$AY$1,E$1)+SUMIFS('changes2_based on steps'!$B7:$U7,'changes2_based on steps'!$B$1:$U$1,E$1)</f>
        <v>0</v>
      </c>
      <c r="F7" s="140">
        <f>SUMIFS('recurring2_based on steps'!$B7:$AY7,'recurring2_based on steps'!$B$1:$AY$1,F$1)+SUMIFS('changes2_based on steps'!$B7:$U7,'changes2_based on steps'!$B$1:$U$1,F$1)</f>
        <v>0</v>
      </c>
      <c r="G7" s="140">
        <f>SUMIFS('recurring2_based on steps'!$B7:$AY7,'recurring2_based on steps'!$B$1:$AY$1,G$1)+SUMIFS('changes2_based on steps'!$B7:$U7,'changes2_based on steps'!$B$1:$U$1,G$1)</f>
        <v>0</v>
      </c>
      <c r="H7" s="140">
        <f>SUMIFS('recurring2_based on steps'!$B7:$AY7,'recurring2_based on steps'!$B$1:$AY$1,H$1)+SUMIFS('changes2_based on steps'!$B7:$U7,'changes2_based on steps'!$B$1:$U$1,H$1)</f>
        <v>0</v>
      </c>
      <c r="I7" s="140">
        <f>SUMIFS('recurring2_based on steps'!$B7:$AY7,'recurring2_based on steps'!$B$1:$AY$1,I$1)+SUMIFS('changes2_based on steps'!$B7:$U7,'changes2_based on steps'!$B$1:$U$1,I$1)</f>
        <v>0</v>
      </c>
      <c r="J7" s="140">
        <f ca="1">SUMIFS('recurring2_based on steps'!$B7:$AY7,'recurring2_based on steps'!$B$1:$AY$1,J$1)+SUMIFS('changes2_based on steps'!$B7:$U7,'changes2_based on steps'!$B$1:$U$1,J$1)</f>
        <v>100</v>
      </c>
      <c r="K7" s="140">
        <f>SUMIFS('recurring2_based on steps'!$B7:$AY7,'recurring2_based on steps'!$B$1:$AY$1,K$1)+SUMIFS('changes2_based on steps'!$B7:$U7,'changes2_based on steps'!$B$1:$U$1,K$1)</f>
        <v>0</v>
      </c>
      <c r="L7" s="140">
        <f>SUMIFS('recurring2_based on steps'!$B7:$AY7,'recurring2_based on steps'!$B$1:$AY$1,L$1)+SUMIFS('changes2_based on steps'!$B7:$U7,'changes2_based on steps'!$B$1:$U$1,L$1)</f>
        <v>0</v>
      </c>
      <c r="M7" s="140">
        <f>SUMIFS('recurring2_based on steps'!$B7:$AY7,'recurring2_based on steps'!$B$1:$AY$1,M$1)+SUMIFS('changes2_based on steps'!$B7:$U7,'changes2_based on steps'!$B$1:$U$1,M$1)</f>
        <v>0</v>
      </c>
      <c r="N7" s="140">
        <f ca="1">SUMIFS('recurring2_based on steps'!$B7:$AY7,'recurring2_based on steps'!$B$1:$AY$1,N$1)+SUMIFS('changes2_based on steps'!$B7:$U7,'changes2_based on steps'!$B$1:$U$1,N$1)</f>
        <v>40</v>
      </c>
      <c r="O7" s="140">
        <f>SUMIFS('recurring2_based on steps'!$B7:$AY7,'recurring2_based on steps'!$B$1:$AY$1,O$1)+SUMIFS('changes2_based on steps'!$B7:$U7,'changes2_based on steps'!$B$1:$U$1,O$1)</f>
        <v>0</v>
      </c>
      <c r="P7" s="140">
        <f ca="1">SUMIFS('recurring2_based on steps'!$B7:$AY7,'recurring2_based on steps'!$B$1:$AY$1,P$1)+SUMIFS('changes2_based on steps'!$B7:$U7,'changes2_based on steps'!$B$1:$U$1,P$1)</f>
        <v>0</v>
      </c>
      <c r="Q7" s="140">
        <f ca="1">SUMIFS('recurring2_based on steps'!$B7:$AY7,'recurring2_based on steps'!$B$1:$AY$1,Q$1)+SUMIFS('changes2_based on steps'!$B7:$U7,'changes2_based on steps'!$B$1:$U$1,Q$1)</f>
        <v>5.5401662049861494E-2</v>
      </c>
      <c r="R7" s="140">
        <f ca="1">SUMIFS('recurring2_based on steps'!$B7:$AY7,'recurring2_based on steps'!$B$1:$AY$1,R$1)+SUMIFS('changes2_based on steps'!$B7:$U7,'changes2_based on steps'!$B$1:$U$1,R$1)</f>
        <v>0</v>
      </c>
      <c r="S7" s="140">
        <f>SUMIFS('recurring2_based on steps'!$B7:$AY7,'recurring2_based on steps'!$B$1:$AY$1,S$1)+SUMIFS('changes2_based on steps'!$B7:$U7,'changes2_based on steps'!$B$1:$U$1,S$1)</f>
        <v>0</v>
      </c>
      <c r="T7" s="140">
        <f ca="1">SUMIFS('recurring2_based on steps'!$B7:$AY7,'recurring2_based on steps'!$B$1:$AY$1,T$1)+SUMIFS('changes2_based on steps'!$B7:$U7,'changes2_based on steps'!$B$1:$U$1,T$1)</f>
        <v>0</v>
      </c>
      <c r="U7" s="140">
        <f ca="1">SUMIFS('recurring2_based on steps'!$B7:$AY7,'recurring2_based on steps'!$B$1:$AY$1,U$1)+SUMIFS('changes2_based on steps'!$B7:$U7,'changes2_based on steps'!$B$1:$U$1,U$1)</f>
        <v>0</v>
      </c>
      <c r="V7" s="140">
        <f>SUMIFS('recurring2_based on steps'!$B7:$AY7,'recurring2_based on steps'!$B$1:$AY$1,V$1)+SUMIFS('changes2_based on steps'!$B7:$U7,'changes2_based on steps'!$B$1:$U$1,V$1)</f>
        <v>0</v>
      </c>
      <c r="W7" s="140">
        <f>SUMIFS('recurring2_based on steps'!$B7:$AY7,'recurring2_based on steps'!$B$1:$AY$1,W$1)+SUMIFS('changes2_based on steps'!$B7:$U7,'changes2_based on steps'!$B$1:$U$1,W$1)</f>
        <v>0</v>
      </c>
      <c r="X7" s="140">
        <f ca="1">SUMIFS('recurring2_based on steps'!$B7:$AY7,'recurring2_based on steps'!$B$1:$AY$1,X$1)+SUMIFS('changes2_based on steps'!$B7:$U7,'changes2_based on steps'!$B$1:$U$1,X$1)</f>
        <v>0</v>
      </c>
      <c r="Y7" s="140">
        <f ca="1">SUMIFS('recurring2_based on steps'!$B7:$AY7,'recurring2_based on steps'!$B$1:$AY$1,Y$1)+SUMIFS('changes2_based on steps'!$B7:$U7,'changes2_based on steps'!$B$1:$U$1,Y$1)</f>
        <v>0</v>
      </c>
      <c r="Z7" s="140">
        <f>SUMIFS('recurring2_based on steps'!$B7:$AY7,'recurring2_based on steps'!$B$1:$AY$1,Z$1)+SUMIFS('changes2_based on steps'!$B7:$U7,'changes2_based on steps'!$B$1:$U$1,Z$1)</f>
        <v>0</v>
      </c>
      <c r="AA7" s="140">
        <f ca="1">SUMIFS('recurring2_based on steps'!$B7:$AY7,'recurring2_based on steps'!$B$1:$AY$1,AA$1)+SUMIFS('changes2_based on steps'!$B7:$U7,'changes2_based on steps'!$B$1:$U$1,AA$1)</f>
        <v>0</v>
      </c>
      <c r="AB7" s="140">
        <f ca="1">SUMIFS('recurring2_based on steps'!$B7:$AY7,'recurring2_based on steps'!$B$1:$AY$1,AB$1)+SUMIFS('changes2_based on steps'!$B7:$U7,'changes2_based on steps'!$B$1:$U$1,AB$1)</f>
        <v>0</v>
      </c>
      <c r="AC7" s="140">
        <f ca="1">SUMIFS('recurring2_based on steps'!$B7:$AY7,'recurring2_based on steps'!$B$1:$AY$1,AC$1)+SUMIFS('changes2_based on steps'!$B7:$U7,'changes2_based on steps'!$B$1:$U$1,AC$1)</f>
        <v>0</v>
      </c>
      <c r="AD7" s="140">
        <f ca="1">SUMIFS('recurring2_based on steps'!$B7:$AY7,'recurring2_based on steps'!$B$1:$AY$1,AD$1)+SUMIFS('changes2_based on steps'!$B7:$U7,'changes2_based on steps'!$B$1:$U$1,AD$1)</f>
        <v>0</v>
      </c>
      <c r="AE7" s="140">
        <f>SUMIFS('recurring2_based on steps'!$B7:$AY7,'recurring2_based on steps'!$B$1:$AY$1,AE$1)+SUMIFS('changes2_based on steps'!$B7:$U7,'changes2_based on steps'!$B$1:$U$1,AE$1)</f>
        <v>0</v>
      </c>
      <c r="AF7" s="140"/>
      <c r="AG7" s="140"/>
      <c r="AH7" s="140"/>
      <c r="AI7" s="140"/>
      <c r="AJ7" s="140"/>
      <c r="AK7" s="140"/>
      <c r="AL7" s="140"/>
      <c r="AM7" s="140"/>
    </row>
    <row r="8" spans="1:39" x14ac:dyDescent="0.2">
      <c r="A8" s="29">
        <f t="shared" ca="1" si="0"/>
        <v>45748</v>
      </c>
      <c r="B8" s="140">
        <f ca="1">SUMIFS('recurring2_based on steps'!$B8:$AY8,'recurring2_based on steps'!$B$1:$AY$1,B$1)+SUMIFS('changes2_based on steps'!$B8:$U8,'changes2_based on steps'!$B$1:$U$1,B$1)</f>
        <v>0</v>
      </c>
      <c r="C8" s="140">
        <f>SUMIFS('recurring2_based on steps'!$B8:$AY8,'recurring2_based on steps'!$B$1:$AY$1,C$1)+SUMIFS('changes2_based on steps'!$B8:$U8,'changes2_based on steps'!$B$1:$U$1,C$1)</f>
        <v>0</v>
      </c>
      <c r="D8" s="140">
        <f>SUMIFS('recurring2_based on steps'!$B8:$AY8,'recurring2_based on steps'!$B$1:$AY$1,D$1)+SUMIFS('changes2_based on steps'!$B8:$U8,'changes2_based on steps'!$B$1:$U$1,D$1)</f>
        <v>0</v>
      </c>
      <c r="E8" s="140">
        <f>SUMIFS('recurring2_based on steps'!$B8:$AY8,'recurring2_based on steps'!$B$1:$AY$1,E$1)+SUMIFS('changes2_based on steps'!$B8:$U8,'changes2_based on steps'!$B$1:$U$1,E$1)</f>
        <v>0</v>
      </c>
      <c r="F8" s="140">
        <f>SUMIFS('recurring2_based on steps'!$B8:$AY8,'recurring2_based on steps'!$B$1:$AY$1,F$1)+SUMIFS('changes2_based on steps'!$B8:$U8,'changes2_based on steps'!$B$1:$U$1,F$1)</f>
        <v>0</v>
      </c>
      <c r="G8" s="140">
        <f>SUMIFS('recurring2_based on steps'!$B8:$AY8,'recurring2_based on steps'!$B$1:$AY$1,G$1)+SUMIFS('changes2_based on steps'!$B8:$U8,'changes2_based on steps'!$B$1:$U$1,G$1)</f>
        <v>0</v>
      </c>
      <c r="H8" s="140">
        <f>SUMIFS('recurring2_based on steps'!$B8:$AY8,'recurring2_based on steps'!$B$1:$AY$1,H$1)+SUMIFS('changes2_based on steps'!$B8:$U8,'changes2_based on steps'!$B$1:$U$1,H$1)</f>
        <v>0</v>
      </c>
      <c r="I8" s="140">
        <f>SUMIFS('recurring2_based on steps'!$B8:$AY8,'recurring2_based on steps'!$B$1:$AY$1,I$1)+SUMIFS('changes2_based on steps'!$B8:$U8,'changes2_based on steps'!$B$1:$U$1,I$1)</f>
        <v>0</v>
      </c>
      <c r="J8" s="140">
        <f ca="1">SUMIFS('recurring2_based on steps'!$B8:$AY8,'recurring2_based on steps'!$B$1:$AY$1,J$1)+SUMIFS('changes2_based on steps'!$B8:$U8,'changes2_based on steps'!$B$1:$U$1,J$1)</f>
        <v>0</v>
      </c>
      <c r="K8" s="140">
        <f>SUMIFS('recurring2_based on steps'!$B8:$AY8,'recurring2_based on steps'!$B$1:$AY$1,K$1)+SUMIFS('changes2_based on steps'!$B8:$U8,'changes2_based on steps'!$B$1:$U$1,K$1)</f>
        <v>0</v>
      </c>
      <c r="L8" s="140">
        <f>SUMIFS('recurring2_based on steps'!$B8:$AY8,'recurring2_based on steps'!$B$1:$AY$1,L$1)+SUMIFS('changes2_based on steps'!$B8:$U8,'changes2_based on steps'!$B$1:$U$1,L$1)</f>
        <v>0</v>
      </c>
      <c r="M8" s="140">
        <f>SUMIFS('recurring2_based on steps'!$B8:$AY8,'recurring2_based on steps'!$B$1:$AY$1,M$1)+SUMIFS('changes2_based on steps'!$B8:$U8,'changes2_based on steps'!$B$1:$U$1,M$1)</f>
        <v>0</v>
      </c>
      <c r="N8" s="140">
        <f ca="1">SUMIFS('recurring2_based on steps'!$B8:$AY8,'recurring2_based on steps'!$B$1:$AY$1,N$1)+SUMIFS('changes2_based on steps'!$B8:$U8,'changes2_based on steps'!$B$1:$U$1,N$1)</f>
        <v>2000</v>
      </c>
      <c r="O8" s="140">
        <f>SUMIFS('recurring2_based on steps'!$B8:$AY8,'recurring2_based on steps'!$B$1:$AY$1,O$1)+SUMIFS('changes2_based on steps'!$B8:$U8,'changes2_based on steps'!$B$1:$U$1,O$1)</f>
        <v>0</v>
      </c>
      <c r="P8" s="140">
        <f ca="1">SUMIFS('recurring2_based on steps'!$B8:$AY8,'recurring2_based on steps'!$B$1:$AY$1,P$1)+SUMIFS('changes2_based on steps'!$B8:$U8,'changes2_based on steps'!$B$1:$U$1,P$1)</f>
        <v>0</v>
      </c>
      <c r="Q8" s="140">
        <f ca="1">SUMIFS('recurring2_based on steps'!$B8:$AY8,'recurring2_based on steps'!$B$1:$AY$1,Q$1)+SUMIFS('changes2_based on steps'!$B8:$U8,'changes2_based on steps'!$B$1:$U$1,Q$1)</f>
        <v>5.5401662049861494E-2</v>
      </c>
      <c r="R8" s="140">
        <f ca="1">SUMIFS('recurring2_based on steps'!$B8:$AY8,'recurring2_based on steps'!$B$1:$AY$1,R$1)+SUMIFS('changes2_based on steps'!$B8:$U8,'changes2_based on steps'!$B$1:$U$1,R$1)</f>
        <v>0</v>
      </c>
      <c r="S8" s="140">
        <f>SUMIFS('recurring2_based on steps'!$B8:$AY8,'recurring2_based on steps'!$B$1:$AY$1,S$1)+SUMIFS('changes2_based on steps'!$B8:$U8,'changes2_based on steps'!$B$1:$U$1,S$1)</f>
        <v>0</v>
      </c>
      <c r="T8" s="140">
        <f ca="1">SUMIFS('recurring2_based on steps'!$B8:$AY8,'recurring2_based on steps'!$B$1:$AY$1,T$1)+SUMIFS('changes2_based on steps'!$B8:$U8,'changes2_based on steps'!$B$1:$U$1,T$1)</f>
        <v>0</v>
      </c>
      <c r="U8" s="140">
        <f ca="1">SUMIFS('recurring2_based on steps'!$B8:$AY8,'recurring2_based on steps'!$B$1:$AY$1,U$1)+SUMIFS('changes2_based on steps'!$B8:$U8,'changes2_based on steps'!$B$1:$U$1,U$1)</f>
        <v>0</v>
      </c>
      <c r="V8" s="140">
        <f>SUMIFS('recurring2_based on steps'!$B8:$AY8,'recurring2_based on steps'!$B$1:$AY$1,V$1)+SUMIFS('changes2_based on steps'!$B8:$U8,'changes2_based on steps'!$B$1:$U$1,V$1)</f>
        <v>0</v>
      </c>
      <c r="W8" s="140">
        <f>SUMIFS('recurring2_based on steps'!$B8:$AY8,'recurring2_based on steps'!$B$1:$AY$1,W$1)+SUMIFS('changes2_based on steps'!$B8:$U8,'changes2_based on steps'!$B$1:$U$1,W$1)</f>
        <v>0</v>
      </c>
      <c r="X8" s="140">
        <f ca="1">SUMIFS('recurring2_based on steps'!$B8:$AY8,'recurring2_based on steps'!$B$1:$AY$1,X$1)+SUMIFS('changes2_based on steps'!$B8:$U8,'changes2_based on steps'!$B$1:$U$1,X$1)</f>
        <v>0</v>
      </c>
      <c r="Y8" s="140">
        <f ca="1">SUMIFS('recurring2_based on steps'!$B8:$AY8,'recurring2_based on steps'!$B$1:$AY$1,Y$1)+SUMIFS('changes2_based on steps'!$B8:$U8,'changes2_based on steps'!$B$1:$U$1,Y$1)</f>
        <v>0</v>
      </c>
      <c r="Z8" s="140">
        <f>SUMIFS('recurring2_based on steps'!$B8:$AY8,'recurring2_based on steps'!$B$1:$AY$1,Z$1)+SUMIFS('changes2_based on steps'!$B8:$U8,'changes2_based on steps'!$B$1:$U$1,Z$1)</f>
        <v>0</v>
      </c>
      <c r="AA8" s="140">
        <f ca="1">SUMIFS('recurring2_based on steps'!$B8:$AY8,'recurring2_based on steps'!$B$1:$AY$1,AA$1)+SUMIFS('changes2_based on steps'!$B8:$U8,'changes2_based on steps'!$B$1:$U$1,AA$1)</f>
        <v>0</v>
      </c>
      <c r="AB8" s="140">
        <f ca="1">SUMIFS('recurring2_based on steps'!$B8:$AY8,'recurring2_based on steps'!$B$1:$AY$1,AB$1)+SUMIFS('changes2_based on steps'!$B8:$U8,'changes2_based on steps'!$B$1:$U$1,AB$1)</f>
        <v>0</v>
      </c>
      <c r="AC8" s="140">
        <f ca="1">SUMIFS('recurring2_based on steps'!$B8:$AY8,'recurring2_based on steps'!$B$1:$AY$1,AC$1)+SUMIFS('changes2_based on steps'!$B8:$U8,'changes2_based on steps'!$B$1:$U$1,AC$1)</f>
        <v>0</v>
      </c>
      <c r="AD8" s="140">
        <f ca="1">SUMIFS('recurring2_based on steps'!$B8:$AY8,'recurring2_based on steps'!$B$1:$AY$1,AD$1)+SUMIFS('changes2_based on steps'!$B8:$U8,'changes2_based on steps'!$B$1:$U$1,AD$1)</f>
        <v>0</v>
      </c>
      <c r="AE8" s="140">
        <f>SUMIFS('recurring2_based on steps'!$B8:$AY8,'recurring2_based on steps'!$B$1:$AY$1,AE$1)+SUMIFS('changes2_based on steps'!$B8:$U8,'changes2_based on steps'!$B$1:$U$1,AE$1)</f>
        <v>0</v>
      </c>
      <c r="AF8" s="140"/>
      <c r="AG8" s="140"/>
      <c r="AH8" s="140"/>
      <c r="AI8" s="140"/>
      <c r="AJ8" s="140"/>
      <c r="AK8" s="140"/>
      <c r="AL8" s="140"/>
      <c r="AM8" s="140"/>
    </row>
    <row r="9" spans="1:39" x14ac:dyDescent="0.2">
      <c r="A9" s="29">
        <f t="shared" ca="1" si="0"/>
        <v>45749</v>
      </c>
      <c r="B9" s="140">
        <f ca="1">SUMIFS('recurring2_based on steps'!$B9:$AY9,'recurring2_based on steps'!$B$1:$AY$1,B$1)+SUMIFS('changes2_based on steps'!$B9:$U9,'changes2_based on steps'!$B$1:$U$1,B$1)</f>
        <v>0</v>
      </c>
      <c r="C9" s="140">
        <f>SUMIFS('recurring2_based on steps'!$B9:$AY9,'recurring2_based on steps'!$B$1:$AY$1,C$1)+SUMIFS('changes2_based on steps'!$B9:$U9,'changes2_based on steps'!$B$1:$U$1,C$1)</f>
        <v>0</v>
      </c>
      <c r="D9" s="140">
        <f>SUMIFS('recurring2_based on steps'!$B9:$AY9,'recurring2_based on steps'!$B$1:$AY$1,D$1)+SUMIFS('changes2_based on steps'!$B9:$U9,'changes2_based on steps'!$B$1:$U$1,D$1)</f>
        <v>0</v>
      </c>
      <c r="E9" s="140">
        <f>SUMIFS('recurring2_based on steps'!$B9:$AY9,'recurring2_based on steps'!$B$1:$AY$1,E$1)+SUMIFS('changes2_based on steps'!$B9:$U9,'changes2_based on steps'!$B$1:$U$1,E$1)</f>
        <v>0</v>
      </c>
      <c r="F9" s="140">
        <f>SUMIFS('recurring2_based on steps'!$B9:$AY9,'recurring2_based on steps'!$B$1:$AY$1,F$1)+SUMIFS('changes2_based on steps'!$B9:$U9,'changes2_based on steps'!$B$1:$U$1,F$1)</f>
        <v>0</v>
      </c>
      <c r="G9" s="140">
        <f>SUMIFS('recurring2_based on steps'!$B9:$AY9,'recurring2_based on steps'!$B$1:$AY$1,G$1)+SUMIFS('changes2_based on steps'!$B9:$U9,'changes2_based on steps'!$B$1:$U$1,G$1)</f>
        <v>0</v>
      </c>
      <c r="H9" s="140">
        <f>SUMIFS('recurring2_based on steps'!$B9:$AY9,'recurring2_based on steps'!$B$1:$AY$1,H$1)+SUMIFS('changes2_based on steps'!$B9:$U9,'changes2_based on steps'!$B$1:$U$1,H$1)</f>
        <v>0</v>
      </c>
      <c r="I9" s="140">
        <f>SUMIFS('recurring2_based on steps'!$B9:$AY9,'recurring2_based on steps'!$B$1:$AY$1,I$1)+SUMIFS('changes2_based on steps'!$B9:$U9,'changes2_based on steps'!$B$1:$U$1,I$1)</f>
        <v>0</v>
      </c>
      <c r="J9" s="140">
        <f ca="1">SUMIFS('recurring2_based on steps'!$B9:$AY9,'recurring2_based on steps'!$B$1:$AY$1,J$1)+SUMIFS('changes2_based on steps'!$B9:$U9,'changes2_based on steps'!$B$1:$U$1,J$1)</f>
        <v>0</v>
      </c>
      <c r="K9" s="140">
        <f>SUMIFS('recurring2_based on steps'!$B9:$AY9,'recurring2_based on steps'!$B$1:$AY$1,K$1)+SUMIFS('changes2_based on steps'!$B9:$U9,'changes2_based on steps'!$B$1:$U$1,K$1)</f>
        <v>0</v>
      </c>
      <c r="L9" s="140">
        <f>SUMIFS('recurring2_based on steps'!$B9:$AY9,'recurring2_based on steps'!$B$1:$AY$1,L$1)+SUMIFS('changes2_based on steps'!$B9:$U9,'changes2_based on steps'!$B$1:$U$1,L$1)</f>
        <v>0</v>
      </c>
      <c r="M9" s="140">
        <f>SUMIFS('recurring2_based on steps'!$B9:$AY9,'recurring2_based on steps'!$B$1:$AY$1,M$1)+SUMIFS('changes2_based on steps'!$B9:$U9,'changes2_based on steps'!$B$1:$U$1,M$1)</f>
        <v>0</v>
      </c>
      <c r="N9" s="140">
        <f ca="1">SUMIFS('recurring2_based on steps'!$B9:$AY9,'recurring2_based on steps'!$B$1:$AY$1,N$1)+SUMIFS('changes2_based on steps'!$B9:$U9,'changes2_based on steps'!$B$1:$U$1,N$1)</f>
        <v>0</v>
      </c>
      <c r="O9" s="140">
        <f>SUMIFS('recurring2_based on steps'!$B9:$AY9,'recurring2_based on steps'!$B$1:$AY$1,O$1)+SUMIFS('changes2_based on steps'!$B9:$U9,'changes2_based on steps'!$B$1:$U$1,O$1)</f>
        <v>0</v>
      </c>
      <c r="P9" s="140">
        <f ca="1">SUMIFS('recurring2_based on steps'!$B9:$AY9,'recurring2_based on steps'!$B$1:$AY$1,P$1)+SUMIFS('changes2_based on steps'!$B9:$U9,'changes2_based on steps'!$B$1:$U$1,P$1)</f>
        <v>0</v>
      </c>
      <c r="Q9" s="140">
        <f ca="1">SUMIFS('recurring2_based on steps'!$B9:$AY9,'recurring2_based on steps'!$B$1:$AY$1,Q$1)+SUMIFS('changes2_based on steps'!$B9:$U9,'changes2_based on steps'!$B$1:$U$1,Q$1)</f>
        <v>5.5401662049861494E-2</v>
      </c>
      <c r="R9" s="140">
        <f ca="1">SUMIFS('recurring2_based on steps'!$B9:$AY9,'recurring2_based on steps'!$B$1:$AY$1,R$1)+SUMIFS('changes2_based on steps'!$B9:$U9,'changes2_based on steps'!$B$1:$U$1,R$1)</f>
        <v>0</v>
      </c>
      <c r="S9" s="140">
        <f>SUMIFS('recurring2_based on steps'!$B9:$AY9,'recurring2_based on steps'!$B$1:$AY$1,S$1)+SUMIFS('changes2_based on steps'!$B9:$U9,'changes2_based on steps'!$B$1:$U$1,S$1)</f>
        <v>0</v>
      </c>
      <c r="T9" s="140">
        <f ca="1">SUMIFS('recurring2_based on steps'!$B9:$AY9,'recurring2_based on steps'!$B$1:$AY$1,T$1)+SUMIFS('changes2_based on steps'!$B9:$U9,'changes2_based on steps'!$B$1:$U$1,T$1)</f>
        <v>0</v>
      </c>
      <c r="U9" s="140">
        <f ca="1">SUMIFS('recurring2_based on steps'!$B9:$AY9,'recurring2_based on steps'!$B$1:$AY$1,U$1)+SUMIFS('changes2_based on steps'!$B9:$U9,'changes2_based on steps'!$B$1:$U$1,U$1)</f>
        <v>0</v>
      </c>
      <c r="V9" s="140">
        <f>SUMIFS('recurring2_based on steps'!$B9:$AY9,'recurring2_based on steps'!$B$1:$AY$1,V$1)+SUMIFS('changes2_based on steps'!$B9:$U9,'changes2_based on steps'!$B$1:$U$1,V$1)</f>
        <v>0</v>
      </c>
      <c r="W9" s="140">
        <f>SUMIFS('recurring2_based on steps'!$B9:$AY9,'recurring2_based on steps'!$B$1:$AY$1,W$1)+SUMIFS('changes2_based on steps'!$B9:$U9,'changes2_based on steps'!$B$1:$U$1,W$1)</f>
        <v>0</v>
      </c>
      <c r="X9" s="140">
        <f ca="1">SUMIFS('recurring2_based on steps'!$B9:$AY9,'recurring2_based on steps'!$B$1:$AY$1,X$1)+SUMIFS('changes2_based on steps'!$B9:$U9,'changes2_based on steps'!$B$1:$U$1,X$1)</f>
        <v>0</v>
      </c>
      <c r="Y9" s="140">
        <f ca="1">SUMIFS('recurring2_based on steps'!$B9:$AY9,'recurring2_based on steps'!$B$1:$AY$1,Y$1)+SUMIFS('changes2_based on steps'!$B9:$U9,'changes2_based on steps'!$B$1:$U$1,Y$1)</f>
        <v>0</v>
      </c>
      <c r="Z9" s="140">
        <f>SUMIFS('recurring2_based on steps'!$B9:$AY9,'recurring2_based on steps'!$B$1:$AY$1,Z$1)+SUMIFS('changes2_based on steps'!$B9:$U9,'changes2_based on steps'!$B$1:$U$1,Z$1)</f>
        <v>0</v>
      </c>
      <c r="AA9" s="140">
        <f ca="1">SUMIFS('recurring2_based on steps'!$B9:$AY9,'recurring2_based on steps'!$B$1:$AY$1,AA$1)+SUMIFS('changes2_based on steps'!$B9:$U9,'changes2_based on steps'!$B$1:$U$1,AA$1)</f>
        <v>0</v>
      </c>
      <c r="AB9" s="140">
        <f ca="1">SUMIFS('recurring2_based on steps'!$B9:$AY9,'recurring2_based on steps'!$B$1:$AY$1,AB$1)+SUMIFS('changes2_based on steps'!$B9:$U9,'changes2_based on steps'!$B$1:$U$1,AB$1)</f>
        <v>0</v>
      </c>
      <c r="AC9" s="140">
        <f ca="1">SUMIFS('recurring2_based on steps'!$B9:$AY9,'recurring2_based on steps'!$B$1:$AY$1,AC$1)+SUMIFS('changes2_based on steps'!$B9:$U9,'changes2_based on steps'!$B$1:$U$1,AC$1)</f>
        <v>0</v>
      </c>
      <c r="AD9" s="140">
        <f ca="1">SUMIFS('recurring2_based on steps'!$B9:$AY9,'recurring2_based on steps'!$B$1:$AY$1,AD$1)+SUMIFS('changes2_based on steps'!$B9:$U9,'changes2_based on steps'!$B$1:$U$1,AD$1)</f>
        <v>0</v>
      </c>
      <c r="AE9" s="140">
        <f>SUMIFS('recurring2_based on steps'!$B9:$AY9,'recurring2_based on steps'!$B$1:$AY$1,AE$1)+SUMIFS('changes2_based on steps'!$B9:$U9,'changes2_based on steps'!$B$1:$U$1,AE$1)</f>
        <v>0</v>
      </c>
      <c r="AF9" s="140"/>
      <c r="AG9" s="140"/>
      <c r="AH9" s="140"/>
      <c r="AI9" s="140"/>
      <c r="AJ9" s="140"/>
      <c r="AK9" s="140"/>
      <c r="AL9" s="140"/>
      <c r="AM9" s="140"/>
    </row>
    <row r="10" spans="1:39" x14ac:dyDescent="0.2">
      <c r="A10" s="29">
        <f t="shared" ca="1" si="0"/>
        <v>45750</v>
      </c>
      <c r="B10" s="140">
        <f ca="1">SUMIFS('recurring2_based on steps'!$B10:$AY10,'recurring2_based on steps'!$B$1:$AY$1,B$1)+SUMIFS('changes2_based on steps'!$B10:$U10,'changes2_based on steps'!$B$1:$U$1,B$1)</f>
        <v>0</v>
      </c>
      <c r="C10" s="140">
        <f>SUMIFS('recurring2_based on steps'!$B10:$AY10,'recurring2_based on steps'!$B$1:$AY$1,C$1)+SUMIFS('changes2_based on steps'!$B10:$U10,'changes2_based on steps'!$B$1:$U$1,C$1)</f>
        <v>0</v>
      </c>
      <c r="D10" s="140">
        <f>SUMIFS('recurring2_based on steps'!$B10:$AY10,'recurring2_based on steps'!$B$1:$AY$1,D$1)+SUMIFS('changes2_based on steps'!$B10:$U10,'changes2_based on steps'!$B$1:$U$1,D$1)</f>
        <v>0</v>
      </c>
      <c r="E10" s="140">
        <f>SUMIFS('recurring2_based on steps'!$B10:$AY10,'recurring2_based on steps'!$B$1:$AY$1,E$1)+SUMIFS('changes2_based on steps'!$B10:$U10,'changes2_based on steps'!$B$1:$U$1,E$1)</f>
        <v>0</v>
      </c>
      <c r="F10" s="140">
        <f>SUMIFS('recurring2_based on steps'!$B10:$AY10,'recurring2_based on steps'!$B$1:$AY$1,F$1)+SUMIFS('changes2_based on steps'!$B10:$U10,'changes2_based on steps'!$B$1:$U$1,F$1)</f>
        <v>0</v>
      </c>
      <c r="G10" s="140">
        <f>SUMIFS('recurring2_based on steps'!$B10:$AY10,'recurring2_based on steps'!$B$1:$AY$1,G$1)+SUMIFS('changes2_based on steps'!$B10:$U10,'changes2_based on steps'!$B$1:$U$1,G$1)</f>
        <v>0</v>
      </c>
      <c r="H10" s="140">
        <f>SUMIFS('recurring2_based on steps'!$B10:$AY10,'recurring2_based on steps'!$B$1:$AY$1,H$1)+SUMIFS('changes2_based on steps'!$B10:$U10,'changes2_based on steps'!$B$1:$U$1,H$1)</f>
        <v>0</v>
      </c>
      <c r="I10" s="140">
        <f>SUMIFS('recurring2_based on steps'!$B10:$AY10,'recurring2_based on steps'!$B$1:$AY$1,I$1)+SUMIFS('changes2_based on steps'!$B10:$U10,'changes2_based on steps'!$B$1:$U$1,I$1)</f>
        <v>0</v>
      </c>
      <c r="J10" s="140">
        <f ca="1">SUMIFS('recurring2_based on steps'!$B10:$AY10,'recurring2_based on steps'!$B$1:$AY$1,J$1)+SUMIFS('changes2_based on steps'!$B10:$U10,'changes2_based on steps'!$B$1:$U$1,J$1)</f>
        <v>0</v>
      </c>
      <c r="K10" s="140">
        <f>SUMIFS('recurring2_based on steps'!$B10:$AY10,'recurring2_based on steps'!$B$1:$AY$1,K$1)+SUMIFS('changes2_based on steps'!$B10:$U10,'changes2_based on steps'!$B$1:$U$1,K$1)</f>
        <v>0</v>
      </c>
      <c r="L10" s="140">
        <f>SUMIFS('recurring2_based on steps'!$B10:$AY10,'recurring2_based on steps'!$B$1:$AY$1,L$1)+SUMIFS('changes2_based on steps'!$B10:$U10,'changes2_based on steps'!$B$1:$U$1,L$1)</f>
        <v>0</v>
      </c>
      <c r="M10" s="140">
        <f>SUMIFS('recurring2_based on steps'!$B10:$AY10,'recurring2_based on steps'!$B$1:$AY$1,M$1)+SUMIFS('changes2_based on steps'!$B10:$U10,'changes2_based on steps'!$B$1:$U$1,M$1)</f>
        <v>0</v>
      </c>
      <c r="N10" s="140">
        <f ca="1">SUMIFS('recurring2_based on steps'!$B10:$AY10,'recurring2_based on steps'!$B$1:$AY$1,N$1)+SUMIFS('changes2_based on steps'!$B10:$U10,'changes2_based on steps'!$B$1:$U$1,N$1)</f>
        <v>0</v>
      </c>
      <c r="O10" s="140">
        <f>SUMIFS('recurring2_based on steps'!$B10:$AY10,'recurring2_based on steps'!$B$1:$AY$1,O$1)+SUMIFS('changes2_based on steps'!$B10:$U10,'changes2_based on steps'!$B$1:$U$1,O$1)</f>
        <v>0</v>
      </c>
      <c r="P10" s="140">
        <f ca="1">SUMIFS('recurring2_based on steps'!$B10:$AY10,'recurring2_based on steps'!$B$1:$AY$1,P$1)+SUMIFS('changes2_based on steps'!$B10:$U10,'changes2_based on steps'!$B$1:$U$1,P$1)</f>
        <v>0</v>
      </c>
      <c r="Q10" s="140">
        <f ca="1">SUMIFS('recurring2_based on steps'!$B10:$AY10,'recurring2_based on steps'!$B$1:$AY$1,Q$1)+SUMIFS('changes2_based on steps'!$B10:$U10,'changes2_based on steps'!$B$1:$U$1,Q$1)</f>
        <v>5.5401662049861494E-2</v>
      </c>
      <c r="R10" s="140">
        <f ca="1">SUMIFS('recurring2_based on steps'!$B10:$AY10,'recurring2_based on steps'!$B$1:$AY$1,R$1)+SUMIFS('changes2_based on steps'!$B10:$U10,'changes2_based on steps'!$B$1:$U$1,R$1)</f>
        <v>0</v>
      </c>
      <c r="S10" s="140">
        <f>SUMIFS('recurring2_based on steps'!$B10:$AY10,'recurring2_based on steps'!$B$1:$AY$1,S$1)+SUMIFS('changes2_based on steps'!$B10:$U10,'changes2_based on steps'!$B$1:$U$1,S$1)</f>
        <v>0</v>
      </c>
      <c r="T10" s="140">
        <f ca="1">SUMIFS('recurring2_based on steps'!$B10:$AY10,'recurring2_based on steps'!$B$1:$AY$1,T$1)+SUMIFS('changes2_based on steps'!$B10:$U10,'changes2_based on steps'!$B$1:$U$1,T$1)</f>
        <v>0</v>
      </c>
      <c r="U10" s="140">
        <f ca="1">SUMIFS('recurring2_based on steps'!$B10:$AY10,'recurring2_based on steps'!$B$1:$AY$1,U$1)+SUMIFS('changes2_based on steps'!$B10:$U10,'changes2_based on steps'!$B$1:$U$1,U$1)</f>
        <v>0</v>
      </c>
      <c r="V10" s="140">
        <f>SUMIFS('recurring2_based on steps'!$B10:$AY10,'recurring2_based on steps'!$B$1:$AY$1,V$1)+SUMIFS('changes2_based on steps'!$B10:$U10,'changes2_based on steps'!$B$1:$U$1,V$1)</f>
        <v>0</v>
      </c>
      <c r="W10" s="140">
        <f>SUMIFS('recurring2_based on steps'!$B10:$AY10,'recurring2_based on steps'!$B$1:$AY$1,W$1)+SUMIFS('changes2_based on steps'!$B10:$U10,'changes2_based on steps'!$B$1:$U$1,W$1)</f>
        <v>0</v>
      </c>
      <c r="X10" s="140">
        <f ca="1">SUMIFS('recurring2_based on steps'!$B10:$AY10,'recurring2_based on steps'!$B$1:$AY$1,X$1)+SUMIFS('changes2_based on steps'!$B10:$U10,'changes2_based on steps'!$B$1:$U$1,X$1)</f>
        <v>0</v>
      </c>
      <c r="Y10" s="140">
        <f ca="1">SUMIFS('recurring2_based on steps'!$B10:$AY10,'recurring2_based on steps'!$B$1:$AY$1,Y$1)+SUMIFS('changes2_based on steps'!$B10:$U10,'changes2_based on steps'!$B$1:$U$1,Y$1)</f>
        <v>0</v>
      </c>
      <c r="Z10" s="140">
        <f>SUMIFS('recurring2_based on steps'!$B10:$AY10,'recurring2_based on steps'!$B$1:$AY$1,Z$1)+SUMIFS('changes2_based on steps'!$B10:$U10,'changes2_based on steps'!$B$1:$U$1,Z$1)</f>
        <v>0</v>
      </c>
      <c r="AA10" s="140">
        <f ca="1">SUMIFS('recurring2_based on steps'!$B10:$AY10,'recurring2_based on steps'!$B$1:$AY$1,AA$1)+SUMIFS('changes2_based on steps'!$B10:$U10,'changes2_based on steps'!$B$1:$U$1,AA$1)</f>
        <v>0</v>
      </c>
      <c r="AB10" s="140">
        <f ca="1">SUMIFS('recurring2_based on steps'!$B10:$AY10,'recurring2_based on steps'!$B$1:$AY$1,AB$1)+SUMIFS('changes2_based on steps'!$B10:$U10,'changes2_based on steps'!$B$1:$U$1,AB$1)</f>
        <v>0</v>
      </c>
      <c r="AC10" s="140">
        <f ca="1">SUMIFS('recurring2_based on steps'!$B10:$AY10,'recurring2_based on steps'!$B$1:$AY$1,AC$1)+SUMIFS('changes2_based on steps'!$B10:$U10,'changes2_based on steps'!$B$1:$U$1,AC$1)</f>
        <v>0</v>
      </c>
      <c r="AD10" s="140">
        <f ca="1">SUMIFS('recurring2_based on steps'!$B10:$AY10,'recurring2_based on steps'!$B$1:$AY$1,AD$1)+SUMIFS('changes2_based on steps'!$B10:$U10,'changes2_based on steps'!$B$1:$U$1,AD$1)</f>
        <v>0</v>
      </c>
      <c r="AE10" s="140">
        <f>SUMIFS('recurring2_based on steps'!$B10:$AY10,'recurring2_based on steps'!$B$1:$AY$1,AE$1)+SUMIFS('changes2_based on steps'!$B10:$U10,'changes2_based on steps'!$B$1:$U$1,AE$1)</f>
        <v>0</v>
      </c>
      <c r="AF10" s="140"/>
      <c r="AG10" s="140"/>
      <c r="AH10" s="140"/>
      <c r="AI10" s="140"/>
      <c r="AJ10" s="140"/>
      <c r="AK10" s="140"/>
      <c r="AL10" s="140"/>
      <c r="AM10" s="140"/>
    </row>
    <row r="11" spans="1:39" x14ac:dyDescent="0.2">
      <c r="A11" s="29">
        <f t="shared" ca="1" si="0"/>
        <v>45751</v>
      </c>
      <c r="B11" s="140">
        <f ca="1">SUMIFS('recurring2_based on steps'!$B11:$AY11,'recurring2_based on steps'!$B$1:$AY$1,B$1)+SUMIFS('changes2_based on steps'!$B11:$U11,'changes2_based on steps'!$B$1:$U$1,B$1)</f>
        <v>4000</v>
      </c>
      <c r="C11" s="140">
        <f>SUMIFS('recurring2_based on steps'!$B11:$AY11,'recurring2_based on steps'!$B$1:$AY$1,C$1)+SUMIFS('changes2_based on steps'!$B11:$U11,'changes2_based on steps'!$B$1:$U$1,C$1)</f>
        <v>0</v>
      </c>
      <c r="D11" s="140">
        <f>SUMIFS('recurring2_based on steps'!$B11:$AY11,'recurring2_based on steps'!$B$1:$AY$1,D$1)+SUMIFS('changes2_based on steps'!$B11:$U11,'changes2_based on steps'!$B$1:$U$1,D$1)</f>
        <v>0</v>
      </c>
      <c r="E11" s="140">
        <f>SUMIFS('recurring2_based on steps'!$B11:$AY11,'recurring2_based on steps'!$B$1:$AY$1,E$1)+SUMIFS('changes2_based on steps'!$B11:$U11,'changes2_based on steps'!$B$1:$U$1,E$1)</f>
        <v>0</v>
      </c>
      <c r="F11" s="140">
        <f>SUMIFS('recurring2_based on steps'!$B11:$AY11,'recurring2_based on steps'!$B$1:$AY$1,F$1)+SUMIFS('changes2_based on steps'!$B11:$U11,'changes2_based on steps'!$B$1:$U$1,F$1)</f>
        <v>0</v>
      </c>
      <c r="G11" s="140">
        <f>SUMIFS('recurring2_based on steps'!$B11:$AY11,'recurring2_based on steps'!$B$1:$AY$1,G$1)+SUMIFS('changes2_based on steps'!$B11:$U11,'changes2_based on steps'!$B$1:$U$1,G$1)</f>
        <v>0</v>
      </c>
      <c r="H11" s="140">
        <f>SUMIFS('recurring2_based on steps'!$B11:$AY11,'recurring2_based on steps'!$B$1:$AY$1,H$1)+SUMIFS('changes2_based on steps'!$B11:$U11,'changes2_based on steps'!$B$1:$U$1,H$1)</f>
        <v>0</v>
      </c>
      <c r="I11" s="140">
        <f>SUMIFS('recurring2_based on steps'!$B11:$AY11,'recurring2_based on steps'!$B$1:$AY$1,I$1)+SUMIFS('changes2_based on steps'!$B11:$U11,'changes2_based on steps'!$B$1:$U$1,I$1)</f>
        <v>0</v>
      </c>
      <c r="J11" s="140">
        <f ca="1">SUMIFS('recurring2_based on steps'!$B11:$AY11,'recurring2_based on steps'!$B$1:$AY$1,J$1)+SUMIFS('changes2_based on steps'!$B11:$U11,'changes2_based on steps'!$B$1:$U$1,J$1)</f>
        <v>0</v>
      </c>
      <c r="K11" s="140">
        <f>SUMIFS('recurring2_based on steps'!$B11:$AY11,'recurring2_based on steps'!$B$1:$AY$1,K$1)+SUMIFS('changes2_based on steps'!$B11:$U11,'changes2_based on steps'!$B$1:$U$1,K$1)</f>
        <v>0</v>
      </c>
      <c r="L11" s="140">
        <f>SUMIFS('recurring2_based on steps'!$B11:$AY11,'recurring2_based on steps'!$B$1:$AY$1,L$1)+SUMIFS('changes2_based on steps'!$B11:$U11,'changes2_based on steps'!$B$1:$U$1,L$1)</f>
        <v>0</v>
      </c>
      <c r="M11" s="140">
        <f>SUMIFS('recurring2_based on steps'!$B11:$AY11,'recurring2_based on steps'!$B$1:$AY$1,M$1)+SUMIFS('changes2_based on steps'!$B11:$U11,'changes2_based on steps'!$B$1:$U$1,M$1)</f>
        <v>0</v>
      </c>
      <c r="N11" s="140">
        <f ca="1">SUMIFS('recurring2_based on steps'!$B11:$AY11,'recurring2_based on steps'!$B$1:$AY$1,N$1)+SUMIFS('changes2_based on steps'!$B11:$U11,'changes2_based on steps'!$B$1:$U$1,N$1)</f>
        <v>0</v>
      </c>
      <c r="O11" s="140">
        <f>SUMIFS('recurring2_based on steps'!$B11:$AY11,'recurring2_based on steps'!$B$1:$AY$1,O$1)+SUMIFS('changes2_based on steps'!$B11:$U11,'changes2_based on steps'!$B$1:$U$1,O$1)</f>
        <v>0</v>
      </c>
      <c r="P11" s="140">
        <f ca="1">SUMIFS('recurring2_based on steps'!$B11:$AY11,'recurring2_based on steps'!$B$1:$AY$1,P$1)+SUMIFS('changes2_based on steps'!$B11:$U11,'changes2_based on steps'!$B$1:$U$1,P$1)</f>
        <v>0</v>
      </c>
      <c r="Q11" s="140">
        <f ca="1">SUMIFS('recurring2_based on steps'!$B11:$AY11,'recurring2_based on steps'!$B$1:$AY$1,Q$1)+SUMIFS('changes2_based on steps'!$B11:$U11,'changes2_based on steps'!$B$1:$U$1,Q$1)</f>
        <v>5.5401662049861494E-2</v>
      </c>
      <c r="R11" s="140">
        <f ca="1">SUMIFS('recurring2_based on steps'!$B11:$AY11,'recurring2_based on steps'!$B$1:$AY$1,R$1)+SUMIFS('changes2_based on steps'!$B11:$U11,'changes2_based on steps'!$B$1:$U$1,R$1)</f>
        <v>15</v>
      </c>
      <c r="S11" s="140">
        <f>SUMIFS('recurring2_based on steps'!$B11:$AY11,'recurring2_based on steps'!$B$1:$AY$1,S$1)+SUMIFS('changes2_based on steps'!$B11:$U11,'changes2_based on steps'!$B$1:$U$1,S$1)</f>
        <v>0</v>
      </c>
      <c r="T11" s="140">
        <f ca="1">SUMIFS('recurring2_based on steps'!$B11:$AY11,'recurring2_based on steps'!$B$1:$AY$1,T$1)+SUMIFS('changes2_based on steps'!$B11:$U11,'changes2_based on steps'!$B$1:$U$1,T$1)</f>
        <v>50</v>
      </c>
      <c r="U11" s="140">
        <f ca="1">SUMIFS('recurring2_based on steps'!$B11:$AY11,'recurring2_based on steps'!$B$1:$AY$1,U$1)+SUMIFS('changes2_based on steps'!$B11:$U11,'changes2_based on steps'!$B$1:$U$1,U$1)</f>
        <v>200</v>
      </c>
      <c r="V11" s="140">
        <f>SUMIFS('recurring2_based on steps'!$B11:$AY11,'recurring2_based on steps'!$B$1:$AY$1,V$1)+SUMIFS('changes2_based on steps'!$B11:$U11,'changes2_based on steps'!$B$1:$U$1,V$1)</f>
        <v>0</v>
      </c>
      <c r="W11" s="140">
        <f>SUMIFS('recurring2_based on steps'!$B11:$AY11,'recurring2_based on steps'!$B$1:$AY$1,W$1)+SUMIFS('changes2_based on steps'!$B11:$U11,'changes2_based on steps'!$B$1:$U$1,W$1)</f>
        <v>0</v>
      </c>
      <c r="X11" s="140">
        <f ca="1">SUMIFS('recurring2_based on steps'!$B11:$AY11,'recurring2_based on steps'!$B$1:$AY$1,X$1)+SUMIFS('changes2_based on steps'!$B11:$U11,'changes2_based on steps'!$B$1:$U$1,X$1)</f>
        <v>96</v>
      </c>
      <c r="Y11" s="140">
        <f ca="1">SUMIFS('recurring2_based on steps'!$B11:$AY11,'recurring2_based on steps'!$B$1:$AY$1,Y$1)+SUMIFS('changes2_based on steps'!$B11:$U11,'changes2_based on steps'!$B$1:$U$1,Y$1)</f>
        <v>0</v>
      </c>
      <c r="Z11" s="140">
        <f>SUMIFS('recurring2_based on steps'!$B11:$AY11,'recurring2_based on steps'!$B$1:$AY$1,Z$1)+SUMIFS('changes2_based on steps'!$B11:$U11,'changes2_based on steps'!$B$1:$U$1,Z$1)</f>
        <v>0</v>
      </c>
      <c r="AA11" s="140">
        <f ca="1">SUMIFS('recurring2_based on steps'!$B11:$AY11,'recurring2_based on steps'!$B$1:$AY$1,AA$1)+SUMIFS('changes2_based on steps'!$B11:$U11,'changes2_based on steps'!$B$1:$U$1,AA$1)</f>
        <v>0</v>
      </c>
      <c r="AB11" s="140">
        <f ca="1">SUMIFS('recurring2_based on steps'!$B11:$AY11,'recurring2_based on steps'!$B$1:$AY$1,AB$1)+SUMIFS('changes2_based on steps'!$B11:$U11,'changes2_based on steps'!$B$1:$U$1,AB$1)</f>
        <v>0</v>
      </c>
      <c r="AC11" s="140">
        <f ca="1">SUMIFS('recurring2_based on steps'!$B11:$AY11,'recurring2_based on steps'!$B$1:$AY$1,AC$1)+SUMIFS('changes2_based on steps'!$B11:$U11,'changes2_based on steps'!$B$1:$U$1,AC$1)</f>
        <v>0</v>
      </c>
      <c r="AD11" s="140">
        <f ca="1">SUMIFS('recurring2_based on steps'!$B11:$AY11,'recurring2_based on steps'!$B$1:$AY$1,AD$1)+SUMIFS('changes2_based on steps'!$B11:$U11,'changes2_based on steps'!$B$1:$U$1,AD$1)</f>
        <v>50</v>
      </c>
      <c r="AE11" s="140">
        <f>SUMIFS('recurring2_based on steps'!$B11:$AY11,'recurring2_based on steps'!$B$1:$AY$1,AE$1)+SUMIFS('changes2_based on steps'!$B11:$U11,'changes2_based on steps'!$B$1:$U$1,AE$1)</f>
        <v>0</v>
      </c>
      <c r="AF11" s="140"/>
      <c r="AG11" s="140"/>
      <c r="AH11" s="140"/>
      <c r="AI11" s="140"/>
      <c r="AJ11" s="140"/>
      <c r="AK11" s="140"/>
      <c r="AL11" s="140"/>
      <c r="AM11" s="140"/>
    </row>
    <row r="12" spans="1:39" x14ac:dyDescent="0.2">
      <c r="A12" s="29">
        <f t="shared" ca="1" si="0"/>
        <v>45752</v>
      </c>
      <c r="B12" s="140">
        <f ca="1">SUMIFS('recurring2_based on steps'!$B12:$AY12,'recurring2_based on steps'!$B$1:$AY$1,B$1)+SUMIFS('changes2_based on steps'!$B12:$U12,'changes2_based on steps'!$B$1:$U$1,B$1)</f>
        <v>0</v>
      </c>
      <c r="C12" s="140">
        <f>SUMIFS('recurring2_based on steps'!$B12:$AY12,'recurring2_based on steps'!$B$1:$AY$1,C$1)+SUMIFS('changes2_based on steps'!$B12:$U12,'changes2_based on steps'!$B$1:$U$1,C$1)</f>
        <v>0</v>
      </c>
      <c r="D12" s="140">
        <f>SUMIFS('recurring2_based on steps'!$B12:$AY12,'recurring2_based on steps'!$B$1:$AY$1,D$1)+SUMIFS('changes2_based on steps'!$B12:$U12,'changes2_based on steps'!$B$1:$U$1,D$1)</f>
        <v>0</v>
      </c>
      <c r="E12" s="140">
        <f>SUMIFS('recurring2_based on steps'!$B12:$AY12,'recurring2_based on steps'!$B$1:$AY$1,E$1)+SUMIFS('changes2_based on steps'!$B12:$U12,'changes2_based on steps'!$B$1:$U$1,E$1)</f>
        <v>0</v>
      </c>
      <c r="F12" s="140">
        <f>SUMIFS('recurring2_based on steps'!$B12:$AY12,'recurring2_based on steps'!$B$1:$AY$1,F$1)+SUMIFS('changes2_based on steps'!$B12:$U12,'changes2_based on steps'!$B$1:$U$1,F$1)</f>
        <v>0</v>
      </c>
      <c r="G12" s="140">
        <f>SUMIFS('recurring2_based on steps'!$B12:$AY12,'recurring2_based on steps'!$B$1:$AY$1,G$1)+SUMIFS('changes2_based on steps'!$B12:$U12,'changes2_based on steps'!$B$1:$U$1,G$1)</f>
        <v>0</v>
      </c>
      <c r="H12" s="140">
        <f>SUMIFS('recurring2_based on steps'!$B12:$AY12,'recurring2_based on steps'!$B$1:$AY$1,H$1)+SUMIFS('changes2_based on steps'!$B12:$U12,'changes2_based on steps'!$B$1:$U$1,H$1)</f>
        <v>0</v>
      </c>
      <c r="I12" s="140">
        <f>SUMIFS('recurring2_based on steps'!$B12:$AY12,'recurring2_based on steps'!$B$1:$AY$1,I$1)+SUMIFS('changes2_based on steps'!$B12:$U12,'changes2_based on steps'!$B$1:$U$1,I$1)</f>
        <v>0</v>
      </c>
      <c r="J12" s="140">
        <f ca="1">SUMIFS('recurring2_based on steps'!$B12:$AY12,'recurring2_based on steps'!$B$1:$AY$1,J$1)+SUMIFS('changes2_based on steps'!$B12:$U12,'changes2_based on steps'!$B$1:$U$1,J$1)</f>
        <v>0</v>
      </c>
      <c r="K12" s="140">
        <f>SUMIFS('recurring2_based on steps'!$B12:$AY12,'recurring2_based on steps'!$B$1:$AY$1,K$1)+SUMIFS('changes2_based on steps'!$B12:$U12,'changes2_based on steps'!$B$1:$U$1,K$1)</f>
        <v>0</v>
      </c>
      <c r="L12" s="140">
        <f>SUMIFS('recurring2_based on steps'!$B12:$AY12,'recurring2_based on steps'!$B$1:$AY$1,L$1)+SUMIFS('changes2_based on steps'!$B12:$U12,'changes2_based on steps'!$B$1:$U$1,L$1)</f>
        <v>0</v>
      </c>
      <c r="M12" s="140">
        <f>SUMIFS('recurring2_based on steps'!$B12:$AY12,'recurring2_based on steps'!$B$1:$AY$1,M$1)+SUMIFS('changes2_based on steps'!$B12:$U12,'changes2_based on steps'!$B$1:$U$1,M$1)</f>
        <v>0</v>
      </c>
      <c r="N12" s="140">
        <f ca="1">SUMIFS('recurring2_based on steps'!$B12:$AY12,'recurring2_based on steps'!$B$1:$AY$1,N$1)+SUMIFS('changes2_based on steps'!$B12:$U12,'changes2_based on steps'!$B$1:$U$1,N$1)</f>
        <v>0</v>
      </c>
      <c r="O12" s="140">
        <f>SUMIFS('recurring2_based on steps'!$B12:$AY12,'recurring2_based on steps'!$B$1:$AY$1,O$1)+SUMIFS('changes2_based on steps'!$B12:$U12,'changes2_based on steps'!$B$1:$U$1,O$1)</f>
        <v>0</v>
      </c>
      <c r="P12" s="140">
        <f ca="1">SUMIFS('recurring2_based on steps'!$B12:$AY12,'recurring2_based on steps'!$B$1:$AY$1,P$1)+SUMIFS('changes2_based on steps'!$B12:$U12,'changes2_based on steps'!$B$1:$U$1,P$1)</f>
        <v>0</v>
      </c>
      <c r="Q12" s="140">
        <f ca="1">SUMIFS('recurring2_based on steps'!$B12:$AY12,'recurring2_based on steps'!$B$1:$AY$1,Q$1)+SUMIFS('changes2_based on steps'!$B12:$U12,'changes2_based on steps'!$B$1:$U$1,Q$1)</f>
        <v>100.05540166204986</v>
      </c>
      <c r="R12" s="140">
        <f ca="1">SUMIFS('recurring2_based on steps'!$B12:$AY12,'recurring2_based on steps'!$B$1:$AY$1,R$1)+SUMIFS('changes2_based on steps'!$B12:$U12,'changes2_based on steps'!$B$1:$U$1,R$1)</f>
        <v>0</v>
      </c>
      <c r="S12" s="140">
        <f>SUMIFS('recurring2_based on steps'!$B12:$AY12,'recurring2_based on steps'!$B$1:$AY$1,S$1)+SUMIFS('changes2_based on steps'!$B12:$U12,'changes2_based on steps'!$B$1:$U$1,S$1)</f>
        <v>0</v>
      </c>
      <c r="T12" s="140">
        <f ca="1">SUMIFS('recurring2_based on steps'!$B12:$AY12,'recurring2_based on steps'!$B$1:$AY$1,T$1)+SUMIFS('changes2_based on steps'!$B12:$U12,'changes2_based on steps'!$B$1:$U$1,T$1)</f>
        <v>0</v>
      </c>
      <c r="U12" s="140">
        <f ca="1">SUMIFS('recurring2_based on steps'!$B12:$AY12,'recurring2_based on steps'!$B$1:$AY$1,U$1)+SUMIFS('changes2_based on steps'!$B12:$U12,'changes2_based on steps'!$B$1:$U$1,U$1)</f>
        <v>0</v>
      </c>
      <c r="V12" s="140">
        <f>SUMIFS('recurring2_based on steps'!$B12:$AY12,'recurring2_based on steps'!$B$1:$AY$1,V$1)+SUMIFS('changes2_based on steps'!$B12:$U12,'changes2_based on steps'!$B$1:$U$1,V$1)</f>
        <v>0</v>
      </c>
      <c r="W12" s="140">
        <f>SUMIFS('recurring2_based on steps'!$B12:$AY12,'recurring2_based on steps'!$B$1:$AY$1,W$1)+SUMIFS('changes2_based on steps'!$B12:$U12,'changes2_based on steps'!$B$1:$U$1,W$1)</f>
        <v>0</v>
      </c>
      <c r="X12" s="140">
        <f ca="1">SUMIFS('recurring2_based on steps'!$B12:$AY12,'recurring2_based on steps'!$B$1:$AY$1,X$1)+SUMIFS('changes2_based on steps'!$B12:$U12,'changes2_based on steps'!$B$1:$U$1,X$1)</f>
        <v>0</v>
      </c>
      <c r="Y12" s="140">
        <f ca="1">SUMIFS('recurring2_based on steps'!$B12:$AY12,'recurring2_based on steps'!$B$1:$AY$1,Y$1)+SUMIFS('changes2_based on steps'!$B12:$U12,'changes2_based on steps'!$B$1:$U$1,Y$1)</f>
        <v>0</v>
      </c>
      <c r="Z12" s="140">
        <f>SUMIFS('recurring2_based on steps'!$B12:$AY12,'recurring2_based on steps'!$B$1:$AY$1,Z$1)+SUMIFS('changes2_based on steps'!$B12:$U12,'changes2_based on steps'!$B$1:$U$1,Z$1)</f>
        <v>0</v>
      </c>
      <c r="AA12" s="140">
        <f ca="1">SUMIFS('recurring2_based on steps'!$B12:$AY12,'recurring2_based on steps'!$B$1:$AY$1,AA$1)+SUMIFS('changes2_based on steps'!$B12:$U12,'changes2_based on steps'!$B$1:$U$1,AA$1)</f>
        <v>0</v>
      </c>
      <c r="AB12" s="140">
        <f ca="1">SUMIFS('recurring2_based on steps'!$B12:$AY12,'recurring2_based on steps'!$B$1:$AY$1,AB$1)+SUMIFS('changes2_based on steps'!$B12:$U12,'changes2_based on steps'!$B$1:$U$1,AB$1)</f>
        <v>100</v>
      </c>
      <c r="AC12" s="140">
        <f ca="1">SUMIFS('recurring2_based on steps'!$B12:$AY12,'recurring2_based on steps'!$B$1:$AY$1,AC$1)+SUMIFS('changes2_based on steps'!$B12:$U12,'changes2_based on steps'!$B$1:$U$1,AC$1)</f>
        <v>0</v>
      </c>
      <c r="AD12" s="140">
        <f ca="1">SUMIFS('recurring2_based on steps'!$B12:$AY12,'recurring2_based on steps'!$B$1:$AY$1,AD$1)+SUMIFS('changes2_based on steps'!$B12:$U12,'changes2_based on steps'!$B$1:$U$1,AD$1)</f>
        <v>0</v>
      </c>
      <c r="AE12" s="140">
        <f>SUMIFS('recurring2_based on steps'!$B12:$AY12,'recurring2_based on steps'!$B$1:$AY$1,AE$1)+SUMIFS('changes2_based on steps'!$B12:$U12,'changes2_based on steps'!$B$1:$U$1,AE$1)</f>
        <v>0</v>
      </c>
      <c r="AF12" s="140"/>
      <c r="AG12" s="140"/>
      <c r="AH12" s="140"/>
      <c r="AI12" s="140"/>
      <c r="AJ12" s="140"/>
      <c r="AK12" s="140"/>
      <c r="AL12" s="140"/>
      <c r="AM12" s="140"/>
    </row>
    <row r="13" spans="1:39" x14ac:dyDescent="0.2">
      <c r="A13" s="29">
        <f t="shared" ca="1" si="0"/>
        <v>45753</v>
      </c>
      <c r="B13" s="140">
        <f ca="1">SUMIFS('recurring2_based on steps'!$B13:$AY13,'recurring2_based on steps'!$B$1:$AY$1,B$1)+SUMIFS('changes2_based on steps'!$B13:$U13,'changes2_based on steps'!$B$1:$U$1,B$1)</f>
        <v>0</v>
      </c>
      <c r="C13" s="140">
        <f>SUMIFS('recurring2_based on steps'!$B13:$AY13,'recurring2_based on steps'!$B$1:$AY$1,C$1)+SUMIFS('changes2_based on steps'!$B13:$U13,'changes2_based on steps'!$B$1:$U$1,C$1)</f>
        <v>0</v>
      </c>
      <c r="D13" s="140">
        <f>SUMIFS('recurring2_based on steps'!$B13:$AY13,'recurring2_based on steps'!$B$1:$AY$1,D$1)+SUMIFS('changes2_based on steps'!$B13:$U13,'changes2_based on steps'!$B$1:$U$1,D$1)</f>
        <v>0</v>
      </c>
      <c r="E13" s="140">
        <f>SUMIFS('recurring2_based on steps'!$B13:$AY13,'recurring2_based on steps'!$B$1:$AY$1,E$1)+SUMIFS('changes2_based on steps'!$B13:$U13,'changes2_based on steps'!$B$1:$U$1,E$1)</f>
        <v>0</v>
      </c>
      <c r="F13" s="140">
        <f>SUMIFS('recurring2_based on steps'!$B13:$AY13,'recurring2_based on steps'!$B$1:$AY$1,F$1)+SUMIFS('changes2_based on steps'!$B13:$U13,'changes2_based on steps'!$B$1:$U$1,F$1)</f>
        <v>0</v>
      </c>
      <c r="G13" s="140">
        <f>SUMIFS('recurring2_based on steps'!$B13:$AY13,'recurring2_based on steps'!$B$1:$AY$1,G$1)+SUMIFS('changes2_based on steps'!$B13:$U13,'changes2_based on steps'!$B$1:$U$1,G$1)</f>
        <v>0</v>
      </c>
      <c r="H13" s="140">
        <f>SUMIFS('recurring2_based on steps'!$B13:$AY13,'recurring2_based on steps'!$B$1:$AY$1,H$1)+SUMIFS('changes2_based on steps'!$B13:$U13,'changes2_based on steps'!$B$1:$U$1,H$1)</f>
        <v>0</v>
      </c>
      <c r="I13" s="140">
        <f>SUMIFS('recurring2_based on steps'!$B13:$AY13,'recurring2_based on steps'!$B$1:$AY$1,I$1)+SUMIFS('changes2_based on steps'!$B13:$U13,'changes2_based on steps'!$B$1:$U$1,I$1)</f>
        <v>0</v>
      </c>
      <c r="J13" s="140">
        <f ca="1">SUMIFS('recurring2_based on steps'!$B13:$AY13,'recurring2_based on steps'!$B$1:$AY$1,J$1)+SUMIFS('changes2_based on steps'!$B13:$U13,'changes2_based on steps'!$B$1:$U$1,J$1)</f>
        <v>0</v>
      </c>
      <c r="K13" s="140">
        <f>SUMIFS('recurring2_based on steps'!$B13:$AY13,'recurring2_based on steps'!$B$1:$AY$1,K$1)+SUMIFS('changes2_based on steps'!$B13:$U13,'changes2_based on steps'!$B$1:$U$1,K$1)</f>
        <v>0</v>
      </c>
      <c r="L13" s="140">
        <f>SUMIFS('recurring2_based on steps'!$B13:$AY13,'recurring2_based on steps'!$B$1:$AY$1,L$1)+SUMIFS('changes2_based on steps'!$B13:$U13,'changes2_based on steps'!$B$1:$U$1,L$1)</f>
        <v>0</v>
      </c>
      <c r="M13" s="140">
        <f>SUMIFS('recurring2_based on steps'!$B13:$AY13,'recurring2_based on steps'!$B$1:$AY$1,M$1)+SUMIFS('changes2_based on steps'!$B13:$U13,'changes2_based on steps'!$B$1:$U$1,M$1)</f>
        <v>0</v>
      </c>
      <c r="N13" s="140">
        <f ca="1">SUMIFS('recurring2_based on steps'!$B13:$AY13,'recurring2_based on steps'!$B$1:$AY$1,N$1)+SUMIFS('changes2_based on steps'!$B13:$U13,'changes2_based on steps'!$B$1:$U$1,N$1)</f>
        <v>0</v>
      </c>
      <c r="O13" s="140">
        <f>SUMIFS('recurring2_based on steps'!$B13:$AY13,'recurring2_based on steps'!$B$1:$AY$1,O$1)+SUMIFS('changes2_based on steps'!$B13:$U13,'changes2_based on steps'!$B$1:$U$1,O$1)</f>
        <v>0</v>
      </c>
      <c r="P13" s="140">
        <f ca="1">SUMIFS('recurring2_based on steps'!$B13:$AY13,'recurring2_based on steps'!$B$1:$AY$1,P$1)+SUMIFS('changes2_based on steps'!$B13:$U13,'changes2_based on steps'!$B$1:$U$1,P$1)</f>
        <v>0</v>
      </c>
      <c r="Q13" s="140">
        <f ca="1">SUMIFS('recurring2_based on steps'!$B13:$AY13,'recurring2_based on steps'!$B$1:$AY$1,Q$1)+SUMIFS('changes2_based on steps'!$B13:$U13,'changes2_based on steps'!$B$1:$U$1,Q$1)</f>
        <v>100.05540166204986</v>
      </c>
      <c r="R13" s="140">
        <f ca="1">SUMIFS('recurring2_based on steps'!$B13:$AY13,'recurring2_based on steps'!$B$1:$AY$1,R$1)+SUMIFS('changes2_based on steps'!$B13:$U13,'changes2_based on steps'!$B$1:$U$1,R$1)</f>
        <v>0</v>
      </c>
      <c r="S13" s="140">
        <f>SUMIFS('recurring2_based on steps'!$B13:$AY13,'recurring2_based on steps'!$B$1:$AY$1,S$1)+SUMIFS('changes2_based on steps'!$B13:$U13,'changes2_based on steps'!$B$1:$U$1,S$1)</f>
        <v>0</v>
      </c>
      <c r="T13" s="140">
        <f ca="1">SUMIFS('recurring2_based on steps'!$B13:$AY13,'recurring2_based on steps'!$B$1:$AY$1,T$1)+SUMIFS('changes2_based on steps'!$B13:$U13,'changes2_based on steps'!$B$1:$U$1,T$1)</f>
        <v>0</v>
      </c>
      <c r="U13" s="140">
        <f ca="1">SUMIFS('recurring2_based on steps'!$B13:$AY13,'recurring2_based on steps'!$B$1:$AY$1,U$1)+SUMIFS('changes2_based on steps'!$B13:$U13,'changes2_based on steps'!$B$1:$U$1,U$1)</f>
        <v>0</v>
      </c>
      <c r="V13" s="140">
        <f>SUMIFS('recurring2_based on steps'!$B13:$AY13,'recurring2_based on steps'!$B$1:$AY$1,V$1)+SUMIFS('changes2_based on steps'!$B13:$U13,'changes2_based on steps'!$B$1:$U$1,V$1)</f>
        <v>0</v>
      </c>
      <c r="W13" s="140">
        <f>SUMIFS('recurring2_based on steps'!$B13:$AY13,'recurring2_based on steps'!$B$1:$AY$1,W$1)+SUMIFS('changes2_based on steps'!$B13:$U13,'changes2_based on steps'!$B$1:$U$1,W$1)</f>
        <v>0</v>
      </c>
      <c r="X13" s="140">
        <f ca="1">SUMIFS('recurring2_based on steps'!$B13:$AY13,'recurring2_based on steps'!$B$1:$AY$1,X$1)+SUMIFS('changes2_based on steps'!$B13:$U13,'changes2_based on steps'!$B$1:$U$1,X$1)</f>
        <v>0</v>
      </c>
      <c r="Y13" s="140">
        <f ca="1">SUMIFS('recurring2_based on steps'!$B13:$AY13,'recurring2_based on steps'!$B$1:$AY$1,Y$1)+SUMIFS('changes2_based on steps'!$B13:$U13,'changes2_based on steps'!$B$1:$U$1,Y$1)</f>
        <v>50</v>
      </c>
      <c r="Z13" s="140">
        <f>SUMIFS('recurring2_based on steps'!$B13:$AY13,'recurring2_based on steps'!$B$1:$AY$1,Z$1)+SUMIFS('changes2_based on steps'!$B13:$U13,'changes2_based on steps'!$B$1:$U$1,Z$1)</f>
        <v>0</v>
      </c>
      <c r="AA13" s="140">
        <f ca="1">SUMIFS('recurring2_based on steps'!$B13:$AY13,'recurring2_based on steps'!$B$1:$AY$1,AA$1)+SUMIFS('changes2_based on steps'!$B13:$U13,'changes2_based on steps'!$B$1:$U$1,AA$1)</f>
        <v>0</v>
      </c>
      <c r="AB13" s="140">
        <f ca="1">SUMIFS('recurring2_based on steps'!$B13:$AY13,'recurring2_based on steps'!$B$1:$AY$1,AB$1)+SUMIFS('changes2_based on steps'!$B13:$U13,'changes2_based on steps'!$B$1:$U$1,AB$1)</f>
        <v>0</v>
      </c>
      <c r="AC13" s="140">
        <f ca="1">SUMIFS('recurring2_based on steps'!$B13:$AY13,'recurring2_based on steps'!$B$1:$AY$1,AC$1)+SUMIFS('changes2_based on steps'!$B13:$U13,'changes2_based on steps'!$B$1:$U$1,AC$1)</f>
        <v>0</v>
      </c>
      <c r="AD13" s="140">
        <f ca="1">SUMIFS('recurring2_based on steps'!$B13:$AY13,'recurring2_based on steps'!$B$1:$AY$1,AD$1)+SUMIFS('changes2_based on steps'!$B13:$U13,'changes2_based on steps'!$B$1:$U$1,AD$1)</f>
        <v>0</v>
      </c>
      <c r="AE13" s="140">
        <f>SUMIFS('recurring2_based on steps'!$B13:$AY13,'recurring2_based on steps'!$B$1:$AY$1,AE$1)+SUMIFS('changes2_based on steps'!$B13:$U13,'changes2_based on steps'!$B$1:$U$1,AE$1)</f>
        <v>0</v>
      </c>
      <c r="AF13" s="140"/>
      <c r="AG13" s="140"/>
      <c r="AH13" s="140"/>
      <c r="AI13" s="140"/>
      <c r="AJ13" s="140"/>
      <c r="AK13" s="140"/>
      <c r="AL13" s="140"/>
      <c r="AM13" s="140"/>
    </row>
    <row r="14" spans="1:39" x14ac:dyDescent="0.2">
      <c r="A14" s="29">
        <f t="shared" ca="1" si="0"/>
        <v>45754</v>
      </c>
      <c r="B14" s="140">
        <f ca="1">SUMIFS('recurring2_based on steps'!$B14:$AY14,'recurring2_based on steps'!$B$1:$AY$1,B$1)+SUMIFS('changes2_based on steps'!$B14:$U14,'changes2_based on steps'!$B$1:$U$1,B$1)</f>
        <v>0</v>
      </c>
      <c r="C14" s="140">
        <f>SUMIFS('recurring2_based on steps'!$B14:$AY14,'recurring2_based on steps'!$B$1:$AY$1,C$1)+SUMIFS('changes2_based on steps'!$B14:$U14,'changes2_based on steps'!$B$1:$U$1,C$1)</f>
        <v>0</v>
      </c>
      <c r="D14" s="140">
        <f>SUMIFS('recurring2_based on steps'!$B14:$AY14,'recurring2_based on steps'!$B$1:$AY$1,D$1)+SUMIFS('changes2_based on steps'!$B14:$U14,'changes2_based on steps'!$B$1:$U$1,D$1)</f>
        <v>0</v>
      </c>
      <c r="E14" s="140">
        <f>SUMIFS('recurring2_based on steps'!$B14:$AY14,'recurring2_based on steps'!$B$1:$AY$1,E$1)+SUMIFS('changes2_based on steps'!$B14:$U14,'changes2_based on steps'!$B$1:$U$1,E$1)</f>
        <v>0</v>
      </c>
      <c r="F14" s="140">
        <f>SUMIFS('recurring2_based on steps'!$B14:$AY14,'recurring2_based on steps'!$B$1:$AY$1,F$1)+SUMIFS('changes2_based on steps'!$B14:$U14,'changes2_based on steps'!$B$1:$U$1,F$1)</f>
        <v>0</v>
      </c>
      <c r="G14" s="140">
        <f>SUMIFS('recurring2_based on steps'!$B14:$AY14,'recurring2_based on steps'!$B$1:$AY$1,G$1)+SUMIFS('changes2_based on steps'!$B14:$U14,'changes2_based on steps'!$B$1:$U$1,G$1)</f>
        <v>0</v>
      </c>
      <c r="H14" s="140">
        <f>SUMIFS('recurring2_based on steps'!$B14:$AY14,'recurring2_based on steps'!$B$1:$AY$1,H$1)+SUMIFS('changes2_based on steps'!$B14:$U14,'changes2_based on steps'!$B$1:$U$1,H$1)</f>
        <v>0</v>
      </c>
      <c r="I14" s="140">
        <f>SUMIFS('recurring2_based on steps'!$B14:$AY14,'recurring2_based on steps'!$B$1:$AY$1,I$1)+SUMIFS('changes2_based on steps'!$B14:$U14,'changes2_based on steps'!$B$1:$U$1,I$1)</f>
        <v>0</v>
      </c>
      <c r="J14" s="140">
        <f ca="1">SUMIFS('recurring2_based on steps'!$B14:$AY14,'recurring2_based on steps'!$B$1:$AY$1,J$1)+SUMIFS('changes2_based on steps'!$B14:$U14,'changes2_based on steps'!$B$1:$U$1,J$1)</f>
        <v>0</v>
      </c>
      <c r="K14" s="140">
        <f>SUMIFS('recurring2_based on steps'!$B14:$AY14,'recurring2_based on steps'!$B$1:$AY$1,K$1)+SUMIFS('changes2_based on steps'!$B14:$U14,'changes2_based on steps'!$B$1:$U$1,K$1)</f>
        <v>0</v>
      </c>
      <c r="L14" s="140">
        <f>SUMIFS('recurring2_based on steps'!$B14:$AY14,'recurring2_based on steps'!$B$1:$AY$1,L$1)+SUMIFS('changes2_based on steps'!$B14:$U14,'changes2_based on steps'!$B$1:$U$1,L$1)</f>
        <v>0</v>
      </c>
      <c r="M14" s="140">
        <f>SUMIFS('recurring2_based on steps'!$B14:$AY14,'recurring2_based on steps'!$B$1:$AY$1,M$1)+SUMIFS('changes2_based on steps'!$B14:$U14,'changes2_based on steps'!$B$1:$U$1,M$1)</f>
        <v>0</v>
      </c>
      <c r="N14" s="140">
        <f ca="1">SUMIFS('recurring2_based on steps'!$B14:$AY14,'recurring2_based on steps'!$B$1:$AY$1,N$1)+SUMIFS('changes2_based on steps'!$B14:$U14,'changes2_based on steps'!$B$1:$U$1,N$1)</f>
        <v>0</v>
      </c>
      <c r="O14" s="140">
        <f>SUMIFS('recurring2_based on steps'!$B14:$AY14,'recurring2_based on steps'!$B$1:$AY$1,O$1)+SUMIFS('changes2_based on steps'!$B14:$U14,'changes2_based on steps'!$B$1:$U$1,O$1)</f>
        <v>0</v>
      </c>
      <c r="P14" s="140">
        <f ca="1">SUMIFS('recurring2_based on steps'!$B14:$AY14,'recurring2_based on steps'!$B$1:$AY$1,P$1)+SUMIFS('changes2_based on steps'!$B14:$U14,'changes2_based on steps'!$B$1:$U$1,P$1)</f>
        <v>0</v>
      </c>
      <c r="Q14" s="140">
        <f ca="1">SUMIFS('recurring2_based on steps'!$B14:$AY14,'recurring2_based on steps'!$B$1:$AY$1,Q$1)+SUMIFS('changes2_based on steps'!$B14:$U14,'changes2_based on steps'!$B$1:$U$1,Q$1)</f>
        <v>5.5401662049861494E-2</v>
      </c>
      <c r="R14" s="140">
        <f ca="1">SUMIFS('recurring2_based on steps'!$B14:$AY14,'recurring2_based on steps'!$B$1:$AY$1,R$1)+SUMIFS('changes2_based on steps'!$B14:$U14,'changes2_based on steps'!$B$1:$U$1,R$1)</f>
        <v>0</v>
      </c>
      <c r="S14" s="140">
        <f>SUMIFS('recurring2_based on steps'!$B14:$AY14,'recurring2_based on steps'!$B$1:$AY$1,S$1)+SUMIFS('changes2_based on steps'!$B14:$U14,'changes2_based on steps'!$B$1:$U$1,S$1)</f>
        <v>0</v>
      </c>
      <c r="T14" s="140">
        <f ca="1">SUMIFS('recurring2_based on steps'!$B14:$AY14,'recurring2_based on steps'!$B$1:$AY$1,T$1)+SUMIFS('changes2_based on steps'!$B14:$U14,'changes2_based on steps'!$B$1:$U$1,T$1)</f>
        <v>0</v>
      </c>
      <c r="U14" s="140">
        <f ca="1">SUMIFS('recurring2_based on steps'!$B14:$AY14,'recurring2_based on steps'!$B$1:$AY$1,U$1)+SUMIFS('changes2_based on steps'!$B14:$U14,'changes2_based on steps'!$B$1:$U$1,U$1)</f>
        <v>0</v>
      </c>
      <c r="V14" s="140">
        <f>SUMIFS('recurring2_based on steps'!$B14:$AY14,'recurring2_based on steps'!$B$1:$AY$1,V$1)+SUMIFS('changes2_based on steps'!$B14:$U14,'changes2_based on steps'!$B$1:$U$1,V$1)</f>
        <v>0</v>
      </c>
      <c r="W14" s="140">
        <f>SUMIFS('recurring2_based on steps'!$B14:$AY14,'recurring2_based on steps'!$B$1:$AY$1,W$1)+SUMIFS('changes2_based on steps'!$B14:$U14,'changes2_based on steps'!$B$1:$U$1,W$1)</f>
        <v>0</v>
      </c>
      <c r="X14" s="140">
        <f ca="1">SUMIFS('recurring2_based on steps'!$B14:$AY14,'recurring2_based on steps'!$B$1:$AY$1,X$1)+SUMIFS('changes2_based on steps'!$B14:$U14,'changes2_based on steps'!$B$1:$U$1,X$1)</f>
        <v>0</v>
      </c>
      <c r="Y14" s="140">
        <f ca="1">SUMIFS('recurring2_based on steps'!$B14:$AY14,'recurring2_based on steps'!$B$1:$AY$1,Y$1)+SUMIFS('changes2_based on steps'!$B14:$U14,'changes2_based on steps'!$B$1:$U$1,Y$1)</f>
        <v>0</v>
      </c>
      <c r="Z14" s="140">
        <f>SUMIFS('recurring2_based on steps'!$B14:$AY14,'recurring2_based on steps'!$B$1:$AY$1,Z$1)+SUMIFS('changes2_based on steps'!$B14:$U14,'changes2_based on steps'!$B$1:$U$1,Z$1)</f>
        <v>0</v>
      </c>
      <c r="AA14" s="140">
        <f ca="1">SUMIFS('recurring2_based on steps'!$B14:$AY14,'recurring2_based on steps'!$B$1:$AY$1,AA$1)+SUMIFS('changes2_based on steps'!$B14:$U14,'changes2_based on steps'!$B$1:$U$1,AA$1)</f>
        <v>50</v>
      </c>
      <c r="AB14" s="140">
        <f ca="1">SUMIFS('recurring2_based on steps'!$B14:$AY14,'recurring2_based on steps'!$B$1:$AY$1,AB$1)+SUMIFS('changes2_based on steps'!$B14:$U14,'changes2_based on steps'!$B$1:$U$1,AB$1)</f>
        <v>0</v>
      </c>
      <c r="AC14" s="140">
        <f ca="1">SUMIFS('recurring2_based on steps'!$B14:$AY14,'recurring2_based on steps'!$B$1:$AY$1,AC$1)+SUMIFS('changes2_based on steps'!$B14:$U14,'changes2_based on steps'!$B$1:$U$1,AC$1)</f>
        <v>0</v>
      </c>
      <c r="AD14" s="140">
        <f ca="1">SUMIFS('recurring2_based on steps'!$B14:$AY14,'recurring2_based on steps'!$B$1:$AY$1,AD$1)+SUMIFS('changes2_based on steps'!$B14:$U14,'changes2_based on steps'!$B$1:$U$1,AD$1)</f>
        <v>0</v>
      </c>
      <c r="AE14" s="140">
        <f>SUMIFS('recurring2_based on steps'!$B14:$AY14,'recurring2_based on steps'!$B$1:$AY$1,AE$1)+SUMIFS('changes2_based on steps'!$B14:$U14,'changes2_based on steps'!$B$1:$U$1,AE$1)</f>
        <v>0</v>
      </c>
      <c r="AF14" s="140"/>
      <c r="AG14" s="140"/>
      <c r="AH14" s="140"/>
      <c r="AI14" s="140"/>
      <c r="AJ14" s="140"/>
      <c r="AK14" s="140"/>
      <c r="AL14" s="140"/>
      <c r="AM14" s="140"/>
    </row>
    <row r="15" spans="1:39" x14ac:dyDescent="0.2">
      <c r="A15" s="29">
        <f t="shared" ca="1" si="0"/>
        <v>45755</v>
      </c>
      <c r="B15" s="140">
        <f ca="1">SUMIFS('recurring2_based on steps'!$B15:$AY15,'recurring2_based on steps'!$B$1:$AY$1,B$1)+SUMIFS('changes2_based on steps'!$B15:$U15,'changes2_based on steps'!$B$1:$U$1,B$1)</f>
        <v>0</v>
      </c>
      <c r="C15" s="140">
        <f>SUMIFS('recurring2_based on steps'!$B15:$AY15,'recurring2_based on steps'!$B$1:$AY$1,C$1)+SUMIFS('changes2_based on steps'!$B15:$U15,'changes2_based on steps'!$B$1:$U$1,C$1)</f>
        <v>0</v>
      </c>
      <c r="D15" s="140">
        <f>SUMIFS('recurring2_based on steps'!$B15:$AY15,'recurring2_based on steps'!$B$1:$AY$1,D$1)+SUMIFS('changes2_based on steps'!$B15:$U15,'changes2_based on steps'!$B$1:$U$1,D$1)</f>
        <v>0</v>
      </c>
      <c r="E15" s="140">
        <f>SUMIFS('recurring2_based on steps'!$B15:$AY15,'recurring2_based on steps'!$B$1:$AY$1,E$1)+SUMIFS('changes2_based on steps'!$B15:$U15,'changes2_based on steps'!$B$1:$U$1,E$1)</f>
        <v>0</v>
      </c>
      <c r="F15" s="140">
        <f>SUMIFS('recurring2_based on steps'!$B15:$AY15,'recurring2_based on steps'!$B$1:$AY$1,F$1)+SUMIFS('changes2_based on steps'!$B15:$U15,'changes2_based on steps'!$B$1:$U$1,F$1)</f>
        <v>0</v>
      </c>
      <c r="G15" s="140">
        <f>SUMIFS('recurring2_based on steps'!$B15:$AY15,'recurring2_based on steps'!$B$1:$AY$1,G$1)+SUMIFS('changes2_based on steps'!$B15:$U15,'changes2_based on steps'!$B$1:$U$1,G$1)</f>
        <v>0</v>
      </c>
      <c r="H15" s="140">
        <f>SUMIFS('recurring2_based on steps'!$B15:$AY15,'recurring2_based on steps'!$B$1:$AY$1,H$1)+SUMIFS('changes2_based on steps'!$B15:$U15,'changes2_based on steps'!$B$1:$U$1,H$1)</f>
        <v>0</v>
      </c>
      <c r="I15" s="140">
        <f>SUMIFS('recurring2_based on steps'!$B15:$AY15,'recurring2_based on steps'!$B$1:$AY$1,I$1)+SUMIFS('changes2_based on steps'!$B15:$U15,'changes2_based on steps'!$B$1:$U$1,I$1)</f>
        <v>0</v>
      </c>
      <c r="J15" s="140">
        <f ca="1">SUMIFS('recurring2_based on steps'!$B15:$AY15,'recurring2_based on steps'!$B$1:$AY$1,J$1)+SUMIFS('changes2_based on steps'!$B15:$U15,'changes2_based on steps'!$B$1:$U$1,J$1)</f>
        <v>0</v>
      </c>
      <c r="K15" s="140">
        <f>SUMIFS('recurring2_based on steps'!$B15:$AY15,'recurring2_based on steps'!$B$1:$AY$1,K$1)+SUMIFS('changes2_based on steps'!$B15:$U15,'changes2_based on steps'!$B$1:$U$1,K$1)</f>
        <v>0</v>
      </c>
      <c r="L15" s="140">
        <f>SUMIFS('recurring2_based on steps'!$B15:$AY15,'recurring2_based on steps'!$B$1:$AY$1,L$1)+SUMIFS('changes2_based on steps'!$B15:$U15,'changes2_based on steps'!$B$1:$U$1,L$1)</f>
        <v>0</v>
      </c>
      <c r="M15" s="140">
        <f>SUMIFS('recurring2_based on steps'!$B15:$AY15,'recurring2_based on steps'!$B$1:$AY$1,M$1)+SUMIFS('changes2_based on steps'!$B15:$U15,'changes2_based on steps'!$B$1:$U$1,M$1)</f>
        <v>0</v>
      </c>
      <c r="N15" s="140">
        <f ca="1">SUMIFS('recurring2_based on steps'!$B15:$AY15,'recurring2_based on steps'!$B$1:$AY$1,N$1)+SUMIFS('changes2_based on steps'!$B15:$U15,'changes2_based on steps'!$B$1:$U$1,N$1)</f>
        <v>0</v>
      </c>
      <c r="O15" s="140">
        <f>SUMIFS('recurring2_based on steps'!$B15:$AY15,'recurring2_based on steps'!$B$1:$AY$1,O$1)+SUMIFS('changes2_based on steps'!$B15:$U15,'changes2_based on steps'!$B$1:$U$1,O$1)</f>
        <v>0</v>
      </c>
      <c r="P15" s="140">
        <f ca="1">SUMIFS('recurring2_based on steps'!$B15:$AY15,'recurring2_based on steps'!$B$1:$AY$1,P$1)+SUMIFS('changes2_based on steps'!$B15:$U15,'changes2_based on steps'!$B$1:$U$1,P$1)</f>
        <v>0</v>
      </c>
      <c r="Q15" s="140">
        <f ca="1">SUMIFS('recurring2_based on steps'!$B15:$AY15,'recurring2_based on steps'!$B$1:$AY$1,Q$1)+SUMIFS('changes2_based on steps'!$B15:$U15,'changes2_based on steps'!$B$1:$U$1,Q$1)</f>
        <v>5.5401662049861494E-2</v>
      </c>
      <c r="R15" s="140">
        <f ca="1">SUMIFS('recurring2_based on steps'!$B15:$AY15,'recurring2_based on steps'!$B$1:$AY$1,R$1)+SUMIFS('changes2_based on steps'!$B15:$U15,'changes2_based on steps'!$B$1:$U$1,R$1)</f>
        <v>0</v>
      </c>
      <c r="S15" s="140">
        <f>SUMIFS('recurring2_based on steps'!$B15:$AY15,'recurring2_based on steps'!$B$1:$AY$1,S$1)+SUMIFS('changes2_based on steps'!$B15:$U15,'changes2_based on steps'!$B$1:$U$1,S$1)</f>
        <v>0</v>
      </c>
      <c r="T15" s="140">
        <f ca="1">SUMIFS('recurring2_based on steps'!$B15:$AY15,'recurring2_based on steps'!$B$1:$AY$1,T$1)+SUMIFS('changes2_based on steps'!$B15:$U15,'changes2_based on steps'!$B$1:$U$1,T$1)</f>
        <v>0</v>
      </c>
      <c r="U15" s="140">
        <f ca="1">SUMIFS('recurring2_based on steps'!$B15:$AY15,'recurring2_based on steps'!$B$1:$AY$1,U$1)+SUMIFS('changes2_based on steps'!$B15:$U15,'changes2_based on steps'!$B$1:$U$1,U$1)</f>
        <v>0</v>
      </c>
      <c r="V15" s="140">
        <f>SUMIFS('recurring2_based on steps'!$B15:$AY15,'recurring2_based on steps'!$B$1:$AY$1,V$1)+SUMIFS('changes2_based on steps'!$B15:$U15,'changes2_based on steps'!$B$1:$U$1,V$1)</f>
        <v>0</v>
      </c>
      <c r="W15" s="140">
        <f>SUMIFS('recurring2_based on steps'!$B15:$AY15,'recurring2_based on steps'!$B$1:$AY$1,W$1)+SUMIFS('changes2_based on steps'!$B15:$U15,'changes2_based on steps'!$B$1:$U$1,W$1)</f>
        <v>0</v>
      </c>
      <c r="X15" s="140">
        <f ca="1">SUMIFS('recurring2_based on steps'!$B15:$AY15,'recurring2_based on steps'!$B$1:$AY$1,X$1)+SUMIFS('changes2_based on steps'!$B15:$U15,'changes2_based on steps'!$B$1:$U$1,X$1)</f>
        <v>0</v>
      </c>
      <c r="Y15" s="140">
        <f ca="1">SUMIFS('recurring2_based on steps'!$B15:$AY15,'recurring2_based on steps'!$B$1:$AY$1,Y$1)+SUMIFS('changes2_based on steps'!$B15:$U15,'changes2_based on steps'!$B$1:$U$1,Y$1)</f>
        <v>0</v>
      </c>
      <c r="Z15" s="140">
        <f>SUMIFS('recurring2_based on steps'!$B15:$AY15,'recurring2_based on steps'!$B$1:$AY$1,Z$1)+SUMIFS('changes2_based on steps'!$B15:$U15,'changes2_based on steps'!$B$1:$U$1,Z$1)</f>
        <v>0</v>
      </c>
      <c r="AA15" s="140">
        <f ca="1">SUMIFS('recurring2_based on steps'!$B15:$AY15,'recurring2_based on steps'!$B$1:$AY$1,AA$1)+SUMIFS('changes2_based on steps'!$B15:$U15,'changes2_based on steps'!$B$1:$U$1,AA$1)</f>
        <v>0</v>
      </c>
      <c r="AB15" s="140">
        <f ca="1">SUMIFS('recurring2_based on steps'!$B15:$AY15,'recurring2_based on steps'!$B$1:$AY$1,AB$1)+SUMIFS('changes2_based on steps'!$B15:$U15,'changes2_based on steps'!$B$1:$U$1,AB$1)</f>
        <v>0</v>
      </c>
      <c r="AC15" s="140">
        <f ca="1">SUMIFS('recurring2_based on steps'!$B15:$AY15,'recurring2_based on steps'!$B$1:$AY$1,AC$1)+SUMIFS('changes2_based on steps'!$B15:$U15,'changes2_based on steps'!$B$1:$U$1,AC$1)</f>
        <v>0</v>
      </c>
      <c r="AD15" s="140">
        <f ca="1">SUMIFS('recurring2_based on steps'!$B15:$AY15,'recurring2_based on steps'!$B$1:$AY$1,AD$1)+SUMIFS('changes2_based on steps'!$B15:$U15,'changes2_based on steps'!$B$1:$U$1,AD$1)</f>
        <v>0</v>
      </c>
      <c r="AE15" s="140">
        <f>SUMIFS('recurring2_based on steps'!$B15:$AY15,'recurring2_based on steps'!$B$1:$AY$1,AE$1)+SUMIFS('changes2_based on steps'!$B15:$U15,'changes2_based on steps'!$B$1:$U$1,AE$1)</f>
        <v>0</v>
      </c>
      <c r="AF15" s="140"/>
      <c r="AG15" s="140"/>
      <c r="AH15" s="140"/>
      <c r="AI15" s="140"/>
      <c r="AJ15" s="140"/>
      <c r="AK15" s="140"/>
      <c r="AL15" s="140"/>
      <c r="AM15" s="140"/>
    </row>
    <row r="16" spans="1:39" x14ac:dyDescent="0.2">
      <c r="A16" s="29">
        <f t="shared" ca="1" si="0"/>
        <v>45756</v>
      </c>
      <c r="B16" s="140">
        <f ca="1">SUMIFS('recurring2_based on steps'!$B16:$AY16,'recurring2_based on steps'!$B$1:$AY$1,B$1)+SUMIFS('changes2_based on steps'!$B16:$U16,'changes2_based on steps'!$B$1:$U$1,B$1)</f>
        <v>0</v>
      </c>
      <c r="C16" s="140">
        <f>SUMIFS('recurring2_based on steps'!$B16:$AY16,'recurring2_based on steps'!$B$1:$AY$1,C$1)+SUMIFS('changes2_based on steps'!$B16:$U16,'changes2_based on steps'!$B$1:$U$1,C$1)</f>
        <v>0</v>
      </c>
      <c r="D16" s="140">
        <f>SUMIFS('recurring2_based on steps'!$B16:$AY16,'recurring2_based on steps'!$B$1:$AY$1,D$1)+SUMIFS('changes2_based on steps'!$B16:$U16,'changes2_based on steps'!$B$1:$U$1,D$1)</f>
        <v>0</v>
      </c>
      <c r="E16" s="140">
        <f>SUMIFS('recurring2_based on steps'!$B16:$AY16,'recurring2_based on steps'!$B$1:$AY$1,E$1)+SUMIFS('changes2_based on steps'!$B16:$U16,'changes2_based on steps'!$B$1:$U$1,E$1)</f>
        <v>0</v>
      </c>
      <c r="F16" s="140">
        <f>SUMIFS('recurring2_based on steps'!$B16:$AY16,'recurring2_based on steps'!$B$1:$AY$1,F$1)+SUMIFS('changes2_based on steps'!$B16:$U16,'changes2_based on steps'!$B$1:$U$1,F$1)</f>
        <v>0</v>
      </c>
      <c r="G16" s="140">
        <f>SUMIFS('recurring2_based on steps'!$B16:$AY16,'recurring2_based on steps'!$B$1:$AY$1,G$1)+SUMIFS('changes2_based on steps'!$B16:$U16,'changes2_based on steps'!$B$1:$U$1,G$1)</f>
        <v>0</v>
      </c>
      <c r="H16" s="140">
        <f>SUMIFS('recurring2_based on steps'!$B16:$AY16,'recurring2_based on steps'!$B$1:$AY$1,H$1)+SUMIFS('changes2_based on steps'!$B16:$U16,'changes2_based on steps'!$B$1:$U$1,H$1)</f>
        <v>0</v>
      </c>
      <c r="I16" s="140">
        <f>SUMIFS('recurring2_based on steps'!$B16:$AY16,'recurring2_based on steps'!$B$1:$AY$1,I$1)+SUMIFS('changes2_based on steps'!$B16:$U16,'changes2_based on steps'!$B$1:$U$1,I$1)</f>
        <v>0</v>
      </c>
      <c r="J16" s="140">
        <f ca="1">SUMIFS('recurring2_based on steps'!$B16:$AY16,'recurring2_based on steps'!$B$1:$AY$1,J$1)+SUMIFS('changes2_based on steps'!$B16:$U16,'changes2_based on steps'!$B$1:$U$1,J$1)</f>
        <v>0</v>
      </c>
      <c r="K16" s="140">
        <f>SUMIFS('recurring2_based on steps'!$B16:$AY16,'recurring2_based on steps'!$B$1:$AY$1,K$1)+SUMIFS('changes2_based on steps'!$B16:$U16,'changes2_based on steps'!$B$1:$U$1,K$1)</f>
        <v>0</v>
      </c>
      <c r="L16" s="140">
        <f>SUMIFS('recurring2_based on steps'!$B16:$AY16,'recurring2_based on steps'!$B$1:$AY$1,L$1)+SUMIFS('changes2_based on steps'!$B16:$U16,'changes2_based on steps'!$B$1:$U$1,L$1)</f>
        <v>0</v>
      </c>
      <c r="M16" s="140">
        <f>SUMIFS('recurring2_based on steps'!$B16:$AY16,'recurring2_based on steps'!$B$1:$AY$1,M$1)+SUMIFS('changes2_based on steps'!$B16:$U16,'changes2_based on steps'!$B$1:$U$1,M$1)</f>
        <v>0</v>
      </c>
      <c r="N16" s="140">
        <f ca="1">SUMIFS('recurring2_based on steps'!$B16:$AY16,'recurring2_based on steps'!$B$1:$AY$1,N$1)+SUMIFS('changes2_based on steps'!$B16:$U16,'changes2_based on steps'!$B$1:$U$1,N$1)</f>
        <v>0</v>
      </c>
      <c r="O16" s="140">
        <f>SUMIFS('recurring2_based on steps'!$B16:$AY16,'recurring2_based on steps'!$B$1:$AY$1,O$1)+SUMIFS('changes2_based on steps'!$B16:$U16,'changes2_based on steps'!$B$1:$U$1,O$1)</f>
        <v>0</v>
      </c>
      <c r="P16" s="140">
        <f ca="1">SUMIFS('recurring2_based on steps'!$B16:$AY16,'recurring2_based on steps'!$B$1:$AY$1,P$1)+SUMIFS('changes2_based on steps'!$B16:$U16,'changes2_based on steps'!$B$1:$U$1,P$1)</f>
        <v>0</v>
      </c>
      <c r="Q16" s="140">
        <f ca="1">SUMIFS('recurring2_based on steps'!$B16:$AY16,'recurring2_based on steps'!$B$1:$AY$1,Q$1)+SUMIFS('changes2_based on steps'!$B16:$U16,'changes2_based on steps'!$B$1:$U$1,Q$1)</f>
        <v>5.5401662049861494E-2</v>
      </c>
      <c r="R16" s="140">
        <f ca="1">SUMIFS('recurring2_based on steps'!$B16:$AY16,'recurring2_based on steps'!$B$1:$AY$1,R$1)+SUMIFS('changes2_based on steps'!$B16:$U16,'changes2_based on steps'!$B$1:$U$1,R$1)</f>
        <v>0</v>
      </c>
      <c r="S16" s="140">
        <f>SUMIFS('recurring2_based on steps'!$B16:$AY16,'recurring2_based on steps'!$B$1:$AY$1,S$1)+SUMIFS('changes2_based on steps'!$B16:$U16,'changes2_based on steps'!$B$1:$U$1,S$1)</f>
        <v>0</v>
      </c>
      <c r="T16" s="140">
        <f ca="1">SUMIFS('recurring2_based on steps'!$B16:$AY16,'recurring2_based on steps'!$B$1:$AY$1,T$1)+SUMIFS('changes2_based on steps'!$B16:$U16,'changes2_based on steps'!$B$1:$U$1,T$1)</f>
        <v>0</v>
      </c>
      <c r="U16" s="140">
        <f ca="1">SUMIFS('recurring2_based on steps'!$B16:$AY16,'recurring2_based on steps'!$B$1:$AY$1,U$1)+SUMIFS('changes2_based on steps'!$B16:$U16,'changes2_based on steps'!$B$1:$U$1,U$1)</f>
        <v>0</v>
      </c>
      <c r="V16" s="140">
        <f>SUMIFS('recurring2_based on steps'!$B16:$AY16,'recurring2_based on steps'!$B$1:$AY$1,V$1)+SUMIFS('changes2_based on steps'!$B16:$U16,'changes2_based on steps'!$B$1:$U$1,V$1)</f>
        <v>0</v>
      </c>
      <c r="W16" s="140">
        <f>SUMIFS('recurring2_based on steps'!$B16:$AY16,'recurring2_based on steps'!$B$1:$AY$1,W$1)+SUMIFS('changes2_based on steps'!$B16:$U16,'changes2_based on steps'!$B$1:$U$1,W$1)</f>
        <v>0</v>
      </c>
      <c r="X16" s="140">
        <f ca="1">SUMIFS('recurring2_based on steps'!$B16:$AY16,'recurring2_based on steps'!$B$1:$AY$1,X$1)+SUMIFS('changes2_based on steps'!$B16:$U16,'changes2_based on steps'!$B$1:$U$1,X$1)</f>
        <v>0</v>
      </c>
      <c r="Y16" s="140">
        <f ca="1">SUMIFS('recurring2_based on steps'!$B16:$AY16,'recurring2_based on steps'!$B$1:$AY$1,Y$1)+SUMIFS('changes2_based on steps'!$B16:$U16,'changes2_based on steps'!$B$1:$U$1,Y$1)</f>
        <v>0</v>
      </c>
      <c r="Z16" s="140">
        <f>SUMIFS('recurring2_based on steps'!$B16:$AY16,'recurring2_based on steps'!$B$1:$AY$1,Z$1)+SUMIFS('changes2_based on steps'!$B16:$U16,'changes2_based on steps'!$B$1:$U$1,Z$1)</f>
        <v>0</v>
      </c>
      <c r="AA16" s="140">
        <f ca="1">SUMIFS('recurring2_based on steps'!$B16:$AY16,'recurring2_based on steps'!$B$1:$AY$1,AA$1)+SUMIFS('changes2_based on steps'!$B16:$U16,'changes2_based on steps'!$B$1:$U$1,AA$1)</f>
        <v>0</v>
      </c>
      <c r="AB16" s="140">
        <f ca="1">SUMIFS('recurring2_based on steps'!$B16:$AY16,'recurring2_based on steps'!$B$1:$AY$1,AB$1)+SUMIFS('changes2_based on steps'!$B16:$U16,'changes2_based on steps'!$B$1:$U$1,AB$1)</f>
        <v>0</v>
      </c>
      <c r="AC16" s="140">
        <f ca="1">SUMIFS('recurring2_based on steps'!$B16:$AY16,'recurring2_based on steps'!$B$1:$AY$1,AC$1)+SUMIFS('changes2_based on steps'!$B16:$U16,'changes2_based on steps'!$B$1:$U$1,AC$1)</f>
        <v>0</v>
      </c>
      <c r="AD16" s="140">
        <f ca="1">SUMIFS('recurring2_based on steps'!$B16:$AY16,'recurring2_based on steps'!$B$1:$AY$1,AD$1)+SUMIFS('changes2_based on steps'!$B16:$U16,'changes2_based on steps'!$B$1:$U$1,AD$1)</f>
        <v>0</v>
      </c>
      <c r="AE16" s="140">
        <f>SUMIFS('recurring2_based on steps'!$B16:$AY16,'recurring2_based on steps'!$B$1:$AY$1,AE$1)+SUMIFS('changes2_based on steps'!$B16:$U16,'changes2_based on steps'!$B$1:$U$1,AE$1)</f>
        <v>0</v>
      </c>
      <c r="AF16" s="140"/>
      <c r="AG16" s="140"/>
      <c r="AH16" s="140"/>
      <c r="AI16" s="140"/>
      <c r="AJ16" s="140"/>
      <c r="AK16" s="140"/>
      <c r="AL16" s="140"/>
      <c r="AM16" s="140"/>
    </row>
    <row r="17" spans="1:39" x14ac:dyDescent="0.2">
      <c r="A17" s="29">
        <f t="shared" ca="1" si="0"/>
        <v>45757</v>
      </c>
      <c r="B17" s="140">
        <f ca="1">SUMIFS('recurring2_based on steps'!$B17:$AY17,'recurring2_based on steps'!$B$1:$AY$1,B$1)+SUMIFS('changes2_based on steps'!$B17:$U17,'changes2_based on steps'!$B$1:$U$1,B$1)</f>
        <v>0</v>
      </c>
      <c r="C17" s="140">
        <f>SUMIFS('recurring2_based on steps'!$B17:$AY17,'recurring2_based on steps'!$B$1:$AY$1,C$1)+SUMIFS('changes2_based on steps'!$B17:$U17,'changes2_based on steps'!$B$1:$U$1,C$1)</f>
        <v>0</v>
      </c>
      <c r="D17" s="140">
        <f>SUMIFS('recurring2_based on steps'!$B17:$AY17,'recurring2_based on steps'!$B$1:$AY$1,D$1)+SUMIFS('changes2_based on steps'!$B17:$U17,'changes2_based on steps'!$B$1:$U$1,D$1)</f>
        <v>0</v>
      </c>
      <c r="E17" s="140">
        <f>SUMIFS('recurring2_based on steps'!$B17:$AY17,'recurring2_based on steps'!$B$1:$AY$1,E$1)+SUMIFS('changes2_based on steps'!$B17:$U17,'changes2_based on steps'!$B$1:$U$1,E$1)</f>
        <v>0</v>
      </c>
      <c r="F17" s="140">
        <f>SUMIFS('recurring2_based on steps'!$B17:$AY17,'recurring2_based on steps'!$B$1:$AY$1,F$1)+SUMIFS('changes2_based on steps'!$B17:$U17,'changes2_based on steps'!$B$1:$U$1,F$1)</f>
        <v>0</v>
      </c>
      <c r="G17" s="140">
        <f>SUMIFS('recurring2_based on steps'!$B17:$AY17,'recurring2_based on steps'!$B$1:$AY$1,G$1)+SUMIFS('changes2_based on steps'!$B17:$U17,'changes2_based on steps'!$B$1:$U$1,G$1)</f>
        <v>0</v>
      </c>
      <c r="H17" s="140">
        <f>SUMIFS('recurring2_based on steps'!$B17:$AY17,'recurring2_based on steps'!$B$1:$AY$1,H$1)+SUMIFS('changes2_based on steps'!$B17:$U17,'changes2_based on steps'!$B$1:$U$1,H$1)</f>
        <v>0</v>
      </c>
      <c r="I17" s="140">
        <f>SUMIFS('recurring2_based on steps'!$B17:$AY17,'recurring2_based on steps'!$B$1:$AY$1,I$1)+SUMIFS('changes2_based on steps'!$B17:$U17,'changes2_based on steps'!$B$1:$U$1,I$1)</f>
        <v>0</v>
      </c>
      <c r="J17" s="140">
        <f ca="1">SUMIFS('recurring2_based on steps'!$B17:$AY17,'recurring2_based on steps'!$B$1:$AY$1,J$1)+SUMIFS('changes2_based on steps'!$B17:$U17,'changes2_based on steps'!$B$1:$U$1,J$1)</f>
        <v>0</v>
      </c>
      <c r="K17" s="140">
        <f>SUMIFS('recurring2_based on steps'!$B17:$AY17,'recurring2_based on steps'!$B$1:$AY$1,K$1)+SUMIFS('changes2_based on steps'!$B17:$U17,'changes2_based on steps'!$B$1:$U$1,K$1)</f>
        <v>0</v>
      </c>
      <c r="L17" s="140">
        <f>SUMIFS('recurring2_based on steps'!$B17:$AY17,'recurring2_based on steps'!$B$1:$AY$1,L$1)+SUMIFS('changes2_based on steps'!$B17:$U17,'changes2_based on steps'!$B$1:$U$1,L$1)</f>
        <v>0</v>
      </c>
      <c r="M17" s="140">
        <f>SUMIFS('recurring2_based on steps'!$B17:$AY17,'recurring2_based on steps'!$B$1:$AY$1,M$1)+SUMIFS('changes2_based on steps'!$B17:$U17,'changes2_based on steps'!$B$1:$U$1,M$1)</f>
        <v>0</v>
      </c>
      <c r="N17" s="140">
        <f ca="1">SUMIFS('recurring2_based on steps'!$B17:$AY17,'recurring2_based on steps'!$B$1:$AY$1,N$1)+SUMIFS('changes2_based on steps'!$B17:$U17,'changes2_based on steps'!$B$1:$U$1,N$1)</f>
        <v>0</v>
      </c>
      <c r="O17" s="140">
        <f>SUMIFS('recurring2_based on steps'!$B17:$AY17,'recurring2_based on steps'!$B$1:$AY$1,O$1)+SUMIFS('changes2_based on steps'!$B17:$U17,'changes2_based on steps'!$B$1:$U$1,O$1)</f>
        <v>0</v>
      </c>
      <c r="P17" s="140">
        <f ca="1">SUMIFS('recurring2_based on steps'!$B17:$AY17,'recurring2_based on steps'!$B$1:$AY$1,P$1)+SUMIFS('changes2_based on steps'!$B17:$U17,'changes2_based on steps'!$B$1:$U$1,P$1)</f>
        <v>0</v>
      </c>
      <c r="Q17" s="140">
        <f ca="1">SUMIFS('recurring2_based on steps'!$B17:$AY17,'recurring2_based on steps'!$B$1:$AY$1,Q$1)+SUMIFS('changes2_based on steps'!$B17:$U17,'changes2_based on steps'!$B$1:$U$1,Q$1)</f>
        <v>5.5401662049861494E-2</v>
      </c>
      <c r="R17" s="140">
        <f ca="1">SUMIFS('recurring2_based on steps'!$B17:$AY17,'recurring2_based on steps'!$B$1:$AY$1,R$1)+SUMIFS('changes2_based on steps'!$B17:$U17,'changes2_based on steps'!$B$1:$U$1,R$1)</f>
        <v>0</v>
      </c>
      <c r="S17" s="140">
        <f>SUMIFS('recurring2_based on steps'!$B17:$AY17,'recurring2_based on steps'!$B$1:$AY$1,S$1)+SUMIFS('changes2_based on steps'!$B17:$U17,'changes2_based on steps'!$B$1:$U$1,S$1)</f>
        <v>0</v>
      </c>
      <c r="T17" s="140">
        <f ca="1">SUMIFS('recurring2_based on steps'!$B17:$AY17,'recurring2_based on steps'!$B$1:$AY$1,T$1)+SUMIFS('changes2_based on steps'!$B17:$U17,'changes2_based on steps'!$B$1:$U$1,T$1)</f>
        <v>0</v>
      </c>
      <c r="U17" s="140">
        <f ca="1">SUMIFS('recurring2_based on steps'!$B17:$AY17,'recurring2_based on steps'!$B$1:$AY$1,U$1)+SUMIFS('changes2_based on steps'!$B17:$U17,'changes2_based on steps'!$B$1:$U$1,U$1)</f>
        <v>0</v>
      </c>
      <c r="V17" s="140">
        <f>SUMIFS('recurring2_based on steps'!$B17:$AY17,'recurring2_based on steps'!$B$1:$AY$1,V$1)+SUMIFS('changes2_based on steps'!$B17:$U17,'changes2_based on steps'!$B$1:$U$1,V$1)</f>
        <v>0</v>
      </c>
      <c r="W17" s="140">
        <f>SUMIFS('recurring2_based on steps'!$B17:$AY17,'recurring2_based on steps'!$B$1:$AY$1,W$1)+SUMIFS('changes2_based on steps'!$B17:$U17,'changes2_based on steps'!$B$1:$U$1,W$1)</f>
        <v>0</v>
      </c>
      <c r="X17" s="140">
        <f ca="1">SUMIFS('recurring2_based on steps'!$B17:$AY17,'recurring2_based on steps'!$B$1:$AY$1,X$1)+SUMIFS('changes2_based on steps'!$B17:$U17,'changes2_based on steps'!$B$1:$U$1,X$1)</f>
        <v>0</v>
      </c>
      <c r="Y17" s="140">
        <f ca="1">SUMIFS('recurring2_based on steps'!$B17:$AY17,'recurring2_based on steps'!$B$1:$AY$1,Y$1)+SUMIFS('changes2_based on steps'!$B17:$U17,'changes2_based on steps'!$B$1:$U$1,Y$1)</f>
        <v>0</v>
      </c>
      <c r="Z17" s="140">
        <f>SUMIFS('recurring2_based on steps'!$B17:$AY17,'recurring2_based on steps'!$B$1:$AY$1,Z$1)+SUMIFS('changes2_based on steps'!$B17:$U17,'changes2_based on steps'!$B$1:$U$1,Z$1)</f>
        <v>0</v>
      </c>
      <c r="AA17" s="140">
        <f ca="1">SUMIFS('recurring2_based on steps'!$B17:$AY17,'recurring2_based on steps'!$B$1:$AY$1,AA$1)+SUMIFS('changes2_based on steps'!$B17:$U17,'changes2_based on steps'!$B$1:$U$1,AA$1)</f>
        <v>0</v>
      </c>
      <c r="AB17" s="140">
        <f ca="1">SUMIFS('recurring2_based on steps'!$B17:$AY17,'recurring2_based on steps'!$B$1:$AY$1,AB$1)+SUMIFS('changes2_based on steps'!$B17:$U17,'changes2_based on steps'!$B$1:$U$1,AB$1)</f>
        <v>0</v>
      </c>
      <c r="AC17" s="140">
        <f ca="1">SUMIFS('recurring2_based on steps'!$B17:$AY17,'recurring2_based on steps'!$B$1:$AY$1,AC$1)+SUMIFS('changes2_based on steps'!$B17:$U17,'changes2_based on steps'!$B$1:$U$1,AC$1)</f>
        <v>0</v>
      </c>
      <c r="AD17" s="140">
        <f ca="1">SUMIFS('recurring2_based on steps'!$B17:$AY17,'recurring2_based on steps'!$B$1:$AY$1,AD$1)+SUMIFS('changes2_based on steps'!$B17:$U17,'changes2_based on steps'!$B$1:$U$1,AD$1)</f>
        <v>0</v>
      </c>
      <c r="AE17" s="140">
        <f>SUMIFS('recurring2_based on steps'!$B17:$AY17,'recurring2_based on steps'!$B$1:$AY$1,AE$1)+SUMIFS('changes2_based on steps'!$B17:$U17,'changes2_based on steps'!$B$1:$U$1,AE$1)</f>
        <v>0</v>
      </c>
      <c r="AF17" s="140"/>
      <c r="AG17" s="140"/>
      <c r="AH17" s="140"/>
      <c r="AI17" s="140"/>
      <c r="AJ17" s="140"/>
      <c r="AK17" s="140"/>
      <c r="AL17" s="140"/>
      <c r="AM17" s="140"/>
    </row>
    <row r="18" spans="1:39" x14ac:dyDescent="0.2">
      <c r="A18" s="29">
        <f t="shared" ca="1" si="0"/>
        <v>45758</v>
      </c>
      <c r="B18" s="140">
        <f ca="1">SUMIFS('recurring2_based on steps'!$B18:$AY18,'recurring2_based on steps'!$B$1:$AY$1,B$1)+SUMIFS('changes2_based on steps'!$B18:$U18,'changes2_based on steps'!$B$1:$U$1,B$1)</f>
        <v>0</v>
      </c>
      <c r="C18" s="140">
        <f>SUMIFS('recurring2_based on steps'!$B18:$AY18,'recurring2_based on steps'!$B$1:$AY$1,C$1)+SUMIFS('changes2_based on steps'!$B18:$U18,'changes2_based on steps'!$B$1:$U$1,C$1)</f>
        <v>0</v>
      </c>
      <c r="D18" s="140">
        <f>SUMIFS('recurring2_based on steps'!$B18:$AY18,'recurring2_based on steps'!$B$1:$AY$1,D$1)+SUMIFS('changes2_based on steps'!$B18:$U18,'changes2_based on steps'!$B$1:$U$1,D$1)</f>
        <v>0</v>
      </c>
      <c r="E18" s="140">
        <f>SUMIFS('recurring2_based on steps'!$B18:$AY18,'recurring2_based on steps'!$B$1:$AY$1,E$1)+SUMIFS('changes2_based on steps'!$B18:$U18,'changes2_based on steps'!$B$1:$U$1,E$1)</f>
        <v>0</v>
      </c>
      <c r="F18" s="140">
        <f>SUMIFS('recurring2_based on steps'!$B18:$AY18,'recurring2_based on steps'!$B$1:$AY$1,F$1)+SUMIFS('changes2_based on steps'!$B18:$U18,'changes2_based on steps'!$B$1:$U$1,F$1)</f>
        <v>0</v>
      </c>
      <c r="G18" s="140">
        <f>SUMIFS('recurring2_based on steps'!$B18:$AY18,'recurring2_based on steps'!$B$1:$AY$1,G$1)+SUMIFS('changes2_based on steps'!$B18:$U18,'changes2_based on steps'!$B$1:$U$1,G$1)</f>
        <v>0</v>
      </c>
      <c r="H18" s="140">
        <f>SUMIFS('recurring2_based on steps'!$B18:$AY18,'recurring2_based on steps'!$B$1:$AY$1,H$1)+SUMIFS('changes2_based on steps'!$B18:$U18,'changes2_based on steps'!$B$1:$U$1,H$1)</f>
        <v>0</v>
      </c>
      <c r="I18" s="140">
        <f>SUMIFS('recurring2_based on steps'!$B18:$AY18,'recurring2_based on steps'!$B$1:$AY$1,I$1)+SUMIFS('changes2_based on steps'!$B18:$U18,'changes2_based on steps'!$B$1:$U$1,I$1)</f>
        <v>0</v>
      </c>
      <c r="J18" s="140">
        <f ca="1">SUMIFS('recurring2_based on steps'!$B18:$AY18,'recurring2_based on steps'!$B$1:$AY$1,J$1)+SUMIFS('changes2_based on steps'!$B18:$U18,'changes2_based on steps'!$B$1:$U$1,J$1)</f>
        <v>0</v>
      </c>
      <c r="K18" s="140">
        <f>SUMIFS('recurring2_based on steps'!$B18:$AY18,'recurring2_based on steps'!$B$1:$AY$1,K$1)+SUMIFS('changes2_based on steps'!$B18:$U18,'changes2_based on steps'!$B$1:$U$1,K$1)</f>
        <v>0</v>
      </c>
      <c r="L18" s="140">
        <f>SUMIFS('recurring2_based on steps'!$B18:$AY18,'recurring2_based on steps'!$B$1:$AY$1,L$1)+SUMIFS('changes2_based on steps'!$B18:$U18,'changes2_based on steps'!$B$1:$U$1,L$1)</f>
        <v>0</v>
      </c>
      <c r="M18" s="140">
        <f>SUMIFS('recurring2_based on steps'!$B18:$AY18,'recurring2_based on steps'!$B$1:$AY$1,M$1)+SUMIFS('changes2_based on steps'!$B18:$U18,'changes2_based on steps'!$B$1:$U$1,M$1)</f>
        <v>0</v>
      </c>
      <c r="N18" s="140">
        <f ca="1">SUMIFS('recurring2_based on steps'!$B18:$AY18,'recurring2_based on steps'!$B$1:$AY$1,N$1)+SUMIFS('changes2_based on steps'!$B18:$U18,'changes2_based on steps'!$B$1:$U$1,N$1)</f>
        <v>0</v>
      </c>
      <c r="O18" s="140">
        <f>SUMIFS('recurring2_based on steps'!$B18:$AY18,'recurring2_based on steps'!$B$1:$AY$1,O$1)+SUMIFS('changes2_based on steps'!$B18:$U18,'changes2_based on steps'!$B$1:$U$1,O$1)</f>
        <v>0</v>
      </c>
      <c r="P18" s="140">
        <f ca="1">SUMIFS('recurring2_based on steps'!$B18:$AY18,'recurring2_based on steps'!$B$1:$AY$1,P$1)+SUMIFS('changes2_based on steps'!$B18:$U18,'changes2_based on steps'!$B$1:$U$1,P$1)</f>
        <v>0</v>
      </c>
      <c r="Q18" s="140">
        <f ca="1">SUMIFS('recurring2_based on steps'!$B18:$AY18,'recurring2_based on steps'!$B$1:$AY$1,Q$1)+SUMIFS('changes2_based on steps'!$B18:$U18,'changes2_based on steps'!$B$1:$U$1,Q$1)</f>
        <v>5.5401662049861494E-2</v>
      </c>
      <c r="R18" s="140">
        <f ca="1">SUMIFS('recurring2_based on steps'!$B18:$AY18,'recurring2_based on steps'!$B$1:$AY$1,R$1)+SUMIFS('changes2_based on steps'!$B18:$U18,'changes2_based on steps'!$B$1:$U$1,R$1)</f>
        <v>0</v>
      </c>
      <c r="S18" s="140">
        <f>SUMIFS('recurring2_based on steps'!$B18:$AY18,'recurring2_based on steps'!$B$1:$AY$1,S$1)+SUMIFS('changes2_based on steps'!$B18:$U18,'changes2_based on steps'!$B$1:$U$1,S$1)</f>
        <v>0</v>
      </c>
      <c r="T18" s="140">
        <f ca="1">SUMIFS('recurring2_based on steps'!$B18:$AY18,'recurring2_based on steps'!$B$1:$AY$1,T$1)+SUMIFS('changes2_based on steps'!$B18:$U18,'changes2_based on steps'!$B$1:$U$1,T$1)</f>
        <v>0</v>
      </c>
      <c r="U18" s="140">
        <f ca="1">SUMIFS('recurring2_based on steps'!$B18:$AY18,'recurring2_based on steps'!$B$1:$AY$1,U$1)+SUMIFS('changes2_based on steps'!$B18:$U18,'changes2_based on steps'!$B$1:$U$1,U$1)</f>
        <v>0</v>
      </c>
      <c r="V18" s="140">
        <f>SUMIFS('recurring2_based on steps'!$B18:$AY18,'recurring2_based on steps'!$B$1:$AY$1,V$1)+SUMIFS('changes2_based on steps'!$B18:$U18,'changes2_based on steps'!$B$1:$U$1,V$1)</f>
        <v>0</v>
      </c>
      <c r="W18" s="140">
        <f>SUMIFS('recurring2_based on steps'!$B18:$AY18,'recurring2_based on steps'!$B$1:$AY$1,W$1)+SUMIFS('changes2_based on steps'!$B18:$U18,'changes2_based on steps'!$B$1:$U$1,W$1)</f>
        <v>0</v>
      </c>
      <c r="X18" s="140">
        <f ca="1">SUMIFS('recurring2_based on steps'!$B18:$AY18,'recurring2_based on steps'!$B$1:$AY$1,X$1)+SUMIFS('changes2_based on steps'!$B18:$U18,'changes2_based on steps'!$B$1:$U$1,X$1)</f>
        <v>0</v>
      </c>
      <c r="Y18" s="140">
        <f ca="1">SUMIFS('recurring2_based on steps'!$B18:$AY18,'recurring2_based on steps'!$B$1:$AY$1,Y$1)+SUMIFS('changes2_based on steps'!$B18:$U18,'changes2_based on steps'!$B$1:$U$1,Y$1)</f>
        <v>0</v>
      </c>
      <c r="Z18" s="140">
        <f>SUMIFS('recurring2_based on steps'!$B18:$AY18,'recurring2_based on steps'!$B$1:$AY$1,Z$1)+SUMIFS('changes2_based on steps'!$B18:$U18,'changes2_based on steps'!$B$1:$U$1,Z$1)</f>
        <v>0</v>
      </c>
      <c r="AA18" s="140">
        <f ca="1">SUMIFS('recurring2_based on steps'!$B18:$AY18,'recurring2_based on steps'!$B$1:$AY$1,AA$1)+SUMIFS('changes2_based on steps'!$B18:$U18,'changes2_based on steps'!$B$1:$U$1,AA$1)</f>
        <v>0</v>
      </c>
      <c r="AB18" s="140">
        <f ca="1">SUMIFS('recurring2_based on steps'!$B18:$AY18,'recurring2_based on steps'!$B$1:$AY$1,AB$1)+SUMIFS('changes2_based on steps'!$B18:$U18,'changes2_based on steps'!$B$1:$U$1,AB$1)</f>
        <v>0</v>
      </c>
      <c r="AC18" s="140">
        <f ca="1">SUMIFS('recurring2_based on steps'!$B18:$AY18,'recurring2_based on steps'!$B$1:$AY$1,AC$1)+SUMIFS('changes2_based on steps'!$B18:$U18,'changes2_based on steps'!$B$1:$U$1,AC$1)</f>
        <v>0</v>
      </c>
      <c r="AD18" s="140">
        <f ca="1">SUMIFS('recurring2_based on steps'!$B18:$AY18,'recurring2_based on steps'!$B$1:$AY$1,AD$1)+SUMIFS('changes2_based on steps'!$B18:$U18,'changes2_based on steps'!$B$1:$U$1,AD$1)</f>
        <v>0</v>
      </c>
      <c r="AE18" s="140">
        <f>SUMIFS('recurring2_based on steps'!$B18:$AY18,'recurring2_based on steps'!$B$1:$AY$1,AE$1)+SUMIFS('changes2_based on steps'!$B18:$U18,'changes2_based on steps'!$B$1:$U$1,AE$1)</f>
        <v>0</v>
      </c>
      <c r="AF18" s="140"/>
      <c r="AG18" s="140"/>
      <c r="AH18" s="140"/>
      <c r="AI18" s="140"/>
      <c r="AJ18" s="140"/>
      <c r="AK18" s="140"/>
      <c r="AL18" s="140"/>
      <c r="AM18" s="140"/>
    </row>
    <row r="19" spans="1:39" x14ac:dyDescent="0.2">
      <c r="A19" s="29">
        <f t="shared" ca="1" si="0"/>
        <v>45759</v>
      </c>
      <c r="B19" s="140">
        <f ca="1">SUMIFS('recurring2_based on steps'!$B19:$AY19,'recurring2_based on steps'!$B$1:$AY$1,B$1)+SUMIFS('changes2_based on steps'!$B19:$U19,'changes2_based on steps'!$B$1:$U$1,B$1)</f>
        <v>0</v>
      </c>
      <c r="C19" s="140">
        <f>SUMIFS('recurring2_based on steps'!$B19:$AY19,'recurring2_based on steps'!$B$1:$AY$1,C$1)+SUMIFS('changes2_based on steps'!$B19:$U19,'changes2_based on steps'!$B$1:$U$1,C$1)</f>
        <v>0</v>
      </c>
      <c r="D19" s="140">
        <f>SUMIFS('recurring2_based on steps'!$B19:$AY19,'recurring2_based on steps'!$B$1:$AY$1,D$1)+SUMIFS('changes2_based on steps'!$B19:$U19,'changes2_based on steps'!$B$1:$U$1,D$1)</f>
        <v>0</v>
      </c>
      <c r="E19" s="140">
        <f>SUMIFS('recurring2_based on steps'!$B19:$AY19,'recurring2_based on steps'!$B$1:$AY$1,E$1)+SUMIFS('changes2_based on steps'!$B19:$U19,'changes2_based on steps'!$B$1:$U$1,E$1)</f>
        <v>0</v>
      </c>
      <c r="F19" s="140">
        <f>SUMIFS('recurring2_based on steps'!$B19:$AY19,'recurring2_based on steps'!$B$1:$AY$1,F$1)+SUMIFS('changes2_based on steps'!$B19:$U19,'changes2_based on steps'!$B$1:$U$1,F$1)</f>
        <v>0</v>
      </c>
      <c r="G19" s="140">
        <f>SUMIFS('recurring2_based on steps'!$B19:$AY19,'recurring2_based on steps'!$B$1:$AY$1,G$1)+SUMIFS('changes2_based on steps'!$B19:$U19,'changes2_based on steps'!$B$1:$U$1,G$1)</f>
        <v>0</v>
      </c>
      <c r="H19" s="140">
        <f>SUMIFS('recurring2_based on steps'!$B19:$AY19,'recurring2_based on steps'!$B$1:$AY$1,H$1)+SUMIFS('changes2_based on steps'!$B19:$U19,'changes2_based on steps'!$B$1:$U$1,H$1)</f>
        <v>0</v>
      </c>
      <c r="I19" s="140">
        <f>SUMIFS('recurring2_based on steps'!$B19:$AY19,'recurring2_based on steps'!$B$1:$AY$1,I$1)+SUMIFS('changes2_based on steps'!$B19:$U19,'changes2_based on steps'!$B$1:$U$1,I$1)</f>
        <v>0</v>
      </c>
      <c r="J19" s="140">
        <f ca="1">SUMIFS('recurring2_based on steps'!$B19:$AY19,'recurring2_based on steps'!$B$1:$AY$1,J$1)+SUMIFS('changes2_based on steps'!$B19:$U19,'changes2_based on steps'!$B$1:$U$1,J$1)</f>
        <v>0</v>
      </c>
      <c r="K19" s="140">
        <f>SUMIFS('recurring2_based on steps'!$B19:$AY19,'recurring2_based on steps'!$B$1:$AY$1,K$1)+SUMIFS('changes2_based on steps'!$B19:$U19,'changes2_based on steps'!$B$1:$U$1,K$1)</f>
        <v>0</v>
      </c>
      <c r="L19" s="140">
        <f>SUMIFS('recurring2_based on steps'!$B19:$AY19,'recurring2_based on steps'!$B$1:$AY$1,L$1)+SUMIFS('changes2_based on steps'!$B19:$U19,'changes2_based on steps'!$B$1:$U$1,L$1)</f>
        <v>0</v>
      </c>
      <c r="M19" s="140">
        <f>SUMIFS('recurring2_based on steps'!$B19:$AY19,'recurring2_based on steps'!$B$1:$AY$1,M$1)+SUMIFS('changes2_based on steps'!$B19:$U19,'changes2_based on steps'!$B$1:$U$1,M$1)</f>
        <v>0</v>
      </c>
      <c r="N19" s="140">
        <f ca="1">SUMIFS('recurring2_based on steps'!$B19:$AY19,'recurring2_based on steps'!$B$1:$AY$1,N$1)+SUMIFS('changes2_based on steps'!$B19:$U19,'changes2_based on steps'!$B$1:$U$1,N$1)</f>
        <v>0</v>
      </c>
      <c r="O19" s="140">
        <f>SUMIFS('recurring2_based on steps'!$B19:$AY19,'recurring2_based on steps'!$B$1:$AY$1,O$1)+SUMIFS('changes2_based on steps'!$B19:$U19,'changes2_based on steps'!$B$1:$U$1,O$1)</f>
        <v>0</v>
      </c>
      <c r="P19" s="140">
        <f ca="1">SUMIFS('recurring2_based on steps'!$B19:$AY19,'recurring2_based on steps'!$B$1:$AY$1,P$1)+SUMIFS('changes2_based on steps'!$B19:$U19,'changes2_based on steps'!$B$1:$U$1,P$1)</f>
        <v>0</v>
      </c>
      <c r="Q19" s="140">
        <f ca="1">SUMIFS('recurring2_based on steps'!$B19:$AY19,'recurring2_based on steps'!$B$1:$AY$1,Q$1)+SUMIFS('changes2_based on steps'!$B19:$U19,'changes2_based on steps'!$B$1:$U$1,Q$1)</f>
        <v>100.05540166204986</v>
      </c>
      <c r="R19" s="140">
        <f ca="1">SUMIFS('recurring2_based on steps'!$B19:$AY19,'recurring2_based on steps'!$B$1:$AY$1,R$1)+SUMIFS('changes2_based on steps'!$B19:$U19,'changes2_based on steps'!$B$1:$U$1,R$1)</f>
        <v>0</v>
      </c>
      <c r="S19" s="140">
        <f>SUMIFS('recurring2_based on steps'!$B19:$AY19,'recurring2_based on steps'!$B$1:$AY$1,S$1)+SUMIFS('changes2_based on steps'!$B19:$U19,'changes2_based on steps'!$B$1:$U$1,S$1)</f>
        <v>0</v>
      </c>
      <c r="T19" s="140">
        <f ca="1">SUMIFS('recurring2_based on steps'!$B19:$AY19,'recurring2_based on steps'!$B$1:$AY$1,T$1)+SUMIFS('changes2_based on steps'!$B19:$U19,'changes2_based on steps'!$B$1:$U$1,T$1)</f>
        <v>0</v>
      </c>
      <c r="U19" s="140">
        <f ca="1">SUMIFS('recurring2_based on steps'!$B19:$AY19,'recurring2_based on steps'!$B$1:$AY$1,U$1)+SUMIFS('changes2_based on steps'!$B19:$U19,'changes2_based on steps'!$B$1:$U$1,U$1)</f>
        <v>0</v>
      </c>
      <c r="V19" s="140">
        <f>SUMIFS('recurring2_based on steps'!$B19:$AY19,'recurring2_based on steps'!$B$1:$AY$1,V$1)+SUMIFS('changes2_based on steps'!$B19:$U19,'changes2_based on steps'!$B$1:$U$1,V$1)</f>
        <v>0</v>
      </c>
      <c r="W19" s="140">
        <f>SUMIFS('recurring2_based on steps'!$B19:$AY19,'recurring2_based on steps'!$B$1:$AY$1,W$1)+SUMIFS('changes2_based on steps'!$B19:$U19,'changes2_based on steps'!$B$1:$U$1,W$1)</f>
        <v>0</v>
      </c>
      <c r="X19" s="140">
        <f ca="1">SUMIFS('recurring2_based on steps'!$B19:$AY19,'recurring2_based on steps'!$B$1:$AY$1,X$1)+SUMIFS('changes2_based on steps'!$B19:$U19,'changes2_based on steps'!$B$1:$U$1,X$1)</f>
        <v>0</v>
      </c>
      <c r="Y19" s="140">
        <f ca="1">SUMIFS('recurring2_based on steps'!$B19:$AY19,'recurring2_based on steps'!$B$1:$AY$1,Y$1)+SUMIFS('changes2_based on steps'!$B19:$U19,'changes2_based on steps'!$B$1:$U$1,Y$1)</f>
        <v>0</v>
      </c>
      <c r="Z19" s="140">
        <f>SUMIFS('recurring2_based on steps'!$B19:$AY19,'recurring2_based on steps'!$B$1:$AY$1,Z$1)+SUMIFS('changes2_based on steps'!$B19:$U19,'changes2_based on steps'!$B$1:$U$1,Z$1)</f>
        <v>0</v>
      </c>
      <c r="AA19" s="140">
        <f ca="1">SUMIFS('recurring2_based on steps'!$B19:$AY19,'recurring2_based on steps'!$B$1:$AY$1,AA$1)+SUMIFS('changes2_based on steps'!$B19:$U19,'changes2_based on steps'!$B$1:$U$1,AA$1)</f>
        <v>0</v>
      </c>
      <c r="AB19" s="140">
        <f ca="1">SUMIFS('recurring2_based on steps'!$B19:$AY19,'recurring2_based on steps'!$B$1:$AY$1,AB$1)+SUMIFS('changes2_based on steps'!$B19:$U19,'changes2_based on steps'!$B$1:$U$1,AB$1)</f>
        <v>100</v>
      </c>
      <c r="AC19" s="140">
        <f ca="1">SUMIFS('recurring2_based on steps'!$B19:$AY19,'recurring2_based on steps'!$B$1:$AY$1,AC$1)+SUMIFS('changes2_based on steps'!$B19:$U19,'changes2_based on steps'!$B$1:$U$1,AC$1)</f>
        <v>0</v>
      </c>
      <c r="AD19" s="140">
        <f ca="1">SUMIFS('recurring2_based on steps'!$B19:$AY19,'recurring2_based on steps'!$B$1:$AY$1,AD$1)+SUMIFS('changes2_based on steps'!$B19:$U19,'changes2_based on steps'!$B$1:$U$1,AD$1)</f>
        <v>0</v>
      </c>
      <c r="AE19" s="140">
        <f>SUMIFS('recurring2_based on steps'!$B19:$AY19,'recurring2_based on steps'!$B$1:$AY$1,AE$1)+SUMIFS('changes2_based on steps'!$B19:$U19,'changes2_based on steps'!$B$1:$U$1,AE$1)</f>
        <v>0</v>
      </c>
      <c r="AF19" s="140"/>
      <c r="AG19" s="140"/>
      <c r="AH19" s="140"/>
      <c r="AI19" s="140"/>
      <c r="AJ19" s="140"/>
      <c r="AK19" s="140"/>
      <c r="AL19" s="140"/>
      <c r="AM19" s="140"/>
    </row>
    <row r="20" spans="1:39" x14ac:dyDescent="0.2">
      <c r="A20" s="29">
        <f t="shared" ca="1" si="0"/>
        <v>45760</v>
      </c>
      <c r="B20" s="140">
        <f ca="1">SUMIFS('recurring2_based on steps'!$B20:$AY20,'recurring2_based on steps'!$B$1:$AY$1,B$1)+SUMIFS('changes2_based on steps'!$B20:$U20,'changes2_based on steps'!$B$1:$U$1,B$1)</f>
        <v>0</v>
      </c>
      <c r="C20" s="140">
        <f>SUMIFS('recurring2_based on steps'!$B20:$AY20,'recurring2_based on steps'!$B$1:$AY$1,C$1)+SUMIFS('changes2_based on steps'!$B20:$U20,'changes2_based on steps'!$B$1:$U$1,C$1)</f>
        <v>0</v>
      </c>
      <c r="D20" s="140">
        <f>SUMIFS('recurring2_based on steps'!$B20:$AY20,'recurring2_based on steps'!$B$1:$AY$1,D$1)+SUMIFS('changes2_based on steps'!$B20:$U20,'changes2_based on steps'!$B$1:$U$1,D$1)</f>
        <v>0</v>
      </c>
      <c r="E20" s="140">
        <f>SUMIFS('recurring2_based on steps'!$B20:$AY20,'recurring2_based on steps'!$B$1:$AY$1,E$1)+SUMIFS('changes2_based on steps'!$B20:$U20,'changes2_based on steps'!$B$1:$U$1,E$1)</f>
        <v>0</v>
      </c>
      <c r="F20" s="140">
        <f>SUMIFS('recurring2_based on steps'!$B20:$AY20,'recurring2_based on steps'!$B$1:$AY$1,F$1)+SUMIFS('changes2_based on steps'!$B20:$U20,'changes2_based on steps'!$B$1:$U$1,F$1)</f>
        <v>0</v>
      </c>
      <c r="G20" s="140">
        <f>SUMIFS('recurring2_based on steps'!$B20:$AY20,'recurring2_based on steps'!$B$1:$AY$1,G$1)+SUMIFS('changes2_based on steps'!$B20:$U20,'changes2_based on steps'!$B$1:$U$1,G$1)</f>
        <v>0</v>
      </c>
      <c r="H20" s="140">
        <f>SUMIFS('recurring2_based on steps'!$B20:$AY20,'recurring2_based on steps'!$B$1:$AY$1,H$1)+SUMIFS('changes2_based on steps'!$B20:$U20,'changes2_based on steps'!$B$1:$U$1,H$1)</f>
        <v>0</v>
      </c>
      <c r="I20" s="140">
        <f>SUMIFS('recurring2_based on steps'!$B20:$AY20,'recurring2_based on steps'!$B$1:$AY$1,I$1)+SUMIFS('changes2_based on steps'!$B20:$U20,'changes2_based on steps'!$B$1:$U$1,I$1)</f>
        <v>0</v>
      </c>
      <c r="J20" s="140">
        <f ca="1">SUMIFS('recurring2_based on steps'!$B20:$AY20,'recurring2_based on steps'!$B$1:$AY$1,J$1)+SUMIFS('changes2_based on steps'!$B20:$U20,'changes2_based on steps'!$B$1:$U$1,J$1)</f>
        <v>0</v>
      </c>
      <c r="K20" s="140">
        <f>SUMIFS('recurring2_based on steps'!$B20:$AY20,'recurring2_based on steps'!$B$1:$AY$1,K$1)+SUMIFS('changes2_based on steps'!$B20:$U20,'changes2_based on steps'!$B$1:$U$1,K$1)</f>
        <v>0</v>
      </c>
      <c r="L20" s="140">
        <f>SUMIFS('recurring2_based on steps'!$B20:$AY20,'recurring2_based on steps'!$B$1:$AY$1,L$1)+SUMIFS('changes2_based on steps'!$B20:$U20,'changes2_based on steps'!$B$1:$U$1,L$1)</f>
        <v>0</v>
      </c>
      <c r="M20" s="140">
        <f>SUMIFS('recurring2_based on steps'!$B20:$AY20,'recurring2_based on steps'!$B$1:$AY$1,M$1)+SUMIFS('changes2_based on steps'!$B20:$U20,'changes2_based on steps'!$B$1:$U$1,M$1)</f>
        <v>0</v>
      </c>
      <c r="N20" s="140">
        <f ca="1">SUMIFS('recurring2_based on steps'!$B20:$AY20,'recurring2_based on steps'!$B$1:$AY$1,N$1)+SUMIFS('changes2_based on steps'!$B20:$U20,'changes2_based on steps'!$B$1:$U$1,N$1)</f>
        <v>0</v>
      </c>
      <c r="O20" s="140">
        <f>SUMIFS('recurring2_based on steps'!$B20:$AY20,'recurring2_based on steps'!$B$1:$AY$1,O$1)+SUMIFS('changes2_based on steps'!$B20:$U20,'changes2_based on steps'!$B$1:$U$1,O$1)</f>
        <v>0</v>
      </c>
      <c r="P20" s="140">
        <f ca="1">SUMIFS('recurring2_based on steps'!$B20:$AY20,'recurring2_based on steps'!$B$1:$AY$1,P$1)+SUMIFS('changes2_based on steps'!$B20:$U20,'changes2_based on steps'!$B$1:$U$1,P$1)</f>
        <v>0</v>
      </c>
      <c r="Q20" s="140">
        <f ca="1">SUMIFS('recurring2_based on steps'!$B20:$AY20,'recurring2_based on steps'!$B$1:$AY$1,Q$1)+SUMIFS('changes2_based on steps'!$B20:$U20,'changes2_based on steps'!$B$1:$U$1,Q$1)</f>
        <v>100.05540166204986</v>
      </c>
      <c r="R20" s="140">
        <f ca="1">SUMIFS('recurring2_based on steps'!$B20:$AY20,'recurring2_based on steps'!$B$1:$AY$1,R$1)+SUMIFS('changes2_based on steps'!$B20:$U20,'changes2_based on steps'!$B$1:$U$1,R$1)</f>
        <v>0</v>
      </c>
      <c r="S20" s="140">
        <f>SUMIFS('recurring2_based on steps'!$B20:$AY20,'recurring2_based on steps'!$B$1:$AY$1,S$1)+SUMIFS('changes2_based on steps'!$B20:$U20,'changes2_based on steps'!$B$1:$U$1,S$1)</f>
        <v>0</v>
      </c>
      <c r="T20" s="140">
        <f ca="1">SUMIFS('recurring2_based on steps'!$B20:$AY20,'recurring2_based on steps'!$B$1:$AY$1,T$1)+SUMIFS('changes2_based on steps'!$B20:$U20,'changes2_based on steps'!$B$1:$U$1,T$1)</f>
        <v>0</v>
      </c>
      <c r="U20" s="140">
        <f ca="1">SUMIFS('recurring2_based on steps'!$B20:$AY20,'recurring2_based on steps'!$B$1:$AY$1,U$1)+SUMIFS('changes2_based on steps'!$B20:$U20,'changes2_based on steps'!$B$1:$U$1,U$1)</f>
        <v>0</v>
      </c>
      <c r="V20" s="140">
        <f>SUMIFS('recurring2_based on steps'!$B20:$AY20,'recurring2_based on steps'!$B$1:$AY$1,V$1)+SUMIFS('changes2_based on steps'!$B20:$U20,'changes2_based on steps'!$B$1:$U$1,V$1)</f>
        <v>0</v>
      </c>
      <c r="W20" s="140">
        <f>SUMIFS('recurring2_based on steps'!$B20:$AY20,'recurring2_based on steps'!$B$1:$AY$1,W$1)+SUMIFS('changes2_based on steps'!$B20:$U20,'changes2_based on steps'!$B$1:$U$1,W$1)</f>
        <v>0</v>
      </c>
      <c r="X20" s="140">
        <f ca="1">SUMIFS('recurring2_based on steps'!$B20:$AY20,'recurring2_based on steps'!$B$1:$AY$1,X$1)+SUMIFS('changes2_based on steps'!$B20:$U20,'changes2_based on steps'!$B$1:$U$1,X$1)</f>
        <v>0</v>
      </c>
      <c r="Y20" s="140">
        <f ca="1">SUMIFS('recurring2_based on steps'!$B20:$AY20,'recurring2_based on steps'!$B$1:$AY$1,Y$1)+SUMIFS('changes2_based on steps'!$B20:$U20,'changes2_based on steps'!$B$1:$U$1,Y$1)</f>
        <v>50</v>
      </c>
      <c r="Z20" s="140">
        <f>SUMIFS('recurring2_based on steps'!$B20:$AY20,'recurring2_based on steps'!$B$1:$AY$1,Z$1)+SUMIFS('changes2_based on steps'!$B20:$U20,'changes2_based on steps'!$B$1:$U$1,Z$1)</f>
        <v>0</v>
      </c>
      <c r="AA20" s="140">
        <f ca="1">SUMIFS('recurring2_based on steps'!$B20:$AY20,'recurring2_based on steps'!$B$1:$AY$1,AA$1)+SUMIFS('changes2_based on steps'!$B20:$U20,'changes2_based on steps'!$B$1:$U$1,AA$1)</f>
        <v>0</v>
      </c>
      <c r="AB20" s="140">
        <f ca="1">SUMIFS('recurring2_based on steps'!$B20:$AY20,'recurring2_based on steps'!$B$1:$AY$1,AB$1)+SUMIFS('changes2_based on steps'!$B20:$U20,'changes2_based on steps'!$B$1:$U$1,AB$1)</f>
        <v>0</v>
      </c>
      <c r="AC20" s="140">
        <f ca="1">SUMIFS('recurring2_based on steps'!$B20:$AY20,'recurring2_based on steps'!$B$1:$AY$1,AC$1)+SUMIFS('changes2_based on steps'!$B20:$U20,'changes2_based on steps'!$B$1:$U$1,AC$1)</f>
        <v>0</v>
      </c>
      <c r="AD20" s="140">
        <f ca="1">SUMIFS('recurring2_based on steps'!$B20:$AY20,'recurring2_based on steps'!$B$1:$AY$1,AD$1)+SUMIFS('changes2_based on steps'!$B20:$U20,'changes2_based on steps'!$B$1:$U$1,AD$1)</f>
        <v>0</v>
      </c>
      <c r="AE20" s="140">
        <f>SUMIFS('recurring2_based on steps'!$B20:$AY20,'recurring2_based on steps'!$B$1:$AY$1,AE$1)+SUMIFS('changes2_based on steps'!$B20:$U20,'changes2_based on steps'!$B$1:$U$1,AE$1)</f>
        <v>0</v>
      </c>
      <c r="AF20" s="140"/>
      <c r="AG20" s="140"/>
      <c r="AH20" s="140"/>
      <c r="AI20" s="140"/>
      <c r="AJ20" s="140"/>
      <c r="AK20" s="140"/>
      <c r="AL20" s="140"/>
      <c r="AM20" s="140"/>
    </row>
    <row r="21" spans="1:39" x14ac:dyDescent="0.2">
      <c r="A21" s="29">
        <f t="shared" ca="1" si="0"/>
        <v>45761</v>
      </c>
      <c r="B21" s="140">
        <f ca="1">SUMIFS('recurring2_based on steps'!$B21:$AY21,'recurring2_based on steps'!$B$1:$AY$1,B$1)+SUMIFS('changes2_based on steps'!$B21:$U21,'changes2_based on steps'!$B$1:$U$1,B$1)</f>
        <v>0</v>
      </c>
      <c r="C21" s="140">
        <f>SUMIFS('recurring2_based on steps'!$B21:$AY21,'recurring2_based on steps'!$B$1:$AY$1,C$1)+SUMIFS('changes2_based on steps'!$B21:$U21,'changes2_based on steps'!$B$1:$U$1,C$1)</f>
        <v>0</v>
      </c>
      <c r="D21" s="140">
        <f>SUMIFS('recurring2_based on steps'!$B21:$AY21,'recurring2_based on steps'!$B$1:$AY$1,D$1)+SUMIFS('changes2_based on steps'!$B21:$U21,'changes2_based on steps'!$B$1:$U$1,D$1)</f>
        <v>0</v>
      </c>
      <c r="E21" s="140">
        <f>SUMIFS('recurring2_based on steps'!$B21:$AY21,'recurring2_based on steps'!$B$1:$AY$1,E$1)+SUMIFS('changes2_based on steps'!$B21:$U21,'changes2_based on steps'!$B$1:$U$1,E$1)</f>
        <v>0</v>
      </c>
      <c r="F21" s="140">
        <f>SUMIFS('recurring2_based on steps'!$B21:$AY21,'recurring2_based on steps'!$B$1:$AY$1,F$1)+SUMIFS('changes2_based on steps'!$B21:$U21,'changes2_based on steps'!$B$1:$U$1,F$1)</f>
        <v>0</v>
      </c>
      <c r="G21" s="140">
        <f>SUMIFS('recurring2_based on steps'!$B21:$AY21,'recurring2_based on steps'!$B$1:$AY$1,G$1)+SUMIFS('changes2_based on steps'!$B21:$U21,'changes2_based on steps'!$B$1:$U$1,G$1)</f>
        <v>0</v>
      </c>
      <c r="H21" s="140">
        <f>SUMIFS('recurring2_based on steps'!$B21:$AY21,'recurring2_based on steps'!$B$1:$AY$1,H$1)+SUMIFS('changes2_based on steps'!$B21:$U21,'changes2_based on steps'!$B$1:$U$1,H$1)</f>
        <v>0</v>
      </c>
      <c r="I21" s="140">
        <f>SUMIFS('recurring2_based on steps'!$B21:$AY21,'recurring2_based on steps'!$B$1:$AY$1,I$1)+SUMIFS('changes2_based on steps'!$B21:$U21,'changes2_based on steps'!$B$1:$U$1,I$1)</f>
        <v>0</v>
      </c>
      <c r="J21" s="140">
        <f ca="1">SUMIFS('recurring2_based on steps'!$B21:$AY21,'recurring2_based on steps'!$B$1:$AY$1,J$1)+SUMIFS('changes2_based on steps'!$B21:$U21,'changes2_based on steps'!$B$1:$U$1,J$1)</f>
        <v>0</v>
      </c>
      <c r="K21" s="140">
        <f>SUMIFS('recurring2_based on steps'!$B21:$AY21,'recurring2_based on steps'!$B$1:$AY$1,K$1)+SUMIFS('changes2_based on steps'!$B21:$U21,'changes2_based on steps'!$B$1:$U$1,K$1)</f>
        <v>0</v>
      </c>
      <c r="L21" s="140">
        <f>SUMIFS('recurring2_based on steps'!$B21:$AY21,'recurring2_based on steps'!$B$1:$AY$1,L$1)+SUMIFS('changes2_based on steps'!$B21:$U21,'changes2_based on steps'!$B$1:$U$1,L$1)</f>
        <v>0</v>
      </c>
      <c r="M21" s="140">
        <f>SUMIFS('recurring2_based on steps'!$B21:$AY21,'recurring2_based on steps'!$B$1:$AY$1,M$1)+SUMIFS('changes2_based on steps'!$B21:$U21,'changes2_based on steps'!$B$1:$U$1,M$1)</f>
        <v>0</v>
      </c>
      <c r="N21" s="140">
        <f ca="1">SUMIFS('recurring2_based on steps'!$B21:$AY21,'recurring2_based on steps'!$B$1:$AY$1,N$1)+SUMIFS('changes2_based on steps'!$B21:$U21,'changes2_based on steps'!$B$1:$U$1,N$1)</f>
        <v>0</v>
      </c>
      <c r="O21" s="140">
        <f>SUMIFS('recurring2_based on steps'!$B21:$AY21,'recurring2_based on steps'!$B$1:$AY$1,O$1)+SUMIFS('changes2_based on steps'!$B21:$U21,'changes2_based on steps'!$B$1:$U$1,O$1)</f>
        <v>0</v>
      </c>
      <c r="P21" s="140">
        <f ca="1">SUMIFS('recurring2_based on steps'!$B21:$AY21,'recurring2_based on steps'!$B$1:$AY$1,P$1)+SUMIFS('changes2_based on steps'!$B21:$U21,'changes2_based on steps'!$B$1:$U$1,P$1)</f>
        <v>0</v>
      </c>
      <c r="Q21" s="140">
        <f ca="1">SUMIFS('recurring2_based on steps'!$B21:$AY21,'recurring2_based on steps'!$B$1:$AY$1,Q$1)+SUMIFS('changes2_based on steps'!$B21:$U21,'changes2_based on steps'!$B$1:$U$1,Q$1)</f>
        <v>5.5401662049861494E-2</v>
      </c>
      <c r="R21" s="140">
        <f ca="1">SUMIFS('recurring2_based on steps'!$B21:$AY21,'recurring2_based on steps'!$B$1:$AY$1,R$1)+SUMIFS('changes2_based on steps'!$B21:$U21,'changes2_based on steps'!$B$1:$U$1,R$1)</f>
        <v>0</v>
      </c>
      <c r="S21" s="140">
        <f>SUMIFS('recurring2_based on steps'!$B21:$AY21,'recurring2_based on steps'!$B$1:$AY$1,S$1)+SUMIFS('changes2_based on steps'!$B21:$U21,'changes2_based on steps'!$B$1:$U$1,S$1)</f>
        <v>0</v>
      </c>
      <c r="T21" s="140">
        <f ca="1">SUMIFS('recurring2_based on steps'!$B21:$AY21,'recurring2_based on steps'!$B$1:$AY$1,T$1)+SUMIFS('changes2_based on steps'!$B21:$U21,'changes2_based on steps'!$B$1:$U$1,T$1)</f>
        <v>0</v>
      </c>
      <c r="U21" s="140">
        <f ca="1">SUMIFS('recurring2_based on steps'!$B21:$AY21,'recurring2_based on steps'!$B$1:$AY$1,U$1)+SUMIFS('changes2_based on steps'!$B21:$U21,'changes2_based on steps'!$B$1:$U$1,U$1)</f>
        <v>0</v>
      </c>
      <c r="V21" s="140">
        <f>SUMIFS('recurring2_based on steps'!$B21:$AY21,'recurring2_based on steps'!$B$1:$AY$1,V$1)+SUMIFS('changes2_based on steps'!$B21:$U21,'changes2_based on steps'!$B$1:$U$1,V$1)</f>
        <v>0</v>
      </c>
      <c r="W21" s="140">
        <f>SUMIFS('recurring2_based on steps'!$B21:$AY21,'recurring2_based on steps'!$B$1:$AY$1,W$1)+SUMIFS('changes2_based on steps'!$B21:$U21,'changes2_based on steps'!$B$1:$U$1,W$1)</f>
        <v>0</v>
      </c>
      <c r="X21" s="140">
        <f ca="1">SUMIFS('recurring2_based on steps'!$B21:$AY21,'recurring2_based on steps'!$B$1:$AY$1,X$1)+SUMIFS('changes2_based on steps'!$B21:$U21,'changes2_based on steps'!$B$1:$U$1,X$1)</f>
        <v>0</v>
      </c>
      <c r="Y21" s="140">
        <f ca="1">SUMIFS('recurring2_based on steps'!$B21:$AY21,'recurring2_based on steps'!$B$1:$AY$1,Y$1)+SUMIFS('changes2_based on steps'!$B21:$U21,'changes2_based on steps'!$B$1:$U$1,Y$1)</f>
        <v>0</v>
      </c>
      <c r="Z21" s="140">
        <f>SUMIFS('recurring2_based on steps'!$B21:$AY21,'recurring2_based on steps'!$B$1:$AY$1,Z$1)+SUMIFS('changes2_based on steps'!$B21:$U21,'changes2_based on steps'!$B$1:$U$1,Z$1)</f>
        <v>0</v>
      </c>
      <c r="AA21" s="140">
        <f ca="1">SUMIFS('recurring2_based on steps'!$B21:$AY21,'recurring2_based on steps'!$B$1:$AY$1,AA$1)+SUMIFS('changes2_based on steps'!$B21:$U21,'changes2_based on steps'!$B$1:$U$1,AA$1)</f>
        <v>0</v>
      </c>
      <c r="AB21" s="140">
        <f ca="1">SUMIFS('recurring2_based on steps'!$B21:$AY21,'recurring2_based on steps'!$B$1:$AY$1,AB$1)+SUMIFS('changes2_based on steps'!$B21:$U21,'changes2_based on steps'!$B$1:$U$1,AB$1)</f>
        <v>0</v>
      </c>
      <c r="AC21" s="140">
        <f ca="1">SUMIFS('recurring2_based on steps'!$B21:$AY21,'recurring2_based on steps'!$B$1:$AY$1,AC$1)+SUMIFS('changes2_based on steps'!$B21:$U21,'changes2_based on steps'!$B$1:$U$1,AC$1)</f>
        <v>0</v>
      </c>
      <c r="AD21" s="140">
        <f ca="1">SUMIFS('recurring2_based on steps'!$B21:$AY21,'recurring2_based on steps'!$B$1:$AY$1,AD$1)+SUMIFS('changes2_based on steps'!$B21:$U21,'changes2_based on steps'!$B$1:$U$1,AD$1)</f>
        <v>0</v>
      </c>
      <c r="AE21" s="140">
        <f>SUMIFS('recurring2_based on steps'!$B21:$AY21,'recurring2_based on steps'!$B$1:$AY$1,AE$1)+SUMIFS('changes2_based on steps'!$B21:$U21,'changes2_based on steps'!$B$1:$U$1,AE$1)</f>
        <v>0</v>
      </c>
      <c r="AF21" s="140"/>
      <c r="AG21" s="140"/>
      <c r="AH21" s="140"/>
      <c r="AI21" s="140"/>
      <c r="AJ21" s="140"/>
      <c r="AK21" s="140"/>
      <c r="AL21" s="140"/>
      <c r="AM21" s="140"/>
    </row>
    <row r="22" spans="1:39" x14ac:dyDescent="0.2">
      <c r="A22" s="29">
        <f t="shared" ca="1" si="0"/>
        <v>45762</v>
      </c>
      <c r="B22" s="140">
        <f ca="1">SUMIFS('recurring2_based on steps'!$B22:$AY22,'recurring2_based on steps'!$B$1:$AY$1,B$1)+SUMIFS('changes2_based on steps'!$B22:$U22,'changes2_based on steps'!$B$1:$U$1,B$1)</f>
        <v>0</v>
      </c>
      <c r="C22" s="140">
        <f>SUMIFS('recurring2_based on steps'!$B22:$AY22,'recurring2_based on steps'!$B$1:$AY$1,C$1)+SUMIFS('changes2_based on steps'!$B22:$U22,'changes2_based on steps'!$B$1:$U$1,C$1)</f>
        <v>0</v>
      </c>
      <c r="D22" s="140">
        <f>SUMIFS('recurring2_based on steps'!$B22:$AY22,'recurring2_based on steps'!$B$1:$AY$1,D$1)+SUMIFS('changes2_based on steps'!$B22:$U22,'changes2_based on steps'!$B$1:$U$1,D$1)</f>
        <v>0</v>
      </c>
      <c r="E22" s="140">
        <f>SUMIFS('recurring2_based on steps'!$B22:$AY22,'recurring2_based on steps'!$B$1:$AY$1,E$1)+SUMIFS('changes2_based on steps'!$B22:$U22,'changes2_based on steps'!$B$1:$U$1,E$1)</f>
        <v>0</v>
      </c>
      <c r="F22" s="140">
        <f>SUMIFS('recurring2_based on steps'!$B22:$AY22,'recurring2_based on steps'!$B$1:$AY$1,F$1)+SUMIFS('changes2_based on steps'!$B22:$U22,'changes2_based on steps'!$B$1:$U$1,F$1)</f>
        <v>0</v>
      </c>
      <c r="G22" s="140">
        <f>SUMIFS('recurring2_based on steps'!$B22:$AY22,'recurring2_based on steps'!$B$1:$AY$1,G$1)+SUMIFS('changes2_based on steps'!$B22:$U22,'changes2_based on steps'!$B$1:$U$1,G$1)</f>
        <v>0</v>
      </c>
      <c r="H22" s="140">
        <f>SUMIFS('recurring2_based on steps'!$B22:$AY22,'recurring2_based on steps'!$B$1:$AY$1,H$1)+SUMIFS('changes2_based on steps'!$B22:$U22,'changes2_based on steps'!$B$1:$U$1,H$1)</f>
        <v>0</v>
      </c>
      <c r="I22" s="140">
        <f>SUMIFS('recurring2_based on steps'!$B22:$AY22,'recurring2_based on steps'!$B$1:$AY$1,I$1)+SUMIFS('changes2_based on steps'!$B22:$U22,'changes2_based on steps'!$B$1:$U$1,I$1)</f>
        <v>0</v>
      </c>
      <c r="J22" s="140">
        <f ca="1">SUMIFS('recurring2_based on steps'!$B22:$AY22,'recurring2_based on steps'!$B$1:$AY$1,J$1)+SUMIFS('changes2_based on steps'!$B22:$U22,'changes2_based on steps'!$B$1:$U$1,J$1)</f>
        <v>0</v>
      </c>
      <c r="K22" s="140">
        <f>SUMIFS('recurring2_based on steps'!$B22:$AY22,'recurring2_based on steps'!$B$1:$AY$1,K$1)+SUMIFS('changes2_based on steps'!$B22:$U22,'changes2_based on steps'!$B$1:$U$1,K$1)</f>
        <v>0</v>
      </c>
      <c r="L22" s="140">
        <f>SUMIFS('recurring2_based on steps'!$B22:$AY22,'recurring2_based on steps'!$B$1:$AY$1,L$1)+SUMIFS('changes2_based on steps'!$B22:$U22,'changes2_based on steps'!$B$1:$U$1,L$1)</f>
        <v>0</v>
      </c>
      <c r="M22" s="140">
        <f>SUMIFS('recurring2_based on steps'!$B22:$AY22,'recurring2_based on steps'!$B$1:$AY$1,M$1)+SUMIFS('changes2_based on steps'!$B22:$U22,'changes2_based on steps'!$B$1:$U$1,M$1)</f>
        <v>0</v>
      </c>
      <c r="N22" s="140">
        <f ca="1">SUMIFS('recurring2_based on steps'!$B22:$AY22,'recurring2_based on steps'!$B$1:$AY$1,N$1)+SUMIFS('changes2_based on steps'!$B22:$U22,'changes2_based on steps'!$B$1:$U$1,N$1)</f>
        <v>0</v>
      </c>
      <c r="O22" s="140">
        <f>SUMIFS('recurring2_based on steps'!$B22:$AY22,'recurring2_based on steps'!$B$1:$AY$1,O$1)+SUMIFS('changes2_based on steps'!$B22:$U22,'changes2_based on steps'!$B$1:$U$1,O$1)</f>
        <v>0</v>
      </c>
      <c r="P22" s="140">
        <f ca="1">SUMIFS('recurring2_based on steps'!$B22:$AY22,'recurring2_based on steps'!$B$1:$AY$1,P$1)+SUMIFS('changes2_based on steps'!$B22:$U22,'changes2_based on steps'!$B$1:$U$1,P$1)</f>
        <v>0</v>
      </c>
      <c r="Q22" s="140">
        <f ca="1">SUMIFS('recurring2_based on steps'!$B22:$AY22,'recurring2_based on steps'!$B$1:$AY$1,Q$1)+SUMIFS('changes2_based on steps'!$B22:$U22,'changes2_based on steps'!$B$1:$U$1,Q$1)</f>
        <v>5.5401662049861494E-2</v>
      </c>
      <c r="R22" s="140">
        <f ca="1">SUMIFS('recurring2_based on steps'!$B22:$AY22,'recurring2_based on steps'!$B$1:$AY$1,R$1)+SUMIFS('changes2_based on steps'!$B22:$U22,'changes2_based on steps'!$B$1:$U$1,R$1)</f>
        <v>0</v>
      </c>
      <c r="S22" s="140">
        <f>SUMIFS('recurring2_based on steps'!$B22:$AY22,'recurring2_based on steps'!$B$1:$AY$1,S$1)+SUMIFS('changes2_based on steps'!$B22:$U22,'changes2_based on steps'!$B$1:$U$1,S$1)</f>
        <v>0</v>
      </c>
      <c r="T22" s="140">
        <f ca="1">SUMIFS('recurring2_based on steps'!$B22:$AY22,'recurring2_based on steps'!$B$1:$AY$1,T$1)+SUMIFS('changes2_based on steps'!$B22:$U22,'changes2_based on steps'!$B$1:$U$1,T$1)</f>
        <v>0</v>
      </c>
      <c r="U22" s="140">
        <f ca="1">SUMIFS('recurring2_based on steps'!$B22:$AY22,'recurring2_based on steps'!$B$1:$AY$1,U$1)+SUMIFS('changes2_based on steps'!$B22:$U22,'changes2_based on steps'!$B$1:$U$1,U$1)</f>
        <v>0</v>
      </c>
      <c r="V22" s="140">
        <f>SUMIFS('recurring2_based on steps'!$B22:$AY22,'recurring2_based on steps'!$B$1:$AY$1,V$1)+SUMIFS('changes2_based on steps'!$B22:$U22,'changes2_based on steps'!$B$1:$U$1,V$1)</f>
        <v>0</v>
      </c>
      <c r="W22" s="140">
        <f>SUMIFS('recurring2_based on steps'!$B22:$AY22,'recurring2_based on steps'!$B$1:$AY$1,W$1)+SUMIFS('changes2_based on steps'!$B22:$U22,'changes2_based on steps'!$B$1:$U$1,W$1)</f>
        <v>0</v>
      </c>
      <c r="X22" s="140">
        <f ca="1">SUMIFS('recurring2_based on steps'!$B22:$AY22,'recurring2_based on steps'!$B$1:$AY$1,X$1)+SUMIFS('changes2_based on steps'!$B22:$U22,'changes2_based on steps'!$B$1:$U$1,X$1)</f>
        <v>0</v>
      </c>
      <c r="Y22" s="140">
        <f ca="1">SUMIFS('recurring2_based on steps'!$B22:$AY22,'recurring2_based on steps'!$B$1:$AY$1,Y$1)+SUMIFS('changes2_based on steps'!$B22:$U22,'changes2_based on steps'!$B$1:$U$1,Y$1)</f>
        <v>0</v>
      </c>
      <c r="Z22" s="140">
        <f>SUMIFS('recurring2_based on steps'!$B22:$AY22,'recurring2_based on steps'!$B$1:$AY$1,Z$1)+SUMIFS('changes2_based on steps'!$B22:$U22,'changes2_based on steps'!$B$1:$U$1,Z$1)</f>
        <v>0</v>
      </c>
      <c r="AA22" s="140">
        <f ca="1">SUMIFS('recurring2_based on steps'!$B22:$AY22,'recurring2_based on steps'!$B$1:$AY$1,AA$1)+SUMIFS('changes2_based on steps'!$B22:$U22,'changes2_based on steps'!$B$1:$U$1,AA$1)</f>
        <v>0</v>
      </c>
      <c r="AB22" s="140">
        <f ca="1">SUMIFS('recurring2_based on steps'!$B22:$AY22,'recurring2_based on steps'!$B$1:$AY$1,AB$1)+SUMIFS('changes2_based on steps'!$B22:$U22,'changes2_based on steps'!$B$1:$U$1,AB$1)</f>
        <v>0</v>
      </c>
      <c r="AC22" s="140">
        <f ca="1">SUMIFS('recurring2_based on steps'!$B22:$AY22,'recurring2_based on steps'!$B$1:$AY$1,AC$1)+SUMIFS('changes2_based on steps'!$B22:$U22,'changes2_based on steps'!$B$1:$U$1,AC$1)</f>
        <v>0</v>
      </c>
      <c r="AD22" s="140">
        <f ca="1">SUMIFS('recurring2_based on steps'!$B22:$AY22,'recurring2_based on steps'!$B$1:$AY$1,AD$1)+SUMIFS('changes2_based on steps'!$B22:$U22,'changes2_based on steps'!$B$1:$U$1,AD$1)</f>
        <v>0</v>
      </c>
      <c r="AE22" s="140">
        <f>SUMIFS('recurring2_based on steps'!$B22:$AY22,'recurring2_based on steps'!$B$1:$AY$1,AE$1)+SUMIFS('changes2_based on steps'!$B22:$U22,'changes2_based on steps'!$B$1:$U$1,AE$1)</f>
        <v>0</v>
      </c>
      <c r="AF22" s="140"/>
      <c r="AG22" s="140"/>
      <c r="AH22" s="140"/>
      <c r="AI22" s="140"/>
      <c r="AJ22" s="140"/>
      <c r="AK22" s="140"/>
      <c r="AL22" s="140"/>
      <c r="AM22" s="140"/>
    </row>
    <row r="23" spans="1:39" x14ac:dyDescent="0.2">
      <c r="A23" s="29">
        <f t="shared" ca="1" si="0"/>
        <v>45763</v>
      </c>
      <c r="B23" s="140">
        <f ca="1">SUMIFS('recurring2_based on steps'!$B23:$AY23,'recurring2_based on steps'!$B$1:$AY$1,B$1)+SUMIFS('changes2_based on steps'!$B23:$U23,'changes2_based on steps'!$B$1:$U$1,B$1)</f>
        <v>0</v>
      </c>
      <c r="C23" s="140">
        <f>SUMIFS('recurring2_based on steps'!$B23:$AY23,'recurring2_based on steps'!$B$1:$AY$1,C$1)+SUMIFS('changes2_based on steps'!$B23:$U23,'changes2_based on steps'!$B$1:$U$1,C$1)</f>
        <v>0</v>
      </c>
      <c r="D23" s="140">
        <f>SUMIFS('recurring2_based on steps'!$B23:$AY23,'recurring2_based on steps'!$B$1:$AY$1,D$1)+SUMIFS('changes2_based on steps'!$B23:$U23,'changes2_based on steps'!$B$1:$U$1,D$1)</f>
        <v>0</v>
      </c>
      <c r="E23" s="140">
        <f>SUMIFS('recurring2_based on steps'!$B23:$AY23,'recurring2_based on steps'!$B$1:$AY$1,E$1)+SUMIFS('changes2_based on steps'!$B23:$U23,'changes2_based on steps'!$B$1:$U$1,E$1)</f>
        <v>0</v>
      </c>
      <c r="F23" s="140">
        <f>SUMIFS('recurring2_based on steps'!$B23:$AY23,'recurring2_based on steps'!$B$1:$AY$1,F$1)+SUMIFS('changes2_based on steps'!$B23:$U23,'changes2_based on steps'!$B$1:$U$1,F$1)</f>
        <v>0</v>
      </c>
      <c r="G23" s="140">
        <f>SUMIFS('recurring2_based on steps'!$B23:$AY23,'recurring2_based on steps'!$B$1:$AY$1,G$1)+SUMIFS('changes2_based on steps'!$B23:$U23,'changes2_based on steps'!$B$1:$U$1,G$1)</f>
        <v>0</v>
      </c>
      <c r="H23" s="140">
        <f>SUMIFS('recurring2_based on steps'!$B23:$AY23,'recurring2_based on steps'!$B$1:$AY$1,H$1)+SUMIFS('changes2_based on steps'!$B23:$U23,'changes2_based on steps'!$B$1:$U$1,H$1)</f>
        <v>0</v>
      </c>
      <c r="I23" s="140">
        <f>SUMIFS('recurring2_based on steps'!$B23:$AY23,'recurring2_based on steps'!$B$1:$AY$1,I$1)+SUMIFS('changes2_based on steps'!$B23:$U23,'changes2_based on steps'!$B$1:$U$1,I$1)</f>
        <v>0</v>
      </c>
      <c r="J23" s="140">
        <f ca="1">SUMIFS('recurring2_based on steps'!$B23:$AY23,'recurring2_based on steps'!$B$1:$AY$1,J$1)+SUMIFS('changes2_based on steps'!$B23:$U23,'changes2_based on steps'!$B$1:$U$1,J$1)</f>
        <v>0</v>
      </c>
      <c r="K23" s="140">
        <f>SUMIFS('recurring2_based on steps'!$B23:$AY23,'recurring2_based on steps'!$B$1:$AY$1,K$1)+SUMIFS('changes2_based on steps'!$B23:$U23,'changes2_based on steps'!$B$1:$U$1,K$1)</f>
        <v>0</v>
      </c>
      <c r="L23" s="140">
        <f>SUMIFS('recurring2_based on steps'!$B23:$AY23,'recurring2_based on steps'!$B$1:$AY$1,L$1)+SUMIFS('changes2_based on steps'!$B23:$U23,'changes2_based on steps'!$B$1:$U$1,L$1)</f>
        <v>0</v>
      </c>
      <c r="M23" s="140">
        <f>SUMIFS('recurring2_based on steps'!$B23:$AY23,'recurring2_based on steps'!$B$1:$AY$1,M$1)+SUMIFS('changes2_based on steps'!$B23:$U23,'changes2_based on steps'!$B$1:$U$1,M$1)</f>
        <v>0</v>
      </c>
      <c r="N23" s="140">
        <f ca="1">SUMIFS('recurring2_based on steps'!$B23:$AY23,'recurring2_based on steps'!$B$1:$AY$1,N$1)+SUMIFS('changes2_based on steps'!$B23:$U23,'changes2_based on steps'!$B$1:$U$1,N$1)</f>
        <v>0</v>
      </c>
      <c r="O23" s="140">
        <f>SUMIFS('recurring2_based on steps'!$B23:$AY23,'recurring2_based on steps'!$B$1:$AY$1,O$1)+SUMIFS('changes2_based on steps'!$B23:$U23,'changes2_based on steps'!$B$1:$U$1,O$1)</f>
        <v>0</v>
      </c>
      <c r="P23" s="140">
        <f ca="1">SUMIFS('recurring2_based on steps'!$B23:$AY23,'recurring2_based on steps'!$B$1:$AY$1,P$1)+SUMIFS('changes2_based on steps'!$B23:$U23,'changes2_based on steps'!$B$1:$U$1,P$1)</f>
        <v>0</v>
      </c>
      <c r="Q23" s="140">
        <f ca="1">SUMIFS('recurring2_based on steps'!$B23:$AY23,'recurring2_based on steps'!$B$1:$AY$1,Q$1)+SUMIFS('changes2_based on steps'!$B23:$U23,'changes2_based on steps'!$B$1:$U$1,Q$1)</f>
        <v>5.5401662049861494E-2</v>
      </c>
      <c r="R23" s="140">
        <f ca="1">SUMIFS('recurring2_based on steps'!$B23:$AY23,'recurring2_based on steps'!$B$1:$AY$1,R$1)+SUMIFS('changes2_based on steps'!$B23:$U23,'changes2_based on steps'!$B$1:$U$1,R$1)</f>
        <v>0</v>
      </c>
      <c r="S23" s="140">
        <f>SUMIFS('recurring2_based on steps'!$B23:$AY23,'recurring2_based on steps'!$B$1:$AY$1,S$1)+SUMIFS('changes2_based on steps'!$B23:$U23,'changes2_based on steps'!$B$1:$U$1,S$1)</f>
        <v>0</v>
      </c>
      <c r="T23" s="140">
        <f ca="1">SUMIFS('recurring2_based on steps'!$B23:$AY23,'recurring2_based on steps'!$B$1:$AY$1,T$1)+SUMIFS('changes2_based on steps'!$B23:$U23,'changes2_based on steps'!$B$1:$U$1,T$1)</f>
        <v>0</v>
      </c>
      <c r="U23" s="140">
        <f ca="1">SUMIFS('recurring2_based on steps'!$B23:$AY23,'recurring2_based on steps'!$B$1:$AY$1,U$1)+SUMIFS('changes2_based on steps'!$B23:$U23,'changes2_based on steps'!$B$1:$U$1,U$1)</f>
        <v>0</v>
      </c>
      <c r="V23" s="140">
        <f>SUMIFS('recurring2_based on steps'!$B23:$AY23,'recurring2_based on steps'!$B$1:$AY$1,V$1)+SUMIFS('changes2_based on steps'!$B23:$U23,'changes2_based on steps'!$B$1:$U$1,V$1)</f>
        <v>0</v>
      </c>
      <c r="W23" s="140">
        <f>SUMIFS('recurring2_based on steps'!$B23:$AY23,'recurring2_based on steps'!$B$1:$AY$1,W$1)+SUMIFS('changes2_based on steps'!$B23:$U23,'changes2_based on steps'!$B$1:$U$1,W$1)</f>
        <v>0</v>
      </c>
      <c r="X23" s="140">
        <f ca="1">SUMIFS('recurring2_based on steps'!$B23:$AY23,'recurring2_based on steps'!$B$1:$AY$1,X$1)+SUMIFS('changes2_based on steps'!$B23:$U23,'changes2_based on steps'!$B$1:$U$1,X$1)</f>
        <v>0</v>
      </c>
      <c r="Y23" s="140">
        <f ca="1">SUMIFS('recurring2_based on steps'!$B23:$AY23,'recurring2_based on steps'!$B$1:$AY$1,Y$1)+SUMIFS('changes2_based on steps'!$B23:$U23,'changes2_based on steps'!$B$1:$U$1,Y$1)</f>
        <v>0</v>
      </c>
      <c r="Z23" s="140">
        <f>SUMIFS('recurring2_based on steps'!$B23:$AY23,'recurring2_based on steps'!$B$1:$AY$1,Z$1)+SUMIFS('changes2_based on steps'!$B23:$U23,'changes2_based on steps'!$B$1:$U$1,Z$1)</f>
        <v>0</v>
      </c>
      <c r="AA23" s="140">
        <f ca="1">SUMIFS('recurring2_based on steps'!$B23:$AY23,'recurring2_based on steps'!$B$1:$AY$1,AA$1)+SUMIFS('changes2_based on steps'!$B23:$U23,'changes2_based on steps'!$B$1:$U$1,AA$1)</f>
        <v>0</v>
      </c>
      <c r="AB23" s="140">
        <f ca="1">SUMIFS('recurring2_based on steps'!$B23:$AY23,'recurring2_based on steps'!$B$1:$AY$1,AB$1)+SUMIFS('changes2_based on steps'!$B23:$U23,'changes2_based on steps'!$B$1:$U$1,AB$1)</f>
        <v>0</v>
      </c>
      <c r="AC23" s="140">
        <f ca="1">SUMIFS('recurring2_based on steps'!$B23:$AY23,'recurring2_based on steps'!$B$1:$AY$1,AC$1)+SUMIFS('changes2_based on steps'!$B23:$U23,'changes2_based on steps'!$B$1:$U$1,AC$1)</f>
        <v>0</v>
      </c>
      <c r="AD23" s="140">
        <f ca="1">SUMIFS('recurring2_based on steps'!$B23:$AY23,'recurring2_based on steps'!$B$1:$AY$1,AD$1)+SUMIFS('changes2_based on steps'!$B23:$U23,'changes2_based on steps'!$B$1:$U$1,AD$1)</f>
        <v>0</v>
      </c>
      <c r="AE23" s="140">
        <f>SUMIFS('recurring2_based on steps'!$B23:$AY23,'recurring2_based on steps'!$B$1:$AY$1,AE$1)+SUMIFS('changes2_based on steps'!$B23:$U23,'changes2_based on steps'!$B$1:$U$1,AE$1)</f>
        <v>0</v>
      </c>
      <c r="AF23" s="140"/>
      <c r="AG23" s="140"/>
      <c r="AH23" s="140"/>
      <c r="AI23" s="140"/>
      <c r="AJ23" s="140"/>
      <c r="AK23" s="140"/>
      <c r="AL23" s="140"/>
      <c r="AM23" s="140"/>
    </row>
    <row r="24" spans="1:39" x14ac:dyDescent="0.2">
      <c r="A24" s="29">
        <f t="shared" ca="1" si="0"/>
        <v>45764</v>
      </c>
      <c r="B24" s="140">
        <f ca="1">SUMIFS('recurring2_based on steps'!$B24:$AY24,'recurring2_based on steps'!$B$1:$AY$1,B$1)+SUMIFS('changes2_based on steps'!$B24:$U24,'changes2_based on steps'!$B$1:$U$1,B$1)</f>
        <v>0</v>
      </c>
      <c r="C24" s="140">
        <f>SUMIFS('recurring2_based on steps'!$B24:$AY24,'recurring2_based on steps'!$B$1:$AY$1,C$1)+SUMIFS('changes2_based on steps'!$B24:$U24,'changes2_based on steps'!$B$1:$U$1,C$1)</f>
        <v>0</v>
      </c>
      <c r="D24" s="140">
        <f>SUMIFS('recurring2_based on steps'!$B24:$AY24,'recurring2_based on steps'!$B$1:$AY$1,D$1)+SUMIFS('changes2_based on steps'!$B24:$U24,'changes2_based on steps'!$B$1:$U$1,D$1)</f>
        <v>0</v>
      </c>
      <c r="E24" s="140">
        <f>SUMIFS('recurring2_based on steps'!$B24:$AY24,'recurring2_based on steps'!$B$1:$AY$1,E$1)+SUMIFS('changes2_based on steps'!$B24:$U24,'changes2_based on steps'!$B$1:$U$1,E$1)</f>
        <v>0</v>
      </c>
      <c r="F24" s="140">
        <f>SUMIFS('recurring2_based on steps'!$B24:$AY24,'recurring2_based on steps'!$B$1:$AY$1,F$1)+SUMIFS('changes2_based on steps'!$B24:$U24,'changes2_based on steps'!$B$1:$U$1,F$1)</f>
        <v>0</v>
      </c>
      <c r="G24" s="140">
        <f>SUMIFS('recurring2_based on steps'!$B24:$AY24,'recurring2_based on steps'!$B$1:$AY$1,G$1)+SUMIFS('changes2_based on steps'!$B24:$U24,'changes2_based on steps'!$B$1:$U$1,G$1)</f>
        <v>0</v>
      </c>
      <c r="H24" s="140">
        <f>SUMIFS('recurring2_based on steps'!$B24:$AY24,'recurring2_based on steps'!$B$1:$AY$1,H$1)+SUMIFS('changes2_based on steps'!$B24:$U24,'changes2_based on steps'!$B$1:$U$1,H$1)</f>
        <v>0</v>
      </c>
      <c r="I24" s="140">
        <f>SUMIFS('recurring2_based on steps'!$B24:$AY24,'recurring2_based on steps'!$B$1:$AY$1,I$1)+SUMIFS('changes2_based on steps'!$B24:$U24,'changes2_based on steps'!$B$1:$U$1,I$1)</f>
        <v>0</v>
      </c>
      <c r="J24" s="140">
        <f ca="1">SUMIFS('recurring2_based on steps'!$B24:$AY24,'recurring2_based on steps'!$B$1:$AY$1,J$1)+SUMIFS('changes2_based on steps'!$B24:$U24,'changes2_based on steps'!$B$1:$U$1,J$1)</f>
        <v>200</v>
      </c>
      <c r="K24" s="140">
        <f>SUMIFS('recurring2_based on steps'!$B24:$AY24,'recurring2_based on steps'!$B$1:$AY$1,K$1)+SUMIFS('changes2_based on steps'!$B24:$U24,'changes2_based on steps'!$B$1:$U$1,K$1)</f>
        <v>0</v>
      </c>
      <c r="L24" s="140">
        <f>SUMIFS('recurring2_based on steps'!$B24:$AY24,'recurring2_based on steps'!$B$1:$AY$1,L$1)+SUMIFS('changes2_based on steps'!$B24:$U24,'changes2_based on steps'!$B$1:$U$1,L$1)</f>
        <v>0</v>
      </c>
      <c r="M24" s="140">
        <f>SUMIFS('recurring2_based on steps'!$B24:$AY24,'recurring2_based on steps'!$B$1:$AY$1,M$1)+SUMIFS('changes2_based on steps'!$B24:$U24,'changes2_based on steps'!$B$1:$U$1,M$1)</f>
        <v>0</v>
      </c>
      <c r="N24" s="140">
        <f ca="1">SUMIFS('recurring2_based on steps'!$B24:$AY24,'recurring2_based on steps'!$B$1:$AY$1,N$1)+SUMIFS('changes2_based on steps'!$B24:$U24,'changes2_based on steps'!$B$1:$U$1,N$1)</f>
        <v>0</v>
      </c>
      <c r="O24" s="140">
        <f>SUMIFS('recurring2_based on steps'!$B24:$AY24,'recurring2_based on steps'!$B$1:$AY$1,O$1)+SUMIFS('changes2_based on steps'!$B24:$U24,'changes2_based on steps'!$B$1:$U$1,O$1)</f>
        <v>0</v>
      </c>
      <c r="P24" s="140">
        <f ca="1">SUMIFS('recurring2_based on steps'!$B24:$AY24,'recurring2_based on steps'!$B$1:$AY$1,P$1)+SUMIFS('changes2_based on steps'!$B24:$U24,'changes2_based on steps'!$B$1:$U$1,P$1)</f>
        <v>0</v>
      </c>
      <c r="Q24" s="140">
        <f ca="1">SUMIFS('recurring2_based on steps'!$B24:$AY24,'recurring2_based on steps'!$B$1:$AY$1,Q$1)+SUMIFS('changes2_based on steps'!$B24:$U24,'changes2_based on steps'!$B$1:$U$1,Q$1)</f>
        <v>5.5401662049861494E-2</v>
      </c>
      <c r="R24" s="140">
        <f ca="1">SUMIFS('recurring2_based on steps'!$B24:$AY24,'recurring2_based on steps'!$B$1:$AY$1,R$1)+SUMIFS('changes2_based on steps'!$B24:$U24,'changes2_based on steps'!$B$1:$U$1,R$1)</f>
        <v>15.49</v>
      </c>
      <c r="S24" s="140">
        <f>SUMIFS('recurring2_based on steps'!$B24:$AY24,'recurring2_based on steps'!$B$1:$AY$1,S$1)+SUMIFS('changes2_based on steps'!$B24:$U24,'changes2_based on steps'!$B$1:$U$1,S$1)</f>
        <v>0</v>
      </c>
      <c r="T24" s="140">
        <f ca="1">SUMIFS('recurring2_based on steps'!$B24:$AY24,'recurring2_based on steps'!$B$1:$AY$1,T$1)+SUMIFS('changes2_based on steps'!$B24:$U24,'changes2_based on steps'!$B$1:$U$1,T$1)</f>
        <v>0</v>
      </c>
      <c r="U24" s="140">
        <f ca="1">SUMIFS('recurring2_based on steps'!$B24:$AY24,'recurring2_based on steps'!$B$1:$AY$1,U$1)+SUMIFS('changes2_based on steps'!$B24:$U24,'changes2_based on steps'!$B$1:$U$1,U$1)</f>
        <v>0</v>
      </c>
      <c r="V24" s="140">
        <f>SUMIFS('recurring2_based on steps'!$B24:$AY24,'recurring2_based on steps'!$B$1:$AY$1,V$1)+SUMIFS('changes2_based on steps'!$B24:$U24,'changes2_based on steps'!$B$1:$U$1,V$1)</f>
        <v>0</v>
      </c>
      <c r="W24" s="140">
        <f>SUMIFS('recurring2_based on steps'!$B24:$AY24,'recurring2_based on steps'!$B$1:$AY$1,W$1)+SUMIFS('changes2_based on steps'!$B24:$U24,'changes2_based on steps'!$B$1:$U$1,W$1)</f>
        <v>0</v>
      </c>
      <c r="X24" s="140">
        <f ca="1">SUMIFS('recurring2_based on steps'!$B24:$AY24,'recurring2_based on steps'!$B$1:$AY$1,X$1)+SUMIFS('changes2_based on steps'!$B24:$U24,'changes2_based on steps'!$B$1:$U$1,X$1)</f>
        <v>0</v>
      </c>
      <c r="Y24" s="140">
        <f ca="1">SUMIFS('recurring2_based on steps'!$B24:$AY24,'recurring2_based on steps'!$B$1:$AY$1,Y$1)+SUMIFS('changes2_based on steps'!$B24:$U24,'changes2_based on steps'!$B$1:$U$1,Y$1)</f>
        <v>0</v>
      </c>
      <c r="Z24" s="140">
        <f>SUMIFS('recurring2_based on steps'!$B24:$AY24,'recurring2_based on steps'!$B$1:$AY$1,Z$1)+SUMIFS('changes2_based on steps'!$B24:$U24,'changes2_based on steps'!$B$1:$U$1,Z$1)</f>
        <v>0</v>
      </c>
      <c r="AA24" s="140">
        <f ca="1">SUMIFS('recurring2_based on steps'!$B24:$AY24,'recurring2_based on steps'!$B$1:$AY$1,AA$1)+SUMIFS('changes2_based on steps'!$B24:$U24,'changes2_based on steps'!$B$1:$U$1,AA$1)</f>
        <v>0</v>
      </c>
      <c r="AB24" s="140">
        <f ca="1">SUMIFS('recurring2_based on steps'!$B24:$AY24,'recurring2_based on steps'!$B$1:$AY$1,AB$1)+SUMIFS('changes2_based on steps'!$B24:$U24,'changes2_based on steps'!$B$1:$U$1,AB$1)</f>
        <v>0</v>
      </c>
      <c r="AC24" s="140">
        <f ca="1">SUMIFS('recurring2_based on steps'!$B24:$AY24,'recurring2_based on steps'!$B$1:$AY$1,AC$1)+SUMIFS('changes2_based on steps'!$B24:$U24,'changes2_based on steps'!$B$1:$U$1,AC$1)</f>
        <v>0</v>
      </c>
      <c r="AD24" s="140">
        <f ca="1">SUMIFS('recurring2_based on steps'!$B24:$AY24,'recurring2_based on steps'!$B$1:$AY$1,AD$1)+SUMIFS('changes2_based on steps'!$B24:$U24,'changes2_based on steps'!$B$1:$U$1,AD$1)</f>
        <v>0</v>
      </c>
      <c r="AE24" s="140">
        <f>SUMIFS('recurring2_based on steps'!$B24:$AY24,'recurring2_based on steps'!$B$1:$AY$1,AE$1)+SUMIFS('changes2_based on steps'!$B24:$U24,'changes2_based on steps'!$B$1:$U$1,AE$1)</f>
        <v>0</v>
      </c>
      <c r="AF24" s="140"/>
      <c r="AG24" s="140"/>
      <c r="AH24" s="140"/>
      <c r="AI24" s="140"/>
      <c r="AJ24" s="140"/>
      <c r="AK24" s="140"/>
      <c r="AL24" s="140"/>
      <c r="AM24" s="140"/>
    </row>
    <row r="25" spans="1:39" x14ac:dyDescent="0.2">
      <c r="A25" s="29">
        <f t="shared" ca="1" si="0"/>
        <v>45765</v>
      </c>
      <c r="B25" s="140">
        <f ca="1">SUMIFS('recurring2_based on steps'!$B25:$AY25,'recurring2_based on steps'!$B$1:$AY$1,B$1)+SUMIFS('changes2_based on steps'!$B25:$U25,'changes2_based on steps'!$B$1:$U$1,B$1)</f>
        <v>4000</v>
      </c>
      <c r="C25" s="140">
        <f>SUMIFS('recurring2_based on steps'!$B25:$AY25,'recurring2_based on steps'!$B$1:$AY$1,C$1)+SUMIFS('changes2_based on steps'!$B25:$U25,'changes2_based on steps'!$B$1:$U$1,C$1)</f>
        <v>0</v>
      </c>
      <c r="D25" s="140">
        <f>SUMIFS('recurring2_based on steps'!$B25:$AY25,'recurring2_based on steps'!$B$1:$AY$1,D$1)+SUMIFS('changes2_based on steps'!$B25:$U25,'changes2_based on steps'!$B$1:$U$1,D$1)</f>
        <v>0</v>
      </c>
      <c r="E25" s="140">
        <f>SUMIFS('recurring2_based on steps'!$B25:$AY25,'recurring2_based on steps'!$B$1:$AY$1,E$1)+SUMIFS('changes2_based on steps'!$B25:$U25,'changes2_based on steps'!$B$1:$U$1,E$1)</f>
        <v>0</v>
      </c>
      <c r="F25" s="140">
        <f>SUMIFS('recurring2_based on steps'!$B25:$AY25,'recurring2_based on steps'!$B$1:$AY$1,F$1)+SUMIFS('changes2_based on steps'!$B25:$U25,'changes2_based on steps'!$B$1:$U$1,F$1)</f>
        <v>0</v>
      </c>
      <c r="G25" s="140">
        <f>SUMIFS('recurring2_based on steps'!$B25:$AY25,'recurring2_based on steps'!$B$1:$AY$1,G$1)+SUMIFS('changes2_based on steps'!$B25:$U25,'changes2_based on steps'!$B$1:$U$1,G$1)</f>
        <v>0</v>
      </c>
      <c r="H25" s="140">
        <f>SUMIFS('recurring2_based on steps'!$B25:$AY25,'recurring2_based on steps'!$B$1:$AY$1,H$1)+SUMIFS('changes2_based on steps'!$B25:$U25,'changes2_based on steps'!$B$1:$U$1,H$1)</f>
        <v>0</v>
      </c>
      <c r="I25" s="140">
        <f>SUMIFS('recurring2_based on steps'!$B25:$AY25,'recurring2_based on steps'!$B$1:$AY$1,I$1)+SUMIFS('changes2_based on steps'!$B25:$U25,'changes2_based on steps'!$B$1:$U$1,I$1)</f>
        <v>0</v>
      </c>
      <c r="J25" s="140">
        <f ca="1">SUMIFS('recurring2_based on steps'!$B25:$AY25,'recurring2_based on steps'!$B$1:$AY$1,J$1)+SUMIFS('changes2_based on steps'!$B25:$U25,'changes2_based on steps'!$B$1:$U$1,J$1)</f>
        <v>0</v>
      </c>
      <c r="K25" s="140">
        <f>SUMIFS('recurring2_based on steps'!$B25:$AY25,'recurring2_based on steps'!$B$1:$AY$1,K$1)+SUMIFS('changes2_based on steps'!$B25:$U25,'changes2_based on steps'!$B$1:$U$1,K$1)</f>
        <v>0</v>
      </c>
      <c r="L25" s="140">
        <f>SUMIFS('recurring2_based on steps'!$B25:$AY25,'recurring2_based on steps'!$B$1:$AY$1,L$1)+SUMIFS('changes2_based on steps'!$B25:$U25,'changes2_based on steps'!$B$1:$U$1,L$1)</f>
        <v>0</v>
      </c>
      <c r="M25" s="140">
        <f>SUMIFS('recurring2_based on steps'!$B25:$AY25,'recurring2_based on steps'!$B$1:$AY$1,M$1)+SUMIFS('changes2_based on steps'!$B25:$U25,'changes2_based on steps'!$B$1:$U$1,M$1)</f>
        <v>0</v>
      </c>
      <c r="N25" s="140">
        <f ca="1">SUMIFS('recurring2_based on steps'!$B25:$AY25,'recurring2_based on steps'!$B$1:$AY$1,N$1)+SUMIFS('changes2_based on steps'!$B25:$U25,'changes2_based on steps'!$B$1:$U$1,N$1)</f>
        <v>0</v>
      </c>
      <c r="O25" s="140">
        <f>SUMIFS('recurring2_based on steps'!$B25:$AY25,'recurring2_based on steps'!$B$1:$AY$1,O$1)+SUMIFS('changes2_based on steps'!$B25:$U25,'changes2_based on steps'!$B$1:$U$1,O$1)</f>
        <v>0</v>
      </c>
      <c r="P25" s="140">
        <f ca="1">SUMIFS('recurring2_based on steps'!$B25:$AY25,'recurring2_based on steps'!$B$1:$AY$1,P$1)+SUMIFS('changes2_based on steps'!$B25:$U25,'changes2_based on steps'!$B$1:$U$1,P$1)</f>
        <v>0</v>
      </c>
      <c r="Q25" s="140">
        <f ca="1">SUMIFS('recurring2_based on steps'!$B25:$AY25,'recurring2_based on steps'!$B$1:$AY$1,Q$1)+SUMIFS('changes2_based on steps'!$B25:$U25,'changes2_based on steps'!$B$1:$U$1,Q$1)</f>
        <v>5.5401662049861494E-2</v>
      </c>
      <c r="R25" s="140">
        <f ca="1">SUMIFS('recurring2_based on steps'!$B25:$AY25,'recurring2_based on steps'!$B$1:$AY$1,R$1)+SUMIFS('changes2_based on steps'!$B25:$U25,'changes2_based on steps'!$B$1:$U$1,R$1)</f>
        <v>10.99</v>
      </c>
      <c r="S25" s="140">
        <f>SUMIFS('recurring2_based on steps'!$B25:$AY25,'recurring2_based on steps'!$B$1:$AY$1,S$1)+SUMIFS('changes2_based on steps'!$B25:$U25,'changes2_based on steps'!$B$1:$U$1,S$1)</f>
        <v>0</v>
      </c>
      <c r="T25" s="140">
        <f ca="1">SUMIFS('recurring2_based on steps'!$B25:$AY25,'recurring2_based on steps'!$B$1:$AY$1,T$1)+SUMIFS('changes2_based on steps'!$B25:$U25,'changes2_based on steps'!$B$1:$U$1,T$1)</f>
        <v>50</v>
      </c>
      <c r="U25" s="140">
        <f ca="1">SUMIFS('recurring2_based on steps'!$B25:$AY25,'recurring2_based on steps'!$B$1:$AY$1,U$1)+SUMIFS('changes2_based on steps'!$B25:$U25,'changes2_based on steps'!$B$1:$U$1,U$1)</f>
        <v>200</v>
      </c>
      <c r="V25" s="140">
        <f>SUMIFS('recurring2_based on steps'!$B25:$AY25,'recurring2_based on steps'!$B$1:$AY$1,V$1)+SUMIFS('changes2_based on steps'!$B25:$U25,'changes2_based on steps'!$B$1:$U$1,V$1)</f>
        <v>0</v>
      </c>
      <c r="W25" s="140">
        <f>SUMIFS('recurring2_based on steps'!$B25:$AY25,'recurring2_based on steps'!$B$1:$AY$1,W$1)+SUMIFS('changes2_based on steps'!$B25:$U25,'changes2_based on steps'!$B$1:$U$1,W$1)</f>
        <v>0</v>
      </c>
      <c r="X25" s="140">
        <f ca="1">SUMIFS('recurring2_based on steps'!$B25:$AY25,'recurring2_based on steps'!$B$1:$AY$1,X$1)+SUMIFS('changes2_based on steps'!$B25:$U25,'changes2_based on steps'!$B$1:$U$1,X$1)</f>
        <v>96</v>
      </c>
      <c r="Y25" s="140">
        <f ca="1">SUMIFS('recurring2_based on steps'!$B25:$AY25,'recurring2_based on steps'!$B$1:$AY$1,Y$1)+SUMIFS('changes2_based on steps'!$B25:$U25,'changes2_based on steps'!$B$1:$U$1,Y$1)</f>
        <v>0</v>
      </c>
      <c r="Z25" s="140">
        <f>SUMIFS('recurring2_based on steps'!$B25:$AY25,'recurring2_based on steps'!$B$1:$AY$1,Z$1)+SUMIFS('changes2_based on steps'!$B25:$U25,'changes2_based on steps'!$B$1:$U$1,Z$1)</f>
        <v>0</v>
      </c>
      <c r="AA25" s="140">
        <f ca="1">SUMIFS('recurring2_based on steps'!$B25:$AY25,'recurring2_based on steps'!$B$1:$AY$1,AA$1)+SUMIFS('changes2_based on steps'!$B25:$U25,'changes2_based on steps'!$B$1:$U$1,AA$1)</f>
        <v>0</v>
      </c>
      <c r="AB25" s="140">
        <f ca="1">SUMIFS('recurring2_based on steps'!$B25:$AY25,'recurring2_based on steps'!$B$1:$AY$1,AB$1)+SUMIFS('changes2_based on steps'!$B25:$U25,'changes2_based on steps'!$B$1:$U$1,AB$1)</f>
        <v>0</v>
      </c>
      <c r="AC25" s="140">
        <f ca="1">SUMIFS('recurring2_based on steps'!$B25:$AY25,'recurring2_based on steps'!$B$1:$AY$1,AC$1)+SUMIFS('changes2_based on steps'!$B25:$U25,'changes2_based on steps'!$B$1:$U$1,AC$1)</f>
        <v>0</v>
      </c>
      <c r="AD25" s="140">
        <f ca="1">SUMIFS('recurring2_based on steps'!$B25:$AY25,'recurring2_based on steps'!$B$1:$AY$1,AD$1)+SUMIFS('changes2_based on steps'!$B25:$U25,'changes2_based on steps'!$B$1:$U$1,AD$1)</f>
        <v>50</v>
      </c>
      <c r="AE25" s="140">
        <f>SUMIFS('recurring2_based on steps'!$B25:$AY25,'recurring2_based on steps'!$B$1:$AY$1,AE$1)+SUMIFS('changes2_based on steps'!$B25:$U25,'changes2_based on steps'!$B$1:$U$1,AE$1)</f>
        <v>0</v>
      </c>
      <c r="AF25" s="140"/>
      <c r="AG25" s="140"/>
      <c r="AH25" s="140"/>
      <c r="AI25" s="140"/>
      <c r="AJ25" s="140"/>
      <c r="AK25" s="140"/>
      <c r="AL25" s="140"/>
      <c r="AM25" s="140"/>
    </row>
    <row r="26" spans="1:39" x14ac:dyDescent="0.2">
      <c r="A26" s="29">
        <f t="shared" ca="1" si="0"/>
        <v>45766</v>
      </c>
      <c r="B26" s="140">
        <f ca="1">SUMIFS('recurring2_based on steps'!$B26:$AY26,'recurring2_based on steps'!$B$1:$AY$1,B$1)+SUMIFS('changes2_based on steps'!$B26:$U26,'changes2_based on steps'!$B$1:$U$1,B$1)</f>
        <v>0</v>
      </c>
      <c r="C26" s="140">
        <f>SUMIFS('recurring2_based on steps'!$B26:$AY26,'recurring2_based on steps'!$B$1:$AY$1,C$1)+SUMIFS('changes2_based on steps'!$B26:$U26,'changes2_based on steps'!$B$1:$U$1,C$1)</f>
        <v>0</v>
      </c>
      <c r="D26" s="140">
        <f>SUMIFS('recurring2_based on steps'!$B26:$AY26,'recurring2_based on steps'!$B$1:$AY$1,D$1)+SUMIFS('changes2_based on steps'!$B26:$U26,'changes2_based on steps'!$B$1:$U$1,D$1)</f>
        <v>0</v>
      </c>
      <c r="E26" s="140">
        <f>SUMIFS('recurring2_based on steps'!$B26:$AY26,'recurring2_based on steps'!$B$1:$AY$1,E$1)+SUMIFS('changes2_based on steps'!$B26:$U26,'changes2_based on steps'!$B$1:$U$1,E$1)</f>
        <v>0</v>
      </c>
      <c r="F26" s="140">
        <f>SUMIFS('recurring2_based on steps'!$B26:$AY26,'recurring2_based on steps'!$B$1:$AY$1,F$1)+SUMIFS('changes2_based on steps'!$B26:$U26,'changes2_based on steps'!$B$1:$U$1,F$1)</f>
        <v>0</v>
      </c>
      <c r="G26" s="140">
        <f>SUMIFS('recurring2_based on steps'!$B26:$AY26,'recurring2_based on steps'!$B$1:$AY$1,G$1)+SUMIFS('changes2_based on steps'!$B26:$U26,'changes2_based on steps'!$B$1:$U$1,G$1)</f>
        <v>0</v>
      </c>
      <c r="H26" s="140">
        <f>SUMIFS('recurring2_based on steps'!$B26:$AY26,'recurring2_based on steps'!$B$1:$AY$1,H$1)+SUMIFS('changes2_based on steps'!$B26:$U26,'changes2_based on steps'!$B$1:$U$1,H$1)</f>
        <v>0</v>
      </c>
      <c r="I26" s="140">
        <f>SUMIFS('recurring2_based on steps'!$B26:$AY26,'recurring2_based on steps'!$B$1:$AY$1,I$1)+SUMIFS('changes2_based on steps'!$B26:$U26,'changes2_based on steps'!$B$1:$U$1,I$1)</f>
        <v>0</v>
      </c>
      <c r="J26" s="140">
        <f ca="1">SUMIFS('recurring2_based on steps'!$B26:$AY26,'recurring2_based on steps'!$B$1:$AY$1,J$1)+SUMIFS('changes2_based on steps'!$B26:$U26,'changes2_based on steps'!$B$1:$U$1,J$1)</f>
        <v>0</v>
      </c>
      <c r="K26" s="140">
        <f>SUMIFS('recurring2_based on steps'!$B26:$AY26,'recurring2_based on steps'!$B$1:$AY$1,K$1)+SUMIFS('changes2_based on steps'!$B26:$U26,'changes2_based on steps'!$B$1:$U$1,K$1)</f>
        <v>0</v>
      </c>
      <c r="L26" s="140">
        <f>SUMIFS('recurring2_based on steps'!$B26:$AY26,'recurring2_based on steps'!$B$1:$AY$1,L$1)+SUMIFS('changes2_based on steps'!$B26:$U26,'changes2_based on steps'!$B$1:$U$1,L$1)</f>
        <v>0</v>
      </c>
      <c r="M26" s="140">
        <f>SUMIFS('recurring2_based on steps'!$B26:$AY26,'recurring2_based on steps'!$B$1:$AY$1,M$1)+SUMIFS('changes2_based on steps'!$B26:$U26,'changes2_based on steps'!$B$1:$U$1,M$1)</f>
        <v>0</v>
      </c>
      <c r="N26" s="140">
        <f ca="1">SUMIFS('recurring2_based on steps'!$B26:$AY26,'recurring2_based on steps'!$B$1:$AY$1,N$1)+SUMIFS('changes2_based on steps'!$B26:$U26,'changes2_based on steps'!$B$1:$U$1,N$1)</f>
        <v>0</v>
      </c>
      <c r="O26" s="140">
        <f>SUMIFS('recurring2_based on steps'!$B26:$AY26,'recurring2_based on steps'!$B$1:$AY$1,O$1)+SUMIFS('changes2_based on steps'!$B26:$U26,'changes2_based on steps'!$B$1:$U$1,O$1)</f>
        <v>0</v>
      </c>
      <c r="P26" s="140">
        <f ca="1">SUMIFS('recurring2_based on steps'!$B26:$AY26,'recurring2_based on steps'!$B$1:$AY$1,P$1)+SUMIFS('changes2_based on steps'!$B26:$U26,'changes2_based on steps'!$B$1:$U$1,P$1)</f>
        <v>0</v>
      </c>
      <c r="Q26" s="140">
        <f ca="1">SUMIFS('recurring2_based on steps'!$B26:$AY26,'recurring2_based on steps'!$B$1:$AY$1,Q$1)+SUMIFS('changes2_based on steps'!$B26:$U26,'changes2_based on steps'!$B$1:$U$1,Q$1)</f>
        <v>100.05540166204986</v>
      </c>
      <c r="R26" s="140">
        <f ca="1">SUMIFS('recurring2_based on steps'!$B26:$AY26,'recurring2_based on steps'!$B$1:$AY$1,R$1)+SUMIFS('changes2_based on steps'!$B26:$U26,'changes2_based on steps'!$B$1:$U$1,R$1)</f>
        <v>0</v>
      </c>
      <c r="S26" s="140">
        <f>SUMIFS('recurring2_based on steps'!$B26:$AY26,'recurring2_based on steps'!$B$1:$AY$1,S$1)+SUMIFS('changes2_based on steps'!$B26:$U26,'changes2_based on steps'!$B$1:$U$1,S$1)</f>
        <v>0</v>
      </c>
      <c r="T26" s="140">
        <f ca="1">SUMIFS('recurring2_based on steps'!$B26:$AY26,'recurring2_based on steps'!$B$1:$AY$1,T$1)+SUMIFS('changes2_based on steps'!$B26:$U26,'changes2_based on steps'!$B$1:$U$1,T$1)</f>
        <v>0</v>
      </c>
      <c r="U26" s="140">
        <f ca="1">SUMIFS('recurring2_based on steps'!$B26:$AY26,'recurring2_based on steps'!$B$1:$AY$1,U$1)+SUMIFS('changes2_based on steps'!$B26:$U26,'changes2_based on steps'!$B$1:$U$1,U$1)</f>
        <v>0</v>
      </c>
      <c r="V26" s="140">
        <f>SUMIFS('recurring2_based on steps'!$B26:$AY26,'recurring2_based on steps'!$B$1:$AY$1,V$1)+SUMIFS('changes2_based on steps'!$B26:$U26,'changes2_based on steps'!$B$1:$U$1,V$1)</f>
        <v>0</v>
      </c>
      <c r="W26" s="140">
        <f>SUMIFS('recurring2_based on steps'!$B26:$AY26,'recurring2_based on steps'!$B$1:$AY$1,W$1)+SUMIFS('changes2_based on steps'!$B26:$U26,'changes2_based on steps'!$B$1:$U$1,W$1)</f>
        <v>0</v>
      </c>
      <c r="X26" s="140">
        <f ca="1">SUMIFS('recurring2_based on steps'!$B26:$AY26,'recurring2_based on steps'!$B$1:$AY$1,X$1)+SUMIFS('changes2_based on steps'!$B26:$U26,'changes2_based on steps'!$B$1:$U$1,X$1)</f>
        <v>0</v>
      </c>
      <c r="Y26" s="140">
        <f ca="1">SUMIFS('recurring2_based on steps'!$B26:$AY26,'recurring2_based on steps'!$B$1:$AY$1,Y$1)+SUMIFS('changes2_based on steps'!$B26:$U26,'changes2_based on steps'!$B$1:$U$1,Y$1)</f>
        <v>0</v>
      </c>
      <c r="Z26" s="140">
        <f>SUMIFS('recurring2_based on steps'!$B26:$AY26,'recurring2_based on steps'!$B$1:$AY$1,Z$1)+SUMIFS('changes2_based on steps'!$B26:$U26,'changes2_based on steps'!$B$1:$U$1,Z$1)</f>
        <v>0</v>
      </c>
      <c r="AA26" s="140">
        <f ca="1">SUMIFS('recurring2_based on steps'!$B26:$AY26,'recurring2_based on steps'!$B$1:$AY$1,AA$1)+SUMIFS('changes2_based on steps'!$B26:$U26,'changes2_based on steps'!$B$1:$U$1,AA$1)</f>
        <v>0</v>
      </c>
      <c r="AB26" s="140">
        <f ca="1">SUMIFS('recurring2_based on steps'!$B26:$AY26,'recurring2_based on steps'!$B$1:$AY$1,AB$1)+SUMIFS('changes2_based on steps'!$B26:$U26,'changes2_based on steps'!$B$1:$U$1,AB$1)</f>
        <v>100</v>
      </c>
      <c r="AC26" s="140">
        <f ca="1">SUMIFS('recurring2_based on steps'!$B26:$AY26,'recurring2_based on steps'!$B$1:$AY$1,AC$1)+SUMIFS('changes2_based on steps'!$B26:$U26,'changes2_based on steps'!$B$1:$U$1,AC$1)</f>
        <v>0</v>
      </c>
      <c r="AD26" s="140">
        <f ca="1">SUMIFS('recurring2_based on steps'!$B26:$AY26,'recurring2_based on steps'!$B$1:$AY$1,AD$1)+SUMIFS('changes2_based on steps'!$B26:$U26,'changes2_based on steps'!$B$1:$U$1,AD$1)</f>
        <v>0</v>
      </c>
      <c r="AE26" s="140">
        <f>SUMIFS('recurring2_based on steps'!$B26:$AY26,'recurring2_based on steps'!$B$1:$AY$1,AE$1)+SUMIFS('changes2_based on steps'!$B26:$U26,'changes2_based on steps'!$B$1:$U$1,AE$1)</f>
        <v>0</v>
      </c>
      <c r="AF26" s="140"/>
      <c r="AG26" s="140"/>
      <c r="AH26" s="140"/>
      <c r="AI26" s="140"/>
      <c r="AJ26" s="140"/>
      <c r="AK26" s="140"/>
      <c r="AL26" s="140"/>
      <c r="AM26" s="140"/>
    </row>
    <row r="27" spans="1:39" x14ac:dyDescent="0.2">
      <c r="A27" s="29">
        <f t="shared" ca="1" si="0"/>
        <v>45767</v>
      </c>
      <c r="B27" s="140">
        <f ca="1">SUMIFS('recurring2_based on steps'!$B27:$AY27,'recurring2_based on steps'!$B$1:$AY$1,B$1)+SUMIFS('changes2_based on steps'!$B27:$U27,'changes2_based on steps'!$B$1:$U$1,B$1)</f>
        <v>0</v>
      </c>
      <c r="C27" s="140">
        <f>SUMIFS('recurring2_based on steps'!$B27:$AY27,'recurring2_based on steps'!$B$1:$AY$1,C$1)+SUMIFS('changes2_based on steps'!$B27:$U27,'changes2_based on steps'!$B$1:$U$1,C$1)</f>
        <v>0</v>
      </c>
      <c r="D27" s="140">
        <f>SUMIFS('recurring2_based on steps'!$B27:$AY27,'recurring2_based on steps'!$B$1:$AY$1,D$1)+SUMIFS('changes2_based on steps'!$B27:$U27,'changes2_based on steps'!$B$1:$U$1,D$1)</f>
        <v>0</v>
      </c>
      <c r="E27" s="140">
        <f>SUMIFS('recurring2_based on steps'!$B27:$AY27,'recurring2_based on steps'!$B$1:$AY$1,E$1)+SUMIFS('changes2_based on steps'!$B27:$U27,'changes2_based on steps'!$B$1:$U$1,E$1)</f>
        <v>0</v>
      </c>
      <c r="F27" s="140">
        <f>SUMIFS('recurring2_based on steps'!$B27:$AY27,'recurring2_based on steps'!$B$1:$AY$1,F$1)+SUMIFS('changes2_based on steps'!$B27:$U27,'changes2_based on steps'!$B$1:$U$1,F$1)</f>
        <v>0</v>
      </c>
      <c r="G27" s="140">
        <f>SUMIFS('recurring2_based on steps'!$B27:$AY27,'recurring2_based on steps'!$B$1:$AY$1,G$1)+SUMIFS('changes2_based on steps'!$B27:$U27,'changes2_based on steps'!$B$1:$U$1,G$1)</f>
        <v>0</v>
      </c>
      <c r="H27" s="140">
        <f>SUMIFS('recurring2_based on steps'!$B27:$AY27,'recurring2_based on steps'!$B$1:$AY$1,H$1)+SUMIFS('changes2_based on steps'!$B27:$U27,'changes2_based on steps'!$B$1:$U$1,H$1)</f>
        <v>0</v>
      </c>
      <c r="I27" s="140">
        <f>SUMIFS('recurring2_based on steps'!$B27:$AY27,'recurring2_based on steps'!$B$1:$AY$1,I$1)+SUMIFS('changes2_based on steps'!$B27:$U27,'changes2_based on steps'!$B$1:$U$1,I$1)</f>
        <v>0</v>
      </c>
      <c r="J27" s="140">
        <f ca="1">SUMIFS('recurring2_based on steps'!$B27:$AY27,'recurring2_based on steps'!$B$1:$AY$1,J$1)+SUMIFS('changes2_based on steps'!$B27:$U27,'changes2_based on steps'!$B$1:$U$1,J$1)</f>
        <v>0</v>
      </c>
      <c r="K27" s="140">
        <f>SUMIFS('recurring2_based on steps'!$B27:$AY27,'recurring2_based on steps'!$B$1:$AY$1,K$1)+SUMIFS('changes2_based on steps'!$B27:$U27,'changes2_based on steps'!$B$1:$U$1,K$1)</f>
        <v>0</v>
      </c>
      <c r="L27" s="140">
        <f>SUMIFS('recurring2_based on steps'!$B27:$AY27,'recurring2_based on steps'!$B$1:$AY$1,L$1)+SUMIFS('changes2_based on steps'!$B27:$U27,'changes2_based on steps'!$B$1:$U$1,L$1)</f>
        <v>0</v>
      </c>
      <c r="M27" s="140">
        <f>SUMIFS('recurring2_based on steps'!$B27:$AY27,'recurring2_based on steps'!$B$1:$AY$1,M$1)+SUMIFS('changes2_based on steps'!$B27:$U27,'changes2_based on steps'!$B$1:$U$1,M$1)</f>
        <v>0</v>
      </c>
      <c r="N27" s="140">
        <f ca="1">SUMIFS('recurring2_based on steps'!$B27:$AY27,'recurring2_based on steps'!$B$1:$AY$1,N$1)+SUMIFS('changes2_based on steps'!$B27:$U27,'changes2_based on steps'!$B$1:$U$1,N$1)</f>
        <v>0</v>
      </c>
      <c r="O27" s="140">
        <f>SUMIFS('recurring2_based on steps'!$B27:$AY27,'recurring2_based on steps'!$B$1:$AY$1,O$1)+SUMIFS('changes2_based on steps'!$B27:$U27,'changes2_based on steps'!$B$1:$U$1,O$1)</f>
        <v>0</v>
      </c>
      <c r="P27" s="140">
        <f ca="1">SUMIFS('recurring2_based on steps'!$B27:$AY27,'recurring2_based on steps'!$B$1:$AY$1,P$1)+SUMIFS('changes2_based on steps'!$B27:$U27,'changes2_based on steps'!$B$1:$U$1,P$1)</f>
        <v>0</v>
      </c>
      <c r="Q27" s="140">
        <f ca="1">SUMIFS('recurring2_based on steps'!$B27:$AY27,'recurring2_based on steps'!$B$1:$AY$1,Q$1)+SUMIFS('changes2_based on steps'!$B27:$U27,'changes2_based on steps'!$B$1:$U$1,Q$1)</f>
        <v>100.05540166204986</v>
      </c>
      <c r="R27" s="140">
        <f ca="1">SUMIFS('recurring2_based on steps'!$B27:$AY27,'recurring2_based on steps'!$B$1:$AY$1,R$1)+SUMIFS('changes2_based on steps'!$B27:$U27,'changes2_based on steps'!$B$1:$U$1,R$1)</f>
        <v>5.8171745152354575</v>
      </c>
      <c r="S27" s="140">
        <f>SUMIFS('recurring2_based on steps'!$B27:$AY27,'recurring2_based on steps'!$B$1:$AY$1,S$1)+SUMIFS('changes2_based on steps'!$B27:$U27,'changes2_based on steps'!$B$1:$U$1,S$1)</f>
        <v>0</v>
      </c>
      <c r="T27" s="140">
        <f ca="1">SUMIFS('recurring2_based on steps'!$B27:$AY27,'recurring2_based on steps'!$B$1:$AY$1,T$1)+SUMIFS('changes2_based on steps'!$B27:$U27,'changes2_based on steps'!$B$1:$U$1,T$1)</f>
        <v>0</v>
      </c>
      <c r="U27" s="140">
        <f ca="1">SUMIFS('recurring2_based on steps'!$B27:$AY27,'recurring2_based on steps'!$B$1:$AY$1,U$1)+SUMIFS('changes2_based on steps'!$B27:$U27,'changes2_based on steps'!$B$1:$U$1,U$1)</f>
        <v>0</v>
      </c>
      <c r="V27" s="140">
        <f>SUMIFS('recurring2_based on steps'!$B27:$AY27,'recurring2_based on steps'!$B$1:$AY$1,V$1)+SUMIFS('changes2_based on steps'!$B27:$U27,'changes2_based on steps'!$B$1:$U$1,V$1)</f>
        <v>0</v>
      </c>
      <c r="W27" s="140">
        <f>SUMIFS('recurring2_based on steps'!$B27:$AY27,'recurring2_based on steps'!$B$1:$AY$1,W$1)+SUMIFS('changes2_based on steps'!$B27:$U27,'changes2_based on steps'!$B$1:$U$1,W$1)</f>
        <v>0</v>
      </c>
      <c r="X27" s="140">
        <f ca="1">SUMIFS('recurring2_based on steps'!$B27:$AY27,'recurring2_based on steps'!$B$1:$AY$1,X$1)+SUMIFS('changes2_based on steps'!$B27:$U27,'changes2_based on steps'!$B$1:$U$1,X$1)</f>
        <v>0</v>
      </c>
      <c r="Y27" s="140">
        <f ca="1">SUMIFS('recurring2_based on steps'!$B27:$AY27,'recurring2_based on steps'!$B$1:$AY$1,Y$1)+SUMIFS('changes2_based on steps'!$B27:$U27,'changes2_based on steps'!$B$1:$U$1,Y$1)</f>
        <v>50</v>
      </c>
      <c r="Z27" s="140">
        <f>SUMIFS('recurring2_based on steps'!$B27:$AY27,'recurring2_based on steps'!$B$1:$AY$1,Z$1)+SUMIFS('changes2_based on steps'!$B27:$U27,'changes2_based on steps'!$B$1:$U$1,Z$1)</f>
        <v>0</v>
      </c>
      <c r="AA27" s="140">
        <f ca="1">SUMIFS('recurring2_based on steps'!$B27:$AY27,'recurring2_based on steps'!$B$1:$AY$1,AA$1)+SUMIFS('changes2_based on steps'!$B27:$U27,'changes2_based on steps'!$B$1:$U$1,AA$1)</f>
        <v>0</v>
      </c>
      <c r="AB27" s="140">
        <f ca="1">SUMIFS('recurring2_based on steps'!$B27:$AY27,'recurring2_based on steps'!$B$1:$AY$1,AB$1)+SUMIFS('changes2_based on steps'!$B27:$U27,'changes2_based on steps'!$B$1:$U$1,AB$1)</f>
        <v>0</v>
      </c>
      <c r="AC27" s="140">
        <f ca="1">SUMIFS('recurring2_based on steps'!$B27:$AY27,'recurring2_based on steps'!$B$1:$AY$1,AC$1)+SUMIFS('changes2_based on steps'!$B27:$U27,'changes2_based on steps'!$B$1:$U$1,AC$1)</f>
        <v>0</v>
      </c>
      <c r="AD27" s="140">
        <f ca="1">SUMIFS('recurring2_based on steps'!$B27:$AY27,'recurring2_based on steps'!$B$1:$AY$1,AD$1)+SUMIFS('changes2_based on steps'!$B27:$U27,'changes2_based on steps'!$B$1:$U$1,AD$1)</f>
        <v>0</v>
      </c>
      <c r="AE27" s="140">
        <f>SUMIFS('recurring2_based on steps'!$B27:$AY27,'recurring2_based on steps'!$B$1:$AY$1,AE$1)+SUMIFS('changes2_based on steps'!$B27:$U27,'changes2_based on steps'!$B$1:$U$1,AE$1)</f>
        <v>0</v>
      </c>
      <c r="AF27" s="140"/>
      <c r="AG27" s="140"/>
      <c r="AH27" s="140"/>
      <c r="AI27" s="140"/>
      <c r="AJ27" s="140"/>
      <c r="AK27" s="140"/>
      <c r="AL27" s="140"/>
      <c r="AM27" s="140"/>
    </row>
    <row r="28" spans="1:39" x14ac:dyDescent="0.2">
      <c r="A28" s="29">
        <f t="shared" ca="1" si="0"/>
        <v>45768</v>
      </c>
      <c r="B28" s="140">
        <f ca="1">SUMIFS('recurring2_based on steps'!$B28:$AY28,'recurring2_based on steps'!$B$1:$AY$1,B$1)+SUMIFS('changes2_based on steps'!$B28:$U28,'changes2_based on steps'!$B$1:$U$1,B$1)</f>
        <v>0</v>
      </c>
      <c r="C28" s="140">
        <f>SUMIFS('recurring2_based on steps'!$B28:$AY28,'recurring2_based on steps'!$B$1:$AY$1,C$1)+SUMIFS('changes2_based on steps'!$B28:$U28,'changes2_based on steps'!$B$1:$U$1,C$1)</f>
        <v>0</v>
      </c>
      <c r="D28" s="140">
        <f>SUMIFS('recurring2_based on steps'!$B28:$AY28,'recurring2_based on steps'!$B$1:$AY$1,D$1)+SUMIFS('changes2_based on steps'!$B28:$U28,'changes2_based on steps'!$B$1:$U$1,D$1)</f>
        <v>0</v>
      </c>
      <c r="E28" s="140">
        <f>SUMIFS('recurring2_based on steps'!$B28:$AY28,'recurring2_based on steps'!$B$1:$AY$1,E$1)+SUMIFS('changes2_based on steps'!$B28:$U28,'changes2_based on steps'!$B$1:$U$1,E$1)</f>
        <v>0</v>
      </c>
      <c r="F28" s="140">
        <f>SUMIFS('recurring2_based on steps'!$B28:$AY28,'recurring2_based on steps'!$B$1:$AY$1,F$1)+SUMIFS('changes2_based on steps'!$B28:$U28,'changes2_based on steps'!$B$1:$U$1,F$1)</f>
        <v>0</v>
      </c>
      <c r="G28" s="140">
        <f>SUMIFS('recurring2_based on steps'!$B28:$AY28,'recurring2_based on steps'!$B$1:$AY$1,G$1)+SUMIFS('changes2_based on steps'!$B28:$U28,'changes2_based on steps'!$B$1:$U$1,G$1)</f>
        <v>0</v>
      </c>
      <c r="H28" s="140">
        <f>SUMIFS('recurring2_based on steps'!$B28:$AY28,'recurring2_based on steps'!$B$1:$AY$1,H$1)+SUMIFS('changes2_based on steps'!$B28:$U28,'changes2_based on steps'!$B$1:$U$1,H$1)</f>
        <v>0</v>
      </c>
      <c r="I28" s="140">
        <f>SUMIFS('recurring2_based on steps'!$B28:$AY28,'recurring2_based on steps'!$B$1:$AY$1,I$1)+SUMIFS('changes2_based on steps'!$B28:$U28,'changes2_based on steps'!$B$1:$U$1,I$1)</f>
        <v>0</v>
      </c>
      <c r="J28" s="140">
        <f ca="1">SUMIFS('recurring2_based on steps'!$B28:$AY28,'recurring2_based on steps'!$B$1:$AY$1,J$1)+SUMIFS('changes2_based on steps'!$B28:$U28,'changes2_based on steps'!$B$1:$U$1,J$1)</f>
        <v>0</v>
      </c>
      <c r="K28" s="140">
        <f>SUMIFS('recurring2_based on steps'!$B28:$AY28,'recurring2_based on steps'!$B$1:$AY$1,K$1)+SUMIFS('changes2_based on steps'!$B28:$U28,'changes2_based on steps'!$B$1:$U$1,K$1)</f>
        <v>0</v>
      </c>
      <c r="L28" s="140">
        <f>SUMIFS('recurring2_based on steps'!$B28:$AY28,'recurring2_based on steps'!$B$1:$AY$1,L$1)+SUMIFS('changes2_based on steps'!$B28:$U28,'changes2_based on steps'!$B$1:$U$1,L$1)</f>
        <v>0</v>
      </c>
      <c r="M28" s="140">
        <f>SUMIFS('recurring2_based on steps'!$B28:$AY28,'recurring2_based on steps'!$B$1:$AY$1,M$1)+SUMIFS('changes2_based on steps'!$B28:$U28,'changes2_based on steps'!$B$1:$U$1,M$1)</f>
        <v>0</v>
      </c>
      <c r="N28" s="140">
        <f ca="1">SUMIFS('recurring2_based on steps'!$B28:$AY28,'recurring2_based on steps'!$B$1:$AY$1,N$1)+SUMIFS('changes2_based on steps'!$B28:$U28,'changes2_based on steps'!$B$1:$U$1,N$1)</f>
        <v>0</v>
      </c>
      <c r="O28" s="140">
        <f>SUMIFS('recurring2_based on steps'!$B28:$AY28,'recurring2_based on steps'!$B$1:$AY$1,O$1)+SUMIFS('changes2_based on steps'!$B28:$U28,'changes2_based on steps'!$B$1:$U$1,O$1)</f>
        <v>0</v>
      </c>
      <c r="P28" s="140">
        <f ca="1">SUMIFS('recurring2_based on steps'!$B28:$AY28,'recurring2_based on steps'!$B$1:$AY$1,P$1)+SUMIFS('changes2_based on steps'!$B28:$U28,'changes2_based on steps'!$B$1:$U$1,P$1)</f>
        <v>0</v>
      </c>
      <c r="Q28" s="140">
        <f ca="1">SUMIFS('recurring2_based on steps'!$B28:$AY28,'recurring2_based on steps'!$B$1:$AY$1,Q$1)+SUMIFS('changes2_based on steps'!$B28:$U28,'changes2_based on steps'!$B$1:$U$1,Q$1)</f>
        <v>5.5401662049861494E-2</v>
      </c>
      <c r="R28" s="140">
        <f ca="1">SUMIFS('recurring2_based on steps'!$B28:$AY28,'recurring2_based on steps'!$B$1:$AY$1,R$1)+SUMIFS('changes2_based on steps'!$B28:$U28,'changes2_based on steps'!$B$1:$U$1,R$1)</f>
        <v>0</v>
      </c>
      <c r="S28" s="140">
        <f>SUMIFS('recurring2_based on steps'!$B28:$AY28,'recurring2_based on steps'!$B$1:$AY$1,S$1)+SUMIFS('changes2_based on steps'!$B28:$U28,'changes2_based on steps'!$B$1:$U$1,S$1)</f>
        <v>0</v>
      </c>
      <c r="T28" s="140">
        <f ca="1">SUMIFS('recurring2_based on steps'!$B28:$AY28,'recurring2_based on steps'!$B$1:$AY$1,T$1)+SUMIFS('changes2_based on steps'!$B28:$U28,'changes2_based on steps'!$B$1:$U$1,T$1)</f>
        <v>0</v>
      </c>
      <c r="U28" s="140">
        <f ca="1">SUMIFS('recurring2_based on steps'!$B28:$AY28,'recurring2_based on steps'!$B$1:$AY$1,U$1)+SUMIFS('changes2_based on steps'!$B28:$U28,'changes2_based on steps'!$B$1:$U$1,U$1)</f>
        <v>0</v>
      </c>
      <c r="V28" s="140">
        <f>SUMIFS('recurring2_based on steps'!$B28:$AY28,'recurring2_based on steps'!$B$1:$AY$1,V$1)+SUMIFS('changes2_based on steps'!$B28:$U28,'changes2_based on steps'!$B$1:$U$1,V$1)</f>
        <v>0</v>
      </c>
      <c r="W28" s="140">
        <f>SUMIFS('recurring2_based on steps'!$B28:$AY28,'recurring2_based on steps'!$B$1:$AY$1,W$1)+SUMIFS('changes2_based on steps'!$B28:$U28,'changes2_based on steps'!$B$1:$U$1,W$1)</f>
        <v>0</v>
      </c>
      <c r="X28" s="140">
        <f ca="1">SUMIFS('recurring2_based on steps'!$B28:$AY28,'recurring2_based on steps'!$B$1:$AY$1,X$1)+SUMIFS('changes2_based on steps'!$B28:$U28,'changes2_based on steps'!$B$1:$U$1,X$1)</f>
        <v>0</v>
      </c>
      <c r="Y28" s="140">
        <f ca="1">SUMIFS('recurring2_based on steps'!$B28:$AY28,'recurring2_based on steps'!$B$1:$AY$1,Y$1)+SUMIFS('changes2_based on steps'!$B28:$U28,'changes2_based on steps'!$B$1:$U$1,Y$1)</f>
        <v>0</v>
      </c>
      <c r="Z28" s="140">
        <f>SUMIFS('recurring2_based on steps'!$B28:$AY28,'recurring2_based on steps'!$B$1:$AY$1,Z$1)+SUMIFS('changes2_based on steps'!$B28:$U28,'changes2_based on steps'!$B$1:$U$1,Z$1)</f>
        <v>0</v>
      </c>
      <c r="AA28" s="140">
        <f ca="1">SUMIFS('recurring2_based on steps'!$B28:$AY28,'recurring2_based on steps'!$B$1:$AY$1,AA$1)+SUMIFS('changes2_based on steps'!$B28:$U28,'changes2_based on steps'!$B$1:$U$1,AA$1)</f>
        <v>0</v>
      </c>
      <c r="AB28" s="140">
        <f ca="1">SUMIFS('recurring2_based on steps'!$B28:$AY28,'recurring2_based on steps'!$B$1:$AY$1,AB$1)+SUMIFS('changes2_based on steps'!$B28:$U28,'changes2_based on steps'!$B$1:$U$1,AB$1)</f>
        <v>0</v>
      </c>
      <c r="AC28" s="140">
        <f ca="1">SUMIFS('recurring2_based on steps'!$B28:$AY28,'recurring2_based on steps'!$B$1:$AY$1,AC$1)+SUMIFS('changes2_based on steps'!$B28:$U28,'changes2_based on steps'!$B$1:$U$1,AC$1)</f>
        <v>0</v>
      </c>
      <c r="AD28" s="140">
        <f ca="1">SUMIFS('recurring2_based on steps'!$B28:$AY28,'recurring2_based on steps'!$B$1:$AY$1,AD$1)+SUMIFS('changes2_based on steps'!$B28:$U28,'changes2_based on steps'!$B$1:$U$1,AD$1)</f>
        <v>0</v>
      </c>
      <c r="AE28" s="140">
        <f>SUMIFS('recurring2_based on steps'!$B28:$AY28,'recurring2_based on steps'!$B$1:$AY$1,AE$1)+SUMIFS('changes2_based on steps'!$B28:$U28,'changes2_based on steps'!$B$1:$U$1,AE$1)</f>
        <v>0</v>
      </c>
      <c r="AF28" s="140"/>
      <c r="AG28" s="140"/>
      <c r="AH28" s="140"/>
      <c r="AI28" s="140"/>
      <c r="AJ28" s="140"/>
      <c r="AK28" s="140"/>
      <c r="AL28" s="140"/>
      <c r="AM28" s="140"/>
    </row>
    <row r="29" spans="1:39" x14ac:dyDescent="0.2">
      <c r="A29" s="29">
        <f t="shared" ca="1" si="0"/>
        <v>45769</v>
      </c>
      <c r="B29" s="140">
        <f ca="1">SUMIFS('recurring2_based on steps'!$B29:$AY29,'recurring2_based on steps'!$B$1:$AY$1,B$1)+SUMIFS('changes2_based on steps'!$B29:$U29,'changes2_based on steps'!$B$1:$U$1,B$1)</f>
        <v>0</v>
      </c>
      <c r="C29" s="140">
        <f>SUMIFS('recurring2_based on steps'!$B29:$AY29,'recurring2_based on steps'!$B$1:$AY$1,C$1)+SUMIFS('changes2_based on steps'!$B29:$U29,'changes2_based on steps'!$B$1:$U$1,C$1)</f>
        <v>0</v>
      </c>
      <c r="D29" s="140">
        <f>SUMIFS('recurring2_based on steps'!$B29:$AY29,'recurring2_based on steps'!$B$1:$AY$1,D$1)+SUMIFS('changes2_based on steps'!$B29:$U29,'changes2_based on steps'!$B$1:$U$1,D$1)</f>
        <v>0</v>
      </c>
      <c r="E29" s="140">
        <f>SUMIFS('recurring2_based on steps'!$B29:$AY29,'recurring2_based on steps'!$B$1:$AY$1,E$1)+SUMIFS('changes2_based on steps'!$B29:$U29,'changes2_based on steps'!$B$1:$U$1,E$1)</f>
        <v>0</v>
      </c>
      <c r="F29" s="140">
        <f>SUMIFS('recurring2_based on steps'!$B29:$AY29,'recurring2_based on steps'!$B$1:$AY$1,F$1)+SUMIFS('changes2_based on steps'!$B29:$U29,'changes2_based on steps'!$B$1:$U$1,F$1)</f>
        <v>0</v>
      </c>
      <c r="G29" s="140">
        <f>SUMIFS('recurring2_based on steps'!$B29:$AY29,'recurring2_based on steps'!$B$1:$AY$1,G$1)+SUMIFS('changes2_based on steps'!$B29:$U29,'changes2_based on steps'!$B$1:$U$1,G$1)</f>
        <v>0</v>
      </c>
      <c r="H29" s="140">
        <f>SUMIFS('recurring2_based on steps'!$B29:$AY29,'recurring2_based on steps'!$B$1:$AY$1,H$1)+SUMIFS('changes2_based on steps'!$B29:$U29,'changes2_based on steps'!$B$1:$U$1,H$1)</f>
        <v>0</v>
      </c>
      <c r="I29" s="140">
        <f>SUMIFS('recurring2_based on steps'!$B29:$AY29,'recurring2_based on steps'!$B$1:$AY$1,I$1)+SUMIFS('changes2_based on steps'!$B29:$U29,'changes2_based on steps'!$B$1:$U$1,I$1)</f>
        <v>0</v>
      </c>
      <c r="J29" s="140">
        <f ca="1">SUMIFS('recurring2_based on steps'!$B29:$AY29,'recurring2_based on steps'!$B$1:$AY$1,J$1)+SUMIFS('changes2_based on steps'!$B29:$U29,'changes2_based on steps'!$B$1:$U$1,J$1)</f>
        <v>0</v>
      </c>
      <c r="K29" s="140">
        <f>SUMIFS('recurring2_based on steps'!$B29:$AY29,'recurring2_based on steps'!$B$1:$AY$1,K$1)+SUMIFS('changes2_based on steps'!$B29:$U29,'changes2_based on steps'!$B$1:$U$1,K$1)</f>
        <v>0</v>
      </c>
      <c r="L29" s="140">
        <f>SUMIFS('recurring2_based on steps'!$B29:$AY29,'recurring2_based on steps'!$B$1:$AY$1,L$1)+SUMIFS('changes2_based on steps'!$B29:$U29,'changes2_based on steps'!$B$1:$U$1,L$1)</f>
        <v>0</v>
      </c>
      <c r="M29" s="140">
        <f>SUMIFS('recurring2_based on steps'!$B29:$AY29,'recurring2_based on steps'!$B$1:$AY$1,M$1)+SUMIFS('changes2_based on steps'!$B29:$U29,'changes2_based on steps'!$B$1:$U$1,M$1)</f>
        <v>0</v>
      </c>
      <c r="N29" s="140">
        <f ca="1">SUMIFS('recurring2_based on steps'!$B29:$AY29,'recurring2_based on steps'!$B$1:$AY$1,N$1)+SUMIFS('changes2_based on steps'!$B29:$U29,'changes2_based on steps'!$B$1:$U$1,N$1)</f>
        <v>0</v>
      </c>
      <c r="O29" s="140">
        <f>SUMIFS('recurring2_based on steps'!$B29:$AY29,'recurring2_based on steps'!$B$1:$AY$1,O$1)+SUMIFS('changes2_based on steps'!$B29:$U29,'changes2_based on steps'!$B$1:$U$1,O$1)</f>
        <v>0</v>
      </c>
      <c r="P29" s="140">
        <f ca="1">SUMIFS('recurring2_based on steps'!$B29:$AY29,'recurring2_based on steps'!$B$1:$AY$1,P$1)+SUMIFS('changes2_based on steps'!$B29:$U29,'changes2_based on steps'!$B$1:$U$1,P$1)</f>
        <v>0</v>
      </c>
      <c r="Q29" s="140">
        <f ca="1">SUMIFS('recurring2_based on steps'!$B29:$AY29,'recurring2_based on steps'!$B$1:$AY$1,Q$1)+SUMIFS('changes2_based on steps'!$B29:$U29,'changes2_based on steps'!$B$1:$U$1,Q$1)</f>
        <v>5.5401662049861494E-2</v>
      </c>
      <c r="R29" s="140">
        <f ca="1">SUMIFS('recurring2_based on steps'!$B29:$AY29,'recurring2_based on steps'!$B$1:$AY$1,R$1)+SUMIFS('changes2_based on steps'!$B29:$U29,'changes2_based on steps'!$B$1:$U$1,R$1)</f>
        <v>0</v>
      </c>
      <c r="S29" s="140">
        <f>SUMIFS('recurring2_based on steps'!$B29:$AY29,'recurring2_based on steps'!$B$1:$AY$1,S$1)+SUMIFS('changes2_based on steps'!$B29:$U29,'changes2_based on steps'!$B$1:$U$1,S$1)</f>
        <v>0</v>
      </c>
      <c r="T29" s="140">
        <f ca="1">SUMIFS('recurring2_based on steps'!$B29:$AY29,'recurring2_based on steps'!$B$1:$AY$1,T$1)+SUMIFS('changes2_based on steps'!$B29:$U29,'changes2_based on steps'!$B$1:$U$1,T$1)</f>
        <v>0</v>
      </c>
      <c r="U29" s="140">
        <f ca="1">SUMIFS('recurring2_based on steps'!$B29:$AY29,'recurring2_based on steps'!$B$1:$AY$1,U$1)+SUMIFS('changes2_based on steps'!$B29:$U29,'changes2_based on steps'!$B$1:$U$1,U$1)</f>
        <v>0</v>
      </c>
      <c r="V29" s="140">
        <f>SUMIFS('recurring2_based on steps'!$B29:$AY29,'recurring2_based on steps'!$B$1:$AY$1,V$1)+SUMIFS('changes2_based on steps'!$B29:$U29,'changes2_based on steps'!$B$1:$U$1,V$1)</f>
        <v>0</v>
      </c>
      <c r="W29" s="140">
        <f>SUMIFS('recurring2_based on steps'!$B29:$AY29,'recurring2_based on steps'!$B$1:$AY$1,W$1)+SUMIFS('changes2_based on steps'!$B29:$U29,'changes2_based on steps'!$B$1:$U$1,W$1)</f>
        <v>0</v>
      </c>
      <c r="X29" s="140">
        <f ca="1">SUMIFS('recurring2_based on steps'!$B29:$AY29,'recurring2_based on steps'!$B$1:$AY$1,X$1)+SUMIFS('changes2_based on steps'!$B29:$U29,'changes2_based on steps'!$B$1:$U$1,X$1)</f>
        <v>0</v>
      </c>
      <c r="Y29" s="140">
        <f ca="1">SUMIFS('recurring2_based on steps'!$B29:$AY29,'recurring2_based on steps'!$B$1:$AY$1,Y$1)+SUMIFS('changes2_based on steps'!$B29:$U29,'changes2_based on steps'!$B$1:$U$1,Y$1)</f>
        <v>0</v>
      </c>
      <c r="Z29" s="140">
        <f>SUMIFS('recurring2_based on steps'!$B29:$AY29,'recurring2_based on steps'!$B$1:$AY$1,Z$1)+SUMIFS('changes2_based on steps'!$B29:$U29,'changes2_based on steps'!$B$1:$U$1,Z$1)</f>
        <v>0</v>
      </c>
      <c r="AA29" s="140">
        <f ca="1">SUMIFS('recurring2_based on steps'!$B29:$AY29,'recurring2_based on steps'!$B$1:$AY$1,AA$1)+SUMIFS('changes2_based on steps'!$B29:$U29,'changes2_based on steps'!$B$1:$U$1,AA$1)</f>
        <v>0</v>
      </c>
      <c r="AB29" s="140">
        <f ca="1">SUMIFS('recurring2_based on steps'!$B29:$AY29,'recurring2_based on steps'!$B$1:$AY$1,AB$1)+SUMIFS('changes2_based on steps'!$B29:$U29,'changes2_based on steps'!$B$1:$U$1,AB$1)</f>
        <v>0</v>
      </c>
      <c r="AC29" s="140">
        <f ca="1">SUMIFS('recurring2_based on steps'!$B29:$AY29,'recurring2_based on steps'!$B$1:$AY$1,AC$1)+SUMIFS('changes2_based on steps'!$B29:$U29,'changes2_based on steps'!$B$1:$U$1,AC$1)</f>
        <v>0</v>
      </c>
      <c r="AD29" s="140">
        <f ca="1">SUMIFS('recurring2_based on steps'!$B29:$AY29,'recurring2_based on steps'!$B$1:$AY$1,AD$1)+SUMIFS('changes2_based on steps'!$B29:$U29,'changes2_based on steps'!$B$1:$U$1,AD$1)</f>
        <v>0</v>
      </c>
      <c r="AE29" s="140">
        <f>SUMIFS('recurring2_based on steps'!$B29:$AY29,'recurring2_based on steps'!$B$1:$AY$1,AE$1)+SUMIFS('changes2_based on steps'!$B29:$U29,'changes2_based on steps'!$B$1:$U$1,AE$1)</f>
        <v>0</v>
      </c>
      <c r="AF29" s="140"/>
      <c r="AG29" s="140"/>
      <c r="AH29" s="140"/>
      <c r="AI29" s="140"/>
      <c r="AJ29" s="140"/>
      <c r="AK29" s="140"/>
      <c r="AL29" s="140"/>
      <c r="AM29" s="140"/>
    </row>
    <row r="30" spans="1:39" x14ac:dyDescent="0.2">
      <c r="A30" s="29">
        <f t="shared" ca="1" si="0"/>
        <v>45770</v>
      </c>
      <c r="B30" s="140">
        <f ca="1">SUMIFS('recurring2_based on steps'!$B30:$AY30,'recurring2_based on steps'!$B$1:$AY$1,B$1)+SUMIFS('changes2_based on steps'!$B30:$U30,'changes2_based on steps'!$B$1:$U$1,B$1)</f>
        <v>0</v>
      </c>
      <c r="C30" s="140">
        <f>SUMIFS('recurring2_based on steps'!$B30:$AY30,'recurring2_based on steps'!$B$1:$AY$1,C$1)+SUMIFS('changes2_based on steps'!$B30:$U30,'changes2_based on steps'!$B$1:$U$1,C$1)</f>
        <v>0</v>
      </c>
      <c r="D30" s="140">
        <f>SUMIFS('recurring2_based on steps'!$B30:$AY30,'recurring2_based on steps'!$B$1:$AY$1,D$1)+SUMIFS('changes2_based on steps'!$B30:$U30,'changes2_based on steps'!$B$1:$U$1,D$1)</f>
        <v>0</v>
      </c>
      <c r="E30" s="140">
        <f>SUMIFS('recurring2_based on steps'!$B30:$AY30,'recurring2_based on steps'!$B$1:$AY$1,E$1)+SUMIFS('changes2_based on steps'!$B30:$U30,'changes2_based on steps'!$B$1:$U$1,E$1)</f>
        <v>0</v>
      </c>
      <c r="F30" s="140">
        <f>SUMIFS('recurring2_based on steps'!$B30:$AY30,'recurring2_based on steps'!$B$1:$AY$1,F$1)+SUMIFS('changes2_based on steps'!$B30:$U30,'changes2_based on steps'!$B$1:$U$1,F$1)</f>
        <v>0</v>
      </c>
      <c r="G30" s="140">
        <f>SUMIFS('recurring2_based on steps'!$B30:$AY30,'recurring2_based on steps'!$B$1:$AY$1,G$1)+SUMIFS('changes2_based on steps'!$B30:$U30,'changes2_based on steps'!$B$1:$U$1,G$1)</f>
        <v>0</v>
      </c>
      <c r="H30" s="140">
        <f>SUMIFS('recurring2_based on steps'!$B30:$AY30,'recurring2_based on steps'!$B$1:$AY$1,H$1)+SUMIFS('changes2_based on steps'!$B30:$U30,'changes2_based on steps'!$B$1:$U$1,H$1)</f>
        <v>0</v>
      </c>
      <c r="I30" s="140">
        <f>SUMIFS('recurring2_based on steps'!$B30:$AY30,'recurring2_based on steps'!$B$1:$AY$1,I$1)+SUMIFS('changes2_based on steps'!$B30:$U30,'changes2_based on steps'!$B$1:$U$1,I$1)</f>
        <v>0</v>
      </c>
      <c r="J30" s="140">
        <f ca="1">SUMIFS('recurring2_based on steps'!$B30:$AY30,'recurring2_based on steps'!$B$1:$AY$1,J$1)+SUMIFS('changes2_based on steps'!$B30:$U30,'changes2_based on steps'!$B$1:$U$1,J$1)</f>
        <v>0</v>
      </c>
      <c r="K30" s="140">
        <f>SUMIFS('recurring2_based on steps'!$B30:$AY30,'recurring2_based on steps'!$B$1:$AY$1,K$1)+SUMIFS('changes2_based on steps'!$B30:$U30,'changes2_based on steps'!$B$1:$U$1,K$1)</f>
        <v>0</v>
      </c>
      <c r="L30" s="140">
        <f>SUMIFS('recurring2_based on steps'!$B30:$AY30,'recurring2_based on steps'!$B$1:$AY$1,L$1)+SUMIFS('changes2_based on steps'!$B30:$U30,'changes2_based on steps'!$B$1:$U$1,L$1)</f>
        <v>0</v>
      </c>
      <c r="M30" s="140">
        <f>SUMIFS('recurring2_based on steps'!$B30:$AY30,'recurring2_based on steps'!$B$1:$AY$1,M$1)+SUMIFS('changes2_based on steps'!$B30:$U30,'changes2_based on steps'!$B$1:$U$1,M$1)</f>
        <v>0</v>
      </c>
      <c r="N30" s="140">
        <f ca="1">SUMIFS('recurring2_based on steps'!$B30:$AY30,'recurring2_based on steps'!$B$1:$AY$1,N$1)+SUMIFS('changes2_based on steps'!$B30:$U30,'changes2_based on steps'!$B$1:$U$1,N$1)</f>
        <v>0</v>
      </c>
      <c r="O30" s="140">
        <f>SUMIFS('recurring2_based on steps'!$B30:$AY30,'recurring2_based on steps'!$B$1:$AY$1,O$1)+SUMIFS('changes2_based on steps'!$B30:$U30,'changes2_based on steps'!$B$1:$U$1,O$1)</f>
        <v>0</v>
      </c>
      <c r="P30" s="140">
        <f ca="1">SUMIFS('recurring2_based on steps'!$B30:$AY30,'recurring2_based on steps'!$B$1:$AY$1,P$1)+SUMIFS('changes2_based on steps'!$B30:$U30,'changes2_based on steps'!$B$1:$U$1,P$1)</f>
        <v>0</v>
      </c>
      <c r="Q30" s="140">
        <f ca="1">SUMIFS('recurring2_based on steps'!$B30:$AY30,'recurring2_based on steps'!$B$1:$AY$1,Q$1)+SUMIFS('changes2_based on steps'!$B30:$U30,'changes2_based on steps'!$B$1:$U$1,Q$1)</f>
        <v>5.5401662049861494E-2</v>
      </c>
      <c r="R30" s="140">
        <f ca="1">SUMIFS('recurring2_based on steps'!$B30:$AY30,'recurring2_based on steps'!$B$1:$AY$1,R$1)+SUMIFS('changes2_based on steps'!$B30:$U30,'changes2_based on steps'!$B$1:$U$1,R$1)</f>
        <v>0</v>
      </c>
      <c r="S30" s="140">
        <f>SUMIFS('recurring2_based on steps'!$B30:$AY30,'recurring2_based on steps'!$B$1:$AY$1,S$1)+SUMIFS('changes2_based on steps'!$B30:$U30,'changes2_based on steps'!$B$1:$U$1,S$1)</f>
        <v>0</v>
      </c>
      <c r="T30" s="140">
        <f ca="1">SUMIFS('recurring2_based on steps'!$B30:$AY30,'recurring2_based on steps'!$B$1:$AY$1,T$1)+SUMIFS('changes2_based on steps'!$B30:$U30,'changes2_based on steps'!$B$1:$U$1,T$1)</f>
        <v>0</v>
      </c>
      <c r="U30" s="140">
        <f ca="1">SUMIFS('recurring2_based on steps'!$B30:$AY30,'recurring2_based on steps'!$B$1:$AY$1,U$1)+SUMIFS('changes2_based on steps'!$B30:$U30,'changes2_based on steps'!$B$1:$U$1,U$1)</f>
        <v>0</v>
      </c>
      <c r="V30" s="140">
        <f>SUMIFS('recurring2_based on steps'!$B30:$AY30,'recurring2_based on steps'!$B$1:$AY$1,V$1)+SUMIFS('changes2_based on steps'!$B30:$U30,'changes2_based on steps'!$B$1:$U$1,V$1)</f>
        <v>0</v>
      </c>
      <c r="W30" s="140">
        <f>SUMIFS('recurring2_based on steps'!$B30:$AY30,'recurring2_based on steps'!$B$1:$AY$1,W$1)+SUMIFS('changes2_based on steps'!$B30:$U30,'changes2_based on steps'!$B$1:$U$1,W$1)</f>
        <v>0</v>
      </c>
      <c r="X30" s="140">
        <f ca="1">SUMIFS('recurring2_based on steps'!$B30:$AY30,'recurring2_based on steps'!$B$1:$AY$1,X$1)+SUMIFS('changes2_based on steps'!$B30:$U30,'changes2_based on steps'!$B$1:$U$1,X$1)</f>
        <v>0</v>
      </c>
      <c r="Y30" s="140">
        <f ca="1">SUMIFS('recurring2_based on steps'!$B30:$AY30,'recurring2_based on steps'!$B$1:$AY$1,Y$1)+SUMIFS('changes2_based on steps'!$B30:$U30,'changes2_based on steps'!$B$1:$U$1,Y$1)</f>
        <v>0</v>
      </c>
      <c r="Z30" s="140">
        <f>SUMIFS('recurring2_based on steps'!$B30:$AY30,'recurring2_based on steps'!$B$1:$AY$1,Z$1)+SUMIFS('changes2_based on steps'!$B30:$U30,'changes2_based on steps'!$B$1:$U$1,Z$1)</f>
        <v>0</v>
      </c>
      <c r="AA30" s="140">
        <f ca="1">SUMIFS('recurring2_based on steps'!$B30:$AY30,'recurring2_based on steps'!$B$1:$AY$1,AA$1)+SUMIFS('changes2_based on steps'!$B30:$U30,'changes2_based on steps'!$B$1:$U$1,AA$1)</f>
        <v>0</v>
      </c>
      <c r="AB30" s="140">
        <f ca="1">SUMIFS('recurring2_based on steps'!$B30:$AY30,'recurring2_based on steps'!$B$1:$AY$1,AB$1)+SUMIFS('changes2_based on steps'!$B30:$U30,'changes2_based on steps'!$B$1:$U$1,AB$1)</f>
        <v>0</v>
      </c>
      <c r="AC30" s="140">
        <f ca="1">SUMIFS('recurring2_based on steps'!$B30:$AY30,'recurring2_based on steps'!$B$1:$AY$1,AC$1)+SUMIFS('changes2_based on steps'!$B30:$U30,'changes2_based on steps'!$B$1:$U$1,AC$1)</f>
        <v>0</v>
      </c>
      <c r="AD30" s="140">
        <f ca="1">SUMIFS('recurring2_based on steps'!$B30:$AY30,'recurring2_based on steps'!$B$1:$AY$1,AD$1)+SUMIFS('changes2_based on steps'!$B30:$U30,'changes2_based on steps'!$B$1:$U$1,AD$1)</f>
        <v>0</v>
      </c>
      <c r="AE30" s="140">
        <f>SUMIFS('recurring2_based on steps'!$B30:$AY30,'recurring2_based on steps'!$B$1:$AY$1,AE$1)+SUMIFS('changes2_based on steps'!$B30:$U30,'changes2_based on steps'!$B$1:$U$1,AE$1)</f>
        <v>0</v>
      </c>
      <c r="AF30" s="140"/>
      <c r="AG30" s="140"/>
      <c r="AH30" s="140"/>
      <c r="AI30" s="140"/>
      <c r="AJ30" s="140"/>
      <c r="AK30" s="140"/>
      <c r="AL30" s="140"/>
      <c r="AM30" s="140"/>
    </row>
    <row r="31" spans="1:39" x14ac:dyDescent="0.2">
      <c r="A31" s="29">
        <f t="shared" ca="1" si="0"/>
        <v>45771</v>
      </c>
      <c r="B31" s="140">
        <f ca="1">SUMIFS('recurring2_based on steps'!$B31:$AY31,'recurring2_based on steps'!$B$1:$AY$1,B$1)+SUMIFS('changes2_based on steps'!$B31:$U31,'changes2_based on steps'!$B$1:$U$1,B$1)</f>
        <v>0</v>
      </c>
      <c r="C31" s="140">
        <f>SUMIFS('recurring2_based on steps'!$B31:$AY31,'recurring2_based on steps'!$B$1:$AY$1,C$1)+SUMIFS('changes2_based on steps'!$B31:$U31,'changes2_based on steps'!$B$1:$U$1,C$1)</f>
        <v>0</v>
      </c>
      <c r="D31" s="140">
        <f>SUMIFS('recurring2_based on steps'!$B31:$AY31,'recurring2_based on steps'!$B$1:$AY$1,D$1)+SUMIFS('changes2_based on steps'!$B31:$U31,'changes2_based on steps'!$B$1:$U$1,D$1)</f>
        <v>0</v>
      </c>
      <c r="E31" s="140">
        <f>SUMIFS('recurring2_based on steps'!$B31:$AY31,'recurring2_based on steps'!$B$1:$AY$1,E$1)+SUMIFS('changes2_based on steps'!$B31:$U31,'changes2_based on steps'!$B$1:$U$1,E$1)</f>
        <v>0</v>
      </c>
      <c r="F31" s="140">
        <f>SUMIFS('recurring2_based on steps'!$B31:$AY31,'recurring2_based on steps'!$B$1:$AY$1,F$1)+SUMIFS('changes2_based on steps'!$B31:$U31,'changes2_based on steps'!$B$1:$U$1,F$1)</f>
        <v>0</v>
      </c>
      <c r="G31" s="140">
        <f>SUMIFS('recurring2_based on steps'!$B31:$AY31,'recurring2_based on steps'!$B$1:$AY$1,G$1)+SUMIFS('changes2_based on steps'!$B31:$U31,'changes2_based on steps'!$B$1:$U$1,G$1)</f>
        <v>0</v>
      </c>
      <c r="H31" s="140">
        <f>SUMIFS('recurring2_based on steps'!$B31:$AY31,'recurring2_based on steps'!$B$1:$AY$1,H$1)+SUMIFS('changes2_based on steps'!$B31:$U31,'changes2_based on steps'!$B$1:$U$1,H$1)</f>
        <v>0</v>
      </c>
      <c r="I31" s="140">
        <f>SUMIFS('recurring2_based on steps'!$B31:$AY31,'recurring2_based on steps'!$B$1:$AY$1,I$1)+SUMIFS('changes2_based on steps'!$B31:$U31,'changes2_based on steps'!$B$1:$U$1,I$1)</f>
        <v>0</v>
      </c>
      <c r="J31" s="140">
        <f ca="1">SUMIFS('recurring2_based on steps'!$B31:$AY31,'recurring2_based on steps'!$B$1:$AY$1,J$1)+SUMIFS('changes2_based on steps'!$B31:$U31,'changes2_based on steps'!$B$1:$U$1,J$1)</f>
        <v>0</v>
      </c>
      <c r="K31" s="140">
        <f>SUMIFS('recurring2_based on steps'!$B31:$AY31,'recurring2_based on steps'!$B$1:$AY$1,K$1)+SUMIFS('changes2_based on steps'!$B31:$U31,'changes2_based on steps'!$B$1:$U$1,K$1)</f>
        <v>0</v>
      </c>
      <c r="L31" s="140">
        <f>SUMIFS('recurring2_based on steps'!$B31:$AY31,'recurring2_based on steps'!$B$1:$AY$1,L$1)+SUMIFS('changes2_based on steps'!$B31:$U31,'changes2_based on steps'!$B$1:$U$1,L$1)</f>
        <v>0</v>
      </c>
      <c r="M31" s="140">
        <f>SUMIFS('recurring2_based on steps'!$B31:$AY31,'recurring2_based on steps'!$B$1:$AY$1,M$1)+SUMIFS('changes2_based on steps'!$B31:$U31,'changes2_based on steps'!$B$1:$U$1,M$1)</f>
        <v>0</v>
      </c>
      <c r="N31" s="140">
        <f ca="1">SUMIFS('recurring2_based on steps'!$B31:$AY31,'recurring2_based on steps'!$B$1:$AY$1,N$1)+SUMIFS('changes2_based on steps'!$B31:$U31,'changes2_based on steps'!$B$1:$U$1,N$1)</f>
        <v>0</v>
      </c>
      <c r="O31" s="140">
        <f>SUMIFS('recurring2_based on steps'!$B31:$AY31,'recurring2_based on steps'!$B$1:$AY$1,O$1)+SUMIFS('changes2_based on steps'!$B31:$U31,'changes2_based on steps'!$B$1:$U$1,O$1)</f>
        <v>0</v>
      </c>
      <c r="P31" s="140">
        <f ca="1">SUMIFS('recurring2_based on steps'!$B31:$AY31,'recurring2_based on steps'!$B$1:$AY$1,P$1)+SUMIFS('changes2_based on steps'!$B31:$U31,'changes2_based on steps'!$B$1:$U$1,P$1)</f>
        <v>0</v>
      </c>
      <c r="Q31" s="140">
        <f ca="1">SUMIFS('recurring2_based on steps'!$B31:$AY31,'recurring2_based on steps'!$B$1:$AY$1,Q$1)+SUMIFS('changes2_based on steps'!$B31:$U31,'changes2_based on steps'!$B$1:$U$1,Q$1)</f>
        <v>5.5401662049861494E-2</v>
      </c>
      <c r="R31" s="140">
        <f ca="1">SUMIFS('recurring2_based on steps'!$B31:$AY31,'recurring2_based on steps'!$B$1:$AY$1,R$1)+SUMIFS('changes2_based on steps'!$B31:$U31,'changes2_based on steps'!$B$1:$U$1,R$1)</f>
        <v>0</v>
      </c>
      <c r="S31" s="140">
        <f>SUMIFS('recurring2_based on steps'!$B31:$AY31,'recurring2_based on steps'!$B$1:$AY$1,S$1)+SUMIFS('changes2_based on steps'!$B31:$U31,'changes2_based on steps'!$B$1:$U$1,S$1)</f>
        <v>0</v>
      </c>
      <c r="T31" s="140">
        <f ca="1">SUMIFS('recurring2_based on steps'!$B31:$AY31,'recurring2_based on steps'!$B$1:$AY$1,T$1)+SUMIFS('changes2_based on steps'!$B31:$U31,'changes2_based on steps'!$B$1:$U$1,T$1)</f>
        <v>0</v>
      </c>
      <c r="U31" s="140">
        <f ca="1">SUMIFS('recurring2_based on steps'!$B31:$AY31,'recurring2_based on steps'!$B$1:$AY$1,U$1)+SUMIFS('changes2_based on steps'!$B31:$U31,'changes2_based on steps'!$B$1:$U$1,U$1)</f>
        <v>0</v>
      </c>
      <c r="V31" s="140">
        <f>SUMIFS('recurring2_based on steps'!$B31:$AY31,'recurring2_based on steps'!$B$1:$AY$1,V$1)+SUMIFS('changes2_based on steps'!$B31:$U31,'changes2_based on steps'!$B$1:$U$1,V$1)</f>
        <v>0</v>
      </c>
      <c r="W31" s="140">
        <f>SUMIFS('recurring2_based on steps'!$B31:$AY31,'recurring2_based on steps'!$B$1:$AY$1,W$1)+SUMIFS('changes2_based on steps'!$B31:$U31,'changes2_based on steps'!$B$1:$U$1,W$1)</f>
        <v>0</v>
      </c>
      <c r="X31" s="140">
        <f ca="1">SUMIFS('recurring2_based on steps'!$B31:$AY31,'recurring2_based on steps'!$B$1:$AY$1,X$1)+SUMIFS('changes2_based on steps'!$B31:$U31,'changes2_based on steps'!$B$1:$U$1,X$1)</f>
        <v>0</v>
      </c>
      <c r="Y31" s="140">
        <f ca="1">SUMIFS('recurring2_based on steps'!$B31:$AY31,'recurring2_based on steps'!$B$1:$AY$1,Y$1)+SUMIFS('changes2_based on steps'!$B31:$U31,'changes2_based on steps'!$B$1:$U$1,Y$1)</f>
        <v>0</v>
      </c>
      <c r="Z31" s="140">
        <f>SUMIFS('recurring2_based on steps'!$B31:$AY31,'recurring2_based on steps'!$B$1:$AY$1,Z$1)+SUMIFS('changes2_based on steps'!$B31:$U31,'changes2_based on steps'!$B$1:$U$1,Z$1)</f>
        <v>0</v>
      </c>
      <c r="AA31" s="140">
        <f ca="1">SUMIFS('recurring2_based on steps'!$B31:$AY31,'recurring2_based on steps'!$B$1:$AY$1,AA$1)+SUMIFS('changes2_based on steps'!$B31:$U31,'changes2_based on steps'!$B$1:$U$1,AA$1)</f>
        <v>0</v>
      </c>
      <c r="AB31" s="140">
        <f ca="1">SUMIFS('recurring2_based on steps'!$B31:$AY31,'recurring2_based on steps'!$B$1:$AY$1,AB$1)+SUMIFS('changes2_based on steps'!$B31:$U31,'changes2_based on steps'!$B$1:$U$1,AB$1)</f>
        <v>0</v>
      </c>
      <c r="AC31" s="140">
        <f ca="1">SUMIFS('recurring2_based on steps'!$B31:$AY31,'recurring2_based on steps'!$B$1:$AY$1,AC$1)+SUMIFS('changes2_based on steps'!$B31:$U31,'changes2_based on steps'!$B$1:$U$1,AC$1)</f>
        <v>0</v>
      </c>
      <c r="AD31" s="140">
        <f ca="1">SUMIFS('recurring2_based on steps'!$B31:$AY31,'recurring2_based on steps'!$B$1:$AY$1,AD$1)+SUMIFS('changes2_based on steps'!$B31:$U31,'changes2_based on steps'!$B$1:$U$1,AD$1)</f>
        <v>0</v>
      </c>
      <c r="AE31" s="140">
        <f>SUMIFS('recurring2_based on steps'!$B31:$AY31,'recurring2_based on steps'!$B$1:$AY$1,AE$1)+SUMIFS('changes2_based on steps'!$B31:$U31,'changes2_based on steps'!$B$1:$U$1,AE$1)</f>
        <v>0</v>
      </c>
      <c r="AF31" s="140"/>
      <c r="AG31" s="140"/>
      <c r="AH31" s="140"/>
      <c r="AI31" s="140"/>
      <c r="AJ31" s="140"/>
      <c r="AK31" s="140"/>
      <c r="AL31" s="140"/>
      <c r="AM31" s="140"/>
    </row>
    <row r="32" spans="1:39" x14ac:dyDescent="0.2">
      <c r="A32" s="29">
        <f t="shared" ca="1" si="0"/>
        <v>45772</v>
      </c>
      <c r="B32" s="140">
        <f ca="1">SUMIFS('recurring2_based on steps'!$B32:$AY32,'recurring2_based on steps'!$B$1:$AY$1,B$1)+SUMIFS('changes2_based on steps'!$B32:$U32,'changes2_based on steps'!$B$1:$U$1,B$1)</f>
        <v>0</v>
      </c>
      <c r="C32" s="140">
        <f>SUMIFS('recurring2_based on steps'!$B32:$AY32,'recurring2_based on steps'!$B$1:$AY$1,C$1)+SUMIFS('changes2_based on steps'!$B32:$U32,'changes2_based on steps'!$B$1:$U$1,C$1)</f>
        <v>0</v>
      </c>
      <c r="D32" s="140">
        <f>SUMIFS('recurring2_based on steps'!$B32:$AY32,'recurring2_based on steps'!$B$1:$AY$1,D$1)+SUMIFS('changes2_based on steps'!$B32:$U32,'changes2_based on steps'!$B$1:$U$1,D$1)</f>
        <v>0</v>
      </c>
      <c r="E32" s="140">
        <f>SUMIFS('recurring2_based on steps'!$B32:$AY32,'recurring2_based on steps'!$B$1:$AY$1,E$1)+SUMIFS('changes2_based on steps'!$B32:$U32,'changes2_based on steps'!$B$1:$U$1,E$1)</f>
        <v>0</v>
      </c>
      <c r="F32" s="140">
        <f>SUMIFS('recurring2_based on steps'!$B32:$AY32,'recurring2_based on steps'!$B$1:$AY$1,F$1)+SUMIFS('changes2_based on steps'!$B32:$U32,'changes2_based on steps'!$B$1:$U$1,F$1)</f>
        <v>0</v>
      </c>
      <c r="G32" s="140">
        <f>SUMIFS('recurring2_based on steps'!$B32:$AY32,'recurring2_based on steps'!$B$1:$AY$1,G$1)+SUMIFS('changes2_based on steps'!$B32:$U32,'changes2_based on steps'!$B$1:$U$1,G$1)</f>
        <v>0</v>
      </c>
      <c r="H32" s="140">
        <f>SUMIFS('recurring2_based on steps'!$B32:$AY32,'recurring2_based on steps'!$B$1:$AY$1,H$1)+SUMIFS('changes2_based on steps'!$B32:$U32,'changes2_based on steps'!$B$1:$U$1,H$1)</f>
        <v>0</v>
      </c>
      <c r="I32" s="140">
        <f>SUMIFS('recurring2_based on steps'!$B32:$AY32,'recurring2_based on steps'!$B$1:$AY$1,I$1)+SUMIFS('changes2_based on steps'!$B32:$U32,'changes2_based on steps'!$B$1:$U$1,I$1)</f>
        <v>0</v>
      </c>
      <c r="J32" s="140">
        <f ca="1">SUMIFS('recurring2_based on steps'!$B32:$AY32,'recurring2_based on steps'!$B$1:$AY$1,J$1)+SUMIFS('changes2_based on steps'!$B32:$U32,'changes2_based on steps'!$B$1:$U$1,J$1)</f>
        <v>0</v>
      </c>
      <c r="K32" s="140">
        <f>SUMIFS('recurring2_based on steps'!$B32:$AY32,'recurring2_based on steps'!$B$1:$AY$1,K$1)+SUMIFS('changes2_based on steps'!$B32:$U32,'changes2_based on steps'!$B$1:$U$1,K$1)</f>
        <v>0</v>
      </c>
      <c r="L32" s="140">
        <f>SUMIFS('recurring2_based on steps'!$B32:$AY32,'recurring2_based on steps'!$B$1:$AY$1,L$1)+SUMIFS('changes2_based on steps'!$B32:$U32,'changes2_based on steps'!$B$1:$U$1,L$1)</f>
        <v>0</v>
      </c>
      <c r="M32" s="140">
        <f>SUMIFS('recurring2_based on steps'!$B32:$AY32,'recurring2_based on steps'!$B$1:$AY$1,M$1)+SUMIFS('changes2_based on steps'!$B32:$U32,'changes2_based on steps'!$B$1:$U$1,M$1)</f>
        <v>0</v>
      </c>
      <c r="N32" s="140">
        <f ca="1">SUMIFS('recurring2_based on steps'!$B32:$AY32,'recurring2_based on steps'!$B$1:$AY$1,N$1)+SUMIFS('changes2_based on steps'!$B32:$U32,'changes2_based on steps'!$B$1:$U$1,N$1)</f>
        <v>0</v>
      </c>
      <c r="O32" s="140">
        <f>SUMIFS('recurring2_based on steps'!$B32:$AY32,'recurring2_based on steps'!$B$1:$AY$1,O$1)+SUMIFS('changes2_based on steps'!$B32:$U32,'changes2_based on steps'!$B$1:$U$1,O$1)</f>
        <v>0</v>
      </c>
      <c r="P32" s="140">
        <f ca="1">SUMIFS('recurring2_based on steps'!$B32:$AY32,'recurring2_based on steps'!$B$1:$AY$1,P$1)+SUMIFS('changes2_based on steps'!$B32:$U32,'changes2_based on steps'!$B$1:$U$1,P$1)</f>
        <v>0</v>
      </c>
      <c r="Q32" s="140">
        <f ca="1">SUMIFS('recurring2_based on steps'!$B32:$AY32,'recurring2_based on steps'!$B$1:$AY$1,Q$1)+SUMIFS('changes2_based on steps'!$B32:$U32,'changes2_based on steps'!$B$1:$U$1,Q$1)</f>
        <v>5.5401662049861494E-2</v>
      </c>
      <c r="R32" s="140">
        <f ca="1">SUMIFS('recurring2_based on steps'!$B32:$AY32,'recurring2_based on steps'!$B$1:$AY$1,R$1)+SUMIFS('changes2_based on steps'!$B32:$U32,'changes2_based on steps'!$B$1:$U$1,R$1)</f>
        <v>0</v>
      </c>
      <c r="S32" s="140">
        <f>SUMIFS('recurring2_based on steps'!$B32:$AY32,'recurring2_based on steps'!$B$1:$AY$1,S$1)+SUMIFS('changes2_based on steps'!$B32:$U32,'changes2_based on steps'!$B$1:$U$1,S$1)</f>
        <v>0</v>
      </c>
      <c r="T32" s="140">
        <f ca="1">SUMIFS('recurring2_based on steps'!$B32:$AY32,'recurring2_based on steps'!$B$1:$AY$1,T$1)+SUMIFS('changes2_based on steps'!$B32:$U32,'changes2_based on steps'!$B$1:$U$1,T$1)</f>
        <v>0</v>
      </c>
      <c r="U32" s="140">
        <f ca="1">SUMIFS('recurring2_based on steps'!$B32:$AY32,'recurring2_based on steps'!$B$1:$AY$1,U$1)+SUMIFS('changes2_based on steps'!$B32:$U32,'changes2_based on steps'!$B$1:$U$1,U$1)</f>
        <v>0</v>
      </c>
      <c r="V32" s="140">
        <f>SUMIFS('recurring2_based on steps'!$B32:$AY32,'recurring2_based on steps'!$B$1:$AY$1,V$1)+SUMIFS('changes2_based on steps'!$B32:$U32,'changes2_based on steps'!$B$1:$U$1,V$1)</f>
        <v>0</v>
      </c>
      <c r="W32" s="140">
        <f>SUMIFS('recurring2_based on steps'!$B32:$AY32,'recurring2_based on steps'!$B$1:$AY$1,W$1)+SUMIFS('changes2_based on steps'!$B32:$U32,'changes2_based on steps'!$B$1:$U$1,W$1)</f>
        <v>0</v>
      </c>
      <c r="X32" s="140">
        <f ca="1">SUMIFS('recurring2_based on steps'!$B32:$AY32,'recurring2_based on steps'!$B$1:$AY$1,X$1)+SUMIFS('changes2_based on steps'!$B32:$U32,'changes2_based on steps'!$B$1:$U$1,X$1)</f>
        <v>0</v>
      </c>
      <c r="Y32" s="140">
        <f ca="1">SUMIFS('recurring2_based on steps'!$B32:$AY32,'recurring2_based on steps'!$B$1:$AY$1,Y$1)+SUMIFS('changes2_based on steps'!$B32:$U32,'changes2_based on steps'!$B$1:$U$1,Y$1)</f>
        <v>0</v>
      </c>
      <c r="Z32" s="140">
        <f>SUMIFS('recurring2_based on steps'!$B32:$AY32,'recurring2_based on steps'!$B$1:$AY$1,Z$1)+SUMIFS('changes2_based on steps'!$B32:$U32,'changes2_based on steps'!$B$1:$U$1,Z$1)</f>
        <v>0</v>
      </c>
      <c r="AA32" s="140">
        <f ca="1">SUMIFS('recurring2_based on steps'!$B32:$AY32,'recurring2_based on steps'!$B$1:$AY$1,AA$1)+SUMIFS('changes2_based on steps'!$B32:$U32,'changes2_based on steps'!$B$1:$U$1,AA$1)</f>
        <v>0</v>
      </c>
      <c r="AB32" s="140">
        <f ca="1">SUMIFS('recurring2_based on steps'!$B32:$AY32,'recurring2_based on steps'!$B$1:$AY$1,AB$1)+SUMIFS('changes2_based on steps'!$B32:$U32,'changes2_based on steps'!$B$1:$U$1,AB$1)</f>
        <v>0</v>
      </c>
      <c r="AC32" s="140">
        <f ca="1">SUMIFS('recurring2_based on steps'!$B32:$AY32,'recurring2_based on steps'!$B$1:$AY$1,AC$1)+SUMIFS('changes2_based on steps'!$B32:$U32,'changes2_based on steps'!$B$1:$U$1,AC$1)</f>
        <v>0</v>
      </c>
      <c r="AD32" s="140">
        <f ca="1">SUMIFS('recurring2_based on steps'!$B32:$AY32,'recurring2_based on steps'!$B$1:$AY$1,AD$1)+SUMIFS('changes2_based on steps'!$B32:$U32,'changes2_based on steps'!$B$1:$U$1,AD$1)</f>
        <v>0</v>
      </c>
      <c r="AE32" s="140">
        <f>SUMIFS('recurring2_based on steps'!$B32:$AY32,'recurring2_based on steps'!$B$1:$AY$1,AE$1)+SUMIFS('changes2_based on steps'!$B32:$U32,'changes2_based on steps'!$B$1:$U$1,AE$1)</f>
        <v>0</v>
      </c>
      <c r="AF32" s="140"/>
      <c r="AG32" s="140"/>
      <c r="AH32" s="140"/>
      <c r="AI32" s="140"/>
      <c r="AJ32" s="140"/>
      <c r="AK32" s="140"/>
      <c r="AL32" s="140"/>
      <c r="AM32" s="140"/>
    </row>
    <row r="33" spans="1:39" x14ac:dyDescent="0.2">
      <c r="A33" s="29">
        <f t="shared" ca="1" si="0"/>
        <v>45773</v>
      </c>
      <c r="B33" s="140">
        <f ca="1">SUMIFS('recurring2_based on steps'!$B33:$AY33,'recurring2_based on steps'!$B$1:$AY$1,B$1)+SUMIFS('changes2_based on steps'!$B33:$U33,'changes2_based on steps'!$B$1:$U$1,B$1)</f>
        <v>0</v>
      </c>
      <c r="C33" s="140">
        <f>SUMIFS('recurring2_based on steps'!$B33:$AY33,'recurring2_based on steps'!$B$1:$AY$1,C$1)+SUMIFS('changes2_based on steps'!$B33:$U33,'changes2_based on steps'!$B$1:$U$1,C$1)</f>
        <v>0</v>
      </c>
      <c r="D33" s="140">
        <f>SUMIFS('recurring2_based on steps'!$B33:$AY33,'recurring2_based on steps'!$B$1:$AY$1,D$1)+SUMIFS('changes2_based on steps'!$B33:$U33,'changes2_based on steps'!$B$1:$U$1,D$1)</f>
        <v>0</v>
      </c>
      <c r="E33" s="140">
        <f>SUMIFS('recurring2_based on steps'!$B33:$AY33,'recurring2_based on steps'!$B$1:$AY$1,E$1)+SUMIFS('changes2_based on steps'!$B33:$U33,'changes2_based on steps'!$B$1:$U$1,E$1)</f>
        <v>0</v>
      </c>
      <c r="F33" s="140">
        <f>SUMIFS('recurring2_based on steps'!$B33:$AY33,'recurring2_based on steps'!$B$1:$AY$1,F$1)+SUMIFS('changes2_based on steps'!$B33:$U33,'changes2_based on steps'!$B$1:$U$1,F$1)</f>
        <v>0</v>
      </c>
      <c r="G33" s="140">
        <f>SUMIFS('recurring2_based on steps'!$B33:$AY33,'recurring2_based on steps'!$B$1:$AY$1,G$1)+SUMIFS('changes2_based on steps'!$B33:$U33,'changes2_based on steps'!$B$1:$U$1,G$1)</f>
        <v>0</v>
      </c>
      <c r="H33" s="140">
        <f>SUMIFS('recurring2_based on steps'!$B33:$AY33,'recurring2_based on steps'!$B$1:$AY$1,H$1)+SUMIFS('changes2_based on steps'!$B33:$U33,'changes2_based on steps'!$B$1:$U$1,H$1)</f>
        <v>0</v>
      </c>
      <c r="I33" s="140">
        <f>SUMIFS('recurring2_based on steps'!$B33:$AY33,'recurring2_based on steps'!$B$1:$AY$1,I$1)+SUMIFS('changes2_based on steps'!$B33:$U33,'changes2_based on steps'!$B$1:$U$1,I$1)</f>
        <v>0</v>
      </c>
      <c r="J33" s="140">
        <f ca="1">SUMIFS('recurring2_based on steps'!$B33:$AY33,'recurring2_based on steps'!$B$1:$AY$1,J$1)+SUMIFS('changes2_based on steps'!$B33:$U33,'changes2_based on steps'!$B$1:$U$1,J$1)</f>
        <v>0</v>
      </c>
      <c r="K33" s="140">
        <f>SUMIFS('recurring2_based on steps'!$B33:$AY33,'recurring2_based on steps'!$B$1:$AY$1,K$1)+SUMIFS('changes2_based on steps'!$B33:$U33,'changes2_based on steps'!$B$1:$U$1,K$1)</f>
        <v>0</v>
      </c>
      <c r="L33" s="140">
        <f>SUMIFS('recurring2_based on steps'!$B33:$AY33,'recurring2_based on steps'!$B$1:$AY$1,L$1)+SUMIFS('changes2_based on steps'!$B33:$U33,'changes2_based on steps'!$B$1:$U$1,L$1)</f>
        <v>0</v>
      </c>
      <c r="M33" s="140">
        <f>SUMIFS('recurring2_based on steps'!$B33:$AY33,'recurring2_based on steps'!$B$1:$AY$1,M$1)+SUMIFS('changes2_based on steps'!$B33:$U33,'changes2_based on steps'!$B$1:$U$1,M$1)</f>
        <v>0</v>
      </c>
      <c r="N33" s="140">
        <f ca="1">SUMIFS('recurring2_based on steps'!$B33:$AY33,'recurring2_based on steps'!$B$1:$AY$1,N$1)+SUMIFS('changes2_based on steps'!$B33:$U33,'changes2_based on steps'!$B$1:$U$1,N$1)</f>
        <v>0</v>
      </c>
      <c r="O33" s="140">
        <f>SUMIFS('recurring2_based on steps'!$B33:$AY33,'recurring2_based on steps'!$B$1:$AY$1,O$1)+SUMIFS('changes2_based on steps'!$B33:$U33,'changes2_based on steps'!$B$1:$U$1,O$1)</f>
        <v>0</v>
      </c>
      <c r="P33" s="140">
        <f ca="1">SUMIFS('recurring2_based on steps'!$B33:$AY33,'recurring2_based on steps'!$B$1:$AY$1,P$1)+SUMIFS('changes2_based on steps'!$B33:$U33,'changes2_based on steps'!$B$1:$U$1,P$1)</f>
        <v>0</v>
      </c>
      <c r="Q33" s="140">
        <f ca="1">SUMIFS('recurring2_based on steps'!$B33:$AY33,'recurring2_based on steps'!$B$1:$AY$1,Q$1)+SUMIFS('changes2_based on steps'!$B33:$U33,'changes2_based on steps'!$B$1:$U$1,Q$1)</f>
        <v>100.05540166204986</v>
      </c>
      <c r="R33" s="140">
        <f ca="1">SUMIFS('recurring2_based on steps'!$B33:$AY33,'recurring2_based on steps'!$B$1:$AY$1,R$1)+SUMIFS('changes2_based on steps'!$B33:$U33,'changes2_based on steps'!$B$1:$U$1,R$1)</f>
        <v>0</v>
      </c>
      <c r="S33" s="140">
        <f>SUMIFS('recurring2_based on steps'!$B33:$AY33,'recurring2_based on steps'!$B$1:$AY$1,S$1)+SUMIFS('changes2_based on steps'!$B33:$U33,'changes2_based on steps'!$B$1:$U$1,S$1)</f>
        <v>0</v>
      </c>
      <c r="T33" s="140">
        <f ca="1">SUMIFS('recurring2_based on steps'!$B33:$AY33,'recurring2_based on steps'!$B$1:$AY$1,T$1)+SUMIFS('changes2_based on steps'!$B33:$U33,'changes2_based on steps'!$B$1:$U$1,T$1)</f>
        <v>0</v>
      </c>
      <c r="U33" s="140">
        <f ca="1">SUMIFS('recurring2_based on steps'!$B33:$AY33,'recurring2_based on steps'!$B$1:$AY$1,U$1)+SUMIFS('changes2_based on steps'!$B33:$U33,'changes2_based on steps'!$B$1:$U$1,U$1)</f>
        <v>0</v>
      </c>
      <c r="V33" s="140">
        <f>SUMIFS('recurring2_based on steps'!$B33:$AY33,'recurring2_based on steps'!$B$1:$AY$1,V$1)+SUMIFS('changes2_based on steps'!$B33:$U33,'changes2_based on steps'!$B$1:$U$1,V$1)</f>
        <v>0</v>
      </c>
      <c r="W33" s="140">
        <f>SUMIFS('recurring2_based on steps'!$B33:$AY33,'recurring2_based on steps'!$B$1:$AY$1,W$1)+SUMIFS('changes2_based on steps'!$B33:$U33,'changes2_based on steps'!$B$1:$U$1,W$1)</f>
        <v>0</v>
      </c>
      <c r="X33" s="140">
        <f ca="1">SUMIFS('recurring2_based on steps'!$B33:$AY33,'recurring2_based on steps'!$B$1:$AY$1,X$1)+SUMIFS('changes2_based on steps'!$B33:$U33,'changes2_based on steps'!$B$1:$U$1,X$1)</f>
        <v>0</v>
      </c>
      <c r="Y33" s="140">
        <f ca="1">SUMIFS('recurring2_based on steps'!$B33:$AY33,'recurring2_based on steps'!$B$1:$AY$1,Y$1)+SUMIFS('changes2_based on steps'!$B33:$U33,'changes2_based on steps'!$B$1:$U$1,Y$1)</f>
        <v>0</v>
      </c>
      <c r="Z33" s="140">
        <f>SUMIFS('recurring2_based on steps'!$B33:$AY33,'recurring2_based on steps'!$B$1:$AY$1,Z$1)+SUMIFS('changes2_based on steps'!$B33:$U33,'changes2_based on steps'!$B$1:$U$1,Z$1)</f>
        <v>0</v>
      </c>
      <c r="AA33" s="140">
        <f ca="1">SUMIFS('recurring2_based on steps'!$B33:$AY33,'recurring2_based on steps'!$B$1:$AY$1,AA$1)+SUMIFS('changes2_based on steps'!$B33:$U33,'changes2_based on steps'!$B$1:$U$1,AA$1)</f>
        <v>0</v>
      </c>
      <c r="AB33" s="140">
        <f ca="1">SUMIFS('recurring2_based on steps'!$B33:$AY33,'recurring2_based on steps'!$B$1:$AY$1,AB$1)+SUMIFS('changes2_based on steps'!$B33:$U33,'changes2_based on steps'!$B$1:$U$1,AB$1)</f>
        <v>100</v>
      </c>
      <c r="AC33" s="140">
        <f ca="1">SUMIFS('recurring2_based on steps'!$B33:$AY33,'recurring2_based on steps'!$B$1:$AY$1,AC$1)+SUMIFS('changes2_based on steps'!$B33:$U33,'changes2_based on steps'!$B$1:$U$1,AC$1)</f>
        <v>0</v>
      </c>
      <c r="AD33" s="140">
        <f ca="1">SUMIFS('recurring2_based on steps'!$B33:$AY33,'recurring2_based on steps'!$B$1:$AY$1,AD$1)+SUMIFS('changes2_based on steps'!$B33:$U33,'changes2_based on steps'!$B$1:$U$1,AD$1)</f>
        <v>0</v>
      </c>
      <c r="AE33" s="140">
        <f>SUMIFS('recurring2_based on steps'!$B33:$AY33,'recurring2_based on steps'!$B$1:$AY$1,AE$1)+SUMIFS('changes2_based on steps'!$B33:$U33,'changes2_based on steps'!$B$1:$U$1,AE$1)</f>
        <v>0</v>
      </c>
      <c r="AF33" s="140"/>
      <c r="AG33" s="140"/>
      <c r="AH33" s="140"/>
      <c r="AI33" s="140"/>
      <c r="AJ33" s="140"/>
      <c r="AK33" s="140"/>
      <c r="AL33" s="140"/>
      <c r="AM33" s="140"/>
    </row>
    <row r="34" spans="1:39" x14ac:dyDescent="0.2">
      <c r="A34" s="29">
        <f t="shared" ca="1" si="0"/>
        <v>45774</v>
      </c>
      <c r="B34" s="140">
        <f ca="1">SUMIFS('recurring2_based on steps'!$B34:$AY34,'recurring2_based on steps'!$B$1:$AY$1,B$1)+SUMIFS('changes2_based on steps'!$B34:$U34,'changes2_based on steps'!$B$1:$U$1,B$1)</f>
        <v>0</v>
      </c>
      <c r="C34" s="140">
        <f>SUMIFS('recurring2_based on steps'!$B34:$AY34,'recurring2_based on steps'!$B$1:$AY$1,C$1)+SUMIFS('changes2_based on steps'!$B34:$U34,'changes2_based on steps'!$B$1:$U$1,C$1)</f>
        <v>0</v>
      </c>
      <c r="D34" s="140">
        <f>SUMIFS('recurring2_based on steps'!$B34:$AY34,'recurring2_based on steps'!$B$1:$AY$1,D$1)+SUMIFS('changes2_based on steps'!$B34:$U34,'changes2_based on steps'!$B$1:$U$1,D$1)</f>
        <v>0</v>
      </c>
      <c r="E34" s="140">
        <f>SUMIFS('recurring2_based on steps'!$B34:$AY34,'recurring2_based on steps'!$B$1:$AY$1,E$1)+SUMIFS('changes2_based on steps'!$B34:$U34,'changes2_based on steps'!$B$1:$U$1,E$1)</f>
        <v>0</v>
      </c>
      <c r="F34" s="140">
        <f>SUMIFS('recurring2_based on steps'!$B34:$AY34,'recurring2_based on steps'!$B$1:$AY$1,F$1)+SUMIFS('changes2_based on steps'!$B34:$U34,'changes2_based on steps'!$B$1:$U$1,F$1)</f>
        <v>0</v>
      </c>
      <c r="G34" s="140">
        <f>SUMIFS('recurring2_based on steps'!$B34:$AY34,'recurring2_based on steps'!$B$1:$AY$1,G$1)+SUMIFS('changes2_based on steps'!$B34:$U34,'changes2_based on steps'!$B$1:$U$1,G$1)</f>
        <v>0</v>
      </c>
      <c r="H34" s="140">
        <f>SUMIFS('recurring2_based on steps'!$B34:$AY34,'recurring2_based on steps'!$B$1:$AY$1,H$1)+SUMIFS('changes2_based on steps'!$B34:$U34,'changes2_based on steps'!$B$1:$U$1,H$1)</f>
        <v>0</v>
      </c>
      <c r="I34" s="140">
        <f>SUMIFS('recurring2_based on steps'!$B34:$AY34,'recurring2_based on steps'!$B$1:$AY$1,I$1)+SUMIFS('changes2_based on steps'!$B34:$U34,'changes2_based on steps'!$B$1:$U$1,I$1)</f>
        <v>0</v>
      </c>
      <c r="J34" s="140">
        <f ca="1">SUMIFS('recurring2_based on steps'!$B34:$AY34,'recurring2_based on steps'!$B$1:$AY$1,J$1)+SUMIFS('changes2_based on steps'!$B34:$U34,'changes2_based on steps'!$B$1:$U$1,J$1)</f>
        <v>0</v>
      </c>
      <c r="K34" s="140">
        <f>SUMIFS('recurring2_based on steps'!$B34:$AY34,'recurring2_based on steps'!$B$1:$AY$1,K$1)+SUMIFS('changes2_based on steps'!$B34:$U34,'changes2_based on steps'!$B$1:$U$1,K$1)</f>
        <v>0</v>
      </c>
      <c r="L34" s="140">
        <f>SUMIFS('recurring2_based on steps'!$B34:$AY34,'recurring2_based on steps'!$B$1:$AY$1,L$1)+SUMIFS('changes2_based on steps'!$B34:$U34,'changes2_based on steps'!$B$1:$U$1,L$1)</f>
        <v>0</v>
      </c>
      <c r="M34" s="140">
        <f>SUMIFS('recurring2_based on steps'!$B34:$AY34,'recurring2_based on steps'!$B$1:$AY$1,M$1)+SUMIFS('changes2_based on steps'!$B34:$U34,'changes2_based on steps'!$B$1:$U$1,M$1)</f>
        <v>0</v>
      </c>
      <c r="N34" s="140">
        <f ca="1">SUMIFS('recurring2_based on steps'!$B34:$AY34,'recurring2_based on steps'!$B$1:$AY$1,N$1)+SUMIFS('changes2_based on steps'!$B34:$U34,'changes2_based on steps'!$B$1:$U$1,N$1)</f>
        <v>0</v>
      </c>
      <c r="O34" s="140">
        <f>SUMIFS('recurring2_based on steps'!$B34:$AY34,'recurring2_based on steps'!$B$1:$AY$1,O$1)+SUMIFS('changes2_based on steps'!$B34:$U34,'changes2_based on steps'!$B$1:$U$1,O$1)</f>
        <v>0</v>
      </c>
      <c r="P34" s="140">
        <f ca="1">SUMIFS('recurring2_based on steps'!$B34:$AY34,'recurring2_based on steps'!$B$1:$AY$1,P$1)+SUMIFS('changes2_based on steps'!$B34:$U34,'changes2_based on steps'!$B$1:$U$1,P$1)</f>
        <v>0</v>
      </c>
      <c r="Q34" s="140">
        <f ca="1">SUMIFS('recurring2_based on steps'!$B34:$AY34,'recurring2_based on steps'!$B$1:$AY$1,Q$1)+SUMIFS('changes2_based on steps'!$B34:$U34,'changes2_based on steps'!$B$1:$U$1,Q$1)</f>
        <v>100.05540166204986</v>
      </c>
      <c r="R34" s="140">
        <f ca="1">SUMIFS('recurring2_based on steps'!$B34:$AY34,'recurring2_based on steps'!$B$1:$AY$1,R$1)+SUMIFS('changes2_based on steps'!$B34:$U34,'changes2_based on steps'!$B$1:$U$1,R$1)</f>
        <v>2.99</v>
      </c>
      <c r="S34" s="140">
        <f>SUMIFS('recurring2_based on steps'!$B34:$AY34,'recurring2_based on steps'!$B$1:$AY$1,S$1)+SUMIFS('changes2_based on steps'!$B34:$U34,'changes2_based on steps'!$B$1:$U$1,S$1)</f>
        <v>0</v>
      </c>
      <c r="T34" s="140">
        <f ca="1">SUMIFS('recurring2_based on steps'!$B34:$AY34,'recurring2_based on steps'!$B$1:$AY$1,T$1)+SUMIFS('changes2_based on steps'!$B34:$U34,'changes2_based on steps'!$B$1:$U$1,T$1)</f>
        <v>0</v>
      </c>
      <c r="U34" s="140">
        <f ca="1">SUMIFS('recurring2_based on steps'!$B34:$AY34,'recurring2_based on steps'!$B$1:$AY$1,U$1)+SUMIFS('changes2_based on steps'!$B34:$U34,'changes2_based on steps'!$B$1:$U$1,U$1)</f>
        <v>0</v>
      </c>
      <c r="V34" s="140">
        <f>SUMIFS('recurring2_based on steps'!$B34:$AY34,'recurring2_based on steps'!$B$1:$AY$1,V$1)+SUMIFS('changes2_based on steps'!$B34:$U34,'changes2_based on steps'!$B$1:$U$1,V$1)</f>
        <v>0</v>
      </c>
      <c r="W34" s="140">
        <f>SUMIFS('recurring2_based on steps'!$B34:$AY34,'recurring2_based on steps'!$B$1:$AY$1,W$1)+SUMIFS('changes2_based on steps'!$B34:$U34,'changes2_based on steps'!$B$1:$U$1,W$1)</f>
        <v>0</v>
      </c>
      <c r="X34" s="140">
        <f ca="1">SUMIFS('recurring2_based on steps'!$B34:$AY34,'recurring2_based on steps'!$B$1:$AY$1,X$1)+SUMIFS('changes2_based on steps'!$B34:$U34,'changes2_based on steps'!$B$1:$U$1,X$1)</f>
        <v>0</v>
      </c>
      <c r="Y34" s="140">
        <f ca="1">SUMIFS('recurring2_based on steps'!$B34:$AY34,'recurring2_based on steps'!$B$1:$AY$1,Y$1)+SUMIFS('changes2_based on steps'!$B34:$U34,'changes2_based on steps'!$B$1:$U$1,Y$1)</f>
        <v>50</v>
      </c>
      <c r="Z34" s="140">
        <f>SUMIFS('recurring2_based on steps'!$B34:$AY34,'recurring2_based on steps'!$B$1:$AY$1,Z$1)+SUMIFS('changes2_based on steps'!$B34:$U34,'changes2_based on steps'!$B$1:$U$1,Z$1)</f>
        <v>0</v>
      </c>
      <c r="AA34" s="140">
        <f ca="1">SUMIFS('recurring2_based on steps'!$B34:$AY34,'recurring2_based on steps'!$B$1:$AY$1,AA$1)+SUMIFS('changes2_based on steps'!$B34:$U34,'changes2_based on steps'!$B$1:$U$1,AA$1)</f>
        <v>0</v>
      </c>
      <c r="AB34" s="140">
        <f ca="1">SUMIFS('recurring2_based on steps'!$B34:$AY34,'recurring2_based on steps'!$B$1:$AY$1,AB$1)+SUMIFS('changes2_based on steps'!$B34:$U34,'changes2_based on steps'!$B$1:$U$1,AB$1)</f>
        <v>0</v>
      </c>
      <c r="AC34" s="140">
        <f ca="1">SUMIFS('recurring2_based on steps'!$B34:$AY34,'recurring2_based on steps'!$B$1:$AY$1,AC$1)+SUMIFS('changes2_based on steps'!$B34:$U34,'changes2_based on steps'!$B$1:$U$1,AC$1)</f>
        <v>0</v>
      </c>
      <c r="AD34" s="140">
        <f ca="1">SUMIFS('recurring2_based on steps'!$B34:$AY34,'recurring2_based on steps'!$B$1:$AY$1,AD$1)+SUMIFS('changes2_based on steps'!$B34:$U34,'changes2_based on steps'!$B$1:$U$1,AD$1)</f>
        <v>0</v>
      </c>
      <c r="AE34" s="140">
        <f>SUMIFS('recurring2_based on steps'!$B34:$AY34,'recurring2_based on steps'!$B$1:$AY$1,AE$1)+SUMIFS('changes2_based on steps'!$B34:$U34,'changes2_based on steps'!$B$1:$U$1,AE$1)</f>
        <v>0</v>
      </c>
      <c r="AF34" s="140"/>
      <c r="AG34" s="140"/>
      <c r="AH34" s="140"/>
      <c r="AI34" s="140"/>
      <c r="AJ34" s="140"/>
      <c r="AK34" s="140"/>
      <c r="AL34" s="140"/>
      <c r="AM34" s="140"/>
    </row>
    <row r="35" spans="1:39" x14ac:dyDescent="0.2">
      <c r="A35" s="29">
        <f t="shared" ca="1" si="0"/>
        <v>45775</v>
      </c>
      <c r="B35" s="140">
        <f ca="1">SUMIFS('recurring2_based on steps'!$B35:$AY35,'recurring2_based on steps'!$B$1:$AY$1,B$1)+SUMIFS('changes2_based on steps'!$B35:$U35,'changes2_based on steps'!$B$1:$U$1,B$1)</f>
        <v>0</v>
      </c>
      <c r="C35" s="140">
        <f>SUMIFS('recurring2_based on steps'!$B35:$AY35,'recurring2_based on steps'!$B$1:$AY$1,C$1)+SUMIFS('changes2_based on steps'!$B35:$U35,'changes2_based on steps'!$B$1:$U$1,C$1)</f>
        <v>0</v>
      </c>
      <c r="D35" s="140">
        <f>SUMIFS('recurring2_based on steps'!$B35:$AY35,'recurring2_based on steps'!$B$1:$AY$1,D$1)+SUMIFS('changes2_based on steps'!$B35:$U35,'changes2_based on steps'!$B$1:$U$1,D$1)</f>
        <v>0</v>
      </c>
      <c r="E35" s="140">
        <f>SUMIFS('recurring2_based on steps'!$B35:$AY35,'recurring2_based on steps'!$B$1:$AY$1,E$1)+SUMIFS('changes2_based on steps'!$B35:$U35,'changes2_based on steps'!$B$1:$U$1,E$1)</f>
        <v>0</v>
      </c>
      <c r="F35" s="140">
        <f>SUMIFS('recurring2_based on steps'!$B35:$AY35,'recurring2_based on steps'!$B$1:$AY$1,F$1)+SUMIFS('changes2_based on steps'!$B35:$U35,'changes2_based on steps'!$B$1:$U$1,F$1)</f>
        <v>0</v>
      </c>
      <c r="G35" s="140">
        <f>SUMIFS('recurring2_based on steps'!$B35:$AY35,'recurring2_based on steps'!$B$1:$AY$1,G$1)+SUMIFS('changes2_based on steps'!$B35:$U35,'changes2_based on steps'!$B$1:$U$1,G$1)</f>
        <v>0</v>
      </c>
      <c r="H35" s="140">
        <f>SUMIFS('recurring2_based on steps'!$B35:$AY35,'recurring2_based on steps'!$B$1:$AY$1,H$1)+SUMIFS('changes2_based on steps'!$B35:$U35,'changes2_based on steps'!$B$1:$U$1,H$1)</f>
        <v>0</v>
      </c>
      <c r="I35" s="140">
        <f>SUMIFS('recurring2_based on steps'!$B35:$AY35,'recurring2_based on steps'!$B$1:$AY$1,I$1)+SUMIFS('changes2_based on steps'!$B35:$U35,'changes2_based on steps'!$B$1:$U$1,I$1)</f>
        <v>0</v>
      </c>
      <c r="J35" s="140">
        <f ca="1">SUMIFS('recurring2_based on steps'!$B35:$AY35,'recurring2_based on steps'!$B$1:$AY$1,J$1)+SUMIFS('changes2_based on steps'!$B35:$U35,'changes2_based on steps'!$B$1:$U$1,J$1)</f>
        <v>0</v>
      </c>
      <c r="K35" s="140">
        <f>SUMIFS('recurring2_based on steps'!$B35:$AY35,'recurring2_based on steps'!$B$1:$AY$1,K$1)+SUMIFS('changes2_based on steps'!$B35:$U35,'changes2_based on steps'!$B$1:$U$1,K$1)</f>
        <v>0</v>
      </c>
      <c r="L35" s="140">
        <f>SUMIFS('recurring2_based on steps'!$B35:$AY35,'recurring2_based on steps'!$B$1:$AY$1,L$1)+SUMIFS('changes2_based on steps'!$B35:$U35,'changes2_based on steps'!$B$1:$U$1,L$1)</f>
        <v>0</v>
      </c>
      <c r="M35" s="140">
        <f>SUMIFS('recurring2_based on steps'!$B35:$AY35,'recurring2_based on steps'!$B$1:$AY$1,M$1)+SUMIFS('changes2_based on steps'!$B35:$U35,'changes2_based on steps'!$B$1:$U$1,M$1)</f>
        <v>0</v>
      </c>
      <c r="N35" s="140">
        <f ca="1">SUMIFS('recurring2_based on steps'!$B35:$AY35,'recurring2_based on steps'!$B$1:$AY$1,N$1)+SUMIFS('changes2_based on steps'!$B35:$U35,'changes2_based on steps'!$B$1:$U$1,N$1)</f>
        <v>0</v>
      </c>
      <c r="O35" s="140">
        <f>SUMIFS('recurring2_based on steps'!$B35:$AY35,'recurring2_based on steps'!$B$1:$AY$1,O$1)+SUMIFS('changes2_based on steps'!$B35:$U35,'changes2_based on steps'!$B$1:$U$1,O$1)</f>
        <v>0</v>
      </c>
      <c r="P35" s="140">
        <f ca="1">SUMIFS('recurring2_based on steps'!$B35:$AY35,'recurring2_based on steps'!$B$1:$AY$1,P$1)+SUMIFS('changes2_based on steps'!$B35:$U35,'changes2_based on steps'!$B$1:$U$1,P$1)</f>
        <v>0</v>
      </c>
      <c r="Q35" s="140">
        <f ca="1">SUMIFS('recurring2_based on steps'!$B35:$AY35,'recurring2_based on steps'!$B$1:$AY$1,Q$1)+SUMIFS('changes2_based on steps'!$B35:$U35,'changes2_based on steps'!$B$1:$U$1,Q$1)</f>
        <v>5.5401662049861494E-2</v>
      </c>
      <c r="R35" s="140">
        <f ca="1">SUMIFS('recurring2_based on steps'!$B35:$AY35,'recurring2_based on steps'!$B$1:$AY$1,R$1)+SUMIFS('changes2_based on steps'!$B35:$U35,'changes2_based on steps'!$B$1:$U$1,R$1)</f>
        <v>0</v>
      </c>
      <c r="S35" s="140">
        <f>SUMIFS('recurring2_based on steps'!$B35:$AY35,'recurring2_based on steps'!$B$1:$AY$1,S$1)+SUMIFS('changes2_based on steps'!$B35:$U35,'changes2_based on steps'!$B$1:$U$1,S$1)</f>
        <v>0</v>
      </c>
      <c r="T35" s="140">
        <f ca="1">SUMIFS('recurring2_based on steps'!$B35:$AY35,'recurring2_based on steps'!$B$1:$AY$1,T$1)+SUMIFS('changes2_based on steps'!$B35:$U35,'changes2_based on steps'!$B$1:$U$1,T$1)</f>
        <v>0</v>
      </c>
      <c r="U35" s="140">
        <f ca="1">SUMIFS('recurring2_based on steps'!$B35:$AY35,'recurring2_based on steps'!$B$1:$AY$1,U$1)+SUMIFS('changes2_based on steps'!$B35:$U35,'changes2_based on steps'!$B$1:$U$1,U$1)</f>
        <v>0</v>
      </c>
      <c r="V35" s="140">
        <f>SUMIFS('recurring2_based on steps'!$B35:$AY35,'recurring2_based on steps'!$B$1:$AY$1,V$1)+SUMIFS('changes2_based on steps'!$B35:$U35,'changes2_based on steps'!$B$1:$U$1,V$1)</f>
        <v>0</v>
      </c>
      <c r="W35" s="140">
        <f>SUMIFS('recurring2_based on steps'!$B35:$AY35,'recurring2_based on steps'!$B$1:$AY$1,W$1)+SUMIFS('changes2_based on steps'!$B35:$U35,'changes2_based on steps'!$B$1:$U$1,W$1)</f>
        <v>0</v>
      </c>
      <c r="X35" s="140">
        <f ca="1">SUMIFS('recurring2_based on steps'!$B35:$AY35,'recurring2_based on steps'!$B$1:$AY$1,X$1)+SUMIFS('changes2_based on steps'!$B35:$U35,'changes2_based on steps'!$B$1:$U$1,X$1)</f>
        <v>0</v>
      </c>
      <c r="Y35" s="140">
        <f ca="1">SUMIFS('recurring2_based on steps'!$B35:$AY35,'recurring2_based on steps'!$B$1:$AY$1,Y$1)+SUMIFS('changes2_based on steps'!$B35:$U35,'changes2_based on steps'!$B$1:$U$1,Y$1)</f>
        <v>0</v>
      </c>
      <c r="Z35" s="140">
        <f>SUMIFS('recurring2_based on steps'!$B35:$AY35,'recurring2_based on steps'!$B$1:$AY$1,Z$1)+SUMIFS('changes2_based on steps'!$B35:$U35,'changes2_based on steps'!$B$1:$U$1,Z$1)</f>
        <v>0</v>
      </c>
      <c r="AA35" s="140">
        <f ca="1">SUMIFS('recurring2_based on steps'!$B35:$AY35,'recurring2_based on steps'!$B$1:$AY$1,AA$1)+SUMIFS('changes2_based on steps'!$B35:$U35,'changes2_based on steps'!$B$1:$U$1,AA$1)</f>
        <v>50</v>
      </c>
      <c r="AB35" s="140">
        <f ca="1">SUMIFS('recurring2_based on steps'!$B35:$AY35,'recurring2_based on steps'!$B$1:$AY$1,AB$1)+SUMIFS('changes2_based on steps'!$B35:$U35,'changes2_based on steps'!$B$1:$U$1,AB$1)</f>
        <v>0</v>
      </c>
      <c r="AC35" s="140">
        <f ca="1">SUMIFS('recurring2_based on steps'!$B35:$AY35,'recurring2_based on steps'!$B$1:$AY$1,AC$1)+SUMIFS('changes2_based on steps'!$B35:$U35,'changes2_based on steps'!$B$1:$U$1,AC$1)</f>
        <v>0</v>
      </c>
      <c r="AD35" s="140">
        <f ca="1">SUMIFS('recurring2_based on steps'!$B35:$AY35,'recurring2_based on steps'!$B$1:$AY$1,AD$1)+SUMIFS('changes2_based on steps'!$B35:$U35,'changes2_based on steps'!$B$1:$U$1,AD$1)</f>
        <v>0</v>
      </c>
      <c r="AE35" s="140">
        <f>SUMIFS('recurring2_based on steps'!$B35:$AY35,'recurring2_based on steps'!$B$1:$AY$1,AE$1)+SUMIFS('changes2_based on steps'!$B35:$U35,'changes2_based on steps'!$B$1:$U$1,AE$1)</f>
        <v>0</v>
      </c>
      <c r="AF35" s="140"/>
      <c r="AG35" s="140"/>
      <c r="AH35" s="140"/>
      <c r="AI35" s="140"/>
      <c r="AJ35" s="140"/>
      <c r="AK35" s="140"/>
      <c r="AL35" s="140"/>
      <c r="AM35" s="140"/>
    </row>
    <row r="36" spans="1:39" x14ac:dyDescent="0.2">
      <c r="A36" s="29">
        <f t="shared" ca="1" si="0"/>
        <v>45776</v>
      </c>
      <c r="B36" s="140">
        <f ca="1">SUMIFS('recurring2_based on steps'!$B36:$AY36,'recurring2_based on steps'!$B$1:$AY$1,B$1)+SUMIFS('changes2_based on steps'!$B36:$U36,'changes2_based on steps'!$B$1:$U$1,B$1)</f>
        <v>0</v>
      </c>
      <c r="C36" s="140">
        <f>SUMIFS('recurring2_based on steps'!$B36:$AY36,'recurring2_based on steps'!$B$1:$AY$1,C$1)+SUMIFS('changes2_based on steps'!$B36:$U36,'changes2_based on steps'!$B$1:$U$1,C$1)</f>
        <v>0</v>
      </c>
      <c r="D36" s="140">
        <f>SUMIFS('recurring2_based on steps'!$B36:$AY36,'recurring2_based on steps'!$B$1:$AY$1,D$1)+SUMIFS('changes2_based on steps'!$B36:$U36,'changes2_based on steps'!$B$1:$U$1,D$1)</f>
        <v>0</v>
      </c>
      <c r="E36" s="140">
        <f>SUMIFS('recurring2_based on steps'!$B36:$AY36,'recurring2_based on steps'!$B$1:$AY$1,E$1)+SUMIFS('changes2_based on steps'!$B36:$U36,'changes2_based on steps'!$B$1:$U$1,E$1)</f>
        <v>0</v>
      </c>
      <c r="F36" s="140">
        <f>SUMIFS('recurring2_based on steps'!$B36:$AY36,'recurring2_based on steps'!$B$1:$AY$1,F$1)+SUMIFS('changes2_based on steps'!$B36:$U36,'changes2_based on steps'!$B$1:$U$1,F$1)</f>
        <v>0</v>
      </c>
      <c r="G36" s="140">
        <f>SUMIFS('recurring2_based on steps'!$B36:$AY36,'recurring2_based on steps'!$B$1:$AY$1,G$1)+SUMIFS('changes2_based on steps'!$B36:$U36,'changes2_based on steps'!$B$1:$U$1,G$1)</f>
        <v>0</v>
      </c>
      <c r="H36" s="140">
        <f>SUMIFS('recurring2_based on steps'!$B36:$AY36,'recurring2_based on steps'!$B$1:$AY$1,H$1)+SUMIFS('changes2_based on steps'!$B36:$U36,'changes2_based on steps'!$B$1:$U$1,H$1)</f>
        <v>0</v>
      </c>
      <c r="I36" s="140">
        <f>SUMIFS('recurring2_based on steps'!$B36:$AY36,'recurring2_based on steps'!$B$1:$AY$1,I$1)+SUMIFS('changes2_based on steps'!$B36:$U36,'changes2_based on steps'!$B$1:$U$1,I$1)</f>
        <v>0</v>
      </c>
      <c r="J36" s="140">
        <f ca="1">SUMIFS('recurring2_based on steps'!$B36:$AY36,'recurring2_based on steps'!$B$1:$AY$1,J$1)+SUMIFS('changes2_based on steps'!$B36:$U36,'changes2_based on steps'!$B$1:$U$1,J$1)</f>
        <v>0</v>
      </c>
      <c r="K36" s="140">
        <f>SUMIFS('recurring2_based on steps'!$B36:$AY36,'recurring2_based on steps'!$B$1:$AY$1,K$1)+SUMIFS('changes2_based on steps'!$B36:$U36,'changes2_based on steps'!$B$1:$U$1,K$1)</f>
        <v>0</v>
      </c>
      <c r="L36" s="140">
        <f>SUMIFS('recurring2_based on steps'!$B36:$AY36,'recurring2_based on steps'!$B$1:$AY$1,L$1)+SUMIFS('changes2_based on steps'!$B36:$U36,'changes2_based on steps'!$B$1:$U$1,L$1)</f>
        <v>0</v>
      </c>
      <c r="M36" s="140">
        <f>SUMIFS('recurring2_based on steps'!$B36:$AY36,'recurring2_based on steps'!$B$1:$AY$1,M$1)+SUMIFS('changes2_based on steps'!$B36:$U36,'changes2_based on steps'!$B$1:$U$1,M$1)</f>
        <v>0</v>
      </c>
      <c r="N36" s="140">
        <f ca="1">SUMIFS('recurring2_based on steps'!$B36:$AY36,'recurring2_based on steps'!$B$1:$AY$1,N$1)+SUMIFS('changes2_based on steps'!$B36:$U36,'changes2_based on steps'!$B$1:$U$1,N$1)</f>
        <v>0</v>
      </c>
      <c r="O36" s="140">
        <f>SUMIFS('recurring2_based on steps'!$B36:$AY36,'recurring2_based on steps'!$B$1:$AY$1,O$1)+SUMIFS('changes2_based on steps'!$B36:$U36,'changes2_based on steps'!$B$1:$U$1,O$1)</f>
        <v>0</v>
      </c>
      <c r="P36" s="140">
        <f ca="1">SUMIFS('recurring2_based on steps'!$B36:$AY36,'recurring2_based on steps'!$B$1:$AY$1,P$1)+SUMIFS('changes2_based on steps'!$B36:$U36,'changes2_based on steps'!$B$1:$U$1,P$1)</f>
        <v>0</v>
      </c>
      <c r="Q36" s="140">
        <f ca="1">SUMIFS('recurring2_based on steps'!$B36:$AY36,'recurring2_based on steps'!$B$1:$AY$1,Q$1)+SUMIFS('changes2_based on steps'!$B36:$U36,'changes2_based on steps'!$B$1:$U$1,Q$1)</f>
        <v>5.5401662049861494E-2</v>
      </c>
      <c r="R36" s="140">
        <f ca="1">SUMIFS('recurring2_based on steps'!$B36:$AY36,'recurring2_based on steps'!$B$1:$AY$1,R$1)+SUMIFS('changes2_based on steps'!$B36:$U36,'changes2_based on steps'!$B$1:$U$1,R$1)</f>
        <v>0</v>
      </c>
      <c r="S36" s="140">
        <f>SUMIFS('recurring2_based on steps'!$B36:$AY36,'recurring2_based on steps'!$B$1:$AY$1,S$1)+SUMIFS('changes2_based on steps'!$B36:$U36,'changes2_based on steps'!$B$1:$U$1,S$1)</f>
        <v>0</v>
      </c>
      <c r="T36" s="140">
        <f ca="1">SUMIFS('recurring2_based on steps'!$B36:$AY36,'recurring2_based on steps'!$B$1:$AY$1,T$1)+SUMIFS('changes2_based on steps'!$B36:$U36,'changes2_based on steps'!$B$1:$U$1,T$1)</f>
        <v>0</v>
      </c>
      <c r="U36" s="140">
        <f ca="1">SUMIFS('recurring2_based on steps'!$B36:$AY36,'recurring2_based on steps'!$B$1:$AY$1,U$1)+SUMIFS('changes2_based on steps'!$B36:$U36,'changes2_based on steps'!$B$1:$U$1,U$1)</f>
        <v>0</v>
      </c>
      <c r="V36" s="140">
        <f>SUMIFS('recurring2_based on steps'!$B36:$AY36,'recurring2_based on steps'!$B$1:$AY$1,V$1)+SUMIFS('changes2_based on steps'!$B36:$U36,'changes2_based on steps'!$B$1:$U$1,V$1)</f>
        <v>0</v>
      </c>
      <c r="W36" s="140">
        <f>SUMIFS('recurring2_based on steps'!$B36:$AY36,'recurring2_based on steps'!$B$1:$AY$1,W$1)+SUMIFS('changes2_based on steps'!$B36:$U36,'changes2_based on steps'!$B$1:$U$1,W$1)</f>
        <v>0</v>
      </c>
      <c r="X36" s="140">
        <f ca="1">SUMIFS('recurring2_based on steps'!$B36:$AY36,'recurring2_based on steps'!$B$1:$AY$1,X$1)+SUMIFS('changes2_based on steps'!$B36:$U36,'changes2_based on steps'!$B$1:$U$1,X$1)</f>
        <v>0</v>
      </c>
      <c r="Y36" s="140">
        <f ca="1">SUMIFS('recurring2_based on steps'!$B36:$AY36,'recurring2_based on steps'!$B$1:$AY$1,Y$1)+SUMIFS('changes2_based on steps'!$B36:$U36,'changes2_based on steps'!$B$1:$U$1,Y$1)</f>
        <v>0</v>
      </c>
      <c r="Z36" s="140">
        <f>SUMIFS('recurring2_based on steps'!$B36:$AY36,'recurring2_based on steps'!$B$1:$AY$1,Z$1)+SUMIFS('changes2_based on steps'!$B36:$U36,'changes2_based on steps'!$B$1:$U$1,Z$1)</f>
        <v>0</v>
      </c>
      <c r="AA36" s="140">
        <f ca="1">SUMIFS('recurring2_based on steps'!$B36:$AY36,'recurring2_based on steps'!$B$1:$AY$1,AA$1)+SUMIFS('changes2_based on steps'!$B36:$U36,'changes2_based on steps'!$B$1:$U$1,AA$1)</f>
        <v>0</v>
      </c>
      <c r="AB36" s="140">
        <f ca="1">SUMIFS('recurring2_based on steps'!$B36:$AY36,'recurring2_based on steps'!$B$1:$AY$1,AB$1)+SUMIFS('changes2_based on steps'!$B36:$U36,'changes2_based on steps'!$B$1:$U$1,AB$1)</f>
        <v>0</v>
      </c>
      <c r="AC36" s="140">
        <f ca="1">SUMIFS('recurring2_based on steps'!$B36:$AY36,'recurring2_based on steps'!$B$1:$AY$1,AC$1)+SUMIFS('changes2_based on steps'!$B36:$U36,'changes2_based on steps'!$B$1:$U$1,AC$1)</f>
        <v>0</v>
      </c>
      <c r="AD36" s="140">
        <f ca="1">SUMIFS('recurring2_based on steps'!$B36:$AY36,'recurring2_based on steps'!$B$1:$AY$1,AD$1)+SUMIFS('changes2_based on steps'!$B36:$U36,'changes2_based on steps'!$B$1:$U$1,AD$1)</f>
        <v>0</v>
      </c>
      <c r="AE36" s="140">
        <f>SUMIFS('recurring2_based on steps'!$B36:$AY36,'recurring2_based on steps'!$B$1:$AY$1,AE$1)+SUMIFS('changes2_based on steps'!$B36:$U36,'changes2_based on steps'!$B$1:$U$1,AE$1)</f>
        <v>0</v>
      </c>
      <c r="AF36" s="140"/>
      <c r="AG36" s="140"/>
      <c r="AH36" s="140"/>
      <c r="AI36" s="140"/>
      <c r="AJ36" s="140"/>
      <c r="AK36" s="140"/>
      <c r="AL36" s="140"/>
      <c r="AM36" s="140"/>
    </row>
    <row r="37" spans="1:39" x14ac:dyDescent="0.2">
      <c r="A37" s="29">
        <f t="shared" ca="1" si="0"/>
        <v>45777</v>
      </c>
      <c r="B37" s="140">
        <f ca="1">SUMIFS('recurring2_based on steps'!$B37:$AY37,'recurring2_based on steps'!$B$1:$AY$1,B$1)+SUMIFS('changes2_based on steps'!$B37:$U37,'changes2_based on steps'!$B$1:$U$1,B$1)</f>
        <v>0</v>
      </c>
      <c r="C37" s="140">
        <f>SUMIFS('recurring2_based on steps'!$B37:$AY37,'recurring2_based on steps'!$B$1:$AY$1,C$1)+SUMIFS('changes2_based on steps'!$B37:$U37,'changes2_based on steps'!$B$1:$U$1,C$1)</f>
        <v>0</v>
      </c>
      <c r="D37" s="140">
        <f>SUMIFS('recurring2_based on steps'!$B37:$AY37,'recurring2_based on steps'!$B$1:$AY$1,D$1)+SUMIFS('changes2_based on steps'!$B37:$U37,'changes2_based on steps'!$B$1:$U$1,D$1)</f>
        <v>0</v>
      </c>
      <c r="E37" s="140">
        <f>SUMIFS('recurring2_based on steps'!$B37:$AY37,'recurring2_based on steps'!$B$1:$AY$1,E$1)+SUMIFS('changes2_based on steps'!$B37:$U37,'changes2_based on steps'!$B$1:$U$1,E$1)</f>
        <v>0</v>
      </c>
      <c r="F37" s="140">
        <f>SUMIFS('recurring2_based on steps'!$B37:$AY37,'recurring2_based on steps'!$B$1:$AY$1,F$1)+SUMIFS('changes2_based on steps'!$B37:$U37,'changes2_based on steps'!$B$1:$U$1,F$1)</f>
        <v>0</v>
      </c>
      <c r="G37" s="140">
        <f>SUMIFS('recurring2_based on steps'!$B37:$AY37,'recurring2_based on steps'!$B$1:$AY$1,G$1)+SUMIFS('changes2_based on steps'!$B37:$U37,'changes2_based on steps'!$B$1:$U$1,G$1)</f>
        <v>0</v>
      </c>
      <c r="H37" s="140">
        <f>SUMIFS('recurring2_based on steps'!$B37:$AY37,'recurring2_based on steps'!$B$1:$AY$1,H$1)+SUMIFS('changes2_based on steps'!$B37:$U37,'changes2_based on steps'!$B$1:$U$1,H$1)</f>
        <v>0</v>
      </c>
      <c r="I37" s="140">
        <f>SUMIFS('recurring2_based on steps'!$B37:$AY37,'recurring2_based on steps'!$B$1:$AY$1,I$1)+SUMIFS('changes2_based on steps'!$B37:$U37,'changes2_based on steps'!$B$1:$U$1,I$1)</f>
        <v>0</v>
      </c>
      <c r="J37" s="140">
        <f ca="1">SUMIFS('recurring2_based on steps'!$B37:$AY37,'recurring2_based on steps'!$B$1:$AY$1,J$1)+SUMIFS('changes2_based on steps'!$B37:$U37,'changes2_based on steps'!$B$1:$U$1,J$1)</f>
        <v>100</v>
      </c>
      <c r="K37" s="140">
        <f>SUMIFS('recurring2_based on steps'!$B37:$AY37,'recurring2_based on steps'!$B$1:$AY$1,K$1)+SUMIFS('changes2_based on steps'!$B37:$U37,'changes2_based on steps'!$B$1:$U$1,K$1)</f>
        <v>0</v>
      </c>
      <c r="L37" s="140">
        <f>SUMIFS('recurring2_based on steps'!$B37:$AY37,'recurring2_based on steps'!$B$1:$AY$1,L$1)+SUMIFS('changes2_based on steps'!$B37:$U37,'changes2_based on steps'!$B$1:$U$1,L$1)</f>
        <v>0</v>
      </c>
      <c r="M37" s="140">
        <f>SUMIFS('recurring2_based on steps'!$B37:$AY37,'recurring2_based on steps'!$B$1:$AY$1,M$1)+SUMIFS('changes2_based on steps'!$B37:$U37,'changes2_based on steps'!$B$1:$U$1,M$1)</f>
        <v>0</v>
      </c>
      <c r="N37" s="140">
        <f ca="1">SUMIFS('recurring2_based on steps'!$B37:$AY37,'recurring2_based on steps'!$B$1:$AY$1,N$1)+SUMIFS('changes2_based on steps'!$B37:$U37,'changes2_based on steps'!$B$1:$U$1,N$1)</f>
        <v>40</v>
      </c>
      <c r="O37" s="140">
        <f>SUMIFS('recurring2_based on steps'!$B37:$AY37,'recurring2_based on steps'!$B$1:$AY$1,O$1)+SUMIFS('changes2_based on steps'!$B37:$U37,'changes2_based on steps'!$B$1:$U$1,O$1)</f>
        <v>0</v>
      </c>
      <c r="P37" s="140">
        <f ca="1">SUMIFS('recurring2_based on steps'!$B37:$AY37,'recurring2_based on steps'!$B$1:$AY$1,P$1)+SUMIFS('changes2_based on steps'!$B37:$U37,'changes2_based on steps'!$B$1:$U$1,P$1)</f>
        <v>0</v>
      </c>
      <c r="Q37" s="140">
        <f ca="1">SUMIFS('recurring2_based on steps'!$B37:$AY37,'recurring2_based on steps'!$B$1:$AY$1,Q$1)+SUMIFS('changes2_based on steps'!$B37:$U37,'changes2_based on steps'!$B$1:$U$1,Q$1)</f>
        <v>5.5401662049861494E-2</v>
      </c>
      <c r="R37" s="140">
        <f ca="1">SUMIFS('recurring2_based on steps'!$B37:$AY37,'recurring2_based on steps'!$B$1:$AY$1,R$1)+SUMIFS('changes2_based on steps'!$B37:$U37,'changes2_based on steps'!$B$1:$U$1,R$1)</f>
        <v>0</v>
      </c>
      <c r="S37" s="140">
        <f>SUMIFS('recurring2_based on steps'!$B37:$AY37,'recurring2_based on steps'!$B$1:$AY$1,S$1)+SUMIFS('changes2_based on steps'!$B37:$U37,'changes2_based on steps'!$B$1:$U$1,S$1)</f>
        <v>0</v>
      </c>
      <c r="T37" s="140">
        <f ca="1">SUMIFS('recurring2_based on steps'!$B37:$AY37,'recurring2_based on steps'!$B$1:$AY$1,T$1)+SUMIFS('changes2_based on steps'!$B37:$U37,'changes2_based on steps'!$B$1:$U$1,T$1)</f>
        <v>0</v>
      </c>
      <c r="U37" s="140">
        <f ca="1">SUMIFS('recurring2_based on steps'!$B37:$AY37,'recurring2_based on steps'!$B$1:$AY$1,U$1)+SUMIFS('changes2_based on steps'!$B37:$U37,'changes2_based on steps'!$B$1:$U$1,U$1)</f>
        <v>0</v>
      </c>
      <c r="V37" s="140">
        <f>SUMIFS('recurring2_based on steps'!$B37:$AY37,'recurring2_based on steps'!$B$1:$AY$1,V$1)+SUMIFS('changes2_based on steps'!$B37:$U37,'changes2_based on steps'!$B$1:$U$1,V$1)</f>
        <v>0</v>
      </c>
      <c r="W37" s="140">
        <f>SUMIFS('recurring2_based on steps'!$B37:$AY37,'recurring2_based on steps'!$B$1:$AY$1,W$1)+SUMIFS('changes2_based on steps'!$B37:$U37,'changes2_based on steps'!$B$1:$U$1,W$1)</f>
        <v>0</v>
      </c>
      <c r="X37" s="140">
        <f ca="1">SUMIFS('recurring2_based on steps'!$B37:$AY37,'recurring2_based on steps'!$B$1:$AY$1,X$1)+SUMIFS('changes2_based on steps'!$B37:$U37,'changes2_based on steps'!$B$1:$U$1,X$1)</f>
        <v>0</v>
      </c>
      <c r="Y37" s="140">
        <f ca="1">SUMIFS('recurring2_based on steps'!$B37:$AY37,'recurring2_based on steps'!$B$1:$AY$1,Y$1)+SUMIFS('changes2_based on steps'!$B37:$U37,'changes2_based on steps'!$B$1:$U$1,Y$1)</f>
        <v>0</v>
      </c>
      <c r="Z37" s="140">
        <f>SUMIFS('recurring2_based on steps'!$B37:$AY37,'recurring2_based on steps'!$B$1:$AY$1,Z$1)+SUMIFS('changes2_based on steps'!$B37:$U37,'changes2_based on steps'!$B$1:$U$1,Z$1)</f>
        <v>0</v>
      </c>
      <c r="AA37" s="140">
        <f ca="1">SUMIFS('recurring2_based on steps'!$B37:$AY37,'recurring2_based on steps'!$B$1:$AY$1,AA$1)+SUMIFS('changes2_based on steps'!$B37:$U37,'changes2_based on steps'!$B$1:$U$1,AA$1)</f>
        <v>0</v>
      </c>
      <c r="AB37" s="140">
        <f ca="1">SUMIFS('recurring2_based on steps'!$B37:$AY37,'recurring2_based on steps'!$B$1:$AY$1,AB$1)+SUMIFS('changes2_based on steps'!$B37:$U37,'changes2_based on steps'!$B$1:$U$1,AB$1)</f>
        <v>0</v>
      </c>
      <c r="AC37" s="140">
        <f ca="1">SUMIFS('recurring2_based on steps'!$B37:$AY37,'recurring2_based on steps'!$B$1:$AY$1,AC$1)+SUMIFS('changes2_based on steps'!$B37:$U37,'changes2_based on steps'!$B$1:$U$1,AC$1)</f>
        <v>0</v>
      </c>
      <c r="AD37" s="140">
        <f ca="1">SUMIFS('recurring2_based on steps'!$B37:$AY37,'recurring2_based on steps'!$B$1:$AY$1,AD$1)+SUMIFS('changes2_based on steps'!$B37:$U37,'changes2_based on steps'!$B$1:$U$1,AD$1)</f>
        <v>0</v>
      </c>
      <c r="AE37" s="140">
        <f>SUMIFS('recurring2_based on steps'!$B37:$AY37,'recurring2_based on steps'!$B$1:$AY$1,AE$1)+SUMIFS('changes2_based on steps'!$B37:$U37,'changes2_based on steps'!$B$1:$U$1,AE$1)</f>
        <v>0</v>
      </c>
      <c r="AF37" s="140"/>
      <c r="AG37" s="140"/>
      <c r="AH37" s="140"/>
      <c r="AI37" s="140"/>
      <c r="AJ37" s="140"/>
      <c r="AK37" s="140"/>
      <c r="AL37" s="140"/>
      <c r="AM37" s="140"/>
    </row>
    <row r="38" spans="1:39" x14ac:dyDescent="0.2">
      <c r="A38" s="29">
        <f t="shared" ca="1" si="0"/>
        <v>45778</v>
      </c>
      <c r="B38" s="140">
        <f ca="1">SUMIFS('recurring2_based on steps'!$B38:$AY38,'recurring2_based on steps'!$B$1:$AY$1,B$1)+SUMIFS('changes2_based on steps'!$B38:$U38,'changes2_based on steps'!$B$1:$U$1,B$1)</f>
        <v>0</v>
      </c>
      <c r="C38" s="140">
        <f>SUMIFS('recurring2_based on steps'!$B38:$AY38,'recurring2_based on steps'!$B$1:$AY$1,C$1)+SUMIFS('changes2_based on steps'!$B38:$U38,'changes2_based on steps'!$B$1:$U$1,C$1)</f>
        <v>0</v>
      </c>
      <c r="D38" s="140">
        <f>SUMIFS('recurring2_based on steps'!$B38:$AY38,'recurring2_based on steps'!$B$1:$AY$1,D$1)+SUMIFS('changes2_based on steps'!$B38:$U38,'changes2_based on steps'!$B$1:$U$1,D$1)</f>
        <v>0</v>
      </c>
      <c r="E38" s="140">
        <f>SUMIFS('recurring2_based on steps'!$B38:$AY38,'recurring2_based on steps'!$B$1:$AY$1,E$1)+SUMIFS('changes2_based on steps'!$B38:$U38,'changes2_based on steps'!$B$1:$U$1,E$1)</f>
        <v>0</v>
      </c>
      <c r="F38" s="140">
        <f>SUMIFS('recurring2_based on steps'!$B38:$AY38,'recurring2_based on steps'!$B$1:$AY$1,F$1)+SUMIFS('changes2_based on steps'!$B38:$U38,'changes2_based on steps'!$B$1:$U$1,F$1)</f>
        <v>0</v>
      </c>
      <c r="G38" s="140">
        <f>SUMIFS('recurring2_based on steps'!$B38:$AY38,'recurring2_based on steps'!$B$1:$AY$1,G$1)+SUMIFS('changes2_based on steps'!$B38:$U38,'changes2_based on steps'!$B$1:$U$1,G$1)</f>
        <v>0</v>
      </c>
      <c r="H38" s="140">
        <f>SUMIFS('recurring2_based on steps'!$B38:$AY38,'recurring2_based on steps'!$B$1:$AY$1,H$1)+SUMIFS('changes2_based on steps'!$B38:$U38,'changes2_based on steps'!$B$1:$U$1,H$1)</f>
        <v>0</v>
      </c>
      <c r="I38" s="140">
        <f>SUMIFS('recurring2_based on steps'!$B38:$AY38,'recurring2_based on steps'!$B$1:$AY$1,I$1)+SUMIFS('changes2_based on steps'!$B38:$U38,'changes2_based on steps'!$B$1:$U$1,I$1)</f>
        <v>0</v>
      </c>
      <c r="J38" s="140">
        <f ca="1">SUMIFS('recurring2_based on steps'!$B38:$AY38,'recurring2_based on steps'!$B$1:$AY$1,J$1)+SUMIFS('changes2_based on steps'!$B38:$U38,'changes2_based on steps'!$B$1:$U$1,J$1)</f>
        <v>0</v>
      </c>
      <c r="K38" s="140">
        <f>SUMIFS('recurring2_based on steps'!$B38:$AY38,'recurring2_based on steps'!$B$1:$AY$1,K$1)+SUMIFS('changes2_based on steps'!$B38:$U38,'changes2_based on steps'!$B$1:$U$1,K$1)</f>
        <v>0</v>
      </c>
      <c r="L38" s="140">
        <f>SUMIFS('recurring2_based on steps'!$B38:$AY38,'recurring2_based on steps'!$B$1:$AY$1,L$1)+SUMIFS('changes2_based on steps'!$B38:$U38,'changes2_based on steps'!$B$1:$U$1,L$1)</f>
        <v>0</v>
      </c>
      <c r="M38" s="140">
        <f>SUMIFS('recurring2_based on steps'!$B38:$AY38,'recurring2_based on steps'!$B$1:$AY$1,M$1)+SUMIFS('changes2_based on steps'!$B38:$U38,'changes2_based on steps'!$B$1:$U$1,M$1)</f>
        <v>0</v>
      </c>
      <c r="N38" s="140">
        <f ca="1">SUMIFS('recurring2_based on steps'!$B38:$AY38,'recurring2_based on steps'!$B$1:$AY$1,N$1)+SUMIFS('changes2_based on steps'!$B38:$U38,'changes2_based on steps'!$B$1:$U$1,N$1)</f>
        <v>2000</v>
      </c>
      <c r="O38" s="140">
        <f>SUMIFS('recurring2_based on steps'!$B38:$AY38,'recurring2_based on steps'!$B$1:$AY$1,O$1)+SUMIFS('changes2_based on steps'!$B38:$U38,'changes2_based on steps'!$B$1:$U$1,O$1)</f>
        <v>0</v>
      </c>
      <c r="P38" s="140">
        <f ca="1">SUMIFS('recurring2_based on steps'!$B38:$AY38,'recurring2_based on steps'!$B$1:$AY$1,P$1)+SUMIFS('changes2_based on steps'!$B38:$U38,'changes2_based on steps'!$B$1:$U$1,P$1)</f>
        <v>0</v>
      </c>
      <c r="Q38" s="140">
        <f ca="1">SUMIFS('recurring2_based on steps'!$B38:$AY38,'recurring2_based on steps'!$B$1:$AY$1,Q$1)+SUMIFS('changes2_based on steps'!$B38:$U38,'changes2_based on steps'!$B$1:$U$1,Q$1)</f>
        <v>5.5401662049861494E-2</v>
      </c>
      <c r="R38" s="140">
        <f ca="1">SUMIFS('recurring2_based on steps'!$B38:$AY38,'recurring2_based on steps'!$B$1:$AY$1,R$1)+SUMIFS('changes2_based on steps'!$B38:$U38,'changes2_based on steps'!$B$1:$U$1,R$1)</f>
        <v>0</v>
      </c>
      <c r="S38" s="140">
        <f>SUMIFS('recurring2_based on steps'!$B38:$AY38,'recurring2_based on steps'!$B$1:$AY$1,S$1)+SUMIFS('changes2_based on steps'!$B38:$U38,'changes2_based on steps'!$B$1:$U$1,S$1)</f>
        <v>0</v>
      </c>
      <c r="T38" s="140">
        <f ca="1">SUMIFS('recurring2_based on steps'!$B38:$AY38,'recurring2_based on steps'!$B$1:$AY$1,T$1)+SUMIFS('changes2_based on steps'!$B38:$U38,'changes2_based on steps'!$B$1:$U$1,T$1)</f>
        <v>0</v>
      </c>
      <c r="U38" s="140">
        <f ca="1">SUMIFS('recurring2_based on steps'!$B38:$AY38,'recurring2_based on steps'!$B$1:$AY$1,U$1)+SUMIFS('changes2_based on steps'!$B38:$U38,'changes2_based on steps'!$B$1:$U$1,U$1)</f>
        <v>0</v>
      </c>
      <c r="V38" s="140">
        <f>SUMIFS('recurring2_based on steps'!$B38:$AY38,'recurring2_based on steps'!$B$1:$AY$1,V$1)+SUMIFS('changes2_based on steps'!$B38:$U38,'changes2_based on steps'!$B$1:$U$1,V$1)</f>
        <v>0</v>
      </c>
      <c r="W38" s="140">
        <f>SUMIFS('recurring2_based on steps'!$B38:$AY38,'recurring2_based on steps'!$B$1:$AY$1,W$1)+SUMIFS('changes2_based on steps'!$B38:$U38,'changes2_based on steps'!$B$1:$U$1,W$1)</f>
        <v>0</v>
      </c>
      <c r="X38" s="140">
        <f ca="1">SUMIFS('recurring2_based on steps'!$B38:$AY38,'recurring2_based on steps'!$B$1:$AY$1,X$1)+SUMIFS('changes2_based on steps'!$B38:$U38,'changes2_based on steps'!$B$1:$U$1,X$1)</f>
        <v>0</v>
      </c>
      <c r="Y38" s="140">
        <f ca="1">SUMIFS('recurring2_based on steps'!$B38:$AY38,'recurring2_based on steps'!$B$1:$AY$1,Y$1)+SUMIFS('changes2_based on steps'!$B38:$U38,'changes2_based on steps'!$B$1:$U$1,Y$1)</f>
        <v>0</v>
      </c>
      <c r="Z38" s="140">
        <f>SUMIFS('recurring2_based on steps'!$B38:$AY38,'recurring2_based on steps'!$B$1:$AY$1,Z$1)+SUMIFS('changes2_based on steps'!$B38:$U38,'changes2_based on steps'!$B$1:$U$1,Z$1)</f>
        <v>0</v>
      </c>
      <c r="AA38" s="140">
        <f ca="1">SUMIFS('recurring2_based on steps'!$B38:$AY38,'recurring2_based on steps'!$B$1:$AY$1,AA$1)+SUMIFS('changes2_based on steps'!$B38:$U38,'changes2_based on steps'!$B$1:$U$1,AA$1)</f>
        <v>0</v>
      </c>
      <c r="AB38" s="140">
        <f ca="1">SUMIFS('recurring2_based on steps'!$B38:$AY38,'recurring2_based on steps'!$B$1:$AY$1,AB$1)+SUMIFS('changes2_based on steps'!$B38:$U38,'changes2_based on steps'!$B$1:$U$1,AB$1)</f>
        <v>0</v>
      </c>
      <c r="AC38" s="140">
        <f ca="1">SUMIFS('recurring2_based on steps'!$B38:$AY38,'recurring2_based on steps'!$B$1:$AY$1,AC$1)+SUMIFS('changes2_based on steps'!$B38:$U38,'changes2_based on steps'!$B$1:$U$1,AC$1)</f>
        <v>0</v>
      </c>
      <c r="AD38" s="140">
        <f ca="1">SUMIFS('recurring2_based on steps'!$B38:$AY38,'recurring2_based on steps'!$B$1:$AY$1,AD$1)+SUMIFS('changes2_based on steps'!$B38:$U38,'changes2_based on steps'!$B$1:$U$1,AD$1)</f>
        <v>0</v>
      </c>
      <c r="AE38" s="140">
        <f>SUMIFS('recurring2_based on steps'!$B38:$AY38,'recurring2_based on steps'!$B$1:$AY$1,AE$1)+SUMIFS('changes2_based on steps'!$B38:$U38,'changes2_based on steps'!$B$1:$U$1,AE$1)</f>
        <v>0</v>
      </c>
      <c r="AF38" s="140"/>
      <c r="AG38" s="140"/>
      <c r="AH38" s="140"/>
      <c r="AI38" s="140"/>
      <c r="AJ38" s="140"/>
      <c r="AK38" s="140"/>
      <c r="AL38" s="140"/>
      <c r="AM38" s="140"/>
    </row>
    <row r="39" spans="1:39" x14ac:dyDescent="0.2">
      <c r="A39" s="29">
        <f t="shared" ca="1" si="0"/>
        <v>45779</v>
      </c>
      <c r="B39" s="140">
        <f ca="1">SUMIFS('recurring2_based on steps'!$B39:$AY39,'recurring2_based on steps'!$B$1:$AY$1,B$1)+SUMIFS('changes2_based on steps'!$B39:$U39,'changes2_based on steps'!$B$1:$U$1,B$1)</f>
        <v>4000</v>
      </c>
      <c r="C39" s="140">
        <f>SUMIFS('recurring2_based on steps'!$B39:$AY39,'recurring2_based on steps'!$B$1:$AY$1,C$1)+SUMIFS('changes2_based on steps'!$B39:$U39,'changes2_based on steps'!$B$1:$U$1,C$1)</f>
        <v>0</v>
      </c>
      <c r="D39" s="140">
        <f>SUMIFS('recurring2_based on steps'!$B39:$AY39,'recurring2_based on steps'!$B$1:$AY$1,D$1)+SUMIFS('changes2_based on steps'!$B39:$U39,'changes2_based on steps'!$B$1:$U$1,D$1)</f>
        <v>0</v>
      </c>
      <c r="E39" s="140">
        <f>SUMIFS('recurring2_based on steps'!$B39:$AY39,'recurring2_based on steps'!$B$1:$AY$1,E$1)+SUMIFS('changes2_based on steps'!$B39:$U39,'changes2_based on steps'!$B$1:$U$1,E$1)</f>
        <v>0</v>
      </c>
      <c r="F39" s="140">
        <f>SUMIFS('recurring2_based on steps'!$B39:$AY39,'recurring2_based on steps'!$B$1:$AY$1,F$1)+SUMIFS('changes2_based on steps'!$B39:$U39,'changes2_based on steps'!$B$1:$U$1,F$1)</f>
        <v>0</v>
      </c>
      <c r="G39" s="140">
        <f>SUMIFS('recurring2_based on steps'!$B39:$AY39,'recurring2_based on steps'!$B$1:$AY$1,G$1)+SUMIFS('changes2_based on steps'!$B39:$U39,'changes2_based on steps'!$B$1:$U$1,G$1)</f>
        <v>0</v>
      </c>
      <c r="H39" s="140">
        <f>SUMIFS('recurring2_based on steps'!$B39:$AY39,'recurring2_based on steps'!$B$1:$AY$1,H$1)+SUMIFS('changes2_based on steps'!$B39:$U39,'changes2_based on steps'!$B$1:$U$1,H$1)</f>
        <v>0</v>
      </c>
      <c r="I39" s="140">
        <f>SUMIFS('recurring2_based on steps'!$B39:$AY39,'recurring2_based on steps'!$B$1:$AY$1,I$1)+SUMIFS('changes2_based on steps'!$B39:$U39,'changes2_based on steps'!$B$1:$U$1,I$1)</f>
        <v>0</v>
      </c>
      <c r="J39" s="140">
        <f ca="1">SUMIFS('recurring2_based on steps'!$B39:$AY39,'recurring2_based on steps'!$B$1:$AY$1,J$1)+SUMIFS('changes2_based on steps'!$B39:$U39,'changes2_based on steps'!$B$1:$U$1,J$1)</f>
        <v>0</v>
      </c>
      <c r="K39" s="140">
        <f>SUMIFS('recurring2_based on steps'!$B39:$AY39,'recurring2_based on steps'!$B$1:$AY$1,K$1)+SUMIFS('changes2_based on steps'!$B39:$U39,'changes2_based on steps'!$B$1:$U$1,K$1)</f>
        <v>0</v>
      </c>
      <c r="L39" s="140">
        <f>SUMIFS('recurring2_based on steps'!$B39:$AY39,'recurring2_based on steps'!$B$1:$AY$1,L$1)+SUMIFS('changes2_based on steps'!$B39:$U39,'changes2_based on steps'!$B$1:$U$1,L$1)</f>
        <v>0</v>
      </c>
      <c r="M39" s="140">
        <f>SUMIFS('recurring2_based on steps'!$B39:$AY39,'recurring2_based on steps'!$B$1:$AY$1,M$1)+SUMIFS('changes2_based on steps'!$B39:$U39,'changes2_based on steps'!$B$1:$U$1,M$1)</f>
        <v>0</v>
      </c>
      <c r="N39" s="140">
        <f ca="1">SUMIFS('recurring2_based on steps'!$B39:$AY39,'recurring2_based on steps'!$B$1:$AY$1,N$1)+SUMIFS('changes2_based on steps'!$B39:$U39,'changes2_based on steps'!$B$1:$U$1,N$1)</f>
        <v>0</v>
      </c>
      <c r="O39" s="140">
        <f>SUMIFS('recurring2_based on steps'!$B39:$AY39,'recurring2_based on steps'!$B$1:$AY$1,O$1)+SUMIFS('changes2_based on steps'!$B39:$U39,'changes2_based on steps'!$B$1:$U$1,O$1)</f>
        <v>0</v>
      </c>
      <c r="P39" s="140">
        <f ca="1">SUMIFS('recurring2_based on steps'!$B39:$AY39,'recurring2_based on steps'!$B$1:$AY$1,P$1)+SUMIFS('changes2_based on steps'!$B39:$U39,'changes2_based on steps'!$B$1:$U$1,P$1)</f>
        <v>0</v>
      </c>
      <c r="Q39" s="140">
        <f ca="1">SUMIFS('recurring2_based on steps'!$B39:$AY39,'recurring2_based on steps'!$B$1:$AY$1,Q$1)+SUMIFS('changes2_based on steps'!$B39:$U39,'changes2_based on steps'!$B$1:$U$1,Q$1)</f>
        <v>5.5401662049861494E-2</v>
      </c>
      <c r="R39" s="140">
        <f ca="1">SUMIFS('recurring2_based on steps'!$B39:$AY39,'recurring2_based on steps'!$B$1:$AY$1,R$1)+SUMIFS('changes2_based on steps'!$B39:$U39,'changes2_based on steps'!$B$1:$U$1,R$1)</f>
        <v>0</v>
      </c>
      <c r="S39" s="140">
        <f>SUMIFS('recurring2_based on steps'!$B39:$AY39,'recurring2_based on steps'!$B$1:$AY$1,S$1)+SUMIFS('changes2_based on steps'!$B39:$U39,'changes2_based on steps'!$B$1:$U$1,S$1)</f>
        <v>0</v>
      </c>
      <c r="T39" s="140">
        <f ca="1">SUMIFS('recurring2_based on steps'!$B39:$AY39,'recurring2_based on steps'!$B$1:$AY$1,T$1)+SUMIFS('changes2_based on steps'!$B39:$U39,'changes2_based on steps'!$B$1:$U$1,T$1)</f>
        <v>50</v>
      </c>
      <c r="U39" s="140">
        <f ca="1">SUMIFS('recurring2_based on steps'!$B39:$AY39,'recurring2_based on steps'!$B$1:$AY$1,U$1)+SUMIFS('changes2_based on steps'!$B39:$U39,'changes2_based on steps'!$B$1:$U$1,U$1)</f>
        <v>200</v>
      </c>
      <c r="V39" s="140">
        <f>SUMIFS('recurring2_based on steps'!$B39:$AY39,'recurring2_based on steps'!$B$1:$AY$1,V$1)+SUMIFS('changes2_based on steps'!$B39:$U39,'changes2_based on steps'!$B$1:$U$1,V$1)</f>
        <v>0</v>
      </c>
      <c r="W39" s="140">
        <f>SUMIFS('recurring2_based on steps'!$B39:$AY39,'recurring2_based on steps'!$B$1:$AY$1,W$1)+SUMIFS('changes2_based on steps'!$B39:$U39,'changes2_based on steps'!$B$1:$U$1,W$1)</f>
        <v>0</v>
      </c>
      <c r="X39" s="140">
        <f ca="1">SUMIFS('recurring2_based on steps'!$B39:$AY39,'recurring2_based on steps'!$B$1:$AY$1,X$1)+SUMIFS('changes2_based on steps'!$B39:$U39,'changes2_based on steps'!$B$1:$U$1,X$1)</f>
        <v>96</v>
      </c>
      <c r="Y39" s="140">
        <f ca="1">SUMIFS('recurring2_based on steps'!$B39:$AY39,'recurring2_based on steps'!$B$1:$AY$1,Y$1)+SUMIFS('changes2_based on steps'!$B39:$U39,'changes2_based on steps'!$B$1:$U$1,Y$1)</f>
        <v>0</v>
      </c>
      <c r="Z39" s="140">
        <f>SUMIFS('recurring2_based on steps'!$B39:$AY39,'recurring2_based on steps'!$B$1:$AY$1,Z$1)+SUMIFS('changes2_based on steps'!$B39:$U39,'changes2_based on steps'!$B$1:$U$1,Z$1)</f>
        <v>0</v>
      </c>
      <c r="AA39" s="140">
        <f ca="1">SUMIFS('recurring2_based on steps'!$B39:$AY39,'recurring2_based on steps'!$B$1:$AY$1,AA$1)+SUMIFS('changes2_based on steps'!$B39:$U39,'changes2_based on steps'!$B$1:$U$1,AA$1)</f>
        <v>0</v>
      </c>
      <c r="AB39" s="140">
        <f ca="1">SUMIFS('recurring2_based on steps'!$B39:$AY39,'recurring2_based on steps'!$B$1:$AY$1,AB$1)+SUMIFS('changes2_based on steps'!$B39:$U39,'changes2_based on steps'!$B$1:$U$1,AB$1)</f>
        <v>0</v>
      </c>
      <c r="AC39" s="140">
        <f ca="1">SUMIFS('recurring2_based on steps'!$B39:$AY39,'recurring2_based on steps'!$B$1:$AY$1,AC$1)+SUMIFS('changes2_based on steps'!$B39:$U39,'changes2_based on steps'!$B$1:$U$1,AC$1)</f>
        <v>0</v>
      </c>
      <c r="AD39" s="140">
        <f ca="1">SUMIFS('recurring2_based on steps'!$B39:$AY39,'recurring2_based on steps'!$B$1:$AY$1,AD$1)+SUMIFS('changes2_based on steps'!$B39:$U39,'changes2_based on steps'!$B$1:$U$1,AD$1)</f>
        <v>50</v>
      </c>
      <c r="AE39" s="140">
        <f>SUMIFS('recurring2_based on steps'!$B39:$AY39,'recurring2_based on steps'!$B$1:$AY$1,AE$1)+SUMIFS('changes2_based on steps'!$B39:$U39,'changes2_based on steps'!$B$1:$U$1,AE$1)</f>
        <v>0</v>
      </c>
      <c r="AF39" s="140"/>
      <c r="AG39" s="140"/>
      <c r="AH39" s="140"/>
      <c r="AI39" s="140"/>
      <c r="AJ39" s="140"/>
      <c r="AK39" s="140"/>
      <c r="AL39" s="140"/>
      <c r="AM39" s="140"/>
    </row>
    <row r="40" spans="1:39" x14ac:dyDescent="0.2">
      <c r="A40" s="29">
        <f t="shared" ca="1" si="0"/>
        <v>45780</v>
      </c>
      <c r="B40" s="140">
        <f ca="1">SUMIFS('recurring2_based on steps'!$B40:$AY40,'recurring2_based on steps'!$B$1:$AY$1,B$1)+SUMIFS('changes2_based on steps'!$B40:$U40,'changes2_based on steps'!$B$1:$U$1,B$1)</f>
        <v>0</v>
      </c>
      <c r="C40" s="140">
        <f>SUMIFS('recurring2_based on steps'!$B40:$AY40,'recurring2_based on steps'!$B$1:$AY$1,C$1)+SUMIFS('changes2_based on steps'!$B40:$U40,'changes2_based on steps'!$B$1:$U$1,C$1)</f>
        <v>0</v>
      </c>
      <c r="D40" s="140">
        <f>SUMIFS('recurring2_based on steps'!$B40:$AY40,'recurring2_based on steps'!$B$1:$AY$1,D$1)+SUMIFS('changes2_based on steps'!$B40:$U40,'changes2_based on steps'!$B$1:$U$1,D$1)</f>
        <v>0</v>
      </c>
      <c r="E40" s="140">
        <f>SUMIFS('recurring2_based on steps'!$B40:$AY40,'recurring2_based on steps'!$B$1:$AY$1,E$1)+SUMIFS('changes2_based on steps'!$B40:$U40,'changes2_based on steps'!$B$1:$U$1,E$1)</f>
        <v>0</v>
      </c>
      <c r="F40" s="140">
        <f>SUMIFS('recurring2_based on steps'!$B40:$AY40,'recurring2_based on steps'!$B$1:$AY$1,F$1)+SUMIFS('changes2_based on steps'!$B40:$U40,'changes2_based on steps'!$B$1:$U$1,F$1)</f>
        <v>0</v>
      </c>
      <c r="G40" s="140">
        <f>SUMIFS('recurring2_based on steps'!$B40:$AY40,'recurring2_based on steps'!$B$1:$AY$1,G$1)+SUMIFS('changes2_based on steps'!$B40:$U40,'changes2_based on steps'!$B$1:$U$1,G$1)</f>
        <v>0</v>
      </c>
      <c r="H40" s="140">
        <f>SUMIFS('recurring2_based on steps'!$B40:$AY40,'recurring2_based on steps'!$B$1:$AY$1,H$1)+SUMIFS('changes2_based on steps'!$B40:$U40,'changes2_based on steps'!$B$1:$U$1,H$1)</f>
        <v>0</v>
      </c>
      <c r="I40" s="140">
        <f>SUMIFS('recurring2_based on steps'!$B40:$AY40,'recurring2_based on steps'!$B$1:$AY$1,I$1)+SUMIFS('changes2_based on steps'!$B40:$U40,'changes2_based on steps'!$B$1:$U$1,I$1)</f>
        <v>0</v>
      </c>
      <c r="J40" s="140">
        <f ca="1">SUMIFS('recurring2_based on steps'!$B40:$AY40,'recurring2_based on steps'!$B$1:$AY$1,J$1)+SUMIFS('changes2_based on steps'!$B40:$U40,'changes2_based on steps'!$B$1:$U$1,J$1)</f>
        <v>0</v>
      </c>
      <c r="K40" s="140">
        <f>SUMIFS('recurring2_based on steps'!$B40:$AY40,'recurring2_based on steps'!$B$1:$AY$1,K$1)+SUMIFS('changes2_based on steps'!$B40:$U40,'changes2_based on steps'!$B$1:$U$1,K$1)</f>
        <v>0</v>
      </c>
      <c r="L40" s="140">
        <f>SUMIFS('recurring2_based on steps'!$B40:$AY40,'recurring2_based on steps'!$B$1:$AY$1,L$1)+SUMIFS('changes2_based on steps'!$B40:$U40,'changes2_based on steps'!$B$1:$U$1,L$1)</f>
        <v>0</v>
      </c>
      <c r="M40" s="140">
        <f>SUMIFS('recurring2_based on steps'!$B40:$AY40,'recurring2_based on steps'!$B$1:$AY$1,M$1)+SUMIFS('changes2_based on steps'!$B40:$U40,'changes2_based on steps'!$B$1:$U$1,M$1)</f>
        <v>0</v>
      </c>
      <c r="N40" s="140">
        <f ca="1">SUMIFS('recurring2_based on steps'!$B40:$AY40,'recurring2_based on steps'!$B$1:$AY$1,N$1)+SUMIFS('changes2_based on steps'!$B40:$U40,'changes2_based on steps'!$B$1:$U$1,N$1)</f>
        <v>0</v>
      </c>
      <c r="O40" s="140">
        <f>SUMIFS('recurring2_based on steps'!$B40:$AY40,'recurring2_based on steps'!$B$1:$AY$1,O$1)+SUMIFS('changes2_based on steps'!$B40:$U40,'changes2_based on steps'!$B$1:$U$1,O$1)</f>
        <v>0</v>
      </c>
      <c r="P40" s="140">
        <f ca="1">SUMIFS('recurring2_based on steps'!$B40:$AY40,'recurring2_based on steps'!$B$1:$AY$1,P$1)+SUMIFS('changes2_based on steps'!$B40:$U40,'changes2_based on steps'!$B$1:$U$1,P$1)</f>
        <v>0</v>
      </c>
      <c r="Q40" s="140">
        <f ca="1">SUMIFS('recurring2_based on steps'!$B40:$AY40,'recurring2_based on steps'!$B$1:$AY$1,Q$1)+SUMIFS('changes2_based on steps'!$B40:$U40,'changes2_based on steps'!$B$1:$U$1,Q$1)</f>
        <v>100.05540166204986</v>
      </c>
      <c r="R40" s="140">
        <f ca="1">SUMIFS('recurring2_based on steps'!$B40:$AY40,'recurring2_based on steps'!$B$1:$AY$1,R$1)+SUMIFS('changes2_based on steps'!$B40:$U40,'changes2_based on steps'!$B$1:$U$1,R$1)</f>
        <v>0</v>
      </c>
      <c r="S40" s="140">
        <f>SUMIFS('recurring2_based on steps'!$B40:$AY40,'recurring2_based on steps'!$B$1:$AY$1,S$1)+SUMIFS('changes2_based on steps'!$B40:$U40,'changes2_based on steps'!$B$1:$U$1,S$1)</f>
        <v>0</v>
      </c>
      <c r="T40" s="140">
        <f ca="1">SUMIFS('recurring2_based on steps'!$B40:$AY40,'recurring2_based on steps'!$B$1:$AY$1,T$1)+SUMIFS('changes2_based on steps'!$B40:$U40,'changes2_based on steps'!$B$1:$U$1,T$1)</f>
        <v>0</v>
      </c>
      <c r="U40" s="140">
        <f ca="1">SUMIFS('recurring2_based on steps'!$B40:$AY40,'recurring2_based on steps'!$B$1:$AY$1,U$1)+SUMIFS('changes2_based on steps'!$B40:$U40,'changes2_based on steps'!$B$1:$U$1,U$1)</f>
        <v>0</v>
      </c>
      <c r="V40" s="140">
        <f>SUMIFS('recurring2_based on steps'!$B40:$AY40,'recurring2_based on steps'!$B$1:$AY$1,V$1)+SUMIFS('changes2_based on steps'!$B40:$U40,'changes2_based on steps'!$B$1:$U$1,V$1)</f>
        <v>0</v>
      </c>
      <c r="W40" s="140">
        <f>SUMIFS('recurring2_based on steps'!$B40:$AY40,'recurring2_based on steps'!$B$1:$AY$1,W$1)+SUMIFS('changes2_based on steps'!$B40:$U40,'changes2_based on steps'!$B$1:$U$1,W$1)</f>
        <v>0</v>
      </c>
      <c r="X40" s="140">
        <f ca="1">SUMIFS('recurring2_based on steps'!$B40:$AY40,'recurring2_based on steps'!$B$1:$AY$1,X$1)+SUMIFS('changes2_based on steps'!$B40:$U40,'changes2_based on steps'!$B$1:$U$1,X$1)</f>
        <v>0</v>
      </c>
      <c r="Y40" s="140">
        <f ca="1">SUMIFS('recurring2_based on steps'!$B40:$AY40,'recurring2_based on steps'!$B$1:$AY$1,Y$1)+SUMIFS('changes2_based on steps'!$B40:$U40,'changes2_based on steps'!$B$1:$U$1,Y$1)</f>
        <v>0</v>
      </c>
      <c r="Z40" s="140">
        <f>SUMIFS('recurring2_based on steps'!$B40:$AY40,'recurring2_based on steps'!$B$1:$AY$1,Z$1)+SUMIFS('changes2_based on steps'!$B40:$U40,'changes2_based on steps'!$B$1:$U$1,Z$1)</f>
        <v>0</v>
      </c>
      <c r="AA40" s="140">
        <f ca="1">SUMIFS('recurring2_based on steps'!$B40:$AY40,'recurring2_based on steps'!$B$1:$AY$1,AA$1)+SUMIFS('changes2_based on steps'!$B40:$U40,'changes2_based on steps'!$B$1:$U$1,AA$1)</f>
        <v>0</v>
      </c>
      <c r="AB40" s="140">
        <f ca="1">SUMIFS('recurring2_based on steps'!$B40:$AY40,'recurring2_based on steps'!$B$1:$AY$1,AB$1)+SUMIFS('changes2_based on steps'!$B40:$U40,'changes2_based on steps'!$B$1:$U$1,AB$1)</f>
        <v>100</v>
      </c>
      <c r="AC40" s="140">
        <f ca="1">SUMIFS('recurring2_based on steps'!$B40:$AY40,'recurring2_based on steps'!$B$1:$AY$1,AC$1)+SUMIFS('changes2_based on steps'!$B40:$U40,'changes2_based on steps'!$B$1:$U$1,AC$1)</f>
        <v>0</v>
      </c>
      <c r="AD40" s="140">
        <f ca="1">SUMIFS('recurring2_based on steps'!$B40:$AY40,'recurring2_based on steps'!$B$1:$AY$1,AD$1)+SUMIFS('changes2_based on steps'!$B40:$U40,'changes2_based on steps'!$B$1:$U$1,AD$1)</f>
        <v>0</v>
      </c>
      <c r="AE40" s="140">
        <f>SUMIFS('recurring2_based on steps'!$B40:$AY40,'recurring2_based on steps'!$B$1:$AY$1,AE$1)+SUMIFS('changes2_based on steps'!$B40:$U40,'changes2_based on steps'!$B$1:$U$1,AE$1)</f>
        <v>0</v>
      </c>
      <c r="AF40" s="140"/>
      <c r="AG40" s="140"/>
      <c r="AH40" s="140"/>
      <c r="AI40" s="140"/>
      <c r="AJ40" s="140"/>
      <c r="AK40" s="140"/>
      <c r="AL40" s="140"/>
      <c r="AM40" s="140"/>
    </row>
    <row r="41" spans="1:39" x14ac:dyDescent="0.2">
      <c r="A41" s="29">
        <f t="shared" ca="1" si="0"/>
        <v>45781</v>
      </c>
      <c r="B41" s="140">
        <f ca="1">SUMIFS('recurring2_based on steps'!$B41:$AY41,'recurring2_based on steps'!$B$1:$AY$1,B$1)+SUMIFS('changes2_based on steps'!$B41:$U41,'changes2_based on steps'!$B$1:$U$1,B$1)</f>
        <v>0</v>
      </c>
      <c r="C41" s="140">
        <f>SUMIFS('recurring2_based on steps'!$B41:$AY41,'recurring2_based on steps'!$B$1:$AY$1,C$1)+SUMIFS('changes2_based on steps'!$B41:$U41,'changes2_based on steps'!$B$1:$U$1,C$1)</f>
        <v>0</v>
      </c>
      <c r="D41" s="140">
        <f>SUMIFS('recurring2_based on steps'!$B41:$AY41,'recurring2_based on steps'!$B$1:$AY$1,D$1)+SUMIFS('changes2_based on steps'!$B41:$U41,'changes2_based on steps'!$B$1:$U$1,D$1)</f>
        <v>0</v>
      </c>
      <c r="E41" s="140">
        <f>SUMIFS('recurring2_based on steps'!$B41:$AY41,'recurring2_based on steps'!$B$1:$AY$1,E$1)+SUMIFS('changes2_based on steps'!$B41:$U41,'changes2_based on steps'!$B$1:$U$1,E$1)</f>
        <v>0</v>
      </c>
      <c r="F41" s="140">
        <f>SUMIFS('recurring2_based on steps'!$B41:$AY41,'recurring2_based on steps'!$B$1:$AY$1,F$1)+SUMIFS('changes2_based on steps'!$B41:$U41,'changes2_based on steps'!$B$1:$U$1,F$1)</f>
        <v>0</v>
      </c>
      <c r="G41" s="140">
        <f>SUMIFS('recurring2_based on steps'!$B41:$AY41,'recurring2_based on steps'!$B$1:$AY$1,G$1)+SUMIFS('changes2_based on steps'!$B41:$U41,'changes2_based on steps'!$B$1:$U$1,G$1)</f>
        <v>0</v>
      </c>
      <c r="H41" s="140">
        <f>SUMIFS('recurring2_based on steps'!$B41:$AY41,'recurring2_based on steps'!$B$1:$AY$1,H$1)+SUMIFS('changes2_based on steps'!$B41:$U41,'changes2_based on steps'!$B$1:$U$1,H$1)</f>
        <v>0</v>
      </c>
      <c r="I41" s="140">
        <f>SUMIFS('recurring2_based on steps'!$B41:$AY41,'recurring2_based on steps'!$B$1:$AY$1,I$1)+SUMIFS('changes2_based on steps'!$B41:$U41,'changes2_based on steps'!$B$1:$U$1,I$1)</f>
        <v>0</v>
      </c>
      <c r="J41" s="140">
        <f ca="1">SUMIFS('recurring2_based on steps'!$B41:$AY41,'recurring2_based on steps'!$B$1:$AY$1,J$1)+SUMIFS('changes2_based on steps'!$B41:$U41,'changes2_based on steps'!$B$1:$U$1,J$1)</f>
        <v>0</v>
      </c>
      <c r="K41" s="140">
        <f>SUMIFS('recurring2_based on steps'!$B41:$AY41,'recurring2_based on steps'!$B$1:$AY$1,K$1)+SUMIFS('changes2_based on steps'!$B41:$U41,'changes2_based on steps'!$B$1:$U$1,K$1)</f>
        <v>0</v>
      </c>
      <c r="L41" s="140">
        <f>SUMIFS('recurring2_based on steps'!$B41:$AY41,'recurring2_based on steps'!$B$1:$AY$1,L$1)+SUMIFS('changes2_based on steps'!$B41:$U41,'changes2_based on steps'!$B$1:$U$1,L$1)</f>
        <v>0</v>
      </c>
      <c r="M41" s="140">
        <f>SUMIFS('recurring2_based on steps'!$B41:$AY41,'recurring2_based on steps'!$B$1:$AY$1,M$1)+SUMIFS('changes2_based on steps'!$B41:$U41,'changes2_based on steps'!$B$1:$U$1,M$1)</f>
        <v>0</v>
      </c>
      <c r="N41" s="140">
        <f ca="1">SUMIFS('recurring2_based on steps'!$B41:$AY41,'recurring2_based on steps'!$B$1:$AY$1,N$1)+SUMIFS('changes2_based on steps'!$B41:$U41,'changes2_based on steps'!$B$1:$U$1,N$1)</f>
        <v>0</v>
      </c>
      <c r="O41" s="140">
        <f>SUMIFS('recurring2_based on steps'!$B41:$AY41,'recurring2_based on steps'!$B$1:$AY$1,O$1)+SUMIFS('changes2_based on steps'!$B41:$U41,'changes2_based on steps'!$B$1:$U$1,O$1)</f>
        <v>0</v>
      </c>
      <c r="P41" s="140">
        <f ca="1">SUMIFS('recurring2_based on steps'!$B41:$AY41,'recurring2_based on steps'!$B$1:$AY$1,P$1)+SUMIFS('changes2_based on steps'!$B41:$U41,'changes2_based on steps'!$B$1:$U$1,P$1)</f>
        <v>0</v>
      </c>
      <c r="Q41" s="140">
        <f ca="1">SUMIFS('recurring2_based on steps'!$B41:$AY41,'recurring2_based on steps'!$B$1:$AY$1,Q$1)+SUMIFS('changes2_based on steps'!$B41:$U41,'changes2_based on steps'!$B$1:$U$1,Q$1)</f>
        <v>100.05540166204986</v>
      </c>
      <c r="R41" s="140">
        <f ca="1">SUMIFS('recurring2_based on steps'!$B41:$AY41,'recurring2_based on steps'!$B$1:$AY$1,R$1)+SUMIFS('changes2_based on steps'!$B41:$U41,'changes2_based on steps'!$B$1:$U$1,R$1)</f>
        <v>15</v>
      </c>
      <c r="S41" s="140">
        <f>SUMIFS('recurring2_based on steps'!$B41:$AY41,'recurring2_based on steps'!$B$1:$AY$1,S$1)+SUMIFS('changes2_based on steps'!$B41:$U41,'changes2_based on steps'!$B$1:$U$1,S$1)</f>
        <v>0</v>
      </c>
      <c r="T41" s="140">
        <f ca="1">SUMIFS('recurring2_based on steps'!$B41:$AY41,'recurring2_based on steps'!$B$1:$AY$1,T$1)+SUMIFS('changes2_based on steps'!$B41:$U41,'changes2_based on steps'!$B$1:$U$1,T$1)</f>
        <v>0</v>
      </c>
      <c r="U41" s="140">
        <f ca="1">SUMIFS('recurring2_based on steps'!$B41:$AY41,'recurring2_based on steps'!$B$1:$AY$1,U$1)+SUMIFS('changes2_based on steps'!$B41:$U41,'changes2_based on steps'!$B$1:$U$1,U$1)</f>
        <v>0</v>
      </c>
      <c r="V41" s="140">
        <f>SUMIFS('recurring2_based on steps'!$B41:$AY41,'recurring2_based on steps'!$B$1:$AY$1,V$1)+SUMIFS('changes2_based on steps'!$B41:$U41,'changes2_based on steps'!$B$1:$U$1,V$1)</f>
        <v>0</v>
      </c>
      <c r="W41" s="140">
        <f>SUMIFS('recurring2_based on steps'!$B41:$AY41,'recurring2_based on steps'!$B$1:$AY$1,W$1)+SUMIFS('changes2_based on steps'!$B41:$U41,'changes2_based on steps'!$B$1:$U$1,W$1)</f>
        <v>0</v>
      </c>
      <c r="X41" s="140">
        <f ca="1">SUMIFS('recurring2_based on steps'!$B41:$AY41,'recurring2_based on steps'!$B$1:$AY$1,X$1)+SUMIFS('changes2_based on steps'!$B41:$U41,'changes2_based on steps'!$B$1:$U$1,X$1)</f>
        <v>0</v>
      </c>
      <c r="Y41" s="140">
        <f ca="1">SUMIFS('recurring2_based on steps'!$B41:$AY41,'recurring2_based on steps'!$B$1:$AY$1,Y$1)+SUMIFS('changes2_based on steps'!$B41:$U41,'changes2_based on steps'!$B$1:$U$1,Y$1)</f>
        <v>50</v>
      </c>
      <c r="Z41" s="140">
        <f>SUMIFS('recurring2_based on steps'!$B41:$AY41,'recurring2_based on steps'!$B$1:$AY$1,Z$1)+SUMIFS('changes2_based on steps'!$B41:$U41,'changes2_based on steps'!$B$1:$U$1,Z$1)</f>
        <v>0</v>
      </c>
      <c r="AA41" s="140">
        <f ca="1">SUMIFS('recurring2_based on steps'!$B41:$AY41,'recurring2_based on steps'!$B$1:$AY$1,AA$1)+SUMIFS('changes2_based on steps'!$B41:$U41,'changes2_based on steps'!$B$1:$U$1,AA$1)</f>
        <v>0</v>
      </c>
      <c r="AB41" s="140">
        <f ca="1">SUMIFS('recurring2_based on steps'!$B41:$AY41,'recurring2_based on steps'!$B$1:$AY$1,AB$1)+SUMIFS('changes2_based on steps'!$B41:$U41,'changes2_based on steps'!$B$1:$U$1,AB$1)</f>
        <v>0</v>
      </c>
      <c r="AC41" s="140">
        <f ca="1">SUMIFS('recurring2_based on steps'!$B41:$AY41,'recurring2_based on steps'!$B$1:$AY$1,AC$1)+SUMIFS('changes2_based on steps'!$B41:$U41,'changes2_based on steps'!$B$1:$U$1,AC$1)</f>
        <v>0</v>
      </c>
      <c r="AD41" s="140">
        <f ca="1">SUMIFS('recurring2_based on steps'!$B41:$AY41,'recurring2_based on steps'!$B$1:$AY$1,AD$1)+SUMIFS('changes2_based on steps'!$B41:$U41,'changes2_based on steps'!$B$1:$U$1,AD$1)</f>
        <v>0</v>
      </c>
      <c r="AE41" s="140">
        <f>SUMIFS('recurring2_based on steps'!$B41:$AY41,'recurring2_based on steps'!$B$1:$AY$1,AE$1)+SUMIFS('changes2_based on steps'!$B41:$U41,'changes2_based on steps'!$B$1:$U$1,AE$1)</f>
        <v>0</v>
      </c>
      <c r="AF41" s="140"/>
      <c r="AG41" s="140"/>
      <c r="AH41" s="140"/>
      <c r="AI41" s="140"/>
      <c r="AJ41" s="140"/>
      <c r="AK41" s="140"/>
      <c r="AL41" s="140"/>
      <c r="AM41" s="140"/>
    </row>
    <row r="42" spans="1:39" x14ac:dyDescent="0.2">
      <c r="A42" s="29">
        <f t="shared" ca="1" si="0"/>
        <v>45782</v>
      </c>
      <c r="B42" s="140">
        <f ca="1">SUMIFS('recurring2_based on steps'!$B42:$AY42,'recurring2_based on steps'!$B$1:$AY$1,B$1)+SUMIFS('changes2_based on steps'!$B42:$U42,'changes2_based on steps'!$B$1:$U$1,B$1)</f>
        <v>0</v>
      </c>
      <c r="C42" s="140">
        <f>SUMIFS('recurring2_based on steps'!$B42:$AY42,'recurring2_based on steps'!$B$1:$AY$1,C$1)+SUMIFS('changes2_based on steps'!$B42:$U42,'changes2_based on steps'!$B$1:$U$1,C$1)</f>
        <v>0</v>
      </c>
      <c r="D42" s="140">
        <f>SUMIFS('recurring2_based on steps'!$B42:$AY42,'recurring2_based on steps'!$B$1:$AY$1,D$1)+SUMIFS('changes2_based on steps'!$B42:$U42,'changes2_based on steps'!$B$1:$U$1,D$1)</f>
        <v>0</v>
      </c>
      <c r="E42" s="140">
        <f>SUMIFS('recurring2_based on steps'!$B42:$AY42,'recurring2_based on steps'!$B$1:$AY$1,E$1)+SUMIFS('changes2_based on steps'!$B42:$U42,'changes2_based on steps'!$B$1:$U$1,E$1)</f>
        <v>0</v>
      </c>
      <c r="F42" s="140">
        <f>SUMIFS('recurring2_based on steps'!$B42:$AY42,'recurring2_based on steps'!$B$1:$AY$1,F$1)+SUMIFS('changes2_based on steps'!$B42:$U42,'changes2_based on steps'!$B$1:$U$1,F$1)</f>
        <v>0</v>
      </c>
      <c r="G42" s="140">
        <f>SUMIFS('recurring2_based on steps'!$B42:$AY42,'recurring2_based on steps'!$B$1:$AY$1,G$1)+SUMIFS('changes2_based on steps'!$B42:$U42,'changes2_based on steps'!$B$1:$U$1,G$1)</f>
        <v>0</v>
      </c>
      <c r="H42" s="140">
        <f>SUMIFS('recurring2_based on steps'!$B42:$AY42,'recurring2_based on steps'!$B$1:$AY$1,H$1)+SUMIFS('changes2_based on steps'!$B42:$U42,'changes2_based on steps'!$B$1:$U$1,H$1)</f>
        <v>0</v>
      </c>
      <c r="I42" s="140">
        <f>SUMIFS('recurring2_based on steps'!$B42:$AY42,'recurring2_based on steps'!$B$1:$AY$1,I$1)+SUMIFS('changes2_based on steps'!$B42:$U42,'changes2_based on steps'!$B$1:$U$1,I$1)</f>
        <v>0</v>
      </c>
      <c r="J42" s="140">
        <f ca="1">SUMIFS('recurring2_based on steps'!$B42:$AY42,'recurring2_based on steps'!$B$1:$AY$1,J$1)+SUMIFS('changes2_based on steps'!$B42:$U42,'changes2_based on steps'!$B$1:$U$1,J$1)</f>
        <v>0</v>
      </c>
      <c r="K42" s="140">
        <f>SUMIFS('recurring2_based on steps'!$B42:$AY42,'recurring2_based on steps'!$B$1:$AY$1,K$1)+SUMIFS('changes2_based on steps'!$B42:$U42,'changes2_based on steps'!$B$1:$U$1,K$1)</f>
        <v>0</v>
      </c>
      <c r="L42" s="140">
        <f>SUMIFS('recurring2_based on steps'!$B42:$AY42,'recurring2_based on steps'!$B$1:$AY$1,L$1)+SUMIFS('changes2_based on steps'!$B42:$U42,'changes2_based on steps'!$B$1:$U$1,L$1)</f>
        <v>0</v>
      </c>
      <c r="M42" s="140">
        <f>SUMIFS('recurring2_based on steps'!$B42:$AY42,'recurring2_based on steps'!$B$1:$AY$1,M$1)+SUMIFS('changes2_based on steps'!$B42:$U42,'changes2_based on steps'!$B$1:$U$1,M$1)</f>
        <v>0</v>
      </c>
      <c r="N42" s="140">
        <f ca="1">SUMIFS('recurring2_based on steps'!$B42:$AY42,'recurring2_based on steps'!$B$1:$AY$1,N$1)+SUMIFS('changes2_based on steps'!$B42:$U42,'changes2_based on steps'!$B$1:$U$1,N$1)</f>
        <v>0</v>
      </c>
      <c r="O42" s="140">
        <f>SUMIFS('recurring2_based on steps'!$B42:$AY42,'recurring2_based on steps'!$B$1:$AY$1,O$1)+SUMIFS('changes2_based on steps'!$B42:$U42,'changes2_based on steps'!$B$1:$U$1,O$1)</f>
        <v>0</v>
      </c>
      <c r="P42" s="140">
        <f ca="1">SUMIFS('recurring2_based on steps'!$B42:$AY42,'recurring2_based on steps'!$B$1:$AY$1,P$1)+SUMIFS('changes2_based on steps'!$B42:$U42,'changes2_based on steps'!$B$1:$U$1,P$1)</f>
        <v>0</v>
      </c>
      <c r="Q42" s="140">
        <f ca="1">SUMIFS('recurring2_based on steps'!$B42:$AY42,'recurring2_based on steps'!$B$1:$AY$1,Q$1)+SUMIFS('changes2_based on steps'!$B42:$U42,'changes2_based on steps'!$B$1:$U$1,Q$1)</f>
        <v>5.5401662049861494E-2</v>
      </c>
      <c r="R42" s="140">
        <f ca="1">SUMIFS('recurring2_based on steps'!$B42:$AY42,'recurring2_based on steps'!$B$1:$AY$1,R$1)+SUMIFS('changes2_based on steps'!$B42:$U42,'changes2_based on steps'!$B$1:$U$1,R$1)</f>
        <v>0</v>
      </c>
      <c r="S42" s="140">
        <f>SUMIFS('recurring2_based on steps'!$B42:$AY42,'recurring2_based on steps'!$B$1:$AY$1,S$1)+SUMIFS('changes2_based on steps'!$B42:$U42,'changes2_based on steps'!$B$1:$U$1,S$1)</f>
        <v>0</v>
      </c>
      <c r="T42" s="140">
        <f ca="1">SUMIFS('recurring2_based on steps'!$B42:$AY42,'recurring2_based on steps'!$B$1:$AY$1,T$1)+SUMIFS('changes2_based on steps'!$B42:$U42,'changes2_based on steps'!$B$1:$U$1,T$1)</f>
        <v>0</v>
      </c>
      <c r="U42" s="140">
        <f ca="1">SUMIFS('recurring2_based on steps'!$B42:$AY42,'recurring2_based on steps'!$B$1:$AY$1,U$1)+SUMIFS('changes2_based on steps'!$B42:$U42,'changes2_based on steps'!$B$1:$U$1,U$1)</f>
        <v>0</v>
      </c>
      <c r="V42" s="140">
        <f>SUMIFS('recurring2_based on steps'!$B42:$AY42,'recurring2_based on steps'!$B$1:$AY$1,V$1)+SUMIFS('changes2_based on steps'!$B42:$U42,'changes2_based on steps'!$B$1:$U$1,V$1)</f>
        <v>0</v>
      </c>
      <c r="W42" s="140">
        <f>SUMIFS('recurring2_based on steps'!$B42:$AY42,'recurring2_based on steps'!$B$1:$AY$1,W$1)+SUMIFS('changes2_based on steps'!$B42:$U42,'changes2_based on steps'!$B$1:$U$1,W$1)</f>
        <v>0</v>
      </c>
      <c r="X42" s="140">
        <f ca="1">SUMIFS('recurring2_based on steps'!$B42:$AY42,'recurring2_based on steps'!$B$1:$AY$1,X$1)+SUMIFS('changes2_based on steps'!$B42:$U42,'changes2_based on steps'!$B$1:$U$1,X$1)</f>
        <v>0</v>
      </c>
      <c r="Y42" s="140">
        <f ca="1">SUMIFS('recurring2_based on steps'!$B42:$AY42,'recurring2_based on steps'!$B$1:$AY$1,Y$1)+SUMIFS('changes2_based on steps'!$B42:$U42,'changes2_based on steps'!$B$1:$U$1,Y$1)</f>
        <v>0</v>
      </c>
      <c r="Z42" s="140">
        <f>SUMIFS('recurring2_based on steps'!$B42:$AY42,'recurring2_based on steps'!$B$1:$AY$1,Z$1)+SUMIFS('changes2_based on steps'!$B42:$U42,'changes2_based on steps'!$B$1:$U$1,Z$1)</f>
        <v>0</v>
      </c>
      <c r="AA42" s="140">
        <f ca="1">SUMIFS('recurring2_based on steps'!$B42:$AY42,'recurring2_based on steps'!$B$1:$AY$1,AA$1)+SUMIFS('changes2_based on steps'!$B42:$U42,'changes2_based on steps'!$B$1:$U$1,AA$1)</f>
        <v>0</v>
      </c>
      <c r="AB42" s="140">
        <f ca="1">SUMIFS('recurring2_based on steps'!$B42:$AY42,'recurring2_based on steps'!$B$1:$AY$1,AB$1)+SUMIFS('changes2_based on steps'!$B42:$U42,'changes2_based on steps'!$B$1:$U$1,AB$1)</f>
        <v>0</v>
      </c>
      <c r="AC42" s="140">
        <f ca="1">SUMIFS('recurring2_based on steps'!$B42:$AY42,'recurring2_based on steps'!$B$1:$AY$1,AC$1)+SUMIFS('changes2_based on steps'!$B42:$U42,'changes2_based on steps'!$B$1:$U$1,AC$1)</f>
        <v>0</v>
      </c>
      <c r="AD42" s="140">
        <f ca="1">SUMIFS('recurring2_based on steps'!$B42:$AY42,'recurring2_based on steps'!$B$1:$AY$1,AD$1)+SUMIFS('changes2_based on steps'!$B42:$U42,'changes2_based on steps'!$B$1:$U$1,AD$1)</f>
        <v>0</v>
      </c>
      <c r="AE42" s="140">
        <f>SUMIFS('recurring2_based on steps'!$B42:$AY42,'recurring2_based on steps'!$B$1:$AY$1,AE$1)+SUMIFS('changes2_based on steps'!$B42:$U42,'changes2_based on steps'!$B$1:$U$1,AE$1)</f>
        <v>0</v>
      </c>
      <c r="AF42" s="140"/>
      <c r="AG42" s="140"/>
      <c r="AH42" s="140"/>
      <c r="AI42" s="140"/>
      <c r="AJ42" s="140"/>
      <c r="AK42" s="140"/>
      <c r="AL42" s="140"/>
      <c r="AM42" s="140"/>
    </row>
    <row r="43" spans="1:39" x14ac:dyDescent="0.2">
      <c r="A43" s="29">
        <f t="shared" ca="1" si="0"/>
        <v>45783</v>
      </c>
      <c r="B43" s="140">
        <f ca="1">SUMIFS('recurring2_based on steps'!$B43:$AY43,'recurring2_based on steps'!$B$1:$AY$1,B$1)+SUMIFS('changes2_based on steps'!$B43:$U43,'changes2_based on steps'!$B$1:$U$1,B$1)</f>
        <v>0</v>
      </c>
      <c r="C43" s="140">
        <f>SUMIFS('recurring2_based on steps'!$B43:$AY43,'recurring2_based on steps'!$B$1:$AY$1,C$1)+SUMIFS('changes2_based on steps'!$B43:$U43,'changes2_based on steps'!$B$1:$U$1,C$1)</f>
        <v>0</v>
      </c>
      <c r="D43" s="140">
        <f>SUMIFS('recurring2_based on steps'!$B43:$AY43,'recurring2_based on steps'!$B$1:$AY$1,D$1)+SUMIFS('changes2_based on steps'!$B43:$U43,'changes2_based on steps'!$B$1:$U$1,D$1)</f>
        <v>0</v>
      </c>
      <c r="E43" s="140">
        <f>SUMIFS('recurring2_based on steps'!$B43:$AY43,'recurring2_based on steps'!$B$1:$AY$1,E$1)+SUMIFS('changes2_based on steps'!$B43:$U43,'changes2_based on steps'!$B$1:$U$1,E$1)</f>
        <v>0</v>
      </c>
      <c r="F43" s="140">
        <f>SUMIFS('recurring2_based on steps'!$B43:$AY43,'recurring2_based on steps'!$B$1:$AY$1,F$1)+SUMIFS('changes2_based on steps'!$B43:$U43,'changes2_based on steps'!$B$1:$U$1,F$1)</f>
        <v>0</v>
      </c>
      <c r="G43" s="140">
        <f>SUMIFS('recurring2_based on steps'!$B43:$AY43,'recurring2_based on steps'!$B$1:$AY$1,G$1)+SUMIFS('changes2_based on steps'!$B43:$U43,'changes2_based on steps'!$B$1:$U$1,G$1)</f>
        <v>0</v>
      </c>
      <c r="H43" s="140">
        <f>SUMIFS('recurring2_based on steps'!$B43:$AY43,'recurring2_based on steps'!$B$1:$AY$1,H$1)+SUMIFS('changes2_based on steps'!$B43:$U43,'changes2_based on steps'!$B$1:$U$1,H$1)</f>
        <v>0</v>
      </c>
      <c r="I43" s="140">
        <f>SUMIFS('recurring2_based on steps'!$B43:$AY43,'recurring2_based on steps'!$B$1:$AY$1,I$1)+SUMIFS('changes2_based on steps'!$B43:$U43,'changes2_based on steps'!$B$1:$U$1,I$1)</f>
        <v>0</v>
      </c>
      <c r="J43" s="140">
        <f ca="1">SUMIFS('recurring2_based on steps'!$B43:$AY43,'recurring2_based on steps'!$B$1:$AY$1,J$1)+SUMIFS('changes2_based on steps'!$B43:$U43,'changes2_based on steps'!$B$1:$U$1,J$1)</f>
        <v>0</v>
      </c>
      <c r="K43" s="140">
        <f>SUMIFS('recurring2_based on steps'!$B43:$AY43,'recurring2_based on steps'!$B$1:$AY$1,K$1)+SUMIFS('changes2_based on steps'!$B43:$U43,'changes2_based on steps'!$B$1:$U$1,K$1)</f>
        <v>0</v>
      </c>
      <c r="L43" s="140">
        <f>SUMIFS('recurring2_based on steps'!$B43:$AY43,'recurring2_based on steps'!$B$1:$AY$1,L$1)+SUMIFS('changes2_based on steps'!$B43:$U43,'changes2_based on steps'!$B$1:$U$1,L$1)</f>
        <v>0</v>
      </c>
      <c r="M43" s="140">
        <f>SUMIFS('recurring2_based on steps'!$B43:$AY43,'recurring2_based on steps'!$B$1:$AY$1,M$1)+SUMIFS('changes2_based on steps'!$B43:$U43,'changes2_based on steps'!$B$1:$U$1,M$1)</f>
        <v>0</v>
      </c>
      <c r="N43" s="140">
        <f ca="1">SUMIFS('recurring2_based on steps'!$B43:$AY43,'recurring2_based on steps'!$B$1:$AY$1,N$1)+SUMIFS('changes2_based on steps'!$B43:$U43,'changes2_based on steps'!$B$1:$U$1,N$1)</f>
        <v>0</v>
      </c>
      <c r="O43" s="140">
        <f>SUMIFS('recurring2_based on steps'!$B43:$AY43,'recurring2_based on steps'!$B$1:$AY$1,O$1)+SUMIFS('changes2_based on steps'!$B43:$U43,'changes2_based on steps'!$B$1:$U$1,O$1)</f>
        <v>0</v>
      </c>
      <c r="P43" s="140">
        <f ca="1">SUMIFS('recurring2_based on steps'!$B43:$AY43,'recurring2_based on steps'!$B$1:$AY$1,P$1)+SUMIFS('changes2_based on steps'!$B43:$U43,'changes2_based on steps'!$B$1:$U$1,P$1)</f>
        <v>0</v>
      </c>
      <c r="Q43" s="140">
        <f ca="1">SUMIFS('recurring2_based on steps'!$B43:$AY43,'recurring2_based on steps'!$B$1:$AY$1,Q$1)+SUMIFS('changes2_based on steps'!$B43:$U43,'changes2_based on steps'!$B$1:$U$1,Q$1)</f>
        <v>5.5401662049861494E-2</v>
      </c>
      <c r="R43" s="140">
        <f ca="1">SUMIFS('recurring2_based on steps'!$B43:$AY43,'recurring2_based on steps'!$B$1:$AY$1,R$1)+SUMIFS('changes2_based on steps'!$B43:$U43,'changes2_based on steps'!$B$1:$U$1,R$1)</f>
        <v>0</v>
      </c>
      <c r="S43" s="140">
        <f>SUMIFS('recurring2_based on steps'!$B43:$AY43,'recurring2_based on steps'!$B$1:$AY$1,S$1)+SUMIFS('changes2_based on steps'!$B43:$U43,'changes2_based on steps'!$B$1:$U$1,S$1)</f>
        <v>0</v>
      </c>
      <c r="T43" s="140">
        <f ca="1">SUMIFS('recurring2_based on steps'!$B43:$AY43,'recurring2_based on steps'!$B$1:$AY$1,T$1)+SUMIFS('changes2_based on steps'!$B43:$U43,'changes2_based on steps'!$B$1:$U$1,T$1)</f>
        <v>0</v>
      </c>
      <c r="U43" s="140">
        <f ca="1">SUMIFS('recurring2_based on steps'!$B43:$AY43,'recurring2_based on steps'!$B$1:$AY$1,U$1)+SUMIFS('changes2_based on steps'!$B43:$U43,'changes2_based on steps'!$B$1:$U$1,U$1)</f>
        <v>0</v>
      </c>
      <c r="V43" s="140">
        <f>SUMIFS('recurring2_based on steps'!$B43:$AY43,'recurring2_based on steps'!$B$1:$AY$1,V$1)+SUMIFS('changes2_based on steps'!$B43:$U43,'changes2_based on steps'!$B$1:$U$1,V$1)</f>
        <v>0</v>
      </c>
      <c r="W43" s="140">
        <f>SUMIFS('recurring2_based on steps'!$B43:$AY43,'recurring2_based on steps'!$B$1:$AY$1,W$1)+SUMIFS('changes2_based on steps'!$B43:$U43,'changes2_based on steps'!$B$1:$U$1,W$1)</f>
        <v>0</v>
      </c>
      <c r="X43" s="140">
        <f ca="1">SUMIFS('recurring2_based on steps'!$B43:$AY43,'recurring2_based on steps'!$B$1:$AY$1,X$1)+SUMIFS('changes2_based on steps'!$B43:$U43,'changes2_based on steps'!$B$1:$U$1,X$1)</f>
        <v>0</v>
      </c>
      <c r="Y43" s="140">
        <f ca="1">SUMIFS('recurring2_based on steps'!$B43:$AY43,'recurring2_based on steps'!$B$1:$AY$1,Y$1)+SUMIFS('changes2_based on steps'!$B43:$U43,'changes2_based on steps'!$B$1:$U$1,Y$1)</f>
        <v>0</v>
      </c>
      <c r="Z43" s="140">
        <f>SUMIFS('recurring2_based on steps'!$B43:$AY43,'recurring2_based on steps'!$B$1:$AY$1,Z$1)+SUMIFS('changes2_based on steps'!$B43:$U43,'changes2_based on steps'!$B$1:$U$1,Z$1)</f>
        <v>0</v>
      </c>
      <c r="AA43" s="140">
        <f ca="1">SUMIFS('recurring2_based on steps'!$B43:$AY43,'recurring2_based on steps'!$B$1:$AY$1,AA$1)+SUMIFS('changes2_based on steps'!$B43:$U43,'changes2_based on steps'!$B$1:$U$1,AA$1)</f>
        <v>0</v>
      </c>
      <c r="AB43" s="140">
        <f ca="1">SUMIFS('recurring2_based on steps'!$B43:$AY43,'recurring2_based on steps'!$B$1:$AY$1,AB$1)+SUMIFS('changes2_based on steps'!$B43:$U43,'changes2_based on steps'!$B$1:$U$1,AB$1)</f>
        <v>0</v>
      </c>
      <c r="AC43" s="140">
        <f ca="1">SUMIFS('recurring2_based on steps'!$B43:$AY43,'recurring2_based on steps'!$B$1:$AY$1,AC$1)+SUMIFS('changes2_based on steps'!$B43:$U43,'changes2_based on steps'!$B$1:$U$1,AC$1)</f>
        <v>0</v>
      </c>
      <c r="AD43" s="140">
        <f ca="1">SUMIFS('recurring2_based on steps'!$B43:$AY43,'recurring2_based on steps'!$B$1:$AY$1,AD$1)+SUMIFS('changes2_based on steps'!$B43:$U43,'changes2_based on steps'!$B$1:$U$1,AD$1)</f>
        <v>0</v>
      </c>
      <c r="AE43" s="140">
        <f>SUMIFS('recurring2_based on steps'!$B43:$AY43,'recurring2_based on steps'!$B$1:$AY$1,AE$1)+SUMIFS('changes2_based on steps'!$B43:$U43,'changes2_based on steps'!$B$1:$U$1,AE$1)</f>
        <v>0</v>
      </c>
      <c r="AF43" s="140"/>
      <c r="AG43" s="140"/>
      <c r="AH43" s="140"/>
      <c r="AI43" s="140"/>
      <c r="AJ43" s="140"/>
      <c r="AK43" s="140"/>
      <c r="AL43" s="140"/>
      <c r="AM43" s="140"/>
    </row>
    <row r="44" spans="1:39" x14ac:dyDescent="0.2">
      <c r="A44" s="29">
        <f t="shared" ca="1" si="0"/>
        <v>45784</v>
      </c>
      <c r="B44" s="140">
        <f ca="1">SUMIFS('recurring2_based on steps'!$B44:$AY44,'recurring2_based on steps'!$B$1:$AY$1,B$1)+SUMIFS('changes2_based on steps'!$B44:$U44,'changes2_based on steps'!$B$1:$U$1,B$1)</f>
        <v>0</v>
      </c>
      <c r="C44" s="140">
        <f>SUMIFS('recurring2_based on steps'!$B44:$AY44,'recurring2_based on steps'!$B$1:$AY$1,C$1)+SUMIFS('changes2_based on steps'!$B44:$U44,'changes2_based on steps'!$B$1:$U$1,C$1)</f>
        <v>0</v>
      </c>
      <c r="D44" s="140">
        <f>SUMIFS('recurring2_based on steps'!$B44:$AY44,'recurring2_based on steps'!$B$1:$AY$1,D$1)+SUMIFS('changes2_based on steps'!$B44:$U44,'changes2_based on steps'!$B$1:$U$1,D$1)</f>
        <v>0</v>
      </c>
      <c r="E44" s="140">
        <f>SUMIFS('recurring2_based on steps'!$B44:$AY44,'recurring2_based on steps'!$B$1:$AY$1,E$1)+SUMIFS('changes2_based on steps'!$B44:$U44,'changes2_based on steps'!$B$1:$U$1,E$1)</f>
        <v>0</v>
      </c>
      <c r="F44" s="140">
        <f>SUMIFS('recurring2_based on steps'!$B44:$AY44,'recurring2_based on steps'!$B$1:$AY$1,F$1)+SUMIFS('changes2_based on steps'!$B44:$U44,'changes2_based on steps'!$B$1:$U$1,F$1)</f>
        <v>0</v>
      </c>
      <c r="G44" s="140">
        <f>SUMIFS('recurring2_based on steps'!$B44:$AY44,'recurring2_based on steps'!$B$1:$AY$1,G$1)+SUMIFS('changes2_based on steps'!$B44:$U44,'changes2_based on steps'!$B$1:$U$1,G$1)</f>
        <v>0</v>
      </c>
      <c r="H44" s="140">
        <f>SUMIFS('recurring2_based on steps'!$B44:$AY44,'recurring2_based on steps'!$B$1:$AY$1,H$1)+SUMIFS('changes2_based on steps'!$B44:$U44,'changes2_based on steps'!$B$1:$U$1,H$1)</f>
        <v>0</v>
      </c>
      <c r="I44" s="140">
        <f>SUMIFS('recurring2_based on steps'!$B44:$AY44,'recurring2_based on steps'!$B$1:$AY$1,I$1)+SUMIFS('changes2_based on steps'!$B44:$U44,'changes2_based on steps'!$B$1:$U$1,I$1)</f>
        <v>0</v>
      </c>
      <c r="J44" s="140">
        <f ca="1">SUMIFS('recurring2_based on steps'!$B44:$AY44,'recurring2_based on steps'!$B$1:$AY$1,J$1)+SUMIFS('changes2_based on steps'!$B44:$U44,'changes2_based on steps'!$B$1:$U$1,J$1)</f>
        <v>0</v>
      </c>
      <c r="K44" s="140">
        <f>SUMIFS('recurring2_based on steps'!$B44:$AY44,'recurring2_based on steps'!$B$1:$AY$1,K$1)+SUMIFS('changes2_based on steps'!$B44:$U44,'changes2_based on steps'!$B$1:$U$1,K$1)</f>
        <v>0</v>
      </c>
      <c r="L44" s="140">
        <f>SUMIFS('recurring2_based on steps'!$B44:$AY44,'recurring2_based on steps'!$B$1:$AY$1,L$1)+SUMIFS('changes2_based on steps'!$B44:$U44,'changes2_based on steps'!$B$1:$U$1,L$1)</f>
        <v>0</v>
      </c>
      <c r="M44" s="140">
        <f>SUMIFS('recurring2_based on steps'!$B44:$AY44,'recurring2_based on steps'!$B$1:$AY$1,M$1)+SUMIFS('changes2_based on steps'!$B44:$U44,'changes2_based on steps'!$B$1:$U$1,M$1)</f>
        <v>0</v>
      </c>
      <c r="N44" s="140">
        <f ca="1">SUMIFS('recurring2_based on steps'!$B44:$AY44,'recurring2_based on steps'!$B$1:$AY$1,N$1)+SUMIFS('changes2_based on steps'!$B44:$U44,'changes2_based on steps'!$B$1:$U$1,N$1)</f>
        <v>0</v>
      </c>
      <c r="O44" s="140">
        <f>SUMIFS('recurring2_based on steps'!$B44:$AY44,'recurring2_based on steps'!$B$1:$AY$1,O$1)+SUMIFS('changes2_based on steps'!$B44:$U44,'changes2_based on steps'!$B$1:$U$1,O$1)</f>
        <v>0</v>
      </c>
      <c r="P44" s="140">
        <f ca="1">SUMIFS('recurring2_based on steps'!$B44:$AY44,'recurring2_based on steps'!$B$1:$AY$1,P$1)+SUMIFS('changes2_based on steps'!$B44:$U44,'changes2_based on steps'!$B$1:$U$1,P$1)</f>
        <v>0</v>
      </c>
      <c r="Q44" s="140">
        <f ca="1">SUMIFS('recurring2_based on steps'!$B44:$AY44,'recurring2_based on steps'!$B$1:$AY$1,Q$1)+SUMIFS('changes2_based on steps'!$B44:$U44,'changes2_based on steps'!$B$1:$U$1,Q$1)</f>
        <v>5.5401662049861494E-2</v>
      </c>
      <c r="R44" s="140">
        <f ca="1">SUMIFS('recurring2_based on steps'!$B44:$AY44,'recurring2_based on steps'!$B$1:$AY$1,R$1)+SUMIFS('changes2_based on steps'!$B44:$U44,'changes2_based on steps'!$B$1:$U$1,R$1)</f>
        <v>0</v>
      </c>
      <c r="S44" s="140">
        <f>SUMIFS('recurring2_based on steps'!$B44:$AY44,'recurring2_based on steps'!$B$1:$AY$1,S$1)+SUMIFS('changes2_based on steps'!$B44:$U44,'changes2_based on steps'!$B$1:$U$1,S$1)</f>
        <v>0</v>
      </c>
      <c r="T44" s="140">
        <f ca="1">SUMIFS('recurring2_based on steps'!$B44:$AY44,'recurring2_based on steps'!$B$1:$AY$1,T$1)+SUMIFS('changes2_based on steps'!$B44:$U44,'changes2_based on steps'!$B$1:$U$1,T$1)</f>
        <v>0</v>
      </c>
      <c r="U44" s="140">
        <f ca="1">SUMIFS('recurring2_based on steps'!$B44:$AY44,'recurring2_based on steps'!$B$1:$AY$1,U$1)+SUMIFS('changes2_based on steps'!$B44:$U44,'changes2_based on steps'!$B$1:$U$1,U$1)</f>
        <v>0</v>
      </c>
      <c r="V44" s="140">
        <f>SUMIFS('recurring2_based on steps'!$B44:$AY44,'recurring2_based on steps'!$B$1:$AY$1,V$1)+SUMIFS('changes2_based on steps'!$B44:$U44,'changes2_based on steps'!$B$1:$U$1,V$1)</f>
        <v>0</v>
      </c>
      <c r="W44" s="140">
        <f>SUMIFS('recurring2_based on steps'!$B44:$AY44,'recurring2_based on steps'!$B$1:$AY$1,W$1)+SUMIFS('changes2_based on steps'!$B44:$U44,'changes2_based on steps'!$B$1:$U$1,W$1)</f>
        <v>0</v>
      </c>
      <c r="X44" s="140">
        <f ca="1">SUMIFS('recurring2_based on steps'!$B44:$AY44,'recurring2_based on steps'!$B$1:$AY$1,X$1)+SUMIFS('changes2_based on steps'!$B44:$U44,'changes2_based on steps'!$B$1:$U$1,X$1)</f>
        <v>0</v>
      </c>
      <c r="Y44" s="140">
        <f ca="1">SUMIFS('recurring2_based on steps'!$B44:$AY44,'recurring2_based on steps'!$B$1:$AY$1,Y$1)+SUMIFS('changes2_based on steps'!$B44:$U44,'changes2_based on steps'!$B$1:$U$1,Y$1)</f>
        <v>0</v>
      </c>
      <c r="Z44" s="140">
        <f>SUMIFS('recurring2_based on steps'!$B44:$AY44,'recurring2_based on steps'!$B$1:$AY$1,Z$1)+SUMIFS('changes2_based on steps'!$B44:$U44,'changes2_based on steps'!$B$1:$U$1,Z$1)</f>
        <v>0</v>
      </c>
      <c r="AA44" s="140">
        <f ca="1">SUMIFS('recurring2_based on steps'!$B44:$AY44,'recurring2_based on steps'!$B$1:$AY$1,AA$1)+SUMIFS('changes2_based on steps'!$B44:$U44,'changes2_based on steps'!$B$1:$U$1,AA$1)</f>
        <v>0</v>
      </c>
      <c r="AB44" s="140">
        <f ca="1">SUMIFS('recurring2_based on steps'!$B44:$AY44,'recurring2_based on steps'!$B$1:$AY$1,AB$1)+SUMIFS('changes2_based on steps'!$B44:$U44,'changes2_based on steps'!$B$1:$U$1,AB$1)</f>
        <v>0</v>
      </c>
      <c r="AC44" s="140">
        <f ca="1">SUMIFS('recurring2_based on steps'!$B44:$AY44,'recurring2_based on steps'!$B$1:$AY$1,AC$1)+SUMIFS('changes2_based on steps'!$B44:$U44,'changes2_based on steps'!$B$1:$U$1,AC$1)</f>
        <v>0</v>
      </c>
      <c r="AD44" s="140">
        <f ca="1">SUMIFS('recurring2_based on steps'!$B44:$AY44,'recurring2_based on steps'!$B$1:$AY$1,AD$1)+SUMIFS('changes2_based on steps'!$B44:$U44,'changes2_based on steps'!$B$1:$U$1,AD$1)</f>
        <v>0</v>
      </c>
      <c r="AE44" s="140">
        <f>SUMIFS('recurring2_based on steps'!$B44:$AY44,'recurring2_based on steps'!$B$1:$AY$1,AE$1)+SUMIFS('changes2_based on steps'!$B44:$U44,'changes2_based on steps'!$B$1:$U$1,AE$1)</f>
        <v>0</v>
      </c>
      <c r="AF44" s="140"/>
      <c r="AG44" s="140"/>
      <c r="AH44" s="140"/>
      <c r="AI44" s="140"/>
      <c r="AJ44" s="140"/>
      <c r="AK44" s="140"/>
      <c r="AL44" s="140"/>
      <c r="AM44" s="140"/>
    </row>
    <row r="45" spans="1:39" x14ac:dyDescent="0.2">
      <c r="A45" s="29">
        <f t="shared" ca="1" si="0"/>
        <v>45785</v>
      </c>
      <c r="B45" s="140">
        <f ca="1">SUMIFS('recurring2_based on steps'!$B45:$AY45,'recurring2_based on steps'!$B$1:$AY$1,B$1)+SUMIFS('changes2_based on steps'!$B45:$U45,'changes2_based on steps'!$B$1:$U$1,B$1)</f>
        <v>0</v>
      </c>
      <c r="C45" s="140">
        <f>SUMIFS('recurring2_based on steps'!$B45:$AY45,'recurring2_based on steps'!$B$1:$AY$1,C$1)+SUMIFS('changes2_based on steps'!$B45:$U45,'changes2_based on steps'!$B$1:$U$1,C$1)</f>
        <v>0</v>
      </c>
      <c r="D45" s="140">
        <f>SUMIFS('recurring2_based on steps'!$B45:$AY45,'recurring2_based on steps'!$B$1:$AY$1,D$1)+SUMIFS('changes2_based on steps'!$B45:$U45,'changes2_based on steps'!$B$1:$U$1,D$1)</f>
        <v>0</v>
      </c>
      <c r="E45" s="140">
        <f>SUMIFS('recurring2_based on steps'!$B45:$AY45,'recurring2_based on steps'!$B$1:$AY$1,E$1)+SUMIFS('changes2_based on steps'!$B45:$U45,'changes2_based on steps'!$B$1:$U$1,E$1)</f>
        <v>0</v>
      </c>
      <c r="F45" s="140">
        <f>SUMIFS('recurring2_based on steps'!$B45:$AY45,'recurring2_based on steps'!$B$1:$AY$1,F$1)+SUMIFS('changes2_based on steps'!$B45:$U45,'changes2_based on steps'!$B$1:$U$1,F$1)</f>
        <v>0</v>
      </c>
      <c r="G45" s="140">
        <f>SUMIFS('recurring2_based on steps'!$B45:$AY45,'recurring2_based on steps'!$B$1:$AY$1,G$1)+SUMIFS('changes2_based on steps'!$B45:$U45,'changes2_based on steps'!$B$1:$U$1,G$1)</f>
        <v>0</v>
      </c>
      <c r="H45" s="140">
        <f>SUMIFS('recurring2_based on steps'!$B45:$AY45,'recurring2_based on steps'!$B$1:$AY$1,H$1)+SUMIFS('changes2_based on steps'!$B45:$U45,'changes2_based on steps'!$B$1:$U$1,H$1)</f>
        <v>0</v>
      </c>
      <c r="I45" s="140">
        <f>SUMIFS('recurring2_based on steps'!$B45:$AY45,'recurring2_based on steps'!$B$1:$AY$1,I$1)+SUMIFS('changes2_based on steps'!$B45:$U45,'changes2_based on steps'!$B$1:$U$1,I$1)</f>
        <v>0</v>
      </c>
      <c r="J45" s="140">
        <f ca="1">SUMIFS('recurring2_based on steps'!$B45:$AY45,'recurring2_based on steps'!$B$1:$AY$1,J$1)+SUMIFS('changes2_based on steps'!$B45:$U45,'changes2_based on steps'!$B$1:$U$1,J$1)</f>
        <v>0</v>
      </c>
      <c r="K45" s="140">
        <f>SUMIFS('recurring2_based on steps'!$B45:$AY45,'recurring2_based on steps'!$B$1:$AY$1,K$1)+SUMIFS('changes2_based on steps'!$B45:$U45,'changes2_based on steps'!$B$1:$U$1,K$1)</f>
        <v>0</v>
      </c>
      <c r="L45" s="140">
        <f>SUMIFS('recurring2_based on steps'!$B45:$AY45,'recurring2_based on steps'!$B$1:$AY$1,L$1)+SUMIFS('changes2_based on steps'!$B45:$U45,'changes2_based on steps'!$B$1:$U$1,L$1)</f>
        <v>0</v>
      </c>
      <c r="M45" s="140">
        <f>SUMIFS('recurring2_based on steps'!$B45:$AY45,'recurring2_based on steps'!$B$1:$AY$1,M$1)+SUMIFS('changes2_based on steps'!$B45:$U45,'changes2_based on steps'!$B$1:$U$1,M$1)</f>
        <v>0</v>
      </c>
      <c r="N45" s="140">
        <f ca="1">SUMIFS('recurring2_based on steps'!$B45:$AY45,'recurring2_based on steps'!$B$1:$AY$1,N$1)+SUMIFS('changes2_based on steps'!$B45:$U45,'changes2_based on steps'!$B$1:$U$1,N$1)</f>
        <v>0</v>
      </c>
      <c r="O45" s="140">
        <f>SUMIFS('recurring2_based on steps'!$B45:$AY45,'recurring2_based on steps'!$B$1:$AY$1,O$1)+SUMIFS('changes2_based on steps'!$B45:$U45,'changes2_based on steps'!$B$1:$U$1,O$1)</f>
        <v>0</v>
      </c>
      <c r="P45" s="140">
        <f ca="1">SUMIFS('recurring2_based on steps'!$B45:$AY45,'recurring2_based on steps'!$B$1:$AY$1,P$1)+SUMIFS('changes2_based on steps'!$B45:$U45,'changes2_based on steps'!$B$1:$U$1,P$1)</f>
        <v>0</v>
      </c>
      <c r="Q45" s="140">
        <f ca="1">SUMIFS('recurring2_based on steps'!$B45:$AY45,'recurring2_based on steps'!$B$1:$AY$1,Q$1)+SUMIFS('changes2_based on steps'!$B45:$U45,'changes2_based on steps'!$B$1:$U$1,Q$1)</f>
        <v>5.5401662049861494E-2</v>
      </c>
      <c r="R45" s="140">
        <f ca="1">SUMIFS('recurring2_based on steps'!$B45:$AY45,'recurring2_based on steps'!$B$1:$AY$1,R$1)+SUMIFS('changes2_based on steps'!$B45:$U45,'changes2_based on steps'!$B$1:$U$1,R$1)</f>
        <v>0</v>
      </c>
      <c r="S45" s="140">
        <f>SUMIFS('recurring2_based on steps'!$B45:$AY45,'recurring2_based on steps'!$B$1:$AY$1,S$1)+SUMIFS('changes2_based on steps'!$B45:$U45,'changes2_based on steps'!$B$1:$U$1,S$1)</f>
        <v>0</v>
      </c>
      <c r="T45" s="140">
        <f ca="1">SUMIFS('recurring2_based on steps'!$B45:$AY45,'recurring2_based on steps'!$B$1:$AY$1,T$1)+SUMIFS('changes2_based on steps'!$B45:$U45,'changes2_based on steps'!$B$1:$U$1,T$1)</f>
        <v>0</v>
      </c>
      <c r="U45" s="140">
        <f ca="1">SUMIFS('recurring2_based on steps'!$B45:$AY45,'recurring2_based on steps'!$B$1:$AY$1,U$1)+SUMIFS('changes2_based on steps'!$B45:$U45,'changes2_based on steps'!$B$1:$U$1,U$1)</f>
        <v>0</v>
      </c>
      <c r="V45" s="140">
        <f>SUMIFS('recurring2_based on steps'!$B45:$AY45,'recurring2_based on steps'!$B$1:$AY$1,V$1)+SUMIFS('changes2_based on steps'!$B45:$U45,'changes2_based on steps'!$B$1:$U$1,V$1)</f>
        <v>0</v>
      </c>
      <c r="W45" s="140">
        <f>SUMIFS('recurring2_based on steps'!$B45:$AY45,'recurring2_based on steps'!$B$1:$AY$1,W$1)+SUMIFS('changes2_based on steps'!$B45:$U45,'changes2_based on steps'!$B$1:$U$1,W$1)</f>
        <v>0</v>
      </c>
      <c r="X45" s="140">
        <f ca="1">SUMIFS('recurring2_based on steps'!$B45:$AY45,'recurring2_based on steps'!$B$1:$AY$1,X$1)+SUMIFS('changes2_based on steps'!$B45:$U45,'changes2_based on steps'!$B$1:$U$1,X$1)</f>
        <v>0</v>
      </c>
      <c r="Y45" s="140">
        <f ca="1">SUMIFS('recurring2_based on steps'!$B45:$AY45,'recurring2_based on steps'!$B$1:$AY$1,Y$1)+SUMIFS('changes2_based on steps'!$B45:$U45,'changes2_based on steps'!$B$1:$U$1,Y$1)</f>
        <v>0</v>
      </c>
      <c r="Z45" s="140">
        <f>SUMIFS('recurring2_based on steps'!$B45:$AY45,'recurring2_based on steps'!$B$1:$AY$1,Z$1)+SUMIFS('changes2_based on steps'!$B45:$U45,'changes2_based on steps'!$B$1:$U$1,Z$1)</f>
        <v>0</v>
      </c>
      <c r="AA45" s="140">
        <f ca="1">SUMIFS('recurring2_based on steps'!$B45:$AY45,'recurring2_based on steps'!$B$1:$AY$1,AA$1)+SUMIFS('changes2_based on steps'!$B45:$U45,'changes2_based on steps'!$B$1:$U$1,AA$1)</f>
        <v>0</v>
      </c>
      <c r="AB45" s="140">
        <f ca="1">SUMIFS('recurring2_based on steps'!$B45:$AY45,'recurring2_based on steps'!$B$1:$AY$1,AB$1)+SUMIFS('changes2_based on steps'!$B45:$U45,'changes2_based on steps'!$B$1:$U$1,AB$1)</f>
        <v>0</v>
      </c>
      <c r="AC45" s="140">
        <f ca="1">SUMIFS('recurring2_based on steps'!$B45:$AY45,'recurring2_based on steps'!$B$1:$AY$1,AC$1)+SUMIFS('changes2_based on steps'!$B45:$U45,'changes2_based on steps'!$B$1:$U$1,AC$1)</f>
        <v>0</v>
      </c>
      <c r="AD45" s="140">
        <f ca="1">SUMIFS('recurring2_based on steps'!$B45:$AY45,'recurring2_based on steps'!$B$1:$AY$1,AD$1)+SUMIFS('changes2_based on steps'!$B45:$U45,'changes2_based on steps'!$B$1:$U$1,AD$1)</f>
        <v>0</v>
      </c>
      <c r="AE45" s="140">
        <f>SUMIFS('recurring2_based on steps'!$B45:$AY45,'recurring2_based on steps'!$B$1:$AY$1,AE$1)+SUMIFS('changes2_based on steps'!$B45:$U45,'changes2_based on steps'!$B$1:$U$1,AE$1)</f>
        <v>0</v>
      </c>
      <c r="AF45" s="140"/>
      <c r="AG45" s="140"/>
      <c r="AH45" s="140"/>
      <c r="AI45" s="140"/>
      <c r="AJ45" s="140"/>
      <c r="AK45" s="140"/>
      <c r="AL45" s="140"/>
      <c r="AM45" s="140"/>
    </row>
    <row r="46" spans="1:39" x14ac:dyDescent="0.2">
      <c r="A46" s="29">
        <f t="shared" ca="1" si="0"/>
        <v>45786</v>
      </c>
      <c r="B46" s="140">
        <f ca="1">SUMIFS('recurring2_based on steps'!$B46:$AY46,'recurring2_based on steps'!$B$1:$AY$1,B$1)+SUMIFS('changes2_based on steps'!$B46:$U46,'changes2_based on steps'!$B$1:$U$1,B$1)</f>
        <v>0</v>
      </c>
      <c r="C46" s="140">
        <f>SUMIFS('recurring2_based on steps'!$B46:$AY46,'recurring2_based on steps'!$B$1:$AY$1,C$1)+SUMIFS('changes2_based on steps'!$B46:$U46,'changes2_based on steps'!$B$1:$U$1,C$1)</f>
        <v>0</v>
      </c>
      <c r="D46" s="140">
        <f>SUMIFS('recurring2_based on steps'!$B46:$AY46,'recurring2_based on steps'!$B$1:$AY$1,D$1)+SUMIFS('changes2_based on steps'!$B46:$U46,'changes2_based on steps'!$B$1:$U$1,D$1)</f>
        <v>0</v>
      </c>
      <c r="E46" s="140">
        <f>SUMIFS('recurring2_based on steps'!$B46:$AY46,'recurring2_based on steps'!$B$1:$AY$1,E$1)+SUMIFS('changes2_based on steps'!$B46:$U46,'changes2_based on steps'!$B$1:$U$1,E$1)</f>
        <v>0</v>
      </c>
      <c r="F46" s="140">
        <f>SUMIFS('recurring2_based on steps'!$B46:$AY46,'recurring2_based on steps'!$B$1:$AY$1,F$1)+SUMIFS('changes2_based on steps'!$B46:$U46,'changes2_based on steps'!$B$1:$U$1,F$1)</f>
        <v>0</v>
      </c>
      <c r="G46" s="140">
        <f>SUMIFS('recurring2_based on steps'!$B46:$AY46,'recurring2_based on steps'!$B$1:$AY$1,G$1)+SUMIFS('changes2_based on steps'!$B46:$U46,'changes2_based on steps'!$B$1:$U$1,G$1)</f>
        <v>0</v>
      </c>
      <c r="H46" s="140">
        <f>SUMIFS('recurring2_based on steps'!$B46:$AY46,'recurring2_based on steps'!$B$1:$AY$1,H$1)+SUMIFS('changes2_based on steps'!$B46:$U46,'changes2_based on steps'!$B$1:$U$1,H$1)</f>
        <v>0</v>
      </c>
      <c r="I46" s="140">
        <f>SUMIFS('recurring2_based on steps'!$B46:$AY46,'recurring2_based on steps'!$B$1:$AY$1,I$1)+SUMIFS('changes2_based on steps'!$B46:$U46,'changes2_based on steps'!$B$1:$U$1,I$1)</f>
        <v>0</v>
      </c>
      <c r="J46" s="140">
        <f ca="1">SUMIFS('recurring2_based on steps'!$B46:$AY46,'recurring2_based on steps'!$B$1:$AY$1,J$1)+SUMIFS('changes2_based on steps'!$B46:$U46,'changes2_based on steps'!$B$1:$U$1,J$1)</f>
        <v>0</v>
      </c>
      <c r="K46" s="140">
        <f>SUMIFS('recurring2_based on steps'!$B46:$AY46,'recurring2_based on steps'!$B$1:$AY$1,K$1)+SUMIFS('changes2_based on steps'!$B46:$U46,'changes2_based on steps'!$B$1:$U$1,K$1)</f>
        <v>0</v>
      </c>
      <c r="L46" s="140">
        <f>SUMIFS('recurring2_based on steps'!$B46:$AY46,'recurring2_based on steps'!$B$1:$AY$1,L$1)+SUMIFS('changes2_based on steps'!$B46:$U46,'changes2_based on steps'!$B$1:$U$1,L$1)</f>
        <v>0</v>
      </c>
      <c r="M46" s="140">
        <f>SUMIFS('recurring2_based on steps'!$B46:$AY46,'recurring2_based on steps'!$B$1:$AY$1,M$1)+SUMIFS('changes2_based on steps'!$B46:$U46,'changes2_based on steps'!$B$1:$U$1,M$1)</f>
        <v>0</v>
      </c>
      <c r="N46" s="140">
        <f ca="1">SUMIFS('recurring2_based on steps'!$B46:$AY46,'recurring2_based on steps'!$B$1:$AY$1,N$1)+SUMIFS('changes2_based on steps'!$B46:$U46,'changes2_based on steps'!$B$1:$U$1,N$1)</f>
        <v>0</v>
      </c>
      <c r="O46" s="140">
        <f>SUMIFS('recurring2_based on steps'!$B46:$AY46,'recurring2_based on steps'!$B$1:$AY$1,O$1)+SUMIFS('changes2_based on steps'!$B46:$U46,'changes2_based on steps'!$B$1:$U$1,O$1)</f>
        <v>0</v>
      </c>
      <c r="P46" s="140">
        <f ca="1">SUMIFS('recurring2_based on steps'!$B46:$AY46,'recurring2_based on steps'!$B$1:$AY$1,P$1)+SUMIFS('changes2_based on steps'!$B46:$U46,'changes2_based on steps'!$B$1:$U$1,P$1)</f>
        <v>0</v>
      </c>
      <c r="Q46" s="140">
        <f ca="1">SUMIFS('recurring2_based on steps'!$B46:$AY46,'recurring2_based on steps'!$B$1:$AY$1,Q$1)+SUMIFS('changes2_based on steps'!$B46:$U46,'changes2_based on steps'!$B$1:$U$1,Q$1)</f>
        <v>5.5401662049861494E-2</v>
      </c>
      <c r="R46" s="140">
        <f ca="1">SUMIFS('recurring2_based on steps'!$B46:$AY46,'recurring2_based on steps'!$B$1:$AY$1,R$1)+SUMIFS('changes2_based on steps'!$B46:$U46,'changes2_based on steps'!$B$1:$U$1,R$1)</f>
        <v>0</v>
      </c>
      <c r="S46" s="140">
        <f>SUMIFS('recurring2_based on steps'!$B46:$AY46,'recurring2_based on steps'!$B$1:$AY$1,S$1)+SUMIFS('changes2_based on steps'!$B46:$U46,'changes2_based on steps'!$B$1:$U$1,S$1)</f>
        <v>0</v>
      </c>
      <c r="T46" s="140">
        <f ca="1">SUMIFS('recurring2_based on steps'!$B46:$AY46,'recurring2_based on steps'!$B$1:$AY$1,T$1)+SUMIFS('changes2_based on steps'!$B46:$U46,'changes2_based on steps'!$B$1:$U$1,T$1)</f>
        <v>0</v>
      </c>
      <c r="U46" s="140">
        <f ca="1">SUMIFS('recurring2_based on steps'!$B46:$AY46,'recurring2_based on steps'!$B$1:$AY$1,U$1)+SUMIFS('changes2_based on steps'!$B46:$U46,'changes2_based on steps'!$B$1:$U$1,U$1)</f>
        <v>0</v>
      </c>
      <c r="V46" s="140">
        <f>SUMIFS('recurring2_based on steps'!$B46:$AY46,'recurring2_based on steps'!$B$1:$AY$1,V$1)+SUMIFS('changes2_based on steps'!$B46:$U46,'changes2_based on steps'!$B$1:$U$1,V$1)</f>
        <v>0</v>
      </c>
      <c r="W46" s="140">
        <f>SUMIFS('recurring2_based on steps'!$B46:$AY46,'recurring2_based on steps'!$B$1:$AY$1,W$1)+SUMIFS('changes2_based on steps'!$B46:$U46,'changes2_based on steps'!$B$1:$U$1,W$1)</f>
        <v>0</v>
      </c>
      <c r="X46" s="140">
        <f ca="1">SUMIFS('recurring2_based on steps'!$B46:$AY46,'recurring2_based on steps'!$B$1:$AY$1,X$1)+SUMIFS('changes2_based on steps'!$B46:$U46,'changes2_based on steps'!$B$1:$U$1,X$1)</f>
        <v>0</v>
      </c>
      <c r="Y46" s="140">
        <f ca="1">SUMIFS('recurring2_based on steps'!$B46:$AY46,'recurring2_based on steps'!$B$1:$AY$1,Y$1)+SUMIFS('changes2_based on steps'!$B46:$U46,'changes2_based on steps'!$B$1:$U$1,Y$1)</f>
        <v>0</v>
      </c>
      <c r="Z46" s="140">
        <f>SUMIFS('recurring2_based on steps'!$B46:$AY46,'recurring2_based on steps'!$B$1:$AY$1,Z$1)+SUMIFS('changes2_based on steps'!$B46:$U46,'changes2_based on steps'!$B$1:$U$1,Z$1)</f>
        <v>0</v>
      </c>
      <c r="AA46" s="140">
        <f ca="1">SUMIFS('recurring2_based on steps'!$B46:$AY46,'recurring2_based on steps'!$B$1:$AY$1,AA$1)+SUMIFS('changes2_based on steps'!$B46:$U46,'changes2_based on steps'!$B$1:$U$1,AA$1)</f>
        <v>0</v>
      </c>
      <c r="AB46" s="140">
        <f ca="1">SUMIFS('recurring2_based on steps'!$B46:$AY46,'recurring2_based on steps'!$B$1:$AY$1,AB$1)+SUMIFS('changes2_based on steps'!$B46:$U46,'changes2_based on steps'!$B$1:$U$1,AB$1)</f>
        <v>0</v>
      </c>
      <c r="AC46" s="140">
        <f ca="1">SUMIFS('recurring2_based on steps'!$B46:$AY46,'recurring2_based on steps'!$B$1:$AY$1,AC$1)+SUMIFS('changes2_based on steps'!$B46:$U46,'changes2_based on steps'!$B$1:$U$1,AC$1)</f>
        <v>0</v>
      </c>
      <c r="AD46" s="140">
        <f ca="1">SUMIFS('recurring2_based on steps'!$B46:$AY46,'recurring2_based on steps'!$B$1:$AY$1,AD$1)+SUMIFS('changes2_based on steps'!$B46:$U46,'changes2_based on steps'!$B$1:$U$1,AD$1)</f>
        <v>0</v>
      </c>
      <c r="AE46" s="140">
        <f>SUMIFS('recurring2_based on steps'!$B46:$AY46,'recurring2_based on steps'!$B$1:$AY$1,AE$1)+SUMIFS('changes2_based on steps'!$B46:$U46,'changes2_based on steps'!$B$1:$U$1,AE$1)</f>
        <v>0</v>
      </c>
      <c r="AF46" s="140"/>
      <c r="AG46" s="140"/>
      <c r="AH46" s="140"/>
      <c r="AI46" s="140"/>
      <c r="AJ46" s="140"/>
      <c r="AK46" s="140"/>
      <c r="AL46" s="140"/>
      <c r="AM46" s="140"/>
    </row>
    <row r="47" spans="1:39" x14ac:dyDescent="0.2">
      <c r="A47" s="29">
        <f t="shared" ca="1" si="0"/>
        <v>45787</v>
      </c>
      <c r="B47" s="140">
        <f ca="1">SUMIFS('recurring2_based on steps'!$B47:$AY47,'recurring2_based on steps'!$B$1:$AY$1,B$1)+SUMIFS('changes2_based on steps'!$B47:$U47,'changes2_based on steps'!$B$1:$U$1,B$1)</f>
        <v>0</v>
      </c>
      <c r="C47" s="140">
        <f>SUMIFS('recurring2_based on steps'!$B47:$AY47,'recurring2_based on steps'!$B$1:$AY$1,C$1)+SUMIFS('changes2_based on steps'!$B47:$U47,'changes2_based on steps'!$B$1:$U$1,C$1)</f>
        <v>0</v>
      </c>
      <c r="D47" s="140">
        <f>SUMIFS('recurring2_based on steps'!$B47:$AY47,'recurring2_based on steps'!$B$1:$AY$1,D$1)+SUMIFS('changes2_based on steps'!$B47:$U47,'changes2_based on steps'!$B$1:$U$1,D$1)</f>
        <v>0</v>
      </c>
      <c r="E47" s="140">
        <f>SUMIFS('recurring2_based on steps'!$B47:$AY47,'recurring2_based on steps'!$B$1:$AY$1,E$1)+SUMIFS('changes2_based on steps'!$B47:$U47,'changes2_based on steps'!$B$1:$U$1,E$1)</f>
        <v>0</v>
      </c>
      <c r="F47" s="140">
        <f>SUMIFS('recurring2_based on steps'!$B47:$AY47,'recurring2_based on steps'!$B$1:$AY$1,F$1)+SUMIFS('changes2_based on steps'!$B47:$U47,'changes2_based on steps'!$B$1:$U$1,F$1)</f>
        <v>0</v>
      </c>
      <c r="G47" s="140">
        <f>SUMIFS('recurring2_based on steps'!$B47:$AY47,'recurring2_based on steps'!$B$1:$AY$1,G$1)+SUMIFS('changes2_based on steps'!$B47:$U47,'changes2_based on steps'!$B$1:$U$1,G$1)</f>
        <v>0</v>
      </c>
      <c r="H47" s="140">
        <f>SUMIFS('recurring2_based on steps'!$B47:$AY47,'recurring2_based on steps'!$B$1:$AY$1,H$1)+SUMIFS('changes2_based on steps'!$B47:$U47,'changes2_based on steps'!$B$1:$U$1,H$1)</f>
        <v>0</v>
      </c>
      <c r="I47" s="140">
        <f>SUMIFS('recurring2_based on steps'!$B47:$AY47,'recurring2_based on steps'!$B$1:$AY$1,I$1)+SUMIFS('changes2_based on steps'!$B47:$U47,'changes2_based on steps'!$B$1:$U$1,I$1)</f>
        <v>0</v>
      </c>
      <c r="J47" s="140">
        <f ca="1">SUMIFS('recurring2_based on steps'!$B47:$AY47,'recurring2_based on steps'!$B$1:$AY$1,J$1)+SUMIFS('changes2_based on steps'!$B47:$U47,'changes2_based on steps'!$B$1:$U$1,J$1)</f>
        <v>0</v>
      </c>
      <c r="K47" s="140">
        <f>SUMIFS('recurring2_based on steps'!$B47:$AY47,'recurring2_based on steps'!$B$1:$AY$1,K$1)+SUMIFS('changes2_based on steps'!$B47:$U47,'changes2_based on steps'!$B$1:$U$1,K$1)</f>
        <v>0</v>
      </c>
      <c r="L47" s="140">
        <f>SUMIFS('recurring2_based on steps'!$B47:$AY47,'recurring2_based on steps'!$B$1:$AY$1,L$1)+SUMIFS('changes2_based on steps'!$B47:$U47,'changes2_based on steps'!$B$1:$U$1,L$1)</f>
        <v>0</v>
      </c>
      <c r="M47" s="140">
        <f>SUMIFS('recurring2_based on steps'!$B47:$AY47,'recurring2_based on steps'!$B$1:$AY$1,M$1)+SUMIFS('changes2_based on steps'!$B47:$U47,'changes2_based on steps'!$B$1:$U$1,M$1)</f>
        <v>0</v>
      </c>
      <c r="N47" s="140">
        <f ca="1">SUMIFS('recurring2_based on steps'!$B47:$AY47,'recurring2_based on steps'!$B$1:$AY$1,N$1)+SUMIFS('changes2_based on steps'!$B47:$U47,'changes2_based on steps'!$B$1:$U$1,N$1)</f>
        <v>0</v>
      </c>
      <c r="O47" s="140">
        <f>SUMIFS('recurring2_based on steps'!$B47:$AY47,'recurring2_based on steps'!$B$1:$AY$1,O$1)+SUMIFS('changes2_based on steps'!$B47:$U47,'changes2_based on steps'!$B$1:$U$1,O$1)</f>
        <v>0</v>
      </c>
      <c r="P47" s="140">
        <f ca="1">SUMIFS('recurring2_based on steps'!$B47:$AY47,'recurring2_based on steps'!$B$1:$AY$1,P$1)+SUMIFS('changes2_based on steps'!$B47:$U47,'changes2_based on steps'!$B$1:$U$1,P$1)</f>
        <v>0</v>
      </c>
      <c r="Q47" s="140">
        <f ca="1">SUMIFS('recurring2_based on steps'!$B47:$AY47,'recurring2_based on steps'!$B$1:$AY$1,Q$1)+SUMIFS('changes2_based on steps'!$B47:$U47,'changes2_based on steps'!$B$1:$U$1,Q$1)</f>
        <v>100.05540166204986</v>
      </c>
      <c r="R47" s="140">
        <f ca="1">SUMIFS('recurring2_based on steps'!$B47:$AY47,'recurring2_based on steps'!$B$1:$AY$1,R$1)+SUMIFS('changes2_based on steps'!$B47:$U47,'changes2_based on steps'!$B$1:$U$1,R$1)</f>
        <v>0</v>
      </c>
      <c r="S47" s="140">
        <f>SUMIFS('recurring2_based on steps'!$B47:$AY47,'recurring2_based on steps'!$B$1:$AY$1,S$1)+SUMIFS('changes2_based on steps'!$B47:$U47,'changes2_based on steps'!$B$1:$U$1,S$1)</f>
        <v>0</v>
      </c>
      <c r="T47" s="140">
        <f ca="1">SUMIFS('recurring2_based on steps'!$B47:$AY47,'recurring2_based on steps'!$B$1:$AY$1,T$1)+SUMIFS('changes2_based on steps'!$B47:$U47,'changes2_based on steps'!$B$1:$U$1,T$1)</f>
        <v>0</v>
      </c>
      <c r="U47" s="140">
        <f ca="1">SUMIFS('recurring2_based on steps'!$B47:$AY47,'recurring2_based on steps'!$B$1:$AY$1,U$1)+SUMIFS('changes2_based on steps'!$B47:$U47,'changes2_based on steps'!$B$1:$U$1,U$1)</f>
        <v>0</v>
      </c>
      <c r="V47" s="140">
        <f>SUMIFS('recurring2_based on steps'!$B47:$AY47,'recurring2_based on steps'!$B$1:$AY$1,V$1)+SUMIFS('changes2_based on steps'!$B47:$U47,'changes2_based on steps'!$B$1:$U$1,V$1)</f>
        <v>0</v>
      </c>
      <c r="W47" s="140">
        <f>SUMIFS('recurring2_based on steps'!$B47:$AY47,'recurring2_based on steps'!$B$1:$AY$1,W$1)+SUMIFS('changes2_based on steps'!$B47:$U47,'changes2_based on steps'!$B$1:$U$1,W$1)</f>
        <v>0</v>
      </c>
      <c r="X47" s="140">
        <f ca="1">SUMIFS('recurring2_based on steps'!$B47:$AY47,'recurring2_based on steps'!$B$1:$AY$1,X$1)+SUMIFS('changes2_based on steps'!$B47:$U47,'changes2_based on steps'!$B$1:$U$1,X$1)</f>
        <v>0</v>
      </c>
      <c r="Y47" s="140">
        <f ca="1">SUMIFS('recurring2_based on steps'!$B47:$AY47,'recurring2_based on steps'!$B$1:$AY$1,Y$1)+SUMIFS('changes2_based on steps'!$B47:$U47,'changes2_based on steps'!$B$1:$U$1,Y$1)</f>
        <v>0</v>
      </c>
      <c r="Z47" s="140">
        <f>SUMIFS('recurring2_based on steps'!$B47:$AY47,'recurring2_based on steps'!$B$1:$AY$1,Z$1)+SUMIFS('changes2_based on steps'!$B47:$U47,'changes2_based on steps'!$B$1:$U$1,Z$1)</f>
        <v>0</v>
      </c>
      <c r="AA47" s="140">
        <f ca="1">SUMIFS('recurring2_based on steps'!$B47:$AY47,'recurring2_based on steps'!$B$1:$AY$1,AA$1)+SUMIFS('changes2_based on steps'!$B47:$U47,'changes2_based on steps'!$B$1:$U$1,AA$1)</f>
        <v>0</v>
      </c>
      <c r="AB47" s="140">
        <f ca="1">SUMIFS('recurring2_based on steps'!$B47:$AY47,'recurring2_based on steps'!$B$1:$AY$1,AB$1)+SUMIFS('changes2_based on steps'!$B47:$U47,'changes2_based on steps'!$B$1:$U$1,AB$1)</f>
        <v>100</v>
      </c>
      <c r="AC47" s="140">
        <f ca="1">SUMIFS('recurring2_based on steps'!$B47:$AY47,'recurring2_based on steps'!$B$1:$AY$1,AC$1)+SUMIFS('changes2_based on steps'!$B47:$U47,'changes2_based on steps'!$B$1:$U$1,AC$1)</f>
        <v>0</v>
      </c>
      <c r="AD47" s="140">
        <f ca="1">SUMIFS('recurring2_based on steps'!$B47:$AY47,'recurring2_based on steps'!$B$1:$AY$1,AD$1)+SUMIFS('changes2_based on steps'!$B47:$U47,'changes2_based on steps'!$B$1:$U$1,AD$1)</f>
        <v>0</v>
      </c>
      <c r="AE47" s="140">
        <f>SUMIFS('recurring2_based on steps'!$B47:$AY47,'recurring2_based on steps'!$B$1:$AY$1,AE$1)+SUMIFS('changes2_based on steps'!$B47:$U47,'changes2_based on steps'!$B$1:$U$1,AE$1)</f>
        <v>0</v>
      </c>
      <c r="AF47" s="140"/>
      <c r="AG47" s="140"/>
      <c r="AH47" s="140"/>
      <c r="AI47" s="140"/>
      <c r="AJ47" s="140"/>
      <c r="AK47" s="140"/>
      <c r="AL47" s="140"/>
      <c r="AM47" s="140"/>
    </row>
    <row r="48" spans="1:39" x14ac:dyDescent="0.2">
      <c r="A48" s="29">
        <f t="shared" ca="1" si="0"/>
        <v>45788</v>
      </c>
      <c r="B48" s="140">
        <f ca="1">SUMIFS('recurring2_based on steps'!$B48:$AY48,'recurring2_based on steps'!$B$1:$AY$1,B$1)+SUMIFS('changes2_based on steps'!$B48:$U48,'changes2_based on steps'!$B$1:$U$1,B$1)</f>
        <v>0</v>
      </c>
      <c r="C48" s="140">
        <f>SUMIFS('recurring2_based on steps'!$B48:$AY48,'recurring2_based on steps'!$B$1:$AY$1,C$1)+SUMIFS('changes2_based on steps'!$B48:$U48,'changes2_based on steps'!$B$1:$U$1,C$1)</f>
        <v>0</v>
      </c>
      <c r="D48" s="140">
        <f>SUMIFS('recurring2_based on steps'!$B48:$AY48,'recurring2_based on steps'!$B$1:$AY$1,D$1)+SUMIFS('changes2_based on steps'!$B48:$U48,'changes2_based on steps'!$B$1:$U$1,D$1)</f>
        <v>0</v>
      </c>
      <c r="E48" s="140">
        <f>SUMIFS('recurring2_based on steps'!$B48:$AY48,'recurring2_based on steps'!$B$1:$AY$1,E$1)+SUMIFS('changes2_based on steps'!$B48:$U48,'changes2_based on steps'!$B$1:$U$1,E$1)</f>
        <v>0</v>
      </c>
      <c r="F48" s="140">
        <f>SUMIFS('recurring2_based on steps'!$B48:$AY48,'recurring2_based on steps'!$B$1:$AY$1,F$1)+SUMIFS('changes2_based on steps'!$B48:$U48,'changes2_based on steps'!$B$1:$U$1,F$1)</f>
        <v>0</v>
      </c>
      <c r="G48" s="140">
        <f>SUMIFS('recurring2_based on steps'!$B48:$AY48,'recurring2_based on steps'!$B$1:$AY$1,G$1)+SUMIFS('changes2_based on steps'!$B48:$U48,'changes2_based on steps'!$B$1:$U$1,G$1)</f>
        <v>0</v>
      </c>
      <c r="H48" s="140">
        <f>SUMIFS('recurring2_based on steps'!$B48:$AY48,'recurring2_based on steps'!$B$1:$AY$1,H$1)+SUMIFS('changes2_based on steps'!$B48:$U48,'changes2_based on steps'!$B$1:$U$1,H$1)</f>
        <v>0</v>
      </c>
      <c r="I48" s="140">
        <f>SUMIFS('recurring2_based on steps'!$B48:$AY48,'recurring2_based on steps'!$B$1:$AY$1,I$1)+SUMIFS('changes2_based on steps'!$B48:$U48,'changes2_based on steps'!$B$1:$U$1,I$1)</f>
        <v>0</v>
      </c>
      <c r="J48" s="140">
        <f ca="1">SUMIFS('recurring2_based on steps'!$B48:$AY48,'recurring2_based on steps'!$B$1:$AY$1,J$1)+SUMIFS('changes2_based on steps'!$B48:$U48,'changes2_based on steps'!$B$1:$U$1,J$1)</f>
        <v>0</v>
      </c>
      <c r="K48" s="140">
        <f>SUMIFS('recurring2_based on steps'!$B48:$AY48,'recurring2_based on steps'!$B$1:$AY$1,K$1)+SUMIFS('changes2_based on steps'!$B48:$U48,'changes2_based on steps'!$B$1:$U$1,K$1)</f>
        <v>0</v>
      </c>
      <c r="L48" s="140">
        <f>SUMIFS('recurring2_based on steps'!$B48:$AY48,'recurring2_based on steps'!$B$1:$AY$1,L$1)+SUMIFS('changes2_based on steps'!$B48:$U48,'changes2_based on steps'!$B$1:$U$1,L$1)</f>
        <v>0</v>
      </c>
      <c r="M48" s="140">
        <f>SUMIFS('recurring2_based on steps'!$B48:$AY48,'recurring2_based on steps'!$B$1:$AY$1,M$1)+SUMIFS('changes2_based on steps'!$B48:$U48,'changes2_based on steps'!$B$1:$U$1,M$1)</f>
        <v>0</v>
      </c>
      <c r="N48" s="140">
        <f ca="1">SUMIFS('recurring2_based on steps'!$B48:$AY48,'recurring2_based on steps'!$B$1:$AY$1,N$1)+SUMIFS('changes2_based on steps'!$B48:$U48,'changes2_based on steps'!$B$1:$U$1,N$1)</f>
        <v>0</v>
      </c>
      <c r="O48" s="140">
        <f>SUMIFS('recurring2_based on steps'!$B48:$AY48,'recurring2_based on steps'!$B$1:$AY$1,O$1)+SUMIFS('changes2_based on steps'!$B48:$U48,'changes2_based on steps'!$B$1:$U$1,O$1)</f>
        <v>0</v>
      </c>
      <c r="P48" s="140">
        <f ca="1">SUMIFS('recurring2_based on steps'!$B48:$AY48,'recurring2_based on steps'!$B$1:$AY$1,P$1)+SUMIFS('changes2_based on steps'!$B48:$U48,'changes2_based on steps'!$B$1:$U$1,P$1)</f>
        <v>0</v>
      </c>
      <c r="Q48" s="140">
        <f ca="1">SUMIFS('recurring2_based on steps'!$B48:$AY48,'recurring2_based on steps'!$B$1:$AY$1,Q$1)+SUMIFS('changes2_based on steps'!$B48:$U48,'changes2_based on steps'!$B$1:$U$1,Q$1)</f>
        <v>100.05540166204986</v>
      </c>
      <c r="R48" s="140">
        <f ca="1">SUMIFS('recurring2_based on steps'!$B48:$AY48,'recurring2_based on steps'!$B$1:$AY$1,R$1)+SUMIFS('changes2_based on steps'!$B48:$U48,'changes2_based on steps'!$B$1:$U$1,R$1)</f>
        <v>0</v>
      </c>
      <c r="S48" s="140">
        <f>SUMIFS('recurring2_based on steps'!$B48:$AY48,'recurring2_based on steps'!$B$1:$AY$1,S$1)+SUMIFS('changes2_based on steps'!$B48:$U48,'changes2_based on steps'!$B$1:$U$1,S$1)</f>
        <v>0</v>
      </c>
      <c r="T48" s="140">
        <f ca="1">SUMIFS('recurring2_based on steps'!$B48:$AY48,'recurring2_based on steps'!$B$1:$AY$1,T$1)+SUMIFS('changes2_based on steps'!$B48:$U48,'changes2_based on steps'!$B$1:$U$1,T$1)</f>
        <v>0</v>
      </c>
      <c r="U48" s="140">
        <f ca="1">SUMIFS('recurring2_based on steps'!$B48:$AY48,'recurring2_based on steps'!$B$1:$AY$1,U$1)+SUMIFS('changes2_based on steps'!$B48:$U48,'changes2_based on steps'!$B$1:$U$1,U$1)</f>
        <v>0</v>
      </c>
      <c r="V48" s="140">
        <f>SUMIFS('recurring2_based on steps'!$B48:$AY48,'recurring2_based on steps'!$B$1:$AY$1,V$1)+SUMIFS('changes2_based on steps'!$B48:$U48,'changes2_based on steps'!$B$1:$U$1,V$1)</f>
        <v>0</v>
      </c>
      <c r="W48" s="140">
        <f>SUMIFS('recurring2_based on steps'!$B48:$AY48,'recurring2_based on steps'!$B$1:$AY$1,W$1)+SUMIFS('changes2_based on steps'!$B48:$U48,'changes2_based on steps'!$B$1:$U$1,W$1)</f>
        <v>0</v>
      </c>
      <c r="X48" s="140">
        <f ca="1">SUMIFS('recurring2_based on steps'!$B48:$AY48,'recurring2_based on steps'!$B$1:$AY$1,X$1)+SUMIFS('changes2_based on steps'!$B48:$U48,'changes2_based on steps'!$B$1:$U$1,X$1)</f>
        <v>0</v>
      </c>
      <c r="Y48" s="140">
        <f ca="1">SUMIFS('recurring2_based on steps'!$B48:$AY48,'recurring2_based on steps'!$B$1:$AY$1,Y$1)+SUMIFS('changes2_based on steps'!$B48:$U48,'changes2_based on steps'!$B$1:$U$1,Y$1)</f>
        <v>50</v>
      </c>
      <c r="Z48" s="140">
        <f>SUMIFS('recurring2_based on steps'!$B48:$AY48,'recurring2_based on steps'!$B$1:$AY$1,Z$1)+SUMIFS('changes2_based on steps'!$B48:$U48,'changes2_based on steps'!$B$1:$U$1,Z$1)</f>
        <v>0</v>
      </c>
      <c r="AA48" s="140">
        <f ca="1">SUMIFS('recurring2_based on steps'!$B48:$AY48,'recurring2_based on steps'!$B$1:$AY$1,AA$1)+SUMIFS('changes2_based on steps'!$B48:$U48,'changes2_based on steps'!$B$1:$U$1,AA$1)</f>
        <v>0</v>
      </c>
      <c r="AB48" s="140">
        <f ca="1">SUMIFS('recurring2_based on steps'!$B48:$AY48,'recurring2_based on steps'!$B$1:$AY$1,AB$1)+SUMIFS('changes2_based on steps'!$B48:$U48,'changes2_based on steps'!$B$1:$U$1,AB$1)</f>
        <v>0</v>
      </c>
      <c r="AC48" s="140">
        <f ca="1">SUMIFS('recurring2_based on steps'!$B48:$AY48,'recurring2_based on steps'!$B$1:$AY$1,AC$1)+SUMIFS('changes2_based on steps'!$B48:$U48,'changes2_based on steps'!$B$1:$U$1,AC$1)</f>
        <v>0</v>
      </c>
      <c r="AD48" s="140">
        <f ca="1">SUMIFS('recurring2_based on steps'!$B48:$AY48,'recurring2_based on steps'!$B$1:$AY$1,AD$1)+SUMIFS('changes2_based on steps'!$B48:$U48,'changes2_based on steps'!$B$1:$U$1,AD$1)</f>
        <v>0</v>
      </c>
      <c r="AE48" s="140">
        <f>SUMIFS('recurring2_based on steps'!$B48:$AY48,'recurring2_based on steps'!$B$1:$AY$1,AE$1)+SUMIFS('changes2_based on steps'!$B48:$U48,'changes2_based on steps'!$B$1:$U$1,AE$1)</f>
        <v>0</v>
      </c>
      <c r="AF48" s="140"/>
      <c r="AG48" s="140"/>
      <c r="AH48" s="140"/>
      <c r="AI48" s="140"/>
      <c r="AJ48" s="140"/>
      <c r="AK48" s="140"/>
      <c r="AL48" s="140"/>
      <c r="AM48" s="140"/>
    </row>
    <row r="49" spans="1:39" x14ac:dyDescent="0.2">
      <c r="A49" s="29">
        <f t="shared" ca="1" si="0"/>
        <v>45789</v>
      </c>
      <c r="B49" s="140">
        <f ca="1">SUMIFS('recurring2_based on steps'!$B49:$AY49,'recurring2_based on steps'!$B$1:$AY$1,B$1)+SUMIFS('changes2_based on steps'!$B49:$U49,'changes2_based on steps'!$B$1:$U$1,B$1)</f>
        <v>0</v>
      </c>
      <c r="C49" s="140">
        <f>SUMIFS('recurring2_based on steps'!$B49:$AY49,'recurring2_based on steps'!$B$1:$AY$1,C$1)+SUMIFS('changes2_based on steps'!$B49:$U49,'changes2_based on steps'!$B$1:$U$1,C$1)</f>
        <v>0</v>
      </c>
      <c r="D49" s="140">
        <f>SUMIFS('recurring2_based on steps'!$B49:$AY49,'recurring2_based on steps'!$B$1:$AY$1,D$1)+SUMIFS('changes2_based on steps'!$B49:$U49,'changes2_based on steps'!$B$1:$U$1,D$1)</f>
        <v>0</v>
      </c>
      <c r="E49" s="140">
        <f>SUMIFS('recurring2_based on steps'!$B49:$AY49,'recurring2_based on steps'!$B$1:$AY$1,E$1)+SUMIFS('changes2_based on steps'!$B49:$U49,'changes2_based on steps'!$B$1:$U$1,E$1)</f>
        <v>0</v>
      </c>
      <c r="F49" s="140">
        <f>SUMIFS('recurring2_based on steps'!$B49:$AY49,'recurring2_based on steps'!$B$1:$AY$1,F$1)+SUMIFS('changes2_based on steps'!$B49:$U49,'changes2_based on steps'!$B$1:$U$1,F$1)</f>
        <v>0</v>
      </c>
      <c r="G49" s="140">
        <f>SUMIFS('recurring2_based on steps'!$B49:$AY49,'recurring2_based on steps'!$B$1:$AY$1,G$1)+SUMIFS('changes2_based on steps'!$B49:$U49,'changes2_based on steps'!$B$1:$U$1,G$1)</f>
        <v>0</v>
      </c>
      <c r="H49" s="140">
        <f>SUMIFS('recurring2_based on steps'!$B49:$AY49,'recurring2_based on steps'!$B$1:$AY$1,H$1)+SUMIFS('changes2_based on steps'!$B49:$U49,'changes2_based on steps'!$B$1:$U$1,H$1)</f>
        <v>0</v>
      </c>
      <c r="I49" s="140">
        <f>SUMIFS('recurring2_based on steps'!$B49:$AY49,'recurring2_based on steps'!$B$1:$AY$1,I$1)+SUMIFS('changes2_based on steps'!$B49:$U49,'changes2_based on steps'!$B$1:$U$1,I$1)</f>
        <v>0</v>
      </c>
      <c r="J49" s="140">
        <f ca="1">SUMIFS('recurring2_based on steps'!$B49:$AY49,'recurring2_based on steps'!$B$1:$AY$1,J$1)+SUMIFS('changes2_based on steps'!$B49:$U49,'changes2_based on steps'!$B$1:$U$1,J$1)</f>
        <v>0</v>
      </c>
      <c r="K49" s="140">
        <f>SUMIFS('recurring2_based on steps'!$B49:$AY49,'recurring2_based on steps'!$B$1:$AY$1,K$1)+SUMIFS('changes2_based on steps'!$B49:$U49,'changes2_based on steps'!$B$1:$U$1,K$1)</f>
        <v>0</v>
      </c>
      <c r="L49" s="140">
        <f>SUMIFS('recurring2_based on steps'!$B49:$AY49,'recurring2_based on steps'!$B$1:$AY$1,L$1)+SUMIFS('changes2_based on steps'!$B49:$U49,'changes2_based on steps'!$B$1:$U$1,L$1)</f>
        <v>0</v>
      </c>
      <c r="M49" s="140">
        <f>SUMIFS('recurring2_based on steps'!$B49:$AY49,'recurring2_based on steps'!$B$1:$AY$1,M$1)+SUMIFS('changes2_based on steps'!$B49:$U49,'changes2_based on steps'!$B$1:$U$1,M$1)</f>
        <v>0</v>
      </c>
      <c r="N49" s="140">
        <f ca="1">SUMIFS('recurring2_based on steps'!$B49:$AY49,'recurring2_based on steps'!$B$1:$AY$1,N$1)+SUMIFS('changes2_based on steps'!$B49:$U49,'changes2_based on steps'!$B$1:$U$1,N$1)</f>
        <v>0</v>
      </c>
      <c r="O49" s="140">
        <f>SUMIFS('recurring2_based on steps'!$B49:$AY49,'recurring2_based on steps'!$B$1:$AY$1,O$1)+SUMIFS('changes2_based on steps'!$B49:$U49,'changes2_based on steps'!$B$1:$U$1,O$1)</f>
        <v>0</v>
      </c>
      <c r="P49" s="140">
        <f ca="1">SUMIFS('recurring2_based on steps'!$B49:$AY49,'recurring2_based on steps'!$B$1:$AY$1,P$1)+SUMIFS('changes2_based on steps'!$B49:$U49,'changes2_based on steps'!$B$1:$U$1,P$1)</f>
        <v>0</v>
      </c>
      <c r="Q49" s="140">
        <f ca="1">SUMIFS('recurring2_based on steps'!$B49:$AY49,'recurring2_based on steps'!$B$1:$AY$1,Q$1)+SUMIFS('changes2_based on steps'!$B49:$U49,'changes2_based on steps'!$B$1:$U$1,Q$1)</f>
        <v>5.5401662049861494E-2</v>
      </c>
      <c r="R49" s="140">
        <f ca="1">SUMIFS('recurring2_based on steps'!$B49:$AY49,'recurring2_based on steps'!$B$1:$AY$1,R$1)+SUMIFS('changes2_based on steps'!$B49:$U49,'changes2_based on steps'!$B$1:$U$1,R$1)</f>
        <v>0</v>
      </c>
      <c r="S49" s="140">
        <f>SUMIFS('recurring2_based on steps'!$B49:$AY49,'recurring2_based on steps'!$B$1:$AY$1,S$1)+SUMIFS('changes2_based on steps'!$B49:$U49,'changes2_based on steps'!$B$1:$U$1,S$1)</f>
        <v>0</v>
      </c>
      <c r="T49" s="140">
        <f ca="1">SUMIFS('recurring2_based on steps'!$B49:$AY49,'recurring2_based on steps'!$B$1:$AY$1,T$1)+SUMIFS('changes2_based on steps'!$B49:$U49,'changes2_based on steps'!$B$1:$U$1,T$1)</f>
        <v>0</v>
      </c>
      <c r="U49" s="140">
        <f ca="1">SUMIFS('recurring2_based on steps'!$B49:$AY49,'recurring2_based on steps'!$B$1:$AY$1,U$1)+SUMIFS('changes2_based on steps'!$B49:$U49,'changes2_based on steps'!$B$1:$U$1,U$1)</f>
        <v>0</v>
      </c>
      <c r="V49" s="140">
        <f>SUMIFS('recurring2_based on steps'!$B49:$AY49,'recurring2_based on steps'!$B$1:$AY$1,V$1)+SUMIFS('changes2_based on steps'!$B49:$U49,'changes2_based on steps'!$B$1:$U$1,V$1)</f>
        <v>0</v>
      </c>
      <c r="W49" s="140">
        <f>SUMIFS('recurring2_based on steps'!$B49:$AY49,'recurring2_based on steps'!$B$1:$AY$1,W$1)+SUMIFS('changes2_based on steps'!$B49:$U49,'changes2_based on steps'!$B$1:$U$1,W$1)</f>
        <v>0</v>
      </c>
      <c r="X49" s="140">
        <f ca="1">SUMIFS('recurring2_based on steps'!$B49:$AY49,'recurring2_based on steps'!$B$1:$AY$1,X$1)+SUMIFS('changes2_based on steps'!$B49:$U49,'changes2_based on steps'!$B$1:$U$1,X$1)</f>
        <v>0</v>
      </c>
      <c r="Y49" s="140">
        <f ca="1">SUMIFS('recurring2_based on steps'!$B49:$AY49,'recurring2_based on steps'!$B$1:$AY$1,Y$1)+SUMIFS('changes2_based on steps'!$B49:$U49,'changes2_based on steps'!$B$1:$U$1,Y$1)</f>
        <v>0</v>
      </c>
      <c r="Z49" s="140">
        <f>SUMIFS('recurring2_based on steps'!$B49:$AY49,'recurring2_based on steps'!$B$1:$AY$1,Z$1)+SUMIFS('changes2_based on steps'!$B49:$U49,'changes2_based on steps'!$B$1:$U$1,Z$1)</f>
        <v>0</v>
      </c>
      <c r="AA49" s="140">
        <f ca="1">SUMIFS('recurring2_based on steps'!$B49:$AY49,'recurring2_based on steps'!$B$1:$AY$1,AA$1)+SUMIFS('changes2_based on steps'!$B49:$U49,'changes2_based on steps'!$B$1:$U$1,AA$1)</f>
        <v>0</v>
      </c>
      <c r="AB49" s="140">
        <f ca="1">SUMIFS('recurring2_based on steps'!$B49:$AY49,'recurring2_based on steps'!$B$1:$AY$1,AB$1)+SUMIFS('changes2_based on steps'!$B49:$U49,'changes2_based on steps'!$B$1:$U$1,AB$1)</f>
        <v>0</v>
      </c>
      <c r="AC49" s="140">
        <f ca="1">SUMIFS('recurring2_based on steps'!$B49:$AY49,'recurring2_based on steps'!$B$1:$AY$1,AC$1)+SUMIFS('changes2_based on steps'!$B49:$U49,'changes2_based on steps'!$B$1:$U$1,AC$1)</f>
        <v>0</v>
      </c>
      <c r="AD49" s="140">
        <f ca="1">SUMIFS('recurring2_based on steps'!$B49:$AY49,'recurring2_based on steps'!$B$1:$AY$1,AD$1)+SUMIFS('changes2_based on steps'!$B49:$U49,'changes2_based on steps'!$B$1:$U$1,AD$1)</f>
        <v>0</v>
      </c>
      <c r="AE49" s="140">
        <f>SUMIFS('recurring2_based on steps'!$B49:$AY49,'recurring2_based on steps'!$B$1:$AY$1,AE$1)+SUMIFS('changes2_based on steps'!$B49:$U49,'changes2_based on steps'!$B$1:$U$1,AE$1)</f>
        <v>0</v>
      </c>
      <c r="AF49" s="140"/>
      <c r="AG49" s="140"/>
      <c r="AH49" s="140"/>
      <c r="AI49" s="140"/>
      <c r="AJ49" s="140"/>
      <c r="AK49" s="140"/>
      <c r="AL49" s="140"/>
      <c r="AM49" s="140"/>
    </row>
    <row r="50" spans="1:39" x14ac:dyDescent="0.2">
      <c r="A50" s="29">
        <f t="shared" ca="1" si="0"/>
        <v>45790</v>
      </c>
      <c r="B50" s="140">
        <f ca="1">SUMIFS('recurring2_based on steps'!$B50:$AY50,'recurring2_based on steps'!$B$1:$AY$1,B$1)+SUMIFS('changes2_based on steps'!$B50:$U50,'changes2_based on steps'!$B$1:$U$1,B$1)</f>
        <v>0</v>
      </c>
      <c r="C50" s="140">
        <f>SUMIFS('recurring2_based on steps'!$B50:$AY50,'recurring2_based on steps'!$B$1:$AY$1,C$1)+SUMIFS('changes2_based on steps'!$B50:$U50,'changes2_based on steps'!$B$1:$U$1,C$1)</f>
        <v>0</v>
      </c>
      <c r="D50" s="140">
        <f>SUMIFS('recurring2_based on steps'!$B50:$AY50,'recurring2_based on steps'!$B$1:$AY$1,D$1)+SUMIFS('changes2_based on steps'!$B50:$U50,'changes2_based on steps'!$B$1:$U$1,D$1)</f>
        <v>0</v>
      </c>
      <c r="E50" s="140">
        <f>SUMIFS('recurring2_based on steps'!$B50:$AY50,'recurring2_based on steps'!$B$1:$AY$1,E$1)+SUMIFS('changes2_based on steps'!$B50:$U50,'changes2_based on steps'!$B$1:$U$1,E$1)</f>
        <v>0</v>
      </c>
      <c r="F50" s="140">
        <f>SUMIFS('recurring2_based on steps'!$B50:$AY50,'recurring2_based on steps'!$B$1:$AY$1,F$1)+SUMIFS('changes2_based on steps'!$B50:$U50,'changes2_based on steps'!$B$1:$U$1,F$1)</f>
        <v>0</v>
      </c>
      <c r="G50" s="140">
        <f>SUMIFS('recurring2_based on steps'!$B50:$AY50,'recurring2_based on steps'!$B$1:$AY$1,G$1)+SUMIFS('changes2_based on steps'!$B50:$U50,'changes2_based on steps'!$B$1:$U$1,G$1)</f>
        <v>0</v>
      </c>
      <c r="H50" s="140">
        <f>SUMIFS('recurring2_based on steps'!$B50:$AY50,'recurring2_based on steps'!$B$1:$AY$1,H$1)+SUMIFS('changes2_based on steps'!$B50:$U50,'changes2_based on steps'!$B$1:$U$1,H$1)</f>
        <v>0</v>
      </c>
      <c r="I50" s="140">
        <f>SUMIFS('recurring2_based on steps'!$B50:$AY50,'recurring2_based on steps'!$B$1:$AY$1,I$1)+SUMIFS('changes2_based on steps'!$B50:$U50,'changes2_based on steps'!$B$1:$U$1,I$1)</f>
        <v>0</v>
      </c>
      <c r="J50" s="140">
        <f ca="1">SUMIFS('recurring2_based on steps'!$B50:$AY50,'recurring2_based on steps'!$B$1:$AY$1,J$1)+SUMIFS('changes2_based on steps'!$B50:$U50,'changes2_based on steps'!$B$1:$U$1,J$1)</f>
        <v>0</v>
      </c>
      <c r="K50" s="140">
        <f>SUMIFS('recurring2_based on steps'!$B50:$AY50,'recurring2_based on steps'!$B$1:$AY$1,K$1)+SUMIFS('changes2_based on steps'!$B50:$U50,'changes2_based on steps'!$B$1:$U$1,K$1)</f>
        <v>0</v>
      </c>
      <c r="L50" s="140">
        <f>SUMIFS('recurring2_based on steps'!$B50:$AY50,'recurring2_based on steps'!$B$1:$AY$1,L$1)+SUMIFS('changes2_based on steps'!$B50:$U50,'changes2_based on steps'!$B$1:$U$1,L$1)</f>
        <v>0</v>
      </c>
      <c r="M50" s="140">
        <f>SUMIFS('recurring2_based on steps'!$B50:$AY50,'recurring2_based on steps'!$B$1:$AY$1,M$1)+SUMIFS('changes2_based on steps'!$B50:$U50,'changes2_based on steps'!$B$1:$U$1,M$1)</f>
        <v>0</v>
      </c>
      <c r="N50" s="140">
        <f ca="1">SUMIFS('recurring2_based on steps'!$B50:$AY50,'recurring2_based on steps'!$B$1:$AY$1,N$1)+SUMIFS('changes2_based on steps'!$B50:$U50,'changes2_based on steps'!$B$1:$U$1,N$1)</f>
        <v>0</v>
      </c>
      <c r="O50" s="140">
        <f>SUMIFS('recurring2_based on steps'!$B50:$AY50,'recurring2_based on steps'!$B$1:$AY$1,O$1)+SUMIFS('changes2_based on steps'!$B50:$U50,'changes2_based on steps'!$B$1:$U$1,O$1)</f>
        <v>0</v>
      </c>
      <c r="P50" s="140">
        <f ca="1">SUMIFS('recurring2_based on steps'!$B50:$AY50,'recurring2_based on steps'!$B$1:$AY$1,P$1)+SUMIFS('changes2_based on steps'!$B50:$U50,'changes2_based on steps'!$B$1:$U$1,P$1)</f>
        <v>0</v>
      </c>
      <c r="Q50" s="140">
        <f ca="1">SUMIFS('recurring2_based on steps'!$B50:$AY50,'recurring2_based on steps'!$B$1:$AY$1,Q$1)+SUMIFS('changes2_based on steps'!$B50:$U50,'changes2_based on steps'!$B$1:$U$1,Q$1)</f>
        <v>5.5401662049861494E-2</v>
      </c>
      <c r="R50" s="140">
        <f ca="1">SUMIFS('recurring2_based on steps'!$B50:$AY50,'recurring2_based on steps'!$B$1:$AY$1,R$1)+SUMIFS('changes2_based on steps'!$B50:$U50,'changes2_based on steps'!$B$1:$U$1,R$1)</f>
        <v>0</v>
      </c>
      <c r="S50" s="140">
        <f>SUMIFS('recurring2_based on steps'!$B50:$AY50,'recurring2_based on steps'!$B$1:$AY$1,S$1)+SUMIFS('changes2_based on steps'!$B50:$U50,'changes2_based on steps'!$B$1:$U$1,S$1)</f>
        <v>0</v>
      </c>
      <c r="T50" s="140">
        <f ca="1">SUMIFS('recurring2_based on steps'!$B50:$AY50,'recurring2_based on steps'!$B$1:$AY$1,T$1)+SUMIFS('changes2_based on steps'!$B50:$U50,'changes2_based on steps'!$B$1:$U$1,T$1)</f>
        <v>0</v>
      </c>
      <c r="U50" s="140">
        <f ca="1">SUMIFS('recurring2_based on steps'!$B50:$AY50,'recurring2_based on steps'!$B$1:$AY$1,U$1)+SUMIFS('changes2_based on steps'!$B50:$U50,'changes2_based on steps'!$B$1:$U$1,U$1)</f>
        <v>0</v>
      </c>
      <c r="V50" s="140">
        <f>SUMIFS('recurring2_based on steps'!$B50:$AY50,'recurring2_based on steps'!$B$1:$AY$1,V$1)+SUMIFS('changes2_based on steps'!$B50:$U50,'changes2_based on steps'!$B$1:$U$1,V$1)</f>
        <v>0</v>
      </c>
      <c r="W50" s="140">
        <f>SUMIFS('recurring2_based on steps'!$B50:$AY50,'recurring2_based on steps'!$B$1:$AY$1,W$1)+SUMIFS('changes2_based on steps'!$B50:$U50,'changes2_based on steps'!$B$1:$U$1,W$1)</f>
        <v>0</v>
      </c>
      <c r="X50" s="140">
        <f ca="1">SUMIFS('recurring2_based on steps'!$B50:$AY50,'recurring2_based on steps'!$B$1:$AY$1,X$1)+SUMIFS('changes2_based on steps'!$B50:$U50,'changes2_based on steps'!$B$1:$U$1,X$1)</f>
        <v>0</v>
      </c>
      <c r="Y50" s="140">
        <f ca="1">SUMIFS('recurring2_based on steps'!$B50:$AY50,'recurring2_based on steps'!$B$1:$AY$1,Y$1)+SUMIFS('changes2_based on steps'!$B50:$U50,'changes2_based on steps'!$B$1:$U$1,Y$1)</f>
        <v>0</v>
      </c>
      <c r="Z50" s="140">
        <f>SUMIFS('recurring2_based on steps'!$B50:$AY50,'recurring2_based on steps'!$B$1:$AY$1,Z$1)+SUMIFS('changes2_based on steps'!$B50:$U50,'changes2_based on steps'!$B$1:$U$1,Z$1)</f>
        <v>0</v>
      </c>
      <c r="AA50" s="140">
        <f ca="1">SUMIFS('recurring2_based on steps'!$B50:$AY50,'recurring2_based on steps'!$B$1:$AY$1,AA$1)+SUMIFS('changes2_based on steps'!$B50:$U50,'changes2_based on steps'!$B$1:$U$1,AA$1)</f>
        <v>0</v>
      </c>
      <c r="AB50" s="140">
        <f ca="1">SUMIFS('recurring2_based on steps'!$B50:$AY50,'recurring2_based on steps'!$B$1:$AY$1,AB$1)+SUMIFS('changes2_based on steps'!$B50:$U50,'changes2_based on steps'!$B$1:$U$1,AB$1)</f>
        <v>0</v>
      </c>
      <c r="AC50" s="140">
        <f ca="1">SUMIFS('recurring2_based on steps'!$B50:$AY50,'recurring2_based on steps'!$B$1:$AY$1,AC$1)+SUMIFS('changes2_based on steps'!$B50:$U50,'changes2_based on steps'!$B$1:$U$1,AC$1)</f>
        <v>0</v>
      </c>
      <c r="AD50" s="140">
        <f ca="1">SUMIFS('recurring2_based on steps'!$B50:$AY50,'recurring2_based on steps'!$B$1:$AY$1,AD$1)+SUMIFS('changes2_based on steps'!$B50:$U50,'changes2_based on steps'!$B$1:$U$1,AD$1)</f>
        <v>0</v>
      </c>
      <c r="AE50" s="140">
        <f>SUMIFS('recurring2_based on steps'!$B50:$AY50,'recurring2_based on steps'!$B$1:$AY$1,AE$1)+SUMIFS('changes2_based on steps'!$B50:$U50,'changes2_based on steps'!$B$1:$U$1,AE$1)</f>
        <v>0</v>
      </c>
      <c r="AF50" s="140"/>
      <c r="AG50" s="140"/>
      <c r="AH50" s="140"/>
      <c r="AI50" s="140"/>
      <c r="AJ50" s="140"/>
      <c r="AK50" s="140"/>
      <c r="AL50" s="140"/>
      <c r="AM50" s="140"/>
    </row>
    <row r="51" spans="1:39" x14ac:dyDescent="0.2">
      <c r="A51" s="29">
        <f t="shared" ca="1" si="0"/>
        <v>45791</v>
      </c>
      <c r="B51" s="140">
        <f ca="1">SUMIFS('recurring2_based on steps'!$B51:$AY51,'recurring2_based on steps'!$B$1:$AY$1,B$1)+SUMIFS('changes2_based on steps'!$B51:$U51,'changes2_based on steps'!$B$1:$U$1,B$1)</f>
        <v>0</v>
      </c>
      <c r="C51" s="140">
        <f>SUMIFS('recurring2_based on steps'!$B51:$AY51,'recurring2_based on steps'!$B$1:$AY$1,C$1)+SUMIFS('changes2_based on steps'!$B51:$U51,'changes2_based on steps'!$B$1:$U$1,C$1)</f>
        <v>0</v>
      </c>
      <c r="D51" s="140">
        <f>SUMIFS('recurring2_based on steps'!$B51:$AY51,'recurring2_based on steps'!$B$1:$AY$1,D$1)+SUMIFS('changes2_based on steps'!$B51:$U51,'changes2_based on steps'!$B$1:$U$1,D$1)</f>
        <v>0</v>
      </c>
      <c r="E51" s="140">
        <f>SUMIFS('recurring2_based on steps'!$B51:$AY51,'recurring2_based on steps'!$B$1:$AY$1,E$1)+SUMIFS('changes2_based on steps'!$B51:$U51,'changes2_based on steps'!$B$1:$U$1,E$1)</f>
        <v>0</v>
      </c>
      <c r="F51" s="140">
        <f>SUMIFS('recurring2_based on steps'!$B51:$AY51,'recurring2_based on steps'!$B$1:$AY$1,F$1)+SUMIFS('changes2_based on steps'!$B51:$U51,'changes2_based on steps'!$B$1:$U$1,F$1)</f>
        <v>0</v>
      </c>
      <c r="G51" s="140">
        <f>SUMIFS('recurring2_based on steps'!$B51:$AY51,'recurring2_based on steps'!$B$1:$AY$1,G$1)+SUMIFS('changes2_based on steps'!$B51:$U51,'changes2_based on steps'!$B$1:$U$1,G$1)</f>
        <v>0</v>
      </c>
      <c r="H51" s="140">
        <f>SUMIFS('recurring2_based on steps'!$B51:$AY51,'recurring2_based on steps'!$B$1:$AY$1,H$1)+SUMIFS('changes2_based on steps'!$B51:$U51,'changes2_based on steps'!$B$1:$U$1,H$1)</f>
        <v>0</v>
      </c>
      <c r="I51" s="140">
        <f>SUMIFS('recurring2_based on steps'!$B51:$AY51,'recurring2_based on steps'!$B$1:$AY$1,I$1)+SUMIFS('changes2_based on steps'!$B51:$U51,'changes2_based on steps'!$B$1:$U$1,I$1)</f>
        <v>0</v>
      </c>
      <c r="J51" s="140">
        <f ca="1">SUMIFS('recurring2_based on steps'!$B51:$AY51,'recurring2_based on steps'!$B$1:$AY$1,J$1)+SUMIFS('changes2_based on steps'!$B51:$U51,'changes2_based on steps'!$B$1:$U$1,J$1)</f>
        <v>0</v>
      </c>
      <c r="K51" s="140">
        <f>SUMIFS('recurring2_based on steps'!$B51:$AY51,'recurring2_based on steps'!$B$1:$AY$1,K$1)+SUMIFS('changes2_based on steps'!$B51:$U51,'changes2_based on steps'!$B$1:$U$1,K$1)</f>
        <v>0</v>
      </c>
      <c r="L51" s="140">
        <f>SUMIFS('recurring2_based on steps'!$B51:$AY51,'recurring2_based on steps'!$B$1:$AY$1,L$1)+SUMIFS('changes2_based on steps'!$B51:$U51,'changes2_based on steps'!$B$1:$U$1,L$1)</f>
        <v>0</v>
      </c>
      <c r="M51" s="140">
        <f>SUMIFS('recurring2_based on steps'!$B51:$AY51,'recurring2_based on steps'!$B$1:$AY$1,M$1)+SUMIFS('changes2_based on steps'!$B51:$U51,'changes2_based on steps'!$B$1:$U$1,M$1)</f>
        <v>0</v>
      </c>
      <c r="N51" s="140">
        <f ca="1">SUMIFS('recurring2_based on steps'!$B51:$AY51,'recurring2_based on steps'!$B$1:$AY$1,N$1)+SUMIFS('changes2_based on steps'!$B51:$U51,'changes2_based on steps'!$B$1:$U$1,N$1)</f>
        <v>0</v>
      </c>
      <c r="O51" s="140">
        <f>SUMIFS('recurring2_based on steps'!$B51:$AY51,'recurring2_based on steps'!$B$1:$AY$1,O$1)+SUMIFS('changes2_based on steps'!$B51:$U51,'changes2_based on steps'!$B$1:$U$1,O$1)</f>
        <v>0</v>
      </c>
      <c r="P51" s="140">
        <f ca="1">SUMIFS('recurring2_based on steps'!$B51:$AY51,'recurring2_based on steps'!$B$1:$AY$1,P$1)+SUMIFS('changes2_based on steps'!$B51:$U51,'changes2_based on steps'!$B$1:$U$1,P$1)</f>
        <v>0</v>
      </c>
      <c r="Q51" s="140">
        <f ca="1">SUMIFS('recurring2_based on steps'!$B51:$AY51,'recurring2_based on steps'!$B$1:$AY$1,Q$1)+SUMIFS('changes2_based on steps'!$B51:$U51,'changes2_based on steps'!$B$1:$U$1,Q$1)</f>
        <v>5.5401662049861494E-2</v>
      </c>
      <c r="R51" s="140">
        <f ca="1">SUMIFS('recurring2_based on steps'!$B51:$AY51,'recurring2_based on steps'!$B$1:$AY$1,R$1)+SUMIFS('changes2_based on steps'!$B51:$U51,'changes2_based on steps'!$B$1:$U$1,R$1)</f>
        <v>0</v>
      </c>
      <c r="S51" s="140">
        <f>SUMIFS('recurring2_based on steps'!$B51:$AY51,'recurring2_based on steps'!$B$1:$AY$1,S$1)+SUMIFS('changes2_based on steps'!$B51:$U51,'changes2_based on steps'!$B$1:$U$1,S$1)</f>
        <v>0</v>
      </c>
      <c r="T51" s="140">
        <f ca="1">SUMIFS('recurring2_based on steps'!$B51:$AY51,'recurring2_based on steps'!$B$1:$AY$1,T$1)+SUMIFS('changes2_based on steps'!$B51:$U51,'changes2_based on steps'!$B$1:$U$1,T$1)</f>
        <v>0</v>
      </c>
      <c r="U51" s="140">
        <f ca="1">SUMIFS('recurring2_based on steps'!$B51:$AY51,'recurring2_based on steps'!$B$1:$AY$1,U$1)+SUMIFS('changes2_based on steps'!$B51:$U51,'changes2_based on steps'!$B$1:$U$1,U$1)</f>
        <v>0</v>
      </c>
      <c r="V51" s="140">
        <f>SUMIFS('recurring2_based on steps'!$B51:$AY51,'recurring2_based on steps'!$B$1:$AY$1,V$1)+SUMIFS('changes2_based on steps'!$B51:$U51,'changes2_based on steps'!$B$1:$U$1,V$1)</f>
        <v>0</v>
      </c>
      <c r="W51" s="140">
        <f>SUMIFS('recurring2_based on steps'!$B51:$AY51,'recurring2_based on steps'!$B$1:$AY$1,W$1)+SUMIFS('changes2_based on steps'!$B51:$U51,'changes2_based on steps'!$B$1:$U$1,W$1)</f>
        <v>0</v>
      </c>
      <c r="X51" s="140">
        <f ca="1">SUMIFS('recurring2_based on steps'!$B51:$AY51,'recurring2_based on steps'!$B$1:$AY$1,X$1)+SUMIFS('changes2_based on steps'!$B51:$U51,'changes2_based on steps'!$B$1:$U$1,X$1)</f>
        <v>0</v>
      </c>
      <c r="Y51" s="140">
        <f ca="1">SUMIFS('recurring2_based on steps'!$B51:$AY51,'recurring2_based on steps'!$B$1:$AY$1,Y$1)+SUMIFS('changes2_based on steps'!$B51:$U51,'changes2_based on steps'!$B$1:$U$1,Y$1)</f>
        <v>0</v>
      </c>
      <c r="Z51" s="140">
        <f>SUMIFS('recurring2_based on steps'!$B51:$AY51,'recurring2_based on steps'!$B$1:$AY$1,Z$1)+SUMIFS('changes2_based on steps'!$B51:$U51,'changes2_based on steps'!$B$1:$U$1,Z$1)</f>
        <v>0</v>
      </c>
      <c r="AA51" s="140">
        <f ca="1">SUMIFS('recurring2_based on steps'!$B51:$AY51,'recurring2_based on steps'!$B$1:$AY$1,AA$1)+SUMIFS('changes2_based on steps'!$B51:$U51,'changes2_based on steps'!$B$1:$U$1,AA$1)</f>
        <v>0</v>
      </c>
      <c r="AB51" s="140">
        <f ca="1">SUMIFS('recurring2_based on steps'!$B51:$AY51,'recurring2_based on steps'!$B$1:$AY$1,AB$1)+SUMIFS('changes2_based on steps'!$B51:$U51,'changes2_based on steps'!$B$1:$U$1,AB$1)</f>
        <v>0</v>
      </c>
      <c r="AC51" s="140">
        <f ca="1">SUMIFS('recurring2_based on steps'!$B51:$AY51,'recurring2_based on steps'!$B$1:$AY$1,AC$1)+SUMIFS('changes2_based on steps'!$B51:$U51,'changes2_based on steps'!$B$1:$U$1,AC$1)</f>
        <v>0</v>
      </c>
      <c r="AD51" s="140">
        <f ca="1">SUMIFS('recurring2_based on steps'!$B51:$AY51,'recurring2_based on steps'!$B$1:$AY$1,AD$1)+SUMIFS('changes2_based on steps'!$B51:$U51,'changes2_based on steps'!$B$1:$U$1,AD$1)</f>
        <v>0</v>
      </c>
      <c r="AE51" s="140">
        <f>SUMIFS('recurring2_based on steps'!$B51:$AY51,'recurring2_based on steps'!$B$1:$AY$1,AE$1)+SUMIFS('changes2_based on steps'!$B51:$U51,'changes2_based on steps'!$B$1:$U$1,AE$1)</f>
        <v>0</v>
      </c>
      <c r="AF51" s="140"/>
      <c r="AG51" s="140"/>
      <c r="AH51" s="140"/>
      <c r="AI51" s="140"/>
      <c r="AJ51" s="140"/>
      <c r="AK51" s="140"/>
      <c r="AL51" s="140"/>
      <c r="AM51" s="140"/>
    </row>
    <row r="52" spans="1:39" x14ac:dyDescent="0.2">
      <c r="A52" s="29">
        <f t="shared" ca="1" si="0"/>
        <v>45792</v>
      </c>
      <c r="B52" s="140">
        <f ca="1">SUMIFS('recurring2_based on steps'!$B52:$AY52,'recurring2_based on steps'!$B$1:$AY$1,B$1)+SUMIFS('changes2_based on steps'!$B52:$U52,'changes2_based on steps'!$B$1:$U$1,B$1)</f>
        <v>0</v>
      </c>
      <c r="C52" s="140">
        <f>SUMIFS('recurring2_based on steps'!$B52:$AY52,'recurring2_based on steps'!$B$1:$AY$1,C$1)+SUMIFS('changes2_based on steps'!$B52:$U52,'changes2_based on steps'!$B$1:$U$1,C$1)</f>
        <v>0</v>
      </c>
      <c r="D52" s="140">
        <f>SUMIFS('recurring2_based on steps'!$B52:$AY52,'recurring2_based on steps'!$B$1:$AY$1,D$1)+SUMIFS('changes2_based on steps'!$B52:$U52,'changes2_based on steps'!$B$1:$U$1,D$1)</f>
        <v>0</v>
      </c>
      <c r="E52" s="140">
        <f>SUMIFS('recurring2_based on steps'!$B52:$AY52,'recurring2_based on steps'!$B$1:$AY$1,E$1)+SUMIFS('changes2_based on steps'!$B52:$U52,'changes2_based on steps'!$B$1:$U$1,E$1)</f>
        <v>0</v>
      </c>
      <c r="F52" s="140">
        <f>SUMIFS('recurring2_based on steps'!$B52:$AY52,'recurring2_based on steps'!$B$1:$AY$1,F$1)+SUMIFS('changes2_based on steps'!$B52:$U52,'changes2_based on steps'!$B$1:$U$1,F$1)</f>
        <v>0</v>
      </c>
      <c r="G52" s="140">
        <f>SUMIFS('recurring2_based on steps'!$B52:$AY52,'recurring2_based on steps'!$B$1:$AY$1,G$1)+SUMIFS('changes2_based on steps'!$B52:$U52,'changes2_based on steps'!$B$1:$U$1,G$1)</f>
        <v>0</v>
      </c>
      <c r="H52" s="140">
        <f>SUMIFS('recurring2_based on steps'!$B52:$AY52,'recurring2_based on steps'!$B$1:$AY$1,H$1)+SUMIFS('changes2_based on steps'!$B52:$U52,'changes2_based on steps'!$B$1:$U$1,H$1)</f>
        <v>0</v>
      </c>
      <c r="I52" s="140">
        <f>SUMIFS('recurring2_based on steps'!$B52:$AY52,'recurring2_based on steps'!$B$1:$AY$1,I$1)+SUMIFS('changes2_based on steps'!$B52:$U52,'changes2_based on steps'!$B$1:$U$1,I$1)</f>
        <v>0</v>
      </c>
      <c r="J52" s="140">
        <f ca="1">SUMIFS('recurring2_based on steps'!$B52:$AY52,'recurring2_based on steps'!$B$1:$AY$1,J$1)+SUMIFS('changes2_based on steps'!$B52:$U52,'changes2_based on steps'!$B$1:$U$1,J$1)</f>
        <v>0</v>
      </c>
      <c r="K52" s="140">
        <f>SUMIFS('recurring2_based on steps'!$B52:$AY52,'recurring2_based on steps'!$B$1:$AY$1,K$1)+SUMIFS('changes2_based on steps'!$B52:$U52,'changes2_based on steps'!$B$1:$U$1,K$1)</f>
        <v>0</v>
      </c>
      <c r="L52" s="140">
        <f>SUMIFS('recurring2_based on steps'!$B52:$AY52,'recurring2_based on steps'!$B$1:$AY$1,L$1)+SUMIFS('changes2_based on steps'!$B52:$U52,'changes2_based on steps'!$B$1:$U$1,L$1)</f>
        <v>0</v>
      </c>
      <c r="M52" s="140">
        <f>SUMIFS('recurring2_based on steps'!$B52:$AY52,'recurring2_based on steps'!$B$1:$AY$1,M$1)+SUMIFS('changes2_based on steps'!$B52:$U52,'changes2_based on steps'!$B$1:$U$1,M$1)</f>
        <v>0</v>
      </c>
      <c r="N52" s="140">
        <f ca="1">SUMIFS('recurring2_based on steps'!$B52:$AY52,'recurring2_based on steps'!$B$1:$AY$1,N$1)+SUMIFS('changes2_based on steps'!$B52:$U52,'changes2_based on steps'!$B$1:$U$1,N$1)</f>
        <v>0</v>
      </c>
      <c r="O52" s="140">
        <f>SUMIFS('recurring2_based on steps'!$B52:$AY52,'recurring2_based on steps'!$B$1:$AY$1,O$1)+SUMIFS('changes2_based on steps'!$B52:$U52,'changes2_based on steps'!$B$1:$U$1,O$1)</f>
        <v>0</v>
      </c>
      <c r="P52" s="140">
        <f ca="1">SUMIFS('recurring2_based on steps'!$B52:$AY52,'recurring2_based on steps'!$B$1:$AY$1,P$1)+SUMIFS('changes2_based on steps'!$B52:$U52,'changes2_based on steps'!$B$1:$U$1,P$1)</f>
        <v>0</v>
      </c>
      <c r="Q52" s="140">
        <f ca="1">SUMIFS('recurring2_based on steps'!$B52:$AY52,'recurring2_based on steps'!$B$1:$AY$1,Q$1)+SUMIFS('changes2_based on steps'!$B52:$U52,'changes2_based on steps'!$B$1:$U$1,Q$1)</f>
        <v>5.5401662049861494E-2</v>
      </c>
      <c r="R52" s="140">
        <f ca="1">SUMIFS('recurring2_based on steps'!$B52:$AY52,'recurring2_based on steps'!$B$1:$AY$1,R$1)+SUMIFS('changes2_based on steps'!$B52:$U52,'changes2_based on steps'!$B$1:$U$1,R$1)</f>
        <v>0</v>
      </c>
      <c r="S52" s="140">
        <f>SUMIFS('recurring2_based on steps'!$B52:$AY52,'recurring2_based on steps'!$B$1:$AY$1,S$1)+SUMIFS('changes2_based on steps'!$B52:$U52,'changes2_based on steps'!$B$1:$U$1,S$1)</f>
        <v>0</v>
      </c>
      <c r="T52" s="140">
        <f ca="1">SUMIFS('recurring2_based on steps'!$B52:$AY52,'recurring2_based on steps'!$B$1:$AY$1,T$1)+SUMIFS('changes2_based on steps'!$B52:$U52,'changes2_based on steps'!$B$1:$U$1,T$1)</f>
        <v>0</v>
      </c>
      <c r="U52" s="140">
        <f ca="1">SUMIFS('recurring2_based on steps'!$B52:$AY52,'recurring2_based on steps'!$B$1:$AY$1,U$1)+SUMIFS('changes2_based on steps'!$B52:$U52,'changes2_based on steps'!$B$1:$U$1,U$1)</f>
        <v>0</v>
      </c>
      <c r="V52" s="140">
        <f>SUMIFS('recurring2_based on steps'!$B52:$AY52,'recurring2_based on steps'!$B$1:$AY$1,V$1)+SUMIFS('changes2_based on steps'!$B52:$U52,'changes2_based on steps'!$B$1:$U$1,V$1)</f>
        <v>0</v>
      </c>
      <c r="W52" s="140">
        <f>SUMIFS('recurring2_based on steps'!$B52:$AY52,'recurring2_based on steps'!$B$1:$AY$1,W$1)+SUMIFS('changes2_based on steps'!$B52:$U52,'changes2_based on steps'!$B$1:$U$1,W$1)</f>
        <v>0</v>
      </c>
      <c r="X52" s="140">
        <f ca="1">SUMIFS('recurring2_based on steps'!$B52:$AY52,'recurring2_based on steps'!$B$1:$AY$1,X$1)+SUMIFS('changes2_based on steps'!$B52:$U52,'changes2_based on steps'!$B$1:$U$1,X$1)</f>
        <v>0</v>
      </c>
      <c r="Y52" s="140">
        <f ca="1">SUMIFS('recurring2_based on steps'!$B52:$AY52,'recurring2_based on steps'!$B$1:$AY$1,Y$1)+SUMIFS('changes2_based on steps'!$B52:$U52,'changes2_based on steps'!$B$1:$U$1,Y$1)</f>
        <v>0</v>
      </c>
      <c r="Z52" s="140">
        <f>SUMIFS('recurring2_based on steps'!$B52:$AY52,'recurring2_based on steps'!$B$1:$AY$1,Z$1)+SUMIFS('changes2_based on steps'!$B52:$U52,'changes2_based on steps'!$B$1:$U$1,Z$1)</f>
        <v>0</v>
      </c>
      <c r="AA52" s="140">
        <f ca="1">SUMIFS('recurring2_based on steps'!$B52:$AY52,'recurring2_based on steps'!$B$1:$AY$1,AA$1)+SUMIFS('changes2_based on steps'!$B52:$U52,'changes2_based on steps'!$B$1:$U$1,AA$1)</f>
        <v>0</v>
      </c>
      <c r="AB52" s="140">
        <f ca="1">SUMIFS('recurring2_based on steps'!$B52:$AY52,'recurring2_based on steps'!$B$1:$AY$1,AB$1)+SUMIFS('changes2_based on steps'!$B52:$U52,'changes2_based on steps'!$B$1:$U$1,AB$1)</f>
        <v>0</v>
      </c>
      <c r="AC52" s="140">
        <f ca="1">SUMIFS('recurring2_based on steps'!$B52:$AY52,'recurring2_based on steps'!$B$1:$AY$1,AC$1)+SUMIFS('changes2_based on steps'!$B52:$U52,'changes2_based on steps'!$B$1:$U$1,AC$1)</f>
        <v>0</v>
      </c>
      <c r="AD52" s="140">
        <f ca="1">SUMIFS('recurring2_based on steps'!$B52:$AY52,'recurring2_based on steps'!$B$1:$AY$1,AD$1)+SUMIFS('changes2_based on steps'!$B52:$U52,'changes2_based on steps'!$B$1:$U$1,AD$1)</f>
        <v>0</v>
      </c>
      <c r="AE52" s="140">
        <f>SUMIFS('recurring2_based on steps'!$B52:$AY52,'recurring2_based on steps'!$B$1:$AY$1,AE$1)+SUMIFS('changes2_based on steps'!$B52:$U52,'changes2_based on steps'!$B$1:$U$1,AE$1)</f>
        <v>0</v>
      </c>
      <c r="AF52" s="140"/>
      <c r="AG52" s="140"/>
      <c r="AH52" s="140"/>
      <c r="AI52" s="140"/>
      <c r="AJ52" s="140"/>
      <c r="AK52" s="140"/>
      <c r="AL52" s="140"/>
      <c r="AM52" s="140"/>
    </row>
    <row r="53" spans="1:39" x14ac:dyDescent="0.2">
      <c r="A53" s="29">
        <f t="shared" ca="1" si="0"/>
        <v>45793</v>
      </c>
      <c r="B53" s="140">
        <f ca="1">SUMIFS('recurring2_based on steps'!$B53:$AY53,'recurring2_based on steps'!$B$1:$AY$1,B$1)+SUMIFS('changes2_based on steps'!$B53:$U53,'changes2_based on steps'!$B$1:$U$1,B$1)</f>
        <v>4000</v>
      </c>
      <c r="C53" s="140">
        <f>SUMIFS('recurring2_based on steps'!$B53:$AY53,'recurring2_based on steps'!$B$1:$AY$1,C$1)+SUMIFS('changes2_based on steps'!$B53:$U53,'changes2_based on steps'!$B$1:$U$1,C$1)</f>
        <v>0</v>
      </c>
      <c r="D53" s="140">
        <f>SUMIFS('recurring2_based on steps'!$B53:$AY53,'recurring2_based on steps'!$B$1:$AY$1,D$1)+SUMIFS('changes2_based on steps'!$B53:$U53,'changes2_based on steps'!$B$1:$U$1,D$1)</f>
        <v>0</v>
      </c>
      <c r="E53" s="140">
        <f>SUMIFS('recurring2_based on steps'!$B53:$AY53,'recurring2_based on steps'!$B$1:$AY$1,E$1)+SUMIFS('changes2_based on steps'!$B53:$U53,'changes2_based on steps'!$B$1:$U$1,E$1)</f>
        <v>0</v>
      </c>
      <c r="F53" s="140">
        <f>SUMIFS('recurring2_based on steps'!$B53:$AY53,'recurring2_based on steps'!$B$1:$AY$1,F$1)+SUMIFS('changes2_based on steps'!$B53:$U53,'changes2_based on steps'!$B$1:$U$1,F$1)</f>
        <v>0</v>
      </c>
      <c r="G53" s="140">
        <f>SUMIFS('recurring2_based on steps'!$B53:$AY53,'recurring2_based on steps'!$B$1:$AY$1,G$1)+SUMIFS('changes2_based on steps'!$B53:$U53,'changes2_based on steps'!$B$1:$U$1,G$1)</f>
        <v>0</v>
      </c>
      <c r="H53" s="140">
        <f>SUMIFS('recurring2_based on steps'!$B53:$AY53,'recurring2_based on steps'!$B$1:$AY$1,H$1)+SUMIFS('changes2_based on steps'!$B53:$U53,'changes2_based on steps'!$B$1:$U$1,H$1)</f>
        <v>0</v>
      </c>
      <c r="I53" s="140">
        <f>SUMIFS('recurring2_based on steps'!$B53:$AY53,'recurring2_based on steps'!$B$1:$AY$1,I$1)+SUMIFS('changes2_based on steps'!$B53:$U53,'changes2_based on steps'!$B$1:$U$1,I$1)</f>
        <v>0</v>
      </c>
      <c r="J53" s="140">
        <f ca="1">SUMIFS('recurring2_based on steps'!$B53:$AY53,'recurring2_based on steps'!$B$1:$AY$1,J$1)+SUMIFS('changes2_based on steps'!$B53:$U53,'changes2_based on steps'!$B$1:$U$1,J$1)</f>
        <v>0</v>
      </c>
      <c r="K53" s="140">
        <f>SUMIFS('recurring2_based on steps'!$B53:$AY53,'recurring2_based on steps'!$B$1:$AY$1,K$1)+SUMIFS('changes2_based on steps'!$B53:$U53,'changes2_based on steps'!$B$1:$U$1,K$1)</f>
        <v>0</v>
      </c>
      <c r="L53" s="140">
        <f>SUMIFS('recurring2_based on steps'!$B53:$AY53,'recurring2_based on steps'!$B$1:$AY$1,L$1)+SUMIFS('changes2_based on steps'!$B53:$U53,'changes2_based on steps'!$B$1:$U$1,L$1)</f>
        <v>0</v>
      </c>
      <c r="M53" s="140">
        <f>SUMIFS('recurring2_based on steps'!$B53:$AY53,'recurring2_based on steps'!$B$1:$AY$1,M$1)+SUMIFS('changes2_based on steps'!$B53:$U53,'changes2_based on steps'!$B$1:$U$1,M$1)</f>
        <v>0</v>
      </c>
      <c r="N53" s="140">
        <f ca="1">SUMIFS('recurring2_based on steps'!$B53:$AY53,'recurring2_based on steps'!$B$1:$AY$1,N$1)+SUMIFS('changes2_based on steps'!$B53:$U53,'changes2_based on steps'!$B$1:$U$1,N$1)</f>
        <v>0</v>
      </c>
      <c r="O53" s="140">
        <f>SUMIFS('recurring2_based on steps'!$B53:$AY53,'recurring2_based on steps'!$B$1:$AY$1,O$1)+SUMIFS('changes2_based on steps'!$B53:$U53,'changes2_based on steps'!$B$1:$U$1,O$1)</f>
        <v>0</v>
      </c>
      <c r="P53" s="140">
        <f ca="1">SUMIFS('recurring2_based on steps'!$B53:$AY53,'recurring2_based on steps'!$B$1:$AY$1,P$1)+SUMIFS('changes2_based on steps'!$B53:$U53,'changes2_based on steps'!$B$1:$U$1,P$1)</f>
        <v>0</v>
      </c>
      <c r="Q53" s="140">
        <f ca="1">SUMIFS('recurring2_based on steps'!$B53:$AY53,'recurring2_based on steps'!$B$1:$AY$1,Q$1)+SUMIFS('changes2_based on steps'!$B53:$U53,'changes2_based on steps'!$B$1:$U$1,Q$1)</f>
        <v>5.5401662049861494E-2</v>
      </c>
      <c r="R53" s="140">
        <f ca="1">SUMIFS('recurring2_based on steps'!$B53:$AY53,'recurring2_based on steps'!$B$1:$AY$1,R$1)+SUMIFS('changes2_based on steps'!$B53:$U53,'changes2_based on steps'!$B$1:$U$1,R$1)</f>
        <v>0</v>
      </c>
      <c r="S53" s="140">
        <f>SUMIFS('recurring2_based on steps'!$B53:$AY53,'recurring2_based on steps'!$B$1:$AY$1,S$1)+SUMIFS('changes2_based on steps'!$B53:$U53,'changes2_based on steps'!$B$1:$U$1,S$1)</f>
        <v>0</v>
      </c>
      <c r="T53" s="140">
        <f ca="1">SUMIFS('recurring2_based on steps'!$B53:$AY53,'recurring2_based on steps'!$B$1:$AY$1,T$1)+SUMIFS('changes2_based on steps'!$B53:$U53,'changes2_based on steps'!$B$1:$U$1,T$1)</f>
        <v>50</v>
      </c>
      <c r="U53" s="140">
        <f ca="1">SUMIFS('recurring2_based on steps'!$B53:$AY53,'recurring2_based on steps'!$B$1:$AY$1,U$1)+SUMIFS('changes2_based on steps'!$B53:$U53,'changes2_based on steps'!$B$1:$U$1,U$1)</f>
        <v>200</v>
      </c>
      <c r="V53" s="140">
        <f>SUMIFS('recurring2_based on steps'!$B53:$AY53,'recurring2_based on steps'!$B$1:$AY$1,V$1)+SUMIFS('changes2_based on steps'!$B53:$U53,'changes2_based on steps'!$B$1:$U$1,V$1)</f>
        <v>0</v>
      </c>
      <c r="W53" s="140">
        <f>SUMIFS('recurring2_based on steps'!$B53:$AY53,'recurring2_based on steps'!$B$1:$AY$1,W$1)+SUMIFS('changes2_based on steps'!$B53:$U53,'changes2_based on steps'!$B$1:$U$1,W$1)</f>
        <v>0</v>
      </c>
      <c r="X53" s="140">
        <f ca="1">SUMIFS('recurring2_based on steps'!$B53:$AY53,'recurring2_based on steps'!$B$1:$AY$1,X$1)+SUMIFS('changes2_based on steps'!$B53:$U53,'changes2_based on steps'!$B$1:$U$1,X$1)</f>
        <v>96</v>
      </c>
      <c r="Y53" s="140">
        <f ca="1">SUMIFS('recurring2_based on steps'!$B53:$AY53,'recurring2_based on steps'!$B$1:$AY$1,Y$1)+SUMIFS('changes2_based on steps'!$B53:$U53,'changes2_based on steps'!$B$1:$U$1,Y$1)</f>
        <v>0</v>
      </c>
      <c r="Z53" s="140">
        <f>SUMIFS('recurring2_based on steps'!$B53:$AY53,'recurring2_based on steps'!$B$1:$AY$1,Z$1)+SUMIFS('changes2_based on steps'!$B53:$U53,'changes2_based on steps'!$B$1:$U$1,Z$1)</f>
        <v>0</v>
      </c>
      <c r="AA53" s="140">
        <f ca="1">SUMIFS('recurring2_based on steps'!$B53:$AY53,'recurring2_based on steps'!$B$1:$AY$1,AA$1)+SUMIFS('changes2_based on steps'!$B53:$U53,'changes2_based on steps'!$B$1:$U$1,AA$1)</f>
        <v>0</v>
      </c>
      <c r="AB53" s="140">
        <f ca="1">SUMIFS('recurring2_based on steps'!$B53:$AY53,'recurring2_based on steps'!$B$1:$AY$1,AB$1)+SUMIFS('changes2_based on steps'!$B53:$U53,'changes2_based on steps'!$B$1:$U$1,AB$1)</f>
        <v>0</v>
      </c>
      <c r="AC53" s="140">
        <f ca="1">SUMIFS('recurring2_based on steps'!$B53:$AY53,'recurring2_based on steps'!$B$1:$AY$1,AC$1)+SUMIFS('changes2_based on steps'!$B53:$U53,'changes2_based on steps'!$B$1:$U$1,AC$1)</f>
        <v>0</v>
      </c>
      <c r="AD53" s="140">
        <f ca="1">SUMIFS('recurring2_based on steps'!$B53:$AY53,'recurring2_based on steps'!$B$1:$AY$1,AD$1)+SUMIFS('changes2_based on steps'!$B53:$U53,'changes2_based on steps'!$B$1:$U$1,AD$1)</f>
        <v>50</v>
      </c>
      <c r="AE53" s="140">
        <f>SUMIFS('recurring2_based on steps'!$B53:$AY53,'recurring2_based on steps'!$B$1:$AY$1,AE$1)+SUMIFS('changes2_based on steps'!$B53:$U53,'changes2_based on steps'!$B$1:$U$1,AE$1)</f>
        <v>0</v>
      </c>
      <c r="AF53" s="140"/>
      <c r="AG53" s="140"/>
      <c r="AH53" s="140"/>
      <c r="AI53" s="140"/>
      <c r="AJ53" s="140"/>
      <c r="AK53" s="140"/>
      <c r="AL53" s="140"/>
      <c r="AM53" s="140"/>
    </row>
    <row r="54" spans="1:39" x14ac:dyDescent="0.2">
      <c r="A54" s="29">
        <f t="shared" ca="1" si="0"/>
        <v>45794</v>
      </c>
      <c r="B54" s="140">
        <f ca="1">SUMIFS('recurring2_based on steps'!$B54:$AY54,'recurring2_based on steps'!$B$1:$AY$1,B$1)+SUMIFS('changes2_based on steps'!$B54:$U54,'changes2_based on steps'!$B$1:$U$1,B$1)</f>
        <v>0</v>
      </c>
      <c r="C54" s="140">
        <f>SUMIFS('recurring2_based on steps'!$B54:$AY54,'recurring2_based on steps'!$B$1:$AY$1,C$1)+SUMIFS('changes2_based on steps'!$B54:$U54,'changes2_based on steps'!$B$1:$U$1,C$1)</f>
        <v>0</v>
      </c>
      <c r="D54" s="140">
        <f>SUMIFS('recurring2_based on steps'!$B54:$AY54,'recurring2_based on steps'!$B$1:$AY$1,D$1)+SUMIFS('changes2_based on steps'!$B54:$U54,'changes2_based on steps'!$B$1:$U$1,D$1)</f>
        <v>0</v>
      </c>
      <c r="E54" s="140">
        <f>SUMIFS('recurring2_based on steps'!$B54:$AY54,'recurring2_based on steps'!$B$1:$AY$1,E$1)+SUMIFS('changes2_based on steps'!$B54:$U54,'changes2_based on steps'!$B$1:$U$1,E$1)</f>
        <v>0</v>
      </c>
      <c r="F54" s="140">
        <f>SUMIFS('recurring2_based on steps'!$B54:$AY54,'recurring2_based on steps'!$B$1:$AY$1,F$1)+SUMIFS('changes2_based on steps'!$B54:$U54,'changes2_based on steps'!$B$1:$U$1,F$1)</f>
        <v>0</v>
      </c>
      <c r="G54" s="140">
        <f>SUMIFS('recurring2_based on steps'!$B54:$AY54,'recurring2_based on steps'!$B$1:$AY$1,G$1)+SUMIFS('changes2_based on steps'!$B54:$U54,'changes2_based on steps'!$B$1:$U$1,G$1)</f>
        <v>0</v>
      </c>
      <c r="H54" s="140">
        <f>SUMIFS('recurring2_based on steps'!$B54:$AY54,'recurring2_based on steps'!$B$1:$AY$1,H$1)+SUMIFS('changes2_based on steps'!$B54:$U54,'changes2_based on steps'!$B$1:$U$1,H$1)</f>
        <v>0</v>
      </c>
      <c r="I54" s="140">
        <f>SUMIFS('recurring2_based on steps'!$B54:$AY54,'recurring2_based on steps'!$B$1:$AY$1,I$1)+SUMIFS('changes2_based on steps'!$B54:$U54,'changes2_based on steps'!$B$1:$U$1,I$1)</f>
        <v>0</v>
      </c>
      <c r="J54" s="140">
        <f ca="1">SUMIFS('recurring2_based on steps'!$B54:$AY54,'recurring2_based on steps'!$B$1:$AY$1,J$1)+SUMIFS('changes2_based on steps'!$B54:$U54,'changes2_based on steps'!$B$1:$U$1,J$1)</f>
        <v>200</v>
      </c>
      <c r="K54" s="140">
        <f>SUMIFS('recurring2_based on steps'!$B54:$AY54,'recurring2_based on steps'!$B$1:$AY$1,K$1)+SUMIFS('changes2_based on steps'!$B54:$U54,'changes2_based on steps'!$B$1:$U$1,K$1)</f>
        <v>0</v>
      </c>
      <c r="L54" s="140">
        <f>SUMIFS('recurring2_based on steps'!$B54:$AY54,'recurring2_based on steps'!$B$1:$AY$1,L$1)+SUMIFS('changes2_based on steps'!$B54:$U54,'changes2_based on steps'!$B$1:$U$1,L$1)</f>
        <v>0</v>
      </c>
      <c r="M54" s="140">
        <f>SUMIFS('recurring2_based on steps'!$B54:$AY54,'recurring2_based on steps'!$B$1:$AY$1,M$1)+SUMIFS('changes2_based on steps'!$B54:$U54,'changes2_based on steps'!$B$1:$U$1,M$1)</f>
        <v>0</v>
      </c>
      <c r="N54" s="140">
        <f ca="1">SUMIFS('recurring2_based on steps'!$B54:$AY54,'recurring2_based on steps'!$B$1:$AY$1,N$1)+SUMIFS('changes2_based on steps'!$B54:$U54,'changes2_based on steps'!$B$1:$U$1,N$1)</f>
        <v>0</v>
      </c>
      <c r="O54" s="140">
        <f>SUMIFS('recurring2_based on steps'!$B54:$AY54,'recurring2_based on steps'!$B$1:$AY$1,O$1)+SUMIFS('changes2_based on steps'!$B54:$U54,'changes2_based on steps'!$B$1:$U$1,O$1)</f>
        <v>0</v>
      </c>
      <c r="P54" s="140">
        <f ca="1">SUMIFS('recurring2_based on steps'!$B54:$AY54,'recurring2_based on steps'!$B$1:$AY$1,P$1)+SUMIFS('changes2_based on steps'!$B54:$U54,'changes2_based on steps'!$B$1:$U$1,P$1)</f>
        <v>0</v>
      </c>
      <c r="Q54" s="140">
        <f ca="1">SUMIFS('recurring2_based on steps'!$B54:$AY54,'recurring2_based on steps'!$B$1:$AY$1,Q$1)+SUMIFS('changes2_based on steps'!$B54:$U54,'changes2_based on steps'!$B$1:$U$1,Q$1)</f>
        <v>100.05540166204986</v>
      </c>
      <c r="R54" s="140">
        <f ca="1">SUMIFS('recurring2_based on steps'!$B54:$AY54,'recurring2_based on steps'!$B$1:$AY$1,R$1)+SUMIFS('changes2_based on steps'!$B54:$U54,'changes2_based on steps'!$B$1:$U$1,R$1)</f>
        <v>15.49</v>
      </c>
      <c r="S54" s="140">
        <f>SUMIFS('recurring2_based on steps'!$B54:$AY54,'recurring2_based on steps'!$B$1:$AY$1,S$1)+SUMIFS('changes2_based on steps'!$B54:$U54,'changes2_based on steps'!$B$1:$U$1,S$1)</f>
        <v>0</v>
      </c>
      <c r="T54" s="140">
        <f ca="1">SUMIFS('recurring2_based on steps'!$B54:$AY54,'recurring2_based on steps'!$B$1:$AY$1,T$1)+SUMIFS('changes2_based on steps'!$B54:$U54,'changes2_based on steps'!$B$1:$U$1,T$1)</f>
        <v>0</v>
      </c>
      <c r="U54" s="140">
        <f ca="1">SUMIFS('recurring2_based on steps'!$B54:$AY54,'recurring2_based on steps'!$B$1:$AY$1,U$1)+SUMIFS('changes2_based on steps'!$B54:$U54,'changes2_based on steps'!$B$1:$U$1,U$1)</f>
        <v>0</v>
      </c>
      <c r="V54" s="140">
        <f>SUMIFS('recurring2_based on steps'!$B54:$AY54,'recurring2_based on steps'!$B$1:$AY$1,V$1)+SUMIFS('changes2_based on steps'!$B54:$U54,'changes2_based on steps'!$B$1:$U$1,V$1)</f>
        <v>0</v>
      </c>
      <c r="W54" s="140">
        <f>SUMIFS('recurring2_based on steps'!$B54:$AY54,'recurring2_based on steps'!$B$1:$AY$1,W$1)+SUMIFS('changes2_based on steps'!$B54:$U54,'changes2_based on steps'!$B$1:$U$1,W$1)</f>
        <v>0</v>
      </c>
      <c r="X54" s="140">
        <f ca="1">SUMIFS('recurring2_based on steps'!$B54:$AY54,'recurring2_based on steps'!$B$1:$AY$1,X$1)+SUMIFS('changes2_based on steps'!$B54:$U54,'changes2_based on steps'!$B$1:$U$1,X$1)</f>
        <v>0</v>
      </c>
      <c r="Y54" s="140">
        <f ca="1">SUMIFS('recurring2_based on steps'!$B54:$AY54,'recurring2_based on steps'!$B$1:$AY$1,Y$1)+SUMIFS('changes2_based on steps'!$B54:$U54,'changes2_based on steps'!$B$1:$U$1,Y$1)</f>
        <v>0</v>
      </c>
      <c r="Z54" s="140">
        <f>SUMIFS('recurring2_based on steps'!$B54:$AY54,'recurring2_based on steps'!$B$1:$AY$1,Z$1)+SUMIFS('changes2_based on steps'!$B54:$U54,'changes2_based on steps'!$B$1:$U$1,Z$1)</f>
        <v>0</v>
      </c>
      <c r="AA54" s="140">
        <f ca="1">SUMIFS('recurring2_based on steps'!$B54:$AY54,'recurring2_based on steps'!$B$1:$AY$1,AA$1)+SUMIFS('changes2_based on steps'!$B54:$U54,'changes2_based on steps'!$B$1:$U$1,AA$1)</f>
        <v>0</v>
      </c>
      <c r="AB54" s="140">
        <f ca="1">SUMIFS('recurring2_based on steps'!$B54:$AY54,'recurring2_based on steps'!$B$1:$AY$1,AB$1)+SUMIFS('changes2_based on steps'!$B54:$U54,'changes2_based on steps'!$B$1:$U$1,AB$1)</f>
        <v>100</v>
      </c>
      <c r="AC54" s="140">
        <f ca="1">SUMIFS('recurring2_based on steps'!$B54:$AY54,'recurring2_based on steps'!$B$1:$AY$1,AC$1)+SUMIFS('changes2_based on steps'!$B54:$U54,'changes2_based on steps'!$B$1:$U$1,AC$1)</f>
        <v>0</v>
      </c>
      <c r="AD54" s="140">
        <f ca="1">SUMIFS('recurring2_based on steps'!$B54:$AY54,'recurring2_based on steps'!$B$1:$AY$1,AD$1)+SUMIFS('changes2_based on steps'!$B54:$U54,'changes2_based on steps'!$B$1:$U$1,AD$1)</f>
        <v>0</v>
      </c>
      <c r="AE54" s="140">
        <f>SUMIFS('recurring2_based on steps'!$B54:$AY54,'recurring2_based on steps'!$B$1:$AY$1,AE$1)+SUMIFS('changes2_based on steps'!$B54:$U54,'changes2_based on steps'!$B$1:$U$1,AE$1)</f>
        <v>0</v>
      </c>
      <c r="AF54" s="140"/>
      <c r="AG54" s="140"/>
      <c r="AH54" s="140"/>
      <c r="AI54" s="140"/>
      <c r="AJ54" s="140"/>
      <c r="AK54" s="140"/>
      <c r="AL54" s="140"/>
      <c r="AM54" s="140"/>
    </row>
    <row r="55" spans="1:39" x14ac:dyDescent="0.2">
      <c r="A55" s="29">
        <f t="shared" ca="1" si="0"/>
        <v>45795</v>
      </c>
      <c r="B55" s="140">
        <f ca="1">SUMIFS('recurring2_based on steps'!$B55:$AY55,'recurring2_based on steps'!$B$1:$AY$1,B$1)+SUMIFS('changes2_based on steps'!$B55:$U55,'changes2_based on steps'!$B$1:$U$1,B$1)</f>
        <v>0</v>
      </c>
      <c r="C55" s="140">
        <f>SUMIFS('recurring2_based on steps'!$B55:$AY55,'recurring2_based on steps'!$B$1:$AY$1,C$1)+SUMIFS('changes2_based on steps'!$B55:$U55,'changes2_based on steps'!$B$1:$U$1,C$1)</f>
        <v>0</v>
      </c>
      <c r="D55" s="140">
        <f>SUMIFS('recurring2_based on steps'!$B55:$AY55,'recurring2_based on steps'!$B$1:$AY$1,D$1)+SUMIFS('changes2_based on steps'!$B55:$U55,'changes2_based on steps'!$B$1:$U$1,D$1)</f>
        <v>0</v>
      </c>
      <c r="E55" s="140">
        <f>SUMIFS('recurring2_based on steps'!$B55:$AY55,'recurring2_based on steps'!$B$1:$AY$1,E$1)+SUMIFS('changes2_based on steps'!$B55:$U55,'changes2_based on steps'!$B$1:$U$1,E$1)</f>
        <v>0</v>
      </c>
      <c r="F55" s="140">
        <f>SUMIFS('recurring2_based on steps'!$B55:$AY55,'recurring2_based on steps'!$B$1:$AY$1,F$1)+SUMIFS('changes2_based on steps'!$B55:$U55,'changes2_based on steps'!$B$1:$U$1,F$1)</f>
        <v>0</v>
      </c>
      <c r="G55" s="140">
        <f>SUMIFS('recurring2_based on steps'!$B55:$AY55,'recurring2_based on steps'!$B$1:$AY$1,G$1)+SUMIFS('changes2_based on steps'!$B55:$U55,'changes2_based on steps'!$B$1:$U$1,G$1)</f>
        <v>0</v>
      </c>
      <c r="H55" s="140">
        <f>SUMIFS('recurring2_based on steps'!$B55:$AY55,'recurring2_based on steps'!$B$1:$AY$1,H$1)+SUMIFS('changes2_based on steps'!$B55:$U55,'changes2_based on steps'!$B$1:$U$1,H$1)</f>
        <v>0</v>
      </c>
      <c r="I55" s="140">
        <f>SUMIFS('recurring2_based on steps'!$B55:$AY55,'recurring2_based on steps'!$B$1:$AY$1,I$1)+SUMIFS('changes2_based on steps'!$B55:$U55,'changes2_based on steps'!$B$1:$U$1,I$1)</f>
        <v>0</v>
      </c>
      <c r="J55" s="140">
        <f ca="1">SUMIFS('recurring2_based on steps'!$B55:$AY55,'recurring2_based on steps'!$B$1:$AY$1,J$1)+SUMIFS('changes2_based on steps'!$B55:$U55,'changes2_based on steps'!$B$1:$U$1,J$1)</f>
        <v>0</v>
      </c>
      <c r="K55" s="140">
        <f>SUMIFS('recurring2_based on steps'!$B55:$AY55,'recurring2_based on steps'!$B$1:$AY$1,K$1)+SUMIFS('changes2_based on steps'!$B55:$U55,'changes2_based on steps'!$B$1:$U$1,K$1)</f>
        <v>0</v>
      </c>
      <c r="L55" s="140">
        <f>SUMIFS('recurring2_based on steps'!$B55:$AY55,'recurring2_based on steps'!$B$1:$AY$1,L$1)+SUMIFS('changes2_based on steps'!$B55:$U55,'changes2_based on steps'!$B$1:$U$1,L$1)</f>
        <v>0</v>
      </c>
      <c r="M55" s="140">
        <f>SUMIFS('recurring2_based on steps'!$B55:$AY55,'recurring2_based on steps'!$B$1:$AY$1,M$1)+SUMIFS('changes2_based on steps'!$B55:$U55,'changes2_based on steps'!$B$1:$U$1,M$1)</f>
        <v>0</v>
      </c>
      <c r="N55" s="140">
        <f ca="1">SUMIFS('recurring2_based on steps'!$B55:$AY55,'recurring2_based on steps'!$B$1:$AY$1,N$1)+SUMIFS('changes2_based on steps'!$B55:$U55,'changes2_based on steps'!$B$1:$U$1,N$1)</f>
        <v>0</v>
      </c>
      <c r="O55" s="140">
        <f>SUMIFS('recurring2_based on steps'!$B55:$AY55,'recurring2_based on steps'!$B$1:$AY$1,O$1)+SUMIFS('changes2_based on steps'!$B55:$U55,'changes2_based on steps'!$B$1:$U$1,O$1)</f>
        <v>0</v>
      </c>
      <c r="P55" s="140">
        <f ca="1">SUMIFS('recurring2_based on steps'!$B55:$AY55,'recurring2_based on steps'!$B$1:$AY$1,P$1)+SUMIFS('changes2_based on steps'!$B55:$U55,'changes2_based on steps'!$B$1:$U$1,P$1)</f>
        <v>0</v>
      </c>
      <c r="Q55" s="140">
        <f ca="1">SUMIFS('recurring2_based on steps'!$B55:$AY55,'recurring2_based on steps'!$B$1:$AY$1,Q$1)+SUMIFS('changes2_based on steps'!$B55:$U55,'changes2_based on steps'!$B$1:$U$1,Q$1)</f>
        <v>100.05540166204986</v>
      </c>
      <c r="R55" s="140">
        <f ca="1">SUMIFS('recurring2_based on steps'!$B55:$AY55,'recurring2_based on steps'!$B$1:$AY$1,R$1)+SUMIFS('changes2_based on steps'!$B55:$U55,'changes2_based on steps'!$B$1:$U$1,R$1)</f>
        <v>10.99</v>
      </c>
      <c r="S55" s="140">
        <f>SUMIFS('recurring2_based on steps'!$B55:$AY55,'recurring2_based on steps'!$B$1:$AY$1,S$1)+SUMIFS('changes2_based on steps'!$B55:$U55,'changes2_based on steps'!$B$1:$U$1,S$1)</f>
        <v>0</v>
      </c>
      <c r="T55" s="140">
        <f ca="1">SUMIFS('recurring2_based on steps'!$B55:$AY55,'recurring2_based on steps'!$B$1:$AY$1,T$1)+SUMIFS('changes2_based on steps'!$B55:$U55,'changes2_based on steps'!$B$1:$U$1,T$1)</f>
        <v>0</v>
      </c>
      <c r="U55" s="140">
        <f ca="1">SUMIFS('recurring2_based on steps'!$B55:$AY55,'recurring2_based on steps'!$B$1:$AY$1,U$1)+SUMIFS('changes2_based on steps'!$B55:$U55,'changes2_based on steps'!$B$1:$U$1,U$1)</f>
        <v>0</v>
      </c>
      <c r="V55" s="140">
        <f>SUMIFS('recurring2_based on steps'!$B55:$AY55,'recurring2_based on steps'!$B$1:$AY$1,V$1)+SUMIFS('changes2_based on steps'!$B55:$U55,'changes2_based on steps'!$B$1:$U$1,V$1)</f>
        <v>0</v>
      </c>
      <c r="W55" s="140">
        <f>SUMIFS('recurring2_based on steps'!$B55:$AY55,'recurring2_based on steps'!$B$1:$AY$1,W$1)+SUMIFS('changes2_based on steps'!$B55:$U55,'changes2_based on steps'!$B$1:$U$1,W$1)</f>
        <v>0</v>
      </c>
      <c r="X55" s="140">
        <f ca="1">SUMIFS('recurring2_based on steps'!$B55:$AY55,'recurring2_based on steps'!$B$1:$AY$1,X$1)+SUMIFS('changes2_based on steps'!$B55:$U55,'changes2_based on steps'!$B$1:$U$1,X$1)</f>
        <v>0</v>
      </c>
      <c r="Y55" s="140">
        <f ca="1">SUMIFS('recurring2_based on steps'!$B55:$AY55,'recurring2_based on steps'!$B$1:$AY$1,Y$1)+SUMIFS('changes2_based on steps'!$B55:$U55,'changes2_based on steps'!$B$1:$U$1,Y$1)</f>
        <v>50</v>
      </c>
      <c r="Z55" s="140">
        <f>SUMIFS('recurring2_based on steps'!$B55:$AY55,'recurring2_based on steps'!$B$1:$AY$1,Z$1)+SUMIFS('changes2_based on steps'!$B55:$U55,'changes2_based on steps'!$B$1:$U$1,Z$1)</f>
        <v>0</v>
      </c>
      <c r="AA55" s="140">
        <f ca="1">SUMIFS('recurring2_based on steps'!$B55:$AY55,'recurring2_based on steps'!$B$1:$AY$1,AA$1)+SUMIFS('changes2_based on steps'!$B55:$U55,'changes2_based on steps'!$B$1:$U$1,AA$1)</f>
        <v>0</v>
      </c>
      <c r="AB55" s="140">
        <f ca="1">SUMIFS('recurring2_based on steps'!$B55:$AY55,'recurring2_based on steps'!$B$1:$AY$1,AB$1)+SUMIFS('changes2_based on steps'!$B55:$U55,'changes2_based on steps'!$B$1:$U$1,AB$1)</f>
        <v>0</v>
      </c>
      <c r="AC55" s="140">
        <f ca="1">SUMIFS('recurring2_based on steps'!$B55:$AY55,'recurring2_based on steps'!$B$1:$AY$1,AC$1)+SUMIFS('changes2_based on steps'!$B55:$U55,'changes2_based on steps'!$B$1:$U$1,AC$1)</f>
        <v>0</v>
      </c>
      <c r="AD55" s="140">
        <f ca="1">SUMIFS('recurring2_based on steps'!$B55:$AY55,'recurring2_based on steps'!$B$1:$AY$1,AD$1)+SUMIFS('changes2_based on steps'!$B55:$U55,'changes2_based on steps'!$B$1:$U$1,AD$1)</f>
        <v>0</v>
      </c>
      <c r="AE55" s="140">
        <f>SUMIFS('recurring2_based on steps'!$B55:$AY55,'recurring2_based on steps'!$B$1:$AY$1,AE$1)+SUMIFS('changes2_based on steps'!$B55:$U55,'changes2_based on steps'!$B$1:$U$1,AE$1)</f>
        <v>0</v>
      </c>
      <c r="AF55" s="140"/>
      <c r="AG55" s="140"/>
      <c r="AH55" s="140"/>
      <c r="AI55" s="140"/>
      <c r="AJ55" s="140"/>
      <c r="AK55" s="140"/>
      <c r="AL55" s="140"/>
      <c r="AM55" s="140"/>
    </row>
    <row r="56" spans="1:39" x14ac:dyDescent="0.2">
      <c r="A56" s="29">
        <f t="shared" ca="1" si="0"/>
        <v>45796</v>
      </c>
      <c r="B56" s="140">
        <f ca="1">SUMIFS('recurring2_based on steps'!$B56:$AY56,'recurring2_based on steps'!$B$1:$AY$1,B$1)+SUMIFS('changes2_based on steps'!$B56:$U56,'changes2_based on steps'!$B$1:$U$1,B$1)</f>
        <v>0</v>
      </c>
      <c r="C56" s="140">
        <f>SUMIFS('recurring2_based on steps'!$B56:$AY56,'recurring2_based on steps'!$B$1:$AY$1,C$1)+SUMIFS('changes2_based on steps'!$B56:$U56,'changes2_based on steps'!$B$1:$U$1,C$1)</f>
        <v>0</v>
      </c>
      <c r="D56" s="140">
        <f>SUMIFS('recurring2_based on steps'!$B56:$AY56,'recurring2_based on steps'!$B$1:$AY$1,D$1)+SUMIFS('changes2_based on steps'!$B56:$U56,'changes2_based on steps'!$B$1:$U$1,D$1)</f>
        <v>0</v>
      </c>
      <c r="E56" s="140">
        <f>SUMIFS('recurring2_based on steps'!$B56:$AY56,'recurring2_based on steps'!$B$1:$AY$1,E$1)+SUMIFS('changes2_based on steps'!$B56:$U56,'changes2_based on steps'!$B$1:$U$1,E$1)</f>
        <v>0</v>
      </c>
      <c r="F56" s="140">
        <f>SUMIFS('recurring2_based on steps'!$B56:$AY56,'recurring2_based on steps'!$B$1:$AY$1,F$1)+SUMIFS('changes2_based on steps'!$B56:$U56,'changes2_based on steps'!$B$1:$U$1,F$1)</f>
        <v>0</v>
      </c>
      <c r="G56" s="140">
        <f>SUMIFS('recurring2_based on steps'!$B56:$AY56,'recurring2_based on steps'!$B$1:$AY$1,G$1)+SUMIFS('changes2_based on steps'!$B56:$U56,'changes2_based on steps'!$B$1:$U$1,G$1)</f>
        <v>0</v>
      </c>
      <c r="H56" s="140">
        <f>SUMIFS('recurring2_based on steps'!$B56:$AY56,'recurring2_based on steps'!$B$1:$AY$1,H$1)+SUMIFS('changes2_based on steps'!$B56:$U56,'changes2_based on steps'!$B$1:$U$1,H$1)</f>
        <v>0</v>
      </c>
      <c r="I56" s="140">
        <f>SUMIFS('recurring2_based on steps'!$B56:$AY56,'recurring2_based on steps'!$B$1:$AY$1,I$1)+SUMIFS('changes2_based on steps'!$B56:$U56,'changes2_based on steps'!$B$1:$U$1,I$1)</f>
        <v>0</v>
      </c>
      <c r="J56" s="140">
        <f ca="1">SUMIFS('recurring2_based on steps'!$B56:$AY56,'recurring2_based on steps'!$B$1:$AY$1,J$1)+SUMIFS('changes2_based on steps'!$B56:$U56,'changes2_based on steps'!$B$1:$U$1,J$1)</f>
        <v>0</v>
      </c>
      <c r="K56" s="140">
        <f>SUMIFS('recurring2_based on steps'!$B56:$AY56,'recurring2_based on steps'!$B$1:$AY$1,K$1)+SUMIFS('changes2_based on steps'!$B56:$U56,'changes2_based on steps'!$B$1:$U$1,K$1)</f>
        <v>0</v>
      </c>
      <c r="L56" s="140">
        <f>SUMIFS('recurring2_based on steps'!$B56:$AY56,'recurring2_based on steps'!$B$1:$AY$1,L$1)+SUMIFS('changes2_based on steps'!$B56:$U56,'changes2_based on steps'!$B$1:$U$1,L$1)</f>
        <v>0</v>
      </c>
      <c r="M56" s="140">
        <f>SUMIFS('recurring2_based on steps'!$B56:$AY56,'recurring2_based on steps'!$B$1:$AY$1,M$1)+SUMIFS('changes2_based on steps'!$B56:$U56,'changes2_based on steps'!$B$1:$U$1,M$1)</f>
        <v>0</v>
      </c>
      <c r="N56" s="140">
        <f ca="1">SUMIFS('recurring2_based on steps'!$B56:$AY56,'recurring2_based on steps'!$B$1:$AY$1,N$1)+SUMIFS('changes2_based on steps'!$B56:$U56,'changes2_based on steps'!$B$1:$U$1,N$1)</f>
        <v>0</v>
      </c>
      <c r="O56" s="140">
        <f>SUMIFS('recurring2_based on steps'!$B56:$AY56,'recurring2_based on steps'!$B$1:$AY$1,O$1)+SUMIFS('changes2_based on steps'!$B56:$U56,'changes2_based on steps'!$B$1:$U$1,O$1)</f>
        <v>0</v>
      </c>
      <c r="P56" s="140">
        <f ca="1">SUMIFS('recurring2_based on steps'!$B56:$AY56,'recurring2_based on steps'!$B$1:$AY$1,P$1)+SUMIFS('changes2_based on steps'!$B56:$U56,'changes2_based on steps'!$B$1:$U$1,P$1)</f>
        <v>0</v>
      </c>
      <c r="Q56" s="140">
        <f ca="1">SUMIFS('recurring2_based on steps'!$B56:$AY56,'recurring2_based on steps'!$B$1:$AY$1,Q$1)+SUMIFS('changes2_based on steps'!$B56:$U56,'changes2_based on steps'!$B$1:$U$1,Q$1)</f>
        <v>5.5401662049861494E-2</v>
      </c>
      <c r="R56" s="140">
        <f ca="1">SUMIFS('recurring2_based on steps'!$B56:$AY56,'recurring2_based on steps'!$B$1:$AY$1,R$1)+SUMIFS('changes2_based on steps'!$B56:$U56,'changes2_based on steps'!$B$1:$U$1,R$1)</f>
        <v>0</v>
      </c>
      <c r="S56" s="140">
        <f>SUMIFS('recurring2_based on steps'!$B56:$AY56,'recurring2_based on steps'!$B$1:$AY$1,S$1)+SUMIFS('changes2_based on steps'!$B56:$U56,'changes2_based on steps'!$B$1:$U$1,S$1)</f>
        <v>0</v>
      </c>
      <c r="T56" s="140">
        <f ca="1">SUMIFS('recurring2_based on steps'!$B56:$AY56,'recurring2_based on steps'!$B$1:$AY$1,T$1)+SUMIFS('changes2_based on steps'!$B56:$U56,'changes2_based on steps'!$B$1:$U$1,T$1)</f>
        <v>0</v>
      </c>
      <c r="U56" s="140">
        <f ca="1">SUMIFS('recurring2_based on steps'!$B56:$AY56,'recurring2_based on steps'!$B$1:$AY$1,U$1)+SUMIFS('changes2_based on steps'!$B56:$U56,'changes2_based on steps'!$B$1:$U$1,U$1)</f>
        <v>0</v>
      </c>
      <c r="V56" s="140">
        <f>SUMIFS('recurring2_based on steps'!$B56:$AY56,'recurring2_based on steps'!$B$1:$AY$1,V$1)+SUMIFS('changes2_based on steps'!$B56:$U56,'changes2_based on steps'!$B$1:$U$1,V$1)</f>
        <v>0</v>
      </c>
      <c r="W56" s="140">
        <f>SUMIFS('recurring2_based on steps'!$B56:$AY56,'recurring2_based on steps'!$B$1:$AY$1,W$1)+SUMIFS('changes2_based on steps'!$B56:$U56,'changes2_based on steps'!$B$1:$U$1,W$1)</f>
        <v>0</v>
      </c>
      <c r="X56" s="140">
        <f ca="1">SUMIFS('recurring2_based on steps'!$B56:$AY56,'recurring2_based on steps'!$B$1:$AY$1,X$1)+SUMIFS('changes2_based on steps'!$B56:$U56,'changes2_based on steps'!$B$1:$U$1,X$1)</f>
        <v>0</v>
      </c>
      <c r="Y56" s="140">
        <f ca="1">SUMIFS('recurring2_based on steps'!$B56:$AY56,'recurring2_based on steps'!$B$1:$AY$1,Y$1)+SUMIFS('changes2_based on steps'!$B56:$U56,'changes2_based on steps'!$B$1:$U$1,Y$1)</f>
        <v>0</v>
      </c>
      <c r="Z56" s="140">
        <f>SUMIFS('recurring2_based on steps'!$B56:$AY56,'recurring2_based on steps'!$B$1:$AY$1,Z$1)+SUMIFS('changes2_based on steps'!$B56:$U56,'changes2_based on steps'!$B$1:$U$1,Z$1)</f>
        <v>0</v>
      </c>
      <c r="AA56" s="140">
        <f ca="1">SUMIFS('recurring2_based on steps'!$B56:$AY56,'recurring2_based on steps'!$B$1:$AY$1,AA$1)+SUMIFS('changes2_based on steps'!$B56:$U56,'changes2_based on steps'!$B$1:$U$1,AA$1)</f>
        <v>50</v>
      </c>
      <c r="AB56" s="140">
        <f ca="1">SUMIFS('recurring2_based on steps'!$B56:$AY56,'recurring2_based on steps'!$B$1:$AY$1,AB$1)+SUMIFS('changes2_based on steps'!$B56:$U56,'changes2_based on steps'!$B$1:$U$1,AB$1)</f>
        <v>0</v>
      </c>
      <c r="AC56" s="140">
        <f ca="1">SUMIFS('recurring2_based on steps'!$B56:$AY56,'recurring2_based on steps'!$B$1:$AY$1,AC$1)+SUMIFS('changes2_based on steps'!$B56:$U56,'changes2_based on steps'!$B$1:$U$1,AC$1)</f>
        <v>0</v>
      </c>
      <c r="AD56" s="140">
        <f ca="1">SUMIFS('recurring2_based on steps'!$B56:$AY56,'recurring2_based on steps'!$B$1:$AY$1,AD$1)+SUMIFS('changes2_based on steps'!$B56:$U56,'changes2_based on steps'!$B$1:$U$1,AD$1)</f>
        <v>0</v>
      </c>
      <c r="AE56" s="140">
        <f>SUMIFS('recurring2_based on steps'!$B56:$AY56,'recurring2_based on steps'!$B$1:$AY$1,AE$1)+SUMIFS('changes2_based on steps'!$B56:$U56,'changes2_based on steps'!$B$1:$U$1,AE$1)</f>
        <v>0</v>
      </c>
      <c r="AF56" s="140"/>
      <c r="AG56" s="140"/>
      <c r="AH56" s="140"/>
      <c r="AI56" s="140"/>
      <c r="AJ56" s="140"/>
      <c r="AK56" s="140"/>
      <c r="AL56" s="140"/>
      <c r="AM56" s="140"/>
    </row>
    <row r="57" spans="1:39" x14ac:dyDescent="0.2">
      <c r="A57" s="29">
        <f t="shared" ca="1" si="0"/>
        <v>45797</v>
      </c>
      <c r="B57" s="140">
        <f ca="1">SUMIFS('recurring2_based on steps'!$B57:$AY57,'recurring2_based on steps'!$B$1:$AY$1,B$1)+SUMIFS('changes2_based on steps'!$B57:$U57,'changes2_based on steps'!$B$1:$U$1,B$1)</f>
        <v>0</v>
      </c>
      <c r="C57" s="140">
        <f>SUMIFS('recurring2_based on steps'!$B57:$AY57,'recurring2_based on steps'!$B$1:$AY$1,C$1)+SUMIFS('changes2_based on steps'!$B57:$U57,'changes2_based on steps'!$B$1:$U$1,C$1)</f>
        <v>0</v>
      </c>
      <c r="D57" s="140">
        <f>SUMIFS('recurring2_based on steps'!$B57:$AY57,'recurring2_based on steps'!$B$1:$AY$1,D$1)+SUMIFS('changes2_based on steps'!$B57:$U57,'changes2_based on steps'!$B$1:$U$1,D$1)</f>
        <v>0</v>
      </c>
      <c r="E57" s="140">
        <f>SUMIFS('recurring2_based on steps'!$B57:$AY57,'recurring2_based on steps'!$B$1:$AY$1,E$1)+SUMIFS('changes2_based on steps'!$B57:$U57,'changes2_based on steps'!$B$1:$U$1,E$1)</f>
        <v>0</v>
      </c>
      <c r="F57" s="140">
        <f>SUMIFS('recurring2_based on steps'!$B57:$AY57,'recurring2_based on steps'!$B$1:$AY$1,F$1)+SUMIFS('changes2_based on steps'!$B57:$U57,'changes2_based on steps'!$B$1:$U$1,F$1)</f>
        <v>0</v>
      </c>
      <c r="G57" s="140">
        <f>SUMIFS('recurring2_based on steps'!$B57:$AY57,'recurring2_based on steps'!$B$1:$AY$1,G$1)+SUMIFS('changes2_based on steps'!$B57:$U57,'changes2_based on steps'!$B$1:$U$1,G$1)</f>
        <v>0</v>
      </c>
      <c r="H57" s="140">
        <f>SUMIFS('recurring2_based on steps'!$B57:$AY57,'recurring2_based on steps'!$B$1:$AY$1,H$1)+SUMIFS('changes2_based on steps'!$B57:$U57,'changes2_based on steps'!$B$1:$U$1,H$1)</f>
        <v>0</v>
      </c>
      <c r="I57" s="140">
        <f>SUMIFS('recurring2_based on steps'!$B57:$AY57,'recurring2_based on steps'!$B$1:$AY$1,I$1)+SUMIFS('changes2_based on steps'!$B57:$U57,'changes2_based on steps'!$B$1:$U$1,I$1)</f>
        <v>0</v>
      </c>
      <c r="J57" s="140">
        <f ca="1">SUMIFS('recurring2_based on steps'!$B57:$AY57,'recurring2_based on steps'!$B$1:$AY$1,J$1)+SUMIFS('changes2_based on steps'!$B57:$U57,'changes2_based on steps'!$B$1:$U$1,J$1)</f>
        <v>0</v>
      </c>
      <c r="K57" s="140">
        <f>SUMIFS('recurring2_based on steps'!$B57:$AY57,'recurring2_based on steps'!$B$1:$AY$1,K$1)+SUMIFS('changes2_based on steps'!$B57:$U57,'changes2_based on steps'!$B$1:$U$1,K$1)</f>
        <v>0</v>
      </c>
      <c r="L57" s="140">
        <f>SUMIFS('recurring2_based on steps'!$B57:$AY57,'recurring2_based on steps'!$B$1:$AY$1,L$1)+SUMIFS('changes2_based on steps'!$B57:$U57,'changes2_based on steps'!$B$1:$U$1,L$1)</f>
        <v>0</v>
      </c>
      <c r="M57" s="140">
        <f>SUMIFS('recurring2_based on steps'!$B57:$AY57,'recurring2_based on steps'!$B$1:$AY$1,M$1)+SUMIFS('changes2_based on steps'!$B57:$U57,'changes2_based on steps'!$B$1:$U$1,M$1)</f>
        <v>0</v>
      </c>
      <c r="N57" s="140">
        <f ca="1">SUMIFS('recurring2_based on steps'!$B57:$AY57,'recurring2_based on steps'!$B$1:$AY$1,N$1)+SUMIFS('changes2_based on steps'!$B57:$U57,'changes2_based on steps'!$B$1:$U$1,N$1)</f>
        <v>0</v>
      </c>
      <c r="O57" s="140">
        <f>SUMIFS('recurring2_based on steps'!$B57:$AY57,'recurring2_based on steps'!$B$1:$AY$1,O$1)+SUMIFS('changes2_based on steps'!$B57:$U57,'changes2_based on steps'!$B$1:$U$1,O$1)</f>
        <v>0</v>
      </c>
      <c r="P57" s="140">
        <f ca="1">SUMIFS('recurring2_based on steps'!$B57:$AY57,'recurring2_based on steps'!$B$1:$AY$1,P$1)+SUMIFS('changes2_based on steps'!$B57:$U57,'changes2_based on steps'!$B$1:$U$1,P$1)</f>
        <v>0</v>
      </c>
      <c r="Q57" s="140">
        <f ca="1">SUMIFS('recurring2_based on steps'!$B57:$AY57,'recurring2_based on steps'!$B$1:$AY$1,Q$1)+SUMIFS('changes2_based on steps'!$B57:$U57,'changes2_based on steps'!$B$1:$U$1,Q$1)</f>
        <v>5.5401662049861494E-2</v>
      </c>
      <c r="R57" s="140">
        <f ca="1">SUMIFS('recurring2_based on steps'!$B57:$AY57,'recurring2_based on steps'!$B$1:$AY$1,R$1)+SUMIFS('changes2_based on steps'!$B57:$U57,'changes2_based on steps'!$B$1:$U$1,R$1)</f>
        <v>5.8171745152354575</v>
      </c>
      <c r="S57" s="140">
        <f>SUMIFS('recurring2_based on steps'!$B57:$AY57,'recurring2_based on steps'!$B$1:$AY$1,S$1)+SUMIFS('changes2_based on steps'!$B57:$U57,'changes2_based on steps'!$B$1:$U$1,S$1)</f>
        <v>0</v>
      </c>
      <c r="T57" s="140">
        <f ca="1">SUMIFS('recurring2_based on steps'!$B57:$AY57,'recurring2_based on steps'!$B$1:$AY$1,T$1)+SUMIFS('changes2_based on steps'!$B57:$U57,'changes2_based on steps'!$B$1:$U$1,T$1)</f>
        <v>0</v>
      </c>
      <c r="U57" s="140">
        <f ca="1">SUMIFS('recurring2_based on steps'!$B57:$AY57,'recurring2_based on steps'!$B$1:$AY$1,U$1)+SUMIFS('changes2_based on steps'!$B57:$U57,'changes2_based on steps'!$B$1:$U$1,U$1)</f>
        <v>0</v>
      </c>
      <c r="V57" s="140">
        <f>SUMIFS('recurring2_based on steps'!$B57:$AY57,'recurring2_based on steps'!$B$1:$AY$1,V$1)+SUMIFS('changes2_based on steps'!$B57:$U57,'changes2_based on steps'!$B$1:$U$1,V$1)</f>
        <v>0</v>
      </c>
      <c r="W57" s="140">
        <f>SUMIFS('recurring2_based on steps'!$B57:$AY57,'recurring2_based on steps'!$B$1:$AY$1,W$1)+SUMIFS('changes2_based on steps'!$B57:$U57,'changes2_based on steps'!$B$1:$U$1,W$1)</f>
        <v>0</v>
      </c>
      <c r="X57" s="140">
        <f ca="1">SUMIFS('recurring2_based on steps'!$B57:$AY57,'recurring2_based on steps'!$B$1:$AY$1,X$1)+SUMIFS('changes2_based on steps'!$B57:$U57,'changes2_based on steps'!$B$1:$U$1,X$1)</f>
        <v>0</v>
      </c>
      <c r="Y57" s="140">
        <f ca="1">SUMIFS('recurring2_based on steps'!$B57:$AY57,'recurring2_based on steps'!$B$1:$AY$1,Y$1)+SUMIFS('changes2_based on steps'!$B57:$U57,'changes2_based on steps'!$B$1:$U$1,Y$1)</f>
        <v>0</v>
      </c>
      <c r="Z57" s="140">
        <f>SUMIFS('recurring2_based on steps'!$B57:$AY57,'recurring2_based on steps'!$B$1:$AY$1,Z$1)+SUMIFS('changes2_based on steps'!$B57:$U57,'changes2_based on steps'!$B$1:$U$1,Z$1)</f>
        <v>0</v>
      </c>
      <c r="AA57" s="140">
        <f ca="1">SUMIFS('recurring2_based on steps'!$B57:$AY57,'recurring2_based on steps'!$B$1:$AY$1,AA$1)+SUMIFS('changes2_based on steps'!$B57:$U57,'changes2_based on steps'!$B$1:$U$1,AA$1)</f>
        <v>0</v>
      </c>
      <c r="AB57" s="140">
        <f ca="1">SUMIFS('recurring2_based on steps'!$B57:$AY57,'recurring2_based on steps'!$B$1:$AY$1,AB$1)+SUMIFS('changes2_based on steps'!$B57:$U57,'changes2_based on steps'!$B$1:$U$1,AB$1)</f>
        <v>0</v>
      </c>
      <c r="AC57" s="140">
        <f ca="1">SUMIFS('recurring2_based on steps'!$B57:$AY57,'recurring2_based on steps'!$B$1:$AY$1,AC$1)+SUMIFS('changes2_based on steps'!$B57:$U57,'changes2_based on steps'!$B$1:$U$1,AC$1)</f>
        <v>0</v>
      </c>
      <c r="AD57" s="140">
        <f ca="1">SUMIFS('recurring2_based on steps'!$B57:$AY57,'recurring2_based on steps'!$B$1:$AY$1,AD$1)+SUMIFS('changes2_based on steps'!$B57:$U57,'changes2_based on steps'!$B$1:$U$1,AD$1)</f>
        <v>0</v>
      </c>
      <c r="AE57" s="140">
        <f>SUMIFS('recurring2_based on steps'!$B57:$AY57,'recurring2_based on steps'!$B$1:$AY$1,AE$1)+SUMIFS('changes2_based on steps'!$B57:$U57,'changes2_based on steps'!$B$1:$U$1,AE$1)</f>
        <v>0</v>
      </c>
      <c r="AF57" s="140"/>
      <c r="AG57" s="140"/>
      <c r="AH57" s="140"/>
      <c r="AI57" s="140"/>
      <c r="AJ57" s="140"/>
      <c r="AK57" s="140"/>
      <c r="AL57" s="140"/>
      <c r="AM57" s="140"/>
    </row>
    <row r="58" spans="1:39" x14ac:dyDescent="0.2">
      <c r="A58" s="29">
        <f t="shared" ca="1" si="0"/>
        <v>45798</v>
      </c>
      <c r="B58" s="140">
        <f ca="1">SUMIFS('recurring2_based on steps'!$B58:$AY58,'recurring2_based on steps'!$B$1:$AY$1,B$1)+SUMIFS('changes2_based on steps'!$B58:$U58,'changes2_based on steps'!$B$1:$U$1,B$1)</f>
        <v>0</v>
      </c>
      <c r="C58" s="140">
        <f>SUMIFS('recurring2_based on steps'!$B58:$AY58,'recurring2_based on steps'!$B$1:$AY$1,C$1)+SUMIFS('changes2_based on steps'!$B58:$U58,'changes2_based on steps'!$B$1:$U$1,C$1)</f>
        <v>0</v>
      </c>
      <c r="D58" s="140">
        <f>SUMIFS('recurring2_based on steps'!$B58:$AY58,'recurring2_based on steps'!$B$1:$AY$1,D$1)+SUMIFS('changes2_based on steps'!$B58:$U58,'changes2_based on steps'!$B$1:$U$1,D$1)</f>
        <v>0</v>
      </c>
      <c r="E58" s="140">
        <f>SUMIFS('recurring2_based on steps'!$B58:$AY58,'recurring2_based on steps'!$B$1:$AY$1,E$1)+SUMIFS('changes2_based on steps'!$B58:$U58,'changes2_based on steps'!$B$1:$U$1,E$1)</f>
        <v>0</v>
      </c>
      <c r="F58" s="140">
        <f>SUMIFS('recurring2_based on steps'!$B58:$AY58,'recurring2_based on steps'!$B$1:$AY$1,F$1)+SUMIFS('changes2_based on steps'!$B58:$U58,'changes2_based on steps'!$B$1:$U$1,F$1)</f>
        <v>0</v>
      </c>
      <c r="G58" s="140">
        <f>SUMIFS('recurring2_based on steps'!$B58:$AY58,'recurring2_based on steps'!$B$1:$AY$1,G$1)+SUMIFS('changes2_based on steps'!$B58:$U58,'changes2_based on steps'!$B$1:$U$1,G$1)</f>
        <v>0</v>
      </c>
      <c r="H58" s="140">
        <f>SUMIFS('recurring2_based on steps'!$B58:$AY58,'recurring2_based on steps'!$B$1:$AY$1,H$1)+SUMIFS('changes2_based on steps'!$B58:$U58,'changes2_based on steps'!$B$1:$U$1,H$1)</f>
        <v>0</v>
      </c>
      <c r="I58" s="140">
        <f>SUMIFS('recurring2_based on steps'!$B58:$AY58,'recurring2_based on steps'!$B$1:$AY$1,I$1)+SUMIFS('changes2_based on steps'!$B58:$U58,'changes2_based on steps'!$B$1:$U$1,I$1)</f>
        <v>0</v>
      </c>
      <c r="J58" s="140">
        <f ca="1">SUMIFS('recurring2_based on steps'!$B58:$AY58,'recurring2_based on steps'!$B$1:$AY$1,J$1)+SUMIFS('changes2_based on steps'!$B58:$U58,'changes2_based on steps'!$B$1:$U$1,J$1)</f>
        <v>0</v>
      </c>
      <c r="K58" s="140">
        <f>SUMIFS('recurring2_based on steps'!$B58:$AY58,'recurring2_based on steps'!$B$1:$AY$1,K$1)+SUMIFS('changes2_based on steps'!$B58:$U58,'changes2_based on steps'!$B$1:$U$1,K$1)</f>
        <v>0</v>
      </c>
      <c r="L58" s="140">
        <f>SUMIFS('recurring2_based on steps'!$B58:$AY58,'recurring2_based on steps'!$B$1:$AY$1,L$1)+SUMIFS('changes2_based on steps'!$B58:$U58,'changes2_based on steps'!$B$1:$U$1,L$1)</f>
        <v>0</v>
      </c>
      <c r="M58" s="140">
        <f>SUMIFS('recurring2_based on steps'!$B58:$AY58,'recurring2_based on steps'!$B$1:$AY$1,M$1)+SUMIFS('changes2_based on steps'!$B58:$U58,'changes2_based on steps'!$B$1:$U$1,M$1)</f>
        <v>0</v>
      </c>
      <c r="N58" s="140">
        <f ca="1">SUMIFS('recurring2_based on steps'!$B58:$AY58,'recurring2_based on steps'!$B$1:$AY$1,N$1)+SUMIFS('changes2_based on steps'!$B58:$U58,'changes2_based on steps'!$B$1:$U$1,N$1)</f>
        <v>0</v>
      </c>
      <c r="O58" s="140">
        <f>SUMIFS('recurring2_based on steps'!$B58:$AY58,'recurring2_based on steps'!$B$1:$AY$1,O$1)+SUMIFS('changes2_based on steps'!$B58:$U58,'changes2_based on steps'!$B$1:$U$1,O$1)</f>
        <v>0</v>
      </c>
      <c r="P58" s="140">
        <f ca="1">SUMIFS('recurring2_based on steps'!$B58:$AY58,'recurring2_based on steps'!$B$1:$AY$1,P$1)+SUMIFS('changes2_based on steps'!$B58:$U58,'changes2_based on steps'!$B$1:$U$1,P$1)</f>
        <v>0</v>
      </c>
      <c r="Q58" s="140">
        <f ca="1">SUMIFS('recurring2_based on steps'!$B58:$AY58,'recurring2_based on steps'!$B$1:$AY$1,Q$1)+SUMIFS('changes2_based on steps'!$B58:$U58,'changes2_based on steps'!$B$1:$U$1,Q$1)</f>
        <v>5.5401662049861494E-2</v>
      </c>
      <c r="R58" s="140">
        <f ca="1">SUMIFS('recurring2_based on steps'!$B58:$AY58,'recurring2_based on steps'!$B$1:$AY$1,R$1)+SUMIFS('changes2_based on steps'!$B58:$U58,'changes2_based on steps'!$B$1:$U$1,R$1)</f>
        <v>0</v>
      </c>
      <c r="S58" s="140">
        <f>SUMIFS('recurring2_based on steps'!$B58:$AY58,'recurring2_based on steps'!$B$1:$AY$1,S$1)+SUMIFS('changes2_based on steps'!$B58:$U58,'changes2_based on steps'!$B$1:$U$1,S$1)</f>
        <v>0</v>
      </c>
      <c r="T58" s="140">
        <f ca="1">SUMIFS('recurring2_based on steps'!$B58:$AY58,'recurring2_based on steps'!$B$1:$AY$1,T$1)+SUMIFS('changes2_based on steps'!$B58:$U58,'changes2_based on steps'!$B$1:$U$1,T$1)</f>
        <v>0</v>
      </c>
      <c r="U58" s="140">
        <f ca="1">SUMIFS('recurring2_based on steps'!$B58:$AY58,'recurring2_based on steps'!$B$1:$AY$1,U$1)+SUMIFS('changes2_based on steps'!$B58:$U58,'changes2_based on steps'!$B$1:$U$1,U$1)</f>
        <v>0</v>
      </c>
      <c r="V58" s="140">
        <f>SUMIFS('recurring2_based on steps'!$B58:$AY58,'recurring2_based on steps'!$B$1:$AY$1,V$1)+SUMIFS('changes2_based on steps'!$B58:$U58,'changes2_based on steps'!$B$1:$U$1,V$1)</f>
        <v>0</v>
      </c>
      <c r="W58" s="140">
        <f>SUMIFS('recurring2_based on steps'!$B58:$AY58,'recurring2_based on steps'!$B$1:$AY$1,W$1)+SUMIFS('changes2_based on steps'!$B58:$U58,'changes2_based on steps'!$B$1:$U$1,W$1)</f>
        <v>0</v>
      </c>
      <c r="X58" s="140">
        <f ca="1">SUMIFS('recurring2_based on steps'!$B58:$AY58,'recurring2_based on steps'!$B$1:$AY$1,X$1)+SUMIFS('changes2_based on steps'!$B58:$U58,'changes2_based on steps'!$B$1:$U$1,X$1)</f>
        <v>0</v>
      </c>
      <c r="Y58" s="140">
        <f ca="1">SUMIFS('recurring2_based on steps'!$B58:$AY58,'recurring2_based on steps'!$B$1:$AY$1,Y$1)+SUMIFS('changes2_based on steps'!$B58:$U58,'changes2_based on steps'!$B$1:$U$1,Y$1)</f>
        <v>0</v>
      </c>
      <c r="Z58" s="140">
        <f>SUMIFS('recurring2_based on steps'!$B58:$AY58,'recurring2_based on steps'!$B$1:$AY$1,Z$1)+SUMIFS('changes2_based on steps'!$B58:$U58,'changes2_based on steps'!$B$1:$U$1,Z$1)</f>
        <v>0</v>
      </c>
      <c r="AA58" s="140">
        <f ca="1">SUMIFS('recurring2_based on steps'!$B58:$AY58,'recurring2_based on steps'!$B$1:$AY$1,AA$1)+SUMIFS('changes2_based on steps'!$B58:$U58,'changes2_based on steps'!$B$1:$U$1,AA$1)</f>
        <v>0</v>
      </c>
      <c r="AB58" s="140">
        <f ca="1">SUMIFS('recurring2_based on steps'!$B58:$AY58,'recurring2_based on steps'!$B$1:$AY$1,AB$1)+SUMIFS('changes2_based on steps'!$B58:$U58,'changes2_based on steps'!$B$1:$U$1,AB$1)</f>
        <v>0</v>
      </c>
      <c r="AC58" s="140">
        <f ca="1">SUMIFS('recurring2_based on steps'!$B58:$AY58,'recurring2_based on steps'!$B$1:$AY$1,AC$1)+SUMIFS('changes2_based on steps'!$B58:$U58,'changes2_based on steps'!$B$1:$U$1,AC$1)</f>
        <v>0</v>
      </c>
      <c r="AD58" s="140">
        <f ca="1">SUMIFS('recurring2_based on steps'!$B58:$AY58,'recurring2_based on steps'!$B$1:$AY$1,AD$1)+SUMIFS('changes2_based on steps'!$B58:$U58,'changes2_based on steps'!$B$1:$U$1,AD$1)</f>
        <v>0</v>
      </c>
      <c r="AE58" s="140">
        <f>SUMIFS('recurring2_based on steps'!$B58:$AY58,'recurring2_based on steps'!$B$1:$AY$1,AE$1)+SUMIFS('changes2_based on steps'!$B58:$U58,'changes2_based on steps'!$B$1:$U$1,AE$1)</f>
        <v>0</v>
      </c>
      <c r="AF58" s="140"/>
      <c r="AG58" s="140"/>
      <c r="AH58" s="140"/>
      <c r="AI58" s="140"/>
      <c r="AJ58" s="140"/>
      <c r="AK58" s="140"/>
      <c r="AL58" s="140"/>
      <c r="AM58" s="140"/>
    </row>
    <row r="59" spans="1:39" x14ac:dyDescent="0.2">
      <c r="A59" s="29">
        <f t="shared" ca="1" si="0"/>
        <v>45799</v>
      </c>
      <c r="B59" s="140">
        <f ca="1">SUMIFS('recurring2_based on steps'!$B59:$AY59,'recurring2_based on steps'!$B$1:$AY$1,B$1)+SUMIFS('changes2_based on steps'!$B59:$U59,'changes2_based on steps'!$B$1:$U$1,B$1)</f>
        <v>0</v>
      </c>
      <c r="C59" s="140">
        <f>SUMIFS('recurring2_based on steps'!$B59:$AY59,'recurring2_based on steps'!$B$1:$AY$1,C$1)+SUMIFS('changes2_based on steps'!$B59:$U59,'changes2_based on steps'!$B$1:$U$1,C$1)</f>
        <v>0</v>
      </c>
      <c r="D59" s="140">
        <f>SUMIFS('recurring2_based on steps'!$B59:$AY59,'recurring2_based on steps'!$B$1:$AY$1,D$1)+SUMIFS('changes2_based on steps'!$B59:$U59,'changes2_based on steps'!$B$1:$U$1,D$1)</f>
        <v>0</v>
      </c>
      <c r="E59" s="140">
        <f>SUMIFS('recurring2_based on steps'!$B59:$AY59,'recurring2_based on steps'!$B$1:$AY$1,E$1)+SUMIFS('changes2_based on steps'!$B59:$U59,'changes2_based on steps'!$B$1:$U$1,E$1)</f>
        <v>0</v>
      </c>
      <c r="F59" s="140">
        <f>SUMIFS('recurring2_based on steps'!$B59:$AY59,'recurring2_based on steps'!$B$1:$AY$1,F$1)+SUMIFS('changes2_based on steps'!$B59:$U59,'changes2_based on steps'!$B$1:$U$1,F$1)</f>
        <v>0</v>
      </c>
      <c r="G59" s="140">
        <f>SUMIFS('recurring2_based on steps'!$B59:$AY59,'recurring2_based on steps'!$B$1:$AY$1,G$1)+SUMIFS('changes2_based on steps'!$B59:$U59,'changes2_based on steps'!$B$1:$U$1,G$1)</f>
        <v>0</v>
      </c>
      <c r="H59" s="140">
        <f>SUMIFS('recurring2_based on steps'!$B59:$AY59,'recurring2_based on steps'!$B$1:$AY$1,H$1)+SUMIFS('changes2_based on steps'!$B59:$U59,'changes2_based on steps'!$B$1:$U$1,H$1)</f>
        <v>0</v>
      </c>
      <c r="I59" s="140">
        <f>SUMIFS('recurring2_based on steps'!$B59:$AY59,'recurring2_based on steps'!$B$1:$AY$1,I$1)+SUMIFS('changes2_based on steps'!$B59:$U59,'changes2_based on steps'!$B$1:$U$1,I$1)</f>
        <v>0</v>
      </c>
      <c r="J59" s="140">
        <f ca="1">SUMIFS('recurring2_based on steps'!$B59:$AY59,'recurring2_based on steps'!$B$1:$AY$1,J$1)+SUMIFS('changes2_based on steps'!$B59:$U59,'changes2_based on steps'!$B$1:$U$1,J$1)</f>
        <v>0</v>
      </c>
      <c r="K59" s="140">
        <f>SUMIFS('recurring2_based on steps'!$B59:$AY59,'recurring2_based on steps'!$B$1:$AY$1,K$1)+SUMIFS('changes2_based on steps'!$B59:$U59,'changes2_based on steps'!$B$1:$U$1,K$1)</f>
        <v>0</v>
      </c>
      <c r="L59" s="140">
        <f>SUMIFS('recurring2_based on steps'!$B59:$AY59,'recurring2_based on steps'!$B$1:$AY$1,L$1)+SUMIFS('changes2_based on steps'!$B59:$U59,'changes2_based on steps'!$B$1:$U$1,L$1)</f>
        <v>0</v>
      </c>
      <c r="M59" s="140">
        <f>SUMIFS('recurring2_based on steps'!$B59:$AY59,'recurring2_based on steps'!$B$1:$AY$1,M$1)+SUMIFS('changes2_based on steps'!$B59:$U59,'changes2_based on steps'!$B$1:$U$1,M$1)</f>
        <v>0</v>
      </c>
      <c r="N59" s="140">
        <f ca="1">SUMIFS('recurring2_based on steps'!$B59:$AY59,'recurring2_based on steps'!$B$1:$AY$1,N$1)+SUMIFS('changes2_based on steps'!$B59:$U59,'changes2_based on steps'!$B$1:$U$1,N$1)</f>
        <v>0</v>
      </c>
      <c r="O59" s="140">
        <f>SUMIFS('recurring2_based on steps'!$B59:$AY59,'recurring2_based on steps'!$B$1:$AY$1,O$1)+SUMIFS('changes2_based on steps'!$B59:$U59,'changes2_based on steps'!$B$1:$U$1,O$1)</f>
        <v>0</v>
      </c>
      <c r="P59" s="140">
        <f ca="1">SUMIFS('recurring2_based on steps'!$B59:$AY59,'recurring2_based on steps'!$B$1:$AY$1,P$1)+SUMIFS('changes2_based on steps'!$B59:$U59,'changes2_based on steps'!$B$1:$U$1,P$1)</f>
        <v>0</v>
      </c>
      <c r="Q59" s="140">
        <f ca="1">SUMIFS('recurring2_based on steps'!$B59:$AY59,'recurring2_based on steps'!$B$1:$AY$1,Q$1)+SUMIFS('changes2_based on steps'!$B59:$U59,'changes2_based on steps'!$B$1:$U$1,Q$1)</f>
        <v>5.5401662049861494E-2</v>
      </c>
      <c r="R59" s="140">
        <f ca="1">SUMIFS('recurring2_based on steps'!$B59:$AY59,'recurring2_based on steps'!$B$1:$AY$1,R$1)+SUMIFS('changes2_based on steps'!$B59:$U59,'changes2_based on steps'!$B$1:$U$1,R$1)</f>
        <v>0</v>
      </c>
      <c r="S59" s="140">
        <f>SUMIFS('recurring2_based on steps'!$B59:$AY59,'recurring2_based on steps'!$B$1:$AY$1,S$1)+SUMIFS('changes2_based on steps'!$B59:$U59,'changes2_based on steps'!$B$1:$U$1,S$1)</f>
        <v>0</v>
      </c>
      <c r="T59" s="140">
        <f ca="1">SUMIFS('recurring2_based on steps'!$B59:$AY59,'recurring2_based on steps'!$B$1:$AY$1,T$1)+SUMIFS('changes2_based on steps'!$B59:$U59,'changes2_based on steps'!$B$1:$U$1,T$1)</f>
        <v>0</v>
      </c>
      <c r="U59" s="140">
        <f ca="1">SUMIFS('recurring2_based on steps'!$B59:$AY59,'recurring2_based on steps'!$B$1:$AY$1,U$1)+SUMIFS('changes2_based on steps'!$B59:$U59,'changes2_based on steps'!$B$1:$U$1,U$1)</f>
        <v>0</v>
      </c>
      <c r="V59" s="140">
        <f>SUMIFS('recurring2_based on steps'!$B59:$AY59,'recurring2_based on steps'!$B$1:$AY$1,V$1)+SUMIFS('changes2_based on steps'!$B59:$U59,'changes2_based on steps'!$B$1:$U$1,V$1)</f>
        <v>0</v>
      </c>
      <c r="W59" s="140">
        <f>SUMIFS('recurring2_based on steps'!$B59:$AY59,'recurring2_based on steps'!$B$1:$AY$1,W$1)+SUMIFS('changes2_based on steps'!$B59:$U59,'changes2_based on steps'!$B$1:$U$1,W$1)</f>
        <v>0</v>
      </c>
      <c r="X59" s="140">
        <f ca="1">SUMIFS('recurring2_based on steps'!$B59:$AY59,'recurring2_based on steps'!$B$1:$AY$1,X$1)+SUMIFS('changes2_based on steps'!$B59:$U59,'changes2_based on steps'!$B$1:$U$1,X$1)</f>
        <v>0</v>
      </c>
      <c r="Y59" s="140">
        <f ca="1">SUMIFS('recurring2_based on steps'!$B59:$AY59,'recurring2_based on steps'!$B$1:$AY$1,Y$1)+SUMIFS('changes2_based on steps'!$B59:$U59,'changes2_based on steps'!$B$1:$U$1,Y$1)</f>
        <v>0</v>
      </c>
      <c r="Z59" s="140">
        <f>SUMIFS('recurring2_based on steps'!$B59:$AY59,'recurring2_based on steps'!$B$1:$AY$1,Z$1)+SUMIFS('changes2_based on steps'!$B59:$U59,'changes2_based on steps'!$B$1:$U$1,Z$1)</f>
        <v>0</v>
      </c>
      <c r="AA59" s="140">
        <f ca="1">SUMIFS('recurring2_based on steps'!$B59:$AY59,'recurring2_based on steps'!$B$1:$AY$1,AA$1)+SUMIFS('changes2_based on steps'!$B59:$U59,'changes2_based on steps'!$B$1:$U$1,AA$1)</f>
        <v>0</v>
      </c>
      <c r="AB59" s="140">
        <f ca="1">SUMIFS('recurring2_based on steps'!$B59:$AY59,'recurring2_based on steps'!$B$1:$AY$1,AB$1)+SUMIFS('changes2_based on steps'!$B59:$U59,'changes2_based on steps'!$B$1:$U$1,AB$1)</f>
        <v>0</v>
      </c>
      <c r="AC59" s="140">
        <f ca="1">SUMIFS('recurring2_based on steps'!$B59:$AY59,'recurring2_based on steps'!$B$1:$AY$1,AC$1)+SUMIFS('changes2_based on steps'!$B59:$U59,'changes2_based on steps'!$B$1:$U$1,AC$1)</f>
        <v>0</v>
      </c>
      <c r="AD59" s="140">
        <f ca="1">SUMIFS('recurring2_based on steps'!$B59:$AY59,'recurring2_based on steps'!$B$1:$AY$1,AD$1)+SUMIFS('changes2_based on steps'!$B59:$U59,'changes2_based on steps'!$B$1:$U$1,AD$1)</f>
        <v>0</v>
      </c>
      <c r="AE59" s="140">
        <f>SUMIFS('recurring2_based on steps'!$B59:$AY59,'recurring2_based on steps'!$B$1:$AY$1,AE$1)+SUMIFS('changes2_based on steps'!$B59:$U59,'changes2_based on steps'!$B$1:$U$1,AE$1)</f>
        <v>0</v>
      </c>
      <c r="AF59" s="140"/>
      <c r="AG59" s="140"/>
      <c r="AH59" s="140"/>
      <c r="AI59" s="140"/>
      <c r="AJ59" s="140"/>
      <c r="AK59" s="140"/>
      <c r="AL59" s="140"/>
      <c r="AM59" s="140"/>
    </row>
    <row r="60" spans="1:39" x14ac:dyDescent="0.2">
      <c r="A60" s="29">
        <f t="shared" ca="1" si="0"/>
        <v>45800</v>
      </c>
      <c r="B60" s="140">
        <f ca="1">SUMIFS('recurring2_based on steps'!$B60:$AY60,'recurring2_based on steps'!$B$1:$AY$1,B$1)+SUMIFS('changes2_based on steps'!$B60:$U60,'changes2_based on steps'!$B$1:$U$1,B$1)</f>
        <v>0</v>
      </c>
      <c r="C60" s="140">
        <f>SUMIFS('recurring2_based on steps'!$B60:$AY60,'recurring2_based on steps'!$B$1:$AY$1,C$1)+SUMIFS('changes2_based on steps'!$B60:$U60,'changes2_based on steps'!$B$1:$U$1,C$1)</f>
        <v>0</v>
      </c>
      <c r="D60" s="140">
        <f>SUMIFS('recurring2_based on steps'!$B60:$AY60,'recurring2_based on steps'!$B$1:$AY$1,D$1)+SUMIFS('changes2_based on steps'!$B60:$U60,'changes2_based on steps'!$B$1:$U$1,D$1)</f>
        <v>0</v>
      </c>
      <c r="E60" s="140">
        <f>SUMIFS('recurring2_based on steps'!$B60:$AY60,'recurring2_based on steps'!$B$1:$AY$1,E$1)+SUMIFS('changes2_based on steps'!$B60:$U60,'changes2_based on steps'!$B$1:$U$1,E$1)</f>
        <v>0</v>
      </c>
      <c r="F60" s="140">
        <f>SUMIFS('recurring2_based on steps'!$B60:$AY60,'recurring2_based on steps'!$B$1:$AY$1,F$1)+SUMIFS('changes2_based on steps'!$B60:$U60,'changes2_based on steps'!$B$1:$U$1,F$1)</f>
        <v>0</v>
      </c>
      <c r="G60" s="140">
        <f>SUMIFS('recurring2_based on steps'!$B60:$AY60,'recurring2_based on steps'!$B$1:$AY$1,G$1)+SUMIFS('changes2_based on steps'!$B60:$U60,'changes2_based on steps'!$B$1:$U$1,G$1)</f>
        <v>0</v>
      </c>
      <c r="H60" s="140">
        <f>SUMIFS('recurring2_based on steps'!$B60:$AY60,'recurring2_based on steps'!$B$1:$AY$1,H$1)+SUMIFS('changes2_based on steps'!$B60:$U60,'changes2_based on steps'!$B$1:$U$1,H$1)</f>
        <v>0</v>
      </c>
      <c r="I60" s="140">
        <f>SUMIFS('recurring2_based on steps'!$B60:$AY60,'recurring2_based on steps'!$B$1:$AY$1,I$1)+SUMIFS('changes2_based on steps'!$B60:$U60,'changes2_based on steps'!$B$1:$U$1,I$1)</f>
        <v>0</v>
      </c>
      <c r="J60" s="140">
        <f ca="1">SUMIFS('recurring2_based on steps'!$B60:$AY60,'recurring2_based on steps'!$B$1:$AY$1,J$1)+SUMIFS('changes2_based on steps'!$B60:$U60,'changes2_based on steps'!$B$1:$U$1,J$1)</f>
        <v>0</v>
      </c>
      <c r="K60" s="140">
        <f>SUMIFS('recurring2_based on steps'!$B60:$AY60,'recurring2_based on steps'!$B$1:$AY$1,K$1)+SUMIFS('changes2_based on steps'!$B60:$U60,'changes2_based on steps'!$B$1:$U$1,K$1)</f>
        <v>0</v>
      </c>
      <c r="L60" s="140">
        <f>SUMIFS('recurring2_based on steps'!$B60:$AY60,'recurring2_based on steps'!$B$1:$AY$1,L$1)+SUMIFS('changes2_based on steps'!$B60:$U60,'changes2_based on steps'!$B$1:$U$1,L$1)</f>
        <v>0</v>
      </c>
      <c r="M60" s="140">
        <f>SUMIFS('recurring2_based on steps'!$B60:$AY60,'recurring2_based on steps'!$B$1:$AY$1,M$1)+SUMIFS('changes2_based on steps'!$B60:$U60,'changes2_based on steps'!$B$1:$U$1,M$1)</f>
        <v>0</v>
      </c>
      <c r="N60" s="140">
        <f ca="1">SUMIFS('recurring2_based on steps'!$B60:$AY60,'recurring2_based on steps'!$B$1:$AY$1,N$1)+SUMIFS('changes2_based on steps'!$B60:$U60,'changes2_based on steps'!$B$1:$U$1,N$1)</f>
        <v>0</v>
      </c>
      <c r="O60" s="140">
        <f>SUMIFS('recurring2_based on steps'!$B60:$AY60,'recurring2_based on steps'!$B$1:$AY$1,O$1)+SUMIFS('changes2_based on steps'!$B60:$U60,'changes2_based on steps'!$B$1:$U$1,O$1)</f>
        <v>0</v>
      </c>
      <c r="P60" s="140">
        <f ca="1">SUMIFS('recurring2_based on steps'!$B60:$AY60,'recurring2_based on steps'!$B$1:$AY$1,P$1)+SUMIFS('changes2_based on steps'!$B60:$U60,'changes2_based on steps'!$B$1:$U$1,P$1)</f>
        <v>0</v>
      </c>
      <c r="Q60" s="140">
        <f ca="1">SUMIFS('recurring2_based on steps'!$B60:$AY60,'recurring2_based on steps'!$B$1:$AY$1,Q$1)+SUMIFS('changes2_based on steps'!$B60:$U60,'changes2_based on steps'!$B$1:$U$1,Q$1)</f>
        <v>5.5401662049861494E-2</v>
      </c>
      <c r="R60" s="140">
        <f ca="1">SUMIFS('recurring2_based on steps'!$B60:$AY60,'recurring2_based on steps'!$B$1:$AY$1,R$1)+SUMIFS('changes2_based on steps'!$B60:$U60,'changes2_based on steps'!$B$1:$U$1,R$1)</f>
        <v>0</v>
      </c>
      <c r="S60" s="140">
        <f>SUMIFS('recurring2_based on steps'!$B60:$AY60,'recurring2_based on steps'!$B$1:$AY$1,S$1)+SUMIFS('changes2_based on steps'!$B60:$U60,'changes2_based on steps'!$B$1:$U$1,S$1)</f>
        <v>0</v>
      </c>
      <c r="T60" s="140">
        <f ca="1">SUMIFS('recurring2_based on steps'!$B60:$AY60,'recurring2_based on steps'!$B$1:$AY$1,T$1)+SUMIFS('changes2_based on steps'!$B60:$U60,'changes2_based on steps'!$B$1:$U$1,T$1)</f>
        <v>0</v>
      </c>
      <c r="U60" s="140">
        <f ca="1">SUMIFS('recurring2_based on steps'!$B60:$AY60,'recurring2_based on steps'!$B$1:$AY$1,U$1)+SUMIFS('changes2_based on steps'!$B60:$U60,'changes2_based on steps'!$B$1:$U$1,U$1)</f>
        <v>0</v>
      </c>
      <c r="V60" s="140">
        <f>SUMIFS('recurring2_based on steps'!$B60:$AY60,'recurring2_based on steps'!$B$1:$AY$1,V$1)+SUMIFS('changes2_based on steps'!$B60:$U60,'changes2_based on steps'!$B$1:$U$1,V$1)</f>
        <v>0</v>
      </c>
      <c r="W60" s="140">
        <f>SUMIFS('recurring2_based on steps'!$B60:$AY60,'recurring2_based on steps'!$B$1:$AY$1,W$1)+SUMIFS('changes2_based on steps'!$B60:$U60,'changes2_based on steps'!$B$1:$U$1,W$1)</f>
        <v>0</v>
      </c>
      <c r="X60" s="140">
        <f ca="1">SUMIFS('recurring2_based on steps'!$B60:$AY60,'recurring2_based on steps'!$B$1:$AY$1,X$1)+SUMIFS('changes2_based on steps'!$B60:$U60,'changes2_based on steps'!$B$1:$U$1,X$1)</f>
        <v>0</v>
      </c>
      <c r="Y60" s="140">
        <f ca="1">SUMIFS('recurring2_based on steps'!$B60:$AY60,'recurring2_based on steps'!$B$1:$AY$1,Y$1)+SUMIFS('changes2_based on steps'!$B60:$U60,'changes2_based on steps'!$B$1:$U$1,Y$1)</f>
        <v>0</v>
      </c>
      <c r="Z60" s="140">
        <f>SUMIFS('recurring2_based on steps'!$B60:$AY60,'recurring2_based on steps'!$B$1:$AY$1,Z$1)+SUMIFS('changes2_based on steps'!$B60:$U60,'changes2_based on steps'!$B$1:$U$1,Z$1)</f>
        <v>0</v>
      </c>
      <c r="AA60" s="140">
        <f ca="1">SUMIFS('recurring2_based on steps'!$B60:$AY60,'recurring2_based on steps'!$B$1:$AY$1,AA$1)+SUMIFS('changes2_based on steps'!$B60:$U60,'changes2_based on steps'!$B$1:$U$1,AA$1)</f>
        <v>0</v>
      </c>
      <c r="AB60" s="140">
        <f ca="1">SUMIFS('recurring2_based on steps'!$B60:$AY60,'recurring2_based on steps'!$B$1:$AY$1,AB$1)+SUMIFS('changes2_based on steps'!$B60:$U60,'changes2_based on steps'!$B$1:$U$1,AB$1)</f>
        <v>0</v>
      </c>
      <c r="AC60" s="140">
        <f ca="1">SUMIFS('recurring2_based on steps'!$B60:$AY60,'recurring2_based on steps'!$B$1:$AY$1,AC$1)+SUMIFS('changes2_based on steps'!$B60:$U60,'changes2_based on steps'!$B$1:$U$1,AC$1)</f>
        <v>0</v>
      </c>
      <c r="AD60" s="140">
        <f ca="1">SUMIFS('recurring2_based on steps'!$B60:$AY60,'recurring2_based on steps'!$B$1:$AY$1,AD$1)+SUMIFS('changes2_based on steps'!$B60:$U60,'changes2_based on steps'!$B$1:$U$1,AD$1)</f>
        <v>0</v>
      </c>
      <c r="AE60" s="140">
        <f>SUMIFS('recurring2_based on steps'!$B60:$AY60,'recurring2_based on steps'!$B$1:$AY$1,AE$1)+SUMIFS('changes2_based on steps'!$B60:$U60,'changes2_based on steps'!$B$1:$U$1,AE$1)</f>
        <v>0</v>
      </c>
      <c r="AF60" s="140"/>
      <c r="AG60" s="140"/>
      <c r="AH60" s="140"/>
      <c r="AI60" s="140"/>
      <c r="AJ60" s="140"/>
      <c r="AK60" s="140"/>
      <c r="AL60" s="140"/>
      <c r="AM60" s="140"/>
    </row>
    <row r="61" spans="1:39" x14ac:dyDescent="0.2">
      <c r="A61" s="29">
        <f t="shared" ca="1" si="0"/>
        <v>45801</v>
      </c>
      <c r="B61" s="140">
        <f ca="1">SUMIFS('recurring2_based on steps'!$B61:$AY61,'recurring2_based on steps'!$B$1:$AY$1,B$1)+SUMIFS('changes2_based on steps'!$B61:$U61,'changes2_based on steps'!$B$1:$U$1,B$1)</f>
        <v>0</v>
      </c>
      <c r="C61" s="140">
        <f>SUMIFS('recurring2_based on steps'!$B61:$AY61,'recurring2_based on steps'!$B$1:$AY$1,C$1)+SUMIFS('changes2_based on steps'!$B61:$U61,'changes2_based on steps'!$B$1:$U$1,C$1)</f>
        <v>0</v>
      </c>
      <c r="D61" s="140">
        <f>SUMIFS('recurring2_based on steps'!$B61:$AY61,'recurring2_based on steps'!$B$1:$AY$1,D$1)+SUMIFS('changes2_based on steps'!$B61:$U61,'changes2_based on steps'!$B$1:$U$1,D$1)</f>
        <v>0</v>
      </c>
      <c r="E61" s="140">
        <f>SUMIFS('recurring2_based on steps'!$B61:$AY61,'recurring2_based on steps'!$B$1:$AY$1,E$1)+SUMIFS('changes2_based on steps'!$B61:$U61,'changes2_based on steps'!$B$1:$U$1,E$1)</f>
        <v>0</v>
      </c>
      <c r="F61" s="140">
        <f>SUMIFS('recurring2_based on steps'!$B61:$AY61,'recurring2_based on steps'!$B$1:$AY$1,F$1)+SUMIFS('changes2_based on steps'!$B61:$U61,'changes2_based on steps'!$B$1:$U$1,F$1)</f>
        <v>0</v>
      </c>
      <c r="G61" s="140">
        <f>SUMIFS('recurring2_based on steps'!$B61:$AY61,'recurring2_based on steps'!$B$1:$AY$1,G$1)+SUMIFS('changes2_based on steps'!$B61:$U61,'changes2_based on steps'!$B$1:$U$1,G$1)</f>
        <v>0</v>
      </c>
      <c r="H61" s="140">
        <f>SUMIFS('recurring2_based on steps'!$B61:$AY61,'recurring2_based on steps'!$B$1:$AY$1,H$1)+SUMIFS('changes2_based on steps'!$B61:$U61,'changes2_based on steps'!$B$1:$U$1,H$1)</f>
        <v>0</v>
      </c>
      <c r="I61" s="140">
        <f>SUMIFS('recurring2_based on steps'!$B61:$AY61,'recurring2_based on steps'!$B$1:$AY$1,I$1)+SUMIFS('changes2_based on steps'!$B61:$U61,'changes2_based on steps'!$B$1:$U$1,I$1)</f>
        <v>0</v>
      </c>
      <c r="J61" s="140">
        <f ca="1">SUMIFS('recurring2_based on steps'!$B61:$AY61,'recurring2_based on steps'!$B$1:$AY$1,J$1)+SUMIFS('changes2_based on steps'!$B61:$U61,'changes2_based on steps'!$B$1:$U$1,J$1)</f>
        <v>0</v>
      </c>
      <c r="K61" s="140">
        <f>SUMIFS('recurring2_based on steps'!$B61:$AY61,'recurring2_based on steps'!$B$1:$AY$1,K$1)+SUMIFS('changes2_based on steps'!$B61:$U61,'changes2_based on steps'!$B$1:$U$1,K$1)</f>
        <v>0</v>
      </c>
      <c r="L61" s="140">
        <f>SUMIFS('recurring2_based on steps'!$B61:$AY61,'recurring2_based on steps'!$B$1:$AY$1,L$1)+SUMIFS('changes2_based on steps'!$B61:$U61,'changes2_based on steps'!$B$1:$U$1,L$1)</f>
        <v>0</v>
      </c>
      <c r="M61" s="140">
        <f>SUMIFS('recurring2_based on steps'!$B61:$AY61,'recurring2_based on steps'!$B$1:$AY$1,M$1)+SUMIFS('changes2_based on steps'!$B61:$U61,'changes2_based on steps'!$B$1:$U$1,M$1)</f>
        <v>0</v>
      </c>
      <c r="N61" s="140">
        <f ca="1">SUMIFS('recurring2_based on steps'!$B61:$AY61,'recurring2_based on steps'!$B$1:$AY$1,N$1)+SUMIFS('changes2_based on steps'!$B61:$U61,'changes2_based on steps'!$B$1:$U$1,N$1)</f>
        <v>0</v>
      </c>
      <c r="O61" s="140">
        <f>SUMIFS('recurring2_based on steps'!$B61:$AY61,'recurring2_based on steps'!$B$1:$AY$1,O$1)+SUMIFS('changes2_based on steps'!$B61:$U61,'changes2_based on steps'!$B$1:$U$1,O$1)</f>
        <v>0</v>
      </c>
      <c r="P61" s="140">
        <f ca="1">SUMIFS('recurring2_based on steps'!$B61:$AY61,'recurring2_based on steps'!$B$1:$AY$1,P$1)+SUMIFS('changes2_based on steps'!$B61:$U61,'changes2_based on steps'!$B$1:$U$1,P$1)</f>
        <v>0</v>
      </c>
      <c r="Q61" s="140">
        <f ca="1">SUMIFS('recurring2_based on steps'!$B61:$AY61,'recurring2_based on steps'!$B$1:$AY$1,Q$1)+SUMIFS('changes2_based on steps'!$B61:$U61,'changes2_based on steps'!$B$1:$U$1,Q$1)</f>
        <v>100.05540166204986</v>
      </c>
      <c r="R61" s="140">
        <f ca="1">SUMIFS('recurring2_based on steps'!$B61:$AY61,'recurring2_based on steps'!$B$1:$AY$1,R$1)+SUMIFS('changes2_based on steps'!$B61:$U61,'changes2_based on steps'!$B$1:$U$1,R$1)</f>
        <v>0</v>
      </c>
      <c r="S61" s="140">
        <f>SUMIFS('recurring2_based on steps'!$B61:$AY61,'recurring2_based on steps'!$B$1:$AY$1,S$1)+SUMIFS('changes2_based on steps'!$B61:$U61,'changes2_based on steps'!$B$1:$U$1,S$1)</f>
        <v>0</v>
      </c>
      <c r="T61" s="140">
        <f ca="1">SUMIFS('recurring2_based on steps'!$B61:$AY61,'recurring2_based on steps'!$B$1:$AY$1,T$1)+SUMIFS('changes2_based on steps'!$B61:$U61,'changes2_based on steps'!$B$1:$U$1,T$1)</f>
        <v>0</v>
      </c>
      <c r="U61" s="140">
        <f ca="1">SUMIFS('recurring2_based on steps'!$B61:$AY61,'recurring2_based on steps'!$B$1:$AY$1,U$1)+SUMIFS('changes2_based on steps'!$B61:$U61,'changes2_based on steps'!$B$1:$U$1,U$1)</f>
        <v>0</v>
      </c>
      <c r="V61" s="140">
        <f>SUMIFS('recurring2_based on steps'!$B61:$AY61,'recurring2_based on steps'!$B$1:$AY$1,V$1)+SUMIFS('changes2_based on steps'!$B61:$U61,'changes2_based on steps'!$B$1:$U$1,V$1)</f>
        <v>0</v>
      </c>
      <c r="W61" s="140">
        <f>SUMIFS('recurring2_based on steps'!$B61:$AY61,'recurring2_based on steps'!$B$1:$AY$1,W$1)+SUMIFS('changes2_based on steps'!$B61:$U61,'changes2_based on steps'!$B$1:$U$1,W$1)</f>
        <v>0</v>
      </c>
      <c r="X61" s="140">
        <f ca="1">SUMIFS('recurring2_based on steps'!$B61:$AY61,'recurring2_based on steps'!$B$1:$AY$1,X$1)+SUMIFS('changes2_based on steps'!$B61:$U61,'changes2_based on steps'!$B$1:$U$1,X$1)</f>
        <v>0</v>
      </c>
      <c r="Y61" s="140">
        <f ca="1">SUMIFS('recurring2_based on steps'!$B61:$AY61,'recurring2_based on steps'!$B$1:$AY$1,Y$1)+SUMIFS('changes2_based on steps'!$B61:$U61,'changes2_based on steps'!$B$1:$U$1,Y$1)</f>
        <v>0</v>
      </c>
      <c r="Z61" s="140">
        <f>SUMIFS('recurring2_based on steps'!$B61:$AY61,'recurring2_based on steps'!$B$1:$AY$1,Z$1)+SUMIFS('changes2_based on steps'!$B61:$U61,'changes2_based on steps'!$B$1:$U$1,Z$1)</f>
        <v>0</v>
      </c>
      <c r="AA61" s="140">
        <f ca="1">SUMIFS('recurring2_based on steps'!$B61:$AY61,'recurring2_based on steps'!$B$1:$AY$1,AA$1)+SUMIFS('changes2_based on steps'!$B61:$U61,'changes2_based on steps'!$B$1:$U$1,AA$1)</f>
        <v>0</v>
      </c>
      <c r="AB61" s="140">
        <f ca="1">SUMIFS('recurring2_based on steps'!$B61:$AY61,'recurring2_based on steps'!$B$1:$AY$1,AB$1)+SUMIFS('changes2_based on steps'!$B61:$U61,'changes2_based on steps'!$B$1:$U$1,AB$1)</f>
        <v>100</v>
      </c>
      <c r="AC61" s="140">
        <f ca="1">SUMIFS('recurring2_based on steps'!$B61:$AY61,'recurring2_based on steps'!$B$1:$AY$1,AC$1)+SUMIFS('changes2_based on steps'!$B61:$U61,'changes2_based on steps'!$B$1:$U$1,AC$1)</f>
        <v>0</v>
      </c>
      <c r="AD61" s="140">
        <f ca="1">SUMIFS('recurring2_based on steps'!$B61:$AY61,'recurring2_based on steps'!$B$1:$AY$1,AD$1)+SUMIFS('changes2_based on steps'!$B61:$U61,'changes2_based on steps'!$B$1:$U$1,AD$1)</f>
        <v>0</v>
      </c>
      <c r="AE61" s="140">
        <f>SUMIFS('recurring2_based on steps'!$B61:$AY61,'recurring2_based on steps'!$B$1:$AY$1,AE$1)+SUMIFS('changes2_based on steps'!$B61:$U61,'changes2_based on steps'!$B$1:$U$1,AE$1)</f>
        <v>0</v>
      </c>
      <c r="AF61" s="140"/>
      <c r="AG61" s="140"/>
      <c r="AH61" s="140"/>
      <c r="AI61" s="140"/>
      <c r="AJ61" s="140"/>
      <c r="AK61" s="140"/>
      <c r="AL61" s="140"/>
      <c r="AM61" s="140"/>
    </row>
    <row r="62" spans="1:39" x14ac:dyDescent="0.2">
      <c r="A62" s="29">
        <f t="shared" ca="1" si="0"/>
        <v>45802</v>
      </c>
      <c r="B62" s="140">
        <f ca="1">SUMIFS('recurring2_based on steps'!$B62:$AY62,'recurring2_based on steps'!$B$1:$AY$1,B$1)+SUMIFS('changes2_based on steps'!$B62:$U62,'changes2_based on steps'!$B$1:$U$1,B$1)</f>
        <v>0</v>
      </c>
      <c r="C62" s="140">
        <f>SUMIFS('recurring2_based on steps'!$B62:$AY62,'recurring2_based on steps'!$B$1:$AY$1,C$1)+SUMIFS('changes2_based on steps'!$B62:$U62,'changes2_based on steps'!$B$1:$U$1,C$1)</f>
        <v>0</v>
      </c>
      <c r="D62" s="140">
        <f>SUMIFS('recurring2_based on steps'!$B62:$AY62,'recurring2_based on steps'!$B$1:$AY$1,D$1)+SUMIFS('changes2_based on steps'!$B62:$U62,'changes2_based on steps'!$B$1:$U$1,D$1)</f>
        <v>0</v>
      </c>
      <c r="E62" s="140">
        <f>SUMIFS('recurring2_based on steps'!$B62:$AY62,'recurring2_based on steps'!$B$1:$AY$1,E$1)+SUMIFS('changes2_based on steps'!$B62:$U62,'changes2_based on steps'!$B$1:$U$1,E$1)</f>
        <v>0</v>
      </c>
      <c r="F62" s="140">
        <f>SUMIFS('recurring2_based on steps'!$B62:$AY62,'recurring2_based on steps'!$B$1:$AY$1,F$1)+SUMIFS('changes2_based on steps'!$B62:$U62,'changes2_based on steps'!$B$1:$U$1,F$1)</f>
        <v>0</v>
      </c>
      <c r="G62" s="140">
        <f>SUMIFS('recurring2_based on steps'!$B62:$AY62,'recurring2_based on steps'!$B$1:$AY$1,G$1)+SUMIFS('changes2_based on steps'!$B62:$U62,'changes2_based on steps'!$B$1:$U$1,G$1)</f>
        <v>0</v>
      </c>
      <c r="H62" s="140">
        <f>SUMIFS('recurring2_based on steps'!$B62:$AY62,'recurring2_based on steps'!$B$1:$AY$1,H$1)+SUMIFS('changes2_based on steps'!$B62:$U62,'changes2_based on steps'!$B$1:$U$1,H$1)</f>
        <v>0</v>
      </c>
      <c r="I62" s="140">
        <f>SUMIFS('recurring2_based on steps'!$B62:$AY62,'recurring2_based on steps'!$B$1:$AY$1,I$1)+SUMIFS('changes2_based on steps'!$B62:$U62,'changes2_based on steps'!$B$1:$U$1,I$1)</f>
        <v>0</v>
      </c>
      <c r="J62" s="140">
        <f ca="1">SUMIFS('recurring2_based on steps'!$B62:$AY62,'recurring2_based on steps'!$B$1:$AY$1,J$1)+SUMIFS('changes2_based on steps'!$B62:$U62,'changes2_based on steps'!$B$1:$U$1,J$1)</f>
        <v>0</v>
      </c>
      <c r="K62" s="140">
        <f>SUMIFS('recurring2_based on steps'!$B62:$AY62,'recurring2_based on steps'!$B$1:$AY$1,K$1)+SUMIFS('changes2_based on steps'!$B62:$U62,'changes2_based on steps'!$B$1:$U$1,K$1)</f>
        <v>0</v>
      </c>
      <c r="L62" s="140">
        <f>SUMIFS('recurring2_based on steps'!$B62:$AY62,'recurring2_based on steps'!$B$1:$AY$1,L$1)+SUMIFS('changes2_based on steps'!$B62:$U62,'changes2_based on steps'!$B$1:$U$1,L$1)</f>
        <v>0</v>
      </c>
      <c r="M62" s="140">
        <f>SUMIFS('recurring2_based on steps'!$B62:$AY62,'recurring2_based on steps'!$B$1:$AY$1,M$1)+SUMIFS('changes2_based on steps'!$B62:$U62,'changes2_based on steps'!$B$1:$U$1,M$1)</f>
        <v>0</v>
      </c>
      <c r="N62" s="140">
        <f ca="1">SUMIFS('recurring2_based on steps'!$B62:$AY62,'recurring2_based on steps'!$B$1:$AY$1,N$1)+SUMIFS('changes2_based on steps'!$B62:$U62,'changes2_based on steps'!$B$1:$U$1,N$1)</f>
        <v>0</v>
      </c>
      <c r="O62" s="140">
        <f>SUMIFS('recurring2_based on steps'!$B62:$AY62,'recurring2_based on steps'!$B$1:$AY$1,O$1)+SUMIFS('changes2_based on steps'!$B62:$U62,'changes2_based on steps'!$B$1:$U$1,O$1)</f>
        <v>0</v>
      </c>
      <c r="P62" s="140">
        <f ca="1">SUMIFS('recurring2_based on steps'!$B62:$AY62,'recurring2_based on steps'!$B$1:$AY$1,P$1)+SUMIFS('changes2_based on steps'!$B62:$U62,'changes2_based on steps'!$B$1:$U$1,P$1)</f>
        <v>0</v>
      </c>
      <c r="Q62" s="140">
        <f ca="1">SUMIFS('recurring2_based on steps'!$B62:$AY62,'recurring2_based on steps'!$B$1:$AY$1,Q$1)+SUMIFS('changes2_based on steps'!$B62:$U62,'changes2_based on steps'!$B$1:$U$1,Q$1)</f>
        <v>100.05540166204986</v>
      </c>
      <c r="R62" s="140">
        <f ca="1">SUMIFS('recurring2_based on steps'!$B62:$AY62,'recurring2_based on steps'!$B$1:$AY$1,R$1)+SUMIFS('changes2_based on steps'!$B62:$U62,'changes2_based on steps'!$B$1:$U$1,R$1)</f>
        <v>0</v>
      </c>
      <c r="S62" s="140">
        <f>SUMIFS('recurring2_based on steps'!$B62:$AY62,'recurring2_based on steps'!$B$1:$AY$1,S$1)+SUMIFS('changes2_based on steps'!$B62:$U62,'changes2_based on steps'!$B$1:$U$1,S$1)</f>
        <v>0</v>
      </c>
      <c r="T62" s="140">
        <f ca="1">SUMIFS('recurring2_based on steps'!$B62:$AY62,'recurring2_based on steps'!$B$1:$AY$1,T$1)+SUMIFS('changes2_based on steps'!$B62:$U62,'changes2_based on steps'!$B$1:$U$1,T$1)</f>
        <v>0</v>
      </c>
      <c r="U62" s="140">
        <f ca="1">SUMIFS('recurring2_based on steps'!$B62:$AY62,'recurring2_based on steps'!$B$1:$AY$1,U$1)+SUMIFS('changes2_based on steps'!$B62:$U62,'changes2_based on steps'!$B$1:$U$1,U$1)</f>
        <v>0</v>
      </c>
      <c r="V62" s="140">
        <f>SUMIFS('recurring2_based on steps'!$B62:$AY62,'recurring2_based on steps'!$B$1:$AY$1,V$1)+SUMIFS('changes2_based on steps'!$B62:$U62,'changes2_based on steps'!$B$1:$U$1,V$1)</f>
        <v>0</v>
      </c>
      <c r="W62" s="140">
        <f>SUMIFS('recurring2_based on steps'!$B62:$AY62,'recurring2_based on steps'!$B$1:$AY$1,W$1)+SUMIFS('changes2_based on steps'!$B62:$U62,'changes2_based on steps'!$B$1:$U$1,W$1)</f>
        <v>0</v>
      </c>
      <c r="X62" s="140">
        <f ca="1">SUMIFS('recurring2_based on steps'!$B62:$AY62,'recurring2_based on steps'!$B$1:$AY$1,X$1)+SUMIFS('changes2_based on steps'!$B62:$U62,'changes2_based on steps'!$B$1:$U$1,X$1)</f>
        <v>0</v>
      </c>
      <c r="Y62" s="140">
        <f ca="1">SUMIFS('recurring2_based on steps'!$B62:$AY62,'recurring2_based on steps'!$B$1:$AY$1,Y$1)+SUMIFS('changes2_based on steps'!$B62:$U62,'changes2_based on steps'!$B$1:$U$1,Y$1)</f>
        <v>50</v>
      </c>
      <c r="Z62" s="140">
        <f>SUMIFS('recurring2_based on steps'!$B62:$AY62,'recurring2_based on steps'!$B$1:$AY$1,Z$1)+SUMIFS('changes2_based on steps'!$B62:$U62,'changes2_based on steps'!$B$1:$U$1,Z$1)</f>
        <v>0</v>
      </c>
      <c r="AA62" s="140">
        <f ca="1">SUMIFS('recurring2_based on steps'!$B62:$AY62,'recurring2_based on steps'!$B$1:$AY$1,AA$1)+SUMIFS('changes2_based on steps'!$B62:$U62,'changes2_based on steps'!$B$1:$U$1,AA$1)</f>
        <v>0</v>
      </c>
      <c r="AB62" s="140">
        <f ca="1">SUMIFS('recurring2_based on steps'!$B62:$AY62,'recurring2_based on steps'!$B$1:$AY$1,AB$1)+SUMIFS('changes2_based on steps'!$B62:$U62,'changes2_based on steps'!$B$1:$U$1,AB$1)</f>
        <v>0</v>
      </c>
      <c r="AC62" s="140">
        <f ca="1">SUMIFS('recurring2_based on steps'!$B62:$AY62,'recurring2_based on steps'!$B$1:$AY$1,AC$1)+SUMIFS('changes2_based on steps'!$B62:$U62,'changes2_based on steps'!$B$1:$U$1,AC$1)</f>
        <v>0</v>
      </c>
      <c r="AD62" s="140">
        <f ca="1">SUMIFS('recurring2_based on steps'!$B62:$AY62,'recurring2_based on steps'!$B$1:$AY$1,AD$1)+SUMIFS('changes2_based on steps'!$B62:$U62,'changes2_based on steps'!$B$1:$U$1,AD$1)</f>
        <v>0</v>
      </c>
      <c r="AE62" s="140">
        <f>SUMIFS('recurring2_based on steps'!$B62:$AY62,'recurring2_based on steps'!$B$1:$AY$1,AE$1)+SUMIFS('changes2_based on steps'!$B62:$U62,'changes2_based on steps'!$B$1:$U$1,AE$1)</f>
        <v>0</v>
      </c>
      <c r="AF62" s="140"/>
      <c r="AG62" s="140"/>
      <c r="AH62" s="140"/>
      <c r="AI62" s="140"/>
      <c r="AJ62" s="140"/>
      <c r="AK62" s="140"/>
      <c r="AL62" s="140"/>
      <c r="AM62" s="140"/>
    </row>
    <row r="63" spans="1:39" x14ac:dyDescent="0.2">
      <c r="A63" s="29">
        <f t="shared" ca="1" si="0"/>
        <v>45803</v>
      </c>
      <c r="B63" s="140">
        <f ca="1">SUMIFS('recurring2_based on steps'!$B63:$AY63,'recurring2_based on steps'!$B$1:$AY$1,B$1)+SUMIFS('changes2_based on steps'!$B63:$U63,'changes2_based on steps'!$B$1:$U$1,B$1)</f>
        <v>0</v>
      </c>
      <c r="C63" s="140">
        <f>SUMIFS('recurring2_based on steps'!$B63:$AY63,'recurring2_based on steps'!$B$1:$AY$1,C$1)+SUMIFS('changes2_based on steps'!$B63:$U63,'changes2_based on steps'!$B$1:$U$1,C$1)</f>
        <v>0</v>
      </c>
      <c r="D63" s="140">
        <f>SUMIFS('recurring2_based on steps'!$B63:$AY63,'recurring2_based on steps'!$B$1:$AY$1,D$1)+SUMIFS('changes2_based on steps'!$B63:$U63,'changes2_based on steps'!$B$1:$U$1,D$1)</f>
        <v>0</v>
      </c>
      <c r="E63" s="140">
        <f>SUMIFS('recurring2_based on steps'!$B63:$AY63,'recurring2_based on steps'!$B$1:$AY$1,E$1)+SUMIFS('changes2_based on steps'!$B63:$U63,'changes2_based on steps'!$B$1:$U$1,E$1)</f>
        <v>0</v>
      </c>
      <c r="F63" s="140">
        <f>SUMIFS('recurring2_based on steps'!$B63:$AY63,'recurring2_based on steps'!$B$1:$AY$1,F$1)+SUMIFS('changes2_based on steps'!$B63:$U63,'changes2_based on steps'!$B$1:$U$1,F$1)</f>
        <v>0</v>
      </c>
      <c r="G63" s="140">
        <f>SUMIFS('recurring2_based on steps'!$B63:$AY63,'recurring2_based on steps'!$B$1:$AY$1,G$1)+SUMIFS('changes2_based on steps'!$B63:$U63,'changes2_based on steps'!$B$1:$U$1,G$1)</f>
        <v>0</v>
      </c>
      <c r="H63" s="140">
        <f>SUMIFS('recurring2_based on steps'!$B63:$AY63,'recurring2_based on steps'!$B$1:$AY$1,H$1)+SUMIFS('changes2_based on steps'!$B63:$U63,'changes2_based on steps'!$B$1:$U$1,H$1)</f>
        <v>0</v>
      </c>
      <c r="I63" s="140">
        <f>SUMIFS('recurring2_based on steps'!$B63:$AY63,'recurring2_based on steps'!$B$1:$AY$1,I$1)+SUMIFS('changes2_based on steps'!$B63:$U63,'changes2_based on steps'!$B$1:$U$1,I$1)</f>
        <v>0</v>
      </c>
      <c r="J63" s="140">
        <f ca="1">SUMIFS('recurring2_based on steps'!$B63:$AY63,'recurring2_based on steps'!$B$1:$AY$1,J$1)+SUMIFS('changes2_based on steps'!$B63:$U63,'changes2_based on steps'!$B$1:$U$1,J$1)</f>
        <v>0</v>
      </c>
      <c r="K63" s="140">
        <f>SUMIFS('recurring2_based on steps'!$B63:$AY63,'recurring2_based on steps'!$B$1:$AY$1,K$1)+SUMIFS('changes2_based on steps'!$B63:$U63,'changes2_based on steps'!$B$1:$U$1,K$1)</f>
        <v>0</v>
      </c>
      <c r="L63" s="140">
        <f>SUMIFS('recurring2_based on steps'!$B63:$AY63,'recurring2_based on steps'!$B$1:$AY$1,L$1)+SUMIFS('changes2_based on steps'!$B63:$U63,'changes2_based on steps'!$B$1:$U$1,L$1)</f>
        <v>0</v>
      </c>
      <c r="M63" s="140">
        <f>SUMIFS('recurring2_based on steps'!$B63:$AY63,'recurring2_based on steps'!$B$1:$AY$1,M$1)+SUMIFS('changes2_based on steps'!$B63:$U63,'changes2_based on steps'!$B$1:$U$1,M$1)</f>
        <v>0</v>
      </c>
      <c r="N63" s="140">
        <f ca="1">SUMIFS('recurring2_based on steps'!$B63:$AY63,'recurring2_based on steps'!$B$1:$AY$1,N$1)+SUMIFS('changes2_based on steps'!$B63:$U63,'changes2_based on steps'!$B$1:$U$1,N$1)</f>
        <v>0</v>
      </c>
      <c r="O63" s="140">
        <f>SUMIFS('recurring2_based on steps'!$B63:$AY63,'recurring2_based on steps'!$B$1:$AY$1,O$1)+SUMIFS('changes2_based on steps'!$B63:$U63,'changes2_based on steps'!$B$1:$U$1,O$1)</f>
        <v>0</v>
      </c>
      <c r="P63" s="140">
        <f ca="1">SUMIFS('recurring2_based on steps'!$B63:$AY63,'recurring2_based on steps'!$B$1:$AY$1,P$1)+SUMIFS('changes2_based on steps'!$B63:$U63,'changes2_based on steps'!$B$1:$U$1,P$1)</f>
        <v>0</v>
      </c>
      <c r="Q63" s="140">
        <f ca="1">SUMIFS('recurring2_based on steps'!$B63:$AY63,'recurring2_based on steps'!$B$1:$AY$1,Q$1)+SUMIFS('changes2_based on steps'!$B63:$U63,'changes2_based on steps'!$B$1:$U$1,Q$1)</f>
        <v>5.5401662049861494E-2</v>
      </c>
      <c r="R63" s="140">
        <f ca="1">SUMIFS('recurring2_based on steps'!$B63:$AY63,'recurring2_based on steps'!$B$1:$AY$1,R$1)+SUMIFS('changes2_based on steps'!$B63:$U63,'changes2_based on steps'!$B$1:$U$1,R$1)</f>
        <v>0</v>
      </c>
      <c r="S63" s="140">
        <f>SUMIFS('recurring2_based on steps'!$B63:$AY63,'recurring2_based on steps'!$B$1:$AY$1,S$1)+SUMIFS('changes2_based on steps'!$B63:$U63,'changes2_based on steps'!$B$1:$U$1,S$1)</f>
        <v>0</v>
      </c>
      <c r="T63" s="140">
        <f ca="1">SUMIFS('recurring2_based on steps'!$B63:$AY63,'recurring2_based on steps'!$B$1:$AY$1,T$1)+SUMIFS('changes2_based on steps'!$B63:$U63,'changes2_based on steps'!$B$1:$U$1,T$1)</f>
        <v>0</v>
      </c>
      <c r="U63" s="140">
        <f ca="1">SUMIFS('recurring2_based on steps'!$B63:$AY63,'recurring2_based on steps'!$B$1:$AY$1,U$1)+SUMIFS('changes2_based on steps'!$B63:$U63,'changes2_based on steps'!$B$1:$U$1,U$1)</f>
        <v>0</v>
      </c>
      <c r="V63" s="140">
        <f>SUMIFS('recurring2_based on steps'!$B63:$AY63,'recurring2_based on steps'!$B$1:$AY$1,V$1)+SUMIFS('changes2_based on steps'!$B63:$U63,'changes2_based on steps'!$B$1:$U$1,V$1)</f>
        <v>0</v>
      </c>
      <c r="W63" s="140">
        <f>SUMIFS('recurring2_based on steps'!$B63:$AY63,'recurring2_based on steps'!$B$1:$AY$1,W$1)+SUMIFS('changes2_based on steps'!$B63:$U63,'changes2_based on steps'!$B$1:$U$1,W$1)</f>
        <v>0</v>
      </c>
      <c r="X63" s="140">
        <f ca="1">SUMIFS('recurring2_based on steps'!$B63:$AY63,'recurring2_based on steps'!$B$1:$AY$1,X$1)+SUMIFS('changes2_based on steps'!$B63:$U63,'changes2_based on steps'!$B$1:$U$1,X$1)</f>
        <v>0</v>
      </c>
      <c r="Y63" s="140">
        <f ca="1">SUMIFS('recurring2_based on steps'!$B63:$AY63,'recurring2_based on steps'!$B$1:$AY$1,Y$1)+SUMIFS('changes2_based on steps'!$B63:$U63,'changes2_based on steps'!$B$1:$U$1,Y$1)</f>
        <v>0</v>
      </c>
      <c r="Z63" s="140">
        <f>SUMIFS('recurring2_based on steps'!$B63:$AY63,'recurring2_based on steps'!$B$1:$AY$1,Z$1)+SUMIFS('changes2_based on steps'!$B63:$U63,'changes2_based on steps'!$B$1:$U$1,Z$1)</f>
        <v>0</v>
      </c>
      <c r="AA63" s="140">
        <f ca="1">SUMIFS('recurring2_based on steps'!$B63:$AY63,'recurring2_based on steps'!$B$1:$AY$1,AA$1)+SUMIFS('changes2_based on steps'!$B63:$U63,'changes2_based on steps'!$B$1:$U$1,AA$1)</f>
        <v>0</v>
      </c>
      <c r="AB63" s="140">
        <f ca="1">SUMIFS('recurring2_based on steps'!$B63:$AY63,'recurring2_based on steps'!$B$1:$AY$1,AB$1)+SUMIFS('changes2_based on steps'!$B63:$U63,'changes2_based on steps'!$B$1:$U$1,AB$1)</f>
        <v>0</v>
      </c>
      <c r="AC63" s="140">
        <f ca="1">SUMIFS('recurring2_based on steps'!$B63:$AY63,'recurring2_based on steps'!$B$1:$AY$1,AC$1)+SUMIFS('changes2_based on steps'!$B63:$U63,'changes2_based on steps'!$B$1:$U$1,AC$1)</f>
        <v>0</v>
      </c>
      <c r="AD63" s="140">
        <f ca="1">SUMIFS('recurring2_based on steps'!$B63:$AY63,'recurring2_based on steps'!$B$1:$AY$1,AD$1)+SUMIFS('changes2_based on steps'!$B63:$U63,'changes2_based on steps'!$B$1:$U$1,AD$1)</f>
        <v>0</v>
      </c>
      <c r="AE63" s="140">
        <f>SUMIFS('recurring2_based on steps'!$B63:$AY63,'recurring2_based on steps'!$B$1:$AY$1,AE$1)+SUMIFS('changes2_based on steps'!$B63:$U63,'changes2_based on steps'!$B$1:$U$1,AE$1)</f>
        <v>0</v>
      </c>
      <c r="AF63" s="140"/>
      <c r="AG63" s="140"/>
      <c r="AH63" s="140"/>
      <c r="AI63" s="140"/>
      <c r="AJ63" s="140"/>
      <c r="AK63" s="140"/>
      <c r="AL63" s="140"/>
      <c r="AM63" s="140"/>
    </row>
    <row r="64" spans="1:39" x14ac:dyDescent="0.2">
      <c r="A64" s="29">
        <f t="shared" ca="1" si="0"/>
        <v>45804</v>
      </c>
      <c r="B64" s="140">
        <f ca="1">SUMIFS('recurring2_based on steps'!$B64:$AY64,'recurring2_based on steps'!$B$1:$AY$1,B$1)+SUMIFS('changes2_based on steps'!$B64:$U64,'changes2_based on steps'!$B$1:$U$1,B$1)</f>
        <v>0</v>
      </c>
      <c r="C64" s="140">
        <f>SUMIFS('recurring2_based on steps'!$B64:$AY64,'recurring2_based on steps'!$B$1:$AY$1,C$1)+SUMIFS('changes2_based on steps'!$B64:$U64,'changes2_based on steps'!$B$1:$U$1,C$1)</f>
        <v>0</v>
      </c>
      <c r="D64" s="140">
        <f>SUMIFS('recurring2_based on steps'!$B64:$AY64,'recurring2_based on steps'!$B$1:$AY$1,D$1)+SUMIFS('changes2_based on steps'!$B64:$U64,'changes2_based on steps'!$B$1:$U$1,D$1)</f>
        <v>0</v>
      </c>
      <c r="E64" s="140">
        <f>SUMIFS('recurring2_based on steps'!$B64:$AY64,'recurring2_based on steps'!$B$1:$AY$1,E$1)+SUMIFS('changes2_based on steps'!$B64:$U64,'changes2_based on steps'!$B$1:$U$1,E$1)</f>
        <v>0</v>
      </c>
      <c r="F64" s="140">
        <f>SUMIFS('recurring2_based on steps'!$B64:$AY64,'recurring2_based on steps'!$B$1:$AY$1,F$1)+SUMIFS('changes2_based on steps'!$B64:$U64,'changes2_based on steps'!$B$1:$U$1,F$1)</f>
        <v>0</v>
      </c>
      <c r="G64" s="140">
        <f>SUMIFS('recurring2_based on steps'!$B64:$AY64,'recurring2_based on steps'!$B$1:$AY$1,G$1)+SUMIFS('changes2_based on steps'!$B64:$U64,'changes2_based on steps'!$B$1:$U$1,G$1)</f>
        <v>0</v>
      </c>
      <c r="H64" s="140">
        <f>SUMIFS('recurring2_based on steps'!$B64:$AY64,'recurring2_based on steps'!$B$1:$AY$1,H$1)+SUMIFS('changes2_based on steps'!$B64:$U64,'changes2_based on steps'!$B$1:$U$1,H$1)</f>
        <v>0</v>
      </c>
      <c r="I64" s="140">
        <f>SUMIFS('recurring2_based on steps'!$B64:$AY64,'recurring2_based on steps'!$B$1:$AY$1,I$1)+SUMIFS('changes2_based on steps'!$B64:$U64,'changes2_based on steps'!$B$1:$U$1,I$1)</f>
        <v>0</v>
      </c>
      <c r="J64" s="140">
        <f ca="1">SUMIFS('recurring2_based on steps'!$B64:$AY64,'recurring2_based on steps'!$B$1:$AY$1,J$1)+SUMIFS('changes2_based on steps'!$B64:$U64,'changes2_based on steps'!$B$1:$U$1,J$1)</f>
        <v>0</v>
      </c>
      <c r="K64" s="140">
        <f>SUMIFS('recurring2_based on steps'!$B64:$AY64,'recurring2_based on steps'!$B$1:$AY$1,K$1)+SUMIFS('changes2_based on steps'!$B64:$U64,'changes2_based on steps'!$B$1:$U$1,K$1)</f>
        <v>0</v>
      </c>
      <c r="L64" s="140">
        <f>SUMIFS('recurring2_based on steps'!$B64:$AY64,'recurring2_based on steps'!$B$1:$AY$1,L$1)+SUMIFS('changes2_based on steps'!$B64:$U64,'changes2_based on steps'!$B$1:$U$1,L$1)</f>
        <v>0</v>
      </c>
      <c r="M64" s="140">
        <f>SUMIFS('recurring2_based on steps'!$B64:$AY64,'recurring2_based on steps'!$B$1:$AY$1,M$1)+SUMIFS('changes2_based on steps'!$B64:$U64,'changes2_based on steps'!$B$1:$U$1,M$1)</f>
        <v>0</v>
      </c>
      <c r="N64" s="140">
        <f ca="1">SUMIFS('recurring2_based on steps'!$B64:$AY64,'recurring2_based on steps'!$B$1:$AY$1,N$1)+SUMIFS('changes2_based on steps'!$B64:$U64,'changes2_based on steps'!$B$1:$U$1,N$1)</f>
        <v>0</v>
      </c>
      <c r="O64" s="140">
        <f>SUMIFS('recurring2_based on steps'!$B64:$AY64,'recurring2_based on steps'!$B$1:$AY$1,O$1)+SUMIFS('changes2_based on steps'!$B64:$U64,'changes2_based on steps'!$B$1:$U$1,O$1)</f>
        <v>0</v>
      </c>
      <c r="P64" s="140">
        <f ca="1">SUMIFS('recurring2_based on steps'!$B64:$AY64,'recurring2_based on steps'!$B$1:$AY$1,P$1)+SUMIFS('changes2_based on steps'!$B64:$U64,'changes2_based on steps'!$B$1:$U$1,P$1)</f>
        <v>0</v>
      </c>
      <c r="Q64" s="140">
        <f ca="1">SUMIFS('recurring2_based on steps'!$B64:$AY64,'recurring2_based on steps'!$B$1:$AY$1,Q$1)+SUMIFS('changes2_based on steps'!$B64:$U64,'changes2_based on steps'!$B$1:$U$1,Q$1)</f>
        <v>5.5401662049861494E-2</v>
      </c>
      <c r="R64" s="140">
        <f ca="1">SUMIFS('recurring2_based on steps'!$B64:$AY64,'recurring2_based on steps'!$B$1:$AY$1,R$1)+SUMIFS('changes2_based on steps'!$B64:$U64,'changes2_based on steps'!$B$1:$U$1,R$1)</f>
        <v>2.99</v>
      </c>
      <c r="S64" s="140">
        <f>SUMIFS('recurring2_based on steps'!$B64:$AY64,'recurring2_based on steps'!$B$1:$AY$1,S$1)+SUMIFS('changes2_based on steps'!$B64:$U64,'changes2_based on steps'!$B$1:$U$1,S$1)</f>
        <v>0</v>
      </c>
      <c r="T64" s="140">
        <f ca="1">SUMIFS('recurring2_based on steps'!$B64:$AY64,'recurring2_based on steps'!$B$1:$AY$1,T$1)+SUMIFS('changes2_based on steps'!$B64:$U64,'changes2_based on steps'!$B$1:$U$1,T$1)</f>
        <v>0</v>
      </c>
      <c r="U64" s="140">
        <f ca="1">SUMIFS('recurring2_based on steps'!$B64:$AY64,'recurring2_based on steps'!$B$1:$AY$1,U$1)+SUMIFS('changes2_based on steps'!$B64:$U64,'changes2_based on steps'!$B$1:$U$1,U$1)</f>
        <v>0</v>
      </c>
      <c r="V64" s="140">
        <f>SUMIFS('recurring2_based on steps'!$B64:$AY64,'recurring2_based on steps'!$B$1:$AY$1,V$1)+SUMIFS('changes2_based on steps'!$B64:$U64,'changes2_based on steps'!$B$1:$U$1,V$1)</f>
        <v>0</v>
      </c>
      <c r="W64" s="140">
        <f>SUMIFS('recurring2_based on steps'!$B64:$AY64,'recurring2_based on steps'!$B$1:$AY$1,W$1)+SUMIFS('changes2_based on steps'!$B64:$U64,'changes2_based on steps'!$B$1:$U$1,W$1)</f>
        <v>0</v>
      </c>
      <c r="X64" s="140">
        <f ca="1">SUMIFS('recurring2_based on steps'!$B64:$AY64,'recurring2_based on steps'!$B$1:$AY$1,X$1)+SUMIFS('changes2_based on steps'!$B64:$U64,'changes2_based on steps'!$B$1:$U$1,X$1)</f>
        <v>0</v>
      </c>
      <c r="Y64" s="140">
        <f ca="1">SUMIFS('recurring2_based on steps'!$B64:$AY64,'recurring2_based on steps'!$B$1:$AY$1,Y$1)+SUMIFS('changes2_based on steps'!$B64:$U64,'changes2_based on steps'!$B$1:$U$1,Y$1)</f>
        <v>0</v>
      </c>
      <c r="Z64" s="140">
        <f>SUMIFS('recurring2_based on steps'!$B64:$AY64,'recurring2_based on steps'!$B$1:$AY$1,Z$1)+SUMIFS('changes2_based on steps'!$B64:$U64,'changes2_based on steps'!$B$1:$U$1,Z$1)</f>
        <v>0</v>
      </c>
      <c r="AA64" s="140">
        <f ca="1">SUMIFS('recurring2_based on steps'!$B64:$AY64,'recurring2_based on steps'!$B$1:$AY$1,AA$1)+SUMIFS('changes2_based on steps'!$B64:$U64,'changes2_based on steps'!$B$1:$U$1,AA$1)</f>
        <v>0</v>
      </c>
      <c r="AB64" s="140">
        <f ca="1">SUMIFS('recurring2_based on steps'!$B64:$AY64,'recurring2_based on steps'!$B$1:$AY$1,AB$1)+SUMIFS('changes2_based on steps'!$B64:$U64,'changes2_based on steps'!$B$1:$U$1,AB$1)</f>
        <v>0</v>
      </c>
      <c r="AC64" s="140">
        <f ca="1">SUMIFS('recurring2_based on steps'!$B64:$AY64,'recurring2_based on steps'!$B$1:$AY$1,AC$1)+SUMIFS('changes2_based on steps'!$B64:$U64,'changes2_based on steps'!$B$1:$U$1,AC$1)</f>
        <v>0</v>
      </c>
      <c r="AD64" s="140">
        <f ca="1">SUMIFS('recurring2_based on steps'!$B64:$AY64,'recurring2_based on steps'!$B$1:$AY$1,AD$1)+SUMIFS('changes2_based on steps'!$B64:$U64,'changes2_based on steps'!$B$1:$U$1,AD$1)</f>
        <v>0</v>
      </c>
      <c r="AE64" s="140">
        <f>SUMIFS('recurring2_based on steps'!$B64:$AY64,'recurring2_based on steps'!$B$1:$AY$1,AE$1)+SUMIFS('changes2_based on steps'!$B64:$U64,'changes2_based on steps'!$B$1:$U$1,AE$1)</f>
        <v>0</v>
      </c>
      <c r="AF64" s="140"/>
      <c r="AG64" s="140"/>
      <c r="AH64" s="140"/>
      <c r="AI64" s="140"/>
      <c r="AJ64" s="140"/>
      <c r="AK64" s="140"/>
      <c r="AL64" s="140"/>
      <c r="AM64" s="140"/>
    </row>
    <row r="65" spans="1:39" x14ac:dyDescent="0.2">
      <c r="A65" s="29">
        <f t="shared" ca="1" si="0"/>
        <v>45805</v>
      </c>
      <c r="B65" s="140">
        <f ca="1">SUMIFS('recurring2_based on steps'!$B65:$AY65,'recurring2_based on steps'!$B$1:$AY$1,B$1)+SUMIFS('changes2_based on steps'!$B65:$U65,'changes2_based on steps'!$B$1:$U$1,B$1)</f>
        <v>0</v>
      </c>
      <c r="C65" s="140">
        <f>SUMIFS('recurring2_based on steps'!$B65:$AY65,'recurring2_based on steps'!$B$1:$AY$1,C$1)+SUMIFS('changes2_based on steps'!$B65:$U65,'changes2_based on steps'!$B$1:$U$1,C$1)</f>
        <v>0</v>
      </c>
      <c r="D65" s="140">
        <f>SUMIFS('recurring2_based on steps'!$B65:$AY65,'recurring2_based on steps'!$B$1:$AY$1,D$1)+SUMIFS('changes2_based on steps'!$B65:$U65,'changes2_based on steps'!$B$1:$U$1,D$1)</f>
        <v>0</v>
      </c>
      <c r="E65" s="140">
        <f>SUMIFS('recurring2_based on steps'!$B65:$AY65,'recurring2_based on steps'!$B$1:$AY$1,E$1)+SUMIFS('changes2_based on steps'!$B65:$U65,'changes2_based on steps'!$B$1:$U$1,E$1)</f>
        <v>0</v>
      </c>
      <c r="F65" s="140">
        <f>SUMIFS('recurring2_based on steps'!$B65:$AY65,'recurring2_based on steps'!$B$1:$AY$1,F$1)+SUMIFS('changes2_based on steps'!$B65:$U65,'changes2_based on steps'!$B$1:$U$1,F$1)</f>
        <v>0</v>
      </c>
      <c r="G65" s="140">
        <f>SUMIFS('recurring2_based on steps'!$B65:$AY65,'recurring2_based on steps'!$B$1:$AY$1,G$1)+SUMIFS('changes2_based on steps'!$B65:$U65,'changes2_based on steps'!$B$1:$U$1,G$1)</f>
        <v>0</v>
      </c>
      <c r="H65" s="140">
        <f>SUMIFS('recurring2_based on steps'!$B65:$AY65,'recurring2_based on steps'!$B$1:$AY$1,H$1)+SUMIFS('changes2_based on steps'!$B65:$U65,'changes2_based on steps'!$B$1:$U$1,H$1)</f>
        <v>0</v>
      </c>
      <c r="I65" s="140">
        <f>SUMIFS('recurring2_based on steps'!$B65:$AY65,'recurring2_based on steps'!$B$1:$AY$1,I$1)+SUMIFS('changes2_based on steps'!$B65:$U65,'changes2_based on steps'!$B$1:$U$1,I$1)</f>
        <v>0</v>
      </c>
      <c r="J65" s="140">
        <f ca="1">SUMIFS('recurring2_based on steps'!$B65:$AY65,'recurring2_based on steps'!$B$1:$AY$1,J$1)+SUMIFS('changes2_based on steps'!$B65:$U65,'changes2_based on steps'!$B$1:$U$1,J$1)</f>
        <v>0</v>
      </c>
      <c r="K65" s="140">
        <f>SUMIFS('recurring2_based on steps'!$B65:$AY65,'recurring2_based on steps'!$B$1:$AY$1,K$1)+SUMIFS('changes2_based on steps'!$B65:$U65,'changes2_based on steps'!$B$1:$U$1,K$1)</f>
        <v>0</v>
      </c>
      <c r="L65" s="140">
        <f>SUMIFS('recurring2_based on steps'!$B65:$AY65,'recurring2_based on steps'!$B$1:$AY$1,L$1)+SUMIFS('changes2_based on steps'!$B65:$U65,'changes2_based on steps'!$B$1:$U$1,L$1)</f>
        <v>0</v>
      </c>
      <c r="M65" s="140">
        <f>SUMIFS('recurring2_based on steps'!$B65:$AY65,'recurring2_based on steps'!$B$1:$AY$1,M$1)+SUMIFS('changes2_based on steps'!$B65:$U65,'changes2_based on steps'!$B$1:$U$1,M$1)</f>
        <v>0</v>
      </c>
      <c r="N65" s="140">
        <f ca="1">SUMIFS('recurring2_based on steps'!$B65:$AY65,'recurring2_based on steps'!$B$1:$AY$1,N$1)+SUMIFS('changes2_based on steps'!$B65:$U65,'changes2_based on steps'!$B$1:$U$1,N$1)</f>
        <v>0</v>
      </c>
      <c r="O65" s="140">
        <f>SUMIFS('recurring2_based on steps'!$B65:$AY65,'recurring2_based on steps'!$B$1:$AY$1,O$1)+SUMIFS('changes2_based on steps'!$B65:$U65,'changes2_based on steps'!$B$1:$U$1,O$1)</f>
        <v>0</v>
      </c>
      <c r="P65" s="140">
        <f ca="1">SUMIFS('recurring2_based on steps'!$B65:$AY65,'recurring2_based on steps'!$B$1:$AY$1,P$1)+SUMIFS('changes2_based on steps'!$B65:$U65,'changes2_based on steps'!$B$1:$U$1,P$1)</f>
        <v>0</v>
      </c>
      <c r="Q65" s="140">
        <f ca="1">SUMIFS('recurring2_based on steps'!$B65:$AY65,'recurring2_based on steps'!$B$1:$AY$1,Q$1)+SUMIFS('changes2_based on steps'!$B65:$U65,'changes2_based on steps'!$B$1:$U$1,Q$1)</f>
        <v>5.5401662049861494E-2</v>
      </c>
      <c r="R65" s="140">
        <f ca="1">SUMIFS('recurring2_based on steps'!$B65:$AY65,'recurring2_based on steps'!$B$1:$AY$1,R$1)+SUMIFS('changes2_based on steps'!$B65:$U65,'changes2_based on steps'!$B$1:$U$1,R$1)</f>
        <v>0</v>
      </c>
      <c r="S65" s="140">
        <f>SUMIFS('recurring2_based on steps'!$B65:$AY65,'recurring2_based on steps'!$B$1:$AY$1,S$1)+SUMIFS('changes2_based on steps'!$B65:$U65,'changes2_based on steps'!$B$1:$U$1,S$1)</f>
        <v>0</v>
      </c>
      <c r="T65" s="140">
        <f ca="1">SUMIFS('recurring2_based on steps'!$B65:$AY65,'recurring2_based on steps'!$B$1:$AY$1,T$1)+SUMIFS('changes2_based on steps'!$B65:$U65,'changes2_based on steps'!$B$1:$U$1,T$1)</f>
        <v>0</v>
      </c>
      <c r="U65" s="140">
        <f ca="1">SUMIFS('recurring2_based on steps'!$B65:$AY65,'recurring2_based on steps'!$B$1:$AY$1,U$1)+SUMIFS('changes2_based on steps'!$B65:$U65,'changes2_based on steps'!$B$1:$U$1,U$1)</f>
        <v>0</v>
      </c>
      <c r="V65" s="140">
        <f>SUMIFS('recurring2_based on steps'!$B65:$AY65,'recurring2_based on steps'!$B$1:$AY$1,V$1)+SUMIFS('changes2_based on steps'!$B65:$U65,'changes2_based on steps'!$B$1:$U$1,V$1)</f>
        <v>0</v>
      </c>
      <c r="W65" s="140">
        <f>SUMIFS('recurring2_based on steps'!$B65:$AY65,'recurring2_based on steps'!$B$1:$AY$1,W$1)+SUMIFS('changes2_based on steps'!$B65:$U65,'changes2_based on steps'!$B$1:$U$1,W$1)</f>
        <v>0</v>
      </c>
      <c r="X65" s="140">
        <f ca="1">SUMIFS('recurring2_based on steps'!$B65:$AY65,'recurring2_based on steps'!$B$1:$AY$1,X$1)+SUMIFS('changes2_based on steps'!$B65:$U65,'changes2_based on steps'!$B$1:$U$1,X$1)</f>
        <v>0</v>
      </c>
      <c r="Y65" s="140">
        <f ca="1">SUMIFS('recurring2_based on steps'!$B65:$AY65,'recurring2_based on steps'!$B$1:$AY$1,Y$1)+SUMIFS('changes2_based on steps'!$B65:$U65,'changes2_based on steps'!$B$1:$U$1,Y$1)</f>
        <v>0</v>
      </c>
      <c r="Z65" s="140">
        <f>SUMIFS('recurring2_based on steps'!$B65:$AY65,'recurring2_based on steps'!$B$1:$AY$1,Z$1)+SUMIFS('changes2_based on steps'!$B65:$U65,'changes2_based on steps'!$B$1:$U$1,Z$1)</f>
        <v>0</v>
      </c>
      <c r="AA65" s="140">
        <f ca="1">SUMIFS('recurring2_based on steps'!$B65:$AY65,'recurring2_based on steps'!$B$1:$AY$1,AA$1)+SUMIFS('changes2_based on steps'!$B65:$U65,'changes2_based on steps'!$B$1:$U$1,AA$1)</f>
        <v>0</v>
      </c>
      <c r="AB65" s="140">
        <f ca="1">SUMIFS('recurring2_based on steps'!$B65:$AY65,'recurring2_based on steps'!$B$1:$AY$1,AB$1)+SUMIFS('changes2_based on steps'!$B65:$U65,'changes2_based on steps'!$B$1:$U$1,AB$1)</f>
        <v>0</v>
      </c>
      <c r="AC65" s="140">
        <f ca="1">SUMIFS('recurring2_based on steps'!$B65:$AY65,'recurring2_based on steps'!$B$1:$AY$1,AC$1)+SUMIFS('changes2_based on steps'!$B65:$U65,'changes2_based on steps'!$B$1:$U$1,AC$1)</f>
        <v>0</v>
      </c>
      <c r="AD65" s="140">
        <f ca="1">SUMIFS('recurring2_based on steps'!$B65:$AY65,'recurring2_based on steps'!$B$1:$AY$1,AD$1)+SUMIFS('changes2_based on steps'!$B65:$U65,'changes2_based on steps'!$B$1:$U$1,AD$1)</f>
        <v>0</v>
      </c>
      <c r="AE65" s="140">
        <f>SUMIFS('recurring2_based on steps'!$B65:$AY65,'recurring2_based on steps'!$B$1:$AY$1,AE$1)+SUMIFS('changes2_based on steps'!$B65:$U65,'changes2_based on steps'!$B$1:$U$1,AE$1)</f>
        <v>0</v>
      </c>
      <c r="AF65" s="140"/>
      <c r="AG65" s="140"/>
      <c r="AH65" s="140"/>
      <c r="AI65" s="140"/>
      <c r="AJ65" s="140"/>
      <c r="AK65" s="140"/>
      <c r="AL65" s="140"/>
      <c r="AM65" s="140"/>
    </row>
    <row r="66" spans="1:39" x14ac:dyDescent="0.2">
      <c r="A66" s="29">
        <f t="shared" ca="1" si="0"/>
        <v>45806</v>
      </c>
      <c r="B66" s="140">
        <f ca="1">SUMIFS('recurring2_based on steps'!$B66:$AY66,'recurring2_based on steps'!$B$1:$AY$1,B$1)+SUMIFS('changes2_based on steps'!$B66:$U66,'changes2_based on steps'!$B$1:$U$1,B$1)</f>
        <v>0</v>
      </c>
      <c r="C66" s="140">
        <f>SUMIFS('recurring2_based on steps'!$B66:$AY66,'recurring2_based on steps'!$B$1:$AY$1,C$1)+SUMIFS('changes2_based on steps'!$B66:$U66,'changes2_based on steps'!$B$1:$U$1,C$1)</f>
        <v>0</v>
      </c>
      <c r="D66" s="140">
        <f>SUMIFS('recurring2_based on steps'!$B66:$AY66,'recurring2_based on steps'!$B$1:$AY$1,D$1)+SUMIFS('changes2_based on steps'!$B66:$U66,'changes2_based on steps'!$B$1:$U$1,D$1)</f>
        <v>0</v>
      </c>
      <c r="E66" s="140">
        <f>SUMIFS('recurring2_based on steps'!$B66:$AY66,'recurring2_based on steps'!$B$1:$AY$1,E$1)+SUMIFS('changes2_based on steps'!$B66:$U66,'changes2_based on steps'!$B$1:$U$1,E$1)</f>
        <v>0</v>
      </c>
      <c r="F66" s="140">
        <f>SUMIFS('recurring2_based on steps'!$B66:$AY66,'recurring2_based on steps'!$B$1:$AY$1,F$1)+SUMIFS('changes2_based on steps'!$B66:$U66,'changes2_based on steps'!$B$1:$U$1,F$1)</f>
        <v>0</v>
      </c>
      <c r="G66" s="140">
        <f>SUMIFS('recurring2_based on steps'!$B66:$AY66,'recurring2_based on steps'!$B$1:$AY$1,G$1)+SUMIFS('changes2_based on steps'!$B66:$U66,'changes2_based on steps'!$B$1:$U$1,G$1)</f>
        <v>0</v>
      </c>
      <c r="H66" s="140">
        <f>SUMIFS('recurring2_based on steps'!$B66:$AY66,'recurring2_based on steps'!$B$1:$AY$1,H$1)+SUMIFS('changes2_based on steps'!$B66:$U66,'changes2_based on steps'!$B$1:$U$1,H$1)</f>
        <v>0</v>
      </c>
      <c r="I66" s="140">
        <f>SUMIFS('recurring2_based on steps'!$B66:$AY66,'recurring2_based on steps'!$B$1:$AY$1,I$1)+SUMIFS('changes2_based on steps'!$B66:$U66,'changes2_based on steps'!$B$1:$U$1,I$1)</f>
        <v>0</v>
      </c>
      <c r="J66" s="140">
        <f ca="1">SUMIFS('recurring2_based on steps'!$B66:$AY66,'recurring2_based on steps'!$B$1:$AY$1,J$1)+SUMIFS('changes2_based on steps'!$B66:$U66,'changes2_based on steps'!$B$1:$U$1,J$1)</f>
        <v>0</v>
      </c>
      <c r="K66" s="140">
        <f>SUMIFS('recurring2_based on steps'!$B66:$AY66,'recurring2_based on steps'!$B$1:$AY$1,K$1)+SUMIFS('changes2_based on steps'!$B66:$U66,'changes2_based on steps'!$B$1:$U$1,K$1)</f>
        <v>0</v>
      </c>
      <c r="L66" s="140">
        <f>SUMIFS('recurring2_based on steps'!$B66:$AY66,'recurring2_based on steps'!$B$1:$AY$1,L$1)+SUMIFS('changes2_based on steps'!$B66:$U66,'changes2_based on steps'!$B$1:$U$1,L$1)</f>
        <v>0</v>
      </c>
      <c r="M66" s="140">
        <f>SUMIFS('recurring2_based on steps'!$B66:$AY66,'recurring2_based on steps'!$B$1:$AY$1,M$1)+SUMIFS('changes2_based on steps'!$B66:$U66,'changes2_based on steps'!$B$1:$U$1,M$1)</f>
        <v>0</v>
      </c>
      <c r="N66" s="140">
        <f ca="1">SUMIFS('recurring2_based on steps'!$B66:$AY66,'recurring2_based on steps'!$B$1:$AY$1,N$1)+SUMIFS('changes2_based on steps'!$B66:$U66,'changes2_based on steps'!$B$1:$U$1,N$1)</f>
        <v>0</v>
      </c>
      <c r="O66" s="140">
        <f>SUMIFS('recurring2_based on steps'!$B66:$AY66,'recurring2_based on steps'!$B$1:$AY$1,O$1)+SUMIFS('changes2_based on steps'!$B66:$U66,'changes2_based on steps'!$B$1:$U$1,O$1)</f>
        <v>0</v>
      </c>
      <c r="P66" s="140">
        <f ca="1">SUMIFS('recurring2_based on steps'!$B66:$AY66,'recurring2_based on steps'!$B$1:$AY$1,P$1)+SUMIFS('changes2_based on steps'!$B66:$U66,'changes2_based on steps'!$B$1:$U$1,P$1)</f>
        <v>0</v>
      </c>
      <c r="Q66" s="140">
        <f ca="1">SUMIFS('recurring2_based on steps'!$B66:$AY66,'recurring2_based on steps'!$B$1:$AY$1,Q$1)+SUMIFS('changes2_based on steps'!$B66:$U66,'changes2_based on steps'!$B$1:$U$1,Q$1)</f>
        <v>5.5401662049861494E-2</v>
      </c>
      <c r="R66" s="140">
        <f ca="1">SUMIFS('recurring2_based on steps'!$B66:$AY66,'recurring2_based on steps'!$B$1:$AY$1,R$1)+SUMIFS('changes2_based on steps'!$B66:$U66,'changes2_based on steps'!$B$1:$U$1,R$1)</f>
        <v>0</v>
      </c>
      <c r="S66" s="140">
        <f>SUMIFS('recurring2_based on steps'!$B66:$AY66,'recurring2_based on steps'!$B$1:$AY$1,S$1)+SUMIFS('changes2_based on steps'!$B66:$U66,'changes2_based on steps'!$B$1:$U$1,S$1)</f>
        <v>0</v>
      </c>
      <c r="T66" s="140">
        <f ca="1">SUMIFS('recurring2_based on steps'!$B66:$AY66,'recurring2_based on steps'!$B$1:$AY$1,T$1)+SUMIFS('changes2_based on steps'!$B66:$U66,'changes2_based on steps'!$B$1:$U$1,T$1)</f>
        <v>0</v>
      </c>
      <c r="U66" s="140">
        <f ca="1">SUMIFS('recurring2_based on steps'!$B66:$AY66,'recurring2_based on steps'!$B$1:$AY$1,U$1)+SUMIFS('changes2_based on steps'!$B66:$U66,'changes2_based on steps'!$B$1:$U$1,U$1)</f>
        <v>0</v>
      </c>
      <c r="V66" s="140">
        <f>SUMIFS('recurring2_based on steps'!$B66:$AY66,'recurring2_based on steps'!$B$1:$AY$1,V$1)+SUMIFS('changes2_based on steps'!$B66:$U66,'changes2_based on steps'!$B$1:$U$1,V$1)</f>
        <v>0</v>
      </c>
      <c r="W66" s="140">
        <f>SUMIFS('recurring2_based on steps'!$B66:$AY66,'recurring2_based on steps'!$B$1:$AY$1,W$1)+SUMIFS('changes2_based on steps'!$B66:$U66,'changes2_based on steps'!$B$1:$U$1,W$1)</f>
        <v>0</v>
      </c>
      <c r="X66" s="140">
        <f ca="1">SUMIFS('recurring2_based on steps'!$B66:$AY66,'recurring2_based on steps'!$B$1:$AY$1,X$1)+SUMIFS('changes2_based on steps'!$B66:$U66,'changes2_based on steps'!$B$1:$U$1,X$1)</f>
        <v>0</v>
      </c>
      <c r="Y66" s="140">
        <f ca="1">SUMIFS('recurring2_based on steps'!$B66:$AY66,'recurring2_based on steps'!$B$1:$AY$1,Y$1)+SUMIFS('changes2_based on steps'!$B66:$U66,'changes2_based on steps'!$B$1:$U$1,Y$1)</f>
        <v>0</v>
      </c>
      <c r="Z66" s="140">
        <f>SUMIFS('recurring2_based on steps'!$B66:$AY66,'recurring2_based on steps'!$B$1:$AY$1,Z$1)+SUMIFS('changes2_based on steps'!$B66:$U66,'changes2_based on steps'!$B$1:$U$1,Z$1)</f>
        <v>0</v>
      </c>
      <c r="AA66" s="140">
        <f ca="1">SUMIFS('recurring2_based on steps'!$B66:$AY66,'recurring2_based on steps'!$B$1:$AY$1,AA$1)+SUMIFS('changes2_based on steps'!$B66:$U66,'changes2_based on steps'!$B$1:$U$1,AA$1)</f>
        <v>0</v>
      </c>
      <c r="AB66" s="140">
        <f ca="1">SUMIFS('recurring2_based on steps'!$B66:$AY66,'recurring2_based on steps'!$B$1:$AY$1,AB$1)+SUMIFS('changes2_based on steps'!$B66:$U66,'changes2_based on steps'!$B$1:$U$1,AB$1)</f>
        <v>0</v>
      </c>
      <c r="AC66" s="140">
        <f ca="1">SUMIFS('recurring2_based on steps'!$B66:$AY66,'recurring2_based on steps'!$B$1:$AY$1,AC$1)+SUMIFS('changes2_based on steps'!$B66:$U66,'changes2_based on steps'!$B$1:$U$1,AC$1)</f>
        <v>0</v>
      </c>
      <c r="AD66" s="140">
        <f ca="1">SUMIFS('recurring2_based on steps'!$B66:$AY66,'recurring2_based on steps'!$B$1:$AY$1,AD$1)+SUMIFS('changes2_based on steps'!$B66:$U66,'changes2_based on steps'!$B$1:$U$1,AD$1)</f>
        <v>0</v>
      </c>
      <c r="AE66" s="140">
        <f>SUMIFS('recurring2_based on steps'!$B66:$AY66,'recurring2_based on steps'!$B$1:$AY$1,AE$1)+SUMIFS('changes2_based on steps'!$B66:$U66,'changes2_based on steps'!$B$1:$U$1,AE$1)</f>
        <v>0</v>
      </c>
      <c r="AF66" s="140"/>
      <c r="AG66" s="140"/>
      <c r="AH66" s="140"/>
      <c r="AI66" s="140"/>
      <c r="AJ66" s="140"/>
      <c r="AK66" s="140"/>
      <c r="AL66" s="140"/>
      <c r="AM66" s="140"/>
    </row>
    <row r="67" spans="1:39" x14ac:dyDescent="0.2">
      <c r="A67" s="29">
        <f t="shared" ca="1" si="0"/>
        <v>45807</v>
      </c>
      <c r="B67" s="140">
        <f ca="1">SUMIFS('recurring2_based on steps'!$B67:$AY67,'recurring2_based on steps'!$B$1:$AY$1,B$1)+SUMIFS('changes2_based on steps'!$B67:$U67,'changes2_based on steps'!$B$1:$U$1,B$1)</f>
        <v>4000</v>
      </c>
      <c r="C67" s="140">
        <f>SUMIFS('recurring2_based on steps'!$B67:$AY67,'recurring2_based on steps'!$B$1:$AY$1,C$1)+SUMIFS('changes2_based on steps'!$B67:$U67,'changes2_based on steps'!$B$1:$U$1,C$1)</f>
        <v>0</v>
      </c>
      <c r="D67" s="140">
        <f>SUMIFS('recurring2_based on steps'!$B67:$AY67,'recurring2_based on steps'!$B$1:$AY$1,D$1)+SUMIFS('changes2_based on steps'!$B67:$U67,'changes2_based on steps'!$B$1:$U$1,D$1)</f>
        <v>0</v>
      </c>
      <c r="E67" s="140">
        <f>SUMIFS('recurring2_based on steps'!$B67:$AY67,'recurring2_based on steps'!$B$1:$AY$1,E$1)+SUMIFS('changes2_based on steps'!$B67:$U67,'changes2_based on steps'!$B$1:$U$1,E$1)</f>
        <v>0</v>
      </c>
      <c r="F67" s="140">
        <f>SUMIFS('recurring2_based on steps'!$B67:$AY67,'recurring2_based on steps'!$B$1:$AY$1,F$1)+SUMIFS('changes2_based on steps'!$B67:$U67,'changes2_based on steps'!$B$1:$U$1,F$1)</f>
        <v>0</v>
      </c>
      <c r="G67" s="140">
        <f>SUMIFS('recurring2_based on steps'!$B67:$AY67,'recurring2_based on steps'!$B$1:$AY$1,G$1)+SUMIFS('changes2_based on steps'!$B67:$U67,'changes2_based on steps'!$B$1:$U$1,G$1)</f>
        <v>0</v>
      </c>
      <c r="H67" s="140">
        <f>SUMIFS('recurring2_based on steps'!$B67:$AY67,'recurring2_based on steps'!$B$1:$AY$1,H$1)+SUMIFS('changes2_based on steps'!$B67:$U67,'changes2_based on steps'!$B$1:$U$1,H$1)</f>
        <v>0</v>
      </c>
      <c r="I67" s="140">
        <f>SUMIFS('recurring2_based on steps'!$B67:$AY67,'recurring2_based on steps'!$B$1:$AY$1,I$1)+SUMIFS('changes2_based on steps'!$B67:$U67,'changes2_based on steps'!$B$1:$U$1,I$1)</f>
        <v>0</v>
      </c>
      <c r="J67" s="140">
        <f ca="1">SUMIFS('recurring2_based on steps'!$B67:$AY67,'recurring2_based on steps'!$B$1:$AY$1,J$1)+SUMIFS('changes2_based on steps'!$B67:$U67,'changes2_based on steps'!$B$1:$U$1,J$1)</f>
        <v>0</v>
      </c>
      <c r="K67" s="140">
        <f>SUMIFS('recurring2_based on steps'!$B67:$AY67,'recurring2_based on steps'!$B$1:$AY$1,K$1)+SUMIFS('changes2_based on steps'!$B67:$U67,'changes2_based on steps'!$B$1:$U$1,K$1)</f>
        <v>0</v>
      </c>
      <c r="L67" s="140">
        <f>SUMIFS('recurring2_based on steps'!$B67:$AY67,'recurring2_based on steps'!$B$1:$AY$1,L$1)+SUMIFS('changes2_based on steps'!$B67:$U67,'changes2_based on steps'!$B$1:$U$1,L$1)</f>
        <v>0</v>
      </c>
      <c r="M67" s="140">
        <f>SUMIFS('recurring2_based on steps'!$B67:$AY67,'recurring2_based on steps'!$B$1:$AY$1,M$1)+SUMIFS('changes2_based on steps'!$B67:$U67,'changes2_based on steps'!$B$1:$U$1,M$1)</f>
        <v>0</v>
      </c>
      <c r="N67" s="140">
        <f ca="1">SUMIFS('recurring2_based on steps'!$B67:$AY67,'recurring2_based on steps'!$B$1:$AY$1,N$1)+SUMIFS('changes2_based on steps'!$B67:$U67,'changes2_based on steps'!$B$1:$U$1,N$1)</f>
        <v>0</v>
      </c>
      <c r="O67" s="140">
        <f>SUMIFS('recurring2_based on steps'!$B67:$AY67,'recurring2_based on steps'!$B$1:$AY$1,O$1)+SUMIFS('changes2_based on steps'!$B67:$U67,'changes2_based on steps'!$B$1:$U$1,O$1)</f>
        <v>0</v>
      </c>
      <c r="P67" s="140">
        <f ca="1">SUMIFS('recurring2_based on steps'!$B67:$AY67,'recurring2_based on steps'!$B$1:$AY$1,P$1)+SUMIFS('changes2_based on steps'!$B67:$U67,'changes2_based on steps'!$B$1:$U$1,P$1)</f>
        <v>0</v>
      </c>
      <c r="Q67" s="140">
        <f ca="1">SUMIFS('recurring2_based on steps'!$B67:$AY67,'recurring2_based on steps'!$B$1:$AY$1,Q$1)+SUMIFS('changes2_based on steps'!$B67:$U67,'changes2_based on steps'!$B$1:$U$1,Q$1)</f>
        <v>5.5401662049861494E-2</v>
      </c>
      <c r="R67" s="140">
        <f ca="1">SUMIFS('recurring2_based on steps'!$B67:$AY67,'recurring2_based on steps'!$B$1:$AY$1,R$1)+SUMIFS('changes2_based on steps'!$B67:$U67,'changes2_based on steps'!$B$1:$U$1,R$1)</f>
        <v>0</v>
      </c>
      <c r="S67" s="140">
        <f>SUMIFS('recurring2_based on steps'!$B67:$AY67,'recurring2_based on steps'!$B$1:$AY$1,S$1)+SUMIFS('changes2_based on steps'!$B67:$U67,'changes2_based on steps'!$B$1:$U$1,S$1)</f>
        <v>0</v>
      </c>
      <c r="T67" s="140">
        <f ca="1">SUMIFS('recurring2_based on steps'!$B67:$AY67,'recurring2_based on steps'!$B$1:$AY$1,T$1)+SUMIFS('changes2_based on steps'!$B67:$U67,'changes2_based on steps'!$B$1:$U$1,T$1)</f>
        <v>50</v>
      </c>
      <c r="U67" s="140">
        <f ca="1">SUMIFS('recurring2_based on steps'!$B67:$AY67,'recurring2_based on steps'!$B$1:$AY$1,U$1)+SUMIFS('changes2_based on steps'!$B67:$U67,'changes2_based on steps'!$B$1:$U$1,U$1)</f>
        <v>200</v>
      </c>
      <c r="V67" s="140">
        <f>SUMIFS('recurring2_based on steps'!$B67:$AY67,'recurring2_based on steps'!$B$1:$AY$1,V$1)+SUMIFS('changes2_based on steps'!$B67:$U67,'changes2_based on steps'!$B$1:$U$1,V$1)</f>
        <v>0</v>
      </c>
      <c r="W67" s="140">
        <f>SUMIFS('recurring2_based on steps'!$B67:$AY67,'recurring2_based on steps'!$B$1:$AY$1,W$1)+SUMIFS('changes2_based on steps'!$B67:$U67,'changes2_based on steps'!$B$1:$U$1,W$1)</f>
        <v>0</v>
      </c>
      <c r="X67" s="140">
        <f ca="1">SUMIFS('recurring2_based on steps'!$B67:$AY67,'recurring2_based on steps'!$B$1:$AY$1,X$1)+SUMIFS('changes2_based on steps'!$B67:$U67,'changes2_based on steps'!$B$1:$U$1,X$1)</f>
        <v>96</v>
      </c>
      <c r="Y67" s="140">
        <f ca="1">SUMIFS('recurring2_based on steps'!$B67:$AY67,'recurring2_based on steps'!$B$1:$AY$1,Y$1)+SUMIFS('changes2_based on steps'!$B67:$U67,'changes2_based on steps'!$B$1:$U$1,Y$1)</f>
        <v>0</v>
      </c>
      <c r="Z67" s="140">
        <f>SUMIFS('recurring2_based on steps'!$B67:$AY67,'recurring2_based on steps'!$B$1:$AY$1,Z$1)+SUMIFS('changes2_based on steps'!$B67:$U67,'changes2_based on steps'!$B$1:$U$1,Z$1)</f>
        <v>0</v>
      </c>
      <c r="AA67" s="140">
        <f ca="1">SUMIFS('recurring2_based on steps'!$B67:$AY67,'recurring2_based on steps'!$B$1:$AY$1,AA$1)+SUMIFS('changes2_based on steps'!$B67:$U67,'changes2_based on steps'!$B$1:$U$1,AA$1)</f>
        <v>0</v>
      </c>
      <c r="AB67" s="140">
        <f ca="1">SUMIFS('recurring2_based on steps'!$B67:$AY67,'recurring2_based on steps'!$B$1:$AY$1,AB$1)+SUMIFS('changes2_based on steps'!$B67:$U67,'changes2_based on steps'!$B$1:$U$1,AB$1)</f>
        <v>0</v>
      </c>
      <c r="AC67" s="140">
        <f ca="1">SUMIFS('recurring2_based on steps'!$B67:$AY67,'recurring2_based on steps'!$B$1:$AY$1,AC$1)+SUMIFS('changes2_based on steps'!$B67:$U67,'changes2_based on steps'!$B$1:$U$1,AC$1)</f>
        <v>0</v>
      </c>
      <c r="AD67" s="140">
        <f ca="1">SUMIFS('recurring2_based on steps'!$B67:$AY67,'recurring2_based on steps'!$B$1:$AY$1,AD$1)+SUMIFS('changes2_based on steps'!$B67:$U67,'changes2_based on steps'!$B$1:$U$1,AD$1)</f>
        <v>50</v>
      </c>
      <c r="AE67" s="140">
        <f>SUMIFS('recurring2_based on steps'!$B67:$AY67,'recurring2_based on steps'!$B$1:$AY$1,AE$1)+SUMIFS('changes2_based on steps'!$B67:$U67,'changes2_based on steps'!$B$1:$U$1,AE$1)</f>
        <v>0</v>
      </c>
      <c r="AF67" s="140"/>
      <c r="AG67" s="140"/>
      <c r="AH67" s="140"/>
      <c r="AI67" s="140"/>
      <c r="AJ67" s="140"/>
      <c r="AK67" s="140"/>
      <c r="AL67" s="140"/>
      <c r="AM67" s="140"/>
    </row>
    <row r="68" spans="1:39" x14ac:dyDescent="0.2">
      <c r="A68" s="29">
        <f t="shared" ca="1" si="0"/>
        <v>45808</v>
      </c>
      <c r="B68" s="140">
        <f ca="1">SUMIFS('recurring2_based on steps'!$B68:$AY68,'recurring2_based on steps'!$B$1:$AY$1,B$1)+SUMIFS('changes2_based on steps'!$B68:$U68,'changes2_based on steps'!$B$1:$U$1,B$1)</f>
        <v>0</v>
      </c>
      <c r="C68" s="140">
        <f>SUMIFS('recurring2_based on steps'!$B68:$AY68,'recurring2_based on steps'!$B$1:$AY$1,C$1)+SUMIFS('changes2_based on steps'!$B68:$U68,'changes2_based on steps'!$B$1:$U$1,C$1)</f>
        <v>0</v>
      </c>
      <c r="D68" s="140">
        <f>SUMIFS('recurring2_based on steps'!$B68:$AY68,'recurring2_based on steps'!$B$1:$AY$1,D$1)+SUMIFS('changes2_based on steps'!$B68:$U68,'changes2_based on steps'!$B$1:$U$1,D$1)</f>
        <v>0</v>
      </c>
      <c r="E68" s="140">
        <f>SUMIFS('recurring2_based on steps'!$B68:$AY68,'recurring2_based on steps'!$B$1:$AY$1,E$1)+SUMIFS('changes2_based on steps'!$B68:$U68,'changes2_based on steps'!$B$1:$U$1,E$1)</f>
        <v>0</v>
      </c>
      <c r="F68" s="140">
        <f>SUMIFS('recurring2_based on steps'!$B68:$AY68,'recurring2_based on steps'!$B$1:$AY$1,F$1)+SUMIFS('changes2_based on steps'!$B68:$U68,'changes2_based on steps'!$B$1:$U$1,F$1)</f>
        <v>0</v>
      </c>
      <c r="G68" s="140">
        <f>SUMIFS('recurring2_based on steps'!$B68:$AY68,'recurring2_based on steps'!$B$1:$AY$1,G$1)+SUMIFS('changes2_based on steps'!$B68:$U68,'changes2_based on steps'!$B$1:$U$1,G$1)</f>
        <v>0</v>
      </c>
      <c r="H68" s="140">
        <f>SUMIFS('recurring2_based on steps'!$B68:$AY68,'recurring2_based on steps'!$B$1:$AY$1,H$1)+SUMIFS('changes2_based on steps'!$B68:$U68,'changes2_based on steps'!$B$1:$U$1,H$1)</f>
        <v>0</v>
      </c>
      <c r="I68" s="140">
        <f>SUMIFS('recurring2_based on steps'!$B68:$AY68,'recurring2_based on steps'!$B$1:$AY$1,I$1)+SUMIFS('changes2_based on steps'!$B68:$U68,'changes2_based on steps'!$B$1:$U$1,I$1)</f>
        <v>0</v>
      </c>
      <c r="J68" s="140">
        <f ca="1">SUMIFS('recurring2_based on steps'!$B68:$AY68,'recurring2_based on steps'!$B$1:$AY$1,J$1)+SUMIFS('changes2_based on steps'!$B68:$U68,'changes2_based on steps'!$B$1:$U$1,J$1)</f>
        <v>100</v>
      </c>
      <c r="K68" s="140">
        <f>SUMIFS('recurring2_based on steps'!$B68:$AY68,'recurring2_based on steps'!$B$1:$AY$1,K$1)+SUMIFS('changes2_based on steps'!$B68:$U68,'changes2_based on steps'!$B$1:$U$1,K$1)</f>
        <v>0</v>
      </c>
      <c r="L68" s="140">
        <f>SUMIFS('recurring2_based on steps'!$B68:$AY68,'recurring2_based on steps'!$B$1:$AY$1,L$1)+SUMIFS('changes2_based on steps'!$B68:$U68,'changes2_based on steps'!$B$1:$U$1,L$1)</f>
        <v>0</v>
      </c>
      <c r="M68" s="140">
        <f>SUMIFS('recurring2_based on steps'!$B68:$AY68,'recurring2_based on steps'!$B$1:$AY$1,M$1)+SUMIFS('changes2_based on steps'!$B68:$U68,'changes2_based on steps'!$B$1:$U$1,M$1)</f>
        <v>0</v>
      </c>
      <c r="N68" s="140">
        <f ca="1">SUMIFS('recurring2_based on steps'!$B68:$AY68,'recurring2_based on steps'!$B$1:$AY$1,N$1)+SUMIFS('changes2_based on steps'!$B68:$U68,'changes2_based on steps'!$B$1:$U$1,N$1)</f>
        <v>40</v>
      </c>
      <c r="O68" s="140">
        <f>SUMIFS('recurring2_based on steps'!$B68:$AY68,'recurring2_based on steps'!$B$1:$AY$1,O$1)+SUMIFS('changes2_based on steps'!$B68:$U68,'changes2_based on steps'!$B$1:$U$1,O$1)</f>
        <v>0</v>
      </c>
      <c r="P68" s="140">
        <f ca="1">SUMIFS('recurring2_based on steps'!$B68:$AY68,'recurring2_based on steps'!$B$1:$AY$1,P$1)+SUMIFS('changes2_based on steps'!$B68:$U68,'changes2_based on steps'!$B$1:$U$1,P$1)</f>
        <v>0</v>
      </c>
      <c r="Q68" s="140">
        <f ca="1">SUMIFS('recurring2_based on steps'!$B68:$AY68,'recurring2_based on steps'!$B$1:$AY$1,Q$1)+SUMIFS('changes2_based on steps'!$B68:$U68,'changes2_based on steps'!$B$1:$U$1,Q$1)</f>
        <v>100.05540166204986</v>
      </c>
      <c r="R68" s="140">
        <f ca="1">SUMIFS('recurring2_based on steps'!$B68:$AY68,'recurring2_based on steps'!$B$1:$AY$1,R$1)+SUMIFS('changes2_based on steps'!$B68:$U68,'changes2_based on steps'!$B$1:$U$1,R$1)</f>
        <v>0</v>
      </c>
      <c r="S68" s="140">
        <f>SUMIFS('recurring2_based on steps'!$B68:$AY68,'recurring2_based on steps'!$B$1:$AY$1,S$1)+SUMIFS('changes2_based on steps'!$B68:$U68,'changes2_based on steps'!$B$1:$U$1,S$1)</f>
        <v>0</v>
      </c>
      <c r="T68" s="140">
        <f ca="1">SUMIFS('recurring2_based on steps'!$B68:$AY68,'recurring2_based on steps'!$B$1:$AY$1,T$1)+SUMIFS('changes2_based on steps'!$B68:$U68,'changes2_based on steps'!$B$1:$U$1,T$1)</f>
        <v>0</v>
      </c>
      <c r="U68" s="140">
        <f ca="1">SUMIFS('recurring2_based on steps'!$B68:$AY68,'recurring2_based on steps'!$B$1:$AY$1,U$1)+SUMIFS('changes2_based on steps'!$B68:$U68,'changes2_based on steps'!$B$1:$U$1,U$1)</f>
        <v>0</v>
      </c>
      <c r="V68" s="140">
        <f>SUMIFS('recurring2_based on steps'!$B68:$AY68,'recurring2_based on steps'!$B$1:$AY$1,V$1)+SUMIFS('changes2_based on steps'!$B68:$U68,'changes2_based on steps'!$B$1:$U$1,V$1)</f>
        <v>0</v>
      </c>
      <c r="W68" s="140">
        <f>SUMIFS('recurring2_based on steps'!$B68:$AY68,'recurring2_based on steps'!$B$1:$AY$1,W$1)+SUMIFS('changes2_based on steps'!$B68:$U68,'changes2_based on steps'!$B$1:$U$1,W$1)</f>
        <v>0</v>
      </c>
      <c r="X68" s="140">
        <f ca="1">SUMIFS('recurring2_based on steps'!$B68:$AY68,'recurring2_based on steps'!$B$1:$AY$1,X$1)+SUMIFS('changes2_based on steps'!$B68:$U68,'changes2_based on steps'!$B$1:$U$1,X$1)</f>
        <v>0</v>
      </c>
      <c r="Y68" s="140">
        <f ca="1">SUMIFS('recurring2_based on steps'!$B68:$AY68,'recurring2_based on steps'!$B$1:$AY$1,Y$1)+SUMIFS('changes2_based on steps'!$B68:$U68,'changes2_based on steps'!$B$1:$U$1,Y$1)</f>
        <v>0</v>
      </c>
      <c r="Z68" s="140">
        <f>SUMIFS('recurring2_based on steps'!$B68:$AY68,'recurring2_based on steps'!$B$1:$AY$1,Z$1)+SUMIFS('changes2_based on steps'!$B68:$U68,'changes2_based on steps'!$B$1:$U$1,Z$1)</f>
        <v>0</v>
      </c>
      <c r="AA68" s="140">
        <f ca="1">SUMIFS('recurring2_based on steps'!$B68:$AY68,'recurring2_based on steps'!$B$1:$AY$1,AA$1)+SUMIFS('changes2_based on steps'!$B68:$U68,'changes2_based on steps'!$B$1:$U$1,AA$1)</f>
        <v>0</v>
      </c>
      <c r="AB68" s="140">
        <f ca="1">SUMIFS('recurring2_based on steps'!$B68:$AY68,'recurring2_based on steps'!$B$1:$AY$1,AB$1)+SUMIFS('changes2_based on steps'!$B68:$U68,'changes2_based on steps'!$B$1:$U$1,AB$1)</f>
        <v>100</v>
      </c>
      <c r="AC68" s="140">
        <f ca="1">SUMIFS('recurring2_based on steps'!$B68:$AY68,'recurring2_based on steps'!$B$1:$AY$1,AC$1)+SUMIFS('changes2_based on steps'!$B68:$U68,'changes2_based on steps'!$B$1:$U$1,AC$1)</f>
        <v>0</v>
      </c>
      <c r="AD68" s="140">
        <f ca="1">SUMIFS('recurring2_based on steps'!$B68:$AY68,'recurring2_based on steps'!$B$1:$AY$1,AD$1)+SUMIFS('changes2_based on steps'!$B68:$U68,'changes2_based on steps'!$B$1:$U$1,AD$1)</f>
        <v>0</v>
      </c>
      <c r="AE68" s="140">
        <f>SUMIFS('recurring2_based on steps'!$B68:$AY68,'recurring2_based on steps'!$B$1:$AY$1,AE$1)+SUMIFS('changes2_based on steps'!$B68:$U68,'changes2_based on steps'!$B$1:$U$1,AE$1)</f>
        <v>0</v>
      </c>
      <c r="AF68" s="140"/>
      <c r="AG68" s="140"/>
      <c r="AH68" s="140"/>
      <c r="AI68" s="140"/>
      <c r="AJ68" s="140"/>
      <c r="AK68" s="140"/>
      <c r="AL68" s="140"/>
      <c r="AM68" s="140"/>
    </row>
    <row r="69" spans="1:39" x14ac:dyDescent="0.2">
      <c r="A69" s="29">
        <f t="shared" ref="A69:A132" ca="1" si="1">A68+1</f>
        <v>45809</v>
      </c>
      <c r="B69" s="140">
        <f ca="1">SUMIFS('recurring2_based on steps'!$B69:$AY69,'recurring2_based on steps'!$B$1:$AY$1,B$1)+SUMIFS('changes2_based on steps'!$B69:$U69,'changes2_based on steps'!$B$1:$U$1,B$1)</f>
        <v>0</v>
      </c>
      <c r="C69" s="140">
        <f>SUMIFS('recurring2_based on steps'!$B69:$AY69,'recurring2_based on steps'!$B$1:$AY$1,C$1)+SUMIFS('changes2_based on steps'!$B69:$U69,'changes2_based on steps'!$B$1:$U$1,C$1)</f>
        <v>0</v>
      </c>
      <c r="D69" s="140">
        <f>SUMIFS('recurring2_based on steps'!$B69:$AY69,'recurring2_based on steps'!$B$1:$AY$1,D$1)+SUMIFS('changes2_based on steps'!$B69:$U69,'changes2_based on steps'!$B$1:$U$1,D$1)</f>
        <v>0</v>
      </c>
      <c r="E69" s="140">
        <f>SUMIFS('recurring2_based on steps'!$B69:$AY69,'recurring2_based on steps'!$B$1:$AY$1,E$1)+SUMIFS('changes2_based on steps'!$B69:$U69,'changes2_based on steps'!$B$1:$U$1,E$1)</f>
        <v>0</v>
      </c>
      <c r="F69" s="140">
        <f>SUMIFS('recurring2_based on steps'!$B69:$AY69,'recurring2_based on steps'!$B$1:$AY$1,F$1)+SUMIFS('changes2_based on steps'!$B69:$U69,'changes2_based on steps'!$B$1:$U$1,F$1)</f>
        <v>0</v>
      </c>
      <c r="G69" s="140">
        <f>SUMIFS('recurring2_based on steps'!$B69:$AY69,'recurring2_based on steps'!$B$1:$AY$1,G$1)+SUMIFS('changes2_based on steps'!$B69:$U69,'changes2_based on steps'!$B$1:$U$1,G$1)</f>
        <v>0</v>
      </c>
      <c r="H69" s="140">
        <f>SUMIFS('recurring2_based on steps'!$B69:$AY69,'recurring2_based on steps'!$B$1:$AY$1,H$1)+SUMIFS('changes2_based on steps'!$B69:$U69,'changes2_based on steps'!$B$1:$U$1,H$1)</f>
        <v>0</v>
      </c>
      <c r="I69" s="140">
        <f>SUMIFS('recurring2_based on steps'!$B69:$AY69,'recurring2_based on steps'!$B$1:$AY$1,I$1)+SUMIFS('changes2_based on steps'!$B69:$U69,'changes2_based on steps'!$B$1:$U$1,I$1)</f>
        <v>0</v>
      </c>
      <c r="J69" s="140">
        <f ca="1">SUMIFS('recurring2_based on steps'!$B69:$AY69,'recurring2_based on steps'!$B$1:$AY$1,J$1)+SUMIFS('changes2_based on steps'!$B69:$U69,'changes2_based on steps'!$B$1:$U$1,J$1)</f>
        <v>0</v>
      </c>
      <c r="K69" s="140">
        <f>SUMIFS('recurring2_based on steps'!$B69:$AY69,'recurring2_based on steps'!$B$1:$AY$1,K$1)+SUMIFS('changes2_based on steps'!$B69:$U69,'changes2_based on steps'!$B$1:$U$1,K$1)</f>
        <v>0</v>
      </c>
      <c r="L69" s="140">
        <f>SUMIFS('recurring2_based on steps'!$B69:$AY69,'recurring2_based on steps'!$B$1:$AY$1,L$1)+SUMIFS('changes2_based on steps'!$B69:$U69,'changes2_based on steps'!$B$1:$U$1,L$1)</f>
        <v>0</v>
      </c>
      <c r="M69" s="140">
        <f>SUMIFS('recurring2_based on steps'!$B69:$AY69,'recurring2_based on steps'!$B$1:$AY$1,M$1)+SUMIFS('changes2_based on steps'!$B69:$U69,'changes2_based on steps'!$B$1:$U$1,M$1)</f>
        <v>0</v>
      </c>
      <c r="N69" s="140">
        <f ca="1">SUMIFS('recurring2_based on steps'!$B69:$AY69,'recurring2_based on steps'!$B$1:$AY$1,N$1)+SUMIFS('changes2_based on steps'!$B69:$U69,'changes2_based on steps'!$B$1:$U$1,N$1)</f>
        <v>2000</v>
      </c>
      <c r="O69" s="140">
        <f>SUMIFS('recurring2_based on steps'!$B69:$AY69,'recurring2_based on steps'!$B$1:$AY$1,O$1)+SUMIFS('changes2_based on steps'!$B69:$U69,'changes2_based on steps'!$B$1:$U$1,O$1)</f>
        <v>0</v>
      </c>
      <c r="P69" s="140">
        <f ca="1">SUMIFS('recurring2_based on steps'!$B69:$AY69,'recurring2_based on steps'!$B$1:$AY$1,P$1)+SUMIFS('changes2_based on steps'!$B69:$U69,'changes2_based on steps'!$B$1:$U$1,P$1)</f>
        <v>0</v>
      </c>
      <c r="Q69" s="140">
        <f ca="1">SUMIFS('recurring2_based on steps'!$B69:$AY69,'recurring2_based on steps'!$B$1:$AY$1,Q$1)+SUMIFS('changes2_based on steps'!$B69:$U69,'changes2_based on steps'!$B$1:$U$1,Q$1)</f>
        <v>100.05540166204986</v>
      </c>
      <c r="R69" s="140">
        <f ca="1">SUMIFS('recurring2_based on steps'!$B69:$AY69,'recurring2_based on steps'!$B$1:$AY$1,R$1)+SUMIFS('changes2_based on steps'!$B69:$U69,'changes2_based on steps'!$B$1:$U$1,R$1)</f>
        <v>0</v>
      </c>
      <c r="S69" s="140">
        <f>SUMIFS('recurring2_based on steps'!$B69:$AY69,'recurring2_based on steps'!$B$1:$AY$1,S$1)+SUMIFS('changes2_based on steps'!$B69:$U69,'changes2_based on steps'!$B$1:$U$1,S$1)</f>
        <v>0</v>
      </c>
      <c r="T69" s="140">
        <f ca="1">SUMIFS('recurring2_based on steps'!$B69:$AY69,'recurring2_based on steps'!$B$1:$AY$1,T$1)+SUMIFS('changes2_based on steps'!$B69:$U69,'changes2_based on steps'!$B$1:$U$1,T$1)</f>
        <v>0</v>
      </c>
      <c r="U69" s="140">
        <f ca="1">SUMIFS('recurring2_based on steps'!$B69:$AY69,'recurring2_based on steps'!$B$1:$AY$1,U$1)+SUMIFS('changes2_based on steps'!$B69:$U69,'changes2_based on steps'!$B$1:$U$1,U$1)</f>
        <v>0</v>
      </c>
      <c r="V69" s="140">
        <f>SUMIFS('recurring2_based on steps'!$B69:$AY69,'recurring2_based on steps'!$B$1:$AY$1,V$1)+SUMIFS('changes2_based on steps'!$B69:$U69,'changes2_based on steps'!$B$1:$U$1,V$1)</f>
        <v>0</v>
      </c>
      <c r="W69" s="140">
        <f>SUMIFS('recurring2_based on steps'!$B69:$AY69,'recurring2_based on steps'!$B$1:$AY$1,W$1)+SUMIFS('changes2_based on steps'!$B69:$U69,'changes2_based on steps'!$B$1:$U$1,W$1)</f>
        <v>0</v>
      </c>
      <c r="X69" s="140">
        <f ca="1">SUMIFS('recurring2_based on steps'!$B69:$AY69,'recurring2_based on steps'!$B$1:$AY$1,X$1)+SUMIFS('changes2_based on steps'!$B69:$U69,'changes2_based on steps'!$B$1:$U$1,X$1)</f>
        <v>0</v>
      </c>
      <c r="Y69" s="140">
        <f ca="1">SUMIFS('recurring2_based on steps'!$B69:$AY69,'recurring2_based on steps'!$B$1:$AY$1,Y$1)+SUMIFS('changes2_based on steps'!$B69:$U69,'changes2_based on steps'!$B$1:$U$1,Y$1)</f>
        <v>50</v>
      </c>
      <c r="Z69" s="140">
        <f>SUMIFS('recurring2_based on steps'!$B69:$AY69,'recurring2_based on steps'!$B$1:$AY$1,Z$1)+SUMIFS('changes2_based on steps'!$B69:$U69,'changes2_based on steps'!$B$1:$U$1,Z$1)</f>
        <v>0</v>
      </c>
      <c r="AA69" s="140">
        <f ca="1">SUMIFS('recurring2_based on steps'!$B69:$AY69,'recurring2_based on steps'!$B$1:$AY$1,AA$1)+SUMIFS('changes2_based on steps'!$B69:$U69,'changes2_based on steps'!$B$1:$U$1,AA$1)</f>
        <v>0</v>
      </c>
      <c r="AB69" s="140">
        <f ca="1">SUMIFS('recurring2_based on steps'!$B69:$AY69,'recurring2_based on steps'!$B$1:$AY$1,AB$1)+SUMIFS('changes2_based on steps'!$B69:$U69,'changes2_based on steps'!$B$1:$U$1,AB$1)</f>
        <v>0</v>
      </c>
      <c r="AC69" s="140">
        <f ca="1">SUMIFS('recurring2_based on steps'!$B69:$AY69,'recurring2_based on steps'!$B$1:$AY$1,AC$1)+SUMIFS('changes2_based on steps'!$B69:$U69,'changes2_based on steps'!$B$1:$U$1,AC$1)</f>
        <v>0</v>
      </c>
      <c r="AD69" s="140">
        <f ca="1">SUMIFS('recurring2_based on steps'!$B69:$AY69,'recurring2_based on steps'!$B$1:$AY$1,AD$1)+SUMIFS('changes2_based on steps'!$B69:$U69,'changes2_based on steps'!$B$1:$U$1,AD$1)</f>
        <v>0</v>
      </c>
      <c r="AE69" s="140">
        <f>SUMIFS('recurring2_based on steps'!$B69:$AY69,'recurring2_based on steps'!$B$1:$AY$1,AE$1)+SUMIFS('changes2_based on steps'!$B69:$U69,'changes2_based on steps'!$B$1:$U$1,AE$1)</f>
        <v>0</v>
      </c>
      <c r="AF69" s="140"/>
      <c r="AG69" s="140"/>
      <c r="AH69" s="140"/>
      <c r="AI69" s="140"/>
      <c r="AJ69" s="140"/>
      <c r="AK69" s="140"/>
      <c r="AL69" s="140"/>
      <c r="AM69" s="140"/>
    </row>
    <row r="70" spans="1:39" x14ac:dyDescent="0.2">
      <c r="A70" s="29">
        <f t="shared" ca="1" si="1"/>
        <v>45810</v>
      </c>
      <c r="B70" s="140">
        <f ca="1">SUMIFS('recurring2_based on steps'!$B70:$AY70,'recurring2_based on steps'!$B$1:$AY$1,B$1)+SUMIFS('changes2_based on steps'!$B70:$U70,'changes2_based on steps'!$B$1:$U$1,B$1)</f>
        <v>0</v>
      </c>
      <c r="C70" s="140">
        <f>SUMIFS('recurring2_based on steps'!$B70:$AY70,'recurring2_based on steps'!$B$1:$AY$1,C$1)+SUMIFS('changes2_based on steps'!$B70:$U70,'changes2_based on steps'!$B$1:$U$1,C$1)</f>
        <v>0</v>
      </c>
      <c r="D70" s="140">
        <f>SUMIFS('recurring2_based on steps'!$B70:$AY70,'recurring2_based on steps'!$B$1:$AY$1,D$1)+SUMIFS('changes2_based on steps'!$B70:$U70,'changes2_based on steps'!$B$1:$U$1,D$1)</f>
        <v>0</v>
      </c>
      <c r="E70" s="140">
        <f>SUMIFS('recurring2_based on steps'!$B70:$AY70,'recurring2_based on steps'!$B$1:$AY$1,E$1)+SUMIFS('changes2_based on steps'!$B70:$U70,'changes2_based on steps'!$B$1:$U$1,E$1)</f>
        <v>0</v>
      </c>
      <c r="F70" s="140">
        <f>SUMIFS('recurring2_based on steps'!$B70:$AY70,'recurring2_based on steps'!$B$1:$AY$1,F$1)+SUMIFS('changes2_based on steps'!$B70:$U70,'changes2_based on steps'!$B$1:$U$1,F$1)</f>
        <v>0</v>
      </c>
      <c r="G70" s="140">
        <f>SUMIFS('recurring2_based on steps'!$B70:$AY70,'recurring2_based on steps'!$B$1:$AY$1,G$1)+SUMIFS('changes2_based on steps'!$B70:$U70,'changes2_based on steps'!$B$1:$U$1,G$1)</f>
        <v>0</v>
      </c>
      <c r="H70" s="140">
        <f>SUMIFS('recurring2_based on steps'!$B70:$AY70,'recurring2_based on steps'!$B$1:$AY$1,H$1)+SUMIFS('changes2_based on steps'!$B70:$U70,'changes2_based on steps'!$B$1:$U$1,H$1)</f>
        <v>0</v>
      </c>
      <c r="I70" s="140">
        <f>SUMIFS('recurring2_based on steps'!$B70:$AY70,'recurring2_based on steps'!$B$1:$AY$1,I$1)+SUMIFS('changes2_based on steps'!$B70:$U70,'changes2_based on steps'!$B$1:$U$1,I$1)</f>
        <v>0</v>
      </c>
      <c r="J70" s="140">
        <f ca="1">SUMIFS('recurring2_based on steps'!$B70:$AY70,'recurring2_based on steps'!$B$1:$AY$1,J$1)+SUMIFS('changes2_based on steps'!$B70:$U70,'changes2_based on steps'!$B$1:$U$1,J$1)</f>
        <v>0</v>
      </c>
      <c r="K70" s="140">
        <f>SUMIFS('recurring2_based on steps'!$B70:$AY70,'recurring2_based on steps'!$B$1:$AY$1,K$1)+SUMIFS('changes2_based on steps'!$B70:$U70,'changes2_based on steps'!$B$1:$U$1,K$1)</f>
        <v>0</v>
      </c>
      <c r="L70" s="140">
        <f>SUMIFS('recurring2_based on steps'!$B70:$AY70,'recurring2_based on steps'!$B$1:$AY$1,L$1)+SUMIFS('changes2_based on steps'!$B70:$U70,'changes2_based on steps'!$B$1:$U$1,L$1)</f>
        <v>0</v>
      </c>
      <c r="M70" s="140">
        <f>SUMIFS('recurring2_based on steps'!$B70:$AY70,'recurring2_based on steps'!$B$1:$AY$1,M$1)+SUMIFS('changes2_based on steps'!$B70:$U70,'changes2_based on steps'!$B$1:$U$1,M$1)</f>
        <v>0</v>
      </c>
      <c r="N70" s="140">
        <f ca="1">SUMIFS('recurring2_based on steps'!$B70:$AY70,'recurring2_based on steps'!$B$1:$AY$1,N$1)+SUMIFS('changes2_based on steps'!$B70:$U70,'changes2_based on steps'!$B$1:$U$1,N$1)</f>
        <v>0</v>
      </c>
      <c r="O70" s="140">
        <f>SUMIFS('recurring2_based on steps'!$B70:$AY70,'recurring2_based on steps'!$B$1:$AY$1,O$1)+SUMIFS('changes2_based on steps'!$B70:$U70,'changes2_based on steps'!$B$1:$U$1,O$1)</f>
        <v>0</v>
      </c>
      <c r="P70" s="140">
        <f ca="1">SUMIFS('recurring2_based on steps'!$B70:$AY70,'recurring2_based on steps'!$B$1:$AY$1,P$1)+SUMIFS('changes2_based on steps'!$B70:$U70,'changes2_based on steps'!$B$1:$U$1,P$1)</f>
        <v>0</v>
      </c>
      <c r="Q70" s="140">
        <f ca="1">SUMIFS('recurring2_based on steps'!$B70:$AY70,'recurring2_based on steps'!$B$1:$AY$1,Q$1)+SUMIFS('changes2_based on steps'!$B70:$U70,'changes2_based on steps'!$B$1:$U$1,Q$1)</f>
        <v>5.5401662049861494E-2</v>
      </c>
      <c r="R70" s="140">
        <f ca="1">SUMIFS('recurring2_based on steps'!$B70:$AY70,'recurring2_based on steps'!$B$1:$AY$1,R$1)+SUMIFS('changes2_based on steps'!$B70:$U70,'changes2_based on steps'!$B$1:$U$1,R$1)</f>
        <v>0</v>
      </c>
      <c r="S70" s="140">
        <f>SUMIFS('recurring2_based on steps'!$B70:$AY70,'recurring2_based on steps'!$B$1:$AY$1,S$1)+SUMIFS('changes2_based on steps'!$B70:$U70,'changes2_based on steps'!$B$1:$U$1,S$1)</f>
        <v>0</v>
      </c>
      <c r="T70" s="140">
        <f ca="1">SUMIFS('recurring2_based on steps'!$B70:$AY70,'recurring2_based on steps'!$B$1:$AY$1,T$1)+SUMIFS('changes2_based on steps'!$B70:$U70,'changes2_based on steps'!$B$1:$U$1,T$1)</f>
        <v>0</v>
      </c>
      <c r="U70" s="140">
        <f ca="1">SUMIFS('recurring2_based on steps'!$B70:$AY70,'recurring2_based on steps'!$B$1:$AY$1,U$1)+SUMIFS('changes2_based on steps'!$B70:$U70,'changes2_based on steps'!$B$1:$U$1,U$1)</f>
        <v>0</v>
      </c>
      <c r="V70" s="140">
        <f>SUMIFS('recurring2_based on steps'!$B70:$AY70,'recurring2_based on steps'!$B$1:$AY$1,V$1)+SUMIFS('changes2_based on steps'!$B70:$U70,'changes2_based on steps'!$B$1:$U$1,V$1)</f>
        <v>0</v>
      </c>
      <c r="W70" s="140">
        <f>SUMIFS('recurring2_based on steps'!$B70:$AY70,'recurring2_based on steps'!$B$1:$AY$1,W$1)+SUMIFS('changes2_based on steps'!$B70:$U70,'changes2_based on steps'!$B$1:$U$1,W$1)</f>
        <v>0</v>
      </c>
      <c r="X70" s="140">
        <f ca="1">SUMIFS('recurring2_based on steps'!$B70:$AY70,'recurring2_based on steps'!$B$1:$AY$1,X$1)+SUMIFS('changes2_based on steps'!$B70:$U70,'changes2_based on steps'!$B$1:$U$1,X$1)</f>
        <v>0</v>
      </c>
      <c r="Y70" s="140">
        <f ca="1">SUMIFS('recurring2_based on steps'!$B70:$AY70,'recurring2_based on steps'!$B$1:$AY$1,Y$1)+SUMIFS('changes2_based on steps'!$B70:$U70,'changes2_based on steps'!$B$1:$U$1,Y$1)</f>
        <v>0</v>
      </c>
      <c r="Z70" s="140">
        <f>SUMIFS('recurring2_based on steps'!$B70:$AY70,'recurring2_based on steps'!$B$1:$AY$1,Z$1)+SUMIFS('changes2_based on steps'!$B70:$U70,'changes2_based on steps'!$B$1:$U$1,Z$1)</f>
        <v>0</v>
      </c>
      <c r="AA70" s="140">
        <f ca="1">SUMIFS('recurring2_based on steps'!$B70:$AY70,'recurring2_based on steps'!$B$1:$AY$1,AA$1)+SUMIFS('changes2_based on steps'!$B70:$U70,'changes2_based on steps'!$B$1:$U$1,AA$1)</f>
        <v>0</v>
      </c>
      <c r="AB70" s="140">
        <f ca="1">SUMIFS('recurring2_based on steps'!$B70:$AY70,'recurring2_based on steps'!$B$1:$AY$1,AB$1)+SUMIFS('changes2_based on steps'!$B70:$U70,'changes2_based on steps'!$B$1:$U$1,AB$1)</f>
        <v>0</v>
      </c>
      <c r="AC70" s="140">
        <f ca="1">SUMIFS('recurring2_based on steps'!$B70:$AY70,'recurring2_based on steps'!$B$1:$AY$1,AC$1)+SUMIFS('changes2_based on steps'!$B70:$U70,'changes2_based on steps'!$B$1:$U$1,AC$1)</f>
        <v>0</v>
      </c>
      <c r="AD70" s="140">
        <f ca="1">SUMIFS('recurring2_based on steps'!$B70:$AY70,'recurring2_based on steps'!$B$1:$AY$1,AD$1)+SUMIFS('changes2_based on steps'!$B70:$U70,'changes2_based on steps'!$B$1:$U$1,AD$1)</f>
        <v>0</v>
      </c>
      <c r="AE70" s="140">
        <f>SUMIFS('recurring2_based on steps'!$B70:$AY70,'recurring2_based on steps'!$B$1:$AY$1,AE$1)+SUMIFS('changes2_based on steps'!$B70:$U70,'changes2_based on steps'!$B$1:$U$1,AE$1)</f>
        <v>0</v>
      </c>
      <c r="AF70" s="140"/>
      <c r="AG70" s="140"/>
      <c r="AH70" s="140"/>
      <c r="AI70" s="140"/>
      <c r="AJ70" s="140"/>
      <c r="AK70" s="140"/>
      <c r="AL70" s="140"/>
      <c r="AM70" s="140"/>
    </row>
    <row r="71" spans="1:39" x14ac:dyDescent="0.2">
      <c r="A71" s="29">
        <f t="shared" ca="1" si="1"/>
        <v>45811</v>
      </c>
      <c r="B71" s="140">
        <f ca="1">SUMIFS('recurring2_based on steps'!$B71:$AY71,'recurring2_based on steps'!$B$1:$AY$1,B$1)+SUMIFS('changes2_based on steps'!$B71:$U71,'changes2_based on steps'!$B$1:$U$1,B$1)</f>
        <v>0</v>
      </c>
      <c r="C71" s="140">
        <f>SUMIFS('recurring2_based on steps'!$B71:$AY71,'recurring2_based on steps'!$B$1:$AY$1,C$1)+SUMIFS('changes2_based on steps'!$B71:$U71,'changes2_based on steps'!$B$1:$U$1,C$1)</f>
        <v>0</v>
      </c>
      <c r="D71" s="140">
        <f>SUMIFS('recurring2_based on steps'!$B71:$AY71,'recurring2_based on steps'!$B$1:$AY$1,D$1)+SUMIFS('changes2_based on steps'!$B71:$U71,'changes2_based on steps'!$B$1:$U$1,D$1)</f>
        <v>0</v>
      </c>
      <c r="E71" s="140">
        <f>SUMIFS('recurring2_based on steps'!$B71:$AY71,'recurring2_based on steps'!$B$1:$AY$1,E$1)+SUMIFS('changes2_based on steps'!$B71:$U71,'changes2_based on steps'!$B$1:$U$1,E$1)</f>
        <v>0</v>
      </c>
      <c r="F71" s="140">
        <f>SUMIFS('recurring2_based on steps'!$B71:$AY71,'recurring2_based on steps'!$B$1:$AY$1,F$1)+SUMIFS('changes2_based on steps'!$B71:$U71,'changes2_based on steps'!$B$1:$U$1,F$1)</f>
        <v>0</v>
      </c>
      <c r="G71" s="140">
        <f>SUMIFS('recurring2_based on steps'!$B71:$AY71,'recurring2_based on steps'!$B$1:$AY$1,G$1)+SUMIFS('changes2_based on steps'!$B71:$U71,'changes2_based on steps'!$B$1:$U$1,G$1)</f>
        <v>0</v>
      </c>
      <c r="H71" s="140">
        <f>SUMIFS('recurring2_based on steps'!$B71:$AY71,'recurring2_based on steps'!$B$1:$AY$1,H$1)+SUMIFS('changes2_based on steps'!$B71:$U71,'changes2_based on steps'!$B$1:$U$1,H$1)</f>
        <v>0</v>
      </c>
      <c r="I71" s="140">
        <f>SUMIFS('recurring2_based on steps'!$B71:$AY71,'recurring2_based on steps'!$B$1:$AY$1,I$1)+SUMIFS('changes2_based on steps'!$B71:$U71,'changes2_based on steps'!$B$1:$U$1,I$1)</f>
        <v>0</v>
      </c>
      <c r="J71" s="140">
        <f ca="1">SUMIFS('recurring2_based on steps'!$B71:$AY71,'recurring2_based on steps'!$B$1:$AY$1,J$1)+SUMIFS('changes2_based on steps'!$B71:$U71,'changes2_based on steps'!$B$1:$U$1,J$1)</f>
        <v>0</v>
      </c>
      <c r="K71" s="140">
        <f>SUMIFS('recurring2_based on steps'!$B71:$AY71,'recurring2_based on steps'!$B$1:$AY$1,K$1)+SUMIFS('changes2_based on steps'!$B71:$U71,'changes2_based on steps'!$B$1:$U$1,K$1)</f>
        <v>0</v>
      </c>
      <c r="L71" s="140">
        <f>SUMIFS('recurring2_based on steps'!$B71:$AY71,'recurring2_based on steps'!$B$1:$AY$1,L$1)+SUMIFS('changes2_based on steps'!$B71:$U71,'changes2_based on steps'!$B$1:$U$1,L$1)</f>
        <v>0</v>
      </c>
      <c r="M71" s="140">
        <f>SUMIFS('recurring2_based on steps'!$B71:$AY71,'recurring2_based on steps'!$B$1:$AY$1,M$1)+SUMIFS('changes2_based on steps'!$B71:$U71,'changes2_based on steps'!$B$1:$U$1,M$1)</f>
        <v>0</v>
      </c>
      <c r="N71" s="140">
        <f ca="1">SUMIFS('recurring2_based on steps'!$B71:$AY71,'recurring2_based on steps'!$B$1:$AY$1,N$1)+SUMIFS('changes2_based on steps'!$B71:$U71,'changes2_based on steps'!$B$1:$U$1,N$1)</f>
        <v>0</v>
      </c>
      <c r="O71" s="140">
        <f>SUMIFS('recurring2_based on steps'!$B71:$AY71,'recurring2_based on steps'!$B$1:$AY$1,O$1)+SUMIFS('changes2_based on steps'!$B71:$U71,'changes2_based on steps'!$B$1:$U$1,O$1)</f>
        <v>0</v>
      </c>
      <c r="P71" s="140">
        <f ca="1">SUMIFS('recurring2_based on steps'!$B71:$AY71,'recurring2_based on steps'!$B$1:$AY$1,P$1)+SUMIFS('changes2_based on steps'!$B71:$U71,'changes2_based on steps'!$B$1:$U$1,P$1)</f>
        <v>0</v>
      </c>
      <c r="Q71" s="140">
        <f ca="1">SUMIFS('recurring2_based on steps'!$B71:$AY71,'recurring2_based on steps'!$B$1:$AY$1,Q$1)+SUMIFS('changes2_based on steps'!$B71:$U71,'changes2_based on steps'!$B$1:$U$1,Q$1)</f>
        <v>5.5401662049861494E-2</v>
      </c>
      <c r="R71" s="140">
        <f ca="1">SUMIFS('recurring2_based on steps'!$B71:$AY71,'recurring2_based on steps'!$B$1:$AY$1,R$1)+SUMIFS('changes2_based on steps'!$B71:$U71,'changes2_based on steps'!$B$1:$U$1,R$1)</f>
        <v>0</v>
      </c>
      <c r="S71" s="140">
        <f>SUMIFS('recurring2_based on steps'!$B71:$AY71,'recurring2_based on steps'!$B$1:$AY$1,S$1)+SUMIFS('changes2_based on steps'!$B71:$U71,'changes2_based on steps'!$B$1:$U$1,S$1)</f>
        <v>0</v>
      </c>
      <c r="T71" s="140">
        <f ca="1">SUMIFS('recurring2_based on steps'!$B71:$AY71,'recurring2_based on steps'!$B$1:$AY$1,T$1)+SUMIFS('changes2_based on steps'!$B71:$U71,'changes2_based on steps'!$B$1:$U$1,T$1)</f>
        <v>0</v>
      </c>
      <c r="U71" s="140">
        <f ca="1">SUMIFS('recurring2_based on steps'!$B71:$AY71,'recurring2_based on steps'!$B$1:$AY$1,U$1)+SUMIFS('changes2_based on steps'!$B71:$U71,'changes2_based on steps'!$B$1:$U$1,U$1)</f>
        <v>0</v>
      </c>
      <c r="V71" s="140">
        <f>SUMIFS('recurring2_based on steps'!$B71:$AY71,'recurring2_based on steps'!$B$1:$AY$1,V$1)+SUMIFS('changes2_based on steps'!$B71:$U71,'changes2_based on steps'!$B$1:$U$1,V$1)</f>
        <v>0</v>
      </c>
      <c r="W71" s="140">
        <f>SUMIFS('recurring2_based on steps'!$B71:$AY71,'recurring2_based on steps'!$B$1:$AY$1,W$1)+SUMIFS('changes2_based on steps'!$B71:$U71,'changes2_based on steps'!$B$1:$U$1,W$1)</f>
        <v>0</v>
      </c>
      <c r="X71" s="140">
        <f ca="1">SUMIFS('recurring2_based on steps'!$B71:$AY71,'recurring2_based on steps'!$B$1:$AY$1,X$1)+SUMIFS('changes2_based on steps'!$B71:$U71,'changes2_based on steps'!$B$1:$U$1,X$1)</f>
        <v>0</v>
      </c>
      <c r="Y71" s="140">
        <f ca="1">SUMIFS('recurring2_based on steps'!$B71:$AY71,'recurring2_based on steps'!$B$1:$AY$1,Y$1)+SUMIFS('changes2_based on steps'!$B71:$U71,'changes2_based on steps'!$B$1:$U$1,Y$1)</f>
        <v>0</v>
      </c>
      <c r="Z71" s="140">
        <f>SUMIFS('recurring2_based on steps'!$B71:$AY71,'recurring2_based on steps'!$B$1:$AY$1,Z$1)+SUMIFS('changes2_based on steps'!$B71:$U71,'changes2_based on steps'!$B$1:$U$1,Z$1)</f>
        <v>0</v>
      </c>
      <c r="AA71" s="140">
        <f ca="1">SUMIFS('recurring2_based on steps'!$B71:$AY71,'recurring2_based on steps'!$B$1:$AY$1,AA$1)+SUMIFS('changes2_based on steps'!$B71:$U71,'changes2_based on steps'!$B$1:$U$1,AA$1)</f>
        <v>0</v>
      </c>
      <c r="AB71" s="140">
        <f ca="1">SUMIFS('recurring2_based on steps'!$B71:$AY71,'recurring2_based on steps'!$B$1:$AY$1,AB$1)+SUMIFS('changes2_based on steps'!$B71:$U71,'changes2_based on steps'!$B$1:$U$1,AB$1)</f>
        <v>0</v>
      </c>
      <c r="AC71" s="140">
        <f ca="1">SUMIFS('recurring2_based on steps'!$B71:$AY71,'recurring2_based on steps'!$B$1:$AY$1,AC$1)+SUMIFS('changes2_based on steps'!$B71:$U71,'changes2_based on steps'!$B$1:$U$1,AC$1)</f>
        <v>0</v>
      </c>
      <c r="AD71" s="140">
        <f ca="1">SUMIFS('recurring2_based on steps'!$B71:$AY71,'recurring2_based on steps'!$B$1:$AY$1,AD$1)+SUMIFS('changes2_based on steps'!$B71:$U71,'changes2_based on steps'!$B$1:$U$1,AD$1)</f>
        <v>0</v>
      </c>
      <c r="AE71" s="140">
        <f>SUMIFS('recurring2_based on steps'!$B71:$AY71,'recurring2_based on steps'!$B$1:$AY$1,AE$1)+SUMIFS('changes2_based on steps'!$B71:$U71,'changes2_based on steps'!$B$1:$U$1,AE$1)</f>
        <v>0</v>
      </c>
      <c r="AF71" s="140"/>
      <c r="AG71" s="140"/>
      <c r="AH71" s="140"/>
      <c r="AI71" s="140"/>
      <c r="AJ71" s="140"/>
      <c r="AK71" s="140"/>
      <c r="AL71" s="140"/>
      <c r="AM71" s="140"/>
    </row>
    <row r="72" spans="1:39" x14ac:dyDescent="0.2">
      <c r="A72" s="29">
        <f t="shared" ca="1" si="1"/>
        <v>45812</v>
      </c>
      <c r="B72" s="140">
        <f ca="1">SUMIFS('recurring2_based on steps'!$B72:$AY72,'recurring2_based on steps'!$B$1:$AY$1,B$1)+SUMIFS('changes2_based on steps'!$B72:$U72,'changes2_based on steps'!$B$1:$U$1,B$1)</f>
        <v>0</v>
      </c>
      <c r="C72" s="140">
        <f>SUMIFS('recurring2_based on steps'!$B72:$AY72,'recurring2_based on steps'!$B$1:$AY$1,C$1)+SUMIFS('changes2_based on steps'!$B72:$U72,'changes2_based on steps'!$B$1:$U$1,C$1)</f>
        <v>0</v>
      </c>
      <c r="D72" s="140">
        <f>SUMIFS('recurring2_based on steps'!$B72:$AY72,'recurring2_based on steps'!$B$1:$AY$1,D$1)+SUMIFS('changes2_based on steps'!$B72:$U72,'changes2_based on steps'!$B$1:$U$1,D$1)</f>
        <v>0</v>
      </c>
      <c r="E72" s="140">
        <f>SUMIFS('recurring2_based on steps'!$B72:$AY72,'recurring2_based on steps'!$B$1:$AY$1,E$1)+SUMIFS('changes2_based on steps'!$B72:$U72,'changes2_based on steps'!$B$1:$U$1,E$1)</f>
        <v>0</v>
      </c>
      <c r="F72" s="140">
        <f>SUMIFS('recurring2_based on steps'!$B72:$AY72,'recurring2_based on steps'!$B$1:$AY$1,F$1)+SUMIFS('changes2_based on steps'!$B72:$U72,'changes2_based on steps'!$B$1:$U$1,F$1)</f>
        <v>0</v>
      </c>
      <c r="G72" s="140">
        <f>SUMIFS('recurring2_based on steps'!$B72:$AY72,'recurring2_based on steps'!$B$1:$AY$1,G$1)+SUMIFS('changes2_based on steps'!$B72:$U72,'changes2_based on steps'!$B$1:$U$1,G$1)</f>
        <v>0</v>
      </c>
      <c r="H72" s="140">
        <f>SUMIFS('recurring2_based on steps'!$B72:$AY72,'recurring2_based on steps'!$B$1:$AY$1,H$1)+SUMIFS('changes2_based on steps'!$B72:$U72,'changes2_based on steps'!$B$1:$U$1,H$1)</f>
        <v>0</v>
      </c>
      <c r="I72" s="140">
        <f>SUMIFS('recurring2_based on steps'!$B72:$AY72,'recurring2_based on steps'!$B$1:$AY$1,I$1)+SUMIFS('changes2_based on steps'!$B72:$U72,'changes2_based on steps'!$B$1:$U$1,I$1)</f>
        <v>0</v>
      </c>
      <c r="J72" s="140">
        <f ca="1">SUMIFS('recurring2_based on steps'!$B72:$AY72,'recurring2_based on steps'!$B$1:$AY$1,J$1)+SUMIFS('changes2_based on steps'!$B72:$U72,'changes2_based on steps'!$B$1:$U$1,J$1)</f>
        <v>0</v>
      </c>
      <c r="K72" s="140">
        <f>SUMIFS('recurring2_based on steps'!$B72:$AY72,'recurring2_based on steps'!$B$1:$AY$1,K$1)+SUMIFS('changes2_based on steps'!$B72:$U72,'changes2_based on steps'!$B$1:$U$1,K$1)</f>
        <v>0</v>
      </c>
      <c r="L72" s="140">
        <f>SUMIFS('recurring2_based on steps'!$B72:$AY72,'recurring2_based on steps'!$B$1:$AY$1,L$1)+SUMIFS('changes2_based on steps'!$B72:$U72,'changes2_based on steps'!$B$1:$U$1,L$1)</f>
        <v>0</v>
      </c>
      <c r="M72" s="140">
        <f>SUMIFS('recurring2_based on steps'!$B72:$AY72,'recurring2_based on steps'!$B$1:$AY$1,M$1)+SUMIFS('changes2_based on steps'!$B72:$U72,'changes2_based on steps'!$B$1:$U$1,M$1)</f>
        <v>0</v>
      </c>
      <c r="N72" s="140">
        <f ca="1">SUMIFS('recurring2_based on steps'!$B72:$AY72,'recurring2_based on steps'!$B$1:$AY$1,N$1)+SUMIFS('changes2_based on steps'!$B72:$U72,'changes2_based on steps'!$B$1:$U$1,N$1)</f>
        <v>0</v>
      </c>
      <c r="O72" s="140">
        <f>SUMIFS('recurring2_based on steps'!$B72:$AY72,'recurring2_based on steps'!$B$1:$AY$1,O$1)+SUMIFS('changes2_based on steps'!$B72:$U72,'changes2_based on steps'!$B$1:$U$1,O$1)</f>
        <v>0</v>
      </c>
      <c r="P72" s="140">
        <f ca="1">SUMIFS('recurring2_based on steps'!$B72:$AY72,'recurring2_based on steps'!$B$1:$AY$1,P$1)+SUMIFS('changes2_based on steps'!$B72:$U72,'changes2_based on steps'!$B$1:$U$1,P$1)</f>
        <v>0</v>
      </c>
      <c r="Q72" s="140">
        <f ca="1">SUMIFS('recurring2_based on steps'!$B72:$AY72,'recurring2_based on steps'!$B$1:$AY$1,Q$1)+SUMIFS('changes2_based on steps'!$B72:$U72,'changes2_based on steps'!$B$1:$U$1,Q$1)</f>
        <v>5.5401662049861494E-2</v>
      </c>
      <c r="R72" s="140">
        <f ca="1">SUMIFS('recurring2_based on steps'!$B72:$AY72,'recurring2_based on steps'!$B$1:$AY$1,R$1)+SUMIFS('changes2_based on steps'!$B72:$U72,'changes2_based on steps'!$B$1:$U$1,R$1)</f>
        <v>15</v>
      </c>
      <c r="S72" s="140">
        <f>SUMIFS('recurring2_based on steps'!$B72:$AY72,'recurring2_based on steps'!$B$1:$AY$1,S$1)+SUMIFS('changes2_based on steps'!$B72:$U72,'changes2_based on steps'!$B$1:$U$1,S$1)</f>
        <v>0</v>
      </c>
      <c r="T72" s="140">
        <f ca="1">SUMIFS('recurring2_based on steps'!$B72:$AY72,'recurring2_based on steps'!$B$1:$AY$1,T$1)+SUMIFS('changes2_based on steps'!$B72:$U72,'changes2_based on steps'!$B$1:$U$1,T$1)</f>
        <v>0</v>
      </c>
      <c r="U72" s="140">
        <f ca="1">SUMIFS('recurring2_based on steps'!$B72:$AY72,'recurring2_based on steps'!$B$1:$AY$1,U$1)+SUMIFS('changes2_based on steps'!$B72:$U72,'changes2_based on steps'!$B$1:$U$1,U$1)</f>
        <v>0</v>
      </c>
      <c r="V72" s="140">
        <f>SUMIFS('recurring2_based on steps'!$B72:$AY72,'recurring2_based on steps'!$B$1:$AY$1,V$1)+SUMIFS('changes2_based on steps'!$B72:$U72,'changes2_based on steps'!$B$1:$U$1,V$1)</f>
        <v>0</v>
      </c>
      <c r="W72" s="140">
        <f>SUMIFS('recurring2_based on steps'!$B72:$AY72,'recurring2_based on steps'!$B$1:$AY$1,W$1)+SUMIFS('changes2_based on steps'!$B72:$U72,'changes2_based on steps'!$B$1:$U$1,W$1)</f>
        <v>0</v>
      </c>
      <c r="X72" s="140">
        <f ca="1">SUMIFS('recurring2_based on steps'!$B72:$AY72,'recurring2_based on steps'!$B$1:$AY$1,X$1)+SUMIFS('changes2_based on steps'!$B72:$U72,'changes2_based on steps'!$B$1:$U$1,X$1)</f>
        <v>0</v>
      </c>
      <c r="Y72" s="140">
        <f ca="1">SUMIFS('recurring2_based on steps'!$B72:$AY72,'recurring2_based on steps'!$B$1:$AY$1,Y$1)+SUMIFS('changes2_based on steps'!$B72:$U72,'changes2_based on steps'!$B$1:$U$1,Y$1)</f>
        <v>0</v>
      </c>
      <c r="Z72" s="140">
        <f>SUMIFS('recurring2_based on steps'!$B72:$AY72,'recurring2_based on steps'!$B$1:$AY$1,Z$1)+SUMIFS('changes2_based on steps'!$B72:$U72,'changes2_based on steps'!$B$1:$U$1,Z$1)</f>
        <v>0</v>
      </c>
      <c r="AA72" s="140">
        <f ca="1">SUMIFS('recurring2_based on steps'!$B72:$AY72,'recurring2_based on steps'!$B$1:$AY$1,AA$1)+SUMIFS('changes2_based on steps'!$B72:$U72,'changes2_based on steps'!$B$1:$U$1,AA$1)</f>
        <v>0</v>
      </c>
      <c r="AB72" s="140">
        <f ca="1">SUMIFS('recurring2_based on steps'!$B72:$AY72,'recurring2_based on steps'!$B$1:$AY$1,AB$1)+SUMIFS('changes2_based on steps'!$B72:$U72,'changes2_based on steps'!$B$1:$U$1,AB$1)</f>
        <v>0</v>
      </c>
      <c r="AC72" s="140">
        <f ca="1">SUMIFS('recurring2_based on steps'!$B72:$AY72,'recurring2_based on steps'!$B$1:$AY$1,AC$1)+SUMIFS('changes2_based on steps'!$B72:$U72,'changes2_based on steps'!$B$1:$U$1,AC$1)</f>
        <v>0</v>
      </c>
      <c r="AD72" s="140">
        <f ca="1">SUMIFS('recurring2_based on steps'!$B72:$AY72,'recurring2_based on steps'!$B$1:$AY$1,AD$1)+SUMIFS('changes2_based on steps'!$B72:$U72,'changes2_based on steps'!$B$1:$U$1,AD$1)</f>
        <v>0</v>
      </c>
      <c r="AE72" s="140">
        <f>SUMIFS('recurring2_based on steps'!$B72:$AY72,'recurring2_based on steps'!$B$1:$AY$1,AE$1)+SUMIFS('changes2_based on steps'!$B72:$U72,'changes2_based on steps'!$B$1:$U$1,AE$1)</f>
        <v>0</v>
      </c>
      <c r="AF72" s="140"/>
      <c r="AG72" s="140"/>
      <c r="AH72" s="140"/>
      <c r="AI72" s="140"/>
      <c r="AJ72" s="140"/>
      <c r="AK72" s="140"/>
      <c r="AL72" s="140"/>
      <c r="AM72" s="140"/>
    </row>
    <row r="73" spans="1:39" x14ac:dyDescent="0.2">
      <c r="A73" s="29">
        <f t="shared" ca="1" si="1"/>
        <v>45813</v>
      </c>
      <c r="B73" s="140">
        <f ca="1">SUMIFS('recurring2_based on steps'!$B73:$AY73,'recurring2_based on steps'!$B$1:$AY$1,B$1)+SUMIFS('changes2_based on steps'!$B73:$U73,'changes2_based on steps'!$B$1:$U$1,B$1)</f>
        <v>0</v>
      </c>
      <c r="C73" s="140">
        <f>SUMIFS('recurring2_based on steps'!$B73:$AY73,'recurring2_based on steps'!$B$1:$AY$1,C$1)+SUMIFS('changes2_based on steps'!$B73:$U73,'changes2_based on steps'!$B$1:$U$1,C$1)</f>
        <v>0</v>
      </c>
      <c r="D73" s="140">
        <f>SUMIFS('recurring2_based on steps'!$B73:$AY73,'recurring2_based on steps'!$B$1:$AY$1,D$1)+SUMIFS('changes2_based on steps'!$B73:$U73,'changes2_based on steps'!$B$1:$U$1,D$1)</f>
        <v>0</v>
      </c>
      <c r="E73" s="140">
        <f>SUMIFS('recurring2_based on steps'!$B73:$AY73,'recurring2_based on steps'!$B$1:$AY$1,E$1)+SUMIFS('changes2_based on steps'!$B73:$U73,'changes2_based on steps'!$B$1:$U$1,E$1)</f>
        <v>0</v>
      </c>
      <c r="F73" s="140">
        <f>SUMIFS('recurring2_based on steps'!$B73:$AY73,'recurring2_based on steps'!$B$1:$AY$1,F$1)+SUMIFS('changes2_based on steps'!$B73:$U73,'changes2_based on steps'!$B$1:$U$1,F$1)</f>
        <v>0</v>
      </c>
      <c r="G73" s="140">
        <f>SUMIFS('recurring2_based on steps'!$B73:$AY73,'recurring2_based on steps'!$B$1:$AY$1,G$1)+SUMIFS('changes2_based on steps'!$B73:$U73,'changes2_based on steps'!$B$1:$U$1,G$1)</f>
        <v>0</v>
      </c>
      <c r="H73" s="140">
        <f>SUMIFS('recurring2_based on steps'!$B73:$AY73,'recurring2_based on steps'!$B$1:$AY$1,H$1)+SUMIFS('changes2_based on steps'!$B73:$U73,'changes2_based on steps'!$B$1:$U$1,H$1)</f>
        <v>0</v>
      </c>
      <c r="I73" s="140">
        <f>SUMIFS('recurring2_based on steps'!$B73:$AY73,'recurring2_based on steps'!$B$1:$AY$1,I$1)+SUMIFS('changes2_based on steps'!$B73:$U73,'changes2_based on steps'!$B$1:$U$1,I$1)</f>
        <v>0</v>
      </c>
      <c r="J73" s="140">
        <f ca="1">SUMIFS('recurring2_based on steps'!$B73:$AY73,'recurring2_based on steps'!$B$1:$AY$1,J$1)+SUMIFS('changes2_based on steps'!$B73:$U73,'changes2_based on steps'!$B$1:$U$1,J$1)</f>
        <v>0</v>
      </c>
      <c r="K73" s="140">
        <f>SUMIFS('recurring2_based on steps'!$B73:$AY73,'recurring2_based on steps'!$B$1:$AY$1,K$1)+SUMIFS('changes2_based on steps'!$B73:$U73,'changes2_based on steps'!$B$1:$U$1,K$1)</f>
        <v>0</v>
      </c>
      <c r="L73" s="140">
        <f>SUMIFS('recurring2_based on steps'!$B73:$AY73,'recurring2_based on steps'!$B$1:$AY$1,L$1)+SUMIFS('changes2_based on steps'!$B73:$U73,'changes2_based on steps'!$B$1:$U$1,L$1)</f>
        <v>0</v>
      </c>
      <c r="M73" s="140">
        <f>SUMIFS('recurring2_based on steps'!$B73:$AY73,'recurring2_based on steps'!$B$1:$AY$1,M$1)+SUMIFS('changes2_based on steps'!$B73:$U73,'changes2_based on steps'!$B$1:$U$1,M$1)</f>
        <v>0</v>
      </c>
      <c r="N73" s="140">
        <f ca="1">SUMIFS('recurring2_based on steps'!$B73:$AY73,'recurring2_based on steps'!$B$1:$AY$1,N$1)+SUMIFS('changes2_based on steps'!$B73:$U73,'changes2_based on steps'!$B$1:$U$1,N$1)</f>
        <v>0</v>
      </c>
      <c r="O73" s="140">
        <f>SUMIFS('recurring2_based on steps'!$B73:$AY73,'recurring2_based on steps'!$B$1:$AY$1,O$1)+SUMIFS('changes2_based on steps'!$B73:$U73,'changes2_based on steps'!$B$1:$U$1,O$1)</f>
        <v>0</v>
      </c>
      <c r="P73" s="140">
        <f ca="1">SUMIFS('recurring2_based on steps'!$B73:$AY73,'recurring2_based on steps'!$B$1:$AY$1,P$1)+SUMIFS('changes2_based on steps'!$B73:$U73,'changes2_based on steps'!$B$1:$U$1,P$1)</f>
        <v>0</v>
      </c>
      <c r="Q73" s="140">
        <f ca="1">SUMIFS('recurring2_based on steps'!$B73:$AY73,'recurring2_based on steps'!$B$1:$AY$1,Q$1)+SUMIFS('changes2_based on steps'!$B73:$U73,'changes2_based on steps'!$B$1:$U$1,Q$1)</f>
        <v>5.5401662049861494E-2</v>
      </c>
      <c r="R73" s="140">
        <f ca="1">SUMIFS('recurring2_based on steps'!$B73:$AY73,'recurring2_based on steps'!$B$1:$AY$1,R$1)+SUMIFS('changes2_based on steps'!$B73:$U73,'changes2_based on steps'!$B$1:$U$1,R$1)</f>
        <v>0</v>
      </c>
      <c r="S73" s="140">
        <f>SUMIFS('recurring2_based on steps'!$B73:$AY73,'recurring2_based on steps'!$B$1:$AY$1,S$1)+SUMIFS('changes2_based on steps'!$B73:$U73,'changes2_based on steps'!$B$1:$U$1,S$1)</f>
        <v>0</v>
      </c>
      <c r="T73" s="140">
        <f ca="1">SUMIFS('recurring2_based on steps'!$B73:$AY73,'recurring2_based on steps'!$B$1:$AY$1,T$1)+SUMIFS('changes2_based on steps'!$B73:$U73,'changes2_based on steps'!$B$1:$U$1,T$1)</f>
        <v>0</v>
      </c>
      <c r="U73" s="140">
        <f ca="1">SUMIFS('recurring2_based on steps'!$B73:$AY73,'recurring2_based on steps'!$B$1:$AY$1,U$1)+SUMIFS('changes2_based on steps'!$B73:$U73,'changes2_based on steps'!$B$1:$U$1,U$1)</f>
        <v>0</v>
      </c>
      <c r="V73" s="140">
        <f>SUMIFS('recurring2_based on steps'!$B73:$AY73,'recurring2_based on steps'!$B$1:$AY$1,V$1)+SUMIFS('changes2_based on steps'!$B73:$U73,'changes2_based on steps'!$B$1:$U$1,V$1)</f>
        <v>0</v>
      </c>
      <c r="W73" s="140">
        <f>SUMIFS('recurring2_based on steps'!$B73:$AY73,'recurring2_based on steps'!$B$1:$AY$1,W$1)+SUMIFS('changes2_based on steps'!$B73:$U73,'changes2_based on steps'!$B$1:$U$1,W$1)</f>
        <v>0</v>
      </c>
      <c r="X73" s="140">
        <f ca="1">SUMIFS('recurring2_based on steps'!$B73:$AY73,'recurring2_based on steps'!$B$1:$AY$1,X$1)+SUMIFS('changes2_based on steps'!$B73:$U73,'changes2_based on steps'!$B$1:$U$1,X$1)</f>
        <v>0</v>
      </c>
      <c r="Y73" s="140">
        <f ca="1">SUMIFS('recurring2_based on steps'!$B73:$AY73,'recurring2_based on steps'!$B$1:$AY$1,Y$1)+SUMIFS('changes2_based on steps'!$B73:$U73,'changes2_based on steps'!$B$1:$U$1,Y$1)</f>
        <v>0</v>
      </c>
      <c r="Z73" s="140">
        <f>SUMIFS('recurring2_based on steps'!$B73:$AY73,'recurring2_based on steps'!$B$1:$AY$1,Z$1)+SUMIFS('changes2_based on steps'!$B73:$U73,'changes2_based on steps'!$B$1:$U$1,Z$1)</f>
        <v>0</v>
      </c>
      <c r="AA73" s="140">
        <f ca="1">SUMIFS('recurring2_based on steps'!$B73:$AY73,'recurring2_based on steps'!$B$1:$AY$1,AA$1)+SUMIFS('changes2_based on steps'!$B73:$U73,'changes2_based on steps'!$B$1:$U$1,AA$1)</f>
        <v>0</v>
      </c>
      <c r="AB73" s="140">
        <f ca="1">SUMIFS('recurring2_based on steps'!$B73:$AY73,'recurring2_based on steps'!$B$1:$AY$1,AB$1)+SUMIFS('changes2_based on steps'!$B73:$U73,'changes2_based on steps'!$B$1:$U$1,AB$1)</f>
        <v>0</v>
      </c>
      <c r="AC73" s="140">
        <f ca="1">SUMIFS('recurring2_based on steps'!$B73:$AY73,'recurring2_based on steps'!$B$1:$AY$1,AC$1)+SUMIFS('changes2_based on steps'!$B73:$U73,'changes2_based on steps'!$B$1:$U$1,AC$1)</f>
        <v>0</v>
      </c>
      <c r="AD73" s="140">
        <f ca="1">SUMIFS('recurring2_based on steps'!$B73:$AY73,'recurring2_based on steps'!$B$1:$AY$1,AD$1)+SUMIFS('changes2_based on steps'!$B73:$U73,'changes2_based on steps'!$B$1:$U$1,AD$1)</f>
        <v>0</v>
      </c>
      <c r="AE73" s="140">
        <f>SUMIFS('recurring2_based on steps'!$B73:$AY73,'recurring2_based on steps'!$B$1:$AY$1,AE$1)+SUMIFS('changes2_based on steps'!$B73:$U73,'changes2_based on steps'!$B$1:$U$1,AE$1)</f>
        <v>0</v>
      </c>
      <c r="AF73" s="140"/>
      <c r="AG73" s="140"/>
      <c r="AH73" s="140"/>
      <c r="AI73" s="140"/>
      <c r="AJ73" s="140"/>
      <c r="AK73" s="140"/>
      <c r="AL73" s="140"/>
      <c r="AM73" s="140"/>
    </row>
    <row r="74" spans="1:39" x14ac:dyDescent="0.2">
      <c r="A74" s="29">
        <f t="shared" ca="1" si="1"/>
        <v>45814</v>
      </c>
      <c r="B74" s="140">
        <f ca="1">SUMIFS('recurring2_based on steps'!$B74:$AY74,'recurring2_based on steps'!$B$1:$AY$1,B$1)+SUMIFS('changes2_based on steps'!$B74:$U74,'changes2_based on steps'!$B$1:$U$1,B$1)</f>
        <v>0</v>
      </c>
      <c r="C74" s="140">
        <f>SUMIFS('recurring2_based on steps'!$B74:$AY74,'recurring2_based on steps'!$B$1:$AY$1,C$1)+SUMIFS('changes2_based on steps'!$B74:$U74,'changes2_based on steps'!$B$1:$U$1,C$1)</f>
        <v>0</v>
      </c>
      <c r="D74" s="140">
        <f>SUMIFS('recurring2_based on steps'!$B74:$AY74,'recurring2_based on steps'!$B$1:$AY$1,D$1)+SUMIFS('changes2_based on steps'!$B74:$U74,'changes2_based on steps'!$B$1:$U$1,D$1)</f>
        <v>0</v>
      </c>
      <c r="E74" s="140">
        <f>SUMIFS('recurring2_based on steps'!$B74:$AY74,'recurring2_based on steps'!$B$1:$AY$1,E$1)+SUMIFS('changes2_based on steps'!$B74:$U74,'changes2_based on steps'!$B$1:$U$1,E$1)</f>
        <v>0</v>
      </c>
      <c r="F74" s="140">
        <f>SUMIFS('recurring2_based on steps'!$B74:$AY74,'recurring2_based on steps'!$B$1:$AY$1,F$1)+SUMIFS('changes2_based on steps'!$B74:$U74,'changes2_based on steps'!$B$1:$U$1,F$1)</f>
        <v>0</v>
      </c>
      <c r="G74" s="140">
        <f>SUMIFS('recurring2_based on steps'!$B74:$AY74,'recurring2_based on steps'!$B$1:$AY$1,G$1)+SUMIFS('changes2_based on steps'!$B74:$U74,'changes2_based on steps'!$B$1:$U$1,G$1)</f>
        <v>0</v>
      </c>
      <c r="H74" s="140">
        <f>SUMIFS('recurring2_based on steps'!$B74:$AY74,'recurring2_based on steps'!$B$1:$AY$1,H$1)+SUMIFS('changes2_based on steps'!$B74:$U74,'changes2_based on steps'!$B$1:$U$1,H$1)</f>
        <v>0</v>
      </c>
      <c r="I74" s="140">
        <f>SUMIFS('recurring2_based on steps'!$B74:$AY74,'recurring2_based on steps'!$B$1:$AY$1,I$1)+SUMIFS('changes2_based on steps'!$B74:$U74,'changes2_based on steps'!$B$1:$U$1,I$1)</f>
        <v>0</v>
      </c>
      <c r="J74" s="140">
        <f ca="1">SUMIFS('recurring2_based on steps'!$B74:$AY74,'recurring2_based on steps'!$B$1:$AY$1,J$1)+SUMIFS('changes2_based on steps'!$B74:$U74,'changes2_based on steps'!$B$1:$U$1,J$1)</f>
        <v>0</v>
      </c>
      <c r="K74" s="140">
        <f>SUMIFS('recurring2_based on steps'!$B74:$AY74,'recurring2_based on steps'!$B$1:$AY$1,K$1)+SUMIFS('changes2_based on steps'!$B74:$U74,'changes2_based on steps'!$B$1:$U$1,K$1)</f>
        <v>0</v>
      </c>
      <c r="L74" s="140">
        <f>SUMIFS('recurring2_based on steps'!$B74:$AY74,'recurring2_based on steps'!$B$1:$AY$1,L$1)+SUMIFS('changes2_based on steps'!$B74:$U74,'changes2_based on steps'!$B$1:$U$1,L$1)</f>
        <v>0</v>
      </c>
      <c r="M74" s="140">
        <f>SUMIFS('recurring2_based on steps'!$B74:$AY74,'recurring2_based on steps'!$B$1:$AY$1,M$1)+SUMIFS('changes2_based on steps'!$B74:$U74,'changes2_based on steps'!$B$1:$U$1,M$1)</f>
        <v>0</v>
      </c>
      <c r="N74" s="140">
        <f ca="1">SUMIFS('recurring2_based on steps'!$B74:$AY74,'recurring2_based on steps'!$B$1:$AY$1,N$1)+SUMIFS('changes2_based on steps'!$B74:$U74,'changes2_based on steps'!$B$1:$U$1,N$1)</f>
        <v>0</v>
      </c>
      <c r="O74" s="140">
        <f>SUMIFS('recurring2_based on steps'!$B74:$AY74,'recurring2_based on steps'!$B$1:$AY$1,O$1)+SUMIFS('changes2_based on steps'!$B74:$U74,'changes2_based on steps'!$B$1:$U$1,O$1)</f>
        <v>0</v>
      </c>
      <c r="P74" s="140">
        <f ca="1">SUMIFS('recurring2_based on steps'!$B74:$AY74,'recurring2_based on steps'!$B$1:$AY$1,P$1)+SUMIFS('changes2_based on steps'!$B74:$U74,'changes2_based on steps'!$B$1:$U$1,P$1)</f>
        <v>0</v>
      </c>
      <c r="Q74" s="140">
        <f ca="1">SUMIFS('recurring2_based on steps'!$B74:$AY74,'recurring2_based on steps'!$B$1:$AY$1,Q$1)+SUMIFS('changes2_based on steps'!$B74:$U74,'changes2_based on steps'!$B$1:$U$1,Q$1)</f>
        <v>5.5401662049861494E-2</v>
      </c>
      <c r="R74" s="140">
        <f ca="1">SUMIFS('recurring2_based on steps'!$B74:$AY74,'recurring2_based on steps'!$B$1:$AY$1,R$1)+SUMIFS('changes2_based on steps'!$B74:$U74,'changes2_based on steps'!$B$1:$U$1,R$1)</f>
        <v>0</v>
      </c>
      <c r="S74" s="140">
        <f>SUMIFS('recurring2_based on steps'!$B74:$AY74,'recurring2_based on steps'!$B$1:$AY$1,S$1)+SUMIFS('changes2_based on steps'!$B74:$U74,'changes2_based on steps'!$B$1:$U$1,S$1)</f>
        <v>0</v>
      </c>
      <c r="T74" s="140">
        <f ca="1">SUMIFS('recurring2_based on steps'!$B74:$AY74,'recurring2_based on steps'!$B$1:$AY$1,T$1)+SUMIFS('changes2_based on steps'!$B74:$U74,'changes2_based on steps'!$B$1:$U$1,T$1)</f>
        <v>0</v>
      </c>
      <c r="U74" s="140">
        <f ca="1">SUMIFS('recurring2_based on steps'!$B74:$AY74,'recurring2_based on steps'!$B$1:$AY$1,U$1)+SUMIFS('changes2_based on steps'!$B74:$U74,'changes2_based on steps'!$B$1:$U$1,U$1)</f>
        <v>0</v>
      </c>
      <c r="V74" s="140">
        <f>SUMIFS('recurring2_based on steps'!$B74:$AY74,'recurring2_based on steps'!$B$1:$AY$1,V$1)+SUMIFS('changes2_based on steps'!$B74:$U74,'changes2_based on steps'!$B$1:$U$1,V$1)</f>
        <v>0</v>
      </c>
      <c r="W74" s="140">
        <f>SUMIFS('recurring2_based on steps'!$B74:$AY74,'recurring2_based on steps'!$B$1:$AY$1,W$1)+SUMIFS('changes2_based on steps'!$B74:$U74,'changes2_based on steps'!$B$1:$U$1,W$1)</f>
        <v>0</v>
      </c>
      <c r="X74" s="140">
        <f ca="1">SUMIFS('recurring2_based on steps'!$B74:$AY74,'recurring2_based on steps'!$B$1:$AY$1,X$1)+SUMIFS('changes2_based on steps'!$B74:$U74,'changes2_based on steps'!$B$1:$U$1,X$1)</f>
        <v>0</v>
      </c>
      <c r="Y74" s="140">
        <f ca="1">SUMIFS('recurring2_based on steps'!$B74:$AY74,'recurring2_based on steps'!$B$1:$AY$1,Y$1)+SUMIFS('changes2_based on steps'!$B74:$U74,'changes2_based on steps'!$B$1:$U$1,Y$1)</f>
        <v>0</v>
      </c>
      <c r="Z74" s="140">
        <f>SUMIFS('recurring2_based on steps'!$B74:$AY74,'recurring2_based on steps'!$B$1:$AY$1,Z$1)+SUMIFS('changes2_based on steps'!$B74:$U74,'changes2_based on steps'!$B$1:$U$1,Z$1)</f>
        <v>0</v>
      </c>
      <c r="AA74" s="140">
        <f ca="1">SUMIFS('recurring2_based on steps'!$B74:$AY74,'recurring2_based on steps'!$B$1:$AY$1,AA$1)+SUMIFS('changes2_based on steps'!$B74:$U74,'changes2_based on steps'!$B$1:$U$1,AA$1)</f>
        <v>0</v>
      </c>
      <c r="AB74" s="140">
        <f ca="1">SUMIFS('recurring2_based on steps'!$B74:$AY74,'recurring2_based on steps'!$B$1:$AY$1,AB$1)+SUMIFS('changes2_based on steps'!$B74:$U74,'changes2_based on steps'!$B$1:$U$1,AB$1)</f>
        <v>0</v>
      </c>
      <c r="AC74" s="140">
        <f ca="1">SUMIFS('recurring2_based on steps'!$B74:$AY74,'recurring2_based on steps'!$B$1:$AY$1,AC$1)+SUMIFS('changes2_based on steps'!$B74:$U74,'changes2_based on steps'!$B$1:$U$1,AC$1)</f>
        <v>0</v>
      </c>
      <c r="AD74" s="140">
        <f ca="1">SUMIFS('recurring2_based on steps'!$B74:$AY74,'recurring2_based on steps'!$B$1:$AY$1,AD$1)+SUMIFS('changes2_based on steps'!$B74:$U74,'changes2_based on steps'!$B$1:$U$1,AD$1)</f>
        <v>0</v>
      </c>
      <c r="AE74" s="140">
        <f>SUMIFS('recurring2_based on steps'!$B74:$AY74,'recurring2_based on steps'!$B$1:$AY$1,AE$1)+SUMIFS('changes2_based on steps'!$B74:$U74,'changes2_based on steps'!$B$1:$U$1,AE$1)</f>
        <v>0</v>
      </c>
      <c r="AF74" s="140"/>
      <c r="AG74" s="140"/>
      <c r="AH74" s="140"/>
      <c r="AI74" s="140"/>
      <c r="AJ74" s="140"/>
      <c r="AK74" s="140"/>
      <c r="AL74" s="140"/>
      <c r="AM74" s="140"/>
    </row>
    <row r="75" spans="1:39" x14ac:dyDescent="0.2">
      <c r="A75" s="29">
        <f t="shared" ca="1" si="1"/>
        <v>45815</v>
      </c>
      <c r="B75" s="140">
        <f ca="1">SUMIFS('recurring2_based on steps'!$B75:$AY75,'recurring2_based on steps'!$B$1:$AY$1,B$1)+SUMIFS('changes2_based on steps'!$B75:$U75,'changes2_based on steps'!$B$1:$U$1,B$1)</f>
        <v>0</v>
      </c>
      <c r="C75" s="140">
        <f>SUMIFS('recurring2_based on steps'!$B75:$AY75,'recurring2_based on steps'!$B$1:$AY$1,C$1)+SUMIFS('changes2_based on steps'!$B75:$U75,'changes2_based on steps'!$B$1:$U$1,C$1)</f>
        <v>0</v>
      </c>
      <c r="D75" s="140">
        <f>SUMIFS('recurring2_based on steps'!$B75:$AY75,'recurring2_based on steps'!$B$1:$AY$1,D$1)+SUMIFS('changes2_based on steps'!$B75:$U75,'changes2_based on steps'!$B$1:$U$1,D$1)</f>
        <v>0</v>
      </c>
      <c r="E75" s="140">
        <f>SUMIFS('recurring2_based on steps'!$B75:$AY75,'recurring2_based on steps'!$B$1:$AY$1,E$1)+SUMIFS('changes2_based on steps'!$B75:$U75,'changes2_based on steps'!$B$1:$U$1,E$1)</f>
        <v>0</v>
      </c>
      <c r="F75" s="140">
        <f>SUMIFS('recurring2_based on steps'!$B75:$AY75,'recurring2_based on steps'!$B$1:$AY$1,F$1)+SUMIFS('changes2_based on steps'!$B75:$U75,'changes2_based on steps'!$B$1:$U$1,F$1)</f>
        <v>0</v>
      </c>
      <c r="G75" s="140">
        <f>SUMIFS('recurring2_based on steps'!$B75:$AY75,'recurring2_based on steps'!$B$1:$AY$1,G$1)+SUMIFS('changes2_based on steps'!$B75:$U75,'changes2_based on steps'!$B$1:$U$1,G$1)</f>
        <v>0</v>
      </c>
      <c r="H75" s="140">
        <f>SUMIFS('recurring2_based on steps'!$B75:$AY75,'recurring2_based on steps'!$B$1:$AY$1,H$1)+SUMIFS('changes2_based on steps'!$B75:$U75,'changes2_based on steps'!$B$1:$U$1,H$1)</f>
        <v>0</v>
      </c>
      <c r="I75" s="140">
        <f>SUMIFS('recurring2_based on steps'!$B75:$AY75,'recurring2_based on steps'!$B$1:$AY$1,I$1)+SUMIFS('changes2_based on steps'!$B75:$U75,'changes2_based on steps'!$B$1:$U$1,I$1)</f>
        <v>0</v>
      </c>
      <c r="J75" s="140">
        <f ca="1">SUMIFS('recurring2_based on steps'!$B75:$AY75,'recurring2_based on steps'!$B$1:$AY$1,J$1)+SUMIFS('changes2_based on steps'!$B75:$U75,'changes2_based on steps'!$B$1:$U$1,J$1)</f>
        <v>0</v>
      </c>
      <c r="K75" s="140">
        <f>SUMIFS('recurring2_based on steps'!$B75:$AY75,'recurring2_based on steps'!$B$1:$AY$1,K$1)+SUMIFS('changes2_based on steps'!$B75:$U75,'changes2_based on steps'!$B$1:$U$1,K$1)</f>
        <v>0</v>
      </c>
      <c r="L75" s="140">
        <f>SUMIFS('recurring2_based on steps'!$B75:$AY75,'recurring2_based on steps'!$B$1:$AY$1,L$1)+SUMIFS('changes2_based on steps'!$B75:$U75,'changes2_based on steps'!$B$1:$U$1,L$1)</f>
        <v>0</v>
      </c>
      <c r="M75" s="140">
        <f>SUMIFS('recurring2_based on steps'!$B75:$AY75,'recurring2_based on steps'!$B$1:$AY$1,M$1)+SUMIFS('changes2_based on steps'!$B75:$U75,'changes2_based on steps'!$B$1:$U$1,M$1)</f>
        <v>0</v>
      </c>
      <c r="N75" s="140">
        <f ca="1">SUMIFS('recurring2_based on steps'!$B75:$AY75,'recurring2_based on steps'!$B$1:$AY$1,N$1)+SUMIFS('changes2_based on steps'!$B75:$U75,'changes2_based on steps'!$B$1:$U$1,N$1)</f>
        <v>0</v>
      </c>
      <c r="O75" s="140">
        <f>SUMIFS('recurring2_based on steps'!$B75:$AY75,'recurring2_based on steps'!$B$1:$AY$1,O$1)+SUMIFS('changes2_based on steps'!$B75:$U75,'changes2_based on steps'!$B$1:$U$1,O$1)</f>
        <v>0</v>
      </c>
      <c r="P75" s="140">
        <f ca="1">SUMIFS('recurring2_based on steps'!$B75:$AY75,'recurring2_based on steps'!$B$1:$AY$1,P$1)+SUMIFS('changes2_based on steps'!$B75:$U75,'changes2_based on steps'!$B$1:$U$1,P$1)</f>
        <v>0</v>
      </c>
      <c r="Q75" s="140">
        <f ca="1">SUMIFS('recurring2_based on steps'!$B75:$AY75,'recurring2_based on steps'!$B$1:$AY$1,Q$1)+SUMIFS('changes2_based on steps'!$B75:$U75,'changes2_based on steps'!$B$1:$U$1,Q$1)</f>
        <v>100.05540166204986</v>
      </c>
      <c r="R75" s="140">
        <f ca="1">SUMIFS('recurring2_based on steps'!$B75:$AY75,'recurring2_based on steps'!$B$1:$AY$1,R$1)+SUMIFS('changes2_based on steps'!$B75:$U75,'changes2_based on steps'!$B$1:$U$1,R$1)</f>
        <v>0</v>
      </c>
      <c r="S75" s="140">
        <f>SUMIFS('recurring2_based on steps'!$B75:$AY75,'recurring2_based on steps'!$B$1:$AY$1,S$1)+SUMIFS('changes2_based on steps'!$B75:$U75,'changes2_based on steps'!$B$1:$U$1,S$1)</f>
        <v>0</v>
      </c>
      <c r="T75" s="140">
        <f ca="1">SUMIFS('recurring2_based on steps'!$B75:$AY75,'recurring2_based on steps'!$B$1:$AY$1,T$1)+SUMIFS('changes2_based on steps'!$B75:$U75,'changes2_based on steps'!$B$1:$U$1,T$1)</f>
        <v>0</v>
      </c>
      <c r="U75" s="140">
        <f ca="1">SUMIFS('recurring2_based on steps'!$B75:$AY75,'recurring2_based on steps'!$B$1:$AY$1,U$1)+SUMIFS('changes2_based on steps'!$B75:$U75,'changes2_based on steps'!$B$1:$U$1,U$1)</f>
        <v>0</v>
      </c>
      <c r="V75" s="140">
        <f>SUMIFS('recurring2_based on steps'!$B75:$AY75,'recurring2_based on steps'!$B$1:$AY$1,V$1)+SUMIFS('changes2_based on steps'!$B75:$U75,'changes2_based on steps'!$B$1:$U$1,V$1)</f>
        <v>0</v>
      </c>
      <c r="W75" s="140">
        <f>SUMIFS('recurring2_based on steps'!$B75:$AY75,'recurring2_based on steps'!$B$1:$AY$1,W$1)+SUMIFS('changes2_based on steps'!$B75:$U75,'changes2_based on steps'!$B$1:$U$1,W$1)</f>
        <v>0</v>
      </c>
      <c r="X75" s="140">
        <f ca="1">SUMIFS('recurring2_based on steps'!$B75:$AY75,'recurring2_based on steps'!$B$1:$AY$1,X$1)+SUMIFS('changes2_based on steps'!$B75:$U75,'changes2_based on steps'!$B$1:$U$1,X$1)</f>
        <v>0</v>
      </c>
      <c r="Y75" s="140">
        <f ca="1">SUMIFS('recurring2_based on steps'!$B75:$AY75,'recurring2_based on steps'!$B$1:$AY$1,Y$1)+SUMIFS('changes2_based on steps'!$B75:$U75,'changes2_based on steps'!$B$1:$U$1,Y$1)</f>
        <v>0</v>
      </c>
      <c r="Z75" s="140">
        <f>SUMIFS('recurring2_based on steps'!$B75:$AY75,'recurring2_based on steps'!$B$1:$AY$1,Z$1)+SUMIFS('changes2_based on steps'!$B75:$U75,'changes2_based on steps'!$B$1:$U$1,Z$1)</f>
        <v>0</v>
      </c>
      <c r="AA75" s="140">
        <f ca="1">SUMIFS('recurring2_based on steps'!$B75:$AY75,'recurring2_based on steps'!$B$1:$AY$1,AA$1)+SUMIFS('changes2_based on steps'!$B75:$U75,'changes2_based on steps'!$B$1:$U$1,AA$1)</f>
        <v>0</v>
      </c>
      <c r="AB75" s="140">
        <f ca="1">SUMIFS('recurring2_based on steps'!$B75:$AY75,'recurring2_based on steps'!$B$1:$AY$1,AB$1)+SUMIFS('changes2_based on steps'!$B75:$U75,'changes2_based on steps'!$B$1:$U$1,AB$1)</f>
        <v>100</v>
      </c>
      <c r="AC75" s="140">
        <f ca="1">SUMIFS('recurring2_based on steps'!$B75:$AY75,'recurring2_based on steps'!$B$1:$AY$1,AC$1)+SUMIFS('changes2_based on steps'!$B75:$U75,'changes2_based on steps'!$B$1:$U$1,AC$1)</f>
        <v>0</v>
      </c>
      <c r="AD75" s="140">
        <f ca="1">SUMIFS('recurring2_based on steps'!$B75:$AY75,'recurring2_based on steps'!$B$1:$AY$1,AD$1)+SUMIFS('changes2_based on steps'!$B75:$U75,'changes2_based on steps'!$B$1:$U$1,AD$1)</f>
        <v>0</v>
      </c>
      <c r="AE75" s="140">
        <f>SUMIFS('recurring2_based on steps'!$B75:$AY75,'recurring2_based on steps'!$B$1:$AY$1,AE$1)+SUMIFS('changes2_based on steps'!$B75:$U75,'changes2_based on steps'!$B$1:$U$1,AE$1)</f>
        <v>0</v>
      </c>
      <c r="AF75" s="140"/>
      <c r="AG75" s="140"/>
      <c r="AH75" s="140"/>
      <c r="AI75" s="140"/>
      <c r="AJ75" s="140"/>
      <c r="AK75" s="140"/>
      <c r="AL75" s="140"/>
      <c r="AM75" s="140"/>
    </row>
    <row r="76" spans="1:39" x14ac:dyDescent="0.2">
      <c r="A76" s="29">
        <f t="shared" ca="1" si="1"/>
        <v>45816</v>
      </c>
      <c r="B76" s="140">
        <f ca="1">SUMIFS('recurring2_based on steps'!$B76:$AY76,'recurring2_based on steps'!$B$1:$AY$1,B$1)+SUMIFS('changes2_based on steps'!$B76:$U76,'changes2_based on steps'!$B$1:$U$1,B$1)</f>
        <v>0</v>
      </c>
      <c r="C76" s="140">
        <f>SUMIFS('recurring2_based on steps'!$B76:$AY76,'recurring2_based on steps'!$B$1:$AY$1,C$1)+SUMIFS('changes2_based on steps'!$B76:$U76,'changes2_based on steps'!$B$1:$U$1,C$1)</f>
        <v>0</v>
      </c>
      <c r="D76" s="140">
        <f>SUMIFS('recurring2_based on steps'!$B76:$AY76,'recurring2_based on steps'!$B$1:$AY$1,D$1)+SUMIFS('changes2_based on steps'!$B76:$U76,'changes2_based on steps'!$B$1:$U$1,D$1)</f>
        <v>0</v>
      </c>
      <c r="E76" s="140">
        <f>SUMIFS('recurring2_based on steps'!$B76:$AY76,'recurring2_based on steps'!$B$1:$AY$1,E$1)+SUMIFS('changes2_based on steps'!$B76:$U76,'changes2_based on steps'!$B$1:$U$1,E$1)</f>
        <v>0</v>
      </c>
      <c r="F76" s="140">
        <f>SUMIFS('recurring2_based on steps'!$B76:$AY76,'recurring2_based on steps'!$B$1:$AY$1,F$1)+SUMIFS('changes2_based on steps'!$B76:$U76,'changes2_based on steps'!$B$1:$U$1,F$1)</f>
        <v>0</v>
      </c>
      <c r="G76" s="140">
        <f>SUMIFS('recurring2_based on steps'!$B76:$AY76,'recurring2_based on steps'!$B$1:$AY$1,G$1)+SUMIFS('changes2_based on steps'!$B76:$U76,'changes2_based on steps'!$B$1:$U$1,G$1)</f>
        <v>0</v>
      </c>
      <c r="H76" s="140">
        <f>SUMIFS('recurring2_based on steps'!$B76:$AY76,'recurring2_based on steps'!$B$1:$AY$1,H$1)+SUMIFS('changes2_based on steps'!$B76:$U76,'changes2_based on steps'!$B$1:$U$1,H$1)</f>
        <v>0</v>
      </c>
      <c r="I76" s="140">
        <f>SUMIFS('recurring2_based on steps'!$B76:$AY76,'recurring2_based on steps'!$B$1:$AY$1,I$1)+SUMIFS('changes2_based on steps'!$B76:$U76,'changes2_based on steps'!$B$1:$U$1,I$1)</f>
        <v>0</v>
      </c>
      <c r="J76" s="140">
        <f ca="1">SUMIFS('recurring2_based on steps'!$B76:$AY76,'recurring2_based on steps'!$B$1:$AY$1,J$1)+SUMIFS('changes2_based on steps'!$B76:$U76,'changes2_based on steps'!$B$1:$U$1,J$1)</f>
        <v>0</v>
      </c>
      <c r="K76" s="140">
        <f>SUMIFS('recurring2_based on steps'!$B76:$AY76,'recurring2_based on steps'!$B$1:$AY$1,K$1)+SUMIFS('changes2_based on steps'!$B76:$U76,'changes2_based on steps'!$B$1:$U$1,K$1)</f>
        <v>0</v>
      </c>
      <c r="L76" s="140">
        <f>SUMIFS('recurring2_based on steps'!$B76:$AY76,'recurring2_based on steps'!$B$1:$AY$1,L$1)+SUMIFS('changes2_based on steps'!$B76:$U76,'changes2_based on steps'!$B$1:$U$1,L$1)</f>
        <v>0</v>
      </c>
      <c r="M76" s="140">
        <f>SUMIFS('recurring2_based on steps'!$B76:$AY76,'recurring2_based on steps'!$B$1:$AY$1,M$1)+SUMIFS('changes2_based on steps'!$B76:$U76,'changes2_based on steps'!$B$1:$U$1,M$1)</f>
        <v>0</v>
      </c>
      <c r="N76" s="140">
        <f ca="1">SUMIFS('recurring2_based on steps'!$B76:$AY76,'recurring2_based on steps'!$B$1:$AY$1,N$1)+SUMIFS('changes2_based on steps'!$B76:$U76,'changes2_based on steps'!$B$1:$U$1,N$1)</f>
        <v>0</v>
      </c>
      <c r="O76" s="140">
        <f>SUMIFS('recurring2_based on steps'!$B76:$AY76,'recurring2_based on steps'!$B$1:$AY$1,O$1)+SUMIFS('changes2_based on steps'!$B76:$U76,'changes2_based on steps'!$B$1:$U$1,O$1)</f>
        <v>0</v>
      </c>
      <c r="P76" s="140">
        <f ca="1">SUMIFS('recurring2_based on steps'!$B76:$AY76,'recurring2_based on steps'!$B$1:$AY$1,P$1)+SUMIFS('changes2_based on steps'!$B76:$U76,'changes2_based on steps'!$B$1:$U$1,P$1)</f>
        <v>0</v>
      </c>
      <c r="Q76" s="140">
        <f ca="1">SUMIFS('recurring2_based on steps'!$B76:$AY76,'recurring2_based on steps'!$B$1:$AY$1,Q$1)+SUMIFS('changes2_based on steps'!$B76:$U76,'changes2_based on steps'!$B$1:$U$1,Q$1)</f>
        <v>100.05540166204986</v>
      </c>
      <c r="R76" s="140">
        <f ca="1">SUMIFS('recurring2_based on steps'!$B76:$AY76,'recurring2_based on steps'!$B$1:$AY$1,R$1)+SUMIFS('changes2_based on steps'!$B76:$U76,'changes2_based on steps'!$B$1:$U$1,R$1)</f>
        <v>0</v>
      </c>
      <c r="S76" s="140">
        <f>SUMIFS('recurring2_based on steps'!$B76:$AY76,'recurring2_based on steps'!$B$1:$AY$1,S$1)+SUMIFS('changes2_based on steps'!$B76:$U76,'changes2_based on steps'!$B$1:$U$1,S$1)</f>
        <v>0</v>
      </c>
      <c r="T76" s="140">
        <f ca="1">SUMIFS('recurring2_based on steps'!$B76:$AY76,'recurring2_based on steps'!$B$1:$AY$1,T$1)+SUMIFS('changes2_based on steps'!$B76:$U76,'changes2_based on steps'!$B$1:$U$1,T$1)</f>
        <v>0</v>
      </c>
      <c r="U76" s="140">
        <f ca="1">SUMIFS('recurring2_based on steps'!$B76:$AY76,'recurring2_based on steps'!$B$1:$AY$1,U$1)+SUMIFS('changes2_based on steps'!$B76:$U76,'changes2_based on steps'!$B$1:$U$1,U$1)</f>
        <v>0</v>
      </c>
      <c r="V76" s="140">
        <f>SUMIFS('recurring2_based on steps'!$B76:$AY76,'recurring2_based on steps'!$B$1:$AY$1,V$1)+SUMIFS('changes2_based on steps'!$B76:$U76,'changes2_based on steps'!$B$1:$U$1,V$1)</f>
        <v>0</v>
      </c>
      <c r="W76" s="140">
        <f>SUMIFS('recurring2_based on steps'!$B76:$AY76,'recurring2_based on steps'!$B$1:$AY$1,W$1)+SUMIFS('changes2_based on steps'!$B76:$U76,'changes2_based on steps'!$B$1:$U$1,W$1)</f>
        <v>0</v>
      </c>
      <c r="X76" s="140">
        <f ca="1">SUMIFS('recurring2_based on steps'!$B76:$AY76,'recurring2_based on steps'!$B$1:$AY$1,X$1)+SUMIFS('changes2_based on steps'!$B76:$U76,'changes2_based on steps'!$B$1:$U$1,X$1)</f>
        <v>0</v>
      </c>
      <c r="Y76" s="140">
        <f ca="1">SUMIFS('recurring2_based on steps'!$B76:$AY76,'recurring2_based on steps'!$B$1:$AY$1,Y$1)+SUMIFS('changes2_based on steps'!$B76:$U76,'changes2_based on steps'!$B$1:$U$1,Y$1)</f>
        <v>50</v>
      </c>
      <c r="Z76" s="140">
        <f>SUMIFS('recurring2_based on steps'!$B76:$AY76,'recurring2_based on steps'!$B$1:$AY$1,Z$1)+SUMIFS('changes2_based on steps'!$B76:$U76,'changes2_based on steps'!$B$1:$U$1,Z$1)</f>
        <v>0</v>
      </c>
      <c r="AA76" s="140">
        <f ca="1">SUMIFS('recurring2_based on steps'!$B76:$AY76,'recurring2_based on steps'!$B$1:$AY$1,AA$1)+SUMIFS('changes2_based on steps'!$B76:$U76,'changes2_based on steps'!$B$1:$U$1,AA$1)</f>
        <v>0</v>
      </c>
      <c r="AB76" s="140">
        <f ca="1">SUMIFS('recurring2_based on steps'!$B76:$AY76,'recurring2_based on steps'!$B$1:$AY$1,AB$1)+SUMIFS('changes2_based on steps'!$B76:$U76,'changes2_based on steps'!$B$1:$U$1,AB$1)</f>
        <v>0</v>
      </c>
      <c r="AC76" s="140">
        <f ca="1">SUMIFS('recurring2_based on steps'!$B76:$AY76,'recurring2_based on steps'!$B$1:$AY$1,AC$1)+SUMIFS('changes2_based on steps'!$B76:$U76,'changes2_based on steps'!$B$1:$U$1,AC$1)</f>
        <v>0</v>
      </c>
      <c r="AD76" s="140">
        <f ca="1">SUMIFS('recurring2_based on steps'!$B76:$AY76,'recurring2_based on steps'!$B$1:$AY$1,AD$1)+SUMIFS('changes2_based on steps'!$B76:$U76,'changes2_based on steps'!$B$1:$U$1,AD$1)</f>
        <v>0</v>
      </c>
      <c r="AE76" s="140">
        <f>SUMIFS('recurring2_based on steps'!$B76:$AY76,'recurring2_based on steps'!$B$1:$AY$1,AE$1)+SUMIFS('changes2_based on steps'!$B76:$U76,'changes2_based on steps'!$B$1:$U$1,AE$1)</f>
        <v>0</v>
      </c>
      <c r="AF76" s="140"/>
      <c r="AG76" s="140"/>
      <c r="AH76" s="140"/>
      <c r="AI76" s="140"/>
      <c r="AJ76" s="140"/>
      <c r="AK76" s="140"/>
      <c r="AL76" s="140"/>
      <c r="AM76" s="140"/>
    </row>
    <row r="77" spans="1:39" x14ac:dyDescent="0.2">
      <c r="A77" s="29">
        <f t="shared" ca="1" si="1"/>
        <v>45817</v>
      </c>
      <c r="B77" s="140">
        <f ca="1">SUMIFS('recurring2_based on steps'!$B77:$AY77,'recurring2_based on steps'!$B$1:$AY$1,B$1)+SUMIFS('changes2_based on steps'!$B77:$U77,'changes2_based on steps'!$B$1:$U$1,B$1)</f>
        <v>0</v>
      </c>
      <c r="C77" s="140">
        <f>SUMIFS('recurring2_based on steps'!$B77:$AY77,'recurring2_based on steps'!$B$1:$AY$1,C$1)+SUMIFS('changes2_based on steps'!$B77:$U77,'changes2_based on steps'!$B$1:$U$1,C$1)</f>
        <v>0</v>
      </c>
      <c r="D77" s="140">
        <f>SUMIFS('recurring2_based on steps'!$B77:$AY77,'recurring2_based on steps'!$B$1:$AY$1,D$1)+SUMIFS('changes2_based on steps'!$B77:$U77,'changes2_based on steps'!$B$1:$U$1,D$1)</f>
        <v>0</v>
      </c>
      <c r="E77" s="140">
        <f>SUMIFS('recurring2_based on steps'!$B77:$AY77,'recurring2_based on steps'!$B$1:$AY$1,E$1)+SUMIFS('changes2_based on steps'!$B77:$U77,'changes2_based on steps'!$B$1:$U$1,E$1)</f>
        <v>0</v>
      </c>
      <c r="F77" s="140">
        <f>SUMIFS('recurring2_based on steps'!$B77:$AY77,'recurring2_based on steps'!$B$1:$AY$1,F$1)+SUMIFS('changes2_based on steps'!$B77:$U77,'changes2_based on steps'!$B$1:$U$1,F$1)</f>
        <v>0</v>
      </c>
      <c r="G77" s="140">
        <f>SUMIFS('recurring2_based on steps'!$B77:$AY77,'recurring2_based on steps'!$B$1:$AY$1,G$1)+SUMIFS('changes2_based on steps'!$B77:$U77,'changes2_based on steps'!$B$1:$U$1,G$1)</f>
        <v>0</v>
      </c>
      <c r="H77" s="140">
        <f>SUMIFS('recurring2_based on steps'!$B77:$AY77,'recurring2_based on steps'!$B$1:$AY$1,H$1)+SUMIFS('changes2_based on steps'!$B77:$U77,'changes2_based on steps'!$B$1:$U$1,H$1)</f>
        <v>0</v>
      </c>
      <c r="I77" s="140">
        <f>SUMIFS('recurring2_based on steps'!$B77:$AY77,'recurring2_based on steps'!$B$1:$AY$1,I$1)+SUMIFS('changes2_based on steps'!$B77:$U77,'changes2_based on steps'!$B$1:$U$1,I$1)</f>
        <v>0</v>
      </c>
      <c r="J77" s="140">
        <f ca="1">SUMIFS('recurring2_based on steps'!$B77:$AY77,'recurring2_based on steps'!$B$1:$AY$1,J$1)+SUMIFS('changes2_based on steps'!$B77:$U77,'changes2_based on steps'!$B$1:$U$1,J$1)</f>
        <v>0</v>
      </c>
      <c r="K77" s="140">
        <f>SUMIFS('recurring2_based on steps'!$B77:$AY77,'recurring2_based on steps'!$B$1:$AY$1,K$1)+SUMIFS('changes2_based on steps'!$B77:$U77,'changes2_based on steps'!$B$1:$U$1,K$1)</f>
        <v>0</v>
      </c>
      <c r="L77" s="140">
        <f>SUMIFS('recurring2_based on steps'!$B77:$AY77,'recurring2_based on steps'!$B$1:$AY$1,L$1)+SUMIFS('changes2_based on steps'!$B77:$U77,'changes2_based on steps'!$B$1:$U$1,L$1)</f>
        <v>0</v>
      </c>
      <c r="M77" s="140">
        <f>SUMIFS('recurring2_based on steps'!$B77:$AY77,'recurring2_based on steps'!$B$1:$AY$1,M$1)+SUMIFS('changes2_based on steps'!$B77:$U77,'changes2_based on steps'!$B$1:$U$1,M$1)</f>
        <v>0</v>
      </c>
      <c r="N77" s="140">
        <f ca="1">SUMIFS('recurring2_based on steps'!$B77:$AY77,'recurring2_based on steps'!$B$1:$AY$1,N$1)+SUMIFS('changes2_based on steps'!$B77:$U77,'changes2_based on steps'!$B$1:$U$1,N$1)</f>
        <v>0</v>
      </c>
      <c r="O77" s="140">
        <f>SUMIFS('recurring2_based on steps'!$B77:$AY77,'recurring2_based on steps'!$B$1:$AY$1,O$1)+SUMIFS('changes2_based on steps'!$B77:$U77,'changes2_based on steps'!$B$1:$U$1,O$1)</f>
        <v>0</v>
      </c>
      <c r="P77" s="140">
        <f ca="1">SUMIFS('recurring2_based on steps'!$B77:$AY77,'recurring2_based on steps'!$B$1:$AY$1,P$1)+SUMIFS('changes2_based on steps'!$B77:$U77,'changes2_based on steps'!$B$1:$U$1,P$1)</f>
        <v>0</v>
      </c>
      <c r="Q77" s="140">
        <f ca="1">SUMIFS('recurring2_based on steps'!$B77:$AY77,'recurring2_based on steps'!$B$1:$AY$1,Q$1)+SUMIFS('changes2_based on steps'!$B77:$U77,'changes2_based on steps'!$B$1:$U$1,Q$1)</f>
        <v>5.5401662049861494E-2</v>
      </c>
      <c r="R77" s="140">
        <f ca="1">SUMIFS('recurring2_based on steps'!$B77:$AY77,'recurring2_based on steps'!$B$1:$AY$1,R$1)+SUMIFS('changes2_based on steps'!$B77:$U77,'changes2_based on steps'!$B$1:$U$1,R$1)</f>
        <v>0</v>
      </c>
      <c r="S77" s="140">
        <f>SUMIFS('recurring2_based on steps'!$B77:$AY77,'recurring2_based on steps'!$B$1:$AY$1,S$1)+SUMIFS('changes2_based on steps'!$B77:$U77,'changes2_based on steps'!$B$1:$U$1,S$1)</f>
        <v>0</v>
      </c>
      <c r="T77" s="140">
        <f ca="1">SUMIFS('recurring2_based on steps'!$B77:$AY77,'recurring2_based on steps'!$B$1:$AY$1,T$1)+SUMIFS('changes2_based on steps'!$B77:$U77,'changes2_based on steps'!$B$1:$U$1,T$1)</f>
        <v>0</v>
      </c>
      <c r="U77" s="140">
        <f ca="1">SUMIFS('recurring2_based on steps'!$B77:$AY77,'recurring2_based on steps'!$B$1:$AY$1,U$1)+SUMIFS('changes2_based on steps'!$B77:$U77,'changes2_based on steps'!$B$1:$U$1,U$1)</f>
        <v>0</v>
      </c>
      <c r="V77" s="140">
        <f>SUMIFS('recurring2_based on steps'!$B77:$AY77,'recurring2_based on steps'!$B$1:$AY$1,V$1)+SUMIFS('changes2_based on steps'!$B77:$U77,'changes2_based on steps'!$B$1:$U$1,V$1)</f>
        <v>0</v>
      </c>
      <c r="W77" s="140">
        <f>SUMIFS('recurring2_based on steps'!$B77:$AY77,'recurring2_based on steps'!$B$1:$AY$1,W$1)+SUMIFS('changes2_based on steps'!$B77:$U77,'changes2_based on steps'!$B$1:$U$1,W$1)</f>
        <v>0</v>
      </c>
      <c r="X77" s="140">
        <f ca="1">SUMIFS('recurring2_based on steps'!$B77:$AY77,'recurring2_based on steps'!$B$1:$AY$1,X$1)+SUMIFS('changes2_based on steps'!$B77:$U77,'changes2_based on steps'!$B$1:$U$1,X$1)</f>
        <v>0</v>
      </c>
      <c r="Y77" s="140">
        <f ca="1">SUMIFS('recurring2_based on steps'!$B77:$AY77,'recurring2_based on steps'!$B$1:$AY$1,Y$1)+SUMIFS('changes2_based on steps'!$B77:$U77,'changes2_based on steps'!$B$1:$U$1,Y$1)</f>
        <v>0</v>
      </c>
      <c r="Z77" s="140">
        <f>SUMIFS('recurring2_based on steps'!$B77:$AY77,'recurring2_based on steps'!$B$1:$AY$1,Z$1)+SUMIFS('changes2_based on steps'!$B77:$U77,'changes2_based on steps'!$B$1:$U$1,Z$1)</f>
        <v>0</v>
      </c>
      <c r="AA77" s="140">
        <f ca="1">SUMIFS('recurring2_based on steps'!$B77:$AY77,'recurring2_based on steps'!$B$1:$AY$1,AA$1)+SUMIFS('changes2_based on steps'!$B77:$U77,'changes2_based on steps'!$B$1:$U$1,AA$1)</f>
        <v>50</v>
      </c>
      <c r="AB77" s="140">
        <f ca="1">SUMIFS('recurring2_based on steps'!$B77:$AY77,'recurring2_based on steps'!$B$1:$AY$1,AB$1)+SUMIFS('changes2_based on steps'!$B77:$U77,'changes2_based on steps'!$B$1:$U$1,AB$1)</f>
        <v>0</v>
      </c>
      <c r="AC77" s="140">
        <f ca="1">SUMIFS('recurring2_based on steps'!$B77:$AY77,'recurring2_based on steps'!$B$1:$AY$1,AC$1)+SUMIFS('changes2_based on steps'!$B77:$U77,'changes2_based on steps'!$B$1:$U$1,AC$1)</f>
        <v>0</v>
      </c>
      <c r="AD77" s="140">
        <f ca="1">SUMIFS('recurring2_based on steps'!$B77:$AY77,'recurring2_based on steps'!$B$1:$AY$1,AD$1)+SUMIFS('changes2_based on steps'!$B77:$U77,'changes2_based on steps'!$B$1:$U$1,AD$1)</f>
        <v>0</v>
      </c>
      <c r="AE77" s="140">
        <f>SUMIFS('recurring2_based on steps'!$B77:$AY77,'recurring2_based on steps'!$B$1:$AY$1,AE$1)+SUMIFS('changes2_based on steps'!$B77:$U77,'changes2_based on steps'!$B$1:$U$1,AE$1)</f>
        <v>0</v>
      </c>
      <c r="AF77" s="140"/>
      <c r="AG77" s="140"/>
      <c r="AH77" s="140"/>
      <c r="AI77" s="140"/>
      <c r="AJ77" s="140"/>
      <c r="AK77" s="140"/>
      <c r="AL77" s="140"/>
      <c r="AM77" s="140"/>
    </row>
    <row r="78" spans="1:39" x14ac:dyDescent="0.2">
      <c r="A78" s="29">
        <f t="shared" ca="1" si="1"/>
        <v>45818</v>
      </c>
      <c r="B78" s="140">
        <f ca="1">SUMIFS('recurring2_based on steps'!$B78:$AY78,'recurring2_based on steps'!$B$1:$AY$1,B$1)+SUMIFS('changes2_based on steps'!$B78:$U78,'changes2_based on steps'!$B$1:$U$1,B$1)</f>
        <v>0</v>
      </c>
      <c r="C78" s="140">
        <f>SUMIFS('recurring2_based on steps'!$B78:$AY78,'recurring2_based on steps'!$B$1:$AY$1,C$1)+SUMIFS('changes2_based on steps'!$B78:$U78,'changes2_based on steps'!$B$1:$U$1,C$1)</f>
        <v>0</v>
      </c>
      <c r="D78" s="140">
        <f>SUMIFS('recurring2_based on steps'!$B78:$AY78,'recurring2_based on steps'!$B$1:$AY$1,D$1)+SUMIFS('changes2_based on steps'!$B78:$U78,'changes2_based on steps'!$B$1:$U$1,D$1)</f>
        <v>0</v>
      </c>
      <c r="E78" s="140">
        <f>SUMIFS('recurring2_based on steps'!$B78:$AY78,'recurring2_based on steps'!$B$1:$AY$1,E$1)+SUMIFS('changes2_based on steps'!$B78:$U78,'changes2_based on steps'!$B$1:$U$1,E$1)</f>
        <v>0</v>
      </c>
      <c r="F78" s="140">
        <f>SUMIFS('recurring2_based on steps'!$B78:$AY78,'recurring2_based on steps'!$B$1:$AY$1,F$1)+SUMIFS('changes2_based on steps'!$B78:$U78,'changes2_based on steps'!$B$1:$U$1,F$1)</f>
        <v>0</v>
      </c>
      <c r="G78" s="140">
        <f>SUMIFS('recurring2_based on steps'!$B78:$AY78,'recurring2_based on steps'!$B$1:$AY$1,G$1)+SUMIFS('changes2_based on steps'!$B78:$U78,'changes2_based on steps'!$B$1:$U$1,G$1)</f>
        <v>0</v>
      </c>
      <c r="H78" s="140">
        <f>SUMIFS('recurring2_based on steps'!$B78:$AY78,'recurring2_based on steps'!$B$1:$AY$1,H$1)+SUMIFS('changes2_based on steps'!$B78:$U78,'changes2_based on steps'!$B$1:$U$1,H$1)</f>
        <v>0</v>
      </c>
      <c r="I78" s="140">
        <f>SUMIFS('recurring2_based on steps'!$B78:$AY78,'recurring2_based on steps'!$B$1:$AY$1,I$1)+SUMIFS('changes2_based on steps'!$B78:$U78,'changes2_based on steps'!$B$1:$U$1,I$1)</f>
        <v>0</v>
      </c>
      <c r="J78" s="140">
        <f ca="1">SUMIFS('recurring2_based on steps'!$B78:$AY78,'recurring2_based on steps'!$B$1:$AY$1,J$1)+SUMIFS('changes2_based on steps'!$B78:$U78,'changes2_based on steps'!$B$1:$U$1,J$1)</f>
        <v>0</v>
      </c>
      <c r="K78" s="140">
        <f>SUMIFS('recurring2_based on steps'!$B78:$AY78,'recurring2_based on steps'!$B$1:$AY$1,K$1)+SUMIFS('changes2_based on steps'!$B78:$U78,'changes2_based on steps'!$B$1:$U$1,K$1)</f>
        <v>0</v>
      </c>
      <c r="L78" s="140">
        <f>SUMIFS('recurring2_based on steps'!$B78:$AY78,'recurring2_based on steps'!$B$1:$AY$1,L$1)+SUMIFS('changes2_based on steps'!$B78:$U78,'changes2_based on steps'!$B$1:$U$1,L$1)</f>
        <v>0</v>
      </c>
      <c r="M78" s="140">
        <f>SUMIFS('recurring2_based on steps'!$B78:$AY78,'recurring2_based on steps'!$B$1:$AY$1,M$1)+SUMIFS('changes2_based on steps'!$B78:$U78,'changes2_based on steps'!$B$1:$U$1,M$1)</f>
        <v>0</v>
      </c>
      <c r="N78" s="140">
        <f ca="1">SUMIFS('recurring2_based on steps'!$B78:$AY78,'recurring2_based on steps'!$B$1:$AY$1,N$1)+SUMIFS('changes2_based on steps'!$B78:$U78,'changes2_based on steps'!$B$1:$U$1,N$1)</f>
        <v>0</v>
      </c>
      <c r="O78" s="140">
        <f>SUMIFS('recurring2_based on steps'!$B78:$AY78,'recurring2_based on steps'!$B$1:$AY$1,O$1)+SUMIFS('changes2_based on steps'!$B78:$U78,'changes2_based on steps'!$B$1:$U$1,O$1)</f>
        <v>0</v>
      </c>
      <c r="P78" s="140">
        <f ca="1">SUMIFS('recurring2_based on steps'!$B78:$AY78,'recurring2_based on steps'!$B$1:$AY$1,P$1)+SUMIFS('changes2_based on steps'!$B78:$U78,'changes2_based on steps'!$B$1:$U$1,P$1)</f>
        <v>0</v>
      </c>
      <c r="Q78" s="140">
        <f ca="1">SUMIFS('recurring2_based on steps'!$B78:$AY78,'recurring2_based on steps'!$B$1:$AY$1,Q$1)+SUMIFS('changes2_based on steps'!$B78:$U78,'changes2_based on steps'!$B$1:$U$1,Q$1)</f>
        <v>5.5401662049861494E-2</v>
      </c>
      <c r="R78" s="140">
        <f ca="1">SUMIFS('recurring2_based on steps'!$B78:$AY78,'recurring2_based on steps'!$B$1:$AY$1,R$1)+SUMIFS('changes2_based on steps'!$B78:$U78,'changes2_based on steps'!$B$1:$U$1,R$1)</f>
        <v>0</v>
      </c>
      <c r="S78" s="140">
        <f>SUMIFS('recurring2_based on steps'!$B78:$AY78,'recurring2_based on steps'!$B$1:$AY$1,S$1)+SUMIFS('changes2_based on steps'!$B78:$U78,'changes2_based on steps'!$B$1:$U$1,S$1)</f>
        <v>0</v>
      </c>
      <c r="T78" s="140">
        <f ca="1">SUMIFS('recurring2_based on steps'!$B78:$AY78,'recurring2_based on steps'!$B$1:$AY$1,T$1)+SUMIFS('changes2_based on steps'!$B78:$U78,'changes2_based on steps'!$B$1:$U$1,T$1)</f>
        <v>0</v>
      </c>
      <c r="U78" s="140">
        <f ca="1">SUMIFS('recurring2_based on steps'!$B78:$AY78,'recurring2_based on steps'!$B$1:$AY$1,U$1)+SUMIFS('changes2_based on steps'!$B78:$U78,'changes2_based on steps'!$B$1:$U$1,U$1)</f>
        <v>0</v>
      </c>
      <c r="V78" s="140">
        <f>SUMIFS('recurring2_based on steps'!$B78:$AY78,'recurring2_based on steps'!$B$1:$AY$1,V$1)+SUMIFS('changes2_based on steps'!$B78:$U78,'changes2_based on steps'!$B$1:$U$1,V$1)</f>
        <v>0</v>
      </c>
      <c r="W78" s="140">
        <f>SUMIFS('recurring2_based on steps'!$B78:$AY78,'recurring2_based on steps'!$B$1:$AY$1,W$1)+SUMIFS('changes2_based on steps'!$B78:$U78,'changes2_based on steps'!$B$1:$U$1,W$1)</f>
        <v>0</v>
      </c>
      <c r="X78" s="140">
        <f ca="1">SUMIFS('recurring2_based on steps'!$B78:$AY78,'recurring2_based on steps'!$B$1:$AY$1,X$1)+SUMIFS('changes2_based on steps'!$B78:$U78,'changes2_based on steps'!$B$1:$U$1,X$1)</f>
        <v>0</v>
      </c>
      <c r="Y78" s="140">
        <f ca="1">SUMIFS('recurring2_based on steps'!$B78:$AY78,'recurring2_based on steps'!$B$1:$AY$1,Y$1)+SUMIFS('changes2_based on steps'!$B78:$U78,'changes2_based on steps'!$B$1:$U$1,Y$1)</f>
        <v>0</v>
      </c>
      <c r="Z78" s="140">
        <f>SUMIFS('recurring2_based on steps'!$B78:$AY78,'recurring2_based on steps'!$B$1:$AY$1,Z$1)+SUMIFS('changes2_based on steps'!$B78:$U78,'changes2_based on steps'!$B$1:$U$1,Z$1)</f>
        <v>0</v>
      </c>
      <c r="AA78" s="140">
        <f ca="1">SUMIFS('recurring2_based on steps'!$B78:$AY78,'recurring2_based on steps'!$B$1:$AY$1,AA$1)+SUMIFS('changes2_based on steps'!$B78:$U78,'changes2_based on steps'!$B$1:$U$1,AA$1)</f>
        <v>0</v>
      </c>
      <c r="AB78" s="140">
        <f ca="1">SUMIFS('recurring2_based on steps'!$B78:$AY78,'recurring2_based on steps'!$B$1:$AY$1,AB$1)+SUMIFS('changes2_based on steps'!$B78:$U78,'changes2_based on steps'!$B$1:$U$1,AB$1)</f>
        <v>0</v>
      </c>
      <c r="AC78" s="140">
        <f ca="1">SUMIFS('recurring2_based on steps'!$B78:$AY78,'recurring2_based on steps'!$B$1:$AY$1,AC$1)+SUMIFS('changes2_based on steps'!$B78:$U78,'changes2_based on steps'!$B$1:$U$1,AC$1)</f>
        <v>0</v>
      </c>
      <c r="AD78" s="140">
        <f ca="1">SUMIFS('recurring2_based on steps'!$B78:$AY78,'recurring2_based on steps'!$B$1:$AY$1,AD$1)+SUMIFS('changes2_based on steps'!$B78:$U78,'changes2_based on steps'!$B$1:$U$1,AD$1)</f>
        <v>0</v>
      </c>
      <c r="AE78" s="140">
        <f>SUMIFS('recurring2_based on steps'!$B78:$AY78,'recurring2_based on steps'!$B$1:$AY$1,AE$1)+SUMIFS('changes2_based on steps'!$B78:$U78,'changes2_based on steps'!$B$1:$U$1,AE$1)</f>
        <v>0</v>
      </c>
      <c r="AF78" s="140"/>
      <c r="AG78" s="140"/>
      <c r="AH78" s="140"/>
      <c r="AI78" s="140"/>
      <c r="AJ78" s="140"/>
      <c r="AK78" s="140"/>
      <c r="AL78" s="140"/>
      <c r="AM78" s="140"/>
    </row>
    <row r="79" spans="1:39" x14ac:dyDescent="0.2">
      <c r="A79" s="29">
        <f t="shared" ca="1" si="1"/>
        <v>45819</v>
      </c>
      <c r="B79" s="140">
        <f ca="1">SUMIFS('recurring2_based on steps'!$B79:$AY79,'recurring2_based on steps'!$B$1:$AY$1,B$1)+SUMIFS('changes2_based on steps'!$B79:$U79,'changes2_based on steps'!$B$1:$U$1,B$1)</f>
        <v>0</v>
      </c>
      <c r="C79" s="140">
        <f>SUMIFS('recurring2_based on steps'!$B79:$AY79,'recurring2_based on steps'!$B$1:$AY$1,C$1)+SUMIFS('changes2_based on steps'!$B79:$U79,'changes2_based on steps'!$B$1:$U$1,C$1)</f>
        <v>0</v>
      </c>
      <c r="D79" s="140">
        <f>SUMIFS('recurring2_based on steps'!$B79:$AY79,'recurring2_based on steps'!$B$1:$AY$1,D$1)+SUMIFS('changes2_based on steps'!$B79:$U79,'changes2_based on steps'!$B$1:$U$1,D$1)</f>
        <v>0</v>
      </c>
      <c r="E79" s="140">
        <f>SUMIFS('recurring2_based on steps'!$B79:$AY79,'recurring2_based on steps'!$B$1:$AY$1,E$1)+SUMIFS('changes2_based on steps'!$B79:$U79,'changes2_based on steps'!$B$1:$U$1,E$1)</f>
        <v>0</v>
      </c>
      <c r="F79" s="140">
        <f>SUMIFS('recurring2_based on steps'!$B79:$AY79,'recurring2_based on steps'!$B$1:$AY$1,F$1)+SUMIFS('changes2_based on steps'!$B79:$U79,'changes2_based on steps'!$B$1:$U$1,F$1)</f>
        <v>0</v>
      </c>
      <c r="G79" s="140">
        <f>SUMIFS('recurring2_based on steps'!$B79:$AY79,'recurring2_based on steps'!$B$1:$AY$1,G$1)+SUMIFS('changes2_based on steps'!$B79:$U79,'changes2_based on steps'!$B$1:$U$1,G$1)</f>
        <v>0</v>
      </c>
      <c r="H79" s="140">
        <f>SUMIFS('recurring2_based on steps'!$B79:$AY79,'recurring2_based on steps'!$B$1:$AY$1,H$1)+SUMIFS('changes2_based on steps'!$B79:$U79,'changes2_based on steps'!$B$1:$U$1,H$1)</f>
        <v>0</v>
      </c>
      <c r="I79" s="140">
        <f>SUMIFS('recurring2_based on steps'!$B79:$AY79,'recurring2_based on steps'!$B$1:$AY$1,I$1)+SUMIFS('changes2_based on steps'!$B79:$U79,'changes2_based on steps'!$B$1:$U$1,I$1)</f>
        <v>0</v>
      </c>
      <c r="J79" s="140">
        <f ca="1">SUMIFS('recurring2_based on steps'!$B79:$AY79,'recurring2_based on steps'!$B$1:$AY$1,J$1)+SUMIFS('changes2_based on steps'!$B79:$U79,'changes2_based on steps'!$B$1:$U$1,J$1)</f>
        <v>0</v>
      </c>
      <c r="K79" s="140">
        <f>SUMIFS('recurring2_based on steps'!$B79:$AY79,'recurring2_based on steps'!$B$1:$AY$1,K$1)+SUMIFS('changes2_based on steps'!$B79:$U79,'changes2_based on steps'!$B$1:$U$1,K$1)</f>
        <v>0</v>
      </c>
      <c r="L79" s="140">
        <f>SUMIFS('recurring2_based on steps'!$B79:$AY79,'recurring2_based on steps'!$B$1:$AY$1,L$1)+SUMIFS('changes2_based on steps'!$B79:$U79,'changes2_based on steps'!$B$1:$U$1,L$1)</f>
        <v>0</v>
      </c>
      <c r="M79" s="140">
        <f>SUMIFS('recurring2_based on steps'!$B79:$AY79,'recurring2_based on steps'!$B$1:$AY$1,M$1)+SUMIFS('changes2_based on steps'!$B79:$U79,'changes2_based on steps'!$B$1:$U$1,M$1)</f>
        <v>0</v>
      </c>
      <c r="N79" s="140">
        <f ca="1">SUMIFS('recurring2_based on steps'!$B79:$AY79,'recurring2_based on steps'!$B$1:$AY$1,N$1)+SUMIFS('changes2_based on steps'!$B79:$U79,'changes2_based on steps'!$B$1:$U$1,N$1)</f>
        <v>0</v>
      </c>
      <c r="O79" s="140">
        <f>SUMIFS('recurring2_based on steps'!$B79:$AY79,'recurring2_based on steps'!$B$1:$AY$1,O$1)+SUMIFS('changes2_based on steps'!$B79:$U79,'changes2_based on steps'!$B$1:$U$1,O$1)</f>
        <v>0</v>
      </c>
      <c r="P79" s="140">
        <f ca="1">SUMIFS('recurring2_based on steps'!$B79:$AY79,'recurring2_based on steps'!$B$1:$AY$1,P$1)+SUMIFS('changes2_based on steps'!$B79:$U79,'changes2_based on steps'!$B$1:$U$1,P$1)</f>
        <v>0</v>
      </c>
      <c r="Q79" s="140">
        <f ca="1">SUMIFS('recurring2_based on steps'!$B79:$AY79,'recurring2_based on steps'!$B$1:$AY$1,Q$1)+SUMIFS('changes2_based on steps'!$B79:$U79,'changes2_based on steps'!$B$1:$U$1,Q$1)</f>
        <v>5.5401662049861494E-2</v>
      </c>
      <c r="R79" s="140">
        <f ca="1">SUMIFS('recurring2_based on steps'!$B79:$AY79,'recurring2_based on steps'!$B$1:$AY$1,R$1)+SUMIFS('changes2_based on steps'!$B79:$U79,'changes2_based on steps'!$B$1:$U$1,R$1)</f>
        <v>0</v>
      </c>
      <c r="S79" s="140">
        <f>SUMIFS('recurring2_based on steps'!$B79:$AY79,'recurring2_based on steps'!$B$1:$AY$1,S$1)+SUMIFS('changes2_based on steps'!$B79:$U79,'changes2_based on steps'!$B$1:$U$1,S$1)</f>
        <v>0</v>
      </c>
      <c r="T79" s="140">
        <f ca="1">SUMIFS('recurring2_based on steps'!$B79:$AY79,'recurring2_based on steps'!$B$1:$AY$1,T$1)+SUMIFS('changes2_based on steps'!$B79:$U79,'changes2_based on steps'!$B$1:$U$1,T$1)</f>
        <v>0</v>
      </c>
      <c r="U79" s="140">
        <f ca="1">SUMIFS('recurring2_based on steps'!$B79:$AY79,'recurring2_based on steps'!$B$1:$AY$1,U$1)+SUMIFS('changes2_based on steps'!$B79:$U79,'changes2_based on steps'!$B$1:$U$1,U$1)</f>
        <v>0</v>
      </c>
      <c r="V79" s="140">
        <f>SUMIFS('recurring2_based on steps'!$B79:$AY79,'recurring2_based on steps'!$B$1:$AY$1,V$1)+SUMIFS('changes2_based on steps'!$B79:$U79,'changes2_based on steps'!$B$1:$U$1,V$1)</f>
        <v>0</v>
      </c>
      <c r="W79" s="140">
        <f>SUMIFS('recurring2_based on steps'!$B79:$AY79,'recurring2_based on steps'!$B$1:$AY$1,W$1)+SUMIFS('changes2_based on steps'!$B79:$U79,'changes2_based on steps'!$B$1:$U$1,W$1)</f>
        <v>0</v>
      </c>
      <c r="X79" s="140">
        <f ca="1">SUMIFS('recurring2_based on steps'!$B79:$AY79,'recurring2_based on steps'!$B$1:$AY$1,X$1)+SUMIFS('changes2_based on steps'!$B79:$U79,'changes2_based on steps'!$B$1:$U$1,X$1)</f>
        <v>0</v>
      </c>
      <c r="Y79" s="140">
        <f ca="1">SUMIFS('recurring2_based on steps'!$B79:$AY79,'recurring2_based on steps'!$B$1:$AY$1,Y$1)+SUMIFS('changes2_based on steps'!$B79:$U79,'changes2_based on steps'!$B$1:$U$1,Y$1)</f>
        <v>500</v>
      </c>
      <c r="Z79" s="140">
        <f>SUMIFS('recurring2_based on steps'!$B79:$AY79,'recurring2_based on steps'!$B$1:$AY$1,Z$1)+SUMIFS('changes2_based on steps'!$B79:$U79,'changes2_based on steps'!$B$1:$U$1,Z$1)</f>
        <v>0</v>
      </c>
      <c r="AA79" s="140">
        <f ca="1">SUMIFS('recurring2_based on steps'!$B79:$AY79,'recurring2_based on steps'!$B$1:$AY$1,AA$1)+SUMIFS('changes2_based on steps'!$B79:$U79,'changes2_based on steps'!$B$1:$U$1,AA$1)</f>
        <v>0</v>
      </c>
      <c r="AB79" s="140">
        <f ca="1">SUMIFS('recurring2_based on steps'!$B79:$AY79,'recurring2_based on steps'!$B$1:$AY$1,AB$1)+SUMIFS('changes2_based on steps'!$B79:$U79,'changes2_based on steps'!$B$1:$U$1,AB$1)</f>
        <v>0</v>
      </c>
      <c r="AC79" s="140">
        <f ca="1">SUMIFS('recurring2_based on steps'!$B79:$AY79,'recurring2_based on steps'!$B$1:$AY$1,AC$1)+SUMIFS('changes2_based on steps'!$B79:$U79,'changes2_based on steps'!$B$1:$U$1,AC$1)</f>
        <v>0</v>
      </c>
      <c r="AD79" s="140">
        <f ca="1">SUMIFS('recurring2_based on steps'!$B79:$AY79,'recurring2_based on steps'!$B$1:$AY$1,AD$1)+SUMIFS('changes2_based on steps'!$B79:$U79,'changes2_based on steps'!$B$1:$U$1,AD$1)</f>
        <v>0</v>
      </c>
      <c r="AE79" s="140">
        <f>SUMIFS('recurring2_based on steps'!$B79:$AY79,'recurring2_based on steps'!$B$1:$AY$1,AE$1)+SUMIFS('changes2_based on steps'!$B79:$U79,'changes2_based on steps'!$B$1:$U$1,AE$1)</f>
        <v>0</v>
      </c>
      <c r="AF79" s="140"/>
      <c r="AG79" s="140"/>
      <c r="AH79" s="140"/>
      <c r="AI79" s="140"/>
      <c r="AJ79" s="140"/>
      <c r="AK79" s="140"/>
      <c r="AL79" s="140"/>
      <c r="AM79" s="140"/>
    </row>
    <row r="80" spans="1:39" x14ac:dyDescent="0.2">
      <c r="A80" s="29">
        <f t="shared" ca="1" si="1"/>
        <v>45820</v>
      </c>
      <c r="B80" s="140">
        <f ca="1">SUMIFS('recurring2_based on steps'!$B80:$AY80,'recurring2_based on steps'!$B$1:$AY$1,B$1)+SUMIFS('changes2_based on steps'!$B80:$U80,'changes2_based on steps'!$B$1:$U$1,B$1)</f>
        <v>0</v>
      </c>
      <c r="C80" s="140">
        <f>SUMIFS('recurring2_based on steps'!$B80:$AY80,'recurring2_based on steps'!$B$1:$AY$1,C$1)+SUMIFS('changes2_based on steps'!$B80:$U80,'changes2_based on steps'!$B$1:$U$1,C$1)</f>
        <v>0</v>
      </c>
      <c r="D80" s="140">
        <f>SUMIFS('recurring2_based on steps'!$B80:$AY80,'recurring2_based on steps'!$B$1:$AY$1,D$1)+SUMIFS('changes2_based on steps'!$B80:$U80,'changes2_based on steps'!$B$1:$U$1,D$1)</f>
        <v>0</v>
      </c>
      <c r="E80" s="140">
        <f>SUMIFS('recurring2_based on steps'!$B80:$AY80,'recurring2_based on steps'!$B$1:$AY$1,E$1)+SUMIFS('changes2_based on steps'!$B80:$U80,'changes2_based on steps'!$B$1:$U$1,E$1)</f>
        <v>0</v>
      </c>
      <c r="F80" s="140">
        <f>SUMIFS('recurring2_based on steps'!$B80:$AY80,'recurring2_based on steps'!$B$1:$AY$1,F$1)+SUMIFS('changes2_based on steps'!$B80:$U80,'changes2_based on steps'!$B$1:$U$1,F$1)</f>
        <v>0</v>
      </c>
      <c r="G80" s="140">
        <f>SUMIFS('recurring2_based on steps'!$B80:$AY80,'recurring2_based on steps'!$B$1:$AY$1,G$1)+SUMIFS('changes2_based on steps'!$B80:$U80,'changes2_based on steps'!$B$1:$U$1,G$1)</f>
        <v>0</v>
      </c>
      <c r="H80" s="140">
        <f>SUMIFS('recurring2_based on steps'!$B80:$AY80,'recurring2_based on steps'!$B$1:$AY$1,H$1)+SUMIFS('changes2_based on steps'!$B80:$U80,'changes2_based on steps'!$B$1:$U$1,H$1)</f>
        <v>0</v>
      </c>
      <c r="I80" s="140">
        <f>SUMIFS('recurring2_based on steps'!$B80:$AY80,'recurring2_based on steps'!$B$1:$AY$1,I$1)+SUMIFS('changes2_based on steps'!$B80:$U80,'changes2_based on steps'!$B$1:$U$1,I$1)</f>
        <v>0</v>
      </c>
      <c r="J80" s="140">
        <f ca="1">SUMIFS('recurring2_based on steps'!$B80:$AY80,'recurring2_based on steps'!$B$1:$AY$1,J$1)+SUMIFS('changes2_based on steps'!$B80:$U80,'changes2_based on steps'!$B$1:$U$1,J$1)</f>
        <v>0</v>
      </c>
      <c r="K80" s="140">
        <f>SUMIFS('recurring2_based on steps'!$B80:$AY80,'recurring2_based on steps'!$B$1:$AY$1,K$1)+SUMIFS('changes2_based on steps'!$B80:$U80,'changes2_based on steps'!$B$1:$U$1,K$1)</f>
        <v>0</v>
      </c>
      <c r="L80" s="140">
        <f>SUMIFS('recurring2_based on steps'!$B80:$AY80,'recurring2_based on steps'!$B$1:$AY$1,L$1)+SUMIFS('changes2_based on steps'!$B80:$U80,'changes2_based on steps'!$B$1:$U$1,L$1)</f>
        <v>0</v>
      </c>
      <c r="M80" s="140">
        <f>SUMIFS('recurring2_based on steps'!$B80:$AY80,'recurring2_based on steps'!$B$1:$AY$1,M$1)+SUMIFS('changes2_based on steps'!$B80:$U80,'changes2_based on steps'!$B$1:$U$1,M$1)</f>
        <v>0</v>
      </c>
      <c r="N80" s="140">
        <f ca="1">SUMIFS('recurring2_based on steps'!$B80:$AY80,'recurring2_based on steps'!$B$1:$AY$1,N$1)+SUMIFS('changes2_based on steps'!$B80:$U80,'changes2_based on steps'!$B$1:$U$1,N$1)</f>
        <v>0</v>
      </c>
      <c r="O80" s="140">
        <f>SUMIFS('recurring2_based on steps'!$B80:$AY80,'recurring2_based on steps'!$B$1:$AY$1,O$1)+SUMIFS('changes2_based on steps'!$B80:$U80,'changes2_based on steps'!$B$1:$U$1,O$1)</f>
        <v>0</v>
      </c>
      <c r="P80" s="140">
        <f ca="1">SUMIFS('recurring2_based on steps'!$B80:$AY80,'recurring2_based on steps'!$B$1:$AY$1,P$1)+SUMIFS('changes2_based on steps'!$B80:$U80,'changes2_based on steps'!$B$1:$U$1,P$1)</f>
        <v>0</v>
      </c>
      <c r="Q80" s="140">
        <f ca="1">SUMIFS('recurring2_based on steps'!$B80:$AY80,'recurring2_based on steps'!$B$1:$AY$1,Q$1)+SUMIFS('changes2_based on steps'!$B80:$U80,'changes2_based on steps'!$B$1:$U$1,Q$1)</f>
        <v>5.5401662049861494E-2</v>
      </c>
      <c r="R80" s="140">
        <f ca="1">SUMIFS('recurring2_based on steps'!$B80:$AY80,'recurring2_based on steps'!$B$1:$AY$1,R$1)+SUMIFS('changes2_based on steps'!$B80:$U80,'changes2_based on steps'!$B$1:$U$1,R$1)</f>
        <v>0</v>
      </c>
      <c r="S80" s="140">
        <f>SUMIFS('recurring2_based on steps'!$B80:$AY80,'recurring2_based on steps'!$B$1:$AY$1,S$1)+SUMIFS('changes2_based on steps'!$B80:$U80,'changes2_based on steps'!$B$1:$U$1,S$1)</f>
        <v>0</v>
      </c>
      <c r="T80" s="140">
        <f ca="1">SUMIFS('recurring2_based on steps'!$B80:$AY80,'recurring2_based on steps'!$B$1:$AY$1,T$1)+SUMIFS('changes2_based on steps'!$B80:$U80,'changes2_based on steps'!$B$1:$U$1,T$1)</f>
        <v>0</v>
      </c>
      <c r="U80" s="140">
        <f ca="1">SUMIFS('recurring2_based on steps'!$B80:$AY80,'recurring2_based on steps'!$B$1:$AY$1,U$1)+SUMIFS('changes2_based on steps'!$B80:$U80,'changes2_based on steps'!$B$1:$U$1,U$1)</f>
        <v>0</v>
      </c>
      <c r="V80" s="140">
        <f>SUMIFS('recurring2_based on steps'!$B80:$AY80,'recurring2_based on steps'!$B$1:$AY$1,V$1)+SUMIFS('changes2_based on steps'!$B80:$U80,'changes2_based on steps'!$B$1:$U$1,V$1)</f>
        <v>0</v>
      </c>
      <c r="W80" s="140">
        <f>SUMIFS('recurring2_based on steps'!$B80:$AY80,'recurring2_based on steps'!$B$1:$AY$1,W$1)+SUMIFS('changes2_based on steps'!$B80:$U80,'changes2_based on steps'!$B$1:$U$1,W$1)</f>
        <v>0</v>
      </c>
      <c r="X80" s="140">
        <f ca="1">SUMIFS('recurring2_based on steps'!$B80:$AY80,'recurring2_based on steps'!$B$1:$AY$1,X$1)+SUMIFS('changes2_based on steps'!$B80:$U80,'changes2_based on steps'!$B$1:$U$1,X$1)</f>
        <v>0</v>
      </c>
      <c r="Y80" s="140">
        <f ca="1">SUMIFS('recurring2_based on steps'!$B80:$AY80,'recurring2_based on steps'!$B$1:$AY$1,Y$1)+SUMIFS('changes2_based on steps'!$B80:$U80,'changes2_based on steps'!$B$1:$U$1,Y$1)</f>
        <v>0</v>
      </c>
      <c r="Z80" s="140">
        <f>SUMIFS('recurring2_based on steps'!$B80:$AY80,'recurring2_based on steps'!$B$1:$AY$1,Z$1)+SUMIFS('changes2_based on steps'!$B80:$U80,'changes2_based on steps'!$B$1:$U$1,Z$1)</f>
        <v>0</v>
      </c>
      <c r="AA80" s="140">
        <f ca="1">SUMIFS('recurring2_based on steps'!$B80:$AY80,'recurring2_based on steps'!$B$1:$AY$1,AA$1)+SUMIFS('changes2_based on steps'!$B80:$U80,'changes2_based on steps'!$B$1:$U$1,AA$1)</f>
        <v>0</v>
      </c>
      <c r="AB80" s="140">
        <f ca="1">SUMIFS('recurring2_based on steps'!$B80:$AY80,'recurring2_based on steps'!$B$1:$AY$1,AB$1)+SUMIFS('changes2_based on steps'!$B80:$U80,'changes2_based on steps'!$B$1:$U$1,AB$1)</f>
        <v>0</v>
      </c>
      <c r="AC80" s="140">
        <f ca="1">SUMIFS('recurring2_based on steps'!$B80:$AY80,'recurring2_based on steps'!$B$1:$AY$1,AC$1)+SUMIFS('changes2_based on steps'!$B80:$U80,'changes2_based on steps'!$B$1:$U$1,AC$1)</f>
        <v>0</v>
      </c>
      <c r="AD80" s="140">
        <f ca="1">SUMIFS('recurring2_based on steps'!$B80:$AY80,'recurring2_based on steps'!$B$1:$AY$1,AD$1)+SUMIFS('changes2_based on steps'!$B80:$U80,'changes2_based on steps'!$B$1:$U$1,AD$1)</f>
        <v>0</v>
      </c>
      <c r="AE80" s="140">
        <f>SUMIFS('recurring2_based on steps'!$B80:$AY80,'recurring2_based on steps'!$B$1:$AY$1,AE$1)+SUMIFS('changes2_based on steps'!$B80:$U80,'changes2_based on steps'!$B$1:$U$1,AE$1)</f>
        <v>0</v>
      </c>
      <c r="AF80" s="140"/>
      <c r="AG80" s="140"/>
      <c r="AH80" s="140"/>
      <c r="AI80" s="140"/>
      <c r="AJ80" s="140"/>
      <c r="AK80" s="140"/>
      <c r="AL80" s="140"/>
      <c r="AM80" s="140"/>
    </row>
    <row r="81" spans="1:39" x14ac:dyDescent="0.2">
      <c r="A81" s="29">
        <f t="shared" ca="1" si="1"/>
        <v>45821</v>
      </c>
      <c r="B81" s="140">
        <f ca="1">SUMIFS('recurring2_based on steps'!$B81:$AY81,'recurring2_based on steps'!$B$1:$AY$1,B$1)+SUMIFS('changes2_based on steps'!$B81:$U81,'changes2_based on steps'!$B$1:$U$1,B$1)</f>
        <v>4000</v>
      </c>
      <c r="C81" s="140">
        <f>SUMIFS('recurring2_based on steps'!$B81:$AY81,'recurring2_based on steps'!$B$1:$AY$1,C$1)+SUMIFS('changes2_based on steps'!$B81:$U81,'changes2_based on steps'!$B$1:$U$1,C$1)</f>
        <v>0</v>
      </c>
      <c r="D81" s="140">
        <f>SUMIFS('recurring2_based on steps'!$B81:$AY81,'recurring2_based on steps'!$B$1:$AY$1,D$1)+SUMIFS('changes2_based on steps'!$B81:$U81,'changes2_based on steps'!$B$1:$U$1,D$1)</f>
        <v>0</v>
      </c>
      <c r="E81" s="140">
        <f>SUMIFS('recurring2_based on steps'!$B81:$AY81,'recurring2_based on steps'!$B$1:$AY$1,E$1)+SUMIFS('changes2_based on steps'!$B81:$U81,'changes2_based on steps'!$B$1:$U$1,E$1)</f>
        <v>0</v>
      </c>
      <c r="F81" s="140">
        <f>SUMIFS('recurring2_based on steps'!$B81:$AY81,'recurring2_based on steps'!$B$1:$AY$1,F$1)+SUMIFS('changes2_based on steps'!$B81:$U81,'changes2_based on steps'!$B$1:$U$1,F$1)</f>
        <v>0</v>
      </c>
      <c r="G81" s="140">
        <f>SUMIFS('recurring2_based on steps'!$B81:$AY81,'recurring2_based on steps'!$B$1:$AY$1,G$1)+SUMIFS('changes2_based on steps'!$B81:$U81,'changes2_based on steps'!$B$1:$U$1,G$1)</f>
        <v>0</v>
      </c>
      <c r="H81" s="140">
        <f>SUMIFS('recurring2_based on steps'!$B81:$AY81,'recurring2_based on steps'!$B$1:$AY$1,H$1)+SUMIFS('changes2_based on steps'!$B81:$U81,'changes2_based on steps'!$B$1:$U$1,H$1)</f>
        <v>0</v>
      </c>
      <c r="I81" s="140">
        <f>SUMIFS('recurring2_based on steps'!$B81:$AY81,'recurring2_based on steps'!$B$1:$AY$1,I$1)+SUMIFS('changes2_based on steps'!$B81:$U81,'changes2_based on steps'!$B$1:$U$1,I$1)</f>
        <v>0</v>
      </c>
      <c r="J81" s="140">
        <f ca="1">SUMIFS('recurring2_based on steps'!$B81:$AY81,'recurring2_based on steps'!$B$1:$AY$1,J$1)+SUMIFS('changes2_based on steps'!$B81:$U81,'changes2_based on steps'!$B$1:$U$1,J$1)</f>
        <v>0</v>
      </c>
      <c r="K81" s="140">
        <f>SUMIFS('recurring2_based on steps'!$B81:$AY81,'recurring2_based on steps'!$B$1:$AY$1,K$1)+SUMIFS('changes2_based on steps'!$B81:$U81,'changes2_based on steps'!$B$1:$U$1,K$1)</f>
        <v>0</v>
      </c>
      <c r="L81" s="140">
        <f>SUMIFS('recurring2_based on steps'!$B81:$AY81,'recurring2_based on steps'!$B$1:$AY$1,L$1)+SUMIFS('changes2_based on steps'!$B81:$U81,'changes2_based on steps'!$B$1:$U$1,L$1)</f>
        <v>0</v>
      </c>
      <c r="M81" s="140">
        <f>SUMIFS('recurring2_based on steps'!$B81:$AY81,'recurring2_based on steps'!$B$1:$AY$1,M$1)+SUMIFS('changes2_based on steps'!$B81:$U81,'changes2_based on steps'!$B$1:$U$1,M$1)</f>
        <v>0</v>
      </c>
      <c r="N81" s="140">
        <f ca="1">SUMIFS('recurring2_based on steps'!$B81:$AY81,'recurring2_based on steps'!$B$1:$AY$1,N$1)+SUMIFS('changes2_based on steps'!$B81:$U81,'changes2_based on steps'!$B$1:$U$1,N$1)</f>
        <v>0</v>
      </c>
      <c r="O81" s="140">
        <f>SUMIFS('recurring2_based on steps'!$B81:$AY81,'recurring2_based on steps'!$B$1:$AY$1,O$1)+SUMIFS('changes2_based on steps'!$B81:$U81,'changes2_based on steps'!$B$1:$U$1,O$1)</f>
        <v>0</v>
      </c>
      <c r="P81" s="140">
        <f ca="1">SUMIFS('recurring2_based on steps'!$B81:$AY81,'recurring2_based on steps'!$B$1:$AY$1,P$1)+SUMIFS('changes2_based on steps'!$B81:$U81,'changes2_based on steps'!$B$1:$U$1,P$1)</f>
        <v>0</v>
      </c>
      <c r="Q81" s="140">
        <f ca="1">SUMIFS('recurring2_based on steps'!$B81:$AY81,'recurring2_based on steps'!$B$1:$AY$1,Q$1)+SUMIFS('changes2_based on steps'!$B81:$U81,'changes2_based on steps'!$B$1:$U$1,Q$1)</f>
        <v>5.5401662049861494E-2</v>
      </c>
      <c r="R81" s="140">
        <f ca="1">SUMIFS('recurring2_based on steps'!$B81:$AY81,'recurring2_based on steps'!$B$1:$AY$1,R$1)+SUMIFS('changes2_based on steps'!$B81:$U81,'changes2_based on steps'!$B$1:$U$1,R$1)</f>
        <v>0</v>
      </c>
      <c r="S81" s="140">
        <f>SUMIFS('recurring2_based on steps'!$B81:$AY81,'recurring2_based on steps'!$B$1:$AY$1,S$1)+SUMIFS('changes2_based on steps'!$B81:$U81,'changes2_based on steps'!$B$1:$U$1,S$1)</f>
        <v>0</v>
      </c>
      <c r="T81" s="140">
        <f ca="1">SUMIFS('recurring2_based on steps'!$B81:$AY81,'recurring2_based on steps'!$B$1:$AY$1,T$1)+SUMIFS('changes2_based on steps'!$B81:$U81,'changes2_based on steps'!$B$1:$U$1,T$1)</f>
        <v>50</v>
      </c>
      <c r="U81" s="140">
        <f ca="1">SUMIFS('recurring2_based on steps'!$B81:$AY81,'recurring2_based on steps'!$B$1:$AY$1,U$1)+SUMIFS('changes2_based on steps'!$B81:$U81,'changes2_based on steps'!$B$1:$U$1,U$1)</f>
        <v>200</v>
      </c>
      <c r="V81" s="140">
        <f>SUMIFS('recurring2_based on steps'!$B81:$AY81,'recurring2_based on steps'!$B$1:$AY$1,V$1)+SUMIFS('changes2_based on steps'!$B81:$U81,'changes2_based on steps'!$B$1:$U$1,V$1)</f>
        <v>0</v>
      </c>
      <c r="W81" s="140">
        <f>SUMIFS('recurring2_based on steps'!$B81:$AY81,'recurring2_based on steps'!$B$1:$AY$1,W$1)+SUMIFS('changes2_based on steps'!$B81:$U81,'changes2_based on steps'!$B$1:$U$1,W$1)</f>
        <v>0</v>
      </c>
      <c r="X81" s="140">
        <f ca="1">SUMIFS('recurring2_based on steps'!$B81:$AY81,'recurring2_based on steps'!$B$1:$AY$1,X$1)+SUMIFS('changes2_based on steps'!$B81:$U81,'changes2_based on steps'!$B$1:$U$1,X$1)</f>
        <v>96</v>
      </c>
      <c r="Y81" s="140">
        <f ca="1">SUMIFS('recurring2_based on steps'!$B81:$AY81,'recurring2_based on steps'!$B$1:$AY$1,Y$1)+SUMIFS('changes2_based on steps'!$B81:$U81,'changes2_based on steps'!$B$1:$U$1,Y$1)</f>
        <v>0</v>
      </c>
      <c r="Z81" s="140">
        <f>SUMIFS('recurring2_based on steps'!$B81:$AY81,'recurring2_based on steps'!$B$1:$AY$1,Z$1)+SUMIFS('changes2_based on steps'!$B81:$U81,'changes2_based on steps'!$B$1:$U$1,Z$1)</f>
        <v>0</v>
      </c>
      <c r="AA81" s="140">
        <f ca="1">SUMIFS('recurring2_based on steps'!$B81:$AY81,'recurring2_based on steps'!$B$1:$AY$1,AA$1)+SUMIFS('changes2_based on steps'!$B81:$U81,'changes2_based on steps'!$B$1:$U$1,AA$1)</f>
        <v>0</v>
      </c>
      <c r="AB81" s="140">
        <f ca="1">SUMIFS('recurring2_based on steps'!$B81:$AY81,'recurring2_based on steps'!$B$1:$AY$1,AB$1)+SUMIFS('changes2_based on steps'!$B81:$U81,'changes2_based on steps'!$B$1:$U$1,AB$1)</f>
        <v>0</v>
      </c>
      <c r="AC81" s="140">
        <f ca="1">SUMIFS('recurring2_based on steps'!$B81:$AY81,'recurring2_based on steps'!$B$1:$AY$1,AC$1)+SUMIFS('changes2_based on steps'!$B81:$U81,'changes2_based on steps'!$B$1:$U$1,AC$1)</f>
        <v>0</v>
      </c>
      <c r="AD81" s="140">
        <f ca="1">SUMIFS('recurring2_based on steps'!$B81:$AY81,'recurring2_based on steps'!$B$1:$AY$1,AD$1)+SUMIFS('changes2_based on steps'!$B81:$U81,'changes2_based on steps'!$B$1:$U$1,AD$1)</f>
        <v>50</v>
      </c>
      <c r="AE81" s="140">
        <f>SUMIFS('recurring2_based on steps'!$B81:$AY81,'recurring2_based on steps'!$B$1:$AY$1,AE$1)+SUMIFS('changes2_based on steps'!$B81:$U81,'changes2_based on steps'!$B$1:$U$1,AE$1)</f>
        <v>0</v>
      </c>
      <c r="AF81" s="140"/>
      <c r="AG81" s="140"/>
      <c r="AH81" s="140"/>
      <c r="AI81" s="140"/>
      <c r="AJ81" s="140"/>
      <c r="AK81" s="140"/>
      <c r="AL81" s="140"/>
      <c r="AM81" s="140"/>
    </row>
    <row r="82" spans="1:39" x14ac:dyDescent="0.2">
      <c r="A82" s="29">
        <f t="shared" ca="1" si="1"/>
        <v>45822</v>
      </c>
      <c r="B82" s="140">
        <f ca="1">SUMIFS('recurring2_based on steps'!$B82:$AY82,'recurring2_based on steps'!$B$1:$AY$1,B$1)+SUMIFS('changes2_based on steps'!$B82:$U82,'changes2_based on steps'!$B$1:$U$1,B$1)</f>
        <v>0</v>
      </c>
      <c r="C82" s="140">
        <f>SUMIFS('recurring2_based on steps'!$B82:$AY82,'recurring2_based on steps'!$B$1:$AY$1,C$1)+SUMIFS('changes2_based on steps'!$B82:$U82,'changes2_based on steps'!$B$1:$U$1,C$1)</f>
        <v>0</v>
      </c>
      <c r="D82" s="140">
        <f>SUMIFS('recurring2_based on steps'!$B82:$AY82,'recurring2_based on steps'!$B$1:$AY$1,D$1)+SUMIFS('changes2_based on steps'!$B82:$U82,'changes2_based on steps'!$B$1:$U$1,D$1)</f>
        <v>0</v>
      </c>
      <c r="E82" s="140">
        <f>SUMIFS('recurring2_based on steps'!$B82:$AY82,'recurring2_based on steps'!$B$1:$AY$1,E$1)+SUMIFS('changes2_based on steps'!$B82:$U82,'changes2_based on steps'!$B$1:$U$1,E$1)</f>
        <v>0</v>
      </c>
      <c r="F82" s="140">
        <f>SUMIFS('recurring2_based on steps'!$B82:$AY82,'recurring2_based on steps'!$B$1:$AY$1,F$1)+SUMIFS('changes2_based on steps'!$B82:$U82,'changes2_based on steps'!$B$1:$U$1,F$1)</f>
        <v>0</v>
      </c>
      <c r="G82" s="140">
        <f>SUMIFS('recurring2_based on steps'!$B82:$AY82,'recurring2_based on steps'!$B$1:$AY$1,G$1)+SUMIFS('changes2_based on steps'!$B82:$U82,'changes2_based on steps'!$B$1:$U$1,G$1)</f>
        <v>0</v>
      </c>
      <c r="H82" s="140">
        <f>SUMIFS('recurring2_based on steps'!$B82:$AY82,'recurring2_based on steps'!$B$1:$AY$1,H$1)+SUMIFS('changes2_based on steps'!$B82:$U82,'changes2_based on steps'!$B$1:$U$1,H$1)</f>
        <v>0</v>
      </c>
      <c r="I82" s="140">
        <f>SUMIFS('recurring2_based on steps'!$B82:$AY82,'recurring2_based on steps'!$B$1:$AY$1,I$1)+SUMIFS('changes2_based on steps'!$B82:$U82,'changes2_based on steps'!$B$1:$U$1,I$1)</f>
        <v>0</v>
      </c>
      <c r="J82" s="140">
        <f ca="1">SUMIFS('recurring2_based on steps'!$B82:$AY82,'recurring2_based on steps'!$B$1:$AY$1,J$1)+SUMIFS('changes2_based on steps'!$B82:$U82,'changes2_based on steps'!$B$1:$U$1,J$1)</f>
        <v>0</v>
      </c>
      <c r="K82" s="140">
        <f>SUMIFS('recurring2_based on steps'!$B82:$AY82,'recurring2_based on steps'!$B$1:$AY$1,K$1)+SUMIFS('changes2_based on steps'!$B82:$U82,'changes2_based on steps'!$B$1:$U$1,K$1)</f>
        <v>0</v>
      </c>
      <c r="L82" s="140">
        <f>SUMIFS('recurring2_based on steps'!$B82:$AY82,'recurring2_based on steps'!$B$1:$AY$1,L$1)+SUMIFS('changes2_based on steps'!$B82:$U82,'changes2_based on steps'!$B$1:$U$1,L$1)</f>
        <v>0</v>
      </c>
      <c r="M82" s="140">
        <f>SUMIFS('recurring2_based on steps'!$B82:$AY82,'recurring2_based on steps'!$B$1:$AY$1,M$1)+SUMIFS('changes2_based on steps'!$B82:$U82,'changes2_based on steps'!$B$1:$U$1,M$1)</f>
        <v>0</v>
      </c>
      <c r="N82" s="140">
        <f ca="1">SUMIFS('recurring2_based on steps'!$B82:$AY82,'recurring2_based on steps'!$B$1:$AY$1,N$1)+SUMIFS('changes2_based on steps'!$B82:$U82,'changes2_based on steps'!$B$1:$U$1,N$1)</f>
        <v>0</v>
      </c>
      <c r="O82" s="140">
        <f>SUMIFS('recurring2_based on steps'!$B82:$AY82,'recurring2_based on steps'!$B$1:$AY$1,O$1)+SUMIFS('changes2_based on steps'!$B82:$U82,'changes2_based on steps'!$B$1:$U$1,O$1)</f>
        <v>0</v>
      </c>
      <c r="P82" s="140">
        <f ca="1">SUMIFS('recurring2_based on steps'!$B82:$AY82,'recurring2_based on steps'!$B$1:$AY$1,P$1)+SUMIFS('changes2_based on steps'!$B82:$U82,'changes2_based on steps'!$B$1:$U$1,P$1)</f>
        <v>0</v>
      </c>
      <c r="Q82" s="140">
        <f ca="1">SUMIFS('recurring2_based on steps'!$B82:$AY82,'recurring2_based on steps'!$B$1:$AY$1,Q$1)+SUMIFS('changes2_based on steps'!$B82:$U82,'changes2_based on steps'!$B$1:$U$1,Q$1)</f>
        <v>100.05540166204986</v>
      </c>
      <c r="R82" s="140">
        <f ca="1">SUMIFS('recurring2_based on steps'!$B82:$AY82,'recurring2_based on steps'!$B$1:$AY$1,R$1)+SUMIFS('changes2_based on steps'!$B82:$U82,'changes2_based on steps'!$B$1:$U$1,R$1)</f>
        <v>0</v>
      </c>
      <c r="S82" s="140">
        <f>SUMIFS('recurring2_based on steps'!$B82:$AY82,'recurring2_based on steps'!$B$1:$AY$1,S$1)+SUMIFS('changes2_based on steps'!$B82:$U82,'changes2_based on steps'!$B$1:$U$1,S$1)</f>
        <v>0</v>
      </c>
      <c r="T82" s="140">
        <f ca="1">SUMIFS('recurring2_based on steps'!$B82:$AY82,'recurring2_based on steps'!$B$1:$AY$1,T$1)+SUMIFS('changes2_based on steps'!$B82:$U82,'changes2_based on steps'!$B$1:$U$1,T$1)</f>
        <v>0</v>
      </c>
      <c r="U82" s="140">
        <f ca="1">SUMIFS('recurring2_based on steps'!$B82:$AY82,'recurring2_based on steps'!$B$1:$AY$1,U$1)+SUMIFS('changes2_based on steps'!$B82:$U82,'changes2_based on steps'!$B$1:$U$1,U$1)</f>
        <v>0</v>
      </c>
      <c r="V82" s="140">
        <f>SUMIFS('recurring2_based on steps'!$B82:$AY82,'recurring2_based on steps'!$B$1:$AY$1,V$1)+SUMIFS('changes2_based on steps'!$B82:$U82,'changes2_based on steps'!$B$1:$U$1,V$1)</f>
        <v>0</v>
      </c>
      <c r="W82" s="140">
        <f>SUMIFS('recurring2_based on steps'!$B82:$AY82,'recurring2_based on steps'!$B$1:$AY$1,W$1)+SUMIFS('changes2_based on steps'!$B82:$U82,'changes2_based on steps'!$B$1:$U$1,W$1)</f>
        <v>0</v>
      </c>
      <c r="X82" s="140">
        <f ca="1">SUMIFS('recurring2_based on steps'!$B82:$AY82,'recurring2_based on steps'!$B$1:$AY$1,X$1)+SUMIFS('changes2_based on steps'!$B82:$U82,'changes2_based on steps'!$B$1:$U$1,X$1)</f>
        <v>0</v>
      </c>
      <c r="Y82" s="140">
        <f ca="1">SUMIFS('recurring2_based on steps'!$B82:$AY82,'recurring2_based on steps'!$B$1:$AY$1,Y$1)+SUMIFS('changes2_based on steps'!$B82:$U82,'changes2_based on steps'!$B$1:$U$1,Y$1)</f>
        <v>0</v>
      </c>
      <c r="Z82" s="140">
        <f>SUMIFS('recurring2_based on steps'!$B82:$AY82,'recurring2_based on steps'!$B$1:$AY$1,Z$1)+SUMIFS('changes2_based on steps'!$B82:$U82,'changes2_based on steps'!$B$1:$U$1,Z$1)</f>
        <v>0</v>
      </c>
      <c r="AA82" s="140">
        <f ca="1">SUMIFS('recurring2_based on steps'!$B82:$AY82,'recurring2_based on steps'!$B$1:$AY$1,AA$1)+SUMIFS('changes2_based on steps'!$B82:$U82,'changes2_based on steps'!$B$1:$U$1,AA$1)</f>
        <v>0</v>
      </c>
      <c r="AB82" s="140">
        <f ca="1">SUMIFS('recurring2_based on steps'!$B82:$AY82,'recurring2_based on steps'!$B$1:$AY$1,AB$1)+SUMIFS('changes2_based on steps'!$B82:$U82,'changes2_based on steps'!$B$1:$U$1,AB$1)</f>
        <v>100</v>
      </c>
      <c r="AC82" s="140">
        <f ca="1">SUMIFS('recurring2_based on steps'!$B82:$AY82,'recurring2_based on steps'!$B$1:$AY$1,AC$1)+SUMIFS('changes2_based on steps'!$B82:$U82,'changes2_based on steps'!$B$1:$U$1,AC$1)</f>
        <v>0</v>
      </c>
      <c r="AD82" s="140">
        <f ca="1">SUMIFS('recurring2_based on steps'!$B82:$AY82,'recurring2_based on steps'!$B$1:$AY$1,AD$1)+SUMIFS('changes2_based on steps'!$B82:$U82,'changes2_based on steps'!$B$1:$U$1,AD$1)</f>
        <v>0</v>
      </c>
      <c r="AE82" s="140">
        <f>SUMIFS('recurring2_based on steps'!$B82:$AY82,'recurring2_based on steps'!$B$1:$AY$1,AE$1)+SUMIFS('changes2_based on steps'!$B82:$U82,'changes2_based on steps'!$B$1:$U$1,AE$1)</f>
        <v>0</v>
      </c>
      <c r="AF82" s="140"/>
      <c r="AG82" s="140"/>
      <c r="AH82" s="140"/>
      <c r="AI82" s="140"/>
      <c r="AJ82" s="140"/>
      <c r="AK82" s="140"/>
      <c r="AL82" s="140"/>
      <c r="AM82" s="140"/>
    </row>
    <row r="83" spans="1:39" x14ac:dyDescent="0.2">
      <c r="A83" s="29">
        <f t="shared" ca="1" si="1"/>
        <v>45823</v>
      </c>
      <c r="B83" s="140">
        <f ca="1">SUMIFS('recurring2_based on steps'!$B83:$AY83,'recurring2_based on steps'!$B$1:$AY$1,B$1)+SUMIFS('changes2_based on steps'!$B83:$U83,'changes2_based on steps'!$B$1:$U$1,B$1)</f>
        <v>0</v>
      </c>
      <c r="C83" s="140">
        <f>SUMIFS('recurring2_based on steps'!$B83:$AY83,'recurring2_based on steps'!$B$1:$AY$1,C$1)+SUMIFS('changes2_based on steps'!$B83:$U83,'changes2_based on steps'!$B$1:$U$1,C$1)</f>
        <v>0</v>
      </c>
      <c r="D83" s="140">
        <f>SUMIFS('recurring2_based on steps'!$B83:$AY83,'recurring2_based on steps'!$B$1:$AY$1,D$1)+SUMIFS('changes2_based on steps'!$B83:$U83,'changes2_based on steps'!$B$1:$U$1,D$1)</f>
        <v>0</v>
      </c>
      <c r="E83" s="140">
        <f>SUMIFS('recurring2_based on steps'!$B83:$AY83,'recurring2_based on steps'!$B$1:$AY$1,E$1)+SUMIFS('changes2_based on steps'!$B83:$U83,'changes2_based on steps'!$B$1:$U$1,E$1)</f>
        <v>0</v>
      </c>
      <c r="F83" s="140">
        <f>SUMIFS('recurring2_based on steps'!$B83:$AY83,'recurring2_based on steps'!$B$1:$AY$1,F$1)+SUMIFS('changes2_based on steps'!$B83:$U83,'changes2_based on steps'!$B$1:$U$1,F$1)</f>
        <v>0</v>
      </c>
      <c r="G83" s="140">
        <f>SUMIFS('recurring2_based on steps'!$B83:$AY83,'recurring2_based on steps'!$B$1:$AY$1,G$1)+SUMIFS('changes2_based on steps'!$B83:$U83,'changes2_based on steps'!$B$1:$U$1,G$1)</f>
        <v>0</v>
      </c>
      <c r="H83" s="140">
        <f>SUMIFS('recurring2_based on steps'!$B83:$AY83,'recurring2_based on steps'!$B$1:$AY$1,H$1)+SUMIFS('changes2_based on steps'!$B83:$U83,'changes2_based on steps'!$B$1:$U$1,H$1)</f>
        <v>0</v>
      </c>
      <c r="I83" s="140">
        <f>SUMIFS('recurring2_based on steps'!$B83:$AY83,'recurring2_based on steps'!$B$1:$AY$1,I$1)+SUMIFS('changes2_based on steps'!$B83:$U83,'changes2_based on steps'!$B$1:$U$1,I$1)</f>
        <v>0</v>
      </c>
      <c r="J83" s="140">
        <f ca="1">SUMIFS('recurring2_based on steps'!$B83:$AY83,'recurring2_based on steps'!$B$1:$AY$1,J$1)+SUMIFS('changes2_based on steps'!$B83:$U83,'changes2_based on steps'!$B$1:$U$1,J$1)</f>
        <v>0</v>
      </c>
      <c r="K83" s="140">
        <f>SUMIFS('recurring2_based on steps'!$B83:$AY83,'recurring2_based on steps'!$B$1:$AY$1,K$1)+SUMIFS('changes2_based on steps'!$B83:$U83,'changes2_based on steps'!$B$1:$U$1,K$1)</f>
        <v>0</v>
      </c>
      <c r="L83" s="140">
        <f>SUMIFS('recurring2_based on steps'!$B83:$AY83,'recurring2_based on steps'!$B$1:$AY$1,L$1)+SUMIFS('changes2_based on steps'!$B83:$U83,'changes2_based on steps'!$B$1:$U$1,L$1)</f>
        <v>0</v>
      </c>
      <c r="M83" s="140">
        <f>SUMIFS('recurring2_based on steps'!$B83:$AY83,'recurring2_based on steps'!$B$1:$AY$1,M$1)+SUMIFS('changes2_based on steps'!$B83:$U83,'changes2_based on steps'!$B$1:$U$1,M$1)</f>
        <v>0</v>
      </c>
      <c r="N83" s="140">
        <f ca="1">SUMIFS('recurring2_based on steps'!$B83:$AY83,'recurring2_based on steps'!$B$1:$AY$1,N$1)+SUMIFS('changes2_based on steps'!$B83:$U83,'changes2_based on steps'!$B$1:$U$1,N$1)</f>
        <v>0</v>
      </c>
      <c r="O83" s="140">
        <f>SUMIFS('recurring2_based on steps'!$B83:$AY83,'recurring2_based on steps'!$B$1:$AY$1,O$1)+SUMIFS('changes2_based on steps'!$B83:$U83,'changes2_based on steps'!$B$1:$U$1,O$1)</f>
        <v>0</v>
      </c>
      <c r="P83" s="140">
        <f ca="1">SUMIFS('recurring2_based on steps'!$B83:$AY83,'recurring2_based on steps'!$B$1:$AY$1,P$1)+SUMIFS('changes2_based on steps'!$B83:$U83,'changes2_based on steps'!$B$1:$U$1,P$1)</f>
        <v>0</v>
      </c>
      <c r="Q83" s="140">
        <f ca="1">SUMIFS('recurring2_based on steps'!$B83:$AY83,'recurring2_based on steps'!$B$1:$AY$1,Q$1)+SUMIFS('changes2_based on steps'!$B83:$U83,'changes2_based on steps'!$B$1:$U$1,Q$1)</f>
        <v>100.05540166204986</v>
      </c>
      <c r="R83" s="140">
        <f ca="1">SUMIFS('recurring2_based on steps'!$B83:$AY83,'recurring2_based on steps'!$B$1:$AY$1,R$1)+SUMIFS('changes2_based on steps'!$B83:$U83,'changes2_based on steps'!$B$1:$U$1,R$1)</f>
        <v>0</v>
      </c>
      <c r="S83" s="140">
        <f>SUMIFS('recurring2_based on steps'!$B83:$AY83,'recurring2_based on steps'!$B$1:$AY$1,S$1)+SUMIFS('changes2_based on steps'!$B83:$U83,'changes2_based on steps'!$B$1:$U$1,S$1)</f>
        <v>0</v>
      </c>
      <c r="T83" s="140">
        <f ca="1">SUMIFS('recurring2_based on steps'!$B83:$AY83,'recurring2_based on steps'!$B$1:$AY$1,T$1)+SUMIFS('changes2_based on steps'!$B83:$U83,'changes2_based on steps'!$B$1:$U$1,T$1)</f>
        <v>0</v>
      </c>
      <c r="U83" s="140">
        <f ca="1">SUMIFS('recurring2_based on steps'!$B83:$AY83,'recurring2_based on steps'!$B$1:$AY$1,U$1)+SUMIFS('changes2_based on steps'!$B83:$U83,'changes2_based on steps'!$B$1:$U$1,U$1)</f>
        <v>0</v>
      </c>
      <c r="V83" s="140">
        <f>SUMIFS('recurring2_based on steps'!$B83:$AY83,'recurring2_based on steps'!$B$1:$AY$1,V$1)+SUMIFS('changes2_based on steps'!$B83:$U83,'changes2_based on steps'!$B$1:$U$1,V$1)</f>
        <v>0</v>
      </c>
      <c r="W83" s="140">
        <f>SUMIFS('recurring2_based on steps'!$B83:$AY83,'recurring2_based on steps'!$B$1:$AY$1,W$1)+SUMIFS('changes2_based on steps'!$B83:$U83,'changes2_based on steps'!$B$1:$U$1,W$1)</f>
        <v>0</v>
      </c>
      <c r="X83" s="140">
        <f ca="1">SUMIFS('recurring2_based on steps'!$B83:$AY83,'recurring2_based on steps'!$B$1:$AY$1,X$1)+SUMIFS('changes2_based on steps'!$B83:$U83,'changes2_based on steps'!$B$1:$U$1,X$1)</f>
        <v>0</v>
      </c>
      <c r="Y83" s="140">
        <f ca="1">SUMIFS('recurring2_based on steps'!$B83:$AY83,'recurring2_based on steps'!$B$1:$AY$1,Y$1)+SUMIFS('changes2_based on steps'!$B83:$U83,'changes2_based on steps'!$B$1:$U$1,Y$1)</f>
        <v>50</v>
      </c>
      <c r="Z83" s="140">
        <f>SUMIFS('recurring2_based on steps'!$B83:$AY83,'recurring2_based on steps'!$B$1:$AY$1,Z$1)+SUMIFS('changes2_based on steps'!$B83:$U83,'changes2_based on steps'!$B$1:$U$1,Z$1)</f>
        <v>0</v>
      </c>
      <c r="AA83" s="140">
        <f ca="1">SUMIFS('recurring2_based on steps'!$B83:$AY83,'recurring2_based on steps'!$B$1:$AY$1,AA$1)+SUMIFS('changes2_based on steps'!$B83:$U83,'changes2_based on steps'!$B$1:$U$1,AA$1)</f>
        <v>0</v>
      </c>
      <c r="AB83" s="140">
        <f ca="1">SUMIFS('recurring2_based on steps'!$B83:$AY83,'recurring2_based on steps'!$B$1:$AY$1,AB$1)+SUMIFS('changes2_based on steps'!$B83:$U83,'changes2_based on steps'!$B$1:$U$1,AB$1)</f>
        <v>0</v>
      </c>
      <c r="AC83" s="140">
        <f ca="1">SUMIFS('recurring2_based on steps'!$B83:$AY83,'recurring2_based on steps'!$B$1:$AY$1,AC$1)+SUMIFS('changes2_based on steps'!$B83:$U83,'changes2_based on steps'!$B$1:$U$1,AC$1)</f>
        <v>0</v>
      </c>
      <c r="AD83" s="140">
        <f ca="1">SUMIFS('recurring2_based on steps'!$B83:$AY83,'recurring2_based on steps'!$B$1:$AY$1,AD$1)+SUMIFS('changes2_based on steps'!$B83:$U83,'changes2_based on steps'!$B$1:$U$1,AD$1)</f>
        <v>0</v>
      </c>
      <c r="AE83" s="140">
        <f>SUMIFS('recurring2_based on steps'!$B83:$AY83,'recurring2_based on steps'!$B$1:$AY$1,AE$1)+SUMIFS('changes2_based on steps'!$B83:$U83,'changes2_based on steps'!$B$1:$U$1,AE$1)</f>
        <v>0</v>
      </c>
      <c r="AF83" s="140"/>
      <c r="AG83" s="140"/>
      <c r="AH83" s="140"/>
      <c r="AI83" s="140"/>
      <c r="AJ83" s="140"/>
      <c r="AK83" s="140"/>
      <c r="AL83" s="140"/>
      <c r="AM83" s="140"/>
    </row>
    <row r="84" spans="1:39" x14ac:dyDescent="0.2">
      <c r="A84" s="29">
        <f t="shared" ca="1" si="1"/>
        <v>45824</v>
      </c>
      <c r="B84" s="140">
        <f ca="1">SUMIFS('recurring2_based on steps'!$B84:$AY84,'recurring2_based on steps'!$B$1:$AY$1,B$1)+SUMIFS('changes2_based on steps'!$B84:$U84,'changes2_based on steps'!$B$1:$U$1,B$1)</f>
        <v>0</v>
      </c>
      <c r="C84" s="140">
        <f>SUMIFS('recurring2_based on steps'!$B84:$AY84,'recurring2_based on steps'!$B$1:$AY$1,C$1)+SUMIFS('changes2_based on steps'!$B84:$U84,'changes2_based on steps'!$B$1:$U$1,C$1)</f>
        <v>0</v>
      </c>
      <c r="D84" s="140">
        <f>SUMIFS('recurring2_based on steps'!$B84:$AY84,'recurring2_based on steps'!$B$1:$AY$1,D$1)+SUMIFS('changes2_based on steps'!$B84:$U84,'changes2_based on steps'!$B$1:$U$1,D$1)</f>
        <v>0</v>
      </c>
      <c r="E84" s="140">
        <f>SUMIFS('recurring2_based on steps'!$B84:$AY84,'recurring2_based on steps'!$B$1:$AY$1,E$1)+SUMIFS('changes2_based on steps'!$B84:$U84,'changes2_based on steps'!$B$1:$U$1,E$1)</f>
        <v>0</v>
      </c>
      <c r="F84" s="140">
        <f>SUMIFS('recurring2_based on steps'!$B84:$AY84,'recurring2_based on steps'!$B$1:$AY$1,F$1)+SUMIFS('changes2_based on steps'!$B84:$U84,'changes2_based on steps'!$B$1:$U$1,F$1)</f>
        <v>0</v>
      </c>
      <c r="G84" s="140">
        <f>SUMIFS('recurring2_based on steps'!$B84:$AY84,'recurring2_based on steps'!$B$1:$AY$1,G$1)+SUMIFS('changes2_based on steps'!$B84:$U84,'changes2_based on steps'!$B$1:$U$1,G$1)</f>
        <v>0</v>
      </c>
      <c r="H84" s="140">
        <f>SUMIFS('recurring2_based on steps'!$B84:$AY84,'recurring2_based on steps'!$B$1:$AY$1,H$1)+SUMIFS('changes2_based on steps'!$B84:$U84,'changes2_based on steps'!$B$1:$U$1,H$1)</f>
        <v>0</v>
      </c>
      <c r="I84" s="140">
        <f>SUMIFS('recurring2_based on steps'!$B84:$AY84,'recurring2_based on steps'!$B$1:$AY$1,I$1)+SUMIFS('changes2_based on steps'!$B84:$U84,'changes2_based on steps'!$B$1:$U$1,I$1)</f>
        <v>0</v>
      </c>
      <c r="J84" s="140">
        <f ca="1">SUMIFS('recurring2_based on steps'!$B84:$AY84,'recurring2_based on steps'!$B$1:$AY$1,J$1)+SUMIFS('changes2_based on steps'!$B84:$U84,'changes2_based on steps'!$B$1:$U$1,J$1)</f>
        <v>0</v>
      </c>
      <c r="K84" s="140">
        <f>SUMIFS('recurring2_based on steps'!$B84:$AY84,'recurring2_based on steps'!$B$1:$AY$1,K$1)+SUMIFS('changes2_based on steps'!$B84:$U84,'changes2_based on steps'!$B$1:$U$1,K$1)</f>
        <v>0</v>
      </c>
      <c r="L84" s="140">
        <f>SUMIFS('recurring2_based on steps'!$B84:$AY84,'recurring2_based on steps'!$B$1:$AY$1,L$1)+SUMIFS('changes2_based on steps'!$B84:$U84,'changes2_based on steps'!$B$1:$U$1,L$1)</f>
        <v>0</v>
      </c>
      <c r="M84" s="140">
        <f>SUMIFS('recurring2_based on steps'!$B84:$AY84,'recurring2_based on steps'!$B$1:$AY$1,M$1)+SUMIFS('changes2_based on steps'!$B84:$U84,'changes2_based on steps'!$B$1:$U$1,M$1)</f>
        <v>0</v>
      </c>
      <c r="N84" s="140">
        <f ca="1">SUMIFS('recurring2_based on steps'!$B84:$AY84,'recurring2_based on steps'!$B$1:$AY$1,N$1)+SUMIFS('changes2_based on steps'!$B84:$U84,'changes2_based on steps'!$B$1:$U$1,N$1)</f>
        <v>0</v>
      </c>
      <c r="O84" s="140">
        <f>SUMIFS('recurring2_based on steps'!$B84:$AY84,'recurring2_based on steps'!$B$1:$AY$1,O$1)+SUMIFS('changes2_based on steps'!$B84:$U84,'changes2_based on steps'!$B$1:$U$1,O$1)</f>
        <v>0</v>
      </c>
      <c r="P84" s="140">
        <f ca="1">SUMIFS('recurring2_based on steps'!$B84:$AY84,'recurring2_based on steps'!$B$1:$AY$1,P$1)+SUMIFS('changes2_based on steps'!$B84:$U84,'changes2_based on steps'!$B$1:$U$1,P$1)</f>
        <v>0</v>
      </c>
      <c r="Q84" s="140">
        <f ca="1">SUMIFS('recurring2_based on steps'!$B84:$AY84,'recurring2_based on steps'!$B$1:$AY$1,Q$1)+SUMIFS('changes2_based on steps'!$B84:$U84,'changes2_based on steps'!$B$1:$U$1,Q$1)</f>
        <v>5.5401662049861494E-2</v>
      </c>
      <c r="R84" s="140">
        <f ca="1">SUMIFS('recurring2_based on steps'!$B84:$AY84,'recurring2_based on steps'!$B$1:$AY$1,R$1)+SUMIFS('changes2_based on steps'!$B84:$U84,'changes2_based on steps'!$B$1:$U$1,R$1)</f>
        <v>0</v>
      </c>
      <c r="S84" s="140">
        <f>SUMIFS('recurring2_based on steps'!$B84:$AY84,'recurring2_based on steps'!$B$1:$AY$1,S$1)+SUMIFS('changes2_based on steps'!$B84:$U84,'changes2_based on steps'!$B$1:$U$1,S$1)</f>
        <v>0</v>
      </c>
      <c r="T84" s="140">
        <f ca="1">SUMIFS('recurring2_based on steps'!$B84:$AY84,'recurring2_based on steps'!$B$1:$AY$1,T$1)+SUMIFS('changes2_based on steps'!$B84:$U84,'changes2_based on steps'!$B$1:$U$1,T$1)</f>
        <v>0</v>
      </c>
      <c r="U84" s="140">
        <f ca="1">SUMIFS('recurring2_based on steps'!$B84:$AY84,'recurring2_based on steps'!$B$1:$AY$1,U$1)+SUMIFS('changes2_based on steps'!$B84:$U84,'changes2_based on steps'!$B$1:$U$1,U$1)</f>
        <v>0</v>
      </c>
      <c r="V84" s="140">
        <f>SUMIFS('recurring2_based on steps'!$B84:$AY84,'recurring2_based on steps'!$B$1:$AY$1,V$1)+SUMIFS('changes2_based on steps'!$B84:$U84,'changes2_based on steps'!$B$1:$U$1,V$1)</f>
        <v>0</v>
      </c>
      <c r="W84" s="140">
        <f>SUMIFS('recurring2_based on steps'!$B84:$AY84,'recurring2_based on steps'!$B$1:$AY$1,W$1)+SUMIFS('changes2_based on steps'!$B84:$U84,'changes2_based on steps'!$B$1:$U$1,W$1)</f>
        <v>0</v>
      </c>
      <c r="X84" s="140">
        <f ca="1">SUMIFS('recurring2_based on steps'!$B84:$AY84,'recurring2_based on steps'!$B$1:$AY$1,X$1)+SUMIFS('changes2_based on steps'!$B84:$U84,'changes2_based on steps'!$B$1:$U$1,X$1)</f>
        <v>0</v>
      </c>
      <c r="Y84" s="140">
        <f ca="1">SUMIFS('recurring2_based on steps'!$B84:$AY84,'recurring2_based on steps'!$B$1:$AY$1,Y$1)+SUMIFS('changes2_based on steps'!$B84:$U84,'changes2_based on steps'!$B$1:$U$1,Y$1)</f>
        <v>0</v>
      </c>
      <c r="Z84" s="140">
        <f>SUMIFS('recurring2_based on steps'!$B84:$AY84,'recurring2_based on steps'!$B$1:$AY$1,Z$1)+SUMIFS('changes2_based on steps'!$B84:$U84,'changes2_based on steps'!$B$1:$U$1,Z$1)</f>
        <v>0</v>
      </c>
      <c r="AA84" s="140">
        <f ca="1">SUMIFS('recurring2_based on steps'!$B84:$AY84,'recurring2_based on steps'!$B$1:$AY$1,AA$1)+SUMIFS('changes2_based on steps'!$B84:$U84,'changes2_based on steps'!$B$1:$U$1,AA$1)</f>
        <v>0</v>
      </c>
      <c r="AB84" s="140">
        <f ca="1">SUMIFS('recurring2_based on steps'!$B84:$AY84,'recurring2_based on steps'!$B$1:$AY$1,AB$1)+SUMIFS('changes2_based on steps'!$B84:$U84,'changes2_based on steps'!$B$1:$U$1,AB$1)</f>
        <v>0</v>
      </c>
      <c r="AC84" s="140">
        <f ca="1">SUMIFS('recurring2_based on steps'!$B84:$AY84,'recurring2_based on steps'!$B$1:$AY$1,AC$1)+SUMIFS('changes2_based on steps'!$B84:$U84,'changes2_based on steps'!$B$1:$U$1,AC$1)</f>
        <v>0</v>
      </c>
      <c r="AD84" s="140">
        <f ca="1">SUMIFS('recurring2_based on steps'!$B84:$AY84,'recurring2_based on steps'!$B$1:$AY$1,AD$1)+SUMIFS('changes2_based on steps'!$B84:$U84,'changes2_based on steps'!$B$1:$U$1,AD$1)</f>
        <v>0</v>
      </c>
      <c r="AE84" s="140">
        <f>SUMIFS('recurring2_based on steps'!$B84:$AY84,'recurring2_based on steps'!$B$1:$AY$1,AE$1)+SUMIFS('changes2_based on steps'!$B84:$U84,'changes2_based on steps'!$B$1:$U$1,AE$1)</f>
        <v>0</v>
      </c>
      <c r="AF84" s="140"/>
      <c r="AG84" s="140"/>
      <c r="AH84" s="140"/>
      <c r="AI84" s="140"/>
      <c r="AJ84" s="140"/>
      <c r="AK84" s="140"/>
      <c r="AL84" s="140"/>
      <c r="AM84" s="140"/>
    </row>
    <row r="85" spans="1:39" x14ac:dyDescent="0.2">
      <c r="A85" s="29">
        <f t="shared" ca="1" si="1"/>
        <v>45825</v>
      </c>
      <c r="B85" s="140">
        <f ca="1">SUMIFS('recurring2_based on steps'!$B85:$AY85,'recurring2_based on steps'!$B$1:$AY$1,B$1)+SUMIFS('changes2_based on steps'!$B85:$U85,'changes2_based on steps'!$B$1:$U$1,B$1)</f>
        <v>0</v>
      </c>
      <c r="C85" s="140">
        <f>SUMIFS('recurring2_based on steps'!$B85:$AY85,'recurring2_based on steps'!$B$1:$AY$1,C$1)+SUMIFS('changes2_based on steps'!$B85:$U85,'changes2_based on steps'!$B$1:$U$1,C$1)</f>
        <v>0</v>
      </c>
      <c r="D85" s="140">
        <f>SUMIFS('recurring2_based on steps'!$B85:$AY85,'recurring2_based on steps'!$B$1:$AY$1,D$1)+SUMIFS('changes2_based on steps'!$B85:$U85,'changes2_based on steps'!$B$1:$U$1,D$1)</f>
        <v>0</v>
      </c>
      <c r="E85" s="140">
        <f>SUMIFS('recurring2_based on steps'!$B85:$AY85,'recurring2_based on steps'!$B$1:$AY$1,E$1)+SUMIFS('changes2_based on steps'!$B85:$U85,'changes2_based on steps'!$B$1:$U$1,E$1)</f>
        <v>0</v>
      </c>
      <c r="F85" s="140">
        <f>SUMIFS('recurring2_based on steps'!$B85:$AY85,'recurring2_based on steps'!$B$1:$AY$1,F$1)+SUMIFS('changes2_based on steps'!$B85:$U85,'changes2_based on steps'!$B$1:$U$1,F$1)</f>
        <v>0</v>
      </c>
      <c r="G85" s="140">
        <f>SUMIFS('recurring2_based on steps'!$B85:$AY85,'recurring2_based on steps'!$B$1:$AY$1,G$1)+SUMIFS('changes2_based on steps'!$B85:$U85,'changes2_based on steps'!$B$1:$U$1,G$1)</f>
        <v>0</v>
      </c>
      <c r="H85" s="140">
        <f>SUMIFS('recurring2_based on steps'!$B85:$AY85,'recurring2_based on steps'!$B$1:$AY$1,H$1)+SUMIFS('changes2_based on steps'!$B85:$U85,'changes2_based on steps'!$B$1:$U$1,H$1)</f>
        <v>0</v>
      </c>
      <c r="I85" s="140">
        <f>SUMIFS('recurring2_based on steps'!$B85:$AY85,'recurring2_based on steps'!$B$1:$AY$1,I$1)+SUMIFS('changes2_based on steps'!$B85:$U85,'changes2_based on steps'!$B$1:$U$1,I$1)</f>
        <v>0</v>
      </c>
      <c r="J85" s="140">
        <f ca="1">SUMIFS('recurring2_based on steps'!$B85:$AY85,'recurring2_based on steps'!$B$1:$AY$1,J$1)+SUMIFS('changes2_based on steps'!$B85:$U85,'changes2_based on steps'!$B$1:$U$1,J$1)</f>
        <v>200</v>
      </c>
      <c r="K85" s="140">
        <f>SUMIFS('recurring2_based on steps'!$B85:$AY85,'recurring2_based on steps'!$B$1:$AY$1,K$1)+SUMIFS('changes2_based on steps'!$B85:$U85,'changes2_based on steps'!$B$1:$U$1,K$1)</f>
        <v>0</v>
      </c>
      <c r="L85" s="140">
        <f>SUMIFS('recurring2_based on steps'!$B85:$AY85,'recurring2_based on steps'!$B$1:$AY$1,L$1)+SUMIFS('changes2_based on steps'!$B85:$U85,'changes2_based on steps'!$B$1:$U$1,L$1)</f>
        <v>0</v>
      </c>
      <c r="M85" s="140">
        <f>SUMIFS('recurring2_based on steps'!$B85:$AY85,'recurring2_based on steps'!$B$1:$AY$1,M$1)+SUMIFS('changes2_based on steps'!$B85:$U85,'changes2_based on steps'!$B$1:$U$1,M$1)</f>
        <v>0</v>
      </c>
      <c r="N85" s="140">
        <f ca="1">SUMIFS('recurring2_based on steps'!$B85:$AY85,'recurring2_based on steps'!$B$1:$AY$1,N$1)+SUMIFS('changes2_based on steps'!$B85:$U85,'changes2_based on steps'!$B$1:$U$1,N$1)</f>
        <v>0</v>
      </c>
      <c r="O85" s="140">
        <f>SUMIFS('recurring2_based on steps'!$B85:$AY85,'recurring2_based on steps'!$B$1:$AY$1,O$1)+SUMIFS('changes2_based on steps'!$B85:$U85,'changes2_based on steps'!$B$1:$U$1,O$1)</f>
        <v>0</v>
      </c>
      <c r="P85" s="140">
        <f ca="1">SUMIFS('recurring2_based on steps'!$B85:$AY85,'recurring2_based on steps'!$B$1:$AY$1,P$1)+SUMIFS('changes2_based on steps'!$B85:$U85,'changes2_based on steps'!$B$1:$U$1,P$1)</f>
        <v>0</v>
      </c>
      <c r="Q85" s="140">
        <f ca="1">SUMIFS('recurring2_based on steps'!$B85:$AY85,'recurring2_based on steps'!$B$1:$AY$1,Q$1)+SUMIFS('changes2_based on steps'!$B85:$U85,'changes2_based on steps'!$B$1:$U$1,Q$1)</f>
        <v>5.5401662049861494E-2</v>
      </c>
      <c r="R85" s="140">
        <f ca="1">SUMIFS('recurring2_based on steps'!$B85:$AY85,'recurring2_based on steps'!$B$1:$AY$1,R$1)+SUMIFS('changes2_based on steps'!$B85:$U85,'changes2_based on steps'!$B$1:$U$1,R$1)</f>
        <v>15.49</v>
      </c>
      <c r="S85" s="140">
        <f>SUMIFS('recurring2_based on steps'!$B85:$AY85,'recurring2_based on steps'!$B$1:$AY$1,S$1)+SUMIFS('changes2_based on steps'!$B85:$U85,'changes2_based on steps'!$B$1:$U$1,S$1)</f>
        <v>0</v>
      </c>
      <c r="T85" s="140">
        <f ca="1">SUMIFS('recurring2_based on steps'!$B85:$AY85,'recurring2_based on steps'!$B$1:$AY$1,T$1)+SUMIFS('changes2_based on steps'!$B85:$U85,'changes2_based on steps'!$B$1:$U$1,T$1)</f>
        <v>0</v>
      </c>
      <c r="U85" s="140">
        <f ca="1">SUMIFS('recurring2_based on steps'!$B85:$AY85,'recurring2_based on steps'!$B$1:$AY$1,U$1)+SUMIFS('changes2_based on steps'!$B85:$U85,'changes2_based on steps'!$B$1:$U$1,U$1)</f>
        <v>0</v>
      </c>
      <c r="V85" s="140">
        <f>SUMIFS('recurring2_based on steps'!$B85:$AY85,'recurring2_based on steps'!$B$1:$AY$1,V$1)+SUMIFS('changes2_based on steps'!$B85:$U85,'changes2_based on steps'!$B$1:$U$1,V$1)</f>
        <v>0</v>
      </c>
      <c r="W85" s="140">
        <f>SUMIFS('recurring2_based on steps'!$B85:$AY85,'recurring2_based on steps'!$B$1:$AY$1,W$1)+SUMIFS('changes2_based on steps'!$B85:$U85,'changes2_based on steps'!$B$1:$U$1,W$1)</f>
        <v>0</v>
      </c>
      <c r="X85" s="140">
        <f ca="1">SUMIFS('recurring2_based on steps'!$B85:$AY85,'recurring2_based on steps'!$B$1:$AY$1,X$1)+SUMIFS('changes2_based on steps'!$B85:$U85,'changes2_based on steps'!$B$1:$U$1,X$1)</f>
        <v>0</v>
      </c>
      <c r="Y85" s="140">
        <f ca="1">SUMIFS('recurring2_based on steps'!$B85:$AY85,'recurring2_based on steps'!$B$1:$AY$1,Y$1)+SUMIFS('changes2_based on steps'!$B85:$U85,'changes2_based on steps'!$B$1:$U$1,Y$1)</f>
        <v>0</v>
      </c>
      <c r="Z85" s="140">
        <f>SUMIFS('recurring2_based on steps'!$B85:$AY85,'recurring2_based on steps'!$B$1:$AY$1,Z$1)+SUMIFS('changes2_based on steps'!$B85:$U85,'changes2_based on steps'!$B$1:$U$1,Z$1)</f>
        <v>0</v>
      </c>
      <c r="AA85" s="140">
        <f ca="1">SUMIFS('recurring2_based on steps'!$B85:$AY85,'recurring2_based on steps'!$B$1:$AY$1,AA$1)+SUMIFS('changes2_based on steps'!$B85:$U85,'changes2_based on steps'!$B$1:$U$1,AA$1)</f>
        <v>0</v>
      </c>
      <c r="AB85" s="140">
        <f ca="1">SUMIFS('recurring2_based on steps'!$B85:$AY85,'recurring2_based on steps'!$B$1:$AY$1,AB$1)+SUMIFS('changes2_based on steps'!$B85:$U85,'changes2_based on steps'!$B$1:$U$1,AB$1)</f>
        <v>0</v>
      </c>
      <c r="AC85" s="140">
        <f ca="1">SUMIFS('recurring2_based on steps'!$B85:$AY85,'recurring2_based on steps'!$B$1:$AY$1,AC$1)+SUMIFS('changes2_based on steps'!$B85:$U85,'changes2_based on steps'!$B$1:$U$1,AC$1)</f>
        <v>0</v>
      </c>
      <c r="AD85" s="140">
        <f ca="1">SUMIFS('recurring2_based on steps'!$B85:$AY85,'recurring2_based on steps'!$B$1:$AY$1,AD$1)+SUMIFS('changes2_based on steps'!$B85:$U85,'changes2_based on steps'!$B$1:$U$1,AD$1)</f>
        <v>0</v>
      </c>
      <c r="AE85" s="140">
        <f>SUMIFS('recurring2_based on steps'!$B85:$AY85,'recurring2_based on steps'!$B$1:$AY$1,AE$1)+SUMIFS('changes2_based on steps'!$B85:$U85,'changes2_based on steps'!$B$1:$U$1,AE$1)</f>
        <v>0</v>
      </c>
      <c r="AF85" s="140"/>
      <c r="AG85" s="140"/>
      <c r="AH85" s="140"/>
      <c r="AI85" s="140"/>
      <c r="AJ85" s="140"/>
      <c r="AK85" s="140"/>
      <c r="AL85" s="140"/>
      <c r="AM85" s="140"/>
    </row>
    <row r="86" spans="1:39" x14ac:dyDescent="0.2">
      <c r="A86" s="29">
        <f t="shared" ca="1" si="1"/>
        <v>45826</v>
      </c>
      <c r="B86" s="140">
        <f ca="1">SUMIFS('recurring2_based on steps'!$B86:$AY86,'recurring2_based on steps'!$B$1:$AY$1,B$1)+SUMIFS('changes2_based on steps'!$B86:$U86,'changes2_based on steps'!$B$1:$U$1,B$1)</f>
        <v>0</v>
      </c>
      <c r="C86" s="140">
        <f>SUMIFS('recurring2_based on steps'!$B86:$AY86,'recurring2_based on steps'!$B$1:$AY$1,C$1)+SUMIFS('changes2_based on steps'!$B86:$U86,'changes2_based on steps'!$B$1:$U$1,C$1)</f>
        <v>0</v>
      </c>
      <c r="D86" s="140">
        <f>SUMIFS('recurring2_based on steps'!$B86:$AY86,'recurring2_based on steps'!$B$1:$AY$1,D$1)+SUMIFS('changes2_based on steps'!$B86:$U86,'changes2_based on steps'!$B$1:$U$1,D$1)</f>
        <v>0</v>
      </c>
      <c r="E86" s="140">
        <f>SUMIFS('recurring2_based on steps'!$B86:$AY86,'recurring2_based on steps'!$B$1:$AY$1,E$1)+SUMIFS('changes2_based on steps'!$B86:$U86,'changes2_based on steps'!$B$1:$U$1,E$1)</f>
        <v>0</v>
      </c>
      <c r="F86" s="140">
        <f>SUMIFS('recurring2_based on steps'!$B86:$AY86,'recurring2_based on steps'!$B$1:$AY$1,F$1)+SUMIFS('changes2_based on steps'!$B86:$U86,'changes2_based on steps'!$B$1:$U$1,F$1)</f>
        <v>0</v>
      </c>
      <c r="G86" s="140">
        <f>SUMIFS('recurring2_based on steps'!$B86:$AY86,'recurring2_based on steps'!$B$1:$AY$1,G$1)+SUMIFS('changes2_based on steps'!$B86:$U86,'changes2_based on steps'!$B$1:$U$1,G$1)</f>
        <v>0</v>
      </c>
      <c r="H86" s="140">
        <f>SUMIFS('recurring2_based on steps'!$B86:$AY86,'recurring2_based on steps'!$B$1:$AY$1,H$1)+SUMIFS('changes2_based on steps'!$B86:$U86,'changes2_based on steps'!$B$1:$U$1,H$1)</f>
        <v>0</v>
      </c>
      <c r="I86" s="140">
        <f>SUMIFS('recurring2_based on steps'!$B86:$AY86,'recurring2_based on steps'!$B$1:$AY$1,I$1)+SUMIFS('changes2_based on steps'!$B86:$U86,'changes2_based on steps'!$B$1:$U$1,I$1)</f>
        <v>0</v>
      </c>
      <c r="J86" s="140">
        <f ca="1">SUMIFS('recurring2_based on steps'!$B86:$AY86,'recurring2_based on steps'!$B$1:$AY$1,J$1)+SUMIFS('changes2_based on steps'!$B86:$U86,'changes2_based on steps'!$B$1:$U$1,J$1)</f>
        <v>0</v>
      </c>
      <c r="K86" s="140">
        <f>SUMIFS('recurring2_based on steps'!$B86:$AY86,'recurring2_based on steps'!$B$1:$AY$1,K$1)+SUMIFS('changes2_based on steps'!$B86:$U86,'changes2_based on steps'!$B$1:$U$1,K$1)</f>
        <v>0</v>
      </c>
      <c r="L86" s="140">
        <f>SUMIFS('recurring2_based on steps'!$B86:$AY86,'recurring2_based on steps'!$B$1:$AY$1,L$1)+SUMIFS('changes2_based on steps'!$B86:$U86,'changes2_based on steps'!$B$1:$U$1,L$1)</f>
        <v>0</v>
      </c>
      <c r="M86" s="140">
        <f>SUMIFS('recurring2_based on steps'!$B86:$AY86,'recurring2_based on steps'!$B$1:$AY$1,M$1)+SUMIFS('changes2_based on steps'!$B86:$U86,'changes2_based on steps'!$B$1:$U$1,M$1)</f>
        <v>0</v>
      </c>
      <c r="N86" s="140">
        <f ca="1">SUMIFS('recurring2_based on steps'!$B86:$AY86,'recurring2_based on steps'!$B$1:$AY$1,N$1)+SUMIFS('changes2_based on steps'!$B86:$U86,'changes2_based on steps'!$B$1:$U$1,N$1)</f>
        <v>0</v>
      </c>
      <c r="O86" s="140">
        <f>SUMIFS('recurring2_based on steps'!$B86:$AY86,'recurring2_based on steps'!$B$1:$AY$1,O$1)+SUMIFS('changes2_based on steps'!$B86:$U86,'changes2_based on steps'!$B$1:$U$1,O$1)</f>
        <v>0</v>
      </c>
      <c r="P86" s="140">
        <f ca="1">SUMIFS('recurring2_based on steps'!$B86:$AY86,'recurring2_based on steps'!$B$1:$AY$1,P$1)+SUMIFS('changes2_based on steps'!$B86:$U86,'changes2_based on steps'!$B$1:$U$1,P$1)</f>
        <v>0</v>
      </c>
      <c r="Q86" s="140">
        <f ca="1">SUMIFS('recurring2_based on steps'!$B86:$AY86,'recurring2_based on steps'!$B$1:$AY$1,Q$1)+SUMIFS('changes2_based on steps'!$B86:$U86,'changes2_based on steps'!$B$1:$U$1,Q$1)</f>
        <v>5.5401662049861494E-2</v>
      </c>
      <c r="R86" s="140">
        <f ca="1">SUMIFS('recurring2_based on steps'!$B86:$AY86,'recurring2_based on steps'!$B$1:$AY$1,R$1)+SUMIFS('changes2_based on steps'!$B86:$U86,'changes2_based on steps'!$B$1:$U$1,R$1)</f>
        <v>10.99</v>
      </c>
      <c r="S86" s="140">
        <f>SUMIFS('recurring2_based on steps'!$B86:$AY86,'recurring2_based on steps'!$B$1:$AY$1,S$1)+SUMIFS('changes2_based on steps'!$B86:$U86,'changes2_based on steps'!$B$1:$U$1,S$1)</f>
        <v>0</v>
      </c>
      <c r="T86" s="140">
        <f ca="1">SUMIFS('recurring2_based on steps'!$B86:$AY86,'recurring2_based on steps'!$B$1:$AY$1,T$1)+SUMIFS('changes2_based on steps'!$B86:$U86,'changes2_based on steps'!$B$1:$U$1,T$1)</f>
        <v>0</v>
      </c>
      <c r="U86" s="140">
        <f ca="1">SUMIFS('recurring2_based on steps'!$B86:$AY86,'recurring2_based on steps'!$B$1:$AY$1,U$1)+SUMIFS('changes2_based on steps'!$B86:$U86,'changes2_based on steps'!$B$1:$U$1,U$1)</f>
        <v>0</v>
      </c>
      <c r="V86" s="140">
        <f>SUMIFS('recurring2_based on steps'!$B86:$AY86,'recurring2_based on steps'!$B$1:$AY$1,V$1)+SUMIFS('changes2_based on steps'!$B86:$U86,'changes2_based on steps'!$B$1:$U$1,V$1)</f>
        <v>0</v>
      </c>
      <c r="W86" s="140">
        <f>SUMIFS('recurring2_based on steps'!$B86:$AY86,'recurring2_based on steps'!$B$1:$AY$1,W$1)+SUMIFS('changes2_based on steps'!$B86:$U86,'changes2_based on steps'!$B$1:$U$1,W$1)</f>
        <v>0</v>
      </c>
      <c r="X86" s="140">
        <f ca="1">SUMIFS('recurring2_based on steps'!$B86:$AY86,'recurring2_based on steps'!$B$1:$AY$1,X$1)+SUMIFS('changes2_based on steps'!$B86:$U86,'changes2_based on steps'!$B$1:$U$1,X$1)</f>
        <v>0</v>
      </c>
      <c r="Y86" s="140">
        <f ca="1">SUMIFS('recurring2_based on steps'!$B86:$AY86,'recurring2_based on steps'!$B$1:$AY$1,Y$1)+SUMIFS('changes2_based on steps'!$B86:$U86,'changes2_based on steps'!$B$1:$U$1,Y$1)</f>
        <v>0</v>
      </c>
      <c r="Z86" s="140">
        <f>SUMIFS('recurring2_based on steps'!$B86:$AY86,'recurring2_based on steps'!$B$1:$AY$1,Z$1)+SUMIFS('changes2_based on steps'!$B86:$U86,'changes2_based on steps'!$B$1:$U$1,Z$1)</f>
        <v>0</v>
      </c>
      <c r="AA86" s="140">
        <f ca="1">SUMIFS('recurring2_based on steps'!$B86:$AY86,'recurring2_based on steps'!$B$1:$AY$1,AA$1)+SUMIFS('changes2_based on steps'!$B86:$U86,'changes2_based on steps'!$B$1:$U$1,AA$1)</f>
        <v>0</v>
      </c>
      <c r="AB86" s="140">
        <f ca="1">SUMIFS('recurring2_based on steps'!$B86:$AY86,'recurring2_based on steps'!$B$1:$AY$1,AB$1)+SUMIFS('changes2_based on steps'!$B86:$U86,'changes2_based on steps'!$B$1:$U$1,AB$1)</f>
        <v>0</v>
      </c>
      <c r="AC86" s="140">
        <f ca="1">SUMIFS('recurring2_based on steps'!$B86:$AY86,'recurring2_based on steps'!$B$1:$AY$1,AC$1)+SUMIFS('changes2_based on steps'!$B86:$U86,'changes2_based on steps'!$B$1:$U$1,AC$1)</f>
        <v>0</v>
      </c>
      <c r="AD86" s="140">
        <f ca="1">SUMIFS('recurring2_based on steps'!$B86:$AY86,'recurring2_based on steps'!$B$1:$AY$1,AD$1)+SUMIFS('changes2_based on steps'!$B86:$U86,'changes2_based on steps'!$B$1:$U$1,AD$1)</f>
        <v>0</v>
      </c>
      <c r="AE86" s="140">
        <f>SUMIFS('recurring2_based on steps'!$B86:$AY86,'recurring2_based on steps'!$B$1:$AY$1,AE$1)+SUMIFS('changes2_based on steps'!$B86:$U86,'changes2_based on steps'!$B$1:$U$1,AE$1)</f>
        <v>0</v>
      </c>
      <c r="AF86" s="140"/>
      <c r="AG86" s="140"/>
      <c r="AH86" s="140"/>
      <c r="AI86" s="140"/>
      <c r="AJ86" s="140"/>
      <c r="AK86" s="140"/>
      <c r="AL86" s="140"/>
      <c r="AM86" s="140"/>
    </row>
    <row r="87" spans="1:39" x14ac:dyDescent="0.2">
      <c r="A87" s="29">
        <f t="shared" ca="1" si="1"/>
        <v>45827</v>
      </c>
      <c r="B87" s="140">
        <f ca="1">SUMIFS('recurring2_based on steps'!$B87:$AY87,'recurring2_based on steps'!$B$1:$AY$1,B$1)+SUMIFS('changes2_based on steps'!$B87:$U87,'changes2_based on steps'!$B$1:$U$1,B$1)</f>
        <v>0</v>
      </c>
      <c r="C87" s="140">
        <f>SUMIFS('recurring2_based on steps'!$B87:$AY87,'recurring2_based on steps'!$B$1:$AY$1,C$1)+SUMIFS('changes2_based on steps'!$B87:$U87,'changes2_based on steps'!$B$1:$U$1,C$1)</f>
        <v>0</v>
      </c>
      <c r="D87" s="140">
        <f>SUMIFS('recurring2_based on steps'!$B87:$AY87,'recurring2_based on steps'!$B$1:$AY$1,D$1)+SUMIFS('changes2_based on steps'!$B87:$U87,'changes2_based on steps'!$B$1:$U$1,D$1)</f>
        <v>0</v>
      </c>
      <c r="E87" s="140">
        <f>SUMIFS('recurring2_based on steps'!$B87:$AY87,'recurring2_based on steps'!$B$1:$AY$1,E$1)+SUMIFS('changes2_based on steps'!$B87:$U87,'changes2_based on steps'!$B$1:$U$1,E$1)</f>
        <v>0</v>
      </c>
      <c r="F87" s="140">
        <f>SUMIFS('recurring2_based on steps'!$B87:$AY87,'recurring2_based on steps'!$B$1:$AY$1,F$1)+SUMIFS('changes2_based on steps'!$B87:$U87,'changes2_based on steps'!$B$1:$U$1,F$1)</f>
        <v>0</v>
      </c>
      <c r="G87" s="140">
        <f>SUMIFS('recurring2_based on steps'!$B87:$AY87,'recurring2_based on steps'!$B$1:$AY$1,G$1)+SUMIFS('changes2_based on steps'!$B87:$U87,'changes2_based on steps'!$B$1:$U$1,G$1)</f>
        <v>0</v>
      </c>
      <c r="H87" s="140">
        <f>SUMIFS('recurring2_based on steps'!$B87:$AY87,'recurring2_based on steps'!$B$1:$AY$1,H$1)+SUMIFS('changes2_based on steps'!$B87:$U87,'changes2_based on steps'!$B$1:$U$1,H$1)</f>
        <v>0</v>
      </c>
      <c r="I87" s="140">
        <f>SUMIFS('recurring2_based on steps'!$B87:$AY87,'recurring2_based on steps'!$B$1:$AY$1,I$1)+SUMIFS('changes2_based on steps'!$B87:$U87,'changes2_based on steps'!$B$1:$U$1,I$1)</f>
        <v>0</v>
      </c>
      <c r="J87" s="140">
        <f ca="1">SUMIFS('recurring2_based on steps'!$B87:$AY87,'recurring2_based on steps'!$B$1:$AY$1,J$1)+SUMIFS('changes2_based on steps'!$B87:$U87,'changes2_based on steps'!$B$1:$U$1,J$1)</f>
        <v>0</v>
      </c>
      <c r="K87" s="140">
        <f>SUMIFS('recurring2_based on steps'!$B87:$AY87,'recurring2_based on steps'!$B$1:$AY$1,K$1)+SUMIFS('changes2_based on steps'!$B87:$U87,'changes2_based on steps'!$B$1:$U$1,K$1)</f>
        <v>0</v>
      </c>
      <c r="L87" s="140">
        <f>SUMIFS('recurring2_based on steps'!$B87:$AY87,'recurring2_based on steps'!$B$1:$AY$1,L$1)+SUMIFS('changes2_based on steps'!$B87:$U87,'changes2_based on steps'!$B$1:$U$1,L$1)</f>
        <v>0</v>
      </c>
      <c r="M87" s="140">
        <f>SUMIFS('recurring2_based on steps'!$B87:$AY87,'recurring2_based on steps'!$B$1:$AY$1,M$1)+SUMIFS('changes2_based on steps'!$B87:$U87,'changes2_based on steps'!$B$1:$U$1,M$1)</f>
        <v>0</v>
      </c>
      <c r="N87" s="140">
        <f ca="1">SUMIFS('recurring2_based on steps'!$B87:$AY87,'recurring2_based on steps'!$B$1:$AY$1,N$1)+SUMIFS('changes2_based on steps'!$B87:$U87,'changes2_based on steps'!$B$1:$U$1,N$1)</f>
        <v>0</v>
      </c>
      <c r="O87" s="140">
        <f>SUMIFS('recurring2_based on steps'!$B87:$AY87,'recurring2_based on steps'!$B$1:$AY$1,O$1)+SUMIFS('changes2_based on steps'!$B87:$U87,'changes2_based on steps'!$B$1:$U$1,O$1)</f>
        <v>0</v>
      </c>
      <c r="P87" s="140">
        <f ca="1">SUMIFS('recurring2_based on steps'!$B87:$AY87,'recurring2_based on steps'!$B$1:$AY$1,P$1)+SUMIFS('changes2_based on steps'!$B87:$U87,'changes2_based on steps'!$B$1:$U$1,P$1)</f>
        <v>0</v>
      </c>
      <c r="Q87" s="140">
        <f ca="1">SUMIFS('recurring2_based on steps'!$B87:$AY87,'recurring2_based on steps'!$B$1:$AY$1,Q$1)+SUMIFS('changes2_based on steps'!$B87:$U87,'changes2_based on steps'!$B$1:$U$1,Q$1)</f>
        <v>5.5401662049861494E-2</v>
      </c>
      <c r="R87" s="140">
        <f ca="1">SUMIFS('recurring2_based on steps'!$B87:$AY87,'recurring2_based on steps'!$B$1:$AY$1,R$1)+SUMIFS('changes2_based on steps'!$B87:$U87,'changes2_based on steps'!$B$1:$U$1,R$1)</f>
        <v>0</v>
      </c>
      <c r="S87" s="140">
        <f>SUMIFS('recurring2_based on steps'!$B87:$AY87,'recurring2_based on steps'!$B$1:$AY$1,S$1)+SUMIFS('changes2_based on steps'!$B87:$U87,'changes2_based on steps'!$B$1:$U$1,S$1)</f>
        <v>0</v>
      </c>
      <c r="T87" s="140">
        <f ca="1">SUMIFS('recurring2_based on steps'!$B87:$AY87,'recurring2_based on steps'!$B$1:$AY$1,T$1)+SUMIFS('changes2_based on steps'!$B87:$U87,'changes2_based on steps'!$B$1:$U$1,T$1)</f>
        <v>0</v>
      </c>
      <c r="U87" s="140">
        <f ca="1">SUMIFS('recurring2_based on steps'!$B87:$AY87,'recurring2_based on steps'!$B$1:$AY$1,U$1)+SUMIFS('changes2_based on steps'!$B87:$U87,'changes2_based on steps'!$B$1:$U$1,U$1)</f>
        <v>0</v>
      </c>
      <c r="V87" s="140">
        <f>SUMIFS('recurring2_based on steps'!$B87:$AY87,'recurring2_based on steps'!$B$1:$AY$1,V$1)+SUMIFS('changes2_based on steps'!$B87:$U87,'changes2_based on steps'!$B$1:$U$1,V$1)</f>
        <v>0</v>
      </c>
      <c r="W87" s="140">
        <f>SUMIFS('recurring2_based on steps'!$B87:$AY87,'recurring2_based on steps'!$B$1:$AY$1,W$1)+SUMIFS('changes2_based on steps'!$B87:$U87,'changes2_based on steps'!$B$1:$U$1,W$1)</f>
        <v>0</v>
      </c>
      <c r="X87" s="140">
        <f ca="1">SUMIFS('recurring2_based on steps'!$B87:$AY87,'recurring2_based on steps'!$B$1:$AY$1,X$1)+SUMIFS('changes2_based on steps'!$B87:$U87,'changes2_based on steps'!$B$1:$U$1,X$1)</f>
        <v>0</v>
      </c>
      <c r="Y87" s="140">
        <f ca="1">SUMIFS('recurring2_based on steps'!$B87:$AY87,'recurring2_based on steps'!$B$1:$AY$1,Y$1)+SUMIFS('changes2_based on steps'!$B87:$U87,'changes2_based on steps'!$B$1:$U$1,Y$1)</f>
        <v>0</v>
      </c>
      <c r="Z87" s="140">
        <f>SUMIFS('recurring2_based on steps'!$B87:$AY87,'recurring2_based on steps'!$B$1:$AY$1,Z$1)+SUMIFS('changes2_based on steps'!$B87:$U87,'changes2_based on steps'!$B$1:$U$1,Z$1)</f>
        <v>0</v>
      </c>
      <c r="AA87" s="140">
        <f ca="1">SUMIFS('recurring2_based on steps'!$B87:$AY87,'recurring2_based on steps'!$B$1:$AY$1,AA$1)+SUMIFS('changes2_based on steps'!$B87:$U87,'changes2_based on steps'!$B$1:$U$1,AA$1)</f>
        <v>0</v>
      </c>
      <c r="AB87" s="140">
        <f ca="1">SUMIFS('recurring2_based on steps'!$B87:$AY87,'recurring2_based on steps'!$B$1:$AY$1,AB$1)+SUMIFS('changes2_based on steps'!$B87:$U87,'changes2_based on steps'!$B$1:$U$1,AB$1)</f>
        <v>0</v>
      </c>
      <c r="AC87" s="140">
        <f ca="1">SUMIFS('recurring2_based on steps'!$B87:$AY87,'recurring2_based on steps'!$B$1:$AY$1,AC$1)+SUMIFS('changes2_based on steps'!$B87:$U87,'changes2_based on steps'!$B$1:$U$1,AC$1)</f>
        <v>0</v>
      </c>
      <c r="AD87" s="140">
        <f ca="1">SUMIFS('recurring2_based on steps'!$B87:$AY87,'recurring2_based on steps'!$B$1:$AY$1,AD$1)+SUMIFS('changes2_based on steps'!$B87:$U87,'changes2_based on steps'!$B$1:$U$1,AD$1)</f>
        <v>0</v>
      </c>
      <c r="AE87" s="140">
        <f>SUMIFS('recurring2_based on steps'!$B87:$AY87,'recurring2_based on steps'!$B$1:$AY$1,AE$1)+SUMIFS('changes2_based on steps'!$B87:$U87,'changes2_based on steps'!$B$1:$U$1,AE$1)</f>
        <v>0</v>
      </c>
      <c r="AF87" s="140"/>
      <c r="AG87" s="140"/>
      <c r="AH87" s="140"/>
      <c r="AI87" s="140"/>
      <c r="AJ87" s="140"/>
      <c r="AK87" s="140"/>
      <c r="AL87" s="140"/>
      <c r="AM87" s="140"/>
    </row>
    <row r="88" spans="1:39" x14ac:dyDescent="0.2">
      <c r="A88" s="29">
        <f t="shared" ca="1" si="1"/>
        <v>45828</v>
      </c>
      <c r="B88" s="140">
        <f ca="1">SUMIFS('recurring2_based on steps'!$B88:$AY88,'recurring2_based on steps'!$B$1:$AY$1,B$1)+SUMIFS('changes2_based on steps'!$B88:$U88,'changes2_based on steps'!$B$1:$U$1,B$1)</f>
        <v>0</v>
      </c>
      <c r="C88" s="140">
        <f>SUMIFS('recurring2_based on steps'!$B88:$AY88,'recurring2_based on steps'!$B$1:$AY$1,C$1)+SUMIFS('changes2_based on steps'!$B88:$U88,'changes2_based on steps'!$B$1:$U$1,C$1)</f>
        <v>0</v>
      </c>
      <c r="D88" s="140">
        <f>SUMIFS('recurring2_based on steps'!$B88:$AY88,'recurring2_based on steps'!$B$1:$AY$1,D$1)+SUMIFS('changes2_based on steps'!$B88:$U88,'changes2_based on steps'!$B$1:$U$1,D$1)</f>
        <v>0</v>
      </c>
      <c r="E88" s="140">
        <f>SUMIFS('recurring2_based on steps'!$B88:$AY88,'recurring2_based on steps'!$B$1:$AY$1,E$1)+SUMIFS('changes2_based on steps'!$B88:$U88,'changes2_based on steps'!$B$1:$U$1,E$1)</f>
        <v>0</v>
      </c>
      <c r="F88" s="140">
        <f>SUMIFS('recurring2_based on steps'!$B88:$AY88,'recurring2_based on steps'!$B$1:$AY$1,F$1)+SUMIFS('changes2_based on steps'!$B88:$U88,'changes2_based on steps'!$B$1:$U$1,F$1)</f>
        <v>0</v>
      </c>
      <c r="G88" s="140">
        <f>SUMIFS('recurring2_based on steps'!$B88:$AY88,'recurring2_based on steps'!$B$1:$AY$1,G$1)+SUMIFS('changes2_based on steps'!$B88:$U88,'changes2_based on steps'!$B$1:$U$1,G$1)</f>
        <v>0</v>
      </c>
      <c r="H88" s="140">
        <f>SUMIFS('recurring2_based on steps'!$B88:$AY88,'recurring2_based on steps'!$B$1:$AY$1,H$1)+SUMIFS('changes2_based on steps'!$B88:$U88,'changes2_based on steps'!$B$1:$U$1,H$1)</f>
        <v>0</v>
      </c>
      <c r="I88" s="140">
        <f>SUMIFS('recurring2_based on steps'!$B88:$AY88,'recurring2_based on steps'!$B$1:$AY$1,I$1)+SUMIFS('changes2_based on steps'!$B88:$U88,'changes2_based on steps'!$B$1:$U$1,I$1)</f>
        <v>0</v>
      </c>
      <c r="J88" s="140">
        <f ca="1">SUMIFS('recurring2_based on steps'!$B88:$AY88,'recurring2_based on steps'!$B$1:$AY$1,J$1)+SUMIFS('changes2_based on steps'!$B88:$U88,'changes2_based on steps'!$B$1:$U$1,J$1)</f>
        <v>0</v>
      </c>
      <c r="K88" s="140">
        <f>SUMIFS('recurring2_based on steps'!$B88:$AY88,'recurring2_based on steps'!$B$1:$AY$1,K$1)+SUMIFS('changes2_based on steps'!$B88:$U88,'changes2_based on steps'!$B$1:$U$1,K$1)</f>
        <v>0</v>
      </c>
      <c r="L88" s="140">
        <f>SUMIFS('recurring2_based on steps'!$B88:$AY88,'recurring2_based on steps'!$B$1:$AY$1,L$1)+SUMIFS('changes2_based on steps'!$B88:$U88,'changes2_based on steps'!$B$1:$U$1,L$1)</f>
        <v>0</v>
      </c>
      <c r="M88" s="140">
        <f>SUMIFS('recurring2_based on steps'!$B88:$AY88,'recurring2_based on steps'!$B$1:$AY$1,M$1)+SUMIFS('changes2_based on steps'!$B88:$U88,'changes2_based on steps'!$B$1:$U$1,M$1)</f>
        <v>0</v>
      </c>
      <c r="N88" s="140">
        <f ca="1">SUMIFS('recurring2_based on steps'!$B88:$AY88,'recurring2_based on steps'!$B$1:$AY$1,N$1)+SUMIFS('changes2_based on steps'!$B88:$U88,'changes2_based on steps'!$B$1:$U$1,N$1)</f>
        <v>0</v>
      </c>
      <c r="O88" s="140">
        <f>SUMIFS('recurring2_based on steps'!$B88:$AY88,'recurring2_based on steps'!$B$1:$AY$1,O$1)+SUMIFS('changes2_based on steps'!$B88:$U88,'changes2_based on steps'!$B$1:$U$1,O$1)</f>
        <v>0</v>
      </c>
      <c r="P88" s="140">
        <f ca="1">SUMIFS('recurring2_based on steps'!$B88:$AY88,'recurring2_based on steps'!$B$1:$AY$1,P$1)+SUMIFS('changes2_based on steps'!$B88:$U88,'changes2_based on steps'!$B$1:$U$1,P$1)</f>
        <v>0</v>
      </c>
      <c r="Q88" s="140">
        <f ca="1">SUMIFS('recurring2_based on steps'!$B88:$AY88,'recurring2_based on steps'!$B$1:$AY$1,Q$1)+SUMIFS('changes2_based on steps'!$B88:$U88,'changes2_based on steps'!$B$1:$U$1,Q$1)</f>
        <v>5.5401662049861494E-2</v>
      </c>
      <c r="R88" s="140">
        <f ca="1">SUMIFS('recurring2_based on steps'!$B88:$AY88,'recurring2_based on steps'!$B$1:$AY$1,R$1)+SUMIFS('changes2_based on steps'!$B88:$U88,'changes2_based on steps'!$B$1:$U$1,R$1)</f>
        <v>5.8171745152354575</v>
      </c>
      <c r="S88" s="140">
        <f>SUMIFS('recurring2_based on steps'!$B88:$AY88,'recurring2_based on steps'!$B$1:$AY$1,S$1)+SUMIFS('changes2_based on steps'!$B88:$U88,'changes2_based on steps'!$B$1:$U$1,S$1)</f>
        <v>0</v>
      </c>
      <c r="T88" s="140">
        <f ca="1">SUMIFS('recurring2_based on steps'!$B88:$AY88,'recurring2_based on steps'!$B$1:$AY$1,T$1)+SUMIFS('changes2_based on steps'!$B88:$U88,'changes2_based on steps'!$B$1:$U$1,T$1)</f>
        <v>0</v>
      </c>
      <c r="U88" s="140">
        <f ca="1">SUMIFS('recurring2_based on steps'!$B88:$AY88,'recurring2_based on steps'!$B$1:$AY$1,U$1)+SUMIFS('changes2_based on steps'!$B88:$U88,'changes2_based on steps'!$B$1:$U$1,U$1)</f>
        <v>0</v>
      </c>
      <c r="V88" s="140">
        <f>SUMIFS('recurring2_based on steps'!$B88:$AY88,'recurring2_based on steps'!$B$1:$AY$1,V$1)+SUMIFS('changes2_based on steps'!$B88:$U88,'changes2_based on steps'!$B$1:$U$1,V$1)</f>
        <v>0</v>
      </c>
      <c r="W88" s="140">
        <f>SUMIFS('recurring2_based on steps'!$B88:$AY88,'recurring2_based on steps'!$B$1:$AY$1,W$1)+SUMIFS('changes2_based on steps'!$B88:$U88,'changes2_based on steps'!$B$1:$U$1,W$1)</f>
        <v>0</v>
      </c>
      <c r="X88" s="140">
        <f ca="1">SUMIFS('recurring2_based on steps'!$B88:$AY88,'recurring2_based on steps'!$B$1:$AY$1,X$1)+SUMIFS('changes2_based on steps'!$B88:$U88,'changes2_based on steps'!$B$1:$U$1,X$1)</f>
        <v>0</v>
      </c>
      <c r="Y88" s="140">
        <f ca="1">SUMIFS('recurring2_based on steps'!$B88:$AY88,'recurring2_based on steps'!$B$1:$AY$1,Y$1)+SUMIFS('changes2_based on steps'!$B88:$U88,'changes2_based on steps'!$B$1:$U$1,Y$1)</f>
        <v>0</v>
      </c>
      <c r="Z88" s="140">
        <f>SUMIFS('recurring2_based on steps'!$B88:$AY88,'recurring2_based on steps'!$B$1:$AY$1,Z$1)+SUMIFS('changes2_based on steps'!$B88:$U88,'changes2_based on steps'!$B$1:$U$1,Z$1)</f>
        <v>0</v>
      </c>
      <c r="AA88" s="140">
        <f ca="1">SUMIFS('recurring2_based on steps'!$B88:$AY88,'recurring2_based on steps'!$B$1:$AY$1,AA$1)+SUMIFS('changes2_based on steps'!$B88:$U88,'changes2_based on steps'!$B$1:$U$1,AA$1)</f>
        <v>0</v>
      </c>
      <c r="AB88" s="140">
        <f ca="1">SUMIFS('recurring2_based on steps'!$B88:$AY88,'recurring2_based on steps'!$B$1:$AY$1,AB$1)+SUMIFS('changes2_based on steps'!$B88:$U88,'changes2_based on steps'!$B$1:$U$1,AB$1)</f>
        <v>0</v>
      </c>
      <c r="AC88" s="140">
        <f ca="1">SUMIFS('recurring2_based on steps'!$B88:$AY88,'recurring2_based on steps'!$B$1:$AY$1,AC$1)+SUMIFS('changes2_based on steps'!$B88:$U88,'changes2_based on steps'!$B$1:$U$1,AC$1)</f>
        <v>0</v>
      </c>
      <c r="AD88" s="140">
        <f ca="1">SUMIFS('recurring2_based on steps'!$B88:$AY88,'recurring2_based on steps'!$B$1:$AY$1,AD$1)+SUMIFS('changes2_based on steps'!$B88:$U88,'changes2_based on steps'!$B$1:$U$1,AD$1)</f>
        <v>0</v>
      </c>
      <c r="AE88" s="140">
        <f>SUMIFS('recurring2_based on steps'!$B88:$AY88,'recurring2_based on steps'!$B$1:$AY$1,AE$1)+SUMIFS('changes2_based on steps'!$B88:$U88,'changes2_based on steps'!$B$1:$U$1,AE$1)</f>
        <v>0</v>
      </c>
      <c r="AF88" s="140"/>
      <c r="AG88" s="140"/>
      <c r="AH88" s="140"/>
      <c r="AI88" s="140"/>
      <c r="AJ88" s="140"/>
      <c r="AK88" s="140"/>
      <c r="AL88" s="140"/>
      <c r="AM88" s="140"/>
    </row>
    <row r="89" spans="1:39" x14ac:dyDescent="0.2">
      <c r="A89" s="29">
        <f t="shared" ca="1" si="1"/>
        <v>45829</v>
      </c>
      <c r="B89" s="140">
        <f ca="1">SUMIFS('recurring2_based on steps'!$B89:$AY89,'recurring2_based on steps'!$B$1:$AY$1,B$1)+SUMIFS('changes2_based on steps'!$B89:$U89,'changes2_based on steps'!$B$1:$U$1,B$1)</f>
        <v>0</v>
      </c>
      <c r="C89" s="140">
        <f>SUMIFS('recurring2_based on steps'!$B89:$AY89,'recurring2_based on steps'!$B$1:$AY$1,C$1)+SUMIFS('changes2_based on steps'!$B89:$U89,'changes2_based on steps'!$B$1:$U$1,C$1)</f>
        <v>0</v>
      </c>
      <c r="D89" s="140">
        <f>SUMIFS('recurring2_based on steps'!$B89:$AY89,'recurring2_based on steps'!$B$1:$AY$1,D$1)+SUMIFS('changes2_based on steps'!$B89:$U89,'changes2_based on steps'!$B$1:$U$1,D$1)</f>
        <v>0</v>
      </c>
      <c r="E89" s="140">
        <f>SUMIFS('recurring2_based on steps'!$B89:$AY89,'recurring2_based on steps'!$B$1:$AY$1,E$1)+SUMIFS('changes2_based on steps'!$B89:$U89,'changes2_based on steps'!$B$1:$U$1,E$1)</f>
        <v>0</v>
      </c>
      <c r="F89" s="140">
        <f>SUMIFS('recurring2_based on steps'!$B89:$AY89,'recurring2_based on steps'!$B$1:$AY$1,F$1)+SUMIFS('changes2_based on steps'!$B89:$U89,'changes2_based on steps'!$B$1:$U$1,F$1)</f>
        <v>0</v>
      </c>
      <c r="G89" s="140">
        <f>SUMIFS('recurring2_based on steps'!$B89:$AY89,'recurring2_based on steps'!$B$1:$AY$1,G$1)+SUMIFS('changes2_based on steps'!$B89:$U89,'changes2_based on steps'!$B$1:$U$1,G$1)</f>
        <v>0</v>
      </c>
      <c r="H89" s="140">
        <f>SUMIFS('recurring2_based on steps'!$B89:$AY89,'recurring2_based on steps'!$B$1:$AY$1,H$1)+SUMIFS('changes2_based on steps'!$B89:$U89,'changes2_based on steps'!$B$1:$U$1,H$1)</f>
        <v>0</v>
      </c>
      <c r="I89" s="140">
        <f>SUMIFS('recurring2_based on steps'!$B89:$AY89,'recurring2_based on steps'!$B$1:$AY$1,I$1)+SUMIFS('changes2_based on steps'!$B89:$U89,'changes2_based on steps'!$B$1:$U$1,I$1)</f>
        <v>0</v>
      </c>
      <c r="J89" s="140">
        <f ca="1">SUMIFS('recurring2_based on steps'!$B89:$AY89,'recurring2_based on steps'!$B$1:$AY$1,J$1)+SUMIFS('changes2_based on steps'!$B89:$U89,'changes2_based on steps'!$B$1:$U$1,J$1)</f>
        <v>0</v>
      </c>
      <c r="K89" s="140">
        <f>SUMIFS('recurring2_based on steps'!$B89:$AY89,'recurring2_based on steps'!$B$1:$AY$1,K$1)+SUMIFS('changes2_based on steps'!$B89:$U89,'changes2_based on steps'!$B$1:$U$1,K$1)</f>
        <v>0</v>
      </c>
      <c r="L89" s="140">
        <f>SUMIFS('recurring2_based on steps'!$B89:$AY89,'recurring2_based on steps'!$B$1:$AY$1,L$1)+SUMIFS('changes2_based on steps'!$B89:$U89,'changes2_based on steps'!$B$1:$U$1,L$1)</f>
        <v>0</v>
      </c>
      <c r="M89" s="140">
        <f>SUMIFS('recurring2_based on steps'!$B89:$AY89,'recurring2_based on steps'!$B$1:$AY$1,M$1)+SUMIFS('changes2_based on steps'!$B89:$U89,'changes2_based on steps'!$B$1:$U$1,M$1)</f>
        <v>0</v>
      </c>
      <c r="N89" s="140">
        <f ca="1">SUMIFS('recurring2_based on steps'!$B89:$AY89,'recurring2_based on steps'!$B$1:$AY$1,N$1)+SUMIFS('changes2_based on steps'!$B89:$U89,'changes2_based on steps'!$B$1:$U$1,N$1)</f>
        <v>0</v>
      </c>
      <c r="O89" s="140">
        <f>SUMIFS('recurring2_based on steps'!$B89:$AY89,'recurring2_based on steps'!$B$1:$AY$1,O$1)+SUMIFS('changes2_based on steps'!$B89:$U89,'changes2_based on steps'!$B$1:$U$1,O$1)</f>
        <v>0</v>
      </c>
      <c r="P89" s="140">
        <f ca="1">SUMIFS('recurring2_based on steps'!$B89:$AY89,'recurring2_based on steps'!$B$1:$AY$1,P$1)+SUMIFS('changes2_based on steps'!$B89:$U89,'changes2_based on steps'!$B$1:$U$1,P$1)</f>
        <v>0</v>
      </c>
      <c r="Q89" s="140">
        <f ca="1">SUMIFS('recurring2_based on steps'!$B89:$AY89,'recurring2_based on steps'!$B$1:$AY$1,Q$1)+SUMIFS('changes2_based on steps'!$B89:$U89,'changes2_based on steps'!$B$1:$U$1,Q$1)</f>
        <v>100.05540166204986</v>
      </c>
      <c r="R89" s="140">
        <f ca="1">SUMIFS('recurring2_based on steps'!$B89:$AY89,'recurring2_based on steps'!$B$1:$AY$1,R$1)+SUMIFS('changes2_based on steps'!$B89:$U89,'changes2_based on steps'!$B$1:$U$1,R$1)</f>
        <v>0</v>
      </c>
      <c r="S89" s="140">
        <f>SUMIFS('recurring2_based on steps'!$B89:$AY89,'recurring2_based on steps'!$B$1:$AY$1,S$1)+SUMIFS('changes2_based on steps'!$B89:$U89,'changes2_based on steps'!$B$1:$U$1,S$1)</f>
        <v>0</v>
      </c>
      <c r="T89" s="140">
        <f ca="1">SUMIFS('recurring2_based on steps'!$B89:$AY89,'recurring2_based on steps'!$B$1:$AY$1,T$1)+SUMIFS('changes2_based on steps'!$B89:$U89,'changes2_based on steps'!$B$1:$U$1,T$1)</f>
        <v>0</v>
      </c>
      <c r="U89" s="140">
        <f ca="1">SUMIFS('recurring2_based on steps'!$B89:$AY89,'recurring2_based on steps'!$B$1:$AY$1,U$1)+SUMIFS('changes2_based on steps'!$B89:$U89,'changes2_based on steps'!$B$1:$U$1,U$1)</f>
        <v>0</v>
      </c>
      <c r="V89" s="140">
        <f>SUMIFS('recurring2_based on steps'!$B89:$AY89,'recurring2_based on steps'!$B$1:$AY$1,V$1)+SUMIFS('changes2_based on steps'!$B89:$U89,'changes2_based on steps'!$B$1:$U$1,V$1)</f>
        <v>0</v>
      </c>
      <c r="W89" s="140">
        <f>SUMIFS('recurring2_based on steps'!$B89:$AY89,'recurring2_based on steps'!$B$1:$AY$1,W$1)+SUMIFS('changes2_based on steps'!$B89:$U89,'changes2_based on steps'!$B$1:$U$1,W$1)</f>
        <v>0</v>
      </c>
      <c r="X89" s="140">
        <f ca="1">SUMIFS('recurring2_based on steps'!$B89:$AY89,'recurring2_based on steps'!$B$1:$AY$1,X$1)+SUMIFS('changes2_based on steps'!$B89:$U89,'changes2_based on steps'!$B$1:$U$1,X$1)</f>
        <v>0</v>
      </c>
      <c r="Y89" s="140">
        <f ca="1">SUMIFS('recurring2_based on steps'!$B89:$AY89,'recurring2_based on steps'!$B$1:$AY$1,Y$1)+SUMIFS('changes2_based on steps'!$B89:$U89,'changes2_based on steps'!$B$1:$U$1,Y$1)</f>
        <v>0</v>
      </c>
      <c r="Z89" s="140">
        <f>SUMIFS('recurring2_based on steps'!$B89:$AY89,'recurring2_based on steps'!$B$1:$AY$1,Z$1)+SUMIFS('changes2_based on steps'!$B89:$U89,'changes2_based on steps'!$B$1:$U$1,Z$1)</f>
        <v>0</v>
      </c>
      <c r="AA89" s="140">
        <f ca="1">SUMIFS('recurring2_based on steps'!$B89:$AY89,'recurring2_based on steps'!$B$1:$AY$1,AA$1)+SUMIFS('changes2_based on steps'!$B89:$U89,'changes2_based on steps'!$B$1:$U$1,AA$1)</f>
        <v>0</v>
      </c>
      <c r="AB89" s="140">
        <f ca="1">SUMIFS('recurring2_based on steps'!$B89:$AY89,'recurring2_based on steps'!$B$1:$AY$1,AB$1)+SUMIFS('changes2_based on steps'!$B89:$U89,'changes2_based on steps'!$B$1:$U$1,AB$1)</f>
        <v>100</v>
      </c>
      <c r="AC89" s="140">
        <f ca="1">SUMIFS('recurring2_based on steps'!$B89:$AY89,'recurring2_based on steps'!$B$1:$AY$1,AC$1)+SUMIFS('changes2_based on steps'!$B89:$U89,'changes2_based on steps'!$B$1:$U$1,AC$1)</f>
        <v>0</v>
      </c>
      <c r="AD89" s="140">
        <f ca="1">SUMIFS('recurring2_based on steps'!$B89:$AY89,'recurring2_based on steps'!$B$1:$AY$1,AD$1)+SUMIFS('changes2_based on steps'!$B89:$U89,'changes2_based on steps'!$B$1:$U$1,AD$1)</f>
        <v>0</v>
      </c>
      <c r="AE89" s="140">
        <f>SUMIFS('recurring2_based on steps'!$B89:$AY89,'recurring2_based on steps'!$B$1:$AY$1,AE$1)+SUMIFS('changes2_based on steps'!$B89:$U89,'changes2_based on steps'!$B$1:$U$1,AE$1)</f>
        <v>0</v>
      </c>
      <c r="AF89" s="140"/>
      <c r="AG89" s="140"/>
      <c r="AH89" s="140"/>
      <c r="AI89" s="140"/>
      <c r="AJ89" s="140"/>
      <c r="AK89" s="140"/>
      <c r="AL89" s="140"/>
      <c r="AM89" s="140"/>
    </row>
    <row r="90" spans="1:39" x14ac:dyDescent="0.2">
      <c r="A90" s="29">
        <f t="shared" ca="1" si="1"/>
        <v>45830</v>
      </c>
      <c r="B90" s="140">
        <f ca="1">SUMIFS('recurring2_based on steps'!$B90:$AY90,'recurring2_based on steps'!$B$1:$AY$1,B$1)+SUMIFS('changes2_based on steps'!$B90:$U90,'changes2_based on steps'!$B$1:$U$1,B$1)</f>
        <v>0</v>
      </c>
      <c r="C90" s="140">
        <f>SUMIFS('recurring2_based on steps'!$B90:$AY90,'recurring2_based on steps'!$B$1:$AY$1,C$1)+SUMIFS('changes2_based on steps'!$B90:$U90,'changes2_based on steps'!$B$1:$U$1,C$1)</f>
        <v>0</v>
      </c>
      <c r="D90" s="140">
        <f>SUMIFS('recurring2_based on steps'!$B90:$AY90,'recurring2_based on steps'!$B$1:$AY$1,D$1)+SUMIFS('changes2_based on steps'!$B90:$U90,'changes2_based on steps'!$B$1:$U$1,D$1)</f>
        <v>0</v>
      </c>
      <c r="E90" s="140">
        <f>SUMIFS('recurring2_based on steps'!$B90:$AY90,'recurring2_based on steps'!$B$1:$AY$1,E$1)+SUMIFS('changes2_based on steps'!$B90:$U90,'changes2_based on steps'!$B$1:$U$1,E$1)</f>
        <v>0</v>
      </c>
      <c r="F90" s="140">
        <f>SUMIFS('recurring2_based on steps'!$B90:$AY90,'recurring2_based on steps'!$B$1:$AY$1,F$1)+SUMIFS('changes2_based on steps'!$B90:$U90,'changes2_based on steps'!$B$1:$U$1,F$1)</f>
        <v>0</v>
      </c>
      <c r="G90" s="140">
        <f>SUMIFS('recurring2_based on steps'!$B90:$AY90,'recurring2_based on steps'!$B$1:$AY$1,G$1)+SUMIFS('changes2_based on steps'!$B90:$U90,'changes2_based on steps'!$B$1:$U$1,G$1)</f>
        <v>0</v>
      </c>
      <c r="H90" s="140">
        <f>SUMIFS('recurring2_based on steps'!$B90:$AY90,'recurring2_based on steps'!$B$1:$AY$1,H$1)+SUMIFS('changes2_based on steps'!$B90:$U90,'changes2_based on steps'!$B$1:$U$1,H$1)</f>
        <v>0</v>
      </c>
      <c r="I90" s="140">
        <f>SUMIFS('recurring2_based on steps'!$B90:$AY90,'recurring2_based on steps'!$B$1:$AY$1,I$1)+SUMIFS('changes2_based on steps'!$B90:$U90,'changes2_based on steps'!$B$1:$U$1,I$1)</f>
        <v>0</v>
      </c>
      <c r="J90" s="140">
        <f ca="1">SUMIFS('recurring2_based on steps'!$B90:$AY90,'recurring2_based on steps'!$B$1:$AY$1,J$1)+SUMIFS('changes2_based on steps'!$B90:$U90,'changes2_based on steps'!$B$1:$U$1,J$1)</f>
        <v>0</v>
      </c>
      <c r="K90" s="140">
        <f>SUMIFS('recurring2_based on steps'!$B90:$AY90,'recurring2_based on steps'!$B$1:$AY$1,K$1)+SUMIFS('changes2_based on steps'!$B90:$U90,'changes2_based on steps'!$B$1:$U$1,K$1)</f>
        <v>0</v>
      </c>
      <c r="L90" s="140">
        <f>SUMIFS('recurring2_based on steps'!$B90:$AY90,'recurring2_based on steps'!$B$1:$AY$1,L$1)+SUMIFS('changes2_based on steps'!$B90:$U90,'changes2_based on steps'!$B$1:$U$1,L$1)</f>
        <v>0</v>
      </c>
      <c r="M90" s="140">
        <f>SUMIFS('recurring2_based on steps'!$B90:$AY90,'recurring2_based on steps'!$B$1:$AY$1,M$1)+SUMIFS('changes2_based on steps'!$B90:$U90,'changes2_based on steps'!$B$1:$U$1,M$1)</f>
        <v>0</v>
      </c>
      <c r="N90" s="140">
        <f ca="1">SUMIFS('recurring2_based on steps'!$B90:$AY90,'recurring2_based on steps'!$B$1:$AY$1,N$1)+SUMIFS('changes2_based on steps'!$B90:$U90,'changes2_based on steps'!$B$1:$U$1,N$1)</f>
        <v>0</v>
      </c>
      <c r="O90" s="140">
        <f>SUMIFS('recurring2_based on steps'!$B90:$AY90,'recurring2_based on steps'!$B$1:$AY$1,O$1)+SUMIFS('changes2_based on steps'!$B90:$U90,'changes2_based on steps'!$B$1:$U$1,O$1)</f>
        <v>0</v>
      </c>
      <c r="P90" s="140">
        <f ca="1">SUMIFS('recurring2_based on steps'!$B90:$AY90,'recurring2_based on steps'!$B$1:$AY$1,P$1)+SUMIFS('changes2_based on steps'!$B90:$U90,'changes2_based on steps'!$B$1:$U$1,P$1)</f>
        <v>0</v>
      </c>
      <c r="Q90" s="140">
        <f ca="1">SUMIFS('recurring2_based on steps'!$B90:$AY90,'recurring2_based on steps'!$B$1:$AY$1,Q$1)+SUMIFS('changes2_based on steps'!$B90:$U90,'changes2_based on steps'!$B$1:$U$1,Q$1)</f>
        <v>100.05540166204986</v>
      </c>
      <c r="R90" s="140">
        <f ca="1">SUMIFS('recurring2_based on steps'!$B90:$AY90,'recurring2_based on steps'!$B$1:$AY$1,R$1)+SUMIFS('changes2_based on steps'!$B90:$U90,'changes2_based on steps'!$B$1:$U$1,R$1)</f>
        <v>0</v>
      </c>
      <c r="S90" s="140">
        <f>SUMIFS('recurring2_based on steps'!$B90:$AY90,'recurring2_based on steps'!$B$1:$AY$1,S$1)+SUMIFS('changes2_based on steps'!$B90:$U90,'changes2_based on steps'!$B$1:$U$1,S$1)</f>
        <v>0</v>
      </c>
      <c r="T90" s="140">
        <f ca="1">SUMIFS('recurring2_based on steps'!$B90:$AY90,'recurring2_based on steps'!$B$1:$AY$1,T$1)+SUMIFS('changes2_based on steps'!$B90:$U90,'changes2_based on steps'!$B$1:$U$1,T$1)</f>
        <v>0</v>
      </c>
      <c r="U90" s="140">
        <f ca="1">SUMIFS('recurring2_based on steps'!$B90:$AY90,'recurring2_based on steps'!$B$1:$AY$1,U$1)+SUMIFS('changes2_based on steps'!$B90:$U90,'changes2_based on steps'!$B$1:$U$1,U$1)</f>
        <v>0</v>
      </c>
      <c r="V90" s="140">
        <f>SUMIFS('recurring2_based on steps'!$B90:$AY90,'recurring2_based on steps'!$B$1:$AY$1,V$1)+SUMIFS('changes2_based on steps'!$B90:$U90,'changes2_based on steps'!$B$1:$U$1,V$1)</f>
        <v>0</v>
      </c>
      <c r="W90" s="140">
        <f>SUMIFS('recurring2_based on steps'!$B90:$AY90,'recurring2_based on steps'!$B$1:$AY$1,W$1)+SUMIFS('changes2_based on steps'!$B90:$U90,'changes2_based on steps'!$B$1:$U$1,W$1)</f>
        <v>0</v>
      </c>
      <c r="X90" s="140">
        <f ca="1">SUMIFS('recurring2_based on steps'!$B90:$AY90,'recurring2_based on steps'!$B$1:$AY$1,X$1)+SUMIFS('changes2_based on steps'!$B90:$U90,'changes2_based on steps'!$B$1:$U$1,X$1)</f>
        <v>0</v>
      </c>
      <c r="Y90" s="140">
        <f ca="1">SUMIFS('recurring2_based on steps'!$B90:$AY90,'recurring2_based on steps'!$B$1:$AY$1,Y$1)+SUMIFS('changes2_based on steps'!$B90:$U90,'changes2_based on steps'!$B$1:$U$1,Y$1)</f>
        <v>50</v>
      </c>
      <c r="Z90" s="140">
        <f>SUMIFS('recurring2_based on steps'!$B90:$AY90,'recurring2_based on steps'!$B$1:$AY$1,Z$1)+SUMIFS('changes2_based on steps'!$B90:$U90,'changes2_based on steps'!$B$1:$U$1,Z$1)</f>
        <v>0</v>
      </c>
      <c r="AA90" s="140">
        <f ca="1">SUMIFS('recurring2_based on steps'!$B90:$AY90,'recurring2_based on steps'!$B$1:$AY$1,AA$1)+SUMIFS('changes2_based on steps'!$B90:$U90,'changes2_based on steps'!$B$1:$U$1,AA$1)</f>
        <v>0</v>
      </c>
      <c r="AB90" s="140">
        <f ca="1">SUMIFS('recurring2_based on steps'!$B90:$AY90,'recurring2_based on steps'!$B$1:$AY$1,AB$1)+SUMIFS('changes2_based on steps'!$B90:$U90,'changes2_based on steps'!$B$1:$U$1,AB$1)</f>
        <v>0</v>
      </c>
      <c r="AC90" s="140">
        <f ca="1">SUMIFS('recurring2_based on steps'!$B90:$AY90,'recurring2_based on steps'!$B$1:$AY$1,AC$1)+SUMIFS('changes2_based on steps'!$B90:$U90,'changes2_based on steps'!$B$1:$U$1,AC$1)</f>
        <v>0</v>
      </c>
      <c r="AD90" s="140">
        <f ca="1">SUMIFS('recurring2_based on steps'!$B90:$AY90,'recurring2_based on steps'!$B$1:$AY$1,AD$1)+SUMIFS('changes2_based on steps'!$B90:$U90,'changes2_based on steps'!$B$1:$U$1,AD$1)</f>
        <v>0</v>
      </c>
      <c r="AE90" s="140">
        <f>SUMIFS('recurring2_based on steps'!$B90:$AY90,'recurring2_based on steps'!$B$1:$AY$1,AE$1)+SUMIFS('changes2_based on steps'!$B90:$U90,'changes2_based on steps'!$B$1:$U$1,AE$1)</f>
        <v>0</v>
      </c>
      <c r="AF90" s="140"/>
      <c r="AG90" s="140"/>
      <c r="AH90" s="140"/>
      <c r="AI90" s="140"/>
      <c r="AJ90" s="140"/>
      <c r="AK90" s="140"/>
      <c r="AL90" s="140"/>
      <c r="AM90" s="140"/>
    </row>
    <row r="91" spans="1:39" x14ac:dyDescent="0.2">
      <c r="A91" s="29">
        <f t="shared" ca="1" si="1"/>
        <v>45831</v>
      </c>
      <c r="B91" s="140">
        <f ca="1">SUMIFS('recurring2_based on steps'!$B91:$AY91,'recurring2_based on steps'!$B$1:$AY$1,B$1)+SUMIFS('changes2_based on steps'!$B91:$U91,'changes2_based on steps'!$B$1:$U$1,B$1)</f>
        <v>0</v>
      </c>
      <c r="C91" s="140">
        <f>SUMIFS('recurring2_based on steps'!$B91:$AY91,'recurring2_based on steps'!$B$1:$AY$1,C$1)+SUMIFS('changes2_based on steps'!$B91:$U91,'changes2_based on steps'!$B$1:$U$1,C$1)</f>
        <v>0</v>
      </c>
      <c r="D91" s="140">
        <f>SUMIFS('recurring2_based on steps'!$B91:$AY91,'recurring2_based on steps'!$B$1:$AY$1,D$1)+SUMIFS('changes2_based on steps'!$B91:$U91,'changes2_based on steps'!$B$1:$U$1,D$1)</f>
        <v>0</v>
      </c>
      <c r="E91" s="140">
        <f>SUMIFS('recurring2_based on steps'!$B91:$AY91,'recurring2_based on steps'!$B$1:$AY$1,E$1)+SUMIFS('changes2_based on steps'!$B91:$U91,'changes2_based on steps'!$B$1:$U$1,E$1)</f>
        <v>0</v>
      </c>
      <c r="F91" s="140">
        <f>SUMIFS('recurring2_based on steps'!$B91:$AY91,'recurring2_based on steps'!$B$1:$AY$1,F$1)+SUMIFS('changes2_based on steps'!$B91:$U91,'changes2_based on steps'!$B$1:$U$1,F$1)</f>
        <v>0</v>
      </c>
      <c r="G91" s="140">
        <f>SUMIFS('recurring2_based on steps'!$B91:$AY91,'recurring2_based on steps'!$B$1:$AY$1,G$1)+SUMIFS('changes2_based on steps'!$B91:$U91,'changes2_based on steps'!$B$1:$U$1,G$1)</f>
        <v>0</v>
      </c>
      <c r="H91" s="140">
        <f>SUMIFS('recurring2_based on steps'!$B91:$AY91,'recurring2_based on steps'!$B$1:$AY$1,H$1)+SUMIFS('changes2_based on steps'!$B91:$U91,'changes2_based on steps'!$B$1:$U$1,H$1)</f>
        <v>0</v>
      </c>
      <c r="I91" s="140">
        <f>SUMIFS('recurring2_based on steps'!$B91:$AY91,'recurring2_based on steps'!$B$1:$AY$1,I$1)+SUMIFS('changes2_based on steps'!$B91:$U91,'changes2_based on steps'!$B$1:$U$1,I$1)</f>
        <v>0</v>
      </c>
      <c r="J91" s="140">
        <f ca="1">SUMIFS('recurring2_based on steps'!$B91:$AY91,'recurring2_based on steps'!$B$1:$AY$1,J$1)+SUMIFS('changes2_based on steps'!$B91:$U91,'changes2_based on steps'!$B$1:$U$1,J$1)</f>
        <v>0</v>
      </c>
      <c r="K91" s="140">
        <f>SUMIFS('recurring2_based on steps'!$B91:$AY91,'recurring2_based on steps'!$B$1:$AY$1,K$1)+SUMIFS('changes2_based on steps'!$B91:$U91,'changes2_based on steps'!$B$1:$U$1,K$1)</f>
        <v>0</v>
      </c>
      <c r="L91" s="140">
        <f>SUMIFS('recurring2_based on steps'!$B91:$AY91,'recurring2_based on steps'!$B$1:$AY$1,L$1)+SUMIFS('changes2_based on steps'!$B91:$U91,'changes2_based on steps'!$B$1:$U$1,L$1)</f>
        <v>0</v>
      </c>
      <c r="M91" s="140">
        <f>SUMIFS('recurring2_based on steps'!$B91:$AY91,'recurring2_based on steps'!$B$1:$AY$1,M$1)+SUMIFS('changes2_based on steps'!$B91:$U91,'changes2_based on steps'!$B$1:$U$1,M$1)</f>
        <v>0</v>
      </c>
      <c r="N91" s="140">
        <f ca="1">SUMIFS('recurring2_based on steps'!$B91:$AY91,'recurring2_based on steps'!$B$1:$AY$1,N$1)+SUMIFS('changes2_based on steps'!$B91:$U91,'changes2_based on steps'!$B$1:$U$1,N$1)</f>
        <v>0</v>
      </c>
      <c r="O91" s="140">
        <f>SUMIFS('recurring2_based on steps'!$B91:$AY91,'recurring2_based on steps'!$B$1:$AY$1,O$1)+SUMIFS('changes2_based on steps'!$B91:$U91,'changes2_based on steps'!$B$1:$U$1,O$1)</f>
        <v>0</v>
      </c>
      <c r="P91" s="140">
        <f ca="1">SUMIFS('recurring2_based on steps'!$B91:$AY91,'recurring2_based on steps'!$B$1:$AY$1,P$1)+SUMIFS('changes2_based on steps'!$B91:$U91,'changes2_based on steps'!$B$1:$U$1,P$1)</f>
        <v>0</v>
      </c>
      <c r="Q91" s="140">
        <f ca="1">SUMIFS('recurring2_based on steps'!$B91:$AY91,'recurring2_based on steps'!$B$1:$AY$1,Q$1)+SUMIFS('changes2_based on steps'!$B91:$U91,'changes2_based on steps'!$B$1:$U$1,Q$1)</f>
        <v>5.5401662049861494E-2</v>
      </c>
      <c r="R91" s="140">
        <f ca="1">SUMIFS('recurring2_based on steps'!$B91:$AY91,'recurring2_based on steps'!$B$1:$AY$1,R$1)+SUMIFS('changes2_based on steps'!$B91:$U91,'changes2_based on steps'!$B$1:$U$1,R$1)</f>
        <v>0</v>
      </c>
      <c r="S91" s="140">
        <f>SUMIFS('recurring2_based on steps'!$B91:$AY91,'recurring2_based on steps'!$B$1:$AY$1,S$1)+SUMIFS('changes2_based on steps'!$B91:$U91,'changes2_based on steps'!$B$1:$U$1,S$1)</f>
        <v>0</v>
      </c>
      <c r="T91" s="140">
        <f ca="1">SUMIFS('recurring2_based on steps'!$B91:$AY91,'recurring2_based on steps'!$B$1:$AY$1,T$1)+SUMIFS('changes2_based on steps'!$B91:$U91,'changes2_based on steps'!$B$1:$U$1,T$1)</f>
        <v>0</v>
      </c>
      <c r="U91" s="140">
        <f ca="1">SUMIFS('recurring2_based on steps'!$B91:$AY91,'recurring2_based on steps'!$B$1:$AY$1,U$1)+SUMIFS('changes2_based on steps'!$B91:$U91,'changes2_based on steps'!$B$1:$U$1,U$1)</f>
        <v>0</v>
      </c>
      <c r="V91" s="140">
        <f>SUMIFS('recurring2_based on steps'!$B91:$AY91,'recurring2_based on steps'!$B$1:$AY$1,V$1)+SUMIFS('changes2_based on steps'!$B91:$U91,'changes2_based on steps'!$B$1:$U$1,V$1)</f>
        <v>0</v>
      </c>
      <c r="W91" s="140">
        <f>SUMIFS('recurring2_based on steps'!$B91:$AY91,'recurring2_based on steps'!$B$1:$AY$1,W$1)+SUMIFS('changes2_based on steps'!$B91:$U91,'changes2_based on steps'!$B$1:$U$1,W$1)</f>
        <v>0</v>
      </c>
      <c r="X91" s="140">
        <f ca="1">SUMIFS('recurring2_based on steps'!$B91:$AY91,'recurring2_based on steps'!$B$1:$AY$1,X$1)+SUMIFS('changes2_based on steps'!$B91:$U91,'changes2_based on steps'!$B$1:$U$1,X$1)</f>
        <v>0</v>
      </c>
      <c r="Y91" s="140">
        <f ca="1">SUMIFS('recurring2_based on steps'!$B91:$AY91,'recurring2_based on steps'!$B$1:$AY$1,Y$1)+SUMIFS('changes2_based on steps'!$B91:$U91,'changes2_based on steps'!$B$1:$U$1,Y$1)</f>
        <v>0</v>
      </c>
      <c r="Z91" s="140">
        <f>SUMIFS('recurring2_based on steps'!$B91:$AY91,'recurring2_based on steps'!$B$1:$AY$1,Z$1)+SUMIFS('changes2_based on steps'!$B91:$U91,'changes2_based on steps'!$B$1:$U$1,Z$1)</f>
        <v>0</v>
      </c>
      <c r="AA91" s="140">
        <f ca="1">SUMIFS('recurring2_based on steps'!$B91:$AY91,'recurring2_based on steps'!$B$1:$AY$1,AA$1)+SUMIFS('changes2_based on steps'!$B91:$U91,'changes2_based on steps'!$B$1:$U$1,AA$1)</f>
        <v>0</v>
      </c>
      <c r="AB91" s="140">
        <f ca="1">SUMIFS('recurring2_based on steps'!$B91:$AY91,'recurring2_based on steps'!$B$1:$AY$1,AB$1)+SUMIFS('changes2_based on steps'!$B91:$U91,'changes2_based on steps'!$B$1:$U$1,AB$1)</f>
        <v>0</v>
      </c>
      <c r="AC91" s="140">
        <f ca="1">SUMIFS('recurring2_based on steps'!$B91:$AY91,'recurring2_based on steps'!$B$1:$AY$1,AC$1)+SUMIFS('changes2_based on steps'!$B91:$U91,'changes2_based on steps'!$B$1:$U$1,AC$1)</f>
        <v>0</v>
      </c>
      <c r="AD91" s="140">
        <f ca="1">SUMIFS('recurring2_based on steps'!$B91:$AY91,'recurring2_based on steps'!$B$1:$AY$1,AD$1)+SUMIFS('changes2_based on steps'!$B91:$U91,'changes2_based on steps'!$B$1:$U$1,AD$1)</f>
        <v>0</v>
      </c>
      <c r="AE91" s="140">
        <f>SUMIFS('recurring2_based on steps'!$B91:$AY91,'recurring2_based on steps'!$B$1:$AY$1,AE$1)+SUMIFS('changes2_based on steps'!$B91:$U91,'changes2_based on steps'!$B$1:$U$1,AE$1)</f>
        <v>0</v>
      </c>
      <c r="AF91" s="140"/>
      <c r="AG91" s="140"/>
      <c r="AH91" s="140"/>
      <c r="AI91" s="140"/>
      <c r="AJ91" s="140"/>
      <c r="AK91" s="140"/>
      <c r="AL91" s="140"/>
      <c r="AM91" s="140"/>
    </row>
    <row r="92" spans="1:39" x14ac:dyDescent="0.2">
      <c r="A92" s="29">
        <f t="shared" ca="1" si="1"/>
        <v>45832</v>
      </c>
      <c r="B92" s="140">
        <f ca="1">SUMIFS('recurring2_based on steps'!$B92:$AY92,'recurring2_based on steps'!$B$1:$AY$1,B$1)+SUMIFS('changes2_based on steps'!$B92:$U92,'changes2_based on steps'!$B$1:$U$1,B$1)</f>
        <v>0</v>
      </c>
      <c r="C92" s="140">
        <f>SUMIFS('recurring2_based on steps'!$B92:$AY92,'recurring2_based on steps'!$B$1:$AY$1,C$1)+SUMIFS('changes2_based on steps'!$B92:$U92,'changes2_based on steps'!$B$1:$U$1,C$1)</f>
        <v>0</v>
      </c>
      <c r="D92" s="140">
        <f>SUMIFS('recurring2_based on steps'!$B92:$AY92,'recurring2_based on steps'!$B$1:$AY$1,D$1)+SUMIFS('changes2_based on steps'!$B92:$U92,'changes2_based on steps'!$B$1:$U$1,D$1)</f>
        <v>0</v>
      </c>
      <c r="E92" s="140">
        <f>SUMIFS('recurring2_based on steps'!$B92:$AY92,'recurring2_based on steps'!$B$1:$AY$1,E$1)+SUMIFS('changes2_based on steps'!$B92:$U92,'changes2_based on steps'!$B$1:$U$1,E$1)</f>
        <v>0</v>
      </c>
      <c r="F92" s="140">
        <f>SUMIFS('recurring2_based on steps'!$B92:$AY92,'recurring2_based on steps'!$B$1:$AY$1,F$1)+SUMIFS('changes2_based on steps'!$B92:$U92,'changes2_based on steps'!$B$1:$U$1,F$1)</f>
        <v>0</v>
      </c>
      <c r="G92" s="140">
        <f>SUMIFS('recurring2_based on steps'!$B92:$AY92,'recurring2_based on steps'!$B$1:$AY$1,G$1)+SUMIFS('changes2_based on steps'!$B92:$U92,'changes2_based on steps'!$B$1:$U$1,G$1)</f>
        <v>0</v>
      </c>
      <c r="H92" s="140">
        <f>SUMIFS('recurring2_based on steps'!$B92:$AY92,'recurring2_based on steps'!$B$1:$AY$1,H$1)+SUMIFS('changes2_based on steps'!$B92:$U92,'changes2_based on steps'!$B$1:$U$1,H$1)</f>
        <v>0</v>
      </c>
      <c r="I92" s="140">
        <f>SUMIFS('recurring2_based on steps'!$B92:$AY92,'recurring2_based on steps'!$B$1:$AY$1,I$1)+SUMIFS('changes2_based on steps'!$B92:$U92,'changes2_based on steps'!$B$1:$U$1,I$1)</f>
        <v>0</v>
      </c>
      <c r="J92" s="140">
        <f ca="1">SUMIFS('recurring2_based on steps'!$B92:$AY92,'recurring2_based on steps'!$B$1:$AY$1,J$1)+SUMIFS('changes2_based on steps'!$B92:$U92,'changes2_based on steps'!$B$1:$U$1,J$1)</f>
        <v>0</v>
      </c>
      <c r="K92" s="140">
        <f>SUMIFS('recurring2_based on steps'!$B92:$AY92,'recurring2_based on steps'!$B$1:$AY$1,K$1)+SUMIFS('changes2_based on steps'!$B92:$U92,'changes2_based on steps'!$B$1:$U$1,K$1)</f>
        <v>0</v>
      </c>
      <c r="L92" s="140">
        <f>SUMIFS('recurring2_based on steps'!$B92:$AY92,'recurring2_based on steps'!$B$1:$AY$1,L$1)+SUMIFS('changes2_based on steps'!$B92:$U92,'changes2_based on steps'!$B$1:$U$1,L$1)</f>
        <v>0</v>
      </c>
      <c r="M92" s="140">
        <f>SUMIFS('recurring2_based on steps'!$B92:$AY92,'recurring2_based on steps'!$B$1:$AY$1,M$1)+SUMIFS('changes2_based on steps'!$B92:$U92,'changes2_based on steps'!$B$1:$U$1,M$1)</f>
        <v>0</v>
      </c>
      <c r="N92" s="140">
        <f ca="1">SUMIFS('recurring2_based on steps'!$B92:$AY92,'recurring2_based on steps'!$B$1:$AY$1,N$1)+SUMIFS('changes2_based on steps'!$B92:$U92,'changes2_based on steps'!$B$1:$U$1,N$1)</f>
        <v>0</v>
      </c>
      <c r="O92" s="140">
        <f>SUMIFS('recurring2_based on steps'!$B92:$AY92,'recurring2_based on steps'!$B$1:$AY$1,O$1)+SUMIFS('changes2_based on steps'!$B92:$U92,'changes2_based on steps'!$B$1:$U$1,O$1)</f>
        <v>0</v>
      </c>
      <c r="P92" s="140">
        <f ca="1">SUMIFS('recurring2_based on steps'!$B92:$AY92,'recurring2_based on steps'!$B$1:$AY$1,P$1)+SUMIFS('changes2_based on steps'!$B92:$U92,'changes2_based on steps'!$B$1:$U$1,P$1)</f>
        <v>0</v>
      </c>
      <c r="Q92" s="140">
        <f ca="1">SUMIFS('recurring2_based on steps'!$B92:$AY92,'recurring2_based on steps'!$B$1:$AY$1,Q$1)+SUMIFS('changes2_based on steps'!$B92:$U92,'changes2_based on steps'!$B$1:$U$1,Q$1)</f>
        <v>5.5401662049861494E-2</v>
      </c>
      <c r="R92" s="140">
        <f ca="1">SUMIFS('recurring2_based on steps'!$B92:$AY92,'recurring2_based on steps'!$B$1:$AY$1,R$1)+SUMIFS('changes2_based on steps'!$B92:$U92,'changes2_based on steps'!$B$1:$U$1,R$1)</f>
        <v>0</v>
      </c>
      <c r="S92" s="140">
        <f>SUMIFS('recurring2_based on steps'!$B92:$AY92,'recurring2_based on steps'!$B$1:$AY$1,S$1)+SUMIFS('changes2_based on steps'!$B92:$U92,'changes2_based on steps'!$B$1:$U$1,S$1)</f>
        <v>0</v>
      </c>
      <c r="T92" s="140">
        <f ca="1">SUMIFS('recurring2_based on steps'!$B92:$AY92,'recurring2_based on steps'!$B$1:$AY$1,T$1)+SUMIFS('changes2_based on steps'!$B92:$U92,'changes2_based on steps'!$B$1:$U$1,T$1)</f>
        <v>0</v>
      </c>
      <c r="U92" s="140">
        <f ca="1">SUMIFS('recurring2_based on steps'!$B92:$AY92,'recurring2_based on steps'!$B$1:$AY$1,U$1)+SUMIFS('changes2_based on steps'!$B92:$U92,'changes2_based on steps'!$B$1:$U$1,U$1)</f>
        <v>0</v>
      </c>
      <c r="V92" s="140">
        <f>SUMIFS('recurring2_based on steps'!$B92:$AY92,'recurring2_based on steps'!$B$1:$AY$1,V$1)+SUMIFS('changes2_based on steps'!$B92:$U92,'changes2_based on steps'!$B$1:$U$1,V$1)</f>
        <v>0</v>
      </c>
      <c r="W92" s="140">
        <f>SUMIFS('recurring2_based on steps'!$B92:$AY92,'recurring2_based on steps'!$B$1:$AY$1,W$1)+SUMIFS('changes2_based on steps'!$B92:$U92,'changes2_based on steps'!$B$1:$U$1,W$1)</f>
        <v>0</v>
      </c>
      <c r="X92" s="140">
        <f ca="1">SUMIFS('recurring2_based on steps'!$B92:$AY92,'recurring2_based on steps'!$B$1:$AY$1,X$1)+SUMIFS('changes2_based on steps'!$B92:$U92,'changes2_based on steps'!$B$1:$U$1,X$1)</f>
        <v>0</v>
      </c>
      <c r="Y92" s="140">
        <f ca="1">SUMIFS('recurring2_based on steps'!$B92:$AY92,'recurring2_based on steps'!$B$1:$AY$1,Y$1)+SUMIFS('changes2_based on steps'!$B92:$U92,'changes2_based on steps'!$B$1:$U$1,Y$1)</f>
        <v>0</v>
      </c>
      <c r="Z92" s="140">
        <f>SUMIFS('recurring2_based on steps'!$B92:$AY92,'recurring2_based on steps'!$B$1:$AY$1,Z$1)+SUMIFS('changes2_based on steps'!$B92:$U92,'changes2_based on steps'!$B$1:$U$1,Z$1)</f>
        <v>0</v>
      </c>
      <c r="AA92" s="140">
        <f ca="1">SUMIFS('recurring2_based on steps'!$B92:$AY92,'recurring2_based on steps'!$B$1:$AY$1,AA$1)+SUMIFS('changes2_based on steps'!$B92:$U92,'changes2_based on steps'!$B$1:$U$1,AA$1)</f>
        <v>0</v>
      </c>
      <c r="AB92" s="140">
        <f ca="1">SUMIFS('recurring2_based on steps'!$B92:$AY92,'recurring2_based on steps'!$B$1:$AY$1,AB$1)+SUMIFS('changes2_based on steps'!$B92:$U92,'changes2_based on steps'!$B$1:$U$1,AB$1)</f>
        <v>0</v>
      </c>
      <c r="AC92" s="140">
        <f ca="1">SUMIFS('recurring2_based on steps'!$B92:$AY92,'recurring2_based on steps'!$B$1:$AY$1,AC$1)+SUMIFS('changes2_based on steps'!$B92:$U92,'changes2_based on steps'!$B$1:$U$1,AC$1)</f>
        <v>0</v>
      </c>
      <c r="AD92" s="140">
        <f ca="1">SUMIFS('recurring2_based on steps'!$B92:$AY92,'recurring2_based on steps'!$B$1:$AY$1,AD$1)+SUMIFS('changes2_based on steps'!$B92:$U92,'changes2_based on steps'!$B$1:$U$1,AD$1)</f>
        <v>0</v>
      </c>
      <c r="AE92" s="140">
        <f>SUMIFS('recurring2_based on steps'!$B92:$AY92,'recurring2_based on steps'!$B$1:$AY$1,AE$1)+SUMIFS('changes2_based on steps'!$B92:$U92,'changes2_based on steps'!$B$1:$U$1,AE$1)</f>
        <v>0</v>
      </c>
      <c r="AF92" s="140"/>
      <c r="AG92" s="140"/>
      <c r="AH92" s="140"/>
      <c r="AI92" s="140"/>
      <c r="AJ92" s="140"/>
      <c r="AK92" s="140"/>
      <c r="AL92" s="140"/>
      <c r="AM92" s="140"/>
    </row>
    <row r="93" spans="1:39" x14ac:dyDescent="0.2">
      <c r="A93" s="29">
        <f t="shared" ca="1" si="1"/>
        <v>45833</v>
      </c>
      <c r="B93" s="140">
        <f ca="1">SUMIFS('recurring2_based on steps'!$B93:$AY93,'recurring2_based on steps'!$B$1:$AY$1,B$1)+SUMIFS('changes2_based on steps'!$B93:$U93,'changes2_based on steps'!$B$1:$U$1,B$1)</f>
        <v>0</v>
      </c>
      <c r="C93" s="140">
        <f>SUMIFS('recurring2_based on steps'!$B93:$AY93,'recurring2_based on steps'!$B$1:$AY$1,C$1)+SUMIFS('changes2_based on steps'!$B93:$U93,'changes2_based on steps'!$B$1:$U$1,C$1)</f>
        <v>0</v>
      </c>
      <c r="D93" s="140">
        <f>SUMIFS('recurring2_based on steps'!$B93:$AY93,'recurring2_based on steps'!$B$1:$AY$1,D$1)+SUMIFS('changes2_based on steps'!$B93:$U93,'changes2_based on steps'!$B$1:$U$1,D$1)</f>
        <v>0</v>
      </c>
      <c r="E93" s="140">
        <f>SUMIFS('recurring2_based on steps'!$B93:$AY93,'recurring2_based on steps'!$B$1:$AY$1,E$1)+SUMIFS('changes2_based on steps'!$B93:$U93,'changes2_based on steps'!$B$1:$U$1,E$1)</f>
        <v>0</v>
      </c>
      <c r="F93" s="140">
        <f>SUMIFS('recurring2_based on steps'!$B93:$AY93,'recurring2_based on steps'!$B$1:$AY$1,F$1)+SUMIFS('changes2_based on steps'!$B93:$U93,'changes2_based on steps'!$B$1:$U$1,F$1)</f>
        <v>0</v>
      </c>
      <c r="G93" s="140">
        <f>SUMIFS('recurring2_based on steps'!$B93:$AY93,'recurring2_based on steps'!$B$1:$AY$1,G$1)+SUMIFS('changes2_based on steps'!$B93:$U93,'changes2_based on steps'!$B$1:$U$1,G$1)</f>
        <v>0</v>
      </c>
      <c r="H93" s="140">
        <f>SUMIFS('recurring2_based on steps'!$B93:$AY93,'recurring2_based on steps'!$B$1:$AY$1,H$1)+SUMIFS('changes2_based on steps'!$B93:$U93,'changes2_based on steps'!$B$1:$U$1,H$1)</f>
        <v>0</v>
      </c>
      <c r="I93" s="140">
        <f>SUMIFS('recurring2_based on steps'!$B93:$AY93,'recurring2_based on steps'!$B$1:$AY$1,I$1)+SUMIFS('changes2_based on steps'!$B93:$U93,'changes2_based on steps'!$B$1:$U$1,I$1)</f>
        <v>0</v>
      </c>
      <c r="J93" s="140">
        <f ca="1">SUMIFS('recurring2_based on steps'!$B93:$AY93,'recurring2_based on steps'!$B$1:$AY$1,J$1)+SUMIFS('changes2_based on steps'!$B93:$U93,'changes2_based on steps'!$B$1:$U$1,J$1)</f>
        <v>0</v>
      </c>
      <c r="K93" s="140">
        <f>SUMIFS('recurring2_based on steps'!$B93:$AY93,'recurring2_based on steps'!$B$1:$AY$1,K$1)+SUMIFS('changes2_based on steps'!$B93:$U93,'changes2_based on steps'!$B$1:$U$1,K$1)</f>
        <v>0</v>
      </c>
      <c r="L93" s="140">
        <f>SUMIFS('recurring2_based on steps'!$B93:$AY93,'recurring2_based on steps'!$B$1:$AY$1,L$1)+SUMIFS('changes2_based on steps'!$B93:$U93,'changes2_based on steps'!$B$1:$U$1,L$1)</f>
        <v>0</v>
      </c>
      <c r="M93" s="140">
        <f>SUMIFS('recurring2_based on steps'!$B93:$AY93,'recurring2_based on steps'!$B$1:$AY$1,M$1)+SUMIFS('changes2_based on steps'!$B93:$U93,'changes2_based on steps'!$B$1:$U$1,M$1)</f>
        <v>0</v>
      </c>
      <c r="N93" s="140">
        <f ca="1">SUMIFS('recurring2_based on steps'!$B93:$AY93,'recurring2_based on steps'!$B$1:$AY$1,N$1)+SUMIFS('changes2_based on steps'!$B93:$U93,'changes2_based on steps'!$B$1:$U$1,N$1)</f>
        <v>0</v>
      </c>
      <c r="O93" s="140">
        <f>SUMIFS('recurring2_based on steps'!$B93:$AY93,'recurring2_based on steps'!$B$1:$AY$1,O$1)+SUMIFS('changes2_based on steps'!$B93:$U93,'changes2_based on steps'!$B$1:$U$1,O$1)</f>
        <v>0</v>
      </c>
      <c r="P93" s="140">
        <f ca="1">SUMIFS('recurring2_based on steps'!$B93:$AY93,'recurring2_based on steps'!$B$1:$AY$1,P$1)+SUMIFS('changes2_based on steps'!$B93:$U93,'changes2_based on steps'!$B$1:$U$1,P$1)</f>
        <v>0</v>
      </c>
      <c r="Q93" s="140">
        <f ca="1">SUMIFS('recurring2_based on steps'!$B93:$AY93,'recurring2_based on steps'!$B$1:$AY$1,Q$1)+SUMIFS('changes2_based on steps'!$B93:$U93,'changes2_based on steps'!$B$1:$U$1,Q$1)</f>
        <v>5.5401662049861494E-2</v>
      </c>
      <c r="R93" s="140">
        <f ca="1">SUMIFS('recurring2_based on steps'!$B93:$AY93,'recurring2_based on steps'!$B$1:$AY$1,R$1)+SUMIFS('changes2_based on steps'!$B93:$U93,'changes2_based on steps'!$B$1:$U$1,R$1)</f>
        <v>0</v>
      </c>
      <c r="S93" s="140">
        <f>SUMIFS('recurring2_based on steps'!$B93:$AY93,'recurring2_based on steps'!$B$1:$AY$1,S$1)+SUMIFS('changes2_based on steps'!$B93:$U93,'changes2_based on steps'!$B$1:$U$1,S$1)</f>
        <v>0</v>
      </c>
      <c r="T93" s="140">
        <f ca="1">SUMIFS('recurring2_based on steps'!$B93:$AY93,'recurring2_based on steps'!$B$1:$AY$1,T$1)+SUMIFS('changes2_based on steps'!$B93:$U93,'changes2_based on steps'!$B$1:$U$1,T$1)</f>
        <v>0</v>
      </c>
      <c r="U93" s="140">
        <f ca="1">SUMIFS('recurring2_based on steps'!$B93:$AY93,'recurring2_based on steps'!$B$1:$AY$1,U$1)+SUMIFS('changes2_based on steps'!$B93:$U93,'changes2_based on steps'!$B$1:$U$1,U$1)</f>
        <v>0</v>
      </c>
      <c r="V93" s="140">
        <f>SUMIFS('recurring2_based on steps'!$B93:$AY93,'recurring2_based on steps'!$B$1:$AY$1,V$1)+SUMIFS('changes2_based on steps'!$B93:$U93,'changes2_based on steps'!$B$1:$U$1,V$1)</f>
        <v>0</v>
      </c>
      <c r="W93" s="140">
        <f>SUMIFS('recurring2_based on steps'!$B93:$AY93,'recurring2_based on steps'!$B$1:$AY$1,W$1)+SUMIFS('changes2_based on steps'!$B93:$U93,'changes2_based on steps'!$B$1:$U$1,W$1)</f>
        <v>0</v>
      </c>
      <c r="X93" s="140">
        <f ca="1">SUMIFS('recurring2_based on steps'!$B93:$AY93,'recurring2_based on steps'!$B$1:$AY$1,X$1)+SUMIFS('changes2_based on steps'!$B93:$U93,'changes2_based on steps'!$B$1:$U$1,X$1)</f>
        <v>0</v>
      </c>
      <c r="Y93" s="140">
        <f ca="1">SUMIFS('recurring2_based on steps'!$B93:$AY93,'recurring2_based on steps'!$B$1:$AY$1,Y$1)+SUMIFS('changes2_based on steps'!$B93:$U93,'changes2_based on steps'!$B$1:$U$1,Y$1)</f>
        <v>0</v>
      </c>
      <c r="Z93" s="140">
        <f>SUMIFS('recurring2_based on steps'!$B93:$AY93,'recurring2_based on steps'!$B$1:$AY$1,Z$1)+SUMIFS('changes2_based on steps'!$B93:$U93,'changes2_based on steps'!$B$1:$U$1,Z$1)</f>
        <v>0</v>
      </c>
      <c r="AA93" s="140">
        <f ca="1">SUMIFS('recurring2_based on steps'!$B93:$AY93,'recurring2_based on steps'!$B$1:$AY$1,AA$1)+SUMIFS('changes2_based on steps'!$B93:$U93,'changes2_based on steps'!$B$1:$U$1,AA$1)</f>
        <v>0</v>
      </c>
      <c r="AB93" s="140">
        <f ca="1">SUMIFS('recurring2_based on steps'!$B93:$AY93,'recurring2_based on steps'!$B$1:$AY$1,AB$1)+SUMIFS('changes2_based on steps'!$B93:$U93,'changes2_based on steps'!$B$1:$U$1,AB$1)</f>
        <v>0</v>
      </c>
      <c r="AC93" s="140">
        <f ca="1">SUMIFS('recurring2_based on steps'!$B93:$AY93,'recurring2_based on steps'!$B$1:$AY$1,AC$1)+SUMIFS('changes2_based on steps'!$B93:$U93,'changes2_based on steps'!$B$1:$U$1,AC$1)</f>
        <v>0</v>
      </c>
      <c r="AD93" s="140">
        <f ca="1">SUMIFS('recurring2_based on steps'!$B93:$AY93,'recurring2_based on steps'!$B$1:$AY$1,AD$1)+SUMIFS('changes2_based on steps'!$B93:$U93,'changes2_based on steps'!$B$1:$U$1,AD$1)</f>
        <v>0</v>
      </c>
      <c r="AE93" s="140">
        <f>SUMIFS('recurring2_based on steps'!$B93:$AY93,'recurring2_based on steps'!$B$1:$AY$1,AE$1)+SUMIFS('changes2_based on steps'!$B93:$U93,'changes2_based on steps'!$B$1:$U$1,AE$1)</f>
        <v>0</v>
      </c>
      <c r="AF93" s="140"/>
      <c r="AG93" s="140"/>
      <c r="AH93" s="140"/>
      <c r="AI93" s="140"/>
      <c r="AJ93" s="140"/>
      <c r="AK93" s="140"/>
      <c r="AL93" s="140"/>
      <c r="AM93" s="140"/>
    </row>
    <row r="94" spans="1:39" x14ac:dyDescent="0.2">
      <c r="A94" s="29">
        <f t="shared" ca="1" si="1"/>
        <v>45834</v>
      </c>
      <c r="B94" s="140">
        <f ca="1">SUMIFS('recurring2_based on steps'!$B94:$AY94,'recurring2_based on steps'!$B$1:$AY$1,B$1)+SUMIFS('changes2_based on steps'!$B94:$U94,'changes2_based on steps'!$B$1:$U$1,B$1)</f>
        <v>0</v>
      </c>
      <c r="C94" s="140">
        <f>SUMIFS('recurring2_based on steps'!$B94:$AY94,'recurring2_based on steps'!$B$1:$AY$1,C$1)+SUMIFS('changes2_based on steps'!$B94:$U94,'changes2_based on steps'!$B$1:$U$1,C$1)</f>
        <v>0</v>
      </c>
      <c r="D94" s="140">
        <f>SUMIFS('recurring2_based on steps'!$B94:$AY94,'recurring2_based on steps'!$B$1:$AY$1,D$1)+SUMIFS('changes2_based on steps'!$B94:$U94,'changes2_based on steps'!$B$1:$U$1,D$1)</f>
        <v>0</v>
      </c>
      <c r="E94" s="140">
        <f>SUMIFS('recurring2_based on steps'!$B94:$AY94,'recurring2_based on steps'!$B$1:$AY$1,E$1)+SUMIFS('changes2_based on steps'!$B94:$U94,'changes2_based on steps'!$B$1:$U$1,E$1)</f>
        <v>0</v>
      </c>
      <c r="F94" s="140">
        <f>SUMIFS('recurring2_based on steps'!$B94:$AY94,'recurring2_based on steps'!$B$1:$AY$1,F$1)+SUMIFS('changes2_based on steps'!$B94:$U94,'changes2_based on steps'!$B$1:$U$1,F$1)</f>
        <v>0</v>
      </c>
      <c r="G94" s="140">
        <f>SUMIFS('recurring2_based on steps'!$B94:$AY94,'recurring2_based on steps'!$B$1:$AY$1,G$1)+SUMIFS('changes2_based on steps'!$B94:$U94,'changes2_based on steps'!$B$1:$U$1,G$1)</f>
        <v>0</v>
      </c>
      <c r="H94" s="140">
        <f>SUMIFS('recurring2_based on steps'!$B94:$AY94,'recurring2_based on steps'!$B$1:$AY$1,H$1)+SUMIFS('changes2_based on steps'!$B94:$U94,'changes2_based on steps'!$B$1:$U$1,H$1)</f>
        <v>0</v>
      </c>
      <c r="I94" s="140">
        <f>SUMIFS('recurring2_based on steps'!$B94:$AY94,'recurring2_based on steps'!$B$1:$AY$1,I$1)+SUMIFS('changes2_based on steps'!$B94:$U94,'changes2_based on steps'!$B$1:$U$1,I$1)</f>
        <v>0</v>
      </c>
      <c r="J94" s="140">
        <f ca="1">SUMIFS('recurring2_based on steps'!$B94:$AY94,'recurring2_based on steps'!$B$1:$AY$1,J$1)+SUMIFS('changes2_based on steps'!$B94:$U94,'changes2_based on steps'!$B$1:$U$1,J$1)</f>
        <v>0</v>
      </c>
      <c r="K94" s="140">
        <f>SUMIFS('recurring2_based on steps'!$B94:$AY94,'recurring2_based on steps'!$B$1:$AY$1,K$1)+SUMIFS('changes2_based on steps'!$B94:$U94,'changes2_based on steps'!$B$1:$U$1,K$1)</f>
        <v>0</v>
      </c>
      <c r="L94" s="140">
        <f>SUMIFS('recurring2_based on steps'!$B94:$AY94,'recurring2_based on steps'!$B$1:$AY$1,L$1)+SUMIFS('changes2_based on steps'!$B94:$U94,'changes2_based on steps'!$B$1:$U$1,L$1)</f>
        <v>0</v>
      </c>
      <c r="M94" s="140">
        <f>SUMIFS('recurring2_based on steps'!$B94:$AY94,'recurring2_based on steps'!$B$1:$AY$1,M$1)+SUMIFS('changes2_based on steps'!$B94:$U94,'changes2_based on steps'!$B$1:$U$1,M$1)</f>
        <v>0</v>
      </c>
      <c r="N94" s="140">
        <f ca="1">SUMIFS('recurring2_based on steps'!$B94:$AY94,'recurring2_based on steps'!$B$1:$AY$1,N$1)+SUMIFS('changes2_based on steps'!$B94:$U94,'changes2_based on steps'!$B$1:$U$1,N$1)</f>
        <v>0</v>
      </c>
      <c r="O94" s="140">
        <f>SUMIFS('recurring2_based on steps'!$B94:$AY94,'recurring2_based on steps'!$B$1:$AY$1,O$1)+SUMIFS('changes2_based on steps'!$B94:$U94,'changes2_based on steps'!$B$1:$U$1,O$1)</f>
        <v>0</v>
      </c>
      <c r="P94" s="140">
        <f ca="1">SUMIFS('recurring2_based on steps'!$B94:$AY94,'recurring2_based on steps'!$B$1:$AY$1,P$1)+SUMIFS('changes2_based on steps'!$B94:$U94,'changes2_based on steps'!$B$1:$U$1,P$1)</f>
        <v>0</v>
      </c>
      <c r="Q94" s="140">
        <f ca="1">SUMIFS('recurring2_based on steps'!$B94:$AY94,'recurring2_based on steps'!$B$1:$AY$1,Q$1)+SUMIFS('changes2_based on steps'!$B94:$U94,'changes2_based on steps'!$B$1:$U$1,Q$1)</f>
        <v>5.5401662049861494E-2</v>
      </c>
      <c r="R94" s="140">
        <f ca="1">SUMIFS('recurring2_based on steps'!$B94:$AY94,'recurring2_based on steps'!$B$1:$AY$1,R$1)+SUMIFS('changes2_based on steps'!$B94:$U94,'changes2_based on steps'!$B$1:$U$1,R$1)</f>
        <v>0</v>
      </c>
      <c r="S94" s="140">
        <f>SUMIFS('recurring2_based on steps'!$B94:$AY94,'recurring2_based on steps'!$B$1:$AY$1,S$1)+SUMIFS('changes2_based on steps'!$B94:$U94,'changes2_based on steps'!$B$1:$U$1,S$1)</f>
        <v>0</v>
      </c>
      <c r="T94" s="140">
        <f ca="1">SUMIFS('recurring2_based on steps'!$B94:$AY94,'recurring2_based on steps'!$B$1:$AY$1,T$1)+SUMIFS('changes2_based on steps'!$B94:$U94,'changes2_based on steps'!$B$1:$U$1,T$1)</f>
        <v>0</v>
      </c>
      <c r="U94" s="140">
        <f ca="1">SUMIFS('recurring2_based on steps'!$B94:$AY94,'recurring2_based on steps'!$B$1:$AY$1,U$1)+SUMIFS('changes2_based on steps'!$B94:$U94,'changes2_based on steps'!$B$1:$U$1,U$1)</f>
        <v>0</v>
      </c>
      <c r="V94" s="140">
        <f>SUMIFS('recurring2_based on steps'!$B94:$AY94,'recurring2_based on steps'!$B$1:$AY$1,V$1)+SUMIFS('changes2_based on steps'!$B94:$U94,'changes2_based on steps'!$B$1:$U$1,V$1)</f>
        <v>0</v>
      </c>
      <c r="W94" s="140">
        <f>SUMIFS('recurring2_based on steps'!$B94:$AY94,'recurring2_based on steps'!$B$1:$AY$1,W$1)+SUMIFS('changes2_based on steps'!$B94:$U94,'changes2_based on steps'!$B$1:$U$1,W$1)</f>
        <v>0</v>
      </c>
      <c r="X94" s="140">
        <f ca="1">SUMIFS('recurring2_based on steps'!$B94:$AY94,'recurring2_based on steps'!$B$1:$AY$1,X$1)+SUMIFS('changes2_based on steps'!$B94:$U94,'changes2_based on steps'!$B$1:$U$1,X$1)</f>
        <v>0</v>
      </c>
      <c r="Y94" s="140">
        <f ca="1">SUMIFS('recurring2_based on steps'!$B94:$AY94,'recurring2_based on steps'!$B$1:$AY$1,Y$1)+SUMIFS('changes2_based on steps'!$B94:$U94,'changes2_based on steps'!$B$1:$U$1,Y$1)</f>
        <v>0</v>
      </c>
      <c r="Z94" s="140">
        <f>SUMIFS('recurring2_based on steps'!$B94:$AY94,'recurring2_based on steps'!$B$1:$AY$1,Z$1)+SUMIFS('changes2_based on steps'!$B94:$U94,'changes2_based on steps'!$B$1:$U$1,Z$1)</f>
        <v>0</v>
      </c>
      <c r="AA94" s="140">
        <f ca="1">SUMIFS('recurring2_based on steps'!$B94:$AY94,'recurring2_based on steps'!$B$1:$AY$1,AA$1)+SUMIFS('changes2_based on steps'!$B94:$U94,'changes2_based on steps'!$B$1:$U$1,AA$1)</f>
        <v>0</v>
      </c>
      <c r="AB94" s="140">
        <f ca="1">SUMIFS('recurring2_based on steps'!$B94:$AY94,'recurring2_based on steps'!$B$1:$AY$1,AB$1)+SUMIFS('changes2_based on steps'!$B94:$U94,'changes2_based on steps'!$B$1:$U$1,AB$1)</f>
        <v>0</v>
      </c>
      <c r="AC94" s="140">
        <f ca="1">SUMIFS('recurring2_based on steps'!$B94:$AY94,'recurring2_based on steps'!$B$1:$AY$1,AC$1)+SUMIFS('changes2_based on steps'!$B94:$U94,'changes2_based on steps'!$B$1:$U$1,AC$1)</f>
        <v>0</v>
      </c>
      <c r="AD94" s="140">
        <f ca="1">SUMIFS('recurring2_based on steps'!$B94:$AY94,'recurring2_based on steps'!$B$1:$AY$1,AD$1)+SUMIFS('changes2_based on steps'!$B94:$U94,'changes2_based on steps'!$B$1:$U$1,AD$1)</f>
        <v>0</v>
      </c>
      <c r="AE94" s="140">
        <f>SUMIFS('recurring2_based on steps'!$B94:$AY94,'recurring2_based on steps'!$B$1:$AY$1,AE$1)+SUMIFS('changes2_based on steps'!$B94:$U94,'changes2_based on steps'!$B$1:$U$1,AE$1)</f>
        <v>0</v>
      </c>
      <c r="AF94" s="140"/>
      <c r="AG94" s="140"/>
      <c r="AH94" s="140"/>
      <c r="AI94" s="140"/>
      <c r="AJ94" s="140"/>
      <c r="AK94" s="140"/>
      <c r="AL94" s="140"/>
      <c r="AM94" s="140"/>
    </row>
    <row r="95" spans="1:39" x14ac:dyDescent="0.2">
      <c r="A95" s="29">
        <f t="shared" ca="1" si="1"/>
        <v>45835</v>
      </c>
      <c r="B95" s="140">
        <f ca="1">SUMIFS('recurring2_based on steps'!$B95:$AY95,'recurring2_based on steps'!$B$1:$AY$1,B$1)+SUMIFS('changes2_based on steps'!$B95:$U95,'changes2_based on steps'!$B$1:$U$1,B$1)</f>
        <v>4000</v>
      </c>
      <c r="C95" s="140">
        <f>SUMIFS('recurring2_based on steps'!$B95:$AY95,'recurring2_based on steps'!$B$1:$AY$1,C$1)+SUMIFS('changes2_based on steps'!$B95:$U95,'changes2_based on steps'!$B$1:$U$1,C$1)</f>
        <v>0</v>
      </c>
      <c r="D95" s="140">
        <f>SUMIFS('recurring2_based on steps'!$B95:$AY95,'recurring2_based on steps'!$B$1:$AY$1,D$1)+SUMIFS('changes2_based on steps'!$B95:$U95,'changes2_based on steps'!$B$1:$U$1,D$1)</f>
        <v>0</v>
      </c>
      <c r="E95" s="140">
        <f>SUMIFS('recurring2_based on steps'!$B95:$AY95,'recurring2_based on steps'!$B$1:$AY$1,E$1)+SUMIFS('changes2_based on steps'!$B95:$U95,'changes2_based on steps'!$B$1:$U$1,E$1)</f>
        <v>0</v>
      </c>
      <c r="F95" s="140">
        <f>SUMIFS('recurring2_based on steps'!$B95:$AY95,'recurring2_based on steps'!$B$1:$AY$1,F$1)+SUMIFS('changes2_based on steps'!$B95:$U95,'changes2_based on steps'!$B$1:$U$1,F$1)</f>
        <v>0</v>
      </c>
      <c r="G95" s="140">
        <f>SUMIFS('recurring2_based on steps'!$B95:$AY95,'recurring2_based on steps'!$B$1:$AY$1,G$1)+SUMIFS('changes2_based on steps'!$B95:$U95,'changes2_based on steps'!$B$1:$U$1,G$1)</f>
        <v>0</v>
      </c>
      <c r="H95" s="140">
        <f>SUMIFS('recurring2_based on steps'!$B95:$AY95,'recurring2_based on steps'!$B$1:$AY$1,H$1)+SUMIFS('changes2_based on steps'!$B95:$U95,'changes2_based on steps'!$B$1:$U$1,H$1)</f>
        <v>0</v>
      </c>
      <c r="I95" s="140">
        <f>SUMIFS('recurring2_based on steps'!$B95:$AY95,'recurring2_based on steps'!$B$1:$AY$1,I$1)+SUMIFS('changes2_based on steps'!$B95:$U95,'changes2_based on steps'!$B$1:$U$1,I$1)</f>
        <v>0</v>
      </c>
      <c r="J95" s="140">
        <f ca="1">SUMIFS('recurring2_based on steps'!$B95:$AY95,'recurring2_based on steps'!$B$1:$AY$1,J$1)+SUMIFS('changes2_based on steps'!$B95:$U95,'changes2_based on steps'!$B$1:$U$1,J$1)</f>
        <v>0</v>
      </c>
      <c r="K95" s="140">
        <f>SUMIFS('recurring2_based on steps'!$B95:$AY95,'recurring2_based on steps'!$B$1:$AY$1,K$1)+SUMIFS('changes2_based on steps'!$B95:$U95,'changes2_based on steps'!$B$1:$U$1,K$1)</f>
        <v>0</v>
      </c>
      <c r="L95" s="140">
        <f>SUMIFS('recurring2_based on steps'!$B95:$AY95,'recurring2_based on steps'!$B$1:$AY$1,L$1)+SUMIFS('changes2_based on steps'!$B95:$U95,'changes2_based on steps'!$B$1:$U$1,L$1)</f>
        <v>0</v>
      </c>
      <c r="M95" s="140">
        <f>SUMIFS('recurring2_based on steps'!$B95:$AY95,'recurring2_based on steps'!$B$1:$AY$1,M$1)+SUMIFS('changes2_based on steps'!$B95:$U95,'changes2_based on steps'!$B$1:$U$1,M$1)</f>
        <v>0</v>
      </c>
      <c r="N95" s="140">
        <f ca="1">SUMIFS('recurring2_based on steps'!$B95:$AY95,'recurring2_based on steps'!$B$1:$AY$1,N$1)+SUMIFS('changes2_based on steps'!$B95:$U95,'changes2_based on steps'!$B$1:$U$1,N$1)</f>
        <v>0</v>
      </c>
      <c r="O95" s="140">
        <f>SUMIFS('recurring2_based on steps'!$B95:$AY95,'recurring2_based on steps'!$B$1:$AY$1,O$1)+SUMIFS('changes2_based on steps'!$B95:$U95,'changes2_based on steps'!$B$1:$U$1,O$1)</f>
        <v>0</v>
      </c>
      <c r="P95" s="140">
        <f ca="1">SUMIFS('recurring2_based on steps'!$B95:$AY95,'recurring2_based on steps'!$B$1:$AY$1,P$1)+SUMIFS('changes2_based on steps'!$B95:$U95,'changes2_based on steps'!$B$1:$U$1,P$1)</f>
        <v>0</v>
      </c>
      <c r="Q95" s="140">
        <f ca="1">SUMIFS('recurring2_based on steps'!$B95:$AY95,'recurring2_based on steps'!$B$1:$AY$1,Q$1)+SUMIFS('changes2_based on steps'!$B95:$U95,'changes2_based on steps'!$B$1:$U$1,Q$1)</f>
        <v>5.5401662049861494E-2</v>
      </c>
      <c r="R95" s="140">
        <f ca="1">SUMIFS('recurring2_based on steps'!$B95:$AY95,'recurring2_based on steps'!$B$1:$AY$1,R$1)+SUMIFS('changes2_based on steps'!$B95:$U95,'changes2_based on steps'!$B$1:$U$1,R$1)</f>
        <v>2.99</v>
      </c>
      <c r="S95" s="140">
        <f>SUMIFS('recurring2_based on steps'!$B95:$AY95,'recurring2_based on steps'!$B$1:$AY$1,S$1)+SUMIFS('changes2_based on steps'!$B95:$U95,'changes2_based on steps'!$B$1:$U$1,S$1)</f>
        <v>0</v>
      </c>
      <c r="T95" s="140">
        <f ca="1">SUMIFS('recurring2_based on steps'!$B95:$AY95,'recurring2_based on steps'!$B$1:$AY$1,T$1)+SUMIFS('changes2_based on steps'!$B95:$U95,'changes2_based on steps'!$B$1:$U$1,T$1)</f>
        <v>50</v>
      </c>
      <c r="U95" s="140">
        <f ca="1">SUMIFS('recurring2_based on steps'!$B95:$AY95,'recurring2_based on steps'!$B$1:$AY$1,U$1)+SUMIFS('changes2_based on steps'!$B95:$U95,'changes2_based on steps'!$B$1:$U$1,U$1)</f>
        <v>200</v>
      </c>
      <c r="V95" s="140">
        <f>SUMIFS('recurring2_based on steps'!$B95:$AY95,'recurring2_based on steps'!$B$1:$AY$1,V$1)+SUMIFS('changes2_based on steps'!$B95:$U95,'changes2_based on steps'!$B$1:$U$1,V$1)</f>
        <v>0</v>
      </c>
      <c r="W95" s="140">
        <f>SUMIFS('recurring2_based on steps'!$B95:$AY95,'recurring2_based on steps'!$B$1:$AY$1,W$1)+SUMIFS('changes2_based on steps'!$B95:$U95,'changes2_based on steps'!$B$1:$U$1,W$1)</f>
        <v>0</v>
      </c>
      <c r="X95" s="140">
        <f ca="1">SUMIFS('recurring2_based on steps'!$B95:$AY95,'recurring2_based on steps'!$B$1:$AY$1,X$1)+SUMIFS('changes2_based on steps'!$B95:$U95,'changes2_based on steps'!$B$1:$U$1,X$1)</f>
        <v>96</v>
      </c>
      <c r="Y95" s="140">
        <f ca="1">SUMIFS('recurring2_based on steps'!$B95:$AY95,'recurring2_based on steps'!$B$1:$AY$1,Y$1)+SUMIFS('changes2_based on steps'!$B95:$U95,'changes2_based on steps'!$B$1:$U$1,Y$1)</f>
        <v>0</v>
      </c>
      <c r="Z95" s="140">
        <f>SUMIFS('recurring2_based on steps'!$B95:$AY95,'recurring2_based on steps'!$B$1:$AY$1,Z$1)+SUMIFS('changes2_based on steps'!$B95:$U95,'changes2_based on steps'!$B$1:$U$1,Z$1)</f>
        <v>0</v>
      </c>
      <c r="AA95" s="140">
        <f ca="1">SUMIFS('recurring2_based on steps'!$B95:$AY95,'recurring2_based on steps'!$B$1:$AY$1,AA$1)+SUMIFS('changes2_based on steps'!$B95:$U95,'changes2_based on steps'!$B$1:$U$1,AA$1)</f>
        <v>0</v>
      </c>
      <c r="AB95" s="140">
        <f ca="1">SUMIFS('recurring2_based on steps'!$B95:$AY95,'recurring2_based on steps'!$B$1:$AY$1,AB$1)+SUMIFS('changes2_based on steps'!$B95:$U95,'changes2_based on steps'!$B$1:$U$1,AB$1)</f>
        <v>0</v>
      </c>
      <c r="AC95" s="140">
        <f ca="1">SUMIFS('recurring2_based on steps'!$B95:$AY95,'recurring2_based on steps'!$B$1:$AY$1,AC$1)+SUMIFS('changes2_based on steps'!$B95:$U95,'changes2_based on steps'!$B$1:$U$1,AC$1)</f>
        <v>50</v>
      </c>
      <c r="AD95" s="140">
        <f ca="1">SUMIFS('recurring2_based on steps'!$B95:$AY95,'recurring2_based on steps'!$B$1:$AY$1,AD$1)+SUMIFS('changes2_based on steps'!$B95:$U95,'changes2_based on steps'!$B$1:$U$1,AD$1)</f>
        <v>50</v>
      </c>
      <c r="AE95" s="140">
        <f>SUMIFS('recurring2_based on steps'!$B95:$AY95,'recurring2_based on steps'!$B$1:$AY$1,AE$1)+SUMIFS('changes2_based on steps'!$B95:$U95,'changes2_based on steps'!$B$1:$U$1,AE$1)</f>
        <v>0</v>
      </c>
      <c r="AF95" s="140"/>
      <c r="AG95" s="140"/>
      <c r="AH95" s="140"/>
      <c r="AI95" s="140"/>
      <c r="AJ95" s="140"/>
      <c r="AK95" s="140"/>
      <c r="AL95" s="140"/>
      <c r="AM95" s="140"/>
    </row>
    <row r="96" spans="1:39" x14ac:dyDescent="0.2">
      <c r="A96" s="29">
        <f t="shared" ca="1" si="1"/>
        <v>45836</v>
      </c>
      <c r="B96" s="140">
        <f ca="1">SUMIFS('recurring2_based on steps'!$B96:$AY96,'recurring2_based on steps'!$B$1:$AY$1,B$1)+SUMIFS('changes2_based on steps'!$B96:$U96,'changes2_based on steps'!$B$1:$U$1,B$1)</f>
        <v>0</v>
      </c>
      <c r="C96" s="140">
        <f>SUMIFS('recurring2_based on steps'!$B96:$AY96,'recurring2_based on steps'!$B$1:$AY$1,C$1)+SUMIFS('changes2_based on steps'!$B96:$U96,'changes2_based on steps'!$B$1:$U$1,C$1)</f>
        <v>0</v>
      </c>
      <c r="D96" s="140">
        <f>SUMIFS('recurring2_based on steps'!$B96:$AY96,'recurring2_based on steps'!$B$1:$AY$1,D$1)+SUMIFS('changes2_based on steps'!$B96:$U96,'changes2_based on steps'!$B$1:$U$1,D$1)</f>
        <v>0</v>
      </c>
      <c r="E96" s="140">
        <f>SUMIFS('recurring2_based on steps'!$B96:$AY96,'recurring2_based on steps'!$B$1:$AY$1,E$1)+SUMIFS('changes2_based on steps'!$B96:$U96,'changes2_based on steps'!$B$1:$U$1,E$1)</f>
        <v>0</v>
      </c>
      <c r="F96" s="140">
        <f>SUMIFS('recurring2_based on steps'!$B96:$AY96,'recurring2_based on steps'!$B$1:$AY$1,F$1)+SUMIFS('changes2_based on steps'!$B96:$U96,'changes2_based on steps'!$B$1:$U$1,F$1)</f>
        <v>0</v>
      </c>
      <c r="G96" s="140">
        <f>SUMIFS('recurring2_based on steps'!$B96:$AY96,'recurring2_based on steps'!$B$1:$AY$1,G$1)+SUMIFS('changes2_based on steps'!$B96:$U96,'changes2_based on steps'!$B$1:$U$1,G$1)</f>
        <v>0</v>
      </c>
      <c r="H96" s="140">
        <f>SUMIFS('recurring2_based on steps'!$B96:$AY96,'recurring2_based on steps'!$B$1:$AY$1,H$1)+SUMIFS('changes2_based on steps'!$B96:$U96,'changes2_based on steps'!$B$1:$U$1,H$1)</f>
        <v>0</v>
      </c>
      <c r="I96" s="140">
        <f>SUMIFS('recurring2_based on steps'!$B96:$AY96,'recurring2_based on steps'!$B$1:$AY$1,I$1)+SUMIFS('changes2_based on steps'!$B96:$U96,'changes2_based on steps'!$B$1:$U$1,I$1)</f>
        <v>0</v>
      </c>
      <c r="J96" s="140">
        <f ca="1">SUMIFS('recurring2_based on steps'!$B96:$AY96,'recurring2_based on steps'!$B$1:$AY$1,J$1)+SUMIFS('changes2_based on steps'!$B96:$U96,'changes2_based on steps'!$B$1:$U$1,J$1)</f>
        <v>0</v>
      </c>
      <c r="K96" s="140">
        <f>SUMIFS('recurring2_based on steps'!$B96:$AY96,'recurring2_based on steps'!$B$1:$AY$1,K$1)+SUMIFS('changes2_based on steps'!$B96:$U96,'changes2_based on steps'!$B$1:$U$1,K$1)</f>
        <v>0</v>
      </c>
      <c r="L96" s="140">
        <f>SUMIFS('recurring2_based on steps'!$B96:$AY96,'recurring2_based on steps'!$B$1:$AY$1,L$1)+SUMIFS('changes2_based on steps'!$B96:$U96,'changes2_based on steps'!$B$1:$U$1,L$1)</f>
        <v>0</v>
      </c>
      <c r="M96" s="140">
        <f>SUMIFS('recurring2_based on steps'!$B96:$AY96,'recurring2_based on steps'!$B$1:$AY$1,M$1)+SUMIFS('changes2_based on steps'!$B96:$U96,'changes2_based on steps'!$B$1:$U$1,M$1)</f>
        <v>0</v>
      </c>
      <c r="N96" s="140">
        <f ca="1">SUMIFS('recurring2_based on steps'!$B96:$AY96,'recurring2_based on steps'!$B$1:$AY$1,N$1)+SUMIFS('changes2_based on steps'!$B96:$U96,'changes2_based on steps'!$B$1:$U$1,N$1)</f>
        <v>0</v>
      </c>
      <c r="O96" s="140">
        <f>SUMIFS('recurring2_based on steps'!$B96:$AY96,'recurring2_based on steps'!$B$1:$AY$1,O$1)+SUMIFS('changes2_based on steps'!$B96:$U96,'changes2_based on steps'!$B$1:$U$1,O$1)</f>
        <v>0</v>
      </c>
      <c r="P96" s="140">
        <f ca="1">SUMIFS('recurring2_based on steps'!$B96:$AY96,'recurring2_based on steps'!$B$1:$AY$1,P$1)+SUMIFS('changes2_based on steps'!$B96:$U96,'changes2_based on steps'!$B$1:$U$1,P$1)</f>
        <v>0</v>
      </c>
      <c r="Q96" s="140">
        <f ca="1">SUMIFS('recurring2_based on steps'!$B96:$AY96,'recurring2_based on steps'!$B$1:$AY$1,Q$1)+SUMIFS('changes2_based on steps'!$B96:$U96,'changes2_based on steps'!$B$1:$U$1,Q$1)</f>
        <v>100.05540166204986</v>
      </c>
      <c r="R96" s="140">
        <f ca="1">SUMIFS('recurring2_based on steps'!$B96:$AY96,'recurring2_based on steps'!$B$1:$AY$1,R$1)+SUMIFS('changes2_based on steps'!$B96:$U96,'changes2_based on steps'!$B$1:$U$1,R$1)</f>
        <v>0</v>
      </c>
      <c r="S96" s="140">
        <f>SUMIFS('recurring2_based on steps'!$B96:$AY96,'recurring2_based on steps'!$B$1:$AY$1,S$1)+SUMIFS('changes2_based on steps'!$B96:$U96,'changes2_based on steps'!$B$1:$U$1,S$1)</f>
        <v>0</v>
      </c>
      <c r="T96" s="140">
        <f ca="1">SUMIFS('recurring2_based on steps'!$B96:$AY96,'recurring2_based on steps'!$B$1:$AY$1,T$1)+SUMIFS('changes2_based on steps'!$B96:$U96,'changes2_based on steps'!$B$1:$U$1,T$1)</f>
        <v>0</v>
      </c>
      <c r="U96" s="140">
        <f ca="1">SUMIFS('recurring2_based on steps'!$B96:$AY96,'recurring2_based on steps'!$B$1:$AY$1,U$1)+SUMIFS('changes2_based on steps'!$B96:$U96,'changes2_based on steps'!$B$1:$U$1,U$1)</f>
        <v>0</v>
      </c>
      <c r="V96" s="140">
        <f>SUMIFS('recurring2_based on steps'!$B96:$AY96,'recurring2_based on steps'!$B$1:$AY$1,V$1)+SUMIFS('changes2_based on steps'!$B96:$U96,'changes2_based on steps'!$B$1:$U$1,V$1)</f>
        <v>0</v>
      </c>
      <c r="W96" s="140">
        <f>SUMIFS('recurring2_based on steps'!$B96:$AY96,'recurring2_based on steps'!$B$1:$AY$1,W$1)+SUMIFS('changes2_based on steps'!$B96:$U96,'changes2_based on steps'!$B$1:$U$1,W$1)</f>
        <v>0</v>
      </c>
      <c r="X96" s="140">
        <f ca="1">SUMIFS('recurring2_based on steps'!$B96:$AY96,'recurring2_based on steps'!$B$1:$AY$1,X$1)+SUMIFS('changes2_based on steps'!$B96:$U96,'changes2_based on steps'!$B$1:$U$1,X$1)</f>
        <v>0</v>
      </c>
      <c r="Y96" s="140">
        <f ca="1">SUMIFS('recurring2_based on steps'!$B96:$AY96,'recurring2_based on steps'!$B$1:$AY$1,Y$1)+SUMIFS('changes2_based on steps'!$B96:$U96,'changes2_based on steps'!$B$1:$U$1,Y$1)</f>
        <v>0</v>
      </c>
      <c r="Z96" s="140">
        <f>SUMIFS('recurring2_based on steps'!$B96:$AY96,'recurring2_based on steps'!$B$1:$AY$1,Z$1)+SUMIFS('changes2_based on steps'!$B96:$U96,'changes2_based on steps'!$B$1:$U$1,Z$1)</f>
        <v>0</v>
      </c>
      <c r="AA96" s="140">
        <f ca="1">SUMIFS('recurring2_based on steps'!$B96:$AY96,'recurring2_based on steps'!$B$1:$AY$1,AA$1)+SUMIFS('changes2_based on steps'!$B96:$U96,'changes2_based on steps'!$B$1:$U$1,AA$1)</f>
        <v>0</v>
      </c>
      <c r="AB96" s="140">
        <f ca="1">SUMIFS('recurring2_based on steps'!$B96:$AY96,'recurring2_based on steps'!$B$1:$AY$1,AB$1)+SUMIFS('changes2_based on steps'!$B96:$U96,'changes2_based on steps'!$B$1:$U$1,AB$1)</f>
        <v>100</v>
      </c>
      <c r="AC96" s="140">
        <f ca="1">SUMIFS('recurring2_based on steps'!$B96:$AY96,'recurring2_based on steps'!$B$1:$AY$1,AC$1)+SUMIFS('changes2_based on steps'!$B96:$U96,'changes2_based on steps'!$B$1:$U$1,AC$1)</f>
        <v>0</v>
      </c>
      <c r="AD96" s="140">
        <f ca="1">SUMIFS('recurring2_based on steps'!$B96:$AY96,'recurring2_based on steps'!$B$1:$AY$1,AD$1)+SUMIFS('changes2_based on steps'!$B96:$U96,'changes2_based on steps'!$B$1:$U$1,AD$1)</f>
        <v>0</v>
      </c>
      <c r="AE96" s="140">
        <f>SUMIFS('recurring2_based on steps'!$B96:$AY96,'recurring2_based on steps'!$B$1:$AY$1,AE$1)+SUMIFS('changes2_based on steps'!$B96:$U96,'changes2_based on steps'!$B$1:$U$1,AE$1)</f>
        <v>0</v>
      </c>
      <c r="AF96" s="140"/>
      <c r="AG96" s="140"/>
      <c r="AH96" s="140"/>
      <c r="AI96" s="140"/>
      <c r="AJ96" s="140"/>
      <c r="AK96" s="140"/>
      <c r="AL96" s="140"/>
      <c r="AM96" s="140"/>
    </row>
    <row r="97" spans="1:39" x14ac:dyDescent="0.2">
      <c r="A97" s="29">
        <f t="shared" ca="1" si="1"/>
        <v>45837</v>
      </c>
      <c r="B97" s="140">
        <f ca="1">SUMIFS('recurring2_based on steps'!$B97:$AY97,'recurring2_based on steps'!$B$1:$AY$1,B$1)+SUMIFS('changes2_based on steps'!$B97:$U97,'changes2_based on steps'!$B$1:$U$1,B$1)</f>
        <v>0</v>
      </c>
      <c r="C97" s="140">
        <f>SUMIFS('recurring2_based on steps'!$B97:$AY97,'recurring2_based on steps'!$B$1:$AY$1,C$1)+SUMIFS('changes2_based on steps'!$B97:$U97,'changes2_based on steps'!$B$1:$U$1,C$1)</f>
        <v>0</v>
      </c>
      <c r="D97" s="140">
        <f>SUMIFS('recurring2_based on steps'!$B97:$AY97,'recurring2_based on steps'!$B$1:$AY$1,D$1)+SUMIFS('changes2_based on steps'!$B97:$U97,'changes2_based on steps'!$B$1:$U$1,D$1)</f>
        <v>0</v>
      </c>
      <c r="E97" s="140">
        <f>SUMIFS('recurring2_based on steps'!$B97:$AY97,'recurring2_based on steps'!$B$1:$AY$1,E$1)+SUMIFS('changes2_based on steps'!$B97:$U97,'changes2_based on steps'!$B$1:$U$1,E$1)</f>
        <v>0</v>
      </c>
      <c r="F97" s="140">
        <f>SUMIFS('recurring2_based on steps'!$B97:$AY97,'recurring2_based on steps'!$B$1:$AY$1,F$1)+SUMIFS('changes2_based on steps'!$B97:$U97,'changes2_based on steps'!$B$1:$U$1,F$1)</f>
        <v>0</v>
      </c>
      <c r="G97" s="140">
        <f>SUMIFS('recurring2_based on steps'!$B97:$AY97,'recurring2_based on steps'!$B$1:$AY$1,G$1)+SUMIFS('changes2_based on steps'!$B97:$U97,'changes2_based on steps'!$B$1:$U$1,G$1)</f>
        <v>0</v>
      </c>
      <c r="H97" s="140">
        <f>SUMIFS('recurring2_based on steps'!$B97:$AY97,'recurring2_based on steps'!$B$1:$AY$1,H$1)+SUMIFS('changes2_based on steps'!$B97:$U97,'changes2_based on steps'!$B$1:$U$1,H$1)</f>
        <v>0</v>
      </c>
      <c r="I97" s="140">
        <f>SUMIFS('recurring2_based on steps'!$B97:$AY97,'recurring2_based on steps'!$B$1:$AY$1,I$1)+SUMIFS('changes2_based on steps'!$B97:$U97,'changes2_based on steps'!$B$1:$U$1,I$1)</f>
        <v>0</v>
      </c>
      <c r="J97" s="140">
        <f ca="1">SUMIFS('recurring2_based on steps'!$B97:$AY97,'recurring2_based on steps'!$B$1:$AY$1,J$1)+SUMIFS('changes2_based on steps'!$B97:$U97,'changes2_based on steps'!$B$1:$U$1,J$1)</f>
        <v>0</v>
      </c>
      <c r="K97" s="140">
        <f>SUMIFS('recurring2_based on steps'!$B97:$AY97,'recurring2_based on steps'!$B$1:$AY$1,K$1)+SUMIFS('changes2_based on steps'!$B97:$U97,'changes2_based on steps'!$B$1:$U$1,K$1)</f>
        <v>0</v>
      </c>
      <c r="L97" s="140">
        <f>SUMIFS('recurring2_based on steps'!$B97:$AY97,'recurring2_based on steps'!$B$1:$AY$1,L$1)+SUMIFS('changes2_based on steps'!$B97:$U97,'changes2_based on steps'!$B$1:$U$1,L$1)</f>
        <v>0</v>
      </c>
      <c r="M97" s="140">
        <f>SUMIFS('recurring2_based on steps'!$B97:$AY97,'recurring2_based on steps'!$B$1:$AY$1,M$1)+SUMIFS('changes2_based on steps'!$B97:$U97,'changes2_based on steps'!$B$1:$U$1,M$1)</f>
        <v>0</v>
      </c>
      <c r="N97" s="140">
        <f ca="1">SUMIFS('recurring2_based on steps'!$B97:$AY97,'recurring2_based on steps'!$B$1:$AY$1,N$1)+SUMIFS('changes2_based on steps'!$B97:$U97,'changes2_based on steps'!$B$1:$U$1,N$1)</f>
        <v>0</v>
      </c>
      <c r="O97" s="140">
        <f>SUMIFS('recurring2_based on steps'!$B97:$AY97,'recurring2_based on steps'!$B$1:$AY$1,O$1)+SUMIFS('changes2_based on steps'!$B97:$U97,'changes2_based on steps'!$B$1:$U$1,O$1)</f>
        <v>0</v>
      </c>
      <c r="P97" s="140">
        <f ca="1">SUMIFS('recurring2_based on steps'!$B97:$AY97,'recurring2_based on steps'!$B$1:$AY$1,P$1)+SUMIFS('changes2_based on steps'!$B97:$U97,'changes2_based on steps'!$B$1:$U$1,P$1)</f>
        <v>0</v>
      </c>
      <c r="Q97" s="140">
        <f ca="1">SUMIFS('recurring2_based on steps'!$B97:$AY97,'recurring2_based on steps'!$B$1:$AY$1,Q$1)+SUMIFS('changes2_based on steps'!$B97:$U97,'changes2_based on steps'!$B$1:$U$1,Q$1)</f>
        <v>100.05540166204986</v>
      </c>
      <c r="R97" s="140">
        <f ca="1">SUMIFS('recurring2_based on steps'!$B97:$AY97,'recurring2_based on steps'!$B$1:$AY$1,R$1)+SUMIFS('changes2_based on steps'!$B97:$U97,'changes2_based on steps'!$B$1:$U$1,R$1)</f>
        <v>0</v>
      </c>
      <c r="S97" s="140">
        <f>SUMIFS('recurring2_based on steps'!$B97:$AY97,'recurring2_based on steps'!$B$1:$AY$1,S$1)+SUMIFS('changes2_based on steps'!$B97:$U97,'changes2_based on steps'!$B$1:$U$1,S$1)</f>
        <v>0</v>
      </c>
      <c r="T97" s="140">
        <f ca="1">SUMIFS('recurring2_based on steps'!$B97:$AY97,'recurring2_based on steps'!$B$1:$AY$1,T$1)+SUMIFS('changes2_based on steps'!$B97:$U97,'changes2_based on steps'!$B$1:$U$1,T$1)</f>
        <v>0</v>
      </c>
      <c r="U97" s="140">
        <f ca="1">SUMIFS('recurring2_based on steps'!$B97:$AY97,'recurring2_based on steps'!$B$1:$AY$1,U$1)+SUMIFS('changes2_based on steps'!$B97:$U97,'changes2_based on steps'!$B$1:$U$1,U$1)</f>
        <v>0</v>
      </c>
      <c r="V97" s="140">
        <f>SUMIFS('recurring2_based on steps'!$B97:$AY97,'recurring2_based on steps'!$B$1:$AY$1,V$1)+SUMIFS('changes2_based on steps'!$B97:$U97,'changes2_based on steps'!$B$1:$U$1,V$1)</f>
        <v>0</v>
      </c>
      <c r="W97" s="140">
        <f>SUMIFS('recurring2_based on steps'!$B97:$AY97,'recurring2_based on steps'!$B$1:$AY$1,W$1)+SUMIFS('changes2_based on steps'!$B97:$U97,'changes2_based on steps'!$B$1:$U$1,W$1)</f>
        <v>0</v>
      </c>
      <c r="X97" s="140">
        <f ca="1">SUMIFS('recurring2_based on steps'!$B97:$AY97,'recurring2_based on steps'!$B$1:$AY$1,X$1)+SUMIFS('changes2_based on steps'!$B97:$U97,'changes2_based on steps'!$B$1:$U$1,X$1)</f>
        <v>0</v>
      </c>
      <c r="Y97" s="140">
        <f ca="1">SUMIFS('recurring2_based on steps'!$B97:$AY97,'recurring2_based on steps'!$B$1:$AY$1,Y$1)+SUMIFS('changes2_based on steps'!$B97:$U97,'changes2_based on steps'!$B$1:$U$1,Y$1)</f>
        <v>50</v>
      </c>
      <c r="Z97" s="140">
        <f>SUMIFS('recurring2_based on steps'!$B97:$AY97,'recurring2_based on steps'!$B$1:$AY$1,Z$1)+SUMIFS('changes2_based on steps'!$B97:$U97,'changes2_based on steps'!$B$1:$U$1,Z$1)</f>
        <v>0</v>
      </c>
      <c r="AA97" s="140">
        <f ca="1">SUMIFS('recurring2_based on steps'!$B97:$AY97,'recurring2_based on steps'!$B$1:$AY$1,AA$1)+SUMIFS('changes2_based on steps'!$B97:$U97,'changes2_based on steps'!$B$1:$U$1,AA$1)</f>
        <v>0</v>
      </c>
      <c r="AB97" s="140">
        <f ca="1">SUMIFS('recurring2_based on steps'!$B97:$AY97,'recurring2_based on steps'!$B$1:$AY$1,AB$1)+SUMIFS('changes2_based on steps'!$B97:$U97,'changes2_based on steps'!$B$1:$U$1,AB$1)</f>
        <v>0</v>
      </c>
      <c r="AC97" s="140">
        <f ca="1">SUMIFS('recurring2_based on steps'!$B97:$AY97,'recurring2_based on steps'!$B$1:$AY$1,AC$1)+SUMIFS('changes2_based on steps'!$B97:$U97,'changes2_based on steps'!$B$1:$U$1,AC$1)</f>
        <v>0</v>
      </c>
      <c r="AD97" s="140">
        <f ca="1">SUMIFS('recurring2_based on steps'!$B97:$AY97,'recurring2_based on steps'!$B$1:$AY$1,AD$1)+SUMIFS('changes2_based on steps'!$B97:$U97,'changes2_based on steps'!$B$1:$U$1,AD$1)</f>
        <v>0</v>
      </c>
      <c r="AE97" s="140">
        <f>SUMIFS('recurring2_based on steps'!$B97:$AY97,'recurring2_based on steps'!$B$1:$AY$1,AE$1)+SUMIFS('changes2_based on steps'!$B97:$U97,'changes2_based on steps'!$B$1:$U$1,AE$1)</f>
        <v>0</v>
      </c>
      <c r="AF97" s="140"/>
      <c r="AG97" s="140"/>
      <c r="AH97" s="140"/>
      <c r="AI97" s="140"/>
      <c r="AJ97" s="140"/>
      <c r="AK97" s="140"/>
      <c r="AL97" s="140"/>
      <c r="AM97" s="140"/>
    </row>
    <row r="98" spans="1:39" x14ac:dyDescent="0.2">
      <c r="A98" s="29">
        <f t="shared" ca="1" si="1"/>
        <v>45838</v>
      </c>
      <c r="B98" s="140">
        <f ca="1">SUMIFS('recurring2_based on steps'!$B98:$AY98,'recurring2_based on steps'!$B$1:$AY$1,B$1)+SUMIFS('changes2_based on steps'!$B98:$U98,'changes2_based on steps'!$B$1:$U$1,B$1)</f>
        <v>0</v>
      </c>
      <c r="C98" s="140">
        <f>SUMIFS('recurring2_based on steps'!$B98:$AY98,'recurring2_based on steps'!$B$1:$AY$1,C$1)+SUMIFS('changes2_based on steps'!$B98:$U98,'changes2_based on steps'!$B$1:$U$1,C$1)</f>
        <v>0</v>
      </c>
      <c r="D98" s="140">
        <f>SUMIFS('recurring2_based on steps'!$B98:$AY98,'recurring2_based on steps'!$B$1:$AY$1,D$1)+SUMIFS('changes2_based on steps'!$B98:$U98,'changes2_based on steps'!$B$1:$U$1,D$1)</f>
        <v>0</v>
      </c>
      <c r="E98" s="140">
        <f>SUMIFS('recurring2_based on steps'!$B98:$AY98,'recurring2_based on steps'!$B$1:$AY$1,E$1)+SUMIFS('changes2_based on steps'!$B98:$U98,'changes2_based on steps'!$B$1:$U$1,E$1)</f>
        <v>0</v>
      </c>
      <c r="F98" s="140">
        <f>SUMIFS('recurring2_based on steps'!$B98:$AY98,'recurring2_based on steps'!$B$1:$AY$1,F$1)+SUMIFS('changes2_based on steps'!$B98:$U98,'changes2_based on steps'!$B$1:$U$1,F$1)</f>
        <v>0</v>
      </c>
      <c r="G98" s="140">
        <f>SUMIFS('recurring2_based on steps'!$B98:$AY98,'recurring2_based on steps'!$B$1:$AY$1,G$1)+SUMIFS('changes2_based on steps'!$B98:$U98,'changes2_based on steps'!$B$1:$U$1,G$1)</f>
        <v>0</v>
      </c>
      <c r="H98" s="140">
        <f>SUMIFS('recurring2_based on steps'!$B98:$AY98,'recurring2_based on steps'!$B$1:$AY$1,H$1)+SUMIFS('changes2_based on steps'!$B98:$U98,'changes2_based on steps'!$B$1:$U$1,H$1)</f>
        <v>0</v>
      </c>
      <c r="I98" s="140">
        <f>SUMIFS('recurring2_based on steps'!$B98:$AY98,'recurring2_based on steps'!$B$1:$AY$1,I$1)+SUMIFS('changes2_based on steps'!$B98:$U98,'changes2_based on steps'!$B$1:$U$1,I$1)</f>
        <v>0</v>
      </c>
      <c r="J98" s="140">
        <f ca="1">SUMIFS('recurring2_based on steps'!$B98:$AY98,'recurring2_based on steps'!$B$1:$AY$1,J$1)+SUMIFS('changes2_based on steps'!$B98:$U98,'changes2_based on steps'!$B$1:$U$1,J$1)</f>
        <v>100</v>
      </c>
      <c r="K98" s="140">
        <f>SUMIFS('recurring2_based on steps'!$B98:$AY98,'recurring2_based on steps'!$B$1:$AY$1,K$1)+SUMIFS('changes2_based on steps'!$B98:$U98,'changes2_based on steps'!$B$1:$U$1,K$1)</f>
        <v>0</v>
      </c>
      <c r="L98" s="140">
        <f>SUMIFS('recurring2_based on steps'!$B98:$AY98,'recurring2_based on steps'!$B$1:$AY$1,L$1)+SUMIFS('changes2_based on steps'!$B98:$U98,'changes2_based on steps'!$B$1:$U$1,L$1)</f>
        <v>0</v>
      </c>
      <c r="M98" s="140">
        <f>SUMIFS('recurring2_based on steps'!$B98:$AY98,'recurring2_based on steps'!$B$1:$AY$1,M$1)+SUMIFS('changes2_based on steps'!$B98:$U98,'changes2_based on steps'!$B$1:$U$1,M$1)</f>
        <v>0</v>
      </c>
      <c r="N98" s="140">
        <f ca="1">SUMIFS('recurring2_based on steps'!$B98:$AY98,'recurring2_based on steps'!$B$1:$AY$1,N$1)+SUMIFS('changes2_based on steps'!$B98:$U98,'changes2_based on steps'!$B$1:$U$1,N$1)</f>
        <v>40</v>
      </c>
      <c r="O98" s="140">
        <f>SUMIFS('recurring2_based on steps'!$B98:$AY98,'recurring2_based on steps'!$B$1:$AY$1,O$1)+SUMIFS('changes2_based on steps'!$B98:$U98,'changes2_based on steps'!$B$1:$U$1,O$1)</f>
        <v>0</v>
      </c>
      <c r="P98" s="140">
        <f ca="1">SUMIFS('recurring2_based on steps'!$B98:$AY98,'recurring2_based on steps'!$B$1:$AY$1,P$1)+SUMIFS('changes2_based on steps'!$B98:$U98,'changes2_based on steps'!$B$1:$U$1,P$1)</f>
        <v>0</v>
      </c>
      <c r="Q98" s="140">
        <f ca="1">SUMIFS('recurring2_based on steps'!$B98:$AY98,'recurring2_based on steps'!$B$1:$AY$1,Q$1)+SUMIFS('changes2_based on steps'!$B98:$U98,'changes2_based on steps'!$B$1:$U$1,Q$1)</f>
        <v>5.5401662049861494E-2</v>
      </c>
      <c r="R98" s="140">
        <f ca="1">SUMIFS('recurring2_based on steps'!$B98:$AY98,'recurring2_based on steps'!$B$1:$AY$1,R$1)+SUMIFS('changes2_based on steps'!$B98:$U98,'changes2_based on steps'!$B$1:$U$1,R$1)</f>
        <v>0</v>
      </c>
      <c r="S98" s="140">
        <f>SUMIFS('recurring2_based on steps'!$B98:$AY98,'recurring2_based on steps'!$B$1:$AY$1,S$1)+SUMIFS('changes2_based on steps'!$B98:$U98,'changes2_based on steps'!$B$1:$U$1,S$1)</f>
        <v>0</v>
      </c>
      <c r="T98" s="140">
        <f ca="1">SUMIFS('recurring2_based on steps'!$B98:$AY98,'recurring2_based on steps'!$B$1:$AY$1,T$1)+SUMIFS('changes2_based on steps'!$B98:$U98,'changes2_based on steps'!$B$1:$U$1,T$1)</f>
        <v>0</v>
      </c>
      <c r="U98" s="140">
        <f ca="1">SUMIFS('recurring2_based on steps'!$B98:$AY98,'recurring2_based on steps'!$B$1:$AY$1,U$1)+SUMIFS('changes2_based on steps'!$B98:$U98,'changes2_based on steps'!$B$1:$U$1,U$1)</f>
        <v>0</v>
      </c>
      <c r="V98" s="140">
        <f>SUMIFS('recurring2_based on steps'!$B98:$AY98,'recurring2_based on steps'!$B$1:$AY$1,V$1)+SUMIFS('changes2_based on steps'!$B98:$U98,'changes2_based on steps'!$B$1:$U$1,V$1)</f>
        <v>0</v>
      </c>
      <c r="W98" s="140">
        <f>SUMIFS('recurring2_based on steps'!$B98:$AY98,'recurring2_based on steps'!$B$1:$AY$1,W$1)+SUMIFS('changes2_based on steps'!$B98:$U98,'changes2_based on steps'!$B$1:$U$1,W$1)</f>
        <v>0</v>
      </c>
      <c r="X98" s="140">
        <f ca="1">SUMIFS('recurring2_based on steps'!$B98:$AY98,'recurring2_based on steps'!$B$1:$AY$1,X$1)+SUMIFS('changes2_based on steps'!$B98:$U98,'changes2_based on steps'!$B$1:$U$1,X$1)</f>
        <v>0</v>
      </c>
      <c r="Y98" s="140">
        <f ca="1">SUMIFS('recurring2_based on steps'!$B98:$AY98,'recurring2_based on steps'!$B$1:$AY$1,Y$1)+SUMIFS('changes2_based on steps'!$B98:$U98,'changes2_based on steps'!$B$1:$U$1,Y$1)</f>
        <v>0</v>
      </c>
      <c r="Z98" s="140">
        <f>SUMIFS('recurring2_based on steps'!$B98:$AY98,'recurring2_based on steps'!$B$1:$AY$1,Z$1)+SUMIFS('changes2_based on steps'!$B98:$U98,'changes2_based on steps'!$B$1:$U$1,Z$1)</f>
        <v>0</v>
      </c>
      <c r="AA98" s="140">
        <f ca="1">SUMIFS('recurring2_based on steps'!$B98:$AY98,'recurring2_based on steps'!$B$1:$AY$1,AA$1)+SUMIFS('changes2_based on steps'!$B98:$U98,'changes2_based on steps'!$B$1:$U$1,AA$1)</f>
        <v>50</v>
      </c>
      <c r="AB98" s="140">
        <f ca="1">SUMIFS('recurring2_based on steps'!$B98:$AY98,'recurring2_based on steps'!$B$1:$AY$1,AB$1)+SUMIFS('changes2_based on steps'!$B98:$U98,'changes2_based on steps'!$B$1:$U$1,AB$1)</f>
        <v>0</v>
      </c>
      <c r="AC98" s="140">
        <f ca="1">SUMIFS('recurring2_based on steps'!$B98:$AY98,'recurring2_based on steps'!$B$1:$AY$1,AC$1)+SUMIFS('changes2_based on steps'!$B98:$U98,'changes2_based on steps'!$B$1:$U$1,AC$1)</f>
        <v>0</v>
      </c>
      <c r="AD98" s="140">
        <f ca="1">SUMIFS('recurring2_based on steps'!$B98:$AY98,'recurring2_based on steps'!$B$1:$AY$1,AD$1)+SUMIFS('changes2_based on steps'!$B98:$U98,'changes2_based on steps'!$B$1:$U$1,AD$1)</f>
        <v>0</v>
      </c>
      <c r="AE98" s="140">
        <f>SUMIFS('recurring2_based on steps'!$B98:$AY98,'recurring2_based on steps'!$B$1:$AY$1,AE$1)+SUMIFS('changes2_based on steps'!$B98:$U98,'changes2_based on steps'!$B$1:$U$1,AE$1)</f>
        <v>0</v>
      </c>
      <c r="AF98" s="140"/>
      <c r="AG98" s="140"/>
      <c r="AH98" s="140"/>
      <c r="AI98" s="140"/>
      <c r="AJ98" s="140"/>
      <c r="AK98" s="140"/>
      <c r="AL98" s="140"/>
      <c r="AM98" s="140"/>
    </row>
    <row r="99" spans="1:39" x14ac:dyDescent="0.2">
      <c r="A99" s="29">
        <f t="shared" ca="1" si="1"/>
        <v>45839</v>
      </c>
      <c r="B99" s="140">
        <f ca="1">SUMIFS('recurring2_based on steps'!$B99:$AY99,'recurring2_based on steps'!$B$1:$AY$1,B$1)+SUMIFS('changes2_based on steps'!$B99:$U99,'changes2_based on steps'!$B$1:$U$1,B$1)</f>
        <v>0</v>
      </c>
      <c r="C99" s="140">
        <f>SUMIFS('recurring2_based on steps'!$B99:$AY99,'recurring2_based on steps'!$B$1:$AY$1,C$1)+SUMIFS('changes2_based on steps'!$B99:$U99,'changes2_based on steps'!$B$1:$U$1,C$1)</f>
        <v>0</v>
      </c>
      <c r="D99" s="140">
        <f>SUMIFS('recurring2_based on steps'!$B99:$AY99,'recurring2_based on steps'!$B$1:$AY$1,D$1)+SUMIFS('changes2_based on steps'!$B99:$U99,'changes2_based on steps'!$B$1:$U$1,D$1)</f>
        <v>0</v>
      </c>
      <c r="E99" s="140">
        <f>SUMIFS('recurring2_based on steps'!$B99:$AY99,'recurring2_based on steps'!$B$1:$AY$1,E$1)+SUMIFS('changes2_based on steps'!$B99:$U99,'changes2_based on steps'!$B$1:$U$1,E$1)</f>
        <v>0</v>
      </c>
      <c r="F99" s="140">
        <f>SUMIFS('recurring2_based on steps'!$B99:$AY99,'recurring2_based on steps'!$B$1:$AY$1,F$1)+SUMIFS('changes2_based on steps'!$B99:$U99,'changes2_based on steps'!$B$1:$U$1,F$1)</f>
        <v>0</v>
      </c>
      <c r="G99" s="140">
        <f>SUMIFS('recurring2_based on steps'!$B99:$AY99,'recurring2_based on steps'!$B$1:$AY$1,G$1)+SUMIFS('changes2_based on steps'!$B99:$U99,'changes2_based on steps'!$B$1:$U$1,G$1)</f>
        <v>0</v>
      </c>
      <c r="H99" s="140">
        <f>SUMIFS('recurring2_based on steps'!$B99:$AY99,'recurring2_based on steps'!$B$1:$AY$1,H$1)+SUMIFS('changes2_based on steps'!$B99:$U99,'changes2_based on steps'!$B$1:$U$1,H$1)</f>
        <v>0</v>
      </c>
      <c r="I99" s="140">
        <f>SUMIFS('recurring2_based on steps'!$B99:$AY99,'recurring2_based on steps'!$B$1:$AY$1,I$1)+SUMIFS('changes2_based on steps'!$B99:$U99,'changes2_based on steps'!$B$1:$U$1,I$1)</f>
        <v>0</v>
      </c>
      <c r="J99" s="140">
        <f ca="1">SUMIFS('recurring2_based on steps'!$B99:$AY99,'recurring2_based on steps'!$B$1:$AY$1,J$1)+SUMIFS('changes2_based on steps'!$B99:$U99,'changes2_based on steps'!$B$1:$U$1,J$1)</f>
        <v>0</v>
      </c>
      <c r="K99" s="140">
        <f>SUMIFS('recurring2_based on steps'!$B99:$AY99,'recurring2_based on steps'!$B$1:$AY$1,K$1)+SUMIFS('changes2_based on steps'!$B99:$U99,'changes2_based on steps'!$B$1:$U$1,K$1)</f>
        <v>0</v>
      </c>
      <c r="L99" s="140">
        <f>SUMIFS('recurring2_based on steps'!$B99:$AY99,'recurring2_based on steps'!$B$1:$AY$1,L$1)+SUMIFS('changes2_based on steps'!$B99:$U99,'changes2_based on steps'!$B$1:$U$1,L$1)</f>
        <v>0</v>
      </c>
      <c r="M99" s="140">
        <f>SUMIFS('recurring2_based on steps'!$B99:$AY99,'recurring2_based on steps'!$B$1:$AY$1,M$1)+SUMIFS('changes2_based on steps'!$B99:$U99,'changes2_based on steps'!$B$1:$U$1,M$1)</f>
        <v>0</v>
      </c>
      <c r="N99" s="140">
        <f ca="1">SUMIFS('recurring2_based on steps'!$B99:$AY99,'recurring2_based on steps'!$B$1:$AY$1,N$1)+SUMIFS('changes2_based on steps'!$B99:$U99,'changes2_based on steps'!$B$1:$U$1,N$1)</f>
        <v>2000</v>
      </c>
      <c r="O99" s="140">
        <f>SUMIFS('recurring2_based on steps'!$B99:$AY99,'recurring2_based on steps'!$B$1:$AY$1,O$1)+SUMIFS('changes2_based on steps'!$B99:$U99,'changes2_based on steps'!$B$1:$U$1,O$1)</f>
        <v>0</v>
      </c>
      <c r="P99" s="140">
        <f ca="1">SUMIFS('recurring2_based on steps'!$B99:$AY99,'recurring2_based on steps'!$B$1:$AY$1,P$1)+SUMIFS('changes2_based on steps'!$B99:$U99,'changes2_based on steps'!$B$1:$U$1,P$1)</f>
        <v>0</v>
      </c>
      <c r="Q99" s="140">
        <f ca="1">SUMIFS('recurring2_based on steps'!$B99:$AY99,'recurring2_based on steps'!$B$1:$AY$1,Q$1)+SUMIFS('changes2_based on steps'!$B99:$U99,'changes2_based on steps'!$B$1:$U$1,Q$1)</f>
        <v>5.5401662049861494E-2</v>
      </c>
      <c r="R99" s="140">
        <f ca="1">SUMIFS('recurring2_based on steps'!$B99:$AY99,'recurring2_based on steps'!$B$1:$AY$1,R$1)+SUMIFS('changes2_based on steps'!$B99:$U99,'changes2_based on steps'!$B$1:$U$1,R$1)</f>
        <v>0</v>
      </c>
      <c r="S99" s="140">
        <f>SUMIFS('recurring2_based on steps'!$B99:$AY99,'recurring2_based on steps'!$B$1:$AY$1,S$1)+SUMIFS('changes2_based on steps'!$B99:$U99,'changes2_based on steps'!$B$1:$U$1,S$1)</f>
        <v>0</v>
      </c>
      <c r="T99" s="140">
        <f ca="1">SUMIFS('recurring2_based on steps'!$B99:$AY99,'recurring2_based on steps'!$B$1:$AY$1,T$1)+SUMIFS('changes2_based on steps'!$B99:$U99,'changes2_based on steps'!$B$1:$U$1,T$1)</f>
        <v>0</v>
      </c>
      <c r="U99" s="140">
        <f ca="1">SUMIFS('recurring2_based on steps'!$B99:$AY99,'recurring2_based on steps'!$B$1:$AY$1,U$1)+SUMIFS('changes2_based on steps'!$B99:$U99,'changes2_based on steps'!$B$1:$U$1,U$1)</f>
        <v>0</v>
      </c>
      <c r="V99" s="140">
        <f>SUMIFS('recurring2_based on steps'!$B99:$AY99,'recurring2_based on steps'!$B$1:$AY$1,V$1)+SUMIFS('changes2_based on steps'!$B99:$U99,'changes2_based on steps'!$B$1:$U$1,V$1)</f>
        <v>0</v>
      </c>
      <c r="W99" s="140">
        <f>SUMIFS('recurring2_based on steps'!$B99:$AY99,'recurring2_based on steps'!$B$1:$AY$1,W$1)+SUMIFS('changes2_based on steps'!$B99:$U99,'changes2_based on steps'!$B$1:$U$1,W$1)</f>
        <v>0</v>
      </c>
      <c r="X99" s="140">
        <f ca="1">SUMIFS('recurring2_based on steps'!$B99:$AY99,'recurring2_based on steps'!$B$1:$AY$1,X$1)+SUMIFS('changes2_based on steps'!$B99:$U99,'changes2_based on steps'!$B$1:$U$1,X$1)</f>
        <v>0</v>
      </c>
      <c r="Y99" s="140">
        <f ca="1">SUMIFS('recurring2_based on steps'!$B99:$AY99,'recurring2_based on steps'!$B$1:$AY$1,Y$1)+SUMIFS('changes2_based on steps'!$B99:$U99,'changes2_based on steps'!$B$1:$U$1,Y$1)</f>
        <v>0</v>
      </c>
      <c r="Z99" s="140">
        <f>SUMIFS('recurring2_based on steps'!$B99:$AY99,'recurring2_based on steps'!$B$1:$AY$1,Z$1)+SUMIFS('changes2_based on steps'!$B99:$U99,'changes2_based on steps'!$B$1:$U$1,Z$1)</f>
        <v>0</v>
      </c>
      <c r="AA99" s="140">
        <f ca="1">SUMIFS('recurring2_based on steps'!$B99:$AY99,'recurring2_based on steps'!$B$1:$AY$1,AA$1)+SUMIFS('changes2_based on steps'!$B99:$U99,'changes2_based on steps'!$B$1:$U$1,AA$1)</f>
        <v>0</v>
      </c>
      <c r="AB99" s="140">
        <f ca="1">SUMIFS('recurring2_based on steps'!$B99:$AY99,'recurring2_based on steps'!$B$1:$AY$1,AB$1)+SUMIFS('changes2_based on steps'!$B99:$U99,'changes2_based on steps'!$B$1:$U$1,AB$1)</f>
        <v>0</v>
      </c>
      <c r="AC99" s="140">
        <f ca="1">SUMIFS('recurring2_based on steps'!$B99:$AY99,'recurring2_based on steps'!$B$1:$AY$1,AC$1)+SUMIFS('changes2_based on steps'!$B99:$U99,'changes2_based on steps'!$B$1:$U$1,AC$1)</f>
        <v>0</v>
      </c>
      <c r="AD99" s="140">
        <f ca="1">SUMIFS('recurring2_based on steps'!$B99:$AY99,'recurring2_based on steps'!$B$1:$AY$1,AD$1)+SUMIFS('changes2_based on steps'!$B99:$U99,'changes2_based on steps'!$B$1:$U$1,AD$1)</f>
        <v>0</v>
      </c>
      <c r="AE99" s="140">
        <f>SUMIFS('recurring2_based on steps'!$B99:$AY99,'recurring2_based on steps'!$B$1:$AY$1,AE$1)+SUMIFS('changes2_based on steps'!$B99:$U99,'changes2_based on steps'!$B$1:$U$1,AE$1)</f>
        <v>0</v>
      </c>
      <c r="AF99" s="140"/>
      <c r="AG99" s="140"/>
      <c r="AH99" s="140"/>
      <c r="AI99" s="140"/>
      <c r="AJ99" s="140"/>
      <c r="AK99" s="140"/>
      <c r="AL99" s="140"/>
      <c r="AM99" s="140"/>
    </row>
    <row r="100" spans="1:39" x14ac:dyDescent="0.2">
      <c r="A100" s="29">
        <f t="shared" ca="1" si="1"/>
        <v>45840</v>
      </c>
      <c r="B100" s="140">
        <f ca="1">SUMIFS('recurring2_based on steps'!$B100:$AY100,'recurring2_based on steps'!$B$1:$AY$1,B$1)+SUMIFS('changes2_based on steps'!$B100:$U100,'changes2_based on steps'!$B$1:$U$1,B$1)</f>
        <v>0</v>
      </c>
      <c r="C100" s="140">
        <f>SUMIFS('recurring2_based on steps'!$B100:$AY100,'recurring2_based on steps'!$B$1:$AY$1,C$1)+SUMIFS('changes2_based on steps'!$B100:$U100,'changes2_based on steps'!$B$1:$U$1,C$1)</f>
        <v>0</v>
      </c>
      <c r="D100" s="140">
        <f>SUMIFS('recurring2_based on steps'!$B100:$AY100,'recurring2_based on steps'!$B$1:$AY$1,D$1)+SUMIFS('changes2_based on steps'!$B100:$U100,'changes2_based on steps'!$B$1:$U$1,D$1)</f>
        <v>0</v>
      </c>
      <c r="E100" s="140">
        <f>SUMIFS('recurring2_based on steps'!$B100:$AY100,'recurring2_based on steps'!$B$1:$AY$1,E$1)+SUMIFS('changes2_based on steps'!$B100:$U100,'changes2_based on steps'!$B$1:$U$1,E$1)</f>
        <v>0</v>
      </c>
      <c r="F100" s="140">
        <f>SUMIFS('recurring2_based on steps'!$B100:$AY100,'recurring2_based on steps'!$B$1:$AY$1,F$1)+SUMIFS('changes2_based on steps'!$B100:$U100,'changes2_based on steps'!$B$1:$U$1,F$1)</f>
        <v>0</v>
      </c>
      <c r="G100" s="140">
        <f>SUMIFS('recurring2_based on steps'!$B100:$AY100,'recurring2_based on steps'!$B$1:$AY$1,G$1)+SUMIFS('changes2_based on steps'!$B100:$U100,'changes2_based on steps'!$B$1:$U$1,G$1)</f>
        <v>0</v>
      </c>
      <c r="H100" s="140">
        <f>SUMIFS('recurring2_based on steps'!$B100:$AY100,'recurring2_based on steps'!$B$1:$AY$1,H$1)+SUMIFS('changes2_based on steps'!$B100:$U100,'changes2_based on steps'!$B$1:$U$1,H$1)</f>
        <v>0</v>
      </c>
      <c r="I100" s="140">
        <f>SUMIFS('recurring2_based on steps'!$B100:$AY100,'recurring2_based on steps'!$B$1:$AY$1,I$1)+SUMIFS('changes2_based on steps'!$B100:$U100,'changes2_based on steps'!$B$1:$U$1,I$1)</f>
        <v>0</v>
      </c>
      <c r="J100" s="140">
        <f ca="1">SUMIFS('recurring2_based on steps'!$B100:$AY100,'recurring2_based on steps'!$B$1:$AY$1,J$1)+SUMIFS('changes2_based on steps'!$B100:$U100,'changes2_based on steps'!$B$1:$U$1,J$1)</f>
        <v>0</v>
      </c>
      <c r="K100" s="140">
        <f>SUMIFS('recurring2_based on steps'!$B100:$AY100,'recurring2_based on steps'!$B$1:$AY$1,K$1)+SUMIFS('changes2_based on steps'!$B100:$U100,'changes2_based on steps'!$B$1:$U$1,K$1)</f>
        <v>0</v>
      </c>
      <c r="L100" s="140">
        <f>SUMIFS('recurring2_based on steps'!$B100:$AY100,'recurring2_based on steps'!$B$1:$AY$1,L$1)+SUMIFS('changes2_based on steps'!$B100:$U100,'changes2_based on steps'!$B$1:$U$1,L$1)</f>
        <v>0</v>
      </c>
      <c r="M100" s="140">
        <f>SUMIFS('recurring2_based on steps'!$B100:$AY100,'recurring2_based on steps'!$B$1:$AY$1,M$1)+SUMIFS('changes2_based on steps'!$B100:$U100,'changes2_based on steps'!$B$1:$U$1,M$1)</f>
        <v>0</v>
      </c>
      <c r="N100" s="140">
        <f ca="1">SUMIFS('recurring2_based on steps'!$B100:$AY100,'recurring2_based on steps'!$B$1:$AY$1,N$1)+SUMIFS('changes2_based on steps'!$B100:$U100,'changes2_based on steps'!$B$1:$U$1,N$1)</f>
        <v>0</v>
      </c>
      <c r="O100" s="140">
        <f>SUMIFS('recurring2_based on steps'!$B100:$AY100,'recurring2_based on steps'!$B$1:$AY$1,O$1)+SUMIFS('changes2_based on steps'!$B100:$U100,'changes2_based on steps'!$B$1:$U$1,O$1)</f>
        <v>0</v>
      </c>
      <c r="P100" s="140">
        <f ca="1">SUMIFS('recurring2_based on steps'!$B100:$AY100,'recurring2_based on steps'!$B$1:$AY$1,P$1)+SUMIFS('changes2_based on steps'!$B100:$U100,'changes2_based on steps'!$B$1:$U$1,P$1)</f>
        <v>0</v>
      </c>
      <c r="Q100" s="140">
        <f ca="1">SUMIFS('recurring2_based on steps'!$B100:$AY100,'recurring2_based on steps'!$B$1:$AY$1,Q$1)+SUMIFS('changes2_based on steps'!$B100:$U100,'changes2_based on steps'!$B$1:$U$1,Q$1)</f>
        <v>5.5401662049861494E-2</v>
      </c>
      <c r="R100" s="140">
        <f ca="1">SUMIFS('recurring2_based on steps'!$B100:$AY100,'recurring2_based on steps'!$B$1:$AY$1,R$1)+SUMIFS('changes2_based on steps'!$B100:$U100,'changes2_based on steps'!$B$1:$U$1,R$1)</f>
        <v>0</v>
      </c>
      <c r="S100" s="140">
        <f>SUMIFS('recurring2_based on steps'!$B100:$AY100,'recurring2_based on steps'!$B$1:$AY$1,S$1)+SUMIFS('changes2_based on steps'!$B100:$U100,'changes2_based on steps'!$B$1:$U$1,S$1)</f>
        <v>0</v>
      </c>
      <c r="T100" s="140">
        <f ca="1">SUMIFS('recurring2_based on steps'!$B100:$AY100,'recurring2_based on steps'!$B$1:$AY$1,T$1)+SUMIFS('changes2_based on steps'!$B100:$U100,'changes2_based on steps'!$B$1:$U$1,T$1)</f>
        <v>0</v>
      </c>
      <c r="U100" s="140">
        <f ca="1">SUMIFS('recurring2_based on steps'!$B100:$AY100,'recurring2_based on steps'!$B$1:$AY$1,U$1)+SUMIFS('changes2_based on steps'!$B100:$U100,'changes2_based on steps'!$B$1:$U$1,U$1)</f>
        <v>0</v>
      </c>
      <c r="V100" s="140">
        <f>SUMIFS('recurring2_based on steps'!$B100:$AY100,'recurring2_based on steps'!$B$1:$AY$1,V$1)+SUMIFS('changes2_based on steps'!$B100:$U100,'changes2_based on steps'!$B$1:$U$1,V$1)</f>
        <v>0</v>
      </c>
      <c r="W100" s="140">
        <f>SUMIFS('recurring2_based on steps'!$B100:$AY100,'recurring2_based on steps'!$B$1:$AY$1,W$1)+SUMIFS('changes2_based on steps'!$B100:$U100,'changes2_based on steps'!$B$1:$U$1,W$1)</f>
        <v>0</v>
      </c>
      <c r="X100" s="140">
        <f ca="1">SUMIFS('recurring2_based on steps'!$B100:$AY100,'recurring2_based on steps'!$B$1:$AY$1,X$1)+SUMIFS('changes2_based on steps'!$B100:$U100,'changes2_based on steps'!$B$1:$U$1,X$1)</f>
        <v>0</v>
      </c>
      <c r="Y100" s="140">
        <f ca="1">SUMIFS('recurring2_based on steps'!$B100:$AY100,'recurring2_based on steps'!$B$1:$AY$1,Y$1)+SUMIFS('changes2_based on steps'!$B100:$U100,'changes2_based on steps'!$B$1:$U$1,Y$1)</f>
        <v>0</v>
      </c>
      <c r="Z100" s="140">
        <f>SUMIFS('recurring2_based on steps'!$B100:$AY100,'recurring2_based on steps'!$B$1:$AY$1,Z$1)+SUMIFS('changes2_based on steps'!$B100:$U100,'changes2_based on steps'!$B$1:$U$1,Z$1)</f>
        <v>0</v>
      </c>
      <c r="AA100" s="140">
        <f ca="1">SUMIFS('recurring2_based on steps'!$B100:$AY100,'recurring2_based on steps'!$B$1:$AY$1,AA$1)+SUMIFS('changes2_based on steps'!$B100:$U100,'changes2_based on steps'!$B$1:$U$1,AA$1)</f>
        <v>0</v>
      </c>
      <c r="AB100" s="140">
        <f ca="1">SUMIFS('recurring2_based on steps'!$B100:$AY100,'recurring2_based on steps'!$B$1:$AY$1,AB$1)+SUMIFS('changes2_based on steps'!$B100:$U100,'changes2_based on steps'!$B$1:$U$1,AB$1)</f>
        <v>0</v>
      </c>
      <c r="AC100" s="140">
        <f ca="1">SUMIFS('recurring2_based on steps'!$B100:$AY100,'recurring2_based on steps'!$B$1:$AY$1,AC$1)+SUMIFS('changes2_based on steps'!$B100:$U100,'changes2_based on steps'!$B$1:$U$1,AC$1)</f>
        <v>0</v>
      </c>
      <c r="AD100" s="140">
        <f ca="1">SUMIFS('recurring2_based on steps'!$B100:$AY100,'recurring2_based on steps'!$B$1:$AY$1,AD$1)+SUMIFS('changes2_based on steps'!$B100:$U100,'changes2_based on steps'!$B$1:$U$1,AD$1)</f>
        <v>0</v>
      </c>
      <c r="AE100" s="140">
        <f>SUMIFS('recurring2_based on steps'!$B100:$AY100,'recurring2_based on steps'!$B$1:$AY$1,AE$1)+SUMIFS('changes2_based on steps'!$B100:$U100,'changes2_based on steps'!$B$1:$U$1,AE$1)</f>
        <v>0</v>
      </c>
      <c r="AF100" s="140"/>
      <c r="AG100" s="140"/>
      <c r="AH100" s="140"/>
      <c r="AI100" s="140"/>
      <c r="AJ100" s="140"/>
      <c r="AK100" s="140"/>
      <c r="AL100" s="140"/>
      <c r="AM100" s="140"/>
    </row>
    <row r="101" spans="1:39" x14ac:dyDescent="0.2">
      <c r="A101" s="29">
        <f t="shared" ca="1" si="1"/>
        <v>45841</v>
      </c>
      <c r="B101" s="140">
        <f ca="1">SUMIFS('recurring2_based on steps'!$B101:$AY101,'recurring2_based on steps'!$B$1:$AY$1,B$1)+SUMIFS('changes2_based on steps'!$B101:$U101,'changes2_based on steps'!$B$1:$U$1,B$1)</f>
        <v>0</v>
      </c>
      <c r="C101" s="140">
        <f>SUMIFS('recurring2_based on steps'!$B101:$AY101,'recurring2_based on steps'!$B$1:$AY$1,C$1)+SUMIFS('changes2_based on steps'!$B101:$U101,'changes2_based on steps'!$B$1:$U$1,C$1)</f>
        <v>0</v>
      </c>
      <c r="D101" s="140">
        <f>SUMIFS('recurring2_based on steps'!$B101:$AY101,'recurring2_based on steps'!$B$1:$AY$1,D$1)+SUMIFS('changes2_based on steps'!$B101:$U101,'changes2_based on steps'!$B$1:$U$1,D$1)</f>
        <v>0</v>
      </c>
      <c r="E101" s="140">
        <f>SUMIFS('recurring2_based on steps'!$B101:$AY101,'recurring2_based on steps'!$B$1:$AY$1,E$1)+SUMIFS('changes2_based on steps'!$B101:$U101,'changes2_based on steps'!$B$1:$U$1,E$1)</f>
        <v>0</v>
      </c>
      <c r="F101" s="140">
        <f>SUMIFS('recurring2_based on steps'!$B101:$AY101,'recurring2_based on steps'!$B$1:$AY$1,F$1)+SUMIFS('changes2_based on steps'!$B101:$U101,'changes2_based on steps'!$B$1:$U$1,F$1)</f>
        <v>0</v>
      </c>
      <c r="G101" s="140">
        <f>SUMIFS('recurring2_based on steps'!$B101:$AY101,'recurring2_based on steps'!$B$1:$AY$1,G$1)+SUMIFS('changes2_based on steps'!$B101:$U101,'changes2_based on steps'!$B$1:$U$1,G$1)</f>
        <v>0</v>
      </c>
      <c r="H101" s="140">
        <f>SUMIFS('recurring2_based on steps'!$B101:$AY101,'recurring2_based on steps'!$B$1:$AY$1,H$1)+SUMIFS('changes2_based on steps'!$B101:$U101,'changes2_based on steps'!$B$1:$U$1,H$1)</f>
        <v>0</v>
      </c>
      <c r="I101" s="140">
        <f>SUMIFS('recurring2_based on steps'!$B101:$AY101,'recurring2_based on steps'!$B$1:$AY$1,I$1)+SUMIFS('changes2_based on steps'!$B101:$U101,'changes2_based on steps'!$B$1:$U$1,I$1)</f>
        <v>0</v>
      </c>
      <c r="J101" s="140">
        <f ca="1">SUMIFS('recurring2_based on steps'!$B101:$AY101,'recurring2_based on steps'!$B$1:$AY$1,J$1)+SUMIFS('changes2_based on steps'!$B101:$U101,'changes2_based on steps'!$B$1:$U$1,J$1)</f>
        <v>0</v>
      </c>
      <c r="K101" s="140">
        <f>SUMIFS('recurring2_based on steps'!$B101:$AY101,'recurring2_based on steps'!$B$1:$AY$1,K$1)+SUMIFS('changes2_based on steps'!$B101:$U101,'changes2_based on steps'!$B$1:$U$1,K$1)</f>
        <v>0</v>
      </c>
      <c r="L101" s="140">
        <f>SUMIFS('recurring2_based on steps'!$B101:$AY101,'recurring2_based on steps'!$B$1:$AY$1,L$1)+SUMIFS('changes2_based on steps'!$B101:$U101,'changes2_based on steps'!$B$1:$U$1,L$1)</f>
        <v>0</v>
      </c>
      <c r="M101" s="140">
        <f>SUMIFS('recurring2_based on steps'!$B101:$AY101,'recurring2_based on steps'!$B$1:$AY$1,M$1)+SUMIFS('changes2_based on steps'!$B101:$U101,'changes2_based on steps'!$B$1:$U$1,M$1)</f>
        <v>0</v>
      </c>
      <c r="N101" s="140">
        <f ca="1">SUMIFS('recurring2_based on steps'!$B101:$AY101,'recurring2_based on steps'!$B$1:$AY$1,N$1)+SUMIFS('changes2_based on steps'!$B101:$U101,'changes2_based on steps'!$B$1:$U$1,N$1)</f>
        <v>0</v>
      </c>
      <c r="O101" s="140">
        <f>SUMIFS('recurring2_based on steps'!$B101:$AY101,'recurring2_based on steps'!$B$1:$AY$1,O$1)+SUMIFS('changes2_based on steps'!$B101:$U101,'changes2_based on steps'!$B$1:$U$1,O$1)</f>
        <v>0</v>
      </c>
      <c r="P101" s="140">
        <f ca="1">SUMIFS('recurring2_based on steps'!$B101:$AY101,'recurring2_based on steps'!$B$1:$AY$1,P$1)+SUMIFS('changes2_based on steps'!$B101:$U101,'changes2_based on steps'!$B$1:$U$1,P$1)</f>
        <v>0</v>
      </c>
      <c r="Q101" s="140">
        <f ca="1">SUMIFS('recurring2_based on steps'!$B101:$AY101,'recurring2_based on steps'!$B$1:$AY$1,Q$1)+SUMIFS('changes2_based on steps'!$B101:$U101,'changes2_based on steps'!$B$1:$U$1,Q$1)</f>
        <v>5.5401662049861494E-2</v>
      </c>
      <c r="R101" s="140">
        <f ca="1">SUMIFS('recurring2_based on steps'!$B101:$AY101,'recurring2_based on steps'!$B$1:$AY$1,R$1)+SUMIFS('changes2_based on steps'!$B101:$U101,'changes2_based on steps'!$B$1:$U$1,R$1)</f>
        <v>0</v>
      </c>
      <c r="S101" s="140">
        <f>SUMIFS('recurring2_based on steps'!$B101:$AY101,'recurring2_based on steps'!$B$1:$AY$1,S$1)+SUMIFS('changes2_based on steps'!$B101:$U101,'changes2_based on steps'!$B$1:$U$1,S$1)</f>
        <v>0</v>
      </c>
      <c r="T101" s="140">
        <f ca="1">SUMIFS('recurring2_based on steps'!$B101:$AY101,'recurring2_based on steps'!$B$1:$AY$1,T$1)+SUMIFS('changes2_based on steps'!$B101:$U101,'changes2_based on steps'!$B$1:$U$1,T$1)</f>
        <v>0</v>
      </c>
      <c r="U101" s="140">
        <f ca="1">SUMIFS('recurring2_based on steps'!$B101:$AY101,'recurring2_based on steps'!$B$1:$AY$1,U$1)+SUMIFS('changes2_based on steps'!$B101:$U101,'changes2_based on steps'!$B$1:$U$1,U$1)</f>
        <v>0</v>
      </c>
      <c r="V101" s="140">
        <f>SUMIFS('recurring2_based on steps'!$B101:$AY101,'recurring2_based on steps'!$B$1:$AY$1,V$1)+SUMIFS('changes2_based on steps'!$B101:$U101,'changes2_based on steps'!$B$1:$U$1,V$1)</f>
        <v>0</v>
      </c>
      <c r="W101" s="140">
        <f>SUMIFS('recurring2_based on steps'!$B101:$AY101,'recurring2_based on steps'!$B$1:$AY$1,W$1)+SUMIFS('changes2_based on steps'!$B101:$U101,'changes2_based on steps'!$B$1:$U$1,W$1)</f>
        <v>0</v>
      </c>
      <c r="X101" s="140">
        <f ca="1">SUMIFS('recurring2_based on steps'!$B101:$AY101,'recurring2_based on steps'!$B$1:$AY$1,X$1)+SUMIFS('changes2_based on steps'!$B101:$U101,'changes2_based on steps'!$B$1:$U$1,X$1)</f>
        <v>0</v>
      </c>
      <c r="Y101" s="140">
        <f ca="1">SUMIFS('recurring2_based on steps'!$B101:$AY101,'recurring2_based on steps'!$B$1:$AY$1,Y$1)+SUMIFS('changes2_based on steps'!$B101:$U101,'changes2_based on steps'!$B$1:$U$1,Y$1)</f>
        <v>0</v>
      </c>
      <c r="Z101" s="140">
        <f>SUMIFS('recurring2_based on steps'!$B101:$AY101,'recurring2_based on steps'!$B$1:$AY$1,Z$1)+SUMIFS('changes2_based on steps'!$B101:$U101,'changes2_based on steps'!$B$1:$U$1,Z$1)</f>
        <v>0</v>
      </c>
      <c r="AA101" s="140">
        <f ca="1">SUMIFS('recurring2_based on steps'!$B101:$AY101,'recurring2_based on steps'!$B$1:$AY$1,AA$1)+SUMIFS('changes2_based on steps'!$B101:$U101,'changes2_based on steps'!$B$1:$U$1,AA$1)</f>
        <v>0</v>
      </c>
      <c r="AB101" s="140">
        <f ca="1">SUMIFS('recurring2_based on steps'!$B101:$AY101,'recurring2_based on steps'!$B$1:$AY$1,AB$1)+SUMIFS('changes2_based on steps'!$B101:$U101,'changes2_based on steps'!$B$1:$U$1,AB$1)</f>
        <v>0</v>
      </c>
      <c r="AC101" s="140">
        <f ca="1">SUMIFS('recurring2_based on steps'!$B101:$AY101,'recurring2_based on steps'!$B$1:$AY$1,AC$1)+SUMIFS('changes2_based on steps'!$B101:$U101,'changes2_based on steps'!$B$1:$U$1,AC$1)</f>
        <v>0</v>
      </c>
      <c r="AD101" s="140">
        <f ca="1">SUMIFS('recurring2_based on steps'!$B101:$AY101,'recurring2_based on steps'!$B$1:$AY$1,AD$1)+SUMIFS('changes2_based on steps'!$B101:$U101,'changes2_based on steps'!$B$1:$U$1,AD$1)</f>
        <v>0</v>
      </c>
      <c r="AE101" s="140">
        <f>SUMIFS('recurring2_based on steps'!$B101:$AY101,'recurring2_based on steps'!$B$1:$AY$1,AE$1)+SUMIFS('changes2_based on steps'!$B101:$U101,'changes2_based on steps'!$B$1:$U$1,AE$1)</f>
        <v>0</v>
      </c>
      <c r="AF101" s="140"/>
      <c r="AG101" s="140"/>
      <c r="AH101" s="140"/>
      <c r="AI101" s="140"/>
      <c r="AJ101" s="140"/>
      <c r="AK101" s="140"/>
      <c r="AL101" s="140"/>
      <c r="AM101" s="140"/>
    </row>
    <row r="102" spans="1:39" x14ac:dyDescent="0.2">
      <c r="A102" s="29">
        <f t="shared" ca="1" si="1"/>
        <v>45842</v>
      </c>
      <c r="B102" s="140">
        <f ca="1">SUMIFS('recurring2_based on steps'!$B102:$AY102,'recurring2_based on steps'!$B$1:$AY$1,B$1)+SUMIFS('changes2_based on steps'!$B102:$U102,'changes2_based on steps'!$B$1:$U$1,B$1)</f>
        <v>0</v>
      </c>
      <c r="C102" s="140">
        <f>SUMIFS('recurring2_based on steps'!$B102:$AY102,'recurring2_based on steps'!$B$1:$AY$1,C$1)+SUMIFS('changes2_based on steps'!$B102:$U102,'changes2_based on steps'!$B$1:$U$1,C$1)</f>
        <v>0</v>
      </c>
      <c r="D102" s="140">
        <f>SUMIFS('recurring2_based on steps'!$B102:$AY102,'recurring2_based on steps'!$B$1:$AY$1,D$1)+SUMIFS('changes2_based on steps'!$B102:$U102,'changes2_based on steps'!$B$1:$U$1,D$1)</f>
        <v>0</v>
      </c>
      <c r="E102" s="140">
        <f>SUMIFS('recurring2_based on steps'!$B102:$AY102,'recurring2_based on steps'!$B$1:$AY$1,E$1)+SUMIFS('changes2_based on steps'!$B102:$U102,'changes2_based on steps'!$B$1:$U$1,E$1)</f>
        <v>0</v>
      </c>
      <c r="F102" s="140">
        <f>SUMIFS('recurring2_based on steps'!$B102:$AY102,'recurring2_based on steps'!$B$1:$AY$1,F$1)+SUMIFS('changes2_based on steps'!$B102:$U102,'changes2_based on steps'!$B$1:$U$1,F$1)</f>
        <v>0</v>
      </c>
      <c r="G102" s="140">
        <f>SUMIFS('recurring2_based on steps'!$B102:$AY102,'recurring2_based on steps'!$B$1:$AY$1,G$1)+SUMIFS('changes2_based on steps'!$B102:$U102,'changes2_based on steps'!$B$1:$U$1,G$1)</f>
        <v>0</v>
      </c>
      <c r="H102" s="140">
        <f>SUMIFS('recurring2_based on steps'!$B102:$AY102,'recurring2_based on steps'!$B$1:$AY$1,H$1)+SUMIFS('changes2_based on steps'!$B102:$U102,'changes2_based on steps'!$B$1:$U$1,H$1)</f>
        <v>0</v>
      </c>
      <c r="I102" s="140">
        <f>SUMIFS('recurring2_based on steps'!$B102:$AY102,'recurring2_based on steps'!$B$1:$AY$1,I$1)+SUMIFS('changes2_based on steps'!$B102:$U102,'changes2_based on steps'!$B$1:$U$1,I$1)</f>
        <v>0</v>
      </c>
      <c r="J102" s="140">
        <f ca="1">SUMIFS('recurring2_based on steps'!$B102:$AY102,'recurring2_based on steps'!$B$1:$AY$1,J$1)+SUMIFS('changes2_based on steps'!$B102:$U102,'changes2_based on steps'!$B$1:$U$1,J$1)</f>
        <v>0</v>
      </c>
      <c r="K102" s="140">
        <f>SUMIFS('recurring2_based on steps'!$B102:$AY102,'recurring2_based on steps'!$B$1:$AY$1,K$1)+SUMIFS('changes2_based on steps'!$B102:$U102,'changes2_based on steps'!$B$1:$U$1,K$1)</f>
        <v>0</v>
      </c>
      <c r="L102" s="140">
        <f>SUMIFS('recurring2_based on steps'!$B102:$AY102,'recurring2_based on steps'!$B$1:$AY$1,L$1)+SUMIFS('changes2_based on steps'!$B102:$U102,'changes2_based on steps'!$B$1:$U$1,L$1)</f>
        <v>0</v>
      </c>
      <c r="M102" s="140">
        <f>SUMIFS('recurring2_based on steps'!$B102:$AY102,'recurring2_based on steps'!$B$1:$AY$1,M$1)+SUMIFS('changes2_based on steps'!$B102:$U102,'changes2_based on steps'!$B$1:$U$1,M$1)</f>
        <v>0</v>
      </c>
      <c r="N102" s="140">
        <f ca="1">SUMIFS('recurring2_based on steps'!$B102:$AY102,'recurring2_based on steps'!$B$1:$AY$1,N$1)+SUMIFS('changes2_based on steps'!$B102:$U102,'changes2_based on steps'!$B$1:$U$1,N$1)</f>
        <v>0</v>
      </c>
      <c r="O102" s="140">
        <f>SUMIFS('recurring2_based on steps'!$B102:$AY102,'recurring2_based on steps'!$B$1:$AY$1,O$1)+SUMIFS('changes2_based on steps'!$B102:$U102,'changes2_based on steps'!$B$1:$U$1,O$1)</f>
        <v>0</v>
      </c>
      <c r="P102" s="140">
        <f ca="1">SUMIFS('recurring2_based on steps'!$B102:$AY102,'recurring2_based on steps'!$B$1:$AY$1,P$1)+SUMIFS('changes2_based on steps'!$B102:$U102,'changes2_based on steps'!$B$1:$U$1,P$1)</f>
        <v>0</v>
      </c>
      <c r="Q102" s="140">
        <f ca="1">SUMIFS('recurring2_based on steps'!$B102:$AY102,'recurring2_based on steps'!$B$1:$AY$1,Q$1)+SUMIFS('changes2_based on steps'!$B102:$U102,'changes2_based on steps'!$B$1:$U$1,Q$1)</f>
        <v>5.5401662049861494E-2</v>
      </c>
      <c r="R102" s="140">
        <f ca="1">SUMIFS('recurring2_based on steps'!$B102:$AY102,'recurring2_based on steps'!$B$1:$AY$1,R$1)+SUMIFS('changes2_based on steps'!$B102:$U102,'changes2_based on steps'!$B$1:$U$1,R$1)</f>
        <v>15</v>
      </c>
      <c r="S102" s="140">
        <f>SUMIFS('recurring2_based on steps'!$B102:$AY102,'recurring2_based on steps'!$B$1:$AY$1,S$1)+SUMIFS('changes2_based on steps'!$B102:$U102,'changes2_based on steps'!$B$1:$U$1,S$1)</f>
        <v>0</v>
      </c>
      <c r="T102" s="140">
        <f ca="1">SUMIFS('recurring2_based on steps'!$B102:$AY102,'recurring2_based on steps'!$B$1:$AY$1,T$1)+SUMIFS('changes2_based on steps'!$B102:$U102,'changes2_based on steps'!$B$1:$U$1,T$1)</f>
        <v>0</v>
      </c>
      <c r="U102" s="140">
        <f ca="1">SUMIFS('recurring2_based on steps'!$B102:$AY102,'recurring2_based on steps'!$B$1:$AY$1,U$1)+SUMIFS('changes2_based on steps'!$B102:$U102,'changes2_based on steps'!$B$1:$U$1,U$1)</f>
        <v>0</v>
      </c>
      <c r="V102" s="140">
        <f>SUMIFS('recurring2_based on steps'!$B102:$AY102,'recurring2_based on steps'!$B$1:$AY$1,V$1)+SUMIFS('changes2_based on steps'!$B102:$U102,'changes2_based on steps'!$B$1:$U$1,V$1)</f>
        <v>0</v>
      </c>
      <c r="W102" s="140">
        <f>SUMIFS('recurring2_based on steps'!$B102:$AY102,'recurring2_based on steps'!$B$1:$AY$1,W$1)+SUMIFS('changes2_based on steps'!$B102:$U102,'changes2_based on steps'!$B$1:$U$1,W$1)</f>
        <v>0</v>
      </c>
      <c r="X102" s="140">
        <f ca="1">SUMIFS('recurring2_based on steps'!$B102:$AY102,'recurring2_based on steps'!$B$1:$AY$1,X$1)+SUMIFS('changes2_based on steps'!$B102:$U102,'changes2_based on steps'!$B$1:$U$1,X$1)</f>
        <v>0</v>
      </c>
      <c r="Y102" s="140">
        <f ca="1">SUMIFS('recurring2_based on steps'!$B102:$AY102,'recurring2_based on steps'!$B$1:$AY$1,Y$1)+SUMIFS('changes2_based on steps'!$B102:$U102,'changes2_based on steps'!$B$1:$U$1,Y$1)</f>
        <v>0</v>
      </c>
      <c r="Z102" s="140">
        <f>SUMIFS('recurring2_based on steps'!$B102:$AY102,'recurring2_based on steps'!$B$1:$AY$1,Z$1)+SUMIFS('changes2_based on steps'!$B102:$U102,'changes2_based on steps'!$B$1:$U$1,Z$1)</f>
        <v>0</v>
      </c>
      <c r="AA102" s="140">
        <f ca="1">SUMIFS('recurring2_based on steps'!$B102:$AY102,'recurring2_based on steps'!$B$1:$AY$1,AA$1)+SUMIFS('changes2_based on steps'!$B102:$U102,'changes2_based on steps'!$B$1:$U$1,AA$1)</f>
        <v>0</v>
      </c>
      <c r="AB102" s="140">
        <f ca="1">SUMIFS('recurring2_based on steps'!$B102:$AY102,'recurring2_based on steps'!$B$1:$AY$1,AB$1)+SUMIFS('changes2_based on steps'!$B102:$U102,'changes2_based on steps'!$B$1:$U$1,AB$1)</f>
        <v>0</v>
      </c>
      <c r="AC102" s="140">
        <f ca="1">SUMIFS('recurring2_based on steps'!$B102:$AY102,'recurring2_based on steps'!$B$1:$AY$1,AC$1)+SUMIFS('changes2_based on steps'!$B102:$U102,'changes2_based on steps'!$B$1:$U$1,AC$1)</f>
        <v>0</v>
      </c>
      <c r="AD102" s="140">
        <f ca="1">SUMIFS('recurring2_based on steps'!$B102:$AY102,'recurring2_based on steps'!$B$1:$AY$1,AD$1)+SUMIFS('changes2_based on steps'!$B102:$U102,'changes2_based on steps'!$B$1:$U$1,AD$1)</f>
        <v>0</v>
      </c>
      <c r="AE102" s="140">
        <f>SUMIFS('recurring2_based on steps'!$B102:$AY102,'recurring2_based on steps'!$B$1:$AY$1,AE$1)+SUMIFS('changes2_based on steps'!$B102:$U102,'changes2_based on steps'!$B$1:$U$1,AE$1)</f>
        <v>0</v>
      </c>
      <c r="AF102" s="140"/>
      <c r="AG102" s="140"/>
      <c r="AH102" s="140"/>
      <c r="AI102" s="140"/>
      <c r="AJ102" s="140"/>
      <c r="AK102" s="140"/>
      <c r="AL102" s="140"/>
      <c r="AM102" s="140"/>
    </row>
    <row r="103" spans="1:39" x14ac:dyDescent="0.2">
      <c r="A103" s="29">
        <f t="shared" ca="1" si="1"/>
        <v>45843</v>
      </c>
      <c r="B103" s="140">
        <f ca="1">SUMIFS('recurring2_based on steps'!$B103:$AY103,'recurring2_based on steps'!$B$1:$AY$1,B$1)+SUMIFS('changes2_based on steps'!$B103:$U103,'changes2_based on steps'!$B$1:$U$1,B$1)</f>
        <v>0</v>
      </c>
      <c r="C103" s="140">
        <f>SUMIFS('recurring2_based on steps'!$B103:$AY103,'recurring2_based on steps'!$B$1:$AY$1,C$1)+SUMIFS('changes2_based on steps'!$B103:$U103,'changes2_based on steps'!$B$1:$U$1,C$1)</f>
        <v>0</v>
      </c>
      <c r="D103" s="140">
        <f>SUMIFS('recurring2_based on steps'!$B103:$AY103,'recurring2_based on steps'!$B$1:$AY$1,D$1)+SUMIFS('changes2_based on steps'!$B103:$U103,'changes2_based on steps'!$B$1:$U$1,D$1)</f>
        <v>0</v>
      </c>
      <c r="E103" s="140">
        <f>SUMIFS('recurring2_based on steps'!$B103:$AY103,'recurring2_based on steps'!$B$1:$AY$1,E$1)+SUMIFS('changes2_based on steps'!$B103:$U103,'changes2_based on steps'!$B$1:$U$1,E$1)</f>
        <v>0</v>
      </c>
      <c r="F103" s="140">
        <f>SUMIFS('recurring2_based on steps'!$B103:$AY103,'recurring2_based on steps'!$B$1:$AY$1,F$1)+SUMIFS('changes2_based on steps'!$B103:$U103,'changes2_based on steps'!$B$1:$U$1,F$1)</f>
        <v>0</v>
      </c>
      <c r="G103" s="140">
        <f>SUMIFS('recurring2_based on steps'!$B103:$AY103,'recurring2_based on steps'!$B$1:$AY$1,G$1)+SUMIFS('changes2_based on steps'!$B103:$U103,'changes2_based on steps'!$B$1:$U$1,G$1)</f>
        <v>0</v>
      </c>
      <c r="H103" s="140">
        <f>SUMIFS('recurring2_based on steps'!$B103:$AY103,'recurring2_based on steps'!$B$1:$AY$1,H$1)+SUMIFS('changes2_based on steps'!$B103:$U103,'changes2_based on steps'!$B$1:$U$1,H$1)</f>
        <v>0</v>
      </c>
      <c r="I103" s="140">
        <f>SUMIFS('recurring2_based on steps'!$B103:$AY103,'recurring2_based on steps'!$B$1:$AY$1,I$1)+SUMIFS('changes2_based on steps'!$B103:$U103,'changes2_based on steps'!$B$1:$U$1,I$1)</f>
        <v>0</v>
      </c>
      <c r="J103" s="140">
        <f ca="1">SUMIFS('recurring2_based on steps'!$B103:$AY103,'recurring2_based on steps'!$B$1:$AY$1,J$1)+SUMIFS('changes2_based on steps'!$B103:$U103,'changes2_based on steps'!$B$1:$U$1,J$1)</f>
        <v>0</v>
      </c>
      <c r="K103" s="140">
        <f>SUMIFS('recurring2_based on steps'!$B103:$AY103,'recurring2_based on steps'!$B$1:$AY$1,K$1)+SUMIFS('changes2_based on steps'!$B103:$U103,'changes2_based on steps'!$B$1:$U$1,K$1)</f>
        <v>0</v>
      </c>
      <c r="L103" s="140">
        <f>SUMIFS('recurring2_based on steps'!$B103:$AY103,'recurring2_based on steps'!$B$1:$AY$1,L$1)+SUMIFS('changes2_based on steps'!$B103:$U103,'changes2_based on steps'!$B$1:$U$1,L$1)</f>
        <v>0</v>
      </c>
      <c r="M103" s="140">
        <f>SUMIFS('recurring2_based on steps'!$B103:$AY103,'recurring2_based on steps'!$B$1:$AY$1,M$1)+SUMIFS('changes2_based on steps'!$B103:$U103,'changes2_based on steps'!$B$1:$U$1,M$1)</f>
        <v>0</v>
      </c>
      <c r="N103" s="140">
        <f ca="1">SUMIFS('recurring2_based on steps'!$B103:$AY103,'recurring2_based on steps'!$B$1:$AY$1,N$1)+SUMIFS('changes2_based on steps'!$B103:$U103,'changes2_based on steps'!$B$1:$U$1,N$1)</f>
        <v>0</v>
      </c>
      <c r="O103" s="140">
        <f>SUMIFS('recurring2_based on steps'!$B103:$AY103,'recurring2_based on steps'!$B$1:$AY$1,O$1)+SUMIFS('changes2_based on steps'!$B103:$U103,'changes2_based on steps'!$B$1:$U$1,O$1)</f>
        <v>0</v>
      </c>
      <c r="P103" s="140">
        <f ca="1">SUMIFS('recurring2_based on steps'!$B103:$AY103,'recurring2_based on steps'!$B$1:$AY$1,P$1)+SUMIFS('changes2_based on steps'!$B103:$U103,'changes2_based on steps'!$B$1:$U$1,P$1)</f>
        <v>0</v>
      </c>
      <c r="Q103" s="140">
        <f ca="1">SUMIFS('recurring2_based on steps'!$B103:$AY103,'recurring2_based on steps'!$B$1:$AY$1,Q$1)+SUMIFS('changes2_based on steps'!$B103:$U103,'changes2_based on steps'!$B$1:$U$1,Q$1)</f>
        <v>100.05540166204986</v>
      </c>
      <c r="R103" s="140">
        <f ca="1">SUMIFS('recurring2_based on steps'!$B103:$AY103,'recurring2_based on steps'!$B$1:$AY$1,R$1)+SUMIFS('changes2_based on steps'!$B103:$U103,'changes2_based on steps'!$B$1:$U$1,R$1)</f>
        <v>0</v>
      </c>
      <c r="S103" s="140">
        <f>SUMIFS('recurring2_based on steps'!$B103:$AY103,'recurring2_based on steps'!$B$1:$AY$1,S$1)+SUMIFS('changes2_based on steps'!$B103:$U103,'changes2_based on steps'!$B$1:$U$1,S$1)</f>
        <v>0</v>
      </c>
      <c r="T103" s="140">
        <f ca="1">SUMIFS('recurring2_based on steps'!$B103:$AY103,'recurring2_based on steps'!$B$1:$AY$1,T$1)+SUMIFS('changes2_based on steps'!$B103:$U103,'changes2_based on steps'!$B$1:$U$1,T$1)</f>
        <v>0</v>
      </c>
      <c r="U103" s="140">
        <f ca="1">SUMIFS('recurring2_based on steps'!$B103:$AY103,'recurring2_based on steps'!$B$1:$AY$1,U$1)+SUMIFS('changes2_based on steps'!$B103:$U103,'changes2_based on steps'!$B$1:$U$1,U$1)</f>
        <v>0</v>
      </c>
      <c r="V103" s="140">
        <f>SUMIFS('recurring2_based on steps'!$B103:$AY103,'recurring2_based on steps'!$B$1:$AY$1,V$1)+SUMIFS('changes2_based on steps'!$B103:$U103,'changes2_based on steps'!$B$1:$U$1,V$1)</f>
        <v>0</v>
      </c>
      <c r="W103" s="140">
        <f>SUMIFS('recurring2_based on steps'!$B103:$AY103,'recurring2_based on steps'!$B$1:$AY$1,W$1)+SUMIFS('changes2_based on steps'!$B103:$U103,'changes2_based on steps'!$B$1:$U$1,W$1)</f>
        <v>0</v>
      </c>
      <c r="X103" s="140">
        <f ca="1">SUMIFS('recurring2_based on steps'!$B103:$AY103,'recurring2_based on steps'!$B$1:$AY$1,X$1)+SUMIFS('changes2_based on steps'!$B103:$U103,'changes2_based on steps'!$B$1:$U$1,X$1)</f>
        <v>0</v>
      </c>
      <c r="Y103" s="140">
        <f ca="1">SUMIFS('recurring2_based on steps'!$B103:$AY103,'recurring2_based on steps'!$B$1:$AY$1,Y$1)+SUMIFS('changes2_based on steps'!$B103:$U103,'changes2_based on steps'!$B$1:$U$1,Y$1)</f>
        <v>0</v>
      </c>
      <c r="Z103" s="140">
        <f>SUMIFS('recurring2_based on steps'!$B103:$AY103,'recurring2_based on steps'!$B$1:$AY$1,Z$1)+SUMIFS('changes2_based on steps'!$B103:$U103,'changes2_based on steps'!$B$1:$U$1,Z$1)</f>
        <v>0</v>
      </c>
      <c r="AA103" s="140">
        <f ca="1">SUMIFS('recurring2_based on steps'!$B103:$AY103,'recurring2_based on steps'!$B$1:$AY$1,AA$1)+SUMIFS('changes2_based on steps'!$B103:$U103,'changes2_based on steps'!$B$1:$U$1,AA$1)</f>
        <v>0</v>
      </c>
      <c r="AB103" s="140">
        <f ca="1">SUMIFS('recurring2_based on steps'!$B103:$AY103,'recurring2_based on steps'!$B$1:$AY$1,AB$1)+SUMIFS('changes2_based on steps'!$B103:$U103,'changes2_based on steps'!$B$1:$U$1,AB$1)</f>
        <v>100</v>
      </c>
      <c r="AC103" s="140">
        <f ca="1">SUMIFS('recurring2_based on steps'!$B103:$AY103,'recurring2_based on steps'!$B$1:$AY$1,AC$1)+SUMIFS('changes2_based on steps'!$B103:$U103,'changes2_based on steps'!$B$1:$U$1,AC$1)</f>
        <v>0</v>
      </c>
      <c r="AD103" s="140">
        <f ca="1">SUMIFS('recurring2_based on steps'!$B103:$AY103,'recurring2_based on steps'!$B$1:$AY$1,AD$1)+SUMIFS('changes2_based on steps'!$B103:$U103,'changes2_based on steps'!$B$1:$U$1,AD$1)</f>
        <v>0</v>
      </c>
      <c r="AE103" s="140">
        <f>SUMIFS('recurring2_based on steps'!$B103:$AY103,'recurring2_based on steps'!$B$1:$AY$1,AE$1)+SUMIFS('changes2_based on steps'!$B103:$U103,'changes2_based on steps'!$B$1:$U$1,AE$1)</f>
        <v>0</v>
      </c>
      <c r="AF103" s="140"/>
      <c r="AG103" s="140"/>
      <c r="AH103" s="140"/>
      <c r="AI103" s="140"/>
      <c r="AJ103" s="140"/>
      <c r="AK103" s="140"/>
      <c r="AL103" s="140"/>
      <c r="AM103" s="140"/>
    </row>
    <row r="104" spans="1:39" x14ac:dyDescent="0.2">
      <c r="A104" s="29">
        <f t="shared" ca="1" si="1"/>
        <v>45844</v>
      </c>
      <c r="B104" s="140">
        <f ca="1">SUMIFS('recurring2_based on steps'!$B104:$AY104,'recurring2_based on steps'!$B$1:$AY$1,B$1)+SUMIFS('changes2_based on steps'!$B104:$U104,'changes2_based on steps'!$B$1:$U$1,B$1)</f>
        <v>0</v>
      </c>
      <c r="C104" s="140">
        <f>SUMIFS('recurring2_based on steps'!$B104:$AY104,'recurring2_based on steps'!$B$1:$AY$1,C$1)+SUMIFS('changes2_based on steps'!$B104:$U104,'changes2_based on steps'!$B$1:$U$1,C$1)</f>
        <v>0</v>
      </c>
      <c r="D104" s="140">
        <f>SUMIFS('recurring2_based on steps'!$B104:$AY104,'recurring2_based on steps'!$B$1:$AY$1,D$1)+SUMIFS('changes2_based on steps'!$B104:$U104,'changes2_based on steps'!$B$1:$U$1,D$1)</f>
        <v>0</v>
      </c>
      <c r="E104" s="140">
        <f>SUMIFS('recurring2_based on steps'!$B104:$AY104,'recurring2_based on steps'!$B$1:$AY$1,E$1)+SUMIFS('changes2_based on steps'!$B104:$U104,'changes2_based on steps'!$B$1:$U$1,E$1)</f>
        <v>0</v>
      </c>
      <c r="F104" s="140">
        <f>SUMIFS('recurring2_based on steps'!$B104:$AY104,'recurring2_based on steps'!$B$1:$AY$1,F$1)+SUMIFS('changes2_based on steps'!$B104:$U104,'changes2_based on steps'!$B$1:$U$1,F$1)</f>
        <v>0</v>
      </c>
      <c r="G104" s="140">
        <f>SUMIFS('recurring2_based on steps'!$B104:$AY104,'recurring2_based on steps'!$B$1:$AY$1,G$1)+SUMIFS('changes2_based on steps'!$B104:$U104,'changes2_based on steps'!$B$1:$U$1,G$1)</f>
        <v>0</v>
      </c>
      <c r="H104" s="140">
        <f>SUMIFS('recurring2_based on steps'!$B104:$AY104,'recurring2_based on steps'!$B$1:$AY$1,H$1)+SUMIFS('changes2_based on steps'!$B104:$U104,'changes2_based on steps'!$B$1:$U$1,H$1)</f>
        <v>0</v>
      </c>
      <c r="I104" s="140">
        <f>SUMIFS('recurring2_based on steps'!$B104:$AY104,'recurring2_based on steps'!$B$1:$AY$1,I$1)+SUMIFS('changes2_based on steps'!$B104:$U104,'changes2_based on steps'!$B$1:$U$1,I$1)</f>
        <v>0</v>
      </c>
      <c r="J104" s="140">
        <f ca="1">SUMIFS('recurring2_based on steps'!$B104:$AY104,'recurring2_based on steps'!$B$1:$AY$1,J$1)+SUMIFS('changes2_based on steps'!$B104:$U104,'changes2_based on steps'!$B$1:$U$1,J$1)</f>
        <v>0</v>
      </c>
      <c r="K104" s="140">
        <f>SUMIFS('recurring2_based on steps'!$B104:$AY104,'recurring2_based on steps'!$B$1:$AY$1,K$1)+SUMIFS('changes2_based on steps'!$B104:$U104,'changes2_based on steps'!$B$1:$U$1,K$1)</f>
        <v>0</v>
      </c>
      <c r="L104" s="140">
        <f>SUMIFS('recurring2_based on steps'!$B104:$AY104,'recurring2_based on steps'!$B$1:$AY$1,L$1)+SUMIFS('changes2_based on steps'!$B104:$U104,'changes2_based on steps'!$B$1:$U$1,L$1)</f>
        <v>0</v>
      </c>
      <c r="M104" s="140">
        <f>SUMIFS('recurring2_based on steps'!$B104:$AY104,'recurring2_based on steps'!$B$1:$AY$1,M$1)+SUMIFS('changes2_based on steps'!$B104:$U104,'changes2_based on steps'!$B$1:$U$1,M$1)</f>
        <v>0</v>
      </c>
      <c r="N104" s="140">
        <f ca="1">SUMIFS('recurring2_based on steps'!$B104:$AY104,'recurring2_based on steps'!$B$1:$AY$1,N$1)+SUMIFS('changes2_based on steps'!$B104:$U104,'changes2_based on steps'!$B$1:$U$1,N$1)</f>
        <v>0</v>
      </c>
      <c r="O104" s="140">
        <f>SUMIFS('recurring2_based on steps'!$B104:$AY104,'recurring2_based on steps'!$B$1:$AY$1,O$1)+SUMIFS('changes2_based on steps'!$B104:$U104,'changes2_based on steps'!$B$1:$U$1,O$1)</f>
        <v>0</v>
      </c>
      <c r="P104" s="140">
        <f ca="1">SUMIFS('recurring2_based on steps'!$B104:$AY104,'recurring2_based on steps'!$B$1:$AY$1,P$1)+SUMIFS('changes2_based on steps'!$B104:$U104,'changes2_based on steps'!$B$1:$U$1,P$1)</f>
        <v>0</v>
      </c>
      <c r="Q104" s="140">
        <f ca="1">SUMIFS('recurring2_based on steps'!$B104:$AY104,'recurring2_based on steps'!$B$1:$AY$1,Q$1)+SUMIFS('changes2_based on steps'!$B104:$U104,'changes2_based on steps'!$B$1:$U$1,Q$1)</f>
        <v>100.05540166204986</v>
      </c>
      <c r="R104" s="140">
        <f ca="1">SUMIFS('recurring2_based on steps'!$B104:$AY104,'recurring2_based on steps'!$B$1:$AY$1,R$1)+SUMIFS('changes2_based on steps'!$B104:$U104,'changes2_based on steps'!$B$1:$U$1,R$1)</f>
        <v>0</v>
      </c>
      <c r="S104" s="140">
        <f>SUMIFS('recurring2_based on steps'!$B104:$AY104,'recurring2_based on steps'!$B$1:$AY$1,S$1)+SUMIFS('changes2_based on steps'!$B104:$U104,'changes2_based on steps'!$B$1:$U$1,S$1)</f>
        <v>0</v>
      </c>
      <c r="T104" s="140">
        <f ca="1">SUMIFS('recurring2_based on steps'!$B104:$AY104,'recurring2_based on steps'!$B$1:$AY$1,T$1)+SUMIFS('changes2_based on steps'!$B104:$U104,'changes2_based on steps'!$B$1:$U$1,T$1)</f>
        <v>0</v>
      </c>
      <c r="U104" s="140">
        <f ca="1">SUMIFS('recurring2_based on steps'!$B104:$AY104,'recurring2_based on steps'!$B$1:$AY$1,U$1)+SUMIFS('changes2_based on steps'!$B104:$U104,'changes2_based on steps'!$B$1:$U$1,U$1)</f>
        <v>0</v>
      </c>
      <c r="V104" s="140">
        <f>SUMIFS('recurring2_based on steps'!$B104:$AY104,'recurring2_based on steps'!$B$1:$AY$1,V$1)+SUMIFS('changes2_based on steps'!$B104:$U104,'changes2_based on steps'!$B$1:$U$1,V$1)</f>
        <v>0</v>
      </c>
      <c r="W104" s="140">
        <f>SUMIFS('recurring2_based on steps'!$B104:$AY104,'recurring2_based on steps'!$B$1:$AY$1,W$1)+SUMIFS('changes2_based on steps'!$B104:$U104,'changes2_based on steps'!$B$1:$U$1,W$1)</f>
        <v>0</v>
      </c>
      <c r="X104" s="140">
        <f ca="1">SUMIFS('recurring2_based on steps'!$B104:$AY104,'recurring2_based on steps'!$B$1:$AY$1,X$1)+SUMIFS('changes2_based on steps'!$B104:$U104,'changes2_based on steps'!$B$1:$U$1,X$1)</f>
        <v>0</v>
      </c>
      <c r="Y104" s="140">
        <f ca="1">SUMIFS('recurring2_based on steps'!$B104:$AY104,'recurring2_based on steps'!$B$1:$AY$1,Y$1)+SUMIFS('changes2_based on steps'!$B104:$U104,'changes2_based on steps'!$B$1:$U$1,Y$1)</f>
        <v>50</v>
      </c>
      <c r="Z104" s="140">
        <f>SUMIFS('recurring2_based on steps'!$B104:$AY104,'recurring2_based on steps'!$B$1:$AY$1,Z$1)+SUMIFS('changes2_based on steps'!$B104:$U104,'changes2_based on steps'!$B$1:$U$1,Z$1)</f>
        <v>0</v>
      </c>
      <c r="AA104" s="140">
        <f ca="1">SUMIFS('recurring2_based on steps'!$B104:$AY104,'recurring2_based on steps'!$B$1:$AY$1,AA$1)+SUMIFS('changes2_based on steps'!$B104:$U104,'changes2_based on steps'!$B$1:$U$1,AA$1)</f>
        <v>0</v>
      </c>
      <c r="AB104" s="140">
        <f ca="1">SUMIFS('recurring2_based on steps'!$B104:$AY104,'recurring2_based on steps'!$B$1:$AY$1,AB$1)+SUMIFS('changes2_based on steps'!$B104:$U104,'changes2_based on steps'!$B$1:$U$1,AB$1)</f>
        <v>0</v>
      </c>
      <c r="AC104" s="140">
        <f ca="1">SUMIFS('recurring2_based on steps'!$B104:$AY104,'recurring2_based on steps'!$B$1:$AY$1,AC$1)+SUMIFS('changes2_based on steps'!$B104:$U104,'changes2_based on steps'!$B$1:$U$1,AC$1)</f>
        <v>0</v>
      </c>
      <c r="AD104" s="140">
        <f ca="1">SUMIFS('recurring2_based on steps'!$B104:$AY104,'recurring2_based on steps'!$B$1:$AY$1,AD$1)+SUMIFS('changes2_based on steps'!$B104:$U104,'changes2_based on steps'!$B$1:$U$1,AD$1)</f>
        <v>0</v>
      </c>
      <c r="AE104" s="140">
        <f>SUMIFS('recurring2_based on steps'!$B104:$AY104,'recurring2_based on steps'!$B$1:$AY$1,AE$1)+SUMIFS('changes2_based on steps'!$B104:$U104,'changes2_based on steps'!$B$1:$U$1,AE$1)</f>
        <v>0</v>
      </c>
      <c r="AF104" s="140"/>
      <c r="AG104" s="140"/>
      <c r="AH104" s="140"/>
      <c r="AI104" s="140"/>
      <c r="AJ104" s="140"/>
      <c r="AK104" s="140"/>
      <c r="AL104" s="140"/>
      <c r="AM104" s="140"/>
    </row>
    <row r="105" spans="1:39" x14ac:dyDescent="0.2">
      <c r="A105" s="29">
        <f t="shared" ca="1" si="1"/>
        <v>45845</v>
      </c>
      <c r="B105" s="140">
        <f ca="1">SUMIFS('recurring2_based on steps'!$B105:$AY105,'recurring2_based on steps'!$B$1:$AY$1,B$1)+SUMIFS('changes2_based on steps'!$B105:$U105,'changes2_based on steps'!$B$1:$U$1,B$1)</f>
        <v>0</v>
      </c>
      <c r="C105" s="140">
        <f>SUMIFS('recurring2_based on steps'!$B105:$AY105,'recurring2_based on steps'!$B$1:$AY$1,C$1)+SUMIFS('changes2_based on steps'!$B105:$U105,'changes2_based on steps'!$B$1:$U$1,C$1)</f>
        <v>0</v>
      </c>
      <c r="D105" s="140">
        <f>SUMIFS('recurring2_based on steps'!$B105:$AY105,'recurring2_based on steps'!$B$1:$AY$1,D$1)+SUMIFS('changes2_based on steps'!$B105:$U105,'changes2_based on steps'!$B$1:$U$1,D$1)</f>
        <v>0</v>
      </c>
      <c r="E105" s="140">
        <f>SUMIFS('recurring2_based on steps'!$B105:$AY105,'recurring2_based on steps'!$B$1:$AY$1,E$1)+SUMIFS('changes2_based on steps'!$B105:$U105,'changes2_based on steps'!$B$1:$U$1,E$1)</f>
        <v>0</v>
      </c>
      <c r="F105" s="140">
        <f>SUMIFS('recurring2_based on steps'!$B105:$AY105,'recurring2_based on steps'!$B$1:$AY$1,F$1)+SUMIFS('changes2_based on steps'!$B105:$U105,'changes2_based on steps'!$B$1:$U$1,F$1)</f>
        <v>0</v>
      </c>
      <c r="G105" s="140">
        <f>SUMIFS('recurring2_based on steps'!$B105:$AY105,'recurring2_based on steps'!$B$1:$AY$1,G$1)+SUMIFS('changes2_based on steps'!$B105:$U105,'changes2_based on steps'!$B$1:$U$1,G$1)</f>
        <v>0</v>
      </c>
      <c r="H105" s="140">
        <f>SUMIFS('recurring2_based on steps'!$B105:$AY105,'recurring2_based on steps'!$B$1:$AY$1,H$1)+SUMIFS('changes2_based on steps'!$B105:$U105,'changes2_based on steps'!$B$1:$U$1,H$1)</f>
        <v>0</v>
      </c>
      <c r="I105" s="140">
        <f>SUMIFS('recurring2_based on steps'!$B105:$AY105,'recurring2_based on steps'!$B$1:$AY$1,I$1)+SUMIFS('changes2_based on steps'!$B105:$U105,'changes2_based on steps'!$B$1:$U$1,I$1)</f>
        <v>0</v>
      </c>
      <c r="J105" s="140">
        <f ca="1">SUMIFS('recurring2_based on steps'!$B105:$AY105,'recurring2_based on steps'!$B$1:$AY$1,J$1)+SUMIFS('changes2_based on steps'!$B105:$U105,'changes2_based on steps'!$B$1:$U$1,J$1)</f>
        <v>0</v>
      </c>
      <c r="K105" s="140">
        <f>SUMIFS('recurring2_based on steps'!$B105:$AY105,'recurring2_based on steps'!$B$1:$AY$1,K$1)+SUMIFS('changes2_based on steps'!$B105:$U105,'changes2_based on steps'!$B$1:$U$1,K$1)</f>
        <v>0</v>
      </c>
      <c r="L105" s="140">
        <f>SUMIFS('recurring2_based on steps'!$B105:$AY105,'recurring2_based on steps'!$B$1:$AY$1,L$1)+SUMIFS('changes2_based on steps'!$B105:$U105,'changes2_based on steps'!$B$1:$U$1,L$1)</f>
        <v>0</v>
      </c>
      <c r="M105" s="140">
        <f>SUMIFS('recurring2_based on steps'!$B105:$AY105,'recurring2_based on steps'!$B$1:$AY$1,M$1)+SUMIFS('changes2_based on steps'!$B105:$U105,'changes2_based on steps'!$B$1:$U$1,M$1)</f>
        <v>0</v>
      </c>
      <c r="N105" s="140">
        <f ca="1">SUMIFS('recurring2_based on steps'!$B105:$AY105,'recurring2_based on steps'!$B$1:$AY$1,N$1)+SUMIFS('changes2_based on steps'!$B105:$U105,'changes2_based on steps'!$B$1:$U$1,N$1)</f>
        <v>0</v>
      </c>
      <c r="O105" s="140">
        <f>SUMIFS('recurring2_based on steps'!$B105:$AY105,'recurring2_based on steps'!$B$1:$AY$1,O$1)+SUMIFS('changes2_based on steps'!$B105:$U105,'changes2_based on steps'!$B$1:$U$1,O$1)</f>
        <v>0</v>
      </c>
      <c r="P105" s="140">
        <f ca="1">SUMIFS('recurring2_based on steps'!$B105:$AY105,'recurring2_based on steps'!$B$1:$AY$1,P$1)+SUMIFS('changes2_based on steps'!$B105:$U105,'changes2_based on steps'!$B$1:$U$1,P$1)</f>
        <v>0</v>
      </c>
      <c r="Q105" s="140">
        <f ca="1">SUMIFS('recurring2_based on steps'!$B105:$AY105,'recurring2_based on steps'!$B$1:$AY$1,Q$1)+SUMIFS('changes2_based on steps'!$B105:$U105,'changes2_based on steps'!$B$1:$U$1,Q$1)</f>
        <v>5.5401662049861494E-2</v>
      </c>
      <c r="R105" s="140">
        <f ca="1">SUMIFS('recurring2_based on steps'!$B105:$AY105,'recurring2_based on steps'!$B$1:$AY$1,R$1)+SUMIFS('changes2_based on steps'!$B105:$U105,'changes2_based on steps'!$B$1:$U$1,R$1)</f>
        <v>0</v>
      </c>
      <c r="S105" s="140">
        <f>SUMIFS('recurring2_based on steps'!$B105:$AY105,'recurring2_based on steps'!$B$1:$AY$1,S$1)+SUMIFS('changes2_based on steps'!$B105:$U105,'changes2_based on steps'!$B$1:$U$1,S$1)</f>
        <v>0</v>
      </c>
      <c r="T105" s="140">
        <f ca="1">SUMIFS('recurring2_based on steps'!$B105:$AY105,'recurring2_based on steps'!$B$1:$AY$1,T$1)+SUMIFS('changes2_based on steps'!$B105:$U105,'changes2_based on steps'!$B$1:$U$1,T$1)</f>
        <v>0</v>
      </c>
      <c r="U105" s="140">
        <f ca="1">SUMIFS('recurring2_based on steps'!$B105:$AY105,'recurring2_based on steps'!$B$1:$AY$1,U$1)+SUMIFS('changes2_based on steps'!$B105:$U105,'changes2_based on steps'!$B$1:$U$1,U$1)</f>
        <v>0</v>
      </c>
      <c r="V105" s="140">
        <f>SUMIFS('recurring2_based on steps'!$B105:$AY105,'recurring2_based on steps'!$B$1:$AY$1,V$1)+SUMIFS('changes2_based on steps'!$B105:$U105,'changes2_based on steps'!$B$1:$U$1,V$1)</f>
        <v>0</v>
      </c>
      <c r="W105" s="140">
        <f>SUMIFS('recurring2_based on steps'!$B105:$AY105,'recurring2_based on steps'!$B$1:$AY$1,W$1)+SUMIFS('changes2_based on steps'!$B105:$U105,'changes2_based on steps'!$B$1:$U$1,W$1)</f>
        <v>0</v>
      </c>
      <c r="X105" s="140">
        <f ca="1">SUMIFS('recurring2_based on steps'!$B105:$AY105,'recurring2_based on steps'!$B$1:$AY$1,X$1)+SUMIFS('changes2_based on steps'!$B105:$U105,'changes2_based on steps'!$B$1:$U$1,X$1)</f>
        <v>0</v>
      </c>
      <c r="Y105" s="140">
        <f ca="1">SUMIFS('recurring2_based on steps'!$B105:$AY105,'recurring2_based on steps'!$B$1:$AY$1,Y$1)+SUMIFS('changes2_based on steps'!$B105:$U105,'changes2_based on steps'!$B$1:$U$1,Y$1)</f>
        <v>0</v>
      </c>
      <c r="Z105" s="140">
        <f>SUMIFS('recurring2_based on steps'!$B105:$AY105,'recurring2_based on steps'!$B$1:$AY$1,Z$1)+SUMIFS('changes2_based on steps'!$B105:$U105,'changes2_based on steps'!$B$1:$U$1,Z$1)</f>
        <v>0</v>
      </c>
      <c r="AA105" s="140">
        <f ca="1">SUMIFS('recurring2_based on steps'!$B105:$AY105,'recurring2_based on steps'!$B$1:$AY$1,AA$1)+SUMIFS('changes2_based on steps'!$B105:$U105,'changes2_based on steps'!$B$1:$U$1,AA$1)</f>
        <v>0</v>
      </c>
      <c r="AB105" s="140">
        <f ca="1">SUMIFS('recurring2_based on steps'!$B105:$AY105,'recurring2_based on steps'!$B$1:$AY$1,AB$1)+SUMIFS('changes2_based on steps'!$B105:$U105,'changes2_based on steps'!$B$1:$U$1,AB$1)</f>
        <v>0</v>
      </c>
      <c r="AC105" s="140">
        <f ca="1">SUMIFS('recurring2_based on steps'!$B105:$AY105,'recurring2_based on steps'!$B$1:$AY$1,AC$1)+SUMIFS('changes2_based on steps'!$B105:$U105,'changes2_based on steps'!$B$1:$U$1,AC$1)</f>
        <v>0</v>
      </c>
      <c r="AD105" s="140">
        <f ca="1">SUMIFS('recurring2_based on steps'!$B105:$AY105,'recurring2_based on steps'!$B$1:$AY$1,AD$1)+SUMIFS('changes2_based on steps'!$B105:$U105,'changes2_based on steps'!$B$1:$U$1,AD$1)</f>
        <v>0</v>
      </c>
      <c r="AE105" s="140">
        <f>SUMIFS('recurring2_based on steps'!$B105:$AY105,'recurring2_based on steps'!$B$1:$AY$1,AE$1)+SUMIFS('changes2_based on steps'!$B105:$U105,'changes2_based on steps'!$B$1:$U$1,AE$1)</f>
        <v>0</v>
      </c>
      <c r="AF105" s="140"/>
      <c r="AG105" s="140"/>
      <c r="AH105" s="140"/>
      <c r="AI105" s="140"/>
      <c r="AJ105" s="140"/>
      <c r="AK105" s="140"/>
      <c r="AL105" s="140"/>
      <c r="AM105" s="140"/>
    </row>
    <row r="106" spans="1:39" x14ac:dyDescent="0.2">
      <c r="A106" s="29">
        <f t="shared" ca="1" si="1"/>
        <v>45846</v>
      </c>
      <c r="B106" s="140">
        <f ca="1">SUMIFS('recurring2_based on steps'!$B106:$AY106,'recurring2_based on steps'!$B$1:$AY$1,B$1)+SUMIFS('changes2_based on steps'!$B106:$U106,'changes2_based on steps'!$B$1:$U$1,B$1)</f>
        <v>0</v>
      </c>
      <c r="C106" s="140">
        <f>SUMIFS('recurring2_based on steps'!$B106:$AY106,'recurring2_based on steps'!$B$1:$AY$1,C$1)+SUMIFS('changes2_based on steps'!$B106:$U106,'changes2_based on steps'!$B$1:$U$1,C$1)</f>
        <v>0</v>
      </c>
      <c r="D106" s="140">
        <f>SUMIFS('recurring2_based on steps'!$B106:$AY106,'recurring2_based on steps'!$B$1:$AY$1,D$1)+SUMIFS('changes2_based on steps'!$B106:$U106,'changes2_based on steps'!$B$1:$U$1,D$1)</f>
        <v>0</v>
      </c>
      <c r="E106" s="140">
        <f>SUMIFS('recurring2_based on steps'!$B106:$AY106,'recurring2_based on steps'!$B$1:$AY$1,E$1)+SUMIFS('changes2_based on steps'!$B106:$U106,'changes2_based on steps'!$B$1:$U$1,E$1)</f>
        <v>0</v>
      </c>
      <c r="F106" s="140">
        <f>SUMIFS('recurring2_based on steps'!$B106:$AY106,'recurring2_based on steps'!$B$1:$AY$1,F$1)+SUMIFS('changes2_based on steps'!$B106:$U106,'changes2_based on steps'!$B$1:$U$1,F$1)</f>
        <v>0</v>
      </c>
      <c r="G106" s="140">
        <f>SUMIFS('recurring2_based on steps'!$B106:$AY106,'recurring2_based on steps'!$B$1:$AY$1,G$1)+SUMIFS('changes2_based on steps'!$B106:$U106,'changes2_based on steps'!$B$1:$U$1,G$1)</f>
        <v>0</v>
      </c>
      <c r="H106" s="140">
        <f>SUMIFS('recurring2_based on steps'!$B106:$AY106,'recurring2_based on steps'!$B$1:$AY$1,H$1)+SUMIFS('changes2_based on steps'!$B106:$U106,'changes2_based on steps'!$B$1:$U$1,H$1)</f>
        <v>0</v>
      </c>
      <c r="I106" s="140">
        <f>SUMIFS('recurring2_based on steps'!$B106:$AY106,'recurring2_based on steps'!$B$1:$AY$1,I$1)+SUMIFS('changes2_based on steps'!$B106:$U106,'changes2_based on steps'!$B$1:$U$1,I$1)</f>
        <v>0</v>
      </c>
      <c r="J106" s="140">
        <f ca="1">SUMIFS('recurring2_based on steps'!$B106:$AY106,'recurring2_based on steps'!$B$1:$AY$1,J$1)+SUMIFS('changes2_based on steps'!$B106:$U106,'changes2_based on steps'!$B$1:$U$1,J$1)</f>
        <v>0</v>
      </c>
      <c r="K106" s="140">
        <f>SUMIFS('recurring2_based on steps'!$B106:$AY106,'recurring2_based on steps'!$B$1:$AY$1,K$1)+SUMIFS('changes2_based on steps'!$B106:$U106,'changes2_based on steps'!$B$1:$U$1,K$1)</f>
        <v>0</v>
      </c>
      <c r="L106" s="140">
        <f>SUMIFS('recurring2_based on steps'!$B106:$AY106,'recurring2_based on steps'!$B$1:$AY$1,L$1)+SUMIFS('changes2_based on steps'!$B106:$U106,'changes2_based on steps'!$B$1:$U$1,L$1)</f>
        <v>0</v>
      </c>
      <c r="M106" s="140">
        <f>SUMIFS('recurring2_based on steps'!$B106:$AY106,'recurring2_based on steps'!$B$1:$AY$1,M$1)+SUMIFS('changes2_based on steps'!$B106:$U106,'changes2_based on steps'!$B$1:$U$1,M$1)</f>
        <v>0</v>
      </c>
      <c r="N106" s="140">
        <f ca="1">SUMIFS('recurring2_based on steps'!$B106:$AY106,'recurring2_based on steps'!$B$1:$AY$1,N$1)+SUMIFS('changes2_based on steps'!$B106:$U106,'changes2_based on steps'!$B$1:$U$1,N$1)</f>
        <v>0</v>
      </c>
      <c r="O106" s="140">
        <f>SUMIFS('recurring2_based on steps'!$B106:$AY106,'recurring2_based on steps'!$B$1:$AY$1,O$1)+SUMIFS('changes2_based on steps'!$B106:$U106,'changes2_based on steps'!$B$1:$U$1,O$1)</f>
        <v>0</v>
      </c>
      <c r="P106" s="140">
        <f ca="1">SUMIFS('recurring2_based on steps'!$B106:$AY106,'recurring2_based on steps'!$B$1:$AY$1,P$1)+SUMIFS('changes2_based on steps'!$B106:$U106,'changes2_based on steps'!$B$1:$U$1,P$1)</f>
        <v>0</v>
      </c>
      <c r="Q106" s="140">
        <f ca="1">SUMIFS('recurring2_based on steps'!$B106:$AY106,'recurring2_based on steps'!$B$1:$AY$1,Q$1)+SUMIFS('changes2_based on steps'!$B106:$U106,'changes2_based on steps'!$B$1:$U$1,Q$1)</f>
        <v>5.5401662049861494E-2</v>
      </c>
      <c r="R106" s="140">
        <f ca="1">SUMIFS('recurring2_based on steps'!$B106:$AY106,'recurring2_based on steps'!$B$1:$AY$1,R$1)+SUMIFS('changes2_based on steps'!$B106:$U106,'changes2_based on steps'!$B$1:$U$1,R$1)</f>
        <v>0</v>
      </c>
      <c r="S106" s="140">
        <f>SUMIFS('recurring2_based on steps'!$B106:$AY106,'recurring2_based on steps'!$B$1:$AY$1,S$1)+SUMIFS('changes2_based on steps'!$B106:$U106,'changes2_based on steps'!$B$1:$U$1,S$1)</f>
        <v>0</v>
      </c>
      <c r="T106" s="140">
        <f ca="1">SUMIFS('recurring2_based on steps'!$B106:$AY106,'recurring2_based on steps'!$B$1:$AY$1,T$1)+SUMIFS('changes2_based on steps'!$B106:$U106,'changes2_based on steps'!$B$1:$U$1,T$1)</f>
        <v>0</v>
      </c>
      <c r="U106" s="140">
        <f ca="1">SUMIFS('recurring2_based on steps'!$B106:$AY106,'recurring2_based on steps'!$B$1:$AY$1,U$1)+SUMIFS('changes2_based on steps'!$B106:$U106,'changes2_based on steps'!$B$1:$U$1,U$1)</f>
        <v>0</v>
      </c>
      <c r="V106" s="140">
        <f>SUMIFS('recurring2_based on steps'!$B106:$AY106,'recurring2_based on steps'!$B$1:$AY$1,V$1)+SUMIFS('changes2_based on steps'!$B106:$U106,'changes2_based on steps'!$B$1:$U$1,V$1)</f>
        <v>0</v>
      </c>
      <c r="W106" s="140">
        <f>SUMIFS('recurring2_based on steps'!$B106:$AY106,'recurring2_based on steps'!$B$1:$AY$1,W$1)+SUMIFS('changes2_based on steps'!$B106:$U106,'changes2_based on steps'!$B$1:$U$1,W$1)</f>
        <v>0</v>
      </c>
      <c r="X106" s="140">
        <f ca="1">SUMIFS('recurring2_based on steps'!$B106:$AY106,'recurring2_based on steps'!$B$1:$AY$1,X$1)+SUMIFS('changes2_based on steps'!$B106:$U106,'changes2_based on steps'!$B$1:$U$1,X$1)</f>
        <v>0</v>
      </c>
      <c r="Y106" s="140">
        <f ca="1">SUMIFS('recurring2_based on steps'!$B106:$AY106,'recurring2_based on steps'!$B$1:$AY$1,Y$1)+SUMIFS('changes2_based on steps'!$B106:$U106,'changes2_based on steps'!$B$1:$U$1,Y$1)</f>
        <v>0</v>
      </c>
      <c r="Z106" s="140">
        <f>SUMIFS('recurring2_based on steps'!$B106:$AY106,'recurring2_based on steps'!$B$1:$AY$1,Z$1)+SUMIFS('changes2_based on steps'!$B106:$U106,'changes2_based on steps'!$B$1:$U$1,Z$1)</f>
        <v>0</v>
      </c>
      <c r="AA106" s="140">
        <f ca="1">SUMIFS('recurring2_based on steps'!$B106:$AY106,'recurring2_based on steps'!$B$1:$AY$1,AA$1)+SUMIFS('changes2_based on steps'!$B106:$U106,'changes2_based on steps'!$B$1:$U$1,AA$1)</f>
        <v>0</v>
      </c>
      <c r="AB106" s="140">
        <f ca="1">SUMIFS('recurring2_based on steps'!$B106:$AY106,'recurring2_based on steps'!$B$1:$AY$1,AB$1)+SUMIFS('changes2_based on steps'!$B106:$U106,'changes2_based on steps'!$B$1:$U$1,AB$1)</f>
        <v>0</v>
      </c>
      <c r="AC106" s="140">
        <f ca="1">SUMIFS('recurring2_based on steps'!$B106:$AY106,'recurring2_based on steps'!$B$1:$AY$1,AC$1)+SUMIFS('changes2_based on steps'!$B106:$U106,'changes2_based on steps'!$B$1:$U$1,AC$1)</f>
        <v>0</v>
      </c>
      <c r="AD106" s="140">
        <f ca="1">SUMIFS('recurring2_based on steps'!$B106:$AY106,'recurring2_based on steps'!$B$1:$AY$1,AD$1)+SUMIFS('changes2_based on steps'!$B106:$U106,'changes2_based on steps'!$B$1:$U$1,AD$1)</f>
        <v>0</v>
      </c>
      <c r="AE106" s="140">
        <f>SUMIFS('recurring2_based on steps'!$B106:$AY106,'recurring2_based on steps'!$B$1:$AY$1,AE$1)+SUMIFS('changes2_based on steps'!$B106:$U106,'changes2_based on steps'!$B$1:$U$1,AE$1)</f>
        <v>0</v>
      </c>
      <c r="AF106" s="140"/>
      <c r="AG106" s="140"/>
      <c r="AH106" s="140"/>
      <c r="AI106" s="140"/>
      <c r="AJ106" s="140"/>
      <c r="AK106" s="140"/>
      <c r="AL106" s="140"/>
      <c r="AM106" s="140"/>
    </row>
    <row r="107" spans="1:39" x14ac:dyDescent="0.2">
      <c r="A107" s="29">
        <f t="shared" ca="1" si="1"/>
        <v>45847</v>
      </c>
      <c r="B107" s="140">
        <f ca="1">SUMIFS('recurring2_based on steps'!$B107:$AY107,'recurring2_based on steps'!$B$1:$AY$1,B$1)+SUMIFS('changes2_based on steps'!$B107:$U107,'changes2_based on steps'!$B$1:$U$1,B$1)</f>
        <v>0</v>
      </c>
      <c r="C107" s="140">
        <f>SUMIFS('recurring2_based on steps'!$B107:$AY107,'recurring2_based on steps'!$B$1:$AY$1,C$1)+SUMIFS('changes2_based on steps'!$B107:$U107,'changes2_based on steps'!$B$1:$U$1,C$1)</f>
        <v>0</v>
      </c>
      <c r="D107" s="140">
        <f>SUMIFS('recurring2_based on steps'!$B107:$AY107,'recurring2_based on steps'!$B$1:$AY$1,D$1)+SUMIFS('changes2_based on steps'!$B107:$U107,'changes2_based on steps'!$B$1:$U$1,D$1)</f>
        <v>0</v>
      </c>
      <c r="E107" s="140">
        <f>SUMIFS('recurring2_based on steps'!$B107:$AY107,'recurring2_based on steps'!$B$1:$AY$1,E$1)+SUMIFS('changes2_based on steps'!$B107:$U107,'changes2_based on steps'!$B$1:$U$1,E$1)</f>
        <v>0</v>
      </c>
      <c r="F107" s="140">
        <f>SUMIFS('recurring2_based on steps'!$B107:$AY107,'recurring2_based on steps'!$B$1:$AY$1,F$1)+SUMIFS('changes2_based on steps'!$B107:$U107,'changes2_based on steps'!$B$1:$U$1,F$1)</f>
        <v>0</v>
      </c>
      <c r="G107" s="140">
        <f>SUMIFS('recurring2_based on steps'!$B107:$AY107,'recurring2_based on steps'!$B$1:$AY$1,G$1)+SUMIFS('changes2_based on steps'!$B107:$U107,'changes2_based on steps'!$B$1:$U$1,G$1)</f>
        <v>0</v>
      </c>
      <c r="H107" s="140">
        <f>SUMIFS('recurring2_based on steps'!$B107:$AY107,'recurring2_based on steps'!$B$1:$AY$1,H$1)+SUMIFS('changes2_based on steps'!$B107:$U107,'changes2_based on steps'!$B$1:$U$1,H$1)</f>
        <v>0</v>
      </c>
      <c r="I107" s="140">
        <f>SUMIFS('recurring2_based on steps'!$B107:$AY107,'recurring2_based on steps'!$B$1:$AY$1,I$1)+SUMIFS('changes2_based on steps'!$B107:$U107,'changes2_based on steps'!$B$1:$U$1,I$1)</f>
        <v>0</v>
      </c>
      <c r="J107" s="140">
        <f ca="1">SUMIFS('recurring2_based on steps'!$B107:$AY107,'recurring2_based on steps'!$B$1:$AY$1,J$1)+SUMIFS('changes2_based on steps'!$B107:$U107,'changes2_based on steps'!$B$1:$U$1,J$1)</f>
        <v>0</v>
      </c>
      <c r="K107" s="140">
        <f>SUMIFS('recurring2_based on steps'!$B107:$AY107,'recurring2_based on steps'!$B$1:$AY$1,K$1)+SUMIFS('changes2_based on steps'!$B107:$U107,'changes2_based on steps'!$B$1:$U$1,K$1)</f>
        <v>0</v>
      </c>
      <c r="L107" s="140">
        <f>SUMIFS('recurring2_based on steps'!$B107:$AY107,'recurring2_based on steps'!$B$1:$AY$1,L$1)+SUMIFS('changes2_based on steps'!$B107:$U107,'changes2_based on steps'!$B$1:$U$1,L$1)</f>
        <v>0</v>
      </c>
      <c r="M107" s="140">
        <f>SUMIFS('recurring2_based on steps'!$B107:$AY107,'recurring2_based on steps'!$B$1:$AY$1,M$1)+SUMIFS('changes2_based on steps'!$B107:$U107,'changes2_based on steps'!$B$1:$U$1,M$1)</f>
        <v>0</v>
      </c>
      <c r="N107" s="140">
        <f ca="1">SUMIFS('recurring2_based on steps'!$B107:$AY107,'recurring2_based on steps'!$B$1:$AY$1,N$1)+SUMIFS('changes2_based on steps'!$B107:$U107,'changes2_based on steps'!$B$1:$U$1,N$1)</f>
        <v>0</v>
      </c>
      <c r="O107" s="140">
        <f>SUMIFS('recurring2_based on steps'!$B107:$AY107,'recurring2_based on steps'!$B$1:$AY$1,O$1)+SUMIFS('changes2_based on steps'!$B107:$U107,'changes2_based on steps'!$B$1:$U$1,O$1)</f>
        <v>0</v>
      </c>
      <c r="P107" s="140">
        <f ca="1">SUMIFS('recurring2_based on steps'!$B107:$AY107,'recurring2_based on steps'!$B$1:$AY$1,P$1)+SUMIFS('changes2_based on steps'!$B107:$U107,'changes2_based on steps'!$B$1:$U$1,P$1)</f>
        <v>0</v>
      </c>
      <c r="Q107" s="140">
        <f ca="1">SUMIFS('recurring2_based on steps'!$B107:$AY107,'recurring2_based on steps'!$B$1:$AY$1,Q$1)+SUMIFS('changes2_based on steps'!$B107:$U107,'changes2_based on steps'!$B$1:$U$1,Q$1)</f>
        <v>5.5401662049861494E-2</v>
      </c>
      <c r="R107" s="140">
        <f ca="1">SUMIFS('recurring2_based on steps'!$B107:$AY107,'recurring2_based on steps'!$B$1:$AY$1,R$1)+SUMIFS('changes2_based on steps'!$B107:$U107,'changes2_based on steps'!$B$1:$U$1,R$1)</f>
        <v>0</v>
      </c>
      <c r="S107" s="140">
        <f>SUMIFS('recurring2_based on steps'!$B107:$AY107,'recurring2_based on steps'!$B$1:$AY$1,S$1)+SUMIFS('changes2_based on steps'!$B107:$U107,'changes2_based on steps'!$B$1:$U$1,S$1)</f>
        <v>0</v>
      </c>
      <c r="T107" s="140">
        <f ca="1">SUMIFS('recurring2_based on steps'!$B107:$AY107,'recurring2_based on steps'!$B$1:$AY$1,T$1)+SUMIFS('changes2_based on steps'!$B107:$U107,'changes2_based on steps'!$B$1:$U$1,T$1)</f>
        <v>0</v>
      </c>
      <c r="U107" s="140">
        <f ca="1">SUMIFS('recurring2_based on steps'!$B107:$AY107,'recurring2_based on steps'!$B$1:$AY$1,U$1)+SUMIFS('changes2_based on steps'!$B107:$U107,'changes2_based on steps'!$B$1:$U$1,U$1)</f>
        <v>0</v>
      </c>
      <c r="V107" s="140">
        <f>SUMIFS('recurring2_based on steps'!$B107:$AY107,'recurring2_based on steps'!$B$1:$AY$1,V$1)+SUMIFS('changes2_based on steps'!$B107:$U107,'changes2_based on steps'!$B$1:$U$1,V$1)</f>
        <v>0</v>
      </c>
      <c r="W107" s="140">
        <f>SUMIFS('recurring2_based on steps'!$B107:$AY107,'recurring2_based on steps'!$B$1:$AY$1,W$1)+SUMIFS('changes2_based on steps'!$B107:$U107,'changes2_based on steps'!$B$1:$U$1,W$1)</f>
        <v>0</v>
      </c>
      <c r="X107" s="140">
        <f ca="1">SUMIFS('recurring2_based on steps'!$B107:$AY107,'recurring2_based on steps'!$B$1:$AY$1,X$1)+SUMIFS('changes2_based on steps'!$B107:$U107,'changes2_based on steps'!$B$1:$U$1,X$1)</f>
        <v>0</v>
      </c>
      <c r="Y107" s="140">
        <f ca="1">SUMIFS('recurring2_based on steps'!$B107:$AY107,'recurring2_based on steps'!$B$1:$AY$1,Y$1)+SUMIFS('changes2_based on steps'!$B107:$U107,'changes2_based on steps'!$B$1:$U$1,Y$1)</f>
        <v>0</v>
      </c>
      <c r="Z107" s="140">
        <f>SUMIFS('recurring2_based on steps'!$B107:$AY107,'recurring2_based on steps'!$B$1:$AY$1,Z$1)+SUMIFS('changes2_based on steps'!$B107:$U107,'changes2_based on steps'!$B$1:$U$1,Z$1)</f>
        <v>0</v>
      </c>
      <c r="AA107" s="140">
        <f ca="1">SUMIFS('recurring2_based on steps'!$B107:$AY107,'recurring2_based on steps'!$B$1:$AY$1,AA$1)+SUMIFS('changes2_based on steps'!$B107:$U107,'changes2_based on steps'!$B$1:$U$1,AA$1)</f>
        <v>0</v>
      </c>
      <c r="AB107" s="140">
        <f ca="1">SUMIFS('recurring2_based on steps'!$B107:$AY107,'recurring2_based on steps'!$B$1:$AY$1,AB$1)+SUMIFS('changes2_based on steps'!$B107:$U107,'changes2_based on steps'!$B$1:$U$1,AB$1)</f>
        <v>0</v>
      </c>
      <c r="AC107" s="140">
        <f ca="1">SUMIFS('recurring2_based on steps'!$B107:$AY107,'recurring2_based on steps'!$B$1:$AY$1,AC$1)+SUMIFS('changes2_based on steps'!$B107:$U107,'changes2_based on steps'!$B$1:$U$1,AC$1)</f>
        <v>0</v>
      </c>
      <c r="AD107" s="140">
        <f ca="1">SUMIFS('recurring2_based on steps'!$B107:$AY107,'recurring2_based on steps'!$B$1:$AY$1,AD$1)+SUMIFS('changes2_based on steps'!$B107:$U107,'changes2_based on steps'!$B$1:$U$1,AD$1)</f>
        <v>0</v>
      </c>
      <c r="AE107" s="140">
        <f>SUMIFS('recurring2_based on steps'!$B107:$AY107,'recurring2_based on steps'!$B$1:$AY$1,AE$1)+SUMIFS('changes2_based on steps'!$B107:$U107,'changes2_based on steps'!$B$1:$U$1,AE$1)</f>
        <v>0</v>
      </c>
      <c r="AF107" s="140"/>
      <c r="AG107" s="140"/>
      <c r="AH107" s="140"/>
      <c r="AI107" s="140"/>
      <c r="AJ107" s="140"/>
      <c r="AK107" s="140"/>
      <c r="AL107" s="140"/>
      <c r="AM107" s="140"/>
    </row>
    <row r="108" spans="1:39" x14ac:dyDescent="0.2">
      <c r="A108" s="29">
        <f t="shared" ca="1" si="1"/>
        <v>45848</v>
      </c>
      <c r="B108" s="140">
        <f ca="1">SUMIFS('recurring2_based on steps'!$B108:$AY108,'recurring2_based on steps'!$B$1:$AY$1,B$1)+SUMIFS('changes2_based on steps'!$B108:$U108,'changes2_based on steps'!$B$1:$U$1,B$1)</f>
        <v>0</v>
      </c>
      <c r="C108" s="140">
        <f>SUMIFS('recurring2_based on steps'!$B108:$AY108,'recurring2_based on steps'!$B$1:$AY$1,C$1)+SUMIFS('changes2_based on steps'!$B108:$U108,'changes2_based on steps'!$B$1:$U$1,C$1)</f>
        <v>0</v>
      </c>
      <c r="D108" s="140">
        <f>SUMIFS('recurring2_based on steps'!$B108:$AY108,'recurring2_based on steps'!$B$1:$AY$1,D$1)+SUMIFS('changes2_based on steps'!$B108:$U108,'changes2_based on steps'!$B$1:$U$1,D$1)</f>
        <v>0</v>
      </c>
      <c r="E108" s="140">
        <f>SUMIFS('recurring2_based on steps'!$B108:$AY108,'recurring2_based on steps'!$B$1:$AY$1,E$1)+SUMIFS('changes2_based on steps'!$B108:$U108,'changes2_based on steps'!$B$1:$U$1,E$1)</f>
        <v>0</v>
      </c>
      <c r="F108" s="140">
        <f>SUMIFS('recurring2_based on steps'!$B108:$AY108,'recurring2_based on steps'!$B$1:$AY$1,F$1)+SUMIFS('changes2_based on steps'!$B108:$U108,'changes2_based on steps'!$B$1:$U$1,F$1)</f>
        <v>0</v>
      </c>
      <c r="G108" s="140">
        <f>SUMIFS('recurring2_based on steps'!$B108:$AY108,'recurring2_based on steps'!$B$1:$AY$1,G$1)+SUMIFS('changes2_based on steps'!$B108:$U108,'changes2_based on steps'!$B$1:$U$1,G$1)</f>
        <v>0</v>
      </c>
      <c r="H108" s="140">
        <f>SUMIFS('recurring2_based on steps'!$B108:$AY108,'recurring2_based on steps'!$B$1:$AY$1,H$1)+SUMIFS('changes2_based on steps'!$B108:$U108,'changes2_based on steps'!$B$1:$U$1,H$1)</f>
        <v>0</v>
      </c>
      <c r="I108" s="140">
        <f>SUMIFS('recurring2_based on steps'!$B108:$AY108,'recurring2_based on steps'!$B$1:$AY$1,I$1)+SUMIFS('changes2_based on steps'!$B108:$U108,'changes2_based on steps'!$B$1:$U$1,I$1)</f>
        <v>0</v>
      </c>
      <c r="J108" s="140">
        <f ca="1">SUMIFS('recurring2_based on steps'!$B108:$AY108,'recurring2_based on steps'!$B$1:$AY$1,J$1)+SUMIFS('changes2_based on steps'!$B108:$U108,'changes2_based on steps'!$B$1:$U$1,J$1)</f>
        <v>0</v>
      </c>
      <c r="K108" s="140">
        <f>SUMIFS('recurring2_based on steps'!$B108:$AY108,'recurring2_based on steps'!$B$1:$AY$1,K$1)+SUMIFS('changes2_based on steps'!$B108:$U108,'changes2_based on steps'!$B$1:$U$1,K$1)</f>
        <v>0</v>
      </c>
      <c r="L108" s="140">
        <f>SUMIFS('recurring2_based on steps'!$B108:$AY108,'recurring2_based on steps'!$B$1:$AY$1,L$1)+SUMIFS('changes2_based on steps'!$B108:$U108,'changes2_based on steps'!$B$1:$U$1,L$1)</f>
        <v>0</v>
      </c>
      <c r="M108" s="140">
        <f>SUMIFS('recurring2_based on steps'!$B108:$AY108,'recurring2_based on steps'!$B$1:$AY$1,M$1)+SUMIFS('changes2_based on steps'!$B108:$U108,'changes2_based on steps'!$B$1:$U$1,M$1)</f>
        <v>0</v>
      </c>
      <c r="N108" s="140">
        <f ca="1">SUMIFS('recurring2_based on steps'!$B108:$AY108,'recurring2_based on steps'!$B$1:$AY$1,N$1)+SUMIFS('changes2_based on steps'!$B108:$U108,'changes2_based on steps'!$B$1:$U$1,N$1)</f>
        <v>0</v>
      </c>
      <c r="O108" s="140">
        <f>SUMIFS('recurring2_based on steps'!$B108:$AY108,'recurring2_based on steps'!$B$1:$AY$1,O$1)+SUMIFS('changes2_based on steps'!$B108:$U108,'changes2_based on steps'!$B$1:$U$1,O$1)</f>
        <v>0</v>
      </c>
      <c r="P108" s="140">
        <f ca="1">SUMIFS('recurring2_based on steps'!$B108:$AY108,'recurring2_based on steps'!$B$1:$AY$1,P$1)+SUMIFS('changes2_based on steps'!$B108:$U108,'changes2_based on steps'!$B$1:$U$1,P$1)</f>
        <v>0</v>
      </c>
      <c r="Q108" s="140">
        <f ca="1">SUMIFS('recurring2_based on steps'!$B108:$AY108,'recurring2_based on steps'!$B$1:$AY$1,Q$1)+SUMIFS('changes2_based on steps'!$B108:$U108,'changes2_based on steps'!$B$1:$U$1,Q$1)</f>
        <v>5.5401662049861494E-2</v>
      </c>
      <c r="R108" s="140">
        <f ca="1">SUMIFS('recurring2_based on steps'!$B108:$AY108,'recurring2_based on steps'!$B$1:$AY$1,R$1)+SUMIFS('changes2_based on steps'!$B108:$U108,'changes2_based on steps'!$B$1:$U$1,R$1)</f>
        <v>0</v>
      </c>
      <c r="S108" s="140">
        <f>SUMIFS('recurring2_based on steps'!$B108:$AY108,'recurring2_based on steps'!$B$1:$AY$1,S$1)+SUMIFS('changes2_based on steps'!$B108:$U108,'changes2_based on steps'!$B$1:$U$1,S$1)</f>
        <v>0</v>
      </c>
      <c r="T108" s="140">
        <f ca="1">SUMIFS('recurring2_based on steps'!$B108:$AY108,'recurring2_based on steps'!$B$1:$AY$1,T$1)+SUMIFS('changes2_based on steps'!$B108:$U108,'changes2_based on steps'!$B$1:$U$1,T$1)</f>
        <v>0</v>
      </c>
      <c r="U108" s="140">
        <f ca="1">SUMIFS('recurring2_based on steps'!$B108:$AY108,'recurring2_based on steps'!$B$1:$AY$1,U$1)+SUMIFS('changes2_based on steps'!$B108:$U108,'changes2_based on steps'!$B$1:$U$1,U$1)</f>
        <v>0</v>
      </c>
      <c r="V108" s="140">
        <f>SUMIFS('recurring2_based on steps'!$B108:$AY108,'recurring2_based on steps'!$B$1:$AY$1,V$1)+SUMIFS('changes2_based on steps'!$B108:$U108,'changes2_based on steps'!$B$1:$U$1,V$1)</f>
        <v>0</v>
      </c>
      <c r="W108" s="140">
        <f>SUMIFS('recurring2_based on steps'!$B108:$AY108,'recurring2_based on steps'!$B$1:$AY$1,W$1)+SUMIFS('changes2_based on steps'!$B108:$U108,'changes2_based on steps'!$B$1:$U$1,W$1)</f>
        <v>0</v>
      </c>
      <c r="X108" s="140">
        <f ca="1">SUMIFS('recurring2_based on steps'!$B108:$AY108,'recurring2_based on steps'!$B$1:$AY$1,X$1)+SUMIFS('changes2_based on steps'!$B108:$U108,'changes2_based on steps'!$B$1:$U$1,X$1)</f>
        <v>0</v>
      </c>
      <c r="Y108" s="140">
        <f ca="1">SUMIFS('recurring2_based on steps'!$B108:$AY108,'recurring2_based on steps'!$B$1:$AY$1,Y$1)+SUMIFS('changes2_based on steps'!$B108:$U108,'changes2_based on steps'!$B$1:$U$1,Y$1)</f>
        <v>0</v>
      </c>
      <c r="Z108" s="140">
        <f>SUMIFS('recurring2_based on steps'!$B108:$AY108,'recurring2_based on steps'!$B$1:$AY$1,Z$1)+SUMIFS('changes2_based on steps'!$B108:$U108,'changes2_based on steps'!$B$1:$U$1,Z$1)</f>
        <v>0</v>
      </c>
      <c r="AA108" s="140">
        <f ca="1">SUMIFS('recurring2_based on steps'!$B108:$AY108,'recurring2_based on steps'!$B$1:$AY$1,AA$1)+SUMIFS('changes2_based on steps'!$B108:$U108,'changes2_based on steps'!$B$1:$U$1,AA$1)</f>
        <v>0</v>
      </c>
      <c r="AB108" s="140">
        <f ca="1">SUMIFS('recurring2_based on steps'!$B108:$AY108,'recurring2_based on steps'!$B$1:$AY$1,AB$1)+SUMIFS('changes2_based on steps'!$B108:$U108,'changes2_based on steps'!$B$1:$U$1,AB$1)</f>
        <v>0</v>
      </c>
      <c r="AC108" s="140">
        <f ca="1">SUMIFS('recurring2_based on steps'!$B108:$AY108,'recurring2_based on steps'!$B$1:$AY$1,AC$1)+SUMIFS('changes2_based on steps'!$B108:$U108,'changes2_based on steps'!$B$1:$U$1,AC$1)</f>
        <v>0</v>
      </c>
      <c r="AD108" s="140">
        <f ca="1">SUMIFS('recurring2_based on steps'!$B108:$AY108,'recurring2_based on steps'!$B$1:$AY$1,AD$1)+SUMIFS('changes2_based on steps'!$B108:$U108,'changes2_based on steps'!$B$1:$U$1,AD$1)</f>
        <v>0</v>
      </c>
      <c r="AE108" s="140">
        <f>SUMIFS('recurring2_based on steps'!$B108:$AY108,'recurring2_based on steps'!$B$1:$AY$1,AE$1)+SUMIFS('changes2_based on steps'!$B108:$U108,'changes2_based on steps'!$B$1:$U$1,AE$1)</f>
        <v>0</v>
      </c>
      <c r="AF108" s="140"/>
      <c r="AG108" s="140"/>
      <c r="AH108" s="140"/>
      <c r="AI108" s="140"/>
      <c r="AJ108" s="140"/>
      <c r="AK108" s="140"/>
      <c r="AL108" s="140"/>
      <c r="AM108" s="140"/>
    </row>
    <row r="109" spans="1:39" x14ac:dyDescent="0.2">
      <c r="A109" s="29">
        <f t="shared" ca="1" si="1"/>
        <v>45849</v>
      </c>
      <c r="B109" s="140">
        <f ca="1">SUMIFS('recurring2_based on steps'!$B109:$AY109,'recurring2_based on steps'!$B$1:$AY$1,B$1)+SUMIFS('changes2_based on steps'!$B109:$U109,'changes2_based on steps'!$B$1:$U$1,B$1)</f>
        <v>4000</v>
      </c>
      <c r="C109" s="140">
        <f>SUMIFS('recurring2_based on steps'!$B109:$AY109,'recurring2_based on steps'!$B$1:$AY$1,C$1)+SUMIFS('changes2_based on steps'!$B109:$U109,'changes2_based on steps'!$B$1:$U$1,C$1)</f>
        <v>0</v>
      </c>
      <c r="D109" s="140">
        <f>SUMIFS('recurring2_based on steps'!$B109:$AY109,'recurring2_based on steps'!$B$1:$AY$1,D$1)+SUMIFS('changes2_based on steps'!$B109:$U109,'changes2_based on steps'!$B$1:$U$1,D$1)</f>
        <v>0</v>
      </c>
      <c r="E109" s="140">
        <f>SUMIFS('recurring2_based on steps'!$B109:$AY109,'recurring2_based on steps'!$B$1:$AY$1,E$1)+SUMIFS('changes2_based on steps'!$B109:$U109,'changes2_based on steps'!$B$1:$U$1,E$1)</f>
        <v>0</v>
      </c>
      <c r="F109" s="140">
        <f>SUMIFS('recurring2_based on steps'!$B109:$AY109,'recurring2_based on steps'!$B$1:$AY$1,F$1)+SUMIFS('changes2_based on steps'!$B109:$U109,'changes2_based on steps'!$B$1:$U$1,F$1)</f>
        <v>0</v>
      </c>
      <c r="G109" s="140">
        <f>SUMIFS('recurring2_based on steps'!$B109:$AY109,'recurring2_based on steps'!$B$1:$AY$1,G$1)+SUMIFS('changes2_based on steps'!$B109:$U109,'changes2_based on steps'!$B$1:$U$1,G$1)</f>
        <v>0</v>
      </c>
      <c r="H109" s="140">
        <f>SUMIFS('recurring2_based on steps'!$B109:$AY109,'recurring2_based on steps'!$B$1:$AY$1,H$1)+SUMIFS('changes2_based on steps'!$B109:$U109,'changes2_based on steps'!$B$1:$U$1,H$1)</f>
        <v>0</v>
      </c>
      <c r="I109" s="140">
        <f>SUMIFS('recurring2_based on steps'!$B109:$AY109,'recurring2_based on steps'!$B$1:$AY$1,I$1)+SUMIFS('changes2_based on steps'!$B109:$U109,'changes2_based on steps'!$B$1:$U$1,I$1)</f>
        <v>0</v>
      </c>
      <c r="J109" s="140">
        <f ca="1">SUMIFS('recurring2_based on steps'!$B109:$AY109,'recurring2_based on steps'!$B$1:$AY$1,J$1)+SUMIFS('changes2_based on steps'!$B109:$U109,'changes2_based on steps'!$B$1:$U$1,J$1)</f>
        <v>0</v>
      </c>
      <c r="K109" s="140">
        <f>SUMIFS('recurring2_based on steps'!$B109:$AY109,'recurring2_based on steps'!$B$1:$AY$1,K$1)+SUMIFS('changes2_based on steps'!$B109:$U109,'changes2_based on steps'!$B$1:$U$1,K$1)</f>
        <v>0</v>
      </c>
      <c r="L109" s="140">
        <f>SUMIFS('recurring2_based on steps'!$B109:$AY109,'recurring2_based on steps'!$B$1:$AY$1,L$1)+SUMIFS('changes2_based on steps'!$B109:$U109,'changes2_based on steps'!$B$1:$U$1,L$1)</f>
        <v>0</v>
      </c>
      <c r="M109" s="140">
        <f>SUMIFS('recurring2_based on steps'!$B109:$AY109,'recurring2_based on steps'!$B$1:$AY$1,M$1)+SUMIFS('changes2_based on steps'!$B109:$U109,'changes2_based on steps'!$B$1:$U$1,M$1)</f>
        <v>0</v>
      </c>
      <c r="N109" s="140">
        <f ca="1">SUMIFS('recurring2_based on steps'!$B109:$AY109,'recurring2_based on steps'!$B$1:$AY$1,N$1)+SUMIFS('changes2_based on steps'!$B109:$U109,'changes2_based on steps'!$B$1:$U$1,N$1)</f>
        <v>0</v>
      </c>
      <c r="O109" s="140">
        <f>SUMIFS('recurring2_based on steps'!$B109:$AY109,'recurring2_based on steps'!$B$1:$AY$1,O$1)+SUMIFS('changes2_based on steps'!$B109:$U109,'changes2_based on steps'!$B$1:$U$1,O$1)</f>
        <v>0</v>
      </c>
      <c r="P109" s="140">
        <f ca="1">SUMIFS('recurring2_based on steps'!$B109:$AY109,'recurring2_based on steps'!$B$1:$AY$1,P$1)+SUMIFS('changes2_based on steps'!$B109:$U109,'changes2_based on steps'!$B$1:$U$1,P$1)</f>
        <v>0</v>
      </c>
      <c r="Q109" s="140">
        <f ca="1">SUMIFS('recurring2_based on steps'!$B109:$AY109,'recurring2_based on steps'!$B$1:$AY$1,Q$1)+SUMIFS('changes2_based on steps'!$B109:$U109,'changes2_based on steps'!$B$1:$U$1,Q$1)</f>
        <v>5.5401662049861494E-2</v>
      </c>
      <c r="R109" s="140">
        <f ca="1">SUMIFS('recurring2_based on steps'!$B109:$AY109,'recurring2_based on steps'!$B$1:$AY$1,R$1)+SUMIFS('changes2_based on steps'!$B109:$U109,'changes2_based on steps'!$B$1:$U$1,R$1)</f>
        <v>0</v>
      </c>
      <c r="S109" s="140">
        <f>SUMIFS('recurring2_based on steps'!$B109:$AY109,'recurring2_based on steps'!$B$1:$AY$1,S$1)+SUMIFS('changes2_based on steps'!$B109:$U109,'changes2_based on steps'!$B$1:$U$1,S$1)</f>
        <v>0</v>
      </c>
      <c r="T109" s="140">
        <f ca="1">SUMIFS('recurring2_based on steps'!$B109:$AY109,'recurring2_based on steps'!$B$1:$AY$1,T$1)+SUMIFS('changes2_based on steps'!$B109:$U109,'changes2_based on steps'!$B$1:$U$1,T$1)</f>
        <v>50</v>
      </c>
      <c r="U109" s="140">
        <f ca="1">SUMIFS('recurring2_based on steps'!$B109:$AY109,'recurring2_based on steps'!$B$1:$AY$1,U$1)+SUMIFS('changes2_based on steps'!$B109:$U109,'changes2_based on steps'!$B$1:$U$1,U$1)</f>
        <v>200</v>
      </c>
      <c r="V109" s="140">
        <f>SUMIFS('recurring2_based on steps'!$B109:$AY109,'recurring2_based on steps'!$B$1:$AY$1,V$1)+SUMIFS('changes2_based on steps'!$B109:$U109,'changes2_based on steps'!$B$1:$U$1,V$1)</f>
        <v>0</v>
      </c>
      <c r="W109" s="140">
        <f>SUMIFS('recurring2_based on steps'!$B109:$AY109,'recurring2_based on steps'!$B$1:$AY$1,W$1)+SUMIFS('changes2_based on steps'!$B109:$U109,'changes2_based on steps'!$B$1:$U$1,W$1)</f>
        <v>0</v>
      </c>
      <c r="X109" s="140">
        <f ca="1">SUMIFS('recurring2_based on steps'!$B109:$AY109,'recurring2_based on steps'!$B$1:$AY$1,X$1)+SUMIFS('changes2_based on steps'!$B109:$U109,'changes2_based on steps'!$B$1:$U$1,X$1)</f>
        <v>96</v>
      </c>
      <c r="Y109" s="140">
        <f ca="1">SUMIFS('recurring2_based on steps'!$B109:$AY109,'recurring2_based on steps'!$B$1:$AY$1,Y$1)+SUMIFS('changes2_based on steps'!$B109:$U109,'changes2_based on steps'!$B$1:$U$1,Y$1)</f>
        <v>0</v>
      </c>
      <c r="Z109" s="140">
        <f>SUMIFS('recurring2_based on steps'!$B109:$AY109,'recurring2_based on steps'!$B$1:$AY$1,Z$1)+SUMIFS('changes2_based on steps'!$B109:$U109,'changes2_based on steps'!$B$1:$U$1,Z$1)</f>
        <v>0</v>
      </c>
      <c r="AA109" s="140">
        <f ca="1">SUMIFS('recurring2_based on steps'!$B109:$AY109,'recurring2_based on steps'!$B$1:$AY$1,AA$1)+SUMIFS('changes2_based on steps'!$B109:$U109,'changes2_based on steps'!$B$1:$U$1,AA$1)</f>
        <v>0</v>
      </c>
      <c r="AB109" s="140">
        <f ca="1">SUMIFS('recurring2_based on steps'!$B109:$AY109,'recurring2_based on steps'!$B$1:$AY$1,AB$1)+SUMIFS('changes2_based on steps'!$B109:$U109,'changes2_based on steps'!$B$1:$U$1,AB$1)</f>
        <v>0</v>
      </c>
      <c r="AC109" s="140">
        <f ca="1">SUMIFS('recurring2_based on steps'!$B109:$AY109,'recurring2_based on steps'!$B$1:$AY$1,AC$1)+SUMIFS('changes2_based on steps'!$B109:$U109,'changes2_based on steps'!$B$1:$U$1,AC$1)</f>
        <v>0</v>
      </c>
      <c r="AD109" s="140">
        <f ca="1">SUMIFS('recurring2_based on steps'!$B109:$AY109,'recurring2_based on steps'!$B$1:$AY$1,AD$1)+SUMIFS('changes2_based on steps'!$B109:$U109,'changes2_based on steps'!$B$1:$U$1,AD$1)</f>
        <v>50</v>
      </c>
      <c r="AE109" s="140">
        <f>SUMIFS('recurring2_based on steps'!$B109:$AY109,'recurring2_based on steps'!$B$1:$AY$1,AE$1)+SUMIFS('changes2_based on steps'!$B109:$U109,'changes2_based on steps'!$B$1:$U$1,AE$1)</f>
        <v>0</v>
      </c>
      <c r="AF109" s="140"/>
      <c r="AG109" s="140"/>
      <c r="AH109" s="140"/>
      <c r="AI109" s="140"/>
      <c r="AJ109" s="140"/>
      <c r="AK109" s="140"/>
      <c r="AL109" s="140"/>
      <c r="AM109" s="140"/>
    </row>
    <row r="110" spans="1:39" x14ac:dyDescent="0.2">
      <c r="A110" s="29">
        <f t="shared" ca="1" si="1"/>
        <v>45850</v>
      </c>
      <c r="B110" s="140">
        <f ca="1">SUMIFS('recurring2_based on steps'!$B110:$AY110,'recurring2_based on steps'!$B$1:$AY$1,B$1)+SUMIFS('changes2_based on steps'!$B110:$U110,'changes2_based on steps'!$B$1:$U$1,B$1)</f>
        <v>0</v>
      </c>
      <c r="C110" s="140">
        <f>SUMIFS('recurring2_based on steps'!$B110:$AY110,'recurring2_based on steps'!$B$1:$AY$1,C$1)+SUMIFS('changes2_based on steps'!$B110:$U110,'changes2_based on steps'!$B$1:$U$1,C$1)</f>
        <v>0</v>
      </c>
      <c r="D110" s="140">
        <f>SUMIFS('recurring2_based on steps'!$B110:$AY110,'recurring2_based on steps'!$B$1:$AY$1,D$1)+SUMIFS('changes2_based on steps'!$B110:$U110,'changes2_based on steps'!$B$1:$U$1,D$1)</f>
        <v>0</v>
      </c>
      <c r="E110" s="140">
        <f>SUMIFS('recurring2_based on steps'!$B110:$AY110,'recurring2_based on steps'!$B$1:$AY$1,E$1)+SUMIFS('changes2_based on steps'!$B110:$U110,'changes2_based on steps'!$B$1:$U$1,E$1)</f>
        <v>0</v>
      </c>
      <c r="F110" s="140">
        <f>SUMIFS('recurring2_based on steps'!$B110:$AY110,'recurring2_based on steps'!$B$1:$AY$1,F$1)+SUMIFS('changes2_based on steps'!$B110:$U110,'changes2_based on steps'!$B$1:$U$1,F$1)</f>
        <v>0</v>
      </c>
      <c r="G110" s="140">
        <f>SUMIFS('recurring2_based on steps'!$B110:$AY110,'recurring2_based on steps'!$B$1:$AY$1,G$1)+SUMIFS('changes2_based on steps'!$B110:$U110,'changes2_based on steps'!$B$1:$U$1,G$1)</f>
        <v>0</v>
      </c>
      <c r="H110" s="140">
        <f>SUMIFS('recurring2_based on steps'!$B110:$AY110,'recurring2_based on steps'!$B$1:$AY$1,H$1)+SUMIFS('changes2_based on steps'!$B110:$U110,'changes2_based on steps'!$B$1:$U$1,H$1)</f>
        <v>0</v>
      </c>
      <c r="I110" s="140">
        <f>SUMIFS('recurring2_based on steps'!$B110:$AY110,'recurring2_based on steps'!$B$1:$AY$1,I$1)+SUMIFS('changes2_based on steps'!$B110:$U110,'changes2_based on steps'!$B$1:$U$1,I$1)</f>
        <v>0</v>
      </c>
      <c r="J110" s="140">
        <f ca="1">SUMIFS('recurring2_based on steps'!$B110:$AY110,'recurring2_based on steps'!$B$1:$AY$1,J$1)+SUMIFS('changes2_based on steps'!$B110:$U110,'changes2_based on steps'!$B$1:$U$1,J$1)</f>
        <v>0</v>
      </c>
      <c r="K110" s="140">
        <f>SUMIFS('recurring2_based on steps'!$B110:$AY110,'recurring2_based on steps'!$B$1:$AY$1,K$1)+SUMIFS('changes2_based on steps'!$B110:$U110,'changes2_based on steps'!$B$1:$U$1,K$1)</f>
        <v>0</v>
      </c>
      <c r="L110" s="140">
        <f>SUMIFS('recurring2_based on steps'!$B110:$AY110,'recurring2_based on steps'!$B$1:$AY$1,L$1)+SUMIFS('changes2_based on steps'!$B110:$U110,'changes2_based on steps'!$B$1:$U$1,L$1)</f>
        <v>0</v>
      </c>
      <c r="M110" s="140">
        <f>SUMIFS('recurring2_based on steps'!$B110:$AY110,'recurring2_based on steps'!$B$1:$AY$1,M$1)+SUMIFS('changes2_based on steps'!$B110:$U110,'changes2_based on steps'!$B$1:$U$1,M$1)</f>
        <v>0</v>
      </c>
      <c r="N110" s="140">
        <f ca="1">SUMIFS('recurring2_based on steps'!$B110:$AY110,'recurring2_based on steps'!$B$1:$AY$1,N$1)+SUMIFS('changes2_based on steps'!$B110:$U110,'changes2_based on steps'!$B$1:$U$1,N$1)</f>
        <v>0</v>
      </c>
      <c r="O110" s="140">
        <f>SUMIFS('recurring2_based on steps'!$B110:$AY110,'recurring2_based on steps'!$B$1:$AY$1,O$1)+SUMIFS('changes2_based on steps'!$B110:$U110,'changes2_based on steps'!$B$1:$U$1,O$1)</f>
        <v>0</v>
      </c>
      <c r="P110" s="140">
        <f ca="1">SUMIFS('recurring2_based on steps'!$B110:$AY110,'recurring2_based on steps'!$B$1:$AY$1,P$1)+SUMIFS('changes2_based on steps'!$B110:$U110,'changes2_based on steps'!$B$1:$U$1,P$1)</f>
        <v>0</v>
      </c>
      <c r="Q110" s="140">
        <f ca="1">SUMIFS('recurring2_based on steps'!$B110:$AY110,'recurring2_based on steps'!$B$1:$AY$1,Q$1)+SUMIFS('changes2_based on steps'!$B110:$U110,'changes2_based on steps'!$B$1:$U$1,Q$1)</f>
        <v>100.05540166204986</v>
      </c>
      <c r="R110" s="140">
        <f ca="1">SUMIFS('recurring2_based on steps'!$B110:$AY110,'recurring2_based on steps'!$B$1:$AY$1,R$1)+SUMIFS('changes2_based on steps'!$B110:$U110,'changes2_based on steps'!$B$1:$U$1,R$1)</f>
        <v>0</v>
      </c>
      <c r="S110" s="140">
        <f>SUMIFS('recurring2_based on steps'!$B110:$AY110,'recurring2_based on steps'!$B$1:$AY$1,S$1)+SUMIFS('changes2_based on steps'!$B110:$U110,'changes2_based on steps'!$B$1:$U$1,S$1)</f>
        <v>0</v>
      </c>
      <c r="T110" s="140">
        <f ca="1">SUMIFS('recurring2_based on steps'!$B110:$AY110,'recurring2_based on steps'!$B$1:$AY$1,T$1)+SUMIFS('changes2_based on steps'!$B110:$U110,'changes2_based on steps'!$B$1:$U$1,T$1)</f>
        <v>0</v>
      </c>
      <c r="U110" s="140">
        <f ca="1">SUMIFS('recurring2_based on steps'!$B110:$AY110,'recurring2_based on steps'!$B$1:$AY$1,U$1)+SUMIFS('changes2_based on steps'!$B110:$U110,'changes2_based on steps'!$B$1:$U$1,U$1)</f>
        <v>0</v>
      </c>
      <c r="V110" s="140">
        <f>SUMIFS('recurring2_based on steps'!$B110:$AY110,'recurring2_based on steps'!$B$1:$AY$1,V$1)+SUMIFS('changes2_based on steps'!$B110:$U110,'changes2_based on steps'!$B$1:$U$1,V$1)</f>
        <v>0</v>
      </c>
      <c r="W110" s="140">
        <f>SUMIFS('recurring2_based on steps'!$B110:$AY110,'recurring2_based on steps'!$B$1:$AY$1,W$1)+SUMIFS('changes2_based on steps'!$B110:$U110,'changes2_based on steps'!$B$1:$U$1,W$1)</f>
        <v>0</v>
      </c>
      <c r="X110" s="140">
        <f ca="1">SUMIFS('recurring2_based on steps'!$B110:$AY110,'recurring2_based on steps'!$B$1:$AY$1,X$1)+SUMIFS('changes2_based on steps'!$B110:$U110,'changes2_based on steps'!$B$1:$U$1,X$1)</f>
        <v>0</v>
      </c>
      <c r="Y110" s="140">
        <f ca="1">SUMIFS('recurring2_based on steps'!$B110:$AY110,'recurring2_based on steps'!$B$1:$AY$1,Y$1)+SUMIFS('changes2_based on steps'!$B110:$U110,'changes2_based on steps'!$B$1:$U$1,Y$1)</f>
        <v>0</v>
      </c>
      <c r="Z110" s="140">
        <f>SUMIFS('recurring2_based on steps'!$B110:$AY110,'recurring2_based on steps'!$B$1:$AY$1,Z$1)+SUMIFS('changes2_based on steps'!$B110:$U110,'changes2_based on steps'!$B$1:$U$1,Z$1)</f>
        <v>0</v>
      </c>
      <c r="AA110" s="140">
        <f ca="1">SUMIFS('recurring2_based on steps'!$B110:$AY110,'recurring2_based on steps'!$B$1:$AY$1,AA$1)+SUMIFS('changes2_based on steps'!$B110:$U110,'changes2_based on steps'!$B$1:$U$1,AA$1)</f>
        <v>0</v>
      </c>
      <c r="AB110" s="140">
        <f ca="1">SUMIFS('recurring2_based on steps'!$B110:$AY110,'recurring2_based on steps'!$B$1:$AY$1,AB$1)+SUMIFS('changes2_based on steps'!$B110:$U110,'changes2_based on steps'!$B$1:$U$1,AB$1)</f>
        <v>100</v>
      </c>
      <c r="AC110" s="140">
        <f ca="1">SUMIFS('recurring2_based on steps'!$B110:$AY110,'recurring2_based on steps'!$B$1:$AY$1,AC$1)+SUMIFS('changes2_based on steps'!$B110:$U110,'changes2_based on steps'!$B$1:$U$1,AC$1)</f>
        <v>0</v>
      </c>
      <c r="AD110" s="140">
        <f ca="1">SUMIFS('recurring2_based on steps'!$B110:$AY110,'recurring2_based on steps'!$B$1:$AY$1,AD$1)+SUMIFS('changes2_based on steps'!$B110:$U110,'changes2_based on steps'!$B$1:$U$1,AD$1)</f>
        <v>0</v>
      </c>
      <c r="AE110" s="140">
        <f>SUMIFS('recurring2_based on steps'!$B110:$AY110,'recurring2_based on steps'!$B$1:$AY$1,AE$1)+SUMIFS('changes2_based on steps'!$B110:$U110,'changes2_based on steps'!$B$1:$U$1,AE$1)</f>
        <v>0</v>
      </c>
      <c r="AF110" s="140"/>
      <c r="AG110" s="140"/>
      <c r="AH110" s="140"/>
      <c r="AI110" s="140"/>
      <c r="AJ110" s="140"/>
      <c r="AK110" s="140"/>
      <c r="AL110" s="140"/>
      <c r="AM110" s="140"/>
    </row>
    <row r="111" spans="1:39" x14ac:dyDescent="0.2">
      <c r="A111" s="29">
        <f t="shared" ca="1" si="1"/>
        <v>45851</v>
      </c>
      <c r="B111" s="140">
        <f ca="1">SUMIFS('recurring2_based on steps'!$B111:$AY111,'recurring2_based on steps'!$B$1:$AY$1,B$1)+SUMIFS('changes2_based on steps'!$B111:$U111,'changes2_based on steps'!$B$1:$U$1,B$1)</f>
        <v>0</v>
      </c>
      <c r="C111" s="140">
        <f>SUMIFS('recurring2_based on steps'!$B111:$AY111,'recurring2_based on steps'!$B$1:$AY$1,C$1)+SUMIFS('changes2_based on steps'!$B111:$U111,'changes2_based on steps'!$B$1:$U$1,C$1)</f>
        <v>0</v>
      </c>
      <c r="D111" s="140">
        <f>SUMIFS('recurring2_based on steps'!$B111:$AY111,'recurring2_based on steps'!$B$1:$AY$1,D$1)+SUMIFS('changes2_based on steps'!$B111:$U111,'changes2_based on steps'!$B$1:$U$1,D$1)</f>
        <v>0</v>
      </c>
      <c r="E111" s="140">
        <f>SUMIFS('recurring2_based on steps'!$B111:$AY111,'recurring2_based on steps'!$B$1:$AY$1,E$1)+SUMIFS('changes2_based on steps'!$B111:$U111,'changes2_based on steps'!$B$1:$U$1,E$1)</f>
        <v>0</v>
      </c>
      <c r="F111" s="140">
        <f>SUMIFS('recurring2_based on steps'!$B111:$AY111,'recurring2_based on steps'!$B$1:$AY$1,F$1)+SUMIFS('changes2_based on steps'!$B111:$U111,'changes2_based on steps'!$B$1:$U$1,F$1)</f>
        <v>0</v>
      </c>
      <c r="G111" s="140">
        <f>SUMIFS('recurring2_based on steps'!$B111:$AY111,'recurring2_based on steps'!$B$1:$AY$1,G$1)+SUMIFS('changes2_based on steps'!$B111:$U111,'changes2_based on steps'!$B$1:$U$1,G$1)</f>
        <v>0</v>
      </c>
      <c r="H111" s="140">
        <f>SUMIFS('recurring2_based on steps'!$B111:$AY111,'recurring2_based on steps'!$B$1:$AY$1,H$1)+SUMIFS('changes2_based on steps'!$B111:$U111,'changes2_based on steps'!$B$1:$U$1,H$1)</f>
        <v>0</v>
      </c>
      <c r="I111" s="140">
        <f>SUMIFS('recurring2_based on steps'!$B111:$AY111,'recurring2_based on steps'!$B$1:$AY$1,I$1)+SUMIFS('changes2_based on steps'!$B111:$U111,'changes2_based on steps'!$B$1:$U$1,I$1)</f>
        <v>0</v>
      </c>
      <c r="J111" s="140">
        <f ca="1">SUMIFS('recurring2_based on steps'!$B111:$AY111,'recurring2_based on steps'!$B$1:$AY$1,J$1)+SUMIFS('changes2_based on steps'!$B111:$U111,'changes2_based on steps'!$B$1:$U$1,J$1)</f>
        <v>0</v>
      </c>
      <c r="K111" s="140">
        <f>SUMIFS('recurring2_based on steps'!$B111:$AY111,'recurring2_based on steps'!$B$1:$AY$1,K$1)+SUMIFS('changes2_based on steps'!$B111:$U111,'changes2_based on steps'!$B$1:$U$1,K$1)</f>
        <v>0</v>
      </c>
      <c r="L111" s="140">
        <f>SUMIFS('recurring2_based on steps'!$B111:$AY111,'recurring2_based on steps'!$B$1:$AY$1,L$1)+SUMIFS('changes2_based on steps'!$B111:$U111,'changes2_based on steps'!$B$1:$U$1,L$1)</f>
        <v>0</v>
      </c>
      <c r="M111" s="140">
        <f>SUMIFS('recurring2_based on steps'!$B111:$AY111,'recurring2_based on steps'!$B$1:$AY$1,M$1)+SUMIFS('changes2_based on steps'!$B111:$U111,'changes2_based on steps'!$B$1:$U$1,M$1)</f>
        <v>0</v>
      </c>
      <c r="N111" s="140">
        <f ca="1">SUMIFS('recurring2_based on steps'!$B111:$AY111,'recurring2_based on steps'!$B$1:$AY$1,N$1)+SUMIFS('changes2_based on steps'!$B111:$U111,'changes2_based on steps'!$B$1:$U$1,N$1)</f>
        <v>0</v>
      </c>
      <c r="O111" s="140">
        <f>SUMIFS('recurring2_based on steps'!$B111:$AY111,'recurring2_based on steps'!$B$1:$AY$1,O$1)+SUMIFS('changes2_based on steps'!$B111:$U111,'changes2_based on steps'!$B$1:$U$1,O$1)</f>
        <v>0</v>
      </c>
      <c r="P111" s="140">
        <f ca="1">SUMIFS('recurring2_based on steps'!$B111:$AY111,'recurring2_based on steps'!$B$1:$AY$1,P$1)+SUMIFS('changes2_based on steps'!$B111:$U111,'changes2_based on steps'!$B$1:$U$1,P$1)</f>
        <v>0</v>
      </c>
      <c r="Q111" s="140">
        <f ca="1">SUMIFS('recurring2_based on steps'!$B111:$AY111,'recurring2_based on steps'!$B$1:$AY$1,Q$1)+SUMIFS('changes2_based on steps'!$B111:$U111,'changes2_based on steps'!$B$1:$U$1,Q$1)</f>
        <v>100.05540166204986</v>
      </c>
      <c r="R111" s="140">
        <f ca="1">SUMIFS('recurring2_based on steps'!$B111:$AY111,'recurring2_based on steps'!$B$1:$AY$1,R$1)+SUMIFS('changes2_based on steps'!$B111:$U111,'changes2_based on steps'!$B$1:$U$1,R$1)</f>
        <v>0</v>
      </c>
      <c r="S111" s="140">
        <f>SUMIFS('recurring2_based on steps'!$B111:$AY111,'recurring2_based on steps'!$B$1:$AY$1,S$1)+SUMIFS('changes2_based on steps'!$B111:$U111,'changes2_based on steps'!$B$1:$U$1,S$1)</f>
        <v>0</v>
      </c>
      <c r="T111" s="140">
        <f ca="1">SUMIFS('recurring2_based on steps'!$B111:$AY111,'recurring2_based on steps'!$B$1:$AY$1,T$1)+SUMIFS('changes2_based on steps'!$B111:$U111,'changes2_based on steps'!$B$1:$U$1,T$1)</f>
        <v>0</v>
      </c>
      <c r="U111" s="140">
        <f ca="1">SUMIFS('recurring2_based on steps'!$B111:$AY111,'recurring2_based on steps'!$B$1:$AY$1,U$1)+SUMIFS('changes2_based on steps'!$B111:$U111,'changes2_based on steps'!$B$1:$U$1,U$1)</f>
        <v>0</v>
      </c>
      <c r="V111" s="140">
        <f>SUMIFS('recurring2_based on steps'!$B111:$AY111,'recurring2_based on steps'!$B$1:$AY$1,V$1)+SUMIFS('changes2_based on steps'!$B111:$U111,'changes2_based on steps'!$B$1:$U$1,V$1)</f>
        <v>0</v>
      </c>
      <c r="W111" s="140">
        <f>SUMIFS('recurring2_based on steps'!$B111:$AY111,'recurring2_based on steps'!$B$1:$AY$1,W$1)+SUMIFS('changes2_based on steps'!$B111:$U111,'changes2_based on steps'!$B$1:$U$1,W$1)</f>
        <v>0</v>
      </c>
      <c r="X111" s="140">
        <f ca="1">SUMIFS('recurring2_based on steps'!$B111:$AY111,'recurring2_based on steps'!$B$1:$AY$1,X$1)+SUMIFS('changes2_based on steps'!$B111:$U111,'changes2_based on steps'!$B$1:$U$1,X$1)</f>
        <v>0</v>
      </c>
      <c r="Y111" s="140">
        <f ca="1">SUMIFS('recurring2_based on steps'!$B111:$AY111,'recurring2_based on steps'!$B$1:$AY$1,Y$1)+SUMIFS('changes2_based on steps'!$B111:$U111,'changes2_based on steps'!$B$1:$U$1,Y$1)</f>
        <v>50</v>
      </c>
      <c r="Z111" s="140">
        <f>SUMIFS('recurring2_based on steps'!$B111:$AY111,'recurring2_based on steps'!$B$1:$AY$1,Z$1)+SUMIFS('changes2_based on steps'!$B111:$U111,'changes2_based on steps'!$B$1:$U$1,Z$1)</f>
        <v>0</v>
      </c>
      <c r="AA111" s="140">
        <f ca="1">SUMIFS('recurring2_based on steps'!$B111:$AY111,'recurring2_based on steps'!$B$1:$AY$1,AA$1)+SUMIFS('changes2_based on steps'!$B111:$U111,'changes2_based on steps'!$B$1:$U$1,AA$1)</f>
        <v>0</v>
      </c>
      <c r="AB111" s="140">
        <f ca="1">SUMIFS('recurring2_based on steps'!$B111:$AY111,'recurring2_based on steps'!$B$1:$AY$1,AB$1)+SUMIFS('changes2_based on steps'!$B111:$U111,'changes2_based on steps'!$B$1:$U$1,AB$1)</f>
        <v>0</v>
      </c>
      <c r="AC111" s="140">
        <f ca="1">SUMIFS('recurring2_based on steps'!$B111:$AY111,'recurring2_based on steps'!$B$1:$AY$1,AC$1)+SUMIFS('changes2_based on steps'!$B111:$U111,'changes2_based on steps'!$B$1:$U$1,AC$1)</f>
        <v>0</v>
      </c>
      <c r="AD111" s="140">
        <f ca="1">SUMIFS('recurring2_based on steps'!$B111:$AY111,'recurring2_based on steps'!$B$1:$AY$1,AD$1)+SUMIFS('changes2_based on steps'!$B111:$U111,'changes2_based on steps'!$B$1:$U$1,AD$1)</f>
        <v>0</v>
      </c>
      <c r="AE111" s="140">
        <f>SUMIFS('recurring2_based on steps'!$B111:$AY111,'recurring2_based on steps'!$B$1:$AY$1,AE$1)+SUMIFS('changes2_based on steps'!$B111:$U111,'changes2_based on steps'!$B$1:$U$1,AE$1)</f>
        <v>0</v>
      </c>
      <c r="AF111" s="140"/>
      <c r="AG111" s="140"/>
      <c r="AH111" s="140"/>
      <c r="AI111" s="140"/>
      <c r="AJ111" s="140"/>
      <c r="AK111" s="140"/>
      <c r="AL111" s="140"/>
      <c r="AM111" s="140"/>
    </row>
    <row r="112" spans="1:39" x14ac:dyDescent="0.2">
      <c r="A112" s="29">
        <f t="shared" ca="1" si="1"/>
        <v>45852</v>
      </c>
      <c r="B112" s="140">
        <f ca="1">SUMIFS('recurring2_based on steps'!$B112:$AY112,'recurring2_based on steps'!$B$1:$AY$1,B$1)+SUMIFS('changes2_based on steps'!$B112:$U112,'changes2_based on steps'!$B$1:$U$1,B$1)</f>
        <v>0</v>
      </c>
      <c r="C112" s="140">
        <f>SUMIFS('recurring2_based on steps'!$B112:$AY112,'recurring2_based on steps'!$B$1:$AY$1,C$1)+SUMIFS('changes2_based on steps'!$B112:$U112,'changes2_based on steps'!$B$1:$U$1,C$1)</f>
        <v>0</v>
      </c>
      <c r="D112" s="140">
        <f>SUMIFS('recurring2_based on steps'!$B112:$AY112,'recurring2_based on steps'!$B$1:$AY$1,D$1)+SUMIFS('changes2_based on steps'!$B112:$U112,'changes2_based on steps'!$B$1:$U$1,D$1)</f>
        <v>0</v>
      </c>
      <c r="E112" s="140">
        <f>SUMIFS('recurring2_based on steps'!$B112:$AY112,'recurring2_based on steps'!$B$1:$AY$1,E$1)+SUMIFS('changes2_based on steps'!$B112:$U112,'changes2_based on steps'!$B$1:$U$1,E$1)</f>
        <v>0</v>
      </c>
      <c r="F112" s="140">
        <f>SUMIFS('recurring2_based on steps'!$B112:$AY112,'recurring2_based on steps'!$B$1:$AY$1,F$1)+SUMIFS('changes2_based on steps'!$B112:$U112,'changes2_based on steps'!$B$1:$U$1,F$1)</f>
        <v>0</v>
      </c>
      <c r="G112" s="140">
        <f>SUMIFS('recurring2_based on steps'!$B112:$AY112,'recurring2_based on steps'!$B$1:$AY$1,G$1)+SUMIFS('changes2_based on steps'!$B112:$U112,'changes2_based on steps'!$B$1:$U$1,G$1)</f>
        <v>0</v>
      </c>
      <c r="H112" s="140">
        <f>SUMIFS('recurring2_based on steps'!$B112:$AY112,'recurring2_based on steps'!$B$1:$AY$1,H$1)+SUMIFS('changes2_based on steps'!$B112:$U112,'changes2_based on steps'!$B$1:$U$1,H$1)</f>
        <v>0</v>
      </c>
      <c r="I112" s="140">
        <f>SUMIFS('recurring2_based on steps'!$B112:$AY112,'recurring2_based on steps'!$B$1:$AY$1,I$1)+SUMIFS('changes2_based on steps'!$B112:$U112,'changes2_based on steps'!$B$1:$U$1,I$1)</f>
        <v>0</v>
      </c>
      <c r="J112" s="140">
        <f ca="1">SUMIFS('recurring2_based on steps'!$B112:$AY112,'recurring2_based on steps'!$B$1:$AY$1,J$1)+SUMIFS('changes2_based on steps'!$B112:$U112,'changes2_based on steps'!$B$1:$U$1,J$1)</f>
        <v>0</v>
      </c>
      <c r="K112" s="140">
        <f>SUMIFS('recurring2_based on steps'!$B112:$AY112,'recurring2_based on steps'!$B$1:$AY$1,K$1)+SUMIFS('changes2_based on steps'!$B112:$U112,'changes2_based on steps'!$B$1:$U$1,K$1)</f>
        <v>0</v>
      </c>
      <c r="L112" s="140">
        <f>SUMIFS('recurring2_based on steps'!$B112:$AY112,'recurring2_based on steps'!$B$1:$AY$1,L$1)+SUMIFS('changes2_based on steps'!$B112:$U112,'changes2_based on steps'!$B$1:$U$1,L$1)</f>
        <v>0</v>
      </c>
      <c r="M112" s="140">
        <f>SUMIFS('recurring2_based on steps'!$B112:$AY112,'recurring2_based on steps'!$B$1:$AY$1,M$1)+SUMIFS('changes2_based on steps'!$B112:$U112,'changes2_based on steps'!$B$1:$U$1,M$1)</f>
        <v>0</v>
      </c>
      <c r="N112" s="140">
        <f ca="1">SUMIFS('recurring2_based on steps'!$B112:$AY112,'recurring2_based on steps'!$B$1:$AY$1,N$1)+SUMIFS('changes2_based on steps'!$B112:$U112,'changes2_based on steps'!$B$1:$U$1,N$1)</f>
        <v>0</v>
      </c>
      <c r="O112" s="140">
        <f>SUMIFS('recurring2_based on steps'!$B112:$AY112,'recurring2_based on steps'!$B$1:$AY$1,O$1)+SUMIFS('changes2_based on steps'!$B112:$U112,'changes2_based on steps'!$B$1:$U$1,O$1)</f>
        <v>0</v>
      </c>
      <c r="P112" s="140">
        <f ca="1">SUMIFS('recurring2_based on steps'!$B112:$AY112,'recurring2_based on steps'!$B$1:$AY$1,P$1)+SUMIFS('changes2_based on steps'!$B112:$U112,'changes2_based on steps'!$B$1:$U$1,P$1)</f>
        <v>0</v>
      </c>
      <c r="Q112" s="140">
        <f ca="1">SUMIFS('recurring2_based on steps'!$B112:$AY112,'recurring2_based on steps'!$B$1:$AY$1,Q$1)+SUMIFS('changes2_based on steps'!$B112:$U112,'changes2_based on steps'!$B$1:$U$1,Q$1)</f>
        <v>5.5401662049861494E-2</v>
      </c>
      <c r="R112" s="140">
        <f ca="1">SUMIFS('recurring2_based on steps'!$B112:$AY112,'recurring2_based on steps'!$B$1:$AY$1,R$1)+SUMIFS('changes2_based on steps'!$B112:$U112,'changes2_based on steps'!$B$1:$U$1,R$1)</f>
        <v>0</v>
      </c>
      <c r="S112" s="140">
        <f>SUMIFS('recurring2_based on steps'!$B112:$AY112,'recurring2_based on steps'!$B$1:$AY$1,S$1)+SUMIFS('changes2_based on steps'!$B112:$U112,'changes2_based on steps'!$B$1:$U$1,S$1)</f>
        <v>0</v>
      </c>
      <c r="T112" s="140">
        <f ca="1">SUMIFS('recurring2_based on steps'!$B112:$AY112,'recurring2_based on steps'!$B$1:$AY$1,T$1)+SUMIFS('changes2_based on steps'!$B112:$U112,'changes2_based on steps'!$B$1:$U$1,T$1)</f>
        <v>0</v>
      </c>
      <c r="U112" s="140">
        <f ca="1">SUMIFS('recurring2_based on steps'!$B112:$AY112,'recurring2_based on steps'!$B$1:$AY$1,U$1)+SUMIFS('changes2_based on steps'!$B112:$U112,'changes2_based on steps'!$B$1:$U$1,U$1)</f>
        <v>0</v>
      </c>
      <c r="V112" s="140">
        <f>SUMIFS('recurring2_based on steps'!$B112:$AY112,'recurring2_based on steps'!$B$1:$AY$1,V$1)+SUMIFS('changes2_based on steps'!$B112:$U112,'changes2_based on steps'!$B$1:$U$1,V$1)</f>
        <v>0</v>
      </c>
      <c r="W112" s="140">
        <f>SUMIFS('recurring2_based on steps'!$B112:$AY112,'recurring2_based on steps'!$B$1:$AY$1,W$1)+SUMIFS('changes2_based on steps'!$B112:$U112,'changes2_based on steps'!$B$1:$U$1,W$1)</f>
        <v>0</v>
      </c>
      <c r="X112" s="140">
        <f ca="1">SUMIFS('recurring2_based on steps'!$B112:$AY112,'recurring2_based on steps'!$B$1:$AY$1,X$1)+SUMIFS('changes2_based on steps'!$B112:$U112,'changes2_based on steps'!$B$1:$U$1,X$1)</f>
        <v>0</v>
      </c>
      <c r="Y112" s="140">
        <f ca="1">SUMIFS('recurring2_based on steps'!$B112:$AY112,'recurring2_based on steps'!$B$1:$AY$1,Y$1)+SUMIFS('changes2_based on steps'!$B112:$U112,'changes2_based on steps'!$B$1:$U$1,Y$1)</f>
        <v>0</v>
      </c>
      <c r="Z112" s="140">
        <f>SUMIFS('recurring2_based on steps'!$B112:$AY112,'recurring2_based on steps'!$B$1:$AY$1,Z$1)+SUMIFS('changes2_based on steps'!$B112:$U112,'changes2_based on steps'!$B$1:$U$1,Z$1)</f>
        <v>0</v>
      </c>
      <c r="AA112" s="140">
        <f ca="1">SUMIFS('recurring2_based on steps'!$B112:$AY112,'recurring2_based on steps'!$B$1:$AY$1,AA$1)+SUMIFS('changes2_based on steps'!$B112:$U112,'changes2_based on steps'!$B$1:$U$1,AA$1)</f>
        <v>0</v>
      </c>
      <c r="AB112" s="140">
        <f ca="1">SUMIFS('recurring2_based on steps'!$B112:$AY112,'recurring2_based on steps'!$B$1:$AY$1,AB$1)+SUMIFS('changes2_based on steps'!$B112:$U112,'changes2_based on steps'!$B$1:$U$1,AB$1)</f>
        <v>0</v>
      </c>
      <c r="AC112" s="140">
        <f ca="1">SUMIFS('recurring2_based on steps'!$B112:$AY112,'recurring2_based on steps'!$B$1:$AY$1,AC$1)+SUMIFS('changes2_based on steps'!$B112:$U112,'changes2_based on steps'!$B$1:$U$1,AC$1)</f>
        <v>0</v>
      </c>
      <c r="AD112" s="140">
        <f ca="1">SUMIFS('recurring2_based on steps'!$B112:$AY112,'recurring2_based on steps'!$B$1:$AY$1,AD$1)+SUMIFS('changes2_based on steps'!$B112:$U112,'changes2_based on steps'!$B$1:$U$1,AD$1)</f>
        <v>0</v>
      </c>
      <c r="AE112" s="140">
        <f>SUMIFS('recurring2_based on steps'!$B112:$AY112,'recurring2_based on steps'!$B$1:$AY$1,AE$1)+SUMIFS('changes2_based on steps'!$B112:$U112,'changes2_based on steps'!$B$1:$U$1,AE$1)</f>
        <v>0</v>
      </c>
      <c r="AF112" s="140"/>
      <c r="AG112" s="140"/>
      <c r="AH112" s="140"/>
      <c r="AI112" s="140"/>
      <c r="AJ112" s="140"/>
      <c r="AK112" s="140"/>
      <c r="AL112" s="140"/>
      <c r="AM112" s="140"/>
    </row>
    <row r="113" spans="1:39" x14ac:dyDescent="0.2">
      <c r="A113" s="29">
        <f t="shared" ca="1" si="1"/>
        <v>45853</v>
      </c>
      <c r="B113" s="140">
        <f ca="1">SUMIFS('recurring2_based on steps'!$B113:$AY113,'recurring2_based on steps'!$B$1:$AY$1,B$1)+SUMIFS('changes2_based on steps'!$B113:$U113,'changes2_based on steps'!$B$1:$U$1,B$1)</f>
        <v>0</v>
      </c>
      <c r="C113" s="140">
        <f>SUMIFS('recurring2_based on steps'!$B113:$AY113,'recurring2_based on steps'!$B$1:$AY$1,C$1)+SUMIFS('changes2_based on steps'!$B113:$U113,'changes2_based on steps'!$B$1:$U$1,C$1)</f>
        <v>0</v>
      </c>
      <c r="D113" s="140">
        <f>SUMIFS('recurring2_based on steps'!$B113:$AY113,'recurring2_based on steps'!$B$1:$AY$1,D$1)+SUMIFS('changes2_based on steps'!$B113:$U113,'changes2_based on steps'!$B$1:$U$1,D$1)</f>
        <v>0</v>
      </c>
      <c r="E113" s="140">
        <f>SUMIFS('recurring2_based on steps'!$B113:$AY113,'recurring2_based on steps'!$B$1:$AY$1,E$1)+SUMIFS('changes2_based on steps'!$B113:$U113,'changes2_based on steps'!$B$1:$U$1,E$1)</f>
        <v>0</v>
      </c>
      <c r="F113" s="140">
        <f>SUMIFS('recurring2_based on steps'!$B113:$AY113,'recurring2_based on steps'!$B$1:$AY$1,F$1)+SUMIFS('changes2_based on steps'!$B113:$U113,'changes2_based on steps'!$B$1:$U$1,F$1)</f>
        <v>0</v>
      </c>
      <c r="G113" s="140">
        <f>SUMIFS('recurring2_based on steps'!$B113:$AY113,'recurring2_based on steps'!$B$1:$AY$1,G$1)+SUMIFS('changes2_based on steps'!$B113:$U113,'changes2_based on steps'!$B$1:$U$1,G$1)</f>
        <v>0</v>
      </c>
      <c r="H113" s="140">
        <f>SUMIFS('recurring2_based on steps'!$B113:$AY113,'recurring2_based on steps'!$B$1:$AY$1,H$1)+SUMIFS('changes2_based on steps'!$B113:$U113,'changes2_based on steps'!$B$1:$U$1,H$1)</f>
        <v>0</v>
      </c>
      <c r="I113" s="140">
        <f>SUMIFS('recurring2_based on steps'!$B113:$AY113,'recurring2_based on steps'!$B$1:$AY$1,I$1)+SUMIFS('changes2_based on steps'!$B113:$U113,'changes2_based on steps'!$B$1:$U$1,I$1)</f>
        <v>0</v>
      </c>
      <c r="J113" s="140">
        <f ca="1">SUMIFS('recurring2_based on steps'!$B113:$AY113,'recurring2_based on steps'!$B$1:$AY$1,J$1)+SUMIFS('changes2_based on steps'!$B113:$U113,'changes2_based on steps'!$B$1:$U$1,J$1)</f>
        <v>0</v>
      </c>
      <c r="K113" s="140">
        <f>SUMIFS('recurring2_based on steps'!$B113:$AY113,'recurring2_based on steps'!$B$1:$AY$1,K$1)+SUMIFS('changes2_based on steps'!$B113:$U113,'changes2_based on steps'!$B$1:$U$1,K$1)</f>
        <v>0</v>
      </c>
      <c r="L113" s="140">
        <f>SUMIFS('recurring2_based on steps'!$B113:$AY113,'recurring2_based on steps'!$B$1:$AY$1,L$1)+SUMIFS('changes2_based on steps'!$B113:$U113,'changes2_based on steps'!$B$1:$U$1,L$1)</f>
        <v>0</v>
      </c>
      <c r="M113" s="140">
        <f>SUMIFS('recurring2_based on steps'!$B113:$AY113,'recurring2_based on steps'!$B$1:$AY$1,M$1)+SUMIFS('changes2_based on steps'!$B113:$U113,'changes2_based on steps'!$B$1:$U$1,M$1)</f>
        <v>0</v>
      </c>
      <c r="N113" s="140">
        <f ca="1">SUMIFS('recurring2_based on steps'!$B113:$AY113,'recurring2_based on steps'!$B$1:$AY$1,N$1)+SUMIFS('changes2_based on steps'!$B113:$U113,'changes2_based on steps'!$B$1:$U$1,N$1)</f>
        <v>0</v>
      </c>
      <c r="O113" s="140">
        <f>SUMIFS('recurring2_based on steps'!$B113:$AY113,'recurring2_based on steps'!$B$1:$AY$1,O$1)+SUMIFS('changes2_based on steps'!$B113:$U113,'changes2_based on steps'!$B$1:$U$1,O$1)</f>
        <v>0</v>
      </c>
      <c r="P113" s="140">
        <f ca="1">SUMIFS('recurring2_based on steps'!$B113:$AY113,'recurring2_based on steps'!$B$1:$AY$1,P$1)+SUMIFS('changes2_based on steps'!$B113:$U113,'changes2_based on steps'!$B$1:$U$1,P$1)</f>
        <v>0</v>
      </c>
      <c r="Q113" s="140">
        <f ca="1">SUMIFS('recurring2_based on steps'!$B113:$AY113,'recurring2_based on steps'!$B$1:$AY$1,Q$1)+SUMIFS('changes2_based on steps'!$B113:$U113,'changes2_based on steps'!$B$1:$U$1,Q$1)</f>
        <v>5.5401662049861494E-2</v>
      </c>
      <c r="R113" s="140">
        <f ca="1">SUMIFS('recurring2_based on steps'!$B113:$AY113,'recurring2_based on steps'!$B$1:$AY$1,R$1)+SUMIFS('changes2_based on steps'!$B113:$U113,'changes2_based on steps'!$B$1:$U$1,R$1)</f>
        <v>0</v>
      </c>
      <c r="S113" s="140">
        <f>SUMIFS('recurring2_based on steps'!$B113:$AY113,'recurring2_based on steps'!$B$1:$AY$1,S$1)+SUMIFS('changes2_based on steps'!$B113:$U113,'changes2_based on steps'!$B$1:$U$1,S$1)</f>
        <v>0</v>
      </c>
      <c r="T113" s="140">
        <f ca="1">SUMIFS('recurring2_based on steps'!$B113:$AY113,'recurring2_based on steps'!$B$1:$AY$1,T$1)+SUMIFS('changes2_based on steps'!$B113:$U113,'changes2_based on steps'!$B$1:$U$1,T$1)</f>
        <v>0</v>
      </c>
      <c r="U113" s="140">
        <f ca="1">SUMIFS('recurring2_based on steps'!$B113:$AY113,'recurring2_based on steps'!$B$1:$AY$1,U$1)+SUMIFS('changes2_based on steps'!$B113:$U113,'changes2_based on steps'!$B$1:$U$1,U$1)</f>
        <v>0</v>
      </c>
      <c r="V113" s="140">
        <f>SUMIFS('recurring2_based on steps'!$B113:$AY113,'recurring2_based on steps'!$B$1:$AY$1,V$1)+SUMIFS('changes2_based on steps'!$B113:$U113,'changes2_based on steps'!$B$1:$U$1,V$1)</f>
        <v>0</v>
      </c>
      <c r="W113" s="140">
        <f>SUMIFS('recurring2_based on steps'!$B113:$AY113,'recurring2_based on steps'!$B$1:$AY$1,W$1)+SUMIFS('changes2_based on steps'!$B113:$U113,'changes2_based on steps'!$B$1:$U$1,W$1)</f>
        <v>0</v>
      </c>
      <c r="X113" s="140">
        <f ca="1">SUMIFS('recurring2_based on steps'!$B113:$AY113,'recurring2_based on steps'!$B$1:$AY$1,X$1)+SUMIFS('changes2_based on steps'!$B113:$U113,'changes2_based on steps'!$B$1:$U$1,X$1)</f>
        <v>0</v>
      </c>
      <c r="Y113" s="140">
        <f ca="1">SUMIFS('recurring2_based on steps'!$B113:$AY113,'recurring2_based on steps'!$B$1:$AY$1,Y$1)+SUMIFS('changes2_based on steps'!$B113:$U113,'changes2_based on steps'!$B$1:$U$1,Y$1)</f>
        <v>0</v>
      </c>
      <c r="Z113" s="140">
        <f>SUMIFS('recurring2_based on steps'!$B113:$AY113,'recurring2_based on steps'!$B$1:$AY$1,Z$1)+SUMIFS('changes2_based on steps'!$B113:$U113,'changes2_based on steps'!$B$1:$U$1,Z$1)</f>
        <v>0</v>
      </c>
      <c r="AA113" s="140">
        <f ca="1">SUMIFS('recurring2_based on steps'!$B113:$AY113,'recurring2_based on steps'!$B$1:$AY$1,AA$1)+SUMIFS('changes2_based on steps'!$B113:$U113,'changes2_based on steps'!$B$1:$U$1,AA$1)</f>
        <v>0</v>
      </c>
      <c r="AB113" s="140">
        <f ca="1">SUMIFS('recurring2_based on steps'!$B113:$AY113,'recurring2_based on steps'!$B$1:$AY$1,AB$1)+SUMIFS('changes2_based on steps'!$B113:$U113,'changes2_based on steps'!$B$1:$U$1,AB$1)</f>
        <v>0</v>
      </c>
      <c r="AC113" s="140">
        <f ca="1">SUMIFS('recurring2_based on steps'!$B113:$AY113,'recurring2_based on steps'!$B$1:$AY$1,AC$1)+SUMIFS('changes2_based on steps'!$B113:$U113,'changes2_based on steps'!$B$1:$U$1,AC$1)</f>
        <v>0</v>
      </c>
      <c r="AD113" s="140">
        <f ca="1">SUMIFS('recurring2_based on steps'!$B113:$AY113,'recurring2_based on steps'!$B$1:$AY$1,AD$1)+SUMIFS('changes2_based on steps'!$B113:$U113,'changes2_based on steps'!$B$1:$U$1,AD$1)</f>
        <v>0</v>
      </c>
      <c r="AE113" s="140">
        <f>SUMIFS('recurring2_based on steps'!$B113:$AY113,'recurring2_based on steps'!$B$1:$AY$1,AE$1)+SUMIFS('changes2_based on steps'!$B113:$U113,'changes2_based on steps'!$B$1:$U$1,AE$1)</f>
        <v>0</v>
      </c>
      <c r="AF113" s="140"/>
      <c r="AG113" s="140"/>
      <c r="AH113" s="140"/>
      <c r="AI113" s="140"/>
      <c r="AJ113" s="140"/>
      <c r="AK113" s="140"/>
      <c r="AL113" s="140"/>
      <c r="AM113" s="140"/>
    </row>
    <row r="114" spans="1:39" x14ac:dyDescent="0.2">
      <c r="A114" s="29">
        <f t="shared" ca="1" si="1"/>
        <v>45854</v>
      </c>
      <c r="B114" s="140">
        <f ca="1">SUMIFS('recurring2_based on steps'!$B114:$AY114,'recurring2_based on steps'!$B$1:$AY$1,B$1)+SUMIFS('changes2_based on steps'!$B114:$U114,'changes2_based on steps'!$B$1:$U$1,B$1)</f>
        <v>0</v>
      </c>
      <c r="C114" s="140">
        <f>SUMIFS('recurring2_based on steps'!$B114:$AY114,'recurring2_based on steps'!$B$1:$AY$1,C$1)+SUMIFS('changes2_based on steps'!$B114:$U114,'changes2_based on steps'!$B$1:$U$1,C$1)</f>
        <v>0</v>
      </c>
      <c r="D114" s="140">
        <f>SUMIFS('recurring2_based on steps'!$B114:$AY114,'recurring2_based on steps'!$B$1:$AY$1,D$1)+SUMIFS('changes2_based on steps'!$B114:$U114,'changes2_based on steps'!$B$1:$U$1,D$1)</f>
        <v>0</v>
      </c>
      <c r="E114" s="140">
        <f>SUMIFS('recurring2_based on steps'!$B114:$AY114,'recurring2_based on steps'!$B$1:$AY$1,E$1)+SUMIFS('changes2_based on steps'!$B114:$U114,'changes2_based on steps'!$B$1:$U$1,E$1)</f>
        <v>0</v>
      </c>
      <c r="F114" s="140">
        <f>SUMIFS('recurring2_based on steps'!$B114:$AY114,'recurring2_based on steps'!$B$1:$AY$1,F$1)+SUMIFS('changes2_based on steps'!$B114:$U114,'changes2_based on steps'!$B$1:$U$1,F$1)</f>
        <v>0</v>
      </c>
      <c r="G114" s="140">
        <f>SUMIFS('recurring2_based on steps'!$B114:$AY114,'recurring2_based on steps'!$B$1:$AY$1,G$1)+SUMIFS('changes2_based on steps'!$B114:$U114,'changes2_based on steps'!$B$1:$U$1,G$1)</f>
        <v>0</v>
      </c>
      <c r="H114" s="140">
        <f>SUMIFS('recurring2_based on steps'!$B114:$AY114,'recurring2_based on steps'!$B$1:$AY$1,H$1)+SUMIFS('changes2_based on steps'!$B114:$U114,'changes2_based on steps'!$B$1:$U$1,H$1)</f>
        <v>0</v>
      </c>
      <c r="I114" s="140">
        <f>SUMIFS('recurring2_based on steps'!$B114:$AY114,'recurring2_based on steps'!$B$1:$AY$1,I$1)+SUMIFS('changes2_based on steps'!$B114:$U114,'changes2_based on steps'!$B$1:$U$1,I$1)</f>
        <v>0</v>
      </c>
      <c r="J114" s="140">
        <f ca="1">SUMIFS('recurring2_based on steps'!$B114:$AY114,'recurring2_based on steps'!$B$1:$AY$1,J$1)+SUMIFS('changes2_based on steps'!$B114:$U114,'changes2_based on steps'!$B$1:$U$1,J$1)</f>
        <v>0</v>
      </c>
      <c r="K114" s="140">
        <f>SUMIFS('recurring2_based on steps'!$B114:$AY114,'recurring2_based on steps'!$B$1:$AY$1,K$1)+SUMIFS('changes2_based on steps'!$B114:$U114,'changes2_based on steps'!$B$1:$U$1,K$1)</f>
        <v>0</v>
      </c>
      <c r="L114" s="140">
        <f>SUMIFS('recurring2_based on steps'!$B114:$AY114,'recurring2_based on steps'!$B$1:$AY$1,L$1)+SUMIFS('changes2_based on steps'!$B114:$U114,'changes2_based on steps'!$B$1:$U$1,L$1)</f>
        <v>0</v>
      </c>
      <c r="M114" s="140">
        <f>SUMIFS('recurring2_based on steps'!$B114:$AY114,'recurring2_based on steps'!$B$1:$AY$1,M$1)+SUMIFS('changes2_based on steps'!$B114:$U114,'changes2_based on steps'!$B$1:$U$1,M$1)</f>
        <v>0</v>
      </c>
      <c r="N114" s="140">
        <f ca="1">SUMIFS('recurring2_based on steps'!$B114:$AY114,'recurring2_based on steps'!$B$1:$AY$1,N$1)+SUMIFS('changes2_based on steps'!$B114:$U114,'changes2_based on steps'!$B$1:$U$1,N$1)</f>
        <v>0</v>
      </c>
      <c r="O114" s="140">
        <f>SUMIFS('recurring2_based on steps'!$B114:$AY114,'recurring2_based on steps'!$B$1:$AY$1,O$1)+SUMIFS('changes2_based on steps'!$B114:$U114,'changes2_based on steps'!$B$1:$U$1,O$1)</f>
        <v>0</v>
      </c>
      <c r="P114" s="140">
        <f ca="1">SUMIFS('recurring2_based on steps'!$B114:$AY114,'recurring2_based on steps'!$B$1:$AY$1,P$1)+SUMIFS('changes2_based on steps'!$B114:$U114,'changes2_based on steps'!$B$1:$U$1,P$1)</f>
        <v>0</v>
      </c>
      <c r="Q114" s="140">
        <f ca="1">SUMIFS('recurring2_based on steps'!$B114:$AY114,'recurring2_based on steps'!$B$1:$AY$1,Q$1)+SUMIFS('changes2_based on steps'!$B114:$U114,'changes2_based on steps'!$B$1:$U$1,Q$1)</f>
        <v>5.5401662049861494E-2</v>
      </c>
      <c r="R114" s="140">
        <f ca="1">SUMIFS('recurring2_based on steps'!$B114:$AY114,'recurring2_based on steps'!$B$1:$AY$1,R$1)+SUMIFS('changes2_based on steps'!$B114:$U114,'changes2_based on steps'!$B$1:$U$1,R$1)</f>
        <v>0</v>
      </c>
      <c r="S114" s="140">
        <f>SUMIFS('recurring2_based on steps'!$B114:$AY114,'recurring2_based on steps'!$B$1:$AY$1,S$1)+SUMIFS('changes2_based on steps'!$B114:$U114,'changes2_based on steps'!$B$1:$U$1,S$1)</f>
        <v>0</v>
      </c>
      <c r="T114" s="140">
        <f ca="1">SUMIFS('recurring2_based on steps'!$B114:$AY114,'recurring2_based on steps'!$B$1:$AY$1,T$1)+SUMIFS('changes2_based on steps'!$B114:$U114,'changes2_based on steps'!$B$1:$U$1,T$1)</f>
        <v>0</v>
      </c>
      <c r="U114" s="140">
        <f ca="1">SUMIFS('recurring2_based on steps'!$B114:$AY114,'recurring2_based on steps'!$B$1:$AY$1,U$1)+SUMIFS('changes2_based on steps'!$B114:$U114,'changes2_based on steps'!$B$1:$U$1,U$1)</f>
        <v>0</v>
      </c>
      <c r="V114" s="140">
        <f>SUMIFS('recurring2_based on steps'!$B114:$AY114,'recurring2_based on steps'!$B$1:$AY$1,V$1)+SUMIFS('changes2_based on steps'!$B114:$U114,'changes2_based on steps'!$B$1:$U$1,V$1)</f>
        <v>0</v>
      </c>
      <c r="W114" s="140">
        <f>SUMIFS('recurring2_based on steps'!$B114:$AY114,'recurring2_based on steps'!$B$1:$AY$1,W$1)+SUMIFS('changes2_based on steps'!$B114:$U114,'changes2_based on steps'!$B$1:$U$1,W$1)</f>
        <v>0</v>
      </c>
      <c r="X114" s="140">
        <f ca="1">SUMIFS('recurring2_based on steps'!$B114:$AY114,'recurring2_based on steps'!$B$1:$AY$1,X$1)+SUMIFS('changes2_based on steps'!$B114:$U114,'changes2_based on steps'!$B$1:$U$1,X$1)</f>
        <v>0</v>
      </c>
      <c r="Y114" s="140">
        <f ca="1">SUMIFS('recurring2_based on steps'!$B114:$AY114,'recurring2_based on steps'!$B$1:$AY$1,Y$1)+SUMIFS('changes2_based on steps'!$B114:$U114,'changes2_based on steps'!$B$1:$U$1,Y$1)</f>
        <v>0</v>
      </c>
      <c r="Z114" s="140">
        <f>SUMIFS('recurring2_based on steps'!$B114:$AY114,'recurring2_based on steps'!$B$1:$AY$1,Z$1)+SUMIFS('changes2_based on steps'!$B114:$U114,'changes2_based on steps'!$B$1:$U$1,Z$1)</f>
        <v>0</v>
      </c>
      <c r="AA114" s="140">
        <f ca="1">SUMIFS('recurring2_based on steps'!$B114:$AY114,'recurring2_based on steps'!$B$1:$AY$1,AA$1)+SUMIFS('changes2_based on steps'!$B114:$U114,'changes2_based on steps'!$B$1:$U$1,AA$1)</f>
        <v>0</v>
      </c>
      <c r="AB114" s="140">
        <f ca="1">SUMIFS('recurring2_based on steps'!$B114:$AY114,'recurring2_based on steps'!$B$1:$AY$1,AB$1)+SUMIFS('changes2_based on steps'!$B114:$U114,'changes2_based on steps'!$B$1:$U$1,AB$1)</f>
        <v>0</v>
      </c>
      <c r="AC114" s="140">
        <f ca="1">SUMIFS('recurring2_based on steps'!$B114:$AY114,'recurring2_based on steps'!$B$1:$AY$1,AC$1)+SUMIFS('changes2_based on steps'!$B114:$U114,'changes2_based on steps'!$B$1:$U$1,AC$1)</f>
        <v>0</v>
      </c>
      <c r="AD114" s="140">
        <f ca="1">SUMIFS('recurring2_based on steps'!$B114:$AY114,'recurring2_based on steps'!$B$1:$AY$1,AD$1)+SUMIFS('changes2_based on steps'!$B114:$U114,'changes2_based on steps'!$B$1:$U$1,AD$1)</f>
        <v>0</v>
      </c>
      <c r="AE114" s="140">
        <f>SUMIFS('recurring2_based on steps'!$B114:$AY114,'recurring2_based on steps'!$B$1:$AY$1,AE$1)+SUMIFS('changes2_based on steps'!$B114:$U114,'changes2_based on steps'!$B$1:$U$1,AE$1)</f>
        <v>0</v>
      </c>
      <c r="AF114" s="140"/>
      <c r="AG114" s="140"/>
      <c r="AH114" s="140"/>
      <c r="AI114" s="140"/>
      <c r="AJ114" s="140"/>
      <c r="AK114" s="140"/>
      <c r="AL114" s="140"/>
      <c r="AM114" s="140"/>
    </row>
    <row r="115" spans="1:39" x14ac:dyDescent="0.2">
      <c r="A115" s="29">
        <f t="shared" ca="1" si="1"/>
        <v>45855</v>
      </c>
      <c r="B115" s="140">
        <f ca="1">SUMIFS('recurring2_based on steps'!$B115:$AY115,'recurring2_based on steps'!$B$1:$AY$1,B$1)+SUMIFS('changes2_based on steps'!$B115:$U115,'changes2_based on steps'!$B$1:$U$1,B$1)</f>
        <v>0</v>
      </c>
      <c r="C115" s="140">
        <f>SUMIFS('recurring2_based on steps'!$B115:$AY115,'recurring2_based on steps'!$B$1:$AY$1,C$1)+SUMIFS('changes2_based on steps'!$B115:$U115,'changes2_based on steps'!$B$1:$U$1,C$1)</f>
        <v>0</v>
      </c>
      <c r="D115" s="140">
        <f>SUMIFS('recurring2_based on steps'!$B115:$AY115,'recurring2_based on steps'!$B$1:$AY$1,D$1)+SUMIFS('changes2_based on steps'!$B115:$U115,'changes2_based on steps'!$B$1:$U$1,D$1)</f>
        <v>0</v>
      </c>
      <c r="E115" s="140">
        <f>SUMIFS('recurring2_based on steps'!$B115:$AY115,'recurring2_based on steps'!$B$1:$AY$1,E$1)+SUMIFS('changes2_based on steps'!$B115:$U115,'changes2_based on steps'!$B$1:$U$1,E$1)</f>
        <v>0</v>
      </c>
      <c r="F115" s="140">
        <f>SUMIFS('recurring2_based on steps'!$B115:$AY115,'recurring2_based on steps'!$B$1:$AY$1,F$1)+SUMIFS('changes2_based on steps'!$B115:$U115,'changes2_based on steps'!$B$1:$U$1,F$1)</f>
        <v>0</v>
      </c>
      <c r="G115" s="140">
        <f>SUMIFS('recurring2_based on steps'!$B115:$AY115,'recurring2_based on steps'!$B$1:$AY$1,G$1)+SUMIFS('changes2_based on steps'!$B115:$U115,'changes2_based on steps'!$B$1:$U$1,G$1)</f>
        <v>0</v>
      </c>
      <c r="H115" s="140">
        <f>SUMIFS('recurring2_based on steps'!$B115:$AY115,'recurring2_based on steps'!$B$1:$AY$1,H$1)+SUMIFS('changes2_based on steps'!$B115:$U115,'changes2_based on steps'!$B$1:$U$1,H$1)</f>
        <v>0</v>
      </c>
      <c r="I115" s="140">
        <f>SUMIFS('recurring2_based on steps'!$B115:$AY115,'recurring2_based on steps'!$B$1:$AY$1,I$1)+SUMIFS('changes2_based on steps'!$B115:$U115,'changes2_based on steps'!$B$1:$U$1,I$1)</f>
        <v>0</v>
      </c>
      <c r="J115" s="140">
        <f ca="1">SUMIFS('recurring2_based on steps'!$B115:$AY115,'recurring2_based on steps'!$B$1:$AY$1,J$1)+SUMIFS('changes2_based on steps'!$B115:$U115,'changes2_based on steps'!$B$1:$U$1,J$1)</f>
        <v>200</v>
      </c>
      <c r="K115" s="140">
        <f>SUMIFS('recurring2_based on steps'!$B115:$AY115,'recurring2_based on steps'!$B$1:$AY$1,K$1)+SUMIFS('changes2_based on steps'!$B115:$U115,'changes2_based on steps'!$B$1:$U$1,K$1)</f>
        <v>0</v>
      </c>
      <c r="L115" s="140">
        <f>SUMIFS('recurring2_based on steps'!$B115:$AY115,'recurring2_based on steps'!$B$1:$AY$1,L$1)+SUMIFS('changes2_based on steps'!$B115:$U115,'changes2_based on steps'!$B$1:$U$1,L$1)</f>
        <v>0</v>
      </c>
      <c r="M115" s="140">
        <f>SUMIFS('recurring2_based on steps'!$B115:$AY115,'recurring2_based on steps'!$B$1:$AY$1,M$1)+SUMIFS('changes2_based on steps'!$B115:$U115,'changes2_based on steps'!$B$1:$U$1,M$1)</f>
        <v>0</v>
      </c>
      <c r="N115" s="140">
        <f ca="1">SUMIFS('recurring2_based on steps'!$B115:$AY115,'recurring2_based on steps'!$B$1:$AY$1,N$1)+SUMIFS('changes2_based on steps'!$B115:$U115,'changes2_based on steps'!$B$1:$U$1,N$1)</f>
        <v>0</v>
      </c>
      <c r="O115" s="140">
        <f>SUMIFS('recurring2_based on steps'!$B115:$AY115,'recurring2_based on steps'!$B$1:$AY$1,O$1)+SUMIFS('changes2_based on steps'!$B115:$U115,'changes2_based on steps'!$B$1:$U$1,O$1)</f>
        <v>0</v>
      </c>
      <c r="P115" s="140">
        <f ca="1">SUMIFS('recurring2_based on steps'!$B115:$AY115,'recurring2_based on steps'!$B$1:$AY$1,P$1)+SUMIFS('changes2_based on steps'!$B115:$U115,'changes2_based on steps'!$B$1:$U$1,P$1)</f>
        <v>0</v>
      </c>
      <c r="Q115" s="140">
        <f ca="1">SUMIFS('recurring2_based on steps'!$B115:$AY115,'recurring2_based on steps'!$B$1:$AY$1,Q$1)+SUMIFS('changes2_based on steps'!$B115:$U115,'changes2_based on steps'!$B$1:$U$1,Q$1)</f>
        <v>5.5401662049861494E-2</v>
      </c>
      <c r="R115" s="140">
        <f ca="1">SUMIFS('recurring2_based on steps'!$B115:$AY115,'recurring2_based on steps'!$B$1:$AY$1,R$1)+SUMIFS('changes2_based on steps'!$B115:$U115,'changes2_based on steps'!$B$1:$U$1,R$1)</f>
        <v>15.49</v>
      </c>
      <c r="S115" s="140">
        <f>SUMIFS('recurring2_based on steps'!$B115:$AY115,'recurring2_based on steps'!$B$1:$AY$1,S$1)+SUMIFS('changes2_based on steps'!$B115:$U115,'changes2_based on steps'!$B$1:$U$1,S$1)</f>
        <v>0</v>
      </c>
      <c r="T115" s="140">
        <f ca="1">SUMIFS('recurring2_based on steps'!$B115:$AY115,'recurring2_based on steps'!$B$1:$AY$1,T$1)+SUMIFS('changes2_based on steps'!$B115:$U115,'changes2_based on steps'!$B$1:$U$1,T$1)</f>
        <v>0</v>
      </c>
      <c r="U115" s="140">
        <f ca="1">SUMIFS('recurring2_based on steps'!$B115:$AY115,'recurring2_based on steps'!$B$1:$AY$1,U$1)+SUMIFS('changes2_based on steps'!$B115:$U115,'changes2_based on steps'!$B$1:$U$1,U$1)</f>
        <v>0</v>
      </c>
      <c r="V115" s="140">
        <f>SUMIFS('recurring2_based on steps'!$B115:$AY115,'recurring2_based on steps'!$B$1:$AY$1,V$1)+SUMIFS('changes2_based on steps'!$B115:$U115,'changes2_based on steps'!$B$1:$U$1,V$1)</f>
        <v>0</v>
      </c>
      <c r="W115" s="140">
        <f>SUMIFS('recurring2_based on steps'!$B115:$AY115,'recurring2_based on steps'!$B$1:$AY$1,W$1)+SUMIFS('changes2_based on steps'!$B115:$U115,'changes2_based on steps'!$B$1:$U$1,W$1)</f>
        <v>0</v>
      </c>
      <c r="X115" s="140">
        <f ca="1">SUMIFS('recurring2_based on steps'!$B115:$AY115,'recurring2_based on steps'!$B$1:$AY$1,X$1)+SUMIFS('changes2_based on steps'!$B115:$U115,'changes2_based on steps'!$B$1:$U$1,X$1)</f>
        <v>0</v>
      </c>
      <c r="Y115" s="140">
        <f ca="1">SUMIFS('recurring2_based on steps'!$B115:$AY115,'recurring2_based on steps'!$B$1:$AY$1,Y$1)+SUMIFS('changes2_based on steps'!$B115:$U115,'changes2_based on steps'!$B$1:$U$1,Y$1)</f>
        <v>0</v>
      </c>
      <c r="Z115" s="140">
        <f>SUMIFS('recurring2_based on steps'!$B115:$AY115,'recurring2_based on steps'!$B$1:$AY$1,Z$1)+SUMIFS('changes2_based on steps'!$B115:$U115,'changes2_based on steps'!$B$1:$U$1,Z$1)</f>
        <v>0</v>
      </c>
      <c r="AA115" s="140">
        <f ca="1">SUMIFS('recurring2_based on steps'!$B115:$AY115,'recurring2_based on steps'!$B$1:$AY$1,AA$1)+SUMIFS('changes2_based on steps'!$B115:$U115,'changes2_based on steps'!$B$1:$U$1,AA$1)</f>
        <v>0</v>
      </c>
      <c r="AB115" s="140">
        <f ca="1">SUMIFS('recurring2_based on steps'!$B115:$AY115,'recurring2_based on steps'!$B$1:$AY$1,AB$1)+SUMIFS('changes2_based on steps'!$B115:$U115,'changes2_based on steps'!$B$1:$U$1,AB$1)</f>
        <v>0</v>
      </c>
      <c r="AC115" s="140">
        <f ca="1">SUMIFS('recurring2_based on steps'!$B115:$AY115,'recurring2_based on steps'!$B$1:$AY$1,AC$1)+SUMIFS('changes2_based on steps'!$B115:$U115,'changes2_based on steps'!$B$1:$U$1,AC$1)</f>
        <v>0</v>
      </c>
      <c r="AD115" s="140">
        <f ca="1">SUMIFS('recurring2_based on steps'!$B115:$AY115,'recurring2_based on steps'!$B$1:$AY$1,AD$1)+SUMIFS('changes2_based on steps'!$B115:$U115,'changes2_based on steps'!$B$1:$U$1,AD$1)</f>
        <v>0</v>
      </c>
      <c r="AE115" s="140">
        <f>SUMIFS('recurring2_based on steps'!$B115:$AY115,'recurring2_based on steps'!$B$1:$AY$1,AE$1)+SUMIFS('changes2_based on steps'!$B115:$U115,'changes2_based on steps'!$B$1:$U$1,AE$1)</f>
        <v>0</v>
      </c>
      <c r="AF115" s="140"/>
      <c r="AG115" s="140"/>
      <c r="AH115" s="140"/>
      <c r="AI115" s="140"/>
      <c r="AJ115" s="140"/>
      <c r="AK115" s="140"/>
      <c r="AL115" s="140"/>
      <c r="AM115" s="140"/>
    </row>
    <row r="116" spans="1:39" x14ac:dyDescent="0.2">
      <c r="A116" s="29">
        <f t="shared" ca="1" si="1"/>
        <v>45856</v>
      </c>
      <c r="B116" s="140">
        <f ca="1">SUMIFS('recurring2_based on steps'!$B116:$AY116,'recurring2_based on steps'!$B$1:$AY$1,B$1)+SUMIFS('changes2_based on steps'!$B116:$U116,'changes2_based on steps'!$B$1:$U$1,B$1)</f>
        <v>0</v>
      </c>
      <c r="C116" s="140">
        <f>SUMIFS('recurring2_based on steps'!$B116:$AY116,'recurring2_based on steps'!$B$1:$AY$1,C$1)+SUMIFS('changes2_based on steps'!$B116:$U116,'changes2_based on steps'!$B$1:$U$1,C$1)</f>
        <v>0</v>
      </c>
      <c r="D116" s="140">
        <f>SUMIFS('recurring2_based on steps'!$B116:$AY116,'recurring2_based on steps'!$B$1:$AY$1,D$1)+SUMIFS('changes2_based on steps'!$B116:$U116,'changes2_based on steps'!$B$1:$U$1,D$1)</f>
        <v>0</v>
      </c>
      <c r="E116" s="140">
        <f>SUMIFS('recurring2_based on steps'!$B116:$AY116,'recurring2_based on steps'!$B$1:$AY$1,E$1)+SUMIFS('changes2_based on steps'!$B116:$U116,'changes2_based on steps'!$B$1:$U$1,E$1)</f>
        <v>0</v>
      </c>
      <c r="F116" s="140">
        <f>SUMIFS('recurring2_based on steps'!$B116:$AY116,'recurring2_based on steps'!$B$1:$AY$1,F$1)+SUMIFS('changes2_based on steps'!$B116:$U116,'changes2_based on steps'!$B$1:$U$1,F$1)</f>
        <v>0</v>
      </c>
      <c r="G116" s="140">
        <f>SUMIFS('recurring2_based on steps'!$B116:$AY116,'recurring2_based on steps'!$B$1:$AY$1,G$1)+SUMIFS('changes2_based on steps'!$B116:$U116,'changes2_based on steps'!$B$1:$U$1,G$1)</f>
        <v>0</v>
      </c>
      <c r="H116" s="140">
        <f>SUMIFS('recurring2_based on steps'!$B116:$AY116,'recurring2_based on steps'!$B$1:$AY$1,H$1)+SUMIFS('changes2_based on steps'!$B116:$U116,'changes2_based on steps'!$B$1:$U$1,H$1)</f>
        <v>0</v>
      </c>
      <c r="I116" s="140">
        <f>SUMIFS('recurring2_based on steps'!$B116:$AY116,'recurring2_based on steps'!$B$1:$AY$1,I$1)+SUMIFS('changes2_based on steps'!$B116:$U116,'changes2_based on steps'!$B$1:$U$1,I$1)</f>
        <v>0</v>
      </c>
      <c r="J116" s="140">
        <f ca="1">SUMIFS('recurring2_based on steps'!$B116:$AY116,'recurring2_based on steps'!$B$1:$AY$1,J$1)+SUMIFS('changes2_based on steps'!$B116:$U116,'changes2_based on steps'!$B$1:$U$1,J$1)</f>
        <v>0</v>
      </c>
      <c r="K116" s="140">
        <f>SUMIFS('recurring2_based on steps'!$B116:$AY116,'recurring2_based on steps'!$B$1:$AY$1,K$1)+SUMIFS('changes2_based on steps'!$B116:$U116,'changes2_based on steps'!$B$1:$U$1,K$1)</f>
        <v>0</v>
      </c>
      <c r="L116" s="140">
        <f>SUMIFS('recurring2_based on steps'!$B116:$AY116,'recurring2_based on steps'!$B$1:$AY$1,L$1)+SUMIFS('changes2_based on steps'!$B116:$U116,'changes2_based on steps'!$B$1:$U$1,L$1)</f>
        <v>0</v>
      </c>
      <c r="M116" s="140">
        <f>SUMIFS('recurring2_based on steps'!$B116:$AY116,'recurring2_based on steps'!$B$1:$AY$1,M$1)+SUMIFS('changes2_based on steps'!$B116:$U116,'changes2_based on steps'!$B$1:$U$1,M$1)</f>
        <v>0</v>
      </c>
      <c r="N116" s="140">
        <f ca="1">SUMIFS('recurring2_based on steps'!$B116:$AY116,'recurring2_based on steps'!$B$1:$AY$1,N$1)+SUMIFS('changes2_based on steps'!$B116:$U116,'changes2_based on steps'!$B$1:$U$1,N$1)</f>
        <v>0</v>
      </c>
      <c r="O116" s="140">
        <f>SUMIFS('recurring2_based on steps'!$B116:$AY116,'recurring2_based on steps'!$B$1:$AY$1,O$1)+SUMIFS('changes2_based on steps'!$B116:$U116,'changes2_based on steps'!$B$1:$U$1,O$1)</f>
        <v>0</v>
      </c>
      <c r="P116" s="140">
        <f ca="1">SUMIFS('recurring2_based on steps'!$B116:$AY116,'recurring2_based on steps'!$B$1:$AY$1,P$1)+SUMIFS('changes2_based on steps'!$B116:$U116,'changes2_based on steps'!$B$1:$U$1,P$1)</f>
        <v>0</v>
      </c>
      <c r="Q116" s="140">
        <f ca="1">SUMIFS('recurring2_based on steps'!$B116:$AY116,'recurring2_based on steps'!$B$1:$AY$1,Q$1)+SUMIFS('changes2_based on steps'!$B116:$U116,'changes2_based on steps'!$B$1:$U$1,Q$1)</f>
        <v>5.5401662049861494E-2</v>
      </c>
      <c r="R116" s="140">
        <f ca="1">SUMIFS('recurring2_based on steps'!$B116:$AY116,'recurring2_based on steps'!$B$1:$AY$1,R$1)+SUMIFS('changes2_based on steps'!$B116:$U116,'changes2_based on steps'!$B$1:$U$1,R$1)</f>
        <v>10.99</v>
      </c>
      <c r="S116" s="140">
        <f>SUMIFS('recurring2_based on steps'!$B116:$AY116,'recurring2_based on steps'!$B$1:$AY$1,S$1)+SUMIFS('changes2_based on steps'!$B116:$U116,'changes2_based on steps'!$B$1:$U$1,S$1)</f>
        <v>0</v>
      </c>
      <c r="T116" s="140">
        <f ca="1">SUMIFS('recurring2_based on steps'!$B116:$AY116,'recurring2_based on steps'!$B$1:$AY$1,T$1)+SUMIFS('changes2_based on steps'!$B116:$U116,'changes2_based on steps'!$B$1:$U$1,T$1)</f>
        <v>0</v>
      </c>
      <c r="U116" s="140">
        <f ca="1">SUMIFS('recurring2_based on steps'!$B116:$AY116,'recurring2_based on steps'!$B$1:$AY$1,U$1)+SUMIFS('changes2_based on steps'!$B116:$U116,'changes2_based on steps'!$B$1:$U$1,U$1)</f>
        <v>0</v>
      </c>
      <c r="V116" s="140">
        <f>SUMIFS('recurring2_based on steps'!$B116:$AY116,'recurring2_based on steps'!$B$1:$AY$1,V$1)+SUMIFS('changes2_based on steps'!$B116:$U116,'changes2_based on steps'!$B$1:$U$1,V$1)</f>
        <v>0</v>
      </c>
      <c r="W116" s="140">
        <f>SUMIFS('recurring2_based on steps'!$B116:$AY116,'recurring2_based on steps'!$B$1:$AY$1,W$1)+SUMIFS('changes2_based on steps'!$B116:$U116,'changes2_based on steps'!$B$1:$U$1,W$1)</f>
        <v>0</v>
      </c>
      <c r="X116" s="140">
        <f ca="1">SUMIFS('recurring2_based on steps'!$B116:$AY116,'recurring2_based on steps'!$B$1:$AY$1,X$1)+SUMIFS('changes2_based on steps'!$B116:$U116,'changes2_based on steps'!$B$1:$U$1,X$1)</f>
        <v>0</v>
      </c>
      <c r="Y116" s="140">
        <f ca="1">SUMIFS('recurring2_based on steps'!$B116:$AY116,'recurring2_based on steps'!$B$1:$AY$1,Y$1)+SUMIFS('changes2_based on steps'!$B116:$U116,'changes2_based on steps'!$B$1:$U$1,Y$1)</f>
        <v>0</v>
      </c>
      <c r="Z116" s="140">
        <f>SUMIFS('recurring2_based on steps'!$B116:$AY116,'recurring2_based on steps'!$B$1:$AY$1,Z$1)+SUMIFS('changes2_based on steps'!$B116:$U116,'changes2_based on steps'!$B$1:$U$1,Z$1)</f>
        <v>0</v>
      </c>
      <c r="AA116" s="140">
        <f ca="1">SUMIFS('recurring2_based on steps'!$B116:$AY116,'recurring2_based on steps'!$B$1:$AY$1,AA$1)+SUMIFS('changes2_based on steps'!$B116:$U116,'changes2_based on steps'!$B$1:$U$1,AA$1)</f>
        <v>0</v>
      </c>
      <c r="AB116" s="140">
        <f ca="1">SUMIFS('recurring2_based on steps'!$B116:$AY116,'recurring2_based on steps'!$B$1:$AY$1,AB$1)+SUMIFS('changes2_based on steps'!$B116:$U116,'changes2_based on steps'!$B$1:$U$1,AB$1)</f>
        <v>0</v>
      </c>
      <c r="AC116" s="140">
        <f ca="1">SUMIFS('recurring2_based on steps'!$B116:$AY116,'recurring2_based on steps'!$B$1:$AY$1,AC$1)+SUMIFS('changes2_based on steps'!$B116:$U116,'changes2_based on steps'!$B$1:$U$1,AC$1)</f>
        <v>0</v>
      </c>
      <c r="AD116" s="140">
        <f ca="1">SUMIFS('recurring2_based on steps'!$B116:$AY116,'recurring2_based on steps'!$B$1:$AY$1,AD$1)+SUMIFS('changes2_based on steps'!$B116:$U116,'changes2_based on steps'!$B$1:$U$1,AD$1)</f>
        <v>0</v>
      </c>
      <c r="AE116" s="140">
        <f>SUMIFS('recurring2_based on steps'!$B116:$AY116,'recurring2_based on steps'!$B$1:$AY$1,AE$1)+SUMIFS('changes2_based on steps'!$B116:$U116,'changes2_based on steps'!$B$1:$U$1,AE$1)</f>
        <v>0</v>
      </c>
      <c r="AF116" s="140"/>
      <c r="AG116" s="140"/>
      <c r="AH116" s="140"/>
      <c r="AI116" s="140"/>
      <c r="AJ116" s="140"/>
      <c r="AK116" s="140"/>
      <c r="AL116" s="140"/>
      <c r="AM116" s="140"/>
    </row>
    <row r="117" spans="1:39" x14ac:dyDescent="0.2">
      <c r="A117" s="29">
        <f t="shared" ca="1" si="1"/>
        <v>45857</v>
      </c>
      <c r="B117" s="140">
        <f ca="1">SUMIFS('recurring2_based on steps'!$B117:$AY117,'recurring2_based on steps'!$B$1:$AY$1,B$1)+SUMIFS('changes2_based on steps'!$B117:$U117,'changes2_based on steps'!$B$1:$U$1,B$1)</f>
        <v>0</v>
      </c>
      <c r="C117" s="140">
        <f>SUMIFS('recurring2_based on steps'!$B117:$AY117,'recurring2_based on steps'!$B$1:$AY$1,C$1)+SUMIFS('changes2_based on steps'!$B117:$U117,'changes2_based on steps'!$B$1:$U$1,C$1)</f>
        <v>0</v>
      </c>
      <c r="D117" s="140">
        <f>SUMIFS('recurring2_based on steps'!$B117:$AY117,'recurring2_based on steps'!$B$1:$AY$1,D$1)+SUMIFS('changes2_based on steps'!$B117:$U117,'changes2_based on steps'!$B$1:$U$1,D$1)</f>
        <v>0</v>
      </c>
      <c r="E117" s="140">
        <f>SUMIFS('recurring2_based on steps'!$B117:$AY117,'recurring2_based on steps'!$B$1:$AY$1,E$1)+SUMIFS('changes2_based on steps'!$B117:$U117,'changes2_based on steps'!$B$1:$U$1,E$1)</f>
        <v>0</v>
      </c>
      <c r="F117" s="140">
        <f>SUMIFS('recurring2_based on steps'!$B117:$AY117,'recurring2_based on steps'!$B$1:$AY$1,F$1)+SUMIFS('changes2_based on steps'!$B117:$U117,'changes2_based on steps'!$B$1:$U$1,F$1)</f>
        <v>0</v>
      </c>
      <c r="G117" s="140">
        <f>SUMIFS('recurring2_based on steps'!$B117:$AY117,'recurring2_based on steps'!$B$1:$AY$1,G$1)+SUMIFS('changes2_based on steps'!$B117:$U117,'changes2_based on steps'!$B$1:$U$1,G$1)</f>
        <v>0</v>
      </c>
      <c r="H117" s="140">
        <f>SUMIFS('recurring2_based on steps'!$B117:$AY117,'recurring2_based on steps'!$B$1:$AY$1,H$1)+SUMIFS('changes2_based on steps'!$B117:$U117,'changes2_based on steps'!$B$1:$U$1,H$1)</f>
        <v>0</v>
      </c>
      <c r="I117" s="140">
        <f>SUMIFS('recurring2_based on steps'!$B117:$AY117,'recurring2_based on steps'!$B$1:$AY$1,I$1)+SUMIFS('changes2_based on steps'!$B117:$U117,'changes2_based on steps'!$B$1:$U$1,I$1)</f>
        <v>0</v>
      </c>
      <c r="J117" s="140">
        <f ca="1">SUMIFS('recurring2_based on steps'!$B117:$AY117,'recurring2_based on steps'!$B$1:$AY$1,J$1)+SUMIFS('changes2_based on steps'!$B117:$U117,'changes2_based on steps'!$B$1:$U$1,J$1)</f>
        <v>0</v>
      </c>
      <c r="K117" s="140">
        <f>SUMIFS('recurring2_based on steps'!$B117:$AY117,'recurring2_based on steps'!$B$1:$AY$1,K$1)+SUMIFS('changes2_based on steps'!$B117:$U117,'changes2_based on steps'!$B$1:$U$1,K$1)</f>
        <v>0</v>
      </c>
      <c r="L117" s="140">
        <f>SUMIFS('recurring2_based on steps'!$B117:$AY117,'recurring2_based on steps'!$B$1:$AY$1,L$1)+SUMIFS('changes2_based on steps'!$B117:$U117,'changes2_based on steps'!$B$1:$U$1,L$1)</f>
        <v>0</v>
      </c>
      <c r="M117" s="140">
        <f>SUMIFS('recurring2_based on steps'!$B117:$AY117,'recurring2_based on steps'!$B$1:$AY$1,M$1)+SUMIFS('changes2_based on steps'!$B117:$U117,'changes2_based on steps'!$B$1:$U$1,M$1)</f>
        <v>0</v>
      </c>
      <c r="N117" s="140">
        <f ca="1">SUMIFS('recurring2_based on steps'!$B117:$AY117,'recurring2_based on steps'!$B$1:$AY$1,N$1)+SUMIFS('changes2_based on steps'!$B117:$U117,'changes2_based on steps'!$B$1:$U$1,N$1)</f>
        <v>0</v>
      </c>
      <c r="O117" s="140">
        <f>SUMIFS('recurring2_based on steps'!$B117:$AY117,'recurring2_based on steps'!$B$1:$AY$1,O$1)+SUMIFS('changes2_based on steps'!$B117:$U117,'changes2_based on steps'!$B$1:$U$1,O$1)</f>
        <v>0</v>
      </c>
      <c r="P117" s="140">
        <f ca="1">SUMIFS('recurring2_based on steps'!$B117:$AY117,'recurring2_based on steps'!$B$1:$AY$1,P$1)+SUMIFS('changes2_based on steps'!$B117:$U117,'changes2_based on steps'!$B$1:$U$1,P$1)</f>
        <v>0</v>
      </c>
      <c r="Q117" s="140">
        <f ca="1">SUMIFS('recurring2_based on steps'!$B117:$AY117,'recurring2_based on steps'!$B$1:$AY$1,Q$1)+SUMIFS('changes2_based on steps'!$B117:$U117,'changes2_based on steps'!$B$1:$U$1,Q$1)</f>
        <v>100.05540166204986</v>
      </c>
      <c r="R117" s="140">
        <f ca="1">SUMIFS('recurring2_based on steps'!$B117:$AY117,'recurring2_based on steps'!$B$1:$AY$1,R$1)+SUMIFS('changes2_based on steps'!$B117:$U117,'changes2_based on steps'!$B$1:$U$1,R$1)</f>
        <v>0</v>
      </c>
      <c r="S117" s="140">
        <f>SUMIFS('recurring2_based on steps'!$B117:$AY117,'recurring2_based on steps'!$B$1:$AY$1,S$1)+SUMIFS('changes2_based on steps'!$B117:$U117,'changes2_based on steps'!$B$1:$U$1,S$1)</f>
        <v>0</v>
      </c>
      <c r="T117" s="140">
        <f ca="1">SUMIFS('recurring2_based on steps'!$B117:$AY117,'recurring2_based on steps'!$B$1:$AY$1,T$1)+SUMIFS('changes2_based on steps'!$B117:$U117,'changes2_based on steps'!$B$1:$U$1,T$1)</f>
        <v>0</v>
      </c>
      <c r="U117" s="140">
        <f ca="1">SUMIFS('recurring2_based on steps'!$B117:$AY117,'recurring2_based on steps'!$B$1:$AY$1,U$1)+SUMIFS('changes2_based on steps'!$B117:$U117,'changes2_based on steps'!$B$1:$U$1,U$1)</f>
        <v>0</v>
      </c>
      <c r="V117" s="140">
        <f>SUMIFS('recurring2_based on steps'!$B117:$AY117,'recurring2_based on steps'!$B$1:$AY$1,V$1)+SUMIFS('changes2_based on steps'!$B117:$U117,'changes2_based on steps'!$B$1:$U$1,V$1)</f>
        <v>0</v>
      </c>
      <c r="W117" s="140">
        <f>SUMIFS('recurring2_based on steps'!$B117:$AY117,'recurring2_based on steps'!$B$1:$AY$1,W$1)+SUMIFS('changes2_based on steps'!$B117:$U117,'changes2_based on steps'!$B$1:$U$1,W$1)</f>
        <v>0</v>
      </c>
      <c r="X117" s="140">
        <f ca="1">SUMIFS('recurring2_based on steps'!$B117:$AY117,'recurring2_based on steps'!$B$1:$AY$1,X$1)+SUMIFS('changes2_based on steps'!$B117:$U117,'changes2_based on steps'!$B$1:$U$1,X$1)</f>
        <v>0</v>
      </c>
      <c r="Y117" s="140">
        <f ca="1">SUMIFS('recurring2_based on steps'!$B117:$AY117,'recurring2_based on steps'!$B$1:$AY$1,Y$1)+SUMIFS('changes2_based on steps'!$B117:$U117,'changes2_based on steps'!$B$1:$U$1,Y$1)</f>
        <v>0</v>
      </c>
      <c r="Z117" s="140">
        <f>SUMIFS('recurring2_based on steps'!$B117:$AY117,'recurring2_based on steps'!$B$1:$AY$1,Z$1)+SUMIFS('changes2_based on steps'!$B117:$U117,'changes2_based on steps'!$B$1:$U$1,Z$1)</f>
        <v>0</v>
      </c>
      <c r="AA117" s="140">
        <f ca="1">SUMIFS('recurring2_based on steps'!$B117:$AY117,'recurring2_based on steps'!$B$1:$AY$1,AA$1)+SUMIFS('changes2_based on steps'!$B117:$U117,'changes2_based on steps'!$B$1:$U$1,AA$1)</f>
        <v>0</v>
      </c>
      <c r="AB117" s="140">
        <f ca="1">SUMIFS('recurring2_based on steps'!$B117:$AY117,'recurring2_based on steps'!$B$1:$AY$1,AB$1)+SUMIFS('changes2_based on steps'!$B117:$U117,'changes2_based on steps'!$B$1:$U$1,AB$1)</f>
        <v>100</v>
      </c>
      <c r="AC117" s="140">
        <f ca="1">SUMIFS('recurring2_based on steps'!$B117:$AY117,'recurring2_based on steps'!$B$1:$AY$1,AC$1)+SUMIFS('changes2_based on steps'!$B117:$U117,'changes2_based on steps'!$B$1:$U$1,AC$1)</f>
        <v>0</v>
      </c>
      <c r="AD117" s="140">
        <f ca="1">SUMIFS('recurring2_based on steps'!$B117:$AY117,'recurring2_based on steps'!$B$1:$AY$1,AD$1)+SUMIFS('changes2_based on steps'!$B117:$U117,'changes2_based on steps'!$B$1:$U$1,AD$1)</f>
        <v>0</v>
      </c>
      <c r="AE117" s="140">
        <f>SUMIFS('recurring2_based on steps'!$B117:$AY117,'recurring2_based on steps'!$B$1:$AY$1,AE$1)+SUMIFS('changes2_based on steps'!$B117:$U117,'changes2_based on steps'!$B$1:$U$1,AE$1)</f>
        <v>0</v>
      </c>
      <c r="AF117" s="140"/>
      <c r="AG117" s="140"/>
      <c r="AH117" s="140"/>
      <c r="AI117" s="140"/>
      <c r="AJ117" s="140"/>
      <c r="AK117" s="140"/>
      <c r="AL117" s="140"/>
      <c r="AM117" s="140"/>
    </row>
    <row r="118" spans="1:39" x14ac:dyDescent="0.2">
      <c r="A118" s="29">
        <f t="shared" ca="1" si="1"/>
        <v>45858</v>
      </c>
      <c r="B118" s="140">
        <f ca="1">SUMIFS('recurring2_based on steps'!$B118:$AY118,'recurring2_based on steps'!$B$1:$AY$1,B$1)+SUMIFS('changes2_based on steps'!$B118:$U118,'changes2_based on steps'!$B$1:$U$1,B$1)</f>
        <v>0</v>
      </c>
      <c r="C118" s="140">
        <f>SUMIFS('recurring2_based on steps'!$B118:$AY118,'recurring2_based on steps'!$B$1:$AY$1,C$1)+SUMIFS('changes2_based on steps'!$B118:$U118,'changes2_based on steps'!$B$1:$U$1,C$1)</f>
        <v>0</v>
      </c>
      <c r="D118" s="140">
        <f>SUMIFS('recurring2_based on steps'!$B118:$AY118,'recurring2_based on steps'!$B$1:$AY$1,D$1)+SUMIFS('changes2_based on steps'!$B118:$U118,'changes2_based on steps'!$B$1:$U$1,D$1)</f>
        <v>0</v>
      </c>
      <c r="E118" s="140">
        <f>SUMIFS('recurring2_based on steps'!$B118:$AY118,'recurring2_based on steps'!$B$1:$AY$1,E$1)+SUMIFS('changes2_based on steps'!$B118:$U118,'changes2_based on steps'!$B$1:$U$1,E$1)</f>
        <v>0</v>
      </c>
      <c r="F118" s="140">
        <f>SUMIFS('recurring2_based on steps'!$B118:$AY118,'recurring2_based on steps'!$B$1:$AY$1,F$1)+SUMIFS('changes2_based on steps'!$B118:$U118,'changes2_based on steps'!$B$1:$U$1,F$1)</f>
        <v>0</v>
      </c>
      <c r="G118" s="140">
        <f>SUMIFS('recurring2_based on steps'!$B118:$AY118,'recurring2_based on steps'!$B$1:$AY$1,G$1)+SUMIFS('changes2_based on steps'!$B118:$U118,'changes2_based on steps'!$B$1:$U$1,G$1)</f>
        <v>0</v>
      </c>
      <c r="H118" s="140">
        <f>SUMIFS('recurring2_based on steps'!$B118:$AY118,'recurring2_based on steps'!$B$1:$AY$1,H$1)+SUMIFS('changes2_based on steps'!$B118:$U118,'changes2_based on steps'!$B$1:$U$1,H$1)</f>
        <v>0</v>
      </c>
      <c r="I118" s="140">
        <f>SUMIFS('recurring2_based on steps'!$B118:$AY118,'recurring2_based on steps'!$B$1:$AY$1,I$1)+SUMIFS('changes2_based on steps'!$B118:$U118,'changes2_based on steps'!$B$1:$U$1,I$1)</f>
        <v>0</v>
      </c>
      <c r="J118" s="140">
        <f ca="1">SUMIFS('recurring2_based on steps'!$B118:$AY118,'recurring2_based on steps'!$B$1:$AY$1,J$1)+SUMIFS('changes2_based on steps'!$B118:$U118,'changes2_based on steps'!$B$1:$U$1,J$1)</f>
        <v>0</v>
      </c>
      <c r="K118" s="140">
        <f>SUMIFS('recurring2_based on steps'!$B118:$AY118,'recurring2_based on steps'!$B$1:$AY$1,K$1)+SUMIFS('changes2_based on steps'!$B118:$U118,'changes2_based on steps'!$B$1:$U$1,K$1)</f>
        <v>0</v>
      </c>
      <c r="L118" s="140">
        <f>SUMIFS('recurring2_based on steps'!$B118:$AY118,'recurring2_based on steps'!$B$1:$AY$1,L$1)+SUMIFS('changes2_based on steps'!$B118:$U118,'changes2_based on steps'!$B$1:$U$1,L$1)</f>
        <v>0</v>
      </c>
      <c r="M118" s="140">
        <f>SUMIFS('recurring2_based on steps'!$B118:$AY118,'recurring2_based on steps'!$B$1:$AY$1,M$1)+SUMIFS('changes2_based on steps'!$B118:$U118,'changes2_based on steps'!$B$1:$U$1,M$1)</f>
        <v>0</v>
      </c>
      <c r="N118" s="140">
        <f ca="1">SUMIFS('recurring2_based on steps'!$B118:$AY118,'recurring2_based on steps'!$B$1:$AY$1,N$1)+SUMIFS('changes2_based on steps'!$B118:$U118,'changes2_based on steps'!$B$1:$U$1,N$1)</f>
        <v>0</v>
      </c>
      <c r="O118" s="140">
        <f>SUMIFS('recurring2_based on steps'!$B118:$AY118,'recurring2_based on steps'!$B$1:$AY$1,O$1)+SUMIFS('changes2_based on steps'!$B118:$U118,'changes2_based on steps'!$B$1:$U$1,O$1)</f>
        <v>0</v>
      </c>
      <c r="P118" s="140">
        <f ca="1">SUMIFS('recurring2_based on steps'!$B118:$AY118,'recurring2_based on steps'!$B$1:$AY$1,P$1)+SUMIFS('changes2_based on steps'!$B118:$U118,'changes2_based on steps'!$B$1:$U$1,P$1)</f>
        <v>0</v>
      </c>
      <c r="Q118" s="140">
        <f ca="1">SUMIFS('recurring2_based on steps'!$B118:$AY118,'recurring2_based on steps'!$B$1:$AY$1,Q$1)+SUMIFS('changes2_based on steps'!$B118:$U118,'changes2_based on steps'!$B$1:$U$1,Q$1)</f>
        <v>100.05540166204986</v>
      </c>
      <c r="R118" s="140">
        <f ca="1">SUMIFS('recurring2_based on steps'!$B118:$AY118,'recurring2_based on steps'!$B$1:$AY$1,R$1)+SUMIFS('changes2_based on steps'!$B118:$U118,'changes2_based on steps'!$B$1:$U$1,R$1)</f>
        <v>5.8171745152354575</v>
      </c>
      <c r="S118" s="140">
        <f>SUMIFS('recurring2_based on steps'!$B118:$AY118,'recurring2_based on steps'!$B$1:$AY$1,S$1)+SUMIFS('changes2_based on steps'!$B118:$U118,'changes2_based on steps'!$B$1:$U$1,S$1)</f>
        <v>0</v>
      </c>
      <c r="T118" s="140">
        <f ca="1">SUMIFS('recurring2_based on steps'!$B118:$AY118,'recurring2_based on steps'!$B$1:$AY$1,T$1)+SUMIFS('changes2_based on steps'!$B118:$U118,'changes2_based on steps'!$B$1:$U$1,T$1)</f>
        <v>0</v>
      </c>
      <c r="U118" s="140">
        <f ca="1">SUMIFS('recurring2_based on steps'!$B118:$AY118,'recurring2_based on steps'!$B$1:$AY$1,U$1)+SUMIFS('changes2_based on steps'!$B118:$U118,'changes2_based on steps'!$B$1:$U$1,U$1)</f>
        <v>0</v>
      </c>
      <c r="V118" s="140">
        <f>SUMIFS('recurring2_based on steps'!$B118:$AY118,'recurring2_based on steps'!$B$1:$AY$1,V$1)+SUMIFS('changes2_based on steps'!$B118:$U118,'changes2_based on steps'!$B$1:$U$1,V$1)</f>
        <v>0</v>
      </c>
      <c r="W118" s="140">
        <f>SUMIFS('recurring2_based on steps'!$B118:$AY118,'recurring2_based on steps'!$B$1:$AY$1,W$1)+SUMIFS('changes2_based on steps'!$B118:$U118,'changes2_based on steps'!$B$1:$U$1,W$1)</f>
        <v>0</v>
      </c>
      <c r="X118" s="140">
        <f ca="1">SUMIFS('recurring2_based on steps'!$B118:$AY118,'recurring2_based on steps'!$B$1:$AY$1,X$1)+SUMIFS('changes2_based on steps'!$B118:$U118,'changes2_based on steps'!$B$1:$U$1,X$1)</f>
        <v>0</v>
      </c>
      <c r="Y118" s="140">
        <f ca="1">SUMIFS('recurring2_based on steps'!$B118:$AY118,'recurring2_based on steps'!$B$1:$AY$1,Y$1)+SUMIFS('changes2_based on steps'!$B118:$U118,'changes2_based on steps'!$B$1:$U$1,Y$1)</f>
        <v>50</v>
      </c>
      <c r="Z118" s="140">
        <f>SUMIFS('recurring2_based on steps'!$B118:$AY118,'recurring2_based on steps'!$B$1:$AY$1,Z$1)+SUMIFS('changes2_based on steps'!$B118:$U118,'changes2_based on steps'!$B$1:$U$1,Z$1)</f>
        <v>0</v>
      </c>
      <c r="AA118" s="140">
        <f ca="1">SUMIFS('recurring2_based on steps'!$B118:$AY118,'recurring2_based on steps'!$B$1:$AY$1,AA$1)+SUMIFS('changes2_based on steps'!$B118:$U118,'changes2_based on steps'!$B$1:$U$1,AA$1)</f>
        <v>0</v>
      </c>
      <c r="AB118" s="140">
        <f ca="1">SUMIFS('recurring2_based on steps'!$B118:$AY118,'recurring2_based on steps'!$B$1:$AY$1,AB$1)+SUMIFS('changes2_based on steps'!$B118:$U118,'changes2_based on steps'!$B$1:$U$1,AB$1)</f>
        <v>0</v>
      </c>
      <c r="AC118" s="140">
        <f ca="1">SUMIFS('recurring2_based on steps'!$B118:$AY118,'recurring2_based on steps'!$B$1:$AY$1,AC$1)+SUMIFS('changes2_based on steps'!$B118:$U118,'changes2_based on steps'!$B$1:$U$1,AC$1)</f>
        <v>0</v>
      </c>
      <c r="AD118" s="140">
        <f ca="1">SUMIFS('recurring2_based on steps'!$B118:$AY118,'recurring2_based on steps'!$B$1:$AY$1,AD$1)+SUMIFS('changes2_based on steps'!$B118:$U118,'changes2_based on steps'!$B$1:$U$1,AD$1)</f>
        <v>0</v>
      </c>
      <c r="AE118" s="140">
        <f>SUMIFS('recurring2_based on steps'!$B118:$AY118,'recurring2_based on steps'!$B$1:$AY$1,AE$1)+SUMIFS('changes2_based on steps'!$B118:$U118,'changes2_based on steps'!$B$1:$U$1,AE$1)</f>
        <v>0</v>
      </c>
      <c r="AF118" s="140"/>
      <c r="AG118" s="140"/>
      <c r="AH118" s="140"/>
      <c r="AI118" s="140"/>
      <c r="AJ118" s="140"/>
      <c r="AK118" s="140"/>
      <c r="AL118" s="140"/>
      <c r="AM118" s="140"/>
    </row>
    <row r="119" spans="1:39" x14ac:dyDescent="0.2">
      <c r="A119" s="29">
        <f t="shared" ca="1" si="1"/>
        <v>45859</v>
      </c>
      <c r="B119" s="140">
        <f ca="1">SUMIFS('recurring2_based on steps'!$B119:$AY119,'recurring2_based on steps'!$B$1:$AY$1,B$1)+SUMIFS('changes2_based on steps'!$B119:$U119,'changes2_based on steps'!$B$1:$U$1,B$1)</f>
        <v>0</v>
      </c>
      <c r="C119" s="140">
        <f>SUMIFS('recurring2_based on steps'!$B119:$AY119,'recurring2_based on steps'!$B$1:$AY$1,C$1)+SUMIFS('changes2_based on steps'!$B119:$U119,'changes2_based on steps'!$B$1:$U$1,C$1)</f>
        <v>0</v>
      </c>
      <c r="D119" s="140">
        <f>SUMIFS('recurring2_based on steps'!$B119:$AY119,'recurring2_based on steps'!$B$1:$AY$1,D$1)+SUMIFS('changes2_based on steps'!$B119:$U119,'changes2_based on steps'!$B$1:$U$1,D$1)</f>
        <v>0</v>
      </c>
      <c r="E119" s="140">
        <f>SUMIFS('recurring2_based on steps'!$B119:$AY119,'recurring2_based on steps'!$B$1:$AY$1,E$1)+SUMIFS('changes2_based on steps'!$B119:$U119,'changes2_based on steps'!$B$1:$U$1,E$1)</f>
        <v>0</v>
      </c>
      <c r="F119" s="140">
        <f>SUMIFS('recurring2_based on steps'!$B119:$AY119,'recurring2_based on steps'!$B$1:$AY$1,F$1)+SUMIFS('changes2_based on steps'!$B119:$U119,'changes2_based on steps'!$B$1:$U$1,F$1)</f>
        <v>0</v>
      </c>
      <c r="G119" s="140">
        <f>SUMIFS('recurring2_based on steps'!$B119:$AY119,'recurring2_based on steps'!$B$1:$AY$1,G$1)+SUMIFS('changes2_based on steps'!$B119:$U119,'changes2_based on steps'!$B$1:$U$1,G$1)</f>
        <v>0</v>
      </c>
      <c r="H119" s="140">
        <f>SUMIFS('recurring2_based on steps'!$B119:$AY119,'recurring2_based on steps'!$B$1:$AY$1,H$1)+SUMIFS('changes2_based on steps'!$B119:$U119,'changes2_based on steps'!$B$1:$U$1,H$1)</f>
        <v>0</v>
      </c>
      <c r="I119" s="140">
        <f>SUMIFS('recurring2_based on steps'!$B119:$AY119,'recurring2_based on steps'!$B$1:$AY$1,I$1)+SUMIFS('changes2_based on steps'!$B119:$U119,'changes2_based on steps'!$B$1:$U$1,I$1)</f>
        <v>0</v>
      </c>
      <c r="J119" s="140">
        <f ca="1">SUMIFS('recurring2_based on steps'!$B119:$AY119,'recurring2_based on steps'!$B$1:$AY$1,J$1)+SUMIFS('changes2_based on steps'!$B119:$U119,'changes2_based on steps'!$B$1:$U$1,J$1)</f>
        <v>0</v>
      </c>
      <c r="K119" s="140">
        <f>SUMIFS('recurring2_based on steps'!$B119:$AY119,'recurring2_based on steps'!$B$1:$AY$1,K$1)+SUMIFS('changes2_based on steps'!$B119:$U119,'changes2_based on steps'!$B$1:$U$1,K$1)</f>
        <v>0</v>
      </c>
      <c r="L119" s="140">
        <f>SUMIFS('recurring2_based on steps'!$B119:$AY119,'recurring2_based on steps'!$B$1:$AY$1,L$1)+SUMIFS('changes2_based on steps'!$B119:$U119,'changes2_based on steps'!$B$1:$U$1,L$1)</f>
        <v>0</v>
      </c>
      <c r="M119" s="140">
        <f>SUMIFS('recurring2_based on steps'!$B119:$AY119,'recurring2_based on steps'!$B$1:$AY$1,M$1)+SUMIFS('changes2_based on steps'!$B119:$U119,'changes2_based on steps'!$B$1:$U$1,M$1)</f>
        <v>0</v>
      </c>
      <c r="N119" s="140">
        <f ca="1">SUMIFS('recurring2_based on steps'!$B119:$AY119,'recurring2_based on steps'!$B$1:$AY$1,N$1)+SUMIFS('changes2_based on steps'!$B119:$U119,'changes2_based on steps'!$B$1:$U$1,N$1)</f>
        <v>0</v>
      </c>
      <c r="O119" s="140">
        <f>SUMIFS('recurring2_based on steps'!$B119:$AY119,'recurring2_based on steps'!$B$1:$AY$1,O$1)+SUMIFS('changes2_based on steps'!$B119:$U119,'changes2_based on steps'!$B$1:$U$1,O$1)</f>
        <v>0</v>
      </c>
      <c r="P119" s="140">
        <f ca="1">SUMIFS('recurring2_based on steps'!$B119:$AY119,'recurring2_based on steps'!$B$1:$AY$1,P$1)+SUMIFS('changes2_based on steps'!$B119:$U119,'changes2_based on steps'!$B$1:$U$1,P$1)</f>
        <v>0</v>
      </c>
      <c r="Q119" s="140">
        <f ca="1">SUMIFS('recurring2_based on steps'!$B119:$AY119,'recurring2_based on steps'!$B$1:$AY$1,Q$1)+SUMIFS('changes2_based on steps'!$B119:$U119,'changes2_based on steps'!$B$1:$U$1,Q$1)</f>
        <v>5.5401662049861494E-2</v>
      </c>
      <c r="R119" s="140">
        <f ca="1">SUMIFS('recurring2_based on steps'!$B119:$AY119,'recurring2_based on steps'!$B$1:$AY$1,R$1)+SUMIFS('changes2_based on steps'!$B119:$U119,'changes2_based on steps'!$B$1:$U$1,R$1)</f>
        <v>0</v>
      </c>
      <c r="S119" s="140">
        <f>SUMIFS('recurring2_based on steps'!$B119:$AY119,'recurring2_based on steps'!$B$1:$AY$1,S$1)+SUMIFS('changes2_based on steps'!$B119:$U119,'changes2_based on steps'!$B$1:$U$1,S$1)</f>
        <v>0</v>
      </c>
      <c r="T119" s="140">
        <f ca="1">SUMIFS('recurring2_based on steps'!$B119:$AY119,'recurring2_based on steps'!$B$1:$AY$1,T$1)+SUMIFS('changes2_based on steps'!$B119:$U119,'changes2_based on steps'!$B$1:$U$1,T$1)</f>
        <v>0</v>
      </c>
      <c r="U119" s="140">
        <f ca="1">SUMIFS('recurring2_based on steps'!$B119:$AY119,'recurring2_based on steps'!$B$1:$AY$1,U$1)+SUMIFS('changes2_based on steps'!$B119:$U119,'changes2_based on steps'!$B$1:$U$1,U$1)</f>
        <v>0</v>
      </c>
      <c r="V119" s="140">
        <f>SUMIFS('recurring2_based on steps'!$B119:$AY119,'recurring2_based on steps'!$B$1:$AY$1,V$1)+SUMIFS('changes2_based on steps'!$B119:$U119,'changes2_based on steps'!$B$1:$U$1,V$1)</f>
        <v>0</v>
      </c>
      <c r="W119" s="140">
        <f>SUMIFS('recurring2_based on steps'!$B119:$AY119,'recurring2_based on steps'!$B$1:$AY$1,W$1)+SUMIFS('changes2_based on steps'!$B119:$U119,'changes2_based on steps'!$B$1:$U$1,W$1)</f>
        <v>0</v>
      </c>
      <c r="X119" s="140">
        <f ca="1">SUMIFS('recurring2_based on steps'!$B119:$AY119,'recurring2_based on steps'!$B$1:$AY$1,X$1)+SUMIFS('changes2_based on steps'!$B119:$U119,'changes2_based on steps'!$B$1:$U$1,X$1)</f>
        <v>0</v>
      </c>
      <c r="Y119" s="140">
        <f ca="1">SUMIFS('recurring2_based on steps'!$B119:$AY119,'recurring2_based on steps'!$B$1:$AY$1,Y$1)+SUMIFS('changes2_based on steps'!$B119:$U119,'changes2_based on steps'!$B$1:$U$1,Y$1)</f>
        <v>0</v>
      </c>
      <c r="Z119" s="140">
        <f>SUMIFS('recurring2_based on steps'!$B119:$AY119,'recurring2_based on steps'!$B$1:$AY$1,Z$1)+SUMIFS('changes2_based on steps'!$B119:$U119,'changes2_based on steps'!$B$1:$U$1,Z$1)</f>
        <v>0</v>
      </c>
      <c r="AA119" s="140">
        <f ca="1">SUMIFS('recurring2_based on steps'!$B119:$AY119,'recurring2_based on steps'!$B$1:$AY$1,AA$1)+SUMIFS('changes2_based on steps'!$B119:$U119,'changes2_based on steps'!$B$1:$U$1,AA$1)</f>
        <v>50</v>
      </c>
      <c r="AB119" s="140">
        <f ca="1">SUMIFS('recurring2_based on steps'!$B119:$AY119,'recurring2_based on steps'!$B$1:$AY$1,AB$1)+SUMIFS('changes2_based on steps'!$B119:$U119,'changes2_based on steps'!$B$1:$U$1,AB$1)</f>
        <v>0</v>
      </c>
      <c r="AC119" s="140">
        <f ca="1">SUMIFS('recurring2_based on steps'!$B119:$AY119,'recurring2_based on steps'!$B$1:$AY$1,AC$1)+SUMIFS('changes2_based on steps'!$B119:$U119,'changes2_based on steps'!$B$1:$U$1,AC$1)</f>
        <v>0</v>
      </c>
      <c r="AD119" s="140">
        <f ca="1">SUMIFS('recurring2_based on steps'!$B119:$AY119,'recurring2_based on steps'!$B$1:$AY$1,AD$1)+SUMIFS('changes2_based on steps'!$B119:$U119,'changes2_based on steps'!$B$1:$U$1,AD$1)</f>
        <v>0</v>
      </c>
      <c r="AE119" s="140">
        <f>SUMIFS('recurring2_based on steps'!$B119:$AY119,'recurring2_based on steps'!$B$1:$AY$1,AE$1)+SUMIFS('changes2_based on steps'!$B119:$U119,'changes2_based on steps'!$B$1:$U$1,AE$1)</f>
        <v>0</v>
      </c>
      <c r="AF119" s="140"/>
      <c r="AG119" s="140"/>
      <c r="AH119" s="140"/>
      <c r="AI119" s="140"/>
      <c r="AJ119" s="140"/>
      <c r="AK119" s="140"/>
      <c r="AL119" s="140"/>
      <c r="AM119" s="140"/>
    </row>
    <row r="120" spans="1:39" x14ac:dyDescent="0.2">
      <c r="A120" s="29">
        <f t="shared" ca="1" si="1"/>
        <v>45860</v>
      </c>
      <c r="B120" s="140">
        <f ca="1">SUMIFS('recurring2_based on steps'!$B120:$AY120,'recurring2_based on steps'!$B$1:$AY$1,B$1)+SUMIFS('changes2_based on steps'!$B120:$U120,'changes2_based on steps'!$B$1:$U$1,B$1)</f>
        <v>0</v>
      </c>
      <c r="C120" s="140">
        <f>SUMIFS('recurring2_based on steps'!$B120:$AY120,'recurring2_based on steps'!$B$1:$AY$1,C$1)+SUMIFS('changes2_based on steps'!$B120:$U120,'changes2_based on steps'!$B$1:$U$1,C$1)</f>
        <v>0</v>
      </c>
      <c r="D120" s="140">
        <f>SUMIFS('recurring2_based on steps'!$B120:$AY120,'recurring2_based on steps'!$B$1:$AY$1,D$1)+SUMIFS('changes2_based on steps'!$B120:$U120,'changes2_based on steps'!$B$1:$U$1,D$1)</f>
        <v>0</v>
      </c>
      <c r="E120" s="140">
        <f>SUMIFS('recurring2_based on steps'!$B120:$AY120,'recurring2_based on steps'!$B$1:$AY$1,E$1)+SUMIFS('changes2_based on steps'!$B120:$U120,'changes2_based on steps'!$B$1:$U$1,E$1)</f>
        <v>0</v>
      </c>
      <c r="F120" s="140">
        <f>SUMIFS('recurring2_based on steps'!$B120:$AY120,'recurring2_based on steps'!$B$1:$AY$1,F$1)+SUMIFS('changes2_based on steps'!$B120:$U120,'changes2_based on steps'!$B$1:$U$1,F$1)</f>
        <v>0</v>
      </c>
      <c r="G120" s="140">
        <f>SUMIFS('recurring2_based on steps'!$B120:$AY120,'recurring2_based on steps'!$B$1:$AY$1,G$1)+SUMIFS('changes2_based on steps'!$B120:$U120,'changes2_based on steps'!$B$1:$U$1,G$1)</f>
        <v>0</v>
      </c>
      <c r="H120" s="140">
        <f>SUMIFS('recurring2_based on steps'!$B120:$AY120,'recurring2_based on steps'!$B$1:$AY$1,H$1)+SUMIFS('changes2_based on steps'!$B120:$U120,'changes2_based on steps'!$B$1:$U$1,H$1)</f>
        <v>0</v>
      </c>
      <c r="I120" s="140">
        <f>SUMIFS('recurring2_based on steps'!$B120:$AY120,'recurring2_based on steps'!$B$1:$AY$1,I$1)+SUMIFS('changes2_based on steps'!$B120:$U120,'changes2_based on steps'!$B$1:$U$1,I$1)</f>
        <v>0</v>
      </c>
      <c r="J120" s="140">
        <f ca="1">SUMIFS('recurring2_based on steps'!$B120:$AY120,'recurring2_based on steps'!$B$1:$AY$1,J$1)+SUMIFS('changes2_based on steps'!$B120:$U120,'changes2_based on steps'!$B$1:$U$1,J$1)</f>
        <v>0</v>
      </c>
      <c r="K120" s="140">
        <f>SUMIFS('recurring2_based on steps'!$B120:$AY120,'recurring2_based on steps'!$B$1:$AY$1,K$1)+SUMIFS('changes2_based on steps'!$B120:$U120,'changes2_based on steps'!$B$1:$U$1,K$1)</f>
        <v>0</v>
      </c>
      <c r="L120" s="140">
        <f>SUMIFS('recurring2_based on steps'!$B120:$AY120,'recurring2_based on steps'!$B$1:$AY$1,L$1)+SUMIFS('changes2_based on steps'!$B120:$U120,'changes2_based on steps'!$B$1:$U$1,L$1)</f>
        <v>0</v>
      </c>
      <c r="M120" s="140">
        <f>SUMIFS('recurring2_based on steps'!$B120:$AY120,'recurring2_based on steps'!$B$1:$AY$1,M$1)+SUMIFS('changes2_based on steps'!$B120:$U120,'changes2_based on steps'!$B$1:$U$1,M$1)</f>
        <v>0</v>
      </c>
      <c r="N120" s="140">
        <f ca="1">SUMIFS('recurring2_based on steps'!$B120:$AY120,'recurring2_based on steps'!$B$1:$AY$1,N$1)+SUMIFS('changes2_based on steps'!$B120:$U120,'changes2_based on steps'!$B$1:$U$1,N$1)</f>
        <v>0</v>
      </c>
      <c r="O120" s="140">
        <f>SUMIFS('recurring2_based on steps'!$B120:$AY120,'recurring2_based on steps'!$B$1:$AY$1,O$1)+SUMIFS('changes2_based on steps'!$B120:$U120,'changes2_based on steps'!$B$1:$U$1,O$1)</f>
        <v>0</v>
      </c>
      <c r="P120" s="140">
        <f ca="1">SUMIFS('recurring2_based on steps'!$B120:$AY120,'recurring2_based on steps'!$B$1:$AY$1,P$1)+SUMIFS('changes2_based on steps'!$B120:$U120,'changes2_based on steps'!$B$1:$U$1,P$1)</f>
        <v>0</v>
      </c>
      <c r="Q120" s="140">
        <f ca="1">SUMIFS('recurring2_based on steps'!$B120:$AY120,'recurring2_based on steps'!$B$1:$AY$1,Q$1)+SUMIFS('changes2_based on steps'!$B120:$U120,'changes2_based on steps'!$B$1:$U$1,Q$1)</f>
        <v>5.5401662049861494E-2</v>
      </c>
      <c r="R120" s="140">
        <f ca="1">SUMIFS('recurring2_based on steps'!$B120:$AY120,'recurring2_based on steps'!$B$1:$AY$1,R$1)+SUMIFS('changes2_based on steps'!$B120:$U120,'changes2_based on steps'!$B$1:$U$1,R$1)</f>
        <v>0</v>
      </c>
      <c r="S120" s="140">
        <f>SUMIFS('recurring2_based on steps'!$B120:$AY120,'recurring2_based on steps'!$B$1:$AY$1,S$1)+SUMIFS('changes2_based on steps'!$B120:$U120,'changes2_based on steps'!$B$1:$U$1,S$1)</f>
        <v>0</v>
      </c>
      <c r="T120" s="140">
        <f ca="1">SUMIFS('recurring2_based on steps'!$B120:$AY120,'recurring2_based on steps'!$B$1:$AY$1,T$1)+SUMIFS('changes2_based on steps'!$B120:$U120,'changes2_based on steps'!$B$1:$U$1,T$1)</f>
        <v>0</v>
      </c>
      <c r="U120" s="140">
        <f ca="1">SUMIFS('recurring2_based on steps'!$B120:$AY120,'recurring2_based on steps'!$B$1:$AY$1,U$1)+SUMIFS('changes2_based on steps'!$B120:$U120,'changes2_based on steps'!$B$1:$U$1,U$1)</f>
        <v>0</v>
      </c>
      <c r="V120" s="140">
        <f>SUMIFS('recurring2_based on steps'!$B120:$AY120,'recurring2_based on steps'!$B$1:$AY$1,V$1)+SUMIFS('changes2_based on steps'!$B120:$U120,'changes2_based on steps'!$B$1:$U$1,V$1)</f>
        <v>0</v>
      </c>
      <c r="W120" s="140">
        <f>SUMIFS('recurring2_based on steps'!$B120:$AY120,'recurring2_based on steps'!$B$1:$AY$1,W$1)+SUMIFS('changes2_based on steps'!$B120:$U120,'changes2_based on steps'!$B$1:$U$1,W$1)</f>
        <v>0</v>
      </c>
      <c r="X120" s="140">
        <f ca="1">SUMIFS('recurring2_based on steps'!$B120:$AY120,'recurring2_based on steps'!$B$1:$AY$1,X$1)+SUMIFS('changes2_based on steps'!$B120:$U120,'changes2_based on steps'!$B$1:$U$1,X$1)</f>
        <v>0</v>
      </c>
      <c r="Y120" s="140">
        <f ca="1">SUMIFS('recurring2_based on steps'!$B120:$AY120,'recurring2_based on steps'!$B$1:$AY$1,Y$1)+SUMIFS('changes2_based on steps'!$B120:$U120,'changes2_based on steps'!$B$1:$U$1,Y$1)</f>
        <v>0</v>
      </c>
      <c r="Z120" s="140">
        <f>SUMIFS('recurring2_based on steps'!$B120:$AY120,'recurring2_based on steps'!$B$1:$AY$1,Z$1)+SUMIFS('changes2_based on steps'!$B120:$U120,'changes2_based on steps'!$B$1:$U$1,Z$1)</f>
        <v>0</v>
      </c>
      <c r="AA120" s="140">
        <f ca="1">SUMIFS('recurring2_based on steps'!$B120:$AY120,'recurring2_based on steps'!$B$1:$AY$1,AA$1)+SUMIFS('changes2_based on steps'!$B120:$U120,'changes2_based on steps'!$B$1:$U$1,AA$1)</f>
        <v>0</v>
      </c>
      <c r="AB120" s="140">
        <f ca="1">SUMIFS('recurring2_based on steps'!$B120:$AY120,'recurring2_based on steps'!$B$1:$AY$1,AB$1)+SUMIFS('changes2_based on steps'!$B120:$U120,'changes2_based on steps'!$B$1:$U$1,AB$1)</f>
        <v>0</v>
      </c>
      <c r="AC120" s="140">
        <f ca="1">SUMIFS('recurring2_based on steps'!$B120:$AY120,'recurring2_based on steps'!$B$1:$AY$1,AC$1)+SUMIFS('changes2_based on steps'!$B120:$U120,'changes2_based on steps'!$B$1:$U$1,AC$1)</f>
        <v>0</v>
      </c>
      <c r="AD120" s="140">
        <f ca="1">SUMIFS('recurring2_based on steps'!$B120:$AY120,'recurring2_based on steps'!$B$1:$AY$1,AD$1)+SUMIFS('changes2_based on steps'!$B120:$U120,'changes2_based on steps'!$B$1:$U$1,AD$1)</f>
        <v>0</v>
      </c>
      <c r="AE120" s="140">
        <f>SUMIFS('recurring2_based on steps'!$B120:$AY120,'recurring2_based on steps'!$B$1:$AY$1,AE$1)+SUMIFS('changes2_based on steps'!$B120:$U120,'changes2_based on steps'!$B$1:$U$1,AE$1)</f>
        <v>0</v>
      </c>
      <c r="AF120" s="140"/>
      <c r="AG120" s="140"/>
      <c r="AH120" s="140"/>
      <c r="AI120" s="140"/>
      <c r="AJ120" s="140"/>
      <c r="AK120" s="140"/>
      <c r="AL120" s="140"/>
      <c r="AM120" s="140"/>
    </row>
    <row r="121" spans="1:39" x14ac:dyDescent="0.2">
      <c r="A121" s="29">
        <f t="shared" ca="1" si="1"/>
        <v>45861</v>
      </c>
      <c r="B121" s="140">
        <f ca="1">SUMIFS('recurring2_based on steps'!$B121:$AY121,'recurring2_based on steps'!$B$1:$AY$1,B$1)+SUMIFS('changes2_based on steps'!$B121:$U121,'changes2_based on steps'!$B$1:$U$1,B$1)</f>
        <v>0</v>
      </c>
      <c r="C121" s="140">
        <f>SUMIFS('recurring2_based on steps'!$B121:$AY121,'recurring2_based on steps'!$B$1:$AY$1,C$1)+SUMIFS('changes2_based on steps'!$B121:$U121,'changes2_based on steps'!$B$1:$U$1,C$1)</f>
        <v>0</v>
      </c>
      <c r="D121" s="140">
        <f>SUMIFS('recurring2_based on steps'!$B121:$AY121,'recurring2_based on steps'!$B$1:$AY$1,D$1)+SUMIFS('changes2_based on steps'!$B121:$U121,'changes2_based on steps'!$B$1:$U$1,D$1)</f>
        <v>0</v>
      </c>
      <c r="E121" s="140">
        <f>SUMIFS('recurring2_based on steps'!$B121:$AY121,'recurring2_based on steps'!$B$1:$AY$1,E$1)+SUMIFS('changes2_based on steps'!$B121:$U121,'changes2_based on steps'!$B$1:$U$1,E$1)</f>
        <v>0</v>
      </c>
      <c r="F121" s="140">
        <f>SUMIFS('recurring2_based on steps'!$B121:$AY121,'recurring2_based on steps'!$B$1:$AY$1,F$1)+SUMIFS('changes2_based on steps'!$B121:$U121,'changes2_based on steps'!$B$1:$U$1,F$1)</f>
        <v>0</v>
      </c>
      <c r="G121" s="140">
        <f>SUMIFS('recurring2_based on steps'!$B121:$AY121,'recurring2_based on steps'!$B$1:$AY$1,G$1)+SUMIFS('changes2_based on steps'!$B121:$U121,'changes2_based on steps'!$B$1:$U$1,G$1)</f>
        <v>0</v>
      </c>
      <c r="H121" s="140">
        <f>SUMIFS('recurring2_based on steps'!$B121:$AY121,'recurring2_based on steps'!$B$1:$AY$1,H$1)+SUMIFS('changes2_based on steps'!$B121:$U121,'changes2_based on steps'!$B$1:$U$1,H$1)</f>
        <v>0</v>
      </c>
      <c r="I121" s="140">
        <f>SUMIFS('recurring2_based on steps'!$B121:$AY121,'recurring2_based on steps'!$B$1:$AY$1,I$1)+SUMIFS('changes2_based on steps'!$B121:$U121,'changes2_based on steps'!$B$1:$U$1,I$1)</f>
        <v>0</v>
      </c>
      <c r="J121" s="140">
        <f ca="1">SUMIFS('recurring2_based on steps'!$B121:$AY121,'recurring2_based on steps'!$B$1:$AY$1,J$1)+SUMIFS('changes2_based on steps'!$B121:$U121,'changes2_based on steps'!$B$1:$U$1,J$1)</f>
        <v>0</v>
      </c>
      <c r="K121" s="140">
        <f>SUMIFS('recurring2_based on steps'!$B121:$AY121,'recurring2_based on steps'!$B$1:$AY$1,K$1)+SUMIFS('changes2_based on steps'!$B121:$U121,'changes2_based on steps'!$B$1:$U$1,K$1)</f>
        <v>0</v>
      </c>
      <c r="L121" s="140">
        <f>SUMIFS('recurring2_based on steps'!$B121:$AY121,'recurring2_based on steps'!$B$1:$AY$1,L$1)+SUMIFS('changes2_based on steps'!$B121:$U121,'changes2_based on steps'!$B$1:$U$1,L$1)</f>
        <v>0</v>
      </c>
      <c r="M121" s="140">
        <f>SUMIFS('recurring2_based on steps'!$B121:$AY121,'recurring2_based on steps'!$B$1:$AY$1,M$1)+SUMIFS('changes2_based on steps'!$B121:$U121,'changes2_based on steps'!$B$1:$U$1,M$1)</f>
        <v>0</v>
      </c>
      <c r="N121" s="140">
        <f ca="1">SUMIFS('recurring2_based on steps'!$B121:$AY121,'recurring2_based on steps'!$B$1:$AY$1,N$1)+SUMIFS('changes2_based on steps'!$B121:$U121,'changes2_based on steps'!$B$1:$U$1,N$1)</f>
        <v>0</v>
      </c>
      <c r="O121" s="140">
        <f>SUMIFS('recurring2_based on steps'!$B121:$AY121,'recurring2_based on steps'!$B$1:$AY$1,O$1)+SUMIFS('changes2_based on steps'!$B121:$U121,'changes2_based on steps'!$B$1:$U$1,O$1)</f>
        <v>0</v>
      </c>
      <c r="P121" s="140">
        <f ca="1">SUMIFS('recurring2_based on steps'!$B121:$AY121,'recurring2_based on steps'!$B$1:$AY$1,P$1)+SUMIFS('changes2_based on steps'!$B121:$U121,'changes2_based on steps'!$B$1:$U$1,P$1)</f>
        <v>0</v>
      </c>
      <c r="Q121" s="140">
        <f ca="1">SUMIFS('recurring2_based on steps'!$B121:$AY121,'recurring2_based on steps'!$B$1:$AY$1,Q$1)+SUMIFS('changes2_based on steps'!$B121:$U121,'changes2_based on steps'!$B$1:$U$1,Q$1)</f>
        <v>5.5401662049861494E-2</v>
      </c>
      <c r="R121" s="140">
        <f ca="1">SUMIFS('recurring2_based on steps'!$B121:$AY121,'recurring2_based on steps'!$B$1:$AY$1,R$1)+SUMIFS('changes2_based on steps'!$B121:$U121,'changes2_based on steps'!$B$1:$U$1,R$1)</f>
        <v>0</v>
      </c>
      <c r="S121" s="140">
        <f>SUMIFS('recurring2_based on steps'!$B121:$AY121,'recurring2_based on steps'!$B$1:$AY$1,S$1)+SUMIFS('changes2_based on steps'!$B121:$U121,'changes2_based on steps'!$B$1:$U$1,S$1)</f>
        <v>0</v>
      </c>
      <c r="T121" s="140">
        <f ca="1">SUMIFS('recurring2_based on steps'!$B121:$AY121,'recurring2_based on steps'!$B$1:$AY$1,T$1)+SUMIFS('changes2_based on steps'!$B121:$U121,'changes2_based on steps'!$B$1:$U$1,T$1)</f>
        <v>0</v>
      </c>
      <c r="U121" s="140">
        <f ca="1">SUMIFS('recurring2_based on steps'!$B121:$AY121,'recurring2_based on steps'!$B$1:$AY$1,U$1)+SUMIFS('changes2_based on steps'!$B121:$U121,'changes2_based on steps'!$B$1:$U$1,U$1)</f>
        <v>0</v>
      </c>
      <c r="V121" s="140">
        <f>SUMIFS('recurring2_based on steps'!$B121:$AY121,'recurring2_based on steps'!$B$1:$AY$1,V$1)+SUMIFS('changes2_based on steps'!$B121:$U121,'changes2_based on steps'!$B$1:$U$1,V$1)</f>
        <v>0</v>
      </c>
      <c r="W121" s="140">
        <f>SUMIFS('recurring2_based on steps'!$B121:$AY121,'recurring2_based on steps'!$B$1:$AY$1,W$1)+SUMIFS('changes2_based on steps'!$B121:$U121,'changes2_based on steps'!$B$1:$U$1,W$1)</f>
        <v>0</v>
      </c>
      <c r="X121" s="140">
        <f ca="1">SUMIFS('recurring2_based on steps'!$B121:$AY121,'recurring2_based on steps'!$B$1:$AY$1,X$1)+SUMIFS('changes2_based on steps'!$B121:$U121,'changes2_based on steps'!$B$1:$U$1,X$1)</f>
        <v>0</v>
      </c>
      <c r="Y121" s="140">
        <f ca="1">SUMIFS('recurring2_based on steps'!$B121:$AY121,'recurring2_based on steps'!$B$1:$AY$1,Y$1)+SUMIFS('changes2_based on steps'!$B121:$U121,'changes2_based on steps'!$B$1:$U$1,Y$1)</f>
        <v>0</v>
      </c>
      <c r="Z121" s="140">
        <f>SUMIFS('recurring2_based on steps'!$B121:$AY121,'recurring2_based on steps'!$B$1:$AY$1,Z$1)+SUMIFS('changes2_based on steps'!$B121:$U121,'changes2_based on steps'!$B$1:$U$1,Z$1)</f>
        <v>0</v>
      </c>
      <c r="AA121" s="140">
        <f ca="1">SUMIFS('recurring2_based on steps'!$B121:$AY121,'recurring2_based on steps'!$B$1:$AY$1,AA$1)+SUMIFS('changes2_based on steps'!$B121:$U121,'changes2_based on steps'!$B$1:$U$1,AA$1)</f>
        <v>0</v>
      </c>
      <c r="AB121" s="140">
        <f ca="1">SUMIFS('recurring2_based on steps'!$B121:$AY121,'recurring2_based on steps'!$B$1:$AY$1,AB$1)+SUMIFS('changes2_based on steps'!$B121:$U121,'changes2_based on steps'!$B$1:$U$1,AB$1)</f>
        <v>0</v>
      </c>
      <c r="AC121" s="140">
        <f ca="1">SUMIFS('recurring2_based on steps'!$B121:$AY121,'recurring2_based on steps'!$B$1:$AY$1,AC$1)+SUMIFS('changes2_based on steps'!$B121:$U121,'changes2_based on steps'!$B$1:$U$1,AC$1)</f>
        <v>0</v>
      </c>
      <c r="AD121" s="140">
        <f ca="1">SUMIFS('recurring2_based on steps'!$B121:$AY121,'recurring2_based on steps'!$B$1:$AY$1,AD$1)+SUMIFS('changes2_based on steps'!$B121:$U121,'changes2_based on steps'!$B$1:$U$1,AD$1)</f>
        <v>0</v>
      </c>
      <c r="AE121" s="140">
        <f>SUMIFS('recurring2_based on steps'!$B121:$AY121,'recurring2_based on steps'!$B$1:$AY$1,AE$1)+SUMIFS('changes2_based on steps'!$B121:$U121,'changes2_based on steps'!$B$1:$U$1,AE$1)</f>
        <v>0</v>
      </c>
      <c r="AF121" s="140"/>
      <c r="AG121" s="140"/>
      <c r="AH121" s="140"/>
      <c r="AI121" s="140"/>
      <c r="AJ121" s="140"/>
      <c r="AK121" s="140"/>
      <c r="AL121" s="140"/>
      <c r="AM121" s="140"/>
    </row>
    <row r="122" spans="1:39" x14ac:dyDescent="0.2">
      <c r="A122" s="29">
        <f t="shared" ca="1" si="1"/>
        <v>45862</v>
      </c>
      <c r="B122" s="140">
        <f ca="1">SUMIFS('recurring2_based on steps'!$B122:$AY122,'recurring2_based on steps'!$B$1:$AY$1,B$1)+SUMIFS('changes2_based on steps'!$B122:$U122,'changes2_based on steps'!$B$1:$U$1,B$1)</f>
        <v>0</v>
      </c>
      <c r="C122" s="140">
        <f>SUMIFS('recurring2_based on steps'!$B122:$AY122,'recurring2_based on steps'!$B$1:$AY$1,C$1)+SUMIFS('changes2_based on steps'!$B122:$U122,'changes2_based on steps'!$B$1:$U$1,C$1)</f>
        <v>0</v>
      </c>
      <c r="D122" s="140">
        <f>SUMIFS('recurring2_based on steps'!$B122:$AY122,'recurring2_based on steps'!$B$1:$AY$1,D$1)+SUMIFS('changes2_based on steps'!$B122:$U122,'changes2_based on steps'!$B$1:$U$1,D$1)</f>
        <v>0</v>
      </c>
      <c r="E122" s="140">
        <f>SUMIFS('recurring2_based on steps'!$B122:$AY122,'recurring2_based on steps'!$B$1:$AY$1,E$1)+SUMIFS('changes2_based on steps'!$B122:$U122,'changes2_based on steps'!$B$1:$U$1,E$1)</f>
        <v>0</v>
      </c>
      <c r="F122" s="140">
        <f>SUMIFS('recurring2_based on steps'!$B122:$AY122,'recurring2_based on steps'!$B$1:$AY$1,F$1)+SUMIFS('changes2_based on steps'!$B122:$U122,'changes2_based on steps'!$B$1:$U$1,F$1)</f>
        <v>0</v>
      </c>
      <c r="G122" s="140">
        <f>SUMIFS('recurring2_based on steps'!$B122:$AY122,'recurring2_based on steps'!$B$1:$AY$1,G$1)+SUMIFS('changes2_based on steps'!$B122:$U122,'changes2_based on steps'!$B$1:$U$1,G$1)</f>
        <v>0</v>
      </c>
      <c r="H122" s="140">
        <f>SUMIFS('recurring2_based on steps'!$B122:$AY122,'recurring2_based on steps'!$B$1:$AY$1,H$1)+SUMIFS('changes2_based on steps'!$B122:$U122,'changes2_based on steps'!$B$1:$U$1,H$1)</f>
        <v>0</v>
      </c>
      <c r="I122" s="140">
        <f>SUMIFS('recurring2_based on steps'!$B122:$AY122,'recurring2_based on steps'!$B$1:$AY$1,I$1)+SUMIFS('changes2_based on steps'!$B122:$U122,'changes2_based on steps'!$B$1:$U$1,I$1)</f>
        <v>0</v>
      </c>
      <c r="J122" s="140">
        <f ca="1">SUMIFS('recurring2_based on steps'!$B122:$AY122,'recurring2_based on steps'!$B$1:$AY$1,J$1)+SUMIFS('changes2_based on steps'!$B122:$U122,'changes2_based on steps'!$B$1:$U$1,J$1)</f>
        <v>0</v>
      </c>
      <c r="K122" s="140">
        <f>SUMIFS('recurring2_based on steps'!$B122:$AY122,'recurring2_based on steps'!$B$1:$AY$1,K$1)+SUMIFS('changes2_based on steps'!$B122:$U122,'changes2_based on steps'!$B$1:$U$1,K$1)</f>
        <v>0</v>
      </c>
      <c r="L122" s="140">
        <f>SUMIFS('recurring2_based on steps'!$B122:$AY122,'recurring2_based on steps'!$B$1:$AY$1,L$1)+SUMIFS('changes2_based on steps'!$B122:$U122,'changes2_based on steps'!$B$1:$U$1,L$1)</f>
        <v>0</v>
      </c>
      <c r="M122" s="140">
        <f>SUMIFS('recurring2_based on steps'!$B122:$AY122,'recurring2_based on steps'!$B$1:$AY$1,M$1)+SUMIFS('changes2_based on steps'!$B122:$U122,'changes2_based on steps'!$B$1:$U$1,M$1)</f>
        <v>0</v>
      </c>
      <c r="N122" s="140">
        <f ca="1">SUMIFS('recurring2_based on steps'!$B122:$AY122,'recurring2_based on steps'!$B$1:$AY$1,N$1)+SUMIFS('changes2_based on steps'!$B122:$U122,'changes2_based on steps'!$B$1:$U$1,N$1)</f>
        <v>0</v>
      </c>
      <c r="O122" s="140">
        <f>SUMIFS('recurring2_based on steps'!$B122:$AY122,'recurring2_based on steps'!$B$1:$AY$1,O$1)+SUMIFS('changes2_based on steps'!$B122:$U122,'changes2_based on steps'!$B$1:$U$1,O$1)</f>
        <v>0</v>
      </c>
      <c r="P122" s="140">
        <f ca="1">SUMIFS('recurring2_based on steps'!$B122:$AY122,'recurring2_based on steps'!$B$1:$AY$1,P$1)+SUMIFS('changes2_based on steps'!$B122:$U122,'changes2_based on steps'!$B$1:$U$1,P$1)</f>
        <v>0</v>
      </c>
      <c r="Q122" s="140">
        <f ca="1">SUMIFS('recurring2_based on steps'!$B122:$AY122,'recurring2_based on steps'!$B$1:$AY$1,Q$1)+SUMIFS('changes2_based on steps'!$B122:$U122,'changes2_based on steps'!$B$1:$U$1,Q$1)</f>
        <v>5.5401662049861494E-2</v>
      </c>
      <c r="R122" s="140">
        <f ca="1">SUMIFS('recurring2_based on steps'!$B122:$AY122,'recurring2_based on steps'!$B$1:$AY$1,R$1)+SUMIFS('changes2_based on steps'!$B122:$U122,'changes2_based on steps'!$B$1:$U$1,R$1)</f>
        <v>0</v>
      </c>
      <c r="S122" s="140">
        <f>SUMIFS('recurring2_based on steps'!$B122:$AY122,'recurring2_based on steps'!$B$1:$AY$1,S$1)+SUMIFS('changes2_based on steps'!$B122:$U122,'changes2_based on steps'!$B$1:$U$1,S$1)</f>
        <v>0</v>
      </c>
      <c r="T122" s="140">
        <f ca="1">SUMIFS('recurring2_based on steps'!$B122:$AY122,'recurring2_based on steps'!$B$1:$AY$1,T$1)+SUMIFS('changes2_based on steps'!$B122:$U122,'changes2_based on steps'!$B$1:$U$1,T$1)</f>
        <v>0</v>
      </c>
      <c r="U122" s="140">
        <f ca="1">SUMIFS('recurring2_based on steps'!$B122:$AY122,'recurring2_based on steps'!$B$1:$AY$1,U$1)+SUMIFS('changes2_based on steps'!$B122:$U122,'changes2_based on steps'!$B$1:$U$1,U$1)</f>
        <v>0</v>
      </c>
      <c r="V122" s="140">
        <f>SUMIFS('recurring2_based on steps'!$B122:$AY122,'recurring2_based on steps'!$B$1:$AY$1,V$1)+SUMIFS('changes2_based on steps'!$B122:$U122,'changes2_based on steps'!$B$1:$U$1,V$1)</f>
        <v>0</v>
      </c>
      <c r="W122" s="140">
        <f>SUMIFS('recurring2_based on steps'!$B122:$AY122,'recurring2_based on steps'!$B$1:$AY$1,W$1)+SUMIFS('changes2_based on steps'!$B122:$U122,'changes2_based on steps'!$B$1:$U$1,W$1)</f>
        <v>0</v>
      </c>
      <c r="X122" s="140">
        <f ca="1">SUMIFS('recurring2_based on steps'!$B122:$AY122,'recurring2_based on steps'!$B$1:$AY$1,X$1)+SUMIFS('changes2_based on steps'!$B122:$U122,'changes2_based on steps'!$B$1:$U$1,X$1)</f>
        <v>0</v>
      </c>
      <c r="Y122" s="140">
        <f ca="1">SUMIFS('recurring2_based on steps'!$B122:$AY122,'recurring2_based on steps'!$B$1:$AY$1,Y$1)+SUMIFS('changes2_based on steps'!$B122:$U122,'changes2_based on steps'!$B$1:$U$1,Y$1)</f>
        <v>0</v>
      </c>
      <c r="Z122" s="140">
        <f>SUMIFS('recurring2_based on steps'!$B122:$AY122,'recurring2_based on steps'!$B$1:$AY$1,Z$1)+SUMIFS('changes2_based on steps'!$B122:$U122,'changes2_based on steps'!$B$1:$U$1,Z$1)</f>
        <v>0</v>
      </c>
      <c r="AA122" s="140">
        <f ca="1">SUMIFS('recurring2_based on steps'!$B122:$AY122,'recurring2_based on steps'!$B$1:$AY$1,AA$1)+SUMIFS('changes2_based on steps'!$B122:$U122,'changes2_based on steps'!$B$1:$U$1,AA$1)</f>
        <v>0</v>
      </c>
      <c r="AB122" s="140">
        <f ca="1">SUMIFS('recurring2_based on steps'!$B122:$AY122,'recurring2_based on steps'!$B$1:$AY$1,AB$1)+SUMIFS('changes2_based on steps'!$B122:$U122,'changes2_based on steps'!$B$1:$U$1,AB$1)</f>
        <v>0</v>
      </c>
      <c r="AC122" s="140">
        <f ca="1">SUMIFS('recurring2_based on steps'!$B122:$AY122,'recurring2_based on steps'!$B$1:$AY$1,AC$1)+SUMIFS('changes2_based on steps'!$B122:$U122,'changes2_based on steps'!$B$1:$U$1,AC$1)</f>
        <v>0</v>
      </c>
      <c r="AD122" s="140">
        <f ca="1">SUMIFS('recurring2_based on steps'!$B122:$AY122,'recurring2_based on steps'!$B$1:$AY$1,AD$1)+SUMIFS('changes2_based on steps'!$B122:$U122,'changes2_based on steps'!$B$1:$U$1,AD$1)</f>
        <v>0</v>
      </c>
      <c r="AE122" s="140">
        <f>SUMIFS('recurring2_based on steps'!$B122:$AY122,'recurring2_based on steps'!$B$1:$AY$1,AE$1)+SUMIFS('changes2_based on steps'!$B122:$U122,'changes2_based on steps'!$B$1:$U$1,AE$1)</f>
        <v>0</v>
      </c>
      <c r="AF122" s="140"/>
      <c r="AG122" s="140"/>
      <c r="AH122" s="140"/>
      <c r="AI122" s="140"/>
      <c r="AJ122" s="140"/>
      <c r="AK122" s="140"/>
      <c r="AL122" s="140"/>
      <c r="AM122" s="140"/>
    </row>
    <row r="123" spans="1:39" x14ac:dyDescent="0.2">
      <c r="A123" s="29">
        <f t="shared" ca="1" si="1"/>
        <v>45863</v>
      </c>
      <c r="B123" s="140">
        <f ca="1">SUMIFS('recurring2_based on steps'!$B123:$AY123,'recurring2_based on steps'!$B$1:$AY$1,B$1)+SUMIFS('changes2_based on steps'!$B123:$U123,'changes2_based on steps'!$B$1:$U$1,B$1)</f>
        <v>4000</v>
      </c>
      <c r="C123" s="140">
        <f>SUMIFS('recurring2_based on steps'!$B123:$AY123,'recurring2_based on steps'!$B$1:$AY$1,C$1)+SUMIFS('changes2_based on steps'!$B123:$U123,'changes2_based on steps'!$B$1:$U$1,C$1)</f>
        <v>0</v>
      </c>
      <c r="D123" s="140">
        <f>SUMIFS('recurring2_based on steps'!$B123:$AY123,'recurring2_based on steps'!$B$1:$AY$1,D$1)+SUMIFS('changes2_based on steps'!$B123:$U123,'changes2_based on steps'!$B$1:$U$1,D$1)</f>
        <v>0</v>
      </c>
      <c r="E123" s="140">
        <f>SUMIFS('recurring2_based on steps'!$B123:$AY123,'recurring2_based on steps'!$B$1:$AY$1,E$1)+SUMIFS('changes2_based on steps'!$B123:$U123,'changes2_based on steps'!$B$1:$U$1,E$1)</f>
        <v>0</v>
      </c>
      <c r="F123" s="140">
        <f>SUMIFS('recurring2_based on steps'!$B123:$AY123,'recurring2_based on steps'!$B$1:$AY$1,F$1)+SUMIFS('changes2_based on steps'!$B123:$U123,'changes2_based on steps'!$B$1:$U$1,F$1)</f>
        <v>0</v>
      </c>
      <c r="G123" s="140">
        <f>SUMIFS('recurring2_based on steps'!$B123:$AY123,'recurring2_based on steps'!$B$1:$AY$1,G$1)+SUMIFS('changes2_based on steps'!$B123:$U123,'changes2_based on steps'!$B$1:$U$1,G$1)</f>
        <v>0</v>
      </c>
      <c r="H123" s="140">
        <f>SUMIFS('recurring2_based on steps'!$B123:$AY123,'recurring2_based on steps'!$B$1:$AY$1,H$1)+SUMIFS('changes2_based on steps'!$B123:$U123,'changes2_based on steps'!$B$1:$U$1,H$1)</f>
        <v>0</v>
      </c>
      <c r="I123" s="140">
        <f>SUMIFS('recurring2_based on steps'!$B123:$AY123,'recurring2_based on steps'!$B$1:$AY$1,I$1)+SUMIFS('changes2_based on steps'!$B123:$U123,'changes2_based on steps'!$B$1:$U$1,I$1)</f>
        <v>0</v>
      </c>
      <c r="J123" s="140">
        <f ca="1">SUMIFS('recurring2_based on steps'!$B123:$AY123,'recurring2_based on steps'!$B$1:$AY$1,J$1)+SUMIFS('changes2_based on steps'!$B123:$U123,'changes2_based on steps'!$B$1:$U$1,J$1)</f>
        <v>0</v>
      </c>
      <c r="K123" s="140">
        <f>SUMIFS('recurring2_based on steps'!$B123:$AY123,'recurring2_based on steps'!$B$1:$AY$1,K$1)+SUMIFS('changes2_based on steps'!$B123:$U123,'changes2_based on steps'!$B$1:$U$1,K$1)</f>
        <v>0</v>
      </c>
      <c r="L123" s="140">
        <f>SUMIFS('recurring2_based on steps'!$B123:$AY123,'recurring2_based on steps'!$B$1:$AY$1,L$1)+SUMIFS('changes2_based on steps'!$B123:$U123,'changes2_based on steps'!$B$1:$U$1,L$1)</f>
        <v>0</v>
      </c>
      <c r="M123" s="140">
        <f>SUMIFS('recurring2_based on steps'!$B123:$AY123,'recurring2_based on steps'!$B$1:$AY$1,M$1)+SUMIFS('changes2_based on steps'!$B123:$U123,'changes2_based on steps'!$B$1:$U$1,M$1)</f>
        <v>0</v>
      </c>
      <c r="N123" s="140">
        <f ca="1">SUMIFS('recurring2_based on steps'!$B123:$AY123,'recurring2_based on steps'!$B$1:$AY$1,N$1)+SUMIFS('changes2_based on steps'!$B123:$U123,'changes2_based on steps'!$B$1:$U$1,N$1)</f>
        <v>0</v>
      </c>
      <c r="O123" s="140">
        <f>SUMIFS('recurring2_based on steps'!$B123:$AY123,'recurring2_based on steps'!$B$1:$AY$1,O$1)+SUMIFS('changes2_based on steps'!$B123:$U123,'changes2_based on steps'!$B$1:$U$1,O$1)</f>
        <v>0</v>
      </c>
      <c r="P123" s="140">
        <f ca="1">SUMIFS('recurring2_based on steps'!$B123:$AY123,'recurring2_based on steps'!$B$1:$AY$1,P$1)+SUMIFS('changes2_based on steps'!$B123:$U123,'changes2_based on steps'!$B$1:$U$1,P$1)</f>
        <v>0</v>
      </c>
      <c r="Q123" s="140">
        <f ca="1">SUMIFS('recurring2_based on steps'!$B123:$AY123,'recurring2_based on steps'!$B$1:$AY$1,Q$1)+SUMIFS('changes2_based on steps'!$B123:$U123,'changes2_based on steps'!$B$1:$U$1,Q$1)</f>
        <v>5.5401662049861494E-2</v>
      </c>
      <c r="R123" s="140">
        <f ca="1">SUMIFS('recurring2_based on steps'!$B123:$AY123,'recurring2_based on steps'!$B$1:$AY$1,R$1)+SUMIFS('changes2_based on steps'!$B123:$U123,'changes2_based on steps'!$B$1:$U$1,R$1)</f>
        <v>0</v>
      </c>
      <c r="S123" s="140">
        <f>SUMIFS('recurring2_based on steps'!$B123:$AY123,'recurring2_based on steps'!$B$1:$AY$1,S$1)+SUMIFS('changes2_based on steps'!$B123:$U123,'changes2_based on steps'!$B$1:$U$1,S$1)</f>
        <v>0</v>
      </c>
      <c r="T123" s="140">
        <f ca="1">SUMIFS('recurring2_based on steps'!$B123:$AY123,'recurring2_based on steps'!$B$1:$AY$1,T$1)+SUMIFS('changes2_based on steps'!$B123:$U123,'changes2_based on steps'!$B$1:$U$1,T$1)</f>
        <v>50</v>
      </c>
      <c r="U123" s="140">
        <f ca="1">SUMIFS('recurring2_based on steps'!$B123:$AY123,'recurring2_based on steps'!$B$1:$AY$1,U$1)+SUMIFS('changes2_based on steps'!$B123:$U123,'changes2_based on steps'!$B$1:$U$1,U$1)</f>
        <v>200</v>
      </c>
      <c r="V123" s="140">
        <f>SUMIFS('recurring2_based on steps'!$B123:$AY123,'recurring2_based on steps'!$B$1:$AY$1,V$1)+SUMIFS('changes2_based on steps'!$B123:$U123,'changes2_based on steps'!$B$1:$U$1,V$1)</f>
        <v>0</v>
      </c>
      <c r="W123" s="140">
        <f>SUMIFS('recurring2_based on steps'!$B123:$AY123,'recurring2_based on steps'!$B$1:$AY$1,W$1)+SUMIFS('changes2_based on steps'!$B123:$U123,'changes2_based on steps'!$B$1:$U$1,W$1)</f>
        <v>0</v>
      </c>
      <c r="X123" s="140">
        <f ca="1">SUMIFS('recurring2_based on steps'!$B123:$AY123,'recurring2_based on steps'!$B$1:$AY$1,X$1)+SUMIFS('changes2_based on steps'!$B123:$U123,'changes2_based on steps'!$B$1:$U$1,X$1)</f>
        <v>96</v>
      </c>
      <c r="Y123" s="140">
        <f ca="1">SUMIFS('recurring2_based on steps'!$B123:$AY123,'recurring2_based on steps'!$B$1:$AY$1,Y$1)+SUMIFS('changes2_based on steps'!$B123:$U123,'changes2_based on steps'!$B$1:$U$1,Y$1)</f>
        <v>0</v>
      </c>
      <c r="Z123" s="140">
        <f>SUMIFS('recurring2_based on steps'!$B123:$AY123,'recurring2_based on steps'!$B$1:$AY$1,Z$1)+SUMIFS('changes2_based on steps'!$B123:$U123,'changes2_based on steps'!$B$1:$U$1,Z$1)</f>
        <v>0</v>
      </c>
      <c r="AA123" s="140">
        <f ca="1">SUMIFS('recurring2_based on steps'!$B123:$AY123,'recurring2_based on steps'!$B$1:$AY$1,AA$1)+SUMIFS('changes2_based on steps'!$B123:$U123,'changes2_based on steps'!$B$1:$U$1,AA$1)</f>
        <v>0</v>
      </c>
      <c r="AB123" s="140">
        <f ca="1">SUMIFS('recurring2_based on steps'!$B123:$AY123,'recurring2_based on steps'!$B$1:$AY$1,AB$1)+SUMIFS('changes2_based on steps'!$B123:$U123,'changes2_based on steps'!$B$1:$U$1,AB$1)</f>
        <v>0</v>
      </c>
      <c r="AC123" s="140">
        <f ca="1">SUMIFS('recurring2_based on steps'!$B123:$AY123,'recurring2_based on steps'!$B$1:$AY$1,AC$1)+SUMIFS('changes2_based on steps'!$B123:$U123,'changes2_based on steps'!$B$1:$U$1,AC$1)</f>
        <v>0</v>
      </c>
      <c r="AD123" s="140">
        <f ca="1">SUMIFS('recurring2_based on steps'!$B123:$AY123,'recurring2_based on steps'!$B$1:$AY$1,AD$1)+SUMIFS('changes2_based on steps'!$B123:$U123,'changes2_based on steps'!$B$1:$U$1,AD$1)</f>
        <v>50</v>
      </c>
      <c r="AE123" s="140">
        <f>SUMIFS('recurring2_based on steps'!$B123:$AY123,'recurring2_based on steps'!$B$1:$AY$1,AE$1)+SUMIFS('changes2_based on steps'!$B123:$U123,'changes2_based on steps'!$B$1:$U$1,AE$1)</f>
        <v>0</v>
      </c>
      <c r="AF123" s="140"/>
      <c r="AG123" s="140"/>
      <c r="AH123" s="140"/>
      <c r="AI123" s="140"/>
      <c r="AJ123" s="140"/>
      <c r="AK123" s="140"/>
      <c r="AL123" s="140"/>
      <c r="AM123" s="140"/>
    </row>
    <row r="124" spans="1:39" x14ac:dyDescent="0.2">
      <c r="A124" s="29">
        <f t="shared" ca="1" si="1"/>
        <v>45864</v>
      </c>
      <c r="B124" s="140">
        <f ca="1">SUMIFS('recurring2_based on steps'!$B124:$AY124,'recurring2_based on steps'!$B$1:$AY$1,B$1)+SUMIFS('changes2_based on steps'!$B124:$U124,'changes2_based on steps'!$B$1:$U$1,B$1)</f>
        <v>0</v>
      </c>
      <c r="C124" s="140">
        <f>SUMIFS('recurring2_based on steps'!$B124:$AY124,'recurring2_based on steps'!$B$1:$AY$1,C$1)+SUMIFS('changes2_based on steps'!$B124:$U124,'changes2_based on steps'!$B$1:$U$1,C$1)</f>
        <v>0</v>
      </c>
      <c r="D124" s="140">
        <f>SUMIFS('recurring2_based on steps'!$B124:$AY124,'recurring2_based on steps'!$B$1:$AY$1,D$1)+SUMIFS('changes2_based on steps'!$B124:$U124,'changes2_based on steps'!$B$1:$U$1,D$1)</f>
        <v>0</v>
      </c>
      <c r="E124" s="140">
        <f>SUMIFS('recurring2_based on steps'!$B124:$AY124,'recurring2_based on steps'!$B$1:$AY$1,E$1)+SUMIFS('changes2_based on steps'!$B124:$U124,'changes2_based on steps'!$B$1:$U$1,E$1)</f>
        <v>0</v>
      </c>
      <c r="F124" s="140">
        <f>SUMIFS('recurring2_based on steps'!$B124:$AY124,'recurring2_based on steps'!$B$1:$AY$1,F$1)+SUMIFS('changes2_based on steps'!$B124:$U124,'changes2_based on steps'!$B$1:$U$1,F$1)</f>
        <v>0</v>
      </c>
      <c r="G124" s="140">
        <f>SUMIFS('recurring2_based on steps'!$B124:$AY124,'recurring2_based on steps'!$B$1:$AY$1,G$1)+SUMIFS('changes2_based on steps'!$B124:$U124,'changes2_based on steps'!$B$1:$U$1,G$1)</f>
        <v>0</v>
      </c>
      <c r="H124" s="140">
        <f>SUMIFS('recurring2_based on steps'!$B124:$AY124,'recurring2_based on steps'!$B$1:$AY$1,H$1)+SUMIFS('changes2_based on steps'!$B124:$U124,'changes2_based on steps'!$B$1:$U$1,H$1)</f>
        <v>0</v>
      </c>
      <c r="I124" s="140">
        <f>SUMIFS('recurring2_based on steps'!$B124:$AY124,'recurring2_based on steps'!$B$1:$AY$1,I$1)+SUMIFS('changes2_based on steps'!$B124:$U124,'changes2_based on steps'!$B$1:$U$1,I$1)</f>
        <v>0</v>
      </c>
      <c r="J124" s="140">
        <f ca="1">SUMIFS('recurring2_based on steps'!$B124:$AY124,'recurring2_based on steps'!$B$1:$AY$1,J$1)+SUMIFS('changes2_based on steps'!$B124:$U124,'changes2_based on steps'!$B$1:$U$1,J$1)</f>
        <v>0</v>
      </c>
      <c r="K124" s="140">
        <f>SUMIFS('recurring2_based on steps'!$B124:$AY124,'recurring2_based on steps'!$B$1:$AY$1,K$1)+SUMIFS('changes2_based on steps'!$B124:$U124,'changes2_based on steps'!$B$1:$U$1,K$1)</f>
        <v>0</v>
      </c>
      <c r="L124" s="140">
        <f>SUMIFS('recurring2_based on steps'!$B124:$AY124,'recurring2_based on steps'!$B$1:$AY$1,L$1)+SUMIFS('changes2_based on steps'!$B124:$U124,'changes2_based on steps'!$B$1:$U$1,L$1)</f>
        <v>0</v>
      </c>
      <c r="M124" s="140">
        <f>SUMIFS('recurring2_based on steps'!$B124:$AY124,'recurring2_based on steps'!$B$1:$AY$1,M$1)+SUMIFS('changes2_based on steps'!$B124:$U124,'changes2_based on steps'!$B$1:$U$1,M$1)</f>
        <v>0</v>
      </c>
      <c r="N124" s="140">
        <f ca="1">SUMIFS('recurring2_based on steps'!$B124:$AY124,'recurring2_based on steps'!$B$1:$AY$1,N$1)+SUMIFS('changes2_based on steps'!$B124:$U124,'changes2_based on steps'!$B$1:$U$1,N$1)</f>
        <v>0</v>
      </c>
      <c r="O124" s="140">
        <f>SUMIFS('recurring2_based on steps'!$B124:$AY124,'recurring2_based on steps'!$B$1:$AY$1,O$1)+SUMIFS('changes2_based on steps'!$B124:$U124,'changes2_based on steps'!$B$1:$U$1,O$1)</f>
        <v>0</v>
      </c>
      <c r="P124" s="140">
        <f ca="1">SUMIFS('recurring2_based on steps'!$B124:$AY124,'recurring2_based on steps'!$B$1:$AY$1,P$1)+SUMIFS('changes2_based on steps'!$B124:$U124,'changes2_based on steps'!$B$1:$U$1,P$1)</f>
        <v>0</v>
      </c>
      <c r="Q124" s="140">
        <f ca="1">SUMIFS('recurring2_based on steps'!$B124:$AY124,'recurring2_based on steps'!$B$1:$AY$1,Q$1)+SUMIFS('changes2_based on steps'!$B124:$U124,'changes2_based on steps'!$B$1:$U$1,Q$1)</f>
        <v>100.05540166204986</v>
      </c>
      <c r="R124" s="140">
        <f ca="1">SUMIFS('recurring2_based on steps'!$B124:$AY124,'recurring2_based on steps'!$B$1:$AY$1,R$1)+SUMIFS('changes2_based on steps'!$B124:$U124,'changes2_based on steps'!$B$1:$U$1,R$1)</f>
        <v>0</v>
      </c>
      <c r="S124" s="140">
        <f>SUMIFS('recurring2_based on steps'!$B124:$AY124,'recurring2_based on steps'!$B$1:$AY$1,S$1)+SUMIFS('changes2_based on steps'!$B124:$U124,'changes2_based on steps'!$B$1:$U$1,S$1)</f>
        <v>0</v>
      </c>
      <c r="T124" s="140">
        <f ca="1">SUMIFS('recurring2_based on steps'!$B124:$AY124,'recurring2_based on steps'!$B$1:$AY$1,T$1)+SUMIFS('changes2_based on steps'!$B124:$U124,'changes2_based on steps'!$B$1:$U$1,T$1)</f>
        <v>0</v>
      </c>
      <c r="U124" s="140">
        <f ca="1">SUMIFS('recurring2_based on steps'!$B124:$AY124,'recurring2_based on steps'!$B$1:$AY$1,U$1)+SUMIFS('changes2_based on steps'!$B124:$U124,'changes2_based on steps'!$B$1:$U$1,U$1)</f>
        <v>0</v>
      </c>
      <c r="V124" s="140">
        <f>SUMIFS('recurring2_based on steps'!$B124:$AY124,'recurring2_based on steps'!$B$1:$AY$1,V$1)+SUMIFS('changes2_based on steps'!$B124:$U124,'changes2_based on steps'!$B$1:$U$1,V$1)</f>
        <v>0</v>
      </c>
      <c r="W124" s="140">
        <f>SUMIFS('recurring2_based on steps'!$B124:$AY124,'recurring2_based on steps'!$B$1:$AY$1,W$1)+SUMIFS('changes2_based on steps'!$B124:$U124,'changes2_based on steps'!$B$1:$U$1,W$1)</f>
        <v>0</v>
      </c>
      <c r="X124" s="140">
        <f ca="1">SUMIFS('recurring2_based on steps'!$B124:$AY124,'recurring2_based on steps'!$B$1:$AY$1,X$1)+SUMIFS('changes2_based on steps'!$B124:$U124,'changes2_based on steps'!$B$1:$U$1,X$1)</f>
        <v>0</v>
      </c>
      <c r="Y124" s="140">
        <f ca="1">SUMIFS('recurring2_based on steps'!$B124:$AY124,'recurring2_based on steps'!$B$1:$AY$1,Y$1)+SUMIFS('changes2_based on steps'!$B124:$U124,'changes2_based on steps'!$B$1:$U$1,Y$1)</f>
        <v>0</v>
      </c>
      <c r="Z124" s="140">
        <f>SUMIFS('recurring2_based on steps'!$B124:$AY124,'recurring2_based on steps'!$B$1:$AY$1,Z$1)+SUMIFS('changes2_based on steps'!$B124:$U124,'changes2_based on steps'!$B$1:$U$1,Z$1)</f>
        <v>0</v>
      </c>
      <c r="AA124" s="140">
        <f ca="1">SUMIFS('recurring2_based on steps'!$B124:$AY124,'recurring2_based on steps'!$B$1:$AY$1,AA$1)+SUMIFS('changes2_based on steps'!$B124:$U124,'changes2_based on steps'!$B$1:$U$1,AA$1)</f>
        <v>0</v>
      </c>
      <c r="AB124" s="140">
        <f ca="1">SUMIFS('recurring2_based on steps'!$B124:$AY124,'recurring2_based on steps'!$B$1:$AY$1,AB$1)+SUMIFS('changes2_based on steps'!$B124:$U124,'changes2_based on steps'!$B$1:$U$1,AB$1)</f>
        <v>100</v>
      </c>
      <c r="AC124" s="140">
        <f ca="1">SUMIFS('recurring2_based on steps'!$B124:$AY124,'recurring2_based on steps'!$B$1:$AY$1,AC$1)+SUMIFS('changes2_based on steps'!$B124:$U124,'changes2_based on steps'!$B$1:$U$1,AC$1)</f>
        <v>0</v>
      </c>
      <c r="AD124" s="140">
        <f ca="1">SUMIFS('recurring2_based on steps'!$B124:$AY124,'recurring2_based on steps'!$B$1:$AY$1,AD$1)+SUMIFS('changes2_based on steps'!$B124:$U124,'changes2_based on steps'!$B$1:$U$1,AD$1)</f>
        <v>0</v>
      </c>
      <c r="AE124" s="140">
        <f>SUMIFS('recurring2_based on steps'!$B124:$AY124,'recurring2_based on steps'!$B$1:$AY$1,AE$1)+SUMIFS('changes2_based on steps'!$B124:$U124,'changes2_based on steps'!$B$1:$U$1,AE$1)</f>
        <v>0</v>
      </c>
      <c r="AF124" s="140"/>
      <c r="AG124" s="140"/>
      <c r="AH124" s="140"/>
      <c r="AI124" s="140"/>
      <c r="AJ124" s="140"/>
      <c r="AK124" s="140"/>
      <c r="AL124" s="140"/>
      <c r="AM124" s="140"/>
    </row>
    <row r="125" spans="1:39" x14ac:dyDescent="0.2">
      <c r="A125" s="29">
        <f t="shared" ca="1" si="1"/>
        <v>45865</v>
      </c>
      <c r="B125" s="140">
        <f ca="1">SUMIFS('recurring2_based on steps'!$B125:$AY125,'recurring2_based on steps'!$B$1:$AY$1,B$1)+SUMIFS('changes2_based on steps'!$B125:$U125,'changes2_based on steps'!$B$1:$U$1,B$1)</f>
        <v>0</v>
      </c>
      <c r="C125" s="140">
        <f>SUMIFS('recurring2_based on steps'!$B125:$AY125,'recurring2_based on steps'!$B$1:$AY$1,C$1)+SUMIFS('changes2_based on steps'!$B125:$U125,'changes2_based on steps'!$B$1:$U$1,C$1)</f>
        <v>0</v>
      </c>
      <c r="D125" s="140">
        <f>SUMIFS('recurring2_based on steps'!$B125:$AY125,'recurring2_based on steps'!$B$1:$AY$1,D$1)+SUMIFS('changes2_based on steps'!$B125:$U125,'changes2_based on steps'!$B$1:$U$1,D$1)</f>
        <v>0</v>
      </c>
      <c r="E125" s="140">
        <f>SUMIFS('recurring2_based on steps'!$B125:$AY125,'recurring2_based on steps'!$B$1:$AY$1,E$1)+SUMIFS('changes2_based on steps'!$B125:$U125,'changes2_based on steps'!$B$1:$U$1,E$1)</f>
        <v>0</v>
      </c>
      <c r="F125" s="140">
        <f>SUMIFS('recurring2_based on steps'!$B125:$AY125,'recurring2_based on steps'!$B$1:$AY$1,F$1)+SUMIFS('changes2_based on steps'!$B125:$U125,'changes2_based on steps'!$B$1:$U$1,F$1)</f>
        <v>0</v>
      </c>
      <c r="G125" s="140">
        <f>SUMIFS('recurring2_based on steps'!$B125:$AY125,'recurring2_based on steps'!$B$1:$AY$1,G$1)+SUMIFS('changes2_based on steps'!$B125:$U125,'changes2_based on steps'!$B$1:$U$1,G$1)</f>
        <v>0</v>
      </c>
      <c r="H125" s="140">
        <f>SUMIFS('recurring2_based on steps'!$B125:$AY125,'recurring2_based on steps'!$B$1:$AY$1,H$1)+SUMIFS('changes2_based on steps'!$B125:$U125,'changes2_based on steps'!$B$1:$U$1,H$1)</f>
        <v>0</v>
      </c>
      <c r="I125" s="140">
        <f>SUMIFS('recurring2_based on steps'!$B125:$AY125,'recurring2_based on steps'!$B$1:$AY$1,I$1)+SUMIFS('changes2_based on steps'!$B125:$U125,'changes2_based on steps'!$B$1:$U$1,I$1)</f>
        <v>0</v>
      </c>
      <c r="J125" s="140">
        <f ca="1">SUMIFS('recurring2_based on steps'!$B125:$AY125,'recurring2_based on steps'!$B$1:$AY$1,J$1)+SUMIFS('changes2_based on steps'!$B125:$U125,'changes2_based on steps'!$B$1:$U$1,J$1)</f>
        <v>0</v>
      </c>
      <c r="K125" s="140">
        <f>SUMIFS('recurring2_based on steps'!$B125:$AY125,'recurring2_based on steps'!$B$1:$AY$1,K$1)+SUMIFS('changes2_based on steps'!$B125:$U125,'changes2_based on steps'!$B$1:$U$1,K$1)</f>
        <v>0</v>
      </c>
      <c r="L125" s="140">
        <f>SUMIFS('recurring2_based on steps'!$B125:$AY125,'recurring2_based on steps'!$B$1:$AY$1,L$1)+SUMIFS('changes2_based on steps'!$B125:$U125,'changes2_based on steps'!$B$1:$U$1,L$1)</f>
        <v>0</v>
      </c>
      <c r="M125" s="140">
        <f>SUMIFS('recurring2_based on steps'!$B125:$AY125,'recurring2_based on steps'!$B$1:$AY$1,M$1)+SUMIFS('changes2_based on steps'!$B125:$U125,'changes2_based on steps'!$B$1:$U$1,M$1)</f>
        <v>0</v>
      </c>
      <c r="N125" s="140">
        <f ca="1">SUMIFS('recurring2_based on steps'!$B125:$AY125,'recurring2_based on steps'!$B$1:$AY$1,N$1)+SUMIFS('changes2_based on steps'!$B125:$U125,'changes2_based on steps'!$B$1:$U$1,N$1)</f>
        <v>0</v>
      </c>
      <c r="O125" s="140">
        <f>SUMIFS('recurring2_based on steps'!$B125:$AY125,'recurring2_based on steps'!$B$1:$AY$1,O$1)+SUMIFS('changes2_based on steps'!$B125:$U125,'changes2_based on steps'!$B$1:$U$1,O$1)</f>
        <v>0</v>
      </c>
      <c r="P125" s="140">
        <f ca="1">SUMIFS('recurring2_based on steps'!$B125:$AY125,'recurring2_based on steps'!$B$1:$AY$1,P$1)+SUMIFS('changes2_based on steps'!$B125:$U125,'changes2_based on steps'!$B$1:$U$1,P$1)</f>
        <v>0</v>
      </c>
      <c r="Q125" s="140">
        <f ca="1">SUMIFS('recurring2_based on steps'!$B125:$AY125,'recurring2_based on steps'!$B$1:$AY$1,Q$1)+SUMIFS('changes2_based on steps'!$B125:$U125,'changes2_based on steps'!$B$1:$U$1,Q$1)</f>
        <v>100.05540166204986</v>
      </c>
      <c r="R125" s="140">
        <f ca="1">SUMIFS('recurring2_based on steps'!$B125:$AY125,'recurring2_based on steps'!$B$1:$AY$1,R$1)+SUMIFS('changes2_based on steps'!$B125:$U125,'changes2_based on steps'!$B$1:$U$1,R$1)</f>
        <v>2.99</v>
      </c>
      <c r="S125" s="140">
        <f>SUMIFS('recurring2_based on steps'!$B125:$AY125,'recurring2_based on steps'!$B$1:$AY$1,S$1)+SUMIFS('changes2_based on steps'!$B125:$U125,'changes2_based on steps'!$B$1:$U$1,S$1)</f>
        <v>0</v>
      </c>
      <c r="T125" s="140">
        <f ca="1">SUMIFS('recurring2_based on steps'!$B125:$AY125,'recurring2_based on steps'!$B$1:$AY$1,T$1)+SUMIFS('changes2_based on steps'!$B125:$U125,'changes2_based on steps'!$B$1:$U$1,T$1)</f>
        <v>0</v>
      </c>
      <c r="U125" s="140">
        <f ca="1">SUMIFS('recurring2_based on steps'!$B125:$AY125,'recurring2_based on steps'!$B$1:$AY$1,U$1)+SUMIFS('changes2_based on steps'!$B125:$U125,'changes2_based on steps'!$B$1:$U$1,U$1)</f>
        <v>0</v>
      </c>
      <c r="V125" s="140">
        <f>SUMIFS('recurring2_based on steps'!$B125:$AY125,'recurring2_based on steps'!$B$1:$AY$1,V$1)+SUMIFS('changes2_based on steps'!$B125:$U125,'changes2_based on steps'!$B$1:$U$1,V$1)</f>
        <v>0</v>
      </c>
      <c r="W125" s="140">
        <f>SUMIFS('recurring2_based on steps'!$B125:$AY125,'recurring2_based on steps'!$B$1:$AY$1,W$1)+SUMIFS('changes2_based on steps'!$B125:$U125,'changes2_based on steps'!$B$1:$U$1,W$1)</f>
        <v>0</v>
      </c>
      <c r="X125" s="140">
        <f ca="1">SUMIFS('recurring2_based on steps'!$B125:$AY125,'recurring2_based on steps'!$B$1:$AY$1,X$1)+SUMIFS('changes2_based on steps'!$B125:$U125,'changes2_based on steps'!$B$1:$U$1,X$1)</f>
        <v>0</v>
      </c>
      <c r="Y125" s="140">
        <f ca="1">SUMIFS('recurring2_based on steps'!$B125:$AY125,'recurring2_based on steps'!$B$1:$AY$1,Y$1)+SUMIFS('changes2_based on steps'!$B125:$U125,'changes2_based on steps'!$B$1:$U$1,Y$1)</f>
        <v>50</v>
      </c>
      <c r="Z125" s="140">
        <f>SUMIFS('recurring2_based on steps'!$B125:$AY125,'recurring2_based on steps'!$B$1:$AY$1,Z$1)+SUMIFS('changes2_based on steps'!$B125:$U125,'changes2_based on steps'!$B$1:$U$1,Z$1)</f>
        <v>0</v>
      </c>
      <c r="AA125" s="140">
        <f ca="1">SUMIFS('recurring2_based on steps'!$B125:$AY125,'recurring2_based on steps'!$B$1:$AY$1,AA$1)+SUMIFS('changes2_based on steps'!$B125:$U125,'changes2_based on steps'!$B$1:$U$1,AA$1)</f>
        <v>0</v>
      </c>
      <c r="AB125" s="140">
        <f ca="1">SUMIFS('recurring2_based on steps'!$B125:$AY125,'recurring2_based on steps'!$B$1:$AY$1,AB$1)+SUMIFS('changes2_based on steps'!$B125:$U125,'changes2_based on steps'!$B$1:$U$1,AB$1)</f>
        <v>0</v>
      </c>
      <c r="AC125" s="140">
        <f ca="1">SUMIFS('recurring2_based on steps'!$B125:$AY125,'recurring2_based on steps'!$B$1:$AY$1,AC$1)+SUMIFS('changes2_based on steps'!$B125:$U125,'changes2_based on steps'!$B$1:$U$1,AC$1)</f>
        <v>0</v>
      </c>
      <c r="AD125" s="140">
        <f ca="1">SUMIFS('recurring2_based on steps'!$B125:$AY125,'recurring2_based on steps'!$B$1:$AY$1,AD$1)+SUMIFS('changes2_based on steps'!$B125:$U125,'changes2_based on steps'!$B$1:$U$1,AD$1)</f>
        <v>0</v>
      </c>
      <c r="AE125" s="140">
        <f>SUMIFS('recurring2_based on steps'!$B125:$AY125,'recurring2_based on steps'!$B$1:$AY$1,AE$1)+SUMIFS('changes2_based on steps'!$B125:$U125,'changes2_based on steps'!$B$1:$U$1,AE$1)</f>
        <v>0</v>
      </c>
      <c r="AF125" s="140"/>
      <c r="AG125" s="140"/>
      <c r="AH125" s="140"/>
      <c r="AI125" s="140"/>
      <c r="AJ125" s="140"/>
      <c r="AK125" s="140"/>
      <c r="AL125" s="140"/>
      <c r="AM125" s="140"/>
    </row>
    <row r="126" spans="1:39" x14ac:dyDescent="0.2">
      <c r="A126" s="29">
        <f t="shared" ca="1" si="1"/>
        <v>45866</v>
      </c>
      <c r="B126" s="140">
        <f ca="1">SUMIFS('recurring2_based on steps'!$B126:$AY126,'recurring2_based on steps'!$B$1:$AY$1,B$1)+SUMIFS('changes2_based on steps'!$B126:$U126,'changes2_based on steps'!$B$1:$U$1,B$1)</f>
        <v>0</v>
      </c>
      <c r="C126" s="140">
        <f>SUMIFS('recurring2_based on steps'!$B126:$AY126,'recurring2_based on steps'!$B$1:$AY$1,C$1)+SUMIFS('changes2_based on steps'!$B126:$U126,'changes2_based on steps'!$B$1:$U$1,C$1)</f>
        <v>0</v>
      </c>
      <c r="D126" s="140">
        <f>SUMIFS('recurring2_based on steps'!$B126:$AY126,'recurring2_based on steps'!$B$1:$AY$1,D$1)+SUMIFS('changes2_based on steps'!$B126:$U126,'changes2_based on steps'!$B$1:$U$1,D$1)</f>
        <v>0</v>
      </c>
      <c r="E126" s="140">
        <f>SUMIFS('recurring2_based on steps'!$B126:$AY126,'recurring2_based on steps'!$B$1:$AY$1,E$1)+SUMIFS('changes2_based on steps'!$B126:$U126,'changes2_based on steps'!$B$1:$U$1,E$1)</f>
        <v>0</v>
      </c>
      <c r="F126" s="140">
        <f>SUMIFS('recurring2_based on steps'!$B126:$AY126,'recurring2_based on steps'!$B$1:$AY$1,F$1)+SUMIFS('changes2_based on steps'!$B126:$U126,'changes2_based on steps'!$B$1:$U$1,F$1)</f>
        <v>0</v>
      </c>
      <c r="G126" s="140">
        <f>SUMIFS('recurring2_based on steps'!$B126:$AY126,'recurring2_based on steps'!$B$1:$AY$1,G$1)+SUMIFS('changes2_based on steps'!$B126:$U126,'changes2_based on steps'!$B$1:$U$1,G$1)</f>
        <v>0</v>
      </c>
      <c r="H126" s="140">
        <f>SUMIFS('recurring2_based on steps'!$B126:$AY126,'recurring2_based on steps'!$B$1:$AY$1,H$1)+SUMIFS('changes2_based on steps'!$B126:$U126,'changes2_based on steps'!$B$1:$U$1,H$1)</f>
        <v>0</v>
      </c>
      <c r="I126" s="140">
        <f>SUMIFS('recurring2_based on steps'!$B126:$AY126,'recurring2_based on steps'!$B$1:$AY$1,I$1)+SUMIFS('changes2_based on steps'!$B126:$U126,'changes2_based on steps'!$B$1:$U$1,I$1)</f>
        <v>0</v>
      </c>
      <c r="J126" s="140">
        <f ca="1">SUMIFS('recurring2_based on steps'!$B126:$AY126,'recurring2_based on steps'!$B$1:$AY$1,J$1)+SUMIFS('changes2_based on steps'!$B126:$U126,'changes2_based on steps'!$B$1:$U$1,J$1)</f>
        <v>0</v>
      </c>
      <c r="K126" s="140">
        <f>SUMIFS('recurring2_based on steps'!$B126:$AY126,'recurring2_based on steps'!$B$1:$AY$1,K$1)+SUMIFS('changes2_based on steps'!$B126:$U126,'changes2_based on steps'!$B$1:$U$1,K$1)</f>
        <v>0</v>
      </c>
      <c r="L126" s="140">
        <f>SUMIFS('recurring2_based on steps'!$B126:$AY126,'recurring2_based on steps'!$B$1:$AY$1,L$1)+SUMIFS('changes2_based on steps'!$B126:$U126,'changes2_based on steps'!$B$1:$U$1,L$1)</f>
        <v>0</v>
      </c>
      <c r="M126" s="140">
        <f>SUMIFS('recurring2_based on steps'!$B126:$AY126,'recurring2_based on steps'!$B$1:$AY$1,M$1)+SUMIFS('changes2_based on steps'!$B126:$U126,'changes2_based on steps'!$B$1:$U$1,M$1)</f>
        <v>0</v>
      </c>
      <c r="N126" s="140">
        <f ca="1">SUMIFS('recurring2_based on steps'!$B126:$AY126,'recurring2_based on steps'!$B$1:$AY$1,N$1)+SUMIFS('changes2_based on steps'!$B126:$U126,'changes2_based on steps'!$B$1:$U$1,N$1)</f>
        <v>0</v>
      </c>
      <c r="O126" s="140">
        <f>SUMIFS('recurring2_based on steps'!$B126:$AY126,'recurring2_based on steps'!$B$1:$AY$1,O$1)+SUMIFS('changes2_based on steps'!$B126:$U126,'changes2_based on steps'!$B$1:$U$1,O$1)</f>
        <v>0</v>
      </c>
      <c r="P126" s="140">
        <f ca="1">SUMIFS('recurring2_based on steps'!$B126:$AY126,'recurring2_based on steps'!$B$1:$AY$1,P$1)+SUMIFS('changes2_based on steps'!$B126:$U126,'changes2_based on steps'!$B$1:$U$1,P$1)</f>
        <v>0</v>
      </c>
      <c r="Q126" s="140">
        <f ca="1">SUMIFS('recurring2_based on steps'!$B126:$AY126,'recurring2_based on steps'!$B$1:$AY$1,Q$1)+SUMIFS('changes2_based on steps'!$B126:$U126,'changes2_based on steps'!$B$1:$U$1,Q$1)</f>
        <v>5.5401662049861494E-2</v>
      </c>
      <c r="R126" s="140">
        <f ca="1">SUMIFS('recurring2_based on steps'!$B126:$AY126,'recurring2_based on steps'!$B$1:$AY$1,R$1)+SUMIFS('changes2_based on steps'!$B126:$U126,'changes2_based on steps'!$B$1:$U$1,R$1)</f>
        <v>0</v>
      </c>
      <c r="S126" s="140">
        <f>SUMIFS('recurring2_based on steps'!$B126:$AY126,'recurring2_based on steps'!$B$1:$AY$1,S$1)+SUMIFS('changes2_based on steps'!$B126:$U126,'changes2_based on steps'!$B$1:$U$1,S$1)</f>
        <v>0</v>
      </c>
      <c r="T126" s="140">
        <f ca="1">SUMIFS('recurring2_based on steps'!$B126:$AY126,'recurring2_based on steps'!$B$1:$AY$1,T$1)+SUMIFS('changes2_based on steps'!$B126:$U126,'changes2_based on steps'!$B$1:$U$1,T$1)</f>
        <v>0</v>
      </c>
      <c r="U126" s="140">
        <f ca="1">SUMIFS('recurring2_based on steps'!$B126:$AY126,'recurring2_based on steps'!$B$1:$AY$1,U$1)+SUMIFS('changes2_based on steps'!$B126:$U126,'changes2_based on steps'!$B$1:$U$1,U$1)</f>
        <v>0</v>
      </c>
      <c r="V126" s="140">
        <f>SUMIFS('recurring2_based on steps'!$B126:$AY126,'recurring2_based on steps'!$B$1:$AY$1,V$1)+SUMIFS('changes2_based on steps'!$B126:$U126,'changes2_based on steps'!$B$1:$U$1,V$1)</f>
        <v>0</v>
      </c>
      <c r="W126" s="140">
        <f>SUMIFS('recurring2_based on steps'!$B126:$AY126,'recurring2_based on steps'!$B$1:$AY$1,W$1)+SUMIFS('changes2_based on steps'!$B126:$U126,'changes2_based on steps'!$B$1:$U$1,W$1)</f>
        <v>0</v>
      </c>
      <c r="X126" s="140">
        <f ca="1">SUMIFS('recurring2_based on steps'!$B126:$AY126,'recurring2_based on steps'!$B$1:$AY$1,X$1)+SUMIFS('changes2_based on steps'!$B126:$U126,'changes2_based on steps'!$B$1:$U$1,X$1)</f>
        <v>0</v>
      </c>
      <c r="Y126" s="140">
        <f ca="1">SUMIFS('recurring2_based on steps'!$B126:$AY126,'recurring2_based on steps'!$B$1:$AY$1,Y$1)+SUMIFS('changes2_based on steps'!$B126:$U126,'changes2_based on steps'!$B$1:$U$1,Y$1)</f>
        <v>0</v>
      </c>
      <c r="Z126" s="140">
        <f>SUMIFS('recurring2_based on steps'!$B126:$AY126,'recurring2_based on steps'!$B$1:$AY$1,Z$1)+SUMIFS('changes2_based on steps'!$B126:$U126,'changes2_based on steps'!$B$1:$U$1,Z$1)</f>
        <v>0</v>
      </c>
      <c r="AA126" s="140">
        <f ca="1">SUMIFS('recurring2_based on steps'!$B126:$AY126,'recurring2_based on steps'!$B$1:$AY$1,AA$1)+SUMIFS('changes2_based on steps'!$B126:$U126,'changes2_based on steps'!$B$1:$U$1,AA$1)</f>
        <v>0</v>
      </c>
      <c r="AB126" s="140">
        <f ca="1">SUMIFS('recurring2_based on steps'!$B126:$AY126,'recurring2_based on steps'!$B$1:$AY$1,AB$1)+SUMIFS('changes2_based on steps'!$B126:$U126,'changes2_based on steps'!$B$1:$U$1,AB$1)</f>
        <v>0</v>
      </c>
      <c r="AC126" s="140">
        <f ca="1">SUMIFS('recurring2_based on steps'!$B126:$AY126,'recurring2_based on steps'!$B$1:$AY$1,AC$1)+SUMIFS('changes2_based on steps'!$B126:$U126,'changes2_based on steps'!$B$1:$U$1,AC$1)</f>
        <v>0</v>
      </c>
      <c r="AD126" s="140">
        <f ca="1">SUMIFS('recurring2_based on steps'!$B126:$AY126,'recurring2_based on steps'!$B$1:$AY$1,AD$1)+SUMIFS('changes2_based on steps'!$B126:$U126,'changes2_based on steps'!$B$1:$U$1,AD$1)</f>
        <v>0</v>
      </c>
      <c r="AE126" s="140">
        <f>SUMIFS('recurring2_based on steps'!$B126:$AY126,'recurring2_based on steps'!$B$1:$AY$1,AE$1)+SUMIFS('changes2_based on steps'!$B126:$U126,'changes2_based on steps'!$B$1:$U$1,AE$1)</f>
        <v>0</v>
      </c>
      <c r="AF126" s="140"/>
      <c r="AG126" s="140"/>
      <c r="AH126" s="140"/>
      <c r="AI126" s="140"/>
      <c r="AJ126" s="140"/>
      <c r="AK126" s="140"/>
      <c r="AL126" s="140"/>
      <c r="AM126" s="140"/>
    </row>
    <row r="127" spans="1:39" x14ac:dyDescent="0.2">
      <c r="A127" s="29">
        <f t="shared" ca="1" si="1"/>
        <v>45867</v>
      </c>
      <c r="B127" s="140">
        <f ca="1">SUMIFS('recurring2_based on steps'!$B127:$AY127,'recurring2_based on steps'!$B$1:$AY$1,B$1)+SUMIFS('changes2_based on steps'!$B127:$U127,'changes2_based on steps'!$B$1:$U$1,B$1)</f>
        <v>0</v>
      </c>
      <c r="C127" s="140">
        <f>SUMIFS('recurring2_based on steps'!$B127:$AY127,'recurring2_based on steps'!$B$1:$AY$1,C$1)+SUMIFS('changes2_based on steps'!$B127:$U127,'changes2_based on steps'!$B$1:$U$1,C$1)</f>
        <v>0</v>
      </c>
      <c r="D127" s="140">
        <f>SUMIFS('recurring2_based on steps'!$B127:$AY127,'recurring2_based on steps'!$B$1:$AY$1,D$1)+SUMIFS('changes2_based on steps'!$B127:$U127,'changes2_based on steps'!$B$1:$U$1,D$1)</f>
        <v>0</v>
      </c>
      <c r="E127" s="140">
        <f>SUMIFS('recurring2_based on steps'!$B127:$AY127,'recurring2_based on steps'!$B$1:$AY$1,E$1)+SUMIFS('changes2_based on steps'!$B127:$U127,'changes2_based on steps'!$B$1:$U$1,E$1)</f>
        <v>0</v>
      </c>
      <c r="F127" s="140">
        <f>SUMIFS('recurring2_based on steps'!$B127:$AY127,'recurring2_based on steps'!$B$1:$AY$1,F$1)+SUMIFS('changes2_based on steps'!$B127:$U127,'changes2_based on steps'!$B$1:$U$1,F$1)</f>
        <v>0</v>
      </c>
      <c r="G127" s="140">
        <f>SUMIFS('recurring2_based on steps'!$B127:$AY127,'recurring2_based on steps'!$B$1:$AY$1,G$1)+SUMIFS('changes2_based on steps'!$B127:$U127,'changes2_based on steps'!$B$1:$U$1,G$1)</f>
        <v>0</v>
      </c>
      <c r="H127" s="140">
        <f>SUMIFS('recurring2_based on steps'!$B127:$AY127,'recurring2_based on steps'!$B$1:$AY$1,H$1)+SUMIFS('changes2_based on steps'!$B127:$U127,'changes2_based on steps'!$B$1:$U$1,H$1)</f>
        <v>0</v>
      </c>
      <c r="I127" s="140">
        <f>SUMIFS('recurring2_based on steps'!$B127:$AY127,'recurring2_based on steps'!$B$1:$AY$1,I$1)+SUMIFS('changes2_based on steps'!$B127:$U127,'changes2_based on steps'!$B$1:$U$1,I$1)</f>
        <v>0</v>
      </c>
      <c r="J127" s="140">
        <f ca="1">SUMIFS('recurring2_based on steps'!$B127:$AY127,'recurring2_based on steps'!$B$1:$AY$1,J$1)+SUMIFS('changes2_based on steps'!$B127:$U127,'changes2_based on steps'!$B$1:$U$1,J$1)</f>
        <v>0</v>
      </c>
      <c r="K127" s="140">
        <f>SUMIFS('recurring2_based on steps'!$B127:$AY127,'recurring2_based on steps'!$B$1:$AY$1,K$1)+SUMIFS('changes2_based on steps'!$B127:$U127,'changes2_based on steps'!$B$1:$U$1,K$1)</f>
        <v>0</v>
      </c>
      <c r="L127" s="140">
        <f>SUMIFS('recurring2_based on steps'!$B127:$AY127,'recurring2_based on steps'!$B$1:$AY$1,L$1)+SUMIFS('changes2_based on steps'!$B127:$U127,'changes2_based on steps'!$B$1:$U$1,L$1)</f>
        <v>0</v>
      </c>
      <c r="M127" s="140">
        <f>SUMIFS('recurring2_based on steps'!$B127:$AY127,'recurring2_based on steps'!$B$1:$AY$1,M$1)+SUMIFS('changes2_based on steps'!$B127:$U127,'changes2_based on steps'!$B$1:$U$1,M$1)</f>
        <v>0</v>
      </c>
      <c r="N127" s="140">
        <f ca="1">SUMIFS('recurring2_based on steps'!$B127:$AY127,'recurring2_based on steps'!$B$1:$AY$1,N$1)+SUMIFS('changes2_based on steps'!$B127:$U127,'changes2_based on steps'!$B$1:$U$1,N$1)</f>
        <v>0</v>
      </c>
      <c r="O127" s="140">
        <f>SUMIFS('recurring2_based on steps'!$B127:$AY127,'recurring2_based on steps'!$B$1:$AY$1,O$1)+SUMIFS('changes2_based on steps'!$B127:$U127,'changes2_based on steps'!$B$1:$U$1,O$1)</f>
        <v>0</v>
      </c>
      <c r="P127" s="140">
        <f ca="1">SUMIFS('recurring2_based on steps'!$B127:$AY127,'recurring2_based on steps'!$B$1:$AY$1,P$1)+SUMIFS('changes2_based on steps'!$B127:$U127,'changes2_based on steps'!$B$1:$U$1,P$1)</f>
        <v>0</v>
      </c>
      <c r="Q127" s="140">
        <f ca="1">SUMIFS('recurring2_based on steps'!$B127:$AY127,'recurring2_based on steps'!$B$1:$AY$1,Q$1)+SUMIFS('changes2_based on steps'!$B127:$U127,'changes2_based on steps'!$B$1:$U$1,Q$1)</f>
        <v>5.5401662049861494E-2</v>
      </c>
      <c r="R127" s="140">
        <f ca="1">SUMIFS('recurring2_based on steps'!$B127:$AY127,'recurring2_based on steps'!$B$1:$AY$1,R$1)+SUMIFS('changes2_based on steps'!$B127:$U127,'changes2_based on steps'!$B$1:$U$1,R$1)</f>
        <v>0</v>
      </c>
      <c r="S127" s="140">
        <f>SUMIFS('recurring2_based on steps'!$B127:$AY127,'recurring2_based on steps'!$B$1:$AY$1,S$1)+SUMIFS('changes2_based on steps'!$B127:$U127,'changes2_based on steps'!$B$1:$U$1,S$1)</f>
        <v>0</v>
      </c>
      <c r="T127" s="140">
        <f ca="1">SUMIFS('recurring2_based on steps'!$B127:$AY127,'recurring2_based on steps'!$B$1:$AY$1,T$1)+SUMIFS('changes2_based on steps'!$B127:$U127,'changes2_based on steps'!$B$1:$U$1,T$1)</f>
        <v>0</v>
      </c>
      <c r="U127" s="140">
        <f ca="1">SUMIFS('recurring2_based on steps'!$B127:$AY127,'recurring2_based on steps'!$B$1:$AY$1,U$1)+SUMIFS('changes2_based on steps'!$B127:$U127,'changes2_based on steps'!$B$1:$U$1,U$1)</f>
        <v>0</v>
      </c>
      <c r="V127" s="140">
        <f>SUMIFS('recurring2_based on steps'!$B127:$AY127,'recurring2_based on steps'!$B$1:$AY$1,V$1)+SUMIFS('changes2_based on steps'!$B127:$U127,'changes2_based on steps'!$B$1:$U$1,V$1)</f>
        <v>0</v>
      </c>
      <c r="W127" s="140">
        <f>SUMIFS('recurring2_based on steps'!$B127:$AY127,'recurring2_based on steps'!$B$1:$AY$1,W$1)+SUMIFS('changes2_based on steps'!$B127:$U127,'changes2_based on steps'!$B$1:$U$1,W$1)</f>
        <v>0</v>
      </c>
      <c r="X127" s="140">
        <f ca="1">SUMIFS('recurring2_based on steps'!$B127:$AY127,'recurring2_based on steps'!$B$1:$AY$1,X$1)+SUMIFS('changes2_based on steps'!$B127:$U127,'changes2_based on steps'!$B$1:$U$1,X$1)</f>
        <v>0</v>
      </c>
      <c r="Y127" s="140">
        <f ca="1">SUMIFS('recurring2_based on steps'!$B127:$AY127,'recurring2_based on steps'!$B$1:$AY$1,Y$1)+SUMIFS('changes2_based on steps'!$B127:$U127,'changes2_based on steps'!$B$1:$U$1,Y$1)</f>
        <v>0</v>
      </c>
      <c r="Z127" s="140">
        <f>SUMIFS('recurring2_based on steps'!$B127:$AY127,'recurring2_based on steps'!$B$1:$AY$1,Z$1)+SUMIFS('changes2_based on steps'!$B127:$U127,'changes2_based on steps'!$B$1:$U$1,Z$1)</f>
        <v>0</v>
      </c>
      <c r="AA127" s="140">
        <f ca="1">SUMIFS('recurring2_based on steps'!$B127:$AY127,'recurring2_based on steps'!$B$1:$AY$1,AA$1)+SUMIFS('changes2_based on steps'!$B127:$U127,'changes2_based on steps'!$B$1:$U$1,AA$1)</f>
        <v>0</v>
      </c>
      <c r="AB127" s="140">
        <f ca="1">SUMIFS('recurring2_based on steps'!$B127:$AY127,'recurring2_based on steps'!$B$1:$AY$1,AB$1)+SUMIFS('changes2_based on steps'!$B127:$U127,'changes2_based on steps'!$B$1:$U$1,AB$1)</f>
        <v>0</v>
      </c>
      <c r="AC127" s="140">
        <f ca="1">SUMIFS('recurring2_based on steps'!$B127:$AY127,'recurring2_based on steps'!$B$1:$AY$1,AC$1)+SUMIFS('changes2_based on steps'!$B127:$U127,'changes2_based on steps'!$B$1:$U$1,AC$1)</f>
        <v>0</v>
      </c>
      <c r="AD127" s="140">
        <f ca="1">SUMIFS('recurring2_based on steps'!$B127:$AY127,'recurring2_based on steps'!$B$1:$AY$1,AD$1)+SUMIFS('changes2_based on steps'!$B127:$U127,'changes2_based on steps'!$B$1:$U$1,AD$1)</f>
        <v>0</v>
      </c>
      <c r="AE127" s="140">
        <f>SUMIFS('recurring2_based on steps'!$B127:$AY127,'recurring2_based on steps'!$B$1:$AY$1,AE$1)+SUMIFS('changes2_based on steps'!$B127:$U127,'changes2_based on steps'!$B$1:$U$1,AE$1)</f>
        <v>0</v>
      </c>
      <c r="AF127" s="140"/>
      <c r="AG127" s="140"/>
      <c r="AH127" s="140"/>
      <c r="AI127" s="140"/>
      <c r="AJ127" s="140"/>
      <c r="AK127" s="140"/>
      <c r="AL127" s="140"/>
      <c r="AM127" s="140"/>
    </row>
    <row r="128" spans="1:39" x14ac:dyDescent="0.2">
      <c r="A128" s="29">
        <f t="shared" ca="1" si="1"/>
        <v>45868</v>
      </c>
      <c r="B128" s="140">
        <f ca="1">SUMIFS('recurring2_based on steps'!$B128:$AY128,'recurring2_based on steps'!$B$1:$AY$1,B$1)+SUMIFS('changes2_based on steps'!$B128:$U128,'changes2_based on steps'!$B$1:$U$1,B$1)</f>
        <v>0</v>
      </c>
      <c r="C128" s="140">
        <f>SUMIFS('recurring2_based on steps'!$B128:$AY128,'recurring2_based on steps'!$B$1:$AY$1,C$1)+SUMIFS('changes2_based on steps'!$B128:$U128,'changes2_based on steps'!$B$1:$U$1,C$1)</f>
        <v>0</v>
      </c>
      <c r="D128" s="140">
        <f>SUMIFS('recurring2_based on steps'!$B128:$AY128,'recurring2_based on steps'!$B$1:$AY$1,D$1)+SUMIFS('changes2_based on steps'!$B128:$U128,'changes2_based on steps'!$B$1:$U$1,D$1)</f>
        <v>0</v>
      </c>
      <c r="E128" s="140">
        <f>SUMIFS('recurring2_based on steps'!$B128:$AY128,'recurring2_based on steps'!$B$1:$AY$1,E$1)+SUMIFS('changes2_based on steps'!$B128:$U128,'changes2_based on steps'!$B$1:$U$1,E$1)</f>
        <v>0</v>
      </c>
      <c r="F128" s="140">
        <f>SUMIFS('recurring2_based on steps'!$B128:$AY128,'recurring2_based on steps'!$B$1:$AY$1,F$1)+SUMIFS('changes2_based on steps'!$B128:$U128,'changes2_based on steps'!$B$1:$U$1,F$1)</f>
        <v>0</v>
      </c>
      <c r="G128" s="140">
        <f>SUMIFS('recurring2_based on steps'!$B128:$AY128,'recurring2_based on steps'!$B$1:$AY$1,G$1)+SUMIFS('changes2_based on steps'!$B128:$U128,'changes2_based on steps'!$B$1:$U$1,G$1)</f>
        <v>0</v>
      </c>
      <c r="H128" s="140">
        <f>SUMIFS('recurring2_based on steps'!$B128:$AY128,'recurring2_based on steps'!$B$1:$AY$1,H$1)+SUMIFS('changes2_based on steps'!$B128:$U128,'changes2_based on steps'!$B$1:$U$1,H$1)</f>
        <v>0</v>
      </c>
      <c r="I128" s="140">
        <f>SUMIFS('recurring2_based on steps'!$B128:$AY128,'recurring2_based on steps'!$B$1:$AY$1,I$1)+SUMIFS('changes2_based on steps'!$B128:$U128,'changes2_based on steps'!$B$1:$U$1,I$1)</f>
        <v>0</v>
      </c>
      <c r="J128" s="140">
        <f ca="1">SUMIFS('recurring2_based on steps'!$B128:$AY128,'recurring2_based on steps'!$B$1:$AY$1,J$1)+SUMIFS('changes2_based on steps'!$B128:$U128,'changes2_based on steps'!$B$1:$U$1,J$1)</f>
        <v>0</v>
      </c>
      <c r="K128" s="140">
        <f>SUMIFS('recurring2_based on steps'!$B128:$AY128,'recurring2_based on steps'!$B$1:$AY$1,K$1)+SUMIFS('changes2_based on steps'!$B128:$U128,'changes2_based on steps'!$B$1:$U$1,K$1)</f>
        <v>0</v>
      </c>
      <c r="L128" s="140">
        <f>SUMIFS('recurring2_based on steps'!$B128:$AY128,'recurring2_based on steps'!$B$1:$AY$1,L$1)+SUMIFS('changes2_based on steps'!$B128:$U128,'changes2_based on steps'!$B$1:$U$1,L$1)</f>
        <v>0</v>
      </c>
      <c r="M128" s="140">
        <f>SUMIFS('recurring2_based on steps'!$B128:$AY128,'recurring2_based on steps'!$B$1:$AY$1,M$1)+SUMIFS('changes2_based on steps'!$B128:$U128,'changes2_based on steps'!$B$1:$U$1,M$1)</f>
        <v>0</v>
      </c>
      <c r="N128" s="140">
        <f ca="1">SUMIFS('recurring2_based on steps'!$B128:$AY128,'recurring2_based on steps'!$B$1:$AY$1,N$1)+SUMIFS('changes2_based on steps'!$B128:$U128,'changes2_based on steps'!$B$1:$U$1,N$1)</f>
        <v>0</v>
      </c>
      <c r="O128" s="140">
        <f>SUMIFS('recurring2_based on steps'!$B128:$AY128,'recurring2_based on steps'!$B$1:$AY$1,O$1)+SUMIFS('changes2_based on steps'!$B128:$U128,'changes2_based on steps'!$B$1:$U$1,O$1)</f>
        <v>0</v>
      </c>
      <c r="P128" s="140">
        <f ca="1">SUMIFS('recurring2_based on steps'!$B128:$AY128,'recurring2_based on steps'!$B$1:$AY$1,P$1)+SUMIFS('changes2_based on steps'!$B128:$U128,'changes2_based on steps'!$B$1:$U$1,P$1)</f>
        <v>0</v>
      </c>
      <c r="Q128" s="140">
        <f ca="1">SUMIFS('recurring2_based on steps'!$B128:$AY128,'recurring2_based on steps'!$B$1:$AY$1,Q$1)+SUMIFS('changes2_based on steps'!$B128:$U128,'changes2_based on steps'!$B$1:$U$1,Q$1)</f>
        <v>5.5401662049861494E-2</v>
      </c>
      <c r="R128" s="140">
        <f ca="1">SUMIFS('recurring2_based on steps'!$B128:$AY128,'recurring2_based on steps'!$B$1:$AY$1,R$1)+SUMIFS('changes2_based on steps'!$B128:$U128,'changes2_based on steps'!$B$1:$U$1,R$1)</f>
        <v>0</v>
      </c>
      <c r="S128" s="140">
        <f>SUMIFS('recurring2_based on steps'!$B128:$AY128,'recurring2_based on steps'!$B$1:$AY$1,S$1)+SUMIFS('changes2_based on steps'!$B128:$U128,'changes2_based on steps'!$B$1:$U$1,S$1)</f>
        <v>0</v>
      </c>
      <c r="T128" s="140">
        <f ca="1">SUMIFS('recurring2_based on steps'!$B128:$AY128,'recurring2_based on steps'!$B$1:$AY$1,T$1)+SUMIFS('changes2_based on steps'!$B128:$U128,'changes2_based on steps'!$B$1:$U$1,T$1)</f>
        <v>0</v>
      </c>
      <c r="U128" s="140">
        <f ca="1">SUMIFS('recurring2_based on steps'!$B128:$AY128,'recurring2_based on steps'!$B$1:$AY$1,U$1)+SUMIFS('changes2_based on steps'!$B128:$U128,'changes2_based on steps'!$B$1:$U$1,U$1)</f>
        <v>0</v>
      </c>
      <c r="V128" s="140">
        <f>SUMIFS('recurring2_based on steps'!$B128:$AY128,'recurring2_based on steps'!$B$1:$AY$1,V$1)+SUMIFS('changes2_based on steps'!$B128:$U128,'changes2_based on steps'!$B$1:$U$1,V$1)</f>
        <v>0</v>
      </c>
      <c r="W128" s="140">
        <f>SUMIFS('recurring2_based on steps'!$B128:$AY128,'recurring2_based on steps'!$B$1:$AY$1,W$1)+SUMIFS('changes2_based on steps'!$B128:$U128,'changes2_based on steps'!$B$1:$U$1,W$1)</f>
        <v>0</v>
      </c>
      <c r="X128" s="140">
        <f ca="1">SUMIFS('recurring2_based on steps'!$B128:$AY128,'recurring2_based on steps'!$B$1:$AY$1,X$1)+SUMIFS('changes2_based on steps'!$B128:$U128,'changes2_based on steps'!$B$1:$U$1,X$1)</f>
        <v>0</v>
      </c>
      <c r="Y128" s="140">
        <f ca="1">SUMIFS('recurring2_based on steps'!$B128:$AY128,'recurring2_based on steps'!$B$1:$AY$1,Y$1)+SUMIFS('changes2_based on steps'!$B128:$U128,'changes2_based on steps'!$B$1:$U$1,Y$1)</f>
        <v>0</v>
      </c>
      <c r="Z128" s="140">
        <f>SUMIFS('recurring2_based on steps'!$B128:$AY128,'recurring2_based on steps'!$B$1:$AY$1,Z$1)+SUMIFS('changes2_based on steps'!$B128:$U128,'changes2_based on steps'!$B$1:$U$1,Z$1)</f>
        <v>0</v>
      </c>
      <c r="AA128" s="140">
        <f ca="1">SUMIFS('recurring2_based on steps'!$B128:$AY128,'recurring2_based on steps'!$B$1:$AY$1,AA$1)+SUMIFS('changes2_based on steps'!$B128:$U128,'changes2_based on steps'!$B$1:$U$1,AA$1)</f>
        <v>0</v>
      </c>
      <c r="AB128" s="140">
        <f ca="1">SUMIFS('recurring2_based on steps'!$B128:$AY128,'recurring2_based on steps'!$B$1:$AY$1,AB$1)+SUMIFS('changes2_based on steps'!$B128:$U128,'changes2_based on steps'!$B$1:$U$1,AB$1)</f>
        <v>0</v>
      </c>
      <c r="AC128" s="140">
        <f ca="1">SUMIFS('recurring2_based on steps'!$B128:$AY128,'recurring2_based on steps'!$B$1:$AY$1,AC$1)+SUMIFS('changes2_based on steps'!$B128:$U128,'changes2_based on steps'!$B$1:$U$1,AC$1)</f>
        <v>0</v>
      </c>
      <c r="AD128" s="140">
        <f ca="1">SUMIFS('recurring2_based on steps'!$B128:$AY128,'recurring2_based on steps'!$B$1:$AY$1,AD$1)+SUMIFS('changes2_based on steps'!$B128:$U128,'changes2_based on steps'!$B$1:$U$1,AD$1)</f>
        <v>0</v>
      </c>
      <c r="AE128" s="140">
        <f>SUMIFS('recurring2_based on steps'!$B128:$AY128,'recurring2_based on steps'!$B$1:$AY$1,AE$1)+SUMIFS('changes2_based on steps'!$B128:$U128,'changes2_based on steps'!$B$1:$U$1,AE$1)</f>
        <v>0</v>
      </c>
      <c r="AF128" s="140"/>
      <c r="AG128" s="140"/>
      <c r="AH128" s="140"/>
      <c r="AI128" s="140"/>
      <c r="AJ128" s="140"/>
      <c r="AK128" s="140"/>
      <c r="AL128" s="140"/>
      <c r="AM128" s="140"/>
    </row>
    <row r="129" spans="1:39" x14ac:dyDescent="0.2">
      <c r="A129" s="29">
        <f t="shared" ca="1" si="1"/>
        <v>45869</v>
      </c>
      <c r="B129" s="140">
        <f ca="1">SUMIFS('recurring2_based on steps'!$B129:$AY129,'recurring2_based on steps'!$B$1:$AY$1,B$1)+SUMIFS('changes2_based on steps'!$B129:$U129,'changes2_based on steps'!$B$1:$U$1,B$1)</f>
        <v>0</v>
      </c>
      <c r="C129" s="140">
        <f>SUMIFS('recurring2_based on steps'!$B129:$AY129,'recurring2_based on steps'!$B$1:$AY$1,C$1)+SUMIFS('changes2_based on steps'!$B129:$U129,'changes2_based on steps'!$B$1:$U$1,C$1)</f>
        <v>0</v>
      </c>
      <c r="D129" s="140">
        <f>SUMIFS('recurring2_based on steps'!$B129:$AY129,'recurring2_based on steps'!$B$1:$AY$1,D$1)+SUMIFS('changes2_based on steps'!$B129:$U129,'changes2_based on steps'!$B$1:$U$1,D$1)</f>
        <v>0</v>
      </c>
      <c r="E129" s="140">
        <f>SUMIFS('recurring2_based on steps'!$B129:$AY129,'recurring2_based on steps'!$B$1:$AY$1,E$1)+SUMIFS('changes2_based on steps'!$B129:$U129,'changes2_based on steps'!$B$1:$U$1,E$1)</f>
        <v>0</v>
      </c>
      <c r="F129" s="140">
        <f>SUMIFS('recurring2_based on steps'!$B129:$AY129,'recurring2_based on steps'!$B$1:$AY$1,F$1)+SUMIFS('changes2_based on steps'!$B129:$U129,'changes2_based on steps'!$B$1:$U$1,F$1)</f>
        <v>0</v>
      </c>
      <c r="G129" s="140">
        <f>SUMIFS('recurring2_based on steps'!$B129:$AY129,'recurring2_based on steps'!$B$1:$AY$1,G$1)+SUMIFS('changes2_based on steps'!$B129:$U129,'changes2_based on steps'!$B$1:$U$1,G$1)</f>
        <v>0</v>
      </c>
      <c r="H129" s="140">
        <f>SUMIFS('recurring2_based on steps'!$B129:$AY129,'recurring2_based on steps'!$B$1:$AY$1,H$1)+SUMIFS('changes2_based on steps'!$B129:$U129,'changes2_based on steps'!$B$1:$U$1,H$1)</f>
        <v>0</v>
      </c>
      <c r="I129" s="140">
        <f>SUMIFS('recurring2_based on steps'!$B129:$AY129,'recurring2_based on steps'!$B$1:$AY$1,I$1)+SUMIFS('changes2_based on steps'!$B129:$U129,'changes2_based on steps'!$B$1:$U$1,I$1)</f>
        <v>0</v>
      </c>
      <c r="J129" s="140">
        <f ca="1">SUMIFS('recurring2_based on steps'!$B129:$AY129,'recurring2_based on steps'!$B$1:$AY$1,J$1)+SUMIFS('changes2_based on steps'!$B129:$U129,'changes2_based on steps'!$B$1:$U$1,J$1)</f>
        <v>100</v>
      </c>
      <c r="K129" s="140">
        <f>SUMIFS('recurring2_based on steps'!$B129:$AY129,'recurring2_based on steps'!$B$1:$AY$1,K$1)+SUMIFS('changes2_based on steps'!$B129:$U129,'changes2_based on steps'!$B$1:$U$1,K$1)</f>
        <v>0</v>
      </c>
      <c r="L129" s="140">
        <f>SUMIFS('recurring2_based on steps'!$B129:$AY129,'recurring2_based on steps'!$B$1:$AY$1,L$1)+SUMIFS('changes2_based on steps'!$B129:$U129,'changes2_based on steps'!$B$1:$U$1,L$1)</f>
        <v>0</v>
      </c>
      <c r="M129" s="140">
        <f>SUMIFS('recurring2_based on steps'!$B129:$AY129,'recurring2_based on steps'!$B$1:$AY$1,M$1)+SUMIFS('changes2_based on steps'!$B129:$U129,'changes2_based on steps'!$B$1:$U$1,M$1)</f>
        <v>0</v>
      </c>
      <c r="N129" s="140">
        <f ca="1">SUMIFS('recurring2_based on steps'!$B129:$AY129,'recurring2_based on steps'!$B$1:$AY$1,N$1)+SUMIFS('changes2_based on steps'!$B129:$U129,'changes2_based on steps'!$B$1:$U$1,N$1)</f>
        <v>40</v>
      </c>
      <c r="O129" s="140">
        <f>SUMIFS('recurring2_based on steps'!$B129:$AY129,'recurring2_based on steps'!$B$1:$AY$1,O$1)+SUMIFS('changes2_based on steps'!$B129:$U129,'changes2_based on steps'!$B$1:$U$1,O$1)</f>
        <v>0</v>
      </c>
      <c r="P129" s="140">
        <f ca="1">SUMIFS('recurring2_based on steps'!$B129:$AY129,'recurring2_based on steps'!$B$1:$AY$1,P$1)+SUMIFS('changes2_based on steps'!$B129:$U129,'changes2_based on steps'!$B$1:$U$1,P$1)</f>
        <v>0</v>
      </c>
      <c r="Q129" s="140">
        <f ca="1">SUMIFS('recurring2_based on steps'!$B129:$AY129,'recurring2_based on steps'!$B$1:$AY$1,Q$1)+SUMIFS('changes2_based on steps'!$B129:$U129,'changes2_based on steps'!$B$1:$U$1,Q$1)</f>
        <v>5.5401662049861494E-2</v>
      </c>
      <c r="R129" s="140">
        <f ca="1">SUMIFS('recurring2_based on steps'!$B129:$AY129,'recurring2_based on steps'!$B$1:$AY$1,R$1)+SUMIFS('changes2_based on steps'!$B129:$U129,'changes2_based on steps'!$B$1:$U$1,R$1)</f>
        <v>0</v>
      </c>
      <c r="S129" s="140">
        <f>SUMIFS('recurring2_based on steps'!$B129:$AY129,'recurring2_based on steps'!$B$1:$AY$1,S$1)+SUMIFS('changes2_based on steps'!$B129:$U129,'changes2_based on steps'!$B$1:$U$1,S$1)</f>
        <v>0</v>
      </c>
      <c r="T129" s="140">
        <f ca="1">SUMIFS('recurring2_based on steps'!$B129:$AY129,'recurring2_based on steps'!$B$1:$AY$1,T$1)+SUMIFS('changes2_based on steps'!$B129:$U129,'changes2_based on steps'!$B$1:$U$1,T$1)</f>
        <v>0</v>
      </c>
      <c r="U129" s="140">
        <f ca="1">SUMIFS('recurring2_based on steps'!$B129:$AY129,'recurring2_based on steps'!$B$1:$AY$1,U$1)+SUMIFS('changes2_based on steps'!$B129:$U129,'changes2_based on steps'!$B$1:$U$1,U$1)</f>
        <v>0</v>
      </c>
      <c r="V129" s="140">
        <f>SUMIFS('recurring2_based on steps'!$B129:$AY129,'recurring2_based on steps'!$B$1:$AY$1,V$1)+SUMIFS('changes2_based on steps'!$B129:$U129,'changes2_based on steps'!$B$1:$U$1,V$1)</f>
        <v>0</v>
      </c>
      <c r="W129" s="140">
        <f>SUMIFS('recurring2_based on steps'!$B129:$AY129,'recurring2_based on steps'!$B$1:$AY$1,W$1)+SUMIFS('changes2_based on steps'!$B129:$U129,'changes2_based on steps'!$B$1:$U$1,W$1)</f>
        <v>0</v>
      </c>
      <c r="X129" s="140">
        <f ca="1">SUMIFS('recurring2_based on steps'!$B129:$AY129,'recurring2_based on steps'!$B$1:$AY$1,X$1)+SUMIFS('changes2_based on steps'!$B129:$U129,'changes2_based on steps'!$B$1:$U$1,X$1)</f>
        <v>0</v>
      </c>
      <c r="Y129" s="140">
        <f ca="1">SUMIFS('recurring2_based on steps'!$B129:$AY129,'recurring2_based on steps'!$B$1:$AY$1,Y$1)+SUMIFS('changes2_based on steps'!$B129:$U129,'changes2_based on steps'!$B$1:$U$1,Y$1)</f>
        <v>0</v>
      </c>
      <c r="Z129" s="140">
        <f>SUMIFS('recurring2_based on steps'!$B129:$AY129,'recurring2_based on steps'!$B$1:$AY$1,Z$1)+SUMIFS('changes2_based on steps'!$B129:$U129,'changes2_based on steps'!$B$1:$U$1,Z$1)</f>
        <v>0</v>
      </c>
      <c r="AA129" s="140">
        <f ca="1">SUMIFS('recurring2_based on steps'!$B129:$AY129,'recurring2_based on steps'!$B$1:$AY$1,AA$1)+SUMIFS('changes2_based on steps'!$B129:$U129,'changes2_based on steps'!$B$1:$U$1,AA$1)</f>
        <v>0</v>
      </c>
      <c r="AB129" s="140">
        <f ca="1">SUMIFS('recurring2_based on steps'!$B129:$AY129,'recurring2_based on steps'!$B$1:$AY$1,AB$1)+SUMIFS('changes2_based on steps'!$B129:$U129,'changes2_based on steps'!$B$1:$U$1,AB$1)</f>
        <v>0</v>
      </c>
      <c r="AC129" s="140">
        <f ca="1">SUMIFS('recurring2_based on steps'!$B129:$AY129,'recurring2_based on steps'!$B$1:$AY$1,AC$1)+SUMIFS('changes2_based on steps'!$B129:$U129,'changes2_based on steps'!$B$1:$U$1,AC$1)</f>
        <v>0</v>
      </c>
      <c r="AD129" s="140">
        <f ca="1">SUMIFS('recurring2_based on steps'!$B129:$AY129,'recurring2_based on steps'!$B$1:$AY$1,AD$1)+SUMIFS('changes2_based on steps'!$B129:$U129,'changes2_based on steps'!$B$1:$U$1,AD$1)</f>
        <v>0</v>
      </c>
      <c r="AE129" s="140">
        <f>SUMIFS('recurring2_based on steps'!$B129:$AY129,'recurring2_based on steps'!$B$1:$AY$1,AE$1)+SUMIFS('changes2_based on steps'!$B129:$U129,'changes2_based on steps'!$B$1:$U$1,AE$1)</f>
        <v>0</v>
      </c>
      <c r="AF129" s="140"/>
      <c r="AG129" s="140"/>
      <c r="AH129" s="140"/>
      <c r="AI129" s="140"/>
      <c r="AJ129" s="140"/>
      <c r="AK129" s="140"/>
      <c r="AL129" s="140"/>
      <c r="AM129" s="140"/>
    </row>
    <row r="130" spans="1:39" x14ac:dyDescent="0.2">
      <c r="A130" s="29">
        <f t="shared" ca="1" si="1"/>
        <v>45870</v>
      </c>
      <c r="B130" s="140">
        <f ca="1">SUMIFS('recurring2_based on steps'!$B130:$AY130,'recurring2_based on steps'!$B$1:$AY$1,B$1)+SUMIFS('changes2_based on steps'!$B130:$U130,'changes2_based on steps'!$B$1:$U$1,B$1)</f>
        <v>0</v>
      </c>
      <c r="C130" s="140">
        <f>SUMIFS('recurring2_based on steps'!$B130:$AY130,'recurring2_based on steps'!$B$1:$AY$1,C$1)+SUMIFS('changes2_based on steps'!$B130:$U130,'changes2_based on steps'!$B$1:$U$1,C$1)</f>
        <v>0</v>
      </c>
      <c r="D130" s="140">
        <f>SUMIFS('recurring2_based on steps'!$B130:$AY130,'recurring2_based on steps'!$B$1:$AY$1,D$1)+SUMIFS('changes2_based on steps'!$B130:$U130,'changes2_based on steps'!$B$1:$U$1,D$1)</f>
        <v>0</v>
      </c>
      <c r="E130" s="140">
        <f>SUMIFS('recurring2_based on steps'!$B130:$AY130,'recurring2_based on steps'!$B$1:$AY$1,E$1)+SUMIFS('changes2_based on steps'!$B130:$U130,'changes2_based on steps'!$B$1:$U$1,E$1)</f>
        <v>0</v>
      </c>
      <c r="F130" s="140">
        <f>SUMIFS('recurring2_based on steps'!$B130:$AY130,'recurring2_based on steps'!$B$1:$AY$1,F$1)+SUMIFS('changes2_based on steps'!$B130:$U130,'changes2_based on steps'!$B$1:$U$1,F$1)</f>
        <v>0</v>
      </c>
      <c r="G130" s="140">
        <f>SUMIFS('recurring2_based on steps'!$B130:$AY130,'recurring2_based on steps'!$B$1:$AY$1,G$1)+SUMIFS('changes2_based on steps'!$B130:$U130,'changes2_based on steps'!$B$1:$U$1,G$1)</f>
        <v>0</v>
      </c>
      <c r="H130" s="140">
        <f>SUMIFS('recurring2_based on steps'!$B130:$AY130,'recurring2_based on steps'!$B$1:$AY$1,H$1)+SUMIFS('changes2_based on steps'!$B130:$U130,'changes2_based on steps'!$B$1:$U$1,H$1)</f>
        <v>0</v>
      </c>
      <c r="I130" s="140">
        <f>SUMIFS('recurring2_based on steps'!$B130:$AY130,'recurring2_based on steps'!$B$1:$AY$1,I$1)+SUMIFS('changes2_based on steps'!$B130:$U130,'changes2_based on steps'!$B$1:$U$1,I$1)</f>
        <v>0</v>
      </c>
      <c r="J130" s="140">
        <f ca="1">SUMIFS('recurring2_based on steps'!$B130:$AY130,'recurring2_based on steps'!$B$1:$AY$1,J$1)+SUMIFS('changes2_based on steps'!$B130:$U130,'changes2_based on steps'!$B$1:$U$1,J$1)</f>
        <v>0</v>
      </c>
      <c r="K130" s="140">
        <f>SUMIFS('recurring2_based on steps'!$B130:$AY130,'recurring2_based on steps'!$B$1:$AY$1,K$1)+SUMIFS('changes2_based on steps'!$B130:$U130,'changes2_based on steps'!$B$1:$U$1,K$1)</f>
        <v>0</v>
      </c>
      <c r="L130" s="140">
        <f>SUMIFS('recurring2_based on steps'!$B130:$AY130,'recurring2_based on steps'!$B$1:$AY$1,L$1)+SUMIFS('changes2_based on steps'!$B130:$U130,'changes2_based on steps'!$B$1:$U$1,L$1)</f>
        <v>0</v>
      </c>
      <c r="M130" s="140">
        <f>SUMIFS('recurring2_based on steps'!$B130:$AY130,'recurring2_based on steps'!$B$1:$AY$1,M$1)+SUMIFS('changes2_based on steps'!$B130:$U130,'changes2_based on steps'!$B$1:$U$1,M$1)</f>
        <v>0</v>
      </c>
      <c r="N130" s="140">
        <f ca="1">SUMIFS('recurring2_based on steps'!$B130:$AY130,'recurring2_based on steps'!$B$1:$AY$1,N$1)+SUMIFS('changes2_based on steps'!$B130:$U130,'changes2_based on steps'!$B$1:$U$1,N$1)</f>
        <v>2000</v>
      </c>
      <c r="O130" s="140">
        <f>SUMIFS('recurring2_based on steps'!$B130:$AY130,'recurring2_based on steps'!$B$1:$AY$1,O$1)+SUMIFS('changes2_based on steps'!$B130:$U130,'changes2_based on steps'!$B$1:$U$1,O$1)</f>
        <v>0</v>
      </c>
      <c r="P130" s="140">
        <f ca="1">SUMIFS('recurring2_based on steps'!$B130:$AY130,'recurring2_based on steps'!$B$1:$AY$1,P$1)+SUMIFS('changes2_based on steps'!$B130:$U130,'changes2_based on steps'!$B$1:$U$1,P$1)</f>
        <v>0</v>
      </c>
      <c r="Q130" s="140">
        <f ca="1">SUMIFS('recurring2_based on steps'!$B130:$AY130,'recurring2_based on steps'!$B$1:$AY$1,Q$1)+SUMIFS('changes2_based on steps'!$B130:$U130,'changes2_based on steps'!$B$1:$U$1,Q$1)</f>
        <v>5.5401662049861494E-2</v>
      </c>
      <c r="R130" s="140">
        <f ca="1">SUMIFS('recurring2_based on steps'!$B130:$AY130,'recurring2_based on steps'!$B$1:$AY$1,R$1)+SUMIFS('changes2_based on steps'!$B130:$U130,'changes2_based on steps'!$B$1:$U$1,R$1)</f>
        <v>0</v>
      </c>
      <c r="S130" s="140">
        <f>SUMIFS('recurring2_based on steps'!$B130:$AY130,'recurring2_based on steps'!$B$1:$AY$1,S$1)+SUMIFS('changes2_based on steps'!$B130:$U130,'changes2_based on steps'!$B$1:$U$1,S$1)</f>
        <v>0</v>
      </c>
      <c r="T130" s="140">
        <f ca="1">SUMIFS('recurring2_based on steps'!$B130:$AY130,'recurring2_based on steps'!$B$1:$AY$1,T$1)+SUMIFS('changes2_based on steps'!$B130:$U130,'changes2_based on steps'!$B$1:$U$1,T$1)</f>
        <v>0</v>
      </c>
      <c r="U130" s="140">
        <f ca="1">SUMIFS('recurring2_based on steps'!$B130:$AY130,'recurring2_based on steps'!$B$1:$AY$1,U$1)+SUMIFS('changes2_based on steps'!$B130:$U130,'changes2_based on steps'!$B$1:$U$1,U$1)</f>
        <v>0</v>
      </c>
      <c r="V130" s="140">
        <f>SUMIFS('recurring2_based on steps'!$B130:$AY130,'recurring2_based on steps'!$B$1:$AY$1,V$1)+SUMIFS('changes2_based on steps'!$B130:$U130,'changes2_based on steps'!$B$1:$U$1,V$1)</f>
        <v>0</v>
      </c>
      <c r="W130" s="140">
        <f>SUMIFS('recurring2_based on steps'!$B130:$AY130,'recurring2_based on steps'!$B$1:$AY$1,W$1)+SUMIFS('changes2_based on steps'!$B130:$U130,'changes2_based on steps'!$B$1:$U$1,W$1)</f>
        <v>0</v>
      </c>
      <c r="X130" s="140">
        <f ca="1">SUMIFS('recurring2_based on steps'!$B130:$AY130,'recurring2_based on steps'!$B$1:$AY$1,X$1)+SUMIFS('changes2_based on steps'!$B130:$U130,'changes2_based on steps'!$B$1:$U$1,X$1)</f>
        <v>0</v>
      </c>
      <c r="Y130" s="140">
        <f ca="1">SUMIFS('recurring2_based on steps'!$B130:$AY130,'recurring2_based on steps'!$B$1:$AY$1,Y$1)+SUMIFS('changes2_based on steps'!$B130:$U130,'changes2_based on steps'!$B$1:$U$1,Y$1)</f>
        <v>0</v>
      </c>
      <c r="Z130" s="140">
        <f>SUMIFS('recurring2_based on steps'!$B130:$AY130,'recurring2_based on steps'!$B$1:$AY$1,Z$1)+SUMIFS('changes2_based on steps'!$B130:$U130,'changes2_based on steps'!$B$1:$U$1,Z$1)</f>
        <v>0</v>
      </c>
      <c r="AA130" s="140">
        <f ca="1">SUMIFS('recurring2_based on steps'!$B130:$AY130,'recurring2_based on steps'!$B$1:$AY$1,AA$1)+SUMIFS('changes2_based on steps'!$B130:$U130,'changes2_based on steps'!$B$1:$U$1,AA$1)</f>
        <v>0</v>
      </c>
      <c r="AB130" s="140">
        <f ca="1">SUMIFS('recurring2_based on steps'!$B130:$AY130,'recurring2_based on steps'!$B$1:$AY$1,AB$1)+SUMIFS('changes2_based on steps'!$B130:$U130,'changes2_based on steps'!$B$1:$U$1,AB$1)</f>
        <v>0</v>
      </c>
      <c r="AC130" s="140">
        <f ca="1">SUMIFS('recurring2_based on steps'!$B130:$AY130,'recurring2_based on steps'!$B$1:$AY$1,AC$1)+SUMIFS('changes2_based on steps'!$B130:$U130,'changes2_based on steps'!$B$1:$U$1,AC$1)</f>
        <v>0</v>
      </c>
      <c r="AD130" s="140">
        <f ca="1">SUMIFS('recurring2_based on steps'!$B130:$AY130,'recurring2_based on steps'!$B$1:$AY$1,AD$1)+SUMIFS('changes2_based on steps'!$B130:$U130,'changes2_based on steps'!$B$1:$U$1,AD$1)</f>
        <v>0</v>
      </c>
      <c r="AE130" s="140">
        <f>SUMIFS('recurring2_based on steps'!$B130:$AY130,'recurring2_based on steps'!$B$1:$AY$1,AE$1)+SUMIFS('changes2_based on steps'!$B130:$U130,'changes2_based on steps'!$B$1:$U$1,AE$1)</f>
        <v>0</v>
      </c>
      <c r="AF130" s="140"/>
      <c r="AG130" s="140"/>
      <c r="AH130" s="140"/>
      <c r="AI130" s="140"/>
      <c r="AJ130" s="140"/>
      <c r="AK130" s="140"/>
      <c r="AL130" s="140"/>
      <c r="AM130" s="140"/>
    </row>
    <row r="131" spans="1:39" x14ac:dyDescent="0.2">
      <c r="A131" s="29">
        <f t="shared" ca="1" si="1"/>
        <v>45871</v>
      </c>
      <c r="B131" s="140">
        <f ca="1">SUMIFS('recurring2_based on steps'!$B131:$AY131,'recurring2_based on steps'!$B$1:$AY$1,B$1)+SUMIFS('changes2_based on steps'!$B131:$U131,'changes2_based on steps'!$B$1:$U$1,B$1)</f>
        <v>0</v>
      </c>
      <c r="C131" s="140">
        <f>SUMIFS('recurring2_based on steps'!$B131:$AY131,'recurring2_based on steps'!$B$1:$AY$1,C$1)+SUMIFS('changes2_based on steps'!$B131:$U131,'changes2_based on steps'!$B$1:$U$1,C$1)</f>
        <v>0</v>
      </c>
      <c r="D131" s="140">
        <f>SUMIFS('recurring2_based on steps'!$B131:$AY131,'recurring2_based on steps'!$B$1:$AY$1,D$1)+SUMIFS('changes2_based on steps'!$B131:$U131,'changes2_based on steps'!$B$1:$U$1,D$1)</f>
        <v>0</v>
      </c>
      <c r="E131" s="140">
        <f>SUMIFS('recurring2_based on steps'!$B131:$AY131,'recurring2_based on steps'!$B$1:$AY$1,E$1)+SUMIFS('changes2_based on steps'!$B131:$U131,'changes2_based on steps'!$B$1:$U$1,E$1)</f>
        <v>0</v>
      </c>
      <c r="F131" s="140">
        <f>SUMIFS('recurring2_based on steps'!$B131:$AY131,'recurring2_based on steps'!$B$1:$AY$1,F$1)+SUMIFS('changes2_based on steps'!$B131:$U131,'changes2_based on steps'!$B$1:$U$1,F$1)</f>
        <v>0</v>
      </c>
      <c r="G131" s="140">
        <f>SUMIFS('recurring2_based on steps'!$B131:$AY131,'recurring2_based on steps'!$B$1:$AY$1,G$1)+SUMIFS('changes2_based on steps'!$B131:$U131,'changes2_based on steps'!$B$1:$U$1,G$1)</f>
        <v>0</v>
      </c>
      <c r="H131" s="140">
        <f>SUMIFS('recurring2_based on steps'!$B131:$AY131,'recurring2_based on steps'!$B$1:$AY$1,H$1)+SUMIFS('changes2_based on steps'!$B131:$U131,'changes2_based on steps'!$B$1:$U$1,H$1)</f>
        <v>0</v>
      </c>
      <c r="I131" s="140">
        <f>SUMIFS('recurring2_based on steps'!$B131:$AY131,'recurring2_based on steps'!$B$1:$AY$1,I$1)+SUMIFS('changes2_based on steps'!$B131:$U131,'changes2_based on steps'!$B$1:$U$1,I$1)</f>
        <v>0</v>
      </c>
      <c r="J131" s="140">
        <f ca="1">SUMIFS('recurring2_based on steps'!$B131:$AY131,'recurring2_based on steps'!$B$1:$AY$1,J$1)+SUMIFS('changes2_based on steps'!$B131:$U131,'changes2_based on steps'!$B$1:$U$1,J$1)</f>
        <v>0</v>
      </c>
      <c r="K131" s="140">
        <f>SUMIFS('recurring2_based on steps'!$B131:$AY131,'recurring2_based on steps'!$B$1:$AY$1,K$1)+SUMIFS('changes2_based on steps'!$B131:$U131,'changes2_based on steps'!$B$1:$U$1,K$1)</f>
        <v>0</v>
      </c>
      <c r="L131" s="140">
        <f>SUMIFS('recurring2_based on steps'!$B131:$AY131,'recurring2_based on steps'!$B$1:$AY$1,L$1)+SUMIFS('changes2_based on steps'!$B131:$U131,'changes2_based on steps'!$B$1:$U$1,L$1)</f>
        <v>0</v>
      </c>
      <c r="M131" s="140">
        <f>SUMIFS('recurring2_based on steps'!$B131:$AY131,'recurring2_based on steps'!$B$1:$AY$1,M$1)+SUMIFS('changes2_based on steps'!$B131:$U131,'changes2_based on steps'!$B$1:$U$1,M$1)</f>
        <v>0</v>
      </c>
      <c r="N131" s="140">
        <f ca="1">SUMIFS('recurring2_based on steps'!$B131:$AY131,'recurring2_based on steps'!$B$1:$AY$1,N$1)+SUMIFS('changes2_based on steps'!$B131:$U131,'changes2_based on steps'!$B$1:$U$1,N$1)</f>
        <v>0</v>
      </c>
      <c r="O131" s="140">
        <f>SUMIFS('recurring2_based on steps'!$B131:$AY131,'recurring2_based on steps'!$B$1:$AY$1,O$1)+SUMIFS('changes2_based on steps'!$B131:$U131,'changes2_based on steps'!$B$1:$U$1,O$1)</f>
        <v>0</v>
      </c>
      <c r="P131" s="140">
        <f ca="1">SUMIFS('recurring2_based on steps'!$B131:$AY131,'recurring2_based on steps'!$B$1:$AY$1,P$1)+SUMIFS('changes2_based on steps'!$B131:$U131,'changes2_based on steps'!$B$1:$U$1,P$1)</f>
        <v>0</v>
      </c>
      <c r="Q131" s="140">
        <f ca="1">SUMIFS('recurring2_based on steps'!$B131:$AY131,'recurring2_based on steps'!$B$1:$AY$1,Q$1)+SUMIFS('changes2_based on steps'!$B131:$U131,'changes2_based on steps'!$B$1:$U$1,Q$1)</f>
        <v>100.05540166204986</v>
      </c>
      <c r="R131" s="140">
        <f ca="1">SUMIFS('recurring2_based on steps'!$B131:$AY131,'recurring2_based on steps'!$B$1:$AY$1,R$1)+SUMIFS('changes2_based on steps'!$B131:$U131,'changes2_based on steps'!$B$1:$U$1,R$1)</f>
        <v>0</v>
      </c>
      <c r="S131" s="140">
        <f>SUMIFS('recurring2_based on steps'!$B131:$AY131,'recurring2_based on steps'!$B$1:$AY$1,S$1)+SUMIFS('changes2_based on steps'!$B131:$U131,'changes2_based on steps'!$B$1:$U$1,S$1)</f>
        <v>0</v>
      </c>
      <c r="T131" s="140">
        <f ca="1">SUMIFS('recurring2_based on steps'!$B131:$AY131,'recurring2_based on steps'!$B$1:$AY$1,T$1)+SUMIFS('changes2_based on steps'!$B131:$U131,'changes2_based on steps'!$B$1:$U$1,T$1)</f>
        <v>0</v>
      </c>
      <c r="U131" s="140">
        <f ca="1">SUMIFS('recurring2_based on steps'!$B131:$AY131,'recurring2_based on steps'!$B$1:$AY$1,U$1)+SUMIFS('changes2_based on steps'!$B131:$U131,'changes2_based on steps'!$B$1:$U$1,U$1)</f>
        <v>0</v>
      </c>
      <c r="V131" s="140">
        <f>SUMIFS('recurring2_based on steps'!$B131:$AY131,'recurring2_based on steps'!$B$1:$AY$1,V$1)+SUMIFS('changes2_based on steps'!$B131:$U131,'changes2_based on steps'!$B$1:$U$1,V$1)</f>
        <v>0</v>
      </c>
      <c r="W131" s="140">
        <f>SUMIFS('recurring2_based on steps'!$B131:$AY131,'recurring2_based on steps'!$B$1:$AY$1,W$1)+SUMIFS('changes2_based on steps'!$B131:$U131,'changes2_based on steps'!$B$1:$U$1,W$1)</f>
        <v>0</v>
      </c>
      <c r="X131" s="140">
        <f ca="1">SUMIFS('recurring2_based on steps'!$B131:$AY131,'recurring2_based on steps'!$B$1:$AY$1,X$1)+SUMIFS('changes2_based on steps'!$B131:$U131,'changes2_based on steps'!$B$1:$U$1,X$1)</f>
        <v>0</v>
      </c>
      <c r="Y131" s="140">
        <f ca="1">SUMIFS('recurring2_based on steps'!$B131:$AY131,'recurring2_based on steps'!$B$1:$AY$1,Y$1)+SUMIFS('changes2_based on steps'!$B131:$U131,'changes2_based on steps'!$B$1:$U$1,Y$1)</f>
        <v>0</v>
      </c>
      <c r="Z131" s="140">
        <f>SUMIFS('recurring2_based on steps'!$B131:$AY131,'recurring2_based on steps'!$B$1:$AY$1,Z$1)+SUMIFS('changes2_based on steps'!$B131:$U131,'changes2_based on steps'!$B$1:$U$1,Z$1)</f>
        <v>0</v>
      </c>
      <c r="AA131" s="140">
        <f ca="1">SUMIFS('recurring2_based on steps'!$B131:$AY131,'recurring2_based on steps'!$B$1:$AY$1,AA$1)+SUMIFS('changes2_based on steps'!$B131:$U131,'changes2_based on steps'!$B$1:$U$1,AA$1)</f>
        <v>0</v>
      </c>
      <c r="AB131" s="140">
        <f ca="1">SUMIFS('recurring2_based on steps'!$B131:$AY131,'recurring2_based on steps'!$B$1:$AY$1,AB$1)+SUMIFS('changes2_based on steps'!$B131:$U131,'changes2_based on steps'!$B$1:$U$1,AB$1)</f>
        <v>100</v>
      </c>
      <c r="AC131" s="140">
        <f ca="1">SUMIFS('recurring2_based on steps'!$B131:$AY131,'recurring2_based on steps'!$B$1:$AY$1,AC$1)+SUMIFS('changes2_based on steps'!$B131:$U131,'changes2_based on steps'!$B$1:$U$1,AC$1)</f>
        <v>0</v>
      </c>
      <c r="AD131" s="140">
        <f ca="1">SUMIFS('recurring2_based on steps'!$B131:$AY131,'recurring2_based on steps'!$B$1:$AY$1,AD$1)+SUMIFS('changes2_based on steps'!$B131:$U131,'changes2_based on steps'!$B$1:$U$1,AD$1)</f>
        <v>0</v>
      </c>
      <c r="AE131" s="140">
        <f>SUMIFS('recurring2_based on steps'!$B131:$AY131,'recurring2_based on steps'!$B$1:$AY$1,AE$1)+SUMIFS('changes2_based on steps'!$B131:$U131,'changes2_based on steps'!$B$1:$U$1,AE$1)</f>
        <v>0</v>
      </c>
      <c r="AF131" s="140"/>
      <c r="AG131" s="140"/>
      <c r="AH131" s="140"/>
      <c r="AI131" s="140"/>
      <c r="AJ131" s="140"/>
      <c r="AK131" s="140"/>
      <c r="AL131" s="140"/>
      <c r="AM131" s="140"/>
    </row>
    <row r="132" spans="1:39" x14ac:dyDescent="0.2">
      <c r="A132" s="29">
        <f t="shared" ca="1" si="1"/>
        <v>45872</v>
      </c>
      <c r="B132" s="140">
        <f ca="1">SUMIFS('recurring2_based on steps'!$B132:$AY132,'recurring2_based on steps'!$B$1:$AY$1,B$1)+SUMIFS('changes2_based on steps'!$B132:$U132,'changes2_based on steps'!$B$1:$U$1,B$1)</f>
        <v>0</v>
      </c>
      <c r="C132" s="140">
        <f>SUMIFS('recurring2_based on steps'!$B132:$AY132,'recurring2_based on steps'!$B$1:$AY$1,C$1)+SUMIFS('changes2_based on steps'!$B132:$U132,'changes2_based on steps'!$B$1:$U$1,C$1)</f>
        <v>0</v>
      </c>
      <c r="D132" s="140">
        <f>SUMIFS('recurring2_based on steps'!$B132:$AY132,'recurring2_based on steps'!$B$1:$AY$1,D$1)+SUMIFS('changes2_based on steps'!$B132:$U132,'changes2_based on steps'!$B$1:$U$1,D$1)</f>
        <v>0</v>
      </c>
      <c r="E132" s="140">
        <f>SUMIFS('recurring2_based on steps'!$B132:$AY132,'recurring2_based on steps'!$B$1:$AY$1,E$1)+SUMIFS('changes2_based on steps'!$B132:$U132,'changes2_based on steps'!$B$1:$U$1,E$1)</f>
        <v>0</v>
      </c>
      <c r="F132" s="140">
        <f>SUMIFS('recurring2_based on steps'!$B132:$AY132,'recurring2_based on steps'!$B$1:$AY$1,F$1)+SUMIFS('changes2_based on steps'!$B132:$U132,'changes2_based on steps'!$B$1:$U$1,F$1)</f>
        <v>0</v>
      </c>
      <c r="G132" s="140">
        <f>SUMIFS('recurring2_based on steps'!$B132:$AY132,'recurring2_based on steps'!$B$1:$AY$1,G$1)+SUMIFS('changes2_based on steps'!$B132:$U132,'changes2_based on steps'!$B$1:$U$1,G$1)</f>
        <v>0</v>
      </c>
      <c r="H132" s="140">
        <f>SUMIFS('recurring2_based on steps'!$B132:$AY132,'recurring2_based on steps'!$B$1:$AY$1,H$1)+SUMIFS('changes2_based on steps'!$B132:$U132,'changes2_based on steps'!$B$1:$U$1,H$1)</f>
        <v>0</v>
      </c>
      <c r="I132" s="140">
        <f>SUMIFS('recurring2_based on steps'!$B132:$AY132,'recurring2_based on steps'!$B$1:$AY$1,I$1)+SUMIFS('changes2_based on steps'!$B132:$U132,'changes2_based on steps'!$B$1:$U$1,I$1)</f>
        <v>0</v>
      </c>
      <c r="J132" s="140">
        <f ca="1">SUMIFS('recurring2_based on steps'!$B132:$AY132,'recurring2_based on steps'!$B$1:$AY$1,J$1)+SUMIFS('changes2_based on steps'!$B132:$U132,'changes2_based on steps'!$B$1:$U$1,J$1)</f>
        <v>0</v>
      </c>
      <c r="K132" s="140">
        <f>SUMIFS('recurring2_based on steps'!$B132:$AY132,'recurring2_based on steps'!$B$1:$AY$1,K$1)+SUMIFS('changes2_based on steps'!$B132:$U132,'changes2_based on steps'!$B$1:$U$1,K$1)</f>
        <v>0</v>
      </c>
      <c r="L132" s="140">
        <f>SUMIFS('recurring2_based on steps'!$B132:$AY132,'recurring2_based on steps'!$B$1:$AY$1,L$1)+SUMIFS('changes2_based on steps'!$B132:$U132,'changes2_based on steps'!$B$1:$U$1,L$1)</f>
        <v>0</v>
      </c>
      <c r="M132" s="140">
        <f>SUMIFS('recurring2_based on steps'!$B132:$AY132,'recurring2_based on steps'!$B$1:$AY$1,M$1)+SUMIFS('changes2_based on steps'!$B132:$U132,'changes2_based on steps'!$B$1:$U$1,M$1)</f>
        <v>0</v>
      </c>
      <c r="N132" s="140">
        <f ca="1">SUMIFS('recurring2_based on steps'!$B132:$AY132,'recurring2_based on steps'!$B$1:$AY$1,N$1)+SUMIFS('changes2_based on steps'!$B132:$U132,'changes2_based on steps'!$B$1:$U$1,N$1)</f>
        <v>0</v>
      </c>
      <c r="O132" s="140">
        <f>SUMIFS('recurring2_based on steps'!$B132:$AY132,'recurring2_based on steps'!$B$1:$AY$1,O$1)+SUMIFS('changes2_based on steps'!$B132:$U132,'changes2_based on steps'!$B$1:$U$1,O$1)</f>
        <v>0</v>
      </c>
      <c r="P132" s="140">
        <f ca="1">SUMIFS('recurring2_based on steps'!$B132:$AY132,'recurring2_based on steps'!$B$1:$AY$1,P$1)+SUMIFS('changes2_based on steps'!$B132:$U132,'changes2_based on steps'!$B$1:$U$1,P$1)</f>
        <v>0</v>
      </c>
      <c r="Q132" s="140">
        <f ca="1">SUMIFS('recurring2_based on steps'!$B132:$AY132,'recurring2_based on steps'!$B$1:$AY$1,Q$1)+SUMIFS('changes2_based on steps'!$B132:$U132,'changes2_based on steps'!$B$1:$U$1,Q$1)</f>
        <v>100.05540166204986</v>
      </c>
      <c r="R132" s="140">
        <f ca="1">SUMIFS('recurring2_based on steps'!$B132:$AY132,'recurring2_based on steps'!$B$1:$AY$1,R$1)+SUMIFS('changes2_based on steps'!$B132:$U132,'changes2_based on steps'!$B$1:$U$1,R$1)</f>
        <v>0</v>
      </c>
      <c r="S132" s="140">
        <f>SUMIFS('recurring2_based on steps'!$B132:$AY132,'recurring2_based on steps'!$B$1:$AY$1,S$1)+SUMIFS('changes2_based on steps'!$B132:$U132,'changes2_based on steps'!$B$1:$U$1,S$1)</f>
        <v>0</v>
      </c>
      <c r="T132" s="140">
        <f ca="1">SUMIFS('recurring2_based on steps'!$B132:$AY132,'recurring2_based on steps'!$B$1:$AY$1,T$1)+SUMIFS('changes2_based on steps'!$B132:$U132,'changes2_based on steps'!$B$1:$U$1,T$1)</f>
        <v>0</v>
      </c>
      <c r="U132" s="140">
        <f ca="1">SUMIFS('recurring2_based on steps'!$B132:$AY132,'recurring2_based on steps'!$B$1:$AY$1,U$1)+SUMIFS('changes2_based on steps'!$B132:$U132,'changes2_based on steps'!$B$1:$U$1,U$1)</f>
        <v>0</v>
      </c>
      <c r="V132" s="140">
        <f>SUMIFS('recurring2_based on steps'!$B132:$AY132,'recurring2_based on steps'!$B$1:$AY$1,V$1)+SUMIFS('changes2_based on steps'!$B132:$U132,'changes2_based on steps'!$B$1:$U$1,V$1)</f>
        <v>0</v>
      </c>
      <c r="W132" s="140">
        <f>SUMIFS('recurring2_based on steps'!$B132:$AY132,'recurring2_based on steps'!$B$1:$AY$1,W$1)+SUMIFS('changes2_based on steps'!$B132:$U132,'changes2_based on steps'!$B$1:$U$1,W$1)</f>
        <v>0</v>
      </c>
      <c r="X132" s="140">
        <f ca="1">SUMIFS('recurring2_based on steps'!$B132:$AY132,'recurring2_based on steps'!$B$1:$AY$1,X$1)+SUMIFS('changes2_based on steps'!$B132:$U132,'changes2_based on steps'!$B$1:$U$1,X$1)</f>
        <v>0</v>
      </c>
      <c r="Y132" s="140">
        <f ca="1">SUMIFS('recurring2_based on steps'!$B132:$AY132,'recurring2_based on steps'!$B$1:$AY$1,Y$1)+SUMIFS('changes2_based on steps'!$B132:$U132,'changes2_based on steps'!$B$1:$U$1,Y$1)</f>
        <v>50</v>
      </c>
      <c r="Z132" s="140">
        <f>SUMIFS('recurring2_based on steps'!$B132:$AY132,'recurring2_based on steps'!$B$1:$AY$1,Z$1)+SUMIFS('changes2_based on steps'!$B132:$U132,'changes2_based on steps'!$B$1:$U$1,Z$1)</f>
        <v>0</v>
      </c>
      <c r="AA132" s="140">
        <f ca="1">SUMIFS('recurring2_based on steps'!$B132:$AY132,'recurring2_based on steps'!$B$1:$AY$1,AA$1)+SUMIFS('changes2_based on steps'!$B132:$U132,'changes2_based on steps'!$B$1:$U$1,AA$1)</f>
        <v>0</v>
      </c>
      <c r="AB132" s="140">
        <f ca="1">SUMIFS('recurring2_based on steps'!$B132:$AY132,'recurring2_based on steps'!$B$1:$AY$1,AB$1)+SUMIFS('changes2_based on steps'!$B132:$U132,'changes2_based on steps'!$B$1:$U$1,AB$1)</f>
        <v>0</v>
      </c>
      <c r="AC132" s="140">
        <f ca="1">SUMIFS('recurring2_based on steps'!$B132:$AY132,'recurring2_based on steps'!$B$1:$AY$1,AC$1)+SUMIFS('changes2_based on steps'!$B132:$U132,'changes2_based on steps'!$B$1:$U$1,AC$1)</f>
        <v>0</v>
      </c>
      <c r="AD132" s="140">
        <f ca="1">SUMIFS('recurring2_based on steps'!$B132:$AY132,'recurring2_based on steps'!$B$1:$AY$1,AD$1)+SUMIFS('changes2_based on steps'!$B132:$U132,'changes2_based on steps'!$B$1:$U$1,AD$1)</f>
        <v>0</v>
      </c>
      <c r="AE132" s="140">
        <f>SUMIFS('recurring2_based on steps'!$B132:$AY132,'recurring2_based on steps'!$B$1:$AY$1,AE$1)+SUMIFS('changes2_based on steps'!$B132:$U132,'changes2_based on steps'!$B$1:$U$1,AE$1)</f>
        <v>0</v>
      </c>
      <c r="AF132" s="140"/>
      <c r="AG132" s="140"/>
      <c r="AH132" s="140"/>
      <c r="AI132" s="140"/>
      <c r="AJ132" s="140"/>
      <c r="AK132" s="140"/>
      <c r="AL132" s="140"/>
      <c r="AM132" s="140"/>
    </row>
    <row r="133" spans="1:39" x14ac:dyDescent="0.2">
      <c r="A133" s="29">
        <f t="shared" ref="A133:A196" ca="1" si="2">A132+1</f>
        <v>45873</v>
      </c>
      <c r="B133" s="140">
        <f ca="1">SUMIFS('recurring2_based on steps'!$B133:$AY133,'recurring2_based on steps'!$B$1:$AY$1,B$1)+SUMIFS('changes2_based on steps'!$B133:$U133,'changes2_based on steps'!$B$1:$U$1,B$1)</f>
        <v>0</v>
      </c>
      <c r="C133" s="140">
        <f>SUMIFS('recurring2_based on steps'!$B133:$AY133,'recurring2_based on steps'!$B$1:$AY$1,C$1)+SUMIFS('changes2_based on steps'!$B133:$U133,'changes2_based on steps'!$B$1:$U$1,C$1)</f>
        <v>0</v>
      </c>
      <c r="D133" s="140">
        <f>SUMIFS('recurring2_based on steps'!$B133:$AY133,'recurring2_based on steps'!$B$1:$AY$1,D$1)+SUMIFS('changes2_based on steps'!$B133:$U133,'changes2_based on steps'!$B$1:$U$1,D$1)</f>
        <v>0</v>
      </c>
      <c r="E133" s="140">
        <f>SUMIFS('recurring2_based on steps'!$B133:$AY133,'recurring2_based on steps'!$B$1:$AY$1,E$1)+SUMIFS('changes2_based on steps'!$B133:$U133,'changes2_based on steps'!$B$1:$U$1,E$1)</f>
        <v>0</v>
      </c>
      <c r="F133" s="140">
        <f>SUMIFS('recurring2_based on steps'!$B133:$AY133,'recurring2_based on steps'!$B$1:$AY$1,F$1)+SUMIFS('changes2_based on steps'!$B133:$U133,'changes2_based on steps'!$B$1:$U$1,F$1)</f>
        <v>0</v>
      </c>
      <c r="G133" s="140">
        <f>SUMIFS('recurring2_based on steps'!$B133:$AY133,'recurring2_based on steps'!$B$1:$AY$1,G$1)+SUMIFS('changes2_based on steps'!$B133:$U133,'changes2_based on steps'!$B$1:$U$1,G$1)</f>
        <v>0</v>
      </c>
      <c r="H133" s="140">
        <f>SUMIFS('recurring2_based on steps'!$B133:$AY133,'recurring2_based on steps'!$B$1:$AY$1,H$1)+SUMIFS('changes2_based on steps'!$B133:$U133,'changes2_based on steps'!$B$1:$U$1,H$1)</f>
        <v>0</v>
      </c>
      <c r="I133" s="140">
        <f>SUMIFS('recurring2_based on steps'!$B133:$AY133,'recurring2_based on steps'!$B$1:$AY$1,I$1)+SUMIFS('changes2_based on steps'!$B133:$U133,'changes2_based on steps'!$B$1:$U$1,I$1)</f>
        <v>0</v>
      </c>
      <c r="J133" s="140">
        <f ca="1">SUMIFS('recurring2_based on steps'!$B133:$AY133,'recurring2_based on steps'!$B$1:$AY$1,J$1)+SUMIFS('changes2_based on steps'!$B133:$U133,'changes2_based on steps'!$B$1:$U$1,J$1)</f>
        <v>0</v>
      </c>
      <c r="K133" s="140">
        <f>SUMIFS('recurring2_based on steps'!$B133:$AY133,'recurring2_based on steps'!$B$1:$AY$1,K$1)+SUMIFS('changes2_based on steps'!$B133:$U133,'changes2_based on steps'!$B$1:$U$1,K$1)</f>
        <v>0</v>
      </c>
      <c r="L133" s="140">
        <f>SUMIFS('recurring2_based on steps'!$B133:$AY133,'recurring2_based on steps'!$B$1:$AY$1,L$1)+SUMIFS('changes2_based on steps'!$B133:$U133,'changes2_based on steps'!$B$1:$U$1,L$1)</f>
        <v>0</v>
      </c>
      <c r="M133" s="140">
        <f>SUMIFS('recurring2_based on steps'!$B133:$AY133,'recurring2_based on steps'!$B$1:$AY$1,M$1)+SUMIFS('changes2_based on steps'!$B133:$U133,'changes2_based on steps'!$B$1:$U$1,M$1)</f>
        <v>0</v>
      </c>
      <c r="N133" s="140">
        <f ca="1">SUMIFS('recurring2_based on steps'!$B133:$AY133,'recurring2_based on steps'!$B$1:$AY$1,N$1)+SUMIFS('changes2_based on steps'!$B133:$U133,'changes2_based on steps'!$B$1:$U$1,N$1)</f>
        <v>0</v>
      </c>
      <c r="O133" s="140">
        <f>SUMIFS('recurring2_based on steps'!$B133:$AY133,'recurring2_based on steps'!$B$1:$AY$1,O$1)+SUMIFS('changes2_based on steps'!$B133:$U133,'changes2_based on steps'!$B$1:$U$1,O$1)</f>
        <v>0</v>
      </c>
      <c r="P133" s="140">
        <f ca="1">SUMIFS('recurring2_based on steps'!$B133:$AY133,'recurring2_based on steps'!$B$1:$AY$1,P$1)+SUMIFS('changes2_based on steps'!$B133:$U133,'changes2_based on steps'!$B$1:$U$1,P$1)</f>
        <v>0</v>
      </c>
      <c r="Q133" s="140">
        <f ca="1">SUMIFS('recurring2_based on steps'!$B133:$AY133,'recurring2_based on steps'!$B$1:$AY$1,Q$1)+SUMIFS('changes2_based on steps'!$B133:$U133,'changes2_based on steps'!$B$1:$U$1,Q$1)</f>
        <v>5.5401662049861494E-2</v>
      </c>
      <c r="R133" s="140">
        <f ca="1">SUMIFS('recurring2_based on steps'!$B133:$AY133,'recurring2_based on steps'!$B$1:$AY$1,R$1)+SUMIFS('changes2_based on steps'!$B133:$U133,'changes2_based on steps'!$B$1:$U$1,R$1)</f>
        <v>15</v>
      </c>
      <c r="S133" s="140">
        <f>SUMIFS('recurring2_based on steps'!$B133:$AY133,'recurring2_based on steps'!$B$1:$AY$1,S$1)+SUMIFS('changes2_based on steps'!$B133:$U133,'changes2_based on steps'!$B$1:$U$1,S$1)</f>
        <v>0</v>
      </c>
      <c r="T133" s="140">
        <f ca="1">SUMIFS('recurring2_based on steps'!$B133:$AY133,'recurring2_based on steps'!$B$1:$AY$1,T$1)+SUMIFS('changes2_based on steps'!$B133:$U133,'changes2_based on steps'!$B$1:$U$1,T$1)</f>
        <v>0</v>
      </c>
      <c r="U133" s="140">
        <f ca="1">SUMIFS('recurring2_based on steps'!$B133:$AY133,'recurring2_based on steps'!$B$1:$AY$1,U$1)+SUMIFS('changes2_based on steps'!$B133:$U133,'changes2_based on steps'!$B$1:$U$1,U$1)</f>
        <v>0</v>
      </c>
      <c r="V133" s="140">
        <f>SUMIFS('recurring2_based on steps'!$B133:$AY133,'recurring2_based on steps'!$B$1:$AY$1,V$1)+SUMIFS('changes2_based on steps'!$B133:$U133,'changes2_based on steps'!$B$1:$U$1,V$1)</f>
        <v>0</v>
      </c>
      <c r="W133" s="140">
        <f>SUMIFS('recurring2_based on steps'!$B133:$AY133,'recurring2_based on steps'!$B$1:$AY$1,W$1)+SUMIFS('changes2_based on steps'!$B133:$U133,'changes2_based on steps'!$B$1:$U$1,W$1)</f>
        <v>0</v>
      </c>
      <c r="X133" s="140">
        <f ca="1">SUMIFS('recurring2_based on steps'!$B133:$AY133,'recurring2_based on steps'!$B$1:$AY$1,X$1)+SUMIFS('changes2_based on steps'!$B133:$U133,'changes2_based on steps'!$B$1:$U$1,X$1)</f>
        <v>0</v>
      </c>
      <c r="Y133" s="140">
        <f ca="1">SUMIFS('recurring2_based on steps'!$B133:$AY133,'recurring2_based on steps'!$B$1:$AY$1,Y$1)+SUMIFS('changes2_based on steps'!$B133:$U133,'changes2_based on steps'!$B$1:$U$1,Y$1)</f>
        <v>0</v>
      </c>
      <c r="Z133" s="140">
        <f>SUMIFS('recurring2_based on steps'!$B133:$AY133,'recurring2_based on steps'!$B$1:$AY$1,Z$1)+SUMIFS('changes2_based on steps'!$B133:$U133,'changes2_based on steps'!$B$1:$U$1,Z$1)</f>
        <v>0</v>
      </c>
      <c r="AA133" s="140">
        <f ca="1">SUMIFS('recurring2_based on steps'!$B133:$AY133,'recurring2_based on steps'!$B$1:$AY$1,AA$1)+SUMIFS('changes2_based on steps'!$B133:$U133,'changes2_based on steps'!$B$1:$U$1,AA$1)</f>
        <v>0</v>
      </c>
      <c r="AB133" s="140">
        <f ca="1">SUMIFS('recurring2_based on steps'!$B133:$AY133,'recurring2_based on steps'!$B$1:$AY$1,AB$1)+SUMIFS('changes2_based on steps'!$B133:$U133,'changes2_based on steps'!$B$1:$U$1,AB$1)</f>
        <v>0</v>
      </c>
      <c r="AC133" s="140">
        <f ca="1">SUMIFS('recurring2_based on steps'!$B133:$AY133,'recurring2_based on steps'!$B$1:$AY$1,AC$1)+SUMIFS('changes2_based on steps'!$B133:$U133,'changes2_based on steps'!$B$1:$U$1,AC$1)</f>
        <v>0</v>
      </c>
      <c r="AD133" s="140">
        <f ca="1">SUMIFS('recurring2_based on steps'!$B133:$AY133,'recurring2_based on steps'!$B$1:$AY$1,AD$1)+SUMIFS('changes2_based on steps'!$B133:$U133,'changes2_based on steps'!$B$1:$U$1,AD$1)</f>
        <v>0</v>
      </c>
      <c r="AE133" s="140">
        <f>SUMIFS('recurring2_based on steps'!$B133:$AY133,'recurring2_based on steps'!$B$1:$AY$1,AE$1)+SUMIFS('changes2_based on steps'!$B133:$U133,'changes2_based on steps'!$B$1:$U$1,AE$1)</f>
        <v>0</v>
      </c>
      <c r="AF133" s="140"/>
      <c r="AG133" s="140"/>
      <c r="AH133" s="140"/>
      <c r="AI133" s="140"/>
      <c r="AJ133" s="140"/>
      <c r="AK133" s="140"/>
      <c r="AL133" s="140"/>
      <c r="AM133" s="140"/>
    </row>
    <row r="134" spans="1:39" x14ac:dyDescent="0.2">
      <c r="A134" s="29">
        <f t="shared" ca="1" si="2"/>
        <v>45874</v>
      </c>
      <c r="B134" s="140">
        <f ca="1">SUMIFS('recurring2_based on steps'!$B134:$AY134,'recurring2_based on steps'!$B$1:$AY$1,B$1)+SUMIFS('changes2_based on steps'!$B134:$U134,'changes2_based on steps'!$B$1:$U$1,B$1)</f>
        <v>0</v>
      </c>
      <c r="C134" s="140">
        <f>SUMIFS('recurring2_based on steps'!$B134:$AY134,'recurring2_based on steps'!$B$1:$AY$1,C$1)+SUMIFS('changes2_based on steps'!$B134:$U134,'changes2_based on steps'!$B$1:$U$1,C$1)</f>
        <v>0</v>
      </c>
      <c r="D134" s="140">
        <f>SUMIFS('recurring2_based on steps'!$B134:$AY134,'recurring2_based on steps'!$B$1:$AY$1,D$1)+SUMIFS('changes2_based on steps'!$B134:$U134,'changes2_based on steps'!$B$1:$U$1,D$1)</f>
        <v>0</v>
      </c>
      <c r="E134" s="140">
        <f>SUMIFS('recurring2_based on steps'!$B134:$AY134,'recurring2_based on steps'!$B$1:$AY$1,E$1)+SUMIFS('changes2_based on steps'!$B134:$U134,'changes2_based on steps'!$B$1:$U$1,E$1)</f>
        <v>0</v>
      </c>
      <c r="F134" s="140">
        <f>SUMIFS('recurring2_based on steps'!$B134:$AY134,'recurring2_based on steps'!$B$1:$AY$1,F$1)+SUMIFS('changes2_based on steps'!$B134:$U134,'changes2_based on steps'!$B$1:$U$1,F$1)</f>
        <v>0</v>
      </c>
      <c r="G134" s="140">
        <f>SUMIFS('recurring2_based on steps'!$B134:$AY134,'recurring2_based on steps'!$B$1:$AY$1,G$1)+SUMIFS('changes2_based on steps'!$B134:$U134,'changes2_based on steps'!$B$1:$U$1,G$1)</f>
        <v>0</v>
      </c>
      <c r="H134" s="140">
        <f>SUMIFS('recurring2_based on steps'!$B134:$AY134,'recurring2_based on steps'!$B$1:$AY$1,H$1)+SUMIFS('changes2_based on steps'!$B134:$U134,'changes2_based on steps'!$B$1:$U$1,H$1)</f>
        <v>0</v>
      </c>
      <c r="I134" s="140">
        <f>SUMIFS('recurring2_based on steps'!$B134:$AY134,'recurring2_based on steps'!$B$1:$AY$1,I$1)+SUMIFS('changes2_based on steps'!$B134:$U134,'changes2_based on steps'!$B$1:$U$1,I$1)</f>
        <v>0</v>
      </c>
      <c r="J134" s="140">
        <f ca="1">SUMIFS('recurring2_based on steps'!$B134:$AY134,'recurring2_based on steps'!$B$1:$AY$1,J$1)+SUMIFS('changes2_based on steps'!$B134:$U134,'changes2_based on steps'!$B$1:$U$1,J$1)</f>
        <v>0</v>
      </c>
      <c r="K134" s="140">
        <f>SUMIFS('recurring2_based on steps'!$B134:$AY134,'recurring2_based on steps'!$B$1:$AY$1,K$1)+SUMIFS('changes2_based on steps'!$B134:$U134,'changes2_based on steps'!$B$1:$U$1,K$1)</f>
        <v>0</v>
      </c>
      <c r="L134" s="140">
        <f>SUMIFS('recurring2_based on steps'!$B134:$AY134,'recurring2_based on steps'!$B$1:$AY$1,L$1)+SUMIFS('changes2_based on steps'!$B134:$U134,'changes2_based on steps'!$B$1:$U$1,L$1)</f>
        <v>0</v>
      </c>
      <c r="M134" s="140">
        <f>SUMIFS('recurring2_based on steps'!$B134:$AY134,'recurring2_based on steps'!$B$1:$AY$1,M$1)+SUMIFS('changes2_based on steps'!$B134:$U134,'changes2_based on steps'!$B$1:$U$1,M$1)</f>
        <v>0</v>
      </c>
      <c r="N134" s="140">
        <f ca="1">SUMIFS('recurring2_based on steps'!$B134:$AY134,'recurring2_based on steps'!$B$1:$AY$1,N$1)+SUMIFS('changes2_based on steps'!$B134:$U134,'changes2_based on steps'!$B$1:$U$1,N$1)</f>
        <v>0</v>
      </c>
      <c r="O134" s="140">
        <f>SUMIFS('recurring2_based on steps'!$B134:$AY134,'recurring2_based on steps'!$B$1:$AY$1,O$1)+SUMIFS('changes2_based on steps'!$B134:$U134,'changes2_based on steps'!$B$1:$U$1,O$1)</f>
        <v>0</v>
      </c>
      <c r="P134" s="140">
        <f ca="1">SUMIFS('recurring2_based on steps'!$B134:$AY134,'recurring2_based on steps'!$B$1:$AY$1,P$1)+SUMIFS('changes2_based on steps'!$B134:$U134,'changes2_based on steps'!$B$1:$U$1,P$1)</f>
        <v>0</v>
      </c>
      <c r="Q134" s="140">
        <f ca="1">SUMIFS('recurring2_based on steps'!$B134:$AY134,'recurring2_based on steps'!$B$1:$AY$1,Q$1)+SUMIFS('changes2_based on steps'!$B134:$U134,'changes2_based on steps'!$B$1:$U$1,Q$1)</f>
        <v>5.5401662049861494E-2</v>
      </c>
      <c r="R134" s="140">
        <f ca="1">SUMIFS('recurring2_based on steps'!$B134:$AY134,'recurring2_based on steps'!$B$1:$AY$1,R$1)+SUMIFS('changes2_based on steps'!$B134:$U134,'changes2_based on steps'!$B$1:$U$1,R$1)</f>
        <v>0</v>
      </c>
      <c r="S134" s="140">
        <f>SUMIFS('recurring2_based on steps'!$B134:$AY134,'recurring2_based on steps'!$B$1:$AY$1,S$1)+SUMIFS('changes2_based on steps'!$B134:$U134,'changes2_based on steps'!$B$1:$U$1,S$1)</f>
        <v>0</v>
      </c>
      <c r="T134" s="140">
        <f ca="1">SUMIFS('recurring2_based on steps'!$B134:$AY134,'recurring2_based on steps'!$B$1:$AY$1,T$1)+SUMIFS('changes2_based on steps'!$B134:$U134,'changes2_based on steps'!$B$1:$U$1,T$1)</f>
        <v>0</v>
      </c>
      <c r="U134" s="140">
        <f ca="1">SUMIFS('recurring2_based on steps'!$B134:$AY134,'recurring2_based on steps'!$B$1:$AY$1,U$1)+SUMIFS('changes2_based on steps'!$B134:$U134,'changes2_based on steps'!$B$1:$U$1,U$1)</f>
        <v>0</v>
      </c>
      <c r="V134" s="140">
        <f>SUMIFS('recurring2_based on steps'!$B134:$AY134,'recurring2_based on steps'!$B$1:$AY$1,V$1)+SUMIFS('changes2_based on steps'!$B134:$U134,'changes2_based on steps'!$B$1:$U$1,V$1)</f>
        <v>0</v>
      </c>
      <c r="W134" s="140">
        <f>SUMIFS('recurring2_based on steps'!$B134:$AY134,'recurring2_based on steps'!$B$1:$AY$1,W$1)+SUMIFS('changes2_based on steps'!$B134:$U134,'changes2_based on steps'!$B$1:$U$1,W$1)</f>
        <v>0</v>
      </c>
      <c r="X134" s="140">
        <f ca="1">SUMIFS('recurring2_based on steps'!$B134:$AY134,'recurring2_based on steps'!$B$1:$AY$1,X$1)+SUMIFS('changes2_based on steps'!$B134:$U134,'changes2_based on steps'!$B$1:$U$1,X$1)</f>
        <v>0</v>
      </c>
      <c r="Y134" s="140">
        <f ca="1">SUMIFS('recurring2_based on steps'!$B134:$AY134,'recurring2_based on steps'!$B$1:$AY$1,Y$1)+SUMIFS('changes2_based on steps'!$B134:$U134,'changes2_based on steps'!$B$1:$U$1,Y$1)</f>
        <v>0</v>
      </c>
      <c r="Z134" s="140">
        <f>SUMIFS('recurring2_based on steps'!$B134:$AY134,'recurring2_based on steps'!$B$1:$AY$1,Z$1)+SUMIFS('changes2_based on steps'!$B134:$U134,'changes2_based on steps'!$B$1:$U$1,Z$1)</f>
        <v>0</v>
      </c>
      <c r="AA134" s="140">
        <f ca="1">SUMIFS('recurring2_based on steps'!$B134:$AY134,'recurring2_based on steps'!$B$1:$AY$1,AA$1)+SUMIFS('changes2_based on steps'!$B134:$U134,'changes2_based on steps'!$B$1:$U$1,AA$1)</f>
        <v>0</v>
      </c>
      <c r="AB134" s="140">
        <f ca="1">SUMIFS('recurring2_based on steps'!$B134:$AY134,'recurring2_based on steps'!$B$1:$AY$1,AB$1)+SUMIFS('changes2_based on steps'!$B134:$U134,'changes2_based on steps'!$B$1:$U$1,AB$1)</f>
        <v>0</v>
      </c>
      <c r="AC134" s="140">
        <f ca="1">SUMIFS('recurring2_based on steps'!$B134:$AY134,'recurring2_based on steps'!$B$1:$AY$1,AC$1)+SUMIFS('changes2_based on steps'!$B134:$U134,'changes2_based on steps'!$B$1:$U$1,AC$1)</f>
        <v>0</v>
      </c>
      <c r="AD134" s="140">
        <f ca="1">SUMIFS('recurring2_based on steps'!$B134:$AY134,'recurring2_based on steps'!$B$1:$AY$1,AD$1)+SUMIFS('changes2_based on steps'!$B134:$U134,'changes2_based on steps'!$B$1:$U$1,AD$1)</f>
        <v>0</v>
      </c>
      <c r="AE134" s="140">
        <f>SUMIFS('recurring2_based on steps'!$B134:$AY134,'recurring2_based on steps'!$B$1:$AY$1,AE$1)+SUMIFS('changes2_based on steps'!$B134:$U134,'changes2_based on steps'!$B$1:$U$1,AE$1)</f>
        <v>0</v>
      </c>
      <c r="AF134" s="140"/>
      <c r="AG134" s="140"/>
      <c r="AH134" s="140"/>
      <c r="AI134" s="140"/>
      <c r="AJ134" s="140"/>
      <c r="AK134" s="140"/>
      <c r="AL134" s="140"/>
      <c r="AM134" s="140"/>
    </row>
    <row r="135" spans="1:39" x14ac:dyDescent="0.2">
      <c r="A135" s="29">
        <f t="shared" ca="1" si="2"/>
        <v>45875</v>
      </c>
      <c r="B135" s="140">
        <f ca="1">SUMIFS('recurring2_based on steps'!$B135:$AY135,'recurring2_based on steps'!$B$1:$AY$1,B$1)+SUMIFS('changes2_based on steps'!$B135:$U135,'changes2_based on steps'!$B$1:$U$1,B$1)</f>
        <v>0</v>
      </c>
      <c r="C135" s="140">
        <f>SUMIFS('recurring2_based on steps'!$B135:$AY135,'recurring2_based on steps'!$B$1:$AY$1,C$1)+SUMIFS('changes2_based on steps'!$B135:$U135,'changes2_based on steps'!$B$1:$U$1,C$1)</f>
        <v>0</v>
      </c>
      <c r="D135" s="140">
        <f>SUMIFS('recurring2_based on steps'!$B135:$AY135,'recurring2_based on steps'!$B$1:$AY$1,D$1)+SUMIFS('changes2_based on steps'!$B135:$U135,'changes2_based on steps'!$B$1:$U$1,D$1)</f>
        <v>0</v>
      </c>
      <c r="E135" s="140">
        <f>SUMIFS('recurring2_based on steps'!$B135:$AY135,'recurring2_based on steps'!$B$1:$AY$1,E$1)+SUMIFS('changes2_based on steps'!$B135:$U135,'changes2_based on steps'!$B$1:$U$1,E$1)</f>
        <v>0</v>
      </c>
      <c r="F135" s="140">
        <f>SUMIFS('recurring2_based on steps'!$B135:$AY135,'recurring2_based on steps'!$B$1:$AY$1,F$1)+SUMIFS('changes2_based on steps'!$B135:$U135,'changes2_based on steps'!$B$1:$U$1,F$1)</f>
        <v>0</v>
      </c>
      <c r="G135" s="140">
        <f>SUMIFS('recurring2_based on steps'!$B135:$AY135,'recurring2_based on steps'!$B$1:$AY$1,G$1)+SUMIFS('changes2_based on steps'!$B135:$U135,'changes2_based on steps'!$B$1:$U$1,G$1)</f>
        <v>0</v>
      </c>
      <c r="H135" s="140">
        <f>SUMIFS('recurring2_based on steps'!$B135:$AY135,'recurring2_based on steps'!$B$1:$AY$1,H$1)+SUMIFS('changes2_based on steps'!$B135:$U135,'changes2_based on steps'!$B$1:$U$1,H$1)</f>
        <v>0</v>
      </c>
      <c r="I135" s="140">
        <f>SUMIFS('recurring2_based on steps'!$B135:$AY135,'recurring2_based on steps'!$B$1:$AY$1,I$1)+SUMIFS('changes2_based on steps'!$B135:$U135,'changes2_based on steps'!$B$1:$U$1,I$1)</f>
        <v>0</v>
      </c>
      <c r="J135" s="140">
        <f ca="1">SUMIFS('recurring2_based on steps'!$B135:$AY135,'recurring2_based on steps'!$B$1:$AY$1,J$1)+SUMIFS('changes2_based on steps'!$B135:$U135,'changes2_based on steps'!$B$1:$U$1,J$1)</f>
        <v>0</v>
      </c>
      <c r="K135" s="140">
        <f>SUMIFS('recurring2_based on steps'!$B135:$AY135,'recurring2_based on steps'!$B$1:$AY$1,K$1)+SUMIFS('changes2_based on steps'!$B135:$U135,'changes2_based on steps'!$B$1:$U$1,K$1)</f>
        <v>0</v>
      </c>
      <c r="L135" s="140">
        <f>SUMIFS('recurring2_based on steps'!$B135:$AY135,'recurring2_based on steps'!$B$1:$AY$1,L$1)+SUMIFS('changes2_based on steps'!$B135:$U135,'changes2_based on steps'!$B$1:$U$1,L$1)</f>
        <v>0</v>
      </c>
      <c r="M135" s="140">
        <f>SUMIFS('recurring2_based on steps'!$B135:$AY135,'recurring2_based on steps'!$B$1:$AY$1,M$1)+SUMIFS('changes2_based on steps'!$B135:$U135,'changes2_based on steps'!$B$1:$U$1,M$1)</f>
        <v>0</v>
      </c>
      <c r="N135" s="140">
        <f ca="1">SUMIFS('recurring2_based on steps'!$B135:$AY135,'recurring2_based on steps'!$B$1:$AY$1,N$1)+SUMIFS('changes2_based on steps'!$B135:$U135,'changes2_based on steps'!$B$1:$U$1,N$1)</f>
        <v>0</v>
      </c>
      <c r="O135" s="140">
        <f>SUMIFS('recurring2_based on steps'!$B135:$AY135,'recurring2_based on steps'!$B$1:$AY$1,O$1)+SUMIFS('changes2_based on steps'!$B135:$U135,'changes2_based on steps'!$B$1:$U$1,O$1)</f>
        <v>0</v>
      </c>
      <c r="P135" s="140">
        <f ca="1">SUMIFS('recurring2_based on steps'!$B135:$AY135,'recurring2_based on steps'!$B$1:$AY$1,P$1)+SUMIFS('changes2_based on steps'!$B135:$U135,'changes2_based on steps'!$B$1:$U$1,P$1)</f>
        <v>0</v>
      </c>
      <c r="Q135" s="140">
        <f ca="1">SUMIFS('recurring2_based on steps'!$B135:$AY135,'recurring2_based on steps'!$B$1:$AY$1,Q$1)+SUMIFS('changes2_based on steps'!$B135:$U135,'changes2_based on steps'!$B$1:$U$1,Q$1)</f>
        <v>5.5401662049861494E-2</v>
      </c>
      <c r="R135" s="140">
        <f ca="1">SUMIFS('recurring2_based on steps'!$B135:$AY135,'recurring2_based on steps'!$B$1:$AY$1,R$1)+SUMIFS('changes2_based on steps'!$B135:$U135,'changes2_based on steps'!$B$1:$U$1,R$1)</f>
        <v>0</v>
      </c>
      <c r="S135" s="140">
        <f>SUMIFS('recurring2_based on steps'!$B135:$AY135,'recurring2_based on steps'!$B$1:$AY$1,S$1)+SUMIFS('changes2_based on steps'!$B135:$U135,'changes2_based on steps'!$B$1:$U$1,S$1)</f>
        <v>0</v>
      </c>
      <c r="T135" s="140">
        <f ca="1">SUMIFS('recurring2_based on steps'!$B135:$AY135,'recurring2_based on steps'!$B$1:$AY$1,T$1)+SUMIFS('changes2_based on steps'!$B135:$U135,'changes2_based on steps'!$B$1:$U$1,T$1)</f>
        <v>0</v>
      </c>
      <c r="U135" s="140">
        <f ca="1">SUMIFS('recurring2_based on steps'!$B135:$AY135,'recurring2_based on steps'!$B$1:$AY$1,U$1)+SUMIFS('changes2_based on steps'!$B135:$U135,'changes2_based on steps'!$B$1:$U$1,U$1)</f>
        <v>0</v>
      </c>
      <c r="V135" s="140">
        <f>SUMIFS('recurring2_based on steps'!$B135:$AY135,'recurring2_based on steps'!$B$1:$AY$1,V$1)+SUMIFS('changes2_based on steps'!$B135:$U135,'changes2_based on steps'!$B$1:$U$1,V$1)</f>
        <v>0</v>
      </c>
      <c r="W135" s="140">
        <f>SUMIFS('recurring2_based on steps'!$B135:$AY135,'recurring2_based on steps'!$B$1:$AY$1,W$1)+SUMIFS('changes2_based on steps'!$B135:$U135,'changes2_based on steps'!$B$1:$U$1,W$1)</f>
        <v>0</v>
      </c>
      <c r="X135" s="140">
        <f ca="1">SUMIFS('recurring2_based on steps'!$B135:$AY135,'recurring2_based on steps'!$B$1:$AY$1,X$1)+SUMIFS('changes2_based on steps'!$B135:$U135,'changes2_based on steps'!$B$1:$U$1,X$1)</f>
        <v>0</v>
      </c>
      <c r="Y135" s="140">
        <f ca="1">SUMIFS('recurring2_based on steps'!$B135:$AY135,'recurring2_based on steps'!$B$1:$AY$1,Y$1)+SUMIFS('changes2_based on steps'!$B135:$U135,'changes2_based on steps'!$B$1:$U$1,Y$1)</f>
        <v>0</v>
      </c>
      <c r="Z135" s="140">
        <f>SUMIFS('recurring2_based on steps'!$B135:$AY135,'recurring2_based on steps'!$B$1:$AY$1,Z$1)+SUMIFS('changes2_based on steps'!$B135:$U135,'changes2_based on steps'!$B$1:$U$1,Z$1)</f>
        <v>0</v>
      </c>
      <c r="AA135" s="140">
        <f ca="1">SUMIFS('recurring2_based on steps'!$B135:$AY135,'recurring2_based on steps'!$B$1:$AY$1,AA$1)+SUMIFS('changes2_based on steps'!$B135:$U135,'changes2_based on steps'!$B$1:$U$1,AA$1)</f>
        <v>0</v>
      </c>
      <c r="AB135" s="140">
        <f ca="1">SUMIFS('recurring2_based on steps'!$B135:$AY135,'recurring2_based on steps'!$B$1:$AY$1,AB$1)+SUMIFS('changes2_based on steps'!$B135:$U135,'changes2_based on steps'!$B$1:$U$1,AB$1)</f>
        <v>0</v>
      </c>
      <c r="AC135" s="140">
        <f ca="1">SUMIFS('recurring2_based on steps'!$B135:$AY135,'recurring2_based on steps'!$B$1:$AY$1,AC$1)+SUMIFS('changes2_based on steps'!$B135:$U135,'changes2_based on steps'!$B$1:$U$1,AC$1)</f>
        <v>0</v>
      </c>
      <c r="AD135" s="140">
        <f ca="1">SUMIFS('recurring2_based on steps'!$B135:$AY135,'recurring2_based on steps'!$B$1:$AY$1,AD$1)+SUMIFS('changes2_based on steps'!$B135:$U135,'changes2_based on steps'!$B$1:$U$1,AD$1)</f>
        <v>0</v>
      </c>
      <c r="AE135" s="140">
        <f>SUMIFS('recurring2_based on steps'!$B135:$AY135,'recurring2_based on steps'!$B$1:$AY$1,AE$1)+SUMIFS('changes2_based on steps'!$B135:$U135,'changes2_based on steps'!$B$1:$U$1,AE$1)</f>
        <v>0</v>
      </c>
      <c r="AF135" s="140"/>
      <c r="AG135" s="140"/>
      <c r="AH135" s="140"/>
      <c r="AI135" s="140"/>
      <c r="AJ135" s="140"/>
      <c r="AK135" s="140"/>
      <c r="AL135" s="140"/>
      <c r="AM135" s="140"/>
    </row>
    <row r="136" spans="1:39" x14ac:dyDescent="0.2">
      <c r="A136" s="29">
        <f t="shared" ca="1" si="2"/>
        <v>45876</v>
      </c>
      <c r="B136" s="140">
        <f ca="1">SUMIFS('recurring2_based on steps'!$B136:$AY136,'recurring2_based on steps'!$B$1:$AY$1,B$1)+SUMIFS('changes2_based on steps'!$B136:$U136,'changes2_based on steps'!$B$1:$U$1,B$1)</f>
        <v>0</v>
      </c>
      <c r="C136" s="140">
        <f>SUMIFS('recurring2_based on steps'!$B136:$AY136,'recurring2_based on steps'!$B$1:$AY$1,C$1)+SUMIFS('changes2_based on steps'!$B136:$U136,'changes2_based on steps'!$B$1:$U$1,C$1)</f>
        <v>0</v>
      </c>
      <c r="D136" s="140">
        <f>SUMIFS('recurring2_based on steps'!$B136:$AY136,'recurring2_based on steps'!$B$1:$AY$1,D$1)+SUMIFS('changes2_based on steps'!$B136:$U136,'changes2_based on steps'!$B$1:$U$1,D$1)</f>
        <v>0</v>
      </c>
      <c r="E136" s="140">
        <f>SUMIFS('recurring2_based on steps'!$B136:$AY136,'recurring2_based on steps'!$B$1:$AY$1,E$1)+SUMIFS('changes2_based on steps'!$B136:$U136,'changes2_based on steps'!$B$1:$U$1,E$1)</f>
        <v>0</v>
      </c>
      <c r="F136" s="140">
        <f>SUMIFS('recurring2_based on steps'!$B136:$AY136,'recurring2_based on steps'!$B$1:$AY$1,F$1)+SUMIFS('changes2_based on steps'!$B136:$U136,'changes2_based on steps'!$B$1:$U$1,F$1)</f>
        <v>0</v>
      </c>
      <c r="G136" s="140">
        <f>SUMIFS('recurring2_based on steps'!$B136:$AY136,'recurring2_based on steps'!$B$1:$AY$1,G$1)+SUMIFS('changes2_based on steps'!$B136:$U136,'changes2_based on steps'!$B$1:$U$1,G$1)</f>
        <v>0</v>
      </c>
      <c r="H136" s="140">
        <f>SUMIFS('recurring2_based on steps'!$B136:$AY136,'recurring2_based on steps'!$B$1:$AY$1,H$1)+SUMIFS('changes2_based on steps'!$B136:$U136,'changes2_based on steps'!$B$1:$U$1,H$1)</f>
        <v>0</v>
      </c>
      <c r="I136" s="140">
        <f>SUMIFS('recurring2_based on steps'!$B136:$AY136,'recurring2_based on steps'!$B$1:$AY$1,I$1)+SUMIFS('changes2_based on steps'!$B136:$U136,'changes2_based on steps'!$B$1:$U$1,I$1)</f>
        <v>0</v>
      </c>
      <c r="J136" s="140">
        <f ca="1">SUMIFS('recurring2_based on steps'!$B136:$AY136,'recurring2_based on steps'!$B$1:$AY$1,J$1)+SUMIFS('changes2_based on steps'!$B136:$U136,'changes2_based on steps'!$B$1:$U$1,J$1)</f>
        <v>0</v>
      </c>
      <c r="K136" s="140">
        <f>SUMIFS('recurring2_based on steps'!$B136:$AY136,'recurring2_based on steps'!$B$1:$AY$1,K$1)+SUMIFS('changes2_based on steps'!$B136:$U136,'changes2_based on steps'!$B$1:$U$1,K$1)</f>
        <v>0</v>
      </c>
      <c r="L136" s="140">
        <f>SUMIFS('recurring2_based on steps'!$B136:$AY136,'recurring2_based on steps'!$B$1:$AY$1,L$1)+SUMIFS('changes2_based on steps'!$B136:$U136,'changes2_based on steps'!$B$1:$U$1,L$1)</f>
        <v>0</v>
      </c>
      <c r="M136" s="140">
        <f>SUMIFS('recurring2_based on steps'!$B136:$AY136,'recurring2_based on steps'!$B$1:$AY$1,M$1)+SUMIFS('changes2_based on steps'!$B136:$U136,'changes2_based on steps'!$B$1:$U$1,M$1)</f>
        <v>0</v>
      </c>
      <c r="N136" s="140">
        <f ca="1">SUMIFS('recurring2_based on steps'!$B136:$AY136,'recurring2_based on steps'!$B$1:$AY$1,N$1)+SUMIFS('changes2_based on steps'!$B136:$U136,'changes2_based on steps'!$B$1:$U$1,N$1)</f>
        <v>0</v>
      </c>
      <c r="O136" s="140">
        <f>SUMIFS('recurring2_based on steps'!$B136:$AY136,'recurring2_based on steps'!$B$1:$AY$1,O$1)+SUMIFS('changes2_based on steps'!$B136:$U136,'changes2_based on steps'!$B$1:$U$1,O$1)</f>
        <v>0</v>
      </c>
      <c r="P136" s="140">
        <f ca="1">SUMIFS('recurring2_based on steps'!$B136:$AY136,'recurring2_based on steps'!$B$1:$AY$1,P$1)+SUMIFS('changes2_based on steps'!$B136:$U136,'changes2_based on steps'!$B$1:$U$1,P$1)</f>
        <v>0</v>
      </c>
      <c r="Q136" s="140">
        <f ca="1">SUMIFS('recurring2_based on steps'!$B136:$AY136,'recurring2_based on steps'!$B$1:$AY$1,Q$1)+SUMIFS('changes2_based on steps'!$B136:$U136,'changes2_based on steps'!$B$1:$U$1,Q$1)</f>
        <v>5.5401662049861494E-2</v>
      </c>
      <c r="R136" s="140">
        <f ca="1">SUMIFS('recurring2_based on steps'!$B136:$AY136,'recurring2_based on steps'!$B$1:$AY$1,R$1)+SUMIFS('changes2_based on steps'!$B136:$U136,'changes2_based on steps'!$B$1:$U$1,R$1)</f>
        <v>0</v>
      </c>
      <c r="S136" s="140">
        <f>SUMIFS('recurring2_based on steps'!$B136:$AY136,'recurring2_based on steps'!$B$1:$AY$1,S$1)+SUMIFS('changes2_based on steps'!$B136:$U136,'changes2_based on steps'!$B$1:$U$1,S$1)</f>
        <v>0</v>
      </c>
      <c r="T136" s="140">
        <f ca="1">SUMIFS('recurring2_based on steps'!$B136:$AY136,'recurring2_based on steps'!$B$1:$AY$1,T$1)+SUMIFS('changes2_based on steps'!$B136:$U136,'changes2_based on steps'!$B$1:$U$1,T$1)</f>
        <v>0</v>
      </c>
      <c r="U136" s="140">
        <f ca="1">SUMIFS('recurring2_based on steps'!$B136:$AY136,'recurring2_based on steps'!$B$1:$AY$1,U$1)+SUMIFS('changes2_based on steps'!$B136:$U136,'changes2_based on steps'!$B$1:$U$1,U$1)</f>
        <v>0</v>
      </c>
      <c r="V136" s="140">
        <f>SUMIFS('recurring2_based on steps'!$B136:$AY136,'recurring2_based on steps'!$B$1:$AY$1,V$1)+SUMIFS('changes2_based on steps'!$B136:$U136,'changes2_based on steps'!$B$1:$U$1,V$1)</f>
        <v>0</v>
      </c>
      <c r="W136" s="140">
        <f>SUMIFS('recurring2_based on steps'!$B136:$AY136,'recurring2_based on steps'!$B$1:$AY$1,W$1)+SUMIFS('changes2_based on steps'!$B136:$U136,'changes2_based on steps'!$B$1:$U$1,W$1)</f>
        <v>0</v>
      </c>
      <c r="X136" s="140">
        <f ca="1">SUMIFS('recurring2_based on steps'!$B136:$AY136,'recurring2_based on steps'!$B$1:$AY$1,X$1)+SUMIFS('changes2_based on steps'!$B136:$U136,'changes2_based on steps'!$B$1:$U$1,X$1)</f>
        <v>0</v>
      </c>
      <c r="Y136" s="140">
        <f ca="1">SUMIFS('recurring2_based on steps'!$B136:$AY136,'recurring2_based on steps'!$B$1:$AY$1,Y$1)+SUMIFS('changes2_based on steps'!$B136:$U136,'changes2_based on steps'!$B$1:$U$1,Y$1)</f>
        <v>0</v>
      </c>
      <c r="Z136" s="140">
        <f>SUMIFS('recurring2_based on steps'!$B136:$AY136,'recurring2_based on steps'!$B$1:$AY$1,Z$1)+SUMIFS('changes2_based on steps'!$B136:$U136,'changes2_based on steps'!$B$1:$U$1,Z$1)</f>
        <v>0</v>
      </c>
      <c r="AA136" s="140">
        <f ca="1">SUMIFS('recurring2_based on steps'!$B136:$AY136,'recurring2_based on steps'!$B$1:$AY$1,AA$1)+SUMIFS('changes2_based on steps'!$B136:$U136,'changes2_based on steps'!$B$1:$U$1,AA$1)</f>
        <v>0</v>
      </c>
      <c r="AB136" s="140">
        <f ca="1">SUMIFS('recurring2_based on steps'!$B136:$AY136,'recurring2_based on steps'!$B$1:$AY$1,AB$1)+SUMIFS('changes2_based on steps'!$B136:$U136,'changes2_based on steps'!$B$1:$U$1,AB$1)</f>
        <v>0</v>
      </c>
      <c r="AC136" s="140">
        <f ca="1">SUMIFS('recurring2_based on steps'!$B136:$AY136,'recurring2_based on steps'!$B$1:$AY$1,AC$1)+SUMIFS('changes2_based on steps'!$B136:$U136,'changes2_based on steps'!$B$1:$U$1,AC$1)</f>
        <v>0</v>
      </c>
      <c r="AD136" s="140">
        <f ca="1">SUMIFS('recurring2_based on steps'!$B136:$AY136,'recurring2_based on steps'!$B$1:$AY$1,AD$1)+SUMIFS('changes2_based on steps'!$B136:$U136,'changes2_based on steps'!$B$1:$U$1,AD$1)</f>
        <v>0</v>
      </c>
      <c r="AE136" s="140">
        <f>SUMIFS('recurring2_based on steps'!$B136:$AY136,'recurring2_based on steps'!$B$1:$AY$1,AE$1)+SUMIFS('changes2_based on steps'!$B136:$U136,'changes2_based on steps'!$B$1:$U$1,AE$1)</f>
        <v>0</v>
      </c>
      <c r="AF136" s="140"/>
      <c r="AG136" s="140"/>
      <c r="AH136" s="140"/>
      <c r="AI136" s="140"/>
      <c r="AJ136" s="140"/>
      <c r="AK136" s="140"/>
      <c r="AL136" s="140"/>
      <c r="AM136" s="140"/>
    </row>
    <row r="137" spans="1:39" x14ac:dyDescent="0.2">
      <c r="A137" s="29">
        <f t="shared" ca="1" si="2"/>
        <v>45877</v>
      </c>
      <c r="B137" s="140">
        <f ca="1">SUMIFS('recurring2_based on steps'!$B137:$AY137,'recurring2_based on steps'!$B$1:$AY$1,B$1)+SUMIFS('changes2_based on steps'!$B137:$U137,'changes2_based on steps'!$B$1:$U$1,B$1)</f>
        <v>4000</v>
      </c>
      <c r="C137" s="140">
        <f>SUMIFS('recurring2_based on steps'!$B137:$AY137,'recurring2_based on steps'!$B$1:$AY$1,C$1)+SUMIFS('changes2_based on steps'!$B137:$U137,'changes2_based on steps'!$B$1:$U$1,C$1)</f>
        <v>0</v>
      </c>
      <c r="D137" s="140">
        <f>SUMIFS('recurring2_based on steps'!$B137:$AY137,'recurring2_based on steps'!$B$1:$AY$1,D$1)+SUMIFS('changes2_based on steps'!$B137:$U137,'changes2_based on steps'!$B$1:$U$1,D$1)</f>
        <v>0</v>
      </c>
      <c r="E137" s="140">
        <f>SUMIFS('recurring2_based on steps'!$B137:$AY137,'recurring2_based on steps'!$B$1:$AY$1,E$1)+SUMIFS('changes2_based on steps'!$B137:$U137,'changes2_based on steps'!$B$1:$U$1,E$1)</f>
        <v>0</v>
      </c>
      <c r="F137" s="140">
        <f>SUMIFS('recurring2_based on steps'!$B137:$AY137,'recurring2_based on steps'!$B$1:$AY$1,F$1)+SUMIFS('changes2_based on steps'!$B137:$U137,'changes2_based on steps'!$B$1:$U$1,F$1)</f>
        <v>0</v>
      </c>
      <c r="G137" s="140">
        <f>SUMIFS('recurring2_based on steps'!$B137:$AY137,'recurring2_based on steps'!$B$1:$AY$1,G$1)+SUMIFS('changes2_based on steps'!$B137:$U137,'changes2_based on steps'!$B$1:$U$1,G$1)</f>
        <v>0</v>
      </c>
      <c r="H137" s="140">
        <f>SUMIFS('recurring2_based on steps'!$B137:$AY137,'recurring2_based on steps'!$B$1:$AY$1,H$1)+SUMIFS('changes2_based on steps'!$B137:$U137,'changes2_based on steps'!$B$1:$U$1,H$1)</f>
        <v>0</v>
      </c>
      <c r="I137" s="140">
        <f>SUMIFS('recurring2_based on steps'!$B137:$AY137,'recurring2_based on steps'!$B$1:$AY$1,I$1)+SUMIFS('changes2_based on steps'!$B137:$U137,'changes2_based on steps'!$B$1:$U$1,I$1)</f>
        <v>0</v>
      </c>
      <c r="J137" s="140">
        <f ca="1">SUMIFS('recurring2_based on steps'!$B137:$AY137,'recurring2_based on steps'!$B$1:$AY$1,J$1)+SUMIFS('changes2_based on steps'!$B137:$U137,'changes2_based on steps'!$B$1:$U$1,J$1)</f>
        <v>0</v>
      </c>
      <c r="K137" s="140">
        <f>SUMIFS('recurring2_based on steps'!$B137:$AY137,'recurring2_based on steps'!$B$1:$AY$1,K$1)+SUMIFS('changes2_based on steps'!$B137:$U137,'changes2_based on steps'!$B$1:$U$1,K$1)</f>
        <v>0</v>
      </c>
      <c r="L137" s="140">
        <f>SUMIFS('recurring2_based on steps'!$B137:$AY137,'recurring2_based on steps'!$B$1:$AY$1,L$1)+SUMIFS('changes2_based on steps'!$B137:$U137,'changes2_based on steps'!$B$1:$U$1,L$1)</f>
        <v>0</v>
      </c>
      <c r="M137" s="140">
        <f>SUMIFS('recurring2_based on steps'!$B137:$AY137,'recurring2_based on steps'!$B$1:$AY$1,M$1)+SUMIFS('changes2_based on steps'!$B137:$U137,'changes2_based on steps'!$B$1:$U$1,M$1)</f>
        <v>0</v>
      </c>
      <c r="N137" s="140">
        <f ca="1">SUMIFS('recurring2_based on steps'!$B137:$AY137,'recurring2_based on steps'!$B$1:$AY$1,N$1)+SUMIFS('changes2_based on steps'!$B137:$U137,'changes2_based on steps'!$B$1:$U$1,N$1)</f>
        <v>0</v>
      </c>
      <c r="O137" s="140">
        <f>SUMIFS('recurring2_based on steps'!$B137:$AY137,'recurring2_based on steps'!$B$1:$AY$1,O$1)+SUMIFS('changes2_based on steps'!$B137:$U137,'changes2_based on steps'!$B$1:$U$1,O$1)</f>
        <v>0</v>
      </c>
      <c r="P137" s="140">
        <f ca="1">SUMIFS('recurring2_based on steps'!$B137:$AY137,'recurring2_based on steps'!$B$1:$AY$1,P$1)+SUMIFS('changes2_based on steps'!$B137:$U137,'changes2_based on steps'!$B$1:$U$1,P$1)</f>
        <v>0</v>
      </c>
      <c r="Q137" s="140">
        <f ca="1">SUMIFS('recurring2_based on steps'!$B137:$AY137,'recurring2_based on steps'!$B$1:$AY$1,Q$1)+SUMIFS('changes2_based on steps'!$B137:$U137,'changes2_based on steps'!$B$1:$U$1,Q$1)</f>
        <v>5.5401662049861494E-2</v>
      </c>
      <c r="R137" s="140">
        <f ca="1">SUMIFS('recurring2_based on steps'!$B137:$AY137,'recurring2_based on steps'!$B$1:$AY$1,R$1)+SUMIFS('changes2_based on steps'!$B137:$U137,'changes2_based on steps'!$B$1:$U$1,R$1)</f>
        <v>0</v>
      </c>
      <c r="S137" s="140">
        <f>SUMIFS('recurring2_based on steps'!$B137:$AY137,'recurring2_based on steps'!$B$1:$AY$1,S$1)+SUMIFS('changes2_based on steps'!$B137:$U137,'changes2_based on steps'!$B$1:$U$1,S$1)</f>
        <v>0</v>
      </c>
      <c r="T137" s="140">
        <f ca="1">SUMIFS('recurring2_based on steps'!$B137:$AY137,'recurring2_based on steps'!$B$1:$AY$1,T$1)+SUMIFS('changes2_based on steps'!$B137:$U137,'changes2_based on steps'!$B$1:$U$1,T$1)</f>
        <v>50</v>
      </c>
      <c r="U137" s="140">
        <f ca="1">SUMIFS('recurring2_based on steps'!$B137:$AY137,'recurring2_based on steps'!$B$1:$AY$1,U$1)+SUMIFS('changes2_based on steps'!$B137:$U137,'changes2_based on steps'!$B$1:$U$1,U$1)</f>
        <v>200</v>
      </c>
      <c r="V137" s="140">
        <f>SUMIFS('recurring2_based on steps'!$B137:$AY137,'recurring2_based on steps'!$B$1:$AY$1,V$1)+SUMIFS('changes2_based on steps'!$B137:$U137,'changes2_based on steps'!$B$1:$U$1,V$1)</f>
        <v>0</v>
      </c>
      <c r="W137" s="140">
        <f>SUMIFS('recurring2_based on steps'!$B137:$AY137,'recurring2_based on steps'!$B$1:$AY$1,W$1)+SUMIFS('changes2_based on steps'!$B137:$U137,'changes2_based on steps'!$B$1:$U$1,W$1)</f>
        <v>0</v>
      </c>
      <c r="X137" s="140">
        <f ca="1">SUMIFS('recurring2_based on steps'!$B137:$AY137,'recurring2_based on steps'!$B$1:$AY$1,X$1)+SUMIFS('changes2_based on steps'!$B137:$U137,'changes2_based on steps'!$B$1:$U$1,X$1)</f>
        <v>96</v>
      </c>
      <c r="Y137" s="140">
        <f ca="1">SUMIFS('recurring2_based on steps'!$B137:$AY137,'recurring2_based on steps'!$B$1:$AY$1,Y$1)+SUMIFS('changes2_based on steps'!$B137:$U137,'changes2_based on steps'!$B$1:$U$1,Y$1)</f>
        <v>0</v>
      </c>
      <c r="Z137" s="140">
        <f>SUMIFS('recurring2_based on steps'!$B137:$AY137,'recurring2_based on steps'!$B$1:$AY$1,Z$1)+SUMIFS('changes2_based on steps'!$B137:$U137,'changes2_based on steps'!$B$1:$U$1,Z$1)</f>
        <v>0</v>
      </c>
      <c r="AA137" s="140">
        <f ca="1">SUMIFS('recurring2_based on steps'!$B137:$AY137,'recurring2_based on steps'!$B$1:$AY$1,AA$1)+SUMIFS('changes2_based on steps'!$B137:$U137,'changes2_based on steps'!$B$1:$U$1,AA$1)</f>
        <v>0</v>
      </c>
      <c r="AB137" s="140">
        <f ca="1">SUMIFS('recurring2_based on steps'!$B137:$AY137,'recurring2_based on steps'!$B$1:$AY$1,AB$1)+SUMIFS('changes2_based on steps'!$B137:$U137,'changes2_based on steps'!$B$1:$U$1,AB$1)</f>
        <v>0</v>
      </c>
      <c r="AC137" s="140">
        <f ca="1">SUMIFS('recurring2_based on steps'!$B137:$AY137,'recurring2_based on steps'!$B$1:$AY$1,AC$1)+SUMIFS('changes2_based on steps'!$B137:$U137,'changes2_based on steps'!$B$1:$U$1,AC$1)</f>
        <v>0</v>
      </c>
      <c r="AD137" s="140">
        <f ca="1">SUMIFS('recurring2_based on steps'!$B137:$AY137,'recurring2_based on steps'!$B$1:$AY$1,AD$1)+SUMIFS('changes2_based on steps'!$B137:$U137,'changes2_based on steps'!$B$1:$U$1,AD$1)</f>
        <v>50</v>
      </c>
      <c r="AE137" s="140">
        <f>SUMIFS('recurring2_based on steps'!$B137:$AY137,'recurring2_based on steps'!$B$1:$AY$1,AE$1)+SUMIFS('changes2_based on steps'!$B137:$U137,'changes2_based on steps'!$B$1:$U$1,AE$1)</f>
        <v>0</v>
      </c>
      <c r="AF137" s="140"/>
      <c r="AG137" s="140"/>
      <c r="AH137" s="140"/>
      <c r="AI137" s="140"/>
      <c r="AJ137" s="140"/>
      <c r="AK137" s="140"/>
      <c r="AL137" s="140"/>
      <c r="AM137" s="140"/>
    </row>
    <row r="138" spans="1:39" x14ac:dyDescent="0.2">
      <c r="A138" s="29">
        <f t="shared" ca="1" si="2"/>
        <v>45878</v>
      </c>
      <c r="B138" s="140">
        <f ca="1">SUMIFS('recurring2_based on steps'!$B138:$AY138,'recurring2_based on steps'!$B$1:$AY$1,B$1)+SUMIFS('changes2_based on steps'!$B138:$U138,'changes2_based on steps'!$B$1:$U$1,B$1)</f>
        <v>0</v>
      </c>
      <c r="C138" s="140">
        <f>SUMIFS('recurring2_based on steps'!$B138:$AY138,'recurring2_based on steps'!$B$1:$AY$1,C$1)+SUMIFS('changes2_based on steps'!$B138:$U138,'changes2_based on steps'!$B$1:$U$1,C$1)</f>
        <v>0</v>
      </c>
      <c r="D138" s="140">
        <f>SUMIFS('recurring2_based on steps'!$B138:$AY138,'recurring2_based on steps'!$B$1:$AY$1,D$1)+SUMIFS('changes2_based on steps'!$B138:$U138,'changes2_based on steps'!$B$1:$U$1,D$1)</f>
        <v>0</v>
      </c>
      <c r="E138" s="140">
        <f>SUMIFS('recurring2_based on steps'!$B138:$AY138,'recurring2_based on steps'!$B$1:$AY$1,E$1)+SUMIFS('changes2_based on steps'!$B138:$U138,'changes2_based on steps'!$B$1:$U$1,E$1)</f>
        <v>0</v>
      </c>
      <c r="F138" s="140">
        <f>SUMIFS('recurring2_based on steps'!$B138:$AY138,'recurring2_based on steps'!$B$1:$AY$1,F$1)+SUMIFS('changes2_based on steps'!$B138:$U138,'changes2_based on steps'!$B$1:$U$1,F$1)</f>
        <v>0</v>
      </c>
      <c r="G138" s="140">
        <f>SUMIFS('recurring2_based on steps'!$B138:$AY138,'recurring2_based on steps'!$B$1:$AY$1,G$1)+SUMIFS('changes2_based on steps'!$B138:$U138,'changes2_based on steps'!$B$1:$U$1,G$1)</f>
        <v>0</v>
      </c>
      <c r="H138" s="140">
        <f>SUMIFS('recurring2_based on steps'!$B138:$AY138,'recurring2_based on steps'!$B$1:$AY$1,H$1)+SUMIFS('changes2_based on steps'!$B138:$U138,'changes2_based on steps'!$B$1:$U$1,H$1)</f>
        <v>0</v>
      </c>
      <c r="I138" s="140">
        <f>SUMIFS('recurring2_based on steps'!$B138:$AY138,'recurring2_based on steps'!$B$1:$AY$1,I$1)+SUMIFS('changes2_based on steps'!$B138:$U138,'changes2_based on steps'!$B$1:$U$1,I$1)</f>
        <v>0</v>
      </c>
      <c r="J138" s="140">
        <f ca="1">SUMIFS('recurring2_based on steps'!$B138:$AY138,'recurring2_based on steps'!$B$1:$AY$1,J$1)+SUMIFS('changes2_based on steps'!$B138:$U138,'changes2_based on steps'!$B$1:$U$1,J$1)</f>
        <v>0</v>
      </c>
      <c r="K138" s="140">
        <f>SUMIFS('recurring2_based on steps'!$B138:$AY138,'recurring2_based on steps'!$B$1:$AY$1,K$1)+SUMIFS('changes2_based on steps'!$B138:$U138,'changes2_based on steps'!$B$1:$U$1,K$1)</f>
        <v>0</v>
      </c>
      <c r="L138" s="140">
        <f>SUMIFS('recurring2_based on steps'!$B138:$AY138,'recurring2_based on steps'!$B$1:$AY$1,L$1)+SUMIFS('changes2_based on steps'!$B138:$U138,'changes2_based on steps'!$B$1:$U$1,L$1)</f>
        <v>0</v>
      </c>
      <c r="M138" s="140">
        <f>SUMIFS('recurring2_based on steps'!$B138:$AY138,'recurring2_based on steps'!$B$1:$AY$1,M$1)+SUMIFS('changes2_based on steps'!$B138:$U138,'changes2_based on steps'!$B$1:$U$1,M$1)</f>
        <v>0</v>
      </c>
      <c r="N138" s="140">
        <f ca="1">SUMIFS('recurring2_based on steps'!$B138:$AY138,'recurring2_based on steps'!$B$1:$AY$1,N$1)+SUMIFS('changes2_based on steps'!$B138:$U138,'changes2_based on steps'!$B$1:$U$1,N$1)</f>
        <v>0</v>
      </c>
      <c r="O138" s="140">
        <f>SUMIFS('recurring2_based on steps'!$B138:$AY138,'recurring2_based on steps'!$B$1:$AY$1,O$1)+SUMIFS('changes2_based on steps'!$B138:$U138,'changes2_based on steps'!$B$1:$U$1,O$1)</f>
        <v>0</v>
      </c>
      <c r="P138" s="140">
        <f ca="1">SUMIFS('recurring2_based on steps'!$B138:$AY138,'recurring2_based on steps'!$B$1:$AY$1,P$1)+SUMIFS('changes2_based on steps'!$B138:$U138,'changes2_based on steps'!$B$1:$U$1,P$1)</f>
        <v>0</v>
      </c>
      <c r="Q138" s="140">
        <f ca="1">SUMIFS('recurring2_based on steps'!$B138:$AY138,'recurring2_based on steps'!$B$1:$AY$1,Q$1)+SUMIFS('changes2_based on steps'!$B138:$U138,'changes2_based on steps'!$B$1:$U$1,Q$1)</f>
        <v>100.05540166204986</v>
      </c>
      <c r="R138" s="140">
        <f ca="1">SUMIFS('recurring2_based on steps'!$B138:$AY138,'recurring2_based on steps'!$B$1:$AY$1,R$1)+SUMIFS('changes2_based on steps'!$B138:$U138,'changes2_based on steps'!$B$1:$U$1,R$1)</f>
        <v>0</v>
      </c>
      <c r="S138" s="140">
        <f>SUMIFS('recurring2_based on steps'!$B138:$AY138,'recurring2_based on steps'!$B$1:$AY$1,S$1)+SUMIFS('changes2_based on steps'!$B138:$U138,'changes2_based on steps'!$B$1:$U$1,S$1)</f>
        <v>0</v>
      </c>
      <c r="T138" s="140">
        <f ca="1">SUMIFS('recurring2_based on steps'!$B138:$AY138,'recurring2_based on steps'!$B$1:$AY$1,T$1)+SUMIFS('changes2_based on steps'!$B138:$U138,'changes2_based on steps'!$B$1:$U$1,T$1)</f>
        <v>0</v>
      </c>
      <c r="U138" s="140">
        <f ca="1">SUMIFS('recurring2_based on steps'!$B138:$AY138,'recurring2_based on steps'!$B$1:$AY$1,U$1)+SUMIFS('changes2_based on steps'!$B138:$U138,'changes2_based on steps'!$B$1:$U$1,U$1)</f>
        <v>0</v>
      </c>
      <c r="V138" s="140">
        <f>SUMIFS('recurring2_based on steps'!$B138:$AY138,'recurring2_based on steps'!$B$1:$AY$1,V$1)+SUMIFS('changes2_based on steps'!$B138:$U138,'changes2_based on steps'!$B$1:$U$1,V$1)</f>
        <v>0</v>
      </c>
      <c r="W138" s="140">
        <f>SUMIFS('recurring2_based on steps'!$B138:$AY138,'recurring2_based on steps'!$B$1:$AY$1,W$1)+SUMIFS('changes2_based on steps'!$B138:$U138,'changes2_based on steps'!$B$1:$U$1,W$1)</f>
        <v>0</v>
      </c>
      <c r="X138" s="140">
        <f ca="1">SUMIFS('recurring2_based on steps'!$B138:$AY138,'recurring2_based on steps'!$B$1:$AY$1,X$1)+SUMIFS('changes2_based on steps'!$B138:$U138,'changes2_based on steps'!$B$1:$U$1,X$1)</f>
        <v>0</v>
      </c>
      <c r="Y138" s="140">
        <f ca="1">SUMIFS('recurring2_based on steps'!$B138:$AY138,'recurring2_based on steps'!$B$1:$AY$1,Y$1)+SUMIFS('changes2_based on steps'!$B138:$U138,'changes2_based on steps'!$B$1:$U$1,Y$1)</f>
        <v>0</v>
      </c>
      <c r="Z138" s="140">
        <f>SUMIFS('recurring2_based on steps'!$B138:$AY138,'recurring2_based on steps'!$B$1:$AY$1,Z$1)+SUMIFS('changes2_based on steps'!$B138:$U138,'changes2_based on steps'!$B$1:$U$1,Z$1)</f>
        <v>0</v>
      </c>
      <c r="AA138" s="140">
        <f ca="1">SUMIFS('recurring2_based on steps'!$B138:$AY138,'recurring2_based on steps'!$B$1:$AY$1,AA$1)+SUMIFS('changes2_based on steps'!$B138:$U138,'changes2_based on steps'!$B$1:$U$1,AA$1)</f>
        <v>0</v>
      </c>
      <c r="AB138" s="140">
        <f ca="1">SUMIFS('recurring2_based on steps'!$B138:$AY138,'recurring2_based on steps'!$B$1:$AY$1,AB$1)+SUMIFS('changes2_based on steps'!$B138:$U138,'changes2_based on steps'!$B$1:$U$1,AB$1)</f>
        <v>100</v>
      </c>
      <c r="AC138" s="140">
        <f ca="1">SUMIFS('recurring2_based on steps'!$B138:$AY138,'recurring2_based on steps'!$B$1:$AY$1,AC$1)+SUMIFS('changes2_based on steps'!$B138:$U138,'changes2_based on steps'!$B$1:$U$1,AC$1)</f>
        <v>0</v>
      </c>
      <c r="AD138" s="140">
        <f ca="1">SUMIFS('recurring2_based on steps'!$B138:$AY138,'recurring2_based on steps'!$B$1:$AY$1,AD$1)+SUMIFS('changes2_based on steps'!$B138:$U138,'changes2_based on steps'!$B$1:$U$1,AD$1)</f>
        <v>0</v>
      </c>
      <c r="AE138" s="140">
        <f>SUMIFS('recurring2_based on steps'!$B138:$AY138,'recurring2_based on steps'!$B$1:$AY$1,AE$1)+SUMIFS('changes2_based on steps'!$B138:$U138,'changes2_based on steps'!$B$1:$U$1,AE$1)</f>
        <v>0</v>
      </c>
      <c r="AF138" s="140"/>
      <c r="AG138" s="140"/>
      <c r="AH138" s="140"/>
      <c r="AI138" s="140"/>
      <c r="AJ138" s="140"/>
      <c r="AK138" s="140"/>
      <c r="AL138" s="140"/>
      <c r="AM138" s="140"/>
    </row>
    <row r="139" spans="1:39" x14ac:dyDescent="0.2">
      <c r="A139" s="29">
        <f t="shared" ca="1" si="2"/>
        <v>45879</v>
      </c>
      <c r="B139" s="140">
        <f ca="1">SUMIFS('recurring2_based on steps'!$B139:$AY139,'recurring2_based on steps'!$B$1:$AY$1,B$1)+SUMIFS('changes2_based on steps'!$B139:$U139,'changes2_based on steps'!$B$1:$U$1,B$1)</f>
        <v>0</v>
      </c>
      <c r="C139" s="140">
        <f>SUMIFS('recurring2_based on steps'!$B139:$AY139,'recurring2_based on steps'!$B$1:$AY$1,C$1)+SUMIFS('changes2_based on steps'!$B139:$U139,'changes2_based on steps'!$B$1:$U$1,C$1)</f>
        <v>0</v>
      </c>
      <c r="D139" s="140">
        <f>SUMIFS('recurring2_based on steps'!$B139:$AY139,'recurring2_based on steps'!$B$1:$AY$1,D$1)+SUMIFS('changes2_based on steps'!$B139:$U139,'changes2_based on steps'!$B$1:$U$1,D$1)</f>
        <v>0</v>
      </c>
      <c r="E139" s="140">
        <f>SUMIFS('recurring2_based on steps'!$B139:$AY139,'recurring2_based on steps'!$B$1:$AY$1,E$1)+SUMIFS('changes2_based on steps'!$B139:$U139,'changes2_based on steps'!$B$1:$U$1,E$1)</f>
        <v>0</v>
      </c>
      <c r="F139" s="140">
        <f>SUMIFS('recurring2_based on steps'!$B139:$AY139,'recurring2_based on steps'!$B$1:$AY$1,F$1)+SUMIFS('changes2_based on steps'!$B139:$U139,'changes2_based on steps'!$B$1:$U$1,F$1)</f>
        <v>0</v>
      </c>
      <c r="G139" s="140">
        <f>SUMIFS('recurring2_based on steps'!$B139:$AY139,'recurring2_based on steps'!$B$1:$AY$1,G$1)+SUMIFS('changes2_based on steps'!$B139:$U139,'changes2_based on steps'!$B$1:$U$1,G$1)</f>
        <v>0</v>
      </c>
      <c r="H139" s="140">
        <f>SUMIFS('recurring2_based on steps'!$B139:$AY139,'recurring2_based on steps'!$B$1:$AY$1,H$1)+SUMIFS('changes2_based on steps'!$B139:$U139,'changes2_based on steps'!$B$1:$U$1,H$1)</f>
        <v>0</v>
      </c>
      <c r="I139" s="140">
        <f>SUMIFS('recurring2_based on steps'!$B139:$AY139,'recurring2_based on steps'!$B$1:$AY$1,I$1)+SUMIFS('changes2_based on steps'!$B139:$U139,'changes2_based on steps'!$B$1:$U$1,I$1)</f>
        <v>0</v>
      </c>
      <c r="J139" s="140">
        <f ca="1">SUMIFS('recurring2_based on steps'!$B139:$AY139,'recurring2_based on steps'!$B$1:$AY$1,J$1)+SUMIFS('changes2_based on steps'!$B139:$U139,'changes2_based on steps'!$B$1:$U$1,J$1)</f>
        <v>0</v>
      </c>
      <c r="K139" s="140">
        <f>SUMIFS('recurring2_based on steps'!$B139:$AY139,'recurring2_based on steps'!$B$1:$AY$1,K$1)+SUMIFS('changes2_based on steps'!$B139:$U139,'changes2_based on steps'!$B$1:$U$1,K$1)</f>
        <v>0</v>
      </c>
      <c r="L139" s="140">
        <f>SUMIFS('recurring2_based on steps'!$B139:$AY139,'recurring2_based on steps'!$B$1:$AY$1,L$1)+SUMIFS('changes2_based on steps'!$B139:$U139,'changes2_based on steps'!$B$1:$U$1,L$1)</f>
        <v>0</v>
      </c>
      <c r="M139" s="140">
        <f>SUMIFS('recurring2_based on steps'!$B139:$AY139,'recurring2_based on steps'!$B$1:$AY$1,M$1)+SUMIFS('changes2_based on steps'!$B139:$U139,'changes2_based on steps'!$B$1:$U$1,M$1)</f>
        <v>0</v>
      </c>
      <c r="N139" s="140">
        <f ca="1">SUMIFS('recurring2_based on steps'!$B139:$AY139,'recurring2_based on steps'!$B$1:$AY$1,N$1)+SUMIFS('changes2_based on steps'!$B139:$U139,'changes2_based on steps'!$B$1:$U$1,N$1)</f>
        <v>0</v>
      </c>
      <c r="O139" s="140">
        <f>SUMIFS('recurring2_based on steps'!$B139:$AY139,'recurring2_based on steps'!$B$1:$AY$1,O$1)+SUMIFS('changes2_based on steps'!$B139:$U139,'changes2_based on steps'!$B$1:$U$1,O$1)</f>
        <v>0</v>
      </c>
      <c r="P139" s="140">
        <f ca="1">SUMIFS('recurring2_based on steps'!$B139:$AY139,'recurring2_based on steps'!$B$1:$AY$1,P$1)+SUMIFS('changes2_based on steps'!$B139:$U139,'changes2_based on steps'!$B$1:$U$1,P$1)</f>
        <v>0</v>
      </c>
      <c r="Q139" s="140">
        <f ca="1">SUMIFS('recurring2_based on steps'!$B139:$AY139,'recurring2_based on steps'!$B$1:$AY$1,Q$1)+SUMIFS('changes2_based on steps'!$B139:$U139,'changes2_based on steps'!$B$1:$U$1,Q$1)</f>
        <v>100.05540166204986</v>
      </c>
      <c r="R139" s="140">
        <f ca="1">SUMIFS('recurring2_based on steps'!$B139:$AY139,'recurring2_based on steps'!$B$1:$AY$1,R$1)+SUMIFS('changes2_based on steps'!$B139:$U139,'changes2_based on steps'!$B$1:$U$1,R$1)</f>
        <v>0</v>
      </c>
      <c r="S139" s="140">
        <f>SUMIFS('recurring2_based on steps'!$B139:$AY139,'recurring2_based on steps'!$B$1:$AY$1,S$1)+SUMIFS('changes2_based on steps'!$B139:$U139,'changes2_based on steps'!$B$1:$U$1,S$1)</f>
        <v>0</v>
      </c>
      <c r="T139" s="140">
        <f ca="1">SUMIFS('recurring2_based on steps'!$B139:$AY139,'recurring2_based on steps'!$B$1:$AY$1,T$1)+SUMIFS('changes2_based on steps'!$B139:$U139,'changes2_based on steps'!$B$1:$U$1,T$1)</f>
        <v>0</v>
      </c>
      <c r="U139" s="140">
        <f ca="1">SUMIFS('recurring2_based on steps'!$B139:$AY139,'recurring2_based on steps'!$B$1:$AY$1,U$1)+SUMIFS('changes2_based on steps'!$B139:$U139,'changes2_based on steps'!$B$1:$U$1,U$1)</f>
        <v>0</v>
      </c>
      <c r="V139" s="140">
        <f>SUMIFS('recurring2_based on steps'!$B139:$AY139,'recurring2_based on steps'!$B$1:$AY$1,V$1)+SUMIFS('changes2_based on steps'!$B139:$U139,'changes2_based on steps'!$B$1:$U$1,V$1)</f>
        <v>0</v>
      </c>
      <c r="W139" s="140">
        <f>SUMIFS('recurring2_based on steps'!$B139:$AY139,'recurring2_based on steps'!$B$1:$AY$1,W$1)+SUMIFS('changes2_based on steps'!$B139:$U139,'changes2_based on steps'!$B$1:$U$1,W$1)</f>
        <v>0</v>
      </c>
      <c r="X139" s="140">
        <f ca="1">SUMIFS('recurring2_based on steps'!$B139:$AY139,'recurring2_based on steps'!$B$1:$AY$1,X$1)+SUMIFS('changes2_based on steps'!$B139:$U139,'changes2_based on steps'!$B$1:$U$1,X$1)</f>
        <v>0</v>
      </c>
      <c r="Y139" s="140">
        <f ca="1">SUMIFS('recurring2_based on steps'!$B139:$AY139,'recurring2_based on steps'!$B$1:$AY$1,Y$1)+SUMIFS('changes2_based on steps'!$B139:$U139,'changes2_based on steps'!$B$1:$U$1,Y$1)</f>
        <v>50</v>
      </c>
      <c r="Z139" s="140">
        <f>SUMIFS('recurring2_based on steps'!$B139:$AY139,'recurring2_based on steps'!$B$1:$AY$1,Z$1)+SUMIFS('changes2_based on steps'!$B139:$U139,'changes2_based on steps'!$B$1:$U$1,Z$1)</f>
        <v>0</v>
      </c>
      <c r="AA139" s="140">
        <f ca="1">SUMIFS('recurring2_based on steps'!$B139:$AY139,'recurring2_based on steps'!$B$1:$AY$1,AA$1)+SUMIFS('changes2_based on steps'!$B139:$U139,'changes2_based on steps'!$B$1:$U$1,AA$1)</f>
        <v>0</v>
      </c>
      <c r="AB139" s="140">
        <f ca="1">SUMIFS('recurring2_based on steps'!$B139:$AY139,'recurring2_based on steps'!$B$1:$AY$1,AB$1)+SUMIFS('changes2_based on steps'!$B139:$U139,'changes2_based on steps'!$B$1:$U$1,AB$1)</f>
        <v>0</v>
      </c>
      <c r="AC139" s="140">
        <f ca="1">SUMIFS('recurring2_based on steps'!$B139:$AY139,'recurring2_based on steps'!$B$1:$AY$1,AC$1)+SUMIFS('changes2_based on steps'!$B139:$U139,'changes2_based on steps'!$B$1:$U$1,AC$1)</f>
        <v>0</v>
      </c>
      <c r="AD139" s="140">
        <f ca="1">SUMIFS('recurring2_based on steps'!$B139:$AY139,'recurring2_based on steps'!$B$1:$AY$1,AD$1)+SUMIFS('changes2_based on steps'!$B139:$U139,'changes2_based on steps'!$B$1:$U$1,AD$1)</f>
        <v>0</v>
      </c>
      <c r="AE139" s="140">
        <f>SUMIFS('recurring2_based on steps'!$B139:$AY139,'recurring2_based on steps'!$B$1:$AY$1,AE$1)+SUMIFS('changes2_based on steps'!$B139:$U139,'changes2_based on steps'!$B$1:$U$1,AE$1)</f>
        <v>0</v>
      </c>
      <c r="AF139" s="140"/>
      <c r="AG139" s="140"/>
      <c r="AH139" s="140"/>
      <c r="AI139" s="140"/>
      <c r="AJ139" s="140"/>
      <c r="AK139" s="140"/>
      <c r="AL139" s="140"/>
      <c r="AM139" s="140"/>
    </row>
    <row r="140" spans="1:39" x14ac:dyDescent="0.2">
      <c r="A140" s="29">
        <f t="shared" ca="1" si="2"/>
        <v>45880</v>
      </c>
      <c r="B140" s="140">
        <f ca="1">SUMIFS('recurring2_based on steps'!$B140:$AY140,'recurring2_based on steps'!$B$1:$AY$1,B$1)+SUMIFS('changes2_based on steps'!$B140:$U140,'changes2_based on steps'!$B$1:$U$1,B$1)</f>
        <v>0</v>
      </c>
      <c r="C140" s="140">
        <f>SUMIFS('recurring2_based on steps'!$B140:$AY140,'recurring2_based on steps'!$B$1:$AY$1,C$1)+SUMIFS('changes2_based on steps'!$B140:$U140,'changes2_based on steps'!$B$1:$U$1,C$1)</f>
        <v>0</v>
      </c>
      <c r="D140" s="140">
        <f>SUMIFS('recurring2_based on steps'!$B140:$AY140,'recurring2_based on steps'!$B$1:$AY$1,D$1)+SUMIFS('changes2_based on steps'!$B140:$U140,'changes2_based on steps'!$B$1:$U$1,D$1)</f>
        <v>0</v>
      </c>
      <c r="E140" s="140">
        <f>SUMIFS('recurring2_based on steps'!$B140:$AY140,'recurring2_based on steps'!$B$1:$AY$1,E$1)+SUMIFS('changes2_based on steps'!$B140:$U140,'changes2_based on steps'!$B$1:$U$1,E$1)</f>
        <v>0</v>
      </c>
      <c r="F140" s="140">
        <f>SUMIFS('recurring2_based on steps'!$B140:$AY140,'recurring2_based on steps'!$B$1:$AY$1,F$1)+SUMIFS('changes2_based on steps'!$B140:$U140,'changes2_based on steps'!$B$1:$U$1,F$1)</f>
        <v>0</v>
      </c>
      <c r="G140" s="140">
        <f>SUMIFS('recurring2_based on steps'!$B140:$AY140,'recurring2_based on steps'!$B$1:$AY$1,G$1)+SUMIFS('changes2_based on steps'!$B140:$U140,'changes2_based on steps'!$B$1:$U$1,G$1)</f>
        <v>0</v>
      </c>
      <c r="H140" s="140">
        <f>SUMIFS('recurring2_based on steps'!$B140:$AY140,'recurring2_based on steps'!$B$1:$AY$1,H$1)+SUMIFS('changes2_based on steps'!$B140:$U140,'changes2_based on steps'!$B$1:$U$1,H$1)</f>
        <v>0</v>
      </c>
      <c r="I140" s="140">
        <f>SUMIFS('recurring2_based on steps'!$B140:$AY140,'recurring2_based on steps'!$B$1:$AY$1,I$1)+SUMIFS('changes2_based on steps'!$B140:$U140,'changes2_based on steps'!$B$1:$U$1,I$1)</f>
        <v>0</v>
      </c>
      <c r="J140" s="140">
        <f ca="1">SUMIFS('recurring2_based on steps'!$B140:$AY140,'recurring2_based on steps'!$B$1:$AY$1,J$1)+SUMIFS('changes2_based on steps'!$B140:$U140,'changes2_based on steps'!$B$1:$U$1,J$1)</f>
        <v>0</v>
      </c>
      <c r="K140" s="140">
        <f>SUMIFS('recurring2_based on steps'!$B140:$AY140,'recurring2_based on steps'!$B$1:$AY$1,K$1)+SUMIFS('changes2_based on steps'!$B140:$U140,'changes2_based on steps'!$B$1:$U$1,K$1)</f>
        <v>0</v>
      </c>
      <c r="L140" s="140">
        <f>SUMIFS('recurring2_based on steps'!$B140:$AY140,'recurring2_based on steps'!$B$1:$AY$1,L$1)+SUMIFS('changes2_based on steps'!$B140:$U140,'changes2_based on steps'!$B$1:$U$1,L$1)</f>
        <v>0</v>
      </c>
      <c r="M140" s="140">
        <f>SUMIFS('recurring2_based on steps'!$B140:$AY140,'recurring2_based on steps'!$B$1:$AY$1,M$1)+SUMIFS('changes2_based on steps'!$B140:$U140,'changes2_based on steps'!$B$1:$U$1,M$1)</f>
        <v>0</v>
      </c>
      <c r="N140" s="140">
        <f ca="1">SUMIFS('recurring2_based on steps'!$B140:$AY140,'recurring2_based on steps'!$B$1:$AY$1,N$1)+SUMIFS('changes2_based on steps'!$B140:$U140,'changes2_based on steps'!$B$1:$U$1,N$1)</f>
        <v>0</v>
      </c>
      <c r="O140" s="140">
        <f>SUMIFS('recurring2_based on steps'!$B140:$AY140,'recurring2_based on steps'!$B$1:$AY$1,O$1)+SUMIFS('changes2_based on steps'!$B140:$U140,'changes2_based on steps'!$B$1:$U$1,O$1)</f>
        <v>0</v>
      </c>
      <c r="P140" s="140">
        <f ca="1">SUMIFS('recurring2_based on steps'!$B140:$AY140,'recurring2_based on steps'!$B$1:$AY$1,P$1)+SUMIFS('changes2_based on steps'!$B140:$U140,'changes2_based on steps'!$B$1:$U$1,P$1)</f>
        <v>0</v>
      </c>
      <c r="Q140" s="140">
        <f ca="1">SUMIFS('recurring2_based on steps'!$B140:$AY140,'recurring2_based on steps'!$B$1:$AY$1,Q$1)+SUMIFS('changes2_based on steps'!$B140:$U140,'changes2_based on steps'!$B$1:$U$1,Q$1)</f>
        <v>5.5401662049861494E-2</v>
      </c>
      <c r="R140" s="140">
        <f ca="1">SUMIFS('recurring2_based on steps'!$B140:$AY140,'recurring2_based on steps'!$B$1:$AY$1,R$1)+SUMIFS('changes2_based on steps'!$B140:$U140,'changes2_based on steps'!$B$1:$U$1,R$1)</f>
        <v>0</v>
      </c>
      <c r="S140" s="140">
        <f>SUMIFS('recurring2_based on steps'!$B140:$AY140,'recurring2_based on steps'!$B$1:$AY$1,S$1)+SUMIFS('changes2_based on steps'!$B140:$U140,'changes2_based on steps'!$B$1:$U$1,S$1)</f>
        <v>0</v>
      </c>
      <c r="T140" s="140">
        <f ca="1">SUMIFS('recurring2_based on steps'!$B140:$AY140,'recurring2_based on steps'!$B$1:$AY$1,T$1)+SUMIFS('changes2_based on steps'!$B140:$U140,'changes2_based on steps'!$B$1:$U$1,T$1)</f>
        <v>0</v>
      </c>
      <c r="U140" s="140">
        <f ca="1">SUMIFS('recurring2_based on steps'!$B140:$AY140,'recurring2_based on steps'!$B$1:$AY$1,U$1)+SUMIFS('changes2_based on steps'!$B140:$U140,'changes2_based on steps'!$B$1:$U$1,U$1)</f>
        <v>0</v>
      </c>
      <c r="V140" s="140">
        <f>SUMIFS('recurring2_based on steps'!$B140:$AY140,'recurring2_based on steps'!$B$1:$AY$1,V$1)+SUMIFS('changes2_based on steps'!$B140:$U140,'changes2_based on steps'!$B$1:$U$1,V$1)</f>
        <v>0</v>
      </c>
      <c r="W140" s="140">
        <f>SUMIFS('recurring2_based on steps'!$B140:$AY140,'recurring2_based on steps'!$B$1:$AY$1,W$1)+SUMIFS('changes2_based on steps'!$B140:$U140,'changes2_based on steps'!$B$1:$U$1,W$1)</f>
        <v>0</v>
      </c>
      <c r="X140" s="140">
        <f ca="1">SUMIFS('recurring2_based on steps'!$B140:$AY140,'recurring2_based on steps'!$B$1:$AY$1,X$1)+SUMIFS('changes2_based on steps'!$B140:$U140,'changes2_based on steps'!$B$1:$U$1,X$1)</f>
        <v>0</v>
      </c>
      <c r="Y140" s="140">
        <f ca="1">SUMIFS('recurring2_based on steps'!$B140:$AY140,'recurring2_based on steps'!$B$1:$AY$1,Y$1)+SUMIFS('changes2_based on steps'!$B140:$U140,'changes2_based on steps'!$B$1:$U$1,Y$1)</f>
        <v>0</v>
      </c>
      <c r="Z140" s="140">
        <f>SUMIFS('recurring2_based on steps'!$B140:$AY140,'recurring2_based on steps'!$B$1:$AY$1,Z$1)+SUMIFS('changes2_based on steps'!$B140:$U140,'changes2_based on steps'!$B$1:$U$1,Z$1)</f>
        <v>0</v>
      </c>
      <c r="AA140" s="140">
        <f ca="1">SUMIFS('recurring2_based on steps'!$B140:$AY140,'recurring2_based on steps'!$B$1:$AY$1,AA$1)+SUMIFS('changes2_based on steps'!$B140:$U140,'changes2_based on steps'!$B$1:$U$1,AA$1)</f>
        <v>50</v>
      </c>
      <c r="AB140" s="140">
        <f ca="1">SUMIFS('recurring2_based on steps'!$B140:$AY140,'recurring2_based on steps'!$B$1:$AY$1,AB$1)+SUMIFS('changes2_based on steps'!$B140:$U140,'changes2_based on steps'!$B$1:$U$1,AB$1)</f>
        <v>0</v>
      </c>
      <c r="AC140" s="140">
        <f ca="1">SUMIFS('recurring2_based on steps'!$B140:$AY140,'recurring2_based on steps'!$B$1:$AY$1,AC$1)+SUMIFS('changes2_based on steps'!$B140:$U140,'changes2_based on steps'!$B$1:$U$1,AC$1)</f>
        <v>0</v>
      </c>
      <c r="AD140" s="140">
        <f ca="1">SUMIFS('recurring2_based on steps'!$B140:$AY140,'recurring2_based on steps'!$B$1:$AY$1,AD$1)+SUMIFS('changes2_based on steps'!$B140:$U140,'changes2_based on steps'!$B$1:$U$1,AD$1)</f>
        <v>0</v>
      </c>
      <c r="AE140" s="140">
        <f>SUMIFS('recurring2_based on steps'!$B140:$AY140,'recurring2_based on steps'!$B$1:$AY$1,AE$1)+SUMIFS('changes2_based on steps'!$B140:$U140,'changes2_based on steps'!$B$1:$U$1,AE$1)</f>
        <v>0</v>
      </c>
      <c r="AF140" s="140"/>
      <c r="AG140" s="140"/>
      <c r="AH140" s="140"/>
      <c r="AI140" s="140"/>
      <c r="AJ140" s="140"/>
      <c r="AK140" s="140"/>
      <c r="AL140" s="140"/>
      <c r="AM140" s="140"/>
    </row>
    <row r="141" spans="1:39" x14ac:dyDescent="0.2">
      <c r="A141" s="29">
        <f t="shared" ca="1" si="2"/>
        <v>45881</v>
      </c>
      <c r="B141" s="140">
        <f ca="1">SUMIFS('recurring2_based on steps'!$B141:$AY141,'recurring2_based on steps'!$B$1:$AY$1,B$1)+SUMIFS('changes2_based on steps'!$B141:$U141,'changes2_based on steps'!$B$1:$U$1,B$1)</f>
        <v>0</v>
      </c>
      <c r="C141" s="140">
        <f>SUMIFS('recurring2_based on steps'!$B141:$AY141,'recurring2_based on steps'!$B$1:$AY$1,C$1)+SUMIFS('changes2_based on steps'!$B141:$U141,'changes2_based on steps'!$B$1:$U$1,C$1)</f>
        <v>0</v>
      </c>
      <c r="D141" s="140">
        <f>SUMIFS('recurring2_based on steps'!$B141:$AY141,'recurring2_based on steps'!$B$1:$AY$1,D$1)+SUMIFS('changes2_based on steps'!$B141:$U141,'changes2_based on steps'!$B$1:$U$1,D$1)</f>
        <v>0</v>
      </c>
      <c r="E141" s="140">
        <f>SUMIFS('recurring2_based on steps'!$B141:$AY141,'recurring2_based on steps'!$B$1:$AY$1,E$1)+SUMIFS('changes2_based on steps'!$B141:$U141,'changes2_based on steps'!$B$1:$U$1,E$1)</f>
        <v>0</v>
      </c>
      <c r="F141" s="140">
        <f>SUMIFS('recurring2_based on steps'!$B141:$AY141,'recurring2_based on steps'!$B$1:$AY$1,F$1)+SUMIFS('changes2_based on steps'!$B141:$U141,'changes2_based on steps'!$B$1:$U$1,F$1)</f>
        <v>0</v>
      </c>
      <c r="G141" s="140">
        <f>SUMIFS('recurring2_based on steps'!$B141:$AY141,'recurring2_based on steps'!$B$1:$AY$1,G$1)+SUMIFS('changes2_based on steps'!$B141:$U141,'changes2_based on steps'!$B$1:$U$1,G$1)</f>
        <v>0</v>
      </c>
      <c r="H141" s="140">
        <f>SUMIFS('recurring2_based on steps'!$B141:$AY141,'recurring2_based on steps'!$B$1:$AY$1,H$1)+SUMIFS('changes2_based on steps'!$B141:$U141,'changes2_based on steps'!$B$1:$U$1,H$1)</f>
        <v>0</v>
      </c>
      <c r="I141" s="140">
        <f>SUMIFS('recurring2_based on steps'!$B141:$AY141,'recurring2_based on steps'!$B$1:$AY$1,I$1)+SUMIFS('changes2_based on steps'!$B141:$U141,'changes2_based on steps'!$B$1:$U$1,I$1)</f>
        <v>0</v>
      </c>
      <c r="J141" s="140">
        <f ca="1">SUMIFS('recurring2_based on steps'!$B141:$AY141,'recurring2_based on steps'!$B$1:$AY$1,J$1)+SUMIFS('changes2_based on steps'!$B141:$U141,'changes2_based on steps'!$B$1:$U$1,J$1)</f>
        <v>0</v>
      </c>
      <c r="K141" s="140">
        <f>SUMIFS('recurring2_based on steps'!$B141:$AY141,'recurring2_based on steps'!$B$1:$AY$1,K$1)+SUMIFS('changes2_based on steps'!$B141:$U141,'changes2_based on steps'!$B$1:$U$1,K$1)</f>
        <v>0</v>
      </c>
      <c r="L141" s="140">
        <f>SUMIFS('recurring2_based on steps'!$B141:$AY141,'recurring2_based on steps'!$B$1:$AY$1,L$1)+SUMIFS('changes2_based on steps'!$B141:$U141,'changes2_based on steps'!$B$1:$U$1,L$1)</f>
        <v>0</v>
      </c>
      <c r="M141" s="140">
        <f>SUMIFS('recurring2_based on steps'!$B141:$AY141,'recurring2_based on steps'!$B$1:$AY$1,M$1)+SUMIFS('changes2_based on steps'!$B141:$U141,'changes2_based on steps'!$B$1:$U$1,M$1)</f>
        <v>0</v>
      </c>
      <c r="N141" s="140">
        <f ca="1">SUMIFS('recurring2_based on steps'!$B141:$AY141,'recurring2_based on steps'!$B$1:$AY$1,N$1)+SUMIFS('changes2_based on steps'!$B141:$U141,'changes2_based on steps'!$B$1:$U$1,N$1)</f>
        <v>0</v>
      </c>
      <c r="O141" s="140">
        <f>SUMIFS('recurring2_based on steps'!$B141:$AY141,'recurring2_based on steps'!$B$1:$AY$1,O$1)+SUMIFS('changes2_based on steps'!$B141:$U141,'changes2_based on steps'!$B$1:$U$1,O$1)</f>
        <v>0</v>
      </c>
      <c r="P141" s="140">
        <f ca="1">SUMIFS('recurring2_based on steps'!$B141:$AY141,'recurring2_based on steps'!$B$1:$AY$1,P$1)+SUMIFS('changes2_based on steps'!$B141:$U141,'changes2_based on steps'!$B$1:$U$1,P$1)</f>
        <v>0</v>
      </c>
      <c r="Q141" s="140">
        <f ca="1">SUMIFS('recurring2_based on steps'!$B141:$AY141,'recurring2_based on steps'!$B$1:$AY$1,Q$1)+SUMIFS('changes2_based on steps'!$B141:$U141,'changes2_based on steps'!$B$1:$U$1,Q$1)</f>
        <v>5.5401662049861494E-2</v>
      </c>
      <c r="R141" s="140">
        <f ca="1">SUMIFS('recurring2_based on steps'!$B141:$AY141,'recurring2_based on steps'!$B$1:$AY$1,R$1)+SUMIFS('changes2_based on steps'!$B141:$U141,'changes2_based on steps'!$B$1:$U$1,R$1)</f>
        <v>0</v>
      </c>
      <c r="S141" s="140">
        <f>SUMIFS('recurring2_based on steps'!$B141:$AY141,'recurring2_based on steps'!$B$1:$AY$1,S$1)+SUMIFS('changes2_based on steps'!$B141:$U141,'changes2_based on steps'!$B$1:$U$1,S$1)</f>
        <v>0</v>
      </c>
      <c r="T141" s="140">
        <f ca="1">SUMIFS('recurring2_based on steps'!$B141:$AY141,'recurring2_based on steps'!$B$1:$AY$1,T$1)+SUMIFS('changes2_based on steps'!$B141:$U141,'changes2_based on steps'!$B$1:$U$1,T$1)</f>
        <v>0</v>
      </c>
      <c r="U141" s="140">
        <f ca="1">SUMIFS('recurring2_based on steps'!$B141:$AY141,'recurring2_based on steps'!$B$1:$AY$1,U$1)+SUMIFS('changes2_based on steps'!$B141:$U141,'changes2_based on steps'!$B$1:$U$1,U$1)</f>
        <v>0</v>
      </c>
      <c r="V141" s="140">
        <f>SUMIFS('recurring2_based on steps'!$B141:$AY141,'recurring2_based on steps'!$B$1:$AY$1,V$1)+SUMIFS('changes2_based on steps'!$B141:$U141,'changes2_based on steps'!$B$1:$U$1,V$1)</f>
        <v>0</v>
      </c>
      <c r="W141" s="140">
        <f>SUMIFS('recurring2_based on steps'!$B141:$AY141,'recurring2_based on steps'!$B$1:$AY$1,W$1)+SUMIFS('changes2_based on steps'!$B141:$U141,'changes2_based on steps'!$B$1:$U$1,W$1)</f>
        <v>0</v>
      </c>
      <c r="X141" s="140">
        <f ca="1">SUMIFS('recurring2_based on steps'!$B141:$AY141,'recurring2_based on steps'!$B$1:$AY$1,X$1)+SUMIFS('changes2_based on steps'!$B141:$U141,'changes2_based on steps'!$B$1:$U$1,X$1)</f>
        <v>0</v>
      </c>
      <c r="Y141" s="140">
        <f ca="1">SUMIFS('recurring2_based on steps'!$B141:$AY141,'recurring2_based on steps'!$B$1:$AY$1,Y$1)+SUMIFS('changes2_based on steps'!$B141:$U141,'changes2_based on steps'!$B$1:$U$1,Y$1)</f>
        <v>0</v>
      </c>
      <c r="Z141" s="140">
        <f>SUMIFS('recurring2_based on steps'!$B141:$AY141,'recurring2_based on steps'!$B$1:$AY$1,Z$1)+SUMIFS('changes2_based on steps'!$B141:$U141,'changes2_based on steps'!$B$1:$U$1,Z$1)</f>
        <v>0</v>
      </c>
      <c r="AA141" s="140">
        <f ca="1">SUMIFS('recurring2_based on steps'!$B141:$AY141,'recurring2_based on steps'!$B$1:$AY$1,AA$1)+SUMIFS('changes2_based on steps'!$B141:$U141,'changes2_based on steps'!$B$1:$U$1,AA$1)</f>
        <v>0</v>
      </c>
      <c r="AB141" s="140">
        <f ca="1">SUMIFS('recurring2_based on steps'!$B141:$AY141,'recurring2_based on steps'!$B$1:$AY$1,AB$1)+SUMIFS('changes2_based on steps'!$B141:$U141,'changes2_based on steps'!$B$1:$U$1,AB$1)</f>
        <v>0</v>
      </c>
      <c r="AC141" s="140">
        <f ca="1">SUMIFS('recurring2_based on steps'!$B141:$AY141,'recurring2_based on steps'!$B$1:$AY$1,AC$1)+SUMIFS('changes2_based on steps'!$B141:$U141,'changes2_based on steps'!$B$1:$U$1,AC$1)</f>
        <v>0</v>
      </c>
      <c r="AD141" s="140">
        <f ca="1">SUMIFS('recurring2_based on steps'!$B141:$AY141,'recurring2_based on steps'!$B$1:$AY$1,AD$1)+SUMIFS('changes2_based on steps'!$B141:$U141,'changes2_based on steps'!$B$1:$U$1,AD$1)</f>
        <v>0</v>
      </c>
      <c r="AE141" s="140">
        <f>SUMIFS('recurring2_based on steps'!$B141:$AY141,'recurring2_based on steps'!$B$1:$AY$1,AE$1)+SUMIFS('changes2_based on steps'!$B141:$U141,'changes2_based on steps'!$B$1:$U$1,AE$1)</f>
        <v>0</v>
      </c>
      <c r="AF141" s="140"/>
      <c r="AG141" s="140"/>
      <c r="AH141" s="140"/>
      <c r="AI141" s="140"/>
      <c r="AJ141" s="140"/>
      <c r="AK141" s="140"/>
      <c r="AL141" s="140"/>
      <c r="AM141" s="140"/>
    </row>
    <row r="142" spans="1:39" x14ac:dyDescent="0.2">
      <c r="A142" s="29">
        <f t="shared" ca="1" si="2"/>
        <v>45882</v>
      </c>
      <c r="B142" s="140">
        <f ca="1">SUMIFS('recurring2_based on steps'!$B142:$AY142,'recurring2_based on steps'!$B$1:$AY$1,B$1)+SUMIFS('changes2_based on steps'!$B142:$U142,'changes2_based on steps'!$B$1:$U$1,B$1)</f>
        <v>0</v>
      </c>
      <c r="C142" s="140">
        <f>SUMIFS('recurring2_based on steps'!$B142:$AY142,'recurring2_based on steps'!$B$1:$AY$1,C$1)+SUMIFS('changes2_based on steps'!$B142:$U142,'changes2_based on steps'!$B$1:$U$1,C$1)</f>
        <v>0</v>
      </c>
      <c r="D142" s="140">
        <f>SUMIFS('recurring2_based on steps'!$B142:$AY142,'recurring2_based on steps'!$B$1:$AY$1,D$1)+SUMIFS('changes2_based on steps'!$B142:$U142,'changes2_based on steps'!$B$1:$U$1,D$1)</f>
        <v>0</v>
      </c>
      <c r="E142" s="140">
        <f>SUMIFS('recurring2_based on steps'!$B142:$AY142,'recurring2_based on steps'!$B$1:$AY$1,E$1)+SUMIFS('changes2_based on steps'!$B142:$U142,'changes2_based on steps'!$B$1:$U$1,E$1)</f>
        <v>0</v>
      </c>
      <c r="F142" s="140">
        <f>SUMIFS('recurring2_based on steps'!$B142:$AY142,'recurring2_based on steps'!$B$1:$AY$1,F$1)+SUMIFS('changes2_based on steps'!$B142:$U142,'changes2_based on steps'!$B$1:$U$1,F$1)</f>
        <v>0</v>
      </c>
      <c r="G142" s="140">
        <f>SUMIFS('recurring2_based on steps'!$B142:$AY142,'recurring2_based on steps'!$B$1:$AY$1,G$1)+SUMIFS('changes2_based on steps'!$B142:$U142,'changes2_based on steps'!$B$1:$U$1,G$1)</f>
        <v>0</v>
      </c>
      <c r="H142" s="140">
        <f>SUMIFS('recurring2_based on steps'!$B142:$AY142,'recurring2_based on steps'!$B$1:$AY$1,H$1)+SUMIFS('changes2_based on steps'!$B142:$U142,'changes2_based on steps'!$B$1:$U$1,H$1)</f>
        <v>0</v>
      </c>
      <c r="I142" s="140">
        <f>SUMIFS('recurring2_based on steps'!$B142:$AY142,'recurring2_based on steps'!$B$1:$AY$1,I$1)+SUMIFS('changes2_based on steps'!$B142:$U142,'changes2_based on steps'!$B$1:$U$1,I$1)</f>
        <v>0</v>
      </c>
      <c r="J142" s="140">
        <f ca="1">SUMIFS('recurring2_based on steps'!$B142:$AY142,'recurring2_based on steps'!$B$1:$AY$1,J$1)+SUMIFS('changes2_based on steps'!$B142:$U142,'changes2_based on steps'!$B$1:$U$1,J$1)</f>
        <v>0</v>
      </c>
      <c r="K142" s="140">
        <f>SUMIFS('recurring2_based on steps'!$B142:$AY142,'recurring2_based on steps'!$B$1:$AY$1,K$1)+SUMIFS('changes2_based on steps'!$B142:$U142,'changes2_based on steps'!$B$1:$U$1,K$1)</f>
        <v>0</v>
      </c>
      <c r="L142" s="140">
        <f>SUMIFS('recurring2_based on steps'!$B142:$AY142,'recurring2_based on steps'!$B$1:$AY$1,L$1)+SUMIFS('changes2_based on steps'!$B142:$U142,'changes2_based on steps'!$B$1:$U$1,L$1)</f>
        <v>0</v>
      </c>
      <c r="M142" s="140">
        <f>SUMIFS('recurring2_based on steps'!$B142:$AY142,'recurring2_based on steps'!$B$1:$AY$1,M$1)+SUMIFS('changes2_based on steps'!$B142:$U142,'changes2_based on steps'!$B$1:$U$1,M$1)</f>
        <v>0</v>
      </c>
      <c r="N142" s="140">
        <f ca="1">SUMIFS('recurring2_based on steps'!$B142:$AY142,'recurring2_based on steps'!$B$1:$AY$1,N$1)+SUMIFS('changes2_based on steps'!$B142:$U142,'changes2_based on steps'!$B$1:$U$1,N$1)</f>
        <v>0</v>
      </c>
      <c r="O142" s="140">
        <f>SUMIFS('recurring2_based on steps'!$B142:$AY142,'recurring2_based on steps'!$B$1:$AY$1,O$1)+SUMIFS('changes2_based on steps'!$B142:$U142,'changes2_based on steps'!$B$1:$U$1,O$1)</f>
        <v>0</v>
      </c>
      <c r="P142" s="140">
        <f ca="1">SUMIFS('recurring2_based on steps'!$B142:$AY142,'recurring2_based on steps'!$B$1:$AY$1,P$1)+SUMIFS('changes2_based on steps'!$B142:$U142,'changes2_based on steps'!$B$1:$U$1,P$1)</f>
        <v>0</v>
      </c>
      <c r="Q142" s="140">
        <f ca="1">SUMIFS('recurring2_based on steps'!$B142:$AY142,'recurring2_based on steps'!$B$1:$AY$1,Q$1)+SUMIFS('changes2_based on steps'!$B142:$U142,'changes2_based on steps'!$B$1:$U$1,Q$1)</f>
        <v>5.5401662049861494E-2</v>
      </c>
      <c r="R142" s="140">
        <f ca="1">SUMIFS('recurring2_based on steps'!$B142:$AY142,'recurring2_based on steps'!$B$1:$AY$1,R$1)+SUMIFS('changes2_based on steps'!$B142:$U142,'changes2_based on steps'!$B$1:$U$1,R$1)</f>
        <v>0</v>
      </c>
      <c r="S142" s="140">
        <f>SUMIFS('recurring2_based on steps'!$B142:$AY142,'recurring2_based on steps'!$B$1:$AY$1,S$1)+SUMIFS('changes2_based on steps'!$B142:$U142,'changes2_based on steps'!$B$1:$U$1,S$1)</f>
        <v>0</v>
      </c>
      <c r="T142" s="140">
        <f ca="1">SUMIFS('recurring2_based on steps'!$B142:$AY142,'recurring2_based on steps'!$B$1:$AY$1,T$1)+SUMIFS('changes2_based on steps'!$B142:$U142,'changes2_based on steps'!$B$1:$U$1,T$1)</f>
        <v>0</v>
      </c>
      <c r="U142" s="140">
        <f ca="1">SUMIFS('recurring2_based on steps'!$B142:$AY142,'recurring2_based on steps'!$B$1:$AY$1,U$1)+SUMIFS('changes2_based on steps'!$B142:$U142,'changes2_based on steps'!$B$1:$U$1,U$1)</f>
        <v>0</v>
      </c>
      <c r="V142" s="140">
        <f>SUMIFS('recurring2_based on steps'!$B142:$AY142,'recurring2_based on steps'!$B$1:$AY$1,V$1)+SUMIFS('changes2_based on steps'!$B142:$U142,'changes2_based on steps'!$B$1:$U$1,V$1)</f>
        <v>0</v>
      </c>
      <c r="W142" s="140">
        <f>SUMIFS('recurring2_based on steps'!$B142:$AY142,'recurring2_based on steps'!$B$1:$AY$1,W$1)+SUMIFS('changes2_based on steps'!$B142:$U142,'changes2_based on steps'!$B$1:$U$1,W$1)</f>
        <v>0</v>
      </c>
      <c r="X142" s="140">
        <f ca="1">SUMIFS('recurring2_based on steps'!$B142:$AY142,'recurring2_based on steps'!$B$1:$AY$1,X$1)+SUMIFS('changes2_based on steps'!$B142:$U142,'changes2_based on steps'!$B$1:$U$1,X$1)</f>
        <v>0</v>
      </c>
      <c r="Y142" s="140">
        <f ca="1">SUMIFS('recurring2_based on steps'!$B142:$AY142,'recurring2_based on steps'!$B$1:$AY$1,Y$1)+SUMIFS('changes2_based on steps'!$B142:$U142,'changes2_based on steps'!$B$1:$U$1,Y$1)</f>
        <v>0</v>
      </c>
      <c r="Z142" s="140">
        <f>SUMIFS('recurring2_based on steps'!$B142:$AY142,'recurring2_based on steps'!$B$1:$AY$1,Z$1)+SUMIFS('changes2_based on steps'!$B142:$U142,'changes2_based on steps'!$B$1:$U$1,Z$1)</f>
        <v>0</v>
      </c>
      <c r="AA142" s="140">
        <f ca="1">SUMIFS('recurring2_based on steps'!$B142:$AY142,'recurring2_based on steps'!$B$1:$AY$1,AA$1)+SUMIFS('changes2_based on steps'!$B142:$U142,'changes2_based on steps'!$B$1:$U$1,AA$1)</f>
        <v>0</v>
      </c>
      <c r="AB142" s="140">
        <f ca="1">SUMIFS('recurring2_based on steps'!$B142:$AY142,'recurring2_based on steps'!$B$1:$AY$1,AB$1)+SUMIFS('changes2_based on steps'!$B142:$U142,'changes2_based on steps'!$B$1:$U$1,AB$1)</f>
        <v>0</v>
      </c>
      <c r="AC142" s="140">
        <f ca="1">SUMIFS('recurring2_based on steps'!$B142:$AY142,'recurring2_based on steps'!$B$1:$AY$1,AC$1)+SUMIFS('changes2_based on steps'!$B142:$U142,'changes2_based on steps'!$B$1:$U$1,AC$1)</f>
        <v>0</v>
      </c>
      <c r="AD142" s="140">
        <f ca="1">SUMIFS('recurring2_based on steps'!$B142:$AY142,'recurring2_based on steps'!$B$1:$AY$1,AD$1)+SUMIFS('changes2_based on steps'!$B142:$U142,'changes2_based on steps'!$B$1:$U$1,AD$1)</f>
        <v>0</v>
      </c>
      <c r="AE142" s="140">
        <f>SUMIFS('recurring2_based on steps'!$B142:$AY142,'recurring2_based on steps'!$B$1:$AY$1,AE$1)+SUMIFS('changes2_based on steps'!$B142:$U142,'changes2_based on steps'!$B$1:$U$1,AE$1)</f>
        <v>0</v>
      </c>
      <c r="AF142" s="140"/>
      <c r="AG142" s="140"/>
      <c r="AH142" s="140"/>
      <c r="AI142" s="140"/>
      <c r="AJ142" s="140"/>
      <c r="AK142" s="140"/>
      <c r="AL142" s="140"/>
      <c r="AM142" s="140"/>
    </row>
    <row r="143" spans="1:39" x14ac:dyDescent="0.2">
      <c r="A143" s="29">
        <f t="shared" ca="1" si="2"/>
        <v>45883</v>
      </c>
      <c r="B143" s="140">
        <f ca="1">SUMIFS('recurring2_based on steps'!$B143:$AY143,'recurring2_based on steps'!$B$1:$AY$1,B$1)+SUMIFS('changes2_based on steps'!$B143:$U143,'changes2_based on steps'!$B$1:$U$1,B$1)</f>
        <v>0</v>
      </c>
      <c r="C143" s="140">
        <f>SUMIFS('recurring2_based on steps'!$B143:$AY143,'recurring2_based on steps'!$B$1:$AY$1,C$1)+SUMIFS('changes2_based on steps'!$B143:$U143,'changes2_based on steps'!$B$1:$U$1,C$1)</f>
        <v>0</v>
      </c>
      <c r="D143" s="140">
        <f>SUMIFS('recurring2_based on steps'!$B143:$AY143,'recurring2_based on steps'!$B$1:$AY$1,D$1)+SUMIFS('changes2_based on steps'!$B143:$U143,'changes2_based on steps'!$B$1:$U$1,D$1)</f>
        <v>0</v>
      </c>
      <c r="E143" s="140">
        <f>SUMIFS('recurring2_based on steps'!$B143:$AY143,'recurring2_based on steps'!$B$1:$AY$1,E$1)+SUMIFS('changes2_based on steps'!$B143:$U143,'changes2_based on steps'!$B$1:$U$1,E$1)</f>
        <v>0</v>
      </c>
      <c r="F143" s="140">
        <f>SUMIFS('recurring2_based on steps'!$B143:$AY143,'recurring2_based on steps'!$B$1:$AY$1,F$1)+SUMIFS('changes2_based on steps'!$B143:$U143,'changes2_based on steps'!$B$1:$U$1,F$1)</f>
        <v>0</v>
      </c>
      <c r="G143" s="140">
        <f>SUMIFS('recurring2_based on steps'!$B143:$AY143,'recurring2_based on steps'!$B$1:$AY$1,G$1)+SUMIFS('changes2_based on steps'!$B143:$U143,'changes2_based on steps'!$B$1:$U$1,G$1)</f>
        <v>0</v>
      </c>
      <c r="H143" s="140">
        <f>SUMIFS('recurring2_based on steps'!$B143:$AY143,'recurring2_based on steps'!$B$1:$AY$1,H$1)+SUMIFS('changes2_based on steps'!$B143:$U143,'changes2_based on steps'!$B$1:$U$1,H$1)</f>
        <v>0</v>
      </c>
      <c r="I143" s="140">
        <f>SUMIFS('recurring2_based on steps'!$B143:$AY143,'recurring2_based on steps'!$B$1:$AY$1,I$1)+SUMIFS('changes2_based on steps'!$B143:$U143,'changes2_based on steps'!$B$1:$U$1,I$1)</f>
        <v>0</v>
      </c>
      <c r="J143" s="140">
        <f ca="1">SUMIFS('recurring2_based on steps'!$B143:$AY143,'recurring2_based on steps'!$B$1:$AY$1,J$1)+SUMIFS('changes2_based on steps'!$B143:$U143,'changes2_based on steps'!$B$1:$U$1,J$1)</f>
        <v>0</v>
      </c>
      <c r="K143" s="140">
        <f>SUMIFS('recurring2_based on steps'!$B143:$AY143,'recurring2_based on steps'!$B$1:$AY$1,K$1)+SUMIFS('changes2_based on steps'!$B143:$U143,'changes2_based on steps'!$B$1:$U$1,K$1)</f>
        <v>0</v>
      </c>
      <c r="L143" s="140">
        <f>SUMIFS('recurring2_based on steps'!$B143:$AY143,'recurring2_based on steps'!$B$1:$AY$1,L$1)+SUMIFS('changes2_based on steps'!$B143:$U143,'changes2_based on steps'!$B$1:$U$1,L$1)</f>
        <v>0</v>
      </c>
      <c r="M143" s="140">
        <f>SUMIFS('recurring2_based on steps'!$B143:$AY143,'recurring2_based on steps'!$B$1:$AY$1,M$1)+SUMIFS('changes2_based on steps'!$B143:$U143,'changes2_based on steps'!$B$1:$U$1,M$1)</f>
        <v>0</v>
      </c>
      <c r="N143" s="140">
        <f ca="1">SUMIFS('recurring2_based on steps'!$B143:$AY143,'recurring2_based on steps'!$B$1:$AY$1,N$1)+SUMIFS('changes2_based on steps'!$B143:$U143,'changes2_based on steps'!$B$1:$U$1,N$1)</f>
        <v>0</v>
      </c>
      <c r="O143" s="140">
        <f>SUMIFS('recurring2_based on steps'!$B143:$AY143,'recurring2_based on steps'!$B$1:$AY$1,O$1)+SUMIFS('changes2_based on steps'!$B143:$U143,'changes2_based on steps'!$B$1:$U$1,O$1)</f>
        <v>0</v>
      </c>
      <c r="P143" s="140">
        <f ca="1">SUMIFS('recurring2_based on steps'!$B143:$AY143,'recurring2_based on steps'!$B$1:$AY$1,P$1)+SUMIFS('changes2_based on steps'!$B143:$U143,'changes2_based on steps'!$B$1:$U$1,P$1)</f>
        <v>0</v>
      </c>
      <c r="Q143" s="140">
        <f ca="1">SUMIFS('recurring2_based on steps'!$B143:$AY143,'recurring2_based on steps'!$B$1:$AY$1,Q$1)+SUMIFS('changes2_based on steps'!$B143:$U143,'changes2_based on steps'!$B$1:$U$1,Q$1)</f>
        <v>5.5401662049861494E-2</v>
      </c>
      <c r="R143" s="140">
        <f ca="1">SUMIFS('recurring2_based on steps'!$B143:$AY143,'recurring2_based on steps'!$B$1:$AY$1,R$1)+SUMIFS('changes2_based on steps'!$B143:$U143,'changes2_based on steps'!$B$1:$U$1,R$1)</f>
        <v>0</v>
      </c>
      <c r="S143" s="140">
        <f>SUMIFS('recurring2_based on steps'!$B143:$AY143,'recurring2_based on steps'!$B$1:$AY$1,S$1)+SUMIFS('changes2_based on steps'!$B143:$U143,'changes2_based on steps'!$B$1:$U$1,S$1)</f>
        <v>0</v>
      </c>
      <c r="T143" s="140">
        <f ca="1">SUMIFS('recurring2_based on steps'!$B143:$AY143,'recurring2_based on steps'!$B$1:$AY$1,T$1)+SUMIFS('changes2_based on steps'!$B143:$U143,'changes2_based on steps'!$B$1:$U$1,T$1)</f>
        <v>0</v>
      </c>
      <c r="U143" s="140">
        <f ca="1">SUMIFS('recurring2_based on steps'!$B143:$AY143,'recurring2_based on steps'!$B$1:$AY$1,U$1)+SUMIFS('changes2_based on steps'!$B143:$U143,'changes2_based on steps'!$B$1:$U$1,U$1)</f>
        <v>0</v>
      </c>
      <c r="V143" s="140">
        <f>SUMIFS('recurring2_based on steps'!$B143:$AY143,'recurring2_based on steps'!$B$1:$AY$1,V$1)+SUMIFS('changes2_based on steps'!$B143:$U143,'changes2_based on steps'!$B$1:$U$1,V$1)</f>
        <v>0</v>
      </c>
      <c r="W143" s="140">
        <f>SUMIFS('recurring2_based on steps'!$B143:$AY143,'recurring2_based on steps'!$B$1:$AY$1,W$1)+SUMIFS('changes2_based on steps'!$B143:$U143,'changes2_based on steps'!$B$1:$U$1,W$1)</f>
        <v>0</v>
      </c>
      <c r="X143" s="140">
        <f ca="1">SUMIFS('recurring2_based on steps'!$B143:$AY143,'recurring2_based on steps'!$B$1:$AY$1,X$1)+SUMIFS('changes2_based on steps'!$B143:$U143,'changes2_based on steps'!$B$1:$U$1,X$1)</f>
        <v>0</v>
      </c>
      <c r="Y143" s="140">
        <f ca="1">SUMIFS('recurring2_based on steps'!$B143:$AY143,'recurring2_based on steps'!$B$1:$AY$1,Y$1)+SUMIFS('changes2_based on steps'!$B143:$U143,'changes2_based on steps'!$B$1:$U$1,Y$1)</f>
        <v>0</v>
      </c>
      <c r="Z143" s="140">
        <f>SUMIFS('recurring2_based on steps'!$B143:$AY143,'recurring2_based on steps'!$B$1:$AY$1,Z$1)+SUMIFS('changes2_based on steps'!$B143:$U143,'changes2_based on steps'!$B$1:$U$1,Z$1)</f>
        <v>0</v>
      </c>
      <c r="AA143" s="140">
        <f ca="1">SUMIFS('recurring2_based on steps'!$B143:$AY143,'recurring2_based on steps'!$B$1:$AY$1,AA$1)+SUMIFS('changes2_based on steps'!$B143:$U143,'changes2_based on steps'!$B$1:$U$1,AA$1)</f>
        <v>0</v>
      </c>
      <c r="AB143" s="140">
        <f ca="1">SUMIFS('recurring2_based on steps'!$B143:$AY143,'recurring2_based on steps'!$B$1:$AY$1,AB$1)+SUMIFS('changes2_based on steps'!$B143:$U143,'changes2_based on steps'!$B$1:$U$1,AB$1)</f>
        <v>0</v>
      </c>
      <c r="AC143" s="140">
        <f ca="1">SUMIFS('recurring2_based on steps'!$B143:$AY143,'recurring2_based on steps'!$B$1:$AY$1,AC$1)+SUMIFS('changes2_based on steps'!$B143:$U143,'changes2_based on steps'!$B$1:$U$1,AC$1)</f>
        <v>0</v>
      </c>
      <c r="AD143" s="140">
        <f ca="1">SUMIFS('recurring2_based on steps'!$B143:$AY143,'recurring2_based on steps'!$B$1:$AY$1,AD$1)+SUMIFS('changes2_based on steps'!$B143:$U143,'changes2_based on steps'!$B$1:$U$1,AD$1)</f>
        <v>0</v>
      </c>
      <c r="AE143" s="140">
        <f>SUMIFS('recurring2_based on steps'!$B143:$AY143,'recurring2_based on steps'!$B$1:$AY$1,AE$1)+SUMIFS('changes2_based on steps'!$B143:$U143,'changes2_based on steps'!$B$1:$U$1,AE$1)</f>
        <v>0</v>
      </c>
      <c r="AF143" s="140"/>
      <c r="AG143" s="140"/>
      <c r="AH143" s="140"/>
      <c r="AI143" s="140"/>
      <c r="AJ143" s="140"/>
      <c r="AK143" s="140"/>
      <c r="AL143" s="140"/>
      <c r="AM143" s="140"/>
    </row>
    <row r="144" spans="1:39" x14ac:dyDescent="0.2">
      <c r="A144" s="29">
        <f t="shared" ca="1" si="2"/>
        <v>45884</v>
      </c>
      <c r="B144" s="140">
        <f ca="1">SUMIFS('recurring2_based on steps'!$B144:$AY144,'recurring2_based on steps'!$B$1:$AY$1,B$1)+SUMIFS('changes2_based on steps'!$B144:$U144,'changes2_based on steps'!$B$1:$U$1,B$1)</f>
        <v>0</v>
      </c>
      <c r="C144" s="140">
        <f>SUMIFS('recurring2_based on steps'!$B144:$AY144,'recurring2_based on steps'!$B$1:$AY$1,C$1)+SUMIFS('changes2_based on steps'!$B144:$U144,'changes2_based on steps'!$B$1:$U$1,C$1)</f>
        <v>0</v>
      </c>
      <c r="D144" s="140">
        <f>SUMIFS('recurring2_based on steps'!$B144:$AY144,'recurring2_based on steps'!$B$1:$AY$1,D$1)+SUMIFS('changes2_based on steps'!$B144:$U144,'changes2_based on steps'!$B$1:$U$1,D$1)</f>
        <v>0</v>
      </c>
      <c r="E144" s="140">
        <f>SUMIFS('recurring2_based on steps'!$B144:$AY144,'recurring2_based on steps'!$B$1:$AY$1,E$1)+SUMIFS('changes2_based on steps'!$B144:$U144,'changes2_based on steps'!$B$1:$U$1,E$1)</f>
        <v>0</v>
      </c>
      <c r="F144" s="140">
        <f>SUMIFS('recurring2_based on steps'!$B144:$AY144,'recurring2_based on steps'!$B$1:$AY$1,F$1)+SUMIFS('changes2_based on steps'!$B144:$U144,'changes2_based on steps'!$B$1:$U$1,F$1)</f>
        <v>0</v>
      </c>
      <c r="G144" s="140">
        <f>SUMIFS('recurring2_based on steps'!$B144:$AY144,'recurring2_based on steps'!$B$1:$AY$1,G$1)+SUMIFS('changes2_based on steps'!$B144:$U144,'changes2_based on steps'!$B$1:$U$1,G$1)</f>
        <v>0</v>
      </c>
      <c r="H144" s="140">
        <f>SUMIFS('recurring2_based on steps'!$B144:$AY144,'recurring2_based on steps'!$B$1:$AY$1,H$1)+SUMIFS('changes2_based on steps'!$B144:$U144,'changes2_based on steps'!$B$1:$U$1,H$1)</f>
        <v>0</v>
      </c>
      <c r="I144" s="140">
        <f>SUMIFS('recurring2_based on steps'!$B144:$AY144,'recurring2_based on steps'!$B$1:$AY$1,I$1)+SUMIFS('changes2_based on steps'!$B144:$U144,'changes2_based on steps'!$B$1:$U$1,I$1)</f>
        <v>0</v>
      </c>
      <c r="J144" s="140">
        <f ca="1">SUMIFS('recurring2_based on steps'!$B144:$AY144,'recurring2_based on steps'!$B$1:$AY$1,J$1)+SUMIFS('changes2_based on steps'!$B144:$U144,'changes2_based on steps'!$B$1:$U$1,J$1)</f>
        <v>0</v>
      </c>
      <c r="K144" s="140">
        <f>SUMIFS('recurring2_based on steps'!$B144:$AY144,'recurring2_based on steps'!$B$1:$AY$1,K$1)+SUMIFS('changes2_based on steps'!$B144:$U144,'changes2_based on steps'!$B$1:$U$1,K$1)</f>
        <v>0</v>
      </c>
      <c r="L144" s="140">
        <f>SUMIFS('recurring2_based on steps'!$B144:$AY144,'recurring2_based on steps'!$B$1:$AY$1,L$1)+SUMIFS('changes2_based on steps'!$B144:$U144,'changes2_based on steps'!$B$1:$U$1,L$1)</f>
        <v>0</v>
      </c>
      <c r="M144" s="140">
        <f>SUMIFS('recurring2_based on steps'!$B144:$AY144,'recurring2_based on steps'!$B$1:$AY$1,M$1)+SUMIFS('changes2_based on steps'!$B144:$U144,'changes2_based on steps'!$B$1:$U$1,M$1)</f>
        <v>0</v>
      </c>
      <c r="N144" s="140">
        <f ca="1">SUMIFS('recurring2_based on steps'!$B144:$AY144,'recurring2_based on steps'!$B$1:$AY$1,N$1)+SUMIFS('changes2_based on steps'!$B144:$U144,'changes2_based on steps'!$B$1:$U$1,N$1)</f>
        <v>0</v>
      </c>
      <c r="O144" s="140">
        <f>SUMIFS('recurring2_based on steps'!$B144:$AY144,'recurring2_based on steps'!$B$1:$AY$1,O$1)+SUMIFS('changes2_based on steps'!$B144:$U144,'changes2_based on steps'!$B$1:$U$1,O$1)</f>
        <v>0</v>
      </c>
      <c r="P144" s="140">
        <f ca="1">SUMIFS('recurring2_based on steps'!$B144:$AY144,'recurring2_based on steps'!$B$1:$AY$1,P$1)+SUMIFS('changes2_based on steps'!$B144:$U144,'changes2_based on steps'!$B$1:$U$1,P$1)</f>
        <v>0</v>
      </c>
      <c r="Q144" s="140">
        <f ca="1">SUMIFS('recurring2_based on steps'!$B144:$AY144,'recurring2_based on steps'!$B$1:$AY$1,Q$1)+SUMIFS('changes2_based on steps'!$B144:$U144,'changes2_based on steps'!$B$1:$U$1,Q$1)</f>
        <v>5.5401662049861494E-2</v>
      </c>
      <c r="R144" s="140">
        <f ca="1">SUMIFS('recurring2_based on steps'!$B144:$AY144,'recurring2_based on steps'!$B$1:$AY$1,R$1)+SUMIFS('changes2_based on steps'!$B144:$U144,'changes2_based on steps'!$B$1:$U$1,R$1)</f>
        <v>0</v>
      </c>
      <c r="S144" s="140">
        <f>SUMIFS('recurring2_based on steps'!$B144:$AY144,'recurring2_based on steps'!$B$1:$AY$1,S$1)+SUMIFS('changes2_based on steps'!$B144:$U144,'changes2_based on steps'!$B$1:$U$1,S$1)</f>
        <v>0</v>
      </c>
      <c r="T144" s="140">
        <f ca="1">SUMIFS('recurring2_based on steps'!$B144:$AY144,'recurring2_based on steps'!$B$1:$AY$1,T$1)+SUMIFS('changes2_based on steps'!$B144:$U144,'changes2_based on steps'!$B$1:$U$1,T$1)</f>
        <v>0</v>
      </c>
      <c r="U144" s="140">
        <f ca="1">SUMIFS('recurring2_based on steps'!$B144:$AY144,'recurring2_based on steps'!$B$1:$AY$1,U$1)+SUMIFS('changes2_based on steps'!$B144:$U144,'changes2_based on steps'!$B$1:$U$1,U$1)</f>
        <v>0</v>
      </c>
      <c r="V144" s="140">
        <f>SUMIFS('recurring2_based on steps'!$B144:$AY144,'recurring2_based on steps'!$B$1:$AY$1,V$1)+SUMIFS('changes2_based on steps'!$B144:$U144,'changes2_based on steps'!$B$1:$U$1,V$1)</f>
        <v>0</v>
      </c>
      <c r="W144" s="140">
        <f>SUMIFS('recurring2_based on steps'!$B144:$AY144,'recurring2_based on steps'!$B$1:$AY$1,W$1)+SUMIFS('changes2_based on steps'!$B144:$U144,'changes2_based on steps'!$B$1:$U$1,W$1)</f>
        <v>0</v>
      </c>
      <c r="X144" s="140">
        <f ca="1">SUMIFS('recurring2_based on steps'!$B144:$AY144,'recurring2_based on steps'!$B$1:$AY$1,X$1)+SUMIFS('changes2_based on steps'!$B144:$U144,'changes2_based on steps'!$B$1:$U$1,X$1)</f>
        <v>0</v>
      </c>
      <c r="Y144" s="140">
        <f ca="1">SUMIFS('recurring2_based on steps'!$B144:$AY144,'recurring2_based on steps'!$B$1:$AY$1,Y$1)+SUMIFS('changes2_based on steps'!$B144:$U144,'changes2_based on steps'!$B$1:$U$1,Y$1)</f>
        <v>0</v>
      </c>
      <c r="Z144" s="140">
        <f>SUMIFS('recurring2_based on steps'!$B144:$AY144,'recurring2_based on steps'!$B$1:$AY$1,Z$1)+SUMIFS('changes2_based on steps'!$B144:$U144,'changes2_based on steps'!$B$1:$U$1,Z$1)</f>
        <v>0</v>
      </c>
      <c r="AA144" s="140">
        <f ca="1">SUMIFS('recurring2_based on steps'!$B144:$AY144,'recurring2_based on steps'!$B$1:$AY$1,AA$1)+SUMIFS('changes2_based on steps'!$B144:$U144,'changes2_based on steps'!$B$1:$U$1,AA$1)</f>
        <v>0</v>
      </c>
      <c r="AB144" s="140">
        <f ca="1">SUMIFS('recurring2_based on steps'!$B144:$AY144,'recurring2_based on steps'!$B$1:$AY$1,AB$1)+SUMIFS('changes2_based on steps'!$B144:$U144,'changes2_based on steps'!$B$1:$U$1,AB$1)</f>
        <v>0</v>
      </c>
      <c r="AC144" s="140">
        <f ca="1">SUMIFS('recurring2_based on steps'!$B144:$AY144,'recurring2_based on steps'!$B$1:$AY$1,AC$1)+SUMIFS('changes2_based on steps'!$B144:$U144,'changes2_based on steps'!$B$1:$U$1,AC$1)</f>
        <v>0</v>
      </c>
      <c r="AD144" s="140">
        <f ca="1">SUMIFS('recurring2_based on steps'!$B144:$AY144,'recurring2_based on steps'!$B$1:$AY$1,AD$1)+SUMIFS('changes2_based on steps'!$B144:$U144,'changes2_based on steps'!$B$1:$U$1,AD$1)</f>
        <v>0</v>
      </c>
      <c r="AE144" s="140">
        <f>SUMIFS('recurring2_based on steps'!$B144:$AY144,'recurring2_based on steps'!$B$1:$AY$1,AE$1)+SUMIFS('changes2_based on steps'!$B144:$U144,'changes2_based on steps'!$B$1:$U$1,AE$1)</f>
        <v>0</v>
      </c>
      <c r="AF144" s="140"/>
      <c r="AG144" s="140"/>
      <c r="AH144" s="140"/>
      <c r="AI144" s="140"/>
      <c r="AJ144" s="140"/>
      <c r="AK144" s="140"/>
      <c r="AL144" s="140"/>
      <c r="AM144" s="140"/>
    </row>
    <row r="145" spans="1:39" x14ac:dyDescent="0.2">
      <c r="A145" s="29">
        <f t="shared" ca="1" si="2"/>
        <v>45885</v>
      </c>
      <c r="B145" s="140">
        <f ca="1">SUMIFS('recurring2_based on steps'!$B145:$AY145,'recurring2_based on steps'!$B$1:$AY$1,B$1)+SUMIFS('changes2_based on steps'!$B145:$U145,'changes2_based on steps'!$B$1:$U$1,B$1)</f>
        <v>0</v>
      </c>
      <c r="C145" s="140">
        <f>SUMIFS('recurring2_based on steps'!$B145:$AY145,'recurring2_based on steps'!$B$1:$AY$1,C$1)+SUMIFS('changes2_based on steps'!$B145:$U145,'changes2_based on steps'!$B$1:$U$1,C$1)</f>
        <v>0</v>
      </c>
      <c r="D145" s="140">
        <f>SUMIFS('recurring2_based on steps'!$B145:$AY145,'recurring2_based on steps'!$B$1:$AY$1,D$1)+SUMIFS('changes2_based on steps'!$B145:$U145,'changes2_based on steps'!$B$1:$U$1,D$1)</f>
        <v>0</v>
      </c>
      <c r="E145" s="140">
        <f>SUMIFS('recurring2_based on steps'!$B145:$AY145,'recurring2_based on steps'!$B$1:$AY$1,E$1)+SUMIFS('changes2_based on steps'!$B145:$U145,'changes2_based on steps'!$B$1:$U$1,E$1)</f>
        <v>0</v>
      </c>
      <c r="F145" s="140">
        <f>SUMIFS('recurring2_based on steps'!$B145:$AY145,'recurring2_based on steps'!$B$1:$AY$1,F$1)+SUMIFS('changes2_based on steps'!$B145:$U145,'changes2_based on steps'!$B$1:$U$1,F$1)</f>
        <v>0</v>
      </c>
      <c r="G145" s="140">
        <f>SUMIFS('recurring2_based on steps'!$B145:$AY145,'recurring2_based on steps'!$B$1:$AY$1,G$1)+SUMIFS('changes2_based on steps'!$B145:$U145,'changes2_based on steps'!$B$1:$U$1,G$1)</f>
        <v>0</v>
      </c>
      <c r="H145" s="140">
        <f>SUMIFS('recurring2_based on steps'!$B145:$AY145,'recurring2_based on steps'!$B$1:$AY$1,H$1)+SUMIFS('changes2_based on steps'!$B145:$U145,'changes2_based on steps'!$B$1:$U$1,H$1)</f>
        <v>0</v>
      </c>
      <c r="I145" s="140">
        <f>SUMIFS('recurring2_based on steps'!$B145:$AY145,'recurring2_based on steps'!$B$1:$AY$1,I$1)+SUMIFS('changes2_based on steps'!$B145:$U145,'changes2_based on steps'!$B$1:$U$1,I$1)</f>
        <v>0</v>
      </c>
      <c r="J145" s="140">
        <f ca="1">SUMIFS('recurring2_based on steps'!$B145:$AY145,'recurring2_based on steps'!$B$1:$AY$1,J$1)+SUMIFS('changes2_based on steps'!$B145:$U145,'changes2_based on steps'!$B$1:$U$1,J$1)</f>
        <v>0</v>
      </c>
      <c r="K145" s="140">
        <f>SUMIFS('recurring2_based on steps'!$B145:$AY145,'recurring2_based on steps'!$B$1:$AY$1,K$1)+SUMIFS('changes2_based on steps'!$B145:$U145,'changes2_based on steps'!$B$1:$U$1,K$1)</f>
        <v>0</v>
      </c>
      <c r="L145" s="140">
        <f>SUMIFS('recurring2_based on steps'!$B145:$AY145,'recurring2_based on steps'!$B$1:$AY$1,L$1)+SUMIFS('changes2_based on steps'!$B145:$U145,'changes2_based on steps'!$B$1:$U$1,L$1)</f>
        <v>0</v>
      </c>
      <c r="M145" s="140">
        <f>SUMIFS('recurring2_based on steps'!$B145:$AY145,'recurring2_based on steps'!$B$1:$AY$1,M$1)+SUMIFS('changes2_based on steps'!$B145:$U145,'changes2_based on steps'!$B$1:$U$1,M$1)</f>
        <v>0</v>
      </c>
      <c r="N145" s="140">
        <f ca="1">SUMIFS('recurring2_based on steps'!$B145:$AY145,'recurring2_based on steps'!$B$1:$AY$1,N$1)+SUMIFS('changes2_based on steps'!$B145:$U145,'changes2_based on steps'!$B$1:$U$1,N$1)</f>
        <v>0</v>
      </c>
      <c r="O145" s="140">
        <f>SUMIFS('recurring2_based on steps'!$B145:$AY145,'recurring2_based on steps'!$B$1:$AY$1,O$1)+SUMIFS('changes2_based on steps'!$B145:$U145,'changes2_based on steps'!$B$1:$U$1,O$1)</f>
        <v>0</v>
      </c>
      <c r="P145" s="140">
        <f ca="1">SUMIFS('recurring2_based on steps'!$B145:$AY145,'recurring2_based on steps'!$B$1:$AY$1,P$1)+SUMIFS('changes2_based on steps'!$B145:$U145,'changes2_based on steps'!$B$1:$U$1,P$1)</f>
        <v>0</v>
      </c>
      <c r="Q145" s="140">
        <f ca="1">SUMIFS('recurring2_based on steps'!$B145:$AY145,'recurring2_based on steps'!$B$1:$AY$1,Q$1)+SUMIFS('changes2_based on steps'!$B145:$U145,'changes2_based on steps'!$B$1:$U$1,Q$1)</f>
        <v>100.05540166204986</v>
      </c>
      <c r="R145" s="140">
        <f ca="1">SUMIFS('recurring2_based on steps'!$B145:$AY145,'recurring2_based on steps'!$B$1:$AY$1,R$1)+SUMIFS('changes2_based on steps'!$B145:$U145,'changes2_based on steps'!$B$1:$U$1,R$1)</f>
        <v>0</v>
      </c>
      <c r="S145" s="140">
        <f>SUMIFS('recurring2_based on steps'!$B145:$AY145,'recurring2_based on steps'!$B$1:$AY$1,S$1)+SUMIFS('changes2_based on steps'!$B145:$U145,'changes2_based on steps'!$B$1:$U$1,S$1)</f>
        <v>0</v>
      </c>
      <c r="T145" s="140">
        <f ca="1">SUMIFS('recurring2_based on steps'!$B145:$AY145,'recurring2_based on steps'!$B$1:$AY$1,T$1)+SUMIFS('changes2_based on steps'!$B145:$U145,'changes2_based on steps'!$B$1:$U$1,T$1)</f>
        <v>0</v>
      </c>
      <c r="U145" s="140">
        <f ca="1">SUMIFS('recurring2_based on steps'!$B145:$AY145,'recurring2_based on steps'!$B$1:$AY$1,U$1)+SUMIFS('changes2_based on steps'!$B145:$U145,'changes2_based on steps'!$B$1:$U$1,U$1)</f>
        <v>0</v>
      </c>
      <c r="V145" s="140">
        <f>SUMIFS('recurring2_based on steps'!$B145:$AY145,'recurring2_based on steps'!$B$1:$AY$1,V$1)+SUMIFS('changes2_based on steps'!$B145:$U145,'changes2_based on steps'!$B$1:$U$1,V$1)</f>
        <v>0</v>
      </c>
      <c r="W145" s="140">
        <f>SUMIFS('recurring2_based on steps'!$B145:$AY145,'recurring2_based on steps'!$B$1:$AY$1,W$1)+SUMIFS('changes2_based on steps'!$B145:$U145,'changes2_based on steps'!$B$1:$U$1,W$1)</f>
        <v>0</v>
      </c>
      <c r="X145" s="140">
        <f ca="1">SUMIFS('recurring2_based on steps'!$B145:$AY145,'recurring2_based on steps'!$B$1:$AY$1,X$1)+SUMIFS('changes2_based on steps'!$B145:$U145,'changes2_based on steps'!$B$1:$U$1,X$1)</f>
        <v>0</v>
      </c>
      <c r="Y145" s="140">
        <f ca="1">SUMIFS('recurring2_based on steps'!$B145:$AY145,'recurring2_based on steps'!$B$1:$AY$1,Y$1)+SUMIFS('changes2_based on steps'!$B145:$U145,'changes2_based on steps'!$B$1:$U$1,Y$1)</f>
        <v>0</v>
      </c>
      <c r="Z145" s="140">
        <f>SUMIFS('recurring2_based on steps'!$B145:$AY145,'recurring2_based on steps'!$B$1:$AY$1,Z$1)+SUMIFS('changes2_based on steps'!$B145:$U145,'changes2_based on steps'!$B$1:$U$1,Z$1)</f>
        <v>0</v>
      </c>
      <c r="AA145" s="140">
        <f ca="1">SUMIFS('recurring2_based on steps'!$B145:$AY145,'recurring2_based on steps'!$B$1:$AY$1,AA$1)+SUMIFS('changes2_based on steps'!$B145:$U145,'changes2_based on steps'!$B$1:$U$1,AA$1)</f>
        <v>0</v>
      </c>
      <c r="AB145" s="140">
        <f ca="1">SUMIFS('recurring2_based on steps'!$B145:$AY145,'recurring2_based on steps'!$B$1:$AY$1,AB$1)+SUMIFS('changes2_based on steps'!$B145:$U145,'changes2_based on steps'!$B$1:$U$1,AB$1)</f>
        <v>100</v>
      </c>
      <c r="AC145" s="140">
        <f ca="1">SUMIFS('recurring2_based on steps'!$B145:$AY145,'recurring2_based on steps'!$B$1:$AY$1,AC$1)+SUMIFS('changes2_based on steps'!$B145:$U145,'changes2_based on steps'!$B$1:$U$1,AC$1)</f>
        <v>0</v>
      </c>
      <c r="AD145" s="140">
        <f ca="1">SUMIFS('recurring2_based on steps'!$B145:$AY145,'recurring2_based on steps'!$B$1:$AY$1,AD$1)+SUMIFS('changes2_based on steps'!$B145:$U145,'changes2_based on steps'!$B$1:$U$1,AD$1)</f>
        <v>0</v>
      </c>
      <c r="AE145" s="140">
        <f>SUMIFS('recurring2_based on steps'!$B145:$AY145,'recurring2_based on steps'!$B$1:$AY$1,AE$1)+SUMIFS('changes2_based on steps'!$B145:$U145,'changes2_based on steps'!$B$1:$U$1,AE$1)</f>
        <v>0</v>
      </c>
      <c r="AF145" s="140"/>
      <c r="AG145" s="140"/>
      <c r="AH145" s="140"/>
      <c r="AI145" s="140"/>
      <c r="AJ145" s="140"/>
      <c r="AK145" s="140"/>
      <c r="AL145" s="140"/>
      <c r="AM145" s="140"/>
    </row>
    <row r="146" spans="1:39" x14ac:dyDescent="0.2">
      <c r="A146" s="29">
        <f t="shared" ca="1" si="2"/>
        <v>45886</v>
      </c>
      <c r="B146" s="140">
        <f ca="1">SUMIFS('recurring2_based on steps'!$B146:$AY146,'recurring2_based on steps'!$B$1:$AY$1,B$1)+SUMIFS('changes2_based on steps'!$B146:$U146,'changes2_based on steps'!$B$1:$U$1,B$1)</f>
        <v>0</v>
      </c>
      <c r="C146" s="140">
        <f>SUMIFS('recurring2_based on steps'!$B146:$AY146,'recurring2_based on steps'!$B$1:$AY$1,C$1)+SUMIFS('changes2_based on steps'!$B146:$U146,'changes2_based on steps'!$B$1:$U$1,C$1)</f>
        <v>0</v>
      </c>
      <c r="D146" s="140">
        <f>SUMIFS('recurring2_based on steps'!$B146:$AY146,'recurring2_based on steps'!$B$1:$AY$1,D$1)+SUMIFS('changes2_based on steps'!$B146:$U146,'changes2_based on steps'!$B$1:$U$1,D$1)</f>
        <v>0</v>
      </c>
      <c r="E146" s="140">
        <f>SUMIFS('recurring2_based on steps'!$B146:$AY146,'recurring2_based on steps'!$B$1:$AY$1,E$1)+SUMIFS('changes2_based on steps'!$B146:$U146,'changes2_based on steps'!$B$1:$U$1,E$1)</f>
        <v>0</v>
      </c>
      <c r="F146" s="140">
        <f>SUMIFS('recurring2_based on steps'!$B146:$AY146,'recurring2_based on steps'!$B$1:$AY$1,F$1)+SUMIFS('changes2_based on steps'!$B146:$U146,'changes2_based on steps'!$B$1:$U$1,F$1)</f>
        <v>0</v>
      </c>
      <c r="G146" s="140">
        <f>SUMIFS('recurring2_based on steps'!$B146:$AY146,'recurring2_based on steps'!$B$1:$AY$1,G$1)+SUMIFS('changes2_based on steps'!$B146:$U146,'changes2_based on steps'!$B$1:$U$1,G$1)</f>
        <v>0</v>
      </c>
      <c r="H146" s="140">
        <f>SUMIFS('recurring2_based on steps'!$B146:$AY146,'recurring2_based on steps'!$B$1:$AY$1,H$1)+SUMIFS('changes2_based on steps'!$B146:$U146,'changes2_based on steps'!$B$1:$U$1,H$1)</f>
        <v>0</v>
      </c>
      <c r="I146" s="140">
        <f>SUMIFS('recurring2_based on steps'!$B146:$AY146,'recurring2_based on steps'!$B$1:$AY$1,I$1)+SUMIFS('changes2_based on steps'!$B146:$U146,'changes2_based on steps'!$B$1:$U$1,I$1)</f>
        <v>0</v>
      </c>
      <c r="J146" s="140">
        <f ca="1">SUMIFS('recurring2_based on steps'!$B146:$AY146,'recurring2_based on steps'!$B$1:$AY$1,J$1)+SUMIFS('changes2_based on steps'!$B146:$U146,'changes2_based on steps'!$B$1:$U$1,J$1)</f>
        <v>200</v>
      </c>
      <c r="K146" s="140">
        <f>SUMIFS('recurring2_based on steps'!$B146:$AY146,'recurring2_based on steps'!$B$1:$AY$1,K$1)+SUMIFS('changes2_based on steps'!$B146:$U146,'changes2_based on steps'!$B$1:$U$1,K$1)</f>
        <v>0</v>
      </c>
      <c r="L146" s="140">
        <f>SUMIFS('recurring2_based on steps'!$B146:$AY146,'recurring2_based on steps'!$B$1:$AY$1,L$1)+SUMIFS('changes2_based on steps'!$B146:$U146,'changes2_based on steps'!$B$1:$U$1,L$1)</f>
        <v>0</v>
      </c>
      <c r="M146" s="140">
        <f>SUMIFS('recurring2_based on steps'!$B146:$AY146,'recurring2_based on steps'!$B$1:$AY$1,M$1)+SUMIFS('changes2_based on steps'!$B146:$U146,'changes2_based on steps'!$B$1:$U$1,M$1)</f>
        <v>0</v>
      </c>
      <c r="N146" s="140">
        <f ca="1">SUMIFS('recurring2_based on steps'!$B146:$AY146,'recurring2_based on steps'!$B$1:$AY$1,N$1)+SUMIFS('changes2_based on steps'!$B146:$U146,'changes2_based on steps'!$B$1:$U$1,N$1)</f>
        <v>0</v>
      </c>
      <c r="O146" s="140">
        <f>SUMIFS('recurring2_based on steps'!$B146:$AY146,'recurring2_based on steps'!$B$1:$AY$1,O$1)+SUMIFS('changes2_based on steps'!$B146:$U146,'changes2_based on steps'!$B$1:$U$1,O$1)</f>
        <v>0</v>
      </c>
      <c r="P146" s="140">
        <f ca="1">SUMIFS('recurring2_based on steps'!$B146:$AY146,'recurring2_based on steps'!$B$1:$AY$1,P$1)+SUMIFS('changes2_based on steps'!$B146:$U146,'changes2_based on steps'!$B$1:$U$1,P$1)</f>
        <v>0</v>
      </c>
      <c r="Q146" s="140">
        <f ca="1">SUMIFS('recurring2_based on steps'!$B146:$AY146,'recurring2_based on steps'!$B$1:$AY$1,Q$1)+SUMIFS('changes2_based on steps'!$B146:$U146,'changes2_based on steps'!$B$1:$U$1,Q$1)</f>
        <v>100.05540166204986</v>
      </c>
      <c r="R146" s="140">
        <f ca="1">SUMIFS('recurring2_based on steps'!$B146:$AY146,'recurring2_based on steps'!$B$1:$AY$1,R$1)+SUMIFS('changes2_based on steps'!$B146:$U146,'changes2_based on steps'!$B$1:$U$1,R$1)</f>
        <v>15.49</v>
      </c>
      <c r="S146" s="140">
        <f>SUMIFS('recurring2_based on steps'!$B146:$AY146,'recurring2_based on steps'!$B$1:$AY$1,S$1)+SUMIFS('changes2_based on steps'!$B146:$U146,'changes2_based on steps'!$B$1:$U$1,S$1)</f>
        <v>0</v>
      </c>
      <c r="T146" s="140">
        <f ca="1">SUMIFS('recurring2_based on steps'!$B146:$AY146,'recurring2_based on steps'!$B$1:$AY$1,T$1)+SUMIFS('changes2_based on steps'!$B146:$U146,'changes2_based on steps'!$B$1:$U$1,T$1)</f>
        <v>0</v>
      </c>
      <c r="U146" s="140">
        <f ca="1">SUMIFS('recurring2_based on steps'!$B146:$AY146,'recurring2_based on steps'!$B$1:$AY$1,U$1)+SUMIFS('changes2_based on steps'!$B146:$U146,'changes2_based on steps'!$B$1:$U$1,U$1)</f>
        <v>0</v>
      </c>
      <c r="V146" s="140">
        <f>SUMIFS('recurring2_based on steps'!$B146:$AY146,'recurring2_based on steps'!$B$1:$AY$1,V$1)+SUMIFS('changes2_based on steps'!$B146:$U146,'changes2_based on steps'!$B$1:$U$1,V$1)</f>
        <v>0</v>
      </c>
      <c r="W146" s="140">
        <f>SUMIFS('recurring2_based on steps'!$B146:$AY146,'recurring2_based on steps'!$B$1:$AY$1,W$1)+SUMIFS('changes2_based on steps'!$B146:$U146,'changes2_based on steps'!$B$1:$U$1,W$1)</f>
        <v>0</v>
      </c>
      <c r="X146" s="140">
        <f ca="1">SUMIFS('recurring2_based on steps'!$B146:$AY146,'recurring2_based on steps'!$B$1:$AY$1,X$1)+SUMIFS('changes2_based on steps'!$B146:$U146,'changes2_based on steps'!$B$1:$U$1,X$1)</f>
        <v>0</v>
      </c>
      <c r="Y146" s="140">
        <f ca="1">SUMIFS('recurring2_based on steps'!$B146:$AY146,'recurring2_based on steps'!$B$1:$AY$1,Y$1)+SUMIFS('changes2_based on steps'!$B146:$U146,'changes2_based on steps'!$B$1:$U$1,Y$1)</f>
        <v>50</v>
      </c>
      <c r="Z146" s="140">
        <f>SUMIFS('recurring2_based on steps'!$B146:$AY146,'recurring2_based on steps'!$B$1:$AY$1,Z$1)+SUMIFS('changes2_based on steps'!$B146:$U146,'changes2_based on steps'!$B$1:$U$1,Z$1)</f>
        <v>0</v>
      </c>
      <c r="AA146" s="140">
        <f ca="1">SUMIFS('recurring2_based on steps'!$B146:$AY146,'recurring2_based on steps'!$B$1:$AY$1,AA$1)+SUMIFS('changes2_based on steps'!$B146:$U146,'changes2_based on steps'!$B$1:$U$1,AA$1)</f>
        <v>0</v>
      </c>
      <c r="AB146" s="140">
        <f ca="1">SUMIFS('recurring2_based on steps'!$B146:$AY146,'recurring2_based on steps'!$B$1:$AY$1,AB$1)+SUMIFS('changes2_based on steps'!$B146:$U146,'changes2_based on steps'!$B$1:$U$1,AB$1)</f>
        <v>0</v>
      </c>
      <c r="AC146" s="140">
        <f ca="1">SUMIFS('recurring2_based on steps'!$B146:$AY146,'recurring2_based on steps'!$B$1:$AY$1,AC$1)+SUMIFS('changes2_based on steps'!$B146:$U146,'changes2_based on steps'!$B$1:$U$1,AC$1)</f>
        <v>0</v>
      </c>
      <c r="AD146" s="140">
        <f ca="1">SUMIFS('recurring2_based on steps'!$B146:$AY146,'recurring2_based on steps'!$B$1:$AY$1,AD$1)+SUMIFS('changes2_based on steps'!$B146:$U146,'changes2_based on steps'!$B$1:$U$1,AD$1)</f>
        <v>0</v>
      </c>
      <c r="AE146" s="140">
        <f>SUMIFS('recurring2_based on steps'!$B146:$AY146,'recurring2_based on steps'!$B$1:$AY$1,AE$1)+SUMIFS('changes2_based on steps'!$B146:$U146,'changes2_based on steps'!$B$1:$U$1,AE$1)</f>
        <v>0</v>
      </c>
      <c r="AF146" s="140"/>
      <c r="AG146" s="140"/>
      <c r="AH146" s="140"/>
      <c r="AI146" s="140"/>
      <c r="AJ146" s="140"/>
      <c r="AK146" s="140"/>
      <c r="AL146" s="140"/>
      <c r="AM146" s="140"/>
    </row>
    <row r="147" spans="1:39" x14ac:dyDescent="0.2">
      <c r="A147" s="29">
        <f t="shared" ca="1" si="2"/>
        <v>45887</v>
      </c>
      <c r="B147" s="140">
        <f ca="1">SUMIFS('recurring2_based on steps'!$B147:$AY147,'recurring2_based on steps'!$B$1:$AY$1,B$1)+SUMIFS('changes2_based on steps'!$B147:$U147,'changes2_based on steps'!$B$1:$U$1,B$1)</f>
        <v>0</v>
      </c>
      <c r="C147" s="140">
        <f>SUMIFS('recurring2_based on steps'!$B147:$AY147,'recurring2_based on steps'!$B$1:$AY$1,C$1)+SUMIFS('changes2_based on steps'!$B147:$U147,'changes2_based on steps'!$B$1:$U$1,C$1)</f>
        <v>0</v>
      </c>
      <c r="D147" s="140">
        <f>SUMIFS('recurring2_based on steps'!$B147:$AY147,'recurring2_based on steps'!$B$1:$AY$1,D$1)+SUMIFS('changes2_based on steps'!$B147:$U147,'changes2_based on steps'!$B$1:$U$1,D$1)</f>
        <v>0</v>
      </c>
      <c r="E147" s="140">
        <f>SUMIFS('recurring2_based on steps'!$B147:$AY147,'recurring2_based on steps'!$B$1:$AY$1,E$1)+SUMIFS('changes2_based on steps'!$B147:$U147,'changes2_based on steps'!$B$1:$U$1,E$1)</f>
        <v>0</v>
      </c>
      <c r="F147" s="140">
        <f>SUMIFS('recurring2_based on steps'!$B147:$AY147,'recurring2_based on steps'!$B$1:$AY$1,F$1)+SUMIFS('changes2_based on steps'!$B147:$U147,'changes2_based on steps'!$B$1:$U$1,F$1)</f>
        <v>0</v>
      </c>
      <c r="G147" s="140">
        <f>SUMIFS('recurring2_based on steps'!$B147:$AY147,'recurring2_based on steps'!$B$1:$AY$1,G$1)+SUMIFS('changes2_based on steps'!$B147:$U147,'changes2_based on steps'!$B$1:$U$1,G$1)</f>
        <v>0</v>
      </c>
      <c r="H147" s="140">
        <f>SUMIFS('recurring2_based on steps'!$B147:$AY147,'recurring2_based on steps'!$B$1:$AY$1,H$1)+SUMIFS('changes2_based on steps'!$B147:$U147,'changes2_based on steps'!$B$1:$U$1,H$1)</f>
        <v>0</v>
      </c>
      <c r="I147" s="140">
        <f>SUMIFS('recurring2_based on steps'!$B147:$AY147,'recurring2_based on steps'!$B$1:$AY$1,I$1)+SUMIFS('changes2_based on steps'!$B147:$U147,'changes2_based on steps'!$B$1:$U$1,I$1)</f>
        <v>0</v>
      </c>
      <c r="J147" s="140">
        <f ca="1">SUMIFS('recurring2_based on steps'!$B147:$AY147,'recurring2_based on steps'!$B$1:$AY$1,J$1)+SUMIFS('changes2_based on steps'!$B147:$U147,'changes2_based on steps'!$B$1:$U$1,J$1)</f>
        <v>0</v>
      </c>
      <c r="K147" s="140">
        <f>SUMIFS('recurring2_based on steps'!$B147:$AY147,'recurring2_based on steps'!$B$1:$AY$1,K$1)+SUMIFS('changes2_based on steps'!$B147:$U147,'changes2_based on steps'!$B$1:$U$1,K$1)</f>
        <v>0</v>
      </c>
      <c r="L147" s="140">
        <f>SUMIFS('recurring2_based on steps'!$B147:$AY147,'recurring2_based on steps'!$B$1:$AY$1,L$1)+SUMIFS('changes2_based on steps'!$B147:$U147,'changes2_based on steps'!$B$1:$U$1,L$1)</f>
        <v>0</v>
      </c>
      <c r="M147" s="140">
        <f>SUMIFS('recurring2_based on steps'!$B147:$AY147,'recurring2_based on steps'!$B$1:$AY$1,M$1)+SUMIFS('changes2_based on steps'!$B147:$U147,'changes2_based on steps'!$B$1:$U$1,M$1)</f>
        <v>0</v>
      </c>
      <c r="N147" s="140">
        <f ca="1">SUMIFS('recurring2_based on steps'!$B147:$AY147,'recurring2_based on steps'!$B$1:$AY$1,N$1)+SUMIFS('changes2_based on steps'!$B147:$U147,'changes2_based on steps'!$B$1:$U$1,N$1)</f>
        <v>0</v>
      </c>
      <c r="O147" s="140">
        <f>SUMIFS('recurring2_based on steps'!$B147:$AY147,'recurring2_based on steps'!$B$1:$AY$1,O$1)+SUMIFS('changes2_based on steps'!$B147:$U147,'changes2_based on steps'!$B$1:$U$1,O$1)</f>
        <v>0</v>
      </c>
      <c r="P147" s="140">
        <f ca="1">SUMIFS('recurring2_based on steps'!$B147:$AY147,'recurring2_based on steps'!$B$1:$AY$1,P$1)+SUMIFS('changes2_based on steps'!$B147:$U147,'changes2_based on steps'!$B$1:$U$1,P$1)</f>
        <v>0</v>
      </c>
      <c r="Q147" s="140">
        <f ca="1">SUMIFS('recurring2_based on steps'!$B147:$AY147,'recurring2_based on steps'!$B$1:$AY$1,Q$1)+SUMIFS('changes2_based on steps'!$B147:$U147,'changes2_based on steps'!$B$1:$U$1,Q$1)</f>
        <v>5.5401662049861494E-2</v>
      </c>
      <c r="R147" s="140">
        <f ca="1">SUMIFS('recurring2_based on steps'!$B147:$AY147,'recurring2_based on steps'!$B$1:$AY$1,R$1)+SUMIFS('changes2_based on steps'!$B147:$U147,'changes2_based on steps'!$B$1:$U$1,R$1)</f>
        <v>10.99</v>
      </c>
      <c r="S147" s="140">
        <f>SUMIFS('recurring2_based on steps'!$B147:$AY147,'recurring2_based on steps'!$B$1:$AY$1,S$1)+SUMIFS('changes2_based on steps'!$B147:$U147,'changes2_based on steps'!$B$1:$U$1,S$1)</f>
        <v>0</v>
      </c>
      <c r="T147" s="140">
        <f ca="1">SUMIFS('recurring2_based on steps'!$B147:$AY147,'recurring2_based on steps'!$B$1:$AY$1,T$1)+SUMIFS('changes2_based on steps'!$B147:$U147,'changes2_based on steps'!$B$1:$U$1,T$1)</f>
        <v>0</v>
      </c>
      <c r="U147" s="140">
        <f ca="1">SUMIFS('recurring2_based on steps'!$B147:$AY147,'recurring2_based on steps'!$B$1:$AY$1,U$1)+SUMIFS('changes2_based on steps'!$B147:$U147,'changes2_based on steps'!$B$1:$U$1,U$1)</f>
        <v>0</v>
      </c>
      <c r="V147" s="140">
        <f>SUMIFS('recurring2_based on steps'!$B147:$AY147,'recurring2_based on steps'!$B$1:$AY$1,V$1)+SUMIFS('changes2_based on steps'!$B147:$U147,'changes2_based on steps'!$B$1:$U$1,V$1)</f>
        <v>0</v>
      </c>
      <c r="W147" s="140">
        <f>SUMIFS('recurring2_based on steps'!$B147:$AY147,'recurring2_based on steps'!$B$1:$AY$1,W$1)+SUMIFS('changes2_based on steps'!$B147:$U147,'changes2_based on steps'!$B$1:$U$1,W$1)</f>
        <v>0</v>
      </c>
      <c r="X147" s="140">
        <f ca="1">SUMIFS('recurring2_based on steps'!$B147:$AY147,'recurring2_based on steps'!$B$1:$AY$1,X$1)+SUMIFS('changes2_based on steps'!$B147:$U147,'changes2_based on steps'!$B$1:$U$1,X$1)</f>
        <v>0</v>
      </c>
      <c r="Y147" s="140">
        <f ca="1">SUMIFS('recurring2_based on steps'!$B147:$AY147,'recurring2_based on steps'!$B$1:$AY$1,Y$1)+SUMIFS('changes2_based on steps'!$B147:$U147,'changes2_based on steps'!$B$1:$U$1,Y$1)</f>
        <v>0</v>
      </c>
      <c r="Z147" s="140">
        <f>SUMIFS('recurring2_based on steps'!$B147:$AY147,'recurring2_based on steps'!$B$1:$AY$1,Z$1)+SUMIFS('changes2_based on steps'!$B147:$U147,'changes2_based on steps'!$B$1:$U$1,Z$1)</f>
        <v>0</v>
      </c>
      <c r="AA147" s="140">
        <f ca="1">SUMIFS('recurring2_based on steps'!$B147:$AY147,'recurring2_based on steps'!$B$1:$AY$1,AA$1)+SUMIFS('changes2_based on steps'!$B147:$U147,'changes2_based on steps'!$B$1:$U$1,AA$1)</f>
        <v>0</v>
      </c>
      <c r="AB147" s="140">
        <f ca="1">SUMIFS('recurring2_based on steps'!$B147:$AY147,'recurring2_based on steps'!$B$1:$AY$1,AB$1)+SUMIFS('changes2_based on steps'!$B147:$U147,'changes2_based on steps'!$B$1:$U$1,AB$1)</f>
        <v>0</v>
      </c>
      <c r="AC147" s="140">
        <f ca="1">SUMIFS('recurring2_based on steps'!$B147:$AY147,'recurring2_based on steps'!$B$1:$AY$1,AC$1)+SUMIFS('changes2_based on steps'!$B147:$U147,'changes2_based on steps'!$B$1:$U$1,AC$1)</f>
        <v>0</v>
      </c>
      <c r="AD147" s="140">
        <f ca="1">SUMIFS('recurring2_based on steps'!$B147:$AY147,'recurring2_based on steps'!$B$1:$AY$1,AD$1)+SUMIFS('changes2_based on steps'!$B147:$U147,'changes2_based on steps'!$B$1:$U$1,AD$1)</f>
        <v>0</v>
      </c>
      <c r="AE147" s="140">
        <f>SUMIFS('recurring2_based on steps'!$B147:$AY147,'recurring2_based on steps'!$B$1:$AY$1,AE$1)+SUMIFS('changes2_based on steps'!$B147:$U147,'changes2_based on steps'!$B$1:$U$1,AE$1)</f>
        <v>0</v>
      </c>
      <c r="AF147" s="140"/>
      <c r="AG147" s="140"/>
      <c r="AH147" s="140"/>
      <c r="AI147" s="140"/>
      <c r="AJ147" s="140"/>
      <c r="AK147" s="140"/>
      <c r="AL147" s="140"/>
      <c r="AM147" s="140"/>
    </row>
    <row r="148" spans="1:39" x14ac:dyDescent="0.2">
      <c r="A148" s="29">
        <f t="shared" ca="1" si="2"/>
        <v>45888</v>
      </c>
      <c r="B148" s="140">
        <f ca="1">SUMIFS('recurring2_based on steps'!$B148:$AY148,'recurring2_based on steps'!$B$1:$AY$1,B$1)+SUMIFS('changes2_based on steps'!$B148:$U148,'changes2_based on steps'!$B$1:$U$1,B$1)</f>
        <v>0</v>
      </c>
      <c r="C148" s="140">
        <f>SUMIFS('recurring2_based on steps'!$B148:$AY148,'recurring2_based on steps'!$B$1:$AY$1,C$1)+SUMIFS('changes2_based on steps'!$B148:$U148,'changes2_based on steps'!$B$1:$U$1,C$1)</f>
        <v>0</v>
      </c>
      <c r="D148" s="140">
        <f>SUMIFS('recurring2_based on steps'!$B148:$AY148,'recurring2_based on steps'!$B$1:$AY$1,D$1)+SUMIFS('changes2_based on steps'!$B148:$U148,'changes2_based on steps'!$B$1:$U$1,D$1)</f>
        <v>0</v>
      </c>
      <c r="E148" s="140">
        <f>SUMIFS('recurring2_based on steps'!$B148:$AY148,'recurring2_based on steps'!$B$1:$AY$1,E$1)+SUMIFS('changes2_based on steps'!$B148:$U148,'changes2_based on steps'!$B$1:$U$1,E$1)</f>
        <v>0</v>
      </c>
      <c r="F148" s="140">
        <f>SUMIFS('recurring2_based on steps'!$B148:$AY148,'recurring2_based on steps'!$B$1:$AY$1,F$1)+SUMIFS('changes2_based on steps'!$B148:$U148,'changes2_based on steps'!$B$1:$U$1,F$1)</f>
        <v>0</v>
      </c>
      <c r="G148" s="140">
        <f>SUMIFS('recurring2_based on steps'!$B148:$AY148,'recurring2_based on steps'!$B$1:$AY$1,G$1)+SUMIFS('changes2_based on steps'!$B148:$U148,'changes2_based on steps'!$B$1:$U$1,G$1)</f>
        <v>0</v>
      </c>
      <c r="H148" s="140">
        <f>SUMIFS('recurring2_based on steps'!$B148:$AY148,'recurring2_based on steps'!$B$1:$AY$1,H$1)+SUMIFS('changes2_based on steps'!$B148:$U148,'changes2_based on steps'!$B$1:$U$1,H$1)</f>
        <v>0</v>
      </c>
      <c r="I148" s="140">
        <f>SUMIFS('recurring2_based on steps'!$B148:$AY148,'recurring2_based on steps'!$B$1:$AY$1,I$1)+SUMIFS('changes2_based on steps'!$B148:$U148,'changes2_based on steps'!$B$1:$U$1,I$1)</f>
        <v>0</v>
      </c>
      <c r="J148" s="140">
        <f ca="1">SUMIFS('recurring2_based on steps'!$B148:$AY148,'recurring2_based on steps'!$B$1:$AY$1,J$1)+SUMIFS('changes2_based on steps'!$B148:$U148,'changes2_based on steps'!$B$1:$U$1,J$1)</f>
        <v>0</v>
      </c>
      <c r="K148" s="140">
        <f>SUMIFS('recurring2_based on steps'!$B148:$AY148,'recurring2_based on steps'!$B$1:$AY$1,K$1)+SUMIFS('changes2_based on steps'!$B148:$U148,'changes2_based on steps'!$B$1:$U$1,K$1)</f>
        <v>0</v>
      </c>
      <c r="L148" s="140">
        <f>SUMIFS('recurring2_based on steps'!$B148:$AY148,'recurring2_based on steps'!$B$1:$AY$1,L$1)+SUMIFS('changes2_based on steps'!$B148:$U148,'changes2_based on steps'!$B$1:$U$1,L$1)</f>
        <v>0</v>
      </c>
      <c r="M148" s="140">
        <f>SUMIFS('recurring2_based on steps'!$B148:$AY148,'recurring2_based on steps'!$B$1:$AY$1,M$1)+SUMIFS('changes2_based on steps'!$B148:$U148,'changes2_based on steps'!$B$1:$U$1,M$1)</f>
        <v>0</v>
      </c>
      <c r="N148" s="140">
        <f ca="1">SUMIFS('recurring2_based on steps'!$B148:$AY148,'recurring2_based on steps'!$B$1:$AY$1,N$1)+SUMIFS('changes2_based on steps'!$B148:$U148,'changes2_based on steps'!$B$1:$U$1,N$1)</f>
        <v>0</v>
      </c>
      <c r="O148" s="140">
        <f>SUMIFS('recurring2_based on steps'!$B148:$AY148,'recurring2_based on steps'!$B$1:$AY$1,O$1)+SUMIFS('changes2_based on steps'!$B148:$U148,'changes2_based on steps'!$B$1:$U$1,O$1)</f>
        <v>0</v>
      </c>
      <c r="P148" s="140">
        <f ca="1">SUMIFS('recurring2_based on steps'!$B148:$AY148,'recurring2_based on steps'!$B$1:$AY$1,P$1)+SUMIFS('changes2_based on steps'!$B148:$U148,'changes2_based on steps'!$B$1:$U$1,P$1)</f>
        <v>0</v>
      </c>
      <c r="Q148" s="140">
        <f ca="1">SUMIFS('recurring2_based on steps'!$B148:$AY148,'recurring2_based on steps'!$B$1:$AY$1,Q$1)+SUMIFS('changes2_based on steps'!$B148:$U148,'changes2_based on steps'!$B$1:$U$1,Q$1)</f>
        <v>5.5401662049861494E-2</v>
      </c>
      <c r="R148" s="140">
        <f ca="1">SUMIFS('recurring2_based on steps'!$B148:$AY148,'recurring2_based on steps'!$B$1:$AY$1,R$1)+SUMIFS('changes2_based on steps'!$B148:$U148,'changes2_based on steps'!$B$1:$U$1,R$1)</f>
        <v>0</v>
      </c>
      <c r="S148" s="140">
        <f>SUMIFS('recurring2_based on steps'!$B148:$AY148,'recurring2_based on steps'!$B$1:$AY$1,S$1)+SUMIFS('changes2_based on steps'!$B148:$U148,'changes2_based on steps'!$B$1:$U$1,S$1)</f>
        <v>0</v>
      </c>
      <c r="T148" s="140">
        <f ca="1">SUMIFS('recurring2_based on steps'!$B148:$AY148,'recurring2_based on steps'!$B$1:$AY$1,T$1)+SUMIFS('changes2_based on steps'!$B148:$U148,'changes2_based on steps'!$B$1:$U$1,T$1)</f>
        <v>0</v>
      </c>
      <c r="U148" s="140">
        <f ca="1">SUMIFS('recurring2_based on steps'!$B148:$AY148,'recurring2_based on steps'!$B$1:$AY$1,U$1)+SUMIFS('changes2_based on steps'!$B148:$U148,'changes2_based on steps'!$B$1:$U$1,U$1)</f>
        <v>0</v>
      </c>
      <c r="V148" s="140">
        <f>SUMIFS('recurring2_based on steps'!$B148:$AY148,'recurring2_based on steps'!$B$1:$AY$1,V$1)+SUMIFS('changes2_based on steps'!$B148:$U148,'changes2_based on steps'!$B$1:$U$1,V$1)</f>
        <v>0</v>
      </c>
      <c r="W148" s="140">
        <f>SUMIFS('recurring2_based on steps'!$B148:$AY148,'recurring2_based on steps'!$B$1:$AY$1,W$1)+SUMIFS('changes2_based on steps'!$B148:$U148,'changes2_based on steps'!$B$1:$U$1,W$1)</f>
        <v>0</v>
      </c>
      <c r="X148" s="140">
        <f ca="1">SUMIFS('recurring2_based on steps'!$B148:$AY148,'recurring2_based on steps'!$B$1:$AY$1,X$1)+SUMIFS('changes2_based on steps'!$B148:$U148,'changes2_based on steps'!$B$1:$U$1,X$1)</f>
        <v>0</v>
      </c>
      <c r="Y148" s="140">
        <f ca="1">SUMIFS('recurring2_based on steps'!$B148:$AY148,'recurring2_based on steps'!$B$1:$AY$1,Y$1)+SUMIFS('changes2_based on steps'!$B148:$U148,'changes2_based on steps'!$B$1:$U$1,Y$1)</f>
        <v>0</v>
      </c>
      <c r="Z148" s="140">
        <f>SUMIFS('recurring2_based on steps'!$B148:$AY148,'recurring2_based on steps'!$B$1:$AY$1,Z$1)+SUMIFS('changes2_based on steps'!$B148:$U148,'changes2_based on steps'!$B$1:$U$1,Z$1)</f>
        <v>0</v>
      </c>
      <c r="AA148" s="140">
        <f ca="1">SUMIFS('recurring2_based on steps'!$B148:$AY148,'recurring2_based on steps'!$B$1:$AY$1,AA$1)+SUMIFS('changes2_based on steps'!$B148:$U148,'changes2_based on steps'!$B$1:$U$1,AA$1)</f>
        <v>0</v>
      </c>
      <c r="AB148" s="140">
        <f ca="1">SUMIFS('recurring2_based on steps'!$B148:$AY148,'recurring2_based on steps'!$B$1:$AY$1,AB$1)+SUMIFS('changes2_based on steps'!$B148:$U148,'changes2_based on steps'!$B$1:$U$1,AB$1)</f>
        <v>0</v>
      </c>
      <c r="AC148" s="140">
        <f ca="1">SUMIFS('recurring2_based on steps'!$B148:$AY148,'recurring2_based on steps'!$B$1:$AY$1,AC$1)+SUMIFS('changes2_based on steps'!$B148:$U148,'changes2_based on steps'!$B$1:$U$1,AC$1)</f>
        <v>0</v>
      </c>
      <c r="AD148" s="140">
        <f ca="1">SUMIFS('recurring2_based on steps'!$B148:$AY148,'recurring2_based on steps'!$B$1:$AY$1,AD$1)+SUMIFS('changes2_based on steps'!$B148:$U148,'changes2_based on steps'!$B$1:$U$1,AD$1)</f>
        <v>0</v>
      </c>
      <c r="AE148" s="140">
        <f>SUMIFS('recurring2_based on steps'!$B148:$AY148,'recurring2_based on steps'!$B$1:$AY$1,AE$1)+SUMIFS('changes2_based on steps'!$B148:$U148,'changes2_based on steps'!$B$1:$U$1,AE$1)</f>
        <v>0</v>
      </c>
      <c r="AF148" s="140"/>
      <c r="AG148" s="140"/>
      <c r="AH148" s="140"/>
      <c r="AI148" s="140"/>
      <c r="AJ148" s="140"/>
      <c r="AK148" s="140"/>
      <c r="AL148" s="140"/>
      <c r="AM148" s="140"/>
    </row>
    <row r="149" spans="1:39" x14ac:dyDescent="0.2">
      <c r="A149" s="29">
        <f t="shared" ca="1" si="2"/>
        <v>45889</v>
      </c>
      <c r="B149" s="140">
        <f ca="1">SUMIFS('recurring2_based on steps'!$B149:$AY149,'recurring2_based on steps'!$B$1:$AY$1,B$1)+SUMIFS('changes2_based on steps'!$B149:$U149,'changes2_based on steps'!$B$1:$U$1,B$1)</f>
        <v>0</v>
      </c>
      <c r="C149" s="140">
        <f>SUMIFS('recurring2_based on steps'!$B149:$AY149,'recurring2_based on steps'!$B$1:$AY$1,C$1)+SUMIFS('changes2_based on steps'!$B149:$U149,'changes2_based on steps'!$B$1:$U$1,C$1)</f>
        <v>0</v>
      </c>
      <c r="D149" s="140">
        <f>SUMIFS('recurring2_based on steps'!$B149:$AY149,'recurring2_based on steps'!$B$1:$AY$1,D$1)+SUMIFS('changes2_based on steps'!$B149:$U149,'changes2_based on steps'!$B$1:$U$1,D$1)</f>
        <v>0</v>
      </c>
      <c r="E149" s="140">
        <f>SUMIFS('recurring2_based on steps'!$B149:$AY149,'recurring2_based on steps'!$B$1:$AY$1,E$1)+SUMIFS('changes2_based on steps'!$B149:$U149,'changes2_based on steps'!$B$1:$U$1,E$1)</f>
        <v>0</v>
      </c>
      <c r="F149" s="140">
        <f>SUMIFS('recurring2_based on steps'!$B149:$AY149,'recurring2_based on steps'!$B$1:$AY$1,F$1)+SUMIFS('changes2_based on steps'!$B149:$U149,'changes2_based on steps'!$B$1:$U$1,F$1)</f>
        <v>0</v>
      </c>
      <c r="G149" s="140">
        <f>SUMIFS('recurring2_based on steps'!$B149:$AY149,'recurring2_based on steps'!$B$1:$AY$1,G$1)+SUMIFS('changes2_based on steps'!$B149:$U149,'changes2_based on steps'!$B$1:$U$1,G$1)</f>
        <v>0</v>
      </c>
      <c r="H149" s="140">
        <f>SUMIFS('recurring2_based on steps'!$B149:$AY149,'recurring2_based on steps'!$B$1:$AY$1,H$1)+SUMIFS('changes2_based on steps'!$B149:$U149,'changes2_based on steps'!$B$1:$U$1,H$1)</f>
        <v>0</v>
      </c>
      <c r="I149" s="140">
        <f>SUMIFS('recurring2_based on steps'!$B149:$AY149,'recurring2_based on steps'!$B$1:$AY$1,I$1)+SUMIFS('changes2_based on steps'!$B149:$U149,'changes2_based on steps'!$B$1:$U$1,I$1)</f>
        <v>0</v>
      </c>
      <c r="J149" s="140">
        <f ca="1">SUMIFS('recurring2_based on steps'!$B149:$AY149,'recurring2_based on steps'!$B$1:$AY$1,J$1)+SUMIFS('changes2_based on steps'!$B149:$U149,'changes2_based on steps'!$B$1:$U$1,J$1)</f>
        <v>0</v>
      </c>
      <c r="K149" s="140">
        <f>SUMIFS('recurring2_based on steps'!$B149:$AY149,'recurring2_based on steps'!$B$1:$AY$1,K$1)+SUMIFS('changes2_based on steps'!$B149:$U149,'changes2_based on steps'!$B$1:$U$1,K$1)</f>
        <v>0</v>
      </c>
      <c r="L149" s="140">
        <f>SUMIFS('recurring2_based on steps'!$B149:$AY149,'recurring2_based on steps'!$B$1:$AY$1,L$1)+SUMIFS('changes2_based on steps'!$B149:$U149,'changes2_based on steps'!$B$1:$U$1,L$1)</f>
        <v>0</v>
      </c>
      <c r="M149" s="140">
        <f>SUMIFS('recurring2_based on steps'!$B149:$AY149,'recurring2_based on steps'!$B$1:$AY$1,M$1)+SUMIFS('changes2_based on steps'!$B149:$U149,'changes2_based on steps'!$B$1:$U$1,M$1)</f>
        <v>0</v>
      </c>
      <c r="N149" s="140">
        <f ca="1">SUMIFS('recurring2_based on steps'!$B149:$AY149,'recurring2_based on steps'!$B$1:$AY$1,N$1)+SUMIFS('changes2_based on steps'!$B149:$U149,'changes2_based on steps'!$B$1:$U$1,N$1)</f>
        <v>0</v>
      </c>
      <c r="O149" s="140">
        <f>SUMIFS('recurring2_based on steps'!$B149:$AY149,'recurring2_based on steps'!$B$1:$AY$1,O$1)+SUMIFS('changes2_based on steps'!$B149:$U149,'changes2_based on steps'!$B$1:$U$1,O$1)</f>
        <v>0</v>
      </c>
      <c r="P149" s="140">
        <f ca="1">SUMIFS('recurring2_based on steps'!$B149:$AY149,'recurring2_based on steps'!$B$1:$AY$1,P$1)+SUMIFS('changes2_based on steps'!$B149:$U149,'changes2_based on steps'!$B$1:$U$1,P$1)</f>
        <v>20</v>
      </c>
      <c r="Q149" s="140">
        <f ca="1">SUMIFS('recurring2_based on steps'!$B149:$AY149,'recurring2_based on steps'!$B$1:$AY$1,Q$1)+SUMIFS('changes2_based on steps'!$B149:$U149,'changes2_based on steps'!$B$1:$U$1,Q$1)</f>
        <v>5.5401662049861494E-2</v>
      </c>
      <c r="R149" s="140">
        <f ca="1">SUMIFS('recurring2_based on steps'!$B149:$AY149,'recurring2_based on steps'!$B$1:$AY$1,R$1)+SUMIFS('changes2_based on steps'!$B149:$U149,'changes2_based on steps'!$B$1:$U$1,R$1)</f>
        <v>5.8171745152354575</v>
      </c>
      <c r="S149" s="140">
        <f>SUMIFS('recurring2_based on steps'!$B149:$AY149,'recurring2_based on steps'!$B$1:$AY$1,S$1)+SUMIFS('changes2_based on steps'!$B149:$U149,'changes2_based on steps'!$B$1:$U$1,S$1)</f>
        <v>0</v>
      </c>
      <c r="T149" s="140">
        <f ca="1">SUMIFS('recurring2_based on steps'!$B149:$AY149,'recurring2_based on steps'!$B$1:$AY$1,T$1)+SUMIFS('changes2_based on steps'!$B149:$U149,'changes2_based on steps'!$B$1:$U$1,T$1)</f>
        <v>0</v>
      </c>
      <c r="U149" s="140">
        <f ca="1">SUMIFS('recurring2_based on steps'!$B149:$AY149,'recurring2_based on steps'!$B$1:$AY$1,U$1)+SUMIFS('changes2_based on steps'!$B149:$U149,'changes2_based on steps'!$B$1:$U$1,U$1)</f>
        <v>0</v>
      </c>
      <c r="V149" s="140">
        <f>SUMIFS('recurring2_based on steps'!$B149:$AY149,'recurring2_based on steps'!$B$1:$AY$1,V$1)+SUMIFS('changes2_based on steps'!$B149:$U149,'changes2_based on steps'!$B$1:$U$1,V$1)</f>
        <v>0</v>
      </c>
      <c r="W149" s="140">
        <f>SUMIFS('recurring2_based on steps'!$B149:$AY149,'recurring2_based on steps'!$B$1:$AY$1,W$1)+SUMIFS('changes2_based on steps'!$B149:$U149,'changes2_based on steps'!$B$1:$U$1,W$1)</f>
        <v>0</v>
      </c>
      <c r="X149" s="140">
        <f ca="1">SUMIFS('recurring2_based on steps'!$B149:$AY149,'recurring2_based on steps'!$B$1:$AY$1,X$1)+SUMIFS('changes2_based on steps'!$B149:$U149,'changes2_based on steps'!$B$1:$U$1,X$1)</f>
        <v>0</v>
      </c>
      <c r="Y149" s="140">
        <f ca="1">SUMIFS('recurring2_based on steps'!$B149:$AY149,'recurring2_based on steps'!$B$1:$AY$1,Y$1)+SUMIFS('changes2_based on steps'!$B149:$U149,'changes2_based on steps'!$B$1:$U$1,Y$1)</f>
        <v>0</v>
      </c>
      <c r="Z149" s="140">
        <f>SUMIFS('recurring2_based on steps'!$B149:$AY149,'recurring2_based on steps'!$B$1:$AY$1,Z$1)+SUMIFS('changes2_based on steps'!$B149:$U149,'changes2_based on steps'!$B$1:$U$1,Z$1)</f>
        <v>0</v>
      </c>
      <c r="AA149" s="140">
        <f ca="1">SUMIFS('recurring2_based on steps'!$B149:$AY149,'recurring2_based on steps'!$B$1:$AY$1,AA$1)+SUMIFS('changes2_based on steps'!$B149:$U149,'changes2_based on steps'!$B$1:$U$1,AA$1)</f>
        <v>0</v>
      </c>
      <c r="AB149" s="140">
        <f ca="1">SUMIFS('recurring2_based on steps'!$B149:$AY149,'recurring2_based on steps'!$B$1:$AY$1,AB$1)+SUMIFS('changes2_based on steps'!$B149:$U149,'changes2_based on steps'!$B$1:$U$1,AB$1)</f>
        <v>0</v>
      </c>
      <c r="AC149" s="140">
        <f ca="1">SUMIFS('recurring2_based on steps'!$B149:$AY149,'recurring2_based on steps'!$B$1:$AY$1,AC$1)+SUMIFS('changes2_based on steps'!$B149:$U149,'changes2_based on steps'!$B$1:$U$1,AC$1)</f>
        <v>0</v>
      </c>
      <c r="AD149" s="140">
        <f ca="1">SUMIFS('recurring2_based on steps'!$B149:$AY149,'recurring2_based on steps'!$B$1:$AY$1,AD$1)+SUMIFS('changes2_based on steps'!$B149:$U149,'changes2_based on steps'!$B$1:$U$1,AD$1)</f>
        <v>0</v>
      </c>
      <c r="AE149" s="140">
        <f>SUMIFS('recurring2_based on steps'!$B149:$AY149,'recurring2_based on steps'!$B$1:$AY$1,AE$1)+SUMIFS('changes2_based on steps'!$B149:$U149,'changes2_based on steps'!$B$1:$U$1,AE$1)</f>
        <v>0</v>
      </c>
      <c r="AF149" s="140"/>
      <c r="AG149" s="140"/>
      <c r="AH149" s="140"/>
      <c r="AI149" s="140"/>
      <c r="AJ149" s="140"/>
      <c r="AK149" s="140"/>
      <c r="AL149" s="140"/>
      <c r="AM149" s="140"/>
    </row>
    <row r="150" spans="1:39" x14ac:dyDescent="0.2">
      <c r="A150" s="29">
        <f t="shared" ca="1" si="2"/>
        <v>45890</v>
      </c>
      <c r="B150" s="140">
        <f ca="1">SUMIFS('recurring2_based on steps'!$B150:$AY150,'recurring2_based on steps'!$B$1:$AY$1,B$1)+SUMIFS('changes2_based on steps'!$B150:$U150,'changes2_based on steps'!$B$1:$U$1,B$1)</f>
        <v>0</v>
      </c>
      <c r="C150" s="140">
        <f>SUMIFS('recurring2_based on steps'!$B150:$AY150,'recurring2_based on steps'!$B$1:$AY$1,C$1)+SUMIFS('changes2_based on steps'!$B150:$U150,'changes2_based on steps'!$B$1:$U$1,C$1)</f>
        <v>0</v>
      </c>
      <c r="D150" s="140">
        <f>SUMIFS('recurring2_based on steps'!$B150:$AY150,'recurring2_based on steps'!$B$1:$AY$1,D$1)+SUMIFS('changes2_based on steps'!$B150:$U150,'changes2_based on steps'!$B$1:$U$1,D$1)</f>
        <v>0</v>
      </c>
      <c r="E150" s="140">
        <f>SUMIFS('recurring2_based on steps'!$B150:$AY150,'recurring2_based on steps'!$B$1:$AY$1,E$1)+SUMIFS('changes2_based on steps'!$B150:$U150,'changes2_based on steps'!$B$1:$U$1,E$1)</f>
        <v>0</v>
      </c>
      <c r="F150" s="140">
        <f>SUMIFS('recurring2_based on steps'!$B150:$AY150,'recurring2_based on steps'!$B$1:$AY$1,F$1)+SUMIFS('changes2_based on steps'!$B150:$U150,'changes2_based on steps'!$B$1:$U$1,F$1)</f>
        <v>0</v>
      </c>
      <c r="G150" s="140">
        <f>SUMIFS('recurring2_based on steps'!$B150:$AY150,'recurring2_based on steps'!$B$1:$AY$1,G$1)+SUMIFS('changes2_based on steps'!$B150:$U150,'changes2_based on steps'!$B$1:$U$1,G$1)</f>
        <v>0</v>
      </c>
      <c r="H150" s="140">
        <f>SUMIFS('recurring2_based on steps'!$B150:$AY150,'recurring2_based on steps'!$B$1:$AY$1,H$1)+SUMIFS('changes2_based on steps'!$B150:$U150,'changes2_based on steps'!$B$1:$U$1,H$1)</f>
        <v>0</v>
      </c>
      <c r="I150" s="140">
        <f>SUMIFS('recurring2_based on steps'!$B150:$AY150,'recurring2_based on steps'!$B$1:$AY$1,I$1)+SUMIFS('changes2_based on steps'!$B150:$U150,'changes2_based on steps'!$B$1:$U$1,I$1)</f>
        <v>0</v>
      </c>
      <c r="J150" s="140">
        <f ca="1">SUMIFS('recurring2_based on steps'!$B150:$AY150,'recurring2_based on steps'!$B$1:$AY$1,J$1)+SUMIFS('changes2_based on steps'!$B150:$U150,'changes2_based on steps'!$B$1:$U$1,J$1)</f>
        <v>0</v>
      </c>
      <c r="K150" s="140">
        <f>SUMIFS('recurring2_based on steps'!$B150:$AY150,'recurring2_based on steps'!$B$1:$AY$1,K$1)+SUMIFS('changes2_based on steps'!$B150:$U150,'changes2_based on steps'!$B$1:$U$1,K$1)</f>
        <v>0</v>
      </c>
      <c r="L150" s="140">
        <f>SUMIFS('recurring2_based on steps'!$B150:$AY150,'recurring2_based on steps'!$B$1:$AY$1,L$1)+SUMIFS('changes2_based on steps'!$B150:$U150,'changes2_based on steps'!$B$1:$U$1,L$1)</f>
        <v>0</v>
      </c>
      <c r="M150" s="140">
        <f>SUMIFS('recurring2_based on steps'!$B150:$AY150,'recurring2_based on steps'!$B$1:$AY$1,M$1)+SUMIFS('changes2_based on steps'!$B150:$U150,'changes2_based on steps'!$B$1:$U$1,M$1)</f>
        <v>0</v>
      </c>
      <c r="N150" s="140">
        <f ca="1">SUMIFS('recurring2_based on steps'!$B150:$AY150,'recurring2_based on steps'!$B$1:$AY$1,N$1)+SUMIFS('changes2_based on steps'!$B150:$U150,'changes2_based on steps'!$B$1:$U$1,N$1)</f>
        <v>0</v>
      </c>
      <c r="O150" s="140">
        <f>SUMIFS('recurring2_based on steps'!$B150:$AY150,'recurring2_based on steps'!$B$1:$AY$1,O$1)+SUMIFS('changes2_based on steps'!$B150:$U150,'changes2_based on steps'!$B$1:$U$1,O$1)</f>
        <v>0</v>
      </c>
      <c r="P150" s="140">
        <f ca="1">SUMIFS('recurring2_based on steps'!$B150:$AY150,'recurring2_based on steps'!$B$1:$AY$1,P$1)+SUMIFS('changes2_based on steps'!$B150:$U150,'changes2_based on steps'!$B$1:$U$1,P$1)</f>
        <v>0</v>
      </c>
      <c r="Q150" s="140">
        <f ca="1">SUMIFS('recurring2_based on steps'!$B150:$AY150,'recurring2_based on steps'!$B$1:$AY$1,Q$1)+SUMIFS('changes2_based on steps'!$B150:$U150,'changes2_based on steps'!$B$1:$U$1,Q$1)</f>
        <v>5.5401662049861494E-2</v>
      </c>
      <c r="R150" s="140">
        <f ca="1">SUMIFS('recurring2_based on steps'!$B150:$AY150,'recurring2_based on steps'!$B$1:$AY$1,R$1)+SUMIFS('changes2_based on steps'!$B150:$U150,'changes2_based on steps'!$B$1:$U$1,R$1)</f>
        <v>0</v>
      </c>
      <c r="S150" s="140">
        <f>SUMIFS('recurring2_based on steps'!$B150:$AY150,'recurring2_based on steps'!$B$1:$AY$1,S$1)+SUMIFS('changes2_based on steps'!$B150:$U150,'changes2_based on steps'!$B$1:$U$1,S$1)</f>
        <v>0</v>
      </c>
      <c r="T150" s="140">
        <f ca="1">SUMIFS('recurring2_based on steps'!$B150:$AY150,'recurring2_based on steps'!$B$1:$AY$1,T$1)+SUMIFS('changes2_based on steps'!$B150:$U150,'changes2_based on steps'!$B$1:$U$1,T$1)</f>
        <v>0</v>
      </c>
      <c r="U150" s="140">
        <f ca="1">SUMIFS('recurring2_based on steps'!$B150:$AY150,'recurring2_based on steps'!$B$1:$AY$1,U$1)+SUMIFS('changes2_based on steps'!$B150:$U150,'changes2_based on steps'!$B$1:$U$1,U$1)</f>
        <v>0</v>
      </c>
      <c r="V150" s="140">
        <f>SUMIFS('recurring2_based on steps'!$B150:$AY150,'recurring2_based on steps'!$B$1:$AY$1,V$1)+SUMIFS('changes2_based on steps'!$B150:$U150,'changes2_based on steps'!$B$1:$U$1,V$1)</f>
        <v>0</v>
      </c>
      <c r="W150" s="140">
        <f>SUMIFS('recurring2_based on steps'!$B150:$AY150,'recurring2_based on steps'!$B$1:$AY$1,W$1)+SUMIFS('changes2_based on steps'!$B150:$U150,'changes2_based on steps'!$B$1:$U$1,W$1)</f>
        <v>0</v>
      </c>
      <c r="X150" s="140">
        <f ca="1">SUMIFS('recurring2_based on steps'!$B150:$AY150,'recurring2_based on steps'!$B$1:$AY$1,X$1)+SUMIFS('changes2_based on steps'!$B150:$U150,'changes2_based on steps'!$B$1:$U$1,X$1)</f>
        <v>0</v>
      </c>
      <c r="Y150" s="140">
        <f ca="1">SUMIFS('recurring2_based on steps'!$B150:$AY150,'recurring2_based on steps'!$B$1:$AY$1,Y$1)+SUMIFS('changes2_based on steps'!$B150:$U150,'changes2_based on steps'!$B$1:$U$1,Y$1)</f>
        <v>0</v>
      </c>
      <c r="Z150" s="140">
        <f>SUMIFS('recurring2_based on steps'!$B150:$AY150,'recurring2_based on steps'!$B$1:$AY$1,Z$1)+SUMIFS('changes2_based on steps'!$B150:$U150,'changes2_based on steps'!$B$1:$U$1,Z$1)</f>
        <v>0</v>
      </c>
      <c r="AA150" s="140">
        <f ca="1">SUMIFS('recurring2_based on steps'!$B150:$AY150,'recurring2_based on steps'!$B$1:$AY$1,AA$1)+SUMIFS('changes2_based on steps'!$B150:$U150,'changes2_based on steps'!$B$1:$U$1,AA$1)</f>
        <v>0</v>
      </c>
      <c r="AB150" s="140">
        <f ca="1">SUMIFS('recurring2_based on steps'!$B150:$AY150,'recurring2_based on steps'!$B$1:$AY$1,AB$1)+SUMIFS('changes2_based on steps'!$B150:$U150,'changes2_based on steps'!$B$1:$U$1,AB$1)</f>
        <v>0</v>
      </c>
      <c r="AC150" s="140">
        <f ca="1">SUMIFS('recurring2_based on steps'!$B150:$AY150,'recurring2_based on steps'!$B$1:$AY$1,AC$1)+SUMIFS('changes2_based on steps'!$B150:$U150,'changes2_based on steps'!$B$1:$U$1,AC$1)</f>
        <v>0</v>
      </c>
      <c r="AD150" s="140">
        <f ca="1">SUMIFS('recurring2_based on steps'!$B150:$AY150,'recurring2_based on steps'!$B$1:$AY$1,AD$1)+SUMIFS('changes2_based on steps'!$B150:$U150,'changes2_based on steps'!$B$1:$U$1,AD$1)</f>
        <v>0</v>
      </c>
      <c r="AE150" s="140">
        <f>SUMIFS('recurring2_based on steps'!$B150:$AY150,'recurring2_based on steps'!$B$1:$AY$1,AE$1)+SUMIFS('changes2_based on steps'!$B150:$U150,'changes2_based on steps'!$B$1:$U$1,AE$1)</f>
        <v>0</v>
      </c>
      <c r="AF150" s="140"/>
      <c r="AG150" s="140"/>
      <c r="AH150" s="140"/>
      <c r="AI150" s="140"/>
      <c r="AJ150" s="140"/>
      <c r="AK150" s="140"/>
      <c r="AL150" s="140"/>
      <c r="AM150" s="140"/>
    </row>
    <row r="151" spans="1:39" x14ac:dyDescent="0.2">
      <c r="A151" s="29">
        <f t="shared" ca="1" si="2"/>
        <v>45891</v>
      </c>
      <c r="B151" s="140">
        <f ca="1">SUMIFS('recurring2_based on steps'!$B151:$AY151,'recurring2_based on steps'!$B$1:$AY$1,B$1)+SUMIFS('changes2_based on steps'!$B151:$U151,'changes2_based on steps'!$B$1:$U$1,B$1)</f>
        <v>4000</v>
      </c>
      <c r="C151" s="140">
        <f>SUMIFS('recurring2_based on steps'!$B151:$AY151,'recurring2_based on steps'!$B$1:$AY$1,C$1)+SUMIFS('changes2_based on steps'!$B151:$U151,'changes2_based on steps'!$B$1:$U$1,C$1)</f>
        <v>0</v>
      </c>
      <c r="D151" s="140">
        <f>SUMIFS('recurring2_based on steps'!$B151:$AY151,'recurring2_based on steps'!$B$1:$AY$1,D$1)+SUMIFS('changes2_based on steps'!$B151:$U151,'changes2_based on steps'!$B$1:$U$1,D$1)</f>
        <v>0</v>
      </c>
      <c r="E151" s="140">
        <f>SUMIFS('recurring2_based on steps'!$B151:$AY151,'recurring2_based on steps'!$B$1:$AY$1,E$1)+SUMIFS('changes2_based on steps'!$B151:$U151,'changes2_based on steps'!$B$1:$U$1,E$1)</f>
        <v>0</v>
      </c>
      <c r="F151" s="140">
        <f>SUMIFS('recurring2_based on steps'!$B151:$AY151,'recurring2_based on steps'!$B$1:$AY$1,F$1)+SUMIFS('changes2_based on steps'!$B151:$U151,'changes2_based on steps'!$B$1:$U$1,F$1)</f>
        <v>0</v>
      </c>
      <c r="G151" s="140">
        <f>SUMIFS('recurring2_based on steps'!$B151:$AY151,'recurring2_based on steps'!$B$1:$AY$1,G$1)+SUMIFS('changes2_based on steps'!$B151:$U151,'changes2_based on steps'!$B$1:$U$1,G$1)</f>
        <v>0</v>
      </c>
      <c r="H151" s="140">
        <f>SUMIFS('recurring2_based on steps'!$B151:$AY151,'recurring2_based on steps'!$B$1:$AY$1,H$1)+SUMIFS('changes2_based on steps'!$B151:$U151,'changes2_based on steps'!$B$1:$U$1,H$1)</f>
        <v>0</v>
      </c>
      <c r="I151" s="140">
        <f>SUMIFS('recurring2_based on steps'!$B151:$AY151,'recurring2_based on steps'!$B$1:$AY$1,I$1)+SUMIFS('changes2_based on steps'!$B151:$U151,'changes2_based on steps'!$B$1:$U$1,I$1)</f>
        <v>0</v>
      </c>
      <c r="J151" s="140">
        <f ca="1">SUMIFS('recurring2_based on steps'!$B151:$AY151,'recurring2_based on steps'!$B$1:$AY$1,J$1)+SUMIFS('changes2_based on steps'!$B151:$U151,'changes2_based on steps'!$B$1:$U$1,J$1)</f>
        <v>0</v>
      </c>
      <c r="K151" s="140">
        <f>SUMIFS('recurring2_based on steps'!$B151:$AY151,'recurring2_based on steps'!$B$1:$AY$1,K$1)+SUMIFS('changes2_based on steps'!$B151:$U151,'changes2_based on steps'!$B$1:$U$1,K$1)</f>
        <v>0</v>
      </c>
      <c r="L151" s="140">
        <f>SUMIFS('recurring2_based on steps'!$B151:$AY151,'recurring2_based on steps'!$B$1:$AY$1,L$1)+SUMIFS('changes2_based on steps'!$B151:$U151,'changes2_based on steps'!$B$1:$U$1,L$1)</f>
        <v>0</v>
      </c>
      <c r="M151" s="140">
        <f>SUMIFS('recurring2_based on steps'!$B151:$AY151,'recurring2_based on steps'!$B$1:$AY$1,M$1)+SUMIFS('changes2_based on steps'!$B151:$U151,'changes2_based on steps'!$B$1:$U$1,M$1)</f>
        <v>0</v>
      </c>
      <c r="N151" s="140">
        <f ca="1">SUMIFS('recurring2_based on steps'!$B151:$AY151,'recurring2_based on steps'!$B$1:$AY$1,N$1)+SUMIFS('changes2_based on steps'!$B151:$U151,'changes2_based on steps'!$B$1:$U$1,N$1)</f>
        <v>0</v>
      </c>
      <c r="O151" s="140">
        <f>SUMIFS('recurring2_based on steps'!$B151:$AY151,'recurring2_based on steps'!$B$1:$AY$1,O$1)+SUMIFS('changes2_based on steps'!$B151:$U151,'changes2_based on steps'!$B$1:$U$1,O$1)</f>
        <v>0</v>
      </c>
      <c r="P151" s="140">
        <f ca="1">SUMIFS('recurring2_based on steps'!$B151:$AY151,'recurring2_based on steps'!$B$1:$AY$1,P$1)+SUMIFS('changes2_based on steps'!$B151:$U151,'changes2_based on steps'!$B$1:$U$1,P$1)</f>
        <v>0</v>
      </c>
      <c r="Q151" s="140">
        <f ca="1">SUMIFS('recurring2_based on steps'!$B151:$AY151,'recurring2_based on steps'!$B$1:$AY$1,Q$1)+SUMIFS('changes2_based on steps'!$B151:$U151,'changes2_based on steps'!$B$1:$U$1,Q$1)</f>
        <v>5.5401662049861494E-2</v>
      </c>
      <c r="R151" s="140">
        <f ca="1">SUMIFS('recurring2_based on steps'!$B151:$AY151,'recurring2_based on steps'!$B$1:$AY$1,R$1)+SUMIFS('changes2_based on steps'!$B151:$U151,'changes2_based on steps'!$B$1:$U$1,R$1)</f>
        <v>0</v>
      </c>
      <c r="S151" s="140">
        <f>SUMIFS('recurring2_based on steps'!$B151:$AY151,'recurring2_based on steps'!$B$1:$AY$1,S$1)+SUMIFS('changes2_based on steps'!$B151:$U151,'changes2_based on steps'!$B$1:$U$1,S$1)</f>
        <v>0</v>
      </c>
      <c r="T151" s="140">
        <f ca="1">SUMIFS('recurring2_based on steps'!$B151:$AY151,'recurring2_based on steps'!$B$1:$AY$1,T$1)+SUMIFS('changes2_based on steps'!$B151:$U151,'changes2_based on steps'!$B$1:$U$1,T$1)</f>
        <v>50</v>
      </c>
      <c r="U151" s="140">
        <f ca="1">SUMIFS('recurring2_based on steps'!$B151:$AY151,'recurring2_based on steps'!$B$1:$AY$1,U$1)+SUMIFS('changes2_based on steps'!$B151:$U151,'changes2_based on steps'!$B$1:$U$1,U$1)</f>
        <v>200</v>
      </c>
      <c r="V151" s="140">
        <f>SUMIFS('recurring2_based on steps'!$B151:$AY151,'recurring2_based on steps'!$B$1:$AY$1,V$1)+SUMIFS('changes2_based on steps'!$B151:$U151,'changes2_based on steps'!$B$1:$U$1,V$1)</f>
        <v>0</v>
      </c>
      <c r="W151" s="140">
        <f>SUMIFS('recurring2_based on steps'!$B151:$AY151,'recurring2_based on steps'!$B$1:$AY$1,W$1)+SUMIFS('changes2_based on steps'!$B151:$U151,'changes2_based on steps'!$B$1:$U$1,W$1)</f>
        <v>0</v>
      </c>
      <c r="X151" s="140">
        <f ca="1">SUMIFS('recurring2_based on steps'!$B151:$AY151,'recurring2_based on steps'!$B$1:$AY$1,X$1)+SUMIFS('changes2_based on steps'!$B151:$U151,'changes2_based on steps'!$B$1:$U$1,X$1)</f>
        <v>96</v>
      </c>
      <c r="Y151" s="140">
        <f ca="1">SUMIFS('recurring2_based on steps'!$B151:$AY151,'recurring2_based on steps'!$B$1:$AY$1,Y$1)+SUMIFS('changes2_based on steps'!$B151:$U151,'changes2_based on steps'!$B$1:$U$1,Y$1)</f>
        <v>0</v>
      </c>
      <c r="Z151" s="140">
        <f>SUMIFS('recurring2_based on steps'!$B151:$AY151,'recurring2_based on steps'!$B$1:$AY$1,Z$1)+SUMIFS('changes2_based on steps'!$B151:$U151,'changes2_based on steps'!$B$1:$U$1,Z$1)</f>
        <v>0</v>
      </c>
      <c r="AA151" s="140">
        <f ca="1">SUMIFS('recurring2_based on steps'!$B151:$AY151,'recurring2_based on steps'!$B$1:$AY$1,AA$1)+SUMIFS('changes2_based on steps'!$B151:$U151,'changes2_based on steps'!$B$1:$U$1,AA$1)</f>
        <v>0</v>
      </c>
      <c r="AB151" s="140">
        <f ca="1">SUMIFS('recurring2_based on steps'!$B151:$AY151,'recurring2_based on steps'!$B$1:$AY$1,AB$1)+SUMIFS('changes2_based on steps'!$B151:$U151,'changes2_based on steps'!$B$1:$U$1,AB$1)</f>
        <v>0</v>
      </c>
      <c r="AC151" s="140">
        <f ca="1">SUMIFS('recurring2_based on steps'!$B151:$AY151,'recurring2_based on steps'!$B$1:$AY$1,AC$1)+SUMIFS('changes2_based on steps'!$B151:$U151,'changes2_based on steps'!$B$1:$U$1,AC$1)</f>
        <v>0</v>
      </c>
      <c r="AD151" s="140">
        <f ca="1">SUMIFS('recurring2_based on steps'!$B151:$AY151,'recurring2_based on steps'!$B$1:$AY$1,AD$1)+SUMIFS('changes2_based on steps'!$B151:$U151,'changes2_based on steps'!$B$1:$U$1,AD$1)</f>
        <v>50</v>
      </c>
      <c r="AE151" s="140">
        <f>SUMIFS('recurring2_based on steps'!$B151:$AY151,'recurring2_based on steps'!$B$1:$AY$1,AE$1)+SUMIFS('changes2_based on steps'!$B151:$U151,'changes2_based on steps'!$B$1:$U$1,AE$1)</f>
        <v>0</v>
      </c>
      <c r="AF151" s="140"/>
      <c r="AG151" s="140"/>
      <c r="AH151" s="140"/>
      <c r="AI151" s="140"/>
      <c r="AJ151" s="140"/>
      <c r="AK151" s="140"/>
      <c r="AL151" s="140"/>
      <c r="AM151" s="140"/>
    </row>
    <row r="152" spans="1:39" x14ac:dyDescent="0.2">
      <c r="A152" s="29">
        <f t="shared" ca="1" si="2"/>
        <v>45892</v>
      </c>
      <c r="B152" s="140">
        <f ca="1">SUMIFS('recurring2_based on steps'!$B152:$AY152,'recurring2_based on steps'!$B$1:$AY$1,B$1)+SUMIFS('changes2_based on steps'!$B152:$U152,'changes2_based on steps'!$B$1:$U$1,B$1)</f>
        <v>0</v>
      </c>
      <c r="C152" s="140">
        <f>SUMIFS('recurring2_based on steps'!$B152:$AY152,'recurring2_based on steps'!$B$1:$AY$1,C$1)+SUMIFS('changes2_based on steps'!$B152:$U152,'changes2_based on steps'!$B$1:$U$1,C$1)</f>
        <v>0</v>
      </c>
      <c r="D152" s="140">
        <f>SUMIFS('recurring2_based on steps'!$B152:$AY152,'recurring2_based on steps'!$B$1:$AY$1,D$1)+SUMIFS('changes2_based on steps'!$B152:$U152,'changes2_based on steps'!$B$1:$U$1,D$1)</f>
        <v>0</v>
      </c>
      <c r="E152" s="140">
        <f>SUMIFS('recurring2_based on steps'!$B152:$AY152,'recurring2_based on steps'!$B$1:$AY$1,E$1)+SUMIFS('changes2_based on steps'!$B152:$U152,'changes2_based on steps'!$B$1:$U$1,E$1)</f>
        <v>0</v>
      </c>
      <c r="F152" s="140">
        <f>SUMIFS('recurring2_based on steps'!$B152:$AY152,'recurring2_based on steps'!$B$1:$AY$1,F$1)+SUMIFS('changes2_based on steps'!$B152:$U152,'changes2_based on steps'!$B$1:$U$1,F$1)</f>
        <v>0</v>
      </c>
      <c r="G152" s="140">
        <f>SUMIFS('recurring2_based on steps'!$B152:$AY152,'recurring2_based on steps'!$B$1:$AY$1,G$1)+SUMIFS('changes2_based on steps'!$B152:$U152,'changes2_based on steps'!$B$1:$U$1,G$1)</f>
        <v>0</v>
      </c>
      <c r="H152" s="140">
        <f>SUMIFS('recurring2_based on steps'!$B152:$AY152,'recurring2_based on steps'!$B$1:$AY$1,H$1)+SUMIFS('changes2_based on steps'!$B152:$U152,'changes2_based on steps'!$B$1:$U$1,H$1)</f>
        <v>0</v>
      </c>
      <c r="I152" s="140">
        <f>SUMIFS('recurring2_based on steps'!$B152:$AY152,'recurring2_based on steps'!$B$1:$AY$1,I$1)+SUMIFS('changes2_based on steps'!$B152:$U152,'changes2_based on steps'!$B$1:$U$1,I$1)</f>
        <v>0</v>
      </c>
      <c r="J152" s="140">
        <f ca="1">SUMIFS('recurring2_based on steps'!$B152:$AY152,'recurring2_based on steps'!$B$1:$AY$1,J$1)+SUMIFS('changes2_based on steps'!$B152:$U152,'changes2_based on steps'!$B$1:$U$1,J$1)</f>
        <v>0</v>
      </c>
      <c r="K152" s="140">
        <f>SUMIFS('recurring2_based on steps'!$B152:$AY152,'recurring2_based on steps'!$B$1:$AY$1,K$1)+SUMIFS('changes2_based on steps'!$B152:$U152,'changes2_based on steps'!$B$1:$U$1,K$1)</f>
        <v>0</v>
      </c>
      <c r="L152" s="140">
        <f>SUMIFS('recurring2_based on steps'!$B152:$AY152,'recurring2_based on steps'!$B$1:$AY$1,L$1)+SUMIFS('changes2_based on steps'!$B152:$U152,'changes2_based on steps'!$B$1:$U$1,L$1)</f>
        <v>0</v>
      </c>
      <c r="M152" s="140">
        <f>SUMIFS('recurring2_based on steps'!$B152:$AY152,'recurring2_based on steps'!$B$1:$AY$1,M$1)+SUMIFS('changes2_based on steps'!$B152:$U152,'changes2_based on steps'!$B$1:$U$1,M$1)</f>
        <v>0</v>
      </c>
      <c r="N152" s="140">
        <f ca="1">SUMIFS('recurring2_based on steps'!$B152:$AY152,'recurring2_based on steps'!$B$1:$AY$1,N$1)+SUMIFS('changes2_based on steps'!$B152:$U152,'changes2_based on steps'!$B$1:$U$1,N$1)</f>
        <v>0</v>
      </c>
      <c r="O152" s="140">
        <f>SUMIFS('recurring2_based on steps'!$B152:$AY152,'recurring2_based on steps'!$B$1:$AY$1,O$1)+SUMIFS('changes2_based on steps'!$B152:$U152,'changes2_based on steps'!$B$1:$U$1,O$1)</f>
        <v>0</v>
      </c>
      <c r="P152" s="140">
        <f ca="1">SUMIFS('recurring2_based on steps'!$B152:$AY152,'recurring2_based on steps'!$B$1:$AY$1,P$1)+SUMIFS('changes2_based on steps'!$B152:$U152,'changes2_based on steps'!$B$1:$U$1,P$1)</f>
        <v>0</v>
      </c>
      <c r="Q152" s="140">
        <f ca="1">SUMIFS('recurring2_based on steps'!$B152:$AY152,'recurring2_based on steps'!$B$1:$AY$1,Q$1)+SUMIFS('changes2_based on steps'!$B152:$U152,'changes2_based on steps'!$B$1:$U$1,Q$1)</f>
        <v>100.05540166204986</v>
      </c>
      <c r="R152" s="140">
        <f ca="1">SUMIFS('recurring2_based on steps'!$B152:$AY152,'recurring2_based on steps'!$B$1:$AY$1,R$1)+SUMIFS('changes2_based on steps'!$B152:$U152,'changes2_based on steps'!$B$1:$U$1,R$1)</f>
        <v>0</v>
      </c>
      <c r="S152" s="140">
        <f>SUMIFS('recurring2_based on steps'!$B152:$AY152,'recurring2_based on steps'!$B$1:$AY$1,S$1)+SUMIFS('changes2_based on steps'!$B152:$U152,'changes2_based on steps'!$B$1:$U$1,S$1)</f>
        <v>0</v>
      </c>
      <c r="T152" s="140">
        <f ca="1">SUMIFS('recurring2_based on steps'!$B152:$AY152,'recurring2_based on steps'!$B$1:$AY$1,T$1)+SUMIFS('changes2_based on steps'!$B152:$U152,'changes2_based on steps'!$B$1:$U$1,T$1)</f>
        <v>0</v>
      </c>
      <c r="U152" s="140">
        <f ca="1">SUMIFS('recurring2_based on steps'!$B152:$AY152,'recurring2_based on steps'!$B$1:$AY$1,U$1)+SUMIFS('changes2_based on steps'!$B152:$U152,'changes2_based on steps'!$B$1:$U$1,U$1)</f>
        <v>0</v>
      </c>
      <c r="V152" s="140">
        <f>SUMIFS('recurring2_based on steps'!$B152:$AY152,'recurring2_based on steps'!$B$1:$AY$1,V$1)+SUMIFS('changes2_based on steps'!$B152:$U152,'changes2_based on steps'!$B$1:$U$1,V$1)</f>
        <v>0</v>
      </c>
      <c r="W152" s="140">
        <f>SUMIFS('recurring2_based on steps'!$B152:$AY152,'recurring2_based on steps'!$B$1:$AY$1,W$1)+SUMIFS('changes2_based on steps'!$B152:$U152,'changes2_based on steps'!$B$1:$U$1,W$1)</f>
        <v>0</v>
      </c>
      <c r="X152" s="140">
        <f ca="1">SUMIFS('recurring2_based on steps'!$B152:$AY152,'recurring2_based on steps'!$B$1:$AY$1,X$1)+SUMIFS('changes2_based on steps'!$B152:$U152,'changes2_based on steps'!$B$1:$U$1,X$1)</f>
        <v>0</v>
      </c>
      <c r="Y152" s="140">
        <f ca="1">SUMIFS('recurring2_based on steps'!$B152:$AY152,'recurring2_based on steps'!$B$1:$AY$1,Y$1)+SUMIFS('changes2_based on steps'!$B152:$U152,'changes2_based on steps'!$B$1:$U$1,Y$1)</f>
        <v>0</v>
      </c>
      <c r="Z152" s="140">
        <f>SUMIFS('recurring2_based on steps'!$B152:$AY152,'recurring2_based on steps'!$B$1:$AY$1,Z$1)+SUMIFS('changes2_based on steps'!$B152:$U152,'changes2_based on steps'!$B$1:$U$1,Z$1)</f>
        <v>0</v>
      </c>
      <c r="AA152" s="140">
        <f ca="1">SUMIFS('recurring2_based on steps'!$B152:$AY152,'recurring2_based on steps'!$B$1:$AY$1,AA$1)+SUMIFS('changes2_based on steps'!$B152:$U152,'changes2_based on steps'!$B$1:$U$1,AA$1)</f>
        <v>0</v>
      </c>
      <c r="AB152" s="140">
        <f ca="1">SUMIFS('recurring2_based on steps'!$B152:$AY152,'recurring2_based on steps'!$B$1:$AY$1,AB$1)+SUMIFS('changes2_based on steps'!$B152:$U152,'changes2_based on steps'!$B$1:$U$1,AB$1)</f>
        <v>100</v>
      </c>
      <c r="AC152" s="140">
        <f ca="1">SUMIFS('recurring2_based on steps'!$B152:$AY152,'recurring2_based on steps'!$B$1:$AY$1,AC$1)+SUMIFS('changes2_based on steps'!$B152:$U152,'changes2_based on steps'!$B$1:$U$1,AC$1)</f>
        <v>0</v>
      </c>
      <c r="AD152" s="140">
        <f ca="1">SUMIFS('recurring2_based on steps'!$B152:$AY152,'recurring2_based on steps'!$B$1:$AY$1,AD$1)+SUMIFS('changes2_based on steps'!$B152:$U152,'changes2_based on steps'!$B$1:$U$1,AD$1)</f>
        <v>0</v>
      </c>
      <c r="AE152" s="140">
        <f>SUMIFS('recurring2_based on steps'!$B152:$AY152,'recurring2_based on steps'!$B$1:$AY$1,AE$1)+SUMIFS('changes2_based on steps'!$B152:$U152,'changes2_based on steps'!$B$1:$U$1,AE$1)</f>
        <v>0</v>
      </c>
      <c r="AF152" s="140"/>
      <c r="AG152" s="140"/>
      <c r="AH152" s="140"/>
      <c r="AI152" s="140"/>
      <c r="AJ152" s="140"/>
      <c r="AK152" s="140"/>
      <c r="AL152" s="140"/>
      <c r="AM152" s="140"/>
    </row>
    <row r="153" spans="1:39" x14ac:dyDescent="0.2">
      <c r="A153" s="29">
        <f t="shared" ca="1" si="2"/>
        <v>45893</v>
      </c>
      <c r="B153" s="140">
        <f ca="1">SUMIFS('recurring2_based on steps'!$B153:$AY153,'recurring2_based on steps'!$B$1:$AY$1,B$1)+SUMIFS('changes2_based on steps'!$B153:$U153,'changes2_based on steps'!$B$1:$U$1,B$1)</f>
        <v>0</v>
      </c>
      <c r="C153" s="140">
        <f>SUMIFS('recurring2_based on steps'!$B153:$AY153,'recurring2_based on steps'!$B$1:$AY$1,C$1)+SUMIFS('changes2_based on steps'!$B153:$U153,'changes2_based on steps'!$B$1:$U$1,C$1)</f>
        <v>0</v>
      </c>
      <c r="D153" s="140">
        <f>SUMIFS('recurring2_based on steps'!$B153:$AY153,'recurring2_based on steps'!$B$1:$AY$1,D$1)+SUMIFS('changes2_based on steps'!$B153:$U153,'changes2_based on steps'!$B$1:$U$1,D$1)</f>
        <v>0</v>
      </c>
      <c r="E153" s="140">
        <f>SUMIFS('recurring2_based on steps'!$B153:$AY153,'recurring2_based on steps'!$B$1:$AY$1,E$1)+SUMIFS('changes2_based on steps'!$B153:$U153,'changes2_based on steps'!$B$1:$U$1,E$1)</f>
        <v>0</v>
      </c>
      <c r="F153" s="140">
        <f>SUMIFS('recurring2_based on steps'!$B153:$AY153,'recurring2_based on steps'!$B$1:$AY$1,F$1)+SUMIFS('changes2_based on steps'!$B153:$U153,'changes2_based on steps'!$B$1:$U$1,F$1)</f>
        <v>0</v>
      </c>
      <c r="G153" s="140">
        <f>SUMIFS('recurring2_based on steps'!$B153:$AY153,'recurring2_based on steps'!$B$1:$AY$1,G$1)+SUMIFS('changes2_based on steps'!$B153:$U153,'changes2_based on steps'!$B$1:$U$1,G$1)</f>
        <v>0</v>
      </c>
      <c r="H153" s="140">
        <f>SUMIFS('recurring2_based on steps'!$B153:$AY153,'recurring2_based on steps'!$B$1:$AY$1,H$1)+SUMIFS('changes2_based on steps'!$B153:$U153,'changes2_based on steps'!$B$1:$U$1,H$1)</f>
        <v>0</v>
      </c>
      <c r="I153" s="140">
        <f>SUMIFS('recurring2_based on steps'!$B153:$AY153,'recurring2_based on steps'!$B$1:$AY$1,I$1)+SUMIFS('changes2_based on steps'!$B153:$U153,'changes2_based on steps'!$B$1:$U$1,I$1)</f>
        <v>0</v>
      </c>
      <c r="J153" s="140">
        <f ca="1">SUMIFS('recurring2_based on steps'!$B153:$AY153,'recurring2_based on steps'!$B$1:$AY$1,J$1)+SUMIFS('changes2_based on steps'!$B153:$U153,'changes2_based on steps'!$B$1:$U$1,J$1)</f>
        <v>0</v>
      </c>
      <c r="K153" s="140">
        <f>SUMIFS('recurring2_based on steps'!$B153:$AY153,'recurring2_based on steps'!$B$1:$AY$1,K$1)+SUMIFS('changes2_based on steps'!$B153:$U153,'changes2_based on steps'!$B$1:$U$1,K$1)</f>
        <v>0</v>
      </c>
      <c r="L153" s="140">
        <f>SUMIFS('recurring2_based on steps'!$B153:$AY153,'recurring2_based on steps'!$B$1:$AY$1,L$1)+SUMIFS('changes2_based on steps'!$B153:$U153,'changes2_based on steps'!$B$1:$U$1,L$1)</f>
        <v>0</v>
      </c>
      <c r="M153" s="140">
        <f>SUMIFS('recurring2_based on steps'!$B153:$AY153,'recurring2_based on steps'!$B$1:$AY$1,M$1)+SUMIFS('changes2_based on steps'!$B153:$U153,'changes2_based on steps'!$B$1:$U$1,M$1)</f>
        <v>0</v>
      </c>
      <c r="N153" s="140">
        <f ca="1">SUMIFS('recurring2_based on steps'!$B153:$AY153,'recurring2_based on steps'!$B$1:$AY$1,N$1)+SUMIFS('changes2_based on steps'!$B153:$U153,'changes2_based on steps'!$B$1:$U$1,N$1)</f>
        <v>0</v>
      </c>
      <c r="O153" s="140">
        <f>SUMIFS('recurring2_based on steps'!$B153:$AY153,'recurring2_based on steps'!$B$1:$AY$1,O$1)+SUMIFS('changes2_based on steps'!$B153:$U153,'changes2_based on steps'!$B$1:$U$1,O$1)</f>
        <v>0</v>
      </c>
      <c r="P153" s="140">
        <f ca="1">SUMIFS('recurring2_based on steps'!$B153:$AY153,'recurring2_based on steps'!$B$1:$AY$1,P$1)+SUMIFS('changes2_based on steps'!$B153:$U153,'changes2_based on steps'!$B$1:$U$1,P$1)</f>
        <v>0</v>
      </c>
      <c r="Q153" s="140">
        <f ca="1">SUMIFS('recurring2_based on steps'!$B153:$AY153,'recurring2_based on steps'!$B$1:$AY$1,Q$1)+SUMIFS('changes2_based on steps'!$B153:$U153,'changes2_based on steps'!$B$1:$U$1,Q$1)</f>
        <v>100.05540166204986</v>
      </c>
      <c r="R153" s="140">
        <f ca="1">SUMIFS('recurring2_based on steps'!$B153:$AY153,'recurring2_based on steps'!$B$1:$AY$1,R$1)+SUMIFS('changes2_based on steps'!$B153:$U153,'changes2_based on steps'!$B$1:$U$1,R$1)</f>
        <v>0</v>
      </c>
      <c r="S153" s="140">
        <f>SUMIFS('recurring2_based on steps'!$B153:$AY153,'recurring2_based on steps'!$B$1:$AY$1,S$1)+SUMIFS('changes2_based on steps'!$B153:$U153,'changes2_based on steps'!$B$1:$U$1,S$1)</f>
        <v>0</v>
      </c>
      <c r="T153" s="140">
        <f ca="1">SUMIFS('recurring2_based on steps'!$B153:$AY153,'recurring2_based on steps'!$B$1:$AY$1,T$1)+SUMIFS('changes2_based on steps'!$B153:$U153,'changes2_based on steps'!$B$1:$U$1,T$1)</f>
        <v>0</v>
      </c>
      <c r="U153" s="140">
        <f ca="1">SUMIFS('recurring2_based on steps'!$B153:$AY153,'recurring2_based on steps'!$B$1:$AY$1,U$1)+SUMIFS('changes2_based on steps'!$B153:$U153,'changes2_based on steps'!$B$1:$U$1,U$1)</f>
        <v>0</v>
      </c>
      <c r="V153" s="140">
        <f>SUMIFS('recurring2_based on steps'!$B153:$AY153,'recurring2_based on steps'!$B$1:$AY$1,V$1)+SUMIFS('changes2_based on steps'!$B153:$U153,'changes2_based on steps'!$B$1:$U$1,V$1)</f>
        <v>0</v>
      </c>
      <c r="W153" s="140">
        <f>SUMIFS('recurring2_based on steps'!$B153:$AY153,'recurring2_based on steps'!$B$1:$AY$1,W$1)+SUMIFS('changes2_based on steps'!$B153:$U153,'changes2_based on steps'!$B$1:$U$1,W$1)</f>
        <v>0</v>
      </c>
      <c r="X153" s="140">
        <f ca="1">SUMIFS('recurring2_based on steps'!$B153:$AY153,'recurring2_based on steps'!$B$1:$AY$1,X$1)+SUMIFS('changes2_based on steps'!$B153:$U153,'changes2_based on steps'!$B$1:$U$1,X$1)</f>
        <v>0</v>
      </c>
      <c r="Y153" s="140">
        <f ca="1">SUMIFS('recurring2_based on steps'!$B153:$AY153,'recurring2_based on steps'!$B$1:$AY$1,Y$1)+SUMIFS('changes2_based on steps'!$B153:$U153,'changes2_based on steps'!$B$1:$U$1,Y$1)</f>
        <v>50</v>
      </c>
      <c r="Z153" s="140">
        <f>SUMIFS('recurring2_based on steps'!$B153:$AY153,'recurring2_based on steps'!$B$1:$AY$1,Z$1)+SUMIFS('changes2_based on steps'!$B153:$U153,'changes2_based on steps'!$B$1:$U$1,Z$1)</f>
        <v>0</v>
      </c>
      <c r="AA153" s="140">
        <f ca="1">SUMIFS('recurring2_based on steps'!$B153:$AY153,'recurring2_based on steps'!$B$1:$AY$1,AA$1)+SUMIFS('changes2_based on steps'!$B153:$U153,'changes2_based on steps'!$B$1:$U$1,AA$1)</f>
        <v>0</v>
      </c>
      <c r="AB153" s="140">
        <f ca="1">SUMIFS('recurring2_based on steps'!$B153:$AY153,'recurring2_based on steps'!$B$1:$AY$1,AB$1)+SUMIFS('changes2_based on steps'!$B153:$U153,'changes2_based on steps'!$B$1:$U$1,AB$1)</f>
        <v>0</v>
      </c>
      <c r="AC153" s="140">
        <f ca="1">SUMIFS('recurring2_based on steps'!$B153:$AY153,'recurring2_based on steps'!$B$1:$AY$1,AC$1)+SUMIFS('changes2_based on steps'!$B153:$U153,'changes2_based on steps'!$B$1:$U$1,AC$1)</f>
        <v>0</v>
      </c>
      <c r="AD153" s="140">
        <f ca="1">SUMIFS('recurring2_based on steps'!$B153:$AY153,'recurring2_based on steps'!$B$1:$AY$1,AD$1)+SUMIFS('changes2_based on steps'!$B153:$U153,'changes2_based on steps'!$B$1:$U$1,AD$1)</f>
        <v>0</v>
      </c>
      <c r="AE153" s="140">
        <f>SUMIFS('recurring2_based on steps'!$B153:$AY153,'recurring2_based on steps'!$B$1:$AY$1,AE$1)+SUMIFS('changes2_based on steps'!$B153:$U153,'changes2_based on steps'!$B$1:$U$1,AE$1)</f>
        <v>0</v>
      </c>
      <c r="AF153" s="140"/>
      <c r="AG153" s="140"/>
      <c r="AH153" s="140"/>
      <c r="AI153" s="140"/>
      <c r="AJ153" s="140"/>
      <c r="AK153" s="140"/>
      <c r="AL153" s="140"/>
      <c r="AM153" s="140"/>
    </row>
    <row r="154" spans="1:39" x14ac:dyDescent="0.2">
      <c r="A154" s="29">
        <f t="shared" ca="1" si="2"/>
        <v>45894</v>
      </c>
      <c r="B154" s="140">
        <f ca="1">SUMIFS('recurring2_based on steps'!$B154:$AY154,'recurring2_based on steps'!$B$1:$AY$1,B$1)+SUMIFS('changes2_based on steps'!$B154:$U154,'changes2_based on steps'!$B$1:$U$1,B$1)</f>
        <v>0</v>
      </c>
      <c r="C154" s="140">
        <f>SUMIFS('recurring2_based on steps'!$B154:$AY154,'recurring2_based on steps'!$B$1:$AY$1,C$1)+SUMIFS('changes2_based on steps'!$B154:$U154,'changes2_based on steps'!$B$1:$U$1,C$1)</f>
        <v>0</v>
      </c>
      <c r="D154" s="140">
        <f>SUMIFS('recurring2_based on steps'!$B154:$AY154,'recurring2_based on steps'!$B$1:$AY$1,D$1)+SUMIFS('changes2_based on steps'!$B154:$U154,'changes2_based on steps'!$B$1:$U$1,D$1)</f>
        <v>0</v>
      </c>
      <c r="E154" s="140">
        <f>SUMIFS('recurring2_based on steps'!$B154:$AY154,'recurring2_based on steps'!$B$1:$AY$1,E$1)+SUMIFS('changes2_based on steps'!$B154:$U154,'changes2_based on steps'!$B$1:$U$1,E$1)</f>
        <v>0</v>
      </c>
      <c r="F154" s="140">
        <f>SUMIFS('recurring2_based on steps'!$B154:$AY154,'recurring2_based on steps'!$B$1:$AY$1,F$1)+SUMIFS('changes2_based on steps'!$B154:$U154,'changes2_based on steps'!$B$1:$U$1,F$1)</f>
        <v>0</v>
      </c>
      <c r="G154" s="140">
        <f>SUMIFS('recurring2_based on steps'!$B154:$AY154,'recurring2_based on steps'!$B$1:$AY$1,G$1)+SUMIFS('changes2_based on steps'!$B154:$U154,'changes2_based on steps'!$B$1:$U$1,G$1)</f>
        <v>0</v>
      </c>
      <c r="H154" s="140">
        <f>SUMIFS('recurring2_based on steps'!$B154:$AY154,'recurring2_based on steps'!$B$1:$AY$1,H$1)+SUMIFS('changes2_based on steps'!$B154:$U154,'changes2_based on steps'!$B$1:$U$1,H$1)</f>
        <v>0</v>
      </c>
      <c r="I154" s="140">
        <f>SUMIFS('recurring2_based on steps'!$B154:$AY154,'recurring2_based on steps'!$B$1:$AY$1,I$1)+SUMIFS('changes2_based on steps'!$B154:$U154,'changes2_based on steps'!$B$1:$U$1,I$1)</f>
        <v>0</v>
      </c>
      <c r="J154" s="140">
        <f ca="1">SUMIFS('recurring2_based on steps'!$B154:$AY154,'recurring2_based on steps'!$B$1:$AY$1,J$1)+SUMIFS('changes2_based on steps'!$B154:$U154,'changes2_based on steps'!$B$1:$U$1,J$1)</f>
        <v>0</v>
      </c>
      <c r="K154" s="140">
        <f>SUMIFS('recurring2_based on steps'!$B154:$AY154,'recurring2_based on steps'!$B$1:$AY$1,K$1)+SUMIFS('changes2_based on steps'!$B154:$U154,'changes2_based on steps'!$B$1:$U$1,K$1)</f>
        <v>0</v>
      </c>
      <c r="L154" s="140">
        <f>SUMIFS('recurring2_based on steps'!$B154:$AY154,'recurring2_based on steps'!$B$1:$AY$1,L$1)+SUMIFS('changes2_based on steps'!$B154:$U154,'changes2_based on steps'!$B$1:$U$1,L$1)</f>
        <v>0</v>
      </c>
      <c r="M154" s="140">
        <f>SUMIFS('recurring2_based on steps'!$B154:$AY154,'recurring2_based on steps'!$B$1:$AY$1,M$1)+SUMIFS('changes2_based on steps'!$B154:$U154,'changes2_based on steps'!$B$1:$U$1,M$1)</f>
        <v>0</v>
      </c>
      <c r="N154" s="140">
        <f ca="1">SUMIFS('recurring2_based on steps'!$B154:$AY154,'recurring2_based on steps'!$B$1:$AY$1,N$1)+SUMIFS('changes2_based on steps'!$B154:$U154,'changes2_based on steps'!$B$1:$U$1,N$1)</f>
        <v>0</v>
      </c>
      <c r="O154" s="140">
        <f>SUMIFS('recurring2_based on steps'!$B154:$AY154,'recurring2_based on steps'!$B$1:$AY$1,O$1)+SUMIFS('changes2_based on steps'!$B154:$U154,'changes2_based on steps'!$B$1:$U$1,O$1)</f>
        <v>0</v>
      </c>
      <c r="P154" s="140">
        <f ca="1">SUMIFS('recurring2_based on steps'!$B154:$AY154,'recurring2_based on steps'!$B$1:$AY$1,P$1)+SUMIFS('changes2_based on steps'!$B154:$U154,'changes2_based on steps'!$B$1:$U$1,P$1)</f>
        <v>0</v>
      </c>
      <c r="Q154" s="140">
        <f ca="1">SUMIFS('recurring2_based on steps'!$B154:$AY154,'recurring2_based on steps'!$B$1:$AY$1,Q$1)+SUMIFS('changes2_based on steps'!$B154:$U154,'changes2_based on steps'!$B$1:$U$1,Q$1)</f>
        <v>5.5401662049861494E-2</v>
      </c>
      <c r="R154" s="140">
        <f ca="1">SUMIFS('recurring2_based on steps'!$B154:$AY154,'recurring2_based on steps'!$B$1:$AY$1,R$1)+SUMIFS('changes2_based on steps'!$B154:$U154,'changes2_based on steps'!$B$1:$U$1,R$1)</f>
        <v>0</v>
      </c>
      <c r="S154" s="140">
        <f>SUMIFS('recurring2_based on steps'!$B154:$AY154,'recurring2_based on steps'!$B$1:$AY$1,S$1)+SUMIFS('changes2_based on steps'!$B154:$U154,'changes2_based on steps'!$B$1:$U$1,S$1)</f>
        <v>0</v>
      </c>
      <c r="T154" s="140">
        <f ca="1">SUMIFS('recurring2_based on steps'!$B154:$AY154,'recurring2_based on steps'!$B$1:$AY$1,T$1)+SUMIFS('changes2_based on steps'!$B154:$U154,'changes2_based on steps'!$B$1:$U$1,T$1)</f>
        <v>0</v>
      </c>
      <c r="U154" s="140">
        <f ca="1">SUMIFS('recurring2_based on steps'!$B154:$AY154,'recurring2_based on steps'!$B$1:$AY$1,U$1)+SUMIFS('changes2_based on steps'!$B154:$U154,'changes2_based on steps'!$B$1:$U$1,U$1)</f>
        <v>0</v>
      </c>
      <c r="V154" s="140">
        <f>SUMIFS('recurring2_based on steps'!$B154:$AY154,'recurring2_based on steps'!$B$1:$AY$1,V$1)+SUMIFS('changes2_based on steps'!$B154:$U154,'changes2_based on steps'!$B$1:$U$1,V$1)</f>
        <v>0</v>
      </c>
      <c r="W154" s="140">
        <f>SUMIFS('recurring2_based on steps'!$B154:$AY154,'recurring2_based on steps'!$B$1:$AY$1,W$1)+SUMIFS('changes2_based on steps'!$B154:$U154,'changes2_based on steps'!$B$1:$U$1,W$1)</f>
        <v>0</v>
      </c>
      <c r="X154" s="140">
        <f ca="1">SUMIFS('recurring2_based on steps'!$B154:$AY154,'recurring2_based on steps'!$B$1:$AY$1,X$1)+SUMIFS('changes2_based on steps'!$B154:$U154,'changes2_based on steps'!$B$1:$U$1,X$1)</f>
        <v>0</v>
      </c>
      <c r="Y154" s="140">
        <f ca="1">SUMIFS('recurring2_based on steps'!$B154:$AY154,'recurring2_based on steps'!$B$1:$AY$1,Y$1)+SUMIFS('changes2_based on steps'!$B154:$U154,'changes2_based on steps'!$B$1:$U$1,Y$1)</f>
        <v>0</v>
      </c>
      <c r="Z154" s="140">
        <f>SUMIFS('recurring2_based on steps'!$B154:$AY154,'recurring2_based on steps'!$B$1:$AY$1,Z$1)+SUMIFS('changes2_based on steps'!$B154:$U154,'changes2_based on steps'!$B$1:$U$1,Z$1)</f>
        <v>0</v>
      </c>
      <c r="AA154" s="140">
        <f ca="1">SUMIFS('recurring2_based on steps'!$B154:$AY154,'recurring2_based on steps'!$B$1:$AY$1,AA$1)+SUMIFS('changes2_based on steps'!$B154:$U154,'changes2_based on steps'!$B$1:$U$1,AA$1)</f>
        <v>0</v>
      </c>
      <c r="AB154" s="140">
        <f ca="1">SUMIFS('recurring2_based on steps'!$B154:$AY154,'recurring2_based on steps'!$B$1:$AY$1,AB$1)+SUMIFS('changes2_based on steps'!$B154:$U154,'changes2_based on steps'!$B$1:$U$1,AB$1)</f>
        <v>0</v>
      </c>
      <c r="AC154" s="140">
        <f ca="1">SUMIFS('recurring2_based on steps'!$B154:$AY154,'recurring2_based on steps'!$B$1:$AY$1,AC$1)+SUMIFS('changes2_based on steps'!$B154:$U154,'changes2_based on steps'!$B$1:$U$1,AC$1)</f>
        <v>0</v>
      </c>
      <c r="AD154" s="140">
        <f ca="1">SUMIFS('recurring2_based on steps'!$B154:$AY154,'recurring2_based on steps'!$B$1:$AY$1,AD$1)+SUMIFS('changes2_based on steps'!$B154:$U154,'changes2_based on steps'!$B$1:$U$1,AD$1)</f>
        <v>0</v>
      </c>
      <c r="AE154" s="140">
        <f>SUMIFS('recurring2_based on steps'!$B154:$AY154,'recurring2_based on steps'!$B$1:$AY$1,AE$1)+SUMIFS('changes2_based on steps'!$B154:$U154,'changes2_based on steps'!$B$1:$U$1,AE$1)</f>
        <v>0</v>
      </c>
      <c r="AF154" s="140"/>
      <c r="AG154" s="140"/>
      <c r="AH154" s="140"/>
      <c r="AI154" s="140"/>
      <c r="AJ154" s="140"/>
      <c r="AK154" s="140"/>
      <c r="AL154" s="140"/>
      <c r="AM154" s="140"/>
    </row>
    <row r="155" spans="1:39" x14ac:dyDescent="0.2">
      <c r="A155" s="29">
        <f t="shared" ca="1" si="2"/>
        <v>45895</v>
      </c>
      <c r="B155" s="140">
        <f ca="1">SUMIFS('recurring2_based on steps'!$B155:$AY155,'recurring2_based on steps'!$B$1:$AY$1,B$1)+SUMIFS('changes2_based on steps'!$B155:$U155,'changes2_based on steps'!$B$1:$U$1,B$1)</f>
        <v>0</v>
      </c>
      <c r="C155" s="140">
        <f>SUMIFS('recurring2_based on steps'!$B155:$AY155,'recurring2_based on steps'!$B$1:$AY$1,C$1)+SUMIFS('changes2_based on steps'!$B155:$U155,'changes2_based on steps'!$B$1:$U$1,C$1)</f>
        <v>0</v>
      </c>
      <c r="D155" s="140">
        <f>SUMIFS('recurring2_based on steps'!$B155:$AY155,'recurring2_based on steps'!$B$1:$AY$1,D$1)+SUMIFS('changes2_based on steps'!$B155:$U155,'changes2_based on steps'!$B$1:$U$1,D$1)</f>
        <v>0</v>
      </c>
      <c r="E155" s="140">
        <f>SUMIFS('recurring2_based on steps'!$B155:$AY155,'recurring2_based on steps'!$B$1:$AY$1,E$1)+SUMIFS('changes2_based on steps'!$B155:$U155,'changes2_based on steps'!$B$1:$U$1,E$1)</f>
        <v>0</v>
      </c>
      <c r="F155" s="140">
        <f>SUMIFS('recurring2_based on steps'!$B155:$AY155,'recurring2_based on steps'!$B$1:$AY$1,F$1)+SUMIFS('changes2_based on steps'!$B155:$U155,'changes2_based on steps'!$B$1:$U$1,F$1)</f>
        <v>0</v>
      </c>
      <c r="G155" s="140">
        <f>SUMIFS('recurring2_based on steps'!$B155:$AY155,'recurring2_based on steps'!$B$1:$AY$1,G$1)+SUMIFS('changes2_based on steps'!$B155:$U155,'changes2_based on steps'!$B$1:$U$1,G$1)</f>
        <v>0</v>
      </c>
      <c r="H155" s="140">
        <f>SUMIFS('recurring2_based on steps'!$B155:$AY155,'recurring2_based on steps'!$B$1:$AY$1,H$1)+SUMIFS('changes2_based on steps'!$B155:$U155,'changes2_based on steps'!$B$1:$U$1,H$1)</f>
        <v>0</v>
      </c>
      <c r="I155" s="140">
        <f>SUMIFS('recurring2_based on steps'!$B155:$AY155,'recurring2_based on steps'!$B$1:$AY$1,I$1)+SUMIFS('changes2_based on steps'!$B155:$U155,'changes2_based on steps'!$B$1:$U$1,I$1)</f>
        <v>0</v>
      </c>
      <c r="J155" s="140">
        <f ca="1">SUMIFS('recurring2_based on steps'!$B155:$AY155,'recurring2_based on steps'!$B$1:$AY$1,J$1)+SUMIFS('changes2_based on steps'!$B155:$U155,'changes2_based on steps'!$B$1:$U$1,J$1)</f>
        <v>0</v>
      </c>
      <c r="K155" s="140">
        <f>SUMIFS('recurring2_based on steps'!$B155:$AY155,'recurring2_based on steps'!$B$1:$AY$1,K$1)+SUMIFS('changes2_based on steps'!$B155:$U155,'changes2_based on steps'!$B$1:$U$1,K$1)</f>
        <v>0</v>
      </c>
      <c r="L155" s="140">
        <f>SUMIFS('recurring2_based on steps'!$B155:$AY155,'recurring2_based on steps'!$B$1:$AY$1,L$1)+SUMIFS('changes2_based on steps'!$B155:$U155,'changes2_based on steps'!$B$1:$U$1,L$1)</f>
        <v>0</v>
      </c>
      <c r="M155" s="140">
        <f>SUMIFS('recurring2_based on steps'!$B155:$AY155,'recurring2_based on steps'!$B$1:$AY$1,M$1)+SUMIFS('changes2_based on steps'!$B155:$U155,'changes2_based on steps'!$B$1:$U$1,M$1)</f>
        <v>0</v>
      </c>
      <c r="N155" s="140">
        <f ca="1">SUMIFS('recurring2_based on steps'!$B155:$AY155,'recurring2_based on steps'!$B$1:$AY$1,N$1)+SUMIFS('changes2_based on steps'!$B155:$U155,'changes2_based on steps'!$B$1:$U$1,N$1)</f>
        <v>0</v>
      </c>
      <c r="O155" s="140">
        <f>SUMIFS('recurring2_based on steps'!$B155:$AY155,'recurring2_based on steps'!$B$1:$AY$1,O$1)+SUMIFS('changes2_based on steps'!$B155:$U155,'changes2_based on steps'!$B$1:$U$1,O$1)</f>
        <v>0</v>
      </c>
      <c r="P155" s="140">
        <f ca="1">SUMIFS('recurring2_based on steps'!$B155:$AY155,'recurring2_based on steps'!$B$1:$AY$1,P$1)+SUMIFS('changes2_based on steps'!$B155:$U155,'changes2_based on steps'!$B$1:$U$1,P$1)</f>
        <v>0</v>
      </c>
      <c r="Q155" s="140">
        <f ca="1">SUMIFS('recurring2_based on steps'!$B155:$AY155,'recurring2_based on steps'!$B$1:$AY$1,Q$1)+SUMIFS('changes2_based on steps'!$B155:$U155,'changes2_based on steps'!$B$1:$U$1,Q$1)</f>
        <v>5.5401662049861494E-2</v>
      </c>
      <c r="R155" s="140">
        <f ca="1">SUMIFS('recurring2_based on steps'!$B155:$AY155,'recurring2_based on steps'!$B$1:$AY$1,R$1)+SUMIFS('changes2_based on steps'!$B155:$U155,'changes2_based on steps'!$B$1:$U$1,R$1)</f>
        <v>0</v>
      </c>
      <c r="S155" s="140">
        <f>SUMIFS('recurring2_based on steps'!$B155:$AY155,'recurring2_based on steps'!$B$1:$AY$1,S$1)+SUMIFS('changes2_based on steps'!$B155:$U155,'changes2_based on steps'!$B$1:$U$1,S$1)</f>
        <v>0</v>
      </c>
      <c r="T155" s="140">
        <f ca="1">SUMIFS('recurring2_based on steps'!$B155:$AY155,'recurring2_based on steps'!$B$1:$AY$1,T$1)+SUMIFS('changes2_based on steps'!$B155:$U155,'changes2_based on steps'!$B$1:$U$1,T$1)</f>
        <v>0</v>
      </c>
      <c r="U155" s="140">
        <f ca="1">SUMIFS('recurring2_based on steps'!$B155:$AY155,'recurring2_based on steps'!$B$1:$AY$1,U$1)+SUMIFS('changes2_based on steps'!$B155:$U155,'changes2_based on steps'!$B$1:$U$1,U$1)</f>
        <v>0</v>
      </c>
      <c r="V155" s="140">
        <f>SUMIFS('recurring2_based on steps'!$B155:$AY155,'recurring2_based on steps'!$B$1:$AY$1,V$1)+SUMIFS('changes2_based on steps'!$B155:$U155,'changes2_based on steps'!$B$1:$U$1,V$1)</f>
        <v>0</v>
      </c>
      <c r="W155" s="140">
        <f>SUMIFS('recurring2_based on steps'!$B155:$AY155,'recurring2_based on steps'!$B$1:$AY$1,W$1)+SUMIFS('changes2_based on steps'!$B155:$U155,'changes2_based on steps'!$B$1:$U$1,W$1)</f>
        <v>0</v>
      </c>
      <c r="X155" s="140">
        <f ca="1">SUMIFS('recurring2_based on steps'!$B155:$AY155,'recurring2_based on steps'!$B$1:$AY$1,X$1)+SUMIFS('changes2_based on steps'!$B155:$U155,'changes2_based on steps'!$B$1:$U$1,X$1)</f>
        <v>0</v>
      </c>
      <c r="Y155" s="140">
        <f ca="1">SUMIFS('recurring2_based on steps'!$B155:$AY155,'recurring2_based on steps'!$B$1:$AY$1,Y$1)+SUMIFS('changes2_based on steps'!$B155:$U155,'changes2_based on steps'!$B$1:$U$1,Y$1)</f>
        <v>0</v>
      </c>
      <c r="Z155" s="140">
        <f>SUMIFS('recurring2_based on steps'!$B155:$AY155,'recurring2_based on steps'!$B$1:$AY$1,Z$1)+SUMIFS('changes2_based on steps'!$B155:$U155,'changes2_based on steps'!$B$1:$U$1,Z$1)</f>
        <v>0</v>
      </c>
      <c r="AA155" s="140">
        <f ca="1">SUMIFS('recurring2_based on steps'!$B155:$AY155,'recurring2_based on steps'!$B$1:$AY$1,AA$1)+SUMIFS('changes2_based on steps'!$B155:$U155,'changes2_based on steps'!$B$1:$U$1,AA$1)</f>
        <v>0</v>
      </c>
      <c r="AB155" s="140">
        <f ca="1">SUMIFS('recurring2_based on steps'!$B155:$AY155,'recurring2_based on steps'!$B$1:$AY$1,AB$1)+SUMIFS('changes2_based on steps'!$B155:$U155,'changes2_based on steps'!$B$1:$U$1,AB$1)</f>
        <v>0</v>
      </c>
      <c r="AC155" s="140">
        <f ca="1">SUMIFS('recurring2_based on steps'!$B155:$AY155,'recurring2_based on steps'!$B$1:$AY$1,AC$1)+SUMIFS('changes2_based on steps'!$B155:$U155,'changes2_based on steps'!$B$1:$U$1,AC$1)</f>
        <v>0</v>
      </c>
      <c r="AD155" s="140">
        <f ca="1">SUMIFS('recurring2_based on steps'!$B155:$AY155,'recurring2_based on steps'!$B$1:$AY$1,AD$1)+SUMIFS('changes2_based on steps'!$B155:$U155,'changes2_based on steps'!$B$1:$U$1,AD$1)</f>
        <v>0</v>
      </c>
      <c r="AE155" s="140">
        <f>SUMIFS('recurring2_based on steps'!$B155:$AY155,'recurring2_based on steps'!$B$1:$AY$1,AE$1)+SUMIFS('changes2_based on steps'!$B155:$U155,'changes2_based on steps'!$B$1:$U$1,AE$1)</f>
        <v>0</v>
      </c>
      <c r="AF155" s="140"/>
      <c r="AG155" s="140"/>
      <c r="AH155" s="140"/>
      <c r="AI155" s="140"/>
      <c r="AJ155" s="140"/>
      <c r="AK155" s="140"/>
      <c r="AL155" s="140"/>
      <c r="AM155" s="140"/>
    </row>
    <row r="156" spans="1:39" x14ac:dyDescent="0.2">
      <c r="A156" s="29">
        <f t="shared" ca="1" si="2"/>
        <v>45896</v>
      </c>
      <c r="B156" s="140">
        <f ca="1">SUMIFS('recurring2_based on steps'!$B156:$AY156,'recurring2_based on steps'!$B$1:$AY$1,B$1)+SUMIFS('changes2_based on steps'!$B156:$U156,'changes2_based on steps'!$B$1:$U$1,B$1)</f>
        <v>0</v>
      </c>
      <c r="C156" s="140">
        <f>SUMIFS('recurring2_based on steps'!$B156:$AY156,'recurring2_based on steps'!$B$1:$AY$1,C$1)+SUMIFS('changes2_based on steps'!$B156:$U156,'changes2_based on steps'!$B$1:$U$1,C$1)</f>
        <v>0</v>
      </c>
      <c r="D156" s="140">
        <f>SUMIFS('recurring2_based on steps'!$B156:$AY156,'recurring2_based on steps'!$B$1:$AY$1,D$1)+SUMIFS('changes2_based on steps'!$B156:$U156,'changes2_based on steps'!$B$1:$U$1,D$1)</f>
        <v>0</v>
      </c>
      <c r="E156" s="140">
        <f>SUMIFS('recurring2_based on steps'!$B156:$AY156,'recurring2_based on steps'!$B$1:$AY$1,E$1)+SUMIFS('changes2_based on steps'!$B156:$U156,'changes2_based on steps'!$B$1:$U$1,E$1)</f>
        <v>0</v>
      </c>
      <c r="F156" s="140">
        <f>SUMIFS('recurring2_based on steps'!$B156:$AY156,'recurring2_based on steps'!$B$1:$AY$1,F$1)+SUMIFS('changes2_based on steps'!$B156:$U156,'changes2_based on steps'!$B$1:$U$1,F$1)</f>
        <v>0</v>
      </c>
      <c r="G156" s="140">
        <f>SUMIFS('recurring2_based on steps'!$B156:$AY156,'recurring2_based on steps'!$B$1:$AY$1,G$1)+SUMIFS('changes2_based on steps'!$B156:$U156,'changes2_based on steps'!$B$1:$U$1,G$1)</f>
        <v>0</v>
      </c>
      <c r="H156" s="140">
        <f>SUMIFS('recurring2_based on steps'!$B156:$AY156,'recurring2_based on steps'!$B$1:$AY$1,H$1)+SUMIFS('changes2_based on steps'!$B156:$U156,'changes2_based on steps'!$B$1:$U$1,H$1)</f>
        <v>0</v>
      </c>
      <c r="I156" s="140">
        <f>SUMIFS('recurring2_based on steps'!$B156:$AY156,'recurring2_based on steps'!$B$1:$AY$1,I$1)+SUMIFS('changes2_based on steps'!$B156:$U156,'changes2_based on steps'!$B$1:$U$1,I$1)</f>
        <v>0</v>
      </c>
      <c r="J156" s="140">
        <f ca="1">SUMIFS('recurring2_based on steps'!$B156:$AY156,'recurring2_based on steps'!$B$1:$AY$1,J$1)+SUMIFS('changes2_based on steps'!$B156:$U156,'changes2_based on steps'!$B$1:$U$1,J$1)</f>
        <v>0</v>
      </c>
      <c r="K156" s="140">
        <f>SUMIFS('recurring2_based on steps'!$B156:$AY156,'recurring2_based on steps'!$B$1:$AY$1,K$1)+SUMIFS('changes2_based on steps'!$B156:$U156,'changes2_based on steps'!$B$1:$U$1,K$1)</f>
        <v>0</v>
      </c>
      <c r="L156" s="140">
        <f>SUMIFS('recurring2_based on steps'!$B156:$AY156,'recurring2_based on steps'!$B$1:$AY$1,L$1)+SUMIFS('changes2_based on steps'!$B156:$U156,'changes2_based on steps'!$B$1:$U$1,L$1)</f>
        <v>0</v>
      </c>
      <c r="M156" s="140">
        <f>SUMIFS('recurring2_based on steps'!$B156:$AY156,'recurring2_based on steps'!$B$1:$AY$1,M$1)+SUMIFS('changes2_based on steps'!$B156:$U156,'changes2_based on steps'!$B$1:$U$1,M$1)</f>
        <v>0</v>
      </c>
      <c r="N156" s="140">
        <f ca="1">SUMIFS('recurring2_based on steps'!$B156:$AY156,'recurring2_based on steps'!$B$1:$AY$1,N$1)+SUMIFS('changes2_based on steps'!$B156:$U156,'changes2_based on steps'!$B$1:$U$1,N$1)</f>
        <v>0</v>
      </c>
      <c r="O156" s="140">
        <f>SUMIFS('recurring2_based on steps'!$B156:$AY156,'recurring2_based on steps'!$B$1:$AY$1,O$1)+SUMIFS('changes2_based on steps'!$B156:$U156,'changes2_based on steps'!$B$1:$U$1,O$1)</f>
        <v>0</v>
      </c>
      <c r="P156" s="140">
        <f ca="1">SUMIFS('recurring2_based on steps'!$B156:$AY156,'recurring2_based on steps'!$B$1:$AY$1,P$1)+SUMIFS('changes2_based on steps'!$B156:$U156,'changes2_based on steps'!$B$1:$U$1,P$1)</f>
        <v>0</v>
      </c>
      <c r="Q156" s="140">
        <f ca="1">SUMIFS('recurring2_based on steps'!$B156:$AY156,'recurring2_based on steps'!$B$1:$AY$1,Q$1)+SUMIFS('changes2_based on steps'!$B156:$U156,'changes2_based on steps'!$B$1:$U$1,Q$1)</f>
        <v>5.5401662049861494E-2</v>
      </c>
      <c r="R156" s="140">
        <f ca="1">SUMIFS('recurring2_based on steps'!$B156:$AY156,'recurring2_based on steps'!$B$1:$AY$1,R$1)+SUMIFS('changes2_based on steps'!$B156:$U156,'changes2_based on steps'!$B$1:$U$1,R$1)</f>
        <v>2.99</v>
      </c>
      <c r="S156" s="140">
        <f>SUMIFS('recurring2_based on steps'!$B156:$AY156,'recurring2_based on steps'!$B$1:$AY$1,S$1)+SUMIFS('changes2_based on steps'!$B156:$U156,'changes2_based on steps'!$B$1:$U$1,S$1)</f>
        <v>0</v>
      </c>
      <c r="T156" s="140">
        <f ca="1">SUMIFS('recurring2_based on steps'!$B156:$AY156,'recurring2_based on steps'!$B$1:$AY$1,T$1)+SUMIFS('changes2_based on steps'!$B156:$U156,'changes2_based on steps'!$B$1:$U$1,T$1)</f>
        <v>0</v>
      </c>
      <c r="U156" s="140">
        <f ca="1">SUMIFS('recurring2_based on steps'!$B156:$AY156,'recurring2_based on steps'!$B$1:$AY$1,U$1)+SUMIFS('changes2_based on steps'!$B156:$U156,'changes2_based on steps'!$B$1:$U$1,U$1)</f>
        <v>0</v>
      </c>
      <c r="V156" s="140">
        <f>SUMIFS('recurring2_based on steps'!$B156:$AY156,'recurring2_based on steps'!$B$1:$AY$1,V$1)+SUMIFS('changes2_based on steps'!$B156:$U156,'changes2_based on steps'!$B$1:$U$1,V$1)</f>
        <v>0</v>
      </c>
      <c r="W156" s="140">
        <f>SUMIFS('recurring2_based on steps'!$B156:$AY156,'recurring2_based on steps'!$B$1:$AY$1,W$1)+SUMIFS('changes2_based on steps'!$B156:$U156,'changes2_based on steps'!$B$1:$U$1,W$1)</f>
        <v>0</v>
      </c>
      <c r="X156" s="140">
        <f ca="1">SUMIFS('recurring2_based on steps'!$B156:$AY156,'recurring2_based on steps'!$B$1:$AY$1,X$1)+SUMIFS('changes2_based on steps'!$B156:$U156,'changes2_based on steps'!$B$1:$U$1,X$1)</f>
        <v>0</v>
      </c>
      <c r="Y156" s="140">
        <f ca="1">SUMIFS('recurring2_based on steps'!$B156:$AY156,'recurring2_based on steps'!$B$1:$AY$1,Y$1)+SUMIFS('changes2_based on steps'!$B156:$U156,'changes2_based on steps'!$B$1:$U$1,Y$1)</f>
        <v>0</v>
      </c>
      <c r="Z156" s="140">
        <f>SUMIFS('recurring2_based on steps'!$B156:$AY156,'recurring2_based on steps'!$B$1:$AY$1,Z$1)+SUMIFS('changes2_based on steps'!$B156:$U156,'changes2_based on steps'!$B$1:$U$1,Z$1)</f>
        <v>0</v>
      </c>
      <c r="AA156" s="140">
        <f ca="1">SUMIFS('recurring2_based on steps'!$B156:$AY156,'recurring2_based on steps'!$B$1:$AY$1,AA$1)+SUMIFS('changes2_based on steps'!$B156:$U156,'changes2_based on steps'!$B$1:$U$1,AA$1)</f>
        <v>0</v>
      </c>
      <c r="AB156" s="140">
        <f ca="1">SUMIFS('recurring2_based on steps'!$B156:$AY156,'recurring2_based on steps'!$B$1:$AY$1,AB$1)+SUMIFS('changes2_based on steps'!$B156:$U156,'changes2_based on steps'!$B$1:$U$1,AB$1)</f>
        <v>0</v>
      </c>
      <c r="AC156" s="140">
        <f ca="1">SUMIFS('recurring2_based on steps'!$B156:$AY156,'recurring2_based on steps'!$B$1:$AY$1,AC$1)+SUMIFS('changes2_based on steps'!$B156:$U156,'changes2_based on steps'!$B$1:$U$1,AC$1)</f>
        <v>0</v>
      </c>
      <c r="AD156" s="140">
        <f ca="1">SUMIFS('recurring2_based on steps'!$B156:$AY156,'recurring2_based on steps'!$B$1:$AY$1,AD$1)+SUMIFS('changes2_based on steps'!$B156:$U156,'changes2_based on steps'!$B$1:$U$1,AD$1)</f>
        <v>0</v>
      </c>
      <c r="AE156" s="140">
        <f>SUMIFS('recurring2_based on steps'!$B156:$AY156,'recurring2_based on steps'!$B$1:$AY$1,AE$1)+SUMIFS('changes2_based on steps'!$B156:$U156,'changes2_based on steps'!$B$1:$U$1,AE$1)</f>
        <v>0</v>
      </c>
      <c r="AF156" s="140"/>
      <c r="AG156" s="140"/>
      <c r="AH156" s="140"/>
      <c r="AI156" s="140"/>
      <c r="AJ156" s="140"/>
      <c r="AK156" s="140"/>
      <c r="AL156" s="140"/>
      <c r="AM156" s="140"/>
    </row>
    <row r="157" spans="1:39" x14ac:dyDescent="0.2">
      <c r="A157" s="29">
        <f t="shared" ca="1" si="2"/>
        <v>45897</v>
      </c>
      <c r="B157" s="140">
        <f ca="1">SUMIFS('recurring2_based on steps'!$B157:$AY157,'recurring2_based on steps'!$B$1:$AY$1,B$1)+SUMIFS('changes2_based on steps'!$B157:$U157,'changes2_based on steps'!$B$1:$U$1,B$1)</f>
        <v>0</v>
      </c>
      <c r="C157" s="140">
        <f>SUMIFS('recurring2_based on steps'!$B157:$AY157,'recurring2_based on steps'!$B$1:$AY$1,C$1)+SUMIFS('changes2_based on steps'!$B157:$U157,'changes2_based on steps'!$B$1:$U$1,C$1)</f>
        <v>0</v>
      </c>
      <c r="D157" s="140">
        <f>SUMIFS('recurring2_based on steps'!$B157:$AY157,'recurring2_based on steps'!$B$1:$AY$1,D$1)+SUMIFS('changes2_based on steps'!$B157:$U157,'changes2_based on steps'!$B$1:$U$1,D$1)</f>
        <v>0</v>
      </c>
      <c r="E157" s="140">
        <f>SUMIFS('recurring2_based on steps'!$B157:$AY157,'recurring2_based on steps'!$B$1:$AY$1,E$1)+SUMIFS('changes2_based on steps'!$B157:$U157,'changes2_based on steps'!$B$1:$U$1,E$1)</f>
        <v>0</v>
      </c>
      <c r="F157" s="140">
        <f>SUMIFS('recurring2_based on steps'!$B157:$AY157,'recurring2_based on steps'!$B$1:$AY$1,F$1)+SUMIFS('changes2_based on steps'!$B157:$U157,'changes2_based on steps'!$B$1:$U$1,F$1)</f>
        <v>0</v>
      </c>
      <c r="G157" s="140">
        <f>SUMIFS('recurring2_based on steps'!$B157:$AY157,'recurring2_based on steps'!$B$1:$AY$1,G$1)+SUMIFS('changes2_based on steps'!$B157:$U157,'changes2_based on steps'!$B$1:$U$1,G$1)</f>
        <v>0</v>
      </c>
      <c r="H157" s="140">
        <f>SUMIFS('recurring2_based on steps'!$B157:$AY157,'recurring2_based on steps'!$B$1:$AY$1,H$1)+SUMIFS('changes2_based on steps'!$B157:$U157,'changes2_based on steps'!$B$1:$U$1,H$1)</f>
        <v>0</v>
      </c>
      <c r="I157" s="140">
        <f>SUMIFS('recurring2_based on steps'!$B157:$AY157,'recurring2_based on steps'!$B$1:$AY$1,I$1)+SUMIFS('changes2_based on steps'!$B157:$U157,'changes2_based on steps'!$B$1:$U$1,I$1)</f>
        <v>0</v>
      </c>
      <c r="J157" s="140">
        <f ca="1">SUMIFS('recurring2_based on steps'!$B157:$AY157,'recurring2_based on steps'!$B$1:$AY$1,J$1)+SUMIFS('changes2_based on steps'!$B157:$U157,'changes2_based on steps'!$B$1:$U$1,J$1)</f>
        <v>0</v>
      </c>
      <c r="K157" s="140">
        <f>SUMIFS('recurring2_based on steps'!$B157:$AY157,'recurring2_based on steps'!$B$1:$AY$1,K$1)+SUMIFS('changes2_based on steps'!$B157:$U157,'changes2_based on steps'!$B$1:$U$1,K$1)</f>
        <v>0</v>
      </c>
      <c r="L157" s="140">
        <f>SUMIFS('recurring2_based on steps'!$B157:$AY157,'recurring2_based on steps'!$B$1:$AY$1,L$1)+SUMIFS('changes2_based on steps'!$B157:$U157,'changes2_based on steps'!$B$1:$U$1,L$1)</f>
        <v>0</v>
      </c>
      <c r="M157" s="140">
        <f>SUMIFS('recurring2_based on steps'!$B157:$AY157,'recurring2_based on steps'!$B$1:$AY$1,M$1)+SUMIFS('changes2_based on steps'!$B157:$U157,'changes2_based on steps'!$B$1:$U$1,M$1)</f>
        <v>0</v>
      </c>
      <c r="N157" s="140">
        <f ca="1">SUMIFS('recurring2_based on steps'!$B157:$AY157,'recurring2_based on steps'!$B$1:$AY$1,N$1)+SUMIFS('changes2_based on steps'!$B157:$U157,'changes2_based on steps'!$B$1:$U$1,N$1)</f>
        <v>0</v>
      </c>
      <c r="O157" s="140">
        <f>SUMIFS('recurring2_based on steps'!$B157:$AY157,'recurring2_based on steps'!$B$1:$AY$1,O$1)+SUMIFS('changes2_based on steps'!$B157:$U157,'changes2_based on steps'!$B$1:$U$1,O$1)</f>
        <v>0</v>
      </c>
      <c r="P157" s="140">
        <f ca="1">SUMIFS('recurring2_based on steps'!$B157:$AY157,'recurring2_based on steps'!$B$1:$AY$1,P$1)+SUMIFS('changes2_based on steps'!$B157:$U157,'changes2_based on steps'!$B$1:$U$1,P$1)</f>
        <v>0</v>
      </c>
      <c r="Q157" s="140">
        <f ca="1">SUMIFS('recurring2_based on steps'!$B157:$AY157,'recurring2_based on steps'!$B$1:$AY$1,Q$1)+SUMIFS('changes2_based on steps'!$B157:$U157,'changes2_based on steps'!$B$1:$U$1,Q$1)</f>
        <v>5.5401662049861494E-2</v>
      </c>
      <c r="R157" s="140">
        <f ca="1">SUMIFS('recurring2_based on steps'!$B157:$AY157,'recurring2_based on steps'!$B$1:$AY$1,R$1)+SUMIFS('changes2_based on steps'!$B157:$U157,'changes2_based on steps'!$B$1:$U$1,R$1)</f>
        <v>0</v>
      </c>
      <c r="S157" s="140">
        <f>SUMIFS('recurring2_based on steps'!$B157:$AY157,'recurring2_based on steps'!$B$1:$AY$1,S$1)+SUMIFS('changes2_based on steps'!$B157:$U157,'changes2_based on steps'!$B$1:$U$1,S$1)</f>
        <v>0</v>
      </c>
      <c r="T157" s="140">
        <f ca="1">SUMIFS('recurring2_based on steps'!$B157:$AY157,'recurring2_based on steps'!$B$1:$AY$1,T$1)+SUMIFS('changes2_based on steps'!$B157:$U157,'changes2_based on steps'!$B$1:$U$1,T$1)</f>
        <v>0</v>
      </c>
      <c r="U157" s="140">
        <f ca="1">SUMIFS('recurring2_based on steps'!$B157:$AY157,'recurring2_based on steps'!$B$1:$AY$1,U$1)+SUMIFS('changes2_based on steps'!$B157:$U157,'changes2_based on steps'!$B$1:$U$1,U$1)</f>
        <v>0</v>
      </c>
      <c r="V157" s="140">
        <f>SUMIFS('recurring2_based on steps'!$B157:$AY157,'recurring2_based on steps'!$B$1:$AY$1,V$1)+SUMIFS('changes2_based on steps'!$B157:$U157,'changes2_based on steps'!$B$1:$U$1,V$1)</f>
        <v>0</v>
      </c>
      <c r="W157" s="140">
        <f>SUMIFS('recurring2_based on steps'!$B157:$AY157,'recurring2_based on steps'!$B$1:$AY$1,W$1)+SUMIFS('changes2_based on steps'!$B157:$U157,'changes2_based on steps'!$B$1:$U$1,W$1)</f>
        <v>0</v>
      </c>
      <c r="X157" s="140">
        <f ca="1">SUMIFS('recurring2_based on steps'!$B157:$AY157,'recurring2_based on steps'!$B$1:$AY$1,X$1)+SUMIFS('changes2_based on steps'!$B157:$U157,'changes2_based on steps'!$B$1:$U$1,X$1)</f>
        <v>0</v>
      </c>
      <c r="Y157" s="140">
        <f ca="1">SUMIFS('recurring2_based on steps'!$B157:$AY157,'recurring2_based on steps'!$B$1:$AY$1,Y$1)+SUMIFS('changes2_based on steps'!$B157:$U157,'changes2_based on steps'!$B$1:$U$1,Y$1)</f>
        <v>0</v>
      </c>
      <c r="Z157" s="140">
        <f>SUMIFS('recurring2_based on steps'!$B157:$AY157,'recurring2_based on steps'!$B$1:$AY$1,Z$1)+SUMIFS('changes2_based on steps'!$B157:$U157,'changes2_based on steps'!$B$1:$U$1,Z$1)</f>
        <v>0</v>
      </c>
      <c r="AA157" s="140">
        <f ca="1">SUMIFS('recurring2_based on steps'!$B157:$AY157,'recurring2_based on steps'!$B$1:$AY$1,AA$1)+SUMIFS('changes2_based on steps'!$B157:$U157,'changes2_based on steps'!$B$1:$U$1,AA$1)</f>
        <v>0</v>
      </c>
      <c r="AB157" s="140">
        <f ca="1">SUMIFS('recurring2_based on steps'!$B157:$AY157,'recurring2_based on steps'!$B$1:$AY$1,AB$1)+SUMIFS('changes2_based on steps'!$B157:$U157,'changes2_based on steps'!$B$1:$U$1,AB$1)</f>
        <v>0</v>
      </c>
      <c r="AC157" s="140">
        <f ca="1">SUMIFS('recurring2_based on steps'!$B157:$AY157,'recurring2_based on steps'!$B$1:$AY$1,AC$1)+SUMIFS('changes2_based on steps'!$B157:$U157,'changes2_based on steps'!$B$1:$U$1,AC$1)</f>
        <v>0</v>
      </c>
      <c r="AD157" s="140">
        <f ca="1">SUMIFS('recurring2_based on steps'!$B157:$AY157,'recurring2_based on steps'!$B$1:$AY$1,AD$1)+SUMIFS('changes2_based on steps'!$B157:$U157,'changes2_based on steps'!$B$1:$U$1,AD$1)</f>
        <v>0</v>
      </c>
      <c r="AE157" s="140">
        <f>SUMIFS('recurring2_based on steps'!$B157:$AY157,'recurring2_based on steps'!$B$1:$AY$1,AE$1)+SUMIFS('changes2_based on steps'!$B157:$U157,'changes2_based on steps'!$B$1:$U$1,AE$1)</f>
        <v>0</v>
      </c>
      <c r="AF157" s="140"/>
      <c r="AG157" s="140"/>
      <c r="AH157" s="140"/>
      <c r="AI157" s="140"/>
      <c r="AJ157" s="140"/>
      <c r="AK157" s="140"/>
      <c r="AL157" s="140"/>
      <c r="AM157" s="140"/>
    </row>
    <row r="158" spans="1:39" x14ac:dyDescent="0.2">
      <c r="A158" s="29">
        <f t="shared" ca="1" si="2"/>
        <v>45898</v>
      </c>
      <c r="B158" s="140">
        <f ca="1">SUMIFS('recurring2_based on steps'!$B158:$AY158,'recurring2_based on steps'!$B$1:$AY$1,B$1)+SUMIFS('changes2_based on steps'!$B158:$U158,'changes2_based on steps'!$B$1:$U$1,B$1)</f>
        <v>0</v>
      </c>
      <c r="C158" s="140">
        <f>SUMIFS('recurring2_based on steps'!$B158:$AY158,'recurring2_based on steps'!$B$1:$AY$1,C$1)+SUMIFS('changes2_based on steps'!$B158:$U158,'changes2_based on steps'!$B$1:$U$1,C$1)</f>
        <v>0</v>
      </c>
      <c r="D158" s="140">
        <f>SUMIFS('recurring2_based on steps'!$B158:$AY158,'recurring2_based on steps'!$B$1:$AY$1,D$1)+SUMIFS('changes2_based on steps'!$B158:$U158,'changes2_based on steps'!$B$1:$U$1,D$1)</f>
        <v>0</v>
      </c>
      <c r="E158" s="140">
        <f>SUMIFS('recurring2_based on steps'!$B158:$AY158,'recurring2_based on steps'!$B$1:$AY$1,E$1)+SUMIFS('changes2_based on steps'!$B158:$U158,'changes2_based on steps'!$B$1:$U$1,E$1)</f>
        <v>0</v>
      </c>
      <c r="F158" s="140">
        <f>SUMIFS('recurring2_based on steps'!$B158:$AY158,'recurring2_based on steps'!$B$1:$AY$1,F$1)+SUMIFS('changes2_based on steps'!$B158:$U158,'changes2_based on steps'!$B$1:$U$1,F$1)</f>
        <v>0</v>
      </c>
      <c r="G158" s="140">
        <f>SUMIFS('recurring2_based on steps'!$B158:$AY158,'recurring2_based on steps'!$B$1:$AY$1,G$1)+SUMIFS('changes2_based on steps'!$B158:$U158,'changes2_based on steps'!$B$1:$U$1,G$1)</f>
        <v>0</v>
      </c>
      <c r="H158" s="140">
        <f>SUMIFS('recurring2_based on steps'!$B158:$AY158,'recurring2_based on steps'!$B$1:$AY$1,H$1)+SUMIFS('changes2_based on steps'!$B158:$U158,'changes2_based on steps'!$B$1:$U$1,H$1)</f>
        <v>0</v>
      </c>
      <c r="I158" s="140">
        <f>SUMIFS('recurring2_based on steps'!$B158:$AY158,'recurring2_based on steps'!$B$1:$AY$1,I$1)+SUMIFS('changes2_based on steps'!$B158:$U158,'changes2_based on steps'!$B$1:$U$1,I$1)</f>
        <v>0</v>
      </c>
      <c r="J158" s="140">
        <f ca="1">SUMIFS('recurring2_based on steps'!$B158:$AY158,'recurring2_based on steps'!$B$1:$AY$1,J$1)+SUMIFS('changes2_based on steps'!$B158:$U158,'changes2_based on steps'!$B$1:$U$1,J$1)</f>
        <v>0</v>
      </c>
      <c r="K158" s="140">
        <f>SUMIFS('recurring2_based on steps'!$B158:$AY158,'recurring2_based on steps'!$B$1:$AY$1,K$1)+SUMIFS('changes2_based on steps'!$B158:$U158,'changes2_based on steps'!$B$1:$U$1,K$1)</f>
        <v>0</v>
      </c>
      <c r="L158" s="140">
        <f>SUMIFS('recurring2_based on steps'!$B158:$AY158,'recurring2_based on steps'!$B$1:$AY$1,L$1)+SUMIFS('changes2_based on steps'!$B158:$U158,'changes2_based on steps'!$B$1:$U$1,L$1)</f>
        <v>0</v>
      </c>
      <c r="M158" s="140">
        <f>SUMIFS('recurring2_based on steps'!$B158:$AY158,'recurring2_based on steps'!$B$1:$AY$1,M$1)+SUMIFS('changes2_based on steps'!$B158:$U158,'changes2_based on steps'!$B$1:$U$1,M$1)</f>
        <v>0</v>
      </c>
      <c r="N158" s="140">
        <f ca="1">SUMIFS('recurring2_based on steps'!$B158:$AY158,'recurring2_based on steps'!$B$1:$AY$1,N$1)+SUMIFS('changes2_based on steps'!$B158:$U158,'changes2_based on steps'!$B$1:$U$1,N$1)</f>
        <v>0</v>
      </c>
      <c r="O158" s="140">
        <f>SUMIFS('recurring2_based on steps'!$B158:$AY158,'recurring2_based on steps'!$B$1:$AY$1,O$1)+SUMIFS('changes2_based on steps'!$B158:$U158,'changes2_based on steps'!$B$1:$U$1,O$1)</f>
        <v>0</v>
      </c>
      <c r="P158" s="140">
        <f ca="1">SUMIFS('recurring2_based on steps'!$B158:$AY158,'recurring2_based on steps'!$B$1:$AY$1,P$1)+SUMIFS('changes2_based on steps'!$B158:$U158,'changes2_based on steps'!$B$1:$U$1,P$1)</f>
        <v>0</v>
      </c>
      <c r="Q158" s="140">
        <f ca="1">SUMIFS('recurring2_based on steps'!$B158:$AY158,'recurring2_based on steps'!$B$1:$AY$1,Q$1)+SUMIFS('changes2_based on steps'!$B158:$U158,'changes2_based on steps'!$B$1:$U$1,Q$1)</f>
        <v>5.5401662049861494E-2</v>
      </c>
      <c r="R158" s="140">
        <f ca="1">SUMIFS('recurring2_based on steps'!$B158:$AY158,'recurring2_based on steps'!$B$1:$AY$1,R$1)+SUMIFS('changes2_based on steps'!$B158:$U158,'changes2_based on steps'!$B$1:$U$1,R$1)</f>
        <v>0</v>
      </c>
      <c r="S158" s="140">
        <f>SUMIFS('recurring2_based on steps'!$B158:$AY158,'recurring2_based on steps'!$B$1:$AY$1,S$1)+SUMIFS('changes2_based on steps'!$B158:$U158,'changes2_based on steps'!$B$1:$U$1,S$1)</f>
        <v>0</v>
      </c>
      <c r="T158" s="140">
        <f ca="1">SUMIFS('recurring2_based on steps'!$B158:$AY158,'recurring2_based on steps'!$B$1:$AY$1,T$1)+SUMIFS('changes2_based on steps'!$B158:$U158,'changes2_based on steps'!$B$1:$U$1,T$1)</f>
        <v>0</v>
      </c>
      <c r="U158" s="140">
        <f ca="1">SUMIFS('recurring2_based on steps'!$B158:$AY158,'recurring2_based on steps'!$B$1:$AY$1,U$1)+SUMIFS('changes2_based on steps'!$B158:$U158,'changes2_based on steps'!$B$1:$U$1,U$1)</f>
        <v>0</v>
      </c>
      <c r="V158" s="140">
        <f>SUMIFS('recurring2_based on steps'!$B158:$AY158,'recurring2_based on steps'!$B$1:$AY$1,V$1)+SUMIFS('changes2_based on steps'!$B158:$U158,'changes2_based on steps'!$B$1:$U$1,V$1)</f>
        <v>0</v>
      </c>
      <c r="W158" s="140">
        <f>SUMIFS('recurring2_based on steps'!$B158:$AY158,'recurring2_based on steps'!$B$1:$AY$1,W$1)+SUMIFS('changes2_based on steps'!$B158:$U158,'changes2_based on steps'!$B$1:$U$1,W$1)</f>
        <v>0</v>
      </c>
      <c r="X158" s="140">
        <f ca="1">SUMIFS('recurring2_based on steps'!$B158:$AY158,'recurring2_based on steps'!$B$1:$AY$1,X$1)+SUMIFS('changes2_based on steps'!$B158:$U158,'changes2_based on steps'!$B$1:$U$1,X$1)</f>
        <v>0</v>
      </c>
      <c r="Y158" s="140">
        <f ca="1">SUMIFS('recurring2_based on steps'!$B158:$AY158,'recurring2_based on steps'!$B$1:$AY$1,Y$1)+SUMIFS('changes2_based on steps'!$B158:$U158,'changes2_based on steps'!$B$1:$U$1,Y$1)</f>
        <v>0</v>
      </c>
      <c r="Z158" s="140">
        <f>SUMIFS('recurring2_based on steps'!$B158:$AY158,'recurring2_based on steps'!$B$1:$AY$1,Z$1)+SUMIFS('changes2_based on steps'!$B158:$U158,'changes2_based on steps'!$B$1:$U$1,Z$1)</f>
        <v>0</v>
      </c>
      <c r="AA158" s="140">
        <f ca="1">SUMIFS('recurring2_based on steps'!$B158:$AY158,'recurring2_based on steps'!$B$1:$AY$1,AA$1)+SUMIFS('changes2_based on steps'!$B158:$U158,'changes2_based on steps'!$B$1:$U$1,AA$1)</f>
        <v>0</v>
      </c>
      <c r="AB158" s="140">
        <f ca="1">SUMIFS('recurring2_based on steps'!$B158:$AY158,'recurring2_based on steps'!$B$1:$AY$1,AB$1)+SUMIFS('changes2_based on steps'!$B158:$U158,'changes2_based on steps'!$B$1:$U$1,AB$1)</f>
        <v>0</v>
      </c>
      <c r="AC158" s="140">
        <f ca="1">SUMIFS('recurring2_based on steps'!$B158:$AY158,'recurring2_based on steps'!$B$1:$AY$1,AC$1)+SUMIFS('changes2_based on steps'!$B158:$U158,'changes2_based on steps'!$B$1:$U$1,AC$1)</f>
        <v>0</v>
      </c>
      <c r="AD158" s="140">
        <f ca="1">SUMIFS('recurring2_based on steps'!$B158:$AY158,'recurring2_based on steps'!$B$1:$AY$1,AD$1)+SUMIFS('changes2_based on steps'!$B158:$U158,'changes2_based on steps'!$B$1:$U$1,AD$1)</f>
        <v>0</v>
      </c>
      <c r="AE158" s="140">
        <f>SUMIFS('recurring2_based on steps'!$B158:$AY158,'recurring2_based on steps'!$B$1:$AY$1,AE$1)+SUMIFS('changes2_based on steps'!$B158:$U158,'changes2_based on steps'!$B$1:$U$1,AE$1)</f>
        <v>0</v>
      </c>
      <c r="AF158" s="140"/>
      <c r="AG158" s="140"/>
      <c r="AH158" s="140"/>
      <c r="AI158" s="140"/>
      <c r="AJ158" s="140"/>
      <c r="AK158" s="140"/>
      <c r="AL158" s="140"/>
      <c r="AM158" s="140"/>
    </row>
    <row r="159" spans="1:39" x14ac:dyDescent="0.2">
      <c r="A159" s="29">
        <f t="shared" ca="1" si="2"/>
        <v>45899</v>
      </c>
      <c r="B159" s="140">
        <f ca="1">SUMIFS('recurring2_based on steps'!$B159:$AY159,'recurring2_based on steps'!$B$1:$AY$1,B$1)+SUMIFS('changes2_based on steps'!$B159:$U159,'changes2_based on steps'!$B$1:$U$1,B$1)</f>
        <v>0</v>
      </c>
      <c r="C159" s="140">
        <f>SUMIFS('recurring2_based on steps'!$B159:$AY159,'recurring2_based on steps'!$B$1:$AY$1,C$1)+SUMIFS('changes2_based on steps'!$B159:$U159,'changes2_based on steps'!$B$1:$U$1,C$1)</f>
        <v>0</v>
      </c>
      <c r="D159" s="140">
        <f>SUMIFS('recurring2_based on steps'!$B159:$AY159,'recurring2_based on steps'!$B$1:$AY$1,D$1)+SUMIFS('changes2_based on steps'!$B159:$U159,'changes2_based on steps'!$B$1:$U$1,D$1)</f>
        <v>0</v>
      </c>
      <c r="E159" s="140">
        <f>SUMIFS('recurring2_based on steps'!$B159:$AY159,'recurring2_based on steps'!$B$1:$AY$1,E$1)+SUMIFS('changes2_based on steps'!$B159:$U159,'changes2_based on steps'!$B$1:$U$1,E$1)</f>
        <v>0</v>
      </c>
      <c r="F159" s="140">
        <f>SUMIFS('recurring2_based on steps'!$B159:$AY159,'recurring2_based on steps'!$B$1:$AY$1,F$1)+SUMIFS('changes2_based on steps'!$B159:$U159,'changes2_based on steps'!$B$1:$U$1,F$1)</f>
        <v>0</v>
      </c>
      <c r="G159" s="140">
        <f>SUMIFS('recurring2_based on steps'!$B159:$AY159,'recurring2_based on steps'!$B$1:$AY$1,G$1)+SUMIFS('changes2_based on steps'!$B159:$U159,'changes2_based on steps'!$B$1:$U$1,G$1)</f>
        <v>0</v>
      </c>
      <c r="H159" s="140">
        <f>SUMIFS('recurring2_based on steps'!$B159:$AY159,'recurring2_based on steps'!$B$1:$AY$1,H$1)+SUMIFS('changes2_based on steps'!$B159:$U159,'changes2_based on steps'!$B$1:$U$1,H$1)</f>
        <v>0</v>
      </c>
      <c r="I159" s="140">
        <f>SUMIFS('recurring2_based on steps'!$B159:$AY159,'recurring2_based on steps'!$B$1:$AY$1,I$1)+SUMIFS('changes2_based on steps'!$B159:$U159,'changes2_based on steps'!$B$1:$U$1,I$1)</f>
        <v>0</v>
      </c>
      <c r="J159" s="140">
        <f ca="1">SUMIFS('recurring2_based on steps'!$B159:$AY159,'recurring2_based on steps'!$B$1:$AY$1,J$1)+SUMIFS('changes2_based on steps'!$B159:$U159,'changes2_based on steps'!$B$1:$U$1,J$1)</f>
        <v>0</v>
      </c>
      <c r="K159" s="140">
        <f>SUMIFS('recurring2_based on steps'!$B159:$AY159,'recurring2_based on steps'!$B$1:$AY$1,K$1)+SUMIFS('changes2_based on steps'!$B159:$U159,'changes2_based on steps'!$B$1:$U$1,K$1)</f>
        <v>0</v>
      </c>
      <c r="L159" s="140">
        <f>SUMIFS('recurring2_based on steps'!$B159:$AY159,'recurring2_based on steps'!$B$1:$AY$1,L$1)+SUMIFS('changes2_based on steps'!$B159:$U159,'changes2_based on steps'!$B$1:$U$1,L$1)</f>
        <v>0</v>
      </c>
      <c r="M159" s="140">
        <f>SUMIFS('recurring2_based on steps'!$B159:$AY159,'recurring2_based on steps'!$B$1:$AY$1,M$1)+SUMIFS('changes2_based on steps'!$B159:$U159,'changes2_based on steps'!$B$1:$U$1,M$1)</f>
        <v>0</v>
      </c>
      <c r="N159" s="140">
        <f ca="1">SUMIFS('recurring2_based on steps'!$B159:$AY159,'recurring2_based on steps'!$B$1:$AY$1,N$1)+SUMIFS('changes2_based on steps'!$B159:$U159,'changes2_based on steps'!$B$1:$U$1,N$1)</f>
        <v>0</v>
      </c>
      <c r="O159" s="140">
        <f>SUMIFS('recurring2_based on steps'!$B159:$AY159,'recurring2_based on steps'!$B$1:$AY$1,O$1)+SUMIFS('changes2_based on steps'!$B159:$U159,'changes2_based on steps'!$B$1:$U$1,O$1)</f>
        <v>0</v>
      </c>
      <c r="P159" s="140">
        <f ca="1">SUMIFS('recurring2_based on steps'!$B159:$AY159,'recurring2_based on steps'!$B$1:$AY$1,P$1)+SUMIFS('changes2_based on steps'!$B159:$U159,'changes2_based on steps'!$B$1:$U$1,P$1)</f>
        <v>0</v>
      </c>
      <c r="Q159" s="140">
        <f ca="1">SUMIFS('recurring2_based on steps'!$B159:$AY159,'recurring2_based on steps'!$B$1:$AY$1,Q$1)+SUMIFS('changes2_based on steps'!$B159:$U159,'changes2_based on steps'!$B$1:$U$1,Q$1)</f>
        <v>100.05540166204986</v>
      </c>
      <c r="R159" s="140">
        <f ca="1">SUMIFS('recurring2_based on steps'!$B159:$AY159,'recurring2_based on steps'!$B$1:$AY$1,R$1)+SUMIFS('changes2_based on steps'!$B159:$U159,'changes2_based on steps'!$B$1:$U$1,R$1)</f>
        <v>0</v>
      </c>
      <c r="S159" s="140">
        <f>SUMIFS('recurring2_based on steps'!$B159:$AY159,'recurring2_based on steps'!$B$1:$AY$1,S$1)+SUMIFS('changes2_based on steps'!$B159:$U159,'changes2_based on steps'!$B$1:$U$1,S$1)</f>
        <v>0</v>
      </c>
      <c r="T159" s="140">
        <f ca="1">SUMIFS('recurring2_based on steps'!$B159:$AY159,'recurring2_based on steps'!$B$1:$AY$1,T$1)+SUMIFS('changes2_based on steps'!$B159:$U159,'changes2_based on steps'!$B$1:$U$1,T$1)</f>
        <v>0</v>
      </c>
      <c r="U159" s="140">
        <f ca="1">SUMIFS('recurring2_based on steps'!$B159:$AY159,'recurring2_based on steps'!$B$1:$AY$1,U$1)+SUMIFS('changes2_based on steps'!$B159:$U159,'changes2_based on steps'!$B$1:$U$1,U$1)</f>
        <v>0</v>
      </c>
      <c r="V159" s="140">
        <f>SUMIFS('recurring2_based on steps'!$B159:$AY159,'recurring2_based on steps'!$B$1:$AY$1,V$1)+SUMIFS('changes2_based on steps'!$B159:$U159,'changes2_based on steps'!$B$1:$U$1,V$1)</f>
        <v>0</v>
      </c>
      <c r="W159" s="140">
        <f>SUMIFS('recurring2_based on steps'!$B159:$AY159,'recurring2_based on steps'!$B$1:$AY$1,W$1)+SUMIFS('changes2_based on steps'!$B159:$U159,'changes2_based on steps'!$B$1:$U$1,W$1)</f>
        <v>0</v>
      </c>
      <c r="X159" s="140">
        <f ca="1">SUMIFS('recurring2_based on steps'!$B159:$AY159,'recurring2_based on steps'!$B$1:$AY$1,X$1)+SUMIFS('changes2_based on steps'!$B159:$U159,'changes2_based on steps'!$B$1:$U$1,X$1)</f>
        <v>0</v>
      </c>
      <c r="Y159" s="140">
        <f ca="1">SUMIFS('recurring2_based on steps'!$B159:$AY159,'recurring2_based on steps'!$B$1:$AY$1,Y$1)+SUMIFS('changes2_based on steps'!$B159:$U159,'changes2_based on steps'!$B$1:$U$1,Y$1)</f>
        <v>0</v>
      </c>
      <c r="Z159" s="140">
        <f>SUMIFS('recurring2_based on steps'!$B159:$AY159,'recurring2_based on steps'!$B$1:$AY$1,Z$1)+SUMIFS('changes2_based on steps'!$B159:$U159,'changes2_based on steps'!$B$1:$U$1,Z$1)</f>
        <v>0</v>
      </c>
      <c r="AA159" s="140">
        <f ca="1">SUMIFS('recurring2_based on steps'!$B159:$AY159,'recurring2_based on steps'!$B$1:$AY$1,AA$1)+SUMIFS('changes2_based on steps'!$B159:$U159,'changes2_based on steps'!$B$1:$U$1,AA$1)</f>
        <v>0</v>
      </c>
      <c r="AB159" s="140">
        <f ca="1">SUMIFS('recurring2_based on steps'!$B159:$AY159,'recurring2_based on steps'!$B$1:$AY$1,AB$1)+SUMIFS('changes2_based on steps'!$B159:$U159,'changes2_based on steps'!$B$1:$U$1,AB$1)</f>
        <v>100</v>
      </c>
      <c r="AC159" s="140">
        <f ca="1">SUMIFS('recurring2_based on steps'!$B159:$AY159,'recurring2_based on steps'!$B$1:$AY$1,AC$1)+SUMIFS('changes2_based on steps'!$B159:$U159,'changes2_based on steps'!$B$1:$U$1,AC$1)</f>
        <v>0</v>
      </c>
      <c r="AD159" s="140">
        <f ca="1">SUMIFS('recurring2_based on steps'!$B159:$AY159,'recurring2_based on steps'!$B$1:$AY$1,AD$1)+SUMIFS('changes2_based on steps'!$B159:$U159,'changes2_based on steps'!$B$1:$U$1,AD$1)</f>
        <v>0</v>
      </c>
      <c r="AE159" s="140">
        <f>SUMIFS('recurring2_based on steps'!$B159:$AY159,'recurring2_based on steps'!$B$1:$AY$1,AE$1)+SUMIFS('changes2_based on steps'!$B159:$U159,'changes2_based on steps'!$B$1:$U$1,AE$1)</f>
        <v>0</v>
      </c>
      <c r="AF159" s="140"/>
      <c r="AG159" s="140"/>
      <c r="AH159" s="140"/>
      <c r="AI159" s="140"/>
      <c r="AJ159" s="140"/>
      <c r="AK159" s="140"/>
      <c r="AL159" s="140"/>
      <c r="AM159" s="140"/>
    </row>
    <row r="160" spans="1:39" x14ac:dyDescent="0.2">
      <c r="A160" s="29">
        <f t="shared" ca="1" si="2"/>
        <v>45900</v>
      </c>
      <c r="B160" s="140">
        <f ca="1">SUMIFS('recurring2_based on steps'!$B160:$AY160,'recurring2_based on steps'!$B$1:$AY$1,B$1)+SUMIFS('changes2_based on steps'!$B160:$U160,'changes2_based on steps'!$B$1:$U$1,B$1)</f>
        <v>0</v>
      </c>
      <c r="C160" s="140">
        <f>SUMIFS('recurring2_based on steps'!$B160:$AY160,'recurring2_based on steps'!$B$1:$AY$1,C$1)+SUMIFS('changes2_based on steps'!$B160:$U160,'changes2_based on steps'!$B$1:$U$1,C$1)</f>
        <v>0</v>
      </c>
      <c r="D160" s="140">
        <f>SUMIFS('recurring2_based on steps'!$B160:$AY160,'recurring2_based on steps'!$B$1:$AY$1,D$1)+SUMIFS('changes2_based on steps'!$B160:$U160,'changes2_based on steps'!$B$1:$U$1,D$1)</f>
        <v>0</v>
      </c>
      <c r="E160" s="140">
        <f>SUMIFS('recurring2_based on steps'!$B160:$AY160,'recurring2_based on steps'!$B$1:$AY$1,E$1)+SUMIFS('changes2_based on steps'!$B160:$U160,'changes2_based on steps'!$B$1:$U$1,E$1)</f>
        <v>0</v>
      </c>
      <c r="F160" s="140">
        <f>SUMIFS('recurring2_based on steps'!$B160:$AY160,'recurring2_based on steps'!$B$1:$AY$1,F$1)+SUMIFS('changes2_based on steps'!$B160:$U160,'changes2_based on steps'!$B$1:$U$1,F$1)</f>
        <v>0</v>
      </c>
      <c r="G160" s="140">
        <f>SUMIFS('recurring2_based on steps'!$B160:$AY160,'recurring2_based on steps'!$B$1:$AY$1,G$1)+SUMIFS('changes2_based on steps'!$B160:$U160,'changes2_based on steps'!$B$1:$U$1,G$1)</f>
        <v>0</v>
      </c>
      <c r="H160" s="140">
        <f>SUMIFS('recurring2_based on steps'!$B160:$AY160,'recurring2_based on steps'!$B$1:$AY$1,H$1)+SUMIFS('changes2_based on steps'!$B160:$U160,'changes2_based on steps'!$B$1:$U$1,H$1)</f>
        <v>0</v>
      </c>
      <c r="I160" s="140">
        <f>SUMIFS('recurring2_based on steps'!$B160:$AY160,'recurring2_based on steps'!$B$1:$AY$1,I$1)+SUMIFS('changes2_based on steps'!$B160:$U160,'changes2_based on steps'!$B$1:$U$1,I$1)</f>
        <v>0</v>
      </c>
      <c r="J160" s="140">
        <f ca="1">SUMIFS('recurring2_based on steps'!$B160:$AY160,'recurring2_based on steps'!$B$1:$AY$1,J$1)+SUMIFS('changes2_based on steps'!$B160:$U160,'changes2_based on steps'!$B$1:$U$1,J$1)</f>
        <v>100</v>
      </c>
      <c r="K160" s="140">
        <f>SUMIFS('recurring2_based on steps'!$B160:$AY160,'recurring2_based on steps'!$B$1:$AY$1,K$1)+SUMIFS('changes2_based on steps'!$B160:$U160,'changes2_based on steps'!$B$1:$U$1,K$1)</f>
        <v>0</v>
      </c>
      <c r="L160" s="140">
        <f>SUMIFS('recurring2_based on steps'!$B160:$AY160,'recurring2_based on steps'!$B$1:$AY$1,L$1)+SUMIFS('changes2_based on steps'!$B160:$U160,'changes2_based on steps'!$B$1:$U$1,L$1)</f>
        <v>0</v>
      </c>
      <c r="M160" s="140">
        <f>SUMIFS('recurring2_based on steps'!$B160:$AY160,'recurring2_based on steps'!$B$1:$AY$1,M$1)+SUMIFS('changes2_based on steps'!$B160:$U160,'changes2_based on steps'!$B$1:$U$1,M$1)</f>
        <v>0</v>
      </c>
      <c r="N160" s="140">
        <f ca="1">SUMIFS('recurring2_based on steps'!$B160:$AY160,'recurring2_based on steps'!$B$1:$AY$1,N$1)+SUMIFS('changes2_based on steps'!$B160:$U160,'changes2_based on steps'!$B$1:$U$1,N$1)</f>
        <v>40</v>
      </c>
      <c r="O160" s="140">
        <f>SUMIFS('recurring2_based on steps'!$B160:$AY160,'recurring2_based on steps'!$B$1:$AY$1,O$1)+SUMIFS('changes2_based on steps'!$B160:$U160,'changes2_based on steps'!$B$1:$U$1,O$1)</f>
        <v>0</v>
      </c>
      <c r="P160" s="140">
        <f ca="1">SUMIFS('recurring2_based on steps'!$B160:$AY160,'recurring2_based on steps'!$B$1:$AY$1,P$1)+SUMIFS('changes2_based on steps'!$B160:$U160,'changes2_based on steps'!$B$1:$U$1,P$1)</f>
        <v>0</v>
      </c>
      <c r="Q160" s="140">
        <f ca="1">SUMIFS('recurring2_based on steps'!$B160:$AY160,'recurring2_based on steps'!$B$1:$AY$1,Q$1)+SUMIFS('changes2_based on steps'!$B160:$U160,'changes2_based on steps'!$B$1:$U$1,Q$1)</f>
        <v>100.05540166204986</v>
      </c>
      <c r="R160" s="140">
        <f ca="1">SUMIFS('recurring2_based on steps'!$B160:$AY160,'recurring2_based on steps'!$B$1:$AY$1,R$1)+SUMIFS('changes2_based on steps'!$B160:$U160,'changes2_based on steps'!$B$1:$U$1,R$1)</f>
        <v>0</v>
      </c>
      <c r="S160" s="140">
        <f>SUMIFS('recurring2_based on steps'!$B160:$AY160,'recurring2_based on steps'!$B$1:$AY$1,S$1)+SUMIFS('changes2_based on steps'!$B160:$U160,'changes2_based on steps'!$B$1:$U$1,S$1)</f>
        <v>0</v>
      </c>
      <c r="T160" s="140">
        <f ca="1">SUMIFS('recurring2_based on steps'!$B160:$AY160,'recurring2_based on steps'!$B$1:$AY$1,T$1)+SUMIFS('changes2_based on steps'!$B160:$U160,'changes2_based on steps'!$B$1:$U$1,T$1)</f>
        <v>0</v>
      </c>
      <c r="U160" s="140">
        <f ca="1">SUMIFS('recurring2_based on steps'!$B160:$AY160,'recurring2_based on steps'!$B$1:$AY$1,U$1)+SUMIFS('changes2_based on steps'!$B160:$U160,'changes2_based on steps'!$B$1:$U$1,U$1)</f>
        <v>0</v>
      </c>
      <c r="V160" s="140">
        <f>SUMIFS('recurring2_based on steps'!$B160:$AY160,'recurring2_based on steps'!$B$1:$AY$1,V$1)+SUMIFS('changes2_based on steps'!$B160:$U160,'changes2_based on steps'!$B$1:$U$1,V$1)</f>
        <v>0</v>
      </c>
      <c r="W160" s="140">
        <f>SUMIFS('recurring2_based on steps'!$B160:$AY160,'recurring2_based on steps'!$B$1:$AY$1,W$1)+SUMIFS('changes2_based on steps'!$B160:$U160,'changes2_based on steps'!$B$1:$U$1,W$1)</f>
        <v>0</v>
      </c>
      <c r="X160" s="140">
        <f ca="1">SUMIFS('recurring2_based on steps'!$B160:$AY160,'recurring2_based on steps'!$B$1:$AY$1,X$1)+SUMIFS('changes2_based on steps'!$B160:$U160,'changes2_based on steps'!$B$1:$U$1,X$1)</f>
        <v>0</v>
      </c>
      <c r="Y160" s="140">
        <f ca="1">SUMIFS('recurring2_based on steps'!$B160:$AY160,'recurring2_based on steps'!$B$1:$AY$1,Y$1)+SUMIFS('changes2_based on steps'!$B160:$U160,'changes2_based on steps'!$B$1:$U$1,Y$1)</f>
        <v>50</v>
      </c>
      <c r="Z160" s="140">
        <f>SUMIFS('recurring2_based on steps'!$B160:$AY160,'recurring2_based on steps'!$B$1:$AY$1,Z$1)+SUMIFS('changes2_based on steps'!$B160:$U160,'changes2_based on steps'!$B$1:$U$1,Z$1)</f>
        <v>0</v>
      </c>
      <c r="AA160" s="140">
        <f ca="1">SUMIFS('recurring2_based on steps'!$B160:$AY160,'recurring2_based on steps'!$B$1:$AY$1,AA$1)+SUMIFS('changes2_based on steps'!$B160:$U160,'changes2_based on steps'!$B$1:$U$1,AA$1)</f>
        <v>0</v>
      </c>
      <c r="AB160" s="140">
        <f ca="1">SUMIFS('recurring2_based on steps'!$B160:$AY160,'recurring2_based on steps'!$B$1:$AY$1,AB$1)+SUMIFS('changes2_based on steps'!$B160:$U160,'changes2_based on steps'!$B$1:$U$1,AB$1)</f>
        <v>0</v>
      </c>
      <c r="AC160" s="140">
        <f ca="1">SUMIFS('recurring2_based on steps'!$B160:$AY160,'recurring2_based on steps'!$B$1:$AY$1,AC$1)+SUMIFS('changes2_based on steps'!$B160:$U160,'changes2_based on steps'!$B$1:$U$1,AC$1)</f>
        <v>0</v>
      </c>
      <c r="AD160" s="140">
        <f ca="1">SUMIFS('recurring2_based on steps'!$B160:$AY160,'recurring2_based on steps'!$B$1:$AY$1,AD$1)+SUMIFS('changes2_based on steps'!$B160:$U160,'changes2_based on steps'!$B$1:$U$1,AD$1)</f>
        <v>0</v>
      </c>
      <c r="AE160" s="140">
        <f>SUMIFS('recurring2_based on steps'!$B160:$AY160,'recurring2_based on steps'!$B$1:$AY$1,AE$1)+SUMIFS('changes2_based on steps'!$B160:$U160,'changes2_based on steps'!$B$1:$U$1,AE$1)</f>
        <v>0</v>
      </c>
      <c r="AF160" s="140"/>
      <c r="AG160" s="140"/>
      <c r="AH160" s="140"/>
      <c r="AI160" s="140"/>
      <c r="AJ160" s="140"/>
      <c r="AK160" s="140"/>
      <c r="AL160" s="140"/>
      <c r="AM160" s="140"/>
    </row>
    <row r="161" spans="1:39" x14ac:dyDescent="0.2">
      <c r="A161" s="29">
        <f t="shared" ca="1" si="2"/>
        <v>45901</v>
      </c>
      <c r="B161" s="140">
        <f ca="1">SUMIFS('recurring2_based on steps'!$B161:$AY161,'recurring2_based on steps'!$B$1:$AY$1,B$1)+SUMIFS('changes2_based on steps'!$B161:$U161,'changes2_based on steps'!$B$1:$U$1,B$1)</f>
        <v>0</v>
      </c>
      <c r="C161" s="140">
        <f>SUMIFS('recurring2_based on steps'!$B161:$AY161,'recurring2_based on steps'!$B$1:$AY$1,C$1)+SUMIFS('changes2_based on steps'!$B161:$U161,'changes2_based on steps'!$B$1:$U$1,C$1)</f>
        <v>0</v>
      </c>
      <c r="D161" s="140">
        <f>SUMIFS('recurring2_based on steps'!$B161:$AY161,'recurring2_based on steps'!$B$1:$AY$1,D$1)+SUMIFS('changes2_based on steps'!$B161:$U161,'changes2_based on steps'!$B$1:$U$1,D$1)</f>
        <v>0</v>
      </c>
      <c r="E161" s="140">
        <f>SUMIFS('recurring2_based on steps'!$B161:$AY161,'recurring2_based on steps'!$B$1:$AY$1,E$1)+SUMIFS('changes2_based on steps'!$B161:$U161,'changes2_based on steps'!$B$1:$U$1,E$1)</f>
        <v>0</v>
      </c>
      <c r="F161" s="140">
        <f>SUMIFS('recurring2_based on steps'!$B161:$AY161,'recurring2_based on steps'!$B$1:$AY$1,F$1)+SUMIFS('changes2_based on steps'!$B161:$U161,'changes2_based on steps'!$B$1:$U$1,F$1)</f>
        <v>0</v>
      </c>
      <c r="G161" s="140">
        <f>SUMIFS('recurring2_based on steps'!$B161:$AY161,'recurring2_based on steps'!$B$1:$AY$1,G$1)+SUMIFS('changes2_based on steps'!$B161:$U161,'changes2_based on steps'!$B$1:$U$1,G$1)</f>
        <v>0</v>
      </c>
      <c r="H161" s="140">
        <f>SUMIFS('recurring2_based on steps'!$B161:$AY161,'recurring2_based on steps'!$B$1:$AY$1,H$1)+SUMIFS('changes2_based on steps'!$B161:$U161,'changes2_based on steps'!$B$1:$U$1,H$1)</f>
        <v>0</v>
      </c>
      <c r="I161" s="140">
        <f>SUMIFS('recurring2_based on steps'!$B161:$AY161,'recurring2_based on steps'!$B$1:$AY$1,I$1)+SUMIFS('changes2_based on steps'!$B161:$U161,'changes2_based on steps'!$B$1:$U$1,I$1)</f>
        <v>0</v>
      </c>
      <c r="J161" s="140">
        <f ca="1">SUMIFS('recurring2_based on steps'!$B161:$AY161,'recurring2_based on steps'!$B$1:$AY$1,J$1)+SUMIFS('changes2_based on steps'!$B161:$U161,'changes2_based on steps'!$B$1:$U$1,J$1)</f>
        <v>0</v>
      </c>
      <c r="K161" s="140">
        <f>SUMIFS('recurring2_based on steps'!$B161:$AY161,'recurring2_based on steps'!$B$1:$AY$1,K$1)+SUMIFS('changes2_based on steps'!$B161:$U161,'changes2_based on steps'!$B$1:$U$1,K$1)</f>
        <v>0</v>
      </c>
      <c r="L161" s="140">
        <f>SUMIFS('recurring2_based on steps'!$B161:$AY161,'recurring2_based on steps'!$B$1:$AY$1,L$1)+SUMIFS('changes2_based on steps'!$B161:$U161,'changes2_based on steps'!$B$1:$U$1,L$1)</f>
        <v>0</v>
      </c>
      <c r="M161" s="140">
        <f>SUMIFS('recurring2_based on steps'!$B161:$AY161,'recurring2_based on steps'!$B$1:$AY$1,M$1)+SUMIFS('changes2_based on steps'!$B161:$U161,'changes2_based on steps'!$B$1:$U$1,M$1)</f>
        <v>0</v>
      </c>
      <c r="N161" s="140">
        <f ca="1">SUMIFS('recurring2_based on steps'!$B161:$AY161,'recurring2_based on steps'!$B$1:$AY$1,N$1)+SUMIFS('changes2_based on steps'!$B161:$U161,'changes2_based on steps'!$B$1:$U$1,N$1)</f>
        <v>2000</v>
      </c>
      <c r="O161" s="140">
        <f>SUMIFS('recurring2_based on steps'!$B161:$AY161,'recurring2_based on steps'!$B$1:$AY$1,O$1)+SUMIFS('changes2_based on steps'!$B161:$U161,'changes2_based on steps'!$B$1:$U$1,O$1)</f>
        <v>0</v>
      </c>
      <c r="P161" s="140">
        <f ca="1">SUMIFS('recurring2_based on steps'!$B161:$AY161,'recurring2_based on steps'!$B$1:$AY$1,P$1)+SUMIFS('changes2_based on steps'!$B161:$U161,'changes2_based on steps'!$B$1:$U$1,P$1)</f>
        <v>0</v>
      </c>
      <c r="Q161" s="140">
        <f ca="1">SUMIFS('recurring2_based on steps'!$B161:$AY161,'recurring2_based on steps'!$B$1:$AY$1,Q$1)+SUMIFS('changes2_based on steps'!$B161:$U161,'changes2_based on steps'!$B$1:$U$1,Q$1)</f>
        <v>5.5401662049861494E-2</v>
      </c>
      <c r="R161" s="140">
        <f ca="1">SUMIFS('recurring2_based on steps'!$B161:$AY161,'recurring2_based on steps'!$B$1:$AY$1,R$1)+SUMIFS('changes2_based on steps'!$B161:$U161,'changes2_based on steps'!$B$1:$U$1,R$1)</f>
        <v>0</v>
      </c>
      <c r="S161" s="140">
        <f>SUMIFS('recurring2_based on steps'!$B161:$AY161,'recurring2_based on steps'!$B$1:$AY$1,S$1)+SUMIFS('changes2_based on steps'!$B161:$U161,'changes2_based on steps'!$B$1:$U$1,S$1)</f>
        <v>0</v>
      </c>
      <c r="T161" s="140">
        <f ca="1">SUMIFS('recurring2_based on steps'!$B161:$AY161,'recurring2_based on steps'!$B$1:$AY$1,T$1)+SUMIFS('changes2_based on steps'!$B161:$U161,'changes2_based on steps'!$B$1:$U$1,T$1)</f>
        <v>0</v>
      </c>
      <c r="U161" s="140">
        <f ca="1">SUMIFS('recurring2_based on steps'!$B161:$AY161,'recurring2_based on steps'!$B$1:$AY$1,U$1)+SUMIFS('changes2_based on steps'!$B161:$U161,'changes2_based on steps'!$B$1:$U$1,U$1)</f>
        <v>0</v>
      </c>
      <c r="V161" s="140">
        <f>SUMIFS('recurring2_based on steps'!$B161:$AY161,'recurring2_based on steps'!$B$1:$AY$1,V$1)+SUMIFS('changes2_based on steps'!$B161:$U161,'changes2_based on steps'!$B$1:$U$1,V$1)</f>
        <v>0</v>
      </c>
      <c r="W161" s="140">
        <f>SUMIFS('recurring2_based on steps'!$B161:$AY161,'recurring2_based on steps'!$B$1:$AY$1,W$1)+SUMIFS('changes2_based on steps'!$B161:$U161,'changes2_based on steps'!$B$1:$U$1,W$1)</f>
        <v>0</v>
      </c>
      <c r="X161" s="140">
        <f ca="1">SUMIFS('recurring2_based on steps'!$B161:$AY161,'recurring2_based on steps'!$B$1:$AY$1,X$1)+SUMIFS('changes2_based on steps'!$B161:$U161,'changes2_based on steps'!$B$1:$U$1,X$1)</f>
        <v>0</v>
      </c>
      <c r="Y161" s="140">
        <f ca="1">SUMIFS('recurring2_based on steps'!$B161:$AY161,'recurring2_based on steps'!$B$1:$AY$1,Y$1)+SUMIFS('changes2_based on steps'!$B161:$U161,'changes2_based on steps'!$B$1:$U$1,Y$1)</f>
        <v>0</v>
      </c>
      <c r="Z161" s="140">
        <f>SUMIFS('recurring2_based on steps'!$B161:$AY161,'recurring2_based on steps'!$B$1:$AY$1,Z$1)+SUMIFS('changes2_based on steps'!$B161:$U161,'changes2_based on steps'!$B$1:$U$1,Z$1)</f>
        <v>0</v>
      </c>
      <c r="AA161" s="140">
        <f ca="1">SUMIFS('recurring2_based on steps'!$B161:$AY161,'recurring2_based on steps'!$B$1:$AY$1,AA$1)+SUMIFS('changes2_based on steps'!$B161:$U161,'changes2_based on steps'!$B$1:$U$1,AA$1)</f>
        <v>50</v>
      </c>
      <c r="AB161" s="140">
        <f ca="1">SUMIFS('recurring2_based on steps'!$B161:$AY161,'recurring2_based on steps'!$B$1:$AY$1,AB$1)+SUMIFS('changes2_based on steps'!$B161:$U161,'changes2_based on steps'!$B$1:$U$1,AB$1)</f>
        <v>0</v>
      </c>
      <c r="AC161" s="140">
        <f ca="1">SUMIFS('recurring2_based on steps'!$B161:$AY161,'recurring2_based on steps'!$B$1:$AY$1,AC$1)+SUMIFS('changes2_based on steps'!$B161:$U161,'changes2_based on steps'!$B$1:$U$1,AC$1)</f>
        <v>0</v>
      </c>
      <c r="AD161" s="140">
        <f ca="1">SUMIFS('recurring2_based on steps'!$B161:$AY161,'recurring2_based on steps'!$B$1:$AY$1,AD$1)+SUMIFS('changes2_based on steps'!$B161:$U161,'changes2_based on steps'!$B$1:$U$1,AD$1)</f>
        <v>0</v>
      </c>
      <c r="AE161" s="140">
        <f>SUMIFS('recurring2_based on steps'!$B161:$AY161,'recurring2_based on steps'!$B$1:$AY$1,AE$1)+SUMIFS('changes2_based on steps'!$B161:$U161,'changes2_based on steps'!$B$1:$U$1,AE$1)</f>
        <v>0</v>
      </c>
      <c r="AF161" s="140"/>
      <c r="AG161" s="140"/>
      <c r="AH161" s="140"/>
      <c r="AI161" s="140"/>
      <c r="AJ161" s="140"/>
      <c r="AK161" s="140"/>
      <c r="AL161" s="140"/>
      <c r="AM161" s="140"/>
    </row>
    <row r="162" spans="1:39" x14ac:dyDescent="0.2">
      <c r="A162" s="29">
        <f t="shared" ca="1" si="2"/>
        <v>45902</v>
      </c>
      <c r="B162" s="140">
        <f ca="1">SUMIFS('recurring2_based on steps'!$B162:$AY162,'recurring2_based on steps'!$B$1:$AY$1,B$1)+SUMIFS('changes2_based on steps'!$B162:$U162,'changes2_based on steps'!$B$1:$U$1,B$1)</f>
        <v>0</v>
      </c>
      <c r="C162" s="140">
        <f>SUMIFS('recurring2_based on steps'!$B162:$AY162,'recurring2_based on steps'!$B$1:$AY$1,C$1)+SUMIFS('changes2_based on steps'!$B162:$U162,'changes2_based on steps'!$B$1:$U$1,C$1)</f>
        <v>0</v>
      </c>
      <c r="D162" s="140">
        <f>SUMIFS('recurring2_based on steps'!$B162:$AY162,'recurring2_based on steps'!$B$1:$AY$1,D$1)+SUMIFS('changes2_based on steps'!$B162:$U162,'changes2_based on steps'!$B$1:$U$1,D$1)</f>
        <v>0</v>
      </c>
      <c r="E162" s="140">
        <f>SUMIFS('recurring2_based on steps'!$B162:$AY162,'recurring2_based on steps'!$B$1:$AY$1,E$1)+SUMIFS('changes2_based on steps'!$B162:$U162,'changes2_based on steps'!$B$1:$U$1,E$1)</f>
        <v>0</v>
      </c>
      <c r="F162" s="140">
        <f>SUMIFS('recurring2_based on steps'!$B162:$AY162,'recurring2_based on steps'!$B$1:$AY$1,F$1)+SUMIFS('changes2_based on steps'!$B162:$U162,'changes2_based on steps'!$B$1:$U$1,F$1)</f>
        <v>0</v>
      </c>
      <c r="G162" s="140">
        <f>SUMIFS('recurring2_based on steps'!$B162:$AY162,'recurring2_based on steps'!$B$1:$AY$1,G$1)+SUMIFS('changes2_based on steps'!$B162:$U162,'changes2_based on steps'!$B$1:$U$1,G$1)</f>
        <v>0</v>
      </c>
      <c r="H162" s="140">
        <f>SUMIFS('recurring2_based on steps'!$B162:$AY162,'recurring2_based on steps'!$B$1:$AY$1,H$1)+SUMIFS('changes2_based on steps'!$B162:$U162,'changes2_based on steps'!$B$1:$U$1,H$1)</f>
        <v>0</v>
      </c>
      <c r="I162" s="140">
        <f>SUMIFS('recurring2_based on steps'!$B162:$AY162,'recurring2_based on steps'!$B$1:$AY$1,I$1)+SUMIFS('changes2_based on steps'!$B162:$U162,'changes2_based on steps'!$B$1:$U$1,I$1)</f>
        <v>0</v>
      </c>
      <c r="J162" s="140">
        <f ca="1">SUMIFS('recurring2_based on steps'!$B162:$AY162,'recurring2_based on steps'!$B$1:$AY$1,J$1)+SUMIFS('changes2_based on steps'!$B162:$U162,'changes2_based on steps'!$B$1:$U$1,J$1)</f>
        <v>0</v>
      </c>
      <c r="K162" s="140">
        <f>SUMIFS('recurring2_based on steps'!$B162:$AY162,'recurring2_based on steps'!$B$1:$AY$1,K$1)+SUMIFS('changes2_based on steps'!$B162:$U162,'changes2_based on steps'!$B$1:$U$1,K$1)</f>
        <v>0</v>
      </c>
      <c r="L162" s="140">
        <f>SUMIFS('recurring2_based on steps'!$B162:$AY162,'recurring2_based on steps'!$B$1:$AY$1,L$1)+SUMIFS('changes2_based on steps'!$B162:$U162,'changes2_based on steps'!$B$1:$U$1,L$1)</f>
        <v>0</v>
      </c>
      <c r="M162" s="140">
        <f>SUMIFS('recurring2_based on steps'!$B162:$AY162,'recurring2_based on steps'!$B$1:$AY$1,M$1)+SUMIFS('changes2_based on steps'!$B162:$U162,'changes2_based on steps'!$B$1:$U$1,M$1)</f>
        <v>0</v>
      </c>
      <c r="N162" s="140">
        <f ca="1">SUMIFS('recurring2_based on steps'!$B162:$AY162,'recurring2_based on steps'!$B$1:$AY$1,N$1)+SUMIFS('changes2_based on steps'!$B162:$U162,'changes2_based on steps'!$B$1:$U$1,N$1)</f>
        <v>0</v>
      </c>
      <c r="O162" s="140">
        <f>SUMIFS('recurring2_based on steps'!$B162:$AY162,'recurring2_based on steps'!$B$1:$AY$1,O$1)+SUMIFS('changes2_based on steps'!$B162:$U162,'changes2_based on steps'!$B$1:$U$1,O$1)</f>
        <v>0</v>
      </c>
      <c r="P162" s="140">
        <f ca="1">SUMIFS('recurring2_based on steps'!$B162:$AY162,'recurring2_based on steps'!$B$1:$AY$1,P$1)+SUMIFS('changes2_based on steps'!$B162:$U162,'changes2_based on steps'!$B$1:$U$1,P$1)</f>
        <v>0</v>
      </c>
      <c r="Q162" s="140">
        <f ca="1">SUMIFS('recurring2_based on steps'!$B162:$AY162,'recurring2_based on steps'!$B$1:$AY$1,Q$1)+SUMIFS('changes2_based on steps'!$B162:$U162,'changes2_based on steps'!$B$1:$U$1,Q$1)</f>
        <v>5.5401662049861494E-2</v>
      </c>
      <c r="R162" s="140">
        <f ca="1">SUMIFS('recurring2_based on steps'!$B162:$AY162,'recurring2_based on steps'!$B$1:$AY$1,R$1)+SUMIFS('changes2_based on steps'!$B162:$U162,'changes2_based on steps'!$B$1:$U$1,R$1)</f>
        <v>0</v>
      </c>
      <c r="S162" s="140">
        <f>SUMIFS('recurring2_based on steps'!$B162:$AY162,'recurring2_based on steps'!$B$1:$AY$1,S$1)+SUMIFS('changes2_based on steps'!$B162:$U162,'changes2_based on steps'!$B$1:$U$1,S$1)</f>
        <v>0</v>
      </c>
      <c r="T162" s="140">
        <f ca="1">SUMIFS('recurring2_based on steps'!$B162:$AY162,'recurring2_based on steps'!$B$1:$AY$1,T$1)+SUMIFS('changes2_based on steps'!$B162:$U162,'changes2_based on steps'!$B$1:$U$1,T$1)</f>
        <v>0</v>
      </c>
      <c r="U162" s="140">
        <f ca="1">SUMIFS('recurring2_based on steps'!$B162:$AY162,'recurring2_based on steps'!$B$1:$AY$1,U$1)+SUMIFS('changes2_based on steps'!$B162:$U162,'changes2_based on steps'!$B$1:$U$1,U$1)</f>
        <v>0</v>
      </c>
      <c r="V162" s="140">
        <f>SUMIFS('recurring2_based on steps'!$B162:$AY162,'recurring2_based on steps'!$B$1:$AY$1,V$1)+SUMIFS('changes2_based on steps'!$B162:$U162,'changes2_based on steps'!$B$1:$U$1,V$1)</f>
        <v>0</v>
      </c>
      <c r="W162" s="140">
        <f>SUMIFS('recurring2_based on steps'!$B162:$AY162,'recurring2_based on steps'!$B$1:$AY$1,W$1)+SUMIFS('changes2_based on steps'!$B162:$U162,'changes2_based on steps'!$B$1:$U$1,W$1)</f>
        <v>0</v>
      </c>
      <c r="X162" s="140">
        <f ca="1">SUMIFS('recurring2_based on steps'!$B162:$AY162,'recurring2_based on steps'!$B$1:$AY$1,X$1)+SUMIFS('changes2_based on steps'!$B162:$U162,'changes2_based on steps'!$B$1:$U$1,X$1)</f>
        <v>0</v>
      </c>
      <c r="Y162" s="140">
        <f ca="1">SUMIFS('recurring2_based on steps'!$B162:$AY162,'recurring2_based on steps'!$B$1:$AY$1,Y$1)+SUMIFS('changes2_based on steps'!$B162:$U162,'changes2_based on steps'!$B$1:$U$1,Y$1)</f>
        <v>0</v>
      </c>
      <c r="Z162" s="140">
        <f>SUMIFS('recurring2_based on steps'!$B162:$AY162,'recurring2_based on steps'!$B$1:$AY$1,Z$1)+SUMIFS('changes2_based on steps'!$B162:$U162,'changes2_based on steps'!$B$1:$U$1,Z$1)</f>
        <v>0</v>
      </c>
      <c r="AA162" s="140">
        <f ca="1">SUMIFS('recurring2_based on steps'!$B162:$AY162,'recurring2_based on steps'!$B$1:$AY$1,AA$1)+SUMIFS('changes2_based on steps'!$B162:$U162,'changes2_based on steps'!$B$1:$U$1,AA$1)</f>
        <v>0</v>
      </c>
      <c r="AB162" s="140">
        <f ca="1">SUMIFS('recurring2_based on steps'!$B162:$AY162,'recurring2_based on steps'!$B$1:$AY$1,AB$1)+SUMIFS('changes2_based on steps'!$B162:$U162,'changes2_based on steps'!$B$1:$U$1,AB$1)</f>
        <v>0</v>
      </c>
      <c r="AC162" s="140">
        <f ca="1">SUMIFS('recurring2_based on steps'!$B162:$AY162,'recurring2_based on steps'!$B$1:$AY$1,AC$1)+SUMIFS('changes2_based on steps'!$B162:$U162,'changes2_based on steps'!$B$1:$U$1,AC$1)</f>
        <v>0</v>
      </c>
      <c r="AD162" s="140">
        <f ca="1">SUMIFS('recurring2_based on steps'!$B162:$AY162,'recurring2_based on steps'!$B$1:$AY$1,AD$1)+SUMIFS('changes2_based on steps'!$B162:$U162,'changes2_based on steps'!$B$1:$U$1,AD$1)</f>
        <v>0</v>
      </c>
      <c r="AE162" s="140">
        <f>SUMIFS('recurring2_based on steps'!$B162:$AY162,'recurring2_based on steps'!$B$1:$AY$1,AE$1)+SUMIFS('changes2_based on steps'!$B162:$U162,'changes2_based on steps'!$B$1:$U$1,AE$1)</f>
        <v>0</v>
      </c>
      <c r="AF162" s="140"/>
      <c r="AG162" s="140"/>
      <c r="AH162" s="140"/>
      <c r="AI162" s="140"/>
      <c r="AJ162" s="140"/>
      <c r="AK162" s="140"/>
      <c r="AL162" s="140"/>
      <c r="AM162" s="140"/>
    </row>
    <row r="163" spans="1:39" x14ac:dyDescent="0.2">
      <c r="A163" s="29">
        <f t="shared" ca="1" si="2"/>
        <v>45903</v>
      </c>
      <c r="B163" s="140">
        <f ca="1">SUMIFS('recurring2_based on steps'!$B163:$AY163,'recurring2_based on steps'!$B$1:$AY$1,B$1)+SUMIFS('changes2_based on steps'!$B163:$U163,'changes2_based on steps'!$B$1:$U$1,B$1)</f>
        <v>0</v>
      </c>
      <c r="C163" s="140">
        <f>SUMIFS('recurring2_based on steps'!$B163:$AY163,'recurring2_based on steps'!$B$1:$AY$1,C$1)+SUMIFS('changes2_based on steps'!$B163:$U163,'changes2_based on steps'!$B$1:$U$1,C$1)</f>
        <v>0</v>
      </c>
      <c r="D163" s="140">
        <f>SUMIFS('recurring2_based on steps'!$B163:$AY163,'recurring2_based on steps'!$B$1:$AY$1,D$1)+SUMIFS('changes2_based on steps'!$B163:$U163,'changes2_based on steps'!$B$1:$U$1,D$1)</f>
        <v>0</v>
      </c>
      <c r="E163" s="140">
        <f>SUMIFS('recurring2_based on steps'!$B163:$AY163,'recurring2_based on steps'!$B$1:$AY$1,E$1)+SUMIFS('changes2_based on steps'!$B163:$U163,'changes2_based on steps'!$B$1:$U$1,E$1)</f>
        <v>0</v>
      </c>
      <c r="F163" s="140">
        <f>SUMIFS('recurring2_based on steps'!$B163:$AY163,'recurring2_based on steps'!$B$1:$AY$1,F$1)+SUMIFS('changes2_based on steps'!$B163:$U163,'changes2_based on steps'!$B$1:$U$1,F$1)</f>
        <v>0</v>
      </c>
      <c r="G163" s="140">
        <f>SUMIFS('recurring2_based on steps'!$B163:$AY163,'recurring2_based on steps'!$B$1:$AY$1,G$1)+SUMIFS('changes2_based on steps'!$B163:$U163,'changes2_based on steps'!$B$1:$U$1,G$1)</f>
        <v>0</v>
      </c>
      <c r="H163" s="140">
        <f>SUMIFS('recurring2_based on steps'!$B163:$AY163,'recurring2_based on steps'!$B$1:$AY$1,H$1)+SUMIFS('changes2_based on steps'!$B163:$U163,'changes2_based on steps'!$B$1:$U$1,H$1)</f>
        <v>0</v>
      </c>
      <c r="I163" s="140">
        <f>SUMIFS('recurring2_based on steps'!$B163:$AY163,'recurring2_based on steps'!$B$1:$AY$1,I$1)+SUMIFS('changes2_based on steps'!$B163:$U163,'changes2_based on steps'!$B$1:$U$1,I$1)</f>
        <v>0</v>
      </c>
      <c r="J163" s="140">
        <f ca="1">SUMIFS('recurring2_based on steps'!$B163:$AY163,'recurring2_based on steps'!$B$1:$AY$1,J$1)+SUMIFS('changes2_based on steps'!$B163:$U163,'changes2_based on steps'!$B$1:$U$1,J$1)</f>
        <v>0</v>
      </c>
      <c r="K163" s="140">
        <f>SUMIFS('recurring2_based on steps'!$B163:$AY163,'recurring2_based on steps'!$B$1:$AY$1,K$1)+SUMIFS('changes2_based on steps'!$B163:$U163,'changes2_based on steps'!$B$1:$U$1,K$1)</f>
        <v>0</v>
      </c>
      <c r="L163" s="140">
        <f>SUMIFS('recurring2_based on steps'!$B163:$AY163,'recurring2_based on steps'!$B$1:$AY$1,L$1)+SUMIFS('changes2_based on steps'!$B163:$U163,'changes2_based on steps'!$B$1:$U$1,L$1)</f>
        <v>0</v>
      </c>
      <c r="M163" s="140">
        <f>SUMIFS('recurring2_based on steps'!$B163:$AY163,'recurring2_based on steps'!$B$1:$AY$1,M$1)+SUMIFS('changes2_based on steps'!$B163:$U163,'changes2_based on steps'!$B$1:$U$1,M$1)</f>
        <v>0</v>
      </c>
      <c r="N163" s="140">
        <f ca="1">SUMIFS('recurring2_based on steps'!$B163:$AY163,'recurring2_based on steps'!$B$1:$AY$1,N$1)+SUMIFS('changes2_based on steps'!$B163:$U163,'changes2_based on steps'!$B$1:$U$1,N$1)</f>
        <v>0</v>
      </c>
      <c r="O163" s="140">
        <f>SUMIFS('recurring2_based on steps'!$B163:$AY163,'recurring2_based on steps'!$B$1:$AY$1,O$1)+SUMIFS('changes2_based on steps'!$B163:$U163,'changes2_based on steps'!$B$1:$U$1,O$1)</f>
        <v>0</v>
      </c>
      <c r="P163" s="140">
        <f ca="1">SUMIFS('recurring2_based on steps'!$B163:$AY163,'recurring2_based on steps'!$B$1:$AY$1,P$1)+SUMIFS('changes2_based on steps'!$B163:$U163,'changes2_based on steps'!$B$1:$U$1,P$1)</f>
        <v>0</v>
      </c>
      <c r="Q163" s="140">
        <f ca="1">SUMIFS('recurring2_based on steps'!$B163:$AY163,'recurring2_based on steps'!$B$1:$AY$1,Q$1)+SUMIFS('changes2_based on steps'!$B163:$U163,'changes2_based on steps'!$B$1:$U$1,Q$1)</f>
        <v>5.5401662049861494E-2</v>
      </c>
      <c r="R163" s="140">
        <f ca="1">SUMIFS('recurring2_based on steps'!$B163:$AY163,'recurring2_based on steps'!$B$1:$AY$1,R$1)+SUMIFS('changes2_based on steps'!$B163:$U163,'changes2_based on steps'!$B$1:$U$1,R$1)</f>
        <v>0</v>
      </c>
      <c r="S163" s="140">
        <f>SUMIFS('recurring2_based on steps'!$B163:$AY163,'recurring2_based on steps'!$B$1:$AY$1,S$1)+SUMIFS('changes2_based on steps'!$B163:$U163,'changes2_based on steps'!$B$1:$U$1,S$1)</f>
        <v>0</v>
      </c>
      <c r="T163" s="140">
        <f ca="1">SUMIFS('recurring2_based on steps'!$B163:$AY163,'recurring2_based on steps'!$B$1:$AY$1,T$1)+SUMIFS('changes2_based on steps'!$B163:$U163,'changes2_based on steps'!$B$1:$U$1,T$1)</f>
        <v>0</v>
      </c>
      <c r="U163" s="140">
        <f ca="1">SUMIFS('recurring2_based on steps'!$B163:$AY163,'recurring2_based on steps'!$B$1:$AY$1,U$1)+SUMIFS('changes2_based on steps'!$B163:$U163,'changes2_based on steps'!$B$1:$U$1,U$1)</f>
        <v>0</v>
      </c>
      <c r="V163" s="140">
        <f>SUMIFS('recurring2_based on steps'!$B163:$AY163,'recurring2_based on steps'!$B$1:$AY$1,V$1)+SUMIFS('changes2_based on steps'!$B163:$U163,'changes2_based on steps'!$B$1:$U$1,V$1)</f>
        <v>0</v>
      </c>
      <c r="W163" s="140">
        <f>SUMIFS('recurring2_based on steps'!$B163:$AY163,'recurring2_based on steps'!$B$1:$AY$1,W$1)+SUMIFS('changes2_based on steps'!$B163:$U163,'changes2_based on steps'!$B$1:$U$1,W$1)</f>
        <v>0</v>
      </c>
      <c r="X163" s="140">
        <f ca="1">SUMIFS('recurring2_based on steps'!$B163:$AY163,'recurring2_based on steps'!$B$1:$AY$1,X$1)+SUMIFS('changes2_based on steps'!$B163:$U163,'changes2_based on steps'!$B$1:$U$1,X$1)</f>
        <v>0</v>
      </c>
      <c r="Y163" s="140">
        <f ca="1">SUMIFS('recurring2_based on steps'!$B163:$AY163,'recurring2_based on steps'!$B$1:$AY$1,Y$1)+SUMIFS('changes2_based on steps'!$B163:$U163,'changes2_based on steps'!$B$1:$U$1,Y$1)</f>
        <v>0</v>
      </c>
      <c r="Z163" s="140">
        <f>SUMIFS('recurring2_based on steps'!$B163:$AY163,'recurring2_based on steps'!$B$1:$AY$1,Z$1)+SUMIFS('changes2_based on steps'!$B163:$U163,'changes2_based on steps'!$B$1:$U$1,Z$1)</f>
        <v>0</v>
      </c>
      <c r="AA163" s="140">
        <f ca="1">SUMIFS('recurring2_based on steps'!$B163:$AY163,'recurring2_based on steps'!$B$1:$AY$1,AA$1)+SUMIFS('changes2_based on steps'!$B163:$U163,'changes2_based on steps'!$B$1:$U$1,AA$1)</f>
        <v>0</v>
      </c>
      <c r="AB163" s="140">
        <f ca="1">SUMIFS('recurring2_based on steps'!$B163:$AY163,'recurring2_based on steps'!$B$1:$AY$1,AB$1)+SUMIFS('changes2_based on steps'!$B163:$U163,'changes2_based on steps'!$B$1:$U$1,AB$1)</f>
        <v>0</v>
      </c>
      <c r="AC163" s="140">
        <f ca="1">SUMIFS('recurring2_based on steps'!$B163:$AY163,'recurring2_based on steps'!$B$1:$AY$1,AC$1)+SUMIFS('changes2_based on steps'!$B163:$U163,'changes2_based on steps'!$B$1:$U$1,AC$1)</f>
        <v>0</v>
      </c>
      <c r="AD163" s="140">
        <f ca="1">SUMIFS('recurring2_based on steps'!$B163:$AY163,'recurring2_based on steps'!$B$1:$AY$1,AD$1)+SUMIFS('changes2_based on steps'!$B163:$U163,'changes2_based on steps'!$B$1:$U$1,AD$1)</f>
        <v>0</v>
      </c>
      <c r="AE163" s="140">
        <f>SUMIFS('recurring2_based on steps'!$B163:$AY163,'recurring2_based on steps'!$B$1:$AY$1,AE$1)+SUMIFS('changes2_based on steps'!$B163:$U163,'changes2_based on steps'!$B$1:$U$1,AE$1)</f>
        <v>0</v>
      </c>
      <c r="AF163" s="140"/>
      <c r="AG163" s="140"/>
      <c r="AH163" s="140"/>
      <c r="AI163" s="140"/>
      <c r="AJ163" s="140"/>
      <c r="AK163" s="140"/>
      <c r="AL163" s="140"/>
      <c r="AM163" s="140"/>
    </row>
    <row r="164" spans="1:39" x14ac:dyDescent="0.2">
      <c r="A164" s="29">
        <f t="shared" ca="1" si="2"/>
        <v>45904</v>
      </c>
      <c r="B164" s="140">
        <f ca="1">SUMIFS('recurring2_based on steps'!$B164:$AY164,'recurring2_based on steps'!$B$1:$AY$1,B$1)+SUMIFS('changes2_based on steps'!$B164:$U164,'changes2_based on steps'!$B$1:$U$1,B$1)</f>
        <v>0</v>
      </c>
      <c r="C164" s="140">
        <f>SUMIFS('recurring2_based on steps'!$B164:$AY164,'recurring2_based on steps'!$B$1:$AY$1,C$1)+SUMIFS('changes2_based on steps'!$B164:$U164,'changes2_based on steps'!$B$1:$U$1,C$1)</f>
        <v>0</v>
      </c>
      <c r="D164" s="140">
        <f>SUMIFS('recurring2_based on steps'!$B164:$AY164,'recurring2_based on steps'!$B$1:$AY$1,D$1)+SUMIFS('changes2_based on steps'!$B164:$U164,'changes2_based on steps'!$B$1:$U$1,D$1)</f>
        <v>0</v>
      </c>
      <c r="E164" s="140">
        <f>SUMIFS('recurring2_based on steps'!$B164:$AY164,'recurring2_based on steps'!$B$1:$AY$1,E$1)+SUMIFS('changes2_based on steps'!$B164:$U164,'changes2_based on steps'!$B$1:$U$1,E$1)</f>
        <v>0</v>
      </c>
      <c r="F164" s="140">
        <f>SUMIFS('recurring2_based on steps'!$B164:$AY164,'recurring2_based on steps'!$B$1:$AY$1,F$1)+SUMIFS('changes2_based on steps'!$B164:$U164,'changes2_based on steps'!$B$1:$U$1,F$1)</f>
        <v>0</v>
      </c>
      <c r="G164" s="140">
        <f>SUMIFS('recurring2_based on steps'!$B164:$AY164,'recurring2_based on steps'!$B$1:$AY$1,G$1)+SUMIFS('changes2_based on steps'!$B164:$U164,'changes2_based on steps'!$B$1:$U$1,G$1)</f>
        <v>0</v>
      </c>
      <c r="H164" s="140">
        <f>SUMIFS('recurring2_based on steps'!$B164:$AY164,'recurring2_based on steps'!$B$1:$AY$1,H$1)+SUMIFS('changes2_based on steps'!$B164:$U164,'changes2_based on steps'!$B$1:$U$1,H$1)</f>
        <v>0</v>
      </c>
      <c r="I164" s="140">
        <f>SUMIFS('recurring2_based on steps'!$B164:$AY164,'recurring2_based on steps'!$B$1:$AY$1,I$1)+SUMIFS('changes2_based on steps'!$B164:$U164,'changes2_based on steps'!$B$1:$U$1,I$1)</f>
        <v>0</v>
      </c>
      <c r="J164" s="140">
        <f ca="1">SUMIFS('recurring2_based on steps'!$B164:$AY164,'recurring2_based on steps'!$B$1:$AY$1,J$1)+SUMIFS('changes2_based on steps'!$B164:$U164,'changes2_based on steps'!$B$1:$U$1,J$1)</f>
        <v>0</v>
      </c>
      <c r="K164" s="140">
        <f>SUMIFS('recurring2_based on steps'!$B164:$AY164,'recurring2_based on steps'!$B$1:$AY$1,K$1)+SUMIFS('changes2_based on steps'!$B164:$U164,'changes2_based on steps'!$B$1:$U$1,K$1)</f>
        <v>0</v>
      </c>
      <c r="L164" s="140">
        <f>SUMIFS('recurring2_based on steps'!$B164:$AY164,'recurring2_based on steps'!$B$1:$AY$1,L$1)+SUMIFS('changes2_based on steps'!$B164:$U164,'changes2_based on steps'!$B$1:$U$1,L$1)</f>
        <v>0</v>
      </c>
      <c r="M164" s="140">
        <f>SUMIFS('recurring2_based on steps'!$B164:$AY164,'recurring2_based on steps'!$B$1:$AY$1,M$1)+SUMIFS('changes2_based on steps'!$B164:$U164,'changes2_based on steps'!$B$1:$U$1,M$1)</f>
        <v>0</v>
      </c>
      <c r="N164" s="140">
        <f ca="1">SUMIFS('recurring2_based on steps'!$B164:$AY164,'recurring2_based on steps'!$B$1:$AY$1,N$1)+SUMIFS('changes2_based on steps'!$B164:$U164,'changes2_based on steps'!$B$1:$U$1,N$1)</f>
        <v>0</v>
      </c>
      <c r="O164" s="140">
        <f>SUMIFS('recurring2_based on steps'!$B164:$AY164,'recurring2_based on steps'!$B$1:$AY$1,O$1)+SUMIFS('changes2_based on steps'!$B164:$U164,'changes2_based on steps'!$B$1:$U$1,O$1)</f>
        <v>0</v>
      </c>
      <c r="P164" s="140">
        <f ca="1">SUMIFS('recurring2_based on steps'!$B164:$AY164,'recurring2_based on steps'!$B$1:$AY$1,P$1)+SUMIFS('changes2_based on steps'!$B164:$U164,'changes2_based on steps'!$B$1:$U$1,P$1)</f>
        <v>0</v>
      </c>
      <c r="Q164" s="140">
        <f ca="1">SUMIFS('recurring2_based on steps'!$B164:$AY164,'recurring2_based on steps'!$B$1:$AY$1,Q$1)+SUMIFS('changes2_based on steps'!$B164:$U164,'changes2_based on steps'!$B$1:$U$1,Q$1)</f>
        <v>5.5401662049861494E-2</v>
      </c>
      <c r="R164" s="140">
        <f ca="1">SUMIFS('recurring2_based on steps'!$B164:$AY164,'recurring2_based on steps'!$B$1:$AY$1,R$1)+SUMIFS('changes2_based on steps'!$B164:$U164,'changes2_based on steps'!$B$1:$U$1,R$1)</f>
        <v>15</v>
      </c>
      <c r="S164" s="140">
        <f>SUMIFS('recurring2_based on steps'!$B164:$AY164,'recurring2_based on steps'!$B$1:$AY$1,S$1)+SUMIFS('changes2_based on steps'!$B164:$U164,'changes2_based on steps'!$B$1:$U$1,S$1)</f>
        <v>0</v>
      </c>
      <c r="T164" s="140">
        <f ca="1">SUMIFS('recurring2_based on steps'!$B164:$AY164,'recurring2_based on steps'!$B$1:$AY$1,T$1)+SUMIFS('changes2_based on steps'!$B164:$U164,'changes2_based on steps'!$B$1:$U$1,T$1)</f>
        <v>0</v>
      </c>
      <c r="U164" s="140">
        <f ca="1">SUMIFS('recurring2_based on steps'!$B164:$AY164,'recurring2_based on steps'!$B$1:$AY$1,U$1)+SUMIFS('changes2_based on steps'!$B164:$U164,'changes2_based on steps'!$B$1:$U$1,U$1)</f>
        <v>0</v>
      </c>
      <c r="V164" s="140">
        <f>SUMIFS('recurring2_based on steps'!$B164:$AY164,'recurring2_based on steps'!$B$1:$AY$1,V$1)+SUMIFS('changes2_based on steps'!$B164:$U164,'changes2_based on steps'!$B$1:$U$1,V$1)</f>
        <v>0</v>
      </c>
      <c r="W164" s="140">
        <f>SUMIFS('recurring2_based on steps'!$B164:$AY164,'recurring2_based on steps'!$B$1:$AY$1,W$1)+SUMIFS('changes2_based on steps'!$B164:$U164,'changes2_based on steps'!$B$1:$U$1,W$1)</f>
        <v>0</v>
      </c>
      <c r="X164" s="140">
        <f ca="1">SUMIFS('recurring2_based on steps'!$B164:$AY164,'recurring2_based on steps'!$B$1:$AY$1,X$1)+SUMIFS('changes2_based on steps'!$B164:$U164,'changes2_based on steps'!$B$1:$U$1,X$1)</f>
        <v>0</v>
      </c>
      <c r="Y164" s="140">
        <f ca="1">SUMIFS('recurring2_based on steps'!$B164:$AY164,'recurring2_based on steps'!$B$1:$AY$1,Y$1)+SUMIFS('changes2_based on steps'!$B164:$U164,'changes2_based on steps'!$B$1:$U$1,Y$1)</f>
        <v>0</v>
      </c>
      <c r="Z164" s="140">
        <f>SUMIFS('recurring2_based on steps'!$B164:$AY164,'recurring2_based on steps'!$B$1:$AY$1,Z$1)+SUMIFS('changes2_based on steps'!$B164:$U164,'changes2_based on steps'!$B$1:$U$1,Z$1)</f>
        <v>0</v>
      </c>
      <c r="AA164" s="140">
        <f ca="1">SUMIFS('recurring2_based on steps'!$B164:$AY164,'recurring2_based on steps'!$B$1:$AY$1,AA$1)+SUMIFS('changes2_based on steps'!$B164:$U164,'changes2_based on steps'!$B$1:$U$1,AA$1)</f>
        <v>0</v>
      </c>
      <c r="AB164" s="140">
        <f ca="1">SUMIFS('recurring2_based on steps'!$B164:$AY164,'recurring2_based on steps'!$B$1:$AY$1,AB$1)+SUMIFS('changes2_based on steps'!$B164:$U164,'changes2_based on steps'!$B$1:$U$1,AB$1)</f>
        <v>0</v>
      </c>
      <c r="AC164" s="140">
        <f ca="1">SUMIFS('recurring2_based on steps'!$B164:$AY164,'recurring2_based on steps'!$B$1:$AY$1,AC$1)+SUMIFS('changes2_based on steps'!$B164:$U164,'changes2_based on steps'!$B$1:$U$1,AC$1)</f>
        <v>0</v>
      </c>
      <c r="AD164" s="140">
        <f ca="1">SUMIFS('recurring2_based on steps'!$B164:$AY164,'recurring2_based on steps'!$B$1:$AY$1,AD$1)+SUMIFS('changes2_based on steps'!$B164:$U164,'changes2_based on steps'!$B$1:$U$1,AD$1)</f>
        <v>0</v>
      </c>
      <c r="AE164" s="140">
        <f>SUMIFS('recurring2_based on steps'!$B164:$AY164,'recurring2_based on steps'!$B$1:$AY$1,AE$1)+SUMIFS('changes2_based on steps'!$B164:$U164,'changes2_based on steps'!$B$1:$U$1,AE$1)</f>
        <v>0</v>
      </c>
      <c r="AF164" s="140"/>
      <c r="AG164" s="140"/>
      <c r="AH164" s="140"/>
      <c r="AI164" s="140"/>
      <c r="AJ164" s="140"/>
      <c r="AK164" s="140"/>
      <c r="AL164" s="140"/>
      <c r="AM164" s="140"/>
    </row>
    <row r="165" spans="1:39" x14ac:dyDescent="0.2">
      <c r="A165" s="29">
        <f t="shared" ca="1" si="2"/>
        <v>45905</v>
      </c>
      <c r="B165" s="140">
        <f ca="1">SUMIFS('recurring2_based on steps'!$B165:$AY165,'recurring2_based on steps'!$B$1:$AY$1,B$1)+SUMIFS('changes2_based on steps'!$B165:$U165,'changes2_based on steps'!$B$1:$U$1,B$1)</f>
        <v>4000</v>
      </c>
      <c r="C165" s="140">
        <f>SUMIFS('recurring2_based on steps'!$B165:$AY165,'recurring2_based on steps'!$B$1:$AY$1,C$1)+SUMIFS('changes2_based on steps'!$B165:$U165,'changes2_based on steps'!$B$1:$U$1,C$1)</f>
        <v>0</v>
      </c>
      <c r="D165" s="140">
        <f>SUMIFS('recurring2_based on steps'!$B165:$AY165,'recurring2_based on steps'!$B$1:$AY$1,D$1)+SUMIFS('changes2_based on steps'!$B165:$U165,'changes2_based on steps'!$B$1:$U$1,D$1)</f>
        <v>0</v>
      </c>
      <c r="E165" s="140">
        <f>SUMIFS('recurring2_based on steps'!$B165:$AY165,'recurring2_based on steps'!$B$1:$AY$1,E$1)+SUMIFS('changes2_based on steps'!$B165:$U165,'changes2_based on steps'!$B$1:$U$1,E$1)</f>
        <v>0</v>
      </c>
      <c r="F165" s="140">
        <f>SUMIFS('recurring2_based on steps'!$B165:$AY165,'recurring2_based on steps'!$B$1:$AY$1,F$1)+SUMIFS('changes2_based on steps'!$B165:$U165,'changes2_based on steps'!$B$1:$U$1,F$1)</f>
        <v>0</v>
      </c>
      <c r="G165" s="140">
        <f>SUMIFS('recurring2_based on steps'!$B165:$AY165,'recurring2_based on steps'!$B$1:$AY$1,G$1)+SUMIFS('changes2_based on steps'!$B165:$U165,'changes2_based on steps'!$B$1:$U$1,G$1)</f>
        <v>0</v>
      </c>
      <c r="H165" s="140">
        <f>SUMIFS('recurring2_based on steps'!$B165:$AY165,'recurring2_based on steps'!$B$1:$AY$1,H$1)+SUMIFS('changes2_based on steps'!$B165:$U165,'changes2_based on steps'!$B$1:$U$1,H$1)</f>
        <v>0</v>
      </c>
      <c r="I165" s="140">
        <f>SUMIFS('recurring2_based on steps'!$B165:$AY165,'recurring2_based on steps'!$B$1:$AY$1,I$1)+SUMIFS('changes2_based on steps'!$B165:$U165,'changes2_based on steps'!$B$1:$U$1,I$1)</f>
        <v>0</v>
      </c>
      <c r="J165" s="140">
        <f ca="1">SUMIFS('recurring2_based on steps'!$B165:$AY165,'recurring2_based on steps'!$B$1:$AY$1,J$1)+SUMIFS('changes2_based on steps'!$B165:$U165,'changes2_based on steps'!$B$1:$U$1,J$1)</f>
        <v>0</v>
      </c>
      <c r="K165" s="140">
        <f>SUMIFS('recurring2_based on steps'!$B165:$AY165,'recurring2_based on steps'!$B$1:$AY$1,K$1)+SUMIFS('changes2_based on steps'!$B165:$U165,'changes2_based on steps'!$B$1:$U$1,K$1)</f>
        <v>0</v>
      </c>
      <c r="L165" s="140">
        <f>SUMIFS('recurring2_based on steps'!$B165:$AY165,'recurring2_based on steps'!$B$1:$AY$1,L$1)+SUMIFS('changes2_based on steps'!$B165:$U165,'changes2_based on steps'!$B$1:$U$1,L$1)</f>
        <v>0</v>
      </c>
      <c r="M165" s="140">
        <f>SUMIFS('recurring2_based on steps'!$B165:$AY165,'recurring2_based on steps'!$B$1:$AY$1,M$1)+SUMIFS('changes2_based on steps'!$B165:$U165,'changes2_based on steps'!$B$1:$U$1,M$1)</f>
        <v>0</v>
      </c>
      <c r="N165" s="140">
        <f ca="1">SUMIFS('recurring2_based on steps'!$B165:$AY165,'recurring2_based on steps'!$B$1:$AY$1,N$1)+SUMIFS('changes2_based on steps'!$B165:$U165,'changes2_based on steps'!$B$1:$U$1,N$1)</f>
        <v>0</v>
      </c>
      <c r="O165" s="140">
        <f>SUMIFS('recurring2_based on steps'!$B165:$AY165,'recurring2_based on steps'!$B$1:$AY$1,O$1)+SUMIFS('changes2_based on steps'!$B165:$U165,'changes2_based on steps'!$B$1:$U$1,O$1)</f>
        <v>0</v>
      </c>
      <c r="P165" s="140">
        <f ca="1">SUMIFS('recurring2_based on steps'!$B165:$AY165,'recurring2_based on steps'!$B$1:$AY$1,P$1)+SUMIFS('changes2_based on steps'!$B165:$U165,'changes2_based on steps'!$B$1:$U$1,P$1)</f>
        <v>0</v>
      </c>
      <c r="Q165" s="140">
        <f ca="1">SUMIFS('recurring2_based on steps'!$B165:$AY165,'recurring2_based on steps'!$B$1:$AY$1,Q$1)+SUMIFS('changes2_based on steps'!$B165:$U165,'changes2_based on steps'!$B$1:$U$1,Q$1)</f>
        <v>5.5401662049861494E-2</v>
      </c>
      <c r="R165" s="140">
        <f ca="1">SUMIFS('recurring2_based on steps'!$B165:$AY165,'recurring2_based on steps'!$B$1:$AY$1,R$1)+SUMIFS('changes2_based on steps'!$B165:$U165,'changes2_based on steps'!$B$1:$U$1,R$1)</f>
        <v>0</v>
      </c>
      <c r="S165" s="140">
        <f>SUMIFS('recurring2_based on steps'!$B165:$AY165,'recurring2_based on steps'!$B$1:$AY$1,S$1)+SUMIFS('changes2_based on steps'!$B165:$U165,'changes2_based on steps'!$B$1:$U$1,S$1)</f>
        <v>0</v>
      </c>
      <c r="T165" s="140">
        <f ca="1">SUMIFS('recurring2_based on steps'!$B165:$AY165,'recurring2_based on steps'!$B$1:$AY$1,T$1)+SUMIFS('changes2_based on steps'!$B165:$U165,'changes2_based on steps'!$B$1:$U$1,T$1)</f>
        <v>50</v>
      </c>
      <c r="U165" s="140">
        <f ca="1">SUMIFS('recurring2_based on steps'!$B165:$AY165,'recurring2_based on steps'!$B$1:$AY$1,U$1)+SUMIFS('changes2_based on steps'!$B165:$U165,'changes2_based on steps'!$B$1:$U$1,U$1)</f>
        <v>200</v>
      </c>
      <c r="V165" s="140">
        <f>SUMIFS('recurring2_based on steps'!$B165:$AY165,'recurring2_based on steps'!$B$1:$AY$1,V$1)+SUMIFS('changes2_based on steps'!$B165:$U165,'changes2_based on steps'!$B$1:$U$1,V$1)</f>
        <v>0</v>
      </c>
      <c r="W165" s="140">
        <f>SUMIFS('recurring2_based on steps'!$B165:$AY165,'recurring2_based on steps'!$B$1:$AY$1,W$1)+SUMIFS('changes2_based on steps'!$B165:$U165,'changes2_based on steps'!$B$1:$U$1,W$1)</f>
        <v>0</v>
      </c>
      <c r="X165" s="140">
        <f ca="1">SUMIFS('recurring2_based on steps'!$B165:$AY165,'recurring2_based on steps'!$B$1:$AY$1,X$1)+SUMIFS('changes2_based on steps'!$B165:$U165,'changes2_based on steps'!$B$1:$U$1,X$1)</f>
        <v>96</v>
      </c>
      <c r="Y165" s="140">
        <f ca="1">SUMIFS('recurring2_based on steps'!$B165:$AY165,'recurring2_based on steps'!$B$1:$AY$1,Y$1)+SUMIFS('changes2_based on steps'!$B165:$U165,'changes2_based on steps'!$B$1:$U$1,Y$1)</f>
        <v>0</v>
      </c>
      <c r="Z165" s="140">
        <f>SUMIFS('recurring2_based on steps'!$B165:$AY165,'recurring2_based on steps'!$B$1:$AY$1,Z$1)+SUMIFS('changes2_based on steps'!$B165:$U165,'changes2_based on steps'!$B$1:$U$1,Z$1)</f>
        <v>0</v>
      </c>
      <c r="AA165" s="140">
        <f ca="1">SUMIFS('recurring2_based on steps'!$B165:$AY165,'recurring2_based on steps'!$B$1:$AY$1,AA$1)+SUMIFS('changes2_based on steps'!$B165:$U165,'changes2_based on steps'!$B$1:$U$1,AA$1)</f>
        <v>0</v>
      </c>
      <c r="AB165" s="140">
        <f ca="1">SUMIFS('recurring2_based on steps'!$B165:$AY165,'recurring2_based on steps'!$B$1:$AY$1,AB$1)+SUMIFS('changes2_based on steps'!$B165:$U165,'changes2_based on steps'!$B$1:$U$1,AB$1)</f>
        <v>0</v>
      </c>
      <c r="AC165" s="140">
        <f ca="1">SUMIFS('recurring2_based on steps'!$B165:$AY165,'recurring2_based on steps'!$B$1:$AY$1,AC$1)+SUMIFS('changes2_based on steps'!$B165:$U165,'changes2_based on steps'!$B$1:$U$1,AC$1)</f>
        <v>0</v>
      </c>
      <c r="AD165" s="140">
        <f ca="1">SUMIFS('recurring2_based on steps'!$B165:$AY165,'recurring2_based on steps'!$B$1:$AY$1,AD$1)+SUMIFS('changes2_based on steps'!$B165:$U165,'changes2_based on steps'!$B$1:$U$1,AD$1)</f>
        <v>50</v>
      </c>
      <c r="AE165" s="140">
        <f>SUMIFS('recurring2_based on steps'!$B165:$AY165,'recurring2_based on steps'!$B$1:$AY$1,AE$1)+SUMIFS('changes2_based on steps'!$B165:$U165,'changes2_based on steps'!$B$1:$U$1,AE$1)</f>
        <v>0</v>
      </c>
      <c r="AF165" s="140"/>
      <c r="AG165" s="140"/>
      <c r="AH165" s="140"/>
      <c r="AI165" s="140"/>
      <c r="AJ165" s="140"/>
      <c r="AK165" s="140"/>
      <c r="AL165" s="140"/>
      <c r="AM165" s="140"/>
    </row>
    <row r="166" spans="1:39" x14ac:dyDescent="0.2">
      <c r="A166" s="29">
        <f t="shared" ca="1" si="2"/>
        <v>45906</v>
      </c>
      <c r="B166" s="140">
        <f ca="1">SUMIFS('recurring2_based on steps'!$B166:$AY166,'recurring2_based on steps'!$B$1:$AY$1,B$1)+SUMIFS('changes2_based on steps'!$B166:$U166,'changes2_based on steps'!$B$1:$U$1,B$1)</f>
        <v>0</v>
      </c>
      <c r="C166" s="140">
        <f>SUMIFS('recurring2_based on steps'!$B166:$AY166,'recurring2_based on steps'!$B$1:$AY$1,C$1)+SUMIFS('changes2_based on steps'!$B166:$U166,'changes2_based on steps'!$B$1:$U$1,C$1)</f>
        <v>0</v>
      </c>
      <c r="D166" s="140">
        <f>SUMIFS('recurring2_based on steps'!$B166:$AY166,'recurring2_based on steps'!$B$1:$AY$1,D$1)+SUMIFS('changes2_based on steps'!$B166:$U166,'changes2_based on steps'!$B$1:$U$1,D$1)</f>
        <v>0</v>
      </c>
      <c r="E166" s="140">
        <f>SUMIFS('recurring2_based on steps'!$B166:$AY166,'recurring2_based on steps'!$B$1:$AY$1,E$1)+SUMIFS('changes2_based on steps'!$B166:$U166,'changes2_based on steps'!$B$1:$U$1,E$1)</f>
        <v>0</v>
      </c>
      <c r="F166" s="140">
        <f>SUMIFS('recurring2_based on steps'!$B166:$AY166,'recurring2_based on steps'!$B$1:$AY$1,F$1)+SUMIFS('changes2_based on steps'!$B166:$U166,'changes2_based on steps'!$B$1:$U$1,F$1)</f>
        <v>0</v>
      </c>
      <c r="G166" s="140">
        <f>SUMIFS('recurring2_based on steps'!$B166:$AY166,'recurring2_based on steps'!$B$1:$AY$1,G$1)+SUMIFS('changes2_based on steps'!$B166:$U166,'changes2_based on steps'!$B$1:$U$1,G$1)</f>
        <v>0</v>
      </c>
      <c r="H166" s="140">
        <f>SUMIFS('recurring2_based on steps'!$B166:$AY166,'recurring2_based on steps'!$B$1:$AY$1,H$1)+SUMIFS('changes2_based on steps'!$B166:$U166,'changes2_based on steps'!$B$1:$U$1,H$1)</f>
        <v>0</v>
      </c>
      <c r="I166" s="140">
        <f>SUMIFS('recurring2_based on steps'!$B166:$AY166,'recurring2_based on steps'!$B$1:$AY$1,I$1)+SUMIFS('changes2_based on steps'!$B166:$U166,'changes2_based on steps'!$B$1:$U$1,I$1)</f>
        <v>0</v>
      </c>
      <c r="J166" s="140">
        <f ca="1">SUMIFS('recurring2_based on steps'!$B166:$AY166,'recurring2_based on steps'!$B$1:$AY$1,J$1)+SUMIFS('changes2_based on steps'!$B166:$U166,'changes2_based on steps'!$B$1:$U$1,J$1)</f>
        <v>0</v>
      </c>
      <c r="K166" s="140">
        <f>SUMIFS('recurring2_based on steps'!$B166:$AY166,'recurring2_based on steps'!$B$1:$AY$1,K$1)+SUMIFS('changes2_based on steps'!$B166:$U166,'changes2_based on steps'!$B$1:$U$1,K$1)</f>
        <v>0</v>
      </c>
      <c r="L166" s="140">
        <f>SUMIFS('recurring2_based on steps'!$B166:$AY166,'recurring2_based on steps'!$B$1:$AY$1,L$1)+SUMIFS('changes2_based on steps'!$B166:$U166,'changes2_based on steps'!$B$1:$U$1,L$1)</f>
        <v>0</v>
      </c>
      <c r="M166" s="140">
        <f>SUMIFS('recurring2_based on steps'!$B166:$AY166,'recurring2_based on steps'!$B$1:$AY$1,M$1)+SUMIFS('changes2_based on steps'!$B166:$U166,'changes2_based on steps'!$B$1:$U$1,M$1)</f>
        <v>0</v>
      </c>
      <c r="N166" s="140">
        <f ca="1">SUMIFS('recurring2_based on steps'!$B166:$AY166,'recurring2_based on steps'!$B$1:$AY$1,N$1)+SUMIFS('changes2_based on steps'!$B166:$U166,'changes2_based on steps'!$B$1:$U$1,N$1)</f>
        <v>0</v>
      </c>
      <c r="O166" s="140">
        <f>SUMIFS('recurring2_based on steps'!$B166:$AY166,'recurring2_based on steps'!$B$1:$AY$1,O$1)+SUMIFS('changes2_based on steps'!$B166:$U166,'changes2_based on steps'!$B$1:$U$1,O$1)</f>
        <v>0</v>
      </c>
      <c r="P166" s="140">
        <f ca="1">SUMIFS('recurring2_based on steps'!$B166:$AY166,'recurring2_based on steps'!$B$1:$AY$1,P$1)+SUMIFS('changes2_based on steps'!$B166:$U166,'changes2_based on steps'!$B$1:$U$1,P$1)</f>
        <v>0</v>
      </c>
      <c r="Q166" s="140">
        <f ca="1">SUMIFS('recurring2_based on steps'!$B166:$AY166,'recurring2_based on steps'!$B$1:$AY$1,Q$1)+SUMIFS('changes2_based on steps'!$B166:$U166,'changes2_based on steps'!$B$1:$U$1,Q$1)</f>
        <v>100.05540166204986</v>
      </c>
      <c r="R166" s="140">
        <f ca="1">SUMIFS('recurring2_based on steps'!$B166:$AY166,'recurring2_based on steps'!$B$1:$AY$1,R$1)+SUMIFS('changes2_based on steps'!$B166:$U166,'changes2_based on steps'!$B$1:$U$1,R$1)</f>
        <v>0</v>
      </c>
      <c r="S166" s="140">
        <f>SUMIFS('recurring2_based on steps'!$B166:$AY166,'recurring2_based on steps'!$B$1:$AY$1,S$1)+SUMIFS('changes2_based on steps'!$B166:$U166,'changes2_based on steps'!$B$1:$U$1,S$1)</f>
        <v>0</v>
      </c>
      <c r="T166" s="140">
        <f ca="1">SUMIFS('recurring2_based on steps'!$B166:$AY166,'recurring2_based on steps'!$B$1:$AY$1,T$1)+SUMIFS('changes2_based on steps'!$B166:$U166,'changes2_based on steps'!$B$1:$U$1,T$1)</f>
        <v>0</v>
      </c>
      <c r="U166" s="140">
        <f ca="1">SUMIFS('recurring2_based on steps'!$B166:$AY166,'recurring2_based on steps'!$B$1:$AY$1,U$1)+SUMIFS('changes2_based on steps'!$B166:$U166,'changes2_based on steps'!$B$1:$U$1,U$1)</f>
        <v>0</v>
      </c>
      <c r="V166" s="140">
        <f>SUMIFS('recurring2_based on steps'!$B166:$AY166,'recurring2_based on steps'!$B$1:$AY$1,V$1)+SUMIFS('changes2_based on steps'!$B166:$U166,'changes2_based on steps'!$B$1:$U$1,V$1)</f>
        <v>0</v>
      </c>
      <c r="W166" s="140">
        <f>SUMIFS('recurring2_based on steps'!$B166:$AY166,'recurring2_based on steps'!$B$1:$AY$1,W$1)+SUMIFS('changes2_based on steps'!$B166:$U166,'changes2_based on steps'!$B$1:$U$1,W$1)</f>
        <v>0</v>
      </c>
      <c r="X166" s="140">
        <f ca="1">SUMIFS('recurring2_based on steps'!$B166:$AY166,'recurring2_based on steps'!$B$1:$AY$1,X$1)+SUMIFS('changes2_based on steps'!$B166:$U166,'changes2_based on steps'!$B$1:$U$1,X$1)</f>
        <v>0</v>
      </c>
      <c r="Y166" s="140">
        <f ca="1">SUMIFS('recurring2_based on steps'!$B166:$AY166,'recurring2_based on steps'!$B$1:$AY$1,Y$1)+SUMIFS('changes2_based on steps'!$B166:$U166,'changes2_based on steps'!$B$1:$U$1,Y$1)</f>
        <v>0</v>
      </c>
      <c r="Z166" s="140">
        <f>SUMIFS('recurring2_based on steps'!$B166:$AY166,'recurring2_based on steps'!$B$1:$AY$1,Z$1)+SUMIFS('changes2_based on steps'!$B166:$U166,'changes2_based on steps'!$B$1:$U$1,Z$1)</f>
        <v>0</v>
      </c>
      <c r="AA166" s="140">
        <f ca="1">SUMIFS('recurring2_based on steps'!$B166:$AY166,'recurring2_based on steps'!$B$1:$AY$1,AA$1)+SUMIFS('changes2_based on steps'!$B166:$U166,'changes2_based on steps'!$B$1:$U$1,AA$1)</f>
        <v>0</v>
      </c>
      <c r="AB166" s="140">
        <f ca="1">SUMIFS('recurring2_based on steps'!$B166:$AY166,'recurring2_based on steps'!$B$1:$AY$1,AB$1)+SUMIFS('changes2_based on steps'!$B166:$U166,'changes2_based on steps'!$B$1:$U$1,AB$1)</f>
        <v>100</v>
      </c>
      <c r="AC166" s="140">
        <f ca="1">SUMIFS('recurring2_based on steps'!$B166:$AY166,'recurring2_based on steps'!$B$1:$AY$1,AC$1)+SUMIFS('changes2_based on steps'!$B166:$U166,'changes2_based on steps'!$B$1:$U$1,AC$1)</f>
        <v>0</v>
      </c>
      <c r="AD166" s="140">
        <f ca="1">SUMIFS('recurring2_based on steps'!$B166:$AY166,'recurring2_based on steps'!$B$1:$AY$1,AD$1)+SUMIFS('changes2_based on steps'!$B166:$U166,'changes2_based on steps'!$B$1:$U$1,AD$1)</f>
        <v>0</v>
      </c>
      <c r="AE166" s="140">
        <f>SUMIFS('recurring2_based on steps'!$B166:$AY166,'recurring2_based on steps'!$B$1:$AY$1,AE$1)+SUMIFS('changes2_based on steps'!$B166:$U166,'changes2_based on steps'!$B$1:$U$1,AE$1)</f>
        <v>0</v>
      </c>
      <c r="AF166" s="140"/>
      <c r="AG166" s="140"/>
      <c r="AH166" s="140"/>
      <c r="AI166" s="140"/>
      <c r="AJ166" s="140"/>
      <c r="AK166" s="140"/>
      <c r="AL166" s="140"/>
      <c r="AM166" s="140"/>
    </row>
    <row r="167" spans="1:39" x14ac:dyDescent="0.2">
      <c r="A167" s="29">
        <f t="shared" ca="1" si="2"/>
        <v>45907</v>
      </c>
      <c r="B167" s="140">
        <f ca="1">SUMIFS('recurring2_based on steps'!$B167:$AY167,'recurring2_based on steps'!$B$1:$AY$1,B$1)+SUMIFS('changes2_based on steps'!$B167:$U167,'changes2_based on steps'!$B$1:$U$1,B$1)</f>
        <v>0</v>
      </c>
      <c r="C167" s="140">
        <f>SUMIFS('recurring2_based on steps'!$B167:$AY167,'recurring2_based on steps'!$B$1:$AY$1,C$1)+SUMIFS('changes2_based on steps'!$B167:$U167,'changes2_based on steps'!$B$1:$U$1,C$1)</f>
        <v>0</v>
      </c>
      <c r="D167" s="140">
        <f>SUMIFS('recurring2_based on steps'!$B167:$AY167,'recurring2_based on steps'!$B$1:$AY$1,D$1)+SUMIFS('changes2_based on steps'!$B167:$U167,'changes2_based on steps'!$B$1:$U$1,D$1)</f>
        <v>0</v>
      </c>
      <c r="E167" s="140">
        <f>SUMIFS('recurring2_based on steps'!$B167:$AY167,'recurring2_based on steps'!$B$1:$AY$1,E$1)+SUMIFS('changes2_based on steps'!$B167:$U167,'changes2_based on steps'!$B$1:$U$1,E$1)</f>
        <v>0</v>
      </c>
      <c r="F167" s="140">
        <f>SUMIFS('recurring2_based on steps'!$B167:$AY167,'recurring2_based on steps'!$B$1:$AY$1,F$1)+SUMIFS('changes2_based on steps'!$B167:$U167,'changes2_based on steps'!$B$1:$U$1,F$1)</f>
        <v>0</v>
      </c>
      <c r="G167" s="140">
        <f>SUMIFS('recurring2_based on steps'!$B167:$AY167,'recurring2_based on steps'!$B$1:$AY$1,G$1)+SUMIFS('changes2_based on steps'!$B167:$U167,'changes2_based on steps'!$B$1:$U$1,G$1)</f>
        <v>0</v>
      </c>
      <c r="H167" s="140">
        <f>SUMIFS('recurring2_based on steps'!$B167:$AY167,'recurring2_based on steps'!$B$1:$AY$1,H$1)+SUMIFS('changes2_based on steps'!$B167:$U167,'changes2_based on steps'!$B$1:$U$1,H$1)</f>
        <v>0</v>
      </c>
      <c r="I167" s="140">
        <f>SUMIFS('recurring2_based on steps'!$B167:$AY167,'recurring2_based on steps'!$B$1:$AY$1,I$1)+SUMIFS('changes2_based on steps'!$B167:$U167,'changes2_based on steps'!$B$1:$U$1,I$1)</f>
        <v>0</v>
      </c>
      <c r="J167" s="140">
        <f ca="1">SUMIFS('recurring2_based on steps'!$B167:$AY167,'recurring2_based on steps'!$B$1:$AY$1,J$1)+SUMIFS('changes2_based on steps'!$B167:$U167,'changes2_based on steps'!$B$1:$U$1,J$1)</f>
        <v>0</v>
      </c>
      <c r="K167" s="140">
        <f>SUMIFS('recurring2_based on steps'!$B167:$AY167,'recurring2_based on steps'!$B$1:$AY$1,K$1)+SUMIFS('changes2_based on steps'!$B167:$U167,'changes2_based on steps'!$B$1:$U$1,K$1)</f>
        <v>0</v>
      </c>
      <c r="L167" s="140">
        <f>SUMIFS('recurring2_based on steps'!$B167:$AY167,'recurring2_based on steps'!$B$1:$AY$1,L$1)+SUMIFS('changes2_based on steps'!$B167:$U167,'changes2_based on steps'!$B$1:$U$1,L$1)</f>
        <v>0</v>
      </c>
      <c r="M167" s="140">
        <f>SUMIFS('recurring2_based on steps'!$B167:$AY167,'recurring2_based on steps'!$B$1:$AY$1,M$1)+SUMIFS('changes2_based on steps'!$B167:$U167,'changes2_based on steps'!$B$1:$U$1,M$1)</f>
        <v>0</v>
      </c>
      <c r="N167" s="140">
        <f ca="1">SUMIFS('recurring2_based on steps'!$B167:$AY167,'recurring2_based on steps'!$B$1:$AY$1,N$1)+SUMIFS('changes2_based on steps'!$B167:$U167,'changes2_based on steps'!$B$1:$U$1,N$1)</f>
        <v>0</v>
      </c>
      <c r="O167" s="140">
        <f>SUMIFS('recurring2_based on steps'!$B167:$AY167,'recurring2_based on steps'!$B$1:$AY$1,O$1)+SUMIFS('changes2_based on steps'!$B167:$U167,'changes2_based on steps'!$B$1:$U$1,O$1)</f>
        <v>0</v>
      </c>
      <c r="P167" s="140">
        <f ca="1">SUMIFS('recurring2_based on steps'!$B167:$AY167,'recurring2_based on steps'!$B$1:$AY$1,P$1)+SUMIFS('changes2_based on steps'!$B167:$U167,'changes2_based on steps'!$B$1:$U$1,P$1)</f>
        <v>0</v>
      </c>
      <c r="Q167" s="140">
        <f ca="1">SUMIFS('recurring2_based on steps'!$B167:$AY167,'recurring2_based on steps'!$B$1:$AY$1,Q$1)+SUMIFS('changes2_based on steps'!$B167:$U167,'changes2_based on steps'!$B$1:$U$1,Q$1)</f>
        <v>100.05540166204986</v>
      </c>
      <c r="R167" s="140">
        <f ca="1">SUMIFS('recurring2_based on steps'!$B167:$AY167,'recurring2_based on steps'!$B$1:$AY$1,R$1)+SUMIFS('changes2_based on steps'!$B167:$U167,'changes2_based on steps'!$B$1:$U$1,R$1)</f>
        <v>0</v>
      </c>
      <c r="S167" s="140">
        <f>SUMIFS('recurring2_based on steps'!$B167:$AY167,'recurring2_based on steps'!$B$1:$AY$1,S$1)+SUMIFS('changes2_based on steps'!$B167:$U167,'changes2_based on steps'!$B$1:$U$1,S$1)</f>
        <v>0</v>
      </c>
      <c r="T167" s="140">
        <f ca="1">SUMIFS('recurring2_based on steps'!$B167:$AY167,'recurring2_based on steps'!$B$1:$AY$1,T$1)+SUMIFS('changes2_based on steps'!$B167:$U167,'changes2_based on steps'!$B$1:$U$1,T$1)</f>
        <v>0</v>
      </c>
      <c r="U167" s="140">
        <f ca="1">SUMIFS('recurring2_based on steps'!$B167:$AY167,'recurring2_based on steps'!$B$1:$AY$1,U$1)+SUMIFS('changes2_based on steps'!$B167:$U167,'changes2_based on steps'!$B$1:$U$1,U$1)</f>
        <v>0</v>
      </c>
      <c r="V167" s="140">
        <f>SUMIFS('recurring2_based on steps'!$B167:$AY167,'recurring2_based on steps'!$B$1:$AY$1,V$1)+SUMIFS('changes2_based on steps'!$B167:$U167,'changes2_based on steps'!$B$1:$U$1,V$1)</f>
        <v>0</v>
      </c>
      <c r="W167" s="140">
        <f>SUMIFS('recurring2_based on steps'!$B167:$AY167,'recurring2_based on steps'!$B$1:$AY$1,W$1)+SUMIFS('changes2_based on steps'!$B167:$U167,'changes2_based on steps'!$B$1:$U$1,W$1)</f>
        <v>0</v>
      </c>
      <c r="X167" s="140">
        <f ca="1">SUMIFS('recurring2_based on steps'!$B167:$AY167,'recurring2_based on steps'!$B$1:$AY$1,X$1)+SUMIFS('changes2_based on steps'!$B167:$U167,'changes2_based on steps'!$B$1:$U$1,X$1)</f>
        <v>0</v>
      </c>
      <c r="Y167" s="140">
        <f ca="1">SUMIFS('recurring2_based on steps'!$B167:$AY167,'recurring2_based on steps'!$B$1:$AY$1,Y$1)+SUMIFS('changes2_based on steps'!$B167:$U167,'changes2_based on steps'!$B$1:$U$1,Y$1)</f>
        <v>50</v>
      </c>
      <c r="Z167" s="140">
        <f>SUMIFS('recurring2_based on steps'!$B167:$AY167,'recurring2_based on steps'!$B$1:$AY$1,Z$1)+SUMIFS('changes2_based on steps'!$B167:$U167,'changes2_based on steps'!$B$1:$U$1,Z$1)</f>
        <v>0</v>
      </c>
      <c r="AA167" s="140">
        <f ca="1">SUMIFS('recurring2_based on steps'!$B167:$AY167,'recurring2_based on steps'!$B$1:$AY$1,AA$1)+SUMIFS('changes2_based on steps'!$B167:$U167,'changes2_based on steps'!$B$1:$U$1,AA$1)</f>
        <v>0</v>
      </c>
      <c r="AB167" s="140">
        <f ca="1">SUMIFS('recurring2_based on steps'!$B167:$AY167,'recurring2_based on steps'!$B$1:$AY$1,AB$1)+SUMIFS('changes2_based on steps'!$B167:$U167,'changes2_based on steps'!$B$1:$U$1,AB$1)</f>
        <v>0</v>
      </c>
      <c r="AC167" s="140">
        <f ca="1">SUMIFS('recurring2_based on steps'!$B167:$AY167,'recurring2_based on steps'!$B$1:$AY$1,AC$1)+SUMIFS('changes2_based on steps'!$B167:$U167,'changes2_based on steps'!$B$1:$U$1,AC$1)</f>
        <v>0</v>
      </c>
      <c r="AD167" s="140">
        <f ca="1">SUMIFS('recurring2_based on steps'!$B167:$AY167,'recurring2_based on steps'!$B$1:$AY$1,AD$1)+SUMIFS('changes2_based on steps'!$B167:$U167,'changes2_based on steps'!$B$1:$U$1,AD$1)</f>
        <v>0</v>
      </c>
      <c r="AE167" s="140">
        <f>SUMIFS('recurring2_based on steps'!$B167:$AY167,'recurring2_based on steps'!$B$1:$AY$1,AE$1)+SUMIFS('changes2_based on steps'!$B167:$U167,'changes2_based on steps'!$B$1:$U$1,AE$1)</f>
        <v>0</v>
      </c>
      <c r="AF167" s="140"/>
      <c r="AG167" s="140"/>
      <c r="AH167" s="140"/>
      <c r="AI167" s="140"/>
      <c r="AJ167" s="140"/>
      <c r="AK167" s="140"/>
      <c r="AL167" s="140"/>
      <c r="AM167" s="140"/>
    </row>
    <row r="168" spans="1:39" x14ac:dyDescent="0.2">
      <c r="A168" s="29">
        <f t="shared" ca="1" si="2"/>
        <v>45908</v>
      </c>
      <c r="B168" s="140">
        <f ca="1">SUMIFS('recurring2_based on steps'!$B168:$AY168,'recurring2_based on steps'!$B$1:$AY$1,B$1)+SUMIFS('changes2_based on steps'!$B168:$U168,'changes2_based on steps'!$B$1:$U$1,B$1)</f>
        <v>0</v>
      </c>
      <c r="C168" s="140">
        <f>SUMIFS('recurring2_based on steps'!$B168:$AY168,'recurring2_based on steps'!$B$1:$AY$1,C$1)+SUMIFS('changes2_based on steps'!$B168:$U168,'changes2_based on steps'!$B$1:$U$1,C$1)</f>
        <v>0</v>
      </c>
      <c r="D168" s="140">
        <f>SUMIFS('recurring2_based on steps'!$B168:$AY168,'recurring2_based on steps'!$B$1:$AY$1,D$1)+SUMIFS('changes2_based on steps'!$B168:$U168,'changes2_based on steps'!$B$1:$U$1,D$1)</f>
        <v>0</v>
      </c>
      <c r="E168" s="140">
        <f>SUMIFS('recurring2_based on steps'!$B168:$AY168,'recurring2_based on steps'!$B$1:$AY$1,E$1)+SUMIFS('changes2_based on steps'!$B168:$U168,'changes2_based on steps'!$B$1:$U$1,E$1)</f>
        <v>0</v>
      </c>
      <c r="F168" s="140">
        <f>SUMIFS('recurring2_based on steps'!$B168:$AY168,'recurring2_based on steps'!$B$1:$AY$1,F$1)+SUMIFS('changes2_based on steps'!$B168:$U168,'changes2_based on steps'!$B$1:$U$1,F$1)</f>
        <v>0</v>
      </c>
      <c r="G168" s="140">
        <f>SUMIFS('recurring2_based on steps'!$B168:$AY168,'recurring2_based on steps'!$B$1:$AY$1,G$1)+SUMIFS('changes2_based on steps'!$B168:$U168,'changes2_based on steps'!$B$1:$U$1,G$1)</f>
        <v>0</v>
      </c>
      <c r="H168" s="140">
        <f>SUMIFS('recurring2_based on steps'!$B168:$AY168,'recurring2_based on steps'!$B$1:$AY$1,H$1)+SUMIFS('changes2_based on steps'!$B168:$U168,'changes2_based on steps'!$B$1:$U$1,H$1)</f>
        <v>0</v>
      </c>
      <c r="I168" s="140">
        <f>SUMIFS('recurring2_based on steps'!$B168:$AY168,'recurring2_based on steps'!$B$1:$AY$1,I$1)+SUMIFS('changes2_based on steps'!$B168:$U168,'changes2_based on steps'!$B$1:$U$1,I$1)</f>
        <v>0</v>
      </c>
      <c r="J168" s="140">
        <f ca="1">SUMIFS('recurring2_based on steps'!$B168:$AY168,'recurring2_based on steps'!$B$1:$AY$1,J$1)+SUMIFS('changes2_based on steps'!$B168:$U168,'changes2_based on steps'!$B$1:$U$1,J$1)</f>
        <v>0</v>
      </c>
      <c r="K168" s="140">
        <f>SUMIFS('recurring2_based on steps'!$B168:$AY168,'recurring2_based on steps'!$B$1:$AY$1,K$1)+SUMIFS('changes2_based on steps'!$B168:$U168,'changes2_based on steps'!$B$1:$U$1,K$1)</f>
        <v>0</v>
      </c>
      <c r="L168" s="140">
        <f>SUMIFS('recurring2_based on steps'!$B168:$AY168,'recurring2_based on steps'!$B$1:$AY$1,L$1)+SUMIFS('changes2_based on steps'!$B168:$U168,'changes2_based on steps'!$B$1:$U$1,L$1)</f>
        <v>0</v>
      </c>
      <c r="M168" s="140">
        <f>SUMIFS('recurring2_based on steps'!$B168:$AY168,'recurring2_based on steps'!$B$1:$AY$1,M$1)+SUMIFS('changes2_based on steps'!$B168:$U168,'changes2_based on steps'!$B$1:$U$1,M$1)</f>
        <v>0</v>
      </c>
      <c r="N168" s="140">
        <f ca="1">SUMIFS('recurring2_based on steps'!$B168:$AY168,'recurring2_based on steps'!$B$1:$AY$1,N$1)+SUMIFS('changes2_based on steps'!$B168:$U168,'changes2_based on steps'!$B$1:$U$1,N$1)</f>
        <v>0</v>
      </c>
      <c r="O168" s="140">
        <f>SUMIFS('recurring2_based on steps'!$B168:$AY168,'recurring2_based on steps'!$B$1:$AY$1,O$1)+SUMIFS('changes2_based on steps'!$B168:$U168,'changes2_based on steps'!$B$1:$U$1,O$1)</f>
        <v>0</v>
      </c>
      <c r="P168" s="140">
        <f ca="1">SUMIFS('recurring2_based on steps'!$B168:$AY168,'recurring2_based on steps'!$B$1:$AY$1,P$1)+SUMIFS('changes2_based on steps'!$B168:$U168,'changes2_based on steps'!$B$1:$U$1,P$1)</f>
        <v>0</v>
      </c>
      <c r="Q168" s="140">
        <f ca="1">SUMIFS('recurring2_based on steps'!$B168:$AY168,'recurring2_based on steps'!$B$1:$AY$1,Q$1)+SUMIFS('changes2_based on steps'!$B168:$U168,'changes2_based on steps'!$B$1:$U$1,Q$1)</f>
        <v>5.5401662049861494E-2</v>
      </c>
      <c r="R168" s="140">
        <f ca="1">SUMIFS('recurring2_based on steps'!$B168:$AY168,'recurring2_based on steps'!$B$1:$AY$1,R$1)+SUMIFS('changes2_based on steps'!$B168:$U168,'changes2_based on steps'!$B$1:$U$1,R$1)</f>
        <v>0</v>
      </c>
      <c r="S168" s="140">
        <f>SUMIFS('recurring2_based on steps'!$B168:$AY168,'recurring2_based on steps'!$B$1:$AY$1,S$1)+SUMIFS('changes2_based on steps'!$B168:$U168,'changes2_based on steps'!$B$1:$U$1,S$1)</f>
        <v>0</v>
      </c>
      <c r="T168" s="140">
        <f ca="1">SUMIFS('recurring2_based on steps'!$B168:$AY168,'recurring2_based on steps'!$B$1:$AY$1,T$1)+SUMIFS('changes2_based on steps'!$B168:$U168,'changes2_based on steps'!$B$1:$U$1,T$1)</f>
        <v>0</v>
      </c>
      <c r="U168" s="140">
        <f ca="1">SUMIFS('recurring2_based on steps'!$B168:$AY168,'recurring2_based on steps'!$B$1:$AY$1,U$1)+SUMIFS('changes2_based on steps'!$B168:$U168,'changes2_based on steps'!$B$1:$U$1,U$1)</f>
        <v>0</v>
      </c>
      <c r="V168" s="140">
        <f>SUMIFS('recurring2_based on steps'!$B168:$AY168,'recurring2_based on steps'!$B$1:$AY$1,V$1)+SUMIFS('changes2_based on steps'!$B168:$U168,'changes2_based on steps'!$B$1:$U$1,V$1)</f>
        <v>0</v>
      </c>
      <c r="W168" s="140">
        <f>SUMIFS('recurring2_based on steps'!$B168:$AY168,'recurring2_based on steps'!$B$1:$AY$1,W$1)+SUMIFS('changes2_based on steps'!$B168:$U168,'changes2_based on steps'!$B$1:$U$1,W$1)</f>
        <v>0</v>
      </c>
      <c r="X168" s="140">
        <f ca="1">SUMIFS('recurring2_based on steps'!$B168:$AY168,'recurring2_based on steps'!$B$1:$AY$1,X$1)+SUMIFS('changes2_based on steps'!$B168:$U168,'changes2_based on steps'!$B$1:$U$1,X$1)</f>
        <v>0</v>
      </c>
      <c r="Y168" s="140">
        <f ca="1">SUMIFS('recurring2_based on steps'!$B168:$AY168,'recurring2_based on steps'!$B$1:$AY$1,Y$1)+SUMIFS('changes2_based on steps'!$B168:$U168,'changes2_based on steps'!$B$1:$U$1,Y$1)</f>
        <v>0</v>
      </c>
      <c r="Z168" s="140">
        <f>SUMIFS('recurring2_based on steps'!$B168:$AY168,'recurring2_based on steps'!$B$1:$AY$1,Z$1)+SUMIFS('changes2_based on steps'!$B168:$U168,'changes2_based on steps'!$B$1:$U$1,Z$1)</f>
        <v>0</v>
      </c>
      <c r="AA168" s="140">
        <f ca="1">SUMIFS('recurring2_based on steps'!$B168:$AY168,'recurring2_based on steps'!$B$1:$AY$1,AA$1)+SUMIFS('changes2_based on steps'!$B168:$U168,'changes2_based on steps'!$B$1:$U$1,AA$1)</f>
        <v>0</v>
      </c>
      <c r="AB168" s="140">
        <f ca="1">SUMIFS('recurring2_based on steps'!$B168:$AY168,'recurring2_based on steps'!$B$1:$AY$1,AB$1)+SUMIFS('changes2_based on steps'!$B168:$U168,'changes2_based on steps'!$B$1:$U$1,AB$1)</f>
        <v>0</v>
      </c>
      <c r="AC168" s="140">
        <f ca="1">SUMIFS('recurring2_based on steps'!$B168:$AY168,'recurring2_based on steps'!$B$1:$AY$1,AC$1)+SUMIFS('changes2_based on steps'!$B168:$U168,'changes2_based on steps'!$B$1:$U$1,AC$1)</f>
        <v>0</v>
      </c>
      <c r="AD168" s="140">
        <f ca="1">SUMIFS('recurring2_based on steps'!$B168:$AY168,'recurring2_based on steps'!$B$1:$AY$1,AD$1)+SUMIFS('changes2_based on steps'!$B168:$U168,'changes2_based on steps'!$B$1:$U$1,AD$1)</f>
        <v>0</v>
      </c>
      <c r="AE168" s="140">
        <f>SUMIFS('recurring2_based on steps'!$B168:$AY168,'recurring2_based on steps'!$B$1:$AY$1,AE$1)+SUMIFS('changes2_based on steps'!$B168:$U168,'changes2_based on steps'!$B$1:$U$1,AE$1)</f>
        <v>0</v>
      </c>
      <c r="AF168" s="140"/>
      <c r="AG168" s="140"/>
      <c r="AH168" s="140"/>
      <c r="AI168" s="140"/>
      <c r="AJ168" s="140"/>
      <c r="AK168" s="140"/>
      <c r="AL168" s="140"/>
      <c r="AM168" s="140"/>
    </row>
    <row r="169" spans="1:39" x14ac:dyDescent="0.2">
      <c r="A169" s="29">
        <f t="shared" ca="1" si="2"/>
        <v>45909</v>
      </c>
      <c r="B169" s="140">
        <f ca="1">SUMIFS('recurring2_based on steps'!$B169:$AY169,'recurring2_based on steps'!$B$1:$AY$1,B$1)+SUMIFS('changes2_based on steps'!$B169:$U169,'changes2_based on steps'!$B$1:$U$1,B$1)</f>
        <v>0</v>
      </c>
      <c r="C169" s="140">
        <f>SUMIFS('recurring2_based on steps'!$B169:$AY169,'recurring2_based on steps'!$B$1:$AY$1,C$1)+SUMIFS('changes2_based on steps'!$B169:$U169,'changes2_based on steps'!$B$1:$U$1,C$1)</f>
        <v>0</v>
      </c>
      <c r="D169" s="140">
        <f>SUMIFS('recurring2_based on steps'!$B169:$AY169,'recurring2_based on steps'!$B$1:$AY$1,D$1)+SUMIFS('changes2_based on steps'!$B169:$U169,'changes2_based on steps'!$B$1:$U$1,D$1)</f>
        <v>0</v>
      </c>
      <c r="E169" s="140">
        <f>SUMIFS('recurring2_based on steps'!$B169:$AY169,'recurring2_based on steps'!$B$1:$AY$1,E$1)+SUMIFS('changes2_based on steps'!$B169:$U169,'changes2_based on steps'!$B$1:$U$1,E$1)</f>
        <v>0</v>
      </c>
      <c r="F169" s="140">
        <f>SUMIFS('recurring2_based on steps'!$B169:$AY169,'recurring2_based on steps'!$B$1:$AY$1,F$1)+SUMIFS('changes2_based on steps'!$B169:$U169,'changes2_based on steps'!$B$1:$U$1,F$1)</f>
        <v>0</v>
      </c>
      <c r="G169" s="140">
        <f>SUMIFS('recurring2_based on steps'!$B169:$AY169,'recurring2_based on steps'!$B$1:$AY$1,G$1)+SUMIFS('changes2_based on steps'!$B169:$U169,'changes2_based on steps'!$B$1:$U$1,G$1)</f>
        <v>0</v>
      </c>
      <c r="H169" s="140">
        <f>SUMIFS('recurring2_based on steps'!$B169:$AY169,'recurring2_based on steps'!$B$1:$AY$1,H$1)+SUMIFS('changes2_based on steps'!$B169:$U169,'changes2_based on steps'!$B$1:$U$1,H$1)</f>
        <v>0</v>
      </c>
      <c r="I169" s="140">
        <f>SUMIFS('recurring2_based on steps'!$B169:$AY169,'recurring2_based on steps'!$B$1:$AY$1,I$1)+SUMIFS('changes2_based on steps'!$B169:$U169,'changes2_based on steps'!$B$1:$U$1,I$1)</f>
        <v>0</v>
      </c>
      <c r="J169" s="140">
        <f ca="1">SUMIFS('recurring2_based on steps'!$B169:$AY169,'recurring2_based on steps'!$B$1:$AY$1,J$1)+SUMIFS('changes2_based on steps'!$B169:$U169,'changes2_based on steps'!$B$1:$U$1,J$1)</f>
        <v>0</v>
      </c>
      <c r="K169" s="140">
        <f>SUMIFS('recurring2_based on steps'!$B169:$AY169,'recurring2_based on steps'!$B$1:$AY$1,K$1)+SUMIFS('changes2_based on steps'!$B169:$U169,'changes2_based on steps'!$B$1:$U$1,K$1)</f>
        <v>0</v>
      </c>
      <c r="L169" s="140">
        <f>SUMIFS('recurring2_based on steps'!$B169:$AY169,'recurring2_based on steps'!$B$1:$AY$1,L$1)+SUMIFS('changes2_based on steps'!$B169:$U169,'changes2_based on steps'!$B$1:$U$1,L$1)</f>
        <v>0</v>
      </c>
      <c r="M169" s="140">
        <f>SUMIFS('recurring2_based on steps'!$B169:$AY169,'recurring2_based on steps'!$B$1:$AY$1,M$1)+SUMIFS('changes2_based on steps'!$B169:$U169,'changes2_based on steps'!$B$1:$U$1,M$1)</f>
        <v>0</v>
      </c>
      <c r="N169" s="140">
        <f ca="1">SUMIFS('recurring2_based on steps'!$B169:$AY169,'recurring2_based on steps'!$B$1:$AY$1,N$1)+SUMIFS('changes2_based on steps'!$B169:$U169,'changes2_based on steps'!$B$1:$U$1,N$1)</f>
        <v>0</v>
      </c>
      <c r="O169" s="140">
        <f>SUMIFS('recurring2_based on steps'!$B169:$AY169,'recurring2_based on steps'!$B$1:$AY$1,O$1)+SUMIFS('changes2_based on steps'!$B169:$U169,'changes2_based on steps'!$B$1:$U$1,O$1)</f>
        <v>0</v>
      </c>
      <c r="P169" s="140">
        <f ca="1">SUMIFS('recurring2_based on steps'!$B169:$AY169,'recurring2_based on steps'!$B$1:$AY$1,P$1)+SUMIFS('changes2_based on steps'!$B169:$U169,'changes2_based on steps'!$B$1:$U$1,P$1)</f>
        <v>0</v>
      </c>
      <c r="Q169" s="140">
        <f ca="1">SUMIFS('recurring2_based on steps'!$B169:$AY169,'recurring2_based on steps'!$B$1:$AY$1,Q$1)+SUMIFS('changes2_based on steps'!$B169:$U169,'changes2_based on steps'!$B$1:$U$1,Q$1)</f>
        <v>5.5401662049861494E-2</v>
      </c>
      <c r="R169" s="140">
        <f ca="1">SUMIFS('recurring2_based on steps'!$B169:$AY169,'recurring2_based on steps'!$B$1:$AY$1,R$1)+SUMIFS('changes2_based on steps'!$B169:$U169,'changes2_based on steps'!$B$1:$U$1,R$1)</f>
        <v>0</v>
      </c>
      <c r="S169" s="140">
        <f>SUMIFS('recurring2_based on steps'!$B169:$AY169,'recurring2_based on steps'!$B$1:$AY$1,S$1)+SUMIFS('changes2_based on steps'!$B169:$U169,'changes2_based on steps'!$B$1:$U$1,S$1)</f>
        <v>0</v>
      </c>
      <c r="T169" s="140">
        <f ca="1">SUMIFS('recurring2_based on steps'!$B169:$AY169,'recurring2_based on steps'!$B$1:$AY$1,T$1)+SUMIFS('changes2_based on steps'!$B169:$U169,'changes2_based on steps'!$B$1:$U$1,T$1)</f>
        <v>0</v>
      </c>
      <c r="U169" s="140">
        <f ca="1">SUMIFS('recurring2_based on steps'!$B169:$AY169,'recurring2_based on steps'!$B$1:$AY$1,U$1)+SUMIFS('changes2_based on steps'!$B169:$U169,'changes2_based on steps'!$B$1:$U$1,U$1)</f>
        <v>0</v>
      </c>
      <c r="V169" s="140">
        <f>SUMIFS('recurring2_based on steps'!$B169:$AY169,'recurring2_based on steps'!$B$1:$AY$1,V$1)+SUMIFS('changes2_based on steps'!$B169:$U169,'changes2_based on steps'!$B$1:$U$1,V$1)</f>
        <v>0</v>
      </c>
      <c r="W169" s="140">
        <f>SUMIFS('recurring2_based on steps'!$B169:$AY169,'recurring2_based on steps'!$B$1:$AY$1,W$1)+SUMIFS('changes2_based on steps'!$B169:$U169,'changes2_based on steps'!$B$1:$U$1,W$1)</f>
        <v>0</v>
      </c>
      <c r="X169" s="140">
        <f ca="1">SUMIFS('recurring2_based on steps'!$B169:$AY169,'recurring2_based on steps'!$B$1:$AY$1,X$1)+SUMIFS('changes2_based on steps'!$B169:$U169,'changes2_based on steps'!$B$1:$U$1,X$1)</f>
        <v>0</v>
      </c>
      <c r="Y169" s="140">
        <f ca="1">SUMIFS('recurring2_based on steps'!$B169:$AY169,'recurring2_based on steps'!$B$1:$AY$1,Y$1)+SUMIFS('changes2_based on steps'!$B169:$U169,'changes2_based on steps'!$B$1:$U$1,Y$1)</f>
        <v>0</v>
      </c>
      <c r="Z169" s="140">
        <f>SUMIFS('recurring2_based on steps'!$B169:$AY169,'recurring2_based on steps'!$B$1:$AY$1,Z$1)+SUMIFS('changes2_based on steps'!$B169:$U169,'changes2_based on steps'!$B$1:$U$1,Z$1)</f>
        <v>0</v>
      </c>
      <c r="AA169" s="140">
        <f ca="1">SUMIFS('recurring2_based on steps'!$B169:$AY169,'recurring2_based on steps'!$B$1:$AY$1,AA$1)+SUMIFS('changes2_based on steps'!$B169:$U169,'changes2_based on steps'!$B$1:$U$1,AA$1)</f>
        <v>0</v>
      </c>
      <c r="AB169" s="140">
        <f ca="1">SUMIFS('recurring2_based on steps'!$B169:$AY169,'recurring2_based on steps'!$B$1:$AY$1,AB$1)+SUMIFS('changes2_based on steps'!$B169:$U169,'changes2_based on steps'!$B$1:$U$1,AB$1)</f>
        <v>0</v>
      </c>
      <c r="AC169" s="140">
        <f ca="1">SUMIFS('recurring2_based on steps'!$B169:$AY169,'recurring2_based on steps'!$B$1:$AY$1,AC$1)+SUMIFS('changes2_based on steps'!$B169:$U169,'changes2_based on steps'!$B$1:$U$1,AC$1)</f>
        <v>0</v>
      </c>
      <c r="AD169" s="140">
        <f ca="1">SUMIFS('recurring2_based on steps'!$B169:$AY169,'recurring2_based on steps'!$B$1:$AY$1,AD$1)+SUMIFS('changes2_based on steps'!$B169:$U169,'changes2_based on steps'!$B$1:$U$1,AD$1)</f>
        <v>0</v>
      </c>
      <c r="AE169" s="140">
        <f>SUMIFS('recurring2_based on steps'!$B169:$AY169,'recurring2_based on steps'!$B$1:$AY$1,AE$1)+SUMIFS('changes2_based on steps'!$B169:$U169,'changes2_based on steps'!$B$1:$U$1,AE$1)</f>
        <v>0</v>
      </c>
      <c r="AF169" s="140"/>
      <c r="AG169" s="140"/>
      <c r="AH169" s="140"/>
      <c r="AI169" s="140"/>
      <c r="AJ169" s="140"/>
      <c r="AK169" s="140"/>
      <c r="AL169" s="140"/>
      <c r="AM169" s="140"/>
    </row>
    <row r="170" spans="1:39" x14ac:dyDescent="0.2">
      <c r="A170" s="29">
        <f t="shared" ca="1" si="2"/>
        <v>45910</v>
      </c>
      <c r="B170" s="140">
        <f ca="1">SUMIFS('recurring2_based on steps'!$B170:$AY170,'recurring2_based on steps'!$B$1:$AY$1,B$1)+SUMIFS('changes2_based on steps'!$B170:$U170,'changes2_based on steps'!$B$1:$U$1,B$1)</f>
        <v>0</v>
      </c>
      <c r="C170" s="140">
        <f>SUMIFS('recurring2_based on steps'!$B170:$AY170,'recurring2_based on steps'!$B$1:$AY$1,C$1)+SUMIFS('changes2_based on steps'!$B170:$U170,'changes2_based on steps'!$B$1:$U$1,C$1)</f>
        <v>0</v>
      </c>
      <c r="D170" s="140">
        <f>SUMIFS('recurring2_based on steps'!$B170:$AY170,'recurring2_based on steps'!$B$1:$AY$1,D$1)+SUMIFS('changes2_based on steps'!$B170:$U170,'changes2_based on steps'!$B$1:$U$1,D$1)</f>
        <v>0</v>
      </c>
      <c r="E170" s="140">
        <f>SUMIFS('recurring2_based on steps'!$B170:$AY170,'recurring2_based on steps'!$B$1:$AY$1,E$1)+SUMIFS('changes2_based on steps'!$B170:$U170,'changes2_based on steps'!$B$1:$U$1,E$1)</f>
        <v>0</v>
      </c>
      <c r="F170" s="140">
        <f>SUMIFS('recurring2_based on steps'!$B170:$AY170,'recurring2_based on steps'!$B$1:$AY$1,F$1)+SUMIFS('changes2_based on steps'!$B170:$U170,'changes2_based on steps'!$B$1:$U$1,F$1)</f>
        <v>0</v>
      </c>
      <c r="G170" s="140">
        <f>SUMIFS('recurring2_based on steps'!$B170:$AY170,'recurring2_based on steps'!$B$1:$AY$1,G$1)+SUMIFS('changes2_based on steps'!$B170:$U170,'changes2_based on steps'!$B$1:$U$1,G$1)</f>
        <v>0</v>
      </c>
      <c r="H170" s="140">
        <f>SUMIFS('recurring2_based on steps'!$B170:$AY170,'recurring2_based on steps'!$B$1:$AY$1,H$1)+SUMIFS('changes2_based on steps'!$B170:$U170,'changes2_based on steps'!$B$1:$U$1,H$1)</f>
        <v>0</v>
      </c>
      <c r="I170" s="140">
        <f>SUMIFS('recurring2_based on steps'!$B170:$AY170,'recurring2_based on steps'!$B$1:$AY$1,I$1)+SUMIFS('changes2_based on steps'!$B170:$U170,'changes2_based on steps'!$B$1:$U$1,I$1)</f>
        <v>0</v>
      </c>
      <c r="J170" s="140">
        <f ca="1">SUMIFS('recurring2_based on steps'!$B170:$AY170,'recurring2_based on steps'!$B$1:$AY$1,J$1)+SUMIFS('changes2_based on steps'!$B170:$U170,'changes2_based on steps'!$B$1:$U$1,J$1)</f>
        <v>0</v>
      </c>
      <c r="K170" s="140">
        <f>SUMIFS('recurring2_based on steps'!$B170:$AY170,'recurring2_based on steps'!$B$1:$AY$1,K$1)+SUMIFS('changes2_based on steps'!$B170:$U170,'changes2_based on steps'!$B$1:$U$1,K$1)</f>
        <v>0</v>
      </c>
      <c r="L170" s="140">
        <f>SUMIFS('recurring2_based on steps'!$B170:$AY170,'recurring2_based on steps'!$B$1:$AY$1,L$1)+SUMIFS('changes2_based on steps'!$B170:$U170,'changes2_based on steps'!$B$1:$U$1,L$1)</f>
        <v>0</v>
      </c>
      <c r="M170" s="140">
        <f>SUMIFS('recurring2_based on steps'!$B170:$AY170,'recurring2_based on steps'!$B$1:$AY$1,M$1)+SUMIFS('changes2_based on steps'!$B170:$U170,'changes2_based on steps'!$B$1:$U$1,M$1)</f>
        <v>0</v>
      </c>
      <c r="N170" s="140">
        <f ca="1">SUMIFS('recurring2_based on steps'!$B170:$AY170,'recurring2_based on steps'!$B$1:$AY$1,N$1)+SUMIFS('changes2_based on steps'!$B170:$U170,'changes2_based on steps'!$B$1:$U$1,N$1)</f>
        <v>0</v>
      </c>
      <c r="O170" s="140">
        <f>SUMIFS('recurring2_based on steps'!$B170:$AY170,'recurring2_based on steps'!$B$1:$AY$1,O$1)+SUMIFS('changes2_based on steps'!$B170:$U170,'changes2_based on steps'!$B$1:$U$1,O$1)</f>
        <v>0</v>
      </c>
      <c r="P170" s="140">
        <f ca="1">SUMIFS('recurring2_based on steps'!$B170:$AY170,'recurring2_based on steps'!$B$1:$AY$1,P$1)+SUMIFS('changes2_based on steps'!$B170:$U170,'changes2_based on steps'!$B$1:$U$1,P$1)</f>
        <v>0</v>
      </c>
      <c r="Q170" s="140">
        <f ca="1">SUMIFS('recurring2_based on steps'!$B170:$AY170,'recurring2_based on steps'!$B$1:$AY$1,Q$1)+SUMIFS('changes2_based on steps'!$B170:$U170,'changes2_based on steps'!$B$1:$U$1,Q$1)</f>
        <v>5.5401662049861494E-2</v>
      </c>
      <c r="R170" s="140">
        <f ca="1">SUMIFS('recurring2_based on steps'!$B170:$AY170,'recurring2_based on steps'!$B$1:$AY$1,R$1)+SUMIFS('changes2_based on steps'!$B170:$U170,'changes2_based on steps'!$B$1:$U$1,R$1)</f>
        <v>0</v>
      </c>
      <c r="S170" s="140">
        <f>SUMIFS('recurring2_based on steps'!$B170:$AY170,'recurring2_based on steps'!$B$1:$AY$1,S$1)+SUMIFS('changes2_based on steps'!$B170:$U170,'changes2_based on steps'!$B$1:$U$1,S$1)</f>
        <v>0</v>
      </c>
      <c r="T170" s="140">
        <f ca="1">SUMIFS('recurring2_based on steps'!$B170:$AY170,'recurring2_based on steps'!$B$1:$AY$1,T$1)+SUMIFS('changes2_based on steps'!$B170:$U170,'changes2_based on steps'!$B$1:$U$1,T$1)</f>
        <v>0</v>
      </c>
      <c r="U170" s="140">
        <f ca="1">SUMIFS('recurring2_based on steps'!$B170:$AY170,'recurring2_based on steps'!$B$1:$AY$1,U$1)+SUMIFS('changes2_based on steps'!$B170:$U170,'changes2_based on steps'!$B$1:$U$1,U$1)</f>
        <v>0</v>
      </c>
      <c r="V170" s="140">
        <f>SUMIFS('recurring2_based on steps'!$B170:$AY170,'recurring2_based on steps'!$B$1:$AY$1,V$1)+SUMIFS('changes2_based on steps'!$B170:$U170,'changes2_based on steps'!$B$1:$U$1,V$1)</f>
        <v>0</v>
      </c>
      <c r="W170" s="140">
        <f>SUMIFS('recurring2_based on steps'!$B170:$AY170,'recurring2_based on steps'!$B$1:$AY$1,W$1)+SUMIFS('changes2_based on steps'!$B170:$U170,'changes2_based on steps'!$B$1:$U$1,W$1)</f>
        <v>0</v>
      </c>
      <c r="X170" s="140">
        <f ca="1">SUMIFS('recurring2_based on steps'!$B170:$AY170,'recurring2_based on steps'!$B$1:$AY$1,X$1)+SUMIFS('changes2_based on steps'!$B170:$U170,'changes2_based on steps'!$B$1:$U$1,X$1)</f>
        <v>0</v>
      </c>
      <c r="Y170" s="140">
        <f ca="1">SUMIFS('recurring2_based on steps'!$B170:$AY170,'recurring2_based on steps'!$B$1:$AY$1,Y$1)+SUMIFS('changes2_based on steps'!$B170:$U170,'changes2_based on steps'!$B$1:$U$1,Y$1)</f>
        <v>0</v>
      </c>
      <c r="Z170" s="140">
        <f>SUMIFS('recurring2_based on steps'!$B170:$AY170,'recurring2_based on steps'!$B$1:$AY$1,Z$1)+SUMIFS('changes2_based on steps'!$B170:$U170,'changes2_based on steps'!$B$1:$U$1,Z$1)</f>
        <v>0</v>
      </c>
      <c r="AA170" s="140">
        <f ca="1">SUMIFS('recurring2_based on steps'!$B170:$AY170,'recurring2_based on steps'!$B$1:$AY$1,AA$1)+SUMIFS('changes2_based on steps'!$B170:$U170,'changes2_based on steps'!$B$1:$U$1,AA$1)</f>
        <v>0</v>
      </c>
      <c r="AB170" s="140">
        <f ca="1">SUMIFS('recurring2_based on steps'!$B170:$AY170,'recurring2_based on steps'!$B$1:$AY$1,AB$1)+SUMIFS('changes2_based on steps'!$B170:$U170,'changes2_based on steps'!$B$1:$U$1,AB$1)</f>
        <v>0</v>
      </c>
      <c r="AC170" s="140">
        <f ca="1">SUMIFS('recurring2_based on steps'!$B170:$AY170,'recurring2_based on steps'!$B$1:$AY$1,AC$1)+SUMIFS('changes2_based on steps'!$B170:$U170,'changes2_based on steps'!$B$1:$U$1,AC$1)</f>
        <v>0</v>
      </c>
      <c r="AD170" s="140">
        <f ca="1">SUMIFS('recurring2_based on steps'!$B170:$AY170,'recurring2_based on steps'!$B$1:$AY$1,AD$1)+SUMIFS('changes2_based on steps'!$B170:$U170,'changes2_based on steps'!$B$1:$U$1,AD$1)</f>
        <v>0</v>
      </c>
      <c r="AE170" s="140">
        <f>SUMIFS('recurring2_based on steps'!$B170:$AY170,'recurring2_based on steps'!$B$1:$AY$1,AE$1)+SUMIFS('changes2_based on steps'!$B170:$U170,'changes2_based on steps'!$B$1:$U$1,AE$1)</f>
        <v>0</v>
      </c>
      <c r="AF170" s="140"/>
      <c r="AG170" s="140"/>
      <c r="AH170" s="140"/>
      <c r="AI170" s="140"/>
      <c r="AJ170" s="140"/>
      <c r="AK170" s="140"/>
      <c r="AL170" s="140"/>
      <c r="AM170" s="140"/>
    </row>
    <row r="171" spans="1:39" x14ac:dyDescent="0.2">
      <c r="A171" s="29">
        <f t="shared" ca="1" si="2"/>
        <v>45911</v>
      </c>
      <c r="B171" s="140">
        <f ca="1">SUMIFS('recurring2_based on steps'!$B171:$AY171,'recurring2_based on steps'!$B$1:$AY$1,B$1)+SUMIFS('changes2_based on steps'!$B171:$U171,'changes2_based on steps'!$B$1:$U$1,B$1)</f>
        <v>0</v>
      </c>
      <c r="C171" s="140">
        <f>SUMIFS('recurring2_based on steps'!$B171:$AY171,'recurring2_based on steps'!$B$1:$AY$1,C$1)+SUMIFS('changes2_based on steps'!$B171:$U171,'changes2_based on steps'!$B$1:$U$1,C$1)</f>
        <v>0</v>
      </c>
      <c r="D171" s="140">
        <f>SUMIFS('recurring2_based on steps'!$B171:$AY171,'recurring2_based on steps'!$B$1:$AY$1,D$1)+SUMIFS('changes2_based on steps'!$B171:$U171,'changes2_based on steps'!$B$1:$U$1,D$1)</f>
        <v>0</v>
      </c>
      <c r="E171" s="140">
        <f>SUMIFS('recurring2_based on steps'!$B171:$AY171,'recurring2_based on steps'!$B$1:$AY$1,E$1)+SUMIFS('changes2_based on steps'!$B171:$U171,'changes2_based on steps'!$B$1:$U$1,E$1)</f>
        <v>0</v>
      </c>
      <c r="F171" s="140">
        <f>SUMIFS('recurring2_based on steps'!$B171:$AY171,'recurring2_based on steps'!$B$1:$AY$1,F$1)+SUMIFS('changes2_based on steps'!$B171:$U171,'changes2_based on steps'!$B$1:$U$1,F$1)</f>
        <v>0</v>
      </c>
      <c r="G171" s="140">
        <f>SUMIFS('recurring2_based on steps'!$B171:$AY171,'recurring2_based on steps'!$B$1:$AY$1,G$1)+SUMIFS('changes2_based on steps'!$B171:$U171,'changes2_based on steps'!$B$1:$U$1,G$1)</f>
        <v>0</v>
      </c>
      <c r="H171" s="140">
        <f>SUMIFS('recurring2_based on steps'!$B171:$AY171,'recurring2_based on steps'!$B$1:$AY$1,H$1)+SUMIFS('changes2_based on steps'!$B171:$U171,'changes2_based on steps'!$B$1:$U$1,H$1)</f>
        <v>0</v>
      </c>
      <c r="I171" s="140">
        <f>SUMIFS('recurring2_based on steps'!$B171:$AY171,'recurring2_based on steps'!$B$1:$AY$1,I$1)+SUMIFS('changes2_based on steps'!$B171:$U171,'changes2_based on steps'!$B$1:$U$1,I$1)</f>
        <v>0</v>
      </c>
      <c r="J171" s="140">
        <f ca="1">SUMIFS('recurring2_based on steps'!$B171:$AY171,'recurring2_based on steps'!$B$1:$AY$1,J$1)+SUMIFS('changes2_based on steps'!$B171:$U171,'changes2_based on steps'!$B$1:$U$1,J$1)</f>
        <v>0</v>
      </c>
      <c r="K171" s="140">
        <f>SUMIFS('recurring2_based on steps'!$B171:$AY171,'recurring2_based on steps'!$B$1:$AY$1,K$1)+SUMIFS('changes2_based on steps'!$B171:$U171,'changes2_based on steps'!$B$1:$U$1,K$1)</f>
        <v>0</v>
      </c>
      <c r="L171" s="140">
        <f>SUMIFS('recurring2_based on steps'!$B171:$AY171,'recurring2_based on steps'!$B$1:$AY$1,L$1)+SUMIFS('changes2_based on steps'!$B171:$U171,'changes2_based on steps'!$B$1:$U$1,L$1)</f>
        <v>0</v>
      </c>
      <c r="M171" s="140">
        <f>SUMIFS('recurring2_based on steps'!$B171:$AY171,'recurring2_based on steps'!$B$1:$AY$1,M$1)+SUMIFS('changes2_based on steps'!$B171:$U171,'changes2_based on steps'!$B$1:$U$1,M$1)</f>
        <v>0</v>
      </c>
      <c r="N171" s="140">
        <f ca="1">SUMIFS('recurring2_based on steps'!$B171:$AY171,'recurring2_based on steps'!$B$1:$AY$1,N$1)+SUMIFS('changes2_based on steps'!$B171:$U171,'changes2_based on steps'!$B$1:$U$1,N$1)</f>
        <v>0</v>
      </c>
      <c r="O171" s="140">
        <f>SUMIFS('recurring2_based on steps'!$B171:$AY171,'recurring2_based on steps'!$B$1:$AY$1,O$1)+SUMIFS('changes2_based on steps'!$B171:$U171,'changes2_based on steps'!$B$1:$U$1,O$1)</f>
        <v>0</v>
      </c>
      <c r="P171" s="140">
        <f ca="1">SUMIFS('recurring2_based on steps'!$B171:$AY171,'recurring2_based on steps'!$B$1:$AY$1,P$1)+SUMIFS('changes2_based on steps'!$B171:$U171,'changes2_based on steps'!$B$1:$U$1,P$1)</f>
        <v>0</v>
      </c>
      <c r="Q171" s="140">
        <f ca="1">SUMIFS('recurring2_based on steps'!$B171:$AY171,'recurring2_based on steps'!$B$1:$AY$1,Q$1)+SUMIFS('changes2_based on steps'!$B171:$U171,'changes2_based on steps'!$B$1:$U$1,Q$1)</f>
        <v>5.5401662049861494E-2</v>
      </c>
      <c r="R171" s="140">
        <f ca="1">SUMIFS('recurring2_based on steps'!$B171:$AY171,'recurring2_based on steps'!$B$1:$AY$1,R$1)+SUMIFS('changes2_based on steps'!$B171:$U171,'changes2_based on steps'!$B$1:$U$1,R$1)</f>
        <v>0</v>
      </c>
      <c r="S171" s="140">
        <f>SUMIFS('recurring2_based on steps'!$B171:$AY171,'recurring2_based on steps'!$B$1:$AY$1,S$1)+SUMIFS('changes2_based on steps'!$B171:$U171,'changes2_based on steps'!$B$1:$U$1,S$1)</f>
        <v>0</v>
      </c>
      <c r="T171" s="140">
        <f ca="1">SUMIFS('recurring2_based on steps'!$B171:$AY171,'recurring2_based on steps'!$B$1:$AY$1,T$1)+SUMIFS('changes2_based on steps'!$B171:$U171,'changes2_based on steps'!$B$1:$U$1,T$1)</f>
        <v>0</v>
      </c>
      <c r="U171" s="140">
        <f ca="1">SUMIFS('recurring2_based on steps'!$B171:$AY171,'recurring2_based on steps'!$B$1:$AY$1,U$1)+SUMIFS('changes2_based on steps'!$B171:$U171,'changes2_based on steps'!$B$1:$U$1,U$1)</f>
        <v>0</v>
      </c>
      <c r="V171" s="140">
        <f>SUMIFS('recurring2_based on steps'!$B171:$AY171,'recurring2_based on steps'!$B$1:$AY$1,V$1)+SUMIFS('changes2_based on steps'!$B171:$U171,'changes2_based on steps'!$B$1:$U$1,V$1)</f>
        <v>0</v>
      </c>
      <c r="W171" s="140">
        <f>SUMIFS('recurring2_based on steps'!$B171:$AY171,'recurring2_based on steps'!$B$1:$AY$1,W$1)+SUMIFS('changes2_based on steps'!$B171:$U171,'changes2_based on steps'!$B$1:$U$1,W$1)</f>
        <v>0</v>
      </c>
      <c r="X171" s="140">
        <f ca="1">SUMIFS('recurring2_based on steps'!$B171:$AY171,'recurring2_based on steps'!$B$1:$AY$1,X$1)+SUMIFS('changes2_based on steps'!$B171:$U171,'changes2_based on steps'!$B$1:$U$1,X$1)</f>
        <v>0</v>
      </c>
      <c r="Y171" s="140">
        <f ca="1">SUMIFS('recurring2_based on steps'!$B171:$AY171,'recurring2_based on steps'!$B$1:$AY$1,Y$1)+SUMIFS('changes2_based on steps'!$B171:$U171,'changes2_based on steps'!$B$1:$U$1,Y$1)</f>
        <v>0</v>
      </c>
      <c r="Z171" s="140">
        <f>SUMIFS('recurring2_based on steps'!$B171:$AY171,'recurring2_based on steps'!$B$1:$AY$1,Z$1)+SUMIFS('changes2_based on steps'!$B171:$U171,'changes2_based on steps'!$B$1:$U$1,Z$1)</f>
        <v>0</v>
      </c>
      <c r="AA171" s="140">
        <f ca="1">SUMIFS('recurring2_based on steps'!$B171:$AY171,'recurring2_based on steps'!$B$1:$AY$1,AA$1)+SUMIFS('changes2_based on steps'!$B171:$U171,'changes2_based on steps'!$B$1:$U$1,AA$1)</f>
        <v>0</v>
      </c>
      <c r="AB171" s="140">
        <f ca="1">SUMIFS('recurring2_based on steps'!$B171:$AY171,'recurring2_based on steps'!$B$1:$AY$1,AB$1)+SUMIFS('changes2_based on steps'!$B171:$U171,'changes2_based on steps'!$B$1:$U$1,AB$1)</f>
        <v>0</v>
      </c>
      <c r="AC171" s="140">
        <f ca="1">SUMIFS('recurring2_based on steps'!$B171:$AY171,'recurring2_based on steps'!$B$1:$AY$1,AC$1)+SUMIFS('changes2_based on steps'!$B171:$U171,'changes2_based on steps'!$B$1:$U$1,AC$1)</f>
        <v>0</v>
      </c>
      <c r="AD171" s="140">
        <f ca="1">SUMIFS('recurring2_based on steps'!$B171:$AY171,'recurring2_based on steps'!$B$1:$AY$1,AD$1)+SUMIFS('changes2_based on steps'!$B171:$U171,'changes2_based on steps'!$B$1:$U$1,AD$1)</f>
        <v>0</v>
      </c>
      <c r="AE171" s="140">
        <f>SUMIFS('recurring2_based on steps'!$B171:$AY171,'recurring2_based on steps'!$B$1:$AY$1,AE$1)+SUMIFS('changes2_based on steps'!$B171:$U171,'changes2_based on steps'!$B$1:$U$1,AE$1)</f>
        <v>0</v>
      </c>
      <c r="AF171" s="140"/>
      <c r="AG171" s="140"/>
      <c r="AH171" s="140"/>
      <c r="AI171" s="140"/>
      <c r="AJ171" s="140"/>
      <c r="AK171" s="140"/>
      <c r="AL171" s="140"/>
      <c r="AM171" s="140"/>
    </row>
    <row r="172" spans="1:39" x14ac:dyDescent="0.2">
      <c r="A172" s="29">
        <f t="shared" ca="1" si="2"/>
        <v>45912</v>
      </c>
      <c r="B172" s="140">
        <f ca="1">SUMIFS('recurring2_based on steps'!$B172:$AY172,'recurring2_based on steps'!$B$1:$AY$1,B$1)+SUMIFS('changes2_based on steps'!$B172:$U172,'changes2_based on steps'!$B$1:$U$1,B$1)</f>
        <v>0</v>
      </c>
      <c r="C172" s="140">
        <f>SUMIFS('recurring2_based on steps'!$B172:$AY172,'recurring2_based on steps'!$B$1:$AY$1,C$1)+SUMIFS('changes2_based on steps'!$B172:$U172,'changes2_based on steps'!$B$1:$U$1,C$1)</f>
        <v>0</v>
      </c>
      <c r="D172" s="140">
        <f>SUMIFS('recurring2_based on steps'!$B172:$AY172,'recurring2_based on steps'!$B$1:$AY$1,D$1)+SUMIFS('changes2_based on steps'!$B172:$U172,'changes2_based on steps'!$B$1:$U$1,D$1)</f>
        <v>0</v>
      </c>
      <c r="E172" s="140">
        <f>SUMIFS('recurring2_based on steps'!$B172:$AY172,'recurring2_based on steps'!$B$1:$AY$1,E$1)+SUMIFS('changes2_based on steps'!$B172:$U172,'changes2_based on steps'!$B$1:$U$1,E$1)</f>
        <v>0</v>
      </c>
      <c r="F172" s="140">
        <f>SUMIFS('recurring2_based on steps'!$B172:$AY172,'recurring2_based on steps'!$B$1:$AY$1,F$1)+SUMIFS('changes2_based on steps'!$B172:$U172,'changes2_based on steps'!$B$1:$U$1,F$1)</f>
        <v>0</v>
      </c>
      <c r="G172" s="140">
        <f>SUMIFS('recurring2_based on steps'!$B172:$AY172,'recurring2_based on steps'!$B$1:$AY$1,G$1)+SUMIFS('changes2_based on steps'!$B172:$U172,'changes2_based on steps'!$B$1:$U$1,G$1)</f>
        <v>0</v>
      </c>
      <c r="H172" s="140">
        <f>SUMIFS('recurring2_based on steps'!$B172:$AY172,'recurring2_based on steps'!$B$1:$AY$1,H$1)+SUMIFS('changes2_based on steps'!$B172:$U172,'changes2_based on steps'!$B$1:$U$1,H$1)</f>
        <v>0</v>
      </c>
      <c r="I172" s="140">
        <f>SUMIFS('recurring2_based on steps'!$B172:$AY172,'recurring2_based on steps'!$B$1:$AY$1,I$1)+SUMIFS('changes2_based on steps'!$B172:$U172,'changes2_based on steps'!$B$1:$U$1,I$1)</f>
        <v>0</v>
      </c>
      <c r="J172" s="140">
        <f ca="1">SUMIFS('recurring2_based on steps'!$B172:$AY172,'recurring2_based on steps'!$B$1:$AY$1,J$1)+SUMIFS('changes2_based on steps'!$B172:$U172,'changes2_based on steps'!$B$1:$U$1,J$1)</f>
        <v>0</v>
      </c>
      <c r="K172" s="140">
        <f>SUMIFS('recurring2_based on steps'!$B172:$AY172,'recurring2_based on steps'!$B$1:$AY$1,K$1)+SUMIFS('changes2_based on steps'!$B172:$U172,'changes2_based on steps'!$B$1:$U$1,K$1)</f>
        <v>0</v>
      </c>
      <c r="L172" s="140">
        <f>SUMIFS('recurring2_based on steps'!$B172:$AY172,'recurring2_based on steps'!$B$1:$AY$1,L$1)+SUMIFS('changes2_based on steps'!$B172:$U172,'changes2_based on steps'!$B$1:$U$1,L$1)</f>
        <v>0</v>
      </c>
      <c r="M172" s="140">
        <f>SUMIFS('recurring2_based on steps'!$B172:$AY172,'recurring2_based on steps'!$B$1:$AY$1,M$1)+SUMIFS('changes2_based on steps'!$B172:$U172,'changes2_based on steps'!$B$1:$U$1,M$1)</f>
        <v>0</v>
      </c>
      <c r="N172" s="140">
        <f ca="1">SUMIFS('recurring2_based on steps'!$B172:$AY172,'recurring2_based on steps'!$B$1:$AY$1,N$1)+SUMIFS('changes2_based on steps'!$B172:$U172,'changes2_based on steps'!$B$1:$U$1,N$1)</f>
        <v>0</v>
      </c>
      <c r="O172" s="140">
        <f>SUMIFS('recurring2_based on steps'!$B172:$AY172,'recurring2_based on steps'!$B$1:$AY$1,O$1)+SUMIFS('changes2_based on steps'!$B172:$U172,'changes2_based on steps'!$B$1:$U$1,O$1)</f>
        <v>0</v>
      </c>
      <c r="P172" s="140">
        <f ca="1">SUMIFS('recurring2_based on steps'!$B172:$AY172,'recurring2_based on steps'!$B$1:$AY$1,P$1)+SUMIFS('changes2_based on steps'!$B172:$U172,'changes2_based on steps'!$B$1:$U$1,P$1)</f>
        <v>0</v>
      </c>
      <c r="Q172" s="140">
        <f ca="1">SUMIFS('recurring2_based on steps'!$B172:$AY172,'recurring2_based on steps'!$B$1:$AY$1,Q$1)+SUMIFS('changes2_based on steps'!$B172:$U172,'changes2_based on steps'!$B$1:$U$1,Q$1)</f>
        <v>5.5401662049861494E-2</v>
      </c>
      <c r="R172" s="140">
        <f ca="1">SUMIFS('recurring2_based on steps'!$B172:$AY172,'recurring2_based on steps'!$B$1:$AY$1,R$1)+SUMIFS('changes2_based on steps'!$B172:$U172,'changes2_based on steps'!$B$1:$U$1,R$1)</f>
        <v>0</v>
      </c>
      <c r="S172" s="140">
        <f>SUMIFS('recurring2_based on steps'!$B172:$AY172,'recurring2_based on steps'!$B$1:$AY$1,S$1)+SUMIFS('changes2_based on steps'!$B172:$U172,'changes2_based on steps'!$B$1:$U$1,S$1)</f>
        <v>0</v>
      </c>
      <c r="T172" s="140">
        <f ca="1">SUMIFS('recurring2_based on steps'!$B172:$AY172,'recurring2_based on steps'!$B$1:$AY$1,T$1)+SUMIFS('changes2_based on steps'!$B172:$U172,'changes2_based on steps'!$B$1:$U$1,T$1)</f>
        <v>0</v>
      </c>
      <c r="U172" s="140">
        <f ca="1">SUMIFS('recurring2_based on steps'!$B172:$AY172,'recurring2_based on steps'!$B$1:$AY$1,U$1)+SUMIFS('changes2_based on steps'!$B172:$U172,'changes2_based on steps'!$B$1:$U$1,U$1)</f>
        <v>0</v>
      </c>
      <c r="V172" s="140">
        <f>SUMIFS('recurring2_based on steps'!$B172:$AY172,'recurring2_based on steps'!$B$1:$AY$1,V$1)+SUMIFS('changes2_based on steps'!$B172:$U172,'changes2_based on steps'!$B$1:$U$1,V$1)</f>
        <v>0</v>
      </c>
      <c r="W172" s="140">
        <f>SUMIFS('recurring2_based on steps'!$B172:$AY172,'recurring2_based on steps'!$B$1:$AY$1,W$1)+SUMIFS('changes2_based on steps'!$B172:$U172,'changes2_based on steps'!$B$1:$U$1,W$1)</f>
        <v>0</v>
      </c>
      <c r="X172" s="140">
        <f ca="1">SUMIFS('recurring2_based on steps'!$B172:$AY172,'recurring2_based on steps'!$B$1:$AY$1,X$1)+SUMIFS('changes2_based on steps'!$B172:$U172,'changes2_based on steps'!$B$1:$U$1,X$1)</f>
        <v>0</v>
      </c>
      <c r="Y172" s="140">
        <f ca="1">SUMIFS('recurring2_based on steps'!$B172:$AY172,'recurring2_based on steps'!$B$1:$AY$1,Y$1)+SUMIFS('changes2_based on steps'!$B172:$U172,'changes2_based on steps'!$B$1:$U$1,Y$1)</f>
        <v>0</v>
      </c>
      <c r="Z172" s="140">
        <f>SUMIFS('recurring2_based on steps'!$B172:$AY172,'recurring2_based on steps'!$B$1:$AY$1,Z$1)+SUMIFS('changes2_based on steps'!$B172:$U172,'changes2_based on steps'!$B$1:$U$1,Z$1)</f>
        <v>0</v>
      </c>
      <c r="AA172" s="140">
        <f ca="1">SUMIFS('recurring2_based on steps'!$B172:$AY172,'recurring2_based on steps'!$B$1:$AY$1,AA$1)+SUMIFS('changes2_based on steps'!$B172:$U172,'changes2_based on steps'!$B$1:$U$1,AA$1)</f>
        <v>0</v>
      </c>
      <c r="AB172" s="140">
        <f ca="1">SUMIFS('recurring2_based on steps'!$B172:$AY172,'recurring2_based on steps'!$B$1:$AY$1,AB$1)+SUMIFS('changes2_based on steps'!$B172:$U172,'changes2_based on steps'!$B$1:$U$1,AB$1)</f>
        <v>0</v>
      </c>
      <c r="AC172" s="140">
        <f ca="1">SUMIFS('recurring2_based on steps'!$B172:$AY172,'recurring2_based on steps'!$B$1:$AY$1,AC$1)+SUMIFS('changes2_based on steps'!$B172:$U172,'changes2_based on steps'!$B$1:$U$1,AC$1)</f>
        <v>0</v>
      </c>
      <c r="AD172" s="140">
        <f ca="1">SUMIFS('recurring2_based on steps'!$B172:$AY172,'recurring2_based on steps'!$B$1:$AY$1,AD$1)+SUMIFS('changes2_based on steps'!$B172:$U172,'changes2_based on steps'!$B$1:$U$1,AD$1)</f>
        <v>0</v>
      </c>
      <c r="AE172" s="140">
        <f>SUMIFS('recurring2_based on steps'!$B172:$AY172,'recurring2_based on steps'!$B$1:$AY$1,AE$1)+SUMIFS('changes2_based on steps'!$B172:$U172,'changes2_based on steps'!$B$1:$U$1,AE$1)</f>
        <v>0</v>
      </c>
      <c r="AF172" s="140"/>
      <c r="AG172" s="140"/>
      <c r="AH172" s="140"/>
      <c r="AI172" s="140"/>
      <c r="AJ172" s="140"/>
      <c r="AK172" s="140"/>
      <c r="AL172" s="140"/>
      <c r="AM172" s="140"/>
    </row>
    <row r="173" spans="1:39" x14ac:dyDescent="0.2">
      <c r="A173" s="29">
        <f t="shared" ca="1" si="2"/>
        <v>45913</v>
      </c>
      <c r="B173" s="140">
        <f ca="1">SUMIFS('recurring2_based on steps'!$B173:$AY173,'recurring2_based on steps'!$B$1:$AY$1,B$1)+SUMIFS('changes2_based on steps'!$B173:$U173,'changes2_based on steps'!$B$1:$U$1,B$1)</f>
        <v>0</v>
      </c>
      <c r="C173" s="140">
        <f>SUMIFS('recurring2_based on steps'!$B173:$AY173,'recurring2_based on steps'!$B$1:$AY$1,C$1)+SUMIFS('changes2_based on steps'!$B173:$U173,'changes2_based on steps'!$B$1:$U$1,C$1)</f>
        <v>0</v>
      </c>
      <c r="D173" s="140">
        <f>SUMIFS('recurring2_based on steps'!$B173:$AY173,'recurring2_based on steps'!$B$1:$AY$1,D$1)+SUMIFS('changes2_based on steps'!$B173:$U173,'changes2_based on steps'!$B$1:$U$1,D$1)</f>
        <v>0</v>
      </c>
      <c r="E173" s="140">
        <f>SUMIFS('recurring2_based on steps'!$B173:$AY173,'recurring2_based on steps'!$B$1:$AY$1,E$1)+SUMIFS('changes2_based on steps'!$B173:$U173,'changes2_based on steps'!$B$1:$U$1,E$1)</f>
        <v>0</v>
      </c>
      <c r="F173" s="140">
        <f>SUMIFS('recurring2_based on steps'!$B173:$AY173,'recurring2_based on steps'!$B$1:$AY$1,F$1)+SUMIFS('changes2_based on steps'!$B173:$U173,'changes2_based on steps'!$B$1:$U$1,F$1)</f>
        <v>0</v>
      </c>
      <c r="G173" s="140">
        <f>SUMIFS('recurring2_based on steps'!$B173:$AY173,'recurring2_based on steps'!$B$1:$AY$1,G$1)+SUMIFS('changes2_based on steps'!$B173:$U173,'changes2_based on steps'!$B$1:$U$1,G$1)</f>
        <v>0</v>
      </c>
      <c r="H173" s="140">
        <f>SUMIFS('recurring2_based on steps'!$B173:$AY173,'recurring2_based on steps'!$B$1:$AY$1,H$1)+SUMIFS('changes2_based on steps'!$B173:$U173,'changes2_based on steps'!$B$1:$U$1,H$1)</f>
        <v>0</v>
      </c>
      <c r="I173" s="140">
        <f>SUMIFS('recurring2_based on steps'!$B173:$AY173,'recurring2_based on steps'!$B$1:$AY$1,I$1)+SUMIFS('changes2_based on steps'!$B173:$U173,'changes2_based on steps'!$B$1:$U$1,I$1)</f>
        <v>0</v>
      </c>
      <c r="J173" s="140">
        <f ca="1">SUMIFS('recurring2_based on steps'!$B173:$AY173,'recurring2_based on steps'!$B$1:$AY$1,J$1)+SUMIFS('changes2_based on steps'!$B173:$U173,'changes2_based on steps'!$B$1:$U$1,J$1)</f>
        <v>0</v>
      </c>
      <c r="K173" s="140">
        <f>SUMIFS('recurring2_based on steps'!$B173:$AY173,'recurring2_based on steps'!$B$1:$AY$1,K$1)+SUMIFS('changes2_based on steps'!$B173:$U173,'changes2_based on steps'!$B$1:$U$1,K$1)</f>
        <v>0</v>
      </c>
      <c r="L173" s="140">
        <f>SUMIFS('recurring2_based on steps'!$B173:$AY173,'recurring2_based on steps'!$B$1:$AY$1,L$1)+SUMIFS('changes2_based on steps'!$B173:$U173,'changes2_based on steps'!$B$1:$U$1,L$1)</f>
        <v>0</v>
      </c>
      <c r="M173" s="140">
        <f>SUMIFS('recurring2_based on steps'!$B173:$AY173,'recurring2_based on steps'!$B$1:$AY$1,M$1)+SUMIFS('changes2_based on steps'!$B173:$U173,'changes2_based on steps'!$B$1:$U$1,M$1)</f>
        <v>0</v>
      </c>
      <c r="N173" s="140">
        <f ca="1">SUMIFS('recurring2_based on steps'!$B173:$AY173,'recurring2_based on steps'!$B$1:$AY$1,N$1)+SUMIFS('changes2_based on steps'!$B173:$U173,'changes2_based on steps'!$B$1:$U$1,N$1)</f>
        <v>0</v>
      </c>
      <c r="O173" s="140">
        <f>SUMIFS('recurring2_based on steps'!$B173:$AY173,'recurring2_based on steps'!$B$1:$AY$1,O$1)+SUMIFS('changes2_based on steps'!$B173:$U173,'changes2_based on steps'!$B$1:$U$1,O$1)</f>
        <v>0</v>
      </c>
      <c r="P173" s="140">
        <f ca="1">SUMIFS('recurring2_based on steps'!$B173:$AY173,'recurring2_based on steps'!$B$1:$AY$1,P$1)+SUMIFS('changes2_based on steps'!$B173:$U173,'changes2_based on steps'!$B$1:$U$1,P$1)</f>
        <v>0</v>
      </c>
      <c r="Q173" s="140">
        <f ca="1">SUMIFS('recurring2_based on steps'!$B173:$AY173,'recurring2_based on steps'!$B$1:$AY$1,Q$1)+SUMIFS('changes2_based on steps'!$B173:$U173,'changes2_based on steps'!$B$1:$U$1,Q$1)</f>
        <v>100.05540166204986</v>
      </c>
      <c r="R173" s="140">
        <f ca="1">SUMIFS('recurring2_based on steps'!$B173:$AY173,'recurring2_based on steps'!$B$1:$AY$1,R$1)+SUMIFS('changes2_based on steps'!$B173:$U173,'changes2_based on steps'!$B$1:$U$1,R$1)</f>
        <v>0</v>
      </c>
      <c r="S173" s="140">
        <f>SUMIFS('recurring2_based on steps'!$B173:$AY173,'recurring2_based on steps'!$B$1:$AY$1,S$1)+SUMIFS('changes2_based on steps'!$B173:$U173,'changes2_based on steps'!$B$1:$U$1,S$1)</f>
        <v>0</v>
      </c>
      <c r="T173" s="140">
        <f ca="1">SUMIFS('recurring2_based on steps'!$B173:$AY173,'recurring2_based on steps'!$B$1:$AY$1,T$1)+SUMIFS('changes2_based on steps'!$B173:$U173,'changes2_based on steps'!$B$1:$U$1,T$1)</f>
        <v>0</v>
      </c>
      <c r="U173" s="140">
        <f ca="1">SUMIFS('recurring2_based on steps'!$B173:$AY173,'recurring2_based on steps'!$B$1:$AY$1,U$1)+SUMIFS('changes2_based on steps'!$B173:$U173,'changes2_based on steps'!$B$1:$U$1,U$1)</f>
        <v>0</v>
      </c>
      <c r="V173" s="140">
        <f>SUMIFS('recurring2_based on steps'!$B173:$AY173,'recurring2_based on steps'!$B$1:$AY$1,V$1)+SUMIFS('changes2_based on steps'!$B173:$U173,'changes2_based on steps'!$B$1:$U$1,V$1)</f>
        <v>0</v>
      </c>
      <c r="W173" s="140">
        <f>SUMIFS('recurring2_based on steps'!$B173:$AY173,'recurring2_based on steps'!$B$1:$AY$1,W$1)+SUMIFS('changes2_based on steps'!$B173:$U173,'changes2_based on steps'!$B$1:$U$1,W$1)</f>
        <v>0</v>
      </c>
      <c r="X173" s="140">
        <f ca="1">SUMIFS('recurring2_based on steps'!$B173:$AY173,'recurring2_based on steps'!$B$1:$AY$1,X$1)+SUMIFS('changes2_based on steps'!$B173:$U173,'changes2_based on steps'!$B$1:$U$1,X$1)</f>
        <v>0</v>
      </c>
      <c r="Y173" s="140">
        <f ca="1">SUMIFS('recurring2_based on steps'!$B173:$AY173,'recurring2_based on steps'!$B$1:$AY$1,Y$1)+SUMIFS('changes2_based on steps'!$B173:$U173,'changes2_based on steps'!$B$1:$U$1,Y$1)</f>
        <v>0</v>
      </c>
      <c r="Z173" s="140">
        <f>SUMIFS('recurring2_based on steps'!$B173:$AY173,'recurring2_based on steps'!$B$1:$AY$1,Z$1)+SUMIFS('changes2_based on steps'!$B173:$U173,'changes2_based on steps'!$B$1:$U$1,Z$1)</f>
        <v>0</v>
      </c>
      <c r="AA173" s="140">
        <f ca="1">SUMIFS('recurring2_based on steps'!$B173:$AY173,'recurring2_based on steps'!$B$1:$AY$1,AA$1)+SUMIFS('changes2_based on steps'!$B173:$U173,'changes2_based on steps'!$B$1:$U$1,AA$1)</f>
        <v>0</v>
      </c>
      <c r="AB173" s="140">
        <f ca="1">SUMIFS('recurring2_based on steps'!$B173:$AY173,'recurring2_based on steps'!$B$1:$AY$1,AB$1)+SUMIFS('changes2_based on steps'!$B173:$U173,'changes2_based on steps'!$B$1:$U$1,AB$1)</f>
        <v>100</v>
      </c>
      <c r="AC173" s="140">
        <f ca="1">SUMIFS('recurring2_based on steps'!$B173:$AY173,'recurring2_based on steps'!$B$1:$AY$1,AC$1)+SUMIFS('changes2_based on steps'!$B173:$U173,'changes2_based on steps'!$B$1:$U$1,AC$1)</f>
        <v>0</v>
      </c>
      <c r="AD173" s="140">
        <f ca="1">SUMIFS('recurring2_based on steps'!$B173:$AY173,'recurring2_based on steps'!$B$1:$AY$1,AD$1)+SUMIFS('changes2_based on steps'!$B173:$U173,'changes2_based on steps'!$B$1:$U$1,AD$1)</f>
        <v>0</v>
      </c>
      <c r="AE173" s="140">
        <f>SUMIFS('recurring2_based on steps'!$B173:$AY173,'recurring2_based on steps'!$B$1:$AY$1,AE$1)+SUMIFS('changes2_based on steps'!$B173:$U173,'changes2_based on steps'!$B$1:$U$1,AE$1)</f>
        <v>0</v>
      </c>
      <c r="AF173" s="140"/>
      <c r="AG173" s="140"/>
      <c r="AH173" s="140"/>
      <c r="AI173" s="140"/>
      <c r="AJ173" s="140"/>
      <c r="AK173" s="140"/>
      <c r="AL173" s="140"/>
      <c r="AM173" s="140"/>
    </row>
    <row r="174" spans="1:39" x14ac:dyDescent="0.2">
      <c r="A174" s="29">
        <f t="shared" ca="1" si="2"/>
        <v>45914</v>
      </c>
      <c r="B174" s="140">
        <f ca="1">SUMIFS('recurring2_based on steps'!$B174:$AY174,'recurring2_based on steps'!$B$1:$AY$1,B$1)+SUMIFS('changes2_based on steps'!$B174:$U174,'changes2_based on steps'!$B$1:$U$1,B$1)</f>
        <v>0</v>
      </c>
      <c r="C174" s="140">
        <f>SUMIFS('recurring2_based on steps'!$B174:$AY174,'recurring2_based on steps'!$B$1:$AY$1,C$1)+SUMIFS('changes2_based on steps'!$B174:$U174,'changes2_based on steps'!$B$1:$U$1,C$1)</f>
        <v>0</v>
      </c>
      <c r="D174" s="140">
        <f>SUMIFS('recurring2_based on steps'!$B174:$AY174,'recurring2_based on steps'!$B$1:$AY$1,D$1)+SUMIFS('changes2_based on steps'!$B174:$U174,'changes2_based on steps'!$B$1:$U$1,D$1)</f>
        <v>0</v>
      </c>
      <c r="E174" s="140">
        <f>SUMIFS('recurring2_based on steps'!$B174:$AY174,'recurring2_based on steps'!$B$1:$AY$1,E$1)+SUMIFS('changes2_based on steps'!$B174:$U174,'changes2_based on steps'!$B$1:$U$1,E$1)</f>
        <v>0</v>
      </c>
      <c r="F174" s="140">
        <f>SUMIFS('recurring2_based on steps'!$B174:$AY174,'recurring2_based on steps'!$B$1:$AY$1,F$1)+SUMIFS('changes2_based on steps'!$B174:$U174,'changes2_based on steps'!$B$1:$U$1,F$1)</f>
        <v>0</v>
      </c>
      <c r="G174" s="140">
        <f>SUMIFS('recurring2_based on steps'!$B174:$AY174,'recurring2_based on steps'!$B$1:$AY$1,G$1)+SUMIFS('changes2_based on steps'!$B174:$U174,'changes2_based on steps'!$B$1:$U$1,G$1)</f>
        <v>0</v>
      </c>
      <c r="H174" s="140">
        <f>SUMIFS('recurring2_based on steps'!$B174:$AY174,'recurring2_based on steps'!$B$1:$AY$1,H$1)+SUMIFS('changes2_based on steps'!$B174:$U174,'changes2_based on steps'!$B$1:$U$1,H$1)</f>
        <v>0</v>
      </c>
      <c r="I174" s="140">
        <f>SUMIFS('recurring2_based on steps'!$B174:$AY174,'recurring2_based on steps'!$B$1:$AY$1,I$1)+SUMIFS('changes2_based on steps'!$B174:$U174,'changes2_based on steps'!$B$1:$U$1,I$1)</f>
        <v>0</v>
      </c>
      <c r="J174" s="140">
        <f ca="1">SUMIFS('recurring2_based on steps'!$B174:$AY174,'recurring2_based on steps'!$B$1:$AY$1,J$1)+SUMIFS('changes2_based on steps'!$B174:$U174,'changes2_based on steps'!$B$1:$U$1,J$1)</f>
        <v>0</v>
      </c>
      <c r="K174" s="140">
        <f>SUMIFS('recurring2_based on steps'!$B174:$AY174,'recurring2_based on steps'!$B$1:$AY$1,K$1)+SUMIFS('changes2_based on steps'!$B174:$U174,'changes2_based on steps'!$B$1:$U$1,K$1)</f>
        <v>0</v>
      </c>
      <c r="L174" s="140">
        <f>SUMIFS('recurring2_based on steps'!$B174:$AY174,'recurring2_based on steps'!$B$1:$AY$1,L$1)+SUMIFS('changes2_based on steps'!$B174:$U174,'changes2_based on steps'!$B$1:$U$1,L$1)</f>
        <v>0</v>
      </c>
      <c r="M174" s="140">
        <f>SUMIFS('recurring2_based on steps'!$B174:$AY174,'recurring2_based on steps'!$B$1:$AY$1,M$1)+SUMIFS('changes2_based on steps'!$B174:$U174,'changes2_based on steps'!$B$1:$U$1,M$1)</f>
        <v>0</v>
      </c>
      <c r="N174" s="140">
        <f ca="1">SUMIFS('recurring2_based on steps'!$B174:$AY174,'recurring2_based on steps'!$B$1:$AY$1,N$1)+SUMIFS('changes2_based on steps'!$B174:$U174,'changes2_based on steps'!$B$1:$U$1,N$1)</f>
        <v>0</v>
      </c>
      <c r="O174" s="140">
        <f>SUMIFS('recurring2_based on steps'!$B174:$AY174,'recurring2_based on steps'!$B$1:$AY$1,O$1)+SUMIFS('changes2_based on steps'!$B174:$U174,'changes2_based on steps'!$B$1:$U$1,O$1)</f>
        <v>0</v>
      </c>
      <c r="P174" s="140">
        <f ca="1">SUMIFS('recurring2_based on steps'!$B174:$AY174,'recurring2_based on steps'!$B$1:$AY$1,P$1)+SUMIFS('changes2_based on steps'!$B174:$U174,'changes2_based on steps'!$B$1:$U$1,P$1)</f>
        <v>0</v>
      </c>
      <c r="Q174" s="140">
        <f ca="1">SUMIFS('recurring2_based on steps'!$B174:$AY174,'recurring2_based on steps'!$B$1:$AY$1,Q$1)+SUMIFS('changes2_based on steps'!$B174:$U174,'changes2_based on steps'!$B$1:$U$1,Q$1)</f>
        <v>100.05540166204986</v>
      </c>
      <c r="R174" s="140">
        <f ca="1">SUMIFS('recurring2_based on steps'!$B174:$AY174,'recurring2_based on steps'!$B$1:$AY$1,R$1)+SUMIFS('changes2_based on steps'!$B174:$U174,'changes2_based on steps'!$B$1:$U$1,R$1)</f>
        <v>0</v>
      </c>
      <c r="S174" s="140">
        <f>SUMIFS('recurring2_based on steps'!$B174:$AY174,'recurring2_based on steps'!$B$1:$AY$1,S$1)+SUMIFS('changes2_based on steps'!$B174:$U174,'changes2_based on steps'!$B$1:$U$1,S$1)</f>
        <v>0</v>
      </c>
      <c r="T174" s="140">
        <f ca="1">SUMIFS('recurring2_based on steps'!$B174:$AY174,'recurring2_based on steps'!$B$1:$AY$1,T$1)+SUMIFS('changes2_based on steps'!$B174:$U174,'changes2_based on steps'!$B$1:$U$1,T$1)</f>
        <v>0</v>
      </c>
      <c r="U174" s="140">
        <f ca="1">SUMIFS('recurring2_based on steps'!$B174:$AY174,'recurring2_based on steps'!$B$1:$AY$1,U$1)+SUMIFS('changes2_based on steps'!$B174:$U174,'changes2_based on steps'!$B$1:$U$1,U$1)</f>
        <v>0</v>
      </c>
      <c r="V174" s="140">
        <f>SUMIFS('recurring2_based on steps'!$B174:$AY174,'recurring2_based on steps'!$B$1:$AY$1,V$1)+SUMIFS('changes2_based on steps'!$B174:$U174,'changes2_based on steps'!$B$1:$U$1,V$1)</f>
        <v>0</v>
      </c>
      <c r="W174" s="140">
        <f>SUMIFS('recurring2_based on steps'!$B174:$AY174,'recurring2_based on steps'!$B$1:$AY$1,W$1)+SUMIFS('changes2_based on steps'!$B174:$U174,'changes2_based on steps'!$B$1:$U$1,W$1)</f>
        <v>0</v>
      </c>
      <c r="X174" s="140">
        <f ca="1">SUMIFS('recurring2_based on steps'!$B174:$AY174,'recurring2_based on steps'!$B$1:$AY$1,X$1)+SUMIFS('changes2_based on steps'!$B174:$U174,'changes2_based on steps'!$B$1:$U$1,X$1)</f>
        <v>0</v>
      </c>
      <c r="Y174" s="140">
        <f ca="1">SUMIFS('recurring2_based on steps'!$B174:$AY174,'recurring2_based on steps'!$B$1:$AY$1,Y$1)+SUMIFS('changes2_based on steps'!$B174:$U174,'changes2_based on steps'!$B$1:$U$1,Y$1)</f>
        <v>50</v>
      </c>
      <c r="Z174" s="140">
        <f>SUMIFS('recurring2_based on steps'!$B174:$AY174,'recurring2_based on steps'!$B$1:$AY$1,Z$1)+SUMIFS('changes2_based on steps'!$B174:$U174,'changes2_based on steps'!$B$1:$U$1,Z$1)</f>
        <v>0</v>
      </c>
      <c r="AA174" s="140">
        <f ca="1">SUMIFS('recurring2_based on steps'!$B174:$AY174,'recurring2_based on steps'!$B$1:$AY$1,AA$1)+SUMIFS('changes2_based on steps'!$B174:$U174,'changes2_based on steps'!$B$1:$U$1,AA$1)</f>
        <v>0</v>
      </c>
      <c r="AB174" s="140">
        <f ca="1">SUMIFS('recurring2_based on steps'!$B174:$AY174,'recurring2_based on steps'!$B$1:$AY$1,AB$1)+SUMIFS('changes2_based on steps'!$B174:$U174,'changes2_based on steps'!$B$1:$U$1,AB$1)</f>
        <v>0</v>
      </c>
      <c r="AC174" s="140">
        <f ca="1">SUMIFS('recurring2_based on steps'!$B174:$AY174,'recurring2_based on steps'!$B$1:$AY$1,AC$1)+SUMIFS('changes2_based on steps'!$B174:$U174,'changes2_based on steps'!$B$1:$U$1,AC$1)</f>
        <v>0</v>
      </c>
      <c r="AD174" s="140">
        <f ca="1">SUMIFS('recurring2_based on steps'!$B174:$AY174,'recurring2_based on steps'!$B$1:$AY$1,AD$1)+SUMIFS('changes2_based on steps'!$B174:$U174,'changes2_based on steps'!$B$1:$U$1,AD$1)</f>
        <v>0</v>
      </c>
      <c r="AE174" s="140">
        <f>SUMIFS('recurring2_based on steps'!$B174:$AY174,'recurring2_based on steps'!$B$1:$AY$1,AE$1)+SUMIFS('changes2_based on steps'!$B174:$U174,'changes2_based on steps'!$B$1:$U$1,AE$1)</f>
        <v>0</v>
      </c>
      <c r="AF174" s="140"/>
      <c r="AG174" s="140"/>
      <c r="AH174" s="140"/>
      <c r="AI174" s="140"/>
      <c r="AJ174" s="140"/>
      <c r="AK174" s="140"/>
      <c r="AL174" s="140"/>
      <c r="AM174" s="140"/>
    </row>
    <row r="175" spans="1:39" x14ac:dyDescent="0.2">
      <c r="A175" s="29">
        <f t="shared" ca="1" si="2"/>
        <v>45915</v>
      </c>
      <c r="B175" s="140">
        <f ca="1">SUMIFS('recurring2_based on steps'!$B175:$AY175,'recurring2_based on steps'!$B$1:$AY$1,B$1)+SUMIFS('changes2_based on steps'!$B175:$U175,'changes2_based on steps'!$B$1:$U$1,B$1)</f>
        <v>0</v>
      </c>
      <c r="C175" s="140">
        <f>SUMIFS('recurring2_based on steps'!$B175:$AY175,'recurring2_based on steps'!$B$1:$AY$1,C$1)+SUMIFS('changes2_based on steps'!$B175:$U175,'changes2_based on steps'!$B$1:$U$1,C$1)</f>
        <v>0</v>
      </c>
      <c r="D175" s="140">
        <f>SUMIFS('recurring2_based on steps'!$B175:$AY175,'recurring2_based on steps'!$B$1:$AY$1,D$1)+SUMIFS('changes2_based on steps'!$B175:$U175,'changes2_based on steps'!$B$1:$U$1,D$1)</f>
        <v>0</v>
      </c>
      <c r="E175" s="140">
        <f>SUMIFS('recurring2_based on steps'!$B175:$AY175,'recurring2_based on steps'!$B$1:$AY$1,E$1)+SUMIFS('changes2_based on steps'!$B175:$U175,'changes2_based on steps'!$B$1:$U$1,E$1)</f>
        <v>0</v>
      </c>
      <c r="F175" s="140">
        <f>SUMIFS('recurring2_based on steps'!$B175:$AY175,'recurring2_based on steps'!$B$1:$AY$1,F$1)+SUMIFS('changes2_based on steps'!$B175:$U175,'changes2_based on steps'!$B$1:$U$1,F$1)</f>
        <v>0</v>
      </c>
      <c r="G175" s="140">
        <f>SUMIFS('recurring2_based on steps'!$B175:$AY175,'recurring2_based on steps'!$B$1:$AY$1,G$1)+SUMIFS('changes2_based on steps'!$B175:$U175,'changes2_based on steps'!$B$1:$U$1,G$1)</f>
        <v>0</v>
      </c>
      <c r="H175" s="140">
        <f>SUMIFS('recurring2_based on steps'!$B175:$AY175,'recurring2_based on steps'!$B$1:$AY$1,H$1)+SUMIFS('changes2_based on steps'!$B175:$U175,'changes2_based on steps'!$B$1:$U$1,H$1)</f>
        <v>0</v>
      </c>
      <c r="I175" s="140">
        <f>SUMIFS('recurring2_based on steps'!$B175:$AY175,'recurring2_based on steps'!$B$1:$AY$1,I$1)+SUMIFS('changes2_based on steps'!$B175:$U175,'changes2_based on steps'!$B$1:$U$1,I$1)</f>
        <v>0</v>
      </c>
      <c r="J175" s="140">
        <f ca="1">SUMIFS('recurring2_based on steps'!$B175:$AY175,'recurring2_based on steps'!$B$1:$AY$1,J$1)+SUMIFS('changes2_based on steps'!$B175:$U175,'changes2_based on steps'!$B$1:$U$1,J$1)</f>
        <v>0</v>
      </c>
      <c r="K175" s="140">
        <f>SUMIFS('recurring2_based on steps'!$B175:$AY175,'recurring2_based on steps'!$B$1:$AY$1,K$1)+SUMIFS('changes2_based on steps'!$B175:$U175,'changes2_based on steps'!$B$1:$U$1,K$1)</f>
        <v>0</v>
      </c>
      <c r="L175" s="140">
        <f>SUMIFS('recurring2_based on steps'!$B175:$AY175,'recurring2_based on steps'!$B$1:$AY$1,L$1)+SUMIFS('changes2_based on steps'!$B175:$U175,'changes2_based on steps'!$B$1:$U$1,L$1)</f>
        <v>0</v>
      </c>
      <c r="M175" s="140">
        <f>SUMIFS('recurring2_based on steps'!$B175:$AY175,'recurring2_based on steps'!$B$1:$AY$1,M$1)+SUMIFS('changes2_based on steps'!$B175:$U175,'changes2_based on steps'!$B$1:$U$1,M$1)</f>
        <v>0</v>
      </c>
      <c r="N175" s="140">
        <f ca="1">SUMIFS('recurring2_based on steps'!$B175:$AY175,'recurring2_based on steps'!$B$1:$AY$1,N$1)+SUMIFS('changes2_based on steps'!$B175:$U175,'changes2_based on steps'!$B$1:$U$1,N$1)</f>
        <v>0</v>
      </c>
      <c r="O175" s="140">
        <f>SUMIFS('recurring2_based on steps'!$B175:$AY175,'recurring2_based on steps'!$B$1:$AY$1,O$1)+SUMIFS('changes2_based on steps'!$B175:$U175,'changes2_based on steps'!$B$1:$U$1,O$1)</f>
        <v>0</v>
      </c>
      <c r="P175" s="140">
        <f ca="1">SUMIFS('recurring2_based on steps'!$B175:$AY175,'recurring2_based on steps'!$B$1:$AY$1,P$1)+SUMIFS('changes2_based on steps'!$B175:$U175,'changes2_based on steps'!$B$1:$U$1,P$1)</f>
        <v>0</v>
      </c>
      <c r="Q175" s="140">
        <f ca="1">SUMIFS('recurring2_based on steps'!$B175:$AY175,'recurring2_based on steps'!$B$1:$AY$1,Q$1)+SUMIFS('changes2_based on steps'!$B175:$U175,'changes2_based on steps'!$B$1:$U$1,Q$1)</f>
        <v>5.5401662049861494E-2</v>
      </c>
      <c r="R175" s="140">
        <f ca="1">SUMIFS('recurring2_based on steps'!$B175:$AY175,'recurring2_based on steps'!$B$1:$AY$1,R$1)+SUMIFS('changes2_based on steps'!$B175:$U175,'changes2_based on steps'!$B$1:$U$1,R$1)</f>
        <v>0</v>
      </c>
      <c r="S175" s="140">
        <f>SUMIFS('recurring2_based on steps'!$B175:$AY175,'recurring2_based on steps'!$B$1:$AY$1,S$1)+SUMIFS('changes2_based on steps'!$B175:$U175,'changes2_based on steps'!$B$1:$U$1,S$1)</f>
        <v>0</v>
      </c>
      <c r="T175" s="140">
        <f ca="1">SUMIFS('recurring2_based on steps'!$B175:$AY175,'recurring2_based on steps'!$B$1:$AY$1,T$1)+SUMIFS('changes2_based on steps'!$B175:$U175,'changes2_based on steps'!$B$1:$U$1,T$1)</f>
        <v>0</v>
      </c>
      <c r="U175" s="140">
        <f ca="1">SUMIFS('recurring2_based on steps'!$B175:$AY175,'recurring2_based on steps'!$B$1:$AY$1,U$1)+SUMIFS('changes2_based on steps'!$B175:$U175,'changes2_based on steps'!$B$1:$U$1,U$1)</f>
        <v>0</v>
      </c>
      <c r="V175" s="140">
        <f>SUMIFS('recurring2_based on steps'!$B175:$AY175,'recurring2_based on steps'!$B$1:$AY$1,V$1)+SUMIFS('changes2_based on steps'!$B175:$U175,'changes2_based on steps'!$B$1:$U$1,V$1)</f>
        <v>0</v>
      </c>
      <c r="W175" s="140">
        <f>SUMIFS('recurring2_based on steps'!$B175:$AY175,'recurring2_based on steps'!$B$1:$AY$1,W$1)+SUMIFS('changes2_based on steps'!$B175:$U175,'changes2_based on steps'!$B$1:$U$1,W$1)</f>
        <v>0</v>
      </c>
      <c r="X175" s="140">
        <f ca="1">SUMIFS('recurring2_based on steps'!$B175:$AY175,'recurring2_based on steps'!$B$1:$AY$1,X$1)+SUMIFS('changes2_based on steps'!$B175:$U175,'changes2_based on steps'!$B$1:$U$1,X$1)</f>
        <v>0</v>
      </c>
      <c r="Y175" s="140">
        <f ca="1">SUMIFS('recurring2_based on steps'!$B175:$AY175,'recurring2_based on steps'!$B$1:$AY$1,Y$1)+SUMIFS('changes2_based on steps'!$B175:$U175,'changes2_based on steps'!$B$1:$U$1,Y$1)</f>
        <v>0</v>
      </c>
      <c r="Z175" s="140">
        <f>SUMIFS('recurring2_based on steps'!$B175:$AY175,'recurring2_based on steps'!$B$1:$AY$1,Z$1)+SUMIFS('changes2_based on steps'!$B175:$U175,'changes2_based on steps'!$B$1:$U$1,Z$1)</f>
        <v>0</v>
      </c>
      <c r="AA175" s="140">
        <f ca="1">SUMIFS('recurring2_based on steps'!$B175:$AY175,'recurring2_based on steps'!$B$1:$AY$1,AA$1)+SUMIFS('changes2_based on steps'!$B175:$U175,'changes2_based on steps'!$B$1:$U$1,AA$1)</f>
        <v>0</v>
      </c>
      <c r="AB175" s="140">
        <f ca="1">SUMIFS('recurring2_based on steps'!$B175:$AY175,'recurring2_based on steps'!$B$1:$AY$1,AB$1)+SUMIFS('changes2_based on steps'!$B175:$U175,'changes2_based on steps'!$B$1:$U$1,AB$1)</f>
        <v>0</v>
      </c>
      <c r="AC175" s="140">
        <f ca="1">SUMIFS('recurring2_based on steps'!$B175:$AY175,'recurring2_based on steps'!$B$1:$AY$1,AC$1)+SUMIFS('changes2_based on steps'!$B175:$U175,'changes2_based on steps'!$B$1:$U$1,AC$1)</f>
        <v>0</v>
      </c>
      <c r="AD175" s="140">
        <f ca="1">SUMIFS('recurring2_based on steps'!$B175:$AY175,'recurring2_based on steps'!$B$1:$AY$1,AD$1)+SUMIFS('changes2_based on steps'!$B175:$U175,'changes2_based on steps'!$B$1:$U$1,AD$1)</f>
        <v>0</v>
      </c>
      <c r="AE175" s="140">
        <f>SUMIFS('recurring2_based on steps'!$B175:$AY175,'recurring2_based on steps'!$B$1:$AY$1,AE$1)+SUMIFS('changes2_based on steps'!$B175:$U175,'changes2_based on steps'!$B$1:$U$1,AE$1)</f>
        <v>0</v>
      </c>
      <c r="AF175" s="140"/>
      <c r="AG175" s="140"/>
      <c r="AH175" s="140"/>
      <c r="AI175" s="140"/>
      <c r="AJ175" s="140"/>
      <c r="AK175" s="140"/>
      <c r="AL175" s="140"/>
      <c r="AM175" s="140"/>
    </row>
    <row r="176" spans="1:39" x14ac:dyDescent="0.2">
      <c r="A176" s="29">
        <f t="shared" ca="1" si="2"/>
        <v>45916</v>
      </c>
      <c r="B176" s="140">
        <f ca="1">SUMIFS('recurring2_based on steps'!$B176:$AY176,'recurring2_based on steps'!$B$1:$AY$1,B$1)+SUMIFS('changes2_based on steps'!$B176:$U176,'changes2_based on steps'!$B$1:$U$1,B$1)</f>
        <v>0</v>
      </c>
      <c r="C176" s="140">
        <f>SUMIFS('recurring2_based on steps'!$B176:$AY176,'recurring2_based on steps'!$B$1:$AY$1,C$1)+SUMIFS('changes2_based on steps'!$B176:$U176,'changes2_based on steps'!$B$1:$U$1,C$1)</f>
        <v>0</v>
      </c>
      <c r="D176" s="140">
        <f>SUMIFS('recurring2_based on steps'!$B176:$AY176,'recurring2_based on steps'!$B$1:$AY$1,D$1)+SUMIFS('changes2_based on steps'!$B176:$U176,'changes2_based on steps'!$B$1:$U$1,D$1)</f>
        <v>0</v>
      </c>
      <c r="E176" s="140">
        <f>SUMIFS('recurring2_based on steps'!$B176:$AY176,'recurring2_based on steps'!$B$1:$AY$1,E$1)+SUMIFS('changes2_based on steps'!$B176:$U176,'changes2_based on steps'!$B$1:$U$1,E$1)</f>
        <v>0</v>
      </c>
      <c r="F176" s="140">
        <f>SUMIFS('recurring2_based on steps'!$B176:$AY176,'recurring2_based on steps'!$B$1:$AY$1,F$1)+SUMIFS('changes2_based on steps'!$B176:$U176,'changes2_based on steps'!$B$1:$U$1,F$1)</f>
        <v>0</v>
      </c>
      <c r="G176" s="140">
        <f>SUMIFS('recurring2_based on steps'!$B176:$AY176,'recurring2_based on steps'!$B$1:$AY$1,G$1)+SUMIFS('changes2_based on steps'!$B176:$U176,'changes2_based on steps'!$B$1:$U$1,G$1)</f>
        <v>0</v>
      </c>
      <c r="H176" s="140">
        <f>SUMIFS('recurring2_based on steps'!$B176:$AY176,'recurring2_based on steps'!$B$1:$AY$1,H$1)+SUMIFS('changes2_based on steps'!$B176:$U176,'changes2_based on steps'!$B$1:$U$1,H$1)</f>
        <v>0</v>
      </c>
      <c r="I176" s="140">
        <f>SUMIFS('recurring2_based on steps'!$B176:$AY176,'recurring2_based on steps'!$B$1:$AY$1,I$1)+SUMIFS('changes2_based on steps'!$B176:$U176,'changes2_based on steps'!$B$1:$U$1,I$1)</f>
        <v>0</v>
      </c>
      <c r="J176" s="140">
        <f ca="1">SUMIFS('recurring2_based on steps'!$B176:$AY176,'recurring2_based on steps'!$B$1:$AY$1,J$1)+SUMIFS('changes2_based on steps'!$B176:$U176,'changes2_based on steps'!$B$1:$U$1,J$1)</f>
        <v>0</v>
      </c>
      <c r="K176" s="140">
        <f>SUMIFS('recurring2_based on steps'!$B176:$AY176,'recurring2_based on steps'!$B$1:$AY$1,K$1)+SUMIFS('changes2_based on steps'!$B176:$U176,'changes2_based on steps'!$B$1:$U$1,K$1)</f>
        <v>0</v>
      </c>
      <c r="L176" s="140">
        <f>SUMIFS('recurring2_based on steps'!$B176:$AY176,'recurring2_based on steps'!$B$1:$AY$1,L$1)+SUMIFS('changes2_based on steps'!$B176:$U176,'changes2_based on steps'!$B$1:$U$1,L$1)</f>
        <v>0</v>
      </c>
      <c r="M176" s="140">
        <f>SUMIFS('recurring2_based on steps'!$B176:$AY176,'recurring2_based on steps'!$B$1:$AY$1,M$1)+SUMIFS('changes2_based on steps'!$B176:$U176,'changes2_based on steps'!$B$1:$U$1,M$1)</f>
        <v>0</v>
      </c>
      <c r="N176" s="140">
        <f ca="1">SUMIFS('recurring2_based on steps'!$B176:$AY176,'recurring2_based on steps'!$B$1:$AY$1,N$1)+SUMIFS('changes2_based on steps'!$B176:$U176,'changes2_based on steps'!$B$1:$U$1,N$1)</f>
        <v>0</v>
      </c>
      <c r="O176" s="140">
        <f>SUMIFS('recurring2_based on steps'!$B176:$AY176,'recurring2_based on steps'!$B$1:$AY$1,O$1)+SUMIFS('changes2_based on steps'!$B176:$U176,'changes2_based on steps'!$B$1:$U$1,O$1)</f>
        <v>0</v>
      </c>
      <c r="P176" s="140">
        <f ca="1">SUMIFS('recurring2_based on steps'!$B176:$AY176,'recurring2_based on steps'!$B$1:$AY$1,P$1)+SUMIFS('changes2_based on steps'!$B176:$U176,'changes2_based on steps'!$B$1:$U$1,P$1)</f>
        <v>0</v>
      </c>
      <c r="Q176" s="140">
        <f ca="1">SUMIFS('recurring2_based on steps'!$B176:$AY176,'recurring2_based on steps'!$B$1:$AY$1,Q$1)+SUMIFS('changes2_based on steps'!$B176:$U176,'changes2_based on steps'!$B$1:$U$1,Q$1)</f>
        <v>5.5401662049861494E-2</v>
      </c>
      <c r="R176" s="140">
        <f ca="1">SUMIFS('recurring2_based on steps'!$B176:$AY176,'recurring2_based on steps'!$B$1:$AY$1,R$1)+SUMIFS('changes2_based on steps'!$B176:$U176,'changes2_based on steps'!$B$1:$U$1,R$1)</f>
        <v>0</v>
      </c>
      <c r="S176" s="140">
        <f>SUMIFS('recurring2_based on steps'!$B176:$AY176,'recurring2_based on steps'!$B$1:$AY$1,S$1)+SUMIFS('changes2_based on steps'!$B176:$U176,'changes2_based on steps'!$B$1:$U$1,S$1)</f>
        <v>0</v>
      </c>
      <c r="T176" s="140">
        <f ca="1">SUMIFS('recurring2_based on steps'!$B176:$AY176,'recurring2_based on steps'!$B$1:$AY$1,T$1)+SUMIFS('changes2_based on steps'!$B176:$U176,'changes2_based on steps'!$B$1:$U$1,T$1)</f>
        <v>0</v>
      </c>
      <c r="U176" s="140">
        <f ca="1">SUMIFS('recurring2_based on steps'!$B176:$AY176,'recurring2_based on steps'!$B$1:$AY$1,U$1)+SUMIFS('changes2_based on steps'!$B176:$U176,'changes2_based on steps'!$B$1:$U$1,U$1)</f>
        <v>0</v>
      </c>
      <c r="V176" s="140">
        <f>SUMIFS('recurring2_based on steps'!$B176:$AY176,'recurring2_based on steps'!$B$1:$AY$1,V$1)+SUMIFS('changes2_based on steps'!$B176:$U176,'changes2_based on steps'!$B$1:$U$1,V$1)</f>
        <v>0</v>
      </c>
      <c r="W176" s="140">
        <f>SUMIFS('recurring2_based on steps'!$B176:$AY176,'recurring2_based on steps'!$B$1:$AY$1,W$1)+SUMIFS('changes2_based on steps'!$B176:$U176,'changes2_based on steps'!$B$1:$U$1,W$1)</f>
        <v>0</v>
      </c>
      <c r="X176" s="140">
        <f ca="1">SUMIFS('recurring2_based on steps'!$B176:$AY176,'recurring2_based on steps'!$B$1:$AY$1,X$1)+SUMIFS('changes2_based on steps'!$B176:$U176,'changes2_based on steps'!$B$1:$U$1,X$1)</f>
        <v>0</v>
      </c>
      <c r="Y176" s="140">
        <f ca="1">SUMIFS('recurring2_based on steps'!$B176:$AY176,'recurring2_based on steps'!$B$1:$AY$1,Y$1)+SUMIFS('changes2_based on steps'!$B176:$U176,'changes2_based on steps'!$B$1:$U$1,Y$1)</f>
        <v>0</v>
      </c>
      <c r="Z176" s="140">
        <f>SUMIFS('recurring2_based on steps'!$B176:$AY176,'recurring2_based on steps'!$B$1:$AY$1,Z$1)+SUMIFS('changes2_based on steps'!$B176:$U176,'changes2_based on steps'!$B$1:$U$1,Z$1)</f>
        <v>0</v>
      </c>
      <c r="AA176" s="140">
        <f ca="1">SUMIFS('recurring2_based on steps'!$B176:$AY176,'recurring2_based on steps'!$B$1:$AY$1,AA$1)+SUMIFS('changes2_based on steps'!$B176:$U176,'changes2_based on steps'!$B$1:$U$1,AA$1)</f>
        <v>0</v>
      </c>
      <c r="AB176" s="140">
        <f ca="1">SUMIFS('recurring2_based on steps'!$B176:$AY176,'recurring2_based on steps'!$B$1:$AY$1,AB$1)+SUMIFS('changes2_based on steps'!$B176:$U176,'changes2_based on steps'!$B$1:$U$1,AB$1)</f>
        <v>0</v>
      </c>
      <c r="AC176" s="140">
        <f ca="1">SUMIFS('recurring2_based on steps'!$B176:$AY176,'recurring2_based on steps'!$B$1:$AY$1,AC$1)+SUMIFS('changes2_based on steps'!$B176:$U176,'changes2_based on steps'!$B$1:$U$1,AC$1)</f>
        <v>0</v>
      </c>
      <c r="AD176" s="140">
        <f ca="1">SUMIFS('recurring2_based on steps'!$B176:$AY176,'recurring2_based on steps'!$B$1:$AY$1,AD$1)+SUMIFS('changes2_based on steps'!$B176:$U176,'changes2_based on steps'!$B$1:$U$1,AD$1)</f>
        <v>0</v>
      </c>
      <c r="AE176" s="140">
        <f>SUMIFS('recurring2_based on steps'!$B176:$AY176,'recurring2_based on steps'!$B$1:$AY$1,AE$1)+SUMIFS('changes2_based on steps'!$B176:$U176,'changes2_based on steps'!$B$1:$U$1,AE$1)</f>
        <v>0</v>
      </c>
      <c r="AF176" s="140"/>
      <c r="AG176" s="140"/>
      <c r="AH176" s="140"/>
      <c r="AI176" s="140"/>
      <c r="AJ176" s="140"/>
      <c r="AK176" s="140"/>
      <c r="AL176" s="140"/>
      <c r="AM176" s="140"/>
    </row>
    <row r="177" spans="1:39" x14ac:dyDescent="0.2">
      <c r="A177" s="29">
        <f t="shared" ca="1" si="2"/>
        <v>45917</v>
      </c>
      <c r="B177" s="140">
        <f ca="1">SUMIFS('recurring2_based on steps'!$B177:$AY177,'recurring2_based on steps'!$B$1:$AY$1,B$1)+SUMIFS('changes2_based on steps'!$B177:$U177,'changes2_based on steps'!$B$1:$U$1,B$1)</f>
        <v>0</v>
      </c>
      <c r="C177" s="140">
        <f>SUMIFS('recurring2_based on steps'!$B177:$AY177,'recurring2_based on steps'!$B$1:$AY$1,C$1)+SUMIFS('changes2_based on steps'!$B177:$U177,'changes2_based on steps'!$B$1:$U$1,C$1)</f>
        <v>0</v>
      </c>
      <c r="D177" s="140">
        <f>SUMIFS('recurring2_based on steps'!$B177:$AY177,'recurring2_based on steps'!$B$1:$AY$1,D$1)+SUMIFS('changes2_based on steps'!$B177:$U177,'changes2_based on steps'!$B$1:$U$1,D$1)</f>
        <v>0</v>
      </c>
      <c r="E177" s="140">
        <f>SUMIFS('recurring2_based on steps'!$B177:$AY177,'recurring2_based on steps'!$B$1:$AY$1,E$1)+SUMIFS('changes2_based on steps'!$B177:$U177,'changes2_based on steps'!$B$1:$U$1,E$1)</f>
        <v>0</v>
      </c>
      <c r="F177" s="140">
        <f>SUMIFS('recurring2_based on steps'!$B177:$AY177,'recurring2_based on steps'!$B$1:$AY$1,F$1)+SUMIFS('changes2_based on steps'!$B177:$U177,'changes2_based on steps'!$B$1:$U$1,F$1)</f>
        <v>0</v>
      </c>
      <c r="G177" s="140">
        <f>SUMIFS('recurring2_based on steps'!$B177:$AY177,'recurring2_based on steps'!$B$1:$AY$1,G$1)+SUMIFS('changes2_based on steps'!$B177:$U177,'changes2_based on steps'!$B$1:$U$1,G$1)</f>
        <v>0</v>
      </c>
      <c r="H177" s="140">
        <f>SUMIFS('recurring2_based on steps'!$B177:$AY177,'recurring2_based on steps'!$B$1:$AY$1,H$1)+SUMIFS('changes2_based on steps'!$B177:$U177,'changes2_based on steps'!$B$1:$U$1,H$1)</f>
        <v>0</v>
      </c>
      <c r="I177" s="140">
        <f>SUMIFS('recurring2_based on steps'!$B177:$AY177,'recurring2_based on steps'!$B$1:$AY$1,I$1)+SUMIFS('changes2_based on steps'!$B177:$U177,'changes2_based on steps'!$B$1:$U$1,I$1)</f>
        <v>0</v>
      </c>
      <c r="J177" s="140">
        <f ca="1">SUMIFS('recurring2_based on steps'!$B177:$AY177,'recurring2_based on steps'!$B$1:$AY$1,J$1)+SUMIFS('changes2_based on steps'!$B177:$U177,'changes2_based on steps'!$B$1:$U$1,J$1)</f>
        <v>200</v>
      </c>
      <c r="K177" s="140">
        <f>SUMIFS('recurring2_based on steps'!$B177:$AY177,'recurring2_based on steps'!$B$1:$AY$1,K$1)+SUMIFS('changes2_based on steps'!$B177:$U177,'changes2_based on steps'!$B$1:$U$1,K$1)</f>
        <v>0</v>
      </c>
      <c r="L177" s="140">
        <f>SUMIFS('recurring2_based on steps'!$B177:$AY177,'recurring2_based on steps'!$B$1:$AY$1,L$1)+SUMIFS('changes2_based on steps'!$B177:$U177,'changes2_based on steps'!$B$1:$U$1,L$1)</f>
        <v>0</v>
      </c>
      <c r="M177" s="140">
        <f>SUMIFS('recurring2_based on steps'!$B177:$AY177,'recurring2_based on steps'!$B$1:$AY$1,M$1)+SUMIFS('changes2_based on steps'!$B177:$U177,'changes2_based on steps'!$B$1:$U$1,M$1)</f>
        <v>0</v>
      </c>
      <c r="N177" s="140">
        <f ca="1">SUMIFS('recurring2_based on steps'!$B177:$AY177,'recurring2_based on steps'!$B$1:$AY$1,N$1)+SUMIFS('changes2_based on steps'!$B177:$U177,'changes2_based on steps'!$B$1:$U$1,N$1)</f>
        <v>0</v>
      </c>
      <c r="O177" s="140">
        <f>SUMIFS('recurring2_based on steps'!$B177:$AY177,'recurring2_based on steps'!$B$1:$AY$1,O$1)+SUMIFS('changes2_based on steps'!$B177:$U177,'changes2_based on steps'!$B$1:$U$1,O$1)</f>
        <v>0</v>
      </c>
      <c r="P177" s="140">
        <f ca="1">SUMIFS('recurring2_based on steps'!$B177:$AY177,'recurring2_based on steps'!$B$1:$AY$1,P$1)+SUMIFS('changes2_based on steps'!$B177:$U177,'changes2_based on steps'!$B$1:$U$1,P$1)</f>
        <v>0</v>
      </c>
      <c r="Q177" s="140">
        <f ca="1">SUMIFS('recurring2_based on steps'!$B177:$AY177,'recurring2_based on steps'!$B$1:$AY$1,Q$1)+SUMIFS('changes2_based on steps'!$B177:$U177,'changes2_based on steps'!$B$1:$U$1,Q$1)</f>
        <v>5.5401662049861494E-2</v>
      </c>
      <c r="R177" s="140">
        <f ca="1">SUMIFS('recurring2_based on steps'!$B177:$AY177,'recurring2_based on steps'!$B$1:$AY$1,R$1)+SUMIFS('changes2_based on steps'!$B177:$U177,'changes2_based on steps'!$B$1:$U$1,R$1)</f>
        <v>15.49</v>
      </c>
      <c r="S177" s="140">
        <f>SUMIFS('recurring2_based on steps'!$B177:$AY177,'recurring2_based on steps'!$B$1:$AY$1,S$1)+SUMIFS('changes2_based on steps'!$B177:$U177,'changes2_based on steps'!$B$1:$U$1,S$1)</f>
        <v>0</v>
      </c>
      <c r="T177" s="140">
        <f ca="1">SUMIFS('recurring2_based on steps'!$B177:$AY177,'recurring2_based on steps'!$B$1:$AY$1,T$1)+SUMIFS('changes2_based on steps'!$B177:$U177,'changes2_based on steps'!$B$1:$U$1,T$1)</f>
        <v>0</v>
      </c>
      <c r="U177" s="140">
        <f ca="1">SUMIFS('recurring2_based on steps'!$B177:$AY177,'recurring2_based on steps'!$B$1:$AY$1,U$1)+SUMIFS('changes2_based on steps'!$B177:$U177,'changes2_based on steps'!$B$1:$U$1,U$1)</f>
        <v>0</v>
      </c>
      <c r="V177" s="140">
        <f>SUMIFS('recurring2_based on steps'!$B177:$AY177,'recurring2_based on steps'!$B$1:$AY$1,V$1)+SUMIFS('changes2_based on steps'!$B177:$U177,'changes2_based on steps'!$B$1:$U$1,V$1)</f>
        <v>0</v>
      </c>
      <c r="W177" s="140">
        <f>SUMIFS('recurring2_based on steps'!$B177:$AY177,'recurring2_based on steps'!$B$1:$AY$1,W$1)+SUMIFS('changes2_based on steps'!$B177:$U177,'changes2_based on steps'!$B$1:$U$1,W$1)</f>
        <v>0</v>
      </c>
      <c r="X177" s="140">
        <f ca="1">SUMIFS('recurring2_based on steps'!$B177:$AY177,'recurring2_based on steps'!$B$1:$AY$1,X$1)+SUMIFS('changes2_based on steps'!$B177:$U177,'changes2_based on steps'!$B$1:$U$1,X$1)</f>
        <v>0</v>
      </c>
      <c r="Y177" s="140">
        <f ca="1">SUMIFS('recurring2_based on steps'!$B177:$AY177,'recurring2_based on steps'!$B$1:$AY$1,Y$1)+SUMIFS('changes2_based on steps'!$B177:$U177,'changes2_based on steps'!$B$1:$U$1,Y$1)</f>
        <v>0</v>
      </c>
      <c r="Z177" s="140">
        <f>SUMIFS('recurring2_based on steps'!$B177:$AY177,'recurring2_based on steps'!$B$1:$AY$1,Z$1)+SUMIFS('changes2_based on steps'!$B177:$U177,'changes2_based on steps'!$B$1:$U$1,Z$1)</f>
        <v>0</v>
      </c>
      <c r="AA177" s="140">
        <f ca="1">SUMIFS('recurring2_based on steps'!$B177:$AY177,'recurring2_based on steps'!$B$1:$AY$1,AA$1)+SUMIFS('changes2_based on steps'!$B177:$U177,'changes2_based on steps'!$B$1:$U$1,AA$1)</f>
        <v>0</v>
      </c>
      <c r="AB177" s="140">
        <f ca="1">SUMIFS('recurring2_based on steps'!$B177:$AY177,'recurring2_based on steps'!$B$1:$AY$1,AB$1)+SUMIFS('changes2_based on steps'!$B177:$U177,'changes2_based on steps'!$B$1:$U$1,AB$1)</f>
        <v>0</v>
      </c>
      <c r="AC177" s="140">
        <f ca="1">SUMIFS('recurring2_based on steps'!$B177:$AY177,'recurring2_based on steps'!$B$1:$AY$1,AC$1)+SUMIFS('changes2_based on steps'!$B177:$U177,'changes2_based on steps'!$B$1:$U$1,AC$1)</f>
        <v>0</v>
      </c>
      <c r="AD177" s="140">
        <f ca="1">SUMIFS('recurring2_based on steps'!$B177:$AY177,'recurring2_based on steps'!$B$1:$AY$1,AD$1)+SUMIFS('changes2_based on steps'!$B177:$U177,'changes2_based on steps'!$B$1:$U$1,AD$1)</f>
        <v>0</v>
      </c>
      <c r="AE177" s="140">
        <f>SUMIFS('recurring2_based on steps'!$B177:$AY177,'recurring2_based on steps'!$B$1:$AY$1,AE$1)+SUMIFS('changes2_based on steps'!$B177:$U177,'changes2_based on steps'!$B$1:$U$1,AE$1)</f>
        <v>0</v>
      </c>
      <c r="AF177" s="140"/>
      <c r="AG177" s="140"/>
      <c r="AH177" s="140"/>
      <c r="AI177" s="140"/>
      <c r="AJ177" s="140"/>
      <c r="AK177" s="140"/>
      <c r="AL177" s="140"/>
      <c r="AM177" s="140"/>
    </row>
    <row r="178" spans="1:39" x14ac:dyDescent="0.2">
      <c r="A178" s="29">
        <f t="shared" ca="1" si="2"/>
        <v>45918</v>
      </c>
      <c r="B178" s="140">
        <f ca="1">SUMIFS('recurring2_based on steps'!$B178:$AY178,'recurring2_based on steps'!$B$1:$AY$1,B$1)+SUMIFS('changes2_based on steps'!$B178:$U178,'changes2_based on steps'!$B$1:$U$1,B$1)</f>
        <v>0</v>
      </c>
      <c r="C178" s="140">
        <f>SUMIFS('recurring2_based on steps'!$B178:$AY178,'recurring2_based on steps'!$B$1:$AY$1,C$1)+SUMIFS('changes2_based on steps'!$B178:$U178,'changes2_based on steps'!$B$1:$U$1,C$1)</f>
        <v>0</v>
      </c>
      <c r="D178" s="140">
        <f>SUMIFS('recurring2_based on steps'!$B178:$AY178,'recurring2_based on steps'!$B$1:$AY$1,D$1)+SUMIFS('changes2_based on steps'!$B178:$U178,'changes2_based on steps'!$B$1:$U$1,D$1)</f>
        <v>0</v>
      </c>
      <c r="E178" s="140">
        <f>SUMIFS('recurring2_based on steps'!$B178:$AY178,'recurring2_based on steps'!$B$1:$AY$1,E$1)+SUMIFS('changes2_based on steps'!$B178:$U178,'changes2_based on steps'!$B$1:$U$1,E$1)</f>
        <v>0</v>
      </c>
      <c r="F178" s="140">
        <f>SUMIFS('recurring2_based on steps'!$B178:$AY178,'recurring2_based on steps'!$B$1:$AY$1,F$1)+SUMIFS('changes2_based on steps'!$B178:$U178,'changes2_based on steps'!$B$1:$U$1,F$1)</f>
        <v>0</v>
      </c>
      <c r="G178" s="140">
        <f>SUMIFS('recurring2_based on steps'!$B178:$AY178,'recurring2_based on steps'!$B$1:$AY$1,G$1)+SUMIFS('changes2_based on steps'!$B178:$U178,'changes2_based on steps'!$B$1:$U$1,G$1)</f>
        <v>0</v>
      </c>
      <c r="H178" s="140">
        <f>SUMIFS('recurring2_based on steps'!$B178:$AY178,'recurring2_based on steps'!$B$1:$AY$1,H$1)+SUMIFS('changes2_based on steps'!$B178:$U178,'changes2_based on steps'!$B$1:$U$1,H$1)</f>
        <v>0</v>
      </c>
      <c r="I178" s="140">
        <f>SUMIFS('recurring2_based on steps'!$B178:$AY178,'recurring2_based on steps'!$B$1:$AY$1,I$1)+SUMIFS('changes2_based on steps'!$B178:$U178,'changes2_based on steps'!$B$1:$U$1,I$1)</f>
        <v>0</v>
      </c>
      <c r="J178" s="140">
        <f ca="1">SUMIFS('recurring2_based on steps'!$B178:$AY178,'recurring2_based on steps'!$B$1:$AY$1,J$1)+SUMIFS('changes2_based on steps'!$B178:$U178,'changes2_based on steps'!$B$1:$U$1,J$1)</f>
        <v>0</v>
      </c>
      <c r="K178" s="140">
        <f>SUMIFS('recurring2_based on steps'!$B178:$AY178,'recurring2_based on steps'!$B$1:$AY$1,K$1)+SUMIFS('changes2_based on steps'!$B178:$U178,'changes2_based on steps'!$B$1:$U$1,K$1)</f>
        <v>0</v>
      </c>
      <c r="L178" s="140">
        <f>SUMIFS('recurring2_based on steps'!$B178:$AY178,'recurring2_based on steps'!$B$1:$AY$1,L$1)+SUMIFS('changes2_based on steps'!$B178:$U178,'changes2_based on steps'!$B$1:$U$1,L$1)</f>
        <v>0</v>
      </c>
      <c r="M178" s="140">
        <f>SUMIFS('recurring2_based on steps'!$B178:$AY178,'recurring2_based on steps'!$B$1:$AY$1,M$1)+SUMIFS('changes2_based on steps'!$B178:$U178,'changes2_based on steps'!$B$1:$U$1,M$1)</f>
        <v>0</v>
      </c>
      <c r="N178" s="140">
        <f ca="1">SUMIFS('recurring2_based on steps'!$B178:$AY178,'recurring2_based on steps'!$B$1:$AY$1,N$1)+SUMIFS('changes2_based on steps'!$B178:$U178,'changes2_based on steps'!$B$1:$U$1,N$1)</f>
        <v>0</v>
      </c>
      <c r="O178" s="140">
        <f>SUMIFS('recurring2_based on steps'!$B178:$AY178,'recurring2_based on steps'!$B$1:$AY$1,O$1)+SUMIFS('changes2_based on steps'!$B178:$U178,'changes2_based on steps'!$B$1:$U$1,O$1)</f>
        <v>0</v>
      </c>
      <c r="P178" s="140">
        <f ca="1">SUMIFS('recurring2_based on steps'!$B178:$AY178,'recurring2_based on steps'!$B$1:$AY$1,P$1)+SUMIFS('changes2_based on steps'!$B178:$U178,'changes2_based on steps'!$B$1:$U$1,P$1)</f>
        <v>0</v>
      </c>
      <c r="Q178" s="140">
        <f ca="1">SUMIFS('recurring2_based on steps'!$B178:$AY178,'recurring2_based on steps'!$B$1:$AY$1,Q$1)+SUMIFS('changes2_based on steps'!$B178:$U178,'changes2_based on steps'!$B$1:$U$1,Q$1)</f>
        <v>5.5401662049861494E-2</v>
      </c>
      <c r="R178" s="140">
        <f ca="1">SUMIFS('recurring2_based on steps'!$B178:$AY178,'recurring2_based on steps'!$B$1:$AY$1,R$1)+SUMIFS('changes2_based on steps'!$B178:$U178,'changes2_based on steps'!$B$1:$U$1,R$1)</f>
        <v>10.99</v>
      </c>
      <c r="S178" s="140">
        <f>SUMIFS('recurring2_based on steps'!$B178:$AY178,'recurring2_based on steps'!$B$1:$AY$1,S$1)+SUMIFS('changes2_based on steps'!$B178:$U178,'changes2_based on steps'!$B$1:$U$1,S$1)</f>
        <v>0</v>
      </c>
      <c r="T178" s="140">
        <f ca="1">SUMIFS('recurring2_based on steps'!$B178:$AY178,'recurring2_based on steps'!$B$1:$AY$1,T$1)+SUMIFS('changes2_based on steps'!$B178:$U178,'changes2_based on steps'!$B$1:$U$1,T$1)</f>
        <v>0</v>
      </c>
      <c r="U178" s="140">
        <f ca="1">SUMIFS('recurring2_based on steps'!$B178:$AY178,'recurring2_based on steps'!$B$1:$AY$1,U$1)+SUMIFS('changes2_based on steps'!$B178:$U178,'changes2_based on steps'!$B$1:$U$1,U$1)</f>
        <v>0</v>
      </c>
      <c r="V178" s="140">
        <f>SUMIFS('recurring2_based on steps'!$B178:$AY178,'recurring2_based on steps'!$B$1:$AY$1,V$1)+SUMIFS('changes2_based on steps'!$B178:$U178,'changes2_based on steps'!$B$1:$U$1,V$1)</f>
        <v>0</v>
      </c>
      <c r="W178" s="140">
        <f>SUMIFS('recurring2_based on steps'!$B178:$AY178,'recurring2_based on steps'!$B$1:$AY$1,W$1)+SUMIFS('changes2_based on steps'!$B178:$U178,'changes2_based on steps'!$B$1:$U$1,W$1)</f>
        <v>0</v>
      </c>
      <c r="X178" s="140">
        <f ca="1">SUMIFS('recurring2_based on steps'!$B178:$AY178,'recurring2_based on steps'!$B$1:$AY$1,X$1)+SUMIFS('changes2_based on steps'!$B178:$U178,'changes2_based on steps'!$B$1:$U$1,X$1)</f>
        <v>0</v>
      </c>
      <c r="Y178" s="140">
        <f ca="1">SUMIFS('recurring2_based on steps'!$B178:$AY178,'recurring2_based on steps'!$B$1:$AY$1,Y$1)+SUMIFS('changes2_based on steps'!$B178:$U178,'changes2_based on steps'!$B$1:$U$1,Y$1)</f>
        <v>0</v>
      </c>
      <c r="Z178" s="140">
        <f>SUMIFS('recurring2_based on steps'!$B178:$AY178,'recurring2_based on steps'!$B$1:$AY$1,Z$1)+SUMIFS('changes2_based on steps'!$B178:$U178,'changes2_based on steps'!$B$1:$U$1,Z$1)</f>
        <v>0</v>
      </c>
      <c r="AA178" s="140">
        <f ca="1">SUMIFS('recurring2_based on steps'!$B178:$AY178,'recurring2_based on steps'!$B$1:$AY$1,AA$1)+SUMIFS('changes2_based on steps'!$B178:$U178,'changes2_based on steps'!$B$1:$U$1,AA$1)</f>
        <v>0</v>
      </c>
      <c r="AB178" s="140">
        <f ca="1">SUMIFS('recurring2_based on steps'!$B178:$AY178,'recurring2_based on steps'!$B$1:$AY$1,AB$1)+SUMIFS('changes2_based on steps'!$B178:$U178,'changes2_based on steps'!$B$1:$U$1,AB$1)</f>
        <v>0</v>
      </c>
      <c r="AC178" s="140">
        <f ca="1">SUMIFS('recurring2_based on steps'!$B178:$AY178,'recurring2_based on steps'!$B$1:$AY$1,AC$1)+SUMIFS('changes2_based on steps'!$B178:$U178,'changes2_based on steps'!$B$1:$U$1,AC$1)</f>
        <v>0</v>
      </c>
      <c r="AD178" s="140">
        <f ca="1">SUMIFS('recurring2_based on steps'!$B178:$AY178,'recurring2_based on steps'!$B$1:$AY$1,AD$1)+SUMIFS('changes2_based on steps'!$B178:$U178,'changes2_based on steps'!$B$1:$U$1,AD$1)</f>
        <v>0</v>
      </c>
      <c r="AE178" s="140">
        <f>SUMIFS('recurring2_based on steps'!$B178:$AY178,'recurring2_based on steps'!$B$1:$AY$1,AE$1)+SUMIFS('changes2_based on steps'!$B178:$U178,'changes2_based on steps'!$B$1:$U$1,AE$1)</f>
        <v>0</v>
      </c>
      <c r="AF178" s="140"/>
      <c r="AG178" s="140"/>
      <c r="AH178" s="140"/>
      <c r="AI178" s="140"/>
      <c r="AJ178" s="140"/>
      <c r="AK178" s="140"/>
      <c r="AL178" s="140"/>
      <c r="AM178" s="140"/>
    </row>
    <row r="179" spans="1:39" x14ac:dyDescent="0.2">
      <c r="A179" s="29">
        <f t="shared" ca="1" si="2"/>
        <v>45919</v>
      </c>
      <c r="B179" s="140">
        <f ca="1">SUMIFS('recurring2_based on steps'!$B179:$AY179,'recurring2_based on steps'!$B$1:$AY$1,B$1)+SUMIFS('changes2_based on steps'!$B179:$U179,'changes2_based on steps'!$B$1:$U$1,B$1)</f>
        <v>4000</v>
      </c>
      <c r="C179" s="140">
        <f>SUMIFS('recurring2_based on steps'!$B179:$AY179,'recurring2_based on steps'!$B$1:$AY$1,C$1)+SUMIFS('changes2_based on steps'!$B179:$U179,'changes2_based on steps'!$B$1:$U$1,C$1)</f>
        <v>0</v>
      </c>
      <c r="D179" s="140">
        <f>SUMIFS('recurring2_based on steps'!$B179:$AY179,'recurring2_based on steps'!$B$1:$AY$1,D$1)+SUMIFS('changes2_based on steps'!$B179:$U179,'changes2_based on steps'!$B$1:$U$1,D$1)</f>
        <v>0</v>
      </c>
      <c r="E179" s="140">
        <f>SUMIFS('recurring2_based on steps'!$B179:$AY179,'recurring2_based on steps'!$B$1:$AY$1,E$1)+SUMIFS('changes2_based on steps'!$B179:$U179,'changes2_based on steps'!$B$1:$U$1,E$1)</f>
        <v>0</v>
      </c>
      <c r="F179" s="140">
        <f>SUMIFS('recurring2_based on steps'!$B179:$AY179,'recurring2_based on steps'!$B$1:$AY$1,F$1)+SUMIFS('changes2_based on steps'!$B179:$U179,'changes2_based on steps'!$B$1:$U$1,F$1)</f>
        <v>0</v>
      </c>
      <c r="G179" s="140">
        <f>SUMIFS('recurring2_based on steps'!$B179:$AY179,'recurring2_based on steps'!$B$1:$AY$1,G$1)+SUMIFS('changes2_based on steps'!$B179:$U179,'changes2_based on steps'!$B$1:$U$1,G$1)</f>
        <v>0</v>
      </c>
      <c r="H179" s="140">
        <f>SUMIFS('recurring2_based on steps'!$B179:$AY179,'recurring2_based on steps'!$B$1:$AY$1,H$1)+SUMIFS('changes2_based on steps'!$B179:$U179,'changes2_based on steps'!$B$1:$U$1,H$1)</f>
        <v>0</v>
      </c>
      <c r="I179" s="140">
        <f>SUMIFS('recurring2_based on steps'!$B179:$AY179,'recurring2_based on steps'!$B$1:$AY$1,I$1)+SUMIFS('changes2_based on steps'!$B179:$U179,'changes2_based on steps'!$B$1:$U$1,I$1)</f>
        <v>0</v>
      </c>
      <c r="J179" s="140">
        <f ca="1">SUMIFS('recurring2_based on steps'!$B179:$AY179,'recurring2_based on steps'!$B$1:$AY$1,J$1)+SUMIFS('changes2_based on steps'!$B179:$U179,'changes2_based on steps'!$B$1:$U$1,J$1)</f>
        <v>0</v>
      </c>
      <c r="K179" s="140">
        <f>SUMIFS('recurring2_based on steps'!$B179:$AY179,'recurring2_based on steps'!$B$1:$AY$1,K$1)+SUMIFS('changes2_based on steps'!$B179:$U179,'changes2_based on steps'!$B$1:$U$1,K$1)</f>
        <v>0</v>
      </c>
      <c r="L179" s="140">
        <f>SUMIFS('recurring2_based on steps'!$B179:$AY179,'recurring2_based on steps'!$B$1:$AY$1,L$1)+SUMIFS('changes2_based on steps'!$B179:$U179,'changes2_based on steps'!$B$1:$U$1,L$1)</f>
        <v>0</v>
      </c>
      <c r="M179" s="140">
        <f>SUMIFS('recurring2_based on steps'!$B179:$AY179,'recurring2_based on steps'!$B$1:$AY$1,M$1)+SUMIFS('changes2_based on steps'!$B179:$U179,'changes2_based on steps'!$B$1:$U$1,M$1)</f>
        <v>0</v>
      </c>
      <c r="N179" s="140">
        <f ca="1">SUMIFS('recurring2_based on steps'!$B179:$AY179,'recurring2_based on steps'!$B$1:$AY$1,N$1)+SUMIFS('changes2_based on steps'!$B179:$U179,'changes2_based on steps'!$B$1:$U$1,N$1)</f>
        <v>0</v>
      </c>
      <c r="O179" s="140">
        <f>SUMIFS('recurring2_based on steps'!$B179:$AY179,'recurring2_based on steps'!$B$1:$AY$1,O$1)+SUMIFS('changes2_based on steps'!$B179:$U179,'changes2_based on steps'!$B$1:$U$1,O$1)</f>
        <v>0</v>
      </c>
      <c r="P179" s="140">
        <f ca="1">SUMIFS('recurring2_based on steps'!$B179:$AY179,'recurring2_based on steps'!$B$1:$AY$1,P$1)+SUMIFS('changes2_based on steps'!$B179:$U179,'changes2_based on steps'!$B$1:$U$1,P$1)</f>
        <v>0</v>
      </c>
      <c r="Q179" s="140">
        <f ca="1">SUMIFS('recurring2_based on steps'!$B179:$AY179,'recurring2_based on steps'!$B$1:$AY$1,Q$1)+SUMIFS('changes2_based on steps'!$B179:$U179,'changes2_based on steps'!$B$1:$U$1,Q$1)</f>
        <v>5.5401662049861494E-2</v>
      </c>
      <c r="R179" s="140">
        <f ca="1">SUMIFS('recurring2_based on steps'!$B179:$AY179,'recurring2_based on steps'!$B$1:$AY$1,R$1)+SUMIFS('changes2_based on steps'!$B179:$U179,'changes2_based on steps'!$B$1:$U$1,R$1)</f>
        <v>0</v>
      </c>
      <c r="S179" s="140">
        <f>SUMIFS('recurring2_based on steps'!$B179:$AY179,'recurring2_based on steps'!$B$1:$AY$1,S$1)+SUMIFS('changes2_based on steps'!$B179:$U179,'changes2_based on steps'!$B$1:$U$1,S$1)</f>
        <v>0</v>
      </c>
      <c r="T179" s="140">
        <f ca="1">SUMIFS('recurring2_based on steps'!$B179:$AY179,'recurring2_based on steps'!$B$1:$AY$1,T$1)+SUMIFS('changes2_based on steps'!$B179:$U179,'changes2_based on steps'!$B$1:$U$1,T$1)</f>
        <v>50</v>
      </c>
      <c r="U179" s="140">
        <f ca="1">SUMIFS('recurring2_based on steps'!$B179:$AY179,'recurring2_based on steps'!$B$1:$AY$1,U$1)+SUMIFS('changes2_based on steps'!$B179:$U179,'changes2_based on steps'!$B$1:$U$1,U$1)</f>
        <v>200</v>
      </c>
      <c r="V179" s="140">
        <f>SUMIFS('recurring2_based on steps'!$B179:$AY179,'recurring2_based on steps'!$B$1:$AY$1,V$1)+SUMIFS('changes2_based on steps'!$B179:$U179,'changes2_based on steps'!$B$1:$U$1,V$1)</f>
        <v>0</v>
      </c>
      <c r="W179" s="140">
        <f>SUMIFS('recurring2_based on steps'!$B179:$AY179,'recurring2_based on steps'!$B$1:$AY$1,W$1)+SUMIFS('changes2_based on steps'!$B179:$U179,'changes2_based on steps'!$B$1:$U$1,W$1)</f>
        <v>0</v>
      </c>
      <c r="X179" s="140">
        <f ca="1">SUMIFS('recurring2_based on steps'!$B179:$AY179,'recurring2_based on steps'!$B$1:$AY$1,X$1)+SUMIFS('changes2_based on steps'!$B179:$U179,'changes2_based on steps'!$B$1:$U$1,X$1)</f>
        <v>96</v>
      </c>
      <c r="Y179" s="140">
        <f ca="1">SUMIFS('recurring2_based on steps'!$B179:$AY179,'recurring2_based on steps'!$B$1:$AY$1,Y$1)+SUMIFS('changes2_based on steps'!$B179:$U179,'changes2_based on steps'!$B$1:$U$1,Y$1)</f>
        <v>0</v>
      </c>
      <c r="Z179" s="140">
        <f>SUMIFS('recurring2_based on steps'!$B179:$AY179,'recurring2_based on steps'!$B$1:$AY$1,Z$1)+SUMIFS('changes2_based on steps'!$B179:$U179,'changes2_based on steps'!$B$1:$U$1,Z$1)</f>
        <v>0</v>
      </c>
      <c r="AA179" s="140">
        <f ca="1">SUMIFS('recurring2_based on steps'!$B179:$AY179,'recurring2_based on steps'!$B$1:$AY$1,AA$1)+SUMIFS('changes2_based on steps'!$B179:$U179,'changes2_based on steps'!$B$1:$U$1,AA$1)</f>
        <v>0</v>
      </c>
      <c r="AB179" s="140">
        <f ca="1">SUMIFS('recurring2_based on steps'!$B179:$AY179,'recurring2_based on steps'!$B$1:$AY$1,AB$1)+SUMIFS('changes2_based on steps'!$B179:$U179,'changes2_based on steps'!$B$1:$U$1,AB$1)</f>
        <v>0</v>
      </c>
      <c r="AC179" s="140">
        <f ca="1">SUMIFS('recurring2_based on steps'!$B179:$AY179,'recurring2_based on steps'!$B$1:$AY$1,AC$1)+SUMIFS('changes2_based on steps'!$B179:$U179,'changes2_based on steps'!$B$1:$U$1,AC$1)</f>
        <v>0</v>
      </c>
      <c r="AD179" s="140">
        <f ca="1">SUMIFS('recurring2_based on steps'!$B179:$AY179,'recurring2_based on steps'!$B$1:$AY$1,AD$1)+SUMIFS('changes2_based on steps'!$B179:$U179,'changes2_based on steps'!$B$1:$U$1,AD$1)</f>
        <v>50</v>
      </c>
      <c r="AE179" s="140">
        <f>SUMIFS('recurring2_based on steps'!$B179:$AY179,'recurring2_based on steps'!$B$1:$AY$1,AE$1)+SUMIFS('changes2_based on steps'!$B179:$U179,'changes2_based on steps'!$B$1:$U$1,AE$1)</f>
        <v>0</v>
      </c>
      <c r="AF179" s="140"/>
      <c r="AG179" s="140"/>
      <c r="AH179" s="140"/>
      <c r="AI179" s="140"/>
      <c r="AJ179" s="140"/>
      <c r="AK179" s="140"/>
      <c r="AL179" s="140"/>
      <c r="AM179" s="140"/>
    </row>
    <row r="180" spans="1:39" x14ac:dyDescent="0.2">
      <c r="A180" s="29">
        <f t="shared" ca="1" si="2"/>
        <v>45920</v>
      </c>
      <c r="B180" s="140">
        <f ca="1">SUMIFS('recurring2_based on steps'!$B180:$AY180,'recurring2_based on steps'!$B$1:$AY$1,B$1)+SUMIFS('changes2_based on steps'!$B180:$U180,'changes2_based on steps'!$B$1:$U$1,B$1)</f>
        <v>0</v>
      </c>
      <c r="C180" s="140">
        <f>SUMIFS('recurring2_based on steps'!$B180:$AY180,'recurring2_based on steps'!$B$1:$AY$1,C$1)+SUMIFS('changes2_based on steps'!$B180:$U180,'changes2_based on steps'!$B$1:$U$1,C$1)</f>
        <v>0</v>
      </c>
      <c r="D180" s="140">
        <f>SUMIFS('recurring2_based on steps'!$B180:$AY180,'recurring2_based on steps'!$B$1:$AY$1,D$1)+SUMIFS('changes2_based on steps'!$B180:$U180,'changes2_based on steps'!$B$1:$U$1,D$1)</f>
        <v>0</v>
      </c>
      <c r="E180" s="140">
        <f>SUMIFS('recurring2_based on steps'!$B180:$AY180,'recurring2_based on steps'!$B$1:$AY$1,E$1)+SUMIFS('changes2_based on steps'!$B180:$U180,'changes2_based on steps'!$B$1:$U$1,E$1)</f>
        <v>0</v>
      </c>
      <c r="F180" s="140">
        <f>SUMIFS('recurring2_based on steps'!$B180:$AY180,'recurring2_based on steps'!$B$1:$AY$1,F$1)+SUMIFS('changes2_based on steps'!$B180:$U180,'changes2_based on steps'!$B$1:$U$1,F$1)</f>
        <v>0</v>
      </c>
      <c r="G180" s="140">
        <f>SUMIFS('recurring2_based on steps'!$B180:$AY180,'recurring2_based on steps'!$B$1:$AY$1,G$1)+SUMIFS('changes2_based on steps'!$B180:$U180,'changes2_based on steps'!$B$1:$U$1,G$1)</f>
        <v>0</v>
      </c>
      <c r="H180" s="140">
        <f>SUMIFS('recurring2_based on steps'!$B180:$AY180,'recurring2_based on steps'!$B$1:$AY$1,H$1)+SUMIFS('changes2_based on steps'!$B180:$U180,'changes2_based on steps'!$B$1:$U$1,H$1)</f>
        <v>0</v>
      </c>
      <c r="I180" s="140">
        <f>SUMIFS('recurring2_based on steps'!$B180:$AY180,'recurring2_based on steps'!$B$1:$AY$1,I$1)+SUMIFS('changes2_based on steps'!$B180:$U180,'changes2_based on steps'!$B$1:$U$1,I$1)</f>
        <v>0</v>
      </c>
      <c r="J180" s="140">
        <f ca="1">SUMIFS('recurring2_based on steps'!$B180:$AY180,'recurring2_based on steps'!$B$1:$AY$1,J$1)+SUMIFS('changes2_based on steps'!$B180:$U180,'changes2_based on steps'!$B$1:$U$1,J$1)</f>
        <v>0</v>
      </c>
      <c r="K180" s="140">
        <f>SUMIFS('recurring2_based on steps'!$B180:$AY180,'recurring2_based on steps'!$B$1:$AY$1,K$1)+SUMIFS('changes2_based on steps'!$B180:$U180,'changes2_based on steps'!$B$1:$U$1,K$1)</f>
        <v>0</v>
      </c>
      <c r="L180" s="140">
        <f>SUMIFS('recurring2_based on steps'!$B180:$AY180,'recurring2_based on steps'!$B$1:$AY$1,L$1)+SUMIFS('changes2_based on steps'!$B180:$U180,'changes2_based on steps'!$B$1:$U$1,L$1)</f>
        <v>0</v>
      </c>
      <c r="M180" s="140">
        <f>SUMIFS('recurring2_based on steps'!$B180:$AY180,'recurring2_based on steps'!$B$1:$AY$1,M$1)+SUMIFS('changes2_based on steps'!$B180:$U180,'changes2_based on steps'!$B$1:$U$1,M$1)</f>
        <v>0</v>
      </c>
      <c r="N180" s="140">
        <f ca="1">SUMIFS('recurring2_based on steps'!$B180:$AY180,'recurring2_based on steps'!$B$1:$AY$1,N$1)+SUMIFS('changes2_based on steps'!$B180:$U180,'changes2_based on steps'!$B$1:$U$1,N$1)</f>
        <v>0</v>
      </c>
      <c r="O180" s="140">
        <f>SUMIFS('recurring2_based on steps'!$B180:$AY180,'recurring2_based on steps'!$B$1:$AY$1,O$1)+SUMIFS('changes2_based on steps'!$B180:$U180,'changes2_based on steps'!$B$1:$U$1,O$1)</f>
        <v>0</v>
      </c>
      <c r="P180" s="140">
        <f ca="1">SUMIFS('recurring2_based on steps'!$B180:$AY180,'recurring2_based on steps'!$B$1:$AY$1,P$1)+SUMIFS('changes2_based on steps'!$B180:$U180,'changes2_based on steps'!$B$1:$U$1,P$1)</f>
        <v>0</v>
      </c>
      <c r="Q180" s="140">
        <f ca="1">SUMIFS('recurring2_based on steps'!$B180:$AY180,'recurring2_based on steps'!$B$1:$AY$1,Q$1)+SUMIFS('changes2_based on steps'!$B180:$U180,'changes2_based on steps'!$B$1:$U$1,Q$1)</f>
        <v>100.05540166204986</v>
      </c>
      <c r="R180" s="140">
        <f ca="1">SUMIFS('recurring2_based on steps'!$B180:$AY180,'recurring2_based on steps'!$B$1:$AY$1,R$1)+SUMIFS('changes2_based on steps'!$B180:$U180,'changes2_based on steps'!$B$1:$U$1,R$1)</f>
        <v>5.8171745152354575</v>
      </c>
      <c r="S180" s="140">
        <f>SUMIFS('recurring2_based on steps'!$B180:$AY180,'recurring2_based on steps'!$B$1:$AY$1,S$1)+SUMIFS('changes2_based on steps'!$B180:$U180,'changes2_based on steps'!$B$1:$U$1,S$1)</f>
        <v>0</v>
      </c>
      <c r="T180" s="140">
        <f ca="1">SUMIFS('recurring2_based on steps'!$B180:$AY180,'recurring2_based on steps'!$B$1:$AY$1,T$1)+SUMIFS('changes2_based on steps'!$B180:$U180,'changes2_based on steps'!$B$1:$U$1,T$1)</f>
        <v>0</v>
      </c>
      <c r="U180" s="140">
        <f ca="1">SUMIFS('recurring2_based on steps'!$B180:$AY180,'recurring2_based on steps'!$B$1:$AY$1,U$1)+SUMIFS('changes2_based on steps'!$B180:$U180,'changes2_based on steps'!$B$1:$U$1,U$1)</f>
        <v>0</v>
      </c>
      <c r="V180" s="140">
        <f>SUMIFS('recurring2_based on steps'!$B180:$AY180,'recurring2_based on steps'!$B$1:$AY$1,V$1)+SUMIFS('changes2_based on steps'!$B180:$U180,'changes2_based on steps'!$B$1:$U$1,V$1)</f>
        <v>0</v>
      </c>
      <c r="W180" s="140">
        <f>SUMIFS('recurring2_based on steps'!$B180:$AY180,'recurring2_based on steps'!$B$1:$AY$1,W$1)+SUMIFS('changes2_based on steps'!$B180:$U180,'changes2_based on steps'!$B$1:$U$1,W$1)</f>
        <v>0</v>
      </c>
      <c r="X180" s="140">
        <f ca="1">SUMIFS('recurring2_based on steps'!$B180:$AY180,'recurring2_based on steps'!$B$1:$AY$1,X$1)+SUMIFS('changes2_based on steps'!$B180:$U180,'changes2_based on steps'!$B$1:$U$1,X$1)</f>
        <v>0</v>
      </c>
      <c r="Y180" s="140">
        <f ca="1">SUMIFS('recurring2_based on steps'!$B180:$AY180,'recurring2_based on steps'!$B$1:$AY$1,Y$1)+SUMIFS('changes2_based on steps'!$B180:$U180,'changes2_based on steps'!$B$1:$U$1,Y$1)</f>
        <v>0</v>
      </c>
      <c r="Z180" s="140">
        <f>SUMIFS('recurring2_based on steps'!$B180:$AY180,'recurring2_based on steps'!$B$1:$AY$1,Z$1)+SUMIFS('changes2_based on steps'!$B180:$U180,'changes2_based on steps'!$B$1:$U$1,Z$1)</f>
        <v>0</v>
      </c>
      <c r="AA180" s="140">
        <f ca="1">SUMIFS('recurring2_based on steps'!$B180:$AY180,'recurring2_based on steps'!$B$1:$AY$1,AA$1)+SUMIFS('changes2_based on steps'!$B180:$U180,'changes2_based on steps'!$B$1:$U$1,AA$1)</f>
        <v>0</v>
      </c>
      <c r="AB180" s="140">
        <f ca="1">SUMIFS('recurring2_based on steps'!$B180:$AY180,'recurring2_based on steps'!$B$1:$AY$1,AB$1)+SUMIFS('changes2_based on steps'!$B180:$U180,'changes2_based on steps'!$B$1:$U$1,AB$1)</f>
        <v>100</v>
      </c>
      <c r="AC180" s="140">
        <f ca="1">SUMIFS('recurring2_based on steps'!$B180:$AY180,'recurring2_based on steps'!$B$1:$AY$1,AC$1)+SUMIFS('changes2_based on steps'!$B180:$U180,'changes2_based on steps'!$B$1:$U$1,AC$1)</f>
        <v>0</v>
      </c>
      <c r="AD180" s="140">
        <f ca="1">SUMIFS('recurring2_based on steps'!$B180:$AY180,'recurring2_based on steps'!$B$1:$AY$1,AD$1)+SUMIFS('changes2_based on steps'!$B180:$U180,'changes2_based on steps'!$B$1:$U$1,AD$1)</f>
        <v>0</v>
      </c>
      <c r="AE180" s="140">
        <f>SUMIFS('recurring2_based on steps'!$B180:$AY180,'recurring2_based on steps'!$B$1:$AY$1,AE$1)+SUMIFS('changes2_based on steps'!$B180:$U180,'changes2_based on steps'!$B$1:$U$1,AE$1)</f>
        <v>0</v>
      </c>
      <c r="AF180" s="140"/>
      <c r="AG180" s="140"/>
      <c r="AH180" s="140"/>
      <c r="AI180" s="140"/>
      <c r="AJ180" s="140"/>
      <c r="AK180" s="140"/>
      <c r="AL180" s="140"/>
      <c r="AM180" s="140"/>
    </row>
    <row r="181" spans="1:39" x14ac:dyDescent="0.2">
      <c r="A181" s="29">
        <f t="shared" ca="1" si="2"/>
        <v>45921</v>
      </c>
      <c r="B181" s="140">
        <f ca="1">SUMIFS('recurring2_based on steps'!$B181:$AY181,'recurring2_based on steps'!$B$1:$AY$1,B$1)+SUMIFS('changes2_based on steps'!$B181:$U181,'changes2_based on steps'!$B$1:$U$1,B$1)</f>
        <v>0</v>
      </c>
      <c r="C181" s="140">
        <f>SUMIFS('recurring2_based on steps'!$B181:$AY181,'recurring2_based on steps'!$B$1:$AY$1,C$1)+SUMIFS('changes2_based on steps'!$B181:$U181,'changes2_based on steps'!$B$1:$U$1,C$1)</f>
        <v>0</v>
      </c>
      <c r="D181" s="140">
        <f>SUMIFS('recurring2_based on steps'!$B181:$AY181,'recurring2_based on steps'!$B$1:$AY$1,D$1)+SUMIFS('changes2_based on steps'!$B181:$U181,'changes2_based on steps'!$B$1:$U$1,D$1)</f>
        <v>0</v>
      </c>
      <c r="E181" s="140">
        <f>SUMIFS('recurring2_based on steps'!$B181:$AY181,'recurring2_based on steps'!$B$1:$AY$1,E$1)+SUMIFS('changes2_based on steps'!$B181:$U181,'changes2_based on steps'!$B$1:$U$1,E$1)</f>
        <v>0</v>
      </c>
      <c r="F181" s="140">
        <f>SUMIFS('recurring2_based on steps'!$B181:$AY181,'recurring2_based on steps'!$B$1:$AY$1,F$1)+SUMIFS('changes2_based on steps'!$B181:$U181,'changes2_based on steps'!$B$1:$U$1,F$1)</f>
        <v>0</v>
      </c>
      <c r="G181" s="140">
        <f>SUMIFS('recurring2_based on steps'!$B181:$AY181,'recurring2_based on steps'!$B$1:$AY$1,G$1)+SUMIFS('changes2_based on steps'!$B181:$U181,'changes2_based on steps'!$B$1:$U$1,G$1)</f>
        <v>0</v>
      </c>
      <c r="H181" s="140">
        <f>SUMIFS('recurring2_based on steps'!$B181:$AY181,'recurring2_based on steps'!$B$1:$AY$1,H$1)+SUMIFS('changes2_based on steps'!$B181:$U181,'changes2_based on steps'!$B$1:$U$1,H$1)</f>
        <v>0</v>
      </c>
      <c r="I181" s="140">
        <f>SUMIFS('recurring2_based on steps'!$B181:$AY181,'recurring2_based on steps'!$B$1:$AY$1,I$1)+SUMIFS('changes2_based on steps'!$B181:$U181,'changes2_based on steps'!$B$1:$U$1,I$1)</f>
        <v>0</v>
      </c>
      <c r="J181" s="140">
        <f ca="1">SUMIFS('recurring2_based on steps'!$B181:$AY181,'recurring2_based on steps'!$B$1:$AY$1,J$1)+SUMIFS('changes2_based on steps'!$B181:$U181,'changes2_based on steps'!$B$1:$U$1,J$1)</f>
        <v>0</v>
      </c>
      <c r="K181" s="140">
        <f>SUMIFS('recurring2_based on steps'!$B181:$AY181,'recurring2_based on steps'!$B$1:$AY$1,K$1)+SUMIFS('changes2_based on steps'!$B181:$U181,'changes2_based on steps'!$B$1:$U$1,K$1)</f>
        <v>0</v>
      </c>
      <c r="L181" s="140">
        <f>SUMIFS('recurring2_based on steps'!$B181:$AY181,'recurring2_based on steps'!$B$1:$AY$1,L$1)+SUMIFS('changes2_based on steps'!$B181:$U181,'changes2_based on steps'!$B$1:$U$1,L$1)</f>
        <v>0</v>
      </c>
      <c r="M181" s="140">
        <f>SUMIFS('recurring2_based on steps'!$B181:$AY181,'recurring2_based on steps'!$B$1:$AY$1,M$1)+SUMIFS('changes2_based on steps'!$B181:$U181,'changes2_based on steps'!$B$1:$U$1,M$1)</f>
        <v>0</v>
      </c>
      <c r="N181" s="140">
        <f ca="1">SUMIFS('recurring2_based on steps'!$B181:$AY181,'recurring2_based on steps'!$B$1:$AY$1,N$1)+SUMIFS('changes2_based on steps'!$B181:$U181,'changes2_based on steps'!$B$1:$U$1,N$1)</f>
        <v>0</v>
      </c>
      <c r="O181" s="140">
        <f>SUMIFS('recurring2_based on steps'!$B181:$AY181,'recurring2_based on steps'!$B$1:$AY$1,O$1)+SUMIFS('changes2_based on steps'!$B181:$U181,'changes2_based on steps'!$B$1:$U$1,O$1)</f>
        <v>0</v>
      </c>
      <c r="P181" s="140">
        <f ca="1">SUMIFS('recurring2_based on steps'!$B181:$AY181,'recurring2_based on steps'!$B$1:$AY$1,P$1)+SUMIFS('changes2_based on steps'!$B181:$U181,'changes2_based on steps'!$B$1:$U$1,P$1)</f>
        <v>0</v>
      </c>
      <c r="Q181" s="140">
        <f ca="1">SUMIFS('recurring2_based on steps'!$B181:$AY181,'recurring2_based on steps'!$B$1:$AY$1,Q$1)+SUMIFS('changes2_based on steps'!$B181:$U181,'changes2_based on steps'!$B$1:$U$1,Q$1)</f>
        <v>100.05540166204986</v>
      </c>
      <c r="R181" s="140">
        <f ca="1">SUMIFS('recurring2_based on steps'!$B181:$AY181,'recurring2_based on steps'!$B$1:$AY$1,R$1)+SUMIFS('changes2_based on steps'!$B181:$U181,'changes2_based on steps'!$B$1:$U$1,R$1)</f>
        <v>0</v>
      </c>
      <c r="S181" s="140">
        <f>SUMIFS('recurring2_based on steps'!$B181:$AY181,'recurring2_based on steps'!$B$1:$AY$1,S$1)+SUMIFS('changes2_based on steps'!$B181:$U181,'changes2_based on steps'!$B$1:$U$1,S$1)</f>
        <v>0</v>
      </c>
      <c r="T181" s="140">
        <f ca="1">SUMIFS('recurring2_based on steps'!$B181:$AY181,'recurring2_based on steps'!$B$1:$AY$1,T$1)+SUMIFS('changes2_based on steps'!$B181:$U181,'changes2_based on steps'!$B$1:$U$1,T$1)</f>
        <v>0</v>
      </c>
      <c r="U181" s="140">
        <f ca="1">SUMIFS('recurring2_based on steps'!$B181:$AY181,'recurring2_based on steps'!$B$1:$AY$1,U$1)+SUMIFS('changes2_based on steps'!$B181:$U181,'changes2_based on steps'!$B$1:$U$1,U$1)</f>
        <v>0</v>
      </c>
      <c r="V181" s="140">
        <f>SUMIFS('recurring2_based on steps'!$B181:$AY181,'recurring2_based on steps'!$B$1:$AY$1,V$1)+SUMIFS('changes2_based on steps'!$B181:$U181,'changes2_based on steps'!$B$1:$U$1,V$1)</f>
        <v>0</v>
      </c>
      <c r="W181" s="140">
        <f>SUMIFS('recurring2_based on steps'!$B181:$AY181,'recurring2_based on steps'!$B$1:$AY$1,W$1)+SUMIFS('changes2_based on steps'!$B181:$U181,'changes2_based on steps'!$B$1:$U$1,W$1)</f>
        <v>0</v>
      </c>
      <c r="X181" s="140">
        <f ca="1">SUMIFS('recurring2_based on steps'!$B181:$AY181,'recurring2_based on steps'!$B$1:$AY$1,X$1)+SUMIFS('changes2_based on steps'!$B181:$U181,'changes2_based on steps'!$B$1:$U$1,X$1)</f>
        <v>0</v>
      </c>
      <c r="Y181" s="140">
        <f ca="1">SUMIFS('recurring2_based on steps'!$B181:$AY181,'recurring2_based on steps'!$B$1:$AY$1,Y$1)+SUMIFS('changes2_based on steps'!$B181:$U181,'changes2_based on steps'!$B$1:$U$1,Y$1)</f>
        <v>50</v>
      </c>
      <c r="Z181" s="140">
        <f>SUMIFS('recurring2_based on steps'!$B181:$AY181,'recurring2_based on steps'!$B$1:$AY$1,Z$1)+SUMIFS('changes2_based on steps'!$B181:$U181,'changes2_based on steps'!$B$1:$U$1,Z$1)</f>
        <v>0</v>
      </c>
      <c r="AA181" s="140">
        <f ca="1">SUMIFS('recurring2_based on steps'!$B181:$AY181,'recurring2_based on steps'!$B$1:$AY$1,AA$1)+SUMIFS('changes2_based on steps'!$B181:$U181,'changes2_based on steps'!$B$1:$U$1,AA$1)</f>
        <v>0</v>
      </c>
      <c r="AB181" s="140">
        <f ca="1">SUMIFS('recurring2_based on steps'!$B181:$AY181,'recurring2_based on steps'!$B$1:$AY$1,AB$1)+SUMIFS('changes2_based on steps'!$B181:$U181,'changes2_based on steps'!$B$1:$U$1,AB$1)</f>
        <v>0</v>
      </c>
      <c r="AC181" s="140">
        <f ca="1">SUMIFS('recurring2_based on steps'!$B181:$AY181,'recurring2_based on steps'!$B$1:$AY$1,AC$1)+SUMIFS('changes2_based on steps'!$B181:$U181,'changes2_based on steps'!$B$1:$U$1,AC$1)</f>
        <v>0</v>
      </c>
      <c r="AD181" s="140">
        <f ca="1">SUMIFS('recurring2_based on steps'!$B181:$AY181,'recurring2_based on steps'!$B$1:$AY$1,AD$1)+SUMIFS('changes2_based on steps'!$B181:$U181,'changes2_based on steps'!$B$1:$U$1,AD$1)</f>
        <v>0</v>
      </c>
      <c r="AE181" s="140">
        <f>SUMIFS('recurring2_based on steps'!$B181:$AY181,'recurring2_based on steps'!$B$1:$AY$1,AE$1)+SUMIFS('changes2_based on steps'!$B181:$U181,'changes2_based on steps'!$B$1:$U$1,AE$1)</f>
        <v>0</v>
      </c>
      <c r="AF181" s="140"/>
      <c r="AG181" s="140"/>
      <c r="AH181" s="140"/>
      <c r="AI181" s="140"/>
      <c r="AJ181" s="140"/>
      <c r="AK181" s="140"/>
      <c r="AL181" s="140"/>
      <c r="AM181" s="140"/>
    </row>
    <row r="182" spans="1:39" x14ac:dyDescent="0.2">
      <c r="A182" s="29">
        <f t="shared" ca="1" si="2"/>
        <v>45922</v>
      </c>
      <c r="B182" s="140">
        <f ca="1">SUMIFS('recurring2_based on steps'!$B182:$AY182,'recurring2_based on steps'!$B$1:$AY$1,B$1)+SUMIFS('changes2_based on steps'!$B182:$U182,'changes2_based on steps'!$B$1:$U$1,B$1)</f>
        <v>0</v>
      </c>
      <c r="C182" s="140">
        <f>SUMIFS('recurring2_based on steps'!$B182:$AY182,'recurring2_based on steps'!$B$1:$AY$1,C$1)+SUMIFS('changes2_based on steps'!$B182:$U182,'changes2_based on steps'!$B$1:$U$1,C$1)</f>
        <v>0</v>
      </c>
      <c r="D182" s="140">
        <f>SUMIFS('recurring2_based on steps'!$B182:$AY182,'recurring2_based on steps'!$B$1:$AY$1,D$1)+SUMIFS('changes2_based on steps'!$B182:$U182,'changes2_based on steps'!$B$1:$U$1,D$1)</f>
        <v>0</v>
      </c>
      <c r="E182" s="140">
        <f>SUMIFS('recurring2_based on steps'!$B182:$AY182,'recurring2_based on steps'!$B$1:$AY$1,E$1)+SUMIFS('changes2_based on steps'!$B182:$U182,'changes2_based on steps'!$B$1:$U$1,E$1)</f>
        <v>0</v>
      </c>
      <c r="F182" s="140">
        <f>SUMIFS('recurring2_based on steps'!$B182:$AY182,'recurring2_based on steps'!$B$1:$AY$1,F$1)+SUMIFS('changes2_based on steps'!$B182:$U182,'changes2_based on steps'!$B$1:$U$1,F$1)</f>
        <v>0</v>
      </c>
      <c r="G182" s="140">
        <f>SUMIFS('recurring2_based on steps'!$B182:$AY182,'recurring2_based on steps'!$B$1:$AY$1,G$1)+SUMIFS('changes2_based on steps'!$B182:$U182,'changes2_based on steps'!$B$1:$U$1,G$1)</f>
        <v>0</v>
      </c>
      <c r="H182" s="140">
        <f>SUMIFS('recurring2_based on steps'!$B182:$AY182,'recurring2_based on steps'!$B$1:$AY$1,H$1)+SUMIFS('changes2_based on steps'!$B182:$U182,'changes2_based on steps'!$B$1:$U$1,H$1)</f>
        <v>0</v>
      </c>
      <c r="I182" s="140">
        <f>SUMIFS('recurring2_based on steps'!$B182:$AY182,'recurring2_based on steps'!$B$1:$AY$1,I$1)+SUMIFS('changes2_based on steps'!$B182:$U182,'changes2_based on steps'!$B$1:$U$1,I$1)</f>
        <v>0</v>
      </c>
      <c r="J182" s="140">
        <f ca="1">SUMIFS('recurring2_based on steps'!$B182:$AY182,'recurring2_based on steps'!$B$1:$AY$1,J$1)+SUMIFS('changes2_based on steps'!$B182:$U182,'changes2_based on steps'!$B$1:$U$1,J$1)</f>
        <v>0</v>
      </c>
      <c r="K182" s="140">
        <f>SUMIFS('recurring2_based on steps'!$B182:$AY182,'recurring2_based on steps'!$B$1:$AY$1,K$1)+SUMIFS('changes2_based on steps'!$B182:$U182,'changes2_based on steps'!$B$1:$U$1,K$1)</f>
        <v>0</v>
      </c>
      <c r="L182" s="140">
        <f>SUMIFS('recurring2_based on steps'!$B182:$AY182,'recurring2_based on steps'!$B$1:$AY$1,L$1)+SUMIFS('changes2_based on steps'!$B182:$U182,'changes2_based on steps'!$B$1:$U$1,L$1)</f>
        <v>0</v>
      </c>
      <c r="M182" s="140">
        <f>SUMIFS('recurring2_based on steps'!$B182:$AY182,'recurring2_based on steps'!$B$1:$AY$1,M$1)+SUMIFS('changes2_based on steps'!$B182:$U182,'changes2_based on steps'!$B$1:$U$1,M$1)</f>
        <v>0</v>
      </c>
      <c r="N182" s="140">
        <f ca="1">SUMIFS('recurring2_based on steps'!$B182:$AY182,'recurring2_based on steps'!$B$1:$AY$1,N$1)+SUMIFS('changes2_based on steps'!$B182:$U182,'changes2_based on steps'!$B$1:$U$1,N$1)</f>
        <v>0</v>
      </c>
      <c r="O182" s="140">
        <f>SUMIFS('recurring2_based on steps'!$B182:$AY182,'recurring2_based on steps'!$B$1:$AY$1,O$1)+SUMIFS('changes2_based on steps'!$B182:$U182,'changes2_based on steps'!$B$1:$U$1,O$1)</f>
        <v>0</v>
      </c>
      <c r="P182" s="140">
        <f ca="1">SUMIFS('recurring2_based on steps'!$B182:$AY182,'recurring2_based on steps'!$B$1:$AY$1,P$1)+SUMIFS('changes2_based on steps'!$B182:$U182,'changes2_based on steps'!$B$1:$U$1,P$1)</f>
        <v>0</v>
      </c>
      <c r="Q182" s="140">
        <f ca="1">SUMIFS('recurring2_based on steps'!$B182:$AY182,'recurring2_based on steps'!$B$1:$AY$1,Q$1)+SUMIFS('changes2_based on steps'!$B182:$U182,'changes2_based on steps'!$B$1:$U$1,Q$1)</f>
        <v>5.5401662049861494E-2</v>
      </c>
      <c r="R182" s="140">
        <f ca="1">SUMIFS('recurring2_based on steps'!$B182:$AY182,'recurring2_based on steps'!$B$1:$AY$1,R$1)+SUMIFS('changes2_based on steps'!$B182:$U182,'changes2_based on steps'!$B$1:$U$1,R$1)</f>
        <v>0</v>
      </c>
      <c r="S182" s="140">
        <f>SUMIFS('recurring2_based on steps'!$B182:$AY182,'recurring2_based on steps'!$B$1:$AY$1,S$1)+SUMIFS('changes2_based on steps'!$B182:$U182,'changes2_based on steps'!$B$1:$U$1,S$1)</f>
        <v>0</v>
      </c>
      <c r="T182" s="140">
        <f ca="1">SUMIFS('recurring2_based on steps'!$B182:$AY182,'recurring2_based on steps'!$B$1:$AY$1,T$1)+SUMIFS('changes2_based on steps'!$B182:$U182,'changes2_based on steps'!$B$1:$U$1,T$1)</f>
        <v>0</v>
      </c>
      <c r="U182" s="140">
        <f ca="1">SUMIFS('recurring2_based on steps'!$B182:$AY182,'recurring2_based on steps'!$B$1:$AY$1,U$1)+SUMIFS('changes2_based on steps'!$B182:$U182,'changes2_based on steps'!$B$1:$U$1,U$1)</f>
        <v>0</v>
      </c>
      <c r="V182" s="140">
        <f>SUMIFS('recurring2_based on steps'!$B182:$AY182,'recurring2_based on steps'!$B$1:$AY$1,V$1)+SUMIFS('changes2_based on steps'!$B182:$U182,'changes2_based on steps'!$B$1:$U$1,V$1)</f>
        <v>0</v>
      </c>
      <c r="W182" s="140">
        <f>SUMIFS('recurring2_based on steps'!$B182:$AY182,'recurring2_based on steps'!$B$1:$AY$1,W$1)+SUMIFS('changes2_based on steps'!$B182:$U182,'changes2_based on steps'!$B$1:$U$1,W$1)</f>
        <v>0</v>
      </c>
      <c r="X182" s="140">
        <f ca="1">SUMIFS('recurring2_based on steps'!$B182:$AY182,'recurring2_based on steps'!$B$1:$AY$1,X$1)+SUMIFS('changes2_based on steps'!$B182:$U182,'changes2_based on steps'!$B$1:$U$1,X$1)</f>
        <v>0</v>
      </c>
      <c r="Y182" s="140">
        <f ca="1">SUMIFS('recurring2_based on steps'!$B182:$AY182,'recurring2_based on steps'!$B$1:$AY$1,Y$1)+SUMIFS('changes2_based on steps'!$B182:$U182,'changes2_based on steps'!$B$1:$U$1,Y$1)</f>
        <v>0</v>
      </c>
      <c r="Z182" s="140">
        <f>SUMIFS('recurring2_based on steps'!$B182:$AY182,'recurring2_based on steps'!$B$1:$AY$1,Z$1)+SUMIFS('changes2_based on steps'!$B182:$U182,'changes2_based on steps'!$B$1:$U$1,Z$1)</f>
        <v>0</v>
      </c>
      <c r="AA182" s="140">
        <f ca="1">SUMIFS('recurring2_based on steps'!$B182:$AY182,'recurring2_based on steps'!$B$1:$AY$1,AA$1)+SUMIFS('changes2_based on steps'!$B182:$U182,'changes2_based on steps'!$B$1:$U$1,AA$1)</f>
        <v>50</v>
      </c>
      <c r="AB182" s="140">
        <f ca="1">SUMIFS('recurring2_based on steps'!$B182:$AY182,'recurring2_based on steps'!$B$1:$AY$1,AB$1)+SUMIFS('changes2_based on steps'!$B182:$U182,'changes2_based on steps'!$B$1:$U$1,AB$1)</f>
        <v>0</v>
      </c>
      <c r="AC182" s="140">
        <f ca="1">SUMIFS('recurring2_based on steps'!$B182:$AY182,'recurring2_based on steps'!$B$1:$AY$1,AC$1)+SUMIFS('changes2_based on steps'!$B182:$U182,'changes2_based on steps'!$B$1:$U$1,AC$1)</f>
        <v>0</v>
      </c>
      <c r="AD182" s="140">
        <f ca="1">SUMIFS('recurring2_based on steps'!$B182:$AY182,'recurring2_based on steps'!$B$1:$AY$1,AD$1)+SUMIFS('changes2_based on steps'!$B182:$U182,'changes2_based on steps'!$B$1:$U$1,AD$1)</f>
        <v>0</v>
      </c>
      <c r="AE182" s="140">
        <f>SUMIFS('recurring2_based on steps'!$B182:$AY182,'recurring2_based on steps'!$B$1:$AY$1,AE$1)+SUMIFS('changes2_based on steps'!$B182:$U182,'changes2_based on steps'!$B$1:$U$1,AE$1)</f>
        <v>0</v>
      </c>
      <c r="AF182" s="140"/>
      <c r="AG182" s="140"/>
      <c r="AH182" s="140"/>
      <c r="AI182" s="140"/>
      <c r="AJ182" s="140"/>
      <c r="AK182" s="140"/>
      <c r="AL182" s="140"/>
      <c r="AM182" s="140"/>
    </row>
    <row r="183" spans="1:39" x14ac:dyDescent="0.2">
      <c r="A183" s="29">
        <f t="shared" ca="1" si="2"/>
        <v>45923</v>
      </c>
      <c r="B183" s="140">
        <f ca="1">SUMIFS('recurring2_based on steps'!$B183:$AY183,'recurring2_based on steps'!$B$1:$AY$1,B$1)+SUMIFS('changes2_based on steps'!$B183:$U183,'changes2_based on steps'!$B$1:$U$1,B$1)</f>
        <v>0</v>
      </c>
      <c r="C183" s="140">
        <f>SUMIFS('recurring2_based on steps'!$B183:$AY183,'recurring2_based on steps'!$B$1:$AY$1,C$1)+SUMIFS('changes2_based on steps'!$B183:$U183,'changes2_based on steps'!$B$1:$U$1,C$1)</f>
        <v>0</v>
      </c>
      <c r="D183" s="140">
        <f>SUMIFS('recurring2_based on steps'!$B183:$AY183,'recurring2_based on steps'!$B$1:$AY$1,D$1)+SUMIFS('changes2_based on steps'!$B183:$U183,'changes2_based on steps'!$B$1:$U$1,D$1)</f>
        <v>0</v>
      </c>
      <c r="E183" s="140">
        <f>SUMIFS('recurring2_based on steps'!$B183:$AY183,'recurring2_based on steps'!$B$1:$AY$1,E$1)+SUMIFS('changes2_based on steps'!$B183:$U183,'changes2_based on steps'!$B$1:$U$1,E$1)</f>
        <v>0</v>
      </c>
      <c r="F183" s="140">
        <f>SUMIFS('recurring2_based on steps'!$B183:$AY183,'recurring2_based on steps'!$B$1:$AY$1,F$1)+SUMIFS('changes2_based on steps'!$B183:$U183,'changes2_based on steps'!$B$1:$U$1,F$1)</f>
        <v>0</v>
      </c>
      <c r="G183" s="140">
        <f>SUMIFS('recurring2_based on steps'!$B183:$AY183,'recurring2_based on steps'!$B$1:$AY$1,G$1)+SUMIFS('changes2_based on steps'!$B183:$U183,'changes2_based on steps'!$B$1:$U$1,G$1)</f>
        <v>0</v>
      </c>
      <c r="H183" s="140">
        <f>SUMIFS('recurring2_based on steps'!$B183:$AY183,'recurring2_based on steps'!$B$1:$AY$1,H$1)+SUMIFS('changes2_based on steps'!$B183:$U183,'changes2_based on steps'!$B$1:$U$1,H$1)</f>
        <v>0</v>
      </c>
      <c r="I183" s="140">
        <f>SUMIFS('recurring2_based on steps'!$B183:$AY183,'recurring2_based on steps'!$B$1:$AY$1,I$1)+SUMIFS('changes2_based on steps'!$B183:$U183,'changes2_based on steps'!$B$1:$U$1,I$1)</f>
        <v>0</v>
      </c>
      <c r="J183" s="140">
        <f ca="1">SUMIFS('recurring2_based on steps'!$B183:$AY183,'recurring2_based on steps'!$B$1:$AY$1,J$1)+SUMIFS('changes2_based on steps'!$B183:$U183,'changes2_based on steps'!$B$1:$U$1,J$1)</f>
        <v>0</v>
      </c>
      <c r="K183" s="140">
        <f>SUMIFS('recurring2_based on steps'!$B183:$AY183,'recurring2_based on steps'!$B$1:$AY$1,K$1)+SUMIFS('changes2_based on steps'!$B183:$U183,'changes2_based on steps'!$B$1:$U$1,K$1)</f>
        <v>0</v>
      </c>
      <c r="L183" s="140">
        <f>SUMIFS('recurring2_based on steps'!$B183:$AY183,'recurring2_based on steps'!$B$1:$AY$1,L$1)+SUMIFS('changes2_based on steps'!$B183:$U183,'changes2_based on steps'!$B$1:$U$1,L$1)</f>
        <v>0</v>
      </c>
      <c r="M183" s="140">
        <f>SUMIFS('recurring2_based on steps'!$B183:$AY183,'recurring2_based on steps'!$B$1:$AY$1,M$1)+SUMIFS('changes2_based on steps'!$B183:$U183,'changes2_based on steps'!$B$1:$U$1,M$1)</f>
        <v>0</v>
      </c>
      <c r="N183" s="140">
        <f ca="1">SUMIFS('recurring2_based on steps'!$B183:$AY183,'recurring2_based on steps'!$B$1:$AY$1,N$1)+SUMIFS('changes2_based on steps'!$B183:$U183,'changes2_based on steps'!$B$1:$U$1,N$1)</f>
        <v>0</v>
      </c>
      <c r="O183" s="140">
        <f>SUMIFS('recurring2_based on steps'!$B183:$AY183,'recurring2_based on steps'!$B$1:$AY$1,O$1)+SUMIFS('changes2_based on steps'!$B183:$U183,'changes2_based on steps'!$B$1:$U$1,O$1)</f>
        <v>0</v>
      </c>
      <c r="P183" s="140">
        <f ca="1">SUMIFS('recurring2_based on steps'!$B183:$AY183,'recurring2_based on steps'!$B$1:$AY$1,P$1)+SUMIFS('changes2_based on steps'!$B183:$U183,'changes2_based on steps'!$B$1:$U$1,P$1)</f>
        <v>0</v>
      </c>
      <c r="Q183" s="140">
        <f ca="1">SUMIFS('recurring2_based on steps'!$B183:$AY183,'recurring2_based on steps'!$B$1:$AY$1,Q$1)+SUMIFS('changes2_based on steps'!$B183:$U183,'changes2_based on steps'!$B$1:$U$1,Q$1)</f>
        <v>5.5401662049861494E-2</v>
      </c>
      <c r="R183" s="140">
        <f ca="1">SUMIFS('recurring2_based on steps'!$B183:$AY183,'recurring2_based on steps'!$B$1:$AY$1,R$1)+SUMIFS('changes2_based on steps'!$B183:$U183,'changes2_based on steps'!$B$1:$U$1,R$1)</f>
        <v>0</v>
      </c>
      <c r="S183" s="140">
        <f>SUMIFS('recurring2_based on steps'!$B183:$AY183,'recurring2_based on steps'!$B$1:$AY$1,S$1)+SUMIFS('changes2_based on steps'!$B183:$U183,'changes2_based on steps'!$B$1:$U$1,S$1)</f>
        <v>0</v>
      </c>
      <c r="T183" s="140">
        <f ca="1">SUMIFS('recurring2_based on steps'!$B183:$AY183,'recurring2_based on steps'!$B$1:$AY$1,T$1)+SUMIFS('changes2_based on steps'!$B183:$U183,'changes2_based on steps'!$B$1:$U$1,T$1)</f>
        <v>0</v>
      </c>
      <c r="U183" s="140">
        <f ca="1">SUMIFS('recurring2_based on steps'!$B183:$AY183,'recurring2_based on steps'!$B$1:$AY$1,U$1)+SUMIFS('changes2_based on steps'!$B183:$U183,'changes2_based on steps'!$B$1:$U$1,U$1)</f>
        <v>0</v>
      </c>
      <c r="V183" s="140">
        <f>SUMIFS('recurring2_based on steps'!$B183:$AY183,'recurring2_based on steps'!$B$1:$AY$1,V$1)+SUMIFS('changes2_based on steps'!$B183:$U183,'changes2_based on steps'!$B$1:$U$1,V$1)</f>
        <v>0</v>
      </c>
      <c r="W183" s="140">
        <f>SUMIFS('recurring2_based on steps'!$B183:$AY183,'recurring2_based on steps'!$B$1:$AY$1,W$1)+SUMIFS('changes2_based on steps'!$B183:$U183,'changes2_based on steps'!$B$1:$U$1,W$1)</f>
        <v>0</v>
      </c>
      <c r="X183" s="140">
        <f ca="1">SUMIFS('recurring2_based on steps'!$B183:$AY183,'recurring2_based on steps'!$B$1:$AY$1,X$1)+SUMIFS('changes2_based on steps'!$B183:$U183,'changes2_based on steps'!$B$1:$U$1,X$1)</f>
        <v>0</v>
      </c>
      <c r="Y183" s="140">
        <f ca="1">SUMIFS('recurring2_based on steps'!$B183:$AY183,'recurring2_based on steps'!$B$1:$AY$1,Y$1)+SUMIFS('changes2_based on steps'!$B183:$U183,'changes2_based on steps'!$B$1:$U$1,Y$1)</f>
        <v>0</v>
      </c>
      <c r="Z183" s="140">
        <f>SUMIFS('recurring2_based on steps'!$B183:$AY183,'recurring2_based on steps'!$B$1:$AY$1,Z$1)+SUMIFS('changes2_based on steps'!$B183:$U183,'changes2_based on steps'!$B$1:$U$1,Z$1)</f>
        <v>0</v>
      </c>
      <c r="AA183" s="140">
        <f ca="1">SUMIFS('recurring2_based on steps'!$B183:$AY183,'recurring2_based on steps'!$B$1:$AY$1,AA$1)+SUMIFS('changes2_based on steps'!$B183:$U183,'changes2_based on steps'!$B$1:$U$1,AA$1)</f>
        <v>0</v>
      </c>
      <c r="AB183" s="140">
        <f ca="1">SUMIFS('recurring2_based on steps'!$B183:$AY183,'recurring2_based on steps'!$B$1:$AY$1,AB$1)+SUMIFS('changes2_based on steps'!$B183:$U183,'changes2_based on steps'!$B$1:$U$1,AB$1)</f>
        <v>0</v>
      </c>
      <c r="AC183" s="140">
        <f ca="1">SUMIFS('recurring2_based on steps'!$B183:$AY183,'recurring2_based on steps'!$B$1:$AY$1,AC$1)+SUMIFS('changes2_based on steps'!$B183:$U183,'changes2_based on steps'!$B$1:$U$1,AC$1)</f>
        <v>0</v>
      </c>
      <c r="AD183" s="140">
        <f ca="1">SUMIFS('recurring2_based on steps'!$B183:$AY183,'recurring2_based on steps'!$B$1:$AY$1,AD$1)+SUMIFS('changes2_based on steps'!$B183:$U183,'changes2_based on steps'!$B$1:$U$1,AD$1)</f>
        <v>0</v>
      </c>
      <c r="AE183" s="140">
        <f>SUMIFS('recurring2_based on steps'!$B183:$AY183,'recurring2_based on steps'!$B$1:$AY$1,AE$1)+SUMIFS('changes2_based on steps'!$B183:$U183,'changes2_based on steps'!$B$1:$U$1,AE$1)</f>
        <v>0</v>
      </c>
      <c r="AF183" s="140"/>
      <c r="AG183" s="140"/>
      <c r="AH183" s="140"/>
      <c r="AI183" s="140"/>
      <c r="AJ183" s="140"/>
      <c r="AK183" s="140"/>
      <c r="AL183" s="140"/>
      <c r="AM183" s="140"/>
    </row>
    <row r="184" spans="1:39" x14ac:dyDescent="0.2">
      <c r="A184" s="29">
        <f t="shared" ca="1" si="2"/>
        <v>45924</v>
      </c>
      <c r="B184" s="140">
        <f ca="1">SUMIFS('recurring2_based on steps'!$B184:$AY184,'recurring2_based on steps'!$B$1:$AY$1,B$1)+SUMIFS('changes2_based on steps'!$B184:$U184,'changes2_based on steps'!$B$1:$U$1,B$1)</f>
        <v>0</v>
      </c>
      <c r="C184" s="140">
        <f>SUMIFS('recurring2_based on steps'!$B184:$AY184,'recurring2_based on steps'!$B$1:$AY$1,C$1)+SUMIFS('changes2_based on steps'!$B184:$U184,'changes2_based on steps'!$B$1:$U$1,C$1)</f>
        <v>0</v>
      </c>
      <c r="D184" s="140">
        <f>SUMIFS('recurring2_based on steps'!$B184:$AY184,'recurring2_based on steps'!$B$1:$AY$1,D$1)+SUMIFS('changes2_based on steps'!$B184:$U184,'changes2_based on steps'!$B$1:$U$1,D$1)</f>
        <v>0</v>
      </c>
      <c r="E184" s="140">
        <f>SUMIFS('recurring2_based on steps'!$B184:$AY184,'recurring2_based on steps'!$B$1:$AY$1,E$1)+SUMIFS('changes2_based on steps'!$B184:$U184,'changes2_based on steps'!$B$1:$U$1,E$1)</f>
        <v>0</v>
      </c>
      <c r="F184" s="140">
        <f>SUMIFS('recurring2_based on steps'!$B184:$AY184,'recurring2_based on steps'!$B$1:$AY$1,F$1)+SUMIFS('changes2_based on steps'!$B184:$U184,'changes2_based on steps'!$B$1:$U$1,F$1)</f>
        <v>0</v>
      </c>
      <c r="G184" s="140">
        <f>SUMIFS('recurring2_based on steps'!$B184:$AY184,'recurring2_based on steps'!$B$1:$AY$1,G$1)+SUMIFS('changes2_based on steps'!$B184:$U184,'changes2_based on steps'!$B$1:$U$1,G$1)</f>
        <v>0</v>
      </c>
      <c r="H184" s="140">
        <f>SUMIFS('recurring2_based on steps'!$B184:$AY184,'recurring2_based on steps'!$B$1:$AY$1,H$1)+SUMIFS('changes2_based on steps'!$B184:$U184,'changes2_based on steps'!$B$1:$U$1,H$1)</f>
        <v>0</v>
      </c>
      <c r="I184" s="140">
        <f>SUMIFS('recurring2_based on steps'!$B184:$AY184,'recurring2_based on steps'!$B$1:$AY$1,I$1)+SUMIFS('changes2_based on steps'!$B184:$U184,'changes2_based on steps'!$B$1:$U$1,I$1)</f>
        <v>0</v>
      </c>
      <c r="J184" s="140">
        <f ca="1">SUMIFS('recurring2_based on steps'!$B184:$AY184,'recurring2_based on steps'!$B$1:$AY$1,J$1)+SUMIFS('changes2_based on steps'!$B184:$U184,'changes2_based on steps'!$B$1:$U$1,J$1)</f>
        <v>0</v>
      </c>
      <c r="K184" s="140">
        <f>SUMIFS('recurring2_based on steps'!$B184:$AY184,'recurring2_based on steps'!$B$1:$AY$1,K$1)+SUMIFS('changes2_based on steps'!$B184:$U184,'changes2_based on steps'!$B$1:$U$1,K$1)</f>
        <v>0</v>
      </c>
      <c r="L184" s="140">
        <f>SUMIFS('recurring2_based on steps'!$B184:$AY184,'recurring2_based on steps'!$B$1:$AY$1,L$1)+SUMIFS('changes2_based on steps'!$B184:$U184,'changes2_based on steps'!$B$1:$U$1,L$1)</f>
        <v>0</v>
      </c>
      <c r="M184" s="140">
        <f>SUMIFS('recurring2_based on steps'!$B184:$AY184,'recurring2_based on steps'!$B$1:$AY$1,M$1)+SUMIFS('changes2_based on steps'!$B184:$U184,'changes2_based on steps'!$B$1:$U$1,M$1)</f>
        <v>0</v>
      </c>
      <c r="N184" s="140">
        <f ca="1">SUMIFS('recurring2_based on steps'!$B184:$AY184,'recurring2_based on steps'!$B$1:$AY$1,N$1)+SUMIFS('changes2_based on steps'!$B184:$U184,'changes2_based on steps'!$B$1:$U$1,N$1)</f>
        <v>0</v>
      </c>
      <c r="O184" s="140">
        <f>SUMIFS('recurring2_based on steps'!$B184:$AY184,'recurring2_based on steps'!$B$1:$AY$1,O$1)+SUMIFS('changes2_based on steps'!$B184:$U184,'changes2_based on steps'!$B$1:$U$1,O$1)</f>
        <v>0</v>
      </c>
      <c r="P184" s="140">
        <f ca="1">SUMIFS('recurring2_based on steps'!$B184:$AY184,'recurring2_based on steps'!$B$1:$AY$1,P$1)+SUMIFS('changes2_based on steps'!$B184:$U184,'changes2_based on steps'!$B$1:$U$1,P$1)</f>
        <v>0</v>
      </c>
      <c r="Q184" s="140">
        <f ca="1">SUMIFS('recurring2_based on steps'!$B184:$AY184,'recurring2_based on steps'!$B$1:$AY$1,Q$1)+SUMIFS('changes2_based on steps'!$B184:$U184,'changes2_based on steps'!$B$1:$U$1,Q$1)</f>
        <v>5.5401662049861494E-2</v>
      </c>
      <c r="R184" s="140">
        <f ca="1">SUMIFS('recurring2_based on steps'!$B184:$AY184,'recurring2_based on steps'!$B$1:$AY$1,R$1)+SUMIFS('changes2_based on steps'!$B184:$U184,'changes2_based on steps'!$B$1:$U$1,R$1)</f>
        <v>0</v>
      </c>
      <c r="S184" s="140">
        <f>SUMIFS('recurring2_based on steps'!$B184:$AY184,'recurring2_based on steps'!$B$1:$AY$1,S$1)+SUMIFS('changes2_based on steps'!$B184:$U184,'changes2_based on steps'!$B$1:$U$1,S$1)</f>
        <v>0</v>
      </c>
      <c r="T184" s="140">
        <f ca="1">SUMIFS('recurring2_based on steps'!$B184:$AY184,'recurring2_based on steps'!$B$1:$AY$1,T$1)+SUMIFS('changes2_based on steps'!$B184:$U184,'changes2_based on steps'!$B$1:$U$1,T$1)</f>
        <v>0</v>
      </c>
      <c r="U184" s="140">
        <f ca="1">SUMIFS('recurring2_based on steps'!$B184:$AY184,'recurring2_based on steps'!$B$1:$AY$1,U$1)+SUMIFS('changes2_based on steps'!$B184:$U184,'changes2_based on steps'!$B$1:$U$1,U$1)</f>
        <v>0</v>
      </c>
      <c r="V184" s="140">
        <f>SUMIFS('recurring2_based on steps'!$B184:$AY184,'recurring2_based on steps'!$B$1:$AY$1,V$1)+SUMIFS('changes2_based on steps'!$B184:$U184,'changes2_based on steps'!$B$1:$U$1,V$1)</f>
        <v>0</v>
      </c>
      <c r="W184" s="140">
        <f>SUMIFS('recurring2_based on steps'!$B184:$AY184,'recurring2_based on steps'!$B$1:$AY$1,W$1)+SUMIFS('changes2_based on steps'!$B184:$U184,'changes2_based on steps'!$B$1:$U$1,W$1)</f>
        <v>0</v>
      </c>
      <c r="X184" s="140">
        <f ca="1">SUMIFS('recurring2_based on steps'!$B184:$AY184,'recurring2_based on steps'!$B$1:$AY$1,X$1)+SUMIFS('changes2_based on steps'!$B184:$U184,'changes2_based on steps'!$B$1:$U$1,X$1)</f>
        <v>0</v>
      </c>
      <c r="Y184" s="140">
        <f ca="1">SUMIFS('recurring2_based on steps'!$B184:$AY184,'recurring2_based on steps'!$B$1:$AY$1,Y$1)+SUMIFS('changes2_based on steps'!$B184:$U184,'changes2_based on steps'!$B$1:$U$1,Y$1)</f>
        <v>0</v>
      </c>
      <c r="Z184" s="140">
        <f>SUMIFS('recurring2_based on steps'!$B184:$AY184,'recurring2_based on steps'!$B$1:$AY$1,Z$1)+SUMIFS('changes2_based on steps'!$B184:$U184,'changes2_based on steps'!$B$1:$U$1,Z$1)</f>
        <v>0</v>
      </c>
      <c r="AA184" s="140">
        <f ca="1">SUMIFS('recurring2_based on steps'!$B184:$AY184,'recurring2_based on steps'!$B$1:$AY$1,AA$1)+SUMIFS('changes2_based on steps'!$B184:$U184,'changes2_based on steps'!$B$1:$U$1,AA$1)</f>
        <v>0</v>
      </c>
      <c r="AB184" s="140">
        <f ca="1">SUMIFS('recurring2_based on steps'!$B184:$AY184,'recurring2_based on steps'!$B$1:$AY$1,AB$1)+SUMIFS('changes2_based on steps'!$B184:$U184,'changes2_based on steps'!$B$1:$U$1,AB$1)</f>
        <v>0</v>
      </c>
      <c r="AC184" s="140">
        <f ca="1">SUMIFS('recurring2_based on steps'!$B184:$AY184,'recurring2_based on steps'!$B$1:$AY$1,AC$1)+SUMIFS('changes2_based on steps'!$B184:$U184,'changes2_based on steps'!$B$1:$U$1,AC$1)</f>
        <v>0</v>
      </c>
      <c r="AD184" s="140">
        <f ca="1">SUMIFS('recurring2_based on steps'!$B184:$AY184,'recurring2_based on steps'!$B$1:$AY$1,AD$1)+SUMIFS('changes2_based on steps'!$B184:$U184,'changes2_based on steps'!$B$1:$U$1,AD$1)</f>
        <v>0</v>
      </c>
      <c r="AE184" s="140">
        <f>SUMIFS('recurring2_based on steps'!$B184:$AY184,'recurring2_based on steps'!$B$1:$AY$1,AE$1)+SUMIFS('changes2_based on steps'!$B184:$U184,'changes2_based on steps'!$B$1:$U$1,AE$1)</f>
        <v>0</v>
      </c>
      <c r="AF184" s="140"/>
      <c r="AG184" s="140"/>
      <c r="AH184" s="140"/>
      <c r="AI184" s="140"/>
      <c r="AJ184" s="140"/>
      <c r="AK184" s="140"/>
      <c r="AL184" s="140"/>
      <c r="AM184" s="140"/>
    </row>
    <row r="185" spans="1:39" x14ac:dyDescent="0.2">
      <c r="A185" s="29">
        <f t="shared" ca="1" si="2"/>
        <v>45925</v>
      </c>
      <c r="B185" s="140">
        <f ca="1">SUMIFS('recurring2_based on steps'!$B185:$AY185,'recurring2_based on steps'!$B$1:$AY$1,B$1)+SUMIFS('changes2_based on steps'!$B185:$U185,'changes2_based on steps'!$B$1:$U$1,B$1)</f>
        <v>0</v>
      </c>
      <c r="C185" s="140">
        <f>SUMIFS('recurring2_based on steps'!$B185:$AY185,'recurring2_based on steps'!$B$1:$AY$1,C$1)+SUMIFS('changes2_based on steps'!$B185:$U185,'changes2_based on steps'!$B$1:$U$1,C$1)</f>
        <v>0</v>
      </c>
      <c r="D185" s="140">
        <f>SUMIFS('recurring2_based on steps'!$B185:$AY185,'recurring2_based on steps'!$B$1:$AY$1,D$1)+SUMIFS('changes2_based on steps'!$B185:$U185,'changes2_based on steps'!$B$1:$U$1,D$1)</f>
        <v>0</v>
      </c>
      <c r="E185" s="140">
        <f>SUMIFS('recurring2_based on steps'!$B185:$AY185,'recurring2_based on steps'!$B$1:$AY$1,E$1)+SUMIFS('changes2_based on steps'!$B185:$U185,'changes2_based on steps'!$B$1:$U$1,E$1)</f>
        <v>0</v>
      </c>
      <c r="F185" s="140">
        <f>SUMIFS('recurring2_based on steps'!$B185:$AY185,'recurring2_based on steps'!$B$1:$AY$1,F$1)+SUMIFS('changes2_based on steps'!$B185:$U185,'changes2_based on steps'!$B$1:$U$1,F$1)</f>
        <v>0</v>
      </c>
      <c r="G185" s="140">
        <f>SUMIFS('recurring2_based on steps'!$B185:$AY185,'recurring2_based on steps'!$B$1:$AY$1,G$1)+SUMIFS('changes2_based on steps'!$B185:$U185,'changes2_based on steps'!$B$1:$U$1,G$1)</f>
        <v>0</v>
      </c>
      <c r="H185" s="140">
        <f>SUMIFS('recurring2_based on steps'!$B185:$AY185,'recurring2_based on steps'!$B$1:$AY$1,H$1)+SUMIFS('changes2_based on steps'!$B185:$U185,'changes2_based on steps'!$B$1:$U$1,H$1)</f>
        <v>0</v>
      </c>
      <c r="I185" s="140">
        <f>SUMIFS('recurring2_based on steps'!$B185:$AY185,'recurring2_based on steps'!$B$1:$AY$1,I$1)+SUMIFS('changes2_based on steps'!$B185:$U185,'changes2_based on steps'!$B$1:$U$1,I$1)</f>
        <v>0</v>
      </c>
      <c r="J185" s="140">
        <f ca="1">SUMIFS('recurring2_based on steps'!$B185:$AY185,'recurring2_based on steps'!$B$1:$AY$1,J$1)+SUMIFS('changes2_based on steps'!$B185:$U185,'changes2_based on steps'!$B$1:$U$1,J$1)</f>
        <v>0</v>
      </c>
      <c r="K185" s="140">
        <f>SUMIFS('recurring2_based on steps'!$B185:$AY185,'recurring2_based on steps'!$B$1:$AY$1,K$1)+SUMIFS('changes2_based on steps'!$B185:$U185,'changes2_based on steps'!$B$1:$U$1,K$1)</f>
        <v>0</v>
      </c>
      <c r="L185" s="140">
        <f>SUMIFS('recurring2_based on steps'!$B185:$AY185,'recurring2_based on steps'!$B$1:$AY$1,L$1)+SUMIFS('changes2_based on steps'!$B185:$U185,'changes2_based on steps'!$B$1:$U$1,L$1)</f>
        <v>0</v>
      </c>
      <c r="M185" s="140">
        <f>SUMIFS('recurring2_based on steps'!$B185:$AY185,'recurring2_based on steps'!$B$1:$AY$1,M$1)+SUMIFS('changes2_based on steps'!$B185:$U185,'changes2_based on steps'!$B$1:$U$1,M$1)</f>
        <v>0</v>
      </c>
      <c r="N185" s="140">
        <f ca="1">SUMIFS('recurring2_based on steps'!$B185:$AY185,'recurring2_based on steps'!$B$1:$AY$1,N$1)+SUMIFS('changes2_based on steps'!$B185:$U185,'changes2_based on steps'!$B$1:$U$1,N$1)</f>
        <v>0</v>
      </c>
      <c r="O185" s="140">
        <f>SUMIFS('recurring2_based on steps'!$B185:$AY185,'recurring2_based on steps'!$B$1:$AY$1,O$1)+SUMIFS('changes2_based on steps'!$B185:$U185,'changes2_based on steps'!$B$1:$U$1,O$1)</f>
        <v>0</v>
      </c>
      <c r="P185" s="140">
        <f ca="1">SUMIFS('recurring2_based on steps'!$B185:$AY185,'recurring2_based on steps'!$B$1:$AY$1,P$1)+SUMIFS('changes2_based on steps'!$B185:$U185,'changes2_based on steps'!$B$1:$U$1,P$1)</f>
        <v>0</v>
      </c>
      <c r="Q185" s="140">
        <f ca="1">SUMIFS('recurring2_based on steps'!$B185:$AY185,'recurring2_based on steps'!$B$1:$AY$1,Q$1)+SUMIFS('changes2_based on steps'!$B185:$U185,'changes2_based on steps'!$B$1:$U$1,Q$1)</f>
        <v>5.5401662049861494E-2</v>
      </c>
      <c r="R185" s="140">
        <f ca="1">SUMIFS('recurring2_based on steps'!$B185:$AY185,'recurring2_based on steps'!$B$1:$AY$1,R$1)+SUMIFS('changes2_based on steps'!$B185:$U185,'changes2_based on steps'!$B$1:$U$1,R$1)</f>
        <v>0</v>
      </c>
      <c r="S185" s="140">
        <f>SUMIFS('recurring2_based on steps'!$B185:$AY185,'recurring2_based on steps'!$B$1:$AY$1,S$1)+SUMIFS('changes2_based on steps'!$B185:$U185,'changes2_based on steps'!$B$1:$U$1,S$1)</f>
        <v>0</v>
      </c>
      <c r="T185" s="140">
        <f ca="1">SUMIFS('recurring2_based on steps'!$B185:$AY185,'recurring2_based on steps'!$B$1:$AY$1,T$1)+SUMIFS('changes2_based on steps'!$B185:$U185,'changes2_based on steps'!$B$1:$U$1,T$1)</f>
        <v>0</v>
      </c>
      <c r="U185" s="140">
        <f ca="1">SUMIFS('recurring2_based on steps'!$B185:$AY185,'recurring2_based on steps'!$B$1:$AY$1,U$1)+SUMIFS('changes2_based on steps'!$B185:$U185,'changes2_based on steps'!$B$1:$U$1,U$1)</f>
        <v>0</v>
      </c>
      <c r="V185" s="140">
        <f>SUMIFS('recurring2_based on steps'!$B185:$AY185,'recurring2_based on steps'!$B$1:$AY$1,V$1)+SUMIFS('changes2_based on steps'!$B185:$U185,'changes2_based on steps'!$B$1:$U$1,V$1)</f>
        <v>0</v>
      </c>
      <c r="W185" s="140">
        <f>SUMIFS('recurring2_based on steps'!$B185:$AY185,'recurring2_based on steps'!$B$1:$AY$1,W$1)+SUMIFS('changes2_based on steps'!$B185:$U185,'changes2_based on steps'!$B$1:$U$1,W$1)</f>
        <v>0</v>
      </c>
      <c r="X185" s="140">
        <f ca="1">SUMIFS('recurring2_based on steps'!$B185:$AY185,'recurring2_based on steps'!$B$1:$AY$1,X$1)+SUMIFS('changes2_based on steps'!$B185:$U185,'changes2_based on steps'!$B$1:$U$1,X$1)</f>
        <v>0</v>
      </c>
      <c r="Y185" s="140">
        <f ca="1">SUMIFS('recurring2_based on steps'!$B185:$AY185,'recurring2_based on steps'!$B$1:$AY$1,Y$1)+SUMIFS('changes2_based on steps'!$B185:$U185,'changes2_based on steps'!$B$1:$U$1,Y$1)</f>
        <v>0</v>
      </c>
      <c r="Z185" s="140">
        <f>SUMIFS('recurring2_based on steps'!$B185:$AY185,'recurring2_based on steps'!$B$1:$AY$1,Z$1)+SUMIFS('changes2_based on steps'!$B185:$U185,'changes2_based on steps'!$B$1:$U$1,Z$1)</f>
        <v>0</v>
      </c>
      <c r="AA185" s="140">
        <f ca="1">SUMIFS('recurring2_based on steps'!$B185:$AY185,'recurring2_based on steps'!$B$1:$AY$1,AA$1)+SUMIFS('changes2_based on steps'!$B185:$U185,'changes2_based on steps'!$B$1:$U$1,AA$1)</f>
        <v>0</v>
      </c>
      <c r="AB185" s="140">
        <f ca="1">SUMIFS('recurring2_based on steps'!$B185:$AY185,'recurring2_based on steps'!$B$1:$AY$1,AB$1)+SUMIFS('changes2_based on steps'!$B185:$U185,'changes2_based on steps'!$B$1:$U$1,AB$1)</f>
        <v>0</v>
      </c>
      <c r="AC185" s="140">
        <f ca="1">SUMIFS('recurring2_based on steps'!$B185:$AY185,'recurring2_based on steps'!$B$1:$AY$1,AC$1)+SUMIFS('changes2_based on steps'!$B185:$U185,'changes2_based on steps'!$B$1:$U$1,AC$1)</f>
        <v>50</v>
      </c>
      <c r="AD185" s="140">
        <f ca="1">SUMIFS('recurring2_based on steps'!$B185:$AY185,'recurring2_based on steps'!$B$1:$AY$1,AD$1)+SUMIFS('changes2_based on steps'!$B185:$U185,'changes2_based on steps'!$B$1:$U$1,AD$1)</f>
        <v>0</v>
      </c>
      <c r="AE185" s="140">
        <f>SUMIFS('recurring2_based on steps'!$B185:$AY185,'recurring2_based on steps'!$B$1:$AY$1,AE$1)+SUMIFS('changes2_based on steps'!$B185:$U185,'changes2_based on steps'!$B$1:$U$1,AE$1)</f>
        <v>0</v>
      </c>
      <c r="AF185" s="140"/>
      <c r="AG185" s="140"/>
      <c r="AH185" s="140"/>
      <c r="AI185" s="140"/>
      <c r="AJ185" s="140"/>
      <c r="AK185" s="140"/>
      <c r="AL185" s="140"/>
      <c r="AM185" s="140"/>
    </row>
    <row r="186" spans="1:39" x14ac:dyDescent="0.2">
      <c r="A186" s="29">
        <f t="shared" ca="1" si="2"/>
        <v>45926</v>
      </c>
      <c r="B186" s="140">
        <f ca="1">SUMIFS('recurring2_based on steps'!$B186:$AY186,'recurring2_based on steps'!$B$1:$AY$1,B$1)+SUMIFS('changes2_based on steps'!$B186:$U186,'changes2_based on steps'!$B$1:$U$1,B$1)</f>
        <v>0</v>
      </c>
      <c r="C186" s="140">
        <f>SUMIFS('recurring2_based on steps'!$B186:$AY186,'recurring2_based on steps'!$B$1:$AY$1,C$1)+SUMIFS('changes2_based on steps'!$B186:$U186,'changes2_based on steps'!$B$1:$U$1,C$1)</f>
        <v>0</v>
      </c>
      <c r="D186" s="140">
        <f>SUMIFS('recurring2_based on steps'!$B186:$AY186,'recurring2_based on steps'!$B$1:$AY$1,D$1)+SUMIFS('changes2_based on steps'!$B186:$U186,'changes2_based on steps'!$B$1:$U$1,D$1)</f>
        <v>0</v>
      </c>
      <c r="E186" s="140">
        <f>SUMIFS('recurring2_based on steps'!$B186:$AY186,'recurring2_based on steps'!$B$1:$AY$1,E$1)+SUMIFS('changes2_based on steps'!$B186:$U186,'changes2_based on steps'!$B$1:$U$1,E$1)</f>
        <v>0</v>
      </c>
      <c r="F186" s="140">
        <f>SUMIFS('recurring2_based on steps'!$B186:$AY186,'recurring2_based on steps'!$B$1:$AY$1,F$1)+SUMIFS('changes2_based on steps'!$B186:$U186,'changes2_based on steps'!$B$1:$U$1,F$1)</f>
        <v>0</v>
      </c>
      <c r="G186" s="140">
        <f>SUMIFS('recurring2_based on steps'!$B186:$AY186,'recurring2_based on steps'!$B$1:$AY$1,G$1)+SUMIFS('changes2_based on steps'!$B186:$U186,'changes2_based on steps'!$B$1:$U$1,G$1)</f>
        <v>0</v>
      </c>
      <c r="H186" s="140">
        <f>SUMIFS('recurring2_based on steps'!$B186:$AY186,'recurring2_based on steps'!$B$1:$AY$1,H$1)+SUMIFS('changes2_based on steps'!$B186:$U186,'changes2_based on steps'!$B$1:$U$1,H$1)</f>
        <v>0</v>
      </c>
      <c r="I186" s="140">
        <f>SUMIFS('recurring2_based on steps'!$B186:$AY186,'recurring2_based on steps'!$B$1:$AY$1,I$1)+SUMIFS('changes2_based on steps'!$B186:$U186,'changes2_based on steps'!$B$1:$U$1,I$1)</f>
        <v>0</v>
      </c>
      <c r="J186" s="140">
        <f ca="1">SUMIFS('recurring2_based on steps'!$B186:$AY186,'recurring2_based on steps'!$B$1:$AY$1,J$1)+SUMIFS('changes2_based on steps'!$B186:$U186,'changes2_based on steps'!$B$1:$U$1,J$1)</f>
        <v>0</v>
      </c>
      <c r="K186" s="140">
        <f>SUMIFS('recurring2_based on steps'!$B186:$AY186,'recurring2_based on steps'!$B$1:$AY$1,K$1)+SUMIFS('changes2_based on steps'!$B186:$U186,'changes2_based on steps'!$B$1:$U$1,K$1)</f>
        <v>0</v>
      </c>
      <c r="L186" s="140">
        <f>SUMIFS('recurring2_based on steps'!$B186:$AY186,'recurring2_based on steps'!$B$1:$AY$1,L$1)+SUMIFS('changes2_based on steps'!$B186:$U186,'changes2_based on steps'!$B$1:$U$1,L$1)</f>
        <v>0</v>
      </c>
      <c r="M186" s="140">
        <f>SUMIFS('recurring2_based on steps'!$B186:$AY186,'recurring2_based on steps'!$B$1:$AY$1,M$1)+SUMIFS('changes2_based on steps'!$B186:$U186,'changes2_based on steps'!$B$1:$U$1,M$1)</f>
        <v>0</v>
      </c>
      <c r="N186" s="140">
        <f ca="1">SUMIFS('recurring2_based on steps'!$B186:$AY186,'recurring2_based on steps'!$B$1:$AY$1,N$1)+SUMIFS('changes2_based on steps'!$B186:$U186,'changes2_based on steps'!$B$1:$U$1,N$1)</f>
        <v>0</v>
      </c>
      <c r="O186" s="140">
        <f>SUMIFS('recurring2_based on steps'!$B186:$AY186,'recurring2_based on steps'!$B$1:$AY$1,O$1)+SUMIFS('changes2_based on steps'!$B186:$U186,'changes2_based on steps'!$B$1:$U$1,O$1)</f>
        <v>0</v>
      </c>
      <c r="P186" s="140">
        <f ca="1">SUMIFS('recurring2_based on steps'!$B186:$AY186,'recurring2_based on steps'!$B$1:$AY$1,P$1)+SUMIFS('changes2_based on steps'!$B186:$U186,'changes2_based on steps'!$B$1:$U$1,P$1)</f>
        <v>0</v>
      </c>
      <c r="Q186" s="140">
        <f ca="1">SUMIFS('recurring2_based on steps'!$B186:$AY186,'recurring2_based on steps'!$B$1:$AY$1,Q$1)+SUMIFS('changes2_based on steps'!$B186:$U186,'changes2_based on steps'!$B$1:$U$1,Q$1)</f>
        <v>5.5401662049861494E-2</v>
      </c>
      <c r="R186" s="140">
        <f ca="1">SUMIFS('recurring2_based on steps'!$B186:$AY186,'recurring2_based on steps'!$B$1:$AY$1,R$1)+SUMIFS('changes2_based on steps'!$B186:$U186,'changes2_based on steps'!$B$1:$U$1,R$1)</f>
        <v>0</v>
      </c>
      <c r="S186" s="140">
        <f>SUMIFS('recurring2_based on steps'!$B186:$AY186,'recurring2_based on steps'!$B$1:$AY$1,S$1)+SUMIFS('changes2_based on steps'!$B186:$U186,'changes2_based on steps'!$B$1:$U$1,S$1)</f>
        <v>0</v>
      </c>
      <c r="T186" s="140">
        <f ca="1">SUMIFS('recurring2_based on steps'!$B186:$AY186,'recurring2_based on steps'!$B$1:$AY$1,T$1)+SUMIFS('changes2_based on steps'!$B186:$U186,'changes2_based on steps'!$B$1:$U$1,T$1)</f>
        <v>0</v>
      </c>
      <c r="U186" s="140">
        <f ca="1">SUMIFS('recurring2_based on steps'!$B186:$AY186,'recurring2_based on steps'!$B$1:$AY$1,U$1)+SUMIFS('changes2_based on steps'!$B186:$U186,'changes2_based on steps'!$B$1:$U$1,U$1)</f>
        <v>0</v>
      </c>
      <c r="V186" s="140">
        <f>SUMIFS('recurring2_based on steps'!$B186:$AY186,'recurring2_based on steps'!$B$1:$AY$1,V$1)+SUMIFS('changes2_based on steps'!$B186:$U186,'changes2_based on steps'!$B$1:$U$1,V$1)</f>
        <v>0</v>
      </c>
      <c r="W186" s="140">
        <f>SUMIFS('recurring2_based on steps'!$B186:$AY186,'recurring2_based on steps'!$B$1:$AY$1,W$1)+SUMIFS('changes2_based on steps'!$B186:$U186,'changes2_based on steps'!$B$1:$U$1,W$1)</f>
        <v>0</v>
      </c>
      <c r="X186" s="140">
        <f ca="1">SUMIFS('recurring2_based on steps'!$B186:$AY186,'recurring2_based on steps'!$B$1:$AY$1,X$1)+SUMIFS('changes2_based on steps'!$B186:$U186,'changes2_based on steps'!$B$1:$U$1,X$1)</f>
        <v>0</v>
      </c>
      <c r="Y186" s="140">
        <f ca="1">SUMIFS('recurring2_based on steps'!$B186:$AY186,'recurring2_based on steps'!$B$1:$AY$1,Y$1)+SUMIFS('changes2_based on steps'!$B186:$U186,'changes2_based on steps'!$B$1:$U$1,Y$1)</f>
        <v>0</v>
      </c>
      <c r="Z186" s="140">
        <f>SUMIFS('recurring2_based on steps'!$B186:$AY186,'recurring2_based on steps'!$B$1:$AY$1,Z$1)+SUMIFS('changes2_based on steps'!$B186:$U186,'changes2_based on steps'!$B$1:$U$1,Z$1)</f>
        <v>0</v>
      </c>
      <c r="AA186" s="140">
        <f ca="1">SUMIFS('recurring2_based on steps'!$B186:$AY186,'recurring2_based on steps'!$B$1:$AY$1,AA$1)+SUMIFS('changes2_based on steps'!$B186:$U186,'changes2_based on steps'!$B$1:$U$1,AA$1)</f>
        <v>0</v>
      </c>
      <c r="AB186" s="140">
        <f ca="1">SUMIFS('recurring2_based on steps'!$B186:$AY186,'recurring2_based on steps'!$B$1:$AY$1,AB$1)+SUMIFS('changes2_based on steps'!$B186:$U186,'changes2_based on steps'!$B$1:$U$1,AB$1)</f>
        <v>0</v>
      </c>
      <c r="AC186" s="140">
        <f ca="1">SUMIFS('recurring2_based on steps'!$B186:$AY186,'recurring2_based on steps'!$B$1:$AY$1,AC$1)+SUMIFS('changes2_based on steps'!$B186:$U186,'changes2_based on steps'!$B$1:$U$1,AC$1)</f>
        <v>0</v>
      </c>
      <c r="AD186" s="140">
        <f ca="1">SUMIFS('recurring2_based on steps'!$B186:$AY186,'recurring2_based on steps'!$B$1:$AY$1,AD$1)+SUMIFS('changes2_based on steps'!$B186:$U186,'changes2_based on steps'!$B$1:$U$1,AD$1)</f>
        <v>0</v>
      </c>
      <c r="AE186" s="140">
        <f>SUMIFS('recurring2_based on steps'!$B186:$AY186,'recurring2_based on steps'!$B$1:$AY$1,AE$1)+SUMIFS('changes2_based on steps'!$B186:$U186,'changes2_based on steps'!$B$1:$U$1,AE$1)</f>
        <v>0</v>
      </c>
      <c r="AF186" s="140"/>
      <c r="AG186" s="140"/>
      <c r="AH186" s="140"/>
      <c r="AI186" s="140"/>
      <c r="AJ186" s="140"/>
      <c r="AK186" s="140"/>
      <c r="AL186" s="140"/>
      <c r="AM186" s="140"/>
    </row>
    <row r="187" spans="1:39" x14ac:dyDescent="0.2">
      <c r="A187" s="29">
        <f t="shared" ca="1" si="2"/>
        <v>45927</v>
      </c>
      <c r="B187" s="140">
        <f ca="1">SUMIFS('recurring2_based on steps'!$B187:$AY187,'recurring2_based on steps'!$B$1:$AY$1,B$1)+SUMIFS('changes2_based on steps'!$B187:$U187,'changes2_based on steps'!$B$1:$U$1,B$1)</f>
        <v>0</v>
      </c>
      <c r="C187" s="140">
        <f>SUMIFS('recurring2_based on steps'!$B187:$AY187,'recurring2_based on steps'!$B$1:$AY$1,C$1)+SUMIFS('changes2_based on steps'!$B187:$U187,'changes2_based on steps'!$B$1:$U$1,C$1)</f>
        <v>0</v>
      </c>
      <c r="D187" s="140">
        <f>SUMIFS('recurring2_based on steps'!$B187:$AY187,'recurring2_based on steps'!$B$1:$AY$1,D$1)+SUMIFS('changes2_based on steps'!$B187:$U187,'changes2_based on steps'!$B$1:$U$1,D$1)</f>
        <v>0</v>
      </c>
      <c r="E187" s="140">
        <f>SUMIFS('recurring2_based on steps'!$B187:$AY187,'recurring2_based on steps'!$B$1:$AY$1,E$1)+SUMIFS('changes2_based on steps'!$B187:$U187,'changes2_based on steps'!$B$1:$U$1,E$1)</f>
        <v>0</v>
      </c>
      <c r="F187" s="140">
        <f>SUMIFS('recurring2_based on steps'!$B187:$AY187,'recurring2_based on steps'!$B$1:$AY$1,F$1)+SUMIFS('changes2_based on steps'!$B187:$U187,'changes2_based on steps'!$B$1:$U$1,F$1)</f>
        <v>0</v>
      </c>
      <c r="G187" s="140">
        <f>SUMIFS('recurring2_based on steps'!$B187:$AY187,'recurring2_based on steps'!$B$1:$AY$1,G$1)+SUMIFS('changes2_based on steps'!$B187:$U187,'changes2_based on steps'!$B$1:$U$1,G$1)</f>
        <v>0</v>
      </c>
      <c r="H187" s="140">
        <f>SUMIFS('recurring2_based on steps'!$B187:$AY187,'recurring2_based on steps'!$B$1:$AY$1,H$1)+SUMIFS('changes2_based on steps'!$B187:$U187,'changes2_based on steps'!$B$1:$U$1,H$1)</f>
        <v>0</v>
      </c>
      <c r="I187" s="140">
        <f>SUMIFS('recurring2_based on steps'!$B187:$AY187,'recurring2_based on steps'!$B$1:$AY$1,I$1)+SUMIFS('changes2_based on steps'!$B187:$U187,'changes2_based on steps'!$B$1:$U$1,I$1)</f>
        <v>0</v>
      </c>
      <c r="J187" s="140">
        <f ca="1">SUMIFS('recurring2_based on steps'!$B187:$AY187,'recurring2_based on steps'!$B$1:$AY$1,J$1)+SUMIFS('changes2_based on steps'!$B187:$U187,'changes2_based on steps'!$B$1:$U$1,J$1)</f>
        <v>0</v>
      </c>
      <c r="K187" s="140">
        <f>SUMIFS('recurring2_based on steps'!$B187:$AY187,'recurring2_based on steps'!$B$1:$AY$1,K$1)+SUMIFS('changes2_based on steps'!$B187:$U187,'changes2_based on steps'!$B$1:$U$1,K$1)</f>
        <v>0</v>
      </c>
      <c r="L187" s="140">
        <f>SUMIFS('recurring2_based on steps'!$B187:$AY187,'recurring2_based on steps'!$B$1:$AY$1,L$1)+SUMIFS('changes2_based on steps'!$B187:$U187,'changes2_based on steps'!$B$1:$U$1,L$1)</f>
        <v>0</v>
      </c>
      <c r="M187" s="140">
        <f>SUMIFS('recurring2_based on steps'!$B187:$AY187,'recurring2_based on steps'!$B$1:$AY$1,M$1)+SUMIFS('changes2_based on steps'!$B187:$U187,'changes2_based on steps'!$B$1:$U$1,M$1)</f>
        <v>0</v>
      </c>
      <c r="N187" s="140">
        <f ca="1">SUMIFS('recurring2_based on steps'!$B187:$AY187,'recurring2_based on steps'!$B$1:$AY$1,N$1)+SUMIFS('changes2_based on steps'!$B187:$U187,'changes2_based on steps'!$B$1:$U$1,N$1)</f>
        <v>0</v>
      </c>
      <c r="O187" s="140">
        <f>SUMIFS('recurring2_based on steps'!$B187:$AY187,'recurring2_based on steps'!$B$1:$AY$1,O$1)+SUMIFS('changes2_based on steps'!$B187:$U187,'changes2_based on steps'!$B$1:$U$1,O$1)</f>
        <v>0</v>
      </c>
      <c r="P187" s="140">
        <f ca="1">SUMIFS('recurring2_based on steps'!$B187:$AY187,'recurring2_based on steps'!$B$1:$AY$1,P$1)+SUMIFS('changes2_based on steps'!$B187:$U187,'changes2_based on steps'!$B$1:$U$1,P$1)</f>
        <v>0</v>
      </c>
      <c r="Q187" s="140">
        <f ca="1">SUMIFS('recurring2_based on steps'!$B187:$AY187,'recurring2_based on steps'!$B$1:$AY$1,Q$1)+SUMIFS('changes2_based on steps'!$B187:$U187,'changes2_based on steps'!$B$1:$U$1,Q$1)</f>
        <v>100.05540166204986</v>
      </c>
      <c r="R187" s="140">
        <f ca="1">SUMIFS('recurring2_based on steps'!$B187:$AY187,'recurring2_based on steps'!$B$1:$AY$1,R$1)+SUMIFS('changes2_based on steps'!$B187:$U187,'changes2_based on steps'!$B$1:$U$1,R$1)</f>
        <v>2.99</v>
      </c>
      <c r="S187" s="140">
        <f>SUMIFS('recurring2_based on steps'!$B187:$AY187,'recurring2_based on steps'!$B$1:$AY$1,S$1)+SUMIFS('changes2_based on steps'!$B187:$U187,'changes2_based on steps'!$B$1:$U$1,S$1)</f>
        <v>0</v>
      </c>
      <c r="T187" s="140">
        <f ca="1">SUMIFS('recurring2_based on steps'!$B187:$AY187,'recurring2_based on steps'!$B$1:$AY$1,T$1)+SUMIFS('changes2_based on steps'!$B187:$U187,'changes2_based on steps'!$B$1:$U$1,T$1)</f>
        <v>0</v>
      </c>
      <c r="U187" s="140">
        <f ca="1">SUMIFS('recurring2_based on steps'!$B187:$AY187,'recurring2_based on steps'!$B$1:$AY$1,U$1)+SUMIFS('changes2_based on steps'!$B187:$U187,'changes2_based on steps'!$B$1:$U$1,U$1)</f>
        <v>0</v>
      </c>
      <c r="V187" s="140">
        <f>SUMIFS('recurring2_based on steps'!$B187:$AY187,'recurring2_based on steps'!$B$1:$AY$1,V$1)+SUMIFS('changes2_based on steps'!$B187:$U187,'changes2_based on steps'!$B$1:$U$1,V$1)</f>
        <v>0</v>
      </c>
      <c r="W187" s="140">
        <f>SUMIFS('recurring2_based on steps'!$B187:$AY187,'recurring2_based on steps'!$B$1:$AY$1,W$1)+SUMIFS('changes2_based on steps'!$B187:$U187,'changes2_based on steps'!$B$1:$U$1,W$1)</f>
        <v>0</v>
      </c>
      <c r="X187" s="140">
        <f ca="1">SUMIFS('recurring2_based on steps'!$B187:$AY187,'recurring2_based on steps'!$B$1:$AY$1,X$1)+SUMIFS('changes2_based on steps'!$B187:$U187,'changes2_based on steps'!$B$1:$U$1,X$1)</f>
        <v>0</v>
      </c>
      <c r="Y187" s="140">
        <f ca="1">SUMIFS('recurring2_based on steps'!$B187:$AY187,'recurring2_based on steps'!$B$1:$AY$1,Y$1)+SUMIFS('changes2_based on steps'!$B187:$U187,'changes2_based on steps'!$B$1:$U$1,Y$1)</f>
        <v>0</v>
      </c>
      <c r="Z187" s="140">
        <f>SUMIFS('recurring2_based on steps'!$B187:$AY187,'recurring2_based on steps'!$B$1:$AY$1,Z$1)+SUMIFS('changes2_based on steps'!$B187:$U187,'changes2_based on steps'!$B$1:$U$1,Z$1)</f>
        <v>0</v>
      </c>
      <c r="AA187" s="140">
        <f ca="1">SUMIFS('recurring2_based on steps'!$B187:$AY187,'recurring2_based on steps'!$B$1:$AY$1,AA$1)+SUMIFS('changes2_based on steps'!$B187:$U187,'changes2_based on steps'!$B$1:$U$1,AA$1)</f>
        <v>0</v>
      </c>
      <c r="AB187" s="140">
        <f ca="1">SUMIFS('recurring2_based on steps'!$B187:$AY187,'recurring2_based on steps'!$B$1:$AY$1,AB$1)+SUMIFS('changes2_based on steps'!$B187:$U187,'changes2_based on steps'!$B$1:$U$1,AB$1)</f>
        <v>100</v>
      </c>
      <c r="AC187" s="140">
        <f ca="1">SUMIFS('recurring2_based on steps'!$B187:$AY187,'recurring2_based on steps'!$B$1:$AY$1,AC$1)+SUMIFS('changes2_based on steps'!$B187:$U187,'changes2_based on steps'!$B$1:$U$1,AC$1)</f>
        <v>0</v>
      </c>
      <c r="AD187" s="140">
        <f ca="1">SUMIFS('recurring2_based on steps'!$B187:$AY187,'recurring2_based on steps'!$B$1:$AY$1,AD$1)+SUMIFS('changes2_based on steps'!$B187:$U187,'changes2_based on steps'!$B$1:$U$1,AD$1)</f>
        <v>0</v>
      </c>
      <c r="AE187" s="140">
        <f>SUMIFS('recurring2_based on steps'!$B187:$AY187,'recurring2_based on steps'!$B$1:$AY$1,AE$1)+SUMIFS('changes2_based on steps'!$B187:$U187,'changes2_based on steps'!$B$1:$U$1,AE$1)</f>
        <v>0</v>
      </c>
      <c r="AF187" s="140"/>
      <c r="AG187" s="140"/>
      <c r="AH187" s="140"/>
      <c r="AI187" s="140"/>
      <c r="AJ187" s="140"/>
      <c r="AK187" s="140"/>
      <c r="AL187" s="140"/>
      <c r="AM187" s="140"/>
    </row>
    <row r="188" spans="1:39" x14ac:dyDescent="0.2">
      <c r="A188" s="29">
        <f t="shared" ca="1" si="2"/>
        <v>45928</v>
      </c>
      <c r="B188" s="140">
        <f ca="1">SUMIFS('recurring2_based on steps'!$B188:$AY188,'recurring2_based on steps'!$B$1:$AY$1,B$1)+SUMIFS('changes2_based on steps'!$B188:$U188,'changes2_based on steps'!$B$1:$U$1,B$1)</f>
        <v>0</v>
      </c>
      <c r="C188" s="140">
        <f>SUMIFS('recurring2_based on steps'!$B188:$AY188,'recurring2_based on steps'!$B$1:$AY$1,C$1)+SUMIFS('changes2_based on steps'!$B188:$U188,'changes2_based on steps'!$B$1:$U$1,C$1)</f>
        <v>0</v>
      </c>
      <c r="D188" s="140">
        <f>SUMIFS('recurring2_based on steps'!$B188:$AY188,'recurring2_based on steps'!$B$1:$AY$1,D$1)+SUMIFS('changes2_based on steps'!$B188:$U188,'changes2_based on steps'!$B$1:$U$1,D$1)</f>
        <v>0</v>
      </c>
      <c r="E188" s="140">
        <f>SUMIFS('recurring2_based on steps'!$B188:$AY188,'recurring2_based on steps'!$B$1:$AY$1,E$1)+SUMIFS('changes2_based on steps'!$B188:$U188,'changes2_based on steps'!$B$1:$U$1,E$1)</f>
        <v>0</v>
      </c>
      <c r="F188" s="140">
        <f>SUMIFS('recurring2_based on steps'!$B188:$AY188,'recurring2_based on steps'!$B$1:$AY$1,F$1)+SUMIFS('changes2_based on steps'!$B188:$U188,'changes2_based on steps'!$B$1:$U$1,F$1)</f>
        <v>0</v>
      </c>
      <c r="G188" s="140">
        <f>SUMIFS('recurring2_based on steps'!$B188:$AY188,'recurring2_based on steps'!$B$1:$AY$1,G$1)+SUMIFS('changes2_based on steps'!$B188:$U188,'changes2_based on steps'!$B$1:$U$1,G$1)</f>
        <v>0</v>
      </c>
      <c r="H188" s="140">
        <f>SUMIFS('recurring2_based on steps'!$B188:$AY188,'recurring2_based on steps'!$B$1:$AY$1,H$1)+SUMIFS('changes2_based on steps'!$B188:$U188,'changes2_based on steps'!$B$1:$U$1,H$1)</f>
        <v>0</v>
      </c>
      <c r="I188" s="140">
        <f>SUMIFS('recurring2_based on steps'!$B188:$AY188,'recurring2_based on steps'!$B$1:$AY$1,I$1)+SUMIFS('changes2_based on steps'!$B188:$U188,'changes2_based on steps'!$B$1:$U$1,I$1)</f>
        <v>0</v>
      </c>
      <c r="J188" s="140">
        <f ca="1">SUMIFS('recurring2_based on steps'!$B188:$AY188,'recurring2_based on steps'!$B$1:$AY$1,J$1)+SUMIFS('changes2_based on steps'!$B188:$U188,'changes2_based on steps'!$B$1:$U$1,J$1)</f>
        <v>0</v>
      </c>
      <c r="K188" s="140">
        <f>SUMIFS('recurring2_based on steps'!$B188:$AY188,'recurring2_based on steps'!$B$1:$AY$1,K$1)+SUMIFS('changes2_based on steps'!$B188:$U188,'changes2_based on steps'!$B$1:$U$1,K$1)</f>
        <v>0</v>
      </c>
      <c r="L188" s="140">
        <f>SUMIFS('recurring2_based on steps'!$B188:$AY188,'recurring2_based on steps'!$B$1:$AY$1,L$1)+SUMIFS('changes2_based on steps'!$B188:$U188,'changes2_based on steps'!$B$1:$U$1,L$1)</f>
        <v>0</v>
      </c>
      <c r="M188" s="140">
        <f>SUMIFS('recurring2_based on steps'!$B188:$AY188,'recurring2_based on steps'!$B$1:$AY$1,M$1)+SUMIFS('changes2_based on steps'!$B188:$U188,'changes2_based on steps'!$B$1:$U$1,M$1)</f>
        <v>0</v>
      </c>
      <c r="N188" s="140">
        <f ca="1">SUMIFS('recurring2_based on steps'!$B188:$AY188,'recurring2_based on steps'!$B$1:$AY$1,N$1)+SUMIFS('changes2_based on steps'!$B188:$U188,'changes2_based on steps'!$B$1:$U$1,N$1)</f>
        <v>0</v>
      </c>
      <c r="O188" s="140">
        <f>SUMIFS('recurring2_based on steps'!$B188:$AY188,'recurring2_based on steps'!$B$1:$AY$1,O$1)+SUMIFS('changes2_based on steps'!$B188:$U188,'changes2_based on steps'!$B$1:$U$1,O$1)</f>
        <v>0</v>
      </c>
      <c r="P188" s="140">
        <f ca="1">SUMIFS('recurring2_based on steps'!$B188:$AY188,'recurring2_based on steps'!$B$1:$AY$1,P$1)+SUMIFS('changes2_based on steps'!$B188:$U188,'changes2_based on steps'!$B$1:$U$1,P$1)</f>
        <v>0</v>
      </c>
      <c r="Q188" s="140">
        <f ca="1">SUMIFS('recurring2_based on steps'!$B188:$AY188,'recurring2_based on steps'!$B$1:$AY$1,Q$1)+SUMIFS('changes2_based on steps'!$B188:$U188,'changes2_based on steps'!$B$1:$U$1,Q$1)</f>
        <v>100.05540166204986</v>
      </c>
      <c r="R188" s="140">
        <f ca="1">SUMIFS('recurring2_based on steps'!$B188:$AY188,'recurring2_based on steps'!$B$1:$AY$1,R$1)+SUMIFS('changes2_based on steps'!$B188:$U188,'changes2_based on steps'!$B$1:$U$1,R$1)</f>
        <v>0</v>
      </c>
      <c r="S188" s="140">
        <f>SUMIFS('recurring2_based on steps'!$B188:$AY188,'recurring2_based on steps'!$B$1:$AY$1,S$1)+SUMIFS('changes2_based on steps'!$B188:$U188,'changes2_based on steps'!$B$1:$U$1,S$1)</f>
        <v>0</v>
      </c>
      <c r="T188" s="140">
        <f ca="1">SUMIFS('recurring2_based on steps'!$B188:$AY188,'recurring2_based on steps'!$B$1:$AY$1,T$1)+SUMIFS('changes2_based on steps'!$B188:$U188,'changes2_based on steps'!$B$1:$U$1,T$1)</f>
        <v>0</v>
      </c>
      <c r="U188" s="140">
        <f ca="1">SUMIFS('recurring2_based on steps'!$B188:$AY188,'recurring2_based on steps'!$B$1:$AY$1,U$1)+SUMIFS('changes2_based on steps'!$B188:$U188,'changes2_based on steps'!$B$1:$U$1,U$1)</f>
        <v>0</v>
      </c>
      <c r="V188" s="140">
        <f>SUMIFS('recurring2_based on steps'!$B188:$AY188,'recurring2_based on steps'!$B$1:$AY$1,V$1)+SUMIFS('changes2_based on steps'!$B188:$U188,'changes2_based on steps'!$B$1:$U$1,V$1)</f>
        <v>0</v>
      </c>
      <c r="W188" s="140">
        <f>SUMIFS('recurring2_based on steps'!$B188:$AY188,'recurring2_based on steps'!$B$1:$AY$1,W$1)+SUMIFS('changes2_based on steps'!$B188:$U188,'changes2_based on steps'!$B$1:$U$1,W$1)</f>
        <v>0</v>
      </c>
      <c r="X188" s="140">
        <f ca="1">SUMIFS('recurring2_based on steps'!$B188:$AY188,'recurring2_based on steps'!$B$1:$AY$1,X$1)+SUMIFS('changes2_based on steps'!$B188:$U188,'changes2_based on steps'!$B$1:$U$1,X$1)</f>
        <v>0</v>
      </c>
      <c r="Y188" s="140">
        <f ca="1">SUMIFS('recurring2_based on steps'!$B188:$AY188,'recurring2_based on steps'!$B$1:$AY$1,Y$1)+SUMIFS('changes2_based on steps'!$B188:$U188,'changes2_based on steps'!$B$1:$U$1,Y$1)</f>
        <v>50</v>
      </c>
      <c r="Z188" s="140">
        <f>SUMIFS('recurring2_based on steps'!$B188:$AY188,'recurring2_based on steps'!$B$1:$AY$1,Z$1)+SUMIFS('changes2_based on steps'!$B188:$U188,'changes2_based on steps'!$B$1:$U$1,Z$1)</f>
        <v>0</v>
      </c>
      <c r="AA188" s="140">
        <f ca="1">SUMIFS('recurring2_based on steps'!$B188:$AY188,'recurring2_based on steps'!$B$1:$AY$1,AA$1)+SUMIFS('changes2_based on steps'!$B188:$U188,'changes2_based on steps'!$B$1:$U$1,AA$1)</f>
        <v>0</v>
      </c>
      <c r="AB188" s="140">
        <f ca="1">SUMIFS('recurring2_based on steps'!$B188:$AY188,'recurring2_based on steps'!$B$1:$AY$1,AB$1)+SUMIFS('changes2_based on steps'!$B188:$U188,'changes2_based on steps'!$B$1:$U$1,AB$1)</f>
        <v>0</v>
      </c>
      <c r="AC188" s="140">
        <f ca="1">SUMIFS('recurring2_based on steps'!$B188:$AY188,'recurring2_based on steps'!$B$1:$AY$1,AC$1)+SUMIFS('changes2_based on steps'!$B188:$U188,'changes2_based on steps'!$B$1:$U$1,AC$1)</f>
        <v>0</v>
      </c>
      <c r="AD188" s="140">
        <f ca="1">SUMIFS('recurring2_based on steps'!$B188:$AY188,'recurring2_based on steps'!$B$1:$AY$1,AD$1)+SUMIFS('changes2_based on steps'!$B188:$U188,'changes2_based on steps'!$B$1:$U$1,AD$1)</f>
        <v>0</v>
      </c>
      <c r="AE188" s="140">
        <f>SUMIFS('recurring2_based on steps'!$B188:$AY188,'recurring2_based on steps'!$B$1:$AY$1,AE$1)+SUMIFS('changes2_based on steps'!$B188:$U188,'changes2_based on steps'!$B$1:$U$1,AE$1)</f>
        <v>0</v>
      </c>
      <c r="AF188" s="140"/>
      <c r="AG188" s="140"/>
      <c r="AH188" s="140"/>
      <c r="AI188" s="140"/>
      <c r="AJ188" s="140"/>
      <c r="AK188" s="140"/>
      <c r="AL188" s="140"/>
      <c r="AM188" s="140"/>
    </row>
    <row r="189" spans="1:39" x14ac:dyDescent="0.2">
      <c r="A189" s="29">
        <f t="shared" ca="1" si="2"/>
        <v>45929</v>
      </c>
      <c r="B189" s="140">
        <f ca="1">SUMIFS('recurring2_based on steps'!$B189:$AY189,'recurring2_based on steps'!$B$1:$AY$1,B$1)+SUMIFS('changes2_based on steps'!$B189:$U189,'changes2_based on steps'!$B$1:$U$1,B$1)</f>
        <v>0</v>
      </c>
      <c r="C189" s="140">
        <f>SUMIFS('recurring2_based on steps'!$B189:$AY189,'recurring2_based on steps'!$B$1:$AY$1,C$1)+SUMIFS('changes2_based on steps'!$B189:$U189,'changes2_based on steps'!$B$1:$U$1,C$1)</f>
        <v>0</v>
      </c>
      <c r="D189" s="140">
        <f>SUMIFS('recurring2_based on steps'!$B189:$AY189,'recurring2_based on steps'!$B$1:$AY$1,D$1)+SUMIFS('changes2_based on steps'!$B189:$U189,'changes2_based on steps'!$B$1:$U$1,D$1)</f>
        <v>0</v>
      </c>
      <c r="E189" s="140">
        <f>SUMIFS('recurring2_based on steps'!$B189:$AY189,'recurring2_based on steps'!$B$1:$AY$1,E$1)+SUMIFS('changes2_based on steps'!$B189:$U189,'changes2_based on steps'!$B$1:$U$1,E$1)</f>
        <v>0</v>
      </c>
      <c r="F189" s="140">
        <f>SUMIFS('recurring2_based on steps'!$B189:$AY189,'recurring2_based on steps'!$B$1:$AY$1,F$1)+SUMIFS('changes2_based on steps'!$B189:$U189,'changes2_based on steps'!$B$1:$U$1,F$1)</f>
        <v>0</v>
      </c>
      <c r="G189" s="140">
        <f>SUMIFS('recurring2_based on steps'!$B189:$AY189,'recurring2_based on steps'!$B$1:$AY$1,G$1)+SUMIFS('changes2_based on steps'!$B189:$U189,'changes2_based on steps'!$B$1:$U$1,G$1)</f>
        <v>0</v>
      </c>
      <c r="H189" s="140">
        <f>SUMIFS('recurring2_based on steps'!$B189:$AY189,'recurring2_based on steps'!$B$1:$AY$1,H$1)+SUMIFS('changes2_based on steps'!$B189:$U189,'changes2_based on steps'!$B$1:$U$1,H$1)</f>
        <v>0</v>
      </c>
      <c r="I189" s="140">
        <f>SUMIFS('recurring2_based on steps'!$B189:$AY189,'recurring2_based on steps'!$B$1:$AY$1,I$1)+SUMIFS('changes2_based on steps'!$B189:$U189,'changes2_based on steps'!$B$1:$U$1,I$1)</f>
        <v>0</v>
      </c>
      <c r="J189" s="140">
        <f ca="1">SUMIFS('recurring2_based on steps'!$B189:$AY189,'recurring2_based on steps'!$B$1:$AY$1,J$1)+SUMIFS('changes2_based on steps'!$B189:$U189,'changes2_based on steps'!$B$1:$U$1,J$1)</f>
        <v>0</v>
      </c>
      <c r="K189" s="140">
        <f>SUMIFS('recurring2_based on steps'!$B189:$AY189,'recurring2_based on steps'!$B$1:$AY$1,K$1)+SUMIFS('changes2_based on steps'!$B189:$U189,'changes2_based on steps'!$B$1:$U$1,K$1)</f>
        <v>0</v>
      </c>
      <c r="L189" s="140">
        <f>SUMIFS('recurring2_based on steps'!$B189:$AY189,'recurring2_based on steps'!$B$1:$AY$1,L$1)+SUMIFS('changes2_based on steps'!$B189:$U189,'changes2_based on steps'!$B$1:$U$1,L$1)</f>
        <v>0</v>
      </c>
      <c r="M189" s="140">
        <f>SUMIFS('recurring2_based on steps'!$B189:$AY189,'recurring2_based on steps'!$B$1:$AY$1,M$1)+SUMIFS('changes2_based on steps'!$B189:$U189,'changes2_based on steps'!$B$1:$U$1,M$1)</f>
        <v>0</v>
      </c>
      <c r="N189" s="140">
        <f ca="1">SUMIFS('recurring2_based on steps'!$B189:$AY189,'recurring2_based on steps'!$B$1:$AY$1,N$1)+SUMIFS('changes2_based on steps'!$B189:$U189,'changes2_based on steps'!$B$1:$U$1,N$1)</f>
        <v>0</v>
      </c>
      <c r="O189" s="140">
        <f>SUMIFS('recurring2_based on steps'!$B189:$AY189,'recurring2_based on steps'!$B$1:$AY$1,O$1)+SUMIFS('changes2_based on steps'!$B189:$U189,'changes2_based on steps'!$B$1:$U$1,O$1)</f>
        <v>0</v>
      </c>
      <c r="P189" s="140">
        <f ca="1">SUMIFS('recurring2_based on steps'!$B189:$AY189,'recurring2_based on steps'!$B$1:$AY$1,P$1)+SUMIFS('changes2_based on steps'!$B189:$U189,'changes2_based on steps'!$B$1:$U$1,P$1)</f>
        <v>0</v>
      </c>
      <c r="Q189" s="140">
        <f ca="1">SUMIFS('recurring2_based on steps'!$B189:$AY189,'recurring2_based on steps'!$B$1:$AY$1,Q$1)+SUMIFS('changes2_based on steps'!$B189:$U189,'changes2_based on steps'!$B$1:$U$1,Q$1)</f>
        <v>5.5401662049861494E-2</v>
      </c>
      <c r="R189" s="140">
        <f ca="1">SUMIFS('recurring2_based on steps'!$B189:$AY189,'recurring2_based on steps'!$B$1:$AY$1,R$1)+SUMIFS('changes2_based on steps'!$B189:$U189,'changes2_based on steps'!$B$1:$U$1,R$1)</f>
        <v>0</v>
      </c>
      <c r="S189" s="140">
        <f>SUMIFS('recurring2_based on steps'!$B189:$AY189,'recurring2_based on steps'!$B$1:$AY$1,S$1)+SUMIFS('changes2_based on steps'!$B189:$U189,'changes2_based on steps'!$B$1:$U$1,S$1)</f>
        <v>0</v>
      </c>
      <c r="T189" s="140">
        <f ca="1">SUMIFS('recurring2_based on steps'!$B189:$AY189,'recurring2_based on steps'!$B$1:$AY$1,T$1)+SUMIFS('changes2_based on steps'!$B189:$U189,'changes2_based on steps'!$B$1:$U$1,T$1)</f>
        <v>0</v>
      </c>
      <c r="U189" s="140">
        <f ca="1">SUMIFS('recurring2_based on steps'!$B189:$AY189,'recurring2_based on steps'!$B$1:$AY$1,U$1)+SUMIFS('changes2_based on steps'!$B189:$U189,'changes2_based on steps'!$B$1:$U$1,U$1)</f>
        <v>0</v>
      </c>
      <c r="V189" s="140">
        <f>SUMIFS('recurring2_based on steps'!$B189:$AY189,'recurring2_based on steps'!$B$1:$AY$1,V$1)+SUMIFS('changes2_based on steps'!$B189:$U189,'changes2_based on steps'!$B$1:$U$1,V$1)</f>
        <v>0</v>
      </c>
      <c r="W189" s="140">
        <f>SUMIFS('recurring2_based on steps'!$B189:$AY189,'recurring2_based on steps'!$B$1:$AY$1,W$1)+SUMIFS('changes2_based on steps'!$B189:$U189,'changes2_based on steps'!$B$1:$U$1,W$1)</f>
        <v>0</v>
      </c>
      <c r="X189" s="140">
        <f ca="1">SUMIFS('recurring2_based on steps'!$B189:$AY189,'recurring2_based on steps'!$B$1:$AY$1,X$1)+SUMIFS('changes2_based on steps'!$B189:$U189,'changes2_based on steps'!$B$1:$U$1,X$1)</f>
        <v>0</v>
      </c>
      <c r="Y189" s="140">
        <f ca="1">SUMIFS('recurring2_based on steps'!$B189:$AY189,'recurring2_based on steps'!$B$1:$AY$1,Y$1)+SUMIFS('changes2_based on steps'!$B189:$U189,'changes2_based on steps'!$B$1:$U$1,Y$1)</f>
        <v>0</v>
      </c>
      <c r="Z189" s="140">
        <f>SUMIFS('recurring2_based on steps'!$B189:$AY189,'recurring2_based on steps'!$B$1:$AY$1,Z$1)+SUMIFS('changes2_based on steps'!$B189:$U189,'changes2_based on steps'!$B$1:$U$1,Z$1)</f>
        <v>0</v>
      </c>
      <c r="AA189" s="140">
        <f ca="1">SUMIFS('recurring2_based on steps'!$B189:$AY189,'recurring2_based on steps'!$B$1:$AY$1,AA$1)+SUMIFS('changes2_based on steps'!$B189:$U189,'changes2_based on steps'!$B$1:$U$1,AA$1)</f>
        <v>0</v>
      </c>
      <c r="AB189" s="140">
        <f ca="1">SUMIFS('recurring2_based on steps'!$B189:$AY189,'recurring2_based on steps'!$B$1:$AY$1,AB$1)+SUMIFS('changes2_based on steps'!$B189:$U189,'changes2_based on steps'!$B$1:$U$1,AB$1)</f>
        <v>0</v>
      </c>
      <c r="AC189" s="140">
        <f ca="1">SUMIFS('recurring2_based on steps'!$B189:$AY189,'recurring2_based on steps'!$B$1:$AY$1,AC$1)+SUMIFS('changes2_based on steps'!$B189:$U189,'changes2_based on steps'!$B$1:$U$1,AC$1)</f>
        <v>0</v>
      </c>
      <c r="AD189" s="140">
        <f ca="1">SUMIFS('recurring2_based on steps'!$B189:$AY189,'recurring2_based on steps'!$B$1:$AY$1,AD$1)+SUMIFS('changes2_based on steps'!$B189:$U189,'changes2_based on steps'!$B$1:$U$1,AD$1)</f>
        <v>0</v>
      </c>
      <c r="AE189" s="140">
        <f>SUMIFS('recurring2_based on steps'!$B189:$AY189,'recurring2_based on steps'!$B$1:$AY$1,AE$1)+SUMIFS('changes2_based on steps'!$B189:$U189,'changes2_based on steps'!$B$1:$U$1,AE$1)</f>
        <v>0</v>
      </c>
      <c r="AF189" s="140"/>
      <c r="AG189" s="140"/>
      <c r="AH189" s="140"/>
      <c r="AI189" s="140"/>
      <c r="AJ189" s="140"/>
      <c r="AK189" s="140"/>
      <c r="AL189" s="140"/>
      <c r="AM189" s="140"/>
    </row>
    <row r="190" spans="1:39" x14ac:dyDescent="0.2">
      <c r="A190" s="29">
        <f t="shared" ca="1" si="2"/>
        <v>45930</v>
      </c>
      <c r="B190" s="140">
        <f ca="1">SUMIFS('recurring2_based on steps'!$B190:$AY190,'recurring2_based on steps'!$B$1:$AY$1,B$1)+SUMIFS('changes2_based on steps'!$B190:$U190,'changes2_based on steps'!$B$1:$U$1,B$1)</f>
        <v>0</v>
      </c>
      <c r="C190" s="140">
        <f>SUMIFS('recurring2_based on steps'!$B190:$AY190,'recurring2_based on steps'!$B$1:$AY$1,C$1)+SUMIFS('changes2_based on steps'!$B190:$U190,'changes2_based on steps'!$B$1:$U$1,C$1)</f>
        <v>0</v>
      </c>
      <c r="D190" s="140">
        <f>SUMIFS('recurring2_based on steps'!$B190:$AY190,'recurring2_based on steps'!$B$1:$AY$1,D$1)+SUMIFS('changes2_based on steps'!$B190:$U190,'changes2_based on steps'!$B$1:$U$1,D$1)</f>
        <v>0</v>
      </c>
      <c r="E190" s="140">
        <f>SUMIFS('recurring2_based on steps'!$B190:$AY190,'recurring2_based on steps'!$B$1:$AY$1,E$1)+SUMIFS('changes2_based on steps'!$B190:$U190,'changes2_based on steps'!$B$1:$U$1,E$1)</f>
        <v>0</v>
      </c>
      <c r="F190" s="140">
        <f>SUMIFS('recurring2_based on steps'!$B190:$AY190,'recurring2_based on steps'!$B$1:$AY$1,F$1)+SUMIFS('changes2_based on steps'!$B190:$U190,'changes2_based on steps'!$B$1:$U$1,F$1)</f>
        <v>0</v>
      </c>
      <c r="G190" s="140">
        <f>SUMIFS('recurring2_based on steps'!$B190:$AY190,'recurring2_based on steps'!$B$1:$AY$1,G$1)+SUMIFS('changes2_based on steps'!$B190:$U190,'changes2_based on steps'!$B$1:$U$1,G$1)</f>
        <v>0</v>
      </c>
      <c r="H190" s="140">
        <f>SUMIFS('recurring2_based on steps'!$B190:$AY190,'recurring2_based on steps'!$B$1:$AY$1,H$1)+SUMIFS('changes2_based on steps'!$B190:$U190,'changes2_based on steps'!$B$1:$U$1,H$1)</f>
        <v>0</v>
      </c>
      <c r="I190" s="140">
        <f>SUMIFS('recurring2_based on steps'!$B190:$AY190,'recurring2_based on steps'!$B$1:$AY$1,I$1)+SUMIFS('changes2_based on steps'!$B190:$U190,'changes2_based on steps'!$B$1:$U$1,I$1)</f>
        <v>0</v>
      </c>
      <c r="J190" s="140">
        <f ca="1">SUMIFS('recurring2_based on steps'!$B190:$AY190,'recurring2_based on steps'!$B$1:$AY$1,J$1)+SUMIFS('changes2_based on steps'!$B190:$U190,'changes2_based on steps'!$B$1:$U$1,J$1)</f>
        <v>100</v>
      </c>
      <c r="K190" s="140">
        <f>SUMIFS('recurring2_based on steps'!$B190:$AY190,'recurring2_based on steps'!$B$1:$AY$1,K$1)+SUMIFS('changes2_based on steps'!$B190:$U190,'changes2_based on steps'!$B$1:$U$1,K$1)</f>
        <v>0</v>
      </c>
      <c r="L190" s="140">
        <f>SUMIFS('recurring2_based on steps'!$B190:$AY190,'recurring2_based on steps'!$B$1:$AY$1,L$1)+SUMIFS('changes2_based on steps'!$B190:$U190,'changes2_based on steps'!$B$1:$U$1,L$1)</f>
        <v>0</v>
      </c>
      <c r="M190" s="140">
        <f>SUMIFS('recurring2_based on steps'!$B190:$AY190,'recurring2_based on steps'!$B$1:$AY$1,M$1)+SUMIFS('changes2_based on steps'!$B190:$U190,'changes2_based on steps'!$B$1:$U$1,M$1)</f>
        <v>0</v>
      </c>
      <c r="N190" s="140">
        <f ca="1">SUMIFS('recurring2_based on steps'!$B190:$AY190,'recurring2_based on steps'!$B$1:$AY$1,N$1)+SUMIFS('changes2_based on steps'!$B190:$U190,'changes2_based on steps'!$B$1:$U$1,N$1)</f>
        <v>40</v>
      </c>
      <c r="O190" s="140">
        <f>SUMIFS('recurring2_based on steps'!$B190:$AY190,'recurring2_based on steps'!$B$1:$AY$1,O$1)+SUMIFS('changes2_based on steps'!$B190:$U190,'changes2_based on steps'!$B$1:$U$1,O$1)</f>
        <v>0</v>
      </c>
      <c r="P190" s="140">
        <f ca="1">SUMIFS('recurring2_based on steps'!$B190:$AY190,'recurring2_based on steps'!$B$1:$AY$1,P$1)+SUMIFS('changes2_based on steps'!$B190:$U190,'changes2_based on steps'!$B$1:$U$1,P$1)</f>
        <v>0</v>
      </c>
      <c r="Q190" s="140">
        <f ca="1">SUMIFS('recurring2_based on steps'!$B190:$AY190,'recurring2_based on steps'!$B$1:$AY$1,Q$1)+SUMIFS('changes2_based on steps'!$B190:$U190,'changes2_based on steps'!$B$1:$U$1,Q$1)</f>
        <v>5.5401662049861494E-2</v>
      </c>
      <c r="R190" s="140">
        <f ca="1">SUMIFS('recurring2_based on steps'!$B190:$AY190,'recurring2_based on steps'!$B$1:$AY$1,R$1)+SUMIFS('changes2_based on steps'!$B190:$U190,'changes2_based on steps'!$B$1:$U$1,R$1)</f>
        <v>0</v>
      </c>
      <c r="S190" s="140">
        <f>SUMIFS('recurring2_based on steps'!$B190:$AY190,'recurring2_based on steps'!$B$1:$AY$1,S$1)+SUMIFS('changes2_based on steps'!$B190:$U190,'changes2_based on steps'!$B$1:$U$1,S$1)</f>
        <v>0</v>
      </c>
      <c r="T190" s="140">
        <f ca="1">SUMIFS('recurring2_based on steps'!$B190:$AY190,'recurring2_based on steps'!$B$1:$AY$1,T$1)+SUMIFS('changes2_based on steps'!$B190:$U190,'changes2_based on steps'!$B$1:$U$1,T$1)</f>
        <v>0</v>
      </c>
      <c r="U190" s="140">
        <f ca="1">SUMIFS('recurring2_based on steps'!$B190:$AY190,'recurring2_based on steps'!$B$1:$AY$1,U$1)+SUMIFS('changes2_based on steps'!$B190:$U190,'changes2_based on steps'!$B$1:$U$1,U$1)</f>
        <v>0</v>
      </c>
      <c r="V190" s="140">
        <f>SUMIFS('recurring2_based on steps'!$B190:$AY190,'recurring2_based on steps'!$B$1:$AY$1,V$1)+SUMIFS('changes2_based on steps'!$B190:$U190,'changes2_based on steps'!$B$1:$U$1,V$1)</f>
        <v>0</v>
      </c>
      <c r="W190" s="140">
        <f>SUMIFS('recurring2_based on steps'!$B190:$AY190,'recurring2_based on steps'!$B$1:$AY$1,W$1)+SUMIFS('changes2_based on steps'!$B190:$U190,'changes2_based on steps'!$B$1:$U$1,W$1)</f>
        <v>0</v>
      </c>
      <c r="X190" s="140">
        <f ca="1">SUMIFS('recurring2_based on steps'!$B190:$AY190,'recurring2_based on steps'!$B$1:$AY$1,X$1)+SUMIFS('changes2_based on steps'!$B190:$U190,'changes2_based on steps'!$B$1:$U$1,X$1)</f>
        <v>0</v>
      </c>
      <c r="Y190" s="140">
        <f ca="1">SUMIFS('recurring2_based on steps'!$B190:$AY190,'recurring2_based on steps'!$B$1:$AY$1,Y$1)+SUMIFS('changes2_based on steps'!$B190:$U190,'changes2_based on steps'!$B$1:$U$1,Y$1)</f>
        <v>0</v>
      </c>
      <c r="Z190" s="140">
        <f>SUMIFS('recurring2_based on steps'!$B190:$AY190,'recurring2_based on steps'!$B$1:$AY$1,Z$1)+SUMIFS('changes2_based on steps'!$B190:$U190,'changes2_based on steps'!$B$1:$U$1,Z$1)</f>
        <v>0</v>
      </c>
      <c r="AA190" s="140">
        <f ca="1">SUMIFS('recurring2_based on steps'!$B190:$AY190,'recurring2_based on steps'!$B$1:$AY$1,AA$1)+SUMIFS('changes2_based on steps'!$B190:$U190,'changes2_based on steps'!$B$1:$U$1,AA$1)</f>
        <v>0</v>
      </c>
      <c r="AB190" s="140">
        <f ca="1">SUMIFS('recurring2_based on steps'!$B190:$AY190,'recurring2_based on steps'!$B$1:$AY$1,AB$1)+SUMIFS('changes2_based on steps'!$B190:$U190,'changes2_based on steps'!$B$1:$U$1,AB$1)</f>
        <v>0</v>
      </c>
      <c r="AC190" s="140">
        <f ca="1">SUMIFS('recurring2_based on steps'!$B190:$AY190,'recurring2_based on steps'!$B$1:$AY$1,AC$1)+SUMIFS('changes2_based on steps'!$B190:$U190,'changes2_based on steps'!$B$1:$U$1,AC$1)</f>
        <v>0</v>
      </c>
      <c r="AD190" s="140">
        <f ca="1">SUMIFS('recurring2_based on steps'!$B190:$AY190,'recurring2_based on steps'!$B$1:$AY$1,AD$1)+SUMIFS('changes2_based on steps'!$B190:$U190,'changes2_based on steps'!$B$1:$U$1,AD$1)</f>
        <v>0</v>
      </c>
      <c r="AE190" s="140">
        <f>SUMIFS('recurring2_based on steps'!$B190:$AY190,'recurring2_based on steps'!$B$1:$AY$1,AE$1)+SUMIFS('changes2_based on steps'!$B190:$U190,'changes2_based on steps'!$B$1:$U$1,AE$1)</f>
        <v>0</v>
      </c>
      <c r="AF190" s="140"/>
      <c r="AG190" s="140"/>
      <c r="AH190" s="140"/>
      <c r="AI190" s="140"/>
      <c r="AJ190" s="140"/>
      <c r="AK190" s="140"/>
      <c r="AL190" s="140"/>
      <c r="AM190" s="140"/>
    </row>
    <row r="191" spans="1:39" x14ac:dyDescent="0.2">
      <c r="A191" s="29">
        <f t="shared" ca="1" si="2"/>
        <v>45931</v>
      </c>
      <c r="B191" s="140">
        <f ca="1">SUMIFS('recurring2_based on steps'!$B191:$AY191,'recurring2_based on steps'!$B$1:$AY$1,B$1)+SUMIFS('changes2_based on steps'!$B191:$U191,'changes2_based on steps'!$B$1:$U$1,B$1)</f>
        <v>0</v>
      </c>
      <c r="C191" s="140">
        <f>SUMIFS('recurring2_based on steps'!$B191:$AY191,'recurring2_based on steps'!$B$1:$AY$1,C$1)+SUMIFS('changes2_based on steps'!$B191:$U191,'changes2_based on steps'!$B$1:$U$1,C$1)</f>
        <v>0</v>
      </c>
      <c r="D191" s="140">
        <f>SUMIFS('recurring2_based on steps'!$B191:$AY191,'recurring2_based on steps'!$B$1:$AY$1,D$1)+SUMIFS('changes2_based on steps'!$B191:$U191,'changes2_based on steps'!$B$1:$U$1,D$1)</f>
        <v>0</v>
      </c>
      <c r="E191" s="140">
        <f>SUMIFS('recurring2_based on steps'!$B191:$AY191,'recurring2_based on steps'!$B$1:$AY$1,E$1)+SUMIFS('changes2_based on steps'!$B191:$U191,'changes2_based on steps'!$B$1:$U$1,E$1)</f>
        <v>0</v>
      </c>
      <c r="F191" s="140">
        <f>SUMIFS('recurring2_based on steps'!$B191:$AY191,'recurring2_based on steps'!$B$1:$AY$1,F$1)+SUMIFS('changes2_based on steps'!$B191:$U191,'changes2_based on steps'!$B$1:$U$1,F$1)</f>
        <v>0</v>
      </c>
      <c r="G191" s="140">
        <f>SUMIFS('recurring2_based on steps'!$B191:$AY191,'recurring2_based on steps'!$B$1:$AY$1,G$1)+SUMIFS('changes2_based on steps'!$B191:$U191,'changes2_based on steps'!$B$1:$U$1,G$1)</f>
        <v>0</v>
      </c>
      <c r="H191" s="140">
        <f>SUMIFS('recurring2_based on steps'!$B191:$AY191,'recurring2_based on steps'!$B$1:$AY$1,H$1)+SUMIFS('changes2_based on steps'!$B191:$U191,'changes2_based on steps'!$B$1:$U$1,H$1)</f>
        <v>0</v>
      </c>
      <c r="I191" s="140">
        <f>SUMIFS('recurring2_based on steps'!$B191:$AY191,'recurring2_based on steps'!$B$1:$AY$1,I$1)+SUMIFS('changes2_based on steps'!$B191:$U191,'changes2_based on steps'!$B$1:$U$1,I$1)</f>
        <v>0</v>
      </c>
      <c r="J191" s="140">
        <f ca="1">SUMIFS('recurring2_based on steps'!$B191:$AY191,'recurring2_based on steps'!$B$1:$AY$1,J$1)+SUMIFS('changes2_based on steps'!$B191:$U191,'changes2_based on steps'!$B$1:$U$1,J$1)</f>
        <v>0</v>
      </c>
      <c r="K191" s="140">
        <f>SUMIFS('recurring2_based on steps'!$B191:$AY191,'recurring2_based on steps'!$B$1:$AY$1,K$1)+SUMIFS('changes2_based on steps'!$B191:$U191,'changes2_based on steps'!$B$1:$U$1,K$1)</f>
        <v>0</v>
      </c>
      <c r="L191" s="140">
        <f>SUMIFS('recurring2_based on steps'!$B191:$AY191,'recurring2_based on steps'!$B$1:$AY$1,L$1)+SUMIFS('changes2_based on steps'!$B191:$U191,'changes2_based on steps'!$B$1:$U$1,L$1)</f>
        <v>0</v>
      </c>
      <c r="M191" s="140">
        <f>SUMIFS('recurring2_based on steps'!$B191:$AY191,'recurring2_based on steps'!$B$1:$AY$1,M$1)+SUMIFS('changes2_based on steps'!$B191:$U191,'changes2_based on steps'!$B$1:$U$1,M$1)</f>
        <v>0</v>
      </c>
      <c r="N191" s="140">
        <f ca="1">SUMIFS('recurring2_based on steps'!$B191:$AY191,'recurring2_based on steps'!$B$1:$AY$1,N$1)+SUMIFS('changes2_based on steps'!$B191:$U191,'changes2_based on steps'!$B$1:$U$1,N$1)</f>
        <v>2000</v>
      </c>
      <c r="O191" s="140">
        <f>SUMIFS('recurring2_based on steps'!$B191:$AY191,'recurring2_based on steps'!$B$1:$AY$1,O$1)+SUMIFS('changes2_based on steps'!$B191:$U191,'changes2_based on steps'!$B$1:$U$1,O$1)</f>
        <v>0</v>
      </c>
      <c r="P191" s="140">
        <f ca="1">SUMIFS('recurring2_based on steps'!$B191:$AY191,'recurring2_based on steps'!$B$1:$AY$1,P$1)+SUMIFS('changes2_based on steps'!$B191:$U191,'changes2_based on steps'!$B$1:$U$1,P$1)</f>
        <v>0</v>
      </c>
      <c r="Q191" s="140">
        <f ca="1">SUMIFS('recurring2_based on steps'!$B191:$AY191,'recurring2_based on steps'!$B$1:$AY$1,Q$1)+SUMIFS('changes2_based on steps'!$B191:$U191,'changes2_based on steps'!$B$1:$U$1,Q$1)</f>
        <v>5.5401662049861494E-2</v>
      </c>
      <c r="R191" s="140">
        <f ca="1">SUMIFS('recurring2_based on steps'!$B191:$AY191,'recurring2_based on steps'!$B$1:$AY$1,R$1)+SUMIFS('changes2_based on steps'!$B191:$U191,'changes2_based on steps'!$B$1:$U$1,R$1)</f>
        <v>0</v>
      </c>
      <c r="S191" s="140">
        <f>SUMIFS('recurring2_based on steps'!$B191:$AY191,'recurring2_based on steps'!$B$1:$AY$1,S$1)+SUMIFS('changes2_based on steps'!$B191:$U191,'changes2_based on steps'!$B$1:$U$1,S$1)</f>
        <v>0</v>
      </c>
      <c r="T191" s="140">
        <f ca="1">SUMIFS('recurring2_based on steps'!$B191:$AY191,'recurring2_based on steps'!$B$1:$AY$1,T$1)+SUMIFS('changes2_based on steps'!$B191:$U191,'changes2_based on steps'!$B$1:$U$1,T$1)</f>
        <v>0</v>
      </c>
      <c r="U191" s="140">
        <f ca="1">SUMIFS('recurring2_based on steps'!$B191:$AY191,'recurring2_based on steps'!$B$1:$AY$1,U$1)+SUMIFS('changes2_based on steps'!$B191:$U191,'changes2_based on steps'!$B$1:$U$1,U$1)</f>
        <v>0</v>
      </c>
      <c r="V191" s="140">
        <f>SUMIFS('recurring2_based on steps'!$B191:$AY191,'recurring2_based on steps'!$B$1:$AY$1,V$1)+SUMIFS('changes2_based on steps'!$B191:$U191,'changes2_based on steps'!$B$1:$U$1,V$1)</f>
        <v>0</v>
      </c>
      <c r="W191" s="140">
        <f>SUMIFS('recurring2_based on steps'!$B191:$AY191,'recurring2_based on steps'!$B$1:$AY$1,W$1)+SUMIFS('changes2_based on steps'!$B191:$U191,'changes2_based on steps'!$B$1:$U$1,W$1)</f>
        <v>0</v>
      </c>
      <c r="X191" s="140">
        <f ca="1">SUMIFS('recurring2_based on steps'!$B191:$AY191,'recurring2_based on steps'!$B$1:$AY$1,X$1)+SUMIFS('changes2_based on steps'!$B191:$U191,'changes2_based on steps'!$B$1:$U$1,X$1)</f>
        <v>0</v>
      </c>
      <c r="Y191" s="140">
        <f ca="1">SUMIFS('recurring2_based on steps'!$B191:$AY191,'recurring2_based on steps'!$B$1:$AY$1,Y$1)+SUMIFS('changes2_based on steps'!$B191:$U191,'changes2_based on steps'!$B$1:$U$1,Y$1)</f>
        <v>0</v>
      </c>
      <c r="Z191" s="140">
        <f>SUMIFS('recurring2_based on steps'!$B191:$AY191,'recurring2_based on steps'!$B$1:$AY$1,Z$1)+SUMIFS('changes2_based on steps'!$B191:$U191,'changes2_based on steps'!$B$1:$U$1,Z$1)</f>
        <v>0</v>
      </c>
      <c r="AA191" s="140">
        <f ca="1">SUMIFS('recurring2_based on steps'!$B191:$AY191,'recurring2_based on steps'!$B$1:$AY$1,AA$1)+SUMIFS('changes2_based on steps'!$B191:$U191,'changes2_based on steps'!$B$1:$U$1,AA$1)</f>
        <v>0</v>
      </c>
      <c r="AB191" s="140">
        <f ca="1">SUMIFS('recurring2_based on steps'!$B191:$AY191,'recurring2_based on steps'!$B$1:$AY$1,AB$1)+SUMIFS('changes2_based on steps'!$B191:$U191,'changes2_based on steps'!$B$1:$U$1,AB$1)</f>
        <v>0</v>
      </c>
      <c r="AC191" s="140">
        <f ca="1">SUMIFS('recurring2_based on steps'!$B191:$AY191,'recurring2_based on steps'!$B$1:$AY$1,AC$1)+SUMIFS('changes2_based on steps'!$B191:$U191,'changes2_based on steps'!$B$1:$U$1,AC$1)</f>
        <v>0</v>
      </c>
      <c r="AD191" s="140">
        <f ca="1">SUMIFS('recurring2_based on steps'!$B191:$AY191,'recurring2_based on steps'!$B$1:$AY$1,AD$1)+SUMIFS('changes2_based on steps'!$B191:$U191,'changes2_based on steps'!$B$1:$U$1,AD$1)</f>
        <v>0</v>
      </c>
      <c r="AE191" s="140">
        <f>SUMIFS('recurring2_based on steps'!$B191:$AY191,'recurring2_based on steps'!$B$1:$AY$1,AE$1)+SUMIFS('changes2_based on steps'!$B191:$U191,'changes2_based on steps'!$B$1:$U$1,AE$1)</f>
        <v>0</v>
      </c>
      <c r="AF191" s="140"/>
      <c r="AG191" s="140"/>
      <c r="AH191" s="140"/>
      <c r="AI191" s="140"/>
      <c r="AJ191" s="140"/>
      <c r="AK191" s="140"/>
      <c r="AL191" s="140"/>
      <c r="AM191" s="140"/>
    </row>
    <row r="192" spans="1:39" x14ac:dyDescent="0.2">
      <c r="A192" s="29">
        <f t="shared" ca="1" si="2"/>
        <v>45932</v>
      </c>
      <c r="B192" s="140">
        <f ca="1">SUMIFS('recurring2_based on steps'!$B192:$AY192,'recurring2_based on steps'!$B$1:$AY$1,B$1)+SUMIFS('changes2_based on steps'!$B192:$U192,'changes2_based on steps'!$B$1:$U$1,B$1)</f>
        <v>0</v>
      </c>
      <c r="C192" s="140">
        <f>SUMIFS('recurring2_based on steps'!$B192:$AY192,'recurring2_based on steps'!$B$1:$AY$1,C$1)+SUMIFS('changes2_based on steps'!$B192:$U192,'changes2_based on steps'!$B$1:$U$1,C$1)</f>
        <v>0</v>
      </c>
      <c r="D192" s="140">
        <f>SUMIFS('recurring2_based on steps'!$B192:$AY192,'recurring2_based on steps'!$B$1:$AY$1,D$1)+SUMIFS('changes2_based on steps'!$B192:$U192,'changes2_based on steps'!$B$1:$U$1,D$1)</f>
        <v>0</v>
      </c>
      <c r="E192" s="140">
        <f>SUMIFS('recurring2_based on steps'!$B192:$AY192,'recurring2_based on steps'!$B$1:$AY$1,E$1)+SUMIFS('changes2_based on steps'!$B192:$U192,'changes2_based on steps'!$B$1:$U$1,E$1)</f>
        <v>0</v>
      </c>
      <c r="F192" s="140">
        <f>SUMIFS('recurring2_based on steps'!$B192:$AY192,'recurring2_based on steps'!$B$1:$AY$1,F$1)+SUMIFS('changes2_based on steps'!$B192:$U192,'changes2_based on steps'!$B$1:$U$1,F$1)</f>
        <v>0</v>
      </c>
      <c r="G192" s="140">
        <f>SUMIFS('recurring2_based on steps'!$B192:$AY192,'recurring2_based on steps'!$B$1:$AY$1,G$1)+SUMIFS('changes2_based on steps'!$B192:$U192,'changes2_based on steps'!$B$1:$U$1,G$1)</f>
        <v>0</v>
      </c>
      <c r="H192" s="140">
        <f>SUMIFS('recurring2_based on steps'!$B192:$AY192,'recurring2_based on steps'!$B$1:$AY$1,H$1)+SUMIFS('changes2_based on steps'!$B192:$U192,'changes2_based on steps'!$B$1:$U$1,H$1)</f>
        <v>0</v>
      </c>
      <c r="I192" s="140">
        <f>SUMIFS('recurring2_based on steps'!$B192:$AY192,'recurring2_based on steps'!$B$1:$AY$1,I$1)+SUMIFS('changes2_based on steps'!$B192:$U192,'changes2_based on steps'!$B$1:$U$1,I$1)</f>
        <v>0</v>
      </c>
      <c r="J192" s="140">
        <f ca="1">SUMIFS('recurring2_based on steps'!$B192:$AY192,'recurring2_based on steps'!$B$1:$AY$1,J$1)+SUMIFS('changes2_based on steps'!$B192:$U192,'changes2_based on steps'!$B$1:$U$1,J$1)</f>
        <v>0</v>
      </c>
      <c r="K192" s="140">
        <f>SUMIFS('recurring2_based on steps'!$B192:$AY192,'recurring2_based on steps'!$B$1:$AY$1,K$1)+SUMIFS('changes2_based on steps'!$B192:$U192,'changes2_based on steps'!$B$1:$U$1,K$1)</f>
        <v>0</v>
      </c>
      <c r="L192" s="140">
        <f>SUMIFS('recurring2_based on steps'!$B192:$AY192,'recurring2_based on steps'!$B$1:$AY$1,L$1)+SUMIFS('changes2_based on steps'!$B192:$U192,'changes2_based on steps'!$B$1:$U$1,L$1)</f>
        <v>0</v>
      </c>
      <c r="M192" s="140">
        <f>SUMIFS('recurring2_based on steps'!$B192:$AY192,'recurring2_based on steps'!$B$1:$AY$1,M$1)+SUMIFS('changes2_based on steps'!$B192:$U192,'changes2_based on steps'!$B$1:$U$1,M$1)</f>
        <v>0</v>
      </c>
      <c r="N192" s="140">
        <f ca="1">SUMIFS('recurring2_based on steps'!$B192:$AY192,'recurring2_based on steps'!$B$1:$AY$1,N$1)+SUMIFS('changes2_based on steps'!$B192:$U192,'changes2_based on steps'!$B$1:$U$1,N$1)</f>
        <v>0</v>
      </c>
      <c r="O192" s="140">
        <f>SUMIFS('recurring2_based on steps'!$B192:$AY192,'recurring2_based on steps'!$B$1:$AY$1,O$1)+SUMIFS('changes2_based on steps'!$B192:$U192,'changes2_based on steps'!$B$1:$U$1,O$1)</f>
        <v>0</v>
      </c>
      <c r="P192" s="140">
        <f ca="1">SUMIFS('recurring2_based on steps'!$B192:$AY192,'recurring2_based on steps'!$B$1:$AY$1,P$1)+SUMIFS('changes2_based on steps'!$B192:$U192,'changes2_based on steps'!$B$1:$U$1,P$1)</f>
        <v>0</v>
      </c>
      <c r="Q192" s="140">
        <f ca="1">SUMIFS('recurring2_based on steps'!$B192:$AY192,'recurring2_based on steps'!$B$1:$AY$1,Q$1)+SUMIFS('changes2_based on steps'!$B192:$U192,'changes2_based on steps'!$B$1:$U$1,Q$1)</f>
        <v>5.5401662049861494E-2</v>
      </c>
      <c r="R192" s="140">
        <f ca="1">SUMIFS('recurring2_based on steps'!$B192:$AY192,'recurring2_based on steps'!$B$1:$AY$1,R$1)+SUMIFS('changes2_based on steps'!$B192:$U192,'changes2_based on steps'!$B$1:$U$1,R$1)</f>
        <v>0</v>
      </c>
      <c r="S192" s="140">
        <f>SUMIFS('recurring2_based on steps'!$B192:$AY192,'recurring2_based on steps'!$B$1:$AY$1,S$1)+SUMIFS('changes2_based on steps'!$B192:$U192,'changes2_based on steps'!$B$1:$U$1,S$1)</f>
        <v>0</v>
      </c>
      <c r="T192" s="140">
        <f ca="1">SUMIFS('recurring2_based on steps'!$B192:$AY192,'recurring2_based on steps'!$B$1:$AY$1,T$1)+SUMIFS('changes2_based on steps'!$B192:$U192,'changes2_based on steps'!$B$1:$U$1,T$1)</f>
        <v>0</v>
      </c>
      <c r="U192" s="140">
        <f ca="1">SUMIFS('recurring2_based on steps'!$B192:$AY192,'recurring2_based on steps'!$B$1:$AY$1,U$1)+SUMIFS('changes2_based on steps'!$B192:$U192,'changes2_based on steps'!$B$1:$U$1,U$1)</f>
        <v>0</v>
      </c>
      <c r="V192" s="140">
        <f>SUMIFS('recurring2_based on steps'!$B192:$AY192,'recurring2_based on steps'!$B$1:$AY$1,V$1)+SUMIFS('changes2_based on steps'!$B192:$U192,'changes2_based on steps'!$B$1:$U$1,V$1)</f>
        <v>0</v>
      </c>
      <c r="W192" s="140">
        <f>SUMIFS('recurring2_based on steps'!$B192:$AY192,'recurring2_based on steps'!$B$1:$AY$1,W$1)+SUMIFS('changes2_based on steps'!$B192:$U192,'changes2_based on steps'!$B$1:$U$1,W$1)</f>
        <v>0</v>
      </c>
      <c r="X192" s="140">
        <f ca="1">SUMIFS('recurring2_based on steps'!$B192:$AY192,'recurring2_based on steps'!$B$1:$AY$1,X$1)+SUMIFS('changes2_based on steps'!$B192:$U192,'changes2_based on steps'!$B$1:$U$1,X$1)</f>
        <v>0</v>
      </c>
      <c r="Y192" s="140">
        <f ca="1">SUMIFS('recurring2_based on steps'!$B192:$AY192,'recurring2_based on steps'!$B$1:$AY$1,Y$1)+SUMIFS('changes2_based on steps'!$B192:$U192,'changes2_based on steps'!$B$1:$U$1,Y$1)</f>
        <v>0</v>
      </c>
      <c r="Z192" s="140">
        <f>SUMIFS('recurring2_based on steps'!$B192:$AY192,'recurring2_based on steps'!$B$1:$AY$1,Z$1)+SUMIFS('changes2_based on steps'!$B192:$U192,'changes2_based on steps'!$B$1:$U$1,Z$1)</f>
        <v>0</v>
      </c>
      <c r="AA192" s="140">
        <f ca="1">SUMIFS('recurring2_based on steps'!$B192:$AY192,'recurring2_based on steps'!$B$1:$AY$1,AA$1)+SUMIFS('changes2_based on steps'!$B192:$U192,'changes2_based on steps'!$B$1:$U$1,AA$1)</f>
        <v>0</v>
      </c>
      <c r="AB192" s="140">
        <f ca="1">SUMIFS('recurring2_based on steps'!$B192:$AY192,'recurring2_based on steps'!$B$1:$AY$1,AB$1)+SUMIFS('changes2_based on steps'!$B192:$U192,'changes2_based on steps'!$B$1:$U$1,AB$1)</f>
        <v>0</v>
      </c>
      <c r="AC192" s="140">
        <f ca="1">SUMIFS('recurring2_based on steps'!$B192:$AY192,'recurring2_based on steps'!$B$1:$AY$1,AC$1)+SUMIFS('changes2_based on steps'!$B192:$U192,'changes2_based on steps'!$B$1:$U$1,AC$1)</f>
        <v>0</v>
      </c>
      <c r="AD192" s="140">
        <f ca="1">SUMIFS('recurring2_based on steps'!$B192:$AY192,'recurring2_based on steps'!$B$1:$AY$1,AD$1)+SUMIFS('changes2_based on steps'!$B192:$U192,'changes2_based on steps'!$B$1:$U$1,AD$1)</f>
        <v>0</v>
      </c>
      <c r="AE192" s="140">
        <f>SUMIFS('recurring2_based on steps'!$B192:$AY192,'recurring2_based on steps'!$B$1:$AY$1,AE$1)+SUMIFS('changes2_based on steps'!$B192:$U192,'changes2_based on steps'!$B$1:$U$1,AE$1)</f>
        <v>0</v>
      </c>
      <c r="AF192" s="140"/>
      <c r="AG192" s="140"/>
      <c r="AH192" s="140"/>
      <c r="AI192" s="140"/>
      <c r="AJ192" s="140"/>
      <c r="AK192" s="140"/>
      <c r="AL192" s="140"/>
      <c r="AM192" s="140"/>
    </row>
    <row r="193" spans="1:39" x14ac:dyDescent="0.2">
      <c r="A193" s="29">
        <f t="shared" ca="1" si="2"/>
        <v>45933</v>
      </c>
      <c r="B193" s="140">
        <f ca="1">SUMIFS('recurring2_based on steps'!$B193:$AY193,'recurring2_based on steps'!$B$1:$AY$1,B$1)+SUMIFS('changes2_based on steps'!$B193:$U193,'changes2_based on steps'!$B$1:$U$1,B$1)</f>
        <v>4000</v>
      </c>
      <c r="C193" s="140">
        <f>SUMIFS('recurring2_based on steps'!$B193:$AY193,'recurring2_based on steps'!$B$1:$AY$1,C$1)+SUMIFS('changes2_based on steps'!$B193:$U193,'changes2_based on steps'!$B$1:$U$1,C$1)</f>
        <v>0</v>
      </c>
      <c r="D193" s="140">
        <f>SUMIFS('recurring2_based on steps'!$B193:$AY193,'recurring2_based on steps'!$B$1:$AY$1,D$1)+SUMIFS('changes2_based on steps'!$B193:$U193,'changes2_based on steps'!$B$1:$U$1,D$1)</f>
        <v>0</v>
      </c>
      <c r="E193" s="140">
        <f>SUMIFS('recurring2_based on steps'!$B193:$AY193,'recurring2_based on steps'!$B$1:$AY$1,E$1)+SUMIFS('changes2_based on steps'!$B193:$U193,'changes2_based on steps'!$B$1:$U$1,E$1)</f>
        <v>0</v>
      </c>
      <c r="F193" s="140">
        <f>SUMIFS('recurring2_based on steps'!$B193:$AY193,'recurring2_based on steps'!$B$1:$AY$1,F$1)+SUMIFS('changes2_based on steps'!$B193:$U193,'changes2_based on steps'!$B$1:$U$1,F$1)</f>
        <v>0</v>
      </c>
      <c r="G193" s="140">
        <f>SUMIFS('recurring2_based on steps'!$B193:$AY193,'recurring2_based on steps'!$B$1:$AY$1,G$1)+SUMIFS('changes2_based on steps'!$B193:$U193,'changes2_based on steps'!$B$1:$U$1,G$1)</f>
        <v>0</v>
      </c>
      <c r="H193" s="140">
        <f>SUMIFS('recurring2_based on steps'!$B193:$AY193,'recurring2_based on steps'!$B$1:$AY$1,H$1)+SUMIFS('changes2_based on steps'!$B193:$U193,'changes2_based on steps'!$B$1:$U$1,H$1)</f>
        <v>0</v>
      </c>
      <c r="I193" s="140">
        <f>SUMIFS('recurring2_based on steps'!$B193:$AY193,'recurring2_based on steps'!$B$1:$AY$1,I$1)+SUMIFS('changes2_based on steps'!$B193:$U193,'changes2_based on steps'!$B$1:$U$1,I$1)</f>
        <v>0</v>
      </c>
      <c r="J193" s="140">
        <f ca="1">SUMIFS('recurring2_based on steps'!$B193:$AY193,'recurring2_based on steps'!$B$1:$AY$1,J$1)+SUMIFS('changes2_based on steps'!$B193:$U193,'changes2_based on steps'!$B$1:$U$1,J$1)</f>
        <v>0</v>
      </c>
      <c r="K193" s="140">
        <f>SUMIFS('recurring2_based on steps'!$B193:$AY193,'recurring2_based on steps'!$B$1:$AY$1,K$1)+SUMIFS('changes2_based on steps'!$B193:$U193,'changes2_based on steps'!$B$1:$U$1,K$1)</f>
        <v>0</v>
      </c>
      <c r="L193" s="140">
        <f>SUMIFS('recurring2_based on steps'!$B193:$AY193,'recurring2_based on steps'!$B$1:$AY$1,L$1)+SUMIFS('changes2_based on steps'!$B193:$U193,'changes2_based on steps'!$B$1:$U$1,L$1)</f>
        <v>0</v>
      </c>
      <c r="M193" s="140">
        <f>SUMIFS('recurring2_based on steps'!$B193:$AY193,'recurring2_based on steps'!$B$1:$AY$1,M$1)+SUMIFS('changes2_based on steps'!$B193:$U193,'changes2_based on steps'!$B$1:$U$1,M$1)</f>
        <v>0</v>
      </c>
      <c r="N193" s="140">
        <f ca="1">SUMIFS('recurring2_based on steps'!$B193:$AY193,'recurring2_based on steps'!$B$1:$AY$1,N$1)+SUMIFS('changes2_based on steps'!$B193:$U193,'changes2_based on steps'!$B$1:$U$1,N$1)</f>
        <v>0</v>
      </c>
      <c r="O193" s="140">
        <f>SUMIFS('recurring2_based on steps'!$B193:$AY193,'recurring2_based on steps'!$B$1:$AY$1,O$1)+SUMIFS('changes2_based on steps'!$B193:$U193,'changes2_based on steps'!$B$1:$U$1,O$1)</f>
        <v>0</v>
      </c>
      <c r="P193" s="140">
        <f ca="1">SUMIFS('recurring2_based on steps'!$B193:$AY193,'recurring2_based on steps'!$B$1:$AY$1,P$1)+SUMIFS('changes2_based on steps'!$B193:$U193,'changes2_based on steps'!$B$1:$U$1,P$1)</f>
        <v>0</v>
      </c>
      <c r="Q193" s="140">
        <f ca="1">SUMIFS('recurring2_based on steps'!$B193:$AY193,'recurring2_based on steps'!$B$1:$AY$1,Q$1)+SUMIFS('changes2_based on steps'!$B193:$U193,'changes2_based on steps'!$B$1:$U$1,Q$1)</f>
        <v>5.5401662049861494E-2</v>
      </c>
      <c r="R193" s="140">
        <f ca="1">SUMIFS('recurring2_based on steps'!$B193:$AY193,'recurring2_based on steps'!$B$1:$AY$1,R$1)+SUMIFS('changes2_based on steps'!$B193:$U193,'changes2_based on steps'!$B$1:$U$1,R$1)</f>
        <v>0</v>
      </c>
      <c r="S193" s="140">
        <f>SUMIFS('recurring2_based on steps'!$B193:$AY193,'recurring2_based on steps'!$B$1:$AY$1,S$1)+SUMIFS('changes2_based on steps'!$B193:$U193,'changes2_based on steps'!$B$1:$U$1,S$1)</f>
        <v>0</v>
      </c>
      <c r="T193" s="140">
        <f ca="1">SUMIFS('recurring2_based on steps'!$B193:$AY193,'recurring2_based on steps'!$B$1:$AY$1,T$1)+SUMIFS('changes2_based on steps'!$B193:$U193,'changes2_based on steps'!$B$1:$U$1,T$1)</f>
        <v>50</v>
      </c>
      <c r="U193" s="140">
        <f ca="1">SUMIFS('recurring2_based on steps'!$B193:$AY193,'recurring2_based on steps'!$B$1:$AY$1,U$1)+SUMIFS('changes2_based on steps'!$B193:$U193,'changes2_based on steps'!$B$1:$U$1,U$1)</f>
        <v>200</v>
      </c>
      <c r="V193" s="140">
        <f>SUMIFS('recurring2_based on steps'!$B193:$AY193,'recurring2_based on steps'!$B$1:$AY$1,V$1)+SUMIFS('changes2_based on steps'!$B193:$U193,'changes2_based on steps'!$B$1:$U$1,V$1)</f>
        <v>0</v>
      </c>
      <c r="W193" s="140">
        <f>SUMIFS('recurring2_based on steps'!$B193:$AY193,'recurring2_based on steps'!$B$1:$AY$1,W$1)+SUMIFS('changes2_based on steps'!$B193:$U193,'changes2_based on steps'!$B$1:$U$1,W$1)</f>
        <v>0</v>
      </c>
      <c r="X193" s="140">
        <f ca="1">SUMIFS('recurring2_based on steps'!$B193:$AY193,'recurring2_based on steps'!$B$1:$AY$1,X$1)+SUMIFS('changes2_based on steps'!$B193:$U193,'changes2_based on steps'!$B$1:$U$1,X$1)</f>
        <v>96</v>
      </c>
      <c r="Y193" s="140">
        <f ca="1">SUMIFS('recurring2_based on steps'!$B193:$AY193,'recurring2_based on steps'!$B$1:$AY$1,Y$1)+SUMIFS('changes2_based on steps'!$B193:$U193,'changes2_based on steps'!$B$1:$U$1,Y$1)</f>
        <v>0</v>
      </c>
      <c r="Z193" s="140">
        <f>SUMIFS('recurring2_based on steps'!$B193:$AY193,'recurring2_based on steps'!$B$1:$AY$1,Z$1)+SUMIFS('changes2_based on steps'!$B193:$U193,'changes2_based on steps'!$B$1:$U$1,Z$1)</f>
        <v>0</v>
      </c>
      <c r="AA193" s="140">
        <f ca="1">SUMIFS('recurring2_based on steps'!$B193:$AY193,'recurring2_based on steps'!$B$1:$AY$1,AA$1)+SUMIFS('changes2_based on steps'!$B193:$U193,'changes2_based on steps'!$B$1:$U$1,AA$1)</f>
        <v>0</v>
      </c>
      <c r="AB193" s="140">
        <f ca="1">SUMIFS('recurring2_based on steps'!$B193:$AY193,'recurring2_based on steps'!$B$1:$AY$1,AB$1)+SUMIFS('changes2_based on steps'!$B193:$U193,'changes2_based on steps'!$B$1:$U$1,AB$1)</f>
        <v>0</v>
      </c>
      <c r="AC193" s="140">
        <f ca="1">SUMIFS('recurring2_based on steps'!$B193:$AY193,'recurring2_based on steps'!$B$1:$AY$1,AC$1)+SUMIFS('changes2_based on steps'!$B193:$U193,'changes2_based on steps'!$B$1:$U$1,AC$1)</f>
        <v>0</v>
      </c>
      <c r="AD193" s="140">
        <f ca="1">SUMIFS('recurring2_based on steps'!$B193:$AY193,'recurring2_based on steps'!$B$1:$AY$1,AD$1)+SUMIFS('changes2_based on steps'!$B193:$U193,'changes2_based on steps'!$B$1:$U$1,AD$1)</f>
        <v>50</v>
      </c>
      <c r="AE193" s="140">
        <f>SUMIFS('recurring2_based on steps'!$B193:$AY193,'recurring2_based on steps'!$B$1:$AY$1,AE$1)+SUMIFS('changes2_based on steps'!$B193:$U193,'changes2_based on steps'!$B$1:$U$1,AE$1)</f>
        <v>0</v>
      </c>
      <c r="AF193" s="140"/>
      <c r="AG193" s="140"/>
      <c r="AH193" s="140"/>
      <c r="AI193" s="140"/>
      <c r="AJ193" s="140"/>
      <c r="AK193" s="140"/>
      <c r="AL193" s="140"/>
      <c r="AM193" s="140"/>
    </row>
    <row r="194" spans="1:39" x14ac:dyDescent="0.2">
      <c r="A194" s="29">
        <f t="shared" ca="1" si="2"/>
        <v>45934</v>
      </c>
      <c r="B194" s="140">
        <f ca="1">SUMIFS('recurring2_based on steps'!$B194:$AY194,'recurring2_based on steps'!$B$1:$AY$1,B$1)+SUMIFS('changes2_based on steps'!$B194:$U194,'changes2_based on steps'!$B$1:$U$1,B$1)</f>
        <v>0</v>
      </c>
      <c r="C194" s="140">
        <f>SUMIFS('recurring2_based on steps'!$B194:$AY194,'recurring2_based on steps'!$B$1:$AY$1,C$1)+SUMIFS('changes2_based on steps'!$B194:$U194,'changes2_based on steps'!$B$1:$U$1,C$1)</f>
        <v>0</v>
      </c>
      <c r="D194" s="140">
        <f>SUMIFS('recurring2_based on steps'!$B194:$AY194,'recurring2_based on steps'!$B$1:$AY$1,D$1)+SUMIFS('changes2_based on steps'!$B194:$U194,'changes2_based on steps'!$B$1:$U$1,D$1)</f>
        <v>0</v>
      </c>
      <c r="E194" s="140">
        <f>SUMIFS('recurring2_based on steps'!$B194:$AY194,'recurring2_based on steps'!$B$1:$AY$1,E$1)+SUMIFS('changes2_based on steps'!$B194:$U194,'changes2_based on steps'!$B$1:$U$1,E$1)</f>
        <v>0</v>
      </c>
      <c r="F194" s="140">
        <f>SUMIFS('recurring2_based on steps'!$B194:$AY194,'recurring2_based on steps'!$B$1:$AY$1,F$1)+SUMIFS('changes2_based on steps'!$B194:$U194,'changes2_based on steps'!$B$1:$U$1,F$1)</f>
        <v>0</v>
      </c>
      <c r="G194" s="140">
        <f>SUMIFS('recurring2_based on steps'!$B194:$AY194,'recurring2_based on steps'!$B$1:$AY$1,G$1)+SUMIFS('changes2_based on steps'!$B194:$U194,'changes2_based on steps'!$B$1:$U$1,G$1)</f>
        <v>0</v>
      </c>
      <c r="H194" s="140">
        <f>SUMIFS('recurring2_based on steps'!$B194:$AY194,'recurring2_based on steps'!$B$1:$AY$1,H$1)+SUMIFS('changes2_based on steps'!$B194:$U194,'changes2_based on steps'!$B$1:$U$1,H$1)</f>
        <v>0</v>
      </c>
      <c r="I194" s="140">
        <f>SUMIFS('recurring2_based on steps'!$B194:$AY194,'recurring2_based on steps'!$B$1:$AY$1,I$1)+SUMIFS('changes2_based on steps'!$B194:$U194,'changes2_based on steps'!$B$1:$U$1,I$1)</f>
        <v>0</v>
      </c>
      <c r="J194" s="140">
        <f ca="1">SUMIFS('recurring2_based on steps'!$B194:$AY194,'recurring2_based on steps'!$B$1:$AY$1,J$1)+SUMIFS('changes2_based on steps'!$B194:$U194,'changes2_based on steps'!$B$1:$U$1,J$1)</f>
        <v>0</v>
      </c>
      <c r="K194" s="140">
        <f>SUMIFS('recurring2_based on steps'!$B194:$AY194,'recurring2_based on steps'!$B$1:$AY$1,K$1)+SUMIFS('changes2_based on steps'!$B194:$U194,'changes2_based on steps'!$B$1:$U$1,K$1)</f>
        <v>0</v>
      </c>
      <c r="L194" s="140">
        <f>SUMIFS('recurring2_based on steps'!$B194:$AY194,'recurring2_based on steps'!$B$1:$AY$1,L$1)+SUMIFS('changes2_based on steps'!$B194:$U194,'changes2_based on steps'!$B$1:$U$1,L$1)</f>
        <v>0</v>
      </c>
      <c r="M194" s="140">
        <f>SUMIFS('recurring2_based on steps'!$B194:$AY194,'recurring2_based on steps'!$B$1:$AY$1,M$1)+SUMIFS('changes2_based on steps'!$B194:$U194,'changes2_based on steps'!$B$1:$U$1,M$1)</f>
        <v>0</v>
      </c>
      <c r="N194" s="140">
        <f ca="1">SUMIFS('recurring2_based on steps'!$B194:$AY194,'recurring2_based on steps'!$B$1:$AY$1,N$1)+SUMIFS('changes2_based on steps'!$B194:$U194,'changes2_based on steps'!$B$1:$U$1,N$1)</f>
        <v>0</v>
      </c>
      <c r="O194" s="140">
        <f>SUMIFS('recurring2_based on steps'!$B194:$AY194,'recurring2_based on steps'!$B$1:$AY$1,O$1)+SUMIFS('changes2_based on steps'!$B194:$U194,'changes2_based on steps'!$B$1:$U$1,O$1)</f>
        <v>0</v>
      </c>
      <c r="P194" s="140">
        <f ca="1">SUMIFS('recurring2_based on steps'!$B194:$AY194,'recurring2_based on steps'!$B$1:$AY$1,P$1)+SUMIFS('changes2_based on steps'!$B194:$U194,'changes2_based on steps'!$B$1:$U$1,P$1)</f>
        <v>0</v>
      </c>
      <c r="Q194" s="140">
        <f ca="1">SUMIFS('recurring2_based on steps'!$B194:$AY194,'recurring2_based on steps'!$B$1:$AY$1,Q$1)+SUMIFS('changes2_based on steps'!$B194:$U194,'changes2_based on steps'!$B$1:$U$1,Q$1)</f>
        <v>100.05540166204986</v>
      </c>
      <c r="R194" s="140">
        <f ca="1">SUMIFS('recurring2_based on steps'!$B194:$AY194,'recurring2_based on steps'!$B$1:$AY$1,R$1)+SUMIFS('changes2_based on steps'!$B194:$U194,'changes2_based on steps'!$B$1:$U$1,R$1)</f>
        <v>15</v>
      </c>
      <c r="S194" s="140">
        <f>SUMIFS('recurring2_based on steps'!$B194:$AY194,'recurring2_based on steps'!$B$1:$AY$1,S$1)+SUMIFS('changes2_based on steps'!$B194:$U194,'changes2_based on steps'!$B$1:$U$1,S$1)</f>
        <v>0</v>
      </c>
      <c r="T194" s="140">
        <f ca="1">SUMIFS('recurring2_based on steps'!$B194:$AY194,'recurring2_based on steps'!$B$1:$AY$1,T$1)+SUMIFS('changes2_based on steps'!$B194:$U194,'changes2_based on steps'!$B$1:$U$1,T$1)</f>
        <v>0</v>
      </c>
      <c r="U194" s="140">
        <f ca="1">SUMIFS('recurring2_based on steps'!$B194:$AY194,'recurring2_based on steps'!$B$1:$AY$1,U$1)+SUMIFS('changes2_based on steps'!$B194:$U194,'changes2_based on steps'!$B$1:$U$1,U$1)</f>
        <v>0</v>
      </c>
      <c r="V194" s="140">
        <f>SUMIFS('recurring2_based on steps'!$B194:$AY194,'recurring2_based on steps'!$B$1:$AY$1,V$1)+SUMIFS('changes2_based on steps'!$B194:$U194,'changes2_based on steps'!$B$1:$U$1,V$1)</f>
        <v>0</v>
      </c>
      <c r="W194" s="140">
        <f>SUMIFS('recurring2_based on steps'!$B194:$AY194,'recurring2_based on steps'!$B$1:$AY$1,W$1)+SUMIFS('changes2_based on steps'!$B194:$U194,'changes2_based on steps'!$B$1:$U$1,W$1)</f>
        <v>0</v>
      </c>
      <c r="X194" s="140">
        <f ca="1">SUMIFS('recurring2_based on steps'!$B194:$AY194,'recurring2_based on steps'!$B$1:$AY$1,X$1)+SUMIFS('changes2_based on steps'!$B194:$U194,'changes2_based on steps'!$B$1:$U$1,X$1)</f>
        <v>0</v>
      </c>
      <c r="Y194" s="140">
        <f ca="1">SUMIFS('recurring2_based on steps'!$B194:$AY194,'recurring2_based on steps'!$B$1:$AY$1,Y$1)+SUMIFS('changes2_based on steps'!$B194:$U194,'changes2_based on steps'!$B$1:$U$1,Y$1)</f>
        <v>0</v>
      </c>
      <c r="Z194" s="140">
        <f>SUMIFS('recurring2_based on steps'!$B194:$AY194,'recurring2_based on steps'!$B$1:$AY$1,Z$1)+SUMIFS('changes2_based on steps'!$B194:$U194,'changes2_based on steps'!$B$1:$U$1,Z$1)</f>
        <v>0</v>
      </c>
      <c r="AA194" s="140">
        <f ca="1">SUMIFS('recurring2_based on steps'!$B194:$AY194,'recurring2_based on steps'!$B$1:$AY$1,AA$1)+SUMIFS('changes2_based on steps'!$B194:$U194,'changes2_based on steps'!$B$1:$U$1,AA$1)</f>
        <v>0</v>
      </c>
      <c r="AB194" s="140">
        <f ca="1">SUMIFS('recurring2_based on steps'!$B194:$AY194,'recurring2_based on steps'!$B$1:$AY$1,AB$1)+SUMIFS('changes2_based on steps'!$B194:$U194,'changes2_based on steps'!$B$1:$U$1,AB$1)</f>
        <v>100</v>
      </c>
      <c r="AC194" s="140">
        <f ca="1">SUMIFS('recurring2_based on steps'!$B194:$AY194,'recurring2_based on steps'!$B$1:$AY$1,AC$1)+SUMIFS('changes2_based on steps'!$B194:$U194,'changes2_based on steps'!$B$1:$U$1,AC$1)</f>
        <v>0</v>
      </c>
      <c r="AD194" s="140">
        <f ca="1">SUMIFS('recurring2_based on steps'!$B194:$AY194,'recurring2_based on steps'!$B$1:$AY$1,AD$1)+SUMIFS('changes2_based on steps'!$B194:$U194,'changes2_based on steps'!$B$1:$U$1,AD$1)</f>
        <v>0</v>
      </c>
      <c r="AE194" s="140">
        <f>SUMIFS('recurring2_based on steps'!$B194:$AY194,'recurring2_based on steps'!$B$1:$AY$1,AE$1)+SUMIFS('changes2_based on steps'!$B194:$U194,'changes2_based on steps'!$B$1:$U$1,AE$1)</f>
        <v>0</v>
      </c>
      <c r="AF194" s="140"/>
      <c r="AG194" s="140"/>
      <c r="AH194" s="140"/>
      <c r="AI194" s="140"/>
      <c r="AJ194" s="140"/>
      <c r="AK194" s="140"/>
      <c r="AL194" s="140"/>
      <c r="AM194" s="140"/>
    </row>
    <row r="195" spans="1:39" x14ac:dyDescent="0.2">
      <c r="A195" s="29">
        <f t="shared" ca="1" si="2"/>
        <v>45935</v>
      </c>
      <c r="B195" s="140">
        <f ca="1">SUMIFS('recurring2_based on steps'!$B195:$AY195,'recurring2_based on steps'!$B$1:$AY$1,B$1)+SUMIFS('changes2_based on steps'!$B195:$U195,'changes2_based on steps'!$B$1:$U$1,B$1)</f>
        <v>0</v>
      </c>
      <c r="C195" s="140">
        <f>SUMIFS('recurring2_based on steps'!$B195:$AY195,'recurring2_based on steps'!$B$1:$AY$1,C$1)+SUMIFS('changes2_based on steps'!$B195:$U195,'changes2_based on steps'!$B$1:$U$1,C$1)</f>
        <v>0</v>
      </c>
      <c r="D195" s="140">
        <f>SUMIFS('recurring2_based on steps'!$B195:$AY195,'recurring2_based on steps'!$B$1:$AY$1,D$1)+SUMIFS('changes2_based on steps'!$B195:$U195,'changes2_based on steps'!$B$1:$U$1,D$1)</f>
        <v>0</v>
      </c>
      <c r="E195" s="140">
        <f>SUMIFS('recurring2_based on steps'!$B195:$AY195,'recurring2_based on steps'!$B$1:$AY$1,E$1)+SUMIFS('changes2_based on steps'!$B195:$U195,'changes2_based on steps'!$B$1:$U$1,E$1)</f>
        <v>0</v>
      </c>
      <c r="F195" s="140">
        <f>SUMIFS('recurring2_based on steps'!$B195:$AY195,'recurring2_based on steps'!$B$1:$AY$1,F$1)+SUMIFS('changes2_based on steps'!$B195:$U195,'changes2_based on steps'!$B$1:$U$1,F$1)</f>
        <v>0</v>
      </c>
      <c r="G195" s="140">
        <f>SUMIFS('recurring2_based on steps'!$B195:$AY195,'recurring2_based on steps'!$B$1:$AY$1,G$1)+SUMIFS('changes2_based on steps'!$B195:$U195,'changes2_based on steps'!$B$1:$U$1,G$1)</f>
        <v>0</v>
      </c>
      <c r="H195" s="140">
        <f>SUMIFS('recurring2_based on steps'!$B195:$AY195,'recurring2_based on steps'!$B$1:$AY$1,H$1)+SUMIFS('changes2_based on steps'!$B195:$U195,'changes2_based on steps'!$B$1:$U$1,H$1)</f>
        <v>0</v>
      </c>
      <c r="I195" s="140">
        <f>SUMIFS('recurring2_based on steps'!$B195:$AY195,'recurring2_based on steps'!$B$1:$AY$1,I$1)+SUMIFS('changes2_based on steps'!$B195:$U195,'changes2_based on steps'!$B$1:$U$1,I$1)</f>
        <v>0</v>
      </c>
      <c r="J195" s="140">
        <f ca="1">SUMIFS('recurring2_based on steps'!$B195:$AY195,'recurring2_based on steps'!$B$1:$AY$1,J$1)+SUMIFS('changes2_based on steps'!$B195:$U195,'changes2_based on steps'!$B$1:$U$1,J$1)</f>
        <v>0</v>
      </c>
      <c r="K195" s="140">
        <f>SUMIFS('recurring2_based on steps'!$B195:$AY195,'recurring2_based on steps'!$B$1:$AY$1,K$1)+SUMIFS('changes2_based on steps'!$B195:$U195,'changes2_based on steps'!$B$1:$U$1,K$1)</f>
        <v>0</v>
      </c>
      <c r="L195" s="140">
        <f>SUMIFS('recurring2_based on steps'!$B195:$AY195,'recurring2_based on steps'!$B$1:$AY$1,L$1)+SUMIFS('changes2_based on steps'!$B195:$U195,'changes2_based on steps'!$B$1:$U$1,L$1)</f>
        <v>0</v>
      </c>
      <c r="M195" s="140">
        <f>SUMIFS('recurring2_based on steps'!$B195:$AY195,'recurring2_based on steps'!$B$1:$AY$1,M$1)+SUMIFS('changes2_based on steps'!$B195:$U195,'changes2_based on steps'!$B$1:$U$1,M$1)</f>
        <v>0</v>
      </c>
      <c r="N195" s="140">
        <f ca="1">SUMIFS('recurring2_based on steps'!$B195:$AY195,'recurring2_based on steps'!$B$1:$AY$1,N$1)+SUMIFS('changes2_based on steps'!$B195:$U195,'changes2_based on steps'!$B$1:$U$1,N$1)</f>
        <v>0</v>
      </c>
      <c r="O195" s="140">
        <f>SUMIFS('recurring2_based on steps'!$B195:$AY195,'recurring2_based on steps'!$B$1:$AY$1,O$1)+SUMIFS('changes2_based on steps'!$B195:$U195,'changes2_based on steps'!$B$1:$U$1,O$1)</f>
        <v>0</v>
      </c>
      <c r="P195" s="140">
        <f ca="1">SUMIFS('recurring2_based on steps'!$B195:$AY195,'recurring2_based on steps'!$B$1:$AY$1,P$1)+SUMIFS('changes2_based on steps'!$B195:$U195,'changes2_based on steps'!$B$1:$U$1,P$1)</f>
        <v>0</v>
      </c>
      <c r="Q195" s="140">
        <f ca="1">SUMIFS('recurring2_based on steps'!$B195:$AY195,'recurring2_based on steps'!$B$1:$AY$1,Q$1)+SUMIFS('changes2_based on steps'!$B195:$U195,'changes2_based on steps'!$B$1:$U$1,Q$1)</f>
        <v>100.05540166204986</v>
      </c>
      <c r="R195" s="140">
        <f ca="1">SUMIFS('recurring2_based on steps'!$B195:$AY195,'recurring2_based on steps'!$B$1:$AY$1,R$1)+SUMIFS('changes2_based on steps'!$B195:$U195,'changes2_based on steps'!$B$1:$U$1,R$1)</f>
        <v>0</v>
      </c>
      <c r="S195" s="140">
        <f>SUMIFS('recurring2_based on steps'!$B195:$AY195,'recurring2_based on steps'!$B$1:$AY$1,S$1)+SUMIFS('changes2_based on steps'!$B195:$U195,'changes2_based on steps'!$B$1:$U$1,S$1)</f>
        <v>0</v>
      </c>
      <c r="T195" s="140">
        <f ca="1">SUMIFS('recurring2_based on steps'!$B195:$AY195,'recurring2_based on steps'!$B$1:$AY$1,T$1)+SUMIFS('changes2_based on steps'!$B195:$U195,'changes2_based on steps'!$B$1:$U$1,T$1)</f>
        <v>0</v>
      </c>
      <c r="U195" s="140">
        <f ca="1">SUMIFS('recurring2_based on steps'!$B195:$AY195,'recurring2_based on steps'!$B$1:$AY$1,U$1)+SUMIFS('changes2_based on steps'!$B195:$U195,'changes2_based on steps'!$B$1:$U$1,U$1)</f>
        <v>0</v>
      </c>
      <c r="V195" s="140">
        <f>SUMIFS('recurring2_based on steps'!$B195:$AY195,'recurring2_based on steps'!$B$1:$AY$1,V$1)+SUMIFS('changes2_based on steps'!$B195:$U195,'changes2_based on steps'!$B$1:$U$1,V$1)</f>
        <v>0</v>
      </c>
      <c r="W195" s="140">
        <f>SUMIFS('recurring2_based on steps'!$B195:$AY195,'recurring2_based on steps'!$B$1:$AY$1,W$1)+SUMIFS('changes2_based on steps'!$B195:$U195,'changes2_based on steps'!$B$1:$U$1,W$1)</f>
        <v>0</v>
      </c>
      <c r="X195" s="140">
        <f ca="1">SUMIFS('recurring2_based on steps'!$B195:$AY195,'recurring2_based on steps'!$B$1:$AY$1,X$1)+SUMIFS('changes2_based on steps'!$B195:$U195,'changes2_based on steps'!$B$1:$U$1,X$1)</f>
        <v>0</v>
      </c>
      <c r="Y195" s="140">
        <f ca="1">SUMIFS('recurring2_based on steps'!$B195:$AY195,'recurring2_based on steps'!$B$1:$AY$1,Y$1)+SUMIFS('changes2_based on steps'!$B195:$U195,'changes2_based on steps'!$B$1:$U$1,Y$1)</f>
        <v>50</v>
      </c>
      <c r="Z195" s="140">
        <f>SUMIFS('recurring2_based on steps'!$B195:$AY195,'recurring2_based on steps'!$B$1:$AY$1,Z$1)+SUMIFS('changes2_based on steps'!$B195:$U195,'changes2_based on steps'!$B$1:$U$1,Z$1)</f>
        <v>0</v>
      </c>
      <c r="AA195" s="140">
        <f ca="1">SUMIFS('recurring2_based on steps'!$B195:$AY195,'recurring2_based on steps'!$B$1:$AY$1,AA$1)+SUMIFS('changes2_based on steps'!$B195:$U195,'changes2_based on steps'!$B$1:$U$1,AA$1)</f>
        <v>0</v>
      </c>
      <c r="AB195" s="140">
        <f ca="1">SUMIFS('recurring2_based on steps'!$B195:$AY195,'recurring2_based on steps'!$B$1:$AY$1,AB$1)+SUMIFS('changes2_based on steps'!$B195:$U195,'changes2_based on steps'!$B$1:$U$1,AB$1)</f>
        <v>0</v>
      </c>
      <c r="AC195" s="140">
        <f ca="1">SUMIFS('recurring2_based on steps'!$B195:$AY195,'recurring2_based on steps'!$B$1:$AY$1,AC$1)+SUMIFS('changes2_based on steps'!$B195:$U195,'changes2_based on steps'!$B$1:$U$1,AC$1)</f>
        <v>0</v>
      </c>
      <c r="AD195" s="140">
        <f ca="1">SUMIFS('recurring2_based on steps'!$B195:$AY195,'recurring2_based on steps'!$B$1:$AY$1,AD$1)+SUMIFS('changes2_based on steps'!$B195:$U195,'changes2_based on steps'!$B$1:$U$1,AD$1)</f>
        <v>0</v>
      </c>
      <c r="AE195" s="140">
        <f>SUMIFS('recurring2_based on steps'!$B195:$AY195,'recurring2_based on steps'!$B$1:$AY$1,AE$1)+SUMIFS('changes2_based on steps'!$B195:$U195,'changes2_based on steps'!$B$1:$U$1,AE$1)</f>
        <v>0</v>
      </c>
      <c r="AF195" s="140"/>
      <c r="AG195" s="140"/>
      <c r="AH195" s="140"/>
      <c r="AI195" s="140"/>
      <c r="AJ195" s="140"/>
      <c r="AK195" s="140"/>
      <c r="AL195" s="140"/>
      <c r="AM195" s="140"/>
    </row>
    <row r="196" spans="1:39" x14ac:dyDescent="0.2">
      <c r="A196" s="29">
        <f t="shared" ca="1" si="2"/>
        <v>45936</v>
      </c>
      <c r="B196" s="140">
        <f ca="1">SUMIFS('recurring2_based on steps'!$B196:$AY196,'recurring2_based on steps'!$B$1:$AY$1,B$1)+SUMIFS('changes2_based on steps'!$B196:$U196,'changes2_based on steps'!$B$1:$U$1,B$1)</f>
        <v>0</v>
      </c>
      <c r="C196" s="140">
        <f>SUMIFS('recurring2_based on steps'!$B196:$AY196,'recurring2_based on steps'!$B$1:$AY$1,C$1)+SUMIFS('changes2_based on steps'!$B196:$U196,'changes2_based on steps'!$B$1:$U$1,C$1)</f>
        <v>0</v>
      </c>
      <c r="D196" s="140">
        <f>SUMIFS('recurring2_based on steps'!$B196:$AY196,'recurring2_based on steps'!$B$1:$AY$1,D$1)+SUMIFS('changes2_based on steps'!$B196:$U196,'changes2_based on steps'!$B$1:$U$1,D$1)</f>
        <v>0</v>
      </c>
      <c r="E196" s="140">
        <f>SUMIFS('recurring2_based on steps'!$B196:$AY196,'recurring2_based on steps'!$B$1:$AY$1,E$1)+SUMIFS('changes2_based on steps'!$B196:$U196,'changes2_based on steps'!$B$1:$U$1,E$1)</f>
        <v>0</v>
      </c>
      <c r="F196" s="140">
        <f>SUMIFS('recurring2_based on steps'!$B196:$AY196,'recurring2_based on steps'!$B$1:$AY$1,F$1)+SUMIFS('changes2_based on steps'!$B196:$U196,'changes2_based on steps'!$B$1:$U$1,F$1)</f>
        <v>0</v>
      </c>
      <c r="G196" s="140">
        <f>SUMIFS('recurring2_based on steps'!$B196:$AY196,'recurring2_based on steps'!$B$1:$AY$1,G$1)+SUMIFS('changes2_based on steps'!$B196:$U196,'changes2_based on steps'!$B$1:$U$1,G$1)</f>
        <v>0</v>
      </c>
      <c r="H196" s="140">
        <f>SUMIFS('recurring2_based on steps'!$B196:$AY196,'recurring2_based on steps'!$B$1:$AY$1,H$1)+SUMIFS('changes2_based on steps'!$B196:$U196,'changes2_based on steps'!$B$1:$U$1,H$1)</f>
        <v>0</v>
      </c>
      <c r="I196" s="140">
        <f>SUMIFS('recurring2_based on steps'!$B196:$AY196,'recurring2_based on steps'!$B$1:$AY$1,I$1)+SUMIFS('changes2_based on steps'!$B196:$U196,'changes2_based on steps'!$B$1:$U$1,I$1)</f>
        <v>0</v>
      </c>
      <c r="J196" s="140">
        <f ca="1">SUMIFS('recurring2_based on steps'!$B196:$AY196,'recurring2_based on steps'!$B$1:$AY$1,J$1)+SUMIFS('changes2_based on steps'!$B196:$U196,'changes2_based on steps'!$B$1:$U$1,J$1)</f>
        <v>0</v>
      </c>
      <c r="K196" s="140">
        <f>SUMIFS('recurring2_based on steps'!$B196:$AY196,'recurring2_based on steps'!$B$1:$AY$1,K$1)+SUMIFS('changes2_based on steps'!$B196:$U196,'changes2_based on steps'!$B$1:$U$1,K$1)</f>
        <v>0</v>
      </c>
      <c r="L196" s="140">
        <f>SUMIFS('recurring2_based on steps'!$B196:$AY196,'recurring2_based on steps'!$B$1:$AY$1,L$1)+SUMIFS('changes2_based on steps'!$B196:$U196,'changes2_based on steps'!$B$1:$U$1,L$1)</f>
        <v>0</v>
      </c>
      <c r="M196" s="140">
        <f>SUMIFS('recurring2_based on steps'!$B196:$AY196,'recurring2_based on steps'!$B$1:$AY$1,M$1)+SUMIFS('changes2_based on steps'!$B196:$U196,'changes2_based on steps'!$B$1:$U$1,M$1)</f>
        <v>0</v>
      </c>
      <c r="N196" s="140">
        <f ca="1">SUMIFS('recurring2_based on steps'!$B196:$AY196,'recurring2_based on steps'!$B$1:$AY$1,N$1)+SUMIFS('changes2_based on steps'!$B196:$U196,'changes2_based on steps'!$B$1:$U$1,N$1)</f>
        <v>0</v>
      </c>
      <c r="O196" s="140">
        <f>SUMIFS('recurring2_based on steps'!$B196:$AY196,'recurring2_based on steps'!$B$1:$AY$1,O$1)+SUMIFS('changes2_based on steps'!$B196:$U196,'changes2_based on steps'!$B$1:$U$1,O$1)</f>
        <v>0</v>
      </c>
      <c r="P196" s="140">
        <f ca="1">SUMIFS('recurring2_based on steps'!$B196:$AY196,'recurring2_based on steps'!$B$1:$AY$1,P$1)+SUMIFS('changes2_based on steps'!$B196:$U196,'changes2_based on steps'!$B$1:$U$1,P$1)</f>
        <v>0</v>
      </c>
      <c r="Q196" s="140">
        <f ca="1">SUMIFS('recurring2_based on steps'!$B196:$AY196,'recurring2_based on steps'!$B$1:$AY$1,Q$1)+SUMIFS('changes2_based on steps'!$B196:$U196,'changes2_based on steps'!$B$1:$U$1,Q$1)</f>
        <v>5.5401662049861494E-2</v>
      </c>
      <c r="R196" s="140">
        <f ca="1">SUMIFS('recurring2_based on steps'!$B196:$AY196,'recurring2_based on steps'!$B$1:$AY$1,R$1)+SUMIFS('changes2_based on steps'!$B196:$U196,'changes2_based on steps'!$B$1:$U$1,R$1)</f>
        <v>0</v>
      </c>
      <c r="S196" s="140">
        <f>SUMIFS('recurring2_based on steps'!$B196:$AY196,'recurring2_based on steps'!$B$1:$AY$1,S$1)+SUMIFS('changes2_based on steps'!$B196:$U196,'changes2_based on steps'!$B$1:$U$1,S$1)</f>
        <v>0</v>
      </c>
      <c r="T196" s="140">
        <f ca="1">SUMIFS('recurring2_based on steps'!$B196:$AY196,'recurring2_based on steps'!$B$1:$AY$1,T$1)+SUMIFS('changes2_based on steps'!$B196:$U196,'changes2_based on steps'!$B$1:$U$1,T$1)</f>
        <v>0</v>
      </c>
      <c r="U196" s="140">
        <f ca="1">SUMIFS('recurring2_based on steps'!$B196:$AY196,'recurring2_based on steps'!$B$1:$AY$1,U$1)+SUMIFS('changes2_based on steps'!$B196:$U196,'changes2_based on steps'!$B$1:$U$1,U$1)</f>
        <v>0</v>
      </c>
      <c r="V196" s="140">
        <f>SUMIFS('recurring2_based on steps'!$B196:$AY196,'recurring2_based on steps'!$B$1:$AY$1,V$1)+SUMIFS('changes2_based on steps'!$B196:$U196,'changes2_based on steps'!$B$1:$U$1,V$1)</f>
        <v>0</v>
      </c>
      <c r="W196" s="140">
        <f>SUMIFS('recurring2_based on steps'!$B196:$AY196,'recurring2_based on steps'!$B$1:$AY$1,W$1)+SUMIFS('changes2_based on steps'!$B196:$U196,'changes2_based on steps'!$B$1:$U$1,W$1)</f>
        <v>0</v>
      </c>
      <c r="X196" s="140">
        <f ca="1">SUMIFS('recurring2_based on steps'!$B196:$AY196,'recurring2_based on steps'!$B$1:$AY$1,X$1)+SUMIFS('changes2_based on steps'!$B196:$U196,'changes2_based on steps'!$B$1:$U$1,X$1)</f>
        <v>0</v>
      </c>
      <c r="Y196" s="140">
        <f ca="1">SUMIFS('recurring2_based on steps'!$B196:$AY196,'recurring2_based on steps'!$B$1:$AY$1,Y$1)+SUMIFS('changes2_based on steps'!$B196:$U196,'changes2_based on steps'!$B$1:$U$1,Y$1)</f>
        <v>0</v>
      </c>
      <c r="Z196" s="140">
        <f>SUMIFS('recurring2_based on steps'!$B196:$AY196,'recurring2_based on steps'!$B$1:$AY$1,Z$1)+SUMIFS('changes2_based on steps'!$B196:$U196,'changes2_based on steps'!$B$1:$U$1,Z$1)</f>
        <v>0</v>
      </c>
      <c r="AA196" s="140">
        <f ca="1">SUMIFS('recurring2_based on steps'!$B196:$AY196,'recurring2_based on steps'!$B$1:$AY$1,AA$1)+SUMIFS('changes2_based on steps'!$B196:$U196,'changes2_based on steps'!$B$1:$U$1,AA$1)</f>
        <v>0</v>
      </c>
      <c r="AB196" s="140">
        <f ca="1">SUMIFS('recurring2_based on steps'!$B196:$AY196,'recurring2_based on steps'!$B$1:$AY$1,AB$1)+SUMIFS('changes2_based on steps'!$B196:$U196,'changes2_based on steps'!$B$1:$U$1,AB$1)</f>
        <v>0</v>
      </c>
      <c r="AC196" s="140">
        <f ca="1">SUMIFS('recurring2_based on steps'!$B196:$AY196,'recurring2_based on steps'!$B$1:$AY$1,AC$1)+SUMIFS('changes2_based on steps'!$B196:$U196,'changes2_based on steps'!$B$1:$U$1,AC$1)</f>
        <v>0</v>
      </c>
      <c r="AD196" s="140">
        <f ca="1">SUMIFS('recurring2_based on steps'!$B196:$AY196,'recurring2_based on steps'!$B$1:$AY$1,AD$1)+SUMIFS('changes2_based on steps'!$B196:$U196,'changes2_based on steps'!$B$1:$U$1,AD$1)</f>
        <v>0</v>
      </c>
      <c r="AE196" s="140">
        <f>SUMIFS('recurring2_based on steps'!$B196:$AY196,'recurring2_based on steps'!$B$1:$AY$1,AE$1)+SUMIFS('changes2_based on steps'!$B196:$U196,'changes2_based on steps'!$B$1:$U$1,AE$1)</f>
        <v>0</v>
      </c>
      <c r="AF196" s="140"/>
      <c r="AG196" s="140"/>
      <c r="AH196" s="140"/>
      <c r="AI196" s="140"/>
      <c r="AJ196" s="140"/>
      <c r="AK196" s="140"/>
      <c r="AL196" s="140"/>
      <c r="AM196" s="140"/>
    </row>
    <row r="197" spans="1:39" x14ac:dyDescent="0.2">
      <c r="A197" s="29">
        <f t="shared" ref="A197:A260" ca="1" si="3">A196+1</f>
        <v>45937</v>
      </c>
      <c r="B197" s="140">
        <f ca="1">SUMIFS('recurring2_based on steps'!$B197:$AY197,'recurring2_based on steps'!$B$1:$AY$1,B$1)+SUMIFS('changes2_based on steps'!$B197:$U197,'changes2_based on steps'!$B$1:$U$1,B$1)</f>
        <v>0</v>
      </c>
      <c r="C197" s="140">
        <f>SUMIFS('recurring2_based on steps'!$B197:$AY197,'recurring2_based on steps'!$B$1:$AY$1,C$1)+SUMIFS('changes2_based on steps'!$B197:$U197,'changes2_based on steps'!$B$1:$U$1,C$1)</f>
        <v>0</v>
      </c>
      <c r="D197" s="140">
        <f>SUMIFS('recurring2_based on steps'!$B197:$AY197,'recurring2_based on steps'!$B$1:$AY$1,D$1)+SUMIFS('changes2_based on steps'!$B197:$U197,'changes2_based on steps'!$B$1:$U$1,D$1)</f>
        <v>0</v>
      </c>
      <c r="E197" s="140">
        <f>SUMIFS('recurring2_based on steps'!$B197:$AY197,'recurring2_based on steps'!$B$1:$AY$1,E$1)+SUMIFS('changes2_based on steps'!$B197:$U197,'changes2_based on steps'!$B$1:$U$1,E$1)</f>
        <v>0</v>
      </c>
      <c r="F197" s="140">
        <f>SUMIFS('recurring2_based on steps'!$B197:$AY197,'recurring2_based on steps'!$B$1:$AY$1,F$1)+SUMIFS('changes2_based on steps'!$B197:$U197,'changes2_based on steps'!$B$1:$U$1,F$1)</f>
        <v>0</v>
      </c>
      <c r="G197" s="140">
        <f>SUMIFS('recurring2_based on steps'!$B197:$AY197,'recurring2_based on steps'!$B$1:$AY$1,G$1)+SUMIFS('changes2_based on steps'!$B197:$U197,'changes2_based on steps'!$B$1:$U$1,G$1)</f>
        <v>0</v>
      </c>
      <c r="H197" s="140">
        <f>SUMIFS('recurring2_based on steps'!$B197:$AY197,'recurring2_based on steps'!$B$1:$AY$1,H$1)+SUMIFS('changes2_based on steps'!$B197:$U197,'changes2_based on steps'!$B$1:$U$1,H$1)</f>
        <v>0</v>
      </c>
      <c r="I197" s="140">
        <f>SUMIFS('recurring2_based on steps'!$B197:$AY197,'recurring2_based on steps'!$B$1:$AY$1,I$1)+SUMIFS('changes2_based on steps'!$B197:$U197,'changes2_based on steps'!$B$1:$U$1,I$1)</f>
        <v>0</v>
      </c>
      <c r="J197" s="140">
        <f ca="1">SUMIFS('recurring2_based on steps'!$B197:$AY197,'recurring2_based on steps'!$B$1:$AY$1,J$1)+SUMIFS('changes2_based on steps'!$B197:$U197,'changes2_based on steps'!$B$1:$U$1,J$1)</f>
        <v>0</v>
      </c>
      <c r="K197" s="140">
        <f>SUMIFS('recurring2_based on steps'!$B197:$AY197,'recurring2_based on steps'!$B$1:$AY$1,K$1)+SUMIFS('changes2_based on steps'!$B197:$U197,'changes2_based on steps'!$B$1:$U$1,K$1)</f>
        <v>0</v>
      </c>
      <c r="L197" s="140">
        <f>SUMIFS('recurring2_based on steps'!$B197:$AY197,'recurring2_based on steps'!$B$1:$AY$1,L$1)+SUMIFS('changes2_based on steps'!$B197:$U197,'changes2_based on steps'!$B$1:$U$1,L$1)</f>
        <v>0</v>
      </c>
      <c r="M197" s="140">
        <f>SUMIFS('recurring2_based on steps'!$B197:$AY197,'recurring2_based on steps'!$B$1:$AY$1,M$1)+SUMIFS('changes2_based on steps'!$B197:$U197,'changes2_based on steps'!$B$1:$U$1,M$1)</f>
        <v>0</v>
      </c>
      <c r="N197" s="140">
        <f ca="1">SUMIFS('recurring2_based on steps'!$B197:$AY197,'recurring2_based on steps'!$B$1:$AY$1,N$1)+SUMIFS('changes2_based on steps'!$B197:$U197,'changes2_based on steps'!$B$1:$U$1,N$1)</f>
        <v>0</v>
      </c>
      <c r="O197" s="140">
        <f>SUMIFS('recurring2_based on steps'!$B197:$AY197,'recurring2_based on steps'!$B$1:$AY$1,O$1)+SUMIFS('changes2_based on steps'!$B197:$U197,'changes2_based on steps'!$B$1:$U$1,O$1)</f>
        <v>0</v>
      </c>
      <c r="P197" s="140">
        <f ca="1">SUMIFS('recurring2_based on steps'!$B197:$AY197,'recurring2_based on steps'!$B$1:$AY$1,P$1)+SUMIFS('changes2_based on steps'!$B197:$U197,'changes2_based on steps'!$B$1:$U$1,P$1)</f>
        <v>0</v>
      </c>
      <c r="Q197" s="140">
        <f ca="1">SUMIFS('recurring2_based on steps'!$B197:$AY197,'recurring2_based on steps'!$B$1:$AY$1,Q$1)+SUMIFS('changes2_based on steps'!$B197:$U197,'changes2_based on steps'!$B$1:$U$1,Q$1)</f>
        <v>5.5401662049861494E-2</v>
      </c>
      <c r="R197" s="140">
        <f ca="1">SUMIFS('recurring2_based on steps'!$B197:$AY197,'recurring2_based on steps'!$B$1:$AY$1,R$1)+SUMIFS('changes2_based on steps'!$B197:$U197,'changes2_based on steps'!$B$1:$U$1,R$1)</f>
        <v>0</v>
      </c>
      <c r="S197" s="140">
        <f>SUMIFS('recurring2_based on steps'!$B197:$AY197,'recurring2_based on steps'!$B$1:$AY$1,S$1)+SUMIFS('changes2_based on steps'!$B197:$U197,'changes2_based on steps'!$B$1:$U$1,S$1)</f>
        <v>0</v>
      </c>
      <c r="T197" s="140">
        <f ca="1">SUMIFS('recurring2_based on steps'!$B197:$AY197,'recurring2_based on steps'!$B$1:$AY$1,T$1)+SUMIFS('changes2_based on steps'!$B197:$U197,'changes2_based on steps'!$B$1:$U$1,T$1)</f>
        <v>0</v>
      </c>
      <c r="U197" s="140">
        <f ca="1">SUMIFS('recurring2_based on steps'!$B197:$AY197,'recurring2_based on steps'!$B$1:$AY$1,U$1)+SUMIFS('changes2_based on steps'!$B197:$U197,'changes2_based on steps'!$B$1:$U$1,U$1)</f>
        <v>0</v>
      </c>
      <c r="V197" s="140">
        <f>SUMIFS('recurring2_based on steps'!$B197:$AY197,'recurring2_based on steps'!$B$1:$AY$1,V$1)+SUMIFS('changes2_based on steps'!$B197:$U197,'changes2_based on steps'!$B$1:$U$1,V$1)</f>
        <v>0</v>
      </c>
      <c r="W197" s="140">
        <f>SUMIFS('recurring2_based on steps'!$B197:$AY197,'recurring2_based on steps'!$B$1:$AY$1,W$1)+SUMIFS('changes2_based on steps'!$B197:$U197,'changes2_based on steps'!$B$1:$U$1,W$1)</f>
        <v>0</v>
      </c>
      <c r="X197" s="140">
        <f ca="1">SUMIFS('recurring2_based on steps'!$B197:$AY197,'recurring2_based on steps'!$B$1:$AY$1,X$1)+SUMIFS('changes2_based on steps'!$B197:$U197,'changes2_based on steps'!$B$1:$U$1,X$1)</f>
        <v>0</v>
      </c>
      <c r="Y197" s="140">
        <f ca="1">SUMIFS('recurring2_based on steps'!$B197:$AY197,'recurring2_based on steps'!$B$1:$AY$1,Y$1)+SUMIFS('changes2_based on steps'!$B197:$U197,'changes2_based on steps'!$B$1:$U$1,Y$1)</f>
        <v>0</v>
      </c>
      <c r="Z197" s="140">
        <f>SUMIFS('recurring2_based on steps'!$B197:$AY197,'recurring2_based on steps'!$B$1:$AY$1,Z$1)+SUMIFS('changes2_based on steps'!$B197:$U197,'changes2_based on steps'!$B$1:$U$1,Z$1)</f>
        <v>0</v>
      </c>
      <c r="AA197" s="140">
        <f ca="1">SUMIFS('recurring2_based on steps'!$B197:$AY197,'recurring2_based on steps'!$B$1:$AY$1,AA$1)+SUMIFS('changes2_based on steps'!$B197:$U197,'changes2_based on steps'!$B$1:$U$1,AA$1)</f>
        <v>0</v>
      </c>
      <c r="AB197" s="140">
        <f ca="1">SUMIFS('recurring2_based on steps'!$B197:$AY197,'recurring2_based on steps'!$B$1:$AY$1,AB$1)+SUMIFS('changes2_based on steps'!$B197:$U197,'changes2_based on steps'!$B$1:$U$1,AB$1)</f>
        <v>0</v>
      </c>
      <c r="AC197" s="140">
        <f ca="1">SUMIFS('recurring2_based on steps'!$B197:$AY197,'recurring2_based on steps'!$B$1:$AY$1,AC$1)+SUMIFS('changes2_based on steps'!$B197:$U197,'changes2_based on steps'!$B$1:$U$1,AC$1)</f>
        <v>0</v>
      </c>
      <c r="AD197" s="140">
        <f ca="1">SUMIFS('recurring2_based on steps'!$B197:$AY197,'recurring2_based on steps'!$B$1:$AY$1,AD$1)+SUMIFS('changes2_based on steps'!$B197:$U197,'changes2_based on steps'!$B$1:$U$1,AD$1)</f>
        <v>0</v>
      </c>
      <c r="AE197" s="140">
        <f>SUMIFS('recurring2_based on steps'!$B197:$AY197,'recurring2_based on steps'!$B$1:$AY$1,AE$1)+SUMIFS('changes2_based on steps'!$B197:$U197,'changes2_based on steps'!$B$1:$U$1,AE$1)</f>
        <v>0</v>
      </c>
      <c r="AF197" s="140"/>
      <c r="AG197" s="140"/>
      <c r="AH197" s="140"/>
      <c r="AI197" s="140"/>
      <c r="AJ197" s="140"/>
      <c r="AK197" s="140"/>
      <c r="AL197" s="140"/>
      <c r="AM197" s="140"/>
    </row>
    <row r="198" spans="1:39" x14ac:dyDescent="0.2">
      <c r="A198" s="29">
        <f t="shared" ca="1" si="3"/>
        <v>45938</v>
      </c>
      <c r="B198" s="140">
        <f ca="1">SUMIFS('recurring2_based on steps'!$B198:$AY198,'recurring2_based on steps'!$B$1:$AY$1,B$1)+SUMIFS('changes2_based on steps'!$B198:$U198,'changes2_based on steps'!$B$1:$U$1,B$1)</f>
        <v>0</v>
      </c>
      <c r="C198" s="140">
        <f>SUMIFS('recurring2_based on steps'!$B198:$AY198,'recurring2_based on steps'!$B$1:$AY$1,C$1)+SUMIFS('changes2_based on steps'!$B198:$U198,'changes2_based on steps'!$B$1:$U$1,C$1)</f>
        <v>0</v>
      </c>
      <c r="D198" s="140">
        <f>SUMIFS('recurring2_based on steps'!$B198:$AY198,'recurring2_based on steps'!$B$1:$AY$1,D$1)+SUMIFS('changes2_based on steps'!$B198:$U198,'changes2_based on steps'!$B$1:$U$1,D$1)</f>
        <v>0</v>
      </c>
      <c r="E198" s="140">
        <f>SUMIFS('recurring2_based on steps'!$B198:$AY198,'recurring2_based on steps'!$B$1:$AY$1,E$1)+SUMIFS('changes2_based on steps'!$B198:$U198,'changes2_based on steps'!$B$1:$U$1,E$1)</f>
        <v>0</v>
      </c>
      <c r="F198" s="140">
        <f>SUMIFS('recurring2_based on steps'!$B198:$AY198,'recurring2_based on steps'!$B$1:$AY$1,F$1)+SUMIFS('changes2_based on steps'!$B198:$U198,'changes2_based on steps'!$B$1:$U$1,F$1)</f>
        <v>0</v>
      </c>
      <c r="G198" s="140">
        <f>SUMIFS('recurring2_based on steps'!$B198:$AY198,'recurring2_based on steps'!$B$1:$AY$1,G$1)+SUMIFS('changes2_based on steps'!$B198:$U198,'changes2_based on steps'!$B$1:$U$1,G$1)</f>
        <v>0</v>
      </c>
      <c r="H198" s="140">
        <f>SUMIFS('recurring2_based on steps'!$B198:$AY198,'recurring2_based on steps'!$B$1:$AY$1,H$1)+SUMIFS('changes2_based on steps'!$B198:$U198,'changes2_based on steps'!$B$1:$U$1,H$1)</f>
        <v>0</v>
      </c>
      <c r="I198" s="140">
        <f>SUMIFS('recurring2_based on steps'!$B198:$AY198,'recurring2_based on steps'!$B$1:$AY$1,I$1)+SUMIFS('changes2_based on steps'!$B198:$U198,'changes2_based on steps'!$B$1:$U$1,I$1)</f>
        <v>0</v>
      </c>
      <c r="J198" s="140">
        <f ca="1">SUMIFS('recurring2_based on steps'!$B198:$AY198,'recurring2_based on steps'!$B$1:$AY$1,J$1)+SUMIFS('changes2_based on steps'!$B198:$U198,'changes2_based on steps'!$B$1:$U$1,J$1)</f>
        <v>0</v>
      </c>
      <c r="K198" s="140">
        <f>SUMIFS('recurring2_based on steps'!$B198:$AY198,'recurring2_based on steps'!$B$1:$AY$1,K$1)+SUMIFS('changes2_based on steps'!$B198:$U198,'changes2_based on steps'!$B$1:$U$1,K$1)</f>
        <v>0</v>
      </c>
      <c r="L198" s="140">
        <f>SUMIFS('recurring2_based on steps'!$B198:$AY198,'recurring2_based on steps'!$B$1:$AY$1,L$1)+SUMIFS('changes2_based on steps'!$B198:$U198,'changes2_based on steps'!$B$1:$U$1,L$1)</f>
        <v>0</v>
      </c>
      <c r="M198" s="140">
        <f>SUMIFS('recurring2_based on steps'!$B198:$AY198,'recurring2_based on steps'!$B$1:$AY$1,M$1)+SUMIFS('changes2_based on steps'!$B198:$U198,'changes2_based on steps'!$B$1:$U$1,M$1)</f>
        <v>0</v>
      </c>
      <c r="N198" s="140">
        <f ca="1">SUMIFS('recurring2_based on steps'!$B198:$AY198,'recurring2_based on steps'!$B$1:$AY$1,N$1)+SUMIFS('changes2_based on steps'!$B198:$U198,'changes2_based on steps'!$B$1:$U$1,N$1)</f>
        <v>0</v>
      </c>
      <c r="O198" s="140">
        <f>SUMIFS('recurring2_based on steps'!$B198:$AY198,'recurring2_based on steps'!$B$1:$AY$1,O$1)+SUMIFS('changes2_based on steps'!$B198:$U198,'changes2_based on steps'!$B$1:$U$1,O$1)</f>
        <v>0</v>
      </c>
      <c r="P198" s="140">
        <f ca="1">SUMIFS('recurring2_based on steps'!$B198:$AY198,'recurring2_based on steps'!$B$1:$AY$1,P$1)+SUMIFS('changes2_based on steps'!$B198:$U198,'changes2_based on steps'!$B$1:$U$1,P$1)</f>
        <v>0</v>
      </c>
      <c r="Q198" s="140">
        <f ca="1">SUMIFS('recurring2_based on steps'!$B198:$AY198,'recurring2_based on steps'!$B$1:$AY$1,Q$1)+SUMIFS('changes2_based on steps'!$B198:$U198,'changes2_based on steps'!$B$1:$U$1,Q$1)</f>
        <v>5.5401662049861494E-2</v>
      </c>
      <c r="R198" s="140">
        <f ca="1">SUMIFS('recurring2_based on steps'!$B198:$AY198,'recurring2_based on steps'!$B$1:$AY$1,R$1)+SUMIFS('changes2_based on steps'!$B198:$U198,'changes2_based on steps'!$B$1:$U$1,R$1)</f>
        <v>0</v>
      </c>
      <c r="S198" s="140">
        <f>SUMIFS('recurring2_based on steps'!$B198:$AY198,'recurring2_based on steps'!$B$1:$AY$1,S$1)+SUMIFS('changes2_based on steps'!$B198:$U198,'changes2_based on steps'!$B$1:$U$1,S$1)</f>
        <v>0</v>
      </c>
      <c r="T198" s="140">
        <f ca="1">SUMIFS('recurring2_based on steps'!$B198:$AY198,'recurring2_based on steps'!$B$1:$AY$1,T$1)+SUMIFS('changes2_based on steps'!$B198:$U198,'changes2_based on steps'!$B$1:$U$1,T$1)</f>
        <v>0</v>
      </c>
      <c r="U198" s="140">
        <f ca="1">SUMIFS('recurring2_based on steps'!$B198:$AY198,'recurring2_based on steps'!$B$1:$AY$1,U$1)+SUMIFS('changes2_based on steps'!$B198:$U198,'changes2_based on steps'!$B$1:$U$1,U$1)</f>
        <v>0</v>
      </c>
      <c r="V198" s="140">
        <f>SUMIFS('recurring2_based on steps'!$B198:$AY198,'recurring2_based on steps'!$B$1:$AY$1,V$1)+SUMIFS('changes2_based on steps'!$B198:$U198,'changes2_based on steps'!$B$1:$U$1,V$1)</f>
        <v>0</v>
      </c>
      <c r="W198" s="140">
        <f>SUMIFS('recurring2_based on steps'!$B198:$AY198,'recurring2_based on steps'!$B$1:$AY$1,W$1)+SUMIFS('changes2_based on steps'!$B198:$U198,'changes2_based on steps'!$B$1:$U$1,W$1)</f>
        <v>0</v>
      </c>
      <c r="X198" s="140">
        <f ca="1">SUMIFS('recurring2_based on steps'!$B198:$AY198,'recurring2_based on steps'!$B$1:$AY$1,X$1)+SUMIFS('changes2_based on steps'!$B198:$U198,'changes2_based on steps'!$B$1:$U$1,X$1)</f>
        <v>0</v>
      </c>
      <c r="Y198" s="140">
        <f ca="1">SUMIFS('recurring2_based on steps'!$B198:$AY198,'recurring2_based on steps'!$B$1:$AY$1,Y$1)+SUMIFS('changes2_based on steps'!$B198:$U198,'changes2_based on steps'!$B$1:$U$1,Y$1)</f>
        <v>0</v>
      </c>
      <c r="Z198" s="140">
        <f>SUMIFS('recurring2_based on steps'!$B198:$AY198,'recurring2_based on steps'!$B$1:$AY$1,Z$1)+SUMIFS('changes2_based on steps'!$B198:$U198,'changes2_based on steps'!$B$1:$U$1,Z$1)</f>
        <v>0</v>
      </c>
      <c r="AA198" s="140">
        <f ca="1">SUMIFS('recurring2_based on steps'!$B198:$AY198,'recurring2_based on steps'!$B$1:$AY$1,AA$1)+SUMIFS('changes2_based on steps'!$B198:$U198,'changes2_based on steps'!$B$1:$U$1,AA$1)</f>
        <v>0</v>
      </c>
      <c r="AB198" s="140">
        <f ca="1">SUMIFS('recurring2_based on steps'!$B198:$AY198,'recurring2_based on steps'!$B$1:$AY$1,AB$1)+SUMIFS('changes2_based on steps'!$B198:$U198,'changes2_based on steps'!$B$1:$U$1,AB$1)</f>
        <v>0</v>
      </c>
      <c r="AC198" s="140">
        <f ca="1">SUMIFS('recurring2_based on steps'!$B198:$AY198,'recurring2_based on steps'!$B$1:$AY$1,AC$1)+SUMIFS('changes2_based on steps'!$B198:$U198,'changes2_based on steps'!$B$1:$U$1,AC$1)</f>
        <v>0</v>
      </c>
      <c r="AD198" s="140">
        <f ca="1">SUMIFS('recurring2_based on steps'!$B198:$AY198,'recurring2_based on steps'!$B$1:$AY$1,AD$1)+SUMIFS('changes2_based on steps'!$B198:$U198,'changes2_based on steps'!$B$1:$U$1,AD$1)</f>
        <v>0</v>
      </c>
      <c r="AE198" s="140">
        <f>SUMIFS('recurring2_based on steps'!$B198:$AY198,'recurring2_based on steps'!$B$1:$AY$1,AE$1)+SUMIFS('changes2_based on steps'!$B198:$U198,'changes2_based on steps'!$B$1:$U$1,AE$1)</f>
        <v>0</v>
      </c>
      <c r="AF198" s="140"/>
      <c r="AG198" s="140"/>
      <c r="AH198" s="140"/>
      <c r="AI198" s="140"/>
      <c r="AJ198" s="140"/>
      <c r="AK198" s="140"/>
      <c r="AL198" s="140"/>
      <c r="AM198" s="140"/>
    </row>
    <row r="199" spans="1:39" x14ac:dyDescent="0.2">
      <c r="A199" s="29">
        <f t="shared" ca="1" si="3"/>
        <v>45939</v>
      </c>
      <c r="B199" s="140">
        <f ca="1">SUMIFS('recurring2_based on steps'!$B199:$AY199,'recurring2_based on steps'!$B$1:$AY$1,B$1)+SUMIFS('changes2_based on steps'!$B199:$U199,'changes2_based on steps'!$B$1:$U$1,B$1)</f>
        <v>0</v>
      </c>
      <c r="C199" s="140">
        <f>SUMIFS('recurring2_based on steps'!$B199:$AY199,'recurring2_based on steps'!$B$1:$AY$1,C$1)+SUMIFS('changes2_based on steps'!$B199:$U199,'changes2_based on steps'!$B$1:$U$1,C$1)</f>
        <v>0</v>
      </c>
      <c r="D199" s="140">
        <f>SUMIFS('recurring2_based on steps'!$B199:$AY199,'recurring2_based on steps'!$B$1:$AY$1,D$1)+SUMIFS('changes2_based on steps'!$B199:$U199,'changes2_based on steps'!$B$1:$U$1,D$1)</f>
        <v>0</v>
      </c>
      <c r="E199" s="140">
        <f>SUMIFS('recurring2_based on steps'!$B199:$AY199,'recurring2_based on steps'!$B$1:$AY$1,E$1)+SUMIFS('changes2_based on steps'!$B199:$U199,'changes2_based on steps'!$B$1:$U$1,E$1)</f>
        <v>0</v>
      </c>
      <c r="F199" s="140">
        <f>SUMIFS('recurring2_based on steps'!$B199:$AY199,'recurring2_based on steps'!$B$1:$AY$1,F$1)+SUMIFS('changes2_based on steps'!$B199:$U199,'changes2_based on steps'!$B$1:$U$1,F$1)</f>
        <v>0</v>
      </c>
      <c r="G199" s="140">
        <f>SUMIFS('recurring2_based on steps'!$B199:$AY199,'recurring2_based on steps'!$B$1:$AY$1,G$1)+SUMIFS('changes2_based on steps'!$B199:$U199,'changes2_based on steps'!$B$1:$U$1,G$1)</f>
        <v>0</v>
      </c>
      <c r="H199" s="140">
        <f>SUMIFS('recurring2_based on steps'!$B199:$AY199,'recurring2_based on steps'!$B$1:$AY$1,H$1)+SUMIFS('changes2_based on steps'!$B199:$U199,'changes2_based on steps'!$B$1:$U$1,H$1)</f>
        <v>0</v>
      </c>
      <c r="I199" s="140">
        <f>SUMIFS('recurring2_based on steps'!$B199:$AY199,'recurring2_based on steps'!$B$1:$AY$1,I$1)+SUMIFS('changes2_based on steps'!$B199:$U199,'changes2_based on steps'!$B$1:$U$1,I$1)</f>
        <v>0</v>
      </c>
      <c r="J199" s="140">
        <f ca="1">SUMIFS('recurring2_based on steps'!$B199:$AY199,'recurring2_based on steps'!$B$1:$AY$1,J$1)+SUMIFS('changes2_based on steps'!$B199:$U199,'changes2_based on steps'!$B$1:$U$1,J$1)</f>
        <v>0</v>
      </c>
      <c r="K199" s="140">
        <f>SUMIFS('recurring2_based on steps'!$B199:$AY199,'recurring2_based on steps'!$B$1:$AY$1,K$1)+SUMIFS('changes2_based on steps'!$B199:$U199,'changes2_based on steps'!$B$1:$U$1,K$1)</f>
        <v>0</v>
      </c>
      <c r="L199" s="140">
        <f>SUMIFS('recurring2_based on steps'!$B199:$AY199,'recurring2_based on steps'!$B$1:$AY$1,L$1)+SUMIFS('changes2_based on steps'!$B199:$U199,'changes2_based on steps'!$B$1:$U$1,L$1)</f>
        <v>0</v>
      </c>
      <c r="M199" s="140">
        <f>SUMIFS('recurring2_based on steps'!$B199:$AY199,'recurring2_based on steps'!$B$1:$AY$1,M$1)+SUMIFS('changes2_based on steps'!$B199:$U199,'changes2_based on steps'!$B$1:$U$1,M$1)</f>
        <v>0</v>
      </c>
      <c r="N199" s="140">
        <f ca="1">SUMIFS('recurring2_based on steps'!$B199:$AY199,'recurring2_based on steps'!$B$1:$AY$1,N$1)+SUMIFS('changes2_based on steps'!$B199:$U199,'changes2_based on steps'!$B$1:$U$1,N$1)</f>
        <v>0</v>
      </c>
      <c r="O199" s="140">
        <f>SUMIFS('recurring2_based on steps'!$B199:$AY199,'recurring2_based on steps'!$B$1:$AY$1,O$1)+SUMIFS('changes2_based on steps'!$B199:$U199,'changes2_based on steps'!$B$1:$U$1,O$1)</f>
        <v>0</v>
      </c>
      <c r="P199" s="140">
        <f ca="1">SUMIFS('recurring2_based on steps'!$B199:$AY199,'recurring2_based on steps'!$B$1:$AY$1,P$1)+SUMIFS('changes2_based on steps'!$B199:$U199,'changes2_based on steps'!$B$1:$U$1,P$1)</f>
        <v>0</v>
      </c>
      <c r="Q199" s="140">
        <f ca="1">SUMIFS('recurring2_based on steps'!$B199:$AY199,'recurring2_based on steps'!$B$1:$AY$1,Q$1)+SUMIFS('changes2_based on steps'!$B199:$U199,'changes2_based on steps'!$B$1:$U$1,Q$1)</f>
        <v>5.5401662049861494E-2</v>
      </c>
      <c r="R199" s="140">
        <f ca="1">SUMIFS('recurring2_based on steps'!$B199:$AY199,'recurring2_based on steps'!$B$1:$AY$1,R$1)+SUMIFS('changes2_based on steps'!$B199:$U199,'changes2_based on steps'!$B$1:$U$1,R$1)</f>
        <v>0</v>
      </c>
      <c r="S199" s="140">
        <f>SUMIFS('recurring2_based on steps'!$B199:$AY199,'recurring2_based on steps'!$B$1:$AY$1,S$1)+SUMIFS('changes2_based on steps'!$B199:$U199,'changes2_based on steps'!$B$1:$U$1,S$1)</f>
        <v>0</v>
      </c>
      <c r="T199" s="140">
        <f ca="1">SUMIFS('recurring2_based on steps'!$B199:$AY199,'recurring2_based on steps'!$B$1:$AY$1,T$1)+SUMIFS('changes2_based on steps'!$B199:$U199,'changes2_based on steps'!$B$1:$U$1,T$1)</f>
        <v>0</v>
      </c>
      <c r="U199" s="140">
        <f ca="1">SUMIFS('recurring2_based on steps'!$B199:$AY199,'recurring2_based on steps'!$B$1:$AY$1,U$1)+SUMIFS('changes2_based on steps'!$B199:$U199,'changes2_based on steps'!$B$1:$U$1,U$1)</f>
        <v>0</v>
      </c>
      <c r="V199" s="140">
        <f>SUMIFS('recurring2_based on steps'!$B199:$AY199,'recurring2_based on steps'!$B$1:$AY$1,V$1)+SUMIFS('changes2_based on steps'!$B199:$U199,'changes2_based on steps'!$B$1:$U$1,V$1)</f>
        <v>0</v>
      </c>
      <c r="W199" s="140">
        <f>SUMIFS('recurring2_based on steps'!$B199:$AY199,'recurring2_based on steps'!$B$1:$AY$1,W$1)+SUMIFS('changes2_based on steps'!$B199:$U199,'changes2_based on steps'!$B$1:$U$1,W$1)</f>
        <v>0</v>
      </c>
      <c r="X199" s="140">
        <f ca="1">SUMIFS('recurring2_based on steps'!$B199:$AY199,'recurring2_based on steps'!$B$1:$AY$1,X$1)+SUMIFS('changes2_based on steps'!$B199:$U199,'changes2_based on steps'!$B$1:$U$1,X$1)</f>
        <v>0</v>
      </c>
      <c r="Y199" s="140">
        <f ca="1">SUMIFS('recurring2_based on steps'!$B199:$AY199,'recurring2_based on steps'!$B$1:$AY$1,Y$1)+SUMIFS('changes2_based on steps'!$B199:$U199,'changes2_based on steps'!$B$1:$U$1,Y$1)</f>
        <v>0</v>
      </c>
      <c r="Z199" s="140">
        <f>SUMIFS('recurring2_based on steps'!$B199:$AY199,'recurring2_based on steps'!$B$1:$AY$1,Z$1)+SUMIFS('changes2_based on steps'!$B199:$U199,'changes2_based on steps'!$B$1:$U$1,Z$1)</f>
        <v>0</v>
      </c>
      <c r="AA199" s="140">
        <f ca="1">SUMIFS('recurring2_based on steps'!$B199:$AY199,'recurring2_based on steps'!$B$1:$AY$1,AA$1)+SUMIFS('changes2_based on steps'!$B199:$U199,'changes2_based on steps'!$B$1:$U$1,AA$1)</f>
        <v>0</v>
      </c>
      <c r="AB199" s="140">
        <f ca="1">SUMIFS('recurring2_based on steps'!$B199:$AY199,'recurring2_based on steps'!$B$1:$AY$1,AB$1)+SUMIFS('changes2_based on steps'!$B199:$U199,'changes2_based on steps'!$B$1:$U$1,AB$1)</f>
        <v>0</v>
      </c>
      <c r="AC199" s="140">
        <f ca="1">SUMIFS('recurring2_based on steps'!$B199:$AY199,'recurring2_based on steps'!$B$1:$AY$1,AC$1)+SUMIFS('changes2_based on steps'!$B199:$U199,'changes2_based on steps'!$B$1:$U$1,AC$1)</f>
        <v>0</v>
      </c>
      <c r="AD199" s="140">
        <f ca="1">SUMIFS('recurring2_based on steps'!$B199:$AY199,'recurring2_based on steps'!$B$1:$AY$1,AD$1)+SUMIFS('changes2_based on steps'!$B199:$U199,'changes2_based on steps'!$B$1:$U$1,AD$1)</f>
        <v>0</v>
      </c>
      <c r="AE199" s="140">
        <f>SUMIFS('recurring2_based on steps'!$B199:$AY199,'recurring2_based on steps'!$B$1:$AY$1,AE$1)+SUMIFS('changes2_based on steps'!$B199:$U199,'changes2_based on steps'!$B$1:$U$1,AE$1)</f>
        <v>0</v>
      </c>
      <c r="AF199" s="140"/>
      <c r="AG199" s="140"/>
      <c r="AH199" s="140"/>
      <c r="AI199" s="140"/>
      <c r="AJ199" s="140"/>
      <c r="AK199" s="140"/>
      <c r="AL199" s="140"/>
      <c r="AM199" s="140"/>
    </row>
    <row r="200" spans="1:39" x14ac:dyDescent="0.2">
      <c r="A200" s="29">
        <f t="shared" ca="1" si="3"/>
        <v>45940</v>
      </c>
      <c r="B200" s="140">
        <f ca="1">SUMIFS('recurring2_based on steps'!$B200:$AY200,'recurring2_based on steps'!$B$1:$AY$1,B$1)+SUMIFS('changes2_based on steps'!$B200:$U200,'changes2_based on steps'!$B$1:$U$1,B$1)</f>
        <v>0</v>
      </c>
      <c r="C200" s="140">
        <f>SUMIFS('recurring2_based on steps'!$B200:$AY200,'recurring2_based on steps'!$B$1:$AY$1,C$1)+SUMIFS('changes2_based on steps'!$B200:$U200,'changes2_based on steps'!$B$1:$U$1,C$1)</f>
        <v>0</v>
      </c>
      <c r="D200" s="140">
        <f>SUMIFS('recurring2_based on steps'!$B200:$AY200,'recurring2_based on steps'!$B$1:$AY$1,D$1)+SUMIFS('changes2_based on steps'!$B200:$U200,'changes2_based on steps'!$B$1:$U$1,D$1)</f>
        <v>0</v>
      </c>
      <c r="E200" s="140">
        <f>SUMIFS('recurring2_based on steps'!$B200:$AY200,'recurring2_based on steps'!$B$1:$AY$1,E$1)+SUMIFS('changes2_based on steps'!$B200:$U200,'changes2_based on steps'!$B$1:$U$1,E$1)</f>
        <v>0</v>
      </c>
      <c r="F200" s="140">
        <f>SUMIFS('recurring2_based on steps'!$B200:$AY200,'recurring2_based on steps'!$B$1:$AY$1,F$1)+SUMIFS('changes2_based on steps'!$B200:$U200,'changes2_based on steps'!$B$1:$U$1,F$1)</f>
        <v>0</v>
      </c>
      <c r="G200" s="140">
        <f>SUMIFS('recurring2_based on steps'!$B200:$AY200,'recurring2_based on steps'!$B$1:$AY$1,G$1)+SUMIFS('changes2_based on steps'!$B200:$U200,'changes2_based on steps'!$B$1:$U$1,G$1)</f>
        <v>0</v>
      </c>
      <c r="H200" s="140">
        <f>SUMIFS('recurring2_based on steps'!$B200:$AY200,'recurring2_based on steps'!$B$1:$AY$1,H$1)+SUMIFS('changes2_based on steps'!$B200:$U200,'changes2_based on steps'!$B$1:$U$1,H$1)</f>
        <v>0</v>
      </c>
      <c r="I200" s="140">
        <f>SUMIFS('recurring2_based on steps'!$B200:$AY200,'recurring2_based on steps'!$B$1:$AY$1,I$1)+SUMIFS('changes2_based on steps'!$B200:$U200,'changes2_based on steps'!$B$1:$U$1,I$1)</f>
        <v>0</v>
      </c>
      <c r="J200" s="140">
        <f ca="1">SUMIFS('recurring2_based on steps'!$B200:$AY200,'recurring2_based on steps'!$B$1:$AY$1,J$1)+SUMIFS('changes2_based on steps'!$B200:$U200,'changes2_based on steps'!$B$1:$U$1,J$1)</f>
        <v>0</v>
      </c>
      <c r="K200" s="140">
        <f>SUMIFS('recurring2_based on steps'!$B200:$AY200,'recurring2_based on steps'!$B$1:$AY$1,K$1)+SUMIFS('changes2_based on steps'!$B200:$U200,'changes2_based on steps'!$B$1:$U$1,K$1)</f>
        <v>0</v>
      </c>
      <c r="L200" s="140">
        <f>SUMIFS('recurring2_based on steps'!$B200:$AY200,'recurring2_based on steps'!$B$1:$AY$1,L$1)+SUMIFS('changes2_based on steps'!$B200:$U200,'changes2_based on steps'!$B$1:$U$1,L$1)</f>
        <v>0</v>
      </c>
      <c r="M200" s="140">
        <f>SUMIFS('recurring2_based on steps'!$B200:$AY200,'recurring2_based on steps'!$B$1:$AY$1,M$1)+SUMIFS('changes2_based on steps'!$B200:$U200,'changes2_based on steps'!$B$1:$U$1,M$1)</f>
        <v>0</v>
      </c>
      <c r="N200" s="140">
        <f ca="1">SUMIFS('recurring2_based on steps'!$B200:$AY200,'recurring2_based on steps'!$B$1:$AY$1,N$1)+SUMIFS('changes2_based on steps'!$B200:$U200,'changes2_based on steps'!$B$1:$U$1,N$1)</f>
        <v>0</v>
      </c>
      <c r="O200" s="140">
        <f>SUMIFS('recurring2_based on steps'!$B200:$AY200,'recurring2_based on steps'!$B$1:$AY$1,O$1)+SUMIFS('changes2_based on steps'!$B200:$U200,'changes2_based on steps'!$B$1:$U$1,O$1)</f>
        <v>0</v>
      </c>
      <c r="P200" s="140">
        <f ca="1">SUMIFS('recurring2_based on steps'!$B200:$AY200,'recurring2_based on steps'!$B$1:$AY$1,P$1)+SUMIFS('changes2_based on steps'!$B200:$U200,'changes2_based on steps'!$B$1:$U$1,P$1)</f>
        <v>0</v>
      </c>
      <c r="Q200" s="140">
        <f ca="1">SUMIFS('recurring2_based on steps'!$B200:$AY200,'recurring2_based on steps'!$B$1:$AY$1,Q$1)+SUMIFS('changes2_based on steps'!$B200:$U200,'changes2_based on steps'!$B$1:$U$1,Q$1)</f>
        <v>5.5401662049861494E-2</v>
      </c>
      <c r="R200" s="140">
        <f ca="1">SUMIFS('recurring2_based on steps'!$B200:$AY200,'recurring2_based on steps'!$B$1:$AY$1,R$1)+SUMIFS('changes2_based on steps'!$B200:$U200,'changes2_based on steps'!$B$1:$U$1,R$1)</f>
        <v>0</v>
      </c>
      <c r="S200" s="140">
        <f>SUMIFS('recurring2_based on steps'!$B200:$AY200,'recurring2_based on steps'!$B$1:$AY$1,S$1)+SUMIFS('changes2_based on steps'!$B200:$U200,'changes2_based on steps'!$B$1:$U$1,S$1)</f>
        <v>0</v>
      </c>
      <c r="T200" s="140">
        <f ca="1">SUMIFS('recurring2_based on steps'!$B200:$AY200,'recurring2_based on steps'!$B$1:$AY$1,T$1)+SUMIFS('changes2_based on steps'!$B200:$U200,'changes2_based on steps'!$B$1:$U$1,T$1)</f>
        <v>0</v>
      </c>
      <c r="U200" s="140">
        <f ca="1">SUMIFS('recurring2_based on steps'!$B200:$AY200,'recurring2_based on steps'!$B$1:$AY$1,U$1)+SUMIFS('changes2_based on steps'!$B200:$U200,'changes2_based on steps'!$B$1:$U$1,U$1)</f>
        <v>0</v>
      </c>
      <c r="V200" s="140">
        <f>SUMIFS('recurring2_based on steps'!$B200:$AY200,'recurring2_based on steps'!$B$1:$AY$1,V$1)+SUMIFS('changes2_based on steps'!$B200:$U200,'changes2_based on steps'!$B$1:$U$1,V$1)</f>
        <v>0</v>
      </c>
      <c r="W200" s="140">
        <f>SUMIFS('recurring2_based on steps'!$B200:$AY200,'recurring2_based on steps'!$B$1:$AY$1,W$1)+SUMIFS('changes2_based on steps'!$B200:$U200,'changes2_based on steps'!$B$1:$U$1,W$1)</f>
        <v>0</v>
      </c>
      <c r="X200" s="140">
        <f ca="1">SUMIFS('recurring2_based on steps'!$B200:$AY200,'recurring2_based on steps'!$B$1:$AY$1,X$1)+SUMIFS('changes2_based on steps'!$B200:$U200,'changes2_based on steps'!$B$1:$U$1,X$1)</f>
        <v>0</v>
      </c>
      <c r="Y200" s="140">
        <f ca="1">SUMIFS('recurring2_based on steps'!$B200:$AY200,'recurring2_based on steps'!$B$1:$AY$1,Y$1)+SUMIFS('changes2_based on steps'!$B200:$U200,'changes2_based on steps'!$B$1:$U$1,Y$1)</f>
        <v>0</v>
      </c>
      <c r="Z200" s="140">
        <f>SUMIFS('recurring2_based on steps'!$B200:$AY200,'recurring2_based on steps'!$B$1:$AY$1,Z$1)+SUMIFS('changes2_based on steps'!$B200:$U200,'changes2_based on steps'!$B$1:$U$1,Z$1)</f>
        <v>0</v>
      </c>
      <c r="AA200" s="140">
        <f ca="1">SUMIFS('recurring2_based on steps'!$B200:$AY200,'recurring2_based on steps'!$B$1:$AY$1,AA$1)+SUMIFS('changes2_based on steps'!$B200:$U200,'changes2_based on steps'!$B$1:$U$1,AA$1)</f>
        <v>0</v>
      </c>
      <c r="AB200" s="140">
        <f ca="1">SUMIFS('recurring2_based on steps'!$B200:$AY200,'recurring2_based on steps'!$B$1:$AY$1,AB$1)+SUMIFS('changes2_based on steps'!$B200:$U200,'changes2_based on steps'!$B$1:$U$1,AB$1)</f>
        <v>0</v>
      </c>
      <c r="AC200" s="140">
        <f ca="1">SUMIFS('recurring2_based on steps'!$B200:$AY200,'recurring2_based on steps'!$B$1:$AY$1,AC$1)+SUMIFS('changes2_based on steps'!$B200:$U200,'changes2_based on steps'!$B$1:$U$1,AC$1)</f>
        <v>0</v>
      </c>
      <c r="AD200" s="140">
        <f ca="1">SUMIFS('recurring2_based on steps'!$B200:$AY200,'recurring2_based on steps'!$B$1:$AY$1,AD$1)+SUMIFS('changes2_based on steps'!$B200:$U200,'changes2_based on steps'!$B$1:$U$1,AD$1)</f>
        <v>0</v>
      </c>
      <c r="AE200" s="140">
        <f>SUMIFS('recurring2_based on steps'!$B200:$AY200,'recurring2_based on steps'!$B$1:$AY$1,AE$1)+SUMIFS('changes2_based on steps'!$B200:$U200,'changes2_based on steps'!$B$1:$U$1,AE$1)</f>
        <v>0</v>
      </c>
      <c r="AF200" s="140"/>
      <c r="AG200" s="140"/>
      <c r="AH200" s="140"/>
      <c r="AI200" s="140"/>
      <c r="AJ200" s="140"/>
      <c r="AK200" s="140"/>
      <c r="AL200" s="140"/>
      <c r="AM200" s="140"/>
    </row>
    <row r="201" spans="1:39" x14ac:dyDescent="0.2">
      <c r="A201" s="29">
        <f t="shared" ca="1" si="3"/>
        <v>45941</v>
      </c>
      <c r="B201" s="140">
        <f ca="1">SUMIFS('recurring2_based on steps'!$B201:$AY201,'recurring2_based on steps'!$B$1:$AY$1,B$1)+SUMIFS('changes2_based on steps'!$B201:$U201,'changes2_based on steps'!$B$1:$U$1,B$1)</f>
        <v>0</v>
      </c>
      <c r="C201" s="140">
        <f>SUMIFS('recurring2_based on steps'!$B201:$AY201,'recurring2_based on steps'!$B$1:$AY$1,C$1)+SUMIFS('changes2_based on steps'!$B201:$U201,'changes2_based on steps'!$B$1:$U$1,C$1)</f>
        <v>0</v>
      </c>
      <c r="D201" s="140">
        <f>SUMIFS('recurring2_based on steps'!$B201:$AY201,'recurring2_based on steps'!$B$1:$AY$1,D$1)+SUMIFS('changes2_based on steps'!$B201:$U201,'changes2_based on steps'!$B$1:$U$1,D$1)</f>
        <v>0</v>
      </c>
      <c r="E201" s="140">
        <f>SUMIFS('recurring2_based on steps'!$B201:$AY201,'recurring2_based on steps'!$B$1:$AY$1,E$1)+SUMIFS('changes2_based on steps'!$B201:$U201,'changes2_based on steps'!$B$1:$U$1,E$1)</f>
        <v>0</v>
      </c>
      <c r="F201" s="140">
        <f>SUMIFS('recurring2_based on steps'!$B201:$AY201,'recurring2_based on steps'!$B$1:$AY$1,F$1)+SUMIFS('changes2_based on steps'!$B201:$U201,'changes2_based on steps'!$B$1:$U$1,F$1)</f>
        <v>0</v>
      </c>
      <c r="G201" s="140">
        <f>SUMIFS('recurring2_based on steps'!$B201:$AY201,'recurring2_based on steps'!$B$1:$AY$1,G$1)+SUMIFS('changes2_based on steps'!$B201:$U201,'changes2_based on steps'!$B$1:$U$1,G$1)</f>
        <v>0</v>
      </c>
      <c r="H201" s="140">
        <f>SUMIFS('recurring2_based on steps'!$B201:$AY201,'recurring2_based on steps'!$B$1:$AY$1,H$1)+SUMIFS('changes2_based on steps'!$B201:$U201,'changes2_based on steps'!$B$1:$U$1,H$1)</f>
        <v>0</v>
      </c>
      <c r="I201" s="140">
        <f>SUMIFS('recurring2_based on steps'!$B201:$AY201,'recurring2_based on steps'!$B$1:$AY$1,I$1)+SUMIFS('changes2_based on steps'!$B201:$U201,'changes2_based on steps'!$B$1:$U$1,I$1)</f>
        <v>0</v>
      </c>
      <c r="J201" s="140">
        <f ca="1">SUMIFS('recurring2_based on steps'!$B201:$AY201,'recurring2_based on steps'!$B$1:$AY$1,J$1)+SUMIFS('changes2_based on steps'!$B201:$U201,'changes2_based on steps'!$B$1:$U$1,J$1)</f>
        <v>0</v>
      </c>
      <c r="K201" s="140">
        <f>SUMIFS('recurring2_based on steps'!$B201:$AY201,'recurring2_based on steps'!$B$1:$AY$1,K$1)+SUMIFS('changes2_based on steps'!$B201:$U201,'changes2_based on steps'!$B$1:$U$1,K$1)</f>
        <v>0</v>
      </c>
      <c r="L201" s="140">
        <f>SUMIFS('recurring2_based on steps'!$B201:$AY201,'recurring2_based on steps'!$B$1:$AY$1,L$1)+SUMIFS('changes2_based on steps'!$B201:$U201,'changes2_based on steps'!$B$1:$U$1,L$1)</f>
        <v>0</v>
      </c>
      <c r="M201" s="140">
        <f>SUMIFS('recurring2_based on steps'!$B201:$AY201,'recurring2_based on steps'!$B$1:$AY$1,M$1)+SUMIFS('changes2_based on steps'!$B201:$U201,'changes2_based on steps'!$B$1:$U$1,M$1)</f>
        <v>0</v>
      </c>
      <c r="N201" s="140">
        <f ca="1">SUMIFS('recurring2_based on steps'!$B201:$AY201,'recurring2_based on steps'!$B$1:$AY$1,N$1)+SUMIFS('changes2_based on steps'!$B201:$U201,'changes2_based on steps'!$B$1:$U$1,N$1)</f>
        <v>0</v>
      </c>
      <c r="O201" s="140">
        <f>SUMIFS('recurring2_based on steps'!$B201:$AY201,'recurring2_based on steps'!$B$1:$AY$1,O$1)+SUMIFS('changes2_based on steps'!$B201:$U201,'changes2_based on steps'!$B$1:$U$1,O$1)</f>
        <v>0</v>
      </c>
      <c r="P201" s="140">
        <f ca="1">SUMIFS('recurring2_based on steps'!$B201:$AY201,'recurring2_based on steps'!$B$1:$AY$1,P$1)+SUMIFS('changes2_based on steps'!$B201:$U201,'changes2_based on steps'!$B$1:$U$1,P$1)</f>
        <v>0</v>
      </c>
      <c r="Q201" s="140">
        <f ca="1">SUMIFS('recurring2_based on steps'!$B201:$AY201,'recurring2_based on steps'!$B$1:$AY$1,Q$1)+SUMIFS('changes2_based on steps'!$B201:$U201,'changes2_based on steps'!$B$1:$U$1,Q$1)</f>
        <v>100.05540166204986</v>
      </c>
      <c r="R201" s="140">
        <f ca="1">SUMIFS('recurring2_based on steps'!$B201:$AY201,'recurring2_based on steps'!$B$1:$AY$1,R$1)+SUMIFS('changes2_based on steps'!$B201:$U201,'changes2_based on steps'!$B$1:$U$1,R$1)</f>
        <v>0</v>
      </c>
      <c r="S201" s="140">
        <f>SUMIFS('recurring2_based on steps'!$B201:$AY201,'recurring2_based on steps'!$B$1:$AY$1,S$1)+SUMIFS('changes2_based on steps'!$B201:$U201,'changes2_based on steps'!$B$1:$U$1,S$1)</f>
        <v>0</v>
      </c>
      <c r="T201" s="140">
        <f ca="1">SUMIFS('recurring2_based on steps'!$B201:$AY201,'recurring2_based on steps'!$B$1:$AY$1,T$1)+SUMIFS('changes2_based on steps'!$B201:$U201,'changes2_based on steps'!$B$1:$U$1,T$1)</f>
        <v>0</v>
      </c>
      <c r="U201" s="140">
        <f ca="1">SUMIFS('recurring2_based on steps'!$B201:$AY201,'recurring2_based on steps'!$B$1:$AY$1,U$1)+SUMIFS('changes2_based on steps'!$B201:$U201,'changes2_based on steps'!$B$1:$U$1,U$1)</f>
        <v>0</v>
      </c>
      <c r="V201" s="140">
        <f>SUMIFS('recurring2_based on steps'!$B201:$AY201,'recurring2_based on steps'!$B$1:$AY$1,V$1)+SUMIFS('changes2_based on steps'!$B201:$U201,'changes2_based on steps'!$B$1:$U$1,V$1)</f>
        <v>0</v>
      </c>
      <c r="W201" s="140">
        <f>SUMIFS('recurring2_based on steps'!$B201:$AY201,'recurring2_based on steps'!$B$1:$AY$1,W$1)+SUMIFS('changes2_based on steps'!$B201:$U201,'changes2_based on steps'!$B$1:$U$1,W$1)</f>
        <v>0</v>
      </c>
      <c r="X201" s="140">
        <f ca="1">SUMIFS('recurring2_based on steps'!$B201:$AY201,'recurring2_based on steps'!$B$1:$AY$1,X$1)+SUMIFS('changes2_based on steps'!$B201:$U201,'changes2_based on steps'!$B$1:$U$1,X$1)</f>
        <v>0</v>
      </c>
      <c r="Y201" s="140">
        <f ca="1">SUMIFS('recurring2_based on steps'!$B201:$AY201,'recurring2_based on steps'!$B$1:$AY$1,Y$1)+SUMIFS('changes2_based on steps'!$B201:$U201,'changes2_based on steps'!$B$1:$U$1,Y$1)</f>
        <v>0</v>
      </c>
      <c r="Z201" s="140">
        <f>SUMIFS('recurring2_based on steps'!$B201:$AY201,'recurring2_based on steps'!$B$1:$AY$1,Z$1)+SUMIFS('changes2_based on steps'!$B201:$U201,'changes2_based on steps'!$B$1:$U$1,Z$1)</f>
        <v>0</v>
      </c>
      <c r="AA201" s="140">
        <f ca="1">SUMIFS('recurring2_based on steps'!$B201:$AY201,'recurring2_based on steps'!$B$1:$AY$1,AA$1)+SUMIFS('changes2_based on steps'!$B201:$U201,'changes2_based on steps'!$B$1:$U$1,AA$1)</f>
        <v>0</v>
      </c>
      <c r="AB201" s="140">
        <f ca="1">SUMIFS('recurring2_based on steps'!$B201:$AY201,'recurring2_based on steps'!$B$1:$AY$1,AB$1)+SUMIFS('changes2_based on steps'!$B201:$U201,'changes2_based on steps'!$B$1:$U$1,AB$1)</f>
        <v>100</v>
      </c>
      <c r="AC201" s="140">
        <f ca="1">SUMIFS('recurring2_based on steps'!$B201:$AY201,'recurring2_based on steps'!$B$1:$AY$1,AC$1)+SUMIFS('changes2_based on steps'!$B201:$U201,'changes2_based on steps'!$B$1:$U$1,AC$1)</f>
        <v>0</v>
      </c>
      <c r="AD201" s="140">
        <f ca="1">SUMIFS('recurring2_based on steps'!$B201:$AY201,'recurring2_based on steps'!$B$1:$AY$1,AD$1)+SUMIFS('changes2_based on steps'!$B201:$U201,'changes2_based on steps'!$B$1:$U$1,AD$1)</f>
        <v>0</v>
      </c>
      <c r="AE201" s="140">
        <f>SUMIFS('recurring2_based on steps'!$B201:$AY201,'recurring2_based on steps'!$B$1:$AY$1,AE$1)+SUMIFS('changes2_based on steps'!$B201:$U201,'changes2_based on steps'!$B$1:$U$1,AE$1)</f>
        <v>0</v>
      </c>
      <c r="AF201" s="140"/>
      <c r="AG201" s="140"/>
      <c r="AH201" s="140"/>
      <c r="AI201" s="140"/>
      <c r="AJ201" s="140"/>
      <c r="AK201" s="140"/>
      <c r="AL201" s="140"/>
      <c r="AM201" s="140"/>
    </row>
    <row r="202" spans="1:39" x14ac:dyDescent="0.2">
      <c r="A202" s="29">
        <f t="shared" ca="1" si="3"/>
        <v>45942</v>
      </c>
      <c r="B202" s="140">
        <f ca="1">SUMIFS('recurring2_based on steps'!$B202:$AY202,'recurring2_based on steps'!$B$1:$AY$1,B$1)+SUMIFS('changes2_based on steps'!$B202:$U202,'changes2_based on steps'!$B$1:$U$1,B$1)</f>
        <v>0</v>
      </c>
      <c r="C202" s="140">
        <f>SUMIFS('recurring2_based on steps'!$B202:$AY202,'recurring2_based on steps'!$B$1:$AY$1,C$1)+SUMIFS('changes2_based on steps'!$B202:$U202,'changes2_based on steps'!$B$1:$U$1,C$1)</f>
        <v>0</v>
      </c>
      <c r="D202" s="140">
        <f>SUMIFS('recurring2_based on steps'!$B202:$AY202,'recurring2_based on steps'!$B$1:$AY$1,D$1)+SUMIFS('changes2_based on steps'!$B202:$U202,'changes2_based on steps'!$B$1:$U$1,D$1)</f>
        <v>0</v>
      </c>
      <c r="E202" s="140">
        <f>SUMIFS('recurring2_based on steps'!$B202:$AY202,'recurring2_based on steps'!$B$1:$AY$1,E$1)+SUMIFS('changes2_based on steps'!$B202:$U202,'changes2_based on steps'!$B$1:$U$1,E$1)</f>
        <v>0</v>
      </c>
      <c r="F202" s="140">
        <f>SUMIFS('recurring2_based on steps'!$B202:$AY202,'recurring2_based on steps'!$B$1:$AY$1,F$1)+SUMIFS('changes2_based on steps'!$B202:$U202,'changes2_based on steps'!$B$1:$U$1,F$1)</f>
        <v>0</v>
      </c>
      <c r="G202" s="140">
        <f>SUMIFS('recurring2_based on steps'!$B202:$AY202,'recurring2_based on steps'!$B$1:$AY$1,G$1)+SUMIFS('changes2_based on steps'!$B202:$U202,'changes2_based on steps'!$B$1:$U$1,G$1)</f>
        <v>0</v>
      </c>
      <c r="H202" s="140">
        <f>SUMIFS('recurring2_based on steps'!$B202:$AY202,'recurring2_based on steps'!$B$1:$AY$1,H$1)+SUMIFS('changes2_based on steps'!$B202:$U202,'changes2_based on steps'!$B$1:$U$1,H$1)</f>
        <v>0</v>
      </c>
      <c r="I202" s="140">
        <f>SUMIFS('recurring2_based on steps'!$B202:$AY202,'recurring2_based on steps'!$B$1:$AY$1,I$1)+SUMIFS('changes2_based on steps'!$B202:$U202,'changes2_based on steps'!$B$1:$U$1,I$1)</f>
        <v>0</v>
      </c>
      <c r="J202" s="140">
        <f ca="1">SUMIFS('recurring2_based on steps'!$B202:$AY202,'recurring2_based on steps'!$B$1:$AY$1,J$1)+SUMIFS('changes2_based on steps'!$B202:$U202,'changes2_based on steps'!$B$1:$U$1,J$1)</f>
        <v>0</v>
      </c>
      <c r="K202" s="140">
        <f>SUMIFS('recurring2_based on steps'!$B202:$AY202,'recurring2_based on steps'!$B$1:$AY$1,K$1)+SUMIFS('changes2_based on steps'!$B202:$U202,'changes2_based on steps'!$B$1:$U$1,K$1)</f>
        <v>0</v>
      </c>
      <c r="L202" s="140">
        <f>SUMIFS('recurring2_based on steps'!$B202:$AY202,'recurring2_based on steps'!$B$1:$AY$1,L$1)+SUMIFS('changes2_based on steps'!$B202:$U202,'changes2_based on steps'!$B$1:$U$1,L$1)</f>
        <v>0</v>
      </c>
      <c r="M202" s="140">
        <f>SUMIFS('recurring2_based on steps'!$B202:$AY202,'recurring2_based on steps'!$B$1:$AY$1,M$1)+SUMIFS('changes2_based on steps'!$B202:$U202,'changes2_based on steps'!$B$1:$U$1,M$1)</f>
        <v>0</v>
      </c>
      <c r="N202" s="140">
        <f ca="1">SUMIFS('recurring2_based on steps'!$B202:$AY202,'recurring2_based on steps'!$B$1:$AY$1,N$1)+SUMIFS('changes2_based on steps'!$B202:$U202,'changes2_based on steps'!$B$1:$U$1,N$1)</f>
        <v>0</v>
      </c>
      <c r="O202" s="140">
        <f>SUMIFS('recurring2_based on steps'!$B202:$AY202,'recurring2_based on steps'!$B$1:$AY$1,O$1)+SUMIFS('changes2_based on steps'!$B202:$U202,'changes2_based on steps'!$B$1:$U$1,O$1)</f>
        <v>0</v>
      </c>
      <c r="P202" s="140">
        <f ca="1">SUMIFS('recurring2_based on steps'!$B202:$AY202,'recurring2_based on steps'!$B$1:$AY$1,P$1)+SUMIFS('changes2_based on steps'!$B202:$U202,'changes2_based on steps'!$B$1:$U$1,P$1)</f>
        <v>0</v>
      </c>
      <c r="Q202" s="140">
        <f ca="1">SUMIFS('recurring2_based on steps'!$B202:$AY202,'recurring2_based on steps'!$B$1:$AY$1,Q$1)+SUMIFS('changes2_based on steps'!$B202:$U202,'changes2_based on steps'!$B$1:$U$1,Q$1)</f>
        <v>100.05540166204986</v>
      </c>
      <c r="R202" s="140">
        <f ca="1">SUMIFS('recurring2_based on steps'!$B202:$AY202,'recurring2_based on steps'!$B$1:$AY$1,R$1)+SUMIFS('changes2_based on steps'!$B202:$U202,'changes2_based on steps'!$B$1:$U$1,R$1)</f>
        <v>0</v>
      </c>
      <c r="S202" s="140">
        <f>SUMIFS('recurring2_based on steps'!$B202:$AY202,'recurring2_based on steps'!$B$1:$AY$1,S$1)+SUMIFS('changes2_based on steps'!$B202:$U202,'changes2_based on steps'!$B$1:$U$1,S$1)</f>
        <v>0</v>
      </c>
      <c r="T202" s="140">
        <f ca="1">SUMIFS('recurring2_based on steps'!$B202:$AY202,'recurring2_based on steps'!$B$1:$AY$1,T$1)+SUMIFS('changes2_based on steps'!$B202:$U202,'changes2_based on steps'!$B$1:$U$1,T$1)</f>
        <v>0</v>
      </c>
      <c r="U202" s="140">
        <f ca="1">SUMIFS('recurring2_based on steps'!$B202:$AY202,'recurring2_based on steps'!$B$1:$AY$1,U$1)+SUMIFS('changes2_based on steps'!$B202:$U202,'changes2_based on steps'!$B$1:$U$1,U$1)</f>
        <v>0</v>
      </c>
      <c r="V202" s="140">
        <f>SUMIFS('recurring2_based on steps'!$B202:$AY202,'recurring2_based on steps'!$B$1:$AY$1,V$1)+SUMIFS('changes2_based on steps'!$B202:$U202,'changes2_based on steps'!$B$1:$U$1,V$1)</f>
        <v>0</v>
      </c>
      <c r="W202" s="140">
        <f>SUMIFS('recurring2_based on steps'!$B202:$AY202,'recurring2_based on steps'!$B$1:$AY$1,W$1)+SUMIFS('changes2_based on steps'!$B202:$U202,'changes2_based on steps'!$B$1:$U$1,W$1)</f>
        <v>0</v>
      </c>
      <c r="X202" s="140">
        <f ca="1">SUMIFS('recurring2_based on steps'!$B202:$AY202,'recurring2_based on steps'!$B$1:$AY$1,X$1)+SUMIFS('changes2_based on steps'!$B202:$U202,'changes2_based on steps'!$B$1:$U$1,X$1)</f>
        <v>0</v>
      </c>
      <c r="Y202" s="140">
        <f ca="1">SUMIFS('recurring2_based on steps'!$B202:$AY202,'recurring2_based on steps'!$B$1:$AY$1,Y$1)+SUMIFS('changes2_based on steps'!$B202:$U202,'changes2_based on steps'!$B$1:$U$1,Y$1)</f>
        <v>50</v>
      </c>
      <c r="Z202" s="140">
        <f>SUMIFS('recurring2_based on steps'!$B202:$AY202,'recurring2_based on steps'!$B$1:$AY$1,Z$1)+SUMIFS('changes2_based on steps'!$B202:$U202,'changes2_based on steps'!$B$1:$U$1,Z$1)</f>
        <v>0</v>
      </c>
      <c r="AA202" s="140">
        <f ca="1">SUMIFS('recurring2_based on steps'!$B202:$AY202,'recurring2_based on steps'!$B$1:$AY$1,AA$1)+SUMIFS('changes2_based on steps'!$B202:$U202,'changes2_based on steps'!$B$1:$U$1,AA$1)</f>
        <v>0</v>
      </c>
      <c r="AB202" s="140">
        <f ca="1">SUMIFS('recurring2_based on steps'!$B202:$AY202,'recurring2_based on steps'!$B$1:$AY$1,AB$1)+SUMIFS('changes2_based on steps'!$B202:$U202,'changes2_based on steps'!$B$1:$U$1,AB$1)</f>
        <v>0</v>
      </c>
      <c r="AC202" s="140">
        <f ca="1">SUMIFS('recurring2_based on steps'!$B202:$AY202,'recurring2_based on steps'!$B$1:$AY$1,AC$1)+SUMIFS('changes2_based on steps'!$B202:$U202,'changes2_based on steps'!$B$1:$U$1,AC$1)</f>
        <v>0</v>
      </c>
      <c r="AD202" s="140">
        <f ca="1">SUMIFS('recurring2_based on steps'!$B202:$AY202,'recurring2_based on steps'!$B$1:$AY$1,AD$1)+SUMIFS('changes2_based on steps'!$B202:$U202,'changes2_based on steps'!$B$1:$U$1,AD$1)</f>
        <v>0</v>
      </c>
      <c r="AE202" s="140">
        <f>SUMIFS('recurring2_based on steps'!$B202:$AY202,'recurring2_based on steps'!$B$1:$AY$1,AE$1)+SUMIFS('changes2_based on steps'!$B202:$U202,'changes2_based on steps'!$B$1:$U$1,AE$1)</f>
        <v>0</v>
      </c>
      <c r="AF202" s="140"/>
      <c r="AG202" s="140"/>
      <c r="AH202" s="140"/>
      <c r="AI202" s="140"/>
      <c r="AJ202" s="140"/>
      <c r="AK202" s="140"/>
      <c r="AL202" s="140"/>
      <c r="AM202" s="140"/>
    </row>
    <row r="203" spans="1:39" x14ac:dyDescent="0.2">
      <c r="A203" s="29">
        <f t="shared" ca="1" si="3"/>
        <v>45943</v>
      </c>
      <c r="B203" s="140">
        <f ca="1">SUMIFS('recurring2_based on steps'!$B203:$AY203,'recurring2_based on steps'!$B$1:$AY$1,B$1)+SUMIFS('changes2_based on steps'!$B203:$U203,'changes2_based on steps'!$B$1:$U$1,B$1)</f>
        <v>0</v>
      </c>
      <c r="C203" s="140">
        <f>SUMIFS('recurring2_based on steps'!$B203:$AY203,'recurring2_based on steps'!$B$1:$AY$1,C$1)+SUMIFS('changes2_based on steps'!$B203:$U203,'changes2_based on steps'!$B$1:$U$1,C$1)</f>
        <v>0</v>
      </c>
      <c r="D203" s="140">
        <f>SUMIFS('recurring2_based on steps'!$B203:$AY203,'recurring2_based on steps'!$B$1:$AY$1,D$1)+SUMIFS('changes2_based on steps'!$B203:$U203,'changes2_based on steps'!$B$1:$U$1,D$1)</f>
        <v>0</v>
      </c>
      <c r="E203" s="140">
        <f>SUMIFS('recurring2_based on steps'!$B203:$AY203,'recurring2_based on steps'!$B$1:$AY$1,E$1)+SUMIFS('changes2_based on steps'!$B203:$U203,'changes2_based on steps'!$B$1:$U$1,E$1)</f>
        <v>0</v>
      </c>
      <c r="F203" s="140">
        <f>SUMIFS('recurring2_based on steps'!$B203:$AY203,'recurring2_based on steps'!$B$1:$AY$1,F$1)+SUMIFS('changes2_based on steps'!$B203:$U203,'changes2_based on steps'!$B$1:$U$1,F$1)</f>
        <v>0</v>
      </c>
      <c r="G203" s="140">
        <f>SUMIFS('recurring2_based on steps'!$B203:$AY203,'recurring2_based on steps'!$B$1:$AY$1,G$1)+SUMIFS('changes2_based on steps'!$B203:$U203,'changes2_based on steps'!$B$1:$U$1,G$1)</f>
        <v>0</v>
      </c>
      <c r="H203" s="140">
        <f>SUMIFS('recurring2_based on steps'!$B203:$AY203,'recurring2_based on steps'!$B$1:$AY$1,H$1)+SUMIFS('changes2_based on steps'!$B203:$U203,'changes2_based on steps'!$B$1:$U$1,H$1)</f>
        <v>0</v>
      </c>
      <c r="I203" s="140">
        <f>SUMIFS('recurring2_based on steps'!$B203:$AY203,'recurring2_based on steps'!$B$1:$AY$1,I$1)+SUMIFS('changes2_based on steps'!$B203:$U203,'changes2_based on steps'!$B$1:$U$1,I$1)</f>
        <v>0</v>
      </c>
      <c r="J203" s="140">
        <f ca="1">SUMIFS('recurring2_based on steps'!$B203:$AY203,'recurring2_based on steps'!$B$1:$AY$1,J$1)+SUMIFS('changes2_based on steps'!$B203:$U203,'changes2_based on steps'!$B$1:$U$1,J$1)</f>
        <v>0</v>
      </c>
      <c r="K203" s="140">
        <f>SUMIFS('recurring2_based on steps'!$B203:$AY203,'recurring2_based on steps'!$B$1:$AY$1,K$1)+SUMIFS('changes2_based on steps'!$B203:$U203,'changes2_based on steps'!$B$1:$U$1,K$1)</f>
        <v>0</v>
      </c>
      <c r="L203" s="140">
        <f>SUMIFS('recurring2_based on steps'!$B203:$AY203,'recurring2_based on steps'!$B$1:$AY$1,L$1)+SUMIFS('changes2_based on steps'!$B203:$U203,'changes2_based on steps'!$B$1:$U$1,L$1)</f>
        <v>0</v>
      </c>
      <c r="M203" s="140">
        <f>SUMIFS('recurring2_based on steps'!$B203:$AY203,'recurring2_based on steps'!$B$1:$AY$1,M$1)+SUMIFS('changes2_based on steps'!$B203:$U203,'changes2_based on steps'!$B$1:$U$1,M$1)</f>
        <v>0</v>
      </c>
      <c r="N203" s="140">
        <f ca="1">SUMIFS('recurring2_based on steps'!$B203:$AY203,'recurring2_based on steps'!$B$1:$AY$1,N$1)+SUMIFS('changes2_based on steps'!$B203:$U203,'changes2_based on steps'!$B$1:$U$1,N$1)</f>
        <v>0</v>
      </c>
      <c r="O203" s="140">
        <f>SUMIFS('recurring2_based on steps'!$B203:$AY203,'recurring2_based on steps'!$B$1:$AY$1,O$1)+SUMIFS('changes2_based on steps'!$B203:$U203,'changes2_based on steps'!$B$1:$U$1,O$1)</f>
        <v>0</v>
      </c>
      <c r="P203" s="140">
        <f ca="1">SUMIFS('recurring2_based on steps'!$B203:$AY203,'recurring2_based on steps'!$B$1:$AY$1,P$1)+SUMIFS('changes2_based on steps'!$B203:$U203,'changes2_based on steps'!$B$1:$U$1,P$1)</f>
        <v>0</v>
      </c>
      <c r="Q203" s="140">
        <f ca="1">SUMIFS('recurring2_based on steps'!$B203:$AY203,'recurring2_based on steps'!$B$1:$AY$1,Q$1)+SUMIFS('changes2_based on steps'!$B203:$U203,'changes2_based on steps'!$B$1:$U$1,Q$1)</f>
        <v>5.5401662049861494E-2</v>
      </c>
      <c r="R203" s="140">
        <f ca="1">SUMIFS('recurring2_based on steps'!$B203:$AY203,'recurring2_based on steps'!$B$1:$AY$1,R$1)+SUMIFS('changes2_based on steps'!$B203:$U203,'changes2_based on steps'!$B$1:$U$1,R$1)</f>
        <v>0</v>
      </c>
      <c r="S203" s="140">
        <f>SUMIFS('recurring2_based on steps'!$B203:$AY203,'recurring2_based on steps'!$B$1:$AY$1,S$1)+SUMIFS('changes2_based on steps'!$B203:$U203,'changes2_based on steps'!$B$1:$U$1,S$1)</f>
        <v>0</v>
      </c>
      <c r="T203" s="140">
        <f ca="1">SUMIFS('recurring2_based on steps'!$B203:$AY203,'recurring2_based on steps'!$B$1:$AY$1,T$1)+SUMIFS('changes2_based on steps'!$B203:$U203,'changes2_based on steps'!$B$1:$U$1,T$1)</f>
        <v>0</v>
      </c>
      <c r="U203" s="140">
        <f ca="1">SUMIFS('recurring2_based on steps'!$B203:$AY203,'recurring2_based on steps'!$B$1:$AY$1,U$1)+SUMIFS('changes2_based on steps'!$B203:$U203,'changes2_based on steps'!$B$1:$U$1,U$1)</f>
        <v>0</v>
      </c>
      <c r="V203" s="140">
        <f>SUMIFS('recurring2_based on steps'!$B203:$AY203,'recurring2_based on steps'!$B$1:$AY$1,V$1)+SUMIFS('changes2_based on steps'!$B203:$U203,'changes2_based on steps'!$B$1:$U$1,V$1)</f>
        <v>0</v>
      </c>
      <c r="W203" s="140">
        <f>SUMIFS('recurring2_based on steps'!$B203:$AY203,'recurring2_based on steps'!$B$1:$AY$1,W$1)+SUMIFS('changes2_based on steps'!$B203:$U203,'changes2_based on steps'!$B$1:$U$1,W$1)</f>
        <v>0</v>
      </c>
      <c r="X203" s="140">
        <f ca="1">SUMIFS('recurring2_based on steps'!$B203:$AY203,'recurring2_based on steps'!$B$1:$AY$1,X$1)+SUMIFS('changes2_based on steps'!$B203:$U203,'changes2_based on steps'!$B$1:$U$1,X$1)</f>
        <v>0</v>
      </c>
      <c r="Y203" s="140">
        <f ca="1">SUMIFS('recurring2_based on steps'!$B203:$AY203,'recurring2_based on steps'!$B$1:$AY$1,Y$1)+SUMIFS('changes2_based on steps'!$B203:$U203,'changes2_based on steps'!$B$1:$U$1,Y$1)</f>
        <v>0</v>
      </c>
      <c r="Z203" s="140">
        <f>SUMIFS('recurring2_based on steps'!$B203:$AY203,'recurring2_based on steps'!$B$1:$AY$1,Z$1)+SUMIFS('changes2_based on steps'!$B203:$U203,'changes2_based on steps'!$B$1:$U$1,Z$1)</f>
        <v>0</v>
      </c>
      <c r="AA203" s="140">
        <f ca="1">SUMIFS('recurring2_based on steps'!$B203:$AY203,'recurring2_based on steps'!$B$1:$AY$1,AA$1)+SUMIFS('changes2_based on steps'!$B203:$U203,'changes2_based on steps'!$B$1:$U$1,AA$1)</f>
        <v>50</v>
      </c>
      <c r="AB203" s="140">
        <f ca="1">SUMIFS('recurring2_based on steps'!$B203:$AY203,'recurring2_based on steps'!$B$1:$AY$1,AB$1)+SUMIFS('changes2_based on steps'!$B203:$U203,'changes2_based on steps'!$B$1:$U$1,AB$1)</f>
        <v>0</v>
      </c>
      <c r="AC203" s="140">
        <f ca="1">SUMIFS('recurring2_based on steps'!$B203:$AY203,'recurring2_based on steps'!$B$1:$AY$1,AC$1)+SUMIFS('changes2_based on steps'!$B203:$U203,'changes2_based on steps'!$B$1:$U$1,AC$1)</f>
        <v>0</v>
      </c>
      <c r="AD203" s="140">
        <f ca="1">SUMIFS('recurring2_based on steps'!$B203:$AY203,'recurring2_based on steps'!$B$1:$AY$1,AD$1)+SUMIFS('changes2_based on steps'!$B203:$U203,'changes2_based on steps'!$B$1:$U$1,AD$1)</f>
        <v>0</v>
      </c>
      <c r="AE203" s="140">
        <f>SUMIFS('recurring2_based on steps'!$B203:$AY203,'recurring2_based on steps'!$B$1:$AY$1,AE$1)+SUMIFS('changes2_based on steps'!$B203:$U203,'changes2_based on steps'!$B$1:$U$1,AE$1)</f>
        <v>0</v>
      </c>
      <c r="AF203" s="140"/>
      <c r="AG203" s="140"/>
      <c r="AH203" s="140"/>
      <c r="AI203" s="140"/>
      <c r="AJ203" s="140"/>
      <c r="AK203" s="140"/>
      <c r="AL203" s="140"/>
      <c r="AM203" s="140"/>
    </row>
    <row r="204" spans="1:39" x14ac:dyDescent="0.2">
      <c r="A204" s="29">
        <f t="shared" ca="1" si="3"/>
        <v>45944</v>
      </c>
      <c r="B204" s="140">
        <f ca="1">SUMIFS('recurring2_based on steps'!$B204:$AY204,'recurring2_based on steps'!$B$1:$AY$1,B$1)+SUMIFS('changes2_based on steps'!$B204:$U204,'changes2_based on steps'!$B$1:$U$1,B$1)</f>
        <v>0</v>
      </c>
      <c r="C204" s="140">
        <f>SUMIFS('recurring2_based on steps'!$B204:$AY204,'recurring2_based on steps'!$B$1:$AY$1,C$1)+SUMIFS('changes2_based on steps'!$B204:$U204,'changes2_based on steps'!$B$1:$U$1,C$1)</f>
        <v>0</v>
      </c>
      <c r="D204" s="140">
        <f>SUMIFS('recurring2_based on steps'!$B204:$AY204,'recurring2_based on steps'!$B$1:$AY$1,D$1)+SUMIFS('changes2_based on steps'!$B204:$U204,'changes2_based on steps'!$B$1:$U$1,D$1)</f>
        <v>0</v>
      </c>
      <c r="E204" s="140">
        <f>SUMIFS('recurring2_based on steps'!$B204:$AY204,'recurring2_based on steps'!$B$1:$AY$1,E$1)+SUMIFS('changes2_based on steps'!$B204:$U204,'changes2_based on steps'!$B$1:$U$1,E$1)</f>
        <v>0</v>
      </c>
      <c r="F204" s="140">
        <f>SUMIFS('recurring2_based on steps'!$B204:$AY204,'recurring2_based on steps'!$B$1:$AY$1,F$1)+SUMIFS('changes2_based on steps'!$B204:$U204,'changes2_based on steps'!$B$1:$U$1,F$1)</f>
        <v>0</v>
      </c>
      <c r="G204" s="140">
        <f>SUMIFS('recurring2_based on steps'!$B204:$AY204,'recurring2_based on steps'!$B$1:$AY$1,G$1)+SUMIFS('changes2_based on steps'!$B204:$U204,'changes2_based on steps'!$B$1:$U$1,G$1)</f>
        <v>0</v>
      </c>
      <c r="H204" s="140">
        <f>SUMIFS('recurring2_based on steps'!$B204:$AY204,'recurring2_based on steps'!$B$1:$AY$1,H$1)+SUMIFS('changes2_based on steps'!$B204:$U204,'changes2_based on steps'!$B$1:$U$1,H$1)</f>
        <v>0</v>
      </c>
      <c r="I204" s="140">
        <f>SUMIFS('recurring2_based on steps'!$B204:$AY204,'recurring2_based on steps'!$B$1:$AY$1,I$1)+SUMIFS('changes2_based on steps'!$B204:$U204,'changes2_based on steps'!$B$1:$U$1,I$1)</f>
        <v>0</v>
      </c>
      <c r="J204" s="140">
        <f ca="1">SUMIFS('recurring2_based on steps'!$B204:$AY204,'recurring2_based on steps'!$B$1:$AY$1,J$1)+SUMIFS('changes2_based on steps'!$B204:$U204,'changes2_based on steps'!$B$1:$U$1,J$1)</f>
        <v>0</v>
      </c>
      <c r="K204" s="140">
        <f>SUMIFS('recurring2_based on steps'!$B204:$AY204,'recurring2_based on steps'!$B$1:$AY$1,K$1)+SUMIFS('changes2_based on steps'!$B204:$U204,'changes2_based on steps'!$B$1:$U$1,K$1)</f>
        <v>0</v>
      </c>
      <c r="L204" s="140">
        <f>SUMIFS('recurring2_based on steps'!$B204:$AY204,'recurring2_based on steps'!$B$1:$AY$1,L$1)+SUMIFS('changes2_based on steps'!$B204:$U204,'changes2_based on steps'!$B$1:$U$1,L$1)</f>
        <v>0</v>
      </c>
      <c r="M204" s="140">
        <f>SUMIFS('recurring2_based on steps'!$B204:$AY204,'recurring2_based on steps'!$B$1:$AY$1,M$1)+SUMIFS('changes2_based on steps'!$B204:$U204,'changes2_based on steps'!$B$1:$U$1,M$1)</f>
        <v>0</v>
      </c>
      <c r="N204" s="140">
        <f ca="1">SUMIFS('recurring2_based on steps'!$B204:$AY204,'recurring2_based on steps'!$B$1:$AY$1,N$1)+SUMIFS('changes2_based on steps'!$B204:$U204,'changes2_based on steps'!$B$1:$U$1,N$1)</f>
        <v>0</v>
      </c>
      <c r="O204" s="140">
        <f>SUMIFS('recurring2_based on steps'!$B204:$AY204,'recurring2_based on steps'!$B$1:$AY$1,O$1)+SUMIFS('changes2_based on steps'!$B204:$U204,'changes2_based on steps'!$B$1:$U$1,O$1)</f>
        <v>0</v>
      </c>
      <c r="P204" s="140">
        <f ca="1">SUMIFS('recurring2_based on steps'!$B204:$AY204,'recurring2_based on steps'!$B$1:$AY$1,P$1)+SUMIFS('changes2_based on steps'!$B204:$U204,'changes2_based on steps'!$B$1:$U$1,P$1)</f>
        <v>0</v>
      </c>
      <c r="Q204" s="140">
        <f ca="1">SUMIFS('recurring2_based on steps'!$B204:$AY204,'recurring2_based on steps'!$B$1:$AY$1,Q$1)+SUMIFS('changes2_based on steps'!$B204:$U204,'changes2_based on steps'!$B$1:$U$1,Q$1)</f>
        <v>5.5401662049861494E-2</v>
      </c>
      <c r="R204" s="140">
        <f ca="1">SUMIFS('recurring2_based on steps'!$B204:$AY204,'recurring2_based on steps'!$B$1:$AY$1,R$1)+SUMIFS('changes2_based on steps'!$B204:$U204,'changes2_based on steps'!$B$1:$U$1,R$1)</f>
        <v>0</v>
      </c>
      <c r="S204" s="140">
        <f>SUMIFS('recurring2_based on steps'!$B204:$AY204,'recurring2_based on steps'!$B$1:$AY$1,S$1)+SUMIFS('changes2_based on steps'!$B204:$U204,'changes2_based on steps'!$B$1:$U$1,S$1)</f>
        <v>0</v>
      </c>
      <c r="T204" s="140">
        <f ca="1">SUMIFS('recurring2_based on steps'!$B204:$AY204,'recurring2_based on steps'!$B$1:$AY$1,T$1)+SUMIFS('changes2_based on steps'!$B204:$U204,'changes2_based on steps'!$B$1:$U$1,T$1)</f>
        <v>0</v>
      </c>
      <c r="U204" s="140">
        <f ca="1">SUMIFS('recurring2_based on steps'!$B204:$AY204,'recurring2_based on steps'!$B$1:$AY$1,U$1)+SUMIFS('changes2_based on steps'!$B204:$U204,'changes2_based on steps'!$B$1:$U$1,U$1)</f>
        <v>0</v>
      </c>
      <c r="V204" s="140">
        <f>SUMIFS('recurring2_based on steps'!$B204:$AY204,'recurring2_based on steps'!$B$1:$AY$1,V$1)+SUMIFS('changes2_based on steps'!$B204:$U204,'changes2_based on steps'!$B$1:$U$1,V$1)</f>
        <v>0</v>
      </c>
      <c r="W204" s="140">
        <f>SUMIFS('recurring2_based on steps'!$B204:$AY204,'recurring2_based on steps'!$B$1:$AY$1,W$1)+SUMIFS('changes2_based on steps'!$B204:$U204,'changes2_based on steps'!$B$1:$U$1,W$1)</f>
        <v>0</v>
      </c>
      <c r="X204" s="140">
        <f ca="1">SUMIFS('recurring2_based on steps'!$B204:$AY204,'recurring2_based on steps'!$B$1:$AY$1,X$1)+SUMIFS('changes2_based on steps'!$B204:$U204,'changes2_based on steps'!$B$1:$U$1,X$1)</f>
        <v>0</v>
      </c>
      <c r="Y204" s="140">
        <f ca="1">SUMIFS('recurring2_based on steps'!$B204:$AY204,'recurring2_based on steps'!$B$1:$AY$1,Y$1)+SUMIFS('changes2_based on steps'!$B204:$U204,'changes2_based on steps'!$B$1:$U$1,Y$1)</f>
        <v>0</v>
      </c>
      <c r="Z204" s="140">
        <f>SUMIFS('recurring2_based on steps'!$B204:$AY204,'recurring2_based on steps'!$B$1:$AY$1,Z$1)+SUMIFS('changes2_based on steps'!$B204:$U204,'changes2_based on steps'!$B$1:$U$1,Z$1)</f>
        <v>0</v>
      </c>
      <c r="AA204" s="140">
        <f ca="1">SUMIFS('recurring2_based on steps'!$B204:$AY204,'recurring2_based on steps'!$B$1:$AY$1,AA$1)+SUMIFS('changes2_based on steps'!$B204:$U204,'changes2_based on steps'!$B$1:$U$1,AA$1)</f>
        <v>0</v>
      </c>
      <c r="AB204" s="140">
        <f ca="1">SUMIFS('recurring2_based on steps'!$B204:$AY204,'recurring2_based on steps'!$B$1:$AY$1,AB$1)+SUMIFS('changes2_based on steps'!$B204:$U204,'changes2_based on steps'!$B$1:$U$1,AB$1)</f>
        <v>0</v>
      </c>
      <c r="AC204" s="140">
        <f ca="1">SUMIFS('recurring2_based on steps'!$B204:$AY204,'recurring2_based on steps'!$B$1:$AY$1,AC$1)+SUMIFS('changes2_based on steps'!$B204:$U204,'changes2_based on steps'!$B$1:$U$1,AC$1)</f>
        <v>0</v>
      </c>
      <c r="AD204" s="140">
        <f ca="1">SUMIFS('recurring2_based on steps'!$B204:$AY204,'recurring2_based on steps'!$B$1:$AY$1,AD$1)+SUMIFS('changes2_based on steps'!$B204:$U204,'changes2_based on steps'!$B$1:$U$1,AD$1)</f>
        <v>0</v>
      </c>
      <c r="AE204" s="140">
        <f>SUMIFS('recurring2_based on steps'!$B204:$AY204,'recurring2_based on steps'!$B$1:$AY$1,AE$1)+SUMIFS('changes2_based on steps'!$B204:$U204,'changes2_based on steps'!$B$1:$U$1,AE$1)</f>
        <v>0</v>
      </c>
      <c r="AF204" s="140"/>
      <c r="AG204" s="140"/>
      <c r="AH204" s="140"/>
      <c r="AI204" s="140"/>
      <c r="AJ204" s="140"/>
      <c r="AK204" s="140"/>
      <c r="AL204" s="140"/>
      <c r="AM204" s="140"/>
    </row>
    <row r="205" spans="1:39" x14ac:dyDescent="0.2">
      <c r="A205" s="29">
        <f t="shared" ca="1" si="3"/>
        <v>45945</v>
      </c>
      <c r="B205" s="140">
        <f ca="1">SUMIFS('recurring2_based on steps'!$B205:$AY205,'recurring2_based on steps'!$B$1:$AY$1,B$1)+SUMIFS('changes2_based on steps'!$B205:$U205,'changes2_based on steps'!$B$1:$U$1,B$1)</f>
        <v>0</v>
      </c>
      <c r="C205" s="140">
        <f>SUMIFS('recurring2_based on steps'!$B205:$AY205,'recurring2_based on steps'!$B$1:$AY$1,C$1)+SUMIFS('changes2_based on steps'!$B205:$U205,'changes2_based on steps'!$B$1:$U$1,C$1)</f>
        <v>0</v>
      </c>
      <c r="D205" s="140">
        <f>SUMIFS('recurring2_based on steps'!$B205:$AY205,'recurring2_based on steps'!$B$1:$AY$1,D$1)+SUMIFS('changes2_based on steps'!$B205:$U205,'changes2_based on steps'!$B$1:$U$1,D$1)</f>
        <v>0</v>
      </c>
      <c r="E205" s="140">
        <f>SUMIFS('recurring2_based on steps'!$B205:$AY205,'recurring2_based on steps'!$B$1:$AY$1,E$1)+SUMIFS('changes2_based on steps'!$B205:$U205,'changes2_based on steps'!$B$1:$U$1,E$1)</f>
        <v>0</v>
      </c>
      <c r="F205" s="140">
        <f>SUMIFS('recurring2_based on steps'!$B205:$AY205,'recurring2_based on steps'!$B$1:$AY$1,F$1)+SUMIFS('changes2_based on steps'!$B205:$U205,'changes2_based on steps'!$B$1:$U$1,F$1)</f>
        <v>0</v>
      </c>
      <c r="G205" s="140">
        <f>SUMIFS('recurring2_based on steps'!$B205:$AY205,'recurring2_based on steps'!$B$1:$AY$1,G$1)+SUMIFS('changes2_based on steps'!$B205:$U205,'changes2_based on steps'!$B$1:$U$1,G$1)</f>
        <v>0</v>
      </c>
      <c r="H205" s="140">
        <f>SUMIFS('recurring2_based on steps'!$B205:$AY205,'recurring2_based on steps'!$B$1:$AY$1,H$1)+SUMIFS('changes2_based on steps'!$B205:$U205,'changes2_based on steps'!$B$1:$U$1,H$1)</f>
        <v>0</v>
      </c>
      <c r="I205" s="140">
        <f>SUMIFS('recurring2_based on steps'!$B205:$AY205,'recurring2_based on steps'!$B$1:$AY$1,I$1)+SUMIFS('changes2_based on steps'!$B205:$U205,'changes2_based on steps'!$B$1:$U$1,I$1)</f>
        <v>0</v>
      </c>
      <c r="J205" s="140">
        <f ca="1">SUMIFS('recurring2_based on steps'!$B205:$AY205,'recurring2_based on steps'!$B$1:$AY$1,J$1)+SUMIFS('changes2_based on steps'!$B205:$U205,'changes2_based on steps'!$B$1:$U$1,J$1)</f>
        <v>0</v>
      </c>
      <c r="K205" s="140">
        <f>SUMIFS('recurring2_based on steps'!$B205:$AY205,'recurring2_based on steps'!$B$1:$AY$1,K$1)+SUMIFS('changes2_based on steps'!$B205:$U205,'changes2_based on steps'!$B$1:$U$1,K$1)</f>
        <v>0</v>
      </c>
      <c r="L205" s="140">
        <f>SUMIFS('recurring2_based on steps'!$B205:$AY205,'recurring2_based on steps'!$B$1:$AY$1,L$1)+SUMIFS('changes2_based on steps'!$B205:$U205,'changes2_based on steps'!$B$1:$U$1,L$1)</f>
        <v>0</v>
      </c>
      <c r="M205" s="140">
        <f>SUMIFS('recurring2_based on steps'!$B205:$AY205,'recurring2_based on steps'!$B$1:$AY$1,M$1)+SUMIFS('changes2_based on steps'!$B205:$U205,'changes2_based on steps'!$B$1:$U$1,M$1)</f>
        <v>0</v>
      </c>
      <c r="N205" s="140">
        <f ca="1">SUMIFS('recurring2_based on steps'!$B205:$AY205,'recurring2_based on steps'!$B$1:$AY$1,N$1)+SUMIFS('changes2_based on steps'!$B205:$U205,'changes2_based on steps'!$B$1:$U$1,N$1)</f>
        <v>0</v>
      </c>
      <c r="O205" s="140">
        <f>SUMIFS('recurring2_based on steps'!$B205:$AY205,'recurring2_based on steps'!$B$1:$AY$1,O$1)+SUMIFS('changes2_based on steps'!$B205:$U205,'changes2_based on steps'!$B$1:$U$1,O$1)</f>
        <v>0</v>
      </c>
      <c r="P205" s="140">
        <f ca="1">SUMIFS('recurring2_based on steps'!$B205:$AY205,'recurring2_based on steps'!$B$1:$AY$1,P$1)+SUMIFS('changes2_based on steps'!$B205:$U205,'changes2_based on steps'!$B$1:$U$1,P$1)</f>
        <v>0</v>
      </c>
      <c r="Q205" s="140">
        <f ca="1">SUMIFS('recurring2_based on steps'!$B205:$AY205,'recurring2_based on steps'!$B$1:$AY$1,Q$1)+SUMIFS('changes2_based on steps'!$B205:$U205,'changes2_based on steps'!$B$1:$U$1,Q$1)</f>
        <v>5.5401662049861494E-2</v>
      </c>
      <c r="R205" s="140">
        <f ca="1">SUMIFS('recurring2_based on steps'!$B205:$AY205,'recurring2_based on steps'!$B$1:$AY$1,R$1)+SUMIFS('changes2_based on steps'!$B205:$U205,'changes2_based on steps'!$B$1:$U$1,R$1)</f>
        <v>0</v>
      </c>
      <c r="S205" s="140">
        <f>SUMIFS('recurring2_based on steps'!$B205:$AY205,'recurring2_based on steps'!$B$1:$AY$1,S$1)+SUMIFS('changes2_based on steps'!$B205:$U205,'changes2_based on steps'!$B$1:$U$1,S$1)</f>
        <v>0</v>
      </c>
      <c r="T205" s="140">
        <f ca="1">SUMIFS('recurring2_based on steps'!$B205:$AY205,'recurring2_based on steps'!$B$1:$AY$1,T$1)+SUMIFS('changes2_based on steps'!$B205:$U205,'changes2_based on steps'!$B$1:$U$1,T$1)</f>
        <v>0</v>
      </c>
      <c r="U205" s="140">
        <f ca="1">SUMIFS('recurring2_based on steps'!$B205:$AY205,'recurring2_based on steps'!$B$1:$AY$1,U$1)+SUMIFS('changes2_based on steps'!$B205:$U205,'changes2_based on steps'!$B$1:$U$1,U$1)</f>
        <v>0</v>
      </c>
      <c r="V205" s="140">
        <f>SUMIFS('recurring2_based on steps'!$B205:$AY205,'recurring2_based on steps'!$B$1:$AY$1,V$1)+SUMIFS('changes2_based on steps'!$B205:$U205,'changes2_based on steps'!$B$1:$U$1,V$1)</f>
        <v>0</v>
      </c>
      <c r="W205" s="140">
        <f>SUMIFS('recurring2_based on steps'!$B205:$AY205,'recurring2_based on steps'!$B$1:$AY$1,W$1)+SUMIFS('changes2_based on steps'!$B205:$U205,'changes2_based on steps'!$B$1:$U$1,W$1)</f>
        <v>0</v>
      </c>
      <c r="X205" s="140">
        <f ca="1">SUMIFS('recurring2_based on steps'!$B205:$AY205,'recurring2_based on steps'!$B$1:$AY$1,X$1)+SUMIFS('changes2_based on steps'!$B205:$U205,'changes2_based on steps'!$B$1:$U$1,X$1)</f>
        <v>0</v>
      </c>
      <c r="Y205" s="140">
        <f ca="1">SUMIFS('recurring2_based on steps'!$B205:$AY205,'recurring2_based on steps'!$B$1:$AY$1,Y$1)+SUMIFS('changes2_based on steps'!$B205:$U205,'changes2_based on steps'!$B$1:$U$1,Y$1)</f>
        <v>0</v>
      </c>
      <c r="Z205" s="140">
        <f>SUMIFS('recurring2_based on steps'!$B205:$AY205,'recurring2_based on steps'!$B$1:$AY$1,Z$1)+SUMIFS('changes2_based on steps'!$B205:$U205,'changes2_based on steps'!$B$1:$U$1,Z$1)</f>
        <v>0</v>
      </c>
      <c r="AA205" s="140">
        <f ca="1">SUMIFS('recurring2_based on steps'!$B205:$AY205,'recurring2_based on steps'!$B$1:$AY$1,AA$1)+SUMIFS('changes2_based on steps'!$B205:$U205,'changes2_based on steps'!$B$1:$U$1,AA$1)</f>
        <v>0</v>
      </c>
      <c r="AB205" s="140">
        <f ca="1">SUMIFS('recurring2_based on steps'!$B205:$AY205,'recurring2_based on steps'!$B$1:$AY$1,AB$1)+SUMIFS('changes2_based on steps'!$B205:$U205,'changes2_based on steps'!$B$1:$U$1,AB$1)</f>
        <v>0</v>
      </c>
      <c r="AC205" s="140">
        <f ca="1">SUMIFS('recurring2_based on steps'!$B205:$AY205,'recurring2_based on steps'!$B$1:$AY$1,AC$1)+SUMIFS('changes2_based on steps'!$B205:$U205,'changes2_based on steps'!$B$1:$U$1,AC$1)</f>
        <v>0</v>
      </c>
      <c r="AD205" s="140">
        <f ca="1">SUMIFS('recurring2_based on steps'!$B205:$AY205,'recurring2_based on steps'!$B$1:$AY$1,AD$1)+SUMIFS('changes2_based on steps'!$B205:$U205,'changes2_based on steps'!$B$1:$U$1,AD$1)</f>
        <v>0</v>
      </c>
      <c r="AE205" s="140">
        <f>SUMIFS('recurring2_based on steps'!$B205:$AY205,'recurring2_based on steps'!$B$1:$AY$1,AE$1)+SUMIFS('changes2_based on steps'!$B205:$U205,'changes2_based on steps'!$B$1:$U$1,AE$1)</f>
        <v>0</v>
      </c>
      <c r="AF205" s="140"/>
      <c r="AG205" s="140"/>
      <c r="AH205" s="140"/>
      <c r="AI205" s="140"/>
      <c r="AJ205" s="140"/>
      <c r="AK205" s="140"/>
      <c r="AL205" s="140"/>
      <c r="AM205" s="140"/>
    </row>
    <row r="206" spans="1:39" x14ac:dyDescent="0.2">
      <c r="A206" s="29">
        <f t="shared" ca="1" si="3"/>
        <v>45946</v>
      </c>
      <c r="B206" s="140">
        <f ca="1">SUMIFS('recurring2_based on steps'!$B206:$AY206,'recurring2_based on steps'!$B$1:$AY$1,B$1)+SUMIFS('changes2_based on steps'!$B206:$U206,'changes2_based on steps'!$B$1:$U$1,B$1)</f>
        <v>0</v>
      </c>
      <c r="C206" s="140">
        <f>SUMIFS('recurring2_based on steps'!$B206:$AY206,'recurring2_based on steps'!$B$1:$AY$1,C$1)+SUMIFS('changes2_based on steps'!$B206:$U206,'changes2_based on steps'!$B$1:$U$1,C$1)</f>
        <v>0</v>
      </c>
      <c r="D206" s="140">
        <f>SUMIFS('recurring2_based on steps'!$B206:$AY206,'recurring2_based on steps'!$B$1:$AY$1,D$1)+SUMIFS('changes2_based on steps'!$B206:$U206,'changes2_based on steps'!$B$1:$U$1,D$1)</f>
        <v>0</v>
      </c>
      <c r="E206" s="140">
        <f>SUMIFS('recurring2_based on steps'!$B206:$AY206,'recurring2_based on steps'!$B$1:$AY$1,E$1)+SUMIFS('changes2_based on steps'!$B206:$U206,'changes2_based on steps'!$B$1:$U$1,E$1)</f>
        <v>0</v>
      </c>
      <c r="F206" s="140">
        <f>SUMIFS('recurring2_based on steps'!$B206:$AY206,'recurring2_based on steps'!$B$1:$AY$1,F$1)+SUMIFS('changes2_based on steps'!$B206:$U206,'changes2_based on steps'!$B$1:$U$1,F$1)</f>
        <v>0</v>
      </c>
      <c r="G206" s="140">
        <f>SUMIFS('recurring2_based on steps'!$B206:$AY206,'recurring2_based on steps'!$B$1:$AY$1,G$1)+SUMIFS('changes2_based on steps'!$B206:$U206,'changes2_based on steps'!$B$1:$U$1,G$1)</f>
        <v>0</v>
      </c>
      <c r="H206" s="140">
        <f>SUMIFS('recurring2_based on steps'!$B206:$AY206,'recurring2_based on steps'!$B$1:$AY$1,H$1)+SUMIFS('changes2_based on steps'!$B206:$U206,'changes2_based on steps'!$B$1:$U$1,H$1)</f>
        <v>0</v>
      </c>
      <c r="I206" s="140">
        <f>SUMIFS('recurring2_based on steps'!$B206:$AY206,'recurring2_based on steps'!$B$1:$AY$1,I$1)+SUMIFS('changes2_based on steps'!$B206:$U206,'changes2_based on steps'!$B$1:$U$1,I$1)</f>
        <v>0</v>
      </c>
      <c r="J206" s="140">
        <f ca="1">SUMIFS('recurring2_based on steps'!$B206:$AY206,'recurring2_based on steps'!$B$1:$AY$1,J$1)+SUMIFS('changes2_based on steps'!$B206:$U206,'changes2_based on steps'!$B$1:$U$1,J$1)</f>
        <v>0</v>
      </c>
      <c r="K206" s="140">
        <f>SUMIFS('recurring2_based on steps'!$B206:$AY206,'recurring2_based on steps'!$B$1:$AY$1,K$1)+SUMIFS('changes2_based on steps'!$B206:$U206,'changes2_based on steps'!$B$1:$U$1,K$1)</f>
        <v>0</v>
      </c>
      <c r="L206" s="140">
        <f>SUMIFS('recurring2_based on steps'!$B206:$AY206,'recurring2_based on steps'!$B$1:$AY$1,L$1)+SUMIFS('changes2_based on steps'!$B206:$U206,'changes2_based on steps'!$B$1:$U$1,L$1)</f>
        <v>0</v>
      </c>
      <c r="M206" s="140">
        <f>SUMIFS('recurring2_based on steps'!$B206:$AY206,'recurring2_based on steps'!$B$1:$AY$1,M$1)+SUMIFS('changes2_based on steps'!$B206:$U206,'changes2_based on steps'!$B$1:$U$1,M$1)</f>
        <v>0</v>
      </c>
      <c r="N206" s="140">
        <f ca="1">SUMIFS('recurring2_based on steps'!$B206:$AY206,'recurring2_based on steps'!$B$1:$AY$1,N$1)+SUMIFS('changes2_based on steps'!$B206:$U206,'changes2_based on steps'!$B$1:$U$1,N$1)</f>
        <v>0</v>
      </c>
      <c r="O206" s="140">
        <f>SUMIFS('recurring2_based on steps'!$B206:$AY206,'recurring2_based on steps'!$B$1:$AY$1,O$1)+SUMIFS('changes2_based on steps'!$B206:$U206,'changes2_based on steps'!$B$1:$U$1,O$1)</f>
        <v>0</v>
      </c>
      <c r="P206" s="140">
        <f ca="1">SUMIFS('recurring2_based on steps'!$B206:$AY206,'recurring2_based on steps'!$B$1:$AY$1,P$1)+SUMIFS('changes2_based on steps'!$B206:$U206,'changes2_based on steps'!$B$1:$U$1,P$1)</f>
        <v>0</v>
      </c>
      <c r="Q206" s="140">
        <f ca="1">SUMIFS('recurring2_based on steps'!$B206:$AY206,'recurring2_based on steps'!$B$1:$AY$1,Q$1)+SUMIFS('changes2_based on steps'!$B206:$U206,'changes2_based on steps'!$B$1:$U$1,Q$1)</f>
        <v>5.5401662049861494E-2</v>
      </c>
      <c r="R206" s="140">
        <f ca="1">SUMIFS('recurring2_based on steps'!$B206:$AY206,'recurring2_based on steps'!$B$1:$AY$1,R$1)+SUMIFS('changes2_based on steps'!$B206:$U206,'changes2_based on steps'!$B$1:$U$1,R$1)</f>
        <v>0</v>
      </c>
      <c r="S206" s="140">
        <f>SUMIFS('recurring2_based on steps'!$B206:$AY206,'recurring2_based on steps'!$B$1:$AY$1,S$1)+SUMIFS('changes2_based on steps'!$B206:$U206,'changes2_based on steps'!$B$1:$U$1,S$1)</f>
        <v>0</v>
      </c>
      <c r="T206" s="140">
        <f ca="1">SUMIFS('recurring2_based on steps'!$B206:$AY206,'recurring2_based on steps'!$B$1:$AY$1,T$1)+SUMIFS('changes2_based on steps'!$B206:$U206,'changes2_based on steps'!$B$1:$U$1,T$1)</f>
        <v>0</v>
      </c>
      <c r="U206" s="140">
        <f ca="1">SUMIFS('recurring2_based on steps'!$B206:$AY206,'recurring2_based on steps'!$B$1:$AY$1,U$1)+SUMIFS('changes2_based on steps'!$B206:$U206,'changes2_based on steps'!$B$1:$U$1,U$1)</f>
        <v>0</v>
      </c>
      <c r="V206" s="140">
        <f>SUMIFS('recurring2_based on steps'!$B206:$AY206,'recurring2_based on steps'!$B$1:$AY$1,V$1)+SUMIFS('changes2_based on steps'!$B206:$U206,'changes2_based on steps'!$B$1:$U$1,V$1)</f>
        <v>0</v>
      </c>
      <c r="W206" s="140">
        <f>SUMIFS('recurring2_based on steps'!$B206:$AY206,'recurring2_based on steps'!$B$1:$AY$1,W$1)+SUMIFS('changes2_based on steps'!$B206:$U206,'changes2_based on steps'!$B$1:$U$1,W$1)</f>
        <v>0</v>
      </c>
      <c r="X206" s="140">
        <f ca="1">SUMIFS('recurring2_based on steps'!$B206:$AY206,'recurring2_based on steps'!$B$1:$AY$1,X$1)+SUMIFS('changes2_based on steps'!$B206:$U206,'changes2_based on steps'!$B$1:$U$1,X$1)</f>
        <v>0</v>
      </c>
      <c r="Y206" s="140">
        <f ca="1">SUMIFS('recurring2_based on steps'!$B206:$AY206,'recurring2_based on steps'!$B$1:$AY$1,Y$1)+SUMIFS('changes2_based on steps'!$B206:$U206,'changes2_based on steps'!$B$1:$U$1,Y$1)</f>
        <v>0</v>
      </c>
      <c r="Z206" s="140">
        <f>SUMIFS('recurring2_based on steps'!$B206:$AY206,'recurring2_based on steps'!$B$1:$AY$1,Z$1)+SUMIFS('changes2_based on steps'!$B206:$U206,'changes2_based on steps'!$B$1:$U$1,Z$1)</f>
        <v>0</v>
      </c>
      <c r="AA206" s="140">
        <f ca="1">SUMIFS('recurring2_based on steps'!$B206:$AY206,'recurring2_based on steps'!$B$1:$AY$1,AA$1)+SUMIFS('changes2_based on steps'!$B206:$U206,'changes2_based on steps'!$B$1:$U$1,AA$1)</f>
        <v>0</v>
      </c>
      <c r="AB206" s="140">
        <f ca="1">SUMIFS('recurring2_based on steps'!$B206:$AY206,'recurring2_based on steps'!$B$1:$AY$1,AB$1)+SUMIFS('changes2_based on steps'!$B206:$U206,'changes2_based on steps'!$B$1:$U$1,AB$1)</f>
        <v>0</v>
      </c>
      <c r="AC206" s="140">
        <f ca="1">SUMIFS('recurring2_based on steps'!$B206:$AY206,'recurring2_based on steps'!$B$1:$AY$1,AC$1)+SUMIFS('changes2_based on steps'!$B206:$U206,'changes2_based on steps'!$B$1:$U$1,AC$1)</f>
        <v>0</v>
      </c>
      <c r="AD206" s="140">
        <f ca="1">SUMIFS('recurring2_based on steps'!$B206:$AY206,'recurring2_based on steps'!$B$1:$AY$1,AD$1)+SUMIFS('changes2_based on steps'!$B206:$U206,'changes2_based on steps'!$B$1:$U$1,AD$1)</f>
        <v>0</v>
      </c>
      <c r="AE206" s="140">
        <f>SUMIFS('recurring2_based on steps'!$B206:$AY206,'recurring2_based on steps'!$B$1:$AY$1,AE$1)+SUMIFS('changes2_based on steps'!$B206:$U206,'changes2_based on steps'!$B$1:$U$1,AE$1)</f>
        <v>0</v>
      </c>
      <c r="AF206" s="140"/>
      <c r="AG206" s="140"/>
      <c r="AH206" s="140"/>
      <c r="AI206" s="140"/>
      <c r="AJ206" s="140"/>
      <c r="AK206" s="140"/>
      <c r="AL206" s="140"/>
      <c r="AM206" s="140"/>
    </row>
    <row r="207" spans="1:39" x14ac:dyDescent="0.2">
      <c r="A207" s="29">
        <f t="shared" ca="1" si="3"/>
        <v>45947</v>
      </c>
      <c r="B207" s="140">
        <f ca="1">SUMIFS('recurring2_based on steps'!$B207:$AY207,'recurring2_based on steps'!$B$1:$AY$1,B$1)+SUMIFS('changes2_based on steps'!$B207:$U207,'changes2_based on steps'!$B$1:$U$1,B$1)</f>
        <v>4000</v>
      </c>
      <c r="C207" s="140">
        <f>SUMIFS('recurring2_based on steps'!$B207:$AY207,'recurring2_based on steps'!$B$1:$AY$1,C$1)+SUMIFS('changes2_based on steps'!$B207:$U207,'changes2_based on steps'!$B$1:$U$1,C$1)</f>
        <v>0</v>
      </c>
      <c r="D207" s="140">
        <f>SUMIFS('recurring2_based on steps'!$B207:$AY207,'recurring2_based on steps'!$B$1:$AY$1,D$1)+SUMIFS('changes2_based on steps'!$B207:$U207,'changes2_based on steps'!$B$1:$U$1,D$1)</f>
        <v>0</v>
      </c>
      <c r="E207" s="140">
        <f>SUMIFS('recurring2_based on steps'!$B207:$AY207,'recurring2_based on steps'!$B$1:$AY$1,E$1)+SUMIFS('changes2_based on steps'!$B207:$U207,'changes2_based on steps'!$B$1:$U$1,E$1)</f>
        <v>0</v>
      </c>
      <c r="F207" s="140">
        <f>SUMIFS('recurring2_based on steps'!$B207:$AY207,'recurring2_based on steps'!$B$1:$AY$1,F$1)+SUMIFS('changes2_based on steps'!$B207:$U207,'changes2_based on steps'!$B$1:$U$1,F$1)</f>
        <v>0</v>
      </c>
      <c r="G207" s="140">
        <f>SUMIFS('recurring2_based on steps'!$B207:$AY207,'recurring2_based on steps'!$B$1:$AY$1,G$1)+SUMIFS('changes2_based on steps'!$B207:$U207,'changes2_based on steps'!$B$1:$U$1,G$1)</f>
        <v>0</v>
      </c>
      <c r="H207" s="140">
        <f>SUMIFS('recurring2_based on steps'!$B207:$AY207,'recurring2_based on steps'!$B$1:$AY$1,H$1)+SUMIFS('changes2_based on steps'!$B207:$U207,'changes2_based on steps'!$B$1:$U$1,H$1)</f>
        <v>0</v>
      </c>
      <c r="I207" s="140">
        <f>SUMIFS('recurring2_based on steps'!$B207:$AY207,'recurring2_based on steps'!$B$1:$AY$1,I$1)+SUMIFS('changes2_based on steps'!$B207:$U207,'changes2_based on steps'!$B$1:$U$1,I$1)</f>
        <v>0</v>
      </c>
      <c r="J207" s="140">
        <f ca="1">SUMIFS('recurring2_based on steps'!$B207:$AY207,'recurring2_based on steps'!$B$1:$AY$1,J$1)+SUMIFS('changes2_based on steps'!$B207:$U207,'changes2_based on steps'!$B$1:$U$1,J$1)</f>
        <v>200</v>
      </c>
      <c r="K207" s="140">
        <f>SUMIFS('recurring2_based on steps'!$B207:$AY207,'recurring2_based on steps'!$B$1:$AY$1,K$1)+SUMIFS('changes2_based on steps'!$B207:$U207,'changes2_based on steps'!$B$1:$U$1,K$1)</f>
        <v>0</v>
      </c>
      <c r="L207" s="140">
        <f>SUMIFS('recurring2_based on steps'!$B207:$AY207,'recurring2_based on steps'!$B$1:$AY$1,L$1)+SUMIFS('changes2_based on steps'!$B207:$U207,'changes2_based on steps'!$B$1:$U$1,L$1)</f>
        <v>0</v>
      </c>
      <c r="M207" s="140">
        <f>SUMIFS('recurring2_based on steps'!$B207:$AY207,'recurring2_based on steps'!$B$1:$AY$1,M$1)+SUMIFS('changes2_based on steps'!$B207:$U207,'changes2_based on steps'!$B$1:$U$1,M$1)</f>
        <v>0</v>
      </c>
      <c r="N207" s="140">
        <f ca="1">SUMIFS('recurring2_based on steps'!$B207:$AY207,'recurring2_based on steps'!$B$1:$AY$1,N$1)+SUMIFS('changes2_based on steps'!$B207:$U207,'changes2_based on steps'!$B$1:$U$1,N$1)</f>
        <v>0</v>
      </c>
      <c r="O207" s="140">
        <f>SUMIFS('recurring2_based on steps'!$B207:$AY207,'recurring2_based on steps'!$B$1:$AY$1,O$1)+SUMIFS('changes2_based on steps'!$B207:$U207,'changes2_based on steps'!$B$1:$U$1,O$1)</f>
        <v>0</v>
      </c>
      <c r="P207" s="140">
        <f ca="1">SUMIFS('recurring2_based on steps'!$B207:$AY207,'recurring2_based on steps'!$B$1:$AY$1,P$1)+SUMIFS('changes2_based on steps'!$B207:$U207,'changes2_based on steps'!$B$1:$U$1,P$1)</f>
        <v>0</v>
      </c>
      <c r="Q207" s="140">
        <f ca="1">SUMIFS('recurring2_based on steps'!$B207:$AY207,'recurring2_based on steps'!$B$1:$AY$1,Q$1)+SUMIFS('changes2_based on steps'!$B207:$U207,'changes2_based on steps'!$B$1:$U$1,Q$1)</f>
        <v>5.5401662049861494E-2</v>
      </c>
      <c r="R207" s="140">
        <f ca="1">SUMIFS('recurring2_based on steps'!$B207:$AY207,'recurring2_based on steps'!$B$1:$AY$1,R$1)+SUMIFS('changes2_based on steps'!$B207:$U207,'changes2_based on steps'!$B$1:$U$1,R$1)</f>
        <v>15.49</v>
      </c>
      <c r="S207" s="140">
        <f>SUMIFS('recurring2_based on steps'!$B207:$AY207,'recurring2_based on steps'!$B$1:$AY$1,S$1)+SUMIFS('changes2_based on steps'!$B207:$U207,'changes2_based on steps'!$B$1:$U$1,S$1)</f>
        <v>0</v>
      </c>
      <c r="T207" s="140">
        <f ca="1">SUMIFS('recurring2_based on steps'!$B207:$AY207,'recurring2_based on steps'!$B$1:$AY$1,T$1)+SUMIFS('changes2_based on steps'!$B207:$U207,'changes2_based on steps'!$B$1:$U$1,T$1)</f>
        <v>50</v>
      </c>
      <c r="U207" s="140">
        <f ca="1">SUMIFS('recurring2_based on steps'!$B207:$AY207,'recurring2_based on steps'!$B$1:$AY$1,U$1)+SUMIFS('changes2_based on steps'!$B207:$U207,'changes2_based on steps'!$B$1:$U$1,U$1)</f>
        <v>200</v>
      </c>
      <c r="V207" s="140">
        <f>SUMIFS('recurring2_based on steps'!$B207:$AY207,'recurring2_based on steps'!$B$1:$AY$1,V$1)+SUMIFS('changes2_based on steps'!$B207:$U207,'changes2_based on steps'!$B$1:$U$1,V$1)</f>
        <v>0</v>
      </c>
      <c r="W207" s="140">
        <f>SUMIFS('recurring2_based on steps'!$B207:$AY207,'recurring2_based on steps'!$B$1:$AY$1,W$1)+SUMIFS('changes2_based on steps'!$B207:$U207,'changes2_based on steps'!$B$1:$U$1,W$1)</f>
        <v>0</v>
      </c>
      <c r="X207" s="140">
        <f ca="1">SUMIFS('recurring2_based on steps'!$B207:$AY207,'recurring2_based on steps'!$B$1:$AY$1,X$1)+SUMIFS('changes2_based on steps'!$B207:$U207,'changes2_based on steps'!$B$1:$U$1,X$1)</f>
        <v>96</v>
      </c>
      <c r="Y207" s="140">
        <f ca="1">SUMIFS('recurring2_based on steps'!$B207:$AY207,'recurring2_based on steps'!$B$1:$AY$1,Y$1)+SUMIFS('changes2_based on steps'!$B207:$U207,'changes2_based on steps'!$B$1:$U$1,Y$1)</f>
        <v>0</v>
      </c>
      <c r="Z207" s="140">
        <f>SUMIFS('recurring2_based on steps'!$B207:$AY207,'recurring2_based on steps'!$B$1:$AY$1,Z$1)+SUMIFS('changes2_based on steps'!$B207:$U207,'changes2_based on steps'!$B$1:$U$1,Z$1)</f>
        <v>0</v>
      </c>
      <c r="AA207" s="140">
        <f ca="1">SUMIFS('recurring2_based on steps'!$B207:$AY207,'recurring2_based on steps'!$B$1:$AY$1,AA$1)+SUMIFS('changes2_based on steps'!$B207:$U207,'changes2_based on steps'!$B$1:$U$1,AA$1)</f>
        <v>0</v>
      </c>
      <c r="AB207" s="140">
        <f ca="1">SUMIFS('recurring2_based on steps'!$B207:$AY207,'recurring2_based on steps'!$B$1:$AY$1,AB$1)+SUMIFS('changes2_based on steps'!$B207:$U207,'changes2_based on steps'!$B$1:$U$1,AB$1)</f>
        <v>0</v>
      </c>
      <c r="AC207" s="140">
        <f ca="1">SUMIFS('recurring2_based on steps'!$B207:$AY207,'recurring2_based on steps'!$B$1:$AY$1,AC$1)+SUMIFS('changes2_based on steps'!$B207:$U207,'changes2_based on steps'!$B$1:$U$1,AC$1)</f>
        <v>0</v>
      </c>
      <c r="AD207" s="140">
        <f ca="1">SUMIFS('recurring2_based on steps'!$B207:$AY207,'recurring2_based on steps'!$B$1:$AY$1,AD$1)+SUMIFS('changes2_based on steps'!$B207:$U207,'changes2_based on steps'!$B$1:$U$1,AD$1)</f>
        <v>50</v>
      </c>
      <c r="AE207" s="140">
        <f>SUMIFS('recurring2_based on steps'!$B207:$AY207,'recurring2_based on steps'!$B$1:$AY$1,AE$1)+SUMIFS('changes2_based on steps'!$B207:$U207,'changes2_based on steps'!$B$1:$U$1,AE$1)</f>
        <v>0</v>
      </c>
      <c r="AF207" s="140"/>
      <c r="AG207" s="140"/>
      <c r="AH207" s="140"/>
      <c r="AI207" s="140"/>
      <c r="AJ207" s="140"/>
      <c r="AK207" s="140"/>
      <c r="AL207" s="140"/>
      <c r="AM207" s="140"/>
    </row>
    <row r="208" spans="1:39" x14ac:dyDescent="0.2">
      <c r="A208" s="29">
        <f t="shared" ca="1" si="3"/>
        <v>45948</v>
      </c>
      <c r="B208" s="140">
        <f ca="1">SUMIFS('recurring2_based on steps'!$B208:$AY208,'recurring2_based on steps'!$B$1:$AY$1,B$1)+SUMIFS('changes2_based on steps'!$B208:$U208,'changes2_based on steps'!$B$1:$U$1,B$1)</f>
        <v>0</v>
      </c>
      <c r="C208" s="140">
        <f>SUMIFS('recurring2_based on steps'!$B208:$AY208,'recurring2_based on steps'!$B$1:$AY$1,C$1)+SUMIFS('changes2_based on steps'!$B208:$U208,'changes2_based on steps'!$B$1:$U$1,C$1)</f>
        <v>0</v>
      </c>
      <c r="D208" s="140">
        <f>SUMIFS('recurring2_based on steps'!$B208:$AY208,'recurring2_based on steps'!$B$1:$AY$1,D$1)+SUMIFS('changes2_based on steps'!$B208:$U208,'changes2_based on steps'!$B$1:$U$1,D$1)</f>
        <v>0</v>
      </c>
      <c r="E208" s="140">
        <f>SUMIFS('recurring2_based on steps'!$B208:$AY208,'recurring2_based on steps'!$B$1:$AY$1,E$1)+SUMIFS('changes2_based on steps'!$B208:$U208,'changes2_based on steps'!$B$1:$U$1,E$1)</f>
        <v>0</v>
      </c>
      <c r="F208" s="140">
        <f>SUMIFS('recurring2_based on steps'!$B208:$AY208,'recurring2_based on steps'!$B$1:$AY$1,F$1)+SUMIFS('changes2_based on steps'!$B208:$U208,'changes2_based on steps'!$B$1:$U$1,F$1)</f>
        <v>0</v>
      </c>
      <c r="G208" s="140">
        <f>SUMIFS('recurring2_based on steps'!$B208:$AY208,'recurring2_based on steps'!$B$1:$AY$1,G$1)+SUMIFS('changes2_based on steps'!$B208:$U208,'changes2_based on steps'!$B$1:$U$1,G$1)</f>
        <v>0</v>
      </c>
      <c r="H208" s="140">
        <f>SUMIFS('recurring2_based on steps'!$B208:$AY208,'recurring2_based on steps'!$B$1:$AY$1,H$1)+SUMIFS('changes2_based on steps'!$B208:$U208,'changes2_based on steps'!$B$1:$U$1,H$1)</f>
        <v>0</v>
      </c>
      <c r="I208" s="140">
        <f>SUMIFS('recurring2_based on steps'!$B208:$AY208,'recurring2_based on steps'!$B$1:$AY$1,I$1)+SUMIFS('changes2_based on steps'!$B208:$U208,'changes2_based on steps'!$B$1:$U$1,I$1)</f>
        <v>0</v>
      </c>
      <c r="J208" s="140">
        <f ca="1">SUMIFS('recurring2_based on steps'!$B208:$AY208,'recurring2_based on steps'!$B$1:$AY$1,J$1)+SUMIFS('changes2_based on steps'!$B208:$U208,'changes2_based on steps'!$B$1:$U$1,J$1)</f>
        <v>0</v>
      </c>
      <c r="K208" s="140">
        <f>SUMIFS('recurring2_based on steps'!$B208:$AY208,'recurring2_based on steps'!$B$1:$AY$1,K$1)+SUMIFS('changes2_based on steps'!$B208:$U208,'changes2_based on steps'!$B$1:$U$1,K$1)</f>
        <v>0</v>
      </c>
      <c r="L208" s="140">
        <f>SUMIFS('recurring2_based on steps'!$B208:$AY208,'recurring2_based on steps'!$B$1:$AY$1,L$1)+SUMIFS('changes2_based on steps'!$B208:$U208,'changes2_based on steps'!$B$1:$U$1,L$1)</f>
        <v>0</v>
      </c>
      <c r="M208" s="140">
        <f>SUMIFS('recurring2_based on steps'!$B208:$AY208,'recurring2_based on steps'!$B$1:$AY$1,M$1)+SUMIFS('changes2_based on steps'!$B208:$U208,'changes2_based on steps'!$B$1:$U$1,M$1)</f>
        <v>0</v>
      </c>
      <c r="N208" s="140">
        <f ca="1">SUMIFS('recurring2_based on steps'!$B208:$AY208,'recurring2_based on steps'!$B$1:$AY$1,N$1)+SUMIFS('changes2_based on steps'!$B208:$U208,'changes2_based on steps'!$B$1:$U$1,N$1)</f>
        <v>0</v>
      </c>
      <c r="O208" s="140">
        <f>SUMIFS('recurring2_based on steps'!$B208:$AY208,'recurring2_based on steps'!$B$1:$AY$1,O$1)+SUMIFS('changes2_based on steps'!$B208:$U208,'changes2_based on steps'!$B$1:$U$1,O$1)</f>
        <v>0</v>
      </c>
      <c r="P208" s="140">
        <f ca="1">SUMIFS('recurring2_based on steps'!$B208:$AY208,'recurring2_based on steps'!$B$1:$AY$1,P$1)+SUMIFS('changes2_based on steps'!$B208:$U208,'changes2_based on steps'!$B$1:$U$1,P$1)</f>
        <v>0</v>
      </c>
      <c r="Q208" s="140">
        <f ca="1">SUMIFS('recurring2_based on steps'!$B208:$AY208,'recurring2_based on steps'!$B$1:$AY$1,Q$1)+SUMIFS('changes2_based on steps'!$B208:$U208,'changes2_based on steps'!$B$1:$U$1,Q$1)</f>
        <v>100.05540166204986</v>
      </c>
      <c r="R208" s="140">
        <f ca="1">SUMIFS('recurring2_based on steps'!$B208:$AY208,'recurring2_based on steps'!$B$1:$AY$1,R$1)+SUMIFS('changes2_based on steps'!$B208:$U208,'changes2_based on steps'!$B$1:$U$1,R$1)</f>
        <v>10.99</v>
      </c>
      <c r="S208" s="140">
        <f>SUMIFS('recurring2_based on steps'!$B208:$AY208,'recurring2_based on steps'!$B$1:$AY$1,S$1)+SUMIFS('changes2_based on steps'!$B208:$U208,'changes2_based on steps'!$B$1:$U$1,S$1)</f>
        <v>0</v>
      </c>
      <c r="T208" s="140">
        <f ca="1">SUMIFS('recurring2_based on steps'!$B208:$AY208,'recurring2_based on steps'!$B$1:$AY$1,T$1)+SUMIFS('changes2_based on steps'!$B208:$U208,'changes2_based on steps'!$B$1:$U$1,T$1)</f>
        <v>0</v>
      </c>
      <c r="U208" s="140">
        <f ca="1">SUMIFS('recurring2_based on steps'!$B208:$AY208,'recurring2_based on steps'!$B$1:$AY$1,U$1)+SUMIFS('changes2_based on steps'!$B208:$U208,'changes2_based on steps'!$B$1:$U$1,U$1)</f>
        <v>0</v>
      </c>
      <c r="V208" s="140">
        <f>SUMIFS('recurring2_based on steps'!$B208:$AY208,'recurring2_based on steps'!$B$1:$AY$1,V$1)+SUMIFS('changes2_based on steps'!$B208:$U208,'changes2_based on steps'!$B$1:$U$1,V$1)</f>
        <v>0</v>
      </c>
      <c r="W208" s="140">
        <f>SUMIFS('recurring2_based on steps'!$B208:$AY208,'recurring2_based on steps'!$B$1:$AY$1,W$1)+SUMIFS('changes2_based on steps'!$B208:$U208,'changes2_based on steps'!$B$1:$U$1,W$1)</f>
        <v>0</v>
      </c>
      <c r="X208" s="140">
        <f ca="1">SUMIFS('recurring2_based on steps'!$B208:$AY208,'recurring2_based on steps'!$B$1:$AY$1,X$1)+SUMIFS('changes2_based on steps'!$B208:$U208,'changes2_based on steps'!$B$1:$U$1,X$1)</f>
        <v>0</v>
      </c>
      <c r="Y208" s="140">
        <f ca="1">SUMIFS('recurring2_based on steps'!$B208:$AY208,'recurring2_based on steps'!$B$1:$AY$1,Y$1)+SUMIFS('changes2_based on steps'!$B208:$U208,'changes2_based on steps'!$B$1:$U$1,Y$1)</f>
        <v>0</v>
      </c>
      <c r="Z208" s="140">
        <f>SUMIFS('recurring2_based on steps'!$B208:$AY208,'recurring2_based on steps'!$B$1:$AY$1,Z$1)+SUMIFS('changes2_based on steps'!$B208:$U208,'changes2_based on steps'!$B$1:$U$1,Z$1)</f>
        <v>0</v>
      </c>
      <c r="AA208" s="140">
        <f ca="1">SUMIFS('recurring2_based on steps'!$B208:$AY208,'recurring2_based on steps'!$B$1:$AY$1,AA$1)+SUMIFS('changes2_based on steps'!$B208:$U208,'changes2_based on steps'!$B$1:$U$1,AA$1)</f>
        <v>0</v>
      </c>
      <c r="AB208" s="140">
        <f ca="1">SUMIFS('recurring2_based on steps'!$B208:$AY208,'recurring2_based on steps'!$B$1:$AY$1,AB$1)+SUMIFS('changes2_based on steps'!$B208:$U208,'changes2_based on steps'!$B$1:$U$1,AB$1)</f>
        <v>100</v>
      </c>
      <c r="AC208" s="140">
        <f ca="1">SUMIFS('recurring2_based on steps'!$B208:$AY208,'recurring2_based on steps'!$B$1:$AY$1,AC$1)+SUMIFS('changes2_based on steps'!$B208:$U208,'changes2_based on steps'!$B$1:$U$1,AC$1)</f>
        <v>0</v>
      </c>
      <c r="AD208" s="140">
        <f ca="1">SUMIFS('recurring2_based on steps'!$B208:$AY208,'recurring2_based on steps'!$B$1:$AY$1,AD$1)+SUMIFS('changes2_based on steps'!$B208:$U208,'changes2_based on steps'!$B$1:$U$1,AD$1)</f>
        <v>0</v>
      </c>
      <c r="AE208" s="140">
        <f>SUMIFS('recurring2_based on steps'!$B208:$AY208,'recurring2_based on steps'!$B$1:$AY$1,AE$1)+SUMIFS('changes2_based on steps'!$B208:$U208,'changes2_based on steps'!$B$1:$U$1,AE$1)</f>
        <v>0</v>
      </c>
      <c r="AF208" s="140"/>
      <c r="AG208" s="140"/>
      <c r="AH208" s="140"/>
      <c r="AI208" s="140"/>
      <c r="AJ208" s="140"/>
      <c r="AK208" s="140"/>
      <c r="AL208" s="140"/>
      <c r="AM208" s="140"/>
    </row>
    <row r="209" spans="1:39" x14ac:dyDescent="0.2">
      <c r="A209" s="29">
        <f t="shared" ca="1" si="3"/>
        <v>45949</v>
      </c>
      <c r="B209" s="140">
        <f ca="1">SUMIFS('recurring2_based on steps'!$B209:$AY209,'recurring2_based on steps'!$B$1:$AY$1,B$1)+SUMIFS('changes2_based on steps'!$B209:$U209,'changes2_based on steps'!$B$1:$U$1,B$1)</f>
        <v>0</v>
      </c>
      <c r="C209" s="140">
        <f>SUMIFS('recurring2_based on steps'!$B209:$AY209,'recurring2_based on steps'!$B$1:$AY$1,C$1)+SUMIFS('changes2_based on steps'!$B209:$U209,'changes2_based on steps'!$B$1:$U$1,C$1)</f>
        <v>0</v>
      </c>
      <c r="D209" s="140">
        <f>SUMIFS('recurring2_based on steps'!$B209:$AY209,'recurring2_based on steps'!$B$1:$AY$1,D$1)+SUMIFS('changes2_based on steps'!$B209:$U209,'changes2_based on steps'!$B$1:$U$1,D$1)</f>
        <v>0</v>
      </c>
      <c r="E209" s="140">
        <f>SUMIFS('recurring2_based on steps'!$B209:$AY209,'recurring2_based on steps'!$B$1:$AY$1,E$1)+SUMIFS('changes2_based on steps'!$B209:$U209,'changes2_based on steps'!$B$1:$U$1,E$1)</f>
        <v>0</v>
      </c>
      <c r="F209" s="140">
        <f>SUMIFS('recurring2_based on steps'!$B209:$AY209,'recurring2_based on steps'!$B$1:$AY$1,F$1)+SUMIFS('changes2_based on steps'!$B209:$U209,'changes2_based on steps'!$B$1:$U$1,F$1)</f>
        <v>0</v>
      </c>
      <c r="G209" s="140">
        <f>SUMIFS('recurring2_based on steps'!$B209:$AY209,'recurring2_based on steps'!$B$1:$AY$1,G$1)+SUMIFS('changes2_based on steps'!$B209:$U209,'changes2_based on steps'!$B$1:$U$1,G$1)</f>
        <v>0</v>
      </c>
      <c r="H209" s="140">
        <f>SUMIFS('recurring2_based on steps'!$B209:$AY209,'recurring2_based on steps'!$B$1:$AY$1,H$1)+SUMIFS('changes2_based on steps'!$B209:$U209,'changes2_based on steps'!$B$1:$U$1,H$1)</f>
        <v>0</v>
      </c>
      <c r="I209" s="140">
        <f>SUMIFS('recurring2_based on steps'!$B209:$AY209,'recurring2_based on steps'!$B$1:$AY$1,I$1)+SUMIFS('changes2_based on steps'!$B209:$U209,'changes2_based on steps'!$B$1:$U$1,I$1)</f>
        <v>0</v>
      </c>
      <c r="J209" s="140">
        <f ca="1">SUMIFS('recurring2_based on steps'!$B209:$AY209,'recurring2_based on steps'!$B$1:$AY$1,J$1)+SUMIFS('changes2_based on steps'!$B209:$U209,'changes2_based on steps'!$B$1:$U$1,J$1)</f>
        <v>0</v>
      </c>
      <c r="K209" s="140">
        <f>SUMIFS('recurring2_based on steps'!$B209:$AY209,'recurring2_based on steps'!$B$1:$AY$1,K$1)+SUMIFS('changes2_based on steps'!$B209:$U209,'changes2_based on steps'!$B$1:$U$1,K$1)</f>
        <v>0</v>
      </c>
      <c r="L209" s="140">
        <f>SUMIFS('recurring2_based on steps'!$B209:$AY209,'recurring2_based on steps'!$B$1:$AY$1,L$1)+SUMIFS('changes2_based on steps'!$B209:$U209,'changes2_based on steps'!$B$1:$U$1,L$1)</f>
        <v>0</v>
      </c>
      <c r="M209" s="140">
        <f>SUMIFS('recurring2_based on steps'!$B209:$AY209,'recurring2_based on steps'!$B$1:$AY$1,M$1)+SUMIFS('changes2_based on steps'!$B209:$U209,'changes2_based on steps'!$B$1:$U$1,M$1)</f>
        <v>0</v>
      </c>
      <c r="N209" s="140">
        <f ca="1">SUMIFS('recurring2_based on steps'!$B209:$AY209,'recurring2_based on steps'!$B$1:$AY$1,N$1)+SUMIFS('changes2_based on steps'!$B209:$U209,'changes2_based on steps'!$B$1:$U$1,N$1)</f>
        <v>0</v>
      </c>
      <c r="O209" s="140">
        <f>SUMIFS('recurring2_based on steps'!$B209:$AY209,'recurring2_based on steps'!$B$1:$AY$1,O$1)+SUMIFS('changes2_based on steps'!$B209:$U209,'changes2_based on steps'!$B$1:$U$1,O$1)</f>
        <v>0</v>
      </c>
      <c r="P209" s="140">
        <f ca="1">SUMIFS('recurring2_based on steps'!$B209:$AY209,'recurring2_based on steps'!$B$1:$AY$1,P$1)+SUMIFS('changes2_based on steps'!$B209:$U209,'changes2_based on steps'!$B$1:$U$1,P$1)</f>
        <v>0</v>
      </c>
      <c r="Q209" s="140">
        <f ca="1">SUMIFS('recurring2_based on steps'!$B209:$AY209,'recurring2_based on steps'!$B$1:$AY$1,Q$1)+SUMIFS('changes2_based on steps'!$B209:$U209,'changes2_based on steps'!$B$1:$U$1,Q$1)</f>
        <v>100.05540166204986</v>
      </c>
      <c r="R209" s="140">
        <f ca="1">SUMIFS('recurring2_based on steps'!$B209:$AY209,'recurring2_based on steps'!$B$1:$AY$1,R$1)+SUMIFS('changes2_based on steps'!$B209:$U209,'changes2_based on steps'!$B$1:$U$1,R$1)</f>
        <v>0</v>
      </c>
      <c r="S209" s="140">
        <f>SUMIFS('recurring2_based on steps'!$B209:$AY209,'recurring2_based on steps'!$B$1:$AY$1,S$1)+SUMIFS('changes2_based on steps'!$B209:$U209,'changes2_based on steps'!$B$1:$U$1,S$1)</f>
        <v>0</v>
      </c>
      <c r="T209" s="140">
        <f ca="1">SUMIFS('recurring2_based on steps'!$B209:$AY209,'recurring2_based on steps'!$B$1:$AY$1,T$1)+SUMIFS('changes2_based on steps'!$B209:$U209,'changes2_based on steps'!$B$1:$U$1,T$1)</f>
        <v>0</v>
      </c>
      <c r="U209" s="140">
        <f ca="1">SUMIFS('recurring2_based on steps'!$B209:$AY209,'recurring2_based on steps'!$B$1:$AY$1,U$1)+SUMIFS('changes2_based on steps'!$B209:$U209,'changes2_based on steps'!$B$1:$U$1,U$1)</f>
        <v>0</v>
      </c>
      <c r="V209" s="140">
        <f>SUMIFS('recurring2_based on steps'!$B209:$AY209,'recurring2_based on steps'!$B$1:$AY$1,V$1)+SUMIFS('changes2_based on steps'!$B209:$U209,'changes2_based on steps'!$B$1:$U$1,V$1)</f>
        <v>0</v>
      </c>
      <c r="W209" s="140">
        <f>SUMIFS('recurring2_based on steps'!$B209:$AY209,'recurring2_based on steps'!$B$1:$AY$1,W$1)+SUMIFS('changes2_based on steps'!$B209:$U209,'changes2_based on steps'!$B$1:$U$1,W$1)</f>
        <v>0</v>
      </c>
      <c r="X209" s="140">
        <f ca="1">SUMIFS('recurring2_based on steps'!$B209:$AY209,'recurring2_based on steps'!$B$1:$AY$1,X$1)+SUMIFS('changes2_based on steps'!$B209:$U209,'changes2_based on steps'!$B$1:$U$1,X$1)</f>
        <v>0</v>
      </c>
      <c r="Y209" s="140">
        <f ca="1">SUMIFS('recurring2_based on steps'!$B209:$AY209,'recurring2_based on steps'!$B$1:$AY$1,Y$1)+SUMIFS('changes2_based on steps'!$B209:$U209,'changes2_based on steps'!$B$1:$U$1,Y$1)</f>
        <v>50</v>
      </c>
      <c r="Z209" s="140">
        <f>SUMIFS('recurring2_based on steps'!$B209:$AY209,'recurring2_based on steps'!$B$1:$AY$1,Z$1)+SUMIFS('changes2_based on steps'!$B209:$U209,'changes2_based on steps'!$B$1:$U$1,Z$1)</f>
        <v>0</v>
      </c>
      <c r="AA209" s="140">
        <f ca="1">SUMIFS('recurring2_based on steps'!$B209:$AY209,'recurring2_based on steps'!$B$1:$AY$1,AA$1)+SUMIFS('changes2_based on steps'!$B209:$U209,'changes2_based on steps'!$B$1:$U$1,AA$1)</f>
        <v>0</v>
      </c>
      <c r="AB209" s="140">
        <f ca="1">SUMIFS('recurring2_based on steps'!$B209:$AY209,'recurring2_based on steps'!$B$1:$AY$1,AB$1)+SUMIFS('changes2_based on steps'!$B209:$U209,'changes2_based on steps'!$B$1:$U$1,AB$1)</f>
        <v>0</v>
      </c>
      <c r="AC209" s="140">
        <f ca="1">SUMIFS('recurring2_based on steps'!$B209:$AY209,'recurring2_based on steps'!$B$1:$AY$1,AC$1)+SUMIFS('changes2_based on steps'!$B209:$U209,'changes2_based on steps'!$B$1:$U$1,AC$1)</f>
        <v>0</v>
      </c>
      <c r="AD209" s="140">
        <f ca="1">SUMIFS('recurring2_based on steps'!$B209:$AY209,'recurring2_based on steps'!$B$1:$AY$1,AD$1)+SUMIFS('changes2_based on steps'!$B209:$U209,'changes2_based on steps'!$B$1:$U$1,AD$1)</f>
        <v>0</v>
      </c>
      <c r="AE209" s="140">
        <f>SUMIFS('recurring2_based on steps'!$B209:$AY209,'recurring2_based on steps'!$B$1:$AY$1,AE$1)+SUMIFS('changes2_based on steps'!$B209:$U209,'changes2_based on steps'!$B$1:$U$1,AE$1)</f>
        <v>0</v>
      </c>
      <c r="AF209" s="140"/>
      <c r="AG209" s="140"/>
      <c r="AH209" s="140"/>
      <c r="AI209" s="140"/>
      <c r="AJ209" s="140"/>
      <c r="AK209" s="140"/>
      <c r="AL209" s="140"/>
      <c r="AM209" s="140"/>
    </row>
    <row r="210" spans="1:39" x14ac:dyDescent="0.2">
      <c r="A210" s="29">
        <f t="shared" ca="1" si="3"/>
        <v>45950</v>
      </c>
      <c r="B210" s="140">
        <f ca="1">SUMIFS('recurring2_based on steps'!$B210:$AY210,'recurring2_based on steps'!$B$1:$AY$1,B$1)+SUMIFS('changes2_based on steps'!$B210:$U210,'changes2_based on steps'!$B$1:$U$1,B$1)</f>
        <v>0</v>
      </c>
      <c r="C210" s="140">
        <f>SUMIFS('recurring2_based on steps'!$B210:$AY210,'recurring2_based on steps'!$B$1:$AY$1,C$1)+SUMIFS('changes2_based on steps'!$B210:$U210,'changes2_based on steps'!$B$1:$U$1,C$1)</f>
        <v>0</v>
      </c>
      <c r="D210" s="140">
        <f>SUMIFS('recurring2_based on steps'!$B210:$AY210,'recurring2_based on steps'!$B$1:$AY$1,D$1)+SUMIFS('changes2_based on steps'!$B210:$U210,'changes2_based on steps'!$B$1:$U$1,D$1)</f>
        <v>0</v>
      </c>
      <c r="E210" s="140">
        <f>SUMIFS('recurring2_based on steps'!$B210:$AY210,'recurring2_based on steps'!$B$1:$AY$1,E$1)+SUMIFS('changes2_based on steps'!$B210:$U210,'changes2_based on steps'!$B$1:$U$1,E$1)</f>
        <v>0</v>
      </c>
      <c r="F210" s="140">
        <f>SUMIFS('recurring2_based on steps'!$B210:$AY210,'recurring2_based on steps'!$B$1:$AY$1,F$1)+SUMIFS('changes2_based on steps'!$B210:$U210,'changes2_based on steps'!$B$1:$U$1,F$1)</f>
        <v>0</v>
      </c>
      <c r="G210" s="140">
        <f>SUMIFS('recurring2_based on steps'!$B210:$AY210,'recurring2_based on steps'!$B$1:$AY$1,G$1)+SUMIFS('changes2_based on steps'!$B210:$U210,'changes2_based on steps'!$B$1:$U$1,G$1)</f>
        <v>0</v>
      </c>
      <c r="H210" s="140">
        <f>SUMIFS('recurring2_based on steps'!$B210:$AY210,'recurring2_based on steps'!$B$1:$AY$1,H$1)+SUMIFS('changes2_based on steps'!$B210:$U210,'changes2_based on steps'!$B$1:$U$1,H$1)</f>
        <v>0</v>
      </c>
      <c r="I210" s="140">
        <f>SUMIFS('recurring2_based on steps'!$B210:$AY210,'recurring2_based on steps'!$B$1:$AY$1,I$1)+SUMIFS('changes2_based on steps'!$B210:$U210,'changes2_based on steps'!$B$1:$U$1,I$1)</f>
        <v>0</v>
      </c>
      <c r="J210" s="140">
        <f ca="1">SUMIFS('recurring2_based on steps'!$B210:$AY210,'recurring2_based on steps'!$B$1:$AY$1,J$1)+SUMIFS('changes2_based on steps'!$B210:$U210,'changes2_based on steps'!$B$1:$U$1,J$1)</f>
        <v>0</v>
      </c>
      <c r="K210" s="140">
        <f>SUMIFS('recurring2_based on steps'!$B210:$AY210,'recurring2_based on steps'!$B$1:$AY$1,K$1)+SUMIFS('changes2_based on steps'!$B210:$U210,'changes2_based on steps'!$B$1:$U$1,K$1)</f>
        <v>0</v>
      </c>
      <c r="L210" s="140">
        <f>SUMIFS('recurring2_based on steps'!$B210:$AY210,'recurring2_based on steps'!$B$1:$AY$1,L$1)+SUMIFS('changes2_based on steps'!$B210:$U210,'changes2_based on steps'!$B$1:$U$1,L$1)</f>
        <v>0</v>
      </c>
      <c r="M210" s="140">
        <f>SUMIFS('recurring2_based on steps'!$B210:$AY210,'recurring2_based on steps'!$B$1:$AY$1,M$1)+SUMIFS('changes2_based on steps'!$B210:$U210,'changes2_based on steps'!$B$1:$U$1,M$1)</f>
        <v>0</v>
      </c>
      <c r="N210" s="140">
        <f ca="1">SUMIFS('recurring2_based on steps'!$B210:$AY210,'recurring2_based on steps'!$B$1:$AY$1,N$1)+SUMIFS('changes2_based on steps'!$B210:$U210,'changes2_based on steps'!$B$1:$U$1,N$1)</f>
        <v>0</v>
      </c>
      <c r="O210" s="140">
        <f>SUMIFS('recurring2_based on steps'!$B210:$AY210,'recurring2_based on steps'!$B$1:$AY$1,O$1)+SUMIFS('changes2_based on steps'!$B210:$U210,'changes2_based on steps'!$B$1:$U$1,O$1)</f>
        <v>0</v>
      </c>
      <c r="P210" s="140">
        <f ca="1">SUMIFS('recurring2_based on steps'!$B210:$AY210,'recurring2_based on steps'!$B$1:$AY$1,P$1)+SUMIFS('changes2_based on steps'!$B210:$U210,'changes2_based on steps'!$B$1:$U$1,P$1)</f>
        <v>0</v>
      </c>
      <c r="Q210" s="140">
        <f ca="1">SUMIFS('recurring2_based on steps'!$B210:$AY210,'recurring2_based on steps'!$B$1:$AY$1,Q$1)+SUMIFS('changes2_based on steps'!$B210:$U210,'changes2_based on steps'!$B$1:$U$1,Q$1)</f>
        <v>5.5401662049861494E-2</v>
      </c>
      <c r="R210" s="140">
        <f ca="1">SUMIFS('recurring2_based on steps'!$B210:$AY210,'recurring2_based on steps'!$B$1:$AY$1,R$1)+SUMIFS('changes2_based on steps'!$B210:$U210,'changes2_based on steps'!$B$1:$U$1,R$1)</f>
        <v>5.8171745152354575</v>
      </c>
      <c r="S210" s="140">
        <f>SUMIFS('recurring2_based on steps'!$B210:$AY210,'recurring2_based on steps'!$B$1:$AY$1,S$1)+SUMIFS('changes2_based on steps'!$B210:$U210,'changes2_based on steps'!$B$1:$U$1,S$1)</f>
        <v>0</v>
      </c>
      <c r="T210" s="140">
        <f ca="1">SUMIFS('recurring2_based on steps'!$B210:$AY210,'recurring2_based on steps'!$B$1:$AY$1,T$1)+SUMIFS('changes2_based on steps'!$B210:$U210,'changes2_based on steps'!$B$1:$U$1,T$1)</f>
        <v>0</v>
      </c>
      <c r="U210" s="140">
        <f ca="1">SUMIFS('recurring2_based on steps'!$B210:$AY210,'recurring2_based on steps'!$B$1:$AY$1,U$1)+SUMIFS('changes2_based on steps'!$B210:$U210,'changes2_based on steps'!$B$1:$U$1,U$1)</f>
        <v>0</v>
      </c>
      <c r="V210" s="140">
        <f>SUMIFS('recurring2_based on steps'!$B210:$AY210,'recurring2_based on steps'!$B$1:$AY$1,V$1)+SUMIFS('changes2_based on steps'!$B210:$U210,'changes2_based on steps'!$B$1:$U$1,V$1)</f>
        <v>0</v>
      </c>
      <c r="W210" s="140">
        <f>SUMIFS('recurring2_based on steps'!$B210:$AY210,'recurring2_based on steps'!$B$1:$AY$1,W$1)+SUMIFS('changes2_based on steps'!$B210:$U210,'changes2_based on steps'!$B$1:$U$1,W$1)</f>
        <v>0</v>
      </c>
      <c r="X210" s="140">
        <f ca="1">SUMIFS('recurring2_based on steps'!$B210:$AY210,'recurring2_based on steps'!$B$1:$AY$1,X$1)+SUMIFS('changes2_based on steps'!$B210:$U210,'changes2_based on steps'!$B$1:$U$1,X$1)</f>
        <v>0</v>
      </c>
      <c r="Y210" s="140">
        <f ca="1">SUMIFS('recurring2_based on steps'!$B210:$AY210,'recurring2_based on steps'!$B$1:$AY$1,Y$1)+SUMIFS('changes2_based on steps'!$B210:$U210,'changes2_based on steps'!$B$1:$U$1,Y$1)</f>
        <v>0</v>
      </c>
      <c r="Z210" s="140">
        <f>SUMIFS('recurring2_based on steps'!$B210:$AY210,'recurring2_based on steps'!$B$1:$AY$1,Z$1)+SUMIFS('changes2_based on steps'!$B210:$U210,'changes2_based on steps'!$B$1:$U$1,Z$1)</f>
        <v>0</v>
      </c>
      <c r="AA210" s="140">
        <f ca="1">SUMIFS('recurring2_based on steps'!$B210:$AY210,'recurring2_based on steps'!$B$1:$AY$1,AA$1)+SUMIFS('changes2_based on steps'!$B210:$U210,'changes2_based on steps'!$B$1:$U$1,AA$1)</f>
        <v>0</v>
      </c>
      <c r="AB210" s="140">
        <f ca="1">SUMIFS('recurring2_based on steps'!$B210:$AY210,'recurring2_based on steps'!$B$1:$AY$1,AB$1)+SUMIFS('changes2_based on steps'!$B210:$U210,'changes2_based on steps'!$B$1:$U$1,AB$1)</f>
        <v>0</v>
      </c>
      <c r="AC210" s="140">
        <f ca="1">SUMIFS('recurring2_based on steps'!$B210:$AY210,'recurring2_based on steps'!$B$1:$AY$1,AC$1)+SUMIFS('changes2_based on steps'!$B210:$U210,'changes2_based on steps'!$B$1:$U$1,AC$1)</f>
        <v>0</v>
      </c>
      <c r="AD210" s="140">
        <f ca="1">SUMIFS('recurring2_based on steps'!$B210:$AY210,'recurring2_based on steps'!$B$1:$AY$1,AD$1)+SUMIFS('changes2_based on steps'!$B210:$U210,'changes2_based on steps'!$B$1:$U$1,AD$1)</f>
        <v>0</v>
      </c>
      <c r="AE210" s="140">
        <f>SUMIFS('recurring2_based on steps'!$B210:$AY210,'recurring2_based on steps'!$B$1:$AY$1,AE$1)+SUMIFS('changes2_based on steps'!$B210:$U210,'changes2_based on steps'!$B$1:$U$1,AE$1)</f>
        <v>0</v>
      </c>
      <c r="AF210" s="140"/>
      <c r="AG210" s="140"/>
      <c r="AH210" s="140"/>
      <c r="AI210" s="140"/>
      <c r="AJ210" s="140"/>
      <c r="AK210" s="140"/>
      <c r="AL210" s="140"/>
      <c r="AM210" s="140"/>
    </row>
    <row r="211" spans="1:39" x14ac:dyDescent="0.2">
      <c r="A211" s="29">
        <f t="shared" ca="1" si="3"/>
        <v>45951</v>
      </c>
      <c r="B211" s="140">
        <f ca="1">SUMIFS('recurring2_based on steps'!$B211:$AY211,'recurring2_based on steps'!$B$1:$AY$1,B$1)+SUMIFS('changes2_based on steps'!$B211:$U211,'changes2_based on steps'!$B$1:$U$1,B$1)</f>
        <v>0</v>
      </c>
      <c r="C211" s="140">
        <f>SUMIFS('recurring2_based on steps'!$B211:$AY211,'recurring2_based on steps'!$B$1:$AY$1,C$1)+SUMIFS('changes2_based on steps'!$B211:$U211,'changes2_based on steps'!$B$1:$U$1,C$1)</f>
        <v>0</v>
      </c>
      <c r="D211" s="140">
        <f>SUMIFS('recurring2_based on steps'!$B211:$AY211,'recurring2_based on steps'!$B$1:$AY$1,D$1)+SUMIFS('changes2_based on steps'!$B211:$U211,'changes2_based on steps'!$B$1:$U$1,D$1)</f>
        <v>0</v>
      </c>
      <c r="E211" s="140">
        <f>SUMIFS('recurring2_based on steps'!$B211:$AY211,'recurring2_based on steps'!$B$1:$AY$1,E$1)+SUMIFS('changes2_based on steps'!$B211:$U211,'changes2_based on steps'!$B$1:$U$1,E$1)</f>
        <v>0</v>
      </c>
      <c r="F211" s="140">
        <f>SUMIFS('recurring2_based on steps'!$B211:$AY211,'recurring2_based on steps'!$B$1:$AY$1,F$1)+SUMIFS('changes2_based on steps'!$B211:$U211,'changes2_based on steps'!$B$1:$U$1,F$1)</f>
        <v>0</v>
      </c>
      <c r="G211" s="140">
        <f>SUMIFS('recurring2_based on steps'!$B211:$AY211,'recurring2_based on steps'!$B$1:$AY$1,G$1)+SUMIFS('changes2_based on steps'!$B211:$U211,'changes2_based on steps'!$B$1:$U$1,G$1)</f>
        <v>0</v>
      </c>
      <c r="H211" s="140">
        <f>SUMIFS('recurring2_based on steps'!$B211:$AY211,'recurring2_based on steps'!$B$1:$AY$1,H$1)+SUMIFS('changes2_based on steps'!$B211:$U211,'changes2_based on steps'!$B$1:$U$1,H$1)</f>
        <v>0</v>
      </c>
      <c r="I211" s="140">
        <f>SUMIFS('recurring2_based on steps'!$B211:$AY211,'recurring2_based on steps'!$B$1:$AY$1,I$1)+SUMIFS('changes2_based on steps'!$B211:$U211,'changes2_based on steps'!$B$1:$U$1,I$1)</f>
        <v>0</v>
      </c>
      <c r="J211" s="140">
        <f ca="1">SUMIFS('recurring2_based on steps'!$B211:$AY211,'recurring2_based on steps'!$B$1:$AY$1,J$1)+SUMIFS('changes2_based on steps'!$B211:$U211,'changes2_based on steps'!$B$1:$U$1,J$1)</f>
        <v>0</v>
      </c>
      <c r="K211" s="140">
        <f>SUMIFS('recurring2_based on steps'!$B211:$AY211,'recurring2_based on steps'!$B$1:$AY$1,K$1)+SUMIFS('changes2_based on steps'!$B211:$U211,'changes2_based on steps'!$B$1:$U$1,K$1)</f>
        <v>0</v>
      </c>
      <c r="L211" s="140">
        <f>SUMIFS('recurring2_based on steps'!$B211:$AY211,'recurring2_based on steps'!$B$1:$AY$1,L$1)+SUMIFS('changes2_based on steps'!$B211:$U211,'changes2_based on steps'!$B$1:$U$1,L$1)</f>
        <v>0</v>
      </c>
      <c r="M211" s="140">
        <f>SUMIFS('recurring2_based on steps'!$B211:$AY211,'recurring2_based on steps'!$B$1:$AY$1,M$1)+SUMIFS('changes2_based on steps'!$B211:$U211,'changes2_based on steps'!$B$1:$U$1,M$1)</f>
        <v>0</v>
      </c>
      <c r="N211" s="140">
        <f ca="1">SUMIFS('recurring2_based on steps'!$B211:$AY211,'recurring2_based on steps'!$B$1:$AY$1,N$1)+SUMIFS('changes2_based on steps'!$B211:$U211,'changes2_based on steps'!$B$1:$U$1,N$1)</f>
        <v>0</v>
      </c>
      <c r="O211" s="140">
        <f>SUMIFS('recurring2_based on steps'!$B211:$AY211,'recurring2_based on steps'!$B$1:$AY$1,O$1)+SUMIFS('changes2_based on steps'!$B211:$U211,'changes2_based on steps'!$B$1:$U$1,O$1)</f>
        <v>0</v>
      </c>
      <c r="P211" s="140">
        <f ca="1">SUMIFS('recurring2_based on steps'!$B211:$AY211,'recurring2_based on steps'!$B$1:$AY$1,P$1)+SUMIFS('changes2_based on steps'!$B211:$U211,'changes2_based on steps'!$B$1:$U$1,P$1)</f>
        <v>0</v>
      </c>
      <c r="Q211" s="140">
        <f ca="1">SUMIFS('recurring2_based on steps'!$B211:$AY211,'recurring2_based on steps'!$B$1:$AY$1,Q$1)+SUMIFS('changes2_based on steps'!$B211:$U211,'changes2_based on steps'!$B$1:$U$1,Q$1)</f>
        <v>5.5401662049861494E-2</v>
      </c>
      <c r="R211" s="140">
        <f ca="1">SUMIFS('recurring2_based on steps'!$B211:$AY211,'recurring2_based on steps'!$B$1:$AY$1,R$1)+SUMIFS('changes2_based on steps'!$B211:$U211,'changes2_based on steps'!$B$1:$U$1,R$1)</f>
        <v>0</v>
      </c>
      <c r="S211" s="140">
        <f>SUMIFS('recurring2_based on steps'!$B211:$AY211,'recurring2_based on steps'!$B$1:$AY$1,S$1)+SUMIFS('changes2_based on steps'!$B211:$U211,'changes2_based on steps'!$B$1:$U$1,S$1)</f>
        <v>0</v>
      </c>
      <c r="T211" s="140">
        <f ca="1">SUMIFS('recurring2_based on steps'!$B211:$AY211,'recurring2_based on steps'!$B$1:$AY$1,T$1)+SUMIFS('changes2_based on steps'!$B211:$U211,'changes2_based on steps'!$B$1:$U$1,T$1)</f>
        <v>0</v>
      </c>
      <c r="U211" s="140">
        <f ca="1">SUMIFS('recurring2_based on steps'!$B211:$AY211,'recurring2_based on steps'!$B$1:$AY$1,U$1)+SUMIFS('changes2_based on steps'!$B211:$U211,'changes2_based on steps'!$B$1:$U$1,U$1)</f>
        <v>0</v>
      </c>
      <c r="V211" s="140">
        <f>SUMIFS('recurring2_based on steps'!$B211:$AY211,'recurring2_based on steps'!$B$1:$AY$1,V$1)+SUMIFS('changes2_based on steps'!$B211:$U211,'changes2_based on steps'!$B$1:$U$1,V$1)</f>
        <v>0</v>
      </c>
      <c r="W211" s="140">
        <f>SUMIFS('recurring2_based on steps'!$B211:$AY211,'recurring2_based on steps'!$B$1:$AY$1,W$1)+SUMIFS('changes2_based on steps'!$B211:$U211,'changes2_based on steps'!$B$1:$U$1,W$1)</f>
        <v>0</v>
      </c>
      <c r="X211" s="140">
        <f ca="1">SUMIFS('recurring2_based on steps'!$B211:$AY211,'recurring2_based on steps'!$B$1:$AY$1,X$1)+SUMIFS('changes2_based on steps'!$B211:$U211,'changes2_based on steps'!$B$1:$U$1,X$1)</f>
        <v>0</v>
      </c>
      <c r="Y211" s="140">
        <f ca="1">SUMIFS('recurring2_based on steps'!$B211:$AY211,'recurring2_based on steps'!$B$1:$AY$1,Y$1)+SUMIFS('changes2_based on steps'!$B211:$U211,'changes2_based on steps'!$B$1:$U$1,Y$1)</f>
        <v>0</v>
      </c>
      <c r="Z211" s="140">
        <f>SUMIFS('recurring2_based on steps'!$B211:$AY211,'recurring2_based on steps'!$B$1:$AY$1,Z$1)+SUMIFS('changes2_based on steps'!$B211:$U211,'changes2_based on steps'!$B$1:$U$1,Z$1)</f>
        <v>0</v>
      </c>
      <c r="AA211" s="140">
        <f ca="1">SUMIFS('recurring2_based on steps'!$B211:$AY211,'recurring2_based on steps'!$B$1:$AY$1,AA$1)+SUMIFS('changes2_based on steps'!$B211:$U211,'changes2_based on steps'!$B$1:$U$1,AA$1)</f>
        <v>0</v>
      </c>
      <c r="AB211" s="140">
        <f ca="1">SUMIFS('recurring2_based on steps'!$B211:$AY211,'recurring2_based on steps'!$B$1:$AY$1,AB$1)+SUMIFS('changes2_based on steps'!$B211:$U211,'changes2_based on steps'!$B$1:$U$1,AB$1)</f>
        <v>0</v>
      </c>
      <c r="AC211" s="140">
        <f ca="1">SUMIFS('recurring2_based on steps'!$B211:$AY211,'recurring2_based on steps'!$B$1:$AY$1,AC$1)+SUMIFS('changes2_based on steps'!$B211:$U211,'changes2_based on steps'!$B$1:$U$1,AC$1)</f>
        <v>0</v>
      </c>
      <c r="AD211" s="140">
        <f ca="1">SUMIFS('recurring2_based on steps'!$B211:$AY211,'recurring2_based on steps'!$B$1:$AY$1,AD$1)+SUMIFS('changes2_based on steps'!$B211:$U211,'changes2_based on steps'!$B$1:$U$1,AD$1)</f>
        <v>0</v>
      </c>
      <c r="AE211" s="140">
        <f>SUMIFS('recurring2_based on steps'!$B211:$AY211,'recurring2_based on steps'!$B$1:$AY$1,AE$1)+SUMIFS('changes2_based on steps'!$B211:$U211,'changes2_based on steps'!$B$1:$U$1,AE$1)</f>
        <v>0</v>
      </c>
      <c r="AF211" s="140"/>
      <c r="AG211" s="140"/>
      <c r="AH211" s="140"/>
      <c r="AI211" s="140"/>
      <c r="AJ211" s="140"/>
      <c r="AK211" s="140"/>
      <c r="AL211" s="140"/>
      <c r="AM211" s="140"/>
    </row>
    <row r="212" spans="1:39" x14ac:dyDescent="0.2">
      <c r="A212" s="29">
        <f t="shared" ca="1" si="3"/>
        <v>45952</v>
      </c>
      <c r="B212" s="140">
        <f ca="1">SUMIFS('recurring2_based on steps'!$B212:$AY212,'recurring2_based on steps'!$B$1:$AY$1,B$1)+SUMIFS('changes2_based on steps'!$B212:$U212,'changes2_based on steps'!$B$1:$U$1,B$1)</f>
        <v>0</v>
      </c>
      <c r="C212" s="140">
        <f>SUMIFS('recurring2_based on steps'!$B212:$AY212,'recurring2_based on steps'!$B$1:$AY$1,C$1)+SUMIFS('changes2_based on steps'!$B212:$U212,'changes2_based on steps'!$B$1:$U$1,C$1)</f>
        <v>0</v>
      </c>
      <c r="D212" s="140">
        <f>SUMIFS('recurring2_based on steps'!$B212:$AY212,'recurring2_based on steps'!$B$1:$AY$1,D$1)+SUMIFS('changes2_based on steps'!$B212:$U212,'changes2_based on steps'!$B$1:$U$1,D$1)</f>
        <v>0</v>
      </c>
      <c r="E212" s="140">
        <f>SUMIFS('recurring2_based on steps'!$B212:$AY212,'recurring2_based on steps'!$B$1:$AY$1,E$1)+SUMIFS('changes2_based on steps'!$B212:$U212,'changes2_based on steps'!$B$1:$U$1,E$1)</f>
        <v>0</v>
      </c>
      <c r="F212" s="140">
        <f>SUMIFS('recurring2_based on steps'!$B212:$AY212,'recurring2_based on steps'!$B$1:$AY$1,F$1)+SUMIFS('changes2_based on steps'!$B212:$U212,'changes2_based on steps'!$B$1:$U$1,F$1)</f>
        <v>0</v>
      </c>
      <c r="G212" s="140">
        <f>SUMIFS('recurring2_based on steps'!$B212:$AY212,'recurring2_based on steps'!$B$1:$AY$1,G$1)+SUMIFS('changes2_based on steps'!$B212:$U212,'changes2_based on steps'!$B$1:$U$1,G$1)</f>
        <v>0</v>
      </c>
      <c r="H212" s="140">
        <f>SUMIFS('recurring2_based on steps'!$B212:$AY212,'recurring2_based on steps'!$B$1:$AY$1,H$1)+SUMIFS('changes2_based on steps'!$B212:$U212,'changes2_based on steps'!$B$1:$U$1,H$1)</f>
        <v>0</v>
      </c>
      <c r="I212" s="140">
        <f>SUMIFS('recurring2_based on steps'!$B212:$AY212,'recurring2_based on steps'!$B$1:$AY$1,I$1)+SUMIFS('changes2_based on steps'!$B212:$U212,'changes2_based on steps'!$B$1:$U$1,I$1)</f>
        <v>0</v>
      </c>
      <c r="J212" s="140">
        <f ca="1">SUMIFS('recurring2_based on steps'!$B212:$AY212,'recurring2_based on steps'!$B$1:$AY$1,J$1)+SUMIFS('changes2_based on steps'!$B212:$U212,'changes2_based on steps'!$B$1:$U$1,J$1)</f>
        <v>0</v>
      </c>
      <c r="K212" s="140">
        <f>SUMIFS('recurring2_based on steps'!$B212:$AY212,'recurring2_based on steps'!$B$1:$AY$1,K$1)+SUMIFS('changes2_based on steps'!$B212:$U212,'changes2_based on steps'!$B$1:$U$1,K$1)</f>
        <v>0</v>
      </c>
      <c r="L212" s="140">
        <f>SUMIFS('recurring2_based on steps'!$B212:$AY212,'recurring2_based on steps'!$B$1:$AY$1,L$1)+SUMIFS('changes2_based on steps'!$B212:$U212,'changes2_based on steps'!$B$1:$U$1,L$1)</f>
        <v>0</v>
      </c>
      <c r="M212" s="140">
        <f>SUMIFS('recurring2_based on steps'!$B212:$AY212,'recurring2_based on steps'!$B$1:$AY$1,M$1)+SUMIFS('changes2_based on steps'!$B212:$U212,'changes2_based on steps'!$B$1:$U$1,M$1)</f>
        <v>0</v>
      </c>
      <c r="N212" s="140">
        <f ca="1">SUMIFS('recurring2_based on steps'!$B212:$AY212,'recurring2_based on steps'!$B$1:$AY$1,N$1)+SUMIFS('changes2_based on steps'!$B212:$U212,'changes2_based on steps'!$B$1:$U$1,N$1)</f>
        <v>0</v>
      </c>
      <c r="O212" s="140">
        <f>SUMIFS('recurring2_based on steps'!$B212:$AY212,'recurring2_based on steps'!$B$1:$AY$1,O$1)+SUMIFS('changes2_based on steps'!$B212:$U212,'changes2_based on steps'!$B$1:$U$1,O$1)</f>
        <v>0</v>
      </c>
      <c r="P212" s="140">
        <f ca="1">SUMIFS('recurring2_based on steps'!$B212:$AY212,'recurring2_based on steps'!$B$1:$AY$1,P$1)+SUMIFS('changes2_based on steps'!$B212:$U212,'changes2_based on steps'!$B$1:$U$1,P$1)</f>
        <v>0</v>
      </c>
      <c r="Q212" s="140">
        <f ca="1">SUMIFS('recurring2_based on steps'!$B212:$AY212,'recurring2_based on steps'!$B$1:$AY$1,Q$1)+SUMIFS('changes2_based on steps'!$B212:$U212,'changes2_based on steps'!$B$1:$U$1,Q$1)</f>
        <v>5.5401662049861494E-2</v>
      </c>
      <c r="R212" s="140">
        <f ca="1">SUMIFS('recurring2_based on steps'!$B212:$AY212,'recurring2_based on steps'!$B$1:$AY$1,R$1)+SUMIFS('changes2_based on steps'!$B212:$U212,'changes2_based on steps'!$B$1:$U$1,R$1)</f>
        <v>0</v>
      </c>
      <c r="S212" s="140">
        <f>SUMIFS('recurring2_based on steps'!$B212:$AY212,'recurring2_based on steps'!$B$1:$AY$1,S$1)+SUMIFS('changes2_based on steps'!$B212:$U212,'changes2_based on steps'!$B$1:$U$1,S$1)</f>
        <v>0</v>
      </c>
      <c r="T212" s="140">
        <f ca="1">SUMIFS('recurring2_based on steps'!$B212:$AY212,'recurring2_based on steps'!$B$1:$AY$1,T$1)+SUMIFS('changes2_based on steps'!$B212:$U212,'changes2_based on steps'!$B$1:$U$1,T$1)</f>
        <v>0</v>
      </c>
      <c r="U212" s="140">
        <f ca="1">SUMIFS('recurring2_based on steps'!$B212:$AY212,'recurring2_based on steps'!$B$1:$AY$1,U$1)+SUMIFS('changes2_based on steps'!$B212:$U212,'changes2_based on steps'!$B$1:$U$1,U$1)</f>
        <v>0</v>
      </c>
      <c r="V212" s="140">
        <f>SUMIFS('recurring2_based on steps'!$B212:$AY212,'recurring2_based on steps'!$B$1:$AY$1,V$1)+SUMIFS('changes2_based on steps'!$B212:$U212,'changes2_based on steps'!$B$1:$U$1,V$1)</f>
        <v>0</v>
      </c>
      <c r="W212" s="140">
        <f>SUMIFS('recurring2_based on steps'!$B212:$AY212,'recurring2_based on steps'!$B$1:$AY$1,W$1)+SUMIFS('changes2_based on steps'!$B212:$U212,'changes2_based on steps'!$B$1:$U$1,W$1)</f>
        <v>0</v>
      </c>
      <c r="X212" s="140">
        <f ca="1">SUMIFS('recurring2_based on steps'!$B212:$AY212,'recurring2_based on steps'!$B$1:$AY$1,X$1)+SUMIFS('changes2_based on steps'!$B212:$U212,'changes2_based on steps'!$B$1:$U$1,X$1)</f>
        <v>0</v>
      </c>
      <c r="Y212" s="140">
        <f ca="1">SUMIFS('recurring2_based on steps'!$B212:$AY212,'recurring2_based on steps'!$B$1:$AY$1,Y$1)+SUMIFS('changes2_based on steps'!$B212:$U212,'changes2_based on steps'!$B$1:$U$1,Y$1)</f>
        <v>0</v>
      </c>
      <c r="Z212" s="140">
        <f>SUMIFS('recurring2_based on steps'!$B212:$AY212,'recurring2_based on steps'!$B$1:$AY$1,Z$1)+SUMIFS('changes2_based on steps'!$B212:$U212,'changes2_based on steps'!$B$1:$U$1,Z$1)</f>
        <v>0</v>
      </c>
      <c r="AA212" s="140">
        <f ca="1">SUMIFS('recurring2_based on steps'!$B212:$AY212,'recurring2_based on steps'!$B$1:$AY$1,AA$1)+SUMIFS('changes2_based on steps'!$B212:$U212,'changes2_based on steps'!$B$1:$U$1,AA$1)</f>
        <v>0</v>
      </c>
      <c r="AB212" s="140">
        <f ca="1">SUMIFS('recurring2_based on steps'!$B212:$AY212,'recurring2_based on steps'!$B$1:$AY$1,AB$1)+SUMIFS('changes2_based on steps'!$B212:$U212,'changes2_based on steps'!$B$1:$U$1,AB$1)</f>
        <v>0</v>
      </c>
      <c r="AC212" s="140">
        <f ca="1">SUMIFS('recurring2_based on steps'!$B212:$AY212,'recurring2_based on steps'!$B$1:$AY$1,AC$1)+SUMIFS('changes2_based on steps'!$B212:$U212,'changes2_based on steps'!$B$1:$U$1,AC$1)</f>
        <v>0</v>
      </c>
      <c r="AD212" s="140">
        <f ca="1">SUMIFS('recurring2_based on steps'!$B212:$AY212,'recurring2_based on steps'!$B$1:$AY$1,AD$1)+SUMIFS('changes2_based on steps'!$B212:$U212,'changes2_based on steps'!$B$1:$U$1,AD$1)</f>
        <v>0</v>
      </c>
      <c r="AE212" s="140">
        <f>SUMIFS('recurring2_based on steps'!$B212:$AY212,'recurring2_based on steps'!$B$1:$AY$1,AE$1)+SUMIFS('changes2_based on steps'!$B212:$U212,'changes2_based on steps'!$B$1:$U$1,AE$1)</f>
        <v>0</v>
      </c>
      <c r="AF212" s="140"/>
      <c r="AG212" s="140"/>
      <c r="AH212" s="140"/>
      <c r="AI212" s="140"/>
      <c r="AJ212" s="140"/>
      <c r="AK212" s="140"/>
      <c r="AL212" s="140"/>
      <c r="AM212" s="140"/>
    </row>
    <row r="213" spans="1:39" x14ac:dyDescent="0.2">
      <c r="A213" s="29">
        <f t="shared" ca="1" si="3"/>
        <v>45953</v>
      </c>
      <c r="B213" s="140">
        <f ca="1">SUMIFS('recurring2_based on steps'!$B213:$AY213,'recurring2_based on steps'!$B$1:$AY$1,B$1)+SUMIFS('changes2_based on steps'!$B213:$U213,'changes2_based on steps'!$B$1:$U$1,B$1)</f>
        <v>0</v>
      </c>
      <c r="C213" s="140">
        <f>SUMIFS('recurring2_based on steps'!$B213:$AY213,'recurring2_based on steps'!$B$1:$AY$1,C$1)+SUMIFS('changes2_based on steps'!$B213:$U213,'changes2_based on steps'!$B$1:$U$1,C$1)</f>
        <v>0</v>
      </c>
      <c r="D213" s="140">
        <f>SUMIFS('recurring2_based on steps'!$B213:$AY213,'recurring2_based on steps'!$B$1:$AY$1,D$1)+SUMIFS('changes2_based on steps'!$B213:$U213,'changes2_based on steps'!$B$1:$U$1,D$1)</f>
        <v>0</v>
      </c>
      <c r="E213" s="140">
        <f>SUMIFS('recurring2_based on steps'!$B213:$AY213,'recurring2_based on steps'!$B$1:$AY$1,E$1)+SUMIFS('changes2_based on steps'!$B213:$U213,'changes2_based on steps'!$B$1:$U$1,E$1)</f>
        <v>0</v>
      </c>
      <c r="F213" s="140">
        <f>SUMIFS('recurring2_based on steps'!$B213:$AY213,'recurring2_based on steps'!$B$1:$AY$1,F$1)+SUMIFS('changes2_based on steps'!$B213:$U213,'changes2_based on steps'!$B$1:$U$1,F$1)</f>
        <v>0</v>
      </c>
      <c r="G213" s="140">
        <f>SUMIFS('recurring2_based on steps'!$B213:$AY213,'recurring2_based on steps'!$B$1:$AY$1,G$1)+SUMIFS('changes2_based on steps'!$B213:$U213,'changes2_based on steps'!$B$1:$U$1,G$1)</f>
        <v>0</v>
      </c>
      <c r="H213" s="140">
        <f>SUMIFS('recurring2_based on steps'!$B213:$AY213,'recurring2_based on steps'!$B$1:$AY$1,H$1)+SUMIFS('changes2_based on steps'!$B213:$U213,'changes2_based on steps'!$B$1:$U$1,H$1)</f>
        <v>0</v>
      </c>
      <c r="I213" s="140">
        <f>SUMIFS('recurring2_based on steps'!$B213:$AY213,'recurring2_based on steps'!$B$1:$AY$1,I$1)+SUMIFS('changes2_based on steps'!$B213:$U213,'changes2_based on steps'!$B$1:$U$1,I$1)</f>
        <v>0</v>
      </c>
      <c r="J213" s="140">
        <f ca="1">SUMIFS('recurring2_based on steps'!$B213:$AY213,'recurring2_based on steps'!$B$1:$AY$1,J$1)+SUMIFS('changes2_based on steps'!$B213:$U213,'changes2_based on steps'!$B$1:$U$1,J$1)</f>
        <v>0</v>
      </c>
      <c r="K213" s="140">
        <f>SUMIFS('recurring2_based on steps'!$B213:$AY213,'recurring2_based on steps'!$B$1:$AY$1,K$1)+SUMIFS('changes2_based on steps'!$B213:$U213,'changes2_based on steps'!$B$1:$U$1,K$1)</f>
        <v>0</v>
      </c>
      <c r="L213" s="140">
        <f>SUMIFS('recurring2_based on steps'!$B213:$AY213,'recurring2_based on steps'!$B$1:$AY$1,L$1)+SUMIFS('changes2_based on steps'!$B213:$U213,'changes2_based on steps'!$B$1:$U$1,L$1)</f>
        <v>0</v>
      </c>
      <c r="M213" s="140">
        <f>SUMIFS('recurring2_based on steps'!$B213:$AY213,'recurring2_based on steps'!$B$1:$AY$1,M$1)+SUMIFS('changes2_based on steps'!$B213:$U213,'changes2_based on steps'!$B$1:$U$1,M$1)</f>
        <v>0</v>
      </c>
      <c r="N213" s="140">
        <f ca="1">SUMIFS('recurring2_based on steps'!$B213:$AY213,'recurring2_based on steps'!$B$1:$AY$1,N$1)+SUMIFS('changes2_based on steps'!$B213:$U213,'changes2_based on steps'!$B$1:$U$1,N$1)</f>
        <v>0</v>
      </c>
      <c r="O213" s="140">
        <f>SUMIFS('recurring2_based on steps'!$B213:$AY213,'recurring2_based on steps'!$B$1:$AY$1,O$1)+SUMIFS('changes2_based on steps'!$B213:$U213,'changes2_based on steps'!$B$1:$U$1,O$1)</f>
        <v>0</v>
      </c>
      <c r="P213" s="140">
        <f ca="1">SUMIFS('recurring2_based on steps'!$B213:$AY213,'recurring2_based on steps'!$B$1:$AY$1,P$1)+SUMIFS('changes2_based on steps'!$B213:$U213,'changes2_based on steps'!$B$1:$U$1,P$1)</f>
        <v>0</v>
      </c>
      <c r="Q213" s="140">
        <f ca="1">SUMIFS('recurring2_based on steps'!$B213:$AY213,'recurring2_based on steps'!$B$1:$AY$1,Q$1)+SUMIFS('changes2_based on steps'!$B213:$U213,'changes2_based on steps'!$B$1:$U$1,Q$1)</f>
        <v>5.5401662049861494E-2</v>
      </c>
      <c r="R213" s="140">
        <f ca="1">SUMIFS('recurring2_based on steps'!$B213:$AY213,'recurring2_based on steps'!$B$1:$AY$1,R$1)+SUMIFS('changes2_based on steps'!$B213:$U213,'changes2_based on steps'!$B$1:$U$1,R$1)</f>
        <v>0</v>
      </c>
      <c r="S213" s="140">
        <f>SUMIFS('recurring2_based on steps'!$B213:$AY213,'recurring2_based on steps'!$B$1:$AY$1,S$1)+SUMIFS('changes2_based on steps'!$B213:$U213,'changes2_based on steps'!$B$1:$U$1,S$1)</f>
        <v>0</v>
      </c>
      <c r="T213" s="140">
        <f ca="1">SUMIFS('recurring2_based on steps'!$B213:$AY213,'recurring2_based on steps'!$B$1:$AY$1,T$1)+SUMIFS('changes2_based on steps'!$B213:$U213,'changes2_based on steps'!$B$1:$U$1,T$1)</f>
        <v>0</v>
      </c>
      <c r="U213" s="140">
        <f ca="1">SUMIFS('recurring2_based on steps'!$B213:$AY213,'recurring2_based on steps'!$B$1:$AY$1,U$1)+SUMIFS('changes2_based on steps'!$B213:$U213,'changes2_based on steps'!$B$1:$U$1,U$1)</f>
        <v>0</v>
      </c>
      <c r="V213" s="140">
        <f>SUMIFS('recurring2_based on steps'!$B213:$AY213,'recurring2_based on steps'!$B$1:$AY$1,V$1)+SUMIFS('changes2_based on steps'!$B213:$U213,'changes2_based on steps'!$B$1:$U$1,V$1)</f>
        <v>0</v>
      </c>
      <c r="W213" s="140">
        <f>SUMIFS('recurring2_based on steps'!$B213:$AY213,'recurring2_based on steps'!$B$1:$AY$1,W$1)+SUMIFS('changes2_based on steps'!$B213:$U213,'changes2_based on steps'!$B$1:$U$1,W$1)</f>
        <v>0</v>
      </c>
      <c r="X213" s="140">
        <f ca="1">SUMIFS('recurring2_based on steps'!$B213:$AY213,'recurring2_based on steps'!$B$1:$AY$1,X$1)+SUMIFS('changes2_based on steps'!$B213:$U213,'changes2_based on steps'!$B$1:$U$1,X$1)</f>
        <v>0</v>
      </c>
      <c r="Y213" s="140">
        <f ca="1">SUMIFS('recurring2_based on steps'!$B213:$AY213,'recurring2_based on steps'!$B$1:$AY$1,Y$1)+SUMIFS('changes2_based on steps'!$B213:$U213,'changes2_based on steps'!$B$1:$U$1,Y$1)</f>
        <v>0</v>
      </c>
      <c r="Z213" s="140">
        <f>SUMIFS('recurring2_based on steps'!$B213:$AY213,'recurring2_based on steps'!$B$1:$AY$1,Z$1)+SUMIFS('changes2_based on steps'!$B213:$U213,'changes2_based on steps'!$B$1:$U$1,Z$1)</f>
        <v>0</v>
      </c>
      <c r="AA213" s="140">
        <f ca="1">SUMIFS('recurring2_based on steps'!$B213:$AY213,'recurring2_based on steps'!$B$1:$AY$1,AA$1)+SUMIFS('changes2_based on steps'!$B213:$U213,'changes2_based on steps'!$B$1:$U$1,AA$1)</f>
        <v>0</v>
      </c>
      <c r="AB213" s="140">
        <f ca="1">SUMIFS('recurring2_based on steps'!$B213:$AY213,'recurring2_based on steps'!$B$1:$AY$1,AB$1)+SUMIFS('changes2_based on steps'!$B213:$U213,'changes2_based on steps'!$B$1:$U$1,AB$1)</f>
        <v>0</v>
      </c>
      <c r="AC213" s="140">
        <f ca="1">SUMIFS('recurring2_based on steps'!$B213:$AY213,'recurring2_based on steps'!$B$1:$AY$1,AC$1)+SUMIFS('changes2_based on steps'!$B213:$U213,'changes2_based on steps'!$B$1:$U$1,AC$1)</f>
        <v>0</v>
      </c>
      <c r="AD213" s="140">
        <f ca="1">SUMIFS('recurring2_based on steps'!$B213:$AY213,'recurring2_based on steps'!$B$1:$AY$1,AD$1)+SUMIFS('changes2_based on steps'!$B213:$U213,'changes2_based on steps'!$B$1:$U$1,AD$1)</f>
        <v>0</v>
      </c>
      <c r="AE213" s="140">
        <f>SUMIFS('recurring2_based on steps'!$B213:$AY213,'recurring2_based on steps'!$B$1:$AY$1,AE$1)+SUMIFS('changes2_based on steps'!$B213:$U213,'changes2_based on steps'!$B$1:$U$1,AE$1)</f>
        <v>0</v>
      </c>
      <c r="AF213" s="140"/>
      <c r="AG213" s="140"/>
      <c r="AH213" s="140"/>
      <c r="AI213" s="140"/>
      <c r="AJ213" s="140"/>
      <c r="AK213" s="140"/>
      <c r="AL213" s="140"/>
      <c r="AM213" s="140"/>
    </row>
    <row r="214" spans="1:39" x14ac:dyDescent="0.2">
      <c r="A214" s="29">
        <f t="shared" ca="1" si="3"/>
        <v>45954</v>
      </c>
      <c r="B214" s="140">
        <f ca="1">SUMIFS('recurring2_based on steps'!$B214:$AY214,'recurring2_based on steps'!$B$1:$AY$1,B$1)+SUMIFS('changes2_based on steps'!$B214:$U214,'changes2_based on steps'!$B$1:$U$1,B$1)</f>
        <v>0</v>
      </c>
      <c r="C214" s="140">
        <f>SUMIFS('recurring2_based on steps'!$B214:$AY214,'recurring2_based on steps'!$B$1:$AY$1,C$1)+SUMIFS('changes2_based on steps'!$B214:$U214,'changes2_based on steps'!$B$1:$U$1,C$1)</f>
        <v>0</v>
      </c>
      <c r="D214" s="140">
        <f>SUMIFS('recurring2_based on steps'!$B214:$AY214,'recurring2_based on steps'!$B$1:$AY$1,D$1)+SUMIFS('changes2_based on steps'!$B214:$U214,'changes2_based on steps'!$B$1:$U$1,D$1)</f>
        <v>0</v>
      </c>
      <c r="E214" s="140">
        <f>SUMIFS('recurring2_based on steps'!$B214:$AY214,'recurring2_based on steps'!$B$1:$AY$1,E$1)+SUMIFS('changes2_based on steps'!$B214:$U214,'changes2_based on steps'!$B$1:$U$1,E$1)</f>
        <v>0</v>
      </c>
      <c r="F214" s="140">
        <f>SUMIFS('recurring2_based on steps'!$B214:$AY214,'recurring2_based on steps'!$B$1:$AY$1,F$1)+SUMIFS('changes2_based on steps'!$B214:$U214,'changes2_based on steps'!$B$1:$U$1,F$1)</f>
        <v>0</v>
      </c>
      <c r="G214" s="140">
        <f>SUMIFS('recurring2_based on steps'!$B214:$AY214,'recurring2_based on steps'!$B$1:$AY$1,G$1)+SUMIFS('changes2_based on steps'!$B214:$U214,'changes2_based on steps'!$B$1:$U$1,G$1)</f>
        <v>0</v>
      </c>
      <c r="H214" s="140">
        <f>SUMIFS('recurring2_based on steps'!$B214:$AY214,'recurring2_based on steps'!$B$1:$AY$1,H$1)+SUMIFS('changes2_based on steps'!$B214:$U214,'changes2_based on steps'!$B$1:$U$1,H$1)</f>
        <v>0</v>
      </c>
      <c r="I214" s="140">
        <f>SUMIFS('recurring2_based on steps'!$B214:$AY214,'recurring2_based on steps'!$B$1:$AY$1,I$1)+SUMIFS('changes2_based on steps'!$B214:$U214,'changes2_based on steps'!$B$1:$U$1,I$1)</f>
        <v>0</v>
      </c>
      <c r="J214" s="140">
        <f ca="1">SUMIFS('recurring2_based on steps'!$B214:$AY214,'recurring2_based on steps'!$B$1:$AY$1,J$1)+SUMIFS('changes2_based on steps'!$B214:$U214,'changes2_based on steps'!$B$1:$U$1,J$1)</f>
        <v>0</v>
      </c>
      <c r="K214" s="140">
        <f>SUMIFS('recurring2_based on steps'!$B214:$AY214,'recurring2_based on steps'!$B$1:$AY$1,K$1)+SUMIFS('changes2_based on steps'!$B214:$U214,'changes2_based on steps'!$B$1:$U$1,K$1)</f>
        <v>0</v>
      </c>
      <c r="L214" s="140">
        <f>SUMIFS('recurring2_based on steps'!$B214:$AY214,'recurring2_based on steps'!$B$1:$AY$1,L$1)+SUMIFS('changes2_based on steps'!$B214:$U214,'changes2_based on steps'!$B$1:$U$1,L$1)</f>
        <v>0</v>
      </c>
      <c r="M214" s="140">
        <f>SUMIFS('recurring2_based on steps'!$B214:$AY214,'recurring2_based on steps'!$B$1:$AY$1,M$1)+SUMIFS('changes2_based on steps'!$B214:$U214,'changes2_based on steps'!$B$1:$U$1,M$1)</f>
        <v>0</v>
      </c>
      <c r="N214" s="140">
        <f ca="1">SUMIFS('recurring2_based on steps'!$B214:$AY214,'recurring2_based on steps'!$B$1:$AY$1,N$1)+SUMIFS('changes2_based on steps'!$B214:$U214,'changes2_based on steps'!$B$1:$U$1,N$1)</f>
        <v>0</v>
      </c>
      <c r="O214" s="140">
        <f>SUMIFS('recurring2_based on steps'!$B214:$AY214,'recurring2_based on steps'!$B$1:$AY$1,O$1)+SUMIFS('changes2_based on steps'!$B214:$U214,'changes2_based on steps'!$B$1:$U$1,O$1)</f>
        <v>0</v>
      </c>
      <c r="P214" s="140">
        <f ca="1">SUMIFS('recurring2_based on steps'!$B214:$AY214,'recurring2_based on steps'!$B$1:$AY$1,P$1)+SUMIFS('changes2_based on steps'!$B214:$U214,'changes2_based on steps'!$B$1:$U$1,P$1)</f>
        <v>0</v>
      </c>
      <c r="Q214" s="140">
        <f ca="1">SUMIFS('recurring2_based on steps'!$B214:$AY214,'recurring2_based on steps'!$B$1:$AY$1,Q$1)+SUMIFS('changes2_based on steps'!$B214:$U214,'changes2_based on steps'!$B$1:$U$1,Q$1)</f>
        <v>5.5401662049861494E-2</v>
      </c>
      <c r="R214" s="140">
        <f ca="1">SUMIFS('recurring2_based on steps'!$B214:$AY214,'recurring2_based on steps'!$B$1:$AY$1,R$1)+SUMIFS('changes2_based on steps'!$B214:$U214,'changes2_based on steps'!$B$1:$U$1,R$1)</f>
        <v>0</v>
      </c>
      <c r="S214" s="140">
        <f>SUMIFS('recurring2_based on steps'!$B214:$AY214,'recurring2_based on steps'!$B$1:$AY$1,S$1)+SUMIFS('changes2_based on steps'!$B214:$U214,'changes2_based on steps'!$B$1:$U$1,S$1)</f>
        <v>0</v>
      </c>
      <c r="T214" s="140">
        <f ca="1">SUMIFS('recurring2_based on steps'!$B214:$AY214,'recurring2_based on steps'!$B$1:$AY$1,T$1)+SUMIFS('changes2_based on steps'!$B214:$U214,'changes2_based on steps'!$B$1:$U$1,T$1)</f>
        <v>0</v>
      </c>
      <c r="U214" s="140">
        <f ca="1">SUMIFS('recurring2_based on steps'!$B214:$AY214,'recurring2_based on steps'!$B$1:$AY$1,U$1)+SUMIFS('changes2_based on steps'!$B214:$U214,'changes2_based on steps'!$B$1:$U$1,U$1)</f>
        <v>0</v>
      </c>
      <c r="V214" s="140">
        <f>SUMIFS('recurring2_based on steps'!$B214:$AY214,'recurring2_based on steps'!$B$1:$AY$1,V$1)+SUMIFS('changes2_based on steps'!$B214:$U214,'changes2_based on steps'!$B$1:$U$1,V$1)</f>
        <v>0</v>
      </c>
      <c r="W214" s="140">
        <f>SUMIFS('recurring2_based on steps'!$B214:$AY214,'recurring2_based on steps'!$B$1:$AY$1,W$1)+SUMIFS('changes2_based on steps'!$B214:$U214,'changes2_based on steps'!$B$1:$U$1,W$1)</f>
        <v>0</v>
      </c>
      <c r="X214" s="140">
        <f ca="1">SUMIFS('recurring2_based on steps'!$B214:$AY214,'recurring2_based on steps'!$B$1:$AY$1,X$1)+SUMIFS('changes2_based on steps'!$B214:$U214,'changes2_based on steps'!$B$1:$U$1,X$1)</f>
        <v>0</v>
      </c>
      <c r="Y214" s="140">
        <f ca="1">SUMIFS('recurring2_based on steps'!$B214:$AY214,'recurring2_based on steps'!$B$1:$AY$1,Y$1)+SUMIFS('changes2_based on steps'!$B214:$U214,'changes2_based on steps'!$B$1:$U$1,Y$1)</f>
        <v>0</v>
      </c>
      <c r="Z214" s="140">
        <f>SUMIFS('recurring2_based on steps'!$B214:$AY214,'recurring2_based on steps'!$B$1:$AY$1,Z$1)+SUMIFS('changes2_based on steps'!$B214:$U214,'changes2_based on steps'!$B$1:$U$1,Z$1)</f>
        <v>0</v>
      </c>
      <c r="AA214" s="140">
        <f ca="1">SUMIFS('recurring2_based on steps'!$B214:$AY214,'recurring2_based on steps'!$B$1:$AY$1,AA$1)+SUMIFS('changes2_based on steps'!$B214:$U214,'changes2_based on steps'!$B$1:$U$1,AA$1)</f>
        <v>0</v>
      </c>
      <c r="AB214" s="140">
        <f ca="1">SUMIFS('recurring2_based on steps'!$B214:$AY214,'recurring2_based on steps'!$B$1:$AY$1,AB$1)+SUMIFS('changes2_based on steps'!$B214:$U214,'changes2_based on steps'!$B$1:$U$1,AB$1)</f>
        <v>0</v>
      </c>
      <c r="AC214" s="140">
        <f ca="1">SUMIFS('recurring2_based on steps'!$B214:$AY214,'recurring2_based on steps'!$B$1:$AY$1,AC$1)+SUMIFS('changes2_based on steps'!$B214:$U214,'changes2_based on steps'!$B$1:$U$1,AC$1)</f>
        <v>0</v>
      </c>
      <c r="AD214" s="140">
        <f ca="1">SUMIFS('recurring2_based on steps'!$B214:$AY214,'recurring2_based on steps'!$B$1:$AY$1,AD$1)+SUMIFS('changes2_based on steps'!$B214:$U214,'changes2_based on steps'!$B$1:$U$1,AD$1)</f>
        <v>0</v>
      </c>
      <c r="AE214" s="140">
        <f>SUMIFS('recurring2_based on steps'!$B214:$AY214,'recurring2_based on steps'!$B$1:$AY$1,AE$1)+SUMIFS('changes2_based on steps'!$B214:$U214,'changes2_based on steps'!$B$1:$U$1,AE$1)</f>
        <v>0</v>
      </c>
      <c r="AF214" s="140"/>
      <c r="AG214" s="140"/>
      <c r="AH214" s="140"/>
      <c r="AI214" s="140"/>
      <c r="AJ214" s="140"/>
      <c r="AK214" s="140"/>
      <c r="AL214" s="140"/>
      <c r="AM214" s="140"/>
    </row>
    <row r="215" spans="1:39" x14ac:dyDescent="0.2">
      <c r="A215" s="29">
        <f t="shared" ca="1" si="3"/>
        <v>45955</v>
      </c>
      <c r="B215" s="140">
        <f ca="1">SUMIFS('recurring2_based on steps'!$B215:$AY215,'recurring2_based on steps'!$B$1:$AY$1,B$1)+SUMIFS('changes2_based on steps'!$B215:$U215,'changes2_based on steps'!$B$1:$U$1,B$1)</f>
        <v>0</v>
      </c>
      <c r="C215" s="140">
        <f>SUMIFS('recurring2_based on steps'!$B215:$AY215,'recurring2_based on steps'!$B$1:$AY$1,C$1)+SUMIFS('changes2_based on steps'!$B215:$U215,'changes2_based on steps'!$B$1:$U$1,C$1)</f>
        <v>0</v>
      </c>
      <c r="D215" s="140">
        <f>SUMIFS('recurring2_based on steps'!$B215:$AY215,'recurring2_based on steps'!$B$1:$AY$1,D$1)+SUMIFS('changes2_based on steps'!$B215:$U215,'changes2_based on steps'!$B$1:$U$1,D$1)</f>
        <v>0</v>
      </c>
      <c r="E215" s="140">
        <f>SUMIFS('recurring2_based on steps'!$B215:$AY215,'recurring2_based on steps'!$B$1:$AY$1,E$1)+SUMIFS('changes2_based on steps'!$B215:$U215,'changes2_based on steps'!$B$1:$U$1,E$1)</f>
        <v>0</v>
      </c>
      <c r="F215" s="140">
        <f>SUMIFS('recurring2_based on steps'!$B215:$AY215,'recurring2_based on steps'!$B$1:$AY$1,F$1)+SUMIFS('changes2_based on steps'!$B215:$U215,'changes2_based on steps'!$B$1:$U$1,F$1)</f>
        <v>0</v>
      </c>
      <c r="G215" s="140">
        <f>SUMIFS('recurring2_based on steps'!$B215:$AY215,'recurring2_based on steps'!$B$1:$AY$1,G$1)+SUMIFS('changes2_based on steps'!$B215:$U215,'changes2_based on steps'!$B$1:$U$1,G$1)</f>
        <v>0</v>
      </c>
      <c r="H215" s="140">
        <f>SUMIFS('recurring2_based on steps'!$B215:$AY215,'recurring2_based on steps'!$B$1:$AY$1,H$1)+SUMIFS('changes2_based on steps'!$B215:$U215,'changes2_based on steps'!$B$1:$U$1,H$1)</f>
        <v>0</v>
      </c>
      <c r="I215" s="140">
        <f>SUMIFS('recurring2_based on steps'!$B215:$AY215,'recurring2_based on steps'!$B$1:$AY$1,I$1)+SUMIFS('changes2_based on steps'!$B215:$U215,'changes2_based on steps'!$B$1:$U$1,I$1)</f>
        <v>0</v>
      </c>
      <c r="J215" s="140">
        <f ca="1">SUMIFS('recurring2_based on steps'!$B215:$AY215,'recurring2_based on steps'!$B$1:$AY$1,J$1)+SUMIFS('changes2_based on steps'!$B215:$U215,'changes2_based on steps'!$B$1:$U$1,J$1)</f>
        <v>0</v>
      </c>
      <c r="K215" s="140">
        <f>SUMIFS('recurring2_based on steps'!$B215:$AY215,'recurring2_based on steps'!$B$1:$AY$1,K$1)+SUMIFS('changes2_based on steps'!$B215:$U215,'changes2_based on steps'!$B$1:$U$1,K$1)</f>
        <v>0</v>
      </c>
      <c r="L215" s="140">
        <f>SUMIFS('recurring2_based on steps'!$B215:$AY215,'recurring2_based on steps'!$B$1:$AY$1,L$1)+SUMIFS('changes2_based on steps'!$B215:$U215,'changes2_based on steps'!$B$1:$U$1,L$1)</f>
        <v>0</v>
      </c>
      <c r="M215" s="140">
        <f>SUMIFS('recurring2_based on steps'!$B215:$AY215,'recurring2_based on steps'!$B$1:$AY$1,M$1)+SUMIFS('changes2_based on steps'!$B215:$U215,'changes2_based on steps'!$B$1:$U$1,M$1)</f>
        <v>0</v>
      </c>
      <c r="N215" s="140">
        <f ca="1">SUMIFS('recurring2_based on steps'!$B215:$AY215,'recurring2_based on steps'!$B$1:$AY$1,N$1)+SUMIFS('changes2_based on steps'!$B215:$U215,'changes2_based on steps'!$B$1:$U$1,N$1)</f>
        <v>0</v>
      </c>
      <c r="O215" s="140">
        <f>SUMIFS('recurring2_based on steps'!$B215:$AY215,'recurring2_based on steps'!$B$1:$AY$1,O$1)+SUMIFS('changes2_based on steps'!$B215:$U215,'changes2_based on steps'!$B$1:$U$1,O$1)</f>
        <v>0</v>
      </c>
      <c r="P215" s="140">
        <f ca="1">SUMIFS('recurring2_based on steps'!$B215:$AY215,'recurring2_based on steps'!$B$1:$AY$1,P$1)+SUMIFS('changes2_based on steps'!$B215:$U215,'changes2_based on steps'!$B$1:$U$1,P$1)</f>
        <v>0</v>
      </c>
      <c r="Q215" s="140">
        <f ca="1">SUMIFS('recurring2_based on steps'!$B215:$AY215,'recurring2_based on steps'!$B$1:$AY$1,Q$1)+SUMIFS('changes2_based on steps'!$B215:$U215,'changes2_based on steps'!$B$1:$U$1,Q$1)</f>
        <v>100.05540166204986</v>
      </c>
      <c r="R215" s="140">
        <f ca="1">SUMIFS('recurring2_based on steps'!$B215:$AY215,'recurring2_based on steps'!$B$1:$AY$1,R$1)+SUMIFS('changes2_based on steps'!$B215:$U215,'changes2_based on steps'!$B$1:$U$1,R$1)</f>
        <v>0</v>
      </c>
      <c r="S215" s="140">
        <f>SUMIFS('recurring2_based on steps'!$B215:$AY215,'recurring2_based on steps'!$B$1:$AY$1,S$1)+SUMIFS('changes2_based on steps'!$B215:$U215,'changes2_based on steps'!$B$1:$U$1,S$1)</f>
        <v>0</v>
      </c>
      <c r="T215" s="140">
        <f ca="1">SUMIFS('recurring2_based on steps'!$B215:$AY215,'recurring2_based on steps'!$B$1:$AY$1,T$1)+SUMIFS('changes2_based on steps'!$B215:$U215,'changes2_based on steps'!$B$1:$U$1,T$1)</f>
        <v>0</v>
      </c>
      <c r="U215" s="140">
        <f ca="1">SUMIFS('recurring2_based on steps'!$B215:$AY215,'recurring2_based on steps'!$B$1:$AY$1,U$1)+SUMIFS('changes2_based on steps'!$B215:$U215,'changes2_based on steps'!$B$1:$U$1,U$1)</f>
        <v>0</v>
      </c>
      <c r="V215" s="140">
        <f>SUMIFS('recurring2_based on steps'!$B215:$AY215,'recurring2_based on steps'!$B$1:$AY$1,V$1)+SUMIFS('changes2_based on steps'!$B215:$U215,'changes2_based on steps'!$B$1:$U$1,V$1)</f>
        <v>0</v>
      </c>
      <c r="W215" s="140">
        <f>SUMIFS('recurring2_based on steps'!$B215:$AY215,'recurring2_based on steps'!$B$1:$AY$1,W$1)+SUMIFS('changes2_based on steps'!$B215:$U215,'changes2_based on steps'!$B$1:$U$1,W$1)</f>
        <v>0</v>
      </c>
      <c r="X215" s="140">
        <f ca="1">SUMIFS('recurring2_based on steps'!$B215:$AY215,'recurring2_based on steps'!$B$1:$AY$1,X$1)+SUMIFS('changes2_based on steps'!$B215:$U215,'changes2_based on steps'!$B$1:$U$1,X$1)</f>
        <v>0</v>
      </c>
      <c r="Y215" s="140">
        <f ca="1">SUMIFS('recurring2_based on steps'!$B215:$AY215,'recurring2_based on steps'!$B$1:$AY$1,Y$1)+SUMIFS('changes2_based on steps'!$B215:$U215,'changes2_based on steps'!$B$1:$U$1,Y$1)</f>
        <v>0</v>
      </c>
      <c r="Z215" s="140">
        <f>SUMIFS('recurring2_based on steps'!$B215:$AY215,'recurring2_based on steps'!$B$1:$AY$1,Z$1)+SUMIFS('changes2_based on steps'!$B215:$U215,'changes2_based on steps'!$B$1:$U$1,Z$1)</f>
        <v>0</v>
      </c>
      <c r="AA215" s="140">
        <f ca="1">SUMIFS('recurring2_based on steps'!$B215:$AY215,'recurring2_based on steps'!$B$1:$AY$1,AA$1)+SUMIFS('changes2_based on steps'!$B215:$U215,'changes2_based on steps'!$B$1:$U$1,AA$1)</f>
        <v>0</v>
      </c>
      <c r="AB215" s="140">
        <f ca="1">SUMIFS('recurring2_based on steps'!$B215:$AY215,'recurring2_based on steps'!$B$1:$AY$1,AB$1)+SUMIFS('changes2_based on steps'!$B215:$U215,'changes2_based on steps'!$B$1:$U$1,AB$1)</f>
        <v>100</v>
      </c>
      <c r="AC215" s="140">
        <f ca="1">SUMIFS('recurring2_based on steps'!$B215:$AY215,'recurring2_based on steps'!$B$1:$AY$1,AC$1)+SUMIFS('changes2_based on steps'!$B215:$U215,'changes2_based on steps'!$B$1:$U$1,AC$1)</f>
        <v>0</v>
      </c>
      <c r="AD215" s="140">
        <f ca="1">SUMIFS('recurring2_based on steps'!$B215:$AY215,'recurring2_based on steps'!$B$1:$AY$1,AD$1)+SUMIFS('changes2_based on steps'!$B215:$U215,'changes2_based on steps'!$B$1:$U$1,AD$1)</f>
        <v>0</v>
      </c>
      <c r="AE215" s="140">
        <f>SUMIFS('recurring2_based on steps'!$B215:$AY215,'recurring2_based on steps'!$B$1:$AY$1,AE$1)+SUMIFS('changes2_based on steps'!$B215:$U215,'changes2_based on steps'!$B$1:$U$1,AE$1)</f>
        <v>0</v>
      </c>
      <c r="AF215" s="140"/>
      <c r="AG215" s="140"/>
      <c r="AH215" s="140"/>
      <c r="AI215" s="140"/>
      <c r="AJ215" s="140"/>
      <c r="AK215" s="140"/>
      <c r="AL215" s="140"/>
      <c r="AM215" s="140"/>
    </row>
    <row r="216" spans="1:39" x14ac:dyDescent="0.2">
      <c r="A216" s="29">
        <f t="shared" ca="1" si="3"/>
        <v>45956</v>
      </c>
      <c r="B216" s="140">
        <f ca="1">SUMIFS('recurring2_based on steps'!$B216:$AY216,'recurring2_based on steps'!$B$1:$AY$1,B$1)+SUMIFS('changes2_based on steps'!$B216:$U216,'changes2_based on steps'!$B$1:$U$1,B$1)</f>
        <v>0</v>
      </c>
      <c r="C216" s="140">
        <f>SUMIFS('recurring2_based on steps'!$B216:$AY216,'recurring2_based on steps'!$B$1:$AY$1,C$1)+SUMIFS('changes2_based on steps'!$B216:$U216,'changes2_based on steps'!$B$1:$U$1,C$1)</f>
        <v>0</v>
      </c>
      <c r="D216" s="140">
        <f>SUMIFS('recurring2_based on steps'!$B216:$AY216,'recurring2_based on steps'!$B$1:$AY$1,D$1)+SUMIFS('changes2_based on steps'!$B216:$U216,'changes2_based on steps'!$B$1:$U$1,D$1)</f>
        <v>0</v>
      </c>
      <c r="E216" s="140">
        <f>SUMIFS('recurring2_based on steps'!$B216:$AY216,'recurring2_based on steps'!$B$1:$AY$1,E$1)+SUMIFS('changes2_based on steps'!$B216:$U216,'changes2_based on steps'!$B$1:$U$1,E$1)</f>
        <v>0</v>
      </c>
      <c r="F216" s="140">
        <f>SUMIFS('recurring2_based on steps'!$B216:$AY216,'recurring2_based on steps'!$B$1:$AY$1,F$1)+SUMIFS('changes2_based on steps'!$B216:$U216,'changes2_based on steps'!$B$1:$U$1,F$1)</f>
        <v>0</v>
      </c>
      <c r="G216" s="140">
        <f>SUMIFS('recurring2_based on steps'!$B216:$AY216,'recurring2_based on steps'!$B$1:$AY$1,G$1)+SUMIFS('changes2_based on steps'!$B216:$U216,'changes2_based on steps'!$B$1:$U$1,G$1)</f>
        <v>0</v>
      </c>
      <c r="H216" s="140">
        <f>SUMIFS('recurring2_based on steps'!$B216:$AY216,'recurring2_based on steps'!$B$1:$AY$1,H$1)+SUMIFS('changes2_based on steps'!$B216:$U216,'changes2_based on steps'!$B$1:$U$1,H$1)</f>
        <v>0</v>
      </c>
      <c r="I216" s="140">
        <f>SUMIFS('recurring2_based on steps'!$B216:$AY216,'recurring2_based on steps'!$B$1:$AY$1,I$1)+SUMIFS('changes2_based on steps'!$B216:$U216,'changes2_based on steps'!$B$1:$U$1,I$1)</f>
        <v>0</v>
      </c>
      <c r="J216" s="140">
        <f ca="1">SUMIFS('recurring2_based on steps'!$B216:$AY216,'recurring2_based on steps'!$B$1:$AY$1,J$1)+SUMIFS('changes2_based on steps'!$B216:$U216,'changes2_based on steps'!$B$1:$U$1,J$1)</f>
        <v>0</v>
      </c>
      <c r="K216" s="140">
        <f>SUMIFS('recurring2_based on steps'!$B216:$AY216,'recurring2_based on steps'!$B$1:$AY$1,K$1)+SUMIFS('changes2_based on steps'!$B216:$U216,'changes2_based on steps'!$B$1:$U$1,K$1)</f>
        <v>0</v>
      </c>
      <c r="L216" s="140">
        <f>SUMIFS('recurring2_based on steps'!$B216:$AY216,'recurring2_based on steps'!$B$1:$AY$1,L$1)+SUMIFS('changes2_based on steps'!$B216:$U216,'changes2_based on steps'!$B$1:$U$1,L$1)</f>
        <v>0</v>
      </c>
      <c r="M216" s="140">
        <f>SUMIFS('recurring2_based on steps'!$B216:$AY216,'recurring2_based on steps'!$B$1:$AY$1,M$1)+SUMIFS('changes2_based on steps'!$B216:$U216,'changes2_based on steps'!$B$1:$U$1,M$1)</f>
        <v>0</v>
      </c>
      <c r="N216" s="140">
        <f ca="1">SUMIFS('recurring2_based on steps'!$B216:$AY216,'recurring2_based on steps'!$B$1:$AY$1,N$1)+SUMIFS('changes2_based on steps'!$B216:$U216,'changes2_based on steps'!$B$1:$U$1,N$1)</f>
        <v>0</v>
      </c>
      <c r="O216" s="140">
        <f>SUMIFS('recurring2_based on steps'!$B216:$AY216,'recurring2_based on steps'!$B$1:$AY$1,O$1)+SUMIFS('changes2_based on steps'!$B216:$U216,'changes2_based on steps'!$B$1:$U$1,O$1)</f>
        <v>0</v>
      </c>
      <c r="P216" s="140">
        <f ca="1">SUMIFS('recurring2_based on steps'!$B216:$AY216,'recurring2_based on steps'!$B$1:$AY$1,P$1)+SUMIFS('changes2_based on steps'!$B216:$U216,'changes2_based on steps'!$B$1:$U$1,P$1)</f>
        <v>0</v>
      </c>
      <c r="Q216" s="140">
        <f ca="1">SUMIFS('recurring2_based on steps'!$B216:$AY216,'recurring2_based on steps'!$B$1:$AY$1,Q$1)+SUMIFS('changes2_based on steps'!$B216:$U216,'changes2_based on steps'!$B$1:$U$1,Q$1)</f>
        <v>100.05540166204986</v>
      </c>
      <c r="R216" s="140">
        <f ca="1">SUMIFS('recurring2_based on steps'!$B216:$AY216,'recurring2_based on steps'!$B$1:$AY$1,R$1)+SUMIFS('changes2_based on steps'!$B216:$U216,'changes2_based on steps'!$B$1:$U$1,R$1)</f>
        <v>0</v>
      </c>
      <c r="S216" s="140">
        <f>SUMIFS('recurring2_based on steps'!$B216:$AY216,'recurring2_based on steps'!$B$1:$AY$1,S$1)+SUMIFS('changes2_based on steps'!$B216:$U216,'changes2_based on steps'!$B$1:$U$1,S$1)</f>
        <v>0</v>
      </c>
      <c r="T216" s="140">
        <f ca="1">SUMIFS('recurring2_based on steps'!$B216:$AY216,'recurring2_based on steps'!$B$1:$AY$1,T$1)+SUMIFS('changes2_based on steps'!$B216:$U216,'changes2_based on steps'!$B$1:$U$1,T$1)</f>
        <v>0</v>
      </c>
      <c r="U216" s="140">
        <f ca="1">SUMIFS('recurring2_based on steps'!$B216:$AY216,'recurring2_based on steps'!$B$1:$AY$1,U$1)+SUMIFS('changes2_based on steps'!$B216:$U216,'changes2_based on steps'!$B$1:$U$1,U$1)</f>
        <v>0</v>
      </c>
      <c r="V216" s="140">
        <f>SUMIFS('recurring2_based on steps'!$B216:$AY216,'recurring2_based on steps'!$B$1:$AY$1,V$1)+SUMIFS('changes2_based on steps'!$B216:$U216,'changes2_based on steps'!$B$1:$U$1,V$1)</f>
        <v>0</v>
      </c>
      <c r="W216" s="140">
        <f>SUMIFS('recurring2_based on steps'!$B216:$AY216,'recurring2_based on steps'!$B$1:$AY$1,W$1)+SUMIFS('changes2_based on steps'!$B216:$U216,'changes2_based on steps'!$B$1:$U$1,W$1)</f>
        <v>0</v>
      </c>
      <c r="X216" s="140">
        <f ca="1">SUMIFS('recurring2_based on steps'!$B216:$AY216,'recurring2_based on steps'!$B$1:$AY$1,X$1)+SUMIFS('changes2_based on steps'!$B216:$U216,'changes2_based on steps'!$B$1:$U$1,X$1)</f>
        <v>0</v>
      </c>
      <c r="Y216" s="140">
        <f ca="1">SUMIFS('recurring2_based on steps'!$B216:$AY216,'recurring2_based on steps'!$B$1:$AY$1,Y$1)+SUMIFS('changes2_based on steps'!$B216:$U216,'changes2_based on steps'!$B$1:$U$1,Y$1)</f>
        <v>50</v>
      </c>
      <c r="Z216" s="140">
        <f>SUMIFS('recurring2_based on steps'!$B216:$AY216,'recurring2_based on steps'!$B$1:$AY$1,Z$1)+SUMIFS('changes2_based on steps'!$B216:$U216,'changes2_based on steps'!$B$1:$U$1,Z$1)</f>
        <v>0</v>
      </c>
      <c r="AA216" s="140">
        <f ca="1">SUMIFS('recurring2_based on steps'!$B216:$AY216,'recurring2_based on steps'!$B$1:$AY$1,AA$1)+SUMIFS('changes2_based on steps'!$B216:$U216,'changes2_based on steps'!$B$1:$U$1,AA$1)</f>
        <v>0</v>
      </c>
      <c r="AB216" s="140">
        <f ca="1">SUMIFS('recurring2_based on steps'!$B216:$AY216,'recurring2_based on steps'!$B$1:$AY$1,AB$1)+SUMIFS('changes2_based on steps'!$B216:$U216,'changes2_based on steps'!$B$1:$U$1,AB$1)</f>
        <v>0</v>
      </c>
      <c r="AC216" s="140">
        <f ca="1">SUMIFS('recurring2_based on steps'!$B216:$AY216,'recurring2_based on steps'!$B$1:$AY$1,AC$1)+SUMIFS('changes2_based on steps'!$B216:$U216,'changes2_based on steps'!$B$1:$U$1,AC$1)</f>
        <v>0</v>
      </c>
      <c r="AD216" s="140">
        <f ca="1">SUMIFS('recurring2_based on steps'!$B216:$AY216,'recurring2_based on steps'!$B$1:$AY$1,AD$1)+SUMIFS('changes2_based on steps'!$B216:$U216,'changes2_based on steps'!$B$1:$U$1,AD$1)</f>
        <v>0</v>
      </c>
      <c r="AE216" s="140">
        <f>SUMIFS('recurring2_based on steps'!$B216:$AY216,'recurring2_based on steps'!$B$1:$AY$1,AE$1)+SUMIFS('changes2_based on steps'!$B216:$U216,'changes2_based on steps'!$B$1:$U$1,AE$1)</f>
        <v>0</v>
      </c>
      <c r="AF216" s="140"/>
      <c r="AG216" s="140"/>
      <c r="AH216" s="140"/>
      <c r="AI216" s="140"/>
      <c r="AJ216" s="140"/>
      <c r="AK216" s="140"/>
      <c r="AL216" s="140"/>
      <c r="AM216" s="140"/>
    </row>
    <row r="217" spans="1:39" x14ac:dyDescent="0.2">
      <c r="A217" s="29">
        <f t="shared" ca="1" si="3"/>
        <v>45957</v>
      </c>
      <c r="B217" s="140">
        <f ca="1">SUMIFS('recurring2_based on steps'!$B217:$AY217,'recurring2_based on steps'!$B$1:$AY$1,B$1)+SUMIFS('changes2_based on steps'!$B217:$U217,'changes2_based on steps'!$B$1:$U$1,B$1)</f>
        <v>0</v>
      </c>
      <c r="C217" s="140">
        <f>SUMIFS('recurring2_based on steps'!$B217:$AY217,'recurring2_based on steps'!$B$1:$AY$1,C$1)+SUMIFS('changes2_based on steps'!$B217:$U217,'changes2_based on steps'!$B$1:$U$1,C$1)</f>
        <v>0</v>
      </c>
      <c r="D217" s="140">
        <f>SUMIFS('recurring2_based on steps'!$B217:$AY217,'recurring2_based on steps'!$B$1:$AY$1,D$1)+SUMIFS('changes2_based on steps'!$B217:$U217,'changes2_based on steps'!$B$1:$U$1,D$1)</f>
        <v>0</v>
      </c>
      <c r="E217" s="140">
        <f>SUMIFS('recurring2_based on steps'!$B217:$AY217,'recurring2_based on steps'!$B$1:$AY$1,E$1)+SUMIFS('changes2_based on steps'!$B217:$U217,'changes2_based on steps'!$B$1:$U$1,E$1)</f>
        <v>0</v>
      </c>
      <c r="F217" s="140">
        <f>SUMIFS('recurring2_based on steps'!$B217:$AY217,'recurring2_based on steps'!$B$1:$AY$1,F$1)+SUMIFS('changes2_based on steps'!$B217:$U217,'changes2_based on steps'!$B$1:$U$1,F$1)</f>
        <v>0</v>
      </c>
      <c r="G217" s="140">
        <f>SUMIFS('recurring2_based on steps'!$B217:$AY217,'recurring2_based on steps'!$B$1:$AY$1,G$1)+SUMIFS('changes2_based on steps'!$B217:$U217,'changes2_based on steps'!$B$1:$U$1,G$1)</f>
        <v>0</v>
      </c>
      <c r="H217" s="140">
        <f>SUMIFS('recurring2_based on steps'!$B217:$AY217,'recurring2_based on steps'!$B$1:$AY$1,H$1)+SUMIFS('changes2_based on steps'!$B217:$U217,'changes2_based on steps'!$B$1:$U$1,H$1)</f>
        <v>0</v>
      </c>
      <c r="I217" s="140">
        <f>SUMIFS('recurring2_based on steps'!$B217:$AY217,'recurring2_based on steps'!$B$1:$AY$1,I$1)+SUMIFS('changes2_based on steps'!$B217:$U217,'changes2_based on steps'!$B$1:$U$1,I$1)</f>
        <v>0</v>
      </c>
      <c r="J217" s="140">
        <f ca="1">SUMIFS('recurring2_based on steps'!$B217:$AY217,'recurring2_based on steps'!$B$1:$AY$1,J$1)+SUMIFS('changes2_based on steps'!$B217:$U217,'changes2_based on steps'!$B$1:$U$1,J$1)</f>
        <v>0</v>
      </c>
      <c r="K217" s="140">
        <f>SUMIFS('recurring2_based on steps'!$B217:$AY217,'recurring2_based on steps'!$B$1:$AY$1,K$1)+SUMIFS('changes2_based on steps'!$B217:$U217,'changes2_based on steps'!$B$1:$U$1,K$1)</f>
        <v>0</v>
      </c>
      <c r="L217" s="140">
        <f>SUMIFS('recurring2_based on steps'!$B217:$AY217,'recurring2_based on steps'!$B$1:$AY$1,L$1)+SUMIFS('changes2_based on steps'!$B217:$U217,'changes2_based on steps'!$B$1:$U$1,L$1)</f>
        <v>0</v>
      </c>
      <c r="M217" s="140">
        <f>SUMIFS('recurring2_based on steps'!$B217:$AY217,'recurring2_based on steps'!$B$1:$AY$1,M$1)+SUMIFS('changes2_based on steps'!$B217:$U217,'changes2_based on steps'!$B$1:$U$1,M$1)</f>
        <v>0</v>
      </c>
      <c r="N217" s="140">
        <f ca="1">SUMIFS('recurring2_based on steps'!$B217:$AY217,'recurring2_based on steps'!$B$1:$AY$1,N$1)+SUMIFS('changes2_based on steps'!$B217:$U217,'changes2_based on steps'!$B$1:$U$1,N$1)</f>
        <v>0</v>
      </c>
      <c r="O217" s="140">
        <f>SUMIFS('recurring2_based on steps'!$B217:$AY217,'recurring2_based on steps'!$B$1:$AY$1,O$1)+SUMIFS('changes2_based on steps'!$B217:$U217,'changes2_based on steps'!$B$1:$U$1,O$1)</f>
        <v>0</v>
      </c>
      <c r="P217" s="140">
        <f ca="1">SUMIFS('recurring2_based on steps'!$B217:$AY217,'recurring2_based on steps'!$B$1:$AY$1,P$1)+SUMIFS('changes2_based on steps'!$B217:$U217,'changes2_based on steps'!$B$1:$U$1,P$1)</f>
        <v>0</v>
      </c>
      <c r="Q217" s="140">
        <f ca="1">SUMIFS('recurring2_based on steps'!$B217:$AY217,'recurring2_based on steps'!$B$1:$AY$1,Q$1)+SUMIFS('changes2_based on steps'!$B217:$U217,'changes2_based on steps'!$B$1:$U$1,Q$1)</f>
        <v>5.5401662049861494E-2</v>
      </c>
      <c r="R217" s="140">
        <f ca="1">SUMIFS('recurring2_based on steps'!$B217:$AY217,'recurring2_based on steps'!$B$1:$AY$1,R$1)+SUMIFS('changes2_based on steps'!$B217:$U217,'changes2_based on steps'!$B$1:$U$1,R$1)</f>
        <v>2.99</v>
      </c>
      <c r="S217" s="140">
        <f>SUMIFS('recurring2_based on steps'!$B217:$AY217,'recurring2_based on steps'!$B$1:$AY$1,S$1)+SUMIFS('changes2_based on steps'!$B217:$U217,'changes2_based on steps'!$B$1:$U$1,S$1)</f>
        <v>0</v>
      </c>
      <c r="T217" s="140">
        <f ca="1">SUMIFS('recurring2_based on steps'!$B217:$AY217,'recurring2_based on steps'!$B$1:$AY$1,T$1)+SUMIFS('changes2_based on steps'!$B217:$U217,'changes2_based on steps'!$B$1:$U$1,T$1)</f>
        <v>0</v>
      </c>
      <c r="U217" s="140">
        <f ca="1">SUMIFS('recurring2_based on steps'!$B217:$AY217,'recurring2_based on steps'!$B$1:$AY$1,U$1)+SUMIFS('changes2_based on steps'!$B217:$U217,'changes2_based on steps'!$B$1:$U$1,U$1)</f>
        <v>0</v>
      </c>
      <c r="V217" s="140">
        <f>SUMIFS('recurring2_based on steps'!$B217:$AY217,'recurring2_based on steps'!$B$1:$AY$1,V$1)+SUMIFS('changes2_based on steps'!$B217:$U217,'changes2_based on steps'!$B$1:$U$1,V$1)</f>
        <v>0</v>
      </c>
      <c r="W217" s="140">
        <f>SUMIFS('recurring2_based on steps'!$B217:$AY217,'recurring2_based on steps'!$B$1:$AY$1,W$1)+SUMIFS('changes2_based on steps'!$B217:$U217,'changes2_based on steps'!$B$1:$U$1,W$1)</f>
        <v>0</v>
      </c>
      <c r="X217" s="140">
        <f ca="1">SUMIFS('recurring2_based on steps'!$B217:$AY217,'recurring2_based on steps'!$B$1:$AY$1,X$1)+SUMIFS('changes2_based on steps'!$B217:$U217,'changes2_based on steps'!$B$1:$U$1,X$1)</f>
        <v>0</v>
      </c>
      <c r="Y217" s="140">
        <f ca="1">SUMIFS('recurring2_based on steps'!$B217:$AY217,'recurring2_based on steps'!$B$1:$AY$1,Y$1)+SUMIFS('changes2_based on steps'!$B217:$U217,'changes2_based on steps'!$B$1:$U$1,Y$1)</f>
        <v>0</v>
      </c>
      <c r="Z217" s="140">
        <f>SUMIFS('recurring2_based on steps'!$B217:$AY217,'recurring2_based on steps'!$B$1:$AY$1,Z$1)+SUMIFS('changes2_based on steps'!$B217:$U217,'changes2_based on steps'!$B$1:$U$1,Z$1)</f>
        <v>0</v>
      </c>
      <c r="AA217" s="140">
        <f ca="1">SUMIFS('recurring2_based on steps'!$B217:$AY217,'recurring2_based on steps'!$B$1:$AY$1,AA$1)+SUMIFS('changes2_based on steps'!$B217:$U217,'changes2_based on steps'!$B$1:$U$1,AA$1)</f>
        <v>0</v>
      </c>
      <c r="AB217" s="140">
        <f ca="1">SUMIFS('recurring2_based on steps'!$B217:$AY217,'recurring2_based on steps'!$B$1:$AY$1,AB$1)+SUMIFS('changes2_based on steps'!$B217:$U217,'changes2_based on steps'!$B$1:$U$1,AB$1)</f>
        <v>0</v>
      </c>
      <c r="AC217" s="140">
        <f ca="1">SUMIFS('recurring2_based on steps'!$B217:$AY217,'recurring2_based on steps'!$B$1:$AY$1,AC$1)+SUMIFS('changes2_based on steps'!$B217:$U217,'changes2_based on steps'!$B$1:$U$1,AC$1)</f>
        <v>0</v>
      </c>
      <c r="AD217" s="140">
        <f ca="1">SUMIFS('recurring2_based on steps'!$B217:$AY217,'recurring2_based on steps'!$B$1:$AY$1,AD$1)+SUMIFS('changes2_based on steps'!$B217:$U217,'changes2_based on steps'!$B$1:$U$1,AD$1)</f>
        <v>0</v>
      </c>
      <c r="AE217" s="140">
        <f>SUMIFS('recurring2_based on steps'!$B217:$AY217,'recurring2_based on steps'!$B$1:$AY$1,AE$1)+SUMIFS('changes2_based on steps'!$B217:$U217,'changes2_based on steps'!$B$1:$U$1,AE$1)</f>
        <v>0</v>
      </c>
      <c r="AF217" s="140"/>
      <c r="AG217" s="140"/>
      <c r="AH217" s="140"/>
      <c r="AI217" s="140"/>
      <c r="AJ217" s="140"/>
      <c r="AK217" s="140"/>
      <c r="AL217" s="140"/>
      <c r="AM217" s="140"/>
    </row>
    <row r="218" spans="1:39" x14ac:dyDescent="0.2">
      <c r="A218" s="29">
        <f t="shared" ca="1" si="3"/>
        <v>45958</v>
      </c>
      <c r="B218" s="140">
        <f ca="1">SUMIFS('recurring2_based on steps'!$B218:$AY218,'recurring2_based on steps'!$B$1:$AY$1,B$1)+SUMIFS('changes2_based on steps'!$B218:$U218,'changes2_based on steps'!$B$1:$U$1,B$1)</f>
        <v>0</v>
      </c>
      <c r="C218" s="140">
        <f>SUMIFS('recurring2_based on steps'!$B218:$AY218,'recurring2_based on steps'!$B$1:$AY$1,C$1)+SUMIFS('changes2_based on steps'!$B218:$U218,'changes2_based on steps'!$B$1:$U$1,C$1)</f>
        <v>0</v>
      </c>
      <c r="D218" s="140">
        <f>SUMIFS('recurring2_based on steps'!$B218:$AY218,'recurring2_based on steps'!$B$1:$AY$1,D$1)+SUMIFS('changes2_based on steps'!$B218:$U218,'changes2_based on steps'!$B$1:$U$1,D$1)</f>
        <v>0</v>
      </c>
      <c r="E218" s="140">
        <f>SUMIFS('recurring2_based on steps'!$B218:$AY218,'recurring2_based on steps'!$B$1:$AY$1,E$1)+SUMIFS('changes2_based on steps'!$B218:$U218,'changes2_based on steps'!$B$1:$U$1,E$1)</f>
        <v>0</v>
      </c>
      <c r="F218" s="140">
        <f>SUMIFS('recurring2_based on steps'!$B218:$AY218,'recurring2_based on steps'!$B$1:$AY$1,F$1)+SUMIFS('changes2_based on steps'!$B218:$U218,'changes2_based on steps'!$B$1:$U$1,F$1)</f>
        <v>0</v>
      </c>
      <c r="G218" s="140">
        <f>SUMIFS('recurring2_based on steps'!$B218:$AY218,'recurring2_based on steps'!$B$1:$AY$1,G$1)+SUMIFS('changes2_based on steps'!$B218:$U218,'changes2_based on steps'!$B$1:$U$1,G$1)</f>
        <v>0</v>
      </c>
      <c r="H218" s="140">
        <f>SUMIFS('recurring2_based on steps'!$B218:$AY218,'recurring2_based on steps'!$B$1:$AY$1,H$1)+SUMIFS('changes2_based on steps'!$B218:$U218,'changes2_based on steps'!$B$1:$U$1,H$1)</f>
        <v>0</v>
      </c>
      <c r="I218" s="140">
        <f>SUMIFS('recurring2_based on steps'!$B218:$AY218,'recurring2_based on steps'!$B$1:$AY$1,I$1)+SUMIFS('changes2_based on steps'!$B218:$U218,'changes2_based on steps'!$B$1:$U$1,I$1)</f>
        <v>0</v>
      </c>
      <c r="J218" s="140">
        <f ca="1">SUMIFS('recurring2_based on steps'!$B218:$AY218,'recurring2_based on steps'!$B$1:$AY$1,J$1)+SUMIFS('changes2_based on steps'!$B218:$U218,'changes2_based on steps'!$B$1:$U$1,J$1)</f>
        <v>0</v>
      </c>
      <c r="K218" s="140">
        <f>SUMIFS('recurring2_based on steps'!$B218:$AY218,'recurring2_based on steps'!$B$1:$AY$1,K$1)+SUMIFS('changes2_based on steps'!$B218:$U218,'changes2_based on steps'!$B$1:$U$1,K$1)</f>
        <v>0</v>
      </c>
      <c r="L218" s="140">
        <f>SUMIFS('recurring2_based on steps'!$B218:$AY218,'recurring2_based on steps'!$B$1:$AY$1,L$1)+SUMIFS('changes2_based on steps'!$B218:$U218,'changes2_based on steps'!$B$1:$U$1,L$1)</f>
        <v>0</v>
      </c>
      <c r="M218" s="140">
        <f>SUMIFS('recurring2_based on steps'!$B218:$AY218,'recurring2_based on steps'!$B$1:$AY$1,M$1)+SUMIFS('changes2_based on steps'!$B218:$U218,'changes2_based on steps'!$B$1:$U$1,M$1)</f>
        <v>0</v>
      </c>
      <c r="N218" s="140">
        <f ca="1">SUMIFS('recurring2_based on steps'!$B218:$AY218,'recurring2_based on steps'!$B$1:$AY$1,N$1)+SUMIFS('changes2_based on steps'!$B218:$U218,'changes2_based on steps'!$B$1:$U$1,N$1)</f>
        <v>0</v>
      </c>
      <c r="O218" s="140">
        <f>SUMIFS('recurring2_based on steps'!$B218:$AY218,'recurring2_based on steps'!$B$1:$AY$1,O$1)+SUMIFS('changes2_based on steps'!$B218:$U218,'changes2_based on steps'!$B$1:$U$1,O$1)</f>
        <v>0</v>
      </c>
      <c r="P218" s="140">
        <f ca="1">SUMIFS('recurring2_based on steps'!$B218:$AY218,'recurring2_based on steps'!$B$1:$AY$1,P$1)+SUMIFS('changes2_based on steps'!$B218:$U218,'changes2_based on steps'!$B$1:$U$1,P$1)</f>
        <v>0</v>
      </c>
      <c r="Q218" s="140">
        <f ca="1">SUMIFS('recurring2_based on steps'!$B218:$AY218,'recurring2_based on steps'!$B$1:$AY$1,Q$1)+SUMIFS('changes2_based on steps'!$B218:$U218,'changes2_based on steps'!$B$1:$U$1,Q$1)</f>
        <v>5.5401662049861494E-2</v>
      </c>
      <c r="R218" s="140">
        <f ca="1">SUMIFS('recurring2_based on steps'!$B218:$AY218,'recurring2_based on steps'!$B$1:$AY$1,R$1)+SUMIFS('changes2_based on steps'!$B218:$U218,'changes2_based on steps'!$B$1:$U$1,R$1)</f>
        <v>0</v>
      </c>
      <c r="S218" s="140">
        <f>SUMIFS('recurring2_based on steps'!$B218:$AY218,'recurring2_based on steps'!$B$1:$AY$1,S$1)+SUMIFS('changes2_based on steps'!$B218:$U218,'changes2_based on steps'!$B$1:$U$1,S$1)</f>
        <v>0</v>
      </c>
      <c r="T218" s="140">
        <f ca="1">SUMIFS('recurring2_based on steps'!$B218:$AY218,'recurring2_based on steps'!$B$1:$AY$1,T$1)+SUMIFS('changes2_based on steps'!$B218:$U218,'changes2_based on steps'!$B$1:$U$1,T$1)</f>
        <v>0</v>
      </c>
      <c r="U218" s="140">
        <f ca="1">SUMIFS('recurring2_based on steps'!$B218:$AY218,'recurring2_based on steps'!$B$1:$AY$1,U$1)+SUMIFS('changes2_based on steps'!$B218:$U218,'changes2_based on steps'!$B$1:$U$1,U$1)</f>
        <v>0</v>
      </c>
      <c r="V218" s="140">
        <f>SUMIFS('recurring2_based on steps'!$B218:$AY218,'recurring2_based on steps'!$B$1:$AY$1,V$1)+SUMIFS('changes2_based on steps'!$B218:$U218,'changes2_based on steps'!$B$1:$U$1,V$1)</f>
        <v>0</v>
      </c>
      <c r="W218" s="140">
        <f>SUMIFS('recurring2_based on steps'!$B218:$AY218,'recurring2_based on steps'!$B$1:$AY$1,W$1)+SUMIFS('changes2_based on steps'!$B218:$U218,'changes2_based on steps'!$B$1:$U$1,W$1)</f>
        <v>0</v>
      </c>
      <c r="X218" s="140">
        <f ca="1">SUMIFS('recurring2_based on steps'!$B218:$AY218,'recurring2_based on steps'!$B$1:$AY$1,X$1)+SUMIFS('changes2_based on steps'!$B218:$U218,'changes2_based on steps'!$B$1:$U$1,X$1)</f>
        <v>0</v>
      </c>
      <c r="Y218" s="140">
        <f ca="1">SUMIFS('recurring2_based on steps'!$B218:$AY218,'recurring2_based on steps'!$B$1:$AY$1,Y$1)+SUMIFS('changes2_based on steps'!$B218:$U218,'changes2_based on steps'!$B$1:$U$1,Y$1)</f>
        <v>0</v>
      </c>
      <c r="Z218" s="140">
        <f>SUMIFS('recurring2_based on steps'!$B218:$AY218,'recurring2_based on steps'!$B$1:$AY$1,Z$1)+SUMIFS('changes2_based on steps'!$B218:$U218,'changes2_based on steps'!$B$1:$U$1,Z$1)</f>
        <v>0</v>
      </c>
      <c r="AA218" s="140">
        <f ca="1">SUMIFS('recurring2_based on steps'!$B218:$AY218,'recurring2_based on steps'!$B$1:$AY$1,AA$1)+SUMIFS('changes2_based on steps'!$B218:$U218,'changes2_based on steps'!$B$1:$U$1,AA$1)</f>
        <v>0</v>
      </c>
      <c r="AB218" s="140">
        <f ca="1">SUMIFS('recurring2_based on steps'!$B218:$AY218,'recurring2_based on steps'!$B$1:$AY$1,AB$1)+SUMIFS('changes2_based on steps'!$B218:$U218,'changes2_based on steps'!$B$1:$U$1,AB$1)</f>
        <v>0</v>
      </c>
      <c r="AC218" s="140">
        <f ca="1">SUMIFS('recurring2_based on steps'!$B218:$AY218,'recurring2_based on steps'!$B$1:$AY$1,AC$1)+SUMIFS('changes2_based on steps'!$B218:$U218,'changes2_based on steps'!$B$1:$U$1,AC$1)</f>
        <v>0</v>
      </c>
      <c r="AD218" s="140">
        <f ca="1">SUMIFS('recurring2_based on steps'!$B218:$AY218,'recurring2_based on steps'!$B$1:$AY$1,AD$1)+SUMIFS('changes2_based on steps'!$B218:$U218,'changes2_based on steps'!$B$1:$U$1,AD$1)</f>
        <v>0</v>
      </c>
      <c r="AE218" s="140">
        <f>SUMIFS('recurring2_based on steps'!$B218:$AY218,'recurring2_based on steps'!$B$1:$AY$1,AE$1)+SUMIFS('changes2_based on steps'!$B218:$U218,'changes2_based on steps'!$B$1:$U$1,AE$1)</f>
        <v>0</v>
      </c>
      <c r="AF218" s="140"/>
      <c r="AG218" s="140"/>
      <c r="AH218" s="140"/>
      <c r="AI218" s="140"/>
      <c r="AJ218" s="140"/>
      <c r="AK218" s="140"/>
      <c r="AL218" s="140"/>
      <c r="AM218" s="140"/>
    </row>
    <row r="219" spans="1:39" x14ac:dyDescent="0.2">
      <c r="A219" s="29">
        <f t="shared" ca="1" si="3"/>
        <v>45959</v>
      </c>
      <c r="B219" s="140">
        <f ca="1">SUMIFS('recurring2_based on steps'!$B219:$AY219,'recurring2_based on steps'!$B$1:$AY$1,B$1)+SUMIFS('changes2_based on steps'!$B219:$U219,'changes2_based on steps'!$B$1:$U$1,B$1)</f>
        <v>0</v>
      </c>
      <c r="C219" s="140">
        <f>SUMIFS('recurring2_based on steps'!$B219:$AY219,'recurring2_based on steps'!$B$1:$AY$1,C$1)+SUMIFS('changes2_based on steps'!$B219:$U219,'changes2_based on steps'!$B$1:$U$1,C$1)</f>
        <v>0</v>
      </c>
      <c r="D219" s="140">
        <f>SUMIFS('recurring2_based on steps'!$B219:$AY219,'recurring2_based on steps'!$B$1:$AY$1,D$1)+SUMIFS('changes2_based on steps'!$B219:$U219,'changes2_based on steps'!$B$1:$U$1,D$1)</f>
        <v>0</v>
      </c>
      <c r="E219" s="140">
        <f>SUMIFS('recurring2_based on steps'!$B219:$AY219,'recurring2_based on steps'!$B$1:$AY$1,E$1)+SUMIFS('changes2_based on steps'!$B219:$U219,'changes2_based on steps'!$B$1:$U$1,E$1)</f>
        <v>0</v>
      </c>
      <c r="F219" s="140">
        <f>SUMIFS('recurring2_based on steps'!$B219:$AY219,'recurring2_based on steps'!$B$1:$AY$1,F$1)+SUMIFS('changes2_based on steps'!$B219:$U219,'changes2_based on steps'!$B$1:$U$1,F$1)</f>
        <v>0</v>
      </c>
      <c r="G219" s="140">
        <f>SUMIFS('recurring2_based on steps'!$B219:$AY219,'recurring2_based on steps'!$B$1:$AY$1,G$1)+SUMIFS('changes2_based on steps'!$B219:$U219,'changes2_based on steps'!$B$1:$U$1,G$1)</f>
        <v>0</v>
      </c>
      <c r="H219" s="140">
        <f>SUMIFS('recurring2_based on steps'!$B219:$AY219,'recurring2_based on steps'!$B$1:$AY$1,H$1)+SUMIFS('changes2_based on steps'!$B219:$U219,'changes2_based on steps'!$B$1:$U$1,H$1)</f>
        <v>0</v>
      </c>
      <c r="I219" s="140">
        <f>SUMIFS('recurring2_based on steps'!$B219:$AY219,'recurring2_based on steps'!$B$1:$AY$1,I$1)+SUMIFS('changes2_based on steps'!$B219:$U219,'changes2_based on steps'!$B$1:$U$1,I$1)</f>
        <v>0</v>
      </c>
      <c r="J219" s="140">
        <f ca="1">SUMIFS('recurring2_based on steps'!$B219:$AY219,'recurring2_based on steps'!$B$1:$AY$1,J$1)+SUMIFS('changes2_based on steps'!$B219:$U219,'changes2_based on steps'!$B$1:$U$1,J$1)</f>
        <v>0</v>
      </c>
      <c r="K219" s="140">
        <f>SUMIFS('recurring2_based on steps'!$B219:$AY219,'recurring2_based on steps'!$B$1:$AY$1,K$1)+SUMIFS('changes2_based on steps'!$B219:$U219,'changes2_based on steps'!$B$1:$U$1,K$1)</f>
        <v>0</v>
      </c>
      <c r="L219" s="140">
        <f>SUMIFS('recurring2_based on steps'!$B219:$AY219,'recurring2_based on steps'!$B$1:$AY$1,L$1)+SUMIFS('changes2_based on steps'!$B219:$U219,'changes2_based on steps'!$B$1:$U$1,L$1)</f>
        <v>0</v>
      </c>
      <c r="M219" s="140">
        <f>SUMIFS('recurring2_based on steps'!$B219:$AY219,'recurring2_based on steps'!$B$1:$AY$1,M$1)+SUMIFS('changes2_based on steps'!$B219:$U219,'changes2_based on steps'!$B$1:$U$1,M$1)</f>
        <v>0</v>
      </c>
      <c r="N219" s="140">
        <f ca="1">SUMIFS('recurring2_based on steps'!$B219:$AY219,'recurring2_based on steps'!$B$1:$AY$1,N$1)+SUMIFS('changes2_based on steps'!$B219:$U219,'changes2_based on steps'!$B$1:$U$1,N$1)</f>
        <v>0</v>
      </c>
      <c r="O219" s="140">
        <f>SUMIFS('recurring2_based on steps'!$B219:$AY219,'recurring2_based on steps'!$B$1:$AY$1,O$1)+SUMIFS('changes2_based on steps'!$B219:$U219,'changes2_based on steps'!$B$1:$U$1,O$1)</f>
        <v>0</v>
      </c>
      <c r="P219" s="140">
        <f ca="1">SUMIFS('recurring2_based on steps'!$B219:$AY219,'recurring2_based on steps'!$B$1:$AY$1,P$1)+SUMIFS('changes2_based on steps'!$B219:$U219,'changes2_based on steps'!$B$1:$U$1,P$1)</f>
        <v>0</v>
      </c>
      <c r="Q219" s="140">
        <f ca="1">SUMIFS('recurring2_based on steps'!$B219:$AY219,'recurring2_based on steps'!$B$1:$AY$1,Q$1)+SUMIFS('changes2_based on steps'!$B219:$U219,'changes2_based on steps'!$B$1:$U$1,Q$1)</f>
        <v>5.5401662049861494E-2</v>
      </c>
      <c r="R219" s="140">
        <f ca="1">SUMIFS('recurring2_based on steps'!$B219:$AY219,'recurring2_based on steps'!$B$1:$AY$1,R$1)+SUMIFS('changes2_based on steps'!$B219:$U219,'changes2_based on steps'!$B$1:$U$1,R$1)</f>
        <v>0</v>
      </c>
      <c r="S219" s="140">
        <f>SUMIFS('recurring2_based on steps'!$B219:$AY219,'recurring2_based on steps'!$B$1:$AY$1,S$1)+SUMIFS('changes2_based on steps'!$B219:$U219,'changes2_based on steps'!$B$1:$U$1,S$1)</f>
        <v>0</v>
      </c>
      <c r="T219" s="140">
        <f ca="1">SUMIFS('recurring2_based on steps'!$B219:$AY219,'recurring2_based on steps'!$B$1:$AY$1,T$1)+SUMIFS('changes2_based on steps'!$B219:$U219,'changes2_based on steps'!$B$1:$U$1,T$1)</f>
        <v>0</v>
      </c>
      <c r="U219" s="140">
        <f ca="1">SUMIFS('recurring2_based on steps'!$B219:$AY219,'recurring2_based on steps'!$B$1:$AY$1,U$1)+SUMIFS('changes2_based on steps'!$B219:$U219,'changes2_based on steps'!$B$1:$U$1,U$1)</f>
        <v>0</v>
      </c>
      <c r="V219" s="140">
        <f>SUMIFS('recurring2_based on steps'!$B219:$AY219,'recurring2_based on steps'!$B$1:$AY$1,V$1)+SUMIFS('changes2_based on steps'!$B219:$U219,'changes2_based on steps'!$B$1:$U$1,V$1)</f>
        <v>0</v>
      </c>
      <c r="W219" s="140">
        <f>SUMIFS('recurring2_based on steps'!$B219:$AY219,'recurring2_based on steps'!$B$1:$AY$1,W$1)+SUMIFS('changes2_based on steps'!$B219:$U219,'changes2_based on steps'!$B$1:$U$1,W$1)</f>
        <v>0</v>
      </c>
      <c r="X219" s="140">
        <f ca="1">SUMIFS('recurring2_based on steps'!$B219:$AY219,'recurring2_based on steps'!$B$1:$AY$1,X$1)+SUMIFS('changes2_based on steps'!$B219:$U219,'changes2_based on steps'!$B$1:$U$1,X$1)</f>
        <v>0</v>
      </c>
      <c r="Y219" s="140">
        <f ca="1">SUMIFS('recurring2_based on steps'!$B219:$AY219,'recurring2_based on steps'!$B$1:$AY$1,Y$1)+SUMIFS('changes2_based on steps'!$B219:$U219,'changes2_based on steps'!$B$1:$U$1,Y$1)</f>
        <v>0</v>
      </c>
      <c r="Z219" s="140">
        <f>SUMIFS('recurring2_based on steps'!$B219:$AY219,'recurring2_based on steps'!$B$1:$AY$1,Z$1)+SUMIFS('changes2_based on steps'!$B219:$U219,'changes2_based on steps'!$B$1:$U$1,Z$1)</f>
        <v>0</v>
      </c>
      <c r="AA219" s="140">
        <f ca="1">SUMIFS('recurring2_based on steps'!$B219:$AY219,'recurring2_based on steps'!$B$1:$AY$1,AA$1)+SUMIFS('changes2_based on steps'!$B219:$U219,'changes2_based on steps'!$B$1:$U$1,AA$1)</f>
        <v>0</v>
      </c>
      <c r="AB219" s="140">
        <f ca="1">SUMIFS('recurring2_based on steps'!$B219:$AY219,'recurring2_based on steps'!$B$1:$AY$1,AB$1)+SUMIFS('changes2_based on steps'!$B219:$U219,'changes2_based on steps'!$B$1:$U$1,AB$1)</f>
        <v>0</v>
      </c>
      <c r="AC219" s="140">
        <f ca="1">SUMIFS('recurring2_based on steps'!$B219:$AY219,'recurring2_based on steps'!$B$1:$AY$1,AC$1)+SUMIFS('changes2_based on steps'!$B219:$U219,'changes2_based on steps'!$B$1:$U$1,AC$1)</f>
        <v>0</v>
      </c>
      <c r="AD219" s="140">
        <f ca="1">SUMIFS('recurring2_based on steps'!$B219:$AY219,'recurring2_based on steps'!$B$1:$AY$1,AD$1)+SUMIFS('changes2_based on steps'!$B219:$U219,'changes2_based on steps'!$B$1:$U$1,AD$1)</f>
        <v>0</v>
      </c>
      <c r="AE219" s="140">
        <f>SUMIFS('recurring2_based on steps'!$B219:$AY219,'recurring2_based on steps'!$B$1:$AY$1,AE$1)+SUMIFS('changes2_based on steps'!$B219:$U219,'changes2_based on steps'!$B$1:$U$1,AE$1)</f>
        <v>0</v>
      </c>
      <c r="AF219" s="140"/>
      <c r="AG219" s="140"/>
      <c r="AH219" s="140"/>
      <c r="AI219" s="140"/>
      <c r="AJ219" s="140"/>
      <c r="AK219" s="140"/>
      <c r="AL219" s="140"/>
      <c r="AM219" s="140"/>
    </row>
    <row r="220" spans="1:39" x14ac:dyDescent="0.2">
      <c r="A220" s="29">
        <f t="shared" ca="1" si="3"/>
        <v>45960</v>
      </c>
      <c r="B220" s="140">
        <f ca="1">SUMIFS('recurring2_based on steps'!$B220:$AY220,'recurring2_based on steps'!$B$1:$AY$1,B$1)+SUMIFS('changes2_based on steps'!$B220:$U220,'changes2_based on steps'!$B$1:$U$1,B$1)</f>
        <v>0</v>
      </c>
      <c r="C220" s="140">
        <f>SUMIFS('recurring2_based on steps'!$B220:$AY220,'recurring2_based on steps'!$B$1:$AY$1,C$1)+SUMIFS('changes2_based on steps'!$B220:$U220,'changes2_based on steps'!$B$1:$U$1,C$1)</f>
        <v>0</v>
      </c>
      <c r="D220" s="140">
        <f>SUMIFS('recurring2_based on steps'!$B220:$AY220,'recurring2_based on steps'!$B$1:$AY$1,D$1)+SUMIFS('changes2_based on steps'!$B220:$U220,'changes2_based on steps'!$B$1:$U$1,D$1)</f>
        <v>0</v>
      </c>
      <c r="E220" s="140">
        <f>SUMIFS('recurring2_based on steps'!$B220:$AY220,'recurring2_based on steps'!$B$1:$AY$1,E$1)+SUMIFS('changes2_based on steps'!$B220:$U220,'changes2_based on steps'!$B$1:$U$1,E$1)</f>
        <v>0</v>
      </c>
      <c r="F220" s="140">
        <f>SUMIFS('recurring2_based on steps'!$B220:$AY220,'recurring2_based on steps'!$B$1:$AY$1,F$1)+SUMIFS('changes2_based on steps'!$B220:$U220,'changes2_based on steps'!$B$1:$U$1,F$1)</f>
        <v>0</v>
      </c>
      <c r="G220" s="140">
        <f>SUMIFS('recurring2_based on steps'!$B220:$AY220,'recurring2_based on steps'!$B$1:$AY$1,G$1)+SUMIFS('changes2_based on steps'!$B220:$U220,'changes2_based on steps'!$B$1:$U$1,G$1)</f>
        <v>0</v>
      </c>
      <c r="H220" s="140">
        <f>SUMIFS('recurring2_based on steps'!$B220:$AY220,'recurring2_based on steps'!$B$1:$AY$1,H$1)+SUMIFS('changes2_based on steps'!$B220:$U220,'changes2_based on steps'!$B$1:$U$1,H$1)</f>
        <v>0</v>
      </c>
      <c r="I220" s="140">
        <f>SUMIFS('recurring2_based on steps'!$B220:$AY220,'recurring2_based on steps'!$B$1:$AY$1,I$1)+SUMIFS('changes2_based on steps'!$B220:$U220,'changes2_based on steps'!$B$1:$U$1,I$1)</f>
        <v>0</v>
      </c>
      <c r="J220" s="140">
        <f ca="1">SUMIFS('recurring2_based on steps'!$B220:$AY220,'recurring2_based on steps'!$B$1:$AY$1,J$1)+SUMIFS('changes2_based on steps'!$B220:$U220,'changes2_based on steps'!$B$1:$U$1,J$1)</f>
        <v>0</v>
      </c>
      <c r="K220" s="140">
        <f>SUMIFS('recurring2_based on steps'!$B220:$AY220,'recurring2_based on steps'!$B$1:$AY$1,K$1)+SUMIFS('changes2_based on steps'!$B220:$U220,'changes2_based on steps'!$B$1:$U$1,K$1)</f>
        <v>0</v>
      </c>
      <c r="L220" s="140">
        <f>SUMIFS('recurring2_based on steps'!$B220:$AY220,'recurring2_based on steps'!$B$1:$AY$1,L$1)+SUMIFS('changes2_based on steps'!$B220:$U220,'changes2_based on steps'!$B$1:$U$1,L$1)</f>
        <v>0</v>
      </c>
      <c r="M220" s="140">
        <f>SUMIFS('recurring2_based on steps'!$B220:$AY220,'recurring2_based on steps'!$B$1:$AY$1,M$1)+SUMIFS('changes2_based on steps'!$B220:$U220,'changes2_based on steps'!$B$1:$U$1,M$1)</f>
        <v>0</v>
      </c>
      <c r="N220" s="140">
        <f ca="1">SUMIFS('recurring2_based on steps'!$B220:$AY220,'recurring2_based on steps'!$B$1:$AY$1,N$1)+SUMIFS('changes2_based on steps'!$B220:$U220,'changes2_based on steps'!$B$1:$U$1,N$1)</f>
        <v>0</v>
      </c>
      <c r="O220" s="140">
        <f>SUMIFS('recurring2_based on steps'!$B220:$AY220,'recurring2_based on steps'!$B$1:$AY$1,O$1)+SUMIFS('changes2_based on steps'!$B220:$U220,'changes2_based on steps'!$B$1:$U$1,O$1)</f>
        <v>0</v>
      </c>
      <c r="P220" s="140">
        <f ca="1">SUMIFS('recurring2_based on steps'!$B220:$AY220,'recurring2_based on steps'!$B$1:$AY$1,P$1)+SUMIFS('changes2_based on steps'!$B220:$U220,'changes2_based on steps'!$B$1:$U$1,P$1)</f>
        <v>0</v>
      </c>
      <c r="Q220" s="140">
        <f ca="1">SUMIFS('recurring2_based on steps'!$B220:$AY220,'recurring2_based on steps'!$B$1:$AY$1,Q$1)+SUMIFS('changes2_based on steps'!$B220:$U220,'changes2_based on steps'!$B$1:$U$1,Q$1)</f>
        <v>5.5401662049861494E-2</v>
      </c>
      <c r="R220" s="140">
        <f ca="1">SUMIFS('recurring2_based on steps'!$B220:$AY220,'recurring2_based on steps'!$B$1:$AY$1,R$1)+SUMIFS('changes2_based on steps'!$B220:$U220,'changes2_based on steps'!$B$1:$U$1,R$1)</f>
        <v>0</v>
      </c>
      <c r="S220" s="140">
        <f>SUMIFS('recurring2_based on steps'!$B220:$AY220,'recurring2_based on steps'!$B$1:$AY$1,S$1)+SUMIFS('changes2_based on steps'!$B220:$U220,'changes2_based on steps'!$B$1:$U$1,S$1)</f>
        <v>0</v>
      </c>
      <c r="T220" s="140">
        <f ca="1">SUMIFS('recurring2_based on steps'!$B220:$AY220,'recurring2_based on steps'!$B$1:$AY$1,T$1)+SUMIFS('changes2_based on steps'!$B220:$U220,'changes2_based on steps'!$B$1:$U$1,T$1)</f>
        <v>0</v>
      </c>
      <c r="U220" s="140">
        <f ca="1">SUMIFS('recurring2_based on steps'!$B220:$AY220,'recurring2_based on steps'!$B$1:$AY$1,U$1)+SUMIFS('changes2_based on steps'!$B220:$U220,'changes2_based on steps'!$B$1:$U$1,U$1)</f>
        <v>0</v>
      </c>
      <c r="V220" s="140">
        <f>SUMIFS('recurring2_based on steps'!$B220:$AY220,'recurring2_based on steps'!$B$1:$AY$1,V$1)+SUMIFS('changes2_based on steps'!$B220:$U220,'changes2_based on steps'!$B$1:$U$1,V$1)</f>
        <v>0</v>
      </c>
      <c r="W220" s="140">
        <f>SUMIFS('recurring2_based on steps'!$B220:$AY220,'recurring2_based on steps'!$B$1:$AY$1,W$1)+SUMIFS('changes2_based on steps'!$B220:$U220,'changes2_based on steps'!$B$1:$U$1,W$1)</f>
        <v>0</v>
      </c>
      <c r="X220" s="140">
        <f ca="1">SUMIFS('recurring2_based on steps'!$B220:$AY220,'recurring2_based on steps'!$B$1:$AY$1,X$1)+SUMIFS('changes2_based on steps'!$B220:$U220,'changes2_based on steps'!$B$1:$U$1,X$1)</f>
        <v>0</v>
      </c>
      <c r="Y220" s="140">
        <f ca="1">SUMIFS('recurring2_based on steps'!$B220:$AY220,'recurring2_based on steps'!$B$1:$AY$1,Y$1)+SUMIFS('changes2_based on steps'!$B220:$U220,'changes2_based on steps'!$B$1:$U$1,Y$1)</f>
        <v>0</v>
      </c>
      <c r="Z220" s="140">
        <f>SUMIFS('recurring2_based on steps'!$B220:$AY220,'recurring2_based on steps'!$B$1:$AY$1,Z$1)+SUMIFS('changes2_based on steps'!$B220:$U220,'changes2_based on steps'!$B$1:$U$1,Z$1)</f>
        <v>0</v>
      </c>
      <c r="AA220" s="140">
        <f ca="1">SUMIFS('recurring2_based on steps'!$B220:$AY220,'recurring2_based on steps'!$B$1:$AY$1,AA$1)+SUMIFS('changes2_based on steps'!$B220:$U220,'changes2_based on steps'!$B$1:$U$1,AA$1)</f>
        <v>0</v>
      </c>
      <c r="AB220" s="140">
        <f ca="1">SUMIFS('recurring2_based on steps'!$B220:$AY220,'recurring2_based on steps'!$B$1:$AY$1,AB$1)+SUMIFS('changes2_based on steps'!$B220:$U220,'changes2_based on steps'!$B$1:$U$1,AB$1)</f>
        <v>0</v>
      </c>
      <c r="AC220" s="140">
        <f ca="1">SUMIFS('recurring2_based on steps'!$B220:$AY220,'recurring2_based on steps'!$B$1:$AY$1,AC$1)+SUMIFS('changes2_based on steps'!$B220:$U220,'changes2_based on steps'!$B$1:$U$1,AC$1)</f>
        <v>0</v>
      </c>
      <c r="AD220" s="140">
        <f ca="1">SUMIFS('recurring2_based on steps'!$B220:$AY220,'recurring2_based on steps'!$B$1:$AY$1,AD$1)+SUMIFS('changes2_based on steps'!$B220:$U220,'changes2_based on steps'!$B$1:$U$1,AD$1)</f>
        <v>0</v>
      </c>
      <c r="AE220" s="140">
        <f>SUMIFS('recurring2_based on steps'!$B220:$AY220,'recurring2_based on steps'!$B$1:$AY$1,AE$1)+SUMIFS('changes2_based on steps'!$B220:$U220,'changes2_based on steps'!$B$1:$U$1,AE$1)</f>
        <v>0</v>
      </c>
      <c r="AF220" s="140"/>
      <c r="AG220" s="140"/>
      <c r="AH220" s="140"/>
      <c r="AI220" s="140"/>
      <c r="AJ220" s="140"/>
      <c r="AK220" s="140"/>
      <c r="AL220" s="140"/>
      <c r="AM220" s="140"/>
    </row>
    <row r="221" spans="1:39" x14ac:dyDescent="0.2">
      <c r="A221" s="29">
        <f t="shared" ca="1" si="3"/>
        <v>45961</v>
      </c>
      <c r="B221" s="140">
        <f ca="1">SUMIFS('recurring2_based on steps'!$B221:$AY221,'recurring2_based on steps'!$B$1:$AY$1,B$1)+SUMIFS('changes2_based on steps'!$B221:$U221,'changes2_based on steps'!$B$1:$U$1,B$1)</f>
        <v>4000</v>
      </c>
      <c r="C221" s="140">
        <f>SUMIFS('recurring2_based on steps'!$B221:$AY221,'recurring2_based on steps'!$B$1:$AY$1,C$1)+SUMIFS('changes2_based on steps'!$B221:$U221,'changes2_based on steps'!$B$1:$U$1,C$1)</f>
        <v>0</v>
      </c>
      <c r="D221" s="140">
        <f>SUMIFS('recurring2_based on steps'!$B221:$AY221,'recurring2_based on steps'!$B$1:$AY$1,D$1)+SUMIFS('changes2_based on steps'!$B221:$U221,'changes2_based on steps'!$B$1:$U$1,D$1)</f>
        <v>0</v>
      </c>
      <c r="E221" s="140">
        <f>SUMIFS('recurring2_based on steps'!$B221:$AY221,'recurring2_based on steps'!$B$1:$AY$1,E$1)+SUMIFS('changes2_based on steps'!$B221:$U221,'changes2_based on steps'!$B$1:$U$1,E$1)</f>
        <v>0</v>
      </c>
      <c r="F221" s="140">
        <f>SUMIFS('recurring2_based on steps'!$B221:$AY221,'recurring2_based on steps'!$B$1:$AY$1,F$1)+SUMIFS('changes2_based on steps'!$B221:$U221,'changes2_based on steps'!$B$1:$U$1,F$1)</f>
        <v>0</v>
      </c>
      <c r="G221" s="140">
        <f>SUMIFS('recurring2_based on steps'!$B221:$AY221,'recurring2_based on steps'!$B$1:$AY$1,G$1)+SUMIFS('changes2_based on steps'!$B221:$U221,'changes2_based on steps'!$B$1:$U$1,G$1)</f>
        <v>0</v>
      </c>
      <c r="H221" s="140">
        <f>SUMIFS('recurring2_based on steps'!$B221:$AY221,'recurring2_based on steps'!$B$1:$AY$1,H$1)+SUMIFS('changes2_based on steps'!$B221:$U221,'changes2_based on steps'!$B$1:$U$1,H$1)</f>
        <v>0</v>
      </c>
      <c r="I221" s="140">
        <f>SUMIFS('recurring2_based on steps'!$B221:$AY221,'recurring2_based on steps'!$B$1:$AY$1,I$1)+SUMIFS('changes2_based on steps'!$B221:$U221,'changes2_based on steps'!$B$1:$U$1,I$1)</f>
        <v>0</v>
      </c>
      <c r="J221" s="140">
        <f ca="1">SUMIFS('recurring2_based on steps'!$B221:$AY221,'recurring2_based on steps'!$B$1:$AY$1,J$1)+SUMIFS('changes2_based on steps'!$B221:$U221,'changes2_based on steps'!$B$1:$U$1,J$1)</f>
        <v>100</v>
      </c>
      <c r="K221" s="140">
        <f>SUMIFS('recurring2_based on steps'!$B221:$AY221,'recurring2_based on steps'!$B$1:$AY$1,K$1)+SUMIFS('changes2_based on steps'!$B221:$U221,'changes2_based on steps'!$B$1:$U$1,K$1)</f>
        <v>0</v>
      </c>
      <c r="L221" s="140">
        <f>SUMIFS('recurring2_based on steps'!$B221:$AY221,'recurring2_based on steps'!$B$1:$AY$1,L$1)+SUMIFS('changes2_based on steps'!$B221:$U221,'changes2_based on steps'!$B$1:$U$1,L$1)</f>
        <v>0</v>
      </c>
      <c r="M221" s="140">
        <f>SUMIFS('recurring2_based on steps'!$B221:$AY221,'recurring2_based on steps'!$B$1:$AY$1,M$1)+SUMIFS('changes2_based on steps'!$B221:$U221,'changes2_based on steps'!$B$1:$U$1,M$1)</f>
        <v>0</v>
      </c>
      <c r="N221" s="140">
        <f ca="1">SUMIFS('recurring2_based on steps'!$B221:$AY221,'recurring2_based on steps'!$B$1:$AY$1,N$1)+SUMIFS('changes2_based on steps'!$B221:$U221,'changes2_based on steps'!$B$1:$U$1,N$1)</f>
        <v>40</v>
      </c>
      <c r="O221" s="140">
        <f>SUMIFS('recurring2_based on steps'!$B221:$AY221,'recurring2_based on steps'!$B$1:$AY$1,O$1)+SUMIFS('changes2_based on steps'!$B221:$U221,'changes2_based on steps'!$B$1:$U$1,O$1)</f>
        <v>0</v>
      </c>
      <c r="P221" s="140">
        <f ca="1">SUMIFS('recurring2_based on steps'!$B221:$AY221,'recurring2_based on steps'!$B$1:$AY$1,P$1)+SUMIFS('changes2_based on steps'!$B221:$U221,'changes2_based on steps'!$B$1:$U$1,P$1)</f>
        <v>0</v>
      </c>
      <c r="Q221" s="140">
        <f ca="1">SUMIFS('recurring2_based on steps'!$B221:$AY221,'recurring2_based on steps'!$B$1:$AY$1,Q$1)+SUMIFS('changes2_based on steps'!$B221:$U221,'changes2_based on steps'!$B$1:$U$1,Q$1)</f>
        <v>5.5401662049861494E-2</v>
      </c>
      <c r="R221" s="140">
        <f ca="1">SUMIFS('recurring2_based on steps'!$B221:$AY221,'recurring2_based on steps'!$B$1:$AY$1,R$1)+SUMIFS('changes2_based on steps'!$B221:$U221,'changes2_based on steps'!$B$1:$U$1,R$1)</f>
        <v>0</v>
      </c>
      <c r="S221" s="140">
        <f>SUMIFS('recurring2_based on steps'!$B221:$AY221,'recurring2_based on steps'!$B$1:$AY$1,S$1)+SUMIFS('changes2_based on steps'!$B221:$U221,'changes2_based on steps'!$B$1:$U$1,S$1)</f>
        <v>0</v>
      </c>
      <c r="T221" s="140">
        <f ca="1">SUMIFS('recurring2_based on steps'!$B221:$AY221,'recurring2_based on steps'!$B$1:$AY$1,T$1)+SUMIFS('changes2_based on steps'!$B221:$U221,'changes2_based on steps'!$B$1:$U$1,T$1)</f>
        <v>50</v>
      </c>
      <c r="U221" s="140">
        <f ca="1">SUMIFS('recurring2_based on steps'!$B221:$AY221,'recurring2_based on steps'!$B$1:$AY$1,U$1)+SUMIFS('changes2_based on steps'!$B221:$U221,'changes2_based on steps'!$B$1:$U$1,U$1)</f>
        <v>200</v>
      </c>
      <c r="V221" s="140">
        <f>SUMIFS('recurring2_based on steps'!$B221:$AY221,'recurring2_based on steps'!$B$1:$AY$1,V$1)+SUMIFS('changes2_based on steps'!$B221:$U221,'changes2_based on steps'!$B$1:$U$1,V$1)</f>
        <v>0</v>
      </c>
      <c r="W221" s="140">
        <f>SUMIFS('recurring2_based on steps'!$B221:$AY221,'recurring2_based on steps'!$B$1:$AY$1,W$1)+SUMIFS('changes2_based on steps'!$B221:$U221,'changes2_based on steps'!$B$1:$U$1,W$1)</f>
        <v>0</v>
      </c>
      <c r="X221" s="140">
        <f ca="1">SUMIFS('recurring2_based on steps'!$B221:$AY221,'recurring2_based on steps'!$B$1:$AY$1,X$1)+SUMIFS('changes2_based on steps'!$B221:$U221,'changes2_based on steps'!$B$1:$U$1,X$1)</f>
        <v>96</v>
      </c>
      <c r="Y221" s="140">
        <f ca="1">SUMIFS('recurring2_based on steps'!$B221:$AY221,'recurring2_based on steps'!$B$1:$AY$1,Y$1)+SUMIFS('changes2_based on steps'!$B221:$U221,'changes2_based on steps'!$B$1:$U$1,Y$1)</f>
        <v>0</v>
      </c>
      <c r="Z221" s="140">
        <f>SUMIFS('recurring2_based on steps'!$B221:$AY221,'recurring2_based on steps'!$B$1:$AY$1,Z$1)+SUMIFS('changes2_based on steps'!$B221:$U221,'changes2_based on steps'!$B$1:$U$1,Z$1)</f>
        <v>0</v>
      </c>
      <c r="AA221" s="140">
        <f ca="1">SUMIFS('recurring2_based on steps'!$B221:$AY221,'recurring2_based on steps'!$B$1:$AY$1,AA$1)+SUMIFS('changes2_based on steps'!$B221:$U221,'changes2_based on steps'!$B$1:$U$1,AA$1)</f>
        <v>0</v>
      </c>
      <c r="AB221" s="140">
        <f ca="1">SUMIFS('recurring2_based on steps'!$B221:$AY221,'recurring2_based on steps'!$B$1:$AY$1,AB$1)+SUMIFS('changes2_based on steps'!$B221:$U221,'changes2_based on steps'!$B$1:$U$1,AB$1)</f>
        <v>0</v>
      </c>
      <c r="AC221" s="140">
        <f ca="1">SUMIFS('recurring2_based on steps'!$B221:$AY221,'recurring2_based on steps'!$B$1:$AY$1,AC$1)+SUMIFS('changes2_based on steps'!$B221:$U221,'changes2_based on steps'!$B$1:$U$1,AC$1)</f>
        <v>0</v>
      </c>
      <c r="AD221" s="140">
        <f ca="1">SUMIFS('recurring2_based on steps'!$B221:$AY221,'recurring2_based on steps'!$B$1:$AY$1,AD$1)+SUMIFS('changes2_based on steps'!$B221:$U221,'changes2_based on steps'!$B$1:$U$1,AD$1)</f>
        <v>50</v>
      </c>
      <c r="AE221" s="140">
        <f>SUMIFS('recurring2_based on steps'!$B221:$AY221,'recurring2_based on steps'!$B$1:$AY$1,AE$1)+SUMIFS('changes2_based on steps'!$B221:$U221,'changes2_based on steps'!$B$1:$U$1,AE$1)</f>
        <v>0</v>
      </c>
      <c r="AF221" s="140"/>
      <c r="AG221" s="140"/>
      <c r="AH221" s="140"/>
      <c r="AI221" s="140"/>
      <c r="AJ221" s="140"/>
      <c r="AK221" s="140"/>
      <c r="AL221" s="140"/>
      <c r="AM221" s="140"/>
    </row>
    <row r="222" spans="1:39" x14ac:dyDescent="0.2">
      <c r="A222" s="29">
        <f t="shared" ca="1" si="3"/>
        <v>45962</v>
      </c>
      <c r="B222" s="140">
        <f ca="1">SUMIFS('recurring2_based on steps'!$B222:$AY222,'recurring2_based on steps'!$B$1:$AY$1,B$1)+SUMIFS('changes2_based on steps'!$B222:$U222,'changes2_based on steps'!$B$1:$U$1,B$1)</f>
        <v>0</v>
      </c>
      <c r="C222" s="140">
        <f>SUMIFS('recurring2_based on steps'!$B222:$AY222,'recurring2_based on steps'!$B$1:$AY$1,C$1)+SUMIFS('changes2_based on steps'!$B222:$U222,'changes2_based on steps'!$B$1:$U$1,C$1)</f>
        <v>0</v>
      </c>
      <c r="D222" s="140">
        <f>SUMIFS('recurring2_based on steps'!$B222:$AY222,'recurring2_based on steps'!$B$1:$AY$1,D$1)+SUMIFS('changes2_based on steps'!$B222:$U222,'changes2_based on steps'!$B$1:$U$1,D$1)</f>
        <v>0</v>
      </c>
      <c r="E222" s="140">
        <f>SUMIFS('recurring2_based on steps'!$B222:$AY222,'recurring2_based on steps'!$B$1:$AY$1,E$1)+SUMIFS('changes2_based on steps'!$B222:$U222,'changes2_based on steps'!$B$1:$U$1,E$1)</f>
        <v>0</v>
      </c>
      <c r="F222" s="140">
        <f>SUMIFS('recurring2_based on steps'!$B222:$AY222,'recurring2_based on steps'!$B$1:$AY$1,F$1)+SUMIFS('changes2_based on steps'!$B222:$U222,'changes2_based on steps'!$B$1:$U$1,F$1)</f>
        <v>0</v>
      </c>
      <c r="G222" s="140">
        <f>SUMIFS('recurring2_based on steps'!$B222:$AY222,'recurring2_based on steps'!$B$1:$AY$1,G$1)+SUMIFS('changes2_based on steps'!$B222:$U222,'changes2_based on steps'!$B$1:$U$1,G$1)</f>
        <v>0</v>
      </c>
      <c r="H222" s="140">
        <f>SUMIFS('recurring2_based on steps'!$B222:$AY222,'recurring2_based on steps'!$B$1:$AY$1,H$1)+SUMIFS('changes2_based on steps'!$B222:$U222,'changes2_based on steps'!$B$1:$U$1,H$1)</f>
        <v>0</v>
      </c>
      <c r="I222" s="140">
        <f>SUMIFS('recurring2_based on steps'!$B222:$AY222,'recurring2_based on steps'!$B$1:$AY$1,I$1)+SUMIFS('changes2_based on steps'!$B222:$U222,'changes2_based on steps'!$B$1:$U$1,I$1)</f>
        <v>0</v>
      </c>
      <c r="J222" s="140">
        <f ca="1">SUMIFS('recurring2_based on steps'!$B222:$AY222,'recurring2_based on steps'!$B$1:$AY$1,J$1)+SUMIFS('changes2_based on steps'!$B222:$U222,'changes2_based on steps'!$B$1:$U$1,J$1)</f>
        <v>0</v>
      </c>
      <c r="K222" s="140">
        <f>SUMIFS('recurring2_based on steps'!$B222:$AY222,'recurring2_based on steps'!$B$1:$AY$1,K$1)+SUMIFS('changes2_based on steps'!$B222:$U222,'changes2_based on steps'!$B$1:$U$1,K$1)</f>
        <v>0</v>
      </c>
      <c r="L222" s="140">
        <f>SUMIFS('recurring2_based on steps'!$B222:$AY222,'recurring2_based on steps'!$B$1:$AY$1,L$1)+SUMIFS('changes2_based on steps'!$B222:$U222,'changes2_based on steps'!$B$1:$U$1,L$1)</f>
        <v>0</v>
      </c>
      <c r="M222" s="140">
        <f>SUMIFS('recurring2_based on steps'!$B222:$AY222,'recurring2_based on steps'!$B$1:$AY$1,M$1)+SUMIFS('changes2_based on steps'!$B222:$U222,'changes2_based on steps'!$B$1:$U$1,M$1)</f>
        <v>0</v>
      </c>
      <c r="N222" s="140">
        <f ca="1">SUMIFS('recurring2_based on steps'!$B222:$AY222,'recurring2_based on steps'!$B$1:$AY$1,N$1)+SUMIFS('changes2_based on steps'!$B222:$U222,'changes2_based on steps'!$B$1:$U$1,N$1)</f>
        <v>2000</v>
      </c>
      <c r="O222" s="140">
        <f>SUMIFS('recurring2_based on steps'!$B222:$AY222,'recurring2_based on steps'!$B$1:$AY$1,O$1)+SUMIFS('changes2_based on steps'!$B222:$U222,'changes2_based on steps'!$B$1:$U$1,O$1)</f>
        <v>0</v>
      </c>
      <c r="P222" s="140">
        <f ca="1">SUMIFS('recurring2_based on steps'!$B222:$AY222,'recurring2_based on steps'!$B$1:$AY$1,P$1)+SUMIFS('changes2_based on steps'!$B222:$U222,'changes2_based on steps'!$B$1:$U$1,P$1)</f>
        <v>0</v>
      </c>
      <c r="Q222" s="140">
        <f ca="1">SUMIFS('recurring2_based on steps'!$B222:$AY222,'recurring2_based on steps'!$B$1:$AY$1,Q$1)+SUMIFS('changes2_based on steps'!$B222:$U222,'changes2_based on steps'!$B$1:$U$1,Q$1)</f>
        <v>100.05540166204986</v>
      </c>
      <c r="R222" s="140">
        <f ca="1">SUMIFS('recurring2_based on steps'!$B222:$AY222,'recurring2_based on steps'!$B$1:$AY$1,R$1)+SUMIFS('changes2_based on steps'!$B222:$U222,'changes2_based on steps'!$B$1:$U$1,R$1)</f>
        <v>0</v>
      </c>
      <c r="S222" s="140">
        <f>SUMIFS('recurring2_based on steps'!$B222:$AY222,'recurring2_based on steps'!$B$1:$AY$1,S$1)+SUMIFS('changes2_based on steps'!$B222:$U222,'changes2_based on steps'!$B$1:$U$1,S$1)</f>
        <v>0</v>
      </c>
      <c r="T222" s="140">
        <f ca="1">SUMIFS('recurring2_based on steps'!$B222:$AY222,'recurring2_based on steps'!$B$1:$AY$1,T$1)+SUMIFS('changes2_based on steps'!$B222:$U222,'changes2_based on steps'!$B$1:$U$1,T$1)</f>
        <v>0</v>
      </c>
      <c r="U222" s="140">
        <f ca="1">SUMIFS('recurring2_based on steps'!$B222:$AY222,'recurring2_based on steps'!$B$1:$AY$1,U$1)+SUMIFS('changes2_based on steps'!$B222:$U222,'changes2_based on steps'!$B$1:$U$1,U$1)</f>
        <v>0</v>
      </c>
      <c r="V222" s="140">
        <f>SUMIFS('recurring2_based on steps'!$B222:$AY222,'recurring2_based on steps'!$B$1:$AY$1,V$1)+SUMIFS('changes2_based on steps'!$B222:$U222,'changes2_based on steps'!$B$1:$U$1,V$1)</f>
        <v>0</v>
      </c>
      <c r="W222" s="140">
        <f>SUMIFS('recurring2_based on steps'!$B222:$AY222,'recurring2_based on steps'!$B$1:$AY$1,W$1)+SUMIFS('changes2_based on steps'!$B222:$U222,'changes2_based on steps'!$B$1:$U$1,W$1)</f>
        <v>0</v>
      </c>
      <c r="X222" s="140">
        <f ca="1">SUMIFS('recurring2_based on steps'!$B222:$AY222,'recurring2_based on steps'!$B$1:$AY$1,X$1)+SUMIFS('changes2_based on steps'!$B222:$U222,'changes2_based on steps'!$B$1:$U$1,X$1)</f>
        <v>0</v>
      </c>
      <c r="Y222" s="140">
        <f ca="1">SUMIFS('recurring2_based on steps'!$B222:$AY222,'recurring2_based on steps'!$B$1:$AY$1,Y$1)+SUMIFS('changes2_based on steps'!$B222:$U222,'changes2_based on steps'!$B$1:$U$1,Y$1)</f>
        <v>0</v>
      </c>
      <c r="Z222" s="140">
        <f>SUMIFS('recurring2_based on steps'!$B222:$AY222,'recurring2_based on steps'!$B$1:$AY$1,Z$1)+SUMIFS('changes2_based on steps'!$B222:$U222,'changes2_based on steps'!$B$1:$U$1,Z$1)</f>
        <v>0</v>
      </c>
      <c r="AA222" s="140">
        <f ca="1">SUMIFS('recurring2_based on steps'!$B222:$AY222,'recurring2_based on steps'!$B$1:$AY$1,AA$1)+SUMIFS('changes2_based on steps'!$B222:$U222,'changes2_based on steps'!$B$1:$U$1,AA$1)</f>
        <v>0</v>
      </c>
      <c r="AB222" s="140">
        <f ca="1">SUMIFS('recurring2_based on steps'!$B222:$AY222,'recurring2_based on steps'!$B$1:$AY$1,AB$1)+SUMIFS('changes2_based on steps'!$B222:$U222,'changes2_based on steps'!$B$1:$U$1,AB$1)</f>
        <v>100</v>
      </c>
      <c r="AC222" s="140">
        <f ca="1">SUMIFS('recurring2_based on steps'!$B222:$AY222,'recurring2_based on steps'!$B$1:$AY$1,AC$1)+SUMIFS('changes2_based on steps'!$B222:$U222,'changes2_based on steps'!$B$1:$U$1,AC$1)</f>
        <v>0</v>
      </c>
      <c r="AD222" s="140">
        <f ca="1">SUMIFS('recurring2_based on steps'!$B222:$AY222,'recurring2_based on steps'!$B$1:$AY$1,AD$1)+SUMIFS('changes2_based on steps'!$B222:$U222,'changes2_based on steps'!$B$1:$U$1,AD$1)</f>
        <v>0</v>
      </c>
      <c r="AE222" s="140">
        <f>SUMIFS('recurring2_based on steps'!$B222:$AY222,'recurring2_based on steps'!$B$1:$AY$1,AE$1)+SUMIFS('changes2_based on steps'!$B222:$U222,'changes2_based on steps'!$B$1:$U$1,AE$1)</f>
        <v>0</v>
      </c>
      <c r="AF222" s="140"/>
      <c r="AG222" s="140"/>
      <c r="AH222" s="140"/>
      <c r="AI222" s="140"/>
      <c r="AJ222" s="140"/>
      <c r="AK222" s="140"/>
      <c r="AL222" s="140"/>
      <c r="AM222" s="140"/>
    </row>
    <row r="223" spans="1:39" x14ac:dyDescent="0.2">
      <c r="A223" s="29">
        <f t="shared" ca="1" si="3"/>
        <v>45963</v>
      </c>
      <c r="B223" s="140">
        <f ca="1">SUMIFS('recurring2_based on steps'!$B223:$AY223,'recurring2_based on steps'!$B$1:$AY$1,B$1)+SUMIFS('changes2_based on steps'!$B223:$U223,'changes2_based on steps'!$B$1:$U$1,B$1)</f>
        <v>0</v>
      </c>
      <c r="C223" s="140">
        <f>SUMIFS('recurring2_based on steps'!$B223:$AY223,'recurring2_based on steps'!$B$1:$AY$1,C$1)+SUMIFS('changes2_based on steps'!$B223:$U223,'changes2_based on steps'!$B$1:$U$1,C$1)</f>
        <v>0</v>
      </c>
      <c r="D223" s="140">
        <f>SUMIFS('recurring2_based on steps'!$B223:$AY223,'recurring2_based on steps'!$B$1:$AY$1,D$1)+SUMIFS('changes2_based on steps'!$B223:$U223,'changes2_based on steps'!$B$1:$U$1,D$1)</f>
        <v>0</v>
      </c>
      <c r="E223" s="140">
        <f>SUMIFS('recurring2_based on steps'!$B223:$AY223,'recurring2_based on steps'!$B$1:$AY$1,E$1)+SUMIFS('changes2_based on steps'!$B223:$U223,'changes2_based on steps'!$B$1:$U$1,E$1)</f>
        <v>0</v>
      </c>
      <c r="F223" s="140">
        <f>SUMIFS('recurring2_based on steps'!$B223:$AY223,'recurring2_based on steps'!$B$1:$AY$1,F$1)+SUMIFS('changes2_based on steps'!$B223:$U223,'changes2_based on steps'!$B$1:$U$1,F$1)</f>
        <v>0</v>
      </c>
      <c r="G223" s="140">
        <f>SUMIFS('recurring2_based on steps'!$B223:$AY223,'recurring2_based on steps'!$B$1:$AY$1,G$1)+SUMIFS('changes2_based on steps'!$B223:$U223,'changes2_based on steps'!$B$1:$U$1,G$1)</f>
        <v>0</v>
      </c>
      <c r="H223" s="140">
        <f>SUMIFS('recurring2_based on steps'!$B223:$AY223,'recurring2_based on steps'!$B$1:$AY$1,H$1)+SUMIFS('changes2_based on steps'!$B223:$U223,'changes2_based on steps'!$B$1:$U$1,H$1)</f>
        <v>0</v>
      </c>
      <c r="I223" s="140">
        <f>SUMIFS('recurring2_based on steps'!$B223:$AY223,'recurring2_based on steps'!$B$1:$AY$1,I$1)+SUMIFS('changes2_based on steps'!$B223:$U223,'changes2_based on steps'!$B$1:$U$1,I$1)</f>
        <v>0</v>
      </c>
      <c r="J223" s="140">
        <f ca="1">SUMIFS('recurring2_based on steps'!$B223:$AY223,'recurring2_based on steps'!$B$1:$AY$1,J$1)+SUMIFS('changes2_based on steps'!$B223:$U223,'changes2_based on steps'!$B$1:$U$1,J$1)</f>
        <v>0</v>
      </c>
      <c r="K223" s="140">
        <f>SUMIFS('recurring2_based on steps'!$B223:$AY223,'recurring2_based on steps'!$B$1:$AY$1,K$1)+SUMIFS('changes2_based on steps'!$B223:$U223,'changes2_based on steps'!$B$1:$U$1,K$1)</f>
        <v>0</v>
      </c>
      <c r="L223" s="140">
        <f>SUMIFS('recurring2_based on steps'!$B223:$AY223,'recurring2_based on steps'!$B$1:$AY$1,L$1)+SUMIFS('changes2_based on steps'!$B223:$U223,'changes2_based on steps'!$B$1:$U$1,L$1)</f>
        <v>0</v>
      </c>
      <c r="M223" s="140">
        <f>SUMIFS('recurring2_based on steps'!$B223:$AY223,'recurring2_based on steps'!$B$1:$AY$1,M$1)+SUMIFS('changes2_based on steps'!$B223:$U223,'changes2_based on steps'!$B$1:$U$1,M$1)</f>
        <v>0</v>
      </c>
      <c r="N223" s="140">
        <f ca="1">SUMIFS('recurring2_based on steps'!$B223:$AY223,'recurring2_based on steps'!$B$1:$AY$1,N$1)+SUMIFS('changes2_based on steps'!$B223:$U223,'changes2_based on steps'!$B$1:$U$1,N$1)</f>
        <v>0</v>
      </c>
      <c r="O223" s="140">
        <f>SUMIFS('recurring2_based on steps'!$B223:$AY223,'recurring2_based on steps'!$B$1:$AY$1,O$1)+SUMIFS('changes2_based on steps'!$B223:$U223,'changes2_based on steps'!$B$1:$U$1,O$1)</f>
        <v>0</v>
      </c>
      <c r="P223" s="140">
        <f ca="1">SUMIFS('recurring2_based on steps'!$B223:$AY223,'recurring2_based on steps'!$B$1:$AY$1,P$1)+SUMIFS('changes2_based on steps'!$B223:$U223,'changes2_based on steps'!$B$1:$U$1,P$1)</f>
        <v>0</v>
      </c>
      <c r="Q223" s="140">
        <f ca="1">SUMIFS('recurring2_based on steps'!$B223:$AY223,'recurring2_based on steps'!$B$1:$AY$1,Q$1)+SUMIFS('changes2_based on steps'!$B223:$U223,'changes2_based on steps'!$B$1:$U$1,Q$1)</f>
        <v>100.05540166204986</v>
      </c>
      <c r="R223" s="140">
        <f ca="1">SUMIFS('recurring2_based on steps'!$B223:$AY223,'recurring2_based on steps'!$B$1:$AY$1,R$1)+SUMIFS('changes2_based on steps'!$B223:$U223,'changes2_based on steps'!$B$1:$U$1,R$1)</f>
        <v>0</v>
      </c>
      <c r="S223" s="140">
        <f>SUMIFS('recurring2_based on steps'!$B223:$AY223,'recurring2_based on steps'!$B$1:$AY$1,S$1)+SUMIFS('changes2_based on steps'!$B223:$U223,'changes2_based on steps'!$B$1:$U$1,S$1)</f>
        <v>0</v>
      </c>
      <c r="T223" s="140">
        <f ca="1">SUMIFS('recurring2_based on steps'!$B223:$AY223,'recurring2_based on steps'!$B$1:$AY$1,T$1)+SUMIFS('changes2_based on steps'!$B223:$U223,'changes2_based on steps'!$B$1:$U$1,T$1)</f>
        <v>0</v>
      </c>
      <c r="U223" s="140">
        <f ca="1">SUMIFS('recurring2_based on steps'!$B223:$AY223,'recurring2_based on steps'!$B$1:$AY$1,U$1)+SUMIFS('changes2_based on steps'!$B223:$U223,'changes2_based on steps'!$B$1:$U$1,U$1)</f>
        <v>0</v>
      </c>
      <c r="V223" s="140">
        <f>SUMIFS('recurring2_based on steps'!$B223:$AY223,'recurring2_based on steps'!$B$1:$AY$1,V$1)+SUMIFS('changes2_based on steps'!$B223:$U223,'changes2_based on steps'!$B$1:$U$1,V$1)</f>
        <v>0</v>
      </c>
      <c r="W223" s="140">
        <f>SUMIFS('recurring2_based on steps'!$B223:$AY223,'recurring2_based on steps'!$B$1:$AY$1,W$1)+SUMIFS('changes2_based on steps'!$B223:$U223,'changes2_based on steps'!$B$1:$U$1,W$1)</f>
        <v>0</v>
      </c>
      <c r="X223" s="140">
        <f ca="1">SUMIFS('recurring2_based on steps'!$B223:$AY223,'recurring2_based on steps'!$B$1:$AY$1,X$1)+SUMIFS('changes2_based on steps'!$B223:$U223,'changes2_based on steps'!$B$1:$U$1,X$1)</f>
        <v>0</v>
      </c>
      <c r="Y223" s="140">
        <f ca="1">SUMIFS('recurring2_based on steps'!$B223:$AY223,'recurring2_based on steps'!$B$1:$AY$1,Y$1)+SUMIFS('changes2_based on steps'!$B223:$U223,'changes2_based on steps'!$B$1:$U$1,Y$1)</f>
        <v>50</v>
      </c>
      <c r="Z223" s="140">
        <f>SUMIFS('recurring2_based on steps'!$B223:$AY223,'recurring2_based on steps'!$B$1:$AY$1,Z$1)+SUMIFS('changes2_based on steps'!$B223:$U223,'changes2_based on steps'!$B$1:$U$1,Z$1)</f>
        <v>0</v>
      </c>
      <c r="AA223" s="140">
        <f ca="1">SUMIFS('recurring2_based on steps'!$B223:$AY223,'recurring2_based on steps'!$B$1:$AY$1,AA$1)+SUMIFS('changes2_based on steps'!$B223:$U223,'changes2_based on steps'!$B$1:$U$1,AA$1)</f>
        <v>0</v>
      </c>
      <c r="AB223" s="140">
        <f ca="1">SUMIFS('recurring2_based on steps'!$B223:$AY223,'recurring2_based on steps'!$B$1:$AY$1,AB$1)+SUMIFS('changes2_based on steps'!$B223:$U223,'changes2_based on steps'!$B$1:$U$1,AB$1)</f>
        <v>0</v>
      </c>
      <c r="AC223" s="140">
        <f ca="1">SUMIFS('recurring2_based on steps'!$B223:$AY223,'recurring2_based on steps'!$B$1:$AY$1,AC$1)+SUMIFS('changes2_based on steps'!$B223:$U223,'changes2_based on steps'!$B$1:$U$1,AC$1)</f>
        <v>0</v>
      </c>
      <c r="AD223" s="140">
        <f ca="1">SUMIFS('recurring2_based on steps'!$B223:$AY223,'recurring2_based on steps'!$B$1:$AY$1,AD$1)+SUMIFS('changes2_based on steps'!$B223:$U223,'changes2_based on steps'!$B$1:$U$1,AD$1)</f>
        <v>0</v>
      </c>
      <c r="AE223" s="140">
        <f>SUMIFS('recurring2_based on steps'!$B223:$AY223,'recurring2_based on steps'!$B$1:$AY$1,AE$1)+SUMIFS('changes2_based on steps'!$B223:$U223,'changes2_based on steps'!$B$1:$U$1,AE$1)</f>
        <v>0</v>
      </c>
      <c r="AF223" s="140"/>
      <c r="AG223" s="140"/>
      <c r="AH223" s="140"/>
      <c r="AI223" s="140"/>
      <c r="AJ223" s="140"/>
      <c r="AK223" s="140"/>
      <c r="AL223" s="140"/>
      <c r="AM223" s="140"/>
    </row>
    <row r="224" spans="1:39" x14ac:dyDescent="0.2">
      <c r="A224" s="29">
        <f t="shared" ca="1" si="3"/>
        <v>45964</v>
      </c>
      <c r="B224" s="140">
        <f ca="1">SUMIFS('recurring2_based on steps'!$B224:$AY224,'recurring2_based on steps'!$B$1:$AY$1,B$1)+SUMIFS('changes2_based on steps'!$B224:$U224,'changes2_based on steps'!$B$1:$U$1,B$1)</f>
        <v>0</v>
      </c>
      <c r="C224" s="140">
        <f>SUMIFS('recurring2_based on steps'!$B224:$AY224,'recurring2_based on steps'!$B$1:$AY$1,C$1)+SUMIFS('changes2_based on steps'!$B224:$U224,'changes2_based on steps'!$B$1:$U$1,C$1)</f>
        <v>0</v>
      </c>
      <c r="D224" s="140">
        <f>SUMIFS('recurring2_based on steps'!$B224:$AY224,'recurring2_based on steps'!$B$1:$AY$1,D$1)+SUMIFS('changes2_based on steps'!$B224:$U224,'changes2_based on steps'!$B$1:$U$1,D$1)</f>
        <v>0</v>
      </c>
      <c r="E224" s="140">
        <f>SUMIFS('recurring2_based on steps'!$B224:$AY224,'recurring2_based on steps'!$B$1:$AY$1,E$1)+SUMIFS('changes2_based on steps'!$B224:$U224,'changes2_based on steps'!$B$1:$U$1,E$1)</f>
        <v>0</v>
      </c>
      <c r="F224" s="140">
        <f>SUMIFS('recurring2_based on steps'!$B224:$AY224,'recurring2_based on steps'!$B$1:$AY$1,F$1)+SUMIFS('changes2_based on steps'!$B224:$U224,'changes2_based on steps'!$B$1:$U$1,F$1)</f>
        <v>0</v>
      </c>
      <c r="G224" s="140">
        <f>SUMIFS('recurring2_based on steps'!$B224:$AY224,'recurring2_based on steps'!$B$1:$AY$1,G$1)+SUMIFS('changes2_based on steps'!$B224:$U224,'changes2_based on steps'!$B$1:$U$1,G$1)</f>
        <v>0</v>
      </c>
      <c r="H224" s="140">
        <f>SUMIFS('recurring2_based on steps'!$B224:$AY224,'recurring2_based on steps'!$B$1:$AY$1,H$1)+SUMIFS('changes2_based on steps'!$B224:$U224,'changes2_based on steps'!$B$1:$U$1,H$1)</f>
        <v>0</v>
      </c>
      <c r="I224" s="140">
        <f>SUMIFS('recurring2_based on steps'!$B224:$AY224,'recurring2_based on steps'!$B$1:$AY$1,I$1)+SUMIFS('changes2_based on steps'!$B224:$U224,'changes2_based on steps'!$B$1:$U$1,I$1)</f>
        <v>0</v>
      </c>
      <c r="J224" s="140">
        <f ca="1">SUMIFS('recurring2_based on steps'!$B224:$AY224,'recurring2_based on steps'!$B$1:$AY$1,J$1)+SUMIFS('changes2_based on steps'!$B224:$U224,'changes2_based on steps'!$B$1:$U$1,J$1)</f>
        <v>0</v>
      </c>
      <c r="K224" s="140">
        <f>SUMIFS('recurring2_based on steps'!$B224:$AY224,'recurring2_based on steps'!$B$1:$AY$1,K$1)+SUMIFS('changes2_based on steps'!$B224:$U224,'changes2_based on steps'!$B$1:$U$1,K$1)</f>
        <v>0</v>
      </c>
      <c r="L224" s="140">
        <f>SUMIFS('recurring2_based on steps'!$B224:$AY224,'recurring2_based on steps'!$B$1:$AY$1,L$1)+SUMIFS('changes2_based on steps'!$B224:$U224,'changes2_based on steps'!$B$1:$U$1,L$1)</f>
        <v>0</v>
      </c>
      <c r="M224" s="140">
        <f>SUMIFS('recurring2_based on steps'!$B224:$AY224,'recurring2_based on steps'!$B$1:$AY$1,M$1)+SUMIFS('changes2_based on steps'!$B224:$U224,'changes2_based on steps'!$B$1:$U$1,M$1)</f>
        <v>0</v>
      </c>
      <c r="N224" s="140">
        <f ca="1">SUMIFS('recurring2_based on steps'!$B224:$AY224,'recurring2_based on steps'!$B$1:$AY$1,N$1)+SUMIFS('changes2_based on steps'!$B224:$U224,'changes2_based on steps'!$B$1:$U$1,N$1)</f>
        <v>0</v>
      </c>
      <c r="O224" s="140">
        <f>SUMIFS('recurring2_based on steps'!$B224:$AY224,'recurring2_based on steps'!$B$1:$AY$1,O$1)+SUMIFS('changes2_based on steps'!$B224:$U224,'changes2_based on steps'!$B$1:$U$1,O$1)</f>
        <v>0</v>
      </c>
      <c r="P224" s="140">
        <f ca="1">SUMIFS('recurring2_based on steps'!$B224:$AY224,'recurring2_based on steps'!$B$1:$AY$1,P$1)+SUMIFS('changes2_based on steps'!$B224:$U224,'changes2_based on steps'!$B$1:$U$1,P$1)</f>
        <v>0</v>
      </c>
      <c r="Q224" s="140">
        <f ca="1">SUMIFS('recurring2_based on steps'!$B224:$AY224,'recurring2_based on steps'!$B$1:$AY$1,Q$1)+SUMIFS('changes2_based on steps'!$B224:$U224,'changes2_based on steps'!$B$1:$U$1,Q$1)</f>
        <v>5.5401662049861494E-2</v>
      </c>
      <c r="R224" s="140">
        <f ca="1">SUMIFS('recurring2_based on steps'!$B224:$AY224,'recurring2_based on steps'!$B$1:$AY$1,R$1)+SUMIFS('changes2_based on steps'!$B224:$U224,'changes2_based on steps'!$B$1:$U$1,R$1)</f>
        <v>0</v>
      </c>
      <c r="S224" s="140">
        <f>SUMIFS('recurring2_based on steps'!$B224:$AY224,'recurring2_based on steps'!$B$1:$AY$1,S$1)+SUMIFS('changes2_based on steps'!$B224:$U224,'changes2_based on steps'!$B$1:$U$1,S$1)</f>
        <v>0</v>
      </c>
      <c r="T224" s="140">
        <f ca="1">SUMIFS('recurring2_based on steps'!$B224:$AY224,'recurring2_based on steps'!$B$1:$AY$1,T$1)+SUMIFS('changes2_based on steps'!$B224:$U224,'changes2_based on steps'!$B$1:$U$1,T$1)</f>
        <v>0</v>
      </c>
      <c r="U224" s="140">
        <f ca="1">SUMIFS('recurring2_based on steps'!$B224:$AY224,'recurring2_based on steps'!$B$1:$AY$1,U$1)+SUMIFS('changes2_based on steps'!$B224:$U224,'changes2_based on steps'!$B$1:$U$1,U$1)</f>
        <v>0</v>
      </c>
      <c r="V224" s="140">
        <f>SUMIFS('recurring2_based on steps'!$B224:$AY224,'recurring2_based on steps'!$B$1:$AY$1,V$1)+SUMIFS('changes2_based on steps'!$B224:$U224,'changes2_based on steps'!$B$1:$U$1,V$1)</f>
        <v>0</v>
      </c>
      <c r="W224" s="140">
        <f>SUMIFS('recurring2_based on steps'!$B224:$AY224,'recurring2_based on steps'!$B$1:$AY$1,W$1)+SUMIFS('changes2_based on steps'!$B224:$U224,'changes2_based on steps'!$B$1:$U$1,W$1)</f>
        <v>0</v>
      </c>
      <c r="X224" s="140">
        <f ca="1">SUMIFS('recurring2_based on steps'!$B224:$AY224,'recurring2_based on steps'!$B$1:$AY$1,X$1)+SUMIFS('changes2_based on steps'!$B224:$U224,'changes2_based on steps'!$B$1:$U$1,X$1)</f>
        <v>0</v>
      </c>
      <c r="Y224" s="140">
        <f ca="1">SUMIFS('recurring2_based on steps'!$B224:$AY224,'recurring2_based on steps'!$B$1:$AY$1,Y$1)+SUMIFS('changes2_based on steps'!$B224:$U224,'changes2_based on steps'!$B$1:$U$1,Y$1)</f>
        <v>0</v>
      </c>
      <c r="Z224" s="140">
        <f>SUMIFS('recurring2_based on steps'!$B224:$AY224,'recurring2_based on steps'!$B$1:$AY$1,Z$1)+SUMIFS('changes2_based on steps'!$B224:$U224,'changes2_based on steps'!$B$1:$U$1,Z$1)</f>
        <v>0</v>
      </c>
      <c r="AA224" s="140">
        <f ca="1">SUMIFS('recurring2_based on steps'!$B224:$AY224,'recurring2_based on steps'!$B$1:$AY$1,AA$1)+SUMIFS('changes2_based on steps'!$B224:$U224,'changes2_based on steps'!$B$1:$U$1,AA$1)</f>
        <v>50</v>
      </c>
      <c r="AB224" s="140">
        <f ca="1">SUMIFS('recurring2_based on steps'!$B224:$AY224,'recurring2_based on steps'!$B$1:$AY$1,AB$1)+SUMIFS('changes2_based on steps'!$B224:$U224,'changes2_based on steps'!$B$1:$U$1,AB$1)</f>
        <v>0</v>
      </c>
      <c r="AC224" s="140">
        <f ca="1">SUMIFS('recurring2_based on steps'!$B224:$AY224,'recurring2_based on steps'!$B$1:$AY$1,AC$1)+SUMIFS('changes2_based on steps'!$B224:$U224,'changes2_based on steps'!$B$1:$U$1,AC$1)</f>
        <v>0</v>
      </c>
      <c r="AD224" s="140">
        <f ca="1">SUMIFS('recurring2_based on steps'!$B224:$AY224,'recurring2_based on steps'!$B$1:$AY$1,AD$1)+SUMIFS('changes2_based on steps'!$B224:$U224,'changes2_based on steps'!$B$1:$U$1,AD$1)</f>
        <v>0</v>
      </c>
      <c r="AE224" s="140">
        <f>SUMIFS('recurring2_based on steps'!$B224:$AY224,'recurring2_based on steps'!$B$1:$AY$1,AE$1)+SUMIFS('changes2_based on steps'!$B224:$U224,'changes2_based on steps'!$B$1:$U$1,AE$1)</f>
        <v>0</v>
      </c>
      <c r="AF224" s="140"/>
      <c r="AG224" s="140"/>
      <c r="AH224" s="140"/>
      <c r="AI224" s="140"/>
      <c r="AJ224" s="140"/>
      <c r="AK224" s="140"/>
      <c r="AL224" s="140"/>
      <c r="AM224" s="140"/>
    </row>
    <row r="225" spans="1:39" x14ac:dyDescent="0.2">
      <c r="A225" s="29">
        <f t="shared" ca="1" si="3"/>
        <v>45965</v>
      </c>
      <c r="B225" s="140">
        <f ca="1">SUMIFS('recurring2_based on steps'!$B225:$AY225,'recurring2_based on steps'!$B$1:$AY$1,B$1)+SUMIFS('changes2_based on steps'!$B225:$U225,'changes2_based on steps'!$B$1:$U$1,B$1)</f>
        <v>0</v>
      </c>
      <c r="C225" s="140">
        <f>SUMIFS('recurring2_based on steps'!$B225:$AY225,'recurring2_based on steps'!$B$1:$AY$1,C$1)+SUMIFS('changes2_based on steps'!$B225:$U225,'changes2_based on steps'!$B$1:$U$1,C$1)</f>
        <v>0</v>
      </c>
      <c r="D225" s="140">
        <f>SUMIFS('recurring2_based on steps'!$B225:$AY225,'recurring2_based on steps'!$B$1:$AY$1,D$1)+SUMIFS('changes2_based on steps'!$B225:$U225,'changes2_based on steps'!$B$1:$U$1,D$1)</f>
        <v>0</v>
      </c>
      <c r="E225" s="140">
        <f>SUMIFS('recurring2_based on steps'!$B225:$AY225,'recurring2_based on steps'!$B$1:$AY$1,E$1)+SUMIFS('changes2_based on steps'!$B225:$U225,'changes2_based on steps'!$B$1:$U$1,E$1)</f>
        <v>0</v>
      </c>
      <c r="F225" s="140">
        <f>SUMIFS('recurring2_based on steps'!$B225:$AY225,'recurring2_based on steps'!$B$1:$AY$1,F$1)+SUMIFS('changes2_based on steps'!$B225:$U225,'changes2_based on steps'!$B$1:$U$1,F$1)</f>
        <v>0</v>
      </c>
      <c r="G225" s="140">
        <f>SUMIFS('recurring2_based on steps'!$B225:$AY225,'recurring2_based on steps'!$B$1:$AY$1,G$1)+SUMIFS('changes2_based on steps'!$B225:$U225,'changes2_based on steps'!$B$1:$U$1,G$1)</f>
        <v>0</v>
      </c>
      <c r="H225" s="140">
        <f>SUMIFS('recurring2_based on steps'!$B225:$AY225,'recurring2_based on steps'!$B$1:$AY$1,H$1)+SUMIFS('changes2_based on steps'!$B225:$U225,'changes2_based on steps'!$B$1:$U$1,H$1)</f>
        <v>0</v>
      </c>
      <c r="I225" s="140">
        <f>SUMIFS('recurring2_based on steps'!$B225:$AY225,'recurring2_based on steps'!$B$1:$AY$1,I$1)+SUMIFS('changes2_based on steps'!$B225:$U225,'changes2_based on steps'!$B$1:$U$1,I$1)</f>
        <v>0</v>
      </c>
      <c r="J225" s="140">
        <f ca="1">SUMIFS('recurring2_based on steps'!$B225:$AY225,'recurring2_based on steps'!$B$1:$AY$1,J$1)+SUMIFS('changes2_based on steps'!$B225:$U225,'changes2_based on steps'!$B$1:$U$1,J$1)</f>
        <v>0</v>
      </c>
      <c r="K225" s="140">
        <f>SUMIFS('recurring2_based on steps'!$B225:$AY225,'recurring2_based on steps'!$B$1:$AY$1,K$1)+SUMIFS('changes2_based on steps'!$B225:$U225,'changes2_based on steps'!$B$1:$U$1,K$1)</f>
        <v>0</v>
      </c>
      <c r="L225" s="140">
        <f>SUMIFS('recurring2_based on steps'!$B225:$AY225,'recurring2_based on steps'!$B$1:$AY$1,L$1)+SUMIFS('changes2_based on steps'!$B225:$U225,'changes2_based on steps'!$B$1:$U$1,L$1)</f>
        <v>0</v>
      </c>
      <c r="M225" s="140">
        <f>SUMIFS('recurring2_based on steps'!$B225:$AY225,'recurring2_based on steps'!$B$1:$AY$1,M$1)+SUMIFS('changes2_based on steps'!$B225:$U225,'changes2_based on steps'!$B$1:$U$1,M$1)</f>
        <v>0</v>
      </c>
      <c r="N225" s="140">
        <f ca="1">SUMIFS('recurring2_based on steps'!$B225:$AY225,'recurring2_based on steps'!$B$1:$AY$1,N$1)+SUMIFS('changes2_based on steps'!$B225:$U225,'changes2_based on steps'!$B$1:$U$1,N$1)</f>
        <v>0</v>
      </c>
      <c r="O225" s="140">
        <f>SUMIFS('recurring2_based on steps'!$B225:$AY225,'recurring2_based on steps'!$B$1:$AY$1,O$1)+SUMIFS('changes2_based on steps'!$B225:$U225,'changes2_based on steps'!$B$1:$U$1,O$1)</f>
        <v>0</v>
      </c>
      <c r="P225" s="140">
        <f ca="1">SUMIFS('recurring2_based on steps'!$B225:$AY225,'recurring2_based on steps'!$B$1:$AY$1,P$1)+SUMIFS('changes2_based on steps'!$B225:$U225,'changes2_based on steps'!$B$1:$U$1,P$1)</f>
        <v>0</v>
      </c>
      <c r="Q225" s="140">
        <f ca="1">SUMIFS('recurring2_based on steps'!$B225:$AY225,'recurring2_based on steps'!$B$1:$AY$1,Q$1)+SUMIFS('changes2_based on steps'!$B225:$U225,'changes2_based on steps'!$B$1:$U$1,Q$1)</f>
        <v>5.5401662049861494E-2</v>
      </c>
      <c r="R225" s="140">
        <f ca="1">SUMIFS('recurring2_based on steps'!$B225:$AY225,'recurring2_based on steps'!$B$1:$AY$1,R$1)+SUMIFS('changes2_based on steps'!$B225:$U225,'changes2_based on steps'!$B$1:$U$1,R$1)</f>
        <v>15</v>
      </c>
      <c r="S225" s="140">
        <f>SUMIFS('recurring2_based on steps'!$B225:$AY225,'recurring2_based on steps'!$B$1:$AY$1,S$1)+SUMIFS('changes2_based on steps'!$B225:$U225,'changes2_based on steps'!$B$1:$U$1,S$1)</f>
        <v>0</v>
      </c>
      <c r="T225" s="140">
        <f ca="1">SUMIFS('recurring2_based on steps'!$B225:$AY225,'recurring2_based on steps'!$B$1:$AY$1,T$1)+SUMIFS('changes2_based on steps'!$B225:$U225,'changes2_based on steps'!$B$1:$U$1,T$1)</f>
        <v>0</v>
      </c>
      <c r="U225" s="140">
        <f ca="1">SUMIFS('recurring2_based on steps'!$B225:$AY225,'recurring2_based on steps'!$B$1:$AY$1,U$1)+SUMIFS('changes2_based on steps'!$B225:$U225,'changes2_based on steps'!$B$1:$U$1,U$1)</f>
        <v>0</v>
      </c>
      <c r="V225" s="140">
        <f>SUMIFS('recurring2_based on steps'!$B225:$AY225,'recurring2_based on steps'!$B$1:$AY$1,V$1)+SUMIFS('changes2_based on steps'!$B225:$U225,'changes2_based on steps'!$B$1:$U$1,V$1)</f>
        <v>0</v>
      </c>
      <c r="W225" s="140">
        <f>SUMIFS('recurring2_based on steps'!$B225:$AY225,'recurring2_based on steps'!$B$1:$AY$1,W$1)+SUMIFS('changes2_based on steps'!$B225:$U225,'changes2_based on steps'!$B$1:$U$1,W$1)</f>
        <v>0</v>
      </c>
      <c r="X225" s="140">
        <f ca="1">SUMIFS('recurring2_based on steps'!$B225:$AY225,'recurring2_based on steps'!$B$1:$AY$1,X$1)+SUMIFS('changes2_based on steps'!$B225:$U225,'changes2_based on steps'!$B$1:$U$1,X$1)</f>
        <v>0</v>
      </c>
      <c r="Y225" s="140">
        <f ca="1">SUMIFS('recurring2_based on steps'!$B225:$AY225,'recurring2_based on steps'!$B$1:$AY$1,Y$1)+SUMIFS('changes2_based on steps'!$B225:$U225,'changes2_based on steps'!$B$1:$U$1,Y$1)</f>
        <v>0</v>
      </c>
      <c r="Z225" s="140">
        <f>SUMIFS('recurring2_based on steps'!$B225:$AY225,'recurring2_based on steps'!$B$1:$AY$1,Z$1)+SUMIFS('changes2_based on steps'!$B225:$U225,'changes2_based on steps'!$B$1:$U$1,Z$1)</f>
        <v>0</v>
      </c>
      <c r="AA225" s="140">
        <f ca="1">SUMIFS('recurring2_based on steps'!$B225:$AY225,'recurring2_based on steps'!$B$1:$AY$1,AA$1)+SUMIFS('changes2_based on steps'!$B225:$U225,'changes2_based on steps'!$B$1:$U$1,AA$1)</f>
        <v>0</v>
      </c>
      <c r="AB225" s="140">
        <f ca="1">SUMIFS('recurring2_based on steps'!$B225:$AY225,'recurring2_based on steps'!$B$1:$AY$1,AB$1)+SUMIFS('changes2_based on steps'!$B225:$U225,'changes2_based on steps'!$B$1:$U$1,AB$1)</f>
        <v>0</v>
      </c>
      <c r="AC225" s="140">
        <f ca="1">SUMIFS('recurring2_based on steps'!$B225:$AY225,'recurring2_based on steps'!$B$1:$AY$1,AC$1)+SUMIFS('changes2_based on steps'!$B225:$U225,'changes2_based on steps'!$B$1:$U$1,AC$1)</f>
        <v>0</v>
      </c>
      <c r="AD225" s="140">
        <f ca="1">SUMIFS('recurring2_based on steps'!$B225:$AY225,'recurring2_based on steps'!$B$1:$AY$1,AD$1)+SUMIFS('changes2_based on steps'!$B225:$U225,'changes2_based on steps'!$B$1:$U$1,AD$1)</f>
        <v>0</v>
      </c>
      <c r="AE225" s="140">
        <f>SUMIFS('recurring2_based on steps'!$B225:$AY225,'recurring2_based on steps'!$B$1:$AY$1,AE$1)+SUMIFS('changes2_based on steps'!$B225:$U225,'changes2_based on steps'!$B$1:$U$1,AE$1)</f>
        <v>0</v>
      </c>
      <c r="AF225" s="140"/>
      <c r="AG225" s="140"/>
      <c r="AH225" s="140"/>
      <c r="AI225" s="140"/>
      <c r="AJ225" s="140"/>
      <c r="AK225" s="140"/>
      <c r="AL225" s="140"/>
      <c r="AM225" s="140"/>
    </row>
    <row r="226" spans="1:39" x14ac:dyDescent="0.2">
      <c r="A226" s="29">
        <f t="shared" ca="1" si="3"/>
        <v>45966</v>
      </c>
      <c r="B226" s="140">
        <f ca="1">SUMIFS('recurring2_based on steps'!$B226:$AY226,'recurring2_based on steps'!$B$1:$AY$1,B$1)+SUMIFS('changes2_based on steps'!$B226:$U226,'changes2_based on steps'!$B$1:$U$1,B$1)</f>
        <v>0</v>
      </c>
      <c r="C226" s="140">
        <f>SUMIFS('recurring2_based on steps'!$B226:$AY226,'recurring2_based on steps'!$B$1:$AY$1,C$1)+SUMIFS('changes2_based on steps'!$B226:$U226,'changes2_based on steps'!$B$1:$U$1,C$1)</f>
        <v>0</v>
      </c>
      <c r="D226" s="140">
        <f>SUMIFS('recurring2_based on steps'!$B226:$AY226,'recurring2_based on steps'!$B$1:$AY$1,D$1)+SUMIFS('changes2_based on steps'!$B226:$U226,'changes2_based on steps'!$B$1:$U$1,D$1)</f>
        <v>0</v>
      </c>
      <c r="E226" s="140">
        <f>SUMIFS('recurring2_based on steps'!$B226:$AY226,'recurring2_based on steps'!$B$1:$AY$1,E$1)+SUMIFS('changes2_based on steps'!$B226:$U226,'changes2_based on steps'!$B$1:$U$1,E$1)</f>
        <v>0</v>
      </c>
      <c r="F226" s="140">
        <f>SUMIFS('recurring2_based on steps'!$B226:$AY226,'recurring2_based on steps'!$B$1:$AY$1,F$1)+SUMIFS('changes2_based on steps'!$B226:$U226,'changes2_based on steps'!$B$1:$U$1,F$1)</f>
        <v>0</v>
      </c>
      <c r="G226" s="140">
        <f>SUMIFS('recurring2_based on steps'!$B226:$AY226,'recurring2_based on steps'!$B$1:$AY$1,G$1)+SUMIFS('changes2_based on steps'!$B226:$U226,'changes2_based on steps'!$B$1:$U$1,G$1)</f>
        <v>0</v>
      </c>
      <c r="H226" s="140">
        <f>SUMIFS('recurring2_based on steps'!$B226:$AY226,'recurring2_based on steps'!$B$1:$AY$1,H$1)+SUMIFS('changes2_based on steps'!$B226:$U226,'changes2_based on steps'!$B$1:$U$1,H$1)</f>
        <v>0</v>
      </c>
      <c r="I226" s="140">
        <f>SUMIFS('recurring2_based on steps'!$B226:$AY226,'recurring2_based on steps'!$B$1:$AY$1,I$1)+SUMIFS('changes2_based on steps'!$B226:$U226,'changes2_based on steps'!$B$1:$U$1,I$1)</f>
        <v>0</v>
      </c>
      <c r="J226" s="140">
        <f ca="1">SUMIFS('recurring2_based on steps'!$B226:$AY226,'recurring2_based on steps'!$B$1:$AY$1,J$1)+SUMIFS('changes2_based on steps'!$B226:$U226,'changes2_based on steps'!$B$1:$U$1,J$1)</f>
        <v>0</v>
      </c>
      <c r="K226" s="140">
        <f>SUMIFS('recurring2_based on steps'!$B226:$AY226,'recurring2_based on steps'!$B$1:$AY$1,K$1)+SUMIFS('changes2_based on steps'!$B226:$U226,'changes2_based on steps'!$B$1:$U$1,K$1)</f>
        <v>0</v>
      </c>
      <c r="L226" s="140">
        <f>SUMIFS('recurring2_based on steps'!$B226:$AY226,'recurring2_based on steps'!$B$1:$AY$1,L$1)+SUMIFS('changes2_based on steps'!$B226:$U226,'changes2_based on steps'!$B$1:$U$1,L$1)</f>
        <v>0</v>
      </c>
      <c r="M226" s="140">
        <f>SUMIFS('recurring2_based on steps'!$B226:$AY226,'recurring2_based on steps'!$B$1:$AY$1,M$1)+SUMIFS('changes2_based on steps'!$B226:$U226,'changes2_based on steps'!$B$1:$U$1,M$1)</f>
        <v>0</v>
      </c>
      <c r="N226" s="140">
        <f ca="1">SUMIFS('recurring2_based on steps'!$B226:$AY226,'recurring2_based on steps'!$B$1:$AY$1,N$1)+SUMIFS('changes2_based on steps'!$B226:$U226,'changes2_based on steps'!$B$1:$U$1,N$1)</f>
        <v>0</v>
      </c>
      <c r="O226" s="140">
        <f>SUMIFS('recurring2_based on steps'!$B226:$AY226,'recurring2_based on steps'!$B$1:$AY$1,O$1)+SUMIFS('changes2_based on steps'!$B226:$U226,'changes2_based on steps'!$B$1:$U$1,O$1)</f>
        <v>0</v>
      </c>
      <c r="P226" s="140">
        <f ca="1">SUMIFS('recurring2_based on steps'!$B226:$AY226,'recurring2_based on steps'!$B$1:$AY$1,P$1)+SUMIFS('changes2_based on steps'!$B226:$U226,'changes2_based on steps'!$B$1:$U$1,P$1)</f>
        <v>0</v>
      </c>
      <c r="Q226" s="140">
        <f ca="1">SUMIFS('recurring2_based on steps'!$B226:$AY226,'recurring2_based on steps'!$B$1:$AY$1,Q$1)+SUMIFS('changes2_based on steps'!$B226:$U226,'changes2_based on steps'!$B$1:$U$1,Q$1)</f>
        <v>5.5401662049861494E-2</v>
      </c>
      <c r="R226" s="140">
        <f ca="1">SUMIFS('recurring2_based on steps'!$B226:$AY226,'recurring2_based on steps'!$B$1:$AY$1,R$1)+SUMIFS('changes2_based on steps'!$B226:$U226,'changes2_based on steps'!$B$1:$U$1,R$1)</f>
        <v>0</v>
      </c>
      <c r="S226" s="140">
        <f>SUMIFS('recurring2_based on steps'!$B226:$AY226,'recurring2_based on steps'!$B$1:$AY$1,S$1)+SUMIFS('changes2_based on steps'!$B226:$U226,'changes2_based on steps'!$B$1:$U$1,S$1)</f>
        <v>0</v>
      </c>
      <c r="T226" s="140">
        <f ca="1">SUMIFS('recurring2_based on steps'!$B226:$AY226,'recurring2_based on steps'!$B$1:$AY$1,T$1)+SUMIFS('changes2_based on steps'!$B226:$U226,'changes2_based on steps'!$B$1:$U$1,T$1)</f>
        <v>0</v>
      </c>
      <c r="U226" s="140">
        <f ca="1">SUMIFS('recurring2_based on steps'!$B226:$AY226,'recurring2_based on steps'!$B$1:$AY$1,U$1)+SUMIFS('changes2_based on steps'!$B226:$U226,'changes2_based on steps'!$B$1:$U$1,U$1)</f>
        <v>0</v>
      </c>
      <c r="V226" s="140">
        <f>SUMIFS('recurring2_based on steps'!$B226:$AY226,'recurring2_based on steps'!$B$1:$AY$1,V$1)+SUMIFS('changes2_based on steps'!$B226:$U226,'changes2_based on steps'!$B$1:$U$1,V$1)</f>
        <v>0</v>
      </c>
      <c r="W226" s="140">
        <f>SUMIFS('recurring2_based on steps'!$B226:$AY226,'recurring2_based on steps'!$B$1:$AY$1,W$1)+SUMIFS('changes2_based on steps'!$B226:$U226,'changes2_based on steps'!$B$1:$U$1,W$1)</f>
        <v>0</v>
      </c>
      <c r="X226" s="140">
        <f ca="1">SUMIFS('recurring2_based on steps'!$B226:$AY226,'recurring2_based on steps'!$B$1:$AY$1,X$1)+SUMIFS('changes2_based on steps'!$B226:$U226,'changes2_based on steps'!$B$1:$U$1,X$1)</f>
        <v>0</v>
      </c>
      <c r="Y226" s="140">
        <f ca="1">SUMIFS('recurring2_based on steps'!$B226:$AY226,'recurring2_based on steps'!$B$1:$AY$1,Y$1)+SUMIFS('changes2_based on steps'!$B226:$U226,'changes2_based on steps'!$B$1:$U$1,Y$1)</f>
        <v>0</v>
      </c>
      <c r="Z226" s="140">
        <f>SUMIFS('recurring2_based on steps'!$B226:$AY226,'recurring2_based on steps'!$B$1:$AY$1,Z$1)+SUMIFS('changes2_based on steps'!$B226:$U226,'changes2_based on steps'!$B$1:$U$1,Z$1)</f>
        <v>0</v>
      </c>
      <c r="AA226" s="140">
        <f ca="1">SUMIFS('recurring2_based on steps'!$B226:$AY226,'recurring2_based on steps'!$B$1:$AY$1,AA$1)+SUMIFS('changes2_based on steps'!$B226:$U226,'changes2_based on steps'!$B$1:$U$1,AA$1)</f>
        <v>0</v>
      </c>
      <c r="AB226" s="140">
        <f ca="1">SUMIFS('recurring2_based on steps'!$B226:$AY226,'recurring2_based on steps'!$B$1:$AY$1,AB$1)+SUMIFS('changes2_based on steps'!$B226:$U226,'changes2_based on steps'!$B$1:$U$1,AB$1)</f>
        <v>0</v>
      </c>
      <c r="AC226" s="140">
        <f ca="1">SUMIFS('recurring2_based on steps'!$B226:$AY226,'recurring2_based on steps'!$B$1:$AY$1,AC$1)+SUMIFS('changes2_based on steps'!$B226:$U226,'changes2_based on steps'!$B$1:$U$1,AC$1)</f>
        <v>0</v>
      </c>
      <c r="AD226" s="140">
        <f ca="1">SUMIFS('recurring2_based on steps'!$B226:$AY226,'recurring2_based on steps'!$B$1:$AY$1,AD$1)+SUMIFS('changes2_based on steps'!$B226:$U226,'changes2_based on steps'!$B$1:$U$1,AD$1)</f>
        <v>0</v>
      </c>
      <c r="AE226" s="140">
        <f>SUMIFS('recurring2_based on steps'!$B226:$AY226,'recurring2_based on steps'!$B$1:$AY$1,AE$1)+SUMIFS('changes2_based on steps'!$B226:$U226,'changes2_based on steps'!$B$1:$U$1,AE$1)</f>
        <v>0</v>
      </c>
      <c r="AF226" s="140"/>
      <c r="AG226" s="140"/>
      <c r="AH226" s="140"/>
      <c r="AI226" s="140"/>
      <c r="AJ226" s="140"/>
      <c r="AK226" s="140"/>
      <c r="AL226" s="140"/>
      <c r="AM226" s="140"/>
    </row>
    <row r="227" spans="1:39" x14ac:dyDescent="0.2">
      <c r="A227" s="29">
        <f t="shared" ca="1" si="3"/>
        <v>45967</v>
      </c>
      <c r="B227" s="140">
        <f ca="1">SUMIFS('recurring2_based on steps'!$B227:$AY227,'recurring2_based on steps'!$B$1:$AY$1,B$1)+SUMIFS('changes2_based on steps'!$B227:$U227,'changes2_based on steps'!$B$1:$U$1,B$1)</f>
        <v>0</v>
      </c>
      <c r="C227" s="140">
        <f>SUMIFS('recurring2_based on steps'!$B227:$AY227,'recurring2_based on steps'!$B$1:$AY$1,C$1)+SUMIFS('changes2_based on steps'!$B227:$U227,'changes2_based on steps'!$B$1:$U$1,C$1)</f>
        <v>0</v>
      </c>
      <c r="D227" s="140">
        <f>SUMIFS('recurring2_based on steps'!$B227:$AY227,'recurring2_based on steps'!$B$1:$AY$1,D$1)+SUMIFS('changes2_based on steps'!$B227:$U227,'changes2_based on steps'!$B$1:$U$1,D$1)</f>
        <v>0</v>
      </c>
      <c r="E227" s="140">
        <f>SUMIFS('recurring2_based on steps'!$B227:$AY227,'recurring2_based on steps'!$B$1:$AY$1,E$1)+SUMIFS('changes2_based on steps'!$B227:$U227,'changes2_based on steps'!$B$1:$U$1,E$1)</f>
        <v>0</v>
      </c>
      <c r="F227" s="140">
        <f>SUMIFS('recurring2_based on steps'!$B227:$AY227,'recurring2_based on steps'!$B$1:$AY$1,F$1)+SUMIFS('changes2_based on steps'!$B227:$U227,'changes2_based on steps'!$B$1:$U$1,F$1)</f>
        <v>0</v>
      </c>
      <c r="G227" s="140">
        <f>SUMIFS('recurring2_based on steps'!$B227:$AY227,'recurring2_based on steps'!$B$1:$AY$1,G$1)+SUMIFS('changes2_based on steps'!$B227:$U227,'changes2_based on steps'!$B$1:$U$1,G$1)</f>
        <v>0</v>
      </c>
      <c r="H227" s="140">
        <f>SUMIFS('recurring2_based on steps'!$B227:$AY227,'recurring2_based on steps'!$B$1:$AY$1,H$1)+SUMIFS('changes2_based on steps'!$B227:$U227,'changes2_based on steps'!$B$1:$U$1,H$1)</f>
        <v>0</v>
      </c>
      <c r="I227" s="140">
        <f>SUMIFS('recurring2_based on steps'!$B227:$AY227,'recurring2_based on steps'!$B$1:$AY$1,I$1)+SUMIFS('changes2_based on steps'!$B227:$U227,'changes2_based on steps'!$B$1:$U$1,I$1)</f>
        <v>0</v>
      </c>
      <c r="J227" s="140">
        <f ca="1">SUMIFS('recurring2_based on steps'!$B227:$AY227,'recurring2_based on steps'!$B$1:$AY$1,J$1)+SUMIFS('changes2_based on steps'!$B227:$U227,'changes2_based on steps'!$B$1:$U$1,J$1)</f>
        <v>0</v>
      </c>
      <c r="K227" s="140">
        <f>SUMIFS('recurring2_based on steps'!$B227:$AY227,'recurring2_based on steps'!$B$1:$AY$1,K$1)+SUMIFS('changes2_based on steps'!$B227:$U227,'changes2_based on steps'!$B$1:$U$1,K$1)</f>
        <v>0</v>
      </c>
      <c r="L227" s="140">
        <f>SUMIFS('recurring2_based on steps'!$B227:$AY227,'recurring2_based on steps'!$B$1:$AY$1,L$1)+SUMIFS('changes2_based on steps'!$B227:$U227,'changes2_based on steps'!$B$1:$U$1,L$1)</f>
        <v>0</v>
      </c>
      <c r="M227" s="140">
        <f>SUMIFS('recurring2_based on steps'!$B227:$AY227,'recurring2_based on steps'!$B$1:$AY$1,M$1)+SUMIFS('changes2_based on steps'!$B227:$U227,'changes2_based on steps'!$B$1:$U$1,M$1)</f>
        <v>0</v>
      </c>
      <c r="N227" s="140">
        <f ca="1">SUMIFS('recurring2_based on steps'!$B227:$AY227,'recurring2_based on steps'!$B$1:$AY$1,N$1)+SUMIFS('changes2_based on steps'!$B227:$U227,'changes2_based on steps'!$B$1:$U$1,N$1)</f>
        <v>0</v>
      </c>
      <c r="O227" s="140">
        <f>SUMIFS('recurring2_based on steps'!$B227:$AY227,'recurring2_based on steps'!$B$1:$AY$1,O$1)+SUMIFS('changes2_based on steps'!$B227:$U227,'changes2_based on steps'!$B$1:$U$1,O$1)</f>
        <v>0</v>
      </c>
      <c r="P227" s="140">
        <f ca="1">SUMIFS('recurring2_based on steps'!$B227:$AY227,'recurring2_based on steps'!$B$1:$AY$1,P$1)+SUMIFS('changes2_based on steps'!$B227:$U227,'changes2_based on steps'!$B$1:$U$1,P$1)</f>
        <v>0</v>
      </c>
      <c r="Q227" s="140">
        <f ca="1">SUMIFS('recurring2_based on steps'!$B227:$AY227,'recurring2_based on steps'!$B$1:$AY$1,Q$1)+SUMIFS('changes2_based on steps'!$B227:$U227,'changes2_based on steps'!$B$1:$U$1,Q$1)</f>
        <v>5.5401662049861494E-2</v>
      </c>
      <c r="R227" s="140">
        <f ca="1">SUMIFS('recurring2_based on steps'!$B227:$AY227,'recurring2_based on steps'!$B$1:$AY$1,R$1)+SUMIFS('changes2_based on steps'!$B227:$U227,'changes2_based on steps'!$B$1:$U$1,R$1)</f>
        <v>0</v>
      </c>
      <c r="S227" s="140">
        <f>SUMIFS('recurring2_based on steps'!$B227:$AY227,'recurring2_based on steps'!$B$1:$AY$1,S$1)+SUMIFS('changes2_based on steps'!$B227:$U227,'changes2_based on steps'!$B$1:$U$1,S$1)</f>
        <v>0</v>
      </c>
      <c r="T227" s="140">
        <f ca="1">SUMIFS('recurring2_based on steps'!$B227:$AY227,'recurring2_based on steps'!$B$1:$AY$1,T$1)+SUMIFS('changes2_based on steps'!$B227:$U227,'changes2_based on steps'!$B$1:$U$1,T$1)</f>
        <v>0</v>
      </c>
      <c r="U227" s="140">
        <f ca="1">SUMIFS('recurring2_based on steps'!$B227:$AY227,'recurring2_based on steps'!$B$1:$AY$1,U$1)+SUMIFS('changes2_based on steps'!$B227:$U227,'changes2_based on steps'!$B$1:$U$1,U$1)</f>
        <v>0</v>
      </c>
      <c r="V227" s="140">
        <f>SUMIFS('recurring2_based on steps'!$B227:$AY227,'recurring2_based on steps'!$B$1:$AY$1,V$1)+SUMIFS('changes2_based on steps'!$B227:$U227,'changes2_based on steps'!$B$1:$U$1,V$1)</f>
        <v>0</v>
      </c>
      <c r="W227" s="140">
        <f>SUMIFS('recurring2_based on steps'!$B227:$AY227,'recurring2_based on steps'!$B$1:$AY$1,W$1)+SUMIFS('changes2_based on steps'!$B227:$U227,'changes2_based on steps'!$B$1:$U$1,W$1)</f>
        <v>0</v>
      </c>
      <c r="X227" s="140">
        <f ca="1">SUMIFS('recurring2_based on steps'!$B227:$AY227,'recurring2_based on steps'!$B$1:$AY$1,X$1)+SUMIFS('changes2_based on steps'!$B227:$U227,'changes2_based on steps'!$B$1:$U$1,X$1)</f>
        <v>0</v>
      </c>
      <c r="Y227" s="140">
        <f ca="1">SUMIFS('recurring2_based on steps'!$B227:$AY227,'recurring2_based on steps'!$B$1:$AY$1,Y$1)+SUMIFS('changes2_based on steps'!$B227:$U227,'changes2_based on steps'!$B$1:$U$1,Y$1)</f>
        <v>0</v>
      </c>
      <c r="Z227" s="140">
        <f>SUMIFS('recurring2_based on steps'!$B227:$AY227,'recurring2_based on steps'!$B$1:$AY$1,Z$1)+SUMIFS('changes2_based on steps'!$B227:$U227,'changes2_based on steps'!$B$1:$U$1,Z$1)</f>
        <v>0</v>
      </c>
      <c r="AA227" s="140">
        <f ca="1">SUMIFS('recurring2_based on steps'!$B227:$AY227,'recurring2_based on steps'!$B$1:$AY$1,AA$1)+SUMIFS('changes2_based on steps'!$B227:$U227,'changes2_based on steps'!$B$1:$U$1,AA$1)</f>
        <v>0</v>
      </c>
      <c r="AB227" s="140">
        <f ca="1">SUMIFS('recurring2_based on steps'!$B227:$AY227,'recurring2_based on steps'!$B$1:$AY$1,AB$1)+SUMIFS('changes2_based on steps'!$B227:$U227,'changes2_based on steps'!$B$1:$U$1,AB$1)</f>
        <v>0</v>
      </c>
      <c r="AC227" s="140">
        <f ca="1">SUMIFS('recurring2_based on steps'!$B227:$AY227,'recurring2_based on steps'!$B$1:$AY$1,AC$1)+SUMIFS('changes2_based on steps'!$B227:$U227,'changes2_based on steps'!$B$1:$U$1,AC$1)</f>
        <v>0</v>
      </c>
      <c r="AD227" s="140">
        <f ca="1">SUMIFS('recurring2_based on steps'!$B227:$AY227,'recurring2_based on steps'!$B$1:$AY$1,AD$1)+SUMIFS('changes2_based on steps'!$B227:$U227,'changes2_based on steps'!$B$1:$U$1,AD$1)</f>
        <v>0</v>
      </c>
      <c r="AE227" s="140">
        <f>SUMIFS('recurring2_based on steps'!$B227:$AY227,'recurring2_based on steps'!$B$1:$AY$1,AE$1)+SUMIFS('changes2_based on steps'!$B227:$U227,'changes2_based on steps'!$B$1:$U$1,AE$1)</f>
        <v>0</v>
      </c>
      <c r="AF227" s="140"/>
      <c r="AG227" s="140"/>
      <c r="AH227" s="140"/>
      <c r="AI227" s="140"/>
      <c r="AJ227" s="140"/>
      <c r="AK227" s="140"/>
      <c r="AL227" s="140"/>
      <c r="AM227" s="140"/>
    </row>
    <row r="228" spans="1:39" x14ac:dyDescent="0.2">
      <c r="A228" s="29">
        <f t="shared" ca="1" si="3"/>
        <v>45968</v>
      </c>
      <c r="B228" s="140">
        <f ca="1">SUMIFS('recurring2_based on steps'!$B228:$AY228,'recurring2_based on steps'!$B$1:$AY$1,B$1)+SUMIFS('changes2_based on steps'!$B228:$U228,'changes2_based on steps'!$B$1:$U$1,B$1)</f>
        <v>0</v>
      </c>
      <c r="C228" s="140">
        <f>SUMIFS('recurring2_based on steps'!$B228:$AY228,'recurring2_based on steps'!$B$1:$AY$1,C$1)+SUMIFS('changes2_based on steps'!$B228:$U228,'changes2_based on steps'!$B$1:$U$1,C$1)</f>
        <v>0</v>
      </c>
      <c r="D228" s="140">
        <f>SUMIFS('recurring2_based on steps'!$B228:$AY228,'recurring2_based on steps'!$B$1:$AY$1,D$1)+SUMIFS('changes2_based on steps'!$B228:$U228,'changes2_based on steps'!$B$1:$U$1,D$1)</f>
        <v>0</v>
      </c>
      <c r="E228" s="140">
        <f>SUMIFS('recurring2_based on steps'!$B228:$AY228,'recurring2_based on steps'!$B$1:$AY$1,E$1)+SUMIFS('changes2_based on steps'!$B228:$U228,'changes2_based on steps'!$B$1:$U$1,E$1)</f>
        <v>0</v>
      </c>
      <c r="F228" s="140">
        <f>SUMIFS('recurring2_based on steps'!$B228:$AY228,'recurring2_based on steps'!$B$1:$AY$1,F$1)+SUMIFS('changes2_based on steps'!$B228:$U228,'changes2_based on steps'!$B$1:$U$1,F$1)</f>
        <v>0</v>
      </c>
      <c r="G228" s="140">
        <f>SUMIFS('recurring2_based on steps'!$B228:$AY228,'recurring2_based on steps'!$B$1:$AY$1,G$1)+SUMIFS('changes2_based on steps'!$B228:$U228,'changes2_based on steps'!$B$1:$U$1,G$1)</f>
        <v>0</v>
      </c>
      <c r="H228" s="140">
        <f>SUMIFS('recurring2_based on steps'!$B228:$AY228,'recurring2_based on steps'!$B$1:$AY$1,H$1)+SUMIFS('changes2_based on steps'!$B228:$U228,'changes2_based on steps'!$B$1:$U$1,H$1)</f>
        <v>0</v>
      </c>
      <c r="I228" s="140">
        <f>SUMIFS('recurring2_based on steps'!$B228:$AY228,'recurring2_based on steps'!$B$1:$AY$1,I$1)+SUMIFS('changes2_based on steps'!$B228:$U228,'changes2_based on steps'!$B$1:$U$1,I$1)</f>
        <v>0</v>
      </c>
      <c r="J228" s="140">
        <f ca="1">SUMIFS('recurring2_based on steps'!$B228:$AY228,'recurring2_based on steps'!$B$1:$AY$1,J$1)+SUMIFS('changes2_based on steps'!$B228:$U228,'changes2_based on steps'!$B$1:$U$1,J$1)</f>
        <v>0</v>
      </c>
      <c r="K228" s="140">
        <f>SUMIFS('recurring2_based on steps'!$B228:$AY228,'recurring2_based on steps'!$B$1:$AY$1,K$1)+SUMIFS('changes2_based on steps'!$B228:$U228,'changes2_based on steps'!$B$1:$U$1,K$1)</f>
        <v>0</v>
      </c>
      <c r="L228" s="140">
        <f>SUMIFS('recurring2_based on steps'!$B228:$AY228,'recurring2_based on steps'!$B$1:$AY$1,L$1)+SUMIFS('changes2_based on steps'!$B228:$U228,'changes2_based on steps'!$B$1:$U$1,L$1)</f>
        <v>0</v>
      </c>
      <c r="M228" s="140">
        <f>SUMIFS('recurring2_based on steps'!$B228:$AY228,'recurring2_based on steps'!$B$1:$AY$1,M$1)+SUMIFS('changes2_based on steps'!$B228:$U228,'changes2_based on steps'!$B$1:$U$1,M$1)</f>
        <v>0</v>
      </c>
      <c r="N228" s="140">
        <f ca="1">SUMIFS('recurring2_based on steps'!$B228:$AY228,'recurring2_based on steps'!$B$1:$AY$1,N$1)+SUMIFS('changes2_based on steps'!$B228:$U228,'changes2_based on steps'!$B$1:$U$1,N$1)</f>
        <v>0</v>
      </c>
      <c r="O228" s="140">
        <f>SUMIFS('recurring2_based on steps'!$B228:$AY228,'recurring2_based on steps'!$B$1:$AY$1,O$1)+SUMIFS('changes2_based on steps'!$B228:$U228,'changes2_based on steps'!$B$1:$U$1,O$1)</f>
        <v>0</v>
      </c>
      <c r="P228" s="140">
        <f ca="1">SUMIFS('recurring2_based on steps'!$B228:$AY228,'recurring2_based on steps'!$B$1:$AY$1,P$1)+SUMIFS('changes2_based on steps'!$B228:$U228,'changes2_based on steps'!$B$1:$U$1,P$1)</f>
        <v>0</v>
      </c>
      <c r="Q228" s="140">
        <f ca="1">SUMIFS('recurring2_based on steps'!$B228:$AY228,'recurring2_based on steps'!$B$1:$AY$1,Q$1)+SUMIFS('changes2_based on steps'!$B228:$U228,'changes2_based on steps'!$B$1:$U$1,Q$1)</f>
        <v>5.5401662049861494E-2</v>
      </c>
      <c r="R228" s="140">
        <f ca="1">SUMIFS('recurring2_based on steps'!$B228:$AY228,'recurring2_based on steps'!$B$1:$AY$1,R$1)+SUMIFS('changes2_based on steps'!$B228:$U228,'changes2_based on steps'!$B$1:$U$1,R$1)</f>
        <v>0</v>
      </c>
      <c r="S228" s="140">
        <f>SUMIFS('recurring2_based on steps'!$B228:$AY228,'recurring2_based on steps'!$B$1:$AY$1,S$1)+SUMIFS('changes2_based on steps'!$B228:$U228,'changes2_based on steps'!$B$1:$U$1,S$1)</f>
        <v>0</v>
      </c>
      <c r="T228" s="140">
        <f ca="1">SUMIFS('recurring2_based on steps'!$B228:$AY228,'recurring2_based on steps'!$B$1:$AY$1,T$1)+SUMIFS('changes2_based on steps'!$B228:$U228,'changes2_based on steps'!$B$1:$U$1,T$1)</f>
        <v>0</v>
      </c>
      <c r="U228" s="140">
        <f ca="1">SUMIFS('recurring2_based on steps'!$B228:$AY228,'recurring2_based on steps'!$B$1:$AY$1,U$1)+SUMIFS('changes2_based on steps'!$B228:$U228,'changes2_based on steps'!$B$1:$U$1,U$1)</f>
        <v>0</v>
      </c>
      <c r="V228" s="140">
        <f>SUMIFS('recurring2_based on steps'!$B228:$AY228,'recurring2_based on steps'!$B$1:$AY$1,V$1)+SUMIFS('changes2_based on steps'!$B228:$U228,'changes2_based on steps'!$B$1:$U$1,V$1)</f>
        <v>0</v>
      </c>
      <c r="W228" s="140">
        <f>SUMIFS('recurring2_based on steps'!$B228:$AY228,'recurring2_based on steps'!$B$1:$AY$1,W$1)+SUMIFS('changes2_based on steps'!$B228:$U228,'changes2_based on steps'!$B$1:$U$1,W$1)</f>
        <v>0</v>
      </c>
      <c r="X228" s="140">
        <f ca="1">SUMIFS('recurring2_based on steps'!$B228:$AY228,'recurring2_based on steps'!$B$1:$AY$1,X$1)+SUMIFS('changes2_based on steps'!$B228:$U228,'changes2_based on steps'!$B$1:$U$1,X$1)</f>
        <v>0</v>
      </c>
      <c r="Y228" s="140">
        <f ca="1">SUMIFS('recurring2_based on steps'!$B228:$AY228,'recurring2_based on steps'!$B$1:$AY$1,Y$1)+SUMIFS('changes2_based on steps'!$B228:$U228,'changes2_based on steps'!$B$1:$U$1,Y$1)</f>
        <v>0</v>
      </c>
      <c r="Z228" s="140">
        <f>SUMIFS('recurring2_based on steps'!$B228:$AY228,'recurring2_based on steps'!$B$1:$AY$1,Z$1)+SUMIFS('changes2_based on steps'!$B228:$U228,'changes2_based on steps'!$B$1:$U$1,Z$1)</f>
        <v>0</v>
      </c>
      <c r="AA228" s="140">
        <f ca="1">SUMIFS('recurring2_based on steps'!$B228:$AY228,'recurring2_based on steps'!$B$1:$AY$1,AA$1)+SUMIFS('changes2_based on steps'!$B228:$U228,'changes2_based on steps'!$B$1:$U$1,AA$1)</f>
        <v>0</v>
      </c>
      <c r="AB228" s="140">
        <f ca="1">SUMIFS('recurring2_based on steps'!$B228:$AY228,'recurring2_based on steps'!$B$1:$AY$1,AB$1)+SUMIFS('changes2_based on steps'!$B228:$U228,'changes2_based on steps'!$B$1:$U$1,AB$1)</f>
        <v>0</v>
      </c>
      <c r="AC228" s="140">
        <f ca="1">SUMIFS('recurring2_based on steps'!$B228:$AY228,'recurring2_based on steps'!$B$1:$AY$1,AC$1)+SUMIFS('changes2_based on steps'!$B228:$U228,'changes2_based on steps'!$B$1:$U$1,AC$1)</f>
        <v>0</v>
      </c>
      <c r="AD228" s="140">
        <f ca="1">SUMIFS('recurring2_based on steps'!$B228:$AY228,'recurring2_based on steps'!$B$1:$AY$1,AD$1)+SUMIFS('changes2_based on steps'!$B228:$U228,'changes2_based on steps'!$B$1:$U$1,AD$1)</f>
        <v>0</v>
      </c>
      <c r="AE228" s="140">
        <f>SUMIFS('recurring2_based on steps'!$B228:$AY228,'recurring2_based on steps'!$B$1:$AY$1,AE$1)+SUMIFS('changes2_based on steps'!$B228:$U228,'changes2_based on steps'!$B$1:$U$1,AE$1)</f>
        <v>0</v>
      </c>
      <c r="AF228" s="140"/>
      <c r="AG228" s="140"/>
      <c r="AH228" s="140"/>
      <c r="AI228" s="140"/>
      <c r="AJ228" s="140"/>
      <c r="AK228" s="140"/>
      <c r="AL228" s="140"/>
      <c r="AM228" s="140"/>
    </row>
    <row r="229" spans="1:39" x14ac:dyDescent="0.2">
      <c r="A229" s="29">
        <f t="shared" ca="1" si="3"/>
        <v>45969</v>
      </c>
      <c r="B229" s="140">
        <f ca="1">SUMIFS('recurring2_based on steps'!$B229:$AY229,'recurring2_based on steps'!$B$1:$AY$1,B$1)+SUMIFS('changes2_based on steps'!$B229:$U229,'changes2_based on steps'!$B$1:$U$1,B$1)</f>
        <v>0</v>
      </c>
      <c r="C229" s="140">
        <f>SUMIFS('recurring2_based on steps'!$B229:$AY229,'recurring2_based on steps'!$B$1:$AY$1,C$1)+SUMIFS('changes2_based on steps'!$B229:$U229,'changes2_based on steps'!$B$1:$U$1,C$1)</f>
        <v>0</v>
      </c>
      <c r="D229" s="140">
        <f>SUMIFS('recurring2_based on steps'!$B229:$AY229,'recurring2_based on steps'!$B$1:$AY$1,D$1)+SUMIFS('changes2_based on steps'!$B229:$U229,'changes2_based on steps'!$B$1:$U$1,D$1)</f>
        <v>0</v>
      </c>
      <c r="E229" s="140">
        <f>SUMIFS('recurring2_based on steps'!$B229:$AY229,'recurring2_based on steps'!$B$1:$AY$1,E$1)+SUMIFS('changes2_based on steps'!$B229:$U229,'changes2_based on steps'!$B$1:$U$1,E$1)</f>
        <v>0</v>
      </c>
      <c r="F229" s="140">
        <f>SUMIFS('recurring2_based on steps'!$B229:$AY229,'recurring2_based on steps'!$B$1:$AY$1,F$1)+SUMIFS('changes2_based on steps'!$B229:$U229,'changes2_based on steps'!$B$1:$U$1,F$1)</f>
        <v>0</v>
      </c>
      <c r="G229" s="140">
        <f>SUMIFS('recurring2_based on steps'!$B229:$AY229,'recurring2_based on steps'!$B$1:$AY$1,G$1)+SUMIFS('changes2_based on steps'!$B229:$U229,'changes2_based on steps'!$B$1:$U$1,G$1)</f>
        <v>0</v>
      </c>
      <c r="H229" s="140">
        <f>SUMIFS('recurring2_based on steps'!$B229:$AY229,'recurring2_based on steps'!$B$1:$AY$1,H$1)+SUMIFS('changes2_based on steps'!$B229:$U229,'changes2_based on steps'!$B$1:$U$1,H$1)</f>
        <v>0</v>
      </c>
      <c r="I229" s="140">
        <f>SUMIFS('recurring2_based on steps'!$B229:$AY229,'recurring2_based on steps'!$B$1:$AY$1,I$1)+SUMIFS('changes2_based on steps'!$B229:$U229,'changes2_based on steps'!$B$1:$U$1,I$1)</f>
        <v>0</v>
      </c>
      <c r="J229" s="140">
        <f ca="1">SUMIFS('recurring2_based on steps'!$B229:$AY229,'recurring2_based on steps'!$B$1:$AY$1,J$1)+SUMIFS('changes2_based on steps'!$B229:$U229,'changes2_based on steps'!$B$1:$U$1,J$1)</f>
        <v>0</v>
      </c>
      <c r="K229" s="140">
        <f>SUMIFS('recurring2_based on steps'!$B229:$AY229,'recurring2_based on steps'!$B$1:$AY$1,K$1)+SUMIFS('changes2_based on steps'!$B229:$U229,'changes2_based on steps'!$B$1:$U$1,K$1)</f>
        <v>0</v>
      </c>
      <c r="L229" s="140">
        <f>SUMIFS('recurring2_based on steps'!$B229:$AY229,'recurring2_based on steps'!$B$1:$AY$1,L$1)+SUMIFS('changes2_based on steps'!$B229:$U229,'changes2_based on steps'!$B$1:$U$1,L$1)</f>
        <v>0</v>
      </c>
      <c r="M229" s="140">
        <f>SUMIFS('recurring2_based on steps'!$B229:$AY229,'recurring2_based on steps'!$B$1:$AY$1,M$1)+SUMIFS('changes2_based on steps'!$B229:$U229,'changes2_based on steps'!$B$1:$U$1,M$1)</f>
        <v>0</v>
      </c>
      <c r="N229" s="140">
        <f ca="1">SUMIFS('recurring2_based on steps'!$B229:$AY229,'recurring2_based on steps'!$B$1:$AY$1,N$1)+SUMIFS('changes2_based on steps'!$B229:$U229,'changes2_based on steps'!$B$1:$U$1,N$1)</f>
        <v>0</v>
      </c>
      <c r="O229" s="140">
        <f>SUMIFS('recurring2_based on steps'!$B229:$AY229,'recurring2_based on steps'!$B$1:$AY$1,O$1)+SUMIFS('changes2_based on steps'!$B229:$U229,'changes2_based on steps'!$B$1:$U$1,O$1)</f>
        <v>0</v>
      </c>
      <c r="P229" s="140">
        <f ca="1">SUMIFS('recurring2_based on steps'!$B229:$AY229,'recurring2_based on steps'!$B$1:$AY$1,P$1)+SUMIFS('changes2_based on steps'!$B229:$U229,'changes2_based on steps'!$B$1:$U$1,P$1)</f>
        <v>0</v>
      </c>
      <c r="Q229" s="140">
        <f ca="1">SUMIFS('recurring2_based on steps'!$B229:$AY229,'recurring2_based on steps'!$B$1:$AY$1,Q$1)+SUMIFS('changes2_based on steps'!$B229:$U229,'changes2_based on steps'!$B$1:$U$1,Q$1)</f>
        <v>100.05540166204986</v>
      </c>
      <c r="R229" s="140">
        <f ca="1">SUMIFS('recurring2_based on steps'!$B229:$AY229,'recurring2_based on steps'!$B$1:$AY$1,R$1)+SUMIFS('changes2_based on steps'!$B229:$U229,'changes2_based on steps'!$B$1:$U$1,R$1)</f>
        <v>0</v>
      </c>
      <c r="S229" s="140">
        <f>SUMIFS('recurring2_based on steps'!$B229:$AY229,'recurring2_based on steps'!$B$1:$AY$1,S$1)+SUMIFS('changes2_based on steps'!$B229:$U229,'changes2_based on steps'!$B$1:$U$1,S$1)</f>
        <v>0</v>
      </c>
      <c r="T229" s="140">
        <f ca="1">SUMIFS('recurring2_based on steps'!$B229:$AY229,'recurring2_based on steps'!$B$1:$AY$1,T$1)+SUMIFS('changes2_based on steps'!$B229:$U229,'changes2_based on steps'!$B$1:$U$1,T$1)</f>
        <v>0</v>
      </c>
      <c r="U229" s="140">
        <f ca="1">SUMIFS('recurring2_based on steps'!$B229:$AY229,'recurring2_based on steps'!$B$1:$AY$1,U$1)+SUMIFS('changes2_based on steps'!$B229:$U229,'changes2_based on steps'!$B$1:$U$1,U$1)</f>
        <v>0</v>
      </c>
      <c r="V229" s="140">
        <f>SUMIFS('recurring2_based on steps'!$B229:$AY229,'recurring2_based on steps'!$B$1:$AY$1,V$1)+SUMIFS('changes2_based on steps'!$B229:$U229,'changes2_based on steps'!$B$1:$U$1,V$1)</f>
        <v>0</v>
      </c>
      <c r="W229" s="140">
        <f>SUMIFS('recurring2_based on steps'!$B229:$AY229,'recurring2_based on steps'!$B$1:$AY$1,W$1)+SUMIFS('changes2_based on steps'!$B229:$U229,'changes2_based on steps'!$B$1:$U$1,W$1)</f>
        <v>0</v>
      </c>
      <c r="X229" s="140">
        <f ca="1">SUMIFS('recurring2_based on steps'!$B229:$AY229,'recurring2_based on steps'!$B$1:$AY$1,X$1)+SUMIFS('changes2_based on steps'!$B229:$U229,'changes2_based on steps'!$B$1:$U$1,X$1)</f>
        <v>0</v>
      </c>
      <c r="Y229" s="140">
        <f ca="1">SUMIFS('recurring2_based on steps'!$B229:$AY229,'recurring2_based on steps'!$B$1:$AY$1,Y$1)+SUMIFS('changes2_based on steps'!$B229:$U229,'changes2_based on steps'!$B$1:$U$1,Y$1)</f>
        <v>0</v>
      </c>
      <c r="Z229" s="140">
        <f>SUMIFS('recurring2_based on steps'!$B229:$AY229,'recurring2_based on steps'!$B$1:$AY$1,Z$1)+SUMIFS('changes2_based on steps'!$B229:$U229,'changes2_based on steps'!$B$1:$U$1,Z$1)</f>
        <v>0</v>
      </c>
      <c r="AA229" s="140">
        <f ca="1">SUMIFS('recurring2_based on steps'!$B229:$AY229,'recurring2_based on steps'!$B$1:$AY$1,AA$1)+SUMIFS('changes2_based on steps'!$B229:$U229,'changes2_based on steps'!$B$1:$U$1,AA$1)</f>
        <v>0</v>
      </c>
      <c r="AB229" s="140">
        <f ca="1">SUMIFS('recurring2_based on steps'!$B229:$AY229,'recurring2_based on steps'!$B$1:$AY$1,AB$1)+SUMIFS('changes2_based on steps'!$B229:$U229,'changes2_based on steps'!$B$1:$U$1,AB$1)</f>
        <v>100</v>
      </c>
      <c r="AC229" s="140">
        <f ca="1">SUMIFS('recurring2_based on steps'!$B229:$AY229,'recurring2_based on steps'!$B$1:$AY$1,AC$1)+SUMIFS('changes2_based on steps'!$B229:$U229,'changes2_based on steps'!$B$1:$U$1,AC$1)</f>
        <v>0</v>
      </c>
      <c r="AD229" s="140">
        <f ca="1">SUMIFS('recurring2_based on steps'!$B229:$AY229,'recurring2_based on steps'!$B$1:$AY$1,AD$1)+SUMIFS('changes2_based on steps'!$B229:$U229,'changes2_based on steps'!$B$1:$U$1,AD$1)</f>
        <v>0</v>
      </c>
      <c r="AE229" s="140">
        <f>SUMIFS('recurring2_based on steps'!$B229:$AY229,'recurring2_based on steps'!$B$1:$AY$1,AE$1)+SUMIFS('changes2_based on steps'!$B229:$U229,'changes2_based on steps'!$B$1:$U$1,AE$1)</f>
        <v>0</v>
      </c>
      <c r="AF229" s="140"/>
      <c r="AG229" s="140"/>
      <c r="AH229" s="140"/>
      <c r="AI229" s="140"/>
      <c r="AJ229" s="140"/>
      <c r="AK229" s="140"/>
      <c r="AL229" s="140"/>
      <c r="AM229" s="140"/>
    </row>
    <row r="230" spans="1:39" x14ac:dyDescent="0.2">
      <c r="A230" s="29">
        <f t="shared" ca="1" si="3"/>
        <v>45970</v>
      </c>
      <c r="B230" s="140">
        <f ca="1">SUMIFS('recurring2_based on steps'!$B230:$AY230,'recurring2_based on steps'!$B$1:$AY$1,B$1)+SUMIFS('changes2_based on steps'!$B230:$U230,'changes2_based on steps'!$B$1:$U$1,B$1)</f>
        <v>0</v>
      </c>
      <c r="C230" s="140">
        <f>SUMIFS('recurring2_based on steps'!$B230:$AY230,'recurring2_based on steps'!$B$1:$AY$1,C$1)+SUMIFS('changes2_based on steps'!$B230:$U230,'changes2_based on steps'!$B$1:$U$1,C$1)</f>
        <v>0</v>
      </c>
      <c r="D230" s="140">
        <f>SUMIFS('recurring2_based on steps'!$B230:$AY230,'recurring2_based on steps'!$B$1:$AY$1,D$1)+SUMIFS('changes2_based on steps'!$B230:$U230,'changes2_based on steps'!$B$1:$U$1,D$1)</f>
        <v>0</v>
      </c>
      <c r="E230" s="140">
        <f>SUMIFS('recurring2_based on steps'!$B230:$AY230,'recurring2_based on steps'!$B$1:$AY$1,E$1)+SUMIFS('changes2_based on steps'!$B230:$U230,'changes2_based on steps'!$B$1:$U$1,E$1)</f>
        <v>0</v>
      </c>
      <c r="F230" s="140">
        <f>SUMIFS('recurring2_based on steps'!$B230:$AY230,'recurring2_based on steps'!$B$1:$AY$1,F$1)+SUMIFS('changes2_based on steps'!$B230:$U230,'changes2_based on steps'!$B$1:$U$1,F$1)</f>
        <v>0</v>
      </c>
      <c r="G230" s="140">
        <f>SUMIFS('recurring2_based on steps'!$B230:$AY230,'recurring2_based on steps'!$B$1:$AY$1,G$1)+SUMIFS('changes2_based on steps'!$B230:$U230,'changes2_based on steps'!$B$1:$U$1,G$1)</f>
        <v>0</v>
      </c>
      <c r="H230" s="140">
        <f>SUMIFS('recurring2_based on steps'!$B230:$AY230,'recurring2_based on steps'!$B$1:$AY$1,H$1)+SUMIFS('changes2_based on steps'!$B230:$U230,'changes2_based on steps'!$B$1:$U$1,H$1)</f>
        <v>0</v>
      </c>
      <c r="I230" s="140">
        <f>SUMIFS('recurring2_based on steps'!$B230:$AY230,'recurring2_based on steps'!$B$1:$AY$1,I$1)+SUMIFS('changes2_based on steps'!$B230:$U230,'changes2_based on steps'!$B$1:$U$1,I$1)</f>
        <v>0</v>
      </c>
      <c r="J230" s="140">
        <f ca="1">SUMIFS('recurring2_based on steps'!$B230:$AY230,'recurring2_based on steps'!$B$1:$AY$1,J$1)+SUMIFS('changes2_based on steps'!$B230:$U230,'changes2_based on steps'!$B$1:$U$1,J$1)</f>
        <v>0</v>
      </c>
      <c r="K230" s="140">
        <f>SUMIFS('recurring2_based on steps'!$B230:$AY230,'recurring2_based on steps'!$B$1:$AY$1,K$1)+SUMIFS('changes2_based on steps'!$B230:$U230,'changes2_based on steps'!$B$1:$U$1,K$1)</f>
        <v>0</v>
      </c>
      <c r="L230" s="140">
        <f>SUMIFS('recurring2_based on steps'!$B230:$AY230,'recurring2_based on steps'!$B$1:$AY$1,L$1)+SUMIFS('changes2_based on steps'!$B230:$U230,'changes2_based on steps'!$B$1:$U$1,L$1)</f>
        <v>0</v>
      </c>
      <c r="M230" s="140">
        <f>SUMIFS('recurring2_based on steps'!$B230:$AY230,'recurring2_based on steps'!$B$1:$AY$1,M$1)+SUMIFS('changes2_based on steps'!$B230:$U230,'changes2_based on steps'!$B$1:$U$1,M$1)</f>
        <v>0</v>
      </c>
      <c r="N230" s="140">
        <f ca="1">SUMIFS('recurring2_based on steps'!$B230:$AY230,'recurring2_based on steps'!$B$1:$AY$1,N$1)+SUMIFS('changes2_based on steps'!$B230:$U230,'changes2_based on steps'!$B$1:$U$1,N$1)</f>
        <v>0</v>
      </c>
      <c r="O230" s="140">
        <f>SUMIFS('recurring2_based on steps'!$B230:$AY230,'recurring2_based on steps'!$B$1:$AY$1,O$1)+SUMIFS('changes2_based on steps'!$B230:$U230,'changes2_based on steps'!$B$1:$U$1,O$1)</f>
        <v>0</v>
      </c>
      <c r="P230" s="140">
        <f ca="1">SUMIFS('recurring2_based on steps'!$B230:$AY230,'recurring2_based on steps'!$B$1:$AY$1,P$1)+SUMIFS('changes2_based on steps'!$B230:$U230,'changes2_based on steps'!$B$1:$U$1,P$1)</f>
        <v>0</v>
      </c>
      <c r="Q230" s="140">
        <f ca="1">SUMIFS('recurring2_based on steps'!$B230:$AY230,'recurring2_based on steps'!$B$1:$AY$1,Q$1)+SUMIFS('changes2_based on steps'!$B230:$U230,'changes2_based on steps'!$B$1:$U$1,Q$1)</f>
        <v>100.05540166204986</v>
      </c>
      <c r="R230" s="140">
        <f ca="1">SUMIFS('recurring2_based on steps'!$B230:$AY230,'recurring2_based on steps'!$B$1:$AY$1,R$1)+SUMIFS('changes2_based on steps'!$B230:$U230,'changes2_based on steps'!$B$1:$U$1,R$1)</f>
        <v>0</v>
      </c>
      <c r="S230" s="140">
        <f>SUMIFS('recurring2_based on steps'!$B230:$AY230,'recurring2_based on steps'!$B$1:$AY$1,S$1)+SUMIFS('changes2_based on steps'!$B230:$U230,'changes2_based on steps'!$B$1:$U$1,S$1)</f>
        <v>0</v>
      </c>
      <c r="T230" s="140">
        <f ca="1">SUMIFS('recurring2_based on steps'!$B230:$AY230,'recurring2_based on steps'!$B$1:$AY$1,T$1)+SUMIFS('changes2_based on steps'!$B230:$U230,'changes2_based on steps'!$B$1:$U$1,T$1)</f>
        <v>0</v>
      </c>
      <c r="U230" s="140">
        <f ca="1">SUMIFS('recurring2_based on steps'!$B230:$AY230,'recurring2_based on steps'!$B$1:$AY$1,U$1)+SUMIFS('changes2_based on steps'!$B230:$U230,'changes2_based on steps'!$B$1:$U$1,U$1)</f>
        <v>0</v>
      </c>
      <c r="V230" s="140">
        <f>SUMIFS('recurring2_based on steps'!$B230:$AY230,'recurring2_based on steps'!$B$1:$AY$1,V$1)+SUMIFS('changes2_based on steps'!$B230:$U230,'changes2_based on steps'!$B$1:$U$1,V$1)</f>
        <v>0</v>
      </c>
      <c r="W230" s="140">
        <f>SUMIFS('recurring2_based on steps'!$B230:$AY230,'recurring2_based on steps'!$B$1:$AY$1,W$1)+SUMIFS('changes2_based on steps'!$B230:$U230,'changes2_based on steps'!$B$1:$U$1,W$1)</f>
        <v>0</v>
      </c>
      <c r="X230" s="140">
        <f ca="1">SUMIFS('recurring2_based on steps'!$B230:$AY230,'recurring2_based on steps'!$B$1:$AY$1,X$1)+SUMIFS('changes2_based on steps'!$B230:$U230,'changes2_based on steps'!$B$1:$U$1,X$1)</f>
        <v>0</v>
      </c>
      <c r="Y230" s="140">
        <f ca="1">SUMIFS('recurring2_based on steps'!$B230:$AY230,'recurring2_based on steps'!$B$1:$AY$1,Y$1)+SUMIFS('changes2_based on steps'!$B230:$U230,'changes2_based on steps'!$B$1:$U$1,Y$1)</f>
        <v>50</v>
      </c>
      <c r="Z230" s="140">
        <f>SUMIFS('recurring2_based on steps'!$B230:$AY230,'recurring2_based on steps'!$B$1:$AY$1,Z$1)+SUMIFS('changes2_based on steps'!$B230:$U230,'changes2_based on steps'!$B$1:$U$1,Z$1)</f>
        <v>0</v>
      </c>
      <c r="AA230" s="140">
        <f ca="1">SUMIFS('recurring2_based on steps'!$B230:$AY230,'recurring2_based on steps'!$B$1:$AY$1,AA$1)+SUMIFS('changes2_based on steps'!$B230:$U230,'changes2_based on steps'!$B$1:$U$1,AA$1)</f>
        <v>0</v>
      </c>
      <c r="AB230" s="140">
        <f ca="1">SUMIFS('recurring2_based on steps'!$B230:$AY230,'recurring2_based on steps'!$B$1:$AY$1,AB$1)+SUMIFS('changes2_based on steps'!$B230:$U230,'changes2_based on steps'!$B$1:$U$1,AB$1)</f>
        <v>0</v>
      </c>
      <c r="AC230" s="140">
        <f ca="1">SUMIFS('recurring2_based on steps'!$B230:$AY230,'recurring2_based on steps'!$B$1:$AY$1,AC$1)+SUMIFS('changes2_based on steps'!$B230:$U230,'changes2_based on steps'!$B$1:$U$1,AC$1)</f>
        <v>0</v>
      </c>
      <c r="AD230" s="140">
        <f ca="1">SUMIFS('recurring2_based on steps'!$B230:$AY230,'recurring2_based on steps'!$B$1:$AY$1,AD$1)+SUMIFS('changes2_based on steps'!$B230:$U230,'changes2_based on steps'!$B$1:$U$1,AD$1)</f>
        <v>0</v>
      </c>
      <c r="AE230" s="140">
        <f>SUMIFS('recurring2_based on steps'!$B230:$AY230,'recurring2_based on steps'!$B$1:$AY$1,AE$1)+SUMIFS('changes2_based on steps'!$B230:$U230,'changes2_based on steps'!$B$1:$U$1,AE$1)</f>
        <v>0</v>
      </c>
      <c r="AF230" s="140"/>
      <c r="AG230" s="140"/>
      <c r="AH230" s="140"/>
      <c r="AI230" s="140"/>
      <c r="AJ230" s="140"/>
      <c r="AK230" s="140"/>
      <c r="AL230" s="140"/>
      <c r="AM230" s="140"/>
    </row>
    <row r="231" spans="1:39" x14ac:dyDescent="0.2">
      <c r="A231" s="29">
        <f t="shared" ca="1" si="3"/>
        <v>45971</v>
      </c>
      <c r="B231" s="140">
        <f ca="1">SUMIFS('recurring2_based on steps'!$B231:$AY231,'recurring2_based on steps'!$B$1:$AY$1,B$1)+SUMIFS('changes2_based on steps'!$B231:$U231,'changes2_based on steps'!$B$1:$U$1,B$1)</f>
        <v>0</v>
      </c>
      <c r="C231" s="140">
        <f>SUMIFS('recurring2_based on steps'!$B231:$AY231,'recurring2_based on steps'!$B$1:$AY$1,C$1)+SUMIFS('changes2_based on steps'!$B231:$U231,'changes2_based on steps'!$B$1:$U$1,C$1)</f>
        <v>0</v>
      </c>
      <c r="D231" s="140">
        <f>SUMIFS('recurring2_based on steps'!$B231:$AY231,'recurring2_based on steps'!$B$1:$AY$1,D$1)+SUMIFS('changes2_based on steps'!$B231:$U231,'changes2_based on steps'!$B$1:$U$1,D$1)</f>
        <v>0</v>
      </c>
      <c r="E231" s="140">
        <f>SUMIFS('recurring2_based on steps'!$B231:$AY231,'recurring2_based on steps'!$B$1:$AY$1,E$1)+SUMIFS('changes2_based on steps'!$B231:$U231,'changes2_based on steps'!$B$1:$U$1,E$1)</f>
        <v>0</v>
      </c>
      <c r="F231" s="140">
        <f>SUMIFS('recurring2_based on steps'!$B231:$AY231,'recurring2_based on steps'!$B$1:$AY$1,F$1)+SUMIFS('changes2_based on steps'!$B231:$U231,'changes2_based on steps'!$B$1:$U$1,F$1)</f>
        <v>0</v>
      </c>
      <c r="G231" s="140">
        <f>SUMIFS('recurring2_based on steps'!$B231:$AY231,'recurring2_based on steps'!$B$1:$AY$1,G$1)+SUMIFS('changes2_based on steps'!$B231:$U231,'changes2_based on steps'!$B$1:$U$1,G$1)</f>
        <v>0</v>
      </c>
      <c r="H231" s="140">
        <f>SUMIFS('recurring2_based on steps'!$B231:$AY231,'recurring2_based on steps'!$B$1:$AY$1,H$1)+SUMIFS('changes2_based on steps'!$B231:$U231,'changes2_based on steps'!$B$1:$U$1,H$1)</f>
        <v>0</v>
      </c>
      <c r="I231" s="140">
        <f>SUMIFS('recurring2_based on steps'!$B231:$AY231,'recurring2_based on steps'!$B$1:$AY$1,I$1)+SUMIFS('changes2_based on steps'!$B231:$U231,'changes2_based on steps'!$B$1:$U$1,I$1)</f>
        <v>0</v>
      </c>
      <c r="J231" s="140">
        <f ca="1">SUMIFS('recurring2_based on steps'!$B231:$AY231,'recurring2_based on steps'!$B$1:$AY$1,J$1)+SUMIFS('changes2_based on steps'!$B231:$U231,'changes2_based on steps'!$B$1:$U$1,J$1)</f>
        <v>0</v>
      </c>
      <c r="K231" s="140">
        <f>SUMIFS('recurring2_based on steps'!$B231:$AY231,'recurring2_based on steps'!$B$1:$AY$1,K$1)+SUMIFS('changes2_based on steps'!$B231:$U231,'changes2_based on steps'!$B$1:$U$1,K$1)</f>
        <v>0</v>
      </c>
      <c r="L231" s="140">
        <f>SUMIFS('recurring2_based on steps'!$B231:$AY231,'recurring2_based on steps'!$B$1:$AY$1,L$1)+SUMIFS('changes2_based on steps'!$B231:$U231,'changes2_based on steps'!$B$1:$U$1,L$1)</f>
        <v>0</v>
      </c>
      <c r="M231" s="140">
        <f>SUMIFS('recurring2_based on steps'!$B231:$AY231,'recurring2_based on steps'!$B$1:$AY$1,M$1)+SUMIFS('changes2_based on steps'!$B231:$U231,'changes2_based on steps'!$B$1:$U$1,M$1)</f>
        <v>0</v>
      </c>
      <c r="N231" s="140">
        <f ca="1">SUMIFS('recurring2_based on steps'!$B231:$AY231,'recurring2_based on steps'!$B$1:$AY$1,N$1)+SUMIFS('changes2_based on steps'!$B231:$U231,'changes2_based on steps'!$B$1:$U$1,N$1)</f>
        <v>0</v>
      </c>
      <c r="O231" s="140">
        <f>SUMIFS('recurring2_based on steps'!$B231:$AY231,'recurring2_based on steps'!$B$1:$AY$1,O$1)+SUMIFS('changes2_based on steps'!$B231:$U231,'changes2_based on steps'!$B$1:$U$1,O$1)</f>
        <v>0</v>
      </c>
      <c r="P231" s="140">
        <f ca="1">SUMIFS('recurring2_based on steps'!$B231:$AY231,'recurring2_based on steps'!$B$1:$AY$1,P$1)+SUMIFS('changes2_based on steps'!$B231:$U231,'changes2_based on steps'!$B$1:$U$1,P$1)</f>
        <v>0</v>
      </c>
      <c r="Q231" s="140">
        <f ca="1">SUMIFS('recurring2_based on steps'!$B231:$AY231,'recurring2_based on steps'!$B$1:$AY$1,Q$1)+SUMIFS('changes2_based on steps'!$B231:$U231,'changes2_based on steps'!$B$1:$U$1,Q$1)</f>
        <v>5.5401662049861494E-2</v>
      </c>
      <c r="R231" s="140">
        <f ca="1">SUMIFS('recurring2_based on steps'!$B231:$AY231,'recurring2_based on steps'!$B$1:$AY$1,R$1)+SUMIFS('changes2_based on steps'!$B231:$U231,'changes2_based on steps'!$B$1:$U$1,R$1)</f>
        <v>0</v>
      </c>
      <c r="S231" s="140">
        <f>SUMIFS('recurring2_based on steps'!$B231:$AY231,'recurring2_based on steps'!$B$1:$AY$1,S$1)+SUMIFS('changes2_based on steps'!$B231:$U231,'changes2_based on steps'!$B$1:$U$1,S$1)</f>
        <v>0</v>
      </c>
      <c r="T231" s="140">
        <f ca="1">SUMIFS('recurring2_based on steps'!$B231:$AY231,'recurring2_based on steps'!$B$1:$AY$1,T$1)+SUMIFS('changes2_based on steps'!$B231:$U231,'changes2_based on steps'!$B$1:$U$1,T$1)</f>
        <v>0</v>
      </c>
      <c r="U231" s="140">
        <f ca="1">SUMIFS('recurring2_based on steps'!$B231:$AY231,'recurring2_based on steps'!$B$1:$AY$1,U$1)+SUMIFS('changes2_based on steps'!$B231:$U231,'changes2_based on steps'!$B$1:$U$1,U$1)</f>
        <v>0</v>
      </c>
      <c r="V231" s="140">
        <f>SUMIFS('recurring2_based on steps'!$B231:$AY231,'recurring2_based on steps'!$B$1:$AY$1,V$1)+SUMIFS('changes2_based on steps'!$B231:$U231,'changes2_based on steps'!$B$1:$U$1,V$1)</f>
        <v>0</v>
      </c>
      <c r="W231" s="140">
        <f>SUMIFS('recurring2_based on steps'!$B231:$AY231,'recurring2_based on steps'!$B$1:$AY$1,W$1)+SUMIFS('changes2_based on steps'!$B231:$U231,'changes2_based on steps'!$B$1:$U$1,W$1)</f>
        <v>0</v>
      </c>
      <c r="X231" s="140">
        <f ca="1">SUMIFS('recurring2_based on steps'!$B231:$AY231,'recurring2_based on steps'!$B$1:$AY$1,X$1)+SUMIFS('changes2_based on steps'!$B231:$U231,'changes2_based on steps'!$B$1:$U$1,X$1)</f>
        <v>0</v>
      </c>
      <c r="Y231" s="140">
        <f ca="1">SUMIFS('recurring2_based on steps'!$B231:$AY231,'recurring2_based on steps'!$B$1:$AY$1,Y$1)+SUMIFS('changes2_based on steps'!$B231:$U231,'changes2_based on steps'!$B$1:$U$1,Y$1)</f>
        <v>0</v>
      </c>
      <c r="Z231" s="140">
        <f>SUMIFS('recurring2_based on steps'!$B231:$AY231,'recurring2_based on steps'!$B$1:$AY$1,Z$1)+SUMIFS('changes2_based on steps'!$B231:$U231,'changes2_based on steps'!$B$1:$U$1,Z$1)</f>
        <v>0</v>
      </c>
      <c r="AA231" s="140">
        <f ca="1">SUMIFS('recurring2_based on steps'!$B231:$AY231,'recurring2_based on steps'!$B$1:$AY$1,AA$1)+SUMIFS('changes2_based on steps'!$B231:$U231,'changes2_based on steps'!$B$1:$U$1,AA$1)</f>
        <v>0</v>
      </c>
      <c r="AB231" s="140">
        <f ca="1">SUMIFS('recurring2_based on steps'!$B231:$AY231,'recurring2_based on steps'!$B$1:$AY$1,AB$1)+SUMIFS('changes2_based on steps'!$B231:$U231,'changes2_based on steps'!$B$1:$U$1,AB$1)</f>
        <v>0</v>
      </c>
      <c r="AC231" s="140">
        <f ca="1">SUMIFS('recurring2_based on steps'!$B231:$AY231,'recurring2_based on steps'!$B$1:$AY$1,AC$1)+SUMIFS('changes2_based on steps'!$B231:$U231,'changes2_based on steps'!$B$1:$U$1,AC$1)</f>
        <v>0</v>
      </c>
      <c r="AD231" s="140">
        <f ca="1">SUMIFS('recurring2_based on steps'!$B231:$AY231,'recurring2_based on steps'!$B$1:$AY$1,AD$1)+SUMIFS('changes2_based on steps'!$B231:$U231,'changes2_based on steps'!$B$1:$U$1,AD$1)</f>
        <v>0</v>
      </c>
      <c r="AE231" s="140">
        <f>SUMIFS('recurring2_based on steps'!$B231:$AY231,'recurring2_based on steps'!$B$1:$AY$1,AE$1)+SUMIFS('changes2_based on steps'!$B231:$U231,'changes2_based on steps'!$B$1:$U$1,AE$1)</f>
        <v>0</v>
      </c>
      <c r="AF231" s="140"/>
      <c r="AG231" s="140"/>
      <c r="AH231" s="140"/>
      <c r="AI231" s="140"/>
      <c r="AJ231" s="140"/>
      <c r="AK231" s="140"/>
      <c r="AL231" s="140"/>
      <c r="AM231" s="140"/>
    </row>
    <row r="232" spans="1:39" x14ac:dyDescent="0.2">
      <c r="A232" s="29">
        <f t="shared" ca="1" si="3"/>
        <v>45972</v>
      </c>
      <c r="B232" s="140">
        <f ca="1">SUMIFS('recurring2_based on steps'!$B232:$AY232,'recurring2_based on steps'!$B$1:$AY$1,B$1)+SUMIFS('changes2_based on steps'!$B232:$U232,'changes2_based on steps'!$B$1:$U$1,B$1)</f>
        <v>0</v>
      </c>
      <c r="C232" s="140">
        <f>SUMIFS('recurring2_based on steps'!$B232:$AY232,'recurring2_based on steps'!$B$1:$AY$1,C$1)+SUMIFS('changes2_based on steps'!$B232:$U232,'changes2_based on steps'!$B$1:$U$1,C$1)</f>
        <v>0</v>
      </c>
      <c r="D232" s="140">
        <f>SUMIFS('recurring2_based on steps'!$B232:$AY232,'recurring2_based on steps'!$B$1:$AY$1,D$1)+SUMIFS('changes2_based on steps'!$B232:$U232,'changes2_based on steps'!$B$1:$U$1,D$1)</f>
        <v>0</v>
      </c>
      <c r="E232" s="140">
        <f>SUMIFS('recurring2_based on steps'!$B232:$AY232,'recurring2_based on steps'!$B$1:$AY$1,E$1)+SUMIFS('changes2_based on steps'!$B232:$U232,'changes2_based on steps'!$B$1:$U$1,E$1)</f>
        <v>0</v>
      </c>
      <c r="F232" s="140">
        <f>SUMIFS('recurring2_based on steps'!$B232:$AY232,'recurring2_based on steps'!$B$1:$AY$1,F$1)+SUMIFS('changes2_based on steps'!$B232:$U232,'changes2_based on steps'!$B$1:$U$1,F$1)</f>
        <v>0</v>
      </c>
      <c r="G232" s="140">
        <f>SUMIFS('recurring2_based on steps'!$B232:$AY232,'recurring2_based on steps'!$B$1:$AY$1,G$1)+SUMIFS('changes2_based on steps'!$B232:$U232,'changes2_based on steps'!$B$1:$U$1,G$1)</f>
        <v>0</v>
      </c>
      <c r="H232" s="140">
        <f>SUMIFS('recurring2_based on steps'!$B232:$AY232,'recurring2_based on steps'!$B$1:$AY$1,H$1)+SUMIFS('changes2_based on steps'!$B232:$U232,'changes2_based on steps'!$B$1:$U$1,H$1)</f>
        <v>0</v>
      </c>
      <c r="I232" s="140">
        <f>SUMIFS('recurring2_based on steps'!$B232:$AY232,'recurring2_based on steps'!$B$1:$AY$1,I$1)+SUMIFS('changes2_based on steps'!$B232:$U232,'changes2_based on steps'!$B$1:$U$1,I$1)</f>
        <v>0</v>
      </c>
      <c r="J232" s="140">
        <f ca="1">SUMIFS('recurring2_based on steps'!$B232:$AY232,'recurring2_based on steps'!$B$1:$AY$1,J$1)+SUMIFS('changes2_based on steps'!$B232:$U232,'changes2_based on steps'!$B$1:$U$1,J$1)</f>
        <v>0</v>
      </c>
      <c r="K232" s="140">
        <f>SUMIFS('recurring2_based on steps'!$B232:$AY232,'recurring2_based on steps'!$B$1:$AY$1,K$1)+SUMIFS('changes2_based on steps'!$B232:$U232,'changes2_based on steps'!$B$1:$U$1,K$1)</f>
        <v>0</v>
      </c>
      <c r="L232" s="140">
        <f>SUMIFS('recurring2_based on steps'!$B232:$AY232,'recurring2_based on steps'!$B$1:$AY$1,L$1)+SUMIFS('changes2_based on steps'!$B232:$U232,'changes2_based on steps'!$B$1:$U$1,L$1)</f>
        <v>0</v>
      </c>
      <c r="M232" s="140">
        <f>SUMIFS('recurring2_based on steps'!$B232:$AY232,'recurring2_based on steps'!$B$1:$AY$1,M$1)+SUMIFS('changes2_based on steps'!$B232:$U232,'changes2_based on steps'!$B$1:$U$1,M$1)</f>
        <v>0</v>
      </c>
      <c r="N232" s="140">
        <f ca="1">SUMIFS('recurring2_based on steps'!$B232:$AY232,'recurring2_based on steps'!$B$1:$AY$1,N$1)+SUMIFS('changes2_based on steps'!$B232:$U232,'changes2_based on steps'!$B$1:$U$1,N$1)</f>
        <v>0</v>
      </c>
      <c r="O232" s="140">
        <f>SUMIFS('recurring2_based on steps'!$B232:$AY232,'recurring2_based on steps'!$B$1:$AY$1,O$1)+SUMIFS('changes2_based on steps'!$B232:$U232,'changes2_based on steps'!$B$1:$U$1,O$1)</f>
        <v>0</v>
      </c>
      <c r="P232" s="140">
        <f ca="1">SUMIFS('recurring2_based on steps'!$B232:$AY232,'recurring2_based on steps'!$B$1:$AY$1,P$1)+SUMIFS('changes2_based on steps'!$B232:$U232,'changes2_based on steps'!$B$1:$U$1,P$1)</f>
        <v>0</v>
      </c>
      <c r="Q232" s="140">
        <f ca="1">SUMIFS('recurring2_based on steps'!$B232:$AY232,'recurring2_based on steps'!$B$1:$AY$1,Q$1)+SUMIFS('changes2_based on steps'!$B232:$U232,'changes2_based on steps'!$B$1:$U$1,Q$1)</f>
        <v>5.5401662049861494E-2</v>
      </c>
      <c r="R232" s="140">
        <f ca="1">SUMIFS('recurring2_based on steps'!$B232:$AY232,'recurring2_based on steps'!$B$1:$AY$1,R$1)+SUMIFS('changes2_based on steps'!$B232:$U232,'changes2_based on steps'!$B$1:$U$1,R$1)</f>
        <v>0</v>
      </c>
      <c r="S232" s="140">
        <f>SUMIFS('recurring2_based on steps'!$B232:$AY232,'recurring2_based on steps'!$B$1:$AY$1,S$1)+SUMIFS('changes2_based on steps'!$B232:$U232,'changes2_based on steps'!$B$1:$U$1,S$1)</f>
        <v>0</v>
      </c>
      <c r="T232" s="140">
        <f ca="1">SUMIFS('recurring2_based on steps'!$B232:$AY232,'recurring2_based on steps'!$B$1:$AY$1,T$1)+SUMIFS('changes2_based on steps'!$B232:$U232,'changes2_based on steps'!$B$1:$U$1,T$1)</f>
        <v>0</v>
      </c>
      <c r="U232" s="140">
        <f ca="1">SUMIFS('recurring2_based on steps'!$B232:$AY232,'recurring2_based on steps'!$B$1:$AY$1,U$1)+SUMIFS('changes2_based on steps'!$B232:$U232,'changes2_based on steps'!$B$1:$U$1,U$1)</f>
        <v>0</v>
      </c>
      <c r="V232" s="140">
        <f>SUMIFS('recurring2_based on steps'!$B232:$AY232,'recurring2_based on steps'!$B$1:$AY$1,V$1)+SUMIFS('changes2_based on steps'!$B232:$U232,'changes2_based on steps'!$B$1:$U$1,V$1)</f>
        <v>0</v>
      </c>
      <c r="W232" s="140">
        <f>SUMIFS('recurring2_based on steps'!$B232:$AY232,'recurring2_based on steps'!$B$1:$AY$1,W$1)+SUMIFS('changes2_based on steps'!$B232:$U232,'changes2_based on steps'!$B$1:$U$1,W$1)</f>
        <v>0</v>
      </c>
      <c r="X232" s="140">
        <f ca="1">SUMIFS('recurring2_based on steps'!$B232:$AY232,'recurring2_based on steps'!$B$1:$AY$1,X$1)+SUMIFS('changes2_based on steps'!$B232:$U232,'changes2_based on steps'!$B$1:$U$1,X$1)</f>
        <v>0</v>
      </c>
      <c r="Y232" s="140">
        <f ca="1">SUMIFS('recurring2_based on steps'!$B232:$AY232,'recurring2_based on steps'!$B$1:$AY$1,Y$1)+SUMIFS('changes2_based on steps'!$B232:$U232,'changes2_based on steps'!$B$1:$U$1,Y$1)</f>
        <v>0</v>
      </c>
      <c r="Z232" s="140">
        <f>SUMIFS('recurring2_based on steps'!$B232:$AY232,'recurring2_based on steps'!$B$1:$AY$1,Z$1)+SUMIFS('changes2_based on steps'!$B232:$U232,'changes2_based on steps'!$B$1:$U$1,Z$1)</f>
        <v>0</v>
      </c>
      <c r="AA232" s="140">
        <f ca="1">SUMIFS('recurring2_based on steps'!$B232:$AY232,'recurring2_based on steps'!$B$1:$AY$1,AA$1)+SUMIFS('changes2_based on steps'!$B232:$U232,'changes2_based on steps'!$B$1:$U$1,AA$1)</f>
        <v>0</v>
      </c>
      <c r="AB232" s="140">
        <f ca="1">SUMIFS('recurring2_based on steps'!$B232:$AY232,'recurring2_based on steps'!$B$1:$AY$1,AB$1)+SUMIFS('changes2_based on steps'!$B232:$U232,'changes2_based on steps'!$B$1:$U$1,AB$1)</f>
        <v>0</v>
      </c>
      <c r="AC232" s="140">
        <f ca="1">SUMIFS('recurring2_based on steps'!$B232:$AY232,'recurring2_based on steps'!$B$1:$AY$1,AC$1)+SUMIFS('changes2_based on steps'!$B232:$U232,'changes2_based on steps'!$B$1:$U$1,AC$1)</f>
        <v>0</v>
      </c>
      <c r="AD232" s="140">
        <f ca="1">SUMIFS('recurring2_based on steps'!$B232:$AY232,'recurring2_based on steps'!$B$1:$AY$1,AD$1)+SUMIFS('changes2_based on steps'!$B232:$U232,'changes2_based on steps'!$B$1:$U$1,AD$1)</f>
        <v>0</v>
      </c>
      <c r="AE232" s="140">
        <f>SUMIFS('recurring2_based on steps'!$B232:$AY232,'recurring2_based on steps'!$B$1:$AY$1,AE$1)+SUMIFS('changes2_based on steps'!$B232:$U232,'changes2_based on steps'!$B$1:$U$1,AE$1)</f>
        <v>0</v>
      </c>
      <c r="AF232" s="140"/>
      <c r="AG232" s="140"/>
      <c r="AH232" s="140"/>
      <c r="AI232" s="140"/>
      <c r="AJ232" s="140"/>
      <c r="AK232" s="140"/>
      <c r="AL232" s="140"/>
      <c r="AM232" s="140"/>
    </row>
    <row r="233" spans="1:39" x14ac:dyDescent="0.2">
      <c r="A233" s="29">
        <f t="shared" ca="1" si="3"/>
        <v>45973</v>
      </c>
      <c r="B233" s="140">
        <f ca="1">SUMIFS('recurring2_based on steps'!$B233:$AY233,'recurring2_based on steps'!$B$1:$AY$1,B$1)+SUMIFS('changes2_based on steps'!$B233:$U233,'changes2_based on steps'!$B$1:$U$1,B$1)</f>
        <v>0</v>
      </c>
      <c r="C233" s="140">
        <f>SUMIFS('recurring2_based on steps'!$B233:$AY233,'recurring2_based on steps'!$B$1:$AY$1,C$1)+SUMIFS('changes2_based on steps'!$B233:$U233,'changes2_based on steps'!$B$1:$U$1,C$1)</f>
        <v>0</v>
      </c>
      <c r="D233" s="140">
        <f>SUMIFS('recurring2_based on steps'!$B233:$AY233,'recurring2_based on steps'!$B$1:$AY$1,D$1)+SUMIFS('changes2_based on steps'!$B233:$U233,'changes2_based on steps'!$B$1:$U$1,D$1)</f>
        <v>0</v>
      </c>
      <c r="E233" s="140">
        <f>SUMIFS('recurring2_based on steps'!$B233:$AY233,'recurring2_based on steps'!$B$1:$AY$1,E$1)+SUMIFS('changes2_based on steps'!$B233:$U233,'changes2_based on steps'!$B$1:$U$1,E$1)</f>
        <v>0</v>
      </c>
      <c r="F233" s="140">
        <f>SUMIFS('recurring2_based on steps'!$B233:$AY233,'recurring2_based on steps'!$B$1:$AY$1,F$1)+SUMIFS('changes2_based on steps'!$B233:$U233,'changes2_based on steps'!$B$1:$U$1,F$1)</f>
        <v>0</v>
      </c>
      <c r="G233" s="140">
        <f>SUMIFS('recurring2_based on steps'!$B233:$AY233,'recurring2_based on steps'!$B$1:$AY$1,G$1)+SUMIFS('changes2_based on steps'!$B233:$U233,'changes2_based on steps'!$B$1:$U$1,G$1)</f>
        <v>0</v>
      </c>
      <c r="H233" s="140">
        <f>SUMIFS('recurring2_based on steps'!$B233:$AY233,'recurring2_based on steps'!$B$1:$AY$1,H$1)+SUMIFS('changes2_based on steps'!$B233:$U233,'changes2_based on steps'!$B$1:$U$1,H$1)</f>
        <v>0</v>
      </c>
      <c r="I233" s="140">
        <f>SUMIFS('recurring2_based on steps'!$B233:$AY233,'recurring2_based on steps'!$B$1:$AY$1,I$1)+SUMIFS('changes2_based on steps'!$B233:$U233,'changes2_based on steps'!$B$1:$U$1,I$1)</f>
        <v>0</v>
      </c>
      <c r="J233" s="140">
        <f ca="1">SUMIFS('recurring2_based on steps'!$B233:$AY233,'recurring2_based on steps'!$B$1:$AY$1,J$1)+SUMIFS('changes2_based on steps'!$B233:$U233,'changes2_based on steps'!$B$1:$U$1,J$1)</f>
        <v>0</v>
      </c>
      <c r="K233" s="140">
        <f>SUMIFS('recurring2_based on steps'!$B233:$AY233,'recurring2_based on steps'!$B$1:$AY$1,K$1)+SUMIFS('changes2_based on steps'!$B233:$U233,'changes2_based on steps'!$B$1:$U$1,K$1)</f>
        <v>0</v>
      </c>
      <c r="L233" s="140">
        <f>SUMIFS('recurring2_based on steps'!$B233:$AY233,'recurring2_based on steps'!$B$1:$AY$1,L$1)+SUMIFS('changes2_based on steps'!$B233:$U233,'changes2_based on steps'!$B$1:$U$1,L$1)</f>
        <v>0</v>
      </c>
      <c r="M233" s="140">
        <f>SUMIFS('recurring2_based on steps'!$B233:$AY233,'recurring2_based on steps'!$B$1:$AY$1,M$1)+SUMIFS('changes2_based on steps'!$B233:$U233,'changes2_based on steps'!$B$1:$U$1,M$1)</f>
        <v>0</v>
      </c>
      <c r="N233" s="140">
        <f ca="1">SUMIFS('recurring2_based on steps'!$B233:$AY233,'recurring2_based on steps'!$B$1:$AY$1,N$1)+SUMIFS('changes2_based on steps'!$B233:$U233,'changes2_based on steps'!$B$1:$U$1,N$1)</f>
        <v>0</v>
      </c>
      <c r="O233" s="140">
        <f>SUMIFS('recurring2_based on steps'!$B233:$AY233,'recurring2_based on steps'!$B$1:$AY$1,O$1)+SUMIFS('changes2_based on steps'!$B233:$U233,'changes2_based on steps'!$B$1:$U$1,O$1)</f>
        <v>0</v>
      </c>
      <c r="P233" s="140">
        <f ca="1">SUMIFS('recurring2_based on steps'!$B233:$AY233,'recurring2_based on steps'!$B$1:$AY$1,P$1)+SUMIFS('changes2_based on steps'!$B233:$U233,'changes2_based on steps'!$B$1:$U$1,P$1)</f>
        <v>0</v>
      </c>
      <c r="Q233" s="140">
        <f ca="1">SUMIFS('recurring2_based on steps'!$B233:$AY233,'recurring2_based on steps'!$B$1:$AY$1,Q$1)+SUMIFS('changes2_based on steps'!$B233:$U233,'changes2_based on steps'!$B$1:$U$1,Q$1)</f>
        <v>5.5401662049861494E-2</v>
      </c>
      <c r="R233" s="140">
        <f ca="1">SUMIFS('recurring2_based on steps'!$B233:$AY233,'recurring2_based on steps'!$B$1:$AY$1,R$1)+SUMIFS('changes2_based on steps'!$B233:$U233,'changes2_based on steps'!$B$1:$U$1,R$1)</f>
        <v>0</v>
      </c>
      <c r="S233" s="140">
        <f>SUMIFS('recurring2_based on steps'!$B233:$AY233,'recurring2_based on steps'!$B$1:$AY$1,S$1)+SUMIFS('changes2_based on steps'!$B233:$U233,'changes2_based on steps'!$B$1:$U$1,S$1)</f>
        <v>0</v>
      </c>
      <c r="T233" s="140">
        <f ca="1">SUMIFS('recurring2_based on steps'!$B233:$AY233,'recurring2_based on steps'!$B$1:$AY$1,T$1)+SUMIFS('changes2_based on steps'!$B233:$U233,'changes2_based on steps'!$B$1:$U$1,T$1)</f>
        <v>0</v>
      </c>
      <c r="U233" s="140">
        <f ca="1">SUMIFS('recurring2_based on steps'!$B233:$AY233,'recurring2_based on steps'!$B$1:$AY$1,U$1)+SUMIFS('changes2_based on steps'!$B233:$U233,'changes2_based on steps'!$B$1:$U$1,U$1)</f>
        <v>0</v>
      </c>
      <c r="V233" s="140">
        <f>SUMIFS('recurring2_based on steps'!$B233:$AY233,'recurring2_based on steps'!$B$1:$AY$1,V$1)+SUMIFS('changes2_based on steps'!$B233:$U233,'changes2_based on steps'!$B$1:$U$1,V$1)</f>
        <v>0</v>
      </c>
      <c r="W233" s="140">
        <f>SUMIFS('recurring2_based on steps'!$B233:$AY233,'recurring2_based on steps'!$B$1:$AY$1,W$1)+SUMIFS('changes2_based on steps'!$B233:$U233,'changes2_based on steps'!$B$1:$U$1,W$1)</f>
        <v>0</v>
      </c>
      <c r="X233" s="140">
        <f ca="1">SUMIFS('recurring2_based on steps'!$B233:$AY233,'recurring2_based on steps'!$B$1:$AY$1,X$1)+SUMIFS('changes2_based on steps'!$B233:$U233,'changes2_based on steps'!$B$1:$U$1,X$1)</f>
        <v>0</v>
      </c>
      <c r="Y233" s="140">
        <f ca="1">SUMIFS('recurring2_based on steps'!$B233:$AY233,'recurring2_based on steps'!$B$1:$AY$1,Y$1)+SUMIFS('changes2_based on steps'!$B233:$U233,'changes2_based on steps'!$B$1:$U$1,Y$1)</f>
        <v>0</v>
      </c>
      <c r="Z233" s="140">
        <f>SUMIFS('recurring2_based on steps'!$B233:$AY233,'recurring2_based on steps'!$B$1:$AY$1,Z$1)+SUMIFS('changes2_based on steps'!$B233:$U233,'changes2_based on steps'!$B$1:$U$1,Z$1)</f>
        <v>0</v>
      </c>
      <c r="AA233" s="140">
        <f ca="1">SUMIFS('recurring2_based on steps'!$B233:$AY233,'recurring2_based on steps'!$B$1:$AY$1,AA$1)+SUMIFS('changes2_based on steps'!$B233:$U233,'changes2_based on steps'!$B$1:$U$1,AA$1)</f>
        <v>0</v>
      </c>
      <c r="AB233" s="140">
        <f ca="1">SUMIFS('recurring2_based on steps'!$B233:$AY233,'recurring2_based on steps'!$B$1:$AY$1,AB$1)+SUMIFS('changes2_based on steps'!$B233:$U233,'changes2_based on steps'!$B$1:$U$1,AB$1)</f>
        <v>0</v>
      </c>
      <c r="AC233" s="140">
        <f ca="1">SUMIFS('recurring2_based on steps'!$B233:$AY233,'recurring2_based on steps'!$B$1:$AY$1,AC$1)+SUMIFS('changes2_based on steps'!$B233:$U233,'changes2_based on steps'!$B$1:$U$1,AC$1)</f>
        <v>0</v>
      </c>
      <c r="AD233" s="140">
        <f ca="1">SUMIFS('recurring2_based on steps'!$B233:$AY233,'recurring2_based on steps'!$B$1:$AY$1,AD$1)+SUMIFS('changes2_based on steps'!$B233:$U233,'changes2_based on steps'!$B$1:$U$1,AD$1)</f>
        <v>0</v>
      </c>
      <c r="AE233" s="140">
        <f>SUMIFS('recurring2_based on steps'!$B233:$AY233,'recurring2_based on steps'!$B$1:$AY$1,AE$1)+SUMIFS('changes2_based on steps'!$B233:$U233,'changes2_based on steps'!$B$1:$U$1,AE$1)</f>
        <v>0</v>
      </c>
      <c r="AF233" s="140"/>
      <c r="AG233" s="140"/>
      <c r="AH233" s="140"/>
      <c r="AI233" s="140"/>
      <c r="AJ233" s="140"/>
      <c r="AK233" s="140"/>
      <c r="AL233" s="140"/>
      <c r="AM233" s="140"/>
    </row>
    <row r="234" spans="1:39" x14ac:dyDescent="0.2">
      <c r="A234" s="29">
        <f t="shared" ca="1" si="3"/>
        <v>45974</v>
      </c>
      <c r="B234" s="140">
        <f ca="1">SUMIFS('recurring2_based on steps'!$B234:$AY234,'recurring2_based on steps'!$B$1:$AY$1,B$1)+SUMIFS('changes2_based on steps'!$B234:$U234,'changes2_based on steps'!$B$1:$U$1,B$1)</f>
        <v>0</v>
      </c>
      <c r="C234" s="140">
        <f>SUMIFS('recurring2_based on steps'!$B234:$AY234,'recurring2_based on steps'!$B$1:$AY$1,C$1)+SUMIFS('changes2_based on steps'!$B234:$U234,'changes2_based on steps'!$B$1:$U$1,C$1)</f>
        <v>0</v>
      </c>
      <c r="D234" s="140">
        <f>SUMIFS('recurring2_based on steps'!$B234:$AY234,'recurring2_based on steps'!$B$1:$AY$1,D$1)+SUMIFS('changes2_based on steps'!$B234:$U234,'changes2_based on steps'!$B$1:$U$1,D$1)</f>
        <v>0</v>
      </c>
      <c r="E234" s="140">
        <f>SUMIFS('recurring2_based on steps'!$B234:$AY234,'recurring2_based on steps'!$B$1:$AY$1,E$1)+SUMIFS('changes2_based on steps'!$B234:$U234,'changes2_based on steps'!$B$1:$U$1,E$1)</f>
        <v>0</v>
      </c>
      <c r="F234" s="140">
        <f>SUMIFS('recurring2_based on steps'!$B234:$AY234,'recurring2_based on steps'!$B$1:$AY$1,F$1)+SUMIFS('changes2_based on steps'!$B234:$U234,'changes2_based on steps'!$B$1:$U$1,F$1)</f>
        <v>0</v>
      </c>
      <c r="G234" s="140">
        <f>SUMIFS('recurring2_based on steps'!$B234:$AY234,'recurring2_based on steps'!$B$1:$AY$1,G$1)+SUMIFS('changes2_based on steps'!$B234:$U234,'changes2_based on steps'!$B$1:$U$1,G$1)</f>
        <v>0</v>
      </c>
      <c r="H234" s="140">
        <f>SUMIFS('recurring2_based on steps'!$B234:$AY234,'recurring2_based on steps'!$B$1:$AY$1,H$1)+SUMIFS('changes2_based on steps'!$B234:$U234,'changes2_based on steps'!$B$1:$U$1,H$1)</f>
        <v>0</v>
      </c>
      <c r="I234" s="140">
        <f>SUMIFS('recurring2_based on steps'!$B234:$AY234,'recurring2_based on steps'!$B$1:$AY$1,I$1)+SUMIFS('changes2_based on steps'!$B234:$U234,'changes2_based on steps'!$B$1:$U$1,I$1)</f>
        <v>0</v>
      </c>
      <c r="J234" s="140">
        <f ca="1">SUMIFS('recurring2_based on steps'!$B234:$AY234,'recurring2_based on steps'!$B$1:$AY$1,J$1)+SUMIFS('changes2_based on steps'!$B234:$U234,'changes2_based on steps'!$B$1:$U$1,J$1)</f>
        <v>0</v>
      </c>
      <c r="K234" s="140">
        <f>SUMIFS('recurring2_based on steps'!$B234:$AY234,'recurring2_based on steps'!$B$1:$AY$1,K$1)+SUMIFS('changes2_based on steps'!$B234:$U234,'changes2_based on steps'!$B$1:$U$1,K$1)</f>
        <v>0</v>
      </c>
      <c r="L234" s="140">
        <f>SUMIFS('recurring2_based on steps'!$B234:$AY234,'recurring2_based on steps'!$B$1:$AY$1,L$1)+SUMIFS('changes2_based on steps'!$B234:$U234,'changes2_based on steps'!$B$1:$U$1,L$1)</f>
        <v>0</v>
      </c>
      <c r="M234" s="140">
        <f>SUMIFS('recurring2_based on steps'!$B234:$AY234,'recurring2_based on steps'!$B$1:$AY$1,M$1)+SUMIFS('changes2_based on steps'!$B234:$U234,'changes2_based on steps'!$B$1:$U$1,M$1)</f>
        <v>0</v>
      </c>
      <c r="N234" s="140">
        <f ca="1">SUMIFS('recurring2_based on steps'!$B234:$AY234,'recurring2_based on steps'!$B$1:$AY$1,N$1)+SUMIFS('changes2_based on steps'!$B234:$U234,'changes2_based on steps'!$B$1:$U$1,N$1)</f>
        <v>0</v>
      </c>
      <c r="O234" s="140">
        <f>SUMIFS('recurring2_based on steps'!$B234:$AY234,'recurring2_based on steps'!$B$1:$AY$1,O$1)+SUMIFS('changes2_based on steps'!$B234:$U234,'changes2_based on steps'!$B$1:$U$1,O$1)</f>
        <v>0</v>
      </c>
      <c r="P234" s="140">
        <f ca="1">SUMIFS('recurring2_based on steps'!$B234:$AY234,'recurring2_based on steps'!$B$1:$AY$1,P$1)+SUMIFS('changes2_based on steps'!$B234:$U234,'changes2_based on steps'!$B$1:$U$1,P$1)</f>
        <v>0</v>
      </c>
      <c r="Q234" s="140">
        <f ca="1">SUMIFS('recurring2_based on steps'!$B234:$AY234,'recurring2_based on steps'!$B$1:$AY$1,Q$1)+SUMIFS('changes2_based on steps'!$B234:$U234,'changes2_based on steps'!$B$1:$U$1,Q$1)</f>
        <v>5.5401662049861494E-2</v>
      </c>
      <c r="R234" s="140">
        <f ca="1">SUMIFS('recurring2_based on steps'!$B234:$AY234,'recurring2_based on steps'!$B$1:$AY$1,R$1)+SUMIFS('changes2_based on steps'!$B234:$U234,'changes2_based on steps'!$B$1:$U$1,R$1)</f>
        <v>0</v>
      </c>
      <c r="S234" s="140">
        <f>SUMIFS('recurring2_based on steps'!$B234:$AY234,'recurring2_based on steps'!$B$1:$AY$1,S$1)+SUMIFS('changes2_based on steps'!$B234:$U234,'changes2_based on steps'!$B$1:$U$1,S$1)</f>
        <v>0</v>
      </c>
      <c r="T234" s="140">
        <f ca="1">SUMIFS('recurring2_based on steps'!$B234:$AY234,'recurring2_based on steps'!$B$1:$AY$1,T$1)+SUMIFS('changes2_based on steps'!$B234:$U234,'changes2_based on steps'!$B$1:$U$1,T$1)</f>
        <v>0</v>
      </c>
      <c r="U234" s="140">
        <f ca="1">SUMIFS('recurring2_based on steps'!$B234:$AY234,'recurring2_based on steps'!$B$1:$AY$1,U$1)+SUMIFS('changes2_based on steps'!$B234:$U234,'changes2_based on steps'!$B$1:$U$1,U$1)</f>
        <v>0</v>
      </c>
      <c r="V234" s="140">
        <f>SUMIFS('recurring2_based on steps'!$B234:$AY234,'recurring2_based on steps'!$B$1:$AY$1,V$1)+SUMIFS('changes2_based on steps'!$B234:$U234,'changes2_based on steps'!$B$1:$U$1,V$1)</f>
        <v>0</v>
      </c>
      <c r="W234" s="140">
        <f>SUMIFS('recurring2_based on steps'!$B234:$AY234,'recurring2_based on steps'!$B$1:$AY$1,W$1)+SUMIFS('changes2_based on steps'!$B234:$U234,'changes2_based on steps'!$B$1:$U$1,W$1)</f>
        <v>0</v>
      </c>
      <c r="X234" s="140">
        <f ca="1">SUMIFS('recurring2_based on steps'!$B234:$AY234,'recurring2_based on steps'!$B$1:$AY$1,X$1)+SUMIFS('changes2_based on steps'!$B234:$U234,'changes2_based on steps'!$B$1:$U$1,X$1)</f>
        <v>0</v>
      </c>
      <c r="Y234" s="140">
        <f ca="1">SUMIFS('recurring2_based on steps'!$B234:$AY234,'recurring2_based on steps'!$B$1:$AY$1,Y$1)+SUMIFS('changes2_based on steps'!$B234:$U234,'changes2_based on steps'!$B$1:$U$1,Y$1)</f>
        <v>0</v>
      </c>
      <c r="Z234" s="140">
        <f>SUMIFS('recurring2_based on steps'!$B234:$AY234,'recurring2_based on steps'!$B$1:$AY$1,Z$1)+SUMIFS('changes2_based on steps'!$B234:$U234,'changes2_based on steps'!$B$1:$U$1,Z$1)</f>
        <v>0</v>
      </c>
      <c r="AA234" s="140">
        <f ca="1">SUMIFS('recurring2_based on steps'!$B234:$AY234,'recurring2_based on steps'!$B$1:$AY$1,AA$1)+SUMIFS('changes2_based on steps'!$B234:$U234,'changes2_based on steps'!$B$1:$U$1,AA$1)</f>
        <v>0</v>
      </c>
      <c r="AB234" s="140">
        <f ca="1">SUMIFS('recurring2_based on steps'!$B234:$AY234,'recurring2_based on steps'!$B$1:$AY$1,AB$1)+SUMIFS('changes2_based on steps'!$B234:$U234,'changes2_based on steps'!$B$1:$U$1,AB$1)</f>
        <v>0</v>
      </c>
      <c r="AC234" s="140">
        <f ca="1">SUMIFS('recurring2_based on steps'!$B234:$AY234,'recurring2_based on steps'!$B$1:$AY$1,AC$1)+SUMIFS('changes2_based on steps'!$B234:$U234,'changes2_based on steps'!$B$1:$U$1,AC$1)</f>
        <v>0</v>
      </c>
      <c r="AD234" s="140">
        <f ca="1">SUMIFS('recurring2_based on steps'!$B234:$AY234,'recurring2_based on steps'!$B$1:$AY$1,AD$1)+SUMIFS('changes2_based on steps'!$B234:$U234,'changes2_based on steps'!$B$1:$U$1,AD$1)</f>
        <v>0</v>
      </c>
      <c r="AE234" s="140">
        <f>SUMIFS('recurring2_based on steps'!$B234:$AY234,'recurring2_based on steps'!$B$1:$AY$1,AE$1)+SUMIFS('changes2_based on steps'!$B234:$U234,'changes2_based on steps'!$B$1:$U$1,AE$1)</f>
        <v>0</v>
      </c>
      <c r="AF234" s="140"/>
      <c r="AG234" s="140"/>
      <c r="AH234" s="140"/>
      <c r="AI234" s="140"/>
      <c r="AJ234" s="140"/>
      <c r="AK234" s="140"/>
      <c r="AL234" s="140"/>
      <c r="AM234" s="140"/>
    </row>
    <row r="235" spans="1:39" x14ac:dyDescent="0.2">
      <c r="A235" s="29">
        <f t="shared" ca="1" si="3"/>
        <v>45975</v>
      </c>
      <c r="B235" s="140">
        <f ca="1">SUMIFS('recurring2_based on steps'!$B235:$AY235,'recurring2_based on steps'!$B$1:$AY$1,B$1)+SUMIFS('changes2_based on steps'!$B235:$U235,'changes2_based on steps'!$B$1:$U$1,B$1)</f>
        <v>4000</v>
      </c>
      <c r="C235" s="140">
        <f>SUMIFS('recurring2_based on steps'!$B235:$AY235,'recurring2_based on steps'!$B$1:$AY$1,C$1)+SUMIFS('changes2_based on steps'!$B235:$U235,'changes2_based on steps'!$B$1:$U$1,C$1)</f>
        <v>0</v>
      </c>
      <c r="D235" s="140">
        <f>SUMIFS('recurring2_based on steps'!$B235:$AY235,'recurring2_based on steps'!$B$1:$AY$1,D$1)+SUMIFS('changes2_based on steps'!$B235:$U235,'changes2_based on steps'!$B$1:$U$1,D$1)</f>
        <v>0</v>
      </c>
      <c r="E235" s="140">
        <f>SUMIFS('recurring2_based on steps'!$B235:$AY235,'recurring2_based on steps'!$B$1:$AY$1,E$1)+SUMIFS('changes2_based on steps'!$B235:$U235,'changes2_based on steps'!$B$1:$U$1,E$1)</f>
        <v>0</v>
      </c>
      <c r="F235" s="140">
        <f>SUMIFS('recurring2_based on steps'!$B235:$AY235,'recurring2_based on steps'!$B$1:$AY$1,F$1)+SUMIFS('changes2_based on steps'!$B235:$U235,'changes2_based on steps'!$B$1:$U$1,F$1)</f>
        <v>0</v>
      </c>
      <c r="G235" s="140">
        <f>SUMIFS('recurring2_based on steps'!$B235:$AY235,'recurring2_based on steps'!$B$1:$AY$1,G$1)+SUMIFS('changes2_based on steps'!$B235:$U235,'changes2_based on steps'!$B$1:$U$1,G$1)</f>
        <v>0</v>
      </c>
      <c r="H235" s="140">
        <f>SUMIFS('recurring2_based on steps'!$B235:$AY235,'recurring2_based on steps'!$B$1:$AY$1,H$1)+SUMIFS('changes2_based on steps'!$B235:$U235,'changes2_based on steps'!$B$1:$U$1,H$1)</f>
        <v>0</v>
      </c>
      <c r="I235" s="140">
        <f>SUMIFS('recurring2_based on steps'!$B235:$AY235,'recurring2_based on steps'!$B$1:$AY$1,I$1)+SUMIFS('changes2_based on steps'!$B235:$U235,'changes2_based on steps'!$B$1:$U$1,I$1)</f>
        <v>0</v>
      </c>
      <c r="J235" s="140">
        <f ca="1">SUMIFS('recurring2_based on steps'!$B235:$AY235,'recurring2_based on steps'!$B$1:$AY$1,J$1)+SUMIFS('changes2_based on steps'!$B235:$U235,'changes2_based on steps'!$B$1:$U$1,J$1)</f>
        <v>0</v>
      </c>
      <c r="K235" s="140">
        <f>SUMIFS('recurring2_based on steps'!$B235:$AY235,'recurring2_based on steps'!$B$1:$AY$1,K$1)+SUMIFS('changes2_based on steps'!$B235:$U235,'changes2_based on steps'!$B$1:$U$1,K$1)</f>
        <v>0</v>
      </c>
      <c r="L235" s="140">
        <f>SUMIFS('recurring2_based on steps'!$B235:$AY235,'recurring2_based on steps'!$B$1:$AY$1,L$1)+SUMIFS('changes2_based on steps'!$B235:$U235,'changes2_based on steps'!$B$1:$U$1,L$1)</f>
        <v>0</v>
      </c>
      <c r="M235" s="140">
        <f>SUMIFS('recurring2_based on steps'!$B235:$AY235,'recurring2_based on steps'!$B$1:$AY$1,M$1)+SUMIFS('changes2_based on steps'!$B235:$U235,'changes2_based on steps'!$B$1:$U$1,M$1)</f>
        <v>0</v>
      </c>
      <c r="N235" s="140">
        <f ca="1">SUMIFS('recurring2_based on steps'!$B235:$AY235,'recurring2_based on steps'!$B$1:$AY$1,N$1)+SUMIFS('changes2_based on steps'!$B235:$U235,'changes2_based on steps'!$B$1:$U$1,N$1)</f>
        <v>0</v>
      </c>
      <c r="O235" s="140">
        <f>SUMIFS('recurring2_based on steps'!$B235:$AY235,'recurring2_based on steps'!$B$1:$AY$1,O$1)+SUMIFS('changes2_based on steps'!$B235:$U235,'changes2_based on steps'!$B$1:$U$1,O$1)</f>
        <v>0</v>
      </c>
      <c r="P235" s="140">
        <f ca="1">SUMIFS('recurring2_based on steps'!$B235:$AY235,'recurring2_based on steps'!$B$1:$AY$1,P$1)+SUMIFS('changes2_based on steps'!$B235:$U235,'changes2_based on steps'!$B$1:$U$1,P$1)</f>
        <v>0</v>
      </c>
      <c r="Q235" s="140">
        <f ca="1">SUMIFS('recurring2_based on steps'!$B235:$AY235,'recurring2_based on steps'!$B$1:$AY$1,Q$1)+SUMIFS('changes2_based on steps'!$B235:$U235,'changes2_based on steps'!$B$1:$U$1,Q$1)</f>
        <v>5.5401662049861494E-2</v>
      </c>
      <c r="R235" s="140">
        <f ca="1">SUMIFS('recurring2_based on steps'!$B235:$AY235,'recurring2_based on steps'!$B$1:$AY$1,R$1)+SUMIFS('changes2_based on steps'!$B235:$U235,'changes2_based on steps'!$B$1:$U$1,R$1)</f>
        <v>0</v>
      </c>
      <c r="S235" s="140">
        <f>SUMIFS('recurring2_based on steps'!$B235:$AY235,'recurring2_based on steps'!$B$1:$AY$1,S$1)+SUMIFS('changes2_based on steps'!$B235:$U235,'changes2_based on steps'!$B$1:$U$1,S$1)</f>
        <v>0</v>
      </c>
      <c r="T235" s="140">
        <f ca="1">SUMIFS('recurring2_based on steps'!$B235:$AY235,'recurring2_based on steps'!$B$1:$AY$1,T$1)+SUMIFS('changes2_based on steps'!$B235:$U235,'changes2_based on steps'!$B$1:$U$1,T$1)</f>
        <v>50</v>
      </c>
      <c r="U235" s="140">
        <f ca="1">SUMIFS('recurring2_based on steps'!$B235:$AY235,'recurring2_based on steps'!$B$1:$AY$1,U$1)+SUMIFS('changes2_based on steps'!$B235:$U235,'changes2_based on steps'!$B$1:$U$1,U$1)</f>
        <v>200</v>
      </c>
      <c r="V235" s="140">
        <f>SUMIFS('recurring2_based on steps'!$B235:$AY235,'recurring2_based on steps'!$B$1:$AY$1,V$1)+SUMIFS('changes2_based on steps'!$B235:$U235,'changes2_based on steps'!$B$1:$U$1,V$1)</f>
        <v>0</v>
      </c>
      <c r="W235" s="140">
        <f>SUMIFS('recurring2_based on steps'!$B235:$AY235,'recurring2_based on steps'!$B$1:$AY$1,W$1)+SUMIFS('changes2_based on steps'!$B235:$U235,'changes2_based on steps'!$B$1:$U$1,W$1)</f>
        <v>0</v>
      </c>
      <c r="X235" s="140">
        <f ca="1">SUMIFS('recurring2_based on steps'!$B235:$AY235,'recurring2_based on steps'!$B$1:$AY$1,X$1)+SUMIFS('changes2_based on steps'!$B235:$U235,'changes2_based on steps'!$B$1:$U$1,X$1)</f>
        <v>96</v>
      </c>
      <c r="Y235" s="140">
        <f ca="1">SUMIFS('recurring2_based on steps'!$B235:$AY235,'recurring2_based on steps'!$B$1:$AY$1,Y$1)+SUMIFS('changes2_based on steps'!$B235:$U235,'changes2_based on steps'!$B$1:$U$1,Y$1)</f>
        <v>0</v>
      </c>
      <c r="Z235" s="140">
        <f>SUMIFS('recurring2_based on steps'!$B235:$AY235,'recurring2_based on steps'!$B$1:$AY$1,Z$1)+SUMIFS('changes2_based on steps'!$B235:$U235,'changes2_based on steps'!$B$1:$U$1,Z$1)</f>
        <v>0</v>
      </c>
      <c r="AA235" s="140">
        <f ca="1">SUMIFS('recurring2_based on steps'!$B235:$AY235,'recurring2_based on steps'!$B$1:$AY$1,AA$1)+SUMIFS('changes2_based on steps'!$B235:$U235,'changes2_based on steps'!$B$1:$U$1,AA$1)</f>
        <v>0</v>
      </c>
      <c r="AB235" s="140">
        <f ca="1">SUMIFS('recurring2_based on steps'!$B235:$AY235,'recurring2_based on steps'!$B$1:$AY$1,AB$1)+SUMIFS('changes2_based on steps'!$B235:$U235,'changes2_based on steps'!$B$1:$U$1,AB$1)</f>
        <v>0</v>
      </c>
      <c r="AC235" s="140">
        <f ca="1">SUMIFS('recurring2_based on steps'!$B235:$AY235,'recurring2_based on steps'!$B$1:$AY$1,AC$1)+SUMIFS('changes2_based on steps'!$B235:$U235,'changes2_based on steps'!$B$1:$U$1,AC$1)</f>
        <v>0</v>
      </c>
      <c r="AD235" s="140">
        <f ca="1">SUMIFS('recurring2_based on steps'!$B235:$AY235,'recurring2_based on steps'!$B$1:$AY$1,AD$1)+SUMIFS('changes2_based on steps'!$B235:$U235,'changes2_based on steps'!$B$1:$U$1,AD$1)</f>
        <v>50</v>
      </c>
      <c r="AE235" s="140">
        <f>SUMIFS('recurring2_based on steps'!$B235:$AY235,'recurring2_based on steps'!$B$1:$AY$1,AE$1)+SUMIFS('changes2_based on steps'!$B235:$U235,'changes2_based on steps'!$B$1:$U$1,AE$1)</f>
        <v>0</v>
      </c>
      <c r="AF235" s="140"/>
      <c r="AG235" s="140"/>
      <c r="AH235" s="140"/>
      <c r="AI235" s="140"/>
      <c r="AJ235" s="140"/>
      <c r="AK235" s="140"/>
      <c r="AL235" s="140"/>
      <c r="AM235" s="140"/>
    </row>
    <row r="236" spans="1:39" x14ac:dyDescent="0.2">
      <c r="A236" s="29">
        <f t="shared" ca="1" si="3"/>
        <v>45976</v>
      </c>
      <c r="B236" s="140">
        <f ca="1">SUMIFS('recurring2_based on steps'!$B236:$AY236,'recurring2_based on steps'!$B$1:$AY$1,B$1)+SUMIFS('changes2_based on steps'!$B236:$U236,'changes2_based on steps'!$B$1:$U$1,B$1)</f>
        <v>0</v>
      </c>
      <c r="C236" s="140">
        <f>SUMIFS('recurring2_based on steps'!$B236:$AY236,'recurring2_based on steps'!$B$1:$AY$1,C$1)+SUMIFS('changes2_based on steps'!$B236:$U236,'changes2_based on steps'!$B$1:$U$1,C$1)</f>
        <v>0</v>
      </c>
      <c r="D236" s="140">
        <f>SUMIFS('recurring2_based on steps'!$B236:$AY236,'recurring2_based on steps'!$B$1:$AY$1,D$1)+SUMIFS('changes2_based on steps'!$B236:$U236,'changes2_based on steps'!$B$1:$U$1,D$1)</f>
        <v>0</v>
      </c>
      <c r="E236" s="140">
        <f>SUMIFS('recurring2_based on steps'!$B236:$AY236,'recurring2_based on steps'!$B$1:$AY$1,E$1)+SUMIFS('changes2_based on steps'!$B236:$U236,'changes2_based on steps'!$B$1:$U$1,E$1)</f>
        <v>0</v>
      </c>
      <c r="F236" s="140">
        <f>SUMIFS('recurring2_based on steps'!$B236:$AY236,'recurring2_based on steps'!$B$1:$AY$1,F$1)+SUMIFS('changes2_based on steps'!$B236:$U236,'changes2_based on steps'!$B$1:$U$1,F$1)</f>
        <v>0</v>
      </c>
      <c r="G236" s="140">
        <f>SUMIFS('recurring2_based on steps'!$B236:$AY236,'recurring2_based on steps'!$B$1:$AY$1,G$1)+SUMIFS('changes2_based on steps'!$B236:$U236,'changes2_based on steps'!$B$1:$U$1,G$1)</f>
        <v>0</v>
      </c>
      <c r="H236" s="140">
        <f>SUMIFS('recurring2_based on steps'!$B236:$AY236,'recurring2_based on steps'!$B$1:$AY$1,H$1)+SUMIFS('changes2_based on steps'!$B236:$U236,'changes2_based on steps'!$B$1:$U$1,H$1)</f>
        <v>0</v>
      </c>
      <c r="I236" s="140">
        <f>SUMIFS('recurring2_based on steps'!$B236:$AY236,'recurring2_based on steps'!$B$1:$AY$1,I$1)+SUMIFS('changes2_based on steps'!$B236:$U236,'changes2_based on steps'!$B$1:$U$1,I$1)</f>
        <v>0</v>
      </c>
      <c r="J236" s="140">
        <f ca="1">SUMIFS('recurring2_based on steps'!$B236:$AY236,'recurring2_based on steps'!$B$1:$AY$1,J$1)+SUMIFS('changes2_based on steps'!$B236:$U236,'changes2_based on steps'!$B$1:$U$1,J$1)</f>
        <v>0</v>
      </c>
      <c r="K236" s="140">
        <f>SUMIFS('recurring2_based on steps'!$B236:$AY236,'recurring2_based on steps'!$B$1:$AY$1,K$1)+SUMIFS('changes2_based on steps'!$B236:$U236,'changes2_based on steps'!$B$1:$U$1,K$1)</f>
        <v>0</v>
      </c>
      <c r="L236" s="140">
        <f>SUMIFS('recurring2_based on steps'!$B236:$AY236,'recurring2_based on steps'!$B$1:$AY$1,L$1)+SUMIFS('changes2_based on steps'!$B236:$U236,'changes2_based on steps'!$B$1:$U$1,L$1)</f>
        <v>0</v>
      </c>
      <c r="M236" s="140">
        <f>SUMIFS('recurring2_based on steps'!$B236:$AY236,'recurring2_based on steps'!$B$1:$AY$1,M$1)+SUMIFS('changes2_based on steps'!$B236:$U236,'changes2_based on steps'!$B$1:$U$1,M$1)</f>
        <v>0</v>
      </c>
      <c r="N236" s="140">
        <f ca="1">SUMIFS('recurring2_based on steps'!$B236:$AY236,'recurring2_based on steps'!$B$1:$AY$1,N$1)+SUMIFS('changes2_based on steps'!$B236:$U236,'changes2_based on steps'!$B$1:$U$1,N$1)</f>
        <v>0</v>
      </c>
      <c r="O236" s="140">
        <f>SUMIFS('recurring2_based on steps'!$B236:$AY236,'recurring2_based on steps'!$B$1:$AY$1,O$1)+SUMIFS('changes2_based on steps'!$B236:$U236,'changes2_based on steps'!$B$1:$U$1,O$1)</f>
        <v>0</v>
      </c>
      <c r="P236" s="140">
        <f ca="1">SUMIFS('recurring2_based on steps'!$B236:$AY236,'recurring2_based on steps'!$B$1:$AY$1,P$1)+SUMIFS('changes2_based on steps'!$B236:$U236,'changes2_based on steps'!$B$1:$U$1,P$1)</f>
        <v>0</v>
      </c>
      <c r="Q236" s="140">
        <f ca="1">SUMIFS('recurring2_based on steps'!$B236:$AY236,'recurring2_based on steps'!$B$1:$AY$1,Q$1)+SUMIFS('changes2_based on steps'!$B236:$U236,'changes2_based on steps'!$B$1:$U$1,Q$1)</f>
        <v>100.05540166204986</v>
      </c>
      <c r="R236" s="140">
        <f ca="1">SUMIFS('recurring2_based on steps'!$B236:$AY236,'recurring2_based on steps'!$B$1:$AY$1,R$1)+SUMIFS('changes2_based on steps'!$B236:$U236,'changes2_based on steps'!$B$1:$U$1,R$1)</f>
        <v>0</v>
      </c>
      <c r="S236" s="140">
        <f>SUMIFS('recurring2_based on steps'!$B236:$AY236,'recurring2_based on steps'!$B$1:$AY$1,S$1)+SUMIFS('changes2_based on steps'!$B236:$U236,'changes2_based on steps'!$B$1:$U$1,S$1)</f>
        <v>0</v>
      </c>
      <c r="T236" s="140">
        <f ca="1">SUMIFS('recurring2_based on steps'!$B236:$AY236,'recurring2_based on steps'!$B$1:$AY$1,T$1)+SUMIFS('changes2_based on steps'!$B236:$U236,'changes2_based on steps'!$B$1:$U$1,T$1)</f>
        <v>0</v>
      </c>
      <c r="U236" s="140">
        <f ca="1">SUMIFS('recurring2_based on steps'!$B236:$AY236,'recurring2_based on steps'!$B$1:$AY$1,U$1)+SUMIFS('changes2_based on steps'!$B236:$U236,'changes2_based on steps'!$B$1:$U$1,U$1)</f>
        <v>0</v>
      </c>
      <c r="V236" s="140">
        <f>SUMIFS('recurring2_based on steps'!$B236:$AY236,'recurring2_based on steps'!$B$1:$AY$1,V$1)+SUMIFS('changes2_based on steps'!$B236:$U236,'changes2_based on steps'!$B$1:$U$1,V$1)</f>
        <v>0</v>
      </c>
      <c r="W236" s="140">
        <f>SUMIFS('recurring2_based on steps'!$B236:$AY236,'recurring2_based on steps'!$B$1:$AY$1,W$1)+SUMIFS('changes2_based on steps'!$B236:$U236,'changes2_based on steps'!$B$1:$U$1,W$1)</f>
        <v>0</v>
      </c>
      <c r="X236" s="140">
        <f ca="1">SUMIFS('recurring2_based on steps'!$B236:$AY236,'recurring2_based on steps'!$B$1:$AY$1,X$1)+SUMIFS('changes2_based on steps'!$B236:$U236,'changes2_based on steps'!$B$1:$U$1,X$1)</f>
        <v>0</v>
      </c>
      <c r="Y236" s="140">
        <f ca="1">SUMIFS('recurring2_based on steps'!$B236:$AY236,'recurring2_based on steps'!$B$1:$AY$1,Y$1)+SUMIFS('changes2_based on steps'!$B236:$U236,'changes2_based on steps'!$B$1:$U$1,Y$1)</f>
        <v>0</v>
      </c>
      <c r="Z236" s="140">
        <f>SUMIFS('recurring2_based on steps'!$B236:$AY236,'recurring2_based on steps'!$B$1:$AY$1,Z$1)+SUMIFS('changes2_based on steps'!$B236:$U236,'changes2_based on steps'!$B$1:$U$1,Z$1)</f>
        <v>0</v>
      </c>
      <c r="AA236" s="140">
        <f ca="1">SUMIFS('recurring2_based on steps'!$B236:$AY236,'recurring2_based on steps'!$B$1:$AY$1,AA$1)+SUMIFS('changes2_based on steps'!$B236:$U236,'changes2_based on steps'!$B$1:$U$1,AA$1)</f>
        <v>0</v>
      </c>
      <c r="AB236" s="140">
        <f ca="1">SUMIFS('recurring2_based on steps'!$B236:$AY236,'recurring2_based on steps'!$B$1:$AY$1,AB$1)+SUMIFS('changes2_based on steps'!$B236:$U236,'changes2_based on steps'!$B$1:$U$1,AB$1)</f>
        <v>100</v>
      </c>
      <c r="AC236" s="140">
        <f ca="1">SUMIFS('recurring2_based on steps'!$B236:$AY236,'recurring2_based on steps'!$B$1:$AY$1,AC$1)+SUMIFS('changes2_based on steps'!$B236:$U236,'changes2_based on steps'!$B$1:$U$1,AC$1)</f>
        <v>0</v>
      </c>
      <c r="AD236" s="140">
        <f ca="1">SUMIFS('recurring2_based on steps'!$B236:$AY236,'recurring2_based on steps'!$B$1:$AY$1,AD$1)+SUMIFS('changes2_based on steps'!$B236:$U236,'changes2_based on steps'!$B$1:$U$1,AD$1)</f>
        <v>0</v>
      </c>
      <c r="AE236" s="140">
        <f>SUMIFS('recurring2_based on steps'!$B236:$AY236,'recurring2_based on steps'!$B$1:$AY$1,AE$1)+SUMIFS('changes2_based on steps'!$B236:$U236,'changes2_based on steps'!$B$1:$U$1,AE$1)</f>
        <v>0</v>
      </c>
      <c r="AF236" s="140"/>
      <c r="AG236" s="140"/>
      <c r="AH236" s="140"/>
      <c r="AI236" s="140"/>
      <c r="AJ236" s="140"/>
      <c r="AK236" s="140"/>
      <c r="AL236" s="140"/>
      <c r="AM236" s="140"/>
    </row>
    <row r="237" spans="1:39" x14ac:dyDescent="0.2">
      <c r="A237" s="29">
        <f t="shared" ca="1" si="3"/>
        <v>45977</v>
      </c>
      <c r="B237" s="140">
        <f ca="1">SUMIFS('recurring2_based on steps'!$B237:$AY237,'recurring2_based on steps'!$B$1:$AY$1,B$1)+SUMIFS('changes2_based on steps'!$B237:$U237,'changes2_based on steps'!$B$1:$U$1,B$1)</f>
        <v>0</v>
      </c>
      <c r="C237" s="140">
        <f>SUMIFS('recurring2_based on steps'!$B237:$AY237,'recurring2_based on steps'!$B$1:$AY$1,C$1)+SUMIFS('changes2_based on steps'!$B237:$U237,'changes2_based on steps'!$B$1:$U$1,C$1)</f>
        <v>0</v>
      </c>
      <c r="D237" s="140">
        <f>SUMIFS('recurring2_based on steps'!$B237:$AY237,'recurring2_based on steps'!$B$1:$AY$1,D$1)+SUMIFS('changes2_based on steps'!$B237:$U237,'changes2_based on steps'!$B$1:$U$1,D$1)</f>
        <v>0</v>
      </c>
      <c r="E237" s="140">
        <f>SUMIFS('recurring2_based on steps'!$B237:$AY237,'recurring2_based on steps'!$B$1:$AY$1,E$1)+SUMIFS('changes2_based on steps'!$B237:$U237,'changes2_based on steps'!$B$1:$U$1,E$1)</f>
        <v>0</v>
      </c>
      <c r="F237" s="140">
        <f>SUMIFS('recurring2_based on steps'!$B237:$AY237,'recurring2_based on steps'!$B$1:$AY$1,F$1)+SUMIFS('changes2_based on steps'!$B237:$U237,'changes2_based on steps'!$B$1:$U$1,F$1)</f>
        <v>0</v>
      </c>
      <c r="G237" s="140">
        <f>SUMIFS('recurring2_based on steps'!$B237:$AY237,'recurring2_based on steps'!$B$1:$AY$1,G$1)+SUMIFS('changes2_based on steps'!$B237:$U237,'changes2_based on steps'!$B$1:$U$1,G$1)</f>
        <v>0</v>
      </c>
      <c r="H237" s="140">
        <f>SUMIFS('recurring2_based on steps'!$B237:$AY237,'recurring2_based on steps'!$B$1:$AY$1,H$1)+SUMIFS('changes2_based on steps'!$B237:$U237,'changes2_based on steps'!$B$1:$U$1,H$1)</f>
        <v>0</v>
      </c>
      <c r="I237" s="140">
        <f>SUMIFS('recurring2_based on steps'!$B237:$AY237,'recurring2_based on steps'!$B$1:$AY$1,I$1)+SUMIFS('changes2_based on steps'!$B237:$U237,'changes2_based on steps'!$B$1:$U$1,I$1)</f>
        <v>0</v>
      </c>
      <c r="J237" s="140">
        <f ca="1">SUMIFS('recurring2_based on steps'!$B237:$AY237,'recurring2_based on steps'!$B$1:$AY$1,J$1)+SUMIFS('changes2_based on steps'!$B237:$U237,'changes2_based on steps'!$B$1:$U$1,J$1)</f>
        <v>0</v>
      </c>
      <c r="K237" s="140">
        <f>SUMIFS('recurring2_based on steps'!$B237:$AY237,'recurring2_based on steps'!$B$1:$AY$1,K$1)+SUMIFS('changes2_based on steps'!$B237:$U237,'changes2_based on steps'!$B$1:$U$1,K$1)</f>
        <v>0</v>
      </c>
      <c r="L237" s="140">
        <f>SUMIFS('recurring2_based on steps'!$B237:$AY237,'recurring2_based on steps'!$B$1:$AY$1,L$1)+SUMIFS('changes2_based on steps'!$B237:$U237,'changes2_based on steps'!$B$1:$U$1,L$1)</f>
        <v>0</v>
      </c>
      <c r="M237" s="140">
        <f>SUMIFS('recurring2_based on steps'!$B237:$AY237,'recurring2_based on steps'!$B$1:$AY$1,M$1)+SUMIFS('changes2_based on steps'!$B237:$U237,'changes2_based on steps'!$B$1:$U$1,M$1)</f>
        <v>0</v>
      </c>
      <c r="N237" s="140">
        <f ca="1">SUMIFS('recurring2_based on steps'!$B237:$AY237,'recurring2_based on steps'!$B$1:$AY$1,N$1)+SUMIFS('changes2_based on steps'!$B237:$U237,'changes2_based on steps'!$B$1:$U$1,N$1)</f>
        <v>0</v>
      </c>
      <c r="O237" s="140">
        <f>SUMIFS('recurring2_based on steps'!$B237:$AY237,'recurring2_based on steps'!$B$1:$AY$1,O$1)+SUMIFS('changes2_based on steps'!$B237:$U237,'changes2_based on steps'!$B$1:$U$1,O$1)</f>
        <v>0</v>
      </c>
      <c r="P237" s="140">
        <f ca="1">SUMIFS('recurring2_based on steps'!$B237:$AY237,'recurring2_based on steps'!$B$1:$AY$1,P$1)+SUMIFS('changes2_based on steps'!$B237:$U237,'changes2_based on steps'!$B$1:$U$1,P$1)</f>
        <v>0</v>
      </c>
      <c r="Q237" s="140">
        <f ca="1">SUMIFS('recurring2_based on steps'!$B237:$AY237,'recurring2_based on steps'!$B$1:$AY$1,Q$1)+SUMIFS('changes2_based on steps'!$B237:$U237,'changes2_based on steps'!$B$1:$U$1,Q$1)</f>
        <v>100.05540166204986</v>
      </c>
      <c r="R237" s="140">
        <f ca="1">SUMIFS('recurring2_based on steps'!$B237:$AY237,'recurring2_based on steps'!$B$1:$AY$1,R$1)+SUMIFS('changes2_based on steps'!$B237:$U237,'changes2_based on steps'!$B$1:$U$1,R$1)</f>
        <v>0</v>
      </c>
      <c r="S237" s="140">
        <f>SUMIFS('recurring2_based on steps'!$B237:$AY237,'recurring2_based on steps'!$B$1:$AY$1,S$1)+SUMIFS('changes2_based on steps'!$B237:$U237,'changes2_based on steps'!$B$1:$U$1,S$1)</f>
        <v>0</v>
      </c>
      <c r="T237" s="140">
        <f ca="1">SUMIFS('recurring2_based on steps'!$B237:$AY237,'recurring2_based on steps'!$B$1:$AY$1,T$1)+SUMIFS('changes2_based on steps'!$B237:$U237,'changes2_based on steps'!$B$1:$U$1,T$1)</f>
        <v>0</v>
      </c>
      <c r="U237" s="140">
        <f ca="1">SUMIFS('recurring2_based on steps'!$B237:$AY237,'recurring2_based on steps'!$B$1:$AY$1,U$1)+SUMIFS('changes2_based on steps'!$B237:$U237,'changes2_based on steps'!$B$1:$U$1,U$1)</f>
        <v>0</v>
      </c>
      <c r="V237" s="140">
        <f>SUMIFS('recurring2_based on steps'!$B237:$AY237,'recurring2_based on steps'!$B$1:$AY$1,V$1)+SUMIFS('changes2_based on steps'!$B237:$U237,'changes2_based on steps'!$B$1:$U$1,V$1)</f>
        <v>0</v>
      </c>
      <c r="W237" s="140">
        <f>SUMIFS('recurring2_based on steps'!$B237:$AY237,'recurring2_based on steps'!$B$1:$AY$1,W$1)+SUMIFS('changes2_based on steps'!$B237:$U237,'changes2_based on steps'!$B$1:$U$1,W$1)</f>
        <v>0</v>
      </c>
      <c r="X237" s="140">
        <f ca="1">SUMIFS('recurring2_based on steps'!$B237:$AY237,'recurring2_based on steps'!$B$1:$AY$1,X$1)+SUMIFS('changes2_based on steps'!$B237:$U237,'changes2_based on steps'!$B$1:$U$1,X$1)</f>
        <v>0</v>
      </c>
      <c r="Y237" s="140">
        <f ca="1">SUMIFS('recurring2_based on steps'!$B237:$AY237,'recurring2_based on steps'!$B$1:$AY$1,Y$1)+SUMIFS('changes2_based on steps'!$B237:$U237,'changes2_based on steps'!$B$1:$U$1,Y$1)</f>
        <v>50</v>
      </c>
      <c r="Z237" s="140">
        <f>SUMIFS('recurring2_based on steps'!$B237:$AY237,'recurring2_based on steps'!$B$1:$AY$1,Z$1)+SUMIFS('changes2_based on steps'!$B237:$U237,'changes2_based on steps'!$B$1:$U$1,Z$1)</f>
        <v>0</v>
      </c>
      <c r="AA237" s="140">
        <f ca="1">SUMIFS('recurring2_based on steps'!$B237:$AY237,'recurring2_based on steps'!$B$1:$AY$1,AA$1)+SUMIFS('changes2_based on steps'!$B237:$U237,'changes2_based on steps'!$B$1:$U$1,AA$1)</f>
        <v>0</v>
      </c>
      <c r="AB237" s="140">
        <f ca="1">SUMIFS('recurring2_based on steps'!$B237:$AY237,'recurring2_based on steps'!$B$1:$AY$1,AB$1)+SUMIFS('changes2_based on steps'!$B237:$U237,'changes2_based on steps'!$B$1:$U$1,AB$1)</f>
        <v>0</v>
      </c>
      <c r="AC237" s="140">
        <f ca="1">SUMIFS('recurring2_based on steps'!$B237:$AY237,'recurring2_based on steps'!$B$1:$AY$1,AC$1)+SUMIFS('changes2_based on steps'!$B237:$U237,'changes2_based on steps'!$B$1:$U$1,AC$1)</f>
        <v>0</v>
      </c>
      <c r="AD237" s="140">
        <f ca="1">SUMIFS('recurring2_based on steps'!$B237:$AY237,'recurring2_based on steps'!$B$1:$AY$1,AD$1)+SUMIFS('changes2_based on steps'!$B237:$U237,'changes2_based on steps'!$B$1:$U$1,AD$1)</f>
        <v>0</v>
      </c>
      <c r="AE237" s="140">
        <f>SUMIFS('recurring2_based on steps'!$B237:$AY237,'recurring2_based on steps'!$B$1:$AY$1,AE$1)+SUMIFS('changes2_based on steps'!$B237:$U237,'changes2_based on steps'!$B$1:$U$1,AE$1)</f>
        <v>0</v>
      </c>
      <c r="AF237" s="140"/>
      <c r="AG237" s="140"/>
      <c r="AH237" s="140"/>
      <c r="AI237" s="140"/>
      <c r="AJ237" s="140"/>
      <c r="AK237" s="140"/>
      <c r="AL237" s="140"/>
      <c r="AM237" s="140"/>
    </row>
    <row r="238" spans="1:39" x14ac:dyDescent="0.2">
      <c r="A238" s="29">
        <f t="shared" ca="1" si="3"/>
        <v>45978</v>
      </c>
      <c r="B238" s="140">
        <f ca="1">SUMIFS('recurring2_based on steps'!$B238:$AY238,'recurring2_based on steps'!$B$1:$AY$1,B$1)+SUMIFS('changes2_based on steps'!$B238:$U238,'changes2_based on steps'!$B$1:$U$1,B$1)</f>
        <v>0</v>
      </c>
      <c r="C238" s="140">
        <f>SUMIFS('recurring2_based on steps'!$B238:$AY238,'recurring2_based on steps'!$B$1:$AY$1,C$1)+SUMIFS('changes2_based on steps'!$B238:$U238,'changes2_based on steps'!$B$1:$U$1,C$1)</f>
        <v>0</v>
      </c>
      <c r="D238" s="140">
        <f>SUMIFS('recurring2_based on steps'!$B238:$AY238,'recurring2_based on steps'!$B$1:$AY$1,D$1)+SUMIFS('changes2_based on steps'!$B238:$U238,'changes2_based on steps'!$B$1:$U$1,D$1)</f>
        <v>0</v>
      </c>
      <c r="E238" s="140">
        <f>SUMIFS('recurring2_based on steps'!$B238:$AY238,'recurring2_based on steps'!$B$1:$AY$1,E$1)+SUMIFS('changes2_based on steps'!$B238:$U238,'changes2_based on steps'!$B$1:$U$1,E$1)</f>
        <v>0</v>
      </c>
      <c r="F238" s="140">
        <f>SUMIFS('recurring2_based on steps'!$B238:$AY238,'recurring2_based on steps'!$B$1:$AY$1,F$1)+SUMIFS('changes2_based on steps'!$B238:$U238,'changes2_based on steps'!$B$1:$U$1,F$1)</f>
        <v>0</v>
      </c>
      <c r="G238" s="140">
        <f>SUMIFS('recurring2_based on steps'!$B238:$AY238,'recurring2_based on steps'!$B$1:$AY$1,G$1)+SUMIFS('changes2_based on steps'!$B238:$U238,'changes2_based on steps'!$B$1:$U$1,G$1)</f>
        <v>0</v>
      </c>
      <c r="H238" s="140">
        <f>SUMIFS('recurring2_based on steps'!$B238:$AY238,'recurring2_based on steps'!$B$1:$AY$1,H$1)+SUMIFS('changes2_based on steps'!$B238:$U238,'changes2_based on steps'!$B$1:$U$1,H$1)</f>
        <v>0</v>
      </c>
      <c r="I238" s="140">
        <f>SUMIFS('recurring2_based on steps'!$B238:$AY238,'recurring2_based on steps'!$B$1:$AY$1,I$1)+SUMIFS('changes2_based on steps'!$B238:$U238,'changes2_based on steps'!$B$1:$U$1,I$1)</f>
        <v>0</v>
      </c>
      <c r="J238" s="140">
        <f ca="1">SUMIFS('recurring2_based on steps'!$B238:$AY238,'recurring2_based on steps'!$B$1:$AY$1,J$1)+SUMIFS('changes2_based on steps'!$B238:$U238,'changes2_based on steps'!$B$1:$U$1,J$1)</f>
        <v>200</v>
      </c>
      <c r="K238" s="140">
        <f>SUMIFS('recurring2_based on steps'!$B238:$AY238,'recurring2_based on steps'!$B$1:$AY$1,K$1)+SUMIFS('changes2_based on steps'!$B238:$U238,'changes2_based on steps'!$B$1:$U$1,K$1)</f>
        <v>0</v>
      </c>
      <c r="L238" s="140">
        <f>SUMIFS('recurring2_based on steps'!$B238:$AY238,'recurring2_based on steps'!$B$1:$AY$1,L$1)+SUMIFS('changes2_based on steps'!$B238:$U238,'changes2_based on steps'!$B$1:$U$1,L$1)</f>
        <v>0</v>
      </c>
      <c r="M238" s="140">
        <f>SUMIFS('recurring2_based on steps'!$B238:$AY238,'recurring2_based on steps'!$B$1:$AY$1,M$1)+SUMIFS('changes2_based on steps'!$B238:$U238,'changes2_based on steps'!$B$1:$U$1,M$1)</f>
        <v>0</v>
      </c>
      <c r="N238" s="140">
        <f ca="1">SUMIFS('recurring2_based on steps'!$B238:$AY238,'recurring2_based on steps'!$B$1:$AY$1,N$1)+SUMIFS('changes2_based on steps'!$B238:$U238,'changes2_based on steps'!$B$1:$U$1,N$1)</f>
        <v>0</v>
      </c>
      <c r="O238" s="140">
        <f>SUMIFS('recurring2_based on steps'!$B238:$AY238,'recurring2_based on steps'!$B$1:$AY$1,O$1)+SUMIFS('changes2_based on steps'!$B238:$U238,'changes2_based on steps'!$B$1:$U$1,O$1)</f>
        <v>0</v>
      </c>
      <c r="P238" s="140">
        <f ca="1">SUMIFS('recurring2_based on steps'!$B238:$AY238,'recurring2_based on steps'!$B$1:$AY$1,P$1)+SUMIFS('changes2_based on steps'!$B238:$U238,'changes2_based on steps'!$B$1:$U$1,P$1)</f>
        <v>0</v>
      </c>
      <c r="Q238" s="140">
        <f ca="1">SUMIFS('recurring2_based on steps'!$B238:$AY238,'recurring2_based on steps'!$B$1:$AY$1,Q$1)+SUMIFS('changes2_based on steps'!$B238:$U238,'changes2_based on steps'!$B$1:$U$1,Q$1)</f>
        <v>5.5401662049861494E-2</v>
      </c>
      <c r="R238" s="140">
        <f ca="1">SUMIFS('recurring2_based on steps'!$B238:$AY238,'recurring2_based on steps'!$B$1:$AY$1,R$1)+SUMIFS('changes2_based on steps'!$B238:$U238,'changes2_based on steps'!$B$1:$U$1,R$1)</f>
        <v>15.49</v>
      </c>
      <c r="S238" s="140">
        <f>SUMIFS('recurring2_based on steps'!$B238:$AY238,'recurring2_based on steps'!$B$1:$AY$1,S$1)+SUMIFS('changes2_based on steps'!$B238:$U238,'changes2_based on steps'!$B$1:$U$1,S$1)</f>
        <v>0</v>
      </c>
      <c r="T238" s="140">
        <f ca="1">SUMIFS('recurring2_based on steps'!$B238:$AY238,'recurring2_based on steps'!$B$1:$AY$1,T$1)+SUMIFS('changes2_based on steps'!$B238:$U238,'changes2_based on steps'!$B$1:$U$1,T$1)</f>
        <v>0</v>
      </c>
      <c r="U238" s="140">
        <f ca="1">SUMIFS('recurring2_based on steps'!$B238:$AY238,'recurring2_based on steps'!$B$1:$AY$1,U$1)+SUMIFS('changes2_based on steps'!$B238:$U238,'changes2_based on steps'!$B$1:$U$1,U$1)</f>
        <v>0</v>
      </c>
      <c r="V238" s="140">
        <f>SUMIFS('recurring2_based on steps'!$B238:$AY238,'recurring2_based on steps'!$B$1:$AY$1,V$1)+SUMIFS('changes2_based on steps'!$B238:$U238,'changes2_based on steps'!$B$1:$U$1,V$1)</f>
        <v>0</v>
      </c>
      <c r="W238" s="140">
        <f>SUMIFS('recurring2_based on steps'!$B238:$AY238,'recurring2_based on steps'!$B$1:$AY$1,W$1)+SUMIFS('changes2_based on steps'!$B238:$U238,'changes2_based on steps'!$B$1:$U$1,W$1)</f>
        <v>0</v>
      </c>
      <c r="X238" s="140">
        <f ca="1">SUMIFS('recurring2_based on steps'!$B238:$AY238,'recurring2_based on steps'!$B$1:$AY$1,X$1)+SUMIFS('changes2_based on steps'!$B238:$U238,'changes2_based on steps'!$B$1:$U$1,X$1)</f>
        <v>0</v>
      </c>
      <c r="Y238" s="140">
        <f ca="1">SUMIFS('recurring2_based on steps'!$B238:$AY238,'recurring2_based on steps'!$B$1:$AY$1,Y$1)+SUMIFS('changes2_based on steps'!$B238:$U238,'changes2_based on steps'!$B$1:$U$1,Y$1)</f>
        <v>0</v>
      </c>
      <c r="Z238" s="140">
        <f>SUMIFS('recurring2_based on steps'!$B238:$AY238,'recurring2_based on steps'!$B$1:$AY$1,Z$1)+SUMIFS('changes2_based on steps'!$B238:$U238,'changes2_based on steps'!$B$1:$U$1,Z$1)</f>
        <v>0</v>
      </c>
      <c r="AA238" s="140">
        <f ca="1">SUMIFS('recurring2_based on steps'!$B238:$AY238,'recurring2_based on steps'!$B$1:$AY$1,AA$1)+SUMIFS('changes2_based on steps'!$B238:$U238,'changes2_based on steps'!$B$1:$U$1,AA$1)</f>
        <v>0</v>
      </c>
      <c r="AB238" s="140">
        <f ca="1">SUMIFS('recurring2_based on steps'!$B238:$AY238,'recurring2_based on steps'!$B$1:$AY$1,AB$1)+SUMIFS('changes2_based on steps'!$B238:$U238,'changes2_based on steps'!$B$1:$U$1,AB$1)</f>
        <v>0</v>
      </c>
      <c r="AC238" s="140">
        <f ca="1">SUMIFS('recurring2_based on steps'!$B238:$AY238,'recurring2_based on steps'!$B$1:$AY$1,AC$1)+SUMIFS('changes2_based on steps'!$B238:$U238,'changes2_based on steps'!$B$1:$U$1,AC$1)</f>
        <v>0</v>
      </c>
      <c r="AD238" s="140">
        <f ca="1">SUMIFS('recurring2_based on steps'!$B238:$AY238,'recurring2_based on steps'!$B$1:$AY$1,AD$1)+SUMIFS('changes2_based on steps'!$B238:$U238,'changes2_based on steps'!$B$1:$U$1,AD$1)</f>
        <v>0</v>
      </c>
      <c r="AE238" s="140">
        <f>SUMIFS('recurring2_based on steps'!$B238:$AY238,'recurring2_based on steps'!$B$1:$AY$1,AE$1)+SUMIFS('changes2_based on steps'!$B238:$U238,'changes2_based on steps'!$B$1:$U$1,AE$1)</f>
        <v>0</v>
      </c>
      <c r="AF238" s="140"/>
      <c r="AG238" s="140"/>
      <c r="AH238" s="140"/>
      <c r="AI238" s="140"/>
      <c r="AJ238" s="140"/>
      <c r="AK238" s="140"/>
      <c r="AL238" s="140"/>
      <c r="AM238" s="140"/>
    </row>
    <row r="239" spans="1:39" x14ac:dyDescent="0.2">
      <c r="A239" s="29">
        <f t="shared" ca="1" si="3"/>
        <v>45979</v>
      </c>
      <c r="B239" s="140">
        <f ca="1">SUMIFS('recurring2_based on steps'!$B239:$AY239,'recurring2_based on steps'!$B$1:$AY$1,B$1)+SUMIFS('changes2_based on steps'!$B239:$U239,'changes2_based on steps'!$B$1:$U$1,B$1)</f>
        <v>0</v>
      </c>
      <c r="C239" s="140">
        <f>SUMIFS('recurring2_based on steps'!$B239:$AY239,'recurring2_based on steps'!$B$1:$AY$1,C$1)+SUMIFS('changes2_based on steps'!$B239:$U239,'changes2_based on steps'!$B$1:$U$1,C$1)</f>
        <v>0</v>
      </c>
      <c r="D239" s="140">
        <f>SUMIFS('recurring2_based on steps'!$B239:$AY239,'recurring2_based on steps'!$B$1:$AY$1,D$1)+SUMIFS('changes2_based on steps'!$B239:$U239,'changes2_based on steps'!$B$1:$U$1,D$1)</f>
        <v>0</v>
      </c>
      <c r="E239" s="140">
        <f>SUMIFS('recurring2_based on steps'!$B239:$AY239,'recurring2_based on steps'!$B$1:$AY$1,E$1)+SUMIFS('changes2_based on steps'!$B239:$U239,'changes2_based on steps'!$B$1:$U$1,E$1)</f>
        <v>0</v>
      </c>
      <c r="F239" s="140">
        <f>SUMIFS('recurring2_based on steps'!$B239:$AY239,'recurring2_based on steps'!$B$1:$AY$1,F$1)+SUMIFS('changes2_based on steps'!$B239:$U239,'changes2_based on steps'!$B$1:$U$1,F$1)</f>
        <v>0</v>
      </c>
      <c r="G239" s="140">
        <f>SUMIFS('recurring2_based on steps'!$B239:$AY239,'recurring2_based on steps'!$B$1:$AY$1,G$1)+SUMIFS('changes2_based on steps'!$B239:$U239,'changes2_based on steps'!$B$1:$U$1,G$1)</f>
        <v>0</v>
      </c>
      <c r="H239" s="140">
        <f>SUMIFS('recurring2_based on steps'!$B239:$AY239,'recurring2_based on steps'!$B$1:$AY$1,H$1)+SUMIFS('changes2_based on steps'!$B239:$U239,'changes2_based on steps'!$B$1:$U$1,H$1)</f>
        <v>0</v>
      </c>
      <c r="I239" s="140">
        <f>SUMIFS('recurring2_based on steps'!$B239:$AY239,'recurring2_based on steps'!$B$1:$AY$1,I$1)+SUMIFS('changes2_based on steps'!$B239:$U239,'changes2_based on steps'!$B$1:$U$1,I$1)</f>
        <v>0</v>
      </c>
      <c r="J239" s="140">
        <f ca="1">SUMIFS('recurring2_based on steps'!$B239:$AY239,'recurring2_based on steps'!$B$1:$AY$1,J$1)+SUMIFS('changes2_based on steps'!$B239:$U239,'changes2_based on steps'!$B$1:$U$1,J$1)</f>
        <v>0</v>
      </c>
      <c r="K239" s="140">
        <f>SUMIFS('recurring2_based on steps'!$B239:$AY239,'recurring2_based on steps'!$B$1:$AY$1,K$1)+SUMIFS('changes2_based on steps'!$B239:$U239,'changes2_based on steps'!$B$1:$U$1,K$1)</f>
        <v>0</v>
      </c>
      <c r="L239" s="140">
        <f>SUMIFS('recurring2_based on steps'!$B239:$AY239,'recurring2_based on steps'!$B$1:$AY$1,L$1)+SUMIFS('changes2_based on steps'!$B239:$U239,'changes2_based on steps'!$B$1:$U$1,L$1)</f>
        <v>0</v>
      </c>
      <c r="M239" s="140">
        <f>SUMIFS('recurring2_based on steps'!$B239:$AY239,'recurring2_based on steps'!$B$1:$AY$1,M$1)+SUMIFS('changes2_based on steps'!$B239:$U239,'changes2_based on steps'!$B$1:$U$1,M$1)</f>
        <v>0</v>
      </c>
      <c r="N239" s="140">
        <f ca="1">SUMIFS('recurring2_based on steps'!$B239:$AY239,'recurring2_based on steps'!$B$1:$AY$1,N$1)+SUMIFS('changes2_based on steps'!$B239:$U239,'changes2_based on steps'!$B$1:$U$1,N$1)</f>
        <v>0</v>
      </c>
      <c r="O239" s="140">
        <f>SUMIFS('recurring2_based on steps'!$B239:$AY239,'recurring2_based on steps'!$B$1:$AY$1,O$1)+SUMIFS('changes2_based on steps'!$B239:$U239,'changes2_based on steps'!$B$1:$U$1,O$1)</f>
        <v>0</v>
      </c>
      <c r="P239" s="140">
        <f ca="1">SUMIFS('recurring2_based on steps'!$B239:$AY239,'recurring2_based on steps'!$B$1:$AY$1,P$1)+SUMIFS('changes2_based on steps'!$B239:$U239,'changes2_based on steps'!$B$1:$U$1,P$1)</f>
        <v>0</v>
      </c>
      <c r="Q239" s="140">
        <f ca="1">SUMIFS('recurring2_based on steps'!$B239:$AY239,'recurring2_based on steps'!$B$1:$AY$1,Q$1)+SUMIFS('changes2_based on steps'!$B239:$U239,'changes2_based on steps'!$B$1:$U$1,Q$1)</f>
        <v>5.5401662049861494E-2</v>
      </c>
      <c r="R239" s="140">
        <f ca="1">SUMIFS('recurring2_based on steps'!$B239:$AY239,'recurring2_based on steps'!$B$1:$AY$1,R$1)+SUMIFS('changes2_based on steps'!$B239:$U239,'changes2_based on steps'!$B$1:$U$1,R$1)</f>
        <v>10.99</v>
      </c>
      <c r="S239" s="140">
        <f>SUMIFS('recurring2_based on steps'!$B239:$AY239,'recurring2_based on steps'!$B$1:$AY$1,S$1)+SUMIFS('changes2_based on steps'!$B239:$U239,'changes2_based on steps'!$B$1:$U$1,S$1)</f>
        <v>0</v>
      </c>
      <c r="T239" s="140">
        <f ca="1">SUMIFS('recurring2_based on steps'!$B239:$AY239,'recurring2_based on steps'!$B$1:$AY$1,T$1)+SUMIFS('changes2_based on steps'!$B239:$U239,'changes2_based on steps'!$B$1:$U$1,T$1)</f>
        <v>0</v>
      </c>
      <c r="U239" s="140">
        <f ca="1">SUMIFS('recurring2_based on steps'!$B239:$AY239,'recurring2_based on steps'!$B$1:$AY$1,U$1)+SUMIFS('changes2_based on steps'!$B239:$U239,'changes2_based on steps'!$B$1:$U$1,U$1)</f>
        <v>0</v>
      </c>
      <c r="V239" s="140">
        <f>SUMIFS('recurring2_based on steps'!$B239:$AY239,'recurring2_based on steps'!$B$1:$AY$1,V$1)+SUMIFS('changes2_based on steps'!$B239:$U239,'changes2_based on steps'!$B$1:$U$1,V$1)</f>
        <v>0</v>
      </c>
      <c r="W239" s="140">
        <f>SUMIFS('recurring2_based on steps'!$B239:$AY239,'recurring2_based on steps'!$B$1:$AY$1,W$1)+SUMIFS('changes2_based on steps'!$B239:$U239,'changes2_based on steps'!$B$1:$U$1,W$1)</f>
        <v>0</v>
      </c>
      <c r="X239" s="140">
        <f ca="1">SUMIFS('recurring2_based on steps'!$B239:$AY239,'recurring2_based on steps'!$B$1:$AY$1,X$1)+SUMIFS('changes2_based on steps'!$B239:$U239,'changes2_based on steps'!$B$1:$U$1,X$1)</f>
        <v>0</v>
      </c>
      <c r="Y239" s="140">
        <f ca="1">SUMIFS('recurring2_based on steps'!$B239:$AY239,'recurring2_based on steps'!$B$1:$AY$1,Y$1)+SUMIFS('changes2_based on steps'!$B239:$U239,'changes2_based on steps'!$B$1:$U$1,Y$1)</f>
        <v>0</v>
      </c>
      <c r="Z239" s="140">
        <f>SUMIFS('recurring2_based on steps'!$B239:$AY239,'recurring2_based on steps'!$B$1:$AY$1,Z$1)+SUMIFS('changes2_based on steps'!$B239:$U239,'changes2_based on steps'!$B$1:$U$1,Z$1)</f>
        <v>0</v>
      </c>
      <c r="AA239" s="140">
        <f ca="1">SUMIFS('recurring2_based on steps'!$B239:$AY239,'recurring2_based on steps'!$B$1:$AY$1,AA$1)+SUMIFS('changes2_based on steps'!$B239:$U239,'changes2_based on steps'!$B$1:$U$1,AA$1)</f>
        <v>0</v>
      </c>
      <c r="AB239" s="140">
        <f ca="1">SUMIFS('recurring2_based on steps'!$B239:$AY239,'recurring2_based on steps'!$B$1:$AY$1,AB$1)+SUMIFS('changes2_based on steps'!$B239:$U239,'changes2_based on steps'!$B$1:$U$1,AB$1)</f>
        <v>0</v>
      </c>
      <c r="AC239" s="140">
        <f ca="1">SUMIFS('recurring2_based on steps'!$B239:$AY239,'recurring2_based on steps'!$B$1:$AY$1,AC$1)+SUMIFS('changes2_based on steps'!$B239:$U239,'changes2_based on steps'!$B$1:$U$1,AC$1)</f>
        <v>0</v>
      </c>
      <c r="AD239" s="140">
        <f ca="1">SUMIFS('recurring2_based on steps'!$B239:$AY239,'recurring2_based on steps'!$B$1:$AY$1,AD$1)+SUMIFS('changes2_based on steps'!$B239:$U239,'changes2_based on steps'!$B$1:$U$1,AD$1)</f>
        <v>0</v>
      </c>
      <c r="AE239" s="140">
        <f>SUMIFS('recurring2_based on steps'!$B239:$AY239,'recurring2_based on steps'!$B$1:$AY$1,AE$1)+SUMIFS('changes2_based on steps'!$B239:$U239,'changes2_based on steps'!$B$1:$U$1,AE$1)</f>
        <v>0</v>
      </c>
      <c r="AF239" s="140"/>
      <c r="AG239" s="140"/>
      <c r="AH239" s="140"/>
      <c r="AI239" s="140"/>
      <c r="AJ239" s="140"/>
      <c r="AK239" s="140"/>
      <c r="AL239" s="140"/>
      <c r="AM239" s="140"/>
    </row>
    <row r="240" spans="1:39" x14ac:dyDescent="0.2">
      <c r="A240" s="29">
        <f t="shared" ca="1" si="3"/>
        <v>45980</v>
      </c>
      <c r="B240" s="140">
        <f ca="1">SUMIFS('recurring2_based on steps'!$B240:$AY240,'recurring2_based on steps'!$B$1:$AY$1,B$1)+SUMIFS('changes2_based on steps'!$B240:$U240,'changes2_based on steps'!$B$1:$U$1,B$1)</f>
        <v>0</v>
      </c>
      <c r="C240" s="140">
        <f>SUMIFS('recurring2_based on steps'!$B240:$AY240,'recurring2_based on steps'!$B$1:$AY$1,C$1)+SUMIFS('changes2_based on steps'!$B240:$U240,'changes2_based on steps'!$B$1:$U$1,C$1)</f>
        <v>0</v>
      </c>
      <c r="D240" s="140">
        <f>SUMIFS('recurring2_based on steps'!$B240:$AY240,'recurring2_based on steps'!$B$1:$AY$1,D$1)+SUMIFS('changes2_based on steps'!$B240:$U240,'changes2_based on steps'!$B$1:$U$1,D$1)</f>
        <v>0</v>
      </c>
      <c r="E240" s="140">
        <f>SUMIFS('recurring2_based on steps'!$B240:$AY240,'recurring2_based on steps'!$B$1:$AY$1,E$1)+SUMIFS('changes2_based on steps'!$B240:$U240,'changes2_based on steps'!$B$1:$U$1,E$1)</f>
        <v>0</v>
      </c>
      <c r="F240" s="140">
        <f>SUMIFS('recurring2_based on steps'!$B240:$AY240,'recurring2_based on steps'!$B$1:$AY$1,F$1)+SUMIFS('changes2_based on steps'!$B240:$U240,'changes2_based on steps'!$B$1:$U$1,F$1)</f>
        <v>0</v>
      </c>
      <c r="G240" s="140">
        <f>SUMIFS('recurring2_based on steps'!$B240:$AY240,'recurring2_based on steps'!$B$1:$AY$1,G$1)+SUMIFS('changes2_based on steps'!$B240:$U240,'changes2_based on steps'!$B$1:$U$1,G$1)</f>
        <v>0</v>
      </c>
      <c r="H240" s="140">
        <f>SUMIFS('recurring2_based on steps'!$B240:$AY240,'recurring2_based on steps'!$B$1:$AY$1,H$1)+SUMIFS('changes2_based on steps'!$B240:$U240,'changes2_based on steps'!$B$1:$U$1,H$1)</f>
        <v>0</v>
      </c>
      <c r="I240" s="140">
        <f>SUMIFS('recurring2_based on steps'!$B240:$AY240,'recurring2_based on steps'!$B$1:$AY$1,I$1)+SUMIFS('changes2_based on steps'!$B240:$U240,'changes2_based on steps'!$B$1:$U$1,I$1)</f>
        <v>0</v>
      </c>
      <c r="J240" s="140">
        <f ca="1">SUMIFS('recurring2_based on steps'!$B240:$AY240,'recurring2_based on steps'!$B$1:$AY$1,J$1)+SUMIFS('changes2_based on steps'!$B240:$U240,'changes2_based on steps'!$B$1:$U$1,J$1)</f>
        <v>0</v>
      </c>
      <c r="K240" s="140">
        <f>SUMIFS('recurring2_based on steps'!$B240:$AY240,'recurring2_based on steps'!$B$1:$AY$1,K$1)+SUMIFS('changes2_based on steps'!$B240:$U240,'changes2_based on steps'!$B$1:$U$1,K$1)</f>
        <v>0</v>
      </c>
      <c r="L240" s="140">
        <f>SUMIFS('recurring2_based on steps'!$B240:$AY240,'recurring2_based on steps'!$B$1:$AY$1,L$1)+SUMIFS('changes2_based on steps'!$B240:$U240,'changes2_based on steps'!$B$1:$U$1,L$1)</f>
        <v>0</v>
      </c>
      <c r="M240" s="140">
        <f>SUMIFS('recurring2_based on steps'!$B240:$AY240,'recurring2_based on steps'!$B$1:$AY$1,M$1)+SUMIFS('changes2_based on steps'!$B240:$U240,'changes2_based on steps'!$B$1:$U$1,M$1)</f>
        <v>0</v>
      </c>
      <c r="N240" s="140">
        <f ca="1">SUMIFS('recurring2_based on steps'!$B240:$AY240,'recurring2_based on steps'!$B$1:$AY$1,N$1)+SUMIFS('changes2_based on steps'!$B240:$U240,'changes2_based on steps'!$B$1:$U$1,N$1)</f>
        <v>0</v>
      </c>
      <c r="O240" s="140">
        <f>SUMIFS('recurring2_based on steps'!$B240:$AY240,'recurring2_based on steps'!$B$1:$AY$1,O$1)+SUMIFS('changes2_based on steps'!$B240:$U240,'changes2_based on steps'!$B$1:$U$1,O$1)</f>
        <v>0</v>
      </c>
      <c r="P240" s="140">
        <f ca="1">SUMIFS('recurring2_based on steps'!$B240:$AY240,'recurring2_based on steps'!$B$1:$AY$1,P$1)+SUMIFS('changes2_based on steps'!$B240:$U240,'changes2_based on steps'!$B$1:$U$1,P$1)</f>
        <v>0</v>
      </c>
      <c r="Q240" s="140">
        <f ca="1">SUMIFS('recurring2_based on steps'!$B240:$AY240,'recurring2_based on steps'!$B$1:$AY$1,Q$1)+SUMIFS('changes2_based on steps'!$B240:$U240,'changes2_based on steps'!$B$1:$U$1,Q$1)</f>
        <v>5.5401662049861494E-2</v>
      </c>
      <c r="R240" s="140">
        <f ca="1">SUMIFS('recurring2_based on steps'!$B240:$AY240,'recurring2_based on steps'!$B$1:$AY$1,R$1)+SUMIFS('changes2_based on steps'!$B240:$U240,'changes2_based on steps'!$B$1:$U$1,R$1)</f>
        <v>0</v>
      </c>
      <c r="S240" s="140">
        <f>SUMIFS('recurring2_based on steps'!$B240:$AY240,'recurring2_based on steps'!$B$1:$AY$1,S$1)+SUMIFS('changes2_based on steps'!$B240:$U240,'changes2_based on steps'!$B$1:$U$1,S$1)</f>
        <v>0</v>
      </c>
      <c r="T240" s="140">
        <f ca="1">SUMIFS('recurring2_based on steps'!$B240:$AY240,'recurring2_based on steps'!$B$1:$AY$1,T$1)+SUMIFS('changes2_based on steps'!$B240:$U240,'changes2_based on steps'!$B$1:$U$1,T$1)</f>
        <v>0</v>
      </c>
      <c r="U240" s="140">
        <f ca="1">SUMIFS('recurring2_based on steps'!$B240:$AY240,'recurring2_based on steps'!$B$1:$AY$1,U$1)+SUMIFS('changes2_based on steps'!$B240:$U240,'changes2_based on steps'!$B$1:$U$1,U$1)</f>
        <v>0</v>
      </c>
      <c r="V240" s="140">
        <f>SUMIFS('recurring2_based on steps'!$B240:$AY240,'recurring2_based on steps'!$B$1:$AY$1,V$1)+SUMIFS('changes2_based on steps'!$B240:$U240,'changes2_based on steps'!$B$1:$U$1,V$1)</f>
        <v>0</v>
      </c>
      <c r="W240" s="140">
        <f>SUMIFS('recurring2_based on steps'!$B240:$AY240,'recurring2_based on steps'!$B$1:$AY$1,W$1)+SUMIFS('changes2_based on steps'!$B240:$U240,'changes2_based on steps'!$B$1:$U$1,W$1)</f>
        <v>0</v>
      </c>
      <c r="X240" s="140">
        <f ca="1">SUMIFS('recurring2_based on steps'!$B240:$AY240,'recurring2_based on steps'!$B$1:$AY$1,X$1)+SUMIFS('changes2_based on steps'!$B240:$U240,'changes2_based on steps'!$B$1:$U$1,X$1)</f>
        <v>0</v>
      </c>
      <c r="Y240" s="140">
        <f ca="1">SUMIFS('recurring2_based on steps'!$B240:$AY240,'recurring2_based on steps'!$B$1:$AY$1,Y$1)+SUMIFS('changes2_based on steps'!$B240:$U240,'changes2_based on steps'!$B$1:$U$1,Y$1)</f>
        <v>0</v>
      </c>
      <c r="Z240" s="140">
        <f>SUMIFS('recurring2_based on steps'!$B240:$AY240,'recurring2_based on steps'!$B$1:$AY$1,Z$1)+SUMIFS('changes2_based on steps'!$B240:$U240,'changes2_based on steps'!$B$1:$U$1,Z$1)</f>
        <v>0</v>
      </c>
      <c r="AA240" s="140">
        <f ca="1">SUMIFS('recurring2_based on steps'!$B240:$AY240,'recurring2_based on steps'!$B$1:$AY$1,AA$1)+SUMIFS('changes2_based on steps'!$B240:$U240,'changes2_based on steps'!$B$1:$U$1,AA$1)</f>
        <v>0</v>
      </c>
      <c r="AB240" s="140">
        <f ca="1">SUMIFS('recurring2_based on steps'!$B240:$AY240,'recurring2_based on steps'!$B$1:$AY$1,AB$1)+SUMIFS('changes2_based on steps'!$B240:$U240,'changes2_based on steps'!$B$1:$U$1,AB$1)</f>
        <v>0</v>
      </c>
      <c r="AC240" s="140">
        <f ca="1">SUMIFS('recurring2_based on steps'!$B240:$AY240,'recurring2_based on steps'!$B$1:$AY$1,AC$1)+SUMIFS('changes2_based on steps'!$B240:$U240,'changes2_based on steps'!$B$1:$U$1,AC$1)</f>
        <v>0</v>
      </c>
      <c r="AD240" s="140">
        <f ca="1">SUMIFS('recurring2_based on steps'!$B240:$AY240,'recurring2_based on steps'!$B$1:$AY$1,AD$1)+SUMIFS('changes2_based on steps'!$B240:$U240,'changes2_based on steps'!$B$1:$U$1,AD$1)</f>
        <v>0</v>
      </c>
      <c r="AE240" s="140">
        <f>SUMIFS('recurring2_based on steps'!$B240:$AY240,'recurring2_based on steps'!$B$1:$AY$1,AE$1)+SUMIFS('changes2_based on steps'!$B240:$U240,'changes2_based on steps'!$B$1:$U$1,AE$1)</f>
        <v>0</v>
      </c>
      <c r="AF240" s="140"/>
      <c r="AG240" s="140"/>
      <c r="AH240" s="140"/>
      <c r="AI240" s="140"/>
      <c r="AJ240" s="140"/>
      <c r="AK240" s="140"/>
      <c r="AL240" s="140"/>
      <c r="AM240" s="140"/>
    </row>
    <row r="241" spans="1:39" x14ac:dyDescent="0.2">
      <c r="A241" s="29">
        <f t="shared" ca="1" si="3"/>
        <v>45981</v>
      </c>
      <c r="B241" s="140">
        <f ca="1">SUMIFS('recurring2_based on steps'!$B241:$AY241,'recurring2_based on steps'!$B$1:$AY$1,B$1)+SUMIFS('changes2_based on steps'!$B241:$U241,'changes2_based on steps'!$B$1:$U$1,B$1)</f>
        <v>0</v>
      </c>
      <c r="C241" s="140">
        <f>SUMIFS('recurring2_based on steps'!$B241:$AY241,'recurring2_based on steps'!$B$1:$AY$1,C$1)+SUMIFS('changes2_based on steps'!$B241:$U241,'changes2_based on steps'!$B$1:$U$1,C$1)</f>
        <v>0</v>
      </c>
      <c r="D241" s="140">
        <f>SUMIFS('recurring2_based on steps'!$B241:$AY241,'recurring2_based on steps'!$B$1:$AY$1,D$1)+SUMIFS('changes2_based on steps'!$B241:$U241,'changes2_based on steps'!$B$1:$U$1,D$1)</f>
        <v>0</v>
      </c>
      <c r="E241" s="140">
        <f>SUMIFS('recurring2_based on steps'!$B241:$AY241,'recurring2_based on steps'!$B$1:$AY$1,E$1)+SUMIFS('changes2_based on steps'!$B241:$U241,'changes2_based on steps'!$B$1:$U$1,E$1)</f>
        <v>0</v>
      </c>
      <c r="F241" s="140">
        <f>SUMIFS('recurring2_based on steps'!$B241:$AY241,'recurring2_based on steps'!$B$1:$AY$1,F$1)+SUMIFS('changes2_based on steps'!$B241:$U241,'changes2_based on steps'!$B$1:$U$1,F$1)</f>
        <v>0</v>
      </c>
      <c r="G241" s="140">
        <f>SUMIFS('recurring2_based on steps'!$B241:$AY241,'recurring2_based on steps'!$B$1:$AY$1,G$1)+SUMIFS('changes2_based on steps'!$B241:$U241,'changes2_based on steps'!$B$1:$U$1,G$1)</f>
        <v>0</v>
      </c>
      <c r="H241" s="140">
        <f>SUMIFS('recurring2_based on steps'!$B241:$AY241,'recurring2_based on steps'!$B$1:$AY$1,H$1)+SUMIFS('changes2_based on steps'!$B241:$U241,'changes2_based on steps'!$B$1:$U$1,H$1)</f>
        <v>0</v>
      </c>
      <c r="I241" s="140">
        <f>SUMIFS('recurring2_based on steps'!$B241:$AY241,'recurring2_based on steps'!$B$1:$AY$1,I$1)+SUMIFS('changes2_based on steps'!$B241:$U241,'changes2_based on steps'!$B$1:$U$1,I$1)</f>
        <v>0</v>
      </c>
      <c r="J241" s="140">
        <f ca="1">SUMIFS('recurring2_based on steps'!$B241:$AY241,'recurring2_based on steps'!$B$1:$AY$1,J$1)+SUMIFS('changes2_based on steps'!$B241:$U241,'changes2_based on steps'!$B$1:$U$1,J$1)</f>
        <v>0</v>
      </c>
      <c r="K241" s="140">
        <f>SUMIFS('recurring2_based on steps'!$B241:$AY241,'recurring2_based on steps'!$B$1:$AY$1,K$1)+SUMIFS('changes2_based on steps'!$B241:$U241,'changes2_based on steps'!$B$1:$U$1,K$1)</f>
        <v>0</v>
      </c>
      <c r="L241" s="140">
        <f>SUMIFS('recurring2_based on steps'!$B241:$AY241,'recurring2_based on steps'!$B$1:$AY$1,L$1)+SUMIFS('changes2_based on steps'!$B241:$U241,'changes2_based on steps'!$B$1:$U$1,L$1)</f>
        <v>0</v>
      </c>
      <c r="M241" s="140">
        <f>SUMIFS('recurring2_based on steps'!$B241:$AY241,'recurring2_based on steps'!$B$1:$AY$1,M$1)+SUMIFS('changes2_based on steps'!$B241:$U241,'changes2_based on steps'!$B$1:$U$1,M$1)</f>
        <v>0</v>
      </c>
      <c r="N241" s="140">
        <f ca="1">SUMIFS('recurring2_based on steps'!$B241:$AY241,'recurring2_based on steps'!$B$1:$AY$1,N$1)+SUMIFS('changes2_based on steps'!$B241:$U241,'changes2_based on steps'!$B$1:$U$1,N$1)</f>
        <v>0</v>
      </c>
      <c r="O241" s="140">
        <f>SUMIFS('recurring2_based on steps'!$B241:$AY241,'recurring2_based on steps'!$B$1:$AY$1,O$1)+SUMIFS('changes2_based on steps'!$B241:$U241,'changes2_based on steps'!$B$1:$U$1,O$1)</f>
        <v>0</v>
      </c>
      <c r="P241" s="140">
        <f ca="1">SUMIFS('recurring2_based on steps'!$B241:$AY241,'recurring2_based on steps'!$B$1:$AY$1,P$1)+SUMIFS('changes2_based on steps'!$B241:$U241,'changes2_based on steps'!$B$1:$U$1,P$1)</f>
        <v>0</v>
      </c>
      <c r="Q241" s="140">
        <f ca="1">SUMIFS('recurring2_based on steps'!$B241:$AY241,'recurring2_based on steps'!$B$1:$AY$1,Q$1)+SUMIFS('changes2_based on steps'!$B241:$U241,'changes2_based on steps'!$B$1:$U$1,Q$1)</f>
        <v>5.5401662049861494E-2</v>
      </c>
      <c r="R241" s="140">
        <f ca="1">SUMIFS('recurring2_based on steps'!$B241:$AY241,'recurring2_based on steps'!$B$1:$AY$1,R$1)+SUMIFS('changes2_based on steps'!$B241:$U241,'changes2_based on steps'!$B$1:$U$1,R$1)</f>
        <v>5.8171745152354575</v>
      </c>
      <c r="S241" s="140">
        <f>SUMIFS('recurring2_based on steps'!$B241:$AY241,'recurring2_based on steps'!$B$1:$AY$1,S$1)+SUMIFS('changes2_based on steps'!$B241:$U241,'changes2_based on steps'!$B$1:$U$1,S$1)</f>
        <v>0</v>
      </c>
      <c r="T241" s="140">
        <f ca="1">SUMIFS('recurring2_based on steps'!$B241:$AY241,'recurring2_based on steps'!$B$1:$AY$1,T$1)+SUMIFS('changes2_based on steps'!$B241:$U241,'changes2_based on steps'!$B$1:$U$1,T$1)</f>
        <v>0</v>
      </c>
      <c r="U241" s="140">
        <f ca="1">SUMIFS('recurring2_based on steps'!$B241:$AY241,'recurring2_based on steps'!$B$1:$AY$1,U$1)+SUMIFS('changes2_based on steps'!$B241:$U241,'changes2_based on steps'!$B$1:$U$1,U$1)</f>
        <v>0</v>
      </c>
      <c r="V241" s="140">
        <f>SUMIFS('recurring2_based on steps'!$B241:$AY241,'recurring2_based on steps'!$B$1:$AY$1,V$1)+SUMIFS('changes2_based on steps'!$B241:$U241,'changes2_based on steps'!$B$1:$U$1,V$1)</f>
        <v>0</v>
      </c>
      <c r="W241" s="140">
        <f>SUMIFS('recurring2_based on steps'!$B241:$AY241,'recurring2_based on steps'!$B$1:$AY$1,W$1)+SUMIFS('changes2_based on steps'!$B241:$U241,'changes2_based on steps'!$B$1:$U$1,W$1)</f>
        <v>0</v>
      </c>
      <c r="X241" s="140">
        <f ca="1">SUMIFS('recurring2_based on steps'!$B241:$AY241,'recurring2_based on steps'!$B$1:$AY$1,X$1)+SUMIFS('changes2_based on steps'!$B241:$U241,'changes2_based on steps'!$B$1:$U$1,X$1)</f>
        <v>0</v>
      </c>
      <c r="Y241" s="140">
        <f ca="1">SUMIFS('recurring2_based on steps'!$B241:$AY241,'recurring2_based on steps'!$B$1:$AY$1,Y$1)+SUMIFS('changes2_based on steps'!$B241:$U241,'changes2_based on steps'!$B$1:$U$1,Y$1)</f>
        <v>0</v>
      </c>
      <c r="Z241" s="140">
        <f>SUMIFS('recurring2_based on steps'!$B241:$AY241,'recurring2_based on steps'!$B$1:$AY$1,Z$1)+SUMIFS('changes2_based on steps'!$B241:$U241,'changes2_based on steps'!$B$1:$U$1,Z$1)</f>
        <v>0</v>
      </c>
      <c r="AA241" s="140">
        <f ca="1">SUMIFS('recurring2_based on steps'!$B241:$AY241,'recurring2_based on steps'!$B$1:$AY$1,AA$1)+SUMIFS('changes2_based on steps'!$B241:$U241,'changes2_based on steps'!$B$1:$U$1,AA$1)</f>
        <v>0</v>
      </c>
      <c r="AB241" s="140">
        <f ca="1">SUMIFS('recurring2_based on steps'!$B241:$AY241,'recurring2_based on steps'!$B$1:$AY$1,AB$1)+SUMIFS('changes2_based on steps'!$B241:$U241,'changes2_based on steps'!$B$1:$U$1,AB$1)</f>
        <v>0</v>
      </c>
      <c r="AC241" s="140">
        <f ca="1">SUMIFS('recurring2_based on steps'!$B241:$AY241,'recurring2_based on steps'!$B$1:$AY$1,AC$1)+SUMIFS('changes2_based on steps'!$B241:$U241,'changes2_based on steps'!$B$1:$U$1,AC$1)</f>
        <v>0</v>
      </c>
      <c r="AD241" s="140">
        <f ca="1">SUMIFS('recurring2_based on steps'!$B241:$AY241,'recurring2_based on steps'!$B$1:$AY$1,AD$1)+SUMIFS('changes2_based on steps'!$B241:$U241,'changes2_based on steps'!$B$1:$U$1,AD$1)</f>
        <v>0</v>
      </c>
      <c r="AE241" s="140">
        <f>SUMIFS('recurring2_based on steps'!$B241:$AY241,'recurring2_based on steps'!$B$1:$AY$1,AE$1)+SUMIFS('changes2_based on steps'!$B241:$U241,'changes2_based on steps'!$B$1:$U$1,AE$1)</f>
        <v>0</v>
      </c>
      <c r="AF241" s="140"/>
      <c r="AG241" s="140"/>
      <c r="AH241" s="140"/>
      <c r="AI241" s="140"/>
      <c r="AJ241" s="140"/>
      <c r="AK241" s="140"/>
      <c r="AL241" s="140"/>
      <c r="AM241" s="140"/>
    </row>
    <row r="242" spans="1:39" x14ac:dyDescent="0.2">
      <c r="A242" s="29">
        <f t="shared" ca="1" si="3"/>
        <v>45982</v>
      </c>
      <c r="B242" s="140">
        <f ca="1">SUMIFS('recurring2_based on steps'!$B242:$AY242,'recurring2_based on steps'!$B$1:$AY$1,B$1)+SUMIFS('changes2_based on steps'!$B242:$U242,'changes2_based on steps'!$B$1:$U$1,B$1)</f>
        <v>0</v>
      </c>
      <c r="C242" s="140">
        <f>SUMIFS('recurring2_based on steps'!$B242:$AY242,'recurring2_based on steps'!$B$1:$AY$1,C$1)+SUMIFS('changes2_based on steps'!$B242:$U242,'changes2_based on steps'!$B$1:$U$1,C$1)</f>
        <v>0</v>
      </c>
      <c r="D242" s="140">
        <f>SUMIFS('recurring2_based on steps'!$B242:$AY242,'recurring2_based on steps'!$B$1:$AY$1,D$1)+SUMIFS('changes2_based on steps'!$B242:$U242,'changes2_based on steps'!$B$1:$U$1,D$1)</f>
        <v>0</v>
      </c>
      <c r="E242" s="140">
        <f>SUMIFS('recurring2_based on steps'!$B242:$AY242,'recurring2_based on steps'!$B$1:$AY$1,E$1)+SUMIFS('changes2_based on steps'!$B242:$U242,'changes2_based on steps'!$B$1:$U$1,E$1)</f>
        <v>0</v>
      </c>
      <c r="F242" s="140">
        <f>SUMIFS('recurring2_based on steps'!$B242:$AY242,'recurring2_based on steps'!$B$1:$AY$1,F$1)+SUMIFS('changes2_based on steps'!$B242:$U242,'changes2_based on steps'!$B$1:$U$1,F$1)</f>
        <v>0</v>
      </c>
      <c r="G242" s="140">
        <f>SUMIFS('recurring2_based on steps'!$B242:$AY242,'recurring2_based on steps'!$B$1:$AY$1,G$1)+SUMIFS('changes2_based on steps'!$B242:$U242,'changes2_based on steps'!$B$1:$U$1,G$1)</f>
        <v>0</v>
      </c>
      <c r="H242" s="140">
        <f>SUMIFS('recurring2_based on steps'!$B242:$AY242,'recurring2_based on steps'!$B$1:$AY$1,H$1)+SUMIFS('changes2_based on steps'!$B242:$U242,'changes2_based on steps'!$B$1:$U$1,H$1)</f>
        <v>0</v>
      </c>
      <c r="I242" s="140">
        <f>SUMIFS('recurring2_based on steps'!$B242:$AY242,'recurring2_based on steps'!$B$1:$AY$1,I$1)+SUMIFS('changes2_based on steps'!$B242:$U242,'changes2_based on steps'!$B$1:$U$1,I$1)</f>
        <v>0</v>
      </c>
      <c r="J242" s="140">
        <f ca="1">SUMIFS('recurring2_based on steps'!$B242:$AY242,'recurring2_based on steps'!$B$1:$AY$1,J$1)+SUMIFS('changes2_based on steps'!$B242:$U242,'changes2_based on steps'!$B$1:$U$1,J$1)</f>
        <v>0</v>
      </c>
      <c r="K242" s="140">
        <f>SUMIFS('recurring2_based on steps'!$B242:$AY242,'recurring2_based on steps'!$B$1:$AY$1,K$1)+SUMIFS('changes2_based on steps'!$B242:$U242,'changes2_based on steps'!$B$1:$U$1,K$1)</f>
        <v>0</v>
      </c>
      <c r="L242" s="140">
        <f>SUMIFS('recurring2_based on steps'!$B242:$AY242,'recurring2_based on steps'!$B$1:$AY$1,L$1)+SUMIFS('changes2_based on steps'!$B242:$U242,'changes2_based on steps'!$B$1:$U$1,L$1)</f>
        <v>0</v>
      </c>
      <c r="M242" s="140">
        <f>SUMIFS('recurring2_based on steps'!$B242:$AY242,'recurring2_based on steps'!$B$1:$AY$1,M$1)+SUMIFS('changes2_based on steps'!$B242:$U242,'changes2_based on steps'!$B$1:$U$1,M$1)</f>
        <v>0</v>
      </c>
      <c r="N242" s="140">
        <f ca="1">SUMIFS('recurring2_based on steps'!$B242:$AY242,'recurring2_based on steps'!$B$1:$AY$1,N$1)+SUMIFS('changes2_based on steps'!$B242:$U242,'changes2_based on steps'!$B$1:$U$1,N$1)</f>
        <v>0</v>
      </c>
      <c r="O242" s="140">
        <f>SUMIFS('recurring2_based on steps'!$B242:$AY242,'recurring2_based on steps'!$B$1:$AY$1,O$1)+SUMIFS('changes2_based on steps'!$B242:$U242,'changes2_based on steps'!$B$1:$U$1,O$1)</f>
        <v>0</v>
      </c>
      <c r="P242" s="140">
        <f ca="1">SUMIFS('recurring2_based on steps'!$B242:$AY242,'recurring2_based on steps'!$B$1:$AY$1,P$1)+SUMIFS('changes2_based on steps'!$B242:$U242,'changes2_based on steps'!$B$1:$U$1,P$1)</f>
        <v>0</v>
      </c>
      <c r="Q242" s="140">
        <f ca="1">SUMIFS('recurring2_based on steps'!$B242:$AY242,'recurring2_based on steps'!$B$1:$AY$1,Q$1)+SUMIFS('changes2_based on steps'!$B242:$U242,'changes2_based on steps'!$B$1:$U$1,Q$1)</f>
        <v>5.5401662049861494E-2</v>
      </c>
      <c r="R242" s="140">
        <f ca="1">SUMIFS('recurring2_based on steps'!$B242:$AY242,'recurring2_based on steps'!$B$1:$AY$1,R$1)+SUMIFS('changes2_based on steps'!$B242:$U242,'changes2_based on steps'!$B$1:$U$1,R$1)</f>
        <v>0</v>
      </c>
      <c r="S242" s="140">
        <f>SUMIFS('recurring2_based on steps'!$B242:$AY242,'recurring2_based on steps'!$B$1:$AY$1,S$1)+SUMIFS('changes2_based on steps'!$B242:$U242,'changes2_based on steps'!$B$1:$U$1,S$1)</f>
        <v>0</v>
      </c>
      <c r="T242" s="140">
        <f ca="1">SUMIFS('recurring2_based on steps'!$B242:$AY242,'recurring2_based on steps'!$B$1:$AY$1,T$1)+SUMIFS('changes2_based on steps'!$B242:$U242,'changes2_based on steps'!$B$1:$U$1,T$1)</f>
        <v>0</v>
      </c>
      <c r="U242" s="140">
        <f ca="1">SUMIFS('recurring2_based on steps'!$B242:$AY242,'recurring2_based on steps'!$B$1:$AY$1,U$1)+SUMIFS('changes2_based on steps'!$B242:$U242,'changes2_based on steps'!$B$1:$U$1,U$1)</f>
        <v>0</v>
      </c>
      <c r="V242" s="140">
        <f>SUMIFS('recurring2_based on steps'!$B242:$AY242,'recurring2_based on steps'!$B$1:$AY$1,V$1)+SUMIFS('changes2_based on steps'!$B242:$U242,'changes2_based on steps'!$B$1:$U$1,V$1)</f>
        <v>0</v>
      </c>
      <c r="W242" s="140">
        <f>SUMIFS('recurring2_based on steps'!$B242:$AY242,'recurring2_based on steps'!$B$1:$AY$1,W$1)+SUMIFS('changes2_based on steps'!$B242:$U242,'changes2_based on steps'!$B$1:$U$1,W$1)</f>
        <v>0</v>
      </c>
      <c r="X242" s="140">
        <f ca="1">SUMIFS('recurring2_based on steps'!$B242:$AY242,'recurring2_based on steps'!$B$1:$AY$1,X$1)+SUMIFS('changes2_based on steps'!$B242:$U242,'changes2_based on steps'!$B$1:$U$1,X$1)</f>
        <v>0</v>
      </c>
      <c r="Y242" s="140">
        <f ca="1">SUMIFS('recurring2_based on steps'!$B242:$AY242,'recurring2_based on steps'!$B$1:$AY$1,Y$1)+SUMIFS('changes2_based on steps'!$B242:$U242,'changes2_based on steps'!$B$1:$U$1,Y$1)</f>
        <v>0</v>
      </c>
      <c r="Z242" s="140">
        <f>SUMIFS('recurring2_based on steps'!$B242:$AY242,'recurring2_based on steps'!$B$1:$AY$1,Z$1)+SUMIFS('changes2_based on steps'!$B242:$U242,'changes2_based on steps'!$B$1:$U$1,Z$1)</f>
        <v>0</v>
      </c>
      <c r="AA242" s="140">
        <f ca="1">SUMIFS('recurring2_based on steps'!$B242:$AY242,'recurring2_based on steps'!$B$1:$AY$1,AA$1)+SUMIFS('changes2_based on steps'!$B242:$U242,'changes2_based on steps'!$B$1:$U$1,AA$1)</f>
        <v>0</v>
      </c>
      <c r="AB242" s="140">
        <f ca="1">SUMIFS('recurring2_based on steps'!$B242:$AY242,'recurring2_based on steps'!$B$1:$AY$1,AB$1)+SUMIFS('changes2_based on steps'!$B242:$U242,'changes2_based on steps'!$B$1:$U$1,AB$1)</f>
        <v>0</v>
      </c>
      <c r="AC242" s="140">
        <f ca="1">SUMIFS('recurring2_based on steps'!$B242:$AY242,'recurring2_based on steps'!$B$1:$AY$1,AC$1)+SUMIFS('changes2_based on steps'!$B242:$U242,'changes2_based on steps'!$B$1:$U$1,AC$1)</f>
        <v>0</v>
      </c>
      <c r="AD242" s="140">
        <f ca="1">SUMIFS('recurring2_based on steps'!$B242:$AY242,'recurring2_based on steps'!$B$1:$AY$1,AD$1)+SUMIFS('changes2_based on steps'!$B242:$U242,'changes2_based on steps'!$B$1:$U$1,AD$1)</f>
        <v>0</v>
      </c>
      <c r="AE242" s="140">
        <f>SUMIFS('recurring2_based on steps'!$B242:$AY242,'recurring2_based on steps'!$B$1:$AY$1,AE$1)+SUMIFS('changes2_based on steps'!$B242:$U242,'changes2_based on steps'!$B$1:$U$1,AE$1)</f>
        <v>0</v>
      </c>
      <c r="AF242" s="140"/>
      <c r="AG242" s="140"/>
      <c r="AH242" s="140"/>
      <c r="AI242" s="140"/>
      <c r="AJ242" s="140"/>
      <c r="AK242" s="140"/>
      <c r="AL242" s="140"/>
      <c r="AM242" s="140"/>
    </row>
    <row r="243" spans="1:39" x14ac:dyDescent="0.2">
      <c r="A243" s="29">
        <f t="shared" ca="1" si="3"/>
        <v>45983</v>
      </c>
      <c r="B243" s="140">
        <f ca="1">SUMIFS('recurring2_based on steps'!$B243:$AY243,'recurring2_based on steps'!$B$1:$AY$1,B$1)+SUMIFS('changes2_based on steps'!$B243:$U243,'changes2_based on steps'!$B$1:$U$1,B$1)</f>
        <v>0</v>
      </c>
      <c r="C243" s="140">
        <f>SUMIFS('recurring2_based on steps'!$B243:$AY243,'recurring2_based on steps'!$B$1:$AY$1,C$1)+SUMIFS('changes2_based on steps'!$B243:$U243,'changes2_based on steps'!$B$1:$U$1,C$1)</f>
        <v>0</v>
      </c>
      <c r="D243" s="140">
        <f>SUMIFS('recurring2_based on steps'!$B243:$AY243,'recurring2_based on steps'!$B$1:$AY$1,D$1)+SUMIFS('changes2_based on steps'!$B243:$U243,'changes2_based on steps'!$B$1:$U$1,D$1)</f>
        <v>0</v>
      </c>
      <c r="E243" s="140">
        <f>SUMIFS('recurring2_based on steps'!$B243:$AY243,'recurring2_based on steps'!$B$1:$AY$1,E$1)+SUMIFS('changes2_based on steps'!$B243:$U243,'changes2_based on steps'!$B$1:$U$1,E$1)</f>
        <v>0</v>
      </c>
      <c r="F243" s="140">
        <f>SUMIFS('recurring2_based on steps'!$B243:$AY243,'recurring2_based on steps'!$B$1:$AY$1,F$1)+SUMIFS('changes2_based on steps'!$B243:$U243,'changes2_based on steps'!$B$1:$U$1,F$1)</f>
        <v>0</v>
      </c>
      <c r="G243" s="140">
        <f>SUMIFS('recurring2_based on steps'!$B243:$AY243,'recurring2_based on steps'!$B$1:$AY$1,G$1)+SUMIFS('changes2_based on steps'!$B243:$U243,'changes2_based on steps'!$B$1:$U$1,G$1)</f>
        <v>0</v>
      </c>
      <c r="H243" s="140">
        <f>SUMIFS('recurring2_based on steps'!$B243:$AY243,'recurring2_based on steps'!$B$1:$AY$1,H$1)+SUMIFS('changes2_based on steps'!$B243:$U243,'changes2_based on steps'!$B$1:$U$1,H$1)</f>
        <v>0</v>
      </c>
      <c r="I243" s="140">
        <f>SUMIFS('recurring2_based on steps'!$B243:$AY243,'recurring2_based on steps'!$B$1:$AY$1,I$1)+SUMIFS('changes2_based on steps'!$B243:$U243,'changes2_based on steps'!$B$1:$U$1,I$1)</f>
        <v>0</v>
      </c>
      <c r="J243" s="140">
        <f ca="1">SUMIFS('recurring2_based on steps'!$B243:$AY243,'recurring2_based on steps'!$B$1:$AY$1,J$1)+SUMIFS('changes2_based on steps'!$B243:$U243,'changes2_based on steps'!$B$1:$U$1,J$1)</f>
        <v>0</v>
      </c>
      <c r="K243" s="140">
        <f>SUMIFS('recurring2_based on steps'!$B243:$AY243,'recurring2_based on steps'!$B$1:$AY$1,K$1)+SUMIFS('changes2_based on steps'!$B243:$U243,'changes2_based on steps'!$B$1:$U$1,K$1)</f>
        <v>0</v>
      </c>
      <c r="L243" s="140">
        <f>SUMIFS('recurring2_based on steps'!$B243:$AY243,'recurring2_based on steps'!$B$1:$AY$1,L$1)+SUMIFS('changes2_based on steps'!$B243:$U243,'changes2_based on steps'!$B$1:$U$1,L$1)</f>
        <v>0</v>
      </c>
      <c r="M243" s="140">
        <f>SUMIFS('recurring2_based on steps'!$B243:$AY243,'recurring2_based on steps'!$B$1:$AY$1,M$1)+SUMIFS('changes2_based on steps'!$B243:$U243,'changes2_based on steps'!$B$1:$U$1,M$1)</f>
        <v>0</v>
      </c>
      <c r="N243" s="140">
        <f ca="1">SUMIFS('recurring2_based on steps'!$B243:$AY243,'recurring2_based on steps'!$B$1:$AY$1,N$1)+SUMIFS('changes2_based on steps'!$B243:$U243,'changes2_based on steps'!$B$1:$U$1,N$1)</f>
        <v>0</v>
      </c>
      <c r="O243" s="140">
        <f>SUMIFS('recurring2_based on steps'!$B243:$AY243,'recurring2_based on steps'!$B$1:$AY$1,O$1)+SUMIFS('changes2_based on steps'!$B243:$U243,'changes2_based on steps'!$B$1:$U$1,O$1)</f>
        <v>0</v>
      </c>
      <c r="P243" s="140">
        <f ca="1">SUMIFS('recurring2_based on steps'!$B243:$AY243,'recurring2_based on steps'!$B$1:$AY$1,P$1)+SUMIFS('changes2_based on steps'!$B243:$U243,'changes2_based on steps'!$B$1:$U$1,P$1)</f>
        <v>0</v>
      </c>
      <c r="Q243" s="140">
        <f ca="1">SUMIFS('recurring2_based on steps'!$B243:$AY243,'recurring2_based on steps'!$B$1:$AY$1,Q$1)+SUMIFS('changes2_based on steps'!$B243:$U243,'changes2_based on steps'!$B$1:$U$1,Q$1)</f>
        <v>100.05540166204986</v>
      </c>
      <c r="R243" s="140">
        <f ca="1">SUMIFS('recurring2_based on steps'!$B243:$AY243,'recurring2_based on steps'!$B$1:$AY$1,R$1)+SUMIFS('changes2_based on steps'!$B243:$U243,'changes2_based on steps'!$B$1:$U$1,R$1)</f>
        <v>0</v>
      </c>
      <c r="S243" s="140">
        <f>SUMIFS('recurring2_based on steps'!$B243:$AY243,'recurring2_based on steps'!$B$1:$AY$1,S$1)+SUMIFS('changes2_based on steps'!$B243:$U243,'changes2_based on steps'!$B$1:$U$1,S$1)</f>
        <v>0</v>
      </c>
      <c r="T243" s="140">
        <f ca="1">SUMIFS('recurring2_based on steps'!$B243:$AY243,'recurring2_based on steps'!$B$1:$AY$1,T$1)+SUMIFS('changes2_based on steps'!$B243:$U243,'changes2_based on steps'!$B$1:$U$1,T$1)</f>
        <v>0</v>
      </c>
      <c r="U243" s="140">
        <f ca="1">SUMIFS('recurring2_based on steps'!$B243:$AY243,'recurring2_based on steps'!$B$1:$AY$1,U$1)+SUMIFS('changes2_based on steps'!$B243:$U243,'changes2_based on steps'!$B$1:$U$1,U$1)</f>
        <v>0</v>
      </c>
      <c r="V243" s="140">
        <f>SUMIFS('recurring2_based on steps'!$B243:$AY243,'recurring2_based on steps'!$B$1:$AY$1,V$1)+SUMIFS('changes2_based on steps'!$B243:$U243,'changes2_based on steps'!$B$1:$U$1,V$1)</f>
        <v>0</v>
      </c>
      <c r="W243" s="140">
        <f>SUMIFS('recurring2_based on steps'!$B243:$AY243,'recurring2_based on steps'!$B$1:$AY$1,W$1)+SUMIFS('changes2_based on steps'!$B243:$U243,'changes2_based on steps'!$B$1:$U$1,W$1)</f>
        <v>0</v>
      </c>
      <c r="X243" s="140">
        <f ca="1">SUMIFS('recurring2_based on steps'!$B243:$AY243,'recurring2_based on steps'!$B$1:$AY$1,X$1)+SUMIFS('changes2_based on steps'!$B243:$U243,'changes2_based on steps'!$B$1:$U$1,X$1)</f>
        <v>0</v>
      </c>
      <c r="Y243" s="140">
        <f ca="1">SUMIFS('recurring2_based on steps'!$B243:$AY243,'recurring2_based on steps'!$B$1:$AY$1,Y$1)+SUMIFS('changes2_based on steps'!$B243:$U243,'changes2_based on steps'!$B$1:$U$1,Y$1)</f>
        <v>0</v>
      </c>
      <c r="Z243" s="140">
        <f>SUMIFS('recurring2_based on steps'!$B243:$AY243,'recurring2_based on steps'!$B$1:$AY$1,Z$1)+SUMIFS('changes2_based on steps'!$B243:$U243,'changes2_based on steps'!$B$1:$U$1,Z$1)</f>
        <v>0</v>
      </c>
      <c r="AA243" s="140">
        <f ca="1">SUMIFS('recurring2_based on steps'!$B243:$AY243,'recurring2_based on steps'!$B$1:$AY$1,AA$1)+SUMIFS('changes2_based on steps'!$B243:$U243,'changes2_based on steps'!$B$1:$U$1,AA$1)</f>
        <v>0</v>
      </c>
      <c r="AB243" s="140">
        <f ca="1">SUMIFS('recurring2_based on steps'!$B243:$AY243,'recurring2_based on steps'!$B$1:$AY$1,AB$1)+SUMIFS('changes2_based on steps'!$B243:$U243,'changes2_based on steps'!$B$1:$U$1,AB$1)</f>
        <v>100</v>
      </c>
      <c r="AC243" s="140">
        <f ca="1">SUMIFS('recurring2_based on steps'!$B243:$AY243,'recurring2_based on steps'!$B$1:$AY$1,AC$1)+SUMIFS('changes2_based on steps'!$B243:$U243,'changes2_based on steps'!$B$1:$U$1,AC$1)</f>
        <v>0</v>
      </c>
      <c r="AD243" s="140">
        <f ca="1">SUMIFS('recurring2_based on steps'!$B243:$AY243,'recurring2_based on steps'!$B$1:$AY$1,AD$1)+SUMIFS('changes2_based on steps'!$B243:$U243,'changes2_based on steps'!$B$1:$U$1,AD$1)</f>
        <v>0</v>
      </c>
      <c r="AE243" s="140">
        <f>SUMIFS('recurring2_based on steps'!$B243:$AY243,'recurring2_based on steps'!$B$1:$AY$1,AE$1)+SUMIFS('changes2_based on steps'!$B243:$U243,'changes2_based on steps'!$B$1:$U$1,AE$1)</f>
        <v>0</v>
      </c>
      <c r="AF243" s="140"/>
      <c r="AG243" s="140"/>
      <c r="AH243" s="140"/>
      <c r="AI243" s="140"/>
      <c r="AJ243" s="140"/>
      <c r="AK243" s="140"/>
      <c r="AL243" s="140"/>
      <c r="AM243" s="140"/>
    </row>
    <row r="244" spans="1:39" x14ac:dyDescent="0.2">
      <c r="A244" s="29">
        <f t="shared" ca="1" si="3"/>
        <v>45984</v>
      </c>
      <c r="B244" s="140">
        <f ca="1">SUMIFS('recurring2_based on steps'!$B244:$AY244,'recurring2_based on steps'!$B$1:$AY$1,B$1)+SUMIFS('changes2_based on steps'!$B244:$U244,'changes2_based on steps'!$B$1:$U$1,B$1)</f>
        <v>0</v>
      </c>
      <c r="C244" s="140">
        <f>SUMIFS('recurring2_based on steps'!$B244:$AY244,'recurring2_based on steps'!$B$1:$AY$1,C$1)+SUMIFS('changes2_based on steps'!$B244:$U244,'changes2_based on steps'!$B$1:$U$1,C$1)</f>
        <v>0</v>
      </c>
      <c r="D244" s="140">
        <f>SUMIFS('recurring2_based on steps'!$B244:$AY244,'recurring2_based on steps'!$B$1:$AY$1,D$1)+SUMIFS('changes2_based on steps'!$B244:$U244,'changes2_based on steps'!$B$1:$U$1,D$1)</f>
        <v>0</v>
      </c>
      <c r="E244" s="140">
        <f>SUMIFS('recurring2_based on steps'!$B244:$AY244,'recurring2_based on steps'!$B$1:$AY$1,E$1)+SUMIFS('changes2_based on steps'!$B244:$U244,'changes2_based on steps'!$B$1:$U$1,E$1)</f>
        <v>0</v>
      </c>
      <c r="F244" s="140">
        <f>SUMIFS('recurring2_based on steps'!$B244:$AY244,'recurring2_based on steps'!$B$1:$AY$1,F$1)+SUMIFS('changes2_based on steps'!$B244:$U244,'changes2_based on steps'!$B$1:$U$1,F$1)</f>
        <v>0</v>
      </c>
      <c r="G244" s="140">
        <f>SUMIFS('recurring2_based on steps'!$B244:$AY244,'recurring2_based on steps'!$B$1:$AY$1,G$1)+SUMIFS('changes2_based on steps'!$B244:$U244,'changes2_based on steps'!$B$1:$U$1,G$1)</f>
        <v>0</v>
      </c>
      <c r="H244" s="140">
        <f>SUMIFS('recurring2_based on steps'!$B244:$AY244,'recurring2_based on steps'!$B$1:$AY$1,H$1)+SUMIFS('changes2_based on steps'!$B244:$U244,'changes2_based on steps'!$B$1:$U$1,H$1)</f>
        <v>0</v>
      </c>
      <c r="I244" s="140">
        <f>SUMIFS('recurring2_based on steps'!$B244:$AY244,'recurring2_based on steps'!$B$1:$AY$1,I$1)+SUMIFS('changes2_based on steps'!$B244:$U244,'changes2_based on steps'!$B$1:$U$1,I$1)</f>
        <v>0</v>
      </c>
      <c r="J244" s="140">
        <f ca="1">SUMIFS('recurring2_based on steps'!$B244:$AY244,'recurring2_based on steps'!$B$1:$AY$1,J$1)+SUMIFS('changes2_based on steps'!$B244:$U244,'changes2_based on steps'!$B$1:$U$1,J$1)</f>
        <v>0</v>
      </c>
      <c r="K244" s="140">
        <f>SUMIFS('recurring2_based on steps'!$B244:$AY244,'recurring2_based on steps'!$B$1:$AY$1,K$1)+SUMIFS('changes2_based on steps'!$B244:$U244,'changes2_based on steps'!$B$1:$U$1,K$1)</f>
        <v>0</v>
      </c>
      <c r="L244" s="140">
        <f>SUMIFS('recurring2_based on steps'!$B244:$AY244,'recurring2_based on steps'!$B$1:$AY$1,L$1)+SUMIFS('changes2_based on steps'!$B244:$U244,'changes2_based on steps'!$B$1:$U$1,L$1)</f>
        <v>0</v>
      </c>
      <c r="M244" s="140">
        <f>SUMIFS('recurring2_based on steps'!$B244:$AY244,'recurring2_based on steps'!$B$1:$AY$1,M$1)+SUMIFS('changes2_based on steps'!$B244:$U244,'changes2_based on steps'!$B$1:$U$1,M$1)</f>
        <v>0</v>
      </c>
      <c r="N244" s="140">
        <f ca="1">SUMIFS('recurring2_based on steps'!$B244:$AY244,'recurring2_based on steps'!$B$1:$AY$1,N$1)+SUMIFS('changes2_based on steps'!$B244:$U244,'changes2_based on steps'!$B$1:$U$1,N$1)</f>
        <v>0</v>
      </c>
      <c r="O244" s="140">
        <f>SUMIFS('recurring2_based on steps'!$B244:$AY244,'recurring2_based on steps'!$B$1:$AY$1,O$1)+SUMIFS('changes2_based on steps'!$B244:$U244,'changes2_based on steps'!$B$1:$U$1,O$1)</f>
        <v>0</v>
      </c>
      <c r="P244" s="140">
        <f ca="1">SUMIFS('recurring2_based on steps'!$B244:$AY244,'recurring2_based on steps'!$B$1:$AY$1,P$1)+SUMIFS('changes2_based on steps'!$B244:$U244,'changes2_based on steps'!$B$1:$U$1,P$1)</f>
        <v>0</v>
      </c>
      <c r="Q244" s="140">
        <f ca="1">SUMIFS('recurring2_based on steps'!$B244:$AY244,'recurring2_based on steps'!$B$1:$AY$1,Q$1)+SUMIFS('changes2_based on steps'!$B244:$U244,'changes2_based on steps'!$B$1:$U$1,Q$1)</f>
        <v>100.05540166204986</v>
      </c>
      <c r="R244" s="140">
        <f ca="1">SUMIFS('recurring2_based on steps'!$B244:$AY244,'recurring2_based on steps'!$B$1:$AY$1,R$1)+SUMIFS('changes2_based on steps'!$B244:$U244,'changes2_based on steps'!$B$1:$U$1,R$1)</f>
        <v>0</v>
      </c>
      <c r="S244" s="140">
        <f>SUMIFS('recurring2_based on steps'!$B244:$AY244,'recurring2_based on steps'!$B$1:$AY$1,S$1)+SUMIFS('changes2_based on steps'!$B244:$U244,'changes2_based on steps'!$B$1:$U$1,S$1)</f>
        <v>0</v>
      </c>
      <c r="T244" s="140">
        <f ca="1">SUMIFS('recurring2_based on steps'!$B244:$AY244,'recurring2_based on steps'!$B$1:$AY$1,T$1)+SUMIFS('changes2_based on steps'!$B244:$U244,'changes2_based on steps'!$B$1:$U$1,T$1)</f>
        <v>0</v>
      </c>
      <c r="U244" s="140">
        <f ca="1">SUMIFS('recurring2_based on steps'!$B244:$AY244,'recurring2_based on steps'!$B$1:$AY$1,U$1)+SUMIFS('changes2_based on steps'!$B244:$U244,'changes2_based on steps'!$B$1:$U$1,U$1)</f>
        <v>0</v>
      </c>
      <c r="V244" s="140">
        <f>SUMIFS('recurring2_based on steps'!$B244:$AY244,'recurring2_based on steps'!$B$1:$AY$1,V$1)+SUMIFS('changes2_based on steps'!$B244:$U244,'changes2_based on steps'!$B$1:$U$1,V$1)</f>
        <v>0</v>
      </c>
      <c r="W244" s="140">
        <f>SUMIFS('recurring2_based on steps'!$B244:$AY244,'recurring2_based on steps'!$B$1:$AY$1,W$1)+SUMIFS('changes2_based on steps'!$B244:$U244,'changes2_based on steps'!$B$1:$U$1,W$1)</f>
        <v>0</v>
      </c>
      <c r="X244" s="140">
        <f ca="1">SUMIFS('recurring2_based on steps'!$B244:$AY244,'recurring2_based on steps'!$B$1:$AY$1,X$1)+SUMIFS('changes2_based on steps'!$B244:$U244,'changes2_based on steps'!$B$1:$U$1,X$1)</f>
        <v>0</v>
      </c>
      <c r="Y244" s="140">
        <f ca="1">SUMIFS('recurring2_based on steps'!$B244:$AY244,'recurring2_based on steps'!$B$1:$AY$1,Y$1)+SUMIFS('changes2_based on steps'!$B244:$U244,'changes2_based on steps'!$B$1:$U$1,Y$1)</f>
        <v>50</v>
      </c>
      <c r="Z244" s="140">
        <f>SUMIFS('recurring2_based on steps'!$B244:$AY244,'recurring2_based on steps'!$B$1:$AY$1,Z$1)+SUMIFS('changes2_based on steps'!$B244:$U244,'changes2_based on steps'!$B$1:$U$1,Z$1)</f>
        <v>0</v>
      </c>
      <c r="AA244" s="140">
        <f ca="1">SUMIFS('recurring2_based on steps'!$B244:$AY244,'recurring2_based on steps'!$B$1:$AY$1,AA$1)+SUMIFS('changes2_based on steps'!$B244:$U244,'changes2_based on steps'!$B$1:$U$1,AA$1)</f>
        <v>0</v>
      </c>
      <c r="AB244" s="140">
        <f ca="1">SUMIFS('recurring2_based on steps'!$B244:$AY244,'recurring2_based on steps'!$B$1:$AY$1,AB$1)+SUMIFS('changes2_based on steps'!$B244:$U244,'changes2_based on steps'!$B$1:$U$1,AB$1)</f>
        <v>0</v>
      </c>
      <c r="AC244" s="140">
        <f ca="1">SUMIFS('recurring2_based on steps'!$B244:$AY244,'recurring2_based on steps'!$B$1:$AY$1,AC$1)+SUMIFS('changes2_based on steps'!$B244:$U244,'changes2_based on steps'!$B$1:$U$1,AC$1)</f>
        <v>0</v>
      </c>
      <c r="AD244" s="140">
        <f ca="1">SUMIFS('recurring2_based on steps'!$B244:$AY244,'recurring2_based on steps'!$B$1:$AY$1,AD$1)+SUMIFS('changes2_based on steps'!$B244:$U244,'changes2_based on steps'!$B$1:$U$1,AD$1)</f>
        <v>0</v>
      </c>
      <c r="AE244" s="140">
        <f>SUMIFS('recurring2_based on steps'!$B244:$AY244,'recurring2_based on steps'!$B$1:$AY$1,AE$1)+SUMIFS('changes2_based on steps'!$B244:$U244,'changes2_based on steps'!$B$1:$U$1,AE$1)</f>
        <v>0</v>
      </c>
      <c r="AF244" s="140"/>
      <c r="AG244" s="140"/>
      <c r="AH244" s="140"/>
      <c r="AI244" s="140"/>
      <c r="AJ244" s="140"/>
      <c r="AK244" s="140"/>
      <c r="AL244" s="140"/>
      <c r="AM244" s="140"/>
    </row>
    <row r="245" spans="1:39" x14ac:dyDescent="0.2">
      <c r="A245" s="29">
        <f t="shared" ca="1" si="3"/>
        <v>45985</v>
      </c>
      <c r="B245" s="140">
        <f ca="1">SUMIFS('recurring2_based on steps'!$B245:$AY245,'recurring2_based on steps'!$B$1:$AY$1,B$1)+SUMIFS('changes2_based on steps'!$B245:$U245,'changes2_based on steps'!$B$1:$U$1,B$1)</f>
        <v>0</v>
      </c>
      <c r="C245" s="140">
        <f>SUMIFS('recurring2_based on steps'!$B245:$AY245,'recurring2_based on steps'!$B$1:$AY$1,C$1)+SUMIFS('changes2_based on steps'!$B245:$U245,'changes2_based on steps'!$B$1:$U$1,C$1)</f>
        <v>0</v>
      </c>
      <c r="D245" s="140">
        <f>SUMIFS('recurring2_based on steps'!$B245:$AY245,'recurring2_based on steps'!$B$1:$AY$1,D$1)+SUMIFS('changes2_based on steps'!$B245:$U245,'changes2_based on steps'!$B$1:$U$1,D$1)</f>
        <v>0</v>
      </c>
      <c r="E245" s="140">
        <f>SUMIFS('recurring2_based on steps'!$B245:$AY245,'recurring2_based on steps'!$B$1:$AY$1,E$1)+SUMIFS('changes2_based on steps'!$B245:$U245,'changes2_based on steps'!$B$1:$U$1,E$1)</f>
        <v>0</v>
      </c>
      <c r="F245" s="140">
        <f>SUMIFS('recurring2_based on steps'!$B245:$AY245,'recurring2_based on steps'!$B$1:$AY$1,F$1)+SUMIFS('changes2_based on steps'!$B245:$U245,'changes2_based on steps'!$B$1:$U$1,F$1)</f>
        <v>0</v>
      </c>
      <c r="G245" s="140">
        <f>SUMIFS('recurring2_based on steps'!$B245:$AY245,'recurring2_based on steps'!$B$1:$AY$1,G$1)+SUMIFS('changes2_based on steps'!$B245:$U245,'changes2_based on steps'!$B$1:$U$1,G$1)</f>
        <v>0</v>
      </c>
      <c r="H245" s="140">
        <f>SUMIFS('recurring2_based on steps'!$B245:$AY245,'recurring2_based on steps'!$B$1:$AY$1,H$1)+SUMIFS('changes2_based on steps'!$B245:$U245,'changes2_based on steps'!$B$1:$U$1,H$1)</f>
        <v>0</v>
      </c>
      <c r="I245" s="140">
        <f>SUMIFS('recurring2_based on steps'!$B245:$AY245,'recurring2_based on steps'!$B$1:$AY$1,I$1)+SUMIFS('changes2_based on steps'!$B245:$U245,'changes2_based on steps'!$B$1:$U$1,I$1)</f>
        <v>0</v>
      </c>
      <c r="J245" s="140">
        <f ca="1">SUMIFS('recurring2_based on steps'!$B245:$AY245,'recurring2_based on steps'!$B$1:$AY$1,J$1)+SUMIFS('changes2_based on steps'!$B245:$U245,'changes2_based on steps'!$B$1:$U$1,J$1)</f>
        <v>0</v>
      </c>
      <c r="K245" s="140">
        <f>SUMIFS('recurring2_based on steps'!$B245:$AY245,'recurring2_based on steps'!$B$1:$AY$1,K$1)+SUMIFS('changes2_based on steps'!$B245:$U245,'changes2_based on steps'!$B$1:$U$1,K$1)</f>
        <v>0</v>
      </c>
      <c r="L245" s="140">
        <f>SUMIFS('recurring2_based on steps'!$B245:$AY245,'recurring2_based on steps'!$B$1:$AY$1,L$1)+SUMIFS('changes2_based on steps'!$B245:$U245,'changes2_based on steps'!$B$1:$U$1,L$1)</f>
        <v>0</v>
      </c>
      <c r="M245" s="140">
        <f>SUMIFS('recurring2_based on steps'!$B245:$AY245,'recurring2_based on steps'!$B$1:$AY$1,M$1)+SUMIFS('changes2_based on steps'!$B245:$U245,'changes2_based on steps'!$B$1:$U$1,M$1)</f>
        <v>0</v>
      </c>
      <c r="N245" s="140">
        <f ca="1">SUMIFS('recurring2_based on steps'!$B245:$AY245,'recurring2_based on steps'!$B$1:$AY$1,N$1)+SUMIFS('changes2_based on steps'!$B245:$U245,'changes2_based on steps'!$B$1:$U$1,N$1)</f>
        <v>0</v>
      </c>
      <c r="O245" s="140">
        <f>SUMIFS('recurring2_based on steps'!$B245:$AY245,'recurring2_based on steps'!$B$1:$AY$1,O$1)+SUMIFS('changes2_based on steps'!$B245:$U245,'changes2_based on steps'!$B$1:$U$1,O$1)</f>
        <v>0</v>
      </c>
      <c r="P245" s="140">
        <f ca="1">SUMIFS('recurring2_based on steps'!$B245:$AY245,'recurring2_based on steps'!$B$1:$AY$1,P$1)+SUMIFS('changes2_based on steps'!$B245:$U245,'changes2_based on steps'!$B$1:$U$1,P$1)</f>
        <v>0</v>
      </c>
      <c r="Q245" s="140">
        <f ca="1">SUMIFS('recurring2_based on steps'!$B245:$AY245,'recurring2_based on steps'!$B$1:$AY$1,Q$1)+SUMIFS('changes2_based on steps'!$B245:$U245,'changes2_based on steps'!$B$1:$U$1,Q$1)</f>
        <v>5.5401662049861494E-2</v>
      </c>
      <c r="R245" s="140">
        <f ca="1">SUMIFS('recurring2_based on steps'!$B245:$AY245,'recurring2_based on steps'!$B$1:$AY$1,R$1)+SUMIFS('changes2_based on steps'!$B245:$U245,'changes2_based on steps'!$B$1:$U$1,R$1)</f>
        <v>0</v>
      </c>
      <c r="S245" s="140">
        <f>SUMIFS('recurring2_based on steps'!$B245:$AY245,'recurring2_based on steps'!$B$1:$AY$1,S$1)+SUMIFS('changes2_based on steps'!$B245:$U245,'changes2_based on steps'!$B$1:$U$1,S$1)</f>
        <v>0</v>
      </c>
      <c r="T245" s="140">
        <f ca="1">SUMIFS('recurring2_based on steps'!$B245:$AY245,'recurring2_based on steps'!$B$1:$AY$1,T$1)+SUMIFS('changes2_based on steps'!$B245:$U245,'changes2_based on steps'!$B$1:$U$1,T$1)</f>
        <v>0</v>
      </c>
      <c r="U245" s="140">
        <f ca="1">SUMIFS('recurring2_based on steps'!$B245:$AY245,'recurring2_based on steps'!$B$1:$AY$1,U$1)+SUMIFS('changes2_based on steps'!$B245:$U245,'changes2_based on steps'!$B$1:$U$1,U$1)</f>
        <v>0</v>
      </c>
      <c r="V245" s="140">
        <f>SUMIFS('recurring2_based on steps'!$B245:$AY245,'recurring2_based on steps'!$B$1:$AY$1,V$1)+SUMIFS('changes2_based on steps'!$B245:$U245,'changes2_based on steps'!$B$1:$U$1,V$1)</f>
        <v>0</v>
      </c>
      <c r="W245" s="140">
        <f>SUMIFS('recurring2_based on steps'!$B245:$AY245,'recurring2_based on steps'!$B$1:$AY$1,W$1)+SUMIFS('changes2_based on steps'!$B245:$U245,'changes2_based on steps'!$B$1:$U$1,W$1)</f>
        <v>0</v>
      </c>
      <c r="X245" s="140">
        <f ca="1">SUMIFS('recurring2_based on steps'!$B245:$AY245,'recurring2_based on steps'!$B$1:$AY$1,X$1)+SUMIFS('changes2_based on steps'!$B245:$U245,'changes2_based on steps'!$B$1:$U$1,X$1)</f>
        <v>0</v>
      </c>
      <c r="Y245" s="140">
        <f ca="1">SUMIFS('recurring2_based on steps'!$B245:$AY245,'recurring2_based on steps'!$B$1:$AY$1,Y$1)+SUMIFS('changes2_based on steps'!$B245:$U245,'changes2_based on steps'!$B$1:$U$1,Y$1)</f>
        <v>0</v>
      </c>
      <c r="Z245" s="140">
        <f>SUMIFS('recurring2_based on steps'!$B245:$AY245,'recurring2_based on steps'!$B$1:$AY$1,Z$1)+SUMIFS('changes2_based on steps'!$B245:$U245,'changes2_based on steps'!$B$1:$U$1,Z$1)</f>
        <v>0</v>
      </c>
      <c r="AA245" s="140">
        <f ca="1">SUMIFS('recurring2_based on steps'!$B245:$AY245,'recurring2_based on steps'!$B$1:$AY$1,AA$1)+SUMIFS('changes2_based on steps'!$B245:$U245,'changes2_based on steps'!$B$1:$U$1,AA$1)</f>
        <v>50</v>
      </c>
      <c r="AB245" s="140">
        <f ca="1">SUMIFS('recurring2_based on steps'!$B245:$AY245,'recurring2_based on steps'!$B$1:$AY$1,AB$1)+SUMIFS('changes2_based on steps'!$B245:$U245,'changes2_based on steps'!$B$1:$U$1,AB$1)</f>
        <v>0</v>
      </c>
      <c r="AC245" s="140">
        <f ca="1">SUMIFS('recurring2_based on steps'!$B245:$AY245,'recurring2_based on steps'!$B$1:$AY$1,AC$1)+SUMIFS('changes2_based on steps'!$B245:$U245,'changes2_based on steps'!$B$1:$U$1,AC$1)</f>
        <v>0</v>
      </c>
      <c r="AD245" s="140">
        <f ca="1">SUMIFS('recurring2_based on steps'!$B245:$AY245,'recurring2_based on steps'!$B$1:$AY$1,AD$1)+SUMIFS('changes2_based on steps'!$B245:$U245,'changes2_based on steps'!$B$1:$U$1,AD$1)</f>
        <v>0</v>
      </c>
      <c r="AE245" s="140">
        <f>SUMIFS('recurring2_based on steps'!$B245:$AY245,'recurring2_based on steps'!$B$1:$AY$1,AE$1)+SUMIFS('changes2_based on steps'!$B245:$U245,'changes2_based on steps'!$B$1:$U$1,AE$1)</f>
        <v>0</v>
      </c>
      <c r="AF245" s="140"/>
      <c r="AG245" s="140"/>
      <c r="AH245" s="140"/>
      <c r="AI245" s="140"/>
      <c r="AJ245" s="140"/>
      <c r="AK245" s="140"/>
      <c r="AL245" s="140"/>
      <c r="AM245" s="140"/>
    </row>
    <row r="246" spans="1:39" x14ac:dyDescent="0.2">
      <c r="A246" s="29">
        <f t="shared" ca="1" si="3"/>
        <v>45986</v>
      </c>
      <c r="B246" s="140">
        <f ca="1">SUMIFS('recurring2_based on steps'!$B246:$AY246,'recurring2_based on steps'!$B$1:$AY$1,B$1)+SUMIFS('changes2_based on steps'!$B246:$U246,'changes2_based on steps'!$B$1:$U$1,B$1)</f>
        <v>0</v>
      </c>
      <c r="C246" s="140">
        <f>SUMIFS('recurring2_based on steps'!$B246:$AY246,'recurring2_based on steps'!$B$1:$AY$1,C$1)+SUMIFS('changes2_based on steps'!$B246:$U246,'changes2_based on steps'!$B$1:$U$1,C$1)</f>
        <v>0</v>
      </c>
      <c r="D246" s="140">
        <f>SUMIFS('recurring2_based on steps'!$B246:$AY246,'recurring2_based on steps'!$B$1:$AY$1,D$1)+SUMIFS('changes2_based on steps'!$B246:$U246,'changes2_based on steps'!$B$1:$U$1,D$1)</f>
        <v>0</v>
      </c>
      <c r="E246" s="140">
        <f>SUMIFS('recurring2_based on steps'!$B246:$AY246,'recurring2_based on steps'!$B$1:$AY$1,E$1)+SUMIFS('changes2_based on steps'!$B246:$U246,'changes2_based on steps'!$B$1:$U$1,E$1)</f>
        <v>0</v>
      </c>
      <c r="F246" s="140">
        <f>SUMIFS('recurring2_based on steps'!$B246:$AY246,'recurring2_based on steps'!$B$1:$AY$1,F$1)+SUMIFS('changes2_based on steps'!$B246:$U246,'changes2_based on steps'!$B$1:$U$1,F$1)</f>
        <v>0</v>
      </c>
      <c r="G246" s="140">
        <f>SUMIFS('recurring2_based on steps'!$B246:$AY246,'recurring2_based on steps'!$B$1:$AY$1,G$1)+SUMIFS('changes2_based on steps'!$B246:$U246,'changes2_based on steps'!$B$1:$U$1,G$1)</f>
        <v>0</v>
      </c>
      <c r="H246" s="140">
        <f>SUMIFS('recurring2_based on steps'!$B246:$AY246,'recurring2_based on steps'!$B$1:$AY$1,H$1)+SUMIFS('changes2_based on steps'!$B246:$U246,'changes2_based on steps'!$B$1:$U$1,H$1)</f>
        <v>0</v>
      </c>
      <c r="I246" s="140">
        <f>SUMIFS('recurring2_based on steps'!$B246:$AY246,'recurring2_based on steps'!$B$1:$AY$1,I$1)+SUMIFS('changes2_based on steps'!$B246:$U246,'changes2_based on steps'!$B$1:$U$1,I$1)</f>
        <v>0</v>
      </c>
      <c r="J246" s="140">
        <f ca="1">SUMIFS('recurring2_based on steps'!$B246:$AY246,'recurring2_based on steps'!$B$1:$AY$1,J$1)+SUMIFS('changes2_based on steps'!$B246:$U246,'changes2_based on steps'!$B$1:$U$1,J$1)</f>
        <v>0</v>
      </c>
      <c r="K246" s="140">
        <f>SUMIFS('recurring2_based on steps'!$B246:$AY246,'recurring2_based on steps'!$B$1:$AY$1,K$1)+SUMIFS('changes2_based on steps'!$B246:$U246,'changes2_based on steps'!$B$1:$U$1,K$1)</f>
        <v>0</v>
      </c>
      <c r="L246" s="140">
        <f>SUMIFS('recurring2_based on steps'!$B246:$AY246,'recurring2_based on steps'!$B$1:$AY$1,L$1)+SUMIFS('changes2_based on steps'!$B246:$U246,'changes2_based on steps'!$B$1:$U$1,L$1)</f>
        <v>0</v>
      </c>
      <c r="M246" s="140">
        <f>SUMIFS('recurring2_based on steps'!$B246:$AY246,'recurring2_based on steps'!$B$1:$AY$1,M$1)+SUMIFS('changes2_based on steps'!$B246:$U246,'changes2_based on steps'!$B$1:$U$1,M$1)</f>
        <v>0</v>
      </c>
      <c r="N246" s="140">
        <f ca="1">SUMIFS('recurring2_based on steps'!$B246:$AY246,'recurring2_based on steps'!$B$1:$AY$1,N$1)+SUMIFS('changes2_based on steps'!$B246:$U246,'changes2_based on steps'!$B$1:$U$1,N$1)</f>
        <v>0</v>
      </c>
      <c r="O246" s="140">
        <f>SUMIFS('recurring2_based on steps'!$B246:$AY246,'recurring2_based on steps'!$B$1:$AY$1,O$1)+SUMIFS('changes2_based on steps'!$B246:$U246,'changes2_based on steps'!$B$1:$U$1,O$1)</f>
        <v>0</v>
      </c>
      <c r="P246" s="140">
        <f ca="1">SUMIFS('recurring2_based on steps'!$B246:$AY246,'recurring2_based on steps'!$B$1:$AY$1,P$1)+SUMIFS('changes2_based on steps'!$B246:$U246,'changes2_based on steps'!$B$1:$U$1,P$1)</f>
        <v>0</v>
      </c>
      <c r="Q246" s="140">
        <f ca="1">SUMIFS('recurring2_based on steps'!$B246:$AY246,'recurring2_based on steps'!$B$1:$AY$1,Q$1)+SUMIFS('changes2_based on steps'!$B246:$U246,'changes2_based on steps'!$B$1:$U$1,Q$1)</f>
        <v>5.5401662049861494E-2</v>
      </c>
      <c r="R246" s="140">
        <f ca="1">SUMIFS('recurring2_based on steps'!$B246:$AY246,'recurring2_based on steps'!$B$1:$AY$1,R$1)+SUMIFS('changes2_based on steps'!$B246:$U246,'changes2_based on steps'!$B$1:$U$1,R$1)</f>
        <v>0</v>
      </c>
      <c r="S246" s="140">
        <f>SUMIFS('recurring2_based on steps'!$B246:$AY246,'recurring2_based on steps'!$B$1:$AY$1,S$1)+SUMIFS('changes2_based on steps'!$B246:$U246,'changes2_based on steps'!$B$1:$U$1,S$1)</f>
        <v>0</v>
      </c>
      <c r="T246" s="140">
        <f ca="1">SUMIFS('recurring2_based on steps'!$B246:$AY246,'recurring2_based on steps'!$B$1:$AY$1,T$1)+SUMIFS('changes2_based on steps'!$B246:$U246,'changes2_based on steps'!$B$1:$U$1,T$1)</f>
        <v>0</v>
      </c>
      <c r="U246" s="140">
        <f ca="1">SUMIFS('recurring2_based on steps'!$B246:$AY246,'recurring2_based on steps'!$B$1:$AY$1,U$1)+SUMIFS('changes2_based on steps'!$B246:$U246,'changes2_based on steps'!$B$1:$U$1,U$1)</f>
        <v>0</v>
      </c>
      <c r="V246" s="140">
        <f>SUMIFS('recurring2_based on steps'!$B246:$AY246,'recurring2_based on steps'!$B$1:$AY$1,V$1)+SUMIFS('changes2_based on steps'!$B246:$U246,'changes2_based on steps'!$B$1:$U$1,V$1)</f>
        <v>0</v>
      </c>
      <c r="W246" s="140">
        <f>SUMIFS('recurring2_based on steps'!$B246:$AY246,'recurring2_based on steps'!$B$1:$AY$1,W$1)+SUMIFS('changes2_based on steps'!$B246:$U246,'changes2_based on steps'!$B$1:$U$1,W$1)</f>
        <v>0</v>
      </c>
      <c r="X246" s="140">
        <f ca="1">SUMIFS('recurring2_based on steps'!$B246:$AY246,'recurring2_based on steps'!$B$1:$AY$1,X$1)+SUMIFS('changes2_based on steps'!$B246:$U246,'changes2_based on steps'!$B$1:$U$1,X$1)</f>
        <v>0</v>
      </c>
      <c r="Y246" s="140">
        <f ca="1">SUMIFS('recurring2_based on steps'!$B246:$AY246,'recurring2_based on steps'!$B$1:$AY$1,Y$1)+SUMIFS('changes2_based on steps'!$B246:$U246,'changes2_based on steps'!$B$1:$U$1,Y$1)</f>
        <v>0</v>
      </c>
      <c r="Z246" s="140">
        <f>SUMIFS('recurring2_based on steps'!$B246:$AY246,'recurring2_based on steps'!$B$1:$AY$1,Z$1)+SUMIFS('changes2_based on steps'!$B246:$U246,'changes2_based on steps'!$B$1:$U$1,Z$1)</f>
        <v>0</v>
      </c>
      <c r="AA246" s="140">
        <f ca="1">SUMIFS('recurring2_based on steps'!$B246:$AY246,'recurring2_based on steps'!$B$1:$AY$1,AA$1)+SUMIFS('changes2_based on steps'!$B246:$U246,'changes2_based on steps'!$B$1:$U$1,AA$1)</f>
        <v>0</v>
      </c>
      <c r="AB246" s="140">
        <f ca="1">SUMIFS('recurring2_based on steps'!$B246:$AY246,'recurring2_based on steps'!$B$1:$AY$1,AB$1)+SUMIFS('changes2_based on steps'!$B246:$U246,'changes2_based on steps'!$B$1:$U$1,AB$1)</f>
        <v>0</v>
      </c>
      <c r="AC246" s="140">
        <f ca="1">SUMIFS('recurring2_based on steps'!$B246:$AY246,'recurring2_based on steps'!$B$1:$AY$1,AC$1)+SUMIFS('changes2_based on steps'!$B246:$U246,'changes2_based on steps'!$B$1:$U$1,AC$1)</f>
        <v>0</v>
      </c>
      <c r="AD246" s="140">
        <f ca="1">SUMIFS('recurring2_based on steps'!$B246:$AY246,'recurring2_based on steps'!$B$1:$AY$1,AD$1)+SUMIFS('changes2_based on steps'!$B246:$U246,'changes2_based on steps'!$B$1:$U$1,AD$1)</f>
        <v>0</v>
      </c>
      <c r="AE246" s="140">
        <f>SUMIFS('recurring2_based on steps'!$B246:$AY246,'recurring2_based on steps'!$B$1:$AY$1,AE$1)+SUMIFS('changes2_based on steps'!$B246:$U246,'changes2_based on steps'!$B$1:$U$1,AE$1)</f>
        <v>0</v>
      </c>
      <c r="AF246" s="140"/>
      <c r="AG246" s="140"/>
      <c r="AH246" s="140"/>
      <c r="AI246" s="140"/>
      <c r="AJ246" s="140"/>
      <c r="AK246" s="140"/>
      <c r="AL246" s="140"/>
      <c r="AM246" s="140"/>
    </row>
    <row r="247" spans="1:39" x14ac:dyDescent="0.2">
      <c r="A247" s="29">
        <f t="shared" ca="1" si="3"/>
        <v>45987</v>
      </c>
      <c r="B247" s="140">
        <f ca="1">SUMIFS('recurring2_based on steps'!$B247:$AY247,'recurring2_based on steps'!$B$1:$AY$1,B$1)+SUMIFS('changes2_based on steps'!$B247:$U247,'changes2_based on steps'!$B$1:$U$1,B$1)</f>
        <v>0</v>
      </c>
      <c r="C247" s="140">
        <f>SUMIFS('recurring2_based on steps'!$B247:$AY247,'recurring2_based on steps'!$B$1:$AY$1,C$1)+SUMIFS('changes2_based on steps'!$B247:$U247,'changes2_based on steps'!$B$1:$U$1,C$1)</f>
        <v>0</v>
      </c>
      <c r="D247" s="140">
        <f>SUMIFS('recurring2_based on steps'!$B247:$AY247,'recurring2_based on steps'!$B$1:$AY$1,D$1)+SUMIFS('changes2_based on steps'!$B247:$U247,'changes2_based on steps'!$B$1:$U$1,D$1)</f>
        <v>0</v>
      </c>
      <c r="E247" s="140">
        <f>SUMIFS('recurring2_based on steps'!$B247:$AY247,'recurring2_based on steps'!$B$1:$AY$1,E$1)+SUMIFS('changes2_based on steps'!$B247:$U247,'changes2_based on steps'!$B$1:$U$1,E$1)</f>
        <v>0</v>
      </c>
      <c r="F247" s="140">
        <f>SUMIFS('recurring2_based on steps'!$B247:$AY247,'recurring2_based on steps'!$B$1:$AY$1,F$1)+SUMIFS('changes2_based on steps'!$B247:$U247,'changes2_based on steps'!$B$1:$U$1,F$1)</f>
        <v>0</v>
      </c>
      <c r="G247" s="140">
        <f>SUMIFS('recurring2_based on steps'!$B247:$AY247,'recurring2_based on steps'!$B$1:$AY$1,G$1)+SUMIFS('changes2_based on steps'!$B247:$U247,'changes2_based on steps'!$B$1:$U$1,G$1)</f>
        <v>0</v>
      </c>
      <c r="H247" s="140">
        <f>SUMIFS('recurring2_based on steps'!$B247:$AY247,'recurring2_based on steps'!$B$1:$AY$1,H$1)+SUMIFS('changes2_based on steps'!$B247:$U247,'changes2_based on steps'!$B$1:$U$1,H$1)</f>
        <v>0</v>
      </c>
      <c r="I247" s="140">
        <f>SUMIFS('recurring2_based on steps'!$B247:$AY247,'recurring2_based on steps'!$B$1:$AY$1,I$1)+SUMIFS('changes2_based on steps'!$B247:$U247,'changes2_based on steps'!$B$1:$U$1,I$1)</f>
        <v>0</v>
      </c>
      <c r="J247" s="140">
        <f ca="1">SUMIFS('recurring2_based on steps'!$B247:$AY247,'recurring2_based on steps'!$B$1:$AY$1,J$1)+SUMIFS('changes2_based on steps'!$B247:$U247,'changes2_based on steps'!$B$1:$U$1,J$1)</f>
        <v>0</v>
      </c>
      <c r="K247" s="140">
        <f>SUMIFS('recurring2_based on steps'!$B247:$AY247,'recurring2_based on steps'!$B$1:$AY$1,K$1)+SUMIFS('changes2_based on steps'!$B247:$U247,'changes2_based on steps'!$B$1:$U$1,K$1)</f>
        <v>0</v>
      </c>
      <c r="L247" s="140">
        <f>SUMIFS('recurring2_based on steps'!$B247:$AY247,'recurring2_based on steps'!$B$1:$AY$1,L$1)+SUMIFS('changes2_based on steps'!$B247:$U247,'changes2_based on steps'!$B$1:$U$1,L$1)</f>
        <v>0</v>
      </c>
      <c r="M247" s="140">
        <f>SUMIFS('recurring2_based on steps'!$B247:$AY247,'recurring2_based on steps'!$B$1:$AY$1,M$1)+SUMIFS('changes2_based on steps'!$B247:$U247,'changes2_based on steps'!$B$1:$U$1,M$1)</f>
        <v>0</v>
      </c>
      <c r="N247" s="140">
        <f ca="1">SUMIFS('recurring2_based on steps'!$B247:$AY247,'recurring2_based on steps'!$B$1:$AY$1,N$1)+SUMIFS('changes2_based on steps'!$B247:$U247,'changes2_based on steps'!$B$1:$U$1,N$1)</f>
        <v>0</v>
      </c>
      <c r="O247" s="140">
        <f>SUMIFS('recurring2_based on steps'!$B247:$AY247,'recurring2_based on steps'!$B$1:$AY$1,O$1)+SUMIFS('changes2_based on steps'!$B247:$U247,'changes2_based on steps'!$B$1:$U$1,O$1)</f>
        <v>0</v>
      </c>
      <c r="P247" s="140">
        <f ca="1">SUMIFS('recurring2_based on steps'!$B247:$AY247,'recurring2_based on steps'!$B$1:$AY$1,P$1)+SUMIFS('changes2_based on steps'!$B247:$U247,'changes2_based on steps'!$B$1:$U$1,P$1)</f>
        <v>0</v>
      </c>
      <c r="Q247" s="140">
        <f ca="1">SUMIFS('recurring2_based on steps'!$B247:$AY247,'recurring2_based on steps'!$B$1:$AY$1,Q$1)+SUMIFS('changes2_based on steps'!$B247:$U247,'changes2_based on steps'!$B$1:$U$1,Q$1)</f>
        <v>5.5401662049861494E-2</v>
      </c>
      <c r="R247" s="140">
        <f ca="1">SUMIFS('recurring2_based on steps'!$B247:$AY247,'recurring2_based on steps'!$B$1:$AY$1,R$1)+SUMIFS('changes2_based on steps'!$B247:$U247,'changes2_based on steps'!$B$1:$U$1,R$1)</f>
        <v>0</v>
      </c>
      <c r="S247" s="140">
        <f>SUMIFS('recurring2_based on steps'!$B247:$AY247,'recurring2_based on steps'!$B$1:$AY$1,S$1)+SUMIFS('changes2_based on steps'!$B247:$U247,'changes2_based on steps'!$B$1:$U$1,S$1)</f>
        <v>0</v>
      </c>
      <c r="T247" s="140">
        <f ca="1">SUMIFS('recurring2_based on steps'!$B247:$AY247,'recurring2_based on steps'!$B$1:$AY$1,T$1)+SUMIFS('changes2_based on steps'!$B247:$U247,'changes2_based on steps'!$B$1:$U$1,T$1)</f>
        <v>0</v>
      </c>
      <c r="U247" s="140">
        <f ca="1">SUMIFS('recurring2_based on steps'!$B247:$AY247,'recurring2_based on steps'!$B$1:$AY$1,U$1)+SUMIFS('changes2_based on steps'!$B247:$U247,'changes2_based on steps'!$B$1:$U$1,U$1)</f>
        <v>0</v>
      </c>
      <c r="V247" s="140">
        <f>SUMIFS('recurring2_based on steps'!$B247:$AY247,'recurring2_based on steps'!$B$1:$AY$1,V$1)+SUMIFS('changes2_based on steps'!$B247:$U247,'changes2_based on steps'!$B$1:$U$1,V$1)</f>
        <v>0</v>
      </c>
      <c r="W247" s="140">
        <f>SUMIFS('recurring2_based on steps'!$B247:$AY247,'recurring2_based on steps'!$B$1:$AY$1,W$1)+SUMIFS('changes2_based on steps'!$B247:$U247,'changes2_based on steps'!$B$1:$U$1,W$1)</f>
        <v>0</v>
      </c>
      <c r="X247" s="140">
        <f ca="1">SUMIFS('recurring2_based on steps'!$B247:$AY247,'recurring2_based on steps'!$B$1:$AY$1,X$1)+SUMIFS('changes2_based on steps'!$B247:$U247,'changes2_based on steps'!$B$1:$U$1,X$1)</f>
        <v>0</v>
      </c>
      <c r="Y247" s="140">
        <f ca="1">SUMIFS('recurring2_based on steps'!$B247:$AY247,'recurring2_based on steps'!$B$1:$AY$1,Y$1)+SUMIFS('changes2_based on steps'!$B247:$U247,'changes2_based on steps'!$B$1:$U$1,Y$1)</f>
        <v>0</v>
      </c>
      <c r="Z247" s="140">
        <f>SUMIFS('recurring2_based on steps'!$B247:$AY247,'recurring2_based on steps'!$B$1:$AY$1,Z$1)+SUMIFS('changes2_based on steps'!$B247:$U247,'changes2_based on steps'!$B$1:$U$1,Z$1)</f>
        <v>0</v>
      </c>
      <c r="AA247" s="140">
        <f ca="1">SUMIFS('recurring2_based on steps'!$B247:$AY247,'recurring2_based on steps'!$B$1:$AY$1,AA$1)+SUMIFS('changes2_based on steps'!$B247:$U247,'changes2_based on steps'!$B$1:$U$1,AA$1)</f>
        <v>0</v>
      </c>
      <c r="AB247" s="140">
        <f ca="1">SUMIFS('recurring2_based on steps'!$B247:$AY247,'recurring2_based on steps'!$B$1:$AY$1,AB$1)+SUMIFS('changes2_based on steps'!$B247:$U247,'changes2_based on steps'!$B$1:$U$1,AB$1)</f>
        <v>0</v>
      </c>
      <c r="AC247" s="140">
        <f ca="1">SUMIFS('recurring2_based on steps'!$B247:$AY247,'recurring2_based on steps'!$B$1:$AY$1,AC$1)+SUMIFS('changes2_based on steps'!$B247:$U247,'changes2_based on steps'!$B$1:$U$1,AC$1)</f>
        <v>0</v>
      </c>
      <c r="AD247" s="140">
        <f ca="1">SUMIFS('recurring2_based on steps'!$B247:$AY247,'recurring2_based on steps'!$B$1:$AY$1,AD$1)+SUMIFS('changes2_based on steps'!$B247:$U247,'changes2_based on steps'!$B$1:$U$1,AD$1)</f>
        <v>0</v>
      </c>
      <c r="AE247" s="140">
        <f>SUMIFS('recurring2_based on steps'!$B247:$AY247,'recurring2_based on steps'!$B$1:$AY$1,AE$1)+SUMIFS('changes2_based on steps'!$B247:$U247,'changes2_based on steps'!$B$1:$U$1,AE$1)</f>
        <v>0</v>
      </c>
      <c r="AF247" s="140"/>
      <c r="AG247" s="140"/>
      <c r="AH247" s="140"/>
      <c r="AI247" s="140"/>
      <c r="AJ247" s="140"/>
      <c r="AK247" s="140"/>
      <c r="AL247" s="140"/>
      <c r="AM247" s="140"/>
    </row>
    <row r="248" spans="1:39" x14ac:dyDescent="0.2">
      <c r="A248" s="29">
        <f t="shared" ca="1" si="3"/>
        <v>45988</v>
      </c>
      <c r="B248" s="140">
        <f ca="1">SUMIFS('recurring2_based on steps'!$B248:$AY248,'recurring2_based on steps'!$B$1:$AY$1,B$1)+SUMIFS('changes2_based on steps'!$B248:$U248,'changes2_based on steps'!$B$1:$U$1,B$1)</f>
        <v>0</v>
      </c>
      <c r="C248" s="140">
        <f>SUMIFS('recurring2_based on steps'!$B248:$AY248,'recurring2_based on steps'!$B$1:$AY$1,C$1)+SUMIFS('changes2_based on steps'!$B248:$U248,'changes2_based on steps'!$B$1:$U$1,C$1)</f>
        <v>0</v>
      </c>
      <c r="D248" s="140">
        <f>SUMIFS('recurring2_based on steps'!$B248:$AY248,'recurring2_based on steps'!$B$1:$AY$1,D$1)+SUMIFS('changes2_based on steps'!$B248:$U248,'changes2_based on steps'!$B$1:$U$1,D$1)</f>
        <v>0</v>
      </c>
      <c r="E248" s="140">
        <f>SUMIFS('recurring2_based on steps'!$B248:$AY248,'recurring2_based on steps'!$B$1:$AY$1,E$1)+SUMIFS('changes2_based on steps'!$B248:$U248,'changes2_based on steps'!$B$1:$U$1,E$1)</f>
        <v>0</v>
      </c>
      <c r="F248" s="140">
        <f>SUMIFS('recurring2_based on steps'!$B248:$AY248,'recurring2_based on steps'!$B$1:$AY$1,F$1)+SUMIFS('changes2_based on steps'!$B248:$U248,'changes2_based on steps'!$B$1:$U$1,F$1)</f>
        <v>0</v>
      </c>
      <c r="G248" s="140">
        <f>SUMIFS('recurring2_based on steps'!$B248:$AY248,'recurring2_based on steps'!$B$1:$AY$1,G$1)+SUMIFS('changes2_based on steps'!$B248:$U248,'changes2_based on steps'!$B$1:$U$1,G$1)</f>
        <v>0</v>
      </c>
      <c r="H248" s="140">
        <f>SUMIFS('recurring2_based on steps'!$B248:$AY248,'recurring2_based on steps'!$B$1:$AY$1,H$1)+SUMIFS('changes2_based on steps'!$B248:$U248,'changes2_based on steps'!$B$1:$U$1,H$1)</f>
        <v>0</v>
      </c>
      <c r="I248" s="140">
        <f>SUMIFS('recurring2_based on steps'!$B248:$AY248,'recurring2_based on steps'!$B$1:$AY$1,I$1)+SUMIFS('changes2_based on steps'!$B248:$U248,'changes2_based on steps'!$B$1:$U$1,I$1)</f>
        <v>0</v>
      </c>
      <c r="J248" s="140">
        <f ca="1">SUMIFS('recurring2_based on steps'!$B248:$AY248,'recurring2_based on steps'!$B$1:$AY$1,J$1)+SUMIFS('changes2_based on steps'!$B248:$U248,'changes2_based on steps'!$B$1:$U$1,J$1)</f>
        <v>0</v>
      </c>
      <c r="K248" s="140">
        <f>SUMIFS('recurring2_based on steps'!$B248:$AY248,'recurring2_based on steps'!$B$1:$AY$1,K$1)+SUMIFS('changes2_based on steps'!$B248:$U248,'changes2_based on steps'!$B$1:$U$1,K$1)</f>
        <v>0</v>
      </c>
      <c r="L248" s="140">
        <f>SUMIFS('recurring2_based on steps'!$B248:$AY248,'recurring2_based on steps'!$B$1:$AY$1,L$1)+SUMIFS('changes2_based on steps'!$B248:$U248,'changes2_based on steps'!$B$1:$U$1,L$1)</f>
        <v>0</v>
      </c>
      <c r="M248" s="140">
        <f>SUMIFS('recurring2_based on steps'!$B248:$AY248,'recurring2_based on steps'!$B$1:$AY$1,M$1)+SUMIFS('changes2_based on steps'!$B248:$U248,'changes2_based on steps'!$B$1:$U$1,M$1)</f>
        <v>0</v>
      </c>
      <c r="N248" s="140">
        <f ca="1">SUMIFS('recurring2_based on steps'!$B248:$AY248,'recurring2_based on steps'!$B$1:$AY$1,N$1)+SUMIFS('changes2_based on steps'!$B248:$U248,'changes2_based on steps'!$B$1:$U$1,N$1)</f>
        <v>0</v>
      </c>
      <c r="O248" s="140">
        <f>SUMIFS('recurring2_based on steps'!$B248:$AY248,'recurring2_based on steps'!$B$1:$AY$1,O$1)+SUMIFS('changes2_based on steps'!$B248:$U248,'changes2_based on steps'!$B$1:$U$1,O$1)</f>
        <v>0</v>
      </c>
      <c r="P248" s="140">
        <f ca="1">SUMIFS('recurring2_based on steps'!$B248:$AY248,'recurring2_based on steps'!$B$1:$AY$1,P$1)+SUMIFS('changes2_based on steps'!$B248:$U248,'changes2_based on steps'!$B$1:$U$1,P$1)</f>
        <v>0</v>
      </c>
      <c r="Q248" s="140">
        <f ca="1">SUMIFS('recurring2_based on steps'!$B248:$AY248,'recurring2_based on steps'!$B$1:$AY$1,Q$1)+SUMIFS('changes2_based on steps'!$B248:$U248,'changes2_based on steps'!$B$1:$U$1,Q$1)</f>
        <v>5.5401662049861494E-2</v>
      </c>
      <c r="R248" s="140">
        <f ca="1">SUMIFS('recurring2_based on steps'!$B248:$AY248,'recurring2_based on steps'!$B$1:$AY$1,R$1)+SUMIFS('changes2_based on steps'!$B248:$U248,'changes2_based on steps'!$B$1:$U$1,R$1)</f>
        <v>2.99</v>
      </c>
      <c r="S248" s="140">
        <f>SUMIFS('recurring2_based on steps'!$B248:$AY248,'recurring2_based on steps'!$B$1:$AY$1,S$1)+SUMIFS('changes2_based on steps'!$B248:$U248,'changes2_based on steps'!$B$1:$U$1,S$1)</f>
        <v>0</v>
      </c>
      <c r="T248" s="140">
        <f ca="1">SUMIFS('recurring2_based on steps'!$B248:$AY248,'recurring2_based on steps'!$B$1:$AY$1,T$1)+SUMIFS('changes2_based on steps'!$B248:$U248,'changes2_based on steps'!$B$1:$U$1,T$1)</f>
        <v>0</v>
      </c>
      <c r="U248" s="140">
        <f ca="1">SUMIFS('recurring2_based on steps'!$B248:$AY248,'recurring2_based on steps'!$B$1:$AY$1,U$1)+SUMIFS('changes2_based on steps'!$B248:$U248,'changes2_based on steps'!$B$1:$U$1,U$1)</f>
        <v>0</v>
      </c>
      <c r="V248" s="140">
        <f>SUMIFS('recurring2_based on steps'!$B248:$AY248,'recurring2_based on steps'!$B$1:$AY$1,V$1)+SUMIFS('changes2_based on steps'!$B248:$U248,'changes2_based on steps'!$B$1:$U$1,V$1)</f>
        <v>0</v>
      </c>
      <c r="W248" s="140">
        <f>SUMIFS('recurring2_based on steps'!$B248:$AY248,'recurring2_based on steps'!$B$1:$AY$1,W$1)+SUMIFS('changes2_based on steps'!$B248:$U248,'changes2_based on steps'!$B$1:$U$1,W$1)</f>
        <v>0</v>
      </c>
      <c r="X248" s="140">
        <f ca="1">SUMIFS('recurring2_based on steps'!$B248:$AY248,'recurring2_based on steps'!$B$1:$AY$1,X$1)+SUMIFS('changes2_based on steps'!$B248:$U248,'changes2_based on steps'!$B$1:$U$1,X$1)</f>
        <v>0</v>
      </c>
      <c r="Y248" s="140">
        <f ca="1">SUMIFS('recurring2_based on steps'!$B248:$AY248,'recurring2_based on steps'!$B$1:$AY$1,Y$1)+SUMIFS('changes2_based on steps'!$B248:$U248,'changes2_based on steps'!$B$1:$U$1,Y$1)</f>
        <v>0</v>
      </c>
      <c r="Z248" s="140">
        <f>SUMIFS('recurring2_based on steps'!$B248:$AY248,'recurring2_based on steps'!$B$1:$AY$1,Z$1)+SUMIFS('changes2_based on steps'!$B248:$U248,'changes2_based on steps'!$B$1:$U$1,Z$1)</f>
        <v>0</v>
      </c>
      <c r="AA248" s="140">
        <f ca="1">SUMIFS('recurring2_based on steps'!$B248:$AY248,'recurring2_based on steps'!$B$1:$AY$1,AA$1)+SUMIFS('changes2_based on steps'!$B248:$U248,'changes2_based on steps'!$B$1:$U$1,AA$1)</f>
        <v>0</v>
      </c>
      <c r="AB248" s="140">
        <f ca="1">SUMIFS('recurring2_based on steps'!$B248:$AY248,'recurring2_based on steps'!$B$1:$AY$1,AB$1)+SUMIFS('changes2_based on steps'!$B248:$U248,'changes2_based on steps'!$B$1:$U$1,AB$1)</f>
        <v>0</v>
      </c>
      <c r="AC248" s="140">
        <f ca="1">SUMIFS('recurring2_based on steps'!$B248:$AY248,'recurring2_based on steps'!$B$1:$AY$1,AC$1)+SUMIFS('changes2_based on steps'!$B248:$U248,'changes2_based on steps'!$B$1:$U$1,AC$1)</f>
        <v>0</v>
      </c>
      <c r="AD248" s="140">
        <f ca="1">SUMIFS('recurring2_based on steps'!$B248:$AY248,'recurring2_based on steps'!$B$1:$AY$1,AD$1)+SUMIFS('changes2_based on steps'!$B248:$U248,'changes2_based on steps'!$B$1:$U$1,AD$1)</f>
        <v>0</v>
      </c>
      <c r="AE248" s="140">
        <f>SUMIFS('recurring2_based on steps'!$B248:$AY248,'recurring2_based on steps'!$B$1:$AY$1,AE$1)+SUMIFS('changes2_based on steps'!$B248:$U248,'changes2_based on steps'!$B$1:$U$1,AE$1)</f>
        <v>0</v>
      </c>
      <c r="AF248" s="140"/>
      <c r="AG248" s="140"/>
      <c r="AH248" s="140"/>
      <c r="AI248" s="140"/>
      <c r="AJ248" s="140"/>
      <c r="AK248" s="140"/>
      <c r="AL248" s="140"/>
      <c r="AM248" s="140"/>
    </row>
    <row r="249" spans="1:39" x14ac:dyDescent="0.2">
      <c r="A249" s="29">
        <f t="shared" ca="1" si="3"/>
        <v>45989</v>
      </c>
      <c r="B249" s="140">
        <f ca="1">SUMIFS('recurring2_based on steps'!$B249:$AY249,'recurring2_based on steps'!$B$1:$AY$1,B$1)+SUMIFS('changes2_based on steps'!$B249:$U249,'changes2_based on steps'!$B$1:$U$1,B$1)</f>
        <v>4000</v>
      </c>
      <c r="C249" s="140">
        <f>SUMIFS('recurring2_based on steps'!$B249:$AY249,'recurring2_based on steps'!$B$1:$AY$1,C$1)+SUMIFS('changes2_based on steps'!$B249:$U249,'changes2_based on steps'!$B$1:$U$1,C$1)</f>
        <v>0</v>
      </c>
      <c r="D249" s="140">
        <f>SUMIFS('recurring2_based on steps'!$B249:$AY249,'recurring2_based on steps'!$B$1:$AY$1,D$1)+SUMIFS('changes2_based on steps'!$B249:$U249,'changes2_based on steps'!$B$1:$U$1,D$1)</f>
        <v>0</v>
      </c>
      <c r="E249" s="140">
        <f>SUMIFS('recurring2_based on steps'!$B249:$AY249,'recurring2_based on steps'!$B$1:$AY$1,E$1)+SUMIFS('changes2_based on steps'!$B249:$U249,'changes2_based on steps'!$B$1:$U$1,E$1)</f>
        <v>0</v>
      </c>
      <c r="F249" s="140">
        <f>SUMIFS('recurring2_based on steps'!$B249:$AY249,'recurring2_based on steps'!$B$1:$AY$1,F$1)+SUMIFS('changes2_based on steps'!$B249:$U249,'changes2_based on steps'!$B$1:$U$1,F$1)</f>
        <v>0</v>
      </c>
      <c r="G249" s="140">
        <f>SUMIFS('recurring2_based on steps'!$B249:$AY249,'recurring2_based on steps'!$B$1:$AY$1,G$1)+SUMIFS('changes2_based on steps'!$B249:$U249,'changes2_based on steps'!$B$1:$U$1,G$1)</f>
        <v>0</v>
      </c>
      <c r="H249" s="140">
        <f>SUMIFS('recurring2_based on steps'!$B249:$AY249,'recurring2_based on steps'!$B$1:$AY$1,H$1)+SUMIFS('changes2_based on steps'!$B249:$U249,'changes2_based on steps'!$B$1:$U$1,H$1)</f>
        <v>0</v>
      </c>
      <c r="I249" s="140">
        <f>SUMIFS('recurring2_based on steps'!$B249:$AY249,'recurring2_based on steps'!$B$1:$AY$1,I$1)+SUMIFS('changes2_based on steps'!$B249:$U249,'changes2_based on steps'!$B$1:$U$1,I$1)</f>
        <v>0</v>
      </c>
      <c r="J249" s="140">
        <f ca="1">SUMIFS('recurring2_based on steps'!$B249:$AY249,'recurring2_based on steps'!$B$1:$AY$1,J$1)+SUMIFS('changes2_based on steps'!$B249:$U249,'changes2_based on steps'!$B$1:$U$1,J$1)</f>
        <v>0</v>
      </c>
      <c r="K249" s="140">
        <f>SUMIFS('recurring2_based on steps'!$B249:$AY249,'recurring2_based on steps'!$B$1:$AY$1,K$1)+SUMIFS('changes2_based on steps'!$B249:$U249,'changes2_based on steps'!$B$1:$U$1,K$1)</f>
        <v>0</v>
      </c>
      <c r="L249" s="140">
        <f>SUMIFS('recurring2_based on steps'!$B249:$AY249,'recurring2_based on steps'!$B$1:$AY$1,L$1)+SUMIFS('changes2_based on steps'!$B249:$U249,'changes2_based on steps'!$B$1:$U$1,L$1)</f>
        <v>0</v>
      </c>
      <c r="M249" s="140">
        <f>SUMIFS('recurring2_based on steps'!$B249:$AY249,'recurring2_based on steps'!$B$1:$AY$1,M$1)+SUMIFS('changes2_based on steps'!$B249:$U249,'changes2_based on steps'!$B$1:$U$1,M$1)</f>
        <v>0</v>
      </c>
      <c r="N249" s="140">
        <f ca="1">SUMIFS('recurring2_based on steps'!$B249:$AY249,'recurring2_based on steps'!$B$1:$AY$1,N$1)+SUMIFS('changes2_based on steps'!$B249:$U249,'changes2_based on steps'!$B$1:$U$1,N$1)</f>
        <v>0</v>
      </c>
      <c r="O249" s="140">
        <f>SUMIFS('recurring2_based on steps'!$B249:$AY249,'recurring2_based on steps'!$B$1:$AY$1,O$1)+SUMIFS('changes2_based on steps'!$B249:$U249,'changes2_based on steps'!$B$1:$U$1,O$1)</f>
        <v>0</v>
      </c>
      <c r="P249" s="140">
        <f ca="1">SUMIFS('recurring2_based on steps'!$B249:$AY249,'recurring2_based on steps'!$B$1:$AY$1,P$1)+SUMIFS('changes2_based on steps'!$B249:$U249,'changes2_based on steps'!$B$1:$U$1,P$1)</f>
        <v>0</v>
      </c>
      <c r="Q249" s="140">
        <f ca="1">SUMIFS('recurring2_based on steps'!$B249:$AY249,'recurring2_based on steps'!$B$1:$AY$1,Q$1)+SUMIFS('changes2_based on steps'!$B249:$U249,'changes2_based on steps'!$B$1:$U$1,Q$1)</f>
        <v>5.5401662049861494E-2</v>
      </c>
      <c r="R249" s="140">
        <f ca="1">SUMIFS('recurring2_based on steps'!$B249:$AY249,'recurring2_based on steps'!$B$1:$AY$1,R$1)+SUMIFS('changes2_based on steps'!$B249:$U249,'changes2_based on steps'!$B$1:$U$1,R$1)</f>
        <v>0</v>
      </c>
      <c r="S249" s="140">
        <f>SUMIFS('recurring2_based on steps'!$B249:$AY249,'recurring2_based on steps'!$B$1:$AY$1,S$1)+SUMIFS('changes2_based on steps'!$B249:$U249,'changes2_based on steps'!$B$1:$U$1,S$1)</f>
        <v>0</v>
      </c>
      <c r="T249" s="140">
        <f ca="1">SUMIFS('recurring2_based on steps'!$B249:$AY249,'recurring2_based on steps'!$B$1:$AY$1,T$1)+SUMIFS('changes2_based on steps'!$B249:$U249,'changes2_based on steps'!$B$1:$U$1,T$1)</f>
        <v>50</v>
      </c>
      <c r="U249" s="140">
        <f ca="1">SUMIFS('recurring2_based on steps'!$B249:$AY249,'recurring2_based on steps'!$B$1:$AY$1,U$1)+SUMIFS('changes2_based on steps'!$B249:$U249,'changes2_based on steps'!$B$1:$U$1,U$1)</f>
        <v>200</v>
      </c>
      <c r="V249" s="140">
        <f>SUMIFS('recurring2_based on steps'!$B249:$AY249,'recurring2_based on steps'!$B$1:$AY$1,V$1)+SUMIFS('changes2_based on steps'!$B249:$U249,'changes2_based on steps'!$B$1:$U$1,V$1)</f>
        <v>0</v>
      </c>
      <c r="W249" s="140">
        <f>SUMIFS('recurring2_based on steps'!$B249:$AY249,'recurring2_based on steps'!$B$1:$AY$1,W$1)+SUMIFS('changes2_based on steps'!$B249:$U249,'changes2_based on steps'!$B$1:$U$1,W$1)</f>
        <v>0</v>
      </c>
      <c r="X249" s="140">
        <f ca="1">SUMIFS('recurring2_based on steps'!$B249:$AY249,'recurring2_based on steps'!$B$1:$AY$1,X$1)+SUMIFS('changes2_based on steps'!$B249:$U249,'changes2_based on steps'!$B$1:$U$1,X$1)</f>
        <v>96</v>
      </c>
      <c r="Y249" s="140">
        <f ca="1">SUMIFS('recurring2_based on steps'!$B249:$AY249,'recurring2_based on steps'!$B$1:$AY$1,Y$1)+SUMIFS('changes2_based on steps'!$B249:$U249,'changes2_based on steps'!$B$1:$U$1,Y$1)</f>
        <v>0</v>
      </c>
      <c r="Z249" s="140">
        <f>SUMIFS('recurring2_based on steps'!$B249:$AY249,'recurring2_based on steps'!$B$1:$AY$1,Z$1)+SUMIFS('changes2_based on steps'!$B249:$U249,'changes2_based on steps'!$B$1:$U$1,Z$1)</f>
        <v>0</v>
      </c>
      <c r="AA249" s="140">
        <f ca="1">SUMIFS('recurring2_based on steps'!$B249:$AY249,'recurring2_based on steps'!$B$1:$AY$1,AA$1)+SUMIFS('changes2_based on steps'!$B249:$U249,'changes2_based on steps'!$B$1:$U$1,AA$1)</f>
        <v>0</v>
      </c>
      <c r="AB249" s="140">
        <f ca="1">SUMIFS('recurring2_based on steps'!$B249:$AY249,'recurring2_based on steps'!$B$1:$AY$1,AB$1)+SUMIFS('changes2_based on steps'!$B249:$U249,'changes2_based on steps'!$B$1:$U$1,AB$1)</f>
        <v>0</v>
      </c>
      <c r="AC249" s="140">
        <f ca="1">SUMIFS('recurring2_based on steps'!$B249:$AY249,'recurring2_based on steps'!$B$1:$AY$1,AC$1)+SUMIFS('changes2_based on steps'!$B249:$U249,'changes2_based on steps'!$B$1:$U$1,AC$1)</f>
        <v>0</v>
      </c>
      <c r="AD249" s="140">
        <f ca="1">SUMIFS('recurring2_based on steps'!$B249:$AY249,'recurring2_based on steps'!$B$1:$AY$1,AD$1)+SUMIFS('changes2_based on steps'!$B249:$U249,'changes2_based on steps'!$B$1:$U$1,AD$1)</f>
        <v>50</v>
      </c>
      <c r="AE249" s="140">
        <f>SUMIFS('recurring2_based on steps'!$B249:$AY249,'recurring2_based on steps'!$B$1:$AY$1,AE$1)+SUMIFS('changes2_based on steps'!$B249:$U249,'changes2_based on steps'!$B$1:$U$1,AE$1)</f>
        <v>0</v>
      </c>
      <c r="AF249" s="140"/>
      <c r="AG249" s="140"/>
      <c r="AH249" s="140"/>
      <c r="AI249" s="140"/>
      <c r="AJ249" s="140"/>
      <c r="AK249" s="140"/>
      <c r="AL249" s="140"/>
      <c r="AM249" s="140"/>
    </row>
    <row r="250" spans="1:39" x14ac:dyDescent="0.2">
      <c r="A250" s="29">
        <f t="shared" ca="1" si="3"/>
        <v>45990</v>
      </c>
      <c r="B250" s="140">
        <f ca="1">SUMIFS('recurring2_based on steps'!$B250:$AY250,'recurring2_based on steps'!$B$1:$AY$1,B$1)+SUMIFS('changes2_based on steps'!$B250:$U250,'changes2_based on steps'!$B$1:$U$1,B$1)</f>
        <v>0</v>
      </c>
      <c r="C250" s="140">
        <f>SUMIFS('recurring2_based on steps'!$B250:$AY250,'recurring2_based on steps'!$B$1:$AY$1,C$1)+SUMIFS('changes2_based on steps'!$B250:$U250,'changes2_based on steps'!$B$1:$U$1,C$1)</f>
        <v>0</v>
      </c>
      <c r="D250" s="140">
        <f>SUMIFS('recurring2_based on steps'!$B250:$AY250,'recurring2_based on steps'!$B$1:$AY$1,D$1)+SUMIFS('changes2_based on steps'!$B250:$U250,'changes2_based on steps'!$B$1:$U$1,D$1)</f>
        <v>0</v>
      </c>
      <c r="E250" s="140">
        <f>SUMIFS('recurring2_based on steps'!$B250:$AY250,'recurring2_based on steps'!$B$1:$AY$1,E$1)+SUMIFS('changes2_based on steps'!$B250:$U250,'changes2_based on steps'!$B$1:$U$1,E$1)</f>
        <v>0</v>
      </c>
      <c r="F250" s="140">
        <f>SUMIFS('recurring2_based on steps'!$B250:$AY250,'recurring2_based on steps'!$B$1:$AY$1,F$1)+SUMIFS('changes2_based on steps'!$B250:$U250,'changes2_based on steps'!$B$1:$U$1,F$1)</f>
        <v>0</v>
      </c>
      <c r="G250" s="140">
        <f>SUMIFS('recurring2_based on steps'!$B250:$AY250,'recurring2_based on steps'!$B$1:$AY$1,G$1)+SUMIFS('changes2_based on steps'!$B250:$U250,'changes2_based on steps'!$B$1:$U$1,G$1)</f>
        <v>0</v>
      </c>
      <c r="H250" s="140">
        <f>SUMIFS('recurring2_based on steps'!$B250:$AY250,'recurring2_based on steps'!$B$1:$AY$1,H$1)+SUMIFS('changes2_based on steps'!$B250:$U250,'changes2_based on steps'!$B$1:$U$1,H$1)</f>
        <v>0</v>
      </c>
      <c r="I250" s="140">
        <f>SUMIFS('recurring2_based on steps'!$B250:$AY250,'recurring2_based on steps'!$B$1:$AY$1,I$1)+SUMIFS('changes2_based on steps'!$B250:$U250,'changes2_based on steps'!$B$1:$U$1,I$1)</f>
        <v>0</v>
      </c>
      <c r="J250" s="140">
        <f ca="1">SUMIFS('recurring2_based on steps'!$B250:$AY250,'recurring2_based on steps'!$B$1:$AY$1,J$1)+SUMIFS('changes2_based on steps'!$B250:$U250,'changes2_based on steps'!$B$1:$U$1,J$1)</f>
        <v>0</v>
      </c>
      <c r="K250" s="140">
        <f>SUMIFS('recurring2_based on steps'!$B250:$AY250,'recurring2_based on steps'!$B$1:$AY$1,K$1)+SUMIFS('changes2_based on steps'!$B250:$U250,'changes2_based on steps'!$B$1:$U$1,K$1)</f>
        <v>0</v>
      </c>
      <c r="L250" s="140">
        <f>SUMIFS('recurring2_based on steps'!$B250:$AY250,'recurring2_based on steps'!$B$1:$AY$1,L$1)+SUMIFS('changes2_based on steps'!$B250:$U250,'changes2_based on steps'!$B$1:$U$1,L$1)</f>
        <v>0</v>
      </c>
      <c r="M250" s="140">
        <f>SUMIFS('recurring2_based on steps'!$B250:$AY250,'recurring2_based on steps'!$B$1:$AY$1,M$1)+SUMIFS('changes2_based on steps'!$B250:$U250,'changes2_based on steps'!$B$1:$U$1,M$1)</f>
        <v>0</v>
      </c>
      <c r="N250" s="140">
        <f ca="1">SUMIFS('recurring2_based on steps'!$B250:$AY250,'recurring2_based on steps'!$B$1:$AY$1,N$1)+SUMIFS('changes2_based on steps'!$B250:$U250,'changes2_based on steps'!$B$1:$U$1,N$1)</f>
        <v>0</v>
      </c>
      <c r="O250" s="140">
        <f>SUMIFS('recurring2_based on steps'!$B250:$AY250,'recurring2_based on steps'!$B$1:$AY$1,O$1)+SUMIFS('changes2_based on steps'!$B250:$U250,'changes2_based on steps'!$B$1:$U$1,O$1)</f>
        <v>0</v>
      </c>
      <c r="P250" s="140">
        <f ca="1">SUMIFS('recurring2_based on steps'!$B250:$AY250,'recurring2_based on steps'!$B$1:$AY$1,P$1)+SUMIFS('changes2_based on steps'!$B250:$U250,'changes2_based on steps'!$B$1:$U$1,P$1)</f>
        <v>0</v>
      </c>
      <c r="Q250" s="140">
        <f ca="1">SUMIFS('recurring2_based on steps'!$B250:$AY250,'recurring2_based on steps'!$B$1:$AY$1,Q$1)+SUMIFS('changes2_based on steps'!$B250:$U250,'changes2_based on steps'!$B$1:$U$1,Q$1)</f>
        <v>100.05540166204986</v>
      </c>
      <c r="R250" s="140">
        <f ca="1">SUMIFS('recurring2_based on steps'!$B250:$AY250,'recurring2_based on steps'!$B$1:$AY$1,R$1)+SUMIFS('changes2_based on steps'!$B250:$U250,'changes2_based on steps'!$B$1:$U$1,R$1)</f>
        <v>0</v>
      </c>
      <c r="S250" s="140">
        <f>SUMIFS('recurring2_based on steps'!$B250:$AY250,'recurring2_based on steps'!$B$1:$AY$1,S$1)+SUMIFS('changes2_based on steps'!$B250:$U250,'changes2_based on steps'!$B$1:$U$1,S$1)</f>
        <v>0</v>
      </c>
      <c r="T250" s="140">
        <f ca="1">SUMIFS('recurring2_based on steps'!$B250:$AY250,'recurring2_based on steps'!$B$1:$AY$1,T$1)+SUMIFS('changes2_based on steps'!$B250:$U250,'changes2_based on steps'!$B$1:$U$1,T$1)</f>
        <v>0</v>
      </c>
      <c r="U250" s="140">
        <f ca="1">SUMIFS('recurring2_based on steps'!$B250:$AY250,'recurring2_based on steps'!$B$1:$AY$1,U$1)+SUMIFS('changes2_based on steps'!$B250:$U250,'changes2_based on steps'!$B$1:$U$1,U$1)</f>
        <v>0</v>
      </c>
      <c r="V250" s="140">
        <f>SUMIFS('recurring2_based on steps'!$B250:$AY250,'recurring2_based on steps'!$B$1:$AY$1,V$1)+SUMIFS('changes2_based on steps'!$B250:$U250,'changes2_based on steps'!$B$1:$U$1,V$1)</f>
        <v>0</v>
      </c>
      <c r="W250" s="140">
        <f>SUMIFS('recurring2_based on steps'!$B250:$AY250,'recurring2_based on steps'!$B$1:$AY$1,W$1)+SUMIFS('changes2_based on steps'!$B250:$U250,'changes2_based on steps'!$B$1:$U$1,W$1)</f>
        <v>0</v>
      </c>
      <c r="X250" s="140">
        <f ca="1">SUMIFS('recurring2_based on steps'!$B250:$AY250,'recurring2_based on steps'!$B$1:$AY$1,X$1)+SUMIFS('changes2_based on steps'!$B250:$U250,'changes2_based on steps'!$B$1:$U$1,X$1)</f>
        <v>0</v>
      </c>
      <c r="Y250" s="140">
        <f ca="1">SUMIFS('recurring2_based on steps'!$B250:$AY250,'recurring2_based on steps'!$B$1:$AY$1,Y$1)+SUMIFS('changes2_based on steps'!$B250:$U250,'changes2_based on steps'!$B$1:$U$1,Y$1)</f>
        <v>0</v>
      </c>
      <c r="Z250" s="140">
        <f>SUMIFS('recurring2_based on steps'!$B250:$AY250,'recurring2_based on steps'!$B$1:$AY$1,Z$1)+SUMIFS('changes2_based on steps'!$B250:$U250,'changes2_based on steps'!$B$1:$U$1,Z$1)</f>
        <v>0</v>
      </c>
      <c r="AA250" s="140">
        <f ca="1">SUMIFS('recurring2_based on steps'!$B250:$AY250,'recurring2_based on steps'!$B$1:$AY$1,AA$1)+SUMIFS('changes2_based on steps'!$B250:$U250,'changes2_based on steps'!$B$1:$U$1,AA$1)</f>
        <v>0</v>
      </c>
      <c r="AB250" s="140">
        <f ca="1">SUMIFS('recurring2_based on steps'!$B250:$AY250,'recurring2_based on steps'!$B$1:$AY$1,AB$1)+SUMIFS('changes2_based on steps'!$B250:$U250,'changes2_based on steps'!$B$1:$U$1,AB$1)</f>
        <v>100</v>
      </c>
      <c r="AC250" s="140">
        <f ca="1">SUMIFS('recurring2_based on steps'!$B250:$AY250,'recurring2_based on steps'!$B$1:$AY$1,AC$1)+SUMIFS('changes2_based on steps'!$B250:$U250,'changes2_based on steps'!$B$1:$U$1,AC$1)</f>
        <v>0</v>
      </c>
      <c r="AD250" s="140">
        <f ca="1">SUMIFS('recurring2_based on steps'!$B250:$AY250,'recurring2_based on steps'!$B$1:$AY$1,AD$1)+SUMIFS('changes2_based on steps'!$B250:$U250,'changes2_based on steps'!$B$1:$U$1,AD$1)</f>
        <v>0</v>
      </c>
      <c r="AE250" s="140">
        <f>SUMIFS('recurring2_based on steps'!$B250:$AY250,'recurring2_based on steps'!$B$1:$AY$1,AE$1)+SUMIFS('changes2_based on steps'!$B250:$U250,'changes2_based on steps'!$B$1:$U$1,AE$1)</f>
        <v>0</v>
      </c>
      <c r="AF250" s="140"/>
      <c r="AG250" s="140"/>
      <c r="AH250" s="140"/>
      <c r="AI250" s="140"/>
      <c r="AJ250" s="140"/>
      <c r="AK250" s="140"/>
      <c r="AL250" s="140"/>
      <c r="AM250" s="140"/>
    </row>
    <row r="251" spans="1:39" x14ac:dyDescent="0.2">
      <c r="A251" s="29">
        <f t="shared" ca="1" si="3"/>
        <v>45991</v>
      </c>
      <c r="B251" s="140">
        <f ca="1">SUMIFS('recurring2_based on steps'!$B251:$AY251,'recurring2_based on steps'!$B$1:$AY$1,B$1)+SUMIFS('changes2_based on steps'!$B251:$U251,'changes2_based on steps'!$B$1:$U$1,B$1)</f>
        <v>0</v>
      </c>
      <c r="C251" s="140">
        <f>SUMIFS('recurring2_based on steps'!$B251:$AY251,'recurring2_based on steps'!$B$1:$AY$1,C$1)+SUMIFS('changes2_based on steps'!$B251:$U251,'changes2_based on steps'!$B$1:$U$1,C$1)</f>
        <v>0</v>
      </c>
      <c r="D251" s="140">
        <f>SUMIFS('recurring2_based on steps'!$B251:$AY251,'recurring2_based on steps'!$B$1:$AY$1,D$1)+SUMIFS('changes2_based on steps'!$B251:$U251,'changes2_based on steps'!$B$1:$U$1,D$1)</f>
        <v>0</v>
      </c>
      <c r="E251" s="140">
        <f>SUMIFS('recurring2_based on steps'!$B251:$AY251,'recurring2_based on steps'!$B$1:$AY$1,E$1)+SUMIFS('changes2_based on steps'!$B251:$U251,'changes2_based on steps'!$B$1:$U$1,E$1)</f>
        <v>0</v>
      </c>
      <c r="F251" s="140">
        <f>SUMIFS('recurring2_based on steps'!$B251:$AY251,'recurring2_based on steps'!$B$1:$AY$1,F$1)+SUMIFS('changes2_based on steps'!$B251:$U251,'changes2_based on steps'!$B$1:$U$1,F$1)</f>
        <v>0</v>
      </c>
      <c r="G251" s="140">
        <f>SUMIFS('recurring2_based on steps'!$B251:$AY251,'recurring2_based on steps'!$B$1:$AY$1,G$1)+SUMIFS('changes2_based on steps'!$B251:$U251,'changes2_based on steps'!$B$1:$U$1,G$1)</f>
        <v>0</v>
      </c>
      <c r="H251" s="140">
        <f>SUMIFS('recurring2_based on steps'!$B251:$AY251,'recurring2_based on steps'!$B$1:$AY$1,H$1)+SUMIFS('changes2_based on steps'!$B251:$U251,'changes2_based on steps'!$B$1:$U$1,H$1)</f>
        <v>0</v>
      </c>
      <c r="I251" s="140">
        <f>SUMIFS('recurring2_based on steps'!$B251:$AY251,'recurring2_based on steps'!$B$1:$AY$1,I$1)+SUMIFS('changes2_based on steps'!$B251:$U251,'changes2_based on steps'!$B$1:$U$1,I$1)</f>
        <v>0</v>
      </c>
      <c r="J251" s="140">
        <f ca="1">SUMIFS('recurring2_based on steps'!$B251:$AY251,'recurring2_based on steps'!$B$1:$AY$1,J$1)+SUMIFS('changes2_based on steps'!$B251:$U251,'changes2_based on steps'!$B$1:$U$1,J$1)</f>
        <v>100</v>
      </c>
      <c r="K251" s="140">
        <f>SUMIFS('recurring2_based on steps'!$B251:$AY251,'recurring2_based on steps'!$B$1:$AY$1,K$1)+SUMIFS('changes2_based on steps'!$B251:$U251,'changes2_based on steps'!$B$1:$U$1,K$1)</f>
        <v>0</v>
      </c>
      <c r="L251" s="140">
        <f>SUMIFS('recurring2_based on steps'!$B251:$AY251,'recurring2_based on steps'!$B$1:$AY$1,L$1)+SUMIFS('changes2_based on steps'!$B251:$U251,'changes2_based on steps'!$B$1:$U$1,L$1)</f>
        <v>0</v>
      </c>
      <c r="M251" s="140">
        <f>SUMIFS('recurring2_based on steps'!$B251:$AY251,'recurring2_based on steps'!$B$1:$AY$1,M$1)+SUMIFS('changes2_based on steps'!$B251:$U251,'changes2_based on steps'!$B$1:$U$1,M$1)</f>
        <v>0</v>
      </c>
      <c r="N251" s="140">
        <f ca="1">SUMIFS('recurring2_based on steps'!$B251:$AY251,'recurring2_based on steps'!$B$1:$AY$1,N$1)+SUMIFS('changes2_based on steps'!$B251:$U251,'changes2_based on steps'!$B$1:$U$1,N$1)</f>
        <v>40</v>
      </c>
      <c r="O251" s="140">
        <f>SUMIFS('recurring2_based on steps'!$B251:$AY251,'recurring2_based on steps'!$B$1:$AY$1,O$1)+SUMIFS('changes2_based on steps'!$B251:$U251,'changes2_based on steps'!$B$1:$U$1,O$1)</f>
        <v>0</v>
      </c>
      <c r="P251" s="140">
        <f ca="1">SUMIFS('recurring2_based on steps'!$B251:$AY251,'recurring2_based on steps'!$B$1:$AY$1,P$1)+SUMIFS('changes2_based on steps'!$B251:$U251,'changes2_based on steps'!$B$1:$U$1,P$1)</f>
        <v>0</v>
      </c>
      <c r="Q251" s="140">
        <f ca="1">SUMIFS('recurring2_based on steps'!$B251:$AY251,'recurring2_based on steps'!$B$1:$AY$1,Q$1)+SUMIFS('changes2_based on steps'!$B251:$U251,'changes2_based on steps'!$B$1:$U$1,Q$1)</f>
        <v>100.05540166204986</v>
      </c>
      <c r="R251" s="140">
        <f ca="1">SUMIFS('recurring2_based on steps'!$B251:$AY251,'recurring2_based on steps'!$B$1:$AY$1,R$1)+SUMIFS('changes2_based on steps'!$B251:$U251,'changes2_based on steps'!$B$1:$U$1,R$1)</f>
        <v>0</v>
      </c>
      <c r="S251" s="140">
        <f>SUMIFS('recurring2_based on steps'!$B251:$AY251,'recurring2_based on steps'!$B$1:$AY$1,S$1)+SUMIFS('changes2_based on steps'!$B251:$U251,'changes2_based on steps'!$B$1:$U$1,S$1)</f>
        <v>0</v>
      </c>
      <c r="T251" s="140">
        <f ca="1">SUMIFS('recurring2_based on steps'!$B251:$AY251,'recurring2_based on steps'!$B$1:$AY$1,T$1)+SUMIFS('changes2_based on steps'!$B251:$U251,'changes2_based on steps'!$B$1:$U$1,T$1)</f>
        <v>0</v>
      </c>
      <c r="U251" s="140">
        <f ca="1">SUMIFS('recurring2_based on steps'!$B251:$AY251,'recurring2_based on steps'!$B$1:$AY$1,U$1)+SUMIFS('changes2_based on steps'!$B251:$U251,'changes2_based on steps'!$B$1:$U$1,U$1)</f>
        <v>0</v>
      </c>
      <c r="V251" s="140">
        <f>SUMIFS('recurring2_based on steps'!$B251:$AY251,'recurring2_based on steps'!$B$1:$AY$1,V$1)+SUMIFS('changes2_based on steps'!$B251:$U251,'changes2_based on steps'!$B$1:$U$1,V$1)</f>
        <v>0</v>
      </c>
      <c r="W251" s="140">
        <f>SUMIFS('recurring2_based on steps'!$B251:$AY251,'recurring2_based on steps'!$B$1:$AY$1,W$1)+SUMIFS('changes2_based on steps'!$B251:$U251,'changes2_based on steps'!$B$1:$U$1,W$1)</f>
        <v>0</v>
      </c>
      <c r="X251" s="140">
        <f ca="1">SUMIFS('recurring2_based on steps'!$B251:$AY251,'recurring2_based on steps'!$B$1:$AY$1,X$1)+SUMIFS('changes2_based on steps'!$B251:$U251,'changes2_based on steps'!$B$1:$U$1,X$1)</f>
        <v>0</v>
      </c>
      <c r="Y251" s="140">
        <f ca="1">SUMIFS('recurring2_based on steps'!$B251:$AY251,'recurring2_based on steps'!$B$1:$AY$1,Y$1)+SUMIFS('changes2_based on steps'!$B251:$U251,'changes2_based on steps'!$B$1:$U$1,Y$1)</f>
        <v>50</v>
      </c>
      <c r="Z251" s="140">
        <f>SUMIFS('recurring2_based on steps'!$B251:$AY251,'recurring2_based on steps'!$B$1:$AY$1,Z$1)+SUMIFS('changes2_based on steps'!$B251:$U251,'changes2_based on steps'!$B$1:$U$1,Z$1)</f>
        <v>0</v>
      </c>
      <c r="AA251" s="140">
        <f ca="1">SUMIFS('recurring2_based on steps'!$B251:$AY251,'recurring2_based on steps'!$B$1:$AY$1,AA$1)+SUMIFS('changes2_based on steps'!$B251:$U251,'changes2_based on steps'!$B$1:$U$1,AA$1)</f>
        <v>0</v>
      </c>
      <c r="AB251" s="140">
        <f ca="1">SUMIFS('recurring2_based on steps'!$B251:$AY251,'recurring2_based on steps'!$B$1:$AY$1,AB$1)+SUMIFS('changes2_based on steps'!$B251:$U251,'changes2_based on steps'!$B$1:$U$1,AB$1)</f>
        <v>0</v>
      </c>
      <c r="AC251" s="140">
        <f ca="1">SUMIFS('recurring2_based on steps'!$B251:$AY251,'recurring2_based on steps'!$B$1:$AY$1,AC$1)+SUMIFS('changes2_based on steps'!$B251:$U251,'changes2_based on steps'!$B$1:$U$1,AC$1)</f>
        <v>0</v>
      </c>
      <c r="AD251" s="140">
        <f ca="1">SUMIFS('recurring2_based on steps'!$B251:$AY251,'recurring2_based on steps'!$B$1:$AY$1,AD$1)+SUMIFS('changes2_based on steps'!$B251:$U251,'changes2_based on steps'!$B$1:$U$1,AD$1)</f>
        <v>0</v>
      </c>
      <c r="AE251" s="140">
        <f>SUMIFS('recurring2_based on steps'!$B251:$AY251,'recurring2_based on steps'!$B$1:$AY$1,AE$1)+SUMIFS('changes2_based on steps'!$B251:$U251,'changes2_based on steps'!$B$1:$U$1,AE$1)</f>
        <v>0</v>
      </c>
      <c r="AF251" s="140"/>
      <c r="AG251" s="140"/>
      <c r="AH251" s="140"/>
      <c r="AI251" s="140"/>
      <c r="AJ251" s="140"/>
      <c r="AK251" s="140"/>
      <c r="AL251" s="140"/>
      <c r="AM251" s="140"/>
    </row>
    <row r="252" spans="1:39" x14ac:dyDescent="0.2">
      <c r="A252" s="29">
        <f t="shared" ca="1" si="3"/>
        <v>45992</v>
      </c>
      <c r="B252" s="140">
        <f ca="1">SUMIFS('recurring2_based on steps'!$B252:$AY252,'recurring2_based on steps'!$B$1:$AY$1,B$1)+SUMIFS('changes2_based on steps'!$B252:$U252,'changes2_based on steps'!$B$1:$U$1,B$1)</f>
        <v>0</v>
      </c>
      <c r="C252" s="140">
        <f>SUMIFS('recurring2_based on steps'!$B252:$AY252,'recurring2_based on steps'!$B$1:$AY$1,C$1)+SUMIFS('changes2_based on steps'!$B252:$U252,'changes2_based on steps'!$B$1:$U$1,C$1)</f>
        <v>0</v>
      </c>
      <c r="D252" s="140">
        <f>SUMIFS('recurring2_based on steps'!$B252:$AY252,'recurring2_based on steps'!$B$1:$AY$1,D$1)+SUMIFS('changes2_based on steps'!$B252:$U252,'changes2_based on steps'!$B$1:$U$1,D$1)</f>
        <v>0</v>
      </c>
      <c r="E252" s="140">
        <f>SUMIFS('recurring2_based on steps'!$B252:$AY252,'recurring2_based on steps'!$B$1:$AY$1,E$1)+SUMIFS('changes2_based on steps'!$B252:$U252,'changes2_based on steps'!$B$1:$U$1,E$1)</f>
        <v>0</v>
      </c>
      <c r="F252" s="140">
        <f>SUMIFS('recurring2_based on steps'!$B252:$AY252,'recurring2_based on steps'!$B$1:$AY$1,F$1)+SUMIFS('changes2_based on steps'!$B252:$U252,'changes2_based on steps'!$B$1:$U$1,F$1)</f>
        <v>0</v>
      </c>
      <c r="G252" s="140">
        <f>SUMIFS('recurring2_based on steps'!$B252:$AY252,'recurring2_based on steps'!$B$1:$AY$1,G$1)+SUMIFS('changes2_based on steps'!$B252:$U252,'changes2_based on steps'!$B$1:$U$1,G$1)</f>
        <v>0</v>
      </c>
      <c r="H252" s="140">
        <f>SUMIFS('recurring2_based on steps'!$B252:$AY252,'recurring2_based on steps'!$B$1:$AY$1,H$1)+SUMIFS('changes2_based on steps'!$B252:$U252,'changes2_based on steps'!$B$1:$U$1,H$1)</f>
        <v>0</v>
      </c>
      <c r="I252" s="140">
        <f>SUMIFS('recurring2_based on steps'!$B252:$AY252,'recurring2_based on steps'!$B$1:$AY$1,I$1)+SUMIFS('changes2_based on steps'!$B252:$U252,'changes2_based on steps'!$B$1:$U$1,I$1)</f>
        <v>0</v>
      </c>
      <c r="J252" s="140">
        <f ca="1">SUMIFS('recurring2_based on steps'!$B252:$AY252,'recurring2_based on steps'!$B$1:$AY$1,J$1)+SUMIFS('changes2_based on steps'!$B252:$U252,'changes2_based on steps'!$B$1:$U$1,J$1)</f>
        <v>0</v>
      </c>
      <c r="K252" s="140">
        <f>SUMIFS('recurring2_based on steps'!$B252:$AY252,'recurring2_based on steps'!$B$1:$AY$1,K$1)+SUMIFS('changes2_based on steps'!$B252:$U252,'changes2_based on steps'!$B$1:$U$1,K$1)</f>
        <v>0</v>
      </c>
      <c r="L252" s="140">
        <f>SUMIFS('recurring2_based on steps'!$B252:$AY252,'recurring2_based on steps'!$B$1:$AY$1,L$1)+SUMIFS('changes2_based on steps'!$B252:$U252,'changes2_based on steps'!$B$1:$U$1,L$1)</f>
        <v>0</v>
      </c>
      <c r="M252" s="140">
        <f>SUMIFS('recurring2_based on steps'!$B252:$AY252,'recurring2_based on steps'!$B$1:$AY$1,M$1)+SUMIFS('changes2_based on steps'!$B252:$U252,'changes2_based on steps'!$B$1:$U$1,M$1)</f>
        <v>0</v>
      </c>
      <c r="N252" s="140">
        <f ca="1">SUMIFS('recurring2_based on steps'!$B252:$AY252,'recurring2_based on steps'!$B$1:$AY$1,N$1)+SUMIFS('changes2_based on steps'!$B252:$U252,'changes2_based on steps'!$B$1:$U$1,N$1)</f>
        <v>2000</v>
      </c>
      <c r="O252" s="140">
        <f>SUMIFS('recurring2_based on steps'!$B252:$AY252,'recurring2_based on steps'!$B$1:$AY$1,O$1)+SUMIFS('changes2_based on steps'!$B252:$U252,'changes2_based on steps'!$B$1:$U$1,O$1)</f>
        <v>0</v>
      </c>
      <c r="P252" s="140">
        <f ca="1">SUMIFS('recurring2_based on steps'!$B252:$AY252,'recurring2_based on steps'!$B$1:$AY$1,P$1)+SUMIFS('changes2_based on steps'!$B252:$U252,'changes2_based on steps'!$B$1:$U$1,P$1)</f>
        <v>0</v>
      </c>
      <c r="Q252" s="140">
        <f ca="1">SUMIFS('recurring2_based on steps'!$B252:$AY252,'recurring2_based on steps'!$B$1:$AY$1,Q$1)+SUMIFS('changes2_based on steps'!$B252:$U252,'changes2_based on steps'!$B$1:$U$1,Q$1)</f>
        <v>5.5401662049861494E-2</v>
      </c>
      <c r="R252" s="140">
        <f ca="1">SUMIFS('recurring2_based on steps'!$B252:$AY252,'recurring2_based on steps'!$B$1:$AY$1,R$1)+SUMIFS('changes2_based on steps'!$B252:$U252,'changes2_based on steps'!$B$1:$U$1,R$1)</f>
        <v>0</v>
      </c>
      <c r="S252" s="140">
        <f>SUMIFS('recurring2_based on steps'!$B252:$AY252,'recurring2_based on steps'!$B$1:$AY$1,S$1)+SUMIFS('changes2_based on steps'!$B252:$U252,'changes2_based on steps'!$B$1:$U$1,S$1)</f>
        <v>0</v>
      </c>
      <c r="T252" s="140">
        <f ca="1">SUMIFS('recurring2_based on steps'!$B252:$AY252,'recurring2_based on steps'!$B$1:$AY$1,T$1)+SUMIFS('changes2_based on steps'!$B252:$U252,'changes2_based on steps'!$B$1:$U$1,T$1)</f>
        <v>0</v>
      </c>
      <c r="U252" s="140">
        <f ca="1">SUMIFS('recurring2_based on steps'!$B252:$AY252,'recurring2_based on steps'!$B$1:$AY$1,U$1)+SUMIFS('changes2_based on steps'!$B252:$U252,'changes2_based on steps'!$B$1:$U$1,U$1)</f>
        <v>0</v>
      </c>
      <c r="V252" s="140">
        <f>SUMIFS('recurring2_based on steps'!$B252:$AY252,'recurring2_based on steps'!$B$1:$AY$1,V$1)+SUMIFS('changes2_based on steps'!$B252:$U252,'changes2_based on steps'!$B$1:$U$1,V$1)</f>
        <v>0</v>
      </c>
      <c r="W252" s="140">
        <f>SUMIFS('recurring2_based on steps'!$B252:$AY252,'recurring2_based on steps'!$B$1:$AY$1,W$1)+SUMIFS('changes2_based on steps'!$B252:$U252,'changes2_based on steps'!$B$1:$U$1,W$1)</f>
        <v>0</v>
      </c>
      <c r="X252" s="140">
        <f ca="1">SUMIFS('recurring2_based on steps'!$B252:$AY252,'recurring2_based on steps'!$B$1:$AY$1,X$1)+SUMIFS('changes2_based on steps'!$B252:$U252,'changes2_based on steps'!$B$1:$U$1,X$1)</f>
        <v>0</v>
      </c>
      <c r="Y252" s="140">
        <f ca="1">SUMIFS('recurring2_based on steps'!$B252:$AY252,'recurring2_based on steps'!$B$1:$AY$1,Y$1)+SUMIFS('changes2_based on steps'!$B252:$U252,'changes2_based on steps'!$B$1:$U$1,Y$1)</f>
        <v>0</v>
      </c>
      <c r="Z252" s="140">
        <f>SUMIFS('recurring2_based on steps'!$B252:$AY252,'recurring2_based on steps'!$B$1:$AY$1,Z$1)+SUMIFS('changes2_based on steps'!$B252:$U252,'changes2_based on steps'!$B$1:$U$1,Z$1)</f>
        <v>0</v>
      </c>
      <c r="AA252" s="140">
        <f ca="1">SUMIFS('recurring2_based on steps'!$B252:$AY252,'recurring2_based on steps'!$B$1:$AY$1,AA$1)+SUMIFS('changes2_based on steps'!$B252:$U252,'changes2_based on steps'!$B$1:$U$1,AA$1)</f>
        <v>0</v>
      </c>
      <c r="AB252" s="140">
        <f ca="1">SUMIFS('recurring2_based on steps'!$B252:$AY252,'recurring2_based on steps'!$B$1:$AY$1,AB$1)+SUMIFS('changes2_based on steps'!$B252:$U252,'changes2_based on steps'!$B$1:$U$1,AB$1)</f>
        <v>0</v>
      </c>
      <c r="AC252" s="140">
        <f ca="1">SUMIFS('recurring2_based on steps'!$B252:$AY252,'recurring2_based on steps'!$B$1:$AY$1,AC$1)+SUMIFS('changes2_based on steps'!$B252:$U252,'changes2_based on steps'!$B$1:$U$1,AC$1)</f>
        <v>0</v>
      </c>
      <c r="AD252" s="140">
        <f ca="1">SUMIFS('recurring2_based on steps'!$B252:$AY252,'recurring2_based on steps'!$B$1:$AY$1,AD$1)+SUMIFS('changes2_based on steps'!$B252:$U252,'changes2_based on steps'!$B$1:$U$1,AD$1)</f>
        <v>0</v>
      </c>
      <c r="AE252" s="140">
        <f>SUMIFS('recurring2_based on steps'!$B252:$AY252,'recurring2_based on steps'!$B$1:$AY$1,AE$1)+SUMIFS('changes2_based on steps'!$B252:$U252,'changes2_based on steps'!$B$1:$U$1,AE$1)</f>
        <v>0</v>
      </c>
      <c r="AF252" s="140"/>
      <c r="AG252" s="140"/>
      <c r="AH252" s="140"/>
      <c r="AI252" s="140"/>
      <c r="AJ252" s="140"/>
      <c r="AK252" s="140"/>
      <c r="AL252" s="140"/>
      <c r="AM252" s="140"/>
    </row>
    <row r="253" spans="1:39" x14ac:dyDescent="0.2">
      <c r="A253" s="29">
        <f t="shared" ca="1" si="3"/>
        <v>45993</v>
      </c>
      <c r="B253" s="140">
        <f ca="1">SUMIFS('recurring2_based on steps'!$B253:$AY253,'recurring2_based on steps'!$B$1:$AY$1,B$1)+SUMIFS('changes2_based on steps'!$B253:$U253,'changes2_based on steps'!$B$1:$U$1,B$1)</f>
        <v>0</v>
      </c>
      <c r="C253" s="140">
        <f>SUMIFS('recurring2_based on steps'!$B253:$AY253,'recurring2_based on steps'!$B$1:$AY$1,C$1)+SUMIFS('changes2_based on steps'!$B253:$U253,'changes2_based on steps'!$B$1:$U$1,C$1)</f>
        <v>0</v>
      </c>
      <c r="D253" s="140">
        <f>SUMIFS('recurring2_based on steps'!$B253:$AY253,'recurring2_based on steps'!$B$1:$AY$1,D$1)+SUMIFS('changes2_based on steps'!$B253:$U253,'changes2_based on steps'!$B$1:$U$1,D$1)</f>
        <v>0</v>
      </c>
      <c r="E253" s="140">
        <f>SUMIFS('recurring2_based on steps'!$B253:$AY253,'recurring2_based on steps'!$B$1:$AY$1,E$1)+SUMIFS('changes2_based on steps'!$B253:$U253,'changes2_based on steps'!$B$1:$U$1,E$1)</f>
        <v>0</v>
      </c>
      <c r="F253" s="140">
        <f>SUMIFS('recurring2_based on steps'!$B253:$AY253,'recurring2_based on steps'!$B$1:$AY$1,F$1)+SUMIFS('changes2_based on steps'!$B253:$U253,'changes2_based on steps'!$B$1:$U$1,F$1)</f>
        <v>0</v>
      </c>
      <c r="G253" s="140">
        <f>SUMIFS('recurring2_based on steps'!$B253:$AY253,'recurring2_based on steps'!$B$1:$AY$1,G$1)+SUMIFS('changes2_based on steps'!$B253:$U253,'changes2_based on steps'!$B$1:$U$1,G$1)</f>
        <v>0</v>
      </c>
      <c r="H253" s="140">
        <f>SUMIFS('recurring2_based on steps'!$B253:$AY253,'recurring2_based on steps'!$B$1:$AY$1,H$1)+SUMIFS('changes2_based on steps'!$B253:$U253,'changes2_based on steps'!$B$1:$U$1,H$1)</f>
        <v>0</v>
      </c>
      <c r="I253" s="140">
        <f>SUMIFS('recurring2_based on steps'!$B253:$AY253,'recurring2_based on steps'!$B$1:$AY$1,I$1)+SUMIFS('changes2_based on steps'!$B253:$U253,'changes2_based on steps'!$B$1:$U$1,I$1)</f>
        <v>0</v>
      </c>
      <c r="J253" s="140">
        <f ca="1">SUMIFS('recurring2_based on steps'!$B253:$AY253,'recurring2_based on steps'!$B$1:$AY$1,J$1)+SUMIFS('changes2_based on steps'!$B253:$U253,'changes2_based on steps'!$B$1:$U$1,J$1)</f>
        <v>0</v>
      </c>
      <c r="K253" s="140">
        <f>SUMIFS('recurring2_based on steps'!$B253:$AY253,'recurring2_based on steps'!$B$1:$AY$1,K$1)+SUMIFS('changes2_based on steps'!$B253:$U253,'changes2_based on steps'!$B$1:$U$1,K$1)</f>
        <v>0</v>
      </c>
      <c r="L253" s="140">
        <f>SUMIFS('recurring2_based on steps'!$B253:$AY253,'recurring2_based on steps'!$B$1:$AY$1,L$1)+SUMIFS('changes2_based on steps'!$B253:$U253,'changes2_based on steps'!$B$1:$U$1,L$1)</f>
        <v>0</v>
      </c>
      <c r="M253" s="140">
        <f>SUMIFS('recurring2_based on steps'!$B253:$AY253,'recurring2_based on steps'!$B$1:$AY$1,M$1)+SUMIFS('changes2_based on steps'!$B253:$U253,'changes2_based on steps'!$B$1:$U$1,M$1)</f>
        <v>0</v>
      </c>
      <c r="N253" s="140">
        <f ca="1">SUMIFS('recurring2_based on steps'!$B253:$AY253,'recurring2_based on steps'!$B$1:$AY$1,N$1)+SUMIFS('changes2_based on steps'!$B253:$U253,'changes2_based on steps'!$B$1:$U$1,N$1)</f>
        <v>0</v>
      </c>
      <c r="O253" s="140">
        <f>SUMIFS('recurring2_based on steps'!$B253:$AY253,'recurring2_based on steps'!$B$1:$AY$1,O$1)+SUMIFS('changes2_based on steps'!$B253:$U253,'changes2_based on steps'!$B$1:$U$1,O$1)</f>
        <v>0</v>
      </c>
      <c r="P253" s="140">
        <f ca="1">SUMIFS('recurring2_based on steps'!$B253:$AY253,'recurring2_based on steps'!$B$1:$AY$1,P$1)+SUMIFS('changes2_based on steps'!$B253:$U253,'changes2_based on steps'!$B$1:$U$1,P$1)</f>
        <v>0</v>
      </c>
      <c r="Q253" s="140">
        <f ca="1">SUMIFS('recurring2_based on steps'!$B253:$AY253,'recurring2_based on steps'!$B$1:$AY$1,Q$1)+SUMIFS('changes2_based on steps'!$B253:$U253,'changes2_based on steps'!$B$1:$U$1,Q$1)</f>
        <v>5.5401662049861494E-2</v>
      </c>
      <c r="R253" s="140">
        <f ca="1">SUMIFS('recurring2_based on steps'!$B253:$AY253,'recurring2_based on steps'!$B$1:$AY$1,R$1)+SUMIFS('changes2_based on steps'!$B253:$U253,'changes2_based on steps'!$B$1:$U$1,R$1)</f>
        <v>0</v>
      </c>
      <c r="S253" s="140">
        <f>SUMIFS('recurring2_based on steps'!$B253:$AY253,'recurring2_based on steps'!$B$1:$AY$1,S$1)+SUMIFS('changes2_based on steps'!$B253:$U253,'changes2_based on steps'!$B$1:$U$1,S$1)</f>
        <v>0</v>
      </c>
      <c r="T253" s="140">
        <f ca="1">SUMIFS('recurring2_based on steps'!$B253:$AY253,'recurring2_based on steps'!$B$1:$AY$1,T$1)+SUMIFS('changes2_based on steps'!$B253:$U253,'changes2_based on steps'!$B$1:$U$1,T$1)</f>
        <v>0</v>
      </c>
      <c r="U253" s="140">
        <f ca="1">SUMIFS('recurring2_based on steps'!$B253:$AY253,'recurring2_based on steps'!$B$1:$AY$1,U$1)+SUMIFS('changes2_based on steps'!$B253:$U253,'changes2_based on steps'!$B$1:$U$1,U$1)</f>
        <v>0</v>
      </c>
      <c r="V253" s="140">
        <f>SUMIFS('recurring2_based on steps'!$B253:$AY253,'recurring2_based on steps'!$B$1:$AY$1,V$1)+SUMIFS('changes2_based on steps'!$B253:$U253,'changes2_based on steps'!$B$1:$U$1,V$1)</f>
        <v>0</v>
      </c>
      <c r="W253" s="140">
        <f>SUMIFS('recurring2_based on steps'!$B253:$AY253,'recurring2_based on steps'!$B$1:$AY$1,W$1)+SUMIFS('changes2_based on steps'!$B253:$U253,'changes2_based on steps'!$B$1:$U$1,W$1)</f>
        <v>0</v>
      </c>
      <c r="X253" s="140">
        <f ca="1">SUMIFS('recurring2_based on steps'!$B253:$AY253,'recurring2_based on steps'!$B$1:$AY$1,X$1)+SUMIFS('changes2_based on steps'!$B253:$U253,'changes2_based on steps'!$B$1:$U$1,X$1)</f>
        <v>0</v>
      </c>
      <c r="Y253" s="140">
        <f ca="1">SUMIFS('recurring2_based on steps'!$B253:$AY253,'recurring2_based on steps'!$B$1:$AY$1,Y$1)+SUMIFS('changes2_based on steps'!$B253:$U253,'changes2_based on steps'!$B$1:$U$1,Y$1)</f>
        <v>0</v>
      </c>
      <c r="Z253" s="140">
        <f>SUMIFS('recurring2_based on steps'!$B253:$AY253,'recurring2_based on steps'!$B$1:$AY$1,Z$1)+SUMIFS('changes2_based on steps'!$B253:$U253,'changes2_based on steps'!$B$1:$U$1,Z$1)</f>
        <v>0</v>
      </c>
      <c r="AA253" s="140">
        <f ca="1">SUMIFS('recurring2_based on steps'!$B253:$AY253,'recurring2_based on steps'!$B$1:$AY$1,AA$1)+SUMIFS('changes2_based on steps'!$B253:$U253,'changes2_based on steps'!$B$1:$U$1,AA$1)</f>
        <v>0</v>
      </c>
      <c r="AB253" s="140">
        <f ca="1">SUMIFS('recurring2_based on steps'!$B253:$AY253,'recurring2_based on steps'!$B$1:$AY$1,AB$1)+SUMIFS('changes2_based on steps'!$B253:$U253,'changes2_based on steps'!$B$1:$U$1,AB$1)</f>
        <v>0</v>
      </c>
      <c r="AC253" s="140">
        <f ca="1">SUMIFS('recurring2_based on steps'!$B253:$AY253,'recurring2_based on steps'!$B$1:$AY$1,AC$1)+SUMIFS('changes2_based on steps'!$B253:$U253,'changes2_based on steps'!$B$1:$U$1,AC$1)</f>
        <v>0</v>
      </c>
      <c r="AD253" s="140">
        <f ca="1">SUMIFS('recurring2_based on steps'!$B253:$AY253,'recurring2_based on steps'!$B$1:$AY$1,AD$1)+SUMIFS('changes2_based on steps'!$B253:$U253,'changes2_based on steps'!$B$1:$U$1,AD$1)</f>
        <v>0</v>
      </c>
      <c r="AE253" s="140">
        <f>SUMIFS('recurring2_based on steps'!$B253:$AY253,'recurring2_based on steps'!$B$1:$AY$1,AE$1)+SUMIFS('changes2_based on steps'!$B253:$U253,'changes2_based on steps'!$B$1:$U$1,AE$1)</f>
        <v>0</v>
      </c>
      <c r="AF253" s="140"/>
      <c r="AG253" s="140"/>
      <c r="AH253" s="140"/>
      <c r="AI253" s="140"/>
      <c r="AJ253" s="140"/>
      <c r="AK253" s="140"/>
      <c r="AL253" s="140"/>
      <c r="AM253" s="140"/>
    </row>
    <row r="254" spans="1:39" x14ac:dyDescent="0.2">
      <c r="A254" s="29">
        <f t="shared" ca="1" si="3"/>
        <v>45994</v>
      </c>
      <c r="B254" s="140">
        <f ca="1">SUMIFS('recurring2_based on steps'!$B254:$AY254,'recurring2_based on steps'!$B$1:$AY$1,B$1)+SUMIFS('changes2_based on steps'!$B254:$U254,'changes2_based on steps'!$B$1:$U$1,B$1)</f>
        <v>0</v>
      </c>
      <c r="C254" s="140">
        <f>SUMIFS('recurring2_based on steps'!$B254:$AY254,'recurring2_based on steps'!$B$1:$AY$1,C$1)+SUMIFS('changes2_based on steps'!$B254:$U254,'changes2_based on steps'!$B$1:$U$1,C$1)</f>
        <v>0</v>
      </c>
      <c r="D254" s="140">
        <f>SUMIFS('recurring2_based on steps'!$B254:$AY254,'recurring2_based on steps'!$B$1:$AY$1,D$1)+SUMIFS('changes2_based on steps'!$B254:$U254,'changes2_based on steps'!$B$1:$U$1,D$1)</f>
        <v>0</v>
      </c>
      <c r="E254" s="140">
        <f>SUMIFS('recurring2_based on steps'!$B254:$AY254,'recurring2_based on steps'!$B$1:$AY$1,E$1)+SUMIFS('changes2_based on steps'!$B254:$U254,'changes2_based on steps'!$B$1:$U$1,E$1)</f>
        <v>0</v>
      </c>
      <c r="F254" s="140">
        <f>SUMIFS('recurring2_based on steps'!$B254:$AY254,'recurring2_based on steps'!$B$1:$AY$1,F$1)+SUMIFS('changes2_based on steps'!$B254:$U254,'changes2_based on steps'!$B$1:$U$1,F$1)</f>
        <v>0</v>
      </c>
      <c r="G254" s="140">
        <f>SUMIFS('recurring2_based on steps'!$B254:$AY254,'recurring2_based on steps'!$B$1:$AY$1,G$1)+SUMIFS('changes2_based on steps'!$B254:$U254,'changes2_based on steps'!$B$1:$U$1,G$1)</f>
        <v>0</v>
      </c>
      <c r="H254" s="140">
        <f>SUMIFS('recurring2_based on steps'!$B254:$AY254,'recurring2_based on steps'!$B$1:$AY$1,H$1)+SUMIFS('changes2_based on steps'!$B254:$U254,'changes2_based on steps'!$B$1:$U$1,H$1)</f>
        <v>0</v>
      </c>
      <c r="I254" s="140">
        <f>SUMIFS('recurring2_based on steps'!$B254:$AY254,'recurring2_based on steps'!$B$1:$AY$1,I$1)+SUMIFS('changes2_based on steps'!$B254:$U254,'changes2_based on steps'!$B$1:$U$1,I$1)</f>
        <v>0</v>
      </c>
      <c r="J254" s="140">
        <f ca="1">SUMIFS('recurring2_based on steps'!$B254:$AY254,'recurring2_based on steps'!$B$1:$AY$1,J$1)+SUMIFS('changes2_based on steps'!$B254:$U254,'changes2_based on steps'!$B$1:$U$1,J$1)</f>
        <v>0</v>
      </c>
      <c r="K254" s="140">
        <f>SUMIFS('recurring2_based on steps'!$B254:$AY254,'recurring2_based on steps'!$B$1:$AY$1,K$1)+SUMIFS('changes2_based on steps'!$B254:$U254,'changes2_based on steps'!$B$1:$U$1,K$1)</f>
        <v>0</v>
      </c>
      <c r="L254" s="140">
        <f>SUMIFS('recurring2_based on steps'!$B254:$AY254,'recurring2_based on steps'!$B$1:$AY$1,L$1)+SUMIFS('changes2_based on steps'!$B254:$U254,'changes2_based on steps'!$B$1:$U$1,L$1)</f>
        <v>0</v>
      </c>
      <c r="M254" s="140">
        <f>SUMIFS('recurring2_based on steps'!$B254:$AY254,'recurring2_based on steps'!$B$1:$AY$1,M$1)+SUMIFS('changes2_based on steps'!$B254:$U254,'changes2_based on steps'!$B$1:$U$1,M$1)</f>
        <v>0</v>
      </c>
      <c r="N254" s="140">
        <f ca="1">SUMIFS('recurring2_based on steps'!$B254:$AY254,'recurring2_based on steps'!$B$1:$AY$1,N$1)+SUMIFS('changes2_based on steps'!$B254:$U254,'changes2_based on steps'!$B$1:$U$1,N$1)</f>
        <v>0</v>
      </c>
      <c r="O254" s="140">
        <f>SUMIFS('recurring2_based on steps'!$B254:$AY254,'recurring2_based on steps'!$B$1:$AY$1,O$1)+SUMIFS('changes2_based on steps'!$B254:$U254,'changes2_based on steps'!$B$1:$U$1,O$1)</f>
        <v>0</v>
      </c>
      <c r="P254" s="140">
        <f ca="1">SUMIFS('recurring2_based on steps'!$B254:$AY254,'recurring2_based on steps'!$B$1:$AY$1,P$1)+SUMIFS('changes2_based on steps'!$B254:$U254,'changes2_based on steps'!$B$1:$U$1,P$1)</f>
        <v>0</v>
      </c>
      <c r="Q254" s="140">
        <f ca="1">SUMIFS('recurring2_based on steps'!$B254:$AY254,'recurring2_based on steps'!$B$1:$AY$1,Q$1)+SUMIFS('changes2_based on steps'!$B254:$U254,'changes2_based on steps'!$B$1:$U$1,Q$1)</f>
        <v>5.5401662049861494E-2</v>
      </c>
      <c r="R254" s="140">
        <f ca="1">SUMIFS('recurring2_based on steps'!$B254:$AY254,'recurring2_based on steps'!$B$1:$AY$1,R$1)+SUMIFS('changes2_based on steps'!$B254:$U254,'changes2_based on steps'!$B$1:$U$1,R$1)</f>
        <v>0</v>
      </c>
      <c r="S254" s="140">
        <f>SUMIFS('recurring2_based on steps'!$B254:$AY254,'recurring2_based on steps'!$B$1:$AY$1,S$1)+SUMIFS('changes2_based on steps'!$B254:$U254,'changes2_based on steps'!$B$1:$U$1,S$1)</f>
        <v>0</v>
      </c>
      <c r="T254" s="140">
        <f ca="1">SUMIFS('recurring2_based on steps'!$B254:$AY254,'recurring2_based on steps'!$B$1:$AY$1,T$1)+SUMIFS('changes2_based on steps'!$B254:$U254,'changes2_based on steps'!$B$1:$U$1,T$1)</f>
        <v>0</v>
      </c>
      <c r="U254" s="140">
        <f ca="1">SUMIFS('recurring2_based on steps'!$B254:$AY254,'recurring2_based on steps'!$B$1:$AY$1,U$1)+SUMIFS('changes2_based on steps'!$B254:$U254,'changes2_based on steps'!$B$1:$U$1,U$1)</f>
        <v>0</v>
      </c>
      <c r="V254" s="140">
        <f>SUMIFS('recurring2_based on steps'!$B254:$AY254,'recurring2_based on steps'!$B$1:$AY$1,V$1)+SUMIFS('changes2_based on steps'!$B254:$U254,'changes2_based on steps'!$B$1:$U$1,V$1)</f>
        <v>0</v>
      </c>
      <c r="W254" s="140">
        <f>SUMIFS('recurring2_based on steps'!$B254:$AY254,'recurring2_based on steps'!$B$1:$AY$1,W$1)+SUMIFS('changes2_based on steps'!$B254:$U254,'changes2_based on steps'!$B$1:$U$1,W$1)</f>
        <v>0</v>
      </c>
      <c r="X254" s="140">
        <f ca="1">SUMIFS('recurring2_based on steps'!$B254:$AY254,'recurring2_based on steps'!$B$1:$AY$1,X$1)+SUMIFS('changes2_based on steps'!$B254:$U254,'changes2_based on steps'!$B$1:$U$1,X$1)</f>
        <v>0</v>
      </c>
      <c r="Y254" s="140">
        <f ca="1">SUMIFS('recurring2_based on steps'!$B254:$AY254,'recurring2_based on steps'!$B$1:$AY$1,Y$1)+SUMIFS('changes2_based on steps'!$B254:$U254,'changes2_based on steps'!$B$1:$U$1,Y$1)</f>
        <v>0</v>
      </c>
      <c r="Z254" s="140">
        <f>SUMIFS('recurring2_based on steps'!$B254:$AY254,'recurring2_based on steps'!$B$1:$AY$1,Z$1)+SUMIFS('changes2_based on steps'!$B254:$U254,'changes2_based on steps'!$B$1:$U$1,Z$1)</f>
        <v>0</v>
      </c>
      <c r="AA254" s="140">
        <f ca="1">SUMIFS('recurring2_based on steps'!$B254:$AY254,'recurring2_based on steps'!$B$1:$AY$1,AA$1)+SUMIFS('changes2_based on steps'!$B254:$U254,'changes2_based on steps'!$B$1:$U$1,AA$1)</f>
        <v>0</v>
      </c>
      <c r="AB254" s="140">
        <f ca="1">SUMIFS('recurring2_based on steps'!$B254:$AY254,'recurring2_based on steps'!$B$1:$AY$1,AB$1)+SUMIFS('changes2_based on steps'!$B254:$U254,'changes2_based on steps'!$B$1:$U$1,AB$1)</f>
        <v>0</v>
      </c>
      <c r="AC254" s="140">
        <f ca="1">SUMIFS('recurring2_based on steps'!$B254:$AY254,'recurring2_based on steps'!$B$1:$AY$1,AC$1)+SUMIFS('changes2_based on steps'!$B254:$U254,'changes2_based on steps'!$B$1:$U$1,AC$1)</f>
        <v>0</v>
      </c>
      <c r="AD254" s="140">
        <f ca="1">SUMIFS('recurring2_based on steps'!$B254:$AY254,'recurring2_based on steps'!$B$1:$AY$1,AD$1)+SUMIFS('changes2_based on steps'!$B254:$U254,'changes2_based on steps'!$B$1:$U$1,AD$1)</f>
        <v>0</v>
      </c>
      <c r="AE254" s="140">
        <f>SUMIFS('recurring2_based on steps'!$B254:$AY254,'recurring2_based on steps'!$B$1:$AY$1,AE$1)+SUMIFS('changes2_based on steps'!$B254:$U254,'changes2_based on steps'!$B$1:$U$1,AE$1)</f>
        <v>0</v>
      </c>
      <c r="AF254" s="140"/>
      <c r="AG254" s="140"/>
      <c r="AH254" s="140"/>
      <c r="AI254" s="140"/>
      <c r="AJ254" s="140"/>
      <c r="AK254" s="140"/>
      <c r="AL254" s="140"/>
      <c r="AM254" s="140"/>
    </row>
    <row r="255" spans="1:39" x14ac:dyDescent="0.2">
      <c r="A255" s="29">
        <f t="shared" ca="1" si="3"/>
        <v>45995</v>
      </c>
      <c r="B255" s="140">
        <f ca="1">SUMIFS('recurring2_based on steps'!$B255:$AY255,'recurring2_based on steps'!$B$1:$AY$1,B$1)+SUMIFS('changes2_based on steps'!$B255:$U255,'changes2_based on steps'!$B$1:$U$1,B$1)</f>
        <v>0</v>
      </c>
      <c r="C255" s="140">
        <f>SUMIFS('recurring2_based on steps'!$B255:$AY255,'recurring2_based on steps'!$B$1:$AY$1,C$1)+SUMIFS('changes2_based on steps'!$B255:$U255,'changes2_based on steps'!$B$1:$U$1,C$1)</f>
        <v>0</v>
      </c>
      <c r="D255" s="140">
        <f>SUMIFS('recurring2_based on steps'!$B255:$AY255,'recurring2_based on steps'!$B$1:$AY$1,D$1)+SUMIFS('changes2_based on steps'!$B255:$U255,'changes2_based on steps'!$B$1:$U$1,D$1)</f>
        <v>0</v>
      </c>
      <c r="E255" s="140">
        <f>SUMIFS('recurring2_based on steps'!$B255:$AY255,'recurring2_based on steps'!$B$1:$AY$1,E$1)+SUMIFS('changes2_based on steps'!$B255:$U255,'changes2_based on steps'!$B$1:$U$1,E$1)</f>
        <v>0</v>
      </c>
      <c r="F255" s="140">
        <f>SUMIFS('recurring2_based on steps'!$B255:$AY255,'recurring2_based on steps'!$B$1:$AY$1,F$1)+SUMIFS('changes2_based on steps'!$B255:$U255,'changes2_based on steps'!$B$1:$U$1,F$1)</f>
        <v>0</v>
      </c>
      <c r="G255" s="140">
        <f>SUMIFS('recurring2_based on steps'!$B255:$AY255,'recurring2_based on steps'!$B$1:$AY$1,G$1)+SUMIFS('changes2_based on steps'!$B255:$U255,'changes2_based on steps'!$B$1:$U$1,G$1)</f>
        <v>0</v>
      </c>
      <c r="H255" s="140">
        <f>SUMIFS('recurring2_based on steps'!$B255:$AY255,'recurring2_based on steps'!$B$1:$AY$1,H$1)+SUMIFS('changes2_based on steps'!$B255:$U255,'changes2_based on steps'!$B$1:$U$1,H$1)</f>
        <v>0</v>
      </c>
      <c r="I255" s="140">
        <f>SUMIFS('recurring2_based on steps'!$B255:$AY255,'recurring2_based on steps'!$B$1:$AY$1,I$1)+SUMIFS('changes2_based on steps'!$B255:$U255,'changes2_based on steps'!$B$1:$U$1,I$1)</f>
        <v>0</v>
      </c>
      <c r="J255" s="140">
        <f ca="1">SUMIFS('recurring2_based on steps'!$B255:$AY255,'recurring2_based on steps'!$B$1:$AY$1,J$1)+SUMIFS('changes2_based on steps'!$B255:$U255,'changes2_based on steps'!$B$1:$U$1,J$1)</f>
        <v>0</v>
      </c>
      <c r="K255" s="140">
        <f>SUMIFS('recurring2_based on steps'!$B255:$AY255,'recurring2_based on steps'!$B$1:$AY$1,K$1)+SUMIFS('changes2_based on steps'!$B255:$U255,'changes2_based on steps'!$B$1:$U$1,K$1)</f>
        <v>0</v>
      </c>
      <c r="L255" s="140">
        <f>SUMIFS('recurring2_based on steps'!$B255:$AY255,'recurring2_based on steps'!$B$1:$AY$1,L$1)+SUMIFS('changes2_based on steps'!$B255:$U255,'changes2_based on steps'!$B$1:$U$1,L$1)</f>
        <v>0</v>
      </c>
      <c r="M255" s="140">
        <f>SUMIFS('recurring2_based on steps'!$B255:$AY255,'recurring2_based on steps'!$B$1:$AY$1,M$1)+SUMIFS('changes2_based on steps'!$B255:$U255,'changes2_based on steps'!$B$1:$U$1,M$1)</f>
        <v>0</v>
      </c>
      <c r="N255" s="140">
        <f ca="1">SUMIFS('recurring2_based on steps'!$B255:$AY255,'recurring2_based on steps'!$B$1:$AY$1,N$1)+SUMIFS('changes2_based on steps'!$B255:$U255,'changes2_based on steps'!$B$1:$U$1,N$1)</f>
        <v>0</v>
      </c>
      <c r="O255" s="140">
        <f>SUMIFS('recurring2_based on steps'!$B255:$AY255,'recurring2_based on steps'!$B$1:$AY$1,O$1)+SUMIFS('changes2_based on steps'!$B255:$U255,'changes2_based on steps'!$B$1:$U$1,O$1)</f>
        <v>0</v>
      </c>
      <c r="P255" s="140">
        <f ca="1">SUMIFS('recurring2_based on steps'!$B255:$AY255,'recurring2_based on steps'!$B$1:$AY$1,P$1)+SUMIFS('changes2_based on steps'!$B255:$U255,'changes2_based on steps'!$B$1:$U$1,P$1)</f>
        <v>0</v>
      </c>
      <c r="Q255" s="140">
        <f ca="1">SUMIFS('recurring2_based on steps'!$B255:$AY255,'recurring2_based on steps'!$B$1:$AY$1,Q$1)+SUMIFS('changes2_based on steps'!$B255:$U255,'changes2_based on steps'!$B$1:$U$1,Q$1)</f>
        <v>5.5401662049861494E-2</v>
      </c>
      <c r="R255" s="140">
        <f ca="1">SUMIFS('recurring2_based on steps'!$B255:$AY255,'recurring2_based on steps'!$B$1:$AY$1,R$1)+SUMIFS('changes2_based on steps'!$B255:$U255,'changes2_based on steps'!$B$1:$U$1,R$1)</f>
        <v>15</v>
      </c>
      <c r="S255" s="140">
        <f>SUMIFS('recurring2_based on steps'!$B255:$AY255,'recurring2_based on steps'!$B$1:$AY$1,S$1)+SUMIFS('changes2_based on steps'!$B255:$U255,'changes2_based on steps'!$B$1:$U$1,S$1)</f>
        <v>0</v>
      </c>
      <c r="T255" s="140">
        <f ca="1">SUMIFS('recurring2_based on steps'!$B255:$AY255,'recurring2_based on steps'!$B$1:$AY$1,T$1)+SUMIFS('changes2_based on steps'!$B255:$U255,'changes2_based on steps'!$B$1:$U$1,T$1)</f>
        <v>0</v>
      </c>
      <c r="U255" s="140">
        <f ca="1">SUMIFS('recurring2_based on steps'!$B255:$AY255,'recurring2_based on steps'!$B$1:$AY$1,U$1)+SUMIFS('changes2_based on steps'!$B255:$U255,'changes2_based on steps'!$B$1:$U$1,U$1)</f>
        <v>0</v>
      </c>
      <c r="V255" s="140">
        <f>SUMIFS('recurring2_based on steps'!$B255:$AY255,'recurring2_based on steps'!$B$1:$AY$1,V$1)+SUMIFS('changes2_based on steps'!$B255:$U255,'changes2_based on steps'!$B$1:$U$1,V$1)</f>
        <v>0</v>
      </c>
      <c r="W255" s="140">
        <f>SUMIFS('recurring2_based on steps'!$B255:$AY255,'recurring2_based on steps'!$B$1:$AY$1,W$1)+SUMIFS('changes2_based on steps'!$B255:$U255,'changes2_based on steps'!$B$1:$U$1,W$1)</f>
        <v>0</v>
      </c>
      <c r="X255" s="140">
        <f ca="1">SUMIFS('recurring2_based on steps'!$B255:$AY255,'recurring2_based on steps'!$B$1:$AY$1,X$1)+SUMIFS('changes2_based on steps'!$B255:$U255,'changes2_based on steps'!$B$1:$U$1,X$1)</f>
        <v>0</v>
      </c>
      <c r="Y255" s="140">
        <f ca="1">SUMIFS('recurring2_based on steps'!$B255:$AY255,'recurring2_based on steps'!$B$1:$AY$1,Y$1)+SUMIFS('changes2_based on steps'!$B255:$U255,'changes2_based on steps'!$B$1:$U$1,Y$1)</f>
        <v>0</v>
      </c>
      <c r="Z255" s="140">
        <f>SUMIFS('recurring2_based on steps'!$B255:$AY255,'recurring2_based on steps'!$B$1:$AY$1,Z$1)+SUMIFS('changes2_based on steps'!$B255:$U255,'changes2_based on steps'!$B$1:$U$1,Z$1)</f>
        <v>0</v>
      </c>
      <c r="AA255" s="140">
        <f ca="1">SUMIFS('recurring2_based on steps'!$B255:$AY255,'recurring2_based on steps'!$B$1:$AY$1,AA$1)+SUMIFS('changes2_based on steps'!$B255:$U255,'changes2_based on steps'!$B$1:$U$1,AA$1)</f>
        <v>0</v>
      </c>
      <c r="AB255" s="140">
        <f ca="1">SUMIFS('recurring2_based on steps'!$B255:$AY255,'recurring2_based on steps'!$B$1:$AY$1,AB$1)+SUMIFS('changes2_based on steps'!$B255:$U255,'changes2_based on steps'!$B$1:$U$1,AB$1)</f>
        <v>0</v>
      </c>
      <c r="AC255" s="140">
        <f ca="1">SUMIFS('recurring2_based on steps'!$B255:$AY255,'recurring2_based on steps'!$B$1:$AY$1,AC$1)+SUMIFS('changes2_based on steps'!$B255:$U255,'changes2_based on steps'!$B$1:$U$1,AC$1)</f>
        <v>0</v>
      </c>
      <c r="AD255" s="140">
        <f ca="1">SUMIFS('recurring2_based on steps'!$B255:$AY255,'recurring2_based on steps'!$B$1:$AY$1,AD$1)+SUMIFS('changes2_based on steps'!$B255:$U255,'changes2_based on steps'!$B$1:$U$1,AD$1)</f>
        <v>0</v>
      </c>
      <c r="AE255" s="140">
        <f>SUMIFS('recurring2_based on steps'!$B255:$AY255,'recurring2_based on steps'!$B$1:$AY$1,AE$1)+SUMIFS('changes2_based on steps'!$B255:$U255,'changes2_based on steps'!$B$1:$U$1,AE$1)</f>
        <v>0</v>
      </c>
      <c r="AF255" s="140"/>
      <c r="AG255" s="140"/>
      <c r="AH255" s="140"/>
      <c r="AI255" s="140"/>
      <c r="AJ255" s="140"/>
      <c r="AK255" s="140"/>
      <c r="AL255" s="140"/>
      <c r="AM255" s="140"/>
    </row>
    <row r="256" spans="1:39" x14ac:dyDescent="0.2">
      <c r="A256" s="29">
        <f t="shared" ca="1" si="3"/>
        <v>45996</v>
      </c>
      <c r="B256" s="140">
        <f ca="1">SUMIFS('recurring2_based on steps'!$B256:$AY256,'recurring2_based on steps'!$B$1:$AY$1,B$1)+SUMIFS('changes2_based on steps'!$B256:$U256,'changes2_based on steps'!$B$1:$U$1,B$1)</f>
        <v>0</v>
      </c>
      <c r="C256" s="140">
        <f>SUMIFS('recurring2_based on steps'!$B256:$AY256,'recurring2_based on steps'!$B$1:$AY$1,C$1)+SUMIFS('changes2_based on steps'!$B256:$U256,'changes2_based on steps'!$B$1:$U$1,C$1)</f>
        <v>0</v>
      </c>
      <c r="D256" s="140">
        <f>SUMIFS('recurring2_based on steps'!$B256:$AY256,'recurring2_based on steps'!$B$1:$AY$1,D$1)+SUMIFS('changes2_based on steps'!$B256:$U256,'changes2_based on steps'!$B$1:$U$1,D$1)</f>
        <v>0</v>
      </c>
      <c r="E256" s="140">
        <f>SUMIFS('recurring2_based on steps'!$B256:$AY256,'recurring2_based on steps'!$B$1:$AY$1,E$1)+SUMIFS('changes2_based on steps'!$B256:$U256,'changes2_based on steps'!$B$1:$U$1,E$1)</f>
        <v>0</v>
      </c>
      <c r="F256" s="140">
        <f>SUMIFS('recurring2_based on steps'!$B256:$AY256,'recurring2_based on steps'!$B$1:$AY$1,F$1)+SUMIFS('changes2_based on steps'!$B256:$U256,'changes2_based on steps'!$B$1:$U$1,F$1)</f>
        <v>0</v>
      </c>
      <c r="G256" s="140">
        <f>SUMIFS('recurring2_based on steps'!$B256:$AY256,'recurring2_based on steps'!$B$1:$AY$1,G$1)+SUMIFS('changes2_based on steps'!$B256:$U256,'changes2_based on steps'!$B$1:$U$1,G$1)</f>
        <v>0</v>
      </c>
      <c r="H256" s="140">
        <f>SUMIFS('recurring2_based on steps'!$B256:$AY256,'recurring2_based on steps'!$B$1:$AY$1,H$1)+SUMIFS('changes2_based on steps'!$B256:$U256,'changes2_based on steps'!$B$1:$U$1,H$1)</f>
        <v>0</v>
      </c>
      <c r="I256" s="140">
        <f>SUMIFS('recurring2_based on steps'!$B256:$AY256,'recurring2_based on steps'!$B$1:$AY$1,I$1)+SUMIFS('changes2_based on steps'!$B256:$U256,'changes2_based on steps'!$B$1:$U$1,I$1)</f>
        <v>0</v>
      </c>
      <c r="J256" s="140">
        <f ca="1">SUMIFS('recurring2_based on steps'!$B256:$AY256,'recurring2_based on steps'!$B$1:$AY$1,J$1)+SUMIFS('changes2_based on steps'!$B256:$U256,'changes2_based on steps'!$B$1:$U$1,J$1)</f>
        <v>0</v>
      </c>
      <c r="K256" s="140">
        <f>SUMIFS('recurring2_based on steps'!$B256:$AY256,'recurring2_based on steps'!$B$1:$AY$1,K$1)+SUMIFS('changes2_based on steps'!$B256:$U256,'changes2_based on steps'!$B$1:$U$1,K$1)</f>
        <v>0</v>
      </c>
      <c r="L256" s="140">
        <f>SUMIFS('recurring2_based on steps'!$B256:$AY256,'recurring2_based on steps'!$B$1:$AY$1,L$1)+SUMIFS('changes2_based on steps'!$B256:$U256,'changes2_based on steps'!$B$1:$U$1,L$1)</f>
        <v>0</v>
      </c>
      <c r="M256" s="140">
        <f>SUMIFS('recurring2_based on steps'!$B256:$AY256,'recurring2_based on steps'!$B$1:$AY$1,M$1)+SUMIFS('changes2_based on steps'!$B256:$U256,'changes2_based on steps'!$B$1:$U$1,M$1)</f>
        <v>0</v>
      </c>
      <c r="N256" s="140">
        <f ca="1">SUMIFS('recurring2_based on steps'!$B256:$AY256,'recurring2_based on steps'!$B$1:$AY$1,N$1)+SUMIFS('changes2_based on steps'!$B256:$U256,'changes2_based on steps'!$B$1:$U$1,N$1)</f>
        <v>0</v>
      </c>
      <c r="O256" s="140">
        <f>SUMIFS('recurring2_based on steps'!$B256:$AY256,'recurring2_based on steps'!$B$1:$AY$1,O$1)+SUMIFS('changes2_based on steps'!$B256:$U256,'changes2_based on steps'!$B$1:$U$1,O$1)</f>
        <v>0</v>
      </c>
      <c r="P256" s="140">
        <f ca="1">SUMIFS('recurring2_based on steps'!$B256:$AY256,'recurring2_based on steps'!$B$1:$AY$1,P$1)+SUMIFS('changes2_based on steps'!$B256:$U256,'changes2_based on steps'!$B$1:$U$1,P$1)</f>
        <v>0</v>
      </c>
      <c r="Q256" s="140">
        <f ca="1">SUMIFS('recurring2_based on steps'!$B256:$AY256,'recurring2_based on steps'!$B$1:$AY$1,Q$1)+SUMIFS('changes2_based on steps'!$B256:$U256,'changes2_based on steps'!$B$1:$U$1,Q$1)</f>
        <v>5.5401662049861494E-2</v>
      </c>
      <c r="R256" s="140">
        <f ca="1">SUMIFS('recurring2_based on steps'!$B256:$AY256,'recurring2_based on steps'!$B$1:$AY$1,R$1)+SUMIFS('changes2_based on steps'!$B256:$U256,'changes2_based on steps'!$B$1:$U$1,R$1)</f>
        <v>0</v>
      </c>
      <c r="S256" s="140">
        <f>SUMIFS('recurring2_based on steps'!$B256:$AY256,'recurring2_based on steps'!$B$1:$AY$1,S$1)+SUMIFS('changes2_based on steps'!$B256:$U256,'changes2_based on steps'!$B$1:$U$1,S$1)</f>
        <v>0</v>
      </c>
      <c r="T256" s="140">
        <f ca="1">SUMIFS('recurring2_based on steps'!$B256:$AY256,'recurring2_based on steps'!$B$1:$AY$1,T$1)+SUMIFS('changes2_based on steps'!$B256:$U256,'changes2_based on steps'!$B$1:$U$1,T$1)</f>
        <v>0</v>
      </c>
      <c r="U256" s="140">
        <f ca="1">SUMIFS('recurring2_based on steps'!$B256:$AY256,'recurring2_based on steps'!$B$1:$AY$1,U$1)+SUMIFS('changes2_based on steps'!$B256:$U256,'changes2_based on steps'!$B$1:$U$1,U$1)</f>
        <v>0</v>
      </c>
      <c r="V256" s="140">
        <f>SUMIFS('recurring2_based on steps'!$B256:$AY256,'recurring2_based on steps'!$B$1:$AY$1,V$1)+SUMIFS('changes2_based on steps'!$B256:$U256,'changes2_based on steps'!$B$1:$U$1,V$1)</f>
        <v>0</v>
      </c>
      <c r="W256" s="140">
        <f>SUMIFS('recurring2_based on steps'!$B256:$AY256,'recurring2_based on steps'!$B$1:$AY$1,W$1)+SUMIFS('changes2_based on steps'!$B256:$U256,'changes2_based on steps'!$B$1:$U$1,W$1)</f>
        <v>0</v>
      </c>
      <c r="X256" s="140">
        <f ca="1">SUMIFS('recurring2_based on steps'!$B256:$AY256,'recurring2_based on steps'!$B$1:$AY$1,X$1)+SUMIFS('changes2_based on steps'!$B256:$U256,'changes2_based on steps'!$B$1:$U$1,X$1)</f>
        <v>0</v>
      </c>
      <c r="Y256" s="140">
        <f ca="1">SUMIFS('recurring2_based on steps'!$B256:$AY256,'recurring2_based on steps'!$B$1:$AY$1,Y$1)+SUMIFS('changes2_based on steps'!$B256:$U256,'changes2_based on steps'!$B$1:$U$1,Y$1)</f>
        <v>0</v>
      </c>
      <c r="Z256" s="140">
        <f>SUMIFS('recurring2_based on steps'!$B256:$AY256,'recurring2_based on steps'!$B$1:$AY$1,Z$1)+SUMIFS('changes2_based on steps'!$B256:$U256,'changes2_based on steps'!$B$1:$U$1,Z$1)</f>
        <v>0</v>
      </c>
      <c r="AA256" s="140">
        <f ca="1">SUMIFS('recurring2_based on steps'!$B256:$AY256,'recurring2_based on steps'!$B$1:$AY$1,AA$1)+SUMIFS('changes2_based on steps'!$B256:$U256,'changes2_based on steps'!$B$1:$U$1,AA$1)</f>
        <v>0</v>
      </c>
      <c r="AB256" s="140">
        <f ca="1">SUMIFS('recurring2_based on steps'!$B256:$AY256,'recurring2_based on steps'!$B$1:$AY$1,AB$1)+SUMIFS('changes2_based on steps'!$B256:$U256,'changes2_based on steps'!$B$1:$U$1,AB$1)</f>
        <v>0</v>
      </c>
      <c r="AC256" s="140">
        <f ca="1">SUMIFS('recurring2_based on steps'!$B256:$AY256,'recurring2_based on steps'!$B$1:$AY$1,AC$1)+SUMIFS('changes2_based on steps'!$B256:$U256,'changes2_based on steps'!$B$1:$U$1,AC$1)</f>
        <v>0</v>
      </c>
      <c r="AD256" s="140">
        <f ca="1">SUMIFS('recurring2_based on steps'!$B256:$AY256,'recurring2_based on steps'!$B$1:$AY$1,AD$1)+SUMIFS('changes2_based on steps'!$B256:$U256,'changes2_based on steps'!$B$1:$U$1,AD$1)</f>
        <v>0</v>
      </c>
      <c r="AE256" s="140">
        <f>SUMIFS('recurring2_based on steps'!$B256:$AY256,'recurring2_based on steps'!$B$1:$AY$1,AE$1)+SUMIFS('changes2_based on steps'!$B256:$U256,'changes2_based on steps'!$B$1:$U$1,AE$1)</f>
        <v>0</v>
      </c>
      <c r="AF256" s="140"/>
      <c r="AG256" s="140"/>
      <c r="AH256" s="140"/>
      <c r="AI256" s="140"/>
      <c r="AJ256" s="140"/>
      <c r="AK256" s="140"/>
      <c r="AL256" s="140"/>
      <c r="AM256" s="140"/>
    </row>
    <row r="257" spans="1:39" x14ac:dyDescent="0.2">
      <c r="A257" s="29">
        <f t="shared" ca="1" si="3"/>
        <v>45997</v>
      </c>
      <c r="B257" s="140">
        <f ca="1">SUMIFS('recurring2_based on steps'!$B257:$AY257,'recurring2_based on steps'!$B$1:$AY$1,B$1)+SUMIFS('changes2_based on steps'!$B257:$U257,'changes2_based on steps'!$B$1:$U$1,B$1)</f>
        <v>0</v>
      </c>
      <c r="C257" s="140">
        <f>SUMIFS('recurring2_based on steps'!$B257:$AY257,'recurring2_based on steps'!$B$1:$AY$1,C$1)+SUMIFS('changes2_based on steps'!$B257:$U257,'changes2_based on steps'!$B$1:$U$1,C$1)</f>
        <v>0</v>
      </c>
      <c r="D257" s="140">
        <f>SUMIFS('recurring2_based on steps'!$B257:$AY257,'recurring2_based on steps'!$B$1:$AY$1,D$1)+SUMIFS('changes2_based on steps'!$B257:$U257,'changes2_based on steps'!$B$1:$U$1,D$1)</f>
        <v>0</v>
      </c>
      <c r="E257" s="140">
        <f>SUMIFS('recurring2_based on steps'!$B257:$AY257,'recurring2_based on steps'!$B$1:$AY$1,E$1)+SUMIFS('changes2_based on steps'!$B257:$U257,'changes2_based on steps'!$B$1:$U$1,E$1)</f>
        <v>0</v>
      </c>
      <c r="F257" s="140">
        <f>SUMIFS('recurring2_based on steps'!$B257:$AY257,'recurring2_based on steps'!$B$1:$AY$1,F$1)+SUMIFS('changes2_based on steps'!$B257:$U257,'changes2_based on steps'!$B$1:$U$1,F$1)</f>
        <v>0</v>
      </c>
      <c r="G257" s="140">
        <f>SUMIFS('recurring2_based on steps'!$B257:$AY257,'recurring2_based on steps'!$B$1:$AY$1,G$1)+SUMIFS('changes2_based on steps'!$B257:$U257,'changes2_based on steps'!$B$1:$U$1,G$1)</f>
        <v>0</v>
      </c>
      <c r="H257" s="140">
        <f>SUMIFS('recurring2_based on steps'!$B257:$AY257,'recurring2_based on steps'!$B$1:$AY$1,H$1)+SUMIFS('changes2_based on steps'!$B257:$U257,'changes2_based on steps'!$B$1:$U$1,H$1)</f>
        <v>0</v>
      </c>
      <c r="I257" s="140">
        <f>SUMIFS('recurring2_based on steps'!$B257:$AY257,'recurring2_based on steps'!$B$1:$AY$1,I$1)+SUMIFS('changes2_based on steps'!$B257:$U257,'changes2_based on steps'!$B$1:$U$1,I$1)</f>
        <v>0</v>
      </c>
      <c r="J257" s="140">
        <f ca="1">SUMIFS('recurring2_based on steps'!$B257:$AY257,'recurring2_based on steps'!$B$1:$AY$1,J$1)+SUMIFS('changes2_based on steps'!$B257:$U257,'changes2_based on steps'!$B$1:$U$1,J$1)</f>
        <v>0</v>
      </c>
      <c r="K257" s="140">
        <f>SUMIFS('recurring2_based on steps'!$B257:$AY257,'recurring2_based on steps'!$B$1:$AY$1,K$1)+SUMIFS('changes2_based on steps'!$B257:$U257,'changes2_based on steps'!$B$1:$U$1,K$1)</f>
        <v>0</v>
      </c>
      <c r="L257" s="140">
        <f>SUMIFS('recurring2_based on steps'!$B257:$AY257,'recurring2_based on steps'!$B$1:$AY$1,L$1)+SUMIFS('changes2_based on steps'!$B257:$U257,'changes2_based on steps'!$B$1:$U$1,L$1)</f>
        <v>0</v>
      </c>
      <c r="M257" s="140">
        <f>SUMIFS('recurring2_based on steps'!$B257:$AY257,'recurring2_based on steps'!$B$1:$AY$1,M$1)+SUMIFS('changes2_based on steps'!$B257:$U257,'changes2_based on steps'!$B$1:$U$1,M$1)</f>
        <v>0</v>
      </c>
      <c r="N257" s="140">
        <f ca="1">SUMIFS('recurring2_based on steps'!$B257:$AY257,'recurring2_based on steps'!$B$1:$AY$1,N$1)+SUMIFS('changes2_based on steps'!$B257:$U257,'changes2_based on steps'!$B$1:$U$1,N$1)</f>
        <v>0</v>
      </c>
      <c r="O257" s="140">
        <f>SUMIFS('recurring2_based on steps'!$B257:$AY257,'recurring2_based on steps'!$B$1:$AY$1,O$1)+SUMIFS('changes2_based on steps'!$B257:$U257,'changes2_based on steps'!$B$1:$U$1,O$1)</f>
        <v>0</v>
      </c>
      <c r="P257" s="140">
        <f ca="1">SUMIFS('recurring2_based on steps'!$B257:$AY257,'recurring2_based on steps'!$B$1:$AY$1,P$1)+SUMIFS('changes2_based on steps'!$B257:$U257,'changes2_based on steps'!$B$1:$U$1,P$1)</f>
        <v>0</v>
      </c>
      <c r="Q257" s="140">
        <f ca="1">SUMIFS('recurring2_based on steps'!$B257:$AY257,'recurring2_based on steps'!$B$1:$AY$1,Q$1)+SUMIFS('changes2_based on steps'!$B257:$U257,'changes2_based on steps'!$B$1:$U$1,Q$1)</f>
        <v>100.05540166204986</v>
      </c>
      <c r="R257" s="140">
        <f ca="1">SUMIFS('recurring2_based on steps'!$B257:$AY257,'recurring2_based on steps'!$B$1:$AY$1,R$1)+SUMIFS('changes2_based on steps'!$B257:$U257,'changes2_based on steps'!$B$1:$U$1,R$1)</f>
        <v>0</v>
      </c>
      <c r="S257" s="140">
        <f>SUMIFS('recurring2_based on steps'!$B257:$AY257,'recurring2_based on steps'!$B$1:$AY$1,S$1)+SUMIFS('changes2_based on steps'!$B257:$U257,'changes2_based on steps'!$B$1:$U$1,S$1)</f>
        <v>0</v>
      </c>
      <c r="T257" s="140">
        <f ca="1">SUMIFS('recurring2_based on steps'!$B257:$AY257,'recurring2_based on steps'!$B$1:$AY$1,T$1)+SUMIFS('changes2_based on steps'!$B257:$U257,'changes2_based on steps'!$B$1:$U$1,T$1)</f>
        <v>0</v>
      </c>
      <c r="U257" s="140">
        <f ca="1">SUMIFS('recurring2_based on steps'!$B257:$AY257,'recurring2_based on steps'!$B$1:$AY$1,U$1)+SUMIFS('changes2_based on steps'!$B257:$U257,'changes2_based on steps'!$B$1:$U$1,U$1)</f>
        <v>0</v>
      </c>
      <c r="V257" s="140">
        <f>SUMIFS('recurring2_based on steps'!$B257:$AY257,'recurring2_based on steps'!$B$1:$AY$1,V$1)+SUMIFS('changes2_based on steps'!$B257:$U257,'changes2_based on steps'!$B$1:$U$1,V$1)</f>
        <v>0</v>
      </c>
      <c r="W257" s="140">
        <f>SUMIFS('recurring2_based on steps'!$B257:$AY257,'recurring2_based on steps'!$B$1:$AY$1,W$1)+SUMIFS('changes2_based on steps'!$B257:$U257,'changes2_based on steps'!$B$1:$U$1,W$1)</f>
        <v>0</v>
      </c>
      <c r="X257" s="140">
        <f ca="1">SUMIFS('recurring2_based on steps'!$B257:$AY257,'recurring2_based on steps'!$B$1:$AY$1,X$1)+SUMIFS('changes2_based on steps'!$B257:$U257,'changes2_based on steps'!$B$1:$U$1,X$1)</f>
        <v>0</v>
      </c>
      <c r="Y257" s="140">
        <f ca="1">SUMIFS('recurring2_based on steps'!$B257:$AY257,'recurring2_based on steps'!$B$1:$AY$1,Y$1)+SUMIFS('changes2_based on steps'!$B257:$U257,'changes2_based on steps'!$B$1:$U$1,Y$1)</f>
        <v>0</v>
      </c>
      <c r="Z257" s="140">
        <f>SUMIFS('recurring2_based on steps'!$B257:$AY257,'recurring2_based on steps'!$B$1:$AY$1,Z$1)+SUMIFS('changes2_based on steps'!$B257:$U257,'changes2_based on steps'!$B$1:$U$1,Z$1)</f>
        <v>0</v>
      </c>
      <c r="AA257" s="140">
        <f ca="1">SUMIFS('recurring2_based on steps'!$B257:$AY257,'recurring2_based on steps'!$B$1:$AY$1,AA$1)+SUMIFS('changes2_based on steps'!$B257:$U257,'changes2_based on steps'!$B$1:$U$1,AA$1)</f>
        <v>0</v>
      </c>
      <c r="AB257" s="140">
        <f ca="1">SUMIFS('recurring2_based on steps'!$B257:$AY257,'recurring2_based on steps'!$B$1:$AY$1,AB$1)+SUMIFS('changes2_based on steps'!$B257:$U257,'changes2_based on steps'!$B$1:$U$1,AB$1)</f>
        <v>100</v>
      </c>
      <c r="AC257" s="140">
        <f ca="1">SUMIFS('recurring2_based on steps'!$B257:$AY257,'recurring2_based on steps'!$B$1:$AY$1,AC$1)+SUMIFS('changes2_based on steps'!$B257:$U257,'changes2_based on steps'!$B$1:$U$1,AC$1)</f>
        <v>0</v>
      </c>
      <c r="AD257" s="140">
        <f ca="1">SUMIFS('recurring2_based on steps'!$B257:$AY257,'recurring2_based on steps'!$B$1:$AY$1,AD$1)+SUMIFS('changes2_based on steps'!$B257:$U257,'changes2_based on steps'!$B$1:$U$1,AD$1)</f>
        <v>0</v>
      </c>
      <c r="AE257" s="140">
        <f>SUMIFS('recurring2_based on steps'!$B257:$AY257,'recurring2_based on steps'!$B$1:$AY$1,AE$1)+SUMIFS('changes2_based on steps'!$B257:$U257,'changes2_based on steps'!$B$1:$U$1,AE$1)</f>
        <v>0</v>
      </c>
      <c r="AF257" s="140"/>
      <c r="AG257" s="140"/>
      <c r="AH257" s="140"/>
      <c r="AI257" s="140"/>
      <c r="AJ257" s="140"/>
      <c r="AK257" s="140"/>
      <c r="AL257" s="140"/>
      <c r="AM257" s="140"/>
    </row>
    <row r="258" spans="1:39" x14ac:dyDescent="0.2">
      <c r="A258" s="29">
        <f t="shared" ca="1" si="3"/>
        <v>45998</v>
      </c>
      <c r="B258" s="140">
        <f ca="1">SUMIFS('recurring2_based on steps'!$B258:$AY258,'recurring2_based on steps'!$B$1:$AY$1,B$1)+SUMIFS('changes2_based on steps'!$B258:$U258,'changes2_based on steps'!$B$1:$U$1,B$1)</f>
        <v>0</v>
      </c>
      <c r="C258" s="140">
        <f>SUMIFS('recurring2_based on steps'!$B258:$AY258,'recurring2_based on steps'!$B$1:$AY$1,C$1)+SUMIFS('changes2_based on steps'!$B258:$U258,'changes2_based on steps'!$B$1:$U$1,C$1)</f>
        <v>0</v>
      </c>
      <c r="D258" s="140">
        <f>SUMIFS('recurring2_based on steps'!$B258:$AY258,'recurring2_based on steps'!$B$1:$AY$1,D$1)+SUMIFS('changes2_based on steps'!$B258:$U258,'changes2_based on steps'!$B$1:$U$1,D$1)</f>
        <v>0</v>
      </c>
      <c r="E258" s="140">
        <f>SUMIFS('recurring2_based on steps'!$B258:$AY258,'recurring2_based on steps'!$B$1:$AY$1,E$1)+SUMIFS('changes2_based on steps'!$B258:$U258,'changes2_based on steps'!$B$1:$U$1,E$1)</f>
        <v>0</v>
      </c>
      <c r="F258" s="140">
        <f>SUMIFS('recurring2_based on steps'!$B258:$AY258,'recurring2_based on steps'!$B$1:$AY$1,F$1)+SUMIFS('changes2_based on steps'!$B258:$U258,'changes2_based on steps'!$B$1:$U$1,F$1)</f>
        <v>0</v>
      </c>
      <c r="G258" s="140">
        <f>SUMIFS('recurring2_based on steps'!$B258:$AY258,'recurring2_based on steps'!$B$1:$AY$1,G$1)+SUMIFS('changes2_based on steps'!$B258:$U258,'changes2_based on steps'!$B$1:$U$1,G$1)</f>
        <v>0</v>
      </c>
      <c r="H258" s="140">
        <f>SUMIFS('recurring2_based on steps'!$B258:$AY258,'recurring2_based on steps'!$B$1:$AY$1,H$1)+SUMIFS('changes2_based on steps'!$B258:$U258,'changes2_based on steps'!$B$1:$U$1,H$1)</f>
        <v>0</v>
      </c>
      <c r="I258" s="140">
        <f>SUMIFS('recurring2_based on steps'!$B258:$AY258,'recurring2_based on steps'!$B$1:$AY$1,I$1)+SUMIFS('changes2_based on steps'!$B258:$U258,'changes2_based on steps'!$B$1:$U$1,I$1)</f>
        <v>0</v>
      </c>
      <c r="J258" s="140">
        <f ca="1">SUMIFS('recurring2_based on steps'!$B258:$AY258,'recurring2_based on steps'!$B$1:$AY$1,J$1)+SUMIFS('changes2_based on steps'!$B258:$U258,'changes2_based on steps'!$B$1:$U$1,J$1)</f>
        <v>0</v>
      </c>
      <c r="K258" s="140">
        <f>SUMIFS('recurring2_based on steps'!$B258:$AY258,'recurring2_based on steps'!$B$1:$AY$1,K$1)+SUMIFS('changes2_based on steps'!$B258:$U258,'changes2_based on steps'!$B$1:$U$1,K$1)</f>
        <v>0</v>
      </c>
      <c r="L258" s="140">
        <f>SUMIFS('recurring2_based on steps'!$B258:$AY258,'recurring2_based on steps'!$B$1:$AY$1,L$1)+SUMIFS('changes2_based on steps'!$B258:$U258,'changes2_based on steps'!$B$1:$U$1,L$1)</f>
        <v>0</v>
      </c>
      <c r="M258" s="140">
        <f>SUMIFS('recurring2_based on steps'!$B258:$AY258,'recurring2_based on steps'!$B$1:$AY$1,M$1)+SUMIFS('changes2_based on steps'!$B258:$U258,'changes2_based on steps'!$B$1:$U$1,M$1)</f>
        <v>0</v>
      </c>
      <c r="N258" s="140">
        <f ca="1">SUMIFS('recurring2_based on steps'!$B258:$AY258,'recurring2_based on steps'!$B$1:$AY$1,N$1)+SUMIFS('changes2_based on steps'!$B258:$U258,'changes2_based on steps'!$B$1:$U$1,N$1)</f>
        <v>0</v>
      </c>
      <c r="O258" s="140">
        <f>SUMIFS('recurring2_based on steps'!$B258:$AY258,'recurring2_based on steps'!$B$1:$AY$1,O$1)+SUMIFS('changes2_based on steps'!$B258:$U258,'changes2_based on steps'!$B$1:$U$1,O$1)</f>
        <v>0</v>
      </c>
      <c r="P258" s="140">
        <f ca="1">SUMIFS('recurring2_based on steps'!$B258:$AY258,'recurring2_based on steps'!$B$1:$AY$1,P$1)+SUMIFS('changes2_based on steps'!$B258:$U258,'changes2_based on steps'!$B$1:$U$1,P$1)</f>
        <v>0</v>
      </c>
      <c r="Q258" s="140">
        <f ca="1">SUMIFS('recurring2_based on steps'!$B258:$AY258,'recurring2_based on steps'!$B$1:$AY$1,Q$1)+SUMIFS('changes2_based on steps'!$B258:$U258,'changes2_based on steps'!$B$1:$U$1,Q$1)</f>
        <v>100.05540166204986</v>
      </c>
      <c r="R258" s="140">
        <f ca="1">SUMIFS('recurring2_based on steps'!$B258:$AY258,'recurring2_based on steps'!$B$1:$AY$1,R$1)+SUMIFS('changes2_based on steps'!$B258:$U258,'changes2_based on steps'!$B$1:$U$1,R$1)</f>
        <v>0</v>
      </c>
      <c r="S258" s="140">
        <f>SUMIFS('recurring2_based on steps'!$B258:$AY258,'recurring2_based on steps'!$B$1:$AY$1,S$1)+SUMIFS('changes2_based on steps'!$B258:$U258,'changes2_based on steps'!$B$1:$U$1,S$1)</f>
        <v>0</v>
      </c>
      <c r="T258" s="140">
        <f ca="1">SUMIFS('recurring2_based on steps'!$B258:$AY258,'recurring2_based on steps'!$B$1:$AY$1,T$1)+SUMIFS('changes2_based on steps'!$B258:$U258,'changes2_based on steps'!$B$1:$U$1,T$1)</f>
        <v>0</v>
      </c>
      <c r="U258" s="140">
        <f ca="1">SUMIFS('recurring2_based on steps'!$B258:$AY258,'recurring2_based on steps'!$B$1:$AY$1,U$1)+SUMIFS('changes2_based on steps'!$B258:$U258,'changes2_based on steps'!$B$1:$U$1,U$1)</f>
        <v>0</v>
      </c>
      <c r="V258" s="140">
        <f>SUMIFS('recurring2_based on steps'!$B258:$AY258,'recurring2_based on steps'!$B$1:$AY$1,V$1)+SUMIFS('changes2_based on steps'!$B258:$U258,'changes2_based on steps'!$B$1:$U$1,V$1)</f>
        <v>0</v>
      </c>
      <c r="W258" s="140">
        <f>SUMIFS('recurring2_based on steps'!$B258:$AY258,'recurring2_based on steps'!$B$1:$AY$1,W$1)+SUMIFS('changes2_based on steps'!$B258:$U258,'changes2_based on steps'!$B$1:$U$1,W$1)</f>
        <v>0</v>
      </c>
      <c r="X258" s="140">
        <f ca="1">SUMIFS('recurring2_based on steps'!$B258:$AY258,'recurring2_based on steps'!$B$1:$AY$1,X$1)+SUMIFS('changes2_based on steps'!$B258:$U258,'changes2_based on steps'!$B$1:$U$1,X$1)</f>
        <v>0</v>
      </c>
      <c r="Y258" s="140">
        <f ca="1">SUMIFS('recurring2_based on steps'!$B258:$AY258,'recurring2_based on steps'!$B$1:$AY$1,Y$1)+SUMIFS('changes2_based on steps'!$B258:$U258,'changes2_based on steps'!$B$1:$U$1,Y$1)</f>
        <v>50</v>
      </c>
      <c r="Z258" s="140">
        <f>SUMIFS('recurring2_based on steps'!$B258:$AY258,'recurring2_based on steps'!$B$1:$AY$1,Z$1)+SUMIFS('changes2_based on steps'!$B258:$U258,'changes2_based on steps'!$B$1:$U$1,Z$1)</f>
        <v>0</v>
      </c>
      <c r="AA258" s="140">
        <f ca="1">SUMIFS('recurring2_based on steps'!$B258:$AY258,'recurring2_based on steps'!$B$1:$AY$1,AA$1)+SUMIFS('changes2_based on steps'!$B258:$U258,'changes2_based on steps'!$B$1:$U$1,AA$1)</f>
        <v>0</v>
      </c>
      <c r="AB258" s="140">
        <f ca="1">SUMIFS('recurring2_based on steps'!$B258:$AY258,'recurring2_based on steps'!$B$1:$AY$1,AB$1)+SUMIFS('changes2_based on steps'!$B258:$U258,'changes2_based on steps'!$B$1:$U$1,AB$1)</f>
        <v>0</v>
      </c>
      <c r="AC258" s="140">
        <f ca="1">SUMIFS('recurring2_based on steps'!$B258:$AY258,'recurring2_based on steps'!$B$1:$AY$1,AC$1)+SUMIFS('changes2_based on steps'!$B258:$U258,'changes2_based on steps'!$B$1:$U$1,AC$1)</f>
        <v>0</v>
      </c>
      <c r="AD258" s="140">
        <f ca="1">SUMIFS('recurring2_based on steps'!$B258:$AY258,'recurring2_based on steps'!$B$1:$AY$1,AD$1)+SUMIFS('changes2_based on steps'!$B258:$U258,'changes2_based on steps'!$B$1:$U$1,AD$1)</f>
        <v>0</v>
      </c>
      <c r="AE258" s="140">
        <f>SUMIFS('recurring2_based on steps'!$B258:$AY258,'recurring2_based on steps'!$B$1:$AY$1,AE$1)+SUMIFS('changes2_based on steps'!$B258:$U258,'changes2_based on steps'!$B$1:$U$1,AE$1)</f>
        <v>0</v>
      </c>
      <c r="AF258" s="140"/>
      <c r="AG258" s="140"/>
      <c r="AH258" s="140"/>
      <c r="AI258" s="140"/>
      <c r="AJ258" s="140"/>
      <c r="AK258" s="140"/>
      <c r="AL258" s="140"/>
      <c r="AM258" s="140"/>
    </row>
    <row r="259" spans="1:39" x14ac:dyDescent="0.2">
      <c r="A259" s="29">
        <f t="shared" ca="1" si="3"/>
        <v>45999</v>
      </c>
      <c r="B259" s="140">
        <f ca="1">SUMIFS('recurring2_based on steps'!$B259:$AY259,'recurring2_based on steps'!$B$1:$AY$1,B$1)+SUMIFS('changes2_based on steps'!$B259:$U259,'changes2_based on steps'!$B$1:$U$1,B$1)</f>
        <v>0</v>
      </c>
      <c r="C259" s="140">
        <f>SUMIFS('recurring2_based on steps'!$B259:$AY259,'recurring2_based on steps'!$B$1:$AY$1,C$1)+SUMIFS('changes2_based on steps'!$B259:$U259,'changes2_based on steps'!$B$1:$U$1,C$1)</f>
        <v>0</v>
      </c>
      <c r="D259" s="140">
        <f>SUMIFS('recurring2_based on steps'!$B259:$AY259,'recurring2_based on steps'!$B$1:$AY$1,D$1)+SUMIFS('changes2_based on steps'!$B259:$U259,'changes2_based on steps'!$B$1:$U$1,D$1)</f>
        <v>0</v>
      </c>
      <c r="E259" s="140">
        <f>SUMIFS('recurring2_based on steps'!$B259:$AY259,'recurring2_based on steps'!$B$1:$AY$1,E$1)+SUMIFS('changes2_based on steps'!$B259:$U259,'changes2_based on steps'!$B$1:$U$1,E$1)</f>
        <v>0</v>
      </c>
      <c r="F259" s="140">
        <f>SUMIFS('recurring2_based on steps'!$B259:$AY259,'recurring2_based on steps'!$B$1:$AY$1,F$1)+SUMIFS('changes2_based on steps'!$B259:$U259,'changes2_based on steps'!$B$1:$U$1,F$1)</f>
        <v>0</v>
      </c>
      <c r="G259" s="140">
        <f>SUMIFS('recurring2_based on steps'!$B259:$AY259,'recurring2_based on steps'!$B$1:$AY$1,G$1)+SUMIFS('changes2_based on steps'!$B259:$U259,'changes2_based on steps'!$B$1:$U$1,G$1)</f>
        <v>0</v>
      </c>
      <c r="H259" s="140">
        <f>SUMIFS('recurring2_based on steps'!$B259:$AY259,'recurring2_based on steps'!$B$1:$AY$1,H$1)+SUMIFS('changes2_based on steps'!$B259:$U259,'changes2_based on steps'!$B$1:$U$1,H$1)</f>
        <v>0</v>
      </c>
      <c r="I259" s="140">
        <f>SUMIFS('recurring2_based on steps'!$B259:$AY259,'recurring2_based on steps'!$B$1:$AY$1,I$1)+SUMIFS('changes2_based on steps'!$B259:$U259,'changes2_based on steps'!$B$1:$U$1,I$1)</f>
        <v>0</v>
      </c>
      <c r="J259" s="140">
        <f ca="1">SUMIFS('recurring2_based on steps'!$B259:$AY259,'recurring2_based on steps'!$B$1:$AY$1,J$1)+SUMIFS('changes2_based on steps'!$B259:$U259,'changes2_based on steps'!$B$1:$U$1,J$1)</f>
        <v>0</v>
      </c>
      <c r="K259" s="140">
        <f>SUMIFS('recurring2_based on steps'!$B259:$AY259,'recurring2_based on steps'!$B$1:$AY$1,K$1)+SUMIFS('changes2_based on steps'!$B259:$U259,'changes2_based on steps'!$B$1:$U$1,K$1)</f>
        <v>0</v>
      </c>
      <c r="L259" s="140">
        <f>SUMIFS('recurring2_based on steps'!$B259:$AY259,'recurring2_based on steps'!$B$1:$AY$1,L$1)+SUMIFS('changes2_based on steps'!$B259:$U259,'changes2_based on steps'!$B$1:$U$1,L$1)</f>
        <v>0</v>
      </c>
      <c r="M259" s="140">
        <f>SUMIFS('recurring2_based on steps'!$B259:$AY259,'recurring2_based on steps'!$B$1:$AY$1,M$1)+SUMIFS('changes2_based on steps'!$B259:$U259,'changes2_based on steps'!$B$1:$U$1,M$1)</f>
        <v>0</v>
      </c>
      <c r="N259" s="140">
        <f ca="1">SUMIFS('recurring2_based on steps'!$B259:$AY259,'recurring2_based on steps'!$B$1:$AY$1,N$1)+SUMIFS('changes2_based on steps'!$B259:$U259,'changes2_based on steps'!$B$1:$U$1,N$1)</f>
        <v>0</v>
      </c>
      <c r="O259" s="140">
        <f>SUMIFS('recurring2_based on steps'!$B259:$AY259,'recurring2_based on steps'!$B$1:$AY$1,O$1)+SUMIFS('changes2_based on steps'!$B259:$U259,'changes2_based on steps'!$B$1:$U$1,O$1)</f>
        <v>0</v>
      </c>
      <c r="P259" s="140">
        <f ca="1">SUMIFS('recurring2_based on steps'!$B259:$AY259,'recurring2_based on steps'!$B$1:$AY$1,P$1)+SUMIFS('changes2_based on steps'!$B259:$U259,'changes2_based on steps'!$B$1:$U$1,P$1)</f>
        <v>0</v>
      </c>
      <c r="Q259" s="140">
        <f ca="1">SUMIFS('recurring2_based on steps'!$B259:$AY259,'recurring2_based on steps'!$B$1:$AY$1,Q$1)+SUMIFS('changes2_based on steps'!$B259:$U259,'changes2_based on steps'!$B$1:$U$1,Q$1)</f>
        <v>5.5401662049861494E-2</v>
      </c>
      <c r="R259" s="140">
        <f ca="1">SUMIFS('recurring2_based on steps'!$B259:$AY259,'recurring2_based on steps'!$B$1:$AY$1,R$1)+SUMIFS('changes2_based on steps'!$B259:$U259,'changes2_based on steps'!$B$1:$U$1,R$1)</f>
        <v>0</v>
      </c>
      <c r="S259" s="140">
        <f>SUMIFS('recurring2_based on steps'!$B259:$AY259,'recurring2_based on steps'!$B$1:$AY$1,S$1)+SUMIFS('changes2_based on steps'!$B259:$U259,'changes2_based on steps'!$B$1:$U$1,S$1)</f>
        <v>0</v>
      </c>
      <c r="T259" s="140">
        <f ca="1">SUMIFS('recurring2_based on steps'!$B259:$AY259,'recurring2_based on steps'!$B$1:$AY$1,T$1)+SUMIFS('changes2_based on steps'!$B259:$U259,'changes2_based on steps'!$B$1:$U$1,T$1)</f>
        <v>0</v>
      </c>
      <c r="U259" s="140">
        <f ca="1">SUMIFS('recurring2_based on steps'!$B259:$AY259,'recurring2_based on steps'!$B$1:$AY$1,U$1)+SUMIFS('changes2_based on steps'!$B259:$U259,'changes2_based on steps'!$B$1:$U$1,U$1)</f>
        <v>0</v>
      </c>
      <c r="V259" s="140">
        <f>SUMIFS('recurring2_based on steps'!$B259:$AY259,'recurring2_based on steps'!$B$1:$AY$1,V$1)+SUMIFS('changes2_based on steps'!$B259:$U259,'changes2_based on steps'!$B$1:$U$1,V$1)</f>
        <v>0</v>
      </c>
      <c r="W259" s="140">
        <f>SUMIFS('recurring2_based on steps'!$B259:$AY259,'recurring2_based on steps'!$B$1:$AY$1,W$1)+SUMIFS('changes2_based on steps'!$B259:$U259,'changes2_based on steps'!$B$1:$U$1,W$1)</f>
        <v>0</v>
      </c>
      <c r="X259" s="140">
        <f ca="1">SUMIFS('recurring2_based on steps'!$B259:$AY259,'recurring2_based on steps'!$B$1:$AY$1,X$1)+SUMIFS('changes2_based on steps'!$B259:$U259,'changes2_based on steps'!$B$1:$U$1,X$1)</f>
        <v>0</v>
      </c>
      <c r="Y259" s="140">
        <f ca="1">SUMIFS('recurring2_based on steps'!$B259:$AY259,'recurring2_based on steps'!$B$1:$AY$1,Y$1)+SUMIFS('changes2_based on steps'!$B259:$U259,'changes2_based on steps'!$B$1:$U$1,Y$1)</f>
        <v>0</v>
      </c>
      <c r="Z259" s="140">
        <f>SUMIFS('recurring2_based on steps'!$B259:$AY259,'recurring2_based on steps'!$B$1:$AY$1,Z$1)+SUMIFS('changes2_based on steps'!$B259:$U259,'changes2_based on steps'!$B$1:$U$1,Z$1)</f>
        <v>0</v>
      </c>
      <c r="AA259" s="140">
        <f ca="1">SUMIFS('recurring2_based on steps'!$B259:$AY259,'recurring2_based on steps'!$B$1:$AY$1,AA$1)+SUMIFS('changes2_based on steps'!$B259:$U259,'changes2_based on steps'!$B$1:$U$1,AA$1)</f>
        <v>0</v>
      </c>
      <c r="AB259" s="140">
        <f ca="1">SUMIFS('recurring2_based on steps'!$B259:$AY259,'recurring2_based on steps'!$B$1:$AY$1,AB$1)+SUMIFS('changes2_based on steps'!$B259:$U259,'changes2_based on steps'!$B$1:$U$1,AB$1)</f>
        <v>0</v>
      </c>
      <c r="AC259" s="140">
        <f ca="1">SUMIFS('recurring2_based on steps'!$B259:$AY259,'recurring2_based on steps'!$B$1:$AY$1,AC$1)+SUMIFS('changes2_based on steps'!$B259:$U259,'changes2_based on steps'!$B$1:$U$1,AC$1)</f>
        <v>0</v>
      </c>
      <c r="AD259" s="140">
        <f ca="1">SUMIFS('recurring2_based on steps'!$B259:$AY259,'recurring2_based on steps'!$B$1:$AY$1,AD$1)+SUMIFS('changes2_based on steps'!$B259:$U259,'changes2_based on steps'!$B$1:$U$1,AD$1)</f>
        <v>0</v>
      </c>
      <c r="AE259" s="140">
        <f>SUMIFS('recurring2_based on steps'!$B259:$AY259,'recurring2_based on steps'!$B$1:$AY$1,AE$1)+SUMIFS('changes2_based on steps'!$B259:$U259,'changes2_based on steps'!$B$1:$U$1,AE$1)</f>
        <v>0</v>
      </c>
      <c r="AF259" s="140"/>
      <c r="AG259" s="140"/>
      <c r="AH259" s="140"/>
      <c r="AI259" s="140"/>
      <c r="AJ259" s="140"/>
      <c r="AK259" s="140"/>
      <c r="AL259" s="140"/>
      <c r="AM259" s="140"/>
    </row>
    <row r="260" spans="1:39" x14ac:dyDescent="0.2">
      <c r="A260" s="29">
        <f t="shared" ca="1" si="3"/>
        <v>46000</v>
      </c>
      <c r="B260" s="140">
        <f ca="1">SUMIFS('recurring2_based on steps'!$B260:$AY260,'recurring2_based on steps'!$B$1:$AY$1,B$1)+SUMIFS('changes2_based on steps'!$B260:$U260,'changes2_based on steps'!$B$1:$U$1,B$1)</f>
        <v>0</v>
      </c>
      <c r="C260" s="140">
        <f>SUMIFS('recurring2_based on steps'!$B260:$AY260,'recurring2_based on steps'!$B$1:$AY$1,C$1)+SUMIFS('changes2_based on steps'!$B260:$U260,'changes2_based on steps'!$B$1:$U$1,C$1)</f>
        <v>0</v>
      </c>
      <c r="D260" s="140">
        <f>SUMIFS('recurring2_based on steps'!$B260:$AY260,'recurring2_based on steps'!$B$1:$AY$1,D$1)+SUMIFS('changes2_based on steps'!$B260:$U260,'changes2_based on steps'!$B$1:$U$1,D$1)</f>
        <v>0</v>
      </c>
      <c r="E260" s="140">
        <f>SUMIFS('recurring2_based on steps'!$B260:$AY260,'recurring2_based on steps'!$B$1:$AY$1,E$1)+SUMIFS('changes2_based on steps'!$B260:$U260,'changes2_based on steps'!$B$1:$U$1,E$1)</f>
        <v>0</v>
      </c>
      <c r="F260" s="140">
        <f>SUMIFS('recurring2_based on steps'!$B260:$AY260,'recurring2_based on steps'!$B$1:$AY$1,F$1)+SUMIFS('changes2_based on steps'!$B260:$U260,'changes2_based on steps'!$B$1:$U$1,F$1)</f>
        <v>0</v>
      </c>
      <c r="G260" s="140">
        <f>SUMIFS('recurring2_based on steps'!$B260:$AY260,'recurring2_based on steps'!$B$1:$AY$1,G$1)+SUMIFS('changes2_based on steps'!$B260:$U260,'changes2_based on steps'!$B$1:$U$1,G$1)</f>
        <v>0</v>
      </c>
      <c r="H260" s="140">
        <f>SUMIFS('recurring2_based on steps'!$B260:$AY260,'recurring2_based on steps'!$B$1:$AY$1,H$1)+SUMIFS('changes2_based on steps'!$B260:$U260,'changes2_based on steps'!$B$1:$U$1,H$1)</f>
        <v>0</v>
      </c>
      <c r="I260" s="140">
        <f>SUMIFS('recurring2_based on steps'!$B260:$AY260,'recurring2_based on steps'!$B$1:$AY$1,I$1)+SUMIFS('changes2_based on steps'!$B260:$U260,'changes2_based on steps'!$B$1:$U$1,I$1)</f>
        <v>0</v>
      </c>
      <c r="J260" s="140">
        <f ca="1">SUMIFS('recurring2_based on steps'!$B260:$AY260,'recurring2_based on steps'!$B$1:$AY$1,J$1)+SUMIFS('changes2_based on steps'!$B260:$U260,'changes2_based on steps'!$B$1:$U$1,J$1)</f>
        <v>0</v>
      </c>
      <c r="K260" s="140">
        <f>SUMIFS('recurring2_based on steps'!$B260:$AY260,'recurring2_based on steps'!$B$1:$AY$1,K$1)+SUMIFS('changes2_based on steps'!$B260:$U260,'changes2_based on steps'!$B$1:$U$1,K$1)</f>
        <v>0</v>
      </c>
      <c r="L260" s="140">
        <f>SUMIFS('recurring2_based on steps'!$B260:$AY260,'recurring2_based on steps'!$B$1:$AY$1,L$1)+SUMIFS('changes2_based on steps'!$B260:$U260,'changes2_based on steps'!$B$1:$U$1,L$1)</f>
        <v>0</v>
      </c>
      <c r="M260" s="140">
        <f>SUMIFS('recurring2_based on steps'!$B260:$AY260,'recurring2_based on steps'!$B$1:$AY$1,M$1)+SUMIFS('changes2_based on steps'!$B260:$U260,'changes2_based on steps'!$B$1:$U$1,M$1)</f>
        <v>0</v>
      </c>
      <c r="N260" s="140">
        <f ca="1">SUMIFS('recurring2_based on steps'!$B260:$AY260,'recurring2_based on steps'!$B$1:$AY$1,N$1)+SUMIFS('changes2_based on steps'!$B260:$U260,'changes2_based on steps'!$B$1:$U$1,N$1)</f>
        <v>0</v>
      </c>
      <c r="O260" s="140">
        <f>SUMIFS('recurring2_based on steps'!$B260:$AY260,'recurring2_based on steps'!$B$1:$AY$1,O$1)+SUMIFS('changes2_based on steps'!$B260:$U260,'changes2_based on steps'!$B$1:$U$1,O$1)</f>
        <v>0</v>
      </c>
      <c r="P260" s="140">
        <f ca="1">SUMIFS('recurring2_based on steps'!$B260:$AY260,'recurring2_based on steps'!$B$1:$AY$1,P$1)+SUMIFS('changes2_based on steps'!$B260:$U260,'changes2_based on steps'!$B$1:$U$1,P$1)</f>
        <v>0</v>
      </c>
      <c r="Q260" s="140">
        <f ca="1">SUMIFS('recurring2_based on steps'!$B260:$AY260,'recurring2_based on steps'!$B$1:$AY$1,Q$1)+SUMIFS('changes2_based on steps'!$B260:$U260,'changes2_based on steps'!$B$1:$U$1,Q$1)</f>
        <v>5.5401662049861494E-2</v>
      </c>
      <c r="R260" s="140">
        <f ca="1">SUMIFS('recurring2_based on steps'!$B260:$AY260,'recurring2_based on steps'!$B$1:$AY$1,R$1)+SUMIFS('changes2_based on steps'!$B260:$U260,'changes2_based on steps'!$B$1:$U$1,R$1)</f>
        <v>0</v>
      </c>
      <c r="S260" s="140">
        <f>SUMIFS('recurring2_based on steps'!$B260:$AY260,'recurring2_based on steps'!$B$1:$AY$1,S$1)+SUMIFS('changes2_based on steps'!$B260:$U260,'changes2_based on steps'!$B$1:$U$1,S$1)</f>
        <v>0</v>
      </c>
      <c r="T260" s="140">
        <f ca="1">SUMIFS('recurring2_based on steps'!$B260:$AY260,'recurring2_based on steps'!$B$1:$AY$1,T$1)+SUMIFS('changes2_based on steps'!$B260:$U260,'changes2_based on steps'!$B$1:$U$1,T$1)</f>
        <v>0</v>
      </c>
      <c r="U260" s="140">
        <f ca="1">SUMIFS('recurring2_based on steps'!$B260:$AY260,'recurring2_based on steps'!$B$1:$AY$1,U$1)+SUMIFS('changes2_based on steps'!$B260:$U260,'changes2_based on steps'!$B$1:$U$1,U$1)</f>
        <v>0</v>
      </c>
      <c r="V260" s="140">
        <f>SUMIFS('recurring2_based on steps'!$B260:$AY260,'recurring2_based on steps'!$B$1:$AY$1,V$1)+SUMIFS('changes2_based on steps'!$B260:$U260,'changes2_based on steps'!$B$1:$U$1,V$1)</f>
        <v>0</v>
      </c>
      <c r="W260" s="140">
        <f>SUMIFS('recurring2_based on steps'!$B260:$AY260,'recurring2_based on steps'!$B$1:$AY$1,W$1)+SUMIFS('changes2_based on steps'!$B260:$U260,'changes2_based on steps'!$B$1:$U$1,W$1)</f>
        <v>0</v>
      </c>
      <c r="X260" s="140">
        <f ca="1">SUMIFS('recurring2_based on steps'!$B260:$AY260,'recurring2_based on steps'!$B$1:$AY$1,X$1)+SUMIFS('changes2_based on steps'!$B260:$U260,'changes2_based on steps'!$B$1:$U$1,X$1)</f>
        <v>0</v>
      </c>
      <c r="Y260" s="140">
        <f ca="1">SUMIFS('recurring2_based on steps'!$B260:$AY260,'recurring2_based on steps'!$B$1:$AY$1,Y$1)+SUMIFS('changes2_based on steps'!$B260:$U260,'changes2_based on steps'!$B$1:$U$1,Y$1)</f>
        <v>0</v>
      </c>
      <c r="Z260" s="140">
        <f>SUMIFS('recurring2_based on steps'!$B260:$AY260,'recurring2_based on steps'!$B$1:$AY$1,Z$1)+SUMIFS('changes2_based on steps'!$B260:$U260,'changes2_based on steps'!$B$1:$U$1,Z$1)</f>
        <v>0</v>
      </c>
      <c r="AA260" s="140">
        <f ca="1">SUMIFS('recurring2_based on steps'!$B260:$AY260,'recurring2_based on steps'!$B$1:$AY$1,AA$1)+SUMIFS('changes2_based on steps'!$B260:$U260,'changes2_based on steps'!$B$1:$U$1,AA$1)</f>
        <v>0</v>
      </c>
      <c r="AB260" s="140">
        <f ca="1">SUMIFS('recurring2_based on steps'!$B260:$AY260,'recurring2_based on steps'!$B$1:$AY$1,AB$1)+SUMIFS('changes2_based on steps'!$B260:$U260,'changes2_based on steps'!$B$1:$U$1,AB$1)</f>
        <v>0</v>
      </c>
      <c r="AC260" s="140">
        <f ca="1">SUMIFS('recurring2_based on steps'!$B260:$AY260,'recurring2_based on steps'!$B$1:$AY$1,AC$1)+SUMIFS('changes2_based on steps'!$B260:$U260,'changes2_based on steps'!$B$1:$U$1,AC$1)</f>
        <v>0</v>
      </c>
      <c r="AD260" s="140">
        <f ca="1">SUMIFS('recurring2_based on steps'!$B260:$AY260,'recurring2_based on steps'!$B$1:$AY$1,AD$1)+SUMIFS('changes2_based on steps'!$B260:$U260,'changes2_based on steps'!$B$1:$U$1,AD$1)</f>
        <v>0</v>
      </c>
      <c r="AE260" s="140">
        <f>SUMIFS('recurring2_based on steps'!$B260:$AY260,'recurring2_based on steps'!$B$1:$AY$1,AE$1)+SUMIFS('changes2_based on steps'!$B260:$U260,'changes2_based on steps'!$B$1:$U$1,AE$1)</f>
        <v>0</v>
      </c>
      <c r="AF260" s="140"/>
      <c r="AG260" s="140"/>
      <c r="AH260" s="140"/>
      <c r="AI260" s="140"/>
      <c r="AJ260" s="140"/>
      <c r="AK260" s="140"/>
      <c r="AL260" s="140"/>
      <c r="AM260" s="140"/>
    </row>
    <row r="261" spans="1:39" x14ac:dyDescent="0.2">
      <c r="A261" s="29">
        <f t="shared" ref="A261:A324" ca="1" si="4">A260+1</f>
        <v>46001</v>
      </c>
      <c r="B261" s="140">
        <f ca="1">SUMIFS('recurring2_based on steps'!$B261:$AY261,'recurring2_based on steps'!$B$1:$AY$1,B$1)+SUMIFS('changes2_based on steps'!$B261:$U261,'changes2_based on steps'!$B$1:$U$1,B$1)</f>
        <v>0</v>
      </c>
      <c r="C261" s="140">
        <f>SUMIFS('recurring2_based on steps'!$B261:$AY261,'recurring2_based on steps'!$B$1:$AY$1,C$1)+SUMIFS('changes2_based on steps'!$B261:$U261,'changes2_based on steps'!$B$1:$U$1,C$1)</f>
        <v>0</v>
      </c>
      <c r="D261" s="140">
        <f>SUMIFS('recurring2_based on steps'!$B261:$AY261,'recurring2_based on steps'!$B$1:$AY$1,D$1)+SUMIFS('changes2_based on steps'!$B261:$U261,'changes2_based on steps'!$B$1:$U$1,D$1)</f>
        <v>0</v>
      </c>
      <c r="E261" s="140">
        <f>SUMIFS('recurring2_based on steps'!$B261:$AY261,'recurring2_based on steps'!$B$1:$AY$1,E$1)+SUMIFS('changes2_based on steps'!$B261:$U261,'changes2_based on steps'!$B$1:$U$1,E$1)</f>
        <v>0</v>
      </c>
      <c r="F261" s="140">
        <f>SUMIFS('recurring2_based on steps'!$B261:$AY261,'recurring2_based on steps'!$B$1:$AY$1,F$1)+SUMIFS('changes2_based on steps'!$B261:$U261,'changes2_based on steps'!$B$1:$U$1,F$1)</f>
        <v>0</v>
      </c>
      <c r="G261" s="140">
        <f>SUMIFS('recurring2_based on steps'!$B261:$AY261,'recurring2_based on steps'!$B$1:$AY$1,G$1)+SUMIFS('changes2_based on steps'!$B261:$U261,'changes2_based on steps'!$B$1:$U$1,G$1)</f>
        <v>0</v>
      </c>
      <c r="H261" s="140">
        <f>SUMIFS('recurring2_based on steps'!$B261:$AY261,'recurring2_based on steps'!$B$1:$AY$1,H$1)+SUMIFS('changes2_based on steps'!$B261:$U261,'changes2_based on steps'!$B$1:$U$1,H$1)</f>
        <v>0</v>
      </c>
      <c r="I261" s="140">
        <f>SUMIFS('recurring2_based on steps'!$B261:$AY261,'recurring2_based on steps'!$B$1:$AY$1,I$1)+SUMIFS('changes2_based on steps'!$B261:$U261,'changes2_based on steps'!$B$1:$U$1,I$1)</f>
        <v>0</v>
      </c>
      <c r="J261" s="140">
        <f ca="1">SUMIFS('recurring2_based on steps'!$B261:$AY261,'recurring2_based on steps'!$B$1:$AY$1,J$1)+SUMIFS('changes2_based on steps'!$B261:$U261,'changes2_based on steps'!$B$1:$U$1,J$1)</f>
        <v>0</v>
      </c>
      <c r="K261" s="140">
        <f>SUMIFS('recurring2_based on steps'!$B261:$AY261,'recurring2_based on steps'!$B$1:$AY$1,K$1)+SUMIFS('changes2_based on steps'!$B261:$U261,'changes2_based on steps'!$B$1:$U$1,K$1)</f>
        <v>0</v>
      </c>
      <c r="L261" s="140">
        <f>SUMIFS('recurring2_based on steps'!$B261:$AY261,'recurring2_based on steps'!$B$1:$AY$1,L$1)+SUMIFS('changes2_based on steps'!$B261:$U261,'changes2_based on steps'!$B$1:$U$1,L$1)</f>
        <v>0</v>
      </c>
      <c r="M261" s="140">
        <f>SUMIFS('recurring2_based on steps'!$B261:$AY261,'recurring2_based on steps'!$B$1:$AY$1,M$1)+SUMIFS('changes2_based on steps'!$B261:$U261,'changes2_based on steps'!$B$1:$U$1,M$1)</f>
        <v>0</v>
      </c>
      <c r="N261" s="140">
        <f ca="1">SUMIFS('recurring2_based on steps'!$B261:$AY261,'recurring2_based on steps'!$B$1:$AY$1,N$1)+SUMIFS('changes2_based on steps'!$B261:$U261,'changes2_based on steps'!$B$1:$U$1,N$1)</f>
        <v>0</v>
      </c>
      <c r="O261" s="140">
        <f>SUMIFS('recurring2_based on steps'!$B261:$AY261,'recurring2_based on steps'!$B$1:$AY$1,O$1)+SUMIFS('changes2_based on steps'!$B261:$U261,'changes2_based on steps'!$B$1:$U$1,O$1)</f>
        <v>0</v>
      </c>
      <c r="P261" s="140">
        <f ca="1">SUMIFS('recurring2_based on steps'!$B261:$AY261,'recurring2_based on steps'!$B$1:$AY$1,P$1)+SUMIFS('changes2_based on steps'!$B261:$U261,'changes2_based on steps'!$B$1:$U$1,P$1)</f>
        <v>0</v>
      </c>
      <c r="Q261" s="140">
        <f ca="1">SUMIFS('recurring2_based on steps'!$B261:$AY261,'recurring2_based on steps'!$B$1:$AY$1,Q$1)+SUMIFS('changes2_based on steps'!$B261:$U261,'changes2_based on steps'!$B$1:$U$1,Q$1)</f>
        <v>5.5401662049861494E-2</v>
      </c>
      <c r="R261" s="140">
        <f ca="1">SUMIFS('recurring2_based on steps'!$B261:$AY261,'recurring2_based on steps'!$B$1:$AY$1,R$1)+SUMIFS('changes2_based on steps'!$B261:$U261,'changes2_based on steps'!$B$1:$U$1,R$1)</f>
        <v>0</v>
      </c>
      <c r="S261" s="140">
        <f>SUMIFS('recurring2_based on steps'!$B261:$AY261,'recurring2_based on steps'!$B$1:$AY$1,S$1)+SUMIFS('changes2_based on steps'!$B261:$U261,'changes2_based on steps'!$B$1:$U$1,S$1)</f>
        <v>0</v>
      </c>
      <c r="T261" s="140">
        <f ca="1">SUMIFS('recurring2_based on steps'!$B261:$AY261,'recurring2_based on steps'!$B$1:$AY$1,T$1)+SUMIFS('changes2_based on steps'!$B261:$U261,'changes2_based on steps'!$B$1:$U$1,T$1)</f>
        <v>0</v>
      </c>
      <c r="U261" s="140">
        <f ca="1">SUMIFS('recurring2_based on steps'!$B261:$AY261,'recurring2_based on steps'!$B$1:$AY$1,U$1)+SUMIFS('changes2_based on steps'!$B261:$U261,'changes2_based on steps'!$B$1:$U$1,U$1)</f>
        <v>0</v>
      </c>
      <c r="V261" s="140">
        <f>SUMIFS('recurring2_based on steps'!$B261:$AY261,'recurring2_based on steps'!$B$1:$AY$1,V$1)+SUMIFS('changes2_based on steps'!$B261:$U261,'changes2_based on steps'!$B$1:$U$1,V$1)</f>
        <v>0</v>
      </c>
      <c r="W261" s="140">
        <f>SUMIFS('recurring2_based on steps'!$B261:$AY261,'recurring2_based on steps'!$B$1:$AY$1,W$1)+SUMIFS('changes2_based on steps'!$B261:$U261,'changes2_based on steps'!$B$1:$U$1,W$1)</f>
        <v>0</v>
      </c>
      <c r="X261" s="140">
        <f ca="1">SUMIFS('recurring2_based on steps'!$B261:$AY261,'recurring2_based on steps'!$B$1:$AY$1,X$1)+SUMIFS('changes2_based on steps'!$B261:$U261,'changes2_based on steps'!$B$1:$U$1,X$1)</f>
        <v>0</v>
      </c>
      <c r="Y261" s="140">
        <f ca="1">SUMIFS('recurring2_based on steps'!$B261:$AY261,'recurring2_based on steps'!$B$1:$AY$1,Y$1)+SUMIFS('changes2_based on steps'!$B261:$U261,'changes2_based on steps'!$B$1:$U$1,Y$1)</f>
        <v>0</v>
      </c>
      <c r="Z261" s="140">
        <f>SUMIFS('recurring2_based on steps'!$B261:$AY261,'recurring2_based on steps'!$B$1:$AY$1,Z$1)+SUMIFS('changes2_based on steps'!$B261:$U261,'changes2_based on steps'!$B$1:$U$1,Z$1)</f>
        <v>0</v>
      </c>
      <c r="AA261" s="140">
        <f ca="1">SUMIFS('recurring2_based on steps'!$B261:$AY261,'recurring2_based on steps'!$B$1:$AY$1,AA$1)+SUMIFS('changes2_based on steps'!$B261:$U261,'changes2_based on steps'!$B$1:$U$1,AA$1)</f>
        <v>0</v>
      </c>
      <c r="AB261" s="140">
        <f ca="1">SUMIFS('recurring2_based on steps'!$B261:$AY261,'recurring2_based on steps'!$B$1:$AY$1,AB$1)+SUMIFS('changes2_based on steps'!$B261:$U261,'changes2_based on steps'!$B$1:$U$1,AB$1)</f>
        <v>0</v>
      </c>
      <c r="AC261" s="140">
        <f ca="1">SUMIFS('recurring2_based on steps'!$B261:$AY261,'recurring2_based on steps'!$B$1:$AY$1,AC$1)+SUMIFS('changes2_based on steps'!$B261:$U261,'changes2_based on steps'!$B$1:$U$1,AC$1)</f>
        <v>0</v>
      </c>
      <c r="AD261" s="140">
        <f ca="1">SUMIFS('recurring2_based on steps'!$B261:$AY261,'recurring2_based on steps'!$B$1:$AY$1,AD$1)+SUMIFS('changes2_based on steps'!$B261:$U261,'changes2_based on steps'!$B$1:$U$1,AD$1)</f>
        <v>0</v>
      </c>
      <c r="AE261" s="140">
        <f>SUMIFS('recurring2_based on steps'!$B261:$AY261,'recurring2_based on steps'!$B$1:$AY$1,AE$1)+SUMIFS('changes2_based on steps'!$B261:$U261,'changes2_based on steps'!$B$1:$U$1,AE$1)</f>
        <v>0</v>
      </c>
      <c r="AF261" s="140"/>
      <c r="AG261" s="140"/>
      <c r="AH261" s="140"/>
      <c r="AI261" s="140"/>
      <c r="AJ261" s="140"/>
      <c r="AK261" s="140"/>
      <c r="AL261" s="140"/>
      <c r="AM261" s="140"/>
    </row>
    <row r="262" spans="1:39" x14ac:dyDescent="0.2">
      <c r="A262" s="29">
        <f t="shared" ca="1" si="4"/>
        <v>46002</v>
      </c>
      <c r="B262" s="140">
        <f ca="1">SUMIFS('recurring2_based on steps'!$B262:$AY262,'recurring2_based on steps'!$B$1:$AY$1,B$1)+SUMIFS('changes2_based on steps'!$B262:$U262,'changes2_based on steps'!$B$1:$U$1,B$1)</f>
        <v>0</v>
      </c>
      <c r="C262" s="140">
        <f>SUMIFS('recurring2_based on steps'!$B262:$AY262,'recurring2_based on steps'!$B$1:$AY$1,C$1)+SUMIFS('changes2_based on steps'!$B262:$U262,'changes2_based on steps'!$B$1:$U$1,C$1)</f>
        <v>0</v>
      </c>
      <c r="D262" s="140">
        <f>SUMIFS('recurring2_based on steps'!$B262:$AY262,'recurring2_based on steps'!$B$1:$AY$1,D$1)+SUMIFS('changes2_based on steps'!$B262:$U262,'changes2_based on steps'!$B$1:$U$1,D$1)</f>
        <v>0</v>
      </c>
      <c r="E262" s="140">
        <f>SUMIFS('recurring2_based on steps'!$B262:$AY262,'recurring2_based on steps'!$B$1:$AY$1,E$1)+SUMIFS('changes2_based on steps'!$B262:$U262,'changes2_based on steps'!$B$1:$U$1,E$1)</f>
        <v>0</v>
      </c>
      <c r="F262" s="140">
        <f>SUMIFS('recurring2_based on steps'!$B262:$AY262,'recurring2_based on steps'!$B$1:$AY$1,F$1)+SUMIFS('changes2_based on steps'!$B262:$U262,'changes2_based on steps'!$B$1:$U$1,F$1)</f>
        <v>0</v>
      </c>
      <c r="G262" s="140">
        <f>SUMIFS('recurring2_based on steps'!$B262:$AY262,'recurring2_based on steps'!$B$1:$AY$1,G$1)+SUMIFS('changes2_based on steps'!$B262:$U262,'changes2_based on steps'!$B$1:$U$1,G$1)</f>
        <v>0</v>
      </c>
      <c r="H262" s="140">
        <f>SUMIFS('recurring2_based on steps'!$B262:$AY262,'recurring2_based on steps'!$B$1:$AY$1,H$1)+SUMIFS('changes2_based on steps'!$B262:$U262,'changes2_based on steps'!$B$1:$U$1,H$1)</f>
        <v>0</v>
      </c>
      <c r="I262" s="140">
        <f>SUMIFS('recurring2_based on steps'!$B262:$AY262,'recurring2_based on steps'!$B$1:$AY$1,I$1)+SUMIFS('changes2_based on steps'!$B262:$U262,'changes2_based on steps'!$B$1:$U$1,I$1)</f>
        <v>0</v>
      </c>
      <c r="J262" s="140">
        <f ca="1">SUMIFS('recurring2_based on steps'!$B262:$AY262,'recurring2_based on steps'!$B$1:$AY$1,J$1)+SUMIFS('changes2_based on steps'!$B262:$U262,'changes2_based on steps'!$B$1:$U$1,J$1)</f>
        <v>0</v>
      </c>
      <c r="K262" s="140">
        <f>SUMIFS('recurring2_based on steps'!$B262:$AY262,'recurring2_based on steps'!$B$1:$AY$1,K$1)+SUMIFS('changes2_based on steps'!$B262:$U262,'changes2_based on steps'!$B$1:$U$1,K$1)</f>
        <v>0</v>
      </c>
      <c r="L262" s="140">
        <f>SUMIFS('recurring2_based on steps'!$B262:$AY262,'recurring2_based on steps'!$B$1:$AY$1,L$1)+SUMIFS('changes2_based on steps'!$B262:$U262,'changes2_based on steps'!$B$1:$U$1,L$1)</f>
        <v>0</v>
      </c>
      <c r="M262" s="140">
        <f>SUMIFS('recurring2_based on steps'!$B262:$AY262,'recurring2_based on steps'!$B$1:$AY$1,M$1)+SUMIFS('changes2_based on steps'!$B262:$U262,'changes2_based on steps'!$B$1:$U$1,M$1)</f>
        <v>0</v>
      </c>
      <c r="N262" s="140">
        <f ca="1">SUMIFS('recurring2_based on steps'!$B262:$AY262,'recurring2_based on steps'!$B$1:$AY$1,N$1)+SUMIFS('changes2_based on steps'!$B262:$U262,'changes2_based on steps'!$B$1:$U$1,N$1)</f>
        <v>0</v>
      </c>
      <c r="O262" s="140">
        <f>SUMIFS('recurring2_based on steps'!$B262:$AY262,'recurring2_based on steps'!$B$1:$AY$1,O$1)+SUMIFS('changes2_based on steps'!$B262:$U262,'changes2_based on steps'!$B$1:$U$1,O$1)</f>
        <v>0</v>
      </c>
      <c r="P262" s="140">
        <f ca="1">SUMIFS('recurring2_based on steps'!$B262:$AY262,'recurring2_based on steps'!$B$1:$AY$1,P$1)+SUMIFS('changes2_based on steps'!$B262:$U262,'changes2_based on steps'!$B$1:$U$1,P$1)</f>
        <v>0</v>
      </c>
      <c r="Q262" s="140">
        <f ca="1">SUMIFS('recurring2_based on steps'!$B262:$AY262,'recurring2_based on steps'!$B$1:$AY$1,Q$1)+SUMIFS('changes2_based on steps'!$B262:$U262,'changes2_based on steps'!$B$1:$U$1,Q$1)</f>
        <v>5.5401662049861494E-2</v>
      </c>
      <c r="R262" s="140">
        <f ca="1">SUMIFS('recurring2_based on steps'!$B262:$AY262,'recurring2_based on steps'!$B$1:$AY$1,R$1)+SUMIFS('changes2_based on steps'!$B262:$U262,'changes2_based on steps'!$B$1:$U$1,R$1)</f>
        <v>0</v>
      </c>
      <c r="S262" s="140">
        <f>SUMIFS('recurring2_based on steps'!$B262:$AY262,'recurring2_based on steps'!$B$1:$AY$1,S$1)+SUMIFS('changes2_based on steps'!$B262:$U262,'changes2_based on steps'!$B$1:$U$1,S$1)</f>
        <v>0</v>
      </c>
      <c r="T262" s="140">
        <f ca="1">SUMIFS('recurring2_based on steps'!$B262:$AY262,'recurring2_based on steps'!$B$1:$AY$1,T$1)+SUMIFS('changes2_based on steps'!$B262:$U262,'changes2_based on steps'!$B$1:$U$1,T$1)</f>
        <v>0</v>
      </c>
      <c r="U262" s="140">
        <f ca="1">SUMIFS('recurring2_based on steps'!$B262:$AY262,'recurring2_based on steps'!$B$1:$AY$1,U$1)+SUMIFS('changes2_based on steps'!$B262:$U262,'changes2_based on steps'!$B$1:$U$1,U$1)</f>
        <v>0</v>
      </c>
      <c r="V262" s="140">
        <f>SUMIFS('recurring2_based on steps'!$B262:$AY262,'recurring2_based on steps'!$B$1:$AY$1,V$1)+SUMIFS('changes2_based on steps'!$B262:$U262,'changes2_based on steps'!$B$1:$U$1,V$1)</f>
        <v>0</v>
      </c>
      <c r="W262" s="140">
        <f>SUMIFS('recurring2_based on steps'!$B262:$AY262,'recurring2_based on steps'!$B$1:$AY$1,W$1)+SUMIFS('changes2_based on steps'!$B262:$U262,'changes2_based on steps'!$B$1:$U$1,W$1)</f>
        <v>0</v>
      </c>
      <c r="X262" s="140">
        <f ca="1">SUMIFS('recurring2_based on steps'!$B262:$AY262,'recurring2_based on steps'!$B$1:$AY$1,X$1)+SUMIFS('changes2_based on steps'!$B262:$U262,'changes2_based on steps'!$B$1:$U$1,X$1)</f>
        <v>0</v>
      </c>
      <c r="Y262" s="140">
        <f ca="1">SUMIFS('recurring2_based on steps'!$B262:$AY262,'recurring2_based on steps'!$B$1:$AY$1,Y$1)+SUMIFS('changes2_based on steps'!$B262:$U262,'changes2_based on steps'!$B$1:$U$1,Y$1)</f>
        <v>500</v>
      </c>
      <c r="Z262" s="140">
        <f>SUMIFS('recurring2_based on steps'!$B262:$AY262,'recurring2_based on steps'!$B$1:$AY$1,Z$1)+SUMIFS('changes2_based on steps'!$B262:$U262,'changes2_based on steps'!$B$1:$U$1,Z$1)</f>
        <v>0</v>
      </c>
      <c r="AA262" s="140">
        <f ca="1">SUMIFS('recurring2_based on steps'!$B262:$AY262,'recurring2_based on steps'!$B$1:$AY$1,AA$1)+SUMIFS('changes2_based on steps'!$B262:$U262,'changes2_based on steps'!$B$1:$U$1,AA$1)</f>
        <v>0</v>
      </c>
      <c r="AB262" s="140">
        <f ca="1">SUMIFS('recurring2_based on steps'!$B262:$AY262,'recurring2_based on steps'!$B$1:$AY$1,AB$1)+SUMIFS('changes2_based on steps'!$B262:$U262,'changes2_based on steps'!$B$1:$U$1,AB$1)</f>
        <v>0</v>
      </c>
      <c r="AC262" s="140">
        <f ca="1">SUMIFS('recurring2_based on steps'!$B262:$AY262,'recurring2_based on steps'!$B$1:$AY$1,AC$1)+SUMIFS('changes2_based on steps'!$B262:$U262,'changes2_based on steps'!$B$1:$U$1,AC$1)</f>
        <v>0</v>
      </c>
      <c r="AD262" s="140">
        <f ca="1">SUMIFS('recurring2_based on steps'!$B262:$AY262,'recurring2_based on steps'!$B$1:$AY$1,AD$1)+SUMIFS('changes2_based on steps'!$B262:$U262,'changes2_based on steps'!$B$1:$U$1,AD$1)</f>
        <v>0</v>
      </c>
      <c r="AE262" s="140">
        <f>SUMIFS('recurring2_based on steps'!$B262:$AY262,'recurring2_based on steps'!$B$1:$AY$1,AE$1)+SUMIFS('changes2_based on steps'!$B262:$U262,'changes2_based on steps'!$B$1:$U$1,AE$1)</f>
        <v>0</v>
      </c>
      <c r="AF262" s="140"/>
      <c r="AG262" s="140"/>
      <c r="AH262" s="140"/>
      <c r="AI262" s="140"/>
      <c r="AJ262" s="140"/>
      <c r="AK262" s="140"/>
      <c r="AL262" s="140"/>
      <c r="AM262" s="140"/>
    </row>
    <row r="263" spans="1:39" x14ac:dyDescent="0.2">
      <c r="A263" s="29">
        <f t="shared" ca="1" si="4"/>
        <v>46003</v>
      </c>
      <c r="B263" s="140">
        <f ca="1">SUMIFS('recurring2_based on steps'!$B263:$AY263,'recurring2_based on steps'!$B$1:$AY$1,B$1)+SUMIFS('changes2_based on steps'!$B263:$U263,'changes2_based on steps'!$B$1:$U$1,B$1)</f>
        <v>4000</v>
      </c>
      <c r="C263" s="140">
        <f>SUMIFS('recurring2_based on steps'!$B263:$AY263,'recurring2_based on steps'!$B$1:$AY$1,C$1)+SUMIFS('changes2_based on steps'!$B263:$U263,'changes2_based on steps'!$B$1:$U$1,C$1)</f>
        <v>0</v>
      </c>
      <c r="D263" s="140">
        <f>SUMIFS('recurring2_based on steps'!$B263:$AY263,'recurring2_based on steps'!$B$1:$AY$1,D$1)+SUMIFS('changes2_based on steps'!$B263:$U263,'changes2_based on steps'!$B$1:$U$1,D$1)</f>
        <v>0</v>
      </c>
      <c r="E263" s="140">
        <f>SUMIFS('recurring2_based on steps'!$B263:$AY263,'recurring2_based on steps'!$B$1:$AY$1,E$1)+SUMIFS('changes2_based on steps'!$B263:$U263,'changes2_based on steps'!$B$1:$U$1,E$1)</f>
        <v>0</v>
      </c>
      <c r="F263" s="140">
        <f>SUMIFS('recurring2_based on steps'!$B263:$AY263,'recurring2_based on steps'!$B$1:$AY$1,F$1)+SUMIFS('changes2_based on steps'!$B263:$U263,'changes2_based on steps'!$B$1:$U$1,F$1)</f>
        <v>0</v>
      </c>
      <c r="G263" s="140">
        <f>SUMIFS('recurring2_based on steps'!$B263:$AY263,'recurring2_based on steps'!$B$1:$AY$1,G$1)+SUMIFS('changes2_based on steps'!$B263:$U263,'changes2_based on steps'!$B$1:$U$1,G$1)</f>
        <v>0</v>
      </c>
      <c r="H263" s="140">
        <f>SUMIFS('recurring2_based on steps'!$B263:$AY263,'recurring2_based on steps'!$B$1:$AY$1,H$1)+SUMIFS('changes2_based on steps'!$B263:$U263,'changes2_based on steps'!$B$1:$U$1,H$1)</f>
        <v>0</v>
      </c>
      <c r="I263" s="140">
        <f>SUMIFS('recurring2_based on steps'!$B263:$AY263,'recurring2_based on steps'!$B$1:$AY$1,I$1)+SUMIFS('changes2_based on steps'!$B263:$U263,'changes2_based on steps'!$B$1:$U$1,I$1)</f>
        <v>0</v>
      </c>
      <c r="J263" s="140">
        <f ca="1">SUMIFS('recurring2_based on steps'!$B263:$AY263,'recurring2_based on steps'!$B$1:$AY$1,J$1)+SUMIFS('changes2_based on steps'!$B263:$U263,'changes2_based on steps'!$B$1:$U$1,J$1)</f>
        <v>0</v>
      </c>
      <c r="K263" s="140">
        <f>SUMIFS('recurring2_based on steps'!$B263:$AY263,'recurring2_based on steps'!$B$1:$AY$1,K$1)+SUMIFS('changes2_based on steps'!$B263:$U263,'changes2_based on steps'!$B$1:$U$1,K$1)</f>
        <v>0</v>
      </c>
      <c r="L263" s="140">
        <f>SUMIFS('recurring2_based on steps'!$B263:$AY263,'recurring2_based on steps'!$B$1:$AY$1,L$1)+SUMIFS('changes2_based on steps'!$B263:$U263,'changes2_based on steps'!$B$1:$U$1,L$1)</f>
        <v>0</v>
      </c>
      <c r="M263" s="140">
        <f>SUMIFS('recurring2_based on steps'!$B263:$AY263,'recurring2_based on steps'!$B$1:$AY$1,M$1)+SUMIFS('changes2_based on steps'!$B263:$U263,'changes2_based on steps'!$B$1:$U$1,M$1)</f>
        <v>0</v>
      </c>
      <c r="N263" s="140">
        <f ca="1">SUMIFS('recurring2_based on steps'!$B263:$AY263,'recurring2_based on steps'!$B$1:$AY$1,N$1)+SUMIFS('changes2_based on steps'!$B263:$U263,'changes2_based on steps'!$B$1:$U$1,N$1)</f>
        <v>0</v>
      </c>
      <c r="O263" s="140">
        <f>SUMIFS('recurring2_based on steps'!$B263:$AY263,'recurring2_based on steps'!$B$1:$AY$1,O$1)+SUMIFS('changes2_based on steps'!$B263:$U263,'changes2_based on steps'!$B$1:$U$1,O$1)</f>
        <v>0</v>
      </c>
      <c r="P263" s="140">
        <f ca="1">SUMIFS('recurring2_based on steps'!$B263:$AY263,'recurring2_based on steps'!$B$1:$AY$1,P$1)+SUMIFS('changes2_based on steps'!$B263:$U263,'changes2_based on steps'!$B$1:$U$1,P$1)</f>
        <v>0</v>
      </c>
      <c r="Q263" s="140">
        <f ca="1">SUMIFS('recurring2_based on steps'!$B263:$AY263,'recurring2_based on steps'!$B$1:$AY$1,Q$1)+SUMIFS('changes2_based on steps'!$B263:$U263,'changes2_based on steps'!$B$1:$U$1,Q$1)</f>
        <v>5.5401662049861494E-2</v>
      </c>
      <c r="R263" s="140">
        <f ca="1">SUMIFS('recurring2_based on steps'!$B263:$AY263,'recurring2_based on steps'!$B$1:$AY$1,R$1)+SUMIFS('changes2_based on steps'!$B263:$U263,'changes2_based on steps'!$B$1:$U$1,R$1)</f>
        <v>0</v>
      </c>
      <c r="S263" s="140">
        <f>SUMIFS('recurring2_based on steps'!$B263:$AY263,'recurring2_based on steps'!$B$1:$AY$1,S$1)+SUMIFS('changes2_based on steps'!$B263:$U263,'changes2_based on steps'!$B$1:$U$1,S$1)</f>
        <v>0</v>
      </c>
      <c r="T263" s="140">
        <f ca="1">SUMIFS('recurring2_based on steps'!$B263:$AY263,'recurring2_based on steps'!$B$1:$AY$1,T$1)+SUMIFS('changes2_based on steps'!$B263:$U263,'changes2_based on steps'!$B$1:$U$1,T$1)</f>
        <v>50</v>
      </c>
      <c r="U263" s="140">
        <f ca="1">SUMIFS('recurring2_based on steps'!$B263:$AY263,'recurring2_based on steps'!$B$1:$AY$1,U$1)+SUMIFS('changes2_based on steps'!$B263:$U263,'changes2_based on steps'!$B$1:$U$1,U$1)</f>
        <v>200</v>
      </c>
      <c r="V263" s="140">
        <f>SUMIFS('recurring2_based on steps'!$B263:$AY263,'recurring2_based on steps'!$B$1:$AY$1,V$1)+SUMIFS('changes2_based on steps'!$B263:$U263,'changes2_based on steps'!$B$1:$U$1,V$1)</f>
        <v>0</v>
      </c>
      <c r="W263" s="140">
        <f>SUMIFS('recurring2_based on steps'!$B263:$AY263,'recurring2_based on steps'!$B$1:$AY$1,W$1)+SUMIFS('changes2_based on steps'!$B263:$U263,'changes2_based on steps'!$B$1:$U$1,W$1)</f>
        <v>0</v>
      </c>
      <c r="X263" s="140">
        <f ca="1">SUMIFS('recurring2_based on steps'!$B263:$AY263,'recurring2_based on steps'!$B$1:$AY$1,X$1)+SUMIFS('changes2_based on steps'!$B263:$U263,'changes2_based on steps'!$B$1:$U$1,X$1)</f>
        <v>96</v>
      </c>
      <c r="Y263" s="140">
        <f ca="1">SUMIFS('recurring2_based on steps'!$B263:$AY263,'recurring2_based on steps'!$B$1:$AY$1,Y$1)+SUMIFS('changes2_based on steps'!$B263:$U263,'changes2_based on steps'!$B$1:$U$1,Y$1)</f>
        <v>0</v>
      </c>
      <c r="Z263" s="140">
        <f>SUMIFS('recurring2_based on steps'!$B263:$AY263,'recurring2_based on steps'!$B$1:$AY$1,Z$1)+SUMIFS('changes2_based on steps'!$B263:$U263,'changes2_based on steps'!$B$1:$U$1,Z$1)</f>
        <v>0</v>
      </c>
      <c r="AA263" s="140">
        <f ca="1">SUMIFS('recurring2_based on steps'!$B263:$AY263,'recurring2_based on steps'!$B$1:$AY$1,AA$1)+SUMIFS('changes2_based on steps'!$B263:$U263,'changes2_based on steps'!$B$1:$U$1,AA$1)</f>
        <v>0</v>
      </c>
      <c r="AB263" s="140">
        <f ca="1">SUMIFS('recurring2_based on steps'!$B263:$AY263,'recurring2_based on steps'!$B$1:$AY$1,AB$1)+SUMIFS('changes2_based on steps'!$B263:$U263,'changes2_based on steps'!$B$1:$U$1,AB$1)</f>
        <v>0</v>
      </c>
      <c r="AC263" s="140">
        <f ca="1">SUMIFS('recurring2_based on steps'!$B263:$AY263,'recurring2_based on steps'!$B$1:$AY$1,AC$1)+SUMIFS('changes2_based on steps'!$B263:$U263,'changes2_based on steps'!$B$1:$U$1,AC$1)</f>
        <v>0</v>
      </c>
      <c r="AD263" s="140">
        <f ca="1">SUMIFS('recurring2_based on steps'!$B263:$AY263,'recurring2_based on steps'!$B$1:$AY$1,AD$1)+SUMIFS('changes2_based on steps'!$B263:$U263,'changes2_based on steps'!$B$1:$U$1,AD$1)</f>
        <v>50</v>
      </c>
      <c r="AE263" s="140">
        <f>SUMIFS('recurring2_based on steps'!$B263:$AY263,'recurring2_based on steps'!$B$1:$AY$1,AE$1)+SUMIFS('changes2_based on steps'!$B263:$U263,'changes2_based on steps'!$B$1:$U$1,AE$1)</f>
        <v>0</v>
      </c>
      <c r="AF263" s="140"/>
      <c r="AG263" s="140"/>
      <c r="AH263" s="140"/>
      <c r="AI263" s="140"/>
      <c r="AJ263" s="140"/>
      <c r="AK263" s="140"/>
      <c r="AL263" s="140"/>
      <c r="AM263" s="140"/>
    </row>
    <row r="264" spans="1:39" x14ac:dyDescent="0.2">
      <c r="A264" s="29">
        <f t="shared" ca="1" si="4"/>
        <v>46004</v>
      </c>
      <c r="B264" s="140">
        <f ca="1">SUMIFS('recurring2_based on steps'!$B264:$AY264,'recurring2_based on steps'!$B$1:$AY$1,B$1)+SUMIFS('changes2_based on steps'!$B264:$U264,'changes2_based on steps'!$B$1:$U$1,B$1)</f>
        <v>0</v>
      </c>
      <c r="C264" s="140">
        <f>SUMIFS('recurring2_based on steps'!$B264:$AY264,'recurring2_based on steps'!$B$1:$AY$1,C$1)+SUMIFS('changes2_based on steps'!$B264:$U264,'changes2_based on steps'!$B$1:$U$1,C$1)</f>
        <v>0</v>
      </c>
      <c r="D264" s="140">
        <f>SUMIFS('recurring2_based on steps'!$B264:$AY264,'recurring2_based on steps'!$B$1:$AY$1,D$1)+SUMIFS('changes2_based on steps'!$B264:$U264,'changes2_based on steps'!$B$1:$U$1,D$1)</f>
        <v>0</v>
      </c>
      <c r="E264" s="140">
        <f>SUMIFS('recurring2_based on steps'!$B264:$AY264,'recurring2_based on steps'!$B$1:$AY$1,E$1)+SUMIFS('changes2_based on steps'!$B264:$U264,'changes2_based on steps'!$B$1:$U$1,E$1)</f>
        <v>0</v>
      </c>
      <c r="F264" s="140">
        <f>SUMIFS('recurring2_based on steps'!$B264:$AY264,'recurring2_based on steps'!$B$1:$AY$1,F$1)+SUMIFS('changes2_based on steps'!$B264:$U264,'changes2_based on steps'!$B$1:$U$1,F$1)</f>
        <v>0</v>
      </c>
      <c r="G264" s="140">
        <f>SUMIFS('recurring2_based on steps'!$B264:$AY264,'recurring2_based on steps'!$B$1:$AY$1,G$1)+SUMIFS('changes2_based on steps'!$B264:$U264,'changes2_based on steps'!$B$1:$U$1,G$1)</f>
        <v>0</v>
      </c>
      <c r="H264" s="140">
        <f>SUMIFS('recurring2_based on steps'!$B264:$AY264,'recurring2_based on steps'!$B$1:$AY$1,H$1)+SUMIFS('changes2_based on steps'!$B264:$U264,'changes2_based on steps'!$B$1:$U$1,H$1)</f>
        <v>0</v>
      </c>
      <c r="I264" s="140">
        <f>SUMIFS('recurring2_based on steps'!$B264:$AY264,'recurring2_based on steps'!$B$1:$AY$1,I$1)+SUMIFS('changes2_based on steps'!$B264:$U264,'changes2_based on steps'!$B$1:$U$1,I$1)</f>
        <v>0</v>
      </c>
      <c r="J264" s="140">
        <f ca="1">SUMIFS('recurring2_based on steps'!$B264:$AY264,'recurring2_based on steps'!$B$1:$AY$1,J$1)+SUMIFS('changes2_based on steps'!$B264:$U264,'changes2_based on steps'!$B$1:$U$1,J$1)</f>
        <v>0</v>
      </c>
      <c r="K264" s="140">
        <f>SUMIFS('recurring2_based on steps'!$B264:$AY264,'recurring2_based on steps'!$B$1:$AY$1,K$1)+SUMIFS('changes2_based on steps'!$B264:$U264,'changes2_based on steps'!$B$1:$U$1,K$1)</f>
        <v>0</v>
      </c>
      <c r="L264" s="140">
        <f>SUMIFS('recurring2_based on steps'!$B264:$AY264,'recurring2_based on steps'!$B$1:$AY$1,L$1)+SUMIFS('changes2_based on steps'!$B264:$U264,'changes2_based on steps'!$B$1:$U$1,L$1)</f>
        <v>0</v>
      </c>
      <c r="M264" s="140">
        <f>SUMIFS('recurring2_based on steps'!$B264:$AY264,'recurring2_based on steps'!$B$1:$AY$1,M$1)+SUMIFS('changes2_based on steps'!$B264:$U264,'changes2_based on steps'!$B$1:$U$1,M$1)</f>
        <v>0</v>
      </c>
      <c r="N264" s="140">
        <f ca="1">SUMIFS('recurring2_based on steps'!$B264:$AY264,'recurring2_based on steps'!$B$1:$AY$1,N$1)+SUMIFS('changes2_based on steps'!$B264:$U264,'changes2_based on steps'!$B$1:$U$1,N$1)</f>
        <v>0</v>
      </c>
      <c r="O264" s="140">
        <f>SUMIFS('recurring2_based on steps'!$B264:$AY264,'recurring2_based on steps'!$B$1:$AY$1,O$1)+SUMIFS('changes2_based on steps'!$B264:$U264,'changes2_based on steps'!$B$1:$U$1,O$1)</f>
        <v>0</v>
      </c>
      <c r="P264" s="140">
        <f ca="1">SUMIFS('recurring2_based on steps'!$B264:$AY264,'recurring2_based on steps'!$B$1:$AY$1,P$1)+SUMIFS('changes2_based on steps'!$B264:$U264,'changes2_based on steps'!$B$1:$U$1,P$1)</f>
        <v>0</v>
      </c>
      <c r="Q264" s="140">
        <f ca="1">SUMIFS('recurring2_based on steps'!$B264:$AY264,'recurring2_based on steps'!$B$1:$AY$1,Q$1)+SUMIFS('changes2_based on steps'!$B264:$U264,'changes2_based on steps'!$B$1:$U$1,Q$1)</f>
        <v>100.05540166204986</v>
      </c>
      <c r="R264" s="140">
        <f ca="1">SUMIFS('recurring2_based on steps'!$B264:$AY264,'recurring2_based on steps'!$B$1:$AY$1,R$1)+SUMIFS('changes2_based on steps'!$B264:$U264,'changes2_based on steps'!$B$1:$U$1,R$1)</f>
        <v>0</v>
      </c>
      <c r="S264" s="140">
        <f>SUMIFS('recurring2_based on steps'!$B264:$AY264,'recurring2_based on steps'!$B$1:$AY$1,S$1)+SUMIFS('changes2_based on steps'!$B264:$U264,'changes2_based on steps'!$B$1:$U$1,S$1)</f>
        <v>0</v>
      </c>
      <c r="T264" s="140">
        <f ca="1">SUMIFS('recurring2_based on steps'!$B264:$AY264,'recurring2_based on steps'!$B$1:$AY$1,T$1)+SUMIFS('changes2_based on steps'!$B264:$U264,'changes2_based on steps'!$B$1:$U$1,T$1)</f>
        <v>0</v>
      </c>
      <c r="U264" s="140">
        <f ca="1">SUMIFS('recurring2_based on steps'!$B264:$AY264,'recurring2_based on steps'!$B$1:$AY$1,U$1)+SUMIFS('changes2_based on steps'!$B264:$U264,'changes2_based on steps'!$B$1:$U$1,U$1)</f>
        <v>0</v>
      </c>
      <c r="V264" s="140">
        <f>SUMIFS('recurring2_based on steps'!$B264:$AY264,'recurring2_based on steps'!$B$1:$AY$1,V$1)+SUMIFS('changes2_based on steps'!$B264:$U264,'changes2_based on steps'!$B$1:$U$1,V$1)</f>
        <v>0</v>
      </c>
      <c r="W264" s="140">
        <f>SUMIFS('recurring2_based on steps'!$B264:$AY264,'recurring2_based on steps'!$B$1:$AY$1,W$1)+SUMIFS('changes2_based on steps'!$B264:$U264,'changes2_based on steps'!$B$1:$U$1,W$1)</f>
        <v>0</v>
      </c>
      <c r="X264" s="140">
        <f ca="1">SUMIFS('recurring2_based on steps'!$B264:$AY264,'recurring2_based on steps'!$B$1:$AY$1,X$1)+SUMIFS('changes2_based on steps'!$B264:$U264,'changes2_based on steps'!$B$1:$U$1,X$1)</f>
        <v>0</v>
      </c>
      <c r="Y264" s="140">
        <f ca="1">SUMIFS('recurring2_based on steps'!$B264:$AY264,'recurring2_based on steps'!$B$1:$AY$1,Y$1)+SUMIFS('changes2_based on steps'!$B264:$U264,'changes2_based on steps'!$B$1:$U$1,Y$1)</f>
        <v>0</v>
      </c>
      <c r="Z264" s="140">
        <f>SUMIFS('recurring2_based on steps'!$B264:$AY264,'recurring2_based on steps'!$B$1:$AY$1,Z$1)+SUMIFS('changes2_based on steps'!$B264:$U264,'changes2_based on steps'!$B$1:$U$1,Z$1)</f>
        <v>0</v>
      </c>
      <c r="AA264" s="140">
        <f ca="1">SUMIFS('recurring2_based on steps'!$B264:$AY264,'recurring2_based on steps'!$B$1:$AY$1,AA$1)+SUMIFS('changes2_based on steps'!$B264:$U264,'changes2_based on steps'!$B$1:$U$1,AA$1)</f>
        <v>0</v>
      </c>
      <c r="AB264" s="140">
        <f ca="1">SUMIFS('recurring2_based on steps'!$B264:$AY264,'recurring2_based on steps'!$B$1:$AY$1,AB$1)+SUMIFS('changes2_based on steps'!$B264:$U264,'changes2_based on steps'!$B$1:$U$1,AB$1)</f>
        <v>100</v>
      </c>
      <c r="AC264" s="140">
        <f ca="1">SUMIFS('recurring2_based on steps'!$B264:$AY264,'recurring2_based on steps'!$B$1:$AY$1,AC$1)+SUMIFS('changes2_based on steps'!$B264:$U264,'changes2_based on steps'!$B$1:$U$1,AC$1)</f>
        <v>0</v>
      </c>
      <c r="AD264" s="140">
        <f ca="1">SUMIFS('recurring2_based on steps'!$B264:$AY264,'recurring2_based on steps'!$B$1:$AY$1,AD$1)+SUMIFS('changes2_based on steps'!$B264:$U264,'changes2_based on steps'!$B$1:$U$1,AD$1)</f>
        <v>0</v>
      </c>
      <c r="AE264" s="140">
        <f>SUMIFS('recurring2_based on steps'!$B264:$AY264,'recurring2_based on steps'!$B$1:$AY$1,AE$1)+SUMIFS('changes2_based on steps'!$B264:$U264,'changes2_based on steps'!$B$1:$U$1,AE$1)</f>
        <v>0</v>
      </c>
      <c r="AF264" s="140"/>
      <c r="AG264" s="140"/>
      <c r="AH264" s="140"/>
      <c r="AI264" s="140"/>
      <c r="AJ264" s="140"/>
      <c r="AK264" s="140"/>
      <c r="AL264" s="140"/>
      <c r="AM264" s="140"/>
    </row>
    <row r="265" spans="1:39" x14ac:dyDescent="0.2">
      <c r="A265" s="29">
        <f t="shared" ca="1" si="4"/>
        <v>46005</v>
      </c>
      <c r="B265" s="140">
        <f ca="1">SUMIFS('recurring2_based on steps'!$B265:$AY265,'recurring2_based on steps'!$B$1:$AY$1,B$1)+SUMIFS('changes2_based on steps'!$B265:$U265,'changes2_based on steps'!$B$1:$U$1,B$1)</f>
        <v>0</v>
      </c>
      <c r="C265" s="140">
        <f>SUMIFS('recurring2_based on steps'!$B265:$AY265,'recurring2_based on steps'!$B$1:$AY$1,C$1)+SUMIFS('changes2_based on steps'!$B265:$U265,'changes2_based on steps'!$B$1:$U$1,C$1)</f>
        <v>0</v>
      </c>
      <c r="D265" s="140">
        <f>SUMIFS('recurring2_based on steps'!$B265:$AY265,'recurring2_based on steps'!$B$1:$AY$1,D$1)+SUMIFS('changes2_based on steps'!$B265:$U265,'changes2_based on steps'!$B$1:$U$1,D$1)</f>
        <v>0</v>
      </c>
      <c r="E265" s="140">
        <f>SUMIFS('recurring2_based on steps'!$B265:$AY265,'recurring2_based on steps'!$B$1:$AY$1,E$1)+SUMIFS('changes2_based on steps'!$B265:$U265,'changes2_based on steps'!$B$1:$U$1,E$1)</f>
        <v>0</v>
      </c>
      <c r="F265" s="140">
        <f>SUMIFS('recurring2_based on steps'!$B265:$AY265,'recurring2_based on steps'!$B$1:$AY$1,F$1)+SUMIFS('changes2_based on steps'!$B265:$U265,'changes2_based on steps'!$B$1:$U$1,F$1)</f>
        <v>0</v>
      </c>
      <c r="G265" s="140">
        <f>SUMIFS('recurring2_based on steps'!$B265:$AY265,'recurring2_based on steps'!$B$1:$AY$1,G$1)+SUMIFS('changes2_based on steps'!$B265:$U265,'changes2_based on steps'!$B$1:$U$1,G$1)</f>
        <v>0</v>
      </c>
      <c r="H265" s="140">
        <f>SUMIFS('recurring2_based on steps'!$B265:$AY265,'recurring2_based on steps'!$B$1:$AY$1,H$1)+SUMIFS('changes2_based on steps'!$B265:$U265,'changes2_based on steps'!$B$1:$U$1,H$1)</f>
        <v>0</v>
      </c>
      <c r="I265" s="140">
        <f>SUMIFS('recurring2_based on steps'!$B265:$AY265,'recurring2_based on steps'!$B$1:$AY$1,I$1)+SUMIFS('changes2_based on steps'!$B265:$U265,'changes2_based on steps'!$B$1:$U$1,I$1)</f>
        <v>0</v>
      </c>
      <c r="J265" s="140">
        <f ca="1">SUMIFS('recurring2_based on steps'!$B265:$AY265,'recurring2_based on steps'!$B$1:$AY$1,J$1)+SUMIFS('changes2_based on steps'!$B265:$U265,'changes2_based on steps'!$B$1:$U$1,J$1)</f>
        <v>0</v>
      </c>
      <c r="K265" s="140">
        <f>SUMIFS('recurring2_based on steps'!$B265:$AY265,'recurring2_based on steps'!$B$1:$AY$1,K$1)+SUMIFS('changes2_based on steps'!$B265:$U265,'changes2_based on steps'!$B$1:$U$1,K$1)</f>
        <v>0</v>
      </c>
      <c r="L265" s="140">
        <f>SUMIFS('recurring2_based on steps'!$B265:$AY265,'recurring2_based on steps'!$B$1:$AY$1,L$1)+SUMIFS('changes2_based on steps'!$B265:$U265,'changes2_based on steps'!$B$1:$U$1,L$1)</f>
        <v>0</v>
      </c>
      <c r="M265" s="140">
        <f>SUMIFS('recurring2_based on steps'!$B265:$AY265,'recurring2_based on steps'!$B$1:$AY$1,M$1)+SUMIFS('changes2_based on steps'!$B265:$U265,'changes2_based on steps'!$B$1:$U$1,M$1)</f>
        <v>0</v>
      </c>
      <c r="N265" s="140">
        <f ca="1">SUMIFS('recurring2_based on steps'!$B265:$AY265,'recurring2_based on steps'!$B$1:$AY$1,N$1)+SUMIFS('changes2_based on steps'!$B265:$U265,'changes2_based on steps'!$B$1:$U$1,N$1)</f>
        <v>0</v>
      </c>
      <c r="O265" s="140">
        <f>SUMIFS('recurring2_based on steps'!$B265:$AY265,'recurring2_based on steps'!$B$1:$AY$1,O$1)+SUMIFS('changes2_based on steps'!$B265:$U265,'changes2_based on steps'!$B$1:$U$1,O$1)</f>
        <v>0</v>
      </c>
      <c r="P265" s="140">
        <f ca="1">SUMIFS('recurring2_based on steps'!$B265:$AY265,'recurring2_based on steps'!$B$1:$AY$1,P$1)+SUMIFS('changes2_based on steps'!$B265:$U265,'changes2_based on steps'!$B$1:$U$1,P$1)</f>
        <v>0</v>
      </c>
      <c r="Q265" s="140">
        <f ca="1">SUMIFS('recurring2_based on steps'!$B265:$AY265,'recurring2_based on steps'!$B$1:$AY$1,Q$1)+SUMIFS('changes2_based on steps'!$B265:$U265,'changes2_based on steps'!$B$1:$U$1,Q$1)</f>
        <v>100.05540166204986</v>
      </c>
      <c r="R265" s="140">
        <f ca="1">SUMIFS('recurring2_based on steps'!$B265:$AY265,'recurring2_based on steps'!$B$1:$AY$1,R$1)+SUMIFS('changes2_based on steps'!$B265:$U265,'changes2_based on steps'!$B$1:$U$1,R$1)</f>
        <v>0</v>
      </c>
      <c r="S265" s="140">
        <f>SUMIFS('recurring2_based on steps'!$B265:$AY265,'recurring2_based on steps'!$B$1:$AY$1,S$1)+SUMIFS('changes2_based on steps'!$B265:$U265,'changes2_based on steps'!$B$1:$U$1,S$1)</f>
        <v>0</v>
      </c>
      <c r="T265" s="140">
        <f ca="1">SUMIFS('recurring2_based on steps'!$B265:$AY265,'recurring2_based on steps'!$B$1:$AY$1,T$1)+SUMIFS('changes2_based on steps'!$B265:$U265,'changes2_based on steps'!$B$1:$U$1,T$1)</f>
        <v>0</v>
      </c>
      <c r="U265" s="140">
        <f ca="1">SUMIFS('recurring2_based on steps'!$B265:$AY265,'recurring2_based on steps'!$B$1:$AY$1,U$1)+SUMIFS('changes2_based on steps'!$B265:$U265,'changes2_based on steps'!$B$1:$U$1,U$1)</f>
        <v>0</v>
      </c>
      <c r="V265" s="140">
        <f>SUMIFS('recurring2_based on steps'!$B265:$AY265,'recurring2_based on steps'!$B$1:$AY$1,V$1)+SUMIFS('changes2_based on steps'!$B265:$U265,'changes2_based on steps'!$B$1:$U$1,V$1)</f>
        <v>0</v>
      </c>
      <c r="W265" s="140">
        <f>SUMIFS('recurring2_based on steps'!$B265:$AY265,'recurring2_based on steps'!$B$1:$AY$1,W$1)+SUMIFS('changes2_based on steps'!$B265:$U265,'changes2_based on steps'!$B$1:$U$1,W$1)</f>
        <v>0</v>
      </c>
      <c r="X265" s="140">
        <f ca="1">SUMIFS('recurring2_based on steps'!$B265:$AY265,'recurring2_based on steps'!$B$1:$AY$1,X$1)+SUMIFS('changes2_based on steps'!$B265:$U265,'changes2_based on steps'!$B$1:$U$1,X$1)</f>
        <v>0</v>
      </c>
      <c r="Y265" s="140">
        <f ca="1">SUMIFS('recurring2_based on steps'!$B265:$AY265,'recurring2_based on steps'!$B$1:$AY$1,Y$1)+SUMIFS('changes2_based on steps'!$B265:$U265,'changes2_based on steps'!$B$1:$U$1,Y$1)</f>
        <v>50</v>
      </c>
      <c r="Z265" s="140">
        <f>SUMIFS('recurring2_based on steps'!$B265:$AY265,'recurring2_based on steps'!$B$1:$AY$1,Z$1)+SUMIFS('changes2_based on steps'!$B265:$U265,'changes2_based on steps'!$B$1:$U$1,Z$1)</f>
        <v>0</v>
      </c>
      <c r="AA265" s="140">
        <f ca="1">SUMIFS('recurring2_based on steps'!$B265:$AY265,'recurring2_based on steps'!$B$1:$AY$1,AA$1)+SUMIFS('changes2_based on steps'!$B265:$U265,'changes2_based on steps'!$B$1:$U$1,AA$1)</f>
        <v>0</v>
      </c>
      <c r="AB265" s="140">
        <f ca="1">SUMIFS('recurring2_based on steps'!$B265:$AY265,'recurring2_based on steps'!$B$1:$AY$1,AB$1)+SUMIFS('changes2_based on steps'!$B265:$U265,'changes2_based on steps'!$B$1:$U$1,AB$1)</f>
        <v>0</v>
      </c>
      <c r="AC265" s="140">
        <f ca="1">SUMIFS('recurring2_based on steps'!$B265:$AY265,'recurring2_based on steps'!$B$1:$AY$1,AC$1)+SUMIFS('changes2_based on steps'!$B265:$U265,'changes2_based on steps'!$B$1:$U$1,AC$1)</f>
        <v>0</v>
      </c>
      <c r="AD265" s="140">
        <f ca="1">SUMIFS('recurring2_based on steps'!$B265:$AY265,'recurring2_based on steps'!$B$1:$AY$1,AD$1)+SUMIFS('changes2_based on steps'!$B265:$U265,'changes2_based on steps'!$B$1:$U$1,AD$1)</f>
        <v>0</v>
      </c>
      <c r="AE265" s="140">
        <f>SUMIFS('recurring2_based on steps'!$B265:$AY265,'recurring2_based on steps'!$B$1:$AY$1,AE$1)+SUMIFS('changes2_based on steps'!$B265:$U265,'changes2_based on steps'!$B$1:$U$1,AE$1)</f>
        <v>0</v>
      </c>
      <c r="AF265" s="140"/>
      <c r="AG265" s="140"/>
      <c r="AH265" s="140"/>
      <c r="AI265" s="140"/>
      <c r="AJ265" s="140"/>
      <c r="AK265" s="140"/>
      <c r="AL265" s="140"/>
      <c r="AM265" s="140"/>
    </row>
    <row r="266" spans="1:39" x14ac:dyDescent="0.2">
      <c r="A266" s="29">
        <f t="shared" ca="1" si="4"/>
        <v>46006</v>
      </c>
      <c r="B266" s="140">
        <f ca="1">SUMIFS('recurring2_based on steps'!$B266:$AY266,'recurring2_based on steps'!$B$1:$AY$1,B$1)+SUMIFS('changes2_based on steps'!$B266:$U266,'changes2_based on steps'!$B$1:$U$1,B$1)</f>
        <v>0</v>
      </c>
      <c r="C266" s="140">
        <f>SUMIFS('recurring2_based on steps'!$B266:$AY266,'recurring2_based on steps'!$B$1:$AY$1,C$1)+SUMIFS('changes2_based on steps'!$B266:$U266,'changes2_based on steps'!$B$1:$U$1,C$1)</f>
        <v>0</v>
      </c>
      <c r="D266" s="140">
        <f>SUMIFS('recurring2_based on steps'!$B266:$AY266,'recurring2_based on steps'!$B$1:$AY$1,D$1)+SUMIFS('changes2_based on steps'!$B266:$U266,'changes2_based on steps'!$B$1:$U$1,D$1)</f>
        <v>0</v>
      </c>
      <c r="E266" s="140">
        <f>SUMIFS('recurring2_based on steps'!$B266:$AY266,'recurring2_based on steps'!$B$1:$AY$1,E$1)+SUMIFS('changes2_based on steps'!$B266:$U266,'changes2_based on steps'!$B$1:$U$1,E$1)</f>
        <v>0</v>
      </c>
      <c r="F266" s="140">
        <f>SUMIFS('recurring2_based on steps'!$B266:$AY266,'recurring2_based on steps'!$B$1:$AY$1,F$1)+SUMIFS('changes2_based on steps'!$B266:$U266,'changes2_based on steps'!$B$1:$U$1,F$1)</f>
        <v>0</v>
      </c>
      <c r="G266" s="140">
        <f>SUMIFS('recurring2_based on steps'!$B266:$AY266,'recurring2_based on steps'!$B$1:$AY$1,G$1)+SUMIFS('changes2_based on steps'!$B266:$U266,'changes2_based on steps'!$B$1:$U$1,G$1)</f>
        <v>0</v>
      </c>
      <c r="H266" s="140">
        <f>SUMIFS('recurring2_based on steps'!$B266:$AY266,'recurring2_based on steps'!$B$1:$AY$1,H$1)+SUMIFS('changes2_based on steps'!$B266:$U266,'changes2_based on steps'!$B$1:$U$1,H$1)</f>
        <v>0</v>
      </c>
      <c r="I266" s="140">
        <f>SUMIFS('recurring2_based on steps'!$B266:$AY266,'recurring2_based on steps'!$B$1:$AY$1,I$1)+SUMIFS('changes2_based on steps'!$B266:$U266,'changes2_based on steps'!$B$1:$U$1,I$1)</f>
        <v>0</v>
      </c>
      <c r="J266" s="140">
        <f ca="1">SUMIFS('recurring2_based on steps'!$B266:$AY266,'recurring2_based on steps'!$B$1:$AY$1,J$1)+SUMIFS('changes2_based on steps'!$B266:$U266,'changes2_based on steps'!$B$1:$U$1,J$1)</f>
        <v>0</v>
      </c>
      <c r="K266" s="140">
        <f>SUMIFS('recurring2_based on steps'!$B266:$AY266,'recurring2_based on steps'!$B$1:$AY$1,K$1)+SUMIFS('changes2_based on steps'!$B266:$U266,'changes2_based on steps'!$B$1:$U$1,K$1)</f>
        <v>0</v>
      </c>
      <c r="L266" s="140">
        <f>SUMIFS('recurring2_based on steps'!$B266:$AY266,'recurring2_based on steps'!$B$1:$AY$1,L$1)+SUMIFS('changes2_based on steps'!$B266:$U266,'changes2_based on steps'!$B$1:$U$1,L$1)</f>
        <v>0</v>
      </c>
      <c r="M266" s="140">
        <f>SUMIFS('recurring2_based on steps'!$B266:$AY266,'recurring2_based on steps'!$B$1:$AY$1,M$1)+SUMIFS('changes2_based on steps'!$B266:$U266,'changes2_based on steps'!$B$1:$U$1,M$1)</f>
        <v>0</v>
      </c>
      <c r="N266" s="140">
        <f ca="1">SUMIFS('recurring2_based on steps'!$B266:$AY266,'recurring2_based on steps'!$B$1:$AY$1,N$1)+SUMIFS('changes2_based on steps'!$B266:$U266,'changes2_based on steps'!$B$1:$U$1,N$1)</f>
        <v>0</v>
      </c>
      <c r="O266" s="140">
        <f>SUMIFS('recurring2_based on steps'!$B266:$AY266,'recurring2_based on steps'!$B$1:$AY$1,O$1)+SUMIFS('changes2_based on steps'!$B266:$U266,'changes2_based on steps'!$B$1:$U$1,O$1)</f>
        <v>0</v>
      </c>
      <c r="P266" s="140">
        <f ca="1">SUMIFS('recurring2_based on steps'!$B266:$AY266,'recurring2_based on steps'!$B$1:$AY$1,P$1)+SUMIFS('changes2_based on steps'!$B266:$U266,'changes2_based on steps'!$B$1:$U$1,P$1)</f>
        <v>0</v>
      </c>
      <c r="Q266" s="140">
        <f ca="1">SUMIFS('recurring2_based on steps'!$B266:$AY266,'recurring2_based on steps'!$B$1:$AY$1,Q$1)+SUMIFS('changes2_based on steps'!$B266:$U266,'changes2_based on steps'!$B$1:$U$1,Q$1)</f>
        <v>5.5401662049861494E-2</v>
      </c>
      <c r="R266" s="140">
        <f ca="1">SUMIFS('recurring2_based on steps'!$B266:$AY266,'recurring2_based on steps'!$B$1:$AY$1,R$1)+SUMIFS('changes2_based on steps'!$B266:$U266,'changes2_based on steps'!$B$1:$U$1,R$1)</f>
        <v>0</v>
      </c>
      <c r="S266" s="140">
        <f>SUMIFS('recurring2_based on steps'!$B266:$AY266,'recurring2_based on steps'!$B$1:$AY$1,S$1)+SUMIFS('changes2_based on steps'!$B266:$U266,'changes2_based on steps'!$B$1:$U$1,S$1)</f>
        <v>0</v>
      </c>
      <c r="T266" s="140">
        <f ca="1">SUMIFS('recurring2_based on steps'!$B266:$AY266,'recurring2_based on steps'!$B$1:$AY$1,T$1)+SUMIFS('changes2_based on steps'!$B266:$U266,'changes2_based on steps'!$B$1:$U$1,T$1)</f>
        <v>0</v>
      </c>
      <c r="U266" s="140">
        <f ca="1">SUMIFS('recurring2_based on steps'!$B266:$AY266,'recurring2_based on steps'!$B$1:$AY$1,U$1)+SUMIFS('changes2_based on steps'!$B266:$U266,'changes2_based on steps'!$B$1:$U$1,U$1)</f>
        <v>0</v>
      </c>
      <c r="V266" s="140">
        <f>SUMIFS('recurring2_based on steps'!$B266:$AY266,'recurring2_based on steps'!$B$1:$AY$1,V$1)+SUMIFS('changes2_based on steps'!$B266:$U266,'changes2_based on steps'!$B$1:$U$1,V$1)</f>
        <v>0</v>
      </c>
      <c r="W266" s="140">
        <f>SUMIFS('recurring2_based on steps'!$B266:$AY266,'recurring2_based on steps'!$B$1:$AY$1,W$1)+SUMIFS('changes2_based on steps'!$B266:$U266,'changes2_based on steps'!$B$1:$U$1,W$1)</f>
        <v>0</v>
      </c>
      <c r="X266" s="140">
        <f ca="1">SUMIFS('recurring2_based on steps'!$B266:$AY266,'recurring2_based on steps'!$B$1:$AY$1,X$1)+SUMIFS('changes2_based on steps'!$B266:$U266,'changes2_based on steps'!$B$1:$U$1,X$1)</f>
        <v>0</v>
      </c>
      <c r="Y266" s="140">
        <f ca="1">SUMIFS('recurring2_based on steps'!$B266:$AY266,'recurring2_based on steps'!$B$1:$AY$1,Y$1)+SUMIFS('changes2_based on steps'!$B266:$U266,'changes2_based on steps'!$B$1:$U$1,Y$1)</f>
        <v>0</v>
      </c>
      <c r="Z266" s="140">
        <f>SUMIFS('recurring2_based on steps'!$B266:$AY266,'recurring2_based on steps'!$B$1:$AY$1,Z$1)+SUMIFS('changes2_based on steps'!$B266:$U266,'changes2_based on steps'!$B$1:$U$1,Z$1)</f>
        <v>0</v>
      </c>
      <c r="AA266" s="140">
        <f ca="1">SUMIFS('recurring2_based on steps'!$B266:$AY266,'recurring2_based on steps'!$B$1:$AY$1,AA$1)+SUMIFS('changes2_based on steps'!$B266:$U266,'changes2_based on steps'!$B$1:$U$1,AA$1)</f>
        <v>50</v>
      </c>
      <c r="AB266" s="140">
        <f ca="1">SUMIFS('recurring2_based on steps'!$B266:$AY266,'recurring2_based on steps'!$B$1:$AY$1,AB$1)+SUMIFS('changes2_based on steps'!$B266:$U266,'changes2_based on steps'!$B$1:$U$1,AB$1)</f>
        <v>0</v>
      </c>
      <c r="AC266" s="140">
        <f ca="1">SUMIFS('recurring2_based on steps'!$B266:$AY266,'recurring2_based on steps'!$B$1:$AY$1,AC$1)+SUMIFS('changes2_based on steps'!$B266:$U266,'changes2_based on steps'!$B$1:$U$1,AC$1)</f>
        <v>0</v>
      </c>
      <c r="AD266" s="140">
        <f ca="1">SUMIFS('recurring2_based on steps'!$B266:$AY266,'recurring2_based on steps'!$B$1:$AY$1,AD$1)+SUMIFS('changes2_based on steps'!$B266:$U266,'changes2_based on steps'!$B$1:$U$1,AD$1)</f>
        <v>0</v>
      </c>
      <c r="AE266" s="140">
        <f>SUMIFS('recurring2_based on steps'!$B266:$AY266,'recurring2_based on steps'!$B$1:$AY$1,AE$1)+SUMIFS('changes2_based on steps'!$B266:$U266,'changes2_based on steps'!$B$1:$U$1,AE$1)</f>
        <v>0</v>
      </c>
      <c r="AF266" s="140"/>
      <c r="AG266" s="140"/>
      <c r="AH266" s="140"/>
      <c r="AI266" s="140"/>
      <c r="AJ266" s="140"/>
      <c r="AK266" s="140"/>
      <c r="AL266" s="140"/>
      <c r="AM266" s="140"/>
    </row>
    <row r="267" spans="1:39" x14ac:dyDescent="0.2">
      <c r="A267" s="29">
        <f t="shared" ca="1" si="4"/>
        <v>46007</v>
      </c>
      <c r="B267" s="140">
        <f ca="1">SUMIFS('recurring2_based on steps'!$B267:$AY267,'recurring2_based on steps'!$B$1:$AY$1,B$1)+SUMIFS('changes2_based on steps'!$B267:$U267,'changes2_based on steps'!$B$1:$U$1,B$1)</f>
        <v>0</v>
      </c>
      <c r="C267" s="140">
        <f>SUMIFS('recurring2_based on steps'!$B267:$AY267,'recurring2_based on steps'!$B$1:$AY$1,C$1)+SUMIFS('changes2_based on steps'!$B267:$U267,'changes2_based on steps'!$B$1:$U$1,C$1)</f>
        <v>0</v>
      </c>
      <c r="D267" s="140">
        <f>SUMIFS('recurring2_based on steps'!$B267:$AY267,'recurring2_based on steps'!$B$1:$AY$1,D$1)+SUMIFS('changes2_based on steps'!$B267:$U267,'changes2_based on steps'!$B$1:$U$1,D$1)</f>
        <v>0</v>
      </c>
      <c r="E267" s="140">
        <f>SUMIFS('recurring2_based on steps'!$B267:$AY267,'recurring2_based on steps'!$B$1:$AY$1,E$1)+SUMIFS('changes2_based on steps'!$B267:$U267,'changes2_based on steps'!$B$1:$U$1,E$1)</f>
        <v>0</v>
      </c>
      <c r="F267" s="140">
        <f>SUMIFS('recurring2_based on steps'!$B267:$AY267,'recurring2_based on steps'!$B$1:$AY$1,F$1)+SUMIFS('changes2_based on steps'!$B267:$U267,'changes2_based on steps'!$B$1:$U$1,F$1)</f>
        <v>0</v>
      </c>
      <c r="G267" s="140">
        <f>SUMIFS('recurring2_based on steps'!$B267:$AY267,'recurring2_based on steps'!$B$1:$AY$1,G$1)+SUMIFS('changes2_based on steps'!$B267:$U267,'changes2_based on steps'!$B$1:$U$1,G$1)</f>
        <v>0</v>
      </c>
      <c r="H267" s="140">
        <f>SUMIFS('recurring2_based on steps'!$B267:$AY267,'recurring2_based on steps'!$B$1:$AY$1,H$1)+SUMIFS('changes2_based on steps'!$B267:$U267,'changes2_based on steps'!$B$1:$U$1,H$1)</f>
        <v>0</v>
      </c>
      <c r="I267" s="140">
        <f>SUMIFS('recurring2_based on steps'!$B267:$AY267,'recurring2_based on steps'!$B$1:$AY$1,I$1)+SUMIFS('changes2_based on steps'!$B267:$U267,'changes2_based on steps'!$B$1:$U$1,I$1)</f>
        <v>0</v>
      </c>
      <c r="J267" s="140">
        <f ca="1">SUMIFS('recurring2_based on steps'!$B267:$AY267,'recurring2_based on steps'!$B$1:$AY$1,J$1)+SUMIFS('changes2_based on steps'!$B267:$U267,'changes2_based on steps'!$B$1:$U$1,J$1)</f>
        <v>0</v>
      </c>
      <c r="K267" s="140">
        <f>SUMIFS('recurring2_based on steps'!$B267:$AY267,'recurring2_based on steps'!$B$1:$AY$1,K$1)+SUMIFS('changes2_based on steps'!$B267:$U267,'changes2_based on steps'!$B$1:$U$1,K$1)</f>
        <v>0</v>
      </c>
      <c r="L267" s="140">
        <f>SUMIFS('recurring2_based on steps'!$B267:$AY267,'recurring2_based on steps'!$B$1:$AY$1,L$1)+SUMIFS('changes2_based on steps'!$B267:$U267,'changes2_based on steps'!$B$1:$U$1,L$1)</f>
        <v>0</v>
      </c>
      <c r="M267" s="140">
        <f>SUMIFS('recurring2_based on steps'!$B267:$AY267,'recurring2_based on steps'!$B$1:$AY$1,M$1)+SUMIFS('changes2_based on steps'!$B267:$U267,'changes2_based on steps'!$B$1:$U$1,M$1)</f>
        <v>0</v>
      </c>
      <c r="N267" s="140">
        <f ca="1">SUMIFS('recurring2_based on steps'!$B267:$AY267,'recurring2_based on steps'!$B$1:$AY$1,N$1)+SUMIFS('changes2_based on steps'!$B267:$U267,'changes2_based on steps'!$B$1:$U$1,N$1)</f>
        <v>0</v>
      </c>
      <c r="O267" s="140">
        <f>SUMIFS('recurring2_based on steps'!$B267:$AY267,'recurring2_based on steps'!$B$1:$AY$1,O$1)+SUMIFS('changes2_based on steps'!$B267:$U267,'changes2_based on steps'!$B$1:$U$1,O$1)</f>
        <v>0</v>
      </c>
      <c r="P267" s="140">
        <f ca="1">SUMIFS('recurring2_based on steps'!$B267:$AY267,'recurring2_based on steps'!$B$1:$AY$1,P$1)+SUMIFS('changes2_based on steps'!$B267:$U267,'changes2_based on steps'!$B$1:$U$1,P$1)</f>
        <v>0</v>
      </c>
      <c r="Q267" s="140">
        <f ca="1">SUMIFS('recurring2_based on steps'!$B267:$AY267,'recurring2_based on steps'!$B$1:$AY$1,Q$1)+SUMIFS('changes2_based on steps'!$B267:$U267,'changes2_based on steps'!$B$1:$U$1,Q$1)</f>
        <v>5.5401662049861494E-2</v>
      </c>
      <c r="R267" s="140">
        <f ca="1">SUMIFS('recurring2_based on steps'!$B267:$AY267,'recurring2_based on steps'!$B$1:$AY$1,R$1)+SUMIFS('changes2_based on steps'!$B267:$U267,'changes2_based on steps'!$B$1:$U$1,R$1)</f>
        <v>0</v>
      </c>
      <c r="S267" s="140">
        <f>SUMIFS('recurring2_based on steps'!$B267:$AY267,'recurring2_based on steps'!$B$1:$AY$1,S$1)+SUMIFS('changes2_based on steps'!$B267:$U267,'changes2_based on steps'!$B$1:$U$1,S$1)</f>
        <v>0</v>
      </c>
      <c r="T267" s="140">
        <f ca="1">SUMIFS('recurring2_based on steps'!$B267:$AY267,'recurring2_based on steps'!$B$1:$AY$1,T$1)+SUMIFS('changes2_based on steps'!$B267:$U267,'changes2_based on steps'!$B$1:$U$1,T$1)</f>
        <v>0</v>
      </c>
      <c r="U267" s="140">
        <f ca="1">SUMIFS('recurring2_based on steps'!$B267:$AY267,'recurring2_based on steps'!$B$1:$AY$1,U$1)+SUMIFS('changes2_based on steps'!$B267:$U267,'changes2_based on steps'!$B$1:$U$1,U$1)</f>
        <v>0</v>
      </c>
      <c r="V267" s="140">
        <f>SUMIFS('recurring2_based on steps'!$B267:$AY267,'recurring2_based on steps'!$B$1:$AY$1,V$1)+SUMIFS('changes2_based on steps'!$B267:$U267,'changes2_based on steps'!$B$1:$U$1,V$1)</f>
        <v>0</v>
      </c>
      <c r="W267" s="140">
        <f>SUMIFS('recurring2_based on steps'!$B267:$AY267,'recurring2_based on steps'!$B$1:$AY$1,W$1)+SUMIFS('changes2_based on steps'!$B267:$U267,'changes2_based on steps'!$B$1:$U$1,W$1)</f>
        <v>0</v>
      </c>
      <c r="X267" s="140">
        <f ca="1">SUMIFS('recurring2_based on steps'!$B267:$AY267,'recurring2_based on steps'!$B$1:$AY$1,X$1)+SUMIFS('changes2_based on steps'!$B267:$U267,'changes2_based on steps'!$B$1:$U$1,X$1)</f>
        <v>0</v>
      </c>
      <c r="Y267" s="140">
        <f ca="1">SUMIFS('recurring2_based on steps'!$B267:$AY267,'recurring2_based on steps'!$B$1:$AY$1,Y$1)+SUMIFS('changes2_based on steps'!$B267:$U267,'changes2_based on steps'!$B$1:$U$1,Y$1)</f>
        <v>0</v>
      </c>
      <c r="Z267" s="140">
        <f>SUMIFS('recurring2_based on steps'!$B267:$AY267,'recurring2_based on steps'!$B$1:$AY$1,Z$1)+SUMIFS('changes2_based on steps'!$B267:$U267,'changes2_based on steps'!$B$1:$U$1,Z$1)</f>
        <v>0</v>
      </c>
      <c r="AA267" s="140">
        <f ca="1">SUMIFS('recurring2_based on steps'!$B267:$AY267,'recurring2_based on steps'!$B$1:$AY$1,AA$1)+SUMIFS('changes2_based on steps'!$B267:$U267,'changes2_based on steps'!$B$1:$U$1,AA$1)</f>
        <v>0</v>
      </c>
      <c r="AB267" s="140">
        <f ca="1">SUMIFS('recurring2_based on steps'!$B267:$AY267,'recurring2_based on steps'!$B$1:$AY$1,AB$1)+SUMIFS('changes2_based on steps'!$B267:$U267,'changes2_based on steps'!$B$1:$U$1,AB$1)</f>
        <v>0</v>
      </c>
      <c r="AC267" s="140">
        <f ca="1">SUMIFS('recurring2_based on steps'!$B267:$AY267,'recurring2_based on steps'!$B$1:$AY$1,AC$1)+SUMIFS('changes2_based on steps'!$B267:$U267,'changes2_based on steps'!$B$1:$U$1,AC$1)</f>
        <v>0</v>
      </c>
      <c r="AD267" s="140">
        <f ca="1">SUMIFS('recurring2_based on steps'!$B267:$AY267,'recurring2_based on steps'!$B$1:$AY$1,AD$1)+SUMIFS('changes2_based on steps'!$B267:$U267,'changes2_based on steps'!$B$1:$U$1,AD$1)</f>
        <v>0</v>
      </c>
      <c r="AE267" s="140">
        <f>SUMIFS('recurring2_based on steps'!$B267:$AY267,'recurring2_based on steps'!$B$1:$AY$1,AE$1)+SUMIFS('changes2_based on steps'!$B267:$U267,'changes2_based on steps'!$B$1:$U$1,AE$1)</f>
        <v>0</v>
      </c>
      <c r="AF267" s="140"/>
      <c r="AG267" s="140"/>
      <c r="AH267" s="140"/>
      <c r="AI267" s="140"/>
      <c r="AJ267" s="140"/>
      <c r="AK267" s="140"/>
      <c r="AL267" s="140"/>
      <c r="AM267" s="140"/>
    </row>
    <row r="268" spans="1:39" x14ac:dyDescent="0.2">
      <c r="A268" s="29">
        <f t="shared" ca="1" si="4"/>
        <v>46008</v>
      </c>
      <c r="B268" s="140">
        <f ca="1">SUMIFS('recurring2_based on steps'!$B268:$AY268,'recurring2_based on steps'!$B$1:$AY$1,B$1)+SUMIFS('changes2_based on steps'!$B268:$U268,'changes2_based on steps'!$B$1:$U$1,B$1)</f>
        <v>0</v>
      </c>
      <c r="C268" s="140">
        <f>SUMIFS('recurring2_based on steps'!$B268:$AY268,'recurring2_based on steps'!$B$1:$AY$1,C$1)+SUMIFS('changes2_based on steps'!$B268:$U268,'changes2_based on steps'!$B$1:$U$1,C$1)</f>
        <v>0</v>
      </c>
      <c r="D268" s="140">
        <f>SUMIFS('recurring2_based on steps'!$B268:$AY268,'recurring2_based on steps'!$B$1:$AY$1,D$1)+SUMIFS('changes2_based on steps'!$B268:$U268,'changes2_based on steps'!$B$1:$U$1,D$1)</f>
        <v>0</v>
      </c>
      <c r="E268" s="140">
        <f>SUMIFS('recurring2_based on steps'!$B268:$AY268,'recurring2_based on steps'!$B$1:$AY$1,E$1)+SUMIFS('changes2_based on steps'!$B268:$U268,'changes2_based on steps'!$B$1:$U$1,E$1)</f>
        <v>0</v>
      </c>
      <c r="F268" s="140">
        <f>SUMIFS('recurring2_based on steps'!$B268:$AY268,'recurring2_based on steps'!$B$1:$AY$1,F$1)+SUMIFS('changes2_based on steps'!$B268:$U268,'changes2_based on steps'!$B$1:$U$1,F$1)</f>
        <v>0</v>
      </c>
      <c r="G268" s="140">
        <f>SUMIFS('recurring2_based on steps'!$B268:$AY268,'recurring2_based on steps'!$B$1:$AY$1,G$1)+SUMIFS('changes2_based on steps'!$B268:$U268,'changes2_based on steps'!$B$1:$U$1,G$1)</f>
        <v>0</v>
      </c>
      <c r="H268" s="140">
        <f>SUMIFS('recurring2_based on steps'!$B268:$AY268,'recurring2_based on steps'!$B$1:$AY$1,H$1)+SUMIFS('changes2_based on steps'!$B268:$U268,'changes2_based on steps'!$B$1:$U$1,H$1)</f>
        <v>0</v>
      </c>
      <c r="I268" s="140">
        <f>SUMIFS('recurring2_based on steps'!$B268:$AY268,'recurring2_based on steps'!$B$1:$AY$1,I$1)+SUMIFS('changes2_based on steps'!$B268:$U268,'changes2_based on steps'!$B$1:$U$1,I$1)</f>
        <v>0</v>
      </c>
      <c r="J268" s="140">
        <f ca="1">SUMIFS('recurring2_based on steps'!$B268:$AY268,'recurring2_based on steps'!$B$1:$AY$1,J$1)+SUMIFS('changes2_based on steps'!$B268:$U268,'changes2_based on steps'!$B$1:$U$1,J$1)</f>
        <v>200</v>
      </c>
      <c r="K268" s="140">
        <f>SUMIFS('recurring2_based on steps'!$B268:$AY268,'recurring2_based on steps'!$B$1:$AY$1,K$1)+SUMIFS('changes2_based on steps'!$B268:$U268,'changes2_based on steps'!$B$1:$U$1,K$1)</f>
        <v>0</v>
      </c>
      <c r="L268" s="140">
        <f>SUMIFS('recurring2_based on steps'!$B268:$AY268,'recurring2_based on steps'!$B$1:$AY$1,L$1)+SUMIFS('changes2_based on steps'!$B268:$U268,'changes2_based on steps'!$B$1:$U$1,L$1)</f>
        <v>0</v>
      </c>
      <c r="M268" s="140">
        <f>SUMIFS('recurring2_based on steps'!$B268:$AY268,'recurring2_based on steps'!$B$1:$AY$1,M$1)+SUMIFS('changes2_based on steps'!$B268:$U268,'changes2_based on steps'!$B$1:$U$1,M$1)</f>
        <v>0</v>
      </c>
      <c r="N268" s="140">
        <f ca="1">SUMIFS('recurring2_based on steps'!$B268:$AY268,'recurring2_based on steps'!$B$1:$AY$1,N$1)+SUMIFS('changes2_based on steps'!$B268:$U268,'changes2_based on steps'!$B$1:$U$1,N$1)</f>
        <v>0</v>
      </c>
      <c r="O268" s="140">
        <f>SUMIFS('recurring2_based on steps'!$B268:$AY268,'recurring2_based on steps'!$B$1:$AY$1,O$1)+SUMIFS('changes2_based on steps'!$B268:$U268,'changes2_based on steps'!$B$1:$U$1,O$1)</f>
        <v>0</v>
      </c>
      <c r="P268" s="140">
        <f ca="1">SUMIFS('recurring2_based on steps'!$B268:$AY268,'recurring2_based on steps'!$B$1:$AY$1,P$1)+SUMIFS('changes2_based on steps'!$B268:$U268,'changes2_based on steps'!$B$1:$U$1,P$1)</f>
        <v>0</v>
      </c>
      <c r="Q268" s="140">
        <f ca="1">SUMIFS('recurring2_based on steps'!$B268:$AY268,'recurring2_based on steps'!$B$1:$AY$1,Q$1)+SUMIFS('changes2_based on steps'!$B268:$U268,'changes2_based on steps'!$B$1:$U$1,Q$1)</f>
        <v>5.5401662049861494E-2</v>
      </c>
      <c r="R268" s="140">
        <f ca="1">SUMIFS('recurring2_based on steps'!$B268:$AY268,'recurring2_based on steps'!$B$1:$AY$1,R$1)+SUMIFS('changes2_based on steps'!$B268:$U268,'changes2_based on steps'!$B$1:$U$1,R$1)</f>
        <v>15.49</v>
      </c>
      <c r="S268" s="140">
        <f>SUMIFS('recurring2_based on steps'!$B268:$AY268,'recurring2_based on steps'!$B$1:$AY$1,S$1)+SUMIFS('changes2_based on steps'!$B268:$U268,'changes2_based on steps'!$B$1:$U$1,S$1)</f>
        <v>0</v>
      </c>
      <c r="T268" s="140">
        <f ca="1">SUMIFS('recurring2_based on steps'!$B268:$AY268,'recurring2_based on steps'!$B$1:$AY$1,T$1)+SUMIFS('changes2_based on steps'!$B268:$U268,'changes2_based on steps'!$B$1:$U$1,T$1)</f>
        <v>0</v>
      </c>
      <c r="U268" s="140">
        <f ca="1">SUMIFS('recurring2_based on steps'!$B268:$AY268,'recurring2_based on steps'!$B$1:$AY$1,U$1)+SUMIFS('changes2_based on steps'!$B268:$U268,'changes2_based on steps'!$B$1:$U$1,U$1)</f>
        <v>0</v>
      </c>
      <c r="V268" s="140">
        <f>SUMIFS('recurring2_based on steps'!$B268:$AY268,'recurring2_based on steps'!$B$1:$AY$1,V$1)+SUMIFS('changes2_based on steps'!$B268:$U268,'changes2_based on steps'!$B$1:$U$1,V$1)</f>
        <v>0</v>
      </c>
      <c r="W268" s="140">
        <f>SUMIFS('recurring2_based on steps'!$B268:$AY268,'recurring2_based on steps'!$B$1:$AY$1,W$1)+SUMIFS('changes2_based on steps'!$B268:$U268,'changes2_based on steps'!$B$1:$U$1,W$1)</f>
        <v>0</v>
      </c>
      <c r="X268" s="140">
        <f ca="1">SUMIFS('recurring2_based on steps'!$B268:$AY268,'recurring2_based on steps'!$B$1:$AY$1,X$1)+SUMIFS('changes2_based on steps'!$B268:$U268,'changes2_based on steps'!$B$1:$U$1,X$1)</f>
        <v>0</v>
      </c>
      <c r="Y268" s="140">
        <f ca="1">SUMIFS('recurring2_based on steps'!$B268:$AY268,'recurring2_based on steps'!$B$1:$AY$1,Y$1)+SUMIFS('changes2_based on steps'!$B268:$U268,'changes2_based on steps'!$B$1:$U$1,Y$1)</f>
        <v>0</v>
      </c>
      <c r="Z268" s="140">
        <f>SUMIFS('recurring2_based on steps'!$B268:$AY268,'recurring2_based on steps'!$B$1:$AY$1,Z$1)+SUMIFS('changes2_based on steps'!$B268:$U268,'changes2_based on steps'!$B$1:$U$1,Z$1)</f>
        <v>0</v>
      </c>
      <c r="AA268" s="140">
        <f ca="1">SUMIFS('recurring2_based on steps'!$B268:$AY268,'recurring2_based on steps'!$B$1:$AY$1,AA$1)+SUMIFS('changes2_based on steps'!$B268:$U268,'changes2_based on steps'!$B$1:$U$1,AA$1)</f>
        <v>0</v>
      </c>
      <c r="AB268" s="140">
        <f ca="1">SUMIFS('recurring2_based on steps'!$B268:$AY268,'recurring2_based on steps'!$B$1:$AY$1,AB$1)+SUMIFS('changes2_based on steps'!$B268:$U268,'changes2_based on steps'!$B$1:$U$1,AB$1)</f>
        <v>0</v>
      </c>
      <c r="AC268" s="140">
        <f ca="1">SUMIFS('recurring2_based on steps'!$B268:$AY268,'recurring2_based on steps'!$B$1:$AY$1,AC$1)+SUMIFS('changes2_based on steps'!$B268:$U268,'changes2_based on steps'!$B$1:$U$1,AC$1)</f>
        <v>0</v>
      </c>
      <c r="AD268" s="140">
        <f ca="1">SUMIFS('recurring2_based on steps'!$B268:$AY268,'recurring2_based on steps'!$B$1:$AY$1,AD$1)+SUMIFS('changes2_based on steps'!$B268:$U268,'changes2_based on steps'!$B$1:$U$1,AD$1)</f>
        <v>0</v>
      </c>
      <c r="AE268" s="140">
        <f>SUMIFS('recurring2_based on steps'!$B268:$AY268,'recurring2_based on steps'!$B$1:$AY$1,AE$1)+SUMIFS('changes2_based on steps'!$B268:$U268,'changes2_based on steps'!$B$1:$U$1,AE$1)</f>
        <v>0</v>
      </c>
      <c r="AF268" s="140"/>
      <c r="AG268" s="140"/>
      <c r="AH268" s="140"/>
      <c r="AI268" s="140"/>
      <c r="AJ268" s="140"/>
      <c r="AK268" s="140"/>
      <c r="AL268" s="140"/>
      <c r="AM268" s="140"/>
    </row>
    <row r="269" spans="1:39" x14ac:dyDescent="0.2">
      <c r="A269" s="29">
        <f t="shared" ca="1" si="4"/>
        <v>46009</v>
      </c>
      <c r="B269" s="140">
        <f ca="1">SUMIFS('recurring2_based on steps'!$B269:$AY269,'recurring2_based on steps'!$B$1:$AY$1,B$1)+SUMIFS('changes2_based on steps'!$B269:$U269,'changes2_based on steps'!$B$1:$U$1,B$1)</f>
        <v>0</v>
      </c>
      <c r="C269" s="140">
        <f>SUMIFS('recurring2_based on steps'!$B269:$AY269,'recurring2_based on steps'!$B$1:$AY$1,C$1)+SUMIFS('changes2_based on steps'!$B269:$U269,'changes2_based on steps'!$B$1:$U$1,C$1)</f>
        <v>0</v>
      </c>
      <c r="D269" s="140">
        <f>SUMIFS('recurring2_based on steps'!$B269:$AY269,'recurring2_based on steps'!$B$1:$AY$1,D$1)+SUMIFS('changes2_based on steps'!$B269:$U269,'changes2_based on steps'!$B$1:$U$1,D$1)</f>
        <v>0</v>
      </c>
      <c r="E269" s="140">
        <f>SUMIFS('recurring2_based on steps'!$B269:$AY269,'recurring2_based on steps'!$B$1:$AY$1,E$1)+SUMIFS('changes2_based on steps'!$B269:$U269,'changes2_based on steps'!$B$1:$U$1,E$1)</f>
        <v>0</v>
      </c>
      <c r="F269" s="140">
        <f>SUMIFS('recurring2_based on steps'!$B269:$AY269,'recurring2_based on steps'!$B$1:$AY$1,F$1)+SUMIFS('changes2_based on steps'!$B269:$U269,'changes2_based on steps'!$B$1:$U$1,F$1)</f>
        <v>0</v>
      </c>
      <c r="G269" s="140">
        <f>SUMIFS('recurring2_based on steps'!$B269:$AY269,'recurring2_based on steps'!$B$1:$AY$1,G$1)+SUMIFS('changes2_based on steps'!$B269:$U269,'changes2_based on steps'!$B$1:$U$1,G$1)</f>
        <v>0</v>
      </c>
      <c r="H269" s="140">
        <f>SUMIFS('recurring2_based on steps'!$B269:$AY269,'recurring2_based on steps'!$B$1:$AY$1,H$1)+SUMIFS('changes2_based on steps'!$B269:$U269,'changes2_based on steps'!$B$1:$U$1,H$1)</f>
        <v>0</v>
      </c>
      <c r="I269" s="140">
        <f>SUMIFS('recurring2_based on steps'!$B269:$AY269,'recurring2_based on steps'!$B$1:$AY$1,I$1)+SUMIFS('changes2_based on steps'!$B269:$U269,'changes2_based on steps'!$B$1:$U$1,I$1)</f>
        <v>0</v>
      </c>
      <c r="J269" s="140">
        <f ca="1">SUMIFS('recurring2_based on steps'!$B269:$AY269,'recurring2_based on steps'!$B$1:$AY$1,J$1)+SUMIFS('changes2_based on steps'!$B269:$U269,'changes2_based on steps'!$B$1:$U$1,J$1)</f>
        <v>0</v>
      </c>
      <c r="K269" s="140">
        <f>SUMIFS('recurring2_based on steps'!$B269:$AY269,'recurring2_based on steps'!$B$1:$AY$1,K$1)+SUMIFS('changes2_based on steps'!$B269:$U269,'changes2_based on steps'!$B$1:$U$1,K$1)</f>
        <v>0</v>
      </c>
      <c r="L269" s="140">
        <f>SUMIFS('recurring2_based on steps'!$B269:$AY269,'recurring2_based on steps'!$B$1:$AY$1,L$1)+SUMIFS('changes2_based on steps'!$B269:$U269,'changes2_based on steps'!$B$1:$U$1,L$1)</f>
        <v>0</v>
      </c>
      <c r="M269" s="140">
        <f>SUMIFS('recurring2_based on steps'!$B269:$AY269,'recurring2_based on steps'!$B$1:$AY$1,M$1)+SUMIFS('changes2_based on steps'!$B269:$U269,'changes2_based on steps'!$B$1:$U$1,M$1)</f>
        <v>0</v>
      </c>
      <c r="N269" s="140">
        <f ca="1">SUMIFS('recurring2_based on steps'!$B269:$AY269,'recurring2_based on steps'!$B$1:$AY$1,N$1)+SUMIFS('changes2_based on steps'!$B269:$U269,'changes2_based on steps'!$B$1:$U$1,N$1)</f>
        <v>0</v>
      </c>
      <c r="O269" s="140">
        <f>SUMIFS('recurring2_based on steps'!$B269:$AY269,'recurring2_based on steps'!$B$1:$AY$1,O$1)+SUMIFS('changes2_based on steps'!$B269:$U269,'changes2_based on steps'!$B$1:$U$1,O$1)</f>
        <v>0</v>
      </c>
      <c r="P269" s="140">
        <f ca="1">SUMIFS('recurring2_based on steps'!$B269:$AY269,'recurring2_based on steps'!$B$1:$AY$1,P$1)+SUMIFS('changes2_based on steps'!$B269:$U269,'changes2_based on steps'!$B$1:$U$1,P$1)</f>
        <v>0</v>
      </c>
      <c r="Q269" s="140">
        <f ca="1">SUMIFS('recurring2_based on steps'!$B269:$AY269,'recurring2_based on steps'!$B$1:$AY$1,Q$1)+SUMIFS('changes2_based on steps'!$B269:$U269,'changes2_based on steps'!$B$1:$U$1,Q$1)</f>
        <v>5.5401662049861494E-2</v>
      </c>
      <c r="R269" s="140">
        <f ca="1">SUMIFS('recurring2_based on steps'!$B269:$AY269,'recurring2_based on steps'!$B$1:$AY$1,R$1)+SUMIFS('changes2_based on steps'!$B269:$U269,'changes2_based on steps'!$B$1:$U$1,R$1)</f>
        <v>10.99</v>
      </c>
      <c r="S269" s="140">
        <f>SUMIFS('recurring2_based on steps'!$B269:$AY269,'recurring2_based on steps'!$B$1:$AY$1,S$1)+SUMIFS('changes2_based on steps'!$B269:$U269,'changes2_based on steps'!$B$1:$U$1,S$1)</f>
        <v>0</v>
      </c>
      <c r="T269" s="140">
        <f ca="1">SUMIFS('recurring2_based on steps'!$B269:$AY269,'recurring2_based on steps'!$B$1:$AY$1,T$1)+SUMIFS('changes2_based on steps'!$B269:$U269,'changes2_based on steps'!$B$1:$U$1,T$1)</f>
        <v>0</v>
      </c>
      <c r="U269" s="140">
        <f ca="1">SUMIFS('recurring2_based on steps'!$B269:$AY269,'recurring2_based on steps'!$B$1:$AY$1,U$1)+SUMIFS('changes2_based on steps'!$B269:$U269,'changes2_based on steps'!$B$1:$U$1,U$1)</f>
        <v>0</v>
      </c>
      <c r="V269" s="140">
        <f>SUMIFS('recurring2_based on steps'!$B269:$AY269,'recurring2_based on steps'!$B$1:$AY$1,V$1)+SUMIFS('changes2_based on steps'!$B269:$U269,'changes2_based on steps'!$B$1:$U$1,V$1)</f>
        <v>0</v>
      </c>
      <c r="W269" s="140">
        <f>SUMIFS('recurring2_based on steps'!$B269:$AY269,'recurring2_based on steps'!$B$1:$AY$1,W$1)+SUMIFS('changes2_based on steps'!$B269:$U269,'changes2_based on steps'!$B$1:$U$1,W$1)</f>
        <v>0</v>
      </c>
      <c r="X269" s="140">
        <f ca="1">SUMIFS('recurring2_based on steps'!$B269:$AY269,'recurring2_based on steps'!$B$1:$AY$1,X$1)+SUMIFS('changes2_based on steps'!$B269:$U269,'changes2_based on steps'!$B$1:$U$1,X$1)</f>
        <v>0</v>
      </c>
      <c r="Y269" s="140">
        <f ca="1">SUMIFS('recurring2_based on steps'!$B269:$AY269,'recurring2_based on steps'!$B$1:$AY$1,Y$1)+SUMIFS('changes2_based on steps'!$B269:$U269,'changes2_based on steps'!$B$1:$U$1,Y$1)</f>
        <v>0</v>
      </c>
      <c r="Z269" s="140">
        <f>SUMIFS('recurring2_based on steps'!$B269:$AY269,'recurring2_based on steps'!$B$1:$AY$1,Z$1)+SUMIFS('changes2_based on steps'!$B269:$U269,'changes2_based on steps'!$B$1:$U$1,Z$1)</f>
        <v>0</v>
      </c>
      <c r="AA269" s="140">
        <f ca="1">SUMIFS('recurring2_based on steps'!$B269:$AY269,'recurring2_based on steps'!$B$1:$AY$1,AA$1)+SUMIFS('changes2_based on steps'!$B269:$U269,'changes2_based on steps'!$B$1:$U$1,AA$1)</f>
        <v>0</v>
      </c>
      <c r="AB269" s="140">
        <f ca="1">SUMIFS('recurring2_based on steps'!$B269:$AY269,'recurring2_based on steps'!$B$1:$AY$1,AB$1)+SUMIFS('changes2_based on steps'!$B269:$U269,'changes2_based on steps'!$B$1:$U$1,AB$1)</f>
        <v>0</v>
      </c>
      <c r="AC269" s="140">
        <f ca="1">SUMIFS('recurring2_based on steps'!$B269:$AY269,'recurring2_based on steps'!$B$1:$AY$1,AC$1)+SUMIFS('changes2_based on steps'!$B269:$U269,'changes2_based on steps'!$B$1:$U$1,AC$1)</f>
        <v>0</v>
      </c>
      <c r="AD269" s="140">
        <f ca="1">SUMIFS('recurring2_based on steps'!$B269:$AY269,'recurring2_based on steps'!$B$1:$AY$1,AD$1)+SUMIFS('changes2_based on steps'!$B269:$U269,'changes2_based on steps'!$B$1:$U$1,AD$1)</f>
        <v>0</v>
      </c>
      <c r="AE269" s="140">
        <f>SUMIFS('recurring2_based on steps'!$B269:$AY269,'recurring2_based on steps'!$B$1:$AY$1,AE$1)+SUMIFS('changes2_based on steps'!$B269:$U269,'changes2_based on steps'!$B$1:$U$1,AE$1)</f>
        <v>0</v>
      </c>
      <c r="AF269" s="140"/>
      <c r="AG269" s="140"/>
      <c r="AH269" s="140"/>
      <c r="AI269" s="140"/>
      <c r="AJ269" s="140"/>
      <c r="AK269" s="140"/>
      <c r="AL269" s="140"/>
      <c r="AM269" s="140"/>
    </row>
    <row r="270" spans="1:39" x14ac:dyDescent="0.2">
      <c r="A270" s="29">
        <f t="shared" ca="1" si="4"/>
        <v>46010</v>
      </c>
      <c r="B270" s="140">
        <f ca="1">SUMIFS('recurring2_based on steps'!$B270:$AY270,'recurring2_based on steps'!$B$1:$AY$1,B$1)+SUMIFS('changes2_based on steps'!$B270:$U270,'changes2_based on steps'!$B$1:$U$1,B$1)</f>
        <v>0</v>
      </c>
      <c r="C270" s="140">
        <f>SUMIFS('recurring2_based on steps'!$B270:$AY270,'recurring2_based on steps'!$B$1:$AY$1,C$1)+SUMIFS('changes2_based on steps'!$B270:$U270,'changes2_based on steps'!$B$1:$U$1,C$1)</f>
        <v>0</v>
      </c>
      <c r="D270" s="140">
        <f>SUMIFS('recurring2_based on steps'!$B270:$AY270,'recurring2_based on steps'!$B$1:$AY$1,D$1)+SUMIFS('changes2_based on steps'!$B270:$U270,'changes2_based on steps'!$B$1:$U$1,D$1)</f>
        <v>0</v>
      </c>
      <c r="E270" s="140">
        <f>SUMIFS('recurring2_based on steps'!$B270:$AY270,'recurring2_based on steps'!$B$1:$AY$1,E$1)+SUMIFS('changes2_based on steps'!$B270:$U270,'changes2_based on steps'!$B$1:$U$1,E$1)</f>
        <v>0</v>
      </c>
      <c r="F270" s="140">
        <f>SUMIFS('recurring2_based on steps'!$B270:$AY270,'recurring2_based on steps'!$B$1:$AY$1,F$1)+SUMIFS('changes2_based on steps'!$B270:$U270,'changes2_based on steps'!$B$1:$U$1,F$1)</f>
        <v>0</v>
      </c>
      <c r="G270" s="140">
        <f>SUMIFS('recurring2_based on steps'!$B270:$AY270,'recurring2_based on steps'!$B$1:$AY$1,G$1)+SUMIFS('changes2_based on steps'!$B270:$U270,'changes2_based on steps'!$B$1:$U$1,G$1)</f>
        <v>0</v>
      </c>
      <c r="H270" s="140">
        <f>SUMIFS('recurring2_based on steps'!$B270:$AY270,'recurring2_based on steps'!$B$1:$AY$1,H$1)+SUMIFS('changes2_based on steps'!$B270:$U270,'changes2_based on steps'!$B$1:$U$1,H$1)</f>
        <v>0</v>
      </c>
      <c r="I270" s="140">
        <f>SUMIFS('recurring2_based on steps'!$B270:$AY270,'recurring2_based on steps'!$B$1:$AY$1,I$1)+SUMIFS('changes2_based on steps'!$B270:$U270,'changes2_based on steps'!$B$1:$U$1,I$1)</f>
        <v>0</v>
      </c>
      <c r="J270" s="140">
        <f ca="1">SUMIFS('recurring2_based on steps'!$B270:$AY270,'recurring2_based on steps'!$B$1:$AY$1,J$1)+SUMIFS('changes2_based on steps'!$B270:$U270,'changes2_based on steps'!$B$1:$U$1,J$1)</f>
        <v>0</v>
      </c>
      <c r="K270" s="140">
        <f>SUMIFS('recurring2_based on steps'!$B270:$AY270,'recurring2_based on steps'!$B$1:$AY$1,K$1)+SUMIFS('changes2_based on steps'!$B270:$U270,'changes2_based on steps'!$B$1:$U$1,K$1)</f>
        <v>0</v>
      </c>
      <c r="L270" s="140">
        <f>SUMIFS('recurring2_based on steps'!$B270:$AY270,'recurring2_based on steps'!$B$1:$AY$1,L$1)+SUMIFS('changes2_based on steps'!$B270:$U270,'changes2_based on steps'!$B$1:$U$1,L$1)</f>
        <v>0</v>
      </c>
      <c r="M270" s="140">
        <f>SUMIFS('recurring2_based on steps'!$B270:$AY270,'recurring2_based on steps'!$B$1:$AY$1,M$1)+SUMIFS('changes2_based on steps'!$B270:$U270,'changes2_based on steps'!$B$1:$U$1,M$1)</f>
        <v>0</v>
      </c>
      <c r="N270" s="140">
        <f ca="1">SUMIFS('recurring2_based on steps'!$B270:$AY270,'recurring2_based on steps'!$B$1:$AY$1,N$1)+SUMIFS('changes2_based on steps'!$B270:$U270,'changes2_based on steps'!$B$1:$U$1,N$1)</f>
        <v>0</v>
      </c>
      <c r="O270" s="140">
        <f>SUMIFS('recurring2_based on steps'!$B270:$AY270,'recurring2_based on steps'!$B$1:$AY$1,O$1)+SUMIFS('changes2_based on steps'!$B270:$U270,'changes2_based on steps'!$B$1:$U$1,O$1)</f>
        <v>0</v>
      </c>
      <c r="P270" s="140">
        <f ca="1">SUMIFS('recurring2_based on steps'!$B270:$AY270,'recurring2_based on steps'!$B$1:$AY$1,P$1)+SUMIFS('changes2_based on steps'!$B270:$U270,'changes2_based on steps'!$B$1:$U$1,P$1)</f>
        <v>0</v>
      </c>
      <c r="Q270" s="140">
        <f ca="1">SUMIFS('recurring2_based on steps'!$B270:$AY270,'recurring2_based on steps'!$B$1:$AY$1,Q$1)+SUMIFS('changes2_based on steps'!$B270:$U270,'changes2_based on steps'!$B$1:$U$1,Q$1)</f>
        <v>5.5401662049861494E-2</v>
      </c>
      <c r="R270" s="140">
        <f ca="1">SUMIFS('recurring2_based on steps'!$B270:$AY270,'recurring2_based on steps'!$B$1:$AY$1,R$1)+SUMIFS('changes2_based on steps'!$B270:$U270,'changes2_based on steps'!$B$1:$U$1,R$1)</f>
        <v>0</v>
      </c>
      <c r="S270" s="140">
        <f>SUMIFS('recurring2_based on steps'!$B270:$AY270,'recurring2_based on steps'!$B$1:$AY$1,S$1)+SUMIFS('changes2_based on steps'!$B270:$U270,'changes2_based on steps'!$B$1:$U$1,S$1)</f>
        <v>0</v>
      </c>
      <c r="T270" s="140">
        <f ca="1">SUMIFS('recurring2_based on steps'!$B270:$AY270,'recurring2_based on steps'!$B$1:$AY$1,T$1)+SUMIFS('changes2_based on steps'!$B270:$U270,'changes2_based on steps'!$B$1:$U$1,T$1)</f>
        <v>0</v>
      </c>
      <c r="U270" s="140">
        <f ca="1">SUMIFS('recurring2_based on steps'!$B270:$AY270,'recurring2_based on steps'!$B$1:$AY$1,U$1)+SUMIFS('changes2_based on steps'!$B270:$U270,'changes2_based on steps'!$B$1:$U$1,U$1)</f>
        <v>0</v>
      </c>
      <c r="V270" s="140">
        <f>SUMIFS('recurring2_based on steps'!$B270:$AY270,'recurring2_based on steps'!$B$1:$AY$1,V$1)+SUMIFS('changes2_based on steps'!$B270:$U270,'changes2_based on steps'!$B$1:$U$1,V$1)</f>
        <v>0</v>
      </c>
      <c r="W270" s="140">
        <f>SUMIFS('recurring2_based on steps'!$B270:$AY270,'recurring2_based on steps'!$B$1:$AY$1,W$1)+SUMIFS('changes2_based on steps'!$B270:$U270,'changes2_based on steps'!$B$1:$U$1,W$1)</f>
        <v>0</v>
      </c>
      <c r="X270" s="140">
        <f ca="1">SUMIFS('recurring2_based on steps'!$B270:$AY270,'recurring2_based on steps'!$B$1:$AY$1,X$1)+SUMIFS('changes2_based on steps'!$B270:$U270,'changes2_based on steps'!$B$1:$U$1,X$1)</f>
        <v>0</v>
      </c>
      <c r="Y270" s="140">
        <f ca="1">SUMIFS('recurring2_based on steps'!$B270:$AY270,'recurring2_based on steps'!$B$1:$AY$1,Y$1)+SUMIFS('changes2_based on steps'!$B270:$U270,'changes2_based on steps'!$B$1:$U$1,Y$1)</f>
        <v>0</v>
      </c>
      <c r="Z270" s="140">
        <f>SUMIFS('recurring2_based on steps'!$B270:$AY270,'recurring2_based on steps'!$B$1:$AY$1,Z$1)+SUMIFS('changes2_based on steps'!$B270:$U270,'changes2_based on steps'!$B$1:$U$1,Z$1)</f>
        <v>0</v>
      </c>
      <c r="AA270" s="140">
        <f ca="1">SUMIFS('recurring2_based on steps'!$B270:$AY270,'recurring2_based on steps'!$B$1:$AY$1,AA$1)+SUMIFS('changes2_based on steps'!$B270:$U270,'changes2_based on steps'!$B$1:$U$1,AA$1)</f>
        <v>0</v>
      </c>
      <c r="AB270" s="140">
        <f ca="1">SUMIFS('recurring2_based on steps'!$B270:$AY270,'recurring2_based on steps'!$B$1:$AY$1,AB$1)+SUMIFS('changes2_based on steps'!$B270:$U270,'changes2_based on steps'!$B$1:$U$1,AB$1)</f>
        <v>0</v>
      </c>
      <c r="AC270" s="140">
        <f ca="1">SUMIFS('recurring2_based on steps'!$B270:$AY270,'recurring2_based on steps'!$B$1:$AY$1,AC$1)+SUMIFS('changes2_based on steps'!$B270:$U270,'changes2_based on steps'!$B$1:$U$1,AC$1)</f>
        <v>0</v>
      </c>
      <c r="AD270" s="140">
        <f ca="1">SUMIFS('recurring2_based on steps'!$B270:$AY270,'recurring2_based on steps'!$B$1:$AY$1,AD$1)+SUMIFS('changes2_based on steps'!$B270:$U270,'changes2_based on steps'!$B$1:$U$1,AD$1)</f>
        <v>0</v>
      </c>
      <c r="AE270" s="140">
        <f>SUMIFS('recurring2_based on steps'!$B270:$AY270,'recurring2_based on steps'!$B$1:$AY$1,AE$1)+SUMIFS('changes2_based on steps'!$B270:$U270,'changes2_based on steps'!$B$1:$U$1,AE$1)</f>
        <v>0</v>
      </c>
      <c r="AF270" s="140"/>
      <c r="AG270" s="140"/>
      <c r="AH270" s="140"/>
      <c r="AI270" s="140"/>
      <c r="AJ270" s="140"/>
      <c r="AK270" s="140"/>
      <c r="AL270" s="140"/>
      <c r="AM270" s="140"/>
    </row>
    <row r="271" spans="1:39" x14ac:dyDescent="0.2">
      <c r="A271" s="29">
        <f t="shared" ca="1" si="4"/>
        <v>46011</v>
      </c>
      <c r="B271" s="140">
        <f ca="1">SUMIFS('recurring2_based on steps'!$B271:$AY271,'recurring2_based on steps'!$B$1:$AY$1,B$1)+SUMIFS('changes2_based on steps'!$B271:$U271,'changes2_based on steps'!$B$1:$U$1,B$1)</f>
        <v>0</v>
      </c>
      <c r="C271" s="140">
        <f>SUMIFS('recurring2_based on steps'!$B271:$AY271,'recurring2_based on steps'!$B$1:$AY$1,C$1)+SUMIFS('changes2_based on steps'!$B271:$U271,'changes2_based on steps'!$B$1:$U$1,C$1)</f>
        <v>0</v>
      </c>
      <c r="D271" s="140">
        <f>SUMIFS('recurring2_based on steps'!$B271:$AY271,'recurring2_based on steps'!$B$1:$AY$1,D$1)+SUMIFS('changes2_based on steps'!$B271:$U271,'changes2_based on steps'!$B$1:$U$1,D$1)</f>
        <v>0</v>
      </c>
      <c r="E271" s="140">
        <f>SUMIFS('recurring2_based on steps'!$B271:$AY271,'recurring2_based on steps'!$B$1:$AY$1,E$1)+SUMIFS('changes2_based on steps'!$B271:$U271,'changes2_based on steps'!$B$1:$U$1,E$1)</f>
        <v>0</v>
      </c>
      <c r="F271" s="140">
        <f>SUMIFS('recurring2_based on steps'!$B271:$AY271,'recurring2_based on steps'!$B$1:$AY$1,F$1)+SUMIFS('changes2_based on steps'!$B271:$U271,'changes2_based on steps'!$B$1:$U$1,F$1)</f>
        <v>0</v>
      </c>
      <c r="G271" s="140">
        <f>SUMIFS('recurring2_based on steps'!$B271:$AY271,'recurring2_based on steps'!$B$1:$AY$1,G$1)+SUMIFS('changes2_based on steps'!$B271:$U271,'changes2_based on steps'!$B$1:$U$1,G$1)</f>
        <v>0</v>
      </c>
      <c r="H271" s="140">
        <f>SUMIFS('recurring2_based on steps'!$B271:$AY271,'recurring2_based on steps'!$B$1:$AY$1,H$1)+SUMIFS('changes2_based on steps'!$B271:$U271,'changes2_based on steps'!$B$1:$U$1,H$1)</f>
        <v>0</v>
      </c>
      <c r="I271" s="140">
        <f>SUMIFS('recurring2_based on steps'!$B271:$AY271,'recurring2_based on steps'!$B$1:$AY$1,I$1)+SUMIFS('changes2_based on steps'!$B271:$U271,'changes2_based on steps'!$B$1:$U$1,I$1)</f>
        <v>0</v>
      </c>
      <c r="J271" s="140">
        <f ca="1">SUMIFS('recurring2_based on steps'!$B271:$AY271,'recurring2_based on steps'!$B$1:$AY$1,J$1)+SUMIFS('changes2_based on steps'!$B271:$U271,'changes2_based on steps'!$B$1:$U$1,J$1)</f>
        <v>0</v>
      </c>
      <c r="K271" s="140">
        <f>SUMIFS('recurring2_based on steps'!$B271:$AY271,'recurring2_based on steps'!$B$1:$AY$1,K$1)+SUMIFS('changes2_based on steps'!$B271:$U271,'changes2_based on steps'!$B$1:$U$1,K$1)</f>
        <v>0</v>
      </c>
      <c r="L271" s="140">
        <f>SUMIFS('recurring2_based on steps'!$B271:$AY271,'recurring2_based on steps'!$B$1:$AY$1,L$1)+SUMIFS('changes2_based on steps'!$B271:$U271,'changes2_based on steps'!$B$1:$U$1,L$1)</f>
        <v>0</v>
      </c>
      <c r="M271" s="140">
        <f>SUMIFS('recurring2_based on steps'!$B271:$AY271,'recurring2_based on steps'!$B$1:$AY$1,M$1)+SUMIFS('changes2_based on steps'!$B271:$U271,'changes2_based on steps'!$B$1:$U$1,M$1)</f>
        <v>0</v>
      </c>
      <c r="N271" s="140">
        <f ca="1">SUMIFS('recurring2_based on steps'!$B271:$AY271,'recurring2_based on steps'!$B$1:$AY$1,N$1)+SUMIFS('changes2_based on steps'!$B271:$U271,'changes2_based on steps'!$B$1:$U$1,N$1)</f>
        <v>0</v>
      </c>
      <c r="O271" s="140">
        <f>SUMIFS('recurring2_based on steps'!$B271:$AY271,'recurring2_based on steps'!$B$1:$AY$1,O$1)+SUMIFS('changes2_based on steps'!$B271:$U271,'changes2_based on steps'!$B$1:$U$1,O$1)</f>
        <v>0</v>
      </c>
      <c r="P271" s="140">
        <f ca="1">SUMIFS('recurring2_based on steps'!$B271:$AY271,'recurring2_based on steps'!$B$1:$AY$1,P$1)+SUMIFS('changes2_based on steps'!$B271:$U271,'changes2_based on steps'!$B$1:$U$1,P$1)</f>
        <v>0</v>
      </c>
      <c r="Q271" s="140">
        <f ca="1">SUMIFS('recurring2_based on steps'!$B271:$AY271,'recurring2_based on steps'!$B$1:$AY$1,Q$1)+SUMIFS('changes2_based on steps'!$B271:$U271,'changes2_based on steps'!$B$1:$U$1,Q$1)</f>
        <v>100.05540166204986</v>
      </c>
      <c r="R271" s="140">
        <f ca="1">SUMIFS('recurring2_based on steps'!$B271:$AY271,'recurring2_based on steps'!$B$1:$AY$1,R$1)+SUMIFS('changes2_based on steps'!$B271:$U271,'changes2_based on steps'!$B$1:$U$1,R$1)</f>
        <v>5.8171745152354575</v>
      </c>
      <c r="S271" s="140">
        <f>SUMIFS('recurring2_based on steps'!$B271:$AY271,'recurring2_based on steps'!$B$1:$AY$1,S$1)+SUMIFS('changes2_based on steps'!$B271:$U271,'changes2_based on steps'!$B$1:$U$1,S$1)</f>
        <v>0</v>
      </c>
      <c r="T271" s="140">
        <f ca="1">SUMIFS('recurring2_based on steps'!$B271:$AY271,'recurring2_based on steps'!$B$1:$AY$1,T$1)+SUMIFS('changes2_based on steps'!$B271:$U271,'changes2_based on steps'!$B$1:$U$1,T$1)</f>
        <v>0</v>
      </c>
      <c r="U271" s="140">
        <f ca="1">SUMIFS('recurring2_based on steps'!$B271:$AY271,'recurring2_based on steps'!$B$1:$AY$1,U$1)+SUMIFS('changes2_based on steps'!$B271:$U271,'changes2_based on steps'!$B$1:$U$1,U$1)</f>
        <v>0</v>
      </c>
      <c r="V271" s="140">
        <f>SUMIFS('recurring2_based on steps'!$B271:$AY271,'recurring2_based on steps'!$B$1:$AY$1,V$1)+SUMIFS('changes2_based on steps'!$B271:$U271,'changes2_based on steps'!$B$1:$U$1,V$1)</f>
        <v>0</v>
      </c>
      <c r="W271" s="140">
        <f>SUMIFS('recurring2_based on steps'!$B271:$AY271,'recurring2_based on steps'!$B$1:$AY$1,W$1)+SUMIFS('changes2_based on steps'!$B271:$U271,'changes2_based on steps'!$B$1:$U$1,W$1)</f>
        <v>0</v>
      </c>
      <c r="X271" s="140">
        <f ca="1">SUMIFS('recurring2_based on steps'!$B271:$AY271,'recurring2_based on steps'!$B$1:$AY$1,X$1)+SUMIFS('changes2_based on steps'!$B271:$U271,'changes2_based on steps'!$B$1:$U$1,X$1)</f>
        <v>0</v>
      </c>
      <c r="Y271" s="140">
        <f ca="1">SUMIFS('recurring2_based on steps'!$B271:$AY271,'recurring2_based on steps'!$B$1:$AY$1,Y$1)+SUMIFS('changes2_based on steps'!$B271:$U271,'changes2_based on steps'!$B$1:$U$1,Y$1)</f>
        <v>0</v>
      </c>
      <c r="Z271" s="140">
        <f>SUMIFS('recurring2_based on steps'!$B271:$AY271,'recurring2_based on steps'!$B$1:$AY$1,Z$1)+SUMIFS('changes2_based on steps'!$B271:$U271,'changes2_based on steps'!$B$1:$U$1,Z$1)</f>
        <v>0</v>
      </c>
      <c r="AA271" s="140">
        <f ca="1">SUMIFS('recurring2_based on steps'!$B271:$AY271,'recurring2_based on steps'!$B$1:$AY$1,AA$1)+SUMIFS('changes2_based on steps'!$B271:$U271,'changes2_based on steps'!$B$1:$U$1,AA$1)</f>
        <v>0</v>
      </c>
      <c r="AB271" s="140">
        <f ca="1">SUMIFS('recurring2_based on steps'!$B271:$AY271,'recurring2_based on steps'!$B$1:$AY$1,AB$1)+SUMIFS('changes2_based on steps'!$B271:$U271,'changes2_based on steps'!$B$1:$U$1,AB$1)</f>
        <v>100</v>
      </c>
      <c r="AC271" s="140">
        <f ca="1">SUMIFS('recurring2_based on steps'!$B271:$AY271,'recurring2_based on steps'!$B$1:$AY$1,AC$1)+SUMIFS('changes2_based on steps'!$B271:$U271,'changes2_based on steps'!$B$1:$U$1,AC$1)</f>
        <v>0</v>
      </c>
      <c r="AD271" s="140">
        <f ca="1">SUMIFS('recurring2_based on steps'!$B271:$AY271,'recurring2_based on steps'!$B$1:$AY$1,AD$1)+SUMIFS('changes2_based on steps'!$B271:$U271,'changes2_based on steps'!$B$1:$U$1,AD$1)</f>
        <v>0</v>
      </c>
      <c r="AE271" s="140">
        <f>SUMIFS('recurring2_based on steps'!$B271:$AY271,'recurring2_based on steps'!$B$1:$AY$1,AE$1)+SUMIFS('changes2_based on steps'!$B271:$U271,'changes2_based on steps'!$B$1:$U$1,AE$1)</f>
        <v>0</v>
      </c>
      <c r="AF271" s="140"/>
      <c r="AG271" s="140"/>
      <c r="AH271" s="140"/>
      <c r="AI271" s="140"/>
      <c r="AJ271" s="140"/>
      <c r="AK271" s="140"/>
      <c r="AL271" s="140"/>
      <c r="AM271" s="140"/>
    </row>
    <row r="272" spans="1:39" x14ac:dyDescent="0.2">
      <c r="A272" s="29">
        <f t="shared" ca="1" si="4"/>
        <v>46012</v>
      </c>
      <c r="B272" s="140">
        <f ca="1">SUMIFS('recurring2_based on steps'!$B272:$AY272,'recurring2_based on steps'!$B$1:$AY$1,B$1)+SUMIFS('changes2_based on steps'!$B272:$U272,'changes2_based on steps'!$B$1:$U$1,B$1)</f>
        <v>0</v>
      </c>
      <c r="C272" s="140">
        <f>SUMIFS('recurring2_based on steps'!$B272:$AY272,'recurring2_based on steps'!$B$1:$AY$1,C$1)+SUMIFS('changes2_based on steps'!$B272:$U272,'changes2_based on steps'!$B$1:$U$1,C$1)</f>
        <v>0</v>
      </c>
      <c r="D272" s="140">
        <f>SUMIFS('recurring2_based on steps'!$B272:$AY272,'recurring2_based on steps'!$B$1:$AY$1,D$1)+SUMIFS('changes2_based on steps'!$B272:$U272,'changes2_based on steps'!$B$1:$U$1,D$1)</f>
        <v>0</v>
      </c>
      <c r="E272" s="140">
        <f>SUMIFS('recurring2_based on steps'!$B272:$AY272,'recurring2_based on steps'!$B$1:$AY$1,E$1)+SUMIFS('changes2_based on steps'!$B272:$U272,'changes2_based on steps'!$B$1:$U$1,E$1)</f>
        <v>0</v>
      </c>
      <c r="F272" s="140">
        <f>SUMIFS('recurring2_based on steps'!$B272:$AY272,'recurring2_based on steps'!$B$1:$AY$1,F$1)+SUMIFS('changes2_based on steps'!$B272:$U272,'changes2_based on steps'!$B$1:$U$1,F$1)</f>
        <v>0</v>
      </c>
      <c r="G272" s="140">
        <f>SUMIFS('recurring2_based on steps'!$B272:$AY272,'recurring2_based on steps'!$B$1:$AY$1,G$1)+SUMIFS('changes2_based on steps'!$B272:$U272,'changes2_based on steps'!$B$1:$U$1,G$1)</f>
        <v>0</v>
      </c>
      <c r="H272" s="140">
        <f>SUMIFS('recurring2_based on steps'!$B272:$AY272,'recurring2_based on steps'!$B$1:$AY$1,H$1)+SUMIFS('changes2_based on steps'!$B272:$U272,'changes2_based on steps'!$B$1:$U$1,H$1)</f>
        <v>0</v>
      </c>
      <c r="I272" s="140">
        <f>SUMIFS('recurring2_based on steps'!$B272:$AY272,'recurring2_based on steps'!$B$1:$AY$1,I$1)+SUMIFS('changes2_based on steps'!$B272:$U272,'changes2_based on steps'!$B$1:$U$1,I$1)</f>
        <v>0</v>
      </c>
      <c r="J272" s="140">
        <f ca="1">SUMIFS('recurring2_based on steps'!$B272:$AY272,'recurring2_based on steps'!$B$1:$AY$1,J$1)+SUMIFS('changes2_based on steps'!$B272:$U272,'changes2_based on steps'!$B$1:$U$1,J$1)</f>
        <v>0</v>
      </c>
      <c r="K272" s="140">
        <f>SUMIFS('recurring2_based on steps'!$B272:$AY272,'recurring2_based on steps'!$B$1:$AY$1,K$1)+SUMIFS('changes2_based on steps'!$B272:$U272,'changes2_based on steps'!$B$1:$U$1,K$1)</f>
        <v>0</v>
      </c>
      <c r="L272" s="140">
        <f>SUMIFS('recurring2_based on steps'!$B272:$AY272,'recurring2_based on steps'!$B$1:$AY$1,L$1)+SUMIFS('changes2_based on steps'!$B272:$U272,'changes2_based on steps'!$B$1:$U$1,L$1)</f>
        <v>0</v>
      </c>
      <c r="M272" s="140">
        <f>SUMIFS('recurring2_based on steps'!$B272:$AY272,'recurring2_based on steps'!$B$1:$AY$1,M$1)+SUMIFS('changes2_based on steps'!$B272:$U272,'changes2_based on steps'!$B$1:$U$1,M$1)</f>
        <v>0</v>
      </c>
      <c r="N272" s="140">
        <f ca="1">SUMIFS('recurring2_based on steps'!$B272:$AY272,'recurring2_based on steps'!$B$1:$AY$1,N$1)+SUMIFS('changes2_based on steps'!$B272:$U272,'changes2_based on steps'!$B$1:$U$1,N$1)</f>
        <v>0</v>
      </c>
      <c r="O272" s="140">
        <f>SUMIFS('recurring2_based on steps'!$B272:$AY272,'recurring2_based on steps'!$B$1:$AY$1,O$1)+SUMIFS('changes2_based on steps'!$B272:$U272,'changes2_based on steps'!$B$1:$U$1,O$1)</f>
        <v>0</v>
      </c>
      <c r="P272" s="140">
        <f ca="1">SUMIFS('recurring2_based on steps'!$B272:$AY272,'recurring2_based on steps'!$B$1:$AY$1,P$1)+SUMIFS('changes2_based on steps'!$B272:$U272,'changes2_based on steps'!$B$1:$U$1,P$1)</f>
        <v>0</v>
      </c>
      <c r="Q272" s="140">
        <f ca="1">SUMIFS('recurring2_based on steps'!$B272:$AY272,'recurring2_based on steps'!$B$1:$AY$1,Q$1)+SUMIFS('changes2_based on steps'!$B272:$U272,'changes2_based on steps'!$B$1:$U$1,Q$1)</f>
        <v>100.05540166204986</v>
      </c>
      <c r="R272" s="140">
        <f ca="1">SUMIFS('recurring2_based on steps'!$B272:$AY272,'recurring2_based on steps'!$B$1:$AY$1,R$1)+SUMIFS('changes2_based on steps'!$B272:$U272,'changes2_based on steps'!$B$1:$U$1,R$1)</f>
        <v>0</v>
      </c>
      <c r="S272" s="140">
        <f>SUMIFS('recurring2_based on steps'!$B272:$AY272,'recurring2_based on steps'!$B$1:$AY$1,S$1)+SUMIFS('changes2_based on steps'!$B272:$U272,'changes2_based on steps'!$B$1:$U$1,S$1)</f>
        <v>0</v>
      </c>
      <c r="T272" s="140">
        <f ca="1">SUMIFS('recurring2_based on steps'!$B272:$AY272,'recurring2_based on steps'!$B$1:$AY$1,T$1)+SUMIFS('changes2_based on steps'!$B272:$U272,'changes2_based on steps'!$B$1:$U$1,T$1)</f>
        <v>0</v>
      </c>
      <c r="U272" s="140">
        <f ca="1">SUMIFS('recurring2_based on steps'!$B272:$AY272,'recurring2_based on steps'!$B$1:$AY$1,U$1)+SUMIFS('changes2_based on steps'!$B272:$U272,'changes2_based on steps'!$B$1:$U$1,U$1)</f>
        <v>0</v>
      </c>
      <c r="V272" s="140">
        <f>SUMIFS('recurring2_based on steps'!$B272:$AY272,'recurring2_based on steps'!$B$1:$AY$1,V$1)+SUMIFS('changes2_based on steps'!$B272:$U272,'changes2_based on steps'!$B$1:$U$1,V$1)</f>
        <v>0</v>
      </c>
      <c r="W272" s="140">
        <f>SUMIFS('recurring2_based on steps'!$B272:$AY272,'recurring2_based on steps'!$B$1:$AY$1,W$1)+SUMIFS('changes2_based on steps'!$B272:$U272,'changes2_based on steps'!$B$1:$U$1,W$1)</f>
        <v>0</v>
      </c>
      <c r="X272" s="140">
        <f ca="1">SUMIFS('recurring2_based on steps'!$B272:$AY272,'recurring2_based on steps'!$B$1:$AY$1,X$1)+SUMIFS('changes2_based on steps'!$B272:$U272,'changes2_based on steps'!$B$1:$U$1,X$1)</f>
        <v>0</v>
      </c>
      <c r="Y272" s="140">
        <f ca="1">SUMIFS('recurring2_based on steps'!$B272:$AY272,'recurring2_based on steps'!$B$1:$AY$1,Y$1)+SUMIFS('changes2_based on steps'!$B272:$U272,'changes2_based on steps'!$B$1:$U$1,Y$1)</f>
        <v>50</v>
      </c>
      <c r="Z272" s="140">
        <f>SUMIFS('recurring2_based on steps'!$B272:$AY272,'recurring2_based on steps'!$B$1:$AY$1,Z$1)+SUMIFS('changes2_based on steps'!$B272:$U272,'changes2_based on steps'!$B$1:$U$1,Z$1)</f>
        <v>0</v>
      </c>
      <c r="AA272" s="140">
        <f ca="1">SUMIFS('recurring2_based on steps'!$B272:$AY272,'recurring2_based on steps'!$B$1:$AY$1,AA$1)+SUMIFS('changes2_based on steps'!$B272:$U272,'changes2_based on steps'!$B$1:$U$1,AA$1)</f>
        <v>0</v>
      </c>
      <c r="AB272" s="140">
        <f ca="1">SUMIFS('recurring2_based on steps'!$B272:$AY272,'recurring2_based on steps'!$B$1:$AY$1,AB$1)+SUMIFS('changes2_based on steps'!$B272:$U272,'changes2_based on steps'!$B$1:$U$1,AB$1)</f>
        <v>0</v>
      </c>
      <c r="AC272" s="140">
        <f ca="1">SUMIFS('recurring2_based on steps'!$B272:$AY272,'recurring2_based on steps'!$B$1:$AY$1,AC$1)+SUMIFS('changes2_based on steps'!$B272:$U272,'changes2_based on steps'!$B$1:$U$1,AC$1)</f>
        <v>0</v>
      </c>
      <c r="AD272" s="140">
        <f ca="1">SUMIFS('recurring2_based on steps'!$B272:$AY272,'recurring2_based on steps'!$B$1:$AY$1,AD$1)+SUMIFS('changes2_based on steps'!$B272:$U272,'changes2_based on steps'!$B$1:$U$1,AD$1)</f>
        <v>0</v>
      </c>
      <c r="AE272" s="140">
        <f>SUMIFS('recurring2_based on steps'!$B272:$AY272,'recurring2_based on steps'!$B$1:$AY$1,AE$1)+SUMIFS('changes2_based on steps'!$B272:$U272,'changes2_based on steps'!$B$1:$U$1,AE$1)</f>
        <v>0</v>
      </c>
      <c r="AF272" s="140"/>
      <c r="AG272" s="140"/>
      <c r="AH272" s="140"/>
      <c r="AI272" s="140"/>
      <c r="AJ272" s="140"/>
      <c r="AK272" s="140"/>
      <c r="AL272" s="140"/>
      <c r="AM272" s="140"/>
    </row>
    <row r="273" spans="1:39" x14ac:dyDescent="0.2">
      <c r="A273" s="29">
        <f t="shared" ca="1" si="4"/>
        <v>46013</v>
      </c>
      <c r="B273" s="140">
        <f ca="1">SUMIFS('recurring2_based on steps'!$B273:$AY273,'recurring2_based on steps'!$B$1:$AY$1,B$1)+SUMIFS('changes2_based on steps'!$B273:$U273,'changes2_based on steps'!$B$1:$U$1,B$1)</f>
        <v>0</v>
      </c>
      <c r="C273" s="140">
        <f>SUMIFS('recurring2_based on steps'!$B273:$AY273,'recurring2_based on steps'!$B$1:$AY$1,C$1)+SUMIFS('changes2_based on steps'!$B273:$U273,'changes2_based on steps'!$B$1:$U$1,C$1)</f>
        <v>0</v>
      </c>
      <c r="D273" s="140">
        <f>SUMIFS('recurring2_based on steps'!$B273:$AY273,'recurring2_based on steps'!$B$1:$AY$1,D$1)+SUMIFS('changes2_based on steps'!$B273:$U273,'changes2_based on steps'!$B$1:$U$1,D$1)</f>
        <v>0</v>
      </c>
      <c r="E273" s="140">
        <f>SUMIFS('recurring2_based on steps'!$B273:$AY273,'recurring2_based on steps'!$B$1:$AY$1,E$1)+SUMIFS('changes2_based on steps'!$B273:$U273,'changes2_based on steps'!$B$1:$U$1,E$1)</f>
        <v>0</v>
      </c>
      <c r="F273" s="140">
        <f>SUMIFS('recurring2_based on steps'!$B273:$AY273,'recurring2_based on steps'!$B$1:$AY$1,F$1)+SUMIFS('changes2_based on steps'!$B273:$U273,'changes2_based on steps'!$B$1:$U$1,F$1)</f>
        <v>0</v>
      </c>
      <c r="G273" s="140">
        <f>SUMIFS('recurring2_based on steps'!$B273:$AY273,'recurring2_based on steps'!$B$1:$AY$1,G$1)+SUMIFS('changes2_based on steps'!$B273:$U273,'changes2_based on steps'!$B$1:$U$1,G$1)</f>
        <v>0</v>
      </c>
      <c r="H273" s="140">
        <f>SUMIFS('recurring2_based on steps'!$B273:$AY273,'recurring2_based on steps'!$B$1:$AY$1,H$1)+SUMIFS('changes2_based on steps'!$B273:$U273,'changes2_based on steps'!$B$1:$U$1,H$1)</f>
        <v>0</v>
      </c>
      <c r="I273" s="140">
        <f>SUMIFS('recurring2_based on steps'!$B273:$AY273,'recurring2_based on steps'!$B$1:$AY$1,I$1)+SUMIFS('changes2_based on steps'!$B273:$U273,'changes2_based on steps'!$B$1:$U$1,I$1)</f>
        <v>0</v>
      </c>
      <c r="J273" s="140">
        <f ca="1">SUMIFS('recurring2_based on steps'!$B273:$AY273,'recurring2_based on steps'!$B$1:$AY$1,J$1)+SUMIFS('changes2_based on steps'!$B273:$U273,'changes2_based on steps'!$B$1:$U$1,J$1)</f>
        <v>0</v>
      </c>
      <c r="K273" s="140">
        <f>SUMIFS('recurring2_based on steps'!$B273:$AY273,'recurring2_based on steps'!$B$1:$AY$1,K$1)+SUMIFS('changes2_based on steps'!$B273:$U273,'changes2_based on steps'!$B$1:$U$1,K$1)</f>
        <v>0</v>
      </c>
      <c r="L273" s="140">
        <f>SUMIFS('recurring2_based on steps'!$B273:$AY273,'recurring2_based on steps'!$B$1:$AY$1,L$1)+SUMIFS('changes2_based on steps'!$B273:$U273,'changes2_based on steps'!$B$1:$U$1,L$1)</f>
        <v>0</v>
      </c>
      <c r="M273" s="140">
        <f>SUMIFS('recurring2_based on steps'!$B273:$AY273,'recurring2_based on steps'!$B$1:$AY$1,M$1)+SUMIFS('changes2_based on steps'!$B273:$U273,'changes2_based on steps'!$B$1:$U$1,M$1)</f>
        <v>0</v>
      </c>
      <c r="N273" s="140">
        <f ca="1">SUMIFS('recurring2_based on steps'!$B273:$AY273,'recurring2_based on steps'!$B$1:$AY$1,N$1)+SUMIFS('changes2_based on steps'!$B273:$U273,'changes2_based on steps'!$B$1:$U$1,N$1)</f>
        <v>0</v>
      </c>
      <c r="O273" s="140">
        <f>SUMIFS('recurring2_based on steps'!$B273:$AY273,'recurring2_based on steps'!$B$1:$AY$1,O$1)+SUMIFS('changes2_based on steps'!$B273:$U273,'changes2_based on steps'!$B$1:$U$1,O$1)</f>
        <v>0</v>
      </c>
      <c r="P273" s="140">
        <f ca="1">SUMIFS('recurring2_based on steps'!$B273:$AY273,'recurring2_based on steps'!$B$1:$AY$1,P$1)+SUMIFS('changes2_based on steps'!$B273:$U273,'changes2_based on steps'!$B$1:$U$1,P$1)</f>
        <v>0</v>
      </c>
      <c r="Q273" s="140">
        <f ca="1">SUMIFS('recurring2_based on steps'!$B273:$AY273,'recurring2_based on steps'!$B$1:$AY$1,Q$1)+SUMIFS('changes2_based on steps'!$B273:$U273,'changes2_based on steps'!$B$1:$U$1,Q$1)</f>
        <v>5.5401662049861494E-2</v>
      </c>
      <c r="R273" s="140">
        <f ca="1">SUMIFS('recurring2_based on steps'!$B273:$AY273,'recurring2_based on steps'!$B$1:$AY$1,R$1)+SUMIFS('changes2_based on steps'!$B273:$U273,'changes2_based on steps'!$B$1:$U$1,R$1)</f>
        <v>0</v>
      </c>
      <c r="S273" s="140">
        <f>SUMIFS('recurring2_based on steps'!$B273:$AY273,'recurring2_based on steps'!$B$1:$AY$1,S$1)+SUMIFS('changes2_based on steps'!$B273:$U273,'changes2_based on steps'!$B$1:$U$1,S$1)</f>
        <v>0</v>
      </c>
      <c r="T273" s="140">
        <f ca="1">SUMIFS('recurring2_based on steps'!$B273:$AY273,'recurring2_based on steps'!$B$1:$AY$1,T$1)+SUMIFS('changes2_based on steps'!$B273:$U273,'changes2_based on steps'!$B$1:$U$1,T$1)</f>
        <v>0</v>
      </c>
      <c r="U273" s="140">
        <f ca="1">SUMIFS('recurring2_based on steps'!$B273:$AY273,'recurring2_based on steps'!$B$1:$AY$1,U$1)+SUMIFS('changes2_based on steps'!$B273:$U273,'changes2_based on steps'!$B$1:$U$1,U$1)</f>
        <v>0</v>
      </c>
      <c r="V273" s="140">
        <f>SUMIFS('recurring2_based on steps'!$B273:$AY273,'recurring2_based on steps'!$B$1:$AY$1,V$1)+SUMIFS('changes2_based on steps'!$B273:$U273,'changes2_based on steps'!$B$1:$U$1,V$1)</f>
        <v>0</v>
      </c>
      <c r="W273" s="140">
        <f>SUMIFS('recurring2_based on steps'!$B273:$AY273,'recurring2_based on steps'!$B$1:$AY$1,W$1)+SUMIFS('changes2_based on steps'!$B273:$U273,'changes2_based on steps'!$B$1:$U$1,W$1)</f>
        <v>0</v>
      </c>
      <c r="X273" s="140">
        <f ca="1">SUMIFS('recurring2_based on steps'!$B273:$AY273,'recurring2_based on steps'!$B$1:$AY$1,X$1)+SUMIFS('changes2_based on steps'!$B273:$U273,'changes2_based on steps'!$B$1:$U$1,X$1)</f>
        <v>0</v>
      </c>
      <c r="Y273" s="140">
        <f ca="1">SUMIFS('recurring2_based on steps'!$B273:$AY273,'recurring2_based on steps'!$B$1:$AY$1,Y$1)+SUMIFS('changes2_based on steps'!$B273:$U273,'changes2_based on steps'!$B$1:$U$1,Y$1)</f>
        <v>0</v>
      </c>
      <c r="Z273" s="140">
        <f>SUMIFS('recurring2_based on steps'!$B273:$AY273,'recurring2_based on steps'!$B$1:$AY$1,Z$1)+SUMIFS('changes2_based on steps'!$B273:$U273,'changes2_based on steps'!$B$1:$U$1,Z$1)</f>
        <v>0</v>
      </c>
      <c r="AA273" s="140">
        <f ca="1">SUMIFS('recurring2_based on steps'!$B273:$AY273,'recurring2_based on steps'!$B$1:$AY$1,AA$1)+SUMIFS('changes2_based on steps'!$B273:$U273,'changes2_based on steps'!$B$1:$U$1,AA$1)</f>
        <v>0</v>
      </c>
      <c r="AB273" s="140">
        <f ca="1">SUMIFS('recurring2_based on steps'!$B273:$AY273,'recurring2_based on steps'!$B$1:$AY$1,AB$1)+SUMIFS('changes2_based on steps'!$B273:$U273,'changes2_based on steps'!$B$1:$U$1,AB$1)</f>
        <v>0</v>
      </c>
      <c r="AC273" s="140">
        <f ca="1">SUMIFS('recurring2_based on steps'!$B273:$AY273,'recurring2_based on steps'!$B$1:$AY$1,AC$1)+SUMIFS('changes2_based on steps'!$B273:$U273,'changes2_based on steps'!$B$1:$U$1,AC$1)</f>
        <v>0</v>
      </c>
      <c r="AD273" s="140">
        <f ca="1">SUMIFS('recurring2_based on steps'!$B273:$AY273,'recurring2_based on steps'!$B$1:$AY$1,AD$1)+SUMIFS('changes2_based on steps'!$B273:$U273,'changes2_based on steps'!$B$1:$U$1,AD$1)</f>
        <v>0</v>
      </c>
      <c r="AE273" s="140">
        <f>SUMIFS('recurring2_based on steps'!$B273:$AY273,'recurring2_based on steps'!$B$1:$AY$1,AE$1)+SUMIFS('changes2_based on steps'!$B273:$U273,'changes2_based on steps'!$B$1:$U$1,AE$1)</f>
        <v>0</v>
      </c>
      <c r="AF273" s="140"/>
      <c r="AG273" s="140"/>
      <c r="AH273" s="140"/>
      <c r="AI273" s="140"/>
      <c r="AJ273" s="140"/>
      <c r="AK273" s="140"/>
      <c r="AL273" s="140"/>
      <c r="AM273" s="140"/>
    </row>
    <row r="274" spans="1:39" x14ac:dyDescent="0.2">
      <c r="A274" s="29">
        <f t="shared" ca="1" si="4"/>
        <v>46014</v>
      </c>
      <c r="B274" s="140">
        <f ca="1">SUMIFS('recurring2_based on steps'!$B274:$AY274,'recurring2_based on steps'!$B$1:$AY$1,B$1)+SUMIFS('changes2_based on steps'!$B274:$U274,'changes2_based on steps'!$B$1:$U$1,B$1)</f>
        <v>0</v>
      </c>
      <c r="C274" s="140">
        <f>SUMIFS('recurring2_based on steps'!$B274:$AY274,'recurring2_based on steps'!$B$1:$AY$1,C$1)+SUMIFS('changes2_based on steps'!$B274:$U274,'changes2_based on steps'!$B$1:$U$1,C$1)</f>
        <v>0</v>
      </c>
      <c r="D274" s="140">
        <f>SUMIFS('recurring2_based on steps'!$B274:$AY274,'recurring2_based on steps'!$B$1:$AY$1,D$1)+SUMIFS('changes2_based on steps'!$B274:$U274,'changes2_based on steps'!$B$1:$U$1,D$1)</f>
        <v>0</v>
      </c>
      <c r="E274" s="140">
        <f>SUMIFS('recurring2_based on steps'!$B274:$AY274,'recurring2_based on steps'!$B$1:$AY$1,E$1)+SUMIFS('changes2_based on steps'!$B274:$U274,'changes2_based on steps'!$B$1:$U$1,E$1)</f>
        <v>0</v>
      </c>
      <c r="F274" s="140">
        <f>SUMIFS('recurring2_based on steps'!$B274:$AY274,'recurring2_based on steps'!$B$1:$AY$1,F$1)+SUMIFS('changes2_based on steps'!$B274:$U274,'changes2_based on steps'!$B$1:$U$1,F$1)</f>
        <v>0</v>
      </c>
      <c r="G274" s="140">
        <f>SUMIFS('recurring2_based on steps'!$B274:$AY274,'recurring2_based on steps'!$B$1:$AY$1,G$1)+SUMIFS('changes2_based on steps'!$B274:$U274,'changes2_based on steps'!$B$1:$U$1,G$1)</f>
        <v>0</v>
      </c>
      <c r="H274" s="140">
        <f>SUMIFS('recurring2_based on steps'!$B274:$AY274,'recurring2_based on steps'!$B$1:$AY$1,H$1)+SUMIFS('changes2_based on steps'!$B274:$U274,'changes2_based on steps'!$B$1:$U$1,H$1)</f>
        <v>0</v>
      </c>
      <c r="I274" s="140">
        <f>SUMIFS('recurring2_based on steps'!$B274:$AY274,'recurring2_based on steps'!$B$1:$AY$1,I$1)+SUMIFS('changes2_based on steps'!$B274:$U274,'changes2_based on steps'!$B$1:$U$1,I$1)</f>
        <v>0</v>
      </c>
      <c r="J274" s="140">
        <f ca="1">SUMIFS('recurring2_based on steps'!$B274:$AY274,'recurring2_based on steps'!$B$1:$AY$1,J$1)+SUMIFS('changes2_based on steps'!$B274:$U274,'changes2_based on steps'!$B$1:$U$1,J$1)</f>
        <v>0</v>
      </c>
      <c r="K274" s="140">
        <f>SUMIFS('recurring2_based on steps'!$B274:$AY274,'recurring2_based on steps'!$B$1:$AY$1,K$1)+SUMIFS('changes2_based on steps'!$B274:$U274,'changes2_based on steps'!$B$1:$U$1,K$1)</f>
        <v>0</v>
      </c>
      <c r="L274" s="140">
        <f>SUMIFS('recurring2_based on steps'!$B274:$AY274,'recurring2_based on steps'!$B$1:$AY$1,L$1)+SUMIFS('changes2_based on steps'!$B274:$U274,'changes2_based on steps'!$B$1:$U$1,L$1)</f>
        <v>0</v>
      </c>
      <c r="M274" s="140">
        <f>SUMIFS('recurring2_based on steps'!$B274:$AY274,'recurring2_based on steps'!$B$1:$AY$1,M$1)+SUMIFS('changes2_based on steps'!$B274:$U274,'changes2_based on steps'!$B$1:$U$1,M$1)</f>
        <v>0</v>
      </c>
      <c r="N274" s="140">
        <f ca="1">SUMIFS('recurring2_based on steps'!$B274:$AY274,'recurring2_based on steps'!$B$1:$AY$1,N$1)+SUMIFS('changes2_based on steps'!$B274:$U274,'changes2_based on steps'!$B$1:$U$1,N$1)</f>
        <v>0</v>
      </c>
      <c r="O274" s="140">
        <f>SUMIFS('recurring2_based on steps'!$B274:$AY274,'recurring2_based on steps'!$B$1:$AY$1,O$1)+SUMIFS('changes2_based on steps'!$B274:$U274,'changes2_based on steps'!$B$1:$U$1,O$1)</f>
        <v>0</v>
      </c>
      <c r="P274" s="140">
        <f ca="1">SUMIFS('recurring2_based on steps'!$B274:$AY274,'recurring2_based on steps'!$B$1:$AY$1,P$1)+SUMIFS('changes2_based on steps'!$B274:$U274,'changes2_based on steps'!$B$1:$U$1,P$1)</f>
        <v>0</v>
      </c>
      <c r="Q274" s="140">
        <f ca="1">SUMIFS('recurring2_based on steps'!$B274:$AY274,'recurring2_based on steps'!$B$1:$AY$1,Q$1)+SUMIFS('changes2_based on steps'!$B274:$U274,'changes2_based on steps'!$B$1:$U$1,Q$1)</f>
        <v>5.5401662049861494E-2</v>
      </c>
      <c r="R274" s="140">
        <f ca="1">SUMIFS('recurring2_based on steps'!$B274:$AY274,'recurring2_based on steps'!$B$1:$AY$1,R$1)+SUMIFS('changes2_based on steps'!$B274:$U274,'changes2_based on steps'!$B$1:$U$1,R$1)</f>
        <v>0</v>
      </c>
      <c r="S274" s="140">
        <f>SUMIFS('recurring2_based on steps'!$B274:$AY274,'recurring2_based on steps'!$B$1:$AY$1,S$1)+SUMIFS('changes2_based on steps'!$B274:$U274,'changes2_based on steps'!$B$1:$U$1,S$1)</f>
        <v>0</v>
      </c>
      <c r="T274" s="140">
        <f ca="1">SUMIFS('recurring2_based on steps'!$B274:$AY274,'recurring2_based on steps'!$B$1:$AY$1,T$1)+SUMIFS('changes2_based on steps'!$B274:$U274,'changes2_based on steps'!$B$1:$U$1,T$1)</f>
        <v>0</v>
      </c>
      <c r="U274" s="140">
        <f ca="1">SUMIFS('recurring2_based on steps'!$B274:$AY274,'recurring2_based on steps'!$B$1:$AY$1,U$1)+SUMIFS('changes2_based on steps'!$B274:$U274,'changes2_based on steps'!$B$1:$U$1,U$1)</f>
        <v>0</v>
      </c>
      <c r="V274" s="140">
        <f>SUMIFS('recurring2_based on steps'!$B274:$AY274,'recurring2_based on steps'!$B$1:$AY$1,V$1)+SUMIFS('changes2_based on steps'!$B274:$U274,'changes2_based on steps'!$B$1:$U$1,V$1)</f>
        <v>0</v>
      </c>
      <c r="W274" s="140">
        <f>SUMIFS('recurring2_based on steps'!$B274:$AY274,'recurring2_based on steps'!$B$1:$AY$1,W$1)+SUMIFS('changes2_based on steps'!$B274:$U274,'changes2_based on steps'!$B$1:$U$1,W$1)</f>
        <v>0</v>
      </c>
      <c r="X274" s="140">
        <f ca="1">SUMIFS('recurring2_based on steps'!$B274:$AY274,'recurring2_based on steps'!$B$1:$AY$1,X$1)+SUMIFS('changes2_based on steps'!$B274:$U274,'changes2_based on steps'!$B$1:$U$1,X$1)</f>
        <v>0</v>
      </c>
      <c r="Y274" s="140">
        <f ca="1">SUMIFS('recurring2_based on steps'!$B274:$AY274,'recurring2_based on steps'!$B$1:$AY$1,Y$1)+SUMIFS('changes2_based on steps'!$B274:$U274,'changes2_based on steps'!$B$1:$U$1,Y$1)</f>
        <v>0</v>
      </c>
      <c r="Z274" s="140">
        <f>SUMIFS('recurring2_based on steps'!$B274:$AY274,'recurring2_based on steps'!$B$1:$AY$1,Z$1)+SUMIFS('changes2_based on steps'!$B274:$U274,'changes2_based on steps'!$B$1:$U$1,Z$1)</f>
        <v>0</v>
      </c>
      <c r="AA274" s="140">
        <f ca="1">SUMIFS('recurring2_based on steps'!$B274:$AY274,'recurring2_based on steps'!$B$1:$AY$1,AA$1)+SUMIFS('changes2_based on steps'!$B274:$U274,'changes2_based on steps'!$B$1:$U$1,AA$1)</f>
        <v>0</v>
      </c>
      <c r="AB274" s="140">
        <f ca="1">SUMIFS('recurring2_based on steps'!$B274:$AY274,'recurring2_based on steps'!$B$1:$AY$1,AB$1)+SUMIFS('changes2_based on steps'!$B274:$U274,'changes2_based on steps'!$B$1:$U$1,AB$1)</f>
        <v>0</v>
      </c>
      <c r="AC274" s="140">
        <f ca="1">SUMIFS('recurring2_based on steps'!$B274:$AY274,'recurring2_based on steps'!$B$1:$AY$1,AC$1)+SUMIFS('changes2_based on steps'!$B274:$U274,'changes2_based on steps'!$B$1:$U$1,AC$1)</f>
        <v>0</v>
      </c>
      <c r="AD274" s="140">
        <f ca="1">SUMIFS('recurring2_based on steps'!$B274:$AY274,'recurring2_based on steps'!$B$1:$AY$1,AD$1)+SUMIFS('changes2_based on steps'!$B274:$U274,'changes2_based on steps'!$B$1:$U$1,AD$1)</f>
        <v>0</v>
      </c>
      <c r="AE274" s="140">
        <f>SUMIFS('recurring2_based on steps'!$B274:$AY274,'recurring2_based on steps'!$B$1:$AY$1,AE$1)+SUMIFS('changes2_based on steps'!$B274:$U274,'changes2_based on steps'!$B$1:$U$1,AE$1)</f>
        <v>0</v>
      </c>
      <c r="AF274" s="140"/>
      <c r="AG274" s="140"/>
      <c r="AH274" s="140"/>
      <c r="AI274" s="140"/>
      <c r="AJ274" s="140"/>
      <c r="AK274" s="140"/>
      <c r="AL274" s="140"/>
      <c r="AM274" s="140"/>
    </row>
    <row r="275" spans="1:39" x14ac:dyDescent="0.2">
      <c r="A275" s="29">
        <f t="shared" ca="1" si="4"/>
        <v>46015</v>
      </c>
      <c r="B275" s="140">
        <f ca="1">SUMIFS('recurring2_based on steps'!$B275:$AY275,'recurring2_based on steps'!$B$1:$AY$1,B$1)+SUMIFS('changes2_based on steps'!$B275:$U275,'changes2_based on steps'!$B$1:$U$1,B$1)</f>
        <v>0</v>
      </c>
      <c r="C275" s="140">
        <f>SUMIFS('recurring2_based on steps'!$B275:$AY275,'recurring2_based on steps'!$B$1:$AY$1,C$1)+SUMIFS('changes2_based on steps'!$B275:$U275,'changes2_based on steps'!$B$1:$U$1,C$1)</f>
        <v>0</v>
      </c>
      <c r="D275" s="140">
        <f>SUMIFS('recurring2_based on steps'!$B275:$AY275,'recurring2_based on steps'!$B$1:$AY$1,D$1)+SUMIFS('changes2_based on steps'!$B275:$U275,'changes2_based on steps'!$B$1:$U$1,D$1)</f>
        <v>0</v>
      </c>
      <c r="E275" s="140">
        <f>SUMIFS('recurring2_based on steps'!$B275:$AY275,'recurring2_based on steps'!$B$1:$AY$1,E$1)+SUMIFS('changes2_based on steps'!$B275:$U275,'changes2_based on steps'!$B$1:$U$1,E$1)</f>
        <v>0</v>
      </c>
      <c r="F275" s="140">
        <f>SUMIFS('recurring2_based on steps'!$B275:$AY275,'recurring2_based on steps'!$B$1:$AY$1,F$1)+SUMIFS('changes2_based on steps'!$B275:$U275,'changes2_based on steps'!$B$1:$U$1,F$1)</f>
        <v>0</v>
      </c>
      <c r="G275" s="140">
        <f>SUMIFS('recurring2_based on steps'!$B275:$AY275,'recurring2_based on steps'!$B$1:$AY$1,G$1)+SUMIFS('changes2_based on steps'!$B275:$U275,'changes2_based on steps'!$B$1:$U$1,G$1)</f>
        <v>0</v>
      </c>
      <c r="H275" s="140">
        <f>SUMIFS('recurring2_based on steps'!$B275:$AY275,'recurring2_based on steps'!$B$1:$AY$1,H$1)+SUMIFS('changes2_based on steps'!$B275:$U275,'changes2_based on steps'!$B$1:$U$1,H$1)</f>
        <v>0</v>
      </c>
      <c r="I275" s="140">
        <f>SUMIFS('recurring2_based on steps'!$B275:$AY275,'recurring2_based on steps'!$B$1:$AY$1,I$1)+SUMIFS('changes2_based on steps'!$B275:$U275,'changes2_based on steps'!$B$1:$U$1,I$1)</f>
        <v>0</v>
      </c>
      <c r="J275" s="140">
        <f ca="1">SUMIFS('recurring2_based on steps'!$B275:$AY275,'recurring2_based on steps'!$B$1:$AY$1,J$1)+SUMIFS('changes2_based on steps'!$B275:$U275,'changes2_based on steps'!$B$1:$U$1,J$1)</f>
        <v>0</v>
      </c>
      <c r="K275" s="140">
        <f>SUMIFS('recurring2_based on steps'!$B275:$AY275,'recurring2_based on steps'!$B$1:$AY$1,K$1)+SUMIFS('changes2_based on steps'!$B275:$U275,'changes2_based on steps'!$B$1:$U$1,K$1)</f>
        <v>0</v>
      </c>
      <c r="L275" s="140">
        <f>SUMIFS('recurring2_based on steps'!$B275:$AY275,'recurring2_based on steps'!$B$1:$AY$1,L$1)+SUMIFS('changes2_based on steps'!$B275:$U275,'changes2_based on steps'!$B$1:$U$1,L$1)</f>
        <v>0</v>
      </c>
      <c r="M275" s="140">
        <f>SUMIFS('recurring2_based on steps'!$B275:$AY275,'recurring2_based on steps'!$B$1:$AY$1,M$1)+SUMIFS('changes2_based on steps'!$B275:$U275,'changes2_based on steps'!$B$1:$U$1,M$1)</f>
        <v>0</v>
      </c>
      <c r="N275" s="140">
        <f ca="1">SUMIFS('recurring2_based on steps'!$B275:$AY275,'recurring2_based on steps'!$B$1:$AY$1,N$1)+SUMIFS('changes2_based on steps'!$B275:$U275,'changes2_based on steps'!$B$1:$U$1,N$1)</f>
        <v>0</v>
      </c>
      <c r="O275" s="140">
        <f>SUMIFS('recurring2_based on steps'!$B275:$AY275,'recurring2_based on steps'!$B$1:$AY$1,O$1)+SUMIFS('changes2_based on steps'!$B275:$U275,'changes2_based on steps'!$B$1:$U$1,O$1)</f>
        <v>0</v>
      </c>
      <c r="P275" s="140">
        <f ca="1">SUMIFS('recurring2_based on steps'!$B275:$AY275,'recurring2_based on steps'!$B$1:$AY$1,P$1)+SUMIFS('changes2_based on steps'!$B275:$U275,'changes2_based on steps'!$B$1:$U$1,P$1)</f>
        <v>0</v>
      </c>
      <c r="Q275" s="140">
        <f ca="1">SUMIFS('recurring2_based on steps'!$B275:$AY275,'recurring2_based on steps'!$B$1:$AY$1,Q$1)+SUMIFS('changes2_based on steps'!$B275:$U275,'changes2_based on steps'!$B$1:$U$1,Q$1)</f>
        <v>5.5401662049861494E-2</v>
      </c>
      <c r="R275" s="140">
        <f ca="1">SUMIFS('recurring2_based on steps'!$B275:$AY275,'recurring2_based on steps'!$B$1:$AY$1,R$1)+SUMIFS('changes2_based on steps'!$B275:$U275,'changes2_based on steps'!$B$1:$U$1,R$1)</f>
        <v>0</v>
      </c>
      <c r="S275" s="140">
        <f>SUMIFS('recurring2_based on steps'!$B275:$AY275,'recurring2_based on steps'!$B$1:$AY$1,S$1)+SUMIFS('changes2_based on steps'!$B275:$U275,'changes2_based on steps'!$B$1:$U$1,S$1)</f>
        <v>0</v>
      </c>
      <c r="T275" s="140">
        <f ca="1">SUMIFS('recurring2_based on steps'!$B275:$AY275,'recurring2_based on steps'!$B$1:$AY$1,T$1)+SUMIFS('changes2_based on steps'!$B275:$U275,'changes2_based on steps'!$B$1:$U$1,T$1)</f>
        <v>0</v>
      </c>
      <c r="U275" s="140">
        <f ca="1">SUMIFS('recurring2_based on steps'!$B275:$AY275,'recurring2_based on steps'!$B$1:$AY$1,U$1)+SUMIFS('changes2_based on steps'!$B275:$U275,'changes2_based on steps'!$B$1:$U$1,U$1)</f>
        <v>0</v>
      </c>
      <c r="V275" s="140">
        <f>SUMIFS('recurring2_based on steps'!$B275:$AY275,'recurring2_based on steps'!$B$1:$AY$1,V$1)+SUMIFS('changes2_based on steps'!$B275:$U275,'changes2_based on steps'!$B$1:$U$1,V$1)</f>
        <v>0</v>
      </c>
      <c r="W275" s="140">
        <f>SUMIFS('recurring2_based on steps'!$B275:$AY275,'recurring2_based on steps'!$B$1:$AY$1,W$1)+SUMIFS('changes2_based on steps'!$B275:$U275,'changes2_based on steps'!$B$1:$U$1,W$1)</f>
        <v>0</v>
      </c>
      <c r="X275" s="140">
        <f ca="1">SUMIFS('recurring2_based on steps'!$B275:$AY275,'recurring2_based on steps'!$B$1:$AY$1,X$1)+SUMIFS('changes2_based on steps'!$B275:$U275,'changes2_based on steps'!$B$1:$U$1,X$1)</f>
        <v>0</v>
      </c>
      <c r="Y275" s="140">
        <f ca="1">SUMIFS('recurring2_based on steps'!$B275:$AY275,'recurring2_based on steps'!$B$1:$AY$1,Y$1)+SUMIFS('changes2_based on steps'!$B275:$U275,'changes2_based on steps'!$B$1:$U$1,Y$1)</f>
        <v>0</v>
      </c>
      <c r="Z275" s="140">
        <f>SUMIFS('recurring2_based on steps'!$B275:$AY275,'recurring2_based on steps'!$B$1:$AY$1,Z$1)+SUMIFS('changes2_based on steps'!$B275:$U275,'changes2_based on steps'!$B$1:$U$1,Z$1)</f>
        <v>0</v>
      </c>
      <c r="AA275" s="140">
        <f ca="1">SUMIFS('recurring2_based on steps'!$B275:$AY275,'recurring2_based on steps'!$B$1:$AY$1,AA$1)+SUMIFS('changes2_based on steps'!$B275:$U275,'changes2_based on steps'!$B$1:$U$1,AA$1)</f>
        <v>0</v>
      </c>
      <c r="AB275" s="140">
        <f ca="1">SUMIFS('recurring2_based on steps'!$B275:$AY275,'recurring2_based on steps'!$B$1:$AY$1,AB$1)+SUMIFS('changes2_based on steps'!$B275:$U275,'changes2_based on steps'!$B$1:$U$1,AB$1)</f>
        <v>0</v>
      </c>
      <c r="AC275" s="140">
        <f ca="1">SUMIFS('recurring2_based on steps'!$B275:$AY275,'recurring2_based on steps'!$B$1:$AY$1,AC$1)+SUMIFS('changes2_based on steps'!$B275:$U275,'changes2_based on steps'!$B$1:$U$1,AC$1)</f>
        <v>50</v>
      </c>
      <c r="AD275" s="140">
        <f ca="1">SUMIFS('recurring2_based on steps'!$B275:$AY275,'recurring2_based on steps'!$B$1:$AY$1,AD$1)+SUMIFS('changes2_based on steps'!$B275:$U275,'changes2_based on steps'!$B$1:$U$1,AD$1)</f>
        <v>0</v>
      </c>
      <c r="AE275" s="140">
        <f>SUMIFS('recurring2_based on steps'!$B275:$AY275,'recurring2_based on steps'!$B$1:$AY$1,AE$1)+SUMIFS('changes2_based on steps'!$B275:$U275,'changes2_based on steps'!$B$1:$U$1,AE$1)</f>
        <v>0</v>
      </c>
      <c r="AF275" s="140"/>
      <c r="AG275" s="140"/>
      <c r="AH275" s="140"/>
      <c r="AI275" s="140"/>
      <c r="AJ275" s="140"/>
      <c r="AK275" s="140"/>
      <c r="AL275" s="140"/>
      <c r="AM275" s="140"/>
    </row>
    <row r="276" spans="1:39" x14ac:dyDescent="0.2">
      <c r="A276" s="29">
        <f t="shared" ca="1" si="4"/>
        <v>46016</v>
      </c>
      <c r="B276" s="140">
        <f ca="1">SUMIFS('recurring2_based on steps'!$B276:$AY276,'recurring2_based on steps'!$B$1:$AY$1,B$1)+SUMIFS('changes2_based on steps'!$B276:$U276,'changes2_based on steps'!$B$1:$U$1,B$1)</f>
        <v>0</v>
      </c>
      <c r="C276" s="140">
        <f>SUMIFS('recurring2_based on steps'!$B276:$AY276,'recurring2_based on steps'!$B$1:$AY$1,C$1)+SUMIFS('changes2_based on steps'!$B276:$U276,'changes2_based on steps'!$B$1:$U$1,C$1)</f>
        <v>0</v>
      </c>
      <c r="D276" s="140">
        <f>SUMIFS('recurring2_based on steps'!$B276:$AY276,'recurring2_based on steps'!$B$1:$AY$1,D$1)+SUMIFS('changes2_based on steps'!$B276:$U276,'changes2_based on steps'!$B$1:$U$1,D$1)</f>
        <v>0</v>
      </c>
      <c r="E276" s="140">
        <f>SUMIFS('recurring2_based on steps'!$B276:$AY276,'recurring2_based on steps'!$B$1:$AY$1,E$1)+SUMIFS('changes2_based on steps'!$B276:$U276,'changes2_based on steps'!$B$1:$U$1,E$1)</f>
        <v>0</v>
      </c>
      <c r="F276" s="140">
        <f>SUMIFS('recurring2_based on steps'!$B276:$AY276,'recurring2_based on steps'!$B$1:$AY$1,F$1)+SUMIFS('changes2_based on steps'!$B276:$U276,'changes2_based on steps'!$B$1:$U$1,F$1)</f>
        <v>0</v>
      </c>
      <c r="G276" s="140">
        <f>SUMIFS('recurring2_based on steps'!$B276:$AY276,'recurring2_based on steps'!$B$1:$AY$1,G$1)+SUMIFS('changes2_based on steps'!$B276:$U276,'changes2_based on steps'!$B$1:$U$1,G$1)</f>
        <v>0</v>
      </c>
      <c r="H276" s="140">
        <f>SUMIFS('recurring2_based on steps'!$B276:$AY276,'recurring2_based on steps'!$B$1:$AY$1,H$1)+SUMIFS('changes2_based on steps'!$B276:$U276,'changes2_based on steps'!$B$1:$U$1,H$1)</f>
        <v>0</v>
      </c>
      <c r="I276" s="140">
        <f>SUMIFS('recurring2_based on steps'!$B276:$AY276,'recurring2_based on steps'!$B$1:$AY$1,I$1)+SUMIFS('changes2_based on steps'!$B276:$U276,'changes2_based on steps'!$B$1:$U$1,I$1)</f>
        <v>0</v>
      </c>
      <c r="J276" s="140">
        <f ca="1">SUMIFS('recurring2_based on steps'!$B276:$AY276,'recurring2_based on steps'!$B$1:$AY$1,J$1)+SUMIFS('changes2_based on steps'!$B276:$U276,'changes2_based on steps'!$B$1:$U$1,J$1)</f>
        <v>0</v>
      </c>
      <c r="K276" s="140">
        <f>SUMIFS('recurring2_based on steps'!$B276:$AY276,'recurring2_based on steps'!$B$1:$AY$1,K$1)+SUMIFS('changes2_based on steps'!$B276:$U276,'changes2_based on steps'!$B$1:$U$1,K$1)</f>
        <v>0</v>
      </c>
      <c r="L276" s="140">
        <f>SUMIFS('recurring2_based on steps'!$B276:$AY276,'recurring2_based on steps'!$B$1:$AY$1,L$1)+SUMIFS('changes2_based on steps'!$B276:$U276,'changes2_based on steps'!$B$1:$U$1,L$1)</f>
        <v>0</v>
      </c>
      <c r="M276" s="140">
        <f>SUMIFS('recurring2_based on steps'!$B276:$AY276,'recurring2_based on steps'!$B$1:$AY$1,M$1)+SUMIFS('changes2_based on steps'!$B276:$U276,'changes2_based on steps'!$B$1:$U$1,M$1)</f>
        <v>0</v>
      </c>
      <c r="N276" s="140">
        <f ca="1">SUMIFS('recurring2_based on steps'!$B276:$AY276,'recurring2_based on steps'!$B$1:$AY$1,N$1)+SUMIFS('changes2_based on steps'!$B276:$U276,'changes2_based on steps'!$B$1:$U$1,N$1)</f>
        <v>0</v>
      </c>
      <c r="O276" s="140">
        <f>SUMIFS('recurring2_based on steps'!$B276:$AY276,'recurring2_based on steps'!$B$1:$AY$1,O$1)+SUMIFS('changes2_based on steps'!$B276:$U276,'changes2_based on steps'!$B$1:$U$1,O$1)</f>
        <v>0</v>
      </c>
      <c r="P276" s="140">
        <f ca="1">SUMIFS('recurring2_based on steps'!$B276:$AY276,'recurring2_based on steps'!$B$1:$AY$1,P$1)+SUMIFS('changes2_based on steps'!$B276:$U276,'changes2_based on steps'!$B$1:$U$1,P$1)</f>
        <v>0</v>
      </c>
      <c r="Q276" s="140">
        <f ca="1">SUMIFS('recurring2_based on steps'!$B276:$AY276,'recurring2_based on steps'!$B$1:$AY$1,Q$1)+SUMIFS('changes2_based on steps'!$B276:$U276,'changes2_based on steps'!$B$1:$U$1,Q$1)</f>
        <v>5.5401662049861494E-2</v>
      </c>
      <c r="R276" s="140">
        <f ca="1">SUMIFS('recurring2_based on steps'!$B276:$AY276,'recurring2_based on steps'!$B$1:$AY$1,R$1)+SUMIFS('changes2_based on steps'!$B276:$U276,'changes2_based on steps'!$B$1:$U$1,R$1)</f>
        <v>0</v>
      </c>
      <c r="S276" s="140">
        <f>SUMIFS('recurring2_based on steps'!$B276:$AY276,'recurring2_based on steps'!$B$1:$AY$1,S$1)+SUMIFS('changes2_based on steps'!$B276:$U276,'changes2_based on steps'!$B$1:$U$1,S$1)</f>
        <v>0</v>
      </c>
      <c r="T276" s="140">
        <f ca="1">SUMIFS('recurring2_based on steps'!$B276:$AY276,'recurring2_based on steps'!$B$1:$AY$1,T$1)+SUMIFS('changes2_based on steps'!$B276:$U276,'changes2_based on steps'!$B$1:$U$1,T$1)</f>
        <v>0</v>
      </c>
      <c r="U276" s="140">
        <f ca="1">SUMIFS('recurring2_based on steps'!$B276:$AY276,'recurring2_based on steps'!$B$1:$AY$1,U$1)+SUMIFS('changes2_based on steps'!$B276:$U276,'changes2_based on steps'!$B$1:$U$1,U$1)</f>
        <v>0</v>
      </c>
      <c r="V276" s="140">
        <f>SUMIFS('recurring2_based on steps'!$B276:$AY276,'recurring2_based on steps'!$B$1:$AY$1,V$1)+SUMIFS('changes2_based on steps'!$B276:$U276,'changes2_based on steps'!$B$1:$U$1,V$1)</f>
        <v>0</v>
      </c>
      <c r="W276" s="140">
        <f>SUMIFS('recurring2_based on steps'!$B276:$AY276,'recurring2_based on steps'!$B$1:$AY$1,W$1)+SUMIFS('changes2_based on steps'!$B276:$U276,'changes2_based on steps'!$B$1:$U$1,W$1)</f>
        <v>0</v>
      </c>
      <c r="X276" s="140">
        <f ca="1">SUMIFS('recurring2_based on steps'!$B276:$AY276,'recurring2_based on steps'!$B$1:$AY$1,X$1)+SUMIFS('changes2_based on steps'!$B276:$U276,'changes2_based on steps'!$B$1:$U$1,X$1)</f>
        <v>0</v>
      </c>
      <c r="Y276" s="140">
        <f ca="1">SUMIFS('recurring2_based on steps'!$B276:$AY276,'recurring2_based on steps'!$B$1:$AY$1,Y$1)+SUMIFS('changes2_based on steps'!$B276:$U276,'changes2_based on steps'!$B$1:$U$1,Y$1)</f>
        <v>0</v>
      </c>
      <c r="Z276" s="140">
        <f>SUMIFS('recurring2_based on steps'!$B276:$AY276,'recurring2_based on steps'!$B$1:$AY$1,Z$1)+SUMIFS('changes2_based on steps'!$B276:$U276,'changes2_based on steps'!$B$1:$U$1,Z$1)</f>
        <v>0</v>
      </c>
      <c r="AA276" s="140">
        <f ca="1">SUMIFS('recurring2_based on steps'!$B276:$AY276,'recurring2_based on steps'!$B$1:$AY$1,AA$1)+SUMIFS('changes2_based on steps'!$B276:$U276,'changes2_based on steps'!$B$1:$U$1,AA$1)</f>
        <v>0</v>
      </c>
      <c r="AB276" s="140">
        <f ca="1">SUMIFS('recurring2_based on steps'!$B276:$AY276,'recurring2_based on steps'!$B$1:$AY$1,AB$1)+SUMIFS('changes2_based on steps'!$B276:$U276,'changes2_based on steps'!$B$1:$U$1,AB$1)</f>
        <v>0</v>
      </c>
      <c r="AC276" s="140">
        <f ca="1">SUMIFS('recurring2_based on steps'!$B276:$AY276,'recurring2_based on steps'!$B$1:$AY$1,AC$1)+SUMIFS('changes2_based on steps'!$B276:$U276,'changes2_based on steps'!$B$1:$U$1,AC$1)</f>
        <v>0</v>
      </c>
      <c r="AD276" s="140">
        <f ca="1">SUMIFS('recurring2_based on steps'!$B276:$AY276,'recurring2_based on steps'!$B$1:$AY$1,AD$1)+SUMIFS('changes2_based on steps'!$B276:$U276,'changes2_based on steps'!$B$1:$U$1,AD$1)</f>
        <v>0</v>
      </c>
      <c r="AE276" s="140">
        <f>SUMIFS('recurring2_based on steps'!$B276:$AY276,'recurring2_based on steps'!$B$1:$AY$1,AE$1)+SUMIFS('changes2_based on steps'!$B276:$U276,'changes2_based on steps'!$B$1:$U$1,AE$1)</f>
        <v>0</v>
      </c>
      <c r="AF276" s="140"/>
      <c r="AG276" s="140"/>
      <c r="AH276" s="140"/>
      <c r="AI276" s="140"/>
      <c r="AJ276" s="140"/>
      <c r="AK276" s="140"/>
      <c r="AL276" s="140"/>
      <c r="AM276" s="140"/>
    </row>
    <row r="277" spans="1:39" x14ac:dyDescent="0.2">
      <c r="A277" s="29">
        <f t="shared" ca="1" si="4"/>
        <v>46017</v>
      </c>
      <c r="B277" s="140">
        <f ca="1">SUMIFS('recurring2_based on steps'!$B277:$AY277,'recurring2_based on steps'!$B$1:$AY$1,B$1)+SUMIFS('changes2_based on steps'!$B277:$U277,'changes2_based on steps'!$B$1:$U$1,B$1)</f>
        <v>4000</v>
      </c>
      <c r="C277" s="140">
        <f>SUMIFS('recurring2_based on steps'!$B277:$AY277,'recurring2_based on steps'!$B$1:$AY$1,C$1)+SUMIFS('changes2_based on steps'!$B277:$U277,'changes2_based on steps'!$B$1:$U$1,C$1)</f>
        <v>0</v>
      </c>
      <c r="D277" s="140">
        <f>SUMIFS('recurring2_based on steps'!$B277:$AY277,'recurring2_based on steps'!$B$1:$AY$1,D$1)+SUMIFS('changes2_based on steps'!$B277:$U277,'changes2_based on steps'!$B$1:$U$1,D$1)</f>
        <v>0</v>
      </c>
      <c r="E277" s="140">
        <f>SUMIFS('recurring2_based on steps'!$B277:$AY277,'recurring2_based on steps'!$B$1:$AY$1,E$1)+SUMIFS('changes2_based on steps'!$B277:$U277,'changes2_based on steps'!$B$1:$U$1,E$1)</f>
        <v>0</v>
      </c>
      <c r="F277" s="140">
        <f>SUMIFS('recurring2_based on steps'!$B277:$AY277,'recurring2_based on steps'!$B$1:$AY$1,F$1)+SUMIFS('changes2_based on steps'!$B277:$U277,'changes2_based on steps'!$B$1:$U$1,F$1)</f>
        <v>0</v>
      </c>
      <c r="G277" s="140">
        <f>SUMIFS('recurring2_based on steps'!$B277:$AY277,'recurring2_based on steps'!$B$1:$AY$1,G$1)+SUMIFS('changes2_based on steps'!$B277:$U277,'changes2_based on steps'!$B$1:$U$1,G$1)</f>
        <v>0</v>
      </c>
      <c r="H277" s="140">
        <f>SUMIFS('recurring2_based on steps'!$B277:$AY277,'recurring2_based on steps'!$B$1:$AY$1,H$1)+SUMIFS('changes2_based on steps'!$B277:$U277,'changes2_based on steps'!$B$1:$U$1,H$1)</f>
        <v>0</v>
      </c>
      <c r="I277" s="140">
        <f>SUMIFS('recurring2_based on steps'!$B277:$AY277,'recurring2_based on steps'!$B$1:$AY$1,I$1)+SUMIFS('changes2_based on steps'!$B277:$U277,'changes2_based on steps'!$B$1:$U$1,I$1)</f>
        <v>0</v>
      </c>
      <c r="J277" s="140">
        <f ca="1">SUMIFS('recurring2_based on steps'!$B277:$AY277,'recurring2_based on steps'!$B$1:$AY$1,J$1)+SUMIFS('changes2_based on steps'!$B277:$U277,'changes2_based on steps'!$B$1:$U$1,J$1)</f>
        <v>0</v>
      </c>
      <c r="K277" s="140">
        <f>SUMIFS('recurring2_based on steps'!$B277:$AY277,'recurring2_based on steps'!$B$1:$AY$1,K$1)+SUMIFS('changes2_based on steps'!$B277:$U277,'changes2_based on steps'!$B$1:$U$1,K$1)</f>
        <v>0</v>
      </c>
      <c r="L277" s="140">
        <f>SUMIFS('recurring2_based on steps'!$B277:$AY277,'recurring2_based on steps'!$B$1:$AY$1,L$1)+SUMIFS('changes2_based on steps'!$B277:$U277,'changes2_based on steps'!$B$1:$U$1,L$1)</f>
        <v>0</v>
      </c>
      <c r="M277" s="140">
        <f>SUMIFS('recurring2_based on steps'!$B277:$AY277,'recurring2_based on steps'!$B$1:$AY$1,M$1)+SUMIFS('changes2_based on steps'!$B277:$U277,'changes2_based on steps'!$B$1:$U$1,M$1)</f>
        <v>0</v>
      </c>
      <c r="N277" s="140">
        <f ca="1">SUMIFS('recurring2_based on steps'!$B277:$AY277,'recurring2_based on steps'!$B$1:$AY$1,N$1)+SUMIFS('changes2_based on steps'!$B277:$U277,'changes2_based on steps'!$B$1:$U$1,N$1)</f>
        <v>0</v>
      </c>
      <c r="O277" s="140">
        <f>SUMIFS('recurring2_based on steps'!$B277:$AY277,'recurring2_based on steps'!$B$1:$AY$1,O$1)+SUMIFS('changes2_based on steps'!$B277:$U277,'changes2_based on steps'!$B$1:$U$1,O$1)</f>
        <v>0</v>
      </c>
      <c r="P277" s="140">
        <f ca="1">SUMIFS('recurring2_based on steps'!$B277:$AY277,'recurring2_based on steps'!$B$1:$AY$1,P$1)+SUMIFS('changes2_based on steps'!$B277:$U277,'changes2_based on steps'!$B$1:$U$1,P$1)</f>
        <v>0</v>
      </c>
      <c r="Q277" s="140">
        <f ca="1">SUMIFS('recurring2_based on steps'!$B277:$AY277,'recurring2_based on steps'!$B$1:$AY$1,Q$1)+SUMIFS('changes2_based on steps'!$B277:$U277,'changes2_based on steps'!$B$1:$U$1,Q$1)</f>
        <v>5.5401662049861494E-2</v>
      </c>
      <c r="R277" s="140">
        <f ca="1">SUMIFS('recurring2_based on steps'!$B277:$AY277,'recurring2_based on steps'!$B$1:$AY$1,R$1)+SUMIFS('changes2_based on steps'!$B277:$U277,'changes2_based on steps'!$B$1:$U$1,R$1)</f>
        <v>0</v>
      </c>
      <c r="S277" s="140">
        <f>SUMIFS('recurring2_based on steps'!$B277:$AY277,'recurring2_based on steps'!$B$1:$AY$1,S$1)+SUMIFS('changes2_based on steps'!$B277:$U277,'changes2_based on steps'!$B$1:$U$1,S$1)</f>
        <v>0</v>
      </c>
      <c r="T277" s="140">
        <f ca="1">SUMIFS('recurring2_based on steps'!$B277:$AY277,'recurring2_based on steps'!$B$1:$AY$1,T$1)+SUMIFS('changes2_based on steps'!$B277:$U277,'changes2_based on steps'!$B$1:$U$1,T$1)</f>
        <v>50</v>
      </c>
      <c r="U277" s="140">
        <f ca="1">SUMIFS('recurring2_based on steps'!$B277:$AY277,'recurring2_based on steps'!$B$1:$AY$1,U$1)+SUMIFS('changes2_based on steps'!$B277:$U277,'changes2_based on steps'!$B$1:$U$1,U$1)</f>
        <v>200</v>
      </c>
      <c r="V277" s="140">
        <f>SUMIFS('recurring2_based on steps'!$B277:$AY277,'recurring2_based on steps'!$B$1:$AY$1,V$1)+SUMIFS('changes2_based on steps'!$B277:$U277,'changes2_based on steps'!$B$1:$U$1,V$1)</f>
        <v>0</v>
      </c>
      <c r="W277" s="140">
        <f>SUMIFS('recurring2_based on steps'!$B277:$AY277,'recurring2_based on steps'!$B$1:$AY$1,W$1)+SUMIFS('changes2_based on steps'!$B277:$U277,'changes2_based on steps'!$B$1:$U$1,W$1)</f>
        <v>0</v>
      </c>
      <c r="X277" s="140">
        <f ca="1">SUMIFS('recurring2_based on steps'!$B277:$AY277,'recurring2_based on steps'!$B$1:$AY$1,X$1)+SUMIFS('changes2_based on steps'!$B277:$U277,'changes2_based on steps'!$B$1:$U$1,X$1)</f>
        <v>96</v>
      </c>
      <c r="Y277" s="140">
        <f ca="1">SUMIFS('recurring2_based on steps'!$B277:$AY277,'recurring2_based on steps'!$B$1:$AY$1,Y$1)+SUMIFS('changes2_based on steps'!$B277:$U277,'changes2_based on steps'!$B$1:$U$1,Y$1)</f>
        <v>0</v>
      </c>
      <c r="Z277" s="140">
        <f>SUMIFS('recurring2_based on steps'!$B277:$AY277,'recurring2_based on steps'!$B$1:$AY$1,Z$1)+SUMIFS('changes2_based on steps'!$B277:$U277,'changes2_based on steps'!$B$1:$U$1,Z$1)</f>
        <v>0</v>
      </c>
      <c r="AA277" s="140">
        <f ca="1">SUMIFS('recurring2_based on steps'!$B277:$AY277,'recurring2_based on steps'!$B$1:$AY$1,AA$1)+SUMIFS('changes2_based on steps'!$B277:$U277,'changes2_based on steps'!$B$1:$U$1,AA$1)</f>
        <v>0</v>
      </c>
      <c r="AB277" s="140">
        <f ca="1">SUMIFS('recurring2_based on steps'!$B277:$AY277,'recurring2_based on steps'!$B$1:$AY$1,AB$1)+SUMIFS('changes2_based on steps'!$B277:$U277,'changes2_based on steps'!$B$1:$U$1,AB$1)</f>
        <v>0</v>
      </c>
      <c r="AC277" s="140">
        <f ca="1">SUMIFS('recurring2_based on steps'!$B277:$AY277,'recurring2_based on steps'!$B$1:$AY$1,AC$1)+SUMIFS('changes2_based on steps'!$B277:$U277,'changes2_based on steps'!$B$1:$U$1,AC$1)</f>
        <v>0</v>
      </c>
      <c r="AD277" s="140">
        <f ca="1">SUMIFS('recurring2_based on steps'!$B277:$AY277,'recurring2_based on steps'!$B$1:$AY$1,AD$1)+SUMIFS('changes2_based on steps'!$B277:$U277,'changes2_based on steps'!$B$1:$U$1,AD$1)</f>
        <v>50</v>
      </c>
      <c r="AE277" s="140">
        <f>SUMIFS('recurring2_based on steps'!$B277:$AY277,'recurring2_based on steps'!$B$1:$AY$1,AE$1)+SUMIFS('changes2_based on steps'!$B277:$U277,'changes2_based on steps'!$B$1:$U$1,AE$1)</f>
        <v>0</v>
      </c>
      <c r="AF277" s="140"/>
      <c r="AG277" s="140"/>
      <c r="AH277" s="140"/>
      <c r="AI277" s="140"/>
      <c r="AJ277" s="140"/>
      <c r="AK277" s="140"/>
      <c r="AL277" s="140"/>
      <c r="AM277" s="140"/>
    </row>
    <row r="278" spans="1:39" x14ac:dyDescent="0.2">
      <c r="A278" s="29">
        <f t="shared" ca="1" si="4"/>
        <v>46018</v>
      </c>
      <c r="B278" s="140">
        <f ca="1">SUMIFS('recurring2_based on steps'!$B278:$AY278,'recurring2_based on steps'!$B$1:$AY$1,B$1)+SUMIFS('changes2_based on steps'!$B278:$U278,'changes2_based on steps'!$B$1:$U$1,B$1)</f>
        <v>0</v>
      </c>
      <c r="C278" s="140">
        <f>SUMIFS('recurring2_based on steps'!$B278:$AY278,'recurring2_based on steps'!$B$1:$AY$1,C$1)+SUMIFS('changes2_based on steps'!$B278:$U278,'changes2_based on steps'!$B$1:$U$1,C$1)</f>
        <v>0</v>
      </c>
      <c r="D278" s="140">
        <f>SUMIFS('recurring2_based on steps'!$B278:$AY278,'recurring2_based on steps'!$B$1:$AY$1,D$1)+SUMIFS('changes2_based on steps'!$B278:$U278,'changes2_based on steps'!$B$1:$U$1,D$1)</f>
        <v>0</v>
      </c>
      <c r="E278" s="140">
        <f>SUMIFS('recurring2_based on steps'!$B278:$AY278,'recurring2_based on steps'!$B$1:$AY$1,E$1)+SUMIFS('changes2_based on steps'!$B278:$U278,'changes2_based on steps'!$B$1:$U$1,E$1)</f>
        <v>0</v>
      </c>
      <c r="F278" s="140">
        <f>SUMIFS('recurring2_based on steps'!$B278:$AY278,'recurring2_based on steps'!$B$1:$AY$1,F$1)+SUMIFS('changes2_based on steps'!$B278:$U278,'changes2_based on steps'!$B$1:$U$1,F$1)</f>
        <v>0</v>
      </c>
      <c r="G278" s="140">
        <f>SUMIFS('recurring2_based on steps'!$B278:$AY278,'recurring2_based on steps'!$B$1:$AY$1,G$1)+SUMIFS('changes2_based on steps'!$B278:$U278,'changes2_based on steps'!$B$1:$U$1,G$1)</f>
        <v>0</v>
      </c>
      <c r="H278" s="140">
        <f>SUMIFS('recurring2_based on steps'!$B278:$AY278,'recurring2_based on steps'!$B$1:$AY$1,H$1)+SUMIFS('changes2_based on steps'!$B278:$U278,'changes2_based on steps'!$B$1:$U$1,H$1)</f>
        <v>0</v>
      </c>
      <c r="I278" s="140">
        <f>SUMIFS('recurring2_based on steps'!$B278:$AY278,'recurring2_based on steps'!$B$1:$AY$1,I$1)+SUMIFS('changes2_based on steps'!$B278:$U278,'changes2_based on steps'!$B$1:$U$1,I$1)</f>
        <v>0</v>
      </c>
      <c r="J278" s="140">
        <f ca="1">SUMIFS('recurring2_based on steps'!$B278:$AY278,'recurring2_based on steps'!$B$1:$AY$1,J$1)+SUMIFS('changes2_based on steps'!$B278:$U278,'changes2_based on steps'!$B$1:$U$1,J$1)</f>
        <v>0</v>
      </c>
      <c r="K278" s="140">
        <f>SUMIFS('recurring2_based on steps'!$B278:$AY278,'recurring2_based on steps'!$B$1:$AY$1,K$1)+SUMIFS('changes2_based on steps'!$B278:$U278,'changes2_based on steps'!$B$1:$U$1,K$1)</f>
        <v>0</v>
      </c>
      <c r="L278" s="140">
        <f>SUMIFS('recurring2_based on steps'!$B278:$AY278,'recurring2_based on steps'!$B$1:$AY$1,L$1)+SUMIFS('changes2_based on steps'!$B278:$U278,'changes2_based on steps'!$B$1:$U$1,L$1)</f>
        <v>0</v>
      </c>
      <c r="M278" s="140">
        <f>SUMIFS('recurring2_based on steps'!$B278:$AY278,'recurring2_based on steps'!$B$1:$AY$1,M$1)+SUMIFS('changes2_based on steps'!$B278:$U278,'changes2_based on steps'!$B$1:$U$1,M$1)</f>
        <v>0</v>
      </c>
      <c r="N278" s="140">
        <f ca="1">SUMIFS('recurring2_based on steps'!$B278:$AY278,'recurring2_based on steps'!$B$1:$AY$1,N$1)+SUMIFS('changes2_based on steps'!$B278:$U278,'changes2_based on steps'!$B$1:$U$1,N$1)</f>
        <v>0</v>
      </c>
      <c r="O278" s="140">
        <f>SUMIFS('recurring2_based on steps'!$B278:$AY278,'recurring2_based on steps'!$B$1:$AY$1,O$1)+SUMIFS('changes2_based on steps'!$B278:$U278,'changes2_based on steps'!$B$1:$U$1,O$1)</f>
        <v>0</v>
      </c>
      <c r="P278" s="140">
        <f ca="1">SUMIFS('recurring2_based on steps'!$B278:$AY278,'recurring2_based on steps'!$B$1:$AY$1,P$1)+SUMIFS('changes2_based on steps'!$B278:$U278,'changes2_based on steps'!$B$1:$U$1,P$1)</f>
        <v>0</v>
      </c>
      <c r="Q278" s="140">
        <f ca="1">SUMIFS('recurring2_based on steps'!$B278:$AY278,'recurring2_based on steps'!$B$1:$AY$1,Q$1)+SUMIFS('changes2_based on steps'!$B278:$U278,'changes2_based on steps'!$B$1:$U$1,Q$1)</f>
        <v>100.05540166204986</v>
      </c>
      <c r="R278" s="140">
        <f ca="1">SUMIFS('recurring2_based on steps'!$B278:$AY278,'recurring2_based on steps'!$B$1:$AY$1,R$1)+SUMIFS('changes2_based on steps'!$B278:$U278,'changes2_based on steps'!$B$1:$U$1,R$1)</f>
        <v>2.99</v>
      </c>
      <c r="S278" s="140">
        <f>SUMIFS('recurring2_based on steps'!$B278:$AY278,'recurring2_based on steps'!$B$1:$AY$1,S$1)+SUMIFS('changes2_based on steps'!$B278:$U278,'changes2_based on steps'!$B$1:$U$1,S$1)</f>
        <v>0</v>
      </c>
      <c r="T278" s="140">
        <f ca="1">SUMIFS('recurring2_based on steps'!$B278:$AY278,'recurring2_based on steps'!$B$1:$AY$1,T$1)+SUMIFS('changes2_based on steps'!$B278:$U278,'changes2_based on steps'!$B$1:$U$1,T$1)</f>
        <v>0</v>
      </c>
      <c r="U278" s="140">
        <f ca="1">SUMIFS('recurring2_based on steps'!$B278:$AY278,'recurring2_based on steps'!$B$1:$AY$1,U$1)+SUMIFS('changes2_based on steps'!$B278:$U278,'changes2_based on steps'!$B$1:$U$1,U$1)</f>
        <v>0</v>
      </c>
      <c r="V278" s="140">
        <f>SUMIFS('recurring2_based on steps'!$B278:$AY278,'recurring2_based on steps'!$B$1:$AY$1,V$1)+SUMIFS('changes2_based on steps'!$B278:$U278,'changes2_based on steps'!$B$1:$U$1,V$1)</f>
        <v>0</v>
      </c>
      <c r="W278" s="140">
        <f>SUMIFS('recurring2_based on steps'!$B278:$AY278,'recurring2_based on steps'!$B$1:$AY$1,W$1)+SUMIFS('changes2_based on steps'!$B278:$U278,'changes2_based on steps'!$B$1:$U$1,W$1)</f>
        <v>0</v>
      </c>
      <c r="X278" s="140">
        <f ca="1">SUMIFS('recurring2_based on steps'!$B278:$AY278,'recurring2_based on steps'!$B$1:$AY$1,X$1)+SUMIFS('changes2_based on steps'!$B278:$U278,'changes2_based on steps'!$B$1:$U$1,X$1)</f>
        <v>0</v>
      </c>
      <c r="Y278" s="140">
        <f ca="1">SUMIFS('recurring2_based on steps'!$B278:$AY278,'recurring2_based on steps'!$B$1:$AY$1,Y$1)+SUMIFS('changes2_based on steps'!$B278:$U278,'changes2_based on steps'!$B$1:$U$1,Y$1)</f>
        <v>0</v>
      </c>
      <c r="Z278" s="140">
        <f>SUMIFS('recurring2_based on steps'!$B278:$AY278,'recurring2_based on steps'!$B$1:$AY$1,Z$1)+SUMIFS('changes2_based on steps'!$B278:$U278,'changes2_based on steps'!$B$1:$U$1,Z$1)</f>
        <v>0</v>
      </c>
      <c r="AA278" s="140">
        <f ca="1">SUMIFS('recurring2_based on steps'!$B278:$AY278,'recurring2_based on steps'!$B$1:$AY$1,AA$1)+SUMIFS('changes2_based on steps'!$B278:$U278,'changes2_based on steps'!$B$1:$U$1,AA$1)</f>
        <v>0</v>
      </c>
      <c r="AB278" s="140">
        <f ca="1">SUMIFS('recurring2_based on steps'!$B278:$AY278,'recurring2_based on steps'!$B$1:$AY$1,AB$1)+SUMIFS('changes2_based on steps'!$B278:$U278,'changes2_based on steps'!$B$1:$U$1,AB$1)</f>
        <v>100</v>
      </c>
      <c r="AC278" s="140">
        <f ca="1">SUMIFS('recurring2_based on steps'!$B278:$AY278,'recurring2_based on steps'!$B$1:$AY$1,AC$1)+SUMIFS('changes2_based on steps'!$B278:$U278,'changes2_based on steps'!$B$1:$U$1,AC$1)</f>
        <v>0</v>
      </c>
      <c r="AD278" s="140">
        <f ca="1">SUMIFS('recurring2_based on steps'!$B278:$AY278,'recurring2_based on steps'!$B$1:$AY$1,AD$1)+SUMIFS('changes2_based on steps'!$B278:$U278,'changes2_based on steps'!$B$1:$U$1,AD$1)</f>
        <v>0</v>
      </c>
      <c r="AE278" s="140">
        <f>SUMIFS('recurring2_based on steps'!$B278:$AY278,'recurring2_based on steps'!$B$1:$AY$1,AE$1)+SUMIFS('changes2_based on steps'!$B278:$U278,'changes2_based on steps'!$B$1:$U$1,AE$1)</f>
        <v>0</v>
      </c>
      <c r="AF278" s="140"/>
      <c r="AG278" s="140"/>
      <c r="AH278" s="140"/>
      <c r="AI278" s="140"/>
      <c r="AJ278" s="140"/>
      <c r="AK278" s="140"/>
      <c r="AL278" s="140"/>
      <c r="AM278" s="140"/>
    </row>
    <row r="279" spans="1:39" x14ac:dyDescent="0.2">
      <c r="A279" s="29">
        <f t="shared" ca="1" si="4"/>
        <v>46019</v>
      </c>
      <c r="B279" s="140">
        <f ca="1">SUMIFS('recurring2_based on steps'!$B279:$AY279,'recurring2_based on steps'!$B$1:$AY$1,B$1)+SUMIFS('changes2_based on steps'!$B279:$U279,'changes2_based on steps'!$B$1:$U$1,B$1)</f>
        <v>0</v>
      </c>
      <c r="C279" s="140">
        <f>SUMIFS('recurring2_based on steps'!$B279:$AY279,'recurring2_based on steps'!$B$1:$AY$1,C$1)+SUMIFS('changes2_based on steps'!$B279:$U279,'changes2_based on steps'!$B$1:$U$1,C$1)</f>
        <v>0</v>
      </c>
      <c r="D279" s="140">
        <f>SUMIFS('recurring2_based on steps'!$B279:$AY279,'recurring2_based on steps'!$B$1:$AY$1,D$1)+SUMIFS('changes2_based on steps'!$B279:$U279,'changes2_based on steps'!$B$1:$U$1,D$1)</f>
        <v>0</v>
      </c>
      <c r="E279" s="140">
        <f>SUMIFS('recurring2_based on steps'!$B279:$AY279,'recurring2_based on steps'!$B$1:$AY$1,E$1)+SUMIFS('changes2_based on steps'!$B279:$U279,'changes2_based on steps'!$B$1:$U$1,E$1)</f>
        <v>0</v>
      </c>
      <c r="F279" s="140">
        <f>SUMIFS('recurring2_based on steps'!$B279:$AY279,'recurring2_based on steps'!$B$1:$AY$1,F$1)+SUMIFS('changes2_based on steps'!$B279:$U279,'changes2_based on steps'!$B$1:$U$1,F$1)</f>
        <v>0</v>
      </c>
      <c r="G279" s="140">
        <f>SUMIFS('recurring2_based on steps'!$B279:$AY279,'recurring2_based on steps'!$B$1:$AY$1,G$1)+SUMIFS('changes2_based on steps'!$B279:$U279,'changes2_based on steps'!$B$1:$U$1,G$1)</f>
        <v>0</v>
      </c>
      <c r="H279" s="140">
        <f>SUMIFS('recurring2_based on steps'!$B279:$AY279,'recurring2_based on steps'!$B$1:$AY$1,H$1)+SUMIFS('changes2_based on steps'!$B279:$U279,'changes2_based on steps'!$B$1:$U$1,H$1)</f>
        <v>0</v>
      </c>
      <c r="I279" s="140">
        <f>SUMIFS('recurring2_based on steps'!$B279:$AY279,'recurring2_based on steps'!$B$1:$AY$1,I$1)+SUMIFS('changes2_based on steps'!$B279:$U279,'changes2_based on steps'!$B$1:$U$1,I$1)</f>
        <v>0</v>
      </c>
      <c r="J279" s="140">
        <f ca="1">SUMIFS('recurring2_based on steps'!$B279:$AY279,'recurring2_based on steps'!$B$1:$AY$1,J$1)+SUMIFS('changes2_based on steps'!$B279:$U279,'changes2_based on steps'!$B$1:$U$1,J$1)</f>
        <v>0</v>
      </c>
      <c r="K279" s="140">
        <f>SUMIFS('recurring2_based on steps'!$B279:$AY279,'recurring2_based on steps'!$B$1:$AY$1,K$1)+SUMIFS('changes2_based on steps'!$B279:$U279,'changes2_based on steps'!$B$1:$U$1,K$1)</f>
        <v>0</v>
      </c>
      <c r="L279" s="140">
        <f>SUMIFS('recurring2_based on steps'!$B279:$AY279,'recurring2_based on steps'!$B$1:$AY$1,L$1)+SUMIFS('changes2_based on steps'!$B279:$U279,'changes2_based on steps'!$B$1:$U$1,L$1)</f>
        <v>0</v>
      </c>
      <c r="M279" s="140">
        <f>SUMIFS('recurring2_based on steps'!$B279:$AY279,'recurring2_based on steps'!$B$1:$AY$1,M$1)+SUMIFS('changes2_based on steps'!$B279:$U279,'changes2_based on steps'!$B$1:$U$1,M$1)</f>
        <v>0</v>
      </c>
      <c r="N279" s="140">
        <f ca="1">SUMIFS('recurring2_based on steps'!$B279:$AY279,'recurring2_based on steps'!$B$1:$AY$1,N$1)+SUMIFS('changes2_based on steps'!$B279:$U279,'changes2_based on steps'!$B$1:$U$1,N$1)</f>
        <v>0</v>
      </c>
      <c r="O279" s="140">
        <f>SUMIFS('recurring2_based on steps'!$B279:$AY279,'recurring2_based on steps'!$B$1:$AY$1,O$1)+SUMIFS('changes2_based on steps'!$B279:$U279,'changes2_based on steps'!$B$1:$U$1,O$1)</f>
        <v>0</v>
      </c>
      <c r="P279" s="140">
        <f ca="1">SUMIFS('recurring2_based on steps'!$B279:$AY279,'recurring2_based on steps'!$B$1:$AY$1,P$1)+SUMIFS('changes2_based on steps'!$B279:$U279,'changes2_based on steps'!$B$1:$U$1,P$1)</f>
        <v>0</v>
      </c>
      <c r="Q279" s="140">
        <f ca="1">SUMIFS('recurring2_based on steps'!$B279:$AY279,'recurring2_based on steps'!$B$1:$AY$1,Q$1)+SUMIFS('changes2_based on steps'!$B279:$U279,'changes2_based on steps'!$B$1:$U$1,Q$1)</f>
        <v>100.05540166204986</v>
      </c>
      <c r="R279" s="140">
        <f ca="1">SUMIFS('recurring2_based on steps'!$B279:$AY279,'recurring2_based on steps'!$B$1:$AY$1,R$1)+SUMIFS('changes2_based on steps'!$B279:$U279,'changes2_based on steps'!$B$1:$U$1,R$1)</f>
        <v>0</v>
      </c>
      <c r="S279" s="140">
        <f>SUMIFS('recurring2_based on steps'!$B279:$AY279,'recurring2_based on steps'!$B$1:$AY$1,S$1)+SUMIFS('changes2_based on steps'!$B279:$U279,'changes2_based on steps'!$B$1:$U$1,S$1)</f>
        <v>0</v>
      </c>
      <c r="T279" s="140">
        <f ca="1">SUMIFS('recurring2_based on steps'!$B279:$AY279,'recurring2_based on steps'!$B$1:$AY$1,T$1)+SUMIFS('changes2_based on steps'!$B279:$U279,'changes2_based on steps'!$B$1:$U$1,T$1)</f>
        <v>0</v>
      </c>
      <c r="U279" s="140">
        <f ca="1">SUMIFS('recurring2_based on steps'!$B279:$AY279,'recurring2_based on steps'!$B$1:$AY$1,U$1)+SUMIFS('changes2_based on steps'!$B279:$U279,'changes2_based on steps'!$B$1:$U$1,U$1)</f>
        <v>0</v>
      </c>
      <c r="V279" s="140">
        <f>SUMIFS('recurring2_based on steps'!$B279:$AY279,'recurring2_based on steps'!$B$1:$AY$1,V$1)+SUMIFS('changes2_based on steps'!$B279:$U279,'changes2_based on steps'!$B$1:$U$1,V$1)</f>
        <v>0</v>
      </c>
      <c r="W279" s="140">
        <f>SUMIFS('recurring2_based on steps'!$B279:$AY279,'recurring2_based on steps'!$B$1:$AY$1,W$1)+SUMIFS('changes2_based on steps'!$B279:$U279,'changes2_based on steps'!$B$1:$U$1,W$1)</f>
        <v>0</v>
      </c>
      <c r="X279" s="140">
        <f ca="1">SUMIFS('recurring2_based on steps'!$B279:$AY279,'recurring2_based on steps'!$B$1:$AY$1,X$1)+SUMIFS('changes2_based on steps'!$B279:$U279,'changes2_based on steps'!$B$1:$U$1,X$1)</f>
        <v>0</v>
      </c>
      <c r="Y279" s="140">
        <f ca="1">SUMIFS('recurring2_based on steps'!$B279:$AY279,'recurring2_based on steps'!$B$1:$AY$1,Y$1)+SUMIFS('changes2_based on steps'!$B279:$U279,'changes2_based on steps'!$B$1:$U$1,Y$1)</f>
        <v>50</v>
      </c>
      <c r="Z279" s="140">
        <f>SUMIFS('recurring2_based on steps'!$B279:$AY279,'recurring2_based on steps'!$B$1:$AY$1,Z$1)+SUMIFS('changes2_based on steps'!$B279:$U279,'changes2_based on steps'!$B$1:$U$1,Z$1)</f>
        <v>0</v>
      </c>
      <c r="AA279" s="140">
        <f ca="1">SUMIFS('recurring2_based on steps'!$B279:$AY279,'recurring2_based on steps'!$B$1:$AY$1,AA$1)+SUMIFS('changes2_based on steps'!$B279:$U279,'changes2_based on steps'!$B$1:$U$1,AA$1)</f>
        <v>0</v>
      </c>
      <c r="AB279" s="140">
        <f ca="1">SUMIFS('recurring2_based on steps'!$B279:$AY279,'recurring2_based on steps'!$B$1:$AY$1,AB$1)+SUMIFS('changes2_based on steps'!$B279:$U279,'changes2_based on steps'!$B$1:$U$1,AB$1)</f>
        <v>0</v>
      </c>
      <c r="AC279" s="140">
        <f ca="1">SUMIFS('recurring2_based on steps'!$B279:$AY279,'recurring2_based on steps'!$B$1:$AY$1,AC$1)+SUMIFS('changes2_based on steps'!$B279:$U279,'changes2_based on steps'!$B$1:$U$1,AC$1)</f>
        <v>0</v>
      </c>
      <c r="AD279" s="140">
        <f ca="1">SUMIFS('recurring2_based on steps'!$B279:$AY279,'recurring2_based on steps'!$B$1:$AY$1,AD$1)+SUMIFS('changes2_based on steps'!$B279:$U279,'changes2_based on steps'!$B$1:$U$1,AD$1)</f>
        <v>0</v>
      </c>
      <c r="AE279" s="140">
        <f>SUMIFS('recurring2_based on steps'!$B279:$AY279,'recurring2_based on steps'!$B$1:$AY$1,AE$1)+SUMIFS('changes2_based on steps'!$B279:$U279,'changes2_based on steps'!$B$1:$U$1,AE$1)</f>
        <v>0</v>
      </c>
      <c r="AF279" s="140"/>
      <c r="AG279" s="140"/>
      <c r="AH279" s="140"/>
      <c r="AI279" s="140"/>
      <c r="AJ279" s="140"/>
      <c r="AK279" s="140"/>
      <c r="AL279" s="140"/>
      <c r="AM279" s="140"/>
    </row>
    <row r="280" spans="1:39" x14ac:dyDescent="0.2">
      <c r="A280" s="29">
        <f t="shared" ca="1" si="4"/>
        <v>46020</v>
      </c>
      <c r="B280" s="140">
        <f ca="1">SUMIFS('recurring2_based on steps'!$B280:$AY280,'recurring2_based on steps'!$B$1:$AY$1,B$1)+SUMIFS('changes2_based on steps'!$B280:$U280,'changes2_based on steps'!$B$1:$U$1,B$1)</f>
        <v>0</v>
      </c>
      <c r="C280" s="140">
        <f>SUMIFS('recurring2_based on steps'!$B280:$AY280,'recurring2_based on steps'!$B$1:$AY$1,C$1)+SUMIFS('changes2_based on steps'!$B280:$U280,'changes2_based on steps'!$B$1:$U$1,C$1)</f>
        <v>0</v>
      </c>
      <c r="D280" s="140">
        <f>SUMIFS('recurring2_based on steps'!$B280:$AY280,'recurring2_based on steps'!$B$1:$AY$1,D$1)+SUMIFS('changes2_based on steps'!$B280:$U280,'changes2_based on steps'!$B$1:$U$1,D$1)</f>
        <v>0</v>
      </c>
      <c r="E280" s="140">
        <f>SUMIFS('recurring2_based on steps'!$B280:$AY280,'recurring2_based on steps'!$B$1:$AY$1,E$1)+SUMIFS('changes2_based on steps'!$B280:$U280,'changes2_based on steps'!$B$1:$U$1,E$1)</f>
        <v>0</v>
      </c>
      <c r="F280" s="140">
        <f>SUMIFS('recurring2_based on steps'!$B280:$AY280,'recurring2_based on steps'!$B$1:$AY$1,F$1)+SUMIFS('changes2_based on steps'!$B280:$U280,'changes2_based on steps'!$B$1:$U$1,F$1)</f>
        <v>0</v>
      </c>
      <c r="G280" s="140">
        <f>SUMIFS('recurring2_based on steps'!$B280:$AY280,'recurring2_based on steps'!$B$1:$AY$1,G$1)+SUMIFS('changes2_based on steps'!$B280:$U280,'changes2_based on steps'!$B$1:$U$1,G$1)</f>
        <v>0</v>
      </c>
      <c r="H280" s="140">
        <f>SUMIFS('recurring2_based on steps'!$B280:$AY280,'recurring2_based on steps'!$B$1:$AY$1,H$1)+SUMIFS('changes2_based on steps'!$B280:$U280,'changes2_based on steps'!$B$1:$U$1,H$1)</f>
        <v>0</v>
      </c>
      <c r="I280" s="140">
        <f>SUMIFS('recurring2_based on steps'!$B280:$AY280,'recurring2_based on steps'!$B$1:$AY$1,I$1)+SUMIFS('changes2_based on steps'!$B280:$U280,'changes2_based on steps'!$B$1:$U$1,I$1)</f>
        <v>0</v>
      </c>
      <c r="J280" s="140">
        <f ca="1">SUMIFS('recurring2_based on steps'!$B280:$AY280,'recurring2_based on steps'!$B$1:$AY$1,J$1)+SUMIFS('changes2_based on steps'!$B280:$U280,'changes2_based on steps'!$B$1:$U$1,J$1)</f>
        <v>0</v>
      </c>
      <c r="K280" s="140">
        <f>SUMIFS('recurring2_based on steps'!$B280:$AY280,'recurring2_based on steps'!$B$1:$AY$1,K$1)+SUMIFS('changes2_based on steps'!$B280:$U280,'changes2_based on steps'!$B$1:$U$1,K$1)</f>
        <v>0</v>
      </c>
      <c r="L280" s="140">
        <f>SUMIFS('recurring2_based on steps'!$B280:$AY280,'recurring2_based on steps'!$B$1:$AY$1,L$1)+SUMIFS('changes2_based on steps'!$B280:$U280,'changes2_based on steps'!$B$1:$U$1,L$1)</f>
        <v>0</v>
      </c>
      <c r="M280" s="140">
        <f>SUMIFS('recurring2_based on steps'!$B280:$AY280,'recurring2_based on steps'!$B$1:$AY$1,M$1)+SUMIFS('changes2_based on steps'!$B280:$U280,'changes2_based on steps'!$B$1:$U$1,M$1)</f>
        <v>0</v>
      </c>
      <c r="N280" s="140">
        <f ca="1">SUMIFS('recurring2_based on steps'!$B280:$AY280,'recurring2_based on steps'!$B$1:$AY$1,N$1)+SUMIFS('changes2_based on steps'!$B280:$U280,'changes2_based on steps'!$B$1:$U$1,N$1)</f>
        <v>0</v>
      </c>
      <c r="O280" s="140">
        <f>SUMIFS('recurring2_based on steps'!$B280:$AY280,'recurring2_based on steps'!$B$1:$AY$1,O$1)+SUMIFS('changes2_based on steps'!$B280:$U280,'changes2_based on steps'!$B$1:$U$1,O$1)</f>
        <v>0</v>
      </c>
      <c r="P280" s="140">
        <f ca="1">SUMIFS('recurring2_based on steps'!$B280:$AY280,'recurring2_based on steps'!$B$1:$AY$1,P$1)+SUMIFS('changes2_based on steps'!$B280:$U280,'changes2_based on steps'!$B$1:$U$1,P$1)</f>
        <v>0</v>
      </c>
      <c r="Q280" s="140">
        <f ca="1">SUMIFS('recurring2_based on steps'!$B280:$AY280,'recurring2_based on steps'!$B$1:$AY$1,Q$1)+SUMIFS('changes2_based on steps'!$B280:$U280,'changes2_based on steps'!$B$1:$U$1,Q$1)</f>
        <v>5.5401662049861494E-2</v>
      </c>
      <c r="R280" s="140">
        <f ca="1">SUMIFS('recurring2_based on steps'!$B280:$AY280,'recurring2_based on steps'!$B$1:$AY$1,R$1)+SUMIFS('changes2_based on steps'!$B280:$U280,'changes2_based on steps'!$B$1:$U$1,R$1)</f>
        <v>0</v>
      </c>
      <c r="S280" s="140">
        <f>SUMIFS('recurring2_based on steps'!$B280:$AY280,'recurring2_based on steps'!$B$1:$AY$1,S$1)+SUMIFS('changes2_based on steps'!$B280:$U280,'changes2_based on steps'!$B$1:$U$1,S$1)</f>
        <v>0</v>
      </c>
      <c r="T280" s="140">
        <f ca="1">SUMIFS('recurring2_based on steps'!$B280:$AY280,'recurring2_based on steps'!$B$1:$AY$1,T$1)+SUMIFS('changes2_based on steps'!$B280:$U280,'changes2_based on steps'!$B$1:$U$1,T$1)</f>
        <v>0</v>
      </c>
      <c r="U280" s="140">
        <f ca="1">SUMIFS('recurring2_based on steps'!$B280:$AY280,'recurring2_based on steps'!$B$1:$AY$1,U$1)+SUMIFS('changes2_based on steps'!$B280:$U280,'changes2_based on steps'!$B$1:$U$1,U$1)</f>
        <v>0</v>
      </c>
      <c r="V280" s="140">
        <f>SUMIFS('recurring2_based on steps'!$B280:$AY280,'recurring2_based on steps'!$B$1:$AY$1,V$1)+SUMIFS('changes2_based on steps'!$B280:$U280,'changes2_based on steps'!$B$1:$U$1,V$1)</f>
        <v>0</v>
      </c>
      <c r="W280" s="140">
        <f>SUMIFS('recurring2_based on steps'!$B280:$AY280,'recurring2_based on steps'!$B$1:$AY$1,W$1)+SUMIFS('changes2_based on steps'!$B280:$U280,'changes2_based on steps'!$B$1:$U$1,W$1)</f>
        <v>0</v>
      </c>
      <c r="X280" s="140">
        <f ca="1">SUMIFS('recurring2_based on steps'!$B280:$AY280,'recurring2_based on steps'!$B$1:$AY$1,X$1)+SUMIFS('changes2_based on steps'!$B280:$U280,'changes2_based on steps'!$B$1:$U$1,X$1)</f>
        <v>0</v>
      </c>
      <c r="Y280" s="140">
        <f ca="1">SUMIFS('recurring2_based on steps'!$B280:$AY280,'recurring2_based on steps'!$B$1:$AY$1,Y$1)+SUMIFS('changes2_based on steps'!$B280:$U280,'changes2_based on steps'!$B$1:$U$1,Y$1)</f>
        <v>0</v>
      </c>
      <c r="Z280" s="140">
        <f>SUMIFS('recurring2_based on steps'!$B280:$AY280,'recurring2_based on steps'!$B$1:$AY$1,Z$1)+SUMIFS('changes2_based on steps'!$B280:$U280,'changes2_based on steps'!$B$1:$U$1,Z$1)</f>
        <v>0</v>
      </c>
      <c r="AA280" s="140">
        <f ca="1">SUMIFS('recurring2_based on steps'!$B280:$AY280,'recurring2_based on steps'!$B$1:$AY$1,AA$1)+SUMIFS('changes2_based on steps'!$B280:$U280,'changes2_based on steps'!$B$1:$U$1,AA$1)</f>
        <v>0</v>
      </c>
      <c r="AB280" s="140">
        <f ca="1">SUMIFS('recurring2_based on steps'!$B280:$AY280,'recurring2_based on steps'!$B$1:$AY$1,AB$1)+SUMIFS('changes2_based on steps'!$B280:$U280,'changes2_based on steps'!$B$1:$U$1,AB$1)</f>
        <v>0</v>
      </c>
      <c r="AC280" s="140">
        <f ca="1">SUMIFS('recurring2_based on steps'!$B280:$AY280,'recurring2_based on steps'!$B$1:$AY$1,AC$1)+SUMIFS('changes2_based on steps'!$B280:$U280,'changes2_based on steps'!$B$1:$U$1,AC$1)</f>
        <v>0</v>
      </c>
      <c r="AD280" s="140">
        <f ca="1">SUMIFS('recurring2_based on steps'!$B280:$AY280,'recurring2_based on steps'!$B$1:$AY$1,AD$1)+SUMIFS('changes2_based on steps'!$B280:$U280,'changes2_based on steps'!$B$1:$U$1,AD$1)</f>
        <v>0</v>
      </c>
      <c r="AE280" s="140">
        <f>SUMIFS('recurring2_based on steps'!$B280:$AY280,'recurring2_based on steps'!$B$1:$AY$1,AE$1)+SUMIFS('changes2_based on steps'!$B280:$U280,'changes2_based on steps'!$B$1:$U$1,AE$1)</f>
        <v>0</v>
      </c>
      <c r="AF280" s="140"/>
      <c r="AG280" s="140"/>
      <c r="AH280" s="140"/>
      <c r="AI280" s="140"/>
      <c r="AJ280" s="140"/>
      <c r="AK280" s="140"/>
      <c r="AL280" s="140"/>
      <c r="AM280" s="140"/>
    </row>
    <row r="281" spans="1:39" x14ac:dyDescent="0.2">
      <c r="A281" s="29">
        <f t="shared" ca="1" si="4"/>
        <v>46021</v>
      </c>
      <c r="B281" s="140">
        <f ca="1">SUMIFS('recurring2_based on steps'!$B281:$AY281,'recurring2_based on steps'!$B$1:$AY$1,B$1)+SUMIFS('changes2_based on steps'!$B281:$U281,'changes2_based on steps'!$B$1:$U$1,B$1)</f>
        <v>0</v>
      </c>
      <c r="C281" s="140">
        <f>SUMIFS('recurring2_based on steps'!$B281:$AY281,'recurring2_based on steps'!$B$1:$AY$1,C$1)+SUMIFS('changes2_based on steps'!$B281:$U281,'changes2_based on steps'!$B$1:$U$1,C$1)</f>
        <v>0</v>
      </c>
      <c r="D281" s="140">
        <f>SUMIFS('recurring2_based on steps'!$B281:$AY281,'recurring2_based on steps'!$B$1:$AY$1,D$1)+SUMIFS('changes2_based on steps'!$B281:$U281,'changes2_based on steps'!$B$1:$U$1,D$1)</f>
        <v>0</v>
      </c>
      <c r="E281" s="140">
        <f>SUMIFS('recurring2_based on steps'!$B281:$AY281,'recurring2_based on steps'!$B$1:$AY$1,E$1)+SUMIFS('changes2_based on steps'!$B281:$U281,'changes2_based on steps'!$B$1:$U$1,E$1)</f>
        <v>0</v>
      </c>
      <c r="F281" s="140">
        <f>SUMIFS('recurring2_based on steps'!$B281:$AY281,'recurring2_based on steps'!$B$1:$AY$1,F$1)+SUMIFS('changes2_based on steps'!$B281:$U281,'changes2_based on steps'!$B$1:$U$1,F$1)</f>
        <v>0</v>
      </c>
      <c r="G281" s="140">
        <f>SUMIFS('recurring2_based on steps'!$B281:$AY281,'recurring2_based on steps'!$B$1:$AY$1,G$1)+SUMIFS('changes2_based on steps'!$B281:$U281,'changes2_based on steps'!$B$1:$U$1,G$1)</f>
        <v>0</v>
      </c>
      <c r="H281" s="140">
        <f>SUMIFS('recurring2_based on steps'!$B281:$AY281,'recurring2_based on steps'!$B$1:$AY$1,H$1)+SUMIFS('changes2_based on steps'!$B281:$U281,'changes2_based on steps'!$B$1:$U$1,H$1)</f>
        <v>0</v>
      </c>
      <c r="I281" s="140">
        <f>SUMIFS('recurring2_based on steps'!$B281:$AY281,'recurring2_based on steps'!$B$1:$AY$1,I$1)+SUMIFS('changes2_based on steps'!$B281:$U281,'changes2_based on steps'!$B$1:$U$1,I$1)</f>
        <v>0</v>
      </c>
      <c r="J281" s="140">
        <f ca="1">SUMIFS('recurring2_based on steps'!$B281:$AY281,'recurring2_based on steps'!$B$1:$AY$1,J$1)+SUMIFS('changes2_based on steps'!$B281:$U281,'changes2_based on steps'!$B$1:$U$1,J$1)</f>
        <v>0</v>
      </c>
      <c r="K281" s="140">
        <f>SUMIFS('recurring2_based on steps'!$B281:$AY281,'recurring2_based on steps'!$B$1:$AY$1,K$1)+SUMIFS('changes2_based on steps'!$B281:$U281,'changes2_based on steps'!$B$1:$U$1,K$1)</f>
        <v>0</v>
      </c>
      <c r="L281" s="140">
        <f>SUMIFS('recurring2_based on steps'!$B281:$AY281,'recurring2_based on steps'!$B$1:$AY$1,L$1)+SUMIFS('changes2_based on steps'!$B281:$U281,'changes2_based on steps'!$B$1:$U$1,L$1)</f>
        <v>0</v>
      </c>
      <c r="M281" s="140">
        <f>SUMIFS('recurring2_based on steps'!$B281:$AY281,'recurring2_based on steps'!$B$1:$AY$1,M$1)+SUMIFS('changes2_based on steps'!$B281:$U281,'changes2_based on steps'!$B$1:$U$1,M$1)</f>
        <v>0</v>
      </c>
      <c r="N281" s="140">
        <f ca="1">SUMIFS('recurring2_based on steps'!$B281:$AY281,'recurring2_based on steps'!$B$1:$AY$1,N$1)+SUMIFS('changes2_based on steps'!$B281:$U281,'changes2_based on steps'!$B$1:$U$1,N$1)</f>
        <v>0</v>
      </c>
      <c r="O281" s="140">
        <f>SUMIFS('recurring2_based on steps'!$B281:$AY281,'recurring2_based on steps'!$B$1:$AY$1,O$1)+SUMIFS('changes2_based on steps'!$B281:$U281,'changes2_based on steps'!$B$1:$U$1,O$1)</f>
        <v>0</v>
      </c>
      <c r="P281" s="140">
        <f ca="1">SUMIFS('recurring2_based on steps'!$B281:$AY281,'recurring2_based on steps'!$B$1:$AY$1,P$1)+SUMIFS('changes2_based on steps'!$B281:$U281,'changes2_based on steps'!$B$1:$U$1,P$1)</f>
        <v>0</v>
      </c>
      <c r="Q281" s="140">
        <f ca="1">SUMIFS('recurring2_based on steps'!$B281:$AY281,'recurring2_based on steps'!$B$1:$AY$1,Q$1)+SUMIFS('changes2_based on steps'!$B281:$U281,'changes2_based on steps'!$B$1:$U$1,Q$1)</f>
        <v>5.5401662049861494E-2</v>
      </c>
      <c r="R281" s="140">
        <f ca="1">SUMIFS('recurring2_based on steps'!$B281:$AY281,'recurring2_based on steps'!$B$1:$AY$1,R$1)+SUMIFS('changes2_based on steps'!$B281:$U281,'changes2_based on steps'!$B$1:$U$1,R$1)</f>
        <v>0</v>
      </c>
      <c r="S281" s="140">
        <f>SUMIFS('recurring2_based on steps'!$B281:$AY281,'recurring2_based on steps'!$B$1:$AY$1,S$1)+SUMIFS('changes2_based on steps'!$B281:$U281,'changes2_based on steps'!$B$1:$U$1,S$1)</f>
        <v>0</v>
      </c>
      <c r="T281" s="140">
        <f ca="1">SUMIFS('recurring2_based on steps'!$B281:$AY281,'recurring2_based on steps'!$B$1:$AY$1,T$1)+SUMIFS('changes2_based on steps'!$B281:$U281,'changes2_based on steps'!$B$1:$U$1,T$1)</f>
        <v>0</v>
      </c>
      <c r="U281" s="140">
        <f ca="1">SUMIFS('recurring2_based on steps'!$B281:$AY281,'recurring2_based on steps'!$B$1:$AY$1,U$1)+SUMIFS('changes2_based on steps'!$B281:$U281,'changes2_based on steps'!$B$1:$U$1,U$1)</f>
        <v>0</v>
      </c>
      <c r="V281" s="140">
        <f>SUMIFS('recurring2_based on steps'!$B281:$AY281,'recurring2_based on steps'!$B$1:$AY$1,V$1)+SUMIFS('changes2_based on steps'!$B281:$U281,'changes2_based on steps'!$B$1:$U$1,V$1)</f>
        <v>0</v>
      </c>
      <c r="W281" s="140">
        <f>SUMIFS('recurring2_based on steps'!$B281:$AY281,'recurring2_based on steps'!$B$1:$AY$1,W$1)+SUMIFS('changes2_based on steps'!$B281:$U281,'changes2_based on steps'!$B$1:$U$1,W$1)</f>
        <v>0</v>
      </c>
      <c r="X281" s="140">
        <f ca="1">SUMIFS('recurring2_based on steps'!$B281:$AY281,'recurring2_based on steps'!$B$1:$AY$1,X$1)+SUMIFS('changes2_based on steps'!$B281:$U281,'changes2_based on steps'!$B$1:$U$1,X$1)</f>
        <v>0</v>
      </c>
      <c r="Y281" s="140">
        <f ca="1">SUMIFS('recurring2_based on steps'!$B281:$AY281,'recurring2_based on steps'!$B$1:$AY$1,Y$1)+SUMIFS('changes2_based on steps'!$B281:$U281,'changes2_based on steps'!$B$1:$U$1,Y$1)</f>
        <v>0</v>
      </c>
      <c r="Z281" s="140">
        <f>SUMIFS('recurring2_based on steps'!$B281:$AY281,'recurring2_based on steps'!$B$1:$AY$1,Z$1)+SUMIFS('changes2_based on steps'!$B281:$U281,'changes2_based on steps'!$B$1:$U$1,Z$1)</f>
        <v>0</v>
      </c>
      <c r="AA281" s="140">
        <f ca="1">SUMIFS('recurring2_based on steps'!$B281:$AY281,'recurring2_based on steps'!$B$1:$AY$1,AA$1)+SUMIFS('changes2_based on steps'!$B281:$U281,'changes2_based on steps'!$B$1:$U$1,AA$1)</f>
        <v>0</v>
      </c>
      <c r="AB281" s="140">
        <f ca="1">SUMIFS('recurring2_based on steps'!$B281:$AY281,'recurring2_based on steps'!$B$1:$AY$1,AB$1)+SUMIFS('changes2_based on steps'!$B281:$U281,'changes2_based on steps'!$B$1:$U$1,AB$1)</f>
        <v>0</v>
      </c>
      <c r="AC281" s="140">
        <f ca="1">SUMIFS('recurring2_based on steps'!$B281:$AY281,'recurring2_based on steps'!$B$1:$AY$1,AC$1)+SUMIFS('changes2_based on steps'!$B281:$U281,'changes2_based on steps'!$B$1:$U$1,AC$1)</f>
        <v>0</v>
      </c>
      <c r="AD281" s="140">
        <f ca="1">SUMIFS('recurring2_based on steps'!$B281:$AY281,'recurring2_based on steps'!$B$1:$AY$1,AD$1)+SUMIFS('changes2_based on steps'!$B281:$U281,'changes2_based on steps'!$B$1:$U$1,AD$1)</f>
        <v>0</v>
      </c>
      <c r="AE281" s="140">
        <f>SUMIFS('recurring2_based on steps'!$B281:$AY281,'recurring2_based on steps'!$B$1:$AY$1,AE$1)+SUMIFS('changes2_based on steps'!$B281:$U281,'changes2_based on steps'!$B$1:$U$1,AE$1)</f>
        <v>0</v>
      </c>
      <c r="AF281" s="140"/>
      <c r="AG281" s="140"/>
      <c r="AH281" s="140"/>
      <c r="AI281" s="140"/>
      <c r="AJ281" s="140"/>
      <c r="AK281" s="140"/>
      <c r="AL281" s="140"/>
      <c r="AM281" s="140"/>
    </row>
    <row r="282" spans="1:39" x14ac:dyDescent="0.2">
      <c r="A282" s="29">
        <f t="shared" ca="1" si="4"/>
        <v>46022</v>
      </c>
      <c r="B282" s="140">
        <f ca="1">SUMIFS('recurring2_based on steps'!$B282:$AY282,'recurring2_based on steps'!$B$1:$AY$1,B$1)+SUMIFS('changes2_based on steps'!$B282:$U282,'changes2_based on steps'!$B$1:$U$1,B$1)</f>
        <v>0</v>
      </c>
      <c r="C282" s="140">
        <f>SUMIFS('recurring2_based on steps'!$B282:$AY282,'recurring2_based on steps'!$B$1:$AY$1,C$1)+SUMIFS('changes2_based on steps'!$B282:$U282,'changes2_based on steps'!$B$1:$U$1,C$1)</f>
        <v>0</v>
      </c>
      <c r="D282" s="140">
        <f>SUMIFS('recurring2_based on steps'!$B282:$AY282,'recurring2_based on steps'!$B$1:$AY$1,D$1)+SUMIFS('changes2_based on steps'!$B282:$U282,'changes2_based on steps'!$B$1:$U$1,D$1)</f>
        <v>0</v>
      </c>
      <c r="E282" s="140">
        <f>SUMIFS('recurring2_based on steps'!$B282:$AY282,'recurring2_based on steps'!$B$1:$AY$1,E$1)+SUMIFS('changes2_based on steps'!$B282:$U282,'changes2_based on steps'!$B$1:$U$1,E$1)</f>
        <v>0</v>
      </c>
      <c r="F282" s="140">
        <f>SUMIFS('recurring2_based on steps'!$B282:$AY282,'recurring2_based on steps'!$B$1:$AY$1,F$1)+SUMIFS('changes2_based on steps'!$B282:$U282,'changes2_based on steps'!$B$1:$U$1,F$1)</f>
        <v>0</v>
      </c>
      <c r="G282" s="140">
        <f>SUMIFS('recurring2_based on steps'!$B282:$AY282,'recurring2_based on steps'!$B$1:$AY$1,G$1)+SUMIFS('changes2_based on steps'!$B282:$U282,'changes2_based on steps'!$B$1:$U$1,G$1)</f>
        <v>0</v>
      </c>
      <c r="H282" s="140">
        <f>SUMIFS('recurring2_based on steps'!$B282:$AY282,'recurring2_based on steps'!$B$1:$AY$1,H$1)+SUMIFS('changes2_based on steps'!$B282:$U282,'changes2_based on steps'!$B$1:$U$1,H$1)</f>
        <v>0</v>
      </c>
      <c r="I282" s="140">
        <f>SUMIFS('recurring2_based on steps'!$B282:$AY282,'recurring2_based on steps'!$B$1:$AY$1,I$1)+SUMIFS('changes2_based on steps'!$B282:$U282,'changes2_based on steps'!$B$1:$U$1,I$1)</f>
        <v>0</v>
      </c>
      <c r="J282" s="140">
        <f ca="1">SUMIFS('recurring2_based on steps'!$B282:$AY282,'recurring2_based on steps'!$B$1:$AY$1,J$1)+SUMIFS('changes2_based on steps'!$B282:$U282,'changes2_based on steps'!$B$1:$U$1,J$1)</f>
        <v>100</v>
      </c>
      <c r="K282" s="140">
        <f>SUMIFS('recurring2_based on steps'!$B282:$AY282,'recurring2_based on steps'!$B$1:$AY$1,K$1)+SUMIFS('changes2_based on steps'!$B282:$U282,'changes2_based on steps'!$B$1:$U$1,K$1)</f>
        <v>0</v>
      </c>
      <c r="L282" s="140">
        <f>SUMIFS('recurring2_based on steps'!$B282:$AY282,'recurring2_based on steps'!$B$1:$AY$1,L$1)+SUMIFS('changes2_based on steps'!$B282:$U282,'changes2_based on steps'!$B$1:$U$1,L$1)</f>
        <v>0</v>
      </c>
      <c r="M282" s="140">
        <f>SUMIFS('recurring2_based on steps'!$B282:$AY282,'recurring2_based on steps'!$B$1:$AY$1,M$1)+SUMIFS('changes2_based on steps'!$B282:$U282,'changes2_based on steps'!$B$1:$U$1,M$1)</f>
        <v>0</v>
      </c>
      <c r="N282" s="140">
        <f ca="1">SUMIFS('recurring2_based on steps'!$B282:$AY282,'recurring2_based on steps'!$B$1:$AY$1,N$1)+SUMIFS('changes2_based on steps'!$B282:$U282,'changes2_based on steps'!$B$1:$U$1,N$1)</f>
        <v>40</v>
      </c>
      <c r="O282" s="140">
        <f>SUMIFS('recurring2_based on steps'!$B282:$AY282,'recurring2_based on steps'!$B$1:$AY$1,O$1)+SUMIFS('changes2_based on steps'!$B282:$U282,'changes2_based on steps'!$B$1:$U$1,O$1)</f>
        <v>0</v>
      </c>
      <c r="P282" s="140">
        <f ca="1">SUMIFS('recurring2_based on steps'!$B282:$AY282,'recurring2_based on steps'!$B$1:$AY$1,P$1)+SUMIFS('changes2_based on steps'!$B282:$U282,'changes2_based on steps'!$B$1:$U$1,P$1)</f>
        <v>0</v>
      </c>
      <c r="Q282" s="140">
        <f ca="1">SUMIFS('recurring2_based on steps'!$B282:$AY282,'recurring2_based on steps'!$B$1:$AY$1,Q$1)+SUMIFS('changes2_based on steps'!$B282:$U282,'changes2_based on steps'!$B$1:$U$1,Q$1)</f>
        <v>5.5401662049861494E-2</v>
      </c>
      <c r="R282" s="140">
        <f ca="1">SUMIFS('recurring2_based on steps'!$B282:$AY282,'recurring2_based on steps'!$B$1:$AY$1,R$1)+SUMIFS('changes2_based on steps'!$B282:$U282,'changes2_based on steps'!$B$1:$U$1,R$1)</f>
        <v>0</v>
      </c>
      <c r="S282" s="140">
        <f>SUMIFS('recurring2_based on steps'!$B282:$AY282,'recurring2_based on steps'!$B$1:$AY$1,S$1)+SUMIFS('changes2_based on steps'!$B282:$U282,'changes2_based on steps'!$B$1:$U$1,S$1)</f>
        <v>0</v>
      </c>
      <c r="T282" s="140">
        <f ca="1">SUMIFS('recurring2_based on steps'!$B282:$AY282,'recurring2_based on steps'!$B$1:$AY$1,T$1)+SUMIFS('changes2_based on steps'!$B282:$U282,'changes2_based on steps'!$B$1:$U$1,T$1)</f>
        <v>0</v>
      </c>
      <c r="U282" s="140">
        <f ca="1">SUMIFS('recurring2_based on steps'!$B282:$AY282,'recurring2_based on steps'!$B$1:$AY$1,U$1)+SUMIFS('changes2_based on steps'!$B282:$U282,'changes2_based on steps'!$B$1:$U$1,U$1)</f>
        <v>0</v>
      </c>
      <c r="V282" s="140">
        <f>SUMIFS('recurring2_based on steps'!$B282:$AY282,'recurring2_based on steps'!$B$1:$AY$1,V$1)+SUMIFS('changes2_based on steps'!$B282:$U282,'changes2_based on steps'!$B$1:$U$1,V$1)</f>
        <v>0</v>
      </c>
      <c r="W282" s="140">
        <f>SUMIFS('recurring2_based on steps'!$B282:$AY282,'recurring2_based on steps'!$B$1:$AY$1,W$1)+SUMIFS('changes2_based on steps'!$B282:$U282,'changes2_based on steps'!$B$1:$U$1,W$1)</f>
        <v>0</v>
      </c>
      <c r="X282" s="140">
        <f ca="1">SUMIFS('recurring2_based on steps'!$B282:$AY282,'recurring2_based on steps'!$B$1:$AY$1,X$1)+SUMIFS('changes2_based on steps'!$B282:$U282,'changes2_based on steps'!$B$1:$U$1,X$1)</f>
        <v>0</v>
      </c>
      <c r="Y282" s="140">
        <f ca="1">SUMIFS('recurring2_based on steps'!$B282:$AY282,'recurring2_based on steps'!$B$1:$AY$1,Y$1)+SUMIFS('changes2_based on steps'!$B282:$U282,'changes2_based on steps'!$B$1:$U$1,Y$1)</f>
        <v>0</v>
      </c>
      <c r="Z282" s="140">
        <f>SUMIFS('recurring2_based on steps'!$B282:$AY282,'recurring2_based on steps'!$B$1:$AY$1,Z$1)+SUMIFS('changes2_based on steps'!$B282:$U282,'changes2_based on steps'!$B$1:$U$1,Z$1)</f>
        <v>0</v>
      </c>
      <c r="AA282" s="140">
        <f ca="1">SUMIFS('recurring2_based on steps'!$B282:$AY282,'recurring2_based on steps'!$B$1:$AY$1,AA$1)+SUMIFS('changes2_based on steps'!$B282:$U282,'changes2_based on steps'!$B$1:$U$1,AA$1)</f>
        <v>0</v>
      </c>
      <c r="AB282" s="140">
        <f ca="1">SUMIFS('recurring2_based on steps'!$B282:$AY282,'recurring2_based on steps'!$B$1:$AY$1,AB$1)+SUMIFS('changes2_based on steps'!$B282:$U282,'changes2_based on steps'!$B$1:$U$1,AB$1)</f>
        <v>0</v>
      </c>
      <c r="AC282" s="140">
        <f ca="1">SUMIFS('recurring2_based on steps'!$B282:$AY282,'recurring2_based on steps'!$B$1:$AY$1,AC$1)+SUMIFS('changes2_based on steps'!$B282:$U282,'changes2_based on steps'!$B$1:$U$1,AC$1)</f>
        <v>0</v>
      </c>
      <c r="AD282" s="140">
        <f ca="1">SUMIFS('recurring2_based on steps'!$B282:$AY282,'recurring2_based on steps'!$B$1:$AY$1,AD$1)+SUMIFS('changes2_based on steps'!$B282:$U282,'changes2_based on steps'!$B$1:$U$1,AD$1)</f>
        <v>0</v>
      </c>
      <c r="AE282" s="140">
        <f>SUMIFS('recurring2_based on steps'!$B282:$AY282,'recurring2_based on steps'!$B$1:$AY$1,AE$1)+SUMIFS('changes2_based on steps'!$B282:$U282,'changes2_based on steps'!$B$1:$U$1,AE$1)</f>
        <v>0</v>
      </c>
      <c r="AF282" s="140"/>
      <c r="AG282" s="140"/>
      <c r="AH282" s="140"/>
      <c r="AI282" s="140"/>
      <c r="AJ282" s="140"/>
      <c r="AK282" s="140"/>
      <c r="AL282" s="140"/>
      <c r="AM282" s="140"/>
    </row>
    <row r="283" spans="1:39" x14ac:dyDescent="0.2">
      <c r="A283" s="29">
        <f t="shared" ca="1" si="4"/>
        <v>46023</v>
      </c>
      <c r="B283" s="140">
        <f ca="1">SUMIFS('recurring2_based on steps'!$B283:$AY283,'recurring2_based on steps'!$B$1:$AY$1,B$1)+SUMIFS('changes2_based on steps'!$B283:$U283,'changes2_based on steps'!$B$1:$U$1,B$1)</f>
        <v>0</v>
      </c>
      <c r="C283" s="140">
        <f>SUMIFS('recurring2_based on steps'!$B283:$AY283,'recurring2_based on steps'!$B$1:$AY$1,C$1)+SUMIFS('changes2_based on steps'!$B283:$U283,'changes2_based on steps'!$B$1:$U$1,C$1)</f>
        <v>0</v>
      </c>
      <c r="D283" s="140">
        <f>SUMIFS('recurring2_based on steps'!$B283:$AY283,'recurring2_based on steps'!$B$1:$AY$1,D$1)+SUMIFS('changes2_based on steps'!$B283:$U283,'changes2_based on steps'!$B$1:$U$1,D$1)</f>
        <v>0</v>
      </c>
      <c r="E283" s="140">
        <f>SUMIFS('recurring2_based on steps'!$B283:$AY283,'recurring2_based on steps'!$B$1:$AY$1,E$1)+SUMIFS('changes2_based on steps'!$B283:$U283,'changes2_based on steps'!$B$1:$U$1,E$1)</f>
        <v>0</v>
      </c>
      <c r="F283" s="140">
        <f>SUMIFS('recurring2_based on steps'!$B283:$AY283,'recurring2_based on steps'!$B$1:$AY$1,F$1)+SUMIFS('changes2_based on steps'!$B283:$U283,'changes2_based on steps'!$B$1:$U$1,F$1)</f>
        <v>0</v>
      </c>
      <c r="G283" s="140">
        <f>SUMIFS('recurring2_based on steps'!$B283:$AY283,'recurring2_based on steps'!$B$1:$AY$1,G$1)+SUMIFS('changes2_based on steps'!$B283:$U283,'changes2_based on steps'!$B$1:$U$1,G$1)</f>
        <v>0</v>
      </c>
      <c r="H283" s="140">
        <f>SUMIFS('recurring2_based on steps'!$B283:$AY283,'recurring2_based on steps'!$B$1:$AY$1,H$1)+SUMIFS('changes2_based on steps'!$B283:$U283,'changes2_based on steps'!$B$1:$U$1,H$1)</f>
        <v>0</v>
      </c>
      <c r="I283" s="140">
        <f>SUMIFS('recurring2_based on steps'!$B283:$AY283,'recurring2_based on steps'!$B$1:$AY$1,I$1)+SUMIFS('changes2_based on steps'!$B283:$U283,'changes2_based on steps'!$B$1:$U$1,I$1)</f>
        <v>0</v>
      </c>
      <c r="J283" s="140">
        <f ca="1">SUMIFS('recurring2_based on steps'!$B283:$AY283,'recurring2_based on steps'!$B$1:$AY$1,J$1)+SUMIFS('changes2_based on steps'!$B283:$U283,'changes2_based on steps'!$B$1:$U$1,J$1)</f>
        <v>0</v>
      </c>
      <c r="K283" s="140">
        <f>SUMIFS('recurring2_based on steps'!$B283:$AY283,'recurring2_based on steps'!$B$1:$AY$1,K$1)+SUMIFS('changes2_based on steps'!$B283:$U283,'changes2_based on steps'!$B$1:$U$1,K$1)</f>
        <v>0</v>
      </c>
      <c r="L283" s="140">
        <f>SUMIFS('recurring2_based on steps'!$B283:$AY283,'recurring2_based on steps'!$B$1:$AY$1,L$1)+SUMIFS('changes2_based on steps'!$B283:$U283,'changes2_based on steps'!$B$1:$U$1,L$1)</f>
        <v>0</v>
      </c>
      <c r="M283" s="140">
        <f>SUMIFS('recurring2_based on steps'!$B283:$AY283,'recurring2_based on steps'!$B$1:$AY$1,M$1)+SUMIFS('changes2_based on steps'!$B283:$U283,'changes2_based on steps'!$B$1:$U$1,M$1)</f>
        <v>0</v>
      </c>
      <c r="N283" s="140">
        <f ca="1">SUMIFS('recurring2_based on steps'!$B283:$AY283,'recurring2_based on steps'!$B$1:$AY$1,N$1)+SUMIFS('changes2_based on steps'!$B283:$U283,'changes2_based on steps'!$B$1:$U$1,N$1)</f>
        <v>2000</v>
      </c>
      <c r="O283" s="140">
        <f>SUMIFS('recurring2_based on steps'!$B283:$AY283,'recurring2_based on steps'!$B$1:$AY$1,O$1)+SUMIFS('changes2_based on steps'!$B283:$U283,'changes2_based on steps'!$B$1:$U$1,O$1)</f>
        <v>0</v>
      </c>
      <c r="P283" s="140">
        <f ca="1">SUMIFS('recurring2_based on steps'!$B283:$AY283,'recurring2_based on steps'!$B$1:$AY$1,P$1)+SUMIFS('changes2_based on steps'!$B283:$U283,'changes2_based on steps'!$B$1:$U$1,P$1)</f>
        <v>0</v>
      </c>
      <c r="Q283" s="140">
        <f ca="1">SUMIFS('recurring2_based on steps'!$B283:$AY283,'recurring2_based on steps'!$B$1:$AY$1,Q$1)+SUMIFS('changes2_based on steps'!$B283:$U283,'changes2_based on steps'!$B$1:$U$1,Q$1)</f>
        <v>5.5401662049861494E-2</v>
      </c>
      <c r="R283" s="140">
        <f ca="1">SUMIFS('recurring2_based on steps'!$B283:$AY283,'recurring2_based on steps'!$B$1:$AY$1,R$1)+SUMIFS('changes2_based on steps'!$B283:$U283,'changes2_based on steps'!$B$1:$U$1,R$1)</f>
        <v>0</v>
      </c>
      <c r="S283" s="140">
        <f>SUMIFS('recurring2_based on steps'!$B283:$AY283,'recurring2_based on steps'!$B$1:$AY$1,S$1)+SUMIFS('changes2_based on steps'!$B283:$U283,'changes2_based on steps'!$B$1:$U$1,S$1)</f>
        <v>0</v>
      </c>
      <c r="T283" s="140">
        <f ca="1">SUMIFS('recurring2_based on steps'!$B283:$AY283,'recurring2_based on steps'!$B$1:$AY$1,T$1)+SUMIFS('changes2_based on steps'!$B283:$U283,'changes2_based on steps'!$B$1:$U$1,T$1)</f>
        <v>0</v>
      </c>
      <c r="U283" s="140">
        <f ca="1">SUMIFS('recurring2_based on steps'!$B283:$AY283,'recurring2_based on steps'!$B$1:$AY$1,U$1)+SUMIFS('changes2_based on steps'!$B283:$U283,'changes2_based on steps'!$B$1:$U$1,U$1)</f>
        <v>0</v>
      </c>
      <c r="V283" s="140">
        <f>SUMIFS('recurring2_based on steps'!$B283:$AY283,'recurring2_based on steps'!$B$1:$AY$1,V$1)+SUMIFS('changes2_based on steps'!$B283:$U283,'changes2_based on steps'!$B$1:$U$1,V$1)</f>
        <v>0</v>
      </c>
      <c r="W283" s="140">
        <f>SUMIFS('recurring2_based on steps'!$B283:$AY283,'recurring2_based on steps'!$B$1:$AY$1,W$1)+SUMIFS('changes2_based on steps'!$B283:$U283,'changes2_based on steps'!$B$1:$U$1,W$1)</f>
        <v>0</v>
      </c>
      <c r="X283" s="140">
        <f ca="1">SUMIFS('recurring2_based on steps'!$B283:$AY283,'recurring2_based on steps'!$B$1:$AY$1,X$1)+SUMIFS('changes2_based on steps'!$B283:$U283,'changes2_based on steps'!$B$1:$U$1,X$1)</f>
        <v>0</v>
      </c>
      <c r="Y283" s="140">
        <f ca="1">SUMIFS('recurring2_based on steps'!$B283:$AY283,'recurring2_based on steps'!$B$1:$AY$1,Y$1)+SUMIFS('changes2_based on steps'!$B283:$U283,'changes2_based on steps'!$B$1:$U$1,Y$1)</f>
        <v>0</v>
      </c>
      <c r="Z283" s="140">
        <f>SUMIFS('recurring2_based on steps'!$B283:$AY283,'recurring2_based on steps'!$B$1:$AY$1,Z$1)+SUMIFS('changes2_based on steps'!$B283:$U283,'changes2_based on steps'!$B$1:$U$1,Z$1)</f>
        <v>0</v>
      </c>
      <c r="AA283" s="140">
        <f ca="1">SUMIFS('recurring2_based on steps'!$B283:$AY283,'recurring2_based on steps'!$B$1:$AY$1,AA$1)+SUMIFS('changes2_based on steps'!$B283:$U283,'changes2_based on steps'!$B$1:$U$1,AA$1)</f>
        <v>0</v>
      </c>
      <c r="AB283" s="140">
        <f ca="1">SUMIFS('recurring2_based on steps'!$B283:$AY283,'recurring2_based on steps'!$B$1:$AY$1,AB$1)+SUMIFS('changes2_based on steps'!$B283:$U283,'changes2_based on steps'!$B$1:$U$1,AB$1)</f>
        <v>0</v>
      </c>
      <c r="AC283" s="140">
        <f ca="1">SUMIFS('recurring2_based on steps'!$B283:$AY283,'recurring2_based on steps'!$B$1:$AY$1,AC$1)+SUMIFS('changes2_based on steps'!$B283:$U283,'changes2_based on steps'!$B$1:$U$1,AC$1)</f>
        <v>0</v>
      </c>
      <c r="AD283" s="140">
        <f ca="1">SUMIFS('recurring2_based on steps'!$B283:$AY283,'recurring2_based on steps'!$B$1:$AY$1,AD$1)+SUMIFS('changes2_based on steps'!$B283:$U283,'changes2_based on steps'!$B$1:$U$1,AD$1)</f>
        <v>0</v>
      </c>
      <c r="AE283" s="140">
        <f>SUMIFS('recurring2_based on steps'!$B283:$AY283,'recurring2_based on steps'!$B$1:$AY$1,AE$1)+SUMIFS('changes2_based on steps'!$B283:$U283,'changes2_based on steps'!$B$1:$U$1,AE$1)</f>
        <v>0</v>
      </c>
      <c r="AF283" s="140"/>
      <c r="AG283" s="140"/>
      <c r="AH283" s="140"/>
      <c r="AI283" s="140"/>
      <c r="AJ283" s="140"/>
      <c r="AK283" s="140"/>
      <c r="AL283" s="140"/>
      <c r="AM283" s="140"/>
    </row>
    <row r="284" spans="1:39" x14ac:dyDescent="0.2">
      <c r="A284" s="29">
        <f t="shared" ca="1" si="4"/>
        <v>46024</v>
      </c>
      <c r="B284" s="140">
        <f ca="1">SUMIFS('recurring2_based on steps'!$B284:$AY284,'recurring2_based on steps'!$B$1:$AY$1,B$1)+SUMIFS('changes2_based on steps'!$B284:$U284,'changes2_based on steps'!$B$1:$U$1,B$1)</f>
        <v>0</v>
      </c>
      <c r="C284" s="140">
        <f>SUMIFS('recurring2_based on steps'!$B284:$AY284,'recurring2_based on steps'!$B$1:$AY$1,C$1)+SUMIFS('changes2_based on steps'!$B284:$U284,'changes2_based on steps'!$B$1:$U$1,C$1)</f>
        <v>0</v>
      </c>
      <c r="D284" s="140">
        <f>SUMIFS('recurring2_based on steps'!$B284:$AY284,'recurring2_based on steps'!$B$1:$AY$1,D$1)+SUMIFS('changes2_based on steps'!$B284:$U284,'changes2_based on steps'!$B$1:$U$1,D$1)</f>
        <v>0</v>
      </c>
      <c r="E284" s="140">
        <f>SUMIFS('recurring2_based on steps'!$B284:$AY284,'recurring2_based on steps'!$B$1:$AY$1,E$1)+SUMIFS('changes2_based on steps'!$B284:$U284,'changes2_based on steps'!$B$1:$U$1,E$1)</f>
        <v>0</v>
      </c>
      <c r="F284" s="140">
        <f>SUMIFS('recurring2_based on steps'!$B284:$AY284,'recurring2_based on steps'!$B$1:$AY$1,F$1)+SUMIFS('changes2_based on steps'!$B284:$U284,'changes2_based on steps'!$B$1:$U$1,F$1)</f>
        <v>0</v>
      </c>
      <c r="G284" s="140">
        <f>SUMIFS('recurring2_based on steps'!$B284:$AY284,'recurring2_based on steps'!$B$1:$AY$1,G$1)+SUMIFS('changes2_based on steps'!$B284:$U284,'changes2_based on steps'!$B$1:$U$1,G$1)</f>
        <v>0</v>
      </c>
      <c r="H284" s="140">
        <f>SUMIFS('recurring2_based on steps'!$B284:$AY284,'recurring2_based on steps'!$B$1:$AY$1,H$1)+SUMIFS('changes2_based on steps'!$B284:$U284,'changes2_based on steps'!$B$1:$U$1,H$1)</f>
        <v>0</v>
      </c>
      <c r="I284" s="140">
        <f>SUMIFS('recurring2_based on steps'!$B284:$AY284,'recurring2_based on steps'!$B$1:$AY$1,I$1)+SUMIFS('changes2_based on steps'!$B284:$U284,'changes2_based on steps'!$B$1:$U$1,I$1)</f>
        <v>0</v>
      </c>
      <c r="J284" s="140">
        <f ca="1">SUMIFS('recurring2_based on steps'!$B284:$AY284,'recurring2_based on steps'!$B$1:$AY$1,J$1)+SUMIFS('changes2_based on steps'!$B284:$U284,'changes2_based on steps'!$B$1:$U$1,J$1)</f>
        <v>0</v>
      </c>
      <c r="K284" s="140">
        <f>SUMIFS('recurring2_based on steps'!$B284:$AY284,'recurring2_based on steps'!$B$1:$AY$1,K$1)+SUMIFS('changes2_based on steps'!$B284:$U284,'changes2_based on steps'!$B$1:$U$1,K$1)</f>
        <v>0</v>
      </c>
      <c r="L284" s="140">
        <f>SUMIFS('recurring2_based on steps'!$B284:$AY284,'recurring2_based on steps'!$B$1:$AY$1,L$1)+SUMIFS('changes2_based on steps'!$B284:$U284,'changes2_based on steps'!$B$1:$U$1,L$1)</f>
        <v>0</v>
      </c>
      <c r="M284" s="140">
        <f>SUMIFS('recurring2_based on steps'!$B284:$AY284,'recurring2_based on steps'!$B$1:$AY$1,M$1)+SUMIFS('changes2_based on steps'!$B284:$U284,'changes2_based on steps'!$B$1:$U$1,M$1)</f>
        <v>0</v>
      </c>
      <c r="N284" s="140">
        <f ca="1">SUMIFS('recurring2_based on steps'!$B284:$AY284,'recurring2_based on steps'!$B$1:$AY$1,N$1)+SUMIFS('changes2_based on steps'!$B284:$U284,'changes2_based on steps'!$B$1:$U$1,N$1)</f>
        <v>0</v>
      </c>
      <c r="O284" s="140">
        <f>SUMIFS('recurring2_based on steps'!$B284:$AY284,'recurring2_based on steps'!$B$1:$AY$1,O$1)+SUMIFS('changes2_based on steps'!$B284:$U284,'changes2_based on steps'!$B$1:$U$1,O$1)</f>
        <v>0</v>
      </c>
      <c r="P284" s="140">
        <f ca="1">SUMIFS('recurring2_based on steps'!$B284:$AY284,'recurring2_based on steps'!$B$1:$AY$1,P$1)+SUMIFS('changes2_based on steps'!$B284:$U284,'changes2_based on steps'!$B$1:$U$1,P$1)</f>
        <v>0</v>
      </c>
      <c r="Q284" s="140">
        <f ca="1">SUMIFS('recurring2_based on steps'!$B284:$AY284,'recurring2_based on steps'!$B$1:$AY$1,Q$1)+SUMIFS('changes2_based on steps'!$B284:$U284,'changes2_based on steps'!$B$1:$U$1,Q$1)</f>
        <v>5.5401662049861494E-2</v>
      </c>
      <c r="R284" s="140">
        <f ca="1">SUMIFS('recurring2_based on steps'!$B284:$AY284,'recurring2_based on steps'!$B$1:$AY$1,R$1)+SUMIFS('changes2_based on steps'!$B284:$U284,'changes2_based on steps'!$B$1:$U$1,R$1)</f>
        <v>0</v>
      </c>
      <c r="S284" s="140">
        <f>SUMIFS('recurring2_based on steps'!$B284:$AY284,'recurring2_based on steps'!$B$1:$AY$1,S$1)+SUMIFS('changes2_based on steps'!$B284:$U284,'changes2_based on steps'!$B$1:$U$1,S$1)</f>
        <v>0</v>
      </c>
      <c r="T284" s="140">
        <f ca="1">SUMIFS('recurring2_based on steps'!$B284:$AY284,'recurring2_based on steps'!$B$1:$AY$1,T$1)+SUMIFS('changes2_based on steps'!$B284:$U284,'changes2_based on steps'!$B$1:$U$1,T$1)</f>
        <v>0</v>
      </c>
      <c r="U284" s="140">
        <f ca="1">SUMIFS('recurring2_based on steps'!$B284:$AY284,'recurring2_based on steps'!$B$1:$AY$1,U$1)+SUMIFS('changes2_based on steps'!$B284:$U284,'changes2_based on steps'!$B$1:$U$1,U$1)</f>
        <v>0</v>
      </c>
      <c r="V284" s="140">
        <f>SUMIFS('recurring2_based on steps'!$B284:$AY284,'recurring2_based on steps'!$B$1:$AY$1,V$1)+SUMIFS('changes2_based on steps'!$B284:$U284,'changes2_based on steps'!$B$1:$U$1,V$1)</f>
        <v>0</v>
      </c>
      <c r="W284" s="140">
        <f>SUMIFS('recurring2_based on steps'!$B284:$AY284,'recurring2_based on steps'!$B$1:$AY$1,W$1)+SUMIFS('changes2_based on steps'!$B284:$U284,'changes2_based on steps'!$B$1:$U$1,W$1)</f>
        <v>0</v>
      </c>
      <c r="X284" s="140">
        <f ca="1">SUMIFS('recurring2_based on steps'!$B284:$AY284,'recurring2_based on steps'!$B$1:$AY$1,X$1)+SUMIFS('changes2_based on steps'!$B284:$U284,'changes2_based on steps'!$B$1:$U$1,X$1)</f>
        <v>0</v>
      </c>
      <c r="Y284" s="140">
        <f ca="1">SUMIFS('recurring2_based on steps'!$B284:$AY284,'recurring2_based on steps'!$B$1:$AY$1,Y$1)+SUMIFS('changes2_based on steps'!$B284:$U284,'changes2_based on steps'!$B$1:$U$1,Y$1)</f>
        <v>0</v>
      </c>
      <c r="Z284" s="140">
        <f>SUMIFS('recurring2_based on steps'!$B284:$AY284,'recurring2_based on steps'!$B$1:$AY$1,Z$1)+SUMIFS('changes2_based on steps'!$B284:$U284,'changes2_based on steps'!$B$1:$U$1,Z$1)</f>
        <v>0</v>
      </c>
      <c r="AA284" s="140">
        <f ca="1">SUMIFS('recurring2_based on steps'!$B284:$AY284,'recurring2_based on steps'!$B$1:$AY$1,AA$1)+SUMIFS('changes2_based on steps'!$B284:$U284,'changes2_based on steps'!$B$1:$U$1,AA$1)</f>
        <v>0</v>
      </c>
      <c r="AB284" s="140">
        <f ca="1">SUMIFS('recurring2_based on steps'!$B284:$AY284,'recurring2_based on steps'!$B$1:$AY$1,AB$1)+SUMIFS('changes2_based on steps'!$B284:$U284,'changes2_based on steps'!$B$1:$U$1,AB$1)</f>
        <v>0</v>
      </c>
      <c r="AC284" s="140">
        <f ca="1">SUMIFS('recurring2_based on steps'!$B284:$AY284,'recurring2_based on steps'!$B$1:$AY$1,AC$1)+SUMIFS('changes2_based on steps'!$B284:$U284,'changes2_based on steps'!$B$1:$U$1,AC$1)</f>
        <v>0</v>
      </c>
      <c r="AD284" s="140">
        <f ca="1">SUMIFS('recurring2_based on steps'!$B284:$AY284,'recurring2_based on steps'!$B$1:$AY$1,AD$1)+SUMIFS('changes2_based on steps'!$B284:$U284,'changes2_based on steps'!$B$1:$U$1,AD$1)</f>
        <v>0</v>
      </c>
      <c r="AE284" s="140">
        <f>SUMIFS('recurring2_based on steps'!$B284:$AY284,'recurring2_based on steps'!$B$1:$AY$1,AE$1)+SUMIFS('changes2_based on steps'!$B284:$U284,'changes2_based on steps'!$B$1:$U$1,AE$1)</f>
        <v>0</v>
      </c>
      <c r="AF284" s="140"/>
      <c r="AG284" s="140"/>
      <c r="AH284" s="140"/>
      <c r="AI284" s="140"/>
      <c r="AJ284" s="140"/>
      <c r="AK284" s="140"/>
      <c r="AL284" s="140"/>
      <c r="AM284" s="140"/>
    </row>
    <row r="285" spans="1:39" x14ac:dyDescent="0.2">
      <c r="A285" s="29">
        <f t="shared" ca="1" si="4"/>
        <v>46025</v>
      </c>
      <c r="B285" s="140">
        <f ca="1">SUMIFS('recurring2_based on steps'!$B285:$AY285,'recurring2_based on steps'!$B$1:$AY$1,B$1)+SUMIFS('changes2_based on steps'!$B285:$U285,'changes2_based on steps'!$B$1:$U$1,B$1)</f>
        <v>0</v>
      </c>
      <c r="C285" s="140">
        <f>SUMIFS('recurring2_based on steps'!$B285:$AY285,'recurring2_based on steps'!$B$1:$AY$1,C$1)+SUMIFS('changes2_based on steps'!$B285:$U285,'changes2_based on steps'!$B$1:$U$1,C$1)</f>
        <v>0</v>
      </c>
      <c r="D285" s="140">
        <f>SUMIFS('recurring2_based on steps'!$B285:$AY285,'recurring2_based on steps'!$B$1:$AY$1,D$1)+SUMIFS('changes2_based on steps'!$B285:$U285,'changes2_based on steps'!$B$1:$U$1,D$1)</f>
        <v>0</v>
      </c>
      <c r="E285" s="140">
        <f>SUMIFS('recurring2_based on steps'!$B285:$AY285,'recurring2_based on steps'!$B$1:$AY$1,E$1)+SUMIFS('changes2_based on steps'!$B285:$U285,'changes2_based on steps'!$B$1:$U$1,E$1)</f>
        <v>0</v>
      </c>
      <c r="F285" s="140">
        <f>SUMIFS('recurring2_based on steps'!$B285:$AY285,'recurring2_based on steps'!$B$1:$AY$1,F$1)+SUMIFS('changes2_based on steps'!$B285:$U285,'changes2_based on steps'!$B$1:$U$1,F$1)</f>
        <v>0</v>
      </c>
      <c r="G285" s="140">
        <f>SUMIFS('recurring2_based on steps'!$B285:$AY285,'recurring2_based on steps'!$B$1:$AY$1,G$1)+SUMIFS('changes2_based on steps'!$B285:$U285,'changes2_based on steps'!$B$1:$U$1,G$1)</f>
        <v>0</v>
      </c>
      <c r="H285" s="140">
        <f>SUMIFS('recurring2_based on steps'!$B285:$AY285,'recurring2_based on steps'!$B$1:$AY$1,H$1)+SUMIFS('changes2_based on steps'!$B285:$U285,'changes2_based on steps'!$B$1:$U$1,H$1)</f>
        <v>0</v>
      </c>
      <c r="I285" s="140">
        <f>SUMIFS('recurring2_based on steps'!$B285:$AY285,'recurring2_based on steps'!$B$1:$AY$1,I$1)+SUMIFS('changes2_based on steps'!$B285:$U285,'changes2_based on steps'!$B$1:$U$1,I$1)</f>
        <v>0</v>
      </c>
      <c r="J285" s="140">
        <f ca="1">SUMIFS('recurring2_based on steps'!$B285:$AY285,'recurring2_based on steps'!$B$1:$AY$1,J$1)+SUMIFS('changes2_based on steps'!$B285:$U285,'changes2_based on steps'!$B$1:$U$1,J$1)</f>
        <v>0</v>
      </c>
      <c r="K285" s="140">
        <f>SUMIFS('recurring2_based on steps'!$B285:$AY285,'recurring2_based on steps'!$B$1:$AY$1,K$1)+SUMIFS('changes2_based on steps'!$B285:$U285,'changes2_based on steps'!$B$1:$U$1,K$1)</f>
        <v>0</v>
      </c>
      <c r="L285" s="140">
        <f>SUMIFS('recurring2_based on steps'!$B285:$AY285,'recurring2_based on steps'!$B$1:$AY$1,L$1)+SUMIFS('changes2_based on steps'!$B285:$U285,'changes2_based on steps'!$B$1:$U$1,L$1)</f>
        <v>0</v>
      </c>
      <c r="M285" s="140">
        <f>SUMIFS('recurring2_based on steps'!$B285:$AY285,'recurring2_based on steps'!$B$1:$AY$1,M$1)+SUMIFS('changes2_based on steps'!$B285:$U285,'changes2_based on steps'!$B$1:$U$1,M$1)</f>
        <v>0</v>
      </c>
      <c r="N285" s="140">
        <f ca="1">SUMIFS('recurring2_based on steps'!$B285:$AY285,'recurring2_based on steps'!$B$1:$AY$1,N$1)+SUMIFS('changes2_based on steps'!$B285:$U285,'changes2_based on steps'!$B$1:$U$1,N$1)</f>
        <v>0</v>
      </c>
      <c r="O285" s="140">
        <f>SUMIFS('recurring2_based on steps'!$B285:$AY285,'recurring2_based on steps'!$B$1:$AY$1,O$1)+SUMIFS('changes2_based on steps'!$B285:$U285,'changes2_based on steps'!$B$1:$U$1,O$1)</f>
        <v>0</v>
      </c>
      <c r="P285" s="140">
        <f ca="1">SUMIFS('recurring2_based on steps'!$B285:$AY285,'recurring2_based on steps'!$B$1:$AY$1,P$1)+SUMIFS('changes2_based on steps'!$B285:$U285,'changes2_based on steps'!$B$1:$U$1,P$1)</f>
        <v>0</v>
      </c>
      <c r="Q285" s="140">
        <f ca="1">SUMIFS('recurring2_based on steps'!$B285:$AY285,'recurring2_based on steps'!$B$1:$AY$1,Q$1)+SUMIFS('changes2_based on steps'!$B285:$U285,'changes2_based on steps'!$B$1:$U$1,Q$1)</f>
        <v>100.05540166204986</v>
      </c>
      <c r="R285" s="140">
        <f ca="1">SUMIFS('recurring2_based on steps'!$B285:$AY285,'recurring2_based on steps'!$B$1:$AY$1,R$1)+SUMIFS('changes2_based on steps'!$B285:$U285,'changes2_based on steps'!$B$1:$U$1,R$1)</f>
        <v>0</v>
      </c>
      <c r="S285" s="140">
        <f>SUMIFS('recurring2_based on steps'!$B285:$AY285,'recurring2_based on steps'!$B$1:$AY$1,S$1)+SUMIFS('changes2_based on steps'!$B285:$U285,'changes2_based on steps'!$B$1:$U$1,S$1)</f>
        <v>0</v>
      </c>
      <c r="T285" s="140">
        <f ca="1">SUMIFS('recurring2_based on steps'!$B285:$AY285,'recurring2_based on steps'!$B$1:$AY$1,T$1)+SUMIFS('changes2_based on steps'!$B285:$U285,'changes2_based on steps'!$B$1:$U$1,T$1)</f>
        <v>0</v>
      </c>
      <c r="U285" s="140">
        <f ca="1">SUMIFS('recurring2_based on steps'!$B285:$AY285,'recurring2_based on steps'!$B$1:$AY$1,U$1)+SUMIFS('changes2_based on steps'!$B285:$U285,'changes2_based on steps'!$B$1:$U$1,U$1)</f>
        <v>0</v>
      </c>
      <c r="V285" s="140">
        <f>SUMIFS('recurring2_based on steps'!$B285:$AY285,'recurring2_based on steps'!$B$1:$AY$1,V$1)+SUMIFS('changes2_based on steps'!$B285:$U285,'changes2_based on steps'!$B$1:$U$1,V$1)</f>
        <v>0</v>
      </c>
      <c r="W285" s="140">
        <f>SUMIFS('recurring2_based on steps'!$B285:$AY285,'recurring2_based on steps'!$B$1:$AY$1,W$1)+SUMIFS('changes2_based on steps'!$B285:$U285,'changes2_based on steps'!$B$1:$U$1,W$1)</f>
        <v>0</v>
      </c>
      <c r="X285" s="140">
        <f ca="1">SUMIFS('recurring2_based on steps'!$B285:$AY285,'recurring2_based on steps'!$B$1:$AY$1,X$1)+SUMIFS('changes2_based on steps'!$B285:$U285,'changes2_based on steps'!$B$1:$U$1,X$1)</f>
        <v>0</v>
      </c>
      <c r="Y285" s="140">
        <f ca="1">SUMIFS('recurring2_based on steps'!$B285:$AY285,'recurring2_based on steps'!$B$1:$AY$1,Y$1)+SUMIFS('changes2_based on steps'!$B285:$U285,'changes2_based on steps'!$B$1:$U$1,Y$1)</f>
        <v>0</v>
      </c>
      <c r="Z285" s="140">
        <f>SUMIFS('recurring2_based on steps'!$B285:$AY285,'recurring2_based on steps'!$B$1:$AY$1,Z$1)+SUMIFS('changes2_based on steps'!$B285:$U285,'changes2_based on steps'!$B$1:$U$1,Z$1)</f>
        <v>0</v>
      </c>
      <c r="AA285" s="140">
        <f ca="1">SUMIFS('recurring2_based on steps'!$B285:$AY285,'recurring2_based on steps'!$B$1:$AY$1,AA$1)+SUMIFS('changes2_based on steps'!$B285:$U285,'changes2_based on steps'!$B$1:$U$1,AA$1)</f>
        <v>0</v>
      </c>
      <c r="AB285" s="140">
        <f ca="1">SUMIFS('recurring2_based on steps'!$B285:$AY285,'recurring2_based on steps'!$B$1:$AY$1,AB$1)+SUMIFS('changes2_based on steps'!$B285:$U285,'changes2_based on steps'!$B$1:$U$1,AB$1)</f>
        <v>100</v>
      </c>
      <c r="AC285" s="140">
        <f ca="1">SUMIFS('recurring2_based on steps'!$B285:$AY285,'recurring2_based on steps'!$B$1:$AY$1,AC$1)+SUMIFS('changes2_based on steps'!$B285:$U285,'changes2_based on steps'!$B$1:$U$1,AC$1)</f>
        <v>0</v>
      </c>
      <c r="AD285" s="140">
        <f ca="1">SUMIFS('recurring2_based on steps'!$B285:$AY285,'recurring2_based on steps'!$B$1:$AY$1,AD$1)+SUMIFS('changes2_based on steps'!$B285:$U285,'changes2_based on steps'!$B$1:$U$1,AD$1)</f>
        <v>0</v>
      </c>
      <c r="AE285" s="140">
        <f>SUMIFS('recurring2_based on steps'!$B285:$AY285,'recurring2_based on steps'!$B$1:$AY$1,AE$1)+SUMIFS('changes2_based on steps'!$B285:$U285,'changes2_based on steps'!$B$1:$U$1,AE$1)</f>
        <v>0</v>
      </c>
      <c r="AF285" s="140"/>
      <c r="AG285" s="140"/>
      <c r="AH285" s="140"/>
      <c r="AI285" s="140"/>
      <c r="AJ285" s="140"/>
      <c r="AK285" s="140"/>
      <c r="AL285" s="140"/>
      <c r="AM285" s="140"/>
    </row>
    <row r="286" spans="1:39" x14ac:dyDescent="0.2">
      <c r="A286" s="29">
        <f t="shared" ca="1" si="4"/>
        <v>46026</v>
      </c>
      <c r="B286" s="140">
        <f ca="1">SUMIFS('recurring2_based on steps'!$B286:$AY286,'recurring2_based on steps'!$B$1:$AY$1,B$1)+SUMIFS('changes2_based on steps'!$B286:$U286,'changes2_based on steps'!$B$1:$U$1,B$1)</f>
        <v>0</v>
      </c>
      <c r="C286" s="140">
        <f>SUMIFS('recurring2_based on steps'!$B286:$AY286,'recurring2_based on steps'!$B$1:$AY$1,C$1)+SUMIFS('changes2_based on steps'!$B286:$U286,'changes2_based on steps'!$B$1:$U$1,C$1)</f>
        <v>0</v>
      </c>
      <c r="D286" s="140">
        <f>SUMIFS('recurring2_based on steps'!$B286:$AY286,'recurring2_based on steps'!$B$1:$AY$1,D$1)+SUMIFS('changes2_based on steps'!$B286:$U286,'changes2_based on steps'!$B$1:$U$1,D$1)</f>
        <v>0</v>
      </c>
      <c r="E286" s="140">
        <f>SUMIFS('recurring2_based on steps'!$B286:$AY286,'recurring2_based on steps'!$B$1:$AY$1,E$1)+SUMIFS('changes2_based on steps'!$B286:$U286,'changes2_based on steps'!$B$1:$U$1,E$1)</f>
        <v>0</v>
      </c>
      <c r="F286" s="140">
        <f>SUMIFS('recurring2_based on steps'!$B286:$AY286,'recurring2_based on steps'!$B$1:$AY$1,F$1)+SUMIFS('changes2_based on steps'!$B286:$U286,'changes2_based on steps'!$B$1:$U$1,F$1)</f>
        <v>0</v>
      </c>
      <c r="G286" s="140">
        <f>SUMIFS('recurring2_based on steps'!$B286:$AY286,'recurring2_based on steps'!$B$1:$AY$1,G$1)+SUMIFS('changes2_based on steps'!$B286:$U286,'changes2_based on steps'!$B$1:$U$1,G$1)</f>
        <v>0</v>
      </c>
      <c r="H286" s="140">
        <f>SUMIFS('recurring2_based on steps'!$B286:$AY286,'recurring2_based on steps'!$B$1:$AY$1,H$1)+SUMIFS('changes2_based on steps'!$B286:$U286,'changes2_based on steps'!$B$1:$U$1,H$1)</f>
        <v>0</v>
      </c>
      <c r="I286" s="140">
        <f>SUMIFS('recurring2_based on steps'!$B286:$AY286,'recurring2_based on steps'!$B$1:$AY$1,I$1)+SUMIFS('changes2_based on steps'!$B286:$U286,'changes2_based on steps'!$B$1:$U$1,I$1)</f>
        <v>0</v>
      </c>
      <c r="J286" s="140">
        <f ca="1">SUMIFS('recurring2_based on steps'!$B286:$AY286,'recurring2_based on steps'!$B$1:$AY$1,J$1)+SUMIFS('changes2_based on steps'!$B286:$U286,'changes2_based on steps'!$B$1:$U$1,J$1)</f>
        <v>0</v>
      </c>
      <c r="K286" s="140">
        <f>SUMIFS('recurring2_based on steps'!$B286:$AY286,'recurring2_based on steps'!$B$1:$AY$1,K$1)+SUMIFS('changes2_based on steps'!$B286:$U286,'changes2_based on steps'!$B$1:$U$1,K$1)</f>
        <v>0</v>
      </c>
      <c r="L286" s="140">
        <f>SUMIFS('recurring2_based on steps'!$B286:$AY286,'recurring2_based on steps'!$B$1:$AY$1,L$1)+SUMIFS('changes2_based on steps'!$B286:$U286,'changes2_based on steps'!$B$1:$U$1,L$1)</f>
        <v>0</v>
      </c>
      <c r="M286" s="140">
        <f>SUMIFS('recurring2_based on steps'!$B286:$AY286,'recurring2_based on steps'!$B$1:$AY$1,M$1)+SUMIFS('changes2_based on steps'!$B286:$U286,'changes2_based on steps'!$B$1:$U$1,M$1)</f>
        <v>0</v>
      </c>
      <c r="N286" s="140">
        <f ca="1">SUMIFS('recurring2_based on steps'!$B286:$AY286,'recurring2_based on steps'!$B$1:$AY$1,N$1)+SUMIFS('changes2_based on steps'!$B286:$U286,'changes2_based on steps'!$B$1:$U$1,N$1)</f>
        <v>0</v>
      </c>
      <c r="O286" s="140">
        <f>SUMIFS('recurring2_based on steps'!$B286:$AY286,'recurring2_based on steps'!$B$1:$AY$1,O$1)+SUMIFS('changes2_based on steps'!$B286:$U286,'changes2_based on steps'!$B$1:$U$1,O$1)</f>
        <v>0</v>
      </c>
      <c r="P286" s="140">
        <f ca="1">SUMIFS('recurring2_based on steps'!$B286:$AY286,'recurring2_based on steps'!$B$1:$AY$1,P$1)+SUMIFS('changes2_based on steps'!$B286:$U286,'changes2_based on steps'!$B$1:$U$1,P$1)</f>
        <v>0</v>
      </c>
      <c r="Q286" s="140">
        <f ca="1">SUMIFS('recurring2_based on steps'!$B286:$AY286,'recurring2_based on steps'!$B$1:$AY$1,Q$1)+SUMIFS('changes2_based on steps'!$B286:$U286,'changes2_based on steps'!$B$1:$U$1,Q$1)</f>
        <v>100.05540166204986</v>
      </c>
      <c r="R286" s="140">
        <f ca="1">SUMIFS('recurring2_based on steps'!$B286:$AY286,'recurring2_based on steps'!$B$1:$AY$1,R$1)+SUMIFS('changes2_based on steps'!$B286:$U286,'changes2_based on steps'!$B$1:$U$1,R$1)</f>
        <v>15</v>
      </c>
      <c r="S286" s="140">
        <f>SUMIFS('recurring2_based on steps'!$B286:$AY286,'recurring2_based on steps'!$B$1:$AY$1,S$1)+SUMIFS('changes2_based on steps'!$B286:$U286,'changes2_based on steps'!$B$1:$U$1,S$1)</f>
        <v>0</v>
      </c>
      <c r="T286" s="140">
        <f ca="1">SUMIFS('recurring2_based on steps'!$B286:$AY286,'recurring2_based on steps'!$B$1:$AY$1,T$1)+SUMIFS('changes2_based on steps'!$B286:$U286,'changes2_based on steps'!$B$1:$U$1,T$1)</f>
        <v>0</v>
      </c>
      <c r="U286" s="140">
        <f ca="1">SUMIFS('recurring2_based on steps'!$B286:$AY286,'recurring2_based on steps'!$B$1:$AY$1,U$1)+SUMIFS('changes2_based on steps'!$B286:$U286,'changes2_based on steps'!$B$1:$U$1,U$1)</f>
        <v>0</v>
      </c>
      <c r="V286" s="140">
        <f>SUMIFS('recurring2_based on steps'!$B286:$AY286,'recurring2_based on steps'!$B$1:$AY$1,V$1)+SUMIFS('changes2_based on steps'!$B286:$U286,'changes2_based on steps'!$B$1:$U$1,V$1)</f>
        <v>0</v>
      </c>
      <c r="W286" s="140">
        <f>SUMIFS('recurring2_based on steps'!$B286:$AY286,'recurring2_based on steps'!$B$1:$AY$1,W$1)+SUMIFS('changes2_based on steps'!$B286:$U286,'changes2_based on steps'!$B$1:$U$1,W$1)</f>
        <v>0</v>
      </c>
      <c r="X286" s="140">
        <f ca="1">SUMIFS('recurring2_based on steps'!$B286:$AY286,'recurring2_based on steps'!$B$1:$AY$1,X$1)+SUMIFS('changes2_based on steps'!$B286:$U286,'changes2_based on steps'!$B$1:$U$1,X$1)</f>
        <v>0</v>
      </c>
      <c r="Y286" s="140">
        <f ca="1">SUMIFS('recurring2_based on steps'!$B286:$AY286,'recurring2_based on steps'!$B$1:$AY$1,Y$1)+SUMIFS('changes2_based on steps'!$B286:$U286,'changes2_based on steps'!$B$1:$U$1,Y$1)</f>
        <v>50</v>
      </c>
      <c r="Z286" s="140">
        <f>SUMIFS('recurring2_based on steps'!$B286:$AY286,'recurring2_based on steps'!$B$1:$AY$1,Z$1)+SUMIFS('changes2_based on steps'!$B286:$U286,'changes2_based on steps'!$B$1:$U$1,Z$1)</f>
        <v>0</v>
      </c>
      <c r="AA286" s="140">
        <f ca="1">SUMIFS('recurring2_based on steps'!$B286:$AY286,'recurring2_based on steps'!$B$1:$AY$1,AA$1)+SUMIFS('changes2_based on steps'!$B286:$U286,'changes2_based on steps'!$B$1:$U$1,AA$1)</f>
        <v>0</v>
      </c>
      <c r="AB286" s="140">
        <f ca="1">SUMIFS('recurring2_based on steps'!$B286:$AY286,'recurring2_based on steps'!$B$1:$AY$1,AB$1)+SUMIFS('changes2_based on steps'!$B286:$U286,'changes2_based on steps'!$B$1:$U$1,AB$1)</f>
        <v>0</v>
      </c>
      <c r="AC286" s="140">
        <f ca="1">SUMIFS('recurring2_based on steps'!$B286:$AY286,'recurring2_based on steps'!$B$1:$AY$1,AC$1)+SUMIFS('changes2_based on steps'!$B286:$U286,'changes2_based on steps'!$B$1:$U$1,AC$1)</f>
        <v>0</v>
      </c>
      <c r="AD286" s="140">
        <f ca="1">SUMIFS('recurring2_based on steps'!$B286:$AY286,'recurring2_based on steps'!$B$1:$AY$1,AD$1)+SUMIFS('changes2_based on steps'!$B286:$U286,'changes2_based on steps'!$B$1:$U$1,AD$1)</f>
        <v>0</v>
      </c>
      <c r="AE286" s="140">
        <f>SUMIFS('recurring2_based on steps'!$B286:$AY286,'recurring2_based on steps'!$B$1:$AY$1,AE$1)+SUMIFS('changes2_based on steps'!$B286:$U286,'changes2_based on steps'!$B$1:$U$1,AE$1)</f>
        <v>0</v>
      </c>
      <c r="AF286" s="140"/>
      <c r="AG286" s="140"/>
      <c r="AH286" s="140"/>
      <c r="AI286" s="140"/>
      <c r="AJ286" s="140"/>
      <c r="AK286" s="140"/>
      <c r="AL286" s="140"/>
      <c r="AM286" s="140"/>
    </row>
    <row r="287" spans="1:39" x14ac:dyDescent="0.2">
      <c r="A287" s="29">
        <f t="shared" ca="1" si="4"/>
        <v>46027</v>
      </c>
      <c r="B287" s="140">
        <f ca="1">SUMIFS('recurring2_based on steps'!$B287:$AY287,'recurring2_based on steps'!$B$1:$AY$1,B$1)+SUMIFS('changes2_based on steps'!$B287:$U287,'changes2_based on steps'!$B$1:$U$1,B$1)</f>
        <v>0</v>
      </c>
      <c r="C287" s="140">
        <f>SUMIFS('recurring2_based on steps'!$B287:$AY287,'recurring2_based on steps'!$B$1:$AY$1,C$1)+SUMIFS('changes2_based on steps'!$B287:$U287,'changes2_based on steps'!$B$1:$U$1,C$1)</f>
        <v>0</v>
      </c>
      <c r="D287" s="140">
        <f>SUMIFS('recurring2_based on steps'!$B287:$AY287,'recurring2_based on steps'!$B$1:$AY$1,D$1)+SUMIFS('changes2_based on steps'!$B287:$U287,'changes2_based on steps'!$B$1:$U$1,D$1)</f>
        <v>0</v>
      </c>
      <c r="E287" s="140">
        <f>SUMIFS('recurring2_based on steps'!$B287:$AY287,'recurring2_based on steps'!$B$1:$AY$1,E$1)+SUMIFS('changes2_based on steps'!$B287:$U287,'changes2_based on steps'!$B$1:$U$1,E$1)</f>
        <v>0</v>
      </c>
      <c r="F287" s="140">
        <f>SUMIFS('recurring2_based on steps'!$B287:$AY287,'recurring2_based on steps'!$B$1:$AY$1,F$1)+SUMIFS('changes2_based on steps'!$B287:$U287,'changes2_based on steps'!$B$1:$U$1,F$1)</f>
        <v>0</v>
      </c>
      <c r="G287" s="140">
        <f>SUMIFS('recurring2_based on steps'!$B287:$AY287,'recurring2_based on steps'!$B$1:$AY$1,G$1)+SUMIFS('changes2_based on steps'!$B287:$U287,'changes2_based on steps'!$B$1:$U$1,G$1)</f>
        <v>0</v>
      </c>
      <c r="H287" s="140">
        <f>SUMIFS('recurring2_based on steps'!$B287:$AY287,'recurring2_based on steps'!$B$1:$AY$1,H$1)+SUMIFS('changes2_based on steps'!$B287:$U287,'changes2_based on steps'!$B$1:$U$1,H$1)</f>
        <v>0</v>
      </c>
      <c r="I287" s="140">
        <f>SUMIFS('recurring2_based on steps'!$B287:$AY287,'recurring2_based on steps'!$B$1:$AY$1,I$1)+SUMIFS('changes2_based on steps'!$B287:$U287,'changes2_based on steps'!$B$1:$U$1,I$1)</f>
        <v>0</v>
      </c>
      <c r="J287" s="140">
        <f ca="1">SUMIFS('recurring2_based on steps'!$B287:$AY287,'recurring2_based on steps'!$B$1:$AY$1,J$1)+SUMIFS('changes2_based on steps'!$B287:$U287,'changes2_based on steps'!$B$1:$U$1,J$1)</f>
        <v>0</v>
      </c>
      <c r="K287" s="140">
        <f>SUMIFS('recurring2_based on steps'!$B287:$AY287,'recurring2_based on steps'!$B$1:$AY$1,K$1)+SUMIFS('changes2_based on steps'!$B287:$U287,'changes2_based on steps'!$B$1:$U$1,K$1)</f>
        <v>0</v>
      </c>
      <c r="L287" s="140">
        <f>SUMIFS('recurring2_based on steps'!$B287:$AY287,'recurring2_based on steps'!$B$1:$AY$1,L$1)+SUMIFS('changes2_based on steps'!$B287:$U287,'changes2_based on steps'!$B$1:$U$1,L$1)</f>
        <v>0</v>
      </c>
      <c r="M287" s="140">
        <f>SUMIFS('recurring2_based on steps'!$B287:$AY287,'recurring2_based on steps'!$B$1:$AY$1,M$1)+SUMIFS('changes2_based on steps'!$B287:$U287,'changes2_based on steps'!$B$1:$U$1,M$1)</f>
        <v>0</v>
      </c>
      <c r="N287" s="140">
        <f ca="1">SUMIFS('recurring2_based on steps'!$B287:$AY287,'recurring2_based on steps'!$B$1:$AY$1,N$1)+SUMIFS('changes2_based on steps'!$B287:$U287,'changes2_based on steps'!$B$1:$U$1,N$1)</f>
        <v>0</v>
      </c>
      <c r="O287" s="140">
        <f>SUMIFS('recurring2_based on steps'!$B287:$AY287,'recurring2_based on steps'!$B$1:$AY$1,O$1)+SUMIFS('changes2_based on steps'!$B287:$U287,'changes2_based on steps'!$B$1:$U$1,O$1)</f>
        <v>0</v>
      </c>
      <c r="P287" s="140">
        <f ca="1">SUMIFS('recurring2_based on steps'!$B287:$AY287,'recurring2_based on steps'!$B$1:$AY$1,P$1)+SUMIFS('changes2_based on steps'!$B287:$U287,'changes2_based on steps'!$B$1:$U$1,P$1)</f>
        <v>0</v>
      </c>
      <c r="Q287" s="140">
        <f ca="1">SUMIFS('recurring2_based on steps'!$B287:$AY287,'recurring2_based on steps'!$B$1:$AY$1,Q$1)+SUMIFS('changes2_based on steps'!$B287:$U287,'changes2_based on steps'!$B$1:$U$1,Q$1)</f>
        <v>5.5401662049861494E-2</v>
      </c>
      <c r="R287" s="140">
        <f ca="1">SUMIFS('recurring2_based on steps'!$B287:$AY287,'recurring2_based on steps'!$B$1:$AY$1,R$1)+SUMIFS('changes2_based on steps'!$B287:$U287,'changes2_based on steps'!$B$1:$U$1,R$1)</f>
        <v>0</v>
      </c>
      <c r="S287" s="140">
        <f>SUMIFS('recurring2_based on steps'!$B287:$AY287,'recurring2_based on steps'!$B$1:$AY$1,S$1)+SUMIFS('changes2_based on steps'!$B287:$U287,'changes2_based on steps'!$B$1:$U$1,S$1)</f>
        <v>0</v>
      </c>
      <c r="T287" s="140">
        <f ca="1">SUMIFS('recurring2_based on steps'!$B287:$AY287,'recurring2_based on steps'!$B$1:$AY$1,T$1)+SUMIFS('changes2_based on steps'!$B287:$U287,'changes2_based on steps'!$B$1:$U$1,T$1)</f>
        <v>0</v>
      </c>
      <c r="U287" s="140">
        <f ca="1">SUMIFS('recurring2_based on steps'!$B287:$AY287,'recurring2_based on steps'!$B$1:$AY$1,U$1)+SUMIFS('changes2_based on steps'!$B287:$U287,'changes2_based on steps'!$B$1:$U$1,U$1)</f>
        <v>0</v>
      </c>
      <c r="V287" s="140">
        <f>SUMIFS('recurring2_based on steps'!$B287:$AY287,'recurring2_based on steps'!$B$1:$AY$1,V$1)+SUMIFS('changes2_based on steps'!$B287:$U287,'changes2_based on steps'!$B$1:$U$1,V$1)</f>
        <v>0</v>
      </c>
      <c r="W287" s="140">
        <f>SUMIFS('recurring2_based on steps'!$B287:$AY287,'recurring2_based on steps'!$B$1:$AY$1,W$1)+SUMIFS('changes2_based on steps'!$B287:$U287,'changes2_based on steps'!$B$1:$U$1,W$1)</f>
        <v>0</v>
      </c>
      <c r="X287" s="140">
        <f ca="1">SUMIFS('recurring2_based on steps'!$B287:$AY287,'recurring2_based on steps'!$B$1:$AY$1,X$1)+SUMIFS('changes2_based on steps'!$B287:$U287,'changes2_based on steps'!$B$1:$U$1,X$1)</f>
        <v>0</v>
      </c>
      <c r="Y287" s="140">
        <f ca="1">SUMIFS('recurring2_based on steps'!$B287:$AY287,'recurring2_based on steps'!$B$1:$AY$1,Y$1)+SUMIFS('changes2_based on steps'!$B287:$U287,'changes2_based on steps'!$B$1:$U$1,Y$1)</f>
        <v>0</v>
      </c>
      <c r="Z287" s="140">
        <f>SUMIFS('recurring2_based on steps'!$B287:$AY287,'recurring2_based on steps'!$B$1:$AY$1,Z$1)+SUMIFS('changes2_based on steps'!$B287:$U287,'changes2_based on steps'!$B$1:$U$1,Z$1)</f>
        <v>0</v>
      </c>
      <c r="AA287" s="140">
        <f ca="1">SUMIFS('recurring2_based on steps'!$B287:$AY287,'recurring2_based on steps'!$B$1:$AY$1,AA$1)+SUMIFS('changes2_based on steps'!$B287:$U287,'changes2_based on steps'!$B$1:$U$1,AA$1)</f>
        <v>50</v>
      </c>
      <c r="AB287" s="140">
        <f ca="1">SUMIFS('recurring2_based on steps'!$B287:$AY287,'recurring2_based on steps'!$B$1:$AY$1,AB$1)+SUMIFS('changes2_based on steps'!$B287:$U287,'changes2_based on steps'!$B$1:$U$1,AB$1)</f>
        <v>0</v>
      </c>
      <c r="AC287" s="140">
        <f ca="1">SUMIFS('recurring2_based on steps'!$B287:$AY287,'recurring2_based on steps'!$B$1:$AY$1,AC$1)+SUMIFS('changes2_based on steps'!$B287:$U287,'changes2_based on steps'!$B$1:$U$1,AC$1)</f>
        <v>0</v>
      </c>
      <c r="AD287" s="140">
        <f ca="1">SUMIFS('recurring2_based on steps'!$B287:$AY287,'recurring2_based on steps'!$B$1:$AY$1,AD$1)+SUMIFS('changes2_based on steps'!$B287:$U287,'changes2_based on steps'!$B$1:$U$1,AD$1)</f>
        <v>0</v>
      </c>
      <c r="AE287" s="140">
        <f>SUMIFS('recurring2_based on steps'!$B287:$AY287,'recurring2_based on steps'!$B$1:$AY$1,AE$1)+SUMIFS('changes2_based on steps'!$B287:$U287,'changes2_based on steps'!$B$1:$U$1,AE$1)</f>
        <v>0</v>
      </c>
      <c r="AF287" s="140"/>
      <c r="AG287" s="140"/>
      <c r="AH287" s="140"/>
      <c r="AI287" s="140"/>
      <c r="AJ287" s="140"/>
      <c r="AK287" s="140"/>
      <c r="AL287" s="140"/>
      <c r="AM287" s="140"/>
    </row>
    <row r="288" spans="1:39" x14ac:dyDescent="0.2">
      <c r="A288" s="29">
        <f t="shared" ca="1" si="4"/>
        <v>46028</v>
      </c>
      <c r="B288" s="140">
        <f ca="1">SUMIFS('recurring2_based on steps'!$B288:$AY288,'recurring2_based on steps'!$B$1:$AY$1,B$1)+SUMIFS('changes2_based on steps'!$B288:$U288,'changes2_based on steps'!$B$1:$U$1,B$1)</f>
        <v>0</v>
      </c>
      <c r="C288" s="140">
        <f>SUMIFS('recurring2_based on steps'!$B288:$AY288,'recurring2_based on steps'!$B$1:$AY$1,C$1)+SUMIFS('changes2_based on steps'!$B288:$U288,'changes2_based on steps'!$B$1:$U$1,C$1)</f>
        <v>0</v>
      </c>
      <c r="D288" s="140">
        <f>SUMIFS('recurring2_based on steps'!$B288:$AY288,'recurring2_based on steps'!$B$1:$AY$1,D$1)+SUMIFS('changes2_based on steps'!$B288:$U288,'changes2_based on steps'!$B$1:$U$1,D$1)</f>
        <v>0</v>
      </c>
      <c r="E288" s="140">
        <f>SUMIFS('recurring2_based on steps'!$B288:$AY288,'recurring2_based on steps'!$B$1:$AY$1,E$1)+SUMIFS('changes2_based on steps'!$B288:$U288,'changes2_based on steps'!$B$1:$U$1,E$1)</f>
        <v>0</v>
      </c>
      <c r="F288" s="140">
        <f>SUMIFS('recurring2_based on steps'!$B288:$AY288,'recurring2_based on steps'!$B$1:$AY$1,F$1)+SUMIFS('changes2_based on steps'!$B288:$U288,'changes2_based on steps'!$B$1:$U$1,F$1)</f>
        <v>0</v>
      </c>
      <c r="G288" s="140">
        <f>SUMIFS('recurring2_based on steps'!$B288:$AY288,'recurring2_based on steps'!$B$1:$AY$1,G$1)+SUMIFS('changes2_based on steps'!$B288:$U288,'changes2_based on steps'!$B$1:$U$1,G$1)</f>
        <v>0</v>
      </c>
      <c r="H288" s="140">
        <f>SUMIFS('recurring2_based on steps'!$B288:$AY288,'recurring2_based on steps'!$B$1:$AY$1,H$1)+SUMIFS('changes2_based on steps'!$B288:$U288,'changes2_based on steps'!$B$1:$U$1,H$1)</f>
        <v>0</v>
      </c>
      <c r="I288" s="140">
        <f>SUMIFS('recurring2_based on steps'!$B288:$AY288,'recurring2_based on steps'!$B$1:$AY$1,I$1)+SUMIFS('changes2_based on steps'!$B288:$U288,'changes2_based on steps'!$B$1:$U$1,I$1)</f>
        <v>0</v>
      </c>
      <c r="J288" s="140">
        <f ca="1">SUMIFS('recurring2_based on steps'!$B288:$AY288,'recurring2_based on steps'!$B$1:$AY$1,J$1)+SUMIFS('changes2_based on steps'!$B288:$U288,'changes2_based on steps'!$B$1:$U$1,J$1)</f>
        <v>0</v>
      </c>
      <c r="K288" s="140">
        <f>SUMIFS('recurring2_based on steps'!$B288:$AY288,'recurring2_based on steps'!$B$1:$AY$1,K$1)+SUMIFS('changes2_based on steps'!$B288:$U288,'changes2_based on steps'!$B$1:$U$1,K$1)</f>
        <v>0</v>
      </c>
      <c r="L288" s="140">
        <f>SUMIFS('recurring2_based on steps'!$B288:$AY288,'recurring2_based on steps'!$B$1:$AY$1,L$1)+SUMIFS('changes2_based on steps'!$B288:$U288,'changes2_based on steps'!$B$1:$U$1,L$1)</f>
        <v>0</v>
      </c>
      <c r="M288" s="140">
        <f>SUMIFS('recurring2_based on steps'!$B288:$AY288,'recurring2_based on steps'!$B$1:$AY$1,M$1)+SUMIFS('changes2_based on steps'!$B288:$U288,'changes2_based on steps'!$B$1:$U$1,M$1)</f>
        <v>0</v>
      </c>
      <c r="N288" s="140">
        <f ca="1">SUMIFS('recurring2_based on steps'!$B288:$AY288,'recurring2_based on steps'!$B$1:$AY$1,N$1)+SUMIFS('changes2_based on steps'!$B288:$U288,'changes2_based on steps'!$B$1:$U$1,N$1)</f>
        <v>0</v>
      </c>
      <c r="O288" s="140">
        <f>SUMIFS('recurring2_based on steps'!$B288:$AY288,'recurring2_based on steps'!$B$1:$AY$1,O$1)+SUMIFS('changes2_based on steps'!$B288:$U288,'changes2_based on steps'!$B$1:$U$1,O$1)</f>
        <v>0</v>
      </c>
      <c r="P288" s="140">
        <f ca="1">SUMIFS('recurring2_based on steps'!$B288:$AY288,'recurring2_based on steps'!$B$1:$AY$1,P$1)+SUMIFS('changes2_based on steps'!$B288:$U288,'changes2_based on steps'!$B$1:$U$1,P$1)</f>
        <v>0</v>
      </c>
      <c r="Q288" s="140">
        <f ca="1">SUMIFS('recurring2_based on steps'!$B288:$AY288,'recurring2_based on steps'!$B$1:$AY$1,Q$1)+SUMIFS('changes2_based on steps'!$B288:$U288,'changes2_based on steps'!$B$1:$U$1,Q$1)</f>
        <v>5.5401662049861494E-2</v>
      </c>
      <c r="R288" s="140">
        <f ca="1">SUMIFS('recurring2_based on steps'!$B288:$AY288,'recurring2_based on steps'!$B$1:$AY$1,R$1)+SUMIFS('changes2_based on steps'!$B288:$U288,'changes2_based on steps'!$B$1:$U$1,R$1)</f>
        <v>0</v>
      </c>
      <c r="S288" s="140">
        <f>SUMIFS('recurring2_based on steps'!$B288:$AY288,'recurring2_based on steps'!$B$1:$AY$1,S$1)+SUMIFS('changes2_based on steps'!$B288:$U288,'changes2_based on steps'!$B$1:$U$1,S$1)</f>
        <v>0</v>
      </c>
      <c r="T288" s="140">
        <f ca="1">SUMIFS('recurring2_based on steps'!$B288:$AY288,'recurring2_based on steps'!$B$1:$AY$1,T$1)+SUMIFS('changes2_based on steps'!$B288:$U288,'changes2_based on steps'!$B$1:$U$1,T$1)</f>
        <v>0</v>
      </c>
      <c r="U288" s="140">
        <f ca="1">SUMIFS('recurring2_based on steps'!$B288:$AY288,'recurring2_based on steps'!$B$1:$AY$1,U$1)+SUMIFS('changes2_based on steps'!$B288:$U288,'changes2_based on steps'!$B$1:$U$1,U$1)</f>
        <v>0</v>
      </c>
      <c r="V288" s="140">
        <f>SUMIFS('recurring2_based on steps'!$B288:$AY288,'recurring2_based on steps'!$B$1:$AY$1,V$1)+SUMIFS('changes2_based on steps'!$B288:$U288,'changes2_based on steps'!$B$1:$U$1,V$1)</f>
        <v>0</v>
      </c>
      <c r="W288" s="140">
        <f>SUMIFS('recurring2_based on steps'!$B288:$AY288,'recurring2_based on steps'!$B$1:$AY$1,W$1)+SUMIFS('changes2_based on steps'!$B288:$U288,'changes2_based on steps'!$B$1:$U$1,W$1)</f>
        <v>0</v>
      </c>
      <c r="X288" s="140">
        <f ca="1">SUMIFS('recurring2_based on steps'!$B288:$AY288,'recurring2_based on steps'!$B$1:$AY$1,X$1)+SUMIFS('changes2_based on steps'!$B288:$U288,'changes2_based on steps'!$B$1:$U$1,X$1)</f>
        <v>0</v>
      </c>
      <c r="Y288" s="140">
        <f ca="1">SUMIFS('recurring2_based on steps'!$B288:$AY288,'recurring2_based on steps'!$B$1:$AY$1,Y$1)+SUMIFS('changes2_based on steps'!$B288:$U288,'changes2_based on steps'!$B$1:$U$1,Y$1)</f>
        <v>0</v>
      </c>
      <c r="Z288" s="140">
        <f>SUMIFS('recurring2_based on steps'!$B288:$AY288,'recurring2_based on steps'!$B$1:$AY$1,Z$1)+SUMIFS('changes2_based on steps'!$B288:$U288,'changes2_based on steps'!$B$1:$U$1,Z$1)</f>
        <v>0</v>
      </c>
      <c r="AA288" s="140">
        <f ca="1">SUMIFS('recurring2_based on steps'!$B288:$AY288,'recurring2_based on steps'!$B$1:$AY$1,AA$1)+SUMIFS('changes2_based on steps'!$B288:$U288,'changes2_based on steps'!$B$1:$U$1,AA$1)</f>
        <v>0</v>
      </c>
      <c r="AB288" s="140">
        <f ca="1">SUMIFS('recurring2_based on steps'!$B288:$AY288,'recurring2_based on steps'!$B$1:$AY$1,AB$1)+SUMIFS('changes2_based on steps'!$B288:$U288,'changes2_based on steps'!$B$1:$U$1,AB$1)</f>
        <v>0</v>
      </c>
      <c r="AC288" s="140">
        <f ca="1">SUMIFS('recurring2_based on steps'!$B288:$AY288,'recurring2_based on steps'!$B$1:$AY$1,AC$1)+SUMIFS('changes2_based on steps'!$B288:$U288,'changes2_based on steps'!$B$1:$U$1,AC$1)</f>
        <v>0</v>
      </c>
      <c r="AD288" s="140">
        <f ca="1">SUMIFS('recurring2_based on steps'!$B288:$AY288,'recurring2_based on steps'!$B$1:$AY$1,AD$1)+SUMIFS('changes2_based on steps'!$B288:$U288,'changes2_based on steps'!$B$1:$U$1,AD$1)</f>
        <v>0</v>
      </c>
      <c r="AE288" s="140">
        <f>SUMIFS('recurring2_based on steps'!$B288:$AY288,'recurring2_based on steps'!$B$1:$AY$1,AE$1)+SUMIFS('changes2_based on steps'!$B288:$U288,'changes2_based on steps'!$B$1:$U$1,AE$1)</f>
        <v>0</v>
      </c>
      <c r="AF288" s="140"/>
      <c r="AG288" s="140"/>
      <c r="AH288" s="140"/>
      <c r="AI288" s="140"/>
      <c r="AJ288" s="140"/>
      <c r="AK288" s="140"/>
      <c r="AL288" s="140"/>
      <c r="AM288" s="140"/>
    </row>
    <row r="289" spans="1:39" x14ac:dyDescent="0.2">
      <c r="A289" s="29">
        <f t="shared" ca="1" si="4"/>
        <v>46029</v>
      </c>
      <c r="B289" s="140">
        <f ca="1">SUMIFS('recurring2_based on steps'!$B289:$AY289,'recurring2_based on steps'!$B$1:$AY$1,B$1)+SUMIFS('changes2_based on steps'!$B289:$U289,'changes2_based on steps'!$B$1:$U$1,B$1)</f>
        <v>0</v>
      </c>
      <c r="C289" s="140">
        <f>SUMIFS('recurring2_based on steps'!$B289:$AY289,'recurring2_based on steps'!$B$1:$AY$1,C$1)+SUMIFS('changes2_based on steps'!$B289:$U289,'changes2_based on steps'!$B$1:$U$1,C$1)</f>
        <v>0</v>
      </c>
      <c r="D289" s="140">
        <f>SUMIFS('recurring2_based on steps'!$B289:$AY289,'recurring2_based on steps'!$B$1:$AY$1,D$1)+SUMIFS('changes2_based on steps'!$B289:$U289,'changes2_based on steps'!$B$1:$U$1,D$1)</f>
        <v>0</v>
      </c>
      <c r="E289" s="140">
        <f>SUMIFS('recurring2_based on steps'!$B289:$AY289,'recurring2_based on steps'!$B$1:$AY$1,E$1)+SUMIFS('changes2_based on steps'!$B289:$U289,'changes2_based on steps'!$B$1:$U$1,E$1)</f>
        <v>0</v>
      </c>
      <c r="F289" s="140">
        <f>SUMIFS('recurring2_based on steps'!$B289:$AY289,'recurring2_based on steps'!$B$1:$AY$1,F$1)+SUMIFS('changes2_based on steps'!$B289:$U289,'changes2_based on steps'!$B$1:$U$1,F$1)</f>
        <v>0</v>
      </c>
      <c r="G289" s="140">
        <f>SUMIFS('recurring2_based on steps'!$B289:$AY289,'recurring2_based on steps'!$B$1:$AY$1,G$1)+SUMIFS('changes2_based on steps'!$B289:$U289,'changes2_based on steps'!$B$1:$U$1,G$1)</f>
        <v>0</v>
      </c>
      <c r="H289" s="140">
        <f>SUMIFS('recurring2_based on steps'!$B289:$AY289,'recurring2_based on steps'!$B$1:$AY$1,H$1)+SUMIFS('changes2_based on steps'!$B289:$U289,'changes2_based on steps'!$B$1:$U$1,H$1)</f>
        <v>0</v>
      </c>
      <c r="I289" s="140">
        <f>SUMIFS('recurring2_based on steps'!$B289:$AY289,'recurring2_based on steps'!$B$1:$AY$1,I$1)+SUMIFS('changes2_based on steps'!$B289:$U289,'changes2_based on steps'!$B$1:$U$1,I$1)</f>
        <v>0</v>
      </c>
      <c r="J289" s="140">
        <f ca="1">SUMIFS('recurring2_based on steps'!$B289:$AY289,'recurring2_based on steps'!$B$1:$AY$1,J$1)+SUMIFS('changes2_based on steps'!$B289:$U289,'changes2_based on steps'!$B$1:$U$1,J$1)</f>
        <v>0</v>
      </c>
      <c r="K289" s="140">
        <f>SUMIFS('recurring2_based on steps'!$B289:$AY289,'recurring2_based on steps'!$B$1:$AY$1,K$1)+SUMIFS('changes2_based on steps'!$B289:$U289,'changes2_based on steps'!$B$1:$U$1,K$1)</f>
        <v>0</v>
      </c>
      <c r="L289" s="140">
        <f>SUMIFS('recurring2_based on steps'!$B289:$AY289,'recurring2_based on steps'!$B$1:$AY$1,L$1)+SUMIFS('changes2_based on steps'!$B289:$U289,'changes2_based on steps'!$B$1:$U$1,L$1)</f>
        <v>0</v>
      </c>
      <c r="M289" s="140">
        <f>SUMIFS('recurring2_based on steps'!$B289:$AY289,'recurring2_based on steps'!$B$1:$AY$1,M$1)+SUMIFS('changes2_based on steps'!$B289:$U289,'changes2_based on steps'!$B$1:$U$1,M$1)</f>
        <v>0</v>
      </c>
      <c r="N289" s="140">
        <f ca="1">SUMIFS('recurring2_based on steps'!$B289:$AY289,'recurring2_based on steps'!$B$1:$AY$1,N$1)+SUMIFS('changes2_based on steps'!$B289:$U289,'changes2_based on steps'!$B$1:$U$1,N$1)</f>
        <v>0</v>
      </c>
      <c r="O289" s="140">
        <f>SUMIFS('recurring2_based on steps'!$B289:$AY289,'recurring2_based on steps'!$B$1:$AY$1,O$1)+SUMIFS('changes2_based on steps'!$B289:$U289,'changes2_based on steps'!$B$1:$U$1,O$1)</f>
        <v>0</v>
      </c>
      <c r="P289" s="140">
        <f ca="1">SUMIFS('recurring2_based on steps'!$B289:$AY289,'recurring2_based on steps'!$B$1:$AY$1,P$1)+SUMIFS('changes2_based on steps'!$B289:$U289,'changes2_based on steps'!$B$1:$U$1,P$1)</f>
        <v>0</v>
      </c>
      <c r="Q289" s="140">
        <f ca="1">SUMIFS('recurring2_based on steps'!$B289:$AY289,'recurring2_based on steps'!$B$1:$AY$1,Q$1)+SUMIFS('changes2_based on steps'!$B289:$U289,'changes2_based on steps'!$B$1:$U$1,Q$1)</f>
        <v>5.5401662049861494E-2</v>
      </c>
      <c r="R289" s="140">
        <f ca="1">SUMIFS('recurring2_based on steps'!$B289:$AY289,'recurring2_based on steps'!$B$1:$AY$1,R$1)+SUMIFS('changes2_based on steps'!$B289:$U289,'changes2_based on steps'!$B$1:$U$1,R$1)</f>
        <v>0</v>
      </c>
      <c r="S289" s="140">
        <f>SUMIFS('recurring2_based on steps'!$B289:$AY289,'recurring2_based on steps'!$B$1:$AY$1,S$1)+SUMIFS('changes2_based on steps'!$B289:$U289,'changes2_based on steps'!$B$1:$U$1,S$1)</f>
        <v>0</v>
      </c>
      <c r="T289" s="140">
        <f ca="1">SUMIFS('recurring2_based on steps'!$B289:$AY289,'recurring2_based on steps'!$B$1:$AY$1,T$1)+SUMIFS('changes2_based on steps'!$B289:$U289,'changes2_based on steps'!$B$1:$U$1,T$1)</f>
        <v>0</v>
      </c>
      <c r="U289" s="140">
        <f ca="1">SUMIFS('recurring2_based on steps'!$B289:$AY289,'recurring2_based on steps'!$B$1:$AY$1,U$1)+SUMIFS('changes2_based on steps'!$B289:$U289,'changes2_based on steps'!$B$1:$U$1,U$1)</f>
        <v>0</v>
      </c>
      <c r="V289" s="140">
        <f>SUMIFS('recurring2_based on steps'!$B289:$AY289,'recurring2_based on steps'!$B$1:$AY$1,V$1)+SUMIFS('changes2_based on steps'!$B289:$U289,'changes2_based on steps'!$B$1:$U$1,V$1)</f>
        <v>0</v>
      </c>
      <c r="W289" s="140">
        <f>SUMIFS('recurring2_based on steps'!$B289:$AY289,'recurring2_based on steps'!$B$1:$AY$1,W$1)+SUMIFS('changes2_based on steps'!$B289:$U289,'changes2_based on steps'!$B$1:$U$1,W$1)</f>
        <v>0</v>
      </c>
      <c r="X289" s="140">
        <f ca="1">SUMIFS('recurring2_based on steps'!$B289:$AY289,'recurring2_based on steps'!$B$1:$AY$1,X$1)+SUMIFS('changes2_based on steps'!$B289:$U289,'changes2_based on steps'!$B$1:$U$1,X$1)</f>
        <v>0</v>
      </c>
      <c r="Y289" s="140">
        <f ca="1">SUMIFS('recurring2_based on steps'!$B289:$AY289,'recurring2_based on steps'!$B$1:$AY$1,Y$1)+SUMIFS('changes2_based on steps'!$B289:$U289,'changes2_based on steps'!$B$1:$U$1,Y$1)</f>
        <v>0</v>
      </c>
      <c r="Z289" s="140">
        <f>SUMIFS('recurring2_based on steps'!$B289:$AY289,'recurring2_based on steps'!$B$1:$AY$1,Z$1)+SUMIFS('changes2_based on steps'!$B289:$U289,'changes2_based on steps'!$B$1:$U$1,Z$1)</f>
        <v>0</v>
      </c>
      <c r="AA289" s="140">
        <f ca="1">SUMIFS('recurring2_based on steps'!$B289:$AY289,'recurring2_based on steps'!$B$1:$AY$1,AA$1)+SUMIFS('changes2_based on steps'!$B289:$U289,'changes2_based on steps'!$B$1:$U$1,AA$1)</f>
        <v>0</v>
      </c>
      <c r="AB289" s="140">
        <f ca="1">SUMIFS('recurring2_based on steps'!$B289:$AY289,'recurring2_based on steps'!$B$1:$AY$1,AB$1)+SUMIFS('changes2_based on steps'!$B289:$U289,'changes2_based on steps'!$B$1:$U$1,AB$1)</f>
        <v>0</v>
      </c>
      <c r="AC289" s="140">
        <f ca="1">SUMIFS('recurring2_based on steps'!$B289:$AY289,'recurring2_based on steps'!$B$1:$AY$1,AC$1)+SUMIFS('changes2_based on steps'!$B289:$U289,'changes2_based on steps'!$B$1:$U$1,AC$1)</f>
        <v>0</v>
      </c>
      <c r="AD289" s="140">
        <f ca="1">SUMIFS('recurring2_based on steps'!$B289:$AY289,'recurring2_based on steps'!$B$1:$AY$1,AD$1)+SUMIFS('changes2_based on steps'!$B289:$U289,'changes2_based on steps'!$B$1:$U$1,AD$1)</f>
        <v>0</v>
      </c>
      <c r="AE289" s="140">
        <f>SUMIFS('recurring2_based on steps'!$B289:$AY289,'recurring2_based on steps'!$B$1:$AY$1,AE$1)+SUMIFS('changes2_based on steps'!$B289:$U289,'changes2_based on steps'!$B$1:$U$1,AE$1)</f>
        <v>0</v>
      </c>
      <c r="AF289" s="140"/>
      <c r="AG289" s="140"/>
      <c r="AH289" s="140"/>
      <c r="AI289" s="140"/>
      <c r="AJ289" s="140"/>
      <c r="AK289" s="140"/>
      <c r="AL289" s="140"/>
      <c r="AM289" s="140"/>
    </row>
    <row r="290" spans="1:39" x14ac:dyDescent="0.2">
      <c r="A290" s="29">
        <f t="shared" ca="1" si="4"/>
        <v>46030</v>
      </c>
      <c r="B290" s="140">
        <f ca="1">SUMIFS('recurring2_based on steps'!$B290:$AY290,'recurring2_based on steps'!$B$1:$AY$1,B$1)+SUMIFS('changes2_based on steps'!$B290:$U290,'changes2_based on steps'!$B$1:$U$1,B$1)</f>
        <v>0</v>
      </c>
      <c r="C290" s="140">
        <f>SUMIFS('recurring2_based on steps'!$B290:$AY290,'recurring2_based on steps'!$B$1:$AY$1,C$1)+SUMIFS('changes2_based on steps'!$B290:$U290,'changes2_based on steps'!$B$1:$U$1,C$1)</f>
        <v>0</v>
      </c>
      <c r="D290" s="140">
        <f>SUMIFS('recurring2_based on steps'!$B290:$AY290,'recurring2_based on steps'!$B$1:$AY$1,D$1)+SUMIFS('changes2_based on steps'!$B290:$U290,'changes2_based on steps'!$B$1:$U$1,D$1)</f>
        <v>0</v>
      </c>
      <c r="E290" s="140">
        <f>SUMIFS('recurring2_based on steps'!$B290:$AY290,'recurring2_based on steps'!$B$1:$AY$1,E$1)+SUMIFS('changes2_based on steps'!$B290:$U290,'changes2_based on steps'!$B$1:$U$1,E$1)</f>
        <v>0</v>
      </c>
      <c r="F290" s="140">
        <f>SUMIFS('recurring2_based on steps'!$B290:$AY290,'recurring2_based on steps'!$B$1:$AY$1,F$1)+SUMIFS('changes2_based on steps'!$B290:$U290,'changes2_based on steps'!$B$1:$U$1,F$1)</f>
        <v>0</v>
      </c>
      <c r="G290" s="140">
        <f>SUMIFS('recurring2_based on steps'!$B290:$AY290,'recurring2_based on steps'!$B$1:$AY$1,G$1)+SUMIFS('changes2_based on steps'!$B290:$U290,'changes2_based on steps'!$B$1:$U$1,G$1)</f>
        <v>0</v>
      </c>
      <c r="H290" s="140">
        <f>SUMIFS('recurring2_based on steps'!$B290:$AY290,'recurring2_based on steps'!$B$1:$AY$1,H$1)+SUMIFS('changes2_based on steps'!$B290:$U290,'changes2_based on steps'!$B$1:$U$1,H$1)</f>
        <v>0</v>
      </c>
      <c r="I290" s="140">
        <f>SUMIFS('recurring2_based on steps'!$B290:$AY290,'recurring2_based on steps'!$B$1:$AY$1,I$1)+SUMIFS('changes2_based on steps'!$B290:$U290,'changes2_based on steps'!$B$1:$U$1,I$1)</f>
        <v>0</v>
      </c>
      <c r="J290" s="140">
        <f ca="1">SUMIFS('recurring2_based on steps'!$B290:$AY290,'recurring2_based on steps'!$B$1:$AY$1,J$1)+SUMIFS('changes2_based on steps'!$B290:$U290,'changes2_based on steps'!$B$1:$U$1,J$1)</f>
        <v>0</v>
      </c>
      <c r="K290" s="140">
        <f>SUMIFS('recurring2_based on steps'!$B290:$AY290,'recurring2_based on steps'!$B$1:$AY$1,K$1)+SUMIFS('changes2_based on steps'!$B290:$U290,'changes2_based on steps'!$B$1:$U$1,K$1)</f>
        <v>0</v>
      </c>
      <c r="L290" s="140">
        <f>SUMIFS('recurring2_based on steps'!$B290:$AY290,'recurring2_based on steps'!$B$1:$AY$1,L$1)+SUMIFS('changes2_based on steps'!$B290:$U290,'changes2_based on steps'!$B$1:$U$1,L$1)</f>
        <v>0</v>
      </c>
      <c r="M290" s="140">
        <f>SUMIFS('recurring2_based on steps'!$B290:$AY290,'recurring2_based on steps'!$B$1:$AY$1,M$1)+SUMIFS('changes2_based on steps'!$B290:$U290,'changes2_based on steps'!$B$1:$U$1,M$1)</f>
        <v>0</v>
      </c>
      <c r="N290" s="140">
        <f ca="1">SUMIFS('recurring2_based on steps'!$B290:$AY290,'recurring2_based on steps'!$B$1:$AY$1,N$1)+SUMIFS('changes2_based on steps'!$B290:$U290,'changes2_based on steps'!$B$1:$U$1,N$1)</f>
        <v>0</v>
      </c>
      <c r="O290" s="140">
        <f>SUMIFS('recurring2_based on steps'!$B290:$AY290,'recurring2_based on steps'!$B$1:$AY$1,O$1)+SUMIFS('changes2_based on steps'!$B290:$U290,'changes2_based on steps'!$B$1:$U$1,O$1)</f>
        <v>0</v>
      </c>
      <c r="P290" s="140">
        <f ca="1">SUMIFS('recurring2_based on steps'!$B290:$AY290,'recurring2_based on steps'!$B$1:$AY$1,P$1)+SUMIFS('changes2_based on steps'!$B290:$U290,'changes2_based on steps'!$B$1:$U$1,P$1)</f>
        <v>0</v>
      </c>
      <c r="Q290" s="140">
        <f ca="1">SUMIFS('recurring2_based on steps'!$B290:$AY290,'recurring2_based on steps'!$B$1:$AY$1,Q$1)+SUMIFS('changes2_based on steps'!$B290:$U290,'changes2_based on steps'!$B$1:$U$1,Q$1)</f>
        <v>5.5401662049861494E-2</v>
      </c>
      <c r="R290" s="140">
        <f ca="1">SUMIFS('recurring2_based on steps'!$B290:$AY290,'recurring2_based on steps'!$B$1:$AY$1,R$1)+SUMIFS('changes2_based on steps'!$B290:$U290,'changes2_based on steps'!$B$1:$U$1,R$1)</f>
        <v>0</v>
      </c>
      <c r="S290" s="140">
        <f>SUMIFS('recurring2_based on steps'!$B290:$AY290,'recurring2_based on steps'!$B$1:$AY$1,S$1)+SUMIFS('changes2_based on steps'!$B290:$U290,'changes2_based on steps'!$B$1:$U$1,S$1)</f>
        <v>0</v>
      </c>
      <c r="T290" s="140">
        <f ca="1">SUMIFS('recurring2_based on steps'!$B290:$AY290,'recurring2_based on steps'!$B$1:$AY$1,T$1)+SUMIFS('changes2_based on steps'!$B290:$U290,'changes2_based on steps'!$B$1:$U$1,T$1)</f>
        <v>0</v>
      </c>
      <c r="U290" s="140">
        <f ca="1">SUMIFS('recurring2_based on steps'!$B290:$AY290,'recurring2_based on steps'!$B$1:$AY$1,U$1)+SUMIFS('changes2_based on steps'!$B290:$U290,'changes2_based on steps'!$B$1:$U$1,U$1)</f>
        <v>0</v>
      </c>
      <c r="V290" s="140">
        <f>SUMIFS('recurring2_based on steps'!$B290:$AY290,'recurring2_based on steps'!$B$1:$AY$1,V$1)+SUMIFS('changes2_based on steps'!$B290:$U290,'changes2_based on steps'!$B$1:$U$1,V$1)</f>
        <v>0</v>
      </c>
      <c r="W290" s="140">
        <f>SUMIFS('recurring2_based on steps'!$B290:$AY290,'recurring2_based on steps'!$B$1:$AY$1,W$1)+SUMIFS('changes2_based on steps'!$B290:$U290,'changes2_based on steps'!$B$1:$U$1,W$1)</f>
        <v>0</v>
      </c>
      <c r="X290" s="140">
        <f ca="1">SUMIFS('recurring2_based on steps'!$B290:$AY290,'recurring2_based on steps'!$B$1:$AY$1,X$1)+SUMIFS('changes2_based on steps'!$B290:$U290,'changes2_based on steps'!$B$1:$U$1,X$1)</f>
        <v>0</v>
      </c>
      <c r="Y290" s="140">
        <f ca="1">SUMIFS('recurring2_based on steps'!$B290:$AY290,'recurring2_based on steps'!$B$1:$AY$1,Y$1)+SUMIFS('changes2_based on steps'!$B290:$U290,'changes2_based on steps'!$B$1:$U$1,Y$1)</f>
        <v>0</v>
      </c>
      <c r="Z290" s="140">
        <f>SUMIFS('recurring2_based on steps'!$B290:$AY290,'recurring2_based on steps'!$B$1:$AY$1,Z$1)+SUMIFS('changes2_based on steps'!$B290:$U290,'changes2_based on steps'!$B$1:$U$1,Z$1)</f>
        <v>0</v>
      </c>
      <c r="AA290" s="140">
        <f ca="1">SUMIFS('recurring2_based on steps'!$B290:$AY290,'recurring2_based on steps'!$B$1:$AY$1,AA$1)+SUMIFS('changes2_based on steps'!$B290:$U290,'changes2_based on steps'!$B$1:$U$1,AA$1)</f>
        <v>0</v>
      </c>
      <c r="AB290" s="140">
        <f ca="1">SUMIFS('recurring2_based on steps'!$B290:$AY290,'recurring2_based on steps'!$B$1:$AY$1,AB$1)+SUMIFS('changes2_based on steps'!$B290:$U290,'changes2_based on steps'!$B$1:$U$1,AB$1)</f>
        <v>0</v>
      </c>
      <c r="AC290" s="140">
        <f ca="1">SUMIFS('recurring2_based on steps'!$B290:$AY290,'recurring2_based on steps'!$B$1:$AY$1,AC$1)+SUMIFS('changes2_based on steps'!$B290:$U290,'changes2_based on steps'!$B$1:$U$1,AC$1)</f>
        <v>0</v>
      </c>
      <c r="AD290" s="140">
        <f ca="1">SUMIFS('recurring2_based on steps'!$B290:$AY290,'recurring2_based on steps'!$B$1:$AY$1,AD$1)+SUMIFS('changes2_based on steps'!$B290:$U290,'changes2_based on steps'!$B$1:$U$1,AD$1)</f>
        <v>0</v>
      </c>
      <c r="AE290" s="140">
        <f>SUMIFS('recurring2_based on steps'!$B290:$AY290,'recurring2_based on steps'!$B$1:$AY$1,AE$1)+SUMIFS('changes2_based on steps'!$B290:$U290,'changes2_based on steps'!$B$1:$U$1,AE$1)</f>
        <v>0</v>
      </c>
      <c r="AF290" s="140"/>
      <c r="AG290" s="140"/>
      <c r="AH290" s="140"/>
      <c r="AI290" s="140"/>
      <c r="AJ290" s="140"/>
      <c r="AK290" s="140"/>
      <c r="AL290" s="140"/>
      <c r="AM290" s="140"/>
    </row>
    <row r="291" spans="1:39" x14ac:dyDescent="0.2">
      <c r="A291" s="29">
        <f t="shared" ca="1" si="4"/>
        <v>46031</v>
      </c>
      <c r="B291" s="140">
        <f ca="1">SUMIFS('recurring2_based on steps'!$B291:$AY291,'recurring2_based on steps'!$B$1:$AY$1,B$1)+SUMIFS('changes2_based on steps'!$B291:$U291,'changes2_based on steps'!$B$1:$U$1,B$1)</f>
        <v>4000</v>
      </c>
      <c r="C291" s="140">
        <f>SUMIFS('recurring2_based on steps'!$B291:$AY291,'recurring2_based on steps'!$B$1:$AY$1,C$1)+SUMIFS('changes2_based on steps'!$B291:$U291,'changes2_based on steps'!$B$1:$U$1,C$1)</f>
        <v>0</v>
      </c>
      <c r="D291" s="140">
        <f>SUMIFS('recurring2_based on steps'!$B291:$AY291,'recurring2_based on steps'!$B$1:$AY$1,D$1)+SUMIFS('changes2_based on steps'!$B291:$U291,'changes2_based on steps'!$B$1:$U$1,D$1)</f>
        <v>0</v>
      </c>
      <c r="E291" s="140">
        <f>SUMIFS('recurring2_based on steps'!$B291:$AY291,'recurring2_based on steps'!$B$1:$AY$1,E$1)+SUMIFS('changes2_based on steps'!$B291:$U291,'changes2_based on steps'!$B$1:$U$1,E$1)</f>
        <v>0</v>
      </c>
      <c r="F291" s="140">
        <f>SUMIFS('recurring2_based on steps'!$B291:$AY291,'recurring2_based on steps'!$B$1:$AY$1,F$1)+SUMIFS('changes2_based on steps'!$B291:$U291,'changes2_based on steps'!$B$1:$U$1,F$1)</f>
        <v>0</v>
      </c>
      <c r="G291" s="140">
        <f>SUMIFS('recurring2_based on steps'!$B291:$AY291,'recurring2_based on steps'!$B$1:$AY$1,G$1)+SUMIFS('changes2_based on steps'!$B291:$U291,'changes2_based on steps'!$B$1:$U$1,G$1)</f>
        <v>0</v>
      </c>
      <c r="H291" s="140">
        <f>SUMIFS('recurring2_based on steps'!$B291:$AY291,'recurring2_based on steps'!$B$1:$AY$1,H$1)+SUMIFS('changes2_based on steps'!$B291:$U291,'changes2_based on steps'!$B$1:$U$1,H$1)</f>
        <v>0</v>
      </c>
      <c r="I291" s="140">
        <f>SUMIFS('recurring2_based on steps'!$B291:$AY291,'recurring2_based on steps'!$B$1:$AY$1,I$1)+SUMIFS('changes2_based on steps'!$B291:$U291,'changes2_based on steps'!$B$1:$U$1,I$1)</f>
        <v>0</v>
      </c>
      <c r="J291" s="140">
        <f ca="1">SUMIFS('recurring2_based on steps'!$B291:$AY291,'recurring2_based on steps'!$B$1:$AY$1,J$1)+SUMIFS('changes2_based on steps'!$B291:$U291,'changes2_based on steps'!$B$1:$U$1,J$1)</f>
        <v>0</v>
      </c>
      <c r="K291" s="140">
        <f>SUMIFS('recurring2_based on steps'!$B291:$AY291,'recurring2_based on steps'!$B$1:$AY$1,K$1)+SUMIFS('changes2_based on steps'!$B291:$U291,'changes2_based on steps'!$B$1:$U$1,K$1)</f>
        <v>0</v>
      </c>
      <c r="L291" s="140">
        <f>SUMIFS('recurring2_based on steps'!$B291:$AY291,'recurring2_based on steps'!$B$1:$AY$1,L$1)+SUMIFS('changes2_based on steps'!$B291:$U291,'changes2_based on steps'!$B$1:$U$1,L$1)</f>
        <v>0</v>
      </c>
      <c r="M291" s="140">
        <f>SUMIFS('recurring2_based on steps'!$B291:$AY291,'recurring2_based on steps'!$B$1:$AY$1,M$1)+SUMIFS('changes2_based on steps'!$B291:$U291,'changes2_based on steps'!$B$1:$U$1,M$1)</f>
        <v>0</v>
      </c>
      <c r="N291" s="140">
        <f ca="1">SUMIFS('recurring2_based on steps'!$B291:$AY291,'recurring2_based on steps'!$B$1:$AY$1,N$1)+SUMIFS('changes2_based on steps'!$B291:$U291,'changes2_based on steps'!$B$1:$U$1,N$1)</f>
        <v>0</v>
      </c>
      <c r="O291" s="140">
        <f>SUMIFS('recurring2_based on steps'!$B291:$AY291,'recurring2_based on steps'!$B$1:$AY$1,O$1)+SUMIFS('changes2_based on steps'!$B291:$U291,'changes2_based on steps'!$B$1:$U$1,O$1)</f>
        <v>0</v>
      </c>
      <c r="P291" s="140">
        <f ca="1">SUMIFS('recurring2_based on steps'!$B291:$AY291,'recurring2_based on steps'!$B$1:$AY$1,P$1)+SUMIFS('changes2_based on steps'!$B291:$U291,'changes2_based on steps'!$B$1:$U$1,P$1)</f>
        <v>0</v>
      </c>
      <c r="Q291" s="140">
        <f ca="1">SUMIFS('recurring2_based on steps'!$B291:$AY291,'recurring2_based on steps'!$B$1:$AY$1,Q$1)+SUMIFS('changes2_based on steps'!$B291:$U291,'changes2_based on steps'!$B$1:$U$1,Q$1)</f>
        <v>5.5401662049861494E-2</v>
      </c>
      <c r="R291" s="140">
        <f ca="1">SUMIFS('recurring2_based on steps'!$B291:$AY291,'recurring2_based on steps'!$B$1:$AY$1,R$1)+SUMIFS('changes2_based on steps'!$B291:$U291,'changes2_based on steps'!$B$1:$U$1,R$1)</f>
        <v>0</v>
      </c>
      <c r="S291" s="140">
        <f>SUMIFS('recurring2_based on steps'!$B291:$AY291,'recurring2_based on steps'!$B$1:$AY$1,S$1)+SUMIFS('changes2_based on steps'!$B291:$U291,'changes2_based on steps'!$B$1:$U$1,S$1)</f>
        <v>0</v>
      </c>
      <c r="T291" s="140">
        <f ca="1">SUMIFS('recurring2_based on steps'!$B291:$AY291,'recurring2_based on steps'!$B$1:$AY$1,T$1)+SUMIFS('changes2_based on steps'!$B291:$U291,'changes2_based on steps'!$B$1:$U$1,T$1)</f>
        <v>50</v>
      </c>
      <c r="U291" s="140">
        <f ca="1">SUMIFS('recurring2_based on steps'!$B291:$AY291,'recurring2_based on steps'!$B$1:$AY$1,U$1)+SUMIFS('changes2_based on steps'!$B291:$U291,'changes2_based on steps'!$B$1:$U$1,U$1)</f>
        <v>200</v>
      </c>
      <c r="V291" s="140">
        <f>SUMIFS('recurring2_based on steps'!$B291:$AY291,'recurring2_based on steps'!$B$1:$AY$1,V$1)+SUMIFS('changes2_based on steps'!$B291:$U291,'changes2_based on steps'!$B$1:$U$1,V$1)</f>
        <v>0</v>
      </c>
      <c r="W291" s="140">
        <f>SUMIFS('recurring2_based on steps'!$B291:$AY291,'recurring2_based on steps'!$B$1:$AY$1,W$1)+SUMIFS('changes2_based on steps'!$B291:$U291,'changes2_based on steps'!$B$1:$U$1,W$1)</f>
        <v>0</v>
      </c>
      <c r="X291" s="140">
        <f ca="1">SUMIFS('recurring2_based on steps'!$B291:$AY291,'recurring2_based on steps'!$B$1:$AY$1,X$1)+SUMIFS('changes2_based on steps'!$B291:$U291,'changes2_based on steps'!$B$1:$U$1,X$1)</f>
        <v>96</v>
      </c>
      <c r="Y291" s="140">
        <f ca="1">SUMIFS('recurring2_based on steps'!$B291:$AY291,'recurring2_based on steps'!$B$1:$AY$1,Y$1)+SUMIFS('changes2_based on steps'!$B291:$U291,'changes2_based on steps'!$B$1:$U$1,Y$1)</f>
        <v>0</v>
      </c>
      <c r="Z291" s="140">
        <f>SUMIFS('recurring2_based on steps'!$B291:$AY291,'recurring2_based on steps'!$B$1:$AY$1,Z$1)+SUMIFS('changes2_based on steps'!$B291:$U291,'changes2_based on steps'!$B$1:$U$1,Z$1)</f>
        <v>0</v>
      </c>
      <c r="AA291" s="140">
        <f ca="1">SUMIFS('recurring2_based on steps'!$B291:$AY291,'recurring2_based on steps'!$B$1:$AY$1,AA$1)+SUMIFS('changes2_based on steps'!$B291:$U291,'changes2_based on steps'!$B$1:$U$1,AA$1)</f>
        <v>0</v>
      </c>
      <c r="AB291" s="140">
        <f ca="1">SUMIFS('recurring2_based on steps'!$B291:$AY291,'recurring2_based on steps'!$B$1:$AY$1,AB$1)+SUMIFS('changes2_based on steps'!$B291:$U291,'changes2_based on steps'!$B$1:$U$1,AB$1)</f>
        <v>0</v>
      </c>
      <c r="AC291" s="140">
        <f ca="1">SUMIFS('recurring2_based on steps'!$B291:$AY291,'recurring2_based on steps'!$B$1:$AY$1,AC$1)+SUMIFS('changes2_based on steps'!$B291:$U291,'changes2_based on steps'!$B$1:$U$1,AC$1)</f>
        <v>0</v>
      </c>
      <c r="AD291" s="140">
        <f ca="1">SUMIFS('recurring2_based on steps'!$B291:$AY291,'recurring2_based on steps'!$B$1:$AY$1,AD$1)+SUMIFS('changes2_based on steps'!$B291:$U291,'changes2_based on steps'!$B$1:$U$1,AD$1)</f>
        <v>50</v>
      </c>
      <c r="AE291" s="140">
        <f>SUMIFS('recurring2_based on steps'!$B291:$AY291,'recurring2_based on steps'!$B$1:$AY$1,AE$1)+SUMIFS('changes2_based on steps'!$B291:$U291,'changes2_based on steps'!$B$1:$U$1,AE$1)</f>
        <v>0</v>
      </c>
      <c r="AF291" s="140"/>
      <c r="AG291" s="140"/>
      <c r="AH291" s="140"/>
      <c r="AI291" s="140"/>
      <c r="AJ291" s="140"/>
      <c r="AK291" s="140"/>
      <c r="AL291" s="140"/>
      <c r="AM291" s="140"/>
    </row>
    <row r="292" spans="1:39" x14ac:dyDescent="0.2">
      <c r="A292" s="29">
        <f t="shared" ca="1" si="4"/>
        <v>46032</v>
      </c>
      <c r="B292" s="140">
        <f ca="1">SUMIFS('recurring2_based on steps'!$B292:$AY292,'recurring2_based on steps'!$B$1:$AY$1,B$1)+SUMIFS('changes2_based on steps'!$B292:$U292,'changes2_based on steps'!$B$1:$U$1,B$1)</f>
        <v>0</v>
      </c>
      <c r="C292" s="140">
        <f>SUMIFS('recurring2_based on steps'!$B292:$AY292,'recurring2_based on steps'!$B$1:$AY$1,C$1)+SUMIFS('changes2_based on steps'!$B292:$U292,'changes2_based on steps'!$B$1:$U$1,C$1)</f>
        <v>0</v>
      </c>
      <c r="D292" s="140">
        <f>SUMIFS('recurring2_based on steps'!$B292:$AY292,'recurring2_based on steps'!$B$1:$AY$1,D$1)+SUMIFS('changes2_based on steps'!$B292:$U292,'changes2_based on steps'!$B$1:$U$1,D$1)</f>
        <v>0</v>
      </c>
      <c r="E292" s="140">
        <f>SUMIFS('recurring2_based on steps'!$B292:$AY292,'recurring2_based on steps'!$B$1:$AY$1,E$1)+SUMIFS('changes2_based on steps'!$B292:$U292,'changes2_based on steps'!$B$1:$U$1,E$1)</f>
        <v>0</v>
      </c>
      <c r="F292" s="140">
        <f>SUMIFS('recurring2_based on steps'!$B292:$AY292,'recurring2_based on steps'!$B$1:$AY$1,F$1)+SUMIFS('changes2_based on steps'!$B292:$U292,'changes2_based on steps'!$B$1:$U$1,F$1)</f>
        <v>0</v>
      </c>
      <c r="G292" s="140">
        <f>SUMIFS('recurring2_based on steps'!$B292:$AY292,'recurring2_based on steps'!$B$1:$AY$1,G$1)+SUMIFS('changes2_based on steps'!$B292:$U292,'changes2_based on steps'!$B$1:$U$1,G$1)</f>
        <v>0</v>
      </c>
      <c r="H292" s="140">
        <f>SUMIFS('recurring2_based on steps'!$B292:$AY292,'recurring2_based on steps'!$B$1:$AY$1,H$1)+SUMIFS('changes2_based on steps'!$B292:$U292,'changes2_based on steps'!$B$1:$U$1,H$1)</f>
        <v>0</v>
      </c>
      <c r="I292" s="140">
        <f>SUMIFS('recurring2_based on steps'!$B292:$AY292,'recurring2_based on steps'!$B$1:$AY$1,I$1)+SUMIFS('changes2_based on steps'!$B292:$U292,'changes2_based on steps'!$B$1:$U$1,I$1)</f>
        <v>0</v>
      </c>
      <c r="J292" s="140">
        <f ca="1">SUMIFS('recurring2_based on steps'!$B292:$AY292,'recurring2_based on steps'!$B$1:$AY$1,J$1)+SUMIFS('changes2_based on steps'!$B292:$U292,'changes2_based on steps'!$B$1:$U$1,J$1)</f>
        <v>0</v>
      </c>
      <c r="K292" s="140">
        <f>SUMIFS('recurring2_based on steps'!$B292:$AY292,'recurring2_based on steps'!$B$1:$AY$1,K$1)+SUMIFS('changes2_based on steps'!$B292:$U292,'changes2_based on steps'!$B$1:$U$1,K$1)</f>
        <v>0</v>
      </c>
      <c r="L292" s="140">
        <f>SUMIFS('recurring2_based on steps'!$B292:$AY292,'recurring2_based on steps'!$B$1:$AY$1,L$1)+SUMIFS('changes2_based on steps'!$B292:$U292,'changes2_based on steps'!$B$1:$U$1,L$1)</f>
        <v>0</v>
      </c>
      <c r="M292" s="140">
        <f>SUMIFS('recurring2_based on steps'!$B292:$AY292,'recurring2_based on steps'!$B$1:$AY$1,M$1)+SUMIFS('changes2_based on steps'!$B292:$U292,'changes2_based on steps'!$B$1:$U$1,M$1)</f>
        <v>0</v>
      </c>
      <c r="N292" s="140">
        <f ca="1">SUMIFS('recurring2_based on steps'!$B292:$AY292,'recurring2_based on steps'!$B$1:$AY$1,N$1)+SUMIFS('changes2_based on steps'!$B292:$U292,'changes2_based on steps'!$B$1:$U$1,N$1)</f>
        <v>0</v>
      </c>
      <c r="O292" s="140">
        <f>SUMIFS('recurring2_based on steps'!$B292:$AY292,'recurring2_based on steps'!$B$1:$AY$1,O$1)+SUMIFS('changes2_based on steps'!$B292:$U292,'changes2_based on steps'!$B$1:$U$1,O$1)</f>
        <v>0</v>
      </c>
      <c r="P292" s="140">
        <f ca="1">SUMIFS('recurring2_based on steps'!$B292:$AY292,'recurring2_based on steps'!$B$1:$AY$1,P$1)+SUMIFS('changes2_based on steps'!$B292:$U292,'changes2_based on steps'!$B$1:$U$1,P$1)</f>
        <v>0</v>
      </c>
      <c r="Q292" s="140">
        <f ca="1">SUMIFS('recurring2_based on steps'!$B292:$AY292,'recurring2_based on steps'!$B$1:$AY$1,Q$1)+SUMIFS('changes2_based on steps'!$B292:$U292,'changes2_based on steps'!$B$1:$U$1,Q$1)</f>
        <v>100.05540166204986</v>
      </c>
      <c r="R292" s="140">
        <f ca="1">SUMIFS('recurring2_based on steps'!$B292:$AY292,'recurring2_based on steps'!$B$1:$AY$1,R$1)+SUMIFS('changes2_based on steps'!$B292:$U292,'changes2_based on steps'!$B$1:$U$1,R$1)</f>
        <v>0</v>
      </c>
      <c r="S292" s="140">
        <f>SUMIFS('recurring2_based on steps'!$B292:$AY292,'recurring2_based on steps'!$B$1:$AY$1,S$1)+SUMIFS('changes2_based on steps'!$B292:$U292,'changes2_based on steps'!$B$1:$U$1,S$1)</f>
        <v>0</v>
      </c>
      <c r="T292" s="140">
        <f ca="1">SUMIFS('recurring2_based on steps'!$B292:$AY292,'recurring2_based on steps'!$B$1:$AY$1,T$1)+SUMIFS('changes2_based on steps'!$B292:$U292,'changes2_based on steps'!$B$1:$U$1,T$1)</f>
        <v>0</v>
      </c>
      <c r="U292" s="140">
        <f ca="1">SUMIFS('recurring2_based on steps'!$B292:$AY292,'recurring2_based on steps'!$B$1:$AY$1,U$1)+SUMIFS('changes2_based on steps'!$B292:$U292,'changes2_based on steps'!$B$1:$U$1,U$1)</f>
        <v>0</v>
      </c>
      <c r="V292" s="140">
        <f>SUMIFS('recurring2_based on steps'!$B292:$AY292,'recurring2_based on steps'!$B$1:$AY$1,V$1)+SUMIFS('changes2_based on steps'!$B292:$U292,'changes2_based on steps'!$B$1:$U$1,V$1)</f>
        <v>0</v>
      </c>
      <c r="W292" s="140">
        <f>SUMIFS('recurring2_based on steps'!$B292:$AY292,'recurring2_based on steps'!$B$1:$AY$1,W$1)+SUMIFS('changes2_based on steps'!$B292:$U292,'changes2_based on steps'!$B$1:$U$1,W$1)</f>
        <v>0</v>
      </c>
      <c r="X292" s="140">
        <f ca="1">SUMIFS('recurring2_based on steps'!$B292:$AY292,'recurring2_based on steps'!$B$1:$AY$1,X$1)+SUMIFS('changes2_based on steps'!$B292:$U292,'changes2_based on steps'!$B$1:$U$1,X$1)</f>
        <v>0</v>
      </c>
      <c r="Y292" s="140">
        <f ca="1">SUMIFS('recurring2_based on steps'!$B292:$AY292,'recurring2_based on steps'!$B$1:$AY$1,Y$1)+SUMIFS('changes2_based on steps'!$B292:$U292,'changes2_based on steps'!$B$1:$U$1,Y$1)</f>
        <v>0</v>
      </c>
      <c r="Z292" s="140">
        <f>SUMIFS('recurring2_based on steps'!$B292:$AY292,'recurring2_based on steps'!$B$1:$AY$1,Z$1)+SUMIFS('changes2_based on steps'!$B292:$U292,'changes2_based on steps'!$B$1:$U$1,Z$1)</f>
        <v>0</v>
      </c>
      <c r="AA292" s="140">
        <f ca="1">SUMIFS('recurring2_based on steps'!$B292:$AY292,'recurring2_based on steps'!$B$1:$AY$1,AA$1)+SUMIFS('changes2_based on steps'!$B292:$U292,'changes2_based on steps'!$B$1:$U$1,AA$1)</f>
        <v>0</v>
      </c>
      <c r="AB292" s="140">
        <f ca="1">SUMIFS('recurring2_based on steps'!$B292:$AY292,'recurring2_based on steps'!$B$1:$AY$1,AB$1)+SUMIFS('changes2_based on steps'!$B292:$U292,'changes2_based on steps'!$B$1:$U$1,AB$1)</f>
        <v>100</v>
      </c>
      <c r="AC292" s="140">
        <f ca="1">SUMIFS('recurring2_based on steps'!$B292:$AY292,'recurring2_based on steps'!$B$1:$AY$1,AC$1)+SUMIFS('changes2_based on steps'!$B292:$U292,'changes2_based on steps'!$B$1:$U$1,AC$1)</f>
        <v>0</v>
      </c>
      <c r="AD292" s="140">
        <f ca="1">SUMIFS('recurring2_based on steps'!$B292:$AY292,'recurring2_based on steps'!$B$1:$AY$1,AD$1)+SUMIFS('changes2_based on steps'!$B292:$U292,'changes2_based on steps'!$B$1:$U$1,AD$1)</f>
        <v>0</v>
      </c>
      <c r="AE292" s="140">
        <f>SUMIFS('recurring2_based on steps'!$B292:$AY292,'recurring2_based on steps'!$B$1:$AY$1,AE$1)+SUMIFS('changes2_based on steps'!$B292:$U292,'changes2_based on steps'!$B$1:$U$1,AE$1)</f>
        <v>0</v>
      </c>
      <c r="AF292" s="140"/>
      <c r="AG292" s="140"/>
      <c r="AH292" s="140"/>
      <c r="AI292" s="140"/>
      <c r="AJ292" s="140"/>
      <c r="AK292" s="140"/>
      <c r="AL292" s="140"/>
      <c r="AM292" s="140"/>
    </row>
    <row r="293" spans="1:39" x14ac:dyDescent="0.2">
      <c r="A293" s="29">
        <f t="shared" ca="1" si="4"/>
        <v>46033</v>
      </c>
      <c r="B293" s="140">
        <f ca="1">SUMIFS('recurring2_based on steps'!$B293:$AY293,'recurring2_based on steps'!$B$1:$AY$1,B$1)+SUMIFS('changes2_based on steps'!$B293:$U293,'changes2_based on steps'!$B$1:$U$1,B$1)</f>
        <v>0</v>
      </c>
      <c r="C293" s="140">
        <f>SUMIFS('recurring2_based on steps'!$B293:$AY293,'recurring2_based on steps'!$B$1:$AY$1,C$1)+SUMIFS('changes2_based on steps'!$B293:$U293,'changes2_based on steps'!$B$1:$U$1,C$1)</f>
        <v>0</v>
      </c>
      <c r="D293" s="140">
        <f>SUMIFS('recurring2_based on steps'!$B293:$AY293,'recurring2_based on steps'!$B$1:$AY$1,D$1)+SUMIFS('changes2_based on steps'!$B293:$U293,'changes2_based on steps'!$B$1:$U$1,D$1)</f>
        <v>0</v>
      </c>
      <c r="E293" s="140">
        <f>SUMIFS('recurring2_based on steps'!$B293:$AY293,'recurring2_based on steps'!$B$1:$AY$1,E$1)+SUMIFS('changes2_based on steps'!$B293:$U293,'changes2_based on steps'!$B$1:$U$1,E$1)</f>
        <v>0</v>
      </c>
      <c r="F293" s="140">
        <f>SUMIFS('recurring2_based on steps'!$B293:$AY293,'recurring2_based on steps'!$B$1:$AY$1,F$1)+SUMIFS('changes2_based on steps'!$B293:$U293,'changes2_based on steps'!$B$1:$U$1,F$1)</f>
        <v>0</v>
      </c>
      <c r="G293" s="140">
        <f>SUMIFS('recurring2_based on steps'!$B293:$AY293,'recurring2_based on steps'!$B$1:$AY$1,G$1)+SUMIFS('changes2_based on steps'!$B293:$U293,'changes2_based on steps'!$B$1:$U$1,G$1)</f>
        <v>0</v>
      </c>
      <c r="H293" s="140">
        <f>SUMIFS('recurring2_based on steps'!$B293:$AY293,'recurring2_based on steps'!$B$1:$AY$1,H$1)+SUMIFS('changes2_based on steps'!$B293:$U293,'changes2_based on steps'!$B$1:$U$1,H$1)</f>
        <v>0</v>
      </c>
      <c r="I293" s="140">
        <f>SUMIFS('recurring2_based on steps'!$B293:$AY293,'recurring2_based on steps'!$B$1:$AY$1,I$1)+SUMIFS('changes2_based on steps'!$B293:$U293,'changes2_based on steps'!$B$1:$U$1,I$1)</f>
        <v>0</v>
      </c>
      <c r="J293" s="140">
        <f ca="1">SUMIFS('recurring2_based on steps'!$B293:$AY293,'recurring2_based on steps'!$B$1:$AY$1,J$1)+SUMIFS('changes2_based on steps'!$B293:$U293,'changes2_based on steps'!$B$1:$U$1,J$1)</f>
        <v>0</v>
      </c>
      <c r="K293" s="140">
        <f>SUMIFS('recurring2_based on steps'!$B293:$AY293,'recurring2_based on steps'!$B$1:$AY$1,K$1)+SUMIFS('changes2_based on steps'!$B293:$U293,'changes2_based on steps'!$B$1:$U$1,K$1)</f>
        <v>0</v>
      </c>
      <c r="L293" s="140">
        <f>SUMIFS('recurring2_based on steps'!$B293:$AY293,'recurring2_based on steps'!$B$1:$AY$1,L$1)+SUMIFS('changes2_based on steps'!$B293:$U293,'changes2_based on steps'!$B$1:$U$1,L$1)</f>
        <v>0</v>
      </c>
      <c r="M293" s="140">
        <f>SUMIFS('recurring2_based on steps'!$B293:$AY293,'recurring2_based on steps'!$B$1:$AY$1,M$1)+SUMIFS('changes2_based on steps'!$B293:$U293,'changes2_based on steps'!$B$1:$U$1,M$1)</f>
        <v>0</v>
      </c>
      <c r="N293" s="140">
        <f ca="1">SUMIFS('recurring2_based on steps'!$B293:$AY293,'recurring2_based on steps'!$B$1:$AY$1,N$1)+SUMIFS('changes2_based on steps'!$B293:$U293,'changes2_based on steps'!$B$1:$U$1,N$1)</f>
        <v>0</v>
      </c>
      <c r="O293" s="140">
        <f>SUMIFS('recurring2_based on steps'!$B293:$AY293,'recurring2_based on steps'!$B$1:$AY$1,O$1)+SUMIFS('changes2_based on steps'!$B293:$U293,'changes2_based on steps'!$B$1:$U$1,O$1)</f>
        <v>0</v>
      </c>
      <c r="P293" s="140">
        <f ca="1">SUMIFS('recurring2_based on steps'!$B293:$AY293,'recurring2_based on steps'!$B$1:$AY$1,P$1)+SUMIFS('changes2_based on steps'!$B293:$U293,'changes2_based on steps'!$B$1:$U$1,P$1)</f>
        <v>0</v>
      </c>
      <c r="Q293" s="140">
        <f ca="1">SUMIFS('recurring2_based on steps'!$B293:$AY293,'recurring2_based on steps'!$B$1:$AY$1,Q$1)+SUMIFS('changes2_based on steps'!$B293:$U293,'changes2_based on steps'!$B$1:$U$1,Q$1)</f>
        <v>100.05540166204986</v>
      </c>
      <c r="R293" s="140">
        <f ca="1">SUMIFS('recurring2_based on steps'!$B293:$AY293,'recurring2_based on steps'!$B$1:$AY$1,R$1)+SUMIFS('changes2_based on steps'!$B293:$U293,'changes2_based on steps'!$B$1:$U$1,R$1)</f>
        <v>0</v>
      </c>
      <c r="S293" s="140">
        <f>SUMIFS('recurring2_based on steps'!$B293:$AY293,'recurring2_based on steps'!$B$1:$AY$1,S$1)+SUMIFS('changes2_based on steps'!$B293:$U293,'changes2_based on steps'!$B$1:$U$1,S$1)</f>
        <v>0</v>
      </c>
      <c r="T293" s="140">
        <f ca="1">SUMIFS('recurring2_based on steps'!$B293:$AY293,'recurring2_based on steps'!$B$1:$AY$1,T$1)+SUMIFS('changes2_based on steps'!$B293:$U293,'changes2_based on steps'!$B$1:$U$1,T$1)</f>
        <v>0</v>
      </c>
      <c r="U293" s="140">
        <f ca="1">SUMIFS('recurring2_based on steps'!$B293:$AY293,'recurring2_based on steps'!$B$1:$AY$1,U$1)+SUMIFS('changes2_based on steps'!$B293:$U293,'changes2_based on steps'!$B$1:$U$1,U$1)</f>
        <v>0</v>
      </c>
      <c r="V293" s="140">
        <f>SUMIFS('recurring2_based on steps'!$B293:$AY293,'recurring2_based on steps'!$B$1:$AY$1,V$1)+SUMIFS('changes2_based on steps'!$B293:$U293,'changes2_based on steps'!$B$1:$U$1,V$1)</f>
        <v>0</v>
      </c>
      <c r="W293" s="140">
        <f>SUMIFS('recurring2_based on steps'!$B293:$AY293,'recurring2_based on steps'!$B$1:$AY$1,W$1)+SUMIFS('changes2_based on steps'!$B293:$U293,'changes2_based on steps'!$B$1:$U$1,W$1)</f>
        <v>0</v>
      </c>
      <c r="X293" s="140">
        <f ca="1">SUMIFS('recurring2_based on steps'!$B293:$AY293,'recurring2_based on steps'!$B$1:$AY$1,X$1)+SUMIFS('changes2_based on steps'!$B293:$U293,'changes2_based on steps'!$B$1:$U$1,X$1)</f>
        <v>0</v>
      </c>
      <c r="Y293" s="140">
        <f ca="1">SUMIFS('recurring2_based on steps'!$B293:$AY293,'recurring2_based on steps'!$B$1:$AY$1,Y$1)+SUMIFS('changes2_based on steps'!$B293:$U293,'changes2_based on steps'!$B$1:$U$1,Y$1)</f>
        <v>50</v>
      </c>
      <c r="Z293" s="140">
        <f>SUMIFS('recurring2_based on steps'!$B293:$AY293,'recurring2_based on steps'!$B$1:$AY$1,Z$1)+SUMIFS('changes2_based on steps'!$B293:$U293,'changes2_based on steps'!$B$1:$U$1,Z$1)</f>
        <v>0</v>
      </c>
      <c r="AA293" s="140">
        <f ca="1">SUMIFS('recurring2_based on steps'!$B293:$AY293,'recurring2_based on steps'!$B$1:$AY$1,AA$1)+SUMIFS('changes2_based on steps'!$B293:$U293,'changes2_based on steps'!$B$1:$U$1,AA$1)</f>
        <v>0</v>
      </c>
      <c r="AB293" s="140">
        <f ca="1">SUMIFS('recurring2_based on steps'!$B293:$AY293,'recurring2_based on steps'!$B$1:$AY$1,AB$1)+SUMIFS('changes2_based on steps'!$B293:$U293,'changes2_based on steps'!$B$1:$U$1,AB$1)</f>
        <v>0</v>
      </c>
      <c r="AC293" s="140">
        <f ca="1">SUMIFS('recurring2_based on steps'!$B293:$AY293,'recurring2_based on steps'!$B$1:$AY$1,AC$1)+SUMIFS('changes2_based on steps'!$B293:$U293,'changes2_based on steps'!$B$1:$U$1,AC$1)</f>
        <v>0</v>
      </c>
      <c r="AD293" s="140">
        <f ca="1">SUMIFS('recurring2_based on steps'!$B293:$AY293,'recurring2_based on steps'!$B$1:$AY$1,AD$1)+SUMIFS('changes2_based on steps'!$B293:$U293,'changes2_based on steps'!$B$1:$U$1,AD$1)</f>
        <v>0</v>
      </c>
      <c r="AE293" s="140">
        <f>SUMIFS('recurring2_based on steps'!$B293:$AY293,'recurring2_based on steps'!$B$1:$AY$1,AE$1)+SUMIFS('changes2_based on steps'!$B293:$U293,'changes2_based on steps'!$B$1:$U$1,AE$1)</f>
        <v>0</v>
      </c>
      <c r="AF293" s="140"/>
      <c r="AG293" s="140"/>
      <c r="AH293" s="140"/>
      <c r="AI293" s="140"/>
      <c r="AJ293" s="140"/>
      <c r="AK293" s="140"/>
      <c r="AL293" s="140"/>
      <c r="AM293" s="140"/>
    </row>
    <row r="294" spans="1:39" x14ac:dyDescent="0.2">
      <c r="A294" s="29">
        <f t="shared" ca="1" si="4"/>
        <v>46034</v>
      </c>
      <c r="B294" s="140">
        <f ca="1">SUMIFS('recurring2_based on steps'!$B294:$AY294,'recurring2_based on steps'!$B$1:$AY$1,B$1)+SUMIFS('changes2_based on steps'!$B294:$U294,'changes2_based on steps'!$B$1:$U$1,B$1)</f>
        <v>0</v>
      </c>
      <c r="C294" s="140">
        <f>SUMIFS('recurring2_based on steps'!$B294:$AY294,'recurring2_based on steps'!$B$1:$AY$1,C$1)+SUMIFS('changes2_based on steps'!$B294:$U294,'changes2_based on steps'!$B$1:$U$1,C$1)</f>
        <v>0</v>
      </c>
      <c r="D294" s="140">
        <f>SUMIFS('recurring2_based on steps'!$B294:$AY294,'recurring2_based on steps'!$B$1:$AY$1,D$1)+SUMIFS('changes2_based on steps'!$B294:$U294,'changes2_based on steps'!$B$1:$U$1,D$1)</f>
        <v>0</v>
      </c>
      <c r="E294" s="140">
        <f>SUMIFS('recurring2_based on steps'!$B294:$AY294,'recurring2_based on steps'!$B$1:$AY$1,E$1)+SUMIFS('changes2_based on steps'!$B294:$U294,'changes2_based on steps'!$B$1:$U$1,E$1)</f>
        <v>0</v>
      </c>
      <c r="F294" s="140">
        <f>SUMIFS('recurring2_based on steps'!$B294:$AY294,'recurring2_based on steps'!$B$1:$AY$1,F$1)+SUMIFS('changes2_based on steps'!$B294:$U294,'changes2_based on steps'!$B$1:$U$1,F$1)</f>
        <v>0</v>
      </c>
      <c r="G294" s="140">
        <f>SUMIFS('recurring2_based on steps'!$B294:$AY294,'recurring2_based on steps'!$B$1:$AY$1,G$1)+SUMIFS('changes2_based on steps'!$B294:$U294,'changes2_based on steps'!$B$1:$U$1,G$1)</f>
        <v>0</v>
      </c>
      <c r="H294" s="140">
        <f>SUMIFS('recurring2_based on steps'!$B294:$AY294,'recurring2_based on steps'!$B$1:$AY$1,H$1)+SUMIFS('changes2_based on steps'!$B294:$U294,'changes2_based on steps'!$B$1:$U$1,H$1)</f>
        <v>0</v>
      </c>
      <c r="I294" s="140">
        <f>SUMIFS('recurring2_based on steps'!$B294:$AY294,'recurring2_based on steps'!$B$1:$AY$1,I$1)+SUMIFS('changes2_based on steps'!$B294:$U294,'changes2_based on steps'!$B$1:$U$1,I$1)</f>
        <v>0</v>
      </c>
      <c r="J294" s="140">
        <f ca="1">SUMIFS('recurring2_based on steps'!$B294:$AY294,'recurring2_based on steps'!$B$1:$AY$1,J$1)+SUMIFS('changes2_based on steps'!$B294:$U294,'changes2_based on steps'!$B$1:$U$1,J$1)</f>
        <v>0</v>
      </c>
      <c r="K294" s="140">
        <f>SUMIFS('recurring2_based on steps'!$B294:$AY294,'recurring2_based on steps'!$B$1:$AY$1,K$1)+SUMIFS('changes2_based on steps'!$B294:$U294,'changes2_based on steps'!$B$1:$U$1,K$1)</f>
        <v>0</v>
      </c>
      <c r="L294" s="140">
        <f>SUMIFS('recurring2_based on steps'!$B294:$AY294,'recurring2_based on steps'!$B$1:$AY$1,L$1)+SUMIFS('changes2_based on steps'!$B294:$U294,'changes2_based on steps'!$B$1:$U$1,L$1)</f>
        <v>0</v>
      </c>
      <c r="M294" s="140">
        <f>SUMIFS('recurring2_based on steps'!$B294:$AY294,'recurring2_based on steps'!$B$1:$AY$1,M$1)+SUMIFS('changes2_based on steps'!$B294:$U294,'changes2_based on steps'!$B$1:$U$1,M$1)</f>
        <v>0</v>
      </c>
      <c r="N294" s="140">
        <f ca="1">SUMIFS('recurring2_based on steps'!$B294:$AY294,'recurring2_based on steps'!$B$1:$AY$1,N$1)+SUMIFS('changes2_based on steps'!$B294:$U294,'changes2_based on steps'!$B$1:$U$1,N$1)</f>
        <v>0</v>
      </c>
      <c r="O294" s="140">
        <f>SUMIFS('recurring2_based on steps'!$B294:$AY294,'recurring2_based on steps'!$B$1:$AY$1,O$1)+SUMIFS('changes2_based on steps'!$B294:$U294,'changes2_based on steps'!$B$1:$U$1,O$1)</f>
        <v>0</v>
      </c>
      <c r="P294" s="140">
        <f ca="1">SUMIFS('recurring2_based on steps'!$B294:$AY294,'recurring2_based on steps'!$B$1:$AY$1,P$1)+SUMIFS('changes2_based on steps'!$B294:$U294,'changes2_based on steps'!$B$1:$U$1,P$1)</f>
        <v>0</v>
      </c>
      <c r="Q294" s="140">
        <f ca="1">SUMIFS('recurring2_based on steps'!$B294:$AY294,'recurring2_based on steps'!$B$1:$AY$1,Q$1)+SUMIFS('changes2_based on steps'!$B294:$U294,'changes2_based on steps'!$B$1:$U$1,Q$1)</f>
        <v>5.5401662049861494E-2</v>
      </c>
      <c r="R294" s="140">
        <f ca="1">SUMIFS('recurring2_based on steps'!$B294:$AY294,'recurring2_based on steps'!$B$1:$AY$1,R$1)+SUMIFS('changes2_based on steps'!$B294:$U294,'changes2_based on steps'!$B$1:$U$1,R$1)</f>
        <v>0</v>
      </c>
      <c r="S294" s="140">
        <f>SUMIFS('recurring2_based on steps'!$B294:$AY294,'recurring2_based on steps'!$B$1:$AY$1,S$1)+SUMIFS('changes2_based on steps'!$B294:$U294,'changes2_based on steps'!$B$1:$U$1,S$1)</f>
        <v>0</v>
      </c>
      <c r="T294" s="140">
        <f ca="1">SUMIFS('recurring2_based on steps'!$B294:$AY294,'recurring2_based on steps'!$B$1:$AY$1,T$1)+SUMIFS('changes2_based on steps'!$B294:$U294,'changes2_based on steps'!$B$1:$U$1,T$1)</f>
        <v>0</v>
      </c>
      <c r="U294" s="140">
        <f ca="1">SUMIFS('recurring2_based on steps'!$B294:$AY294,'recurring2_based on steps'!$B$1:$AY$1,U$1)+SUMIFS('changes2_based on steps'!$B294:$U294,'changes2_based on steps'!$B$1:$U$1,U$1)</f>
        <v>0</v>
      </c>
      <c r="V294" s="140">
        <f>SUMIFS('recurring2_based on steps'!$B294:$AY294,'recurring2_based on steps'!$B$1:$AY$1,V$1)+SUMIFS('changes2_based on steps'!$B294:$U294,'changes2_based on steps'!$B$1:$U$1,V$1)</f>
        <v>0</v>
      </c>
      <c r="W294" s="140">
        <f>SUMIFS('recurring2_based on steps'!$B294:$AY294,'recurring2_based on steps'!$B$1:$AY$1,W$1)+SUMIFS('changes2_based on steps'!$B294:$U294,'changes2_based on steps'!$B$1:$U$1,W$1)</f>
        <v>0</v>
      </c>
      <c r="X294" s="140">
        <f ca="1">SUMIFS('recurring2_based on steps'!$B294:$AY294,'recurring2_based on steps'!$B$1:$AY$1,X$1)+SUMIFS('changes2_based on steps'!$B294:$U294,'changes2_based on steps'!$B$1:$U$1,X$1)</f>
        <v>0</v>
      </c>
      <c r="Y294" s="140">
        <f ca="1">SUMIFS('recurring2_based on steps'!$B294:$AY294,'recurring2_based on steps'!$B$1:$AY$1,Y$1)+SUMIFS('changes2_based on steps'!$B294:$U294,'changes2_based on steps'!$B$1:$U$1,Y$1)</f>
        <v>0</v>
      </c>
      <c r="Z294" s="140">
        <f>SUMIFS('recurring2_based on steps'!$B294:$AY294,'recurring2_based on steps'!$B$1:$AY$1,Z$1)+SUMIFS('changes2_based on steps'!$B294:$U294,'changes2_based on steps'!$B$1:$U$1,Z$1)</f>
        <v>0</v>
      </c>
      <c r="AA294" s="140">
        <f ca="1">SUMIFS('recurring2_based on steps'!$B294:$AY294,'recurring2_based on steps'!$B$1:$AY$1,AA$1)+SUMIFS('changes2_based on steps'!$B294:$U294,'changes2_based on steps'!$B$1:$U$1,AA$1)</f>
        <v>0</v>
      </c>
      <c r="AB294" s="140">
        <f ca="1">SUMIFS('recurring2_based on steps'!$B294:$AY294,'recurring2_based on steps'!$B$1:$AY$1,AB$1)+SUMIFS('changes2_based on steps'!$B294:$U294,'changes2_based on steps'!$B$1:$U$1,AB$1)</f>
        <v>0</v>
      </c>
      <c r="AC294" s="140">
        <f ca="1">SUMIFS('recurring2_based on steps'!$B294:$AY294,'recurring2_based on steps'!$B$1:$AY$1,AC$1)+SUMIFS('changes2_based on steps'!$B294:$U294,'changes2_based on steps'!$B$1:$U$1,AC$1)</f>
        <v>0</v>
      </c>
      <c r="AD294" s="140">
        <f ca="1">SUMIFS('recurring2_based on steps'!$B294:$AY294,'recurring2_based on steps'!$B$1:$AY$1,AD$1)+SUMIFS('changes2_based on steps'!$B294:$U294,'changes2_based on steps'!$B$1:$U$1,AD$1)</f>
        <v>0</v>
      </c>
      <c r="AE294" s="140">
        <f>SUMIFS('recurring2_based on steps'!$B294:$AY294,'recurring2_based on steps'!$B$1:$AY$1,AE$1)+SUMIFS('changes2_based on steps'!$B294:$U294,'changes2_based on steps'!$B$1:$U$1,AE$1)</f>
        <v>0</v>
      </c>
      <c r="AF294" s="140"/>
      <c r="AG294" s="140"/>
      <c r="AH294" s="140"/>
      <c r="AI294" s="140"/>
      <c r="AJ294" s="140"/>
      <c r="AK294" s="140"/>
      <c r="AL294" s="140"/>
      <c r="AM294" s="140"/>
    </row>
    <row r="295" spans="1:39" x14ac:dyDescent="0.2">
      <c r="A295" s="29">
        <f t="shared" ca="1" si="4"/>
        <v>46035</v>
      </c>
      <c r="B295" s="140">
        <f ca="1">SUMIFS('recurring2_based on steps'!$B295:$AY295,'recurring2_based on steps'!$B$1:$AY$1,B$1)+SUMIFS('changes2_based on steps'!$B295:$U295,'changes2_based on steps'!$B$1:$U$1,B$1)</f>
        <v>0</v>
      </c>
      <c r="C295" s="140">
        <f>SUMIFS('recurring2_based on steps'!$B295:$AY295,'recurring2_based on steps'!$B$1:$AY$1,C$1)+SUMIFS('changes2_based on steps'!$B295:$U295,'changes2_based on steps'!$B$1:$U$1,C$1)</f>
        <v>0</v>
      </c>
      <c r="D295" s="140">
        <f>SUMIFS('recurring2_based on steps'!$B295:$AY295,'recurring2_based on steps'!$B$1:$AY$1,D$1)+SUMIFS('changes2_based on steps'!$B295:$U295,'changes2_based on steps'!$B$1:$U$1,D$1)</f>
        <v>0</v>
      </c>
      <c r="E295" s="140">
        <f>SUMIFS('recurring2_based on steps'!$B295:$AY295,'recurring2_based on steps'!$B$1:$AY$1,E$1)+SUMIFS('changes2_based on steps'!$B295:$U295,'changes2_based on steps'!$B$1:$U$1,E$1)</f>
        <v>0</v>
      </c>
      <c r="F295" s="140">
        <f>SUMIFS('recurring2_based on steps'!$B295:$AY295,'recurring2_based on steps'!$B$1:$AY$1,F$1)+SUMIFS('changes2_based on steps'!$B295:$U295,'changes2_based on steps'!$B$1:$U$1,F$1)</f>
        <v>0</v>
      </c>
      <c r="G295" s="140">
        <f>SUMIFS('recurring2_based on steps'!$B295:$AY295,'recurring2_based on steps'!$B$1:$AY$1,G$1)+SUMIFS('changes2_based on steps'!$B295:$U295,'changes2_based on steps'!$B$1:$U$1,G$1)</f>
        <v>0</v>
      </c>
      <c r="H295" s="140">
        <f>SUMIFS('recurring2_based on steps'!$B295:$AY295,'recurring2_based on steps'!$B$1:$AY$1,H$1)+SUMIFS('changes2_based on steps'!$B295:$U295,'changes2_based on steps'!$B$1:$U$1,H$1)</f>
        <v>0</v>
      </c>
      <c r="I295" s="140">
        <f>SUMIFS('recurring2_based on steps'!$B295:$AY295,'recurring2_based on steps'!$B$1:$AY$1,I$1)+SUMIFS('changes2_based on steps'!$B295:$U295,'changes2_based on steps'!$B$1:$U$1,I$1)</f>
        <v>0</v>
      </c>
      <c r="J295" s="140">
        <f ca="1">SUMIFS('recurring2_based on steps'!$B295:$AY295,'recurring2_based on steps'!$B$1:$AY$1,J$1)+SUMIFS('changes2_based on steps'!$B295:$U295,'changes2_based on steps'!$B$1:$U$1,J$1)</f>
        <v>0</v>
      </c>
      <c r="K295" s="140">
        <f>SUMIFS('recurring2_based on steps'!$B295:$AY295,'recurring2_based on steps'!$B$1:$AY$1,K$1)+SUMIFS('changes2_based on steps'!$B295:$U295,'changes2_based on steps'!$B$1:$U$1,K$1)</f>
        <v>0</v>
      </c>
      <c r="L295" s="140">
        <f>SUMIFS('recurring2_based on steps'!$B295:$AY295,'recurring2_based on steps'!$B$1:$AY$1,L$1)+SUMIFS('changes2_based on steps'!$B295:$U295,'changes2_based on steps'!$B$1:$U$1,L$1)</f>
        <v>0</v>
      </c>
      <c r="M295" s="140">
        <f>SUMIFS('recurring2_based on steps'!$B295:$AY295,'recurring2_based on steps'!$B$1:$AY$1,M$1)+SUMIFS('changes2_based on steps'!$B295:$U295,'changes2_based on steps'!$B$1:$U$1,M$1)</f>
        <v>0</v>
      </c>
      <c r="N295" s="140">
        <f ca="1">SUMIFS('recurring2_based on steps'!$B295:$AY295,'recurring2_based on steps'!$B$1:$AY$1,N$1)+SUMIFS('changes2_based on steps'!$B295:$U295,'changes2_based on steps'!$B$1:$U$1,N$1)</f>
        <v>0</v>
      </c>
      <c r="O295" s="140">
        <f>SUMIFS('recurring2_based on steps'!$B295:$AY295,'recurring2_based on steps'!$B$1:$AY$1,O$1)+SUMIFS('changes2_based on steps'!$B295:$U295,'changes2_based on steps'!$B$1:$U$1,O$1)</f>
        <v>0</v>
      </c>
      <c r="P295" s="140">
        <f ca="1">SUMIFS('recurring2_based on steps'!$B295:$AY295,'recurring2_based on steps'!$B$1:$AY$1,P$1)+SUMIFS('changes2_based on steps'!$B295:$U295,'changes2_based on steps'!$B$1:$U$1,P$1)</f>
        <v>0</v>
      </c>
      <c r="Q295" s="140">
        <f ca="1">SUMIFS('recurring2_based on steps'!$B295:$AY295,'recurring2_based on steps'!$B$1:$AY$1,Q$1)+SUMIFS('changes2_based on steps'!$B295:$U295,'changes2_based on steps'!$B$1:$U$1,Q$1)</f>
        <v>5.5401662049861494E-2</v>
      </c>
      <c r="R295" s="140">
        <f ca="1">SUMIFS('recurring2_based on steps'!$B295:$AY295,'recurring2_based on steps'!$B$1:$AY$1,R$1)+SUMIFS('changes2_based on steps'!$B295:$U295,'changes2_based on steps'!$B$1:$U$1,R$1)</f>
        <v>0</v>
      </c>
      <c r="S295" s="140">
        <f>SUMIFS('recurring2_based on steps'!$B295:$AY295,'recurring2_based on steps'!$B$1:$AY$1,S$1)+SUMIFS('changes2_based on steps'!$B295:$U295,'changes2_based on steps'!$B$1:$U$1,S$1)</f>
        <v>0</v>
      </c>
      <c r="T295" s="140">
        <f ca="1">SUMIFS('recurring2_based on steps'!$B295:$AY295,'recurring2_based on steps'!$B$1:$AY$1,T$1)+SUMIFS('changes2_based on steps'!$B295:$U295,'changes2_based on steps'!$B$1:$U$1,T$1)</f>
        <v>0</v>
      </c>
      <c r="U295" s="140">
        <f ca="1">SUMIFS('recurring2_based on steps'!$B295:$AY295,'recurring2_based on steps'!$B$1:$AY$1,U$1)+SUMIFS('changes2_based on steps'!$B295:$U295,'changes2_based on steps'!$B$1:$U$1,U$1)</f>
        <v>0</v>
      </c>
      <c r="V295" s="140">
        <f>SUMIFS('recurring2_based on steps'!$B295:$AY295,'recurring2_based on steps'!$B$1:$AY$1,V$1)+SUMIFS('changes2_based on steps'!$B295:$U295,'changes2_based on steps'!$B$1:$U$1,V$1)</f>
        <v>0</v>
      </c>
      <c r="W295" s="140">
        <f>SUMIFS('recurring2_based on steps'!$B295:$AY295,'recurring2_based on steps'!$B$1:$AY$1,W$1)+SUMIFS('changes2_based on steps'!$B295:$U295,'changes2_based on steps'!$B$1:$U$1,W$1)</f>
        <v>0</v>
      </c>
      <c r="X295" s="140">
        <f ca="1">SUMIFS('recurring2_based on steps'!$B295:$AY295,'recurring2_based on steps'!$B$1:$AY$1,X$1)+SUMIFS('changes2_based on steps'!$B295:$U295,'changes2_based on steps'!$B$1:$U$1,X$1)</f>
        <v>0</v>
      </c>
      <c r="Y295" s="140">
        <f ca="1">SUMIFS('recurring2_based on steps'!$B295:$AY295,'recurring2_based on steps'!$B$1:$AY$1,Y$1)+SUMIFS('changes2_based on steps'!$B295:$U295,'changes2_based on steps'!$B$1:$U$1,Y$1)</f>
        <v>0</v>
      </c>
      <c r="Z295" s="140">
        <f>SUMIFS('recurring2_based on steps'!$B295:$AY295,'recurring2_based on steps'!$B$1:$AY$1,Z$1)+SUMIFS('changes2_based on steps'!$B295:$U295,'changes2_based on steps'!$B$1:$U$1,Z$1)</f>
        <v>0</v>
      </c>
      <c r="AA295" s="140">
        <f ca="1">SUMIFS('recurring2_based on steps'!$B295:$AY295,'recurring2_based on steps'!$B$1:$AY$1,AA$1)+SUMIFS('changes2_based on steps'!$B295:$U295,'changes2_based on steps'!$B$1:$U$1,AA$1)</f>
        <v>0</v>
      </c>
      <c r="AB295" s="140">
        <f ca="1">SUMIFS('recurring2_based on steps'!$B295:$AY295,'recurring2_based on steps'!$B$1:$AY$1,AB$1)+SUMIFS('changes2_based on steps'!$B295:$U295,'changes2_based on steps'!$B$1:$U$1,AB$1)</f>
        <v>0</v>
      </c>
      <c r="AC295" s="140">
        <f ca="1">SUMIFS('recurring2_based on steps'!$B295:$AY295,'recurring2_based on steps'!$B$1:$AY$1,AC$1)+SUMIFS('changes2_based on steps'!$B295:$U295,'changes2_based on steps'!$B$1:$U$1,AC$1)</f>
        <v>0</v>
      </c>
      <c r="AD295" s="140">
        <f ca="1">SUMIFS('recurring2_based on steps'!$B295:$AY295,'recurring2_based on steps'!$B$1:$AY$1,AD$1)+SUMIFS('changes2_based on steps'!$B295:$U295,'changes2_based on steps'!$B$1:$U$1,AD$1)</f>
        <v>0</v>
      </c>
      <c r="AE295" s="140">
        <f>SUMIFS('recurring2_based on steps'!$B295:$AY295,'recurring2_based on steps'!$B$1:$AY$1,AE$1)+SUMIFS('changes2_based on steps'!$B295:$U295,'changes2_based on steps'!$B$1:$U$1,AE$1)</f>
        <v>0</v>
      </c>
      <c r="AF295" s="140"/>
      <c r="AG295" s="140"/>
      <c r="AH295" s="140"/>
      <c r="AI295" s="140"/>
      <c r="AJ295" s="140"/>
      <c r="AK295" s="140"/>
      <c r="AL295" s="140"/>
      <c r="AM295" s="140"/>
    </row>
    <row r="296" spans="1:39" x14ac:dyDescent="0.2">
      <c r="A296" s="29">
        <f t="shared" ca="1" si="4"/>
        <v>46036</v>
      </c>
      <c r="B296" s="140">
        <f ca="1">SUMIFS('recurring2_based on steps'!$B296:$AY296,'recurring2_based on steps'!$B$1:$AY$1,B$1)+SUMIFS('changes2_based on steps'!$B296:$U296,'changes2_based on steps'!$B$1:$U$1,B$1)</f>
        <v>0</v>
      </c>
      <c r="C296" s="140">
        <f>SUMIFS('recurring2_based on steps'!$B296:$AY296,'recurring2_based on steps'!$B$1:$AY$1,C$1)+SUMIFS('changes2_based on steps'!$B296:$U296,'changes2_based on steps'!$B$1:$U$1,C$1)</f>
        <v>0</v>
      </c>
      <c r="D296" s="140">
        <f>SUMIFS('recurring2_based on steps'!$B296:$AY296,'recurring2_based on steps'!$B$1:$AY$1,D$1)+SUMIFS('changes2_based on steps'!$B296:$U296,'changes2_based on steps'!$B$1:$U$1,D$1)</f>
        <v>0</v>
      </c>
      <c r="E296" s="140">
        <f>SUMIFS('recurring2_based on steps'!$B296:$AY296,'recurring2_based on steps'!$B$1:$AY$1,E$1)+SUMIFS('changes2_based on steps'!$B296:$U296,'changes2_based on steps'!$B$1:$U$1,E$1)</f>
        <v>0</v>
      </c>
      <c r="F296" s="140">
        <f>SUMIFS('recurring2_based on steps'!$B296:$AY296,'recurring2_based on steps'!$B$1:$AY$1,F$1)+SUMIFS('changes2_based on steps'!$B296:$U296,'changes2_based on steps'!$B$1:$U$1,F$1)</f>
        <v>0</v>
      </c>
      <c r="G296" s="140">
        <f>SUMIFS('recurring2_based on steps'!$B296:$AY296,'recurring2_based on steps'!$B$1:$AY$1,G$1)+SUMIFS('changes2_based on steps'!$B296:$U296,'changes2_based on steps'!$B$1:$U$1,G$1)</f>
        <v>0</v>
      </c>
      <c r="H296" s="140">
        <f>SUMIFS('recurring2_based on steps'!$B296:$AY296,'recurring2_based on steps'!$B$1:$AY$1,H$1)+SUMIFS('changes2_based on steps'!$B296:$U296,'changes2_based on steps'!$B$1:$U$1,H$1)</f>
        <v>0</v>
      </c>
      <c r="I296" s="140">
        <f>SUMIFS('recurring2_based on steps'!$B296:$AY296,'recurring2_based on steps'!$B$1:$AY$1,I$1)+SUMIFS('changes2_based on steps'!$B296:$U296,'changes2_based on steps'!$B$1:$U$1,I$1)</f>
        <v>0</v>
      </c>
      <c r="J296" s="140">
        <f ca="1">SUMIFS('recurring2_based on steps'!$B296:$AY296,'recurring2_based on steps'!$B$1:$AY$1,J$1)+SUMIFS('changes2_based on steps'!$B296:$U296,'changes2_based on steps'!$B$1:$U$1,J$1)</f>
        <v>0</v>
      </c>
      <c r="K296" s="140">
        <f>SUMIFS('recurring2_based on steps'!$B296:$AY296,'recurring2_based on steps'!$B$1:$AY$1,K$1)+SUMIFS('changes2_based on steps'!$B296:$U296,'changes2_based on steps'!$B$1:$U$1,K$1)</f>
        <v>0</v>
      </c>
      <c r="L296" s="140">
        <f>SUMIFS('recurring2_based on steps'!$B296:$AY296,'recurring2_based on steps'!$B$1:$AY$1,L$1)+SUMIFS('changes2_based on steps'!$B296:$U296,'changes2_based on steps'!$B$1:$U$1,L$1)</f>
        <v>0</v>
      </c>
      <c r="M296" s="140">
        <f>SUMIFS('recurring2_based on steps'!$B296:$AY296,'recurring2_based on steps'!$B$1:$AY$1,M$1)+SUMIFS('changes2_based on steps'!$B296:$U296,'changes2_based on steps'!$B$1:$U$1,M$1)</f>
        <v>0</v>
      </c>
      <c r="N296" s="140">
        <f ca="1">SUMIFS('recurring2_based on steps'!$B296:$AY296,'recurring2_based on steps'!$B$1:$AY$1,N$1)+SUMIFS('changes2_based on steps'!$B296:$U296,'changes2_based on steps'!$B$1:$U$1,N$1)</f>
        <v>0</v>
      </c>
      <c r="O296" s="140">
        <f>SUMIFS('recurring2_based on steps'!$B296:$AY296,'recurring2_based on steps'!$B$1:$AY$1,O$1)+SUMIFS('changes2_based on steps'!$B296:$U296,'changes2_based on steps'!$B$1:$U$1,O$1)</f>
        <v>0</v>
      </c>
      <c r="P296" s="140">
        <f ca="1">SUMIFS('recurring2_based on steps'!$B296:$AY296,'recurring2_based on steps'!$B$1:$AY$1,P$1)+SUMIFS('changes2_based on steps'!$B296:$U296,'changes2_based on steps'!$B$1:$U$1,P$1)</f>
        <v>0</v>
      </c>
      <c r="Q296" s="140">
        <f ca="1">SUMIFS('recurring2_based on steps'!$B296:$AY296,'recurring2_based on steps'!$B$1:$AY$1,Q$1)+SUMIFS('changes2_based on steps'!$B296:$U296,'changes2_based on steps'!$B$1:$U$1,Q$1)</f>
        <v>5.5401662049861494E-2</v>
      </c>
      <c r="R296" s="140">
        <f ca="1">SUMIFS('recurring2_based on steps'!$B296:$AY296,'recurring2_based on steps'!$B$1:$AY$1,R$1)+SUMIFS('changes2_based on steps'!$B296:$U296,'changes2_based on steps'!$B$1:$U$1,R$1)</f>
        <v>0</v>
      </c>
      <c r="S296" s="140">
        <f>SUMIFS('recurring2_based on steps'!$B296:$AY296,'recurring2_based on steps'!$B$1:$AY$1,S$1)+SUMIFS('changes2_based on steps'!$B296:$U296,'changes2_based on steps'!$B$1:$U$1,S$1)</f>
        <v>0</v>
      </c>
      <c r="T296" s="140">
        <f ca="1">SUMIFS('recurring2_based on steps'!$B296:$AY296,'recurring2_based on steps'!$B$1:$AY$1,T$1)+SUMIFS('changes2_based on steps'!$B296:$U296,'changes2_based on steps'!$B$1:$U$1,T$1)</f>
        <v>0</v>
      </c>
      <c r="U296" s="140">
        <f ca="1">SUMIFS('recurring2_based on steps'!$B296:$AY296,'recurring2_based on steps'!$B$1:$AY$1,U$1)+SUMIFS('changes2_based on steps'!$B296:$U296,'changes2_based on steps'!$B$1:$U$1,U$1)</f>
        <v>0</v>
      </c>
      <c r="V296" s="140">
        <f>SUMIFS('recurring2_based on steps'!$B296:$AY296,'recurring2_based on steps'!$B$1:$AY$1,V$1)+SUMIFS('changes2_based on steps'!$B296:$U296,'changes2_based on steps'!$B$1:$U$1,V$1)</f>
        <v>0</v>
      </c>
      <c r="W296" s="140">
        <f>SUMIFS('recurring2_based on steps'!$B296:$AY296,'recurring2_based on steps'!$B$1:$AY$1,W$1)+SUMIFS('changes2_based on steps'!$B296:$U296,'changes2_based on steps'!$B$1:$U$1,W$1)</f>
        <v>0</v>
      </c>
      <c r="X296" s="140">
        <f ca="1">SUMIFS('recurring2_based on steps'!$B296:$AY296,'recurring2_based on steps'!$B$1:$AY$1,X$1)+SUMIFS('changes2_based on steps'!$B296:$U296,'changes2_based on steps'!$B$1:$U$1,X$1)</f>
        <v>0</v>
      </c>
      <c r="Y296" s="140">
        <f ca="1">SUMIFS('recurring2_based on steps'!$B296:$AY296,'recurring2_based on steps'!$B$1:$AY$1,Y$1)+SUMIFS('changes2_based on steps'!$B296:$U296,'changes2_based on steps'!$B$1:$U$1,Y$1)</f>
        <v>0</v>
      </c>
      <c r="Z296" s="140">
        <f>SUMIFS('recurring2_based on steps'!$B296:$AY296,'recurring2_based on steps'!$B$1:$AY$1,Z$1)+SUMIFS('changes2_based on steps'!$B296:$U296,'changes2_based on steps'!$B$1:$U$1,Z$1)</f>
        <v>0</v>
      </c>
      <c r="AA296" s="140">
        <f ca="1">SUMIFS('recurring2_based on steps'!$B296:$AY296,'recurring2_based on steps'!$B$1:$AY$1,AA$1)+SUMIFS('changes2_based on steps'!$B296:$U296,'changes2_based on steps'!$B$1:$U$1,AA$1)</f>
        <v>0</v>
      </c>
      <c r="AB296" s="140">
        <f ca="1">SUMIFS('recurring2_based on steps'!$B296:$AY296,'recurring2_based on steps'!$B$1:$AY$1,AB$1)+SUMIFS('changes2_based on steps'!$B296:$U296,'changes2_based on steps'!$B$1:$U$1,AB$1)</f>
        <v>0</v>
      </c>
      <c r="AC296" s="140">
        <f ca="1">SUMIFS('recurring2_based on steps'!$B296:$AY296,'recurring2_based on steps'!$B$1:$AY$1,AC$1)+SUMIFS('changes2_based on steps'!$B296:$U296,'changes2_based on steps'!$B$1:$U$1,AC$1)</f>
        <v>0</v>
      </c>
      <c r="AD296" s="140">
        <f ca="1">SUMIFS('recurring2_based on steps'!$B296:$AY296,'recurring2_based on steps'!$B$1:$AY$1,AD$1)+SUMIFS('changes2_based on steps'!$B296:$U296,'changes2_based on steps'!$B$1:$U$1,AD$1)</f>
        <v>0</v>
      </c>
      <c r="AE296" s="140">
        <f>SUMIFS('recurring2_based on steps'!$B296:$AY296,'recurring2_based on steps'!$B$1:$AY$1,AE$1)+SUMIFS('changes2_based on steps'!$B296:$U296,'changes2_based on steps'!$B$1:$U$1,AE$1)</f>
        <v>0</v>
      </c>
      <c r="AF296" s="140"/>
      <c r="AG296" s="140"/>
      <c r="AH296" s="140"/>
      <c r="AI296" s="140"/>
      <c r="AJ296" s="140"/>
      <c r="AK296" s="140"/>
      <c r="AL296" s="140"/>
      <c r="AM296" s="140"/>
    </row>
    <row r="297" spans="1:39" x14ac:dyDescent="0.2">
      <c r="A297" s="29">
        <f t="shared" ca="1" si="4"/>
        <v>46037</v>
      </c>
      <c r="B297" s="140">
        <f ca="1">SUMIFS('recurring2_based on steps'!$B297:$AY297,'recurring2_based on steps'!$B$1:$AY$1,B$1)+SUMIFS('changes2_based on steps'!$B297:$U297,'changes2_based on steps'!$B$1:$U$1,B$1)</f>
        <v>0</v>
      </c>
      <c r="C297" s="140">
        <f>SUMIFS('recurring2_based on steps'!$B297:$AY297,'recurring2_based on steps'!$B$1:$AY$1,C$1)+SUMIFS('changes2_based on steps'!$B297:$U297,'changes2_based on steps'!$B$1:$U$1,C$1)</f>
        <v>0</v>
      </c>
      <c r="D297" s="140">
        <f>SUMIFS('recurring2_based on steps'!$B297:$AY297,'recurring2_based on steps'!$B$1:$AY$1,D$1)+SUMIFS('changes2_based on steps'!$B297:$U297,'changes2_based on steps'!$B$1:$U$1,D$1)</f>
        <v>0</v>
      </c>
      <c r="E297" s="140">
        <f>SUMIFS('recurring2_based on steps'!$B297:$AY297,'recurring2_based on steps'!$B$1:$AY$1,E$1)+SUMIFS('changes2_based on steps'!$B297:$U297,'changes2_based on steps'!$B$1:$U$1,E$1)</f>
        <v>0</v>
      </c>
      <c r="F297" s="140">
        <f>SUMIFS('recurring2_based on steps'!$B297:$AY297,'recurring2_based on steps'!$B$1:$AY$1,F$1)+SUMIFS('changes2_based on steps'!$B297:$U297,'changes2_based on steps'!$B$1:$U$1,F$1)</f>
        <v>0</v>
      </c>
      <c r="G297" s="140">
        <f>SUMIFS('recurring2_based on steps'!$B297:$AY297,'recurring2_based on steps'!$B$1:$AY$1,G$1)+SUMIFS('changes2_based on steps'!$B297:$U297,'changes2_based on steps'!$B$1:$U$1,G$1)</f>
        <v>0</v>
      </c>
      <c r="H297" s="140">
        <f>SUMIFS('recurring2_based on steps'!$B297:$AY297,'recurring2_based on steps'!$B$1:$AY$1,H$1)+SUMIFS('changes2_based on steps'!$B297:$U297,'changes2_based on steps'!$B$1:$U$1,H$1)</f>
        <v>0</v>
      </c>
      <c r="I297" s="140">
        <f>SUMIFS('recurring2_based on steps'!$B297:$AY297,'recurring2_based on steps'!$B$1:$AY$1,I$1)+SUMIFS('changes2_based on steps'!$B297:$U297,'changes2_based on steps'!$B$1:$U$1,I$1)</f>
        <v>0</v>
      </c>
      <c r="J297" s="140">
        <f ca="1">SUMIFS('recurring2_based on steps'!$B297:$AY297,'recurring2_based on steps'!$B$1:$AY$1,J$1)+SUMIFS('changes2_based on steps'!$B297:$U297,'changes2_based on steps'!$B$1:$U$1,J$1)</f>
        <v>0</v>
      </c>
      <c r="K297" s="140">
        <f>SUMIFS('recurring2_based on steps'!$B297:$AY297,'recurring2_based on steps'!$B$1:$AY$1,K$1)+SUMIFS('changes2_based on steps'!$B297:$U297,'changes2_based on steps'!$B$1:$U$1,K$1)</f>
        <v>0</v>
      </c>
      <c r="L297" s="140">
        <f>SUMIFS('recurring2_based on steps'!$B297:$AY297,'recurring2_based on steps'!$B$1:$AY$1,L$1)+SUMIFS('changes2_based on steps'!$B297:$U297,'changes2_based on steps'!$B$1:$U$1,L$1)</f>
        <v>0</v>
      </c>
      <c r="M297" s="140">
        <f>SUMIFS('recurring2_based on steps'!$B297:$AY297,'recurring2_based on steps'!$B$1:$AY$1,M$1)+SUMIFS('changes2_based on steps'!$B297:$U297,'changes2_based on steps'!$B$1:$U$1,M$1)</f>
        <v>0</v>
      </c>
      <c r="N297" s="140">
        <f ca="1">SUMIFS('recurring2_based on steps'!$B297:$AY297,'recurring2_based on steps'!$B$1:$AY$1,N$1)+SUMIFS('changes2_based on steps'!$B297:$U297,'changes2_based on steps'!$B$1:$U$1,N$1)</f>
        <v>0</v>
      </c>
      <c r="O297" s="140">
        <f>SUMIFS('recurring2_based on steps'!$B297:$AY297,'recurring2_based on steps'!$B$1:$AY$1,O$1)+SUMIFS('changes2_based on steps'!$B297:$U297,'changes2_based on steps'!$B$1:$U$1,O$1)</f>
        <v>0</v>
      </c>
      <c r="P297" s="140">
        <f ca="1">SUMIFS('recurring2_based on steps'!$B297:$AY297,'recurring2_based on steps'!$B$1:$AY$1,P$1)+SUMIFS('changes2_based on steps'!$B297:$U297,'changes2_based on steps'!$B$1:$U$1,P$1)</f>
        <v>0</v>
      </c>
      <c r="Q297" s="140">
        <f ca="1">SUMIFS('recurring2_based on steps'!$B297:$AY297,'recurring2_based on steps'!$B$1:$AY$1,Q$1)+SUMIFS('changes2_based on steps'!$B297:$U297,'changes2_based on steps'!$B$1:$U$1,Q$1)</f>
        <v>5.5401662049861494E-2</v>
      </c>
      <c r="R297" s="140">
        <f ca="1">SUMIFS('recurring2_based on steps'!$B297:$AY297,'recurring2_based on steps'!$B$1:$AY$1,R$1)+SUMIFS('changes2_based on steps'!$B297:$U297,'changes2_based on steps'!$B$1:$U$1,R$1)</f>
        <v>0</v>
      </c>
      <c r="S297" s="140">
        <f>SUMIFS('recurring2_based on steps'!$B297:$AY297,'recurring2_based on steps'!$B$1:$AY$1,S$1)+SUMIFS('changes2_based on steps'!$B297:$U297,'changes2_based on steps'!$B$1:$U$1,S$1)</f>
        <v>0</v>
      </c>
      <c r="T297" s="140">
        <f ca="1">SUMIFS('recurring2_based on steps'!$B297:$AY297,'recurring2_based on steps'!$B$1:$AY$1,T$1)+SUMIFS('changes2_based on steps'!$B297:$U297,'changes2_based on steps'!$B$1:$U$1,T$1)</f>
        <v>0</v>
      </c>
      <c r="U297" s="140">
        <f ca="1">SUMIFS('recurring2_based on steps'!$B297:$AY297,'recurring2_based on steps'!$B$1:$AY$1,U$1)+SUMIFS('changes2_based on steps'!$B297:$U297,'changes2_based on steps'!$B$1:$U$1,U$1)</f>
        <v>0</v>
      </c>
      <c r="V297" s="140">
        <f>SUMIFS('recurring2_based on steps'!$B297:$AY297,'recurring2_based on steps'!$B$1:$AY$1,V$1)+SUMIFS('changes2_based on steps'!$B297:$U297,'changes2_based on steps'!$B$1:$U$1,V$1)</f>
        <v>0</v>
      </c>
      <c r="W297" s="140">
        <f>SUMIFS('recurring2_based on steps'!$B297:$AY297,'recurring2_based on steps'!$B$1:$AY$1,W$1)+SUMIFS('changes2_based on steps'!$B297:$U297,'changes2_based on steps'!$B$1:$U$1,W$1)</f>
        <v>0</v>
      </c>
      <c r="X297" s="140">
        <f ca="1">SUMIFS('recurring2_based on steps'!$B297:$AY297,'recurring2_based on steps'!$B$1:$AY$1,X$1)+SUMIFS('changes2_based on steps'!$B297:$U297,'changes2_based on steps'!$B$1:$U$1,X$1)</f>
        <v>0</v>
      </c>
      <c r="Y297" s="140">
        <f ca="1">SUMIFS('recurring2_based on steps'!$B297:$AY297,'recurring2_based on steps'!$B$1:$AY$1,Y$1)+SUMIFS('changes2_based on steps'!$B297:$U297,'changes2_based on steps'!$B$1:$U$1,Y$1)</f>
        <v>0</v>
      </c>
      <c r="Z297" s="140">
        <f>SUMIFS('recurring2_based on steps'!$B297:$AY297,'recurring2_based on steps'!$B$1:$AY$1,Z$1)+SUMIFS('changes2_based on steps'!$B297:$U297,'changes2_based on steps'!$B$1:$U$1,Z$1)</f>
        <v>0</v>
      </c>
      <c r="AA297" s="140">
        <f ca="1">SUMIFS('recurring2_based on steps'!$B297:$AY297,'recurring2_based on steps'!$B$1:$AY$1,AA$1)+SUMIFS('changes2_based on steps'!$B297:$U297,'changes2_based on steps'!$B$1:$U$1,AA$1)</f>
        <v>0</v>
      </c>
      <c r="AB297" s="140">
        <f ca="1">SUMIFS('recurring2_based on steps'!$B297:$AY297,'recurring2_based on steps'!$B$1:$AY$1,AB$1)+SUMIFS('changes2_based on steps'!$B297:$U297,'changes2_based on steps'!$B$1:$U$1,AB$1)</f>
        <v>0</v>
      </c>
      <c r="AC297" s="140">
        <f ca="1">SUMIFS('recurring2_based on steps'!$B297:$AY297,'recurring2_based on steps'!$B$1:$AY$1,AC$1)+SUMIFS('changes2_based on steps'!$B297:$U297,'changes2_based on steps'!$B$1:$U$1,AC$1)</f>
        <v>0</v>
      </c>
      <c r="AD297" s="140">
        <f ca="1">SUMIFS('recurring2_based on steps'!$B297:$AY297,'recurring2_based on steps'!$B$1:$AY$1,AD$1)+SUMIFS('changes2_based on steps'!$B297:$U297,'changes2_based on steps'!$B$1:$U$1,AD$1)</f>
        <v>0</v>
      </c>
      <c r="AE297" s="140">
        <f>SUMIFS('recurring2_based on steps'!$B297:$AY297,'recurring2_based on steps'!$B$1:$AY$1,AE$1)+SUMIFS('changes2_based on steps'!$B297:$U297,'changes2_based on steps'!$B$1:$U$1,AE$1)</f>
        <v>0</v>
      </c>
      <c r="AF297" s="140"/>
      <c r="AG297" s="140"/>
      <c r="AH297" s="140"/>
      <c r="AI297" s="140"/>
      <c r="AJ297" s="140"/>
      <c r="AK297" s="140"/>
      <c r="AL297" s="140"/>
      <c r="AM297" s="140"/>
    </row>
    <row r="298" spans="1:39" x14ac:dyDescent="0.2">
      <c r="A298" s="29">
        <f t="shared" ca="1" si="4"/>
        <v>46038</v>
      </c>
      <c r="B298" s="140">
        <f ca="1">SUMIFS('recurring2_based on steps'!$B298:$AY298,'recurring2_based on steps'!$B$1:$AY$1,B$1)+SUMIFS('changes2_based on steps'!$B298:$U298,'changes2_based on steps'!$B$1:$U$1,B$1)</f>
        <v>0</v>
      </c>
      <c r="C298" s="140">
        <f>SUMIFS('recurring2_based on steps'!$B298:$AY298,'recurring2_based on steps'!$B$1:$AY$1,C$1)+SUMIFS('changes2_based on steps'!$B298:$U298,'changes2_based on steps'!$B$1:$U$1,C$1)</f>
        <v>0</v>
      </c>
      <c r="D298" s="140">
        <f>SUMIFS('recurring2_based on steps'!$B298:$AY298,'recurring2_based on steps'!$B$1:$AY$1,D$1)+SUMIFS('changes2_based on steps'!$B298:$U298,'changes2_based on steps'!$B$1:$U$1,D$1)</f>
        <v>0</v>
      </c>
      <c r="E298" s="140">
        <f>SUMIFS('recurring2_based on steps'!$B298:$AY298,'recurring2_based on steps'!$B$1:$AY$1,E$1)+SUMIFS('changes2_based on steps'!$B298:$U298,'changes2_based on steps'!$B$1:$U$1,E$1)</f>
        <v>0</v>
      </c>
      <c r="F298" s="140">
        <f>SUMIFS('recurring2_based on steps'!$B298:$AY298,'recurring2_based on steps'!$B$1:$AY$1,F$1)+SUMIFS('changes2_based on steps'!$B298:$U298,'changes2_based on steps'!$B$1:$U$1,F$1)</f>
        <v>0</v>
      </c>
      <c r="G298" s="140">
        <f>SUMIFS('recurring2_based on steps'!$B298:$AY298,'recurring2_based on steps'!$B$1:$AY$1,G$1)+SUMIFS('changes2_based on steps'!$B298:$U298,'changes2_based on steps'!$B$1:$U$1,G$1)</f>
        <v>0</v>
      </c>
      <c r="H298" s="140">
        <f>SUMIFS('recurring2_based on steps'!$B298:$AY298,'recurring2_based on steps'!$B$1:$AY$1,H$1)+SUMIFS('changes2_based on steps'!$B298:$U298,'changes2_based on steps'!$B$1:$U$1,H$1)</f>
        <v>0</v>
      </c>
      <c r="I298" s="140">
        <f>SUMIFS('recurring2_based on steps'!$B298:$AY298,'recurring2_based on steps'!$B$1:$AY$1,I$1)+SUMIFS('changes2_based on steps'!$B298:$U298,'changes2_based on steps'!$B$1:$U$1,I$1)</f>
        <v>0</v>
      </c>
      <c r="J298" s="140">
        <f ca="1">SUMIFS('recurring2_based on steps'!$B298:$AY298,'recurring2_based on steps'!$B$1:$AY$1,J$1)+SUMIFS('changes2_based on steps'!$B298:$U298,'changes2_based on steps'!$B$1:$U$1,J$1)</f>
        <v>0</v>
      </c>
      <c r="K298" s="140">
        <f>SUMIFS('recurring2_based on steps'!$B298:$AY298,'recurring2_based on steps'!$B$1:$AY$1,K$1)+SUMIFS('changes2_based on steps'!$B298:$U298,'changes2_based on steps'!$B$1:$U$1,K$1)</f>
        <v>0</v>
      </c>
      <c r="L298" s="140">
        <f>SUMIFS('recurring2_based on steps'!$B298:$AY298,'recurring2_based on steps'!$B$1:$AY$1,L$1)+SUMIFS('changes2_based on steps'!$B298:$U298,'changes2_based on steps'!$B$1:$U$1,L$1)</f>
        <v>0</v>
      </c>
      <c r="M298" s="140">
        <f>SUMIFS('recurring2_based on steps'!$B298:$AY298,'recurring2_based on steps'!$B$1:$AY$1,M$1)+SUMIFS('changes2_based on steps'!$B298:$U298,'changes2_based on steps'!$B$1:$U$1,M$1)</f>
        <v>0</v>
      </c>
      <c r="N298" s="140">
        <f ca="1">SUMIFS('recurring2_based on steps'!$B298:$AY298,'recurring2_based on steps'!$B$1:$AY$1,N$1)+SUMIFS('changes2_based on steps'!$B298:$U298,'changes2_based on steps'!$B$1:$U$1,N$1)</f>
        <v>0</v>
      </c>
      <c r="O298" s="140">
        <f>SUMIFS('recurring2_based on steps'!$B298:$AY298,'recurring2_based on steps'!$B$1:$AY$1,O$1)+SUMIFS('changes2_based on steps'!$B298:$U298,'changes2_based on steps'!$B$1:$U$1,O$1)</f>
        <v>0</v>
      </c>
      <c r="P298" s="140">
        <f ca="1">SUMIFS('recurring2_based on steps'!$B298:$AY298,'recurring2_based on steps'!$B$1:$AY$1,P$1)+SUMIFS('changes2_based on steps'!$B298:$U298,'changes2_based on steps'!$B$1:$U$1,P$1)</f>
        <v>0</v>
      </c>
      <c r="Q298" s="140">
        <f ca="1">SUMIFS('recurring2_based on steps'!$B298:$AY298,'recurring2_based on steps'!$B$1:$AY$1,Q$1)+SUMIFS('changes2_based on steps'!$B298:$U298,'changes2_based on steps'!$B$1:$U$1,Q$1)</f>
        <v>5.5401662049861494E-2</v>
      </c>
      <c r="R298" s="140">
        <f ca="1">SUMIFS('recurring2_based on steps'!$B298:$AY298,'recurring2_based on steps'!$B$1:$AY$1,R$1)+SUMIFS('changes2_based on steps'!$B298:$U298,'changes2_based on steps'!$B$1:$U$1,R$1)</f>
        <v>0</v>
      </c>
      <c r="S298" s="140">
        <f>SUMIFS('recurring2_based on steps'!$B298:$AY298,'recurring2_based on steps'!$B$1:$AY$1,S$1)+SUMIFS('changes2_based on steps'!$B298:$U298,'changes2_based on steps'!$B$1:$U$1,S$1)</f>
        <v>0</v>
      </c>
      <c r="T298" s="140">
        <f ca="1">SUMIFS('recurring2_based on steps'!$B298:$AY298,'recurring2_based on steps'!$B$1:$AY$1,T$1)+SUMIFS('changes2_based on steps'!$B298:$U298,'changes2_based on steps'!$B$1:$U$1,T$1)</f>
        <v>0</v>
      </c>
      <c r="U298" s="140">
        <f ca="1">SUMIFS('recurring2_based on steps'!$B298:$AY298,'recurring2_based on steps'!$B$1:$AY$1,U$1)+SUMIFS('changes2_based on steps'!$B298:$U298,'changes2_based on steps'!$B$1:$U$1,U$1)</f>
        <v>0</v>
      </c>
      <c r="V298" s="140">
        <f>SUMIFS('recurring2_based on steps'!$B298:$AY298,'recurring2_based on steps'!$B$1:$AY$1,V$1)+SUMIFS('changes2_based on steps'!$B298:$U298,'changes2_based on steps'!$B$1:$U$1,V$1)</f>
        <v>0</v>
      </c>
      <c r="W298" s="140">
        <f>SUMIFS('recurring2_based on steps'!$B298:$AY298,'recurring2_based on steps'!$B$1:$AY$1,W$1)+SUMIFS('changes2_based on steps'!$B298:$U298,'changes2_based on steps'!$B$1:$U$1,W$1)</f>
        <v>0</v>
      </c>
      <c r="X298" s="140">
        <f ca="1">SUMIFS('recurring2_based on steps'!$B298:$AY298,'recurring2_based on steps'!$B$1:$AY$1,X$1)+SUMIFS('changes2_based on steps'!$B298:$U298,'changes2_based on steps'!$B$1:$U$1,X$1)</f>
        <v>0</v>
      </c>
      <c r="Y298" s="140">
        <f ca="1">SUMIFS('recurring2_based on steps'!$B298:$AY298,'recurring2_based on steps'!$B$1:$AY$1,Y$1)+SUMIFS('changes2_based on steps'!$B298:$U298,'changes2_based on steps'!$B$1:$U$1,Y$1)</f>
        <v>0</v>
      </c>
      <c r="Z298" s="140">
        <f>SUMIFS('recurring2_based on steps'!$B298:$AY298,'recurring2_based on steps'!$B$1:$AY$1,Z$1)+SUMIFS('changes2_based on steps'!$B298:$U298,'changes2_based on steps'!$B$1:$U$1,Z$1)</f>
        <v>0</v>
      </c>
      <c r="AA298" s="140">
        <f ca="1">SUMIFS('recurring2_based on steps'!$B298:$AY298,'recurring2_based on steps'!$B$1:$AY$1,AA$1)+SUMIFS('changes2_based on steps'!$B298:$U298,'changes2_based on steps'!$B$1:$U$1,AA$1)</f>
        <v>0</v>
      </c>
      <c r="AB298" s="140">
        <f ca="1">SUMIFS('recurring2_based on steps'!$B298:$AY298,'recurring2_based on steps'!$B$1:$AY$1,AB$1)+SUMIFS('changes2_based on steps'!$B298:$U298,'changes2_based on steps'!$B$1:$U$1,AB$1)</f>
        <v>0</v>
      </c>
      <c r="AC298" s="140">
        <f ca="1">SUMIFS('recurring2_based on steps'!$B298:$AY298,'recurring2_based on steps'!$B$1:$AY$1,AC$1)+SUMIFS('changes2_based on steps'!$B298:$U298,'changes2_based on steps'!$B$1:$U$1,AC$1)</f>
        <v>0</v>
      </c>
      <c r="AD298" s="140">
        <f ca="1">SUMIFS('recurring2_based on steps'!$B298:$AY298,'recurring2_based on steps'!$B$1:$AY$1,AD$1)+SUMIFS('changes2_based on steps'!$B298:$U298,'changes2_based on steps'!$B$1:$U$1,AD$1)</f>
        <v>0</v>
      </c>
      <c r="AE298" s="140">
        <f>SUMIFS('recurring2_based on steps'!$B298:$AY298,'recurring2_based on steps'!$B$1:$AY$1,AE$1)+SUMIFS('changes2_based on steps'!$B298:$U298,'changes2_based on steps'!$B$1:$U$1,AE$1)</f>
        <v>0</v>
      </c>
      <c r="AF298" s="140"/>
      <c r="AG298" s="140"/>
      <c r="AH298" s="140"/>
      <c r="AI298" s="140"/>
      <c r="AJ298" s="140"/>
      <c r="AK298" s="140"/>
      <c r="AL298" s="140"/>
      <c r="AM298" s="140"/>
    </row>
    <row r="299" spans="1:39" x14ac:dyDescent="0.2">
      <c r="A299" s="29">
        <f t="shared" ca="1" si="4"/>
        <v>46039</v>
      </c>
      <c r="B299" s="140">
        <f ca="1">SUMIFS('recurring2_based on steps'!$B299:$AY299,'recurring2_based on steps'!$B$1:$AY$1,B$1)+SUMIFS('changes2_based on steps'!$B299:$U299,'changes2_based on steps'!$B$1:$U$1,B$1)</f>
        <v>0</v>
      </c>
      <c r="C299" s="140">
        <f>SUMIFS('recurring2_based on steps'!$B299:$AY299,'recurring2_based on steps'!$B$1:$AY$1,C$1)+SUMIFS('changes2_based on steps'!$B299:$U299,'changes2_based on steps'!$B$1:$U$1,C$1)</f>
        <v>0</v>
      </c>
      <c r="D299" s="140">
        <f>SUMIFS('recurring2_based on steps'!$B299:$AY299,'recurring2_based on steps'!$B$1:$AY$1,D$1)+SUMIFS('changes2_based on steps'!$B299:$U299,'changes2_based on steps'!$B$1:$U$1,D$1)</f>
        <v>0</v>
      </c>
      <c r="E299" s="140">
        <f>SUMIFS('recurring2_based on steps'!$B299:$AY299,'recurring2_based on steps'!$B$1:$AY$1,E$1)+SUMIFS('changes2_based on steps'!$B299:$U299,'changes2_based on steps'!$B$1:$U$1,E$1)</f>
        <v>0</v>
      </c>
      <c r="F299" s="140">
        <f>SUMIFS('recurring2_based on steps'!$B299:$AY299,'recurring2_based on steps'!$B$1:$AY$1,F$1)+SUMIFS('changes2_based on steps'!$B299:$U299,'changes2_based on steps'!$B$1:$U$1,F$1)</f>
        <v>0</v>
      </c>
      <c r="G299" s="140">
        <f>SUMIFS('recurring2_based on steps'!$B299:$AY299,'recurring2_based on steps'!$B$1:$AY$1,G$1)+SUMIFS('changes2_based on steps'!$B299:$U299,'changes2_based on steps'!$B$1:$U$1,G$1)</f>
        <v>0</v>
      </c>
      <c r="H299" s="140">
        <f>SUMIFS('recurring2_based on steps'!$B299:$AY299,'recurring2_based on steps'!$B$1:$AY$1,H$1)+SUMIFS('changes2_based on steps'!$B299:$U299,'changes2_based on steps'!$B$1:$U$1,H$1)</f>
        <v>0</v>
      </c>
      <c r="I299" s="140">
        <f>SUMIFS('recurring2_based on steps'!$B299:$AY299,'recurring2_based on steps'!$B$1:$AY$1,I$1)+SUMIFS('changes2_based on steps'!$B299:$U299,'changes2_based on steps'!$B$1:$U$1,I$1)</f>
        <v>0</v>
      </c>
      <c r="J299" s="140">
        <f ca="1">SUMIFS('recurring2_based on steps'!$B299:$AY299,'recurring2_based on steps'!$B$1:$AY$1,J$1)+SUMIFS('changes2_based on steps'!$B299:$U299,'changes2_based on steps'!$B$1:$U$1,J$1)</f>
        <v>200</v>
      </c>
      <c r="K299" s="140">
        <f>SUMIFS('recurring2_based on steps'!$B299:$AY299,'recurring2_based on steps'!$B$1:$AY$1,K$1)+SUMIFS('changes2_based on steps'!$B299:$U299,'changes2_based on steps'!$B$1:$U$1,K$1)</f>
        <v>0</v>
      </c>
      <c r="L299" s="140">
        <f>SUMIFS('recurring2_based on steps'!$B299:$AY299,'recurring2_based on steps'!$B$1:$AY$1,L$1)+SUMIFS('changes2_based on steps'!$B299:$U299,'changes2_based on steps'!$B$1:$U$1,L$1)</f>
        <v>0</v>
      </c>
      <c r="M299" s="140">
        <f>SUMIFS('recurring2_based on steps'!$B299:$AY299,'recurring2_based on steps'!$B$1:$AY$1,M$1)+SUMIFS('changes2_based on steps'!$B299:$U299,'changes2_based on steps'!$B$1:$U$1,M$1)</f>
        <v>0</v>
      </c>
      <c r="N299" s="140">
        <f ca="1">SUMIFS('recurring2_based on steps'!$B299:$AY299,'recurring2_based on steps'!$B$1:$AY$1,N$1)+SUMIFS('changes2_based on steps'!$B299:$U299,'changes2_based on steps'!$B$1:$U$1,N$1)</f>
        <v>0</v>
      </c>
      <c r="O299" s="140">
        <f>SUMIFS('recurring2_based on steps'!$B299:$AY299,'recurring2_based on steps'!$B$1:$AY$1,O$1)+SUMIFS('changes2_based on steps'!$B299:$U299,'changes2_based on steps'!$B$1:$U$1,O$1)</f>
        <v>0</v>
      </c>
      <c r="P299" s="140">
        <f ca="1">SUMIFS('recurring2_based on steps'!$B299:$AY299,'recurring2_based on steps'!$B$1:$AY$1,P$1)+SUMIFS('changes2_based on steps'!$B299:$U299,'changes2_based on steps'!$B$1:$U$1,P$1)</f>
        <v>0</v>
      </c>
      <c r="Q299" s="140">
        <f ca="1">SUMIFS('recurring2_based on steps'!$B299:$AY299,'recurring2_based on steps'!$B$1:$AY$1,Q$1)+SUMIFS('changes2_based on steps'!$B299:$U299,'changes2_based on steps'!$B$1:$U$1,Q$1)</f>
        <v>100.05540166204986</v>
      </c>
      <c r="R299" s="140">
        <f ca="1">SUMIFS('recurring2_based on steps'!$B299:$AY299,'recurring2_based on steps'!$B$1:$AY$1,R$1)+SUMIFS('changes2_based on steps'!$B299:$U299,'changes2_based on steps'!$B$1:$U$1,R$1)</f>
        <v>15.49</v>
      </c>
      <c r="S299" s="140">
        <f>SUMIFS('recurring2_based on steps'!$B299:$AY299,'recurring2_based on steps'!$B$1:$AY$1,S$1)+SUMIFS('changes2_based on steps'!$B299:$U299,'changes2_based on steps'!$B$1:$U$1,S$1)</f>
        <v>0</v>
      </c>
      <c r="T299" s="140">
        <f ca="1">SUMIFS('recurring2_based on steps'!$B299:$AY299,'recurring2_based on steps'!$B$1:$AY$1,T$1)+SUMIFS('changes2_based on steps'!$B299:$U299,'changes2_based on steps'!$B$1:$U$1,T$1)</f>
        <v>0</v>
      </c>
      <c r="U299" s="140">
        <f ca="1">SUMIFS('recurring2_based on steps'!$B299:$AY299,'recurring2_based on steps'!$B$1:$AY$1,U$1)+SUMIFS('changes2_based on steps'!$B299:$U299,'changes2_based on steps'!$B$1:$U$1,U$1)</f>
        <v>0</v>
      </c>
      <c r="V299" s="140">
        <f>SUMIFS('recurring2_based on steps'!$B299:$AY299,'recurring2_based on steps'!$B$1:$AY$1,V$1)+SUMIFS('changes2_based on steps'!$B299:$U299,'changes2_based on steps'!$B$1:$U$1,V$1)</f>
        <v>0</v>
      </c>
      <c r="W299" s="140">
        <f>SUMIFS('recurring2_based on steps'!$B299:$AY299,'recurring2_based on steps'!$B$1:$AY$1,W$1)+SUMIFS('changes2_based on steps'!$B299:$U299,'changes2_based on steps'!$B$1:$U$1,W$1)</f>
        <v>0</v>
      </c>
      <c r="X299" s="140">
        <f ca="1">SUMIFS('recurring2_based on steps'!$B299:$AY299,'recurring2_based on steps'!$B$1:$AY$1,X$1)+SUMIFS('changes2_based on steps'!$B299:$U299,'changes2_based on steps'!$B$1:$U$1,X$1)</f>
        <v>0</v>
      </c>
      <c r="Y299" s="140">
        <f ca="1">SUMIFS('recurring2_based on steps'!$B299:$AY299,'recurring2_based on steps'!$B$1:$AY$1,Y$1)+SUMIFS('changes2_based on steps'!$B299:$U299,'changes2_based on steps'!$B$1:$U$1,Y$1)</f>
        <v>0</v>
      </c>
      <c r="Z299" s="140">
        <f>SUMIFS('recurring2_based on steps'!$B299:$AY299,'recurring2_based on steps'!$B$1:$AY$1,Z$1)+SUMIFS('changes2_based on steps'!$B299:$U299,'changes2_based on steps'!$B$1:$U$1,Z$1)</f>
        <v>0</v>
      </c>
      <c r="AA299" s="140">
        <f ca="1">SUMIFS('recurring2_based on steps'!$B299:$AY299,'recurring2_based on steps'!$B$1:$AY$1,AA$1)+SUMIFS('changes2_based on steps'!$B299:$U299,'changes2_based on steps'!$B$1:$U$1,AA$1)</f>
        <v>0</v>
      </c>
      <c r="AB299" s="140">
        <f ca="1">SUMIFS('recurring2_based on steps'!$B299:$AY299,'recurring2_based on steps'!$B$1:$AY$1,AB$1)+SUMIFS('changes2_based on steps'!$B299:$U299,'changes2_based on steps'!$B$1:$U$1,AB$1)</f>
        <v>100</v>
      </c>
      <c r="AC299" s="140">
        <f ca="1">SUMIFS('recurring2_based on steps'!$B299:$AY299,'recurring2_based on steps'!$B$1:$AY$1,AC$1)+SUMIFS('changes2_based on steps'!$B299:$U299,'changes2_based on steps'!$B$1:$U$1,AC$1)</f>
        <v>0</v>
      </c>
      <c r="AD299" s="140">
        <f ca="1">SUMIFS('recurring2_based on steps'!$B299:$AY299,'recurring2_based on steps'!$B$1:$AY$1,AD$1)+SUMIFS('changes2_based on steps'!$B299:$U299,'changes2_based on steps'!$B$1:$U$1,AD$1)</f>
        <v>0</v>
      </c>
      <c r="AE299" s="140">
        <f>SUMIFS('recurring2_based on steps'!$B299:$AY299,'recurring2_based on steps'!$B$1:$AY$1,AE$1)+SUMIFS('changes2_based on steps'!$B299:$U299,'changes2_based on steps'!$B$1:$U$1,AE$1)</f>
        <v>0</v>
      </c>
      <c r="AF299" s="140"/>
      <c r="AG299" s="140"/>
      <c r="AH299" s="140"/>
      <c r="AI299" s="140"/>
      <c r="AJ299" s="140"/>
      <c r="AK299" s="140"/>
      <c r="AL299" s="140"/>
      <c r="AM299" s="140"/>
    </row>
    <row r="300" spans="1:39" x14ac:dyDescent="0.2">
      <c r="A300" s="29">
        <f t="shared" ca="1" si="4"/>
        <v>46040</v>
      </c>
      <c r="B300" s="140">
        <f ca="1">SUMIFS('recurring2_based on steps'!$B300:$AY300,'recurring2_based on steps'!$B$1:$AY$1,B$1)+SUMIFS('changes2_based on steps'!$B300:$U300,'changes2_based on steps'!$B$1:$U$1,B$1)</f>
        <v>0</v>
      </c>
      <c r="C300" s="140">
        <f>SUMIFS('recurring2_based on steps'!$B300:$AY300,'recurring2_based on steps'!$B$1:$AY$1,C$1)+SUMIFS('changes2_based on steps'!$B300:$U300,'changes2_based on steps'!$B$1:$U$1,C$1)</f>
        <v>0</v>
      </c>
      <c r="D300" s="140">
        <f>SUMIFS('recurring2_based on steps'!$B300:$AY300,'recurring2_based on steps'!$B$1:$AY$1,D$1)+SUMIFS('changes2_based on steps'!$B300:$U300,'changes2_based on steps'!$B$1:$U$1,D$1)</f>
        <v>0</v>
      </c>
      <c r="E300" s="140">
        <f>SUMIFS('recurring2_based on steps'!$B300:$AY300,'recurring2_based on steps'!$B$1:$AY$1,E$1)+SUMIFS('changes2_based on steps'!$B300:$U300,'changes2_based on steps'!$B$1:$U$1,E$1)</f>
        <v>0</v>
      </c>
      <c r="F300" s="140">
        <f>SUMIFS('recurring2_based on steps'!$B300:$AY300,'recurring2_based on steps'!$B$1:$AY$1,F$1)+SUMIFS('changes2_based on steps'!$B300:$U300,'changes2_based on steps'!$B$1:$U$1,F$1)</f>
        <v>0</v>
      </c>
      <c r="G300" s="140">
        <f>SUMIFS('recurring2_based on steps'!$B300:$AY300,'recurring2_based on steps'!$B$1:$AY$1,G$1)+SUMIFS('changes2_based on steps'!$B300:$U300,'changes2_based on steps'!$B$1:$U$1,G$1)</f>
        <v>0</v>
      </c>
      <c r="H300" s="140">
        <f>SUMIFS('recurring2_based on steps'!$B300:$AY300,'recurring2_based on steps'!$B$1:$AY$1,H$1)+SUMIFS('changes2_based on steps'!$B300:$U300,'changes2_based on steps'!$B$1:$U$1,H$1)</f>
        <v>0</v>
      </c>
      <c r="I300" s="140">
        <f>SUMIFS('recurring2_based on steps'!$B300:$AY300,'recurring2_based on steps'!$B$1:$AY$1,I$1)+SUMIFS('changes2_based on steps'!$B300:$U300,'changes2_based on steps'!$B$1:$U$1,I$1)</f>
        <v>0</v>
      </c>
      <c r="J300" s="140">
        <f ca="1">SUMIFS('recurring2_based on steps'!$B300:$AY300,'recurring2_based on steps'!$B$1:$AY$1,J$1)+SUMIFS('changes2_based on steps'!$B300:$U300,'changes2_based on steps'!$B$1:$U$1,J$1)</f>
        <v>0</v>
      </c>
      <c r="K300" s="140">
        <f>SUMIFS('recurring2_based on steps'!$B300:$AY300,'recurring2_based on steps'!$B$1:$AY$1,K$1)+SUMIFS('changes2_based on steps'!$B300:$U300,'changes2_based on steps'!$B$1:$U$1,K$1)</f>
        <v>0</v>
      </c>
      <c r="L300" s="140">
        <f>SUMIFS('recurring2_based on steps'!$B300:$AY300,'recurring2_based on steps'!$B$1:$AY$1,L$1)+SUMIFS('changes2_based on steps'!$B300:$U300,'changes2_based on steps'!$B$1:$U$1,L$1)</f>
        <v>0</v>
      </c>
      <c r="M300" s="140">
        <f>SUMIFS('recurring2_based on steps'!$B300:$AY300,'recurring2_based on steps'!$B$1:$AY$1,M$1)+SUMIFS('changes2_based on steps'!$B300:$U300,'changes2_based on steps'!$B$1:$U$1,M$1)</f>
        <v>0</v>
      </c>
      <c r="N300" s="140">
        <f ca="1">SUMIFS('recurring2_based on steps'!$B300:$AY300,'recurring2_based on steps'!$B$1:$AY$1,N$1)+SUMIFS('changes2_based on steps'!$B300:$U300,'changes2_based on steps'!$B$1:$U$1,N$1)</f>
        <v>0</v>
      </c>
      <c r="O300" s="140">
        <f>SUMIFS('recurring2_based on steps'!$B300:$AY300,'recurring2_based on steps'!$B$1:$AY$1,O$1)+SUMIFS('changes2_based on steps'!$B300:$U300,'changes2_based on steps'!$B$1:$U$1,O$1)</f>
        <v>0</v>
      </c>
      <c r="P300" s="140">
        <f ca="1">SUMIFS('recurring2_based on steps'!$B300:$AY300,'recurring2_based on steps'!$B$1:$AY$1,P$1)+SUMIFS('changes2_based on steps'!$B300:$U300,'changes2_based on steps'!$B$1:$U$1,P$1)</f>
        <v>0</v>
      </c>
      <c r="Q300" s="140">
        <f ca="1">SUMIFS('recurring2_based on steps'!$B300:$AY300,'recurring2_based on steps'!$B$1:$AY$1,Q$1)+SUMIFS('changes2_based on steps'!$B300:$U300,'changes2_based on steps'!$B$1:$U$1,Q$1)</f>
        <v>100.05540166204986</v>
      </c>
      <c r="R300" s="140">
        <f ca="1">SUMIFS('recurring2_based on steps'!$B300:$AY300,'recurring2_based on steps'!$B$1:$AY$1,R$1)+SUMIFS('changes2_based on steps'!$B300:$U300,'changes2_based on steps'!$B$1:$U$1,R$1)</f>
        <v>10.99</v>
      </c>
      <c r="S300" s="140">
        <f>SUMIFS('recurring2_based on steps'!$B300:$AY300,'recurring2_based on steps'!$B$1:$AY$1,S$1)+SUMIFS('changes2_based on steps'!$B300:$U300,'changes2_based on steps'!$B$1:$U$1,S$1)</f>
        <v>0</v>
      </c>
      <c r="T300" s="140">
        <f ca="1">SUMIFS('recurring2_based on steps'!$B300:$AY300,'recurring2_based on steps'!$B$1:$AY$1,T$1)+SUMIFS('changes2_based on steps'!$B300:$U300,'changes2_based on steps'!$B$1:$U$1,T$1)</f>
        <v>0</v>
      </c>
      <c r="U300" s="140">
        <f ca="1">SUMIFS('recurring2_based on steps'!$B300:$AY300,'recurring2_based on steps'!$B$1:$AY$1,U$1)+SUMIFS('changes2_based on steps'!$B300:$U300,'changes2_based on steps'!$B$1:$U$1,U$1)</f>
        <v>0</v>
      </c>
      <c r="V300" s="140">
        <f>SUMIFS('recurring2_based on steps'!$B300:$AY300,'recurring2_based on steps'!$B$1:$AY$1,V$1)+SUMIFS('changes2_based on steps'!$B300:$U300,'changes2_based on steps'!$B$1:$U$1,V$1)</f>
        <v>0</v>
      </c>
      <c r="W300" s="140">
        <f>SUMIFS('recurring2_based on steps'!$B300:$AY300,'recurring2_based on steps'!$B$1:$AY$1,W$1)+SUMIFS('changes2_based on steps'!$B300:$U300,'changes2_based on steps'!$B$1:$U$1,W$1)</f>
        <v>0</v>
      </c>
      <c r="X300" s="140">
        <f ca="1">SUMIFS('recurring2_based on steps'!$B300:$AY300,'recurring2_based on steps'!$B$1:$AY$1,X$1)+SUMIFS('changes2_based on steps'!$B300:$U300,'changes2_based on steps'!$B$1:$U$1,X$1)</f>
        <v>0</v>
      </c>
      <c r="Y300" s="140">
        <f ca="1">SUMIFS('recurring2_based on steps'!$B300:$AY300,'recurring2_based on steps'!$B$1:$AY$1,Y$1)+SUMIFS('changes2_based on steps'!$B300:$U300,'changes2_based on steps'!$B$1:$U$1,Y$1)</f>
        <v>50</v>
      </c>
      <c r="Z300" s="140">
        <f>SUMIFS('recurring2_based on steps'!$B300:$AY300,'recurring2_based on steps'!$B$1:$AY$1,Z$1)+SUMIFS('changes2_based on steps'!$B300:$U300,'changes2_based on steps'!$B$1:$U$1,Z$1)</f>
        <v>0</v>
      </c>
      <c r="AA300" s="140">
        <f ca="1">SUMIFS('recurring2_based on steps'!$B300:$AY300,'recurring2_based on steps'!$B$1:$AY$1,AA$1)+SUMIFS('changes2_based on steps'!$B300:$U300,'changes2_based on steps'!$B$1:$U$1,AA$1)</f>
        <v>0</v>
      </c>
      <c r="AB300" s="140">
        <f ca="1">SUMIFS('recurring2_based on steps'!$B300:$AY300,'recurring2_based on steps'!$B$1:$AY$1,AB$1)+SUMIFS('changes2_based on steps'!$B300:$U300,'changes2_based on steps'!$B$1:$U$1,AB$1)</f>
        <v>0</v>
      </c>
      <c r="AC300" s="140">
        <f ca="1">SUMIFS('recurring2_based on steps'!$B300:$AY300,'recurring2_based on steps'!$B$1:$AY$1,AC$1)+SUMIFS('changes2_based on steps'!$B300:$U300,'changes2_based on steps'!$B$1:$U$1,AC$1)</f>
        <v>0</v>
      </c>
      <c r="AD300" s="140">
        <f ca="1">SUMIFS('recurring2_based on steps'!$B300:$AY300,'recurring2_based on steps'!$B$1:$AY$1,AD$1)+SUMIFS('changes2_based on steps'!$B300:$U300,'changes2_based on steps'!$B$1:$U$1,AD$1)</f>
        <v>0</v>
      </c>
      <c r="AE300" s="140">
        <f>SUMIFS('recurring2_based on steps'!$B300:$AY300,'recurring2_based on steps'!$B$1:$AY$1,AE$1)+SUMIFS('changes2_based on steps'!$B300:$U300,'changes2_based on steps'!$B$1:$U$1,AE$1)</f>
        <v>0</v>
      </c>
      <c r="AF300" s="140"/>
      <c r="AG300" s="140"/>
      <c r="AH300" s="140"/>
      <c r="AI300" s="140"/>
      <c r="AJ300" s="140"/>
      <c r="AK300" s="140"/>
      <c r="AL300" s="140"/>
      <c r="AM300" s="140"/>
    </row>
    <row r="301" spans="1:39" x14ac:dyDescent="0.2">
      <c r="A301" s="29">
        <f t="shared" ca="1" si="4"/>
        <v>46041</v>
      </c>
      <c r="B301" s="140">
        <f ca="1">SUMIFS('recurring2_based on steps'!$B301:$AY301,'recurring2_based on steps'!$B$1:$AY$1,B$1)+SUMIFS('changes2_based on steps'!$B301:$U301,'changes2_based on steps'!$B$1:$U$1,B$1)</f>
        <v>0</v>
      </c>
      <c r="C301" s="140">
        <f>SUMIFS('recurring2_based on steps'!$B301:$AY301,'recurring2_based on steps'!$B$1:$AY$1,C$1)+SUMIFS('changes2_based on steps'!$B301:$U301,'changes2_based on steps'!$B$1:$U$1,C$1)</f>
        <v>0</v>
      </c>
      <c r="D301" s="140">
        <f>SUMIFS('recurring2_based on steps'!$B301:$AY301,'recurring2_based on steps'!$B$1:$AY$1,D$1)+SUMIFS('changes2_based on steps'!$B301:$U301,'changes2_based on steps'!$B$1:$U$1,D$1)</f>
        <v>0</v>
      </c>
      <c r="E301" s="140">
        <f>SUMIFS('recurring2_based on steps'!$B301:$AY301,'recurring2_based on steps'!$B$1:$AY$1,E$1)+SUMIFS('changes2_based on steps'!$B301:$U301,'changes2_based on steps'!$B$1:$U$1,E$1)</f>
        <v>0</v>
      </c>
      <c r="F301" s="140">
        <f>SUMIFS('recurring2_based on steps'!$B301:$AY301,'recurring2_based on steps'!$B$1:$AY$1,F$1)+SUMIFS('changes2_based on steps'!$B301:$U301,'changes2_based on steps'!$B$1:$U$1,F$1)</f>
        <v>0</v>
      </c>
      <c r="G301" s="140">
        <f>SUMIFS('recurring2_based on steps'!$B301:$AY301,'recurring2_based on steps'!$B$1:$AY$1,G$1)+SUMIFS('changes2_based on steps'!$B301:$U301,'changes2_based on steps'!$B$1:$U$1,G$1)</f>
        <v>0</v>
      </c>
      <c r="H301" s="140">
        <f>SUMIFS('recurring2_based on steps'!$B301:$AY301,'recurring2_based on steps'!$B$1:$AY$1,H$1)+SUMIFS('changes2_based on steps'!$B301:$U301,'changes2_based on steps'!$B$1:$U$1,H$1)</f>
        <v>0</v>
      </c>
      <c r="I301" s="140">
        <f>SUMIFS('recurring2_based on steps'!$B301:$AY301,'recurring2_based on steps'!$B$1:$AY$1,I$1)+SUMIFS('changes2_based on steps'!$B301:$U301,'changes2_based on steps'!$B$1:$U$1,I$1)</f>
        <v>0</v>
      </c>
      <c r="J301" s="140">
        <f ca="1">SUMIFS('recurring2_based on steps'!$B301:$AY301,'recurring2_based on steps'!$B$1:$AY$1,J$1)+SUMIFS('changes2_based on steps'!$B301:$U301,'changes2_based on steps'!$B$1:$U$1,J$1)</f>
        <v>0</v>
      </c>
      <c r="K301" s="140">
        <f>SUMIFS('recurring2_based on steps'!$B301:$AY301,'recurring2_based on steps'!$B$1:$AY$1,K$1)+SUMIFS('changes2_based on steps'!$B301:$U301,'changes2_based on steps'!$B$1:$U$1,K$1)</f>
        <v>0</v>
      </c>
      <c r="L301" s="140">
        <f>SUMIFS('recurring2_based on steps'!$B301:$AY301,'recurring2_based on steps'!$B$1:$AY$1,L$1)+SUMIFS('changes2_based on steps'!$B301:$U301,'changes2_based on steps'!$B$1:$U$1,L$1)</f>
        <v>0</v>
      </c>
      <c r="M301" s="140">
        <f>SUMIFS('recurring2_based on steps'!$B301:$AY301,'recurring2_based on steps'!$B$1:$AY$1,M$1)+SUMIFS('changes2_based on steps'!$B301:$U301,'changes2_based on steps'!$B$1:$U$1,M$1)</f>
        <v>0</v>
      </c>
      <c r="N301" s="140">
        <f ca="1">SUMIFS('recurring2_based on steps'!$B301:$AY301,'recurring2_based on steps'!$B$1:$AY$1,N$1)+SUMIFS('changes2_based on steps'!$B301:$U301,'changes2_based on steps'!$B$1:$U$1,N$1)</f>
        <v>0</v>
      </c>
      <c r="O301" s="140">
        <f>SUMIFS('recurring2_based on steps'!$B301:$AY301,'recurring2_based on steps'!$B$1:$AY$1,O$1)+SUMIFS('changes2_based on steps'!$B301:$U301,'changes2_based on steps'!$B$1:$U$1,O$1)</f>
        <v>0</v>
      </c>
      <c r="P301" s="140">
        <f ca="1">SUMIFS('recurring2_based on steps'!$B301:$AY301,'recurring2_based on steps'!$B$1:$AY$1,P$1)+SUMIFS('changes2_based on steps'!$B301:$U301,'changes2_based on steps'!$B$1:$U$1,P$1)</f>
        <v>0</v>
      </c>
      <c r="Q301" s="140">
        <f ca="1">SUMIFS('recurring2_based on steps'!$B301:$AY301,'recurring2_based on steps'!$B$1:$AY$1,Q$1)+SUMIFS('changes2_based on steps'!$B301:$U301,'changes2_based on steps'!$B$1:$U$1,Q$1)</f>
        <v>5.5401662049861494E-2</v>
      </c>
      <c r="R301" s="140">
        <f ca="1">SUMIFS('recurring2_based on steps'!$B301:$AY301,'recurring2_based on steps'!$B$1:$AY$1,R$1)+SUMIFS('changes2_based on steps'!$B301:$U301,'changes2_based on steps'!$B$1:$U$1,R$1)</f>
        <v>0</v>
      </c>
      <c r="S301" s="140">
        <f>SUMIFS('recurring2_based on steps'!$B301:$AY301,'recurring2_based on steps'!$B$1:$AY$1,S$1)+SUMIFS('changes2_based on steps'!$B301:$U301,'changes2_based on steps'!$B$1:$U$1,S$1)</f>
        <v>0</v>
      </c>
      <c r="T301" s="140">
        <f ca="1">SUMIFS('recurring2_based on steps'!$B301:$AY301,'recurring2_based on steps'!$B$1:$AY$1,T$1)+SUMIFS('changes2_based on steps'!$B301:$U301,'changes2_based on steps'!$B$1:$U$1,T$1)</f>
        <v>0</v>
      </c>
      <c r="U301" s="140">
        <f ca="1">SUMIFS('recurring2_based on steps'!$B301:$AY301,'recurring2_based on steps'!$B$1:$AY$1,U$1)+SUMIFS('changes2_based on steps'!$B301:$U301,'changes2_based on steps'!$B$1:$U$1,U$1)</f>
        <v>0</v>
      </c>
      <c r="V301" s="140">
        <f>SUMIFS('recurring2_based on steps'!$B301:$AY301,'recurring2_based on steps'!$B$1:$AY$1,V$1)+SUMIFS('changes2_based on steps'!$B301:$U301,'changes2_based on steps'!$B$1:$U$1,V$1)</f>
        <v>0</v>
      </c>
      <c r="W301" s="140">
        <f>SUMIFS('recurring2_based on steps'!$B301:$AY301,'recurring2_based on steps'!$B$1:$AY$1,W$1)+SUMIFS('changes2_based on steps'!$B301:$U301,'changes2_based on steps'!$B$1:$U$1,W$1)</f>
        <v>0</v>
      </c>
      <c r="X301" s="140">
        <f ca="1">SUMIFS('recurring2_based on steps'!$B301:$AY301,'recurring2_based on steps'!$B$1:$AY$1,X$1)+SUMIFS('changes2_based on steps'!$B301:$U301,'changes2_based on steps'!$B$1:$U$1,X$1)</f>
        <v>0</v>
      </c>
      <c r="Y301" s="140">
        <f ca="1">SUMIFS('recurring2_based on steps'!$B301:$AY301,'recurring2_based on steps'!$B$1:$AY$1,Y$1)+SUMIFS('changes2_based on steps'!$B301:$U301,'changes2_based on steps'!$B$1:$U$1,Y$1)</f>
        <v>0</v>
      </c>
      <c r="Z301" s="140">
        <f>SUMIFS('recurring2_based on steps'!$B301:$AY301,'recurring2_based on steps'!$B$1:$AY$1,Z$1)+SUMIFS('changes2_based on steps'!$B301:$U301,'changes2_based on steps'!$B$1:$U$1,Z$1)</f>
        <v>0</v>
      </c>
      <c r="AA301" s="140">
        <f ca="1">SUMIFS('recurring2_based on steps'!$B301:$AY301,'recurring2_based on steps'!$B$1:$AY$1,AA$1)+SUMIFS('changes2_based on steps'!$B301:$U301,'changes2_based on steps'!$B$1:$U$1,AA$1)</f>
        <v>0</v>
      </c>
      <c r="AB301" s="140">
        <f ca="1">SUMIFS('recurring2_based on steps'!$B301:$AY301,'recurring2_based on steps'!$B$1:$AY$1,AB$1)+SUMIFS('changes2_based on steps'!$B301:$U301,'changes2_based on steps'!$B$1:$U$1,AB$1)</f>
        <v>0</v>
      </c>
      <c r="AC301" s="140">
        <f ca="1">SUMIFS('recurring2_based on steps'!$B301:$AY301,'recurring2_based on steps'!$B$1:$AY$1,AC$1)+SUMIFS('changes2_based on steps'!$B301:$U301,'changes2_based on steps'!$B$1:$U$1,AC$1)</f>
        <v>0</v>
      </c>
      <c r="AD301" s="140">
        <f ca="1">SUMIFS('recurring2_based on steps'!$B301:$AY301,'recurring2_based on steps'!$B$1:$AY$1,AD$1)+SUMIFS('changes2_based on steps'!$B301:$U301,'changes2_based on steps'!$B$1:$U$1,AD$1)</f>
        <v>0</v>
      </c>
      <c r="AE301" s="140">
        <f>SUMIFS('recurring2_based on steps'!$B301:$AY301,'recurring2_based on steps'!$B$1:$AY$1,AE$1)+SUMIFS('changes2_based on steps'!$B301:$U301,'changes2_based on steps'!$B$1:$U$1,AE$1)</f>
        <v>0</v>
      </c>
      <c r="AF301" s="140"/>
      <c r="AG301" s="140"/>
      <c r="AH301" s="140"/>
      <c r="AI301" s="140"/>
      <c r="AJ301" s="140"/>
      <c r="AK301" s="140"/>
      <c r="AL301" s="140"/>
      <c r="AM301" s="140"/>
    </row>
    <row r="302" spans="1:39" x14ac:dyDescent="0.2">
      <c r="A302" s="29">
        <f t="shared" ca="1" si="4"/>
        <v>46042</v>
      </c>
      <c r="B302" s="140">
        <f ca="1">SUMIFS('recurring2_based on steps'!$B302:$AY302,'recurring2_based on steps'!$B$1:$AY$1,B$1)+SUMIFS('changes2_based on steps'!$B302:$U302,'changes2_based on steps'!$B$1:$U$1,B$1)</f>
        <v>0</v>
      </c>
      <c r="C302" s="140">
        <f>SUMIFS('recurring2_based on steps'!$B302:$AY302,'recurring2_based on steps'!$B$1:$AY$1,C$1)+SUMIFS('changes2_based on steps'!$B302:$U302,'changes2_based on steps'!$B$1:$U$1,C$1)</f>
        <v>0</v>
      </c>
      <c r="D302" s="140">
        <f>SUMIFS('recurring2_based on steps'!$B302:$AY302,'recurring2_based on steps'!$B$1:$AY$1,D$1)+SUMIFS('changes2_based on steps'!$B302:$U302,'changes2_based on steps'!$B$1:$U$1,D$1)</f>
        <v>0</v>
      </c>
      <c r="E302" s="140">
        <f>SUMIFS('recurring2_based on steps'!$B302:$AY302,'recurring2_based on steps'!$B$1:$AY$1,E$1)+SUMIFS('changes2_based on steps'!$B302:$U302,'changes2_based on steps'!$B$1:$U$1,E$1)</f>
        <v>0</v>
      </c>
      <c r="F302" s="140">
        <f>SUMIFS('recurring2_based on steps'!$B302:$AY302,'recurring2_based on steps'!$B$1:$AY$1,F$1)+SUMIFS('changes2_based on steps'!$B302:$U302,'changes2_based on steps'!$B$1:$U$1,F$1)</f>
        <v>0</v>
      </c>
      <c r="G302" s="140">
        <f>SUMIFS('recurring2_based on steps'!$B302:$AY302,'recurring2_based on steps'!$B$1:$AY$1,G$1)+SUMIFS('changes2_based on steps'!$B302:$U302,'changes2_based on steps'!$B$1:$U$1,G$1)</f>
        <v>0</v>
      </c>
      <c r="H302" s="140">
        <f>SUMIFS('recurring2_based on steps'!$B302:$AY302,'recurring2_based on steps'!$B$1:$AY$1,H$1)+SUMIFS('changes2_based on steps'!$B302:$U302,'changes2_based on steps'!$B$1:$U$1,H$1)</f>
        <v>0</v>
      </c>
      <c r="I302" s="140">
        <f>SUMIFS('recurring2_based on steps'!$B302:$AY302,'recurring2_based on steps'!$B$1:$AY$1,I$1)+SUMIFS('changes2_based on steps'!$B302:$U302,'changes2_based on steps'!$B$1:$U$1,I$1)</f>
        <v>0</v>
      </c>
      <c r="J302" s="140">
        <f ca="1">SUMIFS('recurring2_based on steps'!$B302:$AY302,'recurring2_based on steps'!$B$1:$AY$1,J$1)+SUMIFS('changes2_based on steps'!$B302:$U302,'changes2_based on steps'!$B$1:$U$1,J$1)</f>
        <v>0</v>
      </c>
      <c r="K302" s="140">
        <f>SUMIFS('recurring2_based on steps'!$B302:$AY302,'recurring2_based on steps'!$B$1:$AY$1,K$1)+SUMIFS('changes2_based on steps'!$B302:$U302,'changes2_based on steps'!$B$1:$U$1,K$1)</f>
        <v>0</v>
      </c>
      <c r="L302" s="140">
        <f>SUMIFS('recurring2_based on steps'!$B302:$AY302,'recurring2_based on steps'!$B$1:$AY$1,L$1)+SUMIFS('changes2_based on steps'!$B302:$U302,'changes2_based on steps'!$B$1:$U$1,L$1)</f>
        <v>0</v>
      </c>
      <c r="M302" s="140">
        <f>SUMIFS('recurring2_based on steps'!$B302:$AY302,'recurring2_based on steps'!$B$1:$AY$1,M$1)+SUMIFS('changes2_based on steps'!$B302:$U302,'changes2_based on steps'!$B$1:$U$1,M$1)</f>
        <v>0</v>
      </c>
      <c r="N302" s="140">
        <f ca="1">SUMIFS('recurring2_based on steps'!$B302:$AY302,'recurring2_based on steps'!$B$1:$AY$1,N$1)+SUMIFS('changes2_based on steps'!$B302:$U302,'changes2_based on steps'!$B$1:$U$1,N$1)</f>
        <v>0</v>
      </c>
      <c r="O302" s="140">
        <f>SUMIFS('recurring2_based on steps'!$B302:$AY302,'recurring2_based on steps'!$B$1:$AY$1,O$1)+SUMIFS('changes2_based on steps'!$B302:$U302,'changes2_based on steps'!$B$1:$U$1,O$1)</f>
        <v>0</v>
      </c>
      <c r="P302" s="140">
        <f ca="1">SUMIFS('recurring2_based on steps'!$B302:$AY302,'recurring2_based on steps'!$B$1:$AY$1,P$1)+SUMIFS('changes2_based on steps'!$B302:$U302,'changes2_based on steps'!$B$1:$U$1,P$1)</f>
        <v>0</v>
      </c>
      <c r="Q302" s="140">
        <f ca="1">SUMIFS('recurring2_based on steps'!$B302:$AY302,'recurring2_based on steps'!$B$1:$AY$1,Q$1)+SUMIFS('changes2_based on steps'!$B302:$U302,'changes2_based on steps'!$B$1:$U$1,Q$1)</f>
        <v>5.5401662049861494E-2</v>
      </c>
      <c r="R302" s="140">
        <f ca="1">SUMIFS('recurring2_based on steps'!$B302:$AY302,'recurring2_based on steps'!$B$1:$AY$1,R$1)+SUMIFS('changes2_based on steps'!$B302:$U302,'changes2_based on steps'!$B$1:$U$1,R$1)</f>
        <v>5.8171745152354575</v>
      </c>
      <c r="S302" s="140">
        <f>SUMIFS('recurring2_based on steps'!$B302:$AY302,'recurring2_based on steps'!$B$1:$AY$1,S$1)+SUMIFS('changes2_based on steps'!$B302:$U302,'changes2_based on steps'!$B$1:$U$1,S$1)</f>
        <v>0</v>
      </c>
      <c r="T302" s="140">
        <f ca="1">SUMIFS('recurring2_based on steps'!$B302:$AY302,'recurring2_based on steps'!$B$1:$AY$1,T$1)+SUMIFS('changes2_based on steps'!$B302:$U302,'changes2_based on steps'!$B$1:$U$1,T$1)</f>
        <v>0</v>
      </c>
      <c r="U302" s="140">
        <f ca="1">SUMIFS('recurring2_based on steps'!$B302:$AY302,'recurring2_based on steps'!$B$1:$AY$1,U$1)+SUMIFS('changes2_based on steps'!$B302:$U302,'changes2_based on steps'!$B$1:$U$1,U$1)</f>
        <v>0</v>
      </c>
      <c r="V302" s="140">
        <f>SUMIFS('recurring2_based on steps'!$B302:$AY302,'recurring2_based on steps'!$B$1:$AY$1,V$1)+SUMIFS('changes2_based on steps'!$B302:$U302,'changes2_based on steps'!$B$1:$U$1,V$1)</f>
        <v>0</v>
      </c>
      <c r="W302" s="140">
        <f>SUMIFS('recurring2_based on steps'!$B302:$AY302,'recurring2_based on steps'!$B$1:$AY$1,W$1)+SUMIFS('changes2_based on steps'!$B302:$U302,'changes2_based on steps'!$B$1:$U$1,W$1)</f>
        <v>0</v>
      </c>
      <c r="X302" s="140">
        <f ca="1">SUMIFS('recurring2_based on steps'!$B302:$AY302,'recurring2_based on steps'!$B$1:$AY$1,X$1)+SUMIFS('changes2_based on steps'!$B302:$U302,'changes2_based on steps'!$B$1:$U$1,X$1)</f>
        <v>0</v>
      </c>
      <c r="Y302" s="140">
        <f ca="1">SUMIFS('recurring2_based on steps'!$B302:$AY302,'recurring2_based on steps'!$B$1:$AY$1,Y$1)+SUMIFS('changes2_based on steps'!$B302:$U302,'changes2_based on steps'!$B$1:$U$1,Y$1)</f>
        <v>0</v>
      </c>
      <c r="Z302" s="140">
        <f>SUMIFS('recurring2_based on steps'!$B302:$AY302,'recurring2_based on steps'!$B$1:$AY$1,Z$1)+SUMIFS('changes2_based on steps'!$B302:$U302,'changes2_based on steps'!$B$1:$U$1,Z$1)</f>
        <v>0</v>
      </c>
      <c r="AA302" s="140">
        <f ca="1">SUMIFS('recurring2_based on steps'!$B302:$AY302,'recurring2_based on steps'!$B$1:$AY$1,AA$1)+SUMIFS('changes2_based on steps'!$B302:$U302,'changes2_based on steps'!$B$1:$U$1,AA$1)</f>
        <v>0</v>
      </c>
      <c r="AB302" s="140">
        <f ca="1">SUMIFS('recurring2_based on steps'!$B302:$AY302,'recurring2_based on steps'!$B$1:$AY$1,AB$1)+SUMIFS('changes2_based on steps'!$B302:$U302,'changes2_based on steps'!$B$1:$U$1,AB$1)</f>
        <v>0</v>
      </c>
      <c r="AC302" s="140">
        <f ca="1">SUMIFS('recurring2_based on steps'!$B302:$AY302,'recurring2_based on steps'!$B$1:$AY$1,AC$1)+SUMIFS('changes2_based on steps'!$B302:$U302,'changes2_based on steps'!$B$1:$U$1,AC$1)</f>
        <v>0</v>
      </c>
      <c r="AD302" s="140">
        <f ca="1">SUMIFS('recurring2_based on steps'!$B302:$AY302,'recurring2_based on steps'!$B$1:$AY$1,AD$1)+SUMIFS('changes2_based on steps'!$B302:$U302,'changes2_based on steps'!$B$1:$U$1,AD$1)</f>
        <v>0</v>
      </c>
      <c r="AE302" s="140">
        <f>SUMIFS('recurring2_based on steps'!$B302:$AY302,'recurring2_based on steps'!$B$1:$AY$1,AE$1)+SUMIFS('changes2_based on steps'!$B302:$U302,'changes2_based on steps'!$B$1:$U$1,AE$1)</f>
        <v>0</v>
      </c>
      <c r="AF302" s="140"/>
      <c r="AG302" s="140"/>
      <c r="AH302" s="140"/>
      <c r="AI302" s="140"/>
      <c r="AJ302" s="140"/>
      <c r="AK302" s="140"/>
      <c r="AL302" s="140"/>
      <c r="AM302" s="140"/>
    </row>
    <row r="303" spans="1:39" x14ac:dyDescent="0.2">
      <c r="A303" s="29">
        <f t="shared" ca="1" si="4"/>
        <v>46043</v>
      </c>
      <c r="B303" s="140">
        <f ca="1">SUMIFS('recurring2_based on steps'!$B303:$AY303,'recurring2_based on steps'!$B$1:$AY$1,B$1)+SUMIFS('changes2_based on steps'!$B303:$U303,'changes2_based on steps'!$B$1:$U$1,B$1)</f>
        <v>0</v>
      </c>
      <c r="C303" s="140">
        <f>SUMIFS('recurring2_based on steps'!$B303:$AY303,'recurring2_based on steps'!$B$1:$AY$1,C$1)+SUMIFS('changes2_based on steps'!$B303:$U303,'changes2_based on steps'!$B$1:$U$1,C$1)</f>
        <v>0</v>
      </c>
      <c r="D303" s="140">
        <f>SUMIFS('recurring2_based on steps'!$B303:$AY303,'recurring2_based on steps'!$B$1:$AY$1,D$1)+SUMIFS('changes2_based on steps'!$B303:$U303,'changes2_based on steps'!$B$1:$U$1,D$1)</f>
        <v>0</v>
      </c>
      <c r="E303" s="140">
        <f>SUMIFS('recurring2_based on steps'!$B303:$AY303,'recurring2_based on steps'!$B$1:$AY$1,E$1)+SUMIFS('changes2_based on steps'!$B303:$U303,'changes2_based on steps'!$B$1:$U$1,E$1)</f>
        <v>0</v>
      </c>
      <c r="F303" s="140">
        <f>SUMIFS('recurring2_based on steps'!$B303:$AY303,'recurring2_based on steps'!$B$1:$AY$1,F$1)+SUMIFS('changes2_based on steps'!$B303:$U303,'changes2_based on steps'!$B$1:$U$1,F$1)</f>
        <v>0</v>
      </c>
      <c r="G303" s="140">
        <f>SUMIFS('recurring2_based on steps'!$B303:$AY303,'recurring2_based on steps'!$B$1:$AY$1,G$1)+SUMIFS('changes2_based on steps'!$B303:$U303,'changes2_based on steps'!$B$1:$U$1,G$1)</f>
        <v>0</v>
      </c>
      <c r="H303" s="140">
        <f>SUMIFS('recurring2_based on steps'!$B303:$AY303,'recurring2_based on steps'!$B$1:$AY$1,H$1)+SUMIFS('changes2_based on steps'!$B303:$U303,'changes2_based on steps'!$B$1:$U$1,H$1)</f>
        <v>0</v>
      </c>
      <c r="I303" s="140">
        <f>SUMIFS('recurring2_based on steps'!$B303:$AY303,'recurring2_based on steps'!$B$1:$AY$1,I$1)+SUMIFS('changes2_based on steps'!$B303:$U303,'changes2_based on steps'!$B$1:$U$1,I$1)</f>
        <v>0</v>
      </c>
      <c r="J303" s="140">
        <f ca="1">SUMIFS('recurring2_based on steps'!$B303:$AY303,'recurring2_based on steps'!$B$1:$AY$1,J$1)+SUMIFS('changes2_based on steps'!$B303:$U303,'changes2_based on steps'!$B$1:$U$1,J$1)</f>
        <v>0</v>
      </c>
      <c r="K303" s="140">
        <f>SUMIFS('recurring2_based on steps'!$B303:$AY303,'recurring2_based on steps'!$B$1:$AY$1,K$1)+SUMIFS('changes2_based on steps'!$B303:$U303,'changes2_based on steps'!$B$1:$U$1,K$1)</f>
        <v>0</v>
      </c>
      <c r="L303" s="140">
        <f>SUMIFS('recurring2_based on steps'!$B303:$AY303,'recurring2_based on steps'!$B$1:$AY$1,L$1)+SUMIFS('changes2_based on steps'!$B303:$U303,'changes2_based on steps'!$B$1:$U$1,L$1)</f>
        <v>0</v>
      </c>
      <c r="M303" s="140">
        <f>SUMIFS('recurring2_based on steps'!$B303:$AY303,'recurring2_based on steps'!$B$1:$AY$1,M$1)+SUMIFS('changes2_based on steps'!$B303:$U303,'changes2_based on steps'!$B$1:$U$1,M$1)</f>
        <v>0</v>
      </c>
      <c r="N303" s="140">
        <f ca="1">SUMIFS('recurring2_based on steps'!$B303:$AY303,'recurring2_based on steps'!$B$1:$AY$1,N$1)+SUMIFS('changes2_based on steps'!$B303:$U303,'changes2_based on steps'!$B$1:$U$1,N$1)</f>
        <v>0</v>
      </c>
      <c r="O303" s="140">
        <f>SUMIFS('recurring2_based on steps'!$B303:$AY303,'recurring2_based on steps'!$B$1:$AY$1,O$1)+SUMIFS('changes2_based on steps'!$B303:$U303,'changes2_based on steps'!$B$1:$U$1,O$1)</f>
        <v>0</v>
      </c>
      <c r="P303" s="140">
        <f ca="1">SUMIFS('recurring2_based on steps'!$B303:$AY303,'recurring2_based on steps'!$B$1:$AY$1,P$1)+SUMIFS('changes2_based on steps'!$B303:$U303,'changes2_based on steps'!$B$1:$U$1,P$1)</f>
        <v>0</v>
      </c>
      <c r="Q303" s="140">
        <f ca="1">SUMIFS('recurring2_based on steps'!$B303:$AY303,'recurring2_based on steps'!$B$1:$AY$1,Q$1)+SUMIFS('changes2_based on steps'!$B303:$U303,'changes2_based on steps'!$B$1:$U$1,Q$1)</f>
        <v>5.5401662049861494E-2</v>
      </c>
      <c r="R303" s="140">
        <f ca="1">SUMIFS('recurring2_based on steps'!$B303:$AY303,'recurring2_based on steps'!$B$1:$AY$1,R$1)+SUMIFS('changes2_based on steps'!$B303:$U303,'changes2_based on steps'!$B$1:$U$1,R$1)</f>
        <v>0</v>
      </c>
      <c r="S303" s="140">
        <f>SUMIFS('recurring2_based on steps'!$B303:$AY303,'recurring2_based on steps'!$B$1:$AY$1,S$1)+SUMIFS('changes2_based on steps'!$B303:$U303,'changes2_based on steps'!$B$1:$U$1,S$1)</f>
        <v>0</v>
      </c>
      <c r="T303" s="140">
        <f ca="1">SUMIFS('recurring2_based on steps'!$B303:$AY303,'recurring2_based on steps'!$B$1:$AY$1,T$1)+SUMIFS('changes2_based on steps'!$B303:$U303,'changes2_based on steps'!$B$1:$U$1,T$1)</f>
        <v>0</v>
      </c>
      <c r="U303" s="140">
        <f ca="1">SUMIFS('recurring2_based on steps'!$B303:$AY303,'recurring2_based on steps'!$B$1:$AY$1,U$1)+SUMIFS('changes2_based on steps'!$B303:$U303,'changes2_based on steps'!$B$1:$U$1,U$1)</f>
        <v>0</v>
      </c>
      <c r="V303" s="140">
        <f>SUMIFS('recurring2_based on steps'!$B303:$AY303,'recurring2_based on steps'!$B$1:$AY$1,V$1)+SUMIFS('changes2_based on steps'!$B303:$U303,'changes2_based on steps'!$B$1:$U$1,V$1)</f>
        <v>0</v>
      </c>
      <c r="W303" s="140">
        <f>SUMIFS('recurring2_based on steps'!$B303:$AY303,'recurring2_based on steps'!$B$1:$AY$1,W$1)+SUMIFS('changes2_based on steps'!$B303:$U303,'changes2_based on steps'!$B$1:$U$1,W$1)</f>
        <v>0</v>
      </c>
      <c r="X303" s="140">
        <f ca="1">SUMIFS('recurring2_based on steps'!$B303:$AY303,'recurring2_based on steps'!$B$1:$AY$1,X$1)+SUMIFS('changes2_based on steps'!$B303:$U303,'changes2_based on steps'!$B$1:$U$1,X$1)</f>
        <v>0</v>
      </c>
      <c r="Y303" s="140">
        <f ca="1">SUMIFS('recurring2_based on steps'!$B303:$AY303,'recurring2_based on steps'!$B$1:$AY$1,Y$1)+SUMIFS('changes2_based on steps'!$B303:$U303,'changes2_based on steps'!$B$1:$U$1,Y$1)</f>
        <v>0</v>
      </c>
      <c r="Z303" s="140">
        <f>SUMIFS('recurring2_based on steps'!$B303:$AY303,'recurring2_based on steps'!$B$1:$AY$1,Z$1)+SUMIFS('changes2_based on steps'!$B303:$U303,'changes2_based on steps'!$B$1:$U$1,Z$1)</f>
        <v>0</v>
      </c>
      <c r="AA303" s="140">
        <f ca="1">SUMIFS('recurring2_based on steps'!$B303:$AY303,'recurring2_based on steps'!$B$1:$AY$1,AA$1)+SUMIFS('changes2_based on steps'!$B303:$U303,'changes2_based on steps'!$B$1:$U$1,AA$1)</f>
        <v>0</v>
      </c>
      <c r="AB303" s="140">
        <f ca="1">SUMIFS('recurring2_based on steps'!$B303:$AY303,'recurring2_based on steps'!$B$1:$AY$1,AB$1)+SUMIFS('changes2_based on steps'!$B303:$U303,'changes2_based on steps'!$B$1:$U$1,AB$1)</f>
        <v>0</v>
      </c>
      <c r="AC303" s="140">
        <f ca="1">SUMIFS('recurring2_based on steps'!$B303:$AY303,'recurring2_based on steps'!$B$1:$AY$1,AC$1)+SUMIFS('changes2_based on steps'!$B303:$U303,'changes2_based on steps'!$B$1:$U$1,AC$1)</f>
        <v>0</v>
      </c>
      <c r="AD303" s="140">
        <f ca="1">SUMIFS('recurring2_based on steps'!$B303:$AY303,'recurring2_based on steps'!$B$1:$AY$1,AD$1)+SUMIFS('changes2_based on steps'!$B303:$U303,'changes2_based on steps'!$B$1:$U$1,AD$1)</f>
        <v>0</v>
      </c>
      <c r="AE303" s="140">
        <f>SUMIFS('recurring2_based on steps'!$B303:$AY303,'recurring2_based on steps'!$B$1:$AY$1,AE$1)+SUMIFS('changes2_based on steps'!$B303:$U303,'changes2_based on steps'!$B$1:$U$1,AE$1)</f>
        <v>0</v>
      </c>
      <c r="AF303" s="140"/>
      <c r="AG303" s="140"/>
      <c r="AH303" s="140"/>
      <c r="AI303" s="140"/>
      <c r="AJ303" s="140"/>
      <c r="AK303" s="140"/>
      <c r="AL303" s="140"/>
      <c r="AM303" s="140"/>
    </row>
    <row r="304" spans="1:39" x14ac:dyDescent="0.2">
      <c r="A304" s="29">
        <f t="shared" ca="1" si="4"/>
        <v>46044</v>
      </c>
      <c r="B304" s="140">
        <f ca="1">SUMIFS('recurring2_based on steps'!$B304:$AY304,'recurring2_based on steps'!$B$1:$AY$1,B$1)+SUMIFS('changes2_based on steps'!$B304:$U304,'changes2_based on steps'!$B$1:$U$1,B$1)</f>
        <v>0</v>
      </c>
      <c r="C304" s="140">
        <f>SUMIFS('recurring2_based on steps'!$B304:$AY304,'recurring2_based on steps'!$B$1:$AY$1,C$1)+SUMIFS('changes2_based on steps'!$B304:$U304,'changes2_based on steps'!$B$1:$U$1,C$1)</f>
        <v>0</v>
      </c>
      <c r="D304" s="140">
        <f>SUMIFS('recurring2_based on steps'!$B304:$AY304,'recurring2_based on steps'!$B$1:$AY$1,D$1)+SUMIFS('changes2_based on steps'!$B304:$U304,'changes2_based on steps'!$B$1:$U$1,D$1)</f>
        <v>0</v>
      </c>
      <c r="E304" s="140">
        <f>SUMIFS('recurring2_based on steps'!$B304:$AY304,'recurring2_based on steps'!$B$1:$AY$1,E$1)+SUMIFS('changes2_based on steps'!$B304:$U304,'changes2_based on steps'!$B$1:$U$1,E$1)</f>
        <v>0</v>
      </c>
      <c r="F304" s="140">
        <f>SUMIFS('recurring2_based on steps'!$B304:$AY304,'recurring2_based on steps'!$B$1:$AY$1,F$1)+SUMIFS('changes2_based on steps'!$B304:$U304,'changes2_based on steps'!$B$1:$U$1,F$1)</f>
        <v>0</v>
      </c>
      <c r="G304" s="140">
        <f>SUMIFS('recurring2_based on steps'!$B304:$AY304,'recurring2_based on steps'!$B$1:$AY$1,G$1)+SUMIFS('changes2_based on steps'!$B304:$U304,'changes2_based on steps'!$B$1:$U$1,G$1)</f>
        <v>0</v>
      </c>
      <c r="H304" s="140">
        <f>SUMIFS('recurring2_based on steps'!$B304:$AY304,'recurring2_based on steps'!$B$1:$AY$1,H$1)+SUMIFS('changes2_based on steps'!$B304:$U304,'changes2_based on steps'!$B$1:$U$1,H$1)</f>
        <v>0</v>
      </c>
      <c r="I304" s="140">
        <f>SUMIFS('recurring2_based on steps'!$B304:$AY304,'recurring2_based on steps'!$B$1:$AY$1,I$1)+SUMIFS('changes2_based on steps'!$B304:$U304,'changes2_based on steps'!$B$1:$U$1,I$1)</f>
        <v>0</v>
      </c>
      <c r="J304" s="140">
        <f ca="1">SUMIFS('recurring2_based on steps'!$B304:$AY304,'recurring2_based on steps'!$B$1:$AY$1,J$1)+SUMIFS('changes2_based on steps'!$B304:$U304,'changes2_based on steps'!$B$1:$U$1,J$1)</f>
        <v>0</v>
      </c>
      <c r="K304" s="140">
        <f>SUMIFS('recurring2_based on steps'!$B304:$AY304,'recurring2_based on steps'!$B$1:$AY$1,K$1)+SUMIFS('changes2_based on steps'!$B304:$U304,'changes2_based on steps'!$B$1:$U$1,K$1)</f>
        <v>0</v>
      </c>
      <c r="L304" s="140">
        <f>SUMIFS('recurring2_based on steps'!$B304:$AY304,'recurring2_based on steps'!$B$1:$AY$1,L$1)+SUMIFS('changes2_based on steps'!$B304:$U304,'changes2_based on steps'!$B$1:$U$1,L$1)</f>
        <v>0</v>
      </c>
      <c r="M304" s="140">
        <f>SUMIFS('recurring2_based on steps'!$B304:$AY304,'recurring2_based on steps'!$B$1:$AY$1,M$1)+SUMIFS('changes2_based on steps'!$B304:$U304,'changes2_based on steps'!$B$1:$U$1,M$1)</f>
        <v>0</v>
      </c>
      <c r="N304" s="140">
        <f ca="1">SUMIFS('recurring2_based on steps'!$B304:$AY304,'recurring2_based on steps'!$B$1:$AY$1,N$1)+SUMIFS('changes2_based on steps'!$B304:$U304,'changes2_based on steps'!$B$1:$U$1,N$1)</f>
        <v>0</v>
      </c>
      <c r="O304" s="140">
        <f>SUMIFS('recurring2_based on steps'!$B304:$AY304,'recurring2_based on steps'!$B$1:$AY$1,O$1)+SUMIFS('changes2_based on steps'!$B304:$U304,'changes2_based on steps'!$B$1:$U$1,O$1)</f>
        <v>0</v>
      </c>
      <c r="P304" s="140">
        <f ca="1">SUMIFS('recurring2_based on steps'!$B304:$AY304,'recurring2_based on steps'!$B$1:$AY$1,P$1)+SUMIFS('changes2_based on steps'!$B304:$U304,'changes2_based on steps'!$B$1:$U$1,P$1)</f>
        <v>0</v>
      </c>
      <c r="Q304" s="140">
        <f ca="1">SUMIFS('recurring2_based on steps'!$B304:$AY304,'recurring2_based on steps'!$B$1:$AY$1,Q$1)+SUMIFS('changes2_based on steps'!$B304:$U304,'changes2_based on steps'!$B$1:$U$1,Q$1)</f>
        <v>5.5401662049861494E-2</v>
      </c>
      <c r="R304" s="140">
        <f ca="1">SUMIFS('recurring2_based on steps'!$B304:$AY304,'recurring2_based on steps'!$B$1:$AY$1,R$1)+SUMIFS('changes2_based on steps'!$B304:$U304,'changes2_based on steps'!$B$1:$U$1,R$1)</f>
        <v>0</v>
      </c>
      <c r="S304" s="140">
        <f>SUMIFS('recurring2_based on steps'!$B304:$AY304,'recurring2_based on steps'!$B$1:$AY$1,S$1)+SUMIFS('changes2_based on steps'!$B304:$U304,'changes2_based on steps'!$B$1:$U$1,S$1)</f>
        <v>0</v>
      </c>
      <c r="T304" s="140">
        <f ca="1">SUMIFS('recurring2_based on steps'!$B304:$AY304,'recurring2_based on steps'!$B$1:$AY$1,T$1)+SUMIFS('changes2_based on steps'!$B304:$U304,'changes2_based on steps'!$B$1:$U$1,T$1)</f>
        <v>0</v>
      </c>
      <c r="U304" s="140">
        <f ca="1">SUMIFS('recurring2_based on steps'!$B304:$AY304,'recurring2_based on steps'!$B$1:$AY$1,U$1)+SUMIFS('changes2_based on steps'!$B304:$U304,'changes2_based on steps'!$B$1:$U$1,U$1)</f>
        <v>0</v>
      </c>
      <c r="V304" s="140">
        <f>SUMIFS('recurring2_based on steps'!$B304:$AY304,'recurring2_based on steps'!$B$1:$AY$1,V$1)+SUMIFS('changes2_based on steps'!$B304:$U304,'changes2_based on steps'!$B$1:$U$1,V$1)</f>
        <v>0</v>
      </c>
      <c r="W304" s="140">
        <f>SUMIFS('recurring2_based on steps'!$B304:$AY304,'recurring2_based on steps'!$B$1:$AY$1,W$1)+SUMIFS('changes2_based on steps'!$B304:$U304,'changes2_based on steps'!$B$1:$U$1,W$1)</f>
        <v>0</v>
      </c>
      <c r="X304" s="140">
        <f ca="1">SUMIFS('recurring2_based on steps'!$B304:$AY304,'recurring2_based on steps'!$B$1:$AY$1,X$1)+SUMIFS('changes2_based on steps'!$B304:$U304,'changes2_based on steps'!$B$1:$U$1,X$1)</f>
        <v>0</v>
      </c>
      <c r="Y304" s="140">
        <f ca="1">SUMIFS('recurring2_based on steps'!$B304:$AY304,'recurring2_based on steps'!$B$1:$AY$1,Y$1)+SUMIFS('changes2_based on steps'!$B304:$U304,'changes2_based on steps'!$B$1:$U$1,Y$1)</f>
        <v>0</v>
      </c>
      <c r="Z304" s="140">
        <f>SUMIFS('recurring2_based on steps'!$B304:$AY304,'recurring2_based on steps'!$B$1:$AY$1,Z$1)+SUMIFS('changes2_based on steps'!$B304:$U304,'changes2_based on steps'!$B$1:$U$1,Z$1)</f>
        <v>0</v>
      </c>
      <c r="AA304" s="140">
        <f ca="1">SUMIFS('recurring2_based on steps'!$B304:$AY304,'recurring2_based on steps'!$B$1:$AY$1,AA$1)+SUMIFS('changes2_based on steps'!$B304:$U304,'changes2_based on steps'!$B$1:$U$1,AA$1)</f>
        <v>0</v>
      </c>
      <c r="AB304" s="140">
        <f ca="1">SUMIFS('recurring2_based on steps'!$B304:$AY304,'recurring2_based on steps'!$B$1:$AY$1,AB$1)+SUMIFS('changes2_based on steps'!$B304:$U304,'changes2_based on steps'!$B$1:$U$1,AB$1)</f>
        <v>0</v>
      </c>
      <c r="AC304" s="140">
        <f ca="1">SUMIFS('recurring2_based on steps'!$B304:$AY304,'recurring2_based on steps'!$B$1:$AY$1,AC$1)+SUMIFS('changes2_based on steps'!$B304:$U304,'changes2_based on steps'!$B$1:$U$1,AC$1)</f>
        <v>0</v>
      </c>
      <c r="AD304" s="140">
        <f ca="1">SUMIFS('recurring2_based on steps'!$B304:$AY304,'recurring2_based on steps'!$B$1:$AY$1,AD$1)+SUMIFS('changes2_based on steps'!$B304:$U304,'changes2_based on steps'!$B$1:$U$1,AD$1)</f>
        <v>0</v>
      </c>
      <c r="AE304" s="140">
        <f>SUMIFS('recurring2_based on steps'!$B304:$AY304,'recurring2_based on steps'!$B$1:$AY$1,AE$1)+SUMIFS('changes2_based on steps'!$B304:$U304,'changes2_based on steps'!$B$1:$U$1,AE$1)</f>
        <v>0</v>
      </c>
      <c r="AF304" s="140"/>
      <c r="AG304" s="140"/>
      <c r="AH304" s="140"/>
      <c r="AI304" s="140"/>
      <c r="AJ304" s="140"/>
      <c r="AK304" s="140"/>
      <c r="AL304" s="140"/>
      <c r="AM304" s="140"/>
    </row>
    <row r="305" spans="1:39" x14ac:dyDescent="0.2">
      <c r="A305" s="29">
        <f t="shared" ca="1" si="4"/>
        <v>46045</v>
      </c>
      <c r="B305" s="140">
        <f ca="1">SUMIFS('recurring2_based on steps'!$B305:$AY305,'recurring2_based on steps'!$B$1:$AY$1,B$1)+SUMIFS('changes2_based on steps'!$B305:$U305,'changes2_based on steps'!$B$1:$U$1,B$1)</f>
        <v>4000</v>
      </c>
      <c r="C305" s="140">
        <f>SUMIFS('recurring2_based on steps'!$B305:$AY305,'recurring2_based on steps'!$B$1:$AY$1,C$1)+SUMIFS('changes2_based on steps'!$B305:$U305,'changes2_based on steps'!$B$1:$U$1,C$1)</f>
        <v>0</v>
      </c>
      <c r="D305" s="140">
        <f>SUMIFS('recurring2_based on steps'!$B305:$AY305,'recurring2_based on steps'!$B$1:$AY$1,D$1)+SUMIFS('changes2_based on steps'!$B305:$U305,'changes2_based on steps'!$B$1:$U$1,D$1)</f>
        <v>0</v>
      </c>
      <c r="E305" s="140">
        <f>SUMIFS('recurring2_based on steps'!$B305:$AY305,'recurring2_based on steps'!$B$1:$AY$1,E$1)+SUMIFS('changes2_based on steps'!$B305:$U305,'changes2_based on steps'!$B$1:$U$1,E$1)</f>
        <v>0</v>
      </c>
      <c r="F305" s="140">
        <f>SUMIFS('recurring2_based on steps'!$B305:$AY305,'recurring2_based on steps'!$B$1:$AY$1,F$1)+SUMIFS('changes2_based on steps'!$B305:$U305,'changes2_based on steps'!$B$1:$U$1,F$1)</f>
        <v>0</v>
      </c>
      <c r="G305" s="140">
        <f>SUMIFS('recurring2_based on steps'!$B305:$AY305,'recurring2_based on steps'!$B$1:$AY$1,G$1)+SUMIFS('changes2_based on steps'!$B305:$U305,'changes2_based on steps'!$B$1:$U$1,G$1)</f>
        <v>0</v>
      </c>
      <c r="H305" s="140">
        <f>SUMIFS('recurring2_based on steps'!$B305:$AY305,'recurring2_based on steps'!$B$1:$AY$1,H$1)+SUMIFS('changes2_based on steps'!$B305:$U305,'changes2_based on steps'!$B$1:$U$1,H$1)</f>
        <v>0</v>
      </c>
      <c r="I305" s="140">
        <f>SUMIFS('recurring2_based on steps'!$B305:$AY305,'recurring2_based on steps'!$B$1:$AY$1,I$1)+SUMIFS('changes2_based on steps'!$B305:$U305,'changes2_based on steps'!$B$1:$U$1,I$1)</f>
        <v>0</v>
      </c>
      <c r="J305" s="140">
        <f ca="1">SUMIFS('recurring2_based on steps'!$B305:$AY305,'recurring2_based on steps'!$B$1:$AY$1,J$1)+SUMIFS('changes2_based on steps'!$B305:$U305,'changes2_based on steps'!$B$1:$U$1,J$1)</f>
        <v>0</v>
      </c>
      <c r="K305" s="140">
        <f>SUMIFS('recurring2_based on steps'!$B305:$AY305,'recurring2_based on steps'!$B$1:$AY$1,K$1)+SUMIFS('changes2_based on steps'!$B305:$U305,'changes2_based on steps'!$B$1:$U$1,K$1)</f>
        <v>0</v>
      </c>
      <c r="L305" s="140">
        <f>SUMIFS('recurring2_based on steps'!$B305:$AY305,'recurring2_based on steps'!$B$1:$AY$1,L$1)+SUMIFS('changes2_based on steps'!$B305:$U305,'changes2_based on steps'!$B$1:$U$1,L$1)</f>
        <v>0</v>
      </c>
      <c r="M305" s="140">
        <f>SUMIFS('recurring2_based on steps'!$B305:$AY305,'recurring2_based on steps'!$B$1:$AY$1,M$1)+SUMIFS('changes2_based on steps'!$B305:$U305,'changes2_based on steps'!$B$1:$U$1,M$1)</f>
        <v>0</v>
      </c>
      <c r="N305" s="140">
        <f ca="1">SUMIFS('recurring2_based on steps'!$B305:$AY305,'recurring2_based on steps'!$B$1:$AY$1,N$1)+SUMIFS('changes2_based on steps'!$B305:$U305,'changes2_based on steps'!$B$1:$U$1,N$1)</f>
        <v>0</v>
      </c>
      <c r="O305" s="140">
        <f>SUMIFS('recurring2_based on steps'!$B305:$AY305,'recurring2_based on steps'!$B$1:$AY$1,O$1)+SUMIFS('changes2_based on steps'!$B305:$U305,'changes2_based on steps'!$B$1:$U$1,O$1)</f>
        <v>0</v>
      </c>
      <c r="P305" s="140">
        <f ca="1">SUMIFS('recurring2_based on steps'!$B305:$AY305,'recurring2_based on steps'!$B$1:$AY$1,P$1)+SUMIFS('changes2_based on steps'!$B305:$U305,'changes2_based on steps'!$B$1:$U$1,P$1)</f>
        <v>0</v>
      </c>
      <c r="Q305" s="140">
        <f ca="1">SUMIFS('recurring2_based on steps'!$B305:$AY305,'recurring2_based on steps'!$B$1:$AY$1,Q$1)+SUMIFS('changes2_based on steps'!$B305:$U305,'changes2_based on steps'!$B$1:$U$1,Q$1)</f>
        <v>5.5401662049861494E-2</v>
      </c>
      <c r="R305" s="140">
        <f ca="1">SUMIFS('recurring2_based on steps'!$B305:$AY305,'recurring2_based on steps'!$B$1:$AY$1,R$1)+SUMIFS('changes2_based on steps'!$B305:$U305,'changes2_based on steps'!$B$1:$U$1,R$1)</f>
        <v>0</v>
      </c>
      <c r="S305" s="140">
        <f>SUMIFS('recurring2_based on steps'!$B305:$AY305,'recurring2_based on steps'!$B$1:$AY$1,S$1)+SUMIFS('changes2_based on steps'!$B305:$U305,'changes2_based on steps'!$B$1:$U$1,S$1)</f>
        <v>0</v>
      </c>
      <c r="T305" s="140">
        <f ca="1">SUMIFS('recurring2_based on steps'!$B305:$AY305,'recurring2_based on steps'!$B$1:$AY$1,T$1)+SUMIFS('changes2_based on steps'!$B305:$U305,'changes2_based on steps'!$B$1:$U$1,T$1)</f>
        <v>50</v>
      </c>
      <c r="U305" s="140">
        <f ca="1">SUMIFS('recurring2_based on steps'!$B305:$AY305,'recurring2_based on steps'!$B$1:$AY$1,U$1)+SUMIFS('changes2_based on steps'!$B305:$U305,'changes2_based on steps'!$B$1:$U$1,U$1)</f>
        <v>200</v>
      </c>
      <c r="V305" s="140">
        <f>SUMIFS('recurring2_based on steps'!$B305:$AY305,'recurring2_based on steps'!$B$1:$AY$1,V$1)+SUMIFS('changes2_based on steps'!$B305:$U305,'changes2_based on steps'!$B$1:$U$1,V$1)</f>
        <v>0</v>
      </c>
      <c r="W305" s="140">
        <f>SUMIFS('recurring2_based on steps'!$B305:$AY305,'recurring2_based on steps'!$B$1:$AY$1,W$1)+SUMIFS('changes2_based on steps'!$B305:$U305,'changes2_based on steps'!$B$1:$U$1,W$1)</f>
        <v>0</v>
      </c>
      <c r="X305" s="140">
        <f ca="1">SUMIFS('recurring2_based on steps'!$B305:$AY305,'recurring2_based on steps'!$B$1:$AY$1,X$1)+SUMIFS('changes2_based on steps'!$B305:$U305,'changes2_based on steps'!$B$1:$U$1,X$1)</f>
        <v>96</v>
      </c>
      <c r="Y305" s="140">
        <f ca="1">SUMIFS('recurring2_based on steps'!$B305:$AY305,'recurring2_based on steps'!$B$1:$AY$1,Y$1)+SUMIFS('changes2_based on steps'!$B305:$U305,'changes2_based on steps'!$B$1:$U$1,Y$1)</f>
        <v>0</v>
      </c>
      <c r="Z305" s="140">
        <f>SUMIFS('recurring2_based on steps'!$B305:$AY305,'recurring2_based on steps'!$B$1:$AY$1,Z$1)+SUMIFS('changes2_based on steps'!$B305:$U305,'changes2_based on steps'!$B$1:$U$1,Z$1)</f>
        <v>0</v>
      </c>
      <c r="AA305" s="140">
        <f ca="1">SUMIFS('recurring2_based on steps'!$B305:$AY305,'recurring2_based on steps'!$B$1:$AY$1,AA$1)+SUMIFS('changes2_based on steps'!$B305:$U305,'changes2_based on steps'!$B$1:$U$1,AA$1)</f>
        <v>0</v>
      </c>
      <c r="AB305" s="140">
        <f ca="1">SUMIFS('recurring2_based on steps'!$B305:$AY305,'recurring2_based on steps'!$B$1:$AY$1,AB$1)+SUMIFS('changes2_based on steps'!$B305:$U305,'changes2_based on steps'!$B$1:$U$1,AB$1)</f>
        <v>0</v>
      </c>
      <c r="AC305" s="140">
        <f ca="1">SUMIFS('recurring2_based on steps'!$B305:$AY305,'recurring2_based on steps'!$B$1:$AY$1,AC$1)+SUMIFS('changes2_based on steps'!$B305:$U305,'changes2_based on steps'!$B$1:$U$1,AC$1)</f>
        <v>0</v>
      </c>
      <c r="AD305" s="140">
        <f ca="1">SUMIFS('recurring2_based on steps'!$B305:$AY305,'recurring2_based on steps'!$B$1:$AY$1,AD$1)+SUMIFS('changes2_based on steps'!$B305:$U305,'changes2_based on steps'!$B$1:$U$1,AD$1)</f>
        <v>50</v>
      </c>
      <c r="AE305" s="140">
        <f>SUMIFS('recurring2_based on steps'!$B305:$AY305,'recurring2_based on steps'!$B$1:$AY$1,AE$1)+SUMIFS('changes2_based on steps'!$B305:$U305,'changes2_based on steps'!$B$1:$U$1,AE$1)</f>
        <v>0</v>
      </c>
      <c r="AF305" s="140"/>
      <c r="AG305" s="140"/>
      <c r="AH305" s="140"/>
      <c r="AI305" s="140"/>
      <c r="AJ305" s="140"/>
      <c r="AK305" s="140"/>
      <c r="AL305" s="140"/>
      <c r="AM305" s="140"/>
    </row>
    <row r="306" spans="1:39" x14ac:dyDescent="0.2">
      <c r="A306" s="29">
        <f t="shared" ca="1" si="4"/>
        <v>46046</v>
      </c>
      <c r="B306" s="140">
        <f ca="1">SUMIFS('recurring2_based on steps'!$B306:$AY306,'recurring2_based on steps'!$B$1:$AY$1,B$1)+SUMIFS('changes2_based on steps'!$B306:$U306,'changes2_based on steps'!$B$1:$U$1,B$1)</f>
        <v>0</v>
      </c>
      <c r="C306" s="140">
        <f>SUMIFS('recurring2_based on steps'!$B306:$AY306,'recurring2_based on steps'!$B$1:$AY$1,C$1)+SUMIFS('changes2_based on steps'!$B306:$U306,'changes2_based on steps'!$B$1:$U$1,C$1)</f>
        <v>0</v>
      </c>
      <c r="D306" s="140">
        <f>SUMIFS('recurring2_based on steps'!$B306:$AY306,'recurring2_based on steps'!$B$1:$AY$1,D$1)+SUMIFS('changes2_based on steps'!$B306:$U306,'changes2_based on steps'!$B$1:$U$1,D$1)</f>
        <v>0</v>
      </c>
      <c r="E306" s="140">
        <f>SUMIFS('recurring2_based on steps'!$B306:$AY306,'recurring2_based on steps'!$B$1:$AY$1,E$1)+SUMIFS('changes2_based on steps'!$B306:$U306,'changes2_based on steps'!$B$1:$U$1,E$1)</f>
        <v>0</v>
      </c>
      <c r="F306" s="140">
        <f>SUMIFS('recurring2_based on steps'!$B306:$AY306,'recurring2_based on steps'!$B$1:$AY$1,F$1)+SUMIFS('changes2_based on steps'!$B306:$U306,'changes2_based on steps'!$B$1:$U$1,F$1)</f>
        <v>0</v>
      </c>
      <c r="G306" s="140">
        <f>SUMIFS('recurring2_based on steps'!$B306:$AY306,'recurring2_based on steps'!$B$1:$AY$1,G$1)+SUMIFS('changes2_based on steps'!$B306:$U306,'changes2_based on steps'!$B$1:$U$1,G$1)</f>
        <v>0</v>
      </c>
      <c r="H306" s="140">
        <f>SUMIFS('recurring2_based on steps'!$B306:$AY306,'recurring2_based on steps'!$B$1:$AY$1,H$1)+SUMIFS('changes2_based on steps'!$B306:$U306,'changes2_based on steps'!$B$1:$U$1,H$1)</f>
        <v>0</v>
      </c>
      <c r="I306" s="140">
        <f>SUMIFS('recurring2_based on steps'!$B306:$AY306,'recurring2_based on steps'!$B$1:$AY$1,I$1)+SUMIFS('changes2_based on steps'!$B306:$U306,'changes2_based on steps'!$B$1:$U$1,I$1)</f>
        <v>0</v>
      </c>
      <c r="J306" s="140">
        <f ca="1">SUMIFS('recurring2_based on steps'!$B306:$AY306,'recurring2_based on steps'!$B$1:$AY$1,J$1)+SUMIFS('changes2_based on steps'!$B306:$U306,'changes2_based on steps'!$B$1:$U$1,J$1)</f>
        <v>0</v>
      </c>
      <c r="K306" s="140">
        <f>SUMIFS('recurring2_based on steps'!$B306:$AY306,'recurring2_based on steps'!$B$1:$AY$1,K$1)+SUMIFS('changes2_based on steps'!$B306:$U306,'changes2_based on steps'!$B$1:$U$1,K$1)</f>
        <v>0</v>
      </c>
      <c r="L306" s="140">
        <f>SUMIFS('recurring2_based on steps'!$B306:$AY306,'recurring2_based on steps'!$B$1:$AY$1,L$1)+SUMIFS('changes2_based on steps'!$B306:$U306,'changes2_based on steps'!$B$1:$U$1,L$1)</f>
        <v>0</v>
      </c>
      <c r="M306" s="140">
        <f>SUMIFS('recurring2_based on steps'!$B306:$AY306,'recurring2_based on steps'!$B$1:$AY$1,M$1)+SUMIFS('changes2_based on steps'!$B306:$U306,'changes2_based on steps'!$B$1:$U$1,M$1)</f>
        <v>0</v>
      </c>
      <c r="N306" s="140">
        <f ca="1">SUMIFS('recurring2_based on steps'!$B306:$AY306,'recurring2_based on steps'!$B$1:$AY$1,N$1)+SUMIFS('changes2_based on steps'!$B306:$U306,'changes2_based on steps'!$B$1:$U$1,N$1)</f>
        <v>0</v>
      </c>
      <c r="O306" s="140">
        <f>SUMIFS('recurring2_based on steps'!$B306:$AY306,'recurring2_based on steps'!$B$1:$AY$1,O$1)+SUMIFS('changes2_based on steps'!$B306:$U306,'changes2_based on steps'!$B$1:$U$1,O$1)</f>
        <v>0</v>
      </c>
      <c r="P306" s="140">
        <f ca="1">SUMIFS('recurring2_based on steps'!$B306:$AY306,'recurring2_based on steps'!$B$1:$AY$1,P$1)+SUMIFS('changes2_based on steps'!$B306:$U306,'changes2_based on steps'!$B$1:$U$1,P$1)</f>
        <v>0</v>
      </c>
      <c r="Q306" s="140">
        <f ca="1">SUMIFS('recurring2_based on steps'!$B306:$AY306,'recurring2_based on steps'!$B$1:$AY$1,Q$1)+SUMIFS('changes2_based on steps'!$B306:$U306,'changes2_based on steps'!$B$1:$U$1,Q$1)</f>
        <v>100.05540166204986</v>
      </c>
      <c r="R306" s="140">
        <f ca="1">SUMIFS('recurring2_based on steps'!$B306:$AY306,'recurring2_based on steps'!$B$1:$AY$1,R$1)+SUMIFS('changes2_based on steps'!$B306:$U306,'changes2_based on steps'!$B$1:$U$1,R$1)</f>
        <v>0</v>
      </c>
      <c r="S306" s="140">
        <f>SUMIFS('recurring2_based on steps'!$B306:$AY306,'recurring2_based on steps'!$B$1:$AY$1,S$1)+SUMIFS('changes2_based on steps'!$B306:$U306,'changes2_based on steps'!$B$1:$U$1,S$1)</f>
        <v>0</v>
      </c>
      <c r="T306" s="140">
        <f ca="1">SUMIFS('recurring2_based on steps'!$B306:$AY306,'recurring2_based on steps'!$B$1:$AY$1,T$1)+SUMIFS('changes2_based on steps'!$B306:$U306,'changes2_based on steps'!$B$1:$U$1,T$1)</f>
        <v>0</v>
      </c>
      <c r="U306" s="140">
        <f ca="1">SUMIFS('recurring2_based on steps'!$B306:$AY306,'recurring2_based on steps'!$B$1:$AY$1,U$1)+SUMIFS('changes2_based on steps'!$B306:$U306,'changes2_based on steps'!$B$1:$U$1,U$1)</f>
        <v>0</v>
      </c>
      <c r="V306" s="140">
        <f>SUMIFS('recurring2_based on steps'!$B306:$AY306,'recurring2_based on steps'!$B$1:$AY$1,V$1)+SUMIFS('changes2_based on steps'!$B306:$U306,'changes2_based on steps'!$B$1:$U$1,V$1)</f>
        <v>0</v>
      </c>
      <c r="W306" s="140">
        <f>SUMIFS('recurring2_based on steps'!$B306:$AY306,'recurring2_based on steps'!$B$1:$AY$1,W$1)+SUMIFS('changes2_based on steps'!$B306:$U306,'changes2_based on steps'!$B$1:$U$1,W$1)</f>
        <v>0</v>
      </c>
      <c r="X306" s="140">
        <f ca="1">SUMIFS('recurring2_based on steps'!$B306:$AY306,'recurring2_based on steps'!$B$1:$AY$1,X$1)+SUMIFS('changes2_based on steps'!$B306:$U306,'changes2_based on steps'!$B$1:$U$1,X$1)</f>
        <v>0</v>
      </c>
      <c r="Y306" s="140">
        <f ca="1">SUMIFS('recurring2_based on steps'!$B306:$AY306,'recurring2_based on steps'!$B$1:$AY$1,Y$1)+SUMIFS('changes2_based on steps'!$B306:$U306,'changes2_based on steps'!$B$1:$U$1,Y$1)</f>
        <v>0</v>
      </c>
      <c r="Z306" s="140">
        <f>SUMIFS('recurring2_based on steps'!$B306:$AY306,'recurring2_based on steps'!$B$1:$AY$1,Z$1)+SUMIFS('changes2_based on steps'!$B306:$U306,'changes2_based on steps'!$B$1:$U$1,Z$1)</f>
        <v>0</v>
      </c>
      <c r="AA306" s="140">
        <f ca="1">SUMIFS('recurring2_based on steps'!$B306:$AY306,'recurring2_based on steps'!$B$1:$AY$1,AA$1)+SUMIFS('changes2_based on steps'!$B306:$U306,'changes2_based on steps'!$B$1:$U$1,AA$1)</f>
        <v>0</v>
      </c>
      <c r="AB306" s="140">
        <f ca="1">SUMIFS('recurring2_based on steps'!$B306:$AY306,'recurring2_based on steps'!$B$1:$AY$1,AB$1)+SUMIFS('changes2_based on steps'!$B306:$U306,'changes2_based on steps'!$B$1:$U$1,AB$1)</f>
        <v>100</v>
      </c>
      <c r="AC306" s="140">
        <f ca="1">SUMIFS('recurring2_based on steps'!$B306:$AY306,'recurring2_based on steps'!$B$1:$AY$1,AC$1)+SUMIFS('changes2_based on steps'!$B306:$U306,'changes2_based on steps'!$B$1:$U$1,AC$1)</f>
        <v>0</v>
      </c>
      <c r="AD306" s="140">
        <f ca="1">SUMIFS('recurring2_based on steps'!$B306:$AY306,'recurring2_based on steps'!$B$1:$AY$1,AD$1)+SUMIFS('changes2_based on steps'!$B306:$U306,'changes2_based on steps'!$B$1:$U$1,AD$1)</f>
        <v>0</v>
      </c>
      <c r="AE306" s="140">
        <f>SUMIFS('recurring2_based on steps'!$B306:$AY306,'recurring2_based on steps'!$B$1:$AY$1,AE$1)+SUMIFS('changes2_based on steps'!$B306:$U306,'changes2_based on steps'!$B$1:$U$1,AE$1)</f>
        <v>0</v>
      </c>
      <c r="AF306" s="140"/>
      <c r="AG306" s="140"/>
      <c r="AH306" s="140"/>
      <c r="AI306" s="140"/>
      <c r="AJ306" s="140"/>
      <c r="AK306" s="140"/>
      <c r="AL306" s="140"/>
      <c r="AM306" s="140"/>
    </row>
    <row r="307" spans="1:39" x14ac:dyDescent="0.2">
      <c r="A307" s="29">
        <f t="shared" ca="1" si="4"/>
        <v>46047</v>
      </c>
      <c r="B307" s="140">
        <f ca="1">SUMIFS('recurring2_based on steps'!$B307:$AY307,'recurring2_based on steps'!$B$1:$AY$1,B$1)+SUMIFS('changes2_based on steps'!$B307:$U307,'changes2_based on steps'!$B$1:$U$1,B$1)</f>
        <v>0</v>
      </c>
      <c r="C307" s="140">
        <f>SUMIFS('recurring2_based on steps'!$B307:$AY307,'recurring2_based on steps'!$B$1:$AY$1,C$1)+SUMIFS('changes2_based on steps'!$B307:$U307,'changes2_based on steps'!$B$1:$U$1,C$1)</f>
        <v>0</v>
      </c>
      <c r="D307" s="140">
        <f>SUMIFS('recurring2_based on steps'!$B307:$AY307,'recurring2_based on steps'!$B$1:$AY$1,D$1)+SUMIFS('changes2_based on steps'!$B307:$U307,'changes2_based on steps'!$B$1:$U$1,D$1)</f>
        <v>0</v>
      </c>
      <c r="E307" s="140">
        <f>SUMIFS('recurring2_based on steps'!$B307:$AY307,'recurring2_based on steps'!$B$1:$AY$1,E$1)+SUMIFS('changes2_based on steps'!$B307:$U307,'changes2_based on steps'!$B$1:$U$1,E$1)</f>
        <v>0</v>
      </c>
      <c r="F307" s="140">
        <f>SUMIFS('recurring2_based on steps'!$B307:$AY307,'recurring2_based on steps'!$B$1:$AY$1,F$1)+SUMIFS('changes2_based on steps'!$B307:$U307,'changes2_based on steps'!$B$1:$U$1,F$1)</f>
        <v>0</v>
      </c>
      <c r="G307" s="140">
        <f>SUMIFS('recurring2_based on steps'!$B307:$AY307,'recurring2_based on steps'!$B$1:$AY$1,G$1)+SUMIFS('changes2_based on steps'!$B307:$U307,'changes2_based on steps'!$B$1:$U$1,G$1)</f>
        <v>0</v>
      </c>
      <c r="H307" s="140">
        <f>SUMIFS('recurring2_based on steps'!$B307:$AY307,'recurring2_based on steps'!$B$1:$AY$1,H$1)+SUMIFS('changes2_based on steps'!$B307:$U307,'changes2_based on steps'!$B$1:$U$1,H$1)</f>
        <v>0</v>
      </c>
      <c r="I307" s="140">
        <f>SUMIFS('recurring2_based on steps'!$B307:$AY307,'recurring2_based on steps'!$B$1:$AY$1,I$1)+SUMIFS('changes2_based on steps'!$B307:$U307,'changes2_based on steps'!$B$1:$U$1,I$1)</f>
        <v>0</v>
      </c>
      <c r="J307" s="140">
        <f ca="1">SUMIFS('recurring2_based on steps'!$B307:$AY307,'recurring2_based on steps'!$B$1:$AY$1,J$1)+SUMIFS('changes2_based on steps'!$B307:$U307,'changes2_based on steps'!$B$1:$U$1,J$1)</f>
        <v>0</v>
      </c>
      <c r="K307" s="140">
        <f>SUMIFS('recurring2_based on steps'!$B307:$AY307,'recurring2_based on steps'!$B$1:$AY$1,K$1)+SUMIFS('changes2_based on steps'!$B307:$U307,'changes2_based on steps'!$B$1:$U$1,K$1)</f>
        <v>0</v>
      </c>
      <c r="L307" s="140">
        <f>SUMIFS('recurring2_based on steps'!$B307:$AY307,'recurring2_based on steps'!$B$1:$AY$1,L$1)+SUMIFS('changes2_based on steps'!$B307:$U307,'changes2_based on steps'!$B$1:$U$1,L$1)</f>
        <v>0</v>
      </c>
      <c r="M307" s="140">
        <f>SUMIFS('recurring2_based on steps'!$B307:$AY307,'recurring2_based on steps'!$B$1:$AY$1,M$1)+SUMIFS('changes2_based on steps'!$B307:$U307,'changes2_based on steps'!$B$1:$U$1,M$1)</f>
        <v>0</v>
      </c>
      <c r="N307" s="140">
        <f ca="1">SUMIFS('recurring2_based on steps'!$B307:$AY307,'recurring2_based on steps'!$B$1:$AY$1,N$1)+SUMIFS('changes2_based on steps'!$B307:$U307,'changes2_based on steps'!$B$1:$U$1,N$1)</f>
        <v>0</v>
      </c>
      <c r="O307" s="140">
        <f>SUMIFS('recurring2_based on steps'!$B307:$AY307,'recurring2_based on steps'!$B$1:$AY$1,O$1)+SUMIFS('changes2_based on steps'!$B307:$U307,'changes2_based on steps'!$B$1:$U$1,O$1)</f>
        <v>0</v>
      </c>
      <c r="P307" s="140">
        <f ca="1">SUMIFS('recurring2_based on steps'!$B307:$AY307,'recurring2_based on steps'!$B$1:$AY$1,P$1)+SUMIFS('changes2_based on steps'!$B307:$U307,'changes2_based on steps'!$B$1:$U$1,P$1)</f>
        <v>0</v>
      </c>
      <c r="Q307" s="140">
        <f ca="1">SUMIFS('recurring2_based on steps'!$B307:$AY307,'recurring2_based on steps'!$B$1:$AY$1,Q$1)+SUMIFS('changes2_based on steps'!$B307:$U307,'changes2_based on steps'!$B$1:$U$1,Q$1)</f>
        <v>100.05540166204986</v>
      </c>
      <c r="R307" s="140">
        <f ca="1">SUMIFS('recurring2_based on steps'!$B307:$AY307,'recurring2_based on steps'!$B$1:$AY$1,R$1)+SUMIFS('changes2_based on steps'!$B307:$U307,'changes2_based on steps'!$B$1:$U$1,R$1)</f>
        <v>0</v>
      </c>
      <c r="S307" s="140">
        <f>SUMIFS('recurring2_based on steps'!$B307:$AY307,'recurring2_based on steps'!$B$1:$AY$1,S$1)+SUMIFS('changes2_based on steps'!$B307:$U307,'changes2_based on steps'!$B$1:$U$1,S$1)</f>
        <v>0</v>
      </c>
      <c r="T307" s="140">
        <f ca="1">SUMIFS('recurring2_based on steps'!$B307:$AY307,'recurring2_based on steps'!$B$1:$AY$1,T$1)+SUMIFS('changes2_based on steps'!$B307:$U307,'changes2_based on steps'!$B$1:$U$1,T$1)</f>
        <v>0</v>
      </c>
      <c r="U307" s="140">
        <f ca="1">SUMIFS('recurring2_based on steps'!$B307:$AY307,'recurring2_based on steps'!$B$1:$AY$1,U$1)+SUMIFS('changes2_based on steps'!$B307:$U307,'changes2_based on steps'!$B$1:$U$1,U$1)</f>
        <v>0</v>
      </c>
      <c r="V307" s="140">
        <f>SUMIFS('recurring2_based on steps'!$B307:$AY307,'recurring2_based on steps'!$B$1:$AY$1,V$1)+SUMIFS('changes2_based on steps'!$B307:$U307,'changes2_based on steps'!$B$1:$U$1,V$1)</f>
        <v>0</v>
      </c>
      <c r="W307" s="140">
        <f>SUMIFS('recurring2_based on steps'!$B307:$AY307,'recurring2_based on steps'!$B$1:$AY$1,W$1)+SUMIFS('changes2_based on steps'!$B307:$U307,'changes2_based on steps'!$B$1:$U$1,W$1)</f>
        <v>0</v>
      </c>
      <c r="X307" s="140">
        <f ca="1">SUMIFS('recurring2_based on steps'!$B307:$AY307,'recurring2_based on steps'!$B$1:$AY$1,X$1)+SUMIFS('changes2_based on steps'!$B307:$U307,'changes2_based on steps'!$B$1:$U$1,X$1)</f>
        <v>0</v>
      </c>
      <c r="Y307" s="140">
        <f ca="1">SUMIFS('recurring2_based on steps'!$B307:$AY307,'recurring2_based on steps'!$B$1:$AY$1,Y$1)+SUMIFS('changes2_based on steps'!$B307:$U307,'changes2_based on steps'!$B$1:$U$1,Y$1)</f>
        <v>50</v>
      </c>
      <c r="Z307" s="140">
        <f>SUMIFS('recurring2_based on steps'!$B307:$AY307,'recurring2_based on steps'!$B$1:$AY$1,Z$1)+SUMIFS('changes2_based on steps'!$B307:$U307,'changes2_based on steps'!$B$1:$U$1,Z$1)</f>
        <v>0</v>
      </c>
      <c r="AA307" s="140">
        <f ca="1">SUMIFS('recurring2_based on steps'!$B307:$AY307,'recurring2_based on steps'!$B$1:$AY$1,AA$1)+SUMIFS('changes2_based on steps'!$B307:$U307,'changes2_based on steps'!$B$1:$U$1,AA$1)</f>
        <v>0</v>
      </c>
      <c r="AB307" s="140">
        <f ca="1">SUMIFS('recurring2_based on steps'!$B307:$AY307,'recurring2_based on steps'!$B$1:$AY$1,AB$1)+SUMIFS('changes2_based on steps'!$B307:$U307,'changes2_based on steps'!$B$1:$U$1,AB$1)</f>
        <v>0</v>
      </c>
      <c r="AC307" s="140">
        <f ca="1">SUMIFS('recurring2_based on steps'!$B307:$AY307,'recurring2_based on steps'!$B$1:$AY$1,AC$1)+SUMIFS('changes2_based on steps'!$B307:$U307,'changes2_based on steps'!$B$1:$U$1,AC$1)</f>
        <v>0</v>
      </c>
      <c r="AD307" s="140">
        <f ca="1">SUMIFS('recurring2_based on steps'!$B307:$AY307,'recurring2_based on steps'!$B$1:$AY$1,AD$1)+SUMIFS('changes2_based on steps'!$B307:$U307,'changes2_based on steps'!$B$1:$U$1,AD$1)</f>
        <v>0</v>
      </c>
      <c r="AE307" s="140">
        <f>SUMIFS('recurring2_based on steps'!$B307:$AY307,'recurring2_based on steps'!$B$1:$AY$1,AE$1)+SUMIFS('changes2_based on steps'!$B307:$U307,'changes2_based on steps'!$B$1:$U$1,AE$1)</f>
        <v>0</v>
      </c>
      <c r="AF307" s="140"/>
      <c r="AG307" s="140"/>
      <c r="AH307" s="140"/>
      <c r="AI307" s="140"/>
      <c r="AJ307" s="140"/>
      <c r="AK307" s="140"/>
      <c r="AL307" s="140"/>
      <c r="AM307" s="140"/>
    </row>
    <row r="308" spans="1:39" x14ac:dyDescent="0.2">
      <c r="A308" s="29">
        <f t="shared" ca="1" si="4"/>
        <v>46048</v>
      </c>
      <c r="B308" s="140">
        <f ca="1">SUMIFS('recurring2_based on steps'!$B308:$AY308,'recurring2_based on steps'!$B$1:$AY$1,B$1)+SUMIFS('changes2_based on steps'!$B308:$U308,'changes2_based on steps'!$B$1:$U$1,B$1)</f>
        <v>0</v>
      </c>
      <c r="C308" s="140">
        <f>SUMIFS('recurring2_based on steps'!$B308:$AY308,'recurring2_based on steps'!$B$1:$AY$1,C$1)+SUMIFS('changes2_based on steps'!$B308:$U308,'changes2_based on steps'!$B$1:$U$1,C$1)</f>
        <v>0</v>
      </c>
      <c r="D308" s="140">
        <f>SUMIFS('recurring2_based on steps'!$B308:$AY308,'recurring2_based on steps'!$B$1:$AY$1,D$1)+SUMIFS('changes2_based on steps'!$B308:$U308,'changes2_based on steps'!$B$1:$U$1,D$1)</f>
        <v>0</v>
      </c>
      <c r="E308" s="140">
        <f>SUMIFS('recurring2_based on steps'!$B308:$AY308,'recurring2_based on steps'!$B$1:$AY$1,E$1)+SUMIFS('changes2_based on steps'!$B308:$U308,'changes2_based on steps'!$B$1:$U$1,E$1)</f>
        <v>0</v>
      </c>
      <c r="F308" s="140">
        <f>SUMIFS('recurring2_based on steps'!$B308:$AY308,'recurring2_based on steps'!$B$1:$AY$1,F$1)+SUMIFS('changes2_based on steps'!$B308:$U308,'changes2_based on steps'!$B$1:$U$1,F$1)</f>
        <v>0</v>
      </c>
      <c r="G308" s="140">
        <f>SUMIFS('recurring2_based on steps'!$B308:$AY308,'recurring2_based on steps'!$B$1:$AY$1,G$1)+SUMIFS('changes2_based on steps'!$B308:$U308,'changes2_based on steps'!$B$1:$U$1,G$1)</f>
        <v>0</v>
      </c>
      <c r="H308" s="140">
        <f>SUMIFS('recurring2_based on steps'!$B308:$AY308,'recurring2_based on steps'!$B$1:$AY$1,H$1)+SUMIFS('changes2_based on steps'!$B308:$U308,'changes2_based on steps'!$B$1:$U$1,H$1)</f>
        <v>0</v>
      </c>
      <c r="I308" s="140">
        <f>SUMIFS('recurring2_based on steps'!$B308:$AY308,'recurring2_based on steps'!$B$1:$AY$1,I$1)+SUMIFS('changes2_based on steps'!$B308:$U308,'changes2_based on steps'!$B$1:$U$1,I$1)</f>
        <v>0</v>
      </c>
      <c r="J308" s="140">
        <f ca="1">SUMIFS('recurring2_based on steps'!$B308:$AY308,'recurring2_based on steps'!$B$1:$AY$1,J$1)+SUMIFS('changes2_based on steps'!$B308:$U308,'changes2_based on steps'!$B$1:$U$1,J$1)</f>
        <v>0</v>
      </c>
      <c r="K308" s="140">
        <f>SUMIFS('recurring2_based on steps'!$B308:$AY308,'recurring2_based on steps'!$B$1:$AY$1,K$1)+SUMIFS('changes2_based on steps'!$B308:$U308,'changes2_based on steps'!$B$1:$U$1,K$1)</f>
        <v>0</v>
      </c>
      <c r="L308" s="140">
        <f>SUMIFS('recurring2_based on steps'!$B308:$AY308,'recurring2_based on steps'!$B$1:$AY$1,L$1)+SUMIFS('changes2_based on steps'!$B308:$U308,'changes2_based on steps'!$B$1:$U$1,L$1)</f>
        <v>0</v>
      </c>
      <c r="M308" s="140">
        <f>SUMIFS('recurring2_based on steps'!$B308:$AY308,'recurring2_based on steps'!$B$1:$AY$1,M$1)+SUMIFS('changes2_based on steps'!$B308:$U308,'changes2_based on steps'!$B$1:$U$1,M$1)</f>
        <v>0</v>
      </c>
      <c r="N308" s="140">
        <f ca="1">SUMIFS('recurring2_based on steps'!$B308:$AY308,'recurring2_based on steps'!$B$1:$AY$1,N$1)+SUMIFS('changes2_based on steps'!$B308:$U308,'changes2_based on steps'!$B$1:$U$1,N$1)</f>
        <v>0</v>
      </c>
      <c r="O308" s="140">
        <f>SUMIFS('recurring2_based on steps'!$B308:$AY308,'recurring2_based on steps'!$B$1:$AY$1,O$1)+SUMIFS('changes2_based on steps'!$B308:$U308,'changes2_based on steps'!$B$1:$U$1,O$1)</f>
        <v>0</v>
      </c>
      <c r="P308" s="140">
        <f ca="1">SUMIFS('recurring2_based on steps'!$B308:$AY308,'recurring2_based on steps'!$B$1:$AY$1,P$1)+SUMIFS('changes2_based on steps'!$B308:$U308,'changes2_based on steps'!$B$1:$U$1,P$1)</f>
        <v>0</v>
      </c>
      <c r="Q308" s="140">
        <f ca="1">SUMIFS('recurring2_based on steps'!$B308:$AY308,'recurring2_based on steps'!$B$1:$AY$1,Q$1)+SUMIFS('changes2_based on steps'!$B308:$U308,'changes2_based on steps'!$B$1:$U$1,Q$1)</f>
        <v>5.5401662049861494E-2</v>
      </c>
      <c r="R308" s="140">
        <f ca="1">SUMIFS('recurring2_based on steps'!$B308:$AY308,'recurring2_based on steps'!$B$1:$AY$1,R$1)+SUMIFS('changes2_based on steps'!$B308:$U308,'changes2_based on steps'!$B$1:$U$1,R$1)</f>
        <v>0</v>
      </c>
      <c r="S308" s="140">
        <f>SUMIFS('recurring2_based on steps'!$B308:$AY308,'recurring2_based on steps'!$B$1:$AY$1,S$1)+SUMIFS('changes2_based on steps'!$B308:$U308,'changes2_based on steps'!$B$1:$U$1,S$1)</f>
        <v>0</v>
      </c>
      <c r="T308" s="140">
        <f ca="1">SUMIFS('recurring2_based on steps'!$B308:$AY308,'recurring2_based on steps'!$B$1:$AY$1,T$1)+SUMIFS('changes2_based on steps'!$B308:$U308,'changes2_based on steps'!$B$1:$U$1,T$1)</f>
        <v>0</v>
      </c>
      <c r="U308" s="140">
        <f ca="1">SUMIFS('recurring2_based on steps'!$B308:$AY308,'recurring2_based on steps'!$B$1:$AY$1,U$1)+SUMIFS('changes2_based on steps'!$B308:$U308,'changes2_based on steps'!$B$1:$U$1,U$1)</f>
        <v>0</v>
      </c>
      <c r="V308" s="140">
        <f>SUMIFS('recurring2_based on steps'!$B308:$AY308,'recurring2_based on steps'!$B$1:$AY$1,V$1)+SUMIFS('changes2_based on steps'!$B308:$U308,'changes2_based on steps'!$B$1:$U$1,V$1)</f>
        <v>0</v>
      </c>
      <c r="W308" s="140">
        <f>SUMIFS('recurring2_based on steps'!$B308:$AY308,'recurring2_based on steps'!$B$1:$AY$1,W$1)+SUMIFS('changes2_based on steps'!$B308:$U308,'changes2_based on steps'!$B$1:$U$1,W$1)</f>
        <v>0</v>
      </c>
      <c r="X308" s="140">
        <f ca="1">SUMIFS('recurring2_based on steps'!$B308:$AY308,'recurring2_based on steps'!$B$1:$AY$1,X$1)+SUMIFS('changes2_based on steps'!$B308:$U308,'changes2_based on steps'!$B$1:$U$1,X$1)</f>
        <v>0</v>
      </c>
      <c r="Y308" s="140">
        <f ca="1">SUMIFS('recurring2_based on steps'!$B308:$AY308,'recurring2_based on steps'!$B$1:$AY$1,Y$1)+SUMIFS('changes2_based on steps'!$B308:$U308,'changes2_based on steps'!$B$1:$U$1,Y$1)</f>
        <v>0</v>
      </c>
      <c r="Z308" s="140">
        <f>SUMIFS('recurring2_based on steps'!$B308:$AY308,'recurring2_based on steps'!$B$1:$AY$1,Z$1)+SUMIFS('changes2_based on steps'!$B308:$U308,'changes2_based on steps'!$B$1:$U$1,Z$1)</f>
        <v>0</v>
      </c>
      <c r="AA308" s="140">
        <f ca="1">SUMIFS('recurring2_based on steps'!$B308:$AY308,'recurring2_based on steps'!$B$1:$AY$1,AA$1)+SUMIFS('changes2_based on steps'!$B308:$U308,'changes2_based on steps'!$B$1:$U$1,AA$1)</f>
        <v>50</v>
      </c>
      <c r="AB308" s="140">
        <f ca="1">SUMIFS('recurring2_based on steps'!$B308:$AY308,'recurring2_based on steps'!$B$1:$AY$1,AB$1)+SUMIFS('changes2_based on steps'!$B308:$U308,'changes2_based on steps'!$B$1:$U$1,AB$1)</f>
        <v>0</v>
      </c>
      <c r="AC308" s="140">
        <f ca="1">SUMIFS('recurring2_based on steps'!$B308:$AY308,'recurring2_based on steps'!$B$1:$AY$1,AC$1)+SUMIFS('changes2_based on steps'!$B308:$U308,'changes2_based on steps'!$B$1:$U$1,AC$1)</f>
        <v>0</v>
      </c>
      <c r="AD308" s="140">
        <f ca="1">SUMIFS('recurring2_based on steps'!$B308:$AY308,'recurring2_based on steps'!$B$1:$AY$1,AD$1)+SUMIFS('changes2_based on steps'!$B308:$U308,'changes2_based on steps'!$B$1:$U$1,AD$1)</f>
        <v>0</v>
      </c>
      <c r="AE308" s="140">
        <f>SUMIFS('recurring2_based on steps'!$B308:$AY308,'recurring2_based on steps'!$B$1:$AY$1,AE$1)+SUMIFS('changes2_based on steps'!$B308:$U308,'changes2_based on steps'!$B$1:$U$1,AE$1)</f>
        <v>0</v>
      </c>
      <c r="AF308" s="140"/>
      <c r="AG308" s="140"/>
      <c r="AH308" s="140"/>
      <c r="AI308" s="140"/>
      <c r="AJ308" s="140"/>
      <c r="AK308" s="140"/>
      <c r="AL308" s="140"/>
      <c r="AM308" s="140"/>
    </row>
    <row r="309" spans="1:39" x14ac:dyDescent="0.2">
      <c r="A309" s="29">
        <f t="shared" ca="1" si="4"/>
        <v>46049</v>
      </c>
      <c r="B309" s="140">
        <f ca="1">SUMIFS('recurring2_based on steps'!$B309:$AY309,'recurring2_based on steps'!$B$1:$AY$1,B$1)+SUMIFS('changes2_based on steps'!$B309:$U309,'changes2_based on steps'!$B$1:$U$1,B$1)</f>
        <v>0</v>
      </c>
      <c r="C309" s="140">
        <f>SUMIFS('recurring2_based on steps'!$B309:$AY309,'recurring2_based on steps'!$B$1:$AY$1,C$1)+SUMIFS('changes2_based on steps'!$B309:$U309,'changes2_based on steps'!$B$1:$U$1,C$1)</f>
        <v>0</v>
      </c>
      <c r="D309" s="140">
        <f>SUMIFS('recurring2_based on steps'!$B309:$AY309,'recurring2_based on steps'!$B$1:$AY$1,D$1)+SUMIFS('changes2_based on steps'!$B309:$U309,'changes2_based on steps'!$B$1:$U$1,D$1)</f>
        <v>0</v>
      </c>
      <c r="E309" s="140">
        <f>SUMIFS('recurring2_based on steps'!$B309:$AY309,'recurring2_based on steps'!$B$1:$AY$1,E$1)+SUMIFS('changes2_based on steps'!$B309:$U309,'changes2_based on steps'!$B$1:$U$1,E$1)</f>
        <v>0</v>
      </c>
      <c r="F309" s="140">
        <f>SUMIFS('recurring2_based on steps'!$B309:$AY309,'recurring2_based on steps'!$B$1:$AY$1,F$1)+SUMIFS('changes2_based on steps'!$B309:$U309,'changes2_based on steps'!$B$1:$U$1,F$1)</f>
        <v>0</v>
      </c>
      <c r="G309" s="140">
        <f>SUMIFS('recurring2_based on steps'!$B309:$AY309,'recurring2_based on steps'!$B$1:$AY$1,G$1)+SUMIFS('changes2_based on steps'!$B309:$U309,'changes2_based on steps'!$B$1:$U$1,G$1)</f>
        <v>0</v>
      </c>
      <c r="H309" s="140">
        <f>SUMIFS('recurring2_based on steps'!$B309:$AY309,'recurring2_based on steps'!$B$1:$AY$1,H$1)+SUMIFS('changes2_based on steps'!$B309:$U309,'changes2_based on steps'!$B$1:$U$1,H$1)</f>
        <v>0</v>
      </c>
      <c r="I309" s="140">
        <f>SUMIFS('recurring2_based on steps'!$B309:$AY309,'recurring2_based on steps'!$B$1:$AY$1,I$1)+SUMIFS('changes2_based on steps'!$B309:$U309,'changes2_based on steps'!$B$1:$U$1,I$1)</f>
        <v>0</v>
      </c>
      <c r="J309" s="140">
        <f ca="1">SUMIFS('recurring2_based on steps'!$B309:$AY309,'recurring2_based on steps'!$B$1:$AY$1,J$1)+SUMIFS('changes2_based on steps'!$B309:$U309,'changes2_based on steps'!$B$1:$U$1,J$1)</f>
        <v>0</v>
      </c>
      <c r="K309" s="140">
        <f>SUMIFS('recurring2_based on steps'!$B309:$AY309,'recurring2_based on steps'!$B$1:$AY$1,K$1)+SUMIFS('changes2_based on steps'!$B309:$U309,'changes2_based on steps'!$B$1:$U$1,K$1)</f>
        <v>0</v>
      </c>
      <c r="L309" s="140">
        <f>SUMIFS('recurring2_based on steps'!$B309:$AY309,'recurring2_based on steps'!$B$1:$AY$1,L$1)+SUMIFS('changes2_based on steps'!$B309:$U309,'changes2_based on steps'!$B$1:$U$1,L$1)</f>
        <v>0</v>
      </c>
      <c r="M309" s="140">
        <f>SUMIFS('recurring2_based on steps'!$B309:$AY309,'recurring2_based on steps'!$B$1:$AY$1,M$1)+SUMIFS('changes2_based on steps'!$B309:$U309,'changes2_based on steps'!$B$1:$U$1,M$1)</f>
        <v>0</v>
      </c>
      <c r="N309" s="140">
        <f ca="1">SUMIFS('recurring2_based on steps'!$B309:$AY309,'recurring2_based on steps'!$B$1:$AY$1,N$1)+SUMIFS('changes2_based on steps'!$B309:$U309,'changes2_based on steps'!$B$1:$U$1,N$1)</f>
        <v>0</v>
      </c>
      <c r="O309" s="140">
        <f>SUMIFS('recurring2_based on steps'!$B309:$AY309,'recurring2_based on steps'!$B$1:$AY$1,O$1)+SUMIFS('changes2_based on steps'!$B309:$U309,'changes2_based on steps'!$B$1:$U$1,O$1)</f>
        <v>0</v>
      </c>
      <c r="P309" s="140">
        <f ca="1">SUMIFS('recurring2_based on steps'!$B309:$AY309,'recurring2_based on steps'!$B$1:$AY$1,P$1)+SUMIFS('changes2_based on steps'!$B309:$U309,'changes2_based on steps'!$B$1:$U$1,P$1)</f>
        <v>0</v>
      </c>
      <c r="Q309" s="140">
        <f ca="1">SUMIFS('recurring2_based on steps'!$B309:$AY309,'recurring2_based on steps'!$B$1:$AY$1,Q$1)+SUMIFS('changes2_based on steps'!$B309:$U309,'changes2_based on steps'!$B$1:$U$1,Q$1)</f>
        <v>5.5401662049861494E-2</v>
      </c>
      <c r="R309" s="140">
        <f ca="1">SUMIFS('recurring2_based on steps'!$B309:$AY309,'recurring2_based on steps'!$B$1:$AY$1,R$1)+SUMIFS('changes2_based on steps'!$B309:$U309,'changes2_based on steps'!$B$1:$U$1,R$1)</f>
        <v>2.99</v>
      </c>
      <c r="S309" s="140">
        <f>SUMIFS('recurring2_based on steps'!$B309:$AY309,'recurring2_based on steps'!$B$1:$AY$1,S$1)+SUMIFS('changes2_based on steps'!$B309:$U309,'changes2_based on steps'!$B$1:$U$1,S$1)</f>
        <v>0</v>
      </c>
      <c r="T309" s="140">
        <f ca="1">SUMIFS('recurring2_based on steps'!$B309:$AY309,'recurring2_based on steps'!$B$1:$AY$1,T$1)+SUMIFS('changes2_based on steps'!$B309:$U309,'changes2_based on steps'!$B$1:$U$1,T$1)</f>
        <v>0</v>
      </c>
      <c r="U309" s="140">
        <f ca="1">SUMIFS('recurring2_based on steps'!$B309:$AY309,'recurring2_based on steps'!$B$1:$AY$1,U$1)+SUMIFS('changes2_based on steps'!$B309:$U309,'changes2_based on steps'!$B$1:$U$1,U$1)</f>
        <v>0</v>
      </c>
      <c r="V309" s="140">
        <f>SUMIFS('recurring2_based on steps'!$B309:$AY309,'recurring2_based on steps'!$B$1:$AY$1,V$1)+SUMIFS('changes2_based on steps'!$B309:$U309,'changes2_based on steps'!$B$1:$U$1,V$1)</f>
        <v>0</v>
      </c>
      <c r="W309" s="140">
        <f>SUMIFS('recurring2_based on steps'!$B309:$AY309,'recurring2_based on steps'!$B$1:$AY$1,W$1)+SUMIFS('changes2_based on steps'!$B309:$U309,'changes2_based on steps'!$B$1:$U$1,W$1)</f>
        <v>0</v>
      </c>
      <c r="X309" s="140">
        <f ca="1">SUMIFS('recurring2_based on steps'!$B309:$AY309,'recurring2_based on steps'!$B$1:$AY$1,X$1)+SUMIFS('changes2_based on steps'!$B309:$U309,'changes2_based on steps'!$B$1:$U$1,X$1)</f>
        <v>0</v>
      </c>
      <c r="Y309" s="140">
        <f ca="1">SUMIFS('recurring2_based on steps'!$B309:$AY309,'recurring2_based on steps'!$B$1:$AY$1,Y$1)+SUMIFS('changes2_based on steps'!$B309:$U309,'changes2_based on steps'!$B$1:$U$1,Y$1)</f>
        <v>0</v>
      </c>
      <c r="Z309" s="140">
        <f>SUMIFS('recurring2_based on steps'!$B309:$AY309,'recurring2_based on steps'!$B$1:$AY$1,Z$1)+SUMIFS('changes2_based on steps'!$B309:$U309,'changes2_based on steps'!$B$1:$U$1,Z$1)</f>
        <v>0</v>
      </c>
      <c r="AA309" s="140">
        <f ca="1">SUMIFS('recurring2_based on steps'!$B309:$AY309,'recurring2_based on steps'!$B$1:$AY$1,AA$1)+SUMIFS('changes2_based on steps'!$B309:$U309,'changes2_based on steps'!$B$1:$U$1,AA$1)</f>
        <v>0</v>
      </c>
      <c r="AB309" s="140">
        <f ca="1">SUMIFS('recurring2_based on steps'!$B309:$AY309,'recurring2_based on steps'!$B$1:$AY$1,AB$1)+SUMIFS('changes2_based on steps'!$B309:$U309,'changes2_based on steps'!$B$1:$U$1,AB$1)</f>
        <v>0</v>
      </c>
      <c r="AC309" s="140">
        <f ca="1">SUMIFS('recurring2_based on steps'!$B309:$AY309,'recurring2_based on steps'!$B$1:$AY$1,AC$1)+SUMIFS('changes2_based on steps'!$B309:$U309,'changes2_based on steps'!$B$1:$U$1,AC$1)</f>
        <v>0</v>
      </c>
      <c r="AD309" s="140">
        <f ca="1">SUMIFS('recurring2_based on steps'!$B309:$AY309,'recurring2_based on steps'!$B$1:$AY$1,AD$1)+SUMIFS('changes2_based on steps'!$B309:$U309,'changes2_based on steps'!$B$1:$U$1,AD$1)</f>
        <v>0</v>
      </c>
      <c r="AE309" s="140">
        <f>SUMIFS('recurring2_based on steps'!$B309:$AY309,'recurring2_based on steps'!$B$1:$AY$1,AE$1)+SUMIFS('changes2_based on steps'!$B309:$U309,'changes2_based on steps'!$B$1:$U$1,AE$1)</f>
        <v>0</v>
      </c>
      <c r="AF309" s="140"/>
      <c r="AG309" s="140"/>
      <c r="AH309" s="140"/>
      <c r="AI309" s="140"/>
      <c r="AJ309" s="140"/>
      <c r="AK309" s="140"/>
      <c r="AL309" s="140"/>
      <c r="AM309" s="140"/>
    </row>
    <row r="310" spans="1:39" x14ac:dyDescent="0.2">
      <c r="A310" s="29">
        <f t="shared" ca="1" si="4"/>
        <v>46050</v>
      </c>
      <c r="B310" s="140">
        <f ca="1">SUMIFS('recurring2_based on steps'!$B310:$AY310,'recurring2_based on steps'!$B$1:$AY$1,B$1)+SUMIFS('changes2_based on steps'!$B310:$U310,'changes2_based on steps'!$B$1:$U$1,B$1)</f>
        <v>0</v>
      </c>
      <c r="C310" s="140">
        <f>SUMIFS('recurring2_based on steps'!$B310:$AY310,'recurring2_based on steps'!$B$1:$AY$1,C$1)+SUMIFS('changes2_based on steps'!$B310:$U310,'changes2_based on steps'!$B$1:$U$1,C$1)</f>
        <v>0</v>
      </c>
      <c r="D310" s="140">
        <f>SUMIFS('recurring2_based on steps'!$B310:$AY310,'recurring2_based on steps'!$B$1:$AY$1,D$1)+SUMIFS('changes2_based on steps'!$B310:$U310,'changes2_based on steps'!$B$1:$U$1,D$1)</f>
        <v>0</v>
      </c>
      <c r="E310" s="140">
        <f>SUMIFS('recurring2_based on steps'!$B310:$AY310,'recurring2_based on steps'!$B$1:$AY$1,E$1)+SUMIFS('changes2_based on steps'!$B310:$U310,'changes2_based on steps'!$B$1:$U$1,E$1)</f>
        <v>0</v>
      </c>
      <c r="F310" s="140">
        <f>SUMIFS('recurring2_based on steps'!$B310:$AY310,'recurring2_based on steps'!$B$1:$AY$1,F$1)+SUMIFS('changes2_based on steps'!$B310:$U310,'changes2_based on steps'!$B$1:$U$1,F$1)</f>
        <v>0</v>
      </c>
      <c r="G310" s="140">
        <f>SUMIFS('recurring2_based on steps'!$B310:$AY310,'recurring2_based on steps'!$B$1:$AY$1,G$1)+SUMIFS('changes2_based on steps'!$B310:$U310,'changes2_based on steps'!$B$1:$U$1,G$1)</f>
        <v>0</v>
      </c>
      <c r="H310" s="140">
        <f>SUMIFS('recurring2_based on steps'!$B310:$AY310,'recurring2_based on steps'!$B$1:$AY$1,H$1)+SUMIFS('changes2_based on steps'!$B310:$U310,'changes2_based on steps'!$B$1:$U$1,H$1)</f>
        <v>0</v>
      </c>
      <c r="I310" s="140">
        <f>SUMIFS('recurring2_based on steps'!$B310:$AY310,'recurring2_based on steps'!$B$1:$AY$1,I$1)+SUMIFS('changes2_based on steps'!$B310:$U310,'changes2_based on steps'!$B$1:$U$1,I$1)</f>
        <v>0</v>
      </c>
      <c r="J310" s="140">
        <f ca="1">SUMIFS('recurring2_based on steps'!$B310:$AY310,'recurring2_based on steps'!$B$1:$AY$1,J$1)+SUMIFS('changes2_based on steps'!$B310:$U310,'changes2_based on steps'!$B$1:$U$1,J$1)</f>
        <v>0</v>
      </c>
      <c r="K310" s="140">
        <f>SUMIFS('recurring2_based on steps'!$B310:$AY310,'recurring2_based on steps'!$B$1:$AY$1,K$1)+SUMIFS('changes2_based on steps'!$B310:$U310,'changes2_based on steps'!$B$1:$U$1,K$1)</f>
        <v>0</v>
      </c>
      <c r="L310" s="140">
        <f>SUMIFS('recurring2_based on steps'!$B310:$AY310,'recurring2_based on steps'!$B$1:$AY$1,L$1)+SUMIFS('changes2_based on steps'!$B310:$U310,'changes2_based on steps'!$B$1:$U$1,L$1)</f>
        <v>0</v>
      </c>
      <c r="M310" s="140">
        <f>SUMIFS('recurring2_based on steps'!$B310:$AY310,'recurring2_based on steps'!$B$1:$AY$1,M$1)+SUMIFS('changes2_based on steps'!$B310:$U310,'changes2_based on steps'!$B$1:$U$1,M$1)</f>
        <v>0</v>
      </c>
      <c r="N310" s="140">
        <f ca="1">SUMIFS('recurring2_based on steps'!$B310:$AY310,'recurring2_based on steps'!$B$1:$AY$1,N$1)+SUMIFS('changes2_based on steps'!$B310:$U310,'changes2_based on steps'!$B$1:$U$1,N$1)</f>
        <v>0</v>
      </c>
      <c r="O310" s="140">
        <f>SUMIFS('recurring2_based on steps'!$B310:$AY310,'recurring2_based on steps'!$B$1:$AY$1,O$1)+SUMIFS('changes2_based on steps'!$B310:$U310,'changes2_based on steps'!$B$1:$U$1,O$1)</f>
        <v>0</v>
      </c>
      <c r="P310" s="140">
        <f ca="1">SUMIFS('recurring2_based on steps'!$B310:$AY310,'recurring2_based on steps'!$B$1:$AY$1,P$1)+SUMIFS('changes2_based on steps'!$B310:$U310,'changes2_based on steps'!$B$1:$U$1,P$1)</f>
        <v>0</v>
      </c>
      <c r="Q310" s="140">
        <f ca="1">SUMIFS('recurring2_based on steps'!$B310:$AY310,'recurring2_based on steps'!$B$1:$AY$1,Q$1)+SUMIFS('changes2_based on steps'!$B310:$U310,'changes2_based on steps'!$B$1:$U$1,Q$1)</f>
        <v>5.5401662049861494E-2</v>
      </c>
      <c r="R310" s="140">
        <f ca="1">SUMIFS('recurring2_based on steps'!$B310:$AY310,'recurring2_based on steps'!$B$1:$AY$1,R$1)+SUMIFS('changes2_based on steps'!$B310:$U310,'changes2_based on steps'!$B$1:$U$1,R$1)</f>
        <v>0</v>
      </c>
      <c r="S310" s="140">
        <f>SUMIFS('recurring2_based on steps'!$B310:$AY310,'recurring2_based on steps'!$B$1:$AY$1,S$1)+SUMIFS('changes2_based on steps'!$B310:$U310,'changes2_based on steps'!$B$1:$U$1,S$1)</f>
        <v>0</v>
      </c>
      <c r="T310" s="140">
        <f ca="1">SUMIFS('recurring2_based on steps'!$B310:$AY310,'recurring2_based on steps'!$B$1:$AY$1,T$1)+SUMIFS('changes2_based on steps'!$B310:$U310,'changes2_based on steps'!$B$1:$U$1,T$1)</f>
        <v>0</v>
      </c>
      <c r="U310" s="140">
        <f ca="1">SUMIFS('recurring2_based on steps'!$B310:$AY310,'recurring2_based on steps'!$B$1:$AY$1,U$1)+SUMIFS('changes2_based on steps'!$B310:$U310,'changes2_based on steps'!$B$1:$U$1,U$1)</f>
        <v>0</v>
      </c>
      <c r="V310" s="140">
        <f>SUMIFS('recurring2_based on steps'!$B310:$AY310,'recurring2_based on steps'!$B$1:$AY$1,V$1)+SUMIFS('changes2_based on steps'!$B310:$U310,'changes2_based on steps'!$B$1:$U$1,V$1)</f>
        <v>0</v>
      </c>
      <c r="W310" s="140">
        <f>SUMIFS('recurring2_based on steps'!$B310:$AY310,'recurring2_based on steps'!$B$1:$AY$1,W$1)+SUMIFS('changes2_based on steps'!$B310:$U310,'changes2_based on steps'!$B$1:$U$1,W$1)</f>
        <v>0</v>
      </c>
      <c r="X310" s="140">
        <f ca="1">SUMIFS('recurring2_based on steps'!$B310:$AY310,'recurring2_based on steps'!$B$1:$AY$1,X$1)+SUMIFS('changes2_based on steps'!$B310:$U310,'changes2_based on steps'!$B$1:$U$1,X$1)</f>
        <v>0</v>
      </c>
      <c r="Y310" s="140">
        <f ca="1">SUMIFS('recurring2_based on steps'!$B310:$AY310,'recurring2_based on steps'!$B$1:$AY$1,Y$1)+SUMIFS('changes2_based on steps'!$B310:$U310,'changes2_based on steps'!$B$1:$U$1,Y$1)</f>
        <v>0</v>
      </c>
      <c r="Z310" s="140">
        <f>SUMIFS('recurring2_based on steps'!$B310:$AY310,'recurring2_based on steps'!$B$1:$AY$1,Z$1)+SUMIFS('changes2_based on steps'!$B310:$U310,'changes2_based on steps'!$B$1:$U$1,Z$1)</f>
        <v>0</v>
      </c>
      <c r="AA310" s="140">
        <f ca="1">SUMIFS('recurring2_based on steps'!$B310:$AY310,'recurring2_based on steps'!$B$1:$AY$1,AA$1)+SUMIFS('changes2_based on steps'!$B310:$U310,'changes2_based on steps'!$B$1:$U$1,AA$1)</f>
        <v>0</v>
      </c>
      <c r="AB310" s="140">
        <f ca="1">SUMIFS('recurring2_based on steps'!$B310:$AY310,'recurring2_based on steps'!$B$1:$AY$1,AB$1)+SUMIFS('changes2_based on steps'!$B310:$U310,'changes2_based on steps'!$B$1:$U$1,AB$1)</f>
        <v>0</v>
      </c>
      <c r="AC310" s="140">
        <f ca="1">SUMIFS('recurring2_based on steps'!$B310:$AY310,'recurring2_based on steps'!$B$1:$AY$1,AC$1)+SUMIFS('changes2_based on steps'!$B310:$U310,'changes2_based on steps'!$B$1:$U$1,AC$1)</f>
        <v>0</v>
      </c>
      <c r="AD310" s="140">
        <f ca="1">SUMIFS('recurring2_based on steps'!$B310:$AY310,'recurring2_based on steps'!$B$1:$AY$1,AD$1)+SUMIFS('changes2_based on steps'!$B310:$U310,'changes2_based on steps'!$B$1:$U$1,AD$1)</f>
        <v>0</v>
      </c>
      <c r="AE310" s="140">
        <f>SUMIFS('recurring2_based on steps'!$B310:$AY310,'recurring2_based on steps'!$B$1:$AY$1,AE$1)+SUMIFS('changes2_based on steps'!$B310:$U310,'changes2_based on steps'!$B$1:$U$1,AE$1)</f>
        <v>0</v>
      </c>
      <c r="AF310" s="140"/>
      <c r="AG310" s="140"/>
      <c r="AH310" s="140"/>
      <c r="AI310" s="140"/>
      <c r="AJ310" s="140"/>
      <c r="AK310" s="140"/>
      <c r="AL310" s="140"/>
      <c r="AM310" s="140"/>
    </row>
    <row r="311" spans="1:39" x14ac:dyDescent="0.2">
      <c r="A311" s="29">
        <f t="shared" ca="1" si="4"/>
        <v>46051</v>
      </c>
      <c r="B311" s="140">
        <f ca="1">SUMIFS('recurring2_based on steps'!$B311:$AY311,'recurring2_based on steps'!$B$1:$AY$1,B$1)+SUMIFS('changes2_based on steps'!$B311:$U311,'changes2_based on steps'!$B$1:$U$1,B$1)</f>
        <v>0</v>
      </c>
      <c r="C311" s="140">
        <f>SUMIFS('recurring2_based on steps'!$B311:$AY311,'recurring2_based on steps'!$B$1:$AY$1,C$1)+SUMIFS('changes2_based on steps'!$B311:$U311,'changes2_based on steps'!$B$1:$U$1,C$1)</f>
        <v>0</v>
      </c>
      <c r="D311" s="140">
        <f>SUMIFS('recurring2_based on steps'!$B311:$AY311,'recurring2_based on steps'!$B$1:$AY$1,D$1)+SUMIFS('changes2_based on steps'!$B311:$U311,'changes2_based on steps'!$B$1:$U$1,D$1)</f>
        <v>0</v>
      </c>
      <c r="E311" s="140">
        <f>SUMIFS('recurring2_based on steps'!$B311:$AY311,'recurring2_based on steps'!$B$1:$AY$1,E$1)+SUMIFS('changes2_based on steps'!$B311:$U311,'changes2_based on steps'!$B$1:$U$1,E$1)</f>
        <v>0</v>
      </c>
      <c r="F311" s="140">
        <f>SUMIFS('recurring2_based on steps'!$B311:$AY311,'recurring2_based on steps'!$B$1:$AY$1,F$1)+SUMIFS('changes2_based on steps'!$B311:$U311,'changes2_based on steps'!$B$1:$U$1,F$1)</f>
        <v>0</v>
      </c>
      <c r="G311" s="140">
        <f>SUMIFS('recurring2_based on steps'!$B311:$AY311,'recurring2_based on steps'!$B$1:$AY$1,G$1)+SUMIFS('changes2_based on steps'!$B311:$U311,'changes2_based on steps'!$B$1:$U$1,G$1)</f>
        <v>0</v>
      </c>
      <c r="H311" s="140">
        <f>SUMIFS('recurring2_based on steps'!$B311:$AY311,'recurring2_based on steps'!$B$1:$AY$1,H$1)+SUMIFS('changes2_based on steps'!$B311:$U311,'changes2_based on steps'!$B$1:$U$1,H$1)</f>
        <v>0</v>
      </c>
      <c r="I311" s="140">
        <f>SUMIFS('recurring2_based on steps'!$B311:$AY311,'recurring2_based on steps'!$B$1:$AY$1,I$1)+SUMIFS('changes2_based on steps'!$B311:$U311,'changes2_based on steps'!$B$1:$U$1,I$1)</f>
        <v>0</v>
      </c>
      <c r="J311" s="140">
        <f ca="1">SUMIFS('recurring2_based on steps'!$B311:$AY311,'recurring2_based on steps'!$B$1:$AY$1,J$1)+SUMIFS('changes2_based on steps'!$B311:$U311,'changes2_based on steps'!$B$1:$U$1,J$1)</f>
        <v>0</v>
      </c>
      <c r="K311" s="140">
        <f>SUMIFS('recurring2_based on steps'!$B311:$AY311,'recurring2_based on steps'!$B$1:$AY$1,K$1)+SUMIFS('changes2_based on steps'!$B311:$U311,'changes2_based on steps'!$B$1:$U$1,K$1)</f>
        <v>0</v>
      </c>
      <c r="L311" s="140">
        <f>SUMIFS('recurring2_based on steps'!$B311:$AY311,'recurring2_based on steps'!$B$1:$AY$1,L$1)+SUMIFS('changes2_based on steps'!$B311:$U311,'changes2_based on steps'!$B$1:$U$1,L$1)</f>
        <v>0</v>
      </c>
      <c r="M311" s="140">
        <f>SUMIFS('recurring2_based on steps'!$B311:$AY311,'recurring2_based on steps'!$B$1:$AY$1,M$1)+SUMIFS('changes2_based on steps'!$B311:$U311,'changes2_based on steps'!$B$1:$U$1,M$1)</f>
        <v>0</v>
      </c>
      <c r="N311" s="140">
        <f ca="1">SUMIFS('recurring2_based on steps'!$B311:$AY311,'recurring2_based on steps'!$B$1:$AY$1,N$1)+SUMIFS('changes2_based on steps'!$B311:$U311,'changes2_based on steps'!$B$1:$U$1,N$1)</f>
        <v>0</v>
      </c>
      <c r="O311" s="140">
        <f>SUMIFS('recurring2_based on steps'!$B311:$AY311,'recurring2_based on steps'!$B$1:$AY$1,O$1)+SUMIFS('changes2_based on steps'!$B311:$U311,'changes2_based on steps'!$B$1:$U$1,O$1)</f>
        <v>0</v>
      </c>
      <c r="P311" s="140">
        <f ca="1">SUMIFS('recurring2_based on steps'!$B311:$AY311,'recurring2_based on steps'!$B$1:$AY$1,P$1)+SUMIFS('changes2_based on steps'!$B311:$U311,'changes2_based on steps'!$B$1:$U$1,P$1)</f>
        <v>0</v>
      </c>
      <c r="Q311" s="140">
        <f ca="1">SUMIFS('recurring2_based on steps'!$B311:$AY311,'recurring2_based on steps'!$B$1:$AY$1,Q$1)+SUMIFS('changes2_based on steps'!$B311:$U311,'changes2_based on steps'!$B$1:$U$1,Q$1)</f>
        <v>5.5401662049861494E-2</v>
      </c>
      <c r="R311" s="140">
        <f ca="1">SUMIFS('recurring2_based on steps'!$B311:$AY311,'recurring2_based on steps'!$B$1:$AY$1,R$1)+SUMIFS('changes2_based on steps'!$B311:$U311,'changes2_based on steps'!$B$1:$U$1,R$1)</f>
        <v>0</v>
      </c>
      <c r="S311" s="140">
        <f>SUMIFS('recurring2_based on steps'!$B311:$AY311,'recurring2_based on steps'!$B$1:$AY$1,S$1)+SUMIFS('changes2_based on steps'!$B311:$U311,'changes2_based on steps'!$B$1:$U$1,S$1)</f>
        <v>0</v>
      </c>
      <c r="T311" s="140">
        <f ca="1">SUMIFS('recurring2_based on steps'!$B311:$AY311,'recurring2_based on steps'!$B$1:$AY$1,T$1)+SUMIFS('changes2_based on steps'!$B311:$U311,'changes2_based on steps'!$B$1:$U$1,T$1)</f>
        <v>0</v>
      </c>
      <c r="U311" s="140">
        <f ca="1">SUMIFS('recurring2_based on steps'!$B311:$AY311,'recurring2_based on steps'!$B$1:$AY$1,U$1)+SUMIFS('changes2_based on steps'!$B311:$U311,'changes2_based on steps'!$B$1:$U$1,U$1)</f>
        <v>0</v>
      </c>
      <c r="V311" s="140">
        <f>SUMIFS('recurring2_based on steps'!$B311:$AY311,'recurring2_based on steps'!$B$1:$AY$1,V$1)+SUMIFS('changes2_based on steps'!$B311:$U311,'changes2_based on steps'!$B$1:$U$1,V$1)</f>
        <v>0</v>
      </c>
      <c r="W311" s="140">
        <f>SUMIFS('recurring2_based on steps'!$B311:$AY311,'recurring2_based on steps'!$B$1:$AY$1,W$1)+SUMIFS('changes2_based on steps'!$B311:$U311,'changes2_based on steps'!$B$1:$U$1,W$1)</f>
        <v>0</v>
      </c>
      <c r="X311" s="140">
        <f ca="1">SUMIFS('recurring2_based on steps'!$B311:$AY311,'recurring2_based on steps'!$B$1:$AY$1,X$1)+SUMIFS('changes2_based on steps'!$B311:$U311,'changes2_based on steps'!$B$1:$U$1,X$1)</f>
        <v>0</v>
      </c>
      <c r="Y311" s="140">
        <f ca="1">SUMIFS('recurring2_based on steps'!$B311:$AY311,'recurring2_based on steps'!$B$1:$AY$1,Y$1)+SUMIFS('changes2_based on steps'!$B311:$U311,'changes2_based on steps'!$B$1:$U$1,Y$1)</f>
        <v>0</v>
      </c>
      <c r="Z311" s="140">
        <f>SUMIFS('recurring2_based on steps'!$B311:$AY311,'recurring2_based on steps'!$B$1:$AY$1,Z$1)+SUMIFS('changes2_based on steps'!$B311:$U311,'changes2_based on steps'!$B$1:$U$1,Z$1)</f>
        <v>0</v>
      </c>
      <c r="AA311" s="140">
        <f ca="1">SUMIFS('recurring2_based on steps'!$B311:$AY311,'recurring2_based on steps'!$B$1:$AY$1,AA$1)+SUMIFS('changes2_based on steps'!$B311:$U311,'changes2_based on steps'!$B$1:$U$1,AA$1)</f>
        <v>0</v>
      </c>
      <c r="AB311" s="140">
        <f ca="1">SUMIFS('recurring2_based on steps'!$B311:$AY311,'recurring2_based on steps'!$B$1:$AY$1,AB$1)+SUMIFS('changes2_based on steps'!$B311:$U311,'changes2_based on steps'!$B$1:$U$1,AB$1)</f>
        <v>0</v>
      </c>
      <c r="AC311" s="140">
        <f ca="1">SUMIFS('recurring2_based on steps'!$B311:$AY311,'recurring2_based on steps'!$B$1:$AY$1,AC$1)+SUMIFS('changes2_based on steps'!$B311:$U311,'changes2_based on steps'!$B$1:$U$1,AC$1)</f>
        <v>0</v>
      </c>
      <c r="AD311" s="140">
        <f ca="1">SUMIFS('recurring2_based on steps'!$B311:$AY311,'recurring2_based on steps'!$B$1:$AY$1,AD$1)+SUMIFS('changes2_based on steps'!$B311:$U311,'changes2_based on steps'!$B$1:$U$1,AD$1)</f>
        <v>0</v>
      </c>
      <c r="AE311" s="140">
        <f>SUMIFS('recurring2_based on steps'!$B311:$AY311,'recurring2_based on steps'!$B$1:$AY$1,AE$1)+SUMIFS('changes2_based on steps'!$B311:$U311,'changes2_based on steps'!$B$1:$U$1,AE$1)</f>
        <v>0</v>
      </c>
      <c r="AF311" s="140"/>
      <c r="AG311" s="140"/>
      <c r="AH311" s="140"/>
      <c r="AI311" s="140"/>
      <c r="AJ311" s="140"/>
      <c r="AK311" s="140"/>
      <c r="AL311" s="140"/>
      <c r="AM311" s="140"/>
    </row>
    <row r="312" spans="1:39" x14ac:dyDescent="0.2">
      <c r="A312" s="29">
        <f t="shared" ca="1" si="4"/>
        <v>46052</v>
      </c>
      <c r="B312" s="140">
        <f ca="1">SUMIFS('recurring2_based on steps'!$B312:$AY312,'recurring2_based on steps'!$B$1:$AY$1,B$1)+SUMIFS('changes2_based on steps'!$B312:$U312,'changes2_based on steps'!$B$1:$U$1,B$1)</f>
        <v>0</v>
      </c>
      <c r="C312" s="140">
        <f>SUMIFS('recurring2_based on steps'!$B312:$AY312,'recurring2_based on steps'!$B$1:$AY$1,C$1)+SUMIFS('changes2_based on steps'!$B312:$U312,'changes2_based on steps'!$B$1:$U$1,C$1)</f>
        <v>0</v>
      </c>
      <c r="D312" s="140">
        <f>SUMIFS('recurring2_based on steps'!$B312:$AY312,'recurring2_based on steps'!$B$1:$AY$1,D$1)+SUMIFS('changes2_based on steps'!$B312:$U312,'changes2_based on steps'!$B$1:$U$1,D$1)</f>
        <v>0</v>
      </c>
      <c r="E312" s="140">
        <f>SUMIFS('recurring2_based on steps'!$B312:$AY312,'recurring2_based on steps'!$B$1:$AY$1,E$1)+SUMIFS('changes2_based on steps'!$B312:$U312,'changes2_based on steps'!$B$1:$U$1,E$1)</f>
        <v>0</v>
      </c>
      <c r="F312" s="140">
        <f>SUMIFS('recurring2_based on steps'!$B312:$AY312,'recurring2_based on steps'!$B$1:$AY$1,F$1)+SUMIFS('changes2_based on steps'!$B312:$U312,'changes2_based on steps'!$B$1:$U$1,F$1)</f>
        <v>0</v>
      </c>
      <c r="G312" s="140">
        <f>SUMIFS('recurring2_based on steps'!$B312:$AY312,'recurring2_based on steps'!$B$1:$AY$1,G$1)+SUMIFS('changes2_based on steps'!$B312:$U312,'changes2_based on steps'!$B$1:$U$1,G$1)</f>
        <v>0</v>
      </c>
      <c r="H312" s="140">
        <f>SUMIFS('recurring2_based on steps'!$B312:$AY312,'recurring2_based on steps'!$B$1:$AY$1,H$1)+SUMIFS('changes2_based on steps'!$B312:$U312,'changes2_based on steps'!$B$1:$U$1,H$1)</f>
        <v>0</v>
      </c>
      <c r="I312" s="140">
        <f>SUMIFS('recurring2_based on steps'!$B312:$AY312,'recurring2_based on steps'!$B$1:$AY$1,I$1)+SUMIFS('changes2_based on steps'!$B312:$U312,'changes2_based on steps'!$B$1:$U$1,I$1)</f>
        <v>0</v>
      </c>
      <c r="J312" s="140">
        <f ca="1">SUMIFS('recurring2_based on steps'!$B312:$AY312,'recurring2_based on steps'!$B$1:$AY$1,J$1)+SUMIFS('changes2_based on steps'!$B312:$U312,'changes2_based on steps'!$B$1:$U$1,J$1)</f>
        <v>0</v>
      </c>
      <c r="K312" s="140">
        <f>SUMIFS('recurring2_based on steps'!$B312:$AY312,'recurring2_based on steps'!$B$1:$AY$1,K$1)+SUMIFS('changes2_based on steps'!$B312:$U312,'changes2_based on steps'!$B$1:$U$1,K$1)</f>
        <v>0</v>
      </c>
      <c r="L312" s="140">
        <f>SUMIFS('recurring2_based on steps'!$B312:$AY312,'recurring2_based on steps'!$B$1:$AY$1,L$1)+SUMIFS('changes2_based on steps'!$B312:$U312,'changes2_based on steps'!$B$1:$U$1,L$1)</f>
        <v>0</v>
      </c>
      <c r="M312" s="140">
        <f>SUMIFS('recurring2_based on steps'!$B312:$AY312,'recurring2_based on steps'!$B$1:$AY$1,M$1)+SUMIFS('changes2_based on steps'!$B312:$U312,'changes2_based on steps'!$B$1:$U$1,M$1)</f>
        <v>0</v>
      </c>
      <c r="N312" s="140">
        <f ca="1">SUMIFS('recurring2_based on steps'!$B312:$AY312,'recurring2_based on steps'!$B$1:$AY$1,N$1)+SUMIFS('changes2_based on steps'!$B312:$U312,'changes2_based on steps'!$B$1:$U$1,N$1)</f>
        <v>0</v>
      </c>
      <c r="O312" s="140">
        <f>SUMIFS('recurring2_based on steps'!$B312:$AY312,'recurring2_based on steps'!$B$1:$AY$1,O$1)+SUMIFS('changes2_based on steps'!$B312:$U312,'changes2_based on steps'!$B$1:$U$1,O$1)</f>
        <v>0</v>
      </c>
      <c r="P312" s="140">
        <f ca="1">SUMIFS('recurring2_based on steps'!$B312:$AY312,'recurring2_based on steps'!$B$1:$AY$1,P$1)+SUMIFS('changes2_based on steps'!$B312:$U312,'changes2_based on steps'!$B$1:$U$1,P$1)</f>
        <v>0</v>
      </c>
      <c r="Q312" s="140">
        <f ca="1">SUMIFS('recurring2_based on steps'!$B312:$AY312,'recurring2_based on steps'!$B$1:$AY$1,Q$1)+SUMIFS('changes2_based on steps'!$B312:$U312,'changes2_based on steps'!$B$1:$U$1,Q$1)</f>
        <v>5.5401662049861494E-2</v>
      </c>
      <c r="R312" s="140">
        <f ca="1">SUMIFS('recurring2_based on steps'!$B312:$AY312,'recurring2_based on steps'!$B$1:$AY$1,R$1)+SUMIFS('changes2_based on steps'!$B312:$U312,'changes2_based on steps'!$B$1:$U$1,R$1)</f>
        <v>0</v>
      </c>
      <c r="S312" s="140">
        <f>SUMIFS('recurring2_based on steps'!$B312:$AY312,'recurring2_based on steps'!$B$1:$AY$1,S$1)+SUMIFS('changes2_based on steps'!$B312:$U312,'changes2_based on steps'!$B$1:$U$1,S$1)</f>
        <v>0</v>
      </c>
      <c r="T312" s="140">
        <f ca="1">SUMIFS('recurring2_based on steps'!$B312:$AY312,'recurring2_based on steps'!$B$1:$AY$1,T$1)+SUMIFS('changes2_based on steps'!$B312:$U312,'changes2_based on steps'!$B$1:$U$1,T$1)</f>
        <v>0</v>
      </c>
      <c r="U312" s="140">
        <f ca="1">SUMIFS('recurring2_based on steps'!$B312:$AY312,'recurring2_based on steps'!$B$1:$AY$1,U$1)+SUMIFS('changes2_based on steps'!$B312:$U312,'changes2_based on steps'!$B$1:$U$1,U$1)</f>
        <v>0</v>
      </c>
      <c r="V312" s="140">
        <f>SUMIFS('recurring2_based on steps'!$B312:$AY312,'recurring2_based on steps'!$B$1:$AY$1,V$1)+SUMIFS('changes2_based on steps'!$B312:$U312,'changes2_based on steps'!$B$1:$U$1,V$1)</f>
        <v>0</v>
      </c>
      <c r="W312" s="140">
        <f>SUMIFS('recurring2_based on steps'!$B312:$AY312,'recurring2_based on steps'!$B$1:$AY$1,W$1)+SUMIFS('changes2_based on steps'!$B312:$U312,'changes2_based on steps'!$B$1:$U$1,W$1)</f>
        <v>0</v>
      </c>
      <c r="X312" s="140">
        <f ca="1">SUMIFS('recurring2_based on steps'!$B312:$AY312,'recurring2_based on steps'!$B$1:$AY$1,X$1)+SUMIFS('changes2_based on steps'!$B312:$U312,'changes2_based on steps'!$B$1:$U$1,X$1)</f>
        <v>0</v>
      </c>
      <c r="Y312" s="140">
        <f ca="1">SUMIFS('recurring2_based on steps'!$B312:$AY312,'recurring2_based on steps'!$B$1:$AY$1,Y$1)+SUMIFS('changes2_based on steps'!$B312:$U312,'changes2_based on steps'!$B$1:$U$1,Y$1)</f>
        <v>0</v>
      </c>
      <c r="Z312" s="140">
        <f>SUMIFS('recurring2_based on steps'!$B312:$AY312,'recurring2_based on steps'!$B$1:$AY$1,Z$1)+SUMIFS('changes2_based on steps'!$B312:$U312,'changes2_based on steps'!$B$1:$U$1,Z$1)</f>
        <v>0</v>
      </c>
      <c r="AA312" s="140">
        <f ca="1">SUMIFS('recurring2_based on steps'!$B312:$AY312,'recurring2_based on steps'!$B$1:$AY$1,AA$1)+SUMIFS('changes2_based on steps'!$B312:$U312,'changes2_based on steps'!$B$1:$U$1,AA$1)</f>
        <v>0</v>
      </c>
      <c r="AB312" s="140">
        <f ca="1">SUMIFS('recurring2_based on steps'!$B312:$AY312,'recurring2_based on steps'!$B$1:$AY$1,AB$1)+SUMIFS('changes2_based on steps'!$B312:$U312,'changes2_based on steps'!$B$1:$U$1,AB$1)</f>
        <v>0</v>
      </c>
      <c r="AC312" s="140">
        <f ca="1">SUMIFS('recurring2_based on steps'!$B312:$AY312,'recurring2_based on steps'!$B$1:$AY$1,AC$1)+SUMIFS('changes2_based on steps'!$B312:$U312,'changes2_based on steps'!$B$1:$U$1,AC$1)</f>
        <v>0</v>
      </c>
      <c r="AD312" s="140">
        <f ca="1">SUMIFS('recurring2_based on steps'!$B312:$AY312,'recurring2_based on steps'!$B$1:$AY$1,AD$1)+SUMIFS('changes2_based on steps'!$B312:$U312,'changes2_based on steps'!$B$1:$U$1,AD$1)</f>
        <v>0</v>
      </c>
      <c r="AE312" s="140">
        <f>SUMIFS('recurring2_based on steps'!$B312:$AY312,'recurring2_based on steps'!$B$1:$AY$1,AE$1)+SUMIFS('changes2_based on steps'!$B312:$U312,'changes2_based on steps'!$B$1:$U$1,AE$1)</f>
        <v>0</v>
      </c>
      <c r="AF312" s="140"/>
      <c r="AG312" s="140"/>
      <c r="AH312" s="140"/>
      <c r="AI312" s="140"/>
      <c r="AJ312" s="140"/>
      <c r="AK312" s="140"/>
      <c r="AL312" s="140"/>
      <c r="AM312" s="140"/>
    </row>
    <row r="313" spans="1:39" x14ac:dyDescent="0.2">
      <c r="A313" s="29">
        <f t="shared" ca="1" si="4"/>
        <v>46053</v>
      </c>
      <c r="B313" s="140">
        <f ca="1">SUMIFS('recurring2_based on steps'!$B313:$AY313,'recurring2_based on steps'!$B$1:$AY$1,B$1)+SUMIFS('changes2_based on steps'!$B313:$U313,'changes2_based on steps'!$B$1:$U$1,B$1)</f>
        <v>0</v>
      </c>
      <c r="C313" s="140">
        <f>SUMIFS('recurring2_based on steps'!$B313:$AY313,'recurring2_based on steps'!$B$1:$AY$1,C$1)+SUMIFS('changes2_based on steps'!$B313:$U313,'changes2_based on steps'!$B$1:$U$1,C$1)</f>
        <v>0</v>
      </c>
      <c r="D313" s="140">
        <f>SUMIFS('recurring2_based on steps'!$B313:$AY313,'recurring2_based on steps'!$B$1:$AY$1,D$1)+SUMIFS('changes2_based on steps'!$B313:$U313,'changes2_based on steps'!$B$1:$U$1,D$1)</f>
        <v>0</v>
      </c>
      <c r="E313" s="140">
        <f>SUMIFS('recurring2_based on steps'!$B313:$AY313,'recurring2_based on steps'!$B$1:$AY$1,E$1)+SUMIFS('changes2_based on steps'!$B313:$U313,'changes2_based on steps'!$B$1:$U$1,E$1)</f>
        <v>0</v>
      </c>
      <c r="F313" s="140">
        <f>SUMIFS('recurring2_based on steps'!$B313:$AY313,'recurring2_based on steps'!$B$1:$AY$1,F$1)+SUMIFS('changes2_based on steps'!$B313:$U313,'changes2_based on steps'!$B$1:$U$1,F$1)</f>
        <v>0</v>
      </c>
      <c r="G313" s="140">
        <f>SUMIFS('recurring2_based on steps'!$B313:$AY313,'recurring2_based on steps'!$B$1:$AY$1,G$1)+SUMIFS('changes2_based on steps'!$B313:$U313,'changes2_based on steps'!$B$1:$U$1,G$1)</f>
        <v>0</v>
      </c>
      <c r="H313" s="140">
        <f>SUMIFS('recurring2_based on steps'!$B313:$AY313,'recurring2_based on steps'!$B$1:$AY$1,H$1)+SUMIFS('changes2_based on steps'!$B313:$U313,'changes2_based on steps'!$B$1:$U$1,H$1)</f>
        <v>0</v>
      </c>
      <c r="I313" s="140">
        <f>SUMIFS('recurring2_based on steps'!$B313:$AY313,'recurring2_based on steps'!$B$1:$AY$1,I$1)+SUMIFS('changes2_based on steps'!$B313:$U313,'changes2_based on steps'!$B$1:$U$1,I$1)</f>
        <v>0</v>
      </c>
      <c r="J313" s="140">
        <f ca="1">SUMIFS('recurring2_based on steps'!$B313:$AY313,'recurring2_based on steps'!$B$1:$AY$1,J$1)+SUMIFS('changes2_based on steps'!$B313:$U313,'changes2_based on steps'!$B$1:$U$1,J$1)</f>
        <v>100</v>
      </c>
      <c r="K313" s="140">
        <f>SUMIFS('recurring2_based on steps'!$B313:$AY313,'recurring2_based on steps'!$B$1:$AY$1,K$1)+SUMIFS('changes2_based on steps'!$B313:$U313,'changes2_based on steps'!$B$1:$U$1,K$1)</f>
        <v>0</v>
      </c>
      <c r="L313" s="140">
        <f>SUMIFS('recurring2_based on steps'!$B313:$AY313,'recurring2_based on steps'!$B$1:$AY$1,L$1)+SUMIFS('changes2_based on steps'!$B313:$U313,'changes2_based on steps'!$B$1:$U$1,L$1)</f>
        <v>0</v>
      </c>
      <c r="M313" s="140">
        <f>SUMIFS('recurring2_based on steps'!$B313:$AY313,'recurring2_based on steps'!$B$1:$AY$1,M$1)+SUMIFS('changes2_based on steps'!$B313:$U313,'changes2_based on steps'!$B$1:$U$1,M$1)</f>
        <v>0</v>
      </c>
      <c r="N313" s="140">
        <f ca="1">SUMIFS('recurring2_based on steps'!$B313:$AY313,'recurring2_based on steps'!$B$1:$AY$1,N$1)+SUMIFS('changes2_based on steps'!$B313:$U313,'changes2_based on steps'!$B$1:$U$1,N$1)</f>
        <v>40</v>
      </c>
      <c r="O313" s="140">
        <f>SUMIFS('recurring2_based on steps'!$B313:$AY313,'recurring2_based on steps'!$B$1:$AY$1,O$1)+SUMIFS('changes2_based on steps'!$B313:$U313,'changes2_based on steps'!$B$1:$U$1,O$1)</f>
        <v>0</v>
      </c>
      <c r="P313" s="140">
        <f ca="1">SUMIFS('recurring2_based on steps'!$B313:$AY313,'recurring2_based on steps'!$B$1:$AY$1,P$1)+SUMIFS('changes2_based on steps'!$B313:$U313,'changes2_based on steps'!$B$1:$U$1,P$1)</f>
        <v>0</v>
      </c>
      <c r="Q313" s="140">
        <f ca="1">SUMIFS('recurring2_based on steps'!$B313:$AY313,'recurring2_based on steps'!$B$1:$AY$1,Q$1)+SUMIFS('changes2_based on steps'!$B313:$U313,'changes2_based on steps'!$B$1:$U$1,Q$1)</f>
        <v>100.05540166204986</v>
      </c>
      <c r="R313" s="140">
        <f ca="1">SUMIFS('recurring2_based on steps'!$B313:$AY313,'recurring2_based on steps'!$B$1:$AY$1,R$1)+SUMIFS('changes2_based on steps'!$B313:$U313,'changes2_based on steps'!$B$1:$U$1,R$1)</f>
        <v>0</v>
      </c>
      <c r="S313" s="140">
        <f>SUMIFS('recurring2_based on steps'!$B313:$AY313,'recurring2_based on steps'!$B$1:$AY$1,S$1)+SUMIFS('changes2_based on steps'!$B313:$U313,'changes2_based on steps'!$B$1:$U$1,S$1)</f>
        <v>0</v>
      </c>
      <c r="T313" s="140">
        <f ca="1">SUMIFS('recurring2_based on steps'!$B313:$AY313,'recurring2_based on steps'!$B$1:$AY$1,T$1)+SUMIFS('changes2_based on steps'!$B313:$U313,'changes2_based on steps'!$B$1:$U$1,T$1)</f>
        <v>0</v>
      </c>
      <c r="U313" s="140">
        <f ca="1">SUMIFS('recurring2_based on steps'!$B313:$AY313,'recurring2_based on steps'!$B$1:$AY$1,U$1)+SUMIFS('changes2_based on steps'!$B313:$U313,'changes2_based on steps'!$B$1:$U$1,U$1)</f>
        <v>0</v>
      </c>
      <c r="V313" s="140">
        <f>SUMIFS('recurring2_based on steps'!$B313:$AY313,'recurring2_based on steps'!$B$1:$AY$1,V$1)+SUMIFS('changes2_based on steps'!$B313:$U313,'changes2_based on steps'!$B$1:$U$1,V$1)</f>
        <v>0</v>
      </c>
      <c r="W313" s="140">
        <f>SUMIFS('recurring2_based on steps'!$B313:$AY313,'recurring2_based on steps'!$B$1:$AY$1,W$1)+SUMIFS('changes2_based on steps'!$B313:$U313,'changes2_based on steps'!$B$1:$U$1,W$1)</f>
        <v>0</v>
      </c>
      <c r="X313" s="140">
        <f ca="1">SUMIFS('recurring2_based on steps'!$B313:$AY313,'recurring2_based on steps'!$B$1:$AY$1,X$1)+SUMIFS('changes2_based on steps'!$B313:$U313,'changes2_based on steps'!$B$1:$U$1,X$1)</f>
        <v>0</v>
      </c>
      <c r="Y313" s="140">
        <f ca="1">SUMIFS('recurring2_based on steps'!$B313:$AY313,'recurring2_based on steps'!$B$1:$AY$1,Y$1)+SUMIFS('changes2_based on steps'!$B313:$U313,'changes2_based on steps'!$B$1:$U$1,Y$1)</f>
        <v>0</v>
      </c>
      <c r="Z313" s="140">
        <f>SUMIFS('recurring2_based on steps'!$B313:$AY313,'recurring2_based on steps'!$B$1:$AY$1,Z$1)+SUMIFS('changes2_based on steps'!$B313:$U313,'changes2_based on steps'!$B$1:$U$1,Z$1)</f>
        <v>0</v>
      </c>
      <c r="AA313" s="140">
        <f ca="1">SUMIFS('recurring2_based on steps'!$B313:$AY313,'recurring2_based on steps'!$B$1:$AY$1,AA$1)+SUMIFS('changes2_based on steps'!$B313:$U313,'changes2_based on steps'!$B$1:$U$1,AA$1)</f>
        <v>0</v>
      </c>
      <c r="AB313" s="140">
        <f ca="1">SUMIFS('recurring2_based on steps'!$B313:$AY313,'recurring2_based on steps'!$B$1:$AY$1,AB$1)+SUMIFS('changes2_based on steps'!$B313:$U313,'changes2_based on steps'!$B$1:$U$1,AB$1)</f>
        <v>100</v>
      </c>
      <c r="AC313" s="140">
        <f ca="1">SUMIFS('recurring2_based on steps'!$B313:$AY313,'recurring2_based on steps'!$B$1:$AY$1,AC$1)+SUMIFS('changes2_based on steps'!$B313:$U313,'changes2_based on steps'!$B$1:$U$1,AC$1)</f>
        <v>0</v>
      </c>
      <c r="AD313" s="140">
        <f ca="1">SUMIFS('recurring2_based on steps'!$B313:$AY313,'recurring2_based on steps'!$B$1:$AY$1,AD$1)+SUMIFS('changes2_based on steps'!$B313:$U313,'changes2_based on steps'!$B$1:$U$1,AD$1)</f>
        <v>0</v>
      </c>
      <c r="AE313" s="140">
        <f>SUMIFS('recurring2_based on steps'!$B313:$AY313,'recurring2_based on steps'!$B$1:$AY$1,AE$1)+SUMIFS('changes2_based on steps'!$B313:$U313,'changes2_based on steps'!$B$1:$U$1,AE$1)</f>
        <v>0</v>
      </c>
      <c r="AF313" s="140"/>
      <c r="AG313" s="140"/>
      <c r="AH313" s="140"/>
      <c r="AI313" s="140"/>
      <c r="AJ313" s="140"/>
      <c r="AK313" s="140"/>
      <c r="AL313" s="140"/>
      <c r="AM313" s="140"/>
    </row>
    <row r="314" spans="1:39" x14ac:dyDescent="0.2">
      <c r="A314" s="29">
        <f t="shared" ca="1" si="4"/>
        <v>46054</v>
      </c>
      <c r="B314" s="140">
        <f ca="1">SUMIFS('recurring2_based on steps'!$B314:$AY314,'recurring2_based on steps'!$B$1:$AY$1,B$1)+SUMIFS('changes2_based on steps'!$B314:$U314,'changes2_based on steps'!$B$1:$U$1,B$1)</f>
        <v>0</v>
      </c>
      <c r="C314" s="140">
        <f>SUMIFS('recurring2_based on steps'!$B314:$AY314,'recurring2_based on steps'!$B$1:$AY$1,C$1)+SUMIFS('changes2_based on steps'!$B314:$U314,'changes2_based on steps'!$B$1:$U$1,C$1)</f>
        <v>0</v>
      </c>
      <c r="D314" s="140">
        <f>SUMIFS('recurring2_based on steps'!$B314:$AY314,'recurring2_based on steps'!$B$1:$AY$1,D$1)+SUMIFS('changes2_based on steps'!$B314:$U314,'changes2_based on steps'!$B$1:$U$1,D$1)</f>
        <v>0</v>
      </c>
      <c r="E314" s="140">
        <f>SUMIFS('recurring2_based on steps'!$B314:$AY314,'recurring2_based on steps'!$B$1:$AY$1,E$1)+SUMIFS('changes2_based on steps'!$B314:$U314,'changes2_based on steps'!$B$1:$U$1,E$1)</f>
        <v>0</v>
      </c>
      <c r="F314" s="140">
        <f>SUMIFS('recurring2_based on steps'!$B314:$AY314,'recurring2_based on steps'!$B$1:$AY$1,F$1)+SUMIFS('changes2_based on steps'!$B314:$U314,'changes2_based on steps'!$B$1:$U$1,F$1)</f>
        <v>0</v>
      </c>
      <c r="G314" s="140">
        <f>SUMIFS('recurring2_based on steps'!$B314:$AY314,'recurring2_based on steps'!$B$1:$AY$1,G$1)+SUMIFS('changes2_based on steps'!$B314:$U314,'changes2_based on steps'!$B$1:$U$1,G$1)</f>
        <v>0</v>
      </c>
      <c r="H314" s="140">
        <f>SUMIFS('recurring2_based on steps'!$B314:$AY314,'recurring2_based on steps'!$B$1:$AY$1,H$1)+SUMIFS('changes2_based on steps'!$B314:$U314,'changes2_based on steps'!$B$1:$U$1,H$1)</f>
        <v>0</v>
      </c>
      <c r="I314" s="140">
        <f>SUMIFS('recurring2_based on steps'!$B314:$AY314,'recurring2_based on steps'!$B$1:$AY$1,I$1)+SUMIFS('changes2_based on steps'!$B314:$U314,'changes2_based on steps'!$B$1:$U$1,I$1)</f>
        <v>0</v>
      </c>
      <c r="J314" s="140">
        <f ca="1">SUMIFS('recurring2_based on steps'!$B314:$AY314,'recurring2_based on steps'!$B$1:$AY$1,J$1)+SUMIFS('changes2_based on steps'!$B314:$U314,'changes2_based on steps'!$B$1:$U$1,J$1)</f>
        <v>0</v>
      </c>
      <c r="K314" s="140">
        <f>SUMIFS('recurring2_based on steps'!$B314:$AY314,'recurring2_based on steps'!$B$1:$AY$1,K$1)+SUMIFS('changes2_based on steps'!$B314:$U314,'changes2_based on steps'!$B$1:$U$1,K$1)</f>
        <v>0</v>
      </c>
      <c r="L314" s="140">
        <f>SUMIFS('recurring2_based on steps'!$B314:$AY314,'recurring2_based on steps'!$B$1:$AY$1,L$1)+SUMIFS('changes2_based on steps'!$B314:$U314,'changes2_based on steps'!$B$1:$U$1,L$1)</f>
        <v>0</v>
      </c>
      <c r="M314" s="140">
        <f>SUMIFS('recurring2_based on steps'!$B314:$AY314,'recurring2_based on steps'!$B$1:$AY$1,M$1)+SUMIFS('changes2_based on steps'!$B314:$U314,'changes2_based on steps'!$B$1:$U$1,M$1)</f>
        <v>0</v>
      </c>
      <c r="N314" s="140">
        <f ca="1">SUMIFS('recurring2_based on steps'!$B314:$AY314,'recurring2_based on steps'!$B$1:$AY$1,N$1)+SUMIFS('changes2_based on steps'!$B314:$U314,'changes2_based on steps'!$B$1:$U$1,N$1)</f>
        <v>2000</v>
      </c>
      <c r="O314" s="140">
        <f>SUMIFS('recurring2_based on steps'!$B314:$AY314,'recurring2_based on steps'!$B$1:$AY$1,O$1)+SUMIFS('changes2_based on steps'!$B314:$U314,'changes2_based on steps'!$B$1:$U$1,O$1)</f>
        <v>0</v>
      </c>
      <c r="P314" s="140">
        <f ca="1">SUMIFS('recurring2_based on steps'!$B314:$AY314,'recurring2_based on steps'!$B$1:$AY$1,P$1)+SUMIFS('changes2_based on steps'!$B314:$U314,'changes2_based on steps'!$B$1:$U$1,P$1)</f>
        <v>0</v>
      </c>
      <c r="Q314" s="140">
        <f ca="1">SUMIFS('recurring2_based on steps'!$B314:$AY314,'recurring2_based on steps'!$B$1:$AY$1,Q$1)+SUMIFS('changes2_based on steps'!$B314:$U314,'changes2_based on steps'!$B$1:$U$1,Q$1)</f>
        <v>100.05540166204986</v>
      </c>
      <c r="R314" s="140">
        <f ca="1">SUMIFS('recurring2_based on steps'!$B314:$AY314,'recurring2_based on steps'!$B$1:$AY$1,R$1)+SUMIFS('changes2_based on steps'!$B314:$U314,'changes2_based on steps'!$B$1:$U$1,R$1)</f>
        <v>0</v>
      </c>
      <c r="S314" s="140">
        <f>SUMIFS('recurring2_based on steps'!$B314:$AY314,'recurring2_based on steps'!$B$1:$AY$1,S$1)+SUMIFS('changes2_based on steps'!$B314:$U314,'changes2_based on steps'!$B$1:$U$1,S$1)</f>
        <v>0</v>
      </c>
      <c r="T314" s="140">
        <f ca="1">SUMIFS('recurring2_based on steps'!$B314:$AY314,'recurring2_based on steps'!$B$1:$AY$1,T$1)+SUMIFS('changes2_based on steps'!$B314:$U314,'changes2_based on steps'!$B$1:$U$1,T$1)</f>
        <v>0</v>
      </c>
      <c r="U314" s="140">
        <f ca="1">SUMIFS('recurring2_based on steps'!$B314:$AY314,'recurring2_based on steps'!$B$1:$AY$1,U$1)+SUMIFS('changes2_based on steps'!$B314:$U314,'changes2_based on steps'!$B$1:$U$1,U$1)</f>
        <v>0</v>
      </c>
      <c r="V314" s="140">
        <f>SUMIFS('recurring2_based on steps'!$B314:$AY314,'recurring2_based on steps'!$B$1:$AY$1,V$1)+SUMIFS('changes2_based on steps'!$B314:$U314,'changes2_based on steps'!$B$1:$U$1,V$1)</f>
        <v>0</v>
      </c>
      <c r="W314" s="140">
        <f>SUMIFS('recurring2_based on steps'!$B314:$AY314,'recurring2_based on steps'!$B$1:$AY$1,W$1)+SUMIFS('changes2_based on steps'!$B314:$U314,'changes2_based on steps'!$B$1:$U$1,W$1)</f>
        <v>0</v>
      </c>
      <c r="X314" s="140">
        <f ca="1">SUMIFS('recurring2_based on steps'!$B314:$AY314,'recurring2_based on steps'!$B$1:$AY$1,X$1)+SUMIFS('changes2_based on steps'!$B314:$U314,'changes2_based on steps'!$B$1:$U$1,X$1)</f>
        <v>0</v>
      </c>
      <c r="Y314" s="140">
        <f ca="1">SUMIFS('recurring2_based on steps'!$B314:$AY314,'recurring2_based on steps'!$B$1:$AY$1,Y$1)+SUMIFS('changes2_based on steps'!$B314:$U314,'changes2_based on steps'!$B$1:$U$1,Y$1)</f>
        <v>50</v>
      </c>
      <c r="Z314" s="140">
        <f>SUMIFS('recurring2_based on steps'!$B314:$AY314,'recurring2_based on steps'!$B$1:$AY$1,Z$1)+SUMIFS('changes2_based on steps'!$B314:$U314,'changes2_based on steps'!$B$1:$U$1,Z$1)</f>
        <v>0</v>
      </c>
      <c r="AA314" s="140">
        <f ca="1">SUMIFS('recurring2_based on steps'!$B314:$AY314,'recurring2_based on steps'!$B$1:$AY$1,AA$1)+SUMIFS('changes2_based on steps'!$B314:$U314,'changes2_based on steps'!$B$1:$U$1,AA$1)</f>
        <v>0</v>
      </c>
      <c r="AB314" s="140">
        <f ca="1">SUMIFS('recurring2_based on steps'!$B314:$AY314,'recurring2_based on steps'!$B$1:$AY$1,AB$1)+SUMIFS('changes2_based on steps'!$B314:$U314,'changes2_based on steps'!$B$1:$U$1,AB$1)</f>
        <v>0</v>
      </c>
      <c r="AC314" s="140">
        <f ca="1">SUMIFS('recurring2_based on steps'!$B314:$AY314,'recurring2_based on steps'!$B$1:$AY$1,AC$1)+SUMIFS('changes2_based on steps'!$B314:$U314,'changes2_based on steps'!$B$1:$U$1,AC$1)</f>
        <v>0</v>
      </c>
      <c r="AD314" s="140">
        <f ca="1">SUMIFS('recurring2_based on steps'!$B314:$AY314,'recurring2_based on steps'!$B$1:$AY$1,AD$1)+SUMIFS('changes2_based on steps'!$B314:$U314,'changes2_based on steps'!$B$1:$U$1,AD$1)</f>
        <v>0</v>
      </c>
      <c r="AE314" s="140">
        <f>SUMIFS('recurring2_based on steps'!$B314:$AY314,'recurring2_based on steps'!$B$1:$AY$1,AE$1)+SUMIFS('changes2_based on steps'!$B314:$U314,'changes2_based on steps'!$B$1:$U$1,AE$1)</f>
        <v>0</v>
      </c>
      <c r="AF314" s="140"/>
      <c r="AG314" s="140"/>
      <c r="AH314" s="140"/>
      <c r="AI314" s="140"/>
      <c r="AJ314" s="140"/>
      <c r="AK314" s="140"/>
      <c r="AL314" s="140"/>
      <c r="AM314" s="140"/>
    </row>
    <row r="315" spans="1:39" x14ac:dyDescent="0.2">
      <c r="A315" s="29">
        <f t="shared" ca="1" si="4"/>
        <v>46055</v>
      </c>
      <c r="B315" s="140">
        <f ca="1">SUMIFS('recurring2_based on steps'!$B315:$AY315,'recurring2_based on steps'!$B$1:$AY$1,B$1)+SUMIFS('changes2_based on steps'!$B315:$U315,'changes2_based on steps'!$B$1:$U$1,B$1)</f>
        <v>0</v>
      </c>
      <c r="C315" s="140">
        <f>SUMIFS('recurring2_based on steps'!$B315:$AY315,'recurring2_based on steps'!$B$1:$AY$1,C$1)+SUMIFS('changes2_based on steps'!$B315:$U315,'changes2_based on steps'!$B$1:$U$1,C$1)</f>
        <v>0</v>
      </c>
      <c r="D315" s="140">
        <f>SUMIFS('recurring2_based on steps'!$B315:$AY315,'recurring2_based on steps'!$B$1:$AY$1,D$1)+SUMIFS('changes2_based on steps'!$B315:$U315,'changes2_based on steps'!$B$1:$U$1,D$1)</f>
        <v>0</v>
      </c>
      <c r="E315" s="140">
        <f>SUMIFS('recurring2_based on steps'!$B315:$AY315,'recurring2_based on steps'!$B$1:$AY$1,E$1)+SUMIFS('changes2_based on steps'!$B315:$U315,'changes2_based on steps'!$B$1:$U$1,E$1)</f>
        <v>0</v>
      </c>
      <c r="F315" s="140">
        <f>SUMIFS('recurring2_based on steps'!$B315:$AY315,'recurring2_based on steps'!$B$1:$AY$1,F$1)+SUMIFS('changes2_based on steps'!$B315:$U315,'changes2_based on steps'!$B$1:$U$1,F$1)</f>
        <v>0</v>
      </c>
      <c r="G315" s="140">
        <f>SUMIFS('recurring2_based on steps'!$B315:$AY315,'recurring2_based on steps'!$B$1:$AY$1,G$1)+SUMIFS('changes2_based on steps'!$B315:$U315,'changes2_based on steps'!$B$1:$U$1,G$1)</f>
        <v>0</v>
      </c>
      <c r="H315" s="140">
        <f>SUMIFS('recurring2_based on steps'!$B315:$AY315,'recurring2_based on steps'!$B$1:$AY$1,H$1)+SUMIFS('changes2_based on steps'!$B315:$U315,'changes2_based on steps'!$B$1:$U$1,H$1)</f>
        <v>0</v>
      </c>
      <c r="I315" s="140">
        <f>SUMIFS('recurring2_based on steps'!$B315:$AY315,'recurring2_based on steps'!$B$1:$AY$1,I$1)+SUMIFS('changes2_based on steps'!$B315:$U315,'changes2_based on steps'!$B$1:$U$1,I$1)</f>
        <v>0</v>
      </c>
      <c r="J315" s="140">
        <f ca="1">SUMIFS('recurring2_based on steps'!$B315:$AY315,'recurring2_based on steps'!$B$1:$AY$1,J$1)+SUMIFS('changes2_based on steps'!$B315:$U315,'changes2_based on steps'!$B$1:$U$1,J$1)</f>
        <v>0</v>
      </c>
      <c r="K315" s="140">
        <f>SUMIFS('recurring2_based on steps'!$B315:$AY315,'recurring2_based on steps'!$B$1:$AY$1,K$1)+SUMIFS('changes2_based on steps'!$B315:$U315,'changes2_based on steps'!$B$1:$U$1,K$1)</f>
        <v>0</v>
      </c>
      <c r="L315" s="140">
        <f>SUMIFS('recurring2_based on steps'!$B315:$AY315,'recurring2_based on steps'!$B$1:$AY$1,L$1)+SUMIFS('changes2_based on steps'!$B315:$U315,'changes2_based on steps'!$B$1:$U$1,L$1)</f>
        <v>0</v>
      </c>
      <c r="M315" s="140">
        <f>SUMIFS('recurring2_based on steps'!$B315:$AY315,'recurring2_based on steps'!$B$1:$AY$1,M$1)+SUMIFS('changes2_based on steps'!$B315:$U315,'changes2_based on steps'!$B$1:$U$1,M$1)</f>
        <v>0</v>
      </c>
      <c r="N315" s="140">
        <f ca="1">SUMIFS('recurring2_based on steps'!$B315:$AY315,'recurring2_based on steps'!$B$1:$AY$1,N$1)+SUMIFS('changes2_based on steps'!$B315:$U315,'changes2_based on steps'!$B$1:$U$1,N$1)</f>
        <v>0</v>
      </c>
      <c r="O315" s="140">
        <f>SUMIFS('recurring2_based on steps'!$B315:$AY315,'recurring2_based on steps'!$B$1:$AY$1,O$1)+SUMIFS('changes2_based on steps'!$B315:$U315,'changes2_based on steps'!$B$1:$U$1,O$1)</f>
        <v>0</v>
      </c>
      <c r="P315" s="140">
        <f ca="1">SUMIFS('recurring2_based on steps'!$B315:$AY315,'recurring2_based on steps'!$B$1:$AY$1,P$1)+SUMIFS('changes2_based on steps'!$B315:$U315,'changes2_based on steps'!$B$1:$U$1,P$1)</f>
        <v>0</v>
      </c>
      <c r="Q315" s="140">
        <f ca="1">SUMIFS('recurring2_based on steps'!$B315:$AY315,'recurring2_based on steps'!$B$1:$AY$1,Q$1)+SUMIFS('changes2_based on steps'!$B315:$U315,'changes2_based on steps'!$B$1:$U$1,Q$1)</f>
        <v>5.5401662049861494E-2</v>
      </c>
      <c r="R315" s="140">
        <f ca="1">SUMIFS('recurring2_based on steps'!$B315:$AY315,'recurring2_based on steps'!$B$1:$AY$1,R$1)+SUMIFS('changes2_based on steps'!$B315:$U315,'changes2_based on steps'!$B$1:$U$1,R$1)</f>
        <v>0</v>
      </c>
      <c r="S315" s="140">
        <f>SUMIFS('recurring2_based on steps'!$B315:$AY315,'recurring2_based on steps'!$B$1:$AY$1,S$1)+SUMIFS('changes2_based on steps'!$B315:$U315,'changes2_based on steps'!$B$1:$U$1,S$1)</f>
        <v>0</v>
      </c>
      <c r="T315" s="140">
        <f ca="1">SUMIFS('recurring2_based on steps'!$B315:$AY315,'recurring2_based on steps'!$B$1:$AY$1,T$1)+SUMIFS('changes2_based on steps'!$B315:$U315,'changes2_based on steps'!$B$1:$U$1,T$1)</f>
        <v>0</v>
      </c>
      <c r="U315" s="140">
        <f ca="1">SUMIFS('recurring2_based on steps'!$B315:$AY315,'recurring2_based on steps'!$B$1:$AY$1,U$1)+SUMIFS('changes2_based on steps'!$B315:$U315,'changes2_based on steps'!$B$1:$U$1,U$1)</f>
        <v>0</v>
      </c>
      <c r="V315" s="140">
        <f>SUMIFS('recurring2_based on steps'!$B315:$AY315,'recurring2_based on steps'!$B$1:$AY$1,V$1)+SUMIFS('changes2_based on steps'!$B315:$U315,'changes2_based on steps'!$B$1:$U$1,V$1)</f>
        <v>0</v>
      </c>
      <c r="W315" s="140">
        <f>SUMIFS('recurring2_based on steps'!$B315:$AY315,'recurring2_based on steps'!$B$1:$AY$1,W$1)+SUMIFS('changes2_based on steps'!$B315:$U315,'changes2_based on steps'!$B$1:$U$1,W$1)</f>
        <v>0</v>
      </c>
      <c r="X315" s="140">
        <f ca="1">SUMIFS('recurring2_based on steps'!$B315:$AY315,'recurring2_based on steps'!$B$1:$AY$1,X$1)+SUMIFS('changes2_based on steps'!$B315:$U315,'changes2_based on steps'!$B$1:$U$1,X$1)</f>
        <v>0</v>
      </c>
      <c r="Y315" s="140">
        <f ca="1">SUMIFS('recurring2_based on steps'!$B315:$AY315,'recurring2_based on steps'!$B$1:$AY$1,Y$1)+SUMIFS('changes2_based on steps'!$B315:$U315,'changes2_based on steps'!$B$1:$U$1,Y$1)</f>
        <v>0</v>
      </c>
      <c r="Z315" s="140">
        <f>SUMIFS('recurring2_based on steps'!$B315:$AY315,'recurring2_based on steps'!$B$1:$AY$1,Z$1)+SUMIFS('changes2_based on steps'!$B315:$U315,'changes2_based on steps'!$B$1:$U$1,Z$1)</f>
        <v>0</v>
      </c>
      <c r="AA315" s="140">
        <f ca="1">SUMIFS('recurring2_based on steps'!$B315:$AY315,'recurring2_based on steps'!$B$1:$AY$1,AA$1)+SUMIFS('changes2_based on steps'!$B315:$U315,'changes2_based on steps'!$B$1:$U$1,AA$1)</f>
        <v>0</v>
      </c>
      <c r="AB315" s="140">
        <f ca="1">SUMIFS('recurring2_based on steps'!$B315:$AY315,'recurring2_based on steps'!$B$1:$AY$1,AB$1)+SUMIFS('changes2_based on steps'!$B315:$U315,'changes2_based on steps'!$B$1:$U$1,AB$1)</f>
        <v>0</v>
      </c>
      <c r="AC315" s="140">
        <f ca="1">SUMIFS('recurring2_based on steps'!$B315:$AY315,'recurring2_based on steps'!$B$1:$AY$1,AC$1)+SUMIFS('changes2_based on steps'!$B315:$U315,'changes2_based on steps'!$B$1:$U$1,AC$1)</f>
        <v>0</v>
      </c>
      <c r="AD315" s="140">
        <f ca="1">SUMIFS('recurring2_based on steps'!$B315:$AY315,'recurring2_based on steps'!$B$1:$AY$1,AD$1)+SUMIFS('changes2_based on steps'!$B315:$U315,'changes2_based on steps'!$B$1:$U$1,AD$1)</f>
        <v>0</v>
      </c>
      <c r="AE315" s="140">
        <f>SUMIFS('recurring2_based on steps'!$B315:$AY315,'recurring2_based on steps'!$B$1:$AY$1,AE$1)+SUMIFS('changes2_based on steps'!$B315:$U315,'changes2_based on steps'!$B$1:$U$1,AE$1)</f>
        <v>0</v>
      </c>
      <c r="AF315" s="140"/>
      <c r="AG315" s="140"/>
      <c r="AH315" s="140"/>
      <c r="AI315" s="140"/>
      <c r="AJ315" s="140"/>
      <c r="AK315" s="140"/>
      <c r="AL315" s="140"/>
      <c r="AM315" s="140"/>
    </row>
    <row r="316" spans="1:39" x14ac:dyDescent="0.2">
      <c r="A316" s="29">
        <f t="shared" ca="1" si="4"/>
        <v>46056</v>
      </c>
      <c r="B316" s="140">
        <f ca="1">SUMIFS('recurring2_based on steps'!$B316:$AY316,'recurring2_based on steps'!$B$1:$AY$1,B$1)+SUMIFS('changes2_based on steps'!$B316:$U316,'changes2_based on steps'!$B$1:$U$1,B$1)</f>
        <v>0</v>
      </c>
      <c r="C316" s="140">
        <f>SUMIFS('recurring2_based on steps'!$B316:$AY316,'recurring2_based on steps'!$B$1:$AY$1,C$1)+SUMIFS('changes2_based on steps'!$B316:$U316,'changes2_based on steps'!$B$1:$U$1,C$1)</f>
        <v>0</v>
      </c>
      <c r="D316" s="140">
        <f>SUMIFS('recurring2_based on steps'!$B316:$AY316,'recurring2_based on steps'!$B$1:$AY$1,D$1)+SUMIFS('changes2_based on steps'!$B316:$U316,'changes2_based on steps'!$B$1:$U$1,D$1)</f>
        <v>0</v>
      </c>
      <c r="E316" s="140">
        <f>SUMIFS('recurring2_based on steps'!$B316:$AY316,'recurring2_based on steps'!$B$1:$AY$1,E$1)+SUMIFS('changes2_based on steps'!$B316:$U316,'changes2_based on steps'!$B$1:$U$1,E$1)</f>
        <v>0</v>
      </c>
      <c r="F316" s="140">
        <f>SUMIFS('recurring2_based on steps'!$B316:$AY316,'recurring2_based on steps'!$B$1:$AY$1,F$1)+SUMIFS('changes2_based on steps'!$B316:$U316,'changes2_based on steps'!$B$1:$U$1,F$1)</f>
        <v>0</v>
      </c>
      <c r="G316" s="140">
        <f>SUMIFS('recurring2_based on steps'!$B316:$AY316,'recurring2_based on steps'!$B$1:$AY$1,G$1)+SUMIFS('changes2_based on steps'!$B316:$U316,'changes2_based on steps'!$B$1:$U$1,G$1)</f>
        <v>0</v>
      </c>
      <c r="H316" s="140">
        <f>SUMIFS('recurring2_based on steps'!$B316:$AY316,'recurring2_based on steps'!$B$1:$AY$1,H$1)+SUMIFS('changes2_based on steps'!$B316:$U316,'changes2_based on steps'!$B$1:$U$1,H$1)</f>
        <v>0</v>
      </c>
      <c r="I316" s="140">
        <f>SUMIFS('recurring2_based on steps'!$B316:$AY316,'recurring2_based on steps'!$B$1:$AY$1,I$1)+SUMIFS('changes2_based on steps'!$B316:$U316,'changes2_based on steps'!$B$1:$U$1,I$1)</f>
        <v>0</v>
      </c>
      <c r="J316" s="140">
        <f ca="1">SUMIFS('recurring2_based on steps'!$B316:$AY316,'recurring2_based on steps'!$B$1:$AY$1,J$1)+SUMIFS('changes2_based on steps'!$B316:$U316,'changes2_based on steps'!$B$1:$U$1,J$1)</f>
        <v>0</v>
      </c>
      <c r="K316" s="140">
        <f>SUMIFS('recurring2_based on steps'!$B316:$AY316,'recurring2_based on steps'!$B$1:$AY$1,K$1)+SUMIFS('changes2_based on steps'!$B316:$U316,'changes2_based on steps'!$B$1:$U$1,K$1)</f>
        <v>0</v>
      </c>
      <c r="L316" s="140">
        <f>SUMIFS('recurring2_based on steps'!$B316:$AY316,'recurring2_based on steps'!$B$1:$AY$1,L$1)+SUMIFS('changes2_based on steps'!$B316:$U316,'changes2_based on steps'!$B$1:$U$1,L$1)</f>
        <v>0</v>
      </c>
      <c r="M316" s="140">
        <f>SUMIFS('recurring2_based on steps'!$B316:$AY316,'recurring2_based on steps'!$B$1:$AY$1,M$1)+SUMIFS('changes2_based on steps'!$B316:$U316,'changes2_based on steps'!$B$1:$U$1,M$1)</f>
        <v>0</v>
      </c>
      <c r="N316" s="140">
        <f ca="1">SUMIFS('recurring2_based on steps'!$B316:$AY316,'recurring2_based on steps'!$B$1:$AY$1,N$1)+SUMIFS('changes2_based on steps'!$B316:$U316,'changes2_based on steps'!$B$1:$U$1,N$1)</f>
        <v>0</v>
      </c>
      <c r="O316" s="140">
        <f>SUMIFS('recurring2_based on steps'!$B316:$AY316,'recurring2_based on steps'!$B$1:$AY$1,O$1)+SUMIFS('changes2_based on steps'!$B316:$U316,'changes2_based on steps'!$B$1:$U$1,O$1)</f>
        <v>0</v>
      </c>
      <c r="P316" s="140">
        <f ca="1">SUMIFS('recurring2_based on steps'!$B316:$AY316,'recurring2_based on steps'!$B$1:$AY$1,P$1)+SUMIFS('changes2_based on steps'!$B316:$U316,'changes2_based on steps'!$B$1:$U$1,P$1)</f>
        <v>0</v>
      </c>
      <c r="Q316" s="140">
        <f ca="1">SUMIFS('recurring2_based on steps'!$B316:$AY316,'recurring2_based on steps'!$B$1:$AY$1,Q$1)+SUMIFS('changes2_based on steps'!$B316:$U316,'changes2_based on steps'!$B$1:$U$1,Q$1)</f>
        <v>5.5401662049861494E-2</v>
      </c>
      <c r="R316" s="140">
        <f ca="1">SUMIFS('recurring2_based on steps'!$B316:$AY316,'recurring2_based on steps'!$B$1:$AY$1,R$1)+SUMIFS('changes2_based on steps'!$B316:$U316,'changes2_based on steps'!$B$1:$U$1,R$1)</f>
        <v>0</v>
      </c>
      <c r="S316" s="140">
        <f>SUMIFS('recurring2_based on steps'!$B316:$AY316,'recurring2_based on steps'!$B$1:$AY$1,S$1)+SUMIFS('changes2_based on steps'!$B316:$U316,'changes2_based on steps'!$B$1:$U$1,S$1)</f>
        <v>0</v>
      </c>
      <c r="T316" s="140">
        <f ca="1">SUMIFS('recurring2_based on steps'!$B316:$AY316,'recurring2_based on steps'!$B$1:$AY$1,T$1)+SUMIFS('changes2_based on steps'!$B316:$U316,'changes2_based on steps'!$B$1:$U$1,T$1)</f>
        <v>0</v>
      </c>
      <c r="U316" s="140">
        <f ca="1">SUMIFS('recurring2_based on steps'!$B316:$AY316,'recurring2_based on steps'!$B$1:$AY$1,U$1)+SUMIFS('changes2_based on steps'!$B316:$U316,'changes2_based on steps'!$B$1:$U$1,U$1)</f>
        <v>0</v>
      </c>
      <c r="V316" s="140">
        <f>SUMIFS('recurring2_based on steps'!$B316:$AY316,'recurring2_based on steps'!$B$1:$AY$1,V$1)+SUMIFS('changes2_based on steps'!$B316:$U316,'changes2_based on steps'!$B$1:$U$1,V$1)</f>
        <v>0</v>
      </c>
      <c r="W316" s="140">
        <f>SUMIFS('recurring2_based on steps'!$B316:$AY316,'recurring2_based on steps'!$B$1:$AY$1,W$1)+SUMIFS('changes2_based on steps'!$B316:$U316,'changes2_based on steps'!$B$1:$U$1,W$1)</f>
        <v>0</v>
      </c>
      <c r="X316" s="140">
        <f ca="1">SUMIFS('recurring2_based on steps'!$B316:$AY316,'recurring2_based on steps'!$B$1:$AY$1,X$1)+SUMIFS('changes2_based on steps'!$B316:$U316,'changes2_based on steps'!$B$1:$U$1,X$1)</f>
        <v>0</v>
      </c>
      <c r="Y316" s="140">
        <f ca="1">SUMIFS('recurring2_based on steps'!$B316:$AY316,'recurring2_based on steps'!$B$1:$AY$1,Y$1)+SUMIFS('changes2_based on steps'!$B316:$U316,'changes2_based on steps'!$B$1:$U$1,Y$1)</f>
        <v>0</v>
      </c>
      <c r="Z316" s="140">
        <f>SUMIFS('recurring2_based on steps'!$B316:$AY316,'recurring2_based on steps'!$B$1:$AY$1,Z$1)+SUMIFS('changes2_based on steps'!$B316:$U316,'changes2_based on steps'!$B$1:$U$1,Z$1)</f>
        <v>0</v>
      </c>
      <c r="AA316" s="140">
        <f ca="1">SUMIFS('recurring2_based on steps'!$B316:$AY316,'recurring2_based on steps'!$B$1:$AY$1,AA$1)+SUMIFS('changes2_based on steps'!$B316:$U316,'changes2_based on steps'!$B$1:$U$1,AA$1)</f>
        <v>0</v>
      </c>
      <c r="AB316" s="140">
        <f ca="1">SUMIFS('recurring2_based on steps'!$B316:$AY316,'recurring2_based on steps'!$B$1:$AY$1,AB$1)+SUMIFS('changes2_based on steps'!$B316:$U316,'changes2_based on steps'!$B$1:$U$1,AB$1)</f>
        <v>0</v>
      </c>
      <c r="AC316" s="140">
        <f ca="1">SUMIFS('recurring2_based on steps'!$B316:$AY316,'recurring2_based on steps'!$B$1:$AY$1,AC$1)+SUMIFS('changes2_based on steps'!$B316:$U316,'changes2_based on steps'!$B$1:$U$1,AC$1)</f>
        <v>0</v>
      </c>
      <c r="AD316" s="140">
        <f ca="1">SUMIFS('recurring2_based on steps'!$B316:$AY316,'recurring2_based on steps'!$B$1:$AY$1,AD$1)+SUMIFS('changes2_based on steps'!$B316:$U316,'changes2_based on steps'!$B$1:$U$1,AD$1)</f>
        <v>0</v>
      </c>
      <c r="AE316" s="140">
        <f>SUMIFS('recurring2_based on steps'!$B316:$AY316,'recurring2_based on steps'!$B$1:$AY$1,AE$1)+SUMIFS('changes2_based on steps'!$B316:$U316,'changes2_based on steps'!$B$1:$U$1,AE$1)</f>
        <v>0</v>
      </c>
      <c r="AF316" s="140"/>
      <c r="AG316" s="140"/>
      <c r="AH316" s="140"/>
      <c r="AI316" s="140"/>
      <c r="AJ316" s="140"/>
      <c r="AK316" s="140"/>
      <c r="AL316" s="140"/>
      <c r="AM316" s="140"/>
    </row>
    <row r="317" spans="1:39" x14ac:dyDescent="0.2">
      <c r="A317" s="29">
        <f t="shared" ca="1" si="4"/>
        <v>46057</v>
      </c>
      <c r="B317" s="140">
        <f ca="1">SUMIFS('recurring2_based on steps'!$B317:$AY317,'recurring2_based on steps'!$B$1:$AY$1,B$1)+SUMIFS('changes2_based on steps'!$B317:$U317,'changes2_based on steps'!$B$1:$U$1,B$1)</f>
        <v>0</v>
      </c>
      <c r="C317" s="140">
        <f>SUMIFS('recurring2_based on steps'!$B317:$AY317,'recurring2_based on steps'!$B$1:$AY$1,C$1)+SUMIFS('changes2_based on steps'!$B317:$U317,'changes2_based on steps'!$B$1:$U$1,C$1)</f>
        <v>0</v>
      </c>
      <c r="D317" s="140">
        <f>SUMIFS('recurring2_based on steps'!$B317:$AY317,'recurring2_based on steps'!$B$1:$AY$1,D$1)+SUMIFS('changes2_based on steps'!$B317:$U317,'changes2_based on steps'!$B$1:$U$1,D$1)</f>
        <v>0</v>
      </c>
      <c r="E317" s="140">
        <f>SUMIFS('recurring2_based on steps'!$B317:$AY317,'recurring2_based on steps'!$B$1:$AY$1,E$1)+SUMIFS('changes2_based on steps'!$B317:$U317,'changes2_based on steps'!$B$1:$U$1,E$1)</f>
        <v>0</v>
      </c>
      <c r="F317" s="140">
        <f>SUMIFS('recurring2_based on steps'!$B317:$AY317,'recurring2_based on steps'!$B$1:$AY$1,F$1)+SUMIFS('changes2_based on steps'!$B317:$U317,'changes2_based on steps'!$B$1:$U$1,F$1)</f>
        <v>0</v>
      </c>
      <c r="G317" s="140">
        <f>SUMIFS('recurring2_based on steps'!$B317:$AY317,'recurring2_based on steps'!$B$1:$AY$1,G$1)+SUMIFS('changes2_based on steps'!$B317:$U317,'changes2_based on steps'!$B$1:$U$1,G$1)</f>
        <v>0</v>
      </c>
      <c r="H317" s="140">
        <f>SUMIFS('recurring2_based on steps'!$B317:$AY317,'recurring2_based on steps'!$B$1:$AY$1,H$1)+SUMIFS('changes2_based on steps'!$B317:$U317,'changes2_based on steps'!$B$1:$U$1,H$1)</f>
        <v>0</v>
      </c>
      <c r="I317" s="140">
        <f>SUMIFS('recurring2_based on steps'!$B317:$AY317,'recurring2_based on steps'!$B$1:$AY$1,I$1)+SUMIFS('changes2_based on steps'!$B317:$U317,'changes2_based on steps'!$B$1:$U$1,I$1)</f>
        <v>0</v>
      </c>
      <c r="J317" s="140">
        <f ca="1">SUMIFS('recurring2_based on steps'!$B317:$AY317,'recurring2_based on steps'!$B$1:$AY$1,J$1)+SUMIFS('changes2_based on steps'!$B317:$U317,'changes2_based on steps'!$B$1:$U$1,J$1)</f>
        <v>0</v>
      </c>
      <c r="K317" s="140">
        <f>SUMIFS('recurring2_based on steps'!$B317:$AY317,'recurring2_based on steps'!$B$1:$AY$1,K$1)+SUMIFS('changes2_based on steps'!$B317:$U317,'changes2_based on steps'!$B$1:$U$1,K$1)</f>
        <v>0</v>
      </c>
      <c r="L317" s="140">
        <f>SUMIFS('recurring2_based on steps'!$B317:$AY317,'recurring2_based on steps'!$B$1:$AY$1,L$1)+SUMIFS('changes2_based on steps'!$B317:$U317,'changes2_based on steps'!$B$1:$U$1,L$1)</f>
        <v>0</v>
      </c>
      <c r="M317" s="140">
        <f>SUMIFS('recurring2_based on steps'!$B317:$AY317,'recurring2_based on steps'!$B$1:$AY$1,M$1)+SUMIFS('changes2_based on steps'!$B317:$U317,'changes2_based on steps'!$B$1:$U$1,M$1)</f>
        <v>0</v>
      </c>
      <c r="N317" s="140">
        <f ca="1">SUMIFS('recurring2_based on steps'!$B317:$AY317,'recurring2_based on steps'!$B$1:$AY$1,N$1)+SUMIFS('changes2_based on steps'!$B317:$U317,'changes2_based on steps'!$B$1:$U$1,N$1)</f>
        <v>0</v>
      </c>
      <c r="O317" s="140">
        <f>SUMIFS('recurring2_based on steps'!$B317:$AY317,'recurring2_based on steps'!$B$1:$AY$1,O$1)+SUMIFS('changes2_based on steps'!$B317:$U317,'changes2_based on steps'!$B$1:$U$1,O$1)</f>
        <v>0</v>
      </c>
      <c r="P317" s="140">
        <f ca="1">SUMIFS('recurring2_based on steps'!$B317:$AY317,'recurring2_based on steps'!$B$1:$AY$1,P$1)+SUMIFS('changes2_based on steps'!$B317:$U317,'changes2_based on steps'!$B$1:$U$1,P$1)</f>
        <v>0</v>
      </c>
      <c r="Q317" s="140">
        <f ca="1">SUMIFS('recurring2_based on steps'!$B317:$AY317,'recurring2_based on steps'!$B$1:$AY$1,Q$1)+SUMIFS('changes2_based on steps'!$B317:$U317,'changes2_based on steps'!$B$1:$U$1,Q$1)</f>
        <v>5.5401662049861494E-2</v>
      </c>
      <c r="R317" s="140">
        <f ca="1">SUMIFS('recurring2_based on steps'!$B317:$AY317,'recurring2_based on steps'!$B$1:$AY$1,R$1)+SUMIFS('changes2_based on steps'!$B317:$U317,'changes2_based on steps'!$B$1:$U$1,R$1)</f>
        <v>15</v>
      </c>
      <c r="S317" s="140">
        <f>SUMIFS('recurring2_based on steps'!$B317:$AY317,'recurring2_based on steps'!$B$1:$AY$1,S$1)+SUMIFS('changes2_based on steps'!$B317:$U317,'changes2_based on steps'!$B$1:$U$1,S$1)</f>
        <v>0</v>
      </c>
      <c r="T317" s="140">
        <f ca="1">SUMIFS('recurring2_based on steps'!$B317:$AY317,'recurring2_based on steps'!$B$1:$AY$1,T$1)+SUMIFS('changes2_based on steps'!$B317:$U317,'changes2_based on steps'!$B$1:$U$1,T$1)</f>
        <v>0</v>
      </c>
      <c r="U317" s="140">
        <f ca="1">SUMIFS('recurring2_based on steps'!$B317:$AY317,'recurring2_based on steps'!$B$1:$AY$1,U$1)+SUMIFS('changes2_based on steps'!$B317:$U317,'changes2_based on steps'!$B$1:$U$1,U$1)</f>
        <v>0</v>
      </c>
      <c r="V317" s="140">
        <f>SUMIFS('recurring2_based on steps'!$B317:$AY317,'recurring2_based on steps'!$B$1:$AY$1,V$1)+SUMIFS('changes2_based on steps'!$B317:$U317,'changes2_based on steps'!$B$1:$U$1,V$1)</f>
        <v>0</v>
      </c>
      <c r="W317" s="140">
        <f>SUMIFS('recurring2_based on steps'!$B317:$AY317,'recurring2_based on steps'!$B$1:$AY$1,W$1)+SUMIFS('changes2_based on steps'!$B317:$U317,'changes2_based on steps'!$B$1:$U$1,W$1)</f>
        <v>0</v>
      </c>
      <c r="X317" s="140">
        <f ca="1">SUMIFS('recurring2_based on steps'!$B317:$AY317,'recurring2_based on steps'!$B$1:$AY$1,X$1)+SUMIFS('changes2_based on steps'!$B317:$U317,'changes2_based on steps'!$B$1:$U$1,X$1)</f>
        <v>0</v>
      </c>
      <c r="Y317" s="140">
        <f ca="1">SUMIFS('recurring2_based on steps'!$B317:$AY317,'recurring2_based on steps'!$B$1:$AY$1,Y$1)+SUMIFS('changes2_based on steps'!$B317:$U317,'changes2_based on steps'!$B$1:$U$1,Y$1)</f>
        <v>0</v>
      </c>
      <c r="Z317" s="140">
        <f>SUMIFS('recurring2_based on steps'!$B317:$AY317,'recurring2_based on steps'!$B$1:$AY$1,Z$1)+SUMIFS('changes2_based on steps'!$B317:$U317,'changes2_based on steps'!$B$1:$U$1,Z$1)</f>
        <v>0</v>
      </c>
      <c r="AA317" s="140">
        <f ca="1">SUMIFS('recurring2_based on steps'!$B317:$AY317,'recurring2_based on steps'!$B$1:$AY$1,AA$1)+SUMIFS('changes2_based on steps'!$B317:$U317,'changes2_based on steps'!$B$1:$U$1,AA$1)</f>
        <v>0</v>
      </c>
      <c r="AB317" s="140">
        <f ca="1">SUMIFS('recurring2_based on steps'!$B317:$AY317,'recurring2_based on steps'!$B$1:$AY$1,AB$1)+SUMIFS('changes2_based on steps'!$B317:$U317,'changes2_based on steps'!$B$1:$U$1,AB$1)</f>
        <v>0</v>
      </c>
      <c r="AC317" s="140">
        <f ca="1">SUMIFS('recurring2_based on steps'!$B317:$AY317,'recurring2_based on steps'!$B$1:$AY$1,AC$1)+SUMIFS('changes2_based on steps'!$B317:$U317,'changes2_based on steps'!$B$1:$U$1,AC$1)</f>
        <v>0</v>
      </c>
      <c r="AD317" s="140">
        <f ca="1">SUMIFS('recurring2_based on steps'!$B317:$AY317,'recurring2_based on steps'!$B$1:$AY$1,AD$1)+SUMIFS('changes2_based on steps'!$B317:$U317,'changes2_based on steps'!$B$1:$U$1,AD$1)</f>
        <v>0</v>
      </c>
      <c r="AE317" s="140">
        <f>SUMIFS('recurring2_based on steps'!$B317:$AY317,'recurring2_based on steps'!$B$1:$AY$1,AE$1)+SUMIFS('changes2_based on steps'!$B317:$U317,'changes2_based on steps'!$B$1:$U$1,AE$1)</f>
        <v>0</v>
      </c>
      <c r="AF317" s="140"/>
      <c r="AG317" s="140"/>
      <c r="AH317" s="140"/>
      <c r="AI317" s="140"/>
      <c r="AJ317" s="140"/>
      <c r="AK317" s="140"/>
      <c r="AL317" s="140"/>
      <c r="AM317" s="140"/>
    </row>
    <row r="318" spans="1:39" x14ac:dyDescent="0.2">
      <c r="A318" s="29">
        <f t="shared" ca="1" si="4"/>
        <v>46058</v>
      </c>
      <c r="B318" s="140">
        <f ca="1">SUMIFS('recurring2_based on steps'!$B318:$AY318,'recurring2_based on steps'!$B$1:$AY$1,B$1)+SUMIFS('changes2_based on steps'!$B318:$U318,'changes2_based on steps'!$B$1:$U$1,B$1)</f>
        <v>0</v>
      </c>
      <c r="C318" s="140">
        <f>SUMIFS('recurring2_based on steps'!$B318:$AY318,'recurring2_based on steps'!$B$1:$AY$1,C$1)+SUMIFS('changes2_based on steps'!$B318:$U318,'changes2_based on steps'!$B$1:$U$1,C$1)</f>
        <v>0</v>
      </c>
      <c r="D318" s="140">
        <f>SUMIFS('recurring2_based on steps'!$B318:$AY318,'recurring2_based on steps'!$B$1:$AY$1,D$1)+SUMIFS('changes2_based on steps'!$B318:$U318,'changes2_based on steps'!$B$1:$U$1,D$1)</f>
        <v>0</v>
      </c>
      <c r="E318" s="140">
        <f>SUMIFS('recurring2_based on steps'!$B318:$AY318,'recurring2_based on steps'!$B$1:$AY$1,E$1)+SUMIFS('changes2_based on steps'!$B318:$U318,'changes2_based on steps'!$B$1:$U$1,E$1)</f>
        <v>0</v>
      </c>
      <c r="F318" s="140">
        <f>SUMIFS('recurring2_based on steps'!$B318:$AY318,'recurring2_based on steps'!$B$1:$AY$1,F$1)+SUMIFS('changes2_based on steps'!$B318:$U318,'changes2_based on steps'!$B$1:$U$1,F$1)</f>
        <v>0</v>
      </c>
      <c r="G318" s="140">
        <f>SUMIFS('recurring2_based on steps'!$B318:$AY318,'recurring2_based on steps'!$B$1:$AY$1,G$1)+SUMIFS('changes2_based on steps'!$B318:$U318,'changes2_based on steps'!$B$1:$U$1,G$1)</f>
        <v>0</v>
      </c>
      <c r="H318" s="140">
        <f>SUMIFS('recurring2_based on steps'!$B318:$AY318,'recurring2_based on steps'!$B$1:$AY$1,H$1)+SUMIFS('changes2_based on steps'!$B318:$U318,'changes2_based on steps'!$B$1:$U$1,H$1)</f>
        <v>0</v>
      </c>
      <c r="I318" s="140">
        <f>SUMIFS('recurring2_based on steps'!$B318:$AY318,'recurring2_based on steps'!$B$1:$AY$1,I$1)+SUMIFS('changes2_based on steps'!$B318:$U318,'changes2_based on steps'!$B$1:$U$1,I$1)</f>
        <v>0</v>
      </c>
      <c r="J318" s="140">
        <f ca="1">SUMIFS('recurring2_based on steps'!$B318:$AY318,'recurring2_based on steps'!$B$1:$AY$1,J$1)+SUMIFS('changes2_based on steps'!$B318:$U318,'changes2_based on steps'!$B$1:$U$1,J$1)</f>
        <v>0</v>
      </c>
      <c r="K318" s="140">
        <f>SUMIFS('recurring2_based on steps'!$B318:$AY318,'recurring2_based on steps'!$B$1:$AY$1,K$1)+SUMIFS('changes2_based on steps'!$B318:$U318,'changes2_based on steps'!$B$1:$U$1,K$1)</f>
        <v>0</v>
      </c>
      <c r="L318" s="140">
        <f>SUMIFS('recurring2_based on steps'!$B318:$AY318,'recurring2_based on steps'!$B$1:$AY$1,L$1)+SUMIFS('changes2_based on steps'!$B318:$U318,'changes2_based on steps'!$B$1:$U$1,L$1)</f>
        <v>0</v>
      </c>
      <c r="M318" s="140">
        <f>SUMIFS('recurring2_based on steps'!$B318:$AY318,'recurring2_based on steps'!$B$1:$AY$1,M$1)+SUMIFS('changes2_based on steps'!$B318:$U318,'changes2_based on steps'!$B$1:$U$1,M$1)</f>
        <v>0</v>
      </c>
      <c r="N318" s="140">
        <f ca="1">SUMIFS('recurring2_based on steps'!$B318:$AY318,'recurring2_based on steps'!$B$1:$AY$1,N$1)+SUMIFS('changes2_based on steps'!$B318:$U318,'changes2_based on steps'!$B$1:$U$1,N$1)</f>
        <v>0</v>
      </c>
      <c r="O318" s="140">
        <f>SUMIFS('recurring2_based on steps'!$B318:$AY318,'recurring2_based on steps'!$B$1:$AY$1,O$1)+SUMIFS('changes2_based on steps'!$B318:$U318,'changes2_based on steps'!$B$1:$U$1,O$1)</f>
        <v>0</v>
      </c>
      <c r="P318" s="140">
        <f ca="1">SUMIFS('recurring2_based on steps'!$B318:$AY318,'recurring2_based on steps'!$B$1:$AY$1,P$1)+SUMIFS('changes2_based on steps'!$B318:$U318,'changes2_based on steps'!$B$1:$U$1,P$1)</f>
        <v>0</v>
      </c>
      <c r="Q318" s="140">
        <f ca="1">SUMIFS('recurring2_based on steps'!$B318:$AY318,'recurring2_based on steps'!$B$1:$AY$1,Q$1)+SUMIFS('changes2_based on steps'!$B318:$U318,'changes2_based on steps'!$B$1:$U$1,Q$1)</f>
        <v>5.5401662049861494E-2</v>
      </c>
      <c r="R318" s="140">
        <f ca="1">SUMIFS('recurring2_based on steps'!$B318:$AY318,'recurring2_based on steps'!$B$1:$AY$1,R$1)+SUMIFS('changes2_based on steps'!$B318:$U318,'changes2_based on steps'!$B$1:$U$1,R$1)</f>
        <v>0</v>
      </c>
      <c r="S318" s="140">
        <f>SUMIFS('recurring2_based on steps'!$B318:$AY318,'recurring2_based on steps'!$B$1:$AY$1,S$1)+SUMIFS('changes2_based on steps'!$B318:$U318,'changes2_based on steps'!$B$1:$U$1,S$1)</f>
        <v>0</v>
      </c>
      <c r="T318" s="140">
        <f ca="1">SUMIFS('recurring2_based on steps'!$B318:$AY318,'recurring2_based on steps'!$B$1:$AY$1,T$1)+SUMIFS('changes2_based on steps'!$B318:$U318,'changes2_based on steps'!$B$1:$U$1,T$1)</f>
        <v>0</v>
      </c>
      <c r="U318" s="140">
        <f ca="1">SUMIFS('recurring2_based on steps'!$B318:$AY318,'recurring2_based on steps'!$B$1:$AY$1,U$1)+SUMIFS('changes2_based on steps'!$B318:$U318,'changes2_based on steps'!$B$1:$U$1,U$1)</f>
        <v>0</v>
      </c>
      <c r="V318" s="140">
        <f>SUMIFS('recurring2_based on steps'!$B318:$AY318,'recurring2_based on steps'!$B$1:$AY$1,V$1)+SUMIFS('changes2_based on steps'!$B318:$U318,'changes2_based on steps'!$B$1:$U$1,V$1)</f>
        <v>0</v>
      </c>
      <c r="W318" s="140">
        <f>SUMIFS('recurring2_based on steps'!$B318:$AY318,'recurring2_based on steps'!$B$1:$AY$1,W$1)+SUMIFS('changes2_based on steps'!$B318:$U318,'changes2_based on steps'!$B$1:$U$1,W$1)</f>
        <v>0</v>
      </c>
      <c r="X318" s="140">
        <f ca="1">SUMIFS('recurring2_based on steps'!$B318:$AY318,'recurring2_based on steps'!$B$1:$AY$1,X$1)+SUMIFS('changes2_based on steps'!$B318:$U318,'changes2_based on steps'!$B$1:$U$1,X$1)</f>
        <v>0</v>
      </c>
      <c r="Y318" s="140">
        <f ca="1">SUMIFS('recurring2_based on steps'!$B318:$AY318,'recurring2_based on steps'!$B$1:$AY$1,Y$1)+SUMIFS('changes2_based on steps'!$B318:$U318,'changes2_based on steps'!$B$1:$U$1,Y$1)</f>
        <v>0</v>
      </c>
      <c r="Z318" s="140">
        <f>SUMIFS('recurring2_based on steps'!$B318:$AY318,'recurring2_based on steps'!$B$1:$AY$1,Z$1)+SUMIFS('changes2_based on steps'!$B318:$U318,'changes2_based on steps'!$B$1:$U$1,Z$1)</f>
        <v>0</v>
      </c>
      <c r="AA318" s="140">
        <f ca="1">SUMIFS('recurring2_based on steps'!$B318:$AY318,'recurring2_based on steps'!$B$1:$AY$1,AA$1)+SUMIFS('changes2_based on steps'!$B318:$U318,'changes2_based on steps'!$B$1:$U$1,AA$1)</f>
        <v>0</v>
      </c>
      <c r="AB318" s="140">
        <f ca="1">SUMIFS('recurring2_based on steps'!$B318:$AY318,'recurring2_based on steps'!$B$1:$AY$1,AB$1)+SUMIFS('changes2_based on steps'!$B318:$U318,'changes2_based on steps'!$B$1:$U$1,AB$1)</f>
        <v>0</v>
      </c>
      <c r="AC318" s="140">
        <f ca="1">SUMIFS('recurring2_based on steps'!$B318:$AY318,'recurring2_based on steps'!$B$1:$AY$1,AC$1)+SUMIFS('changes2_based on steps'!$B318:$U318,'changes2_based on steps'!$B$1:$U$1,AC$1)</f>
        <v>0</v>
      </c>
      <c r="AD318" s="140">
        <f ca="1">SUMIFS('recurring2_based on steps'!$B318:$AY318,'recurring2_based on steps'!$B$1:$AY$1,AD$1)+SUMIFS('changes2_based on steps'!$B318:$U318,'changes2_based on steps'!$B$1:$U$1,AD$1)</f>
        <v>0</v>
      </c>
      <c r="AE318" s="140">
        <f>SUMIFS('recurring2_based on steps'!$B318:$AY318,'recurring2_based on steps'!$B$1:$AY$1,AE$1)+SUMIFS('changes2_based on steps'!$B318:$U318,'changes2_based on steps'!$B$1:$U$1,AE$1)</f>
        <v>0</v>
      </c>
      <c r="AF318" s="140"/>
      <c r="AG318" s="140"/>
      <c r="AH318" s="140"/>
      <c r="AI318" s="140"/>
      <c r="AJ318" s="140"/>
      <c r="AK318" s="140"/>
      <c r="AL318" s="140"/>
      <c r="AM318" s="140"/>
    </row>
    <row r="319" spans="1:39" x14ac:dyDescent="0.2">
      <c r="A319" s="29">
        <f t="shared" ca="1" si="4"/>
        <v>46059</v>
      </c>
      <c r="B319" s="140">
        <f ca="1">SUMIFS('recurring2_based on steps'!$B319:$AY319,'recurring2_based on steps'!$B$1:$AY$1,B$1)+SUMIFS('changes2_based on steps'!$B319:$U319,'changes2_based on steps'!$B$1:$U$1,B$1)</f>
        <v>4000</v>
      </c>
      <c r="C319" s="140">
        <f>SUMIFS('recurring2_based on steps'!$B319:$AY319,'recurring2_based on steps'!$B$1:$AY$1,C$1)+SUMIFS('changes2_based on steps'!$B319:$U319,'changes2_based on steps'!$B$1:$U$1,C$1)</f>
        <v>0</v>
      </c>
      <c r="D319" s="140">
        <f>SUMIFS('recurring2_based on steps'!$B319:$AY319,'recurring2_based on steps'!$B$1:$AY$1,D$1)+SUMIFS('changes2_based on steps'!$B319:$U319,'changes2_based on steps'!$B$1:$U$1,D$1)</f>
        <v>0</v>
      </c>
      <c r="E319" s="140">
        <f>SUMIFS('recurring2_based on steps'!$B319:$AY319,'recurring2_based on steps'!$B$1:$AY$1,E$1)+SUMIFS('changes2_based on steps'!$B319:$U319,'changes2_based on steps'!$B$1:$U$1,E$1)</f>
        <v>0</v>
      </c>
      <c r="F319" s="140">
        <f>SUMIFS('recurring2_based on steps'!$B319:$AY319,'recurring2_based on steps'!$B$1:$AY$1,F$1)+SUMIFS('changes2_based on steps'!$B319:$U319,'changes2_based on steps'!$B$1:$U$1,F$1)</f>
        <v>0</v>
      </c>
      <c r="G319" s="140">
        <f>SUMIFS('recurring2_based on steps'!$B319:$AY319,'recurring2_based on steps'!$B$1:$AY$1,G$1)+SUMIFS('changes2_based on steps'!$B319:$U319,'changes2_based on steps'!$B$1:$U$1,G$1)</f>
        <v>0</v>
      </c>
      <c r="H319" s="140">
        <f>SUMIFS('recurring2_based on steps'!$B319:$AY319,'recurring2_based on steps'!$B$1:$AY$1,H$1)+SUMIFS('changes2_based on steps'!$B319:$U319,'changes2_based on steps'!$B$1:$U$1,H$1)</f>
        <v>0</v>
      </c>
      <c r="I319" s="140">
        <f>SUMIFS('recurring2_based on steps'!$B319:$AY319,'recurring2_based on steps'!$B$1:$AY$1,I$1)+SUMIFS('changes2_based on steps'!$B319:$U319,'changes2_based on steps'!$B$1:$U$1,I$1)</f>
        <v>0</v>
      </c>
      <c r="J319" s="140">
        <f ca="1">SUMIFS('recurring2_based on steps'!$B319:$AY319,'recurring2_based on steps'!$B$1:$AY$1,J$1)+SUMIFS('changes2_based on steps'!$B319:$U319,'changes2_based on steps'!$B$1:$U$1,J$1)</f>
        <v>0</v>
      </c>
      <c r="K319" s="140">
        <f>SUMIFS('recurring2_based on steps'!$B319:$AY319,'recurring2_based on steps'!$B$1:$AY$1,K$1)+SUMIFS('changes2_based on steps'!$B319:$U319,'changes2_based on steps'!$B$1:$U$1,K$1)</f>
        <v>0</v>
      </c>
      <c r="L319" s="140">
        <f>SUMIFS('recurring2_based on steps'!$B319:$AY319,'recurring2_based on steps'!$B$1:$AY$1,L$1)+SUMIFS('changes2_based on steps'!$B319:$U319,'changes2_based on steps'!$B$1:$U$1,L$1)</f>
        <v>0</v>
      </c>
      <c r="M319" s="140">
        <f>SUMIFS('recurring2_based on steps'!$B319:$AY319,'recurring2_based on steps'!$B$1:$AY$1,M$1)+SUMIFS('changes2_based on steps'!$B319:$U319,'changes2_based on steps'!$B$1:$U$1,M$1)</f>
        <v>0</v>
      </c>
      <c r="N319" s="140">
        <f ca="1">SUMIFS('recurring2_based on steps'!$B319:$AY319,'recurring2_based on steps'!$B$1:$AY$1,N$1)+SUMIFS('changes2_based on steps'!$B319:$U319,'changes2_based on steps'!$B$1:$U$1,N$1)</f>
        <v>0</v>
      </c>
      <c r="O319" s="140">
        <f>SUMIFS('recurring2_based on steps'!$B319:$AY319,'recurring2_based on steps'!$B$1:$AY$1,O$1)+SUMIFS('changes2_based on steps'!$B319:$U319,'changes2_based on steps'!$B$1:$U$1,O$1)</f>
        <v>0</v>
      </c>
      <c r="P319" s="140">
        <f ca="1">SUMIFS('recurring2_based on steps'!$B319:$AY319,'recurring2_based on steps'!$B$1:$AY$1,P$1)+SUMIFS('changes2_based on steps'!$B319:$U319,'changes2_based on steps'!$B$1:$U$1,P$1)</f>
        <v>0</v>
      </c>
      <c r="Q319" s="140">
        <f ca="1">SUMIFS('recurring2_based on steps'!$B319:$AY319,'recurring2_based on steps'!$B$1:$AY$1,Q$1)+SUMIFS('changes2_based on steps'!$B319:$U319,'changes2_based on steps'!$B$1:$U$1,Q$1)</f>
        <v>5.5401662049861494E-2</v>
      </c>
      <c r="R319" s="140">
        <f ca="1">SUMIFS('recurring2_based on steps'!$B319:$AY319,'recurring2_based on steps'!$B$1:$AY$1,R$1)+SUMIFS('changes2_based on steps'!$B319:$U319,'changes2_based on steps'!$B$1:$U$1,R$1)</f>
        <v>0</v>
      </c>
      <c r="S319" s="140">
        <f>SUMIFS('recurring2_based on steps'!$B319:$AY319,'recurring2_based on steps'!$B$1:$AY$1,S$1)+SUMIFS('changes2_based on steps'!$B319:$U319,'changes2_based on steps'!$B$1:$U$1,S$1)</f>
        <v>0</v>
      </c>
      <c r="T319" s="140">
        <f ca="1">SUMIFS('recurring2_based on steps'!$B319:$AY319,'recurring2_based on steps'!$B$1:$AY$1,T$1)+SUMIFS('changes2_based on steps'!$B319:$U319,'changes2_based on steps'!$B$1:$U$1,T$1)</f>
        <v>50</v>
      </c>
      <c r="U319" s="140">
        <f ca="1">SUMIFS('recurring2_based on steps'!$B319:$AY319,'recurring2_based on steps'!$B$1:$AY$1,U$1)+SUMIFS('changes2_based on steps'!$B319:$U319,'changes2_based on steps'!$B$1:$U$1,U$1)</f>
        <v>200</v>
      </c>
      <c r="V319" s="140">
        <f>SUMIFS('recurring2_based on steps'!$B319:$AY319,'recurring2_based on steps'!$B$1:$AY$1,V$1)+SUMIFS('changes2_based on steps'!$B319:$U319,'changes2_based on steps'!$B$1:$U$1,V$1)</f>
        <v>0</v>
      </c>
      <c r="W319" s="140">
        <f>SUMIFS('recurring2_based on steps'!$B319:$AY319,'recurring2_based on steps'!$B$1:$AY$1,W$1)+SUMIFS('changes2_based on steps'!$B319:$U319,'changes2_based on steps'!$B$1:$U$1,W$1)</f>
        <v>0</v>
      </c>
      <c r="X319" s="140">
        <f ca="1">SUMIFS('recurring2_based on steps'!$B319:$AY319,'recurring2_based on steps'!$B$1:$AY$1,X$1)+SUMIFS('changes2_based on steps'!$B319:$U319,'changes2_based on steps'!$B$1:$U$1,X$1)</f>
        <v>96</v>
      </c>
      <c r="Y319" s="140">
        <f ca="1">SUMIFS('recurring2_based on steps'!$B319:$AY319,'recurring2_based on steps'!$B$1:$AY$1,Y$1)+SUMIFS('changes2_based on steps'!$B319:$U319,'changes2_based on steps'!$B$1:$U$1,Y$1)</f>
        <v>0</v>
      </c>
      <c r="Z319" s="140">
        <f>SUMIFS('recurring2_based on steps'!$B319:$AY319,'recurring2_based on steps'!$B$1:$AY$1,Z$1)+SUMIFS('changes2_based on steps'!$B319:$U319,'changes2_based on steps'!$B$1:$U$1,Z$1)</f>
        <v>0</v>
      </c>
      <c r="AA319" s="140">
        <f ca="1">SUMIFS('recurring2_based on steps'!$B319:$AY319,'recurring2_based on steps'!$B$1:$AY$1,AA$1)+SUMIFS('changes2_based on steps'!$B319:$U319,'changes2_based on steps'!$B$1:$U$1,AA$1)</f>
        <v>0</v>
      </c>
      <c r="AB319" s="140">
        <f ca="1">SUMIFS('recurring2_based on steps'!$B319:$AY319,'recurring2_based on steps'!$B$1:$AY$1,AB$1)+SUMIFS('changes2_based on steps'!$B319:$U319,'changes2_based on steps'!$B$1:$U$1,AB$1)</f>
        <v>0</v>
      </c>
      <c r="AC319" s="140">
        <f ca="1">SUMIFS('recurring2_based on steps'!$B319:$AY319,'recurring2_based on steps'!$B$1:$AY$1,AC$1)+SUMIFS('changes2_based on steps'!$B319:$U319,'changes2_based on steps'!$B$1:$U$1,AC$1)</f>
        <v>0</v>
      </c>
      <c r="AD319" s="140">
        <f ca="1">SUMIFS('recurring2_based on steps'!$B319:$AY319,'recurring2_based on steps'!$B$1:$AY$1,AD$1)+SUMIFS('changes2_based on steps'!$B319:$U319,'changes2_based on steps'!$B$1:$U$1,AD$1)</f>
        <v>50</v>
      </c>
      <c r="AE319" s="140">
        <f>SUMIFS('recurring2_based on steps'!$B319:$AY319,'recurring2_based on steps'!$B$1:$AY$1,AE$1)+SUMIFS('changes2_based on steps'!$B319:$U319,'changes2_based on steps'!$B$1:$U$1,AE$1)</f>
        <v>0</v>
      </c>
      <c r="AF319" s="140"/>
      <c r="AG319" s="140"/>
      <c r="AH319" s="140"/>
      <c r="AI319" s="140"/>
      <c r="AJ319" s="140"/>
      <c r="AK319" s="140"/>
      <c r="AL319" s="140"/>
      <c r="AM319" s="140"/>
    </row>
    <row r="320" spans="1:39" x14ac:dyDescent="0.2">
      <c r="A320" s="29">
        <f t="shared" ca="1" si="4"/>
        <v>46060</v>
      </c>
      <c r="B320" s="140">
        <f ca="1">SUMIFS('recurring2_based on steps'!$B320:$AY320,'recurring2_based on steps'!$B$1:$AY$1,B$1)+SUMIFS('changes2_based on steps'!$B320:$U320,'changes2_based on steps'!$B$1:$U$1,B$1)</f>
        <v>0</v>
      </c>
      <c r="C320" s="140">
        <f>SUMIFS('recurring2_based on steps'!$B320:$AY320,'recurring2_based on steps'!$B$1:$AY$1,C$1)+SUMIFS('changes2_based on steps'!$B320:$U320,'changes2_based on steps'!$B$1:$U$1,C$1)</f>
        <v>0</v>
      </c>
      <c r="D320" s="140">
        <f>SUMIFS('recurring2_based on steps'!$B320:$AY320,'recurring2_based on steps'!$B$1:$AY$1,D$1)+SUMIFS('changes2_based on steps'!$B320:$U320,'changes2_based on steps'!$B$1:$U$1,D$1)</f>
        <v>0</v>
      </c>
      <c r="E320" s="140">
        <f>SUMIFS('recurring2_based on steps'!$B320:$AY320,'recurring2_based on steps'!$B$1:$AY$1,E$1)+SUMIFS('changes2_based on steps'!$B320:$U320,'changes2_based on steps'!$B$1:$U$1,E$1)</f>
        <v>0</v>
      </c>
      <c r="F320" s="140">
        <f>SUMIFS('recurring2_based on steps'!$B320:$AY320,'recurring2_based on steps'!$B$1:$AY$1,F$1)+SUMIFS('changes2_based on steps'!$B320:$U320,'changes2_based on steps'!$B$1:$U$1,F$1)</f>
        <v>0</v>
      </c>
      <c r="G320" s="140">
        <f>SUMIFS('recurring2_based on steps'!$B320:$AY320,'recurring2_based on steps'!$B$1:$AY$1,G$1)+SUMIFS('changes2_based on steps'!$B320:$U320,'changes2_based on steps'!$B$1:$U$1,G$1)</f>
        <v>0</v>
      </c>
      <c r="H320" s="140">
        <f>SUMIFS('recurring2_based on steps'!$B320:$AY320,'recurring2_based on steps'!$B$1:$AY$1,H$1)+SUMIFS('changes2_based on steps'!$B320:$U320,'changes2_based on steps'!$B$1:$U$1,H$1)</f>
        <v>0</v>
      </c>
      <c r="I320" s="140">
        <f>SUMIFS('recurring2_based on steps'!$B320:$AY320,'recurring2_based on steps'!$B$1:$AY$1,I$1)+SUMIFS('changes2_based on steps'!$B320:$U320,'changes2_based on steps'!$B$1:$U$1,I$1)</f>
        <v>0</v>
      </c>
      <c r="J320" s="140">
        <f ca="1">SUMIFS('recurring2_based on steps'!$B320:$AY320,'recurring2_based on steps'!$B$1:$AY$1,J$1)+SUMIFS('changes2_based on steps'!$B320:$U320,'changes2_based on steps'!$B$1:$U$1,J$1)</f>
        <v>0</v>
      </c>
      <c r="K320" s="140">
        <f>SUMIFS('recurring2_based on steps'!$B320:$AY320,'recurring2_based on steps'!$B$1:$AY$1,K$1)+SUMIFS('changes2_based on steps'!$B320:$U320,'changes2_based on steps'!$B$1:$U$1,K$1)</f>
        <v>0</v>
      </c>
      <c r="L320" s="140">
        <f>SUMIFS('recurring2_based on steps'!$B320:$AY320,'recurring2_based on steps'!$B$1:$AY$1,L$1)+SUMIFS('changes2_based on steps'!$B320:$U320,'changes2_based on steps'!$B$1:$U$1,L$1)</f>
        <v>0</v>
      </c>
      <c r="M320" s="140">
        <f>SUMIFS('recurring2_based on steps'!$B320:$AY320,'recurring2_based on steps'!$B$1:$AY$1,M$1)+SUMIFS('changes2_based on steps'!$B320:$U320,'changes2_based on steps'!$B$1:$U$1,M$1)</f>
        <v>0</v>
      </c>
      <c r="N320" s="140">
        <f ca="1">SUMIFS('recurring2_based on steps'!$B320:$AY320,'recurring2_based on steps'!$B$1:$AY$1,N$1)+SUMIFS('changes2_based on steps'!$B320:$U320,'changes2_based on steps'!$B$1:$U$1,N$1)</f>
        <v>0</v>
      </c>
      <c r="O320" s="140">
        <f>SUMIFS('recurring2_based on steps'!$B320:$AY320,'recurring2_based on steps'!$B$1:$AY$1,O$1)+SUMIFS('changes2_based on steps'!$B320:$U320,'changes2_based on steps'!$B$1:$U$1,O$1)</f>
        <v>0</v>
      </c>
      <c r="P320" s="140">
        <f ca="1">SUMIFS('recurring2_based on steps'!$B320:$AY320,'recurring2_based on steps'!$B$1:$AY$1,P$1)+SUMIFS('changes2_based on steps'!$B320:$U320,'changes2_based on steps'!$B$1:$U$1,P$1)</f>
        <v>0</v>
      </c>
      <c r="Q320" s="140">
        <f ca="1">SUMIFS('recurring2_based on steps'!$B320:$AY320,'recurring2_based on steps'!$B$1:$AY$1,Q$1)+SUMIFS('changes2_based on steps'!$B320:$U320,'changes2_based on steps'!$B$1:$U$1,Q$1)</f>
        <v>100.05540166204986</v>
      </c>
      <c r="R320" s="140">
        <f ca="1">SUMIFS('recurring2_based on steps'!$B320:$AY320,'recurring2_based on steps'!$B$1:$AY$1,R$1)+SUMIFS('changes2_based on steps'!$B320:$U320,'changes2_based on steps'!$B$1:$U$1,R$1)</f>
        <v>0</v>
      </c>
      <c r="S320" s="140">
        <f>SUMIFS('recurring2_based on steps'!$B320:$AY320,'recurring2_based on steps'!$B$1:$AY$1,S$1)+SUMIFS('changes2_based on steps'!$B320:$U320,'changes2_based on steps'!$B$1:$U$1,S$1)</f>
        <v>0</v>
      </c>
      <c r="T320" s="140">
        <f ca="1">SUMIFS('recurring2_based on steps'!$B320:$AY320,'recurring2_based on steps'!$B$1:$AY$1,T$1)+SUMIFS('changes2_based on steps'!$B320:$U320,'changes2_based on steps'!$B$1:$U$1,T$1)</f>
        <v>0</v>
      </c>
      <c r="U320" s="140">
        <f ca="1">SUMIFS('recurring2_based on steps'!$B320:$AY320,'recurring2_based on steps'!$B$1:$AY$1,U$1)+SUMIFS('changes2_based on steps'!$B320:$U320,'changes2_based on steps'!$B$1:$U$1,U$1)</f>
        <v>0</v>
      </c>
      <c r="V320" s="140">
        <f>SUMIFS('recurring2_based on steps'!$B320:$AY320,'recurring2_based on steps'!$B$1:$AY$1,V$1)+SUMIFS('changes2_based on steps'!$B320:$U320,'changes2_based on steps'!$B$1:$U$1,V$1)</f>
        <v>0</v>
      </c>
      <c r="W320" s="140">
        <f>SUMIFS('recurring2_based on steps'!$B320:$AY320,'recurring2_based on steps'!$B$1:$AY$1,W$1)+SUMIFS('changes2_based on steps'!$B320:$U320,'changes2_based on steps'!$B$1:$U$1,W$1)</f>
        <v>0</v>
      </c>
      <c r="X320" s="140">
        <f ca="1">SUMIFS('recurring2_based on steps'!$B320:$AY320,'recurring2_based on steps'!$B$1:$AY$1,X$1)+SUMIFS('changes2_based on steps'!$B320:$U320,'changes2_based on steps'!$B$1:$U$1,X$1)</f>
        <v>0</v>
      </c>
      <c r="Y320" s="140">
        <f ca="1">SUMIFS('recurring2_based on steps'!$B320:$AY320,'recurring2_based on steps'!$B$1:$AY$1,Y$1)+SUMIFS('changes2_based on steps'!$B320:$U320,'changes2_based on steps'!$B$1:$U$1,Y$1)</f>
        <v>0</v>
      </c>
      <c r="Z320" s="140">
        <f>SUMIFS('recurring2_based on steps'!$B320:$AY320,'recurring2_based on steps'!$B$1:$AY$1,Z$1)+SUMIFS('changes2_based on steps'!$B320:$U320,'changes2_based on steps'!$B$1:$U$1,Z$1)</f>
        <v>0</v>
      </c>
      <c r="AA320" s="140">
        <f ca="1">SUMIFS('recurring2_based on steps'!$B320:$AY320,'recurring2_based on steps'!$B$1:$AY$1,AA$1)+SUMIFS('changes2_based on steps'!$B320:$U320,'changes2_based on steps'!$B$1:$U$1,AA$1)</f>
        <v>0</v>
      </c>
      <c r="AB320" s="140">
        <f ca="1">SUMIFS('recurring2_based on steps'!$B320:$AY320,'recurring2_based on steps'!$B$1:$AY$1,AB$1)+SUMIFS('changes2_based on steps'!$B320:$U320,'changes2_based on steps'!$B$1:$U$1,AB$1)</f>
        <v>100</v>
      </c>
      <c r="AC320" s="140">
        <f ca="1">SUMIFS('recurring2_based on steps'!$B320:$AY320,'recurring2_based on steps'!$B$1:$AY$1,AC$1)+SUMIFS('changes2_based on steps'!$B320:$U320,'changes2_based on steps'!$B$1:$U$1,AC$1)</f>
        <v>0</v>
      </c>
      <c r="AD320" s="140">
        <f ca="1">SUMIFS('recurring2_based on steps'!$B320:$AY320,'recurring2_based on steps'!$B$1:$AY$1,AD$1)+SUMIFS('changes2_based on steps'!$B320:$U320,'changes2_based on steps'!$B$1:$U$1,AD$1)</f>
        <v>0</v>
      </c>
      <c r="AE320" s="140">
        <f>SUMIFS('recurring2_based on steps'!$B320:$AY320,'recurring2_based on steps'!$B$1:$AY$1,AE$1)+SUMIFS('changes2_based on steps'!$B320:$U320,'changes2_based on steps'!$B$1:$U$1,AE$1)</f>
        <v>0</v>
      </c>
      <c r="AF320" s="140"/>
      <c r="AG320" s="140"/>
      <c r="AH320" s="140"/>
      <c r="AI320" s="140"/>
      <c r="AJ320" s="140"/>
      <c r="AK320" s="140"/>
      <c r="AL320" s="140"/>
      <c r="AM320" s="140"/>
    </row>
    <row r="321" spans="1:39" x14ac:dyDescent="0.2">
      <c r="A321" s="29">
        <f t="shared" ca="1" si="4"/>
        <v>46061</v>
      </c>
      <c r="B321" s="140">
        <f ca="1">SUMIFS('recurring2_based on steps'!$B321:$AY321,'recurring2_based on steps'!$B$1:$AY$1,B$1)+SUMIFS('changes2_based on steps'!$B321:$U321,'changes2_based on steps'!$B$1:$U$1,B$1)</f>
        <v>0</v>
      </c>
      <c r="C321" s="140">
        <f>SUMIFS('recurring2_based on steps'!$B321:$AY321,'recurring2_based on steps'!$B$1:$AY$1,C$1)+SUMIFS('changes2_based on steps'!$B321:$U321,'changes2_based on steps'!$B$1:$U$1,C$1)</f>
        <v>0</v>
      </c>
      <c r="D321" s="140">
        <f>SUMIFS('recurring2_based on steps'!$B321:$AY321,'recurring2_based on steps'!$B$1:$AY$1,D$1)+SUMIFS('changes2_based on steps'!$B321:$U321,'changes2_based on steps'!$B$1:$U$1,D$1)</f>
        <v>0</v>
      </c>
      <c r="E321" s="140">
        <f>SUMIFS('recurring2_based on steps'!$B321:$AY321,'recurring2_based on steps'!$B$1:$AY$1,E$1)+SUMIFS('changes2_based on steps'!$B321:$U321,'changes2_based on steps'!$B$1:$U$1,E$1)</f>
        <v>0</v>
      </c>
      <c r="F321" s="140">
        <f>SUMIFS('recurring2_based on steps'!$B321:$AY321,'recurring2_based on steps'!$B$1:$AY$1,F$1)+SUMIFS('changes2_based on steps'!$B321:$U321,'changes2_based on steps'!$B$1:$U$1,F$1)</f>
        <v>0</v>
      </c>
      <c r="G321" s="140">
        <f>SUMIFS('recurring2_based on steps'!$B321:$AY321,'recurring2_based on steps'!$B$1:$AY$1,G$1)+SUMIFS('changes2_based on steps'!$B321:$U321,'changes2_based on steps'!$B$1:$U$1,G$1)</f>
        <v>0</v>
      </c>
      <c r="H321" s="140">
        <f>SUMIFS('recurring2_based on steps'!$B321:$AY321,'recurring2_based on steps'!$B$1:$AY$1,H$1)+SUMIFS('changes2_based on steps'!$B321:$U321,'changes2_based on steps'!$B$1:$U$1,H$1)</f>
        <v>0</v>
      </c>
      <c r="I321" s="140">
        <f>SUMIFS('recurring2_based on steps'!$B321:$AY321,'recurring2_based on steps'!$B$1:$AY$1,I$1)+SUMIFS('changes2_based on steps'!$B321:$U321,'changes2_based on steps'!$B$1:$U$1,I$1)</f>
        <v>0</v>
      </c>
      <c r="J321" s="140">
        <f ca="1">SUMIFS('recurring2_based on steps'!$B321:$AY321,'recurring2_based on steps'!$B$1:$AY$1,J$1)+SUMIFS('changes2_based on steps'!$B321:$U321,'changes2_based on steps'!$B$1:$U$1,J$1)</f>
        <v>0</v>
      </c>
      <c r="K321" s="140">
        <f>SUMIFS('recurring2_based on steps'!$B321:$AY321,'recurring2_based on steps'!$B$1:$AY$1,K$1)+SUMIFS('changes2_based on steps'!$B321:$U321,'changes2_based on steps'!$B$1:$U$1,K$1)</f>
        <v>0</v>
      </c>
      <c r="L321" s="140">
        <f>SUMIFS('recurring2_based on steps'!$B321:$AY321,'recurring2_based on steps'!$B$1:$AY$1,L$1)+SUMIFS('changes2_based on steps'!$B321:$U321,'changes2_based on steps'!$B$1:$U$1,L$1)</f>
        <v>0</v>
      </c>
      <c r="M321" s="140">
        <f>SUMIFS('recurring2_based on steps'!$B321:$AY321,'recurring2_based on steps'!$B$1:$AY$1,M$1)+SUMIFS('changes2_based on steps'!$B321:$U321,'changes2_based on steps'!$B$1:$U$1,M$1)</f>
        <v>0</v>
      </c>
      <c r="N321" s="140">
        <f ca="1">SUMIFS('recurring2_based on steps'!$B321:$AY321,'recurring2_based on steps'!$B$1:$AY$1,N$1)+SUMIFS('changes2_based on steps'!$B321:$U321,'changes2_based on steps'!$B$1:$U$1,N$1)</f>
        <v>0</v>
      </c>
      <c r="O321" s="140">
        <f>SUMIFS('recurring2_based on steps'!$B321:$AY321,'recurring2_based on steps'!$B$1:$AY$1,O$1)+SUMIFS('changes2_based on steps'!$B321:$U321,'changes2_based on steps'!$B$1:$U$1,O$1)</f>
        <v>0</v>
      </c>
      <c r="P321" s="140">
        <f ca="1">SUMIFS('recurring2_based on steps'!$B321:$AY321,'recurring2_based on steps'!$B$1:$AY$1,P$1)+SUMIFS('changes2_based on steps'!$B321:$U321,'changes2_based on steps'!$B$1:$U$1,P$1)</f>
        <v>0</v>
      </c>
      <c r="Q321" s="140">
        <f ca="1">SUMIFS('recurring2_based on steps'!$B321:$AY321,'recurring2_based on steps'!$B$1:$AY$1,Q$1)+SUMIFS('changes2_based on steps'!$B321:$U321,'changes2_based on steps'!$B$1:$U$1,Q$1)</f>
        <v>100.05540166204986</v>
      </c>
      <c r="R321" s="140">
        <f ca="1">SUMIFS('recurring2_based on steps'!$B321:$AY321,'recurring2_based on steps'!$B$1:$AY$1,R$1)+SUMIFS('changes2_based on steps'!$B321:$U321,'changes2_based on steps'!$B$1:$U$1,R$1)</f>
        <v>0</v>
      </c>
      <c r="S321" s="140">
        <f>SUMIFS('recurring2_based on steps'!$B321:$AY321,'recurring2_based on steps'!$B$1:$AY$1,S$1)+SUMIFS('changes2_based on steps'!$B321:$U321,'changes2_based on steps'!$B$1:$U$1,S$1)</f>
        <v>0</v>
      </c>
      <c r="T321" s="140">
        <f ca="1">SUMIFS('recurring2_based on steps'!$B321:$AY321,'recurring2_based on steps'!$B$1:$AY$1,T$1)+SUMIFS('changes2_based on steps'!$B321:$U321,'changes2_based on steps'!$B$1:$U$1,T$1)</f>
        <v>0</v>
      </c>
      <c r="U321" s="140">
        <f ca="1">SUMIFS('recurring2_based on steps'!$B321:$AY321,'recurring2_based on steps'!$B$1:$AY$1,U$1)+SUMIFS('changes2_based on steps'!$B321:$U321,'changes2_based on steps'!$B$1:$U$1,U$1)</f>
        <v>0</v>
      </c>
      <c r="V321" s="140">
        <f>SUMIFS('recurring2_based on steps'!$B321:$AY321,'recurring2_based on steps'!$B$1:$AY$1,V$1)+SUMIFS('changes2_based on steps'!$B321:$U321,'changes2_based on steps'!$B$1:$U$1,V$1)</f>
        <v>0</v>
      </c>
      <c r="W321" s="140">
        <f>SUMIFS('recurring2_based on steps'!$B321:$AY321,'recurring2_based on steps'!$B$1:$AY$1,W$1)+SUMIFS('changes2_based on steps'!$B321:$U321,'changes2_based on steps'!$B$1:$U$1,W$1)</f>
        <v>0</v>
      </c>
      <c r="X321" s="140">
        <f ca="1">SUMIFS('recurring2_based on steps'!$B321:$AY321,'recurring2_based on steps'!$B$1:$AY$1,X$1)+SUMIFS('changes2_based on steps'!$B321:$U321,'changes2_based on steps'!$B$1:$U$1,X$1)</f>
        <v>0</v>
      </c>
      <c r="Y321" s="140">
        <f ca="1">SUMIFS('recurring2_based on steps'!$B321:$AY321,'recurring2_based on steps'!$B$1:$AY$1,Y$1)+SUMIFS('changes2_based on steps'!$B321:$U321,'changes2_based on steps'!$B$1:$U$1,Y$1)</f>
        <v>50</v>
      </c>
      <c r="Z321" s="140">
        <f>SUMIFS('recurring2_based on steps'!$B321:$AY321,'recurring2_based on steps'!$B$1:$AY$1,Z$1)+SUMIFS('changes2_based on steps'!$B321:$U321,'changes2_based on steps'!$B$1:$U$1,Z$1)</f>
        <v>0</v>
      </c>
      <c r="AA321" s="140">
        <f ca="1">SUMIFS('recurring2_based on steps'!$B321:$AY321,'recurring2_based on steps'!$B$1:$AY$1,AA$1)+SUMIFS('changes2_based on steps'!$B321:$U321,'changes2_based on steps'!$B$1:$U$1,AA$1)</f>
        <v>0</v>
      </c>
      <c r="AB321" s="140">
        <f ca="1">SUMIFS('recurring2_based on steps'!$B321:$AY321,'recurring2_based on steps'!$B$1:$AY$1,AB$1)+SUMIFS('changes2_based on steps'!$B321:$U321,'changes2_based on steps'!$B$1:$U$1,AB$1)</f>
        <v>0</v>
      </c>
      <c r="AC321" s="140">
        <f ca="1">SUMIFS('recurring2_based on steps'!$B321:$AY321,'recurring2_based on steps'!$B$1:$AY$1,AC$1)+SUMIFS('changes2_based on steps'!$B321:$U321,'changes2_based on steps'!$B$1:$U$1,AC$1)</f>
        <v>0</v>
      </c>
      <c r="AD321" s="140">
        <f ca="1">SUMIFS('recurring2_based on steps'!$B321:$AY321,'recurring2_based on steps'!$B$1:$AY$1,AD$1)+SUMIFS('changes2_based on steps'!$B321:$U321,'changes2_based on steps'!$B$1:$U$1,AD$1)</f>
        <v>0</v>
      </c>
      <c r="AE321" s="140">
        <f>SUMIFS('recurring2_based on steps'!$B321:$AY321,'recurring2_based on steps'!$B$1:$AY$1,AE$1)+SUMIFS('changes2_based on steps'!$B321:$U321,'changes2_based on steps'!$B$1:$U$1,AE$1)</f>
        <v>0</v>
      </c>
      <c r="AF321" s="140"/>
      <c r="AG321" s="140"/>
      <c r="AH321" s="140"/>
      <c r="AI321" s="140"/>
      <c r="AJ321" s="140"/>
      <c r="AK321" s="140"/>
      <c r="AL321" s="140"/>
      <c r="AM321" s="140"/>
    </row>
    <row r="322" spans="1:39" x14ac:dyDescent="0.2">
      <c r="A322" s="29">
        <f t="shared" ca="1" si="4"/>
        <v>46062</v>
      </c>
      <c r="B322" s="140">
        <f ca="1">SUMIFS('recurring2_based on steps'!$B322:$AY322,'recurring2_based on steps'!$B$1:$AY$1,B$1)+SUMIFS('changes2_based on steps'!$B322:$U322,'changes2_based on steps'!$B$1:$U$1,B$1)</f>
        <v>0</v>
      </c>
      <c r="C322" s="140">
        <f>SUMIFS('recurring2_based on steps'!$B322:$AY322,'recurring2_based on steps'!$B$1:$AY$1,C$1)+SUMIFS('changes2_based on steps'!$B322:$U322,'changes2_based on steps'!$B$1:$U$1,C$1)</f>
        <v>0</v>
      </c>
      <c r="D322" s="140">
        <f>SUMIFS('recurring2_based on steps'!$B322:$AY322,'recurring2_based on steps'!$B$1:$AY$1,D$1)+SUMIFS('changes2_based on steps'!$B322:$U322,'changes2_based on steps'!$B$1:$U$1,D$1)</f>
        <v>0</v>
      </c>
      <c r="E322" s="140">
        <f>SUMIFS('recurring2_based on steps'!$B322:$AY322,'recurring2_based on steps'!$B$1:$AY$1,E$1)+SUMIFS('changes2_based on steps'!$B322:$U322,'changes2_based on steps'!$B$1:$U$1,E$1)</f>
        <v>0</v>
      </c>
      <c r="F322" s="140">
        <f>SUMIFS('recurring2_based on steps'!$B322:$AY322,'recurring2_based on steps'!$B$1:$AY$1,F$1)+SUMIFS('changes2_based on steps'!$B322:$U322,'changes2_based on steps'!$B$1:$U$1,F$1)</f>
        <v>0</v>
      </c>
      <c r="G322" s="140">
        <f>SUMIFS('recurring2_based on steps'!$B322:$AY322,'recurring2_based on steps'!$B$1:$AY$1,G$1)+SUMIFS('changes2_based on steps'!$B322:$U322,'changes2_based on steps'!$B$1:$U$1,G$1)</f>
        <v>0</v>
      </c>
      <c r="H322" s="140">
        <f>SUMIFS('recurring2_based on steps'!$B322:$AY322,'recurring2_based on steps'!$B$1:$AY$1,H$1)+SUMIFS('changes2_based on steps'!$B322:$U322,'changes2_based on steps'!$B$1:$U$1,H$1)</f>
        <v>0</v>
      </c>
      <c r="I322" s="140">
        <f>SUMIFS('recurring2_based on steps'!$B322:$AY322,'recurring2_based on steps'!$B$1:$AY$1,I$1)+SUMIFS('changes2_based on steps'!$B322:$U322,'changes2_based on steps'!$B$1:$U$1,I$1)</f>
        <v>0</v>
      </c>
      <c r="J322" s="140">
        <f ca="1">SUMIFS('recurring2_based on steps'!$B322:$AY322,'recurring2_based on steps'!$B$1:$AY$1,J$1)+SUMIFS('changes2_based on steps'!$B322:$U322,'changes2_based on steps'!$B$1:$U$1,J$1)</f>
        <v>0</v>
      </c>
      <c r="K322" s="140">
        <f>SUMIFS('recurring2_based on steps'!$B322:$AY322,'recurring2_based on steps'!$B$1:$AY$1,K$1)+SUMIFS('changes2_based on steps'!$B322:$U322,'changes2_based on steps'!$B$1:$U$1,K$1)</f>
        <v>0</v>
      </c>
      <c r="L322" s="140">
        <f>SUMIFS('recurring2_based on steps'!$B322:$AY322,'recurring2_based on steps'!$B$1:$AY$1,L$1)+SUMIFS('changes2_based on steps'!$B322:$U322,'changes2_based on steps'!$B$1:$U$1,L$1)</f>
        <v>0</v>
      </c>
      <c r="M322" s="140">
        <f>SUMIFS('recurring2_based on steps'!$B322:$AY322,'recurring2_based on steps'!$B$1:$AY$1,M$1)+SUMIFS('changes2_based on steps'!$B322:$U322,'changes2_based on steps'!$B$1:$U$1,M$1)</f>
        <v>0</v>
      </c>
      <c r="N322" s="140">
        <f ca="1">SUMIFS('recurring2_based on steps'!$B322:$AY322,'recurring2_based on steps'!$B$1:$AY$1,N$1)+SUMIFS('changes2_based on steps'!$B322:$U322,'changes2_based on steps'!$B$1:$U$1,N$1)</f>
        <v>0</v>
      </c>
      <c r="O322" s="140">
        <f>SUMIFS('recurring2_based on steps'!$B322:$AY322,'recurring2_based on steps'!$B$1:$AY$1,O$1)+SUMIFS('changes2_based on steps'!$B322:$U322,'changes2_based on steps'!$B$1:$U$1,O$1)</f>
        <v>0</v>
      </c>
      <c r="P322" s="140">
        <f ca="1">SUMIFS('recurring2_based on steps'!$B322:$AY322,'recurring2_based on steps'!$B$1:$AY$1,P$1)+SUMIFS('changes2_based on steps'!$B322:$U322,'changes2_based on steps'!$B$1:$U$1,P$1)</f>
        <v>0</v>
      </c>
      <c r="Q322" s="140">
        <f ca="1">SUMIFS('recurring2_based on steps'!$B322:$AY322,'recurring2_based on steps'!$B$1:$AY$1,Q$1)+SUMIFS('changes2_based on steps'!$B322:$U322,'changes2_based on steps'!$B$1:$U$1,Q$1)</f>
        <v>5.5401662049861494E-2</v>
      </c>
      <c r="R322" s="140">
        <f ca="1">SUMIFS('recurring2_based on steps'!$B322:$AY322,'recurring2_based on steps'!$B$1:$AY$1,R$1)+SUMIFS('changes2_based on steps'!$B322:$U322,'changes2_based on steps'!$B$1:$U$1,R$1)</f>
        <v>0</v>
      </c>
      <c r="S322" s="140">
        <f>SUMIFS('recurring2_based on steps'!$B322:$AY322,'recurring2_based on steps'!$B$1:$AY$1,S$1)+SUMIFS('changes2_based on steps'!$B322:$U322,'changes2_based on steps'!$B$1:$U$1,S$1)</f>
        <v>0</v>
      </c>
      <c r="T322" s="140">
        <f ca="1">SUMIFS('recurring2_based on steps'!$B322:$AY322,'recurring2_based on steps'!$B$1:$AY$1,T$1)+SUMIFS('changes2_based on steps'!$B322:$U322,'changes2_based on steps'!$B$1:$U$1,T$1)</f>
        <v>0</v>
      </c>
      <c r="U322" s="140">
        <f ca="1">SUMIFS('recurring2_based on steps'!$B322:$AY322,'recurring2_based on steps'!$B$1:$AY$1,U$1)+SUMIFS('changes2_based on steps'!$B322:$U322,'changes2_based on steps'!$B$1:$U$1,U$1)</f>
        <v>0</v>
      </c>
      <c r="V322" s="140">
        <f>SUMIFS('recurring2_based on steps'!$B322:$AY322,'recurring2_based on steps'!$B$1:$AY$1,V$1)+SUMIFS('changes2_based on steps'!$B322:$U322,'changes2_based on steps'!$B$1:$U$1,V$1)</f>
        <v>0</v>
      </c>
      <c r="W322" s="140">
        <f>SUMIFS('recurring2_based on steps'!$B322:$AY322,'recurring2_based on steps'!$B$1:$AY$1,W$1)+SUMIFS('changes2_based on steps'!$B322:$U322,'changes2_based on steps'!$B$1:$U$1,W$1)</f>
        <v>0</v>
      </c>
      <c r="X322" s="140">
        <f ca="1">SUMIFS('recurring2_based on steps'!$B322:$AY322,'recurring2_based on steps'!$B$1:$AY$1,X$1)+SUMIFS('changes2_based on steps'!$B322:$U322,'changes2_based on steps'!$B$1:$U$1,X$1)</f>
        <v>0</v>
      </c>
      <c r="Y322" s="140">
        <f ca="1">SUMIFS('recurring2_based on steps'!$B322:$AY322,'recurring2_based on steps'!$B$1:$AY$1,Y$1)+SUMIFS('changes2_based on steps'!$B322:$U322,'changes2_based on steps'!$B$1:$U$1,Y$1)</f>
        <v>0</v>
      </c>
      <c r="Z322" s="140">
        <f>SUMIFS('recurring2_based on steps'!$B322:$AY322,'recurring2_based on steps'!$B$1:$AY$1,Z$1)+SUMIFS('changes2_based on steps'!$B322:$U322,'changes2_based on steps'!$B$1:$U$1,Z$1)</f>
        <v>0</v>
      </c>
      <c r="AA322" s="140">
        <f ca="1">SUMIFS('recurring2_based on steps'!$B322:$AY322,'recurring2_based on steps'!$B$1:$AY$1,AA$1)+SUMIFS('changes2_based on steps'!$B322:$U322,'changes2_based on steps'!$B$1:$U$1,AA$1)</f>
        <v>0</v>
      </c>
      <c r="AB322" s="140">
        <f ca="1">SUMIFS('recurring2_based on steps'!$B322:$AY322,'recurring2_based on steps'!$B$1:$AY$1,AB$1)+SUMIFS('changes2_based on steps'!$B322:$U322,'changes2_based on steps'!$B$1:$U$1,AB$1)</f>
        <v>0</v>
      </c>
      <c r="AC322" s="140">
        <f ca="1">SUMIFS('recurring2_based on steps'!$B322:$AY322,'recurring2_based on steps'!$B$1:$AY$1,AC$1)+SUMIFS('changes2_based on steps'!$B322:$U322,'changes2_based on steps'!$B$1:$U$1,AC$1)</f>
        <v>0</v>
      </c>
      <c r="AD322" s="140">
        <f ca="1">SUMIFS('recurring2_based on steps'!$B322:$AY322,'recurring2_based on steps'!$B$1:$AY$1,AD$1)+SUMIFS('changes2_based on steps'!$B322:$U322,'changes2_based on steps'!$B$1:$U$1,AD$1)</f>
        <v>0</v>
      </c>
      <c r="AE322" s="140">
        <f>SUMIFS('recurring2_based on steps'!$B322:$AY322,'recurring2_based on steps'!$B$1:$AY$1,AE$1)+SUMIFS('changes2_based on steps'!$B322:$U322,'changes2_based on steps'!$B$1:$U$1,AE$1)</f>
        <v>0</v>
      </c>
      <c r="AF322" s="140"/>
      <c r="AG322" s="140"/>
      <c r="AH322" s="140"/>
      <c r="AI322" s="140"/>
      <c r="AJ322" s="140"/>
      <c r="AK322" s="140"/>
      <c r="AL322" s="140"/>
      <c r="AM322" s="140"/>
    </row>
    <row r="323" spans="1:39" x14ac:dyDescent="0.2">
      <c r="A323" s="29">
        <f t="shared" ca="1" si="4"/>
        <v>46063</v>
      </c>
      <c r="B323" s="140">
        <f ca="1">SUMIFS('recurring2_based on steps'!$B323:$AY323,'recurring2_based on steps'!$B$1:$AY$1,B$1)+SUMIFS('changes2_based on steps'!$B323:$U323,'changes2_based on steps'!$B$1:$U$1,B$1)</f>
        <v>0</v>
      </c>
      <c r="C323" s="140">
        <f>SUMIFS('recurring2_based on steps'!$B323:$AY323,'recurring2_based on steps'!$B$1:$AY$1,C$1)+SUMIFS('changes2_based on steps'!$B323:$U323,'changes2_based on steps'!$B$1:$U$1,C$1)</f>
        <v>0</v>
      </c>
      <c r="D323" s="140">
        <f>SUMIFS('recurring2_based on steps'!$B323:$AY323,'recurring2_based on steps'!$B$1:$AY$1,D$1)+SUMIFS('changes2_based on steps'!$B323:$U323,'changes2_based on steps'!$B$1:$U$1,D$1)</f>
        <v>0</v>
      </c>
      <c r="E323" s="140">
        <f>SUMIFS('recurring2_based on steps'!$B323:$AY323,'recurring2_based on steps'!$B$1:$AY$1,E$1)+SUMIFS('changes2_based on steps'!$B323:$U323,'changes2_based on steps'!$B$1:$U$1,E$1)</f>
        <v>0</v>
      </c>
      <c r="F323" s="140">
        <f>SUMIFS('recurring2_based on steps'!$B323:$AY323,'recurring2_based on steps'!$B$1:$AY$1,F$1)+SUMIFS('changes2_based on steps'!$B323:$U323,'changes2_based on steps'!$B$1:$U$1,F$1)</f>
        <v>0</v>
      </c>
      <c r="G323" s="140">
        <f>SUMIFS('recurring2_based on steps'!$B323:$AY323,'recurring2_based on steps'!$B$1:$AY$1,G$1)+SUMIFS('changes2_based on steps'!$B323:$U323,'changes2_based on steps'!$B$1:$U$1,G$1)</f>
        <v>0</v>
      </c>
      <c r="H323" s="140">
        <f>SUMIFS('recurring2_based on steps'!$B323:$AY323,'recurring2_based on steps'!$B$1:$AY$1,H$1)+SUMIFS('changes2_based on steps'!$B323:$U323,'changes2_based on steps'!$B$1:$U$1,H$1)</f>
        <v>0</v>
      </c>
      <c r="I323" s="140">
        <f>SUMIFS('recurring2_based on steps'!$B323:$AY323,'recurring2_based on steps'!$B$1:$AY$1,I$1)+SUMIFS('changes2_based on steps'!$B323:$U323,'changes2_based on steps'!$B$1:$U$1,I$1)</f>
        <v>0</v>
      </c>
      <c r="J323" s="140">
        <f ca="1">SUMIFS('recurring2_based on steps'!$B323:$AY323,'recurring2_based on steps'!$B$1:$AY$1,J$1)+SUMIFS('changes2_based on steps'!$B323:$U323,'changes2_based on steps'!$B$1:$U$1,J$1)</f>
        <v>0</v>
      </c>
      <c r="K323" s="140">
        <f>SUMIFS('recurring2_based on steps'!$B323:$AY323,'recurring2_based on steps'!$B$1:$AY$1,K$1)+SUMIFS('changes2_based on steps'!$B323:$U323,'changes2_based on steps'!$B$1:$U$1,K$1)</f>
        <v>0</v>
      </c>
      <c r="L323" s="140">
        <f>SUMIFS('recurring2_based on steps'!$B323:$AY323,'recurring2_based on steps'!$B$1:$AY$1,L$1)+SUMIFS('changes2_based on steps'!$B323:$U323,'changes2_based on steps'!$B$1:$U$1,L$1)</f>
        <v>0</v>
      </c>
      <c r="M323" s="140">
        <f>SUMIFS('recurring2_based on steps'!$B323:$AY323,'recurring2_based on steps'!$B$1:$AY$1,M$1)+SUMIFS('changes2_based on steps'!$B323:$U323,'changes2_based on steps'!$B$1:$U$1,M$1)</f>
        <v>0</v>
      </c>
      <c r="N323" s="140">
        <f ca="1">SUMIFS('recurring2_based on steps'!$B323:$AY323,'recurring2_based on steps'!$B$1:$AY$1,N$1)+SUMIFS('changes2_based on steps'!$B323:$U323,'changes2_based on steps'!$B$1:$U$1,N$1)</f>
        <v>0</v>
      </c>
      <c r="O323" s="140">
        <f>SUMIFS('recurring2_based on steps'!$B323:$AY323,'recurring2_based on steps'!$B$1:$AY$1,O$1)+SUMIFS('changes2_based on steps'!$B323:$U323,'changes2_based on steps'!$B$1:$U$1,O$1)</f>
        <v>0</v>
      </c>
      <c r="P323" s="140">
        <f ca="1">SUMIFS('recurring2_based on steps'!$B323:$AY323,'recurring2_based on steps'!$B$1:$AY$1,P$1)+SUMIFS('changes2_based on steps'!$B323:$U323,'changes2_based on steps'!$B$1:$U$1,P$1)</f>
        <v>0</v>
      </c>
      <c r="Q323" s="140">
        <f ca="1">SUMIFS('recurring2_based on steps'!$B323:$AY323,'recurring2_based on steps'!$B$1:$AY$1,Q$1)+SUMIFS('changes2_based on steps'!$B323:$U323,'changes2_based on steps'!$B$1:$U$1,Q$1)</f>
        <v>5.5401662049861494E-2</v>
      </c>
      <c r="R323" s="140">
        <f ca="1">SUMIFS('recurring2_based on steps'!$B323:$AY323,'recurring2_based on steps'!$B$1:$AY$1,R$1)+SUMIFS('changes2_based on steps'!$B323:$U323,'changes2_based on steps'!$B$1:$U$1,R$1)</f>
        <v>0</v>
      </c>
      <c r="S323" s="140">
        <f>SUMIFS('recurring2_based on steps'!$B323:$AY323,'recurring2_based on steps'!$B$1:$AY$1,S$1)+SUMIFS('changes2_based on steps'!$B323:$U323,'changes2_based on steps'!$B$1:$U$1,S$1)</f>
        <v>0</v>
      </c>
      <c r="T323" s="140">
        <f ca="1">SUMIFS('recurring2_based on steps'!$B323:$AY323,'recurring2_based on steps'!$B$1:$AY$1,T$1)+SUMIFS('changes2_based on steps'!$B323:$U323,'changes2_based on steps'!$B$1:$U$1,T$1)</f>
        <v>0</v>
      </c>
      <c r="U323" s="140">
        <f ca="1">SUMIFS('recurring2_based on steps'!$B323:$AY323,'recurring2_based on steps'!$B$1:$AY$1,U$1)+SUMIFS('changes2_based on steps'!$B323:$U323,'changes2_based on steps'!$B$1:$U$1,U$1)</f>
        <v>0</v>
      </c>
      <c r="V323" s="140">
        <f>SUMIFS('recurring2_based on steps'!$B323:$AY323,'recurring2_based on steps'!$B$1:$AY$1,V$1)+SUMIFS('changes2_based on steps'!$B323:$U323,'changes2_based on steps'!$B$1:$U$1,V$1)</f>
        <v>0</v>
      </c>
      <c r="W323" s="140">
        <f>SUMIFS('recurring2_based on steps'!$B323:$AY323,'recurring2_based on steps'!$B$1:$AY$1,W$1)+SUMIFS('changes2_based on steps'!$B323:$U323,'changes2_based on steps'!$B$1:$U$1,W$1)</f>
        <v>0</v>
      </c>
      <c r="X323" s="140">
        <f ca="1">SUMIFS('recurring2_based on steps'!$B323:$AY323,'recurring2_based on steps'!$B$1:$AY$1,X$1)+SUMIFS('changes2_based on steps'!$B323:$U323,'changes2_based on steps'!$B$1:$U$1,X$1)</f>
        <v>0</v>
      </c>
      <c r="Y323" s="140">
        <f ca="1">SUMIFS('recurring2_based on steps'!$B323:$AY323,'recurring2_based on steps'!$B$1:$AY$1,Y$1)+SUMIFS('changes2_based on steps'!$B323:$U323,'changes2_based on steps'!$B$1:$U$1,Y$1)</f>
        <v>0</v>
      </c>
      <c r="Z323" s="140">
        <f>SUMIFS('recurring2_based on steps'!$B323:$AY323,'recurring2_based on steps'!$B$1:$AY$1,Z$1)+SUMIFS('changes2_based on steps'!$B323:$U323,'changes2_based on steps'!$B$1:$U$1,Z$1)</f>
        <v>0</v>
      </c>
      <c r="AA323" s="140">
        <f ca="1">SUMIFS('recurring2_based on steps'!$B323:$AY323,'recurring2_based on steps'!$B$1:$AY$1,AA$1)+SUMIFS('changes2_based on steps'!$B323:$U323,'changes2_based on steps'!$B$1:$U$1,AA$1)</f>
        <v>0</v>
      </c>
      <c r="AB323" s="140">
        <f ca="1">SUMIFS('recurring2_based on steps'!$B323:$AY323,'recurring2_based on steps'!$B$1:$AY$1,AB$1)+SUMIFS('changes2_based on steps'!$B323:$U323,'changes2_based on steps'!$B$1:$U$1,AB$1)</f>
        <v>0</v>
      </c>
      <c r="AC323" s="140">
        <f ca="1">SUMIFS('recurring2_based on steps'!$B323:$AY323,'recurring2_based on steps'!$B$1:$AY$1,AC$1)+SUMIFS('changes2_based on steps'!$B323:$U323,'changes2_based on steps'!$B$1:$U$1,AC$1)</f>
        <v>0</v>
      </c>
      <c r="AD323" s="140">
        <f ca="1">SUMIFS('recurring2_based on steps'!$B323:$AY323,'recurring2_based on steps'!$B$1:$AY$1,AD$1)+SUMIFS('changes2_based on steps'!$B323:$U323,'changes2_based on steps'!$B$1:$U$1,AD$1)</f>
        <v>0</v>
      </c>
      <c r="AE323" s="140">
        <f>SUMIFS('recurring2_based on steps'!$B323:$AY323,'recurring2_based on steps'!$B$1:$AY$1,AE$1)+SUMIFS('changes2_based on steps'!$B323:$U323,'changes2_based on steps'!$B$1:$U$1,AE$1)</f>
        <v>0</v>
      </c>
      <c r="AF323" s="140"/>
      <c r="AG323" s="140"/>
      <c r="AH323" s="140"/>
      <c r="AI323" s="140"/>
      <c r="AJ323" s="140"/>
      <c r="AK323" s="140"/>
      <c r="AL323" s="140"/>
      <c r="AM323" s="140"/>
    </row>
    <row r="324" spans="1:39" x14ac:dyDescent="0.2">
      <c r="A324" s="29">
        <f t="shared" ca="1" si="4"/>
        <v>46064</v>
      </c>
      <c r="B324" s="140">
        <f ca="1">SUMIFS('recurring2_based on steps'!$B324:$AY324,'recurring2_based on steps'!$B$1:$AY$1,B$1)+SUMIFS('changes2_based on steps'!$B324:$U324,'changes2_based on steps'!$B$1:$U$1,B$1)</f>
        <v>0</v>
      </c>
      <c r="C324" s="140">
        <f>SUMIFS('recurring2_based on steps'!$B324:$AY324,'recurring2_based on steps'!$B$1:$AY$1,C$1)+SUMIFS('changes2_based on steps'!$B324:$U324,'changes2_based on steps'!$B$1:$U$1,C$1)</f>
        <v>0</v>
      </c>
      <c r="D324" s="140">
        <f>SUMIFS('recurring2_based on steps'!$B324:$AY324,'recurring2_based on steps'!$B$1:$AY$1,D$1)+SUMIFS('changes2_based on steps'!$B324:$U324,'changes2_based on steps'!$B$1:$U$1,D$1)</f>
        <v>0</v>
      </c>
      <c r="E324" s="140">
        <f>SUMIFS('recurring2_based on steps'!$B324:$AY324,'recurring2_based on steps'!$B$1:$AY$1,E$1)+SUMIFS('changes2_based on steps'!$B324:$U324,'changes2_based on steps'!$B$1:$U$1,E$1)</f>
        <v>0</v>
      </c>
      <c r="F324" s="140">
        <f>SUMIFS('recurring2_based on steps'!$B324:$AY324,'recurring2_based on steps'!$B$1:$AY$1,F$1)+SUMIFS('changes2_based on steps'!$B324:$U324,'changes2_based on steps'!$B$1:$U$1,F$1)</f>
        <v>0</v>
      </c>
      <c r="G324" s="140">
        <f>SUMIFS('recurring2_based on steps'!$B324:$AY324,'recurring2_based on steps'!$B$1:$AY$1,G$1)+SUMIFS('changes2_based on steps'!$B324:$U324,'changes2_based on steps'!$B$1:$U$1,G$1)</f>
        <v>0</v>
      </c>
      <c r="H324" s="140">
        <f>SUMIFS('recurring2_based on steps'!$B324:$AY324,'recurring2_based on steps'!$B$1:$AY$1,H$1)+SUMIFS('changes2_based on steps'!$B324:$U324,'changes2_based on steps'!$B$1:$U$1,H$1)</f>
        <v>0</v>
      </c>
      <c r="I324" s="140">
        <f>SUMIFS('recurring2_based on steps'!$B324:$AY324,'recurring2_based on steps'!$B$1:$AY$1,I$1)+SUMIFS('changes2_based on steps'!$B324:$U324,'changes2_based on steps'!$B$1:$U$1,I$1)</f>
        <v>0</v>
      </c>
      <c r="J324" s="140">
        <f ca="1">SUMIFS('recurring2_based on steps'!$B324:$AY324,'recurring2_based on steps'!$B$1:$AY$1,J$1)+SUMIFS('changes2_based on steps'!$B324:$U324,'changes2_based on steps'!$B$1:$U$1,J$1)</f>
        <v>0</v>
      </c>
      <c r="K324" s="140">
        <f>SUMIFS('recurring2_based on steps'!$B324:$AY324,'recurring2_based on steps'!$B$1:$AY$1,K$1)+SUMIFS('changes2_based on steps'!$B324:$U324,'changes2_based on steps'!$B$1:$U$1,K$1)</f>
        <v>0</v>
      </c>
      <c r="L324" s="140">
        <f>SUMIFS('recurring2_based on steps'!$B324:$AY324,'recurring2_based on steps'!$B$1:$AY$1,L$1)+SUMIFS('changes2_based on steps'!$B324:$U324,'changes2_based on steps'!$B$1:$U$1,L$1)</f>
        <v>0</v>
      </c>
      <c r="M324" s="140">
        <f>SUMIFS('recurring2_based on steps'!$B324:$AY324,'recurring2_based on steps'!$B$1:$AY$1,M$1)+SUMIFS('changes2_based on steps'!$B324:$U324,'changes2_based on steps'!$B$1:$U$1,M$1)</f>
        <v>0</v>
      </c>
      <c r="N324" s="140">
        <f ca="1">SUMIFS('recurring2_based on steps'!$B324:$AY324,'recurring2_based on steps'!$B$1:$AY$1,N$1)+SUMIFS('changes2_based on steps'!$B324:$U324,'changes2_based on steps'!$B$1:$U$1,N$1)</f>
        <v>0</v>
      </c>
      <c r="O324" s="140">
        <f>SUMIFS('recurring2_based on steps'!$B324:$AY324,'recurring2_based on steps'!$B$1:$AY$1,O$1)+SUMIFS('changes2_based on steps'!$B324:$U324,'changes2_based on steps'!$B$1:$U$1,O$1)</f>
        <v>0</v>
      </c>
      <c r="P324" s="140">
        <f ca="1">SUMIFS('recurring2_based on steps'!$B324:$AY324,'recurring2_based on steps'!$B$1:$AY$1,P$1)+SUMIFS('changes2_based on steps'!$B324:$U324,'changes2_based on steps'!$B$1:$U$1,P$1)</f>
        <v>0</v>
      </c>
      <c r="Q324" s="140">
        <f ca="1">SUMIFS('recurring2_based on steps'!$B324:$AY324,'recurring2_based on steps'!$B$1:$AY$1,Q$1)+SUMIFS('changes2_based on steps'!$B324:$U324,'changes2_based on steps'!$B$1:$U$1,Q$1)</f>
        <v>5.5401662049861494E-2</v>
      </c>
      <c r="R324" s="140">
        <f ca="1">SUMIFS('recurring2_based on steps'!$B324:$AY324,'recurring2_based on steps'!$B$1:$AY$1,R$1)+SUMIFS('changes2_based on steps'!$B324:$U324,'changes2_based on steps'!$B$1:$U$1,R$1)</f>
        <v>0</v>
      </c>
      <c r="S324" s="140">
        <f>SUMIFS('recurring2_based on steps'!$B324:$AY324,'recurring2_based on steps'!$B$1:$AY$1,S$1)+SUMIFS('changes2_based on steps'!$B324:$U324,'changes2_based on steps'!$B$1:$U$1,S$1)</f>
        <v>0</v>
      </c>
      <c r="T324" s="140">
        <f ca="1">SUMIFS('recurring2_based on steps'!$B324:$AY324,'recurring2_based on steps'!$B$1:$AY$1,T$1)+SUMIFS('changes2_based on steps'!$B324:$U324,'changes2_based on steps'!$B$1:$U$1,T$1)</f>
        <v>0</v>
      </c>
      <c r="U324" s="140">
        <f ca="1">SUMIFS('recurring2_based on steps'!$B324:$AY324,'recurring2_based on steps'!$B$1:$AY$1,U$1)+SUMIFS('changes2_based on steps'!$B324:$U324,'changes2_based on steps'!$B$1:$U$1,U$1)</f>
        <v>0</v>
      </c>
      <c r="V324" s="140">
        <f>SUMIFS('recurring2_based on steps'!$B324:$AY324,'recurring2_based on steps'!$B$1:$AY$1,V$1)+SUMIFS('changes2_based on steps'!$B324:$U324,'changes2_based on steps'!$B$1:$U$1,V$1)</f>
        <v>0</v>
      </c>
      <c r="W324" s="140">
        <f>SUMIFS('recurring2_based on steps'!$B324:$AY324,'recurring2_based on steps'!$B$1:$AY$1,W$1)+SUMIFS('changes2_based on steps'!$B324:$U324,'changes2_based on steps'!$B$1:$U$1,W$1)</f>
        <v>0</v>
      </c>
      <c r="X324" s="140">
        <f ca="1">SUMIFS('recurring2_based on steps'!$B324:$AY324,'recurring2_based on steps'!$B$1:$AY$1,X$1)+SUMIFS('changes2_based on steps'!$B324:$U324,'changes2_based on steps'!$B$1:$U$1,X$1)</f>
        <v>0</v>
      </c>
      <c r="Y324" s="140">
        <f ca="1">SUMIFS('recurring2_based on steps'!$B324:$AY324,'recurring2_based on steps'!$B$1:$AY$1,Y$1)+SUMIFS('changes2_based on steps'!$B324:$U324,'changes2_based on steps'!$B$1:$U$1,Y$1)</f>
        <v>0</v>
      </c>
      <c r="Z324" s="140">
        <f>SUMIFS('recurring2_based on steps'!$B324:$AY324,'recurring2_based on steps'!$B$1:$AY$1,Z$1)+SUMIFS('changes2_based on steps'!$B324:$U324,'changes2_based on steps'!$B$1:$U$1,Z$1)</f>
        <v>0</v>
      </c>
      <c r="AA324" s="140">
        <f ca="1">SUMIFS('recurring2_based on steps'!$B324:$AY324,'recurring2_based on steps'!$B$1:$AY$1,AA$1)+SUMIFS('changes2_based on steps'!$B324:$U324,'changes2_based on steps'!$B$1:$U$1,AA$1)</f>
        <v>0</v>
      </c>
      <c r="AB324" s="140">
        <f ca="1">SUMIFS('recurring2_based on steps'!$B324:$AY324,'recurring2_based on steps'!$B$1:$AY$1,AB$1)+SUMIFS('changes2_based on steps'!$B324:$U324,'changes2_based on steps'!$B$1:$U$1,AB$1)</f>
        <v>0</v>
      </c>
      <c r="AC324" s="140">
        <f ca="1">SUMIFS('recurring2_based on steps'!$B324:$AY324,'recurring2_based on steps'!$B$1:$AY$1,AC$1)+SUMIFS('changes2_based on steps'!$B324:$U324,'changes2_based on steps'!$B$1:$U$1,AC$1)</f>
        <v>0</v>
      </c>
      <c r="AD324" s="140">
        <f ca="1">SUMIFS('recurring2_based on steps'!$B324:$AY324,'recurring2_based on steps'!$B$1:$AY$1,AD$1)+SUMIFS('changes2_based on steps'!$B324:$U324,'changes2_based on steps'!$B$1:$U$1,AD$1)</f>
        <v>0</v>
      </c>
      <c r="AE324" s="140">
        <f>SUMIFS('recurring2_based on steps'!$B324:$AY324,'recurring2_based on steps'!$B$1:$AY$1,AE$1)+SUMIFS('changes2_based on steps'!$B324:$U324,'changes2_based on steps'!$B$1:$U$1,AE$1)</f>
        <v>0</v>
      </c>
      <c r="AF324" s="140"/>
      <c r="AG324" s="140"/>
      <c r="AH324" s="140"/>
      <c r="AI324" s="140"/>
      <c r="AJ324" s="140"/>
      <c r="AK324" s="140"/>
      <c r="AL324" s="140"/>
      <c r="AM324" s="140"/>
    </row>
    <row r="325" spans="1:39" x14ac:dyDescent="0.2">
      <c r="A325" s="29">
        <f t="shared" ref="A325:A369" ca="1" si="5">A324+1</f>
        <v>46065</v>
      </c>
      <c r="B325" s="140">
        <f ca="1">SUMIFS('recurring2_based on steps'!$B325:$AY325,'recurring2_based on steps'!$B$1:$AY$1,B$1)+SUMIFS('changes2_based on steps'!$B325:$U325,'changes2_based on steps'!$B$1:$U$1,B$1)</f>
        <v>0</v>
      </c>
      <c r="C325" s="140">
        <f>SUMIFS('recurring2_based on steps'!$B325:$AY325,'recurring2_based on steps'!$B$1:$AY$1,C$1)+SUMIFS('changes2_based on steps'!$B325:$U325,'changes2_based on steps'!$B$1:$U$1,C$1)</f>
        <v>0</v>
      </c>
      <c r="D325" s="140">
        <f>SUMIFS('recurring2_based on steps'!$B325:$AY325,'recurring2_based on steps'!$B$1:$AY$1,D$1)+SUMIFS('changes2_based on steps'!$B325:$U325,'changes2_based on steps'!$B$1:$U$1,D$1)</f>
        <v>0</v>
      </c>
      <c r="E325" s="140">
        <f>SUMIFS('recurring2_based on steps'!$B325:$AY325,'recurring2_based on steps'!$B$1:$AY$1,E$1)+SUMIFS('changes2_based on steps'!$B325:$U325,'changes2_based on steps'!$B$1:$U$1,E$1)</f>
        <v>0</v>
      </c>
      <c r="F325" s="140">
        <f>SUMIFS('recurring2_based on steps'!$B325:$AY325,'recurring2_based on steps'!$B$1:$AY$1,F$1)+SUMIFS('changes2_based on steps'!$B325:$U325,'changes2_based on steps'!$B$1:$U$1,F$1)</f>
        <v>0</v>
      </c>
      <c r="G325" s="140">
        <f>SUMIFS('recurring2_based on steps'!$B325:$AY325,'recurring2_based on steps'!$B$1:$AY$1,G$1)+SUMIFS('changes2_based on steps'!$B325:$U325,'changes2_based on steps'!$B$1:$U$1,G$1)</f>
        <v>0</v>
      </c>
      <c r="H325" s="140">
        <f>SUMIFS('recurring2_based on steps'!$B325:$AY325,'recurring2_based on steps'!$B$1:$AY$1,H$1)+SUMIFS('changes2_based on steps'!$B325:$U325,'changes2_based on steps'!$B$1:$U$1,H$1)</f>
        <v>0</v>
      </c>
      <c r="I325" s="140">
        <f>SUMIFS('recurring2_based on steps'!$B325:$AY325,'recurring2_based on steps'!$B$1:$AY$1,I$1)+SUMIFS('changes2_based on steps'!$B325:$U325,'changes2_based on steps'!$B$1:$U$1,I$1)</f>
        <v>0</v>
      </c>
      <c r="J325" s="140">
        <f ca="1">SUMIFS('recurring2_based on steps'!$B325:$AY325,'recurring2_based on steps'!$B$1:$AY$1,J$1)+SUMIFS('changes2_based on steps'!$B325:$U325,'changes2_based on steps'!$B$1:$U$1,J$1)</f>
        <v>0</v>
      </c>
      <c r="K325" s="140">
        <f>SUMIFS('recurring2_based on steps'!$B325:$AY325,'recurring2_based on steps'!$B$1:$AY$1,K$1)+SUMIFS('changes2_based on steps'!$B325:$U325,'changes2_based on steps'!$B$1:$U$1,K$1)</f>
        <v>0</v>
      </c>
      <c r="L325" s="140">
        <f>SUMIFS('recurring2_based on steps'!$B325:$AY325,'recurring2_based on steps'!$B$1:$AY$1,L$1)+SUMIFS('changes2_based on steps'!$B325:$U325,'changes2_based on steps'!$B$1:$U$1,L$1)</f>
        <v>0</v>
      </c>
      <c r="M325" s="140">
        <f>SUMIFS('recurring2_based on steps'!$B325:$AY325,'recurring2_based on steps'!$B$1:$AY$1,M$1)+SUMIFS('changes2_based on steps'!$B325:$U325,'changes2_based on steps'!$B$1:$U$1,M$1)</f>
        <v>0</v>
      </c>
      <c r="N325" s="140">
        <f ca="1">SUMIFS('recurring2_based on steps'!$B325:$AY325,'recurring2_based on steps'!$B$1:$AY$1,N$1)+SUMIFS('changes2_based on steps'!$B325:$U325,'changes2_based on steps'!$B$1:$U$1,N$1)</f>
        <v>0</v>
      </c>
      <c r="O325" s="140">
        <f>SUMIFS('recurring2_based on steps'!$B325:$AY325,'recurring2_based on steps'!$B$1:$AY$1,O$1)+SUMIFS('changes2_based on steps'!$B325:$U325,'changes2_based on steps'!$B$1:$U$1,O$1)</f>
        <v>0</v>
      </c>
      <c r="P325" s="140">
        <f ca="1">SUMIFS('recurring2_based on steps'!$B325:$AY325,'recurring2_based on steps'!$B$1:$AY$1,P$1)+SUMIFS('changes2_based on steps'!$B325:$U325,'changes2_based on steps'!$B$1:$U$1,P$1)</f>
        <v>0</v>
      </c>
      <c r="Q325" s="140">
        <f ca="1">SUMIFS('recurring2_based on steps'!$B325:$AY325,'recurring2_based on steps'!$B$1:$AY$1,Q$1)+SUMIFS('changes2_based on steps'!$B325:$U325,'changes2_based on steps'!$B$1:$U$1,Q$1)</f>
        <v>5.5401662049861494E-2</v>
      </c>
      <c r="R325" s="140">
        <f ca="1">SUMIFS('recurring2_based on steps'!$B325:$AY325,'recurring2_based on steps'!$B$1:$AY$1,R$1)+SUMIFS('changes2_based on steps'!$B325:$U325,'changes2_based on steps'!$B$1:$U$1,R$1)</f>
        <v>0</v>
      </c>
      <c r="S325" s="140">
        <f>SUMIFS('recurring2_based on steps'!$B325:$AY325,'recurring2_based on steps'!$B$1:$AY$1,S$1)+SUMIFS('changes2_based on steps'!$B325:$U325,'changes2_based on steps'!$B$1:$U$1,S$1)</f>
        <v>0</v>
      </c>
      <c r="T325" s="140">
        <f ca="1">SUMIFS('recurring2_based on steps'!$B325:$AY325,'recurring2_based on steps'!$B$1:$AY$1,T$1)+SUMIFS('changes2_based on steps'!$B325:$U325,'changes2_based on steps'!$B$1:$U$1,T$1)</f>
        <v>0</v>
      </c>
      <c r="U325" s="140">
        <f ca="1">SUMIFS('recurring2_based on steps'!$B325:$AY325,'recurring2_based on steps'!$B$1:$AY$1,U$1)+SUMIFS('changes2_based on steps'!$B325:$U325,'changes2_based on steps'!$B$1:$U$1,U$1)</f>
        <v>0</v>
      </c>
      <c r="V325" s="140">
        <f>SUMIFS('recurring2_based on steps'!$B325:$AY325,'recurring2_based on steps'!$B$1:$AY$1,V$1)+SUMIFS('changes2_based on steps'!$B325:$U325,'changes2_based on steps'!$B$1:$U$1,V$1)</f>
        <v>0</v>
      </c>
      <c r="W325" s="140">
        <f>SUMIFS('recurring2_based on steps'!$B325:$AY325,'recurring2_based on steps'!$B$1:$AY$1,W$1)+SUMIFS('changes2_based on steps'!$B325:$U325,'changes2_based on steps'!$B$1:$U$1,W$1)</f>
        <v>0</v>
      </c>
      <c r="X325" s="140">
        <f ca="1">SUMIFS('recurring2_based on steps'!$B325:$AY325,'recurring2_based on steps'!$B$1:$AY$1,X$1)+SUMIFS('changes2_based on steps'!$B325:$U325,'changes2_based on steps'!$B$1:$U$1,X$1)</f>
        <v>0</v>
      </c>
      <c r="Y325" s="140">
        <f ca="1">SUMIFS('recurring2_based on steps'!$B325:$AY325,'recurring2_based on steps'!$B$1:$AY$1,Y$1)+SUMIFS('changes2_based on steps'!$B325:$U325,'changes2_based on steps'!$B$1:$U$1,Y$1)</f>
        <v>0</v>
      </c>
      <c r="Z325" s="140">
        <f>SUMIFS('recurring2_based on steps'!$B325:$AY325,'recurring2_based on steps'!$B$1:$AY$1,Z$1)+SUMIFS('changes2_based on steps'!$B325:$U325,'changes2_based on steps'!$B$1:$U$1,Z$1)</f>
        <v>0</v>
      </c>
      <c r="AA325" s="140">
        <f ca="1">SUMIFS('recurring2_based on steps'!$B325:$AY325,'recurring2_based on steps'!$B$1:$AY$1,AA$1)+SUMIFS('changes2_based on steps'!$B325:$U325,'changes2_based on steps'!$B$1:$U$1,AA$1)</f>
        <v>0</v>
      </c>
      <c r="AB325" s="140">
        <f ca="1">SUMIFS('recurring2_based on steps'!$B325:$AY325,'recurring2_based on steps'!$B$1:$AY$1,AB$1)+SUMIFS('changes2_based on steps'!$B325:$U325,'changes2_based on steps'!$B$1:$U$1,AB$1)</f>
        <v>0</v>
      </c>
      <c r="AC325" s="140">
        <f ca="1">SUMIFS('recurring2_based on steps'!$B325:$AY325,'recurring2_based on steps'!$B$1:$AY$1,AC$1)+SUMIFS('changes2_based on steps'!$B325:$U325,'changes2_based on steps'!$B$1:$U$1,AC$1)</f>
        <v>0</v>
      </c>
      <c r="AD325" s="140">
        <f ca="1">SUMIFS('recurring2_based on steps'!$B325:$AY325,'recurring2_based on steps'!$B$1:$AY$1,AD$1)+SUMIFS('changes2_based on steps'!$B325:$U325,'changes2_based on steps'!$B$1:$U$1,AD$1)</f>
        <v>0</v>
      </c>
      <c r="AE325" s="140">
        <f>SUMIFS('recurring2_based on steps'!$B325:$AY325,'recurring2_based on steps'!$B$1:$AY$1,AE$1)+SUMIFS('changes2_based on steps'!$B325:$U325,'changes2_based on steps'!$B$1:$U$1,AE$1)</f>
        <v>0</v>
      </c>
      <c r="AF325" s="140"/>
      <c r="AG325" s="140"/>
      <c r="AH325" s="140"/>
      <c r="AI325" s="140"/>
      <c r="AJ325" s="140"/>
      <c r="AK325" s="140"/>
      <c r="AL325" s="140"/>
      <c r="AM325" s="140"/>
    </row>
    <row r="326" spans="1:39" x14ac:dyDescent="0.2">
      <c r="A326" s="29">
        <f t="shared" ca="1" si="5"/>
        <v>46066</v>
      </c>
      <c r="B326" s="140">
        <f ca="1">SUMIFS('recurring2_based on steps'!$B326:$AY326,'recurring2_based on steps'!$B$1:$AY$1,B$1)+SUMIFS('changes2_based on steps'!$B326:$U326,'changes2_based on steps'!$B$1:$U$1,B$1)</f>
        <v>0</v>
      </c>
      <c r="C326" s="140">
        <f>SUMIFS('recurring2_based on steps'!$B326:$AY326,'recurring2_based on steps'!$B$1:$AY$1,C$1)+SUMIFS('changes2_based on steps'!$B326:$U326,'changes2_based on steps'!$B$1:$U$1,C$1)</f>
        <v>0</v>
      </c>
      <c r="D326" s="140">
        <f>SUMIFS('recurring2_based on steps'!$B326:$AY326,'recurring2_based on steps'!$B$1:$AY$1,D$1)+SUMIFS('changes2_based on steps'!$B326:$U326,'changes2_based on steps'!$B$1:$U$1,D$1)</f>
        <v>0</v>
      </c>
      <c r="E326" s="140">
        <f>SUMIFS('recurring2_based on steps'!$B326:$AY326,'recurring2_based on steps'!$B$1:$AY$1,E$1)+SUMIFS('changes2_based on steps'!$B326:$U326,'changes2_based on steps'!$B$1:$U$1,E$1)</f>
        <v>0</v>
      </c>
      <c r="F326" s="140">
        <f>SUMIFS('recurring2_based on steps'!$B326:$AY326,'recurring2_based on steps'!$B$1:$AY$1,F$1)+SUMIFS('changes2_based on steps'!$B326:$U326,'changes2_based on steps'!$B$1:$U$1,F$1)</f>
        <v>0</v>
      </c>
      <c r="G326" s="140">
        <f>SUMIFS('recurring2_based on steps'!$B326:$AY326,'recurring2_based on steps'!$B$1:$AY$1,G$1)+SUMIFS('changes2_based on steps'!$B326:$U326,'changes2_based on steps'!$B$1:$U$1,G$1)</f>
        <v>0</v>
      </c>
      <c r="H326" s="140">
        <f>SUMIFS('recurring2_based on steps'!$B326:$AY326,'recurring2_based on steps'!$B$1:$AY$1,H$1)+SUMIFS('changes2_based on steps'!$B326:$U326,'changes2_based on steps'!$B$1:$U$1,H$1)</f>
        <v>0</v>
      </c>
      <c r="I326" s="140">
        <f>SUMIFS('recurring2_based on steps'!$B326:$AY326,'recurring2_based on steps'!$B$1:$AY$1,I$1)+SUMIFS('changes2_based on steps'!$B326:$U326,'changes2_based on steps'!$B$1:$U$1,I$1)</f>
        <v>0</v>
      </c>
      <c r="J326" s="140">
        <f ca="1">SUMIFS('recurring2_based on steps'!$B326:$AY326,'recurring2_based on steps'!$B$1:$AY$1,J$1)+SUMIFS('changes2_based on steps'!$B326:$U326,'changes2_based on steps'!$B$1:$U$1,J$1)</f>
        <v>0</v>
      </c>
      <c r="K326" s="140">
        <f>SUMIFS('recurring2_based on steps'!$B326:$AY326,'recurring2_based on steps'!$B$1:$AY$1,K$1)+SUMIFS('changes2_based on steps'!$B326:$U326,'changes2_based on steps'!$B$1:$U$1,K$1)</f>
        <v>0</v>
      </c>
      <c r="L326" s="140">
        <f>SUMIFS('recurring2_based on steps'!$B326:$AY326,'recurring2_based on steps'!$B$1:$AY$1,L$1)+SUMIFS('changes2_based on steps'!$B326:$U326,'changes2_based on steps'!$B$1:$U$1,L$1)</f>
        <v>0</v>
      </c>
      <c r="M326" s="140">
        <f>SUMIFS('recurring2_based on steps'!$B326:$AY326,'recurring2_based on steps'!$B$1:$AY$1,M$1)+SUMIFS('changes2_based on steps'!$B326:$U326,'changes2_based on steps'!$B$1:$U$1,M$1)</f>
        <v>0</v>
      </c>
      <c r="N326" s="140">
        <f ca="1">SUMIFS('recurring2_based on steps'!$B326:$AY326,'recurring2_based on steps'!$B$1:$AY$1,N$1)+SUMIFS('changes2_based on steps'!$B326:$U326,'changes2_based on steps'!$B$1:$U$1,N$1)</f>
        <v>0</v>
      </c>
      <c r="O326" s="140">
        <f>SUMIFS('recurring2_based on steps'!$B326:$AY326,'recurring2_based on steps'!$B$1:$AY$1,O$1)+SUMIFS('changes2_based on steps'!$B326:$U326,'changes2_based on steps'!$B$1:$U$1,O$1)</f>
        <v>0</v>
      </c>
      <c r="P326" s="140">
        <f ca="1">SUMIFS('recurring2_based on steps'!$B326:$AY326,'recurring2_based on steps'!$B$1:$AY$1,P$1)+SUMIFS('changes2_based on steps'!$B326:$U326,'changes2_based on steps'!$B$1:$U$1,P$1)</f>
        <v>0</v>
      </c>
      <c r="Q326" s="140">
        <f ca="1">SUMIFS('recurring2_based on steps'!$B326:$AY326,'recurring2_based on steps'!$B$1:$AY$1,Q$1)+SUMIFS('changes2_based on steps'!$B326:$U326,'changes2_based on steps'!$B$1:$U$1,Q$1)</f>
        <v>5.5401662049861494E-2</v>
      </c>
      <c r="R326" s="140">
        <f ca="1">SUMIFS('recurring2_based on steps'!$B326:$AY326,'recurring2_based on steps'!$B$1:$AY$1,R$1)+SUMIFS('changes2_based on steps'!$B326:$U326,'changes2_based on steps'!$B$1:$U$1,R$1)</f>
        <v>0</v>
      </c>
      <c r="S326" s="140">
        <f>SUMIFS('recurring2_based on steps'!$B326:$AY326,'recurring2_based on steps'!$B$1:$AY$1,S$1)+SUMIFS('changes2_based on steps'!$B326:$U326,'changes2_based on steps'!$B$1:$U$1,S$1)</f>
        <v>0</v>
      </c>
      <c r="T326" s="140">
        <f ca="1">SUMIFS('recurring2_based on steps'!$B326:$AY326,'recurring2_based on steps'!$B$1:$AY$1,T$1)+SUMIFS('changes2_based on steps'!$B326:$U326,'changes2_based on steps'!$B$1:$U$1,T$1)</f>
        <v>0</v>
      </c>
      <c r="U326" s="140">
        <f ca="1">SUMIFS('recurring2_based on steps'!$B326:$AY326,'recurring2_based on steps'!$B$1:$AY$1,U$1)+SUMIFS('changes2_based on steps'!$B326:$U326,'changes2_based on steps'!$B$1:$U$1,U$1)</f>
        <v>0</v>
      </c>
      <c r="V326" s="140">
        <f>SUMIFS('recurring2_based on steps'!$B326:$AY326,'recurring2_based on steps'!$B$1:$AY$1,V$1)+SUMIFS('changes2_based on steps'!$B326:$U326,'changes2_based on steps'!$B$1:$U$1,V$1)</f>
        <v>0</v>
      </c>
      <c r="W326" s="140">
        <f>SUMIFS('recurring2_based on steps'!$B326:$AY326,'recurring2_based on steps'!$B$1:$AY$1,W$1)+SUMIFS('changes2_based on steps'!$B326:$U326,'changes2_based on steps'!$B$1:$U$1,W$1)</f>
        <v>0</v>
      </c>
      <c r="X326" s="140">
        <f ca="1">SUMIFS('recurring2_based on steps'!$B326:$AY326,'recurring2_based on steps'!$B$1:$AY$1,X$1)+SUMIFS('changes2_based on steps'!$B326:$U326,'changes2_based on steps'!$B$1:$U$1,X$1)</f>
        <v>0</v>
      </c>
      <c r="Y326" s="140">
        <f ca="1">SUMIFS('recurring2_based on steps'!$B326:$AY326,'recurring2_based on steps'!$B$1:$AY$1,Y$1)+SUMIFS('changes2_based on steps'!$B326:$U326,'changes2_based on steps'!$B$1:$U$1,Y$1)</f>
        <v>0</v>
      </c>
      <c r="Z326" s="140">
        <f>SUMIFS('recurring2_based on steps'!$B326:$AY326,'recurring2_based on steps'!$B$1:$AY$1,Z$1)+SUMIFS('changes2_based on steps'!$B326:$U326,'changes2_based on steps'!$B$1:$U$1,Z$1)</f>
        <v>0</v>
      </c>
      <c r="AA326" s="140">
        <f ca="1">SUMIFS('recurring2_based on steps'!$B326:$AY326,'recurring2_based on steps'!$B$1:$AY$1,AA$1)+SUMIFS('changes2_based on steps'!$B326:$U326,'changes2_based on steps'!$B$1:$U$1,AA$1)</f>
        <v>0</v>
      </c>
      <c r="AB326" s="140">
        <f ca="1">SUMIFS('recurring2_based on steps'!$B326:$AY326,'recurring2_based on steps'!$B$1:$AY$1,AB$1)+SUMIFS('changes2_based on steps'!$B326:$U326,'changes2_based on steps'!$B$1:$U$1,AB$1)</f>
        <v>0</v>
      </c>
      <c r="AC326" s="140">
        <f ca="1">SUMIFS('recurring2_based on steps'!$B326:$AY326,'recurring2_based on steps'!$B$1:$AY$1,AC$1)+SUMIFS('changes2_based on steps'!$B326:$U326,'changes2_based on steps'!$B$1:$U$1,AC$1)</f>
        <v>0</v>
      </c>
      <c r="AD326" s="140">
        <f ca="1">SUMIFS('recurring2_based on steps'!$B326:$AY326,'recurring2_based on steps'!$B$1:$AY$1,AD$1)+SUMIFS('changes2_based on steps'!$B326:$U326,'changes2_based on steps'!$B$1:$U$1,AD$1)</f>
        <v>0</v>
      </c>
      <c r="AE326" s="140">
        <f>SUMIFS('recurring2_based on steps'!$B326:$AY326,'recurring2_based on steps'!$B$1:$AY$1,AE$1)+SUMIFS('changes2_based on steps'!$B326:$U326,'changes2_based on steps'!$B$1:$U$1,AE$1)</f>
        <v>0</v>
      </c>
      <c r="AF326" s="140"/>
      <c r="AG326" s="140"/>
      <c r="AH326" s="140"/>
      <c r="AI326" s="140"/>
      <c r="AJ326" s="140"/>
      <c r="AK326" s="140"/>
      <c r="AL326" s="140"/>
      <c r="AM326" s="140"/>
    </row>
    <row r="327" spans="1:39" x14ac:dyDescent="0.2">
      <c r="A327" s="29">
        <f t="shared" ca="1" si="5"/>
        <v>46067</v>
      </c>
      <c r="B327" s="140">
        <f ca="1">SUMIFS('recurring2_based on steps'!$B327:$AY327,'recurring2_based on steps'!$B$1:$AY$1,B$1)+SUMIFS('changes2_based on steps'!$B327:$U327,'changes2_based on steps'!$B$1:$U$1,B$1)</f>
        <v>0</v>
      </c>
      <c r="C327" s="140">
        <f>SUMIFS('recurring2_based on steps'!$B327:$AY327,'recurring2_based on steps'!$B$1:$AY$1,C$1)+SUMIFS('changes2_based on steps'!$B327:$U327,'changes2_based on steps'!$B$1:$U$1,C$1)</f>
        <v>0</v>
      </c>
      <c r="D327" s="140">
        <f>SUMIFS('recurring2_based on steps'!$B327:$AY327,'recurring2_based on steps'!$B$1:$AY$1,D$1)+SUMIFS('changes2_based on steps'!$B327:$U327,'changes2_based on steps'!$B$1:$U$1,D$1)</f>
        <v>0</v>
      </c>
      <c r="E327" s="140">
        <f>SUMIFS('recurring2_based on steps'!$B327:$AY327,'recurring2_based on steps'!$B$1:$AY$1,E$1)+SUMIFS('changes2_based on steps'!$B327:$U327,'changes2_based on steps'!$B$1:$U$1,E$1)</f>
        <v>0</v>
      </c>
      <c r="F327" s="140">
        <f>SUMIFS('recurring2_based on steps'!$B327:$AY327,'recurring2_based on steps'!$B$1:$AY$1,F$1)+SUMIFS('changes2_based on steps'!$B327:$U327,'changes2_based on steps'!$B$1:$U$1,F$1)</f>
        <v>0</v>
      </c>
      <c r="G327" s="140">
        <f>SUMIFS('recurring2_based on steps'!$B327:$AY327,'recurring2_based on steps'!$B$1:$AY$1,G$1)+SUMIFS('changes2_based on steps'!$B327:$U327,'changes2_based on steps'!$B$1:$U$1,G$1)</f>
        <v>0</v>
      </c>
      <c r="H327" s="140">
        <f>SUMIFS('recurring2_based on steps'!$B327:$AY327,'recurring2_based on steps'!$B$1:$AY$1,H$1)+SUMIFS('changes2_based on steps'!$B327:$U327,'changes2_based on steps'!$B$1:$U$1,H$1)</f>
        <v>0</v>
      </c>
      <c r="I327" s="140">
        <f>SUMIFS('recurring2_based on steps'!$B327:$AY327,'recurring2_based on steps'!$B$1:$AY$1,I$1)+SUMIFS('changes2_based on steps'!$B327:$U327,'changes2_based on steps'!$B$1:$U$1,I$1)</f>
        <v>0</v>
      </c>
      <c r="J327" s="140">
        <f ca="1">SUMIFS('recurring2_based on steps'!$B327:$AY327,'recurring2_based on steps'!$B$1:$AY$1,J$1)+SUMIFS('changes2_based on steps'!$B327:$U327,'changes2_based on steps'!$B$1:$U$1,J$1)</f>
        <v>0</v>
      </c>
      <c r="K327" s="140">
        <f>SUMIFS('recurring2_based on steps'!$B327:$AY327,'recurring2_based on steps'!$B$1:$AY$1,K$1)+SUMIFS('changes2_based on steps'!$B327:$U327,'changes2_based on steps'!$B$1:$U$1,K$1)</f>
        <v>0</v>
      </c>
      <c r="L327" s="140">
        <f>SUMIFS('recurring2_based on steps'!$B327:$AY327,'recurring2_based on steps'!$B$1:$AY$1,L$1)+SUMIFS('changes2_based on steps'!$B327:$U327,'changes2_based on steps'!$B$1:$U$1,L$1)</f>
        <v>0</v>
      </c>
      <c r="M327" s="140">
        <f>SUMIFS('recurring2_based on steps'!$B327:$AY327,'recurring2_based on steps'!$B$1:$AY$1,M$1)+SUMIFS('changes2_based on steps'!$B327:$U327,'changes2_based on steps'!$B$1:$U$1,M$1)</f>
        <v>0</v>
      </c>
      <c r="N327" s="140">
        <f ca="1">SUMIFS('recurring2_based on steps'!$B327:$AY327,'recurring2_based on steps'!$B$1:$AY$1,N$1)+SUMIFS('changes2_based on steps'!$B327:$U327,'changes2_based on steps'!$B$1:$U$1,N$1)</f>
        <v>0</v>
      </c>
      <c r="O327" s="140">
        <f>SUMIFS('recurring2_based on steps'!$B327:$AY327,'recurring2_based on steps'!$B$1:$AY$1,O$1)+SUMIFS('changes2_based on steps'!$B327:$U327,'changes2_based on steps'!$B$1:$U$1,O$1)</f>
        <v>0</v>
      </c>
      <c r="P327" s="140">
        <f ca="1">SUMIFS('recurring2_based on steps'!$B327:$AY327,'recurring2_based on steps'!$B$1:$AY$1,P$1)+SUMIFS('changes2_based on steps'!$B327:$U327,'changes2_based on steps'!$B$1:$U$1,P$1)</f>
        <v>0</v>
      </c>
      <c r="Q327" s="140">
        <f ca="1">SUMIFS('recurring2_based on steps'!$B327:$AY327,'recurring2_based on steps'!$B$1:$AY$1,Q$1)+SUMIFS('changes2_based on steps'!$B327:$U327,'changes2_based on steps'!$B$1:$U$1,Q$1)</f>
        <v>100.05540166204986</v>
      </c>
      <c r="R327" s="140">
        <f ca="1">SUMIFS('recurring2_based on steps'!$B327:$AY327,'recurring2_based on steps'!$B$1:$AY$1,R$1)+SUMIFS('changes2_based on steps'!$B327:$U327,'changes2_based on steps'!$B$1:$U$1,R$1)</f>
        <v>0</v>
      </c>
      <c r="S327" s="140">
        <f>SUMIFS('recurring2_based on steps'!$B327:$AY327,'recurring2_based on steps'!$B$1:$AY$1,S$1)+SUMIFS('changes2_based on steps'!$B327:$U327,'changes2_based on steps'!$B$1:$U$1,S$1)</f>
        <v>0</v>
      </c>
      <c r="T327" s="140">
        <f ca="1">SUMIFS('recurring2_based on steps'!$B327:$AY327,'recurring2_based on steps'!$B$1:$AY$1,T$1)+SUMIFS('changes2_based on steps'!$B327:$U327,'changes2_based on steps'!$B$1:$U$1,T$1)</f>
        <v>0</v>
      </c>
      <c r="U327" s="140">
        <f ca="1">SUMIFS('recurring2_based on steps'!$B327:$AY327,'recurring2_based on steps'!$B$1:$AY$1,U$1)+SUMIFS('changes2_based on steps'!$B327:$U327,'changes2_based on steps'!$B$1:$U$1,U$1)</f>
        <v>0</v>
      </c>
      <c r="V327" s="140">
        <f>SUMIFS('recurring2_based on steps'!$B327:$AY327,'recurring2_based on steps'!$B$1:$AY$1,V$1)+SUMIFS('changes2_based on steps'!$B327:$U327,'changes2_based on steps'!$B$1:$U$1,V$1)</f>
        <v>0</v>
      </c>
      <c r="W327" s="140">
        <f>SUMIFS('recurring2_based on steps'!$B327:$AY327,'recurring2_based on steps'!$B$1:$AY$1,W$1)+SUMIFS('changes2_based on steps'!$B327:$U327,'changes2_based on steps'!$B$1:$U$1,W$1)</f>
        <v>0</v>
      </c>
      <c r="X327" s="140">
        <f ca="1">SUMIFS('recurring2_based on steps'!$B327:$AY327,'recurring2_based on steps'!$B$1:$AY$1,X$1)+SUMIFS('changes2_based on steps'!$B327:$U327,'changes2_based on steps'!$B$1:$U$1,X$1)</f>
        <v>0</v>
      </c>
      <c r="Y327" s="140">
        <f ca="1">SUMIFS('recurring2_based on steps'!$B327:$AY327,'recurring2_based on steps'!$B$1:$AY$1,Y$1)+SUMIFS('changes2_based on steps'!$B327:$U327,'changes2_based on steps'!$B$1:$U$1,Y$1)</f>
        <v>0</v>
      </c>
      <c r="Z327" s="140">
        <f>SUMIFS('recurring2_based on steps'!$B327:$AY327,'recurring2_based on steps'!$B$1:$AY$1,Z$1)+SUMIFS('changes2_based on steps'!$B327:$U327,'changes2_based on steps'!$B$1:$U$1,Z$1)</f>
        <v>0</v>
      </c>
      <c r="AA327" s="140">
        <f ca="1">SUMIFS('recurring2_based on steps'!$B327:$AY327,'recurring2_based on steps'!$B$1:$AY$1,AA$1)+SUMIFS('changes2_based on steps'!$B327:$U327,'changes2_based on steps'!$B$1:$U$1,AA$1)</f>
        <v>0</v>
      </c>
      <c r="AB327" s="140">
        <f ca="1">SUMIFS('recurring2_based on steps'!$B327:$AY327,'recurring2_based on steps'!$B$1:$AY$1,AB$1)+SUMIFS('changes2_based on steps'!$B327:$U327,'changes2_based on steps'!$B$1:$U$1,AB$1)</f>
        <v>100</v>
      </c>
      <c r="AC327" s="140">
        <f ca="1">SUMIFS('recurring2_based on steps'!$B327:$AY327,'recurring2_based on steps'!$B$1:$AY$1,AC$1)+SUMIFS('changes2_based on steps'!$B327:$U327,'changes2_based on steps'!$B$1:$U$1,AC$1)</f>
        <v>0</v>
      </c>
      <c r="AD327" s="140">
        <f ca="1">SUMIFS('recurring2_based on steps'!$B327:$AY327,'recurring2_based on steps'!$B$1:$AY$1,AD$1)+SUMIFS('changes2_based on steps'!$B327:$U327,'changes2_based on steps'!$B$1:$U$1,AD$1)</f>
        <v>0</v>
      </c>
      <c r="AE327" s="140">
        <f>SUMIFS('recurring2_based on steps'!$B327:$AY327,'recurring2_based on steps'!$B$1:$AY$1,AE$1)+SUMIFS('changes2_based on steps'!$B327:$U327,'changes2_based on steps'!$B$1:$U$1,AE$1)</f>
        <v>0</v>
      </c>
      <c r="AF327" s="140"/>
      <c r="AG327" s="140"/>
      <c r="AH327" s="140"/>
      <c r="AI327" s="140"/>
      <c r="AJ327" s="140"/>
      <c r="AK327" s="140"/>
      <c r="AL327" s="140"/>
      <c r="AM327" s="140"/>
    </row>
    <row r="328" spans="1:39" x14ac:dyDescent="0.2">
      <c r="A328" s="29">
        <f t="shared" ca="1" si="5"/>
        <v>46068</v>
      </c>
      <c r="B328" s="140">
        <f ca="1">SUMIFS('recurring2_based on steps'!$B328:$AY328,'recurring2_based on steps'!$B$1:$AY$1,B$1)+SUMIFS('changes2_based on steps'!$B328:$U328,'changes2_based on steps'!$B$1:$U$1,B$1)</f>
        <v>0</v>
      </c>
      <c r="C328" s="140">
        <f>SUMIFS('recurring2_based on steps'!$B328:$AY328,'recurring2_based on steps'!$B$1:$AY$1,C$1)+SUMIFS('changes2_based on steps'!$B328:$U328,'changes2_based on steps'!$B$1:$U$1,C$1)</f>
        <v>0</v>
      </c>
      <c r="D328" s="140">
        <f>SUMIFS('recurring2_based on steps'!$B328:$AY328,'recurring2_based on steps'!$B$1:$AY$1,D$1)+SUMIFS('changes2_based on steps'!$B328:$U328,'changes2_based on steps'!$B$1:$U$1,D$1)</f>
        <v>0</v>
      </c>
      <c r="E328" s="140">
        <f>SUMIFS('recurring2_based on steps'!$B328:$AY328,'recurring2_based on steps'!$B$1:$AY$1,E$1)+SUMIFS('changes2_based on steps'!$B328:$U328,'changes2_based on steps'!$B$1:$U$1,E$1)</f>
        <v>0</v>
      </c>
      <c r="F328" s="140">
        <f>SUMIFS('recurring2_based on steps'!$B328:$AY328,'recurring2_based on steps'!$B$1:$AY$1,F$1)+SUMIFS('changes2_based on steps'!$B328:$U328,'changes2_based on steps'!$B$1:$U$1,F$1)</f>
        <v>0</v>
      </c>
      <c r="G328" s="140">
        <f>SUMIFS('recurring2_based on steps'!$B328:$AY328,'recurring2_based on steps'!$B$1:$AY$1,G$1)+SUMIFS('changes2_based on steps'!$B328:$U328,'changes2_based on steps'!$B$1:$U$1,G$1)</f>
        <v>0</v>
      </c>
      <c r="H328" s="140">
        <f>SUMIFS('recurring2_based on steps'!$B328:$AY328,'recurring2_based on steps'!$B$1:$AY$1,H$1)+SUMIFS('changes2_based on steps'!$B328:$U328,'changes2_based on steps'!$B$1:$U$1,H$1)</f>
        <v>0</v>
      </c>
      <c r="I328" s="140">
        <f>SUMIFS('recurring2_based on steps'!$B328:$AY328,'recurring2_based on steps'!$B$1:$AY$1,I$1)+SUMIFS('changes2_based on steps'!$B328:$U328,'changes2_based on steps'!$B$1:$U$1,I$1)</f>
        <v>0</v>
      </c>
      <c r="J328" s="140">
        <f ca="1">SUMIFS('recurring2_based on steps'!$B328:$AY328,'recurring2_based on steps'!$B$1:$AY$1,J$1)+SUMIFS('changes2_based on steps'!$B328:$U328,'changes2_based on steps'!$B$1:$U$1,J$1)</f>
        <v>0</v>
      </c>
      <c r="K328" s="140">
        <f>SUMIFS('recurring2_based on steps'!$B328:$AY328,'recurring2_based on steps'!$B$1:$AY$1,K$1)+SUMIFS('changes2_based on steps'!$B328:$U328,'changes2_based on steps'!$B$1:$U$1,K$1)</f>
        <v>0</v>
      </c>
      <c r="L328" s="140">
        <f>SUMIFS('recurring2_based on steps'!$B328:$AY328,'recurring2_based on steps'!$B$1:$AY$1,L$1)+SUMIFS('changes2_based on steps'!$B328:$U328,'changes2_based on steps'!$B$1:$U$1,L$1)</f>
        <v>0</v>
      </c>
      <c r="M328" s="140">
        <f>SUMIFS('recurring2_based on steps'!$B328:$AY328,'recurring2_based on steps'!$B$1:$AY$1,M$1)+SUMIFS('changes2_based on steps'!$B328:$U328,'changes2_based on steps'!$B$1:$U$1,M$1)</f>
        <v>0</v>
      </c>
      <c r="N328" s="140">
        <f ca="1">SUMIFS('recurring2_based on steps'!$B328:$AY328,'recurring2_based on steps'!$B$1:$AY$1,N$1)+SUMIFS('changes2_based on steps'!$B328:$U328,'changes2_based on steps'!$B$1:$U$1,N$1)</f>
        <v>0</v>
      </c>
      <c r="O328" s="140">
        <f>SUMIFS('recurring2_based on steps'!$B328:$AY328,'recurring2_based on steps'!$B$1:$AY$1,O$1)+SUMIFS('changes2_based on steps'!$B328:$U328,'changes2_based on steps'!$B$1:$U$1,O$1)</f>
        <v>0</v>
      </c>
      <c r="P328" s="140">
        <f ca="1">SUMIFS('recurring2_based on steps'!$B328:$AY328,'recurring2_based on steps'!$B$1:$AY$1,P$1)+SUMIFS('changes2_based on steps'!$B328:$U328,'changes2_based on steps'!$B$1:$U$1,P$1)</f>
        <v>0</v>
      </c>
      <c r="Q328" s="140">
        <f ca="1">SUMIFS('recurring2_based on steps'!$B328:$AY328,'recurring2_based on steps'!$B$1:$AY$1,Q$1)+SUMIFS('changes2_based on steps'!$B328:$U328,'changes2_based on steps'!$B$1:$U$1,Q$1)</f>
        <v>100.05540166204986</v>
      </c>
      <c r="R328" s="140">
        <f ca="1">SUMIFS('recurring2_based on steps'!$B328:$AY328,'recurring2_based on steps'!$B$1:$AY$1,R$1)+SUMIFS('changes2_based on steps'!$B328:$U328,'changes2_based on steps'!$B$1:$U$1,R$1)</f>
        <v>0</v>
      </c>
      <c r="S328" s="140">
        <f>SUMIFS('recurring2_based on steps'!$B328:$AY328,'recurring2_based on steps'!$B$1:$AY$1,S$1)+SUMIFS('changes2_based on steps'!$B328:$U328,'changes2_based on steps'!$B$1:$U$1,S$1)</f>
        <v>0</v>
      </c>
      <c r="T328" s="140">
        <f ca="1">SUMIFS('recurring2_based on steps'!$B328:$AY328,'recurring2_based on steps'!$B$1:$AY$1,T$1)+SUMIFS('changes2_based on steps'!$B328:$U328,'changes2_based on steps'!$B$1:$U$1,T$1)</f>
        <v>0</v>
      </c>
      <c r="U328" s="140">
        <f ca="1">SUMIFS('recurring2_based on steps'!$B328:$AY328,'recurring2_based on steps'!$B$1:$AY$1,U$1)+SUMIFS('changes2_based on steps'!$B328:$U328,'changes2_based on steps'!$B$1:$U$1,U$1)</f>
        <v>0</v>
      </c>
      <c r="V328" s="140">
        <f>SUMIFS('recurring2_based on steps'!$B328:$AY328,'recurring2_based on steps'!$B$1:$AY$1,V$1)+SUMIFS('changes2_based on steps'!$B328:$U328,'changes2_based on steps'!$B$1:$U$1,V$1)</f>
        <v>0</v>
      </c>
      <c r="W328" s="140">
        <f>SUMIFS('recurring2_based on steps'!$B328:$AY328,'recurring2_based on steps'!$B$1:$AY$1,W$1)+SUMIFS('changes2_based on steps'!$B328:$U328,'changes2_based on steps'!$B$1:$U$1,W$1)</f>
        <v>0</v>
      </c>
      <c r="X328" s="140">
        <f ca="1">SUMIFS('recurring2_based on steps'!$B328:$AY328,'recurring2_based on steps'!$B$1:$AY$1,X$1)+SUMIFS('changes2_based on steps'!$B328:$U328,'changes2_based on steps'!$B$1:$U$1,X$1)</f>
        <v>0</v>
      </c>
      <c r="Y328" s="140">
        <f ca="1">SUMIFS('recurring2_based on steps'!$B328:$AY328,'recurring2_based on steps'!$B$1:$AY$1,Y$1)+SUMIFS('changes2_based on steps'!$B328:$U328,'changes2_based on steps'!$B$1:$U$1,Y$1)</f>
        <v>50</v>
      </c>
      <c r="Z328" s="140">
        <f>SUMIFS('recurring2_based on steps'!$B328:$AY328,'recurring2_based on steps'!$B$1:$AY$1,Z$1)+SUMIFS('changes2_based on steps'!$B328:$U328,'changes2_based on steps'!$B$1:$U$1,Z$1)</f>
        <v>0</v>
      </c>
      <c r="AA328" s="140">
        <f ca="1">SUMIFS('recurring2_based on steps'!$B328:$AY328,'recurring2_based on steps'!$B$1:$AY$1,AA$1)+SUMIFS('changes2_based on steps'!$B328:$U328,'changes2_based on steps'!$B$1:$U$1,AA$1)</f>
        <v>0</v>
      </c>
      <c r="AB328" s="140">
        <f ca="1">SUMIFS('recurring2_based on steps'!$B328:$AY328,'recurring2_based on steps'!$B$1:$AY$1,AB$1)+SUMIFS('changes2_based on steps'!$B328:$U328,'changes2_based on steps'!$B$1:$U$1,AB$1)</f>
        <v>0</v>
      </c>
      <c r="AC328" s="140">
        <f ca="1">SUMIFS('recurring2_based on steps'!$B328:$AY328,'recurring2_based on steps'!$B$1:$AY$1,AC$1)+SUMIFS('changes2_based on steps'!$B328:$U328,'changes2_based on steps'!$B$1:$U$1,AC$1)</f>
        <v>0</v>
      </c>
      <c r="AD328" s="140">
        <f ca="1">SUMIFS('recurring2_based on steps'!$B328:$AY328,'recurring2_based on steps'!$B$1:$AY$1,AD$1)+SUMIFS('changes2_based on steps'!$B328:$U328,'changes2_based on steps'!$B$1:$U$1,AD$1)</f>
        <v>0</v>
      </c>
      <c r="AE328" s="140">
        <f>SUMIFS('recurring2_based on steps'!$B328:$AY328,'recurring2_based on steps'!$B$1:$AY$1,AE$1)+SUMIFS('changes2_based on steps'!$B328:$U328,'changes2_based on steps'!$B$1:$U$1,AE$1)</f>
        <v>0</v>
      </c>
      <c r="AF328" s="140"/>
      <c r="AG328" s="140"/>
      <c r="AH328" s="140"/>
      <c r="AI328" s="140"/>
      <c r="AJ328" s="140"/>
      <c r="AK328" s="140"/>
      <c r="AL328" s="140"/>
      <c r="AM328" s="140"/>
    </row>
    <row r="329" spans="1:39" x14ac:dyDescent="0.2">
      <c r="A329" s="29">
        <f t="shared" ca="1" si="5"/>
        <v>46069</v>
      </c>
      <c r="B329" s="140">
        <f ca="1">SUMIFS('recurring2_based on steps'!$B329:$AY329,'recurring2_based on steps'!$B$1:$AY$1,B$1)+SUMIFS('changes2_based on steps'!$B329:$U329,'changes2_based on steps'!$B$1:$U$1,B$1)</f>
        <v>0</v>
      </c>
      <c r="C329" s="140">
        <f>SUMIFS('recurring2_based on steps'!$B329:$AY329,'recurring2_based on steps'!$B$1:$AY$1,C$1)+SUMIFS('changes2_based on steps'!$B329:$U329,'changes2_based on steps'!$B$1:$U$1,C$1)</f>
        <v>0</v>
      </c>
      <c r="D329" s="140">
        <f>SUMIFS('recurring2_based on steps'!$B329:$AY329,'recurring2_based on steps'!$B$1:$AY$1,D$1)+SUMIFS('changes2_based on steps'!$B329:$U329,'changes2_based on steps'!$B$1:$U$1,D$1)</f>
        <v>0</v>
      </c>
      <c r="E329" s="140">
        <f>SUMIFS('recurring2_based on steps'!$B329:$AY329,'recurring2_based on steps'!$B$1:$AY$1,E$1)+SUMIFS('changes2_based on steps'!$B329:$U329,'changes2_based on steps'!$B$1:$U$1,E$1)</f>
        <v>0</v>
      </c>
      <c r="F329" s="140">
        <f>SUMIFS('recurring2_based on steps'!$B329:$AY329,'recurring2_based on steps'!$B$1:$AY$1,F$1)+SUMIFS('changes2_based on steps'!$B329:$U329,'changes2_based on steps'!$B$1:$U$1,F$1)</f>
        <v>0</v>
      </c>
      <c r="G329" s="140">
        <f>SUMIFS('recurring2_based on steps'!$B329:$AY329,'recurring2_based on steps'!$B$1:$AY$1,G$1)+SUMIFS('changes2_based on steps'!$B329:$U329,'changes2_based on steps'!$B$1:$U$1,G$1)</f>
        <v>0</v>
      </c>
      <c r="H329" s="140">
        <f>SUMIFS('recurring2_based on steps'!$B329:$AY329,'recurring2_based on steps'!$B$1:$AY$1,H$1)+SUMIFS('changes2_based on steps'!$B329:$U329,'changes2_based on steps'!$B$1:$U$1,H$1)</f>
        <v>0</v>
      </c>
      <c r="I329" s="140">
        <f>SUMIFS('recurring2_based on steps'!$B329:$AY329,'recurring2_based on steps'!$B$1:$AY$1,I$1)+SUMIFS('changes2_based on steps'!$B329:$U329,'changes2_based on steps'!$B$1:$U$1,I$1)</f>
        <v>0</v>
      </c>
      <c r="J329" s="140">
        <f ca="1">SUMIFS('recurring2_based on steps'!$B329:$AY329,'recurring2_based on steps'!$B$1:$AY$1,J$1)+SUMIFS('changes2_based on steps'!$B329:$U329,'changes2_based on steps'!$B$1:$U$1,J$1)</f>
        <v>0</v>
      </c>
      <c r="K329" s="140">
        <f>SUMIFS('recurring2_based on steps'!$B329:$AY329,'recurring2_based on steps'!$B$1:$AY$1,K$1)+SUMIFS('changes2_based on steps'!$B329:$U329,'changes2_based on steps'!$B$1:$U$1,K$1)</f>
        <v>0</v>
      </c>
      <c r="L329" s="140">
        <f>SUMIFS('recurring2_based on steps'!$B329:$AY329,'recurring2_based on steps'!$B$1:$AY$1,L$1)+SUMIFS('changes2_based on steps'!$B329:$U329,'changes2_based on steps'!$B$1:$U$1,L$1)</f>
        <v>0</v>
      </c>
      <c r="M329" s="140">
        <f>SUMIFS('recurring2_based on steps'!$B329:$AY329,'recurring2_based on steps'!$B$1:$AY$1,M$1)+SUMIFS('changes2_based on steps'!$B329:$U329,'changes2_based on steps'!$B$1:$U$1,M$1)</f>
        <v>0</v>
      </c>
      <c r="N329" s="140">
        <f ca="1">SUMIFS('recurring2_based on steps'!$B329:$AY329,'recurring2_based on steps'!$B$1:$AY$1,N$1)+SUMIFS('changes2_based on steps'!$B329:$U329,'changes2_based on steps'!$B$1:$U$1,N$1)</f>
        <v>0</v>
      </c>
      <c r="O329" s="140">
        <f>SUMIFS('recurring2_based on steps'!$B329:$AY329,'recurring2_based on steps'!$B$1:$AY$1,O$1)+SUMIFS('changes2_based on steps'!$B329:$U329,'changes2_based on steps'!$B$1:$U$1,O$1)</f>
        <v>0</v>
      </c>
      <c r="P329" s="140">
        <f ca="1">SUMIFS('recurring2_based on steps'!$B329:$AY329,'recurring2_based on steps'!$B$1:$AY$1,P$1)+SUMIFS('changes2_based on steps'!$B329:$U329,'changes2_based on steps'!$B$1:$U$1,P$1)</f>
        <v>0</v>
      </c>
      <c r="Q329" s="140">
        <f ca="1">SUMIFS('recurring2_based on steps'!$B329:$AY329,'recurring2_based on steps'!$B$1:$AY$1,Q$1)+SUMIFS('changes2_based on steps'!$B329:$U329,'changes2_based on steps'!$B$1:$U$1,Q$1)</f>
        <v>5.5401662049861494E-2</v>
      </c>
      <c r="R329" s="140">
        <f ca="1">SUMIFS('recurring2_based on steps'!$B329:$AY329,'recurring2_based on steps'!$B$1:$AY$1,R$1)+SUMIFS('changes2_based on steps'!$B329:$U329,'changes2_based on steps'!$B$1:$U$1,R$1)</f>
        <v>0</v>
      </c>
      <c r="S329" s="140">
        <f>SUMIFS('recurring2_based on steps'!$B329:$AY329,'recurring2_based on steps'!$B$1:$AY$1,S$1)+SUMIFS('changes2_based on steps'!$B329:$U329,'changes2_based on steps'!$B$1:$U$1,S$1)</f>
        <v>0</v>
      </c>
      <c r="T329" s="140">
        <f ca="1">SUMIFS('recurring2_based on steps'!$B329:$AY329,'recurring2_based on steps'!$B$1:$AY$1,T$1)+SUMIFS('changes2_based on steps'!$B329:$U329,'changes2_based on steps'!$B$1:$U$1,T$1)</f>
        <v>0</v>
      </c>
      <c r="U329" s="140">
        <f ca="1">SUMIFS('recurring2_based on steps'!$B329:$AY329,'recurring2_based on steps'!$B$1:$AY$1,U$1)+SUMIFS('changes2_based on steps'!$B329:$U329,'changes2_based on steps'!$B$1:$U$1,U$1)</f>
        <v>0</v>
      </c>
      <c r="V329" s="140">
        <f>SUMIFS('recurring2_based on steps'!$B329:$AY329,'recurring2_based on steps'!$B$1:$AY$1,V$1)+SUMIFS('changes2_based on steps'!$B329:$U329,'changes2_based on steps'!$B$1:$U$1,V$1)</f>
        <v>0</v>
      </c>
      <c r="W329" s="140">
        <f>SUMIFS('recurring2_based on steps'!$B329:$AY329,'recurring2_based on steps'!$B$1:$AY$1,W$1)+SUMIFS('changes2_based on steps'!$B329:$U329,'changes2_based on steps'!$B$1:$U$1,W$1)</f>
        <v>0</v>
      </c>
      <c r="X329" s="140">
        <f ca="1">SUMIFS('recurring2_based on steps'!$B329:$AY329,'recurring2_based on steps'!$B$1:$AY$1,X$1)+SUMIFS('changes2_based on steps'!$B329:$U329,'changes2_based on steps'!$B$1:$U$1,X$1)</f>
        <v>0</v>
      </c>
      <c r="Y329" s="140">
        <f ca="1">SUMIFS('recurring2_based on steps'!$B329:$AY329,'recurring2_based on steps'!$B$1:$AY$1,Y$1)+SUMIFS('changes2_based on steps'!$B329:$U329,'changes2_based on steps'!$B$1:$U$1,Y$1)</f>
        <v>0</v>
      </c>
      <c r="Z329" s="140">
        <f>SUMIFS('recurring2_based on steps'!$B329:$AY329,'recurring2_based on steps'!$B$1:$AY$1,Z$1)+SUMIFS('changes2_based on steps'!$B329:$U329,'changes2_based on steps'!$B$1:$U$1,Z$1)</f>
        <v>0</v>
      </c>
      <c r="AA329" s="140">
        <f ca="1">SUMIFS('recurring2_based on steps'!$B329:$AY329,'recurring2_based on steps'!$B$1:$AY$1,AA$1)+SUMIFS('changes2_based on steps'!$B329:$U329,'changes2_based on steps'!$B$1:$U$1,AA$1)</f>
        <v>50</v>
      </c>
      <c r="AB329" s="140">
        <f ca="1">SUMIFS('recurring2_based on steps'!$B329:$AY329,'recurring2_based on steps'!$B$1:$AY$1,AB$1)+SUMIFS('changes2_based on steps'!$B329:$U329,'changes2_based on steps'!$B$1:$U$1,AB$1)</f>
        <v>0</v>
      </c>
      <c r="AC329" s="140">
        <f ca="1">SUMIFS('recurring2_based on steps'!$B329:$AY329,'recurring2_based on steps'!$B$1:$AY$1,AC$1)+SUMIFS('changes2_based on steps'!$B329:$U329,'changes2_based on steps'!$B$1:$U$1,AC$1)</f>
        <v>0</v>
      </c>
      <c r="AD329" s="140">
        <f ca="1">SUMIFS('recurring2_based on steps'!$B329:$AY329,'recurring2_based on steps'!$B$1:$AY$1,AD$1)+SUMIFS('changes2_based on steps'!$B329:$U329,'changes2_based on steps'!$B$1:$U$1,AD$1)</f>
        <v>0</v>
      </c>
      <c r="AE329" s="140">
        <f>SUMIFS('recurring2_based on steps'!$B329:$AY329,'recurring2_based on steps'!$B$1:$AY$1,AE$1)+SUMIFS('changes2_based on steps'!$B329:$U329,'changes2_based on steps'!$B$1:$U$1,AE$1)</f>
        <v>0</v>
      </c>
      <c r="AF329" s="140"/>
      <c r="AG329" s="140"/>
      <c r="AH329" s="140"/>
      <c r="AI329" s="140"/>
      <c r="AJ329" s="140"/>
      <c r="AK329" s="140"/>
      <c r="AL329" s="140"/>
      <c r="AM329" s="140"/>
    </row>
    <row r="330" spans="1:39" x14ac:dyDescent="0.2">
      <c r="A330" s="29">
        <f t="shared" ca="1" si="5"/>
        <v>46070</v>
      </c>
      <c r="B330" s="140">
        <f ca="1">SUMIFS('recurring2_based on steps'!$B330:$AY330,'recurring2_based on steps'!$B$1:$AY$1,B$1)+SUMIFS('changes2_based on steps'!$B330:$U330,'changes2_based on steps'!$B$1:$U$1,B$1)</f>
        <v>0</v>
      </c>
      <c r="C330" s="140">
        <f>SUMIFS('recurring2_based on steps'!$B330:$AY330,'recurring2_based on steps'!$B$1:$AY$1,C$1)+SUMIFS('changes2_based on steps'!$B330:$U330,'changes2_based on steps'!$B$1:$U$1,C$1)</f>
        <v>0</v>
      </c>
      <c r="D330" s="140">
        <f>SUMIFS('recurring2_based on steps'!$B330:$AY330,'recurring2_based on steps'!$B$1:$AY$1,D$1)+SUMIFS('changes2_based on steps'!$B330:$U330,'changes2_based on steps'!$B$1:$U$1,D$1)</f>
        <v>0</v>
      </c>
      <c r="E330" s="140">
        <f>SUMIFS('recurring2_based on steps'!$B330:$AY330,'recurring2_based on steps'!$B$1:$AY$1,E$1)+SUMIFS('changes2_based on steps'!$B330:$U330,'changes2_based on steps'!$B$1:$U$1,E$1)</f>
        <v>0</v>
      </c>
      <c r="F330" s="140">
        <f>SUMIFS('recurring2_based on steps'!$B330:$AY330,'recurring2_based on steps'!$B$1:$AY$1,F$1)+SUMIFS('changes2_based on steps'!$B330:$U330,'changes2_based on steps'!$B$1:$U$1,F$1)</f>
        <v>0</v>
      </c>
      <c r="G330" s="140">
        <f>SUMIFS('recurring2_based on steps'!$B330:$AY330,'recurring2_based on steps'!$B$1:$AY$1,G$1)+SUMIFS('changes2_based on steps'!$B330:$U330,'changes2_based on steps'!$B$1:$U$1,G$1)</f>
        <v>0</v>
      </c>
      <c r="H330" s="140">
        <f>SUMIFS('recurring2_based on steps'!$B330:$AY330,'recurring2_based on steps'!$B$1:$AY$1,H$1)+SUMIFS('changes2_based on steps'!$B330:$U330,'changes2_based on steps'!$B$1:$U$1,H$1)</f>
        <v>0</v>
      </c>
      <c r="I330" s="140">
        <f>SUMIFS('recurring2_based on steps'!$B330:$AY330,'recurring2_based on steps'!$B$1:$AY$1,I$1)+SUMIFS('changes2_based on steps'!$B330:$U330,'changes2_based on steps'!$B$1:$U$1,I$1)</f>
        <v>0</v>
      </c>
      <c r="J330" s="140">
        <f ca="1">SUMIFS('recurring2_based on steps'!$B330:$AY330,'recurring2_based on steps'!$B$1:$AY$1,J$1)+SUMIFS('changes2_based on steps'!$B330:$U330,'changes2_based on steps'!$B$1:$U$1,J$1)</f>
        <v>200</v>
      </c>
      <c r="K330" s="140">
        <f>SUMIFS('recurring2_based on steps'!$B330:$AY330,'recurring2_based on steps'!$B$1:$AY$1,K$1)+SUMIFS('changes2_based on steps'!$B330:$U330,'changes2_based on steps'!$B$1:$U$1,K$1)</f>
        <v>0</v>
      </c>
      <c r="L330" s="140">
        <f>SUMIFS('recurring2_based on steps'!$B330:$AY330,'recurring2_based on steps'!$B$1:$AY$1,L$1)+SUMIFS('changes2_based on steps'!$B330:$U330,'changes2_based on steps'!$B$1:$U$1,L$1)</f>
        <v>0</v>
      </c>
      <c r="M330" s="140">
        <f>SUMIFS('recurring2_based on steps'!$B330:$AY330,'recurring2_based on steps'!$B$1:$AY$1,M$1)+SUMIFS('changes2_based on steps'!$B330:$U330,'changes2_based on steps'!$B$1:$U$1,M$1)</f>
        <v>0</v>
      </c>
      <c r="N330" s="140">
        <f ca="1">SUMIFS('recurring2_based on steps'!$B330:$AY330,'recurring2_based on steps'!$B$1:$AY$1,N$1)+SUMIFS('changes2_based on steps'!$B330:$U330,'changes2_based on steps'!$B$1:$U$1,N$1)</f>
        <v>0</v>
      </c>
      <c r="O330" s="140">
        <f>SUMIFS('recurring2_based on steps'!$B330:$AY330,'recurring2_based on steps'!$B$1:$AY$1,O$1)+SUMIFS('changes2_based on steps'!$B330:$U330,'changes2_based on steps'!$B$1:$U$1,O$1)</f>
        <v>0</v>
      </c>
      <c r="P330" s="140">
        <f ca="1">SUMIFS('recurring2_based on steps'!$B330:$AY330,'recurring2_based on steps'!$B$1:$AY$1,P$1)+SUMIFS('changes2_based on steps'!$B330:$U330,'changes2_based on steps'!$B$1:$U$1,P$1)</f>
        <v>0</v>
      </c>
      <c r="Q330" s="140">
        <f ca="1">SUMIFS('recurring2_based on steps'!$B330:$AY330,'recurring2_based on steps'!$B$1:$AY$1,Q$1)+SUMIFS('changes2_based on steps'!$B330:$U330,'changes2_based on steps'!$B$1:$U$1,Q$1)</f>
        <v>5.5401662049861494E-2</v>
      </c>
      <c r="R330" s="140">
        <f ca="1">SUMIFS('recurring2_based on steps'!$B330:$AY330,'recurring2_based on steps'!$B$1:$AY$1,R$1)+SUMIFS('changes2_based on steps'!$B330:$U330,'changes2_based on steps'!$B$1:$U$1,R$1)</f>
        <v>15.49</v>
      </c>
      <c r="S330" s="140">
        <f>SUMIFS('recurring2_based on steps'!$B330:$AY330,'recurring2_based on steps'!$B$1:$AY$1,S$1)+SUMIFS('changes2_based on steps'!$B330:$U330,'changes2_based on steps'!$B$1:$U$1,S$1)</f>
        <v>0</v>
      </c>
      <c r="T330" s="140">
        <f ca="1">SUMIFS('recurring2_based on steps'!$B330:$AY330,'recurring2_based on steps'!$B$1:$AY$1,T$1)+SUMIFS('changes2_based on steps'!$B330:$U330,'changes2_based on steps'!$B$1:$U$1,T$1)</f>
        <v>0</v>
      </c>
      <c r="U330" s="140">
        <f ca="1">SUMIFS('recurring2_based on steps'!$B330:$AY330,'recurring2_based on steps'!$B$1:$AY$1,U$1)+SUMIFS('changes2_based on steps'!$B330:$U330,'changes2_based on steps'!$B$1:$U$1,U$1)</f>
        <v>0</v>
      </c>
      <c r="V330" s="140">
        <f>SUMIFS('recurring2_based on steps'!$B330:$AY330,'recurring2_based on steps'!$B$1:$AY$1,V$1)+SUMIFS('changes2_based on steps'!$B330:$U330,'changes2_based on steps'!$B$1:$U$1,V$1)</f>
        <v>0</v>
      </c>
      <c r="W330" s="140">
        <f>SUMIFS('recurring2_based on steps'!$B330:$AY330,'recurring2_based on steps'!$B$1:$AY$1,W$1)+SUMIFS('changes2_based on steps'!$B330:$U330,'changes2_based on steps'!$B$1:$U$1,W$1)</f>
        <v>0</v>
      </c>
      <c r="X330" s="140">
        <f ca="1">SUMIFS('recurring2_based on steps'!$B330:$AY330,'recurring2_based on steps'!$B$1:$AY$1,X$1)+SUMIFS('changes2_based on steps'!$B330:$U330,'changes2_based on steps'!$B$1:$U$1,X$1)</f>
        <v>0</v>
      </c>
      <c r="Y330" s="140">
        <f ca="1">SUMIFS('recurring2_based on steps'!$B330:$AY330,'recurring2_based on steps'!$B$1:$AY$1,Y$1)+SUMIFS('changes2_based on steps'!$B330:$U330,'changes2_based on steps'!$B$1:$U$1,Y$1)</f>
        <v>0</v>
      </c>
      <c r="Z330" s="140">
        <f>SUMIFS('recurring2_based on steps'!$B330:$AY330,'recurring2_based on steps'!$B$1:$AY$1,Z$1)+SUMIFS('changes2_based on steps'!$B330:$U330,'changes2_based on steps'!$B$1:$U$1,Z$1)</f>
        <v>0</v>
      </c>
      <c r="AA330" s="140">
        <f ca="1">SUMIFS('recurring2_based on steps'!$B330:$AY330,'recurring2_based on steps'!$B$1:$AY$1,AA$1)+SUMIFS('changes2_based on steps'!$B330:$U330,'changes2_based on steps'!$B$1:$U$1,AA$1)</f>
        <v>0</v>
      </c>
      <c r="AB330" s="140">
        <f ca="1">SUMIFS('recurring2_based on steps'!$B330:$AY330,'recurring2_based on steps'!$B$1:$AY$1,AB$1)+SUMIFS('changes2_based on steps'!$B330:$U330,'changes2_based on steps'!$B$1:$U$1,AB$1)</f>
        <v>0</v>
      </c>
      <c r="AC330" s="140">
        <f ca="1">SUMIFS('recurring2_based on steps'!$B330:$AY330,'recurring2_based on steps'!$B$1:$AY$1,AC$1)+SUMIFS('changes2_based on steps'!$B330:$U330,'changes2_based on steps'!$B$1:$U$1,AC$1)</f>
        <v>0</v>
      </c>
      <c r="AD330" s="140">
        <f ca="1">SUMIFS('recurring2_based on steps'!$B330:$AY330,'recurring2_based on steps'!$B$1:$AY$1,AD$1)+SUMIFS('changes2_based on steps'!$B330:$U330,'changes2_based on steps'!$B$1:$U$1,AD$1)</f>
        <v>0</v>
      </c>
      <c r="AE330" s="140">
        <f>SUMIFS('recurring2_based on steps'!$B330:$AY330,'recurring2_based on steps'!$B$1:$AY$1,AE$1)+SUMIFS('changes2_based on steps'!$B330:$U330,'changes2_based on steps'!$B$1:$U$1,AE$1)</f>
        <v>0</v>
      </c>
      <c r="AF330" s="140"/>
      <c r="AG330" s="140"/>
      <c r="AH330" s="140"/>
      <c r="AI330" s="140"/>
      <c r="AJ330" s="140"/>
      <c r="AK330" s="140"/>
      <c r="AL330" s="140"/>
      <c r="AM330" s="140"/>
    </row>
    <row r="331" spans="1:39" x14ac:dyDescent="0.2">
      <c r="A331" s="29">
        <f t="shared" ca="1" si="5"/>
        <v>46071</v>
      </c>
      <c r="B331" s="140">
        <f ca="1">SUMIFS('recurring2_based on steps'!$B331:$AY331,'recurring2_based on steps'!$B$1:$AY$1,B$1)+SUMIFS('changes2_based on steps'!$B331:$U331,'changes2_based on steps'!$B$1:$U$1,B$1)</f>
        <v>0</v>
      </c>
      <c r="C331" s="140">
        <f>SUMIFS('recurring2_based on steps'!$B331:$AY331,'recurring2_based on steps'!$B$1:$AY$1,C$1)+SUMIFS('changes2_based on steps'!$B331:$U331,'changes2_based on steps'!$B$1:$U$1,C$1)</f>
        <v>0</v>
      </c>
      <c r="D331" s="140">
        <f>SUMIFS('recurring2_based on steps'!$B331:$AY331,'recurring2_based on steps'!$B$1:$AY$1,D$1)+SUMIFS('changes2_based on steps'!$B331:$U331,'changes2_based on steps'!$B$1:$U$1,D$1)</f>
        <v>0</v>
      </c>
      <c r="E331" s="140">
        <f>SUMIFS('recurring2_based on steps'!$B331:$AY331,'recurring2_based on steps'!$B$1:$AY$1,E$1)+SUMIFS('changes2_based on steps'!$B331:$U331,'changes2_based on steps'!$B$1:$U$1,E$1)</f>
        <v>0</v>
      </c>
      <c r="F331" s="140">
        <f>SUMIFS('recurring2_based on steps'!$B331:$AY331,'recurring2_based on steps'!$B$1:$AY$1,F$1)+SUMIFS('changes2_based on steps'!$B331:$U331,'changes2_based on steps'!$B$1:$U$1,F$1)</f>
        <v>0</v>
      </c>
      <c r="G331" s="140">
        <f>SUMIFS('recurring2_based on steps'!$B331:$AY331,'recurring2_based on steps'!$B$1:$AY$1,G$1)+SUMIFS('changes2_based on steps'!$B331:$U331,'changes2_based on steps'!$B$1:$U$1,G$1)</f>
        <v>0</v>
      </c>
      <c r="H331" s="140">
        <f>SUMIFS('recurring2_based on steps'!$B331:$AY331,'recurring2_based on steps'!$B$1:$AY$1,H$1)+SUMIFS('changes2_based on steps'!$B331:$U331,'changes2_based on steps'!$B$1:$U$1,H$1)</f>
        <v>0</v>
      </c>
      <c r="I331" s="140">
        <f>SUMIFS('recurring2_based on steps'!$B331:$AY331,'recurring2_based on steps'!$B$1:$AY$1,I$1)+SUMIFS('changes2_based on steps'!$B331:$U331,'changes2_based on steps'!$B$1:$U$1,I$1)</f>
        <v>0</v>
      </c>
      <c r="J331" s="140">
        <f ca="1">SUMIFS('recurring2_based on steps'!$B331:$AY331,'recurring2_based on steps'!$B$1:$AY$1,J$1)+SUMIFS('changes2_based on steps'!$B331:$U331,'changes2_based on steps'!$B$1:$U$1,J$1)</f>
        <v>0</v>
      </c>
      <c r="K331" s="140">
        <f>SUMIFS('recurring2_based on steps'!$B331:$AY331,'recurring2_based on steps'!$B$1:$AY$1,K$1)+SUMIFS('changes2_based on steps'!$B331:$U331,'changes2_based on steps'!$B$1:$U$1,K$1)</f>
        <v>0</v>
      </c>
      <c r="L331" s="140">
        <f>SUMIFS('recurring2_based on steps'!$B331:$AY331,'recurring2_based on steps'!$B$1:$AY$1,L$1)+SUMIFS('changes2_based on steps'!$B331:$U331,'changes2_based on steps'!$B$1:$U$1,L$1)</f>
        <v>0</v>
      </c>
      <c r="M331" s="140">
        <f>SUMIFS('recurring2_based on steps'!$B331:$AY331,'recurring2_based on steps'!$B$1:$AY$1,M$1)+SUMIFS('changes2_based on steps'!$B331:$U331,'changes2_based on steps'!$B$1:$U$1,M$1)</f>
        <v>0</v>
      </c>
      <c r="N331" s="140">
        <f ca="1">SUMIFS('recurring2_based on steps'!$B331:$AY331,'recurring2_based on steps'!$B$1:$AY$1,N$1)+SUMIFS('changes2_based on steps'!$B331:$U331,'changes2_based on steps'!$B$1:$U$1,N$1)</f>
        <v>0</v>
      </c>
      <c r="O331" s="140">
        <f>SUMIFS('recurring2_based on steps'!$B331:$AY331,'recurring2_based on steps'!$B$1:$AY$1,O$1)+SUMIFS('changes2_based on steps'!$B331:$U331,'changes2_based on steps'!$B$1:$U$1,O$1)</f>
        <v>0</v>
      </c>
      <c r="P331" s="140">
        <f ca="1">SUMIFS('recurring2_based on steps'!$B331:$AY331,'recurring2_based on steps'!$B$1:$AY$1,P$1)+SUMIFS('changes2_based on steps'!$B331:$U331,'changes2_based on steps'!$B$1:$U$1,P$1)</f>
        <v>0</v>
      </c>
      <c r="Q331" s="140">
        <f ca="1">SUMIFS('recurring2_based on steps'!$B331:$AY331,'recurring2_based on steps'!$B$1:$AY$1,Q$1)+SUMIFS('changes2_based on steps'!$B331:$U331,'changes2_based on steps'!$B$1:$U$1,Q$1)</f>
        <v>5.5401662049861494E-2</v>
      </c>
      <c r="R331" s="140">
        <f ca="1">SUMIFS('recurring2_based on steps'!$B331:$AY331,'recurring2_based on steps'!$B$1:$AY$1,R$1)+SUMIFS('changes2_based on steps'!$B331:$U331,'changes2_based on steps'!$B$1:$U$1,R$1)</f>
        <v>10.99</v>
      </c>
      <c r="S331" s="140">
        <f>SUMIFS('recurring2_based on steps'!$B331:$AY331,'recurring2_based on steps'!$B$1:$AY$1,S$1)+SUMIFS('changes2_based on steps'!$B331:$U331,'changes2_based on steps'!$B$1:$U$1,S$1)</f>
        <v>0</v>
      </c>
      <c r="T331" s="140">
        <f ca="1">SUMIFS('recurring2_based on steps'!$B331:$AY331,'recurring2_based on steps'!$B$1:$AY$1,T$1)+SUMIFS('changes2_based on steps'!$B331:$U331,'changes2_based on steps'!$B$1:$U$1,T$1)</f>
        <v>0</v>
      </c>
      <c r="U331" s="140">
        <f ca="1">SUMIFS('recurring2_based on steps'!$B331:$AY331,'recurring2_based on steps'!$B$1:$AY$1,U$1)+SUMIFS('changes2_based on steps'!$B331:$U331,'changes2_based on steps'!$B$1:$U$1,U$1)</f>
        <v>0</v>
      </c>
      <c r="V331" s="140">
        <f>SUMIFS('recurring2_based on steps'!$B331:$AY331,'recurring2_based on steps'!$B$1:$AY$1,V$1)+SUMIFS('changes2_based on steps'!$B331:$U331,'changes2_based on steps'!$B$1:$U$1,V$1)</f>
        <v>0</v>
      </c>
      <c r="W331" s="140">
        <f>SUMIFS('recurring2_based on steps'!$B331:$AY331,'recurring2_based on steps'!$B$1:$AY$1,W$1)+SUMIFS('changes2_based on steps'!$B331:$U331,'changes2_based on steps'!$B$1:$U$1,W$1)</f>
        <v>0</v>
      </c>
      <c r="X331" s="140">
        <f ca="1">SUMIFS('recurring2_based on steps'!$B331:$AY331,'recurring2_based on steps'!$B$1:$AY$1,X$1)+SUMIFS('changes2_based on steps'!$B331:$U331,'changes2_based on steps'!$B$1:$U$1,X$1)</f>
        <v>0</v>
      </c>
      <c r="Y331" s="140">
        <f ca="1">SUMIFS('recurring2_based on steps'!$B331:$AY331,'recurring2_based on steps'!$B$1:$AY$1,Y$1)+SUMIFS('changes2_based on steps'!$B331:$U331,'changes2_based on steps'!$B$1:$U$1,Y$1)</f>
        <v>0</v>
      </c>
      <c r="Z331" s="140">
        <f>SUMIFS('recurring2_based on steps'!$B331:$AY331,'recurring2_based on steps'!$B$1:$AY$1,Z$1)+SUMIFS('changes2_based on steps'!$B331:$U331,'changes2_based on steps'!$B$1:$U$1,Z$1)</f>
        <v>0</v>
      </c>
      <c r="AA331" s="140">
        <f ca="1">SUMIFS('recurring2_based on steps'!$B331:$AY331,'recurring2_based on steps'!$B$1:$AY$1,AA$1)+SUMIFS('changes2_based on steps'!$B331:$U331,'changes2_based on steps'!$B$1:$U$1,AA$1)</f>
        <v>0</v>
      </c>
      <c r="AB331" s="140">
        <f ca="1">SUMIFS('recurring2_based on steps'!$B331:$AY331,'recurring2_based on steps'!$B$1:$AY$1,AB$1)+SUMIFS('changes2_based on steps'!$B331:$U331,'changes2_based on steps'!$B$1:$U$1,AB$1)</f>
        <v>0</v>
      </c>
      <c r="AC331" s="140">
        <f ca="1">SUMIFS('recurring2_based on steps'!$B331:$AY331,'recurring2_based on steps'!$B$1:$AY$1,AC$1)+SUMIFS('changes2_based on steps'!$B331:$U331,'changes2_based on steps'!$B$1:$U$1,AC$1)</f>
        <v>0</v>
      </c>
      <c r="AD331" s="140">
        <f ca="1">SUMIFS('recurring2_based on steps'!$B331:$AY331,'recurring2_based on steps'!$B$1:$AY$1,AD$1)+SUMIFS('changes2_based on steps'!$B331:$U331,'changes2_based on steps'!$B$1:$U$1,AD$1)</f>
        <v>0</v>
      </c>
      <c r="AE331" s="140">
        <f>SUMIFS('recurring2_based on steps'!$B331:$AY331,'recurring2_based on steps'!$B$1:$AY$1,AE$1)+SUMIFS('changes2_based on steps'!$B331:$U331,'changes2_based on steps'!$B$1:$U$1,AE$1)</f>
        <v>0</v>
      </c>
      <c r="AF331" s="140"/>
      <c r="AG331" s="140"/>
      <c r="AH331" s="140"/>
      <c r="AI331" s="140"/>
      <c r="AJ331" s="140"/>
      <c r="AK331" s="140"/>
      <c r="AL331" s="140"/>
      <c r="AM331" s="140"/>
    </row>
    <row r="332" spans="1:39" x14ac:dyDescent="0.2">
      <c r="A332" s="29">
        <f t="shared" ca="1" si="5"/>
        <v>46072</v>
      </c>
      <c r="B332" s="140">
        <f ca="1">SUMIFS('recurring2_based on steps'!$B332:$AY332,'recurring2_based on steps'!$B$1:$AY$1,B$1)+SUMIFS('changes2_based on steps'!$B332:$U332,'changes2_based on steps'!$B$1:$U$1,B$1)</f>
        <v>0</v>
      </c>
      <c r="C332" s="140">
        <f>SUMIFS('recurring2_based on steps'!$B332:$AY332,'recurring2_based on steps'!$B$1:$AY$1,C$1)+SUMIFS('changes2_based on steps'!$B332:$U332,'changes2_based on steps'!$B$1:$U$1,C$1)</f>
        <v>0</v>
      </c>
      <c r="D332" s="140">
        <f>SUMIFS('recurring2_based on steps'!$B332:$AY332,'recurring2_based on steps'!$B$1:$AY$1,D$1)+SUMIFS('changes2_based on steps'!$B332:$U332,'changes2_based on steps'!$B$1:$U$1,D$1)</f>
        <v>0</v>
      </c>
      <c r="E332" s="140">
        <f>SUMIFS('recurring2_based on steps'!$B332:$AY332,'recurring2_based on steps'!$B$1:$AY$1,E$1)+SUMIFS('changes2_based on steps'!$B332:$U332,'changes2_based on steps'!$B$1:$U$1,E$1)</f>
        <v>0</v>
      </c>
      <c r="F332" s="140">
        <f>SUMIFS('recurring2_based on steps'!$B332:$AY332,'recurring2_based on steps'!$B$1:$AY$1,F$1)+SUMIFS('changes2_based on steps'!$B332:$U332,'changes2_based on steps'!$B$1:$U$1,F$1)</f>
        <v>0</v>
      </c>
      <c r="G332" s="140">
        <f>SUMIFS('recurring2_based on steps'!$B332:$AY332,'recurring2_based on steps'!$B$1:$AY$1,G$1)+SUMIFS('changes2_based on steps'!$B332:$U332,'changes2_based on steps'!$B$1:$U$1,G$1)</f>
        <v>0</v>
      </c>
      <c r="H332" s="140">
        <f>SUMIFS('recurring2_based on steps'!$B332:$AY332,'recurring2_based on steps'!$B$1:$AY$1,H$1)+SUMIFS('changes2_based on steps'!$B332:$U332,'changes2_based on steps'!$B$1:$U$1,H$1)</f>
        <v>0</v>
      </c>
      <c r="I332" s="140">
        <f>SUMIFS('recurring2_based on steps'!$B332:$AY332,'recurring2_based on steps'!$B$1:$AY$1,I$1)+SUMIFS('changes2_based on steps'!$B332:$U332,'changes2_based on steps'!$B$1:$U$1,I$1)</f>
        <v>0</v>
      </c>
      <c r="J332" s="140">
        <f ca="1">SUMIFS('recurring2_based on steps'!$B332:$AY332,'recurring2_based on steps'!$B$1:$AY$1,J$1)+SUMIFS('changes2_based on steps'!$B332:$U332,'changes2_based on steps'!$B$1:$U$1,J$1)</f>
        <v>0</v>
      </c>
      <c r="K332" s="140">
        <f>SUMIFS('recurring2_based on steps'!$B332:$AY332,'recurring2_based on steps'!$B$1:$AY$1,K$1)+SUMIFS('changes2_based on steps'!$B332:$U332,'changes2_based on steps'!$B$1:$U$1,K$1)</f>
        <v>0</v>
      </c>
      <c r="L332" s="140">
        <f>SUMIFS('recurring2_based on steps'!$B332:$AY332,'recurring2_based on steps'!$B$1:$AY$1,L$1)+SUMIFS('changes2_based on steps'!$B332:$U332,'changes2_based on steps'!$B$1:$U$1,L$1)</f>
        <v>0</v>
      </c>
      <c r="M332" s="140">
        <f>SUMIFS('recurring2_based on steps'!$B332:$AY332,'recurring2_based on steps'!$B$1:$AY$1,M$1)+SUMIFS('changes2_based on steps'!$B332:$U332,'changes2_based on steps'!$B$1:$U$1,M$1)</f>
        <v>0</v>
      </c>
      <c r="N332" s="140">
        <f ca="1">SUMIFS('recurring2_based on steps'!$B332:$AY332,'recurring2_based on steps'!$B$1:$AY$1,N$1)+SUMIFS('changes2_based on steps'!$B332:$U332,'changes2_based on steps'!$B$1:$U$1,N$1)</f>
        <v>0</v>
      </c>
      <c r="O332" s="140">
        <f>SUMIFS('recurring2_based on steps'!$B332:$AY332,'recurring2_based on steps'!$B$1:$AY$1,O$1)+SUMIFS('changes2_based on steps'!$B332:$U332,'changes2_based on steps'!$B$1:$U$1,O$1)</f>
        <v>0</v>
      </c>
      <c r="P332" s="140">
        <f ca="1">SUMIFS('recurring2_based on steps'!$B332:$AY332,'recurring2_based on steps'!$B$1:$AY$1,P$1)+SUMIFS('changes2_based on steps'!$B332:$U332,'changes2_based on steps'!$B$1:$U$1,P$1)</f>
        <v>0</v>
      </c>
      <c r="Q332" s="140">
        <f ca="1">SUMIFS('recurring2_based on steps'!$B332:$AY332,'recurring2_based on steps'!$B$1:$AY$1,Q$1)+SUMIFS('changes2_based on steps'!$B332:$U332,'changes2_based on steps'!$B$1:$U$1,Q$1)</f>
        <v>5.5401662049861494E-2</v>
      </c>
      <c r="R332" s="140">
        <f ca="1">SUMIFS('recurring2_based on steps'!$B332:$AY332,'recurring2_based on steps'!$B$1:$AY$1,R$1)+SUMIFS('changes2_based on steps'!$B332:$U332,'changes2_based on steps'!$B$1:$U$1,R$1)</f>
        <v>0</v>
      </c>
      <c r="S332" s="140">
        <f>SUMIFS('recurring2_based on steps'!$B332:$AY332,'recurring2_based on steps'!$B$1:$AY$1,S$1)+SUMIFS('changes2_based on steps'!$B332:$U332,'changes2_based on steps'!$B$1:$U$1,S$1)</f>
        <v>0</v>
      </c>
      <c r="T332" s="140">
        <f ca="1">SUMIFS('recurring2_based on steps'!$B332:$AY332,'recurring2_based on steps'!$B$1:$AY$1,T$1)+SUMIFS('changes2_based on steps'!$B332:$U332,'changes2_based on steps'!$B$1:$U$1,T$1)</f>
        <v>0</v>
      </c>
      <c r="U332" s="140">
        <f ca="1">SUMIFS('recurring2_based on steps'!$B332:$AY332,'recurring2_based on steps'!$B$1:$AY$1,U$1)+SUMIFS('changes2_based on steps'!$B332:$U332,'changes2_based on steps'!$B$1:$U$1,U$1)</f>
        <v>0</v>
      </c>
      <c r="V332" s="140">
        <f>SUMIFS('recurring2_based on steps'!$B332:$AY332,'recurring2_based on steps'!$B$1:$AY$1,V$1)+SUMIFS('changes2_based on steps'!$B332:$U332,'changes2_based on steps'!$B$1:$U$1,V$1)</f>
        <v>0</v>
      </c>
      <c r="W332" s="140">
        <f>SUMIFS('recurring2_based on steps'!$B332:$AY332,'recurring2_based on steps'!$B$1:$AY$1,W$1)+SUMIFS('changes2_based on steps'!$B332:$U332,'changes2_based on steps'!$B$1:$U$1,W$1)</f>
        <v>0</v>
      </c>
      <c r="X332" s="140">
        <f ca="1">SUMIFS('recurring2_based on steps'!$B332:$AY332,'recurring2_based on steps'!$B$1:$AY$1,X$1)+SUMIFS('changes2_based on steps'!$B332:$U332,'changes2_based on steps'!$B$1:$U$1,X$1)</f>
        <v>0</v>
      </c>
      <c r="Y332" s="140">
        <f ca="1">SUMIFS('recurring2_based on steps'!$B332:$AY332,'recurring2_based on steps'!$B$1:$AY$1,Y$1)+SUMIFS('changes2_based on steps'!$B332:$U332,'changes2_based on steps'!$B$1:$U$1,Y$1)</f>
        <v>0</v>
      </c>
      <c r="Z332" s="140">
        <f>SUMIFS('recurring2_based on steps'!$B332:$AY332,'recurring2_based on steps'!$B$1:$AY$1,Z$1)+SUMIFS('changes2_based on steps'!$B332:$U332,'changes2_based on steps'!$B$1:$U$1,Z$1)</f>
        <v>0</v>
      </c>
      <c r="AA332" s="140">
        <f ca="1">SUMIFS('recurring2_based on steps'!$B332:$AY332,'recurring2_based on steps'!$B$1:$AY$1,AA$1)+SUMIFS('changes2_based on steps'!$B332:$U332,'changes2_based on steps'!$B$1:$U$1,AA$1)</f>
        <v>0</v>
      </c>
      <c r="AB332" s="140">
        <f ca="1">SUMIFS('recurring2_based on steps'!$B332:$AY332,'recurring2_based on steps'!$B$1:$AY$1,AB$1)+SUMIFS('changes2_based on steps'!$B332:$U332,'changes2_based on steps'!$B$1:$U$1,AB$1)</f>
        <v>0</v>
      </c>
      <c r="AC332" s="140">
        <f ca="1">SUMIFS('recurring2_based on steps'!$B332:$AY332,'recurring2_based on steps'!$B$1:$AY$1,AC$1)+SUMIFS('changes2_based on steps'!$B332:$U332,'changes2_based on steps'!$B$1:$U$1,AC$1)</f>
        <v>0</v>
      </c>
      <c r="AD332" s="140">
        <f ca="1">SUMIFS('recurring2_based on steps'!$B332:$AY332,'recurring2_based on steps'!$B$1:$AY$1,AD$1)+SUMIFS('changes2_based on steps'!$B332:$U332,'changes2_based on steps'!$B$1:$U$1,AD$1)</f>
        <v>0</v>
      </c>
      <c r="AE332" s="140">
        <f>SUMIFS('recurring2_based on steps'!$B332:$AY332,'recurring2_based on steps'!$B$1:$AY$1,AE$1)+SUMIFS('changes2_based on steps'!$B332:$U332,'changes2_based on steps'!$B$1:$U$1,AE$1)</f>
        <v>0</v>
      </c>
      <c r="AF332" s="140"/>
      <c r="AG332" s="140"/>
      <c r="AH332" s="140"/>
      <c r="AI332" s="140"/>
      <c r="AJ332" s="140"/>
      <c r="AK332" s="140"/>
      <c r="AL332" s="140"/>
      <c r="AM332" s="140"/>
    </row>
    <row r="333" spans="1:39" x14ac:dyDescent="0.2">
      <c r="A333" s="29">
        <f t="shared" ca="1" si="5"/>
        <v>46073</v>
      </c>
      <c r="B333" s="140">
        <f ca="1">SUMIFS('recurring2_based on steps'!$B333:$AY333,'recurring2_based on steps'!$B$1:$AY$1,B$1)+SUMIFS('changes2_based on steps'!$B333:$U333,'changes2_based on steps'!$B$1:$U$1,B$1)</f>
        <v>4000</v>
      </c>
      <c r="C333" s="140">
        <f>SUMIFS('recurring2_based on steps'!$B333:$AY333,'recurring2_based on steps'!$B$1:$AY$1,C$1)+SUMIFS('changes2_based on steps'!$B333:$U333,'changes2_based on steps'!$B$1:$U$1,C$1)</f>
        <v>0</v>
      </c>
      <c r="D333" s="140">
        <f>SUMIFS('recurring2_based on steps'!$B333:$AY333,'recurring2_based on steps'!$B$1:$AY$1,D$1)+SUMIFS('changes2_based on steps'!$B333:$U333,'changes2_based on steps'!$B$1:$U$1,D$1)</f>
        <v>0</v>
      </c>
      <c r="E333" s="140">
        <f>SUMIFS('recurring2_based on steps'!$B333:$AY333,'recurring2_based on steps'!$B$1:$AY$1,E$1)+SUMIFS('changes2_based on steps'!$B333:$U333,'changes2_based on steps'!$B$1:$U$1,E$1)</f>
        <v>0</v>
      </c>
      <c r="F333" s="140">
        <f>SUMIFS('recurring2_based on steps'!$B333:$AY333,'recurring2_based on steps'!$B$1:$AY$1,F$1)+SUMIFS('changes2_based on steps'!$B333:$U333,'changes2_based on steps'!$B$1:$U$1,F$1)</f>
        <v>0</v>
      </c>
      <c r="G333" s="140">
        <f>SUMIFS('recurring2_based on steps'!$B333:$AY333,'recurring2_based on steps'!$B$1:$AY$1,G$1)+SUMIFS('changes2_based on steps'!$B333:$U333,'changes2_based on steps'!$B$1:$U$1,G$1)</f>
        <v>0</v>
      </c>
      <c r="H333" s="140">
        <f>SUMIFS('recurring2_based on steps'!$B333:$AY333,'recurring2_based on steps'!$B$1:$AY$1,H$1)+SUMIFS('changes2_based on steps'!$B333:$U333,'changes2_based on steps'!$B$1:$U$1,H$1)</f>
        <v>0</v>
      </c>
      <c r="I333" s="140">
        <f>SUMIFS('recurring2_based on steps'!$B333:$AY333,'recurring2_based on steps'!$B$1:$AY$1,I$1)+SUMIFS('changes2_based on steps'!$B333:$U333,'changes2_based on steps'!$B$1:$U$1,I$1)</f>
        <v>0</v>
      </c>
      <c r="J333" s="140">
        <f ca="1">SUMIFS('recurring2_based on steps'!$B333:$AY333,'recurring2_based on steps'!$B$1:$AY$1,J$1)+SUMIFS('changes2_based on steps'!$B333:$U333,'changes2_based on steps'!$B$1:$U$1,J$1)</f>
        <v>0</v>
      </c>
      <c r="K333" s="140">
        <f>SUMIFS('recurring2_based on steps'!$B333:$AY333,'recurring2_based on steps'!$B$1:$AY$1,K$1)+SUMIFS('changes2_based on steps'!$B333:$U333,'changes2_based on steps'!$B$1:$U$1,K$1)</f>
        <v>0</v>
      </c>
      <c r="L333" s="140">
        <f>SUMIFS('recurring2_based on steps'!$B333:$AY333,'recurring2_based on steps'!$B$1:$AY$1,L$1)+SUMIFS('changes2_based on steps'!$B333:$U333,'changes2_based on steps'!$B$1:$U$1,L$1)</f>
        <v>0</v>
      </c>
      <c r="M333" s="140">
        <f>SUMIFS('recurring2_based on steps'!$B333:$AY333,'recurring2_based on steps'!$B$1:$AY$1,M$1)+SUMIFS('changes2_based on steps'!$B333:$U333,'changes2_based on steps'!$B$1:$U$1,M$1)</f>
        <v>0</v>
      </c>
      <c r="N333" s="140">
        <f ca="1">SUMIFS('recurring2_based on steps'!$B333:$AY333,'recurring2_based on steps'!$B$1:$AY$1,N$1)+SUMIFS('changes2_based on steps'!$B333:$U333,'changes2_based on steps'!$B$1:$U$1,N$1)</f>
        <v>0</v>
      </c>
      <c r="O333" s="140">
        <f>SUMIFS('recurring2_based on steps'!$B333:$AY333,'recurring2_based on steps'!$B$1:$AY$1,O$1)+SUMIFS('changes2_based on steps'!$B333:$U333,'changes2_based on steps'!$B$1:$U$1,O$1)</f>
        <v>0</v>
      </c>
      <c r="P333" s="140">
        <f ca="1">SUMIFS('recurring2_based on steps'!$B333:$AY333,'recurring2_based on steps'!$B$1:$AY$1,P$1)+SUMIFS('changes2_based on steps'!$B333:$U333,'changes2_based on steps'!$B$1:$U$1,P$1)</f>
        <v>20</v>
      </c>
      <c r="Q333" s="140">
        <f ca="1">SUMIFS('recurring2_based on steps'!$B333:$AY333,'recurring2_based on steps'!$B$1:$AY$1,Q$1)+SUMIFS('changes2_based on steps'!$B333:$U333,'changes2_based on steps'!$B$1:$U$1,Q$1)</f>
        <v>5.5401662049861494E-2</v>
      </c>
      <c r="R333" s="140">
        <f ca="1">SUMIFS('recurring2_based on steps'!$B333:$AY333,'recurring2_based on steps'!$B$1:$AY$1,R$1)+SUMIFS('changes2_based on steps'!$B333:$U333,'changes2_based on steps'!$B$1:$U$1,R$1)</f>
        <v>5.8171745152354575</v>
      </c>
      <c r="S333" s="140">
        <f>SUMIFS('recurring2_based on steps'!$B333:$AY333,'recurring2_based on steps'!$B$1:$AY$1,S$1)+SUMIFS('changes2_based on steps'!$B333:$U333,'changes2_based on steps'!$B$1:$U$1,S$1)</f>
        <v>0</v>
      </c>
      <c r="T333" s="140">
        <f ca="1">SUMIFS('recurring2_based on steps'!$B333:$AY333,'recurring2_based on steps'!$B$1:$AY$1,T$1)+SUMIFS('changes2_based on steps'!$B333:$U333,'changes2_based on steps'!$B$1:$U$1,T$1)</f>
        <v>50</v>
      </c>
      <c r="U333" s="140">
        <f ca="1">SUMIFS('recurring2_based on steps'!$B333:$AY333,'recurring2_based on steps'!$B$1:$AY$1,U$1)+SUMIFS('changes2_based on steps'!$B333:$U333,'changes2_based on steps'!$B$1:$U$1,U$1)</f>
        <v>200</v>
      </c>
      <c r="V333" s="140">
        <f>SUMIFS('recurring2_based on steps'!$B333:$AY333,'recurring2_based on steps'!$B$1:$AY$1,V$1)+SUMIFS('changes2_based on steps'!$B333:$U333,'changes2_based on steps'!$B$1:$U$1,V$1)</f>
        <v>0</v>
      </c>
      <c r="W333" s="140">
        <f>SUMIFS('recurring2_based on steps'!$B333:$AY333,'recurring2_based on steps'!$B$1:$AY$1,W$1)+SUMIFS('changes2_based on steps'!$B333:$U333,'changes2_based on steps'!$B$1:$U$1,W$1)</f>
        <v>0</v>
      </c>
      <c r="X333" s="140">
        <f ca="1">SUMIFS('recurring2_based on steps'!$B333:$AY333,'recurring2_based on steps'!$B$1:$AY$1,X$1)+SUMIFS('changes2_based on steps'!$B333:$U333,'changes2_based on steps'!$B$1:$U$1,X$1)</f>
        <v>96</v>
      </c>
      <c r="Y333" s="140">
        <f ca="1">SUMIFS('recurring2_based on steps'!$B333:$AY333,'recurring2_based on steps'!$B$1:$AY$1,Y$1)+SUMIFS('changes2_based on steps'!$B333:$U333,'changes2_based on steps'!$B$1:$U$1,Y$1)</f>
        <v>0</v>
      </c>
      <c r="Z333" s="140">
        <f>SUMIFS('recurring2_based on steps'!$B333:$AY333,'recurring2_based on steps'!$B$1:$AY$1,Z$1)+SUMIFS('changes2_based on steps'!$B333:$U333,'changes2_based on steps'!$B$1:$U$1,Z$1)</f>
        <v>0</v>
      </c>
      <c r="AA333" s="140">
        <f ca="1">SUMIFS('recurring2_based on steps'!$B333:$AY333,'recurring2_based on steps'!$B$1:$AY$1,AA$1)+SUMIFS('changes2_based on steps'!$B333:$U333,'changes2_based on steps'!$B$1:$U$1,AA$1)</f>
        <v>0</v>
      </c>
      <c r="AB333" s="140">
        <f ca="1">SUMIFS('recurring2_based on steps'!$B333:$AY333,'recurring2_based on steps'!$B$1:$AY$1,AB$1)+SUMIFS('changes2_based on steps'!$B333:$U333,'changes2_based on steps'!$B$1:$U$1,AB$1)</f>
        <v>0</v>
      </c>
      <c r="AC333" s="140">
        <f ca="1">SUMIFS('recurring2_based on steps'!$B333:$AY333,'recurring2_based on steps'!$B$1:$AY$1,AC$1)+SUMIFS('changes2_based on steps'!$B333:$U333,'changes2_based on steps'!$B$1:$U$1,AC$1)</f>
        <v>0</v>
      </c>
      <c r="AD333" s="140">
        <f ca="1">SUMIFS('recurring2_based on steps'!$B333:$AY333,'recurring2_based on steps'!$B$1:$AY$1,AD$1)+SUMIFS('changes2_based on steps'!$B333:$U333,'changes2_based on steps'!$B$1:$U$1,AD$1)</f>
        <v>50</v>
      </c>
      <c r="AE333" s="140">
        <f>SUMIFS('recurring2_based on steps'!$B333:$AY333,'recurring2_based on steps'!$B$1:$AY$1,AE$1)+SUMIFS('changes2_based on steps'!$B333:$U333,'changes2_based on steps'!$B$1:$U$1,AE$1)</f>
        <v>0</v>
      </c>
      <c r="AF333" s="140"/>
      <c r="AG333" s="140"/>
      <c r="AH333" s="140"/>
      <c r="AI333" s="140"/>
      <c r="AJ333" s="140"/>
      <c r="AK333" s="140"/>
      <c r="AL333" s="140"/>
      <c r="AM333" s="140"/>
    </row>
    <row r="334" spans="1:39" x14ac:dyDescent="0.2">
      <c r="A334" s="29">
        <f t="shared" ca="1" si="5"/>
        <v>46074</v>
      </c>
      <c r="B334" s="140">
        <f ca="1">SUMIFS('recurring2_based on steps'!$B334:$AY334,'recurring2_based on steps'!$B$1:$AY$1,B$1)+SUMIFS('changes2_based on steps'!$B334:$U334,'changes2_based on steps'!$B$1:$U$1,B$1)</f>
        <v>0</v>
      </c>
      <c r="C334" s="140">
        <f>SUMIFS('recurring2_based on steps'!$B334:$AY334,'recurring2_based on steps'!$B$1:$AY$1,C$1)+SUMIFS('changes2_based on steps'!$B334:$U334,'changes2_based on steps'!$B$1:$U$1,C$1)</f>
        <v>0</v>
      </c>
      <c r="D334" s="140">
        <f>SUMIFS('recurring2_based on steps'!$B334:$AY334,'recurring2_based on steps'!$B$1:$AY$1,D$1)+SUMIFS('changes2_based on steps'!$B334:$U334,'changes2_based on steps'!$B$1:$U$1,D$1)</f>
        <v>0</v>
      </c>
      <c r="E334" s="140">
        <f>SUMIFS('recurring2_based on steps'!$B334:$AY334,'recurring2_based on steps'!$B$1:$AY$1,E$1)+SUMIFS('changes2_based on steps'!$B334:$U334,'changes2_based on steps'!$B$1:$U$1,E$1)</f>
        <v>0</v>
      </c>
      <c r="F334" s="140">
        <f>SUMIFS('recurring2_based on steps'!$B334:$AY334,'recurring2_based on steps'!$B$1:$AY$1,F$1)+SUMIFS('changes2_based on steps'!$B334:$U334,'changes2_based on steps'!$B$1:$U$1,F$1)</f>
        <v>0</v>
      </c>
      <c r="G334" s="140">
        <f>SUMIFS('recurring2_based on steps'!$B334:$AY334,'recurring2_based on steps'!$B$1:$AY$1,G$1)+SUMIFS('changes2_based on steps'!$B334:$U334,'changes2_based on steps'!$B$1:$U$1,G$1)</f>
        <v>0</v>
      </c>
      <c r="H334" s="140">
        <f>SUMIFS('recurring2_based on steps'!$B334:$AY334,'recurring2_based on steps'!$B$1:$AY$1,H$1)+SUMIFS('changes2_based on steps'!$B334:$U334,'changes2_based on steps'!$B$1:$U$1,H$1)</f>
        <v>0</v>
      </c>
      <c r="I334" s="140">
        <f>SUMIFS('recurring2_based on steps'!$B334:$AY334,'recurring2_based on steps'!$B$1:$AY$1,I$1)+SUMIFS('changes2_based on steps'!$B334:$U334,'changes2_based on steps'!$B$1:$U$1,I$1)</f>
        <v>0</v>
      </c>
      <c r="J334" s="140">
        <f ca="1">SUMIFS('recurring2_based on steps'!$B334:$AY334,'recurring2_based on steps'!$B$1:$AY$1,J$1)+SUMIFS('changes2_based on steps'!$B334:$U334,'changes2_based on steps'!$B$1:$U$1,J$1)</f>
        <v>0</v>
      </c>
      <c r="K334" s="140">
        <f>SUMIFS('recurring2_based on steps'!$B334:$AY334,'recurring2_based on steps'!$B$1:$AY$1,K$1)+SUMIFS('changes2_based on steps'!$B334:$U334,'changes2_based on steps'!$B$1:$U$1,K$1)</f>
        <v>0</v>
      </c>
      <c r="L334" s="140">
        <f>SUMIFS('recurring2_based on steps'!$B334:$AY334,'recurring2_based on steps'!$B$1:$AY$1,L$1)+SUMIFS('changes2_based on steps'!$B334:$U334,'changes2_based on steps'!$B$1:$U$1,L$1)</f>
        <v>0</v>
      </c>
      <c r="M334" s="140">
        <f>SUMIFS('recurring2_based on steps'!$B334:$AY334,'recurring2_based on steps'!$B$1:$AY$1,M$1)+SUMIFS('changes2_based on steps'!$B334:$U334,'changes2_based on steps'!$B$1:$U$1,M$1)</f>
        <v>0</v>
      </c>
      <c r="N334" s="140">
        <f ca="1">SUMIFS('recurring2_based on steps'!$B334:$AY334,'recurring2_based on steps'!$B$1:$AY$1,N$1)+SUMIFS('changes2_based on steps'!$B334:$U334,'changes2_based on steps'!$B$1:$U$1,N$1)</f>
        <v>0</v>
      </c>
      <c r="O334" s="140">
        <f>SUMIFS('recurring2_based on steps'!$B334:$AY334,'recurring2_based on steps'!$B$1:$AY$1,O$1)+SUMIFS('changes2_based on steps'!$B334:$U334,'changes2_based on steps'!$B$1:$U$1,O$1)</f>
        <v>0</v>
      </c>
      <c r="P334" s="140">
        <f ca="1">SUMIFS('recurring2_based on steps'!$B334:$AY334,'recurring2_based on steps'!$B$1:$AY$1,P$1)+SUMIFS('changes2_based on steps'!$B334:$U334,'changes2_based on steps'!$B$1:$U$1,P$1)</f>
        <v>0</v>
      </c>
      <c r="Q334" s="140">
        <f ca="1">SUMIFS('recurring2_based on steps'!$B334:$AY334,'recurring2_based on steps'!$B$1:$AY$1,Q$1)+SUMIFS('changes2_based on steps'!$B334:$U334,'changes2_based on steps'!$B$1:$U$1,Q$1)</f>
        <v>100.05540166204986</v>
      </c>
      <c r="R334" s="140">
        <f ca="1">SUMIFS('recurring2_based on steps'!$B334:$AY334,'recurring2_based on steps'!$B$1:$AY$1,R$1)+SUMIFS('changes2_based on steps'!$B334:$U334,'changes2_based on steps'!$B$1:$U$1,R$1)</f>
        <v>0</v>
      </c>
      <c r="S334" s="140">
        <f>SUMIFS('recurring2_based on steps'!$B334:$AY334,'recurring2_based on steps'!$B$1:$AY$1,S$1)+SUMIFS('changes2_based on steps'!$B334:$U334,'changes2_based on steps'!$B$1:$U$1,S$1)</f>
        <v>0</v>
      </c>
      <c r="T334" s="140">
        <f ca="1">SUMIFS('recurring2_based on steps'!$B334:$AY334,'recurring2_based on steps'!$B$1:$AY$1,T$1)+SUMIFS('changes2_based on steps'!$B334:$U334,'changes2_based on steps'!$B$1:$U$1,T$1)</f>
        <v>0</v>
      </c>
      <c r="U334" s="140">
        <f ca="1">SUMIFS('recurring2_based on steps'!$B334:$AY334,'recurring2_based on steps'!$B$1:$AY$1,U$1)+SUMIFS('changes2_based on steps'!$B334:$U334,'changes2_based on steps'!$B$1:$U$1,U$1)</f>
        <v>0</v>
      </c>
      <c r="V334" s="140">
        <f>SUMIFS('recurring2_based on steps'!$B334:$AY334,'recurring2_based on steps'!$B$1:$AY$1,V$1)+SUMIFS('changes2_based on steps'!$B334:$U334,'changes2_based on steps'!$B$1:$U$1,V$1)</f>
        <v>0</v>
      </c>
      <c r="W334" s="140">
        <f>SUMIFS('recurring2_based on steps'!$B334:$AY334,'recurring2_based on steps'!$B$1:$AY$1,W$1)+SUMIFS('changes2_based on steps'!$B334:$U334,'changes2_based on steps'!$B$1:$U$1,W$1)</f>
        <v>0</v>
      </c>
      <c r="X334" s="140">
        <f ca="1">SUMIFS('recurring2_based on steps'!$B334:$AY334,'recurring2_based on steps'!$B$1:$AY$1,X$1)+SUMIFS('changes2_based on steps'!$B334:$U334,'changes2_based on steps'!$B$1:$U$1,X$1)</f>
        <v>0</v>
      </c>
      <c r="Y334" s="140">
        <f ca="1">SUMIFS('recurring2_based on steps'!$B334:$AY334,'recurring2_based on steps'!$B$1:$AY$1,Y$1)+SUMIFS('changes2_based on steps'!$B334:$U334,'changes2_based on steps'!$B$1:$U$1,Y$1)</f>
        <v>0</v>
      </c>
      <c r="Z334" s="140">
        <f>SUMIFS('recurring2_based on steps'!$B334:$AY334,'recurring2_based on steps'!$B$1:$AY$1,Z$1)+SUMIFS('changes2_based on steps'!$B334:$U334,'changes2_based on steps'!$B$1:$U$1,Z$1)</f>
        <v>0</v>
      </c>
      <c r="AA334" s="140">
        <f ca="1">SUMIFS('recurring2_based on steps'!$B334:$AY334,'recurring2_based on steps'!$B$1:$AY$1,AA$1)+SUMIFS('changes2_based on steps'!$B334:$U334,'changes2_based on steps'!$B$1:$U$1,AA$1)</f>
        <v>0</v>
      </c>
      <c r="AB334" s="140">
        <f ca="1">SUMIFS('recurring2_based on steps'!$B334:$AY334,'recurring2_based on steps'!$B$1:$AY$1,AB$1)+SUMIFS('changes2_based on steps'!$B334:$U334,'changes2_based on steps'!$B$1:$U$1,AB$1)</f>
        <v>100</v>
      </c>
      <c r="AC334" s="140">
        <f ca="1">SUMIFS('recurring2_based on steps'!$B334:$AY334,'recurring2_based on steps'!$B$1:$AY$1,AC$1)+SUMIFS('changes2_based on steps'!$B334:$U334,'changes2_based on steps'!$B$1:$U$1,AC$1)</f>
        <v>0</v>
      </c>
      <c r="AD334" s="140">
        <f ca="1">SUMIFS('recurring2_based on steps'!$B334:$AY334,'recurring2_based on steps'!$B$1:$AY$1,AD$1)+SUMIFS('changes2_based on steps'!$B334:$U334,'changes2_based on steps'!$B$1:$U$1,AD$1)</f>
        <v>0</v>
      </c>
      <c r="AE334" s="140">
        <f>SUMIFS('recurring2_based on steps'!$B334:$AY334,'recurring2_based on steps'!$B$1:$AY$1,AE$1)+SUMIFS('changes2_based on steps'!$B334:$U334,'changes2_based on steps'!$B$1:$U$1,AE$1)</f>
        <v>0</v>
      </c>
      <c r="AF334" s="140"/>
      <c r="AG334" s="140"/>
      <c r="AH334" s="140"/>
      <c r="AI334" s="140"/>
      <c r="AJ334" s="140"/>
      <c r="AK334" s="140"/>
      <c r="AL334" s="140"/>
      <c r="AM334" s="140"/>
    </row>
    <row r="335" spans="1:39" x14ac:dyDescent="0.2">
      <c r="A335" s="29">
        <f t="shared" ca="1" si="5"/>
        <v>46075</v>
      </c>
      <c r="B335" s="140">
        <f ca="1">SUMIFS('recurring2_based on steps'!$B335:$AY335,'recurring2_based on steps'!$B$1:$AY$1,B$1)+SUMIFS('changes2_based on steps'!$B335:$U335,'changes2_based on steps'!$B$1:$U$1,B$1)</f>
        <v>0</v>
      </c>
      <c r="C335" s="140">
        <f>SUMIFS('recurring2_based on steps'!$B335:$AY335,'recurring2_based on steps'!$B$1:$AY$1,C$1)+SUMIFS('changes2_based on steps'!$B335:$U335,'changes2_based on steps'!$B$1:$U$1,C$1)</f>
        <v>0</v>
      </c>
      <c r="D335" s="140">
        <f>SUMIFS('recurring2_based on steps'!$B335:$AY335,'recurring2_based on steps'!$B$1:$AY$1,D$1)+SUMIFS('changes2_based on steps'!$B335:$U335,'changes2_based on steps'!$B$1:$U$1,D$1)</f>
        <v>0</v>
      </c>
      <c r="E335" s="140">
        <f>SUMIFS('recurring2_based on steps'!$B335:$AY335,'recurring2_based on steps'!$B$1:$AY$1,E$1)+SUMIFS('changes2_based on steps'!$B335:$U335,'changes2_based on steps'!$B$1:$U$1,E$1)</f>
        <v>0</v>
      </c>
      <c r="F335" s="140">
        <f>SUMIFS('recurring2_based on steps'!$B335:$AY335,'recurring2_based on steps'!$B$1:$AY$1,F$1)+SUMIFS('changes2_based on steps'!$B335:$U335,'changes2_based on steps'!$B$1:$U$1,F$1)</f>
        <v>0</v>
      </c>
      <c r="G335" s="140">
        <f>SUMIFS('recurring2_based on steps'!$B335:$AY335,'recurring2_based on steps'!$B$1:$AY$1,G$1)+SUMIFS('changes2_based on steps'!$B335:$U335,'changes2_based on steps'!$B$1:$U$1,G$1)</f>
        <v>0</v>
      </c>
      <c r="H335" s="140">
        <f>SUMIFS('recurring2_based on steps'!$B335:$AY335,'recurring2_based on steps'!$B$1:$AY$1,H$1)+SUMIFS('changes2_based on steps'!$B335:$U335,'changes2_based on steps'!$B$1:$U$1,H$1)</f>
        <v>0</v>
      </c>
      <c r="I335" s="140">
        <f>SUMIFS('recurring2_based on steps'!$B335:$AY335,'recurring2_based on steps'!$B$1:$AY$1,I$1)+SUMIFS('changes2_based on steps'!$B335:$U335,'changes2_based on steps'!$B$1:$U$1,I$1)</f>
        <v>0</v>
      </c>
      <c r="J335" s="140">
        <f ca="1">SUMIFS('recurring2_based on steps'!$B335:$AY335,'recurring2_based on steps'!$B$1:$AY$1,J$1)+SUMIFS('changes2_based on steps'!$B335:$U335,'changes2_based on steps'!$B$1:$U$1,J$1)</f>
        <v>0</v>
      </c>
      <c r="K335" s="140">
        <f>SUMIFS('recurring2_based on steps'!$B335:$AY335,'recurring2_based on steps'!$B$1:$AY$1,K$1)+SUMIFS('changes2_based on steps'!$B335:$U335,'changes2_based on steps'!$B$1:$U$1,K$1)</f>
        <v>0</v>
      </c>
      <c r="L335" s="140">
        <f>SUMIFS('recurring2_based on steps'!$B335:$AY335,'recurring2_based on steps'!$B$1:$AY$1,L$1)+SUMIFS('changes2_based on steps'!$B335:$U335,'changes2_based on steps'!$B$1:$U$1,L$1)</f>
        <v>0</v>
      </c>
      <c r="M335" s="140">
        <f>SUMIFS('recurring2_based on steps'!$B335:$AY335,'recurring2_based on steps'!$B$1:$AY$1,M$1)+SUMIFS('changes2_based on steps'!$B335:$U335,'changes2_based on steps'!$B$1:$U$1,M$1)</f>
        <v>0</v>
      </c>
      <c r="N335" s="140">
        <f ca="1">SUMIFS('recurring2_based on steps'!$B335:$AY335,'recurring2_based on steps'!$B$1:$AY$1,N$1)+SUMIFS('changes2_based on steps'!$B335:$U335,'changes2_based on steps'!$B$1:$U$1,N$1)</f>
        <v>0</v>
      </c>
      <c r="O335" s="140">
        <f>SUMIFS('recurring2_based on steps'!$B335:$AY335,'recurring2_based on steps'!$B$1:$AY$1,O$1)+SUMIFS('changes2_based on steps'!$B335:$U335,'changes2_based on steps'!$B$1:$U$1,O$1)</f>
        <v>0</v>
      </c>
      <c r="P335" s="140">
        <f ca="1">SUMIFS('recurring2_based on steps'!$B335:$AY335,'recurring2_based on steps'!$B$1:$AY$1,P$1)+SUMIFS('changes2_based on steps'!$B335:$U335,'changes2_based on steps'!$B$1:$U$1,P$1)</f>
        <v>0</v>
      </c>
      <c r="Q335" s="140">
        <f ca="1">SUMIFS('recurring2_based on steps'!$B335:$AY335,'recurring2_based on steps'!$B$1:$AY$1,Q$1)+SUMIFS('changes2_based on steps'!$B335:$U335,'changes2_based on steps'!$B$1:$U$1,Q$1)</f>
        <v>100.05540166204986</v>
      </c>
      <c r="R335" s="140">
        <f ca="1">SUMIFS('recurring2_based on steps'!$B335:$AY335,'recurring2_based on steps'!$B$1:$AY$1,R$1)+SUMIFS('changes2_based on steps'!$B335:$U335,'changes2_based on steps'!$B$1:$U$1,R$1)</f>
        <v>0</v>
      </c>
      <c r="S335" s="140">
        <f>SUMIFS('recurring2_based on steps'!$B335:$AY335,'recurring2_based on steps'!$B$1:$AY$1,S$1)+SUMIFS('changes2_based on steps'!$B335:$U335,'changes2_based on steps'!$B$1:$U$1,S$1)</f>
        <v>0</v>
      </c>
      <c r="T335" s="140">
        <f ca="1">SUMIFS('recurring2_based on steps'!$B335:$AY335,'recurring2_based on steps'!$B$1:$AY$1,T$1)+SUMIFS('changes2_based on steps'!$B335:$U335,'changes2_based on steps'!$B$1:$U$1,T$1)</f>
        <v>0</v>
      </c>
      <c r="U335" s="140">
        <f ca="1">SUMIFS('recurring2_based on steps'!$B335:$AY335,'recurring2_based on steps'!$B$1:$AY$1,U$1)+SUMIFS('changes2_based on steps'!$B335:$U335,'changes2_based on steps'!$B$1:$U$1,U$1)</f>
        <v>0</v>
      </c>
      <c r="V335" s="140">
        <f>SUMIFS('recurring2_based on steps'!$B335:$AY335,'recurring2_based on steps'!$B$1:$AY$1,V$1)+SUMIFS('changes2_based on steps'!$B335:$U335,'changes2_based on steps'!$B$1:$U$1,V$1)</f>
        <v>0</v>
      </c>
      <c r="W335" s="140">
        <f>SUMIFS('recurring2_based on steps'!$B335:$AY335,'recurring2_based on steps'!$B$1:$AY$1,W$1)+SUMIFS('changes2_based on steps'!$B335:$U335,'changes2_based on steps'!$B$1:$U$1,W$1)</f>
        <v>0</v>
      </c>
      <c r="X335" s="140">
        <f ca="1">SUMIFS('recurring2_based on steps'!$B335:$AY335,'recurring2_based on steps'!$B$1:$AY$1,X$1)+SUMIFS('changes2_based on steps'!$B335:$U335,'changes2_based on steps'!$B$1:$U$1,X$1)</f>
        <v>0</v>
      </c>
      <c r="Y335" s="140">
        <f ca="1">SUMIFS('recurring2_based on steps'!$B335:$AY335,'recurring2_based on steps'!$B$1:$AY$1,Y$1)+SUMIFS('changes2_based on steps'!$B335:$U335,'changes2_based on steps'!$B$1:$U$1,Y$1)</f>
        <v>50</v>
      </c>
      <c r="Z335" s="140">
        <f>SUMIFS('recurring2_based on steps'!$B335:$AY335,'recurring2_based on steps'!$B$1:$AY$1,Z$1)+SUMIFS('changes2_based on steps'!$B335:$U335,'changes2_based on steps'!$B$1:$U$1,Z$1)</f>
        <v>0</v>
      </c>
      <c r="AA335" s="140">
        <f ca="1">SUMIFS('recurring2_based on steps'!$B335:$AY335,'recurring2_based on steps'!$B$1:$AY$1,AA$1)+SUMIFS('changes2_based on steps'!$B335:$U335,'changes2_based on steps'!$B$1:$U$1,AA$1)</f>
        <v>0</v>
      </c>
      <c r="AB335" s="140">
        <f ca="1">SUMIFS('recurring2_based on steps'!$B335:$AY335,'recurring2_based on steps'!$B$1:$AY$1,AB$1)+SUMIFS('changes2_based on steps'!$B335:$U335,'changes2_based on steps'!$B$1:$U$1,AB$1)</f>
        <v>0</v>
      </c>
      <c r="AC335" s="140">
        <f ca="1">SUMIFS('recurring2_based on steps'!$B335:$AY335,'recurring2_based on steps'!$B$1:$AY$1,AC$1)+SUMIFS('changes2_based on steps'!$B335:$U335,'changes2_based on steps'!$B$1:$U$1,AC$1)</f>
        <v>0</v>
      </c>
      <c r="AD335" s="140">
        <f ca="1">SUMIFS('recurring2_based on steps'!$B335:$AY335,'recurring2_based on steps'!$B$1:$AY$1,AD$1)+SUMIFS('changes2_based on steps'!$B335:$U335,'changes2_based on steps'!$B$1:$U$1,AD$1)</f>
        <v>0</v>
      </c>
      <c r="AE335" s="140">
        <f>SUMIFS('recurring2_based on steps'!$B335:$AY335,'recurring2_based on steps'!$B$1:$AY$1,AE$1)+SUMIFS('changes2_based on steps'!$B335:$U335,'changes2_based on steps'!$B$1:$U$1,AE$1)</f>
        <v>0</v>
      </c>
      <c r="AF335" s="140"/>
      <c r="AG335" s="140"/>
      <c r="AH335" s="140"/>
      <c r="AI335" s="140"/>
      <c r="AJ335" s="140"/>
      <c r="AK335" s="140"/>
      <c r="AL335" s="140"/>
      <c r="AM335" s="140"/>
    </row>
    <row r="336" spans="1:39" x14ac:dyDescent="0.2">
      <c r="A336" s="29">
        <f t="shared" ca="1" si="5"/>
        <v>46076</v>
      </c>
      <c r="B336" s="140">
        <f ca="1">SUMIFS('recurring2_based on steps'!$B336:$AY336,'recurring2_based on steps'!$B$1:$AY$1,B$1)+SUMIFS('changes2_based on steps'!$B336:$U336,'changes2_based on steps'!$B$1:$U$1,B$1)</f>
        <v>0</v>
      </c>
      <c r="C336" s="140">
        <f>SUMIFS('recurring2_based on steps'!$B336:$AY336,'recurring2_based on steps'!$B$1:$AY$1,C$1)+SUMIFS('changes2_based on steps'!$B336:$U336,'changes2_based on steps'!$B$1:$U$1,C$1)</f>
        <v>0</v>
      </c>
      <c r="D336" s="140">
        <f>SUMIFS('recurring2_based on steps'!$B336:$AY336,'recurring2_based on steps'!$B$1:$AY$1,D$1)+SUMIFS('changes2_based on steps'!$B336:$U336,'changes2_based on steps'!$B$1:$U$1,D$1)</f>
        <v>0</v>
      </c>
      <c r="E336" s="140">
        <f>SUMIFS('recurring2_based on steps'!$B336:$AY336,'recurring2_based on steps'!$B$1:$AY$1,E$1)+SUMIFS('changes2_based on steps'!$B336:$U336,'changes2_based on steps'!$B$1:$U$1,E$1)</f>
        <v>0</v>
      </c>
      <c r="F336" s="140">
        <f>SUMIFS('recurring2_based on steps'!$B336:$AY336,'recurring2_based on steps'!$B$1:$AY$1,F$1)+SUMIFS('changes2_based on steps'!$B336:$U336,'changes2_based on steps'!$B$1:$U$1,F$1)</f>
        <v>0</v>
      </c>
      <c r="G336" s="140">
        <f>SUMIFS('recurring2_based on steps'!$B336:$AY336,'recurring2_based on steps'!$B$1:$AY$1,G$1)+SUMIFS('changes2_based on steps'!$B336:$U336,'changes2_based on steps'!$B$1:$U$1,G$1)</f>
        <v>0</v>
      </c>
      <c r="H336" s="140">
        <f>SUMIFS('recurring2_based on steps'!$B336:$AY336,'recurring2_based on steps'!$B$1:$AY$1,H$1)+SUMIFS('changes2_based on steps'!$B336:$U336,'changes2_based on steps'!$B$1:$U$1,H$1)</f>
        <v>0</v>
      </c>
      <c r="I336" s="140">
        <f>SUMIFS('recurring2_based on steps'!$B336:$AY336,'recurring2_based on steps'!$B$1:$AY$1,I$1)+SUMIFS('changes2_based on steps'!$B336:$U336,'changes2_based on steps'!$B$1:$U$1,I$1)</f>
        <v>0</v>
      </c>
      <c r="J336" s="140">
        <f ca="1">SUMIFS('recurring2_based on steps'!$B336:$AY336,'recurring2_based on steps'!$B$1:$AY$1,J$1)+SUMIFS('changes2_based on steps'!$B336:$U336,'changes2_based on steps'!$B$1:$U$1,J$1)</f>
        <v>0</v>
      </c>
      <c r="K336" s="140">
        <f>SUMIFS('recurring2_based on steps'!$B336:$AY336,'recurring2_based on steps'!$B$1:$AY$1,K$1)+SUMIFS('changes2_based on steps'!$B336:$U336,'changes2_based on steps'!$B$1:$U$1,K$1)</f>
        <v>0</v>
      </c>
      <c r="L336" s="140">
        <f>SUMIFS('recurring2_based on steps'!$B336:$AY336,'recurring2_based on steps'!$B$1:$AY$1,L$1)+SUMIFS('changes2_based on steps'!$B336:$U336,'changes2_based on steps'!$B$1:$U$1,L$1)</f>
        <v>0</v>
      </c>
      <c r="M336" s="140">
        <f>SUMIFS('recurring2_based on steps'!$B336:$AY336,'recurring2_based on steps'!$B$1:$AY$1,M$1)+SUMIFS('changes2_based on steps'!$B336:$U336,'changes2_based on steps'!$B$1:$U$1,M$1)</f>
        <v>0</v>
      </c>
      <c r="N336" s="140">
        <f ca="1">SUMIFS('recurring2_based on steps'!$B336:$AY336,'recurring2_based on steps'!$B$1:$AY$1,N$1)+SUMIFS('changes2_based on steps'!$B336:$U336,'changes2_based on steps'!$B$1:$U$1,N$1)</f>
        <v>0</v>
      </c>
      <c r="O336" s="140">
        <f>SUMIFS('recurring2_based on steps'!$B336:$AY336,'recurring2_based on steps'!$B$1:$AY$1,O$1)+SUMIFS('changes2_based on steps'!$B336:$U336,'changes2_based on steps'!$B$1:$U$1,O$1)</f>
        <v>0</v>
      </c>
      <c r="P336" s="140">
        <f ca="1">SUMIFS('recurring2_based on steps'!$B336:$AY336,'recurring2_based on steps'!$B$1:$AY$1,P$1)+SUMIFS('changes2_based on steps'!$B336:$U336,'changes2_based on steps'!$B$1:$U$1,P$1)</f>
        <v>0</v>
      </c>
      <c r="Q336" s="140">
        <f ca="1">SUMIFS('recurring2_based on steps'!$B336:$AY336,'recurring2_based on steps'!$B$1:$AY$1,Q$1)+SUMIFS('changes2_based on steps'!$B336:$U336,'changes2_based on steps'!$B$1:$U$1,Q$1)</f>
        <v>5.5401662049861494E-2</v>
      </c>
      <c r="R336" s="140">
        <f ca="1">SUMIFS('recurring2_based on steps'!$B336:$AY336,'recurring2_based on steps'!$B$1:$AY$1,R$1)+SUMIFS('changes2_based on steps'!$B336:$U336,'changes2_based on steps'!$B$1:$U$1,R$1)</f>
        <v>0</v>
      </c>
      <c r="S336" s="140">
        <f>SUMIFS('recurring2_based on steps'!$B336:$AY336,'recurring2_based on steps'!$B$1:$AY$1,S$1)+SUMIFS('changes2_based on steps'!$B336:$U336,'changes2_based on steps'!$B$1:$U$1,S$1)</f>
        <v>0</v>
      </c>
      <c r="T336" s="140">
        <f ca="1">SUMIFS('recurring2_based on steps'!$B336:$AY336,'recurring2_based on steps'!$B$1:$AY$1,T$1)+SUMIFS('changes2_based on steps'!$B336:$U336,'changes2_based on steps'!$B$1:$U$1,T$1)</f>
        <v>0</v>
      </c>
      <c r="U336" s="140">
        <f ca="1">SUMIFS('recurring2_based on steps'!$B336:$AY336,'recurring2_based on steps'!$B$1:$AY$1,U$1)+SUMIFS('changes2_based on steps'!$B336:$U336,'changes2_based on steps'!$B$1:$U$1,U$1)</f>
        <v>0</v>
      </c>
      <c r="V336" s="140">
        <f>SUMIFS('recurring2_based on steps'!$B336:$AY336,'recurring2_based on steps'!$B$1:$AY$1,V$1)+SUMIFS('changes2_based on steps'!$B336:$U336,'changes2_based on steps'!$B$1:$U$1,V$1)</f>
        <v>0</v>
      </c>
      <c r="W336" s="140">
        <f>SUMIFS('recurring2_based on steps'!$B336:$AY336,'recurring2_based on steps'!$B$1:$AY$1,W$1)+SUMIFS('changes2_based on steps'!$B336:$U336,'changes2_based on steps'!$B$1:$U$1,W$1)</f>
        <v>0</v>
      </c>
      <c r="X336" s="140">
        <f ca="1">SUMIFS('recurring2_based on steps'!$B336:$AY336,'recurring2_based on steps'!$B$1:$AY$1,X$1)+SUMIFS('changes2_based on steps'!$B336:$U336,'changes2_based on steps'!$B$1:$U$1,X$1)</f>
        <v>0</v>
      </c>
      <c r="Y336" s="140">
        <f ca="1">SUMIFS('recurring2_based on steps'!$B336:$AY336,'recurring2_based on steps'!$B$1:$AY$1,Y$1)+SUMIFS('changes2_based on steps'!$B336:$U336,'changes2_based on steps'!$B$1:$U$1,Y$1)</f>
        <v>0</v>
      </c>
      <c r="Z336" s="140">
        <f>SUMIFS('recurring2_based on steps'!$B336:$AY336,'recurring2_based on steps'!$B$1:$AY$1,Z$1)+SUMIFS('changes2_based on steps'!$B336:$U336,'changes2_based on steps'!$B$1:$U$1,Z$1)</f>
        <v>0</v>
      </c>
      <c r="AA336" s="140">
        <f ca="1">SUMIFS('recurring2_based on steps'!$B336:$AY336,'recurring2_based on steps'!$B$1:$AY$1,AA$1)+SUMIFS('changes2_based on steps'!$B336:$U336,'changes2_based on steps'!$B$1:$U$1,AA$1)</f>
        <v>0</v>
      </c>
      <c r="AB336" s="140">
        <f ca="1">SUMIFS('recurring2_based on steps'!$B336:$AY336,'recurring2_based on steps'!$B$1:$AY$1,AB$1)+SUMIFS('changes2_based on steps'!$B336:$U336,'changes2_based on steps'!$B$1:$U$1,AB$1)</f>
        <v>0</v>
      </c>
      <c r="AC336" s="140">
        <f ca="1">SUMIFS('recurring2_based on steps'!$B336:$AY336,'recurring2_based on steps'!$B$1:$AY$1,AC$1)+SUMIFS('changes2_based on steps'!$B336:$U336,'changes2_based on steps'!$B$1:$U$1,AC$1)</f>
        <v>0</v>
      </c>
      <c r="AD336" s="140">
        <f ca="1">SUMIFS('recurring2_based on steps'!$B336:$AY336,'recurring2_based on steps'!$B$1:$AY$1,AD$1)+SUMIFS('changes2_based on steps'!$B336:$U336,'changes2_based on steps'!$B$1:$U$1,AD$1)</f>
        <v>0</v>
      </c>
      <c r="AE336" s="140">
        <f>SUMIFS('recurring2_based on steps'!$B336:$AY336,'recurring2_based on steps'!$B$1:$AY$1,AE$1)+SUMIFS('changes2_based on steps'!$B336:$U336,'changes2_based on steps'!$B$1:$U$1,AE$1)</f>
        <v>0</v>
      </c>
      <c r="AF336" s="140"/>
      <c r="AG336" s="140"/>
      <c r="AH336" s="140"/>
      <c r="AI336" s="140"/>
      <c r="AJ336" s="140"/>
      <c r="AK336" s="140"/>
      <c r="AL336" s="140"/>
      <c r="AM336" s="140"/>
    </row>
    <row r="337" spans="1:39" x14ac:dyDescent="0.2">
      <c r="A337" s="29">
        <f t="shared" ca="1" si="5"/>
        <v>46077</v>
      </c>
      <c r="B337" s="140">
        <f ca="1">SUMIFS('recurring2_based on steps'!$B337:$AY337,'recurring2_based on steps'!$B$1:$AY$1,B$1)+SUMIFS('changes2_based on steps'!$B337:$U337,'changes2_based on steps'!$B$1:$U$1,B$1)</f>
        <v>0</v>
      </c>
      <c r="C337" s="140">
        <f>SUMIFS('recurring2_based on steps'!$B337:$AY337,'recurring2_based on steps'!$B$1:$AY$1,C$1)+SUMIFS('changes2_based on steps'!$B337:$U337,'changes2_based on steps'!$B$1:$U$1,C$1)</f>
        <v>0</v>
      </c>
      <c r="D337" s="140">
        <f>SUMIFS('recurring2_based on steps'!$B337:$AY337,'recurring2_based on steps'!$B$1:$AY$1,D$1)+SUMIFS('changes2_based on steps'!$B337:$U337,'changes2_based on steps'!$B$1:$U$1,D$1)</f>
        <v>0</v>
      </c>
      <c r="E337" s="140">
        <f>SUMIFS('recurring2_based on steps'!$B337:$AY337,'recurring2_based on steps'!$B$1:$AY$1,E$1)+SUMIFS('changes2_based on steps'!$B337:$U337,'changes2_based on steps'!$B$1:$U$1,E$1)</f>
        <v>0</v>
      </c>
      <c r="F337" s="140">
        <f>SUMIFS('recurring2_based on steps'!$B337:$AY337,'recurring2_based on steps'!$B$1:$AY$1,F$1)+SUMIFS('changes2_based on steps'!$B337:$U337,'changes2_based on steps'!$B$1:$U$1,F$1)</f>
        <v>0</v>
      </c>
      <c r="G337" s="140">
        <f>SUMIFS('recurring2_based on steps'!$B337:$AY337,'recurring2_based on steps'!$B$1:$AY$1,G$1)+SUMIFS('changes2_based on steps'!$B337:$U337,'changes2_based on steps'!$B$1:$U$1,G$1)</f>
        <v>0</v>
      </c>
      <c r="H337" s="140">
        <f>SUMIFS('recurring2_based on steps'!$B337:$AY337,'recurring2_based on steps'!$B$1:$AY$1,H$1)+SUMIFS('changes2_based on steps'!$B337:$U337,'changes2_based on steps'!$B$1:$U$1,H$1)</f>
        <v>0</v>
      </c>
      <c r="I337" s="140">
        <f>SUMIFS('recurring2_based on steps'!$B337:$AY337,'recurring2_based on steps'!$B$1:$AY$1,I$1)+SUMIFS('changes2_based on steps'!$B337:$U337,'changes2_based on steps'!$B$1:$U$1,I$1)</f>
        <v>0</v>
      </c>
      <c r="J337" s="140">
        <f ca="1">SUMIFS('recurring2_based on steps'!$B337:$AY337,'recurring2_based on steps'!$B$1:$AY$1,J$1)+SUMIFS('changes2_based on steps'!$B337:$U337,'changes2_based on steps'!$B$1:$U$1,J$1)</f>
        <v>0</v>
      </c>
      <c r="K337" s="140">
        <f>SUMIFS('recurring2_based on steps'!$B337:$AY337,'recurring2_based on steps'!$B$1:$AY$1,K$1)+SUMIFS('changes2_based on steps'!$B337:$U337,'changes2_based on steps'!$B$1:$U$1,K$1)</f>
        <v>0</v>
      </c>
      <c r="L337" s="140">
        <f>SUMIFS('recurring2_based on steps'!$B337:$AY337,'recurring2_based on steps'!$B$1:$AY$1,L$1)+SUMIFS('changes2_based on steps'!$B337:$U337,'changes2_based on steps'!$B$1:$U$1,L$1)</f>
        <v>0</v>
      </c>
      <c r="M337" s="140">
        <f>SUMIFS('recurring2_based on steps'!$B337:$AY337,'recurring2_based on steps'!$B$1:$AY$1,M$1)+SUMIFS('changes2_based on steps'!$B337:$U337,'changes2_based on steps'!$B$1:$U$1,M$1)</f>
        <v>0</v>
      </c>
      <c r="N337" s="140">
        <f ca="1">SUMIFS('recurring2_based on steps'!$B337:$AY337,'recurring2_based on steps'!$B$1:$AY$1,N$1)+SUMIFS('changes2_based on steps'!$B337:$U337,'changes2_based on steps'!$B$1:$U$1,N$1)</f>
        <v>0</v>
      </c>
      <c r="O337" s="140">
        <f>SUMIFS('recurring2_based on steps'!$B337:$AY337,'recurring2_based on steps'!$B$1:$AY$1,O$1)+SUMIFS('changes2_based on steps'!$B337:$U337,'changes2_based on steps'!$B$1:$U$1,O$1)</f>
        <v>0</v>
      </c>
      <c r="P337" s="140">
        <f ca="1">SUMIFS('recurring2_based on steps'!$B337:$AY337,'recurring2_based on steps'!$B$1:$AY$1,P$1)+SUMIFS('changes2_based on steps'!$B337:$U337,'changes2_based on steps'!$B$1:$U$1,P$1)</f>
        <v>0</v>
      </c>
      <c r="Q337" s="140">
        <f ca="1">SUMIFS('recurring2_based on steps'!$B337:$AY337,'recurring2_based on steps'!$B$1:$AY$1,Q$1)+SUMIFS('changes2_based on steps'!$B337:$U337,'changes2_based on steps'!$B$1:$U$1,Q$1)</f>
        <v>5.5401662049861494E-2</v>
      </c>
      <c r="R337" s="140">
        <f ca="1">SUMIFS('recurring2_based on steps'!$B337:$AY337,'recurring2_based on steps'!$B$1:$AY$1,R$1)+SUMIFS('changes2_based on steps'!$B337:$U337,'changes2_based on steps'!$B$1:$U$1,R$1)</f>
        <v>0</v>
      </c>
      <c r="S337" s="140">
        <f>SUMIFS('recurring2_based on steps'!$B337:$AY337,'recurring2_based on steps'!$B$1:$AY$1,S$1)+SUMIFS('changes2_based on steps'!$B337:$U337,'changes2_based on steps'!$B$1:$U$1,S$1)</f>
        <v>0</v>
      </c>
      <c r="T337" s="140">
        <f ca="1">SUMIFS('recurring2_based on steps'!$B337:$AY337,'recurring2_based on steps'!$B$1:$AY$1,T$1)+SUMIFS('changes2_based on steps'!$B337:$U337,'changes2_based on steps'!$B$1:$U$1,T$1)</f>
        <v>0</v>
      </c>
      <c r="U337" s="140">
        <f ca="1">SUMIFS('recurring2_based on steps'!$B337:$AY337,'recurring2_based on steps'!$B$1:$AY$1,U$1)+SUMIFS('changes2_based on steps'!$B337:$U337,'changes2_based on steps'!$B$1:$U$1,U$1)</f>
        <v>0</v>
      </c>
      <c r="V337" s="140">
        <f>SUMIFS('recurring2_based on steps'!$B337:$AY337,'recurring2_based on steps'!$B$1:$AY$1,V$1)+SUMIFS('changes2_based on steps'!$B337:$U337,'changes2_based on steps'!$B$1:$U$1,V$1)</f>
        <v>0</v>
      </c>
      <c r="W337" s="140">
        <f>SUMIFS('recurring2_based on steps'!$B337:$AY337,'recurring2_based on steps'!$B$1:$AY$1,W$1)+SUMIFS('changes2_based on steps'!$B337:$U337,'changes2_based on steps'!$B$1:$U$1,W$1)</f>
        <v>0</v>
      </c>
      <c r="X337" s="140">
        <f ca="1">SUMIFS('recurring2_based on steps'!$B337:$AY337,'recurring2_based on steps'!$B$1:$AY$1,X$1)+SUMIFS('changes2_based on steps'!$B337:$U337,'changes2_based on steps'!$B$1:$U$1,X$1)</f>
        <v>0</v>
      </c>
      <c r="Y337" s="140">
        <f ca="1">SUMIFS('recurring2_based on steps'!$B337:$AY337,'recurring2_based on steps'!$B$1:$AY$1,Y$1)+SUMIFS('changes2_based on steps'!$B337:$U337,'changes2_based on steps'!$B$1:$U$1,Y$1)</f>
        <v>0</v>
      </c>
      <c r="Z337" s="140">
        <f>SUMIFS('recurring2_based on steps'!$B337:$AY337,'recurring2_based on steps'!$B$1:$AY$1,Z$1)+SUMIFS('changes2_based on steps'!$B337:$U337,'changes2_based on steps'!$B$1:$U$1,Z$1)</f>
        <v>0</v>
      </c>
      <c r="AA337" s="140">
        <f ca="1">SUMIFS('recurring2_based on steps'!$B337:$AY337,'recurring2_based on steps'!$B$1:$AY$1,AA$1)+SUMIFS('changes2_based on steps'!$B337:$U337,'changes2_based on steps'!$B$1:$U$1,AA$1)</f>
        <v>0</v>
      </c>
      <c r="AB337" s="140">
        <f ca="1">SUMIFS('recurring2_based on steps'!$B337:$AY337,'recurring2_based on steps'!$B$1:$AY$1,AB$1)+SUMIFS('changes2_based on steps'!$B337:$U337,'changes2_based on steps'!$B$1:$U$1,AB$1)</f>
        <v>0</v>
      </c>
      <c r="AC337" s="140">
        <f ca="1">SUMIFS('recurring2_based on steps'!$B337:$AY337,'recurring2_based on steps'!$B$1:$AY$1,AC$1)+SUMIFS('changes2_based on steps'!$B337:$U337,'changes2_based on steps'!$B$1:$U$1,AC$1)</f>
        <v>0</v>
      </c>
      <c r="AD337" s="140">
        <f ca="1">SUMIFS('recurring2_based on steps'!$B337:$AY337,'recurring2_based on steps'!$B$1:$AY$1,AD$1)+SUMIFS('changes2_based on steps'!$B337:$U337,'changes2_based on steps'!$B$1:$U$1,AD$1)</f>
        <v>0</v>
      </c>
      <c r="AE337" s="140">
        <f>SUMIFS('recurring2_based on steps'!$B337:$AY337,'recurring2_based on steps'!$B$1:$AY$1,AE$1)+SUMIFS('changes2_based on steps'!$B337:$U337,'changes2_based on steps'!$B$1:$U$1,AE$1)</f>
        <v>0</v>
      </c>
      <c r="AF337" s="140"/>
      <c r="AG337" s="140"/>
      <c r="AH337" s="140"/>
      <c r="AI337" s="140"/>
      <c r="AJ337" s="140"/>
      <c r="AK337" s="140"/>
      <c r="AL337" s="140"/>
      <c r="AM337" s="140"/>
    </row>
    <row r="338" spans="1:39" x14ac:dyDescent="0.2">
      <c r="A338" s="29">
        <f t="shared" ca="1" si="5"/>
        <v>46078</v>
      </c>
      <c r="B338" s="140">
        <f ca="1">SUMIFS('recurring2_based on steps'!$B338:$AY338,'recurring2_based on steps'!$B$1:$AY$1,B$1)+SUMIFS('changes2_based on steps'!$B338:$U338,'changes2_based on steps'!$B$1:$U$1,B$1)</f>
        <v>0</v>
      </c>
      <c r="C338" s="140">
        <f>SUMIFS('recurring2_based on steps'!$B338:$AY338,'recurring2_based on steps'!$B$1:$AY$1,C$1)+SUMIFS('changes2_based on steps'!$B338:$U338,'changes2_based on steps'!$B$1:$U$1,C$1)</f>
        <v>0</v>
      </c>
      <c r="D338" s="140">
        <f>SUMIFS('recurring2_based on steps'!$B338:$AY338,'recurring2_based on steps'!$B$1:$AY$1,D$1)+SUMIFS('changes2_based on steps'!$B338:$U338,'changes2_based on steps'!$B$1:$U$1,D$1)</f>
        <v>0</v>
      </c>
      <c r="E338" s="140">
        <f>SUMIFS('recurring2_based on steps'!$B338:$AY338,'recurring2_based on steps'!$B$1:$AY$1,E$1)+SUMIFS('changes2_based on steps'!$B338:$U338,'changes2_based on steps'!$B$1:$U$1,E$1)</f>
        <v>0</v>
      </c>
      <c r="F338" s="140">
        <f>SUMIFS('recurring2_based on steps'!$B338:$AY338,'recurring2_based on steps'!$B$1:$AY$1,F$1)+SUMIFS('changes2_based on steps'!$B338:$U338,'changes2_based on steps'!$B$1:$U$1,F$1)</f>
        <v>0</v>
      </c>
      <c r="G338" s="140">
        <f>SUMIFS('recurring2_based on steps'!$B338:$AY338,'recurring2_based on steps'!$B$1:$AY$1,G$1)+SUMIFS('changes2_based on steps'!$B338:$U338,'changes2_based on steps'!$B$1:$U$1,G$1)</f>
        <v>0</v>
      </c>
      <c r="H338" s="140">
        <f>SUMIFS('recurring2_based on steps'!$B338:$AY338,'recurring2_based on steps'!$B$1:$AY$1,H$1)+SUMIFS('changes2_based on steps'!$B338:$U338,'changes2_based on steps'!$B$1:$U$1,H$1)</f>
        <v>0</v>
      </c>
      <c r="I338" s="140">
        <f>SUMIFS('recurring2_based on steps'!$B338:$AY338,'recurring2_based on steps'!$B$1:$AY$1,I$1)+SUMIFS('changes2_based on steps'!$B338:$U338,'changes2_based on steps'!$B$1:$U$1,I$1)</f>
        <v>0</v>
      </c>
      <c r="J338" s="140">
        <f ca="1">SUMIFS('recurring2_based on steps'!$B338:$AY338,'recurring2_based on steps'!$B$1:$AY$1,J$1)+SUMIFS('changes2_based on steps'!$B338:$U338,'changes2_based on steps'!$B$1:$U$1,J$1)</f>
        <v>0</v>
      </c>
      <c r="K338" s="140">
        <f>SUMIFS('recurring2_based on steps'!$B338:$AY338,'recurring2_based on steps'!$B$1:$AY$1,K$1)+SUMIFS('changes2_based on steps'!$B338:$U338,'changes2_based on steps'!$B$1:$U$1,K$1)</f>
        <v>0</v>
      </c>
      <c r="L338" s="140">
        <f>SUMIFS('recurring2_based on steps'!$B338:$AY338,'recurring2_based on steps'!$B$1:$AY$1,L$1)+SUMIFS('changes2_based on steps'!$B338:$U338,'changes2_based on steps'!$B$1:$U$1,L$1)</f>
        <v>0</v>
      </c>
      <c r="M338" s="140">
        <f>SUMIFS('recurring2_based on steps'!$B338:$AY338,'recurring2_based on steps'!$B$1:$AY$1,M$1)+SUMIFS('changes2_based on steps'!$B338:$U338,'changes2_based on steps'!$B$1:$U$1,M$1)</f>
        <v>0</v>
      </c>
      <c r="N338" s="140">
        <f ca="1">SUMIFS('recurring2_based on steps'!$B338:$AY338,'recurring2_based on steps'!$B$1:$AY$1,N$1)+SUMIFS('changes2_based on steps'!$B338:$U338,'changes2_based on steps'!$B$1:$U$1,N$1)</f>
        <v>0</v>
      </c>
      <c r="O338" s="140">
        <f>SUMIFS('recurring2_based on steps'!$B338:$AY338,'recurring2_based on steps'!$B$1:$AY$1,O$1)+SUMIFS('changes2_based on steps'!$B338:$U338,'changes2_based on steps'!$B$1:$U$1,O$1)</f>
        <v>0</v>
      </c>
      <c r="P338" s="140">
        <f ca="1">SUMIFS('recurring2_based on steps'!$B338:$AY338,'recurring2_based on steps'!$B$1:$AY$1,P$1)+SUMIFS('changes2_based on steps'!$B338:$U338,'changes2_based on steps'!$B$1:$U$1,P$1)</f>
        <v>0</v>
      </c>
      <c r="Q338" s="140">
        <f ca="1">SUMIFS('recurring2_based on steps'!$B338:$AY338,'recurring2_based on steps'!$B$1:$AY$1,Q$1)+SUMIFS('changes2_based on steps'!$B338:$U338,'changes2_based on steps'!$B$1:$U$1,Q$1)</f>
        <v>5.5401662049861494E-2</v>
      </c>
      <c r="R338" s="140">
        <f ca="1">SUMIFS('recurring2_based on steps'!$B338:$AY338,'recurring2_based on steps'!$B$1:$AY$1,R$1)+SUMIFS('changes2_based on steps'!$B338:$U338,'changes2_based on steps'!$B$1:$U$1,R$1)</f>
        <v>0</v>
      </c>
      <c r="S338" s="140">
        <f>SUMIFS('recurring2_based on steps'!$B338:$AY338,'recurring2_based on steps'!$B$1:$AY$1,S$1)+SUMIFS('changes2_based on steps'!$B338:$U338,'changes2_based on steps'!$B$1:$U$1,S$1)</f>
        <v>0</v>
      </c>
      <c r="T338" s="140">
        <f ca="1">SUMIFS('recurring2_based on steps'!$B338:$AY338,'recurring2_based on steps'!$B$1:$AY$1,T$1)+SUMIFS('changes2_based on steps'!$B338:$U338,'changes2_based on steps'!$B$1:$U$1,T$1)</f>
        <v>0</v>
      </c>
      <c r="U338" s="140">
        <f ca="1">SUMIFS('recurring2_based on steps'!$B338:$AY338,'recurring2_based on steps'!$B$1:$AY$1,U$1)+SUMIFS('changes2_based on steps'!$B338:$U338,'changes2_based on steps'!$B$1:$U$1,U$1)</f>
        <v>0</v>
      </c>
      <c r="V338" s="140">
        <f>SUMIFS('recurring2_based on steps'!$B338:$AY338,'recurring2_based on steps'!$B$1:$AY$1,V$1)+SUMIFS('changes2_based on steps'!$B338:$U338,'changes2_based on steps'!$B$1:$U$1,V$1)</f>
        <v>0</v>
      </c>
      <c r="W338" s="140">
        <f>SUMIFS('recurring2_based on steps'!$B338:$AY338,'recurring2_based on steps'!$B$1:$AY$1,W$1)+SUMIFS('changes2_based on steps'!$B338:$U338,'changes2_based on steps'!$B$1:$U$1,W$1)</f>
        <v>0</v>
      </c>
      <c r="X338" s="140">
        <f ca="1">SUMIFS('recurring2_based on steps'!$B338:$AY338,'recurring2_based on steps'!$B$1:$AY$1,X$1)+SUMIFS('changes2_based on steps'!$B338:$U338,'changes2_based on steps'!$B$1:$U$1,X$1)</f>
        <v>0</v>
      </c>
      <c r="Y338" s="140">
        <f ca="1">SUMIFS('recurring2_based on steps'!$B338:$AY338,'recurring2_based on steps'!$B$1:$AY$1,Y$1)+SUMIFS('changes2_based on steps'!$B338:$U338,'changes2_based on steps'!$B$1:$U$1,Y$1)</f>
        <v>0</v>
      </c>
      <c r="Z338" s="140">
        <f>SUMIFS('recurring2_based on steps'!$B338:$AY338,'recurring2_based on steps'!$B$1:$AY$1,Z$1)+SUMIFS('changes2_based on steps'!$B338:$U338,'changes2_based on steps'!$B$1:$U$1,Z$1)</f>
        <v>0</v>
      </c>
      <c r="AA338" s="140">
        <f ca="1">SUMIFS('recurring2_based on steps'!$B338:$AY338,'recurring2_based on steps'!$B$1:$AY$1,AA$1)+SUMIFS('changes2_based on steps'!$B338:$U338,'changes2_based on steps'!$B$1:$U$1,AA$1)</f>
        <v>0</v>
      </c>
      <c r="AB338" s="140">
        <f ca="1">SUMIFS('recurring2_based on steps'!$B338:$AY338,'recurring2_based on steps'!$B$1:$AY$1,AB$1)+SUMIFS('changes2_based on steps'!$B338:$U338,'changes2_based on steps'!$B$1:$U$1,AB$1)</f>
        <v>0</v>
      </c>
      <c r="AC338" s="140">
        <f ca="1">SUMIFS('recurring2_based on steps'!$B338:$AY338,'recurring2_based on steps'!$B$1:$AY$1,AC$1)+SUMIFS('changes2_based on steps'!$B338:$U338,'changes2_based on steps'!$B$1:$U$1,AC$1)</f>
        <v>0</v>
      </c>
      <c r="AD338" s="140">
        <f ca="1">SUMIFS('recurring2_based on steps'!$B338:$AY338,'recurring2_based on steps'!$B$1:$AY$1,AD$1)+SUMIFS('changes2_based on steps'!$B338:$U338,'changes2_based on steps'!$B$1:$U$1,AD$1)</f>
        <v>0</v>
      </c>
      <c r="AE338" s="140">
        <f>SUMIFS('recurring2_based on steps'!$B338:$AY338,'recurring2_based on steps'!$B$1:$AY$1,AE$1)+SUMIFS('changes2_based on steps'!$B338:$U338,'changes2_based on steps'!$B$1:$U$1,AE$1)</f>
        <v>0</v>
      </c>
      <c r="AF338" s="140"/>
      <c r="AG338" s="140"/>
      <c r="AH338" s="140"/>
      <c r="AI338" s="140"/>
      <c r="AJ338" s="140"/>
      <c r="AK338" s="140"/>
      <c r="AL338" s="140"/>
      <c r="AM338" s="140"/>
    </row>
    <row r="339" spans="1:39" x14ac:dyDescent="0.2">
      <c r="A339" s="29">
        <f t="shared" ca="1" si="5"/>
        <v>46079</v>
      </c>
      <c r="B339" s="140">
        <f ca="1">SUMIFS('recurring2_based on steps'!$B339:$AY339,'recurring2_based on steps'!$B$1:$AY$1,B$1)+SUMIFS('changes2_based on steps'!$B339:$U339,'changes2_based on steps'!$B$1:$U$1,B$1)</f>
        <v>0</v>
      </c>
      <c r="C339" s="140">
        <f>SUMIFS('recurring2_based on steps'!$B339:$AY339,'recurring2_based on steps'!$B$1:$AY$1,C$1)+SUMIFS('changes2_based on steps'!$B339:$U339,'changes2_based on steps'!$B$1:$U$1,C$1)</f>
        <v>0</v>
      </c>
      <c r="D339" s="140">
        <f>SUMIFS('recurring2_based on steps'!$B339:$AY339,'recurring2_based on steps'!$B$1:$AY$1,D$1)+SUMIFS('changes2_based on steps'!$B339:$U339,'changes2_based on steps'!$B$1:$U$1,D$1)</f>
        <v>0</v>
      </c>
      <c r="E339" s="140">
        <f>SUMIFS('recurring2_based on steps'!$B339:$AY339,'recurring2_based on steps'!$B$1:$AY$1,E$1)+SUMIFS('changes2_based on steps'!$B339:$U339,'changes2_based on steps'!$B$1:$U$1,E$1)</f>
        <v>0</v>
      </c>
      <c r="F339" s="140">
        <f>SUMIFS('recurring2_based on steps'!$B339:$AY339,'recurring2_based on steps'!$B$1:$AY$1,F$1)+SUMIFS('changes2_based on steps'!$B339:$U339,'changes2_based on steps'!$B$1:$U$1,F$1)</f>
        <v>0</v>
      </c>
      <c r="G339" s="140">
        <f>SUMIFS('recurring2_based on steps'!$B339:$AY339,'recurring2_based on steps'!$B$1:$AY$1,G$1)+SUMIFS('changes2_based on steps'!$B339:$U339,'changes2_based on steps'!$B$1:$U$1,G$1)</f>
        <v>0</v>
      </c>
      <c r="H339" s="140">
        <f>SUMIFS('recurring2_based on steps'!$B339:$AY339,'recurring2_based on steps'!$B$1:$AY$1,H$1)+SUMIFS('changes2_based on steps'!$B339:$U339,'changes2_based on steps'!$B$1:$U$1,H$1)</f>
        <v>0</v>
      </c>
      <c r="I339" s="140">
        <f>SUMIFS('recurring2_based on steps'!$B339:$AY339,'recurring2_based on steps'!$B$1:$AY$1,I$1)+SUMIFS('changes2_based on steps'!$B339:$U339,'changes2_based on steps'!$B$1:$U$1,I$1)</f>
        <v>0</v>
      </c>
      <c r="J339" s="140">
        <f ca="1">SUMIFS('recurring2_based on steps'!$B339:$AY339,'recurring2_based on steps'!$B$1:$AY$1,J$1)+SUMIFS('changes2_based on steps'!$B339:$U339,'changes2_based on steps'!$B$1:$U$1,J$1)</f>
        <v>0</v>
      </c>
      <c r="K339" s="140">
        <f>SUMIFS('recurring2_based on steps'!$B339:$AY339,'recurring2_based on steps'!$B$1:$AY$1,K$1)+SUMIFS('changes2_based on steps'!$B339:$U339,'changes2_based on steps'!$B$1:$U$1,K$1)</f>
        <v>0</v>
      </c>
      <c r="L339" s="140">
        <f>SUMIFS('recurring2_based on steps'!$B339:$AY339,'recurring2_based on steps'!$B$1:$AY$1,L$1)+SUMIFS('changes2_based on steps'!$B339:$U339,'changes2_based on steps'!$B$1:$U$1,L$1)</f>
        <v>0</v>
      </c>
      <c r="M339" s="140">
        <f>SUMIFS('recurring2_based on steps'!$B339:$AY339,'recurring2_based on steps'!$B$1:$AY$1,M$1)+SUMIFS('changes2_based on steps'!$B339:$U339,'changes2_based on steps'!$B$1:$U$1,M$1)</f>
        <v>0</v>
      </c>
      <c r="N339" s="140">
        <f ca="1">SUMIFS('recurring2_based on steps'!$B339:$AY339,'recurring2_based on steps'!$B$1:$AY$1,N$1)+SUMIFS('changes2_based on steps'!$B339:$U339,'changes2_based on steps'!$B$1:$U$1,N$1)</f>
        <v>0</v>
      </c>
      <c r="O339" s="140">
        <f>SUMIFS('recurring2_based on steps'!$B339:$AY339,'recurring2_based on steps'!$B$1:$AY$1,O$1)+SUMIFS('changes2_based on steps'!$B339:$U339,'changes2_based on steps'!$B$1:$U$1,O$1)</f>
        <v>0</v>
      </c>
      <c r="P339" s="140">
        <f ca="1">SUMIFS('recurring2_based on steps'!$B339:$AY339,'recurring2_based on steps'!$B$1:$AY$1,P$1)+SUMIFS('changes2_based on steps'!$B339:$U339,'changes2_based on steps'!$B$1:$U$1,P$1)</f>
        <v>0</v>
      </c>
      <c r="Q339" s="140">
        <f ca="1">SUMIFS('recurring2_based on steps'!$B339:$AY339,'recurring2_based on steps'!$B$1:$AY$1,Q$1)+SUMIFS('changes2_based on steps'!$B339:$U339,'changes2_based on steps'!$B$1:$U$1,Q$1)</f>
        <v>5.5401662049861494E-2</v>
      </c>
      <c r="R339" s="140">
        <f ca="1">SUMIFS('recurring2_based on steps'!$B339:$AY339,'recurring2_based on steps'!$B$1:$AY$1,R$1)+SUMIFS('changes2_based on steps'!$B339:$U339,'changes2_based on steps'!$B$1:$U$1,R$1)</f>
        <v>0</v>
      </c>
      <c r="S339" s="140">
        <f>SUMIFS('recurring2_based on steps'!$B339:$AY339,'recurring2_based on steps'!$B$1:$AY$1,S$1)+SUMIFS('changes2_based on steps'!$B339:$U339,'changes2_based on steps'!$B$1:$U$1,S$1)</f>
        <v>0</v>
      </c>
      <c r="T339" s="140">
        <f ca="1">SUMIFS('recurring2_based on steps'!$B339:$AY339,'recurring2_based on steps'!$B$1:$AY$1,T$1)+SUMIFS('changes2_based on steps'!$B339:$U339,'changes2_based on steps'!$B$1:$U$1,T$1)</f>
        <v>0</v>
      </c>
      <c r="U339" s="140">
        <f ca="1">SUMIFS('recurring2_based on steps'!$B339:$AY339,'recurring2_based on steps'!$B$1:$AY$1,U$1)+SUMIFS('changes2_based on steps'!$B339:$U339,'changes2_based on steps'!$B$1:$U$1,U$1)</f>
        <v>0</v>
      </c>
      <c r="V339" s="140">
        <f>SUMIFS('recurring2_based on steps'!$B339:$AY339,'recurring2_based on steps'!$B$1:$AY$1,V$1)+SUMIFS('changes2_based on steps'!$B339:$U339,'changes2_based on steps'!$B$1:$U$1,V$1)</f>
        <v>0</v>
      </c>
      <c r="W339" s="140">
        <f>SUMIFS('recurring2_based on steps'!$B339:$AY339,'recurring2_based on steps'!$B$1:$AY$1,W$1)+SUMIFS('changes2_based on steps'!$B339:$U339,'changes2_based on steps'!$B$1:$U$1,W$1)</f>
        <v>0</v>
      </c>
      <c r="X339" s="140">
        <f ca="1">SUMIFS('recurring2_based on steps'!$B339:$AY339,'recurring2_based on steps'!$B$1:$AY$1,X$1)+SUMIFS('changes2_based on steps'!$B339:$U339,'changes2_based on steps'!$B$1:$U$1,X$1)</f>
        <v>0</v>
      </c>
      <c r="Y339" s="140">
        <f ca="1">SUMIFS('recurring2_based on steps'!$B339:$AY339,'recurring2_based on steps'!$B$1:$AY$1,Y$1)+SUMIFS('changes2_based on steps'!$B339:$U339,'changes2_based on steps'!$B$1:$U$1,Y$1)</f>
        <v>0</v>
      </c>
      <c r="Z339" s="140">
        <f>SUMIFS('recurring2_based on steps'!$B339:$AY339,'recurring2_based on steps'!$B$1:$AY$1,Z$1)+SUMIFS('changes2_based on steps'!$B339:$U339,'changes2_based on steps'!$B$1:$U$1,Z$1)</f>
        <v>0</v>
      </c>
      <c r="AA339" s="140">
        <f ca="1">SUMIFS('recurring2_based on steps'!$B339:$AY339,'recurring2_based on steps'!$B$1:$AY$1,AA$1)+SUMIFS('changes2_based on steps'!$B339:$U339,'changes2_based on steps'!$B$1:$U$1,AA$1)</f>
        <v>0</v>
      </c>
      <c r="AB339" s="140">
        <f ca="1">SUMIFS('recurring2_based on steps'!$B339:$AY339,'recurring2_based on steps'!$B$1:$AY$1,AB$1)+SUMIFS('changes2_based on steps'!$B339:$U339,'changes2_based on steps'!$B$1:$U$1,AB$1)</f>
        <v>0</v>
      </c>
      <c r="AC339" s="140">
        <f ca="1">SUMIFS('recurring2_based on steps'!$B339:$AY339,'recurring2_based on steps'!$B$1:$AY$1,AC$1)+SUMIFS('changes2_based on steps'!$B339:$U339,'changes2_based on steps'!$B$1:$U$1,AC$1)</f>
        <v>0</v>
      </c>
      <c r="AD339" s="140">
        <f ca="1">SUMIFS('recurring2_based on steps'!$B339:$AY339,'recurring2_based on steps'!$B$1:$AY$1,AD$1)+SUMIFS('changes2_based on steps'!$B339:$U339,'changes2_based on steps'!$B$1:$U$1,AD$1)</f>
        <v>0</v>
      </c>
      <c r="AE339" s="140">
        <f>SUMIFS('recurring2_based on steps'!$B339:$AY339,'recurring2_based on steps'!$B$1:$AY$1,AE$1)+SUMIFS('changes2_based on steps'!$B339:$U339,'changes2_based on steps'!$B$1:$U$1,AE$1)</f>
        <v>0</v>
      </c>
      <c r="AF339" s="140"/>
      <c r="AG339" s="140"/>
      <c r="AH339" s="140"/>
      <c r="AI339" s="140"/>
      <c r="AJ339" s="140"/>
      <c r="AK339" s="140"/>
      <c r="AL339" s="140"/>
      <c r="AM339" s="140"/>
    </row>
    <row r="340" spans="1:39" x14ac:dyDescent="0.2">
      <c r="A340" s="29">
        <f t="shared" ca="1" si="5"/>
        <v>46080</v>
      </c>
      <c r="B340" s="140">
        <f ca="1">SUMIFS('recurring2_based on steps'!$B340:$AY340,'recurring2_based on steps'!$B$1:$AY$1,B$1)+SUMIFS('changes2_based on steps'!$B340:$U340,'changes2_based on steps'!$B$1:$U$1,B$1)</f>
        <v>0</v>
      </c>
      <c r="C340" s="140">
        <f>SUMIFS('recurring2_based on steps'!$B340:$AY340,'recurring2_based on steps'!$B$1:$AY$1,C$1)+SUMIFS('changes2_based on steps'!$B340:$U340,'changes2_based on steps'!$B$1:$U$1,C$1)</f>
        <v>0</v>
      </c>
      <c r="D340" s="140">
        <f>SUMIFS('recurring2_based on steps'!$B340:$AY340,'recurring2_based on steps'!$B$1:$AY$1,D$1)+SUMIFS('changes2_based on steps'!$B340:$U340,'changes2_based on steps'!$B$1:$U$1,D$1)</f>
        <v>0</v>
      </c>
      <c r="E340" s="140">
        <f>SUMIFS('recurring2_based on steps'!$B340:$AY340,'recurring2_based on steps'!$B$1:$AY$1,E$1)+SUMIFS('changes2_based on steps'!$B340:$U340,'changes2_based on steps'!$B$1:$U$1,E$1)</f>
        <v>0</v>
      </c>
      <c r="F340" s="140">
        <f>SUMIFS('recurring2_based on steps'!$B340:$AY340,'recurring2_based on steps'!$B$1:$AY$1,F$1)+SUMIFS('changes2_based on steps'!$B340:$U340,'changes2_based on steps'!$B$1:$U$1,F$1)</f>
        <v>0</v>
      </c>
      <c r="G340" s="140">
        <f>SUMIFS('recurring2_based on steps'!$B340:$AY340,'recurring2_based on steps'!$B$1:$AY$1,G$1)+SUMIFS('changes2_based on steps'!$B340:$U340,'changes2_based on steps'!$B$1:$U$1,G$1)</f>
        <v>0</v>
      </c>
      <c r="H340" s="140">
        <f>SUMIFS('recurring2_based on steps'!$B340:$AY340,'recurring2_based on steps'!$B$1:$AY$1,H$1)+SUMIFS('changes2_based on steps'!$B340:$U340,'changes2_based on steps'!$B$1:$U$1,H$1)</f>
        <v>0</v>
      </c>
      <c r="I340" s="140">
        <f>SUMIFS('recurring2_based on steps'!$B340:$AY340,'recurring2_based on steps'!$B$1:$AY$1,I$1)+SUMIFS('changes2_based on steps'!$B340:$U340,'changes2_based on steps'!$B$1:$U$1,I$1)</f>
        <v>0</v>
      </c>
      <c r="J340" s="140">
        <f ca="1">SUMIFS('recurring2_based on steps'!$B340:$AY340,'recurring2_based on steps'!$B$1:$AY$1,J$1)+SUMIFS('changes2_based on steps'!$B340:$U340,'changes2_based on steps'!$B$1:$U$1,J$1)</f>
        <v>0</v>
      </c>
      <c r="K340" s="140">
        <f>SUMIFS('recurring2_based on steps'!$B340:$AY340,'recurring2_based on steps'!$B$1:$AY$1,K$1)+SUMIFS('changes2_based on steps'!$B340:$U340,'changes2_based on steps'!$B$1:$U$1,K$1)</f>
        <v>0</v>
      </c>
      <c r="L340" s="140">
        <f>SUMIFS('recurring2_based on steps'!$B340:$AY340,'recurring2_based on steps'!$B$1:$AY$1,L$1)+SUMIFS('changes2_based on steps'!$B340:$U340,'changes2_based on steps'!$B$1:$U$1,L$1)</f>
        <v>0</v>
      </c>
      <c r="M340" s="140">
        <f>SUMIFS('recurring2_based on steps'!$B340:$AY340,'recurring2_based on steps'!$B$1:$AY$1,M$1)+SUMIFS('changes2_based on steps'!$B340:$U340,'changes2_based on steps'!$B$1:$U$1,M$1)</f>
        <v>0</v>
      </c>
      <c r="N340" s="140">
        <f ca="1">SUMIFS('recurring2_based on steps'!$B340:$AY340,'recurring2_based on steps'!$B$1:$AY$1,N$1)+SUMIFS('changes2_based on steps'!$B340:$U340,'changes2_based on steps'!$B$1:$U$1,N$1)</f>
        <v>0</v>
      </c>
      <c r="O340" s="140">
        <f>SUMIFS('recurring2_based on steps'!$B340:$AY340,'recurring2_based on steps'!$B$1:$AY$1,O$1)+SUMIFS('changes2_based on steps'!$B340:$U340,'changes2_based on steps'!$B$1:$U$1,O$1)</f>
        <v>0</v>
      </c>
      <c r="P340" s="140">
        <f ca="1">SUMIFS('recurring2_based on steps'!$B340:$AY340,'recurring2_based on steps'!$B$1:$AY$1,P$1)+SUMIFS('changes2_based on steps'!$B340:$U340,'changes2_based on steps'!$B$1:$U$1,P$1)</f>
        <v>0</v>
      </c>
      <c r="Q340" s="140">
        <f ca="1">SUMIFS('recurring2_based on steps'!$B340:$AY340,'recurring2_based on steps'!$B$1:$AY$1,Q$1)+SUMIFS('changes2_based on steps'!$B340:$U340,'changes2_based on steps'!$B$1:$U$1,Q$1)</f>
        <v>5.5401662049861494E-2</v>
      </c>
      <c r="R340" s="140">
        <f ca="1">SUMIFS('recurring2_based on steps'!$B340:$AY340,'recurring2_based on steps'!$B$1:$AY$1,R$1)+SUMIFS('changes2_based on steps'!$B340:$U340,'changes2_based on steps'!$B$1:$U$1,R$1)</f>
        <v>2.99</v>
      </c>
      <c r="S340" s="140">
        <f>SUMIFS('recurring2_based on steps'!$B340:$AY340,'recurring2_based on steps'!$B$1:$AY$1,S$1)+SUMIFS('changes2_based on steps'!$B340:$U340,'changes2_based on steps'!$B$1:$U$1,S$1)</f>
        <v>0</v>
      </c>
      <c r="T340" s="140">
        <f ca="1">SUMIFS('recurring2_based on steps'!$B340:$AY340,'recurring2_based on steps'!$B$1:$AY$1,T$1)+SUMIFS('changes2_based on steps'!$B340:$U340,'changes2_based on steps'!$B$1:$U$1,T$1)</f>
        <v>0</v>
      </c>
      <c r="U340" s="140">
        <f ca="1">SUMIFS('recurring2_based on steps'!$B340:$AY340,'recurring2_based on steps'!$B$1:$AY$1,U$1)+SUMIFS('changes2_based on steps'!$B340:$U340,'changes2_based on steps'!$B$1:$U$1,U$1)</f>
        <v>0</v>
      </c>
      <c r="V340" s="140">
        <f>SUMIFS('recurring2_based on steps'!$B340:$AY340,'recurring2_based on steps'!$B$1:$AY$1,V$1)+SUMIFS('changes2_based on steps'!$B340:$U340,'changes2_based on steps'!$B$1:$U$1,V$1)</f>
        <v>0</v>
      </c>
      <c r="W340" s="140">
        <f>SUMIFS('recurring2_based on steps'!$B340:$AY340,'recurring2_based on steps'!$B$1:$AY$1,W$1)+SUMIFS('changes2_based on steps'!$B340:$U340,'changes2_based on steps'!$B$1:$U$1,W$1)</f>
        <v>0</v>
      </c>
      <c r="X340" s="140">
        <f ca="1">SUMIFS('recurring2_based on steps'!$B340:$AY340,'recurring2_based on steps'!$B$1:$AY$1,X$1)+SUMIFS('changes2_based on steps'!$B340:$U340,'changes2_based on steps'!$B$1:$U$1,X$1)</f>
        <v>0</v>
      </c>
      <c r="Y340" s="140">
        <f ca="1">SUMIFS('recurring2_based on steps'!$B340:$AY340,'recurring2_based on steps'!$B$1:$AY$1,Y$1)+SUMIFS('changes2_based on steps'!$B340:$U340,'changes2_based on steps'!$B$1:$U$1,Y$1)</f>
        <v>0</v>
      </c>
      <c r="Z340" s="140">
        <f>SUMIFS('recurring2_based on steps'!$B340:$AY340,'recurring2_based on steps'!$B$1:$AY$1,Z$1)+SUMIFS('changes2_based on steps'!$B340:$U340,'changes2_based on steps'!$B$1:$U$1,Z$1)</f>
        <v>0</v>
      </c>
      <c r="AA340" s="140">
        <f ca="1">SUMIFS('recurring2_based on steps'!$B340:$AY340,'recurring2_based on steps'!$B$1:$AY$1,AA$1)+SUMIFS('changes2_based on steps'!$B340:$U340,'changes2_based on steps'!$B$1:$U$1,AA$1)</f>
        <v>0</v>
      </c>
      <c r="AB340" s="140">
        <f ca="1">SUMIFS('recurring2_based on steps'!$B340:$AY340,'recurring2_based on steps'!$B$1:$AY$1,AB$1)+SUMIFS('changes2_based on steps'!$B340:$U340,'changes2_based on steps'!$B$1:$U$1,AB$1)</f>
        <v>0</v>
      </c>
      <c r="AC340" s="140">
        <f ca="1">SUMIFS('recurring2_based on steps'!$B340:$AY340,'recurring2_based on steps'!$B$1:$AY$1,AC$1)+SUMIFS('changes2_based on steps'!$B340:$U340,'changes2_based on steps'!$B$1:$U$1,AC$1)</f>
        <v>0</v>
      </c>
      <c r="AD340" s="140">
        <f ca="1">SUMIFS('recurring2_based on steps'!$B340:$AY340,'recurring2_based on steps'!$B$1:$AY$1,AD$1)+SUMIFS('changes2_based on steps'!$B340:$U340,'changes2_based on steps'!$B$1:$U$1,AD$1)</f>
        <v>0</v>
      </c>
      <c r="AE340" s="140">
        <f>SUMIFS('recurring2_based on steps'!$B340:$AY340,'recurring2_based on steps'!$B$1:$AY$1,AE$1)+SUMIFS('changes2_based on steps'!$B340:$U340,'changes2_based on steps'!$B$1:$U$1,AE$1)</f>
        <v>0</v>
      </c>
      <c r="AF340" s="140"/>
      <c r="AG340" s="140"/>
      <c r="AH340" s="140"/>
      <c r="AI340" s="140"/>
      <c r="AJ340" s="140"/>
      <c r="AK340" s="140"/>
      <c r="AL340" s="140"/>
      <c r="AM340" s="140"/>
    </row>
    <row r="341" spans="1:39" x14ac:dyDescent="0.2">
      <c r="A341" s="29">
        <f t="shared" ca="1" si="5"/>
        <v>46081</v>
      </c>
      <c r="B341" s="140">
        <f ca="1">SUMIFS('recurring2_based on steps'!$B341:$AY341,'recurring2_based on steps'!$B$1:$AY$1,B$1)+SUMIFS('changes2_based on steps'!$B341:$U341,'changes2_based on steps'!$B$1:$U$1,B$1)</f>
        <v>0</v>
      </c>
      <c r="C341" s="140">
        <f>SUMIFS('recurring2_based on steps'!$B341:$AY341,'recurring2_based on steps'!$B$1:$AY$1,C$1)+SUMIFS('changes2_based on steps'!$B341:$U341,'changes2_based on steps'!$B$1:$U$1,C$1)</f>
        <v>0</v>
      </c>
      <c r="D341" s="140">
        <f>SUMIFS('recurring2_based on steps'!$B341:$AY341,'recurring2_based on steps'!$B$1:$AY$1,D$1)+SUMIFS('changes2_based on steps'!$B341:$U341,'changes2_based on steps'!$B$1:$U$1,D$1)</f>
        <v>0</v>
      </c>
      <c r="E341" s="140">
        <f>SUMIFS('recurring2_based on steps'!$B341:$AY341,'recurring2_based on steps'!$B$1:$AY$1,E$1)+SUMIFS('changes2_based on steps'!$B341:$U341,'changes2_based on steps'!$B$1:$U$1,E$1)</f>
        <v>0</v>
      </c>
      <c r="F341" s="140">
        <f>SUMIFS('recurring2_based on steps'!$B341:$AY341,'recurring2_based on steps'!$B$1:$AY$1,F$1)+SUMIFS('changes2_based on steps'!$B341:$U341,'changes2_based on steps'!$B$1:$U$1,F$1)</f>
        <v>0</v>
      </c>
      <c r="G341" s="140">
        <f>SUMIFS('recurring2_based on steps'!$B341:$AY341,'recurring2_based on steps'!$B$1:$AY$1,G$1)+SUMIFS('changes2_based on steps'!$B341:$U341,'changes2_based on steps'!$B$1:$U$1,G$1)</f>
        <v>0</v>
      </c>
      <c r="H341" s="140">
        <f>SUMIFS('recurring2_based on steps'!$B341:$AY341,'recurring2_based on steps'!$B$1:$AY$1,H$1)+SUMIFS('changes2_based on steps'!$B341:$U341,'changes2_based on steps'!$B$1:$U$1,H$1)</f>
        <v>0</v>
      </c>
      <c r="I341" s="140">
        <f>SUMIFS('recurring2_based on steps'!$B341:$AY341,'recurring2_based on steps'!$B$1:$AY$1,I$1)+SUMIFS('changes2_based on steps'!$B341:$U341,'changes2_based on steps'!$B$1:$U$1,I$1)</f>
        <v>0</v>
      </c>
      <c r="J341" s="140">
        <f ca="1">SUMIFS('recurring2_based on steps'!$B341:$AY341,'recurring2_based on steps'!$B$1:$AY$1,J$1)+SUMIFS('changes2_based on steps'!$B341:$U341,'changes2_based on steps'!$B$1:$U$1,J$1)</f>
        <v>100</v>
      </c>
      <c r="K341" s="140">
        <f>SUMIFS('recurring2_based on steps'!$B341:$AY341,'recurring2_based on steps'!$B$1:$AY$1,K$1)+SUMIFS('changes2_based on steps'!$B341:$U341,'changes2_based on steps'!$B$1:$U$1,K$1)</f>
        <v>0</v>
      </c>
      <c r="L341" s="140">
        <f>SUMIFS('recurring2_based on steps'!$B341:$AY341,'recurring2_based on steps'!$B$1:$AY$1,L$1)+SUMIFS('changes2_based on steps'!$B341:$U341,'changes2_based on steps'!$B$1:$U$1,L$1)</f>
        <v>0</v>
      </c>
      <c r="M341" s="140">
        <f>SUMIFS('recurring2_based on steps'!$B341:$AY341,'recurring2_based on steps'!$B$1:$AY$1,M$1)+SUMIFS('changes2_based on steps'!$B341:$U341,'changes2_based on steps'!$B$1:$U$1,M$1)</f>
        <v>0</v>
      </c>
      <c r="N341" s="140">
        <f ca="1">SUMIFS('recurring2_based on steps'!$B341:$AY341,'recurring2_based on steps'!$B$1:$AY$1,N$1)+SUMIFS('changes2_based on steps'!$B341:$U341,'changes2_based on steps'!$B$1:$U$1,N$1)</f>
        <v>40</v>
      </c>
      <c r="O341" s="140">
        <f>SUMIFS('recurring2_based on steps'!$B341:$AY341,'recurring2_based on steps'!$B$1:$AY$1,O$1)+SUMIFS('changes2_based on steps'!$B341:$U341,'changes2_based on steps'!$B$1:$U$1,O$1)</f>
        <v>0</v>
      </c>
      <c r="P341" s="140">
        <f ca="1">SUMIFS('recurring2_based on steps'!$B341:$AY341,'recurring2_based on steps'!$B$1:$AY$1,P$1)+SUMIFS('changes2_based on steps'!$B341:$U341,'changes2_based on steps'!$B$1:$U$1,P$1)</f>
        <v>0</v>
      </c>
      <c r="Q341" s="140">
        <f ca="1">SUMIFS('recurring2_based on steps'!$B341:$AY341,'recurring2_based on steps'!$B$1:$AY$1,Q$1)+SUMIFS('changes2_based on steps'!$B341:$U341,'changes2_based on steps'!$B$1:$U$1,Q$1)</f>
        <v>100.05540166204986</v>
      </c>
      <c r="R341" s="140">
        <f ca="1">SUMIFS('recurring2_based on steps'!$B341:$AY341,'recurring2_based on steps'!$B$1:$AY$1,R$1)+SUMIFS('changes2_based on steps'!$B341:$U341,'changes2_based on steps'!$B$1:$U$1,R$1)</f>
        <v>0</v>
      </c>
      <c r="S341" s="140">
        <f>SUMIFS('recurring2_based on steps'!$B341:$AY341,'recurring2_based on steps'!$B$1:$AY$1,S$1)+SUMIFS('changes2_based on steps'!$B341:$U341,'changes2_based on steps'!$B$1:$U$1,S$1)</f>
        <v>0</v>
      </c>
      <c r="T341" s="140">
        <f ca="1">SUMIFS('recurring2_based on steps'!$B341:$AY341,'recurring2_based on steps'!$B$1:$AY$1,T$1)+SUMIFS('changes2_based on steps'!$B341:$U341,'changes2_based on steps'!$B$1:$U$1,T$1)</f>
        <v>0</v>
      </c>
      <c r="U341" s="140">
        <f ca="1">SUMIFS('recurring2_based on steps'!$B341:$AY341,'recurring2_based on steps'!$B$1:$AY$1,U$1)+SUMIFS('changes2_based on steps'!$B341:$U341,'changes2_based on steps'!$B$1:$U$1,U$1)</f>
        <v>0</v>
      </c>
      <c r="V341" s="140">
        <f>SUMIFS('recurring2_based on steps'!$B341:$AY341,'recurring2_based on steps'!$B$1:$AY$1,V$1)+SUMIFS('changes2_based on steps'!$B341:$U341,'changes2_based on steps'!$B$1:$U$1,V$1)</f>
        <v>0</v>
      </c>
      <c r="W341" s="140">
        <f>SUMIFS('recurring2_based on steps'!$B341:$AY341,'recurring2_based on steps'!$B$1:$AY$1,W$1)+SUMIFS('changes2_based on steps'!$B341:$U341,'changes2_based on steps'!$B$1:$U$1,W$1)</f>
        <v>0</v>
      </c>
      <c r="X341" s="140">
        <f ca="1">SUMIFS('recurring2_based on steps'!$B341:$AY341,'recurring2_based on steps'!$B$1:$AY$1,X$1)+SUMIFS('changes2_based on steps'!$B341:$U341,'changes2_based on steps'!$B$1:$U$1,X$1)</f>
        <v>0</v>
      </c>
      <c r="Y341" s="140">
        <f ca="1">SUMIFS('recurring2_based on steps'!$B341:$AY341,'recurring2_based on steps'!$B$1:$AY$1,Y$1)+SUMIFS('changes2_based on steps'!$B341:$U341,'changes2_based on steps'!$B$1:$U$1,Y$1)</f>
        <v>0</v>
      </c>
      <c r="Z341" s="140">
        <f>SUMIFS('recurring2_based on steps'!$B341:$AY341,'recurring2_based on steps'!$B$1:$AY$1,Z$1)+SUMIFS('changes2_based on steps'!$B341:$U341,'changes2_based on steps'!$B$1:$U$1,Z$1)</f>
        <v>0</v>
      </c>
      <c r="AA341" s="140">
        <f ca="1">SUMIFS('recurring2_based on steps'!$B341:$AY341,'recurring2_based on steps'!$B$1:$AY$1,AA$1)+SUMIFS('changes2_based on steps'!$B341:$U341,'changes2_based on steps'!$B$1:$U$1,AA$1)</f>
        <v>0</v>
      </c>
      <c r="AB341" s="140">
        <f ca="1">SUMIFS('recurring2_based on steps'!$B341:$AY341,'recurring2_based on steps'!$B$1:$AY$1,AB$1)+SUMIFS('changes2_based on steps'!$B341:$U341,'changes2_based on steps'!$B$1:$U$1,AB$1)</f>
        <v>100</v>
      </c>
      <c r="AC341" s="140">
        <f ca="1">SUMIFS('recurring2_based on steps'!$B341:$AY341,'recurring2_based on steps'!$B$1:$AY$1,AC$1)+SUMIFS('changes2_based on steps'!$B341:$U341,'changes2_based on steps'!$B$1:$U$1,AC$1)</f>
        <v>0</v>
      </c>
      <c r="AD341" s="140">
        <f ca="1">SUMIFS('recurring2_based on steps'!$B341:$AY341,'recurring2_based on steps'!$B$1:$AY$1,AD$1)+SUMIFS('changes2_based on steps'!$B341:$U341,'changes2_based on steps'!$B$1:$U$1,AD$1)</f>
        <v>0</v>
      </c>
      <c r="AE341" s="140">
        <f>SUMIFS('recurring2_based on steps'!$B341:$AY341,'recurring2_based on steps'!$B$1:$AY$1,AE$1)+SUMIFS('changes2_based on steps'!$B341:$U341,'changes2_based on steps'!$B$1:$U$1,AE$1)</f>
        <v>0</v>
      </c>
      <c r="AF341" s="140"/>
      <c r="AG341" s="140"/>
      <c r="AH341" s="140"/>
      <c r="AI341" s="140"/>
      <c r="AJ341" s="140"/>
      <c r="AK341" s="140"/>
      <c r="AL341" s="140"/>
      <c r="AM341" s="140"/>
    </row>
    <row r="342" spans="1:39" x14ac:dyDescent="0.2">
      <c r="A342" s="29">
        <f t="shared" ca="1" si="5"/>
        <v>46082</v>
      </c>
      <c r="B342" s="140">
        <f ca="1">SUMIFS('recurring2_based on steps'!$B342:$AY342,'recurring2_based on steps'!$B$1:$AY$1,B$1)+SUMIFS('changes2_based on steps'!$B342:$U342,'changes2_based on steps'!$B$1:$U$1,B$1)</f>
        <v>0</v>
      </c>
      <c r="C342" s="140">
        <f>SUMIFS('recurring2_based on steps'!$B342:$AY342,'recurring2_based on steps'!$B$1:$AY$1,C$1)+SUMIFS('changes2_based on steps'!$B342:$U342,'changes2_based on steps'!$B$1:$U$1,C$1)</f>
        <v>0</v>
      </c>
      <c r="D342" s="140">
        <f>SUMIFS('recurring2_based on steps'!$B342:$AY342,'recurring2_based on steps'!$B$1:$AY$1,D$1)+SUMIFS('changes2_based on steps'!$B342:$U342,'changes2_based on steps'!$B$1:$U$1,D$1)</f>
        <v>0</v>
      </c>
      <c r="E342" s="140">
        <f>SUMIFS('recurring2_based on steps'!$B342:$AY342,'recurring2_based on steps'!$B$1:$AY$1,E$1)+SUMIFS('changes2_based on steps'!$B342:$U342,'changes2_based on steps'!$B$1:$U$1,E$1)</f>
        <v>0</v>
      </c>
      <c r="F342" s="140">
        <f>SUMIFS('recurring2_based on steps'!$B342:$AY342,'recurring2_based on steps'!$B$1:$AY$1,F$1)+SUMIFS('changes2_based on steps'!$B342:$U342,'changes2_based on steps'!$B$1:$U$1,F$1)</f>
        <v>0</v>
      </c>
      <c r="G342" s="140">
        <f>SUMIFS('recurring2_based on steps'!$B342:$AY342,'recurring2_based on steps'!$B$1:$AY$1,G$1)+SUMIFS('changes2_based on steps'!$B342:$U342,'changes2_based on steps'!$B$1:$U$1,G$1)</f>
        <v>0</v>
      </c>
      <c r="H342" s="140">
        <f>SUMIFS('recurring2_based on steps'!$B342:$AY342,'recurring2_based on steps'!$B$1:$AY$1,H$1)+SUMIFS('changes2_based on steps'!$B342:$U342,'changes2_based on steps'!$B$1:$U$1,H$1)</f>
        <v>0</v>
      </c>
      <c r="I342" s="140">
        <f>SUMIFS('recurring2_based on steps'!$B342:$AY342,'recurring2_based on steps'!$B$1:$AY$1,I$1)+SUMIFS('changes2_based on steps'!$B342:$U342,'changes2_based on steps'!$B$1:$U$1,I$1)</f>
        <v>0</v>
      </c>
      <c r="J342" s="140">
        <f ca="1">SUMIFS('recurring2_based on steps'!$B342:$AY342,'recurring2_based on steps'!$B$1:$AY$1,J$1)+SUMIFS('changes2_based on steps'!$B342:$U342,'changes2_based on steps'!$B$1:$U$1,J$1)</f>
        <v>0</v>
      </c>
      <c r="K342" s="140">
        <f>SUMIFS('recurring2_based on steps'!$B342:$AY342,'recurring2_based on steps'!$B$1:$AY$1,K$1)+SUMIFS('changes2_based on steps'!$B342:$U342,'changes2_based on steps'!$B$1:$U$1,K$1)</f>
        <v>0</v>
      </c>
      <c r="L342" s="140">
        <f>SUMIFS('recurring2_based on steps'!$B342:$AY342,'recurring2_based on steps'!$B$1:$AY$1,L$1)+SUMIFS('changes2_based on steps'!$B342:$U342,'changes2_based on steps'!$B$1:$U$1,L$1)</f>
        <v>0</v>
      </c>
      <c r="M342" s="140">
        <f>SUMIFS('recurring2_based on steps'!$B342:$AY342,'recurring2_based on steps'!$B$1:$AY$1,M$1)+SUMIFS('changes2_based on steps'!$B342:$U342,'changes2_based on steps'!$B$1:$U$1,M$1)</f>
        <v>0</v>
      </c>
      <c r="N342" s="140">
        <f ca="1">SUMIFS('recurring2_based on steps'!$B342:$AY342,'recurring2_based on steps'!$B$1:$AY$1,N$1)+SUMIFS('changes2_based on steps'!$B342:$U342,'changes2_based on steps'!$B$1:$U$1,N$1)</f>
        <v>0</v>
      </c>
      <c r="O342" s="140">
        <f>SUMIFS('recurring2_based on steps'!$B342:$AY342,'recurring2_based on steps'!$B$1:$AY$1,O$1)+SUMIFS('changes2_based on steps'!$B342:$U342,'changes2_based on steps'!$B$1:$U$1,O$1)</f>
        <v>0</v>
      </c>
      <c r="P342" s="140">
        <f ca="1">SUMIFS('recurring2_based on steps'!$B342:$AY342,'recurring2_based on steps'!$B$1:$AY$1,P$1)+SUMIFS('changes2_based on steps'!$B342:$U342,'changes2_based on steps'!$B$1:$U$1,P$1)</f>
        <v>0</v>
      </c>
      <c r="Q342" s="140">
        <f ca="1">SUMIFS('recurring2_based on steps'!$B342:$AY342,'recurring2_based on steps'!$B$1:$AY$1,Q$1)+SUMIFS('changes2_based on steps'!$B342:$U342,'changes2_based on steps'!$B$1:$U$1,Q$1)</f>
        <v>100.05540166204986</v>
      </c>
      <c r="R342" s="140">
        <f ca="1">SUMIFS('recurring2_based on steps'!$B342:$AY342,'recurring2_based on steps'!$B$1:$AY$1,R$1)+SUMIFS('changes2_based on steps'!$B342:$U342,'changes2_based on steps'!$B$1:$U$1,R$1)</f>
        <v>0</v>
      </c>
      <c r="S342" s="140">
        <f>SUMIFS('recurring2_based on steps'!$B342:$AY342,'recurring2_based on steps'!$B$1:$AY$1,S$1)+SUMIFS('changes2_based on steps'!$B342:$U342,'changes2_based on steps'!$B$1:$U$1,S$1)</f>
        <v>0</v>
      </c>
      <c r="T342" s="140">
        <f ca="1">SUMIFS('recurring2_based on steps'!$B342:$AY342,'recurring2_based on steps'!$B$1:$AY$1,T$1)+SUMIFS('changes2_based on steps'!$B342:$U342,'changes2_based on steps'!$B$1:$U$1,T$1)</f>
        <v>0</v>
      </c>
      <c r="U342" s="140">
        <f ca="1">SUMIFS('recurring2_based on steps'!$B342:$AY342,'recurring2_based on steps'!$B$1:$AY$1,U$1)+SUMIFS('changes2_based on steps'!$B342:$U342,'changes2_based on steps'!$B$1:$U$1,U$1)</f>
        <v>0</v>
      </c>
      <c r="V342" s="140">
        <f>SUMIFS('recurring2_based on steps'!$B342:$AY342,'recurring2_based on steps'!$B$1:$AY$1,V$1)+SUMIFS('changes2_based on steps'!$B342:$U342,'changes2_based on steps'!$B$1:$U$1,V$1)</f>
        <v>0</v>
      </c>
      <c r="W342" s="140">
        <f>SUMIFS('recurring2_based on steps'!$B342:$AY342,'recurring2_based on steps'!$B$1:$AY$1,W$1)+SUMIFS('changes2_based on steps'!$B342:$U342,'changes2_based on steps'!$B$1:$U$1,W$1)</f>
        <v>0</v>
      </c>
      <c r="X342" s="140">
        <f ca="1">SUMIFS('recurring2_based on steps'!$B342:$AY342,'recurring2_based on steps'!$B$1:$AY$1,X$1)+SUMIFS('changes2_based on steps'!$B342:$U342,'changes2_based on steps'!$B$1:$U$1,X$1)</f>
        <v>0</v>
      </c>
      <c r="Y342" s="140">
        <f ca="1">SUMIFS('recurring2_based on steps'!$B342:$AY342,'recurring2_based on steps'!$B$1:$AY$1,Y$1)+SUMIFS('changes2_based on steps'!$B342:$U342,'changes2_based on steps'!$B$1:$U$1,Y$1)</f>
        <v>50</v>
      </c>
      <c r="Z342" s="140">
        <f>SUMIFS('recurring2_based on steps'!$B342:$AY342,'recurring2_based on steps'!$B$1:$AY$1,Z$1)+SUMIFS('changes2_based on steps'!$B342:$U342,'changes2_based on steps'!$B$1:$U$1,Z$1)</f>
        <v>0</v>
      </c>
      <c r="AA342" s="140">
        <f ca="1">SUMIFS('recurring2_based on steps'!$B342:$AY342,'recurring2_based on steps'!$B$1:$AY$1,AA$1)+SUMIFS('changes2_based on steps'!$B342:$U342,'changes2_based on steps'!$B$1:$U$1,AA$1)</f>
        <v>0</v>
      </c>
      <c r="AB342" s="140">
        <f ca="1">SUMIFS('recurring2_based on steps'!$B342:$AY342,'recurring2_based on steps'!$B$1:$AY$1,AB$1)+SUMIFS('changes2_based on steps'!$B342:$U342,'changes2_based on steps'!$B$1:$U$1,AB$1)</f>
        <v>0</v>
      </c>
      <c r="AC342" s="140">
        <f ca="1">SUMIFS('recurring2_based on steps'!$B342:$AY342,'recurring2_based on steps'!$B$1:$AY$1,AC$1)+SUMIFS('changes2_based on steps'!$B342:$U342,'changes2_based on steps'!$B$1:$U$1,AC$1)</f>
        <v>0</v>
      </c>
      <c r="AD342" s="140">
        <f ca="1">SUMIFS('recurring2_based on steps'!$B342:$AY342,'recurring2_based on steps'!$B$1:$AY$1,AD$1)+SUMIFS('changes2_based on steps'!$B342:$U342,'changes2_based on steps'!$B$1:$U$1,AD$1)</f>
        <v>0</v>
      </c>
      <c r="AE342" s="140">
        <f>SUMIFS('recurring2_based on steps'!$B342:$AY342,'recurring2_based on steps'!$B$1:$AY$1,AE$1)+SUMIFS('changes2_based on steps'!$B342:$U342,'changes2_based on steps'!$B$1:$U$1,AE$1)</f>
        <v>0</v>
      </c>
      <c r="AF342" s="140"/>
      <c r="AG342" s="140"/>
      <c r="AH342" s="140"/>
      <c r="AI342" s="140"/>
      <c r="AJ342" s="140"/>
      <c r="AK342" s="140"/>
      <c r="AL342" s="140"/>
      <c r="AM342" s="140"/>
    </row>
    <row r="343" spans="1:39" x14ac:dyDescent="0.2">
      <c r="A343" s="29">
        <f t="shared" ca="1" si="5"/>
        <v>46083</v>
      </c>
      <c r="B343" s="140">
        <f ca="1">SUMIFS('recurring2_based on steps'!$B343:$AY343,'recurring2_based on steps'!$B$1:$AY$1,B$1)+SUMIFS('changes2_based on steps'!$B343:$U343,'changes2_based on steps'!$B$1:$U$1,B$1)</f>
        <v>0</v>
      </c>
      <c r="C343" s="140">
        <f>SUMIFS('recurring2_based on steps'!$B343:$AY343,'recurring2_based on steps'!$B$1:$AY$1,C$1)+SUMIFS('changes2_based on steps'!$B343:$U343,'changes2_based on steps'!$B$1:$U$1,C$1)</f>
        <v>0</v>
      </c>
      <c r="D343" s="140">
        <f>SUMIFS('recurring2_based on steps'!$B343:$AY343,'recurring2_based on steps'!$B$1:$AY$1,D$1)+SUMIFS('changes2_based on steps'!$B343:$U343,'changes2_based on steps'!$B$1:$U$1,D$1)</f>
        <v>0</v>
      </c>
      <c r="E343" s="140">
        <f>SUMIFS('recurring2_based on steps'!$B343:$AY343,'recurring2_based on steps'!$B$1:$AY$1,E$1)+SUMIFS('changes2_based on steps'!$B343:$U343,'changes2_based on steps'!$B$1:$U$1,E$1)</f>
        <v>0</v>
      </c>
      <c r="F343" s="140">
        <f>SUMIFS('recurring2_based on steps'!$B343:$AY343,'recurring2_based on steps'!$B$1:$AY$1,F$1)+SUMIFS('changes2_based on steps'!$B343:$U343,'changes2_based on steps'!$B$1:$U$1,F$1)</f>
        <v>0</v>
      </c>
      <c r="G343" s="140">
        <f>SUMIFS('recurring2_based on steps'!$B343:$AY343,'recurring2_based on steps'!$B$1:$AY$1,G$1)+SUMIFS('changes2_based on steps'!$B343:$U343,'changes2_based on steps'!$B$1:$U$1,G$1)</f>
        <v>0</v>
      </c>
      <c r="H343" s="140">
        <f>SUMIFS('recurring2_based on steps'!$B343:$AY343,'recurring2_based on steps'!$B$1:$AY$1,H$1)+SUMIFS('changes2_based on steps'!$B343:$U343,'changes2_based on steps'!$B$1:$U$1,H$1)</f>
        <v>0</v>
      </c>
      <c r="I343" s="140">
        <f>SUMIFS('recurring2_based on steps'!$B343:$AY343,'recurring2_based on steps'!$B$1:$AY$1,I$1)+SUMIFS('changes2_based on steps'!$B343:$U343,'changes2_based on steps'!$B$1:$U$1,I$1)</f>
        <v>0</v>
      </c>
      <c r="J343" s="140">
        <f ca="1">SUMIFS('recurring2_based on steps'!$B343:$AY343,'recurring2_based on steps'!$B$1:$AY$1,J$1)+SUMIFS('changes2_based on steps'!$B343:$U343,'changes2_based on steps'!$B$1:$U$1,J$1)</f>
        <v>0</v>
      </c>
      <c r="K343" s="140">
        <f>SUMIFS('recurring2_based on steps'!$B343:$AY343,'recurring2_based on steps'!$B$1:$AY$1,K$1)+SUMIFS('changes2_based on steps'!$B343:$U343,'changes2_based on steps'!$B$1:$U$1,K$1)</f>
        <v>0</v>
      </c>
      <c r="L343" s="140">
        <f>SUMIFS('recurring2_based on steps'!$B343:$AY343,'recurring2_based on steps'!$B$1:$AY$1,L$1)+SUMIFS('changes2_based on steps'!$B343:$U343,'changes2_based on steps'!$B$1:$U$1,L$1)</f>
        <v>0</v>
      </c>
      <c r="M343" s="140">
        <f>SUMIFS('recurring2_based on steps'!$B343:$AY343,'recurring2_based on steps'!$B$1:$AY$1,M$1)+SUMIFS('changes2_based on steps'!$B343:$U343,'changes2_based on steps'!$B$1:$U$1,M$1)</f>
        <v>0</v>
      </c>
      <c r="N343" s="140">
        <f ca="1">SUMIFS('recurring2_based on steps'!$B343:$AY343,'recurring2_based on steps'!$B$1:$AY$1,N$1)+SUMIFS('changes2_based on steps'!$B343:$U343,'changes2_based on steps'!$B$1:$U$1,N$1)</f>
        <v>0</v>
      </c>
      <c r="O343" s="140">
        <f>SUMIFS('recurring2_based on steps'!$B343:$AY343,'recurring2_based on steps'!$B$1:$AY$1,O$1)+SUMIFS('changes2_based on steps'!$B343:$U343,'changes2_based on steps'!$B$1:$U$1,O$1)</f>
        <v>0</v>
      </c>
      <c r="P343" s="140">
        <f ca="1">SUMIFS('recurring2_based on steps'!$B343:$AY343,'recurring2_based on steps'!$B$1:$AY$1,P$1)+SUMIFS('changes2_based on steps'!$B343:$U343,'changes2_based on steps'!$B$1:$U$1,P$1)</f>
        <v>0</v>
      </c>
      <c r="Q343" s="140">
        <f ca="1">SUMIFS('recurring2_based on steps'!$B343:$AY343,'recurring2_based on steps'!$B$1:$AY$1,Q$1)+SUMIFS('changes2_based on steps'!$B343:$U343,'changes2_based on steps'!$B$1:$U$1,Q$1)</f>
        <v>5.5401662049861494E-2</v>
      </c>
      <c r="R343" s="140">
        <f ca="1">SUMIFS('recurring2_based on steps'!$B343:$AY343,'recurring2_based on steps'!$B$1:$AY$1,R$1)+SUMIFS('changes2_based on steps'!$B343:$U343,'changes2_based on steps'!$B$1:$U$1,R$1)</f>
        <v>0</v>
      </c>
      <c r="S343" s="140">
        <f>SUMIFS('recurring2_based on steps'!$B343:$AY343,'recurring2_based on steps'!$B$1:$AY$1,S$1)+SUMIFS('changes2_based on steps'!$B343:$U343,'changes2_based on steps'!$B$1:$U$1,S$1)</f>
        <v>0</v>
      </c>
      <c r="T343" s="140">
        <f ca="1">SUMIFS('recurring2_based on steps'!$B343:$AY343,'recurring2_based on steps'!$B$1:$AY$1,T$1)+SUMIFS('changes2_based on steps'!$B343:$U343,'changes2_based on steps'!$B$1:$U$1,T$1)</f>
        <v>0</v>
      </c>
      <c r="U343" s="140">
        <f ca="1">SUMIFS('recurring2_based on steps'!$B343:$AY343,'recurring2_based on steps'!$B$1:$AY$1,U$1)+SUMIFS('changes2_based on steps'!$B343:$U343,'changes2_based on steps'!$B$1:$U$1,U$1)</f>
        <v>0</v>
      </c>
      <c r="V343" s="140">
        <f>SUMIFS('recurring2_based on steps'!$B343:$AY343,'recurring2_based on steps'!$B$1:$AY$1,V$1)+SUMIFS('changes2_based on steps'!$B343:$U343,'changes2_based on steps'!$B$1:$U$1,V$1)</f>
        <v>0</v>
      </c>
      <c r="W343" s="140">
        <f>SUMIFS('recurring2_based on steps'!$B343:$AY343,'recurring2_based on steps'!$B$1:$AY$1,W$1)+SUMIFS('changes2_based on steps'!$B343:$U343,'changes2_based on steps'!$B$1:$U$1,W$1)</f>
        <v>0</v>
      </c>
      <c r="X343" s="140">
        <f ca="1">SUMIFS('recurring2_based on steps'!$B343:$AY343,'recurring2_based on steps'!$B$1:$AY$1,X$1)+SUMIFS('changes2_based on steps'!$B343:$U343,'changes2_based on steps'!$B$1:$U$1,X$1)</f>
        <v>0</v>
      </c>
      <c r="Y343" s="140">
        <f ca="1">SUMIFS('recurring2_based on steps'!$B343:$AY343,'recurring2_based on steps'!$B$1:$AY$1,Y$1)+SUMIFS('changes2_based on steps'!$B343:$U343,'changes2_based on steps'!$B$1:$U$1,Y$1)</f>
        <v>0</v>
      </c>
      <c r="Z343" s="140">
        <f>SUMIFS('recurring2_based on steps'!$B343:$AY343,'recurring2_based on steps'!$B$1:$AY$1,Z$1)+SUMIFS('changes2_based on steps'!$B343:$U343,'changes2_based on steps'!$B$1:$U$1,Z$1)</f>
        <v>0</v>
      </c>
      <c r="AA343" s="140">
        <f ca="1">SUMIFS('recurring2_based on steps'!$B343:$AY343,'recurring2_based on steps'!$B$1:$AY$1,AA$1)+SUMIFS('changes2_based on steps'!$B343:$U343,'changes2_based on steps'!$B$1:$U$1,AA$1)</f>
        <v>0</v>
      </c>
      <c r="AB343" s="140">
        <f ca="1">SUMIFS('recurring2_based on steps'!$B343:$AY343,'recurring2_based on steps'!$B$1:$AY$1,AB$1)+SUMIFS('changes2_based on steps'!$B343:$U343,'changes2_based on steps'!$B$1:$U$1,AB$1)</f>
        <v>0</v>
      </c>
      <c r="AC343" s="140">
        <f ca="1">SUMIFS('recurring2_based on steps'!$B343:$AY343,'recurring2_based on steps'!$B$1:$AY$1,AC$1)+SUMIFS('changes2_based on steps'!$B343:$U343,'changes2_based on steps'!$B$1:$U$1,AC$1)</f>
        <v>0</v>
      </c>
      <c r="AD343" s="140">
        <f ca="1">SUMIFS('recurring2_based on steps'!$B343:$AY343,'recurring2_based on steps'!$B$1:$AY$1,AD$1)+SUMIFS('changes2_based on steps'!$B343:$U343,'changes2_based on steps'!$B$1:$U$1,AD$1)</f>
        <v>0</v>
      </c>
      <c r="AE343" s="140">
        <f>SUMIFS('recurring2_based on steps'!$B343:$AY343,'recurring2_based on steps'!$B$1:$AY$1,AE$1)+SUMIFS('changes2_based on steps'!$B343:$U343,'changes2_based on steps'!$B$1:$U$1,AE$1)</f>
        <v>0</v>
      </c>
      <c r="AF343" s="140"/>
      <c r="AG343" s="140"/>
      <c r="AH343" s="140"/>
      <c r="AI343" s="140"/>
      <c r="AJ343" s="140"/>
      <c r="AK343" s="140"/>
      <c r="AL343" s="140"/>
      <c r="AM343" s="140"/>
    </row>
    <row r="344" spans="1:39" x14ac:dyDescent="0.2">
      <c r="A344" s="29">
        <f t="shared" ca="1" si="5"/>
        <v>46084</v>
      </c>
      <c r="B344" s="140">
        <f ca="1">SUMIFS('recurring2_based on steps'!$B344:$AY344,'recurring2_based on steps'!$B$1:$AY$1,B$1)+SUMIFS('changes2_based on steps'!$B344:$U344,'changes2_based on steps'!$B$1:$U$1,B$1)</f>
        <v>0</v>
      </c>
      <c r="C344" s="140">
        <f>SUMIFS('recurring2_based on steps'!$B344:$AY344,'recurring2_based on steps'!$B$1:$AY$1,C$1)+SUMIFS('changes2_based on steps'!$B344:$U344,'changes2_based on steps'!$B$1:$U$1,C$1)</f>
        <v>0</v>
      </c>
      <c r="D344" s="140">
        <f>SUMIFS('recurring2_based on steps'!$B344:$AY344,'recurring2_based on steps'!$B$1:$AY$1,D$1)+SUMIFS('changes2_based on steps'!$B344:$U344,'changes2_based on steps'!$B$1:$U$1,D$1)</f>
        <v>0</v>
      </c>
      <c r="E344" s="140">
        <f>SUMIFS('recurring2_based on steps'!$B344:$AY344,'recurring2_based on steps'!$B$1:$AY$1,E$1)+SUMIFS('changes2_based on steps'!$B344:$U344,'changes2_based on steps'!$B$1:$U$1,E$1)</f>
        <v>0</v>
      </c>
      <c r="F344" s="140">
        <f>SUMIFS('recurring2_based on steps'!$B344:$AY344,'recurring2_based on steps'!$B$1:$AY$1,F$1)+SUMIFS('changes2_based on steps'!$B344:$U344,'changes2_based on steps'!$B$1:$U$1,F$1)</f>
        <v>0</v>
      </c>
      <c r="G344" s="140">
        <f>SUMIFS('recurring2_based on steps'!$B344:$AY344,'recurring2_based on steps'!$B$1:$AY$1,G$1)+SUMIFS('changes2_based on steps'!$B344:$U344,'changes2_based on steps'!$B$1:$U$1,G$1)</f>
        <v>0</v>
      </c>
      <c r="H344" s="140">
        <f>SUMIFS('recurring2_based on steps'!$B344:$AY344,'recurring2_based on steps'!$B$1:$AY$1,H$1)+SUMIFS('changes2_based on steps'!$B344:$U344,'changes2_based on steps'!$B$1:$U$1,H$1)</f>
        <v>0</v>
      </c>
      <c r="I344" s="140">
        <f>SUMIFS('recurring2_based on steps'!$B344:$AY344,'recurring2_based on steps'!$B$1:$AY$1,I$1)+SUMIFS('changes2_based on steps'!$B344:$U344,'changes2_based on steps'!$B$1:$U$1,I$1)</f>
        <v>0</v>
      </c>
      <c r="J344" s="140">
        <f ca="1">SUMIFS('recurring2_based on steps'!$B344:$AY344,'recurring2_based on steps'!$B$1:$AY$1,J$1)+SUMIFS('changes2_based on steps'!$B344:$U344,'changes2_based on steps'!$B$1:$U$1,J$1)</f>
        <v>0</v>
      </c>
      <c r="K344" s="140">
        <f>SUMIFS('recurring2_based on steps'!$B344:$AY344,'recurring2_based on steps'!$B$1:$AY$1,K$1)+SUMIFS('changes2_based on steps'!$B344:$U344,'changes2_based on steps'!$B$1:$U$1,K$1)</f>
        <v>0</v>
      </c>
      <c r="L344" s="140">
        <f>SUMIFS('recurring2_based on steps'!$B344:$AY344,'recurring2_based on steps'!$B$1:$AY$1,L$1)+SUMIFS('changes2_based on steps'!$B344:$U344,'changes2_based on steps'!$B$1:$U$1,L$1)</f>
        <v>0</v>
      </c>
      <c r="M344" s="140">
        <f>SUMIFS('recurring2_based on steps'!$B344:$AY344,'recurring2_based on steps'!$B$1:$AY$1,M$1)+SUMIFS('changes2_based on steps'!$B344:$U344,'changes2_based on steps'!$B$1:$U$1,M$1)</f>
        <v>0</v>
      </c>
      <c r="N344" s="140">
        <f ca="1">SUMIFS('recurring2_based on steps'!$B344:$AY344,'recurring2_based on steps'!$B$1:$AY$1,N$1)+SUMIFS('changes2_based on steps'!$B344:$U344,'changes2_based on steps'!$B$1:$U$1,N$1)</f>
        <v>0</v>
      </c>
      <c r="O344" s="140">
        <f>SUMIFS('recurring2_based on steps'!$B344:$AY344,'recurring2_based on steps'!$B$1:$AY$1,O$1)+SUMIFS('changes2_based on steps'!$B344:$U344,'changes2_based on steps'!$B$1:$U$1,O$1)</f>
        <v>0</v>
      </c>
      <c r="P344" s="140">
        <f ca="1">SUMIFS('recurring2_based on steps'!$B344:$AY344,'recurring2_based on steps'!$B$1:$AY$1,P$1)+SUMIFS('changes2_based on steps'!$B344:$U344,'changes2_based on steps'!$B$1:$U$1,P$1)</f>
        <v>0</v>
      </c>
      <c r="Q344" s="140">
        <f ca="1">SUMIFS('recurring2_based on steps'!$B344:$AY344,'recurring2_based on steps'!$B$1:$AY$1,Q$1)+SUMIFS('changes2_based on steps'!$B344:$U344,'changes2_based on steps'!$B$1:$U$1,Q$1)</f>
        <v>5.5401662049861494E-2</v>
      </c>
      <c r="R344" s="140">
        <f ca="1">SUMIFS('recurring2_based on steps'!$B344:$AY344,'recurring2_based on steps'!$B$1:$AY$1,R$1)+SUMIFS('changes2_based on steps'!$B344:$U344,'changes2_based on steps'!$B$1:$U$1,R$1)</f>
        <v>0</v>
      </c>
      <c r="S344" s="140">
        <f>SUMIFS('recurring2_based on steps'!$B344:$AY344,'recurring2_based on steps'!$B$1:$AY$1,S$1)+SUMIFS('changes2_based on steps'!$B344:$U344,'changes2_based on steps'!$B$1:$U$1,S$1)</f>
        <v>0</v>
      </c>
      <c r="T344" s="140">
        <f ca="1">SUMIFS('recurring2_based on steps'!$B344:$AY344,'recurring2_based on steps'!$B$1:$AY$1,T$1)+SUMIFS('changes2_based on steps'!$B344:$U344,'changes2_based on steps'!$B$1:$U$1,T$1)</f>
        <v>0</v>
      </c>
      <c r="U344" s="140">
        <f ca="1">SUMIFS('recurring2_based on steps'!$B344:$AY344,'recurring2_based on steps'!$B$1:$AY$1,U$1)+SUMIFS('changes2_based on steps'!$B344:$U344,'changes2_based on steps'!$B$1:$U$1,U$1)</f>
        <v>0</v>
      </c>
      <c r="V344" s="140">
        <f>SUMIFS('recurring2_based on steps'!$B344:$AY344,'recurring2_based on steps'!$B$1:$AY$1,V$1)+SUMIFS('changes2_based on steps'!$B344:$U344,'changes2_based on steps'!$B$1:$U$1,V$1)</f>
        <v>0</v>
      </c>
      <c r="W344" s="140">
        <f>SUMIFS('recurring2_based on steps'!$B344:$AY344,'recurring2_based on steps'!$B$1:$AY$1,W$1)+SUMIFS('changes2_based on steps'!$B344:$U344,'changes2_based on steps'!$B$1:$U$1,W$1)</f>
        <v>0</v>
      </c>
      <c r="X344" s="140">
        <f ca="1">SUMIFS('recurring2_based on steps'!$B344:$AY344,'recurring2_based on steps'!$B$1:$AY$1,X$1)+SUMIFS('changes2_based on steps'!$B344:$U344,'changes2_based on steps'!$B$1:$U$1,X$1)</f>
        <v>0</v>
      </c>
      <c r="Y344" s="140">
        <f ca="1">SUMIFS('recurring2_based on steps'!$B344:$AY344,'recurring2_based on steps'!$B$1:$AY$1,Y$1)+SUMIFS('changes2_based on steps'!$B344:$U344,'changes2_based on steps'!$B$1:$U$1,Y$1)</f>
        <v>0</v>
      </c>
      <c r="Z344" s="140">
        <f>SUMIFS('recurring2_based on steps'!$B344:$AY344,'recurring2_based on steps'!$B$1:$AY$1,Z$1)+SUMIFS('changes2_based on steps'!$B344:$U344,'changes2_based on steps'!$B$1:$U$1,Z$1)</f>
        <v>0</v>
      </c>
      <c r="AA344" s="140">
        <f ca="1">SUMIFS('recurring2_based on steps'!$B344:$AY344,'recurring2_based on steps'!$B$1:$AY$1,AA$1)+SUMIFS('changes2_based on steps'!$B344:$U344,'changes2_based on steps'!$B$1:$U$1,AA$1)</f>
        <v>0</v>
      </c>
      <c r="AB344" s="140">
        <f ca="1">SUMIFS('recurring2_based on steps'!$B344:$AY344,'recurring2_based on steps'!$B$1:$AY$1,AB$1)+SUMIFS('changes2_based on steps'!$B344:$U344,'changes2_based on steps'!$B$1:$U$1,AB$1)</f>
        <v>0</v>
      </c>
      <c r="AC344" s="140">
        <f ca="1">SUMIFS('recurring2_based on steps'!$B344:$AY344,'recurring2_based on steps'!$B$1:$AY$1,AC$1)+SUMIFS('changes2_based on steps'!$B344:$U344,'changes2_based on steps'!$B$1:$U$1,AC$1)</f>
        <v>0</v>
      </c>
      <c r="AD344" s="140">
        <f ca="1">SUMIFS('recurring2_based on steps'!$B344:$AY344,'recurring2_based on steps'!$B$1:$AY$1,AD$1)+SUMIFS('changes2_based on steps'!$B344:$U344,'changes2_based on steps'!$B$1:$U$1,AD$1)</f>
        <v>0</v>
      </c>
      <c r="AE344" s="140">
        <f>SUMIFS('recurring2_based on steps'!$B344:$AY344,'recurring2_based on steps'!$B$1:$AY$1,AE$1)+SUMIFS('changes2_based on steps'!$B344:$U344,'changes2_based on steps'!$B$1:$U$1,AE$1)</f>
        <v>0</v>
      </c>
      <c r="AF344" s="140"/>
      <c r="AG344" s="140"/>
      <c r="AH344" s="140"/>
      <c r="AI344" s="140"/>
      <c r="AJ344" s="140"/>
      <c r="AK344" s="140"/>
      <c r="AL344" s="140"/>
      <c r="AM344" s="140"/>
    </row>
    <row r="345" spans="1:39" x14ac:dyDescent="0.2">
      <c r="A345" s="29">
        <f t="shared" ca="1" si="5"/>
        <v>46085</v>
      </c>
      <c r="B345" s="140">
        <f ca="1">SUMIFS('recurring2_based on steps'!$B345:$AY345,'recurring2_based on steps'!$B$1:$AY$1,B$1)+SUMIFS('changes2_based on steps'!$B345:$U345,'changes2_based on steps'!$B$1:$U$1,B$1)</f>
        <v>0</v>
      </c>
      <c r="C345" s="140">
        <f>SUMIFS('recurring2_based on steps'!$B345:$AY345,'recurring2_based on steps'!$B$1:$AY$1,C$1)+SUMIFS('changes2_based on steps'!$B345:$U345,'changes2_based on steps'!$B$1:$U$1,C$1)</f>
        <v>0</v>
      </c>
      <c r="D345" s="140">
        <f>SUMIFS('recurring2_based on steps'!$B345:$AY345,'recurring2_based on steps'!$B$1:$AY$1,D$1)+SUMIFS('changes2_based on steps'!$B345:$U345,'changes2_based on steps'!$B$1:$U$1,D$1)</f>
        <v>0</v>
      </c>
      <c r="E345" s="140">
        <f>SUMIFS('recurring2_based on steps'!$B345:$AY345,'recurring2_based on steps'!$B$1:$AY$1,E$1)+SUMIFS('changes2_based on steps'!$B345:$U345,'changes2_based on steps'!$B$1:$U$1,E$1)</f>
        <v>0</v>
      </c>
      <c r="F345" s="140">
        <f>SUMIFS('recurring2_based on steps'!$B345:$AY345,'recurring2_based on steps'!$B$1:$AY$1,F$1)+SUMIFS('changes2_based on steps'!$B345:$U345,'changes2_based on steps'!$B$1:$U$1,F$1)</f>
        <v>0</v>
      </c>
      <c r="G345" s="140">
        <f>SUMIFS('recurring2_based on steps'!$B345:$AY345,'recurring2_based on steps'!$B$1:$AY$1,G$1)+SUMIFS('changes2_based on steps'!$B345:$U345,'changes2_based on steps'!$B$1:$U$1,G$1)</f>
        <v>0</v>
      </c>
      <c r="H345" s="140">
        <f>SUMIFS('recurring2_based on steps'!$B345:$AY345,'recurring2_based on steps'!$B$1:$AY$1,H$1)+SUMIFS('changes2_based on steps'!$B345:$U345,'changes2_based on steps'!$B$1:$U$1,H$1)</f>
        <v>0</v>
      </c>
      <c r="I345" s="140">
        <f>SUMIFS('recurring2_based on steps'!$B345:$AY345,'recurring2_based on steps'!$B$1:$AY$1,I$1)+SUMIFS('changes2_based on steps'!$B345:$U345,'changes2_based on steps'!$B$1:$U$1,I$1)</f>
        <v>0</v>
      </c>
      <c r="J345" s="140">
        <f ca="1">SUMIFS('recurring2_based on steps'!$B345:$AY345,'recurring2_based on steps'!$B$1:$AY$1,J$1)+SUMIFS('changes2_based on steps'!$B345:$U345,'changes2_based on steps'!$B$1:$U$1,J$1)</f>
        <v>0</v>
      </c>
      <c r="K345" s="140">
        <f>SUMIFS('recurring2_based on steps'!$B345:$AY345,'recurring2_based on steps'!$B$1:$AY$1,K$1)+SUMIFS('changes2_based on steps'!$B345:$U345,'changes2_based on steps'!$B$1:$U$1,K$1)</f>
        <v>0</v>
      </c>
      <c r="L345" s="140">
        <f>SUMIFS('recurring2_based on steps'!$B345:$AY345,'recurring2_based on steps'!$B$1:$AY$1,L$1)+SUMIFS('changes2_based on steps'!$B345:$U345,'changes2_based on steps'!$B$1:$U$1,L$1)</f>
        <v>0</v>
      </c>
      <c r="M345" s="140">
        <f>SUMIFS('recurring2_based on steps'!$B345:$AY345,'recurring2_based on steps'!$B$1:$AY$1,M$1)+SUMIFS('changes2_based on steps'!$B345:$U345,'changes2_based on steps'!$B$1:$U$1,M$1)</f>
        <v>0</v>
      </c>
      <c r="N345" s="140">
        <f ca="1">SUMIFS('recurring2_based on steps'!$B345:$AY345,'recurring2_based on steps'!$B$1:$AY$1,N$1)+SUMIFS('changes2_based on steps'!$B345:$U345,'changes2_based on steps'!$B$1:$U$1,N$1)</f>
        <v>0</v>
      </c>
      <c r="O345" s="140">
        <f>SUMIFS('recurring2_based on steps'!$B345:$AY345,'recurring2_based on steps'!$B$1:$AY$1,O$1)+SUMIFS('changes2_based on steps'!$B345:$U345,'changes2_based on steps'!$B$1:$U$1,O$1)</f>
        <v>0</v>
      </c>
      <c r="P345" s="140">
        <f ca="1">SUMIFS('recurring2_based on steps'!$B345:$AY345,'recurring2_based on steps'!$B$1:$AY$1,P$1)+SUMIFS('changes2_based on steps'!$B345:$U345,'changes2_based on steps'!$B$1:$U$1,P$1)</f>
        <v>0</v>
      </c>
      <c r="Q345" s="140">
        <f ca="1">SUMIFS('recurring2_based on steps'!$B345:$AY345,'recurring2_based on steps'!$B$1:$AY$1,Q$1)+SUMIFS('changes2_based on steps'!$B345:$U345,'changes2_based on steps'!$B$1:$U$1,Q$1)</f>
        <v>5.5401662049861494E-2</v>
      </c>
      <c r="R345" s="140">
        <f ca="1">SUMIFS('recurring2_based on steps'!$B345:$AY345,'recurring2_based on steps'!$B$1:$AY$1,R$1)+SUMIFS('changes2_based on steps'!$B345:$U345,'changes2_based on steps'!$B$1:$U$1,R$1)</f>
        <v>0</v>
      </c>
      <c r="S345" s="140">
        <f>SUMIFS('recurring2_based on steps'!$B345:$AY345,'recurring2_based on steps'!$B$1:$AY$1,S$1)+SUMIFS('changes2_based on steps'!$B345:$U345,'changes2_based on steps'!$B$1:$U$1,S$1)</f>
        <v>0</v>
      </c>
      <c r="T345" s="140">
        <f ca="1">SUMIFS('recurring2_based on steps'!$B345:$AY345,'recurring2_based on steps'!$B$1:$AY$1,T$1)+SUMIFS('changes2_based on steps'!$B345:$U345,'changes2_based on steps'!$B$1:$U$1,T$1)</f>
        <v>0</v>
      </c>
      <c r="U345" s="140">
        <f ca="1">SUMIFS('recurring2_based on steps'!$B345:$AY345,'recurring2_based on steps'!$B$1:$AY$1,U$1)+SUMIFS('changes2_based on steps'!$B345:$U345,'changes2_based on steps'!$B$1:$U$1,U$1)</f>
        <v>0</v>
      </c>
      <c r="V345" s="140">
        <f>SUMIFS('recurring2_based on steps'!$B345:$AY345,'recurring2_based on steps'!$B$1:$AY$1,V$1)+SUMIFS('changes2_based on steps'!$B345:$U345,'changes2_based on steps'!$B$1:$U$1,V$1)</f>
        <v>0</v>
      </c>
      <c r="W345" s="140">
        <f>SUMIFS('recurring2_based on steps'!$B345:$AY345,'recurring2_based on steps'!$B$1:$AY$1,W$1)+SUMIFS('changes2_based on steps'!$B345:$U345,'changes2_based on steps'!$B$1:$U$1,W$1)</f>
        <v>0</v>
      </c>
      <c r="X345" s="140">
        <f ca="1">SUMIFS('recurring2_based on steps'!$B345:$AY345,'recurring2_based on steps'!$B$1:$AY$1,X$1)+SUMIFS('changes2_based on steps'!$B345:$U345,'changes2_based on steps'!$B$1:$U$1,X$1)</f>
        <v>0</v>
      </c>
      <c r="Y345" s="140">
        <f ca="1">SUMIFS('recurring2_based on steps'!$B345:$AY345,'recurring2_based on steps'!$B$1:$AY$1,Y$1)+SUMIFS('changes2_based on steps'!$B345:$U345,'changes2_based on steps'!$B$1:$U$1,Y$1)</f>
        <v>0</v>
      </c>
      <c r="Z345" s="140">
        <f>SUMIFS('recurring2_based on steps'!$B345:$AY345,'recurring2_based on steps'!$B$1:$AY$1,Z$1)+SUMIFS('changes2_based on steps'!$B345:$U345,'changes2_based on steps'!$B$1:$U$1,Z$1)</f>
        <v>0</v>
      </c>
      <c r="AA345" s="140">
        <f ca="1">SUMIFS('recurring2_based on steps'!$B345:$AY345,'recurring2_based on steps'!$B$1:$AY$1,AA$1)+SUMIFS('changes2_based on steps'!$B345:$U345,'changes2_based on steps'!$B$1:$U$1,AA$1)</f>
        <v>0</v>
      </c>
      <c r="AB345" s="140">
        <f ca="1">SUMIFS('recurring2_based on steps'!$B345:$AY345,'recurring2_based on steps'!$B$1:$AY$1,AB$1)+SUMIFS('changes2_based on steps'!$B345:$U345,'changes2_based on steps'!$B$1:$U$1,AB$1)</f>
        <v>0</v>
      </c>
      <c r="AC345" s="140">
        <f ca="1">SUMIFS('recurring2_based on steps'!$B345:$AY345,'recurring2_based on steps'!$B$1:$AY$1,AC$1)+SUMIFS('changes2_based on steps'!$B345:$U345,'changes2_based on steps'!$B$1:$U$1,AC$1)</f>
        <v>0</v>
      </c>
      <c r="AD345" s="140">
        <f ca="1">SUMIFS('recurring2_based on steps'!$B345:$AY345,'recurring2_based on steps'!$B$1:$AY$1,AD$1)+SUMIFS('changes2_based on steps'!$B345:$U345,'changes2_based on steps'!$B$1:$U$1,AD$1)</f>
        <v>0</v>
      </c>
      <c r="AE345" s="140">
        <f>SUMIFS('recurring2_based on steps'!$B345:$AY345,'recurring2_based on steps'!$B$1:$AY$1,AE$1)+SUMIFS('changes2_based on steps'!$B345:$U345,'changes2_based on steps'!$B$1:$U$1,AE$1)</f>
        <v>0</v>
      </c>
      <c r="AF345" s="140"/>
      <c r="AG345" s="140"/>
      <c r="AH345" s="140"/>
      <c r="AI345" s="140"/>
      <c r="AJ345" s="140"/>
      <c r="AK345" s="140"/>
      <c r="AL345" s="140"/>
      <c r="AM345" s="140"/>
    </row>
    <row r="346" spans="1:39" x14ac:dyDescent="0.2">
      <c r="A346" s="29">
        <f t="shared" ca="1" si="5"/>
        <v>46086</v>
      </c>
      <c r="B346" s="140">
        <f ca="1">SUMIFS('recurring2_based on steps'!$B346:$AY346,'recurring2_based on steps'!$B$1:$AY$1,B$1)+SUMIFS('changes2_based on steps'!$B346:$U346,'changes2_based on steps'!$B$1:$U$1,B$1)</f>
        <v>0</v>
      </c>
      <c r="C346" s="140">
        <f>SUMIFS('recurring2_based on steps'!$B346:$AY346,'recurring2_based on steps'!$B$1:$AY$1,C$1)+SUMIFS('changes2_based on steps'!$B346:$U346,'changes2_based on steps'!$B$1:$U$1,C$1)</f>
        <v>0</v>
      </c>
      <c r="D346" s="140">
        <f>SUMIFS('recurring2_based on steps'!$B346:$AY346,'recurring2_based on steps'!$B$1:$AY$1,D$1)+SUMIFS('changes2_based on steps'!$B346:$U346,'changes2_based on steps'!$B$1:$U$1,D$1)</f>
        <v>0</v>
      </c>
      <c r="E346" s="140">
        <f>SUMIFS('recurring2_based on steps'!$B346:$AY346,'recurring2_based on steps'!$B$1:$AY$1,E$1)+SUMIFS('changes2_based on steps'!$B346:$U346,'changes2_based on steps'!$B$1:$U$1,E$1)</f>
        <v>0</v>
      </c>
      <c r="F346" s="140">
        <f>SUMIFS('recurring2_based on steps'!$B346:$AY346,'recurring2_based on steps'!$B$1:$AY$1,F$1)+SUMIFS('changes2_based on steps'!$B346:$U346,'changes2_based on steps'!$B$1:$U$1,F$1)</f>
        <v>0</v>
      </c>
      <c r="G346" s="140">
        <f>SUMIFS('recurring2_based on steps'!$B346:$AY346,'recurring2_based on steps'!$B$1:$AY$1,G$1)+SUMIFS('changes2_based on steps'!$B346:$U346,'changes2_based on steps'!$B$1:$U$1,G$1)</f>
        <v>0</v>
      </c>
      <c r="H346" s="140">
        <f>SUMIFS('recurring2_based on steps'!$B346:$AY346,'recurring2_based on steps'!$B$1:$AY$1,H$1)+SUMIFS('changes2_based on steps'!$B346:$U346,'changes2_based on steps'!$B$1:$U$1,H$1)</f>
        <v>0</v>
      </c>
      <c r="I346" s="140">
        <f>SUMIFS('recurring2_based on steps'!$B346:$AY346,'recurring2_based on steps'!$B$1:$AY$1,I$1)+SUMIFS('changes2_based on steps'!$B346:$U346,'changes2_based on steps'!$B$1:$U$1,I$1)</f>
        <v>0</v>
      </c>
      <c r="J346" s="140">
        <f ca="1">SUMIFS('recurring2_based on steps'!$B346:$AY346,'recurring2_based on steps'!$B$1:$AY$1,J$1)+SUMIFS('changes2_based on steps'!$B346:$U346,'changes2_based on steps'!$B$1:$U$1,J$1)</f>
        <v>0</v>
      </c>
      <c r="K346" s="140">
        <f>SUMIFS('recurring2_based on steps'!$B346:$AY346,'recurring2_based on steps'!$B$1:$AY$1,K$1)+SUMIFS('changes2_based on steps'!$B346:$U346,'changes2_based on steps'!$B$1:$U$1,K$1)</f>
        <v>0</v>
      </c>
      <c r="L346" s="140">
        <f>SUMIFS('recurring2_based on steps'!$B346:$AY346,'recurring2_based on steps'!$B$1:$AY$1,L$1)+SUMIFS('changes2_based on steps'!$B346:$U346,'changes2_based on steps'!$B$1:$U$1,L$1)</f>
        <v>0</v>
      </c>
      <c r="M346" s="140">
        <f>SUMIFS('recurring2_based on steps'!$B346:$AY346,'recurring2_based on steps'!$B$1:$AY$1,M$1)+SUMIFS('changes2_based on steps'!$B346:$U346,'changes2_based on steps'!$B$1:$U$1,M$1)</f>
        <v>0</v>
      </c>
      <c r="N346" s="140">
        <f ca="1">SUMIFS('recurring2_based on steps'!$B346:$AY346,'recurring2_based on steps'!$B$1:$AY$1,N$1)+SUMIFS('changes2_based on steps'!$B346:$U346,'changes2_based on steps'!$B$1:$U$1,N$1)</f>
        <v>0</v>
      </c>
      <c r="O346" s="140">
        <f>SUMIFS('recurring2_based on steps'!$B346:$AY346,'recurring2_based on steps'!$B$1:$AY$1,O$1)+SUMIFS('changes2_based on steps'!$B346:$U346,'changes2_based on steps'!$B$1:$U$1,O$1)</f>
        <v>0</v>
      </c>
      <c r="P346" s="140">
        <f ca="1">SUMIFS('recurring2_based on steps'!$B346:$AY346,'recurring2_based on steps'!$B$1:$AY$1,P$1)+SUMIFS('changes2_based on steps'!$B346:$U346,'changes2_based on steps'!$B$1:$U$1,P$1)</f>
        <v>0</v>
      </c>
      <c r="Q346" s="140">
        <f ca="1">SUMIFS('recurring2_based on steps'!$B346:$AY346,'recurring2_based on steps'!$B$1:$AY$1,Q$1)+SUMIFS('changes2_based on steps'!$B346:$U346,'changes2_based on steps'!$B$1:$U$1,Q$1)</f>
        <v>5.5401662049861494E-2</v>
      </c>
      <c r="R346" s="140">
        <f ca="1">SUMIFS('recurring2_based on steps'!$B346:$AY346,'recurring2_based on steps'!$B$1:$AY$1,R$1)+SUMIFS('changes2_based on steps'!$B346:$U346,'changes2_based on steps'!$B$1:$U$1,R$1)</f>
        <v>0</v>
      </c>
      <c r="S346" s="140">
        <f>SUMIFS('recurring2_based on steps'!$B346:$AY346,'recurring2_based on steps'!$B$1:$AY$1,S$1)+SUMIFS('changes2_based on steps'!$B346:$U346,'changes2_based on steps'!$B$1:$U$1,S$1)</f>
        <v>0</v>
      </c>
      <c r="T346" s="140">
        <f ca="1">SUMIFS('recurring2_based on steps'!$B346:$AY346,'recurring2_based on steps'!$B$1:$AY$1,T$1)+SUMIFS('changes2_based on steps'!$B346:$U346,'changes2_based on steps'!$B$1:$U$1,T$1)</f>
        <v>0</v>
      </c>
      <c r="U346" s="140">
        <f ca="1">SUMIFS('recurring2_based on steps'!$B346:$AY346,'recurring2_based on steps'!$B$1:$AY$1,U$1)+SUMIFS('changes2_based on steps'!$B346:$U346,'changes2_based on steps'!$B$1:$U$1,U$1)</f>
        <v>0</v>
      </c>
      <c r="V346" s="140">
        <f>SUMIFS('recurring2_based on steps'!$B346:$AY346,'recurring2_based on steps'!$B$1:$AY$1,V$1)+SUMIFS('changes2_based on steps'!$B346:$U346,'changes2_based on steps'!$B$1:$U$1,V$1)</f>
        <v>0</v>
      </c>
      <c r="W346" s="140">
        <f>SUMIFS('recurring2_based on steps'!$B346:$AY346,'recurring2_based on steps'!$B$1:$AY$1,W$1)+SUMIFS('changes2_based on steps'!$B346:$U346,'changes2_based on steps'!$B$1:$U$1,W$1)</f>
        <v>0</v>
      </c>
      <c r="X346" s="140">
        <f ca="1">SUMIFS('recurring2_based on steps'!$B346:$AY346,'recurring2_based on steps'!$B$1:$AY$1,X$1)+SUMIFS('changes2_based on steps'!$B346:$U346,'changes2_based on steps'!$B$1:$U$1,X$1)</f>
        <v>0</v>
      </c>
      <c r="Y346" s="140">
        <f ca="1">SUMIFS('recurring2_based on steps'!$B346:$AY346,'recurring2_based on steps'!$B$1:$AY$1,Y$1)+SUMIFS('changes2_based on steps'!$B346:$U346,'changes2_based on steps'!$B$1:$U$1,Y$1)</f>
        <v>0</v>
      </c>
      <c r="Z346" s="140">
        <f>SUMIFS('recurring2_based on steps'!$B346:$AY346,'recurring2_based on steps'!$B$1:$AY$1,Z$1)+SUMIFS('changes2_based on steps'!$B346:$U346,'changes2_based on steps'!$B$1:$U$1,Z$1)</f>
        <v>0</v>
      </c>
      <c r="AA346" s="140">
        <f ca="1">SUMIFS('recurring2_based on steps'!$B346:$AY346,'recurring2_based on steps'!$B$1:$AY$1,AA$1)+SUMIFS('changes2_based on steps'!$B346:$U346,'changes2_based on steps'!$B$1:$U$1,AA$1)</f>
        <v>0</v>
      </c>
      <c r="AB346" s="140">
        <f ca="1">SUMIFS('recurring2_based on steps'!$B346:$AY346,'recurring2_based on steps'!$B$1:$AY$1,AB$1)+SUMIFS('changes2_based on steps'!$B346:$U346,'changes2_based on steps'!$B$1:$U$1,AB$1)</f>
        <v>0</v>
      </c>
      <c r="AC346" s="140">
        <f ca="1">SUMIFS('recurring2_based on steps'!$B346:$AY346,'recurring2_based on steps'!$B$1:$AY$1,AC$1)+SUMIFS('changes2_based on steps'!$B346:$U346,'changes2_based on steps'!$B$1:$U$1,AC$1)</f>
        <v>0</v>
      </c>
      <c r="AD346" s="140">
        <f ca="1">SUMIFS('recurring2_based on steps'!$B346:$AY346,'recurring2_based on steps'!$B$1:$AY$1,AD$1)+SUMIFS('changes2_based on steps'!$B346:$U346,'changes2_based on steps'!$B$1:$U$1,AD$1)</f>
        <v>0</v>
      </c>
      <c r="AE346" s="140">
        <f>SUMIFS('recurring2_based on steps'!$B346:$AY346,'recurring2_based on steps'!$B$1:$AY$1,AE$1)+SUMIFS('changes2_based on steps'!$B346:$U346,'changes2_based on steps'!$B$1:$U$1,AE$1)</f>
        <v>0</v>
      </c>
      <c r="AF346" s="140"/>
      <c r="AG346" s="140"/>
      <c r="AH346" s="140"/>
      <c r="AI346" s="140"/>
      <c r="AJ346" s="140"/>
      <c r="AK346" s="140"/>
      <c r="AL346" s="140"/>
      <c r="AM346" s="140"/>
    </row>
    <row r="347" spans="1:39" x14ac:dyDescent="0.2">
      <c r="A347" s="29">
        <f t="shared" ca="1" si="5"/>
        <v>46087</v>
      </c>
      <c r="B347" s="140">
        <f ca="1">SUMIFS('recurring2_based on steps'!$B347:$AY347,'recurring2_based on steps'!$B$1:$AY$1,B$1)+SUMIFS('changes2_based on steps'!$B347:$U347,'changes2_based on steps'!$B$1:$U$1,B$1)</f>
        <v>4000</v>
      </c>
      <c r="C347" s="140">
        <f>SUMIFS('recurring2_based on steps'!$B347:$AY347,'recurring2_based on steps'!$B$1:$AY$1,C$1)+SUMIFS('changes2_based on steps'!$B347:$U347,'changes2_based on steps'!$B$1:$U$1,C$1)</f>
        <v>0</v>
      </c>
      <c r="D347" s="140">
        <f>SUMIFS('recurring2_based on steps'!$B347:$AY347,'recurring2_based on steps'!$B$1:$AY$1,D$1)+SUMIFS('changes2_based on steps'!$B347:$U347,'changes2_based on steps'!$B$1:$U$1,D$1)</f>
        <v>0</v>
      </c>
      <c r="E347" s="140">
        <f>SUMIFS('recurring2_based on steps'!$B347:$AY347,'recurring2_based on steps'!$B$1:$AY$1,E$1)+SUMIFS('changes2_based on steps'!$B347:$U347,'changes2_based on steps'!$B$1:$U$1,E$1)</f>
        <v>0</v>
      </c>
      <c r="F347" s="140">
        <f>SUMIFS('recurring2_based on steps'!$B347:$AY347,'recurring2_based on steps'!$B$1:$AY$1,F$1)+SUMIFS('changes2_based on steps'!$B347:$U347,'changes2_based on steps'!$B$1:$U$1,F$1)</f>
        <v>0</v>
      </c>
      <c r="G347" s="140">
        <f>SUMIFS('recurring2_based on steps'!$B347:$AY347,'recurring2_based on steps'!$B$1:$AY$1,G$1)+SUMIFS('changes2_based on steps'!$B347:$U347,'changes2_based on steps'!$B$1:$U$1,G$1)</f>
        <v>0</v>
      </c>
      <c r="H347" s="140">
        <f>SUMIFS('recurring2_based on steps'!$B347:$AY347,'recurring2_based on steps'!$B$1:$AY$1,H$1)+SUMIFS('changes2_based on steps'!$B347:$U347,'changes2_based on steps'!$B$1:$U$1,H$1)</f>
        <v>0</v>
      </c>
      <c r="I347" s="140">
        <f>SUMIFS('recurring2_based on steps'!$B347:$AY347,'recurring2_based on steps'!$B$1:$AY$1,I$1)+SUMIFS('changes2_based on steps'!$B347:$U347,'changes2_based on steps'!$B$1:$U$1,I$1)</f>
        <v>0</v>
      </c>
      <c r="J347" s="140">
        <f ca="1">SUMIFS('recurring2_based on steps'!$B347:$AY347,'recurring2_based on steps'!$B$1:$AY$1,J$1)+SUMIFS('changes2_based on steps'!$B347:$U347,'changes2_based on steps'!$B$1:$U$1,J$1)</f>
        <v>0</v>
      </c>
      <c r="K347" s="140">
        <f>SUMIFS('recurring2_based on steps'!$B347:$AY347,'recurring2_based on steps'!$B$1:$AY$1,K$1)+SUMIFS('changes2_based on steps'!$B347:$U347,'changes2_based on steps'!$B$1:$U$1,K$1)</f>
        <v>0</v>
      </c>
      <c r="L347" s="140">
        <f>SUMIFS('recurring2_based on steps'!$B347:$AY347,'recurring2_based on steps'!$B$1:$AY$1,L$1)+SUMIFS('changes2_based on steps'!$B347:$U347,'changes2_based on steps'!$B$1:$U$1,L$1)</f>
        <v>0</v>
      </c>
      <c r="M347" s="140">
        <f>SUMIFS('recurring2_based on steps'!$B347:$AY347,'recurring2_based on steps'!$B$1:$AY$1,M$1)+SUMIFS('changes2_based on steps'!$B347:$U347,'changes2_based on steps'!$B$1:$U$1,M$1)</f>
        <v>0</v>
      </c>
      <c r="N347" s="140">
        <f ca="1">SUMIFS('recurring2_based on steps'!$B347:$AY347,'recurring2_based on steps'!$B$1:$AY$1,N$1)+SUMIFS('changes2_based on steps'!$B347:$U347,'changes2_based on steps'!$B$1:$U$1,N$1)</f>
        <v>0</v>
      </c>
      <c r="O347" s="140">
        <f>SUMIFS('recurring2_based on steps'!$B347:$AY347,'recurring2_based on steps'!$B$1:$AY$1,O$1)+SUMIFS('changes2_based on steps'!$B347:$U347,'changes2_based on steps'!$B$1:$U$1,O$1)</f>
        <v>0</v>
      </c>
      <c r="P347" s="140">
        <f ca="1">SUMIFS('recurring2_based on steps'!$B347:$AY347,'recurring2_based on steps'!$B$1:$AY$1,P$1)+SUMIFS('changes2_based on steps'!$B347:$U347,'changes2_based on steps'!$B$1:$U$1,P$1)</f>
        <v>0</v>
      </c>
      <c r="Q347" s="140">
        <f ca="1">SUMIFS('recurring2_based on steps'!$B347:$AY347,'recurring2_based on steps'!$B$1:$AY$1,Q$1)+SUMIFS('changes2_based on steps'!$B347:$U347,'changes2_based on steps'!$B$1:$U$1,Q$1)</f>
        <v>5.5401662049861494E-2</v>
      </c>
      <c r="R347" s="140">
        <f ca="1">SUMIFS('recurring2_based on steps'!$B347:$AY347,'recurring2_based on steps'!$B$1:$AY$1,R$1)+SUMIFS('changes2_based on steps'!$B347:$U347,'changes2_based on steps'!$B$1:$U$1,R$1)</f>
        <v>0</v>
      </c>
      <c r="S347" s="140">
        <f>SUMIFS('recurring2_based on steps'!$B347:$AY347,'recurring2_based on steps'!$B$1:$AY$1,S$1)+SUMIFS('changes2_based on steps'!$B347:$U347,'changes2_based on steps'!$B$1:$U$1,S$1)</f>
        <v>0</v>
      </c>
      <c r="T347" s="140">
        <f ca="1">SUMIFS('recurring2_based on steps'!$B347:$AY347,'recurring2_based on steps'!$B$1:$AY$1,T$1)+SUMIFS('changes2_based on steps'!$B347:$U347,'changes2_based on steps'!$B$1:$U$1,T$1)</f>
        <v>50</v>
      </c>
      <c r="U347" s="140">
        <f ca="1">SUMIFS('recurring2_based on steps'!$B347:$AY347,'recurring2_based on steps'!$B$1:$AY$1,U$1)+SUMIFS('changes2_based on steps'!$B347:$U347,'changes2_based on steps'!$B$1:$U$1,U$1)</f>
        <v>200</v>
      </c>
      <c r="V347" s="140">
        <f>SUMIFS('recurring2_based on steps'!$B347:$AY347,'recurring2_based on steps'!$B$1:$AY$1,V$1)+SUMIFS('changes2_based on steps'!$B347:$U347,'changes2_based on steps'!$B$1:$U$1,V$1)</f>
        <v>0</v>
      </c>
      <c r="W347" s="140">
        <f>SUMIFS('recurring2_based on steps'!$B347:$AY347,'recurring2_based on steps'!$B$1:$AY$1,W$1)+SUMIFS('changes2_based on steps'!$B347:$U347,'changes2_based on steps'!$B$1:$U$1,W$1)</f>
        <v>0</v>
      </c>
      <c r="X347" s="140">
        <f ca="1">SUMIFS('recurring2_based on steps'!$B347:$AY347,'recurring2_based on steps'!$B$1:$AY$1,X$1)+SUMIFS('changes2_based on steps'!$B347:$U347,'changes2_based on steps'!$B$1:$U$1,X$1)</f>
        <v>96</v>
      </c>
      <c r="Y347" s="140">
        <f ca="1">SUMIFS('recurring2_based on steps'!$B347:$AY347,'recurring2_based on steps'!$B$1:$AY$1,Y$1)+SUMIFS('changes2_based on steps'!$B347:$U347,'changes2_based on steps'!$B$1:$U$1,Y$1)</f>
        <v>0</v>
      </c>
      <c r="Z347" s="140">
        <f>SUMIFS('recurring2_based on steps'!$B347:$AY347,'recurring2_based on steps'!$B$1:$AY$1,Z$1)+SUMIFS('changes2_based on steps'!$B347:$U347,'changes2_based on steps'!$B$1:$U$1,Z$1)</f>
        <v>0</v>
      </c>
      <c r="AA347" s="140">
        <f ca="1">SUMIFS('recurring2_based on steps'!$B347:$AY347,'recurring2_based on steps'!$B$1:$AY$1,AA$1)+SUMIFS('changes2_based on steps'!$B347:$U347,'changes2_based on steps'!$B$1:$U$1,AA$1)</f>
        <v>0</v>
      </c>
      <c r="AB347" s="140">
        <f ca="1">SUMIFS('recurring2_based on steps'!$B347:$AY347,'recurring2_based on steps'!$B$1:$AY$1,AB$1)+SUMIFS('changes2_based on steps'!$B347:$U347,'changes2_based on steps'!$B$1:$U$1,AB$1)</f>
        <v>0</v>
      </c>
      <c r="AC347" s="140">
        <f ca="1">SUMIFS('recurring2_based on steps'!$B347:$AY347,'recurring2_based on steps'!$B$1:$AY$1,AC$1)+SUMIFS('changes2_based on steps'!$B347:$U347,'changes2_based on steps'!$B$1:$U$1,AC$1)</f>
        <v>0</v>
      </c>
      <c r="AD347" s="140">
        <f ca="1">SUMIFS('recurring2_based on steps'!$B347:$AY347,'recurring2_based on steps'!$B$1:$AY$1,AD$1)+SUMIFS('changes2_based on steps'!$B347:$U347,'changes2_based on steps'!$B$1:$U$1,AD$1)</f>
        <v>50</v>
      </c>
      <c r="AE347" s="140">
        <f>SUMIFS('recurring2_based on steps'!$B347:$AY347,'recurring2_based on steps'!$B$1:$AY$1,AE$1)+SUMIFS('changes2_based on steps'!$B347:$U347,'changes2_based on steps'!$B$1:$U$1,AE$1)</f>
        <v>0</v>
      </c>
      <c r="AF347" s="140"/>
      <c r="AG347" s="140"/>
      <c r="AH347" s="140"/>
      <c r="AI347" s="140"/>
      <c r="AJ347" s="140"/>
      <c r="AK347" s="140"/>
      <c r="AL347" s="140"/>
      <c r="AM347" s="140"/>
    </row>
    <row r="348" spans="1:39" x14ac:dyDescent="0.2">
      <c r="A348" s="29">
        <f t="shared" ca="1" si="5"/>
        <v>46088</v>
      </c>
      <c r="B348" s="140">
        <f ca="1">SUMIFS('recurring2_based on steps'!$B348:$AY348,'recurring2_based on steps'!$B$1:$AY$1,B$1)+SUMIFS('changes2_based on steps'!$B348:$U348,'changes2_based on steps'!$B$1:$U$1,B$1)</f>
        <v>0</v>
      </c>
      <c r="C348" s="140">
        <f>SUMIFS('recurring2_based on steps'!$B348:$AY348,'recurring2_based on steps'!$B$1:$AY$1,C$1)+SUMIFS('changes2_based on steps'!$B348:$U348,'changes2_based on steps'!$B$1:$U$1,C$1)</f>
        <v>0</v>
      </c>
      <c r="D348" s="140">
        <f>SUMIFS('recurring2_based on steps'!$B348:$AY348,'recurring2_based on steps'!$B$1:$AY$1,D$1)+SUMIFS('changes2_based on steps'!$B348:$U348,'changes2_based on steps'!$B$1:$U$1,D$1)</f>
        <v>0</v>
      </c>
      <c r="E348" s="140">
        <f>SUMIFS('recurring2_based on steps'!$B348:$AY348,'recurring2_based on steps'!$B$1:$AY$1,E$1)+SUMIFS('changes2_based on steps'!$B348:$U348,'changes2_based on steps'!$B$1:$U$1,E$1)</f>
        <v>0</v>
      </c>
      <c r="F348" s="140">
        <f>SUMIFS('recurring2_based on steps'!$B348:$AY348,'recurring2_based on steps'!$B$1:$AY$1,F$1)+SUMIFS('changes2_based on steps'!$B348:$U348,'changes2_based on steps'!$B$1:$U$1,F$1)</f>
        <v>0</v>
      </c>
      <c r="G348" s="140">
        <f>SUMIFS('recurring2_based on steps'!$B348:$AY348,'recurring2_based on steps'!$B$1:$AY$1,G$1)+SUMIFS('changes2_based on steps'!$B348:$U348,'changes2_based on steps'!$B$1:$U$1,G$1)</f>
        <v>0</v>
      </c>
      <c r="H348" s="140">
        <f>SUMIFS('recurring2_based on steps'!$B348:$AY348,'recurring2_based on steps'!$B$1:$AY$1,H$1)+SUMIFS('changes2_based on steps'!$B348:$U348,'changes2_based on steps'!$B$1:$U$1,H$1)</f>
        <v>0</v>
      </c>
      <c r="I348" s="140">
        <f>SUMIFS('recurring2_based on steps'!$B348:$AY348,'recurring2_based on steps'!$B$1:$AY$1,I$1)+SUMIFS('changes2_based on steps'!$B348:$U348,'changes2_based on steps'!$B$1:$U$1,I$1)</f>
        <v>0</v>
      </c>
      <c r="J348" s="140">
        <f ca="1">SUMIFS('recurring2_based on steps'!$B348:$AY348,'recurring2_based on steps'!$B$1:$AY$1,J$1)+SUMIFS('changes2_based on steps'!$B348:$U348,'changes2_based on steps'!$B$1:$U$1,J$1)</f>
        <v>0</v>
      </c>
      <c r="K348" s="140">
        <f>SUMIFS('recurring2_based on steps'!$B348:$AY348,'recurring2_based on steps'!$B$1:$AY$1,K$1)+SUMIFS('changes2_based on steps'!$B348:$U348,'changes2_based on steps'!$B$1:$U$1,K$1)</f>
        <v>0</v>
      </c>
      <c r="L348" s="140">
        <f>SUMIFS('recurring2_based on steps'!$B348:$AY348,'recurring2_based on steps'!$B$1:$AY$1,L$1)+SUMIFS('changes2_based on steps'!$B348:$U348,'changes2_based on steps'!$B$1:$U$1,L$1)</f>
        <v>0</v>
      </c>
      <c r="M348" s="140">
        <f>SUMIFS('recurring2_based on steps'!$B348:$AY348,'recurring2_based on steps'!$B$1:$AY$1,M$1)+SUMIFS('changes2_based on steps'!$B348:$U348,'changes2_based on steps'!$B$1:$U$1,M$1)</f>
        <v>0</v>
      </c>
      <c r="N348" s="140">
        <f ca="1">SUMIFS('recurring2_based on steps'!$B348:$AY348,'recurring2_based on steps'!$B$1:$AY$1,N$1)+SUMIFS('changes2_based on steps'!$B348:$U348,'changes2_based on steps'!$B$1:$U$1,N$1)</f>
        <v>0</v>
      </c>
      <c r="O348" s="140">
        <f>SUMIFS('recurring2_based on steps'!$B348:$AY348,'recurring2_based on steps'!$B$1:$AY$1,O$1)+SUMIFS('changes2_based on steps'!$B348:$U348,'changes2_based on steps'!$B$1:$U$1,O$1)</f>
        <v>0</v>
      </c>
      <c r="P348" s="140">
        <f ca="1">SUMIFS('recurring2_based on steps'!$B348:$AY348,'recurring2_based on steps'!$B$1:$AY$1,P$1)+SUMIFS('changes2_based on steps'!$B348:$U348,'changes2_based on steps'!$B$1:$U$1,P$1)</f>
        <v>0</v>
      </c>
      <c r="Q348" s="140">
        <f ca="1">SUMIFS('recurring2_based on steps'!$B348:$AY348,'recurring2_based on steps'!$B$1:$AY$1,Q$1)+SUMIFS('changes2_based on steps'!$B348:$U348,'changes2_based on steps'!$B$1:$U$1,Q$1)</f>
        <v>100.05540166204986</v>
      </c>
      <c r="R348" s="140">
        <f ca="1">SUMIFS('recurring2_based on steps'!$B348:$AY348,'recurring2_based on steps'!$B$1:$AY$1,R$1)+SUMIFS('changes2_based on steps'!$B348:$U348,'changes2_based on steps'!$B$1:$U$1,R$1)</f>
        <v>0</v>
      </c>
      <c r="S348" s="140">
        <f>SUMIFS('recurring2_based on steps'!$B348:$AY348,'recurring2_based on steps'!$B$1:$AY$1,S$1)+SUMIFS('changes2_based on steps'!$B348:$U348,'changes2_based on steps'!$B$1:$U$1,S$1)</f>
        <v>0</v>
      </c>
      <c r="T348" s="140">
        <f ca="1">SUMIFS('recurring2_based on steps'!$B348:$AY348,'recurring2_based on steps'!$B$1:$AY$1,T$1)+SUMIFS('changes2_based on steps'!$B348:$U348,'changes2_based on steps'!$B$1:$U$1,T$1)</f>
        <v>0</v>
      </c>
      <c r="U348" s="140">
        <f ca="1">SUMIFS('recurring2_based on steps'!$B348:$AY348,'recurring2_based on steps'!$B$1:$AY$1,U$1)+SUMIFS('changes2_based on steps'!$B348:$U348,'changes2_based on steps'!$B$1:$U$1,U$1)</f>
        <v>0</v>
      </c>
      <c r="V348" s="140">
        <f>SUMIFS('recurring2_based on steps'!$B348:$AY348,'recurring2_based on steps'!$B$1:$AY$1,V$1)+SUMIFS('changes2_based on steps'!$B348:$U348,'changes2_based on steps'!$B$1:$U$1,V$1)</f>
        <v>0</v>
      </c>
      <c r="W348" s="140">
        <f>SUMIFS('recurring2_based on steps'!$B348:$AY348,'recurring2_based on steps'!$B$1:$AY$1,W$1)+SUMIFS('changes2_based on steps'!$B348:$U348,'changes2_based on steps'!$B$1:$U$1,W$1)</f>
        <v>0</v>
      </c>
      <c r="X348" s="140">
        <f ca="1">SUMIFS('recurring2_based on steps'!$B348:$AY348,'recurring2_based on steps'!$B$1:$AY$1,X$1)+SUMIFS('changes2_based on steps'!$B348:$U348,'changes2_based on steps'!$B$1:$U$1,X$1)</f>
        <v>0</v>
      </c>
      <c r="Y348" s="140">
        <f ca="1">SUMIFS('recurring2_based on steps'!$B348:$AY348,'recurring2_based on steps'!$B$1:$AY$1,Y$1)+SUMIFS('changes2_based on steps'!$B348:$U348,'changes2_based on steps'!$B$1:$U$1,Y$1)</f>
        <v>0</v>
      </c>
      <c r="Z348" s="140">
        <f>SUMIFS('recurring2_based on steps'!$B348:$AY348,'recurring2_based on steps'!$B$1:$AY$1,Z$1)+SUMIFS('changes2_based on steps'!$B348:$U348,'changes2_based on steps'!$B$1:$U$1,Z$1)</f>
        <v>0</v>
      </c>
      <c r="AA348" s="140">
        <f ca="1">SUMIFS('recurring2_based on steps'!$B348:$AY348,'recurring2_based on steps'!$B$1:$AY$1,AA$1)+SUMIFS('changes2_based on steps'!$B348:$U348,'changes2_based on steps'!$B$1:$U$1,AA$1)</f>
        <v>0</v>
      </c>
      <c r="AB348" s="140">
        <f ca="1">SUMIFS('recurring2_based on steps'!$B348:$AY348,'recurring2_based on steps'!$B$1:$AY$1,AB$1)+SUMIFS('changes2_based on steps'!$B348:$U348,'changes2_based on steps'!$B$1:$U$1,AB$1)</f>
        <v>100</v>
      </c>
      <c r="AC348" s="140">
        <f ca="1">SUMIFS('recurring2_based on steps'!$B348:$AY348,'recurring2_based on steps'!$B$1:$AY$1,AC$1)+SUMIFS('changes2_based on steps'!$B348:$U348,'changes2_based on steps'!$B$1:$U$1,AC$1)</f>
        <v>0</v>
      </c>
      <c r="AD348" s="140">
        <f ca="1">SUMIFS('recurring2_based on steps'!$B348:$AY348,'recurring2_based on steps'!$B$1:$AY$1,AD$1)+SUMIFS('changes2_based on steps'!$B348:$U348,'changes2_based on steps'!$B$1:$U$1,AD$1)</f>
        <v>0</v>
      </c>
      <c r="AE348" s="140">
        <f>SUMIFS('recurring2_based on steps'!$B348:$AY348,'recurring2_based on steps'!$B$1:$AY$1,AE$1)+SUMIFS('changes2_based on steps'!$B348:$U348,'changes2_based on steps'!$B$1:$U$1,AE$1)</f>
        <v>0</v>
      </c>
      <c r="AF348" s="140"/>
      <c r="AG348" s="140"/>
      <c r="AH348" s="140"/>
      <c r="AI348" s="140"/>
      <c r="AJ348" s="140"/>
      <c r="AK348" s="140"/>
      <c r="AL348" s="140"/>
      <c r="AM348" s="140"/>
    </row>
    <row r="349" spans="1:39" x14ac:dyDescent="0.2">
      <c r="A349" s="29">
        <f t="shared" ca="1" si="5"/>
        <v>46089</v>
      </c>
      <c r="B349" s="140">
        <f ca="1">SUMIFS('recurring2_based on steps'!$B349:$AY349,'recurring2_based on steps'!$B$1:$AY$1,B$1)+SUMIFS('changes2_based on steps'!$B349:$U349,'changes2_based on steps'!$B$1:$U$1,B$1)</f>
        <v>0</v>
      </c>
      <c r="C349" s="140">
        <f>SUMIFS('recurring2_based on steps'!$B349:$AY349,'recurring2_based on steps'!$B$1:$AY$1,C$1)+SUMIFS('changes2_based on steps'!$B349:$U349,'changes2_based on steps'!$B$1:$U$1,C$1)</f>
        <v>0</v>
      </c>
      <c r="D349" s="140">
        <f>SUMIFS('recurring2_based on steps'!$B349:$AY349,'recurring2_based on steps'!$B$1:$AY$1,D$1)+SUMIFS('changes2_based on steps'!$B349:$U349,'changes2_based on steps'!$B$1:$U$1,D$1)</f>
        <v>0</v>
      </c>
      <c r="E349" s="140">
        <f>SUMIFS('recurring2_based on steps'!$B349:$AY349,'recurring2_based on steps'!$B$1:$AY$1,E$1)+SUMIFS('changes2_based on steps'!$B349:$U349,'changes2_based on steps'!$B$1:$U$1,E$1)</f>
        <v>0</v>
      </c>
      <c r="F349" s="140">
        <f>SUMIFS('recurring2_based on steps'!$B349:$AY349,'recurring2_based on steps'!$B$1:$AY$1,F$1)+SUMIFS('changes2_based on steps'!$B349:$U349,'changes2_based on steps'!$B$1:$U$1,F$1)</f>
        <v>0</v>
      </c>
      <c r="G349" s="140">
        <f>SUMIFS('recurring2_based on steps'!$B349:$AY349,'recurring2_based on steps'!$B$1:$AY$1,G$1)+SUMIFS('changes2_based on steps'!$B349:$U349,'changes2_based on steps'!$B$1:$U$1,G$1)</f>
        <v>0</v>
      </c>
      <c r="H349" s="140">
        <f>SUMIFS('recurring2_based on steps'!$B349:$AY349,'recurring2_based on steps'!$B$1:$AY$1,H$1)+SUMIFS('changes2_based on steps'!$B349:$U349,'changes2_based on steps'!$B$1:$U$1,H$1)</f>
        <v>0</v>
      </c>
      <c r="I349" s="140">
        <f>SUMIFS('recurring2_based on steps'!$B349:$AY349,'recurring2_based on steps'!$B$1:$AY$1,I$1)+SUMIFS('changes2_based on steps'!$B349:$U349,'changes2_based on steps'!$B$1:$U$1,I$1)</f>
        <v>0</v>
      </c>
      <c r="J349" s="140">
        <f ca="1">SUMIFS('recurring2_based on steps'!$B349:$AY349,'recurring2_based on steps'!$B$1:$AY$1,J$1)+SUMIFS('changes2_based on steps'!$B349:$U349,'changes2_based on steps'!$B$1:$U$1,J$1)</f>
        <v>0</v>
      </c>
      <c r="K349" s="140">
        <f>SUMIFS('recurring2_based on steps'!$B349:$AY349,'recurring2_based on steps'!$B$1:$AY$1,K$1)+SUMIFS('changes2_based on steps'!$B349:$U349,'changes2_based on steps'!$B$1:$U$1,K$1)</f>
        <v>0</v>
      </c>
      <c r="L349" s="140">
        <f>SUMIFS('recurring2_based on steps'!$B349:$AY349,'recurring2_based on steps'!$B$1:$AY$1,L$1)+SUMIFS('changes2_based on steps'!$B349:$U349,'changes2_based on steps'!$B$1:$U$1,L$1)</f>
        <v>0</v>
      </c>
      <c r="M349" s="140">
        <f>SUMIFS('recurring2_based on steps'!$B349:$AY349,'recurring2_based on steps'!$B$1:$AY$1,M$1)+SUMIFS('changes2_based on steps'!$B349:$U349,'changes2_based on steps'!$B$1:$U$1,M$1)</f>
        <v>0</v>
      </c>
      <c r="N349" s="140">
        <f ca="1">SUMIFS('recurring2_based on steps'!$B349:$AY349,'recurring2_based on steps'!$B$1:$AY$1,N$1)+SUMIFS('changes2_based on steps'!$B349:$U349,'changes2_based on steps'!$B$1:$U$1,N$1)</f>
        <v>0</v>
      </c>
      <c r="O349" s="140">
        <f>SUMIFS('recurring2_based on steps'!$B349:$AY349,'recurring2_based on steps'!$B$1:$AY$1,O$1)+SUMIFS('changes2_based on steps'!$B349:$U349,'changes2_based on steps'!$B$1:$U$1,O$1)</f>
        <v>0</v>
      </c>
      <c r="P349" s="140">
        <f ca="1">SUMIFS('recurring2_based on steps'!$B349:$AY349,'recurring2_based on steps'!$B$1:$AY$1,P$1)+SUMIFS('changes2_based on steps'!$B349:$U349,'changes2_based on steps'!$B$1:$U$1,P$1)</f>
        <v>0</v>
      </c>
      <c r="Q349" s="140">
        <f ca="1">SUMIFS('recurring2_based on steps'!$B349:$AY349,'recurring2_based on steps'!$B$1:$AY$1,Q$1)+SUMIFS('changes2_based on steps'!$B349:$U349,'changes2_based on steps'!$B$1:$U$1,Q$1)</f>
        <v>100.05540166204986</v>
      </c>
      <c r="R349" s="140">
        <f ca="1">SUMIFS('recurring2_based on steps'!$B349:$AY349,'recurring2_based on steps'!$B$1:$AY$1,R$1)+SUMIFS('changes2_based on steps'!$B349:$U349,'changes2_based on steps'!$B$1:$U$1,R$1)</f>
        <v>0</v>
      </c>
      <c r="S349" s="140">
        <f>SUMIFS('recurring2_based on steps'!$B349:$AY349,'recurring2_based on steps'!$B$1:$AY$1,S$1)+SUMIFS('changes2_based on steps'!$B349:$U349,'changes2_based on steps'!$B$1:$U$1,S$1)</f>
        <v>0</v>
      </c>
      <c r="T349" s="140">
        <f ca="1">SUMIFS('recurring2_based on steps'!$B349:$AY349,'recurring2_based on steps'!$B$1:$AY$1,T$1)+SUMIFS('changes2_based on steps'!$B349:$U349,'changes2_based on steps'!$B$1:$U$1,T$1)</f>
        <v>0</v>
      </c>
      <c r="U349" s="140">
        <f ca="1">SUMIFS('recurring2_based on steps'!$B349:$AY349,'recurring2_based on steps'!$B$1:$AY$1,U$1)+SUMIFS('changes2_based on steps'!$B349:$U349,'changes2_based on steps'!$B$1:$U$1,U$1)</f>
        <v>0</v>
      </c>
      <c r="V349" s="140">
        <f>SUMIFS('recurring2_based on steps'!$B349:$AY349,'recurring2_based on steps'!$B$1:$AY$1,V$1)+SUMIFS('changes2_based on steps'!$B349:$U349,'changes2_based on steps'!$B$1:$U$1,V$1)</f>
        <v>0</v>
      </c>
      <c r="W349" s="140">
        <f>SUMIFS('recurring2_based on steps'!$B349:$AY349,'recurring2_based on steps'!$B$1:$AY$1,W$1)+SUMIFS('changes2_based on steps'!$B349:$U349,'changes2_based on steps'!$B$1:$U$1,W$1)</f>
        <v>0</v>
      </c>
      <c r="X349" s="140">
        <f ca="1">SUMIFS('recurring2_based on steps'!$B349:$AY349,'recurring2_based on steps'!$B$1:$AY$1,X$1)+SUMIFS('changes2_based on steps'!$B349:$U349,'changes2_based on steps'!$B$1:$U$1,X$1)</f>
        <v>0</v>
      </c>
      <c r="Y349" s="140">
        <f ca="1">SUMIFS('recurring2_based on steps'!$B349:$AY349,'recurring2_based on steps'!$B$1:$AY$1,Y$1)+SUMIFS('changes2_based on steps'!$B349:$U349,'changes2_based on steps'!$B$1:$U$1,Y$1)</f>
        <v>50</v>
      </c>
      <c r="Z349" s="140">
        <f>SUMIFS('recurring2_based on steps'!$B349:$AY349,'recurring2_based on steps'!$B$1:$AY$1,Z$1)+SUMIFS('changes2_based on steps'!$B349:$U349,'changes2_based on steps'!$B$1:$U$1,Z$1)</f>
        <v>0</v>
      </c>
      <c r="AA349" s="140">
        <f ca="1">SUMIFS('recurring2_based on steps'!$B349:$AY349,'recurring2_based on steps'!$B$1:$AY$1,AA$1)+SUMIFS('changes2_based on steps'!$B349:$U349,'changes2_based on steps'!$B$1:$U$1,AA$1)</f>
        <v>0</v>
      </c>
      <c r="AB349" s="140">
        <f ca="1">SUMIFS('recurring2_based on steps'!$B349:$AY349,'recurring2_based on steps'!$B$1:$AY$1,AB$1)+SUMIFS('changes2_based on steps'!$B349:$U349,'changes2_based on steps'!$B$1:$U$1,AB$1)</f>
        <v>0</v>
      </c>
      <c r="AC349" s="140">
        <f ca="1">SUMIFS('recurring2_based on steps'!$B349:$AY349,'recurring2_based on steps'!$B$1:$AY$1,AC$1)+SUMIFS('changes2_based on steps'!$B349:$U349,'changes2_based on steps'!$B$1:$U$1,AC$1)</f>
        <v>0</v>
      </c>
      <c r="AD349" s="140">
        <f ca="1">SUMIFS('recurring2_based on steps'!$B349:$AY349,'recurring2_based on steps'!$B$1:$AY$1,AD$1)+SUMIFS('changes2_based on steps'!$B349:$U349,'changes2_based on steps'!$B$1:$U$1,AD$1)</f>
        <v>0</v>
      </c>
      <c r="AE349" s="140">
        <f>SUMIFS('recurring2_based on steps'!$B349:$AY349,'recurring2_based on steps'!$B$1:$AY$1,AE$1)+SUMIFS('changes2_based on steps'!$B349:$U349,'changes2_based on steps'!$B$1:$U$1,AE$1)</f>
        <v>0</v>
      </c>
      <c r="AF349" s="140"/>
      <c r="AG349" s="140"/>
      <c r="AH349" s="140"/>
      <c r="AI349" s="140"/>
      <c r="AJ349" s="140"/>
      <c r="AK349" s="140"/>
      <c r="AL349" s="140"/>
      <c r="AM349" s="140"/>
    </row>
    <row r="350" spans="1:39" x14ac:dyDescent="0.2">
      <c r="A350" s="29">
        <f t="shared" ca="1" si="5"/>
        <v>46090</v>
      </c>
      <c r="B350" s="140">
        <f ca="1">SUMIFS('recurring2_based on steps'!$B350:$AY350,'recurring2_based on steps'!$B$1:$AY$1,B$1)+SUMIFS('changes2_based on steps'!$B350:$U350,'changes2_based on steps'!$B$1:$U$1,B$1)</f>
        <v>0</v>
      </c>
      <c r="C350" s="140">
        <f>SUMIFS('recurring2_based on steps'!$B350:$AY350,'recurring2_based on steps'!$B$1:$AY$1,C$1)+SUMIFS('changes2_based on steps'!$B350:$U350,'changes2_based on steps'!$B$1:$U$1,C$1)</f>
        <v>0</v>
      </c>
      <c r="D350" s="140">
        <f>SUMIFS('recurring2_based on steps'!$B350:$AY350,'recurring2_based on steps'!$B$1:$AY$1,D$1)+SUMIFS('changes2_based on steps'!$B350:$U350,'changes2_based on steps'!$B$1:$U$1,D$1)</f>
        <v>0</v>
      </c>
      <c r="E350" s="140">
        <f>SUMIFS('recurring2_based on steps'!$B350:$AY350,'recurring2_based on steps'!$B$1:$AY$1,E$1)+SUMIFS('changes2_based on steps'!$B350:$U350,'changes2_based on steps'!$B$1:$U$1,E$1)</f>
        <v>0</v>
      </c>
      <c r="F350" s="140">
        <f>SUMIFS('recurring2_based on steps'!$B350:$AY350,'recurring2_based on steps'!$B$1:$AY$1,F$1)+SUMIFS('changes2_based on steps'!$B350:$U350,'changes2_based on steps'!$B$1:$U$1,F$1)</f>
        <v>0</v>
      </c>
      <c r="G350" s="140">
        <f>SUMIFS('recurring2_based on steps'!$B350:$AY350,'recurring2_based on steps'!$B$1:$AY$1,G$1)+SUMIFS('changes2_based on steps'!$B350:$U350,'changes2_based on steps'!$B$1:$U$1,G$1)</f>
        <v>0</v>
      </c>
      <c r="H350" s="140">
        <f>SUMIFS('recurring2_based on steps'!$B350:$AY350,'recurring2_based on steps'!$B$1:$AY$1,H$1)+SUMIFS('changes2_based on steps'!$B350:$U350,'changes2_based on steps'!$B$1:$U$1,H$1)</f>
        <v>0</v>
      </c>
      <c r="I350" s="140">
        <f>SUMIFS('recurring2_based on steps'!$B350:$AY350,'recurring2_based on steps'!$B$1:$AY$1,I$1)+SUMIFS('changes2_based on steps'!$B350:$U350,'changes2_based on steps'!$B$1:$U$1,I$1)</f>
        <v>0</v>
      </c>
      <c r="J350" s="140">
        <f ca="1">SUMIFS('recurring2_based on steps'!$B350:$AY350,'recurring2_based on steps'!$B$1:$AY$1,J$1)+SUMIFS('changes2_based on steps'!$B350:$U350,'changes2_based on steps'!$B$1:$U$1,J$1)</f>
        <v>0</v>
      </c>
      <c r="K350" s="140">
        <f>SUMIFS('recurring2_based on steps'!$B350:$AY350,'recurring2_based on steps'!$B$1:$AY$1,K$1)+SUMIFS('changes2_based on steps'!$B350:$U350,'changes2_based on steps'!$B$1:$U$1,K$1)</f>
        <v>0</v>
      </c>
      <c r="L350" s="140">
        <f>SUMIFS('recurring2_based on steps'!$B350:$AY350,'recurring2_based on steps'!$B$1:$AY$1,L$1)+SUMIFS('changes2_based on steps'!$B350:$U350,'changes2_based on steps'!$B$1:$U$1,L$1)</f>
        <v>0</v>
      </c>
      <c r="M350" s="140">
        <f>SUMIFS('recurring2_based on steps'!$B350:$AY350,'recurring2_based on steps'!$B$1:$AY$1,M$1)+SUMIFS('changes2_based on steps'!$B350:$U350,'changes2_based on steps'!$B$1:$U$1,M$1)</f>
        <v>0</v>
      </c>
      <c r="N350" s="140">
        <f ca="1">SUMIFS('recurring2_based on steps'!$B350:$AY350,'recurring2_based on steps'!$B$1:$AY$1,N$1)+SUMIFS('changes2_based on steps'!$B350:$U350,'changes2_based on steps'!$B$1:$U$1,N$1)</f>
        <v>0</v>
      </c>
      <c r="O350" s="140">
        <f>SUMIFS('recurring2_based on steps'!$B350:$AY350,'recurring2_based on steps'!$B$1:$AY$1,O$1)+SUMIFS('changes2_based on steps'!$B350:$U350,'changes2_based on steps'!$B$1:$U$1,O$1)</f>
        <v>0</v>
      </c>
      <c r="P350" s="140">
        <f ca="1">SUMIFS('recurring2_based on steps'!$B350:$AY350,'recurring2_based on steps'!$B$1:$AY$1,P$1)+SUMIFS('changes2_based on steps'!$B350:$U350,'changes2_based on steps'!$B$1:$U$1,P$1)</f>
        <v>0</v>
      </c>
      <c r="Q350" s="140">
        <f ca="1">SUMIFS('recurring2_based on steps'!$B350:$AY350,'recurring2_based on steps'!$B$1:$AY$1,Q$1)+SUMIFS('changes2_based on steps'!$B350:$U350,'changes2_based on steps'!$B$1:$U$1,Q$1)</f>
        <v>5.5401662049861494E-2</v>
      </c>
      <c r="R350" s="140">
        <f ca="1">SUMIFS('recurring2_based on steps'!$B350:$AY350,'recurring2_based on steps'!$B$1:$AY$1,R$1)+SUMIFS('changes2_based on steps'!$B350:$U350,'changes2_based on steps'!$B$1:$U$1,R$1)</f>
        <v>0</v>
      </c>
      <c r="S350" s="140">
        <f>SUMIFS('recurring2_based on steps'!$B350:$AY350,'recurring2_based on steps'!$B$1:$AY$1,S$1)+SUMIFS('changes2_based on steps'!$B350:$U350,'changes2_based on steps'!$B$1:$U$1,S$1)</f>
        <v>0</v>
      </c>
      <c r="T350" s="140">
        <f ca="1">SUMIFS('recurring2_based on steps'!$B350:$AY350,'recurring2_based on steps'!$B$1:$AY$1,T$1)+SUMIFS('changes2_based on steps'!$B350:$U350,'changes2_based on steps'!$B$1:$U$1,T$1)</f>
        <v>0</v>
      </c>
      <c r="U350" s="140">
        <f ca="1">SUMIFS('recurring2_based on steps'!$B350:$AY350,'recurring2_based on steps'!$B$1:$AY$1,U$1)+SUMIFS('changes2_based on steps'!$B350:$U350,'changes2_based on steps'!$B$1:$U$1,U$1)</f>
        <v>0</v>
      </c>
      <c r="V350" s="140">
        <f>SUMIFS('recurring2_based on steps'!$B350:$AY350,'recurring2_based on steps'!$B$1:$AY$1,V$1)+SUMIFS('changes2_based on steps'!$B350:$U350,'changes2_based on steps'!$B$1:$U$1,V$1)</f>
        <v>0</v>
      </c>
      <c r="W350" s="140">
        <f>SUMIFS('recurring2_based on steps'!$B350:$AY350,'recurring2_based on steps'!$B$1:$AY$1,W$1)+SUMIFS('changes2_based on steps'!$B350:$U350,'changes2_based on steps'!$B$1:$U$1,W$1)</f>
        <v>0</v>
      </c>
      <c r="X350" s="140">
        <f ca="1">SUMIFS('recurring2_based on steps'!$B350:$AY350,'recurring2_based on steps'!$B$1:$AY$1,X$1)+SUMIFS('changes2_based on steps'!$B350:$U350,'changes2_based on steps'!$B$1:$U$1,X$1)</f>
        <v>0</v>
      </c>
      <c r="Y350" s="140">
        <f ca="1">SUMIFS('recurring2_based on steps'!$B350:$AY350,'recurring2_based on steps'!$B$1:$AY$1,Y$1)+SUMIFS('changes2_based on steps'!$B350:$U350,'changes2_based on steps'!$B$1:$U$1,Y$1)</f>
        <v>0</v>
      </c>
      <c r="Z350" s="140">
        <f>SUMIFS('recurring2_based on steps'!$B350:$AY350,'recurring2_based on steps'!$B$1:$AY$1,Z$1)+SUMIFS('changes2_based on steps'!$B350:$U350,'changes2_based on steps'!$B$1:$U$1,Z$1)</f>
        <v>0</v>
      </c>
      <c r="AA350" s="140">
        <f ca="1">SUMIFS('recurring2_based on steps'!$B350:$AY350,'recurring2_based on steps'!$B$1:$AY$1,AA$1)+SUMIFS('changes2_based on steps'!$B350:$U350,'changes2_based on steps'!$B$1:$U$1,AA$1)</f>
        <v>50</v>
      </c>
      <c r="AB350" s="140">
        <f ca="1">SUMIFS('recurring2_based on steps'!$B350:$AY350,'recurring2_based on steps'!$B$1:$AY$1,AB$1)+SUMIFS('changes2_based on steps'!$B350:$U350,'changes2_based on steps'!$B$1:$U$1,AB$1)</f>
        <v>0</v>
      </c>
      <c r="AC350" s="140">
        <f ca="1">SUMIFS('recurring2_based on steps'!$B350:$AY350,'recurring2_based on steps'!$B$1:$AY$1,AC$1)+SUMIFS('changes2_based on steps'!$B350:$U350,'changes2_based on steps'!$B$1:$U$1,AC$1)</f>
        <v>0</v>
      </c>
      <c r="AD350" s="140">
        <f ca="1">SUMIFS('recurring2_based on steps'!$B350:$AY350,'recurring2_based on steps'!$B$1:$AY$1,AD$1)+SUMIFS('changes2_based on steps'!$B350:$U350,'changes2_based on steps'!$B$1:$U$1,AD$1)</f>
        <v>0</v>
      </c>
      <c r="AE350" s="140">
        <f>SUMIFS('recurring2_based on steps'!$B350:$AY350,'recurring2_based on steps'!$B$1:$AY$1,AE$1)+SUMIFS('changes2_based on steps'!$B350:$U350,'changes2_based on steps'!$B$1:$U$1,AE$1)</f>
        <v>0</v>
      </c>
      <c r="AF350" s="140"/>
      <c r="AG350" s="140"/>
      <c r="AH350" s="140"/>
      <c r="AI350" s="140"/>
      <c r="AJ350" s="140"/>
      <c r="AK350" s="140"/>
      <c r="AL350" s="140"/>
      <c r="AM350" s="140"/>
    </row>
    <row r="351" spans="1:39" x14ac:dyDescent="0.2">
      <c r="A351" s="29">
        <f t="shared" ca="1" si="5"/>
        <v>46091</v>
      </c>
      <c r="B351" s="140">
        <f ca="1">SUMIFS('recurring2_based on steps'!$B351:$AY351,'recurring2_based on steps'!$B$1:$AY$1,B$1)+SUMIFS('changes2_based on steps'!$B351:$U351,'changes2_based on steps'!$B$1:$U$1,B$1)</f>
        <v>0</v>
      </c>
      <c r="C351" s="140">
        <f>SUMIFS('recurring2_based on steps'!$B351:$AY351,'recurring2_based on steps'!$B$1:$AY$1,C$1)+SUMIFS('changes2_based on steps'!$B351:$U351,'changes2_based on steps'!$B$1:$U$1,C$1)</f>
        <v>0</v>
      </c>
      <c r="D351" s="140">
        <f>SUMIFS('recurring2_based on steps'!$B351:$AY351,'recurring2_based on steps'!$B$1:$AY$1,D$1)+SUMIFS('changes2_based on steps'!$B351:$U351,'changes2_based on steps'!$B$1:$U$1,D$1)</f>
        <v>0</v>
      </c>
      <c r="E351" s="140">
        <f>SUMIFS('recurring2_based on steps'!$B351:$AY351,'recurring2_based on steps'!$B$1:$AY$1,E$1)+SUMIFS('changes2_based on steps'!$B351:$U351,'changes2_based on steps'!$B$1:$U$1,E$1)</f>
        <v>0</v>
      </c>
      <c r="F351" s="140">
        <f>SUMIFS('recurring2_based on steps'!$B351:$AY351,'recurring2_based on steps'!$B$1:$AY$1,F$1)+SUMIFS('changes2_based on steps'!$B351:$U351,'changes2_based on steps'!$B$1:$U$1,F$1)</f>
        <v>0</v>
      </c>
      <c r="G351" s="140">
        <f>SUMIFS('recurring2_based on steps'!$B351:$AY351,'recurring2_based on steps'!$B$1:$AY$1,G$1)+SUMIFS('changes2_based on steps'!$B351:$U351,'changes2_based on steps'!$B$1:$U$1,G$1)</f>
        <v>0</v>
      </c>
      <c r="H351" s="140">
        <f>SUMIFS('recurring2_based on steps'!$B351:$AY351,'recurring2_based on steps'!$B$1:$AY$1,H$1)+SUMIFS('changes2_based on steps'!$B351:$U351,'changes2_based on steps'!$B$1:$U$1,H$1)</f>
        <v>0</v>
      </c>
      <c r="I351" s="140">
        <f>SUMIFS('recurring2_based on steps'!$B351:$AY351,'recurring2_based on steps'!$B$1:$AY$1,I$1)+SUMIFS('changes2_based on steps'!$B351:$U351,'changes2_based on steps'!$B$1:$U$1,I$1)</f>
        <v>0</v>
      </c>
      <c r="J351" s="140">
        <f ca="1">SUMIFS('recurring2_based on steps'!$B351:$AY351,'recurring2_based on steps'!$B$1:$AY$1,J$1)+SUMIFS('changes2_based on steps'!$B351:$U351,'changes2_based on steps'!$B$1:$U$1,J$1)</f>
        <v>0</v>
      </c>
      <c r="K351" s="140">
        <f>SUMIFS('recurring2_based on steps'!$B351:$AY351,'recurring2_based on steps'!$B$1:$AY$1,K$1)+SUMIFS('changes2_based on steps'!$B351:$U351,'changes2_based on steps'!$B$1:$U$1,K$1)</f>
        <v>0</v>
      </c>
      <c r="L351" s="140">
        <f>SUMIFS('recurring2_based on steps'!$B351:$AY351,'recurring2_based on steps'!$B$1:$AY$1,L$1)+SUMIFS('changes2_based on steps'!$B351:$U351,'changes2_based on steps'!$B$1:$U$1,L$1)</f>
        <v>0</v>
      </c>
      <c r="M351" s="140">
        <f>SUMIFS('recurring2_based on steps'!$B351:$AY351,'recurring2_based on steps'!$B$1:$AY$1,M$1)+SUMIFS('changes2_based on steps'!$B351:$U351,'changes2_based on steps'!$B$1:$U$1,M$1)</f>
        <v>0</v>
      </c>
      <c r="N351" s="140">
        <f ca="1">SUMIFS('recurring2_based on steps'!$B351:$AY351,'recurring2_based on steps'!$B$1:$AY$1,N$1)+SUMIFS('changes2_based on steps'!$B351:$U351,'changes2_based on steps'!$B$1:$U$1,N$1)</f>
        <v>0</v>
      </c>
      <c r="O351" s="140">
        <f>SUMIFS('recurring2_based on steps'!$B351:$AY351,'recurring2_based on steps'!$B$1:$AY$1,O$1)+SUMIFS('changes2_based on steps'!$B351:$U351,'changes2_based on steps'!$B$1:$U$1,O$1)</f>
        <v>0</v>
      </c>
      <c r="P351" s="140">
        <f ca="1">SUMIFS('recurring2_based on steps'!$B351:$AY351,'recurring2_based on steps'!$B$1:$AY$1,P$1)+SUMIFS('changes2_based on steps'!$B351:$U351,'changes2_based on steps'!$B$1:$U$1,P$1)</f>
        <v>0</v>
      </c>
      <c r="Q351" s="140">
        <f ca="1">SUMIFS('recurring2_based on steps'!$B351:$AY351,'recurring2_based on steps'!$B$1:$AY$1,Q$1)+SUMIFS('changes2_based on steps'!$B351:$U351,'changes2_based on steps'!$B$1:$U$1,Q$1)</f>
        <v>5.5401662049861494E-2</v>
      </c>
      <c r="R351" s="140">
        <f ca="1">SUMIFS('recurring2_based on steps'!$B351:$AY351,'recurring2_based on steps'!$B$1:$AY$1,R$1)+SUMIFS('changes2_based on steps'!$B351:$U351,'changes2_based on steps'!$B$1:$U$1,R$1)</f>
        <v>0</v>
      </c>
      <c r="S351" s="140">
        <f>SUMIFS('recurring2_based on steps'!$B351:$AY351,'recurring2_based on steps'!$B$1:$AY$1,S$1)+SUMIFS('changes2_based on steps'!$B351:$U351,'changes2_based on steps'!$B$1:$U$1,S$1)</f>
        <v>0</v>
      </c>
      <c r="T351" s="140">
        <f ca="1">SUMIFS('recurring2_based on steps'!$B351:$AY351,'recurring2_based on steps'!$B$1:$AY$1,T$1)+SUMIFS('changes2_based on steps'!$B351:$U351,'changes2_based on steps'!$B$1:$U$1,T$1)</f>
        <v>0</v>
      </c>
      <c r="U351" s="140">
        <f ca="1">SUMIFS('recurring2_based on steps'!$B351:$AY351,'recurring2_based on steps'!$B$1:$AY$1,U$1)+SUMIFS('changes2_based on steps'!$B351:$U351,'changes2_based on steps'!$B$1:$U$1,U$1)</f>
        <v>0</v>
      </c>
      <c r="V351" s="140">
        <f>SUMIFS('recurring2_based on steps'!$B351:$AY351,'recurring2_based on steps'!$B$1:$AY$1,V$1)+SUMIFS('changes2_based on steps'!$B351:$U351,'changes2_based on steps'!$B$1:$U$1,V$1)</f>
        <v>0</v>
      </c>
      <c r="W351" s="140">
        <f>SUMIFS('recurring2_based on steps'!$B351:$AY351,'recurring2_based on steps'!$B$1:$AY$1,W$1)+SUMIFS('changes2_based on steps'!$B351:$U351,'changes2_based on steps'!$B$1:$U$1,W$1)</f>
        <v>0</v>
      </c>
      <c r="X351" s="140">
        <f ca="1">SUMIFS('recurring2_based on steps'!$B351:$AY351,'recurring2_based on steps'!$B$1:$AY$1,X$1)+SUMIFS('changes2_based on steps'!$B351:$U351,'changes2_based on steps'!$B$1:$U$1,X$1)</f>
        <v>0</v>
      </c>
      <c r="Y351" s="140">
        <f ca="1">SUMIFS('recurring2_based on steps'!$B351:$AY351,'recurring2_based on steps'!$B$1:$AY$1,Y$1)+SUMIFS('changes2_based on steps'!$B351:$U351,'changes2_based on steps'!$B$1:$U$1,Y$1)</f>
        <v>0</v>
      </c>
      <c r="Z351" s="140">
        <f>SUMIFS('recurring2_based on steps'!$B351:$AY351,'recurring2_based on steps'!$B$1:$AY$1,Z$1)+SUMIFS('changes2_based on steps'!$B351:$U351,'changes2_based on steps'!$B$1:$U$1,Z$1)</f>
        <v>0</v>
      </c>
      <c r="AA351" s="140">
        <f ca="1">SUMIFS('recurring2_based on steps'!$B351:$AY351,'recurring2_based on steps'!$B$1:$AY$1,AA$1)+SUMIFS('changes2_based on steps'!$B351:$U351,'changes2_based on steps'!$B$1:$U$1,AA$1)</f>
        <v>0</v>
      </c>
      <c r="AB351" s="140">
        <f ca="1">SUMIFS('recurring2_based on steps'!$B351:$AY351,'recurring2_based on steps'!$B$1:$AY$1,AB$1)+SUMIFS('changes2_based on steps'!$B351:$U351,'changes2_based on steps'!$B$1:$U$1,AB$1)</f>
        <v>0</v>
      </c>
      <c r="AC351" s="140">
        <f ca="1">SUMIFS('recurring2_based on steps'!$B351:$AY351,'recurring2_based on steps'!$B$1:$AY$1,AC$1)+SUMIFS('changes2_based on steps'!$B351:$U351,'changes2_based on steps'!$B$1:$U$1,AC$1)</f>
        <v>0</v>
      </c>
      <c r="AD351" s="140">
        <f ca="1">SUMIFS('recurring2_based on steps'!$B351:$AY351,'recurring2_based on steps'!$B$1:$AY$1,AD$1)+SUMIFS('changes2_based on steps'!$B351:$U351,'changes2_based on steps'!$B$1:$U$1,AD$1)</f>
        <v>0</v>
      </c>
      <c r="AE351" s="140">
        <f>SUMIFS('recurring2_based on steps'!$B351:$AY351,'recurring2_based on steps'!$B$1:$AY$1,AE$1)+SUMIFS('changes2_based on steps'!$B351:$U351,'changes2_based on steps'!$B$1:$U$1,AE$1)</f>
        <v>0</v>
      </c>
      <c r="AF351" s="140"/>
      <c r="AG351" s="140"/>
      <c r="AH351" s="140"/>
      <c r="AI351" s="140"/>
      <c r="AJ351" s="140"/>
      <c r="AK351" s="140"/>
      <c r="AL351" s="140"/>
      <c r="AM351" s="140"/>
    </row>
    <row r="352" spans="1:39" x14ac:dyDescent="0.2">
      <c r="A352" s="29">
        <f t="shared" ca="1" si="5"/>
        <v>46092</v>
      </c>
      <c r="B352" s="140">
        <f ca="1">SUMIFS('recurring2_based on steps'!$B352:$AY352,'recurring2_based on steps'!$B$1:$AY$1,B$1)+SUMIFS('changes2_based on steps'!$B352:$U352,'changes2_based on steps'!$B$1:$U$1,B$1)</f>
        <v>0</v>
      </c>
      <c r="C352" s="140">
        <f>SUMIFS('recurring2_based on steps'!$B352:$AY352,'recurring2_based on steps'!$B$1:$AY$1,C$1)+SUMIFS('changes2_based on steps'!$B352:$U352,'changes2_based on steps'!$B$1:$U$1,C$1)</f>
        <v>0</v>
      </c>
      <c r="D352" s="140">
        <f>SUMIFS('recurring2_based on steps'!$B352:$AY352,'recurring2_based on steps'!$B$1:$AY$1,D$1)+SUMIFS('changes2_based on steps'!$B352:$U352,'changes2_based on steps'!$B$1:$U$1,D$1)</f>
        <v>0</v>
      </c>
      <c r="E352" s="140">
        <f>SUMIFS('recurring2_based on steps'!$B352:$AY352,'recurring2_based on steps'!$B$1:$AY$1,E$1)+SUMIFS('changes2_based on steps'!$B352:$U352,'changes2_based on steps'!$B$1:$U$1,E$1)</f>
        <v>0</v>
      </c>
      <c r="F352" s="140">
        <f>SUMIFS('recurring2_based on steps'!$B352:$AY352,'recurring2_based on steps'!$B$1:$AY$1,F$1)+SUMIFS('changes2_based on steps'!$B352:$U352,'changes2_based on steps'!$B$1:$U$1,F$1)</f>
        <v>0</v>
      </c>
      <c r="G352" s="140">
        <f>SUMIFS('recurring2_based on steps'!$B352:$AY352,'recurring2_based on steps'!$B$1:$AY$1,G$1)+SUMIFS('changes2_based on steps'!$B352:$U352,'changes2_based on steps'!$B$1:$U$1,G$1)</f>
        <v>0</v>
      </c>
      <c r="H352" s="140">
        <f>SUMIFS('recurring2_based on steps'!$B352:$AY352,'recurring2_based on steps'!$B$1:$AY$1,H$1)+SUMIFS('changes2_based on steps'!$B352:$U352,'changes2_based on steps'!$B$1:$U$1,H$1)</f>
        <v>0</v>
      </c>
      <c r="I352" s="140">
        <f>SUMIFS('recurring2_based on steps'!$B352:$AY352,'recurring2_based on steps'!$B$1:$AY$1,I$1)+SUMIFS('changes2_based on steps'!$B352:$U352,'changes2_based on steps'!$B$1:$U$1,I$1)</f>
        <v>0</v>
      </c>
      <c r="J352" s="140">
        <f ca="1">SUMIFS('recurring2_based on steps'!$B352:$AY352,'recurring2_based on steps'!$B$1:$AY$1,J$1)+SUMIFS('changes2_based on steps'!$B352:$U352,'changes2_based on steps'!$B$1:$U$1,J$1)</f>
        <v>0</v>
      </c>
      <c r="K352" s="140">
        <f>SUMIFS('recurring2_based on steps'!$B352:$AY352,'recurring2_based on steps'!$B$1:$AY$1,K$1)+SUMIFS('changes2_based on steps'!$B352:$U352,'changes2_based on steps'!$B$1:$U$1,K$1)</f>
        <v>0</v>
      </c>
      <c r="L352" s="140">
        <f>SUMIFS('recurring2_based on steps'!$B352:$AY352,'recurring2_based on steps'!$B$1:$AY$1,L$1)+SUMIFS('changes2_based on steps'!$B352:$U352,'changes2_based on steps'!$B$1:$U$1,L$1)</f>
        <v>0</v>
      </c>
      <c r="M352" s="140">
        <f>SUMIFS('recurring2_based on steps'!$B352:$AY352,'recurring2_based on steps'!$B$1:$AY$1,M$1)+SUMIFS('changes2_based on steps'!$B352:$U352,'changes2_based on steps'!$B$1:$U$1,M$1)</f>
        <v>0</v>
      </c>
      <c r="N352" s="140">
        <f ca="1">SUMIFS('recurring2_based on steps'!$B352:$AY352,'recurring2_based on steps'!$B$1:$AY$1,N$1)+SUMIFS('changes2_based on steps'!$B352:$U352,'changes2_based on steps'!$B$1:$U$1,N$1)</f>
        <v>0</v>
      </c>
      <c r="O352" s="140">
        <f>SUMIFS('recurring2_based on steps'!$B352:$AY352,'recurring2_based on steps'!$B$1:$AY$1,O$1)+SUMIFS('changes2_based on steps'!$B352:$U352,'changes2_based on steps'!$B$1:$U$1,O$1)</f>
        <v>0</v>
      </c>
      <c r="P352" s="140">
        <f ca="1">SUMIFS('recurring2_based on steps'!$B352:$AY352,'recurring2_based on steps'!$B$1:$AY$1,P$1)+SUMIFS('changes2_based on steps'!$B352:$U352,'changes2_based on steps'!$B$1:$U$1,P$1)</f>
        <v>0</v>
      </c>
      <c r="Q352" s="140">
        <f ca="1">SUMIFS('recurring2_based on steps'!$B352:$AY352,'recurring2_based on steps'!$B$1:$AY$1,Q$1)+SUMIFS('changes2_based on steps'!$B352:$U352,'changes2_based on steps'!$B$1:$U$1,Q$1)</f>
        <v>5.5401662049861494E-2</v>
      </c>
      <c r="R352" s="140">
        <f ca="1">SUMIFS('recurring2_based on steps'!$B352:$AY352,'recurring2_based on steps'!$B$1:$AY$1,R$1)+SUMIFS('changes2_based on steps'!$B352:$U352,'changes2_based on steps'!$B$1:$U$1,R$1)</f>
        <v>69</v>
      </c>
      <c r="S352" s="140">
        <f>SUMIFS('recurring2_based on steps'!$B352:$AY352,'recurring2_based on steps'!$B$1:$AY$1,S$1)+SUMIFS('changes2_based on steps'!$B352:$U352,'changes2_based on steps'!$B$1:$U$1,S$1)</f>
        <v>0</v>
      </c>
      <c r="T352" s="140">
        <f ca="1">SUMIFS('recurring2_based on steps'!$B352:$AY352,'recurring2_based on steps'!$B$1:$AY$1,T$1)+SUMIFS('changes2_based on steps'!$B352:$U352,'changes2_based on steps'!$B$1:$U$1,T$1)</f>
        <v>0</v>
      </c>
      <c r="U352" s="140">
        <f ca="1">SUMIFS('recurring2_based on steps'!$B352:$AY352,'recurring2_based on steps'!$B$1:$AY$1,U$1)+SUMIFS('changes2_based on steps'!$B352:$U352,'changes2_based on steps'!$B$1:$U$1,U$1)</f>
        <v>0</v>
      </c>
      <c r="V352" s="140">
        <f>SUMIFS('recurring2_based on steps'!$B352:$AY352,'recurring2_based on steps'!$B$1:$AY$1,V$1)+SUMIFS('changes2_based on steps'!$B352:$U352,'changes2_based on steps'!$B$1:$U$1,V$1)</f>
        <v>0</v>
      </c>
      <c r="W352" s="140">
        <f>SUMIFS('recurring2_based on steps'!$B352:$AY352,'recurring2_based on steps'!$B$1:$AY$1,W$1)+SUMIFS('changes2_based on steps'!$B352:$U352,'changes2_based on steps'!$B$1:$U$1,W$1)</f>
        <v>0</v>
      </c>
      <c r="X352" s="140">
        <f ca="1">SUMIFS('recurring2_based on steps'!$B352:$AY352,'recurring2_based on steps'!$B$1:$AY$1,X$1)+SUMIFS('changes2_based on steps'!$B352:$U352,'changes2_based on steps'!$B$1:$U$1,X$1)</f>
        <v>0</v>
      </c>
      <c r="Y352" s="140">
        <f ca="1">SUMIFS('recurring2_based on steps'!$B352:$AY352,'recurring2_based on steps'!$B$1:$AY$1,Y$1)+SUMIFS('changes2_based on steps'!$B352:$U352,'changes2_based on steps'!$B$1:$U$1,Y$1)</f>
        <v>0</v>
      </c>
      <c r="Z352" s="140">
        <f>SUMIFS('recurring2_based on steps'!$B352:$AY352,'recurring2_based on steps'!$B$1:$AY$1,Z$1)+SUMIFS('changes2_based on steps'!$B352:$U352,'changes2_based on steps'!$B$1:$U$1,Z$1)</f>
        <v>0</v>
      </c>
      <c r="AA352" s="140">
        <f ca="1">SUMIFS('recurring2_based on steps'!$B352:$AY352,'recurring2_based on steps'!$B$1:$AY$1,AA$1)+SUMIFS('changes2_based on steps'!$B352:$U352,'changes2_based on steps'!$B$1:$U$1,AA$1)</f>
        <v>0</v>
      </c>
      <c r="AB352" s="140">
        <f ca="1">SUMIFS('recurring2_based on steps'!$B352:$AY352,'recurring2_based on steps'!$B$1:$AY$1,AB$1)+SUMIFS('changes2_based on steps'!$B352:$U352,'changes2_based on steps'!$B$1:$U$1,AB$1)</f>
        <v>0</v>
      </c>
      <c r="AC352" s="140">
        <f ca="1">SUMIFS('recurring2_based on steps'!$B352:$AY352,'recurring2_based on steps'!$B$1:$AY$1,AC$1)+SUMIFS('changes2_based on steps'!$B352:$U352,'changes2_based on steps'!$B$1:$U$1,AC$1)</f>
        <v>0</v>
      </c>
      <c r="AD352" s="140">
        <f ca="1">SUMIFS('recurring2_based on steps'!$B352:$AY352,'recurring2_based on steps'!$B$1:$AY$1,AD$1)+SUMIFS('changes2_based on steps'!$B352:$U352,'changes2_based on steps'!$B$1:$U$1,AD$1)</f>
        <v>0</v>
      </c>
      <c r="AE352" s="140">
        <f>SUMIFS('recurring2_based on steps'!$B352:$AY352,'recurring2_based on steps'!$B$1:$AY$1,AE$1)+SUMIFS('changes2_based on steps'!$B352:$U352,'changes2_based on steps'!$B$1:$U$1,AE$1)</f>
        <v>0</v>
      </c>
      <c r="AF352" s="140"/>
      <c r="AG352" s="140"/>
      <c r="AH352" s="140"/>
      <c r="AI352" s="140"/>
      <c r="AJ352" s="140"/>
      <c r="AK352" s="140"/>
      <c r="AL352" s="140"/>
      <c r="AM352" s="140"/>
    </row>
    <row r="353" spans="1:39" x14ac:dyDescent="0.2">
      <c r="A353" s="29">
        <f t="shared" ca="1" si="5"/>
        <v>46093</v>
      </c>
      <c r="B353" s="140">
        <f ca="1">SUMIFS('recurring2_based on steps'!$B353:$AY353,'recurring2_based on steps'!$B$1:$AY$1,B$1)+SUMIFS('changes2_based on steps'!$B353:$U353,'changes2_based on steps'!$B$1:$U$1,B$1)</f>
        <v>0</v>
      </c>
      <c r="C353" s="140">
        <f>SUMIFS('recurring2_based on steps'!$B353:$AY353,'recurring2_based on steps'!$B$1:$AY$1,C$1)+SUMIFS('changes2_based on steps'!$B353:$U353,'changes2_based on steps'!$B$1:$U$1,C$1)</f>
        <v>0</v>
      </c>
      <c r="D353" s="140">
        <f>SUMIFS('recurring2_based on steps'!$B353:$AY353,'recurring2_based on steps'!$B$1:$AY$1,D$1)+SUMIFS('changes2_based on steps'!$B353:$U353,'changes2_based on steps'!$B$1:$U$1,D$1)</f>
        <v>0</v>
      </c>
      <c r="E353" s="140">
        <f>SUMIFS('recurring2_based on steps'!$B353:$AY353,'recurring2_based on steps'!$B$1:$AY$1,E$1)+SUMIFS('changes2_based on steps'!$B353:$U353,'changes2_based on steps'!$B$1:$U$1,E$1)</f>
        <v>0</v>
      </c>
      <c r="F353" s="140">
        <f>SUMIFS('recurring2_based on steps'!$B353:$AY353,'recurring2_based on steps'!$B$1:$AY$1,F$1)+SUMIFS('changes2_based on steps'!$B353:$U353,'changes2_based on steps'!$B$1:$U$1,F$1)</f>
        <v>0</v>
      </c>
      <c r="G353" s="140">
        <f>SUMIFS('recurring2_based on steps'!$B353:$AY353,'recurring2_based on steps'!$B$1:$AY$1,G$1)+SUMIFS('changes2_based on steps'!$B353:$U353,'changes2_based on steps'!$B$1:$U$1,G$1)</f>
        <v>0</v>
      </c>
      <c r="H353" s="140">
        <f>SUMIFS('recurring2_based on steps'!$B353:$AY353,'recurring2_based on steps'!$B$1:$AY$1,H$1)+SUMIFS('changes2_based on steps'!$B353:$U353,'changes2_based on steps'!$B$1:$U$1,H$1)</f>
        <v>0</v>
      </c>
      <c r="I353" s="140">
        <f>SUMIFS('recurring2_based on steps'!$B353:$AY353,'recurring2_based on steps'!$B$1:$AY$1,I$1)+SUMIFS('changes2_based on steps'!$B353:$U353,'changes2_based on steps'!$B$1:$U$1,I$1)</f>
        <v>0</v>
      </c>
      <c r="J353" s="140">
        <f ca="1">SUMIFS('recurring2_based on steps'!$B353:$AY353,'recurring2_based on steps'!$B$1:$AY$1,J$1)+SUMIFS('changes2_based on steps'!$B353:$U353,'changes2_based on steps'!$B$1:$U$1,J$1)</f>
        <v>0</v>
      </c>
      <c r="K353" s="140">
        <f>SUMIFS('recurring2_based on steps'!$B353:$AY353,'recurring2_based on steps'!$B$1:$AY$1,K$1)+SUMIFS('changes2_based on steps'!$B353:$U353,'changes2_based on steps'!$B$1:$U$1,K$1)</f>
        <v>0</v>
      </c>
      <c r="L353" s="140">
        <f>SUMIFS('recurring2_based on steps'!$B353:$AY353,'recurring2_based on steps'!$B$1:$AY$1,L$1)+SUMIFS('changes2_based on steps'!$B353:$U353,'changes2_based on steps'!$B$1:$U$1,L$1)</f>
        <v>0</v>
      </c>
      <c r="M353" s="140">
        <f>SUMIFS('recurring2_based on steps'!$B353:$AY353,'recurring2_based on steps'!$B$1:$AY$1,M$1)+SUMIFS('changes2_based on steps'!$B353:$U353,'changes2_based on steps'!$B$1:$U$1,M$1)</f>
        <v>0</v>
      </c>
      <c r="N353" s="140">
        <f ca="1">SUMIFS('recurring2_based on steps'!$B353:$AY353,'recurring2_based on steps'!$B$1:$AY$1,N$1)+SUMIFS('changes2_based on steps'!$B353:$U353,'changes2_based on steps'!$B$1:$U$1,N$1)</f>
        <v>0</v>
      </c>
      <c r="O353" s="140">
        <f>SUMIFS('recurring2_based on steps'!$B353:$AY353,'recurring2_based on steps'!$B$1:$AY$1,O$1)+SUMIFS('changes2_based on steps'!$B353:$U353,'changes2_based on steps'!$B$1:$U$1,O$1)</f>
        <v>0</v>
      </c>
      <c r="P353" s="140">
        <f ca="1">SUMIFS('recurring2_based on steps'!$B353:$AY353,'recurring2_based on steps'!$B$1:$AY$1,P$1)+SUMIFS('changes2_based on steps'!$B353:$U353,'changes2_based on steps'!$B$1:$U$1,P$1)</f>
        <v>0</v>
      </c>
      <c r="Q353" s="140">
        <f ca="1">SUMIFS('recurring2_based on steps'!$B353:$AY353,'recurring2_based on steps'!$B$1:$AY$1,Q$1)+SUMIFS('changes2_based on steps'!$B353:$U353,'changes2_based on steps'!$B$1:$U$1,Q$1)</f>
        <v>5.5401662049861494E-2</v>
      </c>
      <c r="R353" s="140">
        <f ca="1">SUMIFS('recurring2_based on steps'!$B353:$AY353,'recurring2_based on steps'!$B$1:$AY$1,R$1)+SUMIFS('changes2_based on steps'!$B353:$U353,'changes2_based on steps'!$B$1:$U$1,R$1)</f>
        <v>0</v>
      </c>
      <c r="S353" s="140">
        <f>SUMIFS('recurring2_based on steps'!$B353:$AY353,'recurring2_based on steps'!$B$1:$AY$1,S$1)+SUMIFS('changes2_based on steps'!$B353:$U353,'changes2_based on steps'!$B$1:$U$1,S$1)</f>
        <v>0</v>
      </c>
      <c r="T353" s="140">
        <f ca="1">SUMIFS('recurring2_based on steps'!$B353:$AY353,'recurring2_based on steps'!$B$1:$AY$1,T$1)+SUMIFS('changes2_based on steps'!$B353:$U353,'changes2_based on steps'!$B$1:$U$1,T$1)</f>
        <v>0</v>
      </c>
      <c r="U353" s="140">
        <f ca="1">SUMIFS('recurring2_based on steps'!$B353:$AY353,'recurring2_based on steps'!$B$1:$AY$1,U$1)+SUMIFS('changes2_based on steps'!$B353:$U353,'changes2_based on steps'!$B$1:$U$1,U$1)</f>
        <v>0</v>
      </c>
      <c r="V353" s="140">
        <f>SUMIFS('recurring2_based on steps'!$B353:$AY353,'recurring2_based on steps'!$B$1:$AY$1,V$1)+SUMIFS('changes2_based on steps'!$B353:$U353,'changes2_based on steps'!$B$1:$U$1,V$1)</f>
        <v>0</v>
      </c>
      <c r="W353" s="140">
        <f>SUMIFS('recurring2_based on steps'!$B353:$AY353,'recurring2_based on steps'!$B$1:$AY$1,W$1)+SUMIFS('changes2_based on steps'!$B353:$U353,'changes2_based on steps'!$B$1:$U$1,W$1)</f>
        <v>0</v>
      </c>
      <c r="X353" s="140">
        <f ca="1">SUMIFS('recurring2_based on steps'!$B353:$AY353,'recurring2_based on steps'!$B$1:$AY$1,X$1)+SUMIFS('changes2_based on steps'!$B353:$U353,'changes2_based on steps'!$B$1:$U$1,X$1)</f>
        <v>0</v>
      </c>
      <c r="Y353" s="140">
        <f ca="1">SUMIFS('recurring2_based on steps'!$B353:$AY353,'recurring2_based on steps'!$B$1:$AY$1,Y$1)+SUMIFS('changes2_based on steps'!$B353:$U353,'changes2_based on steps'!$B$1:$U$1,Y$1)</f>
        <v>0</v>
      </c>
      <c r="Z353" s="140">
        <f>SUMIFS('recurring2_based on steps'!$B353:$AY353,'recurring2_based on steps'!$B$1:$AY$1,Z$1)+SUMIFS('changes2_based on steps'!$B353:$U353,'changes2_based on steps'!$B$1:$U$1,Z$1)</f>
        <v>0</v>
      </c>
      <c r="AA353" s="140">
        <f ca="1">SUMIFS('recurring2_based on steps'!$B353:$AY353,'recurring2_based on steps'!$B$1:$AY$1,AA$1)+SUMIFS('changes2_based on steps'!$B353:$U353,'changes2_based on steps'!$B$1:$U$1,AA$1)</f>
        <v>0</v>
      </c>
      <c r="AB353" s="140">
        <f ca="1">SUMIFS('recurring2_based on steps'!$B353:$AY353,'recurring2_based on steps'!$B$1:$AY$1,AB$1)+SUMIFS('changes2_based on steps'!$B353:$U353,'changes2_based on steps'!$B$1:$U$1,AB$1)</f>
        <v>0</v>
      </c>
      <c r="AC353" s="140">
        <f ca="1">SUMIFS('recurring2_based on steps'!$B353:$AY353,'recurring2_based on steps'!$B$1:$AY$1,AC$1)+SUMIFS('changes2_based on steps'!$B353:$U353,'changes2_based on steps'!$B$1:$U$1,AC$1)</f>
        <v>0</v>
      </c>
      <c r="AD353" s="140">
        <f ca="1">SUMIFS('recurring2_based on steps'!$B353:$AY353,'recurring2_based on steps'!$B$1:$AY$1,AD$1)+SUMIFS('changes2_based on steps'!$B353:$U353,'changes2_based on steps'!$B$1:$U$1,AD$1)</f>
        <v>0</v>
      </c>
      <c r="AE353" s="140">
        <f>SUMIFS('recurring2_based on steps'!$B353:$AY353,'recurring2_based on steps'!$B$1:$AY$1,AE$1)+SUMIFS('changes2_based on steps'!$B353:$U353,'changes2_based on steps'!$B$1:$U$1,AE$1)</f>
        <v>0</v>
      </c>
      <c r="AF353" s="140"/>
      <c r="AG353" s="140"/>
      <c r="AH353" s="140"/>
      <c r="AI353" s="140"/>
      <c r="AJ353" s="140"/>
      <c r="AK353" s="140"/>
      <c r="AL353" s="140"/>
      <c r="AM353" s="140"/>
    </row>
    <row r="354" spans="1:39" x14ac:dyDescent="0.2">
      <c r="A354" s="29">
        <f t="shared" ca="1" si="5"/>
        <v>46094</v>
      </c>
      <c r="B354" s="140">
        <f ca="1">SUMIFS('recurring2_based on steps'!$B354:$AY354,'recurring2_based on steps'!$B$1:$AY$1,B$1)+SUMIFS('changes2_based on steps'!$B354:$U354,'changes2_based on steps'!$B$1:$U$1,B$1)</f>
        <v>0</v>
      </c>
      <c r="C354" s="140">
        <f>SUMIFS('recurring2_based on steps'!$B354:$AY354,'recurring2_based on steps'!$B$1:$AY$1,C$1)+SUMIFS('changes2_based on steps'!$B354:$U354,'changes2_based on steps'!$B$1:$U$1,C$1)</f>
        <v>0</v>
      </c>
      <c r="D354" s="140">
        <f>SUMIFS('recurring2_based on steps'!$B354:$AY354,'recurring2_based on steps'!$B$1:$AY$1,D$1)+SUMIFS('changes2_based on steps'!$B354:$U354,'changes2_based on steps'!$B$1:$U$1,D$1)</f>
        <v>0</v>
      </c>
      <c r="E354" s="140">
        <f>SUMIFS('recurring2_based on steps'!$B354:$AY354,'recurring2_based on steps'!$B$1:$AY$1,E$1)+SUMIFS('changes2_based on steps'!$B354:$U354,'changes2_based on steps'!$B$1:$U$1,E$1)</f>
        <v>0</v>
      </c>
      <c r="F354" s="140">
        <f>SUMIFS('recurring2_based on steps'!$B354:$AY354,'recurring2_based on steps'!$B$1:$AY$1,F$1)+SUMIFS('changes2_based on steps'!$B354:$U354,'changes2_based on steps'!$B$1:$U$1,F$1)</f>
        <v>0</v>
      </c>
      <c r="G354" s="140">
        <f>SUMIFS('recurring2_based on steps'!$B354:$AY354,'recurring2_based on steps'!$B$1:$AY$1,G$1)+SUMIFS('changes2_based on steps'!$B354:$U354,'changes2_based on steps'!$B$1:$U$1,G$1)</f>
        <v>0</v>
      </c>
      <c r="H354" s="140">
        <f>SUMIFS('recurring2_based on steps'!$B354:$AY354,'recurring2_based on steps'!$B$1:$AY$1,H$1)+SUMIFS('changes2_based on steps'!$B354:$U354,'changes2_based on steps'!$B$1:$U$1,H$1)</f>
        <v>0</v>
      </c>
      <c r="I354" s="140">
        <f>SUMIFS('recurring2_based on steps'!$B354:$AY354,'recurring2_based on steps'!$B$1:$AY$1,I$1)+SUMIFS('changes2_based on steps'!$B354:$U354,'changes2_based on steps'!$B$1:$U$1,I$1)</f>
        <v>0</v>
      </c>
      <c r="J354" s="140">
        <f ca="1">SUMIFS('recurring2_based on steps'!$B354:$AY354,'recurring2_based on steps'!$B$1:$AY$1,J$1)+SUMIFS('changes2_based on steps'!$B354:$U354,'changes2_based on steps'!$B$1:$U$1,J$1)</f>
        <v>0</v>
      </c>
      <c r="K354" s="140">
        <f>SUMIFS('recurring2_based on steps'!$B354:$AY354,'recurring2_based on steps'!$B$1:$AY$1,K$1)+SUMIFS('changes2_based on steps'!$B354:$U354,'changes2_based on steps'!$B$1:$U$1,K$1)</f>
        <v>0</v>
      </c>
      <c r="L354" s="140">
        <f>SUMIFS('recurring2_based on steps'!$B354:$AY354,'recurring2_based on steps'!$B$1:$AY$1,L$1)+SUMIFS('changes2_based on steps'!$B354:$U354,'changes2_based on steps'!$B$1:$U$1,L$1)</f>
        <v>0</v>
      </c>
      <c r="M354" s="140">
        <f>SUMIFS('recurring2_based on steps'!$B354:$AY354,'recurring2_based on steps'!$B$1:$AY$1,M$1)+SUMIFS('changes2_based on steps'!$B354:$U354,'changes2_based on steps'!$B$1:$U$1,M$1)</f>
        <v>0</v>
      </c>
      <c r="N354" s="140">
        <f ca="1">SUMIFS('recurring2_based on steps'!$B354:$AY354,'recurring2_based on steps'!$B$1:$AY$1,N$1)+SUMIFS('changes2_based on steps'!$B354:$U354,'changes2_based on steps'!$B$1:$U$1,N$1)</f>
        <v>0</v>
      </c>
      <c r="O354" s="140">
        <f>SUMIFS('recurring2_based on steps'!$B354:$AY354,'recurring2_based on steps'!$B$1:$AY$1,O$1)+SUMIFS('changes2_based on steps'!$B354:$U354,'changes2_based on steps'!$B$1:$U$1,O$1)</f>
        <v>0</v>
      </c>
      <c r="P354" s="140">
        <f ca="1">SUMIFS('recurring2_based on steps'!$B354:$AY354,'recurring2_based on steps'!$B$1:$AY$1,P$1)+SUMIFS('changes2_based on steps'!$B354:$U354,'changes2_based on steps'!$B$1:$U$1,P$1)</f>
        <v>0</v>
      </c>
      <c r="Q354" s="140">
        <f ca="1">SUMIFS('recurring2_based on steps'!$B354:$AY354,'recurring2_based on steps'!$B$1:$AY$1,Q$1)+SUMIFS('changes2_based on steps'!$B354:$U354,'changes2_based on steps'!$B$1:$U$1,Q$1)</f>
        <v>5.5401662049861494E-2</v>
      </c>
      <c r="R354" s="140">
        <f ca="1">SUMIFS('recurring2_based on steps'!$B354:$AY354,'recurring2_based on steps'!$B$1:$AY$1,R$1)+SUMIFS('changes2_based on steps'!$B354:$U354,'changes2_based on steps'!$B$1:$U$1,R$1)</f>
        <v>0</v>
      </c>
      <c r="S354" s="140">
        <f>SUMIFS('recurring2_based on steps'!$B354:$AY354,'recurring2_based on steps'!$B$1:$AY$1,S$1)+SUMIFS('changes2_based on steps'!$B354:$U354,'changes2_based on steps'!$B$1:$U$1,S$1)</f>
        <v>0</v>
      </c>
      <c r="T354" s="140">
        <f ca="1">SUMIFS('recurring2_based on steps'!$B354:$AY354,'recurring2_based on steps'!$B$1:$AY$1,T$1)+SUMIFS('changes2_based on steps'!$B354:$U354,'changes2_based on steps'!$B$1:$U$1,T$1)</f>
        <v>0</v>
      </c>
      <c r="U354" s="140">
        <f ca="1">SUMIFS('recurring2_based on steps'!$B354:$AY354,'recurring2_based on steps'!$B$1:$AY$1,U$1)+SUMIFS('changes2_based on steps'!$B354:$U354,'changes2_based on steps'!$B$1:$U$1,U$1)</f>
        <v>0</v>
      </c>
      <c r="V354" s="140">
        <f>SUMIFS('recurring2_based on steps'!$B354:$AY354,'recurring2_based on steps'!$B$1:$AY$1,V$1)+SUMIFS('changes2_based on steps'!$B354:$U354,'changes2_based on steps'!$B$1:$U$1,V$1)</f>
        <v>0</v>
      </c>
      <c r="W354" s="140">
        <f>SUMIFS('recurring2_based on steps'!$B354:$AY354,'recurring2_based on steps'!$B$1:$AY$1,W$1)+SUMIFS('changes2_based on steps'!$B354:$U354,'changes2_based on steps'!$B$1:$U$1,W$1)</f>
        <v>0</v>
      </c>
      <c r="X354" s="140">
        <f ca="1">SUMIFS('recurring2_based on steps'!$B354:$AY354,'recurring2_based on steps'!$B$1:$AY$1,X$1)+SUMIFS('changes2_based on steps'!$B354:$U354,'changes2_based on steps'!$B$1:$U$1,X$1)</f>
        <v>0</v>
      </c>
      <c r="Y354" s="140">
        <f ca="1">SUMIFS('recurring2_based on steps'!$B354:$AY354,'recurring2_based on steps'!$B$1:$AY$1,Y$1)+SUMIFS('changes2_based on steps'!$B354:$U354,'changes2_based on steps'!$B$1:$U$1,Y$1)</f>
        <v>0</v>
      </c>
      <c r="Z354" s="140">
        <f>SUMIFS('recurring2_based on steps'!$B354:$AY354,'recurring2_based on steps'!$B$1:$AY$1,Z$1)+SUMIFS('changes2_based on steps'!$B354:$U354,'changes2_based on steps'!$B$1:$U$1,Z$1)</f>
        <v>0</v>
      </c>
      <c r="AA354" s="140">
        <f ca="1">SUMIFS('recurring2_based on steps'!$B354:$AY354,'recurring2_based on steps'!$B$1:$AY$1,AA$1)+SUMIFS('changes2_based on steps'!$B354:$U354,'changes2_based on steps'!$B$1:$U$1,AA$1)</f>
        <v>0</v>
      </c>
      <c r="AB354" s="140">
        <f ca="1">SUMIFS('recurring2_based on steps'!$B354:$AY354,'recurring2_based on steps'!$B$1:$AY$1,AB$1)+SUMIFS('changes2_based on steps'!$B354:$U354,'changes2_based on steps'!$B$1:$U$1,AB$1)</f>
        <v>0</v>
      </c>
      <c r="AC354" s="140">
        <f ca="1">SUMIFS('recurring2_based on steps'!$B354:$AY354,'recurring2_based on steps'!$B$1:$AY$1,AC$1)+SUMIFS('changes2_based on steps'!$B354:$U354,'changes2_based on steps'!$B$1:$U$1,AC$1)</f>
        <v>0</v>
      </c>
      <c r="AD354" s="140">
        <f ca="1">SUMIFS('recurring2_based on steps'!$B354:$AY354,'recurring2_based on steps'!$B$1:$AY$1,AD$1)+SUMIFS('changes2_based on steps'!$B354:$U354,'changes2_based on steps'!$B$1:$U$1,AD$1)</f>
        <v>0</v>
      </c>
      <c r="AE354" s="140">
        <f>SUMIFS('recurring2_based on steps'!$B354:$AY354,'recurring2_based on steps'!$B$1:$AY$1,AE$1)+SUMIFS('changes2_based on steps'!$B354:$U354,'changes2_based on steps'!$B$1:$U$1,AE$1)</f>
        <v>0</v>
      </c>
      <c r="AF354" s="140"/>
      <c r="AG354" s="140"/>
      <c r="AH354" s="140"/>
      <c r="AI354" s="140"/>
      <c r="AJ354" s="140"/>
      <c r="AK354" s="140"/>
      <c r="AL354" s="140"/>
      <c r="AM354" s="140"/>
    </row>
    <row r="355" spans="1:39" x14ac:dyDescent="0.2">
      <c r="A355" s="29">
        <f t="shared" ca="1" si="5"/>
        <v>46095</v>
      </c>
      <c r="B355" s="140">
        <f ca="1">SUMIFS('recurring2_based on steps'!$B355:$AY355,'recurring2_based on steps'!$B$1:$AY$1,B$1)+SUMIFS('changes2_based on steps'!$B355:$U355,'changes2_based on steps'!$B$1:$U$1,B$1)</f>
        <v>0</v>
      </c>
      <c r="C355" s="140">
        <f>SUMIFS('recurring2_based on steps'!$B355:$AY355,'recurring2_based on steps'!$B$1:$AY$1,C$1)+SUMIFS('changes2_based on steps'!$B355:$U355,'changes2_based on steps'!$B$1:$U$1,C$1)</f>
        <v>0</v>
      </c>
      <c r="D355" s="140">
        <f>SUMIFS('recurring2_based on steps'!$B355:$AY355,'recurring2_based on steps'!$B$1:$AY$1,D$1)+SUMIFS('changes2_based on steps'!$B355:$U355,'changes2_based on steps'!$B$1:$U$1,D$1)</f>
        <v>0</v>
      </c>
      <c r="E355" s="140">
        <f>SUMIFS('recurring2_based on steps'!$B355:$AY355,'recurring2_based on steps'!$B$1:$AY$1,E$1)+SUMIFS('changes2_based on steps'!$B355:$U355,'changes2_based on steps'!$B$1:$U$1,E$1)</f>
        <v>0</v>
      </c>
      <c r="F355" s="140">
        <f>SUMIFS('recurring2_based on steps'!$B355:$AY355,'recurring2_based on steps'!$B$1:$AY$1,F$1)+SUMIFS('changes2_based on steps'!$B355:$U355,'changes2_based on steps'!$B$1:$U$1,F$1)</f>
        <v>0</v>
      </c>
      <c r="G355" s="140">
        <f>SUMIFS('recurring2_based on steps'!$B355:$AY355,'recurring2_based on steps'!$B$1:$AY$1,G$1)+SUMIFS('changes2_based on steps'!$B355:$U355,'changes2_based on steps'!$B$1:$U$1,G$1)</f>
        <v>0</v>
      </c>
      <c r="H355" s="140">
        <f>SUMIFS('recurring2_based on steps'!$B355:$AY355,'recurring2_based on steps'!$B$1:$AY$1,H$1)+SUMIFS('changes2_based on steps'!$B355:$U355,'changes2_based on steps'!$B$1:$U$1,H$1)</f>
        <v>0</v>
      </c>
      <c r="I355" s="140">
        <f>SUMIFS('recurring2_based on steps'!$B355:$AY355,'recurring2_based on steps'!$B$1:$AY$1,I$1)+SUMIFS('changes2_based on steps'!$B355:$U355,'changes2_based on steps'!$B$1:$U$1,I$1)</f>
        <v>0</v>
      </c>
      <c r="J355" s="140">
        <f ca="1">SUMIFS('recurring2_based on steps'!$B355:$AY355,'recurring2_based on steps'!$B$1:$AY$1,J$1)+SUMIFS('changes2_based on steps'!$B355:$U355,'changes2_based on steps'!$B$1:$U$1,J$1)</f>
        <v>0</v>
      </c>
      <c r="K355" s="140">
        <f>SUMIFS('recurring2_based on steps'!$B355:$AY355,'recurring2_based on steps'!$B$1:$AY$1,K$1)+SUMIFS('changes2_based on steps'!$B355:$U355,'changes2_based on steps'!$B$1:$U$1,K$1)</f>
        <v>0</v>
      </c>
      <c r="L355" s="140">
        <f>SUMIFS('recurring2_based on steps'!$B355:$AY355,'recurring2_based on steps'!$B$1:$AY$1,L$1)+SUMIFS('changes2_based on steps'!$B355:$U355,'changes2_based on steps'!$B$1:$U$1,L$1)</f>
        <v>0</v>
      </c>
      <c r="M355" s="140">
        <f>SUMIFS('recurring2_based on steps'!$B355:$AY355,'recurring2_based on steps'!$B$1:$AY$1,M$1)+SUMIFS('changes2_based on steps'!$B355:$U355,'changes2_based on steps'!$B$1:$U$1,M$1)</f>
        <v>0</v>
      </c>
      <c r="N355" s="140">
        <f ca="1">SUMIFS('recurring2_based on steps'!$B355:$AY355,'recurring2_based on steps'!$B$1:$AY$1,N$1)+SUMIFS('changes2_based on steps'!$B355:$U355,'changes2_based on steps'!$B$1:$U$1,N$1)</f>
        <v>0</v>
      </c>
      <c r="O355" s="140">
        <f>SUMIFS('recurring2_based on steps'!$B355:$AY355,'recurring2_based on steps'!$B$1:$AY$1,O$1)+SUMIFS('changes2_based on steps'!$B355:$U355,'changes2_based on steps'!$B$1:$U$1,O$1)</f>
        <v>0</v>
      </c>
      <c r="P355" s="140">
        <f ca="1">SUMIFS('recurring2_based on steps'!$B355:$AY355,'recurring2_based on steps'!$B$1:$AY$1,P$1)+SUMIFS('changes2_based on steps'!$B355:$U355,'changes2_based on steps'!$B$1:$U$1,P$1)</f>
        <v>0</v>
      </c>
      <c r="Q355" s="140">
        <f ca="1">SUMIFS('recurring2_based on steps'!$B355:$AY355,'recurring2_based on steps'!$B$1:$AY$1,Q$1)+SUMIFS('changes2_based on steps'!$B355:$U355,'changes2_based on steps'!$B$1:$U$1,Q$1)</f>
        <v>100.05540166204986</v>
      </c>
      <c r="R355" s="140">
        <f ca="1">SUMIFS('recurring2_based on steps'!$B355:$AY355,'recurring2_based on steps'!$B$1:$AY$1,R$1)+SUMIFS('changes2_based on steps'!$B355:$U355,'changes2_based on steps'!$B$1:$U$1,R$1)</f>
        <v>0</v>
      </c>
      <c r="S355" s="140">
        <f>SUMIFS('recurring2_based on steps'!$B355:$AY355,'recurring2_based on steps'!$B$1:$AY$1,S$1)+SUMIFS('changes2_based on steps'!$B355:$U355,'changes2_based on steps'!$B$1:$U$1,S$1)</f>
        <v>0</v>
      </c>
      <c r="T355" s="140">
        <f ca="1">SUMIFS('recurring2_based on steps'!$B355:$AY355,'recurring2_based on steps'!$B$1:$AY$1,T$1)+SUMIFS('changes2_based on steps'!$B355:$U355,'changes2_based on steps'!$B$1:$U$1,T$1)</f>
        <v>0</v>
      </c>
      <c r="U355" s="140">
        <f ca="1">SUMIFS('recurring2_based on steps'!$B355:$AY355,'recurring2_based on steps'!$B$1:$AY$1,U$1)+SUMIFS('changes2_based on steps'!$B355:$U355,'changes2_based on steps'!$B$1:$U$1,U$1)</f>
        <v>0</v>
      </c>
      <c r="V355" s="140">
        <f>SUMIFS('recurring2_based on steps'!$B355:$AY355,'recurring2_based on steps'!$B$1:$AY$1,V$1)+SUMIFS('changes2_based on steps'!$B355:$U355,'changes2_based on steps'!$B$1:$U$1,V$1)</f>
        <v>0</v>
      </c>
      <c r="W355" s="140">
        <f>SUMIFS('recurring2_based on steps'!$B355:$AY355,'recurring2_based on steps'!$B$1:$AY$1,W$1)+SUMIFS('changes2_based on steps'!$B355:$U355,'changes2_based on steps'!$B$1:$U$1,W$1)</f>
        <v>0</v>
      </c>
      <c r="X355" s="140">
        <f ca="1">SUMIFS('recurring2_based on steps'!$B355:$AY355,'recurring2_based on steps'!$B$1:$AY$1,X$1)+SUMIFS('changes2_based on steps'!$B355:$U355,'changes2_based on steps'!$B$1:$U$1,X$1)</f>
        <v>0</v>
      </c>
      <c r="Y355" s="140">
        <f ca="1">SUMIFS('recurring2_based on steps'!$B355:$AY355,'recurring2_based on steps'!$B$1:$AY$1,Y$1)+SUMIFS('changes2_based on steps'!$B355:$U355,'changes2_based on steps'!$B$1:$U$1,Y$1)</f>
        <v>0</v>
      </c>
      <c r="Z355" s="140">
        <f>SUMIFS('recurring2_based on steps'!$B355:$AY355,'recurring2_based on steps'!$B$1:$AY$1,Z$1)+SUMIFS('changes2_based on steps'!$B355:$U355,'changes2_based on steps'!$B$1:$U$1,Z$1)</f>
        <v>0</v>
      </c>
      <c r="AA355" s="140">
        <f ca="1">SUMIFS('recurring2_based on steps'!$B355:$AY355,'recurring2_based on steps'!$B$1:$AY$1,AA$1)+SUMIFS('changes2_based on steps'!$B355:$U355,'changes2_based on steps'!$B$1:$U$1,AA$1)</f>
        <v>0</v>
      </c>
      <c r="AB355" s="140">
        <f ca="1">SUMIFS('recurring2_based on steps'!$B355:$AY355,'recurring2_based on steps'!$B$1:$AY$1,AB$1)+SUMIFS('changes2_based on steps'!$B355:$U355,'changes2_based on steps'!$B$1:$U$1,AB$1)</f>
        <v>100</v>
      </c>
      <c r="AC355" s="140">
        <f ca="1">SUMIFS('recurring2_based on steps'!$B355:$AY355,'recurring2_based on steps'!$B$1:$AY$1,AC$1)+SUMIFS('changes2_based on steps'!$B355:$U355,'changes2_based on steps'!$B$1:$U$1,AC$1)</f>
        <v>0</v>
      </c>
      <c r="AD355" s="140">
        <f ca="1">SUMIFS('recurring2_based on steps'!$B355:$AY355,'recurring2_based on steps'!$B$1:$AY$1,AD$1)+SUMIFS('changes2_based on steps'!$B355:$U355,'changes2_based on steps'!$B$1:$U$1,AD$1)</f>
        <v>0</v>
      </c>
      <c r="AE355" s="140">
        <f>SUMIFS('recurring2_based on steps'!$B355:$AY355,'recurring2_based on steps'!$B$1:$AY$1,AE$1)+SUMIFS('changes2_based on steps'!$B355:$U355,'changes2_based on steps'!$B$1:$U$1,AE$1)</f>
        <v>0</v>
      </c>
      <c r="AF355" s="140"/>
      <c r="AG355" s="140"/>
      <c r="AH355" s="140"/>
      <c r="AI355" s="140"/>
      <c r="AJ355" s="140"/>
      <c r="AK355" s="140"/>
      <c r="AL355" s="140"/>
      <c r="AM355" s="140"/>
    </row>
    <row r="356" spans="1:39" x14ac:dyDescent="0.2">
      <c r="A356" s="29">
        <f t="shared" ca="1" si="5"/>
        <v>46096</v>
      </c>
      <c r="B356" s="140">
        <f ca="1">SUMIFS('recurring2_based on steps'!$B356:$AY356,'recurring2_based on steps'!$B$1:$AY$1,B$1)+SUMIFS('changes2_based on steps'!$B356:$U356,'changes2_based on steps'!$B$1:$U$1,B$1)</f>
        <v>0</v>
      </c>
      <c r="C356" s="140">
        <f>SUMIFS('recurring2_based on steps'!$B356:$AY356,'recurring2_based on steps'!$B$1:$AY$1,C$1)+SUMIFS('changes2_based on steps'!$B356:$U356,'changes2_based on steps'!$B$1:$U$1,C$1)</f>
        <v>0</v>
      </c>
      <c r="D356" s="140">
        <f>SUMIFS('recurring2_based on steps'!$B356:$AY356,'recurring2_based on steps'!$B$1:$AY$1,D$1)+SUMIFS('changes2_based on steps'!$B356:$U356,'changes2_based on steps'!$B$1:$U$1,D$1)</f>
        <v>0</v>
      </c>
      <c r="E356" s="140">
        <f>SUMIFS('recurring2_based on steps'!$B356:$AY356,'recurring2_based on steps'!$B$1:$AY$1,E$1)+SUMIFS('changes2_based on steps'!$B356:$U356,'changes2_based on steps'!$B$1:$U$1,E$1)</f>
        <v>0</v>
      </c>
      <c r="F356" s="140">
        <f>SUMIFS('recurring2_based on steps'!$B356:$AY356,'recurring2_based on steps'!$B$1:$AY$1,F$1)+SUMIFS('changes2_based on steps'!$B356:$U356,'changes2_based on steps'!$B$1:$U$1,F$1)</f>
        <v>0</v>
      </c>
      <c r="G356" s="140">
        <f>SUMIFS('recurring2_based on steps'!$B356:$AY356,'recurring2_based on steps'!$B$1:$AY$1,G$1)+SUMIFS('changes2_based on steps'!$B356:$U356,'changes2_based on steps'!$B$1:$U$1,G$1)</f>
        <v>0</v>
      </c>
      <c r="H356" s="140">
        <f>SUMIFS('recurring2_based on steps'!$B356:$AY356,'recurring2_based on steps'!$B$1:$AY$1,H$1)+SUMIFS('changes2_based on steps'!$B356:$U356,'changes2_based on steps'!$B$1:$U$1,H$1)</f>
        <v>0</v>
      </c>
      <c r="I356" s="140">
        <f>SUMIFS('recurring2_based on steps'!$B356:$AY356,'recurring2_based on steps'!$B$1:$AY$1,I$1)+SUMIFS('changes2_based on steps'!$B356:$U356,'changes2_based on steps'!$B$1:$U$1,I$1)</f>
        <v>0</v>
      </c>
      <c r="J356" s="140">
        <f ca="1">SUMIFS('recurring2_based on steps'!$B356:$AY356,'recurring2_based on steps'!$B$1:$AY$1,J$1)+SUMIFS('changes2_based on steps'!$B356:$U356,'changes2_based on steps'!$B$1:$U$1,J$1)</f>
        <v>0</v>
      </c>
      <c r="K356" s="140">
        <f>SUMIFS('recurring2_based on steps'!$B356:$AY356,'recurring2_based on steps'!$B$1:$AY$1,K$1)+SUMIFS('changes2_based on steps'!$B356:$U356,'changes2_based on steps'!$B$1:$U$1,K$1)</f>
        <v>0</v>
      </c>
      <c r="L356" s="140">
        <f>SUMIFS('recurring2_based on steps'!$B356:$AY356,'recurring2_based on steps'!$B$1:$AY$1,L$1)+SUMIFS('changes2_based on steps'!$B356:$U356,'changes2_based on steps'!$B$1:$U$1,L$1)</f>
        <v>0</v>
      </c>
      <c r="M356" s="140">
        <f>SUMIFS('recurring2_based on steps'!$B356:$AY356,'recurring2_based on steps'!$B$1:$AY$1,M$1)+SUMIFS('changes2_based on steps'!$B356:$U356,'changes2_based on steps'!$B$1:$U$1,M$1)</f>
        <v>0</v>
      </c>
      <c r="N356" s="140">
        <f ca="1">SUMIFS('recurring2_based on steps'!$B356:$AY356,'recurring2_based on steps'!$B$1:$AY$1,N$1)+SUMIFS('changes2_based on steps'!$B356:$U356,'changes2_based on steps'!$B$1:$U$1,N$1)</f>
        <v>0</v>
      </c>
      <c r="O356" s="140">
        <f>SUMIFS('recurring2_based on steps'!$B356:$AY356,'recurring2_based on steps'!$B$1:$AY$1,O$1)+SUMIFS('changes2_based on steps'!$B356:$U356,'changes2_based on steps'!$B$1:$U$1,O$1)</f>
        <v>0</v>
      </c>
      <c r="P356" s="140">
        <f ca="1">SUMIFS('recurring2_based on steps'!$B356:$AY356,'recurring2_based on steps'!$B$1:$AY$1,P$1)+SUMIFS('changes2_based on steps'!$B356:$U356,'changes2_based on steps'!$B$1:$U$1,P$1)</f>
        <v>0</v>
      </c>
      <c r="Q356" s="140">
        <f ca="1">SUMIFS('recurring2_based on steps'!$B356:$AY356,'recurring2_based on steps'!$B$1:$AY$1,Q$1)+SUMIFS('changes2_based on steps'!$B356:$U356,'changes2_based on steps'!$B$1:$U$1,Q$1)</f>
        <v>100.05540166204986</v>
      </c>
      <c r="R356" s="140">
        <f ca="1">SUMIFS('recurring2_based on steps'!$B356:$AY356,'recurring2_based on steps'!$B$1:$AY$1,R$1)+SUMIFS('changes2_based on steps'!$B356:$U356,'changes2_based on steps'!$B$1:$U$1,R$1)</f>
        <v>0</v>
      </c>
      <c r="S356" s="140">
        <f>SUMIFS('recurring2_based on steps'!$B356:$AY356,'recurring2_based on steps'!$B$1:$AY$1,S$1)+SUMIFS('changes2_based on steps'!$B356:$U356,'changes2_based on steps'!$B$1:$U$1,S$1)</f>
        <v>0</v>
      </c>
      <c r="T356" s="140">
        <f ca="1">SUMIFS('recurring2_based on steps'!$B356:$AY356,'recurring2_based on steps'!$B$1:$AY$1,T$1)+SUMIFS('changes2_based on steps'!$B356:$U356,'changes2_based on steps'!$B$1:$U$1,T$1)</f>
        <v>0</v>
      </c>
      <c r="U356" s="140">
        <f ca="1">SUMIFS('recurring2_based on steps'!$B356:$AY356,'recurring2_based on steps'!$B$1:$AY$1,U$1)+SUMIFS('changes2_based on steps'!$B356:$U356,'changes2_based on steps'!$B$1:$U$1,U$1)</f>
        <v>0</v>
      </c>
      <c r="V356" s="140">
        <f>SUMIFS('recurring2_based on steps'!$B356:$AY356,'recurring2_based on steps'!$B$1:$AY$1,V$1)+SUMIFS('changes2_based on steps'!$B356:$U356,'changes2_based on steps'!$B$1:$U$1,V$1)</f>
        <v>0</v>
      </c>
      <c r="W356" s="140">
        <f>SUMIFS('recurring2_based on steps'!$B356:$AY356,'recurring2_based on steps'!$B$1:$AY$1,W$1)+SUMIFS('changes2_based on steps'!$B356:$U356,'changes2_based on steps'!$B$1:$U$1,W$1)</f>
        <v>0</v>
      </c>
      <c r="X356" s="140">
        <f ca="1">SUMIFS('recurring2_based on steps'!$B356:$AY356,'recurring2_based on steps'!$B$1:$AY$1,X$1)+SUMIFS('changes2_based on steps'!$B356:$U356,'changes2_based on steps'!$B$1:$U$1,X$1)</f>
        <v>0</v>
      </c>
      <c r="Y356" s="140">
        <f ca="1">SUMIFS('recurring2_based on steps'!$B356:$AY356,'recurring2_based on steps'!$B$1:$AY$1,Y$1)+SUMIFS('changes2_based on steps'!$B356:$U356,'changes2_based on steps'!$B$1:$U$1,Y$1)</f>
        <v>50</v>
      </c>
      <c r="Z356" s="140">
        <f>SUMIFS('recurring2_based on steps'!$B356:$AY356,'recurring2_based on steps'!$B$1:$AY$1,Z$1)+SUMIFS('changes2_based on steps'!$B356:$U356,'changes2_based on steps'!$B$1:$U$1,Z$1)</f>
        <v>0</v>
      </c>
      <c r="AA356" s="140">
        <f ca="1">SUMIFS('recurring2_based on steps'!$B356:$AY356,'recurring2_based on steps'!$B$1:$AY$1,AA$1)+SUMIFS('changes2_based on steps'!$B356:$U356,'changes2_based on steps'!$B$1:$U$1,AA$1)</f>
        <v>0</v>
      </c>
      <c r="AB356" s="140">
        <f ca="1">SUMIFS('recurring2_based on steps'!$B356:$AY356,'recurring2_based on steps'!$B$1:$AY$1,AB$1)+SUMIFS('changes2_based on steps'!$B356:$U356,'changes2_based on steps'!$B$1:$U$1,AB$1)</f>
        <v>0</v>
      </c>
      <c r="AC356" s="140">
        <f ca="1">SUMIFS('recurring2_based on steps'!$B356:$AY356,'recurring2_based on steps'!$B$1:$AY$1,AC$1)+SUMIFS('changes2_based on steps'!$B356:$U356,'changes2_based on steps'!$B$1:$U$1,AC$1)</f>
        <v>0</v>
      </c>
      <c r="AD356" s="140">
        <f ca="1">SUMIFS('recurring2_based on steps'!$B356:$AY356,'recurring2_based on steps'!$B$1:$AY$1,AD$1)+SUMIFS('changes2_based on steps'!$B356:$U356,'changes2_based on steps'!$B$1:$U$1,AD$1)</f>
        <v>0</v>
      </c>
      <c r="AE356" s="140">
        <f>SUMIFS('recurring2_based on steps'!$B356:$AY356,'recurring2_based on steps'!$B$1:$AY$1,AE$1)+SUMIFS('changes2_based on steps'!$B356:$U356,'changes2_based on steps'!$B$1:$U$1,AE$1)</f>
        <v>0</v>
      </c>
      <c r="AF356" s="140"/>
      <c r="AG356" s="140"/>
      <c r="AH356" s="140"/>
      <c r="AI356" s="140"/>
      <c r="AJ356" s="140"/>
      <c r="AK356" s="140"/>
      <c r="AL356" s="140"/>
      <c r="AM356" s="140"/>
    </row>
    <row r="357" spans="1:39" x14ac:dyDescent="0.2">
      <c r="A357" s="29">
        <f t="shared" ca="1" si="5"/>
        <v>46097</v>
      </c>
      <c r="B357" s="140">
        <f ca="1">SUMIFS('recurring2_based on steps'!$B357:$AY357,'recurring2_based on steps'!$B$1:$AY$1,B$1)+SUMIFS('changes2_based on steps'!$B357:$U357,'changes2_based on steps'!$B$1:$U$1,B$1)</f>
        <v>0</v>
      </c>
      <c r="C357" s="140">
        <f>SUMIFS('recurring2_based on steps'!$B357:$AY357,'recurring2_based on steps'!$B$1:$AY$1,C$1)+SUMIFS('changes2_based on steps'!$B357:$U357,'changes2_based on steps'!$B$1:$U$1,C$1)</f>
        <v>0</v>
      </c>
      <c r="D357" s="140">
        <f>SUMIFS('recurring2_based on steps'!$B357:$AY357,'recurring2_based on steps'!$B$1:$AY$1,D$1)+SUMIFS('changes2_based on steps'!$B357:$U357,'changes2_based on steps'!$B$1:$U$1,D$1)</f>
        <v>0</v>
      </c>
      <c r="E357" s="140">
        <f>SUMIFS('recurring2_based on steps'!$B357:$AY357,'recurring2_based on steps'!$B$1:$AY$1,E$1)+SUMIFS('changes2_based on steps'!$B357:$U357,'changes2_based on steps'!$B$1:$U$1,E$1)</f>
        <v>0</v>
      </c>
      <c r="F357" s="140">
        <f>SUMIFS('recurring2_based on steps'!$B357:$AY357,'recurring2_based on steps'!$B$1:$AY$1,F$1)+SUMIFS('changes2_based on steps'!$B357:$U357,'changes2_based on steps'!$B$1:$U$1,F$1)</f>
        <v>0</v>
      </c>
      <c r="G357" s="140">
        <f>SUMIFS('recurring2_based on steps'!$B357:$AY357,'recurring2_based on steps'!$B$1:$AY$1,G$1)+SUMIFS('changes2_based on steps'!$B357:$U357,'changes2_based on steps'!$B$1:$U$1,G$1)</f>
        <v>0</v>
      </c>
      <c r="H357" s="140">
        <f>SUMIFS('recurring2_based on steps'!$B357:$AY357,'recurring2_based on steps'!$B$1:$AY$1,H$1)+SUMIFS('changes2_based on steps'!$B357:$U357,'changes2_based on steps'!$B$1:$U$1,H$1)</f>
        <v>0</v>
      </c>
      <c r="I357" s="140">
        <f>SUMIFS('recurring2_based on steps'!$B357:$AY357,'recurring2_based on steps'!$B$1:$AY$1,I$1)+SUMIFS('changes2_based on steps'!$B357:$U357,'changes2_based on steps'!$B$1:$U$1,I$1)</f>
        <v>0</v>
      </c>
      <c r="J357" s="140">
        <f ca="1">SUMIFS('recurring2_based on steps'!$B357:$AY357,'recurring2_based on steps'!$B$1:$AY$1,J$1)+SUMIFS('changes2_based on steps'!$B357:$U357,'changes2_based on steps'!$B$1:$U$1,J$1)</f>
        <v>0</v>
      </c>
      <c r="K357" s="140">
        <f>SUMIFS('recurring2_based on steps'!$B357:$AY357,'recurring2_based on steps'!$B$1:$AY$1,K$1)+SUMIFS('changes2_based on steps'!$B357:$U357,'changes2_based on steps'!$B$1:$U$1,K$1)</f>
        <v>0</v>
      </c>
      <c r="L357" s="140">
        <f>SUMIFS('recurring2_based on steps'!$B357:$AY357,'recurring2_based on steps'!$B$1:$AY$1,L$1)+SUMIFS('changes2_based on steps'!$B357:$U357,'changes2_based on steps'!$B$1:$U$1,L$1)</f>
        <v>0</v>
      </c>
      <c r="M357" s="140">
        <f>SUMIFS('recurring2_based on steps'!$B357:$AY357,'recurring2_based on steps'!$B$1:$AY$1,M$1)+SUMIFS('changes2_based on steps'!$B357:$U357,'changes2_based on steps'!$B$1:$U$1,M$1)</f>
        <v>0</v>
      </c>
      <c r="N357" s="140">
        <f ca="1">SUMIFS('recurring2_based on steps'!$B357:$AY357,'recurring2_based on steps'!$B$1:$AY$1,N$1)+SUMIFS('changes2_based on steps'!$B357:$U357,'changes2_based on steps'!$B$1:$U$1,N$1)</f>
        <v>0</v>
      </c>
      <c r="O357" s="140">
        <f>SUMIFS('recurring2_based on steps'!$B357:$AY357,'recurring2_based on steps'!$B$1:$AY$1,O$1)+SUMIFS('changes2_based on steps'!$B357:$U357,'changes2_based on steps'!$B$1:$U$1,O$1)</f>
        <v>0</v>
      </c>
      <c r="P357" s="140">
        <f ca="1">SUMIFS('recurring2_based on steps'!$B357:$AY357,'recurring2_based on steps'!$B$1:$AY$1,P$1)+SUMIFS('changes2_based on steps'!$B357:$U357,'changes2_based on steps'!$B$1:$U$1,P$1)</f>
        <v>0</v>
      </c>
      <c r="Q357" s="140">
        <f ca="1">SUMIFS('recurring2_based on steps'!$B357:$AY357,'recurring2_based on steps'!$B$1:$AY$1,Q$1)+SUMIFS('changes2_based on steps'!$B357:$U357,'changes2_based on steps'!$B$1:$U$1,Q$1)</f>
        <v>5.5401662049861494E-2</v>
      </c>
      <c r="R357" s="140">
        <f ca="1">SUMIFS('recurring2_based on steps'!$B357:$AY357,'recurring2_based on steps'!$B$1:$AY$1,R$1)+SUMIFS('changes2_based on steps'!$B357:$U357,'changes2_based on steps'!$B$1:$U$1,R$1)</f>
        <v>0</v>
      </c>
      <c r="S357" s="140">
        <f>SUMIFS('recurring2_based on steps'!$B357:$AY357,'recurring2_based on steps'!$B$1:$AY$1,S$1)+SUMIFS('changes2_based on steps'!$B357:$U357,'changes2_based on steps'!$B$1:$U$1,S$1)</f>
        <v>0</v>
      </c>
      <c r="T357" s="140">
        <f ca="1">SUMIFS('recurring2_based on steps'!$B357:$AY357,'recurring2_based on steps'!$B$1:$AY$1,T$1)+SUMIFS('changes2_based on steps'!$B357:$U357,'changes2_based on steps'!$B$1:$U$1,T$1)</f>
        <v>0</v>
      </c>
      <c r="U357" s="140">
        <f ca="1">SUMIFS('recurring2_based on steps'!$B357:$AY357,'recurring2_based on steps'!$B$1:$AY$1,U$1)+SUMIFS('changes2_based on steps'!$B357:$U357,'changes2_based on steps'!$B$1:$U$1,U$1)</f>
        <v>0</v>
      </c>
      <c r="V357" s="140">
        <f>SUMIFS('recurring2_based on steps'!$B357:$AY357,'recurring2_based on steps'!$B$1:$AY$1,V$1)+SUMIFS('changes2_based on steps'!$B357:$U357,'changes2_based on steps'!$B$1:$U$1,V$1)</f>
        <v>0</v>
      </c>
      <c r="W357" s="140">
        <f>SUMIFS('recurring2_based on steps'!$B357:$AY357,'recurring2_based on steps'!$B$1:$AY$1,W$1)+SUMIFS('changes2_based on steps'!$B357:$U357,'changes2_based on steps'!$B$1:$U$1,W$1)</f>
        <v>0</v>
      </c>
      <c r="X357" s="140">
        <f ca="1">SUMIFS('recurring2_based on steps'!$B357:$AY357,'recurring2_based on steps'!$B$1:$AY$1,X$1)+SUMIFS('changes2_based on steps'!$B357:$U357,'changes2_based on steps'!$B$1:$U$1,X$1)</f>
        <v>0</v>
      </c>
      <c r="Y357" s="140">
        <f ca="1">SUMIFS('recurring2_based on steps'!$B357:$AY357,'recurring2_based on steps'!$B$1:$AY$1,Y$1)+SUMIFS('changes2_based on steps'!$B357:$U357,'changes2_based on steps'!$B$1:$U$1,Y$1)</f>
        <v>0</v>
      </c>
      <c r="Z357" s="140">
        <f>SUMIFS('recurring2_based on steps'!$B357:$AY357,'recurring2_based on steps'!$B$1:$AY$1,Z$1)+SUMIFS('changes2_based on steps'!$B357:$U357,'changes2_based on steps'!$B$1:$U$1,Z$1)</f>
        <v>0</v>
      </c>
      <c r="AA357" s="140">
        <f ca="1">SUMIFS('recurring2_based on steps'!$B357:$AY357,'recurring2_based on steps'!$B$1:$AY$1,AA$1)+SUMIFS('changes2_based on steps'!$B357:$U357,'changes2_based on steps'!$B$1:$U$1,AA$1)</f>
        <v>0</v>
      </c>
      <c r="AB357" s="140">
        <f ca="1">SUMIFS('recurring2_based on steps'!$B357:$AY357,'recurring2_based on steps'!$B$1:$AY$1,AB$1)+SUMIFS('changes2_based on steps'!$B357:$U357,'changes2_based on steps'!$B$1:$U$1,AB$1)</f>
        <v>0</v>
      </c>
      <c r="AC357" s="140">
        <f ca="1">SUMIFS('recurring2_based on steps'!$B357:$AY357,'recurring2_based on steps'!$B$1:$AY$1,AC$1)+SUMIFS('changes2_based on steps'!$B357:$U357,'changes2_based on steps'!$B$1:$U$1,AC$1)</f>
        <v>0</v>
      </c>
      <c r="AD357" s="140">
        <f ca="1">SUMIFS('recurring2_based on steps'!$B357:$AY357,'recurring2_based on steps'!$B$1:$AY$1,AD$1)+SUMIFS('changes2_based on steps'!$B357:$U357,'changes2_based on steps'!$B$1:$U$1,AD$1)</f>
        <v>0</v>
      </c>
      <c r="AE357" s="140">
        <f>SUMIFS('recurring2_based on steps'!$B357:$AY357,'recurring2_based on steps'!$B$1:$AY$1,AE$1)+SUMIFS('changes2_based on steps'!$B357:$U357,'changes2_based on steps'!$B$1:$U$1,AE$1)</f>
        <v>0</v>
      </c>
      <c r="AF357" s="140"/>
      <c r="AG357" s="140"/>
      <c r="AH357" s="140"/>
      <c r="AI357" s="140"/>
      <c r="AJ357" s="140"/>
      <c r="AK357" s="140"/>
      <c r="AL357" s="140"/>
      <c r="AM357" s="140"/>
    </row>
    <row r="358" spans="1:39" x14ac:dyDescent="0.2">
      <c r="A358" s="29">
        <f t="shared" ca="1" si="5"/>
        <v>46098</v>
      </c>
      <c r="B358" s="140">
        <f ca="1">SUMIFS('recurring2_based on steps'!$B358:$AY358,'recurring2_based on steps'!$B$1:$AY$1,B$1)+SUMIFS('changes2_based on steps'!$B358:$U358,'changes2_based on steps'!$B$1:$U$1,B$1)</f>
        <v>0</v>
      </c>
      <c r="C358" s="140">
        <f>SUMIFS('recurring2_based on steps'!$B358:$AY358,'recurring2_based on steps'!$B$1:$AY$1,C$1)+SUMIFS('changes2_based on steps'!$B358:$U358,'changes2_based on steps'!$B$1:$U$1,C$1)</f>
        <v>0</v>
      </c>
      <c r="D358" s="140">
        <f>SUMIFS('recurring2_based on steps'!$B358:$AY358,'recurring2_based on steps'!$B$1:$AY$1,D$1)+SUMIFS('changes2_based on steps'!$B358:$U358,'changes2_based on steps'!$B$1:$U$1,D$1)</f>
        <v>0</v>
      </c>
      <c r="E358" s="140">
        <f>SUMIFS('recurring2_based on steps'!$B358:$AY358,'recurring2_based on steps'!$B$1:$AY$1,E$1)+SUMIFS('changes2_based on steps'!$B358:$U358,'changes2_based on steps'!$B$1:$U$1,E$1)</f>
        <v>0</v>
      </c>
      <c r="F358" s="140">
        <f>SUMIFS('recurring2_based on steps'!$B358:$AY358,'recurring2_based on steps'!$B$1:$AY$1,F$1)+SUMIFS('changes2_based on steps'!$B358:$U358,'changes2_based on steps'!$B$1:$U$1,F$1)</f>
        <v>0</v>
      </c>
      <c r="G358" s="140">
        <f>SUMIFS('recurring2_based on steps'!$B358:$AY358,'recurring2_based on steps'!$B$1:$AY$1,G$1)+SUMIFS('changes2_based on steps'!$B358:$U358,'changes2_based on steps'!$B$1:$U$1,G$1)</f>
        <v>0</v>
      </c>
      <c r="H358" s="140">
        <f>SUMIFS('recurring2_based on steps'!$B358:$AY358,'recurring2_based on steps'!$B$1:$AY$1,H$1)+SUMIFS('changes2_based on steps'!$B358:$U358,'changes2_based on steps'!$B$1:$U$1,H$1)</f>
        <v>0</v>
      </c>
      <c r="I358" s="140">
        <f>SUMIFS('recurring2_based on steps'!$B358:$AY358,'recurring2_based on steps'!$B$1:$AY$1,I$1)+SUMIFS('changes2_based on steps'!$B358:$U358,'changes2_based on steps'!$B$1:$U$1,I$1)</f>
        <v>0</v>
      </c>
      <c r="J358" s="140">
        <f ca="1">SUMIFS('recurring2_based on steps'!$B358:$AY358,'recurring2_based on steps'!$B$1:$AY$1,J$1)+SUMIFS('changes2_based on steps'!$B358:$U358,'changes2_based on steps'!$B$1:$U$1,J$1)</f>
        <v>0</v>
      </c>
      <c r="K358" s="140">
        <f>SUMIFS('recurring2_based on steps'!$B358:$AY358,'recurring2_based on steps'!$B$1:$AY$1,K$1)+SUMIFS('changes2_based on steps'!$B358:$U358,'changes2_based on steps'!$B$1:$U$1,K$1)</f>
        <v>0</v>
      </c>
      <c r="L358" s="140">
        <f>SUMIFS('recurring2_based on steps'!$B358:$AY358,'recurring2_based on steps'!$B$1:$AY$1,L$1)+SUMIFS('changes2_based on steps'!$B358:$U358,'changes2_based on steps'!$B$1:$U$1,L$1)</f>
        <v>0</v>
      </c>
      <c r="M358" s="140">
        <f>SUMIFS('recurring2_based on steps'!$B358:$AY358,'recurring2_based on steps'!$B$1:$AY$1,M$1)+SUMIFS('changes2_based on steps'!$B358:$U358,'changes2_based on steps'!$B$1:$U$1,M$1)</f>
        <v>0</v>
      </c>
      <c r="N358" s="140">
        <f ca="1">SUMIFS('recurring2_based on steps'!$B358:$AY358,'recurring2_based on steps'!$B$1:$AY$1,N$1)+SUMIFS('changes2_based on steps'!$B358:$U358,'changes2_based on steps'!$B$1:$U$1,N$1)</f>
        <v>0</v>
      </c>
      <c r="O358" s="140">
        <f>SUMIFS('recurring2_based on steps'!$B358:$AY358,'recurring2_based on steps'!$B$1:$AY$1,O$1)+SUMIFS('changes2_based on steps'!$B358:$U358,'changes2_based on steps'!$B$1:$U$1,O$1)</f>
        <v>0</v>
      </c>
      <c r="P358" s="140">
        <f ca="1">SUMIFS('recurring2_based on steps'!$B358:$AY358,'recurring2_based on steps'!$B$1:$AY$1,P$1)+SUMIFS('changes2_based on steps'!$B358:$U358,'changes2_based on steps'!$B$1:$U$1,P$1)</f>
        <v>0</v>
      </c>
      <c r="Q358" s="140">
        <f ca="1">SUMIFS('recurring2_based on steps'!$B358:$AY358,'recurring2_based on steps'!$B$1:$AY$1,Q$1)+SUMIFS('changes2_based on steps'!$B358:$U358,'changes2_based on steps'!$B$1:$U$1,Q$1)</f>
        <v>5.5401662049861494E-2</v>
      </c>
      <c r="R358" s="140">
        <f ca="1">SUMIFS('recurring2_based on steps'!$B358:$AY358,'recurring2_based on steps'!$B$1:$AY$1,R$1)+SUMIFS('changes2_based on steps'!$B358:$U358,'changes2_based on steps'!$B$1:$U$1,R$1)</f>
        <v>0</v>
      </c>
      <c r="S358" s="140">
        <f>SUMIFS('recurring2_based on steps'!$B358:$AY358,'recurring2_based on steps'!$B$1:$AY$1,S$1)+SUMIFS('changes2_based on steps'!$B358:$U358,'changes2_based on steps'!$B$1:$U$1,S$1)</f>
        <v>0</v>
      </c>
      <c r="T358" s="140">
        <f ca="1">SUMIFS('recurring2_based on steps'!$B358:$AY358,'recurring2_based on steps'!$B$1:$AY$1,T$1)+SUMIFS('changes2_based on steps'!$B358:$U358,'changes2_based on steps'!$B$1:$U$1,T$1)</f>
        <v>0</v>
      </c>
      <c r="U358" s="140">
        <f ca="1">SUMIFS('recurring2_based on steps'!$B358:$AY358,'recurring2_based on steps'!$B$1:$AY$1,U$1)+SUMIFS('changes2_based on steps'!$B358:$U358,'changes2_based on steps'!$B$1:$U$1,U$1)</f>
        <v>0</v>
      </c>
      <c r="V358" s="140">
        <f>SUMIFS('recurring2_based on steps'!$B358:$AY358,'recurring2_based on steps'!$B$1:$AY$1,V$1)+SUMIFS('changes2_based on steps'!$B358:$U358,'changes2_based on steps'!$B$1:$U$1,V$1)</f>
        <v>0</v>
      </c>
      <c r="W358" s="140">
        <f>SUMIFS('recurring2_based on steps'!$B358:$AY358,'recurring2_based on steps'!$B$1:$AY$1,W$1)+SUMIFS('changes2_based on steps'!$B358:$U358,'changes2_based on steps'!$B$1:$U$1,W$1)</f>
        <v>0</v>
      </c>
      <c r="X358" s="140">
        <f ca="1">SUMIFS('recurring2_based on steps'!$B358:$AY358,'recurring2_based on steps'!$B$1:$AY$1,X$1)+SUMIFS('changes2_based on steps'!$B358:$U358,'changes2_based on steps'!$B$1:$U$1,X$1)</f>
        <v>0</v>
      </c>
      <c r="Y358" s="140">
        <f ca="1">SUMIFS('recurring2_based on steps'!$B358:$AY358,'recurring2_based on steps'!$B$1:$AY$1,Y$1)+SUMIFS('changes2_based on steps'!$B358:$U358,'changes2_based on steps'!$B$1:$U$1,Y$1)</f>
        <v>0</v>
      </c>
      <c r="Z358" s="140">
        <f>SUMIFS('recurring2_based on steps'!$B358:$AY358,'recurring2_based on steps'!$B$1:$AY$1,Z$1)+SUMIFS('changes2_based on steps'!$B358:$U358,'changes2_based on steps'!$B$1:$U$1,Z$1)</f>
        <v>0</v>
      </c>
      <c r="AA358" s="140">
        <f ca="1">SUMIFS('recurring2_based on steps'!$B358:$AY358,'recurring2_based on steps'!$B$1:$AY$1,AA$1)+SUMIFS('changes2_based on steps'!$B358:$U358,'changes2_based on steps'!$B$1:$U$1,AA$1)</f>
        <v>0</v>
      </c>
      <c r="AB358" s="140">
        <f ca="1">SUMIFS('recurring2_based on steps'!$B358:$AY358,'recurring2_based on steps'!$B$1:$AY$1,AB$1)+SUMIFS('changes2_based on steps'!$B358:$U358,'changes2_based on steps'!$B$1:$U$1,AB$1)</f>
        <v>0</v>
      </c>
      <c r="AC358" s="140">
        <f ca="1">SUMIFS('recurring2_based on steps'!$B358:$AY358,'recurring2_based on steps'!$B$1:$AY$1,AC$1)+SUMIFS('changes2_based on steps'!$B358:$U358,'changes2_based on steps'!$B$1:$U$1,AC$1)</f>
        <v>0</v>
      </c>
      <c r="AD358" s="140">
        <f ca="1">SUMIFS('recurring2_based on steps'!$B358:$AY358,'recurring2_based on steps'!$B$1:$AY$1,AD$1)+SUMIFS('changes2_based on steps'!$B358:$U358,'changes2_based on steps'!$B$1:$U$1,AD$1)</f>
        <v>0</v>
      </c>
      <c r="AE358" s="140">
        <f>SUMIFS('recurring2_based on steps'!$B358:$AY358,'recurring2_based on steps'!$B$1:$AY$1,AE$1)+SUMIFS('changes2_based on steps'!$B358:$U358,'changes2_based on steps'!$B$1:$U$1,AE$1)</f>
        <v>0</v>
      </c>
      <c r="AF358" s="140"/>
      <c r="AG358" s="140"/>
      <c r="AH358" s="140"/>
      <c r="AI358" s="140"/>
      <c r="AJ358" s="140"/>
      <c r="AK358" s="140"/>
      <c r="AL358" s="140"/>
      <c r="AM358" s="140"/>
    </row>
    <row r="359" spans="1:39" x14ac:dyDescent="0.2">
      <c r="A359" s="29">
        <f t="shared" ca="1" si="5"/>
        <v>46099</v>
      </c>
      <c r="B359" s="140">
        <f ca="1">SUMIFS('recurring2_based on steps'!$B359:$AY359,'recurring2_based on steps'!$B$1:$AY$1,B$1)+SUMIFS('changes2_based on steps'!$B359:$U359,'changes2_based on steps'!$B$1:$U$1,B$1)</f>
        <v>0</v>
      </c>
      <c r="C359" s="140">
        <f>SUMIFS('recurring2_based on steps'!$B359:$AY359,'recurring2_based on steps'!$B$1:$AY$1,C$1)+SUMIFS('changes2_based on steps'!$B359:$U359,'changes2_based on steps'!$B$1:$U$1,C$1)</f>
        <v>0</v>
      </c>
      <c r="D359" s="140">
        <f>SUMIFS('recurring2_based on steps'!$B359:$AY359,'recurring2_based on steps'!$B$1:$AY$1,D$1)+SUMIFS('changes2_based on steps'!$B359:$U359,'changes2_based on steps'!$B$1:$U$1,D$1)</f>
        <v>0</v>
      </c>
      <c r="E359" s="140">
        <f>SUMIFS('recurring2_based on steps'!$B359:$AY359,'recurring2_based on steps'!$B$1:$AY$1,E$1)+SUMIFS('changes2_based on steps'!$B359:$U359,'changes2_based on steps'!$B$1:$U$1,E$1)</f>
        <v>0</v>
      </c>
      <c r="F359" s="140">
        <f>SUMIFS('recurring2_based on steps'!$B359:$AY359,'recurring2_based on steps'!$B$1:$AY$1,F$1)+SUMIFS('changes2_based on steps'!$B359:$U359,'changes2_based on steps'!$B$1:$U$1,F$1)</f>
        <v>0</v>
      </c>
      <c r="G359" s="140">
        <f>SUMIFS('recurring2_based on steps'!$B359:$AY359,'recurring2_based on steps'!$B$1:$AY$1,G$1)+SUMIFS('changes2_based on steps'!$B359:$U359,'changes2_based on steps'!$B$1:$U$1,G$1)</f>
        <v>0</v>
      </c>
      <c r="H359" s="140">
        <f>SUMIFS('recurring2_based on steps'!$B359:$AY359,'recurring2_based on steps'!$B$1:$AY$1,H$1)+SUMIFS('changes2_based on steps'!$B359:$U359,'changes2_based on steps'!$B$1:$U$1,H$1)</f>
        <v>0</v>
      </c>
      <c r="I359" s="140">
        <f>SUMIFS('recurring2_based on steps'!$B359:$AY359,'recurring2_based on steps'!$B$1:$AY$1,I$1)+SUMIFS('changes2_based on steps'!$B359:$U359,'changes2_based on steps'!$B$1:$U$1,I$1)</f>
        <v>0</v>
      </c>
      <c r="J359" s="140">
        <f ca="1">SUMIFS('recurring2_based on steps'!$B359:$AY359,'recurring2_based on steps'!$B$1:$AY$1,J$1)+SUMIFS('changes2_based on steps'!$B359:$U359,'changes2_based on steps'!$B$1:$U$1,J$1)</f>
        <v>0</v>
      </c>
      <c r="K359" s="140">
        <f>SUMIFS('recurring2_based on steps'!$B359:$AY359,'recurring2_based on steps'!$B$1:$AY$1,K$1)+SUMIFS('changes2_based on steps'!$B359:$U359,'changes2_based on steps'!$B$1:$U$1,K$1)</f>
        <v>0</v>
      </c>
      <c r="L359" s="140">
        <f>SUMIFS('recurring2_based on steps'!$B359:$AY359,'recurring2_based on steps'!$B$1:$AY$1,L$1)+SUMIFS('changes2_based on steps'!$B359:$U359,'changes2_based on steps'!$B$1:$U$1,L$1)</f>
        <v>0</v>
      </c>
      <c r="M359" s="140">
        <f>SUMIFS('recurring2_based on steps'!$B359:$AY359,'recurring2_based on steps'!$B$1:$AY$1,M$1)+SUMIFS('changes2_based on steps'!$B359:$U359,'changes2_based on steps'!$B$1:$U$1,M$1)</f>
        <v>0</v>
      </c>
      <c r="N359" s="140">
        <f ca="1">SUMIFS('recurring2_based on steps'!$B359:$AY359,'recurring2_based on steps'!$B$1:$AY$1,N$1)+SUMIFS('changes2_based on steps'!$B359:$U359,'changes2_based on steps'!$B$1:$U$1,N$1)</f>
        <v>0</v>
      </c>
      <c r="O359" s="140">
        <f>SUMIFS('recurring2_based on steps'!$B359:$AY359,'recurring2_based on steps'!$B$1:$AY$1,O$1)+SUMIFS('changes2_based on steps'!$B359:$U359,'changes2_based on steps'!$B$1:$U$1,O$1)</f>
        <v>0</v>
      </c>
      <c r="P359" s="140">
        <f ca="1">SUMIFS('recurring2_based on steps'!$B359:$AY359,'recurring2_based on steps'!$B$1:$AY$1,P$1)+SUMIFS('changes2_based on steps'!$B359:$U359,'changes2_based on steps'!$B$1:$U$1,P$1)</f>
        <v>0</v>
      </c>
      <c r="Q359" s="140">
        <f ca="1">SUMIFS('recurring2_based on steps'!$B359:$AY359,'recurring2_based on steps'!$B$1:$AY$1,Q$1)+SUMIFS('changes2_based on steps'!$B359:$U359,'changes2_based on steps'!$B$1:$U$1,Q$1)</f>
        <v>5.5401662049861494E-2</v>
      </c>
      <c r="R359" s="140">
        <f ca="1">SUMIFS('recurring2_based on steps'!$B359:$AY359,'recurring2_based on steps'!$B$1:$AY$1,R$1)+SUMIFS('changes2_based on steps'!$B359:$U359,'changes2_based on steps'!$B$1:$U$1,R$1)</f>
        <v>0</v>
      </c>
      <c r="S359" s="140">
        <f>SUMIFS('recurring2_based on steps'!$B359:$AY359,'recurring2_based on steps'!$B$1:$AY$1,S$1)+SUMIFS('changes2_based on steps'!$B359:$U359,'changes2_based on steps'!$B$1:$U$1,S$1)</f>
        <v>0</v>
      </c>
      <c r="T359" s="140">
        <f ca="1">SUMIFS('recurring2_based on steps'!$B359:$AY359,'recurring2_based on steps'!$B$1:$AY$1,T$1)+SUMIFS('changes2_based on steps'!$B359:$U359,'changes2_based on steps'!$B$1:$U$1,T$1)</f>
        <v>0</v>
      </c>
      <c r="U359" s="140">
        <f ca="1">SUMIFS('recurring2_based on steps'!$B359:$AY359,'recurring2_based on steps'!$B$1:$AY$1,U$1)+SUMIFS('changes2_based on steps'!$B359:$U359,'changes2_based on steps'!$B$1:$U$1,U$1)</f>
        <v>0</v>
      </c>
      <c r="V359" s="140">
        <f>SUMIFS('recurring2_based on steps'!$B359:$AY359,'recurring2_based on steps'!$B$1:$AY$1,V$1)+SUMIFS('changes2_based on steps'!$B359:$U359,'changes2_based on steps'!$B$1:$U$1,V$1)</f>
        <v>0</v>
      </c>
      <c r="W359" s="140">
        <f>SUMIFS('recurring2_based on steps'!$B359:$AY359,'recurring2_based on steps'!$B$1:$AY$1,W$1)+SUMIFS('changes2_based on steps'!$B359:$U359,'changes2_based on steps'!$B$1:$U$1,W$1)</f>
        <v>0</v>
      </c>
      <c r="X359" s="140">
        <f ca="1">SUMIFS('recurring2_based on steps'!$B359:$AY359,'recurring2_based on steps'!$B$1:$AY$1,X$1)+SUMIFS('changes2_based on steps'!$B359:$U359,'changes2_based on steps'!$B$1:$U$1,X$1)</f>
        <v>0</v>
      </c>
      <c r="Y359" s="140">
        <f ca="1">SUMIFS('recurring2_based on steps'!$B359:$AY359,'recurring2_based on steps'!$B$1:$AY$1,Y$1)+SUMIFS('changes2_based on steps'!$B359:$U359,'changes2_based on steps'!$B$1:$U$1,Y$1)</f>
        <v>0</v>
      </c>
      <c r="Z359" s="140">
        <f>SUMIFS('recurring2_based on steps'!$B359:$AY359,'recurring2_based on steps'!$B$1:$AY$1,Z$1)+SUMIFS('changes2_based on steps'!$B359:$U359,'changes2_based on steps'!$B$1:$U$1,Z$1)</f>
        <v>0</v>
      </c>
      <c r="AA359" s="140">
        <f ca="1">SUMIFS('recurring2_based on steps'!$B359:$AY359,'recurring2_based on steps'!$B$1:$AY$1,AA$1)+SUMIFS('changes2_based on steps'!$B359:$U359,'changes2_based on steps'!$B$1:$U$1,AA$1)</f>
        <v>0</v>
      </c>
      <c r="AB359" s="140">
        <f ca="1">SUMIFS('recurring2_based on steps'!$B359:$AY359,'recurring2_based on steps'!$B$1:$AY$1,AB$1)+SUMIFS('changes2_based on steps'!$B359:$U359,'changes2_based on steps'!$B$1:$U$1,AB$1)</f>
        <v>0</v>
      </c>
      <c r="AC359" s="140">
        <f ca="1">SUMIFS('recurring2_based on steps'!$B359:$AY359,'recurring2_based on steps'!$B$1:$AY$1,AC$1)+SUMIFS('changes2_based on steps'!$B359:$U359,'changes2_based on steps'!$B$1:$U$1,AC$1)</f>
        <v>0</v>
      </c>
      <c r="AD359" s="140">
        <f ca="1">SUMIFS('recurring2_based on steps'!$B359:$AY359,'recurring2_based on steps'!$B$1:$AY$1,AD$1)+SUMIFS('changes2_based on steps'!$B359:$U359,'changes2_based on steps'!$B$1:$U$1,AD$1)</f>
        <v>0</v>
      </c>
      <c r="AE359" s="140">
        <f>SUMIFS('recurring2_based on steps'!$B359:$AY359,'recurring2_based on steps'!$B$1:$AY$1,AE$1)+SUMIFS('changes2_based on steps'!$B359:$U359,'changes2_based on steps'!$B$1:$U$1,AE$1)</f>
        <v>0</v>
      </c>
      <c r="AF359" s="140"/>
      <c r="AG359" s="140"/>
      <c r="AH359" s="140"/>
      <c r="AI359" s="140"/>
      <c r="AJ359" s="140"/>
      <c r="AK359" s="140"/>
      <c r="AL359" s="140"/>
      <c r="AM359" s="140"/>
    </row>
    <row r="360" spans="1:39" x14ac:dyDescent="0.2">
      <c r="A360" s="29">
        <f t="shared" ca="1" si="5"/>
        <v>46100</v>
      </c>
      <c r="B360" s="140">
        <f ca="1">SUMIFS('recurring2_based on steps'!$B360:$AY360,'recurring2_based on steps'!$B$1:$AY$1,B$1)+SUMIFS('changes2_based on steps'!$B360:$U360,'changes2_based on steps'!$B$1:$U$1,B$1)</f>
        <v>0</v>
      </c>
      <c r="C360" s="140">
        <f>SUMIFS('recurring2_based on steps'!$B360:$AY360,'recurring2_based on steps'!$B$1:$AY$1,C$1)+SUMIFS('changes2_based on steps'!$B360:$U360,'changes2_based on steps'!$B$1:$U$1,C$1)</f>
        <v>0</v>
      </c>
      <c r="D360" s="140">
        <f>SUMIFS('recurring2_based on steps'!$B360:$AY360,'recurring2_based on steps'!$B$1:$AY$1,D$1)+SUMIFS('changes2_based on steps'!$B360:$U360,'changes2_based on steps'!$B$1:$U$1,D$1)</f>
        <v>0</v>
      </c>
      <c r="E360" s="140">
        <f>SUMIFS('recurring2_based on steps'!$B360:$AY360,'recurring2_based on steps'!$B$1:$AY$1,E$1)+SUMIFS('changes2_based on steps'!$B360:$U360,'changes2_based on steps'!$B$1:$U$1,E$1)</f>
        <v>0</v>
      </c>
      <c r="F360" s="140">
        <f>SUMIFS('recurring2_based on steps'!$B360:$AY360,'recurring2_based on steps'!$B$1:$AY$1,F$1)+SUMIFS('changes2_based on steps'!$B360:$U360,'changes2_based on steps'!$B$1:$U$1,F$1)</f>
        <v>0</v>
      </c>
      <c r="G360" s="140">
        <f>SUMIFS('recurring2_based on steps'!$B360:$AY360,'recurring2_based on steps'!$B$1:$AY$1,G$1)+SUMIFS('changes2_based on steps'!$B360:$U360,'changes2_based on steps'!$B$1:$U$1,G$1)</f>
        <v>0</v>
      </c>
      <c r="H360" s="140">
        <f>SUMIFS('recurring2_based on steps'!$B360:$AY360,'recurring2_based on steps'!$B$1:$AY$1,H$1)+SUMIFS('changes2_based on steps'!$B360:$U360,'changes2_based on steps'!$B$1:$U$1,H$1)</f>
        <v>0</v>
      </c>
      <c r="I360" s="140">
        <f>SUMIFS('recurring2_based on steps'!$B360:$AY360,'recurring2_based on steps'!$B$1:$AY$1,I$1)+SUMIFS('changes2_based on steps'!$B360:$U360,'changes2_based on steps'!$B$1:$U$1,I$1)</f>
        <v>0</v>
      </c>
      <c r="J360" s="140">
        <f ca="1">SUMIFS('recurring2_based on steps'!$B360:$AY360,'recurring2_based on steps'!$B$1:$AY$1,J$1)+SUMIFS('changes2_based on steps'!$B360:$U360,'changes2_based on steps'!$B$1:$U$1,J$1)</f>
        <v>0</v>
      </c>
      <c r="K360" s="140">
        <f>SUMIFS('recurring2_based on steps'!$B360:$AY360,'recurring2_based on steps'!$B$1:$AY$1,K$1)+SUMIFS('changes2_based on steps'!$B360:$U360,'changes2_based on steps'!$B$1:$U$1,K$1)</f>
        <v>0</v>
      </c>
      <c r="L360" s="140">
        <f>SUMIFS('recurring2_based on steps'!$B360:$AY360,'recurring2_based on steps'!$B$1:$AY$1,L$1)+SUMIFS('changes2_based on steps'!$B360:$U360,'changes2_based on steps'!$B$1:$U$1,L$1)</f>
        <v>0</v>
      </c>
      <c r="M360" s="140">
        <f>SUMIFS('recurring2_based on steps'!$B360:$AY360,'recurring2_based on steps'!$B$1:$AY$1,M$1)+SUMIFS('changes2_based on steps'!$B360:$U360,'changes2_based on steps'!$B$1:$U$1,M$1)</f>
        <v>0</v>
      </c>
      <c r="N360" s="140">
        <f ca="1">SUMIFS('recurring2_based on steps'!$B360:$AY360,'recurring2_based on steps'!$B$1:$AY$1,N$1)+SUMIFS('changes2_based on steps'!$B360:$U360,'changes2_based on steps'!$B$1:$U$1,N$1)</f>
        <v>0</v>
      </c>
      <c r="O360" s="140">
        <f>SUMIFS('recurring2_based on steps'!$B360:$AY360,'recurring2_based on steps'!$B$1:$AY$1,O$1)+SUMIFS('changes2_based on steps'!$B360:$U360,'changes2_based on steps'!$B$1:$U$1,O$1)</f>
        <v>0</v>
      </c>
      <c r="P360" s="140">
        <f ca="1">SUMIFS('recurring2_based on steps'!$B360:$AY360,'recurring2_based on steps'!$B$1:$AY$1,P$1)+SUMIFS('changes2_based on steps'!$B360:$U360,'changes2_based on steps'!$B$1:$U$1,P$1)</f>
        <v>0</v>
      </c>
      <c r="Q360" s="140">
        <f ca="1">SUMIFS('recurring2_based on steps'!$B360:$AY360,'recurring2_based on steps'!$B$1:$AY$1,Q$1)+SUMIFS('changes2_based on steps'!$B360:$U360,'changes2_based on steps'!$B$1:$U$1,Q$1)</f>
        <v>5.5401662049861494E-2</v>
      </c>
      <c r="R360" s="140">
        <f ca="1">SUMIFS('recurring2_based on steps'!$B360:$AY360,'recurring2_based on steps'!$B$1:$AY$1,R$1)+SUMIFS('changes2_based on steps'!$B360:$U360,'changes2_based on steps'!$B$1:$U$1,R$1)</f>
        <v>0</v>
      </c>
      <c r="S360" s="140">
        <f>SUMIFS('recurring2_based on steps'!$B360:$AY360,'recurring2_based on steps'!$B$1:$AY$1,S$1)+SUMIFS('changes2_based on steps'!$B360:$U360,'changes2_based on steps'!$B$1:$U$1,S$1)</f>
        <v>0</v>
      </c>
      <c r="T360" s="140">
        <f ca="1">SUMIFS('recurring2_based on steps'!$B360:$AY360,'recurring2_based on steps'!$B$1:$AY$1,T$1)+SUMIFS('changes2_based on steps'!$B360:$U360,'changes2_based on steps'!$B$1:$U$1,T$1)</f>
        <v>0</v>
      </c>
      <c r="U360" s="140">
        <f ca="1">SUMIFS('recurring2_based on steps'!$B360:$AY360,'recurring2_based on steps'!$B$1:$AY$1,U$1)+SUMIFS('changes2_based on steps'!$B360:$U360,'changes2_based on steps'!$B$1:$U$1,U$1)</f>
        <v>0</v>
      </c>
      <c r="V360" s="140">
        <f>SUMIFS('recurring2_based on steps'!$B360:$AY360,'recurring2_based on steps'!$B$1:$AY$1,V$1)+SUMIFS('changes2_based on steps'!$B360:$U360,'changes2_based on steps'!$B$1:$U$1,V$1)</f>
        <v>0</v>
      </c>
      <c r="W360" s="140">
        <f>SUMIFS('recurring2_based on steps'!$B360:$AY360,'recurring2_based on steps'!$B$1:$AY$1,W$1)+SUMIFS('changes2_based on steps'!$B360:$U360,'changes2_based on steps'!$B$1:$U$1,W$1)</f>
        <v>0</v>
      </c>
      <c r="X360" s="140">
        <f ca="1">SUMIFS('recurring2_based on steps'!$B360:$AY360,'recurring2_based on steps'!$B$1:$AY$1,X$1)+SUMIFS('changes2_based on steps'!$B360:$U360,'changes2_based on steps'!$B$1:$U$1,X$1)</f>
        <v>0</v>
      </c>
      <c r="Y360" s="140">
        <f ca="1">SUMIFS('recurring2_based on steps'!$B360:$AY360,'recurring2_based on steps'!$B$1:$AY$1,Y$1)+SUMIFS('changes2_based on steps'!$B360:$U360,'changes2_based on steps'!$B$1:$U$1,Y$1)</f>
        <v>0</v>
      </c>
      <c r="Z360" s="140">
        <f>SUMIFS('recurring2_based on steps'!$B360:$AY360,'recurring2_based on steps'!$B$1:$AY$1,Z$1)+SUMIFS('changes2_based on steps'!$B360:$U360,'changes2_based on steps'!$B$1:$U$1,Z$1)</f>
        <v>0</v>
      </c>
      <c r="AA360" s="140">
        <f ca="1">SUMIFS('recurring2_based on steps'!$B360:$AY360,'recurring2_based on steps'!$B$1:$AY$1,AA$1)+SUMIFS('changes2_based on steps'!$B360:$U360,'changes2_based on steps'!$B$1:$U$1,AA$1)</f>
        <v>0</v>
      </c>
      <c r="AB360" s="140">
        <f ca="1">SUMIFS('recurring2_based on steps'!$B360:$AY360,'recurring2_based on steps'!$B$1:$AY$1,AB$1)+SUMIFS('changes2_based on steps'!$B360:$U360,'changes2_based on steps'!$B$1:$U$1,AB$1)</f>
        <v>0</v>
      </c>
      <c r="AC360" s="140">
        <f ca="1">SUMIFS('recurring2_based on steps'!$B360:$AY360,'recurring2_based on steps'!$B$1:$AY$1,AC$1)+SUMIFS('changes2_based on steps'!$B360:$U360,'changes2_based on steps'!$B$1:$U$1,AC$1)</f>
        <v>0</v>
      </c>
      <c r="AD360" s="140">
        <f ca="1">SUMIFS('recurring2_based on steps'!$B360:$AY360,'recurring2_based on steps'!$B$1:$AY$1,AD$1)+SUMIFS('changes2_based on steps'!$B360:$U360,'changes2_based on steps'!$B$1:$U$1,AD$1)</f>
        <v>0</v>
      </c>
      <c r="AE360" s="140">
        <f>SUMIFS('recurring2_based on steps'!$B360:$AY360,'recurring2_based on steps'!$B$1:$AY$1,AE$1)+SUMIFS('changes2_based on steps'!$B360:$U360,'changes2_based on steps'!$B$1:$U$1,AE$1)</f>
        <v>0</v>
      </c>
      <c r="AF360" s="140"/>
      <c r="AG360" s="140"/>
      <c r="AH360" s="140"/>
      <c r="AI360" s="140"/>
      <c r="AJ360" s="140"/>
      <c r="AK360" s="140"/>
      <c r="AL360" s="140"/>
      <c r="AM360" s="140"/>
    </row>
    <row r="361" spans="1:39" x14ac:dyDescent="0.2">
      <c r="A361" s="29">
        <f t="shared" ca="1" si="5"/>
        <v>46101</v>
      </c>
      <c r="B361" s="140">
        <f ca="1">SUMIFS('recurring2_based on steps'!$B361:$AY361,'recurring2_based on steps'!$B$1:$AY$1,B$1)+SUMIFS('changes2_based on steps'!$B361:$U361,'changes2_based on steps'!$B$1:$U$1,B$1)</f>
        <v>4000</v>
      </c>
      <c r="C361" s="140">
        <f>SUMIFS('recurring2_based on steps'!$B361:$AY361,'recurring2_based on steps'!$B$1:$AY$1,C$1)+SUMIFS('changes2_based on steps'!$B361:$U361,'changes2_based on steps'!$B$1:$U$1,C$1)</f>
        <v>0</v>
      </c>
      <c r="D361" s="140">
        <f>SUMIFS('recurring2_based on steps'!$B361:$AY361,'recurring2_based on steps'!$B$1:$AY$1,D$1)+SUMIFS('changes2_based on steps'!$B361:$U361,'changes2_based on steps'!$B$1:$U$1,D$1)</f>
        <v>0</v>
      </c>
      <c r="E361" s="140">
        <f>SUMIFS('recurring2_based on steps'!$B361:$AY361,'recurring2_based on steps'!$B$1:$AY$1,E$1)+SUMIFS('changes2_based on steps'!$B361:$U361,'changes2_based on steps'!$B$1:$U$1,E$1)</f>
        <v>0</v>
      </c>
      <c r="F361" s="140">
        <f>SUMIFS('recurring2_based on steps'!$B361:$AY361,'recurring2_based on steps'!$B$1:$AY$1,F$1)+SUMIFS('changes2_based on steps'!$B361:$U361,'changes2_based on steps'!$B$1:$U$1,F$1)</f>
        <v>0</v>
      </c>
      <c r="G361" s="140">
        <f>SUMIFS('recurring2_based on steps'!$B361:$AY361,'recurring2_based on steps'!$B$1:$AY$1,G$1)+SUMIFS('changes2_based on steps'!$B361:$U361,'changes2_based on steps'!$B$1:$U$1,G$1)</f>
        <v>0</v>
      </c>
      <c r="H361" s="140">
        <f>SUMIFS('recurring2_based on steps'!$B361:$AY361,'recurring2_based on steps'!$B$1:$AY$1,H$1)+SUMIFS('changes2_based on steps'!$B361:$U361,'changes2_based on steps'!$B$1:$U$1,H$1)</f>
        <v>0</v>
      </c>
      <c r="I361" s="140">
        <f>SUMIFS('recurring2_based on steps'!$B361:$AY361,'recurring2_based on steps'!$B$1:$AY$1,I$1)+SUMIFS('changes2_based on steps'!$B361:$U361,'changes2_based on steps'!$B$1:$U$1,I$1)</f>
        <v>0</v>
      </c>
      <c r="J361" s="140">
        <f ca="1">SUMIFS('recurring2_based on steps'!$B361:$AY361,'recurring2_based on steps'!$B$1:$AY$1,J$1)+SUMIFS('changes2_based on steps'!$B361:$U361,'changes2_based on steps'!$B$1:$U$1,J$1)</f>
        <v>0</v>
      </c>
      <c r="K361" s="140">
        <f>SUMIFS('recurring2_based on steps'!$B361:$AY361,'recurring2_based on steps'!$B$1:$AY$1,K$1)+SUMIFS('changes2_based on steps'!$B361:$U361,'changes2_based on steps'!$B$1:$U$1,K$1)</f>
        <v>0</v>
      </c>
      <c r="L361" s="140">
        <f>SUMIFS('recurring2_based on steps'!$B361:$AY361,'recurring2_based on steps'!$B$1:$AY$1,L$1)+SUMIFS('changes2_based on steps'!$B361:$U361,'changes2_based on steps'!$B$1:$U$1,L$1)</f>
        <v>0</v>
      </c>
      <c r="M361" s="140">
        <f>SUMIFS('recurring2_based on steps'!$B361:$AY361,'recurring2_based on steps'!$B$1:$AY$1,M$1)+SUMIFS('changes2_based on steps'!$B361:$U361,'changes2_based on steps'!$B$1:$U$1,M$1)</f>
        <v>0</v>
      </c>
      <c r="N361" s="140">
        <f ca="1">SUMIFS('recurring2_based on steps'!$B361:$AY361,'recurring2_based on steps'!$B$1:$AY$1,N$1)+SUMIFS('changes2_based on steps'!$B361:$U361,'changes2_based on steps'!$B$1:$U$1,N$1)</f>
        <v>0</v>
      </c>
      <c r="O361" s="140">
        <f>SUMIFS('recurring2_based on steps'!$B361:$AY361,'recurring2_based on steps'!$B$1:$AY$1,O$1)+SUMIFS('changes2_based on steps'!$B361:$U361,'changes2_based on steps'!$B$1:$U$1,O$1)</f>
        <v>0</v>
      </c>
      <c r="P361" s="140">
        <f ca="1">SUMIFS('recurring2_based on steps'!$B361:$AY361,'recurring2_based on steps'!$B$1:$AY$1,P$1)+SUMIFS('changes2_based on steps'!$B361:$U361,'changes2_based on steps'!$B$1:$U$1,P$1)</f>
        <v>0</v>
      </c>
      <c r="Q361" s="140">
        <f ca="1">SUMIFS('recurring2_based on steps'!$B361:$AY361,'recurring2_based on steps'!$B$1:$AY$1,Q$1)+SUMIFS('changes2_based on steps'!$B361:$U361,'changes2_based on steps'!$B$1:$U$1,Q$1)</f>
        <v>5.5401662049861494E-2</v>
      </c>
      <c r="R361" s="140">
        <f ca="1">SUMIFS('recurring2_based on steps'!$B361:$AY361,'recurring2_based on steps'!$B$1:$AY$1,R$1)+SUMIFS('changes2_based on steps'!$B361:$U361,'changes2_based on steps'!$B$1:$U$1,R$1)</f>
        <v>0</v>
      </c>
      <c r="S361" s="140">
        <f>SUMIFS('recurring2_based on steps'!$B361:$AY361,'recurring2_based on steps'!$B$1:$AY$1,S$1)+SUMIFS('changes2_based on steps'!$B361:$U361,'changes2_based on steps'!$B$1:$U$1,S$1)</f>
        <v>0</v>
      </c>
      <c r="T361" s="140">
        <f ca="1">SUMIFS('recurring2_based on steps'!$B361:$AY361,'recurring2_based on steps'!$B$1:$AY$1,T$1)+SUMIFS('changes2_based on steps'!$B361:$U361,'changes2_based on steps'!$B$1:$U$1,T$1)</f>
        <v>50</v>
      </c>
      <c r="U361" s="140">
        <f ca="1">SUMIFS('recurring2_based on steps'!$B361:$AY361,'recurring2_based on steps'!$B$1:$AY$1,U$1)+SUMIFS('changes2_based on steps'!$B361:$U361,'changes2_based on steps'!$B$1:$U$1,U$1)</f>
        <v>200</v>
      </c>
      <c r="V361" s="140">
        <f>SUMIFS('recurring2_based on steps'!$B361:$AY361,'recurring2_based on steps'!$B$1:$AY$1,V$1)+SUMIFS('changes2_based on steps'!$B361:$U361,'changes2_based on steps'!$B$1:$U$1,V$1)</f>
        <v>0</v>
      </c>
      <c r="W361" s="140">
        <f>SUMIFS('recurring2_based on steps'!$B361:$AY361,'recurring2_based on steps'!$B$1:$AY$1,W$1)+SUMIFS('changes2_based on steps'!$B361:$U361,'changes2_based on steps'!$B$1:$U$1,W$1)</f>
        <v>0</v>
      </c>
      <c r="X361" s="140">
        <f ca="1">SUMIFS('recurring2_based on steps'!$B361:$AY361,'recurring2_based on steps'!$B$1:$AY$1,X$1)+SUMIFS('changes2_based on steps'!$B361:$U361,'changes2_based on steps'!$B$1:$U$1,X$1)</f>
        <v>96</v>
      </c>
      <c r="Y361" s="140">
        <f ca="1">SUMIFS('recurring2_based on steps'!$B361:$AY361,'recurring2_based on steps'!$B$1:$AY$1,Y$1)+SUMIFS('changes2_based on steps'!$B361:$U361,'changes2_based on steps'!$B$1:$U$1,Y$1)</f>
        <v>0</v>
      </c>
      <c r="Z361" s="140">
        <f>SUMIFS('recurring2_based on steps'!$B361:$AY361,'recurring2_based on steps'!$B$1:$AY$1,Z$1)+SUMIFS('changes2_based on steps'!$B361:$U361,'changes2_based on steps'!$B$1:$U$1,Z$1)</f>
        <v>0</v>
      </c>
      <c r="AA361" s="140">
        <f ca="1">SUMIFS('recurring2_based on steps'!$B361:$AY361,'recurring2_based on steps'!$B$1:$AY$1,AA$1)+SUMIFS('changes2_based on steps'!$B361:$U361,'changes2_based on steps'!$B$1:$U$1,AA$1)</f>
        <v>0</v>
      </c>
      <c r="AB361" s="140">
        <f ca="1">SUMIFS('recurring2_based on steps'!$B361:$AY361,'recurring2_based on steps'!$B$1:$AY$1,AB$1)+SUMIFS('changes2_based on steps'!$B361:$U361,'changes2_based on steps'!$B$1:$U$1,AB$1)</f>
        <v>0</v>
      </c>
      <c r="AC361" s="140">
        <f ca="1">SUMIFS('recurring2_based on steps'!$B361:$AY361,'recurring2_based on steps'!$B$1:$AY$1,AC$1)+SUMIFS('changes2_based on steps'!$B361:$U361,'changes2_based on steps'!$B$1:$U$1,AC$1)</f>
        <v>0</v>
      </c>
      <c r="AD361" s="140">
        <f ca="1">SUMIFS('recurring2_based on steps'!$B361:$AY361,'recurring2_based on steps'!$B$1:$AY$1,AD$1)+SUMIFS('changes2_based on steps'!$B361:$U361,'changes2_based on steps'!$B$1:$U$1,AD$1)</f>
        <v>50</v>
      </c>
      <c r="AE361" s="140">
        <f>SUMIFS('recurring2_based on steps'!$B361:$AY361,'recurring2_based on steps'!$B$1:$AY$1,AE$1)+SUMIFS('changes2_based on steps'!$B361:$U361,'changes2_based on steps'!$B$1:$U$1,AE$1)</f>
        <v>0</v>
      </c>
      <c r="AF361" s="140"/>
      <c r="AG361" s="140"/>
      <c r="AH361" s="140"/>
      <c r="AI361" s="140"/>
      <c r="AJ361" s="140"/>
      <c r="AK361" s="140"/>
      <c r="AL361" s="140"/>
      <c r="AM361" s="140"/>
    </row>
    <row r="362" spans="1:39" x14ac:dyDescent="0.2">
      <c r="A362" s="29">
        <f t="shared" ca="1" si="5"/>
        <v>46102</v>
      </c>
      <c r="B362" s="140">
        <f ca="1">SUMIFS('recurring2_based on steps'!$B362:$AY362,'recurring2_based on steps'!$B$1:$AY$1,B$1)+SUMIFS('changes2_based on steps'!$B362:$U362,'changes2_based on steps'!$B$1:$U$1,B$1)</f>
        <v>0</v>
      </c>
      <c r="C362" s="140">
        <f>SUMIFS('recurring2_based on steps'!$B362:$AY362,'recurring2_based on steps'!$B$1:$AY$1,C$1)+SUMIFS('changes2_based on steps'!$B362:$U362,'changes2_based on steps'!$B$1:$U$1,C$1)</f>
        <v>0</v>
      </c>
      <c r="D362" s="140">
        <f>SUMIFS('recurring2_based on steps'!$B362:$AY362,'recurring2_based on steps'!$B$1:$AY$1,D$1)+SUMIFS('changes2_based on steps'!$B362:$U362,'changes2_based on steps'!$B$1:$U$1,D$1)</f>
        <v>0</v>
      </c>
      <c r="E362" s="140">
        <f>SUMIFS('recurring2_based on steps'!$B362:$AY362,'recurring2_based on steps'!$B$1:$AY$1,E$1)+SUMIFS('changes2_based on steps'!$B362:$U362,'changes2_based on steps'!$B$1:$U$1,E$1)</f>
        <v>0</v>
      </c>
      <c r="F362" s="140">
        <f>SUMIFS('recurring2_based on steps'!$B362:$AY362,'recurring2_based on steps'!$B$1:$AY$1,F$1)+SUMIFS('changes2_based on steps'!$B362:$U362,'changes2_based on steps'!$B$1:$U$1,F$1)</f>
        <v>0</v>
      </c>
      <c r="G362" s="140">
        <f>SUMIFS('recurring2_based on steps'!$B362:$AY362,'recurring2_based on steps'!$B$1:$AY$1,G$1)+SUMIFS('changes2_based on steps'!$B362:$U362,'changes2_based on steps'!$B$1:$U$1,G$1)</f>
        <v>0</v>
      </c>
      <c r="H362" s="140">
        <f>SUMIFS('recurring2_based on steps'!$B362:$AY362,'recurring2_based on steps'!$B$1:$AY$1,H$1)+SUMIFS('changes2_based on steps'!$B362:$U362,'changes2_based on steps'!$B$1:$U$1,H$1)</f>
        <v>0</v>
      </c>
      <c r="I362" s="140">
        <f>SUMIFS('recurring2_based on steps'!$B362:$AY362,'recurring2_based on steps'!$B$1:$AY$1,I$1)+SUMIFS('changes2_based on steps'!$B362:$U362,'changes2_based on steps'!$B$1:$U$1,I$1)</f>
        <v>0</v>
      </c>
      <c r="J362" s="140">
        <f ca="1">SUMIFS('recurring2_based on steps'!$B362:$AY362,'recurring2_based on steps'!$B$1:$AY$1,J$1)+SUMIFS('changes2_based on steps'!$B362:$U362,'changes2_based on steps'!$B$1:$U$1,J$1)</f>
        <v>0</v>
      </c>
      <c r="K362" s="140">
        <f>SUMIFS('recurring2_based on steps'!$B362:$AY362,'recurring2_based on steps'!$B$1:$AY$1,K$1)+SUMIFS('changes2_based on steps'!$B362:$U362,'changes2_based on steps'!$B$1:$U$1,K$1)</f>
        <v>0</v>
      </c>
      <c r="L362" s="140">
        <f>SUMIFS('recurring2_based on steps'!$B362:$AY362,'recurring2_based on steps'!$B$1:$AY$1,L$1)+SUMIFS('changes2_based on steps'!$B362:$U362,'changes2_based on steps'!$B$1:$U$1,L$1)</f>
        <v>0</v>
      </c>
      <c r="M362" s="140">
        <f>SUMIFS('recurring2_based on steps'!$B362:$AY362,'recurring2_based on steps'!$B$1:$AY$1,M$1)+SUMIFS('changes2_based on steps'!$B362:$U362,'changes2_based on steps'!$B$1:$U$1,M$1)</f>
        <v>0</v>
      </c>
      <c r="N362" s="140">
        <f ca="1">SUMIFS('recurring2_based on steps'!$B362:$AY362,'recurring2_based on steps'!$B$1:$AY$1,N$1)+SUMIFS('changes2_based on steps'!$B362:$U362,'changes2_based on steps'!$B$1:$U$1,N$1)</f>
        <v>0</v>
      </c>
      <c r="O362" s="140">
        <f>SUMIFS('recurring2_based on steps'!$B362:$AY362,'recurring2_based on steps'!$B$1:$AY$1,O$1)+SUMIFS('changes2_based on steps'!$B362:$U362,'changes2_based on steps'!$B$1:$U$1,O$1)</f>
        <v>0</v>
      </c>
      <c r="P362" s="140">
        <f ca="1">SUMIFS('recurring2_based on steps'!$B362:$AY362,'recurring2_based on steps'!$B$1:$AY$1,P$1)+SUMIFS('changes2_based on steps'!$B362:$U362,'changes2_based on steps'!$B$1:$U$1,P$1)</f>
        <v>0</v>
      </c>
      <c r="Q362" s="140">
        <f ca="1">SUMIFS('recurring2_based on steps'!$B362:$AY362,'recurring2_based on steps'!$B$1:$AY$1,Q$1)+SUMIFS('changes2_based on steps'!$B362:$U362,'changes2_based on steps'!$B$1:$U$1,Q$1)</f>
        <v>100.05540166204986</v>
      </c>
      <c r="R362" s="140">
        <f ca="1">SUMIFS('recurring2_based on steps'!$B362:$AY362,'recurring2_based on steps'!$B$1:$AY$1,R$1)+SUMIFS('changes2_based on steps'!$B362:$U362,'changes2_based on steps'!$B$1:$U$1,R$1)</f>
        <v>0</v>
      </c>
      <c r="S362" s="140">
        <f>SUMIFS('recurring2_based on steps'!$B362:$AY362,'recurring2_based on steps'!$B$1:$AY$1,S$1)+SUMIFS('changes2_based on steps'!$B362:$U362,'changes2_based on steps'!$B$1:$U$1,S$1)</f>
        <v>0</v>
      </c>
      <c r="T362" s="140">
        <f ca="1">SUMIFS('recurring2_based on steps'!$B362:$AY362,'recurring2_based on steps'!$B$1:$AY$1,T$1)+SUMIFS('changes2_based on steps'!$B362:$U362,'changes2_based on steps'!$B$1:$U$1,T$1)</f>
        <v>0</v>
      </c>
      <c r="U362" s="140">
        <f ca="1">SUMIFS('recurring2_based on steps'!$B362:$AY362,'recurring2_based on steps'!$B$1:$AY$1,U$1)+SUMIFS('changes2_based on steps'!$B362:$U362,'changes2_based on steps'!$B$1:$U$1,U$1)</f>
        <v>0</v>
      </c>
      <c r="V362" s="140">
        <f>SUMIFS('recurring2_based on steps'!$B362:$AY362,'recurring2_based on steps'!$B$1:$AY$1,V$1)+SUMIFS('changes2_based on steps'!$B362:$U362,'changes2_based on steps'!$B$1:$U$1,V$1)</f>
        <v>0</v>
      </c>
      <c r="W362" s="140">
        <f>SUMIFS('recurring2_based on steps'!$B362:$AY362,'recurring2_based on steps'!$B$1:$AY$1,W$1)+SUMIFS('changes2_based on steps'!$B362:$U362,'changes2_based on steps'!$B$1:$U$1,W$1)</f>
        <v>0</v>
      </c>
      <c r="X362" s="140">
        <f ca="1">SUMIFS('recurring2_based on steps'!$B362:$AY362,'recurring2_based on steps'!$B$1:$AY$1,X$1)+SUMIFS('changes2_based on steps'!$B362:$U362,'changes2_based on steps'!$B$1:$U$1,X$1)</f>
        <v>0</v>
      </c>
      <c r="Y362" s="140">
        <f ca="1">SUMIFS('recurring2_based on steps'!$B362:$AY362,'recurring2_based on steps'!$B$1:$AY$1,Y$1)+SUMIFS('changes2_based on steps'!$B362:$U362,'changes2_based on steps'!$B$1:$U$1,Y$1)</f>
        <v>0</v>
      </c>
      <c r="Z362" s="140">
        <f>SUMIFS('recurring2_based on steps'!$B362:$AY362,'recurring2_based on steps'!$B$1:$AY$1,Z$1)+SUMIFS('changes2_based on steps'!$B362:$U362,'changes2_based on steps'!$B$1:$U$1,Z$1)</f>
        <v>0</v>
      </c>
      <c r="AA362" s="140">
        <f ca="1">SUMIFS('recurring2_based on steps'!$B362:$AY362,'recurring2_based on steps'!$B$1:$AY$1,AA$1)+SUMIFS('changes2_based on steps'!$B362:$U362,'changes2_based on steps'!$B$1:$U$1,AA$1)</f>
        <v>0</v>
      </c>
      <c r="AB362" s="140">
        <f ca="1">SUMIFS('recurring2_based on steps'!$B362:$AY362,'recurring2_based on steps'!$B$1:$AY$1,AB$1)+SUMIFS('changes2_based on steps'!$B362:$U362,'changes2_based on steps'!$B$1:$U$1,AB$1)</f>
        <v>100</v>
      </c>
      <c r="AC362" s="140">
        <f ca="1">SUMIFS('recurring2_based on steps'!$B362:$AY362,'recurring2_based on steps'!$B$1:$AY$1,AC$1)+SUMIFS('changes2_based on steps'!$B362:$U362,'changes2_based on steps'!$B$1:$U$1,AC$1)</f>
        <v>0</v>
      </c>
      <c r="AD362" s="140">
        <f ca="1">SUMIFS('recurring2_based on steps'!$B362:$AY362,'recurring2_based on steps'!$B$1:$AY$1,AD$1)+SUMIFS('changes2_based on steps'!$B362:$U362,'changes2_based on steps'!$B$1:$U$1,AD$1)</f>
        <v>0</v>
      </c>
      <c r="AE362" s="140">
        <f>SUMIFS('recurring2_based on steps'!$B362:$AY362,'recurring2_based on steps'!$B$1:$AY$1,AE$1)+SUMIFS('changes2_based on steps'!$B362:$U362,'changes2_based on steps'!$B$1:$U$1,AE$1)</f>
        <v>0</v>
      </c>
      <c r="AF362" s="140"/>
      <c r="AG362" s="140"/>
      <c r="AH362" s="140"/>
      <c r="AI362" s="140"/>
      <c r="AJ362" s="140"/>
      <c r="AK362" s="140"/>
      <c r="AL362" s="140"/>
      <c r="AM362" s="140"/>
    </row>
    <row r="363" spans="1:39" x14ac:dyDescent="0.2">
      <c r="A363" s="29">
        <f t="shared" ca="1" si="5"/>
        <v>46103</v>
      </c>
      <c r="B363" s="140">
        <f ca="1">SUMIFS('recurring2_based on steps'!$B363:$AY363,'recurring2_based on steps'!$B$1:$AY$1,B$1)+SUMIFS('changes2_based on steps'!$B363:$U363,'changes2_based on steps'!$B$1:$U$1,B$1)</f>
        <v>0</v>
      </c>
      <c r="C363" s="140">
        <f>SUMIFS('recurring2_based on steps'!$B363:$AY363,'recurring2_based on steps'!$B$1:$AY$1,C$1)+SUMIFS('changes2_based on steps'!$B363:$U363,'changes2_based on steps'!$B$1:$U$1,C$1)</f>
        <v>0</v>
      </c>
      <c r="D363" s="140">
        <f>SUMIFS('recurring2_based on steps'!$B363:$AY363,'recurring2_based on steps'!$B$1:$AY$1,D$1)+SUMIFS('changes2_based on steps'!$B363:$U363,'changes2_based on steps'!$B$1:$U$1,D$1)</f>
        <v>0</v>
      </c>
      <c r="E363" s="140">
        <f>SUMIFS('recurring2_based on steps'!$B363:$AY363,'recurring2_based on steps'!$B$1:$AY$1,E$1)+SUMIFS('changes2_based on steps'!$B363:$U363,'changes2_based on steps'!$B$1:$U$1,E$1)</f>
        <v>0</v>
      </c>
      <c r="F363" s="140">
        <f>SUMIFS('recurring2_based on steps'!$B363:$AY363,'recurring2_based on steps'!$B$1:$AY$1,F$1)+SUMIFS('changes2_based on steps'!$B363:$U363,'changes2_based on steps'!$B$1:$U$1,F$1)</f>
        <v>0</v>
      </c>
      <c r="G363" s="140">
        <f>SUMIFS('recurring2_based on steps'!$B363:$AY363,'recurring2_based on steps'!$B$1:$AY$1,G$1)+SUMIFS('changes2_based on steps'!$B363:$U363,'changes2_based on steps'!$B$1:$U$1,G$1)</f>
        <v>0</v>
      </c>
      <c r="H363" s="140">
        <f>SUMIFS('recurring2_based on steps'!$B363:$AY363,'recurring2_based on steps'!$B$1:$AY$1,H$1)+SUMIFS('changes2_based on steps'!$B363:$U363,'changes2_based on steps'!$B$1:$U$1,H$1)</f>
        <v>0</v>
      </c>
      <c r="I363" s="140">
        <f>SUMIFS('recurring2_based on steps'!$B363:$AY363,'recurring2_based on steps'!$B$1:$AY$1,I$1)+SUMIFS('changes2_based on steps'!$B363:$U363,'changes2_based on steps'!$B$1:$U$1,I$1)</f>
        <v>0</v>
      </c>
      <c r="J363" s="140">
        <f ca="1">SUMIFS('recurring2_based on steps'!$B363:$AY363,'recurring2_based on steps'!$B$1:$AY$1,J$1)+SUMIFS('changes2_based on steps'!$B363:$U363,'changes2_based on steps'!$B$1:$U$1,J$1)</f>
        <v>0</v>
      </c>
      <c r="K363" s="140">
        <f>SUMIFS('recurring2_based on steps'!$B363:$AY363,'recurring2_based on steps'!$B$1:$AY$1,K$1)+SUMIFS('changes2_based on steps'!$B363:$U363,'changes2_based on steps'!$B$1:$U$1,K$1)</f>
        <v>0</v>
      </c>
      <c r="L363" s="140">
        <f>SUMIFS('recurring2_based on steps'!$B363:$AY363,'recurring2_based on steps'!$B$1:$AY$1,L$1)+SUMIFS('changes2_based on steps'!$B363:$U363,'changes2_based on steps'!$B$1:$U$1,L$1)</f>
        <v>0</v>
      </c>
      <c r="M363" s="140">
        <f>SUMIFS('recurring2_based on steps'!$B363:$AY363,'recurring2_based on steps'!$B$1:$AY$1,M$1)+SUMIFS('changes2_based on steps'!$B363:$U363,'changes2_based on steps'!$B$1:$U$1,M$1)</f>
        <v>0</v>
      </c>
      <c r="N363" s="140">
        <f ca="1">SUMIFS('recurring2_based on steps'!$B363:$AY363,'recurring2_based on steps'!$B$1:$AY$1,N$1)+SUMIFS('changes2_based on steps'!$B363:$U363,'changes2_based on steps'!$B$1:$U$1,N$1)</f>
        <v>0</v>
      </c>
      <c r="O363" s="140">
        <f>SUMIFS('recurring2_based on steps'!$B363:$AY363,'recurring2_based on steps'!$B$1:$AY$1,O$1)+SUMIFS('changes2_based on steps'!$B363:$U363,'changes2_based on steps'!$B$1:$U$1,O$1)</f>
        <v>0</v>
      </c>
      <c r="P363" s="140">
        <f ca="1">SUMIFS('recurring2_based on steps'!$B363:$AY363,'recurring2_based on steps'!$B$1:$AY$1,P$1)+SUMIFS('changes2_based on steps'!$B363:$U363,'changes2_based on steps'!$B$1:$U$1,P$1)</f>
        <v>0</v>
      </c>
      <c r="Q363" s="140">
        <f ca="1">SUMIFS('recurring2_based on steps'!$B363:$AY363,'recurring2_based on steps'!$B$1:$AY$1,Q$1)+SUMIFS('changes2_based on steps'!$B363:$U363,'changes2_based on steps'!$B$1:$U$1,Q$1)</f>
        <v>100.05540166204986</v>
      </c>
      <c r="R363" s="140">
        <f ca="1">SUMIFS('recurring2_based on steps'!$B363:$AY363,'recurring2_based on steps'!$B$1:$AY$1,R$1)+SUMIFS('changes2_based on steps'!$B363:$U363,'changes2_based on steps'!$B$1:$U$1,R$1)</f>
        <v>0</v>
      </c>
      <c r="S363" s="140">
        <f>SUMIFS('recurring2_based on steps'!$B363:$AY363,'recurring2_based on steps'!$B$1:$AY$1,S$1)+SUMIFS('changes2_based on steps'!$B363:$U363,'changes2_based on steps'!$B$1:$U$1,S$1)</f>
        <v>0</v>
      </c>
      <c r="T363" s="140">
        <f ca="1">SUMIFS('recurring2_based on steps'!$B363:$AY363,'recurring2_based on steps'!$B$1:$AY$1,T$1)+SUMIFS('changes2_based on steps'!$B363:$U363,'changes2_based on steps'!$B$1:$U$1,T$1)</f>
        <v>0</v>
      </c>
      <c r="U363" s="140">
        <f ca="1">SUMIFS('recurring2_based on steps'!$B363:$AY363,'recurring2_based on steps'!$B$1:$AY$1,U$1)+SUMIFS('changes2_based on steps'!$B363:$U363,'changes2_based on steps'!$B$1:$U$1,U$1)</f>
        <v>0</v>
      </c>
      <c r="V363" s="140">
        <f>SUMIFS('recurring2_based on steps'!$B363:$AY363,'recurring2_based on steps'!$B$1:$AY$1,V$1)+SUMIFS('changes2_based on steps'!$B363:$U363,'changes2_based on steps'!$B$1:$U$1,V$1)</f>
        <v>0</v>
      </c>
      <c r="W363" s="140">
        <f>SUMIFS('recurring2_based on steps'!$B363:$AY363,'recurring2_based on steps'!$B$1:$AY$1,W$1)+SUMIFS('changes2_based on steps'!$B363:$U363,'changes2_based on steps'!$B$1:$U$1,W$1)</f>
        <v>0</v>
      </c>
      <c r="X363" s="140">
        <f ca="1">SUMIFS('recurring2_based on steps'!$B363:$AY363,'recurring2_based on steps'!$B$1:$AY$1,X$1)+SUMIFS('changes2_based on steps'!$B363:$U363,'changes2_based on steps'!$B$1:$U$1,X$1)</f>
        <v>0</v>
      </c>
      <c r="Y363" s="140">
        <f ca="1">SUMIFS('recurring2_based on steps'!$B363:$AY363,'recurring2_based on steps'!$B$1:$AY$1,Y$1)+SUMIFS('changes2_based on steps'!$B363:$U363,'changes2_based on steps'!$B$1:$U$1,Y$1)</f>
        <v>50</v>
      </c>
      <c r="Z363" s="140">
        <f>SUMIFS('recurring2_based on steps'!$B363:$AY363,'recurring2_based on steps'!$B$1:$AY$1,Z$1)+SUMIFS('changes2_based on steps'!$B363:$U363,'changes2_based on steps'!$B$1:$U$1,Z$1)</f>
        <v>0</v>
      </c>
      <c r="AA363" s="140">
        <f ca="1">SUMIFS('recurring2_based on steps'!$B363:$AY363,'recurring2_based on steps'!$B$1:$AY$1,AA$1)+SUMIFS('changes2_based on steps'!$B363:$U363,'changes2_based on steps'!$B$1:$U$1,AA$1)</f>
        <v>0</v>
      </c>
      <c r="AB363" s="140">
        <f ca="1">SUMIFS('recurring2_based on steps'!$B363:$AY363,'recurring2_based on steps'!$B$1:$AY$1,AB$1)+SUMIFS('changes2_based on steps'!$B363:$U363,'changes2_based on steps'!$B$1:$U$1,AB$1)</f>
        <v>0</v>
      </c>
      <c r="AC363" s="140">
        <f ca="1">SUMIFS('recurring2_based on steps'!$B363:$AY363,'recurring2_based on steps'!$B$1:$AY$1,AC$1)+SUMIFS('changes2_based on steps'!$B363:$U363,'changes2_based on steps'!$B$1:$U$1,AC$1)</f>
        <v>0</v>
      </c>
      <c r="AD363" s="140">
        <f ca="1">SUMIFS('recurring2_based on steps'!$B363:$AY363,'recurring2_based on steps'!$B$1:$AY$1,AD$1)+SUMIFS('changes2_based on steps'!$B363:$U363,'changes2_based on steps'!$B$1:$U$1,AD$1)</f>
        <v>0</v>
      </c>
      <c r="AE363" s="140">
        <f>SUMIFS('recurring2_based on steps'!$B363:$AY363,'recurring2_based on steps'!$B$1:$AY$1,AE$1)+SUMIFS('changes2_based on steps'!$B363:$U363,'changes2_based on steps'!$B$1:$U$1,AE$1)</f>
        <v>0</v>
      </c>
      <c r="AF363" s="140"/>
      <c r="AG363" s="140"/>
      <c r="AH363" s="140"/>
      <c r="AI363" s="140"/>
      <c r="AJ363" s="140"/>
      <c r="AK363" s="140"/>
      <c r="AL363" s="140"/>
      <c r="AM363" s="140"/>
    </row>
    <row r="364" spans="1:39" x14ac:dyDescent="0.2">
      <c r="A364" s="29">
        <f t="shared" ca="1" si="5"/>
        <v>46104</v>
      </c>
      <c r="B364" s="140">
        <f ca="1">SUMIFS('recurring2_based on steps'!$B364:$AY364,'recurring2_based on steps'!$B$1:$AY$1,B$1)+SUMIFS('changes2_based on steps'!$B364:$U364,'changes2_based on steps'!$B$1:$U$1,B$1)</f>
        <v>0</v>
      </c>
      <c r="C364" s="140">
        <f>SUMIFS('recurring2_based on steps'!$B364:$AY364,'recurring2_based on steps'!$B$1:$AY$1,C$1)+SUMIFS('changes2_based on steps'!$B364:$U364,'changes2_based on steps'!$B$1:$U$1,C$1)</f>
        <v>0</v>
      </c>
      <c r="D364" s="140">
        <f>SUMIFS('recurring2_based on steps'!$B364:$AY364,'recurring2_based on steps'!$B$1:$AY$1,D$1)+SUMIFS('changes2_based on steps'!$B364:$U364,'changes2_based on steps'!$B$1:$U$1,D$1)</f>
        <v>0</v>
      </c>
      <c r="E364" s="140">
        <f>SUMIFS('recurring2_based on steps'!$B364:$AY364,'recurring2_based on steps'!$B$1:$AY$1,E$1)+SUMIFS('changes2_based on steps'!$B364:$U364,'changes2_based on steps'!$B$1:$U$1,E$1)</f>
        <v>0</v>
      </c>
      <c r="F364" s="140">
        <f>SUMIFS('recurring2_based on steps'!$B364:$AY364,'recurring2_based on steps'!$B$1:$AY$1,F$1)+SUMIFS('changes2_based on steps'!$B364:$U364,'changes2_based on steps'!$B$1:$U$1,F$1)</f>
        <v>0</v>
      </c>
      <c r="G364" s="140">
        <f>SUMIFS('recurring2_based on steps'!$B364:$AY364,'recurring2_based on steps'!$B$1:$AY$1,G$1)+SUMIFS('changes2_based on steps'!$B364:$U364,'changes2_based on steps'!$B$1:$U$1,G$1)</f>
        <v>0</v>
      </c>
      <c r="H364" s="140">
        <f>SUMIFS('recurring2_based on steps'!$B364:$AY364,'recurring2_based on steps'!$B$1:$AY$1,H$1)+SUMIFS('changes2_based on steps'!$B364:$U364,'changes2_based on steps'!$B$1:$U$1,H$1)</f>
        <v>0</v>
      </c>
      <c r="I364" s="140">
        <f>SUMIFS('recurring2_based on steps'!$B364:$AY364,'recurring2_based on steps'!$B$1:$AY$1,I$1)+SUMIFS('changes2_based on steps'!$B364:$U364,'changes2_based on steps'!$B$1:$U$1,I$1)</f>
        <v>0</v>
      </c>
      <c r="J364" s="140">
        <f ca="1">SUMIFS('recurring2_based on steps'!$B364:$AY364,'recurring2_based on steps'!$B$1:$AY$1,J$1)+SUMIFS('changes2_based on steps'!$B364:$U364,'changes2_based on steps'!$B$1:$U$1,J$1)</f>
        <v>0</v>
      </c>
      <c r="K364" s="140">
        <f>SUMIFS('recurring2_based on steps'!$B364:$AY364,'recurring2_based on steps'!$B$1:$AY$1,K$1)+SUMIFS('changes2_based on steps'!$B364:$U364,'changes2_based on steps'!$B$1:$U$1,K$1)</f>
        <v>0</v>
      </c>
      <c r="L364" s="140">
        <f>SUMIFS('recurring2_based on steps'!$B364:$AY364,'recurring2_based on steps'!$B$1:$AY$1,L$1)+SUMIFS('changes2_based on steps'!$B364:$U364,'changes2_based on steps'!$B$1:$U$1,L$1)</f>
        <v>0</v>
      </c>
      <c r="M364" s="140">
        <f>SUMIFS('recurring2_based on steps'!$B364:$AY364,'recurring2_based on steps'!$B$1:$AY$1,M$1)+SUMIFS('changes2_based on steps'!$B364:$U364,'changes2_based on steps'!$B$1:$U$1,M$1)</f>
        <v>0</v>
      </c>
      <c r="N364" s="140">
        <f ca="1">SUMIFS('recurring2_based on steps'!$B364:$AY364,'recurring2_based on steps'!$B$1:$AY$1,N$1)+SUMIFS('changes2_based on steps'!$B364:$U364,'changes2_based on steps'!$B$1:$U$1,N$1)</f>
        <v>0</v>
      </c>
      <c r="O364" s="140">
        <f>SUMIFS('recurring2_based on steps'!$B364:$AY364,'recurring2_based on steps'!$B$1:$AY$1,O$1)+SUMIFS('changes2_based on steps'!$B364:$U364,'changes2_based on steps'!$B$1:$U$1,O$1)</f>
        <v>0</v>
      </c>
      <c r="P364" s="140">
        <f ca="1">SUMIFS('recurring2_based on steps'!$B364:$AY364,'recurring2_based on steps'!$B$1:$AY$1,P$1)+SUMIFS('changes2_based on steps'!$B364:$U364,'changes2_based on steps'!$B$1:$U$1,P$1)</f>
        <v>0</v>
      </c>
      <c r="Q364" s="140">
        <f ca="1">SUMIFS('recurring2_based on steps'!$B364:$AY364,'recurring2_based on steps'!$B$1:$AY$1,Q$1)+SUMIFS('changes2_based on steps'!$B364:$U364,'changes2_based on steps'!$B$1:$U$1,Q$1)</f>
        <v>5.5401662049861494E-2</v>
      </c>
      <c r="R364" s="140">
        <f ca="1">SUMIFS('recurring2_based on steps'!$B364:$AY364,'recurring2_based on steps'!$B$1:$AY$1,R$1)+SUMIFS('changes2_based on steps'!$B364:$U364,'changes2_based on steps'!$B$1:$U$1,R$1)</f>
        <v>0</v>
      </c>
      <c r="S364" s="140">
        <f>SUMIFS('recurring2_based on steps'!$B364:$AY364,'recurring2_based on steps'!$B$1:$AY$1,S$1)+SUMIFS('changes2_based on steps'!$B364:$U364,'changes2_based on steps'!$B$1:$U$1,S$1)</f>
        <v>0</v>
      </c>
      <c r="T364" s="140">
        <f ca="1">SUMIFS('recurring2_based on steps'!$B364:$AY364,'recurring2_based on steps'!$B$1:$AY$1,T$1)+SUMIFS('changes2_based on steps'!$B364:$U364,'changes2_based on steps'!$B$1:$U$1,T$1)</f>
        <v>0</v>
      </c>
      <c r="U364" s="140">
        <f ca="1">SUMIFS('recurring2_based on steps'!$B364:$AY364,'recurring2_based on steps'!$B$1:$AY$1,U$1)+SUMIFS('changes2_based on steps'!$B364:$U364,'changes2_based on steps'!$B$1:$U$1,U$1)</f>
        <v>0</v>
      </c>
      <c r="V364" s="140">
        <f>SUMIFS('recurring2_based on steps'!$B364:$AY364,'recurring2_based on steps'!$B$1:$AY$1,V$1)+SUMIFS('changes2_based on steps'!$B364:$U364,'changes2_based on steps'!$B$1:$U$1,V$1)</f>
        <v>0</v>
      </c>
      <c r="W364" s="140">
        <f>SUMIFS('recurring2_based on steps'!$B364:$AY364,'recurring2_based on steps'!$B$1:$AY$1,W$1)+SUMIFS('changes2_based on steps'!$B364:$U364,'changes2_based on steps'!$B$1:$U$1,W$1)</f>
        <v>0</v>
      </c>
      <c r="X364" s="140">
        <f ca="1">SUMIFS('recurring2_based on steps'!$B364:$AY364,'recurring2_based on steps'!$B$1:$AY$1,X$1)+SUMIFS('changes2_based on steps'!$B364:$U364,'changes2_based on steps'!$B$1:$U$1,X$1)</f>
        <v>0</v>
      </c>
      <c r="Y364" s="140">
        <f ca="1">SUMIFS('recurring2_based on steps'!$B364:$AY364,'recurring2_based on steps'!$B$1:$AY$1,Y$1)+SUMIFS('changes2_based on steps'!$B364:$U364,'changes2_based on steps'!$B$1:$U$1,Y$1)</f>
        <v>0</v>
      </c>
      <c r="Z364" s="140">
        <f>SUMIFS('recurring2_based on steps'!$B364:$AY364,'recurring2_based on steps'!$B$1:$AY$1,Z$1)+SUMIFS('changes2_based on steps'!$B364:$U364,'changes2_based on steps'!$B$1:$U$1,Z$1)</f>
        <v>0</v>
      </c>
      <c r="AA364" s="140">
        <f ca="1">SUMIFS('recurring2_based on steps'!$B364:$AY364,'recurring2_based on steps'!$B$1:$AY$1,AA$1)+SUMIFS('changes2_based on steps'!$B364:$U364,'changes2_based on steps'!$B$1:$U$1,AA$1)</f>
        <v>0</v>
      </c>
      <c r="AB364" s="140">
        <f ca="1">SUMIFS('recurring2_based on steps'!$B364:$AY364,'recurring2_based on steps'!$B$1:$AY$1,AB$1)+SUMIFS('changes2_based on steps'!$B364:$U364,'changes2_based on steps'!$B$1:$U$1,AB$1)</f>
        <v>0</v>
      </c>
      <c r="AC364" s="140">
        <f ca="1">SUMIFS('recurring2_based on steps'!$B364:$AY364,'recurring2_based on steps'!$B$1:$AY$1,AC$1)+SUMIFS('changes2_based on steps'!$B364:$U364,'changes2_based on steps'!$B$1:$U$1,AC$1)</f>
        <v>0</v>
      </c>
      <c r="AD364" s="140">
        <f ca="1">SUMIFS('recurring2_based on steps'!$B364:$AY364,'recurring2_based on steps'!$B$1:$AY$1,AD$1)+SUMIFS('changes2_based on steps'!$B364:$U364,'changes2_based on steps'!$B$1:$U$1,AD$1)</f>
        <v>0</v>
      </c>
      <c r="AE364" s="140">
        <f>SUMIFS('recurring2_based on steps'!$B364:$AY364,'recurring2_based on steps'!$B$1:$AY$1,AE$1)+SUMIFS('changes2_based on steps'!$B364:$U364,'changes2_based on steps'!$B$1:$U$1,AE$1)</f>
        <v>0</v>
      </c>
      <c r="AF364" s="140"/>
      <c r="AG364" s="140"/>
      <c r="AH364" s="140"/>
      <c r="AI364" s="140"/>
      <c r="AJ364" s="140"/>
      <c r="AK364" s="140"/>
      <c r="AL364" s="140"/>
      <c r="AM364" s="140"/>
    </row>
    <row r="365" spans="1:39" x14ac:dyDescent="0.2">
      <c r="A365" s="29">
        <f t="shared" ca="1" si="5"/>
        <v>46105</v>
      </c>
      <c r="B365" s="140">
        <f ca="1">SUMIFS('recurring2_based on steps'!$B365:$AY365,'recurring2_based on steps'!$B$1:$AY$1,B$1)+SUMIFS('changes2_based on steps'!$B365:$U365,'changes2_based on steps'!$B$1:$U$1,B$1)</f>
        <v>0</v>
      </c>
      <c r="C365" s="140">
        <f>SUMIFS('recurring2_based on steps'!$B365:$AY365,'recurring2_based on steps'!$B$1:$AY$1,C$1)+SUMIFS('changes2_based on steps'!$B365:$U365,'changes2_based on steps'!$B$1:$U$1,C$1)</f>
        <v>0</v>
      </c>
      <c r="D365" s="140">
        <f>SUMIFS('recurring2_based on steps'!$B365:$AY365,'recurring2_based on steps'!$B$1:$AY$1,D$1)+SUMIFS('changes2_based on steps'!$B365:$U365,'changes2_based on steps'!$B$1:$U$1,D$1)</f>
        <v>0</v>
      </c>
      <c r="E365" s="140">
        <f>SUMIFS('recurring2_based on steps'!$B365:$AY365,'recurring2_based on steps'!$B$1:$AY$1,E$1)+SUMIFS('changes2_based on steps'!$B365:$U365,'changes2_based on steps'!$B$1:$U$1,E$1)</f>
        <v>0</v>
      </c>
      <c r="F365" s="140">
        <f>SUMIFS('recurring2_based on steps'!$B365:$AY365,'recurring2_based on steps'!$B$1:$AY$1,F$1)+SUMIFS('changes2_based on steps'!$B365:$U365,'changes2_based on steps'!$B$1:$U$1,F$1)</f>
        <v>0</v>
      </c>
      <c r="G365" s="140">
        <f>SUMIFS('recurring2_based on steps'!$B365:$AY365,'recurring2_based on steps'!$B$1:$AY$1,G$1)+SUMIFS('changes2_based on steps'!$B365:$U365,'changes2_based on steps'!$B$1:$U$1,G$1)</f>
        <v>0</v>
      </c>
      <c r="H365" s="140">
        <f>SUMIFS('recurring2_based on steps'!$B365:$AY365,'recurring2_based on steps'!$B$1:$AY$1,H$1)+SUMIFS('changes2_based on steps'!$B365:$U365,'changes2_based on steps'!$B$1:$U$1,H$1)</f>
        <v>0</v>
      </c>
      <c r="I365" s="140">
        <f>SUMIFS('recurring2_based on steps'!$B365:$AY365,'recurring2_based on steps'!$B$1:$AY$1,I$1)+SUMIFS('changes2_based on steps'!$B365:$U365,'changes2_based on steps'!$B$1:$U$1,I$1)</f>
        <v>0</v>
      </c>
      <c r="J365" s="140">
        <f ca="1">SUMIFS('recurring2_based on steps'!$B365:$AY365,'recurring2_based on steps'!$B$1:$AY$1,J$1)+SUMIFS('changes2_based on steps'!$B365:$U365,'changes2_based on steps'!$B$1:$U$1,J$1)</f>
        <v>0</v>
      </c>
      <c r="K365" s="140">
        <f>SUMIFS('recurring2_based on steps'!$B365:$AY365,'recurring2_based on steps'!$B$1:$AY$1,K$1)+SUMIFS('changes2_based on steps'!$B365:$U365,'changes2_based on steps'!$B$1:$U$1,K$1)</f>
        <v>0</v>
      </c>
      <c r="L365" s="140">
        <f>SUMIFS('recurring2_based on steps'!$B365:$AY365,'recurring2_based on steps'!$B$1:$AY$1,L$1)+SUMIFS('changes2_based on steps'!$B365:$U365,'changes2_based on steps'!$B$1:$U$1,L$1)</f>
        <v>0</v>
      </c>
      <c r="M365" s="140">
        <f>SUMIFS('recurring2_based on steps'!$B365:$AY365,'recurring2_based on steps'!$B$1:$AY$1,M$1)+SUMIFS('changes2_based on steps'!$B365:$U365,'changes2_based on steps'!$B$1:$U$1,M$1)</f>
        <v>0</v>
      </c>
      <c r="N365" s="140">
        <f ca="1">SUMIFS('recurring2_based on steps'!$B365:$AY365,'recurring2_based on steps'!$B$1:$AY$1,N$1)+SUMIFS('changes2_based on steps'!$B365:$U365,'changes2_based on steps'!$B$1:$U$1,N$1)</f>
        <v>0</v>
      </c>
      <c r="O365" s="140">
        <f>SUMIFS('recurring2_based on steps'!$B365:$AY365,'recurring2_based on steps'!$B$1:$AY$1,O$1)+SUMIFS('changes2_based on steps'!$B365:$U365,'changes2_based on steps'!$B$1:$U$1,O$1)</f>
        <v>0</v>
      </c>
      <c r="P365" s="140">
        <f ca="1">SUMIFS('recurring2_based on steps'!$B365:$AY365,'recurring2_based on steps'!$B$1:$AY$1,P$1)+SUMIFS('changes2_based on steps'!$B365:$U365,'changes2_based on steps'!$B$1:$U$1,P$1)</f>
        <v>0</v>
      </c>
      <c r="Q365" s="140">
        <f ca="1">SUMIFS('recurring2_based on steps'!$B365:$AY365,'recurring2_based on steps'!$B$1:$AY$1,Q$1)+SUMIFS('changes2_based on steps'!$B365:$U365,'changes2_based on steps'!$B$1:$U$1,Q$1)</f>
        <v>5.5401662049861494E-2</v>
      </c>
      <c r="R365" s="140">
        <f ca="1">SUMIFS('recurring2_based on steps'!$B365:$AY365,'recurring2_based on steps'!$B$1:$AY$1,R$1)+SUMIFS('changes2_based on steps'!$B365:$U365,'changes2_based on steps'!$B$1:$U$1,R$1)</f>
        <v>0</v>
      </c>
      <c r="S365" s="140">
        <f>SUMIFS('recurring2_based on steps'!$B365:$AY365,'recurring2_based on steps'!$B$1:$AY$1,S$1)+SUMIFS('changes2_based on steps'!$B365:$U365,'changes2_based on steps'!$B$1:$U$1,S$1)</f>
        <v>0</v>
      </c>
      <c r="T365" s="140">
        <f ca="1">SUMIFS('recurring2_based on steps'!$B365:$AY365,'recurring2_based on steps'!$B$1:$AY$1,T$1)+SUMIFS('changes2_based on steps'!$B365:$U365,'changes2_based on steps'!$B$1:$U$1,T$1)</f>
        <v>0</v>
      </c>
      <c r="U365" s="140">
        <f ca="1">SUMIFS('recurring2_based on steps'!$B365:$AY365,'recurring2_based on steps'!$B$1:$AY$1,U$1)+SUMIFS('changes2_based on steps'!$B365:$U365,'changes2_based on steps'!$B$1:$U$1,U$1)</f>
        <v>0</v>
      </c>
      <c r="V365" s="140">
        <f>SUMIFS('recurring2_based on steps'!$B365:$AY365,'recurring2_based on steps'!$B$1:$AY$1,V$1)+SUMIFS('changes2_based on steps'!$B365:$U365,'changes2_based on steps'!$B$1:$U$1,V$1)</f>
        <v>0</v>
      </c>
      <c r="W365" s="140">
        <f>SUMIFS('recurring2_based on steps'!$B365:$AY365,'recurring2_based on steps'!$B$1:$AY$1,W$1)+SUMIFS('changes2_based on steps'!$B365:$U365,'changes2_based on steps'!$B$1:$U$1,W$1)</f>
        <v>0</v>
      </c>
      <c r="X365" s="140">
        <f ca="1">SUMIFS('recurring2_based on steps'!$B365:$AY365,'recurring2_based on steps'!$B$1:$AY$1,X$1)+SUMIFS('changes2_based on steps'!$B365:$U365,'changes2_based on steps'!$B$1:$U$1,X$1)</f>
        <v>0</v>
      </c>
      <c r="Y365" s="140">
        <f ca="1">SUMIFS('recurring2_based on steps'!$B365:$AY365,'recurring2_based on steps'!$B$1:$AY$1,Y$1)+SUMIFS('changes2_based on steps'!$B365:$U365,'changes2_based on steps'!$B$1:$U$1,Y$1)</f>
        <v>0</v>
      </c>
      <c r="Z365" s="140">
        <f>SUMIFS('recurring2_based on steps'!$B365:$AY365,'recurring2_based on steps'!$B$1:$AY$1,Z$1)+SUMIFS('changes2_based on steps'!$B365:$U365,'changes2_based on steps'!$B$1:$U$1,Z$1)</f>
        <v>0</v>
      </c>
      <c r="AA365" s="140">
        <f ca="1">SUMIFS('recurring2_based on steps'!$B365:$AY365,'recurring2_based on steps'!$B$1:$AY$1,AA$1)+SUMIFS('changes2_based on steps'!$B365:$U365,'changes2_based on steps'!$B$1:$U$1,AA$1)</f>
        <v>0</v>
      </c>
      <c r="AB365" s="140">
        <f ca="1">SUMIFS('recurring2_based on steps'!$B365:$AY365,'recurring2_based on steps'!$B$1:$AY$1,AB$1)+SUMIFS('changes2_based on steps'!$B365:$U365,'changes2_based on steps'!$B$1:$U$1,AB$1)</f>
        <v>0</v>
      </c>
      <c r="AC365" s="140">
        <f ca="1">SUMIFS('recurring2_based on steps'!$B365:$AY365,'recurring2_based on steps'!$B$1:$AY$1,AC$1)+SUMIFS('changes2_based on steps'!$B365:$U365,'changes2_based on steps'!$B$1:$U$1,AC$1)</f>
        <v>50</v>
      </c>
      <c r="AD365" s="140">
        <f ca="1">SUMIFS('recurring2_based on steps'!$B365:$AY365,'recurring2_based on steps'!$B$1:$AY$1,AD$1)+SUMIFS('changes2_based on steps'!$B365:$U365,'changes2_based on steps'!$B$1:$U$1,AD$1)</f>
        <v>0</v>
      </c>
      <c r="AE365" s="140">
        <f>SUMIFS('recurring2_based on steps'!$B365:$AY365,'recurring2_based on steps'!$B$1:$AY$1,AE$1)+SUMIFS('changes2_based on steps'!$B365:$U365,'changes2_based on steps'!$B$1:$U$1,AE$1)</f>
        <v>0</v>
      </c>
      <c r="AF365" s="140"/>
      <c r="AG365" s="140"/>
      <c r="AH365" s="140"/>
      <c r="AI365" s="140"/>
      <c r="AJ365" s="140"/>
      <c r="AK365" s="140"/>
      <c r="AL365" s="140"/>
      <c r="AM365" s="140"/>
    </row>
    <row r="366" spans="1:39" x14ac:dyDescent="0.2">
      <c r="A366" s="29">
        <f t="shared" ca="1" si="5"/>
        <v>46106</v>
      </c>
      <c r="B366" s="140">
        <f ca="1">SUMIFS('recurring2_based on steps'!$B366:$AY366,'recurring2_based on steps'!$B$1:$AY$1,B$1)+SUMIFS('changes2_based on steps'!$B366:$U366,'changes2_based on steps'!$B$1:$U$1,B$1)</f>
        <v>0</v>
      </c>
      <c r="C366" s="140">
        <f>SUMIFS('recurring2_based on steps'!$B366:$AY366,'recurring2_based on steps'!$B$1:$AY$1,C$1)+SUMIFS('changes2_based on steps'!$B366:$U366,'changes2_based on steps'!$B$1:$U$1,C$1)</f>
        <v>0</v>
      </c>
      <c r="D366" s="140">
        <f>SUMIFS('recurring2_based on steps'!$B366:$AY366,'recurring2_based on steps'!$B$1:$AY$1,D$1)+SUMIFS('changes2_based on steps'!$B366:$U366,'changes2_based on steps'!$B$1:$U$1,D$1)</f>
        <v>0</v>
      </c>
      <c r="E366" s="140">
        <f>SUMIFS('recurring2_based on steps'!$B366:$AY366,'recurring2_based on steps'!$B$1:$AY$1,E$1)+SUMIFS('changes2_based on steps'!$B366:$U366,'changes2_based on steps'!$B$1:$U$1,E$1)</f>
        <v>0</v>
      </c>
      <c r="F366" s="140">
        <f>SUMIFS('recurring2_based on steps'!$B366:$AY366,'recurring2_based on steps'!$B$1:$AY$1,F$1)+SUMIFS('changes2_based on steps'!$B366:$U366,'changes2_based on steps'!$B$1:$U$1,F$1)</f>
        <v>0</v>
      </c>
      <c r="G366" s="140">
        <f>SUMIFS('recurring2_based on steps'!$B366:$AY366,'recurring2_based on steps'!$B$1:$AY$1,G$1)+SUMIFS('changes2_based on steps'!$B366:$U366,'changes2_based on steps'!$B$1:$U$1,G$1)</f>
        <v>0</v>
      </c>
      <c r="H366" s="140">
        <f>SUMIFS('recurring2_based on steps'!$B366:$AY366,'recurring2_based on steps'!$B$1:$AY$1,H$1)+SUMIFS('changes2_based on steps'!$B366:$U366,'changes2_based on steps'!$B$1:$U$1,H$1)</f>
        <v>0</v>
      </c>
      <c r="I366" s="140">
        <f>SUMIFS('recurring2_based on steps'!$B366:$AY366,'recurring2_based on steps'!$B$1:$AY$1,I$1)+SUMIFS('changes2_based on steps'!$B366:$U366,'changes2_based on steps'!$B$1:$U$1,I$1)</f>
        <v>0</v>
      </c>
      <c r="J366" s="140">
        <f ca="1">SUMIFS('recurring2_based on steps'!$B366:$AY366,'recurring2_based on steps'!$B$1:$AY$1,J$1)+SUMIFS('changes2_based on steps'!$B366:$U366,'changes2_based on steps'!$B$1:$U$1,J$1)</f>
        <v>0</v>
      </c>
      <c r="K366" s="140">
        <f>SUMIFS('recurring2_based on steps'!$B366:$AY366,'recurring2_based on steps'!$B$1:$AY$1,K$1)+SUMIFS('changes2_based on steps'!$B366:$U366,'changes2_based on steps'!$B$1:$U$1,K$1)</f>
        <v>0</v>
      </c>
      <c r="L366" s="140">
        <f>SUMIFS('recurring2_based on steps'!$B366:$AY366,'recurring2_based on steps'!$B$1:$AY$1,L$1)+SUMIFS('changes2_based on steps'!$B366:$U366,'changes2_based on steps'!$B$1:$U$1,L$1)</f>
        <v>0</v>
      </c>
      <c r="M366" s="140">
        <f>SUMIFS('recurring2_based on steps'!$B366:$AY366,'recurring2_based on steps'!$B$1:$AY$1,M$1)+SUMIFS('changes2_based on steps'!$B366:$U366,'changes2_based on steps'!$B$1:$U$1,M$1)</f>
        <v>0</v>
      </c>
      <c r="N366" s="140">
        <f ca="1">SUMIFS('recurring2_based on steps'!$B366:$AY366,'recurring2_based on steps'!$B$1:$AY$1,N$1)+SUMIFS('changes2_based on steps'!$B366:$U366,'changes2_based on steps'!$B$1:$U$1,N$1)</f>
        <v>0</v>
      </c>
      <c r="O366" s="140">
        <f>SUMIFS('recurring2_based on steps'!$B366:$AY366,'recurring2_based on steps'!$B$1:$AY$1,O$1)+SUMIFS('changes2_based on steps'!$B366:$U366,'changes2_based on steps'!$B$1:$U$1,O$1)</f>
        <v>0</v>
      </c>
      <c r="P366" s="140">
        <f ca="1">SUMIFS('recurring2_based on steps'!$B366:$AY366,'recurring2_based on steps'!$B$1:$AY$1,P$1)+SUMIFS('changes2_based on steps'!$B366:$U366,'changes2_based on steps'!$B$1:$U$1,P$1)</f>
        <v>0</v>
      </c>
      <c r="Q366" s="140">
        <f ca="1">SUMIFS('recurring2_based on steps'!$B366:$AY366,'recurring2_based on steps'!$B$1:$AY$1,Q$1)+SUMIFS('changes2_based on steps'!$B366:$U366,'changes2_based on steps'!$B$1:$U$1,Q$1)</f>
        <v>5.5401662049861494E-2</v>
      </c>
      <c r="R366" s="140">
        <f ca="1">SUMIFS('recurring2_based on steps'!$B366:$AY366,'recurring2_based on steps'!$B$1:$AY$1,R$1)+SUMIFS('changes2_based on steps'!$B366:$U366,'changes2_based on steps'!$B$1:$U$1,R$1)</f>
        <v>0</v>
      </c>
      <c r="S366" s="140">
        <f>SUMIFS('recurring2_based on steps'!$B366:$AY366,'recurring2_based on steps'!$B$1:$AY$1,S$1)+SUMIFS('changes2_based on steps'!$B366:$U366,'changes2_based on steps'!$B$1:$U$1,S$1)</f>
        <v>0</v>
      </c>
      <c r="T366" s="140">
        <f ca="1">SUMIFS('recurring2_based on steps'!$B366:$AY366,'recurring2_based on steps'!$B$1:$AY$1,T$1)+SUMIFS('changes2_based on steps'!$B366:$U366,'changes2_based on steps'!$B$1:$U$1,T$1)</f>
        <v>0</v>
      </c>
      <c r="U366" s="140">
        <f ca="1">SUMIFS('recurring2_based on steps'!$B366:$AY366,'recurring2_based on steps'!$B$1:$AY$1,U$1)+SUMIFS('changes2_based on steps'!$B366:$U366,'changes2_based on steps'!$B$1:$U$1,U$1)</f>
        <v>0</v>
      </c>
      <c r="V366" s="140">
        <f>SUMIFS('recurring2_based on steps'!$B366:$AY366,'recurring2_based on steps'!$B$1:$AY$1,V$1)+SUMIFS('changes2_based on steps'!$B366:$U366,'changes2_based on steps'!$B$1:$U$1,V$1)</f>
        <v>0</v>
      </c>
      <c r="W366" s="140">
        <f>SUMIFS('recurring2_based on steps'!$B366:$AY366,'recurring2_based on steps'!$B$1:$AY$1,W$1)+SUMIFS('changes2_based on steps'!$B366:$U366,'changes2_based on steps'!$B$1:$U$1,W$1)</f>
        <v>0</v>
      </c>
      <c r="X366" s="140">
        <f ca="1">SUMIFS('recurring2_based on steps'!$B366:$AY366,'recurring2_based on steps'!$B$1:$AY$1,X$1)+SUMIFS('changes2_based on steps'!$B366:$U366,'changes2_based on steps'!$B$1:$U$1,X$1)</f>
        <v>0</v>
      </c>
      <c r="Y366" s="140">
        <f ca="1">SUMIFS('recurring2_based on steps'!$B366:$AY366,'recurring2_based on steps'!$B$1:$AY$1,Y$1)+SUMIFS('changes2_based on steps'!$B366:$U366,'changes2_based on steps'!$B$1:$U$1,Y$1)</f>
        <v>0</v>
      </c>
      <c r="Z366" s="140">
        <f>SUMIFS('recurring2_based on steps'!$B366:$AY366,'recurring2_based on steps'!$B$1:$AY$1,Z$1)+SUMIFS('changes2_based on steps'!$B366:$U366,'changes2_based on steps'!$B$1:$U$1,Z$1)</f>
        <v>0</v>
      </c>
      <c r="AA366" s="140">
        <f ca="1">SUMIFS('recurring2_based on steps'!$B366:$AY366,'recurring2_based on steps'!$B$1:$AY$1,AA$1)+SUMIFS('changes2_based on steps'!$B366:$U366,'changes2_based on steps'!$B$1:$U$1,AA$1)</f>
        <v>0</v>
      </c>
      <c r="AB366" s="140">
        <f ca="1">SUMIFS('recurring2_based on steps'!$B366:$AY366,'recurring2_based on steps'!$B$1:$AY$1,AB$1)+SUMIFS('changes2_based on steps'!$B366:$U366,'changes2_based on steps'!$B$1:$U$1,AB$1)</f>
        <v>0</v>
      </c>
      <c r="AC366" s="140">
        <f ca="1">SUMIFS('recurring2_based on steps'!$B366:$AY366,'recurring2_based on steps'!$B$1:$AY$1,AC$1)+SUMIFS('changes2_based on steps'!$B366:$U366,'changes2_based on steps'!$B$1:$U$1,AC$1)</f>
        <v>0</v>
      </c>
      <c r="AD366" s="140">
        <f ca="1">SUMIFS('recurring2_based on steps'!$B366:$AY366,'recurring2_based on steps'!$B$1:$AY$1,AD$1)+SUMIFS('changes2_based on steps'!$B366:$U366,'changes2_based on steps'!$B$1:$U$1,AD$1)</f>
        <v>0</v>
      </c>
      <c r="AE366" s="140">
        <f>SUMIFS('recurring2_based on steps'!$B366:$AY366,'recurring2_based on steps'!$B$1:$AY$1,AE$1)+SUMIFS('changes2_based on steps'!$B366:$U366,'changes2_based on steps'!$B$1:$U$1,AE$1)</f>
        <v>0</v>
      </c>
      <c r="AF366" s="140"/>
      <c r="AG366" s="140"/>
      <c r="AH366" s="140"/>
      <c r="AI366" s="140"/>
      <c r="AJ366" s="140"/>
      <c r="AK366" s="140"/>
      <c r="AL366" s="140"/>
      <c r="AM366" s="140"/>
    </row>
    <row r="367" spans="1:39" x14ac:dyDescent="0.2">
      <c r="A367" s="29">
        <f t="shared" ca="1" si="5"/>
        <v>46107</v>
      </c>
      <c r="B367" s="140">
        <f ca="1">SUMIFS('recurring2_based on steps'!$B367:$AY367,'recurring2_based on steps'!$B$1:$AY$1,B$1)+SUMIFS('changes2_based on steps'!$B367:$U367,'changes2_based on steps'!$B$1:$U$1,B$1)</f>
        <v>0</v>
      </c>
      <c r="C367" s="140">
        <f>SUMIFS('recurring2_based on steps'!$B367:$AY367,'recurring2_based on steps'!$B$1:$AY$1,C$1)+SUMIFS('changes2_based on steps'!$B367:$U367,'changes2_based on steps'!$B$1:$U$1,C$1)</f>
        <v>0</v>
      </c>
      <c r="D367" s="140">
        <f>SUMIFS('recurring2_based on steps'!$B367:$AY367,'recurring2_based on steps'!$B$1:$AY$1,D$1)+SUMIFS('changes2_based on steps'!$B367:$U367,'changes2_based on steps'!$B$1:$U$1,D$1)</f>
        <v>0</v>
      </c>
      <c r="E367" s="140">
        <f>SUMIFS('recurring2_based on steps'!$B367:$AY367,'recurring2_based on steps'!$B$1:$AY$1,E$1)+SUMIFS('changes2_based on steps'!$B367:$U367,'changes2_based on steps'!$B$1:$U$1,E$1)</f>
        <v>0</v>
      </c>
      <c r="F367" s="140">
        <f>SUMIFS('recurring2_based on steps'!$B367:$AY367,'recurring2_based on steps'!$B$1:$AY$1,F$1)+SUMIFS('changes2_based on steps'!$B367:$U367,'changes2_based on steps'!$B$1:$U$1,F$1)</f>
        <v>0</v>
      </c>
      <c r="G367" s="140">
        <f>SUMIFS('recurring2_based on steps'!$B367:$AY367,'recurring2_based on steps'!$B$1:$AY$1,G$1)+SUMIFS('changes2_based on steps'!$B367:$U367,'changes2_based on steps'!$B$1:$U$1,G$1)</f>
        <v>0</v>
      </c>
      <c r="H367" s="140">
        <f>SUMIFS('recurring2_based on steps'!$B367:$AY367,'recurring2_based on steps'!$B$1:$AY$1,H$1)+SUMIFS('changes2_based on steps'!$B367:$U367,'changes2_based on steps'!$B$1:$U$1,H$1)</f>
        <v>0</v>
      </c>
      <c r="I367" s="140">
        <f>SUMIFS('recurring2_based on steps'!$B367:$AY367,'recurring2_based on steps'!$B$1:$AY$1,I$1)+SUMIFS('changes2_based on steps'!$B367:$U367,'changes2_based on steps'!$B$1:$U$1,I$1)</f>
        <v>0</v>
      </c>
      <c r="J367" s="140">
        <f ca="1">SUMIFS('recurring2_based on steps'!$B367:$AY367,'recurring2_based on steps'!$B$1:$AY$1,J$1)+SUMIFS('changes2_based on steps'!$B367:$U367,'changes2_based on steps'!$B$1:$U$1,J$1)</f>
        <v>0</v>
      </c>
      <c r="K367" s="140">
        <f>SUMIFS('recurring2_based on steps'!$B367:$AY367,'recurring2_based on steps'!$B$1:$AY$1,K$1)+SUMIFS('changes2_based on steps'!$B367:$U367,'changes2_based on steps'!$B$1:$U$1,K$1)</f>
        <v>0</v>
      </c>
      <c r="L367" s="140">
        <f>SUMIFS('recurring2_based on steps'!$B367:$AY367,'recurring2_based on steps'!$B$1:$AY$1,L$1)+SUMIFS('changes2_based on steps'!$B367:$U367,'changes2_based on steps'!$B$1:$U$1,L$1)</f>
        <v>0</v>
      </c>
      <c r="M367" s="140">
        <f>SUMIFS('recurring2_based on steps'!$B367:$AY367,'recurring2_based on steps'!$B$1:$AY$1,M$1)+SUMIFS('changes2_based on steps'!$B367:$U367,'changes2_based on steps'!$B$1:$U$1,M$1)</f>
        <v>0</v>
      </c>
      <c r="N367" s="140">
        <f ca="1">SUMIFS('recurring2_based on steps'!$B367:$AY367,'recurring2_based on steps'!$B$1:$AY$1,N$1)+SUMIFS('changes2_based on steps'!$B367:$U367,'changes2_based on steps'!$B$1:$U$1,N$1)</f>
        <v>0</v>
      </c>
      <c r="O367" s="140">
        <f>SUMIFS('recurring2_based on steps'!$B367:$AY367,'recurring2_based on steps'!$B$1:$AY$1,O$1)+SUMIFS('changes2_based on steps'!$B367:$U367,'changes2_based on steps'!$B$1:$U$1,O$1)</f>
        <v>0</v>
      </c>
      <c r="P367" s="140">
        <f ca="1">SUMIFS('recurring2_based on steps'!$B367:$AY367,'recurring2_based on steps'!$B$1:$AY$1,P$1)+SUMIFS('changes2_based on steps'!$B367:$U367,'changes2_based on steps'!$B$1:$U$1,P$1)</f>
        <v>0</v>
      </c>
      <c r="Q367" s="140">
        <f ca="1">SUMIFS('recurring2_based on steps'!$B367:$AY367,'recurring2_based on steps'!$B$1:$AY$1,Q$1)+SUMIFS('changes2_based on steps'!$B367:$U367,'changes2_based on steps'!$B$1:$U$1,Q$1)</f>
        <v>5.5401662049861494E-2</v>
      </c>
      <c r="R367" s="140">
        <f ca="1">SUMIFS('recurring2_based on steps'!$B367:$AY367,'recurring2_based on steps'!$B$1:$AY$1,R$1)+SUMIFS('changes2_based on steps'!$B367:$U367,'changes2_based on steps'!$B$1:$U$1,R$1)</f>
        <v>0</v>
      </c>
      <c r="S367" s="140">
        <f>SUMIFS('recurring2_based on steps'!$B367:$AY367,'recurring2_based on steps'!$B$1:$AY$1,S$1)+SUMIFS('changes2_based on steps'!$B367:$U367,'changes2_based on steps'!$B$1:$U$1,S$1)</f>
        <v>0</v>
      </c>
      <c r="T367" s="140">
        <f ca="1">SUMIFS('recurring2_based on steps'!$B367:$AY367,'recurring2_based on steps'!$B$1:$AY$1,T$1)+SUMIFS('changes2_based on steps'!$B367:$U367,'changes2_based on steps'!$B$1:$U$1,T$1)</f>
        <v>0</v>
      </c>
      <c r="U367" s="140">
        <f ca="1">SUMIFS('recurring2_based on steps'!$B367:$AY367,'recurring2_based on steps'!$B$1:$AY$1,U$1)+SUMIFS('changes2_based on steps'!$B367:$U367,'changes2_based on steps'!$B$1:$U$1,U$1)</f>
        <v>0</v>
      </c>
      <c r="V367" s="140">
        <f>SUMIFS('recurring2_based on steps'!$B367:$AY367,'recurring2_based on steps'!$B$1:$AY$1,V$1)+SUMIFS('changes2_based on steps'!$B367:$U367,'changes2_based on steps'!$B$1:$U$1,V$1)</f>
        <v>0</v>
      </c>
      <c r="W367" s="140">
        <f>SUMIFS('recurring2_based on steps'!$B367:$AY367,'recurring2_based on steps'!$B$1:$AY$1,W$1)+SUMIFS('changes2_based on steps'!$B367:$U367,'changes2_based on steps'!$B$1:$U$1,W$1)</f>
        <v>0</v>
      </c>
      <c r="X367" s="140">
        <f ca="1">SUMIFS('recurring2_based on steps'!$B367:$AY367,'recurring2_based on steps'!$B$1:$AY$1,X$1)+SUMIFS('changes2_based on steps'!$B367:$U367,'changes2_based on steps'!$B$1:$U$1,X$1)</f>
        <v>0</v>
      </c>
      <c r="Y367" s="140">
        <f ca="1">SUMIFS('recurring2_based on steps'!$B367:$AY367,'recurring2_based on steps'!$B$1:$AY$1,Y$1)+SUMIFS('changes2_based on steps'!$B367:$U367,'changes2_based on steps'!$B$1:$U$1,Y$1)</f>
        <v>0</v>
      </c>
      <c r="Z367" s="140">
        <f>SUMIFS('recurring2_based on steps'!$B367:$AY367,'recurring2_based on steps'!$B$1:$AY$1,Z$1)+SUMIFS('changes2_based on steps'!$B367:$U367,'changes2_based on steps'!$B$1:$U$1,Z$1)</f>
        <v>0</v>
      </c>
      <c r="AA367" s="140">
        <f ca="1">SUMIFS('recurring2_based on steps'!$B367:$AY367,'recurring2_based on steps'!$B$1:$AY$1,AA$1)+SUMIFS('changes2_based on steps'!$B367:$U367,'changes2_based on steps'!$B$1:$U$1,AA$1)</f>
        <v>0</v>
      </c>
      <c r="AB367" s="140">
        <f ca="1">SUMIFS('recurring2_based on steps'!$B367:$AY367,'recurring2_based on steps'!$B$1:$AY$1,AB$1)+SUMIFS('changes2_based on steps'!$B367:$U367,'changes2_based on steps'!$B$1:$U$1,AB$1)</f>
        <v>0</v>
      </c>
      <c r="AC367" s="140">
        <f ca="1">SUMIFS('recurring2_based on steps'!$B367:$AY367,'recurring2_based on steps'!$B$1:$AY$1,AC$1)+SUMIFS('changes2_based on steps'!$B367:$U367,'changes2_based on steps'!$B$1:$U$1,AC$1)</f>
        <v>0</v>
      </c>
      <c r="AD367" s="140">
        <f ca="1">SUMIFS('recurring2_based on steps'!$B367:$AY367,'recurring2_based on steps'!$B$1:$AY$1,AD$1)+SUMIFS('changes2_based on steps'!$B367:$U367,'changes2_based on steps'!$B$1:$U$1,AD$1)</f>
        <v>0</v>
      </c>
      <c r="AE367" s="140">
        <f>SUMIFS('recurring2_based on steps'!$B367:$AY367,'recurring2_based on steps'!$B$1:$AY$1,AE$1)+SUMIFS('changes2_based on steps'!$B367:$U367,'changes2_based on steps'!$B$1:$U$1,AE$1)</f>
        <v>0</v>
      </c>
      <c r="AF367" s="140"/>
      <c r="AG367" s="140"/>
      <c r="AH367" s="140"/>
      <c r="AI367" s="140"/>
      <c r="AJ367" s="140"/>
      <c r="AK367" s="140"/>
      <c r="AL367" s="140"/>
      <c r="AM367" s="140"/>
    </row>
    <row r="368" spans="1:39" x14ac:dyDescent="0.2">
      <c r="A368" s="29">
        <f t="shared" ca="1" si="5"/>
        <v>46108</v>
      </c>
      <c r="B368" s="140">
        <f ca="1">SUMIFS('recurring2_based on steps'!$B368:$AY368,'recurring2_based on steps'!$B$1:$AY$1,B$1)+SUMIFS('changes2_based on steps'!$B368:$U368,'changes2_based on steps'!$B$1:$U$1,B$1)</f>
        <v>0</v>
      </c>
      <c r="C368" s="140">
        <f>SUMIFS('recurring2_based on steps'!$B368:$AY368,'recurring2_based on steps'!$B$1:$AY$1,C$1)+SUMIFS('changes2_based on steps'!$B368:$U368,'changes2_based on steps'!$B$1:$U$1,C$1)</f>
        <v>0</v>
      </c>
      <c r="D368" s="140">
        <f>SUMIFS('recurring2_based on steps'!$B368:$AY368,'recurring2_based on steps'!$B$1:$AY$1,D$1)+SUMIFS('changes2_based on steps'!$B368:$U368,'changes2_based on steps'!$B$1:$U$1,D$1)</f>
        <v>0</v>
      </c>
      <c r="E368" s="140">
        <f>SUMIFS('recurring2_based on steps'!$B368:$AY368,'recurring2_based on steps'!$B$1:$AY$1,E$1)+SUMIFS('changes2_based on steps'!$B368:$U368,'changes2_based on steps'!$B$1:$U$1,E$1)</f>
        <v>0</v>
      </c>
      <c r="F368" s="140">
        <f>SUMIFS('recurring2_based on steps'!$B368:$AY368,'recurring2_based on steps'!$B$1:$AY$1,F$1)+SUMIFS('changes2_based on steps'!$B368:$U368,'changes2_based on steps'!$B$1:$U$1,F$1)</f>
        <v>0</v>
      </c>
      <c r="G368" s="140">
        <f>SUMIFS('recurring2_based on steps'!$B368:$AY368,'recurring2_based on steps'!$B$1:$AY$1,G$1)+SUMIFS('changes2_based on steps'!$B368:$U368,'changes2_based on steps'!$B$1:$U$1,G$1)</f>
        <v>0</v>
      </c>
      <c r="H368" s="140">
        <f>SUMIFS('recurring2_based on steps'!$B368:$AY368,'recurring2_based on steps'!$B$1:$AY$1,H$1)+SUMIFS('changes2_based on steps'!$B368:$U368,'changes2_based on steps'!$B$1:$U$1,H$1)</f>
        <v>0</v>
      </c>
      <c r="I368" s="140">
        <f>SUMIFS('recurring2_based on steps'!$B368:$AY368,'recurring2_based on steps'!$B$1:$AY$1,I$1)+SUMIFS('changes2_based on steps'!$B368:$U368,'changes2_based on steps'!$B$1:$U$1,I$1)</f>
        <v>0</v>
      </c>
      <c r="J368" s="140">
        <f ca="1">SUMIFS('recurring2_based on steps'!$B368:$AY368,'recurring2_based on steps'!$B$1:$AY$1,J$1)+SUMIFS('changes2_based on steps'!$B368:$U368,'changes2_based on steps'!$B$1:$U$1,J$1)</f>
        <v>0</v>
      </c>
      <c r="K368" s="140">
        <f>SUMIFS('recurring2_based on steps'!$B368:$AY368,'recurring2_based on steps'!$B$1:$AY$1,K$1)+SUMIFS('changes2_based on steps'!$B368:$U368,'changes2_based on steps'!$B$1:$U$1,K$1)</f>
        <v>0</v>
      </c>
      <c r="L368" s="140">
        <f>SUMIFS('recurring2_based on steps'!$B368:$AY368,'recurring2_based on steps'!$B$1:$AY$1,L$1)+SUMIFS('changes2_based on steps'!$B368:$U368,'changes2_based on steps'!$B$1:$U$1,L$1)</f>
        <v>0</v>
      </c>
      <c r="M368" s="140">
        <f>SUMIFS('recurring2_based on steps'!$B368:$AY368,'recurring2_based on steps'!$B$1:$AY$1,M$1)+SUMIFS('changes2_based on steps'!$B368:$U368,'changes2_based on steps'!$B$1:$U$1,M$1)</f>
        <v>0</v>
      </c>
      <c r="N368" s="140">
        <f ca="1">SUMIFS('recurring2_based on steps'!$B368:$AY368,'recurring2_based on steps'!$B$1:$AY$1,N$1)+SUMIFS('changes2_based on steps'!$B368:$U368,'changes2_based on steps'!$B$1:$U$1,N$1)</f>
        <v>0</v>
      </c>
      <c r="O368" s="140">
        <f>SUMIFS('recurring2_based on steps'!$B368:$AY368,'recurring2_based on steps'!$B$1:$AY$1,O$1)+SUMIFS('changes2_based on steps'!$B368:$U368,'changes2_based on steps'!$B$1:$U$1,O$1)</f>
        <v>0</v>
      </c>
      <c r="P368" s="140">
        <f ca="1">SUMIFS('recurring2_based on steps'!$B368:$AY368,'recurring2_based on steps'!$B$1:$AY$1,P$1)+SUMIFS('changes2_based on steps'!$B368:$U368,'changes2_based on steps'!$B$1:$U$1,P$1)</f>
        <v>0</v>
      </c>
      <c r="Q368" s="140">
        <f ca="1">SUMIFS('recurring2_based on steps'!$B368:$AY368,'recurring2_based on steps'!$B$1:$AY$1,Q$1)+SUMIFS('changes2_based on steps'!$B368:$U368,'changes2_based on steps'!$B$1:$U$1,Q$1)</f>
        <v>5.5401662049861494E-2</v>
      </c>
      <c r="R368" s="140">
        <f ca="1">SUMIFS('recurring2_based on steps'!$B368:$AY368,'recurring2_based on steps'!$B$1:$AY$1,R$1)+SUMIFS('changes2_based on steps'!$B368:$U368,'changes2_based on steps'!$B$1:$U$1,R$1)</f>
        <v>0</v>
      </c>
      <c r="S368" s="140">
        <f>SUMIFS('recurring2_based on steps'!$B368:$AY368,'recurring2_based on steps'!$B$1:$AY$1,S$1)+SUMIFS('changes2_based on steps'!$B368:$U368,'changes2_based on steps'!$B$1:$U$1,S$1)</f>
        <v>0</v>
      </c>
      <c r="T368" s="140">
        <f ca="1">SUMIFS('recurring2_based on steps'!$B368:$AY368,'recurring2_based on steps'!$B$1:$AY$1,T$1)+SUMIFS('changes2_based on steps'!$B368:$U368,'changes2_based on steps'!$B$1:$U$1,T$1)</f>
        <v>0</v>
      </c>
      <c r="U368" s="140">
        <f ca="1">SUMIFS('recurring2_based on steps'!$B368:$AY368,'recurring2_based on steps'!$B$1:$AY$1,U$1)+SUMIFS('changes2_based on steps'!$B368:$U368,'changes2_based on steps'!$B$1:$U$1,U$1)</f>
        <v>0</v>
      </c>
      <c r="V368" s="140">
        <f>SUMIFS('recurring2_based on steps'!$B368:$AY368,'recurring2_based on steps'!$B$1:$AY$1,V$1)+SUMIFS('changes2_based on steps'!$B368:$U368,'changes2_based on steps'!$B$1:$U$1,V$1)</f>
        <v>0</v>
      </c>
      <c r="W368" s="140">
        <f>SUMIFS('recurring2_based on steps'!$B368:$AY368,'recurring2_based on steps'!$B$1:$AY$1,W$1)+SUMIFS('changes2_based on steps'!$B368:$U368,'changes2_based on steps'!$B$1:$U$1,W$1)</f>
        <v>0</v>
      </c>
      <c r="X368" s="140">
        <f ca="1">SUMIFS('recurring2_based on steps'!$B368:$AY368,'recurring2_based on steps'!$B$1:$AY$1,X$1)+SUMIFS('changes2_based on steps'!$B368:$U368,'changes2_based on steps'!$B$1:$U$1,X$1)</f>
        <v>0</v>
      </c>
      <c r="Y368" s="140">
        <f ca="1">SUMIFS('recurring2_based on steps'!$B368:$AY368,'recurring2_based on steps'!$B$1:$AY$1,Y$1)+SUMIFS('changes2_based on steps'!$B368:$U368,'changes2_based on steps'!$B$1:$U$1,Y$1)</f>
        <v>0</v>
      </c>
      <c r="Z368" s="140">
        <f>SUMIFS('recurring2_based on steps'!$B368:$AY368,'recurring2_based on steps'!$B$1:$AY$1,Z$1)+SUMIFS('changes2_based on steps'!$B368:$U368,'changes2_based on steps'!$B$1:$U$1,Z$1)</f>
        <v>0</v>
      </c>
      <c r="AA368" s="140">
        <f ca="1">SUMIFS('recurring2_based on steps'!$B368:$AY368,'recurring2_based on steps'!$B$1:$AY$1,AA$1)+SUMIFS('changes2_based on steps'!$B368:$U368,'changes2_based on steps'!$B$1:$U$1,AA$1)</f>
        <v>0</v>
      </c>
      <c r="AB368" s="140">
        <f ca="1">SUMIFS('recurring2_based on steps'!$B368:$AY368,'recurring2_based on steps'!$B$1:$AY$1,AB$1)+SUMIFS('changes2_based on steps'!$B368:$U368,'changes2_based on steps'!$B$1:$U$1,AB$1)</f>
        <v>0</v>
      </c>
      <c r="AC368" s="140">
        <f ca="1">SUMIFS('recurring2_based on steps'!$B368:$AY368,'recurring2_based on steps'!$B$1:$AY$1,AC$1)+SUMIFS('changes2_based on steps'!$B368:$U368,'changes2_based on steps'!$B$1:$U$1,AC$1)</f>
        <v>0</v>
      </c>
      <c r="AD368" s="140">
        <f ca="1">SUMIFS('recurring2_based on steps'!$B368:$AY368,'recurring2_based on steps'!$B$1:$AY$1,AD$1)+SUMIFS('changes2_based on steps'!$B368:$U368,'changes2_based on steps'!$B$1:$U$1,AD$1)</f>
        <v>0</v>
      </c>
      <c r="AE368" s="140">
        <f>SUMIFS('recurring2_based on steps'!$B368:$AY368,'recurring2_based on steps'!$B$1:$AY$1,AE$1)+SUMIFS('changes2_based on steps'!$B368:$U368,'changes2_based on steps'!$B$1:$U$1,AE$1)</f>
        <v>0</v>
      </c>
      <c r="AF368" s="140"/>
      <c r="AG368" s="140"/>
      <c r="AH368" s="140"/>
      <c r="AI368" s="140"/>
      <c r="AJ368" s="140"/>
      <c r="AK368" s="140"/>
      <c r="AL368" s="140"/>
      <c r="AM368" s="140"/>
    </row>
    <row r="369" spans="1:39" x14ac:dyDescent="0.2">
      <c r="A369" s="29">
        <f t="shared" ca="1" si="5"/>
        <v>46109</v>
      </c>
      <c r="B369" s="140">
        <f ca="1">SUMIFS('recurring2_based on steps'!$B369:$AY369,'recurring2_based on steps'!$B$1:$AY$1,B$1)+SUMIFS('changes2_based on steps'!$B369:$U369,'changes2_based on steps'!$B$1:$U$1,B$1)</f>
        <v>0</v>
      </c>
      <c r="C369" s="140">
        <f>SUMIFS('recurring2_based on steps'!$B369:$AY369,'recurring2_based on steps'!$B$1:$AY$1,C$1)+SUMIFS('changes2_based on steps'!$B369:$U369,'changes2_based on steps'!$B$1:$U$1,C$1)</f>
        <v>0</v>
      </c>
      <c r="D369" s="140">
        <f>SUMIFS('recurring2_based on steps'!$B369:$AY369,'recurring2_based on steps'!$B$1:$AY$1,D$1)+SUMIFS('changes2_based on steps'!$B369:$U369,'changes2_based on steps'!$B$1:$U$1,D$1)</f>
        <v>0</v>
      </c>
      <c r="E369" s="140">
        <f>SUMIFS('recurring2_based on steps'!$B369:$AY369,'recurring2_based on steps'!$B$1:$AY$1,E$1)+SUMIFS('changes2_based on steps'!$B369:$U369,'changes2_based on steps'!$B$1:$U$1,E$1)</f>
        <v>0</v>
      </c>
      <c r="F369" s="140">
        <f>SUMIFS('recurring2_based on steps'!$B369:$AY369,'recurring2_based on steps'!$B$1:$AY$1,F$1)+SUMIFS('changes2_based on steps'!$B369:$U369,'changes2_based on steps'!$B$1:$U$1,F$1)</f>
        <v>0</v>
      </c>
      <c r="G369" s="140">
        <f>SUMIFS('recurring2_based on steps'!$B369:$AY369,'recurring2_based on steps'!$B$1:$AY$1,G$1)+SUMIFS('changes2_based on steps'!$B369:$U369,'changes2_based on steps'!$B$1:$U$1,G$1)</f>
        <v>0</v>
      </c>
      <c r="H369" s="140">
        <f>SUMIFS('recurring2_based on steps'!$B369:$AY369,'recurring2_based on steps'!$B$1:$AY$1,H$1)+SUMIFS('changes2_based on steps'!$B369:$U369,'changes2_based on steps'!$B$1:$U$1,H$1)</f>
        <v>0</v>
      </c>
      <c r="I369" s="140">
        <f>SUMIFS('recurring2_based on steps'!$B369:$AY369,'recurring2_based on steps'!$B$1:$AY$1,I$1)+SUMIFS('changes2_based on steps'!$B369:$U369,'changes2_based on steps'!$B$1:$U$1,I$1)</f>
        <v>0</v>
      </c>
      <c r="J369" s="140">
        <f ca="1">SUMIFS('recurring2_based on steps'!$B369:$AY369,'recurring2_based on steps'!$B$1:$AY$1,J$1)+SUMIFS('changes2_based on steps'!$B369:$U369,'changes2_based on steps'!$B$1:$U$1,J$1)</f>
        <v>0</v>
      </c>
      <c r="K369" s="140">
        <f>SUMIFS('recurring2_based on steps'!$B369:$AY369,'recurring2_based on steps'!$B$1:$AY$1,K$1)+SUMIFS('changes2_based on steps'!$B369:$U369,'changes2_based on steps'!$B$1:$U$1,K$1)</f>
        <v>0</v>
      </c>
      <c r="L369" s="140">
        <f>SUMIFS('recurring2_based on steps'!$B369:$AY369,'recurring2_based on steps'!$B$1:$AY$1,L$1)+SUMIFS('changes2_based on steps'!$B369:$U369,'changes2_based on steps'!$B$1:$U$1,L$1)</f>
        <v>0</v>
      </c>
      <c r="M369" s="140">
        <f>SUMIFS('recurring2_based on steps'!$B369:$AY369,'recurring2_based on steps'!$B$1:$AY$1,M$1)+SUMIFS('changes2_based on steps'!$B369:$U369,'changes2_based on steps'!$B$1:$U$1,M$1)</f>
        <v>0</v>
      </c>
      <c r="N369" s="140">
        <f ca="1">SUMIFS('recurring2_based on steps'!$B369:$AY369,'recurring2_based on steps'!$B$1:$AY$1,N$1)+SUMIFS('changes2_based on steps'!$B369:$U369,'changes2_based on steps'!$B$1:$U$1,N$1)</f>
        <v>0</v>
      </c>
      <c r="O369" s="140">
        <f>SUMIFS('recurring2_based on steps'!$B369:$AY369,'recurring2_based on steps'!$B$1:$AY$1,O$1)+SUMIFS('changes2_based on steps'!$B369:$U369,'changes2_based on steps'!$B$1:$U$1,O$1)</f>
        <v>0</v>
      </c>
      <c r="P369" s="140">
        <f ca="1">SUMIFS('recurring2_based on steps'!$B369:$AY369,'recurring2_based on steps'!$B$1:$AY$1,P$1)+SUMIFS('changes2_based on steps'!$B369:$U369,'changes2_based on steps'!$B$1:$U$1,P$1)</f>
        <v>0</v>
      </c>
      <c r="Q369" s="140">
        <f ca="1">SUMIFS('recurring2_based on steps'!$B369:$AY369,'recurring2_based on steps'!$B$1:$AY$1,Q$1)+SUMIFS('changes2_based on steps'!$B369:$U369,'changes2_based on steps'!$B$1:$U$1,Q$1)</f>
        <v>0</v>
      </c>
      <c r="R369" s="140">
        <f ca="1">SUMIFS('recurring2_based on steps'!$B369:$AY369,'recurring2_based on steps'!$B$1:$AY$1,R$1)+SUMIFS('changes2_based on steps'!$B369:$U369,'changes2_based on steps'!$B$1:$U$1,R$1)</f>
        <v>0</v>
      </c>
      <c r="S369" s="140">
        <f>SUMIFS('recurring2_based on steps'!$B369:$AY369,'recurring2_based on steps'!$B$1:$AY$1,S$1)+SUMIFS('changes2_based on steps'!$B369:$U369,'changes2_based on steps'!$B$1:$U$1,S$1)</f>
        <v>0</v>
      </c>
      <c r="T369" s="140">
        <f ca="1">SUMIFS('recurring2_based on steps'!$B369:$AY369,'recurring2_based on steps'!$B$1:$AY$1,T$1)+SUMIFS('changes2_based on steps'!$B369:$U369,'changes2_based on steps'!$B$1:$U$1,T$1)</f>
        <v>0</v>
      </c>
      <c r="U369" s="140">
        <f ca="1">SUMIFS('recurring2_based on steps'!$B369:$AY369,'recurring2_based on steps'!$B$1:$AY$1,U$1)+SUMIFS('changes2_based on steps'!$B369:$U369,'changes2_based on steps'!$B$1:$U$1,U$1)</f>
        <v>0</v>
      </c>
      <c r="V369" s="140">
        <f>SUMIFS('recurring2_based on steps'!$B369:$AY369,'recurring2_based on steps'!$B$1:$AY$1,V$1)+SUMIFS('changes2_based on steps'!$B369:$U369,'changes2_based on steps'!$B$1:$U$1,V$1)</f>
        <v>0</v>
      </c>
      <c r="W369" s="140">
        <f>SUMIFS('recurring2_based on steps'!$B369:$AY369,'recurring2_based on steps'!$B$1:$AY$1,W$1)+SUMIFS('changes2_based on steps'!$B369:$U369,'changes2_based on steps'!$B$1:$U$1,W$1)</f>
        <v>0</v>
      </c>
      <c r="X369" s="140">
        <f ca="1">SUMIFS('recurring2_based on steps'!$B369:$AY369,'recurring2_based on steps'!$B$1:$AY$1,X$1)+SUMIFS('changes2_based on steps'!$B369:$U369,'changes2_based on steps'!$B$1:$U$1,X$1)</f>
        <v>0</v>
      </c>
      <c r="Y369" s="140">
        <f ca="1">SUMIFS('recurring2_based on steps'!$B369:$AY369,'recurring2_based on steps'!$B$1:$AY$1,Y$1)+SUMIFS('changes2_based on steps'!$B369:$U369,'changes2_based on steps'!$B$1:$U$1,Y$1)</f>
        <v>0</v>
      </c>
      <c r="Z369" s="140">
        <f>SUMIFS('recurring2_based on steps'!$B369:$AY369,'recurring2_based on steps'!$B$1:$AY$1,Z$1)+SUMIFS('changes2_based on steps'!$B369:$U369,'changes2_based on steps'!$B$1:$U$1,Z$1)</f>
        <v>0</v>
      </c>
      <c r="AA369" s="140">
        <f ca="1">SUMIFS('recurring2_based on steps'!$B369:$AY369,'recurring2_based on steps'!$B$1:$AY$1,AA$1)+SUMIFS('changes2_based on steps'!$B369:$U369,'changes2_based on steps'!$B$1:$U$1,AA$1)</f>
        <v>0</v>
      </c>
      <c r="AB369" s="140">
        <f ca="1">SUMIFS('recurring2_based on steps'!$B369:$AY369,'recurring2_based on steps'!$B$1:$AY$1,AB$1)+SUMIFS('changes2_based on steps'!$B369:$U369,'changes2_based on steps'!$B$1:$U$1,AB$1)</f>
        <v>0</v>
      </c>
      <c r="AC369" s="140">
        <f ca="1">SUMIFS('recurring2_based on steps'!$B369:$AY369,'recurring2_based on steps'!$B$1:$AY$1,AC$1)+SUMIFS('changes2_based on steps'!$B369:$U369,'changes2_based on steps'!$B$1:$U$1,AC$1)</f>
        <v>0</v>
      </c>
      <c r="AD369" s="140">
        <f ca="1">SUMIFS('recurring2_based on steps'!$B369:$AY369,'recurring2_based on steps'!$B$1:$AY$1,AD$1)+SUMIFS('changes2_based on steps'!$B369:$U369,'changes2_based on steps'!$B$1:$U$1,AD$1)</f>
        <v>0</v>
      </c>
      <c r="AE369" s="140">
        <f>SUMIFS('recurring2_based on steps'!$B369:$AY369,'recurring2_based on steps'!$B$1:$AY$1,AE$1)+SUMIFS('changes2_based on steps'!$B369:$U369,'changes2_based on steps'!$B$1:$U$1,AE$1)</f>
        <v>0</v>
      </c>
      <c r="AF369" s="140"/>
      <c r="AG369" s="140"/>
      <c r="AH369" s="140"/>
      <c r="AI369" s="140"/>
      <c r="AJ369" s="140"/>
      <c r="AK369" s="140"/>
      <c r="AL369" s="140"/>
      <c r="AM369" s="140"/>
    </row>
    <row r="370" spans="1:39" x14ac:dyDescent="0.2">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c r="AA370" s="29"/>
      <c r="AB370" s="29"/>
      <c r="AC370" s="29"/>
      <c r="AD370" s="29"/>
      <c r="AE370" s="29"/>
      <c r="AF370" s="29"/>
      <c r="AG370" s="29"/>
      <c r="AH370" s="29"/>
      <c r="AI370" s="29"/>
      <c r="AJ370" s="29"/>
      <c r="AK370" s="29"/>
      <c r="AL370" s="29"/>
    </row>
    <row r="371" spans="1:39" x14ac:dyDescent="0.2">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29"/>
      <c r="AH371" s="29"/>
      <c r="AI371" s="29"/>
      <c r="AJ371" s="29"/>
      <c r="AK371" s="29"/>
      <c r="AL371" s="29"/>
    </row>
    <row r="372" spans="1:39" x14ac:dyDescent="0.2">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29"/>
      <c r="AH372" s="29"/>
      <c r="AI372" s="29"/>
      <c r="AJ372" s="29"/>
      <c r="AK372" s="29"/>
      <c r="AL372" s="29"/>
    </row>
    <row r="373" spans="1:39" x14ac:dyDescent="0.2">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c r="AA373" s="29"/>
      <c r="AB373" s="29"/>
      <c r="AC373" s="29"/>
      <c r="AD373" s="29"/>
      <c r="AE373" s="29"/>
      <c r="AF373" s="29"/>
      <c r="AG373" s="29"/>
      <c r="AH373" s="29"/>
      <c r="AI373" s="29"/>
      <c r="AJ373" s="29"/>
      <c r="AK373" s="29"/>
      <c r="AL373" s="29"/>
    </row>
    <row r="374" spans="1:39" x14ac:dyDescent="0.2">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c r="AA374" s="29"/>
      <c r="AB374" s="29"/>
      <c r="AC374" s="29"/>
      <c r="AD374" s="29"/>
      <c r="AE374" s="29"/>
      <c r="AF374" s="29"/>
      <c r="AG374" s="29"/>
      <c r="AH374" s="29"/>
      <c r="AI374" s="29"/>
      <c r="AJ374" s="29"/>
      <c r="AK374" s="29"/>
      <c r="AL374" s="29"/>
    </row>
    <row r="375" spans="1:39" x14ac:dyDescent="0.2">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c r="AA375" s="29"/>
      <c r="AB375" s="29"/>
      <c r="AC375" s="29"/>
      <c r="AD375" s="29"/>
      <c r="AE375" s="29"/>
      <c r="AF375" s="29"/>
      <c r="AG375" s="29"/>
      <c r="AH375" s="29"/>
      <c r="AI375" s="29"/>
      <c r="AJ375" s="29"/>
      <c r="AK375" s="29"/>
      <c r="AL375" s="29"/>
    </row>
    <row r="376" spans="1:39" x14ac:dyDescent="0.2">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c r="AA376" s="29"/>
      <c r="AB376" s="29"/>
      <c r="AC376" s="29"/>
      <c r="AD376" s="29"/>
      <c r="AE376" s="29"/>
      <c r="AF376" s="29"/>
      <c r="AG376" s="29"/>
      <c r="AH376" s="29"/>
      <c r="AI376" s="29"/>
      <c r="AJ376" s="29"/>
      <c r="AK376" s="29"/>
      <c r="AL376" s="29"/>
    </row>
    <row r="377" spans="1:39" x14ac:dyDescent="0.2">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c r="AA377" s="29"/>
      <c r="AB377" s="29"/>
      <c r="AC377" s="29"/>
      <c r="AD377" s="29"/>
      <c r="AE377" s="29"/>
      <c r="AF377" s="29"/>
      <c r="AG377" s="29"/>
      <c r="AH377" s="29"/>
      <c r="AI377" s="29"/>
      <c r="AJ377" s="29"/>
      <c r="AK377" s="29"/>
      <c r="AL377" s="29"/>
    </row>
    <row r="378" spans="1:39" x14ac:dyDescent="0.2">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c r="AA378" s="29"/>
      <c r="AB378" s="29"/>
      <c r="AC378" s="29"/>
      <c r="AD378" s="29"/>
      <c r="AE378" s="29"/>
      <c r="AF378" s="29"/>
      <c r="AG378" s="29"/>
      <c r="AH378" s="29"/>
      <c r="AI378" s="29"/>
      <c r="AJ378" s="29"/>
      <c r="AK378" s="29"/>
      <c r="AL378" s="29"/>
    </row>
    <row r="379" spans="1:39" x14ac:dyDescent="0.2">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c r="AA379" s="29"/>
      <c r="AB379" s="29"/>
      <c r="AC379" s="29"/>
      <c r="AD379" s="29"/>
      <c r="AE379" s="29"/>
      <c r="AF379" s="29"/>
      <c r="AG379" s="29"/>
      <c r="AH379" s="29"/>
      <c r="AI379" s="29"/>
      <c r="AJ379" s="29"/>
      <c r="AK379" s="29"/>
      <c r="AL379" s="29"/>
    </row>
    <row r="380" spans="1:39" x14ac:dyDescent="0.2">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c r="AA380" s="29"/>
      <c r="AB380" s="29"/>
      <c r="AC380" s="29"/>
      <c r="AD380" s="29"/>
      <c r="AE380" s="29"/>
      <c r="AF380" s="29"/>
      <c r="AG380" s="29"/>
      <c r="AH380" s="29"/>
      <c r="AI380" s="29"/>
      <c r="AJ380" s="29"/>
      <c r="AK380" s="29"/>
      <c r="AL380" s="29"/>
    </row>
    <row r="381" spans="1:39" x14ac:dyDescent="0.2">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c r="AA381" s="29"/>
      <c r="AB381" s="29"/>
      <c r="AC381" s="29"/>
      <c r="AD381" s="29"/>
      <c r="AE381" s="29"/>
      <c r="AF381" s="29"/>
      <c r="AG381" s="29"/>
      <c r="AH381" s="29"/>
      <c r="AI381" s="29"/>
      <c r="AJ381" s="29"/>
      <c r="AK381" s="29"/>
      <c r="AL381" s="29"/>
    </row>
    <row r="382" spans="1:39" x14ac:dyDescent="0.2">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c r="AA382" s="29"/>
      <c r="AB382" s="29"/>
      <c r="AC382" s="29"/>
      <c r="AD382" s="29"/>
      <c r="AE382" s="29"/>
      <c r="AF382" s="29"/>
      <c r="AG382" s="29"/>
      <c r="AH382" s="29"/>
      <c r="AI382" s="29"/>
      <c r="AJ382" s="29"/>
      <c r="AK382" s="29"/>
      <c r="AL382" s="29"/>
    </row>
    <row r="383" spans="1:39" x14ac:dyDescent="0.2">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c r="AA383" s="29"/>
      <c r="AB383" s="29"/>
      <c r="AC383" s="29"/>
      <c r="AD383" s="29"/>
      <c r="AE383" s="29"/>
      <c r="AF383" s="29"/>
      <c r="AG383" s="29"/>
      <c r="AH383" s="29"/>
      <c r="AI383" s="29"/>
      <c r="AJ383" s="29"/>
      <c r="AK383" s="29"/>
      <c r="AL383" s="29"/>
    </row>
    <row r="384" spans="1:39" x14ac:dyDescent="0.2">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c r="AA384" s="29"/>
      <c r="AB384" s="29"/>
      <c r="AC384" s="29"/>
      <c r="AD384" s="29"/>
      <c r="AE384" s="29"/>
      <c r="AF384" s="29"/>
      <c r="AG384" s="29"/>
      <c r="AH384" s="29"/>
      <c r="AI384" s="29"/>
      <c r="AJ384" s="29"/>
      <c r="AK384" s="29"/>
      <c r="AL384" s="29"/>
    </row>
    <row r="385" spans="2:38" x14ac:dyDescent="0.2">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c r="AA385" s="29"/>
      <c r="AB385" s="29"/>
      <c r="AC385" s="29"/>
      <c r="AD385" s="29"/>
      <c r="AE385" s="29"/>
      <c r="AF385" s="29"/>
      <c r="AG385" s="29"/>
      <c r="AH385" s="29"/>
      <c r="AI385" s="29"/>
      <c r="AJ385" s="29"/>
      <c r="AK385" s="29"/>
      <c r="AL385" s="29"/>
    </row>
    <row r="386" spans="2:38" x14ac:dyDescent="0.2">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c r="AA386" s="29"/>
      <c r="AB386" s="29"/>
      <c r="AC386" s="29"/>
      <c r="AD386" s="29"/>
      <c r="AE386" s="29"/>
      <c r="AF386" s="29"/>
      <c r="AG386" s="29"/>
      <c r="AH386" s="29"/>
      <c r="AI386" s="29"/>
      <c r="AJ386" s="29"/>
      <c r="AK386" s="29"/>
      <c r="AL386" s="29"/>
    </row>
    <row r="387" spans="2:38" x14ac:dyDescent="0.2">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c r="AA387" s="29"/>
      <c r="AB387" s="29"/>
      <c r="AC387" s="29"/>
      <c r="AD387" s="29"/>
      <c r="AE387" s="29"/>
      <c r="AF387" s="29"/>
      <c r="AG387" s="29"/>
      <c r="AH387" s="29"/>
      <c r="AI387" s="29"/>
      <c r="AJ387" s="29"/>
      <c r="AK387" s="29"/>
      <c r="AL387" s="29"/>
    </row>
    <row r="388" spans="2:38" x14ac:dyDescent="0.2">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c r="AA388" s="29"/>
      <c r="AB388" s="29"/>
      <c r="AC388" s="29"/>
      <c r="AD388" s="29"/>
      <c r="AE388" s="29"/>
      <c r="AF388" s="29"/>
      <c r="AG388" s="29"/>
      <c r="AH388" s="29"/>
      <c r="AI388" s="29"/>
      <c r="AJ388" s="29"/>
      <c r="AK388" s="29"/>
      <c r="AL388" s="29"/>
    </row>
    <row r="389" spans="2:38" x14ac:dyDescent="0.2">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c r="AA389" s="29"/>
      <c r="AB389" s="29"/>
      <c r="AC389" s="29"/>
      <c r="AD389" s="29"/>
      <c r="AE389" s="29"/>
      <c r="AF389" s="29"/>
      <c r="AG389" s="29"/>
      <c r="AH389" s="29"/>
      <c r="AI389" s="29"/>
      <c r="AJ389" s="29"/>
      <c r="AK389" s="29"/>
      <c r="AL389" s="29"/>
    </row>
    <row r="390" spans="2:38" x14ac:dyDescent="0.2">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c r="AA390" s="29"/>
      <c r="AB390" s="29"/>
      <c r="AC390" s="29"/>
      <c r="AD390" s="29"/>
      <c r="AE390" s="29"/>
      <c r="AF390" s="29"/>
      <c r="AG390" s="29"/>
      <c r="AH390" s="29"/>
      <c r="AI390" s="29"/>
      <c r="AJ390" s="29"/>
      <c r="AK390" s="29"/>
      <c r="AL390" s="29"/>
    </row>
    <row r="391" spans="2:38" x14ac:dyDescent="0.2">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c r="AA391" s="29"/>
      <c r="AB391" s="29"/>
      <c r="AC391" s="29"/>
      <c r="AD391" s="29"/>
      <c r="AE391" s="29"/>
      <c r="AF391" s="29"/>
      <c r="AG391" s="29"/>
      <c r="AH391" s="29"/>
      <c r="AI391" s="29"/>
      <c r="AJ391" s="29"/>
      <c r="AK391" s="29"/>
      <c r="AL391" s="29"/>
    </row>
    <row r="392" spans="2:38" x14ac:dyDescent="0.2">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c r="AA392" s="29"/>
      <c r="AB392" s="29"/>
      <c r="AC392" s="29"/>
      <c r="AD392" s="29"/>
      <c r="AE392" s="29"/>
      <c r="AF392" s="29"/>
      <c r="AG392" s="29"/>
      <c r="AH392" s="29"/>
      <c r="AI392" s="29"/>
      <c r="AJ392" s="29"/>
      <c r="AK392" s="29"/>
      <c r="AL392" s="29"/>
    </row>
    <row r="393" spans="2:38" x14ac:dyDescent="0.2">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c r="AA393" s="29"/>
      <c r="AB393" s="29"/>
      <c r="AC393" s="29"/>
      <c r="AD393" s="29"/>
      <c r="AE393" s="29"/>
      <c r="AF393" s="29"/>
      <c r="AG393" s="29"/>
      <c r="AH393" s="29"/>
      <c r="AI393" s="29"/>
      <c r="AJ393" s="29"/>
      <c r="AK393" s="29"/>
      <c r="AL393" s="29"/>
    </row>
    <row r="394" spans="2:38" x14ac:dyDescent="0.2">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c r="AA394" s="29"/>
      <c r="AB394" s="29"/>
      <c r="AC394" s="29"/>
      <c r="AD394" s="29"/>
      <c r="AE394" s="29"/>
      <c r="AF394" s="29"/>
      <c r="AG394" s="29"/>
      <c r="AH394" s="29"/>
      <c r="AI394" s="29"/>
      <c r="AJ394" s="29"/>
      <c r="AK394" s="29"/>
      <c r="AL394" s="29"/>
    </row>
    <row r="395" spans="2:38" x14ac:dyDescent="0.2">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c r="AA395" s="29"/>
      <c r="AB395" s="29"/>
      <c r="AC395" s="29"/>
      <c r="AD395" s="29"/>
      <c r="AE395" s="29"/>
      <c r="AF395" s="29"/>
      <c r="AG395" s="29"/>
      <c r="AH395" s="29"/>
      <c r="AI395" s="29"/>
      <c r="AJ395" s="29"/>
      <c r="AK395" s="29"/>
      <c r="AL395" s="29"/>
    </row>
    <row r="396" spans="2:38" x14ac:dyDescent="0.2">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c r="AA396" s="29"/>
      <c r="AB396" s="29"/>
      <c r="AC396" s="29"/>
      <c r="AD396" s="29"/>
      <c r="AE396" s="29"/>
      <c r="AF396" s="29"/>
      <c r="AG396" s="29"/>
      <c r="AH396" s="29"/>
      <c r="AI396" s="29"/>
      <c r="AJ396" s="29"/>
      <c r="AK396" s="29"/>
      <c r="AL396" s="29"/>
    </row>
    <row r="397" spans="2:38" x14ac:dyDescent="0.2">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c r="AA397" s="29"/>
      <c r="AB397" s="29"/>
      <c r="AC397" s="29"/>
      <c r="AD397" s="29"/>
      <c r="AE397" s="29"/>
      <c r="AF397" s="29"/>
      <c r="AG397" s="29"/>
      <c r="AH397" s="29"/>
      <c r="AI397" s="29"/>
      <c r="AJ397" s="29"/>
      <c r="AK397" s="29"/>
      <c r="AL397" s="29"/>
    </row>
    <row r="398" spans="2:38" x14ac:dyDescent="0.2">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c r="AA398" s="29"/>
      <c r="AB398" s="29"/>
      <c r="AC398" s="29"/>
      <c r="AD398" s="29"/>
      <c r="AE398" s="29"/>
      <c r="AF398" s="29"/>
      <c r="AG398" s="29"/>
      <c r="AH398" s="29"/>
      <c r="AI398" s="29"/>
      <c r="AJ398" s="29"/>
      <c r="AK398" s="29"/>
      <c r="AL398" s="29"/>
    </row>
    <row r="399" spans="2:38" x14ac:dyDescent="0.2">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c r="AA399" s="29"/>
      <c r="AB399" s="29"/>
      <c r="AC399" s="29"/>
      <c r="AD399" s="29"/>
      <c r="AE399" s="29"/>
      <c r="AF399" s="29"/>
      <c r="AG399" s="29"/>
      <c r="AH399" s="29"/>
      <c r="AI399" s="29"/>
      <c r="AJ399" s="29"/>
      <c r="AK399" s="29"/>
      <c r="AL399" s="29"/>
    </row>
    <row r="400" spans="2:38" x14ac:dyDescent="0.2">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c r="AA400" s="29"/>
      <c r="AB400" s="29"/>
      <c r="AC400" s="29"/>
      <c r="AD400" s="29"/>
      <c r="AE400" s="29"/>
      <c r="AF400" s="29"/>
      <c r="AG400" s="29"/>
      <c r="AH400" s="29"/>
      <c r="AI400" s="29"/>
      <c r="AJ400" s="29"/>
      <c r="AK400" s="29"/>
      <c r="AL400" s="29"/>
    </row>
    <row r="401" spans="2:38" x14ac:dyDescent="0.2">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c r="AA401" s="29"/>
      <c r="AB401" s="29"/>
      <c r="AC401" s="29"/>
      <c r="AD401" s="29"/>
      <c r="AE401" s="29"/>
      <c r="AF401" s="29"/>
      <c r="AG401" s="29"/>
      <c r="AH401" s="29"/>
      <c r="AI401" s="29"/>
      <c r="AJ401" s="29"/>
      <c r="AK401" s="29"/>
      <c r="AL401" s="29"/>
    </row>
    <row r="402" spans="2:38" x14ac:dyDescent="0.2">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c r="AA402" s="29"/>
      <c r="AB402" s="29"/>
      <c r="AC402" s="29"/>
      <c r="AD402" s="29"/>
      <c r="AE402" s="29"/>
      <c r="AF402" s="29"/>
      <c r="AG402" s="29"/>
      <c r="AH402" s="29"/>
      <c r="AI402" s="29"/>
      <c r="AJ402" s="29"/>
      <c r="AK402" s="29"/>
      <c r="AL402" s="29"/>
    </row>
    <row r="403" spans="2:38" x14ac:dyDescent="0.2">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c r="AA403" s="29"/>
      <c r="AB403" s="29"/>
      <c r="AC403" s="29"/>
      <c r="AD403" s="29"/>
      <c r="AE403" s="29"/>
      <c r="AF403" s="29"/>
      <c r="AG403" s="29"/>
      <c r="AH403" s="29"/>
      <c r="AI403" s="29"/>
      <c r="AJ403" s="29"/>
      <c r="AK403" s="29"/>
      <c r="AL403" s="29"/>
    </row>
    <row r="404" spans="2:38" x14ac:dyDescent="0.2">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c r="AA404" s="29"/>
      <c r="AB404" s="29"/>
      <c r="AC404" s="29"/>
      <c r="AD404" s="29"/>
      <c r="AE404" s="29"/>
      <c r="AF404" s="29"/>
      <c r="AG404" s="29"/>
      <c r="AH404" s="29"/>
      <c r="AI404" s="29"/>
      <c r="AJ404" s="29"/>
      <c r="AK404" s="29"/>
      <c r="AL404" s="29"/>
    </row>
    <row r="405" spans="2:38" x14ac:dyDescent="0.2">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c r="AA405" s="29"/>
      <c r="AB405" s="29"/>
      <c r="AC405" s="29"/>
      <c r="AD405" s="29"/>
      <c r="AE405" s="29"/>
      <c r="AF405" s="29"/>
      <c r="AG405" s="29"/>
      <c r="AH405" s="29"/>
      <c r="AI405" s="29"/>
      <c r="AJ405" s="29"/>
      <c r="AK405" s="29"/>
      <c r="AL405" s="29"/>
    </row>
    <row r="406" spans="2:38" x14ac:dyDescent="0.2">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c r="AA406" s="29"/>
      <c r="AB406" s="29"/>
      <c r="AC406" s="29"/>
      <c r="AD406" s="29"/>
      <c r="AE406" s="29"/>
      <c r="AF406" s="29"/>
      <c r="AG406" s="29"/>
      <c r="AH406" s="29"/>
      <c r="AI406" s="29"/>
      <c r="AJ406" s="29"/>
      <c r="AK406" s="29"/>
      <c r="AL406" s="29"/>
    </row>
    <row r="407" spans="2:38" x14ac:dyDescent="0.2">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c r="AA407" s="29"/>
      <c r="AB407" s="29"/>
      <c r="AC407" s="29"/>
      <c r="AD407" s="29"/>
      <c r="AE407" s="29"/>
      <c r="AF407" s="29"/>
      <c r="AG407" s="29"/>
      <c r="AH407" s="29"/>
      <c r="AI407" s="29"/>
      <c r="AJ407" s="29"/>
      <c r="AK407" s="29"/>
      <c r="AL407" s="29"/>
    </row>
    <row r="408" spans="2:38" x14ac:dyDescent="0.2">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c r="AA408" s="29"/>
      <c r="AB408" s="29"/>
      <c r="AC408" s="29"/>
      <c r="AD408" s="29"/>
      <c r="AE408" s="29"/>
      <c r="AF408" s="29"/>
      <c r="AG408" s="29"/>
      <c r="AH408" s="29"/>
      <c r="AI408" s="29"/>
      <c r="AJ408" s="29"/>
      <c r="AK408" s="29"/>
      <c r="AL408" s="29"/>
    </row>
    <row r="409" spans="2:38" x14ac:dyDescent="0.2">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c r="AA409" s="29"/>
      <c r="AB409" s="29"/>
      <c r="AC409" s="29"/>
      <c r="AD409" s="29"/>
      <c r="AE409" s="29"/>
      <c r="AF409" s="29"/>
      <c r="AG409" s="29"/>
      <c r="AH409" s="29"/>
      <c r="AI409" s="29"/>
      <c r="AJ409" s="29"/>
      <c r="AK409" s="29"/>
      <c r="AL409" s="29"/>
    </row>
    <row r="410" spans="2:38" x14ac:dyDescent="0.2">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c r="AA410" s="29"/>
      <c r="AB410" s="29"/>
      <c r="AC410" s="29"/>
      <c r="AD410" s="29"/>
      <c r="AE410" s="29"/>
      <c r="AF410" s="29"/>
      <c r="AG410" s="29"/>
      <c r="AH410" s="29"/>
      <c r="AI410" s="29"/>
      <c r="AJ410" s="29"/>
      <c r="AK410" s="29"/>
      <c r="AL410" s="29"/>
    </row>
    <row r="411" spans="2:38" x14ac:dyDescent="0.2">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c r="AA411" s="29"/>
      <c r="AB411" s="29"/>
      <c r="AC411" s="29"/>
      <c r="AD411" s="29"/>
      <c r="AE411" s="29"/>
      <c r="AF411" s="29"/>
      <c r="AG411" s="29"/>
      <c r="AH411" s="29"/>
      <c r="AI411" s="29"/>
      <c r="AJ411" s="29"/>
      <c r="AK411" s="29"/>
      <c r="AL411" s="29"/>
    </row>
    <row r="412" spans="2:38" x14ac:dyDescent="0.2">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c r="AA412" s="29"/>
      <c r="AB412" s="29"/>
      <c r="AC412" s="29"/>
      <c r="AD412" s="29"/>
      <c r="AE412" s="29"/>
      <c r="AF412" s="29"/>
      <c r="AG412" s="29"/>
      <c r="AH412" s="29"/>
      <c r="AI412" s="29"/>
      <c r="AJ412" s="29"/>
      <c r="AK412" s="29"/>
      <c r="AL412" s="29"/>
    </row>
    <row r="413" spans="2:38" x14ac:dyDescent="0.2">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c r="AA413" s="29"/>
      <c r="AB413" s="29"/>
      <c r="AC413" s="29"/>
      <c r="AD413" s="29"/>
      <c r="AE413" s="29"/>
      <c r="AF413" s="29"/>
      <c r="AG413" s="29"/>
      <c r="AH413" s="29"/>
      <c r="AI413" s="29"/>
      <c r="AJ413" s="29"/>
      <c r="AK413" s="29"/>
      <c r="AL413" s="29"/>
    </row>
    <row r="414" spans="2:38" x14ac:dyDescent="0.2">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c r="AA414" s="29"/>
      <c r="AB414" s="29"/>
      <c r="AC414" s="29"/>
      <c r="AD414" s="29"/>
      <c r="AE414" s="29"/>
      <c r="AF414" s="29"/>
      <c r="AG414" s="29"/>
      <c r="AH414" s="29"/>
      <c r="AI414" s="29"/>
      <c r="AJ414" s="29"/>
      <c r="AK414" s="29"/>
      <c r="AL414" s="29"/>
    </row>
    <row r="415" spans="2:38" x14ac:dyDescent="0.2">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c r="AA415" s="29"/>
      <c r="AB415" s="29"/>
      <c r="AC415" s="29"/>
      <c r="AD415" s="29"/>
      <c r="AE415" s="29"/>
      <c r="AF415" s="29"/>
      <c r="AG415" s="29"/>
      <c r="AH415" s="29"/>
      <c r="AI415" s="29"/>
      <c r="AJ415" s="29"/>
      <c r="AK415" s="29"/>
      <c r="AL415" s="29"/>
    </row>
    <row r="416" spans="2:38" x14ac:dyDescent="0.2">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c r="AA416" s="29"/>
      <c r="AB416" s="29"/>
      <c r="AC416" s="29"/>
      <c r="AD416" s="29"/>
      <c r="AE416" s="29"/>
      <c r="AF416" s="29"/>
      <c r="AG416" s="29"/>
      <c r="AH416" s="29"/>
      <c r="AI416" s="29"/>
      <c r="AJ416" s="29"/>
      <c r="AK416" s="29"/>
      <c r="AL416" s="29"/>
    </row>
    <row r="417" spans="2:38" x14ac:dyDescent="0.2">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c r="AA417" s="29"/>
      <c r="AB417" s="29"/>
      <c r="AC417" s="29"/>
      <c r="AD417" s="29"/>
      <c r="AE417" s="29"/>
      <c r="AF417" s="29"/>
      <c r="AG417" s="29"/>
      <c r="AH417" s="29"/>
      <c r="AI417" s="29"/>
      <c r="AJ417" s="29"/>
      <c r="AK417" s="29"/>
      <c r="AL417" s="29"/>
    </row>
    <row r="418" spans="2:38" x14ac:dyDescent="0.2">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c r="AA418" s="29"/>
      <c r="AB418" s="29"/>
      <c r="AC418" s="29"/>
      <c r="AD418" s="29"/>
      <c r="AE418" s="29"/>
      <c r="AF418" s="29"/>
      <c r="AG418" s="29"/>
      <c r="AH418" s="29"/>
      <c r="AI418" s="29"/>
      <c r="AJ418" s="29"/>
      <c r="AK418" s="29"/>
      <c r="AL418" s="29"/>
    </row>
    <row r="419" spans="2:38" x14ac:dyDescent="0.2">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c r="AA419" s="29"/>
      <c r="AB419" s="29"/>
      <c r="AC419" s="29"/>
      <c r="AD419" s="29"/>
      <c r="AE419" s="29"/>
      <c r="AF419" s="29"/>
      <c r="AG419" s="29"/>
      <c r="AH419" s="29"/>
      <c r="AI419" s="29"/>
      <c r="AJ419" s="29"/>
      <c r="AK419" s="29"/>
      <c r="AL419" s="29"/>
    </row>
    <row r="420" spans="2:38" x14ac:dyDescent="0.2">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c r="AA420" s="29"/>
      <c r="AB420" s="29"/>
      <c r="AC420" s="29"/>
      <c r="AD420" s="29"/>
      <c r="AE420" s="29"/>
      <c r="AF420" s="29"/>
      <c r="AG420" s="29"/>
      <c r="AH420" s="29"/>
      <c r="AI420" s="29"/>
      <c r="AJ420" s="29"/>
      <c r="AK420" s="29"/>
      <c r="AL420" s="29"/>
    </row>
    <row r="421" spans="2:38" x14ac:dyDescent="0.2">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c r="AA421" s="29"/>
      <c r="AB421" s="29"/>
      <c r="AC421" s="29"/>
      <c r="AD421" s="29"/>
      <c r="AE421" s="29"/>
      <c r="AF421" s="29"/>
      <c r="AG421" s="29"/>
      <c r="AH421" s="29"/>
      <c r="AI421" s="29"/>
      <c r="AJ421" s="29"/>
      <c r="AK421" s="29"/>
      <c r="AL421" s="29"/>
    </row>
    <row r="422" spans="2:38" x14ac:dyDescent="0.2">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c r="AA422" s="29"/>
      <c r="AB422" s="29"/>
      <c r="AC422" s="29"/>
      <c r="AD422" s="29"/>
      <c r="AE422" s="29"/>
      <c r="AF422" s="29"/>
      <c r="AG422" s="29"/>
      <c r="AH422" s="29"/>
      <c r="AI422" s="29"/>
      <c r="AJ422" s="29"/>
      <c r="AK422" s="29"/>
      <c r="AL422" s="29"/>
    </row>
    <row r="423" spans="2:38" x14ac:dyDescent="0.2">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c r="AA423" s="29"/>
      <c r="AB423" s="29"/>
      <c r="AC423" s="29"/>
      <c r="AD423" s="29"/>
      <c r="AE423" s="29"/>
      <c r="AF423" s="29"/>
      <c r="AG423" s="29"/>
      <c r="AH423" s="29"/>
      <c r="AI423" s="29"/>
      <c r="AJ423" s="29"/>
      <c r="AK423" s="29"/>
      <c r="AL423" s="29"/>
    </row>
    <row r="424" spans="2:38" x14ac:dyDescent="0.2">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c r="AA424" s="29"/>
      <c r="AB424" s="29"/>
      <c r="AC424" s="29"/>
      <c r="AD424" s="29"/>
      <c r="AE424" s="29"/>
      <c r="AF424" s="29"/>
      <c r="AG424" s="29"/>
      <c r="AH424" s="29"/>
      <c r="AI424" s="29"/>
      <c r="AJ424" s="29"/>
      <c r="AK424" s="29"/>
      <c r="AL424" s="29"/>
    </row>
    <row r="425" spans="2:38" x14ac:dyDescent="0.2">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c r="AA425" s="29"/>
      <c r="AB425" s="29"/>
      <c r="AC425" s="29"/>
      <c r="AD425" s="29"/>
      <c r="AE425" s="29"/>
      <c r="AF425" s="29"/>
      <c r="AG425" s="29"/>
      <c r="AH425" s="29"/>
      <c r="AI425" s="29"/>
      <c r="AJ425" s="29"/>
      <c r="AK425" s="29"/>
      <c r="AL425" s="29"/>
    </row>
    <row r="426" spans="2:38" x14ac:dyDescent="0.2">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c r="AA426" s="29"/>
      <c r="AB426" s="29"/>
      <c r="AC426" s="29"/>
      <c r="AD426" s="29"/>
      <c r="AE426" s="29"/>
      <c r="AF426" s="29"/>
      <c r="AG426" s="29"/>
      <c r="AH426" s="29"/>
      <c r="AI426" s="29"/>
      <c r="AJ426" s="29"/>
      <c r="AK426" s="29"/>
      <c r="AL426" s="29"/>
    </row>
    <row r="427" spans="2:38" x14ac:dyDescent="0.2">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c r="AA427" s="29"/>
      <c r="AB427" s="29"/>
      <c r="AC427" s="29"/>
      <c r="AD427" s="29"/>
      <c r="AE427" s="29"/>
      <c r="AF427" s="29"/>
      <c r="AG427" s="29"/>
      <c r="AH427" s="29"/>
      <c r="AI427" s="29"/>
      <c r="AJ427" s="29"/>
      <c r="AK427" s="29"/>
      <c r="AL427" s="29"/>
    </row>
    <row r="428" spans="2:38" x14ac:dyDescent="0.2">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c r="AA428" s="29"/>
      <c r="AB428" s="29"/>
      <c r="AC428" s="29"/>
      <c r="AD428" s="29"/>
      <c r="AE428" s="29"/>
      <c r="AF428" s="29"/>
      <c r="AG428" s="29"/>
      <c r="AH428" s="29"/>
      <c r="AI428" s="29"/>
      <c r="AJ428" s="29"/>
      <c r="AK428" s="29"/>
      <c r="AL428" s="29"/>
    </row>
    <row r="429" spans="2:38" x14ac:dyDescent="0.2">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c r="AA429" s="29"/>
      <c r="AB429" s="29"/>
      <c r="AC429" s="29"/>
      <c r="AD429" s="29"/>
      <c r="AE429" s="29"/>
      <c r="AF429" s="29"/>
      <c r="AG429" s="29"/>
      <c r="AH429" s="29"/>
      <c r="AI429" s="29"/>
      <c r="AJ429" s="29"/>
      <c r="AK429" s="29"/>
      <c r="AL429" s="29"/>
    </row>
    <row r="430" spans="2:38" x14ac:dyDescent="0.2">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c r="AA430" s="29"/>
      <c r="AB430" s="29"/>
      <c r="AC430" s="29"/>
      <c r="AD430" s="29"/>
      <c r="AE430" s="29"/>
      <c r="AF430" s="29"/>
      <c r="AG430" s="29"/>
      <c r="AH430" s="29"/>
      <c r="AI430" s="29"/>
      <c r="AJ430" s="29"/>
      <c r="AK430" s="29"/>
      <c r="AL430" s="29"/>
    </row>
    <row r="431" spans="2:38" x14ac:dyDescent="0.2">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c r="AA431" s="29"/>
      <c r="AB431" s="29"/>
      <c r="AC431" s="29"/>
      <c r="AD431" s="29"/>
      <c r="AE431" s="29"/>
      <c r="AF431" s="29"/>
      <c r="AG431" s="29"/>
      <c r="AH431" s="29"/>
      <c r="AI431" s="29"/>
      <c r="AJ431" s="29"/>
      <c r="AK431" s="29"/>
      <c r="AL431" s="29"/>
    </row>
    <row r="432" spans="2:38" x14ac:dyDescent="0.2">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c r="AA432" s="29"/>
      <c r="AB432" s="29"/>
      <c r="AC432" s="29"/>
      <c r="AD432" s="29"/>
      <c r="AE432" s="29"/>
      <c r="AF432" s="29"/>
      <c r="AG432" s="29"/>
      <c r="AH432" s="29"/>
      <c r="AI432" s="29"/>
      <c r="AJ432" s="29"/>
      <c r="AK432" s="29"/>
      <c r="AL432" s="29"/>
    </row>
    <row r="433" spans="2:38" x14ac:dyDescent="0.2">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c r="AA433" s="29"/>
      <c r="AB433" s="29"/>
      <c r="AC433" s="29"/>
      <c r="AD433" s="29"/>
      <c r="AE433" s="29"/>
      <c r="AF433" s="29"/>
      <c r="AG433" s="29"/>
      <c r="AH433" s="29"/>
      <c r="AI433" s="29"/>
      <c r="AJ433" s="29"/>
      <c r="AK433" s="29"/>
      <c r="AL433" s="29"/>
    </row>
    <row r="434" spans="2:38" x14ac:dyDescent="0.2">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c r="AA434" s="29"/>
      <c r="AB434" s="29"/>
      <c r="AC434" s="29"/>
      <c r="AD434" s="29"/>
      <c r="AE434" s="29"/>
      <c r="AF434" s="29"/>
      <c r="AG434" s="29"/>
      <c r="AH434" s="29"/>
      <c r="AI434" s="29"/>
      <c r="AJ434" s="29"/>
      <c r="AK434" s="29"/>
      <c r="AL434" s="29"/>
    </row>
    <row r="435" spans="2:38" x14ac:dyDescent="0.2">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c r="AA435" s="29"/>
      <c r="AB435" s="29"/>
      <c r="AC435" s="29"/>
      <c r="AD435" s="29"/>
      <c r="AE435" s="29"/>
      <c r="AF435" s="29"/>
      <c r="AG435" s="29"/>
      <c r="AH435" s="29"/>
      <c r="AI435" s="29"/>
      <c r="AJ435" s="29"/>
      <c r="AK435" s="29"/>
      <c r="AL435" s="29"/>
    </row>
    <row r="436" spans="2:38" x14ac:dyDescent="0.2">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c r="AA436" s="29"/>
      <c r="AB436" s="29"/>
      <c r="AC436" s="29"/>
      <c r="AD436" s="29"/>
      <c r="AE436" s="29"/>
      <c r="AF436" s="29"/>
      <c r="AG436" s="29"/>
      <c r="AH436" s="29"/>
      <c r="AI436" s="29"/>
      <c r="AJ436" s="29"/>
      <c r="AK436" s="29"/>
      <c r="AL436" s="29"/>
    </row>
    <row r="437" spans="2:38" x14ac:dyDescent="0.2">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c r="AA437" s="29"/>
      <c r="AB437" s="29"/>
      <c r="AC437" s="29"/>
      <c r="AD437" s="29"/>
      <c r="AE437" s="29"/>
      <c r="AF437" s="29"/>
      <c r="AG437" s="29"/>
      <c r="AH437" s="29"/>
      <c r="AI437" s="29"/>
      <c r="AJ437" s="29"/>
      <c r="AK437" s="29"/>
      <c r="AL437" s="29"/>
    </row>
    <row r="438" spans="2:38" x14ac:dyDescent="0.2">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c r="AA438" s="29"/>
      <c r="AB438" s="29"/>
      <c r="AC438" s="29"/>
      <c r="AD438" s="29"/>
      <c r="AE438" s="29"/>
      <c r="AF438" s="29"/>
      <c r="AG438" s="29"/>
      <c r="AH438" s="29"/>
      <c r="AI438" s="29"/>
      <c r="AJ438" s="29"/>
      <c r="AK438" s="29"/>
      <c r="AL438" s="29"/>
    </row>
    <row r="439" spans="2:38" x14ac:dyDescent="0.2">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c r="AA439" s="29"/>
      <c r="AB439" s="29"/>
      <c r="AC439" s="29"/>
      <c r="AD439" s="29"/>
      <c r="AE439" s="29"/>
      <c r="AF439" s="29"/>
      <c r="AG439" s="29"/>
      <c r="AH439" s="29"/>
      <c r="AI439" s="29"/>
      <c r="AJ439" s="29"/>
      <c r="AK439" s="29"/>
      <c r="AL439" s="29"/>
    </row>
    <row r="440" spans="2:38" x14ac:dyDescent="0.2">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c r="AA440" s="29"/>
      <c r="AB440" s="29"/>
      <c r="AC440" s="29"/>
      <c r="AD440" s="29"/>
      <c r="AE440" s="29"/>
      <c r="AF440" s="29"/>
      <c r="AG440" s="29"/>
      <c r="AH440" s="29"/>
      <c r="AI440" s="29"/>
      <c r="AJ440" s="29"/>
      <c r="AK440" s="29"/>
      <c r="AL440" s="29"/>
    </row>
    <row r="441" spans="2:38" x14ac:dyDescent="0.2">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c r="AA441" s="29"/>
      <c r="AB441" s="29"/>
      <c r="AC441" s="29"/>
      <c r="AD441" s="29"/>
      <c r="AE441" s="29"/>
      <c r="AF441" s="29"/>
      <c r="AG441" s="29"/>
      <c r="AH441" s="29"/>
      <c r="AI441" s="29"/>
      <c r="AJ441" s="29"/>
      <c r="AK441" s="29"/>
      <c r="AL441" s="29"/>
    </row>
    <row r="442" spans="2:38" x14ac:dyDescent="0.2">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c r="AA442" s="29"/>
      <c r="AB442" s="29"/>
      <c r="AC442" s="29"/>
      <c r="AD442" s="29"/>
      <c r="AE442" s="29"/>
      <c r="AF442" s="29"/>
      <c r="AG442" s="29"/>
      <c r="AH442" s="29"/>
      <c r="AI442" s="29"/>
      <c r="AJ442" s="29"/>
      <c r="AK442" s="29"/>
      <c r="AL442" s="29"/>
    </row>
    <row r="443" spans="2:38" x14ac:dyDescent="0.2">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c r="AA443" s="29"/>
      <c r="AB443" s="29"/>
      <c r="AC443" s="29"/>
      <c r="AD443" s="29"/>
      <c r="AE443" s="29"/>
      <c r="AF443" s="29"/>
      <c r="AG443" s="29"/>
      <c r="AH443" s="29"/>
      <c r="AI443" s="29"/>
      <c r="AJ443" s="29"/>
      <c r="AK443" s="29"/>
      <c r="AL443" s="29"/>
    </row>
    <row r="444" spans="2:38" x14ac:dyDescent="0.2">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c r="AA444" s="29"/>
      <c r="AB444" s="29"/>
      <c r="AC444" s="29"/>
      <c r="AD444" s="29"/>
      <c r="AE444" s="29"/>
      <c r="AF444" s="29"/>
      <c r="AG444" s="29"/>
      <c r="AH444" s="29"/>
      <c r="AI444" s="29"/>
      <c r="AJ444" s="29"/>
      <c r="AK444" s="29"/>
      <c r="AL444" s="29"/>
    </row>
    <row r="445" spans="2:38" x14ac:dyDescent="0.2">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c r="AA445" s="29"/>
      <c r="AB445" s="29"/>
      <c r="AC445" s="29"/>
      <c r="AD445" s="29"/>
      <c r="AE445" s="29"/>
      <c r="AF445" s="29"/>
      <c r="AG445" s="29"/>
      <c r="AH445" s="29"/>
      <c r="AI445" s="29"/>
      <c r="AJ445" s="29"/>
      <c r="AK445" s="29"/>
      <c r="AL445" s="29"/>
    </row>
    <row r="446" spans="2:38" x14ac:dyDescent="0.2">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c r="AA446" s="29"/>
      <c r="AB446" s="29"/>
      <c r="AC446" s="29"/>
      <c r="AD446" s="29"/>
      <c r="AE446" s="29"/>
      <c r="AF446" s="29"/>
      <c r="AG446" s="29"/>
      <c r="AH446" s="29"/>
      <c r="AI446" s="29"/>
      <c r="AJ446" s="29"/>
      <c r="AK446" s="29"/>
      <c r="AL446" s="29"/>
    </row>
    <row r="447" spans="2:38" x14ac:dyDescent="0.2">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c r="AA447" s="29"/>
      <c r="AB447" s="29"/>
      <c r="AC447" s="29"/>
      <c r="AD447" s="29"/>
      <c r="AE447" s="29"/>
      <c r="AF447" s="29"/>
      <c r="AG447" s="29"/>
      <c r="AH447" s="29"/>
      <c r="AI447" s="29"/>
      <c r="AJ447" s="29"/>
      <c r="AK447" s="29"/>
      <c r="AL447" s="29"/>
    </row>
    <row r="448" spans="2:38" x14ac:dyDescent="0.2">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c r="AA448" s="29"/>
      <c r="AB448" s="29"/>
      <c r="AC448" s="29"/>
      <c r="AD448" s="29"/>
      <c r="AE448" s="29"/>
      <c r="AF448" s="29"/>
      <c r="AG448" s="29"/>
      <c r="AH448" s="29"/>
      <c r="AI448" s="29"/>
      <c r="AJ448" s="29"/>
      <c r="AK448" s="29"/>
      <c r="AL448" s="29"/>
    </row>
    <row r="449" spans="2:38" x14ac:dyDescent="0.2">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c r="AA449" s="29"/>
      <c r="AB449" s="29"/>
      <c r="AC449" s="29"/>
      <c r="AD449" s="29"/>
      <c r="AE449" s="29"/>
      <c r="AF449" s="29"/>
      <c r="AG449" s="29"/>
      <c r="AH449" s="29"/>
      <c r="AI449" s="29"/>
      <c r="AJ449" s="29"/>
      <c r="AK449" s="29"/>
      <c r="AL449" s="29"/>
    </row>
    <row r="450" spans="2:38" x14ac:dyDescent="0.2">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c r="AA450" s="29"/>
      <c r="AB450" s="29"/>
      <c r="AC450" s="29"/>
      <c r="AD450" s="29"/>
      <c r="AE450" s="29"/>
      <c r="AF450" s="29"/>
      <c r="AG450" s="29"/>
      <c r="AH450" s="29"/>
      <c r="AI450" s="29"/>
      <c r="AJ450" s="29"/>
      <c r="AK450" s="29"/>
      <c r="AL450" s="29"/>
    </row>
    <row r="451" spans="2:38" x14ac:dyDescent="0.2">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c r="AA451" s="29"/>
      <c r="AB451" s="29"/>
      <c r="AC451" s="29"/>
      <c r="AD451" s="29"/>
      <c r="AE451" s="29"/>
      <c r="AF451" s="29"/>
      <c r="AG451" s="29"/>
      <c r="AH451" s="29"/>
      <c r="AI451" s="29"/>
      <c r="AJ451" s="29"/>
      <c r="AK451" s="29"/>
      <c r="AL451" s="29"/>
    </row>
    <row r="452" spans="2:38" x14ac:dyDescent="0.2">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c r="AA452" s="29"/>
      <c r="AB452" s="29"/>
      <c r="AC452" s="29"/>
      <c r="AD452" s="29"/>
      <c r="AE452" s="29"/>
      <c r="AF452" s="29"/>
      <c r="AG452" s="29"/>
      <c r="AH452" s="29"/>
      <c r="AI452" s="29"/>
      <c r="AJ452" s="29"/>
      <c r="AK452" s="29"/>
      <c r="AL452" s="29"/>
    </row>
    <row r="453" spans="2:38" x14ac:dyDescent="0.2">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c r="AA453" s="29"/>
      <c r="AB453" s="29"/>
      <c r="AC453" s="29"/>
      <c r="AD453" s="29"/>
      <c r="AE453" s="29"/>
      <c r="AF453" s="29"/>
      <c r="AG453" s="29"/>
      <c r="AH453" s="29"/>
      <c r="AI453" s="29"/>
      <c r="AJ453" s="29"/>
      <c r="AK453" s="29"/>
      <c r="AL453" s="29"/>
    </row>
    <row r="454" spans="2:38" x14ac:dyDescent="0.2">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c r="AA454" s="29"/>
      <c r="AB454" s="29"/>
      <c r="AC454" s="29"/>
      <c r="AD454" s="29"/>
      <c r="AE454" s="29"/>
      <c r="AF454" s="29"/>
      <c r="AG454" s="29"/>
      <c r="AH454" s="29"/>
      <c r="AI454" s="29"/>
      <c r="AJ454" s="29"/>
      <c r="AK454" s="29"/>
      <c r="AL454" s="29"/>
    </row>
    <row r="455" spans="2:38" x14ac:dyDescent="0.2">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c r="AA455" s="29"/>
      <c r="AB455" s="29"/>
      <c r="AC455" s="29"/>
      <c r="AD455" s="29"/>
      <c r="AE455" s="29"/>
      <c r="AF455" s="29"/>
      <c r="AG455" s="29"/>
      <c r="AH455" s="29"/>
      <c r="AI455" s="29"/>
      <c r="AJ455" s="29"/>
      <c r="AK455" s="29"/>
      <c r="AL455" s="29"/>
    </row>
    <row r="456" spans="2:38" x14ac:dyDescent="0.2">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c r="AA456" s="29"/>
      <c r="AB456" s="29"/>
      <c r="AC456" s="29"/>
      <c r="AD456" s="29"/>
      <c r="AE456" s="29"/>
      <c r="AF456" s="29"/>
      <c r="AG456" s="29"/>
      <c r="AH456" s="29"/>
      <c r="AI456" s="29"/>
      <c r="AJ456" s="29"/>
      <c r="AK456" s="29"/>
      <c r="AL456" s="29"/>
    </row>
    <row r="457" spans="2:38" x14ac:dyDescent="0.2">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c r="AA457" s="29"/>
      <c r="AB457" s="29"/>
      <c r="AC457" s="29"/>
      <c r="AD457" s="29"/>
      <c r="AE457" s="29"/>
      <c r="AF457" s="29"/>
      <c r="AG457" s="29"/>
      <c r="AH457" s="29"/>
      <c r="AI457" s="29"/>
      <c r="AJ457" s="29"/>
      <c r="AK457" s="29"/>
      <c r="AL457" s="29"/>
    </row>
    <row r="458" spans="2:38" x14ac:dyDescent="0.2">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c r="AA458" s="29"/>
      <c r="AB458" s="29"/>
      <c r="AC458" s="29"/>
      <c r="AD458" s="29"/>
      <c r="AE458" s="29"/>
      <c r="AF458" s="29"/>
      <c r="AG458" s="29"/>
      <c r="AH458" s="29"/>
      <c r="AI458" s="29"/>
      <c r="AJ458" s="29"/>
      <c r="AK458" s="29"/>
      <c r="AL458" s="29"/>
    </row>
    <row r="459" spans="2:38" x14ac:dyDescent="0.2">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c r="AA459" s="29"/>
      <c r="AB459" s="29"/>
      <c r="AC459" s="29"/>
      <c r="AD459" s="29"/>
      <c r="AE459" s="29"/>
      <c r="AF459" s="29"/>
      <c r="AG459" s="29"/>
      <c r="AH459" s="29"/>
      <c r="AI459" s="29"/>
      <c r="AJ459" s="29"/>
      <c r="AK459" s="29"/>
      <c r="AL459" s="29"/>
    </row>
    <row r="460" spans="2:38" x14ac:dyDescent="0.2">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c r="AA460" s="29"/>
      <c r="AB460" s="29"/>
      <c r="AC460" s="29"/>
      <c r="AD460" s="29"/>
      <c r="AE460" s="29"/>
      <c r="AF460" s="29"/>
      <c r="AG460" s="29"/>
      <c r="AH460" s="29"/>
      <c r="AI460" s="29"/>
      <c r="AJ460" s="29"/>
      <c r="AK460" s="29"/>
      <c r="AL460" s="29"/>
    </row>
    <row r="461" spans="2:38" x14ac:dyDescent="0.2">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c r="AA461" s="29"/>
      <c r="AB461" s="29"/>
      <c r="AC461" s="29"/>
      <c r="AD461" s="29"/>
      <c r="AE461" s="29"/>
      <c r="AF461" s="29"/>
      <c r="AG461" s="29"/>
      <c r="AH461" s="29"/>
      <c r="AI461" s="29"/>
      <c r="AJ461" s="29"/>
      <c r="AK461" s="29"/>
      <c r="AL461" s="29"/>
    </row>
    <row r="462" spans="2:38" x14ac:dyDescent="0.2">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c r="AA462" s="29"/>
      <c r="AB462" s="29"/>
      <c r="AC462" s="29"/>
      <c r="AD462" s="29"/>
      <c r="AE462" s="29"/>
      <c r="AF462" s="29"/>
      <c r="AG462" s="29"/>
      <c r="AH462" s="29"/>
      <c r="AI462" s="29"/>
      <c r="AJ462" s="29"/>
      <c r="AK462" s="29"/>
      <c r="AL462" s="29"/>
    </row>
    <row r="463" spans="2:38" x14ac:dyDescent="0.2">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c r="AA463" s="29"/>
      <c r="AB463" s="29"/>
      <c r="AC463" s="29"/>
      <c r="AD463" s="29"/>
      <c r="AE463" s="29"/>
      <c r="AF463" s="29"/>
      <c r="AG463" s="29"/>
      <c r="AH463" s="29"/>
      <c r="AI463" s="29"/>
      <c r="AJ463" s="29"/>
      <c r="AK463" s="29"/>
      <c r="AL463" s="29"/>
    </row>
    <row r="464" spans="2:38" x14ac:dyDescent="0.2">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c r="AA464" s="29"/>
      <c r="AB464" s="29"/>
      <c r="AC464" s="29"/>
      <c r="AD464" s="29"/>
      <c r="AE464" s="29"/>
      <c r="AF464" s="29"/>
      <c r="AG464" s="29"/>
      <c r="AH464" s="29"/>
      <c r="AI464" s="29"/>
      <c r="AJ464" s="29"/>
      <c r="AK464" s="29"/>
      <c r="AL464" s="29"/>
    </row>
    <row r="465" spans="2:38" x14ac:dyDescent="0.2">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c r="AA465" s="29"/>
      <c r="AB465" s="29"/>
      <c r="AC465" s="29"/>
      <c r="AD465" s="29"/>
      <c r="AE465" s="29"/>
      <c r="AF465" s="29"/>
      <c r="AG465" s="29"/>
      <c r="AH465" s="29"/>
      <c r="AI465" s="29"/>
      <c r="AJ465" s="29"/>
      <c r="AK465" s="29"/>
      <c r="AL465" s="29"/>
    </row>
    <row r="466" spans="2:38" x14ac:dyDescent="0.2">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c r="AA466" s="29"/>
      <c r="AB466" s="29"/>
      <c r="AC466" s="29"/>
      <c r="AD466" s="29"/>
      <c r="AE466" s="29"/>
      <c r="AF466" s="29"/>
      <c r="AG466" s="29"/>
      <c r="AH466" s="29"/>
      <c r="AI466" s="29"/>
      <c r="AJ466" s="29"/>
      <c r="AK466" s="29"/>
      <c r="AL466" s="29"/>
    </row>
    <row r="467" spans="2:38" x14ac:dyDescent="0.2">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c r="AA467" s="29"/>
      <c r="AB467" s="29"/>
      <c r="AC467" s="29"/>
      <c r="AD467" s="29"/>
      <c r="AE467" s="29"/>
      <c r="AF467" s="29"/>
      <c r="AG467" s="29"/>
      <c r="AH467" s="29"/>
      <c r="AI467" s="29"/>
      <c r="AJ467" s="29"/>
      <c r="AK467" s="29"/>
      <c r="AL467" s="29"/>
    </row>
    <row r="468" spans="2:38" x14ac:dyDescent="0.2">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c r="AA468" s="29"/>
      <c r="AB468" s="29"/>
      <c r="AC468" s="29"/>
      <c r="AD468" s="29"/>
      <c r="AE468" s="29"/>
      <c r="AF468" s="29"/>
      <c r="AG468" s="29"/>
      <c r="AH468" s="29"/>
      <c r="AI468" s="29"/>
      <c r="AJ468" s="29"/>
      <c r="AK468" s="29"/>
      <c r="AL468" s="29"/>
    </row>
    <row r="469" spans="2:38" x14ac:dyDescent="0.2">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c r="AA469" s="29"/>
      <c r="AB469" s="29"/>
      <c r="AC469" s="29"/>
      <c r="AD469" s="29"/>
      <c r="AE469" s="29"/>
      <c r="AF469" s="29"/>
      <c r="AG469" s="29"/>
      <c r="AH469" s="29"/>
      <c r="AI469" s="29"/>
      <c r="AJ469" s="29"/>
      <c r="AK469" s="29"/>
      <c r="AL469" s="29"/>
    </row>
    <row r="470" spans="2:38" x14ac:dyDescent="0.2">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c r="AA470" s="29"/>
      <c r="AB470" s="29"/>
      <c r="AC470" s="29"/>
      <c r="AD470" s="29"/>
      <c r="AE470" s="29"/>
      <c r="AF470" s="29"/>
      <c r="AG470" s="29"/>
      <c r="AH470" s="29"/>
      <c r="AI470" s="29"/>
      <c r="AJ470" s="29"/>
      <c r="AK470" s="29"/>
      <c r="AL470" s="29"/>
    </row>
    <row r="471" spans="2:38" x14ac:dyDescent="0.2">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c r="AA471" s="29"/>
      <c r="AB471" s="29"/>
      <c r="AC471" s="29"/>
      <c r="AD471" s="29"/>
      <c r="AE471" s="29"/>
      <c r="AF471" s="29"/>
      <c r="AG471" s="29"/>
      <c r="AH471" s="29"/>
      <c r="AI471" s="29"/>
      <c r="AJ471" s="29"/>
      <c r="AK471" s="29"/>
      <c r="AL471" s="29"/>
    </row>
    <row r="472" spans="2:38" x14ac:dyDescent="0.2">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c r="AA472" s="29"/>
      <c r="AB472" s="29"/>
      <c r="AC472" s="29"/>
      <c r="AD472" s="29"/>
      <c r="AE472" s="29"/>
      <c r="AF472" s="29"/>
      <c r="AG472" s="29"/>
      <c r="AH472" s="29"/>
      <c r="AI472" s="29"/>
      <c r="AJ472" s="29"/>
      <c r="AK472" s="29"/>
      <c r="AL472" s="29"/>
    </row>
    <row r="473" spans="2:38" x14ac:dyDescent="0.2">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c r="AA473" s="29"/>
      <c r="AB473" s="29"/>
      <c r="AC473" s="29"/>
      <c r="AD473" s="29"/>
      <c r="AE473" s="29"/>
      <c r="AF473" s="29"/>
      <c r="AG473" s="29"/>
      <c r="AH473" s="29"/>
      <c r="AI473" s="29"/>
      <c r="AJ473" s="29"/>
      <c r="AK473" s="29"/>
      <c r="AL473" s="29"/>
    </row>
    <row r="474" spans="2:38" x14ac:dyDescent="0.2">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c r="AA474" s="29"/>
      <c r="AB474" s="29"/>
      <c r="AC474" s="29"/>
      <c r="AD474" s="29"/>
      <c r="AE474" s="29"/>
      <c r="AF474" s="29"/>
      <c r="AG474" s="29"/>
      <c r="AH474" s="29"/>
      <c r="AI474" s="29"/>
      <c r="AJ474" s="29"/>
      <c r="AK474" s="29"/>
      <c r="AL474" s="29"/>
    </row>
    <row r="475" spans="2:38" x14ac:dyDescent="0.2">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c r="AA475" s="29"/>
      <c r="AB475" s="29"/>
      <c r="AC475" s="29"/>
      <c r="AD475" s="29"/>
      <c r="AE475" s="29"/>
      <c r="AF475" s="29"/>
      <c r="AG475" s="29"/>
      <c r="AH475" s="29"/>
      <c r="AI475" s="29"/>
      <c r="AJ475" s="29"/>
      <c r="AK475" s="29"/>
      <c r="AL475" s="29"/>
    </row>
    <row r="476" spans="2:38" x14ac:dyDescent="0.2">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c r="AA476" s="29"/>
      <c r="AB476" s="29"/>
      <c r="AC476" s="29"/>
      <c r="AD476" s="29"/>
      <c r="AE476" s="29"/>
      <c r="AF476" s="29"/>
      <c r="AG476" s="29"/>
      <c r="AH476" s="29"/>
      <c r="AI476" s="29"/>
      <c r="AJ476" s="29"/>
      <c r="AK476" s="29"/>
      <c r="AL476" s="29"/>
    </row>
    <row r="477" spans="2:38" x14ac:dyDescent="0.2">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c r="AA477" s="29"/>
      <c r="AB477" s="29"/>
      <c r="AC477" s="29"/>
      <c r="AD477" s="29"/>
      <c r="AE477" s="29"/>
      <c r="AF477" s="29"/>
      <c r="AG477" s="29"/>
      <c r="AH477" s="29"/>
      <c r="AI477" s="29"/>
      <c r="AJ477" s="29"/>
      <c r="AK477" s="29"/>
      <c r="AL477" s="29"/>
    </row>
    <row r="478" spans="2:38" x14ac:dyDescent="0.2">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c r="AA478" s="29"/>
      <c r="AB478" s="29"/>
      <c r="AC478" s="29"/>
      <c r="AD478" s="29"/>
      <c r="AE478" s="29"/>
      <c r="AF478" s="29"/>
      <c r="AG478" s="29"/>
      <c r="AH478" s="29"/>
      <c r="AI478" s="29"/>
      <c r="AJ478" s="29"/>
      <c r="AK478" s="29"/>
      <c r="AL478" s="29"/>
    </row>
    <row r="479" spans="2:38" x14ac:dyDescent="0.2">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c r="AA479" s="29"/>
      <c r="AB479" s="29"/>
      <c r="AC479" s="29"/>
      <c r="AD479" s="29"/>
      <c r="AE479" s="29"/>
      <c r="AF479" s="29"/>
      <c r="AG479" s="29"/>
      <c r="AH479" s="29"/>
      <c r="AI479" s="29"/>
      <c r="AJ479" s="29"/>
      <c r="AK479" s="29"/>
      <c r="AL479" s="29"/>
    </row>
    <row r="480" spans="2:38" x14ac:dyDescent="0.2">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c r="AA480" s="29"/>
      <c r="AB480" s="29"/>
      <c r="AC480" s="29"/>
      <c r="AD480" s="29"/>
      <c r="AE480" s="29"/>
      <c r="AF480" s="29"/>
      <c r="AG480" s="29"/>
      <c r="AH480" s="29"/>
      <c r="AI480" s="29"/>
      <c r="AJ480" s="29"/>
      <c r="AK480" s="29"/>
      <c r="AL480" s="29"/>
    </row>
    <row r="481" spans="2:38" x14ac:dyDescent="0.2">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c r="AA481" s="29"/>
      <c r="AB481" s="29"/>
      <c r="AC481" s="29"/>
      <c r="AD481" s="29"/>
      <c r="AE481" s="29"/>
      <c r="AF481" s="29"/>
      <c r="AG481" s="29"/>
      <c r="AH481" s="29"/>
      <c r="AI481" s="29"/>
      <c r="AJ481" s="29"/>
      <c r="AK481" s="29"/>
      <c r="AL481" s="29"/>
    </row>
    <row r="482" spans="2:38" x14ac:dyDescent="0.2">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c r="AA482" s="29"/>
      <c r="AB482" s="29"/>
      <c r="AC482" s="29"/>
      <c r="AD482" s="29"/>
      <c r="AE482" s="29"/>
      <c r="AF482" s="29"/>
      <c r="AG482" s="29"/>
      <c r="AH482" s="29"/>
      <c r="AI482" s="29"/>
      <c r="AJ482" s="29"/>
      <c r="AK482" s="29"/>
      <c r="AL482" s="29"/>
    </row>
    <row r="483" spans="2:38" x14ac:dyDescent="0.2">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c r="AA483" s="29"/>
      <c r="AB483" s="29"/>
      <c r="AC483" s="29"/>
      <c r="AD483" s="29"/>
      <c r="AE483" s="29"/>
      <c r="AF483" s="29"/>
      <c r="AG483" s="29"/>
      <c r="AH483" s="29"/>
      <c r="AI483" s="29"/>
      <c r="AJ483" s="29"/>
      <c r="AK483" s="29"/>
      <c r="AL483" s="29"/>
    </row>
    <row r="484" spans="2:38" x14ac:dyDescent="0.2">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c r="AA484" s="29"/>
      <c r="AB484" s="29"/>
      <c r="AC484" s="29"/>
      <c r="AD484" s="29"/>
      <c r="AE484" s="29"/>
      <c r="AF484" s="29"/>
      <c r="AG484" s="29"/>
      <c r="AH484" s="29"/>
      <c r="AI484" s="29"/>
      <c r="AJ484" s="29"/>
      <c r="AK484" s="29"/>
      <c r="AL484" s="29"/>
    </row>
    <row r="485" spans="2:38" x14ac:dyDescent="0.2">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c r="AA485" s="29"/>
      <c r="AB485" s="29"/>
      <c r="AC485" s="29"/>
      <c r="AD485" s="29"/>
      <c r="AE485" s="29"/>
      <c r="AF485" s="29"/>
      <c r="AG485" s="29"/>
      <c r="AH485" s="29"/>
      <c r="AI485" s="29"/>
      <c r="AJ485" s="29"/>
      <c r="AK485" s="29"/>
      <c r="AL485" s="29"/>
    </row>
    <row r="486" spans="2:38" x14ac:dyDescent="0.2">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c r="AA486" s="29"/>
      <c r="AB486" s="29"/>
      <c r="AC486" s="29"/>
      <c r="AD486" s="29"/>
      <c r="AE486" s="29"/>
      <c r="AF486" s="29"/>
      <c r="AG486" s="29"/>
      <c r="AH486" s="29"/>
      <c r="AI486" s="29"/>
      <c r="AJ486" s="29"/>
      <c r="AK486" s="29"/>
      <c r="AL486" s="29"/>
    </row>
    <row r="487" spans="2:38" x14ac:dyDescent="0.2">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c r="AA487" s="29"/>
      <c r="AB487" s="29"/>
      <c r="AC487" s="29"/>
      <c r="AD487" s="29"/>
      <c r="AE487" s="29"/>
      <c r="AF487" s="29"/>
      <c r="AG487" s="29"/>
      <c r="AH487" s="29"/>
      <c r="AI487" s="29"/>
      <c r="AJ487" s="29"/>
      <c r="AK487" s="29"/>
      <c r="AL487" s="29"/>
    </row>
    <row r="488" spans="2:38" x14ac:dyDescent="0.2">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c r="AA488" s="29"/>
      <c r="AB488" s="29"/>
      <c r="AC488" s="29"/>
      <c r="AD488" s="29"/>
      <c r="AE488" s="29"/>
      <c r="AF488" s="29"/>
      <c r="AG488" s="29"/>
      <c r="AH488" s="29"/>
      <c r="AI488" s="29"/>
      <c r="AJ488" s="29"/>
      <c r="AK488" s="29"/>
      <c r="AL488" s="29"/>
    </row>
    <row r="489" spans="2:38" x14ac:dyDescent="0.2">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c r="AA489" s="29"/>
      <c r="AB489" s="29"/>
      <c r="AC489" s="29"/>
      <c r="AD489" s="29"/>
      <c r="AE489" s="29"/>
      <c r="AF489" s="29"/>
      <c r="AG489" s="29"/>
      <c r="AH489" s="29"/>
      <c r="AI489" s="29"/>
      <c r="AJ489" s="29"/>
      <c r="AK489" s="29"/>
      <c r="AL489" s="29"/>
    </row>
    <row r="490" spans="2:38" x14ac:dyDescent="0.2">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c r="AA490" s="29"/>
      <c r="AB490" s="29"/>
      <c r="AC490" s="29"/>
      <c r="AD490" s="29"/>
      <c r="AE490" s="29"/>
      <c r="AF490" s="29"/>
      <c r="AG490" s="29"/>
      <c r="AH490" s="29"/>
      <c r="AI490" s="29"/>
      <c r="AJ490" s="29"/>
      <c r="AK490" s="29"/>
      <c r="AL490" s="29"/>
    </row>
    <row r="491" spans="2:38" x14ac:dyDescent="0.2">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c r="AA491" s="29"/>
      <c r="AB491" s="29"/>
      <c r="AC491" s="29"/>
      <c r="AD491" s="29"/>
      <c r="AE491" s="29"/>
      <c r="AF491" s="29"/>
      <c r="AG491" s="29"/>
      <c r="AH491" s="29"/>
      <c r="AI491" s="29"/>
      <c r="AJ491" s="29"/>
      <c r="AK491" s="29"/>
      <c r="AL491" s="29"/>
    </row>
    <row r="492" spans="2:38" x14ac:dyDescent="0.2">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c r="AA492" s="29"/>
      <c r="AB492" s="29"/>
      <c r="AC492" s="29"/>
      <c r="AD492" s="29"/>
      <c r="AE492" s="29"/>
      <c r="AF492" s="29"/>
      <c r="AG492" s="29"/>
      <c r="AH492" s="29"/>
      <c r="AI492" s="29"/>
      <c r="AJ492" s="29"/>
      <c r="AK492" s="29"/>
      <c r="AL492" s="29"/>
    </row>
    <row r="493" spans="2:38" x14ac:dyDescent="0.2">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c r="AA493" s="29"/>
      <c r="AB493" s="29"/>
      <c r="AC493" s="29"/>
      <c r="AD493" s="29"/>
      <c r="AE493" s="29"/>
      <c r="AF493" s="29"/>
      <c r="AG493" s="29"/>
      <c r="AH493" s="29"/>
      <c r="AI493" s="29"/>
      <c r="AJ493" s="29"/>
      <c r="AK493" s="29"/>
      <c r="AL493" s="29"/>
    </row>
    <row r="494" spans="2:38" x14ac:dyDescent="0.2">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c r="AA494" s="29"/>
      <c r="AB494" s="29"/>
      <c r="AC494" s="29"/>
      <c r="AD494" s="29"/>
      <c r="AE494" s="29"/>
      <c r="AF494" s="29"/>
      <c r="AG494" s="29"/>
      <c r="AH494" s="29"/>
      <c r="AI494" s="29"/>
      <c r="AJ494" s="29"/>
      <c r="AK494" s="29"/>
      <c r="AL494" s="29"/>
    </row>
    <row r="495" spans="2:38" x14ac:dyDescent="0.2">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c r="AA495" s="29"/>
      <c r="AB495" s="29"/>
      <c r="AC495" s="29"/>
      <c r="AD495" s="29"/>
      <c r="AE495" s="29"/>
      <c r="AF495" s="29"/>
      <c r="AG495" s="29"/>
      <c r="AH495" s="29"/>
      <c r="AI495" s="29"/>
      <c r="AJ495" s="29"/>
      <c r="AK495" s="29"/>
      <c r="AL495" s="29"/>
    </row>
    <row r="496" spans="2:38" x14ac:dyDescent="0.2">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c r="AA496" s="29"/>
      <c r="AB496" s="29"/>
      <c r="AC496" s="29"/>
      <c r="AD496" s="29"/>
      <c r="AE496" s="29"/>
      <c r="AF496" s="29"/>
      <c r="AG496" s="29"/>
      <c r="AH496" s="29"/>
      <c r="AI496" s="29"/>
      <c r="AJ496" s="29"/>
      <c r="AK496" s="29"/>
      <c r="AL496" s="29"/>
    </row>
    <row r="497" spans="2:38" x14ac:dyDescent="0.2">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c r="AA497" s="29"/>
      <c r="AB497" s="29"/>
      <c r="AC497" s="29"/>
      <c r="AD497" s="29"/>
      <c r="AE497" s="29"/>
      <c r="AF497" s="29"/>
      <c r="AG497" s="29"/>
      <c r="AH497" s="29"/>
      <c r="AI497" s="29"/>
      <c r="AJ497" s="29"/>
      <c r="AK497" s="29"/>
      <c r="AL497" s="29"/>
    </row>
    <row r="498" spans="2:38" x14ac:dyDescent="0.2">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c r="AA498" s="29"/>
      <c r="AB498" s="29"/>
      <c r="AC498" s="29"/>
      <c r="AD498" s="29"/>
      <c r="AE498" s="29"/>
      <c r="AF498" s="29"/>
      <c r="AG498" s="29"/>
      <c r="AH498" s="29"/>
      <c r="AI498" s="29"/>
      <c r="AJ498" s="29"/>
      <c r="AK498" s="29"/>
      <c r="AL498" s="29"/>
    </row>
    <row r="499" spans="2:38" x14ac:dyDescent="0.2">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c r="AA499" s="29"/>
      <c r="AB499" s="29"/>
      <c r="AC499" s="29"/>
      <c r="AD499" s="29"/>
      <c r="AE499" s="29"/>
      <c r="AF499" s="29"/>
      <c r="AG499" s="29"/>
      <c r="AH499" s="29"/>
      <c r="AI499" s="29"/>
      <c r="AJ499" s="29"/>
      <c r="AK499" s="29"/>
      <c r="AL499" s="29"/>
    </row>
    <row r="500" spans="2:38" x14ac:dyDescent="0.2">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c r="AA500" s="29"/>
      <c r="AB500" s="29"/>
      <c r="AC500" s="29"/>
      <c r="AD500" s="29"/>
      <c r="AE500" s="29"/>
      <c r="AF500" s="29"/>
      <c r="AG500" s="29"/>
      <c r="AH500" s="29"/>
      <c r="AI500" s="29"/>
      <c r="AJ500" s="29"/>
      <c r="AK500" s="29"/>
      <c r="AL500" s="29"/>
    </row>
    <row r="501" spans="2:38" x14ac:dyDescent="0.2">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c r="AA501" s="29"/>
      <c r="AB501" s="29"/>
      <c r="AC501" s="29"/>
      <c r="AD501" s="29"/>
      <c r="AE501" s="29"/>
      <c r="AF501" s="29"/>
      <c r="AG501" s="29"/>
      <c r="AH501" s="29"/>
      <c r="AI501" s="29"/>
      <c r="AJ501" s="29"/>
      <c r="AK501" s="29"/>
      <c r="AL501" s="29"/>
    </row>
    <row r="502" spans="2:38" x14ac:dyDescent="0.2">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c r="AA502" s="29"/>
      <c r="AB502" s="29"/>
      <c r="AC502" s="29"/>
      <c r="AD502" s="29"/>
      <c r="AE502" s="29"/>
      <c r="AF502" s="29"/>
      <c r="AG502" s="29"/>
      <c r="AH502" s="29"/>
      <c r="AI502" s="29"/>
      <c r="AJ502" s="29"/>
      <c r="AK502" s="29"/>
      <c r="AL502" s="29"/>
    </row>
    <row r="503" spans="2:38" x14ac:dyDescent="0.2">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c r="AA503" s="29"/>
      <c r="AB503" s="29"/>
      <c r="AC503" s="29"/>
      <c r="AD503" s="29"/>
      <c r="AE503" s="29"/>
      <c r="AF503" s="29"/>
      <c r="AG503" s="29"/>
      <c r="AH503" s="29"/>
      <c r="AI503" s="29"/>
      <c r="AJ503" s="29"/>
      <c r="AK503" s="29"/>
      <c r="AL503" s="29"/>
    </row>
    <row r="504" spans="2:38" x14ac:dyDescent="0.2">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c r="AA504" s="29"/>
      <c r="AB504" s="29"/>
      <c r="AC504" s="29"/>
      <c r="AD504" s="29"/>
      <c r="AE504" s="29"/>
      <c r="AF504" s="29"/>
      <c r="AG504" s="29"/>
      <c r="AH504" s="29"/>
      <c r="AI504" s="29"/>
      <c r="AJ504" s="29"/>
      <c r="AK504" s="29"/>
      <c r="AL504" s="29"/>
    </row>
    <row r="505" spans="2:38" x14ac:dyDescent="0.2">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c r="AA505" s="29"/>
      <c r="AB505" s="29"/>
      <c r="AC505" s="29"/>
      <c r="AD505" s="29"/>
      <c r="AE505" s="29"/>
      <c r="AF505" s="29"/>
      <c r="AG505" s="29"/>
      <c r="AH505" s="29"/>
      <c r="AI505" s="29"/>
      <c r="AJ505" s="29"/>
      <c r="AK505" s="29"/>
      <c r="AL505" s="29"/>
    </row>
    <row r="506" spans="2:38" x14ac:dyDescent="0.2">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c r="AA506" s="29"/>
      <c r="AB506" s="29"/>
      <c r="AC506" s="29"/>
      <c r="AD506" s="29"/>
      <c r="AE506" s="29"/>
      <c r="AF506" s="29"/>
      <c r="AG506" s="29"/>
      <c r="AH506" s="29"/>
      <c r="AI506" s="29"/>
      <c r="AJ506" s="29"/>
      <c r="AK506" s="29"/>
      <c r="AL506" s="29"/>
    </row>
    <row r="507" spans="2:38" x14ac:dyDescent="0.2">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c r="AA507" s="29"/>
      <c r="AB507" s="29"/>
      <c r="AC507" s="29"/>
      <c r="AD507" s="29"/>
      <c r="AE507" s="29"/>
      <c r="AF507" s="29"/>
      <c r="AG507" s="29"/>
      <c r="AH507" s="29"/>
      <c r="AI507" s="29"/>
      <c r="AJ507" s="29"/>
      <c r="AK507" s="29"/>
      <c r="AL507" s="29"/>
    </row>
    <row r="508" spans="2:38" x14ac:dyDescent="0.2">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c r="AA508" s="29"/>
      <c r="AB508" s="29"/>
      <c r="AC508" s="29"/>
      <c r="AD508" s="29"/>
      <c r="AE508" s="29"/>
      <c r="AF508" s="29"/>
      <c r="AG508" s="29"/>
      <c r="AH508" s="29"/>
      <c r="AI508" s="29"/>
      <c r="AJ508" s="29"/>
      <c r="AK508" s="29"/>
      <c r="AL508" s="29"/>
    </row>
    <row r="509" spans="2:38" x14ac:dyDescent="0.2">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c r="AA509" s="29"/>
      <c r="AB509" s="29"/>
      <c r="AC509" s="29"/>
      <c r="AD509" s="29"/>
      <c r="AE509" s="29"/>
      <c r="AF509" s="29"/>
      <c r="AG509" s="29"/>
      <c r="AH509" s="29"/>
      <c r="AI509" s="29"/>
      <c r="AJ509" s="29"/>
      <c r="AK509" s="29"/>
      <c r="AL509" s="29"/>
    </row>
    <row r="510" spans="2:38" x14ac:dyDescent="0.2">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c r="AA510" s="29"/>
      <c r="AB510" s="29"/>
      <c r="AC510" s="29"/>
      <c r="AD510" s="29"/>
      <c r="AE510" s="29"/>
      <c r="AF510" s="29"/>
      <c r="AG510" s="29"/>
      <c r="AH510" s="29"/>
      <c r="AI510" s="29"/>
      <c r="AJ510" s="29"/>
      <c r="AK510" s="29"/>
      <c r="AL510" s="29"/>
    </row>
    <row r="511" spans="2:38" x14ac:dyDescent="0.2">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c r="AA511" s="29"/>
      <c r="AB511" s="29"/>
      <c r="AC511" s="29"/>
      <c r="AD511" s="29"/>
      <c r="AE511" s="29"/>
      <c r="AF511" s="29"/>
      <c r="AG511" s="29"/>
      <c r="AH511" s="29"/>
      <c r="AI511" s="29"/>
      <c r="AJ511" s="29"/>
      <c r="AK511" s="29"/>
      <c r="AL511" s="29"/>
    </row>
    <row r="512" spans="2:38" x14ac:dyDescent="0.2">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c r="AA512" s="29"/>
      <c r="AB512" s="29"/>
      <c r="AC512" s="29"/>
      <c r="AD512" s="29"/>
      <c r="AE512" s="29"/>
      <c r="AF512" s="29"/>
      <c r="AG512" s="29"/>
      <c r="AH512" s="29"/>
      <c r="AI512" s="29"/>
      <c r="AJ512" s="29"/>
      <c r="AK512" s="29"/>
      <c r="AL512" s="29"/>
    </row>
    <row r="513" spans="2:38" x14ac:dyDescent="0.2">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c r="AA513" s="29"/>
      <c r="AB513" s="29"/>
      <c r="AC513" s="29"/>
      <c r="AD513" s="29"/>
      <c r="AE513" s="29"/>
      <c r="AF513" s="29"/>
      <c r="AG513" s="29"/>
      <c r="AH513" s="29"/>
      <c r="AI513" s="29"/>
      <c r="AJ513" s="29"/>
      <c r="AK513" s="29"/>
      <c r="AL513" s="29"/>
    </row>
    <row r="514" spans="2:38" x14ac:dyDescent="0.2">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c r="AA514" s="29"/>
      <c r="AB514" s="29"/>
      <c r="AC514" s="29"/>
      <c r="AD514" s="29"/>
      <c r="AE514" s="29"/>
      <c r="AF514" s="29"/>
      <c r="AG514" s="29"/>
      <c r="AH514" s="29"/>
      <c r="AI514" s="29"/>
      <c r="AJ514" s="29"/>
      <c r="AK514" s="29"/>
      <c r="AL514" s="29"/>
    </row>
    <row r="515" spans="2:38" x14ac:dyDescent="0.2">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c r="AA515" s="29"/>
      <c r="AB515" s="29"/>
      <c r="AC515" s="29"/>
      <c r="AD515" s="29"/>
      <c r="AE515" s="29"/>
      <c r="AF515" s="29"/>
      <c r="AG515" s="29"/>
      <c r="AH515" s="29"/>
      <c r="AI515" s="29"/>
      <c r="AJ515" s="29"/>
      <c r="AK515" s="29"/>
      <c r="AL515" s="29"/>
    </row>
    <row r="516" spans="2:38" x14ac:dyDescent="0.2">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c r="AA516" s="29"/>
      <c r="AB516" s="29"/>
      <c r="AC516" s="29"/>
      <c r="AD516" s="29"/>
      <c r="AE516" s="29"/>
      <c r="AF516" s="29"/>
      <c r="AG516" s="29"/>
      <c r="AH516" s="29"/>
      <c r="AI516" s="29"/>
      <c r="AJ516" s="29"/>
      <c r="AK516" s="29"/>
      <c r="AL516" s="29"/>
    </row>
    <row r="517" spans="2:38" x14ac:dyDescent="0.2">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c r="AA517" s="29"/>
      <c r="AB517" s="29"/>
      <c r="AC517" s="29"/>
      <c r="AD517" s="29"/>
      <c r="AE517" s="29"/>
      <c r="AF517" s="29"/>
      <c r="AG517" s="29"/>
      <c r="AH517" s="29"/>
      <c r="AI517" s="29"/>
      <c r="AJ517" s="29"/>
      <c r="AK517" s="29"/>
      <c r="AL517" s="29"/>
    </row>
    <row r="518" spans="2:38" x14ac:dyDescent="0.2">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c r="AA518" s="29"/>
      <c r="AB518" s="29"/>
      <c r="AC518" s="29"/>
      <c r="AD518" s="29"/>
      <c r="AE518" s="29"/>
      <c r="AF518" s="29"/>
      <c r="AG518" s="29"/>
      <c r="AH518" s="29"/>
      <c r="AI518" s="29"/>
      <c r="AJ518" s="29"/>
      <c r="AK518" s="29"/>
      <c r="AL518" s="29"/>
    </row>
    <row r="519" spans="2:38" x14ac:dyDescent="0.2">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c r="AA519" s="29"/>
      <c r="AB519" s="29"/>
      <c r="AC519" s="29"/>
      <c r="AD519" s="29"/>
      <c r="AE519" s="29"/>
      <c r="AF519" s="29"/>
      <c r="AG519" s="29"/>
      <c r="AH519" s="29"/>
      <c r="AI519" s="29"/>
      <c r="AJ519" s="29"/>
      <c r="AK519" s="29"/>
      <c r="AL519" s="29"/>
    </row>
    <row r="520" spans="2:38" x14ac:dyDescent="0.2">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c r="AA520" s="29"/>
      <c r="AB520" s="29"/>
      <c r="AC520" s="29"/>
      <c r="AD520" s="29"/>
      <c r="AE520" s="29"/>
      <c r="AF520" s="29"/>
      <c r="AG520" s="29"/>
      <c r="AH520" s="29"/>
      <c r="AI520" s="29"/>
      <c r="AJ520" s="29"/>
      <c r="AK520" s="29"/>
      <c r="AL520" s="29"/>
    </row>
    <row r="521" spans="2:38" x14ac:dyDescent="0.2">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c r="AA521" s="29"/>
      <c r="AB521" s="29"/>
      <c r="AC521" s="29"/>
      <c r="AD521" s="29"/>
      <c r="AE521" s="29"/>
      <c r="AF521" s="29"/>
      <c r="AG521" s="29"/>
      <c r="AH521" s="29"/>
      <c r="AI521" s="29"/>
      <c r="AJ521" s="29"/>
      <c r="AK521" s="29"/>
      <c r="AL521" s="29"/>
    </row>
    <row r="522" spans="2:38" x14ac:dyDescent="0.2">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c r="AA522" s="29"/>
      <c r="AB522" s="29"/>
      <c r="AC522" s="29"/>
      <c r="AD522" s="29"/>
      <c r="AE522" s="29"/>
      <c r="AF522" s="29"/>
      <c r="AG522" s="29"/>
      <c r="AH522" s="29"/>
      <c r="AI522" s="29"/>
      <c r="AJ522" s="29"/>
      <c r="AK522" s="29"/>
      <c r="AL522" s="29"/>
    </row>
    <row r="523" spans="2:38" x14ac:dyDescent="0.2">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c r="AA523" s="29"/>
      <c r="AB523" s="29"/>
      <c r="AC523" s="29"/>
      <c r="AD523" s="29"/>
      <c r="AE523" s="29"/>
      <c r="AF523" s="29"/>
      <c r="AG523" s="29"/>
      <c r="AH523" s="29"/>
      <c r="AI523" s="29"/>
      <c r="AJ523" s="29"/>
      <c r="AK523" s="29"/>
      <c r="AL523" s="29"/>
    </row>
    <row r="524" spans="2:38" x14ac:dyDescent="0.2">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c r="AA524" s="29"/>
      <c r="AB524" s="29"/>
      <c r="AC524" s="29"/>
      <c r="AD524" s="29"/>
      <c r="AE524" s="29"/>
      <c r="AF524" s="29"/>
      <c r="AG524" s="29"/>
      <c r="AH524" s="29"/>
      <c r="AI524" s="29"/>
      <c r="AJ524" s="29"/>
      <c r="AK524" s="29"/>
      <c r="AL524" s="29"/>
    </row>
    <row r="525" spans="2:38" x14ac:dyDescent="0.2">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c r="AA525" s="29"/>
      <c r="AB525" s="29"/>
      <c r="AC525" s="29"/>
      <c r="AD525" s="29"/>
      <c r="AE525" s="29"/>
      <c r="AF525" s="29"/>
      <c r="AG525" s="29"/>
      <c r="AH525" s="29"/>
      <c r="AI525" s="29"/>
      <c r="AJ525" s="29"/>
      <c r="AK525" s="29"/>
      <c r="AL525" s="29"/>
    </row>
    <row r="526" spans="2:38" x14ac:dyDescent="0.2">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c r="AA526" s="29"/>
      <c r="AB526" s="29"/>
      <c r="AC526" s="29"/>
      <c r="AD526" s="29"/>
      <c r="AE526" s="29"/>
      <c r="AF526" s="29"/>
      <c r="AG526" s="29"/>
      <c r="AH526" s="29"/>
      <c r="AI526" s="29"/>
      <c r="AJ526" s="29"/>
      <c r="AK526" s="29"/>
      <c r="AL526" s="29"/>
    </row>
    <row r="527" spans="2:38" x14ac:dyDescent="0.2">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c r="AA527" s="29"/>
      <c r="AB527" s="29"/>
      <c r="AC527" s="29"/>
      <c r="AD527" s="29"/>
      <c r="AE527" s="29"/>
      <c r="AF527" s="29"/>
      <c r="AG527" s="29"/>
      <c r="AH527" s="29"/>
      <c r="AI527" s="29"/>
      <c r="AJ527" s="29"/>
      <c r="AK527" s="29"/>
      <c r="AL527" s="29"/>
    </row>
    <row r="528" spans="2:38" x14ac:dyDescent="0.2">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c r="AA528" s="29"/>
      <c r="AB528" s="29"/>
      <c r="AC528" s="29"/>
      <c r="AD528" s="29"/>
      <c r="AE528" s="29"/>
      <c r="AF528" s="29"/>
      <c r="AG528" s="29"/>
      <c r="AH528" s="29"/>
      <c r="AI528" s="29"/>
      <c r="AJ528" s="29"/>
      <c r="AK528" s="29"/>
      <c r="AL528" s="29"/>
    </row>
    <row r="529" spans="2:38" x14ac:dyDescent="0.2">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c r="AA529" s="29"/>
      <c r="AB529" s="29"/>
      <c r="AC529" s="29"/>
      <c r="AD529" s="29"/>
      <c r="AE529" s="29"/>
      <c r="AF529" s="29"/>
      <c r="AG529" s="29"/>
      <c r="AH529" s="29"/>
      <c r="AI529" s="29"/>
      <c r="AJ529" s="29"/>
      <c r="AK529" s="29"/>
      <c r="AL529" s="29"/>
    </row>
    <row r="530" spans="2:38" x14ac:dyDescent="0.2">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c r="AA530" s="29"/>
      <c r="AB530" s="29"/>
      <c r="AC530" s="29"/>
      <c r="AD530" s="29"/>
      <c r="AE530" s="29"/>
      <c r="AF530" s="29"/>
      <c r="AG530" s="29"/>
      <c r="AH530" s="29"/>
      <c r="AI530" s="29"/>
      <c r="AJ530" s="29"/>
      <c r="AK530" s="29"/>
      <c r="AL530" s="29"/>
    </row>
    <row r="531" spans="2:38" x14ac:dyDescent="0.2">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c r="AA531" s="29"/>
      <c r="AB531" s="29"/>
      <c r="AC531" s="29"/>
      <c r="AD531" s="29"/>
      <c r="AE531" s="29"/>
      <c r="AF531" s="29"/>
      <c r="AG531" s="29"/>
      <c r="AH531" s="29"/>
      <c r="AI531" s="29"/>
      <c r="AJ531" s="29"/>
      <c r="AK531" s="29"/>
      <c r="AL531" s="29"/>
    </row>
    <row r="532" spans="2:38" x14ac:dyDescent="0.2">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c r="AA532" s="29"/>
      <c r="AB532" s="29"/>
      <c r="AC532" s="29"/>
      <c r="AD532" s="29"/>
      <c r="AE532" s="29"/>
      <c r="AF532" s="29"/>
      <c r="AG532" s="29"/>
      <c r="AH532" s="29"/>
      <c r="AI532" s="29"/>
      <c r="AJ532" s="29"/>
      <c r="AK532" s="29"/>
      <c r="AL532" s="29"/>
    </row>
    <row r="533" spans="2:38" x14ac:dyDescent="0.2">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c r="AA533" s="29"/>
      <c r="AB533" s="29"/>
      <c r="AC533" s="29"/>
      <c r="AD533" s="29"/>
      <c r="AE533" s="29"/>
      <c r="AF533" s="29"/>
      <c r="AG533" s="29"/>
      <c r="AH533" s="29"/>
      <c r="AI533" s="29"/>
      <c r="AJ533" s="29"/>
      <c r="AK533" s="29"/>
      <c r="AL533" s="29"/>
    </row>
    <row r="534" spans="2:38" x14ac:dyDescent="0.2">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c r="AA534" s="29"/>
      <c r="AB534" s="29"/>
      <c r="AC534" s="29"/>
      <c r="AD534" s="29"/>
      <c r="AE534" s="29"/>
      <c r="AF534" s="29"/>
      <c r="AG534" s="29"/>
      <c r="AH534" s="29"/>
      <c r="AI534" s="29"/>
      <c r="AJ534" s="29"/>
      <c r="AK534" s="29"/>
      <c r="AL534" s="29"/>
    </row>
    <row r="535" spans="2:38" x14ac:dyDescent="0.2">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c r="AA535" s="29"/>
      <c r="AB535" s="29"/>
      <c r="AC535" s="29"/>
      <c r="AD535" s="29"/>
      <c r="AE535" s="29"/>
      <c r="AF535" s="29"/>
      <c r="AG535" s="29"/>
      <c r="AH535" s="29"/>
      <c r="AI535" s="29"/>
      <c r="AJ535" s="29"/>
      <c r="AK535" s="29"/>
      <c r="AL535" s="29"/>
    </row>
    <row r="536" spans="2:38" x14ac:dyDescent="0.2">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c r="AA536" s="29"/>
      <c r="AB536" s="29"/>
      <c r="AC536" s="29"/>
      <c r="AD536" s="29"/>
      <c r="AE536" s="29"/>
      <c r="AF536" s="29"/>
      <c r="AG536" s="29"/>
      <c r="AH536" s="29"/>
      <c r="AI536" s="29"/>
      <c r="AJ536" s="29"/>
      <c r="AK536" s="29"/>
      <c r="AL536" s="29"/>
    </row>
    <row r="537" spans="2:38" x14ac:dyDescent="0.2">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c r="AA537" s="29"/>
      <c r="AB537" s="29"/>
      <c r="AC537" s="29"/>
      <c r="AD537" s="29"/>
      <c r="AE537" s="29"/>
      <c r="AF537" s="29"/>
      <c r="AG537" s="29"/>
      <c r="AH537" s="29"/>
      <c r="AI537" s="29"/>
      <c r="AJ537" s="29"/>
      <c r="AK537" s="29"/>
      <c r="AL537" s="29"/>
    </row>
    <row r="538" spans="2:38" x14ac:dyDescent="0.2">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c r="AA538" s="29"/>
      <c r="AB538" s="29"/>
      <c r="AC538" s="29"/>
      <c r="AD538" s="29"/>
      <c r="AE538" s="29"/>
      <c r="AF538" s="29"/>
      <c r="AG538" s="29"/>
      <c r="AH538" s="29"/>
      <c r="AI538" s="29"/>
      <c r="AJ538" s="29"/>
      <c r="AK538" s="29"/>
      <c r="AL538" s="29"/>
    </row>
    <row r="539" spans="2:38" x14ac:dyDescent="0.2">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c r="AA539" s="29"/>
      <c r="AB539" s="29"/>
      <c r="AC539" s="29"/>
      <c r="AD539" s="29"/>
      <c r="AE539" s="29"/>
      <c r="AF539" s="29"/>
      <c r="AG539" s="29"/>
      <c r="AH539" s="29"/>
      <c r="AI539" s="29"/>
      <c r="AJ539" s="29"/>
      <c r="AK539" s="29"/>
      <c r="AL539" s="29"/>
    </row>
    <row r="540" spans="2:38" x14ac:dyDescent="0.2">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c r="AA540" s="29"/>
      <c r="AB540" s="29"/>
      <c r="AC540" s="29"/>
      <c r="AD540" s="29"/>
      <c r="AE540" s="29"/>
      <c r="AF540" s="29"/>
      <c r="AG540" s="29"/>
      <c r="AH540" s="29"/>
      <c r="AI540" s="29"/>
      <c r="AJ540" s="29"/>
      <c r="AK540" s="29"/>
      <c r="AL540" s="29"/>
    </row>
    <row r="541" spans="2:38" x14ac:dyDescent="0.2">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c r="AA541" s="29"/>
      <c r="AB541" s="29"/>
      <c r="AC541" s="29"/>
      <c r="AD541" s="29"/>
      <c r="AE541" s="29"/>
      <c r="AF541" s="29"/>
      <c r="AG541" s="29"/>
      <c r="AH541" s="29"/>
      <c r="AI541" s="29"/>
      <c r="AJ541" s="29"/>
      <c r="AK541" s="29"/>
      <c r="AL541" s="29"/>
    </row>
    <row r="542" spans="2:38" x14ac:dyDescent="0.2">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c r="AA542" s="29"/>
      <c r="AB542" s="29"/>
      <c r="AC542" s="29"/>
      <c r="AD542" s="29"/>
      <c r="AE542" s="29"/>
      <c r="AF542" s="29"/>
      <c r="AG542" s="29"/>
      <c r="AH542" s="29"/>
      <c r="AI542" s="29"/>
      <c r="AJ542" s="29"/>
      <c r="AK542" s="29"/>
      <c r="AL542" s="29"/>
    </row>
    <row r="543" spans="2:38" x14ac:dyDescent="0.2">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c r="AA543" s="29"/>
      <c r="AB543" s="29"/>
      <c r="AC543" s="29"/>
      <c r="AD543" s="29"/>
      <c r="AE543" s="29"/>
      <c r="AF543" s="29"/>
      <c r="AG543" s="29"/>
      <c r="AH543" s="29"/>
      <c r="AI543" s="29"/>
      <c r="AJ543" s="29"/>
      <c r="AK543" s="29"/>
      <c r="AL543" s="29"/>
    </row>
    <row r="544" spans="2:38" x14ac:dyDescent="0.2">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c r="AA544" s="29"/>
      <c r="AB544" s="29"/>
      <c r="AC544" s="29"/>
      <c r="AD544" s="29"/>
      <c r="AE544" s="29"/>
      <c r="AF544" s="29"/>
      <c r="AG544" s="29"/>
      <c r="AH544" s="29"/>
      <c r="AI544" s="29"/>
      <c r="AJ544" s="29"/>
      <c r="AK544" s="29"/>
      <c r="AL544" s="29"/>
    </row>
    <row r="545" spans="2:38" x14ac:dyDescent="0.2">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c r="AA545" s="29"/>
      <c r="AB545" s="29"/>
      <c r="AC545" s="29"/>
      <c r="AD545" s="29"/>
      <c r="AE545" s="29"/>
      <c r="AF545" s="29"/>
      <c r="AG545" s="29"/>
      <c r="AH545" s="29"/>
      <c r="AI545" s="29"/>
      <c r="AJ545" s="29"/>
      <c r="AK545" s="29"/>
      <c r="AL545" s="29"/>
    </row>
    <row r="546" spans="2:38" x14ac:dyDescent="0.2">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c r="AA546" s="29"/>
      <c r="AB546" s="29"/>
      <c r="AC546" s="29"/>
      <c r="AD546" s="29"/>
      <c r="AE546" s="29"/>
      <c r="AF546" s="29"/>
      <c r="AG546" s="29"/>
      <c r="AH546" s="29"/>
      <c r="AI546" s="29"/>
      <c r="AJ546" s="29"/>
      <c r="AK546" s="29"/>
      <c r="AL546" s="29"/>
    </row>
    <row r="547" spans="2:38" x14ac:dyDescent="0.2">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c r="AA547" s="29"/>
      <c r="AB547" s="29"/>
      <c r="AC547" s="29"/>
      <c r="AD547" s="29"/>
      <c r="AE547" s="29"/>
      <c r="AF547" s="29"/>
      <c r="AG547" s="29"/>
      <c r="AH547" s="29"/>
      <c r="AI547" s="29"/>
      <c r="AJ547" s="29"/>
      <c r="AK547" s="29"/>
      <c r="AL547" s="29"/>
    </row>
    <row r="548" spans="2:38" x14ac:dyDescent="0.2">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c r="AA548" s="29"/>
      <c r="AB548" s="29"/>
      <c r="AC548" s="29"/>
      <c r="AD548" s="29"/>
      <c r="AE548" s="29"/>
      <c r="AF548" s="29"/>
      <c r="AG548" s="29"/>
      <c r="AH548" s="29"/>
      <c r="AI548" s="29"/>
      <c r="AJ548" s="29"/>
      <c r="AK548" s="29"/>
      <c r="AL548" s="29"/>
    </row>
    <row r="549" spans="2:38" x14ac:dyDescent="0.2">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c r="AA549" s="29"/>
      <c r="AB549" s="29"/>
      <c r="AC549" s="29"/>
      <c r="AD549" s="29"/>
      <c r="AE549" s="29"/>
      <c r="AF549" s="29"/>
      <c r="AG549" s="29"/>
      <c r="AH549" s="29"/>
      <c r="AI549" s="29"/>
      <c r="AJ549" s="29"/>
      <c r="AK549" s="29"/>
      <c r="AL549" s="29"/>
    </row>
    <row r="550" spans="2:38" x14ac:dyDescent="0.2">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c r="AA550" s="29"/>
      <c r="AB550" s="29"/>
      <c r="AC550" s="29"/>
      <c r="AD550" s="29"/>
      <c r="AE550" s="29"/>
      <c r="AF550" s="29"/>
      <c r="AG550" s="29"/>
      <c r="AH550" s="29"/>
      <c r="AI550" s="29"/>
      <c r="AJ550" s="29"/>
      <c r="AK550" s="29"/>
      <c r="AL550" s="29"/>
    </row>
    <row r="551" spans="2:38" x14ac:dyDescent="0.2">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c r="AA551" s="29"/>
      <c r="AB551" s="29"/>
      <c r="AC551" s="29"/>
      <c r="AD551" s="29"/>
      <c r="AE551" s="29"/>
      <c r="AF551" s="29"/>
      <c r="AG551" s="29"/>
      <c r="AH551" s="29"/>
      <c r="AI551" s="29"/>
      <c r="AJ551" s="29"/>
      <c r="AK551" s="29"/>
      <c r="AL551" s="29"/>
    </row>
    <row r="552" spans="2:38" x14ac:dyDescent="0.2">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c r="AA552" s="29"/>
      <c r="AB552" s="29"/>
      <c r="AC552" s="29"/>
      <c r="AD552" s="29"/>
      <c r="AE552" s="29"/>
      <c r="AF552" s="29"/>
      <c r="AG552" s="29"/>
      <c r="AH552" s="29"/>
      <c r="AI552" s="29"/>
      <c r="AJ552" s="29"/>
      <c r="AK552" s="29"/>
      <c r="AL552" s="29"/>
    </row>
    <row r="553" spans="2:38" x14ac:dyDescent="0.2">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c r="AA553" s="29"/>
      <c r="AB553" s="29"/>
      <c r="AC553" s="29"/>
      <c r="AD553" s="29"/>
      <c r="AE553" s="29"/>
      <c r="AF553" s="29"/>
      <c r="AG553" s="29"/>
      <c r="AH553" s="29"/>
      <c r="AI553" s="29"/>
      <c r="AJ553" s="29"/>
      <c r="AK553" s="29"/>
      <c r="AL553" s="29"/>
    </row>
    <row r="554" spans="2:38" x14ac:dyDescent="0.2">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c r="AA554" s="29"/>
      <c r="AB554" s="29"/>
      <c r="AC554" s="29"/>
      <c r="AD554" s="29"/>
      <c r="AE554" s="29"/>
      <c r="AF554" s="29"/>
      <c r="AG554" s="29"/>
      <c r="AH554" s="29"/>
      <c r="AI554" s="29"/>
      <c r="AJ554" s="29"/>
      <c r="AK554" s="29"/>
      <c r="AL554" s="29"/>
    </row>
    <row r="555" spans="2:38" x14ac:dyDescent="0.2">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c r="AA555" s="29"/>
      <c r="AB555" s="29"/>
      <c r="AC555" s="29"/>
      <c r="AD555" s="29"/>
      <c r="AE555" s="29"/>
      <c r="AF555" s="29"/>
      <c r="AG555" s="29"/>
      <c r="AH555" s="29"/>
      <c r="AI555" s="29"/>
      <c r="AJ555" s="29"/>
      <c r="AK555" s="29"/>
      <c r="AL555" s="29"/>
    </row>
    <row r="556" spans="2:38" x14ac:dyDescent="0.2">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c r="AA556" s="29"/>
      <c r="AB556" s="29"/>
      <c r="AC556" s="29"/>
      <c r="AD556" s="29"/>
      <c r="AE556" s="29"/>
      <c r="AF556" s="29"/>
      <c r="AG556" s="29"/>
      <c r="AH556" s="29"/>
      <c r="AI556" s="29"/>
      <c r="AJ556" s="29"/>
      <c r="AK556" s="29"/>
      <c r="AL556" s="29"/>
    </row>
    <row r="557" spans="2:38" x14ac:dyDescent="0.2">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c r="AA557" s="29"/>
      <c r="AB557" s="29"/>
      <c r="AC557" s="29"/>
      <c r="AD557" s="29"/>
      <c r="AE557" s="29"/>
      <c r="AF557" s="29"/>
      <c r="AG557" s="29"/>
      <c r="AH557" s="29"/>
      <c r="AI557" s="29"/>
      <c r="AJ557" s="29"/>
      <c r="AK557" s="29"/>
      <c r="AL557" s="29"/>
    </row>
    <row r="558" spans="2:38" x14ac:dyDescent="0.2">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c r="AA558" s="29"/>
      <c r="AB558" s="29"/>
      <c r="AC558" s="29"/>
      <c r="AD558" s="29"/>
      <c r="AE558" s="29"/>
      <c r="AF558" s="29"/>
      <c r="AG558" s="29"/>
      <c r="AH558" s="29"/>
      <c r="AI558" s="29"/>
      <c r="AJ558" s="29"/>
      <c r="AK558" s="29"/>
      <c r="AL558" s="29"/>
    </row>
    <row r="559" spans="2:38" x14ac:dyDescent="0.2">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c r="AA559" s="29"/>
      <c r="AB559" s="29"/>
      <c r="AC559" s="29"/>
      <c r="AD559" s="29"/>
      <c r="AE559" s="29"/>
      <c r="AF559" s="29"/>
      <c r="AG559" s="29"/>
      <c r="AH559" s="29"/>
      <c r="AI559" s="29"/>
      <c r="AJ559" s="29"/>
      <c r="AK559" s="29"/>
      <c r="AL559" s="29"/>
    </row>
    <row r="560" spans="2:38" x14ac:dyDescent="0.2">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c r="AA560" s="29"/>
      <c r="AB560" s="29"/>
      <c r="AC560" s="29"/>
      <c r="AD560" s="29"/>
      <c r="AE560" s="29"/>
      <c r="AF560" s="29"/>
      <c r="AG560" s="29"/>
      <c r="AH560" s="29"/>
      <c r="AI560" s="29"/>
      <c r="AJ560" s="29"/>
      <c r="AK560" s="29"/>
      <c r="AL560" s="29"/>
    </row>
    <row r="561" spans="2:38" x14ac:dyDescent="0.2">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c r="AA561" s="29"/>
      <c r="AB561" s="29"/>
      <c r="AC561" s="29"/>
      <c r="AD561" s="29"/>
      <c r="AE561" s="29"/>
      <c r="AF561" s="29"/>
      <c r="AG561" s="29"/>
      <c r="AH561" s="29"/>
      <c r="AI561" s="29"/>
      <c r="AJ561" s="29"/>
      <c r="AK561" s="29"/>
      <c r="AL561" s="29"/>
    </row>
    <row r="562" spans="2:38" x14ac:dyDescent="0.2">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c r="AA562" s="29"/>
      <c r="AB562" s="29"/>
      <c r="AC562" s="29"/>
      <c r="AD562" s="29"/>
      <c r="AE562" s="29"/>
      <c r="AF562" s="29"/>
      <c r="AG562" s="29"/>
      <c r="AH562" s="29"/>
      <c r="AI562" s="29"/>
      <c r="AJ562" s="29"/>
      <c r="AK562" s="29"/>
      <c r="AL562" s="29"/>
    </row>
    <row r="563" spans="2:38" x14ac:dyDescent="0.2">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c r="AA563" s="29"/>
      <c r="AB563" s="29"/>
      <c r="AC563" s="29"/>
      <c r="AD563" s="29"/>
      <c r="AE563" s="29"/>
      <c r="AF563" s="29"/>
      <c r="AG563" s="29"/>
      <c r="AH563" s="29"/>
      <c r="AI563" s="29"/>
      <c r="AJ563" s="29"/>
      <c r="AK563" s="29"/>
      <c r="AL563" s="29"/>
    </row>
    <row r="564" spans="2:38" x14ac:dyDescent="0.2">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c r="AA564" s="29"/>
      <c r="AB564" s="29"/>
      <c r="AC564" s="29"/>
      <c r="AD564" s="29"/>
      <c r="AE564" s="29"/>
      <c r="AF564" s="29"/>
      <c r="AG564" s="29"/>
      <c r="AH564" s="29"/>
      <c r="AI564" s="29"/>
      <c r="AJ564" s="29"/>
      <c r="AK564" s="29"/>
      <c r="AL564" s="29"/>
    </row>
    <row r="565" spans="2:38" x14ac:dyDescent="0.2">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c r="AA565" s="29"/>
      <c r="AB565" s="29"/>
      <c r="AC565" s="29"/>
      <c r="AD565" s="29"/>
      <c r="AE565" s="29"/>
      <c r="AF565" s="29"/>
      <c r="AG565" s="29"/>
      <c r="AH565" s="29"/>
      <c r="AI565" s="29"/>
      <c r="AJ565" s="29"/>
      <c r="AK565" s="29"/>
      <c r="AL565" s="29"/>
    </row>
    <row r="566" spans="2:38" x14ac:dyDescent="0.2">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c r="AA566" s="29"/>
      <c r="AB566" s="29"/>
      <c r="AC566" s="29"/>
      <c r="AD566" s="29"/>
      <c r="AE566" s="29"/>
      <c r="AF566" s="29"/>
      <c r="AG566" s="29"/>
      <c r="AH566" s="29"/>
      <c r="AI566" s="29"/>
      <c r="AJ566" s="29"/>
      <c r="AK566" s="29"/>
      <c r="AL566" s="29"/>
    </row>
    <row r="567" spans="2:38" x14ac:dyDescent="0.2">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c r="AA567" s="29"/>
      <c r="AB567" s="29"/>
      <c r="AC567" s="29"/>
      <c r="AD567" s="29"/>
      <c r="AE567" s="29"/>
      <c r="AF567" s="29"/>
      <c r="AG567" s="29"/>
      <c r="AH567" s="29"/>
      <c r="AI567" s="29"/>
      <c r="AJ567" s="29"/>
      <c r="AK567" s="29"/>
      <c r="AL567" s="29"/>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5493A-628C-46C4-96C4-DD140CFAE433}">
  <sheetPr codeName="Sheet8"/>
  <dimension ref="A1"/>
  <sheetViews>
    <sheetView workbookViewId="0"/>
  </sheetViews>
  <sheetFormatPr defaultRowHeight="12.75" x14ac:dyDescent="0.2"/>
  <cols>
    <col min="1" max="16384" width="9.140625" style="25"/>
  </cols>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65A1-ACD1-4985-8533-6D3D83D236D4}">
  <sheetPr codeName="Sheet30">
    <tabColor theme="9"/>
  </sheetPr>
  <dimension ref="A1:E88"/>
  <sheetViews>
    <sheetView workbookViewId="0"/>
  </sheetViews>
  <sheetFormatPr defaultRowHeight="12.75" x14ac:dyDescent="0.2"/>
  <cols>
    <col min="1" max="1" width="13.28515625" bestFit="1" customWidth="1"/>
    <col min="2" max="2" width="15.140625" bestFit="1" customWidth="1"/>
    <col min="3" max="3" width="11.42578125" bestFit="1" customWidth="1"/>
    <col min="4" max="4" width="30.5703125" bestFit="1" customWidth="1"/>
    <col min="5" max="5" width="28.85546875" bestFit="1" customWidth="1"/>
  </cols>
  <sheetData>
    <row r="1" spans="1:5" s="23" customFormat="1" ht="15" x14ac:dyDescent="0.35">
      <c r="A1" s="23" t="s">
        <v>322</v>
      </c>
      <c r="B1" s="23" t="s">
        <v>323</v>
      </c>
      <c r="C1" s="23" t="s">
        <v>324</v>
      </c>
      <c r="D1" s="23" t="s">
        <v>140</v>
      </c>
      <c r="E1" s="23" t="s">
        <v>321</v>
      </c>
    </row>
    <row r="2" spans="1:5" x14ac:dyDescent="0.2">
      <c r="A2" s="26" t="s">
        <v>190</v>
      </c>
      <c r="B2" t="s">
        <v>119</v>
      </c>
      <c r="C2" s="26" t="s">
        <v>99</v>
      </c>
      <c r="D2" t="s">
        <v>5</v>
      </c>
    </row>
    <row r="3" spans="1:5" x14ac:dyDescent="0.2">
      <c r="A3" s="26" t="s">
        <v>190</v>
      </c>
      <c r="B3" t="s">
        <v>119</v>
      </c>
      <c r="C3" s="26" t="s">
        <v>99</v>
      </c>
      <c r="D3" t="s">
        <v>27</v>
      </c>
    </row>
    <row r="4" spans="1:5" x14ac:dyDescent="0.2">
      <c r="A4" s="26" t="s">
        <v>190</v>
      </c>
      <c r="B4" t="s">
        <v>119</v>
      </c>
      <c r="C4" s="26" t="s">
        <v>99</v>
      </c>
      <c r="D4" t="s">
        <v>26</v>
      </c>
    </row>
    <row r="5" spans="1:5" x14ac:dyDescent="0.2">
      <c r="A5" s="26" t="s">
        <v>190</v>
      </c>
      <c r="B5" t="s">
        <v>119</v>
      </c>
      <c r="C5" s="26" t="s">
        <v>99</v>
      </c>
      <c r="D5" t="s">
        <v>120</v>
      </c>
      <c r="E5" t="s">
        <v>121</v>
      </c>
    </row>
    <row r="6" spans="1:5" x14ac:dyDescent="0.2">
      <c r="A6" s="26" t="s">
        <v>190</v>
      </c>
      <c r="B6" t="s">
        <v>119</v>
      </c>
      <c r="C6" s="26" t="s">
        <v>99</v>
      </c>
      <c r="D6" t="s">
        <v>120</v>
      </c>
      <c r="E6" t="s">
        <v>122</v>
      </c>
    </row>
    <row r="7" spans="1:5" x14ac:dyDescent="0.2">
      <c r="A7" s="26"/>
      <c r="C7" s="26"/>
    </row>
    <row r="8" spans="1:5" x14ac:dyDescent="0.2">
      <c r="A8" s="26" t="s">
        <v>189</v>
      </c>
      <c r="B8" t="s">
        <v>77</v>
      </c>
      <c r="C8" t="s">
        <v>84</v>
      </c>
      <c r="D8" s="26" t="s">
        <v>331</v>
      </c>
      <c r="E8" t="s">
        <v>127</v>
      </c>
    </row>
    <row r="9" spans="1:5" x14ac:dyDescent="0.2">
      <c r="A9" s="26" t="s">
        <v>189</v>
      </c>
      <c r="B9" t="s">
        <v>77</v>
      </c>
      <c r="C9" t="s">
        <v>84</v>
      </c>
      <c r="D9" s="26" t="s">
        <v>331</v>
      </c>
      <c r="E9" t="s">
        <v>74</v>
      </c>
    </row>
    <row r="10" spans="1:5" x14ac:dyDescent="0.2">
      <c r="A10" s="26" t="s">
        <v>189</v>
      </c>
      <c r="B10" t="s">
        <v>77</v>
      </c>
      <c r="C10" t="s">
        <v>84</v>
      </c>
      <c r="D10" s="26" t="s">
        <v>331</v>
      </c>
      <c r="E10" t="s">
        <v>15</v>
      </c>
    </row>
    <row r="11" spans="1:5" x14ac:dyDescent="0.2">
      <c r="A11" s="26" t="s">
        <v>189</v>
      </c>
      <c r="B11" t="s">
        <v>77</v>
      </c>
      <c r="C11" t="s">
        <v>84</v>
      </c>
      <c r="D11" s="26" t="s">
        <v>331</v>
      </c>
      <c r="E11" t="s">
        <v>75</v>
      </c>
    </row>
    <row r="12" spans="1:5" x14ac:dyDescent="0.2">
      <c r="A12" s="26" t="s">
        <v>189</v>
      </c>
      <c r="B12" s="26" t="s">
        <v>77</v>
      </c>
      <c r="C12" s="26" t="s">
        <v>84</v>
      </c>
      <c r="D12" s="26" t="s">
        <v>23</v>
      </c>
    </row>
    <row r="13" spans="1:5" x14ac:dyDescent="0.2">
      <c r="A13" s="26"/>
      <c r="B13" s="26"/>
      <c r="C13" s="26"/>
      <c r="D13" s="26"/>
    </row>
    <row r="14" spans="1:5" x14ac:dyDescent="0.2">
      <c r="A14" s="26" t="s">
        <v>189</v>
      </c>
      <c r="B14" t="s">
        <v>77</v>
      </c>
      <c r="C14" t="s">
        <v>85</v>
      </c>
      <c r="D14" t="s">
        <v>7</v>
      </c>
      <c r="E14" t="s">
        <v>7</v>
      </c>
    </row>
    <row r="15" spans="1:5" x14ac:dyDescent="0.2">
      <c r="A15" s="26" t="s">
        <v>189</v>
      </c>
      <c r="B15" t="s">
        <v>77</v>
      </c>
      <c r="C15" t="s">
        <v>85</v>
      </c>
      <c r="D15" s="26" t="s">
        <v>133</v>
      </c>
      <c r="E15" t="s">
        <v>8</v>
      </c>
    </row>
    <row r="16" spans="1:5" x14ac:dyDescent="0.2">
      <c r="A16" s="26" t="s">
        <v>189</v>
      </c>
      <c r="B16" t="s">
        <v>77</v>
      </c>
      <c r="C16" t="s">
        <v>85</v>
      </c>
      <c r="D16" t="s">
        <v>9</v>
      </c>
      <c r="E16" t="s">
        <v>9</v>
      </c>
    </row>
    <row r="17" spans="1:5" x14ac:dyDescent="0.2">
      <c r="A17" s="26" t="s">
        <v>189</v>
      </c>
      <c r="B17" t="s">
        <v>77</v>
      </c>
      <c r="C17" t="s">
        <v>85</v>
      </c>
      <c r="D17" t="s">
        <v>10</v>
      </c>
      <c r="E17" t="s">
        <v>10</v>
      </c>
    </row>
    <row r="18" spans="1:5" x14ac:dyDescent="0.2">
      <c r="A18" s="26" t="s">
        <v>189</v>
      </c>
      <c r="B18" t="s">
        <v>77</v>
      </c>
      <c r="C18" t="s">
        <v>85</v>
      </c>
      <c r="D18" t="s">
        <v>76</v>
      </c>
      <c r="E18" t="s">
        <v>76</v>
      </c>
    </row>
    <row r="19" spans="1:5" x14ac:dyDescent="0.2">
      <c r="A19" s="26" t="s">
        <v>189</v>
      </c>
      <c r="B19" s="26" t="s">
        <v>77</v>
      </c>
      <c r="C19" t="s">
        <v>85</v>
      </c>
      <c r="D19" s="26" t="s">
        <v>24</v>
      </c>
    </row>
    <row r="20" spans="1:5" x14ac:dyDescent="0.2">
      <c r="A20" s="26"/>
      <c r="B20" s="26"/>
      <c r="D20" s="26"/>
    </row>
    <row r="21" spans="1:5" x14ac:dyDescent="0.2">
      <c r="A21" s="26" t="s">
        <v>189</v>
      </c>
      <c r="B21" s="26" t="s">
        <v>327</v>
      </c>
      <c r="C21" s="26" t="s">
        <v>84</v>
      </c>
      <c r="D21" s="26" t="s">
        <v>4</v>
      </c>
      <c r="E21" s="26" t="s">
        <v>329</v>
      </c>
    </row>
    <row r="22" spans="1:5" x14ac:dyDescent="0.2">
      <c r="A22" s="26" t="s">
        <v>189</v>
      </c>
      <c r="B22" s="26" t="s">
        <v>327</v>
      </c>
      <c r="C22" s="26" t="s">
        <v>85</v>
      </c>
      <c r="D22" s="26" t="s">
        <v>14</v>
      </c>
      <c r="E22" s="26" t="s">
        <v>328</v>
      </c>
    </row>
    <row r="23" spans="1:5" x14ac:dyDescent="0.2">
      <c r="A23" s="26"/>
      <c r="B23" s="26"/>
      <c r="C23" s="26"/>
      <c r="D23" s="26"/>
      <c r="E23" s="26"/>
    </row>
    <row r="24" spans="1:5" x14ac:dyDescent="0.2">
      <c r="A24" s="26" t="s">
        <v>189</v>
      </c>
      <c r="B24" s="26" t="s">
        <v>325</v>
      </c>
      <c r="C24" s="26" t="s">
        <v>215</v>
      </c>
      <c r="D24" s="26" t="s">
        <v>79</v>
      </c>
    </row>
    <row r="25" spans="1:5" x14ac:dyDescent="0.2">
      <c r="A25" s="26"/>
      <c r="B25" s="26"/>
      <c r="C25" s="26"/>
      <c r="D25" s="26"/>
    </row>
    <row r="26" spans="1:5" x14ac:dyDescent="0.2">
      <c r="A26" s="26" t="s">
        <v>189</v>
      </c>
      <c r="B26" s="26" t="s">
        <v>325</v>
      </c>
      <c r="C26" t="s">
        <v>85</v>
      </c>
      <c r="D26" s="26" t="s">
        <v>317</v>
      </c>
      <c r="E26" t="s">
        <v>66</v>
      </c>
    </row>
    <row r="27" spans="1:5" x14ac:dyDescent="0.2">
      <c r="A27" s="26" t="s">
        <v>189</v>
      </c>
      <c r="B27" s="26" t="s">
        <v>325</v>
      </c>
      <c r="C27" t="s">
        <v>85</v>
      </c>
      <c r="D27" s="26" t="s">
        <v>317</v>
      </c>
      <c r="E27" t="s">
        <v>67</v>
      </c>
    </row>
    <row r="28" spans="1:5" x14ac:dyDescent="0.2">
      <c r="A28" s="26" t="s">
        <v>189</v>
      </c>
      <c r="B28" s="26" t="s">
        <v>325</v>
      </c>
      <c r="C28" t="s">
        <v>85</v>
      </c>
      <c r="D28" t="s">
        <v>28</v>
      </c>
      <c r="E28" t="s">
        <v>69</v>
      </c>
    </row>
    <row r="29" spans="1:5" x14ac:dyDescent="0.2">
      <c r="A29" s="26" t="s">
        <v>189</v>
      </c>
      <c r="B29" s="26" t="s">
        <v>325</v>
      </c>
      <c r="C29" t="s">
        <v>85</v>
      </c>
      <c r="D29" s="26" t="s">
        <v>236</v>
      </c>
      <c r="E29" s="26" t="s">
        <v>334</v>
      </c>
    </row>
    <row r="30" spans="1:5" x14ac:dyDescent="0.2">
      <c r="A30" s="26" t="s">
        <v>189</v>
      </c>
      <c r="B30" s="26" t="s">
        <v>325</v>
      </c>
      <c r="C30" t="s">
        <v>85</v>
      </c>
      <c r="D30" s="26" t="s">
        <v>236</v>
      </c>
      <c r="E30" s="26" t="s">
        <v>335</v>
      </c>
    </row>
    <row r="31" spans="1:5" x14ac:dyDescent="0.2">
      <c r="A31" s="26" t="s">
        <v>189</v>
      </c>
      <c r="B31" s="26" t="s">
        <v>325</v>
      </c>
      <c r="C31" t="s">
        <v>85</v>
      </c>
      <c r="D31" s="26" t="s">
        <v>318</v>
      </c>
      <c r="E31" s="26" t="s">
        <v>337</v>
      </c>
    </row>
    <row r="32" spans="1:5" x14ac:dyDescent="0.2">
      <c r="A32" s="26"/>
      <c r="B32" s="26"/>
    </row>
    <row r="33" spans="1:5" x14ac:dyDescent="0.2">
      <c r="A33" s="26" t="s">
        <v>189</v>
      </c>
      <c r="B33" s="26" t="s">
        <v>325</v>
      </c>
      <c r="C33" t="s">
        <v>84</v>
      </c>
      <c r="D33" t="s">
        <v>2</v>
      </c>
      <c r="E33" t="s">
        <v>65</v>
      </c>
    </row>
    <row r="34" spans="1:5" x14ac:dyDescent="0.2">
      <c r="A34" s="26" t="s">
        <v>189</v>
      </c>
      <c r="B34" s="26" t="s">
        <v>325</v>
      </c>
      <c r="C34" t="s">
        <v>84</v>
      </c>
      <c r="D34" s="26" t="s">
        <v>278</v>
      </c>
      <c r="E34" t="s">
        <v>68</v>
      </c>
    </row>
    <row r="35" spans="1:5" x14ac:dyDescent="0.2">
      <c r="A35" s="26" t="s">
        <v>189</v>
      </c>
      <c r="B35" s="26" t="s">
        <v>325</v>
      </c>
      <c r="C35" t="s">
        <v>84</v>
      </c>
      <c r="D35" s="26" t="s">
        <v>278</v>
      </c>
      <c r="E35" t="s">
        <v>70</v>
      </c>
    </row>
    <row r="36" spans="1:5" x14ac:dyDescent="0.2">
      <c r="A36" s="26" t="s">
        <v>189</v>
      </c>
      <c r="B36" s="26" t="s">
        <v>325</v>
      </c>
      <c r="C36" t="s">
        <v>84</v>
      </c>
      <c r="D36" s="26" t="s">
        <v>278</v>
      </c>
      <c r="E36" t="s">
        <v>71</v>
      </c>
    </row>
    <row r="37" spans="1:5" x14ac:dyDescent="0.2">
      <c r="A37" s="26" t="s">
        <v>189</v>
      </c>
      <c r="B37" s="26" t="s">
        <v>325</v>
      </c>
      <c r="C37" t="s">
        <v>84</v>
      </c>
      <c r="D37" s="26" t="s">
        <v>278</v>
      </c>
      <c r="E37" t="s">
        <v>72</v>
      </c>
    </row>
    <row r="38" spans="1:5" x14ac:dyDescent="0.2">
      <c r="A38" s="26" t="s">
        <v>189</v>
      </c>
      <c r="B38" s="26" t="s">
        <v>325</v>
      </c>
      <c r="C38" t="s">
        <v>84</v>
      </c>
      <c r="D38" t="s">
        <v>2</v>
      </c>
      <c r="E38" t="s">
        <v>73</v>
      </c>
    </row>
    <row r="39" spans="1:5" x14ac:dyDescent="0.2">
      <c r="A39" s="26" t="s">
        <v>189</v>
      </c>
      <c r="B39" s="26" t="s">
        <v>325</v>
      </c>
      <c r="C39" t="s">
        <v>84</v>
      </c>
      <c r="D39" s="26" t="s">
        <v>320</v>
      </c>
    </row>
    <row r="40" spans="1:5" x14ac:dyDescent="0.2">
      <c r="A40" s="26" t="s">
        <v>189</v>
      </c>
      <c r="B40" s="26" t="s">
        <v>325</v>
      </c>
      <c r="C40" t="s">
        <v>84</v>
      </c>
      <c r="D40" s="26" t="s">
        <v>318</v>
      </c>
      <c r="E40" s="26" t="s">
        <v>336</v>
      </c>
    </row>
    <row r="41" spans="1:5" x14ac:dyDescent="0.2">
      <c r="A41" s="26"/>
      <c r="B41" s="26"/>
      <c r="C41" s="26"/>
      <c r="D41" s="26"/>
    </row>
    <row r="42" spans="1:5" x14ac:dyDescent="0.2">
      <c r="A42" s="26" t="s">
        <v>189</v>
      </c>
      <c r="B42" t="s">
        <v>13</v>
      </c>
      <c r="C42" t="s">
        <v>84</v>
      </c>
      <c r="D42" t="s">
        <v>80</v>
      </c>
      <c r="E42" s="26" t="s">
        <v>212</v>
      </c>
    </row>
    <row r="43" spans="1:5" x14ac:dyDescent="0.2">
      <c r="A43" s="26" t="s">
        <v>189</v>
      </c>
      <c r="B43" t="s">
        <v>13</v>
      </c>
      <c r="C43" t="s">
        <v>84</v>
      </c>
      <c r="D43" t="s">
        <v>81</v>
      </c>
      <c r="E43" s="26" t="s">
        <v>213</v>
      </c>
    </row>
    <row r="44" spans="1:5" x14ac:dyDescent="0.2">
      <c r="A44" s="26" t="s">
        <v>189</v>
      </c>
      <c r="B44" t="s">
        <v>13</v>
      </c>
      <c r="C44" t="s">
        <v>84</v>
      </c>
      <c r="D44" t="s">
        <v>81</v>
      </c>
      <c r="E44" s="26" t="s">
        <v>214</v>
      </c>
    </row>
    <row r="45" spans="1:5" x14ac:dyDescent="0.2">
      <c r="A45" s="26"/>
      <c r="E45" s="26"/>
    </row>
    <row r="46" spans="1:5" x14ac:dyDescent="0.2">
      <c r="A46" s="26" t="s">
        <v>189</v>
      </c>
      <c r="B46" s="26" t="s">
        <v>330</v>
      </c>
      <c r="C46" s="26" t="s">
        <v>215</v>
      </c>
      <c r="D46" t="s">
        <v>82</v>
      </c>
    </row>
    <row r="47" spans="1:5" x14ac:dyDescent="0.2">
      <c r="A47" s="26"/>
      <c r="B47" s="26"/>
      <c r="C47" s="26"/>
    </row>
    <row r="48" spans="1:5" x14ac:dyDescent="0.2">
      <c r="A48" s="26" t="s">
        <v>189</v>
      </c>
      <c r="B48" s="26" t="s">
        <v>326</v>
      </c>
      <c r="C48" s="26" t="s">
        <v>215</v>
      </c>
      <c r="D48" s="26" t="s">
        <v>19</v>
      </c>
    </row>
    <row r="49" spans="1:5" x14ac:dyDescent="0.2">
      <c r="A49" s="26" t="s">
        <v>189</v>
      </c>
      <c r="B49" s="26" t="s">
        <v>326</v>
      </c>
      <c r="C49" s="26" t="s">
        <v>215</v>
      </c>
      <c r="D49" t="s">
        <v>86</v>
      </c>
      <c r="E49" t="s">
        <v>52</v>
      </c>
    </row>
    <row r="50" spans="1:5" x14ac:dyDescent="0.2">
      <c r="A50" s="26" t="s">
        <v>189</v>
      </c>
      <c r="B50" s="26" t="s">
        <v>326</v>
      </c>
      <c r="C50" s="26" t="s">
        <v>215</v>
      </c>
      <c r="D50" t="s">
        <v>86</v>
      </c>
      <c r="E50" t="s">
        <v>53</v>
      </c>
    </row>
    <row r="51" spans="1:5" x14ac:dyDescent="0.2">
      <c r="A51" s="26" t="s">
        <v>189</v>
      </c>
      <c r="B51" s="26" t="s">
        <v>326</v>
      </c>
      <c r="C51" s="26" t="s">
        <v>215</v>
      </c>
      <c r="D51" t="s">
        <v>86</v>
      </c>
      <c r="E51" t="s">
        <v>54</v>
      </c>
    </row>
    <row r="52" spans="1:5" x14ac:dyDescent="0.2">
      <c r="A52" s="26" t="s">
        <v>189</v>
      </c>
      <c r="B52" s="26" t="s">
        <v>326</v>
      </c>
      <c r="C52" s="26" t="s">
        <v>215</v>
      </c>
      <c r="D52" t="s">
        <v>86</v>
      </c>
      <c r="E52" t="s">
        <v>55</v>
      </c>
    </row>
    <row r="53" spans="1:5" x14ac:dyDescent="0.2">
      <c r="A53" s="26"/>
      <c r="B53" s="26"/>
      <c r="C53" s="26"/>
    </row>
    <row r="54" spans="1:5" x14ac:dyDescent="0.2">
      <c r="A54" s="26" t="s">
        <v>189</v>
      </c>
      <c r="B54" s="26" t="s">
        <v>326</v>
      </c>
      <c r="C54" t="s">
        <v>85</v>
      </c>
      <c r="D54" t="s">
        <v>28</v>
      </c>
      <c r="E54" t="s">
        <v>125</v>
      </c>
    </row>
    <row r="55" spans="1:5" x14ac:dyDescent="0.2">
      <c r="A55" s="26" t="s">
        <v>189</v>
      </c>
      <c r="B55" s="26" t="s">
        <v>326</v>
      </c>
      <c r="C55" t="s">
        <v>85</v>
      </c>
      <c r="D55" t="s">
        <v>17</v>
      </c>
      <c r="E55" t="s">
        <v>126</v>
      </c>
    </row>
    <row r="56" spans="1:5" x14ac:dyDescent="0.2">
      <c r="A56" s="26" t="s">
        <v>189</v>
      </c>
      <c r="B56" s="26" t="s">
        <v>326</v>
      </c>
      <c r="C56" t="s">
        <v>85</v>
      </c>
      <c r="D56" s="26" t="s">
        <v>132</v>
      </c>
    </row>
    <row r="57" spans="1:5" x14ac:dyDescent="0.2">
      <c r="A57" s="26"/>
      <c r="B57" s="26"/>
      <c r="D57" s="26"/>
    </row>
    <row r="58" spans="1:5" x14ac:dyDescent="0.2">
      <c r="A58" s="26" t="s">
        <v>189</v>
      </c>
      <c r="B58" s="26" t="s">
        <v>326</v>
      </c>
      <c r="C58" t="s">
        <v>84</v>
      </c>
      <c r="D58" t="s">
        <v>28</v>
      </c>
      <c r="E58" t="s">
        <v>0</v>
      </c>
    </row>
    <row r="59" spans="1:5" x14ac:dyDescent="0.2">
      <c r="A59" s="26" t="s">
        <v>189</v>
      </c>
      <c r="B59" s="26" t="s">
        <v>326</v>
      </c>
      <c r="C59" t="s">
        <v>84</v>
      </c>
      <c r="D59" t="s">
        <v>28</v>
      </c>
      <c r="E59" t="s">
        <v>40</v>
      </c>
    </row>
    <row r="60" spans="1:5" x14ac:dyDescent="0.2">
      <c r="A60" s="26" t="s">
        <v>189</v>
      </c>
      <c r="B60" s="26" t="s">
        <v>326</v>
      </c>
      <c r="C60" t="s">
        <v>84</v>
      </c>
      <c r="D60" t="s">
        <v>28</v>
      </c>
      <c r="E60" t="s">
        <v>41</v>
      </c>
    </row>
    <row r="61" spans="1:5" x14ac:dyDescent="0.2">
      <c r="A61" s="26" t="s">
        <v>189</v>
      </c>
      <c r="B61" s="26" t="s">
        <v>326</v>
      </c>
      <c r="C61" t="s">
        <v>84</v>
      </c>
      <c r="D61" t="s">
        <v>28</v>
      </c>
      <c r="E61" t="s">
        <v>42</v>
      </c>
    </row>
    <row r="62" spans="1:5" x14ac:dyDescent="0.2">
      <c r="A62" s="26" t="s">
        <v>189</v>
      </c>
      <c r="B62" s="26" t="s">
        <v>326</v>
      </c>
      <c r="C62" t="s">
        <v>84</v>
      </c>
      <c r="D62" t="s">
        <v>28</v>
      </c>
      <c r="E62" t="s">
        <v>43</v>
      </c>
    </row>
    <row r="63" spans="1:5" x14ac:dyDescent="0.2">
      <c r="A63" s="26" t="s">
        <v>189</v>
      </c>
      <c r="B63" s="26" t="s">
        <v>326</v>
      </c>
      <c r="C63" t="s">
        <v>84</v>
      </c>
      <c r="D63" s="26" t="s">
        <v>278</v>
      </c>
      <c r="E63" t="s">
        <v>123</v>
      </c>
    </row>
    <row r="64" spans="1:5" x14ac:dyDescent="0.2">
      <c r="A64" s="26" t="s">
        <v>189</v>
      </c>
      <c r="B64" s="26" t="s">
        <v>326</v>
      </c>
      <c r="C64" t="s">
        <v>84</v>
      </c>
      <c r="D64" s="26" t="s">
        <v>278</v>
      </c>
      <c r="E64" s="26" t="s">
        <v>210</v>
      </c>
    </row>
    <row r="65" spans="1:5" x14ac:dyDescent="0.2">
      <c r="A65" s="26" t="s">
        <v>189</v>
      </c>
      <c r="B65" s="26" t="s">
        <v>326</v>
      </c>
      <c r="C65" t="s">
        <v>84</v>
      </c>
      <c r="D65" s="26" t="s">
        <v>278</v>
      </c>
      <c r="E65" t="s">
        <v>44</v>
      </c>
    </row>
    <row r="66" spans="1:5" x14ac:dyDescent="0.2">
      <c r="A66" s="26" t="s">
        <v>189</v>
      </c>
      <c r="B66" s="26" t="s">
        <v>326</v>
      </c>
      <c r="C66" t="s">
        <v>84</v>
      </c>
      <c r="D66" t="s">
        <v>17</v>
      </c>
      <c r="E66" t="s">
        <v>45</v>
      </c>
    </row>
    <row r="67" spans="1:5" x14ac:dyDescent="0.2">
      <c r="A67" s="26" t="s">
        <v>189</v>
      </c>
      <c r="B67" s="26" t="s">
        <v>326</v>
      </c>
      <c r="C67" t="s">
        <v>84</v>
      </c>
      <c r="D67" t="s">
        <v>17</v>
      </c>
      <c r="E67" t="s">
        <v>124</v>
      </c>
    </row>
    <row r="68" spans="1:5" x14ac:dyDescent="0.2">
      <c r="A68" s="26" t="s">
        <v>189</v>
      </c>
      <c r="B68" s="26" t="s">
        <v>326</v>
      </c>
      <c r="C68" t="s">
        <v>84</v>
      </c>
      <c r="D68" t="s">
        <v>17</v>
      </c>
      <c r="E68" t="s">
        <v>46</v>
      </c>
    </row>
    <row r="69" spans="1:5" x14ac:dyDescent="0.2">
      <c r="A69" s="26" t="s">
        <v>189</v>
      </c>
      <c r="B69" s="26" t="s">
        <v>326</v>
      </c>
      <c r="C69" t="s">
        <v>84</v>
      </c>
      <c r="D69" t="s">
        <v>17</v>
      </c>
      <c r="E69" s="26" t="s">
        <v>211</v>
      </c>
    </row>
    <row r="70" spans="1:5" x14ac:dyDescent="0.2">
      <c r="A70" s="26" t="s">
        <v>189</v>
      </c>
      <c r="B70" s="26" t="s">
        <v>326</v>
      </c>
      <c r="C70" t="s">
        <v>84</v>
      </c>
      <c r="D70" s="26" t="s">
        <v>319</v>
      </c>
      <c r="E70" t="s">
        <v>47</v>
      </c>
    </row>
    <row r="71" spans="1:5" x14ac:dyDescent="0.2">
      <c r="A71" s="26" t="s">
        <v>189</v>
      </c>
      <c r="B71" s="26" t="s">
        <v>326</v>
      </c>
      <c r="C71" t="s">
        <v>84</v>
      </c>
      <c r="D71" s="26" t="s">
        <v>319</v>
      </c>
      <c r="E71" t="s">
        <v>48</v>
      </c>
    </row>
    <row r="72" spans="1:5" x14ac:dyDescent="0.2">
      <c r="A72" s="26" t="s">
        <v>189</v>
      </c>
      <c r="B72" s="26" t="s">
        <v>326</v>
      </c>
      <c r="C72" t="s">
        <v>84</v>
      </c>
      <c r="D72" t="s">
        <v>1</v>
      </c>
      <c r="E72" t="s">
        <v>49</v>
      </c>
    </row>
    <row r="73" spans="1:5" x14ac:dyDescent="0.2">
      <c r="A73" s="26" t="s">
        <v>189</v>
      </c>
      <c r="B73" s="26" t="s">
        <v>326</v>
      </c>
      <c r="C73" t="s">
        <v>84</v>
      </c>
      <c r="D73" t="s">
        <v>1</v>
      </c>
      <c r="E73" t="s">
        <v>50</v>
      </c>
    </row>
    <row r="74" spans="1:5" x14ac:dyDescent="0.2">
      <c r="A74" s="26" t="s">
        <v>189</v>
      </c>
      <c r="B74" s="26" t="s">
        <v>326</v>
      </c>
      <c r="C74" t="s">
        <v>84</v>
      </c>
      <c r="D74" s="26" t="s">
        <v>278</v>
      </c>
      <c r="E74" t="s">
        <v>51</v>
      </c>
    </row>
    <row r="75" spans="1:5" x14ac:dyDescent="0.2">
      <c r="A75" s="26" t="s">
        <v>189</v>
      </c>
      <c r="B75" s="26" t="s">
        <v>326</v>
      </c>
      <c r="C75" t="s">
        <v>84</v>
      </c>
      <c r="D75" s="26" t="s">
        <v>278</v>
      </c>
      <c r="E75" t="s">
        <v>52</v>
      </c>
    </row>
    <row r="76" spans="1:5" x14ac:dyDescent="0.2">
      <c r="A76" s="26" t="s">
        <v>189</v>
      </c>
      <c r="B76" s="26" t="s">
        <v>326</v>
      </c>
      <c r="C76" t="s">
        <v>84</v>
      </c>
      <c r="D76" s="26" t="s">
        <v>278</v>
      </c>
      <c r="E76" t="s">
        <v>53</v>
      </c>
    </row>
    <row r="77" spans="1:5" x14ac:dyDescent="0.2">
      <c r="A77" s="26" t="s">
        <v>189</v>
      </c>
      <c r="B77" s="26" t="s">
        <v>326</v>
      </c>
      <c r="C77" t="s">
        <v>84</v>
      </c>
      <c r="D77" s="26" t="s">
        <v>278</v>
      </c>
      <c r="E77" t="s">
        <v>54</v>
      </c>
    </row>
    <row r="78" spans="1:5" x14ac:dyDescent="0.2">
      <c r="A78" s="26" t="s">
        <v>189</v>
      </c>
      <c r="B78" s="26" t="s">
        <v>326</v>
      </c>
      <c r="C78" t="s">
        <v>84</v>
      </c>
      <c r="D78" s="26" t="s">
        <v>278</v>
      </c>
      <c r="E78" t="s">
        <v>55</v>
      </c>
    </row>
    <row r="79" spans="1:5" x14ac:dyDescent="0.2">
      <c r="A79" s="26" t="s">
        <v>189</v>
      </c>
      <c r="B79" s="26" t="s">
        <v>326</v>
      </c>
      <c r="C79" t="s">
        <v>84</v>
      </c>
      <c r="D79" s="26" t="s">
        <v>319</v>
      </c>
      <c r="E79" t="s">
        <v>56</v>
      </c>
    </row>
    <row r="80" spans="1:5" x14ac:dyDescent="0.2">
      <c r="A80" s="26" t="s">
        <v>189</v>
      </c>
      <c r="B80" s="26" t="s">
        <v>326</v>
      </c>
      <c r="C80" t="s">
        <v>84</v>
      </c>
      <c r="D80" s="26" t="s">
        <v>278</v>
      </c>
      <c r="E80" t="s">
        <v>57</v>
      </c>
    </row>
    <row r="81" spans="1:5" x14ac:dyDescent="0.2">
      <c r="A81" s="26" t="s">
        <v>189</v>
      </c>
      <c r="B81" s="26" t="s">
        <v>326</v>
      </c>
      <c r="C81" t="s">
        <v>84</v>
      </c>
      <c r="D81" s="26" t="s">
        <v>278</v>
      </c>
      <c r="E81" t="s">
        <v>58</v>
      </c>
    </row>
    <row r="82" spans="1:5" x14ac:dyDescent="0.2">
      <c r="A82" s="26" t="s">
        <v>189</v>
      </c>
      <c r="B82" s="26" t="s">
        <v>326</v>
      </c>
      <c r="C82" t="s">
        <v>84</v>
      </c>
      <c r="D82" s="26" t="s">
        <v>278</v>
      </c>
      <c r="E82" t="s">
        <v>59</v>
      </c>
    </row>
    <row r="83" spans="1:5" x14ac:dyDescent="0.2">
      <c r="A83" s="26" t="s">
        <v>189</v>
      </c>
      <c r="B83" s="26" t="s">
        <v>326</v>
      </c>
      <c r="C83" t="s">
        <v>84</v>
      </c>
      <c r="D83" s="26" t="s">
        <v>278</v>
      </c>
      <c r="E83" t="s">
        <v>60</v>
      </c>
    </row>
    <row r="84" spans="1:5" x14ac:dyDescent="0.2">
      <c r="A84" s="26" t="s">
        <v>189</v>
      </c>
      <c r="B84" s="26" t="s">
        <v>326</v>
      </c>
      <c r="C84" t="s">
        <v>84</v>
      </c>
      <c r="D84" s="26" t="s">
        <v>278</v>
      </c>
      <c r="E84" t="s">
        <v>61</v>
      </c>
    </row>
    <row r="85" spans="1:5" x14ac:dyDescent="0.2">
      <c r="A85" s="26" t="s">
        <v>189</v>
      </c>
      <c r="B85" s="26" t="s">
        <v>326</v>
      </c>
      <c r="C85" t="s">
        <v>84</v>
      </c>
      <c r="D85" s="26" t="s">
        <v>278</v>
      </c>
      <c r="E85" t="s">
        <v>62</v>
      </c>
    </row>
    <row r="86" spans="1:5" x14ac:dyDescent="0.2">
      <c r="A86" s="26" t="s">
        <v>189</v>
      </c>
      <c r="B86" s="26" t="s">
        <v>326</v>
      </c>
      <c r="C86" t="s">
        <v>84</v>
      </c>
      <c r="D86" s="26" t="s">
        <v>278</v>
      </c>
      <c r="E86" t="s">
        <v>63</v>
      </c>
    </row>
    <row r="87" spans="1:5" x14ac:dyDescent="0.2">
      <c r="A87" s="26" t="s">
        <v>189</v>
      </c>
      <c r="B87" s="26" t="s">
        <v>326</v>
      </c>
      <c r="C87" s="26" t="s">
        <v>84</v>
      </c>
      <c r="D87" s="26" t="s">
        <v>167</v>
      </c>
    </row>
    <row r="88" spans="1:5" x14ac:dyDescent="0.2">
      <c r="A88" s="26" t="s">
        <v>189</v>
      </c>
      <c r="B88" s="26" t="s">
        <v>326</v>
      </c>
      <c r="C88" s="26" t="s">
        <v>84</v>
      </c>
      <c r="D88" s="26" t="s">
        <v>332</v>
      </c>
    </row>
  </sheetData>
  <autoFilter ref="A1:E87" xr:uid="{6C2965A1-ACD1-4985-8533-6D3D83D236D4}">
    <sortState xmlns:xlrd2="http://schemas.microsoft.com/office/spreadsheetml/2017/richdata2" ref="A2:E87">
      <sortCondition ref="A1:A87"/>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384-6C29-4B16-B77E-1BC8023952CE}">
  <sheetPr codeName="Sheet3">
    <tabColor theme="9"/>
  </sheetPr>
  <dimension ref="A1:C30"/>
  <sheetViews>
    <sheetView workbookViewId="0"/>
  </sheetViews>
  <sheetFormatPr defaultRowHeight="12.75" x14ac:dyDescent="0.2"/>
  <cols>
    <col min="1" max="1" width="10.140625" bestFit="1" customWidth="1"/>
    <col min="2" max="2" width="30.5703125" bestFit="1" customWidth="1"/>
    <col min="3" max="3" width="16.5703125" bestFit="1" customWidth="1"/>
  </cols>
  <sheetData>
    <row r="1" spans="1:3" s="23" customFormat="1" ht="15" x14ac:dyDescent="0.35">
      <c r="A1" s="23" t="s">
        <v>164</v>
      </c>
      <c r="B1" s="23" t="s">
        <v>140</v>
      </c>
      <c r="C1" s="134" t="s">
        <v>143</v>
      </c>
    </row>
    <row r="2" spans="1:3" x14ac:dyDescent="0.2">
      <c r="A2" t="str" cm="1">
        <f t="array" ref="A2:A5">_xlfn.UNIQUE(_xlfn._xlws.FILTER('Categorized Inputs'!$D:$D,'Categorized Inputs'!$B:$B="Asset"))</f>
        <v>Cash</v>
      </c>
      <c r="B2" t="str" cm="1">
        <f t="array" ref="B2:B30">_xlfn.UNIQUE(_xlfn._xlws.FILTER('Categorized Inputs'!$D:$D,'Categorized Inputs'!$A:$A="Cash Flow"))</f>
        <v>Salary &amp; Paychecks</v>
      </c>
      <c r="C2" t="s">
        <v>144</v>
      </c>
    </row>
    <row r="3" spans="1:3" x14ac:dyDescent="0.2">
      <c r="A3" t="str">
        <v>Brokerage</v>
      </c>
      <c r="B3" t="str">
        <v>Other Earnings</v>
      </c>
      <c r="C3" t="s">
        <v>145</v>
      </c>
    </row>
    <row r="4" spans="1:3" x14ac:dyDescent="0.2">
      <c r="A4" t="str">
        <v>Retirement</v>
      </c>
      <c r="B4" t="str">
        <v>Bonus</v>
      </c>
      <c r="C4" t="s">
        <v>146</v>
      </c>
    </row>
    <row r="5" spans="1:3" x14ac:dyDescent="0.2">
      <c r="A5" t="str">
        <v>Real Asset</v>
      </c>
      <c r="B5" t="str">
        <v>Friend Receivable</v>
      </c>
      <c r="C5" t="s">
        <v>147</v>
      </c>
    </row>
    <row r="6" spans="1:3" x14ac:dyDescent="0.2">
      <c r="B6" t="str">
        <v>Selling &amp; Refunds</v>
      </c>
    </row>
    <row r="7" spans="1:3" x14ac:dyDescent="0.2">
      <c r="B7" t="str">
        <v>Brokerage Cashout</v>
      </c>
    </row>
    <row r="8" spans="1:3" x14ac:dyDescent="0.2">
      <c r="B8" t="str">
        <v>Other</v>
      </c>
    </row>
    <row r="9" spans="1:3" x14ac:dyDescent="0.2">
      <c r="B9" t="str">
        <v>Other Inflows</v>
      </c>
    </row>
    <row r="10" spans="1:3" x14ac:dyDescent="0.2">
      <c r="B10" t="str">
        <v>Loans</v>
      </c>
    </row>
    <row r="11" spans="1:3" x14ac:dyDescent="0.2">
      <c r="B11" t="str">
        <v>Credit Cards</v>
      </c>
    </row>
    <row r="12" spans="1:3" x14ac:dyDescent="0.2">
      <c r="B12" t="str">
        <v>Retirement Deductions</v>
      </c>
    </row>
    <row r="13" spans="1:3" x14ac:dyDescent="0.2">
      <c r="B13" t="str">
        <v>Events &amp; Entertainment</v>
      </c>
    </row>
    <row r="14" spans="1:3" x14ac:dyDescent="0.2">
      <c r="B14" t="str">
        <v>Housing</v>
      </c>
    </row>
    <row r="15" spans="1:3" x14ac:dyDescent="0.2">
      <c r="B15" t="str">
        <v>Travel</v>
      </c>
    </row>
    <row r="16" spans="1:3" x14ac:dyDescent="0.2">
      <c r="B16" t="str">
        <v>Shopping</v>
      </c>
    </row>
    <row r="17" spans="2:2" x14ac:dyDescent="0.2">
      <c r="B17" t="str">
        <v>Food &amp; Drinks</v>
      </c>
    </row>
    <row r="18" spans="2:2" x14ac:dyDescent="0.2">
      <c r="B18" t="str">
        <v>Dues &amp; Subscriptions</v>
      </c>
    </row>
    <row r="19" spans="2:2" x14ac:dyDescent="0.2">
      <c r="B19" t="str">
        <v>Other Flexible Outflows</v>
      </c>
    </row>
    <row r="20" spans="2:2" x14ac:dyDescent="0.2">
      <c r="B20" t="str">
        <v>Brokerage Contributions</v>
      </c>
    </row>
    <row r="21" spans="2:2" x14ac:dyDescent="0.2">
      <c r="B21" t="str">
        <v>Retirement Contributions</v>
      </c>
    </row>
    <row r="22" spans="2:2" x14ac:dyDescent="0.2">
      <c r="B22" t="str">
        <v>Employer Retirement Contributions</v>
      </c>
    </row>
    <row r="23" spans="2:2" x14ac:dyDescent="0.2">
      <c r="B23" t="str">
        <v>Taxes</v>
      </c>
    </row>
    <row r="24" spans="2:2" x14ac:dyDescent="0.2">
      <c r="B24" t="str">
        <v>Other Deductions</v>
      </c>
    </row>
    <row r="25" spans="2:2" x14ac:dyDescent="0.2">
      <c r="B25" t="str">
        <v>Transportation</v>
      </c>
    </row>
    <row r="26" spans="2:2" x14ac:dyDescent="0.2">
      <c r="B26" t="str">
        <v>Friend Payment</v>
      </c>
    </row>
    <row r="27" spans="2:2" x14ac:dyDescent="0.2">
      <c r="B27" t="str">
        <v>Health &amp; Personal Care</v>
      </c>
    </row>
    <row r="28" spans="2:2" x14ac:dyDescent="0.2">
      <c r="B28" t="str">
        <v>Groceries</v>
      </c>
    </row>
    <row r="29" spans="2:2" x14ac:dyDescent="0.2">
      <c r="B29" t="str">
        <v>Medication &amp; Supplements</v>
      </c>
    </row>
    <row r="30" spans="2:2" x14ac:dyDescent="0.2">
      <c r="B30" t="str">
        <v>Other Required Outflows</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451D9-0987-4462-BC45-241C646391CC}">
  <sheetPr codeName="Sheet7">
    <tabColor rgb="FFFF0000"/>
  </sheetPr>
  <dimension ref="B5"/>
  <sheetViews>
    <sheetView workbookViewId="0"/>
  </sheetViews>
  <sheetFormatPr defaultRowHeight="12.75" x14ac:dyDescent="0.2"/>
  <cols>
    <col min="1" max="1" width="2.7109375" style="25" customWidth="1"/>
    <col min="2" max="16384" width="9.140625" style="25"/>
  </cols>
  <sheetData>
    <row r="5" spans="2:2" x14ac:dyDescent="0.2">
      <c r="B5" s="13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README</vt:lpstr>
      <vt:lpstr>SUMMARIES→</vt:lpstr>
      <vt:lpstr>NTM</vt:lpstr>
      <vt:lpstr>WORKING→</vt:lpstr>
      <vt:lpstr>Recurring</vt:lpstr>
      <vt:lpstr>OPTIONAL EMPOWER DATA→</vt:lpstr>
      <vt:lpstr>Ref Data</vt:lpstr>
      <vt:lpstr>Raw</vt:lpstr>
      <vt:lpstr>AD HOC→</vt:lpstr>
      <vt:lpstr>FOOTNOTES→</vt:lpstr>
      <vt:lpstr>Version Change Notes</vt:lpstr>
      <vt:lpstr>DEV STEPS FOR PROD</vt:lpstr>
      <vt:lpstr>INTERMEDIATES→</vt:lpstr>
      <vt:lpstr>recurring1_based on steps</vt:lpstr>
      <vt:lpstr>recurring2_based on steps</vt:lpstr>
      <vt:lpstr>changes1_based on steps</vt:lpstr>
      <vt:lpstr>changes2_based on steps</vt:lpstr>
      <vt:lpstr>recurring_master</vt:lpstr>
      <vt:lpstr>HELPERS→</vt:lpstr>
      <vt:lpstr>Categorized Inputs</vt:lpstr>
      <vt:lpstr>Data Validation</vt:lpstr>
      <vt:lpstr>←DEV HIDE ALL FOR PROD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Renner</dc:creator>
  <cp:lastModifiedBy>Joe Renner</cp:lastModifiedBy>
  <dcterms:created xsi:type="dcterms:W3CDTF">2024-07-21T15:21:17Z</dcterms:created>
  <dcterms:modified xsi:type="dcterms:W3CDTF">2025-03-28T00:03:07Z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{BD615B06-A48D-4D0C-973D-A2E12A3B67B8}</vt:lpwstr>
  </property>
  <property fmtid="{D5CDD505-2E9C-101B-9397-08002B2CF9AE}" pid="3" name="MSIP_Label_6f394ca5-8759-4293-b832-700b1d8eee0b_Enabled">
    <vt:lpwstr>true</vt:lpwstr>
  </property>
  <property fmtid="{D5CDD505-2E9C-101B-9397-08002B2CF9AE}" pid="4" name="MSIP_Label_6f394ca5-8759-4293-b832-700b1d8eee0b_SetDate">
    <vt:lpwstr>2025-01-06T03:35:24Z</vt:lpwstr>
  </property>
  <property fmtid="{D5CDD505-2E9C-101B-9397-08002B2CF9AE}" pid="5" name="MSIP_Label_6f394ca5-8759-4293-b832-700b1d8eee0b_Method">
    <vt:lpwstr>Standard</vt:lpwstr>
  </property>
  <property fmtid="{D5CDD505-2E9C-101B-9397-08002B2CF9AE}" pid="6" name="MSIP_Label_6f394ca5-8759-4293-b832-700b1d8eee0b_Name">
    <vt:lpwstr>6f394ca5-8759-4293-b832-700b1d8eee0b</vt:lpwstr>
  </property>
  <property fmtid="{D5CDD505-2E9C-101B-9397-08002B2CF9AE}" pid="7" name="MSIP_Label_6f394ca5-8759-4293-b832-700b1d8eee0b_SiteId">
    <vt:lpwstr>5d25c963-07db-4627-9db3-720b2ff89865</vt:lpwstr>
  </property>
  <property fmtid="{D5CDD505-2E9C-101B-9397-08002B2CF9AE}" pid="8" name="MSIP_Label_6f394ca5-8759-4293-b832-700b1d8eee0b_ActionId">
    <vt:lpwstr>edc02eb2-ca68-4a46-a48e-ea2b2125ea69</vt:lpwstr>
  </property>
  <property fmtid="{D5CDD505-2E9C-101B-9397-08002B2CF9AE}" pid="9" name="MSIP_Label_6f394ca5-8759-4293-b832-700b1d8eee0b_ContentBits">
    <vt:lpwstr>0</vt:lpwstr>
  </property>
</Properties>
</file>